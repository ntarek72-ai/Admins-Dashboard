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er Line" sheetId="4" state="visible" r:id="rId4"/>
    <sheet xmlns:r="http://schemas.openxmlformats.org/officeDocument/2006/relationships" name="Per Invoice" sheetId="5" state="visible" r:id="rId5"/>
    <sheet xmlns:r="http://schemas.openxmlformats.org/officeDocument/2006/relationships" name="COPY 30 %" sheetId="6" state="visible" r:id="rId6"/>
    <sheet xmlns:r="http://schemas.openxmlformats.org/officeDocument/2006/relationships" name="COPY 20 %" sheetId="7" state="visible" r:id="rId7"/>
    <sheet xmlns:r="http://schemas.openxmlformats.org/officeDocument/2006/relationships" name="COPY 10 %" sheetId="8" state="visible" r:id="rId8"/>
    <sheet xmlns:r="http://schemas.openxmlformats.org/officeDocument/2006/relationships" name="Extra 1" sheetId="9" state="visible" r:id="rId9"/>
    <sheet xmlns:r="http://schemas.openxmlformats.org/officeDocument/2006/relationships" name="Extra 2" sheetId="10" state="visible" r:id="rId10"/>
    <sheet xmlns:r="http://schemas.openxmlformats.org/officeDocument/2006/relationships" name="Statement COPY 30 %" sheetId="11" state="visible" r:id="rId11"/>
    <sheet xmlns:r="http://schemas.openxmlformats.org/officeDocument/2006/relationships" name="Statement COPY 20 %" sheetId="12" state="visible" r:id="rId12"/>
    <sheet xmlns:r="http://schemas.openxmlformats.org/officeDocument/2006/relationships" name="Statement COPY 10 %" sheetId="13" state="visible" r:id="rId13"/>
    <sheet xmlns:r="http://schemas.openxmlformats.org/officeDocument/2006/relationships" name="Statement Extra 1" sheetId="14" state="visible" r:id="rId14"/>
    <sheet xmlns:r="http://schemas.openxmlformats.org/officeDocument/2006/relationships" name="Statement Extra 2" sheetId="15" state="visible" r:id="rId15"/>
  </sheets>
  <definedNames>
    <definedName name="_xlnm._FilterDatabase" localSheetId="3" hidden="1">'Per Line'!$A$1:$X$1501</definedName>
    <definedName name="_xlnm._FilterDatabase" localSheetId="4" hidden="1">'Per Invoice'!$A$1:$V$401</definedName>
    <definedName name="_xlnm._FilterDatabase" localSheetId="5" hidden="1">'COPY 30 %'!$A$1:$U$301</definedName>
    <definedName name="_xlnm._FilterDatabase" localSheetId="6" hidden="1">'COPY 20 %'!$A$1:$U$301</definedName>
    <definedName name="_xlnm._FilterDatabase" localSheetId="7" hidden="1">'COPY 10 %'!$A$1:$U$301</definedName>
    <definedName name="_xlnm._FilterDatabase" localSheetId="8" hidden="1">'Extra 1'!$A$1:$U$301</definedName>
    <definedName name="_xlnm._FilterDatabase" localSheetId="9" hidden="1">'Extra 2'!$A$1:$U$301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####"/>
    <numFmt numFmtId="165" formatCode="dd/mm/yyyy hh:mm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 vertical="center" wrapText="1"/>
    </xf>
    <xf numFmtId="164" fontId="1" fillId="0" borderId="0" pivotButton="0" quotePrefix="0" xfId="0"/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SAINCO (Walk In)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B-F, H-L, P-S (same order as the system export).</t>
        </is>
      </c>
    </row>
    <row r="6">
      <c r="A6" s="3" t="inlineStr">
        <is>
          <t>3. Green columns (A, G, M, N, O, T) and the grey helper columns (U-X)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C 'Invoice' (blue): type it yourself. Everything else is formula.</t>
        </is>
      </c>
    </row>
    <row r="9">
      <c r="A9" s="3" t="inlineStr">
        <is>
          <t>6. The tabs, the Arabic 'Statement ...' sheets and 'Summary' fill themselves from 'Per Invoice'. Column 'Copay Tab (##)' decides which tab each invoice goes to (rule and limit are in Settings).</t>
        </is>
      </c>
    </row>
    <row r="10">
      <c r="A10" s="3" t="inlineStr">
        <is>
          <t>7. Open 'Settings' and check STATUS says OK (Per Line = Per Invoice, and every invoice has a payer that is listed in Settings).</t>
        </is>
      </c>
    </row>
    <row r="12">
      <c r="A12" s="2" t="inlineStr">
        <is>
          <t>Colour legend</t>
        </is>
      </c>
    </row>
    <row r="13">
      <c r="A13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5">
      <c r="A15" s="2" t="inlineStr">
        <is>
          <t>Calculation rules (taken from the August 2026 sheet)</t>
        </is>
      </c>
    </row>
    <row r="16">
      <c r="A16" s="3" t="inlineStr">
        <is>
          <t>Co val = Order Co Payment x Total / 100.   Discount = Total x Rebates / 100.   Subtotal = Total - Discount.   Net = Subtotal - Co val.   (Total = 'Total Delivered')</t>
        </is>
      </c>
    </row>
    <row r="17">
      <c r="A17" s="3" t="inlineStr">
        <is>
          <t>Rebates per line = Local rate (16%) if Local is TRUE, otherwise Imported rate (6%). Rates are set in 'Settings'.</t>
        </is>
      </c>
    </row>
    <row r="19">
      <c r="A19" s="3" t="inlineStr">
        <is>
          <t>Per Invoice: IMP = sum of Total of non-local lines; Local = sum of Total of local lines. Grand Total = IMP + Local. Discount = IMP val + Local val. Subtotal = Grand Total - Discount. Co val = Co Payment x Grand Total / 100. Net = Subtotal - Co val.</t>
        </is>
      </c>
    </row>
    <row r="21">
      <c r="A21" s="3" t="inlineStr">
        <is>
          <t>Capacity: up to 1,500 lines and 400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32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SAINCO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-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Walk In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0.16</v>
      </c>
      <c r="D6" t="inlineStr">
        <is>
          <t>Source: Aug sheet (Rebates = 16 on Local lines).</t>
        </is>
      </c>
    </row>
    <row r="7">
      <c r="B7" t="inlineStr">
        <is>
          <t>Imported (IMP) products rebate %</t>
        </is>
      </c>
      <c r="C7" s="5" t="n">
        <v>0.06</v>
      </c>
      <c r="D7" t="inlineStr">
        <is>
          <t>Source: Aug sheet (Rebates = 6 on non-local lines).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Line'!$B$2:$B$1501)</f>
        <v/>
      </c>
    </row>
    <row r="11">
      <c r="B11" t="inlineStr">
        <is>
          <t>Invoices (unique Order #)</t>
        </is>
      </c>
      <c r="C11">
        <f>MAX('Per Line'!$V$2:$V$1501)</f>
        <v/>
      </c>
    </row>
    <row r="12">
      <c r="B12" t="inlineStr">
        <is>
          <t>Invoices shown in Per Invoice</t>
        </is>
      </c>
      <c r="C12">
        <f>SUMPRODUCT(--('Per Invoice'!$A$2:$A$401&lt;&gt;""))</f>
        <v/>
      </c>
    </row>
    <row r="13">
      <c r="B13" t="inlineStr">
        <is>
          <t>Grand Total - Per Line (Product Total)</t>
        </is>
      </c>
      <c r="C13" s="7">
        <f>SUM('Per Line'!$L$2:$L$1501)</f>
        <v/>
      </c>
    </row>
    <row r="14">
      <c r="B14" t="inlineStr">
        <is>
          <t>Grand Total - Per Invoice</t>
        </is>
      </c>
      <c r="C14" s="7">
        <f>SUM('Per Invoice'!$S$2:$S$401)</f>
        <v/>
      </c>
    </row>
    <row r="15">
      <c r="B15" t="inlineStr">
        <is>
          <t>Discount - Per Line</t>
        </is>
      </c>
      <c r="C15" s="7">
        <f>SUM('Per Line'!$M$2:$M$1501)</f>
        <v/>
      </c>
    </row>
    <row r="16">
      <c r="B16" t="inlineStr">
        <is>
          <t>Discount - Per Invoice</t>
        </is>
      </c>
      <c r="C16" s="7">
        <f>SUM('Per Invoice'!$Q$2:$Q$401)</f>
        <v/>
      </c>
    </row>
    <row r="17">
      <c r="B17" t="inlineStr">
        <is>
          <t>Co val - Per Line</t>
        </is>
      </c>
      <c r="C17" s="7">
        <f>SUM('Per Line'!$G$2:$G$1501)</f>
        <v/>
      </c>
    </row>
    <row r="18">
      <c r="B18" t="inlineStr">
        <is>
          <t>Co val - Per Invoice</t>
        </is>
      </c>
      <c r="C18" s="7">
        <f>SUM('Per Invoice'!$H$2:$H$401)</f>
        <v/>
      </c>
    </row>
    <row r="19">
      <c r="B19" t="inlineStr">
        <is>
          <t>Net - Per Line</t>
        </is>
      </c>
      <c r="C19" s="7">
        <f>SUM('Per Line'!$O$2:$O$1501)</f>
        <v/>
      </c>
    </row>
    <row r="20">
      <c r="B20" t="inlineStr">
        <is>
          <t>Net - Per Invoice</t>
        </is>
      </c>
      <c r="C20" s="7">
        <f>SUM('Per Invoice'!$T$2:$T$401)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Line'!$B:$B)-1&gt;1500,"TOO MANY LINES - extend template",IF(C11&gt;400,"TOO MANY INVOICES - extend template",IF(AND(ROUND(C13-C14,2)=0,ROUND(C15-C16,2)=0,ROUND(C17+C21-C18,2)=0,ROUND(C19-C21-C20,2)=0,C11=C12,C32=0,MAX(D26:D30)&lt;=300),"OK","CHECK - Per Line and Per Invoice do not match"))))</f>
        <v/>
      </c>
      <c r="D23" t="inlineStr">
        <is>
          <t>Must say OK after you paste the month data.</t>
        </is>
      </c>
    </row>
    <row r="25">
      <c r="B25" s="6" t="inlineStr">
        <is>
          <t>Copay tabs</t>
        </is>
      </c>
      <c r="C25" s="6" t="inlineStr">
        <is>
          <t>Copay name exactly as in the Copay Tab (##) column</t>
        </is>
      </c>
      <c r="D25" s="6" t="inlineStr">
        <is>
          <t>Invoices (formula)</t>
        </is>
      </c>
    </row>
    <row r="26">
      <c r="B26" t="inlineStr">
        <is>
          <t>COPY 30 %</t>
        </is>
      </c>
      <c r="C26" s="8" t="inlineStr">
        <is>
          <t>COPY 30 %</t>
        </is>
      </c>
      <c r="D26" s="9">
        <f>IF(C26="",0,COUNTIF('Per Invoice'!$B$2:$B$401,C26))</f>
        <v/>
      </c>
    </row>
    <row r="27">
      <c r="B27" t="inlineStr">
        <is>
          <t>COPY 20 %</t>
        </is>
      </c>
      <c r="C27" s="8" t="inlineStr">
        <is>
          <t>COPY 20 %</t>
        </is>
      </c>
      <c r="D27" s="9">
        <f>IF(C27="",0,COUNTIF('Per Invoice'!$B$2:$B$401,C27))</f>
        <v/>
      </c>
    </row>
    <row r="28">
      <c r="B28" t="inlineStr">
        <is>
          <t>COPY 10 %</t>
        </is>
      </c>
      <c r="C28" s="8" t="inlineStr">
        <is>
          <t>COPY 10 %</t>
        </is>
      </c>
      <c r="D28" s="9">
        <f>IF(C28="",0,COUNTIF('Per Invoice'!$B$2:$B$401,C28))</f>
        <v/>
      </c>
    </row>
    <row r="29">
      <c r="B29" t="inlineStr">
        <is>
          <t>Extra 1</t>
        </is>
      </c>
      <c r="C29" s="8" t="n"/>
      <c r="D29" s="9">
        <f>IF(C29="",0,COUNTIF('Per Invoice'!$B$2:$B$401,C29))</f>
        <v/>
      </c>
    </row>
    <row r="30">
      <c r="B30" t="inlineStr">
        <is>
          <t>Extra 2</t>
        </is>
      </c>
      <c r="C30" s="8" t="n"/>
      <c r="D30" s="9">
        <f>IF(C30="",0,COUNTIF('Per Invoice'!$B$2:$B$401,C30))</f>
        <v/>
      </c>
    </row>
    <row r="32">
      <c r="B32" t="inlineStr">
        <is>
          <t>Invoices not in any copay tab (must be 0)</t>
        </is>
      </c>
      <c r="C32">
        <f>C11-SUM(D26:D30)</f>
        <v/>
      </c>
      <c r="D32" t="inlineStr">
        <is>
          <t>If not 0: a new copay appeared. Type its exact name in one of the empty yellow cells above (Extra 1 ... Extra n); the tab Extra n then shows it. Each tab holds up to 300 invoices.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0" t="inlineStr">
        <is>
          <t>Copay tab</t>
        </is>
      </c>
      <c r="B1" s="10" t="inlineStr">
        <is>
          <t>Count of Orders</t>
        </is>
      </c>
      <c r="C1" s="10" t="inlineStr">
        <is>
          <t>Local</t>
        </is>
      </c>
      <c r="D1" s="10" t="inlineStr">
        <is>
          <t>Imported</t>
        </is>
      </c>
      <c r="E1" s="10" t="inlineStr">
        <is>
          <t>Grand Total</t>
        </is>
      </c>
      <c r="F1" s="10" t="inlineStr">
        <is>
          <t>Discount</t>
        </is>
      </c>
      <c r="G1" s="10" t="inlineStr">
        <is>
          <t>Patient share (CO VAL)</t>
        </is>
      </c>
      <c r="H1" s="10" t="inlineStr">
        <is>
          <t>Net</t>
        </is>
      </c>
    </row>
    <row r="2">
      <c r="A2">
        <f>IF(Settings!$C$26="","",Settings!$C$26)</f>
        <v/>
      </c>
      <c r="B2">
        <f>IF($A2="","",COUNTIF('Per Invoice'!$B$2:$B$401,$A2))</f>
        <v/>
      </c>
      <c r="C2" s="7">
        <f>IF($A2="","",SUMIFS('Per Invoice'!$O$2:$O$401,'Per Invoice'!$B$2:$B$401,$A2))</f>
        <v/>
      </c>
      <c r="D2" s="7">
        <f>IF($A2="","",SUMIFS('Per Invoice'!$L$2:$L$401,'Per Invoice'!$B$2:$B$401,$A2))</f>
        <v/>
      </c>
      <c r="E2" s="7">
        <f>IF($A2="","",SUMIFS('Per Invoice'!$S$2:$S$401,'Per Invoice'!$B$2:$B$401,$A2))</f>
        <v/>
      </c>
      <c r="F2" s="7">
        <f>IF($A2="","",SUMIFS('Per Invoice'!$Q$2:$Q$401,'Per Invoice'!$B$2:$B$401,$A2))</f>
        <v/>
      </c>
      <c r="G2" s="7">
        <f>IF($A2="","",SUMIFS('Per Invoice'!$H$2:$H$401,'Per Invoice'!$B$2:$B$401,$A2))</f>
        <v/>
      </c>
      <c r="H2" s="7">
        <f>IF($A2="","",SUMIFS('Per Invoice'!$T$2:$T$401,'Per Invoice'!$B$2:$B$401,$A2))</f>
        <v/>
      </c>
    </row>
    <row r="3">
      <c r="A3">
        <f>IF(Settings!$C$27="","",Settings!$C$27)</f>
        <v/>
      </c>
      <c r="B3">
        <f>IF($A3="","",COUNTIF('Per Invoice'!$B$2:$B$401,$A3))</f>
        <v/>
      </c>
      <c r="C3" s="7">
        <f>IF($A3="","",SUMIFS('Per Invoice'!$O$2:$O$401,'Per Invoice'!$B$2:$B$401,$A3))</f>
        <v/>
      </c>
      <c r="D3" s="7">
        <f>IF($A3="","",SUMIFS('Per Invoice'!$L$2:$L$401,'Per Invoice'!$B$2:$B$401,$A3))</f>
        <v/>
      </c>
      <c r="E3" s="7">
        <f>IF($A3="","",SUMIFS('Per Invoice'!$S$2:$S$401,'Per Invoice'!$B$2:$B$401,$A3))</f>
        <v/>
      </c>
      <c r="F3" s="7">
        <f>IF($A3="","",SUMIFS('Per Invoice'!$Q$2:$Q$401,'Per Invoice'!$B$2:$B$401,$A3))</f>
        <v/>
      </c>
      <c r="G3" s="7">
        <f>IF($A3="","",SUMIFS('Per Invoice'!$H$2:$H$401,'Per Invoice'!$B$2:$B$401,$A3))</f>
        <v/>
      </c>
      <c r="H3" s="7">
        <f>IF($A3="","",SUMIFS('Per Invoice'!$T$2:$T$401,'Per Invoice'!$B$2:$B$401,$A3))</f>
        <v/>
      </c>
    </row>
    <row r="4">
      <c r="A4">
        <f>IF(Settings!$C$28="","",Settings!$C$28)</f>
        <v/>
      </c>
      <c r="B4">
        <f>IF($A4="","",COUNTIF('Per Invoice'!$B$2:$B$401,$A4))</f>
        <v/>
      </c>
      <c r="C4" s="7">
        <f>IF($A4="","",SUMIFS('Per Invoice'!$O$2:$O$401,'Per Invoice'!$B$2:$B$401,$A4))</f>
        <v/>
      </c>
      <c r="D4" s="7">
        <f>IF($A4="","",SUMIFS('Per Invoice'!$L$2:$L$401,'Per Invoice'!$B$2:$B$401,$A4))</f>
        <v/>
      </c>
      <c r="E4" s="7">
        <f>IF($A4="","",SUMIFS('Per Invoice'!$S$2:$S$401,'Per Invoice'!$B$2:$B$401,$A4))</f>
        <v/>
      </c>
      <c r="F4" s="7">
        <f>IF($A4="","",SUMIFS('Per Invoice'!$Q$2:$Q$401,'Per Invoice'!$B$2:$B$401,$A4))</f>
        <v/>
      </c>
      <c r="G4" s="7">
        <f>IF($A4="","",SUMIFS('Per Invoice'!$H$2:$H$401,'Per Invoice'!$B$2:$B$401,$A4))</f>
        <v/>
      </c>
      <c r="H4" s="7">
        <f>IF($A4="","",SUMIFS('Per Invoice'!$T$2:$T$401,'Per Invoice'!$B$2:$B$401,$A4))</f>
        <v/>
      </c>
    </row>
    <row r="5">
      <c r="A5">
        <f>IF(Settings!$C$29="","",Settings!$C$29)</f>
        <v/>
      </c>
      <c r="B5">
        <f>IF($A5="","",COUNTIF('Per Invoice'!$B$2:$B$401,$A5))</f>
        <v/>
      </c>
      <c r="C5" s="7">
        <f>IF($A5="","",SUMIFS('Per Invoice'!$O$2:$O$401,'Per Invoice'!$B$2:$B$401,$A5))</f>
        <v/>
      </c>
      <c r="D5" s="7">
        <f>IF($A5="","",SUMIFS('Per Invoice'!$L$2:$L$401,'Per Invoice'!$B$2:$B$401,$A5))</f>
        <v/>
      </c>
      <c r="E5" s="7">
        <f>IF($A5="","",SUMIFS('Per Invoice'!$S$2:$S$401,'Per Invoice'!$B$2:$B$401,$A5))</f>
        <v/>
      </c>
      <c r="F5" s="7">
        <f>IF($A5="","",SUMIFS('Per Invoice'!$Q$2:$Q$401,'Per Invoice'!$B$2:$B$401,$A5))</f>
        <v/>
      </c>
      <c r="G5" s="7">
        <f>IF($A5="","",SUMIFS('Per Invoice'!$H$2:$H$401,'Per Invoice'!$B$2:$B$401,$A5))</f>
        <v/>
      </c>
      <c r="H5" s="7">
        <f>IF($A5="","",SUMIFS('Per Invoice'!$T$2:$T$401,'Per Invoice'!$B$2:$B$401,$A5))</f>
        <v/>
      </c>
    </row>
    <row r="6">
      <c r="A6">
        <f>IF(Settings!$C$30="","",Settings!$C$30)</f>
        <v/>
      </c>
      <c r="B6">
        <f>IF($A6="","",COUNTIF('Per Invoice'!$B$2:$B$401,$A6))</f>
        <v/>
      </c>
      <c r="C6" s="7">
        <f>IF($A6="","",SUMIFS('Per Invoice'!$O$2:$O$401,'Per Invoice'!$B$2:$B$401,$A6))</f>
        <v/>
      </c>
      <c r="D6" s="7">
        <f>IF($A6="","",SUMIFS('Per Invoice'!$L$2:$L$401,'Per Invoice'!$B$2:$B$401,$A6))</f>
        <v/>
      </c>
      <c r="E6" s="7">
        <f>IF($A6="","",SUMIFS('Per Invoice'!$S$2:$S$401,'Per Invoice'!$B$2:$B$401,$A6))</f>
        <v/>
      </c>
      <c r="F6" s="7">
        <f>IF($A6="","",SUMIFS('Per Invoice'!$Q$2:$Q$401,'Per Invoice'!$B$2:$B$401,$A6))</f>
        <v/>
      </c>
      <c r="G6" s="7">
        <f>IF($A6="","",SUMIFS('Per Invoice'!$H$2:$H$401,'Per Invoice'!$B$2:$B$401,$A6))</f>
        <v/>
      </c>
      <c r="H6" s="7">
        <f>IF($A6="","",SUMIFS('Per Invoice'!$T$2:$T$401,'Per Invoice'!$B$2:$B$401,$A6))</f>
        <v/>
      </c>
    </row>
    <row r="7">
      <c r="A7" s="6" t="inlineStr">
        <is>
          <t>Grand Total</t>
        </is>
      </c>
      <c r="B7" s="6">
        <f>SUM(B2:B6)</f>
        <v/>
      </c>
      <c r="C7" s="11">
        <f>SUM(C2:C6)</f>
        <v/>
      </c>
      <c r="D7" s="11">
        <f>SUM(D2:D6)</f>
        <v/>
      </c>
      <c r="E7" s="11">
        <f>SUM(E2:E6)</f>
        <v/>
      </c>
      <c r="F7" s="11">
        <f>SUM(F2:F6)</f>
        <v/>
      </c>
      <c r="G7" s="11">
        <f>SUM(G2:G6)</f>
        <v/>
      </c>
      <c r="H7" s="11">
        <f>SUM(H2:H6)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18" customWidth="1" min="3" max="3"/>
    <col width="26" customWidth="1" min="4" max="4"/>
    <col width="13" customWidth="1" min="5" max="5"/>
    <col width="12" customWidth="1" min="6" max="6"/>
    <col width="11" customWidth="1" min="7" max="7"/>
    <col width="12" customWidth="1" min="8" max="8"/>
    <col width="40" customWidth="1" min="9" max="9"/>
    <col width="12" customWidth="1" min="10" max="10"/>
    <col width="12" customWidth="1" min="11" max="11"/>
    <col width="12" customWidth="1" min="12" max="12"/>
    <col width="11" customWidth="1" min="13" max="13"/>
    <col width="11" customWidth="1" min="14" max="14"/>
    <col width="11" customWidth="1" min="15" max="15"/>
    <col width="13" customWidth="1" min="16" max="16"/>
    <col width="12" customWidth="1" min="17" max="17"/>
    <col width="17" customWidth="1" min="18" max="18"/>
    <col width="12" customWidth="1" min="19" max="19"/>
    <col width="11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 ht="32" customHeight="1">
      <c r="A1" s="10" t="inlineStr">
        <is>
          <t>inv</t>
        </is>
      </c>
      <c r="B1" s="12" t="inlineStr">
        <is>
          <t>Pos Reference</t>
        </is>
      </c>
      <c r="C1" s="12" t="inlineStr">
        <is>
          <t>Insurance Company</t>
        </is>
      </c>
      <c r="D1" s="12" t="inlineStr">
        <is>
          <t>Name</t>
        </is>
      </c>
      <c r="E1" s="12" t="inlineStr">
        <is>
          <t>Card Number</t>
        </is>
      </c>
      <c r="F1" s="12" t="inlineStr">
        <is>
          <t>Co Payment %</t>
        </is>
      </c>
      <c r="G1" s="10" t="inlineStr">
        <is>
          <t>Co val</t>
        </is>
      </c>
      <c r="H1" s="12" t="inlineStr">
        <is>
          <t>Heisenberg id</t>
        </is>
      </c>
      <c r="I1" s="12" t="inlineStr">
        <is>
          <t>Product</t>
        </is>
      </c>
      <c r="J1" s="12" t="inlineStr">
        <is>
          <t>Delivered Qty</t>
        </is>
      </c>
      <c r="K1" s="12" t="inlineStr">
        <is>
          <t>Delivered Price</t>
        </is>
      </c>
      <c r="L1" s="12" t="inlineStr">
        <is>
          <t>Total Delivered</t>
        </is>
      </c>
      <c r="M1" s="10" t="inlineStr">
        <is>
          <t>Discount</t>
        </is>
      </c>
      <c r="N1" s="10" t="inlineStr">
        <is>
          <t>Subtotal</t>
        </is>
      </c>
      <c r="O1" s="10" t="inlineStr">
        <is>
          <t>Net</t>
        </is>
      </c>
      <c r="P1" s="12" t="inlineStr">
        <is>
          <t>Payment Type</t>
        </is>
      </c>
      <c r="Q1" s="12" t="inlineStr">
        <is>
          <t>Session</t>
        </is>
      </c>
      <c r="R1" s="12" t="inlineStr">
        <is>
          <t>Create Date</t>
        </is>
      </c>
      <c r="S1" s="12" t="inlineStr">
        <is>
          <t>Product Template - Product Tmpl → Is Local</t>
        </is>
      </c>
      <c r="T1" s="10" t="inlineStr">
        <is>
          <t>Rebates</t>
        </is>
      </c>
      <c r="U1" s="13" t="inlineStr">
        <is>
          <t>Order 1st Row (helper)</t>
        </is>
      </c>
      <c r="V1" s="13" t="inlineStr">
        <is>
          <t>Invoice # (helper)</t>
        </is>
      </c>
      <c r="W1" s="13" t="inlineStr">
        <is>
          <t>Is Local (helper)</t>
        </is>
      </c>
      <c r="X1" s="13" t="inlineStr">
        <is>
          <t>Sort Key (helper)</t>
        </is>
      </c>
    </row>
    <row r="2">
      <c r="A2">
        <f>IF($B2="","",IFERROR(IF(INDEX('Per Invoice'!$C$2:$C$401,MATCH($B2,'Per Invoice'!$A$2:$A$401,0))=0,"",INDEX('Per Invoice'!$C$2:$C$401,MATCH($B2,'Per Invoice'!$A$2:$A$401,0))),""))</f>
        <v/>
      </c>
      <c r="G2" s="7">
        <f>IF($B2="","",F2*L2/100)</f>
        <v/>
      </c>
      <c r="K2" s="7" t="n"/>
      <c r="L2" s="7" t="n"/>
      <c r="M2" s="7">
        <f>IF($B2="","",L2*T2/100)</f>
        <v/>
      </c>
      <c r="N2" s="7">
        <f>IF($B2="","",L2-M2)</f>
        <v/>
      </c>
      <c r="O2" s="7">
        <f>IF($B2="","",N2-G2)</f>
        <v/>
      </c>
      <c r="R2" s="14" t="n"/>
      <c r="T2">
        <f>IF($B2="","",IF($W2=1,Settings!$C$6,Settings!$C$7)*100)</f>
        <v/>
      </c>
      <c r="U2">
        <f>IF($B2="","",IF(COUNTIF($B$2:$B2,$B2)=1,1,0))</f>
        <v/>
      </c>
      <c r="V2">
        <f>IF($U2=1,SUMPRODUCT(--($X$2:$X$1501&lt;$X2))+1,"")</f>
        <v/>
      </c>
      <c r="W2">
        <f>IF($B2="","",IF(OR($S2=TRUE(),$S2="TRUE"),1,0))</f>
        <v/>
      </c>
      <c r="X2">
        <f>IF($U2=1,IFERROR(IF(VALUE($B2)&lt;100000000,VALUE($B2),1000000000),IFERROR(IF(VALUE(MID($B2,2,20))&lt;100000000,VALUE(MID($B2,2,20)),1000000000),1000000000))+ROW()/100000,"")</f>
        <v/>
      </c>
    </row>
    <row r="3">
      <c r="A3">
        <f>IF($B3="","",IFERROR(IF(INDEX('Per Invoice'!$C$2:$C$401,MATCH($B3,'Per Invoice'!$A$2:$A$401,0))=0,"",INDEX('Per Invoice'!$C$2:$C$401,MATCH($B3,'Per Invoice'!$A$2:$A$401,0))),""))</f>
        <v/>
      </c>
      <c r="G3" s="7">
        <f>IF($B3="","",F3*L3/100)</f>
        <v/>
      </c>
      <c r="K3" s="7" t="n"/>
      <c r="L3" s="7" t="n"/>
      <c r="M3" s="7">
        <f>IF($B3="","",L3*T3/100)</f>
        <v/>
      </c>
      <c r="N3" s="7">
        <f>IF($B3="","",L3-M3)</f>
        <v/>
      </c>
      <c r="O3" s="7">
        <f>IF($B3="","",N3-G3)</f>
        <v/>
      </c>
      <c r="R3" s="14" t="n"/>
      <c r="T3">
        <f>IF($B3="","",IF($W3=1,Settings!$C$6,Settings!$C$7)*100)</f>
        <v/>
      </c>
      <c r="U3">
        <f>IF($B3="","",IF(COUNTIF($B$2:$B3,$B3)=1,1,0))</f>
        <v/>
      </c>
      <c r="V3">
        <f>IF($U3=1,SUMPRODUCT(--($X$2:$X$1501&lt;$X3))+1,"")</f>
        <v/>
      </c>
      <c r="W3">
        <f>IF($B3="","",IF(OR($S3=TRUE(),$S3="TRUE"),1,0))</f>
        <v/>
      </c>
      <c r="X3">
        <f>IF($U3=1,IFERROR(IF(VALUE($B3)&lt;100000000,VALUE($B3),1000000000),IFERROR(IF(VALUE(MID($B3,2,20))&lt;100000000,VALUE(MID($B3,2,20)),1000000000),1000000000))+ROW()/100000,"")</f>
        <v/>
      </c>
    </row>
    <row r="4">
      <c r="A4">
        <f>IF($B4="","",IFERROR(IF(INDEX('Per Invoice'!$C$2:$C$401,MATCH($B4,'Per Invoice'!$A$2:$A$401,0))=0,"",INDEX('Per Invoice'!$C$2:$C$401,MATCH($B4,'Per Invoice'!$A$2:$A$401,0))),""))</f>
        <v/>
      </c>
      <c r="G4" s="7">
        <f>IF($B4="","",F4*L4/100)</f>
        <v/>
      </c>
      <c r="K4" s="7" t="n"/>
      <c r="L4" s="7" t="n"/>
      <c r="M4" s="7">
        <f>IF($B4="","",L4*T4/100)</f>
        <v/>
      </c>
      <c r="N4" s="7">
        <f>IF($B4="","",L4-M4)</f>
        <v/>
      </c>
      <c r="O4" s="7">
        <f>IF($B4="","",N4-G4)</f>
        <v/>
      </c>
      <c r="R4" s="14" t="n"/>
      <c r="T4">
        <f>IF($B4="","",IF($W4=1,Settings!$C$6,Settings!$C$7)*100)</f>
        <v/>
      </c>
      <c r="U4">
        <f>IF($B4="","",IF(COUNTIF($B$2:$B4,$B4)=1,1,0))</f>
        <v/>
      </c>
      <c r="V4">
        <f>IF($U4=1,SUMPRODUCT(--($X$2:$X$1501&lt;$X4))+1,"")</f>
        <v/>
      </c>
      <c r="W4">
        <f>IF($B4="","",IF(OR($S4=TRUE(),$S4="TRUE"),1,0))</f>
        <v/>
      </c>
      <c r="X4">
        <f>IF($U4=1,IFERROR(IF(VALUE($B4)&lt;100000000,VALUE($B4),1000000000),IFERROR(IF(VALUE(MID($B4,2,20))&lt;100000000,VALUE(MID($B4,2,20)),1000000000),1000000000))+ROW()/100000,"")</f>
        <v/>
      </c>
    </row>
    <row r="5">
      <c r="A5">
        <f>IF($B5="","",IFERROR(IF(INDEX('Per Invoice'!$C$2:$C$401,MATCH($B5,'Per Invoice'!$A$2:$A$401,0))=0,"",INDEX('Per Invoice'!$C$2:$C$401,MATCH($B5,'Per Invoice'!$A$2:$A$401,0))),""))</f>
        <v/>
      </c>
      <c r="G5" s="7">
        <f>IF($B5="","",F5*L5/100)</f>
        <v/>
      </c>
      <c r="K5" s="7" t="n"/>
      <c r="L5" s="7" t="n"/>
      <c r="M5" s="7">
        <f>IF($B5="","",L5*T5/100)</f>
        <v/>
      </c>
      <c r="N5" s="7">
        <f>IF($B5="","",L5-M5)</f>
        <v/>
      </c>
      <c r="O5" s="7">
        <f>IF($B5="","",N5-G5)</f>
        <v/>
      </c>
      <c r="R5" s="14" t="n"/>
      <c r="T5">
        <f>IF($B5="","",IF($W5=1,Settings!$C$6,Settings!$C$7)*100)</f>
        <v/>
      </c>
      <c r="U5">
        <f>IF($B5="","",IF(COUNTIF($B$2:$B5,$B5)=1,1,0))</f>
        <v/>
      </c>
      <c r="V5">
        <f>IF($U5=1,SUMPRODUCT(--($X$2:$X$1501&lt;$X5))+1,"")</f>
        <v/>
      </c>
      <c r="W5">
        <f>IF($B5="","",IF(OR($S5=TRUE(),$S5="TRUE"),1,0))</f>
        <v/>
      </c>
      <c r="X5">
        <f>IF($U5=1,IFERROR(IF(VALUE($B5)&lt;100000000,VALUE($B5),1000000000),IFERROR(IF(VALUE(MID($B5,2,20))&lt;100000000,VALUE(MID($B5,2,20)),1000000000),1000000000))+ROW()/100000,"")</f>
        <v/>
      </c>
    </row>
    <row r="6">
      <c r="A6">
        <f>IF($B6="","",IFERROR(IF(INDEX('Per Invoice'!$C$2:$C$401,MATCH($B6,'Per Invoice'!$A$2:$A$401,0))=0,"",INDEX('Per Invoice'!$C$2:$C$401,MATCH($B6,'Per Invoice'!$A$2:$A$401,0))),""))</f>
        <v/>
      </c>
      <c r="G6" s="7">
        <f>IF($B6="","",F6*L6/100)</f>
        <v/>
      </c>
      <c r="K6" s="7" t="n"/>
      <c r="L6" s="7" t="n"/>
      <c r="M6" s="7">
        <f>IF($B6="","",L6*T6/100)</f>
        <v/>
      </c>
      <c r="N6" s="7">
        <f>IF($B6="","",L6-M6)</f>
        <v/>
      </c>
      <c r="O6" s="7">
        <f>IF($B6="","",N6-G6)</f>
        <v/>
      </c>
      <c r="R6" s="14" t="n"/>
      <c r="T6">
        <f>IF($B6="","",IF($W6=1,Settings!$C$6,Settings!$C$7)*100)</f>
        <v/>
      </c>
      <c r="U6">
        <f>IF($B6="","",IF(COUNTIF($B$2:$B6,$B6)=1,1,0))</f>
        <v/>
      </c>
      <c r="V6">
        <f>IF($U6=1,SUMPRODUCT(--($X$2:$X$1501&lt;$X6))+1,"")</f>
        <v/>
      </c>
      <c r="W6">
        <f>IF($B6="","",IF(OR($S6=TRUE(),$S6="TRUE"),1,0))</f>
        <v/>
      </c>
      <c r="X6">
        <f>IF($U6=1,IFERROR(IF(VALUE($B6)&lt;100000000,VALUE($B6),1000000000),IFERROR(IF(VALUE(MID($B6,2,20))&lt;100000000,VALUE(MID($B6,2,20)),1000000000),1000000000))+ROW()/100000,"")</f>
        <v/>
      </c>
    </row>
    <row r="7">
      <c r="A7">
        <f>IF($B7="","",IFERROR(IF(INDEX('Per Invoice'!$C$2:$C$401,MATCH($B7,'Per Invoice'!$A$2:$A$401,0))=0,"",INDEX('Per Invoice'!$C$2:$C$401,MATCH($B7,'Per Invoice'!$A$2:$A$401,0))),""))</f>
        <v/>
      </c>
      <c r="G7" s="7">
        <f>IF($B7="","",F7*L7/100)</f>
        <v/>
      </c>
      <c r="K7" s="7" t="n"/>
      <c r="L7" s="7" t="n"/>
      <c r="M7" s="7">
        <f>IF($B7="","",L7*T7/100)</f>
        <v/>
      </c>
      <c r="N7" s="7">
        <f>IF($B7="","",L7-M7)</f>
        <v/>
      </c>
      <c r="O7" s="7">
        <f>IF($B7="","",N7-G7)</f>
        <v/>
      </c>
      <c r="R7" s="14" t="n"/>
      <c r="T7">
        <f>IF($B7="","",IF($W7=1,Settings!$C$6,Settings!$C$7)*100)</f>
        <v/>
      </c>
      <c r="U7">
        <f>IF($B7="","",IF(COUNTIF($B$2:$B7,$B7)=1,1,0))</f>
        <v/>
      </c>
      <c r="V7">
        <f>IF($U7=1,SUMPRODUCT(--($X$2:$X$1501&lt;$X7))+1,"")</f>
        <v/>
      </c>
      <c r="W7">
        <f>IF($B7="","",IF(OR($S7=TRUE(),$S7="TRUE"),1,0))</f>
        <v/>
      </c>
      <c r="X7">
        <f>IF($U7=1,IFERROR(IF(VALUE($B7)&lt;100000000,VALUE($B7),1000000000),IFERROR(IF(VALUE(MID($B7,2,20))&lt;100000000,VALUE(MID($B7,2,20)),1000000000),1000000000))+ROW()/100000,"")</f>
        <v/>
      </c>
    </row>
    <row r="8">
      <c r="A8">
        <f>IF($B8="","",IFERROR(IF(INDEX('Per Invoice'!$C$2:$C$401,MATCH($B8,'Per Invoice'!$A$2:$A$401,0))=0,"",INDEX('Per Invoice'!$C$2:$C$401,MATCH($B8,'Per Invoice'!$A$2:$A$401,0))),""))</f>
        <v/>
      </c>
      <c r="G8" s="7">
        <f>IF($B8="","",F8*L8/100)</f>
        <v/>
      </c>
      <c r="K8" s="7" t="n"/>
      <c r="L8" s="7" t="n"/>
      <c r="M8" s="7">
        <f>IF($B8="","",L8*T8/100)</f>
        <v/>
      </c>
      <c r="N8" s="7">
        <f>IF($B8="","",L8-M8)</f>
        <v/>
      </c>
      <c r="O8" s="7">
        <f>IF($B8="","",N8-G8)</f>
        <v/>
      </c>
      <c r="R8" s="14" t="n"/>
      <c r="T8">
        <f>IF($B8="","",IF($W8=1,Settings!$C$6,Settings!$C$7)*100)</f>
        <v/>
      </c>
      <c r="U8">
        <f>IF($B8="","",IF(COUNTIF($B$2:$B8,$B8)=1,1,0))</f>
        <v/>
      </c>
      <c r="V8">
        <f>IF($U8=1,SUMPRODUCT(--($X$2:$X$1501&lt;$X8))+1,"")</f>
        <v/>
      </c>
      <c r="W8">
        <f>IF($B8="","",IF(OR($S8=TRUE(),$S8="TRUE"),1,0))</f>
        <v/>
      </c>
      <c r="X8">
        <f>IF($U8=1,IFERROR(IF(VALUE($B8)&lt;100000000,VALUE($B8),1000000000),IFERROR(IF(VALUE(MID($B8,2,20))&lt;100000000,VALUE(MID($B8,2,20)),1000000000),1000000000))+ROW()/100000,"")</f>
        <v/>
      </c>
    </row>
    <row r="9">
      <c r="A9">
        <f>IF($B9="","",IFERROR(IF(INDEX('Per Invoice'!$C$2:$C$401,MATCH($B9,'Per Invoice'!$A$2:$A$401,0))=0,"",INDEX('Per Invoice'!$C$2:$C$401,MATCH($B9,'Per Invoice'!$A$2:$A$401,0))),""))</f>
        <v/>
      </c>
      <c r="G9" s="7">
        <f>IF($B9="","",F9*L9/100)</f>
        <v/>
      </c>
      <c r="K9" s="7" t="n"/>
      <c r="L9" s="7" t="n"/>
      <c r="M9" s="7">
        <f>IF($B9="","",L9*T9/100)</f>
        <v/>
      </c>
      <c r="N9" s="7">
        <f>IF($B9="","",L9-M9)</f>
        <v/>
      </c>
      <c r="O9" s="7">
        <f>IF($B9="","",N9-G9)</f>
        <v/>
      </c>
      <c r="R9" s="14" t="n"/>
      <c r="T9">
        <f>IF($B9="","",IF($W9=1,Settings!$C$6,Settings!$C$7)*100)</f>
        <v/>
      </c>
      <c r="U9">
        <f>IF($B9="","",IF(COUNTIF($B$2:$B9,$B9)=1,1,0))</f>
        <v/>
      </c>
      <c r="V9">
        <f>IF($U9=1,SUMPRODUCT(--($X$2:$X$1501&lt;$X9))+1,"")</f>
        <v/>
      </c>
      <c r="W9">
        <f>IF($B9="","",IF(OR($S9=TRUE(),$S9="TRUE"),1,0))</f>
        <v/>
      </c>
      <c r="X9">
        <f>IF($U9=1,IFERROR(IF(VALUE($B9)&lt;100000000,VALUE($B9),1000000000),IFERROR(IF(VALUE(MID($B9,2,20))&lt;100000000,VALUE(MID($B9,2,20)),1000000000),1000000000))+ROW()/100000,"")</f>
        <v/>
      </c>
    </row>
    <row r="10">
      <c r="A10">
        <f>IF($B10="","",IFERROR(IF(INDEX('Per Invoice'!$C$2:$C$401,MATCH($B10,'Per Invoice'!$A$2:$A$401,0))=0,"",INDEX('Per Invoice'!$C$2:$C$401,MATCH($B10,'Per Invoice'!$A$2:$A$401,0))),""))</f>
        <v/>
      </c>
      <c r="G10" s="7">
        <f>IF($B10="","",F10*L10/100)</f>
        <v/>
      </c>
      <c r="K10" s="7" t="n"/>
      <c r="L10" s="7" t="n"/>
      <c r="M10" s="7">
        <f>IF($B10="","",L10*T10/100)</f>
        <v/>
      </c>
      <c r="N10" s="7">
        <f>IF($B10="","",L10-M10)</f>
        <v/>
      </c>
      <c r="O10" s="7">
        <f>IF($B10="","",N10-G10)</f>
        <v/>
      </c>
      <c r="R10" s="14" t="n"/>
      <c r="T10">
        <f>IF($B10="","",IF($W10=1,Settings!$C$6,Settings!$C$7)*100)</f>
        <v/>
      </c>
      <c r="U10">
        <f>IF($B10="","",IF(COUNTIF($B$2:$B10,$B10)=1,1,0))</f>
        <v/>
      </c>
      <c r="V10">
        <f>IF($U10=1,SUMPRODUCT(--($X$2:$X$1501&lt;$X10))+1,"")</f>
        <v/>
      </c>
      <c r="W10">
        <f>IF($B10="","",IF(OR($S10=TRUE(),$S10="TRUE"),1,0))</f>
        <v/>
      </c>
      <c r="X10">
        <f>IF($U10=1,IFERROR(IF(VALUE($B10)&lt;100000000,VALUE($B10),1000000000),IFERROR(IF(VALUE(MID($B10,2,20))&lt;100000000,VALUE(MID($B10,2,20)),1000000000),1000000000))+ROW()/100000,"")</f>
        <v/>
      </c>
    </row>
    <row r="11">
      <c r="A11">
        <f>IF($B11="","",IFERROR(IF(INDEX('Per Invoice'!$C$2:$C$401,MATCH($B11,'Per Invoice'!$A$2:$A$401,0))=0,"",INDEX('Per Invoice'!$C$2:$C$401,MATCH($B11,'Per Invoice'!$A$2:$A$401,0))),""))</f>
        <v/>
      </c>
      <c r="G11" s="7">
        <f>IF($B11="","",F11*L11/100)</f>
        <v/>
      </c>
      <c r="K11" s="7" t="n"/>
      <c r="L11" s="7" t="n"/>
      <c r="M11" s="7">
        <f>IF($B11="","",L11*T11/100)</f>
        <v/>
      </c>
      <c r="N11" s="7">
        <f>IF($B11="","",L11-M11)</f>
        <v/>
      </c>
      <c r="O11" s="7">
        <f>IF($B11="","",N11-G11)</f>
        <v/>
      </c>
      <c r="R11" s="14" t="n"/>
      <c r="T11">
        <f>IF($B11="","",IF($W11=1,Settings!$C$6,Settings!$C$7)*100)</f>
        <v/>
      </c>
      <c r="U11">
        <f>IF($B11="","",IF(COUNTIF($B$2:$B11,$B11)=1,1,0))</f>
        <v/>
      </c>
      <c r="V11">
        <f>IF($U11=1,SUMPRODUCT(--($X$2:$X$1501&lt;$X11))+1,"")</f>
        <v/>
      </c>
      <c r="W11">
        <f>IF($B11="","",IF(OR($S11=TRUE(),$S11="TRUE"),1,0))</f>
        <v/>
      </c>
      <c r="X11">
        <f>IF($U11=1,IFERROR(IF(VALUE($B11)&lt;100000000,VALUE($B11),1000000000),IFERROR(IF(VALUE(MID($B11,2,20))&lt;100000000,VALUE(MID($B11,2,20)),1000000000),1000000000))+ROW()/100000,"")</f>
        <v/>
      </c>
    </row>
    <row r="12">
      <c r="A12">
        <f>IF($B12="","",IFERROR(IF(INDEX('Per Invoice'!$C$2:$C$401,MATCH($B12,'Per Invoice'!$A$2:$A$401,0))=0,"",INDEX('Per Invoice'!$C$2:$C$401,MATCH($B12,'Per Invoice'!$A$2:$A$401,0))),""))</f>
        <v/>
      </c>
      <c r="G12" s="7">
        <f>IF($B12="","",F12*L12/100)</f>
        <v/>
      </c>
      <c r="K12" s="7" t="n"/>
      <c r="L12" s="7" t="n"/>
      <c r="M12" s="7">
        <f>IF($B12="","",L12*T12/100)</f>
        <v/>
      </c>
      <c r="N12" s="7">
        <f>IF($B12="","",L12-M12)</f>
        <v/>
      </c>
      <c r="O12" s="7">
        <f>IF($B12="","",N12-G12)</f>
        <v/>
      </c>
      <c r="R12" s="14" t="n"/>
      <c r="T12">
        <f>IF($B12="","",IF($W12=1,Settings!$C$6,Settings!$C$7)*100)</f>
        <v/>
      </c>
      <c r="U12">
        <f>IF($B12="","",IF(COUNTIF($B$2:$B12,$B12)=1,1,0))</f>
        <v/>
      </c>
      <c r="V12">
        <f>IF($U12=1,SUMPRODUCT(--($X$2:$X$1501&lt;$X12))+1,"")</f>
        <v/>
      </c>
      <c r="W12">
        <f>IF($B12="","",IF(OR($S12=TRUE(),$S12="TRUE"),1,0))</f>
        <v/>
      </c>
      <c r="X12">
        <f>IF($U12=1,IFERROR(IF(VALUE($B12)&lt;100000000,VALUE($B12),1000000000),IFERROR(IF(VALUE(MID($B12,2,20))&lt;100000000,VALUE(MID($B12,2,20)),1000000000),1000000000))+ROW()/100000,"")</f>
        <v/>
      </c>
    </row>
    <row r="13">
      <c r="A13">
        <f>IF($B13="","",IFERROR(IF(INDEX('Per Invoice'!$C$2:$C$401,MATCH($B13,'Per Invoice'!$A$2:$A$401,0))=0,"",INDEX('Per Invoice'!$C$2:$C$401,MATCH($B13,'Per Invoice'!$A$2:$A$401,0))),""))</f>
        <v/>
      </c>
      <c r="G13" s="7">
        <f>IF($B13="","",F13*L13/100)</f>
        <v/>
      </c>
      <c r="K13" s="7" t="n"/>
      <c r="L13" s="7" t="n"/>
      <c r="M13" s="7">
        <f>IF($B13="","",L13*T13/100)</f>
        <v/>
      </c>
      <c r="N13" s="7">
        <f>IF($B13="","",L13-M13)</f>
        <v/>
      </c>
      <c r="O13" s="7">
        <f>IF($B13="","",N13-G13)</f>
        <v/>
      </c>
      <c r="R13" s="14" t="n"/>
      <c r="T13">
        <f>IF($B13="","",IF($W13=1,Settings!$C$6,Settings!$C$7)*100)</f>
        <v/>
      </c>
      <c r="U13">
        <f>IF($B13="","",IF(COUNTIF($B$2:$B13,$B13)=1,1,0))</f>
        <v/>
      </c>
      <c r="V13">
        <f>IF($U13=1,SUMPRODUCT(--($X$2:$X$1501&lt;$X13))+1,"")</f>
        <v/>
      </c>
      <c r="W13">
        <f>IF($B13="","",IF(OR($S13=TRUE(),$S13="TRUE"),1,0))</f>
        <v/>
      </c>
      <c r="X13">
        <f>IF($U13=1,IFERROR(IF(VALUE($B13)&lt;100000000,VALUE($B13),1000000000),IFERROR(IF(VALUE(MID($B13,2,20))&lt;100000000,VALUE(MID($B13,2,20)),1000000000),1000000000))+ROW()/100000,"")</f>
        <v/>
      </c>
    </row>
    <row r="14">
      <c r="A14">
        <f>IF($B14="","",IFERROR(IF(INDEX('Per Invoice'!$C$2:$C$401,MATCH($B14,'Per Invoice'!$A$2:$A$401,0))=0,"",INDEX('Per Invoice'!$C$2:$C$401,MATCH($B14,'Per Invoice'!$A$2:$A$401,0))),""))</f>
        <v/>
      </c>
      <c r="G14" s="7">
        <f>IF($B14="","",F14*L14/100)</f>
        <v/>
      </c>
      <c r="K14" s="7" t="n"/>
      <c r="L14" s="7" t="n"/>
      <c r="M14" s="7">
        <f>IF($B14="","",L14*T14/100)</f>
        <v/>
      </c>
      <c r="N14" s="7">
        <f>IF($B14="","",L14-M14)</f>
        <v/>
      </c>
      <c r="O14" s="7">
        <f>IF($B14="","",N14-G14)</f>
        <v/>
      </c>
      <c r="R14" s="14" t="n"/>
      <c r="T14">
        <f>IF($B14="","",IF($W14=1,Settings!$C$6,Settings!$C$7)*100)</f>
        <v/>
      </c>
      <c r="U14">
        <f>IF($B14="","",IF(COUNTIF($B$2:$B14,$B14)=1,1,0))</f>
        <v/>
      </c>
      <c r="V14">
        <f>IF($U14=1,SUMPRODUCT(--($X$2:$X$1501&lt;$X14))+1,"")</f>
        <v/>
      </c>
      <c r="W14">
        <f>IF($B14="","",IF(OR($S14=TRUE(),$S14="TRUE"),1,0))</f>
        <v/>
      </c>
      <c r="X14">
        <f>IF($U14=1,IFERROR(IF(VALUE($B14)&lt;100000000,VALUE($B14),1000000000),IFERROR(IF(VALUE(MID($B14,2,20))&lt;100000000,VALUE(MID($B14,2,20)),1000000000),1000000000))+ROW()/100000,"")</f>
        <v/>
      </c>
    </row>
    <row r="15">
      <c r="A15">
        <f>IF($B15="","",IFERROR(IF(INDEX('Per Invoice'!$C$2:$C$401,MATCH($B15,'Per Invoice'!$A$2:$A$401,0))=0,"",INDEX('Per Invoice'!$C$2:$C$401,MATCH($B15,'Per Invoice'!$A$2:$A$401,0))),""))</f>
        <v/>
      </c>
      <c r="G15" s="7">
        <f>IF($B15="","",F15*L15/100)</f>
        <v/>
      </c>
      <c r="K15" s="7" t="n"/>
      <c r="L15" s="7" t="n"/>
      <c r="M15" s="7">
        <f>IF($B15="","",L15*T15/100)</f>
        <v/>
      </c>
      <c r="N15" s="7">
        <f>IF($B15="","",L15-M15)</f>
        <v/>
      </c>
      <c r="O15" s="7">
        <f>IF($B15="","",N15-G15)</f>
        <v/>
      </c>
      <c r="R15" s="14" t="n"/>
      <c r="T15">
        <f>IF($B15="","",IF($W15=1,Settings!$C$6,Settings!$C$7)*100)</f>
        <v/>
      </c>
      <c r="U15">
        <f>IF($B15="","",IF(COUNTIF($B$2:$B15,$B15)=1,1,0))</f>
        <v/>
      </c>
      <c r="V15">
        <f>IF($U15=1,SUMPRODUCT(--($X$2:$X$1501&lt;$X15))+1,"")</f>
        <v/>
      </c>
      <c r="W15">
        <f>IF($B15="","",IF(OR($S15=TRUE(),$S15="TRUE"),1,0))</f>
        <v/>
      </c>
      <c r="X15">
        <f>IF($U15=1,IFERROR(IF(VALUE($B15)&lt;100000000,VALUE($B15),1000000000),IFERROR(IF(VALUE(MID($B15,2,20))&lt;100000000,VALUE(MID($B15,2,20)),1000000000),1000000000))+ROW()/100000,"")</f>
        <v/>
      </c>
    </row>
    <row r="16">
      <c r="A16">
        <f>IF($B16="","",IFERROR(IF(INDEX('Per Invoice'!$C$2:$C$401,MATCH($B16,'Per Invoice'!$A$2:$A$401,0))=0,"",INDEX('Per Invoice'!$C$2:$C$401,MATCH($B16,'Per Invoice'!$A$2:$A$401,0))),""))</f>
        <v/>
      </c>
      <c r="G16" s="7">
        <f>IF($B16="","",F16*L16/100)</f>
        <v/>
      </c>
      <c r="K16" s="7" t="n"/>
      <c r="L16" s="7" t="n"/>
      <c r="M16" s="7">
        <f>IF($B16="","",L16*T16/100)</f>
        <v/>
      </c>
      <c r="N16" s="7">
        <f>IF($B16="","",L16-M16)</f>
        <v/>
      </c>
      <c r="O16" s="7">
        <f>IF($B16="","",N16-G16)</f>
        <v/>
      </c>
      <c r="R16" s="14" t="n"/>
      <c r="T16">
        <f>IF($B16="","",IF($W16=1,Settings!$C$6,Settings!$C$7)*100)</f>
        <v/>
      </c>
      <c r="U16">
        <f>IF($B16="","",IF(COUNTIF($B$2:$B16,$B16)=1,1,0))</f>
        <v/>
      </c>
      <c r="V16">
        <f>IF($U16=1,SUMPRODUCT(--($X$2:$X$1501&lt;$X16))+1,"")</f>
        <v/>
      </c>
      <c r="W16">
        <f>IF($B16="","",IF(OR($S16=TRUE(),$S16="TRUE"),1,0))</f>
        <v/>
      </c>
      <c r="X16">
        <f>IF($U16=1,IFERROR(IF(VALUE($B16)&lt;100000000,VALUE($B16),1000000000),IFERROR(IF(VALUE(MID($B16,2,20))&lt;100000000,VALUE(MID($B16,2,20)),1000000000),1000000000))+ROW()/100000,"")</f>
        <v/>
      </c>
    </row>
    <row r="17">
      <c r="A17">
        <f>IF($B17="","",IFERROR(IF(INDEX('Per Invoice'!$C$2:$C$401,MATCH($B17,'Per Invoice'!$A$2:$A$401,0))=0,"",INDEX('Per Invoice'!$C$2:$C$401,MATCH($B17,'Per Invoice'!$A$2:$A$401,0))),""))</f>
        <v/>
      </c>
      <c r="G17" s="7">
        <f>IF($B17="","",F17*L17/100)</f>
        <v/>
      </c>
      <c r="K17" s="7" t="n"/>
      <c r="L17" s="7" t="n"/>
      <c r="M17" s="7">
        <f>IF($B17="","",L17*T17/100)</f>
        <v/>
      </c>
      <c r="N17" s="7">
        <f>IF($B17="","",L17-M17)</f>
        <v/>
      </c>
      <c r="O17" s="7">
        <f>IF($B17="","",N17-G17)</f>
        <v/>
      </c>
      <c r="R17" s="14" t="n"/>
      <c r="T17">
        <f>IF($B17="","",IF($W17=1,Settings!$C$6,Settings!$C$7)*100)</f>
        <v/>
      </c>
      <c r="U17">
        <f>IF($B17="","",IF(COUNTIF($B$2:$B17,$B17)=1,1,0))</f>
        <v/>
      </c>
      <c r="V17">
        <f>IF($U17=1,SUMPRODUCT(--($X$2:$X$1501&lt;$X17))+1,"")</f>
        <v/>
      </c>
      <c r="W17">
        <f>IF($B17="","",IF(OR($S17=TRUE(),$S17="TRUE"),1,0))</f>
        <v/>
      </c>
      <c r="X17">
        <f>IF($U17=1,IFERROR(IF(VALUE($B17)&lt;100000000,VALUE($B17),1000000000),IFERROR(IF(VALUE(MID($B17,2,20))&lt;100000000,VALUE(MID($B17,2,20)),1000000000),1000000000))+ROW()/100000,"")</f>
        <v/>
      </c>
    </row>
    <row r="18">
      <c r="A18">
        <f>IF($B18="","",IFERROR(IF(INDEX('Per Invoice'!$C$2:$C$401,MATCH($B18,'Per Invoice'!$A$2:$A$401,0))=0,"",INDEX('Per Invoice'!$C$2:$C$401,MATCH($B18,'Per Invoice'!$A$2:$A$401,0))),""))</f>
        <v/>
      </c>
      <c r="G18" s="7">
        <f>IF($B18="","",F18*L18/100)</f>
        <v/>
      </c>
      <c r="K18" s="7" t="n"/>
      <c r="L18" s="7" t="n"/>
      <c r="M18" s="7">
        <f>IF($B18="","",L18*T18/100)</f>
        <v/>
      </c>
      <c r="N18" s="7">
        <f>IF($B18="","",L18-M18)</f>
        <v/>
      </c>
      <c r="O18" s="7">
        <f>IF($B18="","",N18-G18)</f>
        <v/>
      </c>
      <c r="R18" s="14" t="n"/>
      <c r="T18">
        <f>IF($B18="","",IF($W18=1,Settings!$C$6,Settings!$C$7)*100)</f>
        <v/>
      </c>
      <c r="U18">
        <f>IF($B18="","",IF(COUNTIF($B$2:$B18,$B18)=1,1,0))</f>
        <v/>
      </c>
      <c r="V18">
        <f>IF($U18=1,SUMPRODUCT(--($X$2:$X$1501&lt;$X18))+1,"")</f>
        <v/>
      </c>
      <c r="W18">
        <f>IF($B18="","",IF(OR($S18=TRUE(),$S18="TRUE"),1,0))</f>
        <v/>
      </c>
      <c r="X18">
        <f>IF($U18=1,IFERROR(IF(VALUE($B18)&lt;100000000,VALUE($B18),1000000000),IFERROR(IF(VALUE(MID($B18,2,20))&lt;100000000,VALUE(MID($B18,2,20)),1000000000),1000000000))+ROW()/100000,"")</f>
        <v/>
      </c>
    </row>
    <row r="19">
      <c r="A19">
        <f>IF($B19="","",IFERROR(IF(INDEX('Per Invoice'!$C$2:$C$401,MATCH($B19,'Per Invoice'!$A$2:$A$401,0))=0,"",INDEX('Per Invoice'!$C$2:$C$401,MATCH($B19,'Per Invoice'!$A$2:$A$401,0))),""))</f>
        <v/>
      </c>
      <c r="G19" s="7">
        <f>IF($B19="","",F19*L19/100)</f>
        <v/>
      </c>
      <c r="K19" s="7" t="n"/>
      <c r="L19" s="7" t="n"/>
      <c r="M19" s="7">
        <f>IF($B19="","",L19*T19/100)</f>
        <v/>
      </c>
      <c r="N19" s="7">
        <f>IF($B19="","",L19-M19)</f>
        <v/>
      </c>
      <c r="O19" s="7">
        <f>IF($B19="","",N19-G19)</f>
        <v/>
      </c>
      <c r="R19" s="14" t="n"/>
      <c r="T19">
        <f>IF($B19="","",IF($W19=1,Settings!$C$6,Settings!$C$7)*100)</f>
        <v/>
      </c>
      <c r="U19">
        <f>IF($B19="","",IF(COUNTIF($B$2:$B19,$B19)=1,1,0))</f>
        <v/>
      </c>
      <c r="V19">
        <f>IF($U19=1,SUMPRODUCT(--($X$2:$X$1501&lt;$X19))+1,"")</f>
        <v/>
      </c>
      <c r="W19">
        <f>IF($B19="","",IF(OR($S19=TRUE(),$S19="TRUE"),1,0))</f>
        <v/>
      </c>
      <c r="X19">
        <f>IF($U19=1,IFERROR(IF(VALUE($B19)&lt;100000000,VALUE($B19),1000000000),IFERROR(IF(VALUE(MID($B19,2,20))&lt;100000000,VALUE(MID($B19,2,20)),1000000000),1000000000))+ROW()/100000,"")</f>
        <v/>
      </c>
    </row>
    <row r="20">
      <c r="A20">
        <f>IF($B20="","",IFERROR(IF(INDEX('Per Invoice'!$C$2:$C$401,MATCH($B20,'Per Invoice'!$A$2:$A$401,0))=0,"",INDEX('Per Invoice'!$C$2:$C$401,MATCH($B20,'Per Invoice'!$A$2:$A$401,0))),""))</f>
        <v/>
      </c>
      <c r="G20" s="7">
        <f>IF($B20="","",F20*L20/100)</f>
        <v/>
      </c>
      <c r="K20" s="7" t="n"/>
      <c r="L20" s="7" t="n"/>
      <c r="M20" s="7">
        <f>IF($B20="","",L20*T20/100)</f>
        <v/>
      </c>
      <c r="N20" s="7">
        <f>IF($B20="","",L20-M20)</f>
        <v/>
      </c>
      <c r="O20" s="7">
        <f>IF($B20="","",N20-G20)</f>
        <v/>
      </c>
      <c r="R20" s="14" t="n"/>
      <c r="T20">
        <f>IF($B20="","",IF($W20=1,Settings!$C$6,Settings!$C$7)*100)</f>
        <v/>
      </c>
      <c r="U20">
        <f>IF($B20="","",IF(COUNTIF($B$2:$B20,$B20)=1,1,0))</f>
        <v/>
      </c>
      <c r="V20">
        <f>IF($U20=1,SUMPRODUCT(--($X$2:$X$1501&lt;$X20))+1,"")</f>
        <v/>
      </c>
      <c r="W20">
        <f>IF($B20="","",IF(OR($S20=TRUE(),$S20="TRUE"),1,0))</f>
        <v/>
      </c>
      <c r="X20">
        <f>IF($U20=1,IFERROR(IF(VALUE($B20)&lt;100000000,VALUE($B20),1000000000),IFERROR(IF(VALUE(MID($B20,2,20))&lt;100000000,VALUE(MID($B20,2,20)),1000000000),1000000000))+ROW()/100000,"")</f>
        <v/>
      </c>
    </row>
    <row r="21">
      <c r="A21">
        <f>IF($B21="","",IFERROR(IF(INDEX('Per Invoice'!$C$2:$C$401,MATCH($B21,'Per Invoice'!$A$2:$A$401,0))=0,"",INDEX('Per Invoice'!$C$2:$C$401,MATCH($B21,'Per Invoice'!$A$2:$A$401,0))),""))</f>
        <v/>
      </c>
      <c r="G21" s="7">
        <f>IF($B21="","",F21*L21/100)</f>
        <v/>
      </c>
      <c r="K21" s="7" t="n"/>
      <c r="L21" s="7" t="n"/>
      <c r="M21" s="7">
        <f>IF($B21="","",L21*T21/100)</f>
        <v/>
      </c>
      <c r="N21" s="7">
        <f>IF($B21="","",L21-M21)</f>
        <v/>
      </c>
      <c r="O21" s="7">
        <f>IF($B21="","",N21-G21)</f>
        <v/>
      </c>
      <c r="R21" s="14" t="n"/>
      <c r="T21">
        <f>IF($B21="","",IF($W21=1,Settings!$C$6,Settings!$C$7)*100)</f>
        <v/>
      </c>
      <c r="U21">
        <f>IF($B21="","",IF(COUNTIF($B$2:$B21,$B21)=1,1,0))</f>
        <v/>
      </c>
      <c r="V21">
        <f>IF($U21=1,SUMPRODUCT(--($X$2:$X$1501&lt;$X21))+1,"")</f>
        <v/>
      </c>
      <c r="W21">
        <f>IF($B21="","",IF(OR($S21=TRUE(),$S21="TRUE"),1,0))</f>
        <v/>
      </c>
      <c r="X21">
        <f>IF($U21=1,IFERROR(IF(VALUE($B21)&lt;100000000,VALUE($B21),1000000000),IFERROR(IF(VALUE(MID($B21,2,20))&lt;100000000,VALUE(MID($B21,2,20)),1000000000),1000000000))+ROW()/100000,"")</f>
        <v/>
      </c>
    </row>
    <row r="22">
      <c r="A22">
        <f>IF($B22="","",IFERROR(IF(INDEX('Per Invoice'!$C$2:$C$401,MATCH($B22,'Per Invoice'!$A$2:$A$401,0))=0,"",INDEX('Per Invoice'!$C$2:$C$401,MATCH($B22,'Per Invoice'!$A$2:$A$401,0))),""))</f>
        <v/>
      </c>
      <c r="G22" s="7">
        <f>IF($B22="","",F22*L22/100)</f>
        <v/>
      </c>
      <c r="K22" s="7" t="n"/>
      <c r="L22" s="7" t="n"/>
      <c r="M22" s="7">
        <f>IF($B22="","",L22*T22/100)</f>
        <v/>
      </c>
      <c r="N22" s="7">
        <f>IF($B22="","",L22-M22)</f>
        <v/>
      </c>
      <c r="O22" s="7">
        <f>IF($B22="","",N22-G22)</f>
        <v/>
      </c>
      <c r="R22" s="14" t="n"/>
      <c r="T22">
        <f>IF($B22="","",IF($W22=1,Settings!$C$6,Settings!$C$7)*100)</f>
        <v/>
      </c>
      <c r="U22">
        <f>IF($B22="","",IF(COUNTIF($B$2:$B22,$B22)=1,1,0))</f>
        <v/>
      </c>
      <c r="V22">
        <f>IF($U22=1,SUMPRODUCT(--($X$2:$X$1501&lt;$X22))+1,"")</f>
        <v/>
      </c>
      <c r="W22">
        <f>IF($B22="","",IF(OR($S22=TRUE(),$S22="TRUE"),1,0))</f>
        <v/>
      </c>
      <c r="X22">
        <f>IF($U22=1,IFERROR(IF(VALUE($B22)&lt;100000000,VALUE($B22),1000000000),IFERROR(IF(VALUE(MID($B22,2,20))&lt;100000000,VALUE(MID($B22,2,20)),1000000000),1000000000))+ROW()/100000,"")</f>
        <v/>
      </c>
    </row>
    <row r="23">
      <c r="A23">
        <f>IF($B23="","",IFERROR(IF(INDEX('Per Invoice'!$C$2:$C$401,MATCH($B23,'Per Invoice'!$A$2:$A$401,0))=0,"",INDEX('Per Invoice'!$C$2:$C$401,MATCH($B23,'Per Invoice'!$A$2:$A$401,0))),""))</f>
        <v/>
      </c>
      <c r="G23" s="7">
        <f>IF($B23="","",F23*L23/100)</f>
        <v/>
      </c>
      <c r="K23" s="7" t="n"/>
      <c r="L23" s="7" t="n"/>
      <c r="M23" s="7">
        <f>IF($B23="","",L23*T23/100)</f>
        <v/>
      </c>
      <c r="N23" s="7">
        <f>IF($B23="","",L23-M23)</f>
        <v/>
      </c>
      <c r="O23" s="7">
        <f>IF($B23="","",N23-G23)</f>
        <v/>
      </c>
      <c r="R23" s="14" t="n"/>
      <c r="T23">
        <f>IF($B23="","",IF($W23=1,Settings!$C$6,Settings!$C$7)*100)</f>
        <v/>
      </c>
      <c r="U23">
        <f>IF($B23="","",IF(COUNTIF($B$2:$B23,$B23)=1,1,0))</f>
        <v/>
      </c>
      <c r="V23">
        <f>IF($U23=1,SUMPRODUCT(--($X$2:$X$1501&lt;$X23))+1,"")</f>
        <v/>
      </c>
      <c r="W23">
        <f>IF($B23="","",IF(OR($S23=TRUE(),$S23="TRUE"),1,0))</f>
        <v/>
      </c>
      <c r="X23">
        <f>IF($U23=1,IFERROR(IF(VALUE($B23)&lt;100000000,VALUE($B23),1000000000),IFERROR(IF(VALUE(MID($B23,2,20))&lt;100000000,VALUE(MID($B23,2,20)),1000000000),1000000000))+ROW()/100000,"")</f>
        <v/>
      </c>
    </row>
    <row r="24">
      <c r="A24">
        <f>IF($B24="","",IFERROR(IF(INDEX('Per Invoice'!$C$2:$C$401,MATCH($B24,'Per Invoice'!$A$2:$A$401,0))=0,"",INDEX('Per Invoice'!$C$2:$C$401,MATCH($B24,'Per Invoice'!$A$2:$A$401,0))),""))</f>
        <v/>
      </c>
      <c r="G24" s="7">
        <f>IF($B24="","",F24*L24/100)</f>
        <v/>
      </c>
      <c r="K24" s="7" t="n"/>
      <c r="L24" s="7" t="n"/>
      <c r="M24" s="7">
        <f>IF($B24="","",L24*T24/100)</f>
        <v/>
      </c>
      <c r="N24" s="7">
        <f>IF($B24="","",L24-M24)</f>
        <v/>
      </c>
      <c r="O24" s="7">
        <f>IF($B24="","",N24-G24)</f>
        <v/>
      </c>
      <c r="R24" s="14" t="n"/>
      <c r="T24">
        <f>IF($B24="","",IF($W24=1,Settings!$C$6,Settings!$C$7)*100)</f>
        <v/>
      </c>
      <c r="U24">
        <f>IF($B24="","",IF(COUNTIF($B$2:$B24,$B24)=1,1,0))</f>
        <v/>
      </c>
      <c r="V24">
        <f>IF($U24=1,SUMPRODUCT(--($X$2:$X$1501&lt;$X24))+1,"")</f>
        <v/>
      </c>
      <c r="W24">
        <f>IF($B24="","",IF(OR($S24=TRUE(),$S24="TRUE"),1,0))</f>
        <v/>
      </c>
      <c r="X24">
        <f>IF($U24=1,IFERROR(IF(VALUE($B24)&lt;100000000,VALUE($B24),1000000000),IFERROR(IF(VALUE(MID($B24,2,20))&lt;100000000,VALUE(MID($B24,2,20)),1000000000),1000000000))+ROW()/100000,"")</f>
        <v/>
      </c>
    </row>
    <row r="25">
      <c r="A25">
        <f>IF($B25="","",IFERROR(IF(INDEX('Per Invoice'!$C$2:$C$401,MATCH($B25,'Per Invoice'!$A$2:$A$401,0))=0,"",INDEX('Per Invoice'!$C$2:$C$401,MATCH($B25,'Per Invoice'!$A$2:$A$401,0))),""))</f>
        <v/>
      </c>
      <c r="G25" s="7">
        <f>IF($B25="","",F25*L25/100)</f>
        <v/>
      </c>
      <c r="K25" s="7" t="n"/>
      <c r="L25" s="7" t="n"/>
      <c r="M25" s="7">
        <f>IF($B25="","",L25*T25/100)</f>
        <v/>
      </c>
      <c r="N25" s="7">
        <f>IF($B25="","",L25-M25)</f>
        <v/>
      </c>
      <c r="O25" s="7">
        <f>IF($B25="","",N25-G25)</f>
        <v/>
      </c>
      <c r="R25" s="14" t="n"/>
      <c r="T25">
        <f>IF($B25="","",IF($W25=1,Settings!$C$6,Settings!$C$7)*100)</f>
        <v/>
      </c>
      <c r="U25">
        <f>IF($B25="","",IF(COUNTIF($B$2:$B25,$B25)=1,1,0))</f>
        <v/>
      </c>
      <c r="V25">
        <f>IF($U25=1,SUMPRODUCT(--($X$2:$X$1501&lt;$X25))+1,"")</f>
        <v/>
      </c>
      <c r="W25">
        <f>IF($B25="","",IF(OR($S25=TRUE(),$S25="TRUE"),1,0))</f>
        <v/>
      </c>
      <c r="X25">
        <f>IF($U25=1,IFERROR(IF(VALUE($B25)&lt;100000000,VALUE($B25),1000000000),IFERROR(IF(VALUE(MID($B25,2,20))&lt;100000000,VALUE(MID($B25,2,20)),1000000000),1000000000))+ROW()/100000,"")</f>
        <v/>
      </c>
    </row>
    <row r="26">
      <c r="A26">
        <f>IF($B26="","",IFERROR(IF(INDEX('Per Invoice'!$C$2:$C$401,MATCH($B26,'Per Invoice'!$A$2:$A$401,0))=0,"",INDEX('Per Invoice'!$C$2:$C$401,MATCH($B26,'Per Invoice'!$A$2:$A$401,0))),""))</f>
        <v/>
      </c>
      <c r="G26" s="7">
        <f>IF($B26="","",F26*L26/100)</f>
        <v/>
      </c>
      <c r="K26" s="7" t="n"/>
      <c r="L26" s="7" t="n"/>
      <c r="M26" s="7">
        <f>IF($B26="","",L26*T26/100)</f>
        <v/>
      </c>
      <c r="N26" s="7">
        <f>IF($B26="","",L26-M26)</f>
        <v/>
      </c>
      <c r="O26" s="7">
        <f>IF($B26="","",N26-G26)</f>
        <v/>
      </c>
      <c r="R26" s="14" t="n"/>
      <c r="T26">
        <f>IF($B26="","",IF($W26=1,Settings!$C$6,Settings!$C$7)*100)</f>
        <v/>
      </c>
      <c r="U26">
        <f>IF($B26="","",IF(COUNTIF($B$2:$B26,$B26)=1,1,0))</f>
        <v/>
      </c>
      <c r="V26">
        <f>IF($U26=1,SUMPRODUCT(--($X$2:$X$1501&lt;$X26))+1,"")</f>
        <v/>
      </c>
      <c r="W26">
        <f>IF($B26="","",IF(OR($S26=TRUE(),$S26="TRUE"),1,0))</f>
        <v/>
      </c>
      <c r="X26">
        <f>IF($U26=1,IFERROR(IF(VALUE($B26)&lt;100000000,VALUE($B26),1000000000),IFERROR(IF(VALUE(MID($B26,2,20))&lt;100000000,VALUE(MID($B26,2,20)),1000000000),1000000000))+ROW()/100000,"")</f>
        <v/>
      </c>
    </row>
    <row r="27">
      <c r="A27">
        <f>IF($B27="","",IFERROR(IF(INDEX('Per Invoice'!$C$2:$C$401,MATCH($B27,'Per Invoice'!$A$2:$A$401,0))=0,"",INDEX('Per Invoice'!$C$2:$C$401,MATCH($B27,'Per Invoice'!$A$2:$A$401,0))),""))</f>
        <v/>
      </c>
      <c r="G27" s="7">
        <f>IF($B27="","",F27*L27/100)</f>
        <v/>
      </c>
      <c r="K27" s="7" t="n"/>
      <c r="L27" s="7" t="n"/>
      <c r="M27" s="7">
        <f>IF($B27="","",L27*T27/100)</f>
        <v/>
      </c>
      <c r="N27" s="7">
        <f>IF($B27="","",L27-M27)</f>
        <v/>
      </c>
      <c r="O27" s="7">
        <f>IF($B27="","",N27-G27)</f>
        <v/>
      </c>
      <c r="R27" s="14" t="n"/>
      <c r="T27">
        <f>IF($B27="","",IF($W27=1,Settings!$C$6,Settings!$C$7)*100)</f>
        <v/>
      </c>
      <c r="U27">
        <f>IF($B27="","",IF(COUNTIF($B$2:$B27,$B27)=1,1,0))</f>
        <v/>
      </c>
      <c r="V27">
        <f>IF($U27=1,SUMPRODUCT(--($X$2:$X$1501&lt;$X27))+1,"")</f>
        <v/>
      </c>
      <c r="W27">
        <f>IF($B27="","",IF(OR($S27=TRUE(),$S27="TRUE"),1,0))</f>
        <v/>
      </c>
      <c r="X27">
        <f>IF($U27=1,IFERROR(IF(VALUE($B27)&lt;100000000,VALUE($B27),1000000000),IFERROR(IF(VALUE(MID($B27,2,20))&lt;100000000,VALUE(MID($B27,2,20)),1000000000),1000000000))+ROW()/100000,"")</f>
        <v/>
      </c>
    </row>
    <row r="28">
      <c r="A28">
        <f>IF($B28="","",IFERROR(IF(INDEX('Per Invoice'!$C$2:$C$401,MATCH($B28,'Per Invoice'!$A$2:$A$401,0))=0,"",INDEX('Per Invoice'!$C$2:$C$401,MATCH($B28,'Per Invoice'!$A$2:$A$401,0))),""))</f>
        <v/>
      </c>
      <c r="G28" s="7">
        <f>IF($B28="","",F28*L28/100)</f>
        <v/>
      </c>
      <c r="K28" s="7" t="n"/>
      <c r="L28" s="7" t="n"/>
      <c r="M28" s="7">
        <f>IF($B28="","",L28*T28/100)</f>
        <v/>
      </c>
      <c r="N28" s="7">
        <f>IF($B28="","",L28-M28)</f>
        <v/>
      </c>
      <c r="O28" s="7">
        <f>IF($B28="","",N28-G28)</f>
        <v/>
      </c>
      <c r="R28" s="14" t="n"/>
      <c r="T28">
        <f>IF($B28="","",IF($W28=1,Settings!$C$6,Settings!$C$7)*100)</f>
        <v/>
      </c>
      <c r="U28">
        <f>IF($B28="","",IF(COUNTIF($B$2:$B28,$B28)=1,1,0))</f>
        <v/>
      </c>
      <c r="V28">
        <f>IF($U28=1,SUMPRODUCT(--($X$2:$X$1501&lt;$X28))+1,"")</f>
        <v/>
      </c>
      <c r="W28">
        <f>IF($B28="","",IF(OR($S28=TRUE(),$S28="TRUE"),1,0))</f>
        <v/>
      </c>
      <c r="X28">
        <f>IF($U28=1,IFERROR(IF(VALUE($B28)&lt;100000000,VALUE($B28),1000000000),IFERROR(IF(VALUE(MID($B28,2,20))&lt;100000000,VALUE(MID($B28,2,20)),1000000000),1000000000))+ROW()/100000,"")</f>
        <v/>
      </c>
    </row>
    <row r="29">
      <c r="A29">
        <f>IF($B29="","",IFERROR(IF(INDEX('Per Invoice'!$C$2:$C$401,MATCH($B29,'Per Invoice'!$A$2:$A$401,0))=0,"",INDEX('Per Invoice'!$C$2:$C$401,MATCH($B29,'Per Invoice'!$A$2:$A$401,0))),""))</f>
        <v/>
      </c>
      <c r="G29" s="7">
        <f>IF($B29="","",F29*L29/100)</f>
        <v/>
      </c>
      <c r="K29" s="7" t="n"/>
      <c r="L29" s="7" t="n"/>
      <c r="M29" s="7">
        <f>IF($B29="","",L29*T29/100)</f>
        <v/>
      </c>
      <c r="N29" s="7">
        <f>IF($B29="","",L29-M29)</f>
        <v/>
      </c>
      <c r="O29" s="7">
        <f>IF($B29="","",N29-G29)</f>
        <v/>
      </c>
      <c r="R29" s="14" t="n"/>
      <c r="T29">
        <f>IF($B29="","",IF($W29=1,Settings!$C$6,Settings!$C$7)*100)</f>
        <v/>
      </c>
      <c r="U29">
        <f>IF($B29="","",IF(COUNTIF($B$2:$B29,$B29)=1,1,0))</f>
        <v/>
      </c>
      <c r="V29">
        <f>IF($U29=1,SUMPRODUCT(--($X$2:$X$1501&lt;$X29))+1,"")</f>
        <v/>
      </c>
      <c r="W29">
        <f>IF($B29="","",IF(OR($S29=TRUE(),$S29="TRUE"),1,0))</f>
        <v/>
      </c>
      <c r="X29">
        <f>IF($U29=1,IFERROR(IF(VALUE($B29)&lt;100000000,VALUE($B29),1000000000),IFERROR(IF(VALUE(MID($B29,2,20))&lt;100000000,VALUE(MID($B29,2,20)),1000000000),1000000000))+ROW()/100000,"")</f>
        <v/>
      </c>
    </row>
    <row r="30">
      <c r="A30">
        <f>IF($B30="","",IFERROR(IF(INDEX('Per Invoice'!$C$2:$C$401,MATCH($B30,'Per Invoice'!$A$2:$A$401,0))=0,"",INDEX('Per Invoice'!$C$2:$C$401,MATCH($B30,'Per Invoice'!$A$2:$A$401,0))),""))</f>
        <v/>
      </c>
      <c r="G30" s="7">
        <f>IF($B30="","",F30*L30/100)</f>
        <v/>
      </c>
      <c r="K30" s="7" t="n"/>
      <c r="L30" s="7" t="n"/>
      <c r="M30" s="7">
        <f>IF($B30="","",L30*T30/100)</f>
        <v/>
      </c>
      <c r="N30" s="7">
        <f>IF($B30="","",L30-M30)</f>
        <v/>
      </c>
      <c r="O30" s="7">
        <f>IF($B30="","",N30-G30)</f>
        <v/>
      </c>
      <c r="R30" s="14" t="n"/>
      <c r="T30">
        <f>IF($B30="","",IF($W30=1,Settings!$C$6,Settings!$C$7)*100)</f>
        <v/>
      </c>
      <c r="U30">
        <f>IF($B30="","",IF(COUNTIF($B$2:$B30,$B30)=1,1,0))</f>
        <v/>
      </c>
      <c r="V30">
        <f>IF($U30=1,SUMPRODUCT(--($X$2:$X$1501&lt;$X30))+1,"")</f>
        <v/>
      </c>
      <c r="W30">
        <f>IF($B30="","",IF(OR($S30=TRUE(),$S30="TRUE"),1,0))</f>
        <v/>
      </c>
      <c r="X30">
        <f>IF($U30=1,IFERROR(IF(VALUE($B30)&lt;100000000,VALUE($B30),1000000000),IFERROR(IF(VALUE(MID($B30,2,20))&lt;100000000,VALUE(MID($B30,2,20)),1000000000),1000000000))+ROW()/100000,"")</f>
        <v/>
      </c>
    </row>
    <row r="31">
      <c r="A31">
        <f>IF($B31="","",IFERROR(IF(INDEX('Per Invoice'!$C$2:$C$401,MATCH($B31,'Per Invoice'!$A$2:$A$401,0))=0,"",INDEX('Per Invoice'!$C$2:$C$401,MATCH($B31,'Per Invoice'!$A$2:$A$401,0))),""))</f>
        <v/>
      </c>
      <c r="G31" s="7">
        <f>IF($B31="","",F31*L31/100)</f>
        <v/>
      </c>
      <c r="K31" s="7" t="n"/>
      <c r="L31" s="7" t="n"/>
      <c r="M31" s="7">
        <f>IF($B31="","",L31*T31/100)</f>
        <v/>
      </c>
      <c r="N31" s="7">
        <f>IF($B31="","",L31-M31)</f>
        <v/>
      </c>
      <c r="O31" s="7">
        <f>IF($B31="","",N31-G31)</f>
        <v/>
      </c>
      <c r="R31" s="14" t="n"/>
      <c r="T31">
        <f>IF($B31="","",IF($W31=1,Settings!$C$6,Settings!$C$7)*100)</f>
        <v/>
      </c>
      <c r="U31">
        <f>IF($B31="","",IF(COUNTIF($B$2:$B31,$B31)=1,1,0))</f>
        <v/>
      </c>
      <c r="V31">
        <f>IF($U31=1,SUMPRODUCT(--($X$2:$X$1501&lt;$X31))+1,"")</f>
        <v/>
      </c>
      <c r="W31">
        <f>IF($B31="","",IF(OR($S31=TRUE(),$S31="TRUE"),1,0))</f>
        <v/>
      </c>
      <c r="X31">
        <f>IF($U31=1,IFERROR(IF(VALUE($B31)&lt;100000000,VALUE($B31),1000000000),IFERROR(IF(VALUE(MID($B31,2,20))&lt;100000000,VALUE(MID($B31,2,20)),1000000000),1000000000))+ROW()/100000,"")</f>
        <v/>
      </c>
    </row>
    <row r="32">
      <c r="A32">
        <f>IF($B32="","",IFERROR(IF(INDEX('Per Invoice'!$C$2:$C$401,MATCH($B32,'Per Invoice'!$A$2:$A$401,0))=0,"",INDEX('Per Invoice'!$C$2:$C$401,MATCH($B32,'Per Invoice'!$A$2:$A$401,0))),""))</f>
        <v/>
      </c>
      <c r="G32" s="7">
        <f>IF($B32="","",F32*L32/100)</f>
        <v/>
      </c>
      <c r="K32" s="7" t="n"/>
      <c r="L32" s="7" t="n"/>
      <c r="M32" s="7">
        <f>IF($B32="","",L32*T32/100)</f>
        <v/>
      </c>
      <c r="N32" s="7">
        <f>IF($B32="","",L32-M32)</f>
        <v/>
      </c>
      <c r="O32" s="7">
        <f>IF($B32="","",N32-G32)</f>
        <v/>
      </c>
      <c r="R32" s="14" t="n"/>
      <c r="T32">
        <f>IF($B32="","",IF($W32=1,Settings!$C$6,Settings!$C$7)*100)</f>
        <v/>
      </c>
      <c r="U32">
        <f>IF($B32="","",IF(COUNTIF($B$2:$B32,$B32)=1,1,0))</f>
        <v/>
      </c>
      <c r="V32">
        <f>IF($U32=1,SUMPRODUCT(--($X$2:$X$1501&lt;$X32))+1,"")</f>
        <v/>
      </c>
      <c r="W32">
        <f>IF($B32="","",IF(OR($S32=TRUE(),$S32="TRUE"),1,0))</f>
        <v/>
      </c>
      <c r="X32">
        <f>IF($U32=1,IFERROR(IF(VALUE($B32)&lt;100000000,VALUE($B32),1000000000),IFERROR(IF(VALUE(MID($B32,2,20))&lt;100000000,VALUE(MID($B32,2,20)),1000000000),1000000000))+ROW()/100000,"")</f>
        <v/>
      </c>
    </row>
    <row r="33">
      <c r="A33">
        <f>IF($B33="","",IFERROR(IF(INDEX('Per Invoice'!$C$2:$C$401,MATCH($B33,'Per Invoice'!$A$2:$A$401,0))=0,"",INDEX('Per Invoice'!$C$2:$C$401,MATCH($B33,'Per Invoice'!$A$2:$A$401,0))),""))</f>
        <v/>
      </c>
      <c r="G33" s="7">
        <f>IF($B33="","",F33*L33/100)</f>
        <v/>
      </c>
      <c r="K33" s="7" t="n"/>
      <c r="L33" s="7" t="n"/>
      <c r="M33" s="7">
        <f>IF($B33="","",L33*T33/100)</f>
        <v/>
      </c>
      <c r="N33" s="7">
        <f>IF($B33="","",L33-M33)</f>
        <v/>
      </c>
      <c r="O33" s="7">
        <f>IF($B33="","",N33-G33)</f>
        <v/>
      </c>
      <c r="R33" s="14" t="n"/>
      <c r="T33">
        <f>IF($B33="","",IF($W33=1,Settings!$C$6,Settings!$C$7)*100)</f>
        <v/>
      </c>
      <c r="U33">
        <f>IF($B33="","",IF(COUNTIF($B$2:$B33,$B33)=1,1,0))</f>
        <v/>
      </c>
      <c r="V33">
        <f>IF($U33=1,SUMPRODUCT(--($X$2:$X$1501&lt;$X33))+1,"")</f>
        <v/>
      </c>
      <c r="W33">
        <f>IF($B33="","",IF(OR($S33=TRUE(),$S33="TRUE"),1,0))</f>
        <v/>
      </c>
      <c r="X33">
        <f>IF($U33=1,IFERROR(IF(VALUE($B33)&lt;100000000,VALUE($B33),1000000000),IFERROR(IF(VALUE(MID($B33,2,20))&lt;100000000,VALUE(MID($B33,2,20)),1000000000),1000000000))+ROW()/100000,"")</f>
        <v/>
      </c>
    </row>
    <row r="34">
      <c r="A34">
        <f>IF($B34="","",IFERROR(IF(INDEX('Per Invoice'!$C$2:$C$401,MATCH($B34,'Per Invoice'!$A$2:$A$401,0))=0,"",INDEX('Per Invoice'!$C$2:$C$401,MATCH($B34,'Per Invoice'!$A$2:$A$401,0))),""))</f>
        <v/>
      </c>
      <c r="G34" s="7">
        <f>IF($B34="","",F34*L34/100)</f>
        <v/>
      </c>
      <c r="K34" s="7" t="n"/>
      <c r="L34" s="7" t="n"/>
      <c r="M34" s="7">
        <f>IF($B34="","",L34*T34/100)</f>
        <v/>
      </c>
      <c r="N34" s="7">
        <f>IF($B34="","",L34-M34)</f>
        <v/>
      </c>
      <c r="O34" s="7">
        <f>IF($B34="","",N34-G34)</f>
        <v/>
      </c>
      <c r="R34" s="14" t="n"/>
      <c r="T34">
        <f>IF($B34="","",IF($W34=1,Settings!$C$6,Settings!$C$7)*100)</f>
        <v/>
      </c>
      <c r="U34">
        <f>IF($B34="","",IF(COUNTIF($B$2:$B34,$B34)=1,1,0))</f>
        <v/>
      </c>
      <c r="V34">
        <f>IF($U34=1,SUMPRODUCT(--($X$2:$X$1501&lt;$X34))+1,"")</f>
        <v/>
      </c>
      <c r="W34">
        <f>IF($B34="","",IF(OR($S34=TRUE(),$S34="TRUE"),1,0))</f>
        <v/>
      </c>
      <c r="X34">
        <f>IF($U34=1,IFERROR(IF(VALUE($B34)&lt;100000000,VALUE($B34),1000000000),IFERROR(IF(VALUE(MID($B34,2,20))&lt;100000000,VALUE(MID($B34,2,20)),1000000000),1000000000))+ROW()/100000,"")</f>
        <v/>
      </c>
    </row>
    <row r="35">
      <c r="A35">
        <f>IF($B35="","",IFERROR(IF(INDEX('Per Invoice'!$C$2:$C$401,MATCH($B35,'Per Invoice'!$A$2:$A$401,0))=0,"",INDEX('Per Invoice'!$C$2:$C$401,MATCH($B35,'Per Invoice'!$A$2:$A$401,0))),""))</f>
        <v/>
      </c>
      <c r="G35" s="7">
        <f>IF($B35="","",F35*L35/100)</f>
        <v/>
      </c>
      <c r="K35" s="7" t="n"/>
      <c r="L35" s="7" t="n"/>
      <c r="M35" s="7">
        <f>IF($B35="","",L35*T35/100)</f>
        <v/>
      </c>
      <c r="N35" s="7">
        <f>IF($B35="","",L35-M35)</f>
        <v/>
      </c>
      <c r="O35" s="7">
        <f>IF($B35="","",N35-G35)</f>
        <v/>
      </c>
      <c r="R35" s="14" t="n"/>
      <c r="T35">
        <f>IF($B35="","",IF($W35=1,Settings!$C$6,Settings!$C$7)*100)</f>
        <v/>
      </c>
      <c r="U35">
        <f>IF($B35="","",IF(COUNTIF($B$2:$B35,$B35)=1,1,0))</f>
        <v/>
      </c>
      <c r="V35">
        <f>IF($U35=1,SUMPRODUCT(--($X$2:$X$1501&lt;$X35))+1,"")</f>
        <v/>
      </c>
      <c r="W35">
        <f>IF($B35="","",IF(OR($S35=TRUE(),$S35="TRUE"),1,0))</f>
        <v/>
      </c>
      <c r="X35">
        <f>IF($U35=1,IFERROR(IF(VALUE($B35)&lt;100000000,VALUE($B35),1000000000),IFERROR(IF(VALUE(MID($B35,2,20))&lt;100000000,VALUE(MID($B35,2,20)),1000000000),1000000000))+ROW()/100000,"")</f>
        <v/>
      </c>
    </row>
    <row r="36">
      <c r="A36">
        <f>IF($B36="","",IFERROR(IF(INDEX('Per Invoice'!$C$2:$C$401,MATCH($B36,'Per Invoice'!$A$2:$A$401,0))=0,"",INDEX('Per Invoice'!$C$2:$C$401,MATCH($B36,'Per Invoice'!$A$2:$A$401,0))),""))</f>
        <v/>
      </c>
      <c r="G36" s="7">
        <f>IF($B36="","",F36*L36/100)</f>
        <v/>
      </c>
      <c r="K36" s="7" t="n"/>
      <c r="L36" s="7" t="n"/>
      <c r="M36" s="7">
        <f>IF($B36="","",L36*T36/100)</f>
        <v/>
      </c>
      <c r="N36" s="7">
        <f>IF($B36="","",L36-M36)</f>
        <v/>
      </c>
      <c r="O36" s="7">
        <f>IF($B36="","",N36-G36)</f>
        <v/>
      </c>
      <c r="R36" s="14" t="n"/>
      <c r="T36">
        <f>IF($B36="","",IF($W36=1,Settings!$C$6,Settings!$C$7)*100)</f>
        <v/>
      </c>
      <c r="U36">
        <f>IF($B36="","",IF(COUNTIF($B$2:$B36,$B36)=1,1,0))</f>
        <v/>
      </c>
      <c r="V36">
        <f>IF($U36=1,SUMPRODUCT(--($X$2:$X$1501&lt;$X36))+1,"")</f>
        <v/>
      </c>
      <c r="W36">
        <f>IF($B36="","",IF(OR($S36=TRUE(),$S36="TRUE"),1,0))</f>
        <v/>
      </c>
      <c r="X36">
        <f>IF($U36=1,IFERROR(IF(VALUE($B36)&lt;100000000,VALUE($B36),1000000000),IFERROR(IF(VALUE(MID($B36,2,20))&lt;100000000,VALUE(MID($B36,2,20)),1000000000),1000000000))+ROW()/100000,"")</f>
        <v/>
      </c>
    </row>
    <row r="37">
      <c r="A37">
        <f>IF($B37="","",IFERROR(IF(INDEX('Per Invoice'!$C$2:$C$401,MATCH($B37,'Per Invoice'!$A$2:$A$401,0))=0,"",INDEX('Per Invoice'!$C$2:$C$401,MATCH($B37,'Per Invoice'!$A$2:$A$401,0))),""))</f>
        <v/>
      </c>
      <c r="G37" s="7">
        <f>IF($B37="","",F37*L37/100)</f>
        <v/>
      </c>
      <c r="K37" s="7" t="n"/>
      <c r="L37" s="7" t="n"/>
      <c r="M37" s="7">
        <f>IF($B37="","",L37*T37/100)</f>
        <v/>
      </c>
      <c r="N37" s="7">
        <f>IF($B37="","",L37-M37)</f>
        <v/>
      </c>
      <c r="O37" s="7">
        <f>IF($B37="","",N37-G37)</f>
        <v/>
      </c>
      <c r="R37" s="14" t="n"/>
      <c r="T37">
        <f>IF($B37="","",IF($W37=1,Settings!$C$6,Settings!$C$7)*100)</f>
        <v/>
      </c>
      <c r="U37">
        <f>IF($B37="","",IF(COUNTIF($B$2:$B37,$B37)=1,1,0))</f>
        <v/>
      </c>
      <c r="V37">
        <f>IF($U37=1,SUMPRODUCT(--($X$2:$X$1501&lt;$X37))+1,"")</f>
        <v/>
      </c>
      <c r="W37">
        <f>IF($B37="","",IF(OR($S37=TRUE(),$S37="TRUE"),1,0))</f>
        <v/>
      </c>
      <c r="X37">
        <f>IF($U37=1,IFERROR(IF(VALUE($B37)&lt;100000000,VALUE($B37),1000000000),IFERROR(IF(VALUE(MID($B37,2,20))&lt;100000000,VALUE(MID($B37,2,20)),1000000000),1000000000))+ROW()/100000,"")</f>
        <v/>
      </c>
    </row>
    <row r="38">
      <c r="A38">
        <f>IF($B38="","",IFERROR(IF(INDEX('Per Invoice'!$C$2:$C$401,MATCH($B38,'Per Invoice'!$A$2:$A$401,0))=0,"",INDEX('Per Invoice'!$C$2:$C$401,MATCH($B38,'Per Invoice'!$A$2:$A$401,0))),""))</f>
        <v/>
      </c>
      <c r="G38" s="7">
        <f>IF($B38="","",F38*L38/100)</f>
        <v/>
      </c>
      <c r="K38" s="7" t="n"/>
      <c r="L38" s="7" t="n"/>
      <c r="M38" s="7">
        <f>IF($B38="","",L38*T38/100)</f>
        <v/>
      </c>
      <c r="N38" s="7">
        <f>IF($B38="","",L38-M38)</f>
        <v/>
      </c>
      <c r="O38" s="7">
        <f>IF($B38="","",N38-G38)</f>
        <v/>
      </c>
      <c r="R38" s="14" t="n"/>
      <c r="T38">
        <f>IF($B38="","",IF($W38=1,Settings!$C$6,Settings!$C$7)*100)</f>
        <v/>
      </c>
      <c r="U38">
        <f>IF($B38="","",IF(COUNTIF($B$2:$B38,$B38)=1,1,0))</f>
        <v/>
      </c>
      <c r="V38">
        <f>IF($U38=1,SUMPRODUCT(--($X$2:$X$1501&lt;$X38))+1,"")</f>
        <v/>
      </c>
      <c r="W38">
        <f>IF($B38="","",IF(OR($S38=TRUE(),$S38="TRUE"),1,0))</f>
        <v/>
      </c>
      <c r="X38">
        <f>IF($U38=1,IFERROR(IF(VALUE($B38)&lt;100000000,VALUE($B38),1000000000),IFERROR(IF(VALUE(MID($B38,2,20))&lt;100000000,VALUE(MID($B38,2,20)),1000000000),1000000000))+ROW()/100000,"")</f>
        <v/>
      </c>
    </row>
    <row r="39">
      <c r="A39">
        <f>IF($B39="","",IFERROR(IF(INDEX('Per Invoice'!$C$2:$C$401,MATCH($B39,'Per Invoice'!$A$2:$A$401,0))=0,"",INDEX('Per Invoice'!$C$2:$C$401,MATCH($B39,'Per Invoice'!$A$2:$A$401,0))),""))</f>
        <v/>
      </c>
      <c r="G39" s="7">
        <f>IF($B39="","",F39*L39/100)</f>
        <v/>
      </c>
      <c r="K39" s="7" t="n"/>
      <c r="L39" s="7" t="n"/>
      <c r="M39" s="7">
        <f>IF($B39="","",L39*T39/100)</f>
        <v/>
      </c>
      <c r="N39" s="7">
        <f>IF($B39="","",L39-M39)</f>
        <v/>
      </c>
      <c r="O39" s="7">
        <f>IF($B39="","",N39-G39)</f>
        <v/>
      </c>
      <c r="R39" s="14" t="n"/>
      <c r="T39">
        <f>IF($B39="","",IF($W39=1,Settings!$C$6,Settings!$C$7)*100)</f>
        <v/>
      </c>
      <c r="U39">
        <f>IF($B39="","",IF(COUNTIF($B$2:$B39,$B39)=1,1,0))</f>
        <v/>
      </c>
      <c r="V39">
        <f>IF($U39=1,SUMPRODUCT(--($X$2:$X$1501&lt;$X39))+1,"")</f>
        <v/>
      </c>
      <c r="W39">
        <f>IF($B39="","",IF(OR($S39=TRUE(),$S39="TRUE"),1,0))</f>
        <v/>
      </c>
      <c r="X39">
        <f>IF($U39=1,IFERROR(IF(VALUE($B39)&lt;100000000,VALUE($B39),1000000000),IFERROR(IF(VALUE(MID($B39,2,20))&lt;100000000,VALUE(MID($B39,2,20)),1000000000),1000000000))+ROW()/100000,"")</f>
        <v/>
      </c>
    </row>
    <row r="40">
      <c r="A40">
        <f>IF($B40="","",IFERROR(IF(INDEX('Per Invoice'!$C$2:$C$401,MATCH($B40,'Per Invoice'!$A$2:$A$401,0))=0,"",INDEX('Per Invoice'!$C$2:$C$401,MATCH($B40,'Per Invoice'!$A$2:$A$401,0))),""))</f>
        <v/>
      </c>
      <c r="G40" s="7">
        <f>IF($B40="","",F40*L40/100)</f>
        <v/>
      </c>
      <c r="K40" s="7" t="n"/>
      <c r="L40" s="7" t="n"/>
      <c r="M40" s="7">
        <f>IF($B40="","",L40*T40/100)</f>
        <v/>
      </c>
      <c r="N40" s="7">
        <f>IF($B40="","",L40-M40)</f>
        <v/>
      </c>
      <c r="O40" s="7">
        <f>IF($B40="","",N40-G40)</f>
        <v/>
      </c>
      <c r="R40" s="14" t="n"/>
      <c r="T40">
        <f>IF($B40="","",IF($W40=1,Settings!$C$6,Settings!$C$7)*100)</f>
        <v/>
      </c>
      <c r="U40">
        <f>IF($B40="","",IF(COUNTIF($B$2:$B40,$B40)=1,1,0))</f>
        <v/>
      </c>
      <c r="V40">
        <f>IF($U40=1,SUMPRODUCT(--($X$2:$X$1501&lt;$X40))+1,"")</f>
        <v/>
      </c>
      <c r="W40">
        <f>IF($B40="","",IF(OR($S40=TRUE(),$S40="TRUE"),1,0))</f>
        <v/>
      </c>
      <c r="X40">
        <f>IF($U40=1,IFERROR(IF(VALUE($B40)&lt;100000000,VALUE($B40),1000000000),IFERROR(IF(VALUE(MID($B40,2,20))&lt;100000000,VALUE(MID($B40,2,20)),1000000000),1000000000))+ROW()/100000,"")</f>
        <v/>
      </c>
    </row>
    <row r="41">
      <c r="A41">
        <f>IF($B41="","",IFERROR(IF(INDEX('Per Invoice'!$C$2:$C$401,MATCH($B41,'Per Invoice'!$A$2:$A$401,0))=0,"",INDEX('Per Invoice'!$C$2:$C$401,MATCH($B41,'Per Invoice'!$A$2:$A$401,0))),""))</f>
        <v/>
      </c>
      <c r="G41" s="7">
        <f>IF($B41="","",F41*L41/100)</f>
        <v/>
      </c>
      <c r="K41" s="7" t="n"/>
      <c r="L41" s="7" t="n"/>
      <c r="M41" s="7">
        <f>IF($B41="","",L41*T41/100)</f>
        <v/>
      </c>
      <c r="N41" s="7">
        <f>IF($B41="","",L41-M41)</f>
        <v/>
      </c>
      <c r="O41" s="7">
        <f>IF($B41="","",N41-G41)</f>
        <v/>
      </c>
      <c r="R41" s="14" t="n"/>
      <c r="T41">
        <f>IF($B41="","",IF($W41=1,Settings!$C$6,Settings!$C$7)*100)</f>
        <v/>
      </c>
      <c r="U41">
        <f>IF($B41="","",IF(COUNTIF($B$2:$B41,$B41)=1,1,0))</f>
        <v/>
      </c>
      <c r="V41">
        <f>IF($U41=1,SUMPRODUCT(--($X$2:$X$1501&lt;$X41))+1,"")</f>
        <v/>
      </c>
      <c r="W41">
        <f>IF($B41="","",IF(OR($S41=TRUE(),$S41="TRUE"),1,0))</f>
        <v/>
      </c>
      <c r="X41">
        <f>IF($U41=1,IFERROR(IF(VALUE($B41)&lt;100000000,VALUE($B41),1000000000),IFERROR(IF(VALUE(MID($B41,2,20))&lt;100000000,VALUE(MID($B41,2,20)),1000000000),1000000000))+ROW()/100000,"")</f>
        <v/>
      </c>
    </row>
    <row r="42">
      <c r="A42">
        <f>IF($B42="","",IFERROR(IF(INDEX('Per Invoice'!$C$2:$C$401,MATCH($B42,'Per Invoice'!$A$2:$A$401,0))=0,"",INDEX('Per Invoice'!$C$2:$C$401,MATCH($B42,'Per Invoice'!$A$2:$A$401,0))),""))</f>
        <v/>
      </c>
      <c r="G42" s="7">
        <f>IF($B42="","",F42*L42/100)</f>
        <v/>
      </c>
      <c r="K42" s="7" t="n"/>
      <c r="L42" s="7" t="n"/>
      <c r="M42" s="7">
        <f>IF($B42="","",L42*T42/100)</f>
        <v/>
      </c>
      <c r="N42" s="7">
        <f>IF($B42="","",L42-M42)</f>
        <v/>
      </c>
      <c r="O42" s="7">
        <f>IF($B42="","",N42-G42)</f>
        <v/>
      </c>
      <c r="R42" s="14" t="n"/>
      <c r="T42">
        <f>IF($B42="","",IF($W42=1,Settings!$C$6,Settings!$C$7)*100)</f>
        <v/>
      </c>
      <c r="U42">
        <f>IF($B42="","",IF(COUNTIF($B$2:$B42,$B42)=1,1,0))</f>
        <v/>
      </c>
      <c r="V42">
        <f>IF($U42=1,SUMPRODUCT(--($X$2:$X$1501&lt;$X42))+1,"")</f>
        <v/>
      </c>
      <c r="W42">
        <f>IF($B42="","",IF(OR($S42=TRUE(),$S42="TRUE"),1,0))</f>
        <v/>
      </c>
      <c r="X42">
        <f>IF($U42=1,IFERROR(IF(VALUE($B42)&lt;100000000,VALUE($B42),1000000000),IFERROR(IF(VALUE(MID($B42,2,20))&lt;100000000,VALUE(MID($B42,2,20)),1000000000),1000000000))+ROW()/100000,"")</f>
        <v/>
      </c>
    </row>
    <row r="43">
      <c r="A43">
        <f>IF($B43="","",IFERROR(IF(INDEX('Per Invoice'!$C$2:$C$401,MATCH($B43,'Per Invoice'!$A$2:$A$401,0))=0,"",INDEX('Per Invoice'!$C$2:$C$401,MATCH($B43,'Per Invoice'!$A$2:$A$401,0))),""))</f>
        <v/>
      </c>
      <c r="G43" s="7">
        <f>IF($B43="","",F43*L43/100)</f>
        <v/>
      </c>
      <c r="K43" s="7" t="n"/>
      <c r="L43" s="7" t="n"/>
      <c r="M43" s="7">
        <f>IF($B43="","",L43*T43/100)</f>
        <v/>
      </c>
      <c r="N43" s="7">
        <f>IF($B43="","",L43-M43)</f>
        <v/>
      </c>
      <c r="O43" s="7">
        <f>IF($B43="","",N43-G43)</f>
        <v/>
      </c>
      <c r="R43" s="14" t="n"/>
      <c r="T43">
        <f>IF($B43="","",IF($W43=1,Settings!$C$6,Settings!$C$7)*100)</f>
        <v/>
      </c>
      <c r="U43">
        <f>IF($B43="","",IF(COUNTIF($B$2:$B43,$B43)=1,1,0))</f>
        <v/>
      </c>
      <c r="V43">
        <f>IF($U43=1,SUMPRODUCT(--($X$2:$X$1501&lt;$X43))+1,"")</f>
        <v/>
      </c>
      <c r="W43">
        <f>IF($B43="","",IF(OR($S43=TRUE(),$S43="TRUE"),1,0))</f>
        <v/>
      </c>
      <c r="X43">
        <f>IF($U43=1,IFERROR(IF(VALUE($B43)&lt;100000000,VALUE($B43),1000000000),IFERROR(IF(VALUE(MID($B43,2,20))&lt;100000000,VALUE(MID($B43,2,20)),1000000000),1000000000))+ROW()/100000,"")</f>
        <v/>
      </c>
    </row>
    <row r="44">
      <c r="A44">
        <f>IF($B44="","",IFERROR(IF(INDEX('Per Invoice'!$C$2:$C$401,MATCH($B44,'Per Invoice'!$A$2:$A$401,0))=0,"",INDEX('Per Invoice'!$C$2:$C$401,MATCH($B44,'Per Invoice'!$A$2:$A$401,0))),""))</f>
        <v/>
      </c>
      <c r="G44" s="7">
        <f>IF($B44="","",F44*L44/100)</f>
        <v/>
      </c>
      <c r="K44" s="7" t="n"/>
      <c r="L44" s="7" t="n"/>
      <c r="M44" s="7">
        <f>IF($B44="","",L44*T44/100)</f>
        <v/>
      </c>
      <c r="N44" s="7">
        <f>IF($B44="","",L44-M44)</f>
        <v/>
      </c>
      <c r="O44" s="7">
        <f>IF($B44="","",N44-G44)</f>
        <v/>
      </c>
      <c r="R44" s="14" t="n"/>
      <c r="T44">
        <f>IF($B44="","",IF($W44=1,Settings!$C$6,Settings!$C$7)*100)</f>
        <v/>
      </c>
      <c r="U44">
        <f>IF($B44="","",IF(COUNTIF($B$2:$B44,$B44)=1,1,0))</f>
        <v/>
      </c>
      <c r="V44">
        <f>IF($U44=1,SUMPRODUCT(--($X$2:$X$1501&lt;$X44))+1,"")</f>
        <v/>
      </c>
      <c r="W44">
        <f>IF($B44="","",IF(OR($S44=TRUE(),$S44="TRUE"),1,0))</f>
        <v/>
      </c>
      <c r="X44">
        <f>IF($U44=1,IFERROR(IF(VALUE($B44)&lt;100000000,VALUE($B44),1000000000),IFERROR(IF(VALUE(MID($B44,2,20))&lt;100000000,VALUE(MID($B44,2,20)),1000000000),1000000000))+ROW()/100000,"")</f>
        <v/>
      </c>
    </row>
    <row r="45">
      <c r="A45">
        <f>IF($B45="","",IFERROR(IF(INDEX('Per Invoice'!$C$2:$C$401,MATCH($B45,'Per Invoice'!$A$2:$A$401,0))=0,"",INDEX('Per Invoice'!$C$2:$C$401,MATCH($B45,'Per Invoice'!$A$2:$A$401,0))),""))</f>
        <v/>
      </c>
      <c r="G45" s="7">
        <f>IF($B45="","",F45*L45/100)</f>
        <v/>
      </c>
      <c r="K45" s="7" t="n"/>
      <c r="L45" s="7" t="n"/>
      <c r="M45" s="7">
        <f>IF($B45="","",L45*T45/100)</f>
        <v/>
      </c>
      <c r="N45" s="7">
        <f>IF($B45="","",L45-M45)</f>
        <v/>
      </c>
      <c r="O45" s="7">
        <f>IF($B45="","",N45-G45)</f>
        <v/>
      </c>
      <c r="R45" s="14" t="n"/>
      <c r="T45">
        <f>IF($B45="","",IF($W45=1,Settings!$C$6,Settings!$C$7)*100)</f>
        <v/>
      </c>
      <c r="U45">
        <f>IF($B45="","",IF(COUNTIF($B$2:$B45,$B45)=1,1,0))</f>
        <v/>
      </c>
      <c r="V45">
        <f>IF($U45=1,SUMPRODUCT(--($X$2:$X$1501&lt;$X45))+1,"")</f>
        <v/>
      </c>
      <c r="W45">
        <f>IF($B45="","",IF(OR($S45=TRUE(),$S45="TRUE"),1,0))</f>
        <v/>
      </c>
      <c r="X45">
        <f>IF($U45=1,IFERROR(IF(VALUE($B45)&lt;100000000,VALUE($B45),1000000000),IFERROR(IF(VALUE(MID($B45,2,20))&lt;100000000,VALUE(MID($B45,2,20)),1000000000),1000000000))+ROW()/100000,"")</f>
        <v/>
      </c>
    </row>
    <row r="46">
      <c r="A46">
        <f>IF($B46="","",IFERROR(IF(INDEX('Per Invoice'!$C$2:$C$401,MATCH($B46,'Per Invoice'!$A$2:$A$401,0))=0,"",INDEX('Per Invoice'!$C$2:$C$401,MATCH($B46,'Per Invoice'!$A$2:$A$401,0))),""))</f>
        <v/>
      </c>
      <c r="G46" s="7">
        <f>IF($B46="","",F46*L46/100)</f>
        <v/>
      </c>
      <c r="K46" s="7" t="n"/>
      <c r="L46" s="7" t="n"/>
      <c r="M46" s="7">
        <f>IF($B46="","",L46*T46/100)</f>
        <v/>
      </c>
      <c r="N46" s="7">
        <f>IF($B46="","",L46-M46)</f>
        <v/>
      </c>
      <c r="O46" s="7">
        <f>IF($B46="","",N46-G46)</f>
        <v/>
      </c>
      <c r="R46" s="14" t="n"/>
      <c r="T46">
        <f>IF($B46="","",IF($W46=1,Settings!$C$6,Settings!$C$7)*100)</f>
        <v/>
      </c>
      <c r="U46">
        <f>IF($B46="","",IF(COUNTIF($B$2:$B46,$B46)=1,1,0))</f>
        <v/>
      </c>
      <c r="V46">
        <f>IF($U46=1,SUMPRODUCT(--($X$2:$X$1501&lt;$X46))+1,"")</f>
        <v/>
      </c>
      <c r="W46">
        <f>IF($B46="","",IF(OR($S46=TRUE(),$S46="TRUE"),1,0))</f>
        <v/>
      </c>
      <c r="X46">
        <f>IF($U46=1,IFERROR(IF(VALUE($B46)&lt;100000000,VALUE($B46),1000000000),IFERROR(IF(VALUE(MID($B46,2,20))&lt;100000000,VALUE(MID($B46,2,20)),1000000000),1000000000))+ROW()/100000,"")</f>
        <v/>
      </c>
    </row>
    <row r="47">
      <c r="A47">
        <f>IF($B47="","",IFERROR(IF(INDEX('Per Invoice'!$C$2:$C$401,MATCH($B47,'Per Invoice'!$A$2:$A$401,0))=0,"",INDEX('Per Invoice'!$C$2:$C$401,MATCH($B47,'Per Invoice'!$A$2:$A$401,0))),""))</f>
        <v/>
      </c>
      <c r="G47" s="7">
        <f>IF($B47="","",F47*L47/100)</f>
        <v/>
      </c>
      <c r="K47" s="7" t="n"/>
      <c r="L47" s="7" t="n"/>
      <c r="M47" s="7">
        <f>IF($B47="","",L47*T47/100)</f>
        <v/>
      </c>
      <c r="N47" s="7">
        <f>IF($B47="","",L47-M47)</f>
        <v/>
      </c>
      <c r="O47" s="7">
        <f>IF($B47="","",N47-G47)</f>
        <v/>
      </c>
      <c r="R47" s="14" t="n"/>
      <c r="T47">
        <f>IF($B47="","",IF($W47=1,Settings!$C$6,Settings!$C$7)*100)</f>
        <v/>
      </c>
      <c r="U47">
        <f>IF($B47="","",IF(COUNTIF($B$2:$B47,$B47)=1,1,0))</f>
        <v/>
      </c>
      <c r="V47">
        <f>IF($U47=1,SUMPRODUCT(--($X$2:$X$1501&lt;$X47))+1,"")</f>
        <v/>
      </c>
      <c r="W47">
        <f>IF($B47="","",IF(OR($S47=TRUE(),$S47="TRUE"),1,0))</f>
        <v/>
      </c>
      <c r="X47">
        <f>IF($U47=1,IFERROR(IF(VALUE($B47)&lt;100000000,VALUE($B47),1000000000),IFERROR(IF(VALUE(MID($B47,2,20))&lt;100000000,VALUE(MID($B47,2,20)),1000000000),1000000000))+ROW()/100000,"")</f>
        <v/>
      </c>
    </row>
    <row r="48">
      <c r="A48">
        <f>IF($B48="","",IFERROR(IF(INDEX('Per Invoice'!$C$2:$C$401,MATCH($B48,'Per Invoice'!$A$2:$A$401,0))=0,"",INDEX('Per Invoice'!$C$2:$C$401,MATCH($B48,'Per Invoice'!$A$2:$A$401,0))),""))</f>
        <v/>
      </c>
      <c r="G48" s="7">
        <f>IF($B48="","",F48*L48/100)</f>
        <v/>
      </c>
      <c r="K48" s="7" t="n"/>
      <c r="L48" s="7" t="n"/>
      <c r="M48" s="7">
        <f>IF($B48="","",L48*T48/100)</f>
        <v/>
      </c>
      <c r="N48" s="7">
        <f>IF($B48="","",L48-M48)</f>
        <v/>
      </c>
      <c r="O48" s="7">
        <f>IF($B48="","",N48-G48)</f>
        <v/>
      </c>
      <c r="R48" s="14" t="n"/>
      <c r="T48">
        <f>IF($B48="","",IF($W48=1,Settings!$C$6,Settings!$C$7)*100)</f>
        <v/>
      </c>
      <c r="U48">
        <f>IF($B48="","",IF(COUNTIF($B$2:$B48,$B48)=1,1,0))</f>
        <v/>
      </c>
      <c r="V48">
        <f>IF($U48=1,SUMPRODUCT(--($X$2:$X$1501&lt;$X48))+1,"")</f>
        <v/>
      </c>
      <c r="W48">
        <f>IF($B48="","",IF(OR($S48=TRUE(),$S48="TRUE"),1,0))</f>
        <v/>
      </c>
      <c r="X48">
        <f>IF($U48=1,IFERROR(IF(VALUE($B48)&lt;100000000,VALUE($B48),1000000000),IFERROR(IF(VALUE(MID($B48,2,20))&lt;100000000,VALUE(MID($B48,2,20)),1000000000),1000000000))+ROW()/100000,"")</f>
        <v/>
      </c>
    </row>
    <row r="49">
      <c r="A49">
        <f>IF($B49="","",IFERROR(IF(INDEX('Per Invoice'!$C$2:$C$401,MATCH($B49,'Per Invoice'!$A$2:$A$401,0))=0,"",INDEX('Per Invoice'!$C$2:$C$401,MATCH($B49,'Per Invoice'!$A$2:$A$401,0))),""))</f>
        <v/>
      </c>
      <c r="G49" s="7">
        <f>IF($B49="","",F49*L49/100)</f>
        <v/>
      </c>
      <c r="K49" s="7" t="n"/>
      <c r="L49" s="7" t="n"/>
      <c r="M49" s="7">
        <f>IF($B49="","",L49*T49/100)</f>
        <v/>
      </c>
      <c r="N49" s="7">
        <f>IF($B49="","",L49-M49)</f>
        <v/>
      </c>
      <c r="O49" s="7">
        <f>IF($B49="","",N49-G49)</f>
        <v/>
      </c>
      <c r="R49" s="14" t="n"/>
      <c r="T49">
        <f>IF($B49="","",IF($W49=1,Settings!$C$6,Settings!$C$7)*100)</f>
        <v/>
      </c>
      <c r="U49">
        <f>IF($B49="","",IF(COUNTIF($B$2:$B49,$B49)=1,1,0))</f>
        <v/>
      </c>
      <c r="V49">
        <f>IF($U49=1,SUMPRODUCT(--($X$2:$X$1501&lt;$X49))+1,"")</f>
        <v/>
      </c>
      <c r="W49">
        <f>IF($B49="","",IF(OR($S49=TRUE(),$S49="TRUE"),1,0))</f>
        <v/>
      </c>
      <c r="X49">
        <f>IF($U49=1,IFERROR(IF(VALUE($B49)&lt;100000000,VALUE($B49),1000000000),IFERROR(IF(VALUE(MID($B49,2,20))&lt;100000000,VALUE(MID($B49,2,20)),1000000000),1000000000))+ROW()/100000,"")</f>
        <v/>
      </c>
    </row>
    <row r="50">
      <c r="A50">
        <f>IF($B50="","",IFERROR(IF(INDEX('Per Invoice'!$C$2:$C$401,MATCH($B50,'Per Invoice'!$A$2:$A$401,0))=0,"",INDEX('Per Invoice'!$C$2:$C$401,MATCH($B50,'Per Invoice'!$A$2:$A$401,0))),""))</f>
        <v/>
      </c>
      <c r="G50" s="7">
        <f>IF($B50="","",F50*L50/100)</f>
        <v/>
      </c>
      <c r="K50" s="7" t="n"/>
      <c r="L50" s="7" t="n"/>
      <c r="M50" s="7">
        <f>IF($B50="","",L50*T50/100)</f>
        <v/>
      </c>
      <c r="N50" s="7">
        <f>IF($B50="","",L50-M50)</f>
        <v/>
      </c>
      <c r="O50" s="7">
        <f>IF($B50="","",N50-G50)</f>
        <v/>
      </c>
      <c r="R50" s="14" t="n"/>
      <c r="T50">
        <f>IF($B50="","",IF($W50=1,Settings!$C$6,Settings!$C$7)*100)</f>
        <v/>
      </c>
      <c r="U50">
        <f>IF($B50="","",IF(COUNTIF($B$2:$B50,$B50)=1,1,0))</f>
        <v/>
      </c>
      <c r="V50">
        <f>IF($U50=1,SUMPRODUCT(--($X$2:$X$1501&lt;$X50))+1,"")</f>
        <v/>
      </c>
      <c r="W50">
        <f>IF($B50="","",IF(OR($S50=TRUE(),$S50="TRUE"),1,0))</f>
        <v/>
      </c>
      <c r="X50">
        <f>IF($U50=1,IFERROR(IF(VALUE($B50)&lt;100000000,VALUE($B50),1000000000),IFERROR(IF(VALUE(MID($B50,2,20))&lt;100000000,VALUE(MID($B50,2,20)),1000000000),1000000000))+ROW()/100000,"")</f>
        <v/>
      </c>
    </row>
    <row r="51">
      <c r="A51">
        <f>IF($B51="","",IFERROR(IF(INDEX('Per Invoice'!$C$2:$C$401,MATCH($B51,'Per Invoice'!$A$2:$A$401,0))=0,"",INDEX('Per Invoice'!$C$2:$C$401,MATCH($B51,'Per Invoice'!$A$2:$A$401,0))),""))</f>
        <v/>
      </c>
      <c r="G51" s="7">
        <f>IF($B51="","",F51*L51/100)</f>
        <v/>
      </c>
      <c r="K51" s="7" t="n"/>
      <c r="L51" s="7" t="n"/>
      <c r="M51" s="7">
        <f>IF($B51="","",L51*T51/100)</f>
        <v/>
      </c>
      <c r="N51" s="7">
        <f>IF($B51="","",L51-M51)</f>
        <v/>
      </c>
      <c r="O51" s="7">
        <f>IF($B51="","",N51-G51)</f>
        <v/>
      </c>
      <c r="R51" s="14" t="n"/>
      <c r="T51">
        <f>IF($B51="","",IF($W51=1,Settings!$C$6,Settings!$C$7)*100)</f>
        <v/>
      </c>
      <c r="U51">
        <f>IF($B51="","",IF(COUNTIF($B$2:$B51,$B51)=1,1,0))</f>
        <v/>
      </c>
      <c r="V51">
        <f>IF($U51=1,SUMPRODUCT(--($X$2:$X$1501&lt;$X51))+1,"")</f>
        <v/>
      </c>
      <c r="W51">
        <f>IF($B51="","",IF(OR($S51=TRUE(),$S51="TRUE"),1,0))</f>
        <v/>
      </c>
      <c r="X51">
        <f>IF($U51=1,IFERROR(IF(VALUE($B51)&lt;100000000,VALUE($B51),1000000000),IFERROR(IF(VALUE(MID($B51,2,20))&lt;100000000,VALUE(MID($B51,2,20)),1000000000),1000000000))+ROW()/100000,"")</f>
        <v/>
      </c>
    </row>
    <row r="52">
      <c r="A52">
        <f>IF($B52="","",IFERROR(IF(INDEX('Per Invoice'!$C$2:$C$401,MATCH($B52,'Per Invoice'!$A$2:$A$401,0))=0,"",INDEX('Per Invoice'!$C$2:$C$401,MATCH($B52,'Per Invoice'!$A$2:$A$401,0))),""))</f>
        <v/>
      </c>
      <c r="G52" s="7">
        <f>IF($B52="","",F52*L52/100)</f>
        <v/>
      </c>
      <c r="K52" s="7" t="n"/>
      <c r="L52" s="7" t="n"/>
      <c r="M52" s="7">
        <f>IF($B52="","",L52*T52/100)</f>
        <v/>
      </c>
      <c r="N52" s="7">
        <f>IF($B52="","",L52-M52)</f>
        <v/>
      </c>
      <c r="O52" s="7">
        <f>IF($B52="","",N52-G52)</f>
        <v/>
      </c>
      <c r="R52" s="14" t="n"/>
      <c r="T52">
        <f>IF($B52="","",IF($W52=1,Settings!$C$6,Settings!$C$7)*100)</f>
        <v/>
      </c>
      <c r="U52">
        <f>IF($B52="","",IF(COUNTIF($B$2:$B52,$B52)=1,1,0))</f>
        <v/>
      </c>
      <c r="V52">
        <f>IF($U52=1,SUMPRODUCT(--($X$2:$X$1501&lt;$X52))+1,"")</f>
        <v/>
      </c>
      <c r="W52">
        <f>IF($B52="","",IF(OR($S52=TRUE(),$S52="TRUE"),1,0))</f>
        <v/>
      </c>
      <c r="X52">
        <f>IF($U52=1,IFERROR(IF(VALUE($B52)&lt;100000000,VALUE($B52),1000000000),IFERROR(IF(VALUE(MID($B52,2,20))&lt;100000000,VALUE(MID($B52,2,20)),1000000000),1000000000))+ROW()/100000,"")</f>
        <v/>
      </c>
    </row>
    <row r="53">
      <c r="A53">
        <f>IF($B53="","",IFERROR(IF(INDEX('Per Invoice'!$C$2:$C$401,MATCH($B53,'Per Invoice'!$A$2:$A$401,0))=0,"",INDEX('Per Invoice'!$C$2:$C$401,MATCH($B53,'Per Invoice'!$A$2:$A$401,0))),""))</f>
        <v/>
      </c>
      <c r="G53" s="7">
        <f>IF($B53="","",F53*L53/100)</f>
        <v/>
      </c>
      <c r="K53" s="7" t="n"/>
      <c r="L53" s="7" t="n"/>
      <c r="M53" s="7">
        <f>IF($B53="","",L53*T53/100)</f>
        <v/>
      </c>
      <c r="N53" s="7">
        <f>IF($B53="","",L53-M53)</f>
        <v/>
      </c>
      <c r="O53" s="7">
        <f>IF($B53="","",N53-G53)</f>
        <v/>
      </c>
      <c r="R53" s="14" t="n"/>
      <c r="T53">
        <f>IF($B53="","",IF($W53=1,Settings!$C$6,Settings!$C$7)*100)</f>
        <v/>
      </c>
      <c r="U53">
        <f>IF($B53="","",IF(COUNTIF($B$2:$B53,$B53)=1,1,0))</f>
        <v/>
      </c>
      <c r="V53">
        <f>IF($U53=1,SUMPRODUCT(--($X$2:$X$1501&lt;$X53))+1,"")</f>
        <v/>
      </c>
      <c r="W53">
        <f>IF($B53="","",IF(OR($S53=TRUE(),$S53="TRUE"),1,0))</f>
        <v/>
      </c>
      <c r="X53">
        <f>IF($U53=1,IFERROR(IF(VALUE($B53)&lt;100000000,VALUE($B53),1000000000),IFERROR(IF(VALUE(MID($B53,2,20))&lt;100000000,VALUE(MID($B53,2,20)),1000000000),1000000000))+ROW()/100000,"")</f>
        <v/>
      </c>
    </row>
    <row r="54">
      <c r="A54">
        <f>IF($B54="","",IFERROR(IF(INDEX('Per Invoice'!$C$2:$C$401,MATCH($B54,'Per Invoice'!$A$2:$A$401,0))=0,"",INDEX('Per Invoice'!$C$2:$C$401,MATCH($B54,'Per Invoice'!$A$2:$A$401,0))),""))</f>
        <v/>
      </c>
      <c r="G54" s="7">
        <f>IF($B54="","",F54*L54/100)</f>
        <v/>
      </c>
      <c r="K54" s="7" t="n"/>
      <c r="L54" s="7" t="n"/>
      <c r="M54" s="7">
        <f>IF($B54="","",L54*T54/100)</f>
        <v/>
      </c>
      <c r="N54" s="7">
        <f>IF($B54="","",L54-M54)</f>
        <v/>
      </c>
      <c r="O54" s="7">
        <f>IF($B54="","",N54-G54)</f>
        <v/>
      </c>
      <c r="R54" s="14" t="n"/>
      <c r="T54">
        <f>IF($B54="","",IF($W54=1,Settings!$C$6,Settings!$C$7)*100)</f>
        <v/>
      </c>
      <c r="U54">
        <f>IF($B54="","",IF(COUNTIF($B$2:$B54,$B54)=1,1,0))</f>
        <v/>
      </c>
      <c r="V54">
        <f>IF($U54=1,SUMPRODUCT(--($X$2:$X$1501&lt;$X54))+1,"")</f>
        <v/>
      </c>
      <c r="W54">
        <f>IF($B54="","",IF(OR($S54=TRUE(),$S54="TRUE"),1,0))</f>
        <v/>
      </c>
      <c r="X54">
        <f>IF($U54=1,IFERROR(IF(VALUE($B54)&lt;100000000,VALUE($B54),1000000000),IFERROR(IF(VALUE(MID($B54,2,20))&lt;100000000,VALUE(MID($B54,2,20)),1000000000),1000000000))+ROW()/100000,"")</f>
        <v/>
      </c>
    </row>
    <row r="55">
      <c r="A55">
        <f>IF($B55="","",IFERROR(IF(INDEX('Per Invoice'!$C$2:$C$401,MATCH($B55,'Per Invoice'!$A$2:$A$401,0))=0,"",INDEX('Per Invoice'!$C$2:$C$401,MATCH($B55,'Per Invoice'!$A$2:$A$401,0))),""))</f>
        <v/>
      </c>
      <c r="G55" s="7">
        <f>IF($B55="","",F55*L55/100)</f>
        <v/>
      </c>
      <c r="K55" s="7" t="n"/>
      <c r="L55" s="7" t="n"/>
      <c r="M55" s="7">
        <f>IF($B55="","",L55*T55/100)</f>
        <v/>
      </c>
      <c r="N55" s="7">
        <f>IF($B55="","",L55-M55)</f>
        <v/>
      </c>
      <c r="O55" s="7">
        <f>IF($B55="","",N55-G55)</f>
        <v/>
      </c>
      <c r="R55" s="14" t="n"/>
      <c r="T55">
        <f>IF($B55="","",IF($W55=1,Settings!$C$6,Settings!$C$7)*100)</f>
        <v/>
      </c>
      <c r="U55">
        <f>IF($B55="","",IF(COUNTIF($B$2:$B55,$B55)=1,1,0))</f>
        <v/>
      </c>
      <c r="V55">
        <f>IF($U55=1,SUMPRODUCT(--($X$2:$X$1501&lt;$X55))+1,"")</f>
        <v/>
      </c>
      <c r="W55">
        <f>IF($B55="","",IF(OR($S55=TRUE(),$S55="TRUE"),1,0))</f>
        <v/>
      </c>
      <c r="X55">
        <f>IF($U55=1,IFERROR(IF(VALUE($B55)&lt;100000000,VALUE($B55),1000000000),IFERROR(IF(VALUE(MID($B55,2,20))&lt;100000000,VALUE(MID($B55,2,20)),1000000000),1000000000))+ROW()/100000,"")</f>
        <v/>
      </c>
    </row>
    <row r="56">
      <c r="A56">
        <f>IF($B56="","",IFERROR(IF(INDEX('Per Invoice'!$C$2:$C$401,MATCH($B56,'Per Invoice'!$A$2:$A$401,0))=0,"",INDEX('Per Invoice'!$C$2:$C$401,MATCH($B56,'Per Invoice'!$A$2:$A$401,0))),""))</f>
        <v/>
      </c>
      <c r="G56" s="7">
        <f>IF($B56="","",F56*L56/100)</f>
        <v/>
      </c>
      <c r="K56" s="7" t="n"/>
      <c r="L56" s="7" t="n"/>
      <c r="M56" s="7">
        <f>IF($B56="","",L56*T56/100)</f>
        <v/>
      </c>
      <c r="N56" s="7">
        <f>IF($B56="","",L56-M56)</f>
        <v/>
      </c>
      <c r="O56" s="7">
        <f>IF($B56="","",N56-G56)</f>
        <v/>
      </c>
      <c r="R56" s="14" t="n"/>
      <c r="T56">
        <f>IF($B56="","",IF($W56=1,Settings!$C$6,Settings!$C$7)*100)</f>
        <v/>
      </c>
      <c r="U56">
        <f>IF($B56="","",IF(COUNTIF($B$2:$B56,$B56)=1,1,0))</f>
        <v/>
      </c>
      <c r="V56">
        <f>IF($U56=1,SUMPRODUCT(--($X$2:$X$1501&lt;$X56))+1,"")</f>
        <v/>
      </c>
      <c r="W56">
        <f>IF($B56="","",IF(OR($S56=TRUE(),$S56="TRUE"),1,0))</f>
        <v/>
      </c>
      <c r="X56">
        <f>IF($U56=1,IFERROR(IF(VALUE($B56)&lt;100000000,VALUE($B56),1000000000),IFERROR(IF(VALUE(MID($B56,2,20))&lt;100000000,VALUE(MID($B56,2,20)),1000000000),1000000000))+ROW()/100000,"")</f>
        <v/>
      </c>
    </row>
    <row r="57">
      <c r="A57">
        <f>IF($B57="","",IFERROR(IF(INDEX('Per Invoice'!$C$2:$C$401,MATCH($B57,'Per Invoice'!$A$2:$A$401,0))=0,"",INDEX('Per Invoice'!$C$2:$C$401,MATCH($B57,'Per Invoice'!$A$2:$A$401,0))),""))</f>
        <v/>
      </c>
      <c r="G57" s="7">
        <f>IF($B57="","",F57*L57/100)</f>
        <v/>
      </c>
      <c r="K57" s="7" t="n"/>
      <c r="L57" s="7" t="n"/>
      <c r="M57" s="7">
        <f>IF($B57="","",L57*T57/100)</f>
        <v/>
      </c>
      <c r="N57" s="7">
        <f>IF($B57="","",L57-M57)</f>
        <v/>
      </c>
      <c r="O57" s="7">
        <f>IF($B57="","",N57-G57)</f>
        <v/>
      </c>
      <c r="R57" s="14" t="n"/>
      <c r="T57">
        <f>IF($B57="","",IF($W57=1,Settings!$C$6,Settings!$C$7)*100)</f>
        <v/>
      </c>
      <c r="U57">
        <f>IF($B57="","",IF(COUNTIF($B$2:$B57,$B57)=1,1,0))</f>
        <v/>
      </c>
      <c r="V57">
        <f>IF($U57=1,SUMPRODUCT(--($X$2:$X$1501&lt;$X57))+1,"")</f>
        <v/>
      </c>
      <c r="W57">
        <f>IF($B57="","",IF(OR($S57=TRUE(),$S57="TRUE"),1,0))</f>
        <v/>
      </c>
      <c r="X57">
        <f>IF($U57=1,IFERROR(IF(VALUE($B57)&lt;100000000,VALUE($B57),1000000000),IFERROR(IF(VALUE(MID($B57,2,20))&lt;100000000,VALUE(MID($B57,2,20)),1000000000),1000000000))+ROW()/100000,"")</f>
        <v/>
      </c>
    </row>
    <row r="58">
      <c r="A58">
        <f>IF($B58="","",IFERROR(IF(INDEX('Per Invoice'!$C$2:$C$401,MATCH($B58,'Per Invoice'!$A$2:$A$401,0))=0,"",INDEX('Per Invoice'!$C$2:$C$401,MATCH($B58,'Per Invoice'!$A$2:$A$401,0))),""))</f>
        <v/>
      </c>
      <c r="G58" s="7">
        <f>IF($B58="","",F58*L58/100)</f>
        <v/>
      </c>
      <c r="K58" s="7" t="n"/>
      <c r="L58" s="7" t="n"/>
      <c r="M58" s="7">
        <f>IF($B58="","",L58*T58/100)</f>
        <v/>
      </c>
      <c r="N58" s="7">
        <f>IF($B58="","",L58-M58)</f>
        <v/>
      </c>
      <c r="O58" s="7">
        <f>IF($B58="","",N58-G58)</f>
        <v/>
      </c>
      <c r="R58" s="14" t="n"/>
      <c r="T58">
        <f>IF($B58="","",IF($W58=1,Settings!$C$6,Settings!$C$7)*100)</f>
        <v/>
      </c>
      <c r="U58">
        <f>IF($B58="","",IF(COUNTIF($B$2:$B58,$B58)=1,1,0))</f>
        <v/>
      </c>
      <c r="V58">
        <f>IF($U58=1,SUMPRODUCT(--($X$2:$X$1501&lt;$X58))+1,"")</f>
        <v/>
      </c>
      <c r="W58">
        <f>IF($B58="","",IF(OR($S58=TRUE(),$S58="TRUE"),1,0))</f>
        <v/>
      </c>
      <c r="X58">
        <f>IF($U58=1,IFERROR(IF(VALUE($B58)&lt;100000000,VALUE($B58),1000000000),IFERROR(IF(VALUE(MID($B58,2,20))&lt;100000000,VALUE(MID($B58,2,20)),1000000000),1000000000))+ROW()/100000,"")</f>
        <v/>
      </c>
    </row>
    <row r="59">
      <c r="A59">
        <f>IF($B59="","",IFERROR(IF(INDEX('Per Invoice'!$C$2:$C$401,MATCH($B59,'Per Invoice'!$A$2:$A$401,0))=0,"",INDEX('Per Invoice'!$C$2:$C$401,MATCH($B59,'Per Invoice'!$A$2:$A$401,0))),""))</f>
        <v/>
      </c>
      <c r="G59" s="7">
        <f>IF($B59="","",F59*L59/100)</f>
        <v/>
      </c>
      <c r="K59" s="7" t="n"/>
      <c r="L59" s="7" t="n"/>
      <c r="M59" s="7">
        <f>IF($B59="","",L59*T59/100)</f>
        <v/>
      </c>
      <c r="N59" s="7">
        <f>IF($B59="","",L59-M59)</f>
        <v/>
      </c>
      <c r="O59" s="7">
        <f>IF($B59="","",N59-G59)</f>
        <v/>
      </c>
      <c r="R59" s="14" t="n"/>
      <c r="T59">
        <f>IF($B59="","",IF($W59=1,Settings!$C$6,Settings!$C$7)*100)</f>
        <v/>
      </c>
      <c r="U59">
        <f>IF($B59="","",IF(COUNTIF($B$2:$B59,$B59)=1,1,0))</f>
        <v/>
      </c>
      <c r="V59">
        <f>IF($U59=1,SUMPRODUCT(--($X$2:$X$1501&lt;$X59))+1,"")</f>
        <v/>
      </c>
      <c r="W59">
        <f>IF($B59="","",IF(OR($S59=TRUE(),$S59="TRUE"),1,0))</f>
        <v/>
      </c>
      <c r="X59">
        <f>IF($U59=1,IFERROR(IF(VALUE($B59)&lt;100000000,VALUE($B59),1000000000),IFERROR(IF(VALUE(MID($B59,2,20))&lt;100000000,VALUE(MID($B59,2,20)),1000000000),1000000000))+ROW()/100000,"")</f>
        <v/>
      </c>
    </row>
    <row r="60">
      <c r="A60">
        <f>IF($B60="","",IFERROR(IF(INDEX('Per Invoice'!$C$2:$C$401,MATCH($B60,'Per Invoice'!$A$2:$A$401,0))=0,"",INDEX('Per Invoice'!$C$2:$C$401,MATCH($B60,'Per Invoice'!$A$2:$A$401,0))),""))</f>
        <v/>
      </c>
      <c r="G60" s="7">
        <f>IF($B60="","",F60*L60/100)</f>
        <v/>
      </c>
      <c r="K60" s="7" t="n"/>
      <c r="L60" s="7" t="n"/>
      <c r="M60" s="7">
        <f>IF($B60="","",L60*T60/100)</f>
        <v/>
      </c>
      <c r="N60" s="7">
        <f>IF($B60="","",L60-M60)</f>
        <v/>
      </c>
      <c r="O60" s="7">
        <f>IF($B60="","",N60-G60)</f>
        <v/>
      </c>
      <c r="R60" s="14" t="n"/>
      <c r="T60">
        <f>IF($B60="","",IF($W60=1,Settings!$C$6,Settings!$C$7)*100)</f>
        <v/>
      </c>
      <c r="U60">
        <f>IF($B60="","",IF(COUNTIF($B$2:$B60,$B60)=1,1,0))</f>
        <v/>
      </c>
      <c r="V60">
        <f>IF($U60=1,SUMPRODUCT(--($X$2:$X$1501&lt;$X60))+1,"")</f>
        <v/>
      </c>
      <c r="W60">
        <f>IF($B60="","",IF(OR($S60=TRUE(),$S60="TRUE"),1,0))</f>
        <v/>
      </c>
      <c r="X60">
        <f>IF($U60=1,IFERROR(IF(VALUE($B60)&lt;100000000,VALUE($B60),1000000000),IFERROR(IF(VALUE(MID($B60,2,20))&lt;100000000,VALUE(MID($B60,2,20)),1000000000),1000000000))+ROW()/100000,"")</f>
        <v/>
      </c>
    </row>
    <row r="61">
      <c r="A61">
        <f>IF($B61="","",IFERROR(IF(INDEX('Per Invoice'!$C$2:$C$401,MATCH($B61,'Per Invoice'!$A$2:$A$401,0))=0,"",INDEX('Per Invoice'!$C$2:$C$401,MATCH($B61,'Per Invoice'!$A$2:$A$401,0))),""))</f>
        <v/>
      </c>
      <c r="G61" s="7">
        <f>IF($B61="","",F61*L61/100)</f>
        <v/>
      </c>
      <c r="K61" s="7" t="n"/>
      <c r="L61" s="7" t="n"/>
      <c r="M61" s="7">
        <f>IF($B61="","",L61*T61/100)</f>
        <v/>
      </c>
      <c r="N61" s="7">
        <f>IF($B61="","",L61-M61)</f>
        <v/>
      </c>
      <c r="O61" s="7">
        <f>IF($B61="","",N61-G61)</f>
        <v/>
      </c>
      <c r="R61" s="14" t="n"/>
      <c r="T61">
        <f>IF($B61="","",IF($W61=1,Settings!$C$6,Settings!$C$7)*100)</f>
        <v/>
      </c>
      <c r="U61">
        <f>IF($B61="","",IF(COUNTIF($B$2:$B61,$B61)=1,1,0))</f>
        <v/>
      </c>
      <c r="V61">
        <f>IF($U61=1,SUMPRODUCT(--($X$2:$X$1501&lt;$X61))+1,"")</f>
        <v/>
      </c>
      <c r="W61">
        <f>IF($B61="","",IF(OR($S61=TRUE(),$S61="TRUE"),1,0))</f>
        <v/>
      </c>
      <c r="X61">
        <f>IF($U61=1,IFERROR(IF(VALUE($B61)&lt;100000000,VALUE($B61),1000000000),IFERROR(IF(VALUE(MID($B61,2,20))&lt;100000000,VALUE(MID($B61,2,20)),1000000000),1000000000))+ROW()/100000,"")</f>
        <v/>
      </c>
    </row>
    <row r="62">
      <c r="A62">
        <f>IF($B62="","",IFERROR(IF(INDEX('Per Invoice'!$C$2:$C$401,MATCH($B62,'Per Invoice'!$A$2:$A$401,0))=0,"",INDEX('Per Invoice'!$C$2:$C$401,MATCH($B62,'Per Invoice'!$A$2:$A$401,0))),""))</f>
        <v/>
      </c>
      <c r="G62" s="7">
        <f>IF($B62="","",F62*L62/100)</f>
        <v/>
      </c>
      <c r="K62" s="7" t="n"/>
      <c r="L62" s="7" t="n"/>
      <c r="M62" s="7">
        <f>IF($B62="","",L62*T62/100)</f>
        <v/>
      </c>
      <c r="N62" s="7">
        <f>IF($B62="","",L62-M62)</f>
        <v/>
      </c>
      <c r="O62" s="7">
        <f>IF($B62="","",N62-G62)</f>
        <v/>
      </c>
      <c r="R62" s="14" t="n"/>
      <c r="T62">
        <f>IF($B62="","",IF($W62=1,Settings!$C$6,Settings!$C$7)*100)</f>
        <v/>
      </c>
      <c r="U62">
        <f>IF($B62="","",IF(COUNTIF($B$2:$B62,$B62)=1,1,0))</f>
        <v/>
      </c>
      <c r="V62">
        <f>IF($U62=1,SUMPRODUCT(--($X$2:$X$1501&lt;$X62))+1,"")</f>
        <v/>
      </c>
      <c r="W62">
        <f>IF($B62="","",IF(OR($S62=TRUE(),$S62="TRUE"),1,0))</f>
        <v/>
      </c>
      <c r="X62">
        <f>IF($U62=1,IFERROR(IF(VALUE($B62)&lt;100000000,VALUE($B62),1000000000),IFERROR(IF(VALUE(MID($B62,2,20))&lt;100000000,VALUE(MID($B62,2,20)),1000000000),1000000000))+ROW()/100000,"")</f>
        <v/>
      </c>
    </row>
    <row r="63">
      <c r="A63">
        <f>IF($B63="","",IFERROR(IF(INDEX('Per Invoice'!$C$2:$C$401,MATCH($B63,'Per Invoice'!$A$2:$A$401,0))=0,"",INDEX('Per Invoice'!$C$2:$C$401,MATCH($B63,'Per Invoice'!$A$2:$A$401,0))),""))</f>
        <v/>
      </c>
      <c r="G63" s="7">
        <f>IF($B63="","",F63*L63/100)</f>
        <v/>
      </c>
      <c r="K63" s="7" t="n"/>
      <c r="L63" s="7" t="n"/>
      <c r="M63" s="7">
        <f>IF($B63="","",L63*T63/100)</f>
        <v/>
      </c>
      <c r="N63" s="7">
        <f>IF($B63="","",L63-M63)</f>
        <v/>
      </c>
      <c r="O63" s="7">
        <f>IF($B63="","",N63-G63)</f>
        <v/>
      </c>
      <c r="R63" s="14" t="n"/>
      <c r="T63">
        <f>IF($B63="","",IF($W63=1,Settings!$C$6,Settings!$C$7)*100)</f>
        <v/>
      </c>
      <c r="U63">
        <f>IF($B63="","",IF(COUNTIF($B$2:$B63,$B63)=1,1,0))</f>
        <v/>
      </c>
      <c r="V63">
        <f>IF($U63=1,SUMPRODUCT(--($X$2:$X$1501&lt;$X63))+1,"")</f>
        <v/>
      </c>
      <c r="W63">
        <f>IF($B63="","",IF(OR($S63=TRUE(),$S63="TRUE"),1,0))</f>
        <v/>
      </c>
      <c r="X63">
        <f>IF($U63=1,IFERROR(IF(VALUE($B63)&lt;100000000,VALUE($B63),1000000000),IFERROR(IF(VALUE(MID($B63,2,20))&lt;100000000,VALUE(MID($B63,2,20)),1000000000),1000000000))+ROW()/100000,"")</f>
        <v/>
      </c>
    </row>
    <row r="64">
      <c r="A64">
        <f>IF($B64="","",IFERROR(IF(INDEX('Per Invoice'!$C$2:$C$401,MATCH($B64,'Per Invoice'!$A$2:$A$401,0))=0,"",INDEX('Per Invoice'!$C$2:$C$401,MATCH($B64,'Per Invoice'!$A$2:$A$401,0))),""))</f>
        <v/>
      </c>
      <c r="G64" s="7">
        <f>IF($B64="","",F64*L64/100)</f>
        <v/>
      </c>
      <c r="K64" s="7" t="n"/>
      <c r="L64" s="7" t="n"/>
      <c r="M64" s="7">
        <f>IF($B64="","",L64*T64/100)</f>
        <v/>
      </c>
      <c r="N64" s="7">
        <f>IF($B64="","",L64-M64)</f>
        <v/>
      </c>
      <c r="O64" s="7">
        <f>IF($B64="","",N64-G64)</f>
        <v/>
      </c>
      <c r="R64" s="14" t="n"/>
      <c r="T64">
        <f>IF($B64="","",IF($W64=1,Settings!$C$6,Settings!$C$7)*100)</f>
        <v/>
      </c>
      <c r="U64">
        <f>IF($B64="","",IF(COUNTIF($B$2:$B64,$B64)=1,1,0))</f>
        <v/>
      </c>
      <c r="V64">
        <f>IF($U64=1,SUMPRODUCT(--($X$2:$X$1501&lt;$X64))+1,"")</f>
        <v/>
      </c>
      <c r="W64">
        <f>IF($B64="","",IF(OR($S64=TRUE(),$S64="TRUE"),1,0))</f>
        <v/>
      </c>
      <c r="X64">
        <f>IF($U64=1,IFERROR(IF(VALUE($B64)&lt;100000000,VALUE($B64),1000000000),IFERROR(IF(VALUE(MID($B64,2,20))&lt;100000000,VALUE(MID($B64,2,20)),1000000000),1000000000))+ROW()/100000,"")</f>
        <v/>
      </c>
    </row>
    <row r="65">
      <c r="A65">
        <f>IF($B65="","",IFERROR(IF(INDEX('Per Invoice'!$C$2:$C$401,MATCH($B65,'Per Invoice'!$A$2:$A$401,0))=0,"",INDEX('Per Invoice'!$C$2:$C$401,MATCH($B65,'Per Invoice'!$A$2:$A$401,0))),""))</f>
        <v/>
      </c>
      <c r="G65" s="7">
        <f>IF($B65="","",F65*L65/100)</f>
        <v/>
      </c>
      <c r="K65" s="7" t="n"/>
      <c r="L65" s="7" t="n"/>
      <c r="M65" s="7">
        <f>IF($B65="","",L65*T65/100)</f>
        <v/>
      </c>
      <c r="N65" s="7">
        <f>IF($B65="","",L65-M65)</f>
        <v/>
      </c>
      <c r="O65" s="7">
        <f>IF($B65="","",N65-G65)</f>
        <v/>
      </c>
      <c r="R65" s="14" t="n"/>
      <c r="T65">
        <f>IF($B65="","",IF($W65=1,Settings!$C$6,Settings!$C$7)*100)</f>
        <v/>
      </c>
      <c r="U65">
        <f>IF($B65="","",IF(COUNTIF($B$2:$B65,$B65)=1,1,0))</f>
        <v/>
      </c>
      <c r="V65">
        <f>IF($U65=1,SUMPRODUCT(--($X$2:$X$1501&lt;$X65))+1,"")</f>
        <v/>
      </c>
      <c r="W65">
        <f>IF($B65="","",IF(OR($S65=TRUE(),$S65="TRUE"),1,0))</f>
        <v/>
      </c>
      <c r="X65">
        <f>IF($U65=1,IFERROR(IF(VALUE($B65)&lt;100000000,VALUE($B65),1000000000),IFERROR(IF(VALUE(MID($B65,2,20))&lt;100000000,VALUE(MID($B65,2,20)),1000000000),1000000000))+ROW()/100000,"")</f>
        <v/>
      </c>
    </row>
    <row r="66">
      <c r="A66">
        <f>IF($B66="","",IFERROR(IF(INDEX('Per Invoice'!$C$2:$C$401,MATCH($B66,'Per Invoice'!$A$2:$A$401,0))=0,"",INDEX('Per Invoice'!$C$2:$C$401,MATCH($B66,'Per Invoice'!$A$2:$A$401,0))),""))</f>
        <v/>
      </c>
      <c r="G66" s="7">
        <f>IF($B66="","",F66*L66/100)</f>
        <v/>
      </c>
      <c r="K66" s="7" t="n"/>
      <c r="L66" s="7" t="n"/>
      <c r="M66" s="7">
        <f>IF($B66="","",L66*T66/100)</f>
        <v/>
      </c>
      <c r="N66" s="7">
        <f>IF($B66="","",L66-M66)</f>
        <v/>
      </c>
      <c r="O66" s="7">
        <f>IF($B66="","",N66-G66)</f>
        <v/>
      </c>
      <c r="R66" s="14" t="n"/>
      <c r="T66">
        <f>IF($B66="","",IF($W66=1,Settings!$C$6,Settings!$C$7)*100)</f>
        <v/>
      </c>
      <c r="U66">
        <f>IF($B66="","",IF(COUNTIF($B$2:$B66,$B66)=1,1,0))</f>
        <v/>
      </c>
      <c r="V66">
        <f>IF($U66=1,SUMPRODUCT(--($X$2:$X$1501&lt;$X66))+1,"")</f>
        <v/>
      </c>
      <c r="W66">
        <f>IF($B66="","",IF(OR($S66=TRUE(),$S66="TRUE"),1,0))</f>
        <v/>
      </c>
      <c r="X66">
        <f>IF($U66=1,IFERROR(IF(VALUE($B66)&lt;100000000,VALUE($B66),1000000000),IFERROR(IF(VALUE(MID($B66,2,20))&lt;100000000,VALUE(MID($B66,2,20)),1000000000),1000000000))+ROW()/100000,"")</f>
        <v/>
      </c>
    </row>
    <row r="67">
      <c r="A67">
        <f>IF($B67="","",IFERROR(IF(INDEX('Per Invoice'!$C$2:$C$401,MATCH($B67,'Per Invoice'!$A$2:$A$401,0))=0,"",INDEX('Per Invoice'!$C$2:$C$401,MATCH($B67,'Per Invoice'!$A$2:$A$401,0))),""))</f>
        <v/>
      </c>
      <c r="G67" s="7">
        <f>IF($B67="","",F67*L67/100)</f>
        <v/>
      </c>
      <c r="K67" s="7" t="n"/>
      <c r="L67" s="7" t="n"/>
      <c r="M67" s="7">
        <f>IF($B67="","",L67*T67/100)</f>
        <v/>
      </c>
      <c r="N67" s="7">
        <f>IF($B67="","",L67-M67)</f>
        <v/>
      </c>
      <c r="O67" s="7">
        <f>IF($B67="","",N67-G67)</f>
        <v/>
      </c>
      <c r="R67" s="14" t="n"/>
      <c r="T67">
        <f>IF($B67="","",IF($W67=1,Settings!$C$6,Settings!$C$7)*100)</f>
        <v/>
      </c>
      <c r="U67">
        <f>IF($B67="","",IF(COUNTIF($B$2:$B67,$B67)=1,1,0))</f>
        <v/>
      </c>
      <c r="V67">
        <f>IF($U67=1,SUMPRODUCT(--($X$2:$X$1501&lt;$X67))+1,"")</f>
        <v/>
      </c>
      <c r="W67">
        <f>IF($B67="","",IF(OR($S67=TRUE(),$S67="TRUE"),1,0))</f>
        <v/>
      </c>
      <c r="X67">
        <f>IF($U67=1,IFERROR(IF(VALUE($B67)&lt;100000000,VALUE($B67),1000000000),IFERROR(IF(VALUE(MID($B67,2,20))&lt;100000000,VALUE(MID($B67,2,20)),1000000000),1000000000))+ROW()/100000,"")</f>
        <v/>
      </c>
    </row>
    <row r="68">
      <c r="A68">
        <f>IF($B68="","",IFERROR(IF(INDEX('Per Invoice'!$C$2:$C$401,MATCH($B68,'Per Invoice'!$A$2:$A$401,0))=0,"",INDEX('Per Invoice'!$C$2:$C$401,MATCH($B68,'Per Invoice'!$A$2:$A$401,0))),""))</f>
        <v/>
      </c>
      <c r="G68" s="7">
        <f>IF($B68="","",F68*L68/100)</f>
        <v/>
      </c>
      <c r="K68" s="7" t="n"/>
      <c r="L68" s="7" t="n"/>
      <c r="M68" s="7">
        <f>IF($B68="","",L68*T68/100)</f>
        <v/>
      </c>
      <c r="N68" s="7">
        <f>IF($B68="","",L68-M68)</f>
        <v/>
      </c>
      <c r="O68" s="7">
        <f>IF($B68="","",N68-G68)</f>
        <v/>
      </c>
      <c r="R68" s="14" t="n"/>
      <c r="T68">
        <f>IF($B68="","",IF($W68=1,Settings!$C$6,Settings!$C$7)*100)</f>
        <v/>
      </c>
      <c r="U68">
        <f>IF($B68="","",IF(COUNTIF($B$2:$B68,$B68)=1,1,0))</f>
        <v/>
      </c>
      <c r="V68">
        <f>IF($U68=1,SUMPRODUCT(--($X$2:$X$1501&lt;$X68))+1,"")</f>
        <v/>
      </c>
      <c r="W68">
        <f>IF($B68="","",IF(OR($S68=TRUE(),$S68="TRUE"),1,0))</f>
        <v/>
      </c>
      <c r="X68">
        <f>IF($U68=1,IFERROR(IF(VALUE($B68)&lt;100000000,VALUE($B68),1000000000),IFERROR(IF(VALUE(MID($B68,2,20))&lt;100000000,VALUE(MID($B68,2,20)),1000000000),1000000000))+ROW()/100000,"")</f>
        <v/>
      </c>
    </row>
    <row r="69">
      <c r="A69">
        <f>IF($B69="","",IFERROR(IF(INDEX('Per Invoice'!$C$2:$C$401,MATCH($B69,'Per Invoice'!$A$2:$A$401,0))=0,"",INDEX('Per Invoice'!$C$2:$C$401,MATCH($B69,'Per Invoice'!$A$2:$A$401,0))),""))</f>
        <v/>
      </c>
      <c r="G69" s="7">
        <f>IF($B69="","",F69*L69/100)</f>
        <v/>
      </c>
      <c r="K69" s="7" t="n"/>
      <c r="L69" s="7" t="n"/>
      <c r="M69" s="7">
        <f>IF($B69="","",L69*T69/100)</f>
        <v/>
      </c>
      <c r="N69" s="7">
        <f>IF($B69="","",L69-M69)</f>
        <v/>
      </c>
      <c r="O69" s="7">
        <f>IF($B69="","",N69-G69)</f>
        <v/>
      </c>
      <c r="R69" s="14" t="n"/>
      <c r="T69">
        <f>IF($B69="","",IF($W69=1,Settings!$C$6,Settings!$C$7)*100)</f>
        <v/>
      </c>
      <c r="U69">
        <f>IF($B69="","",IF(COUNTIF($B$2:$B69,$B69)=1,1,0))</f>
        <v/>
      </c>
      <c r="V69">
        <f>IF($U69=1,SUMPRODUCT(--($X$2:$X$1501&lt;$X69))+1,"")</f>
        <v/>
      </c>
      <c r="W69">
        <f>IF($B69="","",IF(OR($S69=TRUE(),$S69="TRUE"),1,0))</f>
        <v/>
      </c>
      <c r="X69">
        <f>IF($U69=1,IFERROR(IF(VALUE($B69)&lt;100000000,VALUE($B69),1000000000),IFERROR(IF(VALUE(MID($B69,2,20))&lt;100000000,VALUE(MID($B69,2,20)),1000000000),1000000000))+ROW()/100000,"")</f>
        <v/>
      </c>
    </row>
    <row r="70">
      <c r="A70">
        <f>IF($B70="","",IFERROR(IF(INDEX('Per Invoice'!$C$2:$C$401,MATCH($B70,'Per Invoice'!$A$2:$A$401,0))=0,"",INDEX('Per Invoice'!$C$2:$C$401,MATCH($B70,'Per Invoice'!$A$2:$A$401,0))),""))</f>
        <v/>
      </c>
      <c r="G70" s="7">
        <f>IF($B70="","",F70*L70/100)</f>
        <v/>
      </c>
      <c r="K70" s="7" t="n"/>
      <c r="L70" s="7" t="n"/>
      <c r="M70" s="7">
        <f>IF($B70="","",L70*T70/100)</f>
        <v/>
      </c>
      <c r="N70" s="7">
        <f>IF($B70="","",L70-M70)</f>
        <v/>
      </c>
      <c r="O70" s="7">
        <f>IF($B70="","",N70-G70)</f>
        <v/>
      </c>
      <c r="R70" s="14" t="n"/>
      <c r="T70">
        <f>IF($B70="","",IF($W70=1,Settings!$C$6,Settings!$C$7)*100)</f>
        <v/>
      </c>
      <c r="U70">
        <f>IF($B70="","",IF(COUNTIF($B$2:$B70,$B70)=1,1,0))</f>
        <v/>
      </c>
      <c r="V70">
        <f>IF($U70=1,SUMPRODUCT(--($X$2:$X$1501&lt;$X70))+1,"")</f>
        <v/>
      </c>
      <c r="W70">
        <f>IF($B70="","",IF(OR($S70=TRUE(),$S70="TRUE"),1,0))</f>
        <v/>
      </c>
      <c r="X70">
        <f>IF($U70=1,IFERROR(IF(VALUE($B70)&lt;100000000,VALUE($B70),1000000000),IFERROR(IF(VALUE(MID($B70,2,20))&lt;100000000,VALUE(MID($B70,2,20)),1000000000),1000000000))+ROW()/100000,"")</f>
        <v/>
      </c>
    </row>
    <row r="71">
      <c r="A71">
        <f>IF($B71="","",IFERROR(IF(INDEX('Per Invoice'!$C$2:$C$401,MATCH($B71,'Per Invoice'!$A$2:$A$401,0))=0,"",INDEX('Per Invoice'!$C$2:$C$401,MATCH($B71,'Per Invoice'!$A$2:$A$401,0))),""))</f>
        <v/>
      </c>
      <c r="G71" s="7">
        <f>IF($B71="","",F71*L71/100)</f>
        <v/>
      </c>
      <c r="K71" s="7" t="n"/>
      <c r="L71" s="7" t="n"/>
      <c r="M71" s="7">
        <f>IF($B71="","",L71*T71/100)</f>
        <v/>
      </c>
      <c r="N71" s="7">
        <f>IF($B71="","",L71-M71)</f>
        <v/>
      </c>
      <c r="O71" s="7">
        <f>IF($B71="","",N71-G71)</f>
        <v/>
      </c>
      <c r="R71" s="14" t="n"/>
      <c r="T71">
        <f>IF($B71="","",IF($W71=1,Settings!$C$6,Settings!$C$7)*100)</f>
        <v/>
      </c>
      <c r="U71">
        <f>IF($B71="","",IF(COUNTIF($B$2:$B71,$B71)=1,1,0))</f>
        <v/>
      </c>
      <c r="V71">
        <f>IF($U71=1,SUMPRODUCT(--($X$2:$X$1501&lt;$X71))+1,"")</f>
        <v/>
      </c>
      <c r="W71">
        <f>IF($B71="","",IF(OR($S71=TRUE(),$S71="TRUE"),1,0))</f>
        <v/>
      </c>
      <c r="X71">
        <f>IF($U71=1,IFERROR(IF(VALUE($B71)&lt;100000000,VALUE($B71),1000000000),IFERROR(IF(VALUE(MID($B71,2,20))&lt;100000000,VALUE(MID($B71,2,20)),1000000000),1000000000))+ROW()/100000,"")</f>
        <v/>
      </c>
    </row>
    <row r="72">
      <c r="A72">
        <f>IF($B72="","",IFERROR(IF(INDEX('Per Invoice'!$C$2:$C$401,MATCH($B72,'Per Invoice'!$A$2:$A$401,0))=0,"",INDEX('Per Invoice'!$C$2:$C$401,MATCH($B72,'Per Invoice'!$A$2:$A$401,0))),""))</f>
        <v/>
      </c>
      <c r="G72" s="7">
        <f>IF($B72="","",F72*L72/100)</f>
        <v/>
      </c>
      <c r="K72" s="7" t="n"/>
      <c r="L72" s="7" t="n"/>
      <c r="M72" s="7">
        <f>IF($B72="","",L72*T72/100)</f>
        <v/>
      </c>
      <c r="N72" s="7">
        <f>IF($B72="","",L72-M72)</f>
        <v/>
      </c>
      <c r="O72" s="7">
        <f>IF($B72="","",N72-G72)</f>
        <v/>
      </c>
      <c r="R72" s="14" t="n"/>
      <c r="T72">
        <f>IF($B72="","",IF($W72=1,Settings!$C$6,Settings!$C$7)*100)</f>
        <v/>
      </c>
      <c r="U72">
        <f>IF($B72="","",IF(COUNTIF($B$2:$B72,$B72)=1,1,0))</f>
        <v/>
      </c>
      <c r="V72">
        <f>IF($U72=1,SUMPRODUCT(--($X$2:$X$1501&lt;$X72))+1,"")</f>
        <v/>
      </c>
      <c r="W72">
        <f>IF($B72="","",IF(OR($S72=TRUE(),$S72="TRUE"),1,0))</f>
        <v/>
      </c>
      <c r="X72">
        <f>IF($U72=1,IFERROR(IF(VALUE($B72)&lt;100000000,VALUE($B72),1000000000),IFERROR(IF(VALUE(MID($B72,2,20))&lt;100000000,VALUE(MID($B72,2,20)),1000000000),1000000000))+ROW()/100000,"")</f>
        <v/>
      </c>
    </row>
    <row r="73">
      <c r="A73">
        <f>IF($B73="","",IFERROR(IF(INDEX('Per Invoice'!$C$2:$C$401,MATCH($B73,'Per Invoice'!$A$2:$A$401,0))=0,"",INDEX('Per Invoice'!$C$2:$C$401,MATCH($B73,'Per Invoice'!$A$2:$A$401,0))),""))</f>
        <v/>
      </c>
      <c r="G73" s="7">
        <f>IF($B73="","",F73*L73/100)</f>
        <v/>
      </c>
      <c r="K73" s="7" t="n"/>
      <c r="L73" s="7" t="n"/>
      <c r="M73" s="7">
        <f>IF($B73="","",L73*T73/100)</f>
        <v/>
      </c>
      <c r="N73" s="7">
        <f>IF($B73="","",L73-M73)</f>
        <v/>
      </c>
      <c r="O73" s="7">
        <f>IF($B73="","",N73-G73)</f>
        <v/>
      </c>
      <c r="R73" s="14" t="n"/>
      <c r="T73">
        <f>IF($B73="","",IF($W73=1,Settings!$C$6,Settings!$C$7)*100)</f>
        <v/>
      </c>
      <c r="U73">
        <f>IF($B73="","",IF(COUNTIF($B$2:$B73,$B73)=1,1,0))</f>
        <v/>
      </c>
      <c r="V73">
        <f>IF($U73=1,SUMPRODUCT(--($X$2:$X$1501&lt;$X73))+1,"")</f>
        <v/>
      </c>
      <c r="W73">
        <f>IF($B73="","",IF(OR($S73=TRUE(),$S73="TRUE"),1,0))</f>
        <v/>
      </c>
      <c r="X73">
        <f>IF($U73=1,IFERROR(IF(VALUE($B73)&lt;100000000,VALUE($B73),1000000000),IFERROR(IF(VALUE(MID($B73,2,20))&lt;100000000,VALUE(MID($B73,2,20)),1000000000),1000000000))+ROW()/100000,"")</f>
        <v/>
      </c>
    </row>
    <row r="74">
      <c r="A74">
        <f>IF($B74="","",IFERROR(IF(INDEX('Per Invoice'!$C$2:$C$401,MATCH($B74,'Per Invoice'!$A$2:$A$401,0))=0,"",INDEX('Per Invoice'!$C$2:$C$401,MATCH($B74,'Per Invoice'!$A$2:$A$401,0))),""))</f>
        <v/>
      </c>
      <c r="G74" s="7">
        <f>IF($B74="","",F74*L74/100)</f>
        <v/>
      </c>
      <c r="K74" s="7" t="n"/>
      <c r="L74" s="7" t="n"/>
      <c r="M74" s="7">
        <f>IF($B74="","",L74*T74/100)</f>
        <v/>
      </c>
      <c r="N74" s="7">
        <f>IF($B74="","",L74-M74)</f>
        <v/>
      </c>
      <c r="O74" s="7">
        <f>IF($B74="","",N74-G74)</f>
        <v/>
      </c>
      <c r="R74" s="14" t="n"/>
      <c r="T74">
        <f>IF($B74="","",IF($W74=1,Settings!$C$6,Settings!$C$7)*100)</f>
        <v/>
      </c>
      <c r="U74">
        <f>IF($B74="","",IF(COUNTIF($B$2:$B74,$B74)=1,1,0))</f>
        <v/>
      </c>
      <c r="V74">
        <f>IF($U74=1,SUMPRODUCT(--($X$2:$X$1501&lt;$X74))+1,"")</f>
        <v/>
      </c>
      <c r="W74">
        <f>IF($B74="","",IF(OR($S74=TRUE(),$S74="TRUE"),1,0))</f>
        <v/>
      </c>
      <c r="X74">
        <f>IF($U74=1,IFERROR(IF(VALUE($B74)&lt;100000000,VALUE($B74),1000000000),IFERROR(IF(VALUE(MID($B74,2,20))&lt;100000000,VALUE(MID($B74,2,20)),1000000000),1000000000))+ROW()/100000,"")</f>
        <v/>
      </c>
    </row>
    <row r="75">
      <c r="A75">
        <f>IF($B75="","",IFERROR(IF(INDEX('Per Invoice'!$C$2:$C$401,MATCH($B75,'Per Invoice'!$A$2:$A$401,0))=0,"",INDEX('Per Invoice'!$C$2:$C$401,MATCH($B75,'Per Invoice'!$A$2:$A$401,0))),""))</f>
        <v/>
      </c>
      <c r="G75" s="7">
        <f>IF($B75="","",F75*L75/100)</f>
        <v/>
      </c>
      <c r="K75" s="7" t="n"/>
      <c r="L75" s="7" t="n"/>
      <c r="M75" s="7">
        <f>IF($B75="","",L75*T75/100)</f>
        <v/>
      </c>
      <c r="N75" s="7">
        <f>IF($B75="","",L75-M75)</f>
        <v/>
      </c>
      <c r="O75" s="7">
        <f>IF($B75="","",N75-G75)</f>
        <v/>
      </c>
      <c r="R75" s="14" t="n"/>
      <c r="T75">
        <f>IF($B75="","",IF($W75=1,Settings!$C$6,Settings!$C$7)*100)</f>
        <v/>
      </c>
      <c r="U75">
        <f>IF($B75="","",IF(COUNTIF($B$2:$B75,$B75)=1,1,0))</f>
        <v/>
      </c>
      <c r="V75">
        <f>IF($U75=1,SUMPRODUCT(--($X$2:$X$1501&lt;$X75))+1,"")</f>
        <v/>
      </c>
      <c r="W75">
        <f>IF($B75="","",IF(OR($S75=TRUE(),$S75="TRUE"),1,0))</f>
        <v/>
      </c>
      <c r="X75">
        <f>IF($U75=1,IFERROR(IF(VALUE($B75)&lt;100000000,VALUE($B75),1000000000),IFERROR(IF(VALUE(MID($B75,2,20))&lt;100000000,VALUE(MID($B75,2,20)),1000000000),1000000000))+ROW()/100000,"")</f>
        <v/>
      </c>
    </row>
    <row r="76">
      <c r="A76">
        <f>IF($B76="","",IFERROR(IF(INDEX('Per Invoice'!$C$2:$C$401,MATCH($B76,'Per Invoice'!$A$2:$A$401,0))=0,"",INDEX('Per Invoice'!$C$2:$C$401,MATCH($B76,'Per Invoice'!$A$2:$A$401,0))),""))</f>
        <v/>
      </c>
      <c r="G76" s="7">
        <f>IF($B76="","",F76*L76/100)</f>
        <v/>
      </c>
      <c r="K76" s="7" t="n"/>
      <c r="L76" s="7" t="n"/>
      <c r="M76" s="7">
        <f>IF($B76="","",L76*T76/100)</f>
        <v/>
      </c>
      <c r="N76" s="7">
        <f>IF($B76="","",L76-M76)</f>
        <v/>
      </c>
      <c r="O76" s="7">
        <f>IF($B76="","",N76-G76)</f>
        <v/>
      </c>
      <c r="R76" s="14" t="n"/>
      <c r="T76">
        <f>IF($B76="","",IF($W76=1,Settings!$C$6,Settings!$C$7)*100)</f>
        <v/>
      </c>
      <c r="U76">
        <f>IF($B76="","",IF(COUNTIF($B$2:$B76,$B76)=1,1,0))</f>
        <v/>
      </c>
      <c r="V76">
        <f>IF($U76=1,SUMPRODUCT(--($X$2:$X$1501&lt;$X76))+1,"")</f>
        <v/>
      </c>
      <c r="W76">
        <f>IF($B76="","",IF(OR($S76=TRUE(),$S76="TRUE"),1,0))</f>
        <v/>
      </c>
      <c r="X76">
        <f>IF($U76=1,IFERROR(IF(VALUE($B76)&lt;100000000,VALUE($B76),1000000000),IFERROR(IF(VALUE(MID($B76,2,20))&lt;100000000,VALUE(MID($B76,2,20)),1000000000),1000000000))+ROW()/100000,"")</f>
        <v/>
      </c>
    </row>
    <row r="77">
      <c r="A77">
        <f>IF($B77="","",IFERROR(IF(INDEX('Per Invoice'!$C$2:$C$401,MATCH($B77,'Per Invoice'!$A$2:$A$401,0))=0,"",INDEX('Per Invoice'!$C$2:$C$401,MATCH($B77,'Per Invoice'!$A$2:$A$401,0))),""))</f>
        <v/>
      </c>
      <c r="G77" s="7">
        <f>IF($B77="","",F77*L77/100)</f>
        <v/>
      </c>
      <c r="K77" s="7" t="n"/>
      <c r="L77" s="7" t="n"/>
      <c r="M77" s="7">
        <f>IF($B77="","",L77*T77/100)</f>
        <v/>
      </c>
      <c r="N77" s="7">
        <f>IF($B77="","",L77-M77)</f>
        <v/>
      </c>
      <c r="O77" s="7">
        <f>IF($B77="","",N77-G77)</f>
        <v/>
      </c>
      <c r="R77" s="14" t="n"/>
      <c r="T77">
        <f>IF($B77="","",IF($W77=1,Settings!$C$6,Settings!$C$7)*100)</f>
        <v/>
      </c>
      <c r="U77">
        <f>IF($B77="","",IF(COUNTIF($B$2:$B77,$B77)=1,1,0))</f>
        <v/>
      </c>
      <c r="V77">
        <f>IF($U77=1,SUMPRODUCT(--($X$2:$X$1501&lt;$X77))+1,"")</f>
        <v/>
      </c>
      <c r="W77">
        <f>IF($B77="","",IF(OR($S77=TRUE(),$S77="TRUE"),1,0))</f>
        <v/>
      </c>
      <c r="X77">
        <f>IF($U77=1,IFERROR(IF(VALUE($B77)&lt;100000000,VALUE($B77),1000000000),IFERROR(IF(VALUE(MID($B77,2,20))&lt;100000000,VALUE(MID($B77,2,20)),1000000000),1000000000))+ROW()/100000,"")</f>
        <v/>
      </c>
    </row>
    <row r="78">
      <c r="A78">
        <f>IF($B78="","",IFERROR(IF(INDEX('Per Invoice'!$C$2:$C$401,MATCH($B78,'Per Invoice'!$A$2:$A$401,0))=0,"",INDEX('Per Invoice'!$C$2:$C$401,MATCH($B78,'Per Invoice'!$A$2:$A$401,0))),""))</f>
        <v/>
      </c>
      <c r="G78" s="7">
        <f>IF($B78="","",F78*L78/100)</f>
        <v/>
      </c>
      <c r="K78" s="7" t="n"/>
      <c r="L78" s="7" t="n"/>
      <c r="M78" s="7">
        <f>IF($B78="","",L78*T78/100)</f>
        <v/>
      </c>
      <c r="N78" s="7">
        <f>IF($B78="","",L78-M78)</f>
        <v/>
      </c>
      <c r="O78" s="7">
        <f>IF($B78="","",N78-G78)</f>
        <v/>
      </c>
      <c r="R78" s="14" t="n"/>
      <c r="T78">
        <f>IF($B78="","",IF($W78=1,Settings!$C$6,Settings!$C$7)*100)</f>
        <v/>
      </c>
      <c r="U78">
        <f>IF($B78="","",IF(COUNTIF($B$2:$B78,$B78)=1,1,0))</f>
        <v/>
      </c>
      <c r="V78">
        <f>IF($U78=1,SUMPRODUCT(--($X$2:$X$1501&lt;$X78))+1,"")</f>
        <v/>
      </c>
      <c r="W78">
        <f>IF($B78="","",IF(OR($S78=TRUE(),$S78="TRUE"),1,0))</f>
        <v/>
      </c>
      <c r="X78">
        <f>IF($U78=1,IFERROR(IF(VALUE($B78)&lt;100000000,VALUE($B78),1000000000),IFERROR(IF(VALUE(MID($B78,2,20))&lt;100000000,VALUE(MID($B78,2,20)),1000000000),1000000000))+ROW()/100000,"")</f>
        <v/>
      </c>
    </row>
    <row r="79">
      <c r="A79">
        <f>IF($B79="","",IFERROR(IF(INDEX('Per Invoice'!$C$2:$C$401,MATCH($B79,'Per Invoice'!$A$2:$A$401,0))=0,"",INDEX('Per Invoice'!$C$2:$C$401,MATCH($B79,'Per Invoice'!$A$2:$A$401,0))),""))</f>
        <v/>
      </c>
      <c r="G79" s="7">
        <f>IF($B79="","",F79*L79/100)</f>
        <v/>
      </c>
      <c r="K79" s="7" t="n"/>
      <c r="L79" s="7" t="n"/>
      <c r="M79" s="7">
        <f>IF($B79="","",L79*T79/100)</f>
        <v/>
      </c>
      <c r="N79" s="7">
        <f>IF($B79="","",L79-M79)</f>
        <v/>
      </c>
      <c r="O79" s="7">
        <f>IF($B79="","",N79-G79)</f>
        <v/>
      </c>
      <c r="R79" s="14" t="n"/>
      <c r="T79">
        <f>IF($B79="","",IF($W79=1,Settings!$C$6,Settings!$C$7)*100)</f>
        <v/>
      </c>
      <c r="U79">
        <f>IF($B79="","",IF(COUNTIF($B$2:$B79,$B79)=1,1,0))</f>
        <v/>
      </c>
      <c r="V79">
        <f>IF($U79=1,SUMPRODUCT(--($X$2:$X$1501&lt;$X79))+1,"")</f>
        <v/>
      </c>
      <c r="W79">
        <f>IF($B79="","",IF(OR($S79=TRUE(),$S79="TRUE"),1,0))</f>
        <v/>
      </c>
      <c r="X79">
        <f>IF($U79=1,IFERROR(IF(VALUE($B79)&lt;100000000,VALUE($B79),1000000000),IFERROR(IF(VALUE(MID($B79,2,20))&lt;100000000,VALUE(MID($B79,2,20)),1000000000),1000000000))+ROW()/100000,"")</f>
        <v/>
      </c>
    </row>
    <row r="80">
      <c r="A80">
        <f>IF($B80="","",IFERROR(IF(INDEX('Per Invoice'!$C$2:$C$401,MATCH($B80,'Per Invoice'!$A$2:$A$401,0))=0,"",INDEX('Per Invoice'!$C$2:$C$401,MATCH($B80,'Per Invoice'!$A$2:$A$401,0))),""))</f>
        <v/>
      </c>
      <c r="G80" s="7">
        <f>IF($B80="","",F80*L80/100)</f>
        <v/>
      </c>
      <c r="K80" s="7" t="n"/>
      <c r="L80" s="7" t="n"/>
      <c r="M80" s="7">
        <f>IF($B80="","",L80*T80/100)</f>
        <v/>
      </c>
      <c r="N80" s="7">
        <f>IF($B80="","",L80-M80)</f>
        <v/>
      </c>
      <c r="O80" s="7">
        <f>IF($B80="","",N80-G80)</f>
        <v/>
      </c>
      <c r="R80" s="14" t="n"/>
      <c r="T80">
        <f>IF($B80="","",IF($W80=1,Settings!$C$6,Settings!$C$7)*100)</f>
        <v/>
      </c>
      <c r="U80">
        <f>IF($B80="","",IF(COUNTIF($B$2:$B80,$B80)=1,1,0))</f>
        <v/>
      </c>
      <c r="V80">
        <f>IF($U80=1,SUMPRODUCT(--($X$2:$X$1501&lt;$X80))+1,"")</f>
        <v/>
      </c>
      <c r="W80">
        <f>IF($B80="","",IF(OR($S80=TRUE(),$S80="TRUE"),1,0))</f>
        <v/>
      </c>
      <c r="X80">
        <f>IF($U80=1,IFERROR(IF(VALUE($B80)&lt;100000000,VALUE($B80),1000000000),IFERROR(IF(VALUE(MID($B80,2,20))&lt;100000000,VALUE(MID($B80,2,20)),1000000000),1000000000))+ROW()/100000,"")</f>
        <v/>
      </c>
    </row>
    <row r="81">
      <c r="A81">
        <f>IF($B81="","",IFERROR(IF(INDEX('Per Invoice'!$C$2:$C$401,MATCH($B81,'Per Invoice'!$A$2:$A$401,0))=0,"",INDEX('Per Invoice'!$C$2:$C$401,MATCH($B81,'Per Invoice'!$A$2:$A$401,0))),""))</f>
        <v/>
      </c>
      <c r="G81" s="7">
        <f>IF($B81="","",F81*L81/100)</f>
        <v/>
      </c>
      <c r="K81" s="7" t="n"/>
      <c r="L81" s="7" t="n"/>
      <c r="M81" s="7">
        <f>IF($B81="","",L81*T81/100)</f>
        <v/>
      </c>
      <c r="N81" s="7">
        <f>IF($B81="","",L81-M81)</f>
        <v/>
      </c>
      <c r="O81" s="7">
        <f>IF($B81="","",N81-G81)</f>
        <v/>
      </c>
      <c r="R81" s="14" t="n"/>
      <c r="T81">
        <f>IF($B81="","",IF($W81=1,Settings!$C$6,Settings!$C$7)*100)</f>
        <v/>
      </c>
      <c r="U81">
        <f>IF($B81="","",IF(COUNTIF($B$2:$B81,$B81)=1,1,0))</f>
        <v/>
      </c>
      <c r="V81">
        <f>IF($U81=1,SUMPRODUCT(--($X$2:$X$1501&lt;$X81))+1,"")</f>
        <v/>
      </c>
      <c r="W81">
        <f>IF($B81="","",IF(OR($S81=TRUE(),$S81="TRUE"),1,0))</f>
        <v/>
      </c>
      <c r="X81">
        <f>IF($U81=1,IFERROR(IF(VALUE($B81)&lt;100000000,VALUE($B81),1000000000),IFERROR(IF(VALUE(MID($B81,2,20))&lt;100000000,VALUE(MID($B81,2,20)),1000000000),1000000000))+ROW()/100000,"")</f>
        <v/>
      </c>
    </row>
    <row r="82">
      <c r="A82">
        <f>IF($B82="","",IFERROR(IF(INDEX('Per Invoice'!$C$2:$C$401,MATCH($B82,'Per Invoice'!$A$2:$A$401,0))=0,"",INDEX('Per Invoice'!$C$2:$C$401,MATCH($B82,'Per Invoice'!$A$2:$A$401,0))),""))</f>
        <v/>
      </c>
      <c r="G82" s="7">
        <f>IF($B82="","",F82*L82/100)</f>
        <v/>
      </c>
      <c r="K82" s="7" t="n"/>
      <c r="L82" s="7" t="n"/>
      <c r="M82" s="7">
        <f>IF($B82="","",L82*T82/100)</f>
        <v/>
      </c>
      <c r="N82" s="7">
        <f>IF($B82="","",L82-M82)</f>
        <v/>
      </c>
      <c r="O82" s="7">
        <f>IF($B82="","",N82-G82)</f>
        <v/>
      </c>
      <c r="R82" s="14" t="n"/>
      <c r="T82">
        <f>IF($B82="","",IF($W82=1,Settings!$C$6,Settings!$C$7)*100)</f>
        <v/>
      </c>
      <c r="U82">
        <f>IF($B82="","",IF(COUNTIF($B$2:$B82,$B82)=1,1,0))</f>
        <v/>
      </c>
      <c r="V82">
        <f>IF($U82=1,SUMPRODUCT(--($X$2:$X$1501&lt;$X82))+1,"")</f>
        <v/>
      </c>
      <c r="W82">
        <f>IF($B82="","",IF(OR($S82=TRUE(),$S82="TRUE"),1,0))</f>
        <v/>
      </c>
      <c r="X82">
        <f>IF($U82=1,IFERROR(IF(VALUE($B82)&lt;100000000,VALUE($B82),1000000000),IFERROR(IF(VALUE(MID($B82,2,20))&lt;100000000,VALUE(MID($B82,2,20)),1000000000),1000000000))+ROW()/100000,"")</f>
        <v/>
      </c>
    </row>
    <row r="83">
      <c r="A83">
        <f>IF($B83="","",IFERROR(IF(INDEX('Per Invoice'!$C$2:$C$401,MATCH($B83,'Per Invoice'!$A$2:$A$401,0))=0,"",INDEX('Per Invoice'!$C$2:$C$401,MATCH($B83,'Per Invoice'!$A$2:$A$401,0))),""))</f>
        <v/>
      </c>
      <c r="G83" s="7">
        <f>IF($B83="","",F83*L83/100)</f>
        <v/>
      </c>
      <c r="K83" s="7" t="n"/>
      <c r="L83" s="7" t="n"/>
      <c r="M83" s="7">
        <f>IF($B83="","",L83*T83/100)</f>
        <v/>
      </c>
      <c r="N83" s="7">
        <f>IF($B83="","",L83-M83)</f>
        <v/>
      </c>
      <c r="O83" s="7">
        <f>IF($B83="","",N83-G83)</f>
        <v/>
      </c>
      <c r="R83" s="14" t="n"/>
      <c r="T83">
        <f>IF($B83="","",IF($W83=1,Settings!$C$6,Settings!$C$7)*100)</f>
        <v/>
      </c>
      <c r="U83">
        <f>IF($B83="","",IF(COUNTIF($B$2:$B83,$B83)=1,1,0))</f>
        <v/>
      </c>
      <c r="V83">
        <f>IF($U83=1,SUMPRODUCT(--($X$2:$X$1501&lt;$X83))+1,"")</f>
        <v/>
      </c>
      <c r="W83">
        <f>IF($B83="","",IF(OR($S83=TRUE(),$S83="TRUE"),1,0))</f>
        <v/>
      </c>
      <c r="X83">
        <f>IF($U83=1,IFERROR(IF(VALUE($B83)&lt;100000000,VALUE($B83),1000000000),IFERROR(IF(VALUE(MID($B83,2,20))&lt;100000000,VALUE(MID($B83,2,20)),1000000000),1000000000))+ROW()/100000,"")</f>
        <v/>
      </c>
    </row>
    <row r="84">
      <c r="A84">
        <f>IF($B84="","",IFERROR(IF(INDEX('Per Invoice'!$C$2:$C$401,MATCH($B84,'Per Invoice'!$A$2:$A$401,0))=0,"",INDEX('Per Invoice'!$C$2:$C$401,MATCH($B84,'Per Invoice'!$A$2:$A$401,0))),""))</f>
        <v/>
      </c>
      <c r="G84" s="7">
        <f>IF($B84="","",F84*L84/100)</f>
        <v/>
      </c>
      <c r="K84" s="7" t="n"/>
      <c r="L84" s="7" t="n"/>
      <c r="M84" s="7">
        <f>IF($B84="","",L84*T84/100)</f>
        <v/>
      </c>
      <c r="N84" s="7">
        <f>IF($B84="","",L84-M84)</f>
        <v/>
      </c>
      <c r="O84" s="7">
        <f>IF($B84="","",N84-G84)</f>
        <v/>
      </c>
      <c r="R84" s="14" t="n"/>
      <c r="T84">
        <f>IF($B84="","",IF($W84=1,Settings!$C$6,Settings!$C$7)*100)</f>
        <v/>
      </c>
      <c r="U84">
        <f>IF($B84="","",IF(COUNTIF($B$2:$B84,$B84)=1,1,0))</f>
        <v/>
      </c>
      <c r="V84">
        <f>IF($U84=1,SUMPRODUCT(--($X$2:$X$1501&lt;$X84))+1,"")</f>
        <v/>
      </c>
      <c r="W84">
        <f>IF($B84="","",IF(OR($S84=TRUE(),$S84="TRUE"),1,0))</f>
        <v/>
      </c>
      <c r="X84">
        <f>IF($U84=1,IFERROR(IF(VALUE($B84)&lt;100000000,VALUE($B84),1000000000),IFERROR(IF(VALUE(MID($B84,2,20))&lt;100000000,VALUE(MID($B84,2,20)),1000000000),1000000000))+ROW()/100000,"")</f>
        <v/>
      </c>
    </row>
    <row r="85">
      <c r="A85">
        <f>IF($B85="","",IFERROR(IF(INDEX('Per Invoice'!$C$2:$C$401,MATCH($B85,'Per Invoice'!$A$2:$A$401,0))=0,"",INDEX('Per Invoice'!$C$2:$C$401,MATCH($B85,'Per Invoice'!$A$2:$A$401,0))),""))</f>
        <v/>
      </c>
      <c r="G85" s="7">
        <f>IF($B85="","",F85*L85/100)</f>
        <v/>
      </c>
      <c r="K85" s="7" t="n"/>
      <c r="L85" s="7" t="n"/>
      <c r="M85" s="7">
        <f>IF($B85="","",L85*T85/100)</f>
        <v/>
      </c>
      <c r="N85" s="7">
        <f>IF($B85="","",L85-M85)</f>
        <v/>
      </c>
      <c r="O85" s="7">
        <f>IF($B85="","",N85-G85)</f>
        <v/>
      </c>
      <c r="R85" s="14" t="n"/>
      <c r="T85">
        <f>IF($B85="","",IF($W85=1,Settings!$C$6,Settings!$C$7)*100)</f>
        <v/>
      </c>
      <c r="U85">
        <f>IF($B85="","",IF(COUNTIF($B$2:$B85,$B85)=1,1,0))</f>
        <v/>
      </c>
      <c r="V85">
        <f>IF($U85=1,SUMPRODUCT(--($X$2:$X$1501&lt;$X85))+1,"")</f>
        <v/>
      </c>
      <c r="W85">
        <f>IF($B85="","",IF(OR($S85=TRUE(),$S85="TRUE"),1,0))</f>
        <v/>
      </c>
      <c r="X85">
        <f>IF($U85=1,IFERROR(IF(VALUE($B85)&lt;100000000,VALUE($B85),1000000000),IFERROR(IF(VALUE(MID($B85,2,20))&lt;100000000,VALUE(MID($B85,2,20)),1000000000),1000000000))+ROW()/100000,"")</f>
        <v/>
      </c>
    </row>
    <row r="86">
      <c r="A86">
        <f>IF($B86="","",IFERROR(IF(INDEX('Per Invoice'!$C$2:$C$401,MATCH($B86,'Per Invoice'!$A$2:$A$401,0))=0,"",INDEX('Per Invoice'!$C$2:$C$401,MATCH($B86,'Per Invoice'!$A$2:$A$401,0))),""))</f>
        <v/>
      </c>
      <c r="G86" s="7">
        <f>IF($B86="","",F86*L86/100)</f>
        <v/>
      </c>
      <c r="K86" s="7" t="n"/>
      <c r="L86" s="7" t="n"/>
      <c r="M86" s="7">
        <f>IF($B86="","",L86*T86/100)</f>
        <v/>
      </c>
      <c r="N86" s="7">
        <f>IF($B86="","",L86-M86)</f>
        <v/>
      </c>
      <c r="O86" s="7">
        <f>IF($B86="","",N86-G86)</f>
        <v/>
      </c>
      <c r="R86" s="14" t="n"/>
      <c r="T86">
        <f>IF($B86="","",IF($W86=1,Settings!$C$6,Settings!$C$7)*100)</f>
        <v/>
      </c>
      <c r="U86">
        <f>IF($B86="","",IF(COUNTIF($B$2:$B86,$B86)=1,1,0))</f>
        <v/>
      </c>
      <c r="V86">
        <f>IF($U86=1,SUMPRODUCT(--($X$2:$X$1501&lt;$X86))+1,"")</f>
        <v/>
      </c>
      <c r="W86">
        <f>IF($B86="","",IF(OR($S86=TRUE(),$S86="TRUE"),1,0))</f>
        <v/>
      </c>
      <c r="X86">
        <f>IF($U86=1,IFERROR(IF(VALUE($B86)&lt;100000000,VALUE($B86),1000000000),IFERROR(IF(VALUE(MID($B86,2,20))&lt;100000000,VALUE(MID($B86,2,20)),1000000000),1000000000))+ROW()/100000,"")</f>
        <v/>
      </c>
    </row>
    <row r="87">
      <c r="A87">
        <f>IF($B87="","",IFERROR(IF(INDEX('Per Invoice'!$C$2:$C$401,MATCH($B87,'Per Invoice'!$A$2:$A$401,0))=0,"",INDEX('Per Invoice'!$C$2:$C$401,MATCH($B87,'Per Invoice'!$A$2:$A$401,0))),""))</f>
        <v/>
      </c>
      <c r="G87" s="7">
        <f>IF($B87="","",F87*L87/100)</f>
        <v/>
      </c>
      <c r="K87" s="7" t="n"/>
      <c r="L87" s="7" t="n"/>
      <c r="M87" s="7">
        <f>IF($B87="","",L87*T87/100)</f>
        <v/>
      </c>
      <c r="N87" s="7">
        <f>IF($B87="","",L87-M87)</f>
        <v/>
      </c>
      <c r="O87" s="7">
        <f>IF($B87="","",N87-G87)</f>
        <v/>
      </c>
      <c r="R87" s="14" t="n"/>
      <c r="T87">
        <f>IF($B87="","",IF($W87=1,Settings!$C$6,Settings!$C$7)*100)</f>
        <v/>
      </c>
      <c r="U87">
        <f>IF($B87="","",IF(COUNTIF($B$2:$B87,$B87)=1,1,0))</f>
        <v/>
      </c>
      <c r="V87">
        <f>IF($U87=1,SUMPRODUCT(--($X$2:$X$1501&lt;$X87))+1,"")</f>
        <v/>
      </c>
      <c r="W87">
        <f>IF($B87="","",IF(OR($S87=TRUE(),$S87="TRUE"),1,0))</f>
        <v/>
      </c>
      <c r="X87">
        <f>IF($U87=1,IFERROR(IF(VALUE($B87)&lt;100000000,VALUE($B87),1000000000),IFERROR(IF(VALUE(MID($B87,2,20))&lt;100000000,VALUE(MID($B87,2,20)),1000000000),1000000000))+ROW()/100000,"")</f>
        <v/>
      </c>
    </row>
    <row r="88">
      <c r="A88">
        <f>IF($B88="","",IFERROR(IF(INDEX('Per Invoice'!$C$2:$C$401,MATCH($B88,'Per Invoice'!$A$2:$A$401,0))=0,"",INDEX('Per Invoice'!$C$2:$C$401,MATCH($B88,'Per Invoice'!$A$2:$A$401,0))),""))</f>
        <v/>
      </c>
      <c r="G88" s="7">
        <f>IF($B88="","",F88*L88/100)</f>
        <v/>
      </c>
      <c r="K88" s="7" t="n"/>
      <c r="L88" s="7" t="n"/>
      <c r="M88" s="7">
        <f>IF($B88="","",L88*T88/100)</f>
        <v/>
      </c>
      <c r="N88" s="7">
        <f>IF($B88="","",L88-M88)</f>
        <v/>
      </c>
      <c r="O88" s="7">
        <f>IF($B88="","",N88-G88)</f>
        <v/>
      </c>
      <c r="R88" s="14" t="n"/>
      <c r="T88">
        <f>IF($B88="","",IF($W88=1,Settings!$C$6,Settings!$C$7)*100)</f>
        <v/>
      </c>
      <c r="U88">
        <f>IF($B88="","",IF(COUNTIF($B$2:$B88,$B88)=1,1,0))</f>
        <v/>
      </c>
      <c r="V88">
        <f>IF($U88=1,SUMPRODUCT(--($X$2:$X$1501&lt;$X88))+1,"")</f>
        <v/>
      </c>
      <c r="W88">
        <f>IF($B88="","",IF(OR($S88=TRUE(),$S88="TRUE"),1,0))</f>
        <v/>
      </c>
      <c r="X88">
        <f>IF($U88=1,IFERROR(IF(VALUE($B88)&lt;100000000,VALUE($B88),1000000000),IFERROR(IF(VALUE(MID($B88,2,20))&lt;100000000,VALUE(MID($B88,2,20)),1000000000),1000000000))+ROW()/100000,"")</f>
        <v/>
      </c>
    </row>
    <row r="89">
      <c r="A89">
        <f>IF($B89="","",IFERROR(IF(INDEX('Per Invoice'!$C$2:$C$401,MATCH($B89,'Per Invoice'!$A$2:$A$401,0))=0,"",INDEX('Per Invoice'!$C$2:$C$401,MATCH($B89,'Per Invoice'!$A$2:$A$401,0))),""))</f>
        <v/>
      </c>
      <c r="G89" s="7">
        <f>IF($B89="","",F89*L89/100)</f>
        <v/>
      </c>
      <c r="K89" s="7" t="n"/>
      <c r="L89" s="7" t="n"/>
      <c r="M89" s="7">
        <f>IF($B89="","",L89*T89/100)</f>
        <v/>
      </c>
      <c r="N89" s="7">
        <f>IF($B89="","",L89-M89)</f>
        <v/>
      </c>
      <c r="O89" s="7">
        <f>IF($B89="","",N89-G89)</f>
        <v/>
      </c>
      <c r="R89" s="14" t="n"/>
      <c r="T89">
        <f>IF($B89="","",IF($W89=1,Settings!$C$6,Settings!$C$7)*100)</f>
        <v/>
      </c>
      <c r="U89">
        <f>IF($B89="","",IF(COUNTIF($B$2:$B89,$B89)=1,1,0))</f>
        <v/>
      </c>
      <c r="V89">
        <f>IF($U89=1,SUMPRODUCT(--($X$2:$X$1501&lt;$X89))+1,"")</f>
        <v/>
      </c>
      <c r="W89">
        <f>IF($B89="","",IF(OR($S89=TRUE(),$S89="TRUE"),1,0))</f>
        <v/>
      </c>
      <c r="X89">
        <f>IF($U89=1,IFERROR(IF(VALUE($B89)&lt;100000000,VALUE($B89),1000000000),IFERROR(IF(VALUE(MID($B89,2,20))&lt;100000000,VALUE(MID($B89,2,20)),1000000000),1000000000))+ROW()/100000,"")</f>
        <v/>
      </c>
    </row>
    <row r="90">
      <c r="A90">
        <f>IF($B90="","",IFERROR(IF(INDEX('Per Invoice'!$C$2:$C$401,MATCH($B90,'Per Invoice'!$A$2:$A$401,0))=0,"",INDEX('Per Invoice'!$C$2:$C$401,MATCH($B90,'Per Invoice'!$A$2:$A$401,0))),""))</f>
        <v/>
      </c>
      <c r="G90" s="7">
        <f>IF($B90="","",F90*L90/100)</f>
        <v/>
      </c>
      <c r="K90" s="7" t="n"/>
      <c r="L90" s="7" t="n"/>
      <c r="M90" s="7">
        <f>IF($B90="","",L90*T90/100)</f>
        <v/>
      </c>
      <c r="N90" s="7">
        <f>IF($B90="","",L90-M90)</f>
        <v/>
      </c>
      <c r="O90" s="7">
        <f>IF($B90="","",N90-G90)</f>
        <v/>
      </c>
      <c r="R90" s="14" t="n"/>
      <c r="T90">
        <f>IF($B90="","",IF($W90=1,Settings!$C$6,Settings!$C$7)*100)</f>
        <v/>
      </c>
      <c r="U90">
        <f>IF($B90="","",IF(COUNTIF($B$2:$B90,$B90)=1,1,0))</f>
        <v/>
      </c>
      <c r="V90">
        <f>IF($U90=1,SUMPRODUCT(--($X$2:$X$1501&lt;$X90))+1,"")</f>
        <v/>
      </c>
      <c r="W90">
        <f>IF($B90="","",IF(OR($S90=TRUE(),$S90="TRUE"),1,0))</f>
        <v/>
      </c>
      <c r="X90">
        <f>IF($U90=1,IFERROR(IF(VALUE($B90)&lt;100000000,VALUE($B90),1000000000),IFERROR(IF(VALUE(MID($B90,2,20))&lt;100000000,VALUE(MID($B90,2,20)),1000000000),1000000000))+ROW()/100000,"")</f>
        <v/>
      </c>
    </row>
    <row r="91">
      <c r="A91">
        <f>IF($B91="","",IFERROR(IF(INDEX('Per Invoice'!$C$2:$C$401,MATCH($B91,'Per Invoice'!$A$2:$A$401,0))=0,"",INDEX('Per Invoice'!$C$2:$C$401,MATCH($B91,'Per Invoice'!$A$2:$A$401,0))),""))</f>
        <v/>
      </c>
      <c r="G91" s="7">
        <f>IF($B91="","",F91*L91/100)</f>
        <v/>
      </c>
      <c r="K91" s="7" t="n"/>
      <c r="L91" s="7" t="n"/>
      <c r="M91" s="7">
        <f>IF($B91="","",L91*T91/100)</f>
        <v/>
      </c>
      <c r="N91" s="7">
        <f>IF($B91="","",L91-M91)</f>
        <v/>
      </c>
      <c r="O91" s="7">
        <f>IF($B91="","",N91-G91)</f>
        <v/>
      </c>
      <c r="R91" s="14" t="n"/>
      <c r="T91">
        <f>IF($B91="","",IF($W91=1,Settings!$C$6,Settings!$C$7)*100)</f>
        <v/>
      </c>
      <c r="U91">
        <f>IF($B91="","",IF(COUNTIF($B$2:$B91,$B91)=1,1,0))</f>
        <v/>
      </c>
      <c r="V91">
        <f>IF($U91=1,SUMPRODUCT(--($X$2:$X$1501&lt;$X91))+1,"")</f>
        <v/>
      </c>
      <c r="W91">
        <f>IF($B91="","",IF(OR($S91=TRUE(),$S91="TRUE"),1,0))</f>
        <v/>
      </c>
      <c r="X91">
        <f>IF($U91=1,IFERROR(IF(VALUE($B91)&lt;100000000,VALUE($B91),1000000000),IFERROR(IF(VALUE(MID($B91,2,20))&lt;100000000,VALUE(MID($B91,2,20)),1000000000),1000000000))+ROW()/100000,"")</f>
        <v/>
      </c>
    </row>
    <row r="92">
      <c r="A92">
        <f>IF($B92="","",IFERROR(IF(INDEX('Per Invoice'!$C$2:$C$401,MATCH($B92,'Per Invoice'!$A$2:$A$401,0))=0,"",INDEX('Per Invoice'!$C$2:$C$401,MATCH($B92,'Per Invoice'!$A$2:$A$401,0))),""))</f>
        <v/>
      </c>
      <c r="G92" s="7">
        <f>IF($B92="","",F92*L92/100)</f>
        <v/>
      </c>
      <c r="K92" s="7" t="n"/>
      <c r="L92" s="7" t="n"/>
      <c r="M92" s="7">
        <f>IF($B92="","",L92*T92/100)</f>
        <v/>
      </c>
      <c r="N92" s="7">
        <f>IF($B92="","",L92-M92)</f>
        <v/>
      </c>
      <c r="O92" s="7">
        <f>IF($B92="","",N92-G92)</f>
        <v/>
      </c>
      <c r="R92" s="14" t="n"/>
      <c r="T92">
        <f>IF($B92="","",IF($W92=1,Settings!$C$6,Settings!$C$7)*100)</f>
        <v/>
      </c>
      <c r="U92">
        <f>IF($B92="","",IF(COUNTIF($B$2:$B92,$B92)=1,1,0))</f>
        <v/>
      </c>
      <c r="V92">
        <f>IF($U92=1,SUMPRODUCT(--($X$2:$X$1501&lt;$X92))+1,"")</f>
        <v/>
      </c>
      <c r="W92">
        <f>IF($B92="","",IF(OR($S92=TRUE(),$S92="TRUE"),1,0))</f>
        <v/>
      </c>
      <c r="X92">
        <f>IF($U92=1,IFERROR(IF(VALUE($B92)&lt;100000000,VALUE($B92),1000000000),IFERROR(IF(VALUE(MID($B92,2,20))&lt;100000000,VALUE(MID($B92,2,20)),1000000000),1000000000))+ROW()/100000,"")</f>
        <v/>
      </c>
    </row>
    <row r="93">
      <c r="A93">
        <f>IF($B93="","",IFERROR(IF(INDEX('Per Invoice'!$C$2:$C$401,MATCH($B93,'Per Invoice'!$A$2:$A$401,0))=0,"",INDEX('Per Invoice'!$C$2:$C$401,MATCH($B93,'Per Invoice'!$A$2:$A$401,0))),""))</f>
        <v/>
      </c>
      <c r="G93" s="7">
        <f>IF($B93="","",F93*L93/100)</f>
        <v/>
      </c>
      <c r="K93" s="7" t="n"/>
      <c r="L93" s="7" t="n"/>
      <c r="M93" s="7">
        <f>IF($B93="","",L93*T93/100)</f>
        <v/>
      </c>
      <c r="N93" s="7">
        <f>IF($B93="","",L93-M93)</f>
        <v/>
      </c>
      <c r="O93" s="7">
        <f>IF($B93="","",N93-G93)</f>
        <v/>
      </c>
      <c r="R93" s="14" t="n"/>
      <c r="T93">
        <f>IF($B93="","",IF($W93=1,Settings!$C$6,Settings!$C$7)*100)</f>
        <v/>
      </c>
      <c r="U93">
        <f>IF($B93="","",IF(COUNTIF($B$2:$B93,$B93)=1,1,0))</f>
        <v/>
      </c>
      <c r="V93">
        <f>IF($U93=1,SUMPRODUCT(--($X$2:$X$1501&lt;$X93))+1,"")</f>
        <v/>
      </c>
      <c r="W93">
        <f>IF($B93="","",IF(OR($S93=TRUE(),$S93="TRUE"),1,0))</f>
        <v/>
      </c>
      <c r="X93">
        <f>IF($U93=1,IFERROR(IF(VALUE($B93)&lt;100000000,VALUE($B93),1000000000),IFERROR(IF(VALUE(MID($B93,2,20))&lt;100000000,VALUE(MID($B93,2,20)),1000000000),1000000000))+ROW()/100000,"")</f>
        <v/>
      </c>
    </row>
    <row r="94">
      <c r="A94">
        <f>IF($B94="","",IFERROR(IF(INDEX('Per Invoice'!$C$2:$C$401,MATCH($B94,'Per Invoice'!$A$2:$A$401,0))=0,"",INDEX('Per Invoice'!$C$2:$C$401,MATCH($B94,'Per Invoice'!$A$2:$A$401,0))),""))</f>
        <v/>
      </c>
      <c r="G94" s="7">
        <f>IF($B94="","",F94*L94/100)</f>
        <v/>
      </c>
      <c r="K94" s="7" t="n"/>
      <c r="L94" s="7" t="n"/>
      <c r="M94" s="7">
        <f>IF($B94="","",L94*T94/100)</f>
        <v/>
      </c>
      <c r="N94" s="7">
        <f>IF($B94="","",L94-M94)</f>
        <v/>
      </c>
      <c r="O94" s="7">
        <f>IF($B94="","",N94-G94)</f>
        <v/>
      </c>
      <c r="R94" s="14" t="n"/>
      <c r="T94">
        <f>IF($B94="","",IF($W94=1,Settings!$C$6,Settings!$C$7)*100)</f>
        <v/>
      </c>
      <c r="U94">
        <f>IF($B94="","",IF(COUNTIF($B$2:$B94,$B94)=1,1,0))</f>
        <v/>
      </c>
      <c r="V94">
        <f>IF($U94=1,SUMPRODUCT(--($X$2:$X$1501&lt;$X94))+1,"")</f>
        <v/>
      </c>
      <c r="W94">
        <f>IF($B94="","",IF(OR($S94=TRUE(),$S94="TRUE"),1,0))</f>
        <v/>
      </c>
      <c r="X94">
        <f>IF($U94=1,IFERROR(IF(VALUE($B94)&lt;100000000,VALUE($B94),1000000000),IFERROR(IF(VALUE(MID($B94,2,20))&lt;100000000,VALUE(MID($B94,2,20)),1000000000),1000000000))+ROW()/100000,"")</f>
        <v/>
      </c>
    </row>
    <row r="95">
      <c r="A95">
        <f>IF($B95="","",IFERROR(IF(INDEX('Per Invoice'!$C$2:$C$401,MATCH($B95,'Per Invoice'!$A$2:$A$401,0))=0,"",INDEX('Per Invoice'!$C$2:$C$401,MATCH($B95,'Per Invoice'!$A$2:$A$401,0))),""))</f>
        <v/>
      </c>
      <c r="G95" s="7">
        <f>IF($B95="","",F95*L95/100)</f>
        <v/>
      </c>
      <c r="K95" s="7" t="n"/>
      <c r="L95" s="7" t="n"/>
      <c r="M95" s="7">
        <f>IF($B95="","",L95*T95/100)</f>
        <v/>
      </c>
      <c r="N95" s="7">
        <f>IF($B95="","",L95-M95)</f>
        <v/>
      </c>
      <c r="O95" s="7">
        <f>IF($B95="","",N95-G95)</f>
        <v/>
      </c>
      <c r="R95" s="14" t="n"/>
      <c r="T95">
        <f>IF($B95="","",IF($W95=1,Settings!$C$6,Settings!$C$7)*100)</f>
        <v/>
      </c>
      <c r="U95">
        <f>IF($B95="","",IF(COUNTIF($B$2:$B95,$B95)=1,1,0))</f>
        <v/>
      </c>
      <c r="V95">
        <f>IF($U95=1,SUMPRODUCT(--($X$2:$X$1501&lt;$X95))+1,"")</f>
        <v/>
      </c>
      <c r="W95">
        <f>IF($B95="","",IF(OR($S95=TRUE(),$S95="TRUE"),1,0))</f>
        <v/>
      </c>
      <c r="X95">
        <f>IF($U95=1,IFERROR(IF(VALUE($B95)&lt;100000000,VALUE($B95),1000000000),IFERROR(IF(VALUE(MID($B95,2,20))&lt;100000000,VALUE(MID($B95,2,20)),1000000000),1000000000))+ROW()/100000,"")</f>
        <v/>
      </c>
    </row>
    <row r="96">
      <c r="A96">
        <f>IF($B96="","",IFERROR(IF(INDEX('Per Invoice'!$C$2:$C$401,MATCH($B96,'Per Invoice'!$A$2:$A$401,0))=0,"",INDEX('Per Invoice'!$C$2:$C$401,MATCH($B96,'Per Invoice'!$A$2:$A$401,0))),""))</f>
        <v/>
      </c>
      <c r="G96" s="7">
        <f>IF($B96="","",F96*L96/100)</f>
        <v/>
      </c>
      <c r="K96" s="7" t="n"/>
      <c r="L96" s="7" t="n"/>
      <c r="M96" s="7">
        <f>IF($B96="","",L96*T96/100)</f>
        <v/>
      </c>
      <c r="N96" s="7">
        <f>IF($B96="","",L96-M96)</f>
        <v/>
      </c>
      <c r="O96" s="7">
        <f>IF($B96="","",N96-G96)</f>
        <v/>
      </c>
      <c r="R96" s="14" t="n"/>
      <c r="T96">
        <f>IF($B96="","",IF($W96=1,Settings!$C$6,Settings!$C$7)*100)</f>
        <v/>
      </c>
      <c r="U96">
        <f>IF($B96="","",IF(COUNTIF($B$2:$B96,$B96)=1,1,0))</f>
        <v/>
      </c>
      <c r="V96">
        <f>IF($U96=1,SUMPRODUCT(--($X$2:$X$1501&lt;$X96))+1,"")</f>
        <v/>
      </c>
      <c r="W96">
        <f>IF($B96="","",IF(OR($S96=TRUE(),$S96="TRUE"),1,0))</f>
        <v/>
      </c>
      <c r="X96">
        <f>IF($U96=1,IFERROR(IF(VALUE($B96)&lt;100000000,VALUE($B96),1000000000),IFERROR(IF(VALUE(MID($B96,2,20))&lt;100000000,VALUE(MID($B96,2,20)),1000000000),1000000000))+ROW()/100000,"")</f>
        <v/>
      </c>
    </row>
    <row r="97">
      <c r="A97">
        <f>IF($B97="","",IFERROR(IF(INDEX('Per Invoice'!$C$2:$C$401,MATCH($B97,'Per Invoice'!$A$2:$A$401,0))=0,"",INDEX('Per Invoice'!$C$2:$C$401,MATCH($B97,'Per Invoice'!$A$2:$A$401,0))),""))</f>
        <v/>
      </c>
      <c r="G97" s="7">
        <f>IF($B97="","",F97*L97/100)</f>
        <v/>
      </c>
      <c r="K97" s="7" t="n"/>
      <c r="L97" s="7" t="n"/>
      <c r="M97" s="7">
        <f>IF($B97="","",L97*T97/100)</f>
        <v/>
      </c>
      <c r="N97" s="7">
        <f>IF($B97="","",L97-M97)</f>
        <v/>
      </c>
      <c r="O97" s="7">
        <f>IF($B97="","",N97-G97)</f>
        <v/>
      </c>
      <c r="R97" s="14" t="n"/>
      <c r="T97">
        <f>IF($B97="","",IF($W97=1,Settings!$C$6,Settings!$C$7)*100)</f>
        <v/>
      </c>
      <c r="U97">
        <f>IF($B97="","",IF(COUNTIF($B$2:$B97,$B97)=1,1,0))</f>
        <v/>
      </c>
      <c r="V97">
        <f>IF($U97=1,SUMPRODUCT(--($X$2:$X$1501&lt;$X97))+1,"")</f>
        <v/>
      </c>
      <c r="W97">
        <f>IF($B97="","",IF(OR($S97=TRUE(),$S97="TRUE"),1,0))</f>
        <v/>
      </c>
      <c r="X97">
        <f>IF($U97=1,IFERROR(IF(VALUE($B97)&lt;100000000,VALUE($B97),1000000000),IFERROR(IF(VALUE(MID($B97,2,20))&lt;100000000,VALUE(MID($B97,2,20)),1000000000),1000000000))+ROW()/100000,"")</f>
        <v/>
      </c>
    </row>
    <row r="98">
      <c r="A98">
        <f>IF($B98="","",IFERROR(IF(INDEX('Per Invoice'!$C$2:$C$401,MATCH($B98,'Per Invoice'!$A$2:$A$401,0))=0,"",INDEX('Per Invoice'!$C$2:$C$401,MATCH($B98,'Per Invoice'!$A$2:$A$401,0))),""))</f>
        <v/>
      </c>
      <c r="G98" s="7">
        <f>IF($B98="","",F98*L98/100)</f>
        <v/>
      </c>
      <c r="K98" s="7" t="n"/>
      <c r="L98" s="7" t="n"/>
      <c r="M98" s="7">
        <f>IF($B98="","",L98*T98/100)</f>
        <v/>
      </c>
      <c r="N98" s="7">
        <f>IF($B98="","",L98-M98)</f>
        <v/>
      </c>
      <c r="O98" s="7">
        <f>IF($B98="","",N98-G98)</f>
        <v/>
      </c>
      <c r="R98" s="14" t="n"/>
      <c r="T98">
        <f>IF($B98="","",IF($W98=1,Settings!$C$6,Settings!$C$7)*100)</f>
        <v/>
      </c>
      <c r="U98">
        <f>IF($B98="","",IF(COUNTIF($B$2:$B98,$B98)=1,1,0))</f>
        <v/>
      </c>
      <c r="V98">
        <f>IF($U98=1,SUMPRODUCT(--($X$2:$X$1501&lt;$X98))+1,"")</f>
        <v/>
      </c>
      <c r="W98">
        <f>IF($B98="","",IF(OR($S98=TRUE(),$S98="TRUE"),1,0))</f>
        <v/>
      </c>
      <c r="X98">
        <f>IF($U98=1,IFERROR(IF(VALUE($B98)&lt;100000000,VALUE($B98),1000000000),IFERROR(IF(VALUE(MID($B98,2,20))&lt;100000000,VALUE(MID($B98,2,20)),1000000000),1000000000))+ROW()/100000,"")</f>
        <v/>
      </c>
    </row>
    <row r="99">
      <c r="A99">
        <f>IF($B99="","",IFERROR(IF(INDEX('Per Invoice'!$C$2:$C$401,MATCH($B99,'Per Invoice'!$A$2:$A$401,0))=0,"",INDEX('Per Invoice'!$C$2:$C$401,MATCH($B99,'Per Invoice'!$A$2:$A$401,0))),""))</f>
        <v/>
      </c>
      <c r="G99" s="7">
        <f>IF($B99="","",F99*L99/100)</f>
        <v/>
      </c>
      <c r="K99" s="7" t="n"/>
      <c r="L99" s="7" t="n"/>
      <c r="M99" s="7">
        <f>IF($B99="","",L99*T99/100)</f>
        <v/>
      </c>
      <c r="N99" s="7">
        <f>IF($B99="","",L99-M99)</f>
        <v/>
      </c>
      <c r="O99" s="7">
        <f>IF($B99="","",N99-G99)</f>
        <v/>
      </c>
      <c r="R99" s="14" t="n"/>
      <c r="T99">
        <f>IF($B99="","",IF($W99=1,Settings!$C$6,Settings!$C$7)*100)</f>
        <v/>
      </c>
      <c r="U99">
        <f>IF($B99="","",IF(COUNTIF($B$2:$B99,$B99)=1,1,0))</f>
        <v/>
      </c>
      <c r="V99">
        <f>IF($U99=1,SUMPRODUCT(--($X$2:$X$1501&lt;$X99))+1,"")</f>
        <v/>
      </c>
      <c r="W99">
        <f>IF($B99="","",IF(OR($S99=TRUE(),$S99="TRUE"),1,0))</f>
        <v/>
      </c>
      <c r="X99">
        <f>IF($U99=1,IFERROR(IF(VALUE($B99)&lt;100000000,VALUE($B99),1000000000),IFERROR(IF(VALUE(MID($B99,2,20))&lt;100000000,VALUE(MID($B99,2,20)),1000000000),1000000000))+ROW()/100000,"")</f>
        <v/>
      </c>
    </row>
    <row r="100">
      <c r="A100">
        <f>IF($B100="","",IFERROR(IF(INDEX('Per Invoice'!$C$2:$C$401,MATCH($B100,'Per Invoice'!$A$2:$A$401,0))=0,"",INDEX('Per Invoice'!$C$2:$C$401,MATCH($B100,'Per Invoice'!$A$2:$A$401,0))),""))</f>
        <v/>
      </c>
      <c r="G100" s="7">
        <f>IF($B100="","",F100*L100/100)</f>
        <v/>
      </c>
      <c r="K100" s="7" t="n"/>
      <c r="L100" s="7" t="n"/>
      <c r="M100" s="7">
        <f>IF($B100="","",L100*T100/100)</f>
        <v/>
      </c>
      <c r="N100" s="7">
        <f>IF($B100="","",L100-M100)</f>
        <v/>
      </c>
      <c r="O100" s="7">
        <f>IF($B100="","",N100-G100)</f>
        <v/>
      </c>
      <c r="R100" s="14" t="n"/>
      <c r="T100">
        <f>IF($B100="","",IF($W100=1,Settings!$C$6,Settings!$C$7)*100)</f>
        <v/>
      </c>
      <c r="U100">
        <f>IF($B100="","",IF(COUNTIF($B$2:$B100,$B100)=1,1,0))</f>
        <v/>
      </c>
      <c r="V100">
        <f>IF($U100=1,SUMPRODUCT(--($X$2:$X$1501&lt;$X100))+1,"")</f>
        <v/>
      </c>
      <c r="W100">
        <f>IF($B100="","",IF(OR($S100=TRUE(),$S100="TRUE"),1,0))</f>
        <v/>
      </c>
      <c r="X100">
        <f>IF($U100=1,IFERROR(IF(VALUE($B100)&lt;100000000,VALUE($B100),1000000000),IFERROR(IF(VALUE(MID($B100,2,20))&lt;100000000,VALUE(MID($B100,2,20)),1000000000),1000000000))+ROW()/100000,"")</f>
        <v/>
      </c>
    </row>
    <row r="101">
      <c r="A101">
        <f>IF($B101="","",IFERROR(IF(INDEX('Per Invoice'!$C$2:$C$401,MATCH($B101,'Per Invoice'!$A$2:$A$401,0))=0,"",INDEX('Per Invoice'!$C$2:$C$401,MATCH($B101,'Per Invoice'!$A$2:$A$401,0))),""))</f>
        <v/>
      </c>
      <c r="G101" s="7">
        <f>IF($B101="","",F101*L101/100)</f>
        <v/>
      </c>
      <c r="K101" s="7" t="n"/>
      <c r="L101" s="7" t="n"/>
      <c r="M101" s="7">
        <f>IF($B101="","",L101*T101/100)</f>
        <v/>
      </c>
      <c r="N101" s="7">
        <f>IF($B101="","",L101-M101)</f>
        <v/>
      </c>
      <c r="O101" s="7">
        <f>IF($B101="","",N101-G101)</f>
        <v/>
      </c>
      <c r="R101" s="14" t="n"/>
      <c r="T101">
        <f>IF($B101="","",IF($W101=1,Settings!$C$6,Settings!$C$7)*100)</f>
        <v/>
      </c>
      <c r="U101">
        <f>IF($B101="","",IF(COUNTIF($B$2:$B101,$B101)=1,1,0))</f>
        <v/>
      </c>
      <c r="V101">
        <f>IF($U101=1,SUMPRODUCT(--($X$2:$X$1501&lt;$X101))+1,"")</f>
        <v/>
      </c>
      <c r="W101">
        <f>IF($B101="","",IF(OR($S101=TRUE(),$S101="TRUE"),1,0))</f>
        <v/>
      </c>
      <c r="X101">
        <f>IF($U101=1,IFERROR(IF(VALUE($B101)&lt;100000000,VALUE($B101),1000000000),IFERROR(IF(VALUE(MID($B101,2,20))&lt;100000000,VALUE(MID($B101,2,20)),1000000000),1000000000))+ROW()/100000,"")</f>
        <v/>
      </c>
    </row>
    <row r="102">
      <c r="A102">
        <f>IF($B102="","",IFERROR(IF(INDEX('Per Invoice'!$C$2:$C$401,MATCH($B102,'Per Invoice'!$A$2:$A$401,0))=0,"",INDEX('Per Invoice'!$C$2:$C$401,MATCH($B102,'Per Invoice'!$A$2:$A$401,0))),""))</f>
        <v/>
      </c>
      <c r="G102" s="7">
        <f>IF($B102="","",F102*L102/100)</f>
        <v/>
      </c>
      <c r="K102" s="7" t="n"/>
      <c r="L102" s="7" t="n"/>
      <c r="M102" s="7">
        <f>IF($B102="","",L102*T102/100)</f>
        <v/>
      </c>
      <c r="N102" s="7">
        <f>IF($B102="","",L102-M102)</f>
        <v/>
      </c>
      <c r="O102" s="7">
        <f>IF($B102="","",N102-G102)</f>
        <v/>
      </c>
      <c r="R102" s="14" t="n"/>
      <c r="T102">
        <f>IF($B102="","",IF($W102=1,Settings!$C$6,Settings!$C$7)*100)</f>
        <v/>
      </c>
      <c r="U102">
        <f>IF($B102="","",IF(COUNTIF($B$2:$B102,$B102)=1,1,0))</f>
        <v/>
      </c>
      <c r="V102">
        <f>IF($U102=1,SUMPRODUCT(--($X$2:$X$1501&lt;$X102))+1,"")</f>
        <v/>
      </c>
      <c r="W102">
        <f>IF($B102="","",IF(OR($S102=TRUE(),$S102="TRUE"),1,0))</f>
        <v/>
      </c>
      <c r="X102">
        <f>IF($U102=1,IFERROR(IF(VALUE($B102)&lt;100000000,VALUE($B102),1000000000),IFERROR(IF(VALUE(MID($B102,2,20))&lt;100000000,VALUE(MID($B102,2,20)),1000000000),1000000000))+ROW()/100000,"")</f>
        <v/>
      </c>
    </row>
    <row r="103">
      <c r="A103">
        <f>IF($B103="","",IFERROR(IF(INDEX('Per Invoice'!$C$2:$C$401,MATCH($B103,'Per Invoice'!$A$2:$A$401,0))=0,"",INDEX('Per Invoice'!$C$2:$C$401,MATCH($B103,'Per Invoice'!$A$2:$A$401,0))),""))</f>
        <v/>
      </c>
      <c r="G103" s="7">
        <f>IF($B103="","",F103*L103/100)</f>
        <v/>
      </c>
      <c r="K103" s="7" t="n"/>
      <c r="L103" s="7" t="n"/>
      <c r="M103" s="7">
        <f>IF($B103="","",L103*T103/100)</f>
        <v/>
      </c>
      <c r="N103" s="7">
        <f>IF($B103="","",L103-M103)</f>
        <v/>
      </c>
      <c r="O103" s="7">
        <f>IF($B103="","",N103-G103)</f>
        <v/>
      </c>
      <c r="R103" s="14" t="n"/>
      <c r="T103">
        <f>IF($B103="","",IF($W103=1,Settings!$C$6,Settings!$C$7)*100)</f>
        <v/>
      </c>
      <c r="U103">
        <f>IF($B103="","",IF(COUNTIF($B$2:$B103,$B103)=1,1,0))</f>
        <v/>
      </c>
      <c r="V103">
        <f>IF($U103=1,SUMPRODUCT(--($X$2:$X$1501&lt;$X103))+1,"")</f>
        <v/>
      </c>
      <c r="W103">
        <f>IF($B103="","",IF(OR($S103=TRUE(),$S103="TRUE"),1,0))</f>
        <v/>
      </c>
      <c r="X103">
        <f>IF($U103=1,IFERROR(IF(VALUE($B103)&lt;100000000,VALUE($B103),1000000000),IFERROR(IF(VALUE(MID($B103,2,20))&lt;100000000,VALUE(MID($B103,2,20)),1000000000),1000000000))+ROW()/100000,"")</f>
        <v/>
      </c>
    </row>
    <row r="104">
      <c r="A104">
        <f>IF($B104="","",IFERROR(IF(INDEX('Per Invoice'!$C$2:$C$401,MATCH($B104,'Per Invoice'!$A$2:$A$401,0))=0,"",INDEX('Per Invoice'!$C$2:$C$401,MATCH($B104,'Per Invoice'!$A$2:$A$401,0))),""))</f>
        <v/>
      </c>
      <c r="G104" s="7">
        <f>IF($B104="","",F104*L104/100)</f>
        <v/>
      </c>
      <c r="K104" s="7" t="n"/>
      <c r="L104" s="7" t="n"/>
      <c r="M104" s="7">
        <f>IF($B104="","",L104*T104/100)</f>
        <v/>
      </c>
      <c r="N104" s="7">
        <f>IF($B104="","",L104-M104)</f>
        <v/>
      </c>
      <c r="O104" s="7">
        <f>IF($B104="","",N104-G104)</f>
        <v/>
      </c>
      <c r="R104" s="14" t="n"/>
      <c r="T104">
        <f>IF($B104="","",IF($W104=1,Settings!$C$6,Settings!$C$7)*100)</f>
        <v/>
      </c>
      <c r="U104">
        <f>IF($B104="","",IF(COUNTIF($B$2:$B104,$B104)=1,1,0))</f>
        <v/>
      </c>
      <c r="V104">
        <f>IF($U104=1,SUMPRODUCT(--($X$2:$X$1501&lt;$X104))+1,"")</f>
        <v/>
      </c>
      <c r="W104">
        <f>IF($B104="","",IF(OR($S104=TRUE(),$S104="TRUE"),1,0))</f>
        <v/>
      </c>
      <c r="X104">
        <f>IF($U104=1,IFERROR(IF(VALUE($B104)&lt;100000000,VALUE($B104),1000000000),IFERROR(IF(VALUE(MID($B104,2,20))&lt;100000000,VALUE(MID($B104,2,20)),1000000000),1000000000))+ROW()/100000,"")</f>
        <v/>
      </c>
    </row>
    <row r="105">
      <c r="A105">
        <f>IF($B105="","",IFERROR(IF(INDEX('Per Invoice'!$C$2:$C$401,MATCH($B105,'Per Invoice'!$A$2:$A$401,0))=0,"",INDEX('Per Invoice'!$C$2:$C$401,MATCH($B105,'Per Invoice'!$A$2:$A$401,0))),""))</f>
        <v/>
      </c>
      <c r="G105" s="7">
        <f>IF($B105="","",F105*L105/100)</f>
        <v/>
      </c>
      <c r="K105" s="7" t="n"/>
      <c r="L105" s="7" t="n"/>
      <c r="M105" s="7">
        <f>IF($B105="","",L105*T105/100)</f>
        <v/>
      </c>
      <c r="N105" s="7">
        <f>IF($B105="","",L105-M105)</f>
        <v/>
      </c>
      <c r="O105" s="7">
        <f>IF($B105="","",N105-G105)</f>
        <v/>
      </c>
      <c r="R105" s="14" t="n"/>
      <c r="T105">
        <f>IF($B105="","",IF($W105=1,Settings!$C$6,Settings!$C$7)*100)</f>
        <v/>
      </c>
      <c r="U105">
        <f>IF($B105="","",IF(COUNTIF($B$2:$B105,$B105)=1,1,0))</f>
        <v/>
      </c>
      <c r="V105">
        <f>IF($U105=1,SUMPRODUCT(--($X$2:$X$1501&lt;$X105))+1,"")</f>
        <v/>
      </c>
      <c r="W105">
        <f>IF($B105="","",IF(OR($S105=TRUE(),$S105="TRUE"),1,0))</f>
        <v/>
      </c>
      <c r="X105">
        <f>IF($U105=1,IFERROR(IF(VALUE($B105)&lt;100000000,VALUE($B105),1000000000),IFERROR(IF(VALUE(MID($B105,2,20))&lt;100000000,VALUE(MID($B105,2,20)),1000000000),1000000000))+ROW()/100000,"")</f>
        <v/>
      </c>
    </row>
    <row r="106">
      <c r="A106">
        <f>IF($B106="","",IFERROR(IF(INDEX('Per Invoice'!$C$2:$C$401,MATCH($B106,'Per Invoice'!$A$2:$A$401,0))=0,"",INDEX('Per Invoice'!$C$2:$C$401,MATCH($B106,'Per Invoice'!$A$2:$A$401,0))),""))</f>
        <v/>
      </c>
      <c r="G106" s="7">
        <f>IF($B106="","",F106*L106/100)</f>
        <v/>
      </c>
      <c r="K106" s="7" t="n"/>
      <c r="L106" s="7" t="n"/>
      <c r="M106" s="7">
        <f>IF($B106="","",L106*T106/100)</f>
        <v/>
      </c>
      <c r="N106" s="7">
        <f>IF($B106="","",L106-M106)</f>
        <v/>
      </c>
      <c r="O106" s="7">
        <f>IF($B106="","",N106-G106)</f>
        <v/>
      </c>
      <c r="R106" s="14" t="n"/>
      <c r="T106">
        <f>IF($B106="","",IF($W106=1,Settings!$C$6,Settings!$C$7)*100)</f>
        <v/>
      </c>
      <c r="U106">
        <f>IF($B106="","",IF(COUNTIF($B$2:$B106,$B106)=1,1,0))</f>
        <v/>
      </c>
      <c r="V106">
        <f>IF($U106=1,SUMPRODUCT(--($X$2:$X$1501&lt;$X106))+1,"")</f>
        <v/>
      </c>
      <c r="W106">
        <f>IF($B106="","",IF(OR($S106=TRUE(),$S106="TRUE"),1,0))</f>
        <v/>
      </c>
      <c r="X106">
        <f>IF($U106=1,IFERROR(IF(VALUE($B106)&lt;100000000,VALUE($B106),1000000000),IFERROR(IF(VALUE(MID($B106,2,20))&lt;100000000,VALUE(MID($B106,2,20)),1000000000),1000000000))+ROW()/100000,"")</f>
        <v/>
      </c>
    </row>
    <row r="107">
      <c r="A107">
        <f>IF($B107="","",IFERROR(IF(INDEX('Per Invoice'!$C$2:$C$401,MATCH($B107,'Per Invoice'!$A$2:$A$401,0))=0,"",INDEX('Per Invoice'!$C$2:$C$401,MATCH($B107,'Per Invoice'!$A$2:$A$401,0))),""))</f>
        <v/>
      </c>
      <c r="G107" s="7">
        <f>IF($B107="","",F107*L107/100)</f>
        <v/>
      </c>
      <c r="K107" s="7" t="n"/>
      <c r="L107" s="7" t="n"/>
      <c r="M107" s="7">
        <f>IF($B107="","",L107*T107/100)</f>
        <v/>
      </c>
      <c r="N107" s="7">
        <f>IF($B107="","",L107-M107)</f>
        <v/>
      </c>
      <c r="O107" s="7">
        <f>IF($B107="","",N107-G107)</f>
        <v/>
      </c>
      <c r="R107" s="14" t="n"/>
      <c r="T107">
        <f>IF($B107="","",IF($W107=1,Settings!$C$6,Settings!$C$7)*100)</f>
        <v/>
      </c>
      <c r="U107">
        <f>IF($B107="","",IF(COUNTIF($B$2:$B107,$B107)=1,1,0))</f>
        <v/>
      </c>
      <c r="V107">
        <f>IF($U107=1,SUMPRODUCT(--($X$2:$X$1501&lt;$X107))+1,"")</f>
        <v/>
      </c>
      <c r="W107">
        <f>IF($B107="","",IF(OR($S107=TRUE(),$S107="TRUE"),1,0))</f>
        <v/>
      </c>
      <c r="X107">
        <f>IF($U107=1,IFERROR(IF(VALUE($B107)&lt;100000000,VALUE($B107),1000000000),IFERROR(IF(VALUE(MID($B107,2,20))&lt;100000000,VALUE(MID($B107,2,20)),1000000000),1000000000))+ROW()/100000,"")</f>
        <v/>
      </c>
    </row>
    <row r="108">
      <c r="A108">
        <f>IF($B108="","",IFERROR(IF(INDEX('Per Invoice'!$C$2:$C$401,MATCH($B108,'Per Invoice'!$A$2:$A$401,0))=0,"",INDEX('Per Invoice'!$C$2:$C$401,MATCH($B108,'Per Invoice'!$A$2:$A$401,0))),""))</f>
        <v/>
      </c>
      <c r="G108" s="7">
        <f>IF($B108="","",F108*L108/100)</f>
        <v/>
      </c>
      <c r="K108" s="7" t="n"/>
      <c r="L108" s="7" t="n"/>
      <c r="M108" s="7">
        <f>IF($B108="","",L108*T108/100)</f>
        <v/>
      </c>
      <c r="N108" s="7">
        <f>IF($B108="","",L108-M108)</f>
        <v/>
      </c>
      <c r="O108" s="7">
        <f>IF($B108="","",N108-G108)</f>
        <v/>
      </c>
      <c r="R108" s="14" t="n"/>
      <c r="T108">
        <f>IF($B108="","",IF($W108=1,Settings!$C$6,Settings!$C$7)*100)</f>
        <v/>
      </c>
      <c r="U108">
        <f>IF($B108="","",IF(COUNTIF($B$2:$B108,$B108)=1,1,0))</f>
        <v/>
      </c>
      <c r="V108">
        <f>IF($U108=1,SUMPRODUCT(--($X$2:$X$1501&lt;$X108))+1,"")</f>
        <v/>
      </c>
      <c r="W108">
        <f>IF($B108="","",IF(OR($S108=TRUE(),$S108="TRUE"),1,0))</f>
        <v/>
      </c>
      <c r="X108">
        <f>IF($U108=1,IFERROR(IF(VALUE($B108)&lt;100000000,VALUE($B108),1000000000),IFERROR(IF(VALUE(MID($B108,2,20))&lt;100000000,VALUE(MID($B108,2,20)),1000000000),1000000000))+ROW()/100000,"")</f>
        <v/>
      </c>
    </row>
    <row r="109">
      <c r="A109">
        <f>IF($B109="","",IFERROR(IF(INDEX('Per Invoice'!$C$2:$C$401,MATCH($B109,'Per Invoice'!$A$2:$A$401,0))=0,"",INDEX('Per Invoice'!$C$2:$C$401,MATCH($B109,'Per Invoice'!$A$2:$A$401,0))),""))</f>
        <v/>
      </c>
      <c r="G109" s="7">
        <f>IF($B109="","",F109*L109/100)</f>
        <v/>
      </c>
      <c r="K109" s="7" t="n"/>
      <c r="L109" s="7" t="n"/>
      <c r="M109" s="7">
        <f>IF($B109="","",L109*T109/100)</f>
        <v/>
      </c>
      <c r="N109" s="7">
        <f>IF($B109="","",L109-M109)</f>
        <v/>
      </c>
      <c r="O109" s="7">
        <f>IF($B109="","",N109-G109)</f>
        <v/>
      </c>
      <c r="R109" s="14" t="n"/>
      <c r="T109">
        <f>IF($B109="","",IF($W109=1,Settings!$C$6,Settings!$C$7)*100)</f>
        <v/>
      </c>
      <c r="U109">
        <f>IF($B109="","",IF(COUNTIF($B$2:$B109,$B109)=1,1,0))</f>
        <v/>
      </c>
      <c r="V109">
        <f>IF($U109=1,SUMPRODUCT(--($X$2:$X$1501&lt;$X109))+1,"")</f>
        <v/>
      </c>
      <c r="W109">
        <f>IF($B109="","",IF(OR($S109=TRUE(),$S109="TRUE"),1,0))</f>
        <v/>
      </c>
      <c r="X109">
        <f>IF($U109=1,IFERROR(IF(VALUE($B109)&lt;100000000,VALUE($B109),1000000000),IFERROR(IF(VALUE(MID($B109,2,20))&lt;100000000,VALUE(MID($B109,2,20)),1000000000),1000000000))+ROW()/100000,"")</f>
        <v/>
      </c>
    </row>
    <row r="110">
      <c r="A110">
        <f>IF($B110="","",IFERROR(IF(INDEX('Per Invoice'!$C$2:$C$401,MATCH($B110,'Per Invoice'!$A$2:$A$401,0))=0,"",INDEX('Per Invoice'!$C$2:$C$401,MATCH($B110,'Per Invoice'!$A$2:$A$401,0))),""))</f>
        <v/>
      </c>
      <c r="G110" s="7">
        <f>IF($B110="","",F110*L110/100)</f>
        <v/>
      </c>
      <c r="K110" s="7" t="n"/>
      <c r="L110" s="7" t="n"/>
      <c r="M110" s="7">
        <f>IF($B110="","",L110*T110/100)</f>
        <v/>
      </c>
      <c r="N110" s="7">
        <f>IF($B110="","",L110-M110)</f>
        <v/>
      </c>
      <c r="O110" s="7">
        <f>IF($B110="","",N110-G110)</f>
        <v/>
      </c>
      <c r="R110" s="14" t="n"/>
      <c r="T110">
        <f>IF($B110="","",IF($W110=1,Settings!$C$6,Settings!$C$7)*100)</f>
        <v/>
      </c>
      <c r="U110">
        <f>IF($B110="","",IF(COUNTIF($B$2:$B110,$B110)=1,1,0))</f>
        <v/>
      </c>
      <c r="V110">
        <f>IF($U110=1,SUMPRODUCT(--($X$2:$X$1501&lt;$X110))+1,"")</f>
        <v/>
      </c>
      <c r="W110">
        <f>IF($B110="","",IF(OR($S110=TRUE(),$S110="TRUE"),1,0))</f>
        <v/>
      </c>
      <c r="X110">
        <f>IF($U110=1,IFERROR(IF(VALUE($B110)&lt;100000000,VALUE($B110),1000000000),IFERROR(IF(VALUE(MID($B110,2,20))&lt;100000000,VALUE(MID($B110,2,20)),1000000000),1000000000))+ROW()/100000,"")</f>
        <v/>
      </c>
    </row>
    <row r="111">
      <c r="A111">
        <f>IF($B111="","",IFERROR(IF(INDEX('Per Invoice'!$C$2:$C$401,MATCH($B111,'Per Invoice'!$A$2:$A$401,0))=0,"",INDEX('Per Invoice'!$C$2:$C$401,MATCH($B111,'Per Invoice'!$A$2:$A$401,0))),""))</f>
        <v/>
      </c>
      <c r="G111" s="7">
        <f>IF($B111="","",F111*L111/100)</f>
        <v/>
      </c>
      <c r="K111" s="7" t="n"/>
      <c r="L111" s="7" t="n"/>
      <c r="M111" s="7">
        <f>IF($B111="","",L111*T111/100)</f>
        <v/>
      </c>
      <c r="N111" s="7">
        <f>IF($B111="","",L111-M111)</f>
        <v/>
      </c>
      <c r="O111" s="7">
        <f>IF($B111="","",N111-G111)</f>
        <v/>
      </c>
      <c r="R111" s="14" t="n"/>
      <c r="T111">
        <f>IF($B111="","",IF($W111=1,Settings!$C$6,Settings!$C$7)*100)</f>
        <v/>
      </c>
      <c r="U111">
        <f>IF($B111="","",IF(COUNTIF($B$2:$B111,$B111)=1,1,0))</f>
        <v/>
      </c>
      <c r="V111">
        <f>IF($U111=1,SUMPRODUCT(--($X$2:$X$1501&lt;$X111))+1,"")</f>
        <v/>
      </c>
      <c r="W111">
        <f>IF($B111="","",IF(OR($S111=TRUE(),$S111="TRUE"),1,0))</f>
        <v/>
      </c>
      <c r="X111">
        <f>IF($U111=1,IFERROR(IF(VALUE($B111)&lt;100000000,VALUE($B111),1000000000),IFERROR(IF(VALUE(MID($B111,2,20))&lt;100000000,VALUE(MID($B111,2,20)),1000000000),1000000000))+ROW()/100000,"")</f>
        <v/>
      </c>
    </row>
    <row r="112">
      <c r="A112">
        <f>IF($B112="","",IFERROR(IF(INDEX('Per Invoice'!$C$2:$C$401,MATCH($B112,'Per Invoice'!$A$2:$A$401,0))=0,"",INDEX('Per Invoice'!$C$2:$C$401,MATCH($B112,'Per Invoice'!$A$2:$A$401,0))),""))</f>
        <v/>
      </c>
      <c r="G112" s="7">
        <f>IF($B112="","",F112*L112/100)</f>
        <v/>
      </c>
      <c r="K112" s="7" t="n"/>
      <c r="L112" s="7" t="n"/>
      <c r="M112" s="7">
        <f>IF($B112="","",L112*T112/100)</f>
        <v/>
      </c>
      <c r="N112" s="7">
        <f>IF($B112="","",L112-M112)</f>
        <v/>
      </c>
      <c r="O112" s="7">
        <f>IF($B112="","",N112-G112)</f>
        <v/>
      </c>
      <c r="R112" s="14" t="n"/>
      <c r="T112">
        <f>IF($B112="","",IF($W112=1,Settings!$C$6,Settings!$C$7)*100)</f>
        <v/>
      </c>
      <c r="U112">
        <f>IF($B112="","",IF(COUNTIF($B$2:$B112,$B112)=1,1,0))</f>
        <v/>
      </c>
      <c r="V112">
        <f>IF($U112=1,SUMPRODUCT(--($X$2:$X$1501&lt;$X112))+1,"")</f>
        <v/>
      </c>
      <c r="W112">
        <f>IF($B112="","",IF(OR($S112=TRUE(),$S112="TRUE"),1,0))</f>
        <v/>
      </c>
      <c r="X112">
        <f>IF($U112=1,IFERROR(IF(VALUE($B112)&lt;100000000,VALUE($B112),1000000000),IFERROR(IF(VALUE(MID($B112,2,20))&lt;100000000,VALUE(MID($B112,2,20)),1000000000),1000000000))+ROW()/100000,"")</f>
        <v/>
      </c>
    </row>
    <row r="113">
      <c r="A113">
        <f>IF($B113="","",IFERROR(IF(INDEX('Per Invoice'!$C$2:$C$401,MATCH($B113,'Per Invoice'!$A$2:$A$401,0))=0,"",INDEX('Per Invoice'!$C$2:$C$401,MATCH($B113,'Per Invoice'!$A$2:$A$401,0))),""))</f>
        <v/>
      </c>
      <c r="G113" s="7">
        <f>IF($B113="","",F113*L113/100)</f>
        <v/>
      </c>
      <c r="K113" s="7" t="n"/>
      <c r="L113" s="7" t="n"/>
      <c r="M113" s="7">
        <f>IF($B113="","",L113*T113/100)</f>
        <v/>
      </c>
      <c r="N113" s="7">
        <f>IF($B113="","",L113-M113)</f>
        <v/>
      </c>
      <c r="O113" s="7">
        <f>IF($B113="","",N113-G113)</f>
        <v/>
      </c>
      <c r="R113" s="14" t="n"/>
      <c r="T113">
        <f>IF($B113="","",IF($W113=1,Settings!$C$6,Settings!$C$7)*100)</f>
        <v/>
      </c>
      <c r="U113">
        <f>IF($B113="","",IF(COUNTIF($B$2:$B113,$B113)=1,1,0))</f>
        <v/>
      </c>
      <c r="V113">
        <f>IF($U113=1,SUMPRODUCT(--($X$2:$X$1501&lt;$X113))+1,"")</f>
        <v/>
      </c>
      <c r="W113">
        <f>IF($B113="","",IF(OR($S113=TRUE(),$S113="TRUE"),1,0))</f>
        <v/>
      </c>
      <c r="X113">
        <f>IF($U113=1,IFERROR(IF(VALUE($B113)&lt;100000000,VALUE($B113),1000000000),IFERROR(IF(VALUE(MID($B113,2,20))&lt;100000000,VALUE(MID($B113,2,20)),1000000000),1000000000))+ROW()/100000,"")</f>
        <v/>
      </c>
    </row>
    <row r="114">
      <c r="A114">
        <f>IF($B114="","",IFERROR(IF(INDEX('Per Invoice'!$C$2:$C$401,MATCH($B114,'Per Invoice'!$A$2:$A$401,0))=0,"",INDEX('Per Invoice'!$C$2:$C$401,MATCH($B114,'Per Invoice'!$A$2:$A$401,0))),""))</f>
        <v/>
      </c>
      <c r="G114" s="7">
        <f>IF($B114="","",F114*L114/100)</f>
        <v/>
      </c>
      <c r="K114" s="7" t="n"/>
      <c r="L114" s="7" t="n"/>
      <c r="M114" s="7">
        <f>IF($B114="","",L114*T114/100)</f>
        <v/>
      </c>
      <c r="N114" s="7">
        <f>IF($B114="","",L114-M114)</f>
        <v/>
      </c>
      <c r="O114" s="7">
        <f>IF($B114="","",N114-G114)</f>
        <v/>
      </c>
      <c r="R114" s="14" t="n"/>
      <c r="T114">
        <f>IF($B114="","",IF($W114=1,Settings!$C$6,Settings!$C$7)*100)</f>
        <v/>
      </c>
      <c r="U114">
        <f>IF($B114="","",IF(COUNTIF($B$2:$B114,$B114)=1,1,0))</f>
        <v/>
      </c>
      <c r="V114">
        <f>IF($U114=1,SUMPRODUCT(--($X$2:$X$1501&lt;$X114))+1,"")</f>
        <v/>
      </c>
      <c r="W114">
        <f>IF($B114="","",IF(OR($S114=TRUE(),$S114="TRUE"),1,0))</f>
        <v/>
      </c>
      <c r="X114">
        <f>IF($U114=1,IFERROR(IF(VALUE($B114)&lt;100000000,VALUE($B114),1000000000),IFERROR(IF(VALUE(MID($B114,2,20))&lt;100000000,VALUE(MID($B114,2,20)),1000000000),1000000000))+ROW()/100000,"")</f>
        <v/>
      </c>
    </row>
    <row r="115">
      <c r="A115">
        <f>IF($B115="","",IFERROR(IF(INDEX('Per Invoice'!$C$2:$C$401,MATCH($B115,'Per Invoice'!$A$2:$A$401,0))=0,"",INDEX('Per Invoice'!$C$2:$C$401,MATCH($B115,'Per Invoice'!$A$2:$A$401,0))),""))</f>
        <v/>
      </c>
      <c r="G115" s="7">
        <f>IF($B115="","",F115*L115/100)</f>
        <v/>
      </c>
      <c r="K115" s="7" t="n"/>
      <c r="L115" s="7" t="n"/>
      <c r="M115" s="7">
        <f>IF($B115="","",L115*T115/100)</f>
        <v/>
      </c>
      <c r="N115" s="7">
        <f>IF($B115="","",L115-M115)</f>
        <v/>
      </c>
      <c r="O115" s="7">
        <f>IF($B115="","",N115-G115)</f>
        <v/>
      </c>
      <c r="R115" s="14" t="n"/>
      <c r="T115">
        <f>IF($B115="","",IF($W115=1,Settings!$C$6,Settings!$C$7)*100)</f>
        <v/>
      </c>
      <c r="U115">
        <f>IF($B115="","",IF(COUNTIF($B$2:$B115,$B115)=1,1,0))</f>
        <v/>
      </c>
      <c r="V115">
        <f>IF($U115=1,SUMPRODUCT(--($X$2:$X$1501&lt;$X115))+1,"")</f>
        <v/>
      </c>
      <c r="W115">
        <f>IF($B115="","",IF(OR($S115=TRUE(),$S115="TRUE"),1,0))</f>
        <v/>
      </c>
      <c r="X115">
        <f>IF($U115=1,IFERROR(IF(VALUE($B115)&lt;100000000,VALUE($B115),1000000000),IFERROR(IF(VALUE(MID($B115,2,20))&lt;100000000,VALUE(MID($B115,2,20)),1000000000),1000000000))+ROW()/100000,"")</f>
        <v/>
      </c>
    </row>
    <row r="116">
      <c r="A116">
        <f>IF($B116="","",IFERROR(IF(INDEX('Per Invoice'!$C$2:$C$401,MATCH($B116,'Per Invoice'!$A$2:$A$401,0))=0,"",INDEX('Per Invoice'!$C$2:$C$401,MATCH($B116,'Per Invoice'!$A$2:$A$401,0))),""))</f>
        <v/>
      </c>
      <c r="G116" s="7">
        <f>IF($B116="","",F116*L116/100)</f>
        <v/>
      </c>
      <c r="K116" s="7" t="n"/>
      <c r="L116" s="7" t="n"/>
      <c r="M116" s="7">
        <f>IF($B116="","",L116*T116/100)</f>
        <v/>
      </c>
      <c r="N116" s="7">
        <f>IF($B116="","",L116-M116)</f>
        <v/>
      </c>
      <c r="O116" s="7">
        <f>IF($B116="","",N116-G116)</f>
        <v/>
      </c>
      <c r="R116" s="14" t="n"/>
      <c r="T116">
        <f>IF($B116="","",IF($W116=1,Settings!$C$6,Settings!$C$7)*100)</f>
        <v/>
      </c>
      <c r="U116">
        <f>IF($B116="","",IF(COUNTIF($B$2:$B116,$B116)=1,1,0))</f>
        <v/>
      </c>
      <c r="V116">
        <f>IF($U116=1,SUMPRODUCT(--($X$2:$X$1501&lt;$X116))+1,"")</f>
        <v/>
      </c>
      <c r="W116">
        <f>IF($B116="","",IF(OR($S116=TRUE(),$S116="TRUE"),1,0))</f>
        <v/>
      </c>
      <c r="X116">
        <f>IF($U116=1,IFERROR(IF(VALUE($B116)&lt;100000000,VALUE($B116),1000000000),IFERROR(IF(VALUE(MID($B116,2,20))&lt;100000000,VALUE(MID($B116,2,20)),1000000000),1000000000))+ROW()/100000,"")</f>
        <v/>
      </c>
    </row>
    <row r="117">
      <c r="A117">
        <f>IF($B117="","",IFERROR(IF(INDEX('Per Invoice'!$C$2:$C$401,MATCH($B117,'Per Invoice'!$A$2:$A$401,0))=0,"",INDEX('Per Invoice'!$C$2:$C$401,MATCH($B117,'Per Invoice'!$A$2:$A$401,0))),""))</f>
        <v/>
      </c>
      <c r="G117" s="7">
        <f>IF($B117="","",F117*L117/100)</f>
        <v/>
      </c>
      <c r="K117" s="7" t="n"/>
      <c r="L117" s="7" t="n"/>
      <c r="M117" s="7">
        <f>IF($B117="","",L117*T117/100)</f>
        <v/>
      </c>
      <c r="N117" s="7">
        <f>IF($B117="","",L117-M117)</f>
        <v/>
      </c>
      <c r="O117" s="7">
        <f>IF($B117="","",N117-G117)</f>
        <v/>
      </c>
      <c r="R117" s="14" t="n"/>
      <c r="T117">
        <f>IF($B117="","",IF($W117=1,Settings!$C$6,Settings!$C$7)*100)</f>
        <v/>
      </c>
      <c r="U117">
        <f>IF($B117="","",IF(COUNTIF($B$2:$B117,$B117)=1,1,0))</f>
        <v/>
      </c>
      <c r="V117">
        <f>IF($U117=1,SUMPRODUCT(--($X$2:$X$1501&lt;$X117))+1,"")</f>
        <v/>
      </c>
      <c r="W117">
        <f>IF($B117="","",IF(OR($S117=TRUE(),$S117="TRUE"),1,0))</f>
        <v/>
      </c>
      <c r="X117">
        <f>IF($U117=1,IFERROR(IF(VALUE($B117)&lt;100000000,VALUE($B117),1000000000),IFERROR(IF(VALUE(MID($B117,2,20))&lt;100000000,VALUE(MID($B117,2,20)),1000000000),1000000000))+ROW()/100000,"")</f>
        <v/>
      </c>
    </row>
    <row r="118">
      <c r="A118">
        <f>IF($B118="","",IFERROR(IF(INDEX('Per Invoice'!$C$2:$C$401,MATCH($B118,'Per Invoice'!$A$2:$A$401,0))=0,"",INDEX('Per Invoice'!$C$2:$C$401,MATCH($B118,'Per Invoice'!$A$2:$A$401,0))),""))</f>
        <v/>
      </c>
      <c r="G118" s="7">
        <f>IF($B118="","",F118*L118/100)</f>
        <v/>
      </c>
      <c r="K118" s="7" t="n"/>
      <c r="L118" s="7" t="n"/>
      <c r="M118" s="7">
        <f>IF($B118="","",L118*T118/100)</f>
        <v/>
      </c>
      <c r="N118" s="7">
        <f>IF($B118="","",L118-M118)</f>
        <v/>
      </c>
      <c r="O118" s="7">
        <f>IF($B118="","",N118-G118)</f>
        <v/>
      </c>
      <c r="R118" s="14" t="n"/>
      <c r="T118">
        <f>IF($B118="","",IF($W118=1,Settings!$C$6,Settings!$C$7)*100)</f>
        <v/>
      </c>
      <c r="U118">
        <f>IF($B118="","",IF(COUNTIF($B$2:$B118,$B118)=1,1,0))</f>
        <v/>
      </c>
      <c r="V118">
        <f>IF($U118=1,SUMPRODUCT(--($X$2:$X$1501&lt;$X118))+1,"")</f>
        <v/>
      </c>
      <c r="W118">
        <f>IF($B118="","",IF(OR($S118=TRUE(),$S118="TRUE"),1,0))</f>
        <v/>
      </c>
      <c r="X118">
        <f>IF($U118=1,IFERROR(IF(VALUE($B118)&lt;100000000,VALUE($B118),1000000000),IFERROR(IF(VALUE(MID($B118,2,20))&lt;100000000,VALUE(MID($B118,2,20)),1000000000),1000000000))+ROW()/100000,"")</f>
        <v/>
      </c>
    </row>
    <row r="119">
      <c r="A119">
        <f>IF($B119="","",IFERROR(IF(INDEX('Per Invoice'!$C$2:$C$401,MATCH($B119,'Per Invoice'!$A$2:$A$401,0))=0,"",INDEX('Per Invoice'!$C$2:$C$401,MATCH($B119,'Per Invoice'!$A$2:$A$401,0))),""))</f>
        <v/>
      </c>
      <c r="G119" s="7">
        <f>IF($B119="","",F119*L119/100)</f>
        <v/>
      </c>
      <c r="K119" s="7" t="n"/>
      <c r="L119" s="7" t="n"/>
      <c r="M119" s="7">
        <f>IF($B119="","",L119*T119/100)</f>
        <v/>
      </c>
      <c r="N119" s="7">
        <f>IF($B119="","",L119-M119)</f>
        <v/>
      </c>
      <c r="O119" s="7">
        <f>IF($B119="","",N119-G119)</f>
        <v/>
      </c>
      <c r="R119" s="14" t="n"/>
      <c r="T119">
        <f>IF($B119="","",IF($W119=1,Settings!$C$6,Settings!$C$7)*100)</f>
        <v/>
      </c>
      <c r="U119">
        <f>IF($B119="","",IF(COUNTIF($B$2:$B119,$B119)=1,1,0))</f>
        <v/>
      </c>
      <c r="V119">
        <f>IF($U119=1,SUMPRODUCT(--($X$2:$X$1501&lt;$X119))+1,"")</f>
        <v/>
      </c>
      <c r="W119">
        <f>IF($B119="","",IF(OR($S119=TRUE(),$S119="TRUE"),1,0))</f>
        <v/>
      </c>
      <c r="X119">
        <f>IF($U119=1,IFERROR(IF(VALUE($B119)&lt;100000000,VALUE($B119),1000000000),IFERROR(IF(VALUE(MID($B119,2,20))&lt;100000000,VALUE(MID($B119,2,20)),1000000000),1000000000))+ROW()/100000,"")</f>
        <v/>
      </c>
    </row>
    <row r="120">
      <c r="A120">
        <f>IF($B120="","",IFERROR(IF(INDEX('Per Invoice'!$C$2:$C$401,MATCH($B120,'Per Invoice'!$A$2:$A$401,0))=0,"",INDEX('Per Invoice'!$C$2:$C$401,MATCH($B120,'Per Invoice'!$A$2:$A$401,0))),""))</f>
        <v/>
      </c>
      <c r="G120" s="7">
        <f>IF($B120="","",F120*L120/100)</f>
        <v/>
      </c>
      <c r="K120" s="7" t="n"/>
      <c r="L120" s="7" t="n"/>
      <c r="M120" s="7">
        <f>IF($B120="","",L120*T120/100)</f>
        <v/>
      </c>
      <c r="N120" s="7">
        <f>IF($B120="","",L120-M120)</f>
        <v/>
      </c>
      <c r="O120" s="7">
        <f>IF($B120="","",N120-G120)</f>
        <v/>
      </c>
      <c r="R120" s="14" t="n"/>
      <c r="T120">
        <f>IF($B120="","",IF($W120=1,Settings!$C$6,Settings!$C$7)*100)</f>
        <v/>
      </c>
      <c r="U120">
        <f>IF($B120="","",IF(COUNTIF($B$2:$B120,$B120)=1,1,0))</f>
        <v/>
      </c>
      <c r="V120">
        <f>IF($U120=1,SUMPRODUCT(--($X$2:$X$1501&lt;$X120))+1,"")</f>
        <v/>
      </c>
      <c r="W120">
        <f>IF($B120="","",IF(OR($S120=TRUE(),$S120="TRUE"),1,0))</f>
        <v/>
      </c>
      <c r="X120">
        <f>IF($U120=1,IFERROR(IF(VALUE($B120)&lt;100000000,VALUE($B120),1000000000),IFERROR(IF(VALUE(MID($B120,2,20))&lt;100000000,VALUE(MID($B120,2,20)),1000000000),1000000000))+ROW()/100000,"")</f>
        <v/>
      </c>
    </row>
    <row r="121">
      <c r="A121">
        <f>IF($B121="","",IFERROR(IF(INDEX('Per Invoice'!$C$2:$C$401,MATCH($B121,'Per Invoice'!$A$2:$A$401,0))=0,"",INDEX('Per Invoice'!$C$2:$C$401,MATCH($B121,'Per Invoice'!$A$2:$A$401,0))),""))</f>
        <v/>
      </c>
      <c r="G121" s="7">
        <f>IF($B121="","",F121*L121/100)</f>
        <v/>
      </c>
      <c r="K121" s="7" t="n"/>
      <c r="L121" s="7" t="n"/>
      <c r="M121" s="7">
        <f>IF($B121="","",L121*T121/100)</f>
        <v/>
      </c>
      <c r="N121" s="7">
        <f>IF($B121="","",L121-M121)</f>
        <v/>
      </c>
      <c r="O121" s="7">
        <f>IF($B121="","",N121-G121)</f>
        <v/>
      </c>
      <c r="R121" s="14" t="n"/>
      <c r="T121">
        <f>IF($B121="","",IF($W121=1,Settings!$C$6,Settings!$C$7)*100)</f>
        <v/>
      </c>
      <c r="U121">
        <f>IF($B121="","",IF(COUNTIF($B$2:$B121,$B121)=1,1,0))</f>
        <v/>
      </c>
      <c r="V121">
        <f>IF($U121=1,SUMPRODUCT(--($X$2:$X$1501&lt;$X121))+1,"")</f>
        <v/>
      </c>
      <c r="W121">
        <f>IF($B121="","",IF(OR($S121=TRUE(),$S121="TRUE"),1,0))</f>
        <v/>
      </c>
      <c r="X121">
        <f>IF($U121=1,IFERROR(IF(VALUE($B121)&lt;100000000,VALUE($B121),1000000000),IFERROR(IF(VALUE(MID($B121,2,20))&lt;100000000,VALUE(MID($B121,2,20)),1000000000),1000000000))+ROW()/100000,"")</f>
        <v/>
      </c>
    </row>
    <row r="122">
      <c r="A122">
        <f>IF($B122="","",IFERROR(IF(INDEX('Per Invoice'!$C$2:$C$401,MATCH($B122,'Per Invoice'!$A$2:$A$401,0))=0,"",INDEX('Per Invoice'!$C$2:$C$401,MATCH($B122,'Per Invoice'!$A$2:$A$401,0))),""))</f>
        <v/>
      </c>
      <c r="G122" s="7">
        <f>IF($B122="","",F122*L122/100)</f>
        <v/>
      </c>
      <c r="K122" s="7" t="n"/>
      <c r="L122" s="7" t="n"/>
      <c r="M122" s="7">
        <f>IF($B122="","",L122*T122/100)</f>
        <v/>
      </c>
      <c r="N122" s="7">
        <f>IF($B122="","",L122-M122)</f>
        <v/>
      </c>
      <c r="O122" s="7">
        <f>IF($B122="","",N122-G122)</f>
        <v/>
      </c>
      <c r="R122" s="14" t="n"/>
      <c r="T122">
        <f>IF($B122="","",IF($W122=1,Settings!$C$6,Settings!$C$7)*100)</f>
        <v/>
      </c>
      <c r="U122">
        <f>IF($B122="","",IF(COUNTIF($B$2:$B122,$B122)=1,1,0))</f>
        <v/>
      </c>
      <c r="V122">
        <f>IF($U122=1,SUMPRODUCT(--($X$2:$X$1501&lt;$X122))+1,"")</f>
        <v/>
      </c>
      <c r="W122">
        <f>IF($B122="","",IF(OR($S122=TRUE(),$S122="TRUE"),1,0))</f>
        <v/>
      </c>
      <c r="X122">
        <f>IF($U122=1,IFERROR(IF(VALUE($B122)&lt;100000000,VALUE($B122),1000000000),IFERROR(IF(VALUE(MID($B122,2,20))&lt;100000000,VALUE(MID($B122,2,20)),1000000000),1000000000))+ROW()/100000,"")</f>
        <v/>
      </c>
    </row>
    <row r="123">
      <c r="A123">
        <f>IF($B123="","",IFERROR(IF(INDEX('Per Invoice'!$C$2:$C$401,MATCH($B123,'Per Invoice'!$A$2:$A$401,0))=0,"",INDEX('Per Invoice'!$C$2:$C$401,MATCH($B123,'Per Invoice'!$A$2:$A$401,0))),""))</f>
        <v/>
      </c>
      <c r="G123" s="7">
        <f>IF($B123="","",F123*L123/100)</f>
        <v/>
      </c>
      <c r="K123" s="7" t="n"/>
      <c r="L123" s="7" t="n"/>
      <c r="M123" s="7">
        <f>IF($B123="","",L123*T123/100)</f>
        <v/>
      </c>
      <c r="N123" s="7">
        <f>IF($B123="","",L123-M123)</f>
        <v/>
      </c>
      <c r="O123" s="7">
        <f>IF($B123="","",N123-G123)</f>
        <v/>
      </c>
      <c r="R123" s="14" t="n"/>
      <c r="T123">
        <f>IF($B123="","",IF($W123=1,Settings!$C$6,Settings!$C$7)*100)</f>
        <v/>
      </c>
      <c r="U123">
        <f>IF($B123="","",IF(COUNTIF($B$2:$B123,$B123)=1,1,0))</f>
        <v/>
      </c>
      <c r="V123">
        <f>IF($U123=1,SUMPRODUCT(--($X$2:$X$1501&lt;$X123))+1,"")</f>
        <v/>
      </c>
      <c r="W123">
        <f>IF($B123="","",IF(OR($S123=TRUE(),$S123="TRUE"),1,0))</f>
        <v/>
      </c>
      <c r="X123">
        <f>IF($U123=1,IFERROR(IF(VALUE($B123)&lt;100000000,VALUE($B123),1000000000),IFERROR(IF(VALUE(MID($B123,2,20))&lt;100000000,VALUE(MID($B123,2,20)),1000000000),1000000000))+ROW()/100000,"")</f>
        <v/>
      </c>
    </row>
    <row r="124">
      <c r="A124">
        <f>IF($B124="","",IFERROR(IF(INDEX('Per Invoice'!$C$2:$C$401,MATCH($B124,'Per Invoice'!$A$2:$A$401,0))=0,"",INDEX('Per Invoice'!$C$2:$C$401,MATCH($B124,'Per Invoice'!$A$2:$A$401,0))),""))</f>
        <v/>
      </c>
      <c r="G124" s="7">
        <f>IF($B124="","",F124*L124/100)</f>
        <v/>
      </c>
      <c r="K124" s="7" t="n"/>
      <c r="L124" s="7" t="n"/>
      <c r="M124" s="7">
        <f>IF($B124="","",L124*T124/100)</f>
        <v/>
      </c>
      <c r="N124" s="7">
        <f>IF($B124="","",L124-M124)</f>
        <v/>
      </c>
      <c r="O124" s="7">
        <f>IF($B124="","",N124-G124)</f>
        <v/>
      </c>
      <c r="R124" s="14" t="n"/>
      <c r="T124">
        <f>IF($B124="","",IF($W124=1,Settings!$C$6,Settings!$C$7)*100)</f>
        <v/>
      </c>
      <c r="U124">
        <f>IF($B124="","",IF(COUNTIF($B$2:$B124,$B124)=1,1,0))</f>
        <v/>
      </c>
      <c r="V124">
        <f>IF($U124=1,SUMPRODUCT(--($X$2:$X$1501&lt;$X124))+1,"")</f>
        <v/>
      </c>
      <c r="W124">
        <f>IF($B124="","",IF(OR($S124=TRUE(),$S124="TRUE"),1,0))</f>
        <v/>
      </c>
      <c r="X124">
        <f>IF($U124=1,IFERROR(IF(VALUE($B124)&lt;100000000,VALUE($B124),1000000000),IFERROR(IF(VALUE(MID($B124,2,20))&lt;100000000,VALUE(MID($B124,2,20)),1000000000),1000000000))+ROW()/100000,"")</f>
        <v/>
      </c>
    </row>
    <row r="125">
      <c r="A125">
        <f>IF($B125="","",IFERROR(IF(INDEX('Per Invoice'!$C$2:$C$401,MATCH($B125,'Per Invoice'!$A$2:$A$401,0))=0,"",INDEX('Per Invoice'!$C$2:$C$401,MATCH($B125,'Per Invoice'!$A$2:$A$401,0))),""))</f>
        <v/>
      </c>
      <c r="G125" s="7">
        <f>IF($B125="","",F125*L125/100)</f>
        <v/>
      </c>
      <c r="K125" s="7" t="n"/>
      <c r="L125" s="7" t="n"/>
      <c r="M125" s="7">
        <f>IF($B125="","",L125*T125/100)</f>
        <v/>
      </c>
      <c r="N125" s="7">
        <f>IF($B125="","",L125-M125)</f>
        <v/>
      </c>
      <c r="O125" s="7">
        <f>IF($B125="","",N125-G125)</f>
        <v/>
      </c>
      <c r="R125" s="14" t="n"/>
      <c r="T125">
        <f>IF($B125="","",IF($W125=1,Settings!$C$6,Settings!$C$7)*100)</f>
        <v/>
      </c>
      <c r="U125">
        <f>IF($B125="","",IF(COUNTIF($B$2:$B125,$B125)=1,1,0))</f>
        <v/>
      </c>
      <c r="V125">
        <f>IF($U125=1,SUMPRODUCT(--($X$2:$X$1501&lt;$X125))+1,"")</f>
        <v/>
      </c>
      <c r="W125">
        <f>IF($B125="","",IF(OR($S125=TRUE(),$S125="TRUE"),1,0))</f>
        <v/>
      </c>
      <c r="X125">
        <f>IF($U125=1,IFERROR(IF(VALUE($B125)&lt;100000000,VALUE($B125),1000000000),IFERROR(IF(VALUE(MID($B125,2,20))&lt;100000000,VALUE(MID($B125,2,20)),1000000000),1000000000))+ROW()/100000,"")</f>
        <v/>
      </c>
    </row>
    <row r="126">
      <c r="A126">
        <f>IF($B126="","",IFERROR(IF(INDEX('Per Invoice'!$C$2:$C$401,MATCH($B126,'Per Invoice'!$A$2:$A$401,0))=0,"",INDEX('Per Invoice'!$C$2:$C$401,MATCH($B126,'Per Invoice'!$A$2:$A$401,0))),""))</f>
        <v/>
      </c>
      <c r="G126" s="7">
        <f>IF($B126="","",F126*L126/100)</f>
        <v/>
      </c>
      <c r="K126" s="7" t="n"/>
      <c r="L126" s="7" t="n"/>
      <c r="M126" s="7">
        <f>IF($B126="","",L126*T126/100)</f>
        <v/>
      </c>
      <c r="N126" s="7">
        <f>IF($B126="","",L126-M126)</f>
        <v/>
      </c>
      <c r="O126" s="7">
        <f>IF($B126="","",N126-G126)</f>
        <v/>
      </c>
      <c r="R126" s="14" t="n"/>
      <c r="T126">
        <f>IF($B126="","",IF($W126=1,Settings!$C$6,Settings!$C$7)*100)</f>
        <v/>
      </c>
      <c r="U126">
        <f>IF($B126="","",IF(COUNTIF($B$2:$B126,$B126)=1,1,0))</f>
        <v/>
      </c>
      <c r="V126">
        <f>IF($U126=1,SUMPRODUCT(--($X$2:$X$1501&lt;$X126))+1,"")</f>
        <v/>
      </c>
      <c r="W126">
        <f>IF($B126="","",IF(OR($S126=TRUE(),$S126="TRUE"),1,0))</f>
        <v/>
      </c>
      <c r="X126">
        <f>IF($U126=1,IFERROR(IF(VALUE($B126)&lt;100000000,VALUE($B126),1000000000),IFERROR(IF(VALUE(MID($B126,2,20))&lt;100000000,VALUE(MID($B126,2,20)),1000000000),1000000000))+ROW()/100000,"")</f>
        <v/>
      </c>
    </row>
    <row r="127">
      <c r="A127">
        <f>IF($B127="","",IFERROR(IF(INDEX('Per Invoice'!$C$2:$C$401,MATCH($B127,'Per Invoice'!$A$2:$A$401,0))=0,"",INDEX('Per Invoice'!$C$2:$C$401,MATCH($B127,'Per Invoice'!$A$2:$A$401,0))),""))</f>
        <v/>
      </c>
      <c r="G127" s="7">
        <f>IF($B127="","",F127*L127/100)</f>
        <v/>
      </c>
      <c r="K127" s="7" t="n"/>
      <c r="L127" s="7" t="n"/>
      <c r="M127" s="7">
        <f>IF($B127="","",L127*T127/100)</f>
        <v/>
      </c>
      <c r="N127" s="7">
        <f>IF($B127="","",L127-M127)</f>
        <v/>
      </c>
      <c r="O127" s="7">
        <f>IF($B127="","",N127-G127)</f>
        <v/>
      </c>
      <c r="R127" s="14" t="n"/>
      <c r="T127">
        <f>IF($B127="","",IF($W127=1,Settings!$C$6,Settings!$C$7)*100)</f>
        <v/>
      </c>
      <c r="U127">
        <f>IF($B127="","",IF(COUNTIF($B$2:$B127,$B127)=1,1,0))</f>
        <v/>
      </c>
      <c r="V127">
        <f>IF($U127=1,SUMPRODUCT(--($X$2:$X$1501&lt;$X127))+1,"")</f>
        <v/>
      </c>
      <c r="W127">
        <f>IF($B127="","",IF(OR($S127=TRUE(),$S127="TRUE"),1,0))</f>
        <v/>
      </c>
      <c r="X127">
        <f>IF($U127=1,IFERROR(IF(VALUE($B127)&lt;100000000,VALUE($B127),1000000000),IFERROR(IF(VALUE(MID($B127,2,20))&lt;100000000,VALUE(MID($B127,2,20)),1000000000),1000000000))+ROW()/100000,"")</f>
        <v/>
      </c>
    </row>
    <row r="128">
      <c r="A128">
        <f>IF($B128="","",IFERROR(IF(INDEX('Per Invoice'!$C$2:$C$401,MATCH($B128,'Per Invoice'!$A$2:$A$401,0))=0,"",INDEX('Per Invoice'!$C$2:$C$401,MATCH($B128,'Per Invoice'!$A$2:$A$401,0))),""))</f>
        <v/>
      </c>
      <c r="G128" s="7">
        <f>IF($B128="","",F128*L128/100)</f>
        <v/>
      </c>
      <c r="K128" s="7" t="n"/>
      <c r="L128" s="7" t="n"/>
      <c r="M128" s="7">
        <f>IF($B128="","",L128*T128/100)</f>
        <v/>
      </c>
      <c r="N128" s="7">
        <f>IF($B128="","",L128-M128)</f>
        <v/>
      </c>
      <c r="O128" s="7">
        <f>IF($B128="","",N128-G128)</f>
        <v/>
      </c>
      <c r="R128" s="14" t="n"/>
      <c r="T128">
        <f>IF($B128="","",IF($W128=1,Settings!$C$6,Settings!$C$7)*100)</f>
        <v/>
      </c>
      <c r="U128">
        <f>IF($B128="","",IF(COUNTIF($B$2:$B128,$B128)=1,1,0))</f>
        <v/>
      </c>
      <c r="V128">
        <f>IF($U128=1,SUMPRODUCT(--($X$2:$X$1501&lt;$X128))+1,"")</f>
        <v/>
      </c>
      <c r="W128">
        <f>IF($B128="","",IF(OR($S128=TRUE(),$S128="TRUE"),1,0))</f>
        <v/>
      </c>
      <c r="X128">
        <f>IF($U128=1,IFERROR(IF(VALUE($B128)&lt;100000000,VALUE($B128),1000000000),IFERROR(IF(VALUE(MID($B128,2,20))&lt;100000000,VALUE(MID($B128,2,20)),1000000000),1000000000))+ROW()/100000,"")</f>
        <v/>
      </c>
    </row>
    <row r="129">
      <c r="A129">
        <f>IF($B129="","",IFERROR(IF(INDEX('Per Invoice'!$C$2:$C$401,MATCH($B129,'Per Invoice'!$A$2:$A$401,0))=0,"",INDEX('Per Invoice'!$C$2:$C$401,MATCH($B129,'Per Invoice'!$A$2:$A$401,0))),""))</f>
        <v/>
      </c>
      <c r="G129" s="7">
        <f>IF($B129="","",F129*L129/100)</f>
        <v/>
      </c>
      <c r="K129" s="7" t="n"/>
      <c r="L129" s="7" t="n"/>
      <c r="M129" s="7">
        <f>IF($B129="","",L129*T129/100)</f>
        <v/>
      </c>
      <c r="N129" s="7">
        <f>IF($B129="","",L129-M129)</f>
        <v/>
      </c>
      <c r="O129" s="7">
        <f>IF($B129="","",N129-G129)</f>
        <v/>
      </c>
      <c r="R129" s="14" t="n"/>
      <c r="T129">
        <f>IF($B129="","",IF($W129=1,Settings!$C$6,Settings!$C$7)*100)</f>
        <v/>
      </c>
      <c r="U129">
        <f>IF($B129="","",IF(COUNTIF($B$2:$B129,$B129)=1,1,0))</f>
        <v/>
      </c>
      <c r="V129">
        <f>IF($U129=1,SUMPRODUCT(--($X$2:$X$1501&lt;$X129))+1,"")</f>
        <v/>
      </c>
      <c r="W129">
        <f>IF($B129="","",IF(OR($S129=TRUE(),$S129="TRUE"),1,0))</f>
        <v/>
      </c>
      <c r="X129">
        <f>IF($U129=1,IFERROR(IF(VALUE($B129)&lt;100000000,VALUE($B129),1000000000),IFERROR(IF(VALUE(MID($B129,2,20))&lt;100000000,VALUE(MID($B129,2,20)),1000000000),1000000000))+ROW()/100000,"")</f>
        <v/>
      </c>
    </row>
    <row r="130">
      <c r="A130">
        <f>IF($B130="","",IFERROR(IF(INDEX('Per Invoice'!$C$2:$C$401,MATCH($B130,'Per Invoice'!$A$2:$A$401,0))=0,"",INDEX('Per Invoice'!$C$2:$C$401,MATCH($B130,'Per Invoice'!$A$2:$A$401,0))),""))</f>
        <v/>
      </c>
      <c r="G130" s="7">
        <f>IF($B130="","",F130*L130/100)</f>
        <v/>
      </c>
      <c r="K130" s="7" t="n"/>
      <c r="L130" s="7" t="n"/>
      <c r="M130" s="7">
        <f>IF($B130="","",L130*T130/100)</f>
        <v/>
      </c>
      <c r="N130" s="7">
        <f>IF($B130="","",L130-M130)</f>
        <v/>
      </c>
      <c r="O130" s="7">
        <f>IF($B130="","",N130-G130)</f>
        <v/>
      </c>
      <c r="R130" s="14" t="n"/>
      <c r="T130">
        <f>IF($B130="","",IF($W130=1,Settings!$C$6,Settings!$C$7)*100)</f>
        <v/>
      </c>
      <c r="U130">
        <f>IF($B130="","",IF(COUNTIF($B$2:$B130,$B130)=1,1,0))</f>
        <v/>
      </c>
      <c r="V130">
        <f>IF($U130=1,SUMPRODUCT(--($X$2:$X$1501&lt;$X130))+1,"")</f>
        <v/>
      </c>
      <c r="W130">
        <f>IF($B130="","",IF(OR($S130=TRUE(),$S130="TRUE"),1,0))</f>
        <v/>
      </c>
      <c r="X130">
        <f>IF($U130=1,IFERROR(IF(VALUE($B130)&lt;100000000,VALUE($B130),1000000000),IFERROR(IF(VALUE(MID($B130,2,20))&lt;100000000,VALUE(MID($B130,2,20)),1000000000),1000000000))+ROW()/100000,"")</f>
        <v/>
      </c>
    </row>
    <row r="131">
      <c r="A131">
        <f>IF($B131="","",IFERROR(IF(INDEX('Per Invoice'!$C$2:$C$401,MATCH($B131,'Per Invoice'!$A$2:$A$401,0))=0,"",INDEX('Per Invoice'!$C$2:$C$401,MATCH($B131,'Per Invoice'!$A$2:$A$401,0))),""))</f>
        <v/>
      </c>
      <c r="G131" s="7">
        <f>IF($B131="","",F131*L131/100)</f>
        <v/>
      </c>
      <c r="K131" s="7" t="n"/>
      <c r="L131" s="7" t="n"/>
      <c r="M131" s="7">
        <f>IF($B131="","",L131*T131/100)</f>
        <v/>
      </c>
      <c r="N131" s="7">
        <f>IF($B131="","",L131-M131)</f>
        <v/>
      </c>
      <c r="O131" s="7">
        <f>IF($B131="","",N131-G131)</f>
        <v/>
      </c>
      <c r="R131" s="14" t="n"/>
      <c r="T131">
        <f>IF($B131="","",IF($W131=1,Settings!$C$6,Settings!$C$7)*100)</f>
        <v/>
      </c>
      <c r="U131">
        <f>IF($B131="","",IF(COUNTIF($B$2:$B131,$B131)=1,1,0))</f>
        <v/>
      </c>
      <c r="V131">
        <f>IF($U131=1,SUMPRODUCT(--($X$2:$X$1501&lt;$X131))+1,"")</f>
        <v/>
      </c>
      <c r="W131">
        <f>IF($B131="","",IF(OR($S131=TRUE(),$S131="TRUE"),1,0))</f>
        <v/>
      </c>
      <c r="X131">
        <f>IF($U131=1,IFERROR(IF(VALUE($B131)&lt;100000000,VALUE($B131),1000000000),IFERROR(IF(VALUE(MID($B131,2,20))&lt;100000000,VALUE(MID($B131,2,20)),1000000000),1000000000))+ROW()/100000,"")</f>
        <v/>
      </c>
    </row>
    <row r="132">
      <c r="A132">
        <f>IF($B132="","",IFERROR(IF(INDEX('Per Invoice'!$C$2:$C$401,MATCH($B132,'Per Invoice'!$A$2:$A$401,0))=0,"",INDEX('Per Invoice'!$C$2:$C$401,MATCH($B132,'Per Invoice'!$A$2:$A$401,0))),""))</f>
        <v/>
      </c>
      <c r="G132" s="7">
        <f>IF($B132="","",F132*L132/100)</f>
        <v/>
      </c>
      <c r="K132" s="7" t="n"/>
      <c r="L132" s="7" t="n"/>
      <c r="M132" s="7">
        <f>IF($B132="","",L132*T132/100)</f>
        <v/>
      </c>
      <c r="N132" s="7">
        <f>IF($B132="","",L132-M132)</f>
        <v/>
      </c>
      <c r="O132" s="7">
        <f>IF($B132="","",N132-G132)</f>
        <v/>
      </c>
      <c r="R132" s="14" t="n"/>
      <c r="T132">
        <f>IF($B132="","",IF($W132=1,Settings!$C$6,Settings!$C$7)*100)</f>
        <v/>
      </c>
      <c r="U132">
        <f>IF($B132="","",IF(COUNTIF($B$2:$B132,$B132)=1,1,0))</f>
        <v/>
      </c>
      <c r="V132">
        <f>IF($U132=1,SUMPRODUCT(--($X$2:$X$1501&lt;$X132))+1,"")</f>
        <v/>
      </c>
      <c r="W132">
        <f>IF($B132="","",IF(OR($S132=TRUE(),$S132="TRUE"),1,0))</f>
        <v/>
      </c>
      <c r="X132">
        <f>IF($U132=1,IFERROR(IF(VALUE($B132)&lt;100000000,VALUE($B132),1000000000),IFERROR(IF(VALUE(MID($B132,2,20))&lt;100000000,VALUE(MID($B132,2,20)),1000000000),1000000000))+ROW()/100000,"")</f>
        <v/>
      </c>
    </row>
    <row r="133">
      <c r="A133">
        <f>IF($B133="","",IFERROR(IF(INDEX('Per Invoice'!$C$2:$C$401,MATCH($B133,'Per Invoice'!$A$2:$A$401,0))=0,"",INDEX('Per Invoice'!$C$2:$C$401,MATCH($B133,'Per Invoice'!$A$2:$A$401,0))),""))</f>
        <v/>
      </c>
      <c r="G133" s="7">
        <f>IF($B133="","",F133*L133/100)</f>
        <v/>
      </c>
      <c r="K133" s="7" t="n"/>
      <c r="L133" s="7" t="n"/>
      <c r="M133" s="7">
        <f>IF($B133="","",L133*T133/100)</f>
        <v/>
      </c>
      <c r="N133" s="7">
        <f>IF($B133="","",L133-M133)</f>
        <v/>
      </c>
      <c r="O133" s="7">
        <f>IF($B133="","",N133-G133)</f>
        <v/>
      </c>
      <c r="R133" s="14" t="n"/>
      <c r="T133">
        <f>IF($B133="","",IF($W133=1,Settings!$C$6,Settings!$C$7)*100)</f>
        <v/>
      </c>
      <c r="U133">
        <f>IF($B133="","",IF(COUNTIF($B$2:$B133,$B133)=1,1,0))</f>
        <v/>
      </c>
      <c r="V133">
        <f>IF($U133=1,SUMPRODUCT(--($X$2:$X$1501&lt;$X133))+1,"")</f>
        <v/>
      </c>
      <c r="W133">
        <f>IF($B133="","",IF(OR($S133=TRUE(),$S133="TRUE"),1,0))</f>
        <v/>
      </c>
      <c r="X133">
        <f>IF($U133=1,IFERROR(IF(VALUE($B133)&lt;100000000,VALUE($B133),1000000000),IFERROR(IF(VALUE(MID($B133,2,20))&lt;100000000,VALUE(MID($B133,2,20)),1000000000),1000000000))+ROW()/100000,"")</f>
        <v/>
      </c>
    </row>
    <row r="134">
      <c r="A134">
        <f>IF($B134="","",IFERROR(IF(INDEX('Per Invoice'!$C$2:$C$401,MATCH($B134,'Per Invoice'!$A$2:$A$401,0))=0,"",INDEX('Per Invoice'!$C$2:$C$401,MATCH($B134,'Per Invoice'!$A$2:$A$401,0))),""))</f>
        <v/>
      </c>
      <c r="G134" s="7">
        <f>IF($B134="","",F134*L134/100)</f>
        <v/>
      </c>
      <c r="K134" s="7" t="n"/>
      <c r="L134" s="7" t="n"/>
      <c r="M134" s="7">
        <f>IF($B134="","",L134*T134/100)</f>
        <v/>
      </c>
      <c r="N134" s="7">
        <f>IF($B134="","",L134-M134)</f>
        <v/>
      </c>
      <c r="O134" s="7">
        <f>IF($B134="","",N134-G134)</f>
        <v/>
      </c>
      <c r="R134" s="14" t="n"/>
      <c r="T134">
        <f>IF($B134="","",IF($W134=1,Settings!$C$6,Settings!$C$7)*100)</f>
        <v/>
      </c>
      <c r="U134">
        <f>IF($B134="","",IF(COUNTIF($B$2:$B134,$B134)=1,1,0))</f>
        <v/>
      </c>
      <c r="V134">
        <f>IF($U134=1,SUMPRODUCT(--($X$2:$X$1501&lt;$X134))+1,"")</f>
        <v/>
      </c>
      <c r="W134">
        <f>IF($B134="","",IF(OR($S134=TRUE(),$S134="TRUE"),1,0))</f>
        <v/>
      </c>
      <c r="X134">
        <f>IF($U134=1,IFERROR(IF(VALUE($B134)&lt;100000000,VALUE($B134),1000000000),IFERROR(IF(VALUE(MID($B134,2,20))&lt;100000000,VALUE(MID($B134,2,20)),1000000000),1000000000))+ROW()/100000,"")</f>
        <v/>
      </c>
    </row>
    <row r="135">
      <c r="A135">
        <f>IF($B135="","",IFERROR(IF(INDEX('Per Invoice'!$C$2:$C$401,MATCH($B135,'Per Invoice'!$A$2:$A$401,0))=0,"",INDEX('Per Invoice'!$C$2:$C$401,MATCH($B135,'Per Invoice'!$A$2:$A$401,0))),""))</f>
        <v/>
      </c>
      <c r="G135" s="7">
        <f>IF($B135="","",F135*L135/100)</f>
        <v/>
      </c>
      <c r="K135" s="7" t="n"/>
      <c r="L135" s="7" t="n"/>
      <c r="M135" s="7">
        <f>IF($B135="","",L135*T135/100)</f>
        <v/>
      </c>
      <c r="N135" s="7">
        <f>IF($B135="","",L135-M135)</f>
        <v/>
      </c>
      <c r="O135" s="7">
        <f>IF($B135="","",N135-G135)</f>
        <v/>
      </c>
      <c r="R135" s="14" t="n"/>
      <c r="T135">
        <f>IF($B135="","",IF($W135=1,Settings!$C$6,Settings!$C$7)*100)</f>
        <v/>
      </c>
      <c r="U135">
        <f>IF($B135="","",IF(COUNTIF($B$2:$B135,$B135)=1,1,0))</f>
        <v/>
      </c>
      <c r="V135">
        <f>IF($U135=1,SUMPRODUCT(--($X$2:$X$1501&lt;$X135))+1,"")</f>
        <v/>
      </c>
      <c r="W135">
        <f>IF($B135="","",IF(OR($S135=TRUE(),$S135="TRUE"),1,0))</f>
        <v/>
      </c>
      <c r="X135">
        <f>IF($U135=1,IFERROR(IF(VALUE($B135)&lt;100000000,VALUE($B135),1000000000),IFERROR(IF(VALUE(MID($B135,2,20))&lt;100000000,VALUE(MID($B135,2,20)),1000000000),1000000000))+ROW()/100000,"")</f>
        <v/>
      </c>
    </row>
    <row r="136">
      <c r="A136">
        <f>IF($B136="","",IFERROR(IF(INDEX('Per Invoice'!$C$2:$C$401,MATCH($B136,'Per Invoice'!$A$2:$A$401,0))=0,"",INDEX('Per Invoice'!$C$2:$C$401,MATCH($B136,'Per Invoice'!$A$2:$A$401,0))),""))</f>
        <v/>
      </c>
      <c r="G136" s="7">
        <f>IF($B136="","",F136*L136/100)</f>
        <v/>
      </c>
      <c r="K136" s="7" t="n"/>
      <c r="L136" s="7" t="n"/>
      <c r="M136" s="7">
        <f>IF($B136="","",L136*T136/100)</f>
        <v/>
      </c>
      <c r="N136" s="7">
        <f>IF($B136="","",L136-M136)</f>
        <v/>
      </c>
      <c r="O136" s="7">
        <f>IF($B136="","",N136-G136)</f>
        <v/>
      </c>
      <c r="R136" s="14" t="n"/>
      <c r="T136">
        <f>IF($B136="","",IF($W136=1,Settings!$C$6,Settings!$C$7)*100)</f>
        <v/>
      </c>
      <c r="U136">
        <f>IF($B136="","",IF(COUNTIF($B$2:$B136,$B136)=1,1,0))</f>
        <v/>
      </c>
      <c r="V136">
        <f>IF($U136=1,SUMPRODUCT(--($X$2:$X$1501&lt;$X136))+1,"")</f>
        <v/>
      </c>
      <c r="W136">
        <f>IF($B136="","",IF(OR($S136=TRUE(),$S136="TRUE"),1,0))</f>
        <v/>
      </c>
      <c r="X136">
        <f>IF($U136=1,IFERROR(IF(VALUE($B136)&lt;100000000,VALUE($B136),1000000000),IFERROR(IF(VALUE(MID($B136,2,20))&lt;100000000,VALUE(MID($B136,2,20)),1000000000),1000000000))+ROW()/100000,"")</f>
        <v/>
      </c>
    </row>
    <row r="137">
      <c r="A137">
        <f>IF($B137="","",IFERROR(IF(INDEX('Per Invoice'!$C$2:$C$401,MATCH($B137,'Per Invoice'!$A$2:$A$401,0))=0,"",INDEX('Per Invoice'!$C$2:$C$401,MATCH($B137,'Per Invoice'!$A$2:$A$401,0))),""))</f>
        <v/>
      </c>
      <c r="G137" s="7">
        <f>IF($B137="","",F137*L137/100)</f>
        <v/>
      </c>
      <c r="K137" s="7" t="n"/>
      <c r="L137" s="7" t="n"/>
      <c r="M137" s="7">
        <f>IF($B137="","",L137*T137/100)</f>
        <v/>
      </c>
      <c r="N137" s="7">
        <f>IF($B137="","",L137-M137)</f>
        <v/>
      </c>
      <c r="O137" s="7">
        <f>IF($B137="","",N137-G137)</f>
        <v/>
      </c>
      <c r="R137" s="14" t="n"/>
      <c r="T137">
        <f>IF($B137="","",IF($W137=1,Settings!$C$6,Settings!$C$7)*100)</f>
        <v/>
      </c>
      <c r="U137">
        <f>IF($B137="","",IF(COUNTIF($B$2:$B137,$B137)=1,1,0))</f>
        <v/>
      </c>
      <c r="V137">
        <f>IF($U137=1,SUMPRODUCT(--($X$2:$X$1501&lt;$X137))+1,"")</f>
        <v/>
      </c>
      <c r="W137">
        <f>IF($B137="","",IF(OR($S137=TRUE(),$S137="TRUE"),1,0))</f>
        <v/>
      </c>
      <c r="X137">
        <f>IF($U137=1,IFERROR(IF(VALUE($B137)&lt;100000000,VALUE($B137),1000000000),IFERROR(IF(VALUE(MID($B137,2,20))&lt;100000000,VALUE(MID($B137,2,20)),1000000000),1000000000))+ROW()/100000,"")</f>
        <v/>
      </c>
    </row>
    <row r="138">
      <c r="A138">
        <f>IF($B138="","",IFERROR(IF(INDEX('Per Invoice'!$C$2:$C$401,MATCH($B138,'Per Invoice'!$A$2:$A$401,0))=0,"",INDEX('Per Invoice'!$C$2:$C$401,MATCH($B138,'Per Invoice'!$A$2:$A$401,0))),""))</f>
        <v/>
      </c>
      <c r="G138" s="7">
        <f>IF($B138="","",F138*L138/100)</f>
        <v/>
      </c>
      <c r="K138" s="7" t="n"/>
      <c r="L138" s="7" t="n"/>
      <c r="M138" s="7">
        <f>IF($B138="","",L138*T138/100)</f>
        <v/>
      </c>
      <c r="N138" s="7">
        <f>IF($B138="","",L138-M138)</f>
        <v/>
      </c>
      <c r="O138" s="7">
        <f>IF($B138="","",N138-G138)</f>
        <v/>
      </c>
      <c r="R138" s="14" t="n"/>
      <c r="T138">
        <f>IF($B138="","",IF($W138=1,Settings!$C$6,Settings!$C$7)*100)</f>
        <v/>
      </c>
      <c r="U138">
        <f>IF($B138="","",IF(COUNTIF($B$2:$B138,$B138)=1,1,0))</f>
        <v/>
      </c>
      <c r="V138">
        <f>IF($U138=1,SUMPRODUCT(--($X$2:$X$1501&lt;$X138))+1,"")</f>
        <v/>
      </c>
      <c r="W138">
        <f>IF($B138="","",IF(OR($S138=TRUE(),$S138="TRUE"),1,0))</f>
        <v/>
      </c>
      <c r="X138">
        <f>IF($U138=1,IFERROR(IF(VALUE($B138)&lt;100000000,VALUE($B138),1000000000),IFERROR(IF(VALUE(MID($B138,2,20))&lt;100000000,VALUE(MID($B138,2,20)),1000000000),1000000000))+ROW()/100000,"")</f>
        <v/>
      </c>
    </row>
    <row r="139">
      <c r="A139">
        <f>IF($B139="","",IFERROR(IF(INDEX('Per Invoice'!$C$2:$C$401,MATCH($B139,'Per Invoice'!$A$2:$A$401,0))=0,"",INDEX('Per Invoice'!$C$2:$C$401,MATCH($B139,'Per Invoice'!$A$2:$A$401,0))),""))</f>
        <v/>
      </c>
      <c r="G139" s="7">
        <f>IF($B139="","",F139*L139/100)</f>
        <v/>
      </c>
      <c r="K139" s="7" t="n"/>
      <c r="L139" s="7" t="n"/>
      <c r="M139" s="7">
        <f>IF($B139="","",L139*T139/100)</f>
        <v/>
      </c>
      <c r="N139" s="7">
        <f>IF($B139="","",L139-M139)</f>
        <v/>
      </c>
      <c r="O139" s="7">
        <f>IF($B139="","",N139-G139)</f>
        <v/>
      </c>
      <c r="R139" s="14" t="n"/>
      <c r="T139">
        <f>IF($B139="","",IF($W139=1,Settings!$C$6,Settings!$C$7)*100)</f>
        <v/>
      </c>
      <c r="U139">
        <f>IF($B139="","",IF(COUNTIF($B$2:$B139,$B139)=1,1,0))</f>
        <v/>
      </c>
      <c r="V139">
        <f>IF($U139=1,SUMPRODUCT(--($X$2:$X$1501&lt;$X139))+1,"")</f>
        <v/>
      </c>
      <c r="W139">
        <f>IF($B139="","",IF(OR($S139=TRUE(),$S139="TRUE"),1,0))</f>
        <v/>
      </c>
      <c r="X139">
        <f>IF($U139=1,IFERROR(IF(VALUE($B139)&lt;100000000,VALUE($B139),1000000000),IFERROR(IF(VALUE(MID($B139,2,20))&lt;100000000,VALUE(MID($B139,2,20)),1000000000),1000000000))+ROW()/100000,"")</f>
        <v/>
      </c>
    </row>
    <row r="140">
      <c r="A140">
        <f>IF($B140="","",IFERROR(IF(INDEX('Per Invoice'!$C$2:$C$401,MATCH($B140,'Per Invoice'!$A$2:$A$401,0))=0,"",INDEX('Per Invoice'!$C$2:$C$401,MATCH($B140,'Per Invoice'!$A$2:$A$401,0))),""))</f>
        <v/>
      </c>
      <c r="G140" s="7">
        <f>IF($B140="","",F140*L140/100)</f>
        <v/>
      </c>
      <c r="K140" s="7" t="n"/>
      <c r="L140" s="7" t="n"/>
      <c r="M140" s="7">
        <f>IF($B140="","",L140*T140/100)</f>
        <v/>
      </c>
      <c r="N140" s="7">
        <f>IF($B140="","",L140-M140)</f>
        <v/>
      </c>
      <c r="O140" s="7">
        <f>IF($B140="","",N140-G140)</f>
        <v/>
      </c>
      <c r="R140" s="14" t="n"/>
      <c r="T140">
        <f>IF($B140="","",IF($W140=1,Settings!$C$6,Settings!$C$7)*100)</f>
        <v/>
      </c>
      <c r="U140">
        <f>IF($B140="","",IF(COUNTIF($B$2:$B140,$B140)=1,1,0))</f>
        <v/>
      </c>
      <c r="V140">
        <f>IF($U140=1,SUMPRODUCT(--($X$2:$X$1501&lt;$X140))+1,"")</f>
        <v/>
      </c>
      <c r="W140">
        <f>IF($B140="","",IF(OR($S140=TRUE(),$S140="TRUE"),1,0))</f>
        <v/>
      </c>
      <c r="X140">
        <f>IF($U140=1,IFERROR(IF(VALUE($B140)&lt;100000000,VALUE($B140),1000000000),IFERROR(IF(VALUE(MID($B140,2,20))&lt;100000000,VALUE(MID($B140,2,20)),1000000000),1000000000))+ROW()/100000,"")</f>
        <v/>
      </c>
    </row>
    <row r="141">
      <c r="A141">
        <f>IF($B141="","",IFERROR(IF(INDEX('Per Invoice'!$C$2:$C$401,MATCH($B141,'Per Invoice'!$A$2:$A$401,0))=0,"",INDEX('Per Invoice'!$C$2:$C$401,MATCH($B141,'Per Invoice'!$A$2:$A$401,0))),""))</f>
        <v/>
      </c>
      <c r="G141" s="7">
        <f>IF($B141="","",F141*L141/100)</f>
        <v/>
      </c>
      <c r="K141" s="7" t="n"/>
      <c r="L141" s="7" t="n"/>
      <c r="M141" s="7">
        <f>IF($B141="","",L141*T141/100)</f>
        <v/>
      </c>
      <c r="N141" s="7">
        <f>IF($B141="","",L141-M141)</f>
        <v/>
      </c>
      <c r="O141" s="7">
        <f>IF($B141="","",N141-G141)</f>
        <v/>
      </c>
      <c r="R141" s="14" t="n"/>
      <c r="T141">
        <f>IF($B141="","",IF($W141=1,Settings!$C$6,Settings!$C$7)*100)</f>
        <v/>
      </c>
      <c r="U141">
        <f>IF($B141="","",IF(COUNTIF($B$2:$B141,$B141)=1,1,0))</f>
        <v/>
      </c>
      <c r="V141">
        <f>IF($U141=1,SUMPRODUCT(--($X$2:$X$1501&lt;$X141))+1,"")</f>
        <v/>
      </c>
      <c r="W141">
        <f>IF($B141="","",IF(OR($S141=TRUE(),$S141="TRUE"),1,0))</f>
        <v/>
      </c>
      <c r="X141">
        <f>IF($U141=1,IFERROR(IF(VALUE($B141)&lt;100000000,VALUE($B141),1000000000),IFERROR(IF(VALUE(MID($B141,2,20))&lt;100000000,VALUE(MID($B141,2,20)),1000000000),1000000000))+ROW()/100000,"")</f>
        <v/>
      </c>
    </row>
    <row r="142">
      <c r="A142">
        <f>IF($B142="","",IFERROR(IF(INDEX('Per Invoice'!$C$2:$C$401,MATCH($B142,'Per Invoice'!$A$2:$A$401,0))=0,"",INDEX('Per Invoice'!$C$2:$C$401,MATCH($B142,'Per Invoice'!$A$2:$A$401,0))),""))</f>
        <v/>
      </c>
      <c r="G142" s="7">
        <f>IF($B142="","",F142*L142/100)</f>
        <v/>
      </c>
      <c r="K142" s="7" t="n"/>
      <c r="L142" s="7" t="n"/>
      <c r="M142" s="7">
        <f>IF($B142="","",L142*T142/100)</f>
        <v/>
      </c>
      <c r="N142" s="7">
        <f>IF($B142="","",L142-M142)</f>
        <v/>
      </c>
      <c r="O142" s="7">
        <f>IF($B142="","",N142-G142)</f>
        <v/>
      </c>
      <c r="R142" s="14" t="n"/>
      <c r="T142">
        <f>IF($B142="","",IF($W142=1,Settings!$C$6,Settings!$C$7)*100)</f>
        <v/>
      </c>
      <c r="U142">
        <f>IF($B142="","",IF(COUNTIF($B$2:$B142,$B142)=1,1,0))</f>
        <v/>
      </c>
      <c r="V142">
        <f>IF($U142=1,SUMPRODUCT(--($X$2:$X$1501&lt;$X142))+1,"")</f>
        <v/>
      </c>
      <c r="W142">
        <f>IF($B142="","",IF(OR($S142=TRUE(),$S142="TRUE"),1,0))</f>
        <v/>
      </c>
      <c r="X142">
        <f>IF($U142=1,IFERROR(IF(VALUE($B142)&lt;100000000,VALUE($B142),1000000000),IFERROR(IF(VALUE(MID($B142,2,20))&lt;100000000,VALUE(MID($B142,2,20)),1000000000),1000000000))+ROW()/100000,"")</f>
        <v/>
      </c>
    </row>
    <row r="143">
      <c r="A143">
        <f>IF($B143="","",IFERROR(IF(INDEX('Per Invoice'!$C$2:$C$401,MATCH($B143,'Per Invoice'!$A$2:$A$401,0))=0,"",INDEX('Per Invoice'!$C$2:$C$401,MATCH($B143,'Per Invoice'!$A$2:$A$401,0))),""))</f>
        <v/>
      </c>
      <c r="G143" s="7">
        <f>IF($B143="","",F143*L143/100)</f>
        <v/>
      </c>
      <c r="K143" s="7" t="n"/>
      <c r="L143" s="7" t="n"/>
      <c r="M143" s="7">
        <f>IF($B143="","",L143*T143/100)</f>
        <v/>
      </c>
      <c r="N143" s="7">
        <f>IF($B143="","",L143-M143)</f>
        <v/>
      </c>
      <c r="O143" s="7">
        <f>IF($B143="","",N143-G143)</f>
        <v/>
      </c>
      <c r="R143" s="14" t="n"/>
      <c r="T143">
        <f>IF($B143="","",IF($W143=1,Settings!$C$6,Settings!$C$7)*100)</f>
        <v/>
      </c>
      <c r="U143">
        <f>IF($B143="","",IF(COUNTIF($B$2:$B143,$B143)=1,1,0))</f>
        <v/>
      </c>
      <c r="V143">
        <f>IF($U143=1,SUMPRODUCT(--($X$2:$X$1501&lt;$X143))+1,"")</f>
        <v/>
      </c>
      <c r="W143">
        <f>IF($B143="","",IF(OR($S143=TRUE(),$S143="TRUE"),1,0))</f>
        <v/>
      </c>
      <c r="X143">
        <f>IF($U143=1,IFERROR(IF(VALUE($B143)&lt;100000000,VALUE($B143),1000000000),IFERROR(IF(VALUE(MID($B143,2,20))&lt;100000000,VALUE(MID($B143,2,20)),1000000000),1000000000))+ROW()/100000,"")</f>
        <v/>
      </c>
    </row>
    <row r="144">
      <c r="A144">
        <f>IF($B144="","",IFERROR(IF(INDEX('Per Invoice'!$C$2:$C$401,MATCH($B144,'Per Invoice'!$A$2:$A$401,0))=0,"",INDEX('Per Invoice'!$C$2:$C$401,MATCH($B144,'Per Invoice'!$A$2:$A$401,0))),""))</f>
        <v/>
      </c>
      <c r="G144" s="7">
        <f>IF($B144="","",F144*L144/100)</f>
        <v/>
      </c>
      <c r="K144" s="7" t="n"/>
      <c r="L144" s="7" t="n"/>
      <c r="M144" s="7">
        <f>IF($B144="","",L144*T144/100)</f>
        <v/>
      </c>
      <c r="N144" s="7">
        <f>IF($B144="","",L144-M144)</f>
        <v/>
      </c>
      <c r="O144" s="7">
        <f>IF($B144="","",N144-G144)</f>
        <v/>
      </c>
      <c r="R144" s="14" t="n"/>
      <c r="T144">
        <f>IF($B144="","",IF($W144=1,Settings!$C$6,Settings!$C$7)*100)</f>
        <v/>
      </c>
      <c r="U144">
        <f>IF($B144="","",IF(COUNTIF($B$2:$B144,$B144)=1,1,0))</f>
        <v/>
      </c>
      <c r="V144">
        <f>IF($U144=1,SUMPRODUCT(--($X$2:$X$1501&lt;$X144))+1,"")</f>
        <v/>
      </c>
      <c r="W144">
        <f>IF($B144="","",IF(OR($S144=TRUE(),$S144="TRUE"),1,0))</f>
        <v/>
      </c>
      <c r="X144">
        <f>IF($U144=1,IFERROR(IF(VALUE($B144)&lt;100000000,VALUE($B144),1000000000),IFERROR(IF(VALUE(MID($B144,2,20))&lt;100000000,VALUE(MID($B144,2,20)),1000000000),1000000000))+ROW()/100000,"")</f>
        <v/>
      </c>
    </row>
    <row r="145">
      <c r="A145">
        <f>IF($B145="","",IFERROR(IF(INDEX('Per Invoice'!$C$2:$C$401,MATCH($B145,'Per Invoice'!$A$2:$A$401,0))=0,"",INDEX('Per Invoice'!$C$2:$C$401,MATCH($B145,'Per Invoice'!$A$2:$A$401,0))),""))</f>
        <v/>
      </c>
      <c r="G145" s="7">
        <f>IF($B145="","",F145*L145/100)</f>
        <v/>
      </c>
      <c r="K145" s="7" t="n"/>
      <c r="L145" s="7" t="n"/>
      <c r="M145" s="7">
        <f>IF($B145="","",L145*T145/100)</f>
        <v/>
      </c>
      <c r="N145" s="7">
        <f>IF($B145="","",L145-M145)</f>
        <v/>
      </c>
      <c r="O145" s="7">
        <f>IF($B145="","",N145-G145)</f>
        <v/>
      </c>
      <c r="R145" s="14" t="n"/>
      <c r="T145">
        <f>IF($B145="","",IF($W145=1,Settings!$C$6,Settings!$C$7)*100)</f>
        <v/>
      </c>
      <c r="U145">
        <f>IF($B145="","",IF(COUNTIF($B$2:$B145,$B145)=1,1,0))</f>
        <v/>
      </c>
      <c r="V145">
        <f>IF($U145=1,SUMPRODUCT(--($X$2:$X$1501&lt;$X145))+1,"")</f>
        <v/>
      </c>
      <c r="W145">
        <f>IF($B145="","",IF(OR($S145=TRUE(),$S145="TRUE"),1,0))</f>
        <v/>
      </c>
      <c r="X145">
        <f>IF($U145=1,IFERROR(IF(VALUE($B145)&lt;100000000,VALUE($B145),1000000000),IFERROR(IF(VALUE(MID($B145,2,20))&lt;100000000,VALUE(MID($B145,2,20)),1000000000),1000000000))+ROW()/100000,"")</f>
        <v/>
      </c>
    </row>
    <row r="146">
      <c r="A146">
        <f>IF($B146="","",IFERROR(IF(INDEX('Per Invoice'!$C$2:$C$401,MATCH($B146,'Per Invoice'!$A$2:$A$401,0))=0,"",INDEX('Per Invoice'!$C$2:$C$401,MATCH($B146,'Per Invoice'!$A$2:$A$401,0))),""))</f>
        <v/>
      </c>
      <c r="G146" s="7">
        <f>IF($B146="","",F146*L146/100)</f>
        <v/>
      </c>
      <c r="K146" s="7" t="n"/>
      <c r="L146" s="7" t="n"/>
      <c r="M146" s="7">
        <f>IF($B146="","",L146*T146/100)</f>
        <v/>
      </c>
      <c r="N146" s="7">
        <f>IF($B146="","",L146-M146)</f>
        <v/>
      </c>
      <c r="O146" s="7">
        <f>IF($B146="","",N146-G146)</f>
        <v/>
      </c>
      <c r="R146" s="14" t="n"/>
      <c r="T146">
        <f>IF($B146="","",IF($W146=1,Settings!$C$6,Settings!$C$7)*100)</f>
        <v/>
      </c>
      <c r="U146">
        <f>IF($B146="","",IF(COUNTIF($B$2:$B146,$B146)=1,1,0))</f>
        <v/>
      </c>
      <c r="V146">
        <f>IF($U146=1,SUMPRODUCT(--($X$2:$X$1501&lt;$X146))+1,"")</f>
        <v/>
      </c>
      <c r="W146">
        <f>IF($B146="","",IF(OR($S146=TRUE(),$S146="TRUE"),1,0))</f>
        <v/>
      </c>
      <c r="X146">
        <f>IF($U146=1,IFERROR(IF(VALUE($B146)&lt;100000000,VALUE($B146),1000000000),IFERROR(IF(VALUE(MID($B146,2,20))&lt;100000000,VALUE(MID($B146,2,20)),1000000000),1000000000))+ROW()/100000,"")</f>
        <v/>
      </c>
    </row>
    <row r="147">
      <c r="A147">
        <f>IF($B147="","",IFERROR(IF(INDEX('Per Invoice'!$C$2:$C$401,MATCH($B147,'Per Invoice'!$A$2:$A$401,0))=0,"",INDEX('Per Invoice'!$C$2:$C$401,MATCH($B147,'Per Invoice'!$A$2:$A$401,0))),""))</f>
        <v/>
      </c>
      <c r="G147" s="7">
        <f>IF($B147="","",F147*L147/100)</f>
        <v/>
      </c>
      <c r="K147" s="7" t="n"/>
      <c r="L147" s="7" t="n"/>
      <c r="M147" s="7">
        <f>IF($B147="","",L147*T147/100)</f>
        <v/>
      </c>
      <c r="N147" s="7">
        <f>IF($B147="","",L147-M147)</f>
        <v/>
      </c>
      <c r="O147" s="7">
        <f>IF($B147="","",N147-G147)</f>
        <v/>
      </c>
      <c r="R147" s="14" t="n"/>
      <c r="T147">
        <f>IF($B147="","",IF($W147=1,Settings!$C$6,Settings!$C$7)*100)</f>
        <v/>
      </c>
      <c r="U147">
        <f>IF($B147="","",IF(COUNTIF($B$2:$B147,$B147)=1,1,0))</f>
        <v/>
      </c>
      <c r="V147">
        <f>IF($U147=1,SUMPRODUCT(--($X$2:$X$1501&lt;$X147))+1,"")</f>
        <v/>
      </c>
      <c r="W147">
        <f>IF($B147="","",IF(OR($S147=TRUE(),$S147="TRUE"),1,0))</f>
        <v/>
      </c>
      <c r="X147">
        <f>IF($U147=1,IFERROR(IF(VALUE($B147)&lt;100000000,VALUE($B147),1000000000),IFERROR(IF(VALUE(MID($B147,2,20))&lt;100000000,VALUE(MID($B147,2,20)),1000000000),1000000000))+ROW()/100000,"")</f>
        <v/>
      </c>
    </row>
    <row r="148">
      <c r="A148">
        <f>IF($B148="","",IFERROR(IF(INDEX('Per Invoice'!$C$2:$C$401,MATCH($B148,'Per Invoice'!$A$2:$A$401,0))=0,"",INDEX('Per Invoice'!$C$2:$C$401,MATCH($B148,'Per Invoice'!$A$2:$A$401,0))),""))</f>
        <v/>
      </c>
      <c r="G148" s="7">
        <f>IF($B148="","",F148*L148/100)</f>
        <v/>
      </c>
      <c r="K148" s="7" t="n"/>
      <c r="L148" s="7" t="n"/>
      <c r="M148" s="7">
        <f>IF($B148="","",L148*T148/100)</f>
        <v/>
      </c>
      <c r="N148" s="7">
        <f>IF($B148="","",L148-M148)</f>
        <v/>
      </c>
      <c r="O148" s="7">
        <f>IF($B148="","",N148-G148)</f>
        <v/>
      </c>
      <c r="R148" s="14" t="n"/>
      <c r="T148">
        <f>IF($B148="","",IF($W148=1,Settings!$C$6,Settings!$C$7)*100)</f>
        <v/>
      </c>
      <c r="U148">
        <f>IF($B148="","",IF(COUNTIF($B$2:$B148,$B148)=1,1,0))</f>
        <v/>
      </c>
      <c r="V148">
        <f>IF($U148=1,SUMPRODUCT(--($X$2:$X$1501&lt;$X148))+1,"")</f>
        <v/>
      </c>
      <c r="W148">
        <f>IF($B148="","",IF(OR($S148=TRUE(),$S148="TRUE"),1,0))</f>
        <v/>
      </c>
      <c r="X148">
        <f>IF($U148=1,IFERROR(IF(VALUE($B148)&lt;100000000,VALUE($B148),1000000000),IFERROR(IF(VALUE(MID($B148,2,20))&lt;100000000,VALUE(MID($B148,2,20)),1000000000),1000000000))+ROW()/100000,"")</f>
        <v/>
      </c>
    </row>
    <row r="149">
      <c r="A149">
        <f>IF($B149="","",IFERROR(IF(INDEX('Per Invoice'!$C$2:$C$401,MATCH($B149,'Per Invoice'!$A$2:$A$401,0))=0,"",INDEX('Per Invoice'!$C$2:$C$401,MATCH($B149,'Per Invoice'!$A$2:$A$401,0))),""))</f>
        <v/>
      </c>
      <c r="G149" s="7">
        <f>IF($B149="","",F149*L149/100)</f>
        <v/>
      </c>
      <c r="K149" s="7" t="n"/>
      <c r="L149" s="7" t="n"/>
      <c r="M149" s="7">
        <f>IF($B149="","",L149*T149/100)</f>
        <v/>
      </c>
      <c r="N149" s="7">
        <f>IF($B149="","",L149-M149)</f>
        <v/>
      </c>
      <c r="O149" s="7">
        <f>IF($B149="","",N149-G149)</f>
        <v/>
      </c>
      <c r="R149" s="14" t="n"/>
      <c r="T149">
        <f>IF($B149="","",IF($W149=1,Settings!$C$6,Settings!$C$7)*100)</f>
        <v/>
      </c>
      <c r="U149">
        <f>IF($B149="","",IF(COUNTIF($B$2:$B149,$B149)=1,1,0))</f>
        <v/>
      </c>
      <c r="V149">
        <f>IF($U149=1,SUMPRODUCT(--($X$2:$X$1501&lt;$X149))+1,"")</f>
        <v/>
      </c>
      <c r="W149">
        <f>IF($B149="","",IF(OR($S149=TRUE(),$S149="TRUE"),1,0))</f>
        <v/>
      </c>
      <c r="X149">
        <f>IF($U149=1,IFERROR(IF(VALUE($B149)&lt;100000000,VALUE($B149),1000000000),IFERROR(IF(VALUE(MID($B149,2,20))&lt;100000000,VALUE(MID($B149,2,20)),1000000000),1000000000))+ROW()/100000,"")</f>
        <v/>
      </c>
    </row>
    <row r="150">
      <c r="A150">
        <f>IF($B150="","",IFERROR(IF(INDEX('Per Invoice'!$C$2:$C$401,MATCH($B150,'Per Invoice'!$A$2:$A$401,0))=0,"",INDEX('Per Invoice'!$C$2:$C$401,MATCH($B150,'Per Invoice'!$A$2:$A$401,0))),""))</f>
        <v/>
      </c>
      <c r="G150" s="7">
        <f>IF($B150="","",F150*L150/100)</f>
        <v/>
      </c>
      <c r="K150" s="7" t="n"/>
      <c r="L150" s="7" t="n"/>
      <c r="M150" s="7">
        <f>IF($B150="","",L150*T150/100)</f>
        <v/>
      </c>
      <c r="N150" s="7">
        <f>IF($B150="","",L150-M150)</f>
        <v/>
      </c>
      <c r="O150" s="7">
        <f>IF($B150="","",N150-G150)</f>
        <v/>
      </c>
      <c r="R150" s="14" t="n"/>
      <c r="T150">
        <f>IF($B150="","",IF($W150=1,Settings!$C$6,Settings!$C$7)*100)</f>
        <v/>
      </c>
      <c r="U150">
        <f>IF($B150="","",IF(COUNTIF($B$2:$B150,$B150)=1,1,0))</f>
        <v/>
      </c>
      <c r="V150">
        <f>IF($U150=1,SUMPRODUCT(--($X$2:$X$1501&lt;$X150))+1,"")</f>
        <v/>
      </c>
      <c r="W150">
        <f>IF($B150="","",IF(OR($S150=TRUE(),$S150="TRUE"),1,0))</f>
        <v/>
      </c>
      <c r="X150">
        <f>IF($U150=1,IFERROR(IF(VALUE($B150)&lt;100000000,VALUE($B150),1000000000),IFERROR(IF(VALUE(MID($B150,2,20))&lt;100000000,VALUE(MID($B150,2,20)),1000000000),1000000000))+ROW()/100000,"")</f>
        <v/>
      </c>
    </row>
    <row r="151">
      <c r="A151">
        <f>IF($B151="","",IFERROR(IF(INDEX('Per Invoice'!$C$2:$C$401,MATCH($B151,'Per Invoice'!$A$2:$A$401,0))=0,"",INDEX('Per Invoice'!$C$2:$C$401,MATCH($B151,'Per Invoice'!$A$2:$A$401,0))),""))</f>
        <v/>
      </c>
      <c r="G151" s="7">
        <f>IF($B151="","",F151*L151/100)</f>
        <v/>
      </c>
      <c r="K151" s="7" t="n"/>
      <c r="L151" s="7" t="n"/>
      <c r="M151" s="7">
        <f>IF($B151="","",L151*T151/100)</f>
        <v/>
      </c>
      <c r="N151" s="7">
        <f>IF($B151="","",L151-M151)</f>
        <v/>
      </c>
      <c r="O151" s="7">
        <f>IF($B151="","",N151-G151)</f>
        <v/>
      </c>
      <c r="R151" s="14" t="n"/>
      <c r="T151">
        <f>IF($B151="","",IF($W151=1,Settings!$C$6,Settings!$C$7)*100)</f>
        <v/>
      </c>
      <c r="U151">
        <f>IF($B151="","",IF(COUNTIF($B$2:$B151,$B151)=1,1,0))</f>
        <v/>
      </c>
      <c r="V151">
        <f>IF($U151=1,SUMPRODUCT(--($X$2:$X$1501&lt;$X151))+1,"")</f>
        <v/>
      </c>
      <c r="W151">
        <f>IF($B151="","",IF(OR($S151=TRUE(),$S151="TRUE"),1,0))</f>
        <v/>
      </c>
      <c r="X151">
        <f>IF($U151=1,IFERROR(IF(VALUE($B151)&lt;100000000,VALUE($B151),1000000000),IFERROR(IF(VALUE(MID($B151,2,20))&lt;100000000,VALUE(MID($B151,2,20)),1000000000),1000000000))+ROW()/100000,"")</f>
        <v/>
      </c>
    </row>
    <row r="152">
      <c r="A152">
        <f>IF($B152="","",IFERROR(IF(INDEX('Per Invoice'!$C$2:$C$401,MATCH($B152,'Per Invoice'!$A$2:$A$401,0))=0,"",INDEX('Per Invoice'!$C$2:$C$401,MATCH($B152,'Per Invoice'!$A$2:$A$401,0))),""))</f>
        <v/>
      </c>
      <c r="G152" s="7">
        <f>IF($B152="","",F152*L152/100)</f>
        <v/>
      </c>
      <c r="K152" s="7" t="n"/>
      <c r="L152" s="7" t="n"/>
      <c r="M152" s="7">
        <f>IF($B152="","",L152*T152/100)</f>
        <v/>
      </c>
      <c r="N152" s="7">
        <f>IF($B152="","",L152-M152)</f>
        <v/>
      </c>
      <c r="O152" s="7">
        <f>IF($B152="","",N152-G152)</f>
        <v/>
      </c>
      <c r="R152" s="14" t="n"/>
      <c r="T152">
        <f>IF($B152="","",IF($W152=1,Settings!$C$6,Settings!$C$7)*100)</f>
        <v/>
      </c>
      <c r="U152">
        <f>IF($B152="","",IF(COUNTIF($B$2:$B152,$B152)=1,1,0))</f>
        <v/>
      </c>
      <c r="V152">
        <f>IF($U152=1,SUMPRODUCT(--($X$2:$X$1501&lt;$X152))+1,"")</f>
        <v/>
      </c>
      <c r="W152">
        <f>IF($B152="","",IF(OR($S152=TRUE(),$S152="TRUE"),1,0))</f>
        <v/>
      </c>
      <c r="X152">
        <f>IF($U152=1,IFERROR(IF(VALUE($B152)&lt;100000000,VALUE($B152),1000000000),IFERROR(IF(VALUE(MID($B152,2,20))&lt;100000000,VALUE(MID($B152,2,20)),1000000000),1000000000))+ROW()/100000,"")</f>
        <v/>
      </c>
    </row>
    <row r="153">
      <c r="A153">
        <f>IF($B153="","",IFERROR(IF(INDEX('Per Invoice'!$C$2:$C$401,MATCH($B153,'Per Invoice'!$A$2:$A$401,0))=0,"",INDEX('Per Invoice'!$C$2:$C$401,MATCH($B153,'Per Invoice'!$A$2:$A$401,0))),""))</f>
        <v/>
      </c>
      <c r="G153" s="7">
        <f>IF($B153="","",F153*L153/100)</f>
        <v/>
      </c>
      <c r="K153" s="7" t="n"/>
      <c r="L153" s="7" t="n"/>
      <c r="M153" s="7">
        <f>IF($B153="","",L153*T153/100)</f>
        <v/>
      </c>
      <c r="N153" s="7">
        <f>IF($B153="","",L153-M153)</f>
        <v/>
      </c>
      <c r="O153" s="7">
        <f>IF($B153="","",N153-G153)</f>
        <v/>
      </c>
      <c r="R153" s="14" t="n"/>
      <c r="T153">
        <f>IF($B153="","",IF($W153=1,Settings!$C$6,Settings!$C$7)*100)</f>
        <v/>
      </c>
      <c r="U153">
        <f>IF($B153="","",IF(COUNTIF($B$2:$B153,$B153)=1,1,0))</f>
        <v/>
      </c>
      <c r="V153">
        <f>IF($U153=1,SUMPRODUCT(--($X$2:$X$1501&lt;$X153))+1,"")</f>
        <v/>
      </c>
      <c r="W153">
        <f>IF($B153="","",IF(OR($S153=TRUE(),$S153="TRUE"),1,0))</f>
        <v/>
      </c>
      <c r="X153">
        <f>IF($U153=1,IFERROR(IF(VALUE($B153)&lt;100000000,VALUE($B153),1000000000),IFERROR(IF(VALUE(MID($B153,2,20))&lt;100000000,VALUE(MID($B153,2,20)),1000000000),1000000000))+ROW()/100000,"")</f>
        <v/>
      </c>
    </row>
    <row r="154">
      <c r="A154">
        <f>IF($B154="","",IFERROR(IF(INDEX('Per Invoice'!$C$2:$C$401,MATCH($B154,'Per Invoice'!$A$2:$A$401,0))=0,"",INDEX('Per Invoice'!$C$2:$C$401,MATCH($B154,'Per Invoice'!$A$2:$A$401,0))),""))</f>
        <v/>
      </c>
      <c r="G154" s="7">
        <f>IF($B154="","",F154*L154/100)</f>
        <v/>
      </c>
      <c r="K154" s="7" t="n"/>
      <c r="L154" s="7" t="n"/>
      <c r="M154" s="7">
        <f>IF($B154="","",L154*T154/100)</f>
        <v/>
      </c>
      <c r="N154" s="7">
        <f>IF($B154="","",L154-M154)</f>
        <v/>
      </c>
      <c r="O154" s="7">
        <f>IF($B154="","",N154-G154)</f>
        <v/>
      </c>
      <c r="R154" s="14" t="n"/>
      <c r="T154">
        <f>IF($B154="","",IF($W154=1,Settings!$C$6,Settings!$C$7)*100)</f>
        <v/>
      </c>
      <c r="U154">
        <f>IF($B154="","",IF(COUNTIF($B$2:$B154,$B154)=1,1,0))</f>
        <v/>
      </c>
      <c r="V154">
        <f>IF($U154=1,SUMPRODUCT(--($X$2:$X$1501&lt;$X154))+1,"")</f>
        <v/>
      </c>
      <c r="W154">
        <f>IF($B154="","",IF(OR($S154=TRUE(),$S154="TRUE"),1,0))</f>
        <v/>
      </c>
      <c r="X154">
        <f>IF($U154=1,IFERROR(IF(VALUE($B154)&lt;100000000,VALUE($B154),1000000000),IFERROR(IF(VALUE(MID($B154,2,20))&lt;100000000,VALUE(MID($B154,2,20)),1000000000),1000000000))+ROW()/100000,"")</f>
        <v/>
      </c>
    </row>
    <row r="155">
      <c r="A155">
        <f>IF($B155="","",IFERROR(IF(INDEX('Per Invoice'!$C$2:$C$401,MATCH($B155,'Per Invoice'!$A$2:$A$401,0))=0,"",INDEX('Per Invoice'!$C$2:$C$401,MATCH($B155,'Per Invoice'!$A$2:$A$401,0))),""))</f>
        <v/>
      </c>
      <c r="G155" s="7">
        <f>IF($B155="","",F155*L155/100)</f>
        <v/>
      </c>
      <c r="K155" s="7" t="n"/>
      <c r="L155" s="7" t="n"/>
      <c r="M155" s="7">
        <f>IF($B155="","",L155*T155/100)</f>
        <v/>
      </c>
      <c r="N155" s="7">
        <f>IF($B155="","",L155-M155)</f>
        <v/>
      </c>
      <c r="O155" s="7">
        <f>IF($B155="","",N155-G155)</f>
        <v/>
      </c>
      <c r="R155" s="14" t="n"/>
      <c r="T155">
        <f>IF($B155="","",IF($W155=1,Settings!$C$6,Settings!$C$7)*100)</f>
        <v/>
      </c>
      <c r="U155">
        <f>IF($B155="","",IF(COUNTIF($B$2:$B155,$B155)=1,1,0))</f>
        <v/>
      </c>
      <c r="V155">
        <f>IF($U155=1,SUMPRODUCT(--($X$2:$X$1501&lt;$X155))+1,"")</f>
        <v/>
      </c>
      <c r="W155">
        <f>IF($B155="","",IF(OR($S155=TRUE(),$S155="TRUE"),1,0))</f>
        <v/>
      </c>
      <c r="X155">
        <f>IF($U155=1,IFERROR(IF(VALUE($B155)&lt;100000000,VALUE($B155),1000000000),IFERROR(IF(VALUE(MID($B155,2,20))&lt;100000000,VALUE(MID($B155,2,20)),1000000000),1000000000))+ROW()/100000,"")</f>
        <v/>
      </c>
    </row>
    <row r="156">
      <c r="A156">
        <f>IF($B156="","",IFERROR(IF(INDEX('Per Invoice'!$C$2:$C$401,MATCH($B156,'Per Invoice'!$A$2:$A$401,0))=0,"",INDEX('Per Invoice'!$C$2:$C$401,MATCH($B156,'Per Invoice'!$A$2:$A$401,0))),""))</f>
        <v/>
      </c>
      <c r="G156" s="7">
        <f>IF($B156="","",F156*L156/100)</f>
        <v/>
      </c>
      <c r="K156" s="7" t="n"/>
      <c r="L156" s="7" t="n"/>
      <c r="M156" s="7">
        <f>IF($B156="","",L156*T156/100)</f>
        <v/>
      </c>
      <c r="N156" s="7">
        <f>IF($B156="","",L156-M156)</f>
        <v/>
      </c>
      <c r="O156" s="7">
        <f>IF($B156="","",N156-G156)</f>
        <v/>
      </c>
      <c r="R156" s="14" t="n"/>
      <c r="T156">
        <f>IF($B156="","",IF($W156=1,Settings!$C$6,Settings!$C$7)*100)</f>
        <v/>
      </c>
      <c r="U156">
        <f>IF($B156="","",IF(COUNTIF($B$2:$B156,$B156)=1,1,0))</f>
        <v/>
      </c>
      <c r="V156">
        <f>IF($U156=1,SUMPRODUCT(--($X$2:$X$1501&lt;$X156))+1,"")</f>
        <v/>
      </c>
      <c r="W156">
        <f>IF($B156="","",IF(OR($S156=TRUE(),$S156="TRUE"),1,0))</f>
        <v/>
      </c>
      <c r="X156">
        <f>IF($U156=1,IFERROR(IF(VALUE($B156)&lt;100000000,VALUE($B156),1000000000),IFERROR(IF(VALUE(MID($B156,2,20))&lt;100000000,VALUE(MID($B156,2,20)),1000000000),1000000000))+ROW()/100000,"")</f>
        <v/>
      </c>
    </row>
    <row r="157">
      <c r="A157">
        <f>IF($B157="","",IFERROR(IF(INDEX('Per Invoice'!$C$2:$C$401,MATCH($B157,'Per Invoice'!$A$2:$A$401,0))=0,"",INDEX('Per Invoice'!$C$2:$C$401,MATCH($B157,'Per Invoice'!$A$2:$A$401,0))),""))</f>
        <v/>
      </c>
      <c r="G157" s="7">
        <f>IF($B157="","",F157*L157/100)</f>
        <v/>
      </c>
      <c r="K157" s="7" t="n"/>
      <c r="L157" s="7" t="n"/>
      <c r="M157" s="7">
        <f>IF($B157="","",L157*T157/100)</f>
        <v/>
      </c>
      <c r="N157" s="7">
        <f>IF($B157="","",L157-M157)</f>
        <v/>
      </c>
      <c r="O157" s="7">
        <f>IF($B157="","",N157-G157)</f>
        <v/>
      </c>
      <c r="R157" s="14" t="n"/>
      <c r="T157">
        <f>IF($B157="","",IF($W157=1,Settings!$C$6,Settings!$C$7)*100)</f>
        <v/>
      </c>
      <c r="U157">
        <f>IF($B157="","",IF(COUNTIF($B$2:$B157,$B157)=1,1,0))</f>
        <v/>
      </c>
      <c r="V157">
        <f>IF($U157=1,SUMPRODUCT(--($X$2:$X$1501&lt;$X157))+1,"")</f>
        <v/>
      </c>
      <c r="W157">
        <f>IF($B157="","",IF(OR($S157=TRUE(),$S157="TRUE"),1,0))</f>
        <v/>
      </c>
      <c r="X157">
        <f>IF($U157=1,IFERROR(IF(VALUE($B157)&lt;100000000,VALUE($B157),1000000000),IFERROR(IF(VALUE(MID($B157,2,20))&lt;100000000,VALUE(MID($B157,2,20)),1000000000),1000000000))+ROW()/100000,"")</f>
        <v/>
      </c>
    </row>
    <row r="158">
      <c r="A158">
        <f>IF($B158="","",IFERROR(IF(INDEX('Per Invoice'!$C$2:$C$401,MATCH($B158,'Per Invoice'!$A$2:$A$401,0))=0,"",INDEX('Per Invoice'!$C$2:$C$401,MATCH($B158,'Per Invoice'!$A$2:$A$401,0))),""))</f>
        <v/>
      </c>
      <c r="G158" s="7">
        <f>IF($B158="","",F158*L158/100)</f>
        <v/>
      </c>
      <c r="K158" s="7" t="n"/>
      <c r="L158" s="7" t="n"/>
      <c r="M158" s="7">
        <f>IF($B158="","",L158*T158/100)</f>
        <v/>
      </c>
      <c r="N158" s="7">
        <f>IF($B158="","",L158-M158)</f>
        <v/>
      </c>
      <c r="O158" s="7">
        <f>IF($B158="","",N158-G158)</f>
        <v/>
      </c>
      <c r="R158" s="14" t="n"/>
      <c r="T158">
        <f>IF($B158="","",IF($W158=1,Settings!$C$6,Settings!$C$7)*100)</f>
        <v/>
      </c>
      <c r="U158">
        <f>IF($B158="","",IF(COUNTIF($B$2:$B158,$B158)=1,1,0))</f>
        <v/>
      </c>
      <c r="V158">
        <f>IF($U158=1,SUMPRODUCT(--($X$2:$X$1501&lt;$X158))+1,"")</f>
        <v/>
      </c>
      <c r="W158">
        <f>IF($B158="","",IF(OR($S158=TRUE(),$S158="TRUE"),1,0))</f>
        <v/>
      </c>
      <c r="X158">
        <f>IF($U158=1,IFERROR(IF(VALUE($B158)&lt;100000000,VALUE($B158),1000000000),IFERROR(IF(VALUE(MID($B158,2,20))&lt;100000000,VALUE(MID($B158,2,20)),1000000000),1000000000))+ROW()/100000,"")</f>
        <v/>
      </c>
    </row>
    <row r="159">
      <c r="A159">
        <f>IF($B159="","",IFERROR(IF(INDEX('Per Invoice'!$C$2:$C$401,MATCH($B159,'Per Invoice'!$A$2:$A$401,0))=0,"",INDEX('Per Invoice'!$C$2:$C$401,MATCH($B159,'Per Invoice'!$A$2:$A$401,0))),""))</f>
        <v/>
      </c>
      <c r="G159" s="7">
        <f>IF($B159="","",F159*L159/100)</f>
        <v/>
      </c>
      <c r="K159" s="7" t="n"/>
      <c r="L159" s="7" t="n"/>
      <c r="M159" s="7">
        <f>IF($B159="","",L159*T159/100)</f>
        <v/>
      </c>
      <c r="N159" s="7">
        <f>IF($B159="","",L159-M159)</f>
        <v/>
      </c>
      <c r="O159" s="7">
        <f>IF($B159="","",N159-G159)</f>
        <v/>
      </c>
      <c r="R159" s="14" t="n"/>
      <c r="T159">
        <f>IF($B159="","",IF($W159=1,Settings!$C$6,Settings!$C$7)*100)</f>
        <v/>
      </c>
      <c r="U159">
        <f>IF($B159="","",IF(COUNTIF($B$2:$B159,$B159)=1,1,0))</f>
        <v/>
      </c>
      <c r="V159">
        <f>IF($U159=1,SUMPRODUCT(--($X$2:$X$1501&lt;$X159))+1,"")</f>
        <v/>
      </c>
      <c r="W159">
        <f>IF($B159="","",IF(OR($S159=TRUE(),$S159="TRUE"),1,0))</f>
        <v/>
      </c>
      <c r="X159">
        <f>IF($U159=1,IFERROR(IF(VALUE($B159)&lt;100000000,VALUE($B159),1000000000),IFERROR(IF(VALUE(MID($B159,2,20))&lt;100000000,VALUE(MID($B159,2,20)),1000000000),1000000000))+ROW()/100000,"")</f>
        <v/>
      </c>
    </row>
    <row r="160">
      <c r="A160">
        <f>IF($B160="","",IFERROR(IF(INDEX('Per Invoice'!$C$2:$C$401,MATCH($B160,'Per Invoice'!$A$2:$A$401,0))=0,"",INDEX('Per Invoice'!$C$2:$C$401,MATCH($B160,'Per Invoice'!$A$2:$A$401,0))),""))</f>
        <v/>
      </c>
      <c r="G160" s="7">
        <f>IF($B160="","",F160*L160/100)</f>
        <v/>
      </c>
      <c r="K160" s="7" t="n"/>
      <c r="L160" s="7" t="n"/>
      <c r="M160" s="7">
        <f>IF($B160="","",L160*T160/100)</f>
        <v/>
      </c>
      <c r="N160" s="7">
        <f>IF($B160="","",L160-M160)</f>
        <v/>
      </c>
      <c r="O160" s="7">
        <f>IF($B160="","",N160-G160)</f>
        <v/>
      </c>
      <c r="R160" s="14" t="n"/>
      <c r="T160">
        <f>IF($B160="","",IF($W160=1,Settings!$C$6,Settings!$C$7)*100)</f>
        <v/>
      </c>
      <c r="U160">
        <f>IF($B160="","",IF(COUNTIF($B$2:$B160,$B160)=1,1,0))</f>
        <v/>
      </c>
      <c r="V160">
        <f>IF($U160=1,SUMPRODUCT(--($X$2:$X$1501&lt;$X160))+1,"")</f>
        <v/>
      </c>
      <c r="W160">
        <f>IF($B160="","",IF(OR($S160=TRUE(),$S160="TRUE"),1,0))</f>
        <v/>
      </c>
      <c r="X160">
        <f>IF($U160=1,IFERROR(IF(VALUE($B160)&lt;100000000,VALUE($B160),1000000000),IFERROR(IF(VALUE(MID($B160,2,20))&lt;100000000,VALUE(MID($B160,2,20)),1000000000),1000000000))+ROW()/100000,"")</f>
        <v/>
      </c>
    </row>
    <row r="161">
      <c r="A161">
        <f>IF($B161="","",IFERROR(IF(INDEX('Per Invoice'!$C$2:$C$401,MATCH($B161,'Per Invoice'!$A$2:$A$401,0))=0,"",INDEX('Per Invoice'!$C$2:$C$401,MATCH($B161,'Per Invoice'!$A$2:$A$401,0))),""))</f>
        <v/>
      </c>
      <c r="G161" s="7">
        <f>IF($B161="","",F161*L161/100)</f>
        <v/>
      </c>
      <c r="K161" s="7" t="n"/>
      <c r="L161" s="7" t="n"/>
      <c r="M161" s="7">
        <f>IF($B161="","",L161*T161/100)</f>
        <v/>
      </c>
      <c r="N161" s="7">
        <f>IF($B161="","",L161-M161)</f>
        <v/>
      </c>
      <c r="O161" s="7">
        <f>IF($B161="","",N161-G161)</f>
        <v/>
      </c>
      <c r="R161" s="14" t="n"/>
      <c r="T161">
        <f>IF($B161="","",IF($W161=1,Settings!$C$6,Settings!$C$7)*100)</f>
        <v/>
      </c>
      <c r="U161">
        <f>IF($B161="","",IF(COUNTIF($B$2:$B161,$B161)=1,1,0))</f>
        <v/>
      </c>
      <c r="V161">
        <f>IF($U161=1,SUMPRODUCT(--($X$2:$X$1501&lt;$X161))+1,"")</f>
        <v/>
      </c>
      <c r="W161">
        <f>IF($B161="","",IF(OR($S161=TRUE(),$S161="TRUE"),1,0))</f>
        <v/>
      </c>
      <c r="X161">
        <f>IF($U161=1,IFERROR(IF(VALUE($B161)&lt;100000000,VALUE($B161),1000000000),IFERROR(IF(VALUE(MID($B161,2,20))&lt;100000000,VALUE(MID($B161,2,20)),1000000000),1000000000))+ROW()/100000,"")</f>
        <v/>
      </c>
    </row>
    <row r="162">
      <c r="A162">
        <f>IF($B162="","",IFERROR(IF(INDEX('Per Invoice'!$C$2:$C$401,MATCH($B162,'Per Invoice'!$A$2:$A$401,0))=0,"",INDEX('Per Invoice'!$C$2:$C$401,MATCH($B162,'Per Invoice'!$A$2:$A$401,0))),""))</f>
        <v/>
      </c>
      <c r="G162" s="7">
        <f>IF($B162="","",F162*L162/100)</f>
        <v/>
      </c>
      <c r="K162" s="7" t="n"/>
      <c r="L162" s="7" t="n"/>
      <c r="M162" s="7">
        <f>IF($B162="","",L162*T162/100)</f>
        <v/>
      </c>
      <c r="N162" s="7">
        <f>IF($B162="","",L162-M162)</f>
        <v/>
      </c>
      <c r="O162" s="7">
        <f>IF($B162="","",N162-G162)</f>
        <v/>
      </c>
      <c r="R162" s="14" t="n"/>
      <c r="T162">
        <f>IF($B162="","",IF($W162=1,Settings!$C$6,Settings!$C$7)*100)</f>
        <v/>
      </c>
      <c r="U162">
        <f>IF($B162="","",IF(COUNTIF($B$2:$B162,$B162)=1,1,0))</f>
        <v/>
      </c>
      <c r="V162">
        <f>IF($U162=1,SUMPRODUCT(--($X$2:$X$1501&lt;$X162))+1,"")</f>
        <v/>
      </c>
      <c r="W162">
        <f>IF($B162="","",IF(OR($S162=TRUE(),$S162="TRUE"),1,0))</f>
        <v/>
      </c>
      <c r="X162">
        <f>IF($U162=1,IFERROR(IF(VALUE($B162)&lt;100000000,VALUE($B162),1000000000),IFERROR(IF(VALUE(MID($B162,2,20))&lt;100000000,VALUE(MID($B162,2,20)),1000000000),1000000000))+ROW()/100000,"")</f>
        <v/>
      </c>
    </row>
    <row r="163">
      <c r="A163">
        <f>IF($B163="","",IFERROR(IF(INDEX('Per Invoice'!$C$2:$C$401,MATCH($B163,'Per Invoice'!$A$2:$A$401,0))=0,"",INDEX('Per Invoice'!$C$2:$C$401,MATCH($B163,'Per Invoice'!$A$2:$A$401,0))),""))</f>
        <v/>
      </c>
      <c r="G163" s="7">
        <f>IF($B163="","",F163*L163/100)</f>
        <v/>
      </c>
      <c r="K163" s="7" t="n"/>
      <c r="L163" s="7" t="n"/>
      <c r="M163" s="7">
        <f>IF($B163="","",L163*T163/100)</f>
        <v/>
      </c>
      <c r="N163" s="7">
        <f>IF($B163="","",L163-M163)</f>
        <v/>
      </c>
      <c r="O163" s="7">
        <f>IF($B163="","",N163-G163)</f>
        <v/>
      </c>
      <c r="R163" s="14" t="n"/>
      <c r="T163">
        <f>IF($B163="","",IF($W163=1,Settings!$C$6,Settings!$C$7)*100)</f>
        <v/>
      </c>
      <c r="U163">
        <f>IF($B163="","",IF(COUNTIF($B$2:$B163,$B163)=1,1,0))</f>
        <v/>
      </c>
      <c r="V163">
        <f>IF($U163=1,SUMPRODUCT(--($X$2:$X$1501&lt;$X163))+1,"")</f>
        <v/>
      </c>
      <c r="W163">
        <f>IF($B163="","",IF(OR($S163=TRUE(),$S163="TRUE"),1,0))</f>
        <v/>
      </c>
      <c r="X163">
        <f>IF($U163=1,IFERROR(IF(VALUE($B163)&lt;100000000,VALUE($B163),1000000000),IFERROR(IF(VALUE(MID($B163,2,20))&lt;100000000,VALUE(MID($B163,2,20)),1000000000),1000000000))+ROW()/100000,"")</f>
        <v/>
      </c>
    </row>
    <row r="164">
      <c r="A164">
        <f>IF($B164="","",IFERROR(IF(INDEX('Per Invoice'!$C$2:$C$401,MATCH($B164,'Per Invoice'!$A$2:$A$401,0))=0,"",INDEX('Per Invoice'!$C$2:$C$401,MATCH($B164,'Per Invoice'!$A$2:$A$401,0))),""))</f>
        <v/>
      </c>
      <c r="G164" s="7">
        <f>IF($B164="","",F164*L164/100)</f>
        <v/>
      </c>
      <c r="K164" s="7" t="n"/>
      <c r="L164" s="7" t="n"/>
      <c r="M164" s="7">
        <f>IF($B164="","",L164*T164/100)</f>
        <v/>
      </c>
      <c r="N164" s="7">
        <f>IF($B164="","",L164-M164)</f>
        <v/>
      </c>
      <c r="O164" s="7">
        <f>IF($B164="","",N164-G164)</f>
        <v/>
      </c>
      <c r="R164" s="14" t="n"/>
      <c r="T164">
        <f>IF($B164="","",IF($W164=1,Settings!$C$6,Settings!$C$7)*100)</f>
        <v/>
      </c>
      <c r="U164">
        <f>IF($B164="","",IF(COUNTIF($B$2:$B164,$B164)=1,1,0))</f>
        <v/>
      </c>
      <c r="V164">
        <f>IF($U164=1,SUMPRODUCT(--($X$2:$X$1501&lt;$X164))+1,"")</f>
        <v/>
      </c>
      <c r="W164">
        <f>IF($B164="","",IF(OR($S164=TRUE(),$S164="TRUE"),1,0))</f>
        <v/>
      </c>
      <c r="X164">
        <f>IF($U164=1,IFERROR(IF(VALUE($B164)&lt;100000000,VALUE($B164),1000000000),IFERROR(IF(VALUE(MID($B164,2,20))&lt;100000000,VALUE(MID($B164,2,20)),1000000000),1000000000))+ROW()/100000,"")</f>
        <v/>
      </c>
    </row>
    <row r="165">
      <c r="A165">
        <f>IF($B165="","",IFERROR(IF(INDEX('Per Invoice'!$C$2:$C$401,MATCH($B165,'Per Invoice'!$A$2:$A$401,0))=0,"",INDEX('Per Invoice'!$C$2:$C$401,MATCH($B165,'Per Invoice'!$A$2:$A$401,0))),""))</f>
        <v/>
      </c>
      <c r="G165" s="7">
        <f>IF($B165="","",F165*L165/100)</f>
        <v/>
      </c>
      <c r="K165" s="7" t="n"/>
      <c r="L165" s="7" t="n"/>
      <c r="M165" s="7">
        <f>IF($B165="","",L165*T165/100)</f>
        <v/>
      </c>
      <c r="N165" s="7">
        <f>IF($B165="","",L165-M165)</f>
        <v/>
      </c>
      <c r="O165" s="7">
        <f>IF($B165="","",N165-G165)</f>
        <v/>
      </c>
      <c r="R165" s="14" t="n"/>
      <c r="T165">
        <f>IF($B165="","",IF($W165=1,Settings!$C$6,Settings!$C$7)*100)</f>
        <v/>
      </c>
      <c r="U165">
        <f>IF($B165="","",IF(COUNTIF($B$2:$B165,$B165)=1,1,0))</f>
        <v/>
      </c>
      <c r="V165">
        <f>IF($U165=1,SUMPRODUCT(--($X$2:$X$1501&lt;$X165))+1,"")</f>
        <v/>
      </c>
      <c r="W165">
        <f>IF($B165="","",IF(OR($S165=TRUE(),$S165="TRUE"),1,0))</f>
        <v/>
      </c>
      <c r="X165">
        <f>IF($U165=1,IFERROR(IF(VALUE($B165)&lt;100000000,VALUE($B165),1000000000),IFERROR(IF(VALUE(MID($B165,2,20))&lt;100000000,VALUE(MID($B165,2,20)),1000000000),1000000000))+ROW()/100000,"")</f>
        <v/>
      </c>
    </row>
    <row r="166">
      <c r="A166">
        <f>IF($B166="","",IFERROR(IF(INDEX('Per Invoice'!$C$2:$C$401,MATCH($B166,'Per Invoice'!$A$2:$A$401,0))=0,"",INDEX('Per Invoice'!$C$2:$C$401,MATCH($B166,'Per Invoice'!$A$2:$A$401,0))),""))</f>
        <v/>
      </c>
      <c r="G166" s="7">
        <f>IF($B166="","",F166*L166/100)</f>
        <v/>
      </c>
      <c r="K166" s="7" t="n"/>
      <c r="L166" s="7" t="n"/>
      <c r="M166" s="7">
        <f>IF($B166="","",L166*T166/100)</f>
        <v/>
      </c>
      <c r="N166" s="7">
        <f>IF($B166="","",L166-M166)</f>
        <v/>
      </c>
      <c r="O166" s="7">
        <f>IF($B166="","",N166-G166)</f>
        <v/>
      </c>
      <c r="R166" s="14" t="n"/>
      <c r="T166">
        <f>IF($B166="","",IF($W166=1,Settings!$C$6,Settings!$C$7)*100)</f>
        <v/>
      </c>
      <c r="U166">
        <f>IF($B166="","",IF(COUNTIF($B$2:$B166,$B166)=1,1,0))</f>
        <v/>
      </c>
      <c r="V166">
        <f>IF($U166=1,SUMPRODUCT(--($X$2:$X$1501&lt;$X166))+1,"")</f>
        <v/>
      </c>
      <c r="W166">
        <f>IF($B166="","",IF(OR($S166=TRUE(),$S166="TRUE"),1,0))</f>
        <v/>
      </c>
      <c r="X166">
        <f>IF($U166=1,IFERROR(IF(VALUE($B166)&lt;100000000,VALUE($B166),1000000000),IFERROR(IF(VALUE(MID($B166,2,20))&lt;100000000,VALUE(MID($B166,2,20)),1000000000),1000000000))+ROW()/100000,"")</f>
        <v/>
      </c>
    </row>
    <row r="167">
      <c r="A167">
        <f>IF($B167="","",IFERROR(IF(INDEX('Per Invoice'!$C$2:$C$401,MATCH($B167,'Per Invoice'!$A$2:$A$401,0))=0,"",INDEX('Per Invoice'!$C$2:$C$401,MATCH($B167,'Per Invoice'!$A$2:$A$401,0))),""))</f>
        <v/>
      </c>
      <c r="G167" s="7">
        <f>IF($B167="","",F167*L167/100)</f>
        <v/>
      </c>
      <c r="K167" s="7" t="n"/>
      <c r="L167" s="7" t="n"/>
      <c r="M167" s="7">
        <f>IF($B167="","",L167*T167/100)</f>
        <v/>
      </c>
      <c r="N167" s="7">
        <f>IF($B167="","",L167-M167)</f>
        <v/>
      </c>
      <c r="O167" s="7">
        <f>IF($B167="","",N167-G167)</f>
        <v/>
      </c>
      <c r="R167" s="14" t="n"/>
      <c r="T167">
        <f>IF($B167="","",IF($W167=1,Settings!$C$6,Settings!$C$7)*100)</f>
        <v/>
      </c>
      <c r="U167">
        <f>IF($B167="","",IF(COUNTIF($B$2:$B167,$B167)=1,1,0))</f>
        <v/>
      </c>
      <c r="V167">
        <f>IF($U167=1,SUMPRODUCT(--($X$2:$X$1501&lt;$X167))+1,"")</f>
        <v/>
      </c>
      <c r="W167">
        <f>IF($B167="","",IF(OR($S167=TRUE(),$S167="TRUE"),1,0))</f>
        <v/>
      </c>
      <c r="X167">
        <f>IF($U167=1,IFERROR(IF(VALUE($B167)&lt;100000000,VALUE($B167),1000000000),IFERROR(IF(VALUE(MID($B167,2,20))&lt;100000000,VALUE(MID($B167,2,20)),1000000000),1000000000))+ROW()/100000,"")</f>
        <v/>
      </c>
    </row>
    <row r="168">
      <c r="A168">
        <f>IF($B168="","",IFERROR(IF(INDEX('Per Invoice'!$C$2:$C$401,MATCH($B168,'Per Invoice'!$A$2:$A$401,0))=0,"",INDEX('Per Invoice'!$C$2:$C$401,MATCH($B168,'Per Invoice'!$A$2:$A$401,0))),""))</f>
        <v/>
      </c>
      <c r="G168" s="7">
        <f>IF($B168="","",F168*L168/100)</f>
        <v/>
      </c>
      <c r="K168" s="7" t="n"/>
      <c r="L168" s="7" t="n"/>
      <c r="M168" s="7">
        <f>IF($B168="","",L168*T168/100)</f>
        <v/>
      </c>
      <c r="N168" s="7">
        <f>IF($B168="","",L168-M168)</f>
        <v/>
      </c>
      <c r="O168" s="7">
        <f>IF($B168="","",N168-G168)</f>
        <v/>
      </c>
      <c r="R168" s="14" t="n"/>
      <c r="T168">
        <f>IF($B168="","",IF($W168=1,Settings!$C$6,Settings!$C$7)*100)</f>
        <v/>
      </c>
      <c r="U168">
        <f>IF($B168="","",IF(COUNTIF($B$2:$B168,$B168)=1,1,0))</f>
        <v/>
      </c>
      <c r="V168">
        <f>IF($U168=1,SUMPRODUCT(--($X$2:$X$1501&lt;$X168))+1,"")</f>
        <v/>
      </c>
      <c r="W168">
        <f>IF($B168="","",IF(OR($S168=TRUE(),$S168="TRUE"),1,0))</f>
        <v/>
      </c>
      <c r="X168">
        <f>IF($U168=1,IFERROR(IF(VALUE($B168)&lt;100000000,VALUE($B168),1000000000),IFERROR(IF(VALUE(MID($B168,2,20))&lt;100000000,VALUE(MID($B168,2,20)),1000000000),1000000000))+ROW()/100000,"")</f>
        <v/>
      </c>
    </row>
    <row r="169">
      <c r="A169">
        <f>IF($B169="","",IFERROR(IF(INDEX('Per Invoice'!$C$2:$C$401,MATCH($B169,'Per Invoice'!$A$2:$A$401,0))=0,"",INDEX('Per Invoice'!$C$2:$C$401,MATCH($B169,'Per Invoice'!$A$2:$A$401,0))),""))</f>
        <v/>
      </c>
      <c r="G169" s="7">
        <f>IF($B169="","",F169*L169/100)</f>
        <v/>
      </c>
      <c r="K169" s="7" t="n"/>
      <c r="L169" s="7" t="n"/>
      <c r="M169" s="7">
        <f>IF($B169="","",L169*T169/100)</f>
        <v/>
      </c>
      <c r="N169" s="7">
        <f>IF($B169="","",L169-M169)</f>
        <v/>
      </c>
      <c r="O169" s="7">
        <f>IF($B169="","",N169-G169)</f>
        <v/>
      </c>
      <c r="R169" s="14" t="n"/>
      <c r="T169">
        <f>IF($B169="","",IF($W169=1,Settings!$C$6,Settings!$C$7)*100)</f>
        <v/>
      </c>
      <c r="U169">
        <f>IF($B169="","",IF(COUNTIF($B$2:$B169,$B169)=1,1,0))</f>
        <v/>
      </c>
      <c r="V169">
        <f>IF($U169=1,SUMPRODUCT(--($X$2:$X$1501&lt;$X169))+1,"")</f>
        <v/>
      </c>
      <c r="W169">
        <f>IF($B169="","",IF(OR($S169=TRUE(),$S169="TRUE"),1,0))</f>
        <v/>
      </c>
      <c r="X169">
        <f>IF($U169=1,IFERROR(IF(VALUE($B169)&lt;100000000,VALUE($B169),1000000000),IFERROR(IF(VALUE(MID($B169,2,20))&lt;100000000,VALUE(MID($B169,2,20)),1000000000),1000000000))+ROW()/100000,"")</f>
        <v/>
      </c>
    </row>
    <row r="170">
      <c r="A170">
        <f>IF($B170="","",IFERROR(IF(INDEX('Per Invoice'!$C$2:$C$401,MATCH($B170,'Per Invoice'!$A$2:$A$401,0))=0,"",INDEX('Per Invoice'!$C$2:$C$401,MATCH($B170,'Per Invoice'!$A$2:$A$401,0))),""))</f>
        <v/>
      </c>
      <c r="G170" s="7">
        <f>IF($B170="","",F170*L170/100)</f>
        <v/>
      </c>
      <c r="K170" s="7" t="n"/>
      <c r="L170" s="7" t="n"/>
      <c r="M170" s="7">
        <f>IF($B170="","",L170*T170/100)</f>
        <v/>
      </c>
      <c r="N170" s="7">
        <f>IF($B170="","",L170-M170)</f>
        <v/>
      </c>
      <c r="O170" s="7">
        <f>IF($B170="","",N170-G170)</f>
        <v/>
      </c>
      <c r="R170" s="14" t="n"/>
      <c r="T170">
        <f>IF($B170="","",IF($W170=1,Settings!$C$6,Settings!$C$7)*100)</f>
        <v/>
      </c>
      <c r="U170">
        <f>IF($B170="","",IF(COUNTIF($B$2:$B170,$B170)=1,1,0))</f>
        <v/>
      </c>
      <c r="V170">
        <f>IF($U170=1,SUMPRODUCT(--($X$2:$X$1501&lt;$X170))+1,"")</f>
        <v/>
      </c>
      <c r="W170">
        <f>IF($B170="","",IF(OR($S170=TRUE(),$S170="TRUE"),1,0))</f>
        <v/>
      </c>
      <c r="X170">
        <f>IF($U170=1,IFERROR(IF(VALUE($B170)&lt;100000000,VALUE($B170),1000000000),IFERROR(IF(VALUE(MID($B170,2,20))&lt;100000000,VALUE(MID($B170,2,20)),1000000000),1000000000))+ROW()/100000,"")</f>
        <v/>
      </c>
    </row>
    <row r="171">
      <c r="A171">
        <f>IF($B171="","",IFERROR(IF(INDEX('Per Invoice'!$C$2:$C$401,MATCH($B171,'Per Invoice'!$A$2:$A$401,0))=0,"",INDEX('Per Invoice'!$C$2:$C$401,MATCH($B171,'Per Invoice'!$A$2:$A$401,0))),""))</f>
        <v/>
      </c>
      <c r="G171" s="7">
        <f>IF($B171="","",F171*L171/100)</f>
        <v/>
      </c>
      <c r="K171" s="7" t="n"/>
      <c r="L171" s="7" t="n"/>
      <c r="M171" s="7">
        <f>IF($B171="","",L171*T171/100)</f>
        <v/>
      </c>
      <c r="N171" s="7">
        <f>IF($B171="","",L171-M171)</f>
        <v/>
      </c>
      <c r="O171" s="7">
        <f>IF($B171="","",N171-G171)</f>
        <v/>
      </c>
      <c r="R171" s="14" t="n"/>
      <c r="T171">
        <f>IF($B171="","",IF($W171=1,Settings!$C$6,Settings!$C$7)*100)</f>
        <v/>
      </c>
      <c r="U171">
        <f>IF($B171="","",IF(COUNTIF($B$2:$B171,$B171)=1,1,0))</f>
        <v/>
      </c>
      <c r="V171">
        <f>IF($U171=1,SUMPRODUCT(--($X$2:$X$1501&lt;$X171))+1,"")</f>
        <v/>
      </c>
      <c r="W171">
        <f>IF($B171="","",IF(OR($S171=TRUE(),$S171="TRUE"),1,0))</f>
        <v/>
      </c>
      <c r="X171">
        <f>IF($U171=1,IFERROR(IF(VALUE($B171)&lt;100000000,VALUE($B171),1000000000),IFERROR(IF(VALUE(MID($B171,2,20))&lt;100000000,VALUE(MID($B171,2,20)),1000000000),1000000000))+ROW()/100000,"")</f>
        <v/>
      </c>
    </row>
    <row r="172">
      <c r="A172">
        <f>IF($B172="","",IFERROR(IF(INDEX('Per Invoice'!$C$2:$C$401,MATCH($B172,'Per Invoice'!$A$2:$A$401,0))=0,"",INDEX('Per Invoice'!$C$2:$C$401,MATCH($B172,'Per Invoice'!$A$2:$A$401,0))),""))</f>
        <v/>
      </c>
      <c r="G172" s="7">
        <f>IF($B172="","",F172*L172/100)</f>
        <v/>
      </c>
      <c r="K172" s="7" t="n"/>
      <c r="L172" s="7" t="n"/>
      <c r="M172" s="7">
        <f>IF($B172="","",L172*T172/100)</f>
        <v/>
      </c>
      <c r="N172" s="7">
        <f>IF($B172="","",L172-M172)</f>
        <v/>
      </c>
      <c r="O172" s="7">
        <f>IF($B172="","",N172-G172)</f>
        <v/>
      </c>
      <c r="R172" s="14" t="n"/>
      <c r="T172">
        <f>IF($B172="","",IF($W172=1,Settings!$C$6,Settings!$C$7)*100)</f>
        <v/>
      </c>
      <c r="U172">
        <f>IF($B172="","",IF(COUNTIF($B$2:$B172,$B172)=1,1,0))</f>
        <v/>
      </c>
      <c r="V172">
        <f>IF($U172=1,SUMPRODUCT(--($X$2:$X$1501&lt;$X172))+1,"")</f>
        <v/>
      </c>
      <c r="W172">
        <f>IF($B172="","",IF(OR($S172=TRUE(),$S172="TRUE"),1,0))</f>
        <v/>
      </c>
      <c r="X172">
        <f>IF($U172=1,IFERROR(IF(VALUE($B172)&lt;100000000,VALUE($B172),1000000000),IFERROR(IF(VALUE(MID($B172,2,20))&lt;100000000,VALUE(MID($B172,2,20)),1000000000),1000000000))+ROW()/100000,"")</f>
        <v/>
      </c>
    </row>
    <row r="173">
      <c r="A173">
        <f>IF($B173="","",IFERROR(IF(INDEX('Per Invoice'!$C$2:$C$401,MATCH($B173,'Per Invoice'!$A$2:$A$401,0))=0,"",INDEX('Per Invoice'!$C$2:$C$401,MATCH($B173,'Per Invoice'!$A$2:$A$401,0))),""))</f>
        <v/>
      </c>
      <c r="G173" s="7">
        <f>IF($B173="","",F173*L173/100)</f>
        <v/>
      </c>
      <c r="K173" s="7" t="n"/>
      <c r="L173" s="7" t="n"/>
      <c r="M173" s="7">
        <f>IF($B173="","",L173*T173/100)</f>
        <v/>
      </c>
      <c r="N173" s="7">
        <f>IF($B173="","",L173-M173)</f>
        <v/>
      </c>
      <c r="O173" s="7">
        <f>IF($B173="","",N173-G173)</f>
        <v/>
      </c>
      <c r="R173" s="14" t="n"/>
      <c r="T173">
        <f>IF($B173="","",IF($W173=1,Settings!$C$6,Settings!$C$7)*100)</f>
        <v/>
      </c>
      <c r="U173">
        <f>IF($B173="","",IF(COUNTIF($B$2:$B173,$B173)=1,1,0))</f>
        <v/>
      </c>
      <c r="V173">
        <f>IF($U173=1,SUMPRODUCT(--($X$2:$X$1501&lt;$X173))+1,"")</f>
        <v/>
      </c>
      <c r="W173">
        <f>IF($B173="","",IF(OR($S173=TRUE(),$S173="TRUE"),1,0))</f>
        <v/>
      </c>
      <c r="X173">
        <f>IF($U173=1,IFERROR(IF(VALUE($B173)&lt;100000000,VALUE($B173),1000000000),IFERROR(IF(VALUE(MID($B173,2,20))&lt;100000000,VALUE(MID($B173,2,20)),1000000000),1000000000))+ROW()/100000,"")</f>
        <v/>
      </c>
    </row>
    <row r="174">
      <c r="A174">
        <f>IF($B174="","",IFERROR(IF(INDEX('Per Invoice'!$C$2:$C$401,MATCH($B174,'Per Invoice'!$A$2:$A$401,0))=0,"",INDEX('Per Invoice'!$C$2:$C$401,MATCH($B174,'Per Invoice'!$A$2:$A$401,0))),""))</f>
        <v/>
      </c>
      <c r="G174" s="7">
        <f>IF($B174="","",F174*L174/100)</f>
        <v/>
      </c>
      <c r="K174" s="7" t="n"/>
      <c r="L174" s="7" t="n"/>
      <c r="M174" s="7">
        <f>IF($B174="","",L174*T174/100)</f>
        <v/>
      </c>
      <c r="N174" s="7">
        <f>IF($B174="","",L174-M174)</f>
        <v/>
      </c>
      <c r="O174" s="7">
        <f>IF($B174="","",N174-G174)</f>
        <v/>
      </c>
      <c r="R174" s="14" t="n"/>
      <c r="T174">
        <f>IF($B174="","",IF($W174=1,Settings!$C$6,Settings!$C$7)*100)</f>
        <v/>
      </c>
      <c r="U174">
        <f>IF($B174="","",IF(COUNTIF($B$2:$B174,$B174)=1,1,0))</f>
        <v/>
      </c>
      <c r="V174">
        <f>IF($U174=1,SUMPRODUCT(--($X$2:$X$1501&lt;$X174))+1,"")</f>
        <v/>
      </c>
      <c r="W174">
        <f>IF($B174="","",IF(OR($S174=TRUE(),$S174="TRUE"),1,0))</f>
        <v/>
      </c>
      <c r="X174">
        <f>IF($U174=1,IFERROR(IF(VALUE($B174)&lt;100000000,VALUE($B174),1000000000),IFERROR(IF(VALUE(MID($B174,2,20))&lt;100000000,VALUE(MID($B174,2,20)),1000000000),1000000000))+ROW()/100000,"")</f>
        <v/>
      </c>
    </row>
    <row r="175">
      <c r="A175">
        <f>IF($B175="","",IFERROR(IF(INDEX('Per Invoice'!$C$2:$C$401,MATCH($B175,'Per Invoice'!$A$2:$A$401,0))=0,"",INDEX('Per Invoice'!$C$2:$C$401,MATCH($B175,'Per Invoice'!$A$2:$A$401,0))),""))</f>
        <v/>
      </c>
      <c r="G175" s="7">
        <f>IF($B175="","",F175*L175/100)</f>
        <v/>
      </c>
      <c r="K175" s="7" t="n"/>
      <c r="L175" s="7" t="n"/>
      <c r="M175" s="7">
        <f>IF($B175="","",L175*T175/100)</f>
        <v/>
      </c>
      <c r="N175" s="7">
        <f>IF($B175="","",L175-M175)</f>
        <v/>
      </c>
      <c r="O175" s="7">
        <f>IF($B175="","",N175-G175)</f>
        <v/>
      </c>
      <c r="R175" s="14" t="n"/>
      <c r="T175">
        <f>IF($B175="","",IF($W175=1,Settings!$C$6,Settings!$C$7)*100)</f>
        <v/>
      </c>
      <c r="U175">
        <f>IF($B175="","",IF(COUNTIF($B$2:$B175,$B175)=1,1,0))</f>
        <v/>
      </c>
      <c r="V175">
        <f>IF($U175=1,SUMPRODUCT(--($X$2:$X$1501&lt;$X175))+1,"")</f>
        <v/>
      </c>
      <c r="W175">
        <f>IF($B175="","",IF(OR($S175=TRUE(),$S175="TRUE"),1,0))</f>
        <v/>
      </c>
      <c r="X175">
        <f>IF($U175=1,IFERROR(IF(VALUE($B175)&lt;100000000,VALUE($B175),1000000000),IFERROR(IF(VALUE(MID($B175,2,20))&lt;100000000,VALUE(MID($B175,2,20)),1000000000),1000000000))+ROW()/100000,"")</f>
        <v/>
      </c>
    </row>
    <row r="176">
      <c r="A176">
        <f>IF($B176="","",IFERROR(IF(INDEX('Per Invoice'!$C$2:$C$401,MATCH($B176,'Per Invoice'!$A$2:$A$401,0))=0,"",INDEX('Per Invoice'!$C$2:$C$401,MATCH($B176,'Per Invoice'!$A$2:$A$401,0))),""))</f>
        <v/>
      </c>
      <c r="G176" s="7">
        <f>IF($B176="","",F176*L176/100)</f>
        <v/>
      </c>
      <c r="K176" s="7" t="n"/>
      <c r="L176" s="7" t="n"/>
      <c r="M176" s="7">
        <f>IF($B176="","",L176*T176/100)</f>
        <v/>
      </c>
      <c r="N176" s="7">
        <f>IF($B176="","",L176-M176)</f>
        <v/>
      </c>
      <c r="O176" s="7">
        <f>IF($B176="","",N176-G176)</f>
        <v/>
      </c>
      <c r="R176" s="14" t="n"/>
      <c r="T176">
        <f>IF($B176="","",IF($W176=1,Settings!$C$6,Settings!$C$7)*100)</f>
        <v/>
      </c>
      <c r="U176">
        <f>IF($B176="","",IF(COUNTIF($B$2:$B176,$B176)=1,1,0))</f>
        <v/>
      </c>
      <c r="V176">
        <f>IF($U176=1,SUMPRODUCT(--($X$2:$X$1501&lt;$X176))+1,"")</f>
        <v/>
      </c>
      <c r="W176">
        <f>IF($B176="","",IF(OR($S176=TRUE(),$S176="TRUE"),1,0))</f>
        <v/>
      </c>
      <c r="X176">
        <f>IF($U176=1,IFERROR(IF(VALUE($B176)&lt;100000000,VALUE($B176),1000000000),IFERROR(IF(VALUE(MID($B176,2,20))&lt;100000000,VALUE(MID($B176,2,20)),1000000000),1000000000))+ROW()/100000,"")</f>
        <v/>
      </c>
    </row>
    <row r="177">
      <c r="A177">
        <f>IF($B177="","",IFERROR(IF(INDEX('Per Invoice'!$C$2:$C$401,MATCH($B177,'Per Invoice'!$A$2:$A$401,0))=0,"",INDEX('Per Invoice'!$C$2:$C$401,MATCH($B177,'Per Invoice'!$A$2:$A$401,0))),""))</f>
        <v/>
      </c>
      <c r="G177" s="7">
        <f>IF($B177="","",F177*L177/100)</f>
        <v/>
      </c>
      <c r="K177" s="7" t="n"/>
      <c r="L177" s="7" t="n"/>
      <c r="M177" s="7">
        <f>IF($B177="","",L177*T177/100)</f>
        <v/>
      </c>
      <c r="N177" s="7">
        <f>IF($B177="","",L177-M177)</f>
        <v/>
      </c>
      <c r="O177" s="7">
        <f>IF($B177="","",N177-G177)</f>
        <v/>
      </c>
      <c r="R177" s="14" t="n"/>
      <c r="T177">
        <f>IF($B177="","",IF($W177=1,Settings!$C$6,Settings!$C$7)*100)</f>
        <v/>
      </c>
      <c r="U177">
        <f>IF($B177="","",IF(COUNTIF($B$2:$B177,$B177)=1,1,0))</f>
        <v/>
      </c>
      <c r="V177">
        <f>IF($U177=1,SUMPRODUCT(--($X$2:$X$1501&lt;$X177))+1,"")</f>
        <v/>
      </c>
      <c r="W177">
        <f>IF($B177="","",IF(OR($S177=TRUE(),$S177="TRUE"),1,0))</f>
        <v/>
      </c>
      <c r="X177">
        <f>IF($U177=1,IFERROR(IF(VALUE($B177)&lt;100000000,VALUE($B177),1000000000),IFERROR(IF(VALUE(MID($B177,2,20))&lt;100000000,VALUE(MID($B177,2,20)),1000000000),1000000000))+ROW()/100000,"")</f>
        <v/>
      </c>
    </row>
    <row r="178">
      <c r="A178">
        <f>IF($B178="","",IFERROR(IF(INDEX('Per Invoice'!$C$2:$C$401,MATCH($B178,'Per Invoice'!$A$2:$A$401,0))=0,"",INDEX('Per Invoice'!$C$2:$C$401,MATCH($B178,'Per Invoice'!$A$2:$A$401,0))),""))</f>
        <v/>
      </c>
      <c r="G178" s="7">
        <f>IF($B178="","",F178*L178/100)</f>
        <v/>
      </c>
      <c r="K178" s="7" t="n"/>
      <c r="L178" s="7" t="n"/>
      <c r="M178" s="7">
        <f>IF($B178="","",L178*T178/100)</f>
        <v/>
      </c>
      <c r="N178" s="7">
        <f>IF($B178="","",L178-M178)</f>
        <v/>
      </c>
      <c r="O178" s="7">
        <f>IF($B178="","",N178-G178)</f>
        <v/>
      </c>
      <c r="R178" s="14" t="n"/>
      <c r="T178">
        <f>IF($B178="","",IF($W178=1,Settings!$C$6,Settings!$C$7)*100)</f>
        <v/>
      </c>
      <c r="U178">
        <f>IF($B178="","",IF(COUNTIF($B$2:$B178,$B178)=1,1,0))</f>
        <v/>
      </c>
      <c r="V178">
        <f>IF($U178=1,SUMPRODUCT(--($X$2:$X$1501&lt;$X178))+1,"")</f>
        <v/>
      </c>
      <c r="W178">
        <f>IF($B178="","",IF(OR($S178=TRUE(),$S178="TRUE"),1,0))</f>
        <v/>
      </c>
      <c r="X178">
        <f>IF($U178=1,IFERROR(IF(VALUE($B178)&lt;100000000,VALUE($B178),1000000000),IFERROR(IF(VALUE(MID($B178,2,20))&lt;100000000,VALUE(MID($B178,2,20)),1000000000),1000000000))+ROW()/100000,"")</f>
        <v/>
      </c>
    </row>
    <row r="179">
      <c r="A179">
        <f>IF($B179="","",IFERROR(IF(INDEX('Per Invoice'!$C$2:$C$401,MATCH($B179,'Per Invoice'!$A$2:$A$401,0))=0,"",INDEX('Per Invoice'!$C$2:$C$401,MATCH($B179,'Per Invoice'!$A$2:$A$401,0))),""))</f>
        <v/>
      </c>
      <c r="G179" s="7">
        <f>IF($B179="","",F179*L179/100)</f>
        <v/>
      </c>
      <c r="K179" s="7" t="n"/>
      <c r="L179" s="7" t="n"/>
      <c r="M179" s="7">
        <f>IF($B179="","",L179*T179/100)</f>
        <v/>
      </c>
      <c r="N179" s="7">
        <f>IF($B179="","",L179-M179)</f>
        <v/>
      </c>
      <c r="O179" s="7">
        <f>IF($B179="","",N179-G179)</f>
        <v/>
      </c>
      <c r="R179" s="14" t="n"/>
      <c r="T179">
        <f>IF($B179="","",IF($W179=1,Settings!$C$6,Settings!$C$7)*100)</f>
        <v/>
      </c>
      <c r="U179">
        <f>IF($B179="","",IF(COUNTIF($B$2:$B179,$B179)=1,1,0))</f>
        <v/>
      </c>
      <c r="V179">
        <f>IF($U179=1,SUMPRODUCT(--($X$2:$X$1501&lt;$X179))+1,"")</f>
        <v/>
      </c>
      <c r="W179">
        <f>IF($B179="","",IF(OR($S179=TRUE(),$S179="TRUE"),1,0))</f>
        <v/>
      </c>
      <c r="X179">
        <f>IF($U179=1,IFERROR(IF(VALUE($B179)&lt;100000000,VALUE($B179),1000000000),IFERROR(IF(VALUE(MID($B179,2,20))&lt;100000000,VALUE(MID($B179,2,20)),1000000000),1000000000))+ROW()/100000,"")</f>
        <v/>
      </c>
    </row>
    <row r="180">
      <c r="A180">
        <f>IF($B180="","",IFERROR(IF(INDEX('Per Invoice'!$C$2:$C$401,MATCH($B180,'Per Invoice'!$A$2:$A$401,0))=0,"",INDEX('Per Invoice'!$C$2:$C$401,MATCH($B180,'Per Invoice'!$A$2:$A$401,0))),""))</f>
        <v/>
      </c>
      <c r="G180" s="7">
        <f>IF($B180="","",F180*L180/100)</f>
        <v/>
      </c>
      <c r="K180" s="7" t="n"/>
      <c r="L180" s="7" t="n"/>
      <c r="M180" s="7">
        <f>IF($B180="","",L180*T180/100)</f>
        <v/>
      </c>
      <c r="N180" s="7">
        <f>IF($B180="","",L180-M180)</f>
        <v/>
      </c>
      <c r="O180" s="7">
        <f>IF($B180="","",N180-G180)</f>
        <v/>
      </c>
      <c r="R180" s="14" t="n"/>
      <c r="T180">
        <f>IF($B180="","",IF($W180=1,Settings!$C$6,Settings!$C$7)*100)</f>
        <v/>
      </c>
      <c r="U180">
        <f>IF($B180="","",IF(COUNTIF($B$2:$B180,$B180)=1,1,0))</f>
        <v/>
      </c>
      <c r="V180">
        <f>IF($U180=1,SUMPRODUCT(--($X$2:$X$1501&lt;$X180))+1,"")</f>
        <v/>
      </c>
      <c r="W180">
        <f>IF($B180="","",IF(OR($S180=TRUE(),$S180="TRUE"),1,0))</f>
        <v/>
      </c>
      <c r="X180">
        <f>IF($U180=1,IFERROR(IF(VALUE($B180)&lt;100000000,VALUE($B180),1000000000),IFERROR(IF(VALUE(MID($B180,2,20))&lt;100000000,VALUE(MID($B180,2,20)),1000000000),1000000000))+ROW()/100000,"")</f>
        <v/>
      </c>
    </row>
    <row r="181">
      <c r="A181">
        <f>IF($B181="","",IFERROR(IF(INDEX('Per Invoice'!$C$2:$C$401,MATCH($B181,'Per Invoice'!$A$2:$A$401,0))=0,"",INDEX('Per Invoice'!$C$2:$C$401,MATCH($B181,'Per Invoice'!$A$2:$A$401,0))),""))</f>
        <v/>
      </c>
      <c r="G181" s="7">
        <f>IF($B181="","",F181*L181/100)</f>
        <v/>
      </c>
      <c r="K181" s="7" t="n"/>
      <c r="L181" s="7" t="n"/>
      <c r="M181" s="7">
        <f>IF($B181="","",L181*T181/100)</f>
        <v/>
      </c>
      <c r="N181" s="7">
        <f>IF($B181="","",L181-M181)</f>
        <v/>
      </c>
      <c r="O181" s="7">
        <f>IF($B181="","",N181-G181)</f>
        <v/>
      </c>
      <c r="R181" s="14" t="n"/>
      <c r="T181">
        <f>IF($B181="","",IF($W181=1,Settings!$C$6,Settings!$C$7)*100)</f>
        <v/>
      </c>
      <c r="U181">
        <f>IF($B181="","",IF(COUNTIF($B$2:$B181,$B181)=1,1,0))</f>
        <v/>
      </c>
      <c r="V181">
        <f>IF($U181=1,SUMPRODUCT(--($X$2:$X$1501&lt;$X181))+1,"")</f>
        <v/>
      </c>
      <c r="W181">
        <f>IF($B181="","",IF(OR($S181=TRUE(),$S181="TRUE"),1,0))</f>
        <v/>
      </c>
      <c r="X181">
        <f>IF($U181=1,IFERROR(IF(VALUE($B181)&lt;100000000,VALUE($B181),1000000000),IFERROR(IF(VALUE(MID($B181,2,20))&lt;100000000,VALUE(MID($B181,2,20)),1000000000),1000000000))+ROW()/100000,"")</f>
        <v/>
      </c>
    </row>
    <row r="182">
      <c r="A182">
        <f>IF($B182="","",IFERROR(IF(INDEX('Per Invoice'!$C$2:$C$401,MATCH($B182,'Per Invoice'!$A$2:$A$401,0))=0,"",INDEX('Per Invoice'!$C$2:$C$401,MATCH($B182,'Per Invoice'!$A$2:$A$401,0))),""))</f>
        <v/>
      </c>
      <c r="G182" s="7">
        <f>IF($B182="","",F182*L182/100)</f>
        <v/>
      </c>
      <c r="K182" s="7" t="n"/>
      <c r="L182" s="7" t="n"/>
      <c r="M182" s="7">
        <f>IF($B182="","",L182*T182/100)</f>
        <v/>
      </c>
      <c r="N182" s="7">
        <f>IF($B182="","",L182-M182)</f>
        <v/>
      </c>
      <c r="O182" s="7">
        <f>IF($B182="","",N182-G182)</f>
        <v/>
      </c>
      <c r="R182" s="14" t="n"/>
      <c r="T182">
        <f>IF($B182="","",IF($W182=1,Settings!$C$6,Settings!$C$7)*100)</f>
        <v/>
      </c>
      <c r="U182">
        <f>IF($B182="","",IF(COUNTIF($B$2:$B182,$B182)=1,1,0))</f>
        <v/>
      </c>
      <c r="V182">
        <f>IF($U182=1,SUMPRODUCT(--($X$2:$X$1501&lt;$X182))+1,"")</f>
        <v/>
      </c>
      <c r="W182">
        <f>IF($B182="","",IF(OR($S182=TRUE(),$S182="TRUE"),1,0))</f>
        <v/>
      </c>
      <c r="X182">
        <f>IF($U182=1,IFERROR(IF(VALUE($B182)&lt;100000000,VALUE($B182),1000000000),IFERROR(IF(VALUE(MID($B182,2,20))&lt;100000000,VALUE(MID($B182,2,20)),1000000000),1000000000))+ROW()/100000,"")</f>
        <v/>
      </c>
    </row>
    <row r="183">
      <c r="A183">
        <f>IF($B183="","",IFERROR(IF(INDEX('Per Invoice'!$C$2:$C$401,MATCH($B183,'Per Invoice'!$A$2:$A$401,0))=0,"",INDEX('Per Invoice'!$C$2:$C$401,MATCH($B183,'Per Invoice'!$A$2:$A$401,0))),""))</f>
        <v/>
      </c>
      <c r="G183" s="7">
        <f>IF($B183="","",F183*L183/100)</f>
        <v/>
      </c>
      <c r="K183" s="7" t="n"/>
      <c r="L183" s="7" t="n"/>
      <c r="M183" s="7">
        <f>IF($B183="","",L183*T183/100)</f>
        <v/>
      </c>
      <c r="N183" s="7">
        <f>IF($B183="","",L183-M183)</f>
        <v/>
      </c>
      <c r="O183" s="7">
        <f>IF($B183="","",N183-G183)</f>
        <v/>
      </c>
      <c r="R183" s="14" t="n"/>
      <c r="T183">
        <f>IF($B183="","",IF($W183=1,Settings!$C$6,Settings!$C$7)*100)</f>
        <v/>
      </c>
      <c r="U183">
        <f>IF($B183="","",IF(COUNTIF($B$2:$B183,$B183)=1,1,0))</f>
        <v/>
      </c>
      <c r="V183">
        <f>IF($U183=1,SUMPRODUCT(--($X$2:$X$1501&lt;$X183))+1,"")</f>
        <v/>
      </c>
      <c r="W183">
        <f>IF($B183="","",IF(OR($S183=TRUE(),$S183="TRUE"),1,0))</f>
        <v/>
      </c>
      <c r="X183">
        <f>IF($U183=1,IFERROR(IF(VALUE($B183)&lt;100000000,VALUE($B183),1000000000),IFERROR(IF(VALUE(MID($B183,2,20))&lt;100000000,VALUE(MID($B183,2,20)),1000000000),1000000000))+ROW()/100000,"")</f>
        <v/>
      </c>
    </row>
    <row r="184">
      <c r="A184">
        <f>IF($B184="","",IFERROR(IF(INDEX('Per Invoice'!$C$2:$C$401,MATCH($B184,'Per Invoice'!$A$2:$A$401,0))=0,"",INDEX('Per Invoice'!$C$2:$C$401,MATCH($B184,'Per Invoice'!$A$2:$A$401,0))),""))</f>
        <v/>
      </c>
      <c r="G184" s="7">
        <f>IF($B184="","",F184*L184/100)</f>
        <v/>
      </c>
      <c r="K184" s="7" t="n"/>
      <c r="L184" s="7" t="n"/>
      <c r="M184" s="7">
        <f>IF($B184="","",L184*T184/100)</f>
        <v/>
      </c>
      <c r="N184" s="7">
        <f>IF($B184="","",L184-M184)</f>
        <v/>
      </c>
      <c r="O184" s="7">
        <f>IF($B184="","",N184-G184)</f>
        <v/>
      </c>
      <c r="R184" s="14" t="n"/>
      <c r="T184">
        <f>IF($B184="","",IF($W184=1,Settings!$C$6,Settings!$C$7)*100)</f>
        <v/>
      </c>
      <c r="U184">
        <f>IF($B184="","",IF(COUNTIF($B$2:$B184,$B184)=1,1,0))</f>
        <v/>
      </c>
      <c r="V184">
        <f>IF($U184=1,SUMPRODUCT(--($X$2:$X$1501&lt;$X184))+1,"")</f>
        <v/>
      </c>
      <c r="W184">
        <f>IF($B184="","",IF(OR($S184=TRUE(),$S184="TRUE"),1,0))</f>
        <v/>
      </c>
      <c r="X184">
        <f>IF($U184=1,IFERROR(IF(VALUE($B184)&lt;100000000,VALUE($B184),1000000000),IFERROR(IF(VALUE(MID($B184,2,20))&lt;100000000,VALUE(MID($B184,2,20)),1000000000),1000000000))+ROW()/100000,"")</f>
        <v/>
      </c>
    </row>
    <row r="185">
      <c r="A185">
        <f>IF($B185="","",IFERROR(IF(INDEX('Per Invoice'!$C$2:$C$401,MATCH($B185,'Per Invoice'!$A$2:$A$401,0))=0,"",INDEX('Per Invoice'!$C$2:$C$401,MATCH($B185,'Per Invoice'!$A$2:$A$401,0))),""))</f>
        <v/>
      </c>
      <c r="G185" s="7">
        <f>IF($B185="","",F185*L185/100)</f>
        <v/>
      </c>
      <c r="K185" s="7" t="n"/>
      <c r="L185" s="7" t="n"/>
      <c r="M185" s="7">
        <f>IF($B185="","",L185*T185/100)</f>
        <v/>
      </c>
      <c r="N185" s="7">
        <f>IF($B185="","",L185-M185)</f>
        <v/>
      </c>
      <c r="O185" s="7">
        <f>IF($B185="","",N185-G185)</f>
        <v/>
      </c>
      <c r="R185" s="14" t="n"/>
      <c r="T185">
        <f>IF($B185="","",IF($W185=1,Settings!$C$6,Settings!$C$7)*100)</f>
        <v/>
      </c>
      <c r="U185">
        <f>IF($B185="","",IF(COUNTIF($B$2:$B185,$B185)=1,1,0))</f>
        <v/>
      </c>
      <c r="V185">
        <f>IF($U185=1,SUMPRODUCT(--($X$2:$X$1501&lt;$X185))+1,"")</f>
        <v/>
      </c>
      <c r="W185">
        <f>IF($B185="","",IF(OR($S185=TRUE(),$S185="TRUE"),1,0))</f>
        <v/>
      </c>
      <c r="X185">
        <f>IF($U185=1,IFERROR(IF(VALUE($B185)&lt;100000000,VALUE($B185),1000000000),IFERROR(IF(VALUE(MID($B185,2,20))&lt;100000000,VALUE(MID($B185,2,20)),1000000000),1000000000))+ROW()/100000,"")</f>
        <v/>
      </c>
    </row>
    <row r="186">
      <c r="A186">
        <f>IF($B186="","",IFERROR(IF(INDEX('Per Invoice'!$C$2:$C$401,MATCH($B186,'Per Invoice'!$A$2:$A$401,0))=0,"",INDEX('Per Invoice'!$C$2:$C$401,MATCH($B186,'Per Invoice'!$A$2:$A$401,0))),""))</f>
        <v/>
      </c>
      <c r="G186" s="7">
        <f>IF($B186="","",F186*L186/100)</f>
        <v/>
      </c>
      <c r="K186" s="7" t="n"/>
      <c r="L186" s="7" t="n"/>
      <c r="M186" s="7">
        <f>IF($B186="","",L186*T186/100)</f>
        <v/>
      </c>
      <c r="N186" s="7">
        <f>IF($B186="","",L186-M186)</f>
        <v/>
      </c>
      <c r="O186" s="7">
        <f>IF($B186="","",N186-G186)</f>
        <v/>
      </c>
      <c r="R186" s="14" t="n"/>
      <c r="T186">
        <f>IF($B186="","",IF($W186=1,Settings!$C$6,Settings!$C$7)*100)</f>
        <v/>
      </c>
      <c r="U186">
        <f>IF($B186="","",IF(COUNTIF($B$2:$B186,$B186)=1,1,0))</f>
        <v/>
      </c>
      <c r="V186">
        <f>IF($U186=1,SUMPRODUCT(--($X$2:$X$1501&lt;$X186))+1,"")</f>
        <v/>
      </c>
      <c r="W186">
        <f>IF($B186="","",IF(OR($S186=TRUE(),$S186="TRUE"),1,0))</f>
        <v/>
      </c>
      <c r="X186">
        <f>IF($U186=1,IFERROR(IF(VALUE($B186)&lt;100000000,VALUE($B186),1000000000),IFERROR(IF(VALUE(MID($B186,2,20))&lt;100000000,VALUE(MID($B186,2,20)),1000000000),1000000000))+ROW()/100000,"")</f>
        <v/>
      </c>
    </row>
    <row r="187">
      <c r="A187">
        <f>IF($B187="","",IFERROR(IF(INDEX('Per Invoice'!$C$2:$C$401,MATCH($B187,'Per Invoice'!$A$2:$A$401,0))=0,"",INDEX('Per Invoice'!$C$2:$C$401,MATCH($B187,'Per Invoice'!$A$2:$A$401,0))),""))</f>
        <v/>
      </c>
      <c r="G187" s="7">
        <f>IF($B187="","",F187*L187/100)</f>
        <v/>
      </c>
      <c r="K187" s="7" t="n"/>
      <c r="L187" s="7" t="n"/>
      <c r="M187" s="7">
        <f>IF($B187="","",L187*T187/100)</f>
        <v/>
      </c>
      <c r="N187" s="7">
        <f>IF($B187="","",L187-M187)</f>
        <v/>
      </c>
      <c r="O187" s="7">
        <f>IF($B187="","",N187-G187)</f>
        <v/>
      </c>
      <c r="R187" s="14" t="n"/>
      <c r="T187">
        <f>IF($B187="","",IF($W187=1,Settings!$C$6,Settings!$C$7)*100)</f>
        <v/>
      </c>
      <c r="U187">
        <f>IF($B187="","",IF(COUNTIF($B$2:$B187,$B187)=1,1,0))</f>
        <v/>
      </c>
      <c r="V187">
        <f>IF($U187=1,SUMPRODUCT(--($X$2:$X$1501&lt;$X187))+1,"")</f>
        <v/>
      </c>
      <c r="W187">
        <f>IF($B187="","",IF(OR($S187=TRUE(),$S187="TRUE"),1,0))</f>
        <v/>
      </c>
      <c r="X187">
        <f>IF($U187=1,IFERROR(IF(VALUE($B187)&lt;100000000,VALUE($B187),1000000000),IFERROR(IF(VALUE(MID($B187,2,20))&lt;100000000,VALUE(MID($B187,2,20)),1000000000),1000000000))+ROW()/100000,"")</f>
        <v/>
      </c>
    </row>
    <row r="188">
      <c r="A188">
        <f>IF($B188="","",IFERROR(IF(INDEX('Per Invoice'!$C$2:$C$401,MATCH($B188,'Per Invoice'!$A$2:$A$401,0))=0,"",INDEX('Per Invoice'!$C$2:$C$401,MATCH($B188,'Per Invoice'!$A$2:$A$401,0))),""))</f>
        <v/>
      </c>
      <c r="G188" s="7">
        <f>IF($B188="","",F188*L188/100)</f>
        <v/>
      </c>
      <c r="K188" s="7" t="n"/>
      <c r="L188" s="7" t="n"/>
      <c r="M188" s="7">
        <f>IF($B188="","",L188*T188/100)</f>
        <v/>
      </c>
      <c r="N188" s="7">
        <f>IF($B188="","",L188-M188)</f>
        <v/>
      </c>
      <c r="O188" s="7">
        <f>IF($B188="","",N188-G188)</f>
        <v/>
      </c>
      <c r="R188" s="14" t="n"/>
      <c r="T188">
        <f>IF($B188="","",IF($W188=1,Settings!$C$6,Settings!$C$7)*100)</f>
        <v/>
      </c>
      <c r="U188">
        <f>IF($B188="","",IF(COUNTIF($B$2:$B188,$B188)=1,1,0))</f>
        <v/>
      </c>
      <c r="V188">
        <f>IF($U188=1,SUMPRODUCT(--($X$2:$X$1501&lt;$X188))+1,"")</f>
        <v/>
      </c>
      <c r="W188">
        <f>IF($B188="","",IF(OR($S188=TRUE(),$S188="TRUE"),1,0))</f>
        <v/>
      </c>
      <c r="X188">
        <f>IF($U188=1,IFERROR(IF(VALUE($B188)&lt;100000000,VALUE($B188),1000000000),IFERROR(IF(VALUE(MID($B188,2,20))&lt;100000000,VALUE(MID($B188,2,20)),1000000000),1000000000))+ROW()/100000,"")</f>
        <v/>
      </c>
    </row>
    <row r="189">
      <c r="A189">
        <f>IF($B189="","",IFERROR(IF(INDEX('Per Invoice'!$C$2:$C$401,MATCH($B189,'Per Invoice'!$A$2:$A$401,0))=0,"",INDEX('Per Invoice'!$C$2:$C$401,MATCH($B189,'Per Invoice'!$A$2:$A$401,0))),""))</f>
        <v/>
      </c>
      <c r="G189" s="7">
        <f>IF($B189="","",F189*L189/100)</f>
        <v/>
      </c>
      <c r="K189" s="7" t="n"/>
      <c r="L189" s="7" t="n"/>
      <c r="M189" s="7">
        <f>IF($B189="","",L189*T189/100)</f>
        <v/>
      </c>
      <c r="N189" s="7">
        <f>IF($B189="","",L189-M189)</f>
        <v/>
      </c>
      <c r="O189" s="7">
        <f>IF($B189="","",N189-G189)</f>
        <v/>
      </c>
      <c r="R189" s="14" t="n"/>
      <c r="T189">
        <f>IF($B189="","",IF($W189=1,Settings!$C$6,Settings!$C$7)*100)</f>
        <v/>
      </c>
      <c r="U189">
        <f>IF($B189="","",IF(COUNTIF($B$2:$B189,$B189)=1,1,0))</f>
        <v/>
      </c>
      <c r="V189">
        <f>IF($U189=1,SUMPRODUCT(--($X$2:$X$1501&lt;$X189))+1,"")</f>
        <v/>
      </c>
      <c r="W189">
        <f>IF($B189="","",IF(OR($S189=TRUE(),$S189="TRUE"),1,0))</f>
        <v/>
      </c>
      <c r="X189">
        <f>IF($U189=1,IFERROR(IF(VALUE($B189)&lt;100000000,VALUE($B189),1000000000),IFERROR(IF(VALUE(MID($B189,2,20))&lt;100000000,VALUE(MID($B189,2,20)),1000000000),1000000000))+ROW()/100000,"")</f>
        <v/>
      </c>
    </row>
    <row r="190">
      <c r="A190">
        <f>IF($B190="","",IFERROR(IF(INDEX('Per Invoice'!$C$2:$C$401,MATCH($B190,'Per Invoice'!$A$2:$A$401,0))=0,"",INDEX('Per Invoice'!$C$2:$C$401,MATCH($B190,'Per Invoice'!$A$2:$A$401,0))),""))</f>
        <v/>
      </c>
      <c r="G190" s="7">
        <f>IF($B190="","",F190*L190/100)</f>
        <v/>
      </c>
      <c r="K190" s="7" t="n"/>
      <c r="L190" s="7" t="n"/>
      <c r="M190" s="7">
        <f>IF($B190="","",L190*T190/100)</f>
        <v/>
      </c>
      <c r="N190" s="7">
        <f>IF($B190="","",L190-M190)</f>
        <v/>
      </c>
      <c r="O190" s="7">
        <f>IF($B190="","",N190-G190)</f>
        <v/>
      </c>
      <c r="R190" s="14" t="n"/>
      <c r="T190">
        <f>IF($B190="","",IF($W190=1,Settings!$C$6,Settings!$C$7)*100)</f>
        <v/>
      </c>
      <c r="U190">
        <f>IF($B190="","",IF(COUNTIF($B$2:$B190,$B190)=1,1,0))</f>
        <v/>
      </c>
      <c r="V190">
        <f>IF($U190=1,SUMPRODUCT(--($X$2:$X$1501&lt;$X190))+1,"")</f>
        <v/>
      </c>
      <c r="W190">
        <f>IF($B190="","",IF(OR($S190=TRUE(),$S190="TRUE"),1,0))</f>
        <v/>
      </c>
      <c r="X190">
        <f>IF($U190=1,IFERROR(IF(VALUE($B190)&lt;100000000,VALUE($B190),1000000000),IFERROR(IF(VALUE(MID($B190,2,20))&lt;100000000,VALUE(MID($B190,2,20)),1000000000),1000000000))+ROW()/100000,"")</f>
        <v/>
      </c>
    </row>
    <row r="191">
      <c r="A191">
        <f>IF($B191="","",IFERROR(IF(INDEX('Per Invoice'!$C$2:$C$401,MATCH($B191,'Per Invoice'!$A$2:$A$401,0))=0,"",INDEX('Per Invoice'!$C$2:$C$401,MATCH($B191,'Per Invoice'!$A$2:$A$401,0))),""))</f>
        <v/>
      </c>
      <c r="G191" s="7">
        <f>IF($B191="","",F191*L191/100)</f>
        <v/>
      </c>
      <c r="K191" s="7" t="n"/>
      <c r="L191" s="7" t="n"/>
      <c r="M191" s="7">
        <f>IF($B191="","",L191*T191/100)</f>
        <v/>
      </c>
      <c r="N191" s="7">
        <f>IF($B191="","",L191-M191)</f>
        <v/>
      </c>
      <c r="O191" s="7">
        <f>IF($B191="","",N191-G191)</f>
        <v/>
      </c>
      <c r="R191" s="14" t="n"/>
      <c r="T191">
        <f>IF($B191="","",IF($W191=1,Settings!$C$6,Settings!$C$7)*100)</f>
        <v/>
      </c>
      <c r="U191">
        <f>IF($B191="","",IF(COUNTIF($B$2:$B191,$B191)=1,1,0))</f>
        <v/>
      </c>
      <c r="V191">
        <f>IF($U191=1,SUMPRODUCT(--($X$2:$X$1501&lt;$X191))+1,"")</f>
        <v/>
      </c>
      <c r="W191">
        <f>IF($B191="","",IF(OR($S191=TRUE(),$S191="TRUE"),1,0))</f>
        <v/>
      </c>
      <c r="X191">
        <f>IF($U191=1,IFERROR(IF(VALUE($B191)&lt;100000000,VALUE($B191),1000000000),IFERROR(IF(VALUE(MID($B191,2,20))&lt;100000000,VALUE(MID($B191,2,20)),1000000000),1000000000))+ROW()/100000,"")</f>
        <v/>
      </c>
    </row>
    <row r="192">
      <c r="A192">
        <f>IF($B192="","",IFERROR(IF(INDEX('Per Invoice'!$C$2:$C$401,MATCH($B192,'Per Invoice'!$A$2:$A$401,0))=0,"",INDEX('Per Invoice'!$C$2:$C$401,MATCH($B192,'Per Invoice'!$A$2:$A$401,0))),""))</f>
        <v/>
      </c>
      <c r="G192" s="7">
        <f>IF($B192="","",F192*L192/100)</f>
        <v/>
      </c>
      <c r="K192" s="7" t="n"/>
      <c r="L192" s="7" t="n"/>
      <c r="M192" s="7">
        <f>IF($B192="","",L192*T192/100)</f>
        <v/>
      </c>
      <c r="N192" s="7">
        <f>IF($B192="","",L192-M192)</f>
        <v/>
      </c>
      <c r="O192" s="7">
        <f>IF($B192="","",N192-G192)</f>
        <v/>
      </c>
      <c r="R192" s="14" t="n"/>
      <c r="T192">
        <f>IF($B192="","",IF($W192=1,Settings!$C$6,Settings!$C$7)*100)</f>
        <v/>
      </c>
      <c r="U192">
        <f>IF($B192="","",IF(COUNTIF($B$2:$B192,$B192)=1,1,0))</f>
        <v/>
      </c>
      <c r="V192">
        <f>IF($U192=1,SUMPRODUCT(--($X$2:$X$1501&lt;$X192))+1,"")</f>
        <v/>
      </c>
      <c r="W192">
        <f>IF($B192="","",IF(OR($S192=TRUE(),$S192="TRUE"),1,0))</f>
        <v/>
      </c>
      <c r="X192">
        <f>IF($U192=1,IFERROR(IF(VALUE($B192)&lt;100000000,VALUE($B192),1000000000),IFERROR(IF(VALUE(MID($B192,2,20))&lt;100000000,VALUE(MID($B192,2,20)),1000000000),1000000000))+ROW()/100000,"")</f>
        <v/>
      </c>
    </row>
    <row r="193">
      <c r="A193">
        <f>IF($B193="","",IFERROR(IF(INDEX('Per Invoice'!$C$2:$C$401,MATCH($B193,'Per Invoice'!$A$2:$A$401,0))=0,"",INDEX('Per Invoice'!$C$2:$C$401,MATCH($B193,'Per Invoice'!$A$2:$A$401,0))),""))</f>
        <v/>
      </c>
      <c r="G193" s="7">
        <f>IF($B193="","",F193*L193/100)</f>
        <v/>
      </c>
      <c r="K193" s="7" t="n"/>
      <c r="L193" s="7" t="n"/>
      <c r="M193" s="7">
        <f>IF($B193="","",L193*T193/100)</f>
        <v/>
      </c>
      <c r="N193" s="7">
        <f>IF($B193="","",L193-M193)</f>
        <v/>
      </c>
      <c r="O193" s="7">
        <f>IF($B193="","",N193-G193)</f>
        <v/>
      </c>
      <c r="R193" s="14" t="n"/>
      <c r="T193">
        <f>IF($B193="","",IF($W193=1,Settings!$C$6,Settings!$C$7)*100)</f>
        <v/>
      </c>
      <c r="U193">
        <f>IF($B193="","",IF(COUNTIF($B$2:$B193,$B193)=1,1,0))</f>
        <v/>
      </c>
      <c r="V193">
        <f>IF($U193=1,SUMPRODUCT(--($X$2:$X$1501&lt;$X193))+1,"")</f>
        <v/>
      </c>
      <c r="W193">
        <f>IF($B193="","",IF(OR($S193=TRUE(),$S193="TRUE"),1,0))</f>
        <v/>
      </c>
      <c r="X193">
        <f>IF($U193=1,IFERROR(IF(VALUE($B193)&lt;100000000,VALUE($B193),1000000000),IFERROR(IF(VALUE(MID($B193,2,20))&lt;100000000,VALUE(MID($B193,2,20)),1000000000),1000000000))+ROW()/100000,"")</f>
        <v/>
      </c>
    </row>
    <row r="194">
      <c r="A194">
        <f>IF($B194="","",IFERROR(IF(INDEX('Per Invoice'!$C$2:$C$401,MATCH($B194,'Per Invoice'!$A$2:$A$401,0))=0,"",INDEX('Per Invoice'!$C$2:$C$401,MATCH($B194,'Per Invoice'!$A$2:$A$401,0))),""))</f>
        <v/>
      </c>
      <c r="G194" s="7">
        <f>IF($B194="","",F194*L194/100)</f>
        <v/>
      </c>
      <c r="K194" s="7" t="n"/>
      <c r="L194" s="7" t="n"/>
      <c r="M194" s="7">
        <f>IF($B194="","",L194*T194/100)</f>
        <v/>
      </c>
      <c r="N194" s="7">
        <f>IF($B194="","",L194-M194)</f>
        <v/>
      </c>
      <c r="O194" s="7">
        <f>IF($B194="","",N194-G194)</f>
        <v/>
      </c>
      <c r="R194" s="14" t="n"/>
      <c r="T194">
        <f>IF($B194="","",IF($W194=1,Settings!$C$6,Settings!$C$7)*100)</f>
        <v/>
      </c>
      <c r="U194">
        <f>IF($B194="","",IF(COUNTIF($B$2:$B194,$B194)=1,1,0))</f>
        <v/>
      </c>
      <c r="V194">
        <f>IF($U194=1,SUMPRODUCT(--($X$2:$X$1501&lt;$X194))+1,"")</f>
        <v/>
      </c>
      <c r="W194">
        <f>IF($B194="","",IF(OR($S194=TRUE(),$S194="TRUE"),1,0))</f>
        <v/>
      </c>
      <c r="X194">
        <f>IF($U194=1,IFERROR(IF(VALUE($B194)&lt;100000000,VALUE($B194),1000000000),IFERROR(IF(VALUE(MID($B194,2,20))&lt;100000000,VALUE(MID($B194,2,20)),1000000000),1000000000))+ROW()/100000,"")</f>
        <v/>
      </c>
    </row>
    <row r="195">
      <c r="A195">
        <f>IF($B195="","",IFERROR(IF(INDEX('Per Invoice'!$C$2:$C$401,MATCH($B195,'Per Invoice'!$A$2:$A$401,0))=0,"",INDEX('Per Invoice'!$C$2:$C$401,MATCH($B195,'Per Invoice'!$A$2:$A$401,0))),""))</f>
        <v/>
      </c>
      <c r="G195" s="7">
        <f>IF($B195="","",F195*L195/100)</f>
        <v/>
      </c>
      <c r="K195" s="7" t="n"/>
      <c r="L195" s="7" t="n"/>
      <c r="M195" s="7">
        <f>IF($B195="","",L195*T195/100)</f>
        <v/>
      </c>
      <c r="N195" s="7">
        <f>IF($B195="","",L195-M195)</f>
        <v/>
      </c>
      <c r="O195" s="7">
        <f>IF($B195="","",N195-G195)</f>
        <v/>
      </c>
      <c r="R195" s="14" t="n"/>
      <c r="T195">
        <f>IF($B195="","",IF($W195=1,Settings!$C$6,Settings!$C$7)*100)</f>
        <v/>
      </c>
      <c r="U195">
        <f>IF($B195="","",IF(COUNTIF($B$2:$B195,$B195)=1,1,0))</f>
        <v/>
      </c>
      <c r="V195">
        <f>IF($U195=1,SUMPRODUCT(--($X$2:$X$1501&lt;$X195))+1,"")</f>
        <v/>
      </c>
      <c r="W195">
        <f>IF($B195="","",IF(OR($S195=TRUE(),$S195="TRUE"),1,0))</f>
        <v/>
      </c>
      <c r="X195">
        <f>IF($U195=1,IFERROR(IF(VALUE($B195)&lt;100000000,VALUE($B195),1000000000),IFERROR(IF(VALUE(MID($B195,2,20))&lt;100000000,VALUE(MID($B195,2,20)),1000000000),1000000000))+ROW()/100000,"")</f>
        <v/>
      </c>
    </row>
    <row r="196">
      <c r="A196">
        <f>IF($B196="","",IFERROR(IF(INDEX('Per Invoice'!$C$2:$C$401,MATCH($B196,'Per Invoice'!$A$2:$A$401,0))=0,"",INDEX('Per Invoice'!$C$2:$C$401,MATCH($B196,'Per Invoice'!$A$2:$A$401,0))),""))</f>
        <v/>
      </c>
      <c r="G196" s="7">
        <f>IF($B196="","",F196*L196/100)</f>
        <v/>
      </c>
      <c r="K196" s="7" t="n"/>
      <c r="L196" s="7" t="n"/>
      <c r="M196" s="7">
        <f>IF($B196="","",L196*T196/100)</f>
        <v/>
      </c>
      <c r="N196" s="7">
        <f>IF($B196="","",L196-M196)</f>
        <v/>
      </c>
      <c r="O196" s="7">
        <f>IF($B196="","",N196-G196)</f>
        <v/>
      </c>
      <c r="R196" s="14" t="n"/>
      <c r="T196">
        <f>IF($B196="","",IF($W196=1,Settings!$C$6,Settings!$C$7)*100)</f>
        <v/>
      </c>
      <c r="U196">
        <f>IF($B196="","",IF(COUNTIF($B$2:$B196,$B196)=1,1,0))</f>
        <v/>
      </c>
      <c r="V196">
        <f>IF($U196=1,SUMPRODUCT(--($X$2:$X$1501&lt;$X196))+1,"")</f>
        <v/>
      </c>
      <c r="W196">
        <f>IF($B196="","",IF(OR($S196=TRUE(),$S196="TRUE"),1,0))</f>
        <v/>
      </c>
      <c r="X196">
        <f>IF($U196=1,IFERROR(IF(VALUE($B196)&lt;100000000,VALUE($B196),1000000000),IFERROR(IF(VALUE(MID($B196,2,20))&lt;100000000,VALUE(MID($B196,2,20)),1000000000),1000000000))+ROW()/100000,"")</f>
        <v/>
      </c>
    </row>
    <row r="197">
      <c r="A197">
        <f>IF($B197="","",IFERROR(IF(INDEX('Per Invoice'!$C$2:$C$401,MATCH($B197,'Per Invoice'!$A$2:$A$401,0))=0,"",INDEX('Per Invoice'!$C$2:$C$401,MATCH($B197,'Per Invoice'!$A$2:$A$401,0))),""))</f>
        <v/>
      </c>
      <c r="G197" s="7">
        <f>IF($B197="","",F197*L197/100)</f>
        <v/>
      </c>
      <c r="K197" s="7" t="n"/>
      <c r="L197" s="7" t="n"/>
      <c r="M197" s="7">
        <f>IF($B197="","",L197*T197/100)</f>
        <v/>
      </c>
      <c r="N197" s="7">
        <f>IF($B197="","",L197-M197)</f>
        <v/>
      </c>
      <c r="O197" s="7">
        <f>IF($B197="","",N197-G197)</f>
        <v/>
      </c>
      <c r="R197" s="14" t="n"/>
      <c r="T197">
        <f>IF($B197="","",IF($W197=1,Settings!$C$6,Settings!$C$7)*100)</f>
        <v/>
      </c>
      <c r="U197">
        <f>IF($B197="","",IF(COUNTIF($B$2:$B197,$B197)=1,1,0))</f>
        <v/>
      </c>
      <c r="V197">
        <f>IF($U197=1,SUMPRODUCT(--($X$2:$X$1501&lt;$X197))+1,"")</f>
        <v/>
      </c>
      <c r="W197">
        <f>IF($B197="","",IF(OR($S197=TRUE(),$S197="TRUE"),1,0))</f>
        <v/>
      </c>
      <c r="X197">
        <f>IF($U197=1,IFERROR(IF(VALUE($B197)&lt;100000000,VALUE($B197),1000000000),IFERROR(IF(VALUE(MID($B197,2,20))&lt;100000000,VALUE(MID($B197,2,20)),1000000000),1000000000))+ROW()/100000,"")</f>
        <v/>
      </c>
    </row>
    <row r="198">
      <c r="A198">
        <f>IF($B198="","",IFERROR(IF(INDEX('Per Invoice'!$C$2:$C$401,MATCH($B198,'Per Invoice'!$A$2:$A$401,0))=0,"",INDEX('Per Invoice'!$C$2:$C$401,MATCH($B198,'Per Invoice'!$A$2:$A$401,0))),""))</f>
        <v/>
      </c>
      <c r="G198" s="7">
        <f>IF($B198="","",F198*L198/100)</f>
        <v/>
      </c>
      <c r="K198" s="7" t="n"/>
      <c r="L198" s="7" t="n"/>
      <c r="M198" s="7">
        <f>IF($B198="","",L198*T198/100)</f>
        <v/>
      </c>
      <c r="N198" s="7">
        <f>IF($B198="","",L198-M198)</f>
        <v/>
      </c>
      <c r="O198" s="7">
        <f>IF($B198="","",N198-G198)</f>
        <v/>
      </c>
      <c r="R198" s="14" t="n"/>
      <c r="T198">
        <f>IF($B198="","",IF($W198=1,Settings!$C$6,Settings!$C$7)*100)</f>
        <v/>
      </c>
      <c r="U198">
        <f>IF($B198="","",IF(COUNTIF($B$2:$B198,$B198)=1,1,0))</f>
        <v/>
      </c>
      <c r="V198">
        <f>IF($U198=1,SUMPRODUCT(--($X$2:$X$1501&lt;$X198))+1,"")</f>
        <v/>
      </c>
      <c r="W198">
        <f>IF($B198="","",IF(OR($S198=TRUE(),$S198="TRUE"),1,0))</f>
        <v/>
      </c>
      <c r="X198">
        <f>IF($U198=1,IFERROR(IF(VALUE($B198)&lt;100000000,VALUE($B198),1000000000),IFERROR(IF(VALUE(MID($B198,2,20))&lt;100000000,VALUE(MID($B198,2,20)),1000000000),1000000000))+ROW()/100000,"")</f>
        <v/>
      </c>
    </row>
    <row r="199">
      <c r="A199">
        <f>IF($B199="","",IFERROR(IF(INDEX('Per Invoice'!$C$2:$C$401,MATCH($B199,'Per Invoice'!$A$2:$A$401,0))=0,"",INDEX('Per Invoice'!$C$2:$C$401,MATCH($B199,'Per Invoice'!$A$2:$A$401,0))),""))</f>
        <v/>
      </c>
      <c r="G199" s="7">
        <f>IF($B199="","",F199*L199/100)</f>
        <v/>
      </c>
      <c r="K199" s="7" t="n"/>
      <c r="L199" s="7" t="n"/>
      <c r="M199" s="7">
        <f>IF($B199="","",L199*T199/100)</f>
        <v/>
      </c>
      <c r="N199" s="7">
        <f>IF($B199="","",L199-M199)</f>
        <v/>
      </c>
      <c r="O199" s="7">
        <f>IF($B199="","",N199-G199)</f>
        <v/>
      </c>
      <c r="R199" s="14" t="n"/>
      <c r="T199">
        <f>IF($B199="","",IF($W199=1,Settings!$C$6,Settings!$C$7)*100)</f>
        <v/>
      </c>
      <c r="U199">
        <f>IF($B199="","",IF(COUNTIF($B$2:$B199,$B199)=1,1,0))</f>
        <v/>
      </c>
      <c r="V199">
        <f>IF($U199=1,SUMPRODUCT(--($X$2:$X$1501&lt;$X199))+1,"")</f>
        <v/>
      </c>
      <c r="W199">
        <f>IF($B199="","",IF(OR($S199=TRUE(),$S199="TRUE"),1,0))</f>
        <v/>
      </c>
      <c r="X199">
        <f>IF($U199=1,IFERROR(IF(VALUE($B199)&lt;100000000,VALUE($B199),1000000000),IFERROR(IF(VALUE(MID($B199,2,20))&lt;100000000,VALUE(MID($B199,2,20)),1000000000),1000000000))+ROW()/100000,"")</f>
        <v/>
      </c>
    </row>
    <row r="200">
      <c r="A200">
        <f>IF($B200="","",IFERROR(IF(INDEX('Per Invoice'!$C$2:$C$401,MATCH($B200,'Per Invoice'!$A$2:$A$401,0))=0,"",INDEX('Per Invoice'!$C$2:$C$401,MATCH($B200,'Per Invoice'!$A$2:$A$401,0))),""))</f>
        <v/>
      </c>
      <c r="G200" s="7">
        <f>IF($B200="","",F200*L200/100)</f>
        <v/>
      </c>
      <c r="K200" s="7" t="n"/>
      <c r="L200" s="7" t="n"/>
      <c r="M200" s="7">
        <f>IF($B200="","",L200*T200/100)</f>
        <v/>
      </c>
      <c r="N200" s="7">
        <f>IF($B200="","",L200-M200)</f>
        <v/>
      </c>
      <c r="O200" s="7">
        <f>IF($B200="","",N200-G200)</f>
        <v/>
      </c>
      <c r="R200" s="14" t="n"/>
      <c r="T200">
        <f>IF($B200="","",IF($W200=1,Settings!$C$6,Settings!$C$7)*100)</f>
        <v/>
      </c>
      <c r="U200">
        <f>IF($B200="","",IF(COUNTIF($B$2:$B200,$B200)=1,1,0))</f>
        <v/>
      </c>
      <c r="V200">
        <f>IF($U200=1,SUMPRODUCT(--($X$2:$X$1501&lt;$X200))+1,"")</f>
        <v/>
      </c>
      <c r="W200">
        <f>IF($B200="","",IF(OR($S200=TRUE(),$S200="TRUE"),1,0))</f>
        <v/>
      </c>
      <c r="X200">
        <f>IF($U200=1,IFERROR(IF(VALUE($B200)&lt;100000000,VALUE($B200),1000000000),IFERROR(IF(VALUE(MID($B200,2,20))&lt;100000000,VALUE(MID($B200,2,20)),1000000000),1000000000))+ROW()/100000,"")</f>
        <v/>
      </c>
    </row>
    <row r="201">
      <c r="A201">
        <f>IF($B201="","",IFERROR(IF(INDEX('Per Invoice'!$C$2:$C$401,MATCH($B201,'Per Invoice'!$A$2:$A$401,0))=0,"",INDEX('Per Invoice'!$C$2:$C$401,MATCH($B201,'Per Invoice'!$A$2:$A$401,0))),""))</f>
        <v/>
      </c>
      <c r="G201" s="7">
        <f>IF($B201="","",F201*L201/100)</f>
        <v/>
      </c>
      <c r="K201" s="7" t="n"/>
      <c r="L201" s="7" t="n"/>
      <c r="M201" s="7">
        <f>IF($B201="","",L201*T201/100)</f>
        <v/>
      </c>
      <c r="N201" s="7">
        <f>IF($B201="","",L201-M201)</f>
        <v/>
      </c>
      <c r="O201" s="7">
        <f>IF($B201="","",N201-G201)</f>
        <v/>
      </c>
      <c r="R201" s="14" t="n"/>
      <c r="T201">
        <f>IF($B201="","",IF($W201=1,Settings!$C$6,Settings!$C$7)*100)</f>
        <v/>
      </c>
      <c r="U201">
        <f>IF($B201="","",IF(COUNTIF($B$2:$B201,$B201)=1,1,0))</f>
        <v/>
      </c>
      <c r="V201">
        <f>IF($U201=1,SUMPRODUCT(--($X$2:$X$1501&lt;$X201))+1,"")</f>
        <v/>
      </c>
      <c r="W201">
        <f>IF($B201="","",IF(OR($S201=TRUE(),$S201="TRUE"),1,0))</f>
        <v/>
      </c>
      <c r="X201">
        <f>IF($U201=1,IFERROR(IF(VALUE($B201)&lt;100000000,VALUE($B201),1000000000),IFERROR(IF(VALUE(MID($B201,2,20))&lt;100000000,VALUE(MID($B201,2,20)),1000000000),1000000000))+ROW()/100000,"")</f>
        <v/>
      </c>
    </row>
    <row r="202">
      <c r="A202">
        <f>IF($B202="","",IFERROR(IF(INDEX('Per Invoice'!$C$2:$C$401,MATCH($B202,'Per Invoice'!$A$2:$A$401,0))=0,"",INDEX('Per Invoice'!$C$2:$C$401,MATCH($B202,'Per Invoice'!$A$2:$A$401,0))),""))</f>
        <v/>
      </c>
      <c r="G202" s="7">
        <f>IF($B202="","",F202*L202/100)</f>
        <v/>
      </c>
      <c r="K202" s="7" t="n"/>
      <c r="L202" s="7" t="n"/>
      <c r="M202" s="7">
        <f>IF($B202="","",L202*T202/100)</f>
        <v/>
      </c>
      <c r="N202" s="7">
        <f>IF($B202="","",L202-M202)</f>
        <v/>
      </c>
      <c r="O202" s="7">
        <f>IF($B202="","",N202-G202)</f>
        <v/>
      </c>
      <c r="R202" s="14" t="n"/>
      <c r="T202">
        <f>IF($B202="","",IF($W202=1,Settings!$C$6,Settings!$C$7)*100)</f>
        <v/>
      </c>
      <c r="U202">
        <f>IF($B202="","",IF(COUNTIF($B$2:$B202,$B202)=1,1,0))</f>
        <v/>
      </c>
      <c r="V202">
        <f>IF($U202=1,SUMPRODUCT(--($X$2:$X$1501&lt;$X202))+1,"")</f>
        <v/>
      </c>
      <c r="W202">
        <f>IF($B202="","",IF(OR($S202=TRUE(),$S202="TRUE"),1,0))</f>
        <v/>
      </c>
      <c r="X202">
        <f>IF($U202=1,IFERROR(IF(VALUE($B202)&lt;100000000,VALUE($B202),1000000000),IFERROR(IF(VALUE(MID($B202,2,20))&lt;100000000,VALUE(MID($B202,2,20)),1000000000),1000000000))+ROW()/100000,"")</f>
        <v/>
      </c>
    </row>
    <row r="203">
      <c r="A203">
        <f>IF($B203="","",IFERROR(IF(INDEX('Per Invoice'!$C$2:$C$401,MATCH($B203,'Per Invoice'!$A$2:$A$401,0))=0,"",INDEX('Per Invoice'!$C$2:$C$401,MATCH($B203,'Per Invoice'!$A$2:$A$401,0))),""))</f>
        <v/>
      </c>
      <c r="G203" s="7">
        <f>IF($B203="","",F203*L203/100)</f>
        <v/>
      </c>
      <c r="K203" s="7" t="n"/>
      <c r="L203" s="7" t="n"/>
      <c r="M203" s="7">
        <f>IF($B203="","",L203*T203/100)</f>
        <v/>
      </c>
      <c r="N203" s="7">
        <f>IF($B203="","",L203-M203)</f>
        <v/>
      </c>
      <c r="O203" s="7">
        <f>IF($B203="","",N203-G203)</f>
        <v/>
      </c>
      <c r="R203" s="14" t="n"/>
      <c r="T203">
        <f>IF($B203="","",IF($W203=1,Settings!$C$6,Settings!$C$7)*100)</f>
        <v/>
      </c>
      <c r="U203">
        <f>IF($B203="","",IF(COUNTIF($B$2:$B203,$B203)=1,1,0))</f>
        <v/>
      </c>
      <c r="V203">
        <f>IF($U203=1,SUMPRODUCT(--($X$2:$X$1501&lt;$X203))+1,"")</f>
        <v/>
      </c>
      <c r="W203">
        <f>IF($B203="","",IF(OR($S203=TRUE(),$S203="TRUE"),1,0))</f>
        <v/>
      </c>
      <c r="X203">
        <f>IF($U203=1,IFERROR(IF(VALUE($B203)&lt;100000000,VALUE($B203),1000000000),IFERROR(IF(VALUE(MID($B203,2,20))&lt;100000000,VALUE(MID($B203,2,20)),1000000000),1000000000))+ROW()/100000,"")</f>
        <v/>
      </c>
    </row>
    <row r="204">
      <c r="A204">
        <f>IF($B204="","",IFERROR(IF(INDEX('Per Invoice'!$C$2:$C$401,MATCH($B204,'Per Invoice'!$A$2:$A$401,0))=0,"",INDEX('Per Invoice'!$C$2:$C$401,MATCH($B204,'Per Invoice'!$A$2:$A$401,0))),""))</f>
        <v/>
      </c>
      <c r="G204" s="7">
        <f>IF($B204="","",F204*L204/100)</f>
        <v/>
      </c>
      <c r="K204" s="7" t="n"/>
      <c r="L204" s="7" t="n"/>
      <c r="M204" s="7">
        <f>IF($B204="","",L204*T204/100)</f>
        <v/>
      </c>
      <c r="N204" s="7">
        <f>IF($B204="","",L204-M204)</f>
        <v/>
      </c>
      <c r="O204" s="7">
        <f>IF($B204="","",N204-G204)</f>
        <v/>
      </c>
      <c r="R204" s="14" t="n"/>
      <c r="T204">
        <f>IF($B204="","",IF($W204=1,Settings!$C$6,Settings!$C$7)*100)</f>
        <v/>
      </c>
      <c r="U204">
        <f>IF($B204="","",IF(COUNTIF($B$2:$B204,$B204)=1,1,0))</f>
        <v/>
      </c>
      <c r="V204">
        <f>IF($U204=1,SUMPRODUCT(--($X$2:$X$1501&lt;$X204))+1,"")</f>
        <v/>
      </c>
      <c r="W204">
        <f>IF($B204="","",IF(OR($S204=TRUE(),$S204="TRUE"),1,0))</f>
        <v/>
      </c>
      <c r="X204">
        <f>IF($U204=1,IFERROR(IF(VALUE($B204)&lt;100000000,VALUE($B204),1000000000),IFERROR(IF(VALUE(MID($B204,2,20))&lt;100000000,VALUE(MID($B204,2,20)),1000000000),1000000000))+ROW()/100000,"")</f>
        <v/>
      </c>
    </row>
    <row r="205">
      <c r="A205">
        <f>IF($B205="","",IFERROR(IF(INDEX('Per Invoice'!$C$2:$C$401,MATCH($B205,'Per Invoice'!$A$2:$A$401,0))=0,"",INDEX('Per Invoice'!$C$2:$C$401,MATCH($B205,'Per Invoice'!$A$2:$A$401,0))),""))</f>
        <v/>
      </c>
      <c r="G205" s="7">
        <f>IF($B205="","",F205*L205/100)</f>
        <v/>
      </c>
      <c r="K205" s="7" t="n"/>
      <c r="L205" s="7" t="n"/>
      <c r="M205" s="7">
        <f>IF($B205="","",L205*T205/100)</f>
        <v/>
      </c>
      <c r="N205" s="7">
        <f>IF($B205="","",L205-M205)</f>
        <v/>
      </c>
      <c r="O205" s="7">
        <f>IF($B205="","",N205-G205)</f>
        <v/>
      </c>
      <c r="R205" s="14" t="n"/>
      <c r="T205">
        <f>IF($B205="","",IF($W205=1,Settings!$C$6,Settings!$C$7)*100)</f>
        <v/>
      </c>
      <c r="U205">
        <f>IF($B205="","",IF(COUNTIF($B$2:$B205,$B205)=1,1,0))</f>
        <v/>
      </c>
      <c r="V205">
        <f>IF($U205=1,SUMPRODUCT(--($X$2:$X$1501&lt;$X205))+1,"")</f>
        <v/>
      </c>
      <c r="W205">
        <f>IF($B205="","",IF(OR($S205=TRUE(),$S205="TRUE"),1,0))</f>
        <v/>
      </c>
      <c r="X205">
        <f>IF($U205=1,IFERROR(IF(VALUE($B205)&lt;100000000,VALUE($B205),1000000000),IFERROR(IF(VALUE(MID($B205,2,20))&lt;100000000,VALUE(MID($B205,2,20)),1000000000),1000000000))+ROW()/100000,"")</f>
        <v/>
      </c>
    </row>
    <row r="206">
      <c r="A206">
        <f>IF($B206="","",IFERROR(IF(INDEX('Per Invoice'!$C$2:$C$401,MATCH($B206,'Per Invoice'!$A$2:$A$401,0))=0,"",INDEX('Per Invoice'!$C$2:$C$401,MATCH($B206,'Per Invoice'!$A$2:$A$401,0))),""))</f>
        <v/>
      </c>
      <c r="G206" s="7">
        <f>IF($B206="","",F206*L206/100)</f>
        <v/>
      </c>
      <c r="K206" s="7" t="n"/>
      <c r="L206" s="7" t="n"/>
      <c r="M206" s="7">
        <f>IF($B206="","",L206*T206/100)</f>
        <v/>
      </c>
      <c r="N206" s="7">
        <f>IF($B206="","",L206-M206)</f>
        <v/>
      </c>
      <c r="O206" s="7">
        <f>IF($B206="","",N206-G206)</f>
        <v/>
      </c>
      <c r="R206" s="14" t="n"/>
      <c r="T206">
        <f>IF($B206="","",IF($W206=1,Settings!$C$6,Settings!$C$7)*100)</f>
        <v/>
      </c>
      <c r="U206">
        <f>IF($B206="","",IF(COUNTIF($B$2:$B206,$B206)=1,1,0))</f>
        <v/>
      </c>
      <c r="V206">
        <f>IF($U206=1,SUMPRODUCT(--($X$2:$X$1501&lt;$X206))+1,"")</f>
        <v/>
      </c>
      <c r="W206">
        <f>IF($B206="","",IF(OR($S206=TRUE(),$S206="TRUE"),1,0))</f>
        <v/>
      </c>
      <c r="X206">
        <f>IF($U206=1,IFERROR(IF(VALUE($B206)&lt;100000000,VALUE($B206),1000000000),IFERROR(IF(VALUE(MID($B206,2,20))&lt;100000000,VALUE(MID($B206,2,20)),1000000000),1000000000))+ROW()/100000,"")</f>
        <v/>
      </c>
    </row>
    <row r="207">
      <c r="A207">
        <f>IF($B207="","",IFERROR(IF(INDEX('Per Invoice'!$C$2:$C$401,MATCH($B207,'Per Invoice'!$A$2:$A$401,0))=0,"",INDEX('Per Invoice'!$C$2:$C$401,MATCH($B207,'Per Invoice'!$A$2:$A$401,0))),""))</f>
        <v/>
      </c>
      <c r="G207" s="7">
        <f>IF($B207="","",F207*L207/100)</f>
        <v/>
      </c>
      <c r="K207" s="7" t="n"/>
      <c r="L207" s="7" t="n"/>
      <c r="M207" s="7">
        <f>IF($B207="","",L207*T207/100)</f>
        <v/>
      </c>
      <c r="N207" s="7">
        <f>IF($B207="","",L207-M207)</f>
        <v/>
      </c>
      <c r="O207" s="7">
        <f>IF($B207="","",N207-G207)</f>
        <v/>
      </c>
      <c r="R207" s="14" t="n"/>
      <c r="T207">
        <f>IF($B207="","",IF($W207=1,Settings!$C$6,Settings!$C$7)*100)</f>
        <v/>
      </c>
      <c r="U207">
        <f>IF($B207="","",IF(COUNTIF($B$2:$B207,$B207)=1,1,0))</f>
        <v/>
      </c>
      <c r="V207">
        <f>IF($U207=1,SUMPRODUCT(--($X$2:$X$1501&lt;$X207))+1,"")</f>
        <v/>
      </c>
      <c r="W207">
        <f>IF($B207="","",IF(OR($S207=TRUE(),$S207="TRUE"),1,0))</f>
        <v/>
      </c>
      <c r="X207">
        <f>IF($U207=1,IFERROR(IF(VALUE($B207)&lt;100000000,VALUE($B207),1000000000),IFERROR(IF(VALUE(MID($B207,2,20))&lt;100000000,VALUE(MID($B207,2,20)),1000000000),1000000000))+ROW()/100000,"")</f>
        <v/>
      </c>
    </row>
    <row r="208">
      <c r="A208">
        <f>IF($B208="","",IFERROR(IF(INDEX('Per Invoice'!$C$2:$C$401,MATCH($B208,'Per Invoice'!$A$2:$A$401,0))=0,"",INDEX('Per Invoice'!$C$2:$C$401,MATCH($B208,'Per Invoice'!$A$2:$A$401,0))),""))</f>
        <v/>
      </c>
      <c r="G208" s="7">
        <f>IF($B208="","",F208*L208/100)</f>
        <v/>
      </c>
      <c r="K208" s="7" t="n"/>
      <c r="L208" s="7" t="n"/>
      <c r="M208" s="7">
        <f>IF($B208="","",L208*T208/100)</f>
        <v/>
      </c>
      <c r="N208" s="7">
        <f>IF($B208="","",L208-M208)</f>
        <v/>
      </c>
      <c r="O208" s="7">
        <f>IF($B208="","",N208-G208)</f>
        <v/>
      </c>
      <c r="R208" s="14" t="n"/>
      <c r="T208">
        <f>IF($B208="","",IF($W208=1,Settings!$C$6,Settings!$C$7)*100)</f>
        <v/>
      </c>
      <c r="U208">
        <f>IF($B208="","",IF(COUNTIF($B$2:$B208,$B208)=1,1,0))</f>
        <v/>
      </c>
      <c r="V208">
        <f>IF($U208=1,SUMPRODUCT(--($X$2:$X$1501&lt;$X208))+1,"")</f>
        <v/>
      </c>
      <c r="W208">
        <f>IF($B208="","",IF(OR($S208=TRUE(),$S208="TRUE"),1,0))</f>
        <v/>
      </c>
      <c r="X208">
        <f>IF($U208=1,IFERROR(IF(VALUE($B208)&lt;100000000,VALUE($B208),1000000000),IFERROR(IF(VALUE(MID($B208,2,20))&lt;100000000,VALUE(MID($B208,2,20)),1000000000),1000000000))+ROW()/100000,"")</f>
        <v/>
      </c>
    </row>
    <row r="209">
      <c r="A209">
        <f>IF($B209="","",IFERROR(IF(INDEX('Per Invoice'!$C$2:$C$401,MATCH($B209,'Per Invoice'!$A$2:$A$401,0))=0,"",INDEX('Per Invoice'!$C$2:$C$401,MATCH($B209,'Per Invoice'!$A$2:$A$401,0))),""))</f>
        <v/>
      </c>
      <c r="G209" s="7">
        <f>IF($B209="","",F209*L209/100)</f>
        <v/>
      </c>
      <c r="K209" s="7" t="n"/>
      <c r="L209" s="7" t="n"/>
      <c r="M209" s="7">
        <f>IF($B209="","",L209*T209/100)</f>
        <v/>
      </c>
      <c r="N209" s="7">
        <f>IF($B209="","",L209-M209)</f>
        <v/>
      </c>
      <c r="O209" s="7">
        <f>IF($B209="","",N209-G209)</f>
        <v/>
      </c>
      <c r="R209" s="14" t="n"/>
      <c r="T209">
        <f>IF($B209="","",IF($W209=1,Settings!$C$6,Settings!$C$7)*100)</f>
        <v/>
      </c>
      <c r="U209">
        <f>IF($B209="","",IF(COUNTIF($B$2:$B209,$B209)=1,1,0))</f>
        <v/>
      </c>
      <c r="V209">
        <f>IF($U209=1,SUMPRODUCT(--($X$2:$X$1501&lt;$X209))+1,"")</f>
        <v/>
      </c>
      <c r="W209">
        <f>IF($B209="","",IF(OR($S209=TRUE(),$S209="TRUE"),1,0))</f>
        <v/>
      </c>
      <c r="X209">
        <f>IF($U209=1,IFERROR(IF(VALUE($B209)&lt;100000000,VALUE($B209),1000000000),IFERROR(IF(VALUE(MID($B209,2,20))&lt;100000000,VALUE(MID($B209,2,20)),1000000000),1000000000))+ROW()/100000,"")</f>
        <v/>
      </c>
    </row>
    <row r="210">
      <c r="A210">
        <f>IF($B210="","",IFERROR(IF(INDEX('Per Invoice'!$C$2:$C$401,MATCH($B210,'Per Invoice'!$A$2:$A$401,0))=0,"",INDEX('Per Invoice'!$C$2:$C$401,MATCH($B210,'Per Invoice'!$A$2:$A$401,0))),""))</f>
        <v/>
      </c>
      <c r="G210" s="7">
        <f>IF($B210="","",F210*L210/100)</f>
        <v/>
      </c>
      <c r="K210" s="7" t="n"/>
      <c r="L210" s="7" t="n"/>
      <c r="M210" s="7">
        <f>IF($B210="","",L210*T210/100)</f>
        <v/>
      </c>
      <c r="N210" s="7">
        <f>IF($B210="","",L210-M210)</f>
        <v/>
      </c>
      <c r="O210" s="7">
        <f>IF($B210="","",N210-G210)</f>
        <v/>
      </c>
      <c r="R210" s="14" t="n"/>
      <c r="T210">
        <f>IF($B210="","",IF($W210=1,Settings!$C$6,Settings!$C$7)*100)</f>
        <v/>
      </c>
      <c r="U210">
        <f>IF($B210="","",IF(COUNTIF($B$2:$B210,$B210)=1,1,0))</f>
        <v/>
      </c>
      <c r="V210">
        <f>IF($U210=1,SUMPRODUCT(--($X$2:$X$1501&lt;$X210))+1,"")</f>
        <v/>
      </c>
      <c r="W210">
        <f>IF($B210="","",IF(OR($S210=TRUE(),$S210="TRUE"),1,0))</f>
        <v/>
      </c>
      <c r="X210">
        <f>IF($U210=1,IFERROR(IF(VALUE($B210)&lt;100000000,VALUE($B210),1000000000),IFERROR(IF(VALUE(MID($B210,2,20))&lt;100000000,VALUE(MID($B210,2,20)),1000000000),1000000000))+ROW()/100000,"")</f>
        <v/>
      </c>
    </row>
    <row r="211">
      <c r="A211">
        <f>IF($B211="","",IFERROR(IF(INDEX('Per Invoice'!$C$2:$C$401,MATCH($B211,'Per Invoice'!$A$2:$A$401,0))=0,"",INDEX('Per Invoice'!$C$2:$C$401,MATCH($B211,'Per Invoice'!$A$2:$A$401,0))),""))</f>
        <v/>
      </c>
      <c r="G211" s="7">
        <f>IF($B211="","",F211*L211/100)</f>
        <v/>
      </c>
      <c r="K211" s="7" t="n"/>
      <c r="L211" s="7" t="n"/>
      <c r="M211" s="7">
        <f>IF($B211="","",L211*T211/100)</f>
        <v/>
      </c>
      <c r="N211" s="7">
        <f>IF($B211="","",L211-M211)</f>
        <v/>
      </c>
      <c r="O211" s="7">
        <f>IF($B211="","",N211-G211)</f>
        <v/>
      </c>
      <c r="R211" s="14" t="n"/>
      <c r="T211">
        <f>IF($B211="","",IF($W211=1,Settings!$C$6,Settings!$C$7)*100)</f>
        <v/>
      </c>
      <c r="U211">
        <f>IF($B211="","",IF(COUNTIF($B$2:$B211,$B211)=1,1,0))</f>
        <v/>
      </c>
      <c r="V211">
        <f>IF($U211=1,SUMPRODUCT(--($X$2:$X$1501&lt;$X211))+1,"")</f>
        <v/>
      </c>
      <c r="W211">
        <f>IF($B211="","",IF(OR($S211=TRUE(),$S211="TRUE"),1,0))</f>
        <v/>
      </c>
      <c r="X211">
        <f>IF($U211=1,IFERROR(IF(VALUE($B211)&lt;100000000,VALUE($B211),1000000000),IFERROR(IF(VALUE(MID($B211,2,20))&lt;100000000,VALUE(MID($B211,2,20)),1000000000),1000000000))+ROW()/100000,"")</f>
        <v/>
      </c>
    </row>
    <row r="212">
      <c r="A212">
        <f>IF($B212="","",IFERROR(IF(INDEX('Per Invoice'!$C$2:$C$401,MATCH($B212,'Per Invoice'!$A$2:$A$401,0))=0,"",INDEX('Per Invoice'!$C$2:$C$401,MATCH($B212,'Per Invoice'!$A$2:$A$401,0))),""))</f>
        <v/>
      </c>
      <c r="G212" s="7">
        <f>IF($B212="","",F212*L212/100)</f>
        <v/>
      </c>
      <c r="K212" s="7" t="n"/>
      <c r="L212" s="7" t="n"/>
      <c r="M212" s="7">
        <f>IF($B212="","",L212*T212/100)</f>
        <v/>
      </c>
      <c r="N212" s="7">
        <f>IF($B212="","",L212-M212)</f>
        <v/>
      </c>
      <c r="O212" s="7">
        <f>IF($B212="","",N212-G212)</f>
        <v/>
      </c>
      <c r="R212" s="14" t="n"/>
      <c r="T212">
        <f>IF($B212="","",IF($W212=1,Settings!$C$6,Settings!$C$7)*100)</f>
        <v/>
      </c>
      <c r="U212">
        <f>IF($B212="","",IF(COUNTIF($B$2:$B212,$B212)=1,1,0))</f>
        <v/>
      </c>
      <c r="V212">
        <f>IF($U212=1,SUMPRODUCT(--($X$2:$X$1501&lt;$X212))+1,"")</f>
        <v/>
      </c>
      <c r="W212">
        <f>IF($B212="","",IF(OR($S212=TRUE(),$S212="TRUE"),1,0))</f>
        <v/>
      </c>
      <c r="X212">
        <f>IF($U212=1,IFERROR(IF(VALUE($B212)&lt;100000000,VALUE($B212),1000000000),IFERROR(IF(VALUE(MID($B212,2,20))&lt;100000000,VALUE(MID($B212,2,20)),1000000000),1000000000))+ROW()/100000,"")</f>
        <v/>
      </c>
    </row>
    <row r="213">
      <c r="A213">
        <f>IF($B213="","",IFERROR(IF(INDEX('Per Invoice'!$C$2:$C$401,MATCH($B213,'Per Invoice'!$A$2:$A$401,0))=0,"",INDEX('Per Invoice'!$C$2:$C$401,MATCH($B213,'Per Invoice'!$A$2:$A$401,0))),""))</f>
        <v/>
      </c>
      <c r="G213" s="7">
        <f>IF($B213="","",F213*L213/100)</f>
        <v/>
      </c>
      <c r="K213" s="7" t="n"/>
      <c r="L213" s="7" t="n"/>
      <c r="M213" s="7">
        <f>IF($B213="","",L213*T213/100)</f>
        <v/>
      </c>
      <c r="N213" s="7">
        <f>IF($B213="","",L213-M213)</f>
        <v/>
      </c>
      <c r="O213" s="7">
        <f>IF($B213="","",N213-G213)</f>
        <v/>
      </c>
      <c r="R213" s="14" t="n"/>
      <c r="T213">
        <f>IF($B213="","",IF($W213=1,Settings!$C$6,Settings!$C$7)*100)</f>
        <v/>
      </c>
      <c r="U213">
        <f>IF($B213="","",IF(COUNTIF($B$2:$B213,$B213)=1,1,0))</f>
        <v/>
      </c>
      <c r="V213">
        <f>IF($U213=1,SUMPRODUCT(--($X$2:$X$1501&lt;$X213))+1,"")</f>
        <v/>
      </c>
      <c r="W213">
        <f>IF($B213="","",IF(OR($S213=TRUE(),$S213="TRUE"),1,0))</f>
        <v/>
      </c>
      <c r="X213">
        <f>IF($U213=1,IFERROR(IF(VALUE($B213)&lt;100000000,VALUE($B213),1000000000),IFERROR(IF(VALUE(MID($B213,2,20))&lt;100000000,VALUE(MID($B213,2,20)),1000000000),1000000000))+ROW()/100000,"")</f>
        <v/>
      </c>
    </row>
    <row r="214">
      <c r="A214">
        <f>IF($B214="","",IFERROR(IF(INDEX('Per Invoice'!$C$2:$C$401,MATCH($B214,'Per Invoice'!$A$2:$A$401,0))=0,"",INDEX('Per Invoice'!$C$2:$C$401,MATCH($B214,'Per Invoice'!$A$2:$A$401,0))),""))</f>
        <v/>
      </c>
      <c r="G214" s="7">
        <f>IF($B214="","",F214*L214/100)</f>
        <v/>
      </c>
      <c r="K214" s="7" t="n"/>
      <c r="L214" s="7" t="n"/>
      <c r="M214" s="7">
        <f>IF($B214="","",L214*T214/100)</f>
        <v/>
      </c>
      <c r="N214" s="7">
        <f>IF($B214="","",L214-M214)</f>
        <v/>
      </c>
      <c r="O214" s="7">
        <f>IF($B214="","",N214-G214)</f>
        <v/>
      </c>
      <c r="R214" s="14" t="n"/>
      <c r="T214">
        <f>IF($B214="","",IF($W214=1,Settings!$C$6,Settings!$C$7)*100)</f>
        <v/>
      </c>
      <c r="U214">
        <f>IF($B214="","",IF(COUNTIF($B$2:$B214,$B214)=1,1,0))</f>
        <v/>
      </c>
      <c r="V214">
        <f>IF($U214=1,SUMPRODUCT(--($X$2:$X$1501&lt;$X214))+1,"")</f>
        <v/>
      </c>
      <c r="W214">
        <f>IF($B214="","",IF(OR($S214=TRUE(),$S214="TRUE"),1,0))</f>
        <v/>
      </c>
      <c r="X214">
        <f>IF($U214=1,IFERROR(IF(VALUE($B214)&lt;100000000,VALUE($B214),1000000000),IFERROR(IF(VALUE(MID($B214,2,20))&lt;100000000,VALUE(MID($B214,2,20)),1000000000),1000000000))+ROW()/100000,"")</f>
        <v/>
      </c>
    </row>
    <row r="215">
      <c r="A215">
        <f>IF($B215="","",IFERROR(IF(INDEX('Per Invoice'!$C$2:$C$401,MATCH($B215,'Per Invoice'!$A$2:$A$401,0))=0,"",INDEX('Per Invoice'!$C$2:$C$401,MATCH($B215,'Per Invoice'!$A$2:$A$401,0))),""))</f>
        <v/>
      </c>
      <c r="G215" s="7">
        <f>IF($B215="","",F215*L215/100)</f>
        <v/>
      </c>
      <c r="K215" s="7" t="n"/>
      <c r="L215" s="7" t="n"/>
      <c r="M215" s="7">
        <f>IF($B215="","",L215*T215/100)</f>
        <v/>
      </c>
      <c r="N215" s="7">
        <f>IF($B215="","",L215-M215)</f>
        <v/>
      </c>
      <c r="O215" s="7">
        <f>IF($B215="","",N215-G215)</f>
        <v/>
      </c>
      <c r="R215" s="14" t="n"/>
      <c r="T215">
        <f>IF($B215="","",IF($W215=1,Settings!$C$6,Settings!$C$7)*100)</f>
        <v/>
      </c>
      <c r="U215">
        <f>IF($B215="","",IF(COUNTIF($B$2:$B215,$B215)=1,1,0))</f>
        <v/>
      </c>
      <c r="V215">
        <f>IF($U215=1,SUMPRODUCT(--($X$2:$X$1501&lt;$X215))+1,"")</f>
        <v/>
      </c>
      <c r="W215">
        <f>IF($B215="","",IF(OR($S215=TRUE(),$S215="TRUE"),1,0))</f>
        <v/>
      </c>
      <c r="X215">
        <f>IF($U215=1,IFERROR(IF(VALUE($B215)&lt;100000000,VALUE($B215),1000000000),IFERROR(IF(VALUE(MID($B215,2,20))&lt;100000000,VALUE(MID($B215,2,20)),1000000000),1000000000))+ROW()/100000,"")</f>
        <v/>
      </c>
    </row>
    <row r="216">
      <c r="A216">
        <f>IF($B216="","",IFERROR(IF(INDEX('Per Invoice'!$C$2:$C$401,MATCH($B216,'Per Invoice'!$A$2:$A$401,0))=0,"",INDEX('Per Invoice'!$C$2:$C$401,MATCH($B216,'Per Invoice'!$A$2:$A$401,0))),""))</f>
        <v/>
      </c>
      <c r="G216" s="7">
        <f>IF($B216="","",F216*L216/100)</f>
        <v/>
      </c>
      <c r="K216" s="7" t="n"/>
      <c r="L216" s="7" t="n"/>
      <c r="M216" s="7">
        <f>IF($B216="","",L216*T216/100)</f>
        <v/>
      </c>
      <c r="N216" s="7">
        <f>IF($B216="","",L216-M216)</f>
        <v/>
      </c>
      <c r="O216" s="7">
        <f>IF($B216="","",N216-G216)</f>
        <v/>
      </c>
      <c r="R216" s="14" t="n"/>
      <c r="T216">
        <f>IF($B216="","",IF($W216=1,Settings!$C$6,Settings!$C$7)*100)</f>
        <v/>
      </c>
      <c r="U216">
        <f>IF($B216="","",IF(COUNTIF($B$2:$B216,$B216)=1,1,0))</f>
        <v/>
      </c>
      <c r="V216">
        <f>IF($U216=1,SUMPRODUCT(--($X$2:$X$1501&lt;$X216))+1,"")</f>
        <v/>
      </c>
      <c r="W216">
        <f>IF($B216="","",IF(OR($S216=TRUE(),$S216="TRUE"),1,0))</f>
        <v/>
      </c>
      <c r="X216">
        <f>IF($U216=1,IFERROR(IF(VALUE($B216)&lt;100000000,VALUE($B216),1000000000),IFERROR(IF(VALUE(MID($B216,2,20))&lt;100000000,VALUE(MID($B216,2,20)),1000000000),1000000000))+ROW()/100000,"")</f>
        <v/>
      </c>
    </row>
    <row r="217">
      <c r="A217">
        <f>IF($B217="","",IFERROR(IF(INDEX('Per Invoice'!$C$2:$C$401,MATCH($B217,'Per Invoice'!$A$2:$A$401,0))=0,"",INDEX('Per Invoice'!$C$2:$C$401,MATCH($B217,'Per Invoice'!$A$2:$A$401,0))),""))</f>
        <v/>
      </c>
      <c r="G217" s="7">
        <f>IF($B217="","",F217*L217/100)</f>
        <v/>
      </c>
      <c r="K217" s="7" t="n"/>
      <c r="L217" s="7" t="n"/>
      <c r="M217" s="7">
        <f>IF($B217="","",L217*T217/100)</f>
        <v/>
      </c>
      <c r="N217" s="7">
        <f>IF($B217="","",L217-M217)</f>
        <v/>
      </c>
      <c r="O217" s="7">
        <f>IF($B217="","",N217-G217)</f>
        <v/>
      </c>
      <c r="R217" s="14" t="n"/>
      <c r="T217">
        <f>IF($B217="","",IF($W217=1,Settings!$C$6,Settings!$C$7)*100)</f>
        <v/>
      </c>
      <c r="U217">
        <f>IF($B217="","",IF(COUNTIF($B$2:$B217,$B217)=1,1,0))</f>
        <v/>
      </c>
      <c r="V217">
        <f>IF($U217=1,SUMPRODUCT(--($X$2:$X$1501&lt;$X217))+1,"")</f>
        <v/>
      </c>
      <c r="W217">
        <f>IF($B217="","",IF(OR($S217=TRUE(),$S217="TRUE"),1,0))</f>
        <v/>
      </c>
      <c r="X217">
        <f>IF($U217=1,IFERROR(IF(VALUE($B217)&lt;100000000,VALUE($B217),1000000000),IFERROR(IF(VALUE(MID($B217,2,20))&lt;100000000,VALUE(MID($B217,2,20)),1000000000),1000000000))+ROW()/100000,"")</f>
        <v/>
      </c>
    </row>
    <row r="218">
      <c r="A218">
        <f>IF($B218="","",IFERROR(IF(INDEX('Per Invoice'!$C$2:$C$401,MATCH($B218,'Per Invoice'!$A$2:$A$401,0))=0,"",INDEX('Per Invoice'!$C$2:$C$401,MATCH($B218,'Per Invoice'!$A$2:$A$401,0))),""))</f>
        <v/>
      </c>
      <c r="G218" s="7">
        <f>IF($B218="","",F218*L218/100)</f>
        <v/>
      </c>
      <c r="K218" s="7" t="n"/>
      <c r="L218" s="7" t="n"/>
      <c r="M218" s="7">
        <f>IF($B218="","",L218*T218/100)</f>
        <v/>
      </c>
      <c r="N218" s="7">
        <f>IF($B218="","",L218-M218)</f>
        <v/>
      </c>
      <c r="O218" s="7">
        <f>IF($B218="","",N218-G218)</f>
        <v/>
      </c>
      <c r="R218" s="14" t="n"/>
      <c r="T218">
        <f>IF($B218="","",IF($W218=1,Settings!$C$6,Settings!$C$7)*100)</f>
        <v/>
      </c>
      <c r="U218">
        <f>IF($B218="","",IF(COUNTIF($B$2:$B218,$B218)=1,1,0))</f>
        <v/>
      </c>
      <c r="V218">
        <f>IF($U218=1,SUMPRODUCT(--($X$2:$X$1501&lt;$X218))+1,"")</f>
        <v/>
      </c>
      <c r="W218">
        <f>IF($B218="","",IF(OR($S218=TRUE(),$S218="TRUE"),1,0))</f>
        <v/>
      </c>
      <c r="X218">
        <f>IF($U218=1,IFERROR(IF(VALUE($B218)&lt;100000000,VALUE($B218),1000000000),IFERROR(IF(VALUE(MID($B218,2,20))&lt;100000000,VALUE(MID($B218,2,20)),1000000000),1000000000))+ROW()/100000,"")</f>
        <v/>
      </c>
    </row>
    <row r="219">
      <c r="A219">
        <f>IF($B219="","",IFERROR(IF(INDEX('Per Invoice'!$C$2:$C$401,MATCH($B219,'Per Invoice'!$A$2:$A$401,0))=0,"",INDEX('Per Invoice'!$C$2:$C$401,MATCH($B219,'Per Invoice'!$A$2:$A$401,0))),""))</f>
        <v/>
      </c>
      <c r="G219" s="7">
        <f>IF($B219="","",F219*L219/100)</f>
        <v/>
      </c>
      <c r="K219" s="7" t="n"/>
      <c r="L219" s="7" t="n"/>
      <c r="M219" s="7">
        <f>IF($B219="","",L219*T219/100)</f>
        <v/>
      </c>
      <c r="N219" s="7">
        <f>IF($B219="","",L219-M219)</f>
        <v/>
      </c>
      <c r="O219" s="7">
        <f>IF($B219="","",N219-G219)</f>
        <v/>
      </c>
      <c r="R219" s="14" t="n"/>
      <c r="T219">
        <f>IF($B219="","",IF($W219=1,Settings!$C$6,Settings!$C$7)*100)</f>
        <v/>
      </c>
      <c r="U219">
        <f>IF($B219="","",IF(COUNTIF($B$2:$B219,$B219)=1,1,0))</f>
        <v/>
      </c>
      <c r="V219">
        <f>IF($U219=1,SUMPRODUCT(--($X$2:$X$1501&lt;$X219))+1,"")</f>
        <v/>
      </c>
      <c r="W219">
        <f>IF($B219="","",IF(OR($S219=TRUE(),$S219="TRUE"),1,0))</f>
        <v/>
      </c>
      <c r="X219">
        <f>IF($U219=1,IFERROR(IF(VALUE($B219)&lt;100000000,VALUE($B219),1000000000),IFERROR(IF(VALUE(MID($B219,2,20))&lt;100000000,VALUE(MID($B219,2,20)),1000000000),1000000000))+ROW()/100000,"")</f>
        <v/>
      </c>
    </row>
    <row r="220">
      <c r="A220">
        <f>IF($B220="","",IFERROR(IF(INDEX('Per Invoice'!$C$2:$C$401,MATCH($B220,'Per Invoice'!$A$2:$A$401,0))=0,"",INDEX('Per Invoice'!$C$2:$C$401,MATCH($B220,'Per Invoice'!$A$2:$A$401,0))),""))</f>
        <v/>
      </c>
      <c r="G220" s="7">
        <f>IF($B220="","",F220*L220/100)</f>
        <v/>
      </c>
      <c r="K220" s="7" t="n"/>
      <c r="L220" s="7" t="n"/>
      <c r="M220" s="7">
        <f>IF($B220="","",L220*T220/100)</f>
        <v/>
      </c>
      <c r="N220" s="7">
        <f>IF($B220="","",L220-M220)</f>
        <v/>
      </c>
      <c r="O220" s="7">
        <f>IF($B220="","",N220-G220)</f>
        <v/>
      </c>
      <c r="R220" s="14" t="n"/>
      <c r="T220">
        <f>IF($B220="","",IF($W220=1,Settings!$C$6,Settings!$C$7)*100)</f>
        <v/>
      </c>
      <c r="U220">
        <f>IF($B220="","",IF(COUNTIF($B$2:$B220,$B220)=1,1,0))</f>
        <v/>
      </c>
      <c r="V220">
        <f>IF($U220=1,SUMPRODUCT(--($X$2:$X$1501&lt;$X220))+1,"")</f>
        <v/>
      </c>
      <c r="W220">
        <f>IF($B220="","",IF(OR($S220=TRUE(),$S220="TRUE"),1,0))</f>
        <v/>
      </c>
      <c r="X220">
        <f>IF($U220=1,IFERROR(IF(VALUE($B220)&lt;100000000,VALUE($B220),1000000000),IFERROR(IF(VALUE(MID($B220,2,20))&lt;100000000,VALUE(MID($B220,2,20)),1000000000),1000000000))+ROW()/100000,"")</f>
        <v/>
      </c>
    </row>
    <row r="221">
      <c r="A221">
        <f>IF($B221="","",IFERROR(IF(INDEX('Per Invoice'!$C$2:$C$401,MATCH($B221,'Per Invoice'!$A$2:$A$401,0))=0,"",INDEX('Per Invoice'!$C$2:$C$401,MATCH($B221,'Per Invoice'!$A$2:$A$401,0))),""))</f>
        <v/>
      </c>
      <c r="G221" s="7">
        <f>IF($B221="","",F221*L221/100)</f>
        <v/>
      </c>
      <c r="K221" s="7" t="n"/>
      <c r="L221" s="7" t="n"/>
      <c r="M221" s="7">
        <f>IF($B221="","",L221*T221/100)</f>
        <v/>
      </c>
      <c r="N221" s="7">
        <f>IF($B221="","",L221-M221)</f>
        <v/>
      </c>
      <c r="O221" s="7">
        <f>IF($B221="","",N221-G221)</f>
        <v/>
      </c>
      <c r="R221" s="14" t="n"/>
      <c r="T221">
        <f>IF($B221="","",IF($W221=1,Settings!$C$6,Settings!$C$7)*100)</f>
        <v/>
      </c>
      <c r="U221">
        <f>IF($B221="","",IF(COUNTIF($B$2:$B221,$B221)=1,1,0))</f>
        <v/>
      </c>
      <c r="V221">
        <f>IF($U221=1,SUMPRODUCT(--($X$2:$X$1501&lt;$X221))+1,"")</f>
        <v/>
      </c>
      <c r="W221">
        <f>IF($B221="","",IF(OR($S221=TRUE(),$S221="TRUE"),1,0))</f>
        <v/>
      </c>
      <c r="X221">
        <f>IF($U221=1,IFERROR(IF(VALUE($B221)&lt;100000000,VALUE($B221),1000000000),IFERROR(IF(VALUE(MID($B221,2,20))&lt;100000000,VALUE(MID($B221,2,20)),1000000000),1000000000))+ROW()/100000,"")</f>
        <v/>
      </c>
    </row>
    <row r="222">
      <c r="A222">
        <f>IF($B222="","",IFERROR(IF(INDEX('Per Invoice'!$C$2:$C$401,MATCH($B222,'Per Invoice'!$A$2:$A$401,0))=0,"",INDEX('Per Invoice'!$C$2:$C$401,MATCH($B222,'Per Invoice'!$A$2:$A$401,0))),""))</f>
        <v/>
      </c>
      <c r="G222" s="7">
        <f>IF($B222="","",F222*L222/100)</f>
        <v/>
      </c>
      <c r="K222" s="7" t="n"/>
      <c r="L222" s="7" t="n"/>
      <c r="M222" s="7">
        <f>IF($B222="","",L222*T222/100)</f>
        <v/>
      </c>
      <c r="N222" s="7">
        <f>IF($B222="","",L222-M222)</f>
        <v/>
      </c>
      <c r="O222" s="7">
        <f>IF($B222="","",N222-G222)</f>
        <v/>
      </c>
      <c r="R222" s="14" t="n"/>
      <c r="T222">
        <f>IF($B222="","",IF($W222=1,Settings!$C$6,Settings!$C$7)*100)</f>
        <v/>
      </c>
      <c r="U222">
        <f>IF($B222="","",IF(COUNTIF($B$2:$B222,$B222)=1,1,0))</f>
        <v/>
      </c>
      <c r="V222">
        <f>IF($U222=1,SUMPRODUCT(--($X$2:$X$1501&lt;$X222))+1,"")</f>
        <v/>
      </c>
      <c r="W222">
        <f>IF($B222="","",IF(OR($S222=TRUE(),$S222="TRUE"),1,0))</f>
        <v/>
      </c>
      <c r="X222">
        <f>IF($U222=1,IFERROR(IF(VALUE($B222)&lt;100000000,VALUE($B222),1000000000),IFERROR(IF(VALUE(MID($B222,2,20))&lt;100000000,VALUE(MID($B222,2,20)),1000000000),1000000000))+ROW()/100000,"")</f>
        <v/>
      </c>
    </row>
    <row r="223">
      <c r="A223">
        <f>IF($B223="","",IFERROR(IF(INDEX('Per Invoice'!$C$2:$C$401,MATCH($B223,'Per Invoice'!$A$2:$A$401,0))=0,"",INDEX('Per Invoice'!$C$2:$C$401,MATCH($B223,'Per Invoice'!$A$2:$A$401,0))),""))</f>
        <v/>
      </c>
      <c r="G223" s="7">
        <f>IF($B223="","",F223*L223/100)</f>
        <v/>
      </c>
      <c r="K223" s="7" t="n"/>
      <c r="L223" s="7" t="n"/>
      <c r="M223" s="7">
        <f>IF($B223="","",L223*T223/100)</f>
        <v/>
      </c>
      <c r="N223" s="7">
        <f>IF($B223="","",L223-M223)</f>
        <v/>
      </c>
      <c r="O223" s="7">
        <f>IF($B223="","",N223-G223)</f>
        <v/>
      </c>
      <c r="R223" s="14" t="n"/>
      <c r="T223">
        <f>IF($B223="","",IF($W223=1,Settings!$C$6,Settings!$C$7)*100)</f>
        <v/>
      </c>
      <c r="U223">
        <f>IF($B223="","",IF(COUNTIF($B$2:$B223,$B223)=1,1,0))</f>
        <v/>
      </c>
      <c r="V223">
        <f>IF($U223=1,SUMPRODUCT(--($X$2:$X$1501&lt;$X223))+1,"")</f>
        <v/>
      </c>
      <c r="W223">
        <f>IF($B223="","",IF(OR($S223=TRUE(),$S223="TRUE"),1,0))</f>
        <v/>
      </c>
      <c r="X223">
        <f>IF($U223=1,IFERROR(IF(VALUE($B223)&lt;100000000,VALUE($B223),1000000000),IFERROR(IF(VALUE(MID($B223,2,20))&lt;100000000,VALUE(MID($B223,2,20)),1000000000),1000000000))+ROW()/100000,"")</f>
        <v/>
      </c>
    </row>
    <row r="224">
      <c r="A224">
        <f>IF($B224="","",IFERROR(IF(INDEX('Per Invoice'!$C$2:$C$401,MATCH($B224,'Per Invoice'!$A$2:$A$401,0))=0,"",INDEX('Per Invoice'!$C$2:$C$401,MATCH($B224,'Per Invoice'!$A$2:$A$401,0))),""))</f>
        <v/>
      </c>
      <c r="G224" s="7">
        <f>IF($B224="","",F224*L224/100)</f>
        <v/>
      </c>
      <c r="K224" s="7" t="n"/>
      <c r="L224" s="7" t="n"/>
      <c r="M224" s="7">
        <f>IF($B224="","",L224*T224/100)</f>
        <v/>
      </c>
      <c r="N224" s="7">
        <f>IF($B224="","",L224-M224)</f>
        <v/>
      </c>
      <c r="O224" s="7">
        <f>IF($B224="","",N224-G224)</f>
        <v/>
      </c>
      <c r="R224" s="14" t="n"/>
      <c r="T224">
        <f>IF($B224="","",IF($W224=1,Settings!$C$6,Settings!$C$7)*100)</f>
        <v/>
      </c>
      <c r="U224">
        <f>IF($B224="","",IF(COUNTIF($B$2:$B224,$B224)=1,1,0))</f>
        <v/>
      </c>
      <c r="V224">
        <f>IF($U224=1,SUMPRODUCT(--($X$2:$X$1501&lt;$X224))+1,"")</f>
        <v/>
      </c>
      <c r="W224">
        <f>IF($B224="","",IF(OR($S224=TRUE(),$S224="TRUE"),1,0))</f>
        <v/>
      </c>
      <c r="X224">
        <f>IF($U224=1,IFERROR(IF(VALUE($B224)&lt;100000000,VALUE($B224),1000000000),IFERROR(IF(VALUE(MID($B224,2,20))&lt;100000000,VALUE(MID($B224,2,20)),1000000000),1000000000))+ROW()/100000,"")</f>
        <v/>
      </c>
    </row>
    <row r="225">
      <c r="A225">
        <f>IF($B225="","",IFERROR(IF(INDEX('Per Invoice'!$C$2:$C$401,MATCH($B225,'Per Invoice'!$A$2:$A$401,0))=0,"",INDEX('Per Invoice'!$C$2:$C$401,MATCH($B225,'Per Invoice'!$A$2:$A$401,0))),""))</f>
        <v/>
      </c>
      <c r="G225" s="7">
        <f>IF($B225="","",F225*L225/100)</f>
        <v/>
      </c>
      <c r="K225" s="7" t="n"/>
      <c r="L225" s="7" t="n"/>
      <c r="M225" s="7">
        <f>IF($B225="","",L225*T225/100)</f>
        <v/>
      </c>
      <c r="N225" s="7">
        <f>IF($B225="","",L225-M225)</f>
        <v/>
      </c>
      <c r="O225" s="7">
        <f>IF($B225="","",N225-G225)</f>
        <v/>
      </c>
      <c r="R225" s="14" t="n"/>
      <c r="T225">
        <f>IF($B225="","",IF($W225=1,Settings!$C$6,Settings!$C$7)*100)</f>
        <v/>
      </c>
      <c r="U225">
        <f>IF($B225="","",IF(COUNTIF($B$2:$B225,$B225)=1,1,0))</f>
        <v/>
      </c>
      <c r="V225">
        <f>IF($U225=1,SUMPRODUCT(--($X$2:$X$1501&lt;$X225))+1,"")</f>
        <v/>
      </c>
      <c r="W225">
        <f>IF($B225="","",IF(OR($S225=TRUE(),$S225="TRUE"),1,0))</f>
        <v/>
      </c>
      <c r="X225">
        <f>IF($U225=1,IFERROR(IF(VALUE($B225)&lt;100000000,VALUE($B225),1000000000),IFERROR(IF(VALUE(MID($B225,2,20))&lt;100000000,VALUE(MID($B225,2,20)),1000000000),1000000000))+ROW()/100000,"")</f>
        <v/>
      </c>
    </row>
    <row r="226">
      <c r="A226">
        <f>IF($B226="","",IFERROR(IF(INDEX('Per Invoice'!$C$2:$C$401,MATCH($B226,'Per Invoice'!$A$2:$A$401,0))=0,"",INDEX('Per Invoice'!$C$2:$C$401,MATCH($B226,'Per Invoice'!$A$2:$A$401,0))),""))</f>
        <v/>
      </c>
      <c r="G226" s="7">
        <f>IF($B226="","",F226*L226/100)</f>
        <v/>
      </c>
      <c r="K226" s="7" t="n"/>
      <c r="L226" s="7" t="n"/>
      <c r="M226" s="7">
        <f>IF($B226="","",L226*T226/100)</f>
        <v/>
      </c>
      <c r="N226" s="7">
        <f>IF($B226="","",L226-M226)</f>
        <v/>
      </c>
      <c r="O226" s="7">
        <f>IF($B226="","",N226-G226)</f>
        <v/>
      </c>
      <c r="R226" s="14" t="n"/>
      <c r="T226">
        <f>IF($B226="","",IF($W226=1,Settings!$C$6,Settings!$C$7)*100)</f>
        <v/>
      </c>
      <c r="U226">
        <f>IF($B226="","",IF(COUNTIF($B$2:$B226,$B226)=1,1,0))</f>
        <v/>
      </c>
      <c r="V226">
        <f>IF($U226=1,SUMPRODUCT(--($X$2:$X$1501&lt;$X226))+1,"")</f>
        <v/>
      </c>
      <c r="W226">
        <f>IF($B226="","",IF(OR($S226=TRUE(),$S226="TRUE"),1,0))</f>
        <v/>
      </c>
      <c r="X226">
        <f>IF($U226=1,IFERROR(IF(VALUE($B226)&lt;100000000,VALUE($B226),1000000000),IFERROR(IF(VALUE(MID($B226,2,20))&lt;100000000,VALUE(MID($B226,2,20)),1000000000),1000000000))+ROW()/100000,"")</f>
        <v/>
      </c>
    </row>
    <row r="227">
      <c r="A227">
        <f>IF($B227="","",IFERROR(IF(INDEX('Per Invoice'!$C$2:$C$401,MATCH($B227,'Per Invoice'!$A$2:$A$401,0))=0,"",INDEX('Per Invoice'!$C$2:$C$401,MATCH($B227,'Per Invoice'!$A$2:$A$401,0))),""))</f>
        <v/>
      </c>
      <c r="G227" s="7">
        <f>IF($B227="","",F227*L227/100)</f>
        <v/>
      </c>
      <c r="K227" s="7" t="n"/>
      <c r="L227" s="7" t="n"/>
      <c r="M227" s="7">
        <f>IF($B227="","",L227*T227/100)</f>
        <v/>
      </c>
      <c r="N227" s="7">
        <f>IF($B227="","",L227-M227)</f>
        <v/>
      </c>
      <c r="O227" s="7">
        <f>IF($B227="","",N227-G227)</f>
        <v/>
      </c>
      <c r="R227" s="14" t="n"/>
      <c r="T227">
        <f>IF($B227="","",IF($W227=1,Settings!$C$6,Settings!$C$7)*100)</f>
        <v/>
      </c>
      <c r="U227">
        <f>IF($B227="","",IF(COUNTIF($B$2:$B227,$B227)=1,1,0))</f>
        <v/>
      </c>
      <c r="V227">
        <f>IF($U227=1,SUMPRODUCT(--($X$2:$X$1501&lt;$X227))+1,"")</f>
        <v/>
      </c>
      <c r="W227">
        <f>IF($B227="","",IF(OR($S227=TRUE(),$S227="TRUE"),1,0))</f>
        <v/>
      </c>
      <c r="X227">
        <f>IF($U227=1,IFERROR(IF(VALUE($B227)&lt;100000000,VALUE($B227),1000000000),IFERROR(IF(VALUE(MID($B227,2,20))&lt;100000000,VALUE(MID($B227,2,20)),1000000000),1000000000))+ROW()/100000,"")</f>
        <v/>
      </c>
    </row>
    <row r="228">
      <c r="A228">
        <f>IF($B228="","",IFERROR(IF(INDEX('Per Invoice'!$C$2:$C$401,MATCH($B228,'Per Invoice'!$A$2:$A$401,0))=0,"",INDEX('Per Invoice'!$C$2:$C$401,MATCH($B228,'Per Invoice'!$A$2:$A$401,0))),""))</f>
        <v/>
      </c>
      <c r="G228" s="7">
        <f>IF($B228="","",F228*L228/100)</f>
        <v/>
      </c>
      <c r="K228" s="7" t="n"/>
      <c r="L228" s="7" t="n"/>
      <c r="M228" s="7">
        <f>IF($B228="","",L228*T228/100)</f>
        <v/>
      </c>
      <c r="N228" s="7">
        <f>IF($B228="","",L228-M228)</f>
        <v/>
      </c>
      <c r="O228" s="7">
        <f>IF($B228="","",N228-G228)</f>
        <v/>
      </c>
      <c r="R228" s="14" t="n"/>
      <c r="T228">
        <f>IF($B228="","",IF($W228=1,Settings!$C$6,Settings!$C$7)*100)</f>
        <v/>
      </c>
      <c r="U228">
        <f>IF($B228="","",IF(COUNTIF($B$2:$B228,$B228)=1,1,0))</f>
        <v/>
      </c>
      <c r="V228">
        <f>IF($U228=1,SUMPRODUCT(--($X$2:$X$1501&lt;$X228))+1,"")</f>
        <v/>
      </c>
      <c r="W228">
        <f>IF($B228="","",IF(OR($S228=TRUE(),$S228="TRUE"),1,0))</f>
        <v/>
      </c>
      <c r="X228">
        <f>IF($U228=1,IFERROR(IF(VALUE($B228)&lt;100000000,VALUE($B228),1000000000),IFERROR(IF(VALUE(MID($B228,2,20))&lt;100000000,VALUE(MID($B228,2,20)),1000000000),1000000000))+ROW()/100000,"")</f>
        <v/>
      </c>
    </row>
    <row r="229">
      <c r="A229">
        <f>IF($B229="","",IFERROR(IF(INDEX('Per Invoice'!$C$2:$C$401,MATCH($B229,'Per Invoice'!$A$2:$A$401,0))=0,"",INDEX('Per Invoice'!$C$2:$C$401,MATCH($B229,'Per Invoice'!$A$2:$A$401,0))),""))</f>
        <v/>
      </c>
      <c r="G229" s="7">
        <f>IF($B229="","",F229*L229/100)</f>
        <v/>
      </c>
      <c r="K229" s="7" t="n"/>
      <c r="L229" s="7" t="n"/>
      <c r="M229" s="7">
        <f>IF($B229="","",L229*T229/100)</f>
        <v/>
      </c>
      <c r="N229" s="7">
        <f>IF($B229="","",L229-M229)</f>
        <v/>
      </c>
      <c r="O229" s="7">
        <f>IF($B229="","",N229-G229)</f>
        <v/>
      </c>
      <c r="R229" s="14" t="n"/>
      <c r="T229">
        <f>IF($B229="","",IF($W229=1,Settings!$C$6,Settings!$C$7)*100)</f>
        <v/>
      </c>
      <c r="U229">
        <f>IF($B229="","",IF(COUNTIF($B$2:$B229,$B229)=1,1,0))</f>
        <v/>
      </c>
      <c r="V229">
        <f>IF($U229=1,SUMPRODUCT(--($X$2:$X$1501&lt;$X229))+1,"")</f>
        <v/>
      </c>
      <c r="W229">
        <f>IF($B229="","",IF(OR($S229=TRUE(),$S229="TRUE"),1,0))</f>
        <v/>
      </c>
      <c r="X229">
        <f>IF($U229=1,IFERROR(IF(VALUE($B229)&lt;100000000,VALUE($B229),1000000000),IFERROR(IF(VALUE(MID($B229,2,20))&lt;100000000,VALUE(MID($B229,2,20)),1000000000),1000000000))+ROW()/100000,"")</f>
        <v/>
      </c>
    </row>
    <row r="230">
      <c r="A230">
        <f>IF($B230="","",IFERROR(IF(INDEX('Per Invoice'!$C$2:$C$401,MATCH($B230,'Per Invoice'!$A$2:$A$401,0))=0,"",INDEX('Per Invoice'!$C$2:$C$401,MATCH($B230,'Per Invoice'!$A$2:$A$401,0))),""))</f>
        <v/>
      </c>
      <c r="G230" s="7">
        <f>IF($B230="","",F230*L230/100)</f>
        <v/>
      </c>
      <c r="K230" s="7" t="n"/>
      <c r="L230" s="7" t="n"/>
      <c r="M230" s="7">
        <f>IF($B230="","",L230*T230/100)</f>
        <v/>
      </c>
      <c r="N230" s="7">
        <f>IF($B230="","",L230-M230)</f>
        <v/>
      </c>
      <c r="O230" s="7">
        <f>IF($B230="","",N230-G230)</f>
        <v/>
      </c>
      <c r="R230" s="14" t="n"/>
      <c r="T230">
        <f>IF($B230="","",IF($W230=1,Settings!$C$6,Settings!$C$7)*100)</f>
        <v/>
      </c>
      <c r="U230">
        <f>IF($B230="","",IF(COUNTIF($B$2:$B230,$B230)=1,1,0))</f>
        <v/>
      </c>
      <c r="V230">
        <f>IF($U230=1,SUMPRODUCT(--($X$2:$X$1501&lt;$X230))+1,"")</f>
        <v/>
      </c>
      <c r="W230">
        <f>IF($B230="","",IF(OR($S230=TRUE(),$S230="TRUE"),1,0))</f>
        <v/>
      </c>
      <c r="X230">
        <f>IF($U230=1,IFERROR(IF(VALUE($B230)&lt;100000000,VALUE($B230),1000000000),IFERROR(IF(VALUE(MID($B230,2,20))&lt;100000000,VALUE(MID($B230,2,20)),1000000000),1000000000))+ROW()/100000,"")</f>
        <v/>
      </c>
    </row>
    <row r="231">
      <c r="A231">
        <f>IF($B231="","",IFERROR(IF(INDEX('Per Invoice'!$C$2:$C$401,MATCH($B231,'Per Invoice'!$A$2:$A$401,0))=0,"",INDEX('Per Invoice'!$C$2:$C$401,MATCH($B231,'Per Invoice'!$A$2:$A$401,0))),""))</f>
        <v/>
      </c>
      <c r="G231" s="7">
        <f>IF($B231="","",F231*L231/100)</f>
        <v/>
      </c>
      <c r="K231" s="7" t="n"/>
      <c r="L231" s="7" t="n"/>
      <c r="M231" s="7">
        <f>IF($B231="","",L231*T231/100)</f>
        <v/>
      </c>
      <c r="N231" s="7">
        <f>IF($B231="","",L231-M231)</f>
        <v/>
      </c>
      <c r="O231" s="7">
        <f>IF($B231="","",N231-G231)</f>
        <v/>
      </c>
      <c r="R231" s="14" t="n"/>
      <c r="T231">
        <f>IF($B231="","",IF($W231=1,Settings!$C$6,Settings!$C$7)*100)</f>
        <v/>
      </c>
      <c r="U231">
        <f>IF($B231="","",IF(COUNTIF($B$2:$B231,$B231)=1,1,0))</f>
        <v/>
      </c>
      <c r="V231">
        <f>IF($U231=1,SUMPRODUCT(--($X$2:$X$1501&lt;$X231))+1,"")</f>
        <v/>
      </c>
      <c r="W231">
        <f>IF($B231="","",IF(OR($S231=TRUE(),$S231="TRUE"),1,0))</f>
        <v/>
      </c>
      <c r="X231">
        <f>IF($U231=1,IFERROR(IF(VALUE($B231)&lt;100000000,VALUE($B231),1000000000),IFERROR(IF(VALUE(MID($B231,2,20))&lt;100000000,VALUE(MID($B231,2,20)),1000000000),1000000000))+ROW()/100000,"")</f>
        <v/>
      </c>
    </row>
    <row r="232">
      <c r="A232">
        <f>IF($B232="","",IFERROR(IF(INDEX('Per Invoice'!$C$2:$C$401,MATCH($B232,'Per Invoice'!$A$2:$A$401,0))=0,"",INDEX('Per Invoice'!$C$2:$C$401,MATCH($B232,'Per Invoice'!$A$2:$A$401,0))),""))</f>
        <v/>
      </c>
      <c r="G232" s="7">
        <f>IF($B232="","",F232*L232/100)</f>
        <v/>
      </c>
      <c r="K232" s="7" t="n"/>
      <c r="L232" s="7" t="n"/>
      <c r="M232" s="7">
        <f>IF($B232="","",L232*T232/100)</f>
        <v/>
      </c>
      <c r="N232" s="7">
        <f>IF($B232="","",L232-M232)</f>
        <v/>
      </c>
      <c r="O232" s="7">
        <f>IF($B232="","",N232-G232)</f>
        <v/>
      </c>
      <c r="R232" s="14" t="n"/>
      <c r="T232">
        <f>IF($B232="","",IF($W232=1,Settings!$C$6,Settings!$C$7)*100)</f>
        <v/>
      </c>
      <c r="U232">
        <f>IF($B232="","",IF(COUNTIF($B$2:$B232,$B232)=1,1,0))</f>
        <v/>
      </c>
      <c r="V232">
        <f>IF($U232=1,SUMPRODUCT(--($X$2:$X$1501&lt;$X232))+1,"")</f>
        <v/>
      </c>
      <c r="W232">
        <f>IF($B232="","",IF(OR($S232=TRUE(),$S232="TRUE"),1,0))</f>
        <v/>
      </c>
      <c r="X232">
        <f>IF($U232=1,IFERROR(IF(VALUE($B232)&lt;100000000,VALUE($B232),1000000000),IFERROR(IF(VALUE(MID($B232,2,20))&lt;100000000,VALUE(MID($B232,2,20)),1000000000),1000000000))+ROW()/100000,"")</f>
        <v/>
      </c>
    </row>
    <row r="233">
      <c r="A233">
        <f>IF($B233="","",IFERROR(IF(INDEX('Per Invoice'!$C$2:$C$401,MATCH($B233,'Per Invoice'!$A$2:$A$401,0))=0,"",INDEX('Per Invoice'!$C$2:$C$401,MATCH($B233,'Per Invoice'!$A$2:$A$401,0))),""))</f>
        <v/>
      </c>
      <c r="G233" s="7">
        <f>IF($B233="","",F233*L233/100)</f>
        <v/>
      </c>
      <c r="K233" s="7" t="n"/>
      <c r="L233" s="7" t="n"/>
      <c r="M233" s="7">
        <f>IF($B233="","",L233*T233/100)</f>
        <v/>
      </c>
      <c r="N233" s="7">
        <f>IF($B233="","",L233-M233)</f>
        <v/>
      </c>
      <c r="O233" s="7">
        <f>IF($B233="","",N233-G233)</f>
        <v/>
      </c>
      <c r="R233" s="14" t="n"/>
      <c r="T233">
        <f>IF($B233="","",IF($W233=1,Settings!$C$6,Settings!$C$7)*100)</f>
        <v/>
      </c>
      <c r="U233">
        <f>IF($B233="","",IF(COUNTIF($B$2:$B233,$B233)=1,1,0))</f>
        <v/>
      </c>
      <c r="V233">
        <f>IF($U233=1,SUMPRODUCT(--($X$2:$X$1501&lt;$X233))+1,"")</f>
        <v/>
      </c>
      <c r="W233">
        <f>IF($B233="","",IF(OR($S233=TRUE(),$S233="TRUE"),1,0))</f>
        <v/>
      </c>
      <c r="X233">
        <f>IF($U233=1,IFERROR(IF(VALUE($B233)&lt;100000000,VALUE($B233),1000000000),IFERROR(IF(VALUE(MID($B233,2,20))&lt;100000000,VALUE(MID($B233,2,20)),1000000000),1000000000))+ROW()/100000,"")</f>
        <v/>
      </c>
    </row>
    <row r="234">
      <c r="A234">
        <f>IF($B234="","",IFERROR(IF(INDEX('Per Invoice'!$C$2:$C$401,MATCH($B234,'Per Invoice'!$A$2:$A$401,0))=0,"",INDEX('Per Invoice'!$C$2:$C$401,MATCH($B234,'Per Invoice'!$A$2:$A$401,0))),""))</f>
        <v/>
      </c>
      <c r="G234" s="7">
        <f>IF($B234="","",F234*L234/100)</f>
        <v/>
      </c>
      <c r="K234" s="7" t="n"/>
      <c r="L234" s="7" t="n"/>
      <c r="M234" s="7">
        <f>IF($B234="","",L234*T234/100)</f>
        <v/>
      </c>
      <c r="N234" s="7">
        <f>IF($B234="","",L234-M234)</f>
        <v/>
      </c>
      <c r="O234" s="7">
        <f>IF($B234="","",N234-G234)</f>
        <v/>
      </c>
      <c r="R234" s="14" t="n"/>
      <c r="T234">
        <f>IF($B234="","",IF($W234=1,Settings!$C$6,Settings!$C$7)*100)</f>
        <v/>
      </c>
      <c r="U234">
        <f>IF($B234="","",IF(COUNTIF($B$2:$B234,$B234)=1,1,0))</f>
        <v/>
      </c>
      <c r="V234">
        <f>IF($U234=1,SUMPRODUCT(--($X$2:$X$1501&lt;$X234))+1,"")</f>
        <v/>
      </c>
      <c r="W234">
        <f>IF($B234="","",IF(OR($S234=TRUE(),$S234="TRUE"),1,0))</f>
        <v/>
      </c>
      <c r="X234">
        <f>IF($U234=1,IFERROR(IF(VALUE($B234)&lt;100000000,VALUE($B234),1000000000),IFERROR(IF(VALUE(MID($B234,2,20))&lt;100000000,VALUE(MID($B234,2,20)),1000000000),1000000000))+ROW()/100000,"")</f>
        <v/>
      </c>
    </row>
    <row r="235">
      <c r="A235">
        <f>IF($B235="","",IFERROR(IF(INDEX('Per Invoice'!$C$2:$C$401,MATCH($B235,'Per Invoice'!$A$2:$A$401,0))=0,"",INDEX('Per Invoice'!$C$2:$C$401,MATCH($B235,'Per Invoice'!$A$2:$A$401,0))),""))</f>
        <v/>
      </c>
      <c r="G235" s="7">
        <f>IF($B235="","",F235*L235/100)</f>
        <v/>
      </c>
      <c r="K235" s="7" t="n"/>
      <c r="L235" s="7" t="n"/>
      <c r="M235" s="7">
        <f>IF($B235="","",L235*T235/100)</f>
        <v/>
      </c>
      <c r="N235" s="7">
        <f>IF($B235="","",L235-M235)</f>
        <v/>
      </c>
      <c r="O235" s="7">
        <f>IF($B235="","",N235-G235)</f>
        <v/>
      </c>
      <c r="R235" s="14" t="n"/>
      <c r="T235">
        <f>IF($B235="","",IF($W235=1,Settings!$C$6,Settings!$C$7)*100)</f>
        <v/>
      </c>
      <c r="U235">
        <f>IF($B235="","",IF(COUNTIF($B$2:$B235,$B235)=1,1,0))</f>
        <v/>
      </c>
      <c r="V235">
        <f>IF($U235=1,SUMPRODUCT(--($X$2:$X$1501&lt;$X235))+1,"")</f>
        <v/>
      </c>
      <c r="W235">
        <f>IF($B235="","",IF(OR($S235=TRUE(),$S235="TRUE"),1,0))</f>
        <v/>
      </c>
      <c r="X235">
        <f>IF($U235=1,IFERROR(IF(VALUE($B235)&lt;100000000,VALUE($B235),1000000000),IFERROR(IF(VALUE(MID($B235,2,20))&lt;100000000,VALUE(MID($B235,2,20)),1000000000),1000000000))+ROW()/100000,"")</f>
        <v/>
      </c>
    </row>
    <row r="236">
      <c r="A236">
        <f>IF($B236="","",IFERROR(IF(INDEX('Per Invoice'!$C$2:$C$401,MATCH($B236,'Per Invoice'!$A$2:$A$401,0))=0,"",INDEX('Per Invoice'!$C$2:$C$401,MATCH($B236,'Per Invoice'!$A$2:$A$401,0))),""))</f>
        <v/>
      </c>
      <c r="G236" s="7">
        <f>IF($B236="","",F236*L236/100)</f>
        <v/>
      </c>
      <c r="K236" s="7" t="n"/>
      <c r="L236" s="7" t="n"/>
      <c r="M236" s="7">
        <f>IF($B236="","",L236*T236/100)</f>
        <v/>
      </c>
      <c r="N236" s="7">
        <f>IF($B236="","",L236-M236)</f>
        <v/>
      </c>
      <c r="O236" s="7">
        <f>IF($B236="","",N236-G236)</f>
        <v/>
      </c>
      <c r="R236" s="14" t="n"/>
      <c r="T236">
        <f>IF($B236="","",IF($W236=1,Settings!$C$6,Settings!$C$7)*100)</f>
        <v/>
      </c>
      <c r="U236">
        <f>IF($B236="","",IF(COUNTIF($B$2:$B236,$B236)=1,1,0))</f>
        <v/>
      </c>
      <c r="V236">
        <f>IF($U236=1,SUMPRODUCT(--($X$2:$X$1501&lt;$X236))+1,"")</f>
        <v/>
      </c>
      <c r="W236">
        <f>IF($B236="","",IF(OR($S236=TRUE(),$S236="TRUE"),1,0))</f>
        <v/>
      </c>
      <c r="X236">
        <f>IF($U236=1,IFERROR(IF(VALUE($B236)&lt;100000000,VALUE($B236),1000000000),IFERROR(IF(VALUE(MID($B236,2,20))&lt;100000000,VALUE(MID($B236,2,20)),1000000000),1000000000))+ROW()/100000,"")</f>
        <v/>
      </c>
    </row>
    <row r="237">
      <c r="A237">
        <f>IF($B237="","",IFERROR(IF(INDEX('Per Invoice'!$C$2:$C$401,MATCH($B237,'Per Invoice'!$A$2:$A$401,0))=0,"",INDEX('Per Invoice'!$C$2:$C$401,MATCH($B237,'Per Invoice'!$A$2:$A$401,0))),""))</f>
        <v/>
      </c>
      <c r="G237" s="7">
        <f>IF($B237="","",F237*L237/100)</f>
        <v/>
      </c>
      <c r="K237" s="7" t="n"/>
      <c r="L237" s="7" t="n"/>
      <c r="M237" s="7">
        <f>IF($B237="","",L237*T237/100)</f>
        <v/>
      </c>
      <c r="N237" s="7">
        <f>IF($B237="","",L237-M237)</f>
        <v/>
      </c>
      <c r="O237" s="7">
        <f>IF($B237="","",N237-G237)</f>
        <v/>
      </c>
      <c r="R237" s="14" t="n"/>
      <c r="T237">
        <f>IF($B237="","",IF($W237=1,Settings!$C$6,Settings!$C$7)*100)</f>
        <v/>
      </c>
      <c r="U237">
        <f>IF($B237="","",IF(COUNTIF($B$2:$B237,$B237)=1,1,0))</f>
        <v/>
      </c>
      <c r="V237">
        <f>IF($U237=1,SUMPRODUCT(--($X$2:$X$1501&lt;$X237))+1,"")</f>
        <v/>
      </c>
      <c r="W237">
        <f>IF($B237="","",IF(OR($S237=TRUE(),$S237="TRUE"),1,0))</f>
        <v/>
      </c>
      <c r="X237">
        <f>IF($U237=1,IFERROR(IF(VALUE($B237)&lt;100000000,VALUE($B237),1000000000),IFERROR(IF(VALUE(MID($B237,2,20))&lt;100000000,VALUE(MID($B237,2,20)),1000000000),1000000000))+ROW()/100000,"")</f>
        <v/>
      </c>
    </row>
    <row r="238">
      <c r="A238">
        <f>IF($B238="","",IFERROR(IF(INDEX('Per Invoice'!$C$2:$C$401,MATCH($B238,'Per Invoice'!$A$2:$A$401,0))=0,"",INDEX('Per Invoice'!$C$2:$C$401,MATCH($B238,'Per Invoice'!$A$2:$A$401,0))),""))</f>
        <v/>
      </c>
      <c r="G238" s="7">
        <f>IF($B238="","",F238*L238/100)</f>
        <v/>
      </c>
      <c r="K238" s="7" t="n"/>
      <c r="L238" s="7" t="n"/>
      <c r="M238" s="7">
        <f>IF($B238="","",L238*T238/100)</f>
        <v/>
      </c>
      <c r="N238" s="7">
        <f>IF($B238="","",L238-M238)</f>
        <v/>
      </c>
      <c r="O238" s="7">
        <f>IF($B238="","",N238-G238)</f>
        <v/>
      </c>
      <c r="R238" s="14" t="n"/>
      <c r="T238">
        <f>IF($B238="","",IF($W238=1,Settings!$C$6,Settings!$C$7)*100)</f>
        <v/>
      </c>
      <c r="U238">
        <f>IF($B238="","",IF(COUNTIF($B$2:$B238,$B238)=1,1,0))</f>
        <v/>
      </c>
      <c r="V238">
        <f>IF($U238=1,SUMPRODUCT(--($X$2:$X$1501&lt;$X238))+1,"")</f>
        <v/>
      </c>
      <c r="W238">
        <f>IF($B238="","",IF(OR($S238=TRUE(),$S238="TRUE"),1,0))</f>
        <v/>
      </c>
      <c r="X238">
        <f>IF($U238=1,IFERROR(IF(VALUE($B238)&lt;100000000,VALUE($B238),1000000000),IFERROR(IF(VALUE(MID($B238,2,20))&lt;100000000,VALUE(MID($B238,2,20)),1000000000),1000000000))+ROW()/100000,"")</f>
        <v/>
      </c>
    </row>
    <row r="239">
      <c r="A239">
        <f>IF($B239="","",IFERROR(IF(INDEX('Per Invoice'!$C$2:$C$401,MATCH($B239,'Per Invoice'!$A$2:$A$401,0))=0,"",INDEX('Per Invoice'!$C$2:$C$401,MATCH($B239,'Per Invoice'!$A$2:$A$401,0))),""))</f>
        <v/>
      </c>
      <c r="G239" s="7">
        <f>IF($B239="","",F239*L239/100)</f>
        <v/>
      </c>
      <c r="K239" s="7" t="n"/>
      <c r="L239" s="7" t="n"/>
      <c r="M239" s="7">
        <f>IF($B239="","",L239*T239/100)</f>
        <v/>
      </c>
      <c r="N239" s="7">
        <f>IF($B239="","",L239-M239)</f>
        <v/>
      </c>
      <c r="O239" s="7">
        <f>IF($B239="","",N239-G239)</f>
        <v/>
      </c>
      <c r="R239" s="14" t="n"/>
      <c r="T239">
        <f>IF($B239="","",IF($W239=1,Settings!$C$6,Settings!$C$7)*100)</f>
        <v/>
      </c>
      <c r="U239">
        <f>IF($B239="","",IF(COUNTIF($B$2:$B239,$B239)=1,1,0))</f>
        <v/>
      </c>
      <c r="V239">
        <f>IF($U239=1,SUMPRODUCT(--($X$2:$X$1501&lt;$X239))+1,"")</f>
        <v/>
      </c>
      <c r="W239">
        <f>IF($B239="","",IF(OR($S239=TRUE(),$S239="TRUE"),1,0))</f>
        <v/>
      </c>
      <c r="X239">
        <f>IF($U239=1,IFERROR(IF(VALUE($B239)&lt;100000000,VALUE($B239),1000000000),IFERROR(IF(VALUE(MID($B239,2,20))&lt;100000000,VALUE(MID($B239,2,20)),1000000000),1000000000))+ROW()/100000,"")</f>
        <v/>
      </c>
    </row>
    <row r="240">
      <c r="A240">
        <f>IF($B240="","",IFERROR(IF(INDEX('Per Invoice'!$C$2:$C$401,MATCH($B240,'Per Invoice'!$A$2:$A$401,0))=0,"",INDEX('Per Invoice'!$C$2:$C$401,MATCH($B240,'Per Invoice'!$A$2:$A$401,0))),""))</f>
        <v/>
      </c>
      <c r="G240" s="7">
        <f>IF($B240="","",F240*L240/100)</f>
        <v/>
      </c>
      <c r="K240" s="7" t="n"/>
      <c r="L240" s="7" t="n"/>
      <c r="M240" s="7">
        <f>IF($B240="","",L240*T240/100)</f>
        <v/>
      </c>
      <c r="N240" s="7">
        <f>IF($B240="","",L240-M240)</f>
        <v/>
      </c>
      <c r="O240" s="7">
        <f>IF($B240="","",N240-G240)</f>
        <v/>
      </c>
      <c r="R240" s="14" t="n"/>
      <c r="T240">
        <f>IF($B240="","",IF($W240=1,Settings!$C$6,Settings!$C$7)*100)</f>
        <v/>
      </c>
      <c r="U240">
        <f>IF($B240="","",IF(COUNTIF($B$2:$B240,$B240)=1,1,0))</f>
        <v/>
      </c>
      <c r="V240">
        <f>IF($U240=1,SUMPRODUCT(--($X$2:$X$1501&lt;$X240))+1,"")</f>
        <v/>
      </c>
      <c r="W240">
        <f>IF($B240="","",IF(OR($S240=TRUE(),$S240="TRUE"),1,0))</f>
        <v/>
      </c>
      <c r="X240">
        <f>IF($U240=1,IFERROR(IF(VALUE($B240)&lt;100000000,VALUE($B240),1000000000),IFERROR(IF(VALUE(MID($B240,2,20))&lt;100000000,VALUE(MID($B240,2,20)),1000000000),1000000000))+ROW()/100000,"")</f>
        <v/>
      </c>
    </row>
    <row r="241">
      <c r="A241">
        <f>IF($B241="","",IFERROR(IF(INDEX('Per Invoice'!$C$2:$C$401,MATCH($B241,'Per Invoice'!$A$2:$A$401,0))=0,"",INDEX('Per Invoice'!$C$2:$C$401,MATCH($B241,'Per Invoice'!$A$2:$A$401,0))),""))</f>
        <v/>
      </c>
      <c r="G241" s="7">
        <f>IF($B241="","",F241*L241/100)</f>
        <v/>
      </c>
      <c r="K241" s="7" t="n"/>
      <c r="L241" s="7" t="n"/>
      <c r="M241" s="7">
        <f>IF($B241="","",L241*T241/100)</f>
        <v/>
      </c>
      <c r="N241" s="7">
        <f>IF($B241="","",L241-M241)</f>
        <v/>
      </c>
      <c r="O241" s="7">
        <f>IF($B241="","",N241-G241)</f>
        <v/>
      </c>
      <c r="R241" s="14" t="n"/>
      <c r="T241">
        <f>IF($B241="","",IF($W241=1,Settings!$C$6,Settings!$C$7)*100)</f>
        <v/>
      </c>
      <c r="U241">
        <f>IF($B241="","",IF(COUNTIF($B$2:$B241,$B241)=1,1,0))</f>
        <v/>
      </c>
      <c r="V241">
        <f>IF($U241=1,SUMPRODUCT(--($X$2:$X$1501&lt;$X241))+1,"")</f>
        <v/>
      </c>
      <c r="W241">
        <f>IF($B241="","",IF(OR($S241=TRUE(),$S241="TRUE"),1,0))</f>
        <v/>
      </c>
      <c r="X241">
        <f>IF($U241=1,IFERROR(IF(VALUE($B241)&lt;100000000,VALUE($B241),1000000000),IFERROR(IF(VALUE(MID($B241,2,20))&lt;100000000,VALUE(MID($B241,2,20)),1000000000),1000000000))+ROW()/100000,"")</f>
        <v/>
      </c>
    </row>
    <row r="242">
      <c r="A242">
        <f>IF($B242="","",IFERROR(IF(INDEX('Per Invoice'!$C$2:$C$401,MATCH($B242,'Per Invoice'!$A$2:$A$401,0))=0,"",INDEX('Per Invoice'!$C$2:$C$401,MATCH($B242,'Per Invoice'!$A$2:$A$401,0))),""))</f>
        <v/>
      </c>
      <c r="G242" s="7">
        <f>IF($B242="","",F242*L242/100)</f>
        <v/>
      </c>
      <c r="K242" s="7" t="n"/>
      <c r="L242" s="7" t="n"/>
      <c r="M242" s="7">
        <f>IF($B242="","",L242*T242/100)</f>
        <v/>
      </c>
      <c r="N242" s="7">
        <f>IF($B242="","",L242-M242)</f>
        <v/>
      </c>
      <c r="O242" s="7">
        <f>IF($B242="","",N242-G242)</f>
        <v/>
      </c>
      <c r="R242" s="14" t="n"/>
      <c r="T242">
        <f>IF($B242="","",IF($W242=1,Settings!$C$6,Settings!$C$7)*100)</f>
        <v/>
      </c>
      <c r="U242">
        <f>IF($B242="","",IF(COUNTIF($B$2:$B242,$B242)=1,1,0))</f>
        <v/>
      </c>
      <c r="V242">
        <f>IF($U242=1,SUMPRODUCT(--($X$2:$X$1501&lt;$X242))+1,"")</f>
        <v/>
      </c>
      <c r="W242">
        <f>IF($B242="","",IF(OR($S242=TRUE(),$S242="TRUE"),1,0))</f>
        <v/>
      </c>
      <c r="X242">
        <f>IF($U242=1,IFERROR(IF(VALUE($B242)&lt;100000000,VALUE($B242),1000000000),IFERROR(IF(VALUE(MID($B242,2,20))&lt;100000000,VALUE(MID($B242,2,20)),1000000000),1000000000))+ROW()/100000,"")</f>
        <v/>
      </c>
    </row>
    <row r="243">
      <c r="A243">
        <f>IF($B243="","",IFERROR(IF(INDEX('Per Invoice'!$C$2:$C$401,MATCH($B243,'Per Invoice'!$A$2:$A$401,0))=0,"",INDEX('Per Invoice'!$C$2:$C$401,MATCH($B243,'Per Invoice'!$A$2:$A$401,0))),""))</f>
        <v/>
      </c>
      <c r="G243" s="7">
        <f>IF($B243="","",F243*L243/100)</f>
        <v/>
      </c>
      <c r="K243" s="7" t="n"/>
      <c r="L243" s="7" t="n"/>
      <c r="M243" s="7">
        <f>IF($B243="","",L243*T243/100)</f>
        <v/>
      </c>
      <c r="N243" s="7">
        <f>IF($B243="","",L243-M243)</f>
        <v/>
      </c>
      <c r="O243" s="7">
        <f>IF($B243="","",N243-G243)</f>
        <v/>
      </c>
      <c r="R243" s="14" t="n"/>
      <c r="T243">
        <f>IF($B243="","",IF($W243=1,Settings!$C$6,Settings!$C$7)*100)</f>
        <v/>
      </c>
      <c r="U243">
        <f>IF($B243="","",IF(COUNTIF($B$2:$B243,$B243)=1,1,0))</f>
        <v/>
      </c>
      <c r="V243">
        <f>IF($U243=1,SUMPRODUCT(--($X$2:$X$1501&lt;$X243))+1,"")</f>
        <v/>
      </c>
      <c r="W243">
        <f>IF($B243="","",IF(OR($S243=TRUE(),$S243="TRUE"),1,0))</f>
        <v/>
      </c>
      <c r="X243">
        <f>IF($U243=1,IFERROR(IF(VALUE($B243)&lt;100000000,VALUE($B243),1000000000),IFERROR(IF(VALUE(MID($B243,2,20))&lt;100000000,VALUE(MID($B243,2,20)),1000000000),1000000000))+ROW()/100000,"")</f>
        <v/>
      </c>
    </row>
    <row r="244">
      <c r="A244">
        <f>IF($B244="","",IFERROR(IF(INDEX('Per Invoice'!$C$2:$C$401,MATCH($B244,'Per Invoice'!$A$2:$A$401,0))=0,"",INDEX('Per Invoice'!$C$2:$C$401,MATCH($B244,'Per Invoice'!$A$2:$A$401,0))),""))</f>
        <v/>
      </c>
      <c r="G244" s="7">
        <f>IF($B244="","",F244*L244/100)</f>
        <v/>
      </c>
      <c r="K244" s="7" t="n"/>
      <c r="L244" s="7" t="n"/>
      <c r="M244" s="7">
        <f>IF($B244="","",L244*T244/100)</f>
        <v/>
      </c>
      <c r="N244" s="7">
        <f>IF($B244="","",L244-M244)</f>
        <v/>
      </c>
      <c r="O244" s="7">
        <f>IF($B244="","",N244-G244)</f>
        <v/>
      </c>
      <c r="R244" s="14" t="n"/>
      <c r="T244">
        <f>IF($B244="","",IF($W244=1,Settings!$C$6,Settings!$C$7)*100)</f>
        <v/>
      </c>
      <c r="U244">
        <f>IF($B244="","",IF(COUNTIF($B$2:$B244,$B244)=1,1,0))</f>
        <v/>
      </c>
      <c r="V244">
        <f>IF($U244=1,SUMPRODUCT(--($X$2:$X$1501&lt;$X244))+1,"")</f>
        <v/>
      </c>
      <c r="W244">
        <f>IF($B244="","",IF(OR($S244=TRUE(),$S244="TRUE"),1,0))</f>
        <v/>
      </c>
      <c r="X244">
        <f>IF($U244=1,IFERROR(IF(VALUE($B244)&lt;100000000,VALUE($B244),1000000000),IFERROR(IF(VALUE(MID($B244,2,20))&lt;100000000,VALUE(MID($B244,2,20)),1000000000),1000000000))+ROW()/100000,"")</f>
        <v/>
      </c>
    </row>
    <row r="245">
      <c r="A245">
        <f>IF($B245="","",IFERROR(IF(INDEX('Per Invoice'!$C$2:$C$401,MATCH($B245,'Per Invoice'!$A$2:$A$401,0))=0,"",INDEX('Per Invoice'!$C$2:$C$401,MATCH($B245,'Per Invoice'!$A$2:$A$401,0))),""))</f>
        <v/>
      </c>
      <c r="G245" s="7">
        <f>IF($B245="","",F245*L245/100)</f>
        <v/>
      </c>
      <c r="K245" s="7" t="n"/>
      <c r="L245" s="7" t="n"/>
      <c r="M245" s="7">
        <f>IF($B245="","",L245*T245/100)</f>
        <v/>
      </c>
      <c r="N245" s="7">
        <f>IF($B245="","",L245-M245)</f>
        <v/>
      </c>
      <c r="O245" s="7">
        <f>IF($B245="","",N245-G245)</f>
        <v/>
      </c>
      <c r="R245" s="14" t="n"/>
      <c r="T245">
        <f>IF($B245="","",IF($W245=1,Settings!$C$6,Settings!$C$7)*100)</f>
        <v/>
      </c>
      <c r="U245">
        <f>IF($B245="","",IF(COUNTIF($B$2:$B245,$B245)=1,1,0))</f>
        <v/>
      </c>
      <c r="V245">
        <f>IF($U245=1,SUMPRODUCT(--($X$2:$X$1501&lt;$X245))+1,"")</f>
        <v/>
      </c>
      <c r="W245">
        <f>IF($B245="","",IF(OR($S245=TRUE(),$S245="TRUE"),1,0))</f>
        <v/>
      </c>
      <c r="X245">
        <f>IF($U245=1,IFERROR(IF(VALUE($B245)&lt;100000000,VALUE($B245),1000000000),IFERROR(IF(VALUE(MID($B245,2,20))&lt;100000000,VALUE(MID($B245,2,20)),1000000000),1000000000))+ROW()/100000,"")</f>
        <v/>
      </c>
    </row>
    <row r="246">
      <c r="A246">
        <f>IF($B246="","",IFERROR(IF(INDEX('Per Invoice'!$C$2:$C$401,MATCH($B246,'Per Invoice'!$A$2:$A$401,0))=0,"",INDEX('Per Invoice'!$C$2:$C$401,MATCH($B246,'Per Invoice'!$A$2:$A$401,0))),""))</f>
        <v/>
      </c>
      <c r="G246" s="7">
        <f>IF($B246="","",F246*L246/100)</f>
        <v/>
      </c>
      <c r="K246" s="7" t="n"/>
      <c r="L246" s="7" t="n"/>
      <c r="M246" s="7">
        <f>IF($B246="","",L246*T246/100)</f>
        <v/>
      </c>
      <c r="N246" s="7">
        <f>IF($B246="","",L246-M246)</f>
        <v/>
      </c>
      <c r="O246" s="7">
        <f>IF($B246="","",N246-G246)</f>
        <v/>
      </c>
      <c r="R246" s="14" t="n"/>
      <c r="T246">
        <f>IF($B246="","",IF($W246=1,Settings!$C$6,Settings!$C$7)*100)</f>
        <v/>
      </c>
      <c r="U246">
        <f>IF($B246="","",IF(COUNTIF($B$2:$B246,$B246)=1,1,0))</f>
        <v/>
      </c>
      <c r="V246">
        <f>IF($U246=1,SUMPRODUCT(--($X$2:$X$1501&lt;$X246))+1,"")</f>
        <v/>
      </c>
      <c r="W246">
        <f>IF($B246="","",IF(OR($S246=TRUE(),$S246="TRUE"),1,0))</f>
        <v/>
      </c>
      <c r="X246">
        <f>IF($U246=1,IFERROR(IF(VALUE($B246)&lt;100000000,VALUE($B246),1000000000),IFERROR(IF(VALUE(MID($B246,2,20))&lt;100000000,VALUE(MID($B246,2,20)),1000000000),1000000000))+ROW()/100000,"")</f>
        <v/>
      </c>
    </row>
    <row r="247">
      <c r="A247">
        <f>IF($B247="","",IFERROR(IF(INDEX('Per Invoice'!$C$2:$C$401,MATCH($B247,'Per Invoice'!$A$2:$A$401,0))=0,"",INDEX('Per Invoice'!$C$2:$C$401,MATCH($B247,'Per Invoice'!$A$2:$A$401,0))),""))</f>
        <v/>
      </c>
      <c r="G247" s="7">
        <f>IF($B247="","",F247*L247/100)</f>
        <v/>
      </c>
      <c r="K247" s="7" t="n"/>
      <c r="L247" s="7" t="n"/>
      <c r="M247" s="7">
        <f>IF($B247="","",L247*T247/100)</f>
        <v/>
      </c>
      <c r="N247" s="7">
        <f>IF($B247="","",L247-M247)</f>
        <v/>
      </c>
      <c r="O247" s="7">
        <f>IF($B247="","",N247-G247)</f>
        <v/>
      </c>
      <c r="R247" s="14" t="n"/>
      <c r="T247">
        <f>IF($B247="","",IF($W247=1,Settings!$C$6,Settings!$C$7)*100)</f>
        <v/>
      </c>
      <c r="U247">
        <f>IF($B247="","",IF(COUNTIF($B$2:$B247,$B247)=1,1,0))</f>
        <v/>
      </c>
      <c r="V247">
        <f>IF($U247=1,SUMPRODUCT(--($X$2:$X$1501&lt;$X247))+1,"")</f>
        <v/>
      </c>
      <c r="W247">
        <f>IF($B247="","",IF(OR($S247=TRUE(),$S247="TRUE"),1,0))</f>
        <v/>
      </c>
      <c r="X247">
        <f>IF($U247=1,IFERROR(IF(VALUE($B247)&lt;100000000,VALUE($B247),1000000000),IFERROR(IF(VALUE(MID($B247,2,20))&lt;100000000,VALUE(MID($B247,2,20)),1000000000),1000000000))+ROW()/100000,"")</f>
        <v/>
      </c>
    </row>
    <row r="248">
      <c r="A248">
        <f>IF($B248="","",IFERROR(IF(INDEX('Per Invoice'!$C$2:$C$401,MATCH($B248,'Per Invoice'!$A$2:$A$401,0))=0,"",INDEX('Per Invoice'!$C$2:$C$401,MATCH($B248,'Per Invoice'!$A$2:$A$401,0))),""))</f>
        <v/>
      </c>
      <c r="G248" s="7">
        <f>IF($B248="","",F248*L248/100)</f>
        <v/>
      </c>
      <c r="K248" s="7" t="n"/>
      <c r="L248" s="7" t="n"/>
      <c r="M248" s="7">
        <f>IF($B248="","",L248*T248/100)</f>
        <v/>
      </c>
      <c r="N248" s="7">
        <f>IF($B248="","",L248-M248)</f>
        <v/>
      </c>
      <c r="O248" s="7">
        <f>IF($B248="","",N248-G248)</f>
        <v/>
      </c>
      <c r="R248" s="14" t="n"/>
      <c r="T248">
        <f>IF($B248="","",IF($W248=1,Settings!$C$6,Settings!$C$7)*100)</f>
        <v/>
      </c>
      <c r="U248">
        <f>IF($B248="","",IF(COUNTIF($B$2:$B248,$B248)=1,1,0))</f>
        <v/>
      </c>
      <c r="V248">
        <f>IF($U248=1,SUMPRODUCT(--($X$2:$X$1501&lt;$X248))+1,"")</f>
        <v/>
      </c>
      <c r="W248">
        <f>IF($B248="","",IF(OR($S248=TRUE(),$S248="TRUE"),1,0))</f>
        <v/>
      </c>
      <c r="X248">
        <f>IF($U248=1,IFERROR(IF(VALUE($B248)&lt;100000000,VALUE($B248),1000000000),IFERROR(IF(VALUE(MID($B248,2,20))&lt;100000000,VALUE(MID($B248,2,20)),1000000000),1000000000))+ROW()/100000,"")</f>
        <v/>
      </c>
    </row>
    <row r="249">
      <c r="A249">
        <f>IF($B249="","",IFERROR(IF(INDEX('Per Invoice'!$C$2:$C$401,MATCH($B249,'Per Invoice'!$A$2:$A$401,0))=0,"",INDEX('Per Invoice'!$C$2:$C$401,MATCH($B249,'Per Invoice'!$A$2:$A$401,0))),""))</f>
        <v/>
      </c>
      <c r="G249" s="7">
        <f>IF($B249="","",F249*L249/100)</f>
        <v/>
      </c>
      <c r="K249" s="7" t="n"/>
      <c r="L249" s="7" t="n"/>
      <c r="M249" s="7">
        <f>IF($B249="","",L249*T249/100)</f>
        <v/>
      </c>
      <c r="N249" s="7">
        <f>IF($B249="","",L249-M249)</f>
        <v/>
      </c>
      <c r="O249" s="7">
        <f>IF($B249="","",N249-G249)</f>
        <v/>
      </c>
      <c r="R249" s="14" t="n"/>
      <c r="T249">
        <f>IF($B249="","",IF($W249=1,Settings!$C$6,Settings!$C$7)*100)</f>
        <v/>
      </c>
      <c r="U249">
        <f>IF($B249="","",IF(COUNTIF($B$2:$B249,$B249)=1,1,0))</f>
        <v/>
      </c>
      <c r="V249">
        <f>IF($U249=1,SUMPRODUCT(--($X$2:$X$1501&lt;$X249))+1,"")</f>
        <v/>
      </c>
      <c r="W249">
        <f>IF($B249="","",IF(OR($S249=TRUE(),$S249="TRUE"),1,0))</f>
        <v/>
      </c>
      <c r="X249">
        <f>IF($U249=1,IFERROR(IF(VALUE($B249)&lt;100000000,VALUE($B249),1000000000),IFERROR(IF(VALUE(MID($B249,2,20))&lt;100000000,VALUE(MID($B249,2,20)),1000000000),1000000000))+ROW()/100000,"")</f>
        <v/>
      </c>
    </row>
    <row r="250">
      <c r="A250">
        <f>IF($B250="","",IFERROR(IF(INDEX('Per Invoice'!$C$2:$C$401,MATCH($B250,'Per Invoice'!$A$2:$A$401,0))=0,"",INDEX('Per Invoice'!$C$2:$C$401,MATCH($B250,'Per Invoice'!$A$2:$A$401,0))),""))</f>
        <v/>
      </c>
      <c r="G250" s="7">
        <f>IF($B250="","",F250*L250/100)</f>
        <v/>
      </c>
      <c r="K250" s="7" t="n"/>
      <c r="L250" s="7" t="n"/>
      <c r="M250" s="7">
        <f>IF($B250="","",L250*T250/100)</f>
        <v/>
      </c>
      <c r="N250" s="7">
        <f>IF($B250="","",L250-M250)</f>
        <v/>
      </c>
      <c r="O250" s="7">
        <f>IF($B250="","",N250-G250)</f>
        <v/>
      </c>
      <c r="R250" s="14" t="n"/>
      <c r="T250">
        <f>IF($B250="","",IF($W250=1,Settings!$C$6,Settings!$C$7)*100)</f>
        <v/>
      </c>
      <c r="U250">
        <f>IF($B250="","",IF(COUNTIF($B$2:$B250,$B250)=1,1,0))</f>
        <v/>
      </c>
      <c r="V250">
        <f>IF($U250=1,SUMPRODUCT(--($X$2:$X$1501&lt;$X250))+1,"")</f>
        <v/>
      </c>
      <c r="W250">
        <f>IF($B250="","",IF(OR($S250=TRUE(),$S250="TRUE"),1,0))</f>
        <v/>
      </c>
      <c r="X250">
        <f>IF($U250=1,IFERROR(IF(VALUE($B250)&lt;100000000,VALUE($B250),1000000000),IFERROR(IF(VALUE(MID($B250,2,20))&lt;100000000,VALUE(MID($B250,2,20)),1000000000),1000000000))+ROW()/100000,"")</f>
        <v/>
      </c>
    </row>
    <row r="251">
      <c r="A251">
        <f>IF($B251="","",IFERROR(IF(INDEX('Per Invoice'!$C$2:$C$401,MATCH($B251,'Per Invoice'!$A$2:$A$401,0))=0,"",INDEX('Per Invoice'!$C$2:$C$401,MATCH($B251,'Per Invoice'!$A$2:$A$401,0))),""))</f>
        <v/>
      </c>
      <c r="G251" s="7">
        <f>IF($B251="","",F251*L251/100)</f>
        <v/>
      </c>
      <c r="K251" s="7" t="n"/>
      <c r="L251" s="7" t="n"/>
      <c r="M251" s="7">
        <f>IF($B251="","",L251*T251/100)</f>
        <v/>
      </c>
      <c r="N251" s="7">
        <f>IF($B251="","",L251-M251)</f>
        <v/>
      </c>
      <c r="O251" s="7">
        <f>IF($B251="","",N251-G251)</f>
        <v/>
      </c>
      <c r="R251" s="14" t="n"/>
      <c r="T251">
        <f>IF($B251="","",IF($W251=1,Settings!$C$6,Settings!$C$7)*100)</f>
        <v/>
      </c>
      <c r="U251">
        <f>IF($B251="","",IF(COUNTIF($B$2:$B251,$B251)=1,1,0))</f>
        <v/>
      </c>
      <c r="V251">
        <f>IF($U251=1,SUMPRODUCT(--($X$2:$X$1501&lt;$X251))+1,"")</f>
        <v/>
      </c>
      <c r="W251">
        <f>IF($B251="","",IF(OR($S251=TRUE(),$S251="TRUE"),1,0))</f>
        <v/>
      </c>
      <c r="X251">
        <f>IF($U251=1,IFERROR(IF(VALUE($B251)&lt;100000000,VALUE($B251),1000000000),IFERROR(IF(VALUE(MID($B251,2,20))&lt;100000000,VALUE(MID($B251,2,20)),1000000000),1000000000))+ROW()/100000,"")</f>
        <v/>
      </c>
    </row>
    <row r="252">
      <c r="A252">
        <f>IF($B252="","",IFERROR(IF(INDEX('Per Invoice'!$C$2:$C$401,MATCH($B252,'Per Invoice'!$A$2:$A$401,0))=0,"",INDEX('Per Invoice'!$C$2:$C$401,MATCH($B252,'Per Invoice'!$A$2:$A$401,0))),""))</f>
        <v/>
      </c>
      <c r="G252" s="7">
        <f>IF($B252="","",F252*L252/100)</f>
        <v/>
      </c>
      <c r="K252" s="7" t="n"/>
      <c r="L252" s="7" t="n"/>
      <c r="M252" s="7">
        <f>IF($B252="","",L252*T252/100)</f>
        <v/>
      </c>
      <c r="N252" s="7">
        <f>IF($B252="","",L252-M252)</f>
        <v/>
      </c>
      <c r="O252" s="7">
        <f>IF($B252="","",N252-G252)</f>
        <v/>
      </c>
      <c r="R252" s="14" t="n"/>
      <c r="T252">
        <f>IF($B252="","",IF($W252=1,Settings!$C$6,Settings!$C$7)*100)</f>
        <v/>
      </c>
      <c r="U252">
        <f>IF($B252="","",IF(COUNTIF($B$2:$B252,$B252)=1,1,0))</f>
        <v/>
      </c>
      <c r="V252">
        <f>IF($U252=1,SUMPRODUCT(--($X$2:$X$1501&lt;$X252))+1,"")</f>
        <v/>
      </c>
      <c r="W252">
        <f>IF($B252="","",IF(OR($S252=TRUE(),$S252="TRUE"),1,0))</f>
        <v/>
      </c>
      <c r="X252">
        <f>IF($U252=1,IFERROR(IF(VALUE($B252)&lt;100000000,VALUE($B252),1000000000),IFERROR(IF(VALUE(MID($B252,2,20))&lt;100000000,VALUE(MID($B252,2,20)),1000000000),1000000000))+ROW()/100000,"")</f>
        <v/>
      </c>
    </row>
    <row r="253">
      <c r="A253">
        <f>IF($B253="","",IFERROR(IF(INDEX('Per Invoice'!$C$2:$C$401,MATCH($B253,'Per Invoice'!$A$2:$A$401,0))=0,"",INDEX('Per Invoice'!$C$2:$C$401,MATCH($B253,'Per Invoice'!$A$2:$A$401,0))),""))</f>
        <v/>
      </c>
      <c r="G253" s="7">
        <f>IF($B253="","",F253*L253/100)</f>
        <v/>
      </c>
      <c r="K253" s="7" t="n"/>
      <c r="L253" s="7" t="n"/>
      <c r="M253" s="7">
        <f>IF($B253="","",L253*T253/100)</f>
        <v/>
      </c>
      <c r="N253" s="7">
        <f>IF($B253="","",L253-M253)</f>
        <v/>
      </c>
      <c r="O253" s="7">
        <f>IF($B253="","",N253-G253)</f>
        <v/>
      </c>
      <c r="R253" s="14" t="n"/>
      <c r="T253">
        <f>IF($B253="","",IF($W253=1,Settings!$C$6,Settings!$C$7)*100)</f>
        <v/>
      </c>
      <c r="U253">
        <f>IF($B253="","",IF(COUNTIF($B$2:$B253,$B253)=1,1,0))</f>
        <v/>
      </c>
      <c r="V253">
        <f>IF($U253=1,SUMPRODUCT(--($X$2:$X$1501&lt;$X253))+1,"")</f>
        <v/>
      </c>
      <c r="W253">
        <f>IF($B253="","",IF(OR($S253=TRUE(),$S253="TRUE"),1,0))</f>
        <v/>
      </c>
      <c r="X253">
        <f>IF($U253=1,IFERROR(IF(VALUE($B253)&lt;100000000,VALUE($B253),1000000000),IFERROR(IF(VALUE(MID($B253,2,20))&lt;100000000,VALUE(MID($B253,2,20)),1000000000),1000000000))+ROW()/100000,"")</f>
        <v/>
      </c>
    </row>
    <row r="254">
      <c r="A254">
        <f>IF($B254="","",IFERROR(IF(INDEX('Per Invoice'!$C$2:$C$401,MATCH($B254,'Per Invoice'!$A$2:$A$401,0))=0,"",INDEX('Per Invoice'!$C$2:$C$401,MATCH($B254,'Per Invoice'!$A$2:$A$401,0))),""))</f>
        <v/>
      </c>
      <c r="G254" s="7">
        <f>IF($B254="","",F254*L254/100)</f>
        <v/>
      </c>
      <c r="K254" s="7" t="n"/>
      <c r="L254" s="7" t="n"/>
      <c r="M254" s="7">
        <f>IF($B254="","",L254*T254/100)</f>
        <v/>
      </c>
      <c r="N254" s="7">
        <f>IF($B254="","",L254-M254)</f>
        <v/>
      </c>
      <c r="O254" s="7">
        <f>IF($B254="","",N254-G254)</f>
        <v/>
      </c>
      <c r="R254" s="14" t="n"/>
      <c r="T254">
        <f>IF($B254="","",IF($W254=1,Settings!$C$6,Settings!$C$7)*100)</f>
        <v/>
      </c>
      <c r="U254">
        <f>IF($B254="","",IF(COUNTIF($B$2:$B254,$B254)=1,1,0))</f>
        <v/>
      </c>
      <c r="V254">
        <f>IF($U254=1,SUMPRODUCT(--($X$2:$X$1501&lt;$X254))+1,"")</f>
        <v/>
      </c>
      <c r="W254">
        <f>IF($B254="","",IF(OR($S254=TRUE(),$S254="TRUE"),1,0))</f>
        <v/>
      </c>
      <c r="X254">
        <f>IF($U254=1,IFERROR(IF(VALUE($B254)&lt;100000000,VALUE($B254),1000000000),IFERROR(IF(VALUE(MID($B254,2,20))&lt;100000000,VALUE(MID($B254,2,20)),1000000000),1000000000))+ROW()/100000,"")</f>
        <v/>
      </c>
    </row>
    <row r="255">
      <c r="A255">
        <f>IF($B255="","",IFERROR(IF(INDEX('Per Invoice'!$C$2:$C$401,MATCH($B255,'Per Invoice'!$A$2:$A$401,0))=0,"",INDEX('Per Invoice'!$C$2:$C$401,MATCH($B255,'Per Invoice'!$A$2:$A$401,0))),""))</f>
        <v/>
      </c>
      <c r="G255" s="7">
        <f>IF($B255="","",F255*L255/100)</f>
        <v/>
      </c>
      <c r="K255" s="7" t="n"/>
      <c r="L255" s="7" t="n"/>
      <c r="M255" s="7">
        <f>IF($B255="","",L255*T255/100)</f>
        <v/>
      </c>
      <c r="N255" s="7">
        <f>IF($B255="","",L255-M255)</f>
        <v/>
      </c>
      <c r="O255" s="7">
        <f>IF($B255="","",N255-G255)</f>
        <v/>
      </c>
      <c r="R255" s="14" t="n"/>
      <c r="T255">
        <f>IF($B255="","",IF($W255=1,Settings!$C$6,Settings!$C$7)*100)</f>
        <v/>
      </c>
      <c r="U255">
        <f>IF($B255="","",IF(COUNTIF($B$2:$B255,$B255)=1,1,0))</f>
        <v/>
      </c>
      <c r="V255">
        <f>IF($U255=1,SUMPRODUCT(--($X$2:$X$1501&lt;$X255))+1,"")</f>
        <v/>
      </c>
      <c r="W255">
        <f>IF($B255="","",IF(OR($S255=TRUE(),$S255="TRUE"),1,0))</f>
        <v/>
      </c>
      <c r="X255">
        <f>IF($U255=1,IFERROR(IF(VALUE($B255)&lt;100000000,VALUE($B255),1000000000),IFERROR(IF(VALUE(MID($B255,2,20))&lt;100000000,VALUE(MID($B255,2,20)),1000000000),1000000000))+ROW()/100000,"")</f>
        <v/>
      </c>
    </row>
    <row r="256">
      <c r="A256">
        <f>IF($B256="","",IFERROR(IF(INDEX('Per Invoice'!$C$2:$C$401,MATCH($B256,'Per Invoice'!$A$2:$A$401,0))=0,"",INDEX('Per Invoice'!$C$2:$C$401,MATCH($B256,'Per Invoice'!$A$2:$A$401,0))),""))</f>
        <v/>
      </c>
      <c r="G256" s="7">
        <f>IF($B256="","",F256*L256/100)</f>
        <v/>
      </c>
      <c r="K256" s="7" t="n"/>
      <c r="L256" s="7" t="n"/>
      <c r="M256" s="7">
        <f>IF($B256="","",L256*T256/100)</f>
        <v/>
      </c>
      <c r="N256" s="7">
        <f>IF($B256="","",L256-M256)</f>
        <v/>
      </c>
      <c r="O256" s="7">
        <f>IF($B256="","",N256-G256)</f>
        <v/>
      </c>
      <c r="R256" s="14" t="n"/>
      <c r="T256">
        <f>IF($B256="","",IF($W256=1,Settings!$C$6,Settings!$C$7)*100)</f>
        <v/>
      </c>
      <c r="U256">
        <f>IF($B256="","",IF(COUNTIF($B$2:$B256,$B256)=1,1,0))</f>
        <v/>
      </c>
      <c r="V256">
        <f>IF($U256=1,SUMPRODUCT(--($X$2:$X$1501&lt;$X256))+1,"")</f>
        <v/>
      </c>
      <c r="W256">
        <f>IF($B256="","",IF(OR($S256=TRUE(),$S256="TRUE"),1,0))</f>
        <v/>
      </c>
      <c r="X256">
        <f>IF($U256=1,IFERROR(IF(VALUE($B256)&lt;100000000,VALUE($B256),1000000000),IFERROR(IF(VALUE(MID($B256,2,20))&lt;100000000,VALUE(MID($B256,2,20)),1000000000),1000000000))+ROW()/100000,"")</f>
        <v/>
      </c>
    </row>
    <row r="257">
      <c r="A257">
        <f>IF($B257="","",IFERROR(IF(INDEX('Per Invoice'!$C$2:$C$401,MATCH($B257,'Per Invoice'!$A$2:$A$401,0))=0,"",INDEX('Per Invoice'!$C$2:$C$401,MATCH($B257,'Per Invoice'!$A$2:$A$401,0))),""))</f>
        <v/>
      </c>
      <c r="G257" s="7">
        <f>IF($B257="","",F257*L257/100)</f>
        <v/>
      </c>
      <c r="K257" s="7" t="n"/>
      <c r="L257" s="7" t="n"/>
      <c r="M257" s="7">
        <f>IF($B257="","",L257*T257/100)</f>
        <v/>
      </c>
      <c r="N257" s="7">
        <f>IF($B257="","",L257-M257)</f>
        <v/>
      </c>
      <c r="O257" s="7">
        <f>IF($B257="","",N257-G257)</f>
        <v/>
      </c>
      <c r="R257" s="14" t="n"/>
      <c r="T257">
        <f>IF($B257="","",IF($W257=1,Settings!$C$6,Settings!$C$7)*100)</f>
        <v/>
      </c>
      <c r="U257">
        <f>IF($B257="","",IF(COUNTIF($B$2:$B257,$B257)=1,1,0))</f>
        <v/>
      </c>
      <c r="V257">
        <f>IF($U257=1,SUMPRODUCT(--($X$2:$X$1501&lt;$X257))+1,"")</f>
        <v/>
      </c>
      <c r="W257">
        <f>IF($B257="","",IF(OR($S257=TRUE(),$S257="TRUE"),1,0))</f>
        <v/>
      </c>
      <c r="X257">
        <f>IF($U257=1,IFERROR(IF(VALUE($B257)&lt;100000000,VALUE($B257),1000000000),IFERROR(IF(VALUE(MID($B257,2,20))&lt;100000000,VALUE(MID($B257,2,20)),1000000000),1000000000))+ROW()/100000,"")</f>
        <v/>
      </c>
    </row>
    <row r="258">
      <c r="A258">
        <f>IF($B258="","",IFERROR(IF(INDEX('Per Invoice'!$C$2:$C$401,MATCH($B258,'Per Invoice'!$A$2:$A$401,0))=0,"",INDEX('Per Invoice'!$C$2:$C$401,MATCH($B258,'Per Invoice'!$A$2:$A$401,0))),""))</f>
        <v/>
      </c>
      <c r="G258" s="7">
        <f>IF($B258="","",F258*L258/100)</f>
        <v/>
      </c>
      <c r="K258" s="7" t="n"/>
      <c r="L258" s="7" t="n"/>
      <c r="M258" s="7">
        <f>IF($B258="","",L258*T258/100)</f>
        <v/>
      </c>
      <c r="N258" s="7">
        <f>IF($B258="","",L258-M258)</f>
        <v/>
      </c>
      <c r="O258" s="7">
        <f>IF($B258="","",N258-G258)</f>
        <v/>
      </c>
      <c r="R258" s="14" t="n"/>
      <c r="T258">
        <f>IF($B258="","",IF($W258=1,Settings!$C$6,Settings!$C$7)*100)</f>
        <v/>
      </c>
      <c r="U258">
        <f>IF($B258="","",IF(COUNTIF($B$2:$B258,$B258)=1,1,0))</f>
        <v/>
      </c>
      <c r="V258">
        <f>IF($U258=1,SUMPRODUCT(--($X$2:$X$1501&lt;$X258))+1,"")</f>
        <v/>
      </c>
      <c r="W258">
        <f>IF($B258="","",IF(OR($S258=TRUE(),$S258="TRUE"),1,0))</f>
        <v/>
      </c>
      <c r="X258">
        <f>IF($U258=1,IFERROR(IF(VALUE($B258)&lt;100000000,VALUE($B258),1000000000),IFERROR(IF(VALUE(MID($B258,2,20))&lt;100000000,VALUE(MID($B258,2,20)),1000000000),1000000000))+ROW()/100000,"")</f>
        <v/>
      </c>
    </row>
    <row r="259">
      <c r="A259">
        <f>IF($B259="","",IFERROR(IF(INDEX('Per Invoice'!$C$2:$C$401,MATCH($B259,'Per Invoice'!$A$2:$A$401,0))=0,"",INDEX('Per Invoice'!$C$2:$C$401,MATCH($B259,'Per Invoice'!$A$2:$A$401,0))),""))</f>
        <v/>
      </c>
      <c r="G259" s="7">
        <f>IF($B259="","",F259*L259/100)</f>
        <v/>
      </c>
      <c r="K259" s="7" t="n"/>
      <c r="L259" s="7" t="n"/>
      <c r="M259" s="7">
        <f>IF($B259="","",L259*T259/100)</f>
        <v/>
      </c>
      <c r="N259" s="7">
        <f>IF($B259="","",L259-M259)</f>
        <v/>
      </c>
      <c r="O259" s="7">
        <f>IF($B259="","",N259-G259)</f>
        <v/>
      </c>
      <c r="R259" s="14" t="n"/>
      <c r="T259">
        <f>IF($B259="","",IF($W259=1,Settings!$C$6,Settings!$C$7)*100)</f>
        <v/>
      </c>
      <c r="U259">
        <f>IF($B259="","",IF(COUNTIF($B$2:$B259,$B259)=1,1,0))</f>
        <v/>
      </c>
      <c r="V259">
        <f>IF($U259=1,SUMPRODUCT(--($X$2:$X$1501&lt;$X259))+1,"")</f>
        <v/>
      </c>
      <c r="W259">
        <f>IF($B259="","",IF(OR($S259=TRUE(),$S259="TRUE"),1,0))</f>
        <v/>
      </c>
      <c r="X259">
        <f>IF($U259=1,IFERROR(IF(VALUE($B259)&lt;100000000,VALUE($B259),1000000000),IFERROR(IF(VALUE(MID($B259,2,20))&lt;100000000,VALUE(MID($B259,2,20)),1000000000),1000000000))+ROW()/100000,"")</f>
        <v/>
      </c>
    </row>
    <row r="260">
      <c r="A260">
        <f>IF($B260="","",IFERROR(IF(INDEX('Per Invoice'!$C$2:$C$401,MATCH($B260,'Per Invoice'!$A$2:$A$401,0))=0,"",INDEX('Per Invoice'!$C$2:$C$401,MATCH($B260,'Per Invoice'!$A$2:$A$401,0))),""))</f>
        <v/>
      </c>
      <c r="G260" s="7">
        <f>IF($B260="","",F260*L260/100)</f>
        <v/>
      </c>
      <c r="K260" s="7" t="n"/>
      <c r="L260" s="7" t="n"/>
      <c r="M260" s="7">
        <f>IF($B260="","",L260*T260/100)</f>
        <v/>
      </c>
      <c r="N260" s="7">
        <f>IF($B260="","",L260-M260)</f>
        <v/>
      </c>
      <c r="O260" s="7">
        <f>IF($B260="","",N260-G260)</f>
        <v/>
      </c>
      <c r="R260" s="14" t="n"/>
      <c r="T260">
        <f>IF($B260="","",IF($W260=1,Settings!$C$6,Settings!$C$7)*100)</f>
        <v/>
      </c>
      <c r="U260">
        <f>IF($B260="","",IF(COUNTIF($B$2:$B260,$B260)=1,1,0))</f>
        <v/>
      </c>
      <c r="V260">
        <f>IF($U260=1,SUMPRODUCT(--($X$2:$X$1501&lt;$X260))+1,"")</f>
        <v/>
      </c>
      <c r="W260">
        <f>IF($B260="","",IF(OR($S260=TRUE(),$S260="TRUE"),1,0))</f>
        <v/>
      </c>
      <c r="X260">
        <f>IF($U260=1,IFERROR(IF(VALUE($B260)&lt;100000000,VALUE($B260),1000000000),IFERROR(IF(VALUE(MID($B260,2,20))&lt;100000000,VALUE(MID($B260,2,20)),1000000000),1000000000))+ROW()/100000,"")</f>
        <v/>
      </c>
    </row>
    <row r="261">
      <c r="A261">
        <f>IF($B261="","",IFERROR(IF(INDEX('Per Invoice'!$C$2:$C$401,MATCH($B261,'Per Invoice'!$A$2:$A$401,0))=0,"",INDEX('Per Invoice'!$C$2:$C$401,MATCH($B261,'Per Invoice'!$A$2:$A$401,0))),""))</f>
        <v/>
      </c>
      <c r="G261" s="7">
        <f>IF($B261="","",F261*L261/100)</f>
        <v/>
      </c>
      <c r="K261" s="7" t="n"/>
      <c r="L261" s="7" t="n"/>
      <c r="M261" s="7">
        <f>IF($B261="","",L261*T261/100)</f>
        <v/>
      </c>
      <c r="N261" s="7">
        <f>IF($B261="","",L261-M261)</f>
        <v/>
      </c>
      <c r="O261" s="7">
        <f>IF($B261="","",N261-G261)</f>
        <v/>
      </c>
      <c r="R261" s="14" t="n"/>
      <c r="T261">
        <f>IF($B261="","",IF($W261=1,Settings!$C$6,Settings!$C$7)*100)</f>
        <v/>
      </c>
      <c r="U261">
        <f>IF($B261="","",IF(COUNTIF($B$2:$B261,$B261)=1,1,0))</f>
        <v/>
      </c>
      <c r="V261">
        <f>IF($U261=1,SUMPRODUCT(--($X$2:$X$1501&lt;$X261))+1,"")</f>
        <v/>
      </c>
      <c r="W261">
        <f>IF($B261="","",IF(OR($S261=TRUE(),$S261="TRUE"),1,0))</f>
        <v/>
      </c>
      <c r="X261">
        <f>IF($U261=1,IFERROR(IF(VALUE($B261)&lt;100000000,VALUE($B261),1000000000),IFERROR(IF(VALUE(MID($B261,2,20))&lt;100000000,VALUE(MID($B261,2,20)),1000000000),1000000000))+ROW()/100000,"")</f>
        <v/>
      </c>
    </row>
    <row r="262">
      <c r="A262">
        <f>IF($B262="","",IFERROR(IF(INDEX('Per Invoice'!$C$2:$C$401,MATCH($B262,'Per Invoice'!$A$2:$A$401,0))=0,"",INDEX('Per Invoice'!$C$2:$C$401,MATCH($B262,'Per Invoice'!$A$2:$A$401,0))),""))</f>
        <v/>
      </c>
      <c r="G262" s="7">
        <f>IF($B262="","",F262*L262/100)</f>
        <v/>
      </c>
      <c r="K262" s="7" t="n"/>
      <c r="L262" s="7" t="n"/>
      <c r="M262" s="7">
        <f>IF($B262="","",L262*T262/100)</f>
        <v/>
      </c>
      <c r="N262" s="7">
        <f>IF($B262="","",L262-M262)</f>
        <v/>
      </c>
      <c r="O262" s="7">
        <f>IF($B262="","",N262-G262)</f>
        <v/>
      </c>
      <c r="R262" s="14" t="n"/>
      <c r="T262">
        <f>IF($B262="","",IF($W262=1,Settings!$C$6,Settings!$C$7)*100)</f>
        <v/>
      </c>
      <c r="U262">
        <f>IF($B262="","",IF(COUNTIF($B$2:$B262,$B262)=1,1,0))</f>
        <v/>
      </c>
      <c r="V262">
        <f>IF($U262=1,SUMPRODUCT(--($X$2:$X$1501&lt;$X262))+1,"")</f>
        <v/>
      </c>
      <c r="W262">
        <f>IF($B262="","",IF(OR($S262=TRUE(),$S262="TRUE"),1,0))</f>
        <v/>
      </c>
      <c r="X262">
        <f>IF($U262=1,IFERROR(IF(VALUE($B262)&lt;100000000,VALUE($B262),1000000000),IFERROR(IF(VALUE(MID($B262,2,20))&lt;100000000,VALUE(MID($B262,2,20)),1000000000),1000000000))+ROW()/100000,"")</f>
        <v/>
      </c>
    </row>
    <row r="263">
      <c r="A263">
        <f>IF($B263="","",IFERROR(IF(INDEX('Per Invoice'!$C$2:$C$401,MATCH($B263,'Per Invoice'!$A$2:$A$401,0))=0,"",INDEX('Per Invoice'!$C$2:$C$401,MATCH($B263,'Per Invoice'!$A$2:$A$401,0))),""))</f>
        <v/>
      </c>
      <c r="G263" s="7">
        <f>IF($B263="","",F263*L263/100)</f>
        <v/>
      </c>
      <c r="K263" s="7" t="n"/>
      <c r="L263" s="7" t="n"/>
      <c r="M263" s="7">
        <f>IF($B263="","",L263*T263/100)</f>
        <v/>
      </c>
      <c r="N263" s="7">
        <f>IF($B263="","",L263-M263)</f>
        <v/>
      </c>
      <c r="O263" s="7">
        <f>IF($B263="","",N263-G263)</f>
        <v/>
      </c>
      <c r="R263" s="14" t="n"/>
      <c r="T263">
        <f>IF($B263="","",IF($W263=1,Settings!$C$6,Settings!$C$7)*100)</f>
        <v/>
      </c>
      <c r="U263">
        <f>IF($B263="","",IF(COUNTIF($B$2:$B263,$B263)=1,1,0))</f>
        <v/>
      </c>
      <c r="V263">
        <f>IF($U263=1,SUMPRODUCT(--($X$2:$X$1501&lt;$X263))+1,"")</f>
        <v/>
      </c>
      <c r="W263">
        <f>IF($B263="","",IF(OR($S263=TRUE(),$S263="TRUE"),1,0))</f>
        <v/>
      </c>
      <c r="X263">
        <f>IF($U263=1,IFERROR(IF(VALUE($B263)&lt;100000000,VALUE($B263),1000000000),IFERROR(IF(VALUE(MID($B263,2,20))&lt;100000000,VALUE(MID($B263,2,20)),1000000000),1000000000))+ROW()/100000,"")</f>
        <v/>
      </c>
    </row>
    <row r="264">
      <c r="A264">
        <f>IF($B264="","",IFERROR(IF(INDEX('Per Invoice'!$C$2:$C$401,MATCH($B264,'Per Invoice'!$A$2:$A$401,0))=0,"",INDEX('Per Invoice'!$C$2:$C$401,MATCH($B264,'Per Invoice'!$A$2:$A$401,0))),""))</f>
        <v/>
      </c>
      <c r="G264" s="7">
        <f>IF($B264="","",F264*L264/100)</f>
        <v/>
      </c>
      <c r="K264" s="7" t="n"/>
      <c r="L264" s="7" t="n"/>
      <c r="M264" s="7">
        <f>IF($B264="","",L264*T264/100)</f>
        <v/>
      </c>
      <c r="N264" s="7">
        <f>IF($B264="","",L264-M264)</f>
        <v/>
      </c>
      <c r="O264" s="7">
        <f>IF($B264="","",N264-G264)</f>
        <v/>
      </c>
      <c r="R264" s="14" t="n"/>
      <c r="T264">
        <f>IF($B264="","",IF($W264=1,Settings!$C$6,Settings!$C$7)*100)</f>
        <v/>
      </c>
      <c r="U264">
        <f>IF($B264="","",IF(COUNTIF($B$2:$B264,$B264)=1,1,0))</f>
        <v/>
      </c>
      <c r="V264">
        <f>IF($U264=1,SUMPRODUCT(--($X$2:$X$1501&lt;$X264))+1,"")</f>
        <v/>
      </c>
      <c r="W264">
        <f>IF($B264="","",IF(OR($S264=TRUE(),$S264="TRUE"),1,0))</f>
        <v/>
      </c>
      <c r="X264">
        <f>IF($U264=1,IFERROR(IF(VALUE($B264)&lt;100000000,VALUE($B264),1000000000),IFERROR(IF(VALUE(MID($B264,2,20))&lt;100000000,VALUE(MID($B264,2,20)),1000000000),1000000000))+ROW()/100000,"")</f>
        <v/>
      </c>
    </row>
    <row r="265">
      <c r="A265">
        <f>IF($B265="","",IFERROR(IF(INDEX('Per Invoice'!$C$2:$C$401,MATCH($B265,'Per Invoice'!$A$2:$A$401,0))=0,"",INDEX('Per Invoice'!$C$2:$C$401,MATCH($B265,'Per Invoice'!$A$2:$A$401,0))),""))</f>
        <v/>
      </c>
      <c r="G265" s="7">
        <f>IF($B265="","",F265*L265/100)</f>
        <v/>
      </c>
      <c r="K265" s="7" t="n"/>
      <c r="L265" s="7" t="n"/>
      <c r="M265" s="7">
        <f>IF($B265="","",L265*T265/100)</f>
        <v/>
      </c>
      <c r="N265" s="7">
        <f>IF($B265="","",L265-M265)</f>
        <v/>
      </c>
      <c r="O265" s="7">
        <f>IF($B265="","",N265-G265)</f>
        <v/>
      </c>
      <c r="R265" s="14" t="n"/>
      <c r="T265">
        <f>IF($B265="","",IF($W265=1,Settings!$C$6,Settings!$C$7)*100)</f>
        <v/>
      </c>
      <c r="U265">
        <f>IF($B265="","",IF(COUNTIF($B$2:$B265,$B265)=1,1,0))</f>
        <v/>
      </c>
      <c r="V265">
        <f>IF($U265=1,SUMPRODUCT(--($X$2:$X$1501&lt;$X265))+1,"")</f>
        <v/>
      </c>
      <c r="W265">
        <f>IF($B265="","",IF(OR($S265=TRUE(),$S265="TRUE"),1,0))</f>
        <v/>
      </c>
      <c r="X265">
        <f>IF($U265=1,IFERROR(IF(VALUE($B265)&lt;100000000,VALUE($B265),1000000000),IFERROR(IF(VALUE(MID($B265,2,20))&lt;100000000,VALUE(MID($B265,2,20)),1000000000),1000000000))+ROW()/100000,"")</f>
        <v/>
      </c>
    </row>
    <row r="266">
      <c r="A266">
        <f>IF($B266="","",IFERROR(IF(INDEX('Per Invoice'!$C$2:$C$401,MATCH($B266,'Per Invoice'!$A$2:$A$401,0))=0,"",INDEX('Per Invoice'!$C$2:$C$401,MATCH($B266,'Per Invoice'!$A$2:$A$401,0))),""))</f>
        <v/>
      </c>
      <c r="G266" s="7">
        <f>IF($B266="","",F266*L266/100)</f>
        <v/>
      </c>
      <c r="K266" s="7" t="n"/>
      <c r="L266" s="7" t="n"/>
      <c r="M266" s="7">
        <f>IF($B266="","",L266*T266/100)</f>
        <v/>
      </c>
      <c r="N266" s="7">
        <f>IF($B266="","",L266-M266)</f>
        <v/>
      </c>
      <c r="O266" s="7">
        <f>IF($B266="","",N266-G266)</f>
        <v/>
      </c>
      <c r="R266" s="14" t="n"/>
      <c r="T266">
        <f>IF($B266="","",IF($W266=1,Settings!$C$6,Settings!$C$7)*100)</f>
        <v/>
      </c>
      <c r="U266">
        <f>IF($B266="","",IF(COUNTIF($B$2:$B266,$B266)=1,1,0))</f>
        <v/>
      </c>
      <c r="V266">
        <f>IF($U266=1,SUMPRODUCT(--($X$2:$X$1501&lt;$X266))+1,"")</f>
        <v/>
      </c>
      <c r="W266">
        <f>IF($B266="","",IF(OR($S266=TRUE(),$S266="TRUE"),1,0))</f>
        <v/>
      </c>
      <c r="X266">
        <f>IF($U266=1,IFERROR(IF(VALUE($B266)&lt;100000000,VALUE($B266),1000000000),IFERROR(IF(VALUE(MID($B266,2,20))&lt;100000000,VALUE(MID($B266,2,20)),1000000000),1000000000))+ROW()/100000,"")</f>
        <v/>
      </c>
    </row>
    <row r="267">
      <c r="A267">
        <f>IF($B267="","",IFERROR(IF(INDEX('Per Invoice'!$C$2:$C$401,MATCH($B267,'Per Invoice'!$A$2:$A$401,0))=0,"",INDEX('Per Invoice'!$C$2:$C$401,MATCH($B267,'Per Invoice'!$A$2:$A$401,0))),""))</f>
        <v/>
      </c>
      <c r="G267" s="7">
        <f>IF($B267="","",F267*L267/100)</f>
        <v/>
      </c>
      <c r="K267" s="7" t="n"/>
      <c r="L267" s="7" t="n"/>
      <c r="M267" s="7">
        <f>IF($B267="","",L267*T267/100)</f>
        <v/>
      </c>
      <c r="N267" s="7">
        <f>IF($B267="","",L267-M267)</f>
        <v/>
      </c>
      <c r="O267" s="7">
        <f>IF($B267="","",N267-G267)</f>
        <v/>
      </c>
      <c r="R267" s="14" t="n"/>
      <c r="T267">
        <f>IF($B267="","",IF($W267=1,Settings!$C$6,Settings!$C$7)*100)</f>
        <v/>
      </c>
      <c r="U267">
        <f>IF($B267="","",IF(COUNTIF($B$2:$B267,$B267)=1,1,0))</f>
        <v/>
      </c>
      <c r="V267">
        <f>IF($U267=1,SUMPRODUCT(--($X$2:$X$1501&lt;$X267))+1,"")</f>
        <v/>
      </c>
      <c r="W267">
        <f>IF($B267="","",IF(OR($S267=TRUE(),$S267="TRUE"),1,0))</f>
        <v/>
      </c>
      <c r="X267">
        <f>IF($U267=1,IFERROR(IF(VALUE($B267)&lt;100000000,VALUE($B267),1000000000),IFERROR(IF(VALUE(MID($B267,2,20))&lt;100000000,VALUE(MID($B267,2,20)),1000000000),1000000000))+ROW()/100000,"")</f>
        <v/>
      </c>
    </row>
    <row r="268">
      <c r="A268">
        <f>IF($B268="","",IFERROR(IF(INDEX('Per Invoice'!$C$2:$C$401,MATCH($B268,'Per Invoice'!$A$2:$A$401,0))=0,"",INDEX('Per Invoice'!$C$2:$C$401,MATCH($B268,'Per Invoice'!$A$2:$A$401,0))),""))</f>
        <v/>
      </c>
      <c r="G268" s="7">
        <f>IF($B268="","",F268*L268/100)</f>
        <v/>
      </c>
      <c r="K268" s="7" t="n"/>
      <c r="L268" s="7" t="n"/>
      <c r="M268" s="7">
        <f>IF($B268="","",L268*T268/100)</f>
        <v/>
      </c>
      <c r="N268" s="7">
        <f>IF($B268="","",L268-M268)</f>
        <v/>
      </c>
      <c r="O268" s="7">
        <f>IF($B268="","",N268-G268)</f>
        <v/>
      </c>
      <c r="R268" s="14" t="n"/>
      <c r="T268">
        <f>IF($B268="","",IF($W268=1,Settings!$C$6,Settings!$C$7)*100)</f>
        <v/>
      </c>
      <c r="U268">
        <f>IF($B268="","",IF(COUNTIF($B$2:$B268,$B268)=1,1,0))</f>
        <v/>
      </c>
      <c r="V268">
        <f>IF($U268=1,SUMPRODUCT(--($X$2:$X$1501&lt;$X268))+1,"")</f>
        <v/>
      </c>
      <c r="W268">
        <f>IF($B268="","",IF(OR($S268=TRUE(),$S268="TRUE"),1,0))</f>
        <v/>
      </c>
      <c r="X268">
        <f>IF($U268=1,IFERROR(IF(VALUE($B268)&lt;100000000,VALUE($B268),1000000000),IFERROR(IF(VALUE(MID($B268,2,20))&lt;100000000,VALUE(MID($B268,2,20)),1000000000),1000000000))+ROW()/100000,"")</f>
        <v/>
      </c>
    </row>
    <row r="269">
      <c r="A269">
        <f>IF($B269="","",IFERROR(IF(INDEX('Per Invoice'!$C$2:$C$401,MATCH($B269,'Per Invoice'!$A$2:$A$401,0))=0,"",INDEX('Per Invoice'!$C$2:$C$401,MATCH($B269,'Per Invoice'!$A$2:$A$401,0))),""))</f>
        <v/>
      </c>
      <c r="G269" s="7">
        <f>IF($B269="","",F269*L269/100)</f>
        <v/>
      </c>
      <c r="K269" s="7" t="n"/>
      <c r="L269" s="7" t="n"/>
      <c r="M269" s="7">
        <f>IF($B269="","",L269*T269/100)</f>
        <v/>
      </c>
      <c r="N269" s="7">
        <f>IF($B269="","",L269-M269)</f>
        <v/>
      </c>
      <c r="O269" s="7">
        <f>IF($B269="","",N269-G269)</f>
        <v/>
      </c>
      <c r="R269" s="14" t="n"/>
      <c r="T269">
        <f>IF($B269="","",IF($W269=1,Settings!$C$6,Settings!$C$7)*100)</f>
        <v/>
      </c>
      <c r="U269">
        <f>IF($B269="","",IF(COUNTIF($B$2:$B269,$B269)=1,1,0))</f>
        <v/>
      </c>
      <c r="V269">
        <f>IF($U269=1,SUMPRODUCT(--($X$2:$X$1501&lt;$X269))+1,"")</f>
        <v/>
      </c>
      <c r="W269">
        <f>IF($B269="","",IF(OR($S269=TRUE(),$S269="TRUE"),1,0))</f>
        <v/>
      </c>
      <c r="X269">
        <f>IF($U269=1,IFERROR(IF(VALUE($B269)&lt;100000000,VALUE($B269),1000000000),IFERROR(IF(VALUE(MID($B269,2,20))&lt;100000000,VALUE(MID($B269,2,20)),1000000000),1000000000))+ROW()/100000,"")</f>
        <v/>
      </c>
    </row>
    <row r="270">
      <c r="A270">
        <f>IF($B270="","",IFERROR(IF(INDEX('Per Invoice'!$C$2:$C$401,MATCH($B270,'Per Invoice'!$A$2:$A$401,0))=0,"",INDEX('Per Invoice'!$C$2:$C$401,MATCH($B270,'Per Invoice'!$A$2:$A$401,0))),""))</f>
        <v/>
      </c>
      <c r="G270" s="7">
        <f>IF($B270="","",F270*L270/100)</f>
        <v/>
      </c>
      <c r="K270" s="7" t="n"/>
      <c r="L270" s="7" t="n"/>
      <c r="M270" s="7">
        <f>IF($B270="","",L270*T270/100)</f>
        <v/>
      </c>
      <c r="N270" s="7">
        <f>IF($B270="","",L270-M270)</f>
        <v/>
      </c>
      <c r="O270" s="7">
        <f>IF($B270="","",N270-G270)</f>
        <v/>
      </c>
      <c r="R270" s="14" t="n"/>
      <c r="T270">
        <f>IF($B270="","",IF($W270=1,Settings!$C$6,Settings!$C$7)*100)</f>
        <v/>
      </c>
      <c r="U270">
        <f>IF($B270="","",IF(COUNTIF($B$2:$B270,$B270)=1,1,0))</f>
        <v/>
      </c>
      <c r="V270">
        <f>IF($U270=1,SUMPRODUCT(--($X$2:$X$1501&lt;$X270))+1,"")</f>
        <v/>
      </c>
      <c r="W270">
        <f>IF($B270="","",IF(OR($S270=TRUE(),$S270="TRUE"),1,0))</f>
        <v/>
      </c>
      <c r="X270">
        <f>IF($U270=1,IFERROR(IF(VALUE($B270)&lt;100000000,VALUE($B270),1000000000),IFERROR(IF(VALUE(MID($B270,2,20))&lt;100000000,VALUE(MID($B270,2,20)),1000000000),1000000000))+ROW()/100000,"")</f>
        <v/>
      </c>
    </row>
    <row r="271">
      <c r="A271">
        <f>IF($B271="","",IFERROR(IF(INDEX('Per Invoice'!$C$2:$C$401,MATCH($B271,'Per Invoice'!$A$2:$A$401,0))=0,"",INDEX('Per Invoice'!$C$2:$C$401,MATCH($B271,'Per Invoice'!$A$2:$A$401,0))),""))</f>
        <v/>
      </c>
      <c r="G271" s="7">
        <f>IF($B271="","",F271*L271/100)</f>
        <v/>
      </c>
      <c r="K271" s="7" t="n"/>
      <c r="L271" s="7" t="n"/>
      <c r="M271" s="7">
        <f>IF($B271="","",L271*T271/100)</f>
        <v/>
      </c>
      <c r="N271" s="7">
        <f>IF($B271="","",L271-M271)</f>
        <v/>
      </c>
      <c r="O271" s="7">
        <f>IF($B271="","",N271-G271)</f>
        <v/>
      </c>
      <c r="R271" s="14" t="n"/>
      <c r="T271">
        <f>IF($B271="","",IF($W271=1,Settings!$C$6,Settings!$C$7)*100)</f>
        <v/>
      </c>
      <c r="U271">
        <f>IF($B271="","",IF(COUNTIF($B$2:$B271,$B271)=1,1,0))</f>
        <v/>
      </c>
      <c r="V271">
        <f>IF($U271=1,SUMPRODUCT(--($X$2:$X$1501&lt;$X271))+1,"")</f>
        <v/>
      </c>
      <c r="W271">
        <f>IF($B271="","",IF(OR($S271=TRUE(),$S271="TRUE"),1,0))</f>
        <v/>
      </c>
      <c r="X271">
        <f>IF($U271=1,IFERROR(IF(VALUE($B271)&lt;100000000,VALUE($B271),1000000000),IFERROR(IF(VALUE(MID($B271,2,20))&lt;100000000,VALUE(MID($B271,2,20)),1000000000),1000000000))+ROW()/100000,"")</f>
        <v/>
      </c>
    </row>
    <row r="272">
      <c r="A272">
        <f>IF($B272="","",IFERROR(IF(INDEX('Per Invoice'!$C$2:$C$401,MATCH($B272,'Per Invoice'!$A$2:$A$401,0))=0,"",INDEX('Per Invoice'!$C$2:$C$401,MATCH($B272,'Per Invoice'!$A$2:$A$401,0))),""))</f>
        <v/>
      </c>
      <c r="G272" s="7">
        <f>IF($B272="","",F272*L272/100)</f>
        <v/>
      </c>
      <c r="K272" s="7" t="n"/>
      <c r="L272" s="7" t="n"/>
      <c r="M272" s="7">
        <f>IF($B272="","",L272*T272/100)</f>
        <v/>
      </c>
      <c r="N272" s="7">
        <f>IF($B272="","",L272-M272)</f>
        <v/>
      </c>
      <c r="O272" s="7">
        <f>IF($B272="","",N272-G272)</f>
        <v/>
      </c>
      <c r="R272" s="14" t="n"/>
      <c r="T272">
        <f>IF($B272="","",IF($W272=1,Settings!$C$6,Settings!$C$7)*100)</f>
        <v/>
      </c>
      <c r="U272">
        <f>IF($B272="","",IF(COUNTIF($B$2:$B272,$B272)=1,1,0))</f>
        <v/>
      </c>
      <c r="V272">
        <f>IF($U272=1,SUMPRODUCT(--($X$2:$X$1501&lt;$X272))+1,"")</f>
        <v/>
      </c>
      <c r="W272">
        <f>IF($B272="","",IF(OR($S272=TRUE(),$S272="TRUE"),1,0))</f>
        <v/>
      </c>
      <c r="X272">
        <f>IF($U272=1,IFERROR(IF(VALUE($B272)&lt;100000000,VALUE($B272),1000000000),IFERROR(IF(VALUE(MID($B272,2,20))&lt;100000000,VALUE(MID($B272,2,20)),1000000000),1000000000))+ROW()/100000,"")</f>
        <v/>
      </c>
    </row>
    <row r="273">
      <c r="A273">
        <f>IF($B273="","",IFERROR(IF(INDEX('Per Invoice'!$C$2:$C$401,MATCH($B273,'Per Invoice'!$A$2:$A$401,0))=0,"",INDEX('Per Invoice'!$C$2:$C$401,MATCH($B273,'Per Invoice'!$A$2:$A$401,0))),""))</f>
        <v/>
      </c>
      <c r="G273" s="7">
        <f>IF($B273="","",F273*L273/100)</f>
        <v/>
      </c>
      <c r="K273" s="7" t="n"/>
      <c r="L273" s="7" t="n"/>
      <c r="M273" s="7">
        <f>IF($B273="","",L273*T273/100)</f>
        <v/>
      </c>
      <c r="N273" s="7">
        <f>IF($B273="","",L273-M273)</f>
        <v/>
      </c>
      <c r="O273" s="7">
        <f>IF($B273="","",N273-G273)</f>
        <v/>
      </c>
      <c r="R273" s="14" t="n"/>
      <c r="T273">
        <f>IF($B273="","",IF($W273=1,Settings!$C$6,Settings!$C$7)*100)</f>
        <v/>
      </c>
      <c r="U273">
        <f>IF($B273="","",IF(COUNTIF($B$2:$B273,$B273)=1,1,0))</f>
        <v/>
      </c>
      <c r="V273">
        <f>IF($U273=1,SUMPRODUCT(--($X$2:$X$1501&lt;$X273))+1,"")</f>
        <v/>
      </c>
      <c r="W273">
        <f>IF($B273="","",IF(OR($S273=TRUE(),$S273="TRUE"),1,0))</f>
        <v/>
      </c>
      <c r="X273">
        <f>IF($U273=1,IFERROR(IF(VALUE($B273)&lt;100000000,VALUE($B273),1000000000),IFERROR(IF(VALUE(MID($B273,2,20))&lt;100000000,VALUE(MID($B273,2,20)),1000000000),1000000000))+ROW()/100000,"")</f>
        <v/>
      </c>
    </row>
    <row r="274">
      <c r="A274">
        <f>IF($B274="","",IFERROR(IF(INDEX('Per Invoice'!$C$2:$C$401,MATCH($B274,'Per Invoice'!$A$2:$A$401,0))=0,"",INDEX('Per Invoice'!$C$2:$C$401,MATCH($B274,'Per Invoice'!$A$2:$A$401,0))),""))</f>
        <v/>
      </c>
      <c r="G274" s="7">
        <f>IF($B274="","",F274*L274/100)</f>
        <v/>
      </c>
      <c r="K274" s="7" t="n"/>
      <c r="L274" s="7" t="n"/>
      <c r="M274" s="7">
        <f>IF($B274="","",L274*T274/100)</f>
        <v/>
      </c>
      <c r="N274" s="7">
        <f>IF($B274="","",L274-M274)</f>
        <v/>
      </c>
      <c r="O274" s="7">
        <f>IF($B274="","",N274-G274)</f>
        <v/>
      </c>
      <c r="R274" s="14" t="n"/>
      <c r="T274">
        <f>IF($B274="","",IF($W274=1,Settings!$C$6,Settings!$C$7)*100)</f>
        <v/>
      </c>
      <c r="U274">
        <f>IF($B274="","",IF(COUNTIF($B$2:$B274,$B274)=1,1,0))</f>
        <v/>
      </c>
      <c r="V274">
        <f>IF($U274=1,SUMPRODUCT(--($X$2:$X$1501&lt;$X274))+1,"")</f>
        <v/>
      </c>
      <c r="W274">
        <f>IF($B274="","",IF(OR($S274=TRUE(),$S274="TRUE"),1,0))</f>
        <v/>
      </c>
      <c r="X274">
        <f>IF($U274=1,IFERROR(IF(VALUE($B274)&lt;100000000,VALUE($B274),1000000000),IFERROR(IF(VALUE(MID($B274,2,20))&lt;100000000,VALUE(MID($B274,2,20)),1000000000),1000000000))+ROW()/100000,"")</f>
        <v/>
      </c>
    </row>
    <row r="275">
      <c r="A275">
        <f>IF($B275="","",IFERROR(IF(INDEX('Per Invoice'!$C$2:$C$401,MATCH($B275,'Per Invoice'!$A$2:$A$401,0))=0,"",INDEX('Per Invoice'!$C$2:$C$401,MATCH($B275,'Per Invoice'!$A$2:$A$401,0))),""))</f>
        <v/>
      </c>
      <c r="G275" s="7">
        <f>IF($B275="","",F275*L275/100)</f>
        <v/>
      </c>
      <c r="K275" s="7" t="n"/>
      <c r="L275" s="7" t="n"/>
      <c r="M275" s="7">
        <f>IF($B275="","",L275*T275/100)</f>
        <v/>
      </c>
      <c r="N275" s="7">
        <f>IF($B275="","",L275-M275)</f>
        <v/>
      </c>
      <c r="O275" s="7">
        <f>IF($B275="","",N275-G275)</f>
        <v/>
      </c>
      <c r="R275" s="14" t="n"/>
      <c r="T275">
        <f>IF($B275="","",IF($W275=1,Settings!$C$6,Settings!$C$7)*100)</f>
        <v/>
      </c>
      <c r="U275">
        <f>IF($B275="","",IF(COUNTIF($B$2:$B275,$B275)=1,1,0))</f>
        <v/>
      </c>
      <c r="V275">
        <f>IF($U275=1,SUMPRODUCT(--($X$2:$X$1501&lt;$X275))+1,"")</f>
        <v/>
      </c>
      <c r="W275">
        <f>IF($B275="","",IF(OR($S275=TRUE(),$S275="TRUE"),1,0))</f>
        <v/>
      </c>
      <c r="X275">
        <f>IF($U275=1,IFERROR(IF(VALUE($B275)&lt;100000000,VALUE($B275),1000000000),IFERROR(IF(VALUE(MID($B275,2,20))&lt;100000000,VALUE(MID($B275,2,20)),1000000000),1000000000))+ROW()/100000,"")</f>
        <v/>
      </c>
    </row>
    <row r="276">
      <c r="A276">
        <f>IF($B276="","",IFERROR(IF(INDEX('Per Invoice'!$C$2:$C$401,MATCH($B276,'Per Invoice'!$A$2:$A$401,0))=0,"",INDEX('Per Invoice'!$C$2:$C$401,MATCH($B276,'Per Invoice'!$A$2:$A$401,0))),""))</f>
        <v/>
      </c>
      <c r="G276" s="7">
        <f>IF($B276="","",F276*L276/100)</f>
        <v/>
      </c>
      <c r="K276" s="7" t="n"/>
      <c r="L276" s="7" t="n"/>
      <c r="M276" s="7">
        <f>IF($B276="","",L276*T276/100)</f>
        <v/>
      </c>
      <c r="N276" s="7">
        <f>IF($B276="","",L276-M276)</f>
        <v/>
      </c>
      <c r="O276" s="7">
        <f>IF($B276="","",N276-G276)</f>
        <v/>
      </c>
      <c r="R276" s="14" t="n"/>
      <c r="T276">
        <f>IF($B276="","",IF($W276=1,Settings!$C$6,Settings!$C$7)*100)</f>
        <v/>
      </c>
      <c r="U276">
        <f>IF($B276="","",IF(COUNTIF($B$2:$B276,$B276)=1,1,0))</f>
        <v/>
      </c>
      <c r="V276">
        <f>IF($U276=1,SUMPRODUCT(--($X$2:$X$1501&lt;$X276))+1,"")</f>
        <v/>
      </c>
      <c r="W276">
        <f>IF($B276="","",IF(OR($S276=TRUE(),$S276="TRUE"),1,0))</f>
        <v/>
      </c>
      <c r="X276">
        <f>IF($U276=1,IFERROR(IF(VALUE($B276)&lt;100000000,VALUE($B276),1000000000),IFERROR(IF(VALUE(MID($B276,2,20))&lt;100000000,VALUE(MID($B276,2,20)),1000000000),1000000000))+ROW()/100000,"")</f>
        <v/>
      </c>
    </row>
    <row r="277">
      <c r="A277">
        <f>IF($B277="","",IFERROR(IF(INDEX('Per Invoice'!$C$2:$C$401,MATCH($B277,'Per Invoice'!$A$2:$A$401,0))=0,"",INDEX('Per Invoice'!$C$2:$C$401,MATCH($B277,'Per Invoice'!$A$2:$A$401,0))),""))</f>
        <v/>
      </c>
      <c r="G277" s="7">
        <f>IF($B277="","",F277*L277/100)</f>
        <v/>
      </c>
      <c r="K277" s="7" t="n"/>
      <c r="L277" s="7" t="n"/>
      <c r="M277" s="7">
        <f>IF($B277="","",L277*T277/100)</f>
        <v/>
      </c>
      <c r="N277" s="7">
        <f>IF($B277="","",L277-M277)</f>
        <v/>
      </c>
      <c r="O277" s="7">
        <f>IF($B277="","",N277-G277)</f>
        <v/>
      </c>
      <c r="R277" s="14" t="n"/>
      <c r="T277">
        <f>IF($B277="","",IF($W277=1,Settings!$C$6,Settings!$C$7)*100)</f>
        <v/>
      </c>
      <c r="U277">
        <f>IF($B277="","",IF(COUNTIF($B$2:$B277,$B277)=1,1,0))</f>
        <v/>
      </c>
      <c r="V277">
        <f>IF($U277=1,SUMPRODUCT(--($X$2:$X$1501&lt;$X277))+1,"")</f>
        <v/>
      </c>
      <c r="W277">
        <f>IF($B277="","",IF(OR($S277=TRUE(),$S277="TRUE"),1,0))</f>
        <v/>
      </c>
      <c r="X277">
        <f>IF($U277=1,IFERROR(IF(VALUE($B277)&lt;100000000,VALUE($B277),1000000000),IFERROR(IF(VALUE(MID($B277,2,20))&lt;100000000,VALUE(MID($B277,2,20)),1000000000),1000000000))+ROW()/100000,"")</f>
        <v/>
      </c>
    </row>
    <row r="278">
      <c r="A278">
        <f>IF($B278="","",IFERROR(IF(INDEX('Per Invoice'!$C$2:$C$401,MATCH($B278,'Per Invoice'!$A$2:$A$401,0))=0,"",INDEX('Per Invoice'!$C$2:$C$401,MATCH($B278,'Per Invoice'!$A$2:$A$401,0))),""))</f>
        <v/>
      </c>
      <c r="G278" s="7">
        <f>IF($B278="","",F278*L278/100)</f>
        <v/>
      </c>
      <c r="K278" s="7" t="n"/>
      <c r="L278" s="7" t="n"/>
      <c r="M278" s="7">
        <f>IF($B278="","",L278*T278/100)</f>
        <v/>
      </c>
      <c r="N278" s="7">
        <f>IF($B278="","",L278-M278)</f>
        <v/>
      </c>
      <c r="O278" s="7">
        <f>IF($B278="","",N278-G278)</f>
        <v/>
      </c>
      <c r="R278" s="14" t="n"/>
      <c r="T278">
        <f>IF($B278="","",IF($W278=1,Settings!$C$6,Settings!$C$7)*100)</f>
        <v/>
      </c>
      <c r="U278">
        <f>IF($B278="","",IF(COUNTIF($B$2:$B278,$B278)=1,1,0))</f>
        <v/>
      </c>
      <c r="V278">
        <f>IF($U278=1,SUMPRODUCT(--($X$2:$X$1501&lt;$X278))+1,"")</f>
        <v/>
      </c>
      <c r="W278">
        <f>IF($B278="","",IF(OR($S278=TRUE(),$S278="TRUE"),1,0))</f>
        <v/>
      </c>
      <c r="X278">
        <f>IF($U278=1,IFERROR(IF(VALUE($B278)&lt;100000000,VALUE($B278),1000000000),IFERROR(IF(VALUE(MID($B278,2,20))&lt;100000000,VALUE(MID($B278,2,20)),1000000000),1000000000))+ROW()/100000,"")</f>
        <v/>
      </c>
    </row>
    <row r="279">
      <c r="A279">
        <f>IF($B279="","",IFERROR(IF(INDEX('Per Invoice'!$C$2:$C$401,MATCH($B279,'Per Invoice'!$A$2:$A$401,0))=0,"",INDEX('Per Invoice'!$C$2:$C$401,MATCH($B279,'Per Invoice'!$A$2:$A$401,0))),""))</f>
        <v/>
      </c>
      <c r="G279" s="7">
        <f>IF($B279="","",F279*L279/100)</f>
        <v/>
      </c>
      <c r="K279" s="7" t="n"/>
      <c r="L279" s="7" t="n"/>
      <c r="M279" s="7">
        <f>IF($B279="","",L279*T279/100)</f>
        <v/>
      </c>
      <c r="N279" s="7">
        <f>IF($B279="","",L279-M279)</f>
        <v/>
      </c>
      <c r="O279" s="7">
        <f>IF($B279="","",N279-G279)</f>
        <v/>
      </c>
      <c r="R279" s="14" t="n"/>
      <c r="T279">
        <f>IF($B279="","",IF($W279=1,Settings!$C$6,Settings!$C$7)*100)</f>
        <v/>
      </c>
      <c r="U279">
        <f>IF($B279="","",IF(COUNTIF($B$2:$B279,$B279)=1,1,0))</f>
        <v/>
      </c>
      <c r="V279">
        <f>IF($U279=1,SUMPRODUCT(--($X$2:$X$1501&lt;$X279))+1,"")</f>
        <v/>
      </c>
      <c r="W279">
        <f>IF($B279="","",IF(OR($S279=TRUE(),$S279="TRUE"),1,0))</f>
        <v/>
      </c>
      <c r="X279">
        <f>IF($U279=1,IFERROR(IF(VALUE($B279)&lt;100000000,VALUE($B279),1000000000),IFERROR(IF(VALUE(MID($B279,2,20))&lt;100000000,VALUE(MID($B279,2,20)),1000000000),1000000000))+ROW()/100000,"")</f>
        <v/>
      </c>
    </row>
    <row r="280">
      <c r="A280">
        <f>IF($B280="","",IFERROR(IF(INDEX('Per Invoice'!$C$2:$C$401,MATCH($B280,'Per Invoice'!$A$2:$A$401,0))=0,"",INDEX('Per Invoice'!$C$2:$C$401,MATCH($B280,'Per Invoice'!$A$2:$A$401,0))),""))</f>
        <v/>
      </c>
      <c r="G280" s="7">
        <f>IF($B280="","",F280*L280/100)</f>
        <v/>
      </c>
      <c r="K280" s="7" t="n"/>
      <c r="L280" s="7" t="n"/>
      <c r="M280" s="7">
        <f>IF($B280="","",L280*T280/100)</f>
        <v/>
      </c>
      <c r="N280" s="7">
        <f>IF($B280="","",L280-M280)</f>
        <v/>
      </c>
      <c r="O280" s="7">
        <f>IF($B280="","",N280-G280)</f>
        <v/>
      </c>
      <c r="R280" s="14" t="n"/>
      <c r="T280">
        <f>IF($B280="","",IF($W280=1,Settings!$C$6,Settings!$C$7)*100)</f>
        <v/>
      </c>
      <c r="U280">
        <f>IF($B280="","",IF(COUNTIF($B$2:$B280,$B280)=1,1,0))</f>
        <v/>
      </c>
      <c r="V280">
        <f>IF($U280=1,SUMPRODUCT(--($X$2:$X$1501&lt;$X280))+1,"")</f>
        <v/>
      </c>
      <c r="W280">
        <f>IF($B280="","",IF(OR($S280=TRUE(),$S280="TRUE"),1,0))</f>
        <v/>
      </c>
      <c r="X280">
        <f>IF($U280=1,IFERROR(IF(VALUE($B280)&lt;100000000,VALUE($B280),1000000000),IFERROR(IF(VALUE(MID($B280,2,20))&lt;100000000,VALUE(MID($B280,2,20)),1000000000),1000000000))+ROW()/100000,"")</f>
        <v/>
      </c>
    </row>
    <row r="281">
      <c r="A281">
        <f>IF($B281="","",IFERROR(IF(INDEX('Per Invoice'!$C$2:$C$401,MATCH($B281,'Per Invoice'!$A$2:$A$401,0))=0,"",INDEX('Per Invoice'!$C$2:$C$401,MATCH($B281,'Per Invoice'!$A$2:$A$401,0))),""))</f>
        <v/>
      </c>
      <c r="G281" s="7">
        <f>IF($B281="","",F281*L281/100)</f>
        <v/>
      </c>
      <c r="K281" s="7" t="n"/>
      <c r="L281" s="7" t="n"/>
      <c r="M281" s="7">
        <f>IF($B281="","",L281*T281/100)</f>
        <v/>
      </c>
      <c r="N281" s="7">
        <f>IF($B281="","",L281-M281)</f>
        <v/>
      </c>
      <c r="O281" s="7">
        <f>IF($B281="","",N281-G281)</f>
        <v/>
      </c>
      <c r="R281" s="14" t="n"/>
      <c r="T281">
        <f>IF($B281="","",IF($W281=1,Settings!$C$6,Settings!$C$7)*100)</f>
        <v/>
      </c>
      <c r="U281">
        <f>IF($B281="","",IF(COUNTIF($B$2:$B281,$B281)=1,1,0))</f>
        <v/>
      </c>
      <c r="V281">
        <f>IF($U281=1,SUMPRODUCT(--($X$2:$X$1501&lt;$X281))+1,"")</f>
        <v/>
      </c>
      <c r="W281">
        <f>IF($B281="","",IF(OR($S281=TRUE(),$S281="TRUE"),1,0))</f>
        <v/>
      </c>
      <c r="X281">
        <f>IF($U281=1,IFERROR(IF(VALUE($B281)&lt;100000000,VALUE($B281),1000000000),IFERROR(IF(VALUE(MID($B281,2,20))&lt;100000000,VALUE(MID($B281,2,20)),1000000000),1000000000))+ROW()/100000,"")</f>
        <v/>
      </c>
    </row>
    <row r="282">
      <c r="A282">
        <f>IF($B282="","",IFERROR(IF(INDEX('Per Invoice'!$C$2:$C$401,MATCH($B282,'Per Invoice'!$A$2:$A$401,0))=0,"",INDEX('Per Invoice'!$C$2:$C$401,MATCH($B282,'Per Invoice'!$A$2:$A$401,0))),""))</f>
        <v/>
      </c>
      <c r="G282" s="7">
        <f>IF($B282="","",F282*L282/100)</f>
        <v/>
      </c>
      <c r="K282" s="7" t="n"/>
      <c r="L282" s="7" t="n"/>
      <c r="M282" s="7">
        <f>IF($B282="","",L282*T282/100)</f>
        <v/>
      </c>
      <c r="N282" s="7">
        <f>IF($B282="","",L282-M282)</f>
        <v/>
      </c>
      <c r="O282" s="7">
        <f>IF($B282="","",N282-G282)</f>
        <v/>
      </c>
      <c r="R282" s="14" t="n"/>
      <c r="T282">
        <f>IF($B282="","",IF($W282=1,Settings!$C$6,Settings!$C$7)*100)</f>
        <v/>
      </c>
      <c r="U282">
        <f>IF($B282="","",IF(COUNTIF($B$2:$B282,$B282)=1,1,0))</f>
        <v/>
      </c>
      <c r="V282">
        <f>IF($U282=1,SUMPRODUCT(--($X$2:$X$1501&lt;$X282))+1,"")</f>
        <v/>
      </c>
      <c r="W282">
        <f>IF($B282="","",IF(OR($S282=TRUE(),$S282="TRUE"),1,0))</f>
        <v/>
      </c>
      <c r="X282">
        <f>IF($U282=1,IFERROR(IF(VALUE($B282)&lt;100000000,VALUE($B282),1000000000),IFERROR(IF(VALUE(MID($B282,2,20))&lt;100000000,VALUE(MID($B282,2,20)),1000000000),1000000000))+ROW()/100000,"")</f>
        <v/>
      </c>
    </row>
    <row r="283">
      <c r="A283">
        <f>IF($B283="","",IFERROR(IF(INDEX('Per Invoice'!$C$2:$C$401,MATCH($B283,'Per Invoice'!$A$2:$A$401,0))=0,"",INDEX('Per Invoice'!$C$2:$C$401,MATCH($B283,'Per Invoice'!$A$2:$A$401,0))),""))</f>
        <v/>
      </c>
      <c r="G283" s="7">
        <f>IF($B283="","",F283*L283/100)</f>
        <v/>
      </c>
      <c r="K283" s="7" t="n"/>
      <c r="L283" s="7" t="n"/>
      <c r="M283" s="7">
        <f>IF($B283="","",L283*T283/100)</f>
        <v/>
      </c>
      <c r="N283" s="7">
        <f>IF($B283="","",L283-M283)</f>
        <v/>
      </c>
      <c r="O283" s="7">
        <f>IF($B283="","",N283-G283)</f>
        <v/>
      </c>
      <c r="R283" s="14" t="n"/>
      <c r="T283">
        <f>IF($B283="","",IF($W283=1,Settings!$C$6,Settings!$C$7)*100)</f>
        <v/>
      </c>
      <c r="U283">
        <f>IF($B283="","",IF(COUNTIF($B$2:$B283,$B283)=1,1,0))</f>
        <v/>
      </c>
      <c r="V283">
        <f>IF($U283=1,SUMPRODUCT(--($X$2:$X$1501&lt;$X283))+1,"")</f>
        <v/>
      </c>
      <c r="W283">
        <f>IF($B283="","",IF(OR($S283=TRUE(),$S283="TRUE"),1,0))</f>
        <v/>
      </c>
      <c r="X283">
        <f>IF($U283=1,IFERROR(IF(VALUE($B283)&lt;100000000,VALUE($B283),1000000000),IFERROR(IF(VALUE(MID($B283,2,20))&lt;100000000,VALUE(MID($B283,2,20)),1000000000),1000000000))+ROW()/100000,"")</f>
        <v/>
      </c>
    </row>
    <row r="284">
      <c r="A284">
        <f>IF($B284="","",IFERROR(IF(INDEX('Per Invoice'!$C$2:$C$401,MATCH($B284,'Per Invoice'!$A$2:$A$401,0))=0,"",INDEX('Per Invoice'!$C$2:$C$401,MATCH($B284,'Per Invoice'!$A$2:$A$401,0))),""))</f>
        <v/>
      </c>
      <c r="G284" s="7">
        <f>IF($B284="","",F284*L284/100)</f>
        <v/>
      </c>
      <c r="K284" s="7" t="n"/>
      <c r="L284" s="7" t="n"/>
      <c r="M284" s="7">
        <f>IF($B284="","",L284*T284/100)</f>
        <v/>
      </c>
      <c r="N284" s="7">
        <f>IF($B284="","",L284-M284)</f>
        <v/>
      </c>
      <c r="O284" s="7">
        <f>IF($B284="","",N284-G284)</f>
        <v/>
      </c>
      <c r="R284" s="14" t="n"/>
      <c r="T284">
        <f>IF($B284="","",IF($W284=1,Settings!$C$6,Settings!$C$7)*100)</f>
        <v/>
      </c>
      <c r="U284">
        <f>IF($B284="","",IF(COUNTIF($B$2:$B284,$B284)=1,1,0))</f>
        <v/>
      </c>
      <c r="V284">
        <f>IF($U284=1,SUMPRODUCT(--($X$2:$X$1501&lt;$X284))+1,"")</f>
        <v/>
      </c>
      <c r="W284">
        <f>IF($B284="","",IF(OR($S284=TRUE(),$S284="TRUE"),1,0))</f>
        <v/>
      </c>
      <c r="X284">
        <f>IF($U284=1,IFERROR(IF(VALUE($B284)&lt;100000000,VALUE($B284),1000000000),IFERROR(IF(VALUE(MID($B284,2,20))&lt;100000000,VALUE(MID($B284,2,20)),1000000000),1000000000))+ROW()/100000,"")</f>
        <v/>
      </c>
    </row>
    <row r="285">
      <c r="A285">
        <f>IF($B285="","",IFERROR(IF(INDEX('Per Invoice'!$C$2:$C$401,MATCH($B285,'Per Invoice'!$A$2:$A$401,0))=0,"",INDEX('Per Invoice'!$C$2:$C$401,MATCH($B285,'Per Invoice'!$A$2:$A$401,0))),""))</f>
        <v/>
      </c>
      <c r="G285" s="7">
        <f>IF($B285="","",F285*L285/100)</f>
        <v/>
      </c>
      <c r="K285" s="7" t="n"/>
      <c r="L285" s="7" t="n"/>
      <c r="M285" s="7">
        <f>IF($B285="","",L285*T285/100)</f>
        <v/>
      </c>
      <c r="N285" s="7">
        <f>IF($B285="","",L285-M285)</f>
        <v/>
      </c>
      <c r="O285" s="7">
        <f>IF($B285="","",N285-G285)</f>
        <v/>
      </c>
      <c r="R285" s="14" t="n"/>
      <c r="T285">
        <f>IF($B285="","",IF($W285=1,Settings!$C$6,Settings!$C$7)*100)</f>
        <v/>
      </c>
      <c r="U285">
        <f>IF($B285="","",IF(COUNTIF($B$2:$B285,$B285)=1,1,0))</f>
        <v/>
      </c>
      <c r="V285">
        <f>IF($U285=1,SUMPRODUCT(--($X$2:$X$1501&lt;$X285))+1,"")</f>
        <v/>
      </c>
      <c r="W285">
        <f>IF($B285="","",IF(OR($S285=TRUE(),$S285="TRUE"),1,0))</f>
        <v/>
      </c>
      <c r="X285">
        <f>IF($U285=1,IFERROR(IF(VALUE($B285)&lt;100000000,VALUE($B285),1000000000),IFERROR(IF(VALUE(MID($B285,2,20))&lt;100000000,VALUE(MID($B285,2,20)),1000000000),1000000000))+ROW()/100000,"")</f>
        <v/>
      </c>
    </row>
    <row r="286">
      <c r="A286">
        <f>IF($B286="","",IFERROR(IF(INDEX('Per Invoice'!$C$2:$C$401,MATCH($B286,'Per Invoice'!$A$2:$A$401,0))=0,"",INDEX('Per Invoice'!$C$2:$C$401,MATCH($B286,'Per Invoice'!$A$2:$A$401,0))),""))</f>
        <v/>
      </c>
      <c r="G286" s="7">
        <f>IF($B286="","",F286*L286/100)</f>
        <v/>
      </c>
      <c r="K286" s="7" t="n"/>
      <c r="L286" s="7" t="n"/>
      <c r="M286" s="7">
        <f>IF($B286="","",L286*T286/100)</f>
        <v/>
      </c>
      <c r="N286" s="7">
        <f>IF($B286="","",L286-M286)</f>
        <v/>
      </c>
      <c r="O286" s="7">
        <f>IF($B286="","",N286-G286)</f>
        <v/>
      </c>
      <c r="R286" s="14" t="n"/>
      <c r="T286">
        <f>IF($B286="","",IF($W286=1,Settings!$C$6,Settings!$C$7)*100)</f>
        <v/>
      </c>
      <c r="U286">
        <f>IF($B286="","",IF(COUNTIF($B$2:$B286,$B286)=1,1,0))</f>
        <v/>
      </c>
      <c r="V286">
        <f>IF($U286=1,SUMPRODUCT(--($X$2:$X$1501&lt;$X286))+1,"")</f>
        <v/>
      </c>
      <c r="W286">
        <f>IF($B286="","",IF(OR($S286=TRUE(),$S286="TRUE"),1,0))</f>
        <v/>
      </c>
      <c r="X286">
        <f>IF($U286=1,IFERROR(IF(VALUE($B286)&lt;100000000,VALUE($B286),1000000000),IFERROR(IF(VALUE(MID($B286,2,20))&lt;100000000,VALUE(MID($B286,2,20)),1000000000),1000000000))+ROW()/100000,"")</f>
        <v/>
      </c>
    </row>
    <row r="287">
      <c r="A287">
        <f>IF($B287="","",IFERROR(IF(INDEX('Per Invoice'!$C$2:$C$401,MATCH($B287,'Per Invoice'!$A$2:$A$401,0))=0,"",INDEX('Per Invoice'!$C$2:$C$401,MATCH($B287,'Per Invoice'!$A$2:$A$401,0))),""))</f>
        <v/>
      </c>
      <c r="G287" s="7">
        <f>IF($B287="","",F287*L287/100)</f>
        <v/>
      </c>
      <c r="K287" s="7" t="n"/>
      <c r="L287" s="7" t="n"/>
      <c r="M287" s="7">
        <f>IF($B287="","",L287*T287/100)</f>
        <v/>
      </c>
      <c r="N287" s="7">
        <f>IF($B287="","",L287-M287)</f>
        <v/>
      </c>
      <c r="O287" s="7">
        <f>IF($B287="","",N287-G287)</f>
        <v/>
      </c>
      <c r="R287" s="14" t="n"/>
      <c r="T287">
        <f>IF($B287="","",IF($W287=1,Settings!$C$6,Settings!$C$7)*100)</f>
        <v/>
      </c>
      <c r="U287">
        <f>IF($B287="","",IF(COUNTIF($B$2:$B287,$B287)=1,1,0))</f>
        <v/>
      </c>
      <c r="V287">
        <f>IF($U287=1,SUMPRODUCT(--($X$2:$X$1501&lt;$X287))+1,"")</f>
        <v/>
      </c>
      <c r="W287">
        <f>IF($B287="","",IF(OR($S287=TRUE(),$S287="TRUE"),1,0))</f>
        <v/>
      </c>
      <c r="X287">
        <f>IF($U287=1,IFERROR(IF(VALUE($B287)&lt;100000000,VALUE($B287),1000000000),IFERROR(IF(VALUE(MID($B287,2,20))&lt;100000000,VALUE(MID($B287,2,20)),1000000000),1000000000))+ROW()/100000,"")</f>
        <v/>
      </c>
    </row>
    <row r="288">
      <c r="A288">
        <f>IF($B288="","",IFERROR(IF(INDEX('Per Invoice'!$C$2:$C$401,MATCH($B288,'Per Invoice'!$A$2:$A$401,0))=0,"",INDEX('Per Invoice'!$C$2:$C$401,MATCH($B288,'Per Invoice'!$A$2:$A$401,0))),""))</f>
        <v/>
      </c>
      <c r="G288" s="7">
        <f>IF($B288="","",F288*L288/100)</f>
        <v/>
      </c>
      <c r="K288" s="7" t="n"/>
      <c r="L288" s="7" t="n"/>
      <c r="M288" s="7">
        <f>IF($B288="","",L288*T288/100)</f>
        <v/>
      </c>
      <c r="N288" s="7">
        <f>IF($B288="","",L288-M288)</f>
        <v/>
      </c>
      <c r="O288" s="7">
        <f>IF($B288="","",N288-G288)</f>
        <v/>
      </c>
      <c r="R288" s="14" t="n"/>
      <c r="T288">
        <f>IF($B288="","",IF($W288=1,Settings!$C$6,Settings!$C$7)*100)</f>
        <v/>
      </c>
      <c r="U288">
        <f>IF($B288="","",IF(COUNTIF($B$2:$B288,$B288)=1,1,0))</f>
        <v/>
      </c>
      <c r="V288">
        <f>IF($U288=1,SUMPRODUCT(--($X$2:$X$1501&lt;$X288))+1,"")</f>
        <v/>
      </c>
      <c r="W288">
        <f>IF($B288="","",IF(OR($S288=TRUE(),$S288="TRUE"),1,0))</f>
        <v/>
      </c>
      <c r="X288">
        <f>IF($U288=1,IFERROR(IF(VALUE($B288)&lt;100000000,VALUE($B288),1000000000),IFERROR(IF(VALUE(MID($B288,2,20))&lt;100000000,VALUE(MID($B288,2,20)),1000000000),1000000000))+ROW()/100000,"")</f>
        <v/>
      </c>
    </row>
    <row r="289">
      <c r="A289">
        <f>IF($B289="","",IFERROR(IF(INDEX('Per Invoice'!$C$2:$C$401,MATCH($B289,'Per Invoice'!$A$2:$A$401,0))=0,"",INDEX('Per Invoice'!$C$2:$C$401,MATCH($B289,'Per Invoice'!$A$2:$A$401,0))),""))</f>
        <v/>
      </c>
      <c r="G289" s="7">
        <f>IF($B289="","",F289*L289/100)</f>
        <v/>
      </c>
      <c r="K289" s="7" t="n"/>
      <c r="L289" s="7" t="n"/>
      <c r="M289" s="7">
        <f>IF($B289="","",L289*T289/100)</f>
        <v/>
      </c>
      <c r="N289" s="7">
        <f>IF($B289="","",L289-M289)</f>
        <v/>
      </c>
      <c r="O289" s="7">
        <f>IF($B289="","",N289-G289)</f>
        <v/>
      </c>
      <c r="R289" s="14" t="n"/>
      <c r="T289">
        <f>IF($B289="","",IF($W289=1,Settings!$C$6,Settings!$C$7)*100)</f>
        <v/>
      </c>
      <c r="U289">
        <f>IF($B289="","",IF(COUNTIF($B$2:$B289,$B289)=1,1,0))</f>
        <v/>
      </c>
      <c r="V289">
        <f>IF($U289=1,SUMPRODUCT(--($X$2:$X$1501&lt;$X289))+1,"")</f>
        <v/>
      </c>
      <c r="W289">
        <f>IF($B289="","",IF(OR($S289=TRUE(),$S289="TRUE"),1,0))</f>
        <v/>
      </c>
      <c r="X289">
        <f>IF($U289=1,IFERROR(IF(VALUE($B289)&lt;100000000,VALUE($B289),1000000000),IFERROR(IF(VALUE(MID($B289,2,20))&lt;100000000,VALUE(MID($B289,2,20)),1000000000),1000000000))+ROW()/100000,"")</f>
        <v/>
      </c>
    </row>
    <row r="290">
      <c r="A290">
        <f>IF($B290="","",IFERROR(IF(INDEX('Per Invoice'!$C$2:$C$401,MATCH($B290,'Per Invoice'!$A$2:$A$401,0))=0,"",INDEX('Per Invoice'!$C$2:$C$401,MATCH($B290,'Per Invoice'!$A$2:$A$401,0))),""))</f>
        <v/>
      </c>
      <c r="G290" s="7">
        <f>IF($B290="","",F290*L290/100)</f>
        <v/>
      </c>
      <c r="K290" s="7" t="n"/>
      <c r="L290" s="7" t="n"/>
      <c r="M290" s="7">
        <f>IF($B290="","",L290*T290/100)</f>
        <v/>
      </c>
      <c r="N290" s="7">
        <f>IF($B290="","",L290-M290)</f>
        <v/>
      </c>
      <c r="O290" s="7">
        <f>IF($B290="","",N290-G290)</f>
        <v/>
      </c>
      <c r="R290" s="14" t="n"/>
      <c r="T290">
        <f>IF($B290="","",IF($W290=1,Settings!$C$6,Settings!$C$7)*100)</f>
        <v/>
      </c>
      <c r="U290">
        <f>IF($B290="","",IF(COUNTIF($B$2:$B290,$B290)=1,1,0))</f>
        <v/>
      </c>
      <c r="V290">
        <f>IF($U290=1,SUMPRODUCT(--($X$2:$X$1501&lt;$X290))+1,"")</f>
        <v/>
      </c>
      <c r="W290">
        <f>IF($B290="","",IF(OR($S290=TRUE(),$S290="TRUE"),1,0))</f>
        <v/>
      </c>
      <c r="X290">
        <f>IF($U290=1,IFERROR(IF(VALUE($B290)&lt;100000000,VALUE($B290),1000000000),IFERROR(IF(VALUE(MID($B290,2,20))&lt;100000000,VALUE(MID($B290,2,20)),1000000000),1000000000))+ROW()/100000,"")</f>
        <v/>
      </c>
    </row>
    <row r="291">
      <c r="A291">
        <f>IF($B291="","",IFERROR(IF(INDEX('Per Invoice'!$C$2:$C$401,MATCH($B291,'Per Invoice'!$A$2:$A$401,0))=0,"",INDEX('Per Invoice'!$C$2:$C$401,MATCH($B291,'Per Invoice'!$A$2:$A$401,0))),""))</f>
        <v/>
      </c>
      <c r="G291" s="7">
        <f>IF($B291="","",F291*L291/100)</f>
        <v/>
      </c>
      <c r="K291" s="7" t="n"/>
      <c r="L291" s="7" t="n"/>
      <c r="M291" s="7">
        <f>IF($B291="","",L291*T291/100)</f>
        <v/>
      </c>
      <c r="N291" s="7">
        <f>IF($B291="","",L291-M291)</f>
        <v/>
      </c>
      <c r="O291" s="7">
        <f>IF($B291="","",N291-G291)</f>
        <v/>
      </c>
      <c r="R291" s="14" t="n"/>
      <c r="T291">
        <f>IF($B291="","",IF($W291=1,Settings!$C$6,Settings!$C$7)*100)</f>
        <v/>
      </c>
      <c r="U291">
        <f>IF($B291="","",IF(COUNTIF($B$2:$B291,$B291)=1,1,0))</f>
        <v/>
      </c>
      <c r="V291">
        <f>IF($U291=1,SUMPRODUCT(--($X$2:$X$1501&lt;$X291))+1,"")</f>
        <v/>
      </c>
      <c r="W291">
        <f>IF($B291="","",IF(OR($S291=TRUE(),$S291="TRUE"),1,0))</f>
        <v/>
      </c>
      <c r="X291">
        <f>IF($U291=1,IFERROR(IF(VALUE($B291)&lt;100000000,VALUE($B291),1000000000),IFERROR(IF(VALUE(MID($B291,2,20))&lt;100000000,VALUE(MID($B291,2,20)),1000000000),1000000000))+ROW()/100000,"")</f>
        <v/>
      </c>
    </row>
    <row r="292">
      <c r="A292">
        <f>IF($B292="","",IFERROR(IF(INDEX('Per Invoice'!$C$2:$C$401,MATCH($B292,'Per Invoice'!$A$2:$A$401,0))=0,"",INDEX('Per Invoice'!$C$2:$C$401,MATCH($B292,'Per Invoice'!$A$2:$A$401,0))),""))</f>
        <v/>
      </c>
      <c r="G292" s="7">
        <f>IF($B292="","",F292*L292/100)</f>
        <v/>
      </c>
      <c r="K292" s="7" t="n"/>
      <c r="L292" s="7" t="n"/>
      <c r="M292" s="7">
        <f>IF($B292="","",L292*T292/100)</f>
        <v/>
      </c>
      <c r="N292" s="7">
        <f>IF($B292="","",L292-M292)</f>
        <v/>
      </c>
      <c r="O292" s="7">
        <f>IF($B292="","",N292-G292)</f>
        <v/>
      </c>
      <c r="R292" s="14" t="n"/>
      <c r="T292">
        <f>IF($B292="","",IF($W292=1,Settings!$C$6,Settings!$C$7)*100)</f>
        <v/>
      </c>
      <c r="U292">
        <f>IF($B292="","",IF(COUNTIF($B$2:$B292,$B292)=1,1,0))</f>
        <v/>
      </c>
      <c r="V292">
        <f>IF($U292=1,SUMPRODUCT(--($X$2:$X$1501&lt;$X292))+1,"")</f>
        <v/>
      </c>
      <c r="W292">
        <f>IF($B292="","",IF(OR($S292=TRUE(),$S292="TRUE"),1,0))</f>
        <v/>
      </c>
      <c r="X292">
        <f>IF($U292=1,IFERROR(IF(VALUE($B292)&lt;100000000,VALUE($B292),1000000000),IFERROR(IF(VALUE(MID($B292,2,20))&lt;100000000,VALUE(MID($B292,2,20)),1000000000),1000000000))+ROW()/100000,"")</f>
        <v/>
      </c>
    </row>
    <row r="293">
      <c r="A293">
        <f>IF($B293="","",IFERROR(IF(INDEX('Per Invoice'!$C$2:$C$401,MATCH($B293,'Per Invoice'!$A$2:$A$401,0))=0,"",INDEX('Per Invoice'!$C$2:$C$401,MATCH($B293,'Per Invoice'!$A$2:$A$401,0))),""))</f>
        <v/>
      </c>
      <c r="G293" s="7">
        <f>IF($B293="","",F293*L293/100)</f>
        <v/>
      </c>
      <c r="K293" s="7" t="n"/>
      <c r="L293" s="7" t="n"/>
      <c r="M293" s="7">
        <f>IF($B293="","",L293*T293/100)</f>
        <v/>
      </c>
      <c r="N293" s="7">
        <f>IF($B293="","",L293-M293)</f>
        <v/>
      </c>
      <c r="O293" s="7">
        <f>IF($B293="","",N293-G293)</f>
        <v/>
      </c>
      <c r="R293" s="14" t="n"/>
      <c r="T293">
        <f>IF($B293="","",IF($W293=1,Settings!$C$6,Settings!$C$7)*100)</f>
        <v/>
      </c>
      <c r="U293">
        <f>IF($B293="","",IF(COUNTIF($B$2:$B293,$B293)=1,1,0))</f>
        <v/>
      </c>
      <c r="V293">
        <f>IF($U293=1,SUMPRODUCT(--($X$2:$X$1501&lt;$X293))+1,"")</f>
        <v/>
      </c>
      <c r="W293">
        <f>IF($B293="","",IF(OR($S293=TRUE(),$S293="TRUE"),1,0))</f>
        <v/>
      </c>
      <c r="X293">
        <f>IF($U293=1,IFERROR(IF(VALUE($B293)&lt;100000000,VALUE($B293),1000000000),IFERROR(IF(VALUE(MID($B293,2,20))&lt;100000000,VALUE(MID($B293,2,20)),1000000000),1000000000))+ROW()/100000,"")</f>
        <v/>
      </c>
    </row>
    <row r="294">
      <c r="A294">
        <f>IF($B294="","",IFERROR(IF(INDEX('Per Invoice'!$C$2:$C$401,MATCH($B294,'Per Invoice'!$A$2:$A$401,0))=0,"",INDEX('Per Invoice'!$C$2:$C$401,MATCH($B294,'Per Invoice'!$A$2:$A$401,0))),""))</f>
        <v/>
      </c>
      <c r="G294" s="7">
        <f>IF($B294="","",F294*L294/100)</f>
        <v/>
      </c>
      <c r="K294" s="7" t="n"/>
      <c r="L294" s="7" t="n"/>
      <c r="M294" s="7">
        <f>IF($B294="","",L294*T294/100)</f>
        <v/>
      </c>
      <c r="N294" s="7">
        <f>IF($B294="","",L294-M294)</f>
        <v/>
      </c>
      <c r="O294" s="7">
        <f>IF($B294="","",N294-G294)</f>
        <v/>
      </c>
      <c r="R294" s="14" t="n"/>
      <c r="T294">
        <f>IF($B294="","",IF($W294=1,Settings!$C$6,Settings!$C$7)*100)</f>
        <v/>
      </c>
      <c r="U294">
        <f>IF($B294="","",IF(COUNTIF($B$2:$B294,$B294)=1,1,0))</f>
        <v/>
      </c>
      <c r="V294">
        <f>IF($U294=1,SUMPRODUCT(--($X$2:$X$1501&lt;$X294))+1,"")</f>
        <v/>
      </c>
      <c r="W294">
        <f>IF($B294="","",IF(OR($S294=TRUE(),$S294="TRUE"),1,0))</f>
        <v/>
      </c>
      <c r="X294">
        <f>IF($U294=1,IFERROR(IF(VALUE($B294)&lt;100000000,VALUE($B294),1000000000),IFERROR(IF(VALUE(MID($B294,2,20))&lt;100000000,VALUE(MID($B294,2,20)),1000000000),1000000000))+ROW()/100000,"")</f>
        <v/>
      </c>
    </row>
    <row r="295">
      <c r="A295">
        <f>IF($B295="","",IFERROR(IF(INDEX('Per Invoice'!$C$2:$C$401,MATCH($B295,'Per Invoice'!$A$2:$A$401,0))=0,"",INDEX('Per Invoice'!$C$2:$C$401,MATCH($B295,'Per Invoice'!$A$2:$A$401,0))),""))</f>
        <v/>
      </c>
      <c r="G295" s="7">
        <f>IF($B295="","",F295*L295/100)</f>
        <v/>
      </c>
      <c r="K295" s="7" t="n"/>
      <c r="L295" s="7" t="n"/>
      <c r="M295" s="7">
        <f>IF($B295="","",L295*T295/100)</f>
        <v/>
      </c>
      <c r="N295" s="7">
        <f>IF($B295="","",L295-M295)</f>
        <v/>
      </c>
      <c r="O295" s="7">
        <f>IF($B295="","",N295-G295)</f>
        <v/>
      </c>
      <c r="R295" s="14" t="n"/>
      <c r="T295">
        <f>IF($B295="","",IF($W295=1,Settings!$C$6,Settings!$C$7)*100)</f>
        <v/>
      </c>
      <c r="U295">
        <f>IF($B295="","",IF(COUNTIF($B$2:$B295,$B295)=1,1,0))</f>
        <v/>
      </c>
      <c r="V295">
        <f>IF($U295=1,SUMPRODUCT(--($X$2:$X$1501&lt;$X295))+1,"")</f>
        <v/>
      </c>
      <c r="W295">
        <f>IF($B295="","",IF(OR($S295=TRUE(),$S295="TRUE"),1,0))</f>
        <v/>
      </c>
      <c r="X295">
        <f>IF($U295=1,IFERROR(IF(VALUE($B295)&lt;100000000,VALUE($B295),1000000000),IFERROR(IF(VALUE(MID($B295,2,20))&lt;100000000,VALUE(MID($B295,2,20)),1000000000),1000000000))+ROW()/100000,"")</f>
        <v/>
      </c>
    </row>
    <row r="296">
      <c r="A296">
        <f>IF($B296="","",IFERROR(IF(INDEX('Per Invoice'!$C$2:$C$401,MATCH($B296,'Per Invoice'!$A$2:$A$401,0))=0,"",INDEX('Per Invoice'!$C$2:$C$401,MATCH($B296,'Per Invoice'!$A$2:$A$401,0))),""))</f>
        <v/>
      </c>
      <c r="G296" s="7">
        <f>IF($B296="","",F296*L296/100)</f>
        <v/>
      </c>
      <c r="K296" s="7" t="n"/>
      <c r="L296" s="7" t="n"/>
      <c r="M296" s="7">
        <f>IF($B296="","",L296*T296/100)</f>
        <v/>
      </c>
      <c r="N296" s="7">
        <f>IF($B296="","",L296-M296)</f>
        <v/>
      </c>
      <c r="O296" s="7">
        <f>IF($B296="","",N296-G296)</f>
        <v/>
      </c>
      <c r="R296" s="14" t="n"/>
      <c r="T296">
        <f>IF($B296="","",IF($W296=1,Settings!$C$6,Settings!$C$7)*100)</f>
        <v/>
      </c>
      <c r="U296">
        <f>IF($B296="","",IF(COUNTIF($B$2:$B296,$B296)=1,1,0))</f>
        <v/>
      </c>
      <c r="V296">
        <f>IF($U296=1,SUMPRODUCT(--($X$2:$X$1501&lt;$X296))+1,"")</f>
        <v/>
      </c>
      <c r="W296">
        <f>IF($B296="","",IF(OR($S296=TRUE(),$S296="TRUE"),1,0))</f>
        <v/>
      </c>
      <c r="X296">
        <f>IF($U296=1,IFERROR(IF(VALUE($B296)&lt;100000000,VALUE($B296),1000000000),IFERROR(IF(VALUE(MID($B296,2,20))&lt;100000000,VALUE(MID($B296,2,20)),1000000000),1000000000))+ROW()/100000,"")</f>
        <v/>
      </c>
    </row>
    <row r="297">
      <c r="A297">
        <f>IF($B297="","",IFERROR(IF(INDEX('Per Invoice'!$C$2:$C$401,MATCH($B297,'Per Invoice'!$A$2:$A$401,0))=0,"",INDEX('Per Invoice'!$C$2:$C$401,MATCH($B297,'Per Invoice'!$A$2:$A$401,0))),""))</f>
        <v/>
      </c>
      <c r="G297" s="7">
        <f>IF($B297="","",F297*L297/100)</f>
        <v/>
      </c>
      <c r="K297" s="7" t="n"/>
      <c r="L297" s="7" t="n"/>
      <c r="M297" s="7">
        <f>IF($B297="","",L297*T297/100)</f>
        <v/>
      </c>
      <c r="N297" s="7">
        <f>IF($B297="","",L297-M297)</f>
        <v/>
      </c>
      <c r="O297" s="7">
        <f>IF($B297="","",N297-G297)</f>
        <v/>
      </c>
      <c r="R297" s="14" t="n"/>
      <c r="T297">
        <f>IF($B297="","",IF($W297=1,Settings!$C$6,Settings!$C$7)*100)</f>
        <v/>
      </c>
      <c r="U297">
        <f>IF($B297="","",IF(COUNTIF($B$2:$B297,$B297)=1,1,0))</f>
        <v/>
      </c>
      <c r="V297">
        <f>IF($U297=1,SUMPRODUCT(--($X$2:$X$1501&lt;$X297))+1,"")</f>
        <v/>
      </c>
      <c r="W297">
        <f>IF($B297="","",IF(OR($S297=TRUE(),$S297="TRUE"),1,0))</f>
        <v/>
      </c>
      <c r="X297">
        <f>IF($U297=1,IFERROR(IF(VALUE($B297)&lt;100000000,VALUE($B297),1000000000),IFERROR(IF(VALUE(MID($B297,2,20))&lt;100000000,VALUE(MID($B297,2,20)),1000000000),1000000000))+ROW()/100000,"")</f>
        <v/>
      </c>
    </row>
    <row r="298">
      <c r="A298">
        <f>IF($B298="","",IFERROR(IF(INDEX('Per Invoice'!$C$2:$C$401,MATCH($B298,'Per Invoice'!$A$2:$A$401,0))=0,"",INDEX('Per Invoice'!$C$2:$C$401,MATCH($B298,'Per Invoice'!$A$2:$A$401,0))),""))</f>
        <v/>
      </c>
      <c r="G298" s="7">
        <f>IF($B298="","",F298*L298/100)</f>
        <v/>
      </c>
      <c r="K298" s="7" t="n"/>
      <c r="L298" s="7" t="n"/>
      <c r="M298" s="7">
        <f>IF($B298="","",L298*T298/100)</f>
        <v/>
      </c>
      <c r="N298" s="7">
        <f>IF($B298="","",L298-M298)</f>
        <v/>
      </c>
      <c r="O298" s="7">
        <f>IF($B298="","",N298-G298)</f>
        <v/>
      </c>
      <c r="R298" s="14" t="n"/>
      <c r="T298">
        <f>IF($B298="","",IF($W298=1,Settings!$C$6,Settings!$C$7)*100)</f>
        <v/>
      </c>
      <c r="U298">
        <f>IF($B298="","",IF(COUNTIF($B$2:$B298,$B298)=1,1,0))</f>
        <v/>
      </c>
      <c r="V298">
        <f>IF($U298=1,SUMPRODUCT(--($X$2:$X$1501&lt;$X298))+1,"")</f>
        <v/>
      </c>
      <c r="W298">
        <f>IF($B298="","",IF(OR($S298=TRUE(),$S298="TRUE"),1,0))</f>
        <v/>
      </c>
      <c r="X298">
        <f>IF($U298=1,IFERROR(IF(VALUE($B298)&lt;100000000,VALUE($B298),1000000000),IFERROR(IF(VALUE(MID($B298,2,20))&lt;100000000,VALUE(MID($B298,2,20)),1000000000),1000000000))+ROW()/100000,"")</f>
        <v/>
      </c>
    </row>
    <row r="299">
      <c r="A299">
        <f>IF($B299="","",IFERROR(IF(INDEX('Per Invoice'!$C$2:$C$401,MATCH($B299,'Per Invoice'!$A$2:$A$401,0))=0,"",INDEX('Per Invoice'!$C$2:$C$401,MATCH($B299,'Per Invoice'!$A$2:$A$401,0))),""))</f>
        <v/>
      </c>
      <c r="G299" s="7">
        <f>IF($B299="","",F299*L299/100)</f>
        <v/>
      </c>
      <c r="K299" s="7" t="n"/>
      <c r="L299" s="7" t="n"/>
      <c r="M299" s="7">
        <f>IF($B299="","",L299*T299/100)</f>
        <v/>
      </c>
      <c r="N299" s="7">
        <f>IF($B299="","",L299-M299)</f>
        <v/>
      </c>
      <c r="O299" s="7">
        <f>IF($B299="","",N299-G299)</f>
        <v/>
      </c>
      <c r="R299" s="14" t="n"/>
      <c r="T299">
        <f>IF($B299="","",IF($W299=1,Settings!$C$6,Settings!$C$7)*100)</f>
        <v/>
      </c>
      <c r="U299">
        <f>IF($B299="","",IF(COUNTIF($B$2:$B299,$B299)=1,1,0))</f>
        <v/>
      </c>
      <c r="V299">
        <f>IF($U299=1,SUMPRODUCT(--($X$2:$X$1501&lt;$X299))+1,"")</f>
        <v/>
      </c>
      <c r="W299">
        <f>IF($B299="","",IF(OR($S299=TRUE(),$S299="TRUE"),1,0))</f>
        <v/>
      </c>
      <c r="X299">
        <f>IF($U299=1,IFERROR(IF(VALUE($B299)&lt;100000000,VALUE($B299),1000000000),IFERROR(IF(VALUE(MID($B299,2,20))&lt;100000000,VALUE(MID($B299,2,20)),1000000000),1000000000))+ROW()/100000,"")</f>
        <v/>
      </c>
    </row>
    <row r="300">
      <c r="A300">
        <f>IF($B300="","",IFERROR(IF(INDEX('Per Invoice'!$C$2:$C$401,MATCH($B300,'Per Invoice'!$A$2:$A$401,0))=0,"",INDEX('Per Invoice'!$C$2:$C$401,MATCH($B300,'Per Invoice'!$A$2:$A$401,0))),""))</f>
        <v/>
      </c>
      <c r="G300" s="7">
        <f>IF($B300="","",F300*L300/100)</f>
        <v/>
      </c>
      <c r="K300" s="7" t="n"/>
      <c r="L300" s="7" t="n"/>
      <c r="M300" s="7">
        <f>IF($B300="","",L300*T300/100)</f>
        <v/>
      </c>
      <c r="N300" s="7">
        <f>IF($B300="","",L300-M300)</f>
        <v/>
      </c>
      <c r="O300" s="7">
        <f>IF($B300="","",N300-G300)</f>
        <v/>
      </c>
      <c r="R300" s="14" t="n"/>
      <c r="T300">
        <f>IF($B300="","",IF($W300=1,Settings!$C$6,Settings!$C$7)*100)</f>
        <v/>
      </c>
      <c r="U300">
        <f>IF($B300="","",IF(COUNTIF($B$2:$B300,$B300)=1,1,0))</f>
        <v/>
      </c>
      <c r="V300">
        <f>IF($U300=1,SUMPRODUCT(--($X$2:$X$1501&lt;$X300))+1,"")</f>
        <v/>
      </c>
      <c r="W300">
        <f>IF($B300="","",IF(OR($S300=TRUE(),$S300="TRUE"),1,0))</f>
        <v/>
      </c>
      <c r="X300">
        <f>IF($U300=1,IFERROR(IF(VALUE($B300)&lt;100000000,VALUE($B300),1000000000),IFERROR(IF(VALUE(MID($B300,2,20))&lt;100000000,VALUE(MID($B300,2,20)),1000000000),1000000000))+ROW()/100000,"")</f>
        <v/>
      </c>
    </row>
    <row r="301">
      <c r="A301">
        <f>IF($B301="","",IFERROR(IF(INDEX('Per Invoice'!$C$2:$C$401,MATCH($B301,'Per Invoice'!$A$2:$A$401,0))=0,"",INDEX('Per Invoice'!$C$2:$C$401,MATCH($B301,'Per Invoice'!$A$2:$A$401,0))),""))</f>
        <v/>
      </c>
      <c r="G301" s="7">
        <f>IF($B301="","",F301*L301/100)</f>
        <v/>
      </c>
      <c r="K301" s="7" t="n"/>
      <c r="L301" s="7" t="n"/>
      <c r="M301" s="7">
        <f>IF($B301="","",L301*T301/100)</f>
        <v/>
      </c>
      <c r="N301" s="7">
        <f>IF($B301="","",L301-M301)</f>
        <v/>
      </c>
      <c r="O301" s="7">
        <f>IF($B301="","",N301-G301)</f>
        <v/>
      </c>
      <c r="R301" s="14" t="n"/>
      <c r="T301">
        <f>IF($B301="","",IF($W301=1,Settings!$C$6,Settings!$C$7)*100)</f>
        <v/>
      </c>
      <c r="U301">
        <f>IF($B301="","",IF(COUNTIF($B$2:$B301,$B301)=1,1,0))</f>
        <v/>
      </c>
      <c r="V301">
        <f>IF($U301=1,SUMPRODUCT(--($X$2:$X$1501&lt;$X301))+1,"")</f>
        <v/>
      </c>
      <c r="W301">
        <f>IF($B301="","",IF(OR($S301=TRUE(),$S301="TRUE"),1,0))</f>
        <v/>
      </c>
      <c r="X301">
        <f>IF($U301=1,IFERROR(IF(VALUE($B301)&lt;100000000,VALUE($B301),1000000000),IFERROR(IF(VALUE(MID($B301,2,20))&lt;100000000,VALUE(MID($B301,2,20)),1000000000),1000000000))+ROW()/100000,"")</f>
        <v/>
      </c>
    </row>
    <row r="302">
      <c r="A302">
        <f>IF($B302="","",IFERROR(IF(INDEX('Per Invoice'!$C$2:$C$401,MATCH($B302,'Per Invoice'!$A$2:$A$401,0))=0,"",INDEX('Per Invoice'!$C$2:$C$401,MATCH($B302,'Per Invoice'!$A$2:$A$401,0))),""))</f>
        <v/>
      </c>
      <c r="G302" s="7">
        <f>IF($B302="","",F302*L302/100)</f>
        <v/>
      </c>
      <c r="K302" s="7" t="n"/>
      <c r="L302" s="7" t="n"/>
      <c r="M302" s="7">
        <f>IF($B302="","",L302*T302/100)</f>
        <v/>
      </c>
      <c r="N302" s="7">
        <f>IF($B302="","",L302-M302)</f>
        <v/>
      </c>
      <c r="O302" s="7">
        <f>IF($B302="","",N302-G302)</f>
        <v/>
      </c>
      <c r="R302" s="14" t="n"/>
      <c r="T302">
        <f>IF($B302="","",IF($W302=1,Settings!$C$6,Settings!$C$7)*100)</f>
        <v/>
      </c>
      <c r="U302">
        <f>IF($B302="","",IF(COUNTIF($B$2:$B302,$B302)=1,1,0))</f>
        <v/>
      </c>
      <c r="V302">
        <f>IF($U302=1,SUMPRODUCT(--($X$2:$X$1501&lt;$X302))+1,"")</f>
        <v/>
      </c>
      <c r="W302">
        <f>IF($B302="","",IF(OR($S302=TRUE(),$S302="TRUE"),1,0))</f>
        <v/>
      </c>
      <c r="X302">
        <f>IF($U302=1,IFERROR(IF(VALUE($B302)&lt;100000000,VALUE($B302),1000000000),IFERROR(IF(VALUE(MID($B302,2,20))&lt;100000000,VALUE(MID($B302,2,20)),1000000000),1000000000))+ROW()/100000,"")</f>
        <v/>
      </c>
    </row>
    <row r="303">
      <c r="A303">
        <f>IF($B303="","",IFERROR(IF(INDEX('Per Invoice'!$C$2:$C$401,MATCH($B303,'Per Invoice'!$A$2:$A$401,0))=0,"",INDEX('Per Invoice'!$C$2:$C$401,MATCH($B303,'Per Invoice'!$A$2:$A$401,0))),""))</f>
        <v/>
      </c>
      <c r="G303" s="7">
        <f>IF($B303="","",F303*L303/100)</f>
        <v/>
      </c>
      <c r="K303" s="7" t="n"/>
      <c r="L303" s="7" t="n"/>
      <c r="M303" s="7">
        <f>IF($B303="","",L303*T303/100)</f>
        <v/>
      </c>
      <c r="N303" s="7">
        <f>IF($B303="","",L303-M303)</f>
        <v/>
      </c>
      <c r="O303" s="7">
        <f>IF($B303="","",N303-G303)</f>
        <v/>
      </c>
      <c r="R303" s="14" t="n"/>
      <c r="T303">
        <f>IF($B303="","",IF($W303=1,Settings!$C$6,Settings!$C$7)*100)</f>
        <v/>
      </c>
      <c r="U303">
        <f>IF($B303="","",IF(COUNTIF($B$2:$B303,$B303)=1,1,0))</f>
        <v/>
      </c>
      <c r="V303">
        <f>IF($U303=1,SUMPRODUCT(--($X$2:$X$1501&lt;$X303))+1,"")</f>
        <v/>
      </c>
      <c r="W303">
        <f>IF($B303="","",IF(OR($S303=TRUE(),$S303="TRUE"),1,0))</f>
        <v/>
      </c>
      <c r="X303">
        <f>IF($U303=1,IFERROR(IF(VALUE($B303)&lt;100000000,VALUE($B303),1000000000),IFERROR(IF(VALUE(MID($B303,2,20))&lt;100000000,VALUE(MID($B303,2,20)),1000000000),1000000000))+ROW()/100000,"")</f>
        <v/>
      </c>
    </row>
    <row r="304">
      <c r="A304">
        <f>IF($B304="","",IFERROR(IF(INDEX('Per Invoice'!$C$2:$C$401,MATCH($B304,'Per Invoice'!$A$2:$A$401,0))=0,"",INDEX('Per Invoice'!$C$2:$C$401,MATCH($B304,'Per Invoice'!$A$2:$A$401,0))),""))</f>
        <v/>
      </c>
      <c r="G304" s="7">
        <f>IF($B304="","",F304*L304/100)</f>
        <v/>
      </c>
      <c r="K304" s="7" t="n"/>
      <c r="L304" s="7" t="n"/>
      <c r="M304" s="7">
        <f>IF($B304="","",L304*T304/100)</f>
        <v/>
      </c>
      <c r="N304" s="7">
        <f>IF($B304="","",L304-M304)</f>
        <v/>
      </c>
      <c r="O304" s="7">
        <f>IF($B304="","",N304-G304)</f>
        <v/>
      </c>
      <c r="R304" s="14" t="n"/>
      <c r="T304">
        <f>IF($B304="","",IF($W304=1,Settings!$C$6,Settings!$C$7)*100)</f>
        <v/>
      </c>
      <c r="U304">
        <f>IF($B304="","",IF(COUNTIF($B$2:$B304,$B304)=1,1,0))</f>
        <v/>
      </c>
      <c r="V304">
        <f>IF($U304=1,SUMPRODUCT(--($X$2:$X$1501&lt;$X304))+1,"")</f>
        <v/>
      </c>
      <c r="W304">
        <f>IF($B304="","",IF(OR($S304=TRUE(),$S304="TRUE"),1,0))</f>
        <v/>
      </c>
      <c r="X304">
        <f>IF($U304=1,IFERROR(IF(VALUE($B304)&lt;100000000,VALUE($B304),1000000000),IFERROR(IF(VALUE(MID($B304,2,20))&lt;100000000,VALUE(MID($B304,2,20)),1000000000),1000000000))+ROW()/100000,"")</f>
        <v/>
      </c>
    </row>
    <row r="305">
      <c r="A305">
        <f>IF($B305="","",IFERROR(IF(INDEX('Per Invoice'!$C$2:$C$401,MATCH($B305,'Per Invoice'!$A$2:$A$401,0))=0,"",INDEX('Per Invoice'!$C$2:$C$401,MATCH($B305,'Per Invoice'!$A$2:$A$401,0))),""))</f>
        <v/>
      </c>
      <c r="G305" s="7">
        <f>IF($B305="","",F305*L305/100)</f>
        <v/>
      </c>
      <c r="K305" s="7" t="n"/>
      <c r="L305" s="7" t="n"/>
      <c r="M305" s="7">
        <f>IF($B305="","",L305*T305/100)</f>
        <v/>
      </c>
      <c r="N305" s="7">
        <f>IF($B305="","",L305-M305)</f>
        <v/>
      </c>
      <c r="O305" s="7">
        <f>IF($B305="","",N305-G305)</f>
        <v/>
      </c>
      <c r="R305" s="14" t="n"/>
      <c r="T305">
        <f>IF($B305="","",IF($W305=1,Settings!$C$6,Settings!$C$7)*100)</f>
        <v/>
      </c>
      <c r="U305">
        <f>IF($B305="","",IF(COUNTIF($B$2:$B305,$B305)=1,1,0))</f>
        <v/>
      </c>
      <c r="V305">
        <f>IF($U305=1,SUMPRODUCT(--($X$2:$X$1501&lt;$X305))+1,"")</f>
        <v/>
      </c>
      <c r="W305">
        <f>IF($B305="","",IF(OR($S305=TRUE(),$S305="TRUE"),1,0))</f>
        <v/>
      </c>
      <c r="X305">
        <f>IF($U305=1,IFERROR(IF(VALUE($B305)&lt;100000000,VALUE($B305),1000000000),IFERROR(IF(VALUE(MID($B305,2,20))&lt;100000000,VALUE(MID($B305,2,20)),1000000000),1000000000))+ROW()/100000,"")</f>
        <v/>
      </c>
    </row>
    <row r="306">
      <c r="A306">
        <f>IF($B306="","",IFERROR(IF(INDEX('Per Invoice'!$C$2:$C$401,MATCH($B306,'Per Invoice'!$A$2:$A$401,0))=0,"",INDEX('Per Invoice'!$C$2:$C$401,MATCH($B306,'Per Invoice'!$A$2:$A$401,0))),""))</f>
        <v/>
      </c>
      <c r="G306" s="7">
        <f>IF($B306="","",F306*L306/100)</f>
        <v/>
      </c>
      <c r="K306" s="7" t="n"/>
      <c r="L306" s="7" t="n"/>
      <c r="M306" s="7">
        <f>IF($B306="","",L306*T306/100)</f>
        <v/>
      </c>
      <c r="N306" s="7">
        <f>IF($B306="","",L306-M306)</f>
        <v/>
      </c>
      <c r="O306" s="7">
        <f>IF($B306="","",N306-G306)</f>
        <v/>
      </c>
      <c r="R306" s="14" t="n"/>
      <c r="T306">
        <f>IF($B306="","",IF($W306=1,Settings!$C$6,Settings!$C$7)*100)</f>
        <v/>
      </c>
      <c r="U306">
        <f>IF($B306="","",IF(COUNTIF($B$2:$B306,$B306)=1,1,0))</f>
        <v/>
      </c>
      <c r="V306">
        <f>IF($U306=1,SUMPRODUCT(--($X$2:$X$1501&lt;$X306))+1,"")</f>
        <v/>
      </c>
      <c r="W306">
        <f>IF($B306="","",IF(OR($S306=TRUE(),$S306="TRUE"),1,0))</f>
        <v/>
      </c>
      <c r="X306">
        <f>IF($U306=1,IFERROR(IF(VALUE($B306)&lt;100000000,VALUE($B306),1000000000),IFERROR(IF(VALUE(MID($B306,2,20))&lt;100000000,VALUE(MID($B306,2,20)),1000000000),1000000000))+ROW()/100000,"")</f>
        <v/>
      </c>
    </row>
    <row r="307">
      <c r="A307">
        <f>IF($B307="","",IFERROR(IF(INDEX('Per Invoice'!$C$2:$C$401,MATCH($B307,'Per Invoice'!$A$2:$A$401,0))=0,"",INDEX('Per Invoice'!$C$2:$C$401,MATCH($B307,'Per Invoice'!$A$2:$A$401,0))),""))</f>
        <v/>
      </c>
      <c r="G307" s="7">
        <f>IF($B307="","",F307*L307/100)</f>
        <v/>
      </c>
      <c r="K307" s="7" t="n"/>
      <c r="L307" s="7" t="n"/>
      <c r="M307" s="7">
        <f>IF($B307="","",L307*T307/100)</f>
        <v/>
      </c>
      <c r="N307" s="7">
        <f>IF($B307="","",L307-M307)</f>
        <v/>
      </c>
      <c r="O307" s="7">
        <f>IF($B307="","",N307-G307)</f>
        <v/>
      </c>
      <c r="R307" s="14" t="n"/>
      <c r="T307">
        <f>IF($B307="","",IF($W307=1,Settings!$C$6,Settings!$C$7)*100)</f>
        <v/>
      </c>
      <c r="U307">
        <f>IF($B307="","",IF(COUNTIF($B$2:$B307,$B307)=1,1,0))</f>
        <v/>
      </c>
      <c r="V307">
        <f>IF($U307=1,SUMPRODUCT(--($X$2:$X$1501&lt;$X307))+1,"")</f>
        <v/>
      </c>
      <c r="W307">
        <f>IF($B307="","",IF(OR($S307=TRUE(),$S307="TRUE"),1,0))</f>
        <v/>
      </c>
      <c r="X307">
        <f>IF($U307=1,IFERROR(IF(VALUE($B307)&lt;100000000,VALUE($B307),1000000000),IFERROR(IF(VALUE(MID($B307,2,20))&lt;100000000,VALUE(MID($B307,2,20)),1000000000),1000000000))+ROW()/100000,"")</f>
        <v/>
      </c>
    </row>
    <row r="308">
      <c r="A308">
        <f>IF($B308="","",IFERROR(IF(INDEX('Per Invoice'!$C$2:$C$401,MATCH($B308,'Per Invoice'!$A$2:$A$401,0))=0,"",INDEX('Per Invoice'!$C$2:$C$401,MATCH($B308,'Per Invoice'!$A$2:$A$401,0))),""))</f>
        <v/>
      </c>
      <c r="G308" s="7">
        <f>IF($B308="","",F308*L308/100)</f>
        <v/>
      </c>
      <c r="K308" s="7" t="n"/>
      <c r="L308" s="7" t="n"/>
      <c r="M308" s="7">
        <f>IF($B308="","",L308*T308/100)</f>
        <v/>
      </c>
      <c r="N308" s="7">
        <f>IF($B308="","",L308-M308)</f>
        <v/>
      </c>
      <c r="O308" s="7">
        <f>IF($B308="","",N308-G308)</f>
        <v/>
      </c>
      <c r="R308" s="14" t="n"/>
      <c r="T308">
        <f>IF($B308="","",IF($W308=1,Settings!$C$6,Settings!$C$7)*100)</f>
        <v/>
      </c>
      <c r="U308">
        <f>IF($B308="","",IF(COUNTIF($B$2:$B308,$B308)=1,1,0))</f>
        <v/>
      </c>
      <c r="V308">
        <f>IF($U308=1,SUMPRODUCT(--($X$2:$X$1501&lt;$X308))+1,"")</f>
        <v/>
      </c>
      <c r="W308">
        <f>IF($B308="","",IF(OR($S308=TRUE(),$S308="TRUE"),1,0))</f>
        <v/>
      </c>
      <c r="X308">
        <f>IF($U308=1,IFERROR(IF(VALUE($B308)&lt;100000000,VALUE($B308),1000000000),IFERROR(IF(VALUE(MID($B308,2,20))&lt;100000000,VALUE(MID($B308,2,20)),1000000000),1000000000))+ROW()/100000,"")</f>
        <v/>
      </c>
    </row>
    <row r="309">
      <c r="A309">
        <f>IF($B309="","",IFERROR(IF(INDEX('Per Invoice'!$C$2:$C$401,MATCH($B309,'Per Invoice'!$A$2:$A$401,0))=0,"",INDEX('Per Invoice'!$C$2:$C$401,MATCH($B309,'Per Invoice'!$A$2:$A$401,0))),""))</f>
        <v/>
      </c>
      <c r="G309" s="7">
        <f>IF($B309="","",F309*L309/100)</f>
        <v/>
      </c>
      <c r="K309" s="7" t="n"/>
      <c r="L309" s="7" t="n"/>
      <c r="M309" s="7">
        <f>IF($B309="","",L309*T309/100)</f>
        <v/>
      </c>
      <c r="N309" s="7">
        <f>IF($B309="","",L309-M309)</f>
        <v/>
      </c>
      <c r="O309" s="7">
        <f>IF($B309="","",N309-G309)</f>
        <v/>
      </c>
      <c r="R309" s="14" t="n"/>
      <c r="T309">
        <f>IF($B309="","",IF($W309=1,Settings!$C$6,Settings!$C$7)*100)</f>
        <v/>
      </c>
      <c r="U309">
        <f>IF($B309="","",IF(COUNTIF($B$2:$B309,$B309)=1,1,0))</f>
        <v/>
      </c>
      <c r="V309">
        <f>IF($U309=1,SUMPRODUCT(--($X$2:$X$1501&lt;$X309))+1,"")</f>
        <v/>
      </c>
      <c r="W309">
        <f>IF($B309="","",IF(OR($S309=TRUE(),$S309="TRUE"),1,0))</f>
        <v/>
      </c>
      <c r="X309">
        <f>IF($U309=1,IFERROR(IF(VALUE($B309)&lt;100000000,VALUE($B309),1000000000),IFERROR(IF(VALUE(MID($B309,2,20))&lt;100000000,VALUE(MID($B309,2,20)),1000000000),1000000000))+ROW()/100000,"")</f>
        <v/>
      </c>
    </row>
    <row r="310">
      <c r="A310">
        <f>IF($B310="","",IFERROR(IF(INDEX('Per Invoice'!$C$2:$C$401,MATCH($B310,'Per Invoice'!$A$2:$A$401,0))=0,"",INDEX('Per Invoice'!$C$2:$C$401,MATCH($B310,'Per Invoice'!$A$2:$A$401,0))),""))</f>
        <v/>
      </c>
      <c r="G310" s="7">
        <f>IF($B310="","",F310*L310/100)</f>
        <v/>
      </c>
      <c r="K310" s="7" t="n"/>
      <c r="L310" s="7" t="n"/>
      <c r="M310" s="7">
        <f>IF($B310="","",L310*T310/100)</f>
        <v/>
      </c>
      <c r="N310" s="7">
        <f>IF($B310="","",L310-M310)</f>
        <v/>
      </c>
      <c r="O310" s="7">
        <f>IF($B310="","",N310-G310)</f>
        <v/>
      </c>
      <c r="R310" s="14" t="n"/>
      <c r="T310">
        <f>IF($B310="","",IF($W310=1,Settings!$C$6,Settings!$C$7)*100)</f>
        <v/>
      </c>
      <c r="U310">
        <f>IF($B310="","",IF(COUNTIF($B$2:$B310,$B310)=1,1,0))</f>
        <v/>
      </c>
      <c r="V310">
        <f>IF($U310=1,SUMPRODUCT(--($X$2:$X$1501&lt;$X310))+1,"")</f>
        <v/>
      </c>
      <c r="W310">
        <f>IF($B310="","",IF(OR($S310=TRUE(),$S310="TRUE"),1,0))</f>
        <v/>
      </c>
      <c r="X310">
        <f>IF($U310=1,IFERROR(IF(VALUE($B310)&lt;100000000,VALUE($B310),1000000000),IFERROR(IF(VALUE(MID($B310,2,20))&lt;100000000,VALUE(MID($B310,2,20)),1000000000),1000000000))+ROW()/100000,"")</f>
        <v/>
      </c>
    </row>
    <row r="311">
      <c r="A311">
        <f>IF($B311="","",IFERROR(IF(INDEX('Per Invoice'!$C$2:$C$401,MATCH($B311,'Per Invoice'!$A$2:$A$401,0))=0,"",INDEX('Per Invoice'!$C$2:$C$401,MATCH($B311,'Per Invoice'!$A$2:$A$401,0))),""))</f>
        <v/>
      </c>
      <c r="G311" s="7">
        <f>IF($B311="","",F311*L311/100)</f>
        <v/>
      </c>
      <c r="K311" s="7" t="n"/>
      <c r="L311" s="7" t="n"/>
      <c r="M311" s="7">
        <f>IF($B311="","",L311*T311/100)</f>
        <v/>
      </c>
      <c r="N311" s="7">
        <f>IF($B311="","",L311-M311)</f>
        <v/>
      </c>
      <c r="O311" s="7">
        <f>IF($B311="","",N311-G311)</f>
        <v/>
      </c>
      <c r="R311" s="14" t="n"/>
      <c r="T311">
        <f>IF($B311="","",IF($W311=1,Settings!$C$6,Settings!$C$7)*100)</f>
        <v/>
      </c>
      <c r="U311">
        <f>IF($B311="","",IF(COUNTIF($B$2:$B311,$B311)=1,1,0))</f>
        <v/>
      </c>
      <c r="V311">
        <f>IF($U311=1,SUMPRODUCT(--($X$2:$X$1501&lt;$X311))+1,"")</f>
        <v/>
      </c>
      <c r="W311">
        <f>IF($B311="","",IF(OR($S311=TRUE(),$S311="TRUE"),1,0))</f>
        <v/>
      </c>
      <c r="X311">
        <f>IF($U311=1,IFERROR(IF(VALUE($B311)&lt;100000000,VALUE($B311),1000000000),IFERROR(IF(VALUE(MID($B311,2,20))&lt;100000000,VALUE(MID($B311,2,20)),1000000000),1000000000))+ROW()/100000,"")</f>
        <v/>
      </c>
    </row>
    <row r="312">
      <c r="A312">
        <f>IF($B312="","",IFERROR(IF(INDEX('Per Invoice'!$C$2:$C$401,MATCH($B312,'Per Invoice'!$A$2:$A$401,0))=0,"",INDEX('Per Invoice'!$C$2:$C$401,MATCH($B312,'Per Invoice'!$A$2:$A$401,0))),""))</f>
        <v/>
      </c>
      <c r="G312" s="7">
        <f>IF($B312="","",F312*L312/100)</f>
        <v/>
      </c>
      <c r="K312" s="7" t="n"/>
      <c r="L312" s="7" t="n"/>
      <c r="M312" s="7">
        <f>IF($B312="","",L312*T312/100)</f>
        <v/>
      </c>
      <c r="N312" s="7">
        <f>IF($B312="","",L312-M312)</f>
        <v/>
      </c>
      <c r="O312" s="7">
        <f>IF($B312="","",N312-G312)</f>
        <v/>
      </c>
      <c r="R312" s="14" t="n"/>
      <c r="T312">
        <f>IF($B312="","",IF($W312=1,Settings!$C$6,Settings!$C$7)*100)</f>
        <v/>
      </c>
      <c r="U312">
        <f>IF($B312="","",IF(COUNTIF($B$2:$B312,$B312)=1,1,0))</f>
        <v/>
      </c>
      <c r="V312">
        <f>IF($U312=1,SUMPRODUCT(--($X$2:$X$1501&lt;$X312))+1,"")</f>
        <v/>
      </c>
      <c r="W312">
        <f>IF($B312="","",IF(OR($S312=TRUE(),$S312="TRUE"),1,0))</f>
        <v/>
      </c>
      <c r="X312">
        <f>IF($U312=1,IFERROR(IF(VALUE($B312)&lt;100000000,VALUE($B312),1000000000),IFERROR(IF(VALUE(MID($B312,2,20))&lt;100000000,VALUE(MID($B312,2,20)),1000000000),1000000000))+ROW()/100000,"")</f>
        <v/>
      </c>
    </row>
    <row r="313">
      <c r="A313">
        <f>IF($B313="","",IFERROR(IF(INDEX('Per Invoice'!$C$2:$C$401,MATCH($B313,'Per Invoice'!$A$2:$A$401,0))=0,"",INDEX('Per Invoice'!$C$2:$C$401,MATCH($B313,'Per Invoice'!$A$2:$A$401,0))),""))</f>
        <v/>
      </c>
      <c r="G313" s="7">
        <f>IF($B313="","",F313*L313/100)</f>
        <v/>
      </c>
      <c r="K313" s="7" t="n"/>
      <c r="L313" s="7" t="n"/>
      <c r="M313" s="7">
        <f>IF($B313="","",L313*T313/100)</f>
        <v/>
      </c>
      <c r="N313" s="7">
        <f>IF($B313="","",L313-M313)</f>
        <v/>
      </c>
      <c r="O313" s="7">
        <f>IF($B313="","",N313-G313)</f>
        <v/>
      </c>
      <c r="R313" s="14" t="n"/>
      <c r="T313">
        <f>IF($B313="","",IF($W313=1,Settings!$C$6,Settings!$C$7)*100)</f>
        <v/>
      </c>
      <c r="U313">
        <f>IF($B313="","",IF(COUNTIF($B$2:$B313,$B313)=1,1,0))</f>
        <v/>
      </c>
      <c r="V313">
        <f>IF($U313=1,SUMPRODUCT(--($X$2:$X$1501&lt;$X313))+1,"")</f>
        <v/>
      </c>
      <c r="W313">
        <f>IF($B313="","",IF(OR($S313=TRUE(),$S313="TRUE"),1,0))</f>
        <v/>
      </c>
      <c r="X313">
        <f>IF($U313=1,IFERROR(IF(VALUE($B313)&lt;100000000,VALUE($B313),1000000000),IFERROR(IF(VALUE(MID($B313,2,20))&lt;100000000,VALUE(MID($B313,2,20)),1000000000),1000000000))+ROW()/100000,"")</f>
        <v/>
      </c>
    </row>
    <row r="314">
      <c r="A314">
        <f>IF($B314="","",IFERROR(IF(INDEX('Per Invoice'!$C$2:$C$401,MATCH($B314,'Per Invoice'!$A$2:$A$401,0))=0,"",INDEX('Per Invoice'!$C$2:$C$401,MATCH($B314,'Per Invoice'!$A$2:$A$401,0))),""))</f>
        <v/>
      </c>
      <c r="G314" s="7">
        <f>IF($B314="","",F314*L314/100)</f>
        <v/>
      </c>
      <c r="K314" s="7" t="n"/>
      <c r="L314" s="7" t="n"/>
      <c r="M314" s="7">
        <f>IF($B314="","",L314*T314/100)</f>
        <v/>
      </c>
      <c r="N314" s="7">
        <f>IF($B314="","",L314-M314)</f>
        <v/>
      </c>
      <c r="O314" s="7">
        <f>IF($B314="","",N314-G314)</f>
        <v/>
      </c>
      <c r="R314" s="14" t="n"/>
      <c r="T314">
        <f>IF($B314="","",IF($W314=1,Settings!$C$6,Settings!$C$7)*100)</f>
        <v/>
      </c>
      <c r="U314">
        <f>IF($B314="","",IF(COUNTIF($B$2:$B314,$B314)=1,1,0))</f>
        <v/>
      </c>
      <c r="V314">
        <f>IF($U314=1,SUMPRODUCT(--($X$2:$X$1501&lt;$X314))+1,"")</f>
        <v/>
      </c>
      <c r="W314">
        <f>IF($B314="","",IF(OR($S314=TRUE(),$S314="TRUE"),1,0))</f>
        <v/>
      </c>
      <c r="X314">
        <f>IF($U314=1,IFERROR(IF(VALUE($B314)&lt;100000000,VALUE($B314),1000000000),IFERROR(IF(VALUE(MID($B314,2,20))&lt;100000000,VALUE(MID($B314,2,20)),1000000000),1000000000))+ROW()/100000,"")</f>
        <v/>
      </c>
    </row>
    <row r="315">
      <c r="A315">
        <f>IF($B315="","",IFERROR(IF(INDEX('Per Invoice'!$C$2:$C$401,MATCH($B315,'Per Invoice'!$A$2:$A$401,0))=0,"",INDEX('Per Invoice'!$C$2:$C$401,MATCH($B315,'Per Invoice'!$A$2:$A$401,0))),""))</f>
        <v/>
      </c>
      <c r="G315" s="7">
        <f>IF($B315="","",F315*L315/100)</f>
        <v/>
      </c>
      <c r="K315" s="7" t="n"/>
      <c r="L315" s="7" t="n"/>
      <c r="M315" s="7">
        <f>IF($B315="","",L315*T315/100)</f>
        <v/>
      </c>
      <c r="N315" s="7">
        <f>IF($B315="","",L315-M315)</f>
        <v/>
      </c>
      <c r="O315" s="7">
        <f>IF($B315="","",N315-G315)</f>
        <v/>
      </c>
      <c r="R315" s="14" t="n"/>
      <c r="T315">
        <f>IF($B315="","",IF($W315=1,Settings!$C$6,Settings!$C$7)*100)</f>
        <v/>
      </c>
      <c r="U315">
        <f>IF($B315="","",IF(COUNTIF($B$2:$B315,$B315)=1,1,0))</f>
        <v/>
      </c>
      <c r="V315">
        <f>IF($U315=1,SUMPRODUCT(--($X$2:$X$1501&lt;$X315))+1,"")</f>
        <v/>
      </c>
      <c r="W315">
        <f>IF($B315="","",IF(OR($S315=TRUE(),$S315="TRUE"),1,0))</f>
        <v/>
      </c>
      <c r="X315">
        <f>IF($U315=1,IFERROR(IF(VALUE($B315)&lt;100000000,VALUE($B315),1000000000),IFERROR(IF(VALUE(MID($B315,2,20))&lt;100000000,VALUE(MID($B315,2,20)),1000000000),1000000000))+ROW()/100000,"")</f>
        <v/>
      </c>
    </row>
    <row r="316">
      <c r="A316">
        <f>IF($B316="","",IFERROR(IF(INDEX('Per Invoice'!$C$2:$C$401,MATCH($B316,'Per Invoice'!$A$2:$A$401,0))=0,"",INDEX('Per Invoice'!$C$2:$C$401,MATCH($B316,'Per Invoice'!$A$2:$A$401,0))),""))</f>
        <v/>
      </c>
      <c r="G316" s="7">
        <f>IF($B316="","",F316*L316/100)</f>
        <v/>
      </c>
      <c r="K316" s="7" t="n"/>
      <c r="L316" s="7" t="n"/>
      <c r="M316" s="7">
        <f>IF($B316="","",L316*T316/100)</f>
        <v/>
      </c>
      <c r="N316" s="7">
        <f>IF($B316="","",L316-M316)</f>
        <v/>
      </c>
      <c r="O316" s="7">
        <f>IF($B316="","",N316-G316)</f>
        <v/>
      </c>
      <c r="R316" s="14" t="n"/>
      <c r="T316">
        <f>IF($B316="","",IF($W316=1,Settings!$C$6,Settings!$C$7)*100)</f>
        <v/>
      </c>
      <c r="U316">
        <f>IF($B316="","",IF(COUNTIF($B$2:$B316,$B316)=1,1,0))</f>
        <v/>
      </c>
      <c r="V316">
        <f>IF($U316=1,SUMPRODUCT(--($X$2:$X$1501&lt;$X316))+1,"")</f>
        <v/>
      </c>
      <c r="W316">
        <f>IF($B316="","",IF(OR($S316=TRUE(),$S316="TRUE"),1,0))</f>
        <v/>
      </c>
      <c r="X316">
        <f>IF($U316=1,IFERROR(IF(VALUE($B316)&lt;100000000,VALUE($B316),1000000000),IFERROR(IF(VALUE(MID($B316,2,20))&lt;100000000,VALUE(MID($B316,2,20)),1000000000),1000000000))+ROW()/100000,"")</f>
        <v/>
      </c>
    </row>
    <row r="317">
      <c r="A317">
        <f>IF($B317="","",IFERROR(IF(INDEX('Per Invoice'!$C$2:$C$401,MATCH($B317,'Per Invoice'!$A$2:$A$401,0))=0,"",INDEX('Per Invoice'!$C$2:$C$401,MATCH($B317,'Per Invoice'!$A$2:$A$401,0))),""))</f>
        <v/>
      </c>
      <c r="G317" s="7">
        <f>IF($B317="","",F317*L317/100)</f>
        <v/>
      </c>
      <c r="K317" s="7" t="n"/>
      <c r="L317" s="7" t="n"/>
      <c r="M317" s="7">
        <f>IF($B317="","",L317*T317/100)</f>
        <v/>
      </c>
      <c r="N317" s="7">
        <f>IF($B317="","",L317-M317)</f>
        <v/>
      </c>
      <c r="O317" s="7">
        <f>IF($B317="","",N317-G317)</f>
        <v/>
      </c>
      <c r="R317" s="14" t="n"/>
      <c r="T317">
        <f>IF($B317="","",IF($W317=1,Settings!$C$6,Settings!$C$7)*100)</f>
        <v/>
      </c>
      <c r="U317">
        <f>IF($B317="","",IF(COUNTIF($B$2:$B317,$B317)=1,1,0))</f>
        <v/>
      </c>
      <c r="V317">
        <f>IF($U317=1,SUMPRODUCT(--($X$2:$X$1501&lt;$X317))+1,"")</f>
        <v/>
      </c>
      <c r="W317">
        <f>IF($B317="","",IF(OR($S317=TRUE(),$S317="TRUE"),1,0))</f>
        <v/>
      </c>
      <c r="X317">
        <f>IF($U317=1,IFERROR(IF(VALUE($B317)&lt;100000000,VALUE($B317),1000000000),IFERROR(IF(VALUE(MID($B317,2,20))&lt;100000000,VALUE(MID($B317,2,20)),1000000000),1000000000))+ROW()/100000,"")</f>
        <v/>
      </c>
    </row>
    <row r="318">
      <c r="A318">
        <f>IF($B318="","",IFERROR(IF(INDEX('Per Invoice'!$C$2:$C$401,MATCH($B318,'Per Invoice'!$A$2:$A$401,0))=0,"",INDEX('Per Invoice'!$C$2:$C$401,MATCH($B318,'Per Invoice'!$A$2:$A$401,0))),""))</f>
        <v/>
      </c>
      <c r="G318" s="7">
        <f>IF($B318="","",F318*L318/100)</f>
        <v/>
      </c>
      <c r="K318" s="7" t="n"/>
      <c r="L318" s="7" t="n"/>
      <c r="M318" s="7">
        <f>IF($B318="","",L318*T318/100)</f>
        <v/>
      </c>
      <c r="N318" s="7">
        <f>IF($B318="","",L318-M318)</f>
        <v/>
      </c>
      <c r="O318" s="7">
        <f>IF($B318="","",N318-G318)</f>
        <v/>
      </c>
      <c r="R318" s="14" t="n"/>
      <c r="T318">
        <f>IF($B318="","",IF($W318=1,Settings!$C$6,Settings!$C$7)*100)</f>
        <v/>
      </c>
      <c r="U318">
        <f>IF($B318="","",IF(COUNTIF($B$2:$B318,$B318)=1,1,0))</f>
        <v/>
      </c>
      <c r="V318">
        <f>IF($U318=1,SUMPRODUCT(--($X$2:$X$1501&lt;$X318))+1,"")</f>
        <v/>
      </c>
      <c r="W318">
        <f>IF($B318="","",IF(OR($S318=TRUE(),$S318="TRUE"),1,0))</f>
        <v/>
      </c>
      <c r="X318">
        <f>IF($U318=1,IFERROR(IF(VALUE($B318)&lt;100000000,VALUE($B318),1000000000),IFERROR(IF(VALUE(MID($B318,2,20))&lt;100000000,VALUE(MID($B318,2,20)),1000000000),1000000000))+ROW()/100000,"")</f>
        <v/>
      </c>
    </row>
    <row r="319">
      <c r="A319">
        <f>IF($B319="","",IFERROR(IF(INDEX('Per Invoice'!$C$2:$C$401,MATCH($B319,'Per Invoice'!$A$2:$A$401,0))=0,"",INDEX('Per Invoice'!$C$2:$C$401,MATCH($B319,'Per Invoice'!$A$2:$A$401,0))),""))</f>
        <v/>
      </c>
      <c r="G319" s="7">
        <f>IF($B319="","",F319*L319/100)</f>
        <v/>
      </c>
      <c r="K319" s="7" t="n"/>
      <c r="L319" s="7" t="n"/>
      <c r="M319" s="7">
        <f>IF($B319="","",L319*T319/100)</f>
        <v/>
      </c>
      <c r="N319" s="7">
        <f>IF($B319="","",L319-M319)</f>
        <v/>
      </c>
      <c r="O319" s="7">
        <f>IF($B319="","",N319-G319)</f>
        <v/>
      </c>
      <c r="R319" s="14" t="n"/>
      <c r="T319">
        <f>IF($B319="","",IF($W319=1,Settings!$C$6,Settings!$C$7)*100)</f>
        <v/>
      </c>
      <c r="U319">
        <f>IF($B319="","",IF(COUNTIF($B$2:$B319,$B319)=1,1,0))</f>
        <v/>
      </c>
      <c r="V319">
        <f>IF($U319=1,SUMPRODUCT(--($X$2:$X$1501&lt;$X319))+1,"")</f>
        <v/>
      </c>
      <c r="W319">
        <f>IF($B319="","",IF(OR($S319=TRUE(),$S319="TRUE"),1,0))</f>
        <v/>
      </c>
      <c r="X319">
        <f>IF($U319=1,IFERROR(IF(VALUE($B319)&lt;100000000,VALUE($B319),1000000000),IFERROR(IF(VALUE(MID($B319,2,20))&lt;100000000,VALUE(MID($B319,2,20)),1000000000),1000000000))+ROW()/100000,"")</f>
        <v/>
      </c>
    </row>
    <row r="320">
      <c r="A320">
        <f>IF($B320="","",IFERROR(IF(INDEX('Per Invoice'!$C$2:$C$401,MATCH($B320,'Per Invoice'!$A$2:$A$401,0))=0,"",INDEX('Per Invoice'!$C$2:$C$401,MATCH($B320,'Per Invoice'!$A$2:$A$401,0))),""))</f>
        <v/>
      </c>
      <c r="G320" s="7">
        <f>IF($B320="","",F320*L320/100)</f>
        <v/>
      </c>
      <c r="K320" s="7" t="n"/>
      <c r="L320" s="7" t="n"/>
      <c r="M320" s="7">
        <f>IF($B320="","",L320*T320/100)</f>
        <v/>
      </c>
      <c r="N320" s="7">
        <f>IF($B320="","",L320-M320)</f>
        <v/>
      </c>
      <c r="O320" s="7">
        <f>IF($B320="","",N320-G320)</f>
        <v/>
      </c>
      <c r="R320" s="14" t="n"/>
      <c r="T320">
        <f>IF($B320="","",IF($W320=1,Settings!$C$6,Settings!$C$7)*100)</f>
        <v/>
      </c>
      <c r="U320">
        <f>IF($B320="","",IF(COUNTIF($B$2:$B320,$B320)=1,1,0))</f>
        <v/>
      </c>
      <c r="V320">
        <f>IF($U320=1,SUMPRODUCT(--($X$2:$X$1501&lt;$X320))+1,"")</f>
        <v/>
      </c>
      <c r="W320">
        <f>IF($B320="","",IF(OR($S320=TRUE(),$S320="TRUE"),1,0))</f>
        <v/>
      </c>
      <c r="X320">
        <f>IF($U320=1,IFERROR(IF(VALUE($B320)&lt;100000000,VALUE($B320),1000000000),IFERROR(IF(VALUE(MID($B320,2,20))&lt;100000000,VALUE(MID($B320,2,20)),1000000000),1000000000))+ROW()/100000,"")</f>
        <v/>
      </c>
    </row>
    <row r="321">
      <c r="A321">
        <f>IF($B321="","",IFERROR(IF(INDEX('Per Invoice'!$C$2:$C$401,MATCH($B321,'Per Invoice'!$A$2:$A$401,0))=0,"",INDEX('Per Invoice'!$C$2:$C$401,MATCH($B321,'Per Invoice'!$A$2:$A$401,0))),""))</f>
        <v/>
      </c>
      <c r="G321" s="7">
        <f>IF($B321="","",F321*L321/100)</f>
        <v/>
      </c>
      <c r="K321" s="7" t="n"/>
      <c r="L321" s="7" t="n"/>
      <c r="M321" s="7">
        <f>IF($B321="","",L321*T321/100)</f>
        <v/>
      </c>
      <c r="N321" s="7">
        <f>IF($B321="","",L321-M321)</f>
        <v/>
      </c>
      <c r="O321" s="7">
        <f>IF($B321="","",N321-G321)</f>
        <v/>
      </c>
      <c r="R321" s="14" t="n"/>
      <c r="T321">
        <f>IF($B321="","",IF($W321=1,Settings!$C$6,Settings!$C$7)*100)</f>
        <v/>
      </c>
      <c r="U321">
        <f>IF($B321="","",IF(COUNTIF($B$2:$B321,$B321)=1,1,0))</f>
        <v/>
      </c>
      <c r="V321">
        <f>IF($U321=1,SUMPRODUCT(--($X$2:$X$1501&lt;$X321))+1,"")</f>
        <v/>
      </c>
      <c r="W321">
        <f>IF($B321="","",IF(OR($S321=TRUE(),$S321="TRUE"),1,0))</f>
        <v/>
      </c>
      <c r="X321">
        <f>IF($U321=1,IFERROR(IF(VALUE($B321)&lt;100000000,VALUE($B321),1000000000),IFERROR(IF(VALUE(MID($B321,2,20))&lt;100000000,VALUE(MID($B321,2,20)),1000000000),1000000000))+ROW()/100000,"")</f>
        <v/>
      </c>
    </row>
    <row r="322">
      <c r="A322">
        <f>IF($B322="","",IFERROR(IF(INDEX('Per Invoice'!$C$2:$C$401,MATCH($B322,'Per Invoice'!$A$2:$A$401,0))=0,"",INDEX('Per Invoice'!$C$2:$C$401,MATCH($B322,'Per Invoice'!$A$2:$A$401,0))),""))</f>
        <v/>
      </c>
      <c r="G322" s="7">
        <f>IF($B322="","",F322*L322/100)</f>
        <v/>
      </c>
      <c r="K322" s="7" t="n"/>
      <c r="L322" s="7" t="n"/>
      <c r="M322" s="7">
        <f>IF($B322="","",L322*T322/100)</f>
        <v/>
      </c>
      <c r="N322" s="7">
        <f>IF($B322="","",L322-M322)</f>
        <v/>
      </c>
      <c r="O322" s="7">
        <f>IF($B322="","",N322-G322)</f>
        <v/>
      </c>
      <c r="R322" s="14" t="n"/>
      <c r="T322">
        <f>IF($B322="","",IF($W322=1,Settings!$C$6,Settings!$C$7)*100)</f>
        <v/>
      </c>
      <c r="U322">
        <f>IF($B322="","",IF(COUNTIF($B$2:$B322,$B322)=1,1,0))</f>
        <v/>
      </c>
      <c r="V322">
        <f>IF($U322=1,SUMPRODUCT(--($X$2:$X$1501&lt;$X322))+1,"")</f>
        <v/>
      </c>
      <c r="W322">
        <f>IF($B322="","",IF(OR($S322=TRUE(),$S322="TRUE"),1,0))</f>
        <v/>
      </c>
      <c r="X322">
        <f>IF($U322=1,IFERROR(IF(VALUE($B322)&lt;100000000,VALUE($B322),1000000000),IFERROR(IF(VALUE(MID($B322,2,20))&lt;100000000,VALUE(MID($B322,2,20)),1000000000),1000000000))+ROW()/100000,"")</f>
        <v/>
      </c>
    </row>
    <row r="323">
      <c r="A323">
        <f>IF($B323="","",IFERROR(IF(INDEX('Per Invoice'!$C$2:$C$401,MATCH($B323,'Per Invoice'!$A$2:$A$401,0))=0,"",INDEX('Per Invoice'!$C$2:$C$401,MATCH($B323,'Per Invoice'!$A$2:$A$401,0))),""))</f>
        <v/>
      </c>
      <c r="G323" s="7">
        <f>IF($B323="","",F323*L323/100)</f>
        <v/>
      </c>
      <c r="K323" s="7" t="n"/>
      <c r="L323" s="7" t="n"/>
      <c r="M323" s="7">
        <f>IF($B323="","",L323*T323/100)</f>
        <v/>
      </c>
      <c r="N323" s="7">
        <f>IF($B323="","",L323-M323)</f>
        <v/>
      </c>
      <c r="O323" s="7">
        <f>IF($B323="","",N323-G323)</f>
        <v/>
      </c>
      <c r="R323" s="14" t="n"/>
      <c r="T323">
        <f>IF($B323="","",IF($W323=1,Settings!$C$6,Settings!$C$7)*100)</f>
        <v/>
      </c>
      <c r="U323">
        <f>IF($B323="","",IF(COUNTIF($B$2:$B323,$B323)=1,1,0))</f>
        <v/>
      </c>
      <c r="V323">
        <f>IF($U323=1,SUMPRODUCT(--($X$2:$X$1501&lt;$X323))+1,"")</f>
        <v/>
      </c>
      <c r="W323">
        <f>IF($B323="","",IF(OR($S323=TRUE(),$S323="TRUE"),1,0))</f>
        <v/>
      </c>
      <c r="X323">
        <f>IF($U323=1,IFERROR(IF(VALUE($B323)&lt;100000000,VALUE($B323),1000000000),IFERROR(IF(VALUE(MID($B323,2,20))&lt;100000000,VALUE(MID($B323,2,20)),1000000000),1000000000))+ROW()/100000,"")</f>
        <v/>
      </c>
    </row>
    <row r="324">
      <c r="A324">
        <f>IF($B324="","",IFERROR(IF(INDEX('Per Invoice'!$C$2:$C$401,MATCH($B324,'Per Invoice'!$A$2:$A$401,0))=0,"",INDEX('Per Invoice'!$C$2:$C$401,MATCH($B324,'Per Invoice'!$A$2:$A$401,0))),""))</f>
        <v/>
      </c>
      <c r="G324" s="7">
        <f>IF($B324="","",F324*L324/100)</f>
        <v/>
      </c>
      <c r="K324" s="7" t="n"/>
      <c r="L324" s="7" t="n"/>
      <c r="M324" s="7">
        <f>IF($B324="","",L324*T324/100)</f>
        <v/>
      </c>
      <c r="N324" s="7">
        <f>IF($B324="","",L324-M324)</f>
        <v/>
      </c>
      <c r="O324" s="7">
        <f>IF($B324="","",N324-G324)</f>
        <v/>
      </c>
      <c r="R324" s="14" t="n"/>
      <c r="T324">
        <f>IF($B324="","",IF($W324=1,Settings!$C$6,Settings!$C$7)*100)</f>
        <v/>
      </c>
      <c r="U324">
        <f>IF($B324="","",IF(COUNTIF($B$2:$B324,$B324)=1,1,0))</f>
        <v/>
      </c>
      <c r="V324">
        <f>IF($U324=1,SUMPRODUCT(--($X$2:$X$1501&lt;$X324))+1,"")</f>
        <v/>
      </c>
      <c r="W324">
        <f>IF($B324="","",IF(OR($S324=TRUE(),$S324="TRUE"),1,0))</f>
        <v/>
      </c>
      <c r="X324">
        <f>IF($U324=1,IFERROR(IF(VALUE($B324)&lt;100000000,VALUE($B324),1000000000),IFERROR(IF(VALUE(MID($B324,2,20))&lt;100000000,VALUE(MID($B324,2,20)),1000000000),1000000000))+ROW()/100000,"")</f>
        <v/>
      </c>
    </row>
    <row r="325">
      <c r="A325">
        <f>IF($B325="","",IFERROR(IF(INDEX('Per Invoice'!$C$2:$C$401,MATCH($B325,'Per Invoice'!$A$2:$A$401,0))=0,"",INDEX('Per Invoice'!$C$2:$C$401,MATCH($B325,'Per Invoice'!$A$2:$A$401,0))),""))</f>
        <v/>
      </c>
      <c r="G325" s="7">
        <f>IF($B325="","",F325*L325/100)</f>
        <v/>
      </c>
      <c r="K325" s="7" t="n"/>
      <c r="L325" s="7" t="n"/>
      <c r="M325" s="7">
        <f>IF($B325="","",L325*T325/100)</f>
        <v/>
      </c>
      <c r="N325" s="7">
        <f>IF($B325="","",L325-M325)</f>
        <v/>
      </c>
      <c r="O325" s="7">
        <f>IF($B325="","",N325-G325)</f>
        <v/>
      </c>
      <c r="R325" s="14" t="n"/>
      <c r="T325">
        <f>IF($B325="","",IF($W325=1,Settings!$C$6,Settings!$C$7)*100)</f>
        <v/>
      </c>
      <c r="U325">
        <f>IF($B325="","",IF(COUNTIF($B$2:$B325,$B325)=1,1,0))</f>
        <v/>
      </c>
      <c r="V325">
        <f>IF($U325=1,SUMPRODUCT(--($X$2:$X$1501&lt;$X325))+1,"")</f>
        <v/>
      </c>
      <c r="W325">
        <f>IF($B325="","",IF(OR($S325=TRUE(),$S325="TRUE"),1,0))</f>
        <v/>
      </c>
      <c r="X325">
        <f>IF($U325=1,IFERROR(IF(VALUE($B325)&lt;100000000,VALUE($B325),1000000000),IFERROR(IF(VALUE(MID($B325,2,20))&lt;100000000,VALUE(MID($B325,2,20)),1000000000),1000000000))+ROW()/100000,"")</f>
        <v/>
      </c>
    </row>
    <row r="326">
      <c r="A326">
        <f>IF($B326="","",IFERROR(IF(INDEX('Per Invoice'!$C$2:$C$401,MATCH($B326,'Per Invoice'!$A$2:$A$401,0))=0,"",INDEX('Per Invoice'!$C$2:$C$401,MATCH($B326,'Per Invoice'!$A$2:$A$401,0))),""))</f>
        <v/>
      </c>
      <c r="G326" s="7">
        <f>IF($B326="","",F326*L326/100)</f>
        <v/>
      </c>
      <c r="K326" s="7" t="n"/>
      <c r="L326" s="7" t="n"/>
      <c r="M326" s="7">
        <f>IF($B326="","",L326*T326/100)</f>
        <v/>
      </c>
      <c r="N326" s="7">
        <f>IF($B326="","",L326-M326)</f>
        <v/>
      </c>
      <c r="O326" s="7">
        <f>IF($B326="","",N326-G326)</f>
        <v/>
      </c>
      <c r="R326" s="14" t="n"/>
      <c r="T326">
        <f>IF($B326="","",IF($W326=1,Settings!$C$6,Settings!$C$7)*100)</f>
        <v/>
      </c>
      <c r="U326">
        <f>IF($B326="","",IF(COUNTIF($B$2:$B326,$B326)=1,1,0))</f>
        <v/>
      </c>
      <c r="V326">
        <f>IF($U326=1,SUMPRODUCT(--($X$2:$X$1501&lt;$X326))+1,"")</f>
        <v/>
      </c>
      <c r="W326">
        <f>IF($B326="","",IF(OR($S326=TRUE(),$S326="TRUE"),1,0))</f>
        <v/>
      </c>
      <c r="X326">
        <f>IF($U326=1,IFERROR(IF(VALUE($B326)&lt;100000000,VALUE($B326),1000000000),IFERROR(IF(VALUE(MID($B326,2,20))&lt;100000000,VALUE(MID($B326,2,20)),1000000000),1000000000))+ROW()/100000,"")</f>
        <v/>
      </c>
    </row>
    <row r="327">
      <c r="A327">
        <f>IF($B327="","",IFERROR(IF(INDEX('Per Invoice'!$C$2:$C$401,MATCH($B327,'Per Invoice'!$A$2:$A$401,0))=0,"",INDEX('Per Invoice'!$C$2:$C$401,MATCH($B327,'Per Invoice'!$A$2:$A$401,0))),""))</f>
        <v/>
      </c>
      <c r="G327" s="7">
        <f>IF($B327="","",F327*L327/100)</f>
        <v/>
      </c>
      <c r="K327" s="7" t="n"/>
      <c r="L327" s="7" t="n"/>
      <c r="M327" s="7">
        <f>IF($B327="","",L327*T327/100)</f>
        <v/>
      </c>
      <c r="N327" s="7">
        <f>IF($B327="","",L327-M327)</f>
        <v/>
      </c>
      <c r="O327" s="7">
        <f>IF($B327="","",N327-G327)</f>
        <v/>
      </c>
      <c r="R327" s="14" t="n"/>
      <c r="T327">
        <f>IF($B327="","",IF($W327=1,Settings!$C$6,Settings!$C$7)*100)</f>
        <v/>
      </c>
      <c r="U327">
        <f>IF($B327="","",IF(COUNTIF($B$2:$B327,$B327)=1,1,0))</f>
        <v/>
      </c>
      <c r="V327">
        <f>IF($U327=1,SUMPRODUCT(--($X$2:$X$1501&lt;$X327))+1,"")</f>
        <v/>
      </c>
      <c r="W327">
        <f>IF($B327="","",IF(OR($S327=TRUE(),$S327="TRUE"),1,0))</f>
        <v/>
      </c>
      <c r="X327">
        <f>IF($U327=1,IFERROR(IF(VALUE($B327)&lt;100000000,VALUE($B327),1000000000),IFERROR(IF(VALUE(MID($B327,2,20))&lt;100000000,VALUE(MID($B327,2,20)),1000000000),1000000000))+ROW()/100000,"")</f>
        <v/>
      </c>
    </row>
    <row r="328">
      <c r="A328">
        <f>IF($B328="","",IFERROR(IF(INDEX('Per Invoice'!$C$2:$C$401,MATCH($B328,'Per Invoice'!$A$2:$A$401,0))=0,"",INDEX('Per Invoice'!$C$2:$C$401,MATCH($B328,'Per Invoice'!$A$2:$A$401,0))),""))</f>
        <v/>
      </c>
      <c r="G328" s="7">
        <f>IF($B328="","",F328*L328/100)</f>
        <v/>
      </c>
      <c r="K328" s="7" t="n"/>
      <c r="L328" s="7" t="n"/>
      <c r="M328" s="7">
        <f>IF($B328="","",L328*T328/100)</f>
        <v/>
      </c>
      <c r="N328" s="7">
        <f>IF($B328="","",L328-M328)</f>
        <v/>
      </c>
      <c r="O328" s="7">
        <f>IF($B328="","",N328-G328)</f>
        <v/>
      </c>
      <c r="R328" s="14" t="n"/>
      <c r="T328">
        <f>IF($B328="","",IF($W328=1,Settings!$C$6,Settings!$C$7)*100)</f>
        <v/>
      </c>
      <c r="U328">
        <f>IF($B328="","",IF(COUNTIF($B$2:$B328,$B328)=1,1,0))</f>
        <v/>
      </c>
      <c r="V328">
        <f>IF($U328=1,SUMPRODUCT(--($X$2:$X$1501&lt;$X328))+1,"")</f>
        <v/>
      </c>
      <c r="W328">
        <f>IF($B328="","",IF(OR($S328=TRUE(),$S328="TRUE"),1,0))</f>
        <v/>
      </c>
      <c r="X328">
        <f>IF($U328=1,IFERROR(IF(VALUE($B328)&lt;100000000,VALUE($B328),1000000000),IFERROR(IF(VALUE(MID($B328,2,20))&lt;100000000,VALUE(MID($B328,2,20)),1000000000),1000000000))+ROW()/100000,"")</f>
        <v/>
      </c>
    </row>
    <row r="329">
      <c r="A329">
        <f>IF($B329="","",IFERROR(IF(INDEX('Per Invoice'!$C$2:$C$401,MATCH($B329,'Per Invoice'!$A$2:$A$401,0))=0,"",INDEX('Per Invoice'!$C$2:$C$401,MATCH($B329,'Per Invoice'!$A$2:$A$401,0))),""))</f>
        <v/>
      </c>
      <c r="G329" s="7">
        <f>IF($B329="","",F329*L329/100)</f>
        <v/>
      </c>
      <c r="K329" s="7" t="n"/>
      <c r="L329" s="7" t="n"/>
      <c r="M329" s="7">
        <f>IF($B329="","",L329*T329/100)</f>
        <v/>
      </c>
      <c r="N329" s="7">
        <f>IF($B329="","",L329-M329)</f>
        <v/>
      </c>
      <c r="O329" s="7">
        <f>IF($B329="","",N329-G329)</f>
        <v/>
      </c>
      <c r="R329" s="14" t="n"/>
      <c r="T329">
        <f>IF($B329="","",IF($W329=1,Settings!$C$6,Settings!$C$7)*100)</f>
        <v/>
      </c>
      <c r="U329">
        <f>IF($B329="","",IF(COUNTIF($B$2:$B329,$B329)=1,1,0))</f>
        <v/>
      </c>
      <c r="V329">
        <f>IF($U329=1,SUMPRODUCT(--($X$2:$X$1501&lt;$X329))+1,"")</f>
        <v/>
      </c>
      <c r="W329">
        <f>IF($B329="","",IF(OR($S329=TRUE(),$S329="TRUE"),1,0))</f>
        <v/>
      </c>
      <c r="X329">
        <f>IF($U329=1,IFERROR(IF(VALUE($B329)&lt;100000000,VALUE($B329),1000000000),IFERROR(IF(VALUE(MID($B329,2,20))&lt;100000000,VALUE(MID($B329,2,20)),1000000000),1000000000))+ROW()/100000,"")</f>
        <v/>
      </c>
    </row>
    <row r="330">
      <c r="A330">
        <f>IF($B330="","",IFERROR(IF(INDEX('Per Invoice'!$C$2:$C$401,MATCH($B330,'Per Invoice'!$A$2:$A$401,0))=0,"",INDEX('Per Invoice'!$C$2:$C$401,MATCH($B330,'Per Invoice'!$A$2:$A$401,0))),""))</f>
        <v/>
      </c>
      <c r="G330" s="7">
        <f>IF($B330="","",F330*L330/100)</f>
        <v/>
      </c>
      <c r="K330" s="7" t="n"/>
      <c r="L330" s="7" t="n"/>
      <c r="M330" s="7">
        <f>IF($B330="","",L330*T330/100)</f>
        <v/>
      </c>
      <c r="N330" s="7">
        <f>IF($B330="","",L330-M330)</f>
        <v/>
      </c>
      <c r="O330" s="7">
        <f>IF($B330="","",N330-G330)</f>
        <v/>
      </c>
      <c r="R330" s="14" t="n"/>
      <c r="T330">
        <f>IF($B330="","",IF($W330=1,Settings!$C$6,Settings!$C$7)*100)</f>
        <v/>
      </c>
      <c r="U330">
        <f>IF($B330="","",IF(COUNTIF($B$2:$B330,$B330)=1,1,0))</f>
        <v/>
      </c>
      <c r="V330">
        <f>IF($U330=1,SUMPRODUCT(--($X$2:$X$1501&lt;$X330))+1,"")</f>
        <v/>
      </c>
      <c r="W330">
        <f>IF($B330="","",IF(OR($S330=TRUE(),$S330="TRUE"),1,0))</f>
        <v/>
      </c>
      <c r="X330">
        <f>IF($U330=1,IFERROR(IF(VALUE($B330)&lt;100000000,VALUE($B330),1000000000),IFERROR(IF(VALUE(MID($B330,2,20))&lt;100000000,VALUE(MID($B330,2,20)),1000000000),1000000000))+ROW()/100000,"")</f>
        <v/>
      </c>
    </row>
    <row r="331">
      <c r="A331">
        <f>IF($B331="","",IFERROR(IF(INDEX('Per Invoice'!$C$2:$C$401,MATCH($B331,'Per Invoice'!$A$2:$A$401,0))=0,"",INDEX('Per Invoice'!$C$2:$C$401,MATCH($B331,'Per Invoice'!$A$2:$A$401,0))),""))</f>
        <v/>
      </c>
      <c r="G331" s="7">
        <f>IF($B331="","",F331*L331/100)</f>
        <v/>
      </c>
      <c r="K331" s="7" t="n"/>
      <c r="L331" s="7" t="n"/>
      <c r="M331" s="7">
        <f>IF($B331="","",L331*T331/100)</f>
        <v/>
      </c>
      <c r="N331" s="7">
        <f>IF($B331="","",L331-M331)</f>
        <v/>
      </c>
      <c r="O331" s="7">
        <f>IF($B331="","",N331-G331)</f>
        <v/>
      </c>
      <c r="R331" s="14" t="n"/>
      <c r="T331">
        <f>IF($B331="","",IF($W331=1,Settings!$C$6,Settings!$C$7)*100)</f>
        <v/>
      </c>
      <c r="U331">
        <f>IF($B331="","",IF(COUNTIF($B$2:$B331,$B331)=1,1,0))</f>
        <v/>
      </c>
      <c r="V331">
        <f>IF($U331=1,SUMPRODUCT(--($X$2:$X$1501&lt;$X331))+1,"")</f>
        <v/>
      </c>
      <c r="W331">
        <f>IF($B331="","",IF(OR($S331=TRUE(),$S331="TRUE"),1,0))</f>
        <v/>
      </c>
      <c r="X331">
        <f>IF($U331=1,IFERROR(IF(VALUE($B331)&lt;100000000,VALUE($B331),1000000000),IFERROR(IF(VALUE(MID($B331,2,20))&lt;100000000,VALUE(MID($B331,2,20)),1000000000),1000000000))+ROW()/100000,"")</f>
        <v/>
      </c>
    </row>
    <row r="332">
      <c r="A332">
        <f>IF($B332="","",IFERROR(IF(INDEX('Per Invoice'!$C$2:$C$401,MATCH($B332,'Per Invoice'!$A$2:$A$401,0))=0,"",INDEX('Per Invoice'!$C$2:$C$401,MATCH($B332,'Per Invoice'!$A$2:$A$401,0))),""))</f>
        <v/>
      </c>
      <c r="G332" s="7">
        <f>IF($B332="","",F332*L332/100)</f>
        <v/>
      </c>
      <c r="K332" s="7" t="n"/>
      <c r="L332" s="7" t="n"/>
      <c r="M332" s="7">
        <f>IF($B332="","",L332*T332/100)</f>
        <v/>
      </c>
      <c r="N332" s="7">
        <f>IF($B332="","",L332-M332)</f>
        <v/>
      </c>
      <c r="O332" s="7">
        <f>IF($B332="","",N332-G332)</f>
        <v/>
      </c>
      <c r="R332" s="14" t="n"/>
      <c r="T332">
        <f>IF($B332="","",IF($W332=1,Settings!$C$6,Settings!$C$7)*100)</f>
        <v/>
      </c>
      <c r="U332">
        <f>IF($B332="","",IF(COUNTIF($B$2:$B332,$B332)=1,1,0))</f>
        <v/>
      </c>
      <c r="V332">
        <f>IF($U332=1,SUMPRODUCT(--($X$2:$X$1501&lt;$X332))+1,"")</f>
        <v/>
      </c>
      <c r="W332">
        <f>IF($B332="","",IF(OR($S332=TRUE(),$S332="TRUE"),1,0))</f>
        <v/>
      </c>
      <c r="X332">
        <f>IF($U332=1,IFERROR(IF(VALUE($B332)&lt;100000000,VALUE($B332),1000000000),IFERROR(IF(VALUE(MID($B332,2,20))&lt;100000000,VALUE(MID($B332,2,20)),1000000000),1000000000))+ROW()/100000,"")</f>
        <v/>
      </c>
    </row>
    <row r="333">
      <c r="A333">
        <f>IF($B333="","",IFERROR(IF(INDEX('Per Invoice'!$C$2:$C$401,MATCH($B333,'Per Invoice'!$A$2:$A$401,0))=0,"",INDEX('Per Invoice'!$C$2:$C$401,MATCH($B333,'Per Invoice'!$A$2:$A$401,0))),""))</f>
        <v/>
      </c>
      <c r="G333" s="7">
        <f>IF($B333="","",F333*L333/100)</f>
        <v/>
      </c>
      <c r="K333" s="7" t="n"/>
      <c r="L333" s="7" t="n"/>
      <c r="M333" s="7">
        <f>IF($B333="","",L333*T333/100)</f>
        <v/>
      </c>
      <c r="N333" s="7">
        <f>IF($B333="","",L333-M333)</f>
        <v/>
      </c>
      <c r="O333" s="7">
        <f>IF($B333="","",N333-G333)</f>
        <v/>
      </c>
      <c r="R333" s="14" t="n"/>
      <c r="T333">
        <f>IF($B333="","",IF($W333=1,Settings!$C$6,Settings!$C$7)*100)</f>
        <v/>
      </c>
      <c r="U333">
        <f>IF($B333="","",IF(COUNTIF($B$2:$B333,$B333)=1,1,0))</f>
        <v/>
      </c>
      <c r="V333">
        <f>IF($U333=1,SUMPRODUCT(--($X$2:$X$1501&lt;$X333))+1,"")</f>
        <v/>
      </c>
      <c r="W333">
        <f>IF($B333="","",IF(OR($S333=TRUE(),$S333="TRUE"),1,0))</f>
        <v/>
      </c>
      <c r="X333">
        <f>IF($U333=1,IFERROR(IF(VALUE($B333)&lt;100000000,VALUE($B333),1000000000),IFERROR(IF(VALUE(MID($B333,2,20))&lt;100000000,VALUE(MID($B333,2,20)),1000000000),1000000000))+ROW()/100000,"")</f>
        <v/>
      </c>
    </row>
    <row r="334">
      <c r="A334">
        <f>IF($B334="","",IFERROR(IF(INDEX('Per Invoice'!$C$2:$C$401,MATCH($B334,'Per Invoice'!$A$2:$A$401,0))=0,"",INDEX('Per Invoice'!$C$2:$C$401,MATCH($B334,'Per Invoice'!$A$2:$A$401,0))),""))</f>
        <v/>
      </c>
      <c r="G334" s="7">
        <f>IF($B334="","",F334*L334/100)</f>
        <v/>
      </c>
      <c r="K334" s="7" t="n"/>
      <c r="L334" s="7" t="n"/>
      <c r="M334" s="7">
        <f>IF($B334="","",L334*T334/100)</f>
        <v/>
      </c>
      <c r="N334" s="7">
        <f>IF($B334="","",L334-M334)</f>
        <v/>
      </c>
      <c r="O334" s="7">
        <f>IF($B334="","",N334-G334)</f>
        <v/>
      </c>
      <c r="R334" s="14" t="n"/>
      <c r="T334">
        <f>IF($B334="","",IF($W334=1,Settings!$C$6,Settings!$C$7)*100)</f>
        <v/>
      </c>
      <c r="U334">
        <f>IF($B334="","",IF(COUNTIF($B$2:$B334,$B334)=1,1,0))</f>
        <v/>
      </c>
      <c r="V334">
        <f>IF($U334=1,SUMPRODUCT(--($X$2:$X$1501&lt;$X334))+1,"")</f>
        <v/>
      </c>
      <c r="W334">
        <f>IF($B334="","",IF(OR($S334=TRUE(),$S334="TRUE"),1,0))</f>
        <v/>
      </c>
      <c r="X334">
        <f>IF($U334=1,IFERROR(IF(VALUE($B334)&lt;100000000,VALUE($B334),1000000000),IFERROR(IF(VALUE(MID($B334,2,20))&lt;100000000,VALUE(MID($B334,2,20)),1000000000),1000000000))+ROW()/100000,"")</f>
        <v/>
      </c>
    </row>
    <row r="335">
      <c r="A335">
        <f>IF($B335="","",IFERROR(IF(INDEX('Per Invoice'!$C$2:$C$401,MATCH($B335,'Per Invoice'!$A$2:$A$401,0))=0,"",INDEX('Per Invoice'!$C$2:$C$401,MATCH($B335,'Per Invoice'!$A$2:$A$401,0))),""))</f>
        <v/>
      </c>
      <c r="G335" s="7">
        <f>IF($B335="","",F335*L335/100)</f>
        <v/>
      </c>
      <c r="K335" s="7" t="n"/>
      <c r="L335" s="7" t="n"/>
      <c r="M335" s="7">
        <f>IF($B335="","",L335*T335/100)</f>
        <v/>
      </c>
      <c r="N335" s="7">
        <f>IF($B335="","",L335-M335)</f>
        <v/>
      </c>
      <c r="O335" s="7">
        <f>IF($B335="","",N335-G335)</f>
        <v/>
      </c>
      <c r="R335" s="14" t="n"/>
      <c r="T335">
        <f>IF($B335="","",IF($W335=1,Settings!$C$6,Settings!$C$7)*100)</f>
        <v/>
      </c>
      <c r="U335">
        <f>IF($B335="","",IF(COUNTIF($B$2:$B335,$B335)=1,1,0))</f>
        <v/>
      </c>
      <c r="V335">
        <f>IF($U335=1,SUMPRODUCT(--($X$2:$X$1501&lt;$X335))+1,"")</f>
        <v/>
      </c>
      <c r="W335">
        <f>IF($B335="","",IF(OR($S335=TRUE(),$S335="TRUE"),1,0))</f>
        <v/>
      </c>
      <c r="X335">
        <f>IF($U335=1,IFERROR(IF(VALUE($B335)&lt;100000000,VALUE($B335),1000000000),IFERROR(IF(VALUE(MID($B335,2,20))&lt;100000000,VALUE(MID($B335,2,20)),1000000000),1000000000))+ROW()/100000,"")</f>
        <v/>
      </c>
    </row>
    <row r="336">
      <c r="A336">
        <f>IF($B336="","",IFERROR(IF(INDEX('Per Invoice'!$C$2:$C$401,MATCH($B336,'Per Invoice'!$A$2:$A$401,0))=0,"",INDEX('Per Invoice'!$C$2:$C$401,MATCH($B336,'Per Invoice'!$A$2:$A$401,0))),""))</f>
        <v/>
      </c>
      <c r="G336" s="7">
        <f>IF($B336="","",F336*L336/100)</f>
        <v/>
      </c>
      <c r="K336" s="7" t="n"/>
      <c r="L336" s="7" t="n"/>
      <c r="M336" s="7">
        <f>IF($B336="","",L336*T336/100)</f>
        <v/>
      </c>
      <c r="N336" s="7">
        <f>IF($B336="","",L336-M336)</f>
        <v/>
      </c>
      <c r="O336" s="7">
        <f>IF($B336="","",N336-G336)</f>
        <v/>
      </c>
      <c r="R336" s="14" t="n"/>
      <c r="T336">
        <f>IF($B336="","",IF($W336=1,Settings!$C$6,Settings!$C$7)*100)</f>
        <v/>
      </c>
      <c r="U336">
        <f>IF($B336="","",IF(COUNTIF($B$2:$B336,$B336)=1,1,0))</f>
        <v/>
      </c>
      <c r="V336">
        <f>IF($U336=1,SUMPRODUCT(--($X$2:$X$1501&lt;$X336))+1,"")</f>
        <v/>
      </c>
      <c r="W336">
        <f>IF($B336="","",IF(OR($S336=TRUE(),$S336="TRUE"),1,0))</f>
        <v/>
      </c>
      <c r="X336">
        <f>IF($U336=1,IFERROR(IF(VALUE($B336)&lt;100000000,VALUE($B336),1000000000),IFERROR(IF(VALUE(MID($B336,2,20))&lt;100000000,VALUE(MID($B336,2,20)),1000000000),1000000000))+ROW()/100000,"")</f>
        <v/>
      </c>
    </row>
    <row r="337">
      <c r="A337">
        <f>IF($B337="","",IFERROR(IF(INDEX('Per Invoice'!$C$2:$C$401,MATCH($B337,'Per Invoice'!$A$2:$A$401,0))=0,"",INDEX('Per Invoice'!$C$2:$C$401,MATCH($B337,'Per Invoice'!$A$2:$A$401,0))),""))</f>
        <v/>
      </c>
      <c r="G337" s="7">
        <f>IF($B337="","",F337*L337/100)</f>
        <v/>
      </c>
      <c r="K337" s="7" t="n"/>
      <c r="L337" s="7" t="n"/>
      <c r="M337" s="7">
        <f>IF($B337="","",L337*T337/100)</f>
        <v/>
      </c>
      <c r="N337" s="7">
        <f>IF($B337="","",L337-M337)</f>
        <v/>
      </c>
      <c r="O337" s="7">
        <f>IF($B337="","",N337-G337)</f>
        <v/>
      </c>
      <c r="R337" s="14" t="n"/>
      <c r="T337">
        <f>IF($B337="","",IF($W337=1,Settings!$C$6,Settings!$C$7)*100)</f>
        <v/>
      </c>
      <c r="U337">
        <f>IF($B337="","",IF(COUNTIF($B$2:$B337,$B337)=1,1,0))</f>
        <v/>
      </c>
      <c r="V337">
        <f>IF($U337=1,SUMPRODUCT(--($X$2:$X$1501&lt;$X337))+1,"")</f>
        <v/>
      </c>
      <c r="W337">
        <f>IF($B337="","",IF(OR($S337=TRUE(),$S337="TRUE"),1,0))</f>
        <v/>
      </c>
      <c r="X337">
        <f>IF($U337=1,IFERROR(IF(VALUE($B337)&lt;100000000,VALUE($B337),1000000000),IFERROR(IF(VALUE(MID($B337,2,20))&lt;100000000,VALUE(MID($B337,2,20)),1000000000),1000000000))+ROW()/100000,"")</f>
        <v/>
      </c>
    </row>
    <row r="338">
      <c r="A338">
        <f>IF($B338="","",IFERROR(IF(INDEX('Per Invoice'!$C$2:$C$401,MATCH($B338,'Per Invoice'!$A$2:$A$401,0))=0,"",INDEX('Per Invoice'!$C$2:$C$401,MATCH($B338,'Per Invoice'!$A$2:$A$401,0))),""))</f>
        <v/>
      </c>
      <c r="G338" s="7">
        <f>IF($B338="","",F338*L338/100)</f>
        <v/>
      </c>
      <c r="K338" s="7" t="n"/>
      <c r="L338" s="7" t="n"/>
      <c r="M338" s="7">
        <f>IF($B338="","",L338*T338/100)</f>
        <v/>
      </c>
      <c r="N338" s="7">
        <f>IF($B338="","",L338-M338)</f>
        <v/>
      </c>
      <c r="O338" s="7">
        <f>IF($B338="","",N338-G338)</f>
        <v/>
      </c>
      <c r="R338" s="14" t="n"/>
      <c r="T338">
        <f>IF($B338="","",IF($W338=1,Settings!$C$6,Settings!$C$7)*100)</f>
        <v/>
      </c>
      <c r="U338">
        <f>IF($B338="","",IF(COUNTIF($B$2:$B338,$B338)=1,1,0))</f>
        <v/>
      </c>
      <c r="V338">
        <f>IF($U338=1,SUMPRODUCT(--($X$2:$X$1501&lt;$X338))+1,"")</f>
        <v/>
      </c>
      <c r="W338">
        <f>IF($B338="","",IF(OR($S338=TRUE(),$S338="TRUE"),1,0))</f>
        <v/>
      </c>
      <c r="X338">
        <f>IF($U338=1,IFERROR(IF(VALUE($B338)&lt;100000000,VALUE($B338),1000000000),IFERROR(IF(VALUE(MID($B338,2,20))&lt;100000000,VALUE(MID($B338,2,20)),1000000000),1000000000))+ROW()/100000,"")</f>
        <v/>
      </c>
    </row>
    <row r="339">
      <c r="A339">
        <f>IF($B339="","",IFERROR(IF(INDEX('Per Invoice'!$C$2:$C$401,MATCH($B339,'Per Invoice'!$A$2:$A$401,0))=0,"",INDEX('Per Invoice'!$C$2:$C$401,MATCH($B339,'Per Invoice'!$A$2:$A$401,0))),""))</f>
        <v/>
      </c>
      <c r="G339" s="7">
        <f>IF($B339="","",F339*L339/100)</f>
        <v/>
      </c>
      <c r="K339" s="7" t="n"/>
      <c r="L339" s="7" t="n"/>
      <c r="M339" s="7">
        <f>IF($B339="","",L339*T339/100)</f>
        <v/>
      </c>
      <c r="N339" s="7">
        <f>IF($B339="","",L339-M339)</f>
        <v/>
      </c>
      <c r="O339" s="7">
        <f>IF($B339="","",N339-G339)</f>
        <v/>
      </c>
      <c r="R339" s="14" t="n"/>
      <c r="T339">
        <f>IF($B339="","",IF($W339=1,Settings!$C$6,Settings!$C$7)*100)</f>
        <v/>
      </c>
      <c r="U339">
        <f>IF($B339="","",IF(COUNTIF($B$2:$B339,$B339)=1,1,0))</f>
        <v/>
      </c>
      <c r="V339">
        <f>IF($U339=1,SUMPRODUCT(--($X$2:$X$1501&lt;$X339))+1,"")</f>
        <v/>
      </c>
      <c r="W339">
        <f>IF($B339="","",IF(OR($S339=TRUE(),$S339="TRUE"),1,0))</f>
        <v/>
      </c>
      <c r="X339">
        <f>IF($U339=1,IFERROR(IF(VALUE($B339)&lt;100000000,VALUE($B339),1000000000),IFERROR(IF(VALUE(MID($B339,2,20))&lt;100000000,VALUE(MID($B339,2,20)),1000000000),1000000000))+ROW()/100000,"")</f>
        <v/>
      </c>
    </row>
    <row r="340">
      <c r="A340">
        <f>IF($B340="","",IFERROR(IF(INDEX('Per Invoice'!$C$2:$C$401,MATCH($B340,'Per Invoice'!$A$2:$A$401,0))=0,"",INDEX('Per Invoice'!$C$2:$C$401,MATCH($B340,'Per Invoice'!$A$2:$A$401,0))),""))</f>
        <v/>
      </c>
      <c r="G340" s="7">
        <f>IF($B340="","",F340*L340/100)</f>
        <v/>
      </c>
      <c r="K340" s="7" t="n"/>
      <c r="L340" s="7" t="n"/>
      <c r="M340" s="7">
        <f>IF($B340="","",L340*T340/100)</f>
        <v/>
      </c>
      <c r="N340" s="7">
        <f>IF($B340="","",L340-M340)</f>
        <v/>
      </c>
      <c r="O340" s="7">
        <f>IF($B340="","",N340-G340)</f>
        <v/>
      </c>
      <c r="R340" s="14" t="n"/>
      <c r="T340">
        <f>IF($B340="","",IF($W340=1,Settings!$C$6,Settings!$C$7)*100)</f>
        <v/>
      </c>
      <c r="U340">
        <f>IF($B340="","",IF(COUNTIF($B$2:$B340,$B340)=1,1,0))</f>
        <v/>
      </c>
      <c r="V340">
        <f>IF($U340=1,SUMPRODUCT(--($X$2:$X$1501&lt;$X340))+1,"")</f>
        <v/>
      </c>
      <c r="W340">
        <f>IF($B340="","",IF(OR($S340=TRUE(),$S340="TRUE"),1,0))</f>
        <v/>
      </c>
      <c r="X340">
        <f>IF($U340=1,IFERROR(IF(VALUE($B340)&lt;100000000,VALUE($B340),1000000000),IFERROR(IF(VALUE(MID($B340,2,20))&lt;100000000,VALUE(MID($B340,2,20)),1000000000),1000000000))+ROW()/100000,"")</f>
        <v/>
      </c>
    </row>
    <row r="341">
      <c r="A341">
        <f>IF($B341="","",IFERROR(IF(INDEX('Per Invoice'!$C$2:$C$401,MATCH($B341,'Per Invoice'!$A$2:$A$401,0))=0,"",INDEX('Per Invoice'!$C$2:$C$401,MATCH($B341,'Per Invoice'!$A$2:$A$401,0))),""))</f>
        <v/>
      </c>
      <c r="G341" s="7">
        <f>IF($B341="","",F341*L341/100)</f>
        <v/>
      </c>
      <c r="K341" s="7" t="n"/>
      <c r="L341" s="7" t="n"/>
      <c r="M341" s="7">
        <f>IF($B341="","",L341*T341/100)</f>
        <v/>
      </c>
      <c r="N341" s="7">
        <f>IF($B341="","",L341-M341)</f>
        <v/>
      </c>
      <c r="O341" s="7">
        <f>IF($B341="","",N341-G341)</f>
        <v/>
      </c>
      <c r="R341" s="14" t="n"/>
      <c r="T341">
        <f>IF($B341="","",IF($W341=1,Settings!$C$6,Settings!$C$7)*100)</f>
        <v/>
      </c>
      <c r="U341">
        <f>IF($B341="","",IF(COUNTIF($B$2:$B341,$B341)=1,1,0))</f>
        <v/>
      </c>
      <c r="V341">
        <f>IF($U341=1,SUMPRODUCT(--($X$2:$X$1501&lt;$X341))+1,"")</f>
        <v/>
      </c>
      <c r="W341">
        <f>IF($B341="","",IF(OR($S341=TRUE(),$S341="TRUE"),1,0))</f>
        <v/>
      </c>
      <c r="X341">
        <f>IF($U341=1,IFERROR(IF(VALUE($B341)&lt;100000000,VALUE($B341),1000000000),IFERROR(IF(VALUE(MID($B341,2,20))&lt;100000000,VALUE(MID($B341,2,20)),1000000000),1000000000))+ROW()/100000,"")</f>
        <v/>
      </c>
    </row>
    <row r="342">
      <c r="A342">
        <f>IF($B342="","",IFERROR(IF(INDEX('Per Invoice'!$C$2:$C$401,MATCH($B342,'Per Invoice'!$A$2:$A$401,0))=0,"",INDEX('Per Invoice'!$C$2:$C$401,MATCH($B342,'Per Invoice'!$A$2:$A$401,0))),""))</f>
        <v/>
      </c>
      <c r="G342" s="7">
        <f>IF($B342="","",F342*L342/100)</f>
        <v/>
      </c>
      <c r="K342" s="7" t="n"/>
      <c r="L342" s="7" t="n"/>
      <c r="M342" s="7">
        <f>IF($B342="","",L342*T342/100)</f>
        <v/>
      </c>
      <c r="N342" s="7">
        <f>IF($B342="","",L342-M342)</f>
        <v/>
      </c>
      <c r="O342" s="7">
        <f>IF($B342="","",N342-G342)</f>
        <v/>
      </c>
      <c r="R342" s="14" t="n"/>
      <c r="T342">
        <f>IF($B342="","",IF($W342=1,Settings!$C$6,Settings!$C$7)*100)</f>
        <v/>
      </c>
      <c r="U342">
        <f>IF($B342="","",IF(COUNTIF($B$2:$B342,$B342)=1,1,0))</f>
        <v/>
      </c>
      <c r="V342">
        <f>IF($U342=1,SUMPRODUCT(--($X$2:$X$1501&lt;$X342))+1,"")</f>
        <v/>
      </c>
      <c r="W342">
        <f>IF($B342="","",IF(OR($S342=TRUE(),$S342="TRUE"),1,0))</f>
        <v/>
      </c>
      <c r="X342">
        <f>IF($U342=1,IFERROR(IF(VALUE($B342)&lt;100000000,VALUE($B342),1000000000),IFERROR(IF(VALUE(MID($B342,2,20))&lt;100000000,VALUE(MID($B342,2,20)),1000000000),1000000000))+ROW()/100000,"")</f>
        <v/>
      </c>
    </row>
    <row r="343">
      <c r="A343">
        <f>IF($B343="","",IFERROR(IF(INDEX('Per Invoice'!$C$2:$C$401,MATCH($B343,'Per Invoice'!$A$2:$A$401,0))=0,"",INDEX('Per Invoice'!$C$2:$C$401,MATCH($B343,'Per Invoice'!$A$2:$A$401,0))),""))</f>
        <v/>
      </c>
      <c r="G343" s="7">
        <f>IF($B343="","",F343*L343/100)</f>
        <v/>
      </c>
      <c r="K343" s="7" t="n"/>
      <c r="L343" s="7" t="n"/>
      <c r="M343" s="7">
        <f>IF($B343="","",L343*T343/100)</f>
        <v/>
      </c>
      <c r="N343" s="7">
        <f>IF($B343="","",L343-M343)</f>
        <v/>
      </c>
      <c r="O343" s="7">
        <f>IF($B343="","",N343-G343)</f>
        <v/>
      </c>
      <c r="R343" s="14" t="n"/>
      <c r="T343">
        <f>IF($B343="","",IF($W343=1,Settings!$C$6,Settings!$C$7)*100)</f>
        <v/>
      </c>
      <c r="U343">
        <f>IF($B343="","",IF(COUNTIF($B$2:$B343,$B343)=1,1,0))</f>
        <v/>
      </c>
      <c r="V343">
        <f>IF($U343=1,SUMPRODUCT(--($X$2:$X$1501&lt;$X343))+1,"")</f>
        <v/>
      </c>
      <c r="W343">
        <f>IF($B343="","",IF(OR($S343=TRUE(),$S343="TRUE"),1,0))</f>
        <v/>
      </c>
      <c r="X343">
        <f>IF($U343=1,IFERROR(IF(VALUE($B343)&lt;100000000,VALUE($B343),1000000000),IFERROR(IF(VALUE(MID($B343,2,20))&lt;100000000,VALUE(MID($B343,2,20)),1000000000),1000000000))+ROW()/100000,"")</f>
        <v/>
      </c>
    </row>
    <row r="344">
      <c r="A344">
        <f>IF($B344="","",IFERROR(IF(INDEX('Per Invoice'!$C$2:$C$401,MATCH($B344,'Per Invoice'!$A$2:$A$401,0))=0,"",INDEX('Per Invoice'!$C$2:$C$401,MATCH($B344,'Per Invoice'!$A$2:$A$401,0))),""))</f>
        <v/>
      </c>
      <c r="G344" s="7">
        <f>IF($B344="","",F344*L344/100)</f>
        <v/>
      </c>
      <c r="K344" s="7" t="n"/>
      <c r="L344" s="7" t="n"/>
      <c r="M344" s="7">
        <f>IF($B344="","",L344*T344/100)</f>
        <v/>
      </c>
      <c r="N344" s="7">
        <f>IF($B344="","",L344-M344)</f>
        <v/>
      </c>
      <c r="O344" s="7">
        <f>IF($B344="","",N344-G344)</f>
        <v/>
      </c>
      <c r="R344" s="14" t="n"/>
      <c r="T344">
        <f>IF($B344="","",IF($W344=1,Settings!$C$6,Settings!$C$7)*100)</f>
        <v/>
      </c>
      <c r="U344">
        <f>IF($B344="","",IF(COUNTIF($B$2:$B344,$B344)=1,1,0))</f>
        <v/>
      </c>
      <c r="V344">
        <f>IF($U344=1,SUMPRODUCT(--($X$2:$X$1501&lt;$X344))+1,"")</f>
        <v/>
      </c>
      <c r="W344">
        <f>IF($B344="","",IF(OR($S344=TRUE(),$S344="TRUE"),1,0))</f>
        <v/>
      </c>
      <c r="X344">
        <f>IF($U344=1,IFERROR(IF(VALUE($B344)&lt;100000000,VALUE($B344),1000000000),IFERROR(IF(VALUE(MID($B344,2,20))&lt;100000000,VALUE(MID($B344,2,20)),1000000000),1000000000))+ROW()/100000,"")</f>
        <v/>
      </c>
    </row>
    <row r="345">
      <c r="A345">
        <f>IF($B345="","",IFERROR(IF(INDEX('Per Invoice'!$C$2:$C$401,MATCH($B345,'Per Invoice'!$A$2:$A$401,0))=0,"",INDEX('Per Invoice'!$C$2:$C$401,MATCH($B345,'Per Invoice'!$A$2:$A$401,0))),""))</f>
        <v/>
      </c>
      <c r="G345" s="7">
        <f>IF($B345="","",F345*L345/100)</f>
        <v/>
      </c>
      <c r="K345" s="7" t="n"/>
      <c r="L345" s="7" t="n"/>
      <c r="M345" s="7">
        <f>IF($B345="","",L345*T345/100)</f>
        <v/>
      </c>
      <c r="N345" s="7">
        <f>IF($B345="","",L345-M345)</f>
        <v/>
      </c>
      <c r="O345" s="7">
        <f>IF($B345="","",N345-G345)</f>
        <v/>
      </c>
      <c r="R345" s="14" t="n"/>
      <c r="T345">
        <f>IF($B345="","",IF($W345=1,Settings!$C$6,Settings!$C$7)*100)</f>
        <v/>
      </c>
      <c r="U345">
        <f>IF($B345="","",IF(COUNTIF($B$2:$B345,$B345)=1,1,0))</f>
        <v/>
      </c>
      <c r="V345">
        <f>IF($U345=1,SUMPRODUCT(--($X$2:$X$1501&lt;$X345))+1,"")</f>
        <v/>
      </c>
      <c r="W345">
        <f>IF($B345="","",IF(OR($S345=TRUE(),$S345="TRUE"),1,0))</f>
        <v/>
      </c>
      <c r="X345">
        <f>IF($U345=1,IFERROR(IF(VALUE($B345)&lt;100000000,VALUE($B345),1000000000),IFERROR(IF(VALUE(MID($B345,2,20))&lt;100000000,VALUE(MID($B345,2,20)),1000000000),1000000000))+ROW()/100000,"")</f>
        <v/>
      </c>
    </row>
    <row r="346">
      <c r="A346">
        <f>IF($B346="","",IFERROR(IF(INDEX('Per Invoice'!$C$2:$C$401,MATCH($B346,'Per Invoice'!$A$2:$A$401,0))=0,"",INDEX('Per Invoice'!$C$2:$C$401,MATCH($B346,'Per Invoice'!$A$2:$A$401,0))),""))</f>
        <v/>
      </c>
      <c r="G346" s="7">
        <f>IF($B346="","",F346*L346/100)</f>
        <v/>
      </c>
      <c r="K346" s="7" t="n"/>
      <c r="L346" s="7" t="n"/>
      <c r="M346" s="7">
        <f>IF($B346="","",L346*T346/100)</f>
        <v/>
      </c>
      <c r="N346" s="7">
        <f>IF($B346="","",L346-M346)</f>
        <v/>
      </c>
      <c r="O346" s="7">
        <f>IF($B346="","",N346-G346)</f>
        <v/>
      </c>
      <c r="R346" s="14" t="n"/>
      <c r="T346">
        <f>IF($B346="","",IF($W346=1,Settings!$C$6,Settings!$C$7)*100)</f>
        <v/>
      </c>
      <c r="U346">
        <f>IF($B346="","",IF(COUNTIF($B$2:$B346,$B346)=1,1,0))</f>
        <v/>
      </c>
      <c r="V346">
        <f>IF($U346=1,SUMPRODUCT(--($X$2:$X$1501&lt;$X346))+1,"")</f>
        <v/>
      </c>
      <c r="W346">
        <f>IF($B346="","",IF(OR($S346=TRUE(),$S346="TRUE"),1,0))</f>
        <v/>
      </c>
      <c r="X346">
        <f>IF($U346=1,IFERROR(IF(VALUE($B346)&lt;100000000,VALUE($B346),1000000000),IFERROR(IF(VALUE(MID($B346,2,20))&lt;100000000,VALUE(MID($B346,2,20)),1000000000),1000000000))+ROW()/100000,"")</f>
        <v/>
      </c>
    </row>
    <row r="347">
      <c r="A347">
        <f>IF($B347="","",IFERROR(IF(INDEX('Per Invoice'!$C$2:$C$401,MATCH($B347,'Per Invoice'!$A$2:$A$401,0))=0,"",INDEX('Per Invoice'!$C$2:$C$401,MATCH($B347,'Per Invoice'!$A$2:$A$401,0))),""))</f>
        <v/>
      </c>
      <c r="G347" s="7">
        <f>IF($B347="","",F347*L347/100)</f>
        <v/>
      </c>
      <c r="K347" s="7" t="n"/>
      <c r="L347" s="7" t="n"/>
      <c r="M347" s="7">
        <f>IF($B347="","",L347*T347/100)</f>
        <v/>
      </c>
      <c r="N347" s="7">
        <f>IF($B347="","",L347-M347)</f>
        <v/>
      </c>
      <c r="O347" s="7">
        <f>IF($B347="","",N347-G347)</f>
        <v/>
      </c>
      <c r="R347" s="14" t="n"/>
      <c r="T347">
        <f>IF($B347="","",IF($W347=1,Settings!$C$6,Settings!$C$7)*100)</f>
        <v/>
      </c>
      <c r="U347">
        <f>IF($B347="","",IF(COUNTIF($B$2:$B347,$B347)=1,1,0))</f>
        <v/>
      </c>
      <c r="V347">
        <f>IF($U347=1,SUMPRODUCT(--($X$2:$X$1501&lt;$X347))+1,"")</f>
        <v/>
      </c>
      <c r="W347">
        <f>IF($B347="","",IF(OR($S347=TRUE(),$S347="TRUE"),1,0))</f>
        <v/>
      </c>
      <c r="X347">
        <f>IF($U347=1,IFERROR(IF(VALUE($B347)&lt;100000000,VALUE($B347),1000000000),IFERROR(IF(VALUE(MID($B347,2,20))&lt;100000000,VALUE(MID($B347,2,20)),1000000000),1000000000))+ROW()/100000,"")</f>
        <v/>
      </c>
    </row>
    <row r="348">
      <c r="A348">
        <f>IF($B348="","",IFERROR(IF(INDEX('Per Invoice'!$C$2:$C$401,MATCH($B348,'Per Invoice'!$A$2:$A$401,0))=0,"",INDEX('Per Invoice'!$C$2:$C$401,MATCH($B348,'Per Invoice'!$A$2:$A$401,0))),""))</f>
        <v/>
      </c>
      <c r="G348" s="7">
        <f>IF($B348="","",F348*L348/100)</f>
        <v/>
      </c>
      <c r="K348" s="7" t="n"/>
      <c r="L348" s="7" t="n"/>
      <c r="M348" s="7">
        <f>IF($B348="","",L348*T348/100)</f>
        <v/>
      </c>
      <c r="N348" s="7">
        <f>IF($B348="","",L348-M348)</f>
        <v/>
      </c>
      <c r="O348" s="7">
        <f>IF($B348="","",N348-G348)</f>
        <v/>
      </c>
      <c r="R348" s="14" t="n"/>
      <c r="T348">
        <f>IF($B348="","",IF($W348=1,Settings!$C$6,Settings!$C$7)*100)</f>
        <v/>
      </c>
      <c r="U348">
        <f>IF($B348="","",IF(COUNTIF($B$2:$B348,$B348)=1,1,0))</f>
        <v/>
      </c>
      <c r="V348">
        <f>IF($U348=1,SUMPRODUCT(--($X$2:$X$1501&lt;$X348))+1,"")</f>
        <v/>
      </c>
      <c r="W348">
        <f>IF($B348="","",IF(OR($S348=TRUE(),$S348="TRUE"),1,0))</f>
        <v/>
      </c>
      <c r="X348">
        <f>IF($U348=1,IFERROR(IF(VALUE($B348)&lt;100000000,VALUE($B348),1000000000),IFERROR(IF(VALUE(MID($B348,2,20))&lt;100000000,VALUE(MID($B348,2,20)),1000000000),1000000000))+ROW()/100000,"")</f>
        <v/>
      </c>
    </row>
    <row r="349">
      <c r="A349">
        <f>IF($B349="","",IFERROR(IF(INDEX('Per Invoice'!$C$2:$C$401,MATCH($B349,'Per Invoice'!$A$2:$A$401,0))=0,"",INDEX('Per Invoice'!$C$2:$C$401,MATCH($B349,'Per Invoice'!$A$2:$A$401,0))),""))</f>
        <v/>
      </c>
      <c r="G349" s="7">
        <f>IF($B349="","",F349*L349/100)</f>
        <v/>
      </c>
      <c r="K349" s="7" t="n"/>
      <c r="L349" s="7" t="n"/>
      <c r="M349" s="7">
        <f>IF($B349="","",L349*T349/100)</f>
        <v/>
      </c>
      <c r="N349" s="7">
        <f>IF($B349="","",L349-M349)</f>
        <v/>
      </c>
      <c r="O349" s="7">
        <f>IF($B349="","",N349-G349)</f>
        <v/>
      </c>
      <c r="R349" s="14" t="n"/>
      <c r="T349">
        <f>IF($B349="","",IF($W349=1,Settings!$C$6,Settings!$C$7)*100)</f>
        <v/>
      </c>
      <c r="U349">
        <f>IF($B349="","",IF(COUNTIF($B$2:$B349,$B349)=1,1,0))</f>
        <v/>
      </c>
      <c r="V349">
        <f>IF($U349=1,SUMPRODUCT(--($X$2:$X$1501&lt;$X349))+1,"")</f>
        <v/>
      </c>
      <c r="W349">
        <f>IF($B349="","",IF(OR($S349=TRUE(),$S349="TRUE"),1,0))</f>
        <v/>
      </c>
      <c r="X349">
        <f>IF($U349=1,IFERROR(IF(VALUE($B349)&lt;100000000,VALUE($B349),1000000000),IFERROR(IF(VALUE(MID($B349,2,20))&lt;100000000,VALUE(MID($B349,2,20)),1000000000),1000000000))+ROW()/100000,"")</f>
        <v/>
      </c>
    </row>
    <row r="350">
      <c r="A350">
        <f>IF($B350="","",IFERROR(IF(INDEX('Per Invoice'!$C$2:$C$401,MATCH($B350,'Per Invoice'!$A$2:$A$401,0))=0,"",INDEX('Per Invoice'!$C$2:$C$401,MATCH($B350,'Per Invoice'!$A$2:$A$401,0))),""))</f>
        <v/>
      </c>
      <c r="G350" s="7">
        <f>IF($B350="","",F350*L350/100)</f>
        <v/>
      </c>
      <c r="K350" s="7" t="n"/>
      <c r="L350" s="7" t="n"/>
      <c r="M350" s="7">
        <f>IF($B350="","",L350*T350/100)</f>
        <v/>
      </c>
      <c r="N350" s="7">
        <f>IF($B350="","",L350-M350)</f>
        <v/>
      </c>
      <c r="O350" s="7">
        <f>IF($B350="","",N350-G350)</f>
        <v/>
      </c>
      <c r="R350" s="14" t="n"/>
      <c r="T350">
        <f>IF($B350="","",IF($W350=1,Settings!$C$6,Settings!$C$7)*100)</f>
        <v/>
      </c>
      <c r="U350">
        <f>IF($B350="","",IF(COUNTIF($B$2:$B350,$B350)=1,1,0))</f>
        <v/>
      </c>
      <c r="V350">
        <f>IF($U350=1,SUMPRODUCT(--($X$2:$X$1501&lt;$X350))+1,"")</f>
        <v/>
      </c>
      <c r="W350">
        <f>IF($B350="","",IF(OR($S350=TRUE(),$S350="TRUE"),1,0))</f>
        <v/>
      </c>
      <c r="X350">
        <f>IF($U350=1,IFERROR(IF(VALUE($B350)&lt;100000000,VALUE($B350),1000000000),IFERROR(IF(VALUE(MID($B350,2,20))&lt;100000000,VALUE(MID($B350,2,20)),1000000000),1000000000))+ROW()/100000,"")</f>
        <v/>
      </c>
    </row>
    <row r="351">
      <c r="A351">
        <f>IF($B351="","",IFERROR(IF(INDEX('Per Invoice'!$C$2:$C$401,MATCH($B351,'Per Invoice'!$A$2:$A$401,0))=0,"",INDEX('Per Invoice'!$C$2:$C$401,MATCH($B351,'Per Invoice'!$A$2:$A$401,0))),""))</f>
        <v/>
      </c>
      <c r="G351" s="7">
        <f>IF($B351="","",F351*L351/100)</f>
        <v/>
      </c>
      <c r="K351" s="7" t="n"/>
      <c r="L351" s="7" t="n"/>
      <c r="M351" s="7">
        <f>IF($B351="","",L351*T351/100)</f>
        <v/>
      </c>
      <c r="N351" s="7">
        <f>IF($B351="","",L351-M351)</f>
        <v/>
      </c>
      <c r="O351" s="7">
        <f>IF($B351="","",N351-G351)</f>
        <v/>
      </c>
      <c r="R351" s="14" t="n"/>
      <c r="T351">
        <f>IF($B351="","",IF($W351=1,Settings!$C$6,Settings!$C$7)*100)</f>
        <v/>
      </c>
      <c r="U351">
        <f>IF($B351="","",IF(COUNTIF($B$2:$B351,$B351)=1,1,0))</f>
        <v/>
      </c>
      <c r="V351">
        <f>IF($U351=1,SUMPRODUCT(--($X$2:$X$1501&lt;$X351))+1,"")</f>
        <v/>
      </c>
      <c r="W351">
        <f>IF($B351="","",IF(OR($S351=TRUE(),$S351="TRUE"),1,0))</f>
        <v/>
      </c>
      <c r="X351">
        <f>IF($U351=1,IFERROR(IF(VALUE($B351)&lt;100000000,VALUE($B351),1000000000),IFERROR(IF(VALUE(MID($B351,2,20))&lt;100000000,VALUE(MID($B351,2,20)),1000000000),1000000000))+ROW()/100000,"")</f>
        <v/>
      </c>
    </row>
    <row r="352">
      <c r="A352">
        <f>IF($B352="","",IFERROR(IF(INDEX('Per Invoice'!$C$2:$C$401,MATCH($B352,'Per Invoice'!$A$2:$A$401,0))=0,"",INDEX('Per Invoice'!$C$2:$C$401,MATCH($B352,'Per Invoice'!$A$2:$A$401,0))),""))</f>
        <v/>
      </c>
      <c r="G352" s="7">
        <f>IF($B352="","",F352*L352/100)</f>
        <v/>
      </c>
      <c r="K352" s="7" t="n"/>
      <c r="L352" s="7" t="n"/>
      <c r="M352" s="7">
        <f>IF($B352="","",L352*T352/100)</f>
        <v/>
      </c>
      <c r="N352" s="7">
        <f>IF($B352="","",L352-M352)</f>
        <v/>
      </c>
      <c r="O352" s="7">
        <f>IF($B352="","",N352-G352)</f>
        <v/>
      </c>
      <c r="R352" s="14" t="n"/>
      <c r="T352">
        <f>IF($B352="","",IF($W352=1,Settings!$C$6,Settings!$C$7)*100)</f>
        <v/>
      </c>
      <c r="U352">
        <f>IF($B352="","",IF(COUNTIF($B$2:$B352,$B352)=1,1,0))</f>
        <v/>
      </c>
      <c r="V352">
        <f>IF($U352=1,SUMPRODUCT(--($X$2:$X$1501&lt;$X352))+1,"")</f>
        <v/>
      </c>
      <c r="W352">
        <f>IF($B352="","",IF(OR($S352=TRUE(),$S352="TRUE"),1,0))</f>
        <v/>
      </c>
      <c r="X352">
        <f>IF($U352=1,IFERROR(IF(VALUE($B352)&lt;100000000,VALUE($B352),1000000000),IFERROR(IF(VALUE(MID($B352,2,20))&lt;100000000,VALUE(MID($B352,2,20)),1000000000),1000000000))+ROW()/100000,"")</f>
        <v/>
      </c>
    </row>
    <row r="353">
      <c r="A353">
        <f>IF($B353="","",IFERROR(IF(INDEX('Per Invoice'!$C$2:$C$401,MATCH($B353,'Per Invoice'!$A$2:$A$401,0))=0,"",INDEX('Per Invoice'!$C$2:$C$401,MATCH($B353,'Per Invoice'!$A$2:$A$401,0))),""))</f>
        <v/>
      </c>
      <c r="G353" s="7">
        <f>IF($B353="","",F353*L353/100)</f>
        <v/>
      </c>
      <c r="K353" s="7" t="n"/>
      <c r="L353" s="7" t="n"/>
      <c r="M353" s="7">
        <f>IF($B353="","",L353*T353/100)</f>
        <v/>
      </c>
      <c r="N353" s="7">
        <f>IF($B353="","",L353-M353)</f>
        <v/>
      </c>
      <c r="O353" s="7">
        <f>IF($B353="","",N353-G353)</f>
        <v/>
      </c>
      <c r="R353" s="14" t="n"/>
      <c r="T353">
        <f>IF($B353="","",IF($W353=1,Settings!$C$6,Settings!$C$7)*100)</f>
        <v/>
      </c>
      <c r="U353">
        <f>IF($B353="","",IF(COUNTIF($B$2:$B353,$B353)=1,1,0))</f>
        <v/>
      </c>
      <c r="V353">
        <f>IF($U353=1,SUMPRODUCT(--($X$2:$X$1501&lt;$X353))+1,"")</f>
        <v/>
      </c>
      <c r="W353">
        <f>IF($B353="","",IF(OR($S353=TRUE(),$S353="TRUE"),1,0))</f>
        <v/>
      </c>
      <c r="X353">
        <f>IF($U353=1,IFERROR(IF(VALUE($B353)&lt;100000000,VALUE($B353),1000000000),IFERROR(IF(VALUE(MID($B353,2,20))&lt;100000000,VALUE(MID($B353,2,20)),1000000000),1000000000))+ROW()/100000,"")</f>
        <v/>
      </c>
    </row>
    <row r="354">
      <c r="A354">
        <f>IF($B354="","",IFERROR(IF(INDEX('Per Invoice'!$C$2:$C$401,MATCH($B354,'Per Invoice'!$A$2:$A$401,0))=0,"",INDEX('Per Invoice'!$C$2:$C$401,MATCH($B354,'Per Invoice'!$A$2:$A$401,0))),""))</f>
        <v/>
      </c>
      <c r="G354" s="7">
        <f>IF($B354="","",F354*L354/100)</f>
        <v/>
      </c>
      <c r="K354" s="7" t="n"/>
      <c r="L354" s="7" t="n"/>
      <c r="M354" s="7">
        <f>IF($B354="","",L354*T354/100)</f>
        <v/>
      </c>
      <c r="N354" s="7">
        <f>IF($B354="","",L354-M354)</f>
        <v/>
      </c>
      <c r="O354" s="7">
        <f>IF($B354="","",N354-G354)</f>
        <v/>
      </c>
      <c r="R354" s="14" t="n"/>
      <c r="T354">
        <f>IF($B354="","",IF($W354=1,Settings!$C$6,Settings!$C$7)*100)</f>
        <v/>
      </c>
      <c r="U354">
        <f>IF($B354="","",IF(COUNTIF($B$2:$B354,$B354)=1,1,0))</f>
        <v/>
      </c>
      <c r="V354">
        <f>IF($U354=1,SUMPRODUCT(--($X$2:$X$1501&lt;$X354))+1,"")</f>
        <v/>
      </c>
      <c r="W354">
        <f>IF($B354="","",IF(OR($S354=TRUE(),$S354="TRUE"),1,0))</f>
        <v/>
      </c>
      <c r="X354">
        <f>IF($U354=1,IFERROR(IF(VALUE($B354)&lt;100000000,VALUE($B354),1000000000),IFERROR(IF(VALUE(MID($B354,2,20))&lt;100000000,VALUE(MID($B354,2,20)),1000000000),1000000000))+ROW()/100000,"")</f>
        <v/>
      </c>
    </row>
    <row r="355">
      <c r="A355">
        <f>IF($B355="","",IFERROR(IF(INDEX('Per Invoice'!$C$2:$C$401,MATCH($B355,'Per Invoice'!$A$2:$A$401,0))=0,"",INDEX('Per Invoice'!$C$2:$C$401,MATCH($B355,'Per Invoice'!$A$2:$A$401,0))),""))</f>
        <v/>
      </c>
      <c r="G355" s="7">
        <f>IF($B355="","",F355*L355/100)</f>
        <v/>
      </c>
      <c r="K355" s="7" t="n"/>
      <c r="L355" s="7" t="n"/>
      <c r="M355" s="7">
        <f>IF($B355="","",L355*T355/100)</f>
        <v/>
      </c>
      <c r="N355" s="7">
        <f>IF($B355="","",L355-M355)</f>
        <v/>
      </c>
      <c r="O355" s="7">
        <f>IF($B355="","",N355-G355)</f>
        <v/>
      </c>
      <c r="R355" s="14" t="n"/>
      <c r="T355">
        <f>IF($B355="","",IF($W355=1,Settings!$C$6,Settings!$C$7)*100)</f>
        <v/>
      </c>
      <c r="U355">
        <f>IF($B355="","",IF(COUNTIF($B$2:$B355,$B355)=1,1,0))</f>
        <v/>
      </c>
      <c r="V355">
        <f>IF($U355=1,SUMPRODUCT(--($X$2:$X$1501&lt;$X355))+1,"")</f>
        <v/>
      </c>
      <c r="W355">
        <f>IF($B355="","",IF(OR($S355=TRUE(),$S355="TRUE"),1,0))</f>
        <v/>
      </c>
      <c r="X355">
        <f>IF($U355=1,IFERROR(IF(VALUE($B355)&lt;100000000,VALUE($B355),1000000000),IFERROR(IF(VALUE(MID($B355,2,20))&lt;100000000,VALUE(MID($B355,2,20)),1000000000),1000000000))+ROW()/100000,"")</f>
        <v/>
      </c>
    </row>
    <row r="356">
      <c r="A356">
        <f>IF($B356="","",IFERROR(IF(INDEX('Per Invoice'!$C$2:$C$401,MATCH($B356,'Per Invoice'!$A$2:$A$401,0))=0,"",INDEX('Per Invoice'!$C$2:$C$401,MATCH($B356,'Per Invoice'!$A$2:$A$401,0))),""))</f>
        <v/>
      </c>
      <c r="G356" s="7">
        <f>IF($B356="","",F356*L356/100)</f>
        <v/>
      </c>
      <c r="K356" s="7" t="n"/>
      <c r="L356" s="7" t="n"/>
      <c r="M356" s="7">
        <f>IF($B356="","",L356*T356/100)</f>
        <v/>
      </c>
      <c r="N356" s="7">
        <f>IF($B356="","",L356-M356)</f>
        <v/>
      </c>
      <c r="O356" s="7">
        <f>IF($B356="","",N356-G356)</f>
        <v/>
      </c>
      <c r="R356" s="14" t="n"/>
      <c r="T356">
        <f>IF($B356="","",IF($W356=1,Settings!$C$6,Settings!$C$7)*100)</f>
        <v/>
      </c>
      <c r="U356">
        <f>IF($B356="","",IF(COUNTIF($B$2:$B356,$B356)=1,1,0))</f>
        <v/>
      </c>
      <c r="V356">
        <f>IF($U356=1,SUMPRODUCT(--($X$2:$X$1501&lt;$X356))+1,"")</f>
        <v/>
      </c>
      <c r="W356">
        <f>IF($B356="","",IF(OR($S356=TRUE(),$S356="TRUE"),1,0))</f>
        <v/>
      </c>
      <c r="X356">
        <f>IF($U356=1,IFERROR(IF(VALUE($B356)&lt;100000000,VALUE($B356),1000000000),IFERROR(IF(VALUE(MID($B356,2,20))&lt;100000000,VALUE(MID($B356,2,20)),1000000000),1000000000))+ROW()/100000,"")</f>
        <v/>
      </c>
    </row>
    <row r="357">
      <c r="A357">
        <f>IF($B357="","",IFERROR(IF(INDEX('Per Invoice'!$C$2:$C$401,MATCH($B357,'Per Invoice'!$A$2:$A$401,0))=0,"",INDEX('Per Invoice'!$C$2:$C$401,MATCH($B357,'Per Invoice'!$A$2:$A$401,0))),""))</f>
        <v/>
      </c>
      <c r="G357" s="7">
        <f>IF($B357="","",F357*L357/100)</f>
        <v/>
      </c>
      <c r="K357" s="7" t="n"/>
      <c r="L357" s="7" t="n"/>
      <c r="M357" s="7">
        <f>IF($B357="","",L357*T357/100)</f>
        <v/>
      </c>
      <c r="N357" s="7">
        <f>IF($B357="","",L357-M357)</f>
        <v/>
      </c>
      <c r="O357" s="7">
        <f>IF($B357="","",N357-G357)</f>
        <v/>
      </c>
      <c r="R357" s="14" t="n"/>
      <c r="T357">
        <f>IF($B357="","",IF($W357=1,Settings!$C$6,Settings!$C$7)*100)</f>
        <v/>
      </c>
      <c r="U357">
        <f>IF($B357="","",IF(COUNTIF($B$2:$B357,$B357)=1,1,0))</f>
        <v/>
      </c>
      <c r="V357">
        <f>IF($U357=1,SUMPRODUCT(--($X$2:$X$1501&lt;$X357))+1,"")</f>
        <v/>
      </c>
      <c r="W357">
        <f>IF($B357="","",IF(OR($S357=TRUE(),$S357="TRUE"),1,0))</f>
        <v/>
      </c>
      <c r="X357">
        <f>IF($U357=1,IFERROR(IF(VALUE($B357)&lt;100000000,VALUE($B357),1000000000),IFERROR(IF(VALUE(MID($B357,2,20))&lt;100000000,VALUE(MID($B357,2,20)),1000000000),1000000000))+ROW()/100000,"")</f>
        <v/>
      </c>
    </row>
    <row r="358">
      <c r="A358">
        <f>IF($B358="","",IFERROR(IF(INDEX('Per Invoice'!$C$2:$C$401,MATCH($B358,'Per Invoice'!$A$2:$A$401,0))=0,"",INDEX('Per Invoice'!$C$2:$C$401,MATCH($B358,'Per Invoice'!$A$2:$A$401,0))),""))</f>
        <v/>
      </c>
      <c r="G358" s="7">
        <f>IF($B358="","",F358*L358/100)</f>
        <v/>
      </c>
      <c r="K358" s="7" t="n"/>
      <c r="L358" s="7" t="n"/>
      <c r="M358" s="7">
        <f>IF($B358="","",L358*T358/100)</f>
        <v/>
      </c>
      <c r="N358" s="7">
        <f>IF($B358="","",L358-M358)</f>
        <v/>
      </c>
      <c r="O358" s="7">
        <f>IF($B358="","",N358-G358)</f>
        <v/>
      </c>
      <c r="R358" s="14" t="n"/>
      <c r="T358">
        <f>IF($B358="","",IF($W358=1,Settings!$C$6,Settings!$C$7)*100)</f>
        <v/>
      </c>
      <c r="U358">
        <f>IF($B358="","",IF(COUNTIF($B$2:$B358,$B358)=1,1,0))</f>
        <v/>
      </c>
      <c r="V358">
        <f>IF($U358=1,SUMPRODUCT(--($X$2:$X$1501&lt;$X358))+1,"")</f>
        <v/>
      </c>
      <c r="W358">
        <f>IF($B358="","",IF(OR($S358=TRUE(),$S358="TRUE"),1,0))</f>
        <v/>
      </c>
      <c r="X358">
        <f>IF($U358=1,IFERROR(IF(VALUE($B358)&lt;100000000,VALUE($B358),1000000000),IFERROR(IF(VALUE(MID($B358,2,20))&lt;100000000,VALUE(MID($B358,2,20)),1000000000),1000000000))+ROW()/100000,"")</f>
        <v/>
      </c>
    </row>
    <row r="359">
      <c r="A359">
        <f>IF($B359="","",IFERROR(IF(INDEX('Per Invoice'!$C$2:$C$401,MATCH($B359,'Per Invoice'!$A$2:$A$401,0))=0,"",INDEX('Per Invoice'!$C$2:$C$401,MATCH($B359,'Per Invoice'!$A$2:$A$401,0))),""))</f>
        <v/>
      </c>
      <c r="G359" s="7">
        <f>IF($B359="","",F359*L359/100)</f>
        <v/>
      </c>
      <c r="K359" s="7" t="n"/>
      <c r="L359" s="7" t="n"/>
      <c r="M359" s="7">
        <f>IF($B359="","",L359*T359/100)</f>
        <v/>
      </c>
      <c r="N359" s="7">
        <f>IF($B359="","",L359-M359)</f>
        <v/>
      </c>
      <c r="O359" s="7">
        <f>IF($B359="","",N359-G359)</f>
        <v/>
      </c>
      <c r="R359" s="14" t="n"/>
      <c r="T359">
        <f>IF($B359="","",IF($W359=1,Settings!$C$6,Settings!$C$7)*100)</f>
        <v/>
      </c>
      <c r="U359">
        <f>IF($B359="","",IF(COUNTIF($B$2:$B359,$B359)=1,1,0))</f>
        <v/>
      </c>
      <c r="V359">
        <f>IF($U359=1,SUMPRODUCT(--($X$2:$X$1501&lt;$X359))+1,"")</f>
        <v/>
      </c>
      <c r="W359">
        <f>IF($B359="","",IF(OR($S359=TRUE(),$S359="TRUE"),1,0))</f>
        <v/>
      </c>
      <c r="X359">
        <f>IF($U359=1,IFERROR(IF(VALUE($B359)&lt;100000000,VALUE($B359),1000000000),IFERROR(IF(VALUE(MID($B359,2,20))&lt;100000000,VALUE(MID($B359,2,20)),1000000000),1000000000))+ROW()/100000,"")</f>
        <v/>
      </c>
    </row>
    <row r="360">
      <c r="A360">
        <f>IF($B360="","",IFERROR(IF(INDEX('Per Invoice'!$C$2:$C$401,MATCH($B360,'Per Invoice'!$A$2:$A$401,0))=0,"",INDEX('Per Invoice'!$C$2:$C$401,MATCH($B360,'Per Invoice'!$A$2:$A$401,0))),""))</f>
        <v/>
      </c>
      <c r="G360" s="7">
        <f>IF($B360="","",F360*L360/100)</f>
        <v/>
      </c>
      <c r="K360" s="7" t="n"/>
      <c r="L360" s="7" t="n"/>
      <c r="M360" s="7">
        <f>IF($B360="","",L360*T360/100)</f>
        <v/>
      </c>
      <c r="N360" s="7">
        <f>IF($B360="","",L360-M360)</f>
        <v/>
      </c>
      <c r="O360" s="7">
        <f>IF($B360="","",N360-G360)</f>
        <v/>
      </c>
      <c r="R360" s="14" t="n"/>
      <c r="T360">
        <f>IF($B360="","",IF($W360=1,Settings!$C$6,Settings!$C$7)*100)</f>
        <v/>
      </c>
      <c r="U360">
        <f>IF($B360="","",IF(COUNTIF($B$2:$B360,$B360)=1,1,0))</f>
        <v/>
      </c>
      <c r="V360">
        <f>IF($U360=1,SUMPRODUCT(--($X$2:$X$1501&lt;$X360))+1,"")</f>
        <v/>
      </c>
      <c r="W360">
        <f>IF($B360="","",IF(OR($S360=TRUE(),$S360="TRUE"),1,0))</f>
        <v/>
      </c>
      <c r="X360">
        <f>IF($U360=1,IFERROR(IF(VALUE($B360)&lt;100000000,VALUE($B360),1000000000),IFERROR(IF(VALUE(MID($B360,2,20))&lt;100000000,VALUE(MID($B360,2,20)),1000000000),1000000000))+ROW()/100000,"")</f>
        <v/>
      </c>
    </row>
    <row r="361">
      <c r="A361">
        <f>IF($B361="","",IFERROR(IF(INDEX('Per Invoice'!$C$2:$C$401,MATCH($B361,'Per Invoice'!$A$2:$A$401,0))=0,"",INDEX('Per Invoice'!$C$2:$C$401,MATCH($B361,'Per Invoice'!$A$2:$A$401,0))),""))</f>
        <v/>
      </c>
      <c r="G361" s="7">
        <f>IF($B361="","",F361*L361/100)</f>
        <v/>
      </c>
      <c r="K361" s="7" t="n"/>
      <c r="L361" s="7" t="n"/>
      <c r="M361" s="7">
        <f>IF($B361="","",L361*T361/100)</f>
        <v/>
      </c>
      <c r="N361" s="7">
        <f>IF($B361="","",L361-M361)</f>
        <v/>
      </c>
      <c r="O361" s="7">
        <f>IF($B361="","",N361-G361)</f>
        <v/>
      </c>
      <c r="R361" s="14" t="n"/>
      <c r="T361">
        <f>IF($B361="","",IF($W361=1,Settings!$C$6,Settings!$C$7)*100)</f>
        <v/>
      </c>
      <c r="U361">
        <f>IF($B361="","",IF(COUNTIF($B$2:$B361,$B361)=1,1,0))</f>
        <v/>
      </c>
      <c r="V361">
        <f>IF($U361=1,SUMPRODUCT(--($X$2:$X$1501&lt;$X361))+1,"")</f>
        <v/>
      </c>
      <c r="W361">
        <f>IF($B361="","",IF(OR($S361=TRUE(),$S361="TRUE"),1,0))</f>
        <v/>
      </c>
      <c r="X361">
        <f>IF($U361=1,IFERROR(IF(VALUE($B361)&lt;100000000,VALUE($B361),1000000000),IFERROR(IF(VALUE(MID($B361,2,20))&lt;100000000,VALUE(MID($B361,2,20)),1000000000),1000000000))+ROW()/100000,"")</f>
        <v/>
      </c>
    </row>
    <row r="362">
      <c r="A362">
        <f>IF($B362="","",IFERROR(IF(INDEX('Per Invoice'!$C$2:$C$401,MATCH($B362,'Per Invoice'!$A$2:$A$401,0))=0,"",INDEX('Per Invoice'!$C$2:$C$401,MATCH($B362,'Per Invoice'!$A$2:$A$401,0))),""))</f>
        <v/>
      </c>
      <c r="G362" s="7">
        <f>IF($B362="","",F362*L362/100)</f>
        <v/>
      </c>
      <c r="K362" s="7" t="n"/>
      <c r="L362" s="7" t="n"/>
      <c r="M362" s="7">
        <f>IF($B362="","",L362*T362/100)</f>
        <v/>
      </c>
      <c r="N362" s="7">
        <f>IF($B362="","",L362-M362)</f>
        <v/>
      </c>
      <c r="O362" s="7">
        <f>IF($B362="","",N362-G362)</f>
        <v/>
      </c>
      <c r="R362" s="14" t="n"/>
      <c r="T362">
        <f>IF($B362="","",IF($W362=1,Settings!$C$6,Settings!$C$7)*100)</f>
        <v/>
      </c>
      <c r="U362">
        <f>IF($B362="","",IF(COUNTIF($B$2:$B362,$B362)=1,1,0))</f>
        <v/>
      </c>
      <c r="V362">
        <f>IF($U362=1,SUMPRODUCT(--($X$2:$X$1501&lt;$X362))+1,"")</f>
        <v/>
      </c>
      <c r="W362">
        <f>IF($B362="","",IF(OR($S362=TRUE(),$S362="TRUE"),1,0))</f>
        <v/>
      </c>
      <c r="X362">
        <f>IF($U362=1,IFERROR(IF(VALUE($B362)&lt;100000000,VALUE($B362),1000000000),IFERROR(IF(VALUE(MID($B362,2,20))&lt;100000000,VALUE(MID($B362,2,20)),1000000000),1000000000))+ROW()/100000,"")</f>
        <v/>
      </c>
    </row>
    <row r="363">
      <c r="A363">
        <f>IF($B363="","",IFERROR(IF(INDEX('Per Invoice'!$C$2:$C$401,MATCH($B363,'Per Invoice'!$A$2:$A$401,0))=0,"",INDEX('Per Invoice'!$C$2:$C$401,MATCH($B363,'Per Invoice'!$A$2:$A$401,0))),""))</f>
        <v/>
      </c>
      <c r="G363" s="7">
        <f>IF($B363="","",F363*L363/100)</f>
        <v/>
      </c>
      <c r="K363" s="7" t="n"/>
      <c r="L363" s="7" t="n"/>
      <c r="M363" s="7">
        <f>IF($B363="","",L363*T363/100)</f>
        <v/>
      </c>
      <c r="N363" s="7">
        <f>IF($B363="","",L363-M363)</f>
        <v/>
      </c>
      <c r="O363" s="7">
        <f>IF($B363="","",N363-G363)</f>
        <v/>
      </c>
      <c r="R363" s="14" t="n"/>
      <c r="T363">
        <f>IF($B363="","",IF($W363=1,Settings!$C$6,Settings!$C$7)*100)</f>
        <v/>
      </c>
      <c r="U363">
        <f>IF($B363="","",IF(COUNTIF($B$2:$B363,$B363)=1,1,0))</f>
        <v/>
      </c>
      <c r="V363">
        <f>IF($U363=1,SUMPRODUCT(--($X$2:$X$1501&lt;$X363))+1,"")</f>
        <v/>
      </c>
      <c r="W363">
        <f>IF($B363="","",IF(OR($S363=TRUE(),$S363="TRUE"),1,0))</f>
        <v/>
      </c>
      <c r="X363">
        <f>IF($U363=1,IFERROR(IF(VALUE($B363)&lt;100000000,VALUE($B363),1000000000),IFERROR(IF(VALUE(MID($B363,2,20))&lt;100000000,VALUE(MID($B363,2,20)),1000000000),1000000000))+ROW()/100000,"")</f>
        <v/>
      </c>
    </row>
    <row r="364">
      <c r="A364">
        <f>IF($B364="","",IFERROR(IF(INDEX('Per Invoice'!$C$2:$C$401,MATCH($B364,'Per Invoice'!$A$2:$A$401,0))=0,"",INDEX('Per Invoice'!$C$2:$C$401,MATCH($B364,'Per Invoice'!$A$2:$A$401,0))),""))</f>
        <v/>
      </c>
      <c r="G364" s="7">
        <f>IF($B364="","",F364*L364/100)</f>
        <v/>
      </c>
      <c r="K364" s="7" t="n"/>
      <c r="L364" s="7" t="n"/>
      <c r="M364" s="7">
        <f>IF($B364="","",L364*T364/100)</f>
        <v/>
      </c>
      <c r="N364" s="7">
        <f>IF($B364="","",L364-M364)</f>
        <v/>
      </c>
      <c r="O364" s="7">
        <f>IF($B364="","",N364-G364)</f>
        <v/>
      </c>
      <c r="R364" s="14" t="n"/>
      <c r="T364">
        <f>IF($B364="","",IF($W364=1,Settings!$C$6,Settings!$C$7)*100)</f>
        <v/>
      </c>
      <c r="U364">
        <f>IF($B364="","",IF(COUNTIF($B$2:$B364,$B364)=1,1,0))</f>
        <v/>
      </c>
      <c r="V364">
        <f>IF($U364=1,SUMPRODUCT(--($X$2:$X$1501&lt;$X364))+1,"")</f>
        <v/>
      </c>
      <c r="W364">
        <f>IF($B364="","",IF(OR($S364=TRUE(),$S364="TRUE"),1,0))</f>
        <v/>
      </c>
      <c r="X364">
        <f>IF($U364=1,IFERROR(IF(VALUE($B364)&lt;100000000,VALUE($B364),1000000000),IFERROR(IF(VALUE(MID($B364,2,20))&lt;100000000,VALUE(MID($B364,2,20)),1000000000),1000000000))+ROW()/100000,"")</f>
        <v/>
      </c>
    </row>
    <row r="365">
      <c r="A365">
        <f>IF($B365="","",IFERROR(IF(INDEX('Per Invoice'!$C$2:$C$401,MATCH($B365,'Per Invoice'!$A$2:$A$401,0))=0,"",INDEX('Per Invoice'!$C$2:$C$401,MATCH($B365,'Per Invoice'!$A$2:$A$401,0))),""))</f>
        <v/>
      </c>
      <c r="G365" s="7">
        <f>IF($B365="","",F365*L365/100)</f>
        <v/>
      </c>
      <c r="K365" s="7" t="n"/>
      <c r="L365" s="7" t="n"/>
      <c r="M365" s="7">
        <f>IF($B365="","",L365*T365/100)</f>
        <v/>
      </c>
      <c r="N365" s="7">
        <f>IF($B365="","",L365-M365)</f>
        <v/>
      </c>
      <c r="O365" s="7">
        <f>IF($B365="","",N365-G365)</f>
        <v/>
      </c>
      <c r="R365" s="14" t="n"/>
      <c r="T365">
        <f>IF($B365="","",IF($W365=1,Settings!$C$6,Settings!$C$7)*100)</f>
        <v/>
      </c>
      <c r="U365">
        <f>IF($B365="","",IF(COUNTIF($B$2:$B365,$B365)=1,1,0))</f>
        <v/>
      </c>
      <c r="V365">
        <f>IF($U365=1,SUMPRODUCT(--($X$2:$X$1501&lt;$X365))+1,"")</f>
        <v/>
      </c>
      <c r="W365">
        <f>IF($B365="","",IF(OR($S365=TRUE(),$S365="TRUE"),1,0))</f>
        <v/>
      </c>
      <c r="X365">
        <f>IF($U365=1,IFERROR(IF(VALUE($B365)&lt;100000000,VALUE($B365),1000000000),IFERROR(IF(VALUE(MID($B365,2,20))&lt;100000000,VALUE(MID($B365,2,20)),1000000000),1000000000))+ROW()/100000,"")</f>
        <v/>
      </c>
    </row>
    <row r="366">
      <c r="A366">
        <f>IF($B366="","",IFERROR(IF(INDEX('Per Invoice'!$C$2:$C$401,MATCH($B366,'Per Invoice'!$A$2:$A$401,0))=0,"",INDEX('Per Invoice'!$C$2:$C$401,MATCH($B366,'Per Invoice'!$A$2:$A$401,0))),""))</f>
        <v/>
      </c>
      <c r="G366" s="7">
        <f>IF($B366="","",F366*L366/100)</f>
        <v/>
      </c>
      <c r="K366" s="7" t="n"/>
      <c r="L366" s="7" t="n"/>
      <c r="M366" s="7">
        <f>IF($B366="","",L366*T366/100)</f>
        <v/>
      </c>
      <c r="N366" s="7">
        <f>IF($B366="","",L366-M366)</f>
        <v/>
      </c>
      <c r="O366" s="7">
        <f>IF($B366="","",N366-G366)</f>
        <v/>
      </c>
      <c r="R366" s="14" t="n"/>
      <c r="T366">
        <f>IF($B366="","",IF($W366=1,Settings!$C$6,Settings!$C$7)*100)</f>
        <v/>
      </c>
      <c r="U366">
        <f>IF($B366="","",IF(COUNTIF($B$2:$B366,$B366)=1,1,0))</f>
        <v/>
      </c>
      <c r="V366">
        <f>IF($U366=1,SUMPRODUCT(--($X$2:$X$1501&lt;$X366))+1,"")</f>
        <v/>
      </c>
      <c r="W366">
        <f>IF($B366="","",IF(OR($S366=TRUE(),$S366="TRUE"),1,0))</f>
        <v/>
      </c>
      <c r="X366">
        <f>IF($U366=1,IFERROR(IF(VALUE($B366)&lt;100000000,VALUE($B366),1000000000),IFERROR(IF(VALUE(MID($B366,2,20))&lt;100000000,VALUE(MID($B366,2,20)),1000000000),1000000000))+ROW()/100000,"")</f>
        <v/>
      </c>
    </row>
    <row r="367">
      <c r="A367">
        <f>IF($B367="","",IFERROR(IF(INDEX('Per Invoice'!$C$2:$C$401,MATCH($B367,'Per Invoice'!$A$2:$A$401,0))=0,"",INDEX('Per Invoice'!$C$2:$C$401,MATCH($B367,'Per Invoice'!$A$2:$A$401,0))),""))</f>
        <v/>
      </c>
      <c r="G367" s="7">
        <f>IF($B367="","",F367*L367/100)</f>
        <v/>
      </c>
      <c r="K367" s="7" t="n"/>
      <c r="L367" s="7" t="n"/>
      <c r="M367" s="7">
        <f>IF($B367="","",L367*T367/100)</f>
        <v/>
      </c>
      <c r="N367" s="7">
        <f>IF($B367="","",L367-M367)</f>
        <v/>
      </c>
      <c r="O367" s="7">
        <f>IF($B367="","",N367-G367)</f>
        <v/>
      </c>
      <c r="R367" s="14" t="n"/>
      <c r="T367">
        <f>IF($B367="","",IF($W367=1,Settings!$C$6,Settings!$C$7)*100)</f>
        <v/>
      </c>
      <c r="U367">
        <f>IF($B367="","",IF(COUNTIF($B$2:$B367,$B367)=1,1,0))</f>
        <v/>
      </c>
      <c r="V367">
        <f>IF($U367=1,SUMPRODUCT(--($X$2:$X$1501&lt;$X367))+1,"")</f>
        <v/>
      </c>
      <c r="W367">
        <f>IF($B367="","",IF(OR($S367=TRUE(),$S367="TRUE"),1,0))</f>
        <v/>
      </c>
      <c r="X367">
        <f>IF($U367=1,IFERROR(IF(VALUE($B367)&lt;100000000,VALUE($B367),1000000000),IFERROR(IF(VALUE(MID($B367,2,20))&lt;100000000,VALUE(MID($B367,2,20)),1000000000),1000000000))+ROW()/100000,"")</f>
        <v/>
      </c>
    </row>
    <row r="368">
      <c r="A368">
        <f>IF($B368="","",IFERROR(IF(INDEX('Per Invoice'!$C$2:$C$401,MATCH($B368,'Per Invoice'!$A$2:$A$401,0))=0,"",INDEX('Per Invoice'!$C$2:$C$401,MATCH($B368,'Per Invoice'!$A$2:$A$401,0))),""))</f>
        <v/>
      </c>
      <c r="G368" s="7">
        <f>IF($B368="","",F368*L368/100)</f>
        <v/>
      </c>
      <c r="K368" s="7" t="n"/>
      <c r="L368" s="7" t="n"/>
      <c r="M368" s="7">
        <f>IF($B368="","",L368*T368/100)</f>
        <v/>
      </c>
      <c r="N368" s="7">
        <f>IF($B368="","",L368-M368)</f>
        <v/>
      </c>
      <c r="O368" s="7">
        <f>IF($B368="","",N368-G368)</f>
        <v/>
      </c>
      <c r="R368" s="14" t="n"/>
      <c r="T368">
        <f>IF($B368="","",IF($W368=1,Settings!$C$6,Settings!$C$7)*100)</f>
        <v/>
      </c>
      <c r="U368">
        <f>IF($B368="","",IF(COUNTIF($B$2:$B368,$B368)=1,1,0))</f>
        <v/>
      </c>
      <c r="V368">
        <f>IF($U368=1,SUMPRODUCT(--($X$2:$X$1501&lt;$X368))+1,"")</f>
        <v/>
      </c>
      <c r="W368">
        <f>IF($B368="","",IF(OR($S368=TRUE(),$S368="TRUE"),1,0))</f>
        <v/>
      </c>
      <c r="X368">
        <f>IF($U368=1,IFERROR(IF(VALUE($B368)&lt;100000000,VALUE($B368),1000000000),IFERROR(IF(VALUE(MID($B368,2,20))&lt;100000000,VALUE(MID($B368,2,20)),1000000000),1000000000))+ROW()/100000,"")</f>
        <v/>
      </c>
    </row>
    <row r="369">
      <c r="A369">
        <f>IF($B369="","",IFERROR(IF(INDEX('Per Invoice'!$C$2:$C$401,MATCH($B369,'Per Invoice'!$A$2:$A$401,0))=0,"",INDEX('Per Invoice'!$C$2:$C$401,MATCH($B369,'Per Invoice'!$A$2:$A$401,0))),""))</f>
        <v/>
      </c>
      <c r="G369" s="7">
        <f>IF($B369="","",F369*L369/100)</f>
        <v/>
      </c>
      <c r="K369" s="7" t="n"/>
      <c r="L369" s="7" t="n"/>
      <c r="M369" s="7">
        <f>IF($B369="","",L369*T369/100)</f>
        <v/>
      </c>
      <c r="N369" s="7">
        <f>IF($B369="","",L369-M369)</f>
        <v/>
      </c>
      <c r="O369" s="7">
        <f>IF($B369="","",N369-G369)</f>
        <v/>
      </c>
      <c r="R369" s="14" t="n"/>
      <c r="T369">
        <f>IF($B369="","",IF($W369=1,Settings!$C$6,Settings!$C$7)*100)</f>
        <v/>
      </c>
      <c r="U369">
        <f>IF($B369="","",IF(COUNTIF($B$2:$B369,$B369)=1,1,0))</f>
        <v/>
      </c>
      <c r="V369">
        <f>IF($U369=1,SUMPRODUCT(--($X$2:$X$1501&lt;$X369))+1,"")</f>
        <v/>
      </c>
      <c r="W369">
        <f>IF($B369="","",IF(OR($S369=TRUE(),$S369="TRUE"),1,0))</f>
        <v/>
      </c>
      <c r="X369">
        <f>IF($U369=1,IFERROR(IF(VALUE($B369)&lt;100000000,VALUE($B369),1000000000),IFERROR(IF(VALUE(MID($B369,2,20))&lt;100000000,VALUE(MID($B369,2,20)),1000000000),1000000000))+ROW()/100000,"")</f>
        <v/>
      </c>
    </row>
    <row r="370">
      <c r="A370">
        <f>IF($B370="","",IFERROR(IF(INDEX('Per Invoice'!$C$2:$C$401,MATCH($B370,'Per Invoice'!$A$2:$A$401,0))=0,"",INDEX('Per Invoice'!$C$2:$C$401,MATCH($B370,'Per Invoice'!$A$2:$A$401,0))),""))</f>
        <v/>
      </c>
      <c r="G370" s="7">
        <f>IF($B370="","",F370*L370/100)</f>
        <v/>
      </c>
      <c r="K370" s="7" t="n"/>
      <c r="L370" s="7" t="n"/>
      <c r="M370" s="7">
        <f>IF($B370="","",L370*T370/100)</f>
        <v/>
      </c>
      <c r="N370" s="7">
        <f>IF($B370="","",L370-M370)</f>
        <v/>
      </c>
      <c r="O370" s="7">
        <f>IF($B370="","",N370-G370)</f>
        <v/>
      </c>
      <c r="R370" s="14" t="n"/>
      <c r="T370">
        <f>IF($B370="","",IF($W370=1,Settings!$C$6,Settings!$C$7)*100)</f>
        <v/>
      </c>
      <c r="U370">
        <f>IF($B370="","",IF(COUNTIF($B$2:$B370,$B370)=1,1,0))</f>
        <v/>
      </c>
      <c r="V370">
        <f>IF($U370=1,SUMPRODUCT(--($X$2:$X$1501&lt;$X370))+1,"")</f>
        <v/>
      </c>
      <c r="W370">
        <f>IF($B370="","",IF(OR($S370=TRUE(),$S370="TRUE"),1,0))</f>
        <v/>
      </c>
      <c r="X370">
        <f>IF($U370=1,IFERROR(IF(VALUE($B370)&lt;100000000,VALUE($B370),1000000000),IFERROR(IF(VALUE(MID($B370,2,20))&lt;100000000,VALUE(MID($B370,2,20)),1000000000),1000000000))+ROW()/100000,"")</f>
        <v/>
      </c>
    </row>
    <row r="371">
      <c r="A371">
        <f>IF($B371="","",IFERROR(IF(INDEX('Per Invoice'!$C$2:$C$401,MATCH($B371,'Per Invoice'!$A$2:$A$401,0))=0,"",INDEX('Per Invoice'!$C$2:$C$401,MATCH($B371,'Per Invoice'!$A$2:$A$401,0))),""))</f>
        <v/>
      </c>
      <c r="G371" s="7">
        <f>IF($B371="","",F371*L371/100)</f>
        <v/>
      </c>
      <c r="K371" s="7" t="n"/>
      <c r="L371" s="7" t="n"/>
      <c r="M371" s="7">
        <f>IF($B371="","",L371*T371/100)</f>
        <v/>
      </c>
      <c r="N371" s="7">
        <f>IF($B371="","",L371-M371)</f>
        <v/>
      </c>
      <c r="O371" s="7">
        <f>IF($B371="","",N371-G371)</f>
        <v/>
      </c>
      <c r="R371" s="14" t="n"/>
      <c r="T371">
        <f>IF($B371="","",IF($W371=1,Settings!$C$6,Settings!$C$7)*100)</f>
        <v/>
      </c>
      <c r="U371">
        <f>IF($B371="","",IF(COUNTIF($B$2:$B371,$B371)=1,1,0))</f>
        <v/>
      </c>
      <c r="V371">
        <f>IF($U371=1,SUMPRODUCT(--($X$2:$X$1501&lt;$X371))+1,"")</f>
        <v/>
      </c>
      <c r="W371">
        <f>IF($B371="","",IF(OR($S371=TRUE(),$S371="TRUE"),1,0))</f>
        <v/>
      </c>
      <c r="X371">
        <f>IF($U371=1,IFERROR(IF(VALUE($B371)&lt;100000000,VALUE($B371),1000000000),IFERROR(IF(VALUE(MID($B371,2,20))&lt;100000000,VALUE(MID($B371,2,20)),1000000000),1000000000))+ROW()/100000,"")</f>
        <v/>
      </c>
    </row>
    <row r="372">
      <c r="A372">
        <f>IF($B372="","",IFERROR(IF(INDEX('Per Invoice'!$C$2:$C$401,MATCH($B372,'Per Invoice'!$A$2:$A$401,0))=0,"",INDEX('Per Invoice'!$C$2:$C$401,MATCH($B372,'Per Invoice'!$A$2:$A$401,0))),""))</f>
        <v/>
      </c>
      <c r="G372" s="7">
        <f>IF($B372="","",F372*L372/100)</f>
        <v/>
      </c>
      <c r="K372" s="7" t="n"/>
      <c r="L372" s="7" t="n"/>
      <c r="M372" s="7">
        <f>IF($B372="","",L372*T372/100)</f>
        <v/>
      </c>
      <c r="N372" s="7">
        <f>IF($B372="","",L372-M372)</f>
        <v/>
      </c>
      <c r="O372" s="7">
        <f>IF($B372="","",N372-G372)</f>
        <v/>
      </c>
      <c r="R372" s="14" t="n"/>
      <c r="T372">
        <f>IF($B372="","",IF($W372=1,Settings!$C$6,Settings!$C$7)*100)</f>
        <v/>
      </c>
      <c r="U372">
        <f>IF($B372="","",IF(COUNTIF($B$2:$B372,$B372)=1,1,0))</f>
        <v/>
      </c>
      <c r="V372">
        <f>IF($U372=1,SUMPRODUCT(--($X$2:$X$1501&lt;$X372))+1,"")</f>
        <v/>
      </c>
      <c r="W372">
        <f>IF($B372="","",IF(OR($S372=TRUE(),$S372="TRUE"),1,0))</f>
        <v/>
      </c>
      <c r="X372">
        <f>IF($U372=1,IFERROR(IF(VALUE($B372)&lt;100000000,VALUE($B372),1000000000),IFERROR(IF(VALUE(MID($B372,2,20))&lt;100000000,VALUE(MID($B372,2,20)),1000000000),1000000000))+ROW()/100000,"")</f>
        <v/>
      </c>
    </row>
    <row r="373">
      <c r="A373">
        <f>IF($B373="","",IFERROR(IF(INDEX('Per Invoice'!$C$2:$C$401,MATCH($B373,'Per Invoice'!$A$2:$A$401,0))=0,"",INDEX('Per Invoice'!$C$2:$C$401,MATCH($B373,'Per Invoice'!$A$2:$A$401,0))),""))</f>
        <v/>
      </c>
      <c r="G373" s="7">
        <f>IF($B373="","",F373*L373/100)</f>
        <v/>
      </c>
      <c r="K373" s="7" t="n"/>
      <c r="L373" s="7" t="n"/>
      <c r="M373" s="7">
        <f>IF($B373="","",L373*T373/100)</f>
        <v/>
      </c>
      <c r="N373" s="7">
        <f>IF($B373="","",L373-M373)</f>
        <v/>
      </c>
      <c r="O373" s="7">
        <f>IF($B373="","",N373-G373)</f>
        <v/>
      </c>
      <c r="R373" s="14" t="n"/>
      <c r="T373">
        <f>IF($B373="","",IF($W373=1,Settings!$C$6,Settings!$C$7)*100)</f>
        <v/>
      </c>
      <c r="U373">
        <f>IF($B373="","",IF(COUNTIF($B$2:$B373,$B373)=1,1,0))</f>
        <v/>
      </c>
      <c r="V373">
        <f>IF($U373=1,SUMPRODUCT(--($X$2:$X$1501&lt;$X373))+1,"")</f>
        <v/>
      </c>
      <c r="W373">
        <f>IF($B373="","",IF(OR($S373=TRUE(),$S373="TRUE"),1,0))</f>
        <v/>
      </c>
      <c r="X373">
        <f>IF($U373=1,IFERROR(IF(VALUE($B373)&lt;100000000,VALUE($B373),1000000000),IFERROR(IF(VALUE(MID($B373,2,20))&lt;100000000,VALUE(MID($B373,2,20)),1000000000),1000000000))+ROW()/100000,"")</f>
        <v/>
      </c>
    </row>
    <row r="374">
      <c r="A374">
        <f>IF($B374="","",IFERROR(IF(INDEX('Per Invoice'!$C$2:$C$401,MATCH($B374,'Per Invoice'!$A$2:$A$401,0))=0,"",INDEX('Per Invoice'!$C$2:$C$401,MATCH($B374,'Per Invoice'!$A$2:$A$401,0))),""))</f>
        <v/>
      </c>
      <c r="G374" s="7">
        <f>IF($B374="","",F374*L374/100)</f>
        <v/>
      </c>
      <c r="K374" s="7" t="n"/>
      <c r="L374" s="7" t="n"/>
      <c r="M374" s="7">
        <f>IF($B374="","",L374*T374/100)</f>
        <v/>
      </c>
      <c r="N374" s="7">
        <f>IF($B374="","",L374-M374)</f>
        <v/>
      </c>
      <c r="O374" s="7">
        <f>IF($B374="","",N374-G374)</f>
        <v/>
      </c>
      <c r="R374" s="14" t="n"/>
      <c r="T374">
        <f>IF($B374="","",IF($W374=1,Settings!$C$6,Settings!$C$7)*100)</f>
        <v/>
      </c>
      <c r="U374">
        <f>IF($B374="","",IF(COUNTIF($B$2:$B374,$B374)=1,1,0))</f>
        <v/>
      </c>
      <c r="V374">
        <f>IF($U374=1,SUMPRODUCT(--($X$2:$X$1501&lt;$X374))+1,"")</f>
        <v/>
      </c>
      <c r="W374">
        <f>IF($B374="","",IF(OR($S374=TRUE(),$S374="TRUE"),1,0))</f>
        <v/>
      </c>
      <c r="X374">
        <f>IF($U374=1,IFERROR(IF(VALUE($B374)&lt;100000000,VALUE($B374),1000000000),IFERROR(IF(VALUE(MID($B374,2,20))&lt;100000000,VALUE(MID($B374,2,20)),1000000000),1000000000))+ROW()/100000,"")</f>
        <v/>
      </c>
    </row>
    <row r="375">
      <c r="A375">
        <f>IF($B375="","",IFERROR(IF(INDEX('Per Invoice'!$C$2:$C$401,MATCH($B375,'Per Invoice'!$A$2:$A$401,0))=0,"",INDEX('Per Invoice'!$C$2:$C$401,MATCH($B375,'Per Invoice'!$A$2:$A$401,0))),""))</f>
        <v/>
      </c>
      <c r="G375" s="7">
        <f>IF($B375="","",F375*L375/100)</f>
        <v/>
      </c>
      <c r="K375" s="7" t="n"/>
      <c r="L375" s="7" t="n"/>
      <c r="M375" s="7">
        <f>IF($B375="","",L375*T375/100)</f>
        <v/>
      </c>
      <c r="N375" s="7">
        <f>IF($B375="","",L375-M375)</f>
        <v/>
      </c>
      <c r="O375" s="7">
        <f>IF($B375="","",N375-G375)</f>
        <v/>
      </c>
      <c r="R375" s="14" t="n"/>
      <c r="T375">
        <f>IF($B375="","",IF($W375=1,Settings!$C$6,Settings!$C$7)*100)</f>
        <v/>
      </c>
      <c r="U375">
        <f>IF($B375="","",IF(COUNTIF($B$2:$B375,$B375)=1,1,0))</f>
        <v/>
      </c>
      <c r="V375">
        <f>IF($U375=1,SUMPRODUCT(--($X$2:$X$1501&lt;$X375))+1,"")</f>
        <v/>
      </c>
      <c r="W375">
        <f>IF($B375="","",IF(OR($S375=TRUE(),$S375="TRUE"),1,0))</f>
        <v/>
      </c>
      <c r="X375">
        <f>IF($U375=1,IFERROR(IF(VALUE($B375)&lt;100000000,VALUE($B375),1000000000),IFERROR(IF(VALUE(MID($B375,2,20))&lt;100000000,VALUE(MID($B375,2,20)),1000000000),1000000000))+ROW()/100000,"")</f>
        <v/>
      </c>
    </row>
    <row r="376">
      <c r="A376">
        <f>IF($B376="","",IFERROR(IF(INDEX('Per Invoice'!$C$2:$C$401,MATCH($B376,'Per Invoice'!$A$2:$A$401,0))=0,"",INDEX('Per Invoice'!$C$2:$C$401,MATCH($B376,'Per Invoice'!$A$2:$A$401,0))),""))</f>
        <v/>
      </c>
      <c r="G376" s="7">
        <f>IF($B376="","",F376*L376/100)</f>
        <v/>
      </c>
      <c r="K376" s="7" t="n"/>
      <c r="L376" s="7" t="n"/>
      <c r="M376" s="7">
        <f>IF($B376="","",L376*T376/100)</f>
        <v/>
      </c>
      <c r="N376" s="7">
        <f>IF($B376="","",L376-M376)</f>
        <v/>
      </c>
      <c r="O376" s="7">
        <f>IF($B376="","",N376-G376)</f>
        <v/>
      </c>
      <c r="R376" s="14" t="n"/>
      <c r="T376">
        <f>IF($B376="","",IF($W376=1,Settings!$C$6,Settings!$C$7)*100)</f>
        <v/>
      </c>
      <c r="U376">
        <f>IF($B376="","",IF(COUNTIF($B$2:$B376,$B376)=1,1,0))</f>
        <v/>
      </c>
      <c r="V376">
        <f>IF($U376=1,SUMPRODUCT(--($X$2:$X$1501&lt;$X376))+1,"")</f>
        <v/>
      </c>
      <c r="W376">
        <f>IF($B376="","",IF(OR($S376=TRUE(),$S376="TRUE"),1,0))</f>
        <v/>
      </c>
      <c r="X376">
        <f>IF($U376=1,IFERROR(IF(VALUE($B376)&lt;100000000,VALUE($B376),1000000000),IFERROR(IF(VALUE(MID($B376,2,20))&lt;100000000,VALUE(MID($B376,2,20)),1000000000),1000000000))+ROW()/100000,"")</f>
        <v/>
      </c>
    </row>
    <row r="377">
      <c r="A377">
        <f>IF($B377="","",IFERROR(IF(INDEX('Per Invoice'!$C$2:$C$401,MATCH($B377,'Per Invoice'!$A$2:$A$401,0))=0,"",INDEX('Per Invoice'!$C$2:$C$401,MATCH($B377,'Per Invoice'!$A$2:$A$401,0))),""))</f>
        <v/>
      </c>
      <c r="G377" s="7">
        <f>IF($B377="","",F377*L377/100)</f>
        <v/>
      </c>
      <c r="K377" s="7" t="n"/>
      <c r="L377" s="7" t="n"/>
      <c r="M377" s="7">
        <f>IF($B377="","",L377*T377/100)</f>
        <v/>
      </c>
      <c r="N377" s="7">
        <f>IF($B377="","",L377-M377)</f>
        <v/>
      </c>
      <c r="O377" s="7">
        <f>IF($B377="","",N377-G377)</f>
        <v/>
      </c>
      <c r="R377" s="14" t="n"/>
      <c r="T377">
        <f>IF($B377="","",IF($W377=1,Settings!$C$6,Settings!$C$7)*100)</f>
        <v/>
      </c>
      <c r="U377">
        <f>IF($B377="","",IF(COUNTIF($B$2:$B377,$B377)=1,1,0))</f>
        <v/>
      </c>
      <c r="V377">
        <f>IF($U377=1,SUMPRODUCT(--($X$2:$X$1501&lt;$X377))+1,"")</f>
        <v/>
      </c>
      <c r="W377">
        <f>IF($B377="","",IF(OR($S377=TRUE(),$S377="TRUE"),1,0))</f>
        <v/>
      </c>
      <c r="X377">
        <f>IF($U377=1,IFERROR(IF(VALUE($B377)&lt;100000000,VALUE($B377),1000000000),IFERROR(IF(VALUE(MID($B377,2,20))&lt;100000000,VALUE(MID($B377,2,20)),1000000000),1000000000))+ROW()/100000,"")</f>
        <v/>
      </c>
    </row>
    <row r="378">
      <c r="A378">
        <f>IF($B378="","",IFERROR(IF(INDEX('Per Invoice'!$C$2:$C$401,MATCH($B378,'Per Invoice'!$A$2:$A$401,0))=0,"",INDEX('Per Invoice'!$C$2:$C$401,MATCH($B378,'Per Invoice'!$A$2:$A$401,0))),""))</f>
        <v/>
      </c>
      <c r="G378" s="7">
        <f>IF($B378="","",F378*L378/100)</f>
        <v/>
      </c>
      <c r="K378" s="7" t="n"/>
      <c r="L378" s="7" t="n"/>
      <c r="M378" s="7">
        <f>IF($B378="","",L378*T378/100)</f>
        <v/>
      </c>
      <c r="N378" s="7">
        <f>IF($B378="","",L378-M378)</f>
        <v/>
      </c>
      <c r="O378" s="7">
        <f>IF($B378="","",N378-G378)</f>
        <v/>
      </c>
      <c r="R378" s="14" t="n"/>
      <c r="T378">
        <f>IF($B378="","",IF($W378=1,Settings!$C$6,Settings!$C$7)*100)</f>
        <v/>
      </c>
      <c r="U378">
        <f>IF($B378="","",IF(COUNTIF($B$2:$B378,$B378)=1,1,0))</f>
        <v/>
      </c>
      <c r="V378">
        <f>IF($U378=1,SUMPRODUCT(--($X$2:$X$1501&lt;$X378))+1,"")</f>
        <v/>
      </c>
      <c r="W378">
        <f>IF($B378="","",IF(OR($S378=TRUE(),$S378="TRUE"),1,0))</f>
        <v/>
      </c>
      <c r="X378">
        <f>IF($U378=1,IFERROR(IF(VALUE($B378)&lt;100000000,VALUE($B378),1000000000),IFERROR(IF(VALUE(MID($B378,2,20))&lt;100000000,VALUE(MID($B378,2,20)),1000000000),1000000000))+ROW()/100000,"")</f>
        <v/>
      </c>
    </row>
    <row r="379">
      <c r="A379">
        <f>IF($B379="","",IFERROR(IF(INDEX('Per Invoice'!$C$2:$C$401,MATCH($B379,'Per Invoice'!$A$2:$A$401,0))=0,"",INDEX('Per Invoice'!$C$2:$C$401,MATCH($B379,'Per Invoice'!$A$2:$A$401,0))),""))</f>
        <v/>
      </c>
      <c r="G379" s="7">
        <f>IF($B379="","",F379*L379/100)</f>
        <v/>
      </c>
      <c r="K379" s="7" t="n"/>
      <c r="L379" s="7" t="n"/>
      <c r="M379" s="7">
        <f>IF($B379="","",L379*T379/100)</f>
        <v/>
      </c>
      <c r="N379" s="7">
        <f>IF($B379="","",L379-M379)</f>
        <v/>
      </c>
      <c r="O379" s="7">
        <f>IF($B379="","",N379-G379)</f>
        <v/>
      </c>
      <c r="R379" s="14" t="n"/>
      <c r="T379">
        <f>IF($B379="","",IF($W379=1,Settings!$C$6,Settings!$C$7)*100)</f>
        <v/>
      </c>
      <c r="U379">
        <f>IF($B379="","",IF(COUNTIF($B$2:$B379,$B379)=1,1,0))</f>
        <v/>
      </c>
      <c r="V379">
        <f>IF($U379=1,SUMPRODUCT(--($X$2:$X$1501&lt;$X379))+1,"")</f>
        <v/>
      </c>
      <c r="W379">
        <f>IF($B379="","",IF(OR($S379=TRUE(),$S379="TRUE"),1,0))</f>
        <v/>
      </c>
      <c r="X379">
        <f>IF($U379=1,IFERROR(IF(VALUE($B379)&lt;100000000,VALUE($B379),1000000000),IFERROR(IF(VALUE(MID($B379,2,20))&lt;100000000,VALUE(MID($B379,2,20)),1000000000),1000000000))+ROW()/100000,"")</f>
        <v/>
      </c>
    </row>
    <row r="380">
      <c r="A380">
        <f>IF($B380="","",IFERROR(IF(INDEX('Per Invoice'!$C$2:$C$401,MATCH($B380,'Per Invoice'!$A$2:$A$401,0))=0,"",INDEX('Per Invoice'!$C$2:$C$401,MATCH($B380,'Per Invoice'!$A$2:$A$401,0))),""))</f>
        <v/>
      </c>
      <c r="G380" s="7">
        <f>IF($B380="","",F380*L380/100)</f>
        <v/>
      </c>
      <c r="K380" s="7" t="n"/>
      <c r="L380" s="7" t="n"/>
      <c r="M380" s="7">
        <f>IF($B380="","",L380*T380/100)</f>
        <v/>
      </c>
      <c r="N380" s="7">
        <f>IF($B380="","",L380-M380)</f>
        <v/>
      </c>
      <c r="O380" s="7">
        <f>IF($B380="","",N380-G380)</f>
        <v/>
      </c>
      <c r="R380" s="14" t="n"/>
      <c r="T380">
        <f>IF($B380="","",IF($W380=1,Settings!$C$6,Settings!$C$7)*100)</f>
        <v/>
      </c>
      <c r="U380">
        <f>IF($B380="","",IF(COUNTIF($B$2:$B380,$B380)=1,1,0))</f>
        <v/>
      </c>
      <c r="V380">
        <f>IF($U380=1,SUMPRODUCT(--($X$2:$X$1501&lt;$X380))+1,"")</f>
        <v/>
      </c>
      <c r="W380">
        <f>IF($B380="","",IF(OR($S380=TRUE(),$S380="TRUE"),1,0))</f>
        <v/>
      </c>
      <c r="X380">
        <f>IF($U380=1,IFERROR(IF(VALUE($B380)&lt;100000000,VALUE($B380),1000000000),IFERROR(IF(VALUE(MID($B380,2,20))&lt;100000000,VALUE(MID($B380,2,20)),1000000000),1000000000))+ROW()/100000,"")</f>
        <v/>
      </c>
    </row>
    <row r="381">
      <c r="A381">
        <f>IF($B381="","",IFERROR(IF(INDEX('Per Invoice'!$C$2:$C$401,MATCH($B381,'Per Invoice'!$A$2:$A$401,0))=0,"",INDEX('Per Invoice'!$C$2:$C$401,MATCH($B381,'Per Invoice'!$A$2:$A$401,0))),""))</f>
        <v/>
      </c>
      <c r="G381" s="7">
        <f>IF($B381="","",F381*L381/100)</f>
        <v/>
      </c>
      <c r="K381" s="7" t="n"/>
      <c r="L381" s="7" t="n"/>
      <c r="M381" s="7">
        <f>IF($B381="","",L381*T381/100)</f>
        <v/>
      </c>
      <c r="N381" s="7">
        <f>IF($B381="","",L381-M381)</f>
        <v/>
      </c>
      <c r="O381" s="7">
        <f>IF($B381="","",N381-G381)</f>
        <v/>
      </c>
      <c r="R381" s="14" t="n"/>
      <c r="T381">
        <f>IF($B381="","",IF($W381=1,Settings!$C$6,Settings!$C$7)*100)</f>
        <v/>
      </c>
      <c r="U381">
        <f>IF($B381="","",IF(COUNTIF($B$2:$B381,$B381)=1,1,0))</f>
        <v/>
      </c>
      <c r="V381">
        <f>IF($U381=1,SUMPRODUCT(--($X$2:$X$1501&lt;$X381))+1,"")</f>
        <v/>
      </c>
      <c r="W381">
        <f>IF($B381="","",IF(OR($S381=TRUE(),$S381="TRUE"),1,0))</f>
        <v/>
      </c>
      <c r="X381">
        <f>IF($U381=1,IFERROR(IF(VALUE($B381)&lt;100000000,VALUE($B381),1000000000),IFERROR(IF(VALUE(MID($B381,2,20))&lt;100000000,VALUE(MID($B381,2,20)),1000000000),1000000000))+ROW()/100000,"")</f>
        <v/>
      </c>
    </row>
    <row r="382">
      <c r="A382">
        <f>IF($B382="","",IFERROR(IF(INDEX('Per Invoice'!$C$2:$C$401,MATCH($B382,'Per Invoice'!$A$2:$A$401,0))=0,"",INDEX('Per Invoice'!$C$2:$C$401,MATCH($B382,'Per Invoice'!$A$2:$A$401,0))),""))</f>
        <v/>
      </c>
      <c r="G382" s="7">
        <f>IF($B382="","",F382*L382/100)</f>
        <v/>
      </c>
      <c r="K382" s="7" t="n"/>
      <c r="L382" s="7" t="n"/>
      <c r="M382" s="7">
        <f>IF($B382="","",L382*T382/100)</f>
        <v/>
      </c>
      <c r="N382" s="7">
        <f>IF($B382="","",L382-M382)</f>
        <v/>
      </c>
      <c r="O382" s="7">
        <f>IF($B382="","",N382-G382)</f>
        <v/>
      </c>
      <c r="R382" s="14" t="n"/>
      <c r="T382">
        <f>IF($B382="","",IF($W382=1,Settings!$C$6,Settings!$C$7)*100)</f>
        <v/>
      </c>
      <c r="U382">
        <f>IF($B382="","",IF(COUNTIF($B$2:$B382,$B382)=1,1,0))</f>
        <v/>
      </c>
      <c r="V382">
        <f>IF($U382=1,SUMPRODUCT(--($X$2:$X$1501&lt;$X382))+1,"")</f>
        <v/>
      </c>
      <c r="W382">
        <f>IF($B382="","",IF(OR($S382=TRUE(),$S382="TRUE"),1,0))</f>
        <v/>
      </c>
      <c r="X382">
        <f>IF($U382=1,IFERROR(IF(VALUE($B382)&lt;100000000,VALUE($B382),1000000000),IFERROR(IF(VALUE(MID($B382,2,20))&lt;100000000,VALUE(MID($B382,2,20)),1000000000),1000000000))+ROW()/100000,"")</f>
        <v/>
      </c>
    </row>
    <row r="383">
      <c r="A383">
        <f>IF($B383="","",IFERROR(IF(INDEX('Per Invoice'!$C$2:$C$401,MATCH($B383,'Per Invoice'!$A$2:$A$401,0))=0,"",INDEX('Per Invoice'!$C$2:$C$401,MATCH($B383,'Per Invoice'!$A$2:$A$401,0))),""))</f>
        <v/>
      </c>
      <c r="G383" s="7">
        <f>IF($B383="","",F383*L383/100)</f>
        <v/>
      </c>
      <c r="K383" s="7" t="n"/>
      <c r="L383" s="7" t="n"/>
      <c r="M383" s="7">
        <f>IF($B383="","",L383*T383/100)</f>
        <v/>
      </c>
      <c r="N383" s="7">
        <f>IF($B383="","",L383-M383)</f>
        <v/>
      </c>
      <c r="O383" s="7">
        <f>IF($B383="","",N383-G383)</f>
        <v/>
      </c>
      <c r="R383" s="14" t="n"/>
      <c r="T383">
        <f>IF($B383="","",IF($W383=1,Settings!$C$6,Settings!$C$7)*100)</f>
        <v/>
      </c>
      <c r="U383">
        <f>IF($B383="","",IF(COUNTIF($B$2:$B383,$B383)=1,1,0))</f>
        <v/>
      </c>
      <c r="V383">
        <f>IF($U383=1,SUMPRODUCT(--($X$2:$X$1501&lt;$X383))+1,"")</f>
        <v/>
      </c>
      <c r="W383">
        <f>IF($B383="","",IF(OR($S383=TRUE(),$S383="TRUE"),1,0))</f>
        <v/>
      </c>
      <c r="X383">
        <f>IF($U383=1,IFERROR(IF(VALUE($B383)&lt;100000000,VALUE($B383),1000000000),IFERROR(IF(VALUE(MID($B383,2,20))&lt;100000000,VALUE(MID($B383,2,20)),1000000000),1000000000))+ROW()/100000,"")</f>
        <v/>
      </c>
    </row>
    <row r="384">
      <c r="A384">
        <f>IF($B384="","",IFERROR(IF(INDEX('Per Invoice'!$C$2:$C$401,MATCH($B384,'Per Invoice'!$A$2:$A$401,0))=0,"",INDEX('Per Invoice'!$C$2:$C$401,MATCH($B384,'Per Invoice'!$A$2:$A$401,0))),""))</f>
        <v/>
      </c>
      <c r="G384" s="7">
        <f>IF($B384="","",F384*L384/100)</f>
        <v/>
      </c>
      <c r="K384" s="7" t="n"/>
      <c r="L384" s="7" t="n"/>
      <c r="M384" s="7">
        <f>IF($B384="","",L384*T384/100)</f>
        <v/>
      </c>
      <c r="N384" s="7">
        <f>IF($B384="","",L384-M384)</f>
        <v/>
      </c>
      <c r="O384" s="7">
        <f>IF($B384="","",N384-G384)</f>
        <v/>
      </c>
      <c r="R384" s="14" t="n"/>
      <c r="T384">
        <f>IF($B384="","",IF($W384=1,Settings!$C$6,Settings!$C$7)*100)</f>
        <v/>
      </c>
      <c r="U384">
        <f>IF($B384="","",IF(COUNTIF($B$2:$B384,$B384)=1,1,0))</f>
        <v/>
      </c>
      <c r="V384">
        <f>IF($U384=1,SUMPRODUCT(--($X$2:$X$1501&lt;$X384))+1,"")</f>
        <v/>
      </c>
      <c r="W384">
        <f>IF($B384="","",IF(OR($S384=TRUE(),$S384="TRUE"),1,0))</f>
        <v/>
      </c>
      <c r="X384">
        <f>IF($U384=1,IFERROR(IF(VALUE($B384)&lt;100000000,VALUE($B384),1000000000),IFERROR(IF(VALUE(MID($B384,2,20))&lt;100000000,VALUE(MID($B384,2,20)),1000000000),1000000000))+ROW()/100000,"")</f>
        <v/>
      </c>
    </row>
    <row r="385">
      <c r="A385">
        <f>IF($B385="","",IFERROR(IF(INDEX('Per Invoice'!$C$2:$C$401,MATCH($B385,'Per Invoice'!$A$2:$A$401,0))=0,"",INDEX('Per Invoice'!$C$2:$C$401,MATCH($B385,'Per Invoice'!$A$2:$A$401,0))),""))</f>
        <v/>
      </c>
      <c r="G385" s="7">
        <f>IF($B385="","",F385*L385/100)</f>
        <v/>
      </c>
      <c r="K385" s="7" t="n"/>
      <c r="L385" s="7" t="n"/>
      <c r="M385" s="7">
        <f>IF($B385="","",L385*T385/100)</f>
        <v/>
      </c>
      <c r="N385" s="7">
        <f>IF($B385="","",L385-M385)</f>
        <v/>
      </c>
      <c r="O385" s="7">
        <f>IF($B385="","",N385-G385)</f>
        <v/>
      </c>
      <c r="R385" s="14" t="n"/>
      <c r="T385">
        <f>IF($B385="","",IF($W385=1,Settings!$C$6,Settings!$C$7)*100)</f>
        <v/>
      </c>
      <c r="U385">
        <f>IF($B385="","",IF(COUNTIF($B$2:$B385,$B385)=1,1,0))</f>
        <v/>
      </c>
      <c r="V385">
        <f>IF($U385=1,SUMPRODUCT(--($X$2:$X$1501&lt;$X385))+1,"")</f>
        <v/>
      </c>
      <c r="W385">
        <f>IF($B385="","",IF(OR($S385=TRUE(),$S385="TRUE"),1,0))</f>
        <v/>
      </c>
      <c r="X385">
        <f>IF($U385=1,IFERROR(IF(VALUE($B385)&lt;100000000,VALUE($B385),1000000000),IFERROR(IF(VALUE(MID($B385,2,20))&lt;100000000,VALUE(MID($B385,2,20)),1000000000),1000000000))+ROW()/100000,"")</f>
        <v/>
      </c>
    </row>
    <row r="386">
      <c r="A386">
        <f>IF($B386="","",IFERROR(IF(INDEX('Per Invoice'!$C$2:$C$401,MATCH($B386,'Per Invoice'!$A$2:$A$401,0))=0,"",INDEX('Per Invoice'!$C$2:$C$401,MATCH($B386,'Per Invoice'!$A$2:$A$401,0))),""))</f>
        <v/>
      </c>
      <c r="G386" s="7">
        <f>IF($B386="","",F386*L386/100)</f>
        <v/>
      </c>
      <c r="K386" s="7" t="n"/>
      <c r="L386" s="7" t="n"/>
      <c r="M386" s="7">
        <f>IF($B386="","",L386*T386/100)</f>
        <v/>
      </c>
      <c r="N386" s="7">
        <f>IF($B386="","",L386-M386)</f>
        <v/>
      </c>
      <c r="O386" s="7">
        <f>IF($B386="","",N386-G386)</f>
        <v/>
      </c>
      <c r="R386" s="14" t="n"/>
      <c r="T386">
        <f>IF($B386="","",IF($W386=1,Settings!$C$6,Settings!$C$7)*100)</f>
        <v/>
      </c>
      <c r="U386">
        <f>IF($B386="","",IF(COUNTIF($B$2:$B386,$B386)=1,1,0))</f>
        <v/>
      </c>
      <c r="V386">
        <f>IF($U386=1,SUMPRODUCT(--($X$2:$X$1501&lt;$X386))+1,"")</f>
        <v/>
      </c>
      <c r="W386">
        <f>IF($B386="","",IF(OR($S386=TRUE(),$S386="TRUE"),1,0))</f>
        <v/>
      </c>
      <c r="X386">
        <f>IF($U386=1,IFERROR(IF(VALUE($B386)&lt;100000000,VALUE($B386),1000000000),IFERROR(IF(VALUE(MID($B386,2,20))&lt;100000000,VALUE(MID($B386,2,20)),1000000000),1000000000))+ROW()/100000,"")</f>
        <v/>
      </c>
    </row>
    <row r="387">
      <c r="A387">
        <f>IF($B387="","",IFERROR(IF(INDEX('Per Invoice'!$C$2:$C$401,MATCH($B387,'Per Invoice'!$A$2:$A$401,0))=0,"",INDEX('Per Invoice'!$C$2:$C$401,MATCH($B387,'Per Invoice'!$A$2:$A$401,0))),""))</f>
        <v/>
      </c>
      <c r="G387" s="7">
        <f>IF($B387="","",F387*L387/100)</f>
        <v/>
      </c>
      <c r="K387" s="7" t="n"/>
      <c r="L387" s="7" t="n"/>
      <c r="M387" s="7">
        <f>IF($B387="","",L387*T387/100)</f>
        <v/>
      </c>
      <c r="N387" s="7">
        <f>IF($B387="","",L387-M387)</f>
        <v/>
      </c>
      <c r="O387" s="7">
        <f>IF($B387="","",N387-G387)</f>
        <v/>
      </c>
      <c r="R387" s="14" t="n"/>
      <c r="T387">
        <f>IF($B387="","",IF($W387=1,Settings!$C$6,Settings!$C$7)*100)</f>
        <v/>
      </c>
      <c r="U387">
        <f>IF($B387="","",IF(COUNTIF($B$2:$B387,$B387)=1,1,0))</f>
        <v/>
      </c>
      <c r="V387">
        <f>IF($U387=1,SUMPRODUCT(--($X$2:$X$1501&lt;$X387))+1,"")</f>
        <v/>
      </c>
      <c r="W387">
        <f>IF($B387="","",IF(OR($S387=TRUE(),$S387="TRUE"),1,0))</f>
        <v/>
      </c>
      <c r="X387">
        <f>IF($U387=1,IFERROR(IF(VALUE($B387)&lt;100000000,VALUE($B387),1000000000),IFERROR(IF(VALUE(MID($B387,2,20))&lt;100000000,VALUE(MID($B387,2,20)),1000000000),1000000000))+ROW()/100000,"")</f>
        <v/>
      </c>
    </row>
    <row r="388">
      <c r="A388">
        <f>IF($B388="","",IFERROR(IF(INDEX('Per Invoice'!$C$2:$C$401,MATCH($B388,'Per Invoice'!$A$2:$A$401,0))=0,"",INDEX('Per Invoice'!$C$2:$C$401,MATCH($B388,'Per Invoice'!$A$2:$A$401,0))),""))</f>
        <v/>
      </c>
      <c r="G388" s="7">
        <f>IF($B388="","",F388*L388/100)</f>
        <v/>
      </c>
      <c r="K388" s="7" t="n"/>
      <c r="L388" s="7" t="n"/>
      <c r="M388" s="7">
        <f>IF($B388="","",L388*T388/100)</f>
        <v/>
      </c>
      <c r="N388" s="7">
        <f>IF($B388="","",L388-M388)</f>
        <v/>
      </c>
      <c r="O388" s="7">
        <f>IF($B388="","",N388-G388)</f>
        <v/>
      </c>
      <c r="R388" s="14" t="n"/>
      <c r="T388">
        <f>IF($B388="","",IF($W388=1,Settings!$C$6,Settings!$C$7)*100)</f>
        <v/>
      </c>
      <c r="U388">
        <f>IF($B388="","",IF(COUNTIF($B$2:$B388,$B388)=1,1,0))</f>
        <v/>
      </c>
      <c r="V388">
        <f>IF($U388=1,SUMPRODUCT(--($X$2:$X$1501&lt;$X388))+1,"")</f>
        <v/>
      </c>
      <c r="W388">
        <f>IF($B388="","",IF(OR($S388=TRUE(),$S388="TRUE"),1,0))</f>
        <v/>
      </c>
      <c r="X388">
        <f>IF($U388=1,IFERROR(IF(VALUE($B388)&lt;100000000,VALUE($B388),1000000000),IFERROR(IF(VALUE(MID($B388,2,20))&lt;100000000,VALUE(MID($B388,2,20)),1000000000),1000000000))+ROW()/100000,"")</f>
        <v/>
      </c>
    </row>
    <row r="389">
      <c r="A389">
        <f>IF($B389="","",IFERROR(IF(INDEX('Per Invoice'!$C$2:$C$401,MATCH($B389,'Per Invoice'!$A$2:$A$401,0))=0,"",INDEX('Per Invoice'!$C$2:$C$401,MATCH($B389,'Per Invoice'!$A$2:$A$401,0))),""))</f>
        <v/>
      </c>
      <c r="G389" s="7">
        <f>IF($B389="","",F389*L389/100)</f>
        <v/>
      </c>
      <c r="K389" s="7" t="n"/>
      <c r="L389" s="7" t="n"/>
      <c r="M389" s="7">
        <f>IF($B389="","",L389*T389/100)</f>
        <v/>
      </c>
      <c r="N389" s="7">
        <f>IF($B389="","",L389-M389)</f>
        <v/>
      </c>
      <c r="O389" s="7">
        <f>IF($B389="","",N389-G389)</f>
        <v/>
      </c>
      <c r="R389" s="14" t="n"/>
      <c r="T389">
        <f>IF($B389="","",IF($W389=1,Settings!$C$6,Settings!$C$7)*100)</f>
        <v/>
      </c>
      <c r="U389">
        <f>IF($B389="","",IF(COUNTIF($B$2:$B389,$B389)=1,1,0))</f>
        <v/>
      </c>
      <c r="V389">
        <f>IF($U389=1,SUMPRODUCT(--($X$2:$X$1501&lt;$X389))+1,"")</f>
        <v/>
      </c>
      <c r="W389">
        <f>IF($B389="","",IF(OR($S389=TRUE(),$S389="TRUE"),1,0))</f>
        <v/>
      </c>
      <c r="X389">
        <f>IF($U389=1,IFERROR(IF(VALUE($B389)&lt;100000000,VALUE($B389),1000000000),IFERROR(IF(VALUE(MID($B389,2,20))&lt;100000000,VALUE(MID($B389,2,20)),1000000000),1000000000))+ROW()/100000,"")</f>
        <v/>
      </c>
    </row>
    <row r="390">
      <c r="A390">
        <f>IF($B390="","",IFERROR(IF(INDEX('Per Invoice'!$C$2:$C$401,MATCH($B390,'Per Invoice'!$A$2:$A$401,0))=0,"",INDEX('Per Invoice'!$C$2:$C$401,MATCH($B390,'Per Invoice'!$A$2:$A$401,0))),""))</f>
        <v/>
      </c>
      <c r="G390" s="7">
        <f>IF($B390="","",F390*L390/100)</f>
        <v/>
      </c>
      <c r="K390" s="7" t="n"/>
      <c r="L390" s="7" t="n"/>
      <c r="M390" s="7">
        <f>IF($B390="","",L390*T390/100)</f>
        <v/>
      </c>
      <c r="N390" s="7">
        <f>IF($B390="","",L390-M390)</f>
        <v/>
      </c>
      <c r="O390" s="7">
        <f>IF($B390="","",N390-G390)</f>
        <v/>
      </c>
      <c r="R390" s="14" t="n"/>
      <c r="T390">
        <f>IF($B390="","",IF($W390=1,Settings!$C$6,Settings!$C$7)*100)</f>
        <v/>
      </c>
      <c r="U390">
        <f>IF($B390="","",IF(COUNTIF($B$2:$B390,$B390)=1,1,0))</f>
        <v/>
      </c>
      <c r="V390">
        <f>IF($U390=1,SUMPRODUCT(--($X$2:$X$1501&lt;$X390))+1,"")</f>
        <v/>
      </c>
      <c r="W390">
        <f>IF($B390="","",IF(OR($S390=TRUE(),$S390="TRUE"),1,0))</f>
        <v/>
      </c>
      <c r="X390">
        <f>IF($U390=1,IFERROR(IF(VALUE($B390)&lt;100000000,VALUE($B390),1000000000),IFERROR(IF(VALUE(MID($B390,2,20))&lt;100000000,VALUE(MID($B390,2,20)),1000000000),1000000000))+ROW()/100000,"")</f>
        <v/>
      </c>
    </row>
    <row r="391">
      <c r="A391">
        <f>IF($B391="","",IFERROR(IF(INDEX('Per Invoice'!$C$2:$C$401,MATCH($B391,'Per Invoice'!$A$2:$A$401,0))=0,"",INDEX('Per Invoice'!$C$2:$C$401,MATCH($B391,'Per Invoice'!$A$2:$A$401,0))),""))</f>
        <v/>
      </c>
      <c r="G391" s="7">
        <f>IF($B391="","",F391*L391/100)</f>
        <v/>
      </c>
      <c r="K391" s="7" t="n"/>
      <c r="L391" s="7" t="n"/>
      <c r="M391" s="7">
        <f>IF($B391="","",L391*T391/100)</f>
        <v/>
      </c>
      <c r="N391" s="7">
        <f>IF($B391="","",L391-M391)</f>
        <v/>
      </c>
      <c r="O391" s="7">
        <f>IF($B391="","",N391-G391)</f>
        <v/>
      </c>
      <c r="R391" s="14" t="n"/>
      <c r="T391">
        <f>IF($B391="","",IF($W391=1,Settings!$C$6,Settings!$C$7)*100)</f>
        <v/>
      </c>
      <c r="U391">
        <f>IF($B391="","",IF(COUNTIF($B$2:$B391,$B391)=1,1,0))</f>
        <v/>
      </c>
      <c r="V391">
        <f>IF($U391=1,SUMPRODUCT(--($X$2:$X$1501&lt;$X391))+1,"")</f>
        <v/>
      </c>
      <c r="W391">
        <f>IF($B391="","",IF(OR($S391=TRUE(),$S391="TRUE"),1,0))</f>
        <v/>
      </c>
      <c r="X391">
        <f>IF($U391=1,IFERROR(IF(VALUE($B391)&lt;100000000,VALUE($B391),1000000000),IFERROR(IF(VALUE(MID($B391,2,20))&lt;100000000,VALUE(MID($B391,2,20)),1000000000),1000000000))+ROW()/100000,"")</f>
        <v/>
      </c>
    </row>
    <row r="392">
      <c r="A392">
        <f>IF($B392="","",IFERROR(IF(INDEX('Per Invoice'!$C$2:$C$401,MATCH($B392,'Per Invoice'!$A$2:$A$401,0))=0,"",INDEX('Per Invoice'!$C$2:$C$401,MATCH($B392,'Per Invoice'!$A$2:$A$401,0))),""))</f>
        <v/>
      </c>
      <c r="G392" s="7">
        <f>IF($B392="","",F392*L392/100)</f>
        <v/>
      </c>
      <c r="K392" s="7" t="n"/>
      <c r="L392" s="7" t="n"/>
      <c r="M392" s="7">
        <f>IF($B392="","",L392*T392/100)</f>
        <v/>
      </c>
      <c r="N392" s="7">
        <f>IF($B392="","",L392-M392)</f>
        <v/>
      </c>
      <c r="O392" s="7">
        <f>IF($B392="","",N392-G392)</f>
        <v/>
      </c>
      <c r="R392" s="14" t="n"/>
      <c r="T392">
        <f>IF($B392="","",IF($W392=1,Settings!$C$6,Settings!$C$7)*100)</f>
        <v/>
      </c>
      <c r="U392">
        <f>IF($B392="","",IF(COUNTIF($B$2:$B392,$B392)=1,1,0))</f>
        <v/>
      </c>
      <c r="V392">
        <f>IF($U392=1,SUMPRODUCT(--($X$2:$X$1501&lt;$X392))+1,"")</f>
        <v/>
      </c>
      <c r="W392">
        <f>IF($B392="","",IF(OR($S392=TRUE(),$S392="TRUE"),1,0))</f>
        <v/>
      </c>
      <c r="X392">
        <f>IF($U392=1,IFERROR(IF(VALUE($B392)&lt;100000000,VALUE($B392),1000000000),IFERROR(IF(VALUE(MID($B392,2,20))&lt;100000000,VALUE(MID($B392,2,20)),1000000000),1000000000))+ROW()/100000,"")</f>
        <v/>
      </c>
    </row>
    <row r="393">
      <c r="A393">
        <f>IF($B393="","",IFERROR(IF(INDEX('Per Invoice'!$C$2:$C$401,MATCH($B393,'Per Invoice'!$A$2:$A$401,0))=0,"",INDEX('Per Invoice'!$C$2:$C$401,MATCH($B393,'Per Invoice'!$A$2:$A$401,0))),""))</f>
        <v/>
      </c>
      <c r="G393" s="7">
        <f>IF($B393="","",F393*L393/100)</f>
        <v/>
      </c>
      <c r="K393" s="7" t="n"/>
      <c r="L393" s="7" t="n"/>
      <c r="M393" s="7">
        <f>IF($B393="","",L393*T393/100)</f>
        <v/>
      </c>
      <c r="N393" s="7">
        <f>IF($B393="","",L393-M393)</f>
        <v/>
      </c>
      <c r="O393" s="7">
        <f>IF($B393="","",N393-G393)</f>
        <v/>
      </c>
      <c r="R393" s="14" t="n"/>
      <c r="T393">
        <f>IF($B393="","",IF($W393=1,Settings!$C$6,Settings!$C$7)*100)</f>
        <v/>
      </c>
      <c r="U393">
        <f>IF($B393="","",IF(COUNTIF($B$2:$B393,$B393)=1,1,0))</f>
        <v/>
      </c>
      <c r="V393">
        <f>IF($U393=1,SUMPRODUCT(--($X$2:$X$1501&lt;$X393))+1,"")</f>
        <v/>
      </c>
      <c r="W393">
        <f>IF($B393="","",IF(OR($S393=TRUE(),$S393="TRUE"),1,0))</f>
        <v/>
      </c>
      <c r="X393">
        <f>IF($U393=1,IFERROR(IF(VALUE($B393)&lt;100000000,VALUE($B393),1000000000),IFERROR(IF(VALUE(MID($B393,2,20))&lt;100000000,VALUE(MID($B393,2,20)),1000000000),1000000000))+ROW()/100000,"")</f>
        <v/>
      </c>
    </row>
    <row r="394">
      <c r="A394">
        <f>IF($B394="","",IFERROR(IF(INDEX('Per Invoice'!$C$2:$C$401,MATCH($B394,'Per Invoice'!$A$2:$A$401,0))=0,"",INDEX('Per Invoice'!$C$2:$C$401,MATCH($B394,'Per Invoice'!$A$2:$A$401,0))),""))</f>
        <v/>
      </c>
      <c r="G394" s="7">
        <f>IF($B394="","",F394*L394/100)</f>
        <v/>
      </c>
      <c r="K394" s="7" t="n"/>
      <c r="L394" s="7" t="n"/>
      <c r="M394" s="7">
        <f>IF($B394="","",L394*T394/100)</f>
        <v/>
      </c>
      <c r="N394" s="7">
        <f>IF($B394="","",L394-M394)</f>
        <v/>
      </c>
      <c r="O394" s="7">
        <f>IF($B394="","",N394-G394)</f>
        <v/>
      </c>
      <c r="R394" s="14" t="n"/>
      <c r="T394">
        <f>IF($B394="","",IF($W394=1,Settings!$C$6,Settings!$C$7)*100)</f>
        <v/>
      </c>
      <c r="U394">
        <f>IF($B394="","",IF(COUNTIF($B$2:$B394,$B394)=1,1,0))</f>
        <v/>
      </c>
      <c r="V394">
        <f>IF($U394=1,SUMPRODUCT(--($X$2:$X$1501&lt;$X394))+1,"")</f>
        <v/>
      </c>
      <c r="W394">
        <f>IF($B394="","",IF(OR($S394=TRUE(),$S394="TRUE"),1,0))</f>
        <v/>
      </c>
      <c r="X394">
        <f>IF($U394=1,IFERROR(IF(VALUE($B394)&lt;100000000,VALUE($B394),1000000000),IFERROR(IF(VALUE(MID($B394,2,20))&lt;100000000,VALUE(MID($B394,2,20)),1000000000),1000000000))+ROW()/100000,"")</f>
        <v/>
      </c>
    </row>
    <row r="395">
      <c r="A395">
        <f>IF($B395="","",IFERROR(IF(INDEX('Per Invoice'!$C$2:$C$401,MATCH($B395,'Per Invoice'!$A$2:$A$401,0))=0,"",INDEX('Per Invoice'!$C$2:$C$401,MATCH($B395,'Per Invoice'!$A$2:$A$401,0))),""))</f>
        <v/>
      </c>
      <c r="G395" s="7">
        <f>IF($B395="","",F395*L395/100)</f>
        <v/>
      </c>
      <c r="K395" s="7" t="n"/>
      <c r="L395" s="7" t="n"/>
      <c r="M395" s="7">
        <f>IF($B395="","",L395*T395/100)</f>
        <v/>
      </c>
      <c r="N395" s="7">
        <f>IF($B395="","",L395-M395)</f>
        <v/>
      </c>
      <c r="O395" s="7">
        <f>IF($B395="","",N395-G395)</f>
        <v/>
      </c>
      <c r="R395" s="14" t="n"/>
      <c r="T395">
        <f>IF($B395="","",IF($W395=1,Settings!$C$6,Settings!$C$7)*100)</f>
        <v/>
      </c>
      <c r="U395">
        <f>IF($B395="","",IF(COUNTIF($B$2:$B395,$B395)=1,1,0))</f>
        <v/>
      </c>
      <c r="V395">
        <f>IF($U395=1,SUMPRODUCT(--($X$2:$X$1501&lt;$X395))+1,"")</f>
        <v/>
      </c>
      <c r="W395">
        <f>IF($B395="","",IF(OR($S395=TRUE(),$S395="TRUE"),1,0))</f>
        <v/>
      </c>
      <c r="X395">
        <f>IF($U395=1,IFERROR(IF(VALUE($B395)&lt;100000000,VALUE($B395),1000000000),IFERROR(IF(VALUE(MID($B395,2,20))&lt;100000000,VALUE(MID($B395,2,20)),1000000000),1000000000))+ROW()/100000,"")</f>
        <v/>
      </c>
    </row>
    <row r="396">
      <c r="A396">
        <f>IF($B396="","",IFERROR(IF(INDEX('Per Invoice'!$C$2:$C$401,MATCH($B396,'Per Invoice'!$A$2:$A$401,0))=0,"",INDEX('Per Invoice'!$C$2:$C$401,MATCH($B396,'Per Invoice'!$A$2:$A$401,0))),""))</f>
        <v/>
      </c>
      <c r="G396" s="7">
        <f>IF($B396="","",F396*L396/100)</f>
        <v/>
      </c>
      <c r="K396" s="7" t="n"/>
      <c r="L396" s="7" t="n"/>
      <c r="M396" s="7">
        <f>IF($B396="","",L396*T396/100)</f>
        <v/>
      </c>
      <c r="N396" s="7">
        <f>IF($B396="","",L396-M396)</f>
        <v/>
      </c>
      <c r="O396" s="7">
        <f>IF($B396="","",N396-G396)</f>
        <v/>
      </c>
      <c r="R396" s="14" t="n"/>
      <c r="T396">
        <f>IF($B396="","",IF($W396=1,Settings!$C$6,Settings!$C$7)*100)</f>
        <v/>
      </c>
      <c r="U396">
        <f>IF($B396="","",IF(COUNTIF($B$2:$B396,$B396)=1,1,0))</f>
        <v/>
      </c>
      <c r="V396">
        <f>IF($U396=1,SUMPRODUCT(--($X$2:$X$1501&lt;$X396))+1,"")</f>
        <v/>
      </c>
      <c r="W396">
        <f>IF($B396="","",IF(OR($S396=TRUE(),$S396="TRUE"),1,0))</f>
        <v/>
      </c>
      <c r="X396">
        <f>IF($U396=1,IFERROR(IF(VALUE($B396)&lt;100000000,VALUE($B396),1000000000),IFERROR(IF(VALUE(MID($B396,2,20))&lt;100000000,VALUE(MID($B396,2,20)),1000000000),1000000000))+ROW()/100000,"")</f>
        <v/>
      </c>
    </row>
    <row r="397">
      <c r="A397">
        <f>IF($B397="","",IFERROR(IF(INDEX('Per Invoice'!$C$2:$C$401,MATCH($B397,'Per Invoice'!$A$2:$A$401,0))=0,"",INDEX('Per Invoice'!$C$2:$C$401,MATCH($B397,'Per Invoice'!$A$2:$A$401,0))),""))</f>
        <v/>
      </c>
      <c r="G397" s="7">
        <f>IF($B397="","",F397*L397/100)</f>
        <v/>
      </c>
      <c r="K397" s="7" t="n"/>
      <c r="L397" s="7" t="n"/>
      <c r="M397" s="7">
        <f>IF($B397="","",L397*T397/100)</f>
        <v/>
      </c>
      <c r="N397" s="7">
        <f>IF($B397="","",L397-M397)</f>
        <v/>
      </c>
      <c r="O397" s="7">
        <f>IF($B397="","",N397-G397)</f>
        <v/>
      </c>
      <c r="R397" s="14" t="n"/>
      <c r="T397">
        <f>IF($B397="","",IF($W397=1,Settings!$C$6,Settings!$C$7)*100)</f>
        <v/>
      </c>
      <c r="U397">
        <f>IF($B397="","",IF(COUNTIF($B$2:$B397,$B397)=1,1,0))</f>
        <v/>
      </c>
      <c r="V397">
        <f>IF($U397=1,SUMPRODUCT(--($X$2:$X$1501&lt;$X397))+1,"")</f>
        <v/>
      </c>
      <c r="W397">
        <f>IF($B397="","",IF(OR($S397=TRUE(),$S397="TRUE"),1,0))</f>
        <v/>
      </c>
      <c r="X397">
        <f>IF($U397=1,IFERROR(IF(VALUE($B397)&lt;100000000,VALUE($B397),1000000000),IFERROR(IF(VALUE(MID($B397,2,20))&lt;100000000,VALUE(MID($B397,2,20)),1000000000),1000000000))+ROW()/100000,"")</f>
        <v/>
      </c>
    </row>
    <row r="398">
      <c r="A398">
        <f>IF($B398="","",IFERROR(IF(INDEX('Per Invoice'!$C$2:$C$401,MATCH($B398,'Per Invoice'!$A$2:$A$401,0))=0,"",INDEX('Per Invoice'!$C$2:$C$401,MATCH($B398,'Per Invoice'!$A$2:$A$401,0))),""))</f>
        <v/>
      </c>
      <c r="G398" s="7">
        <f>IF($B398="","",F398*L398/100)</f>
        <v/>
      </c>
      <c r="K398" s="7" t="n"/>
      <c r="L398" s="7" t="n"/>
      <c r="M398" s="7">
        <f>IF($B398="","",L398*T398/100)</f>
        <v/>
      </c>
      <c r="N398" s="7">
        <f>IF($B398="","",L398-M398)</f>
        <v/>
      </c>
      <c r="O398" s="7">
        <f>IF($B398="","",N398-G398)</f>
        <v/>
      </c>
      <c r="R398" s="14" t="n"/>
      <c r="T398">
        <f>IF($B398="","",IF($W398=1,Settings!$C$6,Settings!$C$7)*100)</f>
        <v/>
      </c>
      <c r="U398">
        <f>IF($B398="","",IF(COUNTIF($B$2:$B398,$B398)=1,1,0))</f>
        <v/>
      </c>
      <c r="V398">
        <f>IF($U398=1,SUMPRODUCT(--($X$2:$X$1501&lt;$X398))+1,"")</f>
        <v/>
      </c>
      <c r="W398">
        <f>IF($B398="","",IF(OR($S398=TRUE(),$S398="TRUE"),1,0))</f>
        <v/>
      </c>
      <c r="X398">
        <f>IF($U398=1,IFERROR(IF(VALUE($B398)&lt;100000000,VALUE($B398),1000000000),IFERROR(IF(VALUE(MID($B398,2,20))&lt;100000000,VALUE(MID($B398,2,20)),1000000000),1000000000))+ROW()/100000,"")</f>
        <v/>
      </c>
    </row>
    <row r="399">
      <c r="A399">
        <f>IF($B399="","",IFERROR(IF(INDEX('Per Invoice'!$C$2:$C$401,MATCH($B399,'Per Invoice'!$A$2:$A$401,0))=0,"",INDEX('Per Invoice'!$C$2:$C$401,MATCH($B399,'Per Invoice'!$A$2:$A$401,0))),""))</f>
        <v/>
      </c>
      <c r="G399" s="7">
        <f>IF($B399="","",F399*L399/100)</f>
        <v/>
      </c>
      <c r="K399" s="7" t="n"/>
      <c r="L399" s="7" t="n"/>
      <c r="M399" s="7">
        <f>IF($B399="","",L399*T399/100)</f>
        <v/>
      </c>
      <c r="N399" s="7">
        <f>IF($B399="","",L399-M399)</f>
        <v/>
      </c>
      <c r="O399" s="7">
        <f>IF($B399="","",N399-G399)</f>
        <v/>
      </c>
      <c r="R399" s="14" t="n"/>
      <c r="T399">
        <f>IF($B399="","",IF($W399=1,Settings!$C$6,Settings!$C$7)*100)</f>
        <v/>
      </c>
      <c r="U399">
        <f>IF($B399="","",IF(COUNTIF($B$2:$B399,$B399)=1,1,0))</f>
        <v/>
      </c>
      <c r="V399">
        <f>IF($U399=1,SUMPRODUCT(--($X$2:$X$1501&lt;$X399))+1,"")</f>
        <v/>
      </c>
      <c r="W399">
        <f>IF($B399="","",IF(OR($S399=TRUE(),$S399="TRUE"),1,0))</f>
        <v/>
      </c>
      <c r="X399">
        <f>IF($U399=1,IFERROR(IF(VALUE($B399)&lt;100000000,VALUE($B399),1000000000),IFERROR(IF(VALUE(MID($B399,2,20))&lt;100000000,VALUE(MID($B399,2,20)),1000000000),1000000000))+ROW()/100000,"")</f>
        <v/>
      </c>
    </row>
    <row r="400">
      <c r="A400">
        <f>IF($B400="","",IFERROR(IF(INDEX('Per Invoice'!$C$2:$C$401,MATCH($B400,'Per Invoice'!$A$2:$A$401,0))=0,"",INDEX('Per Invoice'!$C$2:$C$401,MATCH($B400,'Per Invoice'!$A$2:$A$401,0))),""))</f>
        <v/>
      </c>
      <c r="G400" s="7">
        <f>IF($B400="","",F400*L400/100)</f>
        <v/>
      </c>
      <c r="K400" s="7" t="n"/>
      <c r="L400" s="7" t="n"/>
      <c r="M400" s="7">
        <f>IF($B400="","",L400*T400/100)</f>
        <v/>
      </c>
      <c r="N400" s="7">
        <f>IF($B400="","",L400-M400)</f>
        <v/>
      </c>
      <c r="O400" s="7">
        <f>IF($B400="","",N400-G400)</f>
        <v/>
      </c>
      <c r="R400" s="14" t="n"/>
      <c r="T400">
        <f>IF($B400="","",IF($W400=1,Settings!$C$6,Settings!$C$7)*100)</f>
        <v/>
      </c>
      <c r="U400">
        <f>IF($B400="","",IF(COUNTIF($B$2:$B400,$B400)=1,1,0))</f>
        <v/>
      </c>
      <c r="V400">
        <f>IF($U400=1,SUMPRODUCT(--($X$2:$X$1501&lt;$X400))+1,"")</f>
        <v/>
      </c>
      <c r="W400">
        <f>IF($B400="","",IF(OR($S400=TRUE(),$S400="TRUE"),1,0))</f>
        <v/>
      </c>
      <c r="X400">
        <f>IF($U400=1,IFERROR(IF(VALUE($B400)&lt;100000000,VALUE($B400),1000000000),IFERROR(IF(VALUE(MID($B400,2,20))&lt;100000000,VALUE(MID($B400,2,20)),1000000000),1000000000))+ROW()/100000,"")</f>
        <v/>
      </c>
    </row>
    <row r="401">
      <c r="A401">
        <f>IF($B401="","",IFERROR(IF(INDEX('Per Invoice'!$C$2:$C$401,MATCH($B401,'Per Invoice'!$A$2:$A$401,0))=0,"",INDEX('Per Invoice'!$C$2:$C$401,MATCH($B401,'Per Invoice'!$A$2:$A$401,0))),""))</f>
        <v/>
      </c>
      <c r="G401" s="7">
        <f>IF($B401="","",F401*L401/100)</f>
        <v/>
      </c>
      <c r="K401" s="7" t="n"/>
      <c r="L401" s="7" t="n"/>
      <c r="M401" s="7">
        <f>IF($B401="","",L401*T401/100)</f>
        <v/>
      </c>
      <c r="N401" s="7">
        <f>IF($B401="","",L401-M401)</f>
        <v/>
      </c>
      <c r="O401" s="7">
        <f>IF($B401="","",N401-G401)</f>
        <v/>
      </c>
      <c r="R401" s="14" t="n"/>
      <c r="T401">
        <f>IF($B401="","",IF($W401=1,Settings!$C$6,Settings!$C$7)*100)</f>
        <v/>
      </c>
      <c r="U401">
        <f>IF($B401="","",IF(COUNTIF($B$2:$B401,$B401)=1,1,0))</f>
        <v/>
      </c>
      <c r="V401">
        <f>IF($U401=1,SUMPRODUCT(--($X$2:$X$1501&lt;$X401))+1,"")</f>
        <v/>
      </c>
      <c r="W401">
        <f>IF($B401="","",IF(OR($S401=TRUE(),$S401="TRUE"),1,0))</f>
        <v/>
      </c>
      <c r="X401">
        <f>IF($U401=1,IFERROR(IF(VALUE($B401)&lt;100000000,VALUE($B401),1000000000),IFERROR(IF(VALUE(MID($B401,2,20))&lt;100000000,VALUE(MID($B401,2,20)),1000000000),1000000000))+ROW()/100000,"")</f>
        <v/>
      </c>
    </row>
    <row r="402">
      <c r="A402">
        <f>IF($B402="","",IFERROR(IF(INDEX('Per Invoice'!$C$2:$C$401,MATCH($B402,'Per Invoice'!$A$2:$A$401,0))=0,"",INDEX('Per Invoice'!$C$2:$C$401,MATCH($B402,'Per Invoice'!$A$2:$A$401,0))),""))</f>
        <v/>
      </c>
      <c r="G402" s="7">
        <f>IF($B402="","",F402*L402/100)</f>
        <v/>
      </c>
      <c r="K402" s="7" t="n"/>
      <c r="L402" s="7" t="n"/>
      <c r="M402" s="7">
        <f>IF($B402="","",L402*T402/100)</f>
        <v/>
      </c>
      <c r="N402" s="7">
        <f>IF($B402="","",L402-M402)</f>
        <v/>
      </c>
      <c r="O402" s="7">
        <f>IF($B402="","",N402-G402)</f>
        <v/>
      </c>
      <c r="R402" s="14" t="n"/>
      <c r="T402">
        <f>IF($B402="","",IF($W402=1,Settings!$C$6,Settings!$C$7)*100)</f>
        <v/>
      </c>
      <c r="U402">
        <f>IF($B402="","",IF(COUNTIF($B$2:$B402,$B402)=1,1,0))</f>
        <v/>
      </c>
      <c r="V402">
        <f>IF($U402=1,SUMPRODUCT(--($X$2:$X$1501&lt;$X402))+1,"")</f>
        <v/>
      </c>
      <c r="W402">
        <f>IF($B402="","",IF(OR($S402=TRUE(),$S402="TRUE"),1,0))</f>
        <v/>
      </c>
      <c r="X402">
        <f>IF($U402=1,IFERROR(IF(VALUE($B402)&lt;100000000,VALUE($B402),1000000000),IFERROR(IF(VALUE(MID($B402,2,20))&lt;100000000,VALUE(MID($B402,2,20)),1000000000),1000000000))+ROW()/100000,"")</f>
        <v/>
      </c>
    </row>
    <row r="403">
      <c r="A403">
        <f>IF($B403="","",IFERROR(IF(INDEX('Per Invoice'!$C$2:$C$401,MATCH($B403,'Per Invoice'!$A$2:$A$401,0))=0,"",INDEX('Per Invoice'!$C$2:$C$401,MATCH($B403,'Per Invoice'!$A$2:$A$401,0))),""))</f>
        <v/>
      </c>
      <c r="G403" s="7">
        <f>IF($B403="","",F403*L403/100)</f>
        <v/>
      </c>
      <c r="K403" s="7" t="n"/>
      <c r="L403" s="7" t="n"/>
      <c r="M403" s="7">
        <f>IF($B403="","",L403*T403/100)</f>
        <v/>
      </c>
      <c r="N403" s="7">
        <f>IF($B403="","",L403-M403)</f>
        <v/>
      </c>
      <c r="O403" s="7">
        <f>IF($B403="","",N403-G403)</f>
        <v/>
      </c>
      <c r="R403" s="14" t="n"/>
      <c r="T403">
        <f>IF($B403="","",IF($W403=1,Settings!$C$6,Settings!$C$7)*100)</f>
        <v/>
      </c>
      <c r="U403">
        <f>IF($B403="","",IF(COUNTIF($B$2:$B403,$B403)=1,1,0))</f>
        <v/>
      </c>
      <c r="V403">
        <f>IF($U403=1,SUMPRODUCT(--($X$2:$X$1501&lt;$X403))+1,"")</f>
        <v/>
      </c>
      <c r="W403">
        <f>IF($B403="","",IF(OR($S403=TRUE(),$S403="TRUE"),1,0))</f>
        <v/>
      </c>
      <c r="X403">
        <f>IF($U403=1,IFERROR(IF(VALUE($B403)&lt;100000000,VALUE($B403),1000000000),IFERROR(IF(VALUE(MID($B403,2,20))&lt;100000000,VALUE(MID($B403,2,20)),1000000000),1000000000))+ROW()/100000,"")</f>
        <v/>
      </c>
    </row>
    <row r="404">
      <c r="A404">
        <f>IF($B404="","",IFERROR(IF(INDEX('Per Invoice'!$C$2:$C$401,MATCH($B404,'Per Invoice'!$A$2:$A$401,0))=0,"",INDEX('Per Invoice'!$C$2:$C$401,MATCH($B404,'Per Invoice'!$A$2:$A$401,0))),""))</f>
        <v/>
      </c>
      <c r="G404" s="7">
        <f>IF($B404="","",F404*L404/100)</f>
        <v/>
      </c>
      <c r="K404" s="7" t="n"/>
      <c r="L404" s="7" t="n"/>
      <c r="M404" s="7">
        <f>IF($B404="","",L404*T404/100)</f>
        <v/>
      </c>
      <c r="N404" s="7">
        <f>IF($B404="","",L404-M404)</f>
        <v/>
      </c>
      <c r="O404" s="7">
        <f>IF($B404="","",N404-G404)</f>
        <v/>
      </c>
      <c r="R404" s="14" t="n"/>
      <c r="T404">
        <f>IF($B404="","",IF($W404=1,Settings!$C$6,Settings!$C$7)*100)</f>
        <v/>
      </c>
      <c r="U404">
        <f>IF($B404="","",IF(COUNTIF($B$2:$B404,$B404)=1,1,0))</f>
        <v/>
      </c>
      <c r="V404">
        <f>IF($U404=1,SUMPRODUCT(--($X$2:$X$1501&lt;$X404))+1,"")</f>
        <v/>
      </c>
      <c r="W404">
        <f>IF($B404="","",IF(OR($S404=TRUE(),$S404="TRUE"),1,0))</f>
        <v/>
      </c>
      <c r="X404">
        <f>IF($U404=1,IFERROR(IF(VALUE($B404)&lt;100000000,VALUE($B404),1000000000),IFERROR(IF(VALUE(MID($B404,2,20))&lt;100000000,VALUE(MID($B404,2,20)),1000000000),1000000000))+ROW()/100000,"")</f>
        <v/>
      </c>
    </row>
    <row r="405">
      <c r="A405">
        <f>IF($B405="","",IFERROR(IF(INDEX('Per Invoice'!$C$2:$C$401,MATCH($B405,'Per Invoice'!$A$2:$A$401,0))=0,"",INDEX('Per Invoice'!$C$2:$C$401,MATCH($B405,'Per Invoice'!$A$2:$A$401,0))),""))</f>
        <v/>
      </c>
      <c r="G405" s="7">
        <f>IF($B405="","",F405*L405/100)</f>
        <v/>
      </c>
      <c r="K405" s="7" t="n"/>
      <c r="L405" s="7" t="n"/>
      <c r="M405" s="7">
        <f>IF($B405="","",L405*T405/100)</f>
        <v/>
      </c>
      <c r="N405" s="7">
        <f>IF($B405="","",L405-M405)</f>
        <v/>
      </c>
      <c r="O405" s="7">
        <f>IF($B405="","",N405-G405)</f>
        <v/>
      </c>
      <c r="R405" s="14" t="n"/>
      <c r="T405">
        <f>IF($B405="","",IF($W405=1,Settings!$C$6,Settings!$C$7)*100)</f>
        <v/>
      </c>
      <c r="U405">
        <f>IF($B405="","",IF(COUNTIF($B$2:$B405,$B405)=1,1,0))</f>
        <v/>
      </c>
      <c r="V405">
        <f>IF($U405=1,SUMPRODUCT(--($X$2:$X$1501&lt;$X405))+1,"")</f>
        <v/>
      </c>
      <c r="W405">
        <f>IF($B405="","",IF(OR($S405=TRUE(),$S405="TRUE"),1,0))</f>
        <v/>
      </c>
      <c r="X405">
        <f>IF($U405=1,IFERROR(IF(VALUE($B405)&lt;100000000,VALUE($B405),1000000000),IFERROR(IF(VALUE(MID($B405,2,20))&lt;100000000,VALUE(MID($B405,2,20)),1000000000),1000000000))+ROW()/100000,"")</f>
        <v/>
      </c>
    </row>
    <row r="406">
      <c r="A406">
        <f>IF($B406="","",IFERROR(IF(INDEX('Per Invoice'!$C$2:$C$401,MATCH($B406,'Per Invoice'!$A$2:$A$401,0))=0,"",INDEX('Per Invoice'!$C$2:$C$401,MATCH($B406,'Per Invoice'!$A$2:$A$401,0))),""))</f>
        <v/>
      </c>
      <c r="G406" s="7">
        <f>IF($B406="","",F406*L406/100)</f>
        <v/>
      </c>
      <c r="K406" s="7" t="n"/>
      <c r="L406" s="7" t="n"/>
      <c r="M406" s="7">
        <f>IF($B406="","",L406*T406/100)</f>
        <v/>
      </c>
      <c r="N406" s="7">
        <f>IF($B406="","",L406-M406)</f>
        <v/>
      </c>
      <c r="O406" s="7">
        <f>IF($B406="","",N406-G406)</f>
        <v/>
      </c>
      <c r="R406" s="14" t="n"/>
      <c r="T406">
        <f>IF($B406="","",IF($W406=1,Settings!$C$6,Settings!$C$7)*100)</f>
        <v/>
      </c>
      <c r="U406">
        <f>IF($B406="","",IF(COUNTIF($B$2:$B406,$B406)=1,1,0))</f>
        <v/>
      </c>
      <c r="V406">
        <f>IF($U406=1,SUMPRODUCT(--($X$2:$X$1501&lt;$X406))+1,"")</f>
        <v/>
      </c>
      <c r="W406">
        <f>IF($B406="","",IF(OR($S406=TRUE(),$S406="TRUE"),1,0))</f>
        <v/>
      </c>
      <c r="X406">
        <f>IF($U406=1,IFERROR(IF(VALUE($B406)&lt;100000000,VALUE($B406),1000000000),IFERROR(IF(VALUE(MID($B406,2,20))&lt;100000000,VALUE(MID($B406,2,20)),1000000000),1000000000))+ROW()/100000,"")</f>
        <v/>
      </c>
    </row>
    <row r="407">
      <c r="A407">
        <f>IF($B407="","",IFERROR(IF(INDEX('Per Invoice'!$C$2:$C$401,MATCH($B407,'Per Invoice'!$A$2:$A$401,0))=0,"",INDEX('Per Invoice'!$C$2:$C$401,MATCH($B407,'Per Invoice'!$A$2:$A$401,0))),""))</f>
        <v/>
      </c>
      <c r="G407" s="7">
        <f>IF($B407="","",F407*L407/100)</f>
        <v/>
      </c>
      <c r="K407" s="7" t="n"/>
      <c r="L407" s="7" t="n"/>
      <c r="M407" s="7">
        <f>IF($B407="","",L407*T407/100)</f>
        <v/>
      </c>
      <c r="N407" s="7">
        <f>IF($B407="","",L407-M407)</f>
        <v/>
      </c>
      <c r="O407" s="7">
        <f>IF($B407="","",N407-G407)</f>
        <v/>
      </c>
      <c r="R407" s="14" t="n"/>
      <c r="T407">
        <f>IF($B407="","",IF($W407=1,Settings!$C$6,Settings!$C$7)*100)</f>
        <v/>
      </c>
      <c r="U407">
        <f>IF($B407="","",IF(COUNTIF($B$2:$B407,$B407)=1,1,0))</f>
        <v/>
      </c>
      <c r="V407">
        <f>IF($U407=1,SUMPRODUCT(--($X$2:$X$1501&lt;$X407))+1,"")</f>
        <v/>
      </c>
      <c r="W407">
        <f>IF($B407="","",IF(OR($S407=TRUE(),$S407="TRUE"),1,0))</f>
        <v/>
      </c>
      <c r="X407">
        <f>IF($U407=1,IFERROR(IF(VALUE($B407)&lt;100000000,VALUE($B407),1000000000),IFERROR(IF(VALUE(MID($B407,2,20))&lt;100000000,VALUE(MID($B407,2,20)),1000000000),1000000000))+ROW()/100000,"")</f>
        <v/>
      </c>
    </row>
    <row r="408">
      <c r="A408">
        <f>IF($B408="","",IFERROR(IF(INDEX('Per Invoice'!$C$2:$C$401,MATCH($B408,'Per Invoice'!$A$2:$A$401,0))=0,"",INDEX('Per Invoice'!$C$2:$C$401,MATCH($B408,'Per Invoice'!$A$2:$A$401,0))),""))</f>
        <v/>
      </c>
      <c r="G408" s="7">
        <f>IF($B408="","",F408*L408/100)</f>
        <v/>
      </c>
      <c r="K408" s="7" t="n"/>
      <c r="L408" s="7" t="n"/>
      <c r="M408" s="7">
        <f>IF($B408="","",L408*T408/100)</f>
        <v/>
      </c>
      <c r="N408" s="7">
        <f>IF($B408="","",L408-M408)</f>
        <v/>
      </c>
      <c r="O408" s="7">
        <f>IF($B408="","",N408-G408)</f>
        <v/>
      </c>
      <c r="R408" s="14" t="n"/>
      <c r="T408">
        <f>IF($B408="","",IF($W408=1,Settings!$C$6,Settings!$C$7)*100)</f>
        <v/>
      </c>
      <c r="U408">
        <f>IF($B408="","",IF(COUNTIF($B$2:$B408,$B408)=1,1,0))</f>
        <v/>
      </c>
      <c r="V408">
        <f>IF($U408=1,SUMPRODUCT(--($X$2:$X$1501&lt;$X408))+1,"")</f>
        <v/>
      </c>
      <c r="W408">
        <f>IF($B408="","",IF(OR($S408=TRUE(),$S408="TRUE"),1,0))</f>
        <v/>
      </c>
      <c r="X408">
        <f>IF($U408=1,IFERROR(IF(VALUE($B408)&lt;100000000,VALUE($B408),1000000000),IFERROR(IF(VALUE(MID($B408,2,20))&lt;100000000,VALUE(MID($B408,2,20)),1000000000),1000000000))+ROW()/100000,"")</f>
        <v/>
      </c>
    </row>
    <row r="409">
      <c r="A409">
        <f>IF($B409="","",IFERROR(IF(INDEX('Per Invoice'!$C$2:$C$401,MATCH($B409,'Per Invoice'!$A$2:$A$401,0))=0,"",INDEX('Per Invoice'!$C$2:$C$401,MATCH($B409,'Per Invoice'!$A$2:$A$401,0))),""))</f>
        <v/>
      </c>
      <c r="G409" s="7">
        <f>IF($B409="","",F409*L409/100)</f>
        <v/>
      </c>
      <c r="K409" s="7" t="n"/>
      <c r="L409" s="7" t="n"/>
      <c r="M409" s="7">
        <f>IF($B409="","",L409*T409/100)</f>
        <v/>
      </c>
      <c r="N409" s="7">
        <f>IF($B409="","",L409-M409)</f>
        <v/>
      </c>
      <c r="O409" s="7">
        <f>IF($B409="","",N409-G409)</f>
        <v/>
      </c>
      <c r="R409" s="14" t="n"/>
      <c r="T409">
        <f>IF($B409="","",IF($W409=1,Settings!$C$6,Settings!$C$7)*100)</f>
        <v/>
      </c>
      <c r="U409">
        <f>IF($B409="","",IF(COUNTIF($B$2:$B409,$B409)=1,1,0))</f>
        <v/>
      </c>
      <c r="V409">
        <f>IF($U409=1,SUMPRODUCT(--($X$2:$X$1501&lt;$X409))+1,"")</f>
        <v/>
      </c>
      <c r="W409">
        <f>IF($B409="","",IF(OR($S409=TRUE(),$S409="TRUE"),1,0))</f>
        <v/>
      </c>
      <c r="X409">
        <f>IF($U409=1,IFERROR(IF(VALUE($B409)&lt;100000000,VALUE($B409),1000000000),IFERROR(IF(VALUE(MID($B409,2,20))&lt;100000000,VALUE(MID($B409,2,20)),1000000000),1000000000))+ROW()/100000,"")</f>
        <v/>
      </c>
    </row>
    <row r="410">
      <c r="A410">
        <f>IF($B410="","",IFERROR(IF(INDEX('Per Invoice'!$C$2:$C$401,MATCH($B410,'Per Invoice'!$A$2:$A$401,0))=0,"",INDEX('Per Invoice'!$C$2:$C$401,MATCH($B410,'Per Invoice'!$A$2:$A$401,0))),""))</f>
        <v/>
      </c>
      <c r="G410" s="7">
        <f>IF($B410="","",F410*L410/100)</f>
        <v/>
      </c>
      <c r="K410" s="7" t="n"/>
      <c r="L410" s="7" t="n"/>
      <c r="M410" s="7">
        <f>IF($B410="","",L410*T410/100)</f>
        <v/>
      </c>
      <c r="N410" s="7">
        <f>IF($B410="","",L410-M410)</f>
        <v/>
      </c>
      <c r="O410" s="7">
        <f>IF($B410="","",N410-G410)</f>
        <v/>
      </c>
      <c r="R410" s="14" t="n"/>
      <c r="T410">
        <f>IF($B410="","",IF($W410=1,Settings!$C$6,Settings!$C$7)*100)</f>
        <v/>
      </c>
      <c r="U410">
        <f>IF($B410="","",IF(COUNTIF($B$2:$B410,$B410)=1,1,0))</f>
        <v/>
      </c>
      <c r="V410">
        <f>IF($U410=1,SUMPRODUCT(--($X$2:$X$1501&lt;$X410))+1,"")</f>
        <v/>
      </c>
      <c r="W410">
        <f>IF($B410="","",IF(OR($S410=TRUE(),$S410="TRUE"),1,0))</f>
        <v/>
      </c>
      <c r="X410">
        <f>IF($U410=1,IFERROR(IF(VALUE($B410)&lt;100000000,VALUE($B410),1000000000),IFERROR(IF(VALUE(MID($B410,2,20))&lt;100000000,VALUE(MID($B410,2,20)),1000000000),1000000000))+ROW()/100000,"")</f>
        <v/>
      </c>
    </row>
    <row r="411">
      <c r="A411">
        <f>IF($B411="","",IFERROR(IF(INDEX('Per Invoice'!$C$2:$C$401,MATCH($B411,'Per Invoice'!$A$2:$A$401,0))=0,"",INDEX('Per Invoice'!$C$2:$C$401,MATCH($B411,'Per Invoice'!$A$2:$A$401,0))),""))</f>
        <v/>
      </c>
      <c r="G411" s="7">
        <f>IF($B411="","",F411*L411/100)</f>
        <v/>
      </c>
      <c r="K411" s="7" t="n"/>
      <c r="L411" s="7" t="n"/>
      <c r="M411" s="7">
        <f>IF($B411="","",L411*T411/100)</f>
        <v/>
      </c>
      <c r="N411" s="7">
        <f>IF($B411="","",L411-M411)</f>
        <v/>
      </c>
      <c r="O411" s="7">
        <f>IF($B411="","",N411-G411)</f>
        <v/>
      </c>
      <c r="R411" s="14" t="n"/>
      <c r="T411">
        <f>IF($B411="","",IF($W411=1,Settings!$C$6,Settings!$C$7)*100)</f>
        <v/>
      </c>
      <c r="U411">
        <f>IF($B411="","",IF(COUNTIF($B$2:$B411,$B411)=1,1,0))</f>
        <v/>
      </c>
      <c r="V411">
        <f>IF($U411=1,SUMPRODUCT(--($X$2:$X$1501&lt;$X411))+1,"")</f>
        <v/>
      </c>
      <c r="W411">
        <f>IF($B411="","",IF(OR($S411=TRUE(),$S411="TRUE"),1,0))</f>
        <v/>
      </c>
      <c r="X411">
        <f>IF($U411=1,IFERROR(IF(VALUE($B411)&lt;100000000,VALUE($B411),1000000000),IFERROR(IF(VALUE(MID($B411,2,20))&lt;100000000,VALUE(MID($B411,2,20)),1000000000),1000000000))+ROW()/100000,"")</f>
        <v/>
      </c>
    </row>
    <row r="412">
      <c r="A412">
        <f>IF($B412="","",IFERROR(IF(INDEX('Per Invoice'!$C$2:$C$401,MATCH($B412,'Per Invoice'!$A$2:$A$401,0))=0,"",INDEX('Per Invoice'!$C$2:$C$401,MATCH($B412,'Per Invoice'!$A$2:$A$401,0))),""))</f>
        <v/>
      </c>
      <c r="G412" s="7">
        <f>IF($B412="","",F412*L412/100)</f>
        <v/>
      </c>
      <c r="K412" s="7" t="n"/>
      <c r="L412" s="7" t="n"/>
      <c r="M412" s="7">
        <f>IF($B412="","",L412*T412/100)</f>
        <v/>
      </c>
      <c r="N412" s="7">
        <f>IF($B412="","",L412-M412)</f>
        <v/>
      </c>
      <c r="O412" s="7">
        <f>IF($B412="","",N412-G412)</f>
        <v/>
      </c>
      <c r="R412" s="14" t="n"/>
      <c r="T412">
        <f>IF($B412="","",IF($W412=1,Settings!$C$6,Settings!$C$7)*100)</f>
        <v/>
      </c>
      <c r="U412">
        <f>IF($B412="","",IF(COUNTIF($B$2:$B412,$B412)=1,1,0))</f>
        <v/>
      </c>
      <c r="V412">
        <f>IF($U412=1,SUMPRODUCT(--($X$2:$X$1501&lt;$X412))+1,"")</f>
        <v/>
      </c>
      <c r="W412">
        <f>IF($B412="","",IF(OR($S412=TRUE(),$S412="TRUE"),1,0))</f>
        <v/>
      </c>
      <c r="X412">
        <f>IF($U412=1,IFERROR(IF(VALUE($B412)&lt;100000000,VALUE($B412),1000000000),IFERROR(IF(VALUE(MID($B412,2,20))&lt;100000000,VALUE(MID($B412,2,20)),1000000000),1000000000))+ROW()/100000,"")</f>
        <v/>
      </c>
    </row>
    <row r="413">
      <c r="A413">
        <f>IF($B413="","",IFERROR(IF(INDEX('Per Invoice'!$C$2:$C$401,MATCH($B413,'Per Invoice'!$A$2:$A$401,0))=0,"",INDEX('Per Invoice'!$C$2:$C$401,MATCH($B413,'Per Invoice'!$A$2:$A$401,0))),""))</f>
        <v/>
      </c>
      <c r="G413" s="7">
        <f>IF($B413="","",F413*L413/100)</f>
        <v/>
      </c>
      <c r="K413" s="7" t="n"/>
      <c r="L413" s="7" t="n"/>
      <c r="M413" s="7">
        <f>IF($B413="","",L413*T413/100)</f>
        <v/>
      </c>
      <c r="N413" s="7">
        <f>IF($B413="","",L413-M413)</f>
        <v/>
      </c>
      <c r="O413" s="7">
        <f>IF($B413="","",N413-G413)</f>
        <v/>
      </c>
      <c r="R413" s="14" t="n"/>
      <c r="T413">
        <f>IF($B413="","",IF($W413=1,Settings!$C$6,Settings!$C$7)*100)</f>
        <v/>
      </c>
      <c r="U413">
        <f>IF($B413="","",IF(COUNTIF($B$2:$B413,$B413)=1,1,0))</f>
        <v/>
      </c>
      <c r="V413">
        <f>IF($U413=1,SUMPRODUCT(--($X$2:$X$1501&lt;$X413))+1,"")</f>
        <v/>
      </c>
      <c r="W413">
        <f>IF($B413="","",IF(OR($S413=TRUE(),$S413="TRUE"),1,0))</f>
        <v/>
      </c>
      <c r="X413">
        <f>IF($U413=1,IFERROR(IF(VALUE($B413)&lt;100000000,VALUE($B413),1000000000),IFERROR(IF(VALUE(MID($B413,2,20))&lt;100000000,VALUE(MID($B413,2,20)),1000000000),1000000000))+ROW()/100000,"")</f>
        <v/>
      </c>
    </row>
    <row r="414">
      <c r="A414">
        <f>IF($B414="","",IFERROR(IF(INDEX('Per Invoice'!$C$2:$C$401,MATCH($B414,'Per Invoice'!$A$2:$A$401,0))=0,"",INDEX('Per Invoice'!$C$2:$C$401,MATCH($B414,'Per Invoice'!$A$2:$A$401,0))),""))</f>
        <v/>
      </c>
      <c r="G414" s="7">
        <f>IF($B414="","",F414*L414/100)</f>
        <v/>
      </c>
      <c r="K414" s="7" t="n"/>
      <c r="L414" s="7" t="n"/>
      <c r="M414" s="7">
        <f>IF($B414="","",L414*T414/100)</f>
        <v/>
      </c>
      <c r="N414" s="7">
        <f>IF($B414="","",L414-M414)</f>
        <v/>
      </c>
      <c r="O414" s="7">
        <f>IF($B414="","",N414-G414)</f>
        <v/>
      </c>
      <c r="R414" s="14" t="n"/>
      <c r="T414">
        <f>IF($B414="","",IF($W414=1,Settings!$C$6,Settings!$C$7)*100)</f>
        <v/>
      </c>
      <c r="U414">
        <f>IF($B414="","",IF(COUNTIF($B$2:$B414,$B414)=1,1,0))</f>
        <v/>
      </c>
      <c r="V414">
        <f>IF($U414=1,SUMPRODUCT(--($X$2:$X$1501&lt;$X414))+1,"")</f>
        <v/>
      </c>
      <c r="W414">
        <f>IF($B414="","",IF(OR($S414=TRUE(),$S414="TRUE"),1,0))</f>
        <v/>
      </c>
      <c r="X414">
        <f>IF($U414=1,IFERROR(IF(VALUE($B414)&lt;100000000,VALUE($B414),1000000000),IFERROR(IF(VALUE(MID($B414,2,20))&lt;100000000,VALUE(MID($B414,2,20)),1000000000),1000000000))+ROW()/100000,"")</f>
        <v/>
      </c>
    </row>
    <row r="415">
      <c r="A415">
        <f>IF($B415="","",IFERROR(IF(INDEX('Per Invoice'!$C$2:$C$401,MATCH($B415,'Per Invoice'!$A$2:$A$401,0))=0,"",INDEX('Per Invoice'!$C$2:$C$401,MATCH($B415,'Per Invoice'!$A$2:$A$401,0))),""))</f>
        <v/>
      </c>
      <c r="G415" s="7">
        <f>IF($B415="","",F415*L415/100)</f>
        <v/>
      </c>
      <c r="K415" s="7" t="n"/>
      <c r="L415" s="7" t="n"/>
      <c r="M415" s="7">
        <f>IF($B415="","",L415*T415/100)</f>
        <v/>
      </c>
      <c r="N415" s="7">
        <f>IF($B415="","",L415-M415)</f>
        <v/>
      </c>
      <c r="O415" s="7">
        <f>IF($B415="","",N415-G415)</f>
        <v/>
      </c>
      <c r="R415" s="14" t="n"/>
      <c r="T415">
        <f>IF($B415="","",IF($W415=1,Settings!$C$6,Settings!$C$7)*100)</f>
        <v/>
      </c>
      <c r="U415">
        <f>IF($B415="","",IF(COUNTIF($B$2:$B415,$B415)=1,1,0))</f>
        <v/>
      </c>
      <c r="V415">
        <f>IF($U415=1,SUMPRODUCT(--($X$2:$X$1501&lt;$X415))+1,"")</f>
        <v/>
      </c>
      <c r="W415">
        <f>IF($B415="","",IF(OR($S415=TRUE(),$S415="TRUE"),1,0))</f>
        <v/>
      </c>
      <c r="X415">
        <f>IF($U415=1,IFERROR(IF(VALUE($B415)&lt;100000000,VALUE($B415),1000000000),IFERROR(IF(VALUE(MID($B415,2,20))&lt;100000000,VALUE(MID($B415,2,20)),1000000000),1000000000))+ROW()/100000,"")</f>
        <v/>
      </c>
    </row>
    <row r="416">
      <c r="A416">
        <f>IF($B416="","",IFERROR(IF(INDEX('Per Invoice'!$C$2:$C$401,MATCH($B416,'Per Invoice'!$A$2:$A$401,0))=0,"",INDEX('Per Invoice'!$C$2:$C$401,MATCH($B416,'Per Invoice'!$A$2:$A$401,0))),""))</f>
        <v/>
      </c>
      <c r="G416" s="7">
        <f>IF($B416="","",F416*L416/100)</f>
        <v/>
      </c>
      <c r="K416" s="7" t="n"/>
      <c r="L416" s="7" t="n"/>
      <c r="M416" s="7">
        <f>IF($B416="","",L416*T416/100)</f>
        <v/>
      </c>
      <c r="N416" s="7">
        <f>IF($B416="","",L416-M416)</f>
        <v/>
      </c>
      <c r="O416" s="7">
        <f>IF($B416="","",N416-G416)</f>
        <v/>
      </c>
      <c r="R416" s="14" t="n"/>
      <c r="T416">
        <f>IF($B416="","",IF($W416=1,Settings!$C$6,Settings!$C$7)*100)</f>
        <v/>
      </c>
      <c r="U416">
        <f>IF($B416="","",IF(COUNTIF($B$2:$B416,$B416)=1,1,0))</f>
        <v/>
      </c>
      <c r="V416">
        <f>IF($U416=1,SUMPRODUCT(--($X$2:$X$1501&lt;$X416))+1,"")</f>
        <v/>
      </c>
      <c r="W416">
        <f>IF($B416="","",IF(OR($S416=TRUE(),$S416="TRUE"),1,0))</f>
        <v/>
      </c>
      <c r="X416">
        <f>IF($U416=1,IFERROR(IF(VALUE($B416)&lt;100000000,VALUE($B416),1000000000),IFERROR(IF(VALUE(MID($B416,2,20))&lt;100000000,VALUE(MID($B416,2,20)),1000000000),1000000000))+ROW()/100000,"")</f>
        <v/>
      </c>
    </row>
    <row r="417">
      <c r="A417">
        <f>IF($B417="","",IFERROR(IF(INDEX('Per Invoice'!$C$2:$C$401,MATCH($B417,'Per Invoice'!$A$2:$A$401,0))=0,"",INDEX('Per Invoice'!$C$2:$C$401,MATCH($B417,'Per Invoice'!$A$2:$A$401,0))),""))</f>
        <v/>
      </c>
      <c r="G417" s="7">
        <f>IF($B417="","",F417*L417/100)</f>
        <v/>
      </c>
      <c r="K417" s="7" t="n"/>
      <c r="L417" s="7" t="n"/>
      <c r="M417" s="7">
        <f>IF($B417="","",L417*T417/100)</f>
        <v/>
      </c>
      <c r="N417" s="7">
        <f>IF($B417="","",L417-M417)</f>
        <v/>
      </c>
      <c r="O417" s="7">
        <f>IF($B417="","",N417-G417)</f>
        <v/>
      </c>
      <c r="R417" s="14" t="n"/>
      <c r="T417">
        <f>IF($B417="","",IF($W417=1,Settings!$C$6,Settings!$C$7)*100)</f>
        <v/>
      </c>
      <c r="U417">
        <f>IF($B417="","",IF(COUNTIF($B$2:$B417,$B417)=1,1,0))</f>
        <v/>
      </c>
      <c r="V417">
        <f>IF($U417=1,SUMPRODUCT(--($X$2:$X$1501&lt;$X417))+1,"")</f>
        <v/>
      </c>
      <c r="W417">
        <f>IF($B417="","",IF(OR($S417=TRUE(),$S417="TRUE"),1,0))</f>
        <v/>
      </c>
      <c r="X417">
        <f>IF($U417=1,IFERROR(IF(VALUE($B417)&lt;100000000,VALUE($B417),1000000000),IFERROR(IF(VALUE(MID($B417,2,20))&lt;100000000,VALUE(MID($B417,2,20)),1000000000),1000000000))+ROW()/100000,"")</f>
        <v/>
      </c>
    </row>
    <row r="418">
      <c r="A418">
        <f>IF($B418="","",IFERROR(IF(INDEX('Per Invoice'!$C$2:$C$401,MATCH($B418,'Per Invoice'!$A$2:$A$401,0))=0,"",INDEX('Per Invoice'!$C$2:$C$401,MATCH($B418,'Per Invoice'!$A$2:$A$401,0))),""))</f>
        <v/>
      </c>
      <c r="G418" s="7">
        <f>IF($B418="","",F418*L418/100)</f>
        <v/>
      </c>
      <c r="K418" s="7" t="n"/>
      <c r="L418" s="7" t="n"/>
      <c r="M418" s="7">
        <f>IF($B418="","",L418*T418/100)</f>
        <v/>
      </c>
      <c r="N418" s="7">
        <f>IF($B418="","",L418-M418)</f>
        <v/>
      </c>
      <c r="O418" s="7">
        <f>IF($B418="","",N418-G418)</f>
        <v/>
      </c>
      <c r="R418" s="14" t="n"/>
      <c r="T418">
        <f>IF($B418="","",IF($W418=1,Settings!$C$6,Settings!$C$7)*100)</f>
        <v/>
      </c>
      <c r="U418">
        <f>IF($B418="","",IF(COUNTIF($B$2:$B418,$B418)=1,1,0))</f>
        <v/>
      </c>
      <c r="V418">
        <f>IF($U418=1,SUMPRODUCT(--($X$2:$X$1501&lt;$X418))+1,"")</f>
        <v/>
      </c>
      <c r="W418">
        <f>IF($B418="","",IF(OR($S418=TRUE(),$S418="TRUE"),1,0))</f>
        <v/>
      </c>
      <c r="X418">
        <f>IF($U418=1,IFERROR(IF(VALUE($B418)&lt;100000000,VALUE($B418),1000000000),IFERROR(IF(VALUE(MID($B418,2,20))&lt;100000000,VALUE(MID($B418,2,20)),1000000000),1000000000))+ROW()/100000,"")</f>
        <v/>
      </c>
    </row>
    <row r="419">
      <c r="A419">
        <f>IF($B419="","",IFERROR(IF(INDEX('Per Invoice'!$C$2:$C$401,MATCH($B419,'Per Invoice'!$A$2:$A$401,0))=0,"",INDEX('Per Invoice'!$C$2:$C$401,MATCH($B419,'Per Invoice'!$A$2:$A$401,0))),""))</f>
        <v/>
      </c>
      <c r="G419" s="7">
        <f>IF($B419="","",F419*L419/100)</f>
        <v/>
      </c>
      <c r="K419" s="7" t="n"/>
      <c r="L419" s="7" t="n"/>
      <c r="M419" s="7">
        <f>IF($B419="","",L419*T419/100)</f>
        <v/>
      </c>
      <c r="N419" s="7">
        <f>IF($B419="","",L419-M419)</f>
        <v/>
      </c>
      <c r="O419" s="7">
        <f>IF($B419="","",N419-G419)</f>
        <v/>
      </c>
      <c r="R419" s="14" t="n"/>
      <c r="T419">
        <f>IF($B419="","",IF($W419=1,Settings!$C$6,Settings!$C$7)*100)</f>
        <v/>
      </c>
      <c r="U419">
        <f>IF($B419="","",IF(COUNTIF($B$2:$B419,$B419)=1,1,0))</f>
        <v/>
      </c>
      <c r="V419">
        <f>IF($U419=1,SUMPRODUCT(--($X$2:$X$1501&lt;$X419))+1,"")</f>
        <v/>
      </c>
      <c r="W419">
        <f>IF($B419="","",IF(OR($S419=TRUE(),$S419="TRUE"),1,0))</f>
        <v/>
      </c>
      <c r="X419">
        <f>IF($U419=1,IFERROR(IF(VALUE($B419)&lt;100000000,VALUE($B419),1000000000),IFERROR(IF(VALUE(MID($B419,2,20))&lt;100000000,VALUE(MID($B419,2,20)),1000000000),1000000000))+ROW()/100000,"")</f>
        <v/>
      </c>
    </row>
    <row r="420">
      <c r="A420">
        <f>IF($B420="","",IFERROR(IF(INDEX('Per Invoice'!$C$2:$C$401,MATCH($B420,'Per Invoice'!$A$2:$A$401,0))=0,"",INDEX('Per Invoice'!$C$2:$C$401,MATCH($B420,'Per Invoice'!$A$2:$A$401,0))),""))</f>
        <v/>
      </c>
      <c r="G420" s="7">
        <f>IF($B420="","",F420*L420/100)</f>
        <v/>
      </c>
      <c r="K420" s="7" t="n"/>
      <c r="L420" s="7" t="n"/>
      <c r="M420" s="7">
        <f>IF($B420="","",L420*T420/100)</f>
        <v/>
      </c>
      <c r="N420" s="7">
        <f>IF($B420="","",L420-M420)</f>
        <v/>
      </c>
      <c r="O420" s="7">
        <f>IF($B420="","",N420-G420)</f>
        <v/>
      </c>
      <c r="R420" s="14" t="n"/>
      <c r="T420">
        <f>IF($B420="","",IF($W420=1,Settings!$C$6,Settings!$C$7)*100)</f>
        <v/>
      </c>
      <c r="U420">
        <f>IF($B420="","",IF(COUNTIF($B$2:$B420,$B420)=1,1,0))</f>
        <v/>
      </c>
      <c r="V420">
        <f>IF($U420=1,SUMPRODUCT(--($X$2:$X$1501&lt;$X420))+1,"")</f>
        <v/>
      </c>
      <c r="W420">
        <f>IF($B420="","",IF(OR($S420=TRUE(),$S420="TRUE"),1,0))</f>
        <v/>
      </c>
      <c r="X420">
        <f>IF($U420=1,IFERROR(IF(VALUE($B420)&lt;100000000,VALUE($B420),1000000000),IFERROR(IF(VALUE(MID($B420,2,20))&lt;100000000,VALUE(MID($B420,2,20)),1000000000),1000000000))+ROW()/100000,"")</f>
        <v/>
      </c>
    </row>
    <row r="421">
      <c r="A421">
        <f>IF($B421="","",IFERROR(IF(INDEX('Per Invoice'!$C$2:$C$401,MATCH($B421,'Per Invoice'!$A$2:$A$401,0))=0,"",INDEX('Per Invoice'!$C$2:$C$401,MATCH($B421,'Per Invoice'!$A$2:$A$401,0))),""))</f>
        <v/>
      </c>
      <c r="G421" s="7">
        <f>IF($B421="","",F421*L421/100)</f>
        <v/>
      </c>
      <c r="K421" s="7" t="n"/>
      <c r="L421" s="7" t="n"/>
      <c r="M421" s="7">
        <f>IF($B421="","",L421*T421/100)</f>
        <v/>
      </c>
      <c r="N421" s="7">
        <f>IF($B421="","",L421-M421)</f>
        <v/>
      </c>
      <c r="O421" s="7">
        <f>IF($B421="","",N421-G421)</f>
        <v/>
      </c>
      <c r="R421" s="14" t="n"/>
      <c r="T421">
        <f>IF($B421="","",IF($W421=1,Settings!$C$6,Settings!$C$7)*100)</f>
        <v/>
      </c>
      <c r="U421">
        <f>IF($B421="","",IF(COUNTIF($B$2:$B421,$B421)=1,1,0))</f>
        <v/>
      </c>
      <c r="V421">
        <f>IF($U421=1,SUMPRODUCT(--($X$2:$X$1501&lt;$X421))+1,"")</f>
        <v/>
      </c>
      <c r="W421">
        <f>IF($B421="","",IF(OR($S421=TRUE(),$S421="TRUE"),1,0))</f>
        <v/>
      </c>
      <c r="X421">
        <f>IF($U421=1,IFERROR(IF(VALUE($B421)&lt;100000000,VALUE($B421),1000000000),IFERROR(IF(VALUE(MID($B421,2,20))&lt;100000000,VALUE(MID($B421,2,20)),1000000000),1000000000))+ROW()/100000,"")</f>
        <v/>
      </c>
    </row>
    <row r="422">
      <c r="A422">
        <f>IF($B422="","",IFERROR(IF(INDEX('Per Invoice'!$C$2:$C$401,MATCH($B422,'Per Invoice'!$A$2:$A$401,0))=0,"",INDEX('Per Invoice'!$C$2:$C$401,MATCH($B422,'Per Invoice'!$A$2:$A$401,0))),""))</f>
        <v/>
      </c>
      <c r="G422" s="7">
        <f>IF($B422="","",F422*L422/100)</f>
        <v/>
      </c>
      <c r="K422" s="7" t="n"/>
      <c r="L422" s="7" t="n"/>
      <c r="M422" s="7">
        <f>IF($B422="","",L422*T422/100)</f>
        <v/>
      </c>
      <c r="N422" s="7">
        <f>IF($B422="","",L422-M422)</f>
        <v/>
      </c>
      <c r="O422" s="7">
        <f>IF($B422="","",N422-G422)</f>
        <v/>
      </c>
      <c r="R422" s="14" t="n"/>
      <c r="T422">
        <f>IF($B422="","",IF($W422=1,Settings!$C$6,Settings!$C$7)*100)</f>
        <v/>
      </c>
      <c r="U422">
        <f>IF($B422="","",IF(COUNTIF($B$2:$B422,$B422)=1,1,0))</f>
        <v/>
      </c>
      <c r="V422">
        <f>IF($U422=1,SUMPRODUCT(--($X$2:$X$1501&lt;$X422))+1,"")</f>
        <v/>
      </c>
      <c r="W422">
        <f>IF($B422="","",IF(OR($S422=TRUE(),$S422="TRUE"),1,0))</f>
        <v/>
      </c>
      <c r="X422">
        <f>IF($U422=1,IFERROR(IF(VALUE($B422)&lt;100000000,VALUE($B422),1000000000),IFERROR(IF(VALUE(MID($B422,2,20))&lt;100000000,VALUE(MID($B422,2,20)),1000000000),1000000000))+ROW()/100000,"")</f>
        <v/>
      </c>
    </row>
    <row r="423">
      <c r="A423">
        <f>IF($B423="","",IFERROR(IF(INDEX('Per Invoice'!$C$2:$C$401,MATCH($B423,'Per Invoice'!$A$2:$A$401,0))=0,"",INDEX('Per Invoice'!$C$2:$C$401,MATCH($B423,'Per Invoice'!$A$2:$A$401,0))),""))</f>
        <v/>
      </c>
      <c r="G423" s="7">
        <f>IF($B423="","",F423*L423/100)</f>
        <v/>
      </c>
      <c r="K423" s="7" t="n"/>
      <c r="L423" s="7" t="n"/>
      <c r="M423" s="7">
        <f>IF($B423="","",L423*T423/100)</f>
        <v/>
      </c>
      <c r="N423" s="7">
        <f>IF($B423="","",L423-M423)</f>
        <v/>
      </c>
      <c r="O423" s="7">
        <f>IF($B423="","",N423-G423)</f>
        <v/>
      </c>
      <c r="R423" s="14" t="n"/>
      <c r="T423">
        <f>IF($B423="","",IF($W423=1,Settings!$C$6,Settings!$C$7)*100)</f>
        <v/>
      </c>
      <c r="U423">
        <f>IF($B423="","",IF(COUNTIF($B$2:$B423,$B423)=1,1,0))</f>
        <v/>
      </c>
      <c r="V423">
        <f>IF($U423=1,SUMPRODUCT(--($X$2:$X$1501&lt;$X423))+1,"")</f>
        <v/>
      </c>
      <c r="W423">
        <f>IF($B423="","",IF(OR($S423=TRUE(),$S423="TRUE"),1,0))</f>
        <v/>
      </c>
      <c r="X423">
        <f>IF($U423=1,IFERROR(IF(VALUE($B423)&lt;100000000,VALUE($B423),1000000000),IFERROR(IF(VALUE(MID($B423,2,20))&lt;100000000,VALUE(MID($B423,2,20)),1000000000),1000000000))+ROW()/100000,"")</f>
        <v/>
      </c>
    </row>
    <row r="424">
      <c r="A424">
        <f>IF($B424="","",IFERROR(IF(INDEX('Per Invoice'!$C$2:$C$401,MATCH($B424,'Per Invoice'!$A$2:$A$401,0))=0,"",INDEX('Per Invoice'!$C$2:$C$401,MATCH($B424,'Per Invoice'!$A$2:$A$401,0))),""))</f>
        <v/>
      </c>
      <c r="G424" s="7">
        <f>IF($B424="","",F424*L424/100)</f>
        <v/>
      </c>
      <c r="K424" s="7" t="n"/>
      <c r="L424" s="7" t="n"/>
      <c r="M424" s="7">
        <f>IF($B424="","",L424*T424/100)</f>
        <v/>
      </c>
      <c r="N424" s="7">
        <f>IF($B424="","",L424-M424)</f>
        <v/>
      </c>
      <c r="O424" s="7">
        <f>IF($B424="","",N424-G424)</f>
        <v/>
      </c>
      <c r="R424" s="14" t="n"/>
      <c r="T424">
        <f>IF($B424="","",IF($W424=1,Settings!$C$6,Settings!$C$7)*100)</f>
        <v/>
      </c>
      <c r="U424">
        <f>IF($B424="","",IF(COUNTIF($B$2:$B424,$B424)=1,1,0))</f>
        <v/>
      </c>
      <c r="V424">
        <f>IF($U424=1,SUMPRODUCT(--($X$2:$X$1501&lt;$X424))+1,"")</f>
        <v/>
      </c>
      <c r="W424">
        <f>IF($B424="","",IF(OR($S424=TRUE(),$S424="TRUE"),1,0))</f>
        <v/>
      </c>
      <c r="X424">
        <f>IF($U424=1,IFERROR(IF(VALUE($B424)&lt;100000000,VALUE($B424),1000000000),IFERROR(IF(VALUE(MID($B424,2,20))&lt;100000000,VALUE(MID($B424,2,20)),1000000000),1000000000))+ROW()/100000,"")</f>
        <v/>
      </c>
    </row>
    <row r="425">
      <c r="A425">
        <f>IF($B425="","",IFERROR(IF(INDEX('Per Invoice'!$C$2:$C$401,MATCH($B425,'Per Invoice'!$A$2:$A$401,0))=0,"",INDEX('Per Invoice'!$C$2:$C$401,MATCH($B425,'Per Invoice'!$A$2:$A$401,0))),""))</f>
        <v/>
      </c>
      <c r="G425" s="7">
        <f>IF($B425="","",F425*L425/100)</f>
        <v/>
      </c>
      <c r="K425" s="7" t="n"/>
      <c r="L425" s="7" t="n"/>
      <c r="M425" s="7">
        <f>IF($B425="","",L425*T425/100)</f>
        <v/>
      </c>
      <c r="N425" s="7">
        <f>IF($B425="","",L425-M425)</f>
        <v/>
      </c>
      <c r="O425" s="7">
        <f>IF($B425="","",N425-G425)</f>
        <v/>
      </c>
      <c r="R425" s="14" t="n"/>
      <c r="T425">
        <f>IF($B425="","",IF($W425=1,Settings!$C$6,Settings!$C$7)*100)</f>
        <v/>
      </c>
      <c r="U425">
        <f>IF($B425="","",IF(COUNTIF($B$2:$B425,$B425)=1,1,0))</f>
        <v/>
      </c>
      <c r="V425">
        <f>IF($U425=1,SUMPRODUCT(--($X$2:$X$1501&lt;$X425))+1,"")</f>
        <v/>
      </c>
      <c r="W425">
        <f>IF($B425="","",IF(OR($S425=TRUE(),$S425="TRUE"),1,0))</f>
        <v/>
      </c>
      <c r="X425">
        <f>IF($U425=1,IFERROR(IF(VALUE($B425)&lt;100000000,VALUE($B425),1000000000),IFERROR(IF(VALUE(MID($B425,2,20))&lt;100000000,VALUE(MID($B425,2,20)),1000000000),1000000000))+ROW()/100000,"")</f>
        <v/>
      </c>
    </row>
    <row r="426">
      <c r="A426">
        <f>IF($B426="","",IFERROR(IF(INDEX('Per Invoice'!$C$2:$C$401,MATCH($B426,'Per Invoice'!$A$2:$A$401,0))=0,"",INDEX('Per Invoice'!$C$2:$C$401,MATCH($B426,'Per Invoice'!$A$2:$A$401,0))),""))</f>
        <v/>
      </c>
      <c r="G426" s="7">
        <f>IF($B426="","",F426*L426/100)</f>
        <v/>
      </c>
      <c r="K426" s="7" t="n"/>
      <c r="L426" s="7" t="n"/>
      <c r="M426" s="7">
        <f>IF($B426="","",L426*T426/100)</f>
        <v/>
      </c>
      <c r="N426" s="7">
        <f>IF($B426="","",L426-M426)</f>
        <v/>
      </c>
      <c r="O426" s="7">
        <f>IF($B426="","",N426-G426)</f>
        <v/>
      </c>
      <c r="R426" s="14" t="n"/>
      <c r="T426">
        <f>IF($B426="","",IF($W426=1,Settings!$C$6,Settings!$C$7)*100)</f>
        <v/>
      </c>
      <c r="U426">
        <f>IF($B426="","",IF(COUNTIF($B$2:$B426,$B426)=1,1,0))</f>
        <v/>
      </c>
      <c r="V426">
        <f>IF($U426=1,SUMPRODUCT(--($X$2:$X$1501&lt;$X426))+1,"")</f>
        <v/>
      </c>
      <c r="W426">
        <f>IF($B426="","",IF(OR($S426=TRUE(),$S426="TRUE"),1,0))</f>
        <v/>
      </c>
      <c r="X426">
        <f>IF($U426=1,IFERROR(IF(VALUE($B426)&lt;100000000,VALUE($B426),1000000000),IFERROR(IF(VALUE(MID($B426,2,20))&lt;100000000,VALUE(MID($B426,2,20)),1000000000),1000000000))+ROW()/100000,"")</f>
        <v/>
      </c>
    </row>
    <row r="427">
      <c r="A427">
        <f>IF($B427="","",IFERROR(IF(INDEX('Per Invoice'!$C$2:$C$401,MATCH($B427,'Per Invoice'!$A$2:$A$401,0))=0,"",INDEX('Per Invoice'!$C$2:$C$401,MATCH($B427,'Per Invoice'!$A$2:$A$401,0))),""))</f>
        <v/>
      </c>
      <c r="G427" s="7">
        <f>IF($B427="","",F427*L427/100)</f>
        <v/>
      </c>
      <c r="K427" s="7" t="n"/>
      <c r="L427" s="7" t="n"/>
      <c r="M427" s="7">
        <f>IF($B427="","",L427*T427/100)</f>
        <v/>
      </c>
      <c r="N427" s="7">
        <f>IF($B427="","",L427-M427)</f>
        <v/>
      </c>
      <c r="O427" s="7">
        <f>IF($B427="","",N427-G427)</f>
        <v/>
      </c>
      <c r="R427" s="14" t="n"/>
      <c r="T427">
        <f>IF($B427="","",IF($W427=1,Settings!$C$6,Settings!$C$7)*100)</f>
        <v/>
      </c>
      <c r="U427">
        <f>IF($B427="","",IF(COUNTIF($B$2:$B427,$B427)=1,1,0))</f>
        <v/>
      </c>
      <c r="V427">
        <f>IF($U427=1,SUMPRODUCT(--($X$2:$X$1501&lt;$X427))+1,"")</f>
        <v/>
      </c>
      <c r="W427">
        <f>IF($B427="","",IF(OR($S427=TRUE(),$S427="TRUE"),1,0))</f>
        <v/>
      </c>
      <c r="X427">
        <f>IF($U427=1,IFERROR(IF(VALUE($B427)&lt;100000000,VALUE($B427),1000000000),IFERROR(IF(VALUE(MID($B427,2,20))&lt;100000000,VALUE(MID($B427,2,20)),1000000000),1000000000))+ROW()/100000,"")</f>
        <v/>
      </c>
    </row>
    <row r="428">
      <c r="A428">
        <f>IF($B428="","",IFERROR(IF(INDEX('Per Invoice'!$C$2:$C$401,MATCH($B428,'Per Invoice'!$A$2:$A$401,0))=0,"",INDEX('Per Invoice'!$C$2:$C$401,MATCH($B428,'Per Invoice'!$A$2:$A$401,0))),""))</f>
        <v/>
      </c>
      <c r="G428" s="7">
        <f>IF($B428="","",F428*L428/100)</f>
        <v/>
      </c>
      <c r="K428" s="7" t="n"/>
      <c r="L428" s="7" t="n"/>
      <c r="M428" s="7">
        <f>IF($B428="","",L428*T428/100)</f>
        <v/>
      </c>
      <c r="N428" s="7">
        <f>IF($B428="","",L428-M428)</f>
        <v/>
      </c>
      <c r="O428" s="7">
        <f>IF($B428="","",N428-G428)</f>
        <v/>
      </c>
      <c r="R428" s="14" t="n"/>
      <c r="T428">
        <f>IF($B428="","",IF($W428=1,Settings!$C$6,Settings!$C$7)*100)</f>
        <v/>
      </c>
      <c r="U428">
        <f>IF($B428="","",IF(COUNTIF($B$2:$B428,$B428)=1,1,0))</f>
        <v/>
      </c>
      <c r="V428">
        <f>IF($U428=1,SUMPRODUCT(--($X$2:$X$1501&lt;$X428))+1,"")</f>
        <v/>
      </c>
      <c r="W428">
        <f>IF($B428="","",IF(OR($S428=TRUE(),$S428="TRUE"),1,0))</f>
        <v/>
      </c>
      <c r="X428">
        <f>IF($U428=1,IFERROR(IF(VALUE($B428)&lt;100000000,VALUE($B428),1000000000),IFERROR(IF(VALUE(MID($B428,2,20))&lt;100000000,VALUE(MID($B428,2,20)),1000000000),1000000000))+ROW()/100000,"")</f>
        <v/>
      </c>
    </row>
    <row r="429">
      <c r="A429">
        <f>IF($B429="","",IFERROR(IF(INDEX('Per Invoice'!$C$2:$C$401,MATCH($B429,'Per Invoice'!$A$2:$A$401,0))=0,"",INDEX('Per Invoice'!$C$2:$C$401,MATCH($B429,'Per Invoice'!$A$2:$A$401,0))),""))</f>
        <v/>
      </c>
      <c r="G429" s="7">
        <f>IF($B429="","",F429*L429/100)</f>
        <v/>
      </c>
      <c r="K429" s="7" t="n"/>
      <c r="L429" s="7" t="n"/>
      <c r="M429" s="7">
        <f>IF($B429="","",L429*T429/100)</f>
        <v/>
      </c>
      <c r="N429" s="7">
        <f>IF($B429="","",L429-M429)</f>
        <v/>
      </c>
      <c r="O429" s="7">
        <f>IF($B429="","",N429-G429)</f>
        <v/>
      </c>
      <c r="R429" s="14" t="n"/>
      <c r="T429">
        <f>IF($B429="","",IF($W429=1,Settings!$C$6,Settings!$C$7)*100)</f>
        <v/>
      </c>
      <c r="U429">
        <f>IF($B429="","",IF(COUNTIF($B$2:$B429,$B429)=1,1,0))</f>
        <v/>
      </c>
      <c r="V429">
        <f>IF($U429=1,SUMPRODUCT(--($X$2:$X$1501&lt;$X429))+1,"")</f>
        <v/>
      </c>
      <c r="W429">
        <f>IF($B429="","",IF(OR($S429=TRUE(),$S429="TRUE"),1,0))</f>
        <v/>
      </c>
      <c r="X429">
        <f>IF($U429=1,IFERROR(IF(VALUE($B429)&lt;100000000,VALUE($B429),1000000000),IFERROR(IF(VALUE(MID($B429,2,20))&lt;100000000,VALUE(MID($B429,2,20)),1000000000),1000000000))+ROW()/100000,"")</f>
        <v/>
      </c>
    </row>
    <row r="430">
      <c r="A430">
        <f>IF($B430="","",IFERROR(IF(INDEX('Per Invoice'!$C$2:$C$401,MATCH($B430,'Per Invoice'!$A$2:$A$401,0))=0,"",INDEX('Per Invoice'!$C$2:$C$401,MATCH($B430,'Per Invoice'!$A$2:$A$401,0))),""))</f>
        <v/>
      </c>
      <c r="G430" s="7">
        <f>IF($B430="","",F430*L430/100)</f>
        <v/>
      </c>
      <c r="K430" s="7" t="n"/>
      <c r="L430" s="7" t="n"/>
      <c r="M430" s="7">
        <f>IF($B430="","",L430*T430/100)</f>
        <v/>
      </c>
      <c r="N430" s="7">
        <f>IF($B430="","",L430-M430)</f>
        <v/>
      </c>
      <c r="O430" s="7">
        <f>IF($B430="","",N430-G430)</f>
        <v/>
      </c>
      <c r="R430" s="14" t="n"/>
      <c r="T430">
        <f>IF($B430="","",IF($W430=1,Settings!$C$6,Settings!$C$7)*100)</f>
        <v/>
      </c>
      <c r="U430">
        <f>IF($B430="","",IF(COUNTIF($B$2:$B430,$B430)=1,1,0))</f>
        <v/>
      </c>
      <c r="V430">
        <f>IF($U430=1,SUMPRODUCT(--($X$2:$X$1501&lt;$X430))+1,"")</f>
        <v/>
      </c>
      <c r="W430">
        <f>IF($B430="","",IF(OR($S430=TRUE(),$S430="TRUE"),1,0))</f>
        <v/>
      </c>
      <c r="X430">
        <f>IF($U430=1,IFERROR(IF(VALUE($B430)&lt;100000000,VALUE($B430),1000000000),IFERROR(IF(VALUE(MID($B430,2,20))&lt;100000000,VALUE(MID($B430,2,20)),1000000000),1000000000))+ROW()/100000,"")</f>
        <v/>
      </c>
    </row>
    <row r="431">
      <c r="A431">
        <f>IF($B431="","",IFERROR(IF(INDEX('Per Invoice'!$C$2:$C$401,MATCH($B431,'Per Invoice'!$A$2:$A$401,0))=0,"",INDEX('Per Invoice'!$C$2:$C$401,MATCH($B431,'Per Invoice'!$A$2:$A$401,0))),""))</f>
        <v/>
      </c>
      <c r="G431" s="7">
        <f>IF($B431="","",F431*L431/100)</f>
        <v/>
      </c>
      <c r="K431" s="7" t="n"/>
      <c r="L431" s="7" t="n"/>
      <c r="M431" s="7">
        <f>IF($B431="","",L431*T431/100)</f>
        <v/>
      </c>
      <c r="N431" s="7">
        <f>IF($B431="","",L431-M431)</f>
        <v/>
      </c>
      <c r="O431" s="7">
        <f>IF($B431="","",N431-G431)</f>
        <v/>
      </c>
      <c r="R431" s="14" t="n"/>
      <c r="T431">
        <f>IF($B431="","",IF($W431=1,Settings!$C$6,Settings!$C$7)*100)</f>
        <v/>
      </c>
      <c r="U431">
        <f>IF($B431="","",IF(COUNTIF($B$2:$B431,$B431)=1,1,0))</f>
        <v/>
      </c>
      <c r="V431">
        <f>IF($U431=1,SUMPRODUCT(--($X$2:$X$1501&lt;$X431))+1,"")</f>
        <v/>
      </c>
      <c r="W431">
        <f>IF($B431="","",IF(OR($S431=TRUE(),$S431="TRUE"),1,0))</f>
        <v/>
      </c>
      <c r="X431">
        <f>IF($U431=1,IFERROR(IF(VALUE($B431)&lt;100000000,VALUE($B431),1000000000),IFERROR(IF(VALUE(MID($B431,2,20))&lt;100000000,VALUE(MID($B431,2,20)),1000000000),1000000000))+ROW()/100000,"")</f>
        <v/>
      </c>
    </row>
    <row r="432">
      <c r="A432">
        <f>IF($B432="","",IFERROR(IF(INDEX('Per Invoice'!$C$2:$C$401,MATCH($B432,'Per Invoice'!$A$2:$A$401,0))=0,"",INDEX('Per Invoice'!$C$2:$C$401,MATCH($B432,'Per Invoice'!$A$2:$A$401,0))),""))</f>
        <v/>
      </c>
      <c r="G432" s="7">
        <f>IF($B432="","",F432*L432/100)</f>
        <v/>
      </c>
      <c r="K432" s="7" t="n"/>
      <c r="L432" s="7" t="n"/>
      <c r="M432" s="7">
        <f>IF($B432="","",L432*T432/100)</f>
        <v/>
      </c>
      <c r="N432" s="7">
        <f>IF($B432="","",L432-M432)</f>
        <v/>
      </c>
      <c r="O432" s="7">
        <f>IF($B432="","",N432-G432)</f>
        <v/>
      </c>
      <c r="R432" s="14" t="n"/>
      <c r="T432">
        <f>IF($B432="","",IF($W432=1,Settings!$C$6,Settings!$C$7)*100)</f>
        <v/>
      </c>
      <c r="U432">
        <f>IF($B432="","",IF(COUNTIF($B$2:$B432,$B432)=1,1,0))</f>
        <v/>
      </c>
      <c r="V432">
        <f>IF($U432=1,SUMPRODUCT(--($X$2:$X$1501&lt;$X432))+1,"")</f>
        <v/>
      </c>
      <c r="W432">
        <f>IF($B432="","",IF(OR($S432=TRUE(),$S432="TRUE"),1,0))</f>
        <v/>
      </c>
      <c r="X432">
        <f>IF($U432=1,IFERROR(IF(VALUE($B432)&lt;100000000,VALUE($B432),1000000000),IFERROR(IF(VALUE(MID($B432,2,20))&lt;100000000,VALUE(MID($B432,2,20)),1000000000),1000000000))+ROW()/100000,"")</f>
        <v/>
      </c>
    </row>
    <row r="433">
      <c r="A433">
        <f>IF($B433="","",IFERROR(IF(INDEX('Per Invoice'!$C$2:$C$401,MATCH($B433,'Per Invoice'!$A$2:$A$401,0))=0,"",INDEX('Per Invoice'!$C$2:$C$401,MATCH($B433,'Per Invoice'!$A$2:$A$401,0))),""))</f>
        <v/>
      </c>
      <c r="G433" s="7">
        <f>IF($B433="","",F433*L433/100)</f>
        <v/>
      </c>
      <c r="K433" s="7" t="n"/>
      <c r="L433" s="7" t="n"/>
      <c r="M433" s="7">
        <f>IF($B433="","",L433*T433/100)</f>
        <v/>
      </c>
      <c r="N433" s="7">
        <f>IF($B433="","",L433-M433)</f>
        <v/>
      </c>
      <c r="O433" s="7">
        <f>IF($B433="","",N433-G433)</f>
        <v/>
      </c>
      <c r="R433" s="14" t="n"/>
      <c r="T433">
        <f>IF($B433="","",IF($W433=1,Settings!$C$6,Settings!$C$7)*100)</f>
        <v/>
      </c>
      <c r="U433">
        <f>IF($B433="","",IF(COUNTIF($B$2:$B433,$B433)=1,1,0))</f>
        <v/>
      </c>
      <c r="V433">
        <f>IF($U433=1,SUMPRODUCT(--($X$2:$X$1501&lt;$X433))+1,"")</f>
        <v/>
      </c>
      <c r="W433">
        <f>IF($B433="","",IF(OR($S433=TRUE(),$S433="TRUE"),1,0))</f>
        <v/>
      </c>
      <c r="X433">
        <f>IF($U433=1,IFERROR(IF(VALUE($B433)&lt;100000000,VALUE($B433),1000000000),IFERROR(IF(VALUE(MID($B433,2,20))&lt;100000000,VALUE(MID($B433,2,20)),1000000000),1000000000))+ROW()/100000,"")</f>
        <v/>
      </c>
    </row>
    <row r="434">
      <c r="A434">
        <f>IF($B434="","",IFERROR(IF(INDEX('Per Invoice'!$C$2:$C$401,MATCH($B434,'Per Invoice'!$A$2:$A$401,0))=0,"",INDEX('Per Invoice'!$C$2:$C$401,MATCH($B434,'Per Invoice'!$A$2:$A$401,0))),""))</f>
        <v/>
      </c>
      <c r="G434" s="7">
        <f>IF($B434="","",F434*L434/100)</f>
        <v/>
      </c>
      <c r="K434" s="7" t="n"/>
      <c r="L434" s="7" t="n"/>
      <c r="M434" s="7">
        <f>IF($B434="","",L434*T434/100)</f>
        <v/>
      </c>
      <c r="N434" s="7">
        <f>IF($B434="","",L434-M434)</f>
        <v/>
      </c>
      <c r="O434" s="7">
        <f>IF($B434="","",N434-G434)</f>
        <v/>
      </c>
      <c r="R434" s="14" t="n"/>
      <c r="T434">
        <f>IF($B434="","",IF($W434=1,Settings!$C$6,Settings!$C$7)*100)</f>
        <v/>
      </c>
      <c r="U434">
        <f>IF($B434="","",IF(COUNTIF($B$2:$B434,$B434)=1,1,0))</f>
        <v/>
      </c>
      <c r="V434">
        <f>IF($U434=1,SUMPRODUCT(--($X$2:$X$1501&lt;$X434))+1,"")</f>
        <v/>
      </c>
      <c r="W434">
        <f>IF($B434="","",IF(OR($S434=TRUE(),$S434="TRUE"),1,0))</f>
        <v/>
      </c>
      <c r="X434">
        <f>IF($U434=1,IFERROR(IF(VALUE($B434)&lt;100000000,VALUE($B434),1000000000),IFERROR(IF(VALUE(MID($B434,2,20))&lt;100000000,VALUE(MID($B434,2,20)),1000000000),1000000000))+ROW()/100000,"")</f>
        <v/>
      </c>
    </row>
    <row r="435">
      <c r="A435">
        <f>IF($B435="","",IFERROR(IF(INDEX('Per Invoice'!$C$2:$C$401,MATCH($B435,'Per Invoice'!$A$2:$A$401,0))=0,"",INDEX('Per Invoice'!$C$2:$C$401,MATCH($B435,'Per Invoice'!$A$2:$A$401,0))),""))</f>
        <v/>
      </c>
      <c r="G435" s="7">
        <f>IF($B435="","",F435*L435/100)</f>
        <v/>
      </c>
      <c r="K435" s="7" t="n"/>
      <c r="L435" s="7" t="n"/>
      <c r="M435" s="7">
        <f>IF($B435="","",L435*T435/100)</f>
        <v/>
      </c>
      <c r="N435" s="7">
        <f>IF($B435="","",L435-M435)</f>
        <v/>
      </c>
      <c r="O435" s="7">
        <f>IF($B435="","",N435-G435)</f>
        <v/>
      </c>
      <c r="R435" s="14" t="n"/>
      <c r="T435">
        <f>IF($B435="","",IF($W435=1,Settings!$C$6,Settings!$C$7)*100)</f>
        <v/>
      </c>
      <c r="U435">
        <f>IF($B435="","",IF(COUNTIF($B$2:$B435,$B435)=1,1,0))</f>
        <v/>
      </c>
      <c r="V435">
        <f>IF($U435=1,SUMPRODUCT(--($X$2:$X$1501&lt;$X435))+1,"")</f>
        <v/>
      </c>
      <c r="W435">
        <f>IF($B435="","",IF(OR($S435=TRUE(),$S435="TRUE"),1,0))</f>
        <v/>
      </c>
      <c r="X435">
        <f>IF($U435=1,IFERROR(IF(VALUE($B435)&lt;100000000,VALUE($B435),1000000000),IFERROR(IF(VALUE(MID($B435,2,20))&lt;100000000,VALUE(MID($B435,2,20)),1000000000),1000000000))+ROW()/100000,"")</f>
        <v/>
      </c>
    </row>
    <row r="436">
      <c r="A436">
        <f>IF($B436="","",IFERROR(IF(INDEX('Per Invoice'!$C$2:$C$401,MATCH($B436,'Per Invoice'!$A$2:$A$401,0))=0,"",INDEX('Per Invoice'!$C$2:$C$401,MATCH($B436,'Per Invoice'!$A$2:$A$401,0))),""))</f>
        <v/>
      </c>
      <c r="G436" s="7">
        <f>IF($B436="","",F436*L436/100)</f>
        <v/>
      </c>
      <c r="K436" s="7" t="n"/>
      <c r="L436" s="7" t="n"/>
      <c r="M436" s="7">
        <f>IF($B436="","",L436*T436/100)</f>
        <v/>
      </c>
      <c r="N436" s="7">
        <f>IF($B436="","",L436-M436)</f>
        <v/>
      </c>
      <c r="O436" s="7">
        <f>IF($B436="","",N436-G436)</f>
        <v/>
      </c>
      <c r="R436" s="14" t="n"/>
      <c r="T436">
        <f>IF($B436="","",IF($W436=1,Settings!$C$6,Settings!$C$7)*100)</f>
        <v/>
      </c>
      <c r="U436">
        <f>IF($B436="","",IF(COUNTIF($B$2:$B436,$B436)=1,1,0))</f>
        <v/>
      </c>
      <c r="V436">
        <f>IF($U436=1,SUMPRODUCT(--($X$2:$X$1501&lt;$X436))+1,"")</f>
        <v/>
      </c>
      <c r="W436">
        <f>IF($B436="","",IF(OR($S436=TRUE(),$S436="TRUE"),1,0))</f>
        <v/>
      </c>
      <c r="X436">
        <f>IF($U436=1,IFERROR(IF(VALUE($B436)&lt;100000000,VALUE($B436),1000000000),IFERROR(IF(VALUE(MID($B436,2,20))&lt;100000000,VALUE(MID($B436,2,20)),1000000000),1000000000))+ROW()/100000,"")</f>
        <v/>
      </c>
    </row>
    <row r="437">
      <c r="A437">
        <f>IF($B437="","",IFERROR(IF(INDEX('Per Invoice'!$C$2:$C$401,MATCH($B437,'Per Invoice'!$A$2:$A$401,0))=0,"",INDEX('Per Invoice'!$C$2:$C$401,MATCH($B437,'Per Invoice'!$A$2:$A$401,0))),""))</f>
        <v/>
      </c>
      <c r="G437" s="7">
        <f>IF($B437="","",F437*L437/100)</f>
        <v/>
      </c>
      <c r="K437" s="7" t="n"/>
      <c r="L437" s="7" t="n"/>
      <c r="M437" s="7">
        <f>IF($B437="","",L437*T437/100)</f>
        <v/>
      </c>
      <c r="N437" s="7">
        <f>IF($B437="","",L437-M437)</f>
        <v/>
      </c>
      <c r="O437" s="7">
        <f>IF($B437="","",N437-G437)</f>
        <v/>
      </c>
      <c r="R437" s="14" t="n"/>
      <c r="T437">
        <f>IF($B437="","",IF($W437=1,Settings!$C$6,Settings!$C$7)*100)</f>
        <v/>
      </c>
      <c r="U437">
        <f>IF($B437="","",IF(COUNTIF($B$2:$B437,$B437)=1,1,0))</f>
        <v/>
      </c>
      <c r="V437">
        <f>IF($U437=1,SUMPRODUCT(--($X$2:$X$1501&lt;$X437))+1,"")</f>
        <v/>
      </c>
      <c r="W437">
        <f>IF($B437="","",IF(OR($S437=TRUE(),$S437="TRUE"),1,0))</f>
        <v/>
      </c>
      <c r="X437">
        <f>IF($U437=1,IFERROR(IF(VALUE($B437)&lt;100000000,VALUE($B437),1000000000),IFERROR(IF(VALUE(MID($B437,2,20))&lt;100000000,VALUE(MID($B437,2,20)),1000000000),1000000000))+ROW()/100000,"")</f>
        <v/>
      </c>
    </row>
    <row r="438">
      <c r="A438">
        <f>IF($B438="","",IFERROR(IF(INDEX('Per Invoice'!$C$2:$C$401,MATCH($B438,'Per Invoice'!$A$2:$A$401,0))=0,"",INDEX('Per Invoice'!$C$2:$C$401,MATCH($B438,'Per Invoice'!$A$2:$A$401,0))),""))</f>
        <v/>
      </c>
      <c r="G438" s="7">
        <f>IF($B438="","",F438*L438/100)</f>
        <v/>
      </c>
      <c r="K438" s="7" t="n"/>
      <c r="L438" s="7" t="n"/>
      <c r="M438" s="7">
        <f>IF($B438="","",L438*T438/100)</f>
        <v/>
      </c>
      <c r="N438" s="7">
        <f>IF($B438="","",L438-M438)</f>
        <v/>
      </c>
      <c r="O438" s="7">
        <f>IF($B438="","",N438-G438)</f>
        <v/>
      </c>
      <c r="R438" s="14" t="n"/>
      <c r="T438">
        <f>IF($B438="","",IF($W438=1,Settings!$C$6,Settings!$C$7)*100)</f>
        <v/>
      </c>
      <c r="U438">
        <f>IF($B438="","",IF(COUNTIF($B$2:$B438,$B438)=1,1,0))</f>
        <v/>
      </c>
      <c r="V438">
        <f>IF($U438=1,SUMPRODUCT(--($X$2:$X$1501&lt;$X438))+1,"")</f>
        <v/>
      </c>
      <c r="W438">
        <f>IF($B438="","",IF(OR($S438=TRUE(),$S438="TRUE"),1,0))</f>
        <v/>
      </c>
      <c r="X438">
        <f>IF($U438=1,IFERROR(IF(VALUE($B438)&lt;100000000,VALUE($B438),1000000000),IFERROR(IF(VALUE(MID($B438,2,20))&lt;100000000,VALUE(MID($B438,2,20)),1000000000),1000000000))+ROW()/100000,"")</f>
        <v/>
      </c>
    </row>
    <row r="439">
      <c r="A439">
        <f>IF($B439="","",IFERROR(IF(INDEX('Per Invoice'!$C$2:$C$401,MATCH($B439,'Per Invoice'!$A$2:$A$401,0))=0,"",INDEX('Per Invoice'!$C$2:$C$401,MATCH($B439,'Per Invoice'!$A$2:$A$401,0))),""))</f>
        <v/>
      </c>
      <c r="G439" s="7">
        <f>IF($B439="","",F439*L439/100)</f>
        <v/>
      </c>
      <c r="K439" s="7" t="n"/>
      <c r="L439" s="7" t="n"/>
      <c r="M439" s="7">
        <f>IF($B439="","",L439*T439/100)</f>
        <v/>
      </c>
      <c r="N439" s="7">
        <f>IF($B439="","",L439-M439)</f>
        <v/>
      </c>
      <c r="O439" s="7">
        <f>IF($B439="","",N439-G439)</f>
        <v/>
      </c>
      <c r="R439" s="14" t="n"/>
      <c r="T439">
        <f>IF($B439="","",IF($W439=1,Settings!$C$6,Settings!$C$7)*100)</f>
        <v/>
      </c>
      <c r="U439">
        <f>IF($B439="","",IF(COUNTIF($B$2:$B439,$B439)=1,1,0))</f>
        <v/>
      </c>
      <c r="V439">
        <f>IF($U439=1,SUMPRODUCT(--($X$2:$X$1501&lt;$X439))+1,"")</f>
        <v/>
      </c>
      <c r="W439">
        <f>IF($B439="","",IF(OR($S439=TRUE(),$S439="TRUE"),1,0))</f>
        <v/>
      </c>
      <c r="X439">
        <f>IF($U439=1,IFERROR(IF(VALUE($B439)&lt;100000000,VALUE($B439),1000000000),IFERROR(IF(VALUE(MID($B439,2,20))&lt;100000000,VALUE(MID($B439,2,20)),1000000000),1000000000))+ROW()/100000,"")</f>
        <v/>
      </c>
    </row>
    <row r="440">
      <c r="A440">
        <f>IF($B440="","",IFERROR(IF(INDEX('Per Invoice'!$C$2:$C$401,MATCH($B440,'Per Invoice'!$A$2:$A$401,0))=0,"",INDEX('Per Invoice'!$C$2:$C$401,MATCH($B440,'Per Invoice'!$A$2:$A$401,0))),""))</f>
        <v/>
      </c>
      <c r="G440" s="7">
        <f>IF($B440="","",F440*L440/100)</f>
        <v/>
      </c>
      <c r="K440" s="7" t="n"/>
      <c r="L440" s="7" t="n"/>
      <c r="M440" s="7">
        <f>IF($B440="","",L440*T440/100)</f>
        <v/>
      </c>
      <c r="N440" s="7">
        <f>IF($B440="","",L440-M440)</f>
        <v/>
      </c>
      <c r="O440" s="7">
        <f>IF($B440="","",N440-G440)</f>
        <v/>
      </c>
      <c r="R440" s="14" t="n"/>
      <c r="T440">
        <f>IF($B440="","",IF($W440=1,Settings!$C$6,Settings!$C$7)*100)</f>
        <v/>
      </c>
      <c r="U440">
        <f>IF($B440="","",IF(COUNTIF($B$2:$B440,$B440)=1,1,0))</f>
        <v/>
      </c>
      <c r="V440">
        <f>IF($U440=1,SUMPRODUCT(--($X$2:$X$1501&lt;$X440))+1,"")</f>
        <v/>
      </c>
      <c r="W440">
        <f>IF($B440="","",IF(OR($S440=TRUE(),$S440="TRUE"),1,0))</f>
        <v/>
      </c>
      <c r="X440">
        <f>IF($U440=1,IFERROR(IF(VALUE($B440)&lt;100000000,VALUE($B440),1000000000),IFERROR(IF(VALUE(MID($B440,2,20))&lt;100000000,VALUE(MID($B440,2,20)),1000000000),1000000000))+ROW()/100000,"")</f>
        <v/>
      </c>
    </row>
    <row r="441">
      <c r="A441">
        <f>IF($B441="","",IFERROR(IF(INDEX('Per Invoice'!$C$2:$C$401,MATCH($B441,'Per Invoice'!$A$2:$A$401,0))=0,"",INDEX('Per Invoice'!$C$2:$C$401,MATCH($B441,'Per Invoice'!$A$2:$A$401,0))),""))</f>
        <v/>
      </c>
      <c r="G441" s="7">
        <f>IF($B441="","",F441*L441/100)</f>
        <v/>
      </c>
      <c r="K441" s="7" t="n"/>
      <c r="L441" s="7" t="n"/>
      <c r="M441" s="7">
        <f>IF($B441="","",L441*T441/100)</f>
        <v/>
      </c>
      <c r="N441" s="7">
        <f>IF($B441="","",L441-M441)</f>
        <v/>
      </c>
      <c r="O441" s="7">
        <f>IF($B441="","",N441-G441)</f>
        <v/>
      </c>
      <c r="R441" s="14" t="n"/>
      <c r="T441">
        <f>IF($B441="","",IF($W441=1,Settings!$C$6,Settings!$C$7)*100)</f>
        <v/>
      </c>
      <c r="U441">
        <f>IF($B441="","",IF(COUNTIF($B$2:$B441,$B441)=1,1,0))</f>
        <v/>
      </c>
      <c r="V441">
        <f>IF($U441=1,SUMPRODUCT(--($X$2:$X$1501&lt;$X441))+1,"")</f>
        <v/>
      </c>
      <c r="W441">
        <f>IF($B441="","",IF(OR($S441=TRUE(),$S441="TRUE"),1,0))</f>
        <v/>
      </c>
      <c r="X441">
        <f>IF($U441=1,IFERROR(IF(VALUE($B441)&lt;100000000,VALUE($B441),1000000000),IFERROR(IF(VALUE(MID($B441,2,20))&lt;100000000,VALUE(MID($B441,2,20)),1000000000),1000000000))+ROW()/100000,"")</f>
        <v/>
      </c>
    </row>
    <row r="442">
      <c r="A442">
        <f>IF($B442="","",IFERROR(IF(INDEX('Per Invoice'!$C$2:$C$401,MATCH($B442,'Per Invoice'!$A$2:$A$401,0))=0,"",INDEX('Per Invoice'!$C$2:$C$401,MATCH($B442,'Per Invoice'!$A$2:$A$401,0))),""))</f>
        <v/>
      </c>
      <c r="G442" s="7">
        <f>IF($B442="","",F442*L442/100)</f>
        <v/>
      </c>
      <c r="K442" s="7" t="n"/>
      <c r="L442" s="7" t="n"/>
      <c r="M442" s="7">
        <f>IF($B442="","",L442*T442/100)</f>
        <v/>
      </c>
      <c r="N442" s="7">
        <f>IF($B442="","",L442-M442)</f>
        <v/>
      </c>
      <c r="O442" s="7">
        <f>IF($B442="","",N442-G442)</f>
        <v/>
      </c>
      <c r="R442" s="14" t="n"/>
      <c r="T442">
        <f>IF($B442="","",IF($W442=1,Settings!$C$6,Settings!$C$7)*100)</f>
        <v/>
      </c>
      <c r="U442">
        <f>IF($B442="","",IF(COUNTIF($B$2:$B442,$B442)=1,1,0))</f>
        <v/>
      </c>
      <c r="V442">
        <f>IF($U442=1,SUMPRODUCT(--($X$2:$X$1501&lt;$X442))+1,"")</f>
        <v/>
      </c>
      <c r="W442">
        <f>IF($B442="","",IF(OR($S442=TRUE(),$S442="TRUE"),1,0))</f>
        <v/>
      </c>
      <c r="X442">
        <f>IF($U442=1,IFERROR(IF(VALUE($B442)&lt;100000000,VALUE($B442),1000000000),IFERROR(IF(VALUE(MID($B442,2,20))&lt;100000000,VALUE(MID($B442,2,20)),1000000000),1000000000))+ROW()/100000,"")</f>
        <v/>
      </c>
    </row>
    <row r="443">
      <c r="A443">
        <f>IF($B443="","",IFERROR(IF(INDEX('Per Invoice'!$C$2:$C$401,MATCH($B443,'Per Invoice'!$A$2:$A$401,0))=0,"",INDEX('Per Invoice'!$C$2:$C$401,MATCH($B443,'Per Invoice'!$A$2:$A$401,0))),""))</f>
        <v/>
      </c>
      <c r="G443" s="7">
        <f>IF($B443="","",F443*L443/100)</f>
        <v/>
      </c>
      <c r="K443" s="7" t="n"/>
      <c r="L443" s="7" t="n"/>
      <c r="M443" s="7">
        <f>IF($B443="","",L443*T443/100)</f>
        <v/>
      </c>
      <c r="N443" s="7">
        <f>IF($B443="","",L443-M443)</f>
        <v/>
      </c>
      <c r="O443" s="7">
        <f>IF($B443="","",N443-G443)</f>
        <v/>
      </c>
      <c r="R443" s="14" t="n"/>
      <c r="T443">
        <f>IF($B443="","",IF($W443=1,Settings!$C$6,Settings!$C$7)*100)</f>
        <v/>
      </c>
      <c r="U443">
        <f>IF($B443="","",IF(COUNTIF($B$2:$B443,$B443)=1,1,0))</f>
        <v/>
      </c>
      <c r="V443">
        <f>IF($U443=1,SUMPRODUCT(--($X$2:$X$1501&lt;$X443))+1,"")</f>
        <v/>
      </c>
      <c r="W443">
        <f>IF($B443="","",IF(OR($S443=TRUE(),$S443="TRUE"),1,0))</f>
        <v/>
      </c>
      <c r="X443">
        <f>IF($U443=1,IFERROR(IF(VALUE($B443)&lt;100000000,VALUE($B443),1000000000),IFERROR(IF(VALUE(MID($B443,2,20))&lt;100000000,VALUE(MID($B443,2,20)),1000000000),1000000000))+ROW()/100000,"")</f>
        <v/>
      </c>
    </row>
    <row r="444">
      <c r="A444">
        <f>IF($B444="","",IFERROR(IF(INDEX('Per Invoice'!$C$2:$C$401,MATCH($B444,'Per Invoice'!$A$2:$A$401,0))=0,"",INDEX('Per Invoice'!$C$2:$C$401,MATCH($B444,'Per Invoice'!$A$2:$A$401,0))),""))</f>
        <v/>
      </c>
      <c r="G444" s="7">
        <f>IF($B444="","",F444*L444/100)</f>
        <v/>
      </c>
      <c r="K444" s="7" t="n"/>
      <c r="L444" s="7" t="n"/>
      <c r="M444" s="7">
        <f>IF($B444="","",L444*T444/100)</f>
        <v/>
      </c>
      <c r="N444" s="7">
        <f>IF($B444="","",L444-M444)</f>
        <v/>
      </c>
      <c r="O444" s="7">
        <f>IF($B444="","",N444-G444)</f>
        <v/>
      </c>
      <c r="R444" s="14" t="n"/>
      <c r="T444">
        <f>IF($B444="","",IF($W444=1,Settings!$C$6,Settings!$C$7)*100)</f>
        <v/>
      </c>
      <c r="U444">
        <f>IF($B444="","",IF(COUNTIF($B$2:$B444,$B444)=1,1,0))</f>
        <v/>
      </c>
      <c r="V444">
        <f>IF($U444=1,SUMPRODUCT(--($X$2:$X$1501&lt;$X444))+1,"")</f>
        <v/>
      </c>
      <c r="W444">
        <f>IF($B444="","",IF(OR($S444=TRUE(),$S444="TRUE"),1,0))</f>
        <v/>
      </c>
      <c r="X444">
        <f>IF($U444=1,IFERROR(IF(VALUE($B444)&lt;100000000,VALUE($B444),1000000000),IFERROR(IF(VALUE(MID($B444,2,20))&lt;100000000,VALUE(MID($B444,2,20)),1000000000),1000000000))+ROW()/100000,"")</f>
        <v/>
      </c>
    </row>
    <row r="445">
      <c r="A445">
        <f>IF($B445="","",IFERROR(IF(INDEX('Per Invoice'!$C$2:$C$401,MATCH($B445,'Per Invoice'!$A$2:$A$401,0))=0,"",INDEX('Per Invoice'!$C$2:$C$401,MATCH($B445,'Per Invoice'!$A$2:$A$401,0))),""))</f>
        <v/>
      </c>
      <c r="G445" s="7">
        <f>IF($B445="","",F445*L445/100)</f>
        <v/>
      </c>
      <c r="K445" s="7" t="n"/>
      <c r="L445" s="7" t="n"/>
      <c r="M445" s="7">
        <f>IF($B445="","",L445*T445/100)</f>
        <v/>
      </c>
      <c r="N445" s="7">
        <f>IF($B445="","",L445-M445)</f>
        <v/>
      </c>
      <c r="O445" s="7">
        <f>IF($B445="","",N445-G445)</f>
        <v/>
      </c>
      <c r="R445" s="14" t="n"/>
      <c r="T445">
        <f>IF($B445="","",IF($W445=1,Settings!$C$6,Settings!$C$7)*100)</f>
        <v/>
      </c>
      <c r="U445">
        <f>IF($B445="","",IF(COUNTIF($B$2:$B445,$B445)=1,1,0))</f>
        <v/>
      </c>
      <c r="V445">
        <f>IF($U445=1,SUMPRODUCT(--($X$2:$X$1501&lt;$X445))+1,"")</f>
        <v/>
      </c>
      <c r="W445">
        <f>IF($B445="","",IF(OR($S445=TRUE(),$S445="TRUE"),1,0))</f>
        <v/>
      </c>
      <c r="X445">
        <f>IF($U445=1,IFERROR(IF(VALUE($B445)&lt;100000000,VALUE($B445),1000000000),IFERROR(IF(VALUE(MID($B445,2,20))&lt;100000000,VALUE(MID($B445,2,20)),1000000000),1000000000))+ROW()/100000,"")</f>
        <v/>
      </c>
    </row>
    <row r="446">
      <c r="A446">
        <f>IF($B446="","",IFERROR(IF(INDEX('Per Invoice'!$C$2:$C$401,MATCH($B446,'Per Invoice'!$A$2:$A$401,0))=0,"",INDEX('Per Invoice'!$C$2:$C$401,MATCH($B446,'Per Invoice'!$A$2:$A$401,0))),""))</f>
        <v/>
      </c>
      <c r="G446" s="7">
        <f>IF($B446="","",F446*L446/100)</f>
        <v/>
      </c>
      <c r="K446" s="7" t="n"/>
      <c r="L446" s="7" t="n"/>
      <c r="M446" s="7">
        <f>IF($B446="","",L446*T446/100)</f>
        <v/>
      </c>
      <c r="N446" s="7">
        <f>IF($B446="","",L446-M446)</f>
        <v/>
      </c>
      <c r="O446" s="7">
        <f>IF($B446="","",N446-G446)</f>
        <v/>
      </c>
      <c r="R446" s="14" t="n"/>
      <c r="T446">
        <f>IF($B446="","",IF($W446=1,Settings!$C$6,Settings!$C$7)*100)</f>
        <v/>
      </c>
      <c r="U446">
        <f>IF($B446="","",IF(COUNTIF($B$2:$B446,$B446)=1,1,0))</f>
        <v/>
      </c>
      <c r="V446">
        <f>IF($U446=1,SUMPRODUCT(--($X$2:$X$1501&lt;$X446))+1,"")</f>
        <v/>
      </c>
      <c r="W446">
        <f>IF($B446="","",IF(OR($S446=TRUE(),$S446="TRUE"),1,0))</f>
        <v/>
      </c>
      <c r="X446">
        <f>IF($U446=1,IFERROR(IF(VALUE($B446)&lt;100000000,VALUE($B446),1000000000),IFERROR(IF(VALUE(MID($B446,2,20))&lt;100000000,VALUE(MID($B446,2,20)),1000000000),1000000000))+ROW()/100000,"")</f>
        <v/>
      </c>
    </row>
    <row r="447">
      <c r="A447">
        <f>IF($B447="","",IFERROR(IF(INDEX('Per Invoice'!$C$2:$C$401,MATCH($B447,'Per Invoice'!$A$2:$A$401,0))=0,"",INDEX('Per Invoice'!$C$2:$C$401,MATCH($B447,'Per Invoice'!$A$2:$A$401,0))),""))</f>
        <v/>
      </c>
      <c r="G447" s="7">
        <f>IF($B447="","",F447*L447/100)</f>
        <v/>
      </c>
      <c r="K447" s="7" t="n"/>
      <c r="L447" s="7" t="n"/>
      <c r="M447" s="7">
        <f>IF($B447="","",L447*T447/100)</f>
        <v/>
      </c>
      <c r="N447" s="7">
        <f>IF($B447="","",L447-M447)</f>
        <v/>
      </c>
      <c r="O447" s="7">
        <f>IF($B447="","",N447-G447)</f>
        <v/>
      </c>
      <c r="R447" s="14" t="n"/>
      <c r="T447">
        <f>IF($B447="","",IF($W447=1,Settings!$C$6,Settings!$C$7)*100)</f>
        <v/>
      </c>
      <c r="U447">
        <f>IF($B447="","",IF(COUNTIF($B$2:$B447,$B447)=1,1,0))</f>
        <v/>
      </c>
      <c r="V447">
        <f>IF($U447=1,SUMPRODUCT(--($X$2:$X$1501&lt;$X447))+1,"")</f>
        <v/>
      </c>
      <c r="W447">
        <f>IF($B447="","",IF(OR($S447=TRUE(),$S447="TRUE"),1,0))</f>
        <v/>
      </c>
      <c r="X447">
        <f>IF($U447=1,IFERROR(IF(VALUE($B447)&lt;100000000,VALUE($B447),1000000000),IFERROR(IF(VALUE(MID($B447,2,20))&lt;100000000,VALUE(MID($B447,2,20)),1000000000),1000000000))+ROW()/100000,"")</f>
        <v/>
      </c>
    </row>
    <row r="448">
      <c r="A448">
        <f>IF($B448="","",IFERROR(IF(INDEX('Per Invoice'!$C$2:$C$401,MATCH($B448,'Per Invoice'!$A$2:$A$401,0))=0,"",INDEX('Per Invoice'!$C$2:$C$401,MATCH($B448,'Per Invoice'!$A$2:$A$401,0))),""))</f>
        <v/>
      </c>
      <c r="G448" s="7">
        <f>IF($B448="","",F448*L448/100)</f>
        <v/>
      </c>
      <c r="K448" s="7" t="n"/>
      <c r="L448" s="7" t="n"/>
      <c r="M448" s="7">
        <f>IF($B448="","",L448*T448/100)</f>
        <v/>
      </c>
      <c r="N448" s="7">
        <f>IF($B448="","",L448-M448)</f>
        <v/>
      </c>
      <c r="O448" s="7">
        <f>IF($B448="","",N448-G448)</f>
        <v/>
      </c>
      <c r="R448" s="14" t="n"/>
      <c r="T448">
        <f>IF($B448="","",IF($W448=1,Settings!$C$6,Settings!$C$7)*100)</f>
        <v/>
      </c>
      <c r="U448">
        <f>IF($B448="","",IF(COUNTIF($B$2:$B448,$B448)=1,1,0))</f>
        <v/>
      </c>
      <c r="V448">
        <f>IF($U448=1,SUMPRODUCT(--($X$2:$X$1501&lt;$X448))+1,"")</f>
        <v/>
      </c>
      <c r="W448">
        <f>IF($B448="","",IF(OR($S448=TRUE(),$S448="TRUE"),1,0))</f>
        <v/>
      </c>
      <c r="X448">
        <f>IF($U448=1,IFERROR(IF(VALUE($B448)&lt;100000000,VALUE($B448),1000000000),IFERROR(IF(VALUE(MID($B448,2,20))&lt;100000000,VALUE(MID($B448,2,20)),1000000000),1000000000))+ROW()/100000,"")</f>
        <v/>
      </c>
    </row>
    <row r="449">
      <c r="A449">
        <f>IF($B449="","",IFERROR(IF(INDEX('Per Invoice'!$C$2:$C$401,MATCH($B449,'Per Invoice'!$A$2:$A$401,0))=0,"",INDEX('Per Invoice'!$C$2:$C$401,MATCH($B449,'Per Invoice'!$A$2:$A$401,0))),""))</f>
        <v/>
      </c>
      <c r="G449" s="7">
        <f>IF($B449="","",F449*L449/100)</f>
        <v/>
      </c>
      <c r="K449" s="7" t="n"/>
      <c r="L449" s="7" t="n"/>
      <c r="M449" s="7">
        <f>IF($B449="","",L449*T449/100)</f>
        <v/>
      </c>
      <c r="N449" s="7">
        <f>IF($B449="","",L449-M449)</f>
        <v/>
      </c>
      <c r="O449" s="7">
        <f>IF($B449="","",N449-G449)</f>
        <v/>
      </c>
      <c r="R449" s="14" t="n"/>
      <c r="T449">
        <f>IF($B449="","",IF($W449=1,Settings!$C$6,Settings!$C$7)*100)</f>
        <v/>
      </c>
      <c r="U449">
        <f>IF($B449="","",IF(COUNTIF($B$2:$B449,$B449)=1,1,0))</f>
        <v/>
      </c>
      <c r="V449">
        <f>IF($U449=1,SUMPRODUCT(--($X$2:$X$1501&lt;$X449))+1,"")</f>
        <v/>
      </c>
      <c r="W449">
        <f>IF($B449="","",IF(OR($S449=TRUE(),$S449="TRUE"),1,0))</f>
        <v/>
      </c>
      <c r="X449">
        <f>IF($U449=1,IFERROR(IF(VALUE($B449)&lt;100000000,VALUE($B449),1000000000),IFERROR(IF(VALUE(MID($B449,2,20))&lt;100000000,VALUE(MID($B449,2,20)),1000000000),1000000000))+ROW()/100000,"")</f>
        <v/>
      </c>
    </row>
    <row r="450">
      <c r="A450">
        <f>IF($B450="","",IFERROR(IF(INDEX('Per Invoice'!$C$2:$C$401,MATCH($B450,'Per Invoice'!$A$2:$A$401,0))=0,"",INDEX('Per Invoice'!$C$2:$C$401,MATCH($B450,'Per Invoice'!$A$2:$A$401,0))),""))</f>
        <v/>
      </c>
      <c r="G450" s="7">
        <f>IF($B450="","",F450*L450/100)</f>
        <v/>
      </c>
      <c r="K450" s="7" t="n"/>
      <c r="L450" s="7" t="n"/>
      <c r="M450" s="7">
        <f>IF($B450="","",L450*T450/100)</f>
        <v/>
      </c>
      <c r="N450" s="7">
        <f>IF($B450="","",L450-M450)</f>
        <v/>
      </c>
      <c r="O450" s="7">
        <f>IF($B450="","",N450-G450)</f>
        <v/>
      </c>
      <c r="R450" s="14" t="n"/>
      <c r="T450">
        <f>IF($B450="","",IF($W450=1,Settings!$C$6,Settings!$C$7)*100)</f>
        <v/>
      </c>
      <c r="U450">
        <f>IF($B450="","",IF(COUNTIF($B$2:$B450,$B450)=1,1,0))</f>
        <v/>
      </c>
      <c r="V450">
        <f>IF($U450=1,SUMPRODUCT(--($X$2:$X$1501&lt;$X450))+1,"")</f>
        <v/>
      </c>
      <c r="W450">
        <f>IF($B450="","",IF(OR($S450=TRUE(),$S450="TRUE"),1,0))</f>
        <v/>
      </c>
      <c r="X450">
        <f>IF($U450=1,IFERROR(IF(VALUE($B450)&lt;100000000,VALUE($B450),1000000000),IFERROR(IF(VALUE(MID($B450,2,20))&lt;100000000,VALUE(MID($B450,2,20)),1000000000),1000000000))+ROW()/100000,"")</f>
        <v/>
      </c>
    </row>
    <row r="451">
      <c r="A451">
        <f>IF($B451="","",IFERROR(IF(INDEX('Per Invoice'!$C$2:$C$401,MATCH($B451,'Per Invoice'!$A$2:$A$401,0))=0,"",INDEX('Per Invoice'!$C$2:$C$401,MATCH($B451,'Per Invoice'!$A$2:$A$401,0))),""))</f>
        <v/>
      </c>
      <c r="G451" s="7">
        <f>IF($B451="","",F451*L451/100)</f>
        <v/>
      </c>
      <c r="K451" s="7" t="n"/>
      <c r="L451" s="7" t="n"/>
      <c r="M451" s="7">
        <f>IF($B451="","",L451*T451/100)</f>
        <v/>
      </c>
      <c r="N451" s="7">
        <f>IF($B451="","",L451-M451)</f>
        <v/>
      </c>
      <c r="O451" s="7">
        <f>IF($B451="","",N451-G451)</f>
        <v/>
      </c>
      <c r="R451" s="14" t="n"/>
      <c r="T451">
        <f>IF($B451="","",IF($W451=1,Settings!$C$6,Settings!$C$7)*100)</f>
        <v/>
      </c>
      <c r="U451">
        <f>IF($B451="","",IF(COUNTIF($B$2:$B451,$B451)=1,1,0))</f>
        <v/>
      </c>
      <c r="V451">
        <f>IF($U451=1,SUMPRODUCT(--($X$2:$X$1501&lt;$X451))+1,"")</f>
        <v/>
      </c>
      <c r="W451">
        <f>IF($B451="","",IF(OR($S451=TRUE(),$S451="TRUE"),1,0))</f>
        <v/>
      </c>
      <c r="X451">
        <f>IF($U451=1,IFERROR(IF(VALUE($B451)&lt;100000000,VALUE($B451),1000000000),IFERROR(IF(VALUE(MID($B451,2,20))&lt;100000000,VALUE(MID($B451,2,20)),1000000000),1000000000))+ROW()/100000,"")</f>
        <v/>
      </c>
    </row>
    <row r="452">
      <c r="A452">
        <f>IF($B452="","",IFERROR(IF(INDEX('Per Invoice'!$C$2:$C$401,MATCH($B452,'Per Invoice'!$A$2:$A$401,0))=0,"",INDEX('Per Invoice'!$C$2:$C$401,MATCH($B452,'Per Invoice'!$A$2:$A$401,0))),""))</f>
        <v/>
      </c>
      <c r="G452" s="7">
        <f>IF($B452="","",F452*L452/100)</f>
        <v/>
      </c>
      <c r="K452" s="7" t="n"/>
      <c r="L452" s="7" t="n"/>
      <c r="M452" s="7">
        <f>IF($B452="","",L452*T452/100)</f>
        <v/>
      </c>
      <c r="N452" s="7">
        <f>IF($B452="","",L452-M452)</f>
        <v/>
      </c>
      <c r="O452" s="7">
        <f>IF($B452="","",N452-G452)</f>
        <v/>
      </c>
      <c r="R452" s="14" t="n"/>
      <c r="T452">
        <f>IF($B452="","",IF($W452=1,Settings!$C$6,Settings!$C$7)*100)</f>
        <v/>
      </c>
      <c r="U452">
        <f>IF($B452="","",IF(COUNTIF($B$2:$B452,$B452)=1,1,0))</f>
        <v/>
      </c>
      <c r="V452">
        <f>IF($U452=1,SUMPRODUCT(--($X$2:$X$1501&lt;$X452))+1,"")</f>
        <v/>
      </c>
      <c r="W452">
        <f>IF($B452="","",IF(OR($S452=TRUE(),$S452="TRUE"),1,0))</f>
        <v/>
      </c>
      <c r="X452">
        <f>IF($U452=1,IFERROR(IF(VALUE($B452)&lt;100000000,VALUE($B452),1000000000),IFERROR(IF(VALUE(MID($B452,2,20))&lt;100000000,VALUE(MID($B452,2,20)),1000000000),1000000000))+ROW()/100000,"")</f>
        <v/>
      </c>
    </row>
    <row r="453">
      <c r="A453">
        <f>IF($B453="","",IFERROR(IF(INDEX('Per Invoice'!$C$2:$C$401,MATCH($B453,'Per Invoice'!$A$2:$A$401,0))=0,"",INDEX('Per Invoice'!$C$2:$C$401,MATCH($B453,'Per Invoice'!$A$2:$A$401,0))),""))</f>
        <v/>
      </c>
      <c r="G453" s="7">
        <f>IF($B453="","",F453*L453/100)</f>
        <v/>
      </c>
      <c r="K453" s="7" t="n"/>
      <c r="L453" s="7" t="n"/>
      <c r="M453" s="7">
        <f>IF($B453="","",L453*T453/100)</f>
        <v/>
      </c>
      <c r="N453" s="7">
        <f>IF($B453="","",L453-M453)</f>
        <v/>
      </c>
      <c r="O453" s="7">
        <f>IF($B453="","",N453-G453)</f>
        <v/>
      </c>
      <c r="R453" s="14" t="n"/>
      <c r="T453">
        <f>IF($B453="","",IF($W453=1,Settings!$C$6,Settings!$C$7)*100)</f>
        <v/>
      </c>
      <c r="U453">
        <f>IF($B453="","",IF(COUNTIF($B$2:$B453,$B453)=1,1,0))</f>
        <v/>
      </c>
      <c r="V453">
        <f>IF($U453=1,SUMPRODUCT(--($X$2:$X$1501&lt;$X453))+1,"")</f>
        <v/>
      </c>
      <c r="W453">
        <f>IF($B453="","",IF(OR($S453=TRUE(),$S453="TRUE"),1,0))</f>
        <v/>
      </c>
      <c r="X453">
        <f>IF($U453=1,IFERROR(IF(VALUE($B453)&lt;100000000,VALUE($B453),1000000000),IFERROR(IF(VALUE(MID($B453,2,20))&lt;100000000,VALUE(MID($B453,2,20)),1000000000),1000000000))+ROW()/100000,"")</f>
        <v/>
      </c>
    </row>
    <row r="454">
      <c r="A454">
        <f>IF($B454="","",IFERROR(IF(INDEX('Per Invoice'!$C$2:$C$401,MATCH($B454,'Per Invoice'!$A$2:$A$401,0))=0,"",INDEX('Per Invoice'!$C$2:$C$401,MATCH($B454,'Per Invoice'!$A$2:$A$401,0))),""))</f>
        <v/>
      </c>
      <c r="G454" s="7">
        <f>IF($B454="","",F454*L454/100)</f>
        <v/>
      </c>
      <c r="K454" s="7" t="n"/>
      <c r="L454" s="7" t="n"/>
      <c r="M454" s="7">
        <f>IF($B454="","",L454*T454/100)</f>
        <v/>
      </c>
      <c r="N454" s="7">
        <f>IF($B454="","",L454-M454)</f>
        <v/>
      </c>
      <c r="O454" s="7">
        <f>IF($B454="","",N454-G454)</f>
        <v/>
      </c>
      <c r="R454" s="14" t="n"/>
      <c r="T454">
        <f>IF($B454="","",IF($W454=1,Settings!$C$6,Settings!$C$7)*100)</f>
        <v/>
      </c>
      <c r="U454">
        <f>IF($B454="","",IF(COUNTIF($B$2:$B454,$B454)=1,1,0))</f>
        <v/>
      </c>
      <c r="V454">
        <f>IF($U454=1,SUMPRODUCT(--($X$2:$X$1501&lt;$X454))+1,"")</f>
        <v/>
      </c>
      <c r="W454">
        <f>IF($B454="","",IF(OR($S454=TRUE(),$S454="TRUE"),1,0))</f>
        <v/>
      </c>
      <c r="X454">
        <f>IF($U454=1,IFERROR(IF(VALUE($B454)&lt;100000000,VALUE($B454),1000000000),IFERROR(IF(VALUE(MID($B454,2,20))&lt;100000000,VALUE(MID($B454,2,20)),1000000000),1000000000))+ROW()/100000,"")</f>
        <v/>
      </c>
    </row>
    <row r="455">
      <c r="A455">
        <f>IF($B455="","",IFERROR(IF(INDEX('Per Invoice'!$C$2:$C$401,MATCH($B455,'Per Invoice'!$A$2:$A$401,0))=0,"",INDEX('Per Invoice'!$C$2:$C$401,MATCH($B455,'Per Invoice'!$A$2:$A$401,0))),""))</f>
        <v/>
      </c>
      <c r="G455" s="7">
        <f>IF($B455="","",F455*L455/100)</f>
        <v/>
      </c>
      <c r="K455" s="7" t="n"/>
      <c r="L455" s="7" t="n"/>
      <c r="M455" s="7">
        <f>IF($B455="","",L455*T455/100)</f>
        <v/>
      </c>
      <c r="N455" s="7">
        <f>IF($B455="","",L455-M455)</f>
        <v/>
      </c>
      <c r="O455" s="7">
        <f>IF($B455="","",N455-G455)</f>
        <v/>
      </c>
      <c r="R455" s="14" t="n"/>
      <c r="T455">
        <f>IF($B455="","",IF($W455=1,Settings!$C$6,Settings!$C$7)*100)</f>
        <v/>
      </c>
      <c r="U455">
        <f>IF($B455="","",IF(COUNTIF($B$2:$B455,$B455)=1,1,0))</f>
        <v/>
      </c>
      <c r="V455">
        <f>IF($U455=1,SUMPRODUCT(--($X$2:$X$1501&lt;$X455))+1,"")</f>
        <v/>
      </c>
      <c r="W455">
        <f>IF($B455="","",IF(OR($S455=TRUE(),$S455="TRUE"),1,0))</f>
        <v/>
      </c>
      <c r="X455">
        <f>IF($U455=1,IFERROR(IF(VALUE($B455)&lt;100000000,VALUE($B455),1000000000),IFERROR(IF(VALUE(MID($B455,2,20))&lt;100000000,VALUE(MID($B455,2,20)),1000000000),1000000000))+ROW()/100000,"")</f>
        <v/>
      </c>
    </row>
    <row r="456">
      <c r="A456">
        <f>IF($B456="","",IFERROR(IF(INDEX('Per Invoice'!$C$2:$C$401,MATCH($B456,'Per Invoice'!$A$2:$A$401,0))=0,"",INDEX('Per Invoice'!$C$2:$C$401,MATCH($B456,'Per Invoice'!$A$2:$A$401,0))),""))</f>
        <v/>
      </c>
      <c r="G456" s="7">
        <f>IF($B456="","",F456*L456/100)</f>
        <v/>
      </c>
      <c r="K456" s="7" t="n"/>
      <c r="L456" s="7" t="n"/>
      <c r="M456" s="7">
        <f>IF($B456="","",L456*T456/100)</f>
        <v/>
      </c>
      <c r="N456" s="7">
        <f>IF($B456="","",L456-M456)</f>
        <v/>
      </c>
      <c r="O456" s="7">
        <f>IF($B456="","",N456-G456)</f>
        <v/>
      </c>
      <c r="R456" s="14" t="n"/>
      <c r="T456">
        <f>IF($B456="","",IF($W456=1,Settings!$C$6,Settings!$C$7)*100)</f>
        <v/>
      </c>
      <c r="U456">
        <f>IF($B456="","",IF(COUNTIF($B$2:$B456,$B456)=1,1,0))</f>
        <v/>
      </c>
      <c r="V456">
        <f>IF($U456=1,SUMPRODUCT(--($X$2:$X$1501&lt;$X456))+1,"")</f>
        <v/>
      </c>
      <c r="W456">
        <f>IF($B456="","",IF(OR($S456=TRUE(),$S456="TRUE"),1,0))</f>
        <v/>
      </c>
      <c r="X456">
        <f>IF($U456=1,IFERROR(IF(VALUE($B456)&lt;100000000,VALUE($B456),1000000000),IFERROR(IF(VALUE(MID($B456,2,20))&lt;100000000,VALUE(MID($B456,2,20)),1000000000),1000000000))+ROW()/100000,"")</f>
        <v/>
      </c>
    </row>
    <row r="457">
      <c r="A457">
        <f>IF($B457="","",IFERROR(IF(INDEX('Per Invoice'!$C$2:$C$401,MATCH($B457,'Per Invoice'!$A$2:$A$401,0))=0,"",INDEX('Per Invoice'!$C$2:$C$401,MATCH($B457,'Per Invoice'!$A$2:$A$401,0))),""))</f>
        <v/>
      </c>
      <c r="G457" s="7">
        <f>IF($B457="","",F457*L457/100)</f>
        <v/>
      </c>
      <c r="K457" s="7" t="n"/>
      <c r="L457" s="7" t="n"/>
      <c r="M457" s="7">
        <f>IF($B457="","",L457*T457/100)</f>
        <v/>
      </c>
      <c r="N457" s="7">
        <f>IF($B457="","",L457-M457)</f>
        <v/>
      </c>
      <c r="O457" s="7">
        <f>IF($B457="","",N457-G457)</f>
        <v/>
      </c>
      <c r="R457" s="14" t="n"/>
      <c r="T457">
        <f>IF($B457="","",IF($W457=1,Settings!$C$6,Settings!$C$7)*100)</f>
        <v/>
      </c>
      <c r="U457">
        <f>IF($B457="","",IF(COUNTIF($B$2:$B457,$B457)=1,1,0))</f>
        <v/>
      </c>
      <c r="V457">
        <f>IF($U457=1,SUMPRODUCT(--($X$2:$X$1501&lt;$X457))+1,"")</f>
        <v/>
      </c>
      <c r="W457">
        <f>IF($B457="","",IF(OR($S457=TRUE(),$S457="TRUE"),1,0))</f>
        <v/>
      </c>
      <c r="X457">
        <f>IF($U457=1,IFERROR(IF(VALUE($B457)&lt;100000000,VALUE($B457),1000000000),IFERROR(IF(VALUE(MID($B457,2,20))&lt;100000000,VALUE(MID($B457,2,20)),1000000000),1000000000))+ROW()/100000,"")</f>
        <v/>
      </c>
    </row>
    <row r="458">
      <c r="A458">
        <f>IF($B458="","",IFERROR(IF(INDEX('Per Invoice'!$C$2:$C$401,MATCH($B458,'Per Invoice'!$A$2:$A$401,0))=0,"",INDEX('Per Invoice'!$C$2:$C$401,MATCH($B458,'Per Invoice'!$A$2:$A$401,0))),""))</f>
        <v/>
      </c>
      <c r="G458" s="7">
        <f>IF($B458="","",F458*L458/100)</f>
        <v/>
      </c>
      <c r="K458" s="7" t="n"/>
      <c r="L458" s="7" t="n"/>
      <c r="M458" s="7">
        <f>IF($B458="","",L458*T458/100)</f>
        <v/>
      </c>
      <c r="N458" s="7">
        <f>IF($B458="","",L458-M458)</f>
        <v/>
      </c>
      <c r="O458" s="7">
        <f>IF($B458="","",N458-G458)</f>
        <v/>
      </c>
      <c r="R458" s="14" t="n"/>
      <c r="T458">
        <f>IF($B458="","",IF($W458=1,Settings!$C$6,Settings!$C$7)*100)</f>
        <v/>
      </c>
      <c r="U458">
        <f>IF($B458="","",IF(COUNTIF($B$2:$B458,$B458)=1,1,0))</f>
        <v/>
      </c>
      <c r="V458">
        <f>IF($U458=1,SUMPRODUCT(--($X$2:$X$1501&lt;$X458))+1,"")</f>
        <v/>
      </c>
      <c r="W458">
        <f>IF($B458="","",IF(OR($S458=TRUE(),$S458="TRUE"),1,0))</f>
        <v/>
      </c>
      <c r="X458">
        <f>IF($U458=1,IFERROR(IF(VALUE($B458)&lt;100000000,VALUE($B458),1000000000),IFERROR(IF(VALUE(MID($B458,2,20))&lt;100000000,VALUE(MID($B458,2,20)),1000000000),1000000000))+ROW()/100000,"")</f>
        <v/>
      </c>
    </row>
    <row r="459">
      <c r="A459">
        <f>IF($B459="","",IFERROR(IF(INDEX('Per Invoice'!$C$2:$C$401,MATCH($B459,'Per Invoice'!$A$2:$A$401,0))=0,"",INDEX('Per Invoice'!$C$2:$C$401,MATCH($B459,'Per Invoice'!$A$2:$A$401,0))),""))</f>
        <v/>
      </c>
      <c r="G459" s="7">
        <f>IF($B459="","",F459*L459/100)</f>
        <v/>
      </c>
      <c r="K459" s="7" t="n"/>
      <c r="L459" s="7" t="n"/>
      <c r="M459" s="7">
        <f>IF($B459="","",L459*T459/100)</f>
        <v/>
      </c>
      <c r="N459" s="7">
        <f>IF($B459="","",L459-M459)</f>
        <v/>
      </c>
      <c r="O459" s="7">
        <f>IF($B459="","",N459-G459)</f>
        <v/>
      </c>
      <c r="R459" s="14" t="n"/>
      <c r="T459">
        <f>IF($B459="","",IF($W459=1,Settings!$C$6,Settings!$C$7)*100)</f>
        <v/>
      </c>
      <c r="U459">
        <f>IF($B459="","",IF(COUNTIF($B$2:$B459,$B459)=1,1,0))</f>
        <v/>
      </c>
      <c r="V459">
        <f>IF($U459=1,SUMPRODUCT(--($X$2:$X$1501&lt;$X459))+1,"")</f>
        <v/>
      </c>
      <c r="W459">
        <f>IF($B459="","",IF(OR($S459=TRUE(),$S459="TRUE"),1,0))</f>
        <v/>
      </c>
      <c r="X459">
        <f>IF($U459=1,IFERROR(IF(VALUE($B459)&lt;100000000,VALUE($B459),1000000000),IFERROR(IF(VALUE(MID($B459,2,20))&lt;100000000,VALUE(MID($B459,2,20)),1000000000),1000000000))+ROW()/100000,"")</f>
        <v/>
      </c>
    </row>
    <row r="460">
      <c r="A460">
        <f>IF($B460="","",IFERROR(IF(INDEX('Per Invoice'!$C$2:$C$401,MATCH($B460,'Per Invoice'!$A$2:$A$401,0))=0,"",INDEX('Per Invoice'!$C$2:$C$401,MATCH($B460,'Per Invoice'!$A$2:$A$401,0))),""))</f>
        <v/>
      </c>
      <c r="G460" s="7">
        <f>IF($B460="","",F460*L460/100)</f>
        <v/>
      </c>
      <c r="K460" s="7" t="n"/>
      <c r="L460" s="7" t="n"/>
      <c r="M460" s="7">
        <f>IF($B460="","",L460*T460/100)</f>
        <v/>
      </c>
      <c r="N460" s="7">
        <f>IF($B460="","",L460-M460)</f>
        <v/>
      </c>
      <c r="O460" s="7">
        <f>IF($B460="","",N460-G460)</f>
        <v/>
      </c>
      <c r="R460" s="14" t="n"/>
      <c r="T460">
        <f>IF($B460="","",IF($W460=1,Settings!$C$6,Settings!$C$7)*100)</f>
        <v/>
      </c>
      <c r="U460">
        <f>IF($B460="","",IF(COUNTIF($B$2:$B460,$B460)=1,1,0))</f>
        <v/>
      </c>
      <c r="V460">
        <f>IF($U460=1,SUMPRODUCT(--($X$2:$X$1501&lt;$X460))+1,"")</f>
        <v/>
      </c>
      <c r="W460">
        <f>IF($B460="","",IF(OR($S460=TRUE(),$S460="TRUE"),1,0))</f>
        <v/>
      </c>
      <c r="X460">
        <f>IF($U460=1,IFERROR(IF(VALUE($B460)&lt;100000000,VALUE($B460),1000000000),IFERROR(IF(VALUE(MID($B460,2,20))&lt;100000000,VALUE(MID($B460,2,20)),1000000000),1000000000))+ROW()/100000,"")</f>
        <v/>
      </c>
    </row>
    <row r="461">
      <c r="A461">
        <f>IF($B461="","",IFERROR(IF(INDEX('Per Invoice'!$C$2:$C$401,MATCH($B461,'Per Invoice'!$A$2:$A$401,0))=0,"",INDEX('Per Invoice'!$C$2:$C$401,MATCH($B461,'Per Invoice'!$A$2:$A$401,0))),""))</f>
        <v/>
      </c>
      <c r="G461" s="7">
        <f>IF($B461="","",F461*L461/100)</f>
        <v/>
      </c>
      <c r="K461" s="7" t="n"/>
      <c r="L461" s="7" t="n"/>
      <c r="M461" s="7">
        <f>IF($B461="","",L461*T461/100)</f>
        <v/>
      </c>
      <c r="N461" s="7">
        <f>IF($B461="","",L461-M461)</f>
        <v/>
      </c>
      <c r="O461" s="7">
        <f>IF($B461="","",N461-G461)</f>
        <v/>
      </c>
      <c r="R461" s="14" t="n"/>
      <c r="T461">
        <f>IF($B461="","",IF($W461=1,Settings!$C$6,Settings!$C$7)*100)</f>
        <v/>
      </c>
      <c r="U461">
        <f>IF($B461="","",IF(COUNTIF($B$2:$B461,$B461)=1,1,0))</f>
        <v/>
      </c>
      <c r="V461">
        <f>IF($U461=1,SUMPRODUCT(--($X$2:$X$1501&lt;$X461))+1,"")</f>
        <v/>
      </c>
      <c r="W461">
        <f>IF($B461="","",IF(OR($S461=TRUE(),$S461="TRUE"),1,0))</f>
        <v/>
      </c>
      <c r="X461">
        <f>IF($U461=1,IFERROR(IF(VALUE($B461)&lt;100000000,VALUE($B461),1000000000),IFERROR(IF(VALUE(MID($B461,2,20))&lt;100000000,VALUE(MID($B461,2,20)),1000000000),1000000000))+ROW()/100000,"")</f>
        <v/>
      </c>
    </row>
    <row r="462">
      <c r="A462">
        <f>IF($B462="","",IFERROR(IF(INDEX('Per Invoice'!$C$2:$C$401,MATCH($B462,'Per Invoice'!$A$2:$A$401,0))=0,"",INDEX('Per Invoice'!$C$2:$C$401,MATCH($B462,'Per Invoice'!$A$2:$A$401,0))),""))</f>
        <v/>
      </c>
      <c r="G462" s="7">
        <f>IF($B462="","",F462*L462/100)</f>
        <v/>
      </c>
      <c r="K462" s="7" t="n"/>
      <c r="L462" s="7" t="n"/>
      <c r="M462" s="7">
        <f>IF($B462="","",L462*T462/100)</f>
        <v/>
      </c>
      <c r="N462" s="7">
        <f>IF($B462="","",L462-M462)</f>
        <v/>
      </c>
      <c r="O462" s="7">
        <f>IF($B462="","",N462-G462)</f>
        <v/>
      </c>
      <c r="R462" s="14" t="n"/>
      <c r="T462">
        <f>IF($B462="","",IF($W462=1,Settings!$C$6,Settings!$C$7)*100)</f>
        <v/>
      </c>
      <c r="U462">
        <f>IF($B462="","",IF(COUNTIF($B$2:$B462,$B462)=1,1,0))</f>
        <v/>
      </c>
      <c r="V462">
        <f>IF($U462=1,SUMPRODUCT(--($X$2:$X$1501&lt;$X462))+1,"")</f>
        <v/>
      </c>
      <c r="W462">
        <f>IF($B462="","",IF(OR($S462=TRUE(),$S462="TRUE"),1,0))</f>
        <v/>
      </c>
      <c r="X462">
        <f>IF($U462=1,IFERROR(IF(VALUE($B462)&lt;100000000,VALUE($B462),1000000000),IFERROR(IF(VALUE(MID($B462,2,20))&lt;100000000,VALUE(MID($B462,2,20)),1000000000),1000000000))+ROW()/100000,"")</f>
        <v/>
      </c>
    </row>
    <row r="463">
      <c r="A463">
        <f>IF($B463="","",IFERROR(IF(INDEX('Per Invoice'!$C$2:$C$401,MATCH($B463,'Per Invoice'!$A$2:$A$401,0))=0,"",INDEX('Per Invoice'!$C$2:$C$401,MATCH($B463,'Per Invoice'!$A$2:$A$401,0))),""))</f>
        <v/>
      </c>
      <c r="G463" s="7">
        <f>IF($B463="","",F463*L463/100)</f>
        <v/>
      </c>
      <c r="K463" s="7" t="n"/>
      <c r="L463" s="7" t="n"/>
      <c r="M463" s="7">
        <f>IF($B463="","",L463*T463/100)</f>
        <v/>
      </c>
      <c r="N463" s="7">
        <f>IF($B463="","",L463-M463)</f>
        <v/>
      </c>
      <c r="O463" s="7">
        <f>IF($B463="","",N463-G463)</f>
        <v/>
      </c>
      <c r="R463" s="14" t="n"/>
      <c r="T463">
        <f>IF($B463="","",IF($W463=1,Settings!$C$6,Settings!$C$7)*100)</f>
        <v/>
      </c>
      <c r="U463">
        <f>IF($B463="","",IF(COUNTIF($B$2:$B463,$B463)=1,1,0))</f>
        <v/>
      </c>
      <c r="V463">
        <f>IF($U463=1,SUMPRODUCT(--($X$2:$X$1501&lt;$X463))+1,"")</f>
        <v/>
      </c>
      <c r="W463">
        <f>IF($B463="","",IF(OR($S463=TRUE(),$S463="TRUE"),1,0))</f>
        <v/>
      </c>
      <c r="X463">
        <f>IF($U463=1,IFERROR(IF(VALUE($B463)&lt;100000000,VALUE($B463),1000000000),IFERROR(IF(VALUE(MID($B463,2,20))&lt;100000000,VALUE(MID($B463,2,20)),1000000000),1000000000))+ROW()/100000,"")</f>
        <v/>
      </c>
    </row>
    <row r="464">
      <c r="A464">
        <f>IF($B464="","",IFERROR(IF(INDEX('Per Invoice'!$C$2:$C$401,MATCH($B464,'Per Invoice'!$A$2:$A$401,0))=0,"",INDEX('Per Invoice'!$C$2:$C$401,MATCH($B464,'Per Invoice'!$A$2:$A$401,0))),""))</f>
        <v/>
      </c>
      <c r="G464" s="7">
        <f>IF($B464="","",F464*L464/100)</f>
        <v/>
      </c>
      <c r="K464" s="7" t="n"/>
      <c r="L464" s="7" t="n"/>
      <c r="M464" s="7">
        <f>IF($B464="","",L464*T464/100)</f>
        <v/>
      </c>
      <c r="N464" s="7">
        <f>IF($B464="","",L464-M464)</f>
        <v/>
      </c>
      <c r="O464" s="7">
        <f>IF($B464="","",N464-G464)</f>
        <v/>
      </c>
      <c r="R464" s="14" t="n"/>
      <c r="T464">
        <f>IF($B464="","",IF($W464=1,Settings!$C$6,Settings!$C$7)*100)</f>
        <v/>
      </c>
      <c r="U464">
        <f>IF($B464="","",IF(COUNTIF($B$2:$B464,$B464)=1,1,0))</f>
        <v/>
      </c>
      <c r="V464">
        <f>IF($U464=1,SUMPRODUCT(--($X$2:$X$1501&lt;$X464))+1,"")</f>
        <v/>
      </c>
      <c r="W464">
        <f>IF($B464="","",IF(OR($S464=TRUE(),$S464="TRUE"),1,0))</f>
        <v/>
      </c>
      <c r="X464">
        <f>IF($U464=1,IFERROR(IF(VALUE($B464)&lt;100000000,VALUE($B464),1000000000),IFERROR(IF(VALUE(MID($B464,2,20))&lt;100000000,VALUE(MID($B464,2,20)),1000000000),1000000000))+ROW()/100000,"")</f>
        <v/>
      </c>
    </row>
    <row r="465">
      <c r="A465">
        <f>IF($B465="","",IFERROR(IF(INDEX('Per Invoice'!$C$2:$C$401,MATCH($B465,'Per Invoice'!$A$2:$A$401,0))=0,"",INDEX('Per Invoice'!$C$2:$C$401,MATCH($B465,'Per Invoice'!$A$2:$A$401,0))),""))</f>
        <v/>
      </c>
      <c r="G465" s="7">
        <f>IF($B465="","",F465*L465/100)</f>
        <v/>
      </c>
      <c r="K465" s="7" t="n"/>
      <c r="L465" s="7" t="n"/>
      <c r="M465" s="7">
        <f>IF($B465="","",L465*T465/100)</f>
        <v/>
      </c>
      <c r="N465" s="7">
        <f>IF($B465="","",L465-M465)</f>
        <v/>
      </c>
      <c r="O465" s="7">
        <f>IF($B465="","",N465-G465)</f>
        <v/>
      </c>
      <c r="R465" s="14" t="n"/>
      <c r="T465">
        <f>IF($B465="","",IF($W465=1,Settings!$C$6,Settings!$C$7)*100)</f>
        <v/>
      </c>
      <c r="U465">
        <f>IF($B465="","",IF(COUNTIF($B$2:$B465,$B465)=1,1,0))</f>
        <v/>
      </c>
      <c r="V465">
        <f>IF($U465=1,SUMPRODUCT(--($X$2:$X$1501&lt;$X465))+1,"")</f>
        <v/>
      </c>
      <c r="W465">
        <f>IF($B465="","",IF(OR($S465=TRUE(),$S465="TRUE"),1,0))</f>
        <v/>
      </c>
      <c r="X465">
        <f>IF($U465=1,IFERROR(IF(VALUE($B465)&lt;100000000,VALUE($B465),1000000000),IFERROR(IF(VALUE(MID($B465,2,20))&lt;100000000,VALUE(MID($B465,2,20)),1000000000),1000000000))+ROW()/100000,"")</f>
        <v/>
      </c>
    </row>
    <row r="466">
      <c r="A466">
        <f>IF($B466="","",IFERROR(IF(INDEX('Per Invoice'!$C$2:$C$401,MATCH($B466,'Per Invoice'!$A$2:$A$401,0))=0,"",INDEX('Per Invoice'!$C$2:$C$401,MATCH($B466,'Per Invoice'!$A$2:$A$401,0))),""))</f>
        <v/>
      </c>
      <c r="G466" s="7">
        <f>IF($B466="","",F466*L466/100)</f>
        <v/>
      </c>
      <c r="K466" s="7" t="n"/>
      <c r="L466" s="7" t="n"/>
      <c r="M466" s="7">
        <f>IF($B466="","",L466*T466/100)</f>
        <v/>
      </c>
      <c r="N466" s="7">
        <f>IF($B466="","",L466-M466)</f>
        <v/>
      </c>
      <c r="O466" s="7">
        <f>IF($B466="","",N466-G466)</f>
        <v/>
      </c>
      <c r="R466" s="14" t="n"/>
      <c r="T466">
        <f>IF($B466="","",IF($W466=1,Settings!$C$6,Settings!$C$7)*100)</f>
        <v/>
      </c>
      <c r="U466">
        <f>IF($B466="","",IF(COUNTIF($B$2:$B466,$B466)=1,1,0))</f>
        <v/>
      </c>
      <c r="V466">
        <f>IF($U466=1,SUMPRODUCT(--($X$2:$X$1501&lt;$X466))+1,"")</f>
        <v/>
      </c>
      <c r="W466">
        <f>IF($B466="","",IF(OR($S466=TRUE(),$S466="TRUE"),1,0))</f>
        <v/>
      </c>
      <c r="X466">
        <f>IF($U466=1,IFERROR(IF(VALUE($B466)&lt;100000000,VALUE($B466),1000000000),IFERROR(IF(VALUE(MID($B466,2,20))&lt;100000000,VALUE(MID($B466,2,20)),1000000000),1000000000))+ROW()/100000,"")</f>
        <v/>
      </c>
    </row>
    <row r="467">
      <c r="A467">
        <f>IF($B467="","",IFERROR(IF(INDEX('Per Invoice'!$C$2:$C$401,MATCH($B467,'Per Invoice'!$A$2:$A$401,0))=0,"",INDEX('Per Invoice'!$C$2:$C$401,MATCH($B467,'Per Invoice'!$A$2:$A$401,0))),""))</f>
        <v/>
      </c>
      <c r="G467" s="7">
        <f>IF($B467="","",F467*L467/100)</f>
        <v/>
      </c>
      <c r="K467" s="7" t="n"/>
      <c r="L467" s="7" t="n"/>
      <c r="M467" s="7">
        <f>IF($B467="","",L467*T467/100)</f>
        <v/>
      </c>
      <c r="N467" s="7">
        <f>IF($B467="","",L467-M467)</f>
        <v/>
      </c>
      <c r="O467" s="7">
        <f>IF($B467="","",N467-G467)</f>
        <v/>
      </c>
      <c r="R467" s="14" t="n"/>
      <c r="T467">
        <f>IF($B467="","",IF($W467=1,Settings!$C$6,Settings!$C$7)*100)</f>
        <v/>
      </c>
      <c r="U467">
        <f>IF($B467="","",IF(COUNTIF($B$2:$B467,$B467)=1,1,0))</f>
        <v/>
      </c>
      <c r="V467">
        <f>IF($U467=1,SUMPRODUCT(--($X$2:$X$1501&lt;$X467))+1,"")</f>
        <v/>
      </c>
      <c r="W467">
        <f>IF($B467="","",IF(OR($S467=TRUE(),$S467="TRUE"),1,0))</f>
        <v/>
      </c>
      <c r="X467">
        <f>IF($U467=1,IFERROR(IF(VALUE($B467)&lt;100000000,VALUE($B467),1000000000),IFERROR(IF(VALUE(MID($B467,2,20))&lt;100000000,VALUE(MID($B467,2,20)),1000000000),1000000000))+ROW()/100000,"")</f>
        <v/>
      </c>
    </row>
    <row r="468">
      <c r="A468">
        <f>IF($B468="","",IFERROR(IF(INDEX('Per Invoice'!$C$2:$C$401,MATCH($B468,'Per Invoice'!$A$2:$A$401,0))=0,"",INDEX('Per Invoice'!$C$2:$C$401,MATCH($B468,'Per Invoice'!$A$2:$A$401,0))),""))</f>
        <v/>
      </c>
      <c r="G468" s="7">
        <f>IF($B468="","",F468*L468/100)</f>
        <v/>
      </c>
      <c r="K468" s="7" t="n"/>
      <c r="L468" s="7" t="n"/>
      <c r="M468" s="7">
        <f>IF($B468="","",L468*T468/100)</f>
        <v/>
      </c>
      <c r="N468" s="7">
        <f>IF($B468="","",L468-M468)</f>
        <v/>
      </c>
      <c r="O468" s="7">
        <f>IF($B468="","",N468-G468)</f>
        <v/>
      </c>
      <c r="R468" s="14" t="n"/>
      <c r="T468">
        <f>IF($B468="","",IF($W468=1,Settings!$C$6,Settings!$C$7)*100)</f>
        <v/>
      </c>
      <c r="U468">
        <f>IF($B468="","",IF(COUNTIF($B$2:$B468,$B468)=1,1,0))</f>
        <v/>
      </c>
      <c r="V468">
        <f>IF($U468=1,SUMPRODUCT(--($X$2:$X$1501&lt;$X468))+1,"")</f>
        <v/>
      </c>
      <c r="W468">
        <f>IF($B468="","",IF(OR($S468=TRUE(),$S468="TRUE"),1,0))</f>
        <v/>
      </c>
      <c r="X468">
        <f>IF($U468=1,IFERROR(IF(VALUE($B468)&lt;100000000,VALUE($B468),1000000000),IFERROR(IF(VALUE(MID($B468,2,20))&lt;100000000,VALUE(MID($B468,2,20)),1000000000),1000000000))+ROW()/100000,"")</f>
        <v/>
      </c>
    </row>
    <row r="469">
      <c r="A469">
        <f>IF($B469="","",IFERROR(IF(INDEX('Per Invoice'!$C$2:$C$401,MATCH($B469,'Per Invoice'!$A$2:$A$401,0))=0,"",INDEX('Per Invoice'!$C$2:$C$401,MATCH($B469,'Per Invoice'!$A$2:$A$401,0))),""))</f>
        <v/>
      </c>
      <c r="G469" s="7">
        <f>IF($B469="","",F469*L469/100)</f>
        <v/>
      </c>
      <c r="K469" s="7" t="n"/>
      <c r="L469" s="7" t="n"/>
      <c r="M469" s="7">
        <f>IF($B469="","",L469*T469/100)</f>
        <v/>
      </c>
      <c r="N469" s="7">
        <f>IF($B469="","",L469-M469)</f>
        <v/>
      </c>
      <c r="O469" s="7">
        <f>IF($B469="","",N469-G469)</f>
        <v/>
      </c>
      <c r="R469" s="14" t="n"/>
      <c r="T469">
        <f>IF($B469="","",IF($W469=1,Settings!$C$6,Settings!$C$7)*100)</f>
        <v/>
      </c>
      <c r="U469">
        <f>IF($B469="","",IF(COUNTIF($B$2:$B469,$B469)=1,1,0))</f>
        <v/>
      </c>
      <c r="V469">
        <f>IF($U469=1,SUMPRODUCT(--($X$2:$X$1501&lt;$X469))+1,"")</f>
        <v/>
      </c>
      <c r="W469">
        <f>IF($B469="","",IF(OR($S469=TRUE(),$S469="TRUE"),1,0))</f>
        <v/>
      </c>
      <c r="X469">
        <f>IF($U469=1,IFERROR(IF(VALUE($B469)&lt;100000000,VALUE($B469),1000000000),IFERROR(IF(VALUE(MID($B469,2,20))&lt;100000000,VALUE(MID($B469,2,20)),1000000000),1000000000))+ROW()/100000,"")</f>
        <v/>
      </c>
    </row>
    <row r="470">
      <c r="A470">
        <f>IF($B470="","",IFERROR(IF(INDEX('Per Invoice'!$C$2:$C$401,MATCH($B470,'Per Invoice'!$A$2:$A$401,0))=0,"",INDEX('Per Invoice'!$C$2:$C$401,MATCH($B470,'Per Invoice'!$A$2:$A$401,0))),""))</f>
        <v/>
      </c>
      <c r="G470" s="7">
        <f>IF($B470="","",F470*L470/100)</f>
        <v/>
      </c>
      <c r="K470" s="7" t="n"/>
      <c r="L470" s="7" t="n"/>
      <c r="M470" s="7">
        <f>IF($B470="","",L470*T470/100)</f>
        <v/>
      </c>
      <c r="N470" s="7">
        <f>IF($B470="","",L470-M470)</f>
        <v/>
      </c>
      <c r="O470" s="7">
        <f>IF($B470="","",N470-G470)</f>
        <v/>
      </c>
      <c r="R470" s="14" t="n"/>
      <c r="T470">
        <f>IF($B470="","",IF($W470=1,Settings!$C$6,Settings!$C$7)*100)</f>
        <v/>
      </c>
      <c r="U470">
        <f>IF($B470="","",IF(COUNTIF($B$2:$B470,$B470)=1,1,0))</f>
        <v/>
      </c>
      <c r="V470">
        <f>IF($U470=1,SUMPRODUCT(--($X$2:$X$1501&lt;$X470))+1,"")</f>
        <v/>
      </c>
      <c r="W470">
        <f>IF($B470="","",IF(OR($S470=TRUE(),$S470="TRUE"),1,0))</f>
        <v/>
      </c>
      <c r="X470">
        <f>IF($U470=1,IFERROR(IF(VALUE($B470)&lt;100000000,VALUE($B470),1000000000),IFERROR(IF(VALUE(MID($B470,2,20))&lt;100000000,VALUE(MID($B470,2,20)),1000000000),1000000000))+ROW()/100000,"")</f>
        <v/>
      </c>
    </row>
    <row r="471">
      <c r="A471">
        <f>IF($B471="","",IFERROR(IF(INDEX('Per Invoice'!$C$2:$C$401,MATCH($B471,'Per Invoice'!$A$2:$A$401,0))=0,"",INDEX('Per Invoice'!$C$2:$C$401,MATCH($B471,'Per Invoice'!$A$2:$A$401,0))),""))</f>
        <v/>
      </c>
      <c r="G471" s="7">
        <f>IF($B471="","",F471*L471/100)</f>
        <v/>
      </c>
      <c r="K471" s="7" t="n"/>
      <c r="L471" s="7" t="n"/>
      <c r="M471" s="7">
        <f>IF($B471="","",L471*T471/100)</f>
        <v/>
      </c>
      <c r="N471" s="7">
        <f>IF($B471="","",L471-M471)</f>
        <v/>
      </c>
      <c r="O471" s="7">
        <f>IF($B471="","",N471-G471)</f>
        <v/>
      </c>
      <c r="R471" s="14" t="n"/>
      <c r="T471">
        <f>IF($B471="","",IF($W471=1,Settings!$C$6,Settings!$C$7)*100)</f>
        <v/>
      </c>
      <c r="U471">
        <f>IF($B471="","",IF(COUNTIF($B$2:$B471,$B471)=1,1,0))</f>
        <v/>
      </c>
      <c r="V471">
        <f>IF($U471=1,SUMPRODUCT(--($X$2:$X$1501&lt;$X471))+1,"")</f>
        <v/>
      </c>
      <c r="W471">
        <f>IF($B471="","",IF(OR($S471=TRUE(),$S471="TRUE"),1,0))</f>
        <v/>
      </c>
      <c r="X471">
        <f>IF($U471=1,IFERROR(IF(VALUE($B471)&lt;100000000,VALUE($B471),1000000000),IFERROR(IF(VALUE(MID($B471,2,20))&lt;100000000,VALUE(MID($B471,2,20)),1000000000),1000000000))+ROW()/100000,"")</f>
        <v/>
      </c>
    </row>
    <row r="472">
      <c r="A472">
        <f>IF($B472="","",IFERROR(IF(INDEX('Per Invoice'!$C$2:$C$401,MATCH($B472,'Per Invoice'!$A$2:$A$401,0))=0,"",INDEX('Per Invoice'!$C$2:$C$401,MATCH($B472,'Per Invoice'!$A$2:$A$401,0))),""))</f>
        <v/>
      </c>
      <c r="G472" s="7">
        <f>IF($B472="","",F472*L472/100)</f>
        <v/>
      </c>
      <c r="K472" s="7" t="n"/>
      <c r="L472" s="7" t="n"/>
      <c r="M472" s="7">
        <f>IF($B472="","",L472*T472/100)</f>
        <v/>
      </c>
      <c r="N472" s="7">
        <f>IF($B472="","",L472-M472)</f>
        <v/>
      </c>
      <c r="O472" s="7">
        <f>IF($B472="","",N472-G472)</f>
        <v/>
      </c>
      <c r="R472" s="14" t="n"/>
      <c r="T472">
        <f>IF($B472="","",IF($W472=1,Settings!$C$6,Settings!$C$7)*100)</f>
        <v/>
      </c>
      <c r="U472">
        <f>IF($B472="","",IF(COUNTIF($B$2:$B472,$B472)=1,1,0))</f>
        <v/>
      </c>
      <c r="V472">
        <f>IF($U472=1,SUMPRODUCT(--($X$2:$X$1501&lt;$X472))+1,"")</f>
        <v/>
      </c>
      <c r="W472">
        <f>IF($B472="","",IF(OR($S472=TRUE(),$S472="TRUE"),1,0))</f>
        <v/>
      </c>
      <c r="X472">
        <f>IF($U472=1,IFERROR(IF(VALUE($B472)&lt;100000000,VALUE($B472),1000000000),IFERROR(IF(VALUE(MID($B472,2,20))&lt;100000000,VALUE(MID($B472,2,20)),1000000000),1000000000))+ROW()/100000,"")</f>
        <v/>
      </c>
    </row>
    <row r="473">
      <c r="A473">
        <f>IF($B473="","",IFERROR(IF(INDEX('Per Invoice'!$C$2:$C$401,MATCH($B473,'Per Invoice'!$A$2:$A$401,0))=0,"",INDEX('Per Invoice'!$C$2:$C$401,MATCH($B473,'Per Invoice'!$A$2:$A$401,0))),""))</f>
        <v/>
      </c>
      <c r="G473" s="7">
        <f>IF($B473="","",F473*L473/100)</f>
        <v/>
      </c>
      <c r="K473" s="7" t="n"/>
      <c r="L473" s="7" t="n"/>
      <c r="M473" s="7">
        <f>IF($B473="","",L473*T473/100)</f>
        <v/>
      </c>
      <c r="N473" s="7">
        <f>IF($B473="","",L473-M473)</f>
        <v/>
      </c>
      <c r="O473" s="7">
        <f>IF($B473="","",N473-G473)</f>
        <v/>
      </c>
      <c r="R473" s="14" t="n"/>
      <c r="T473">
        <f>IF($B473="","",IF($W473=1,Settings!$C$6,Settings!$C$7)*100)</f>
        <v/>
      </c>
      <c r="U473">
        <f>IF($B473="","",IF(COUNTIF($B$2:$B473,$B473)=1,1,0))</f>
        <v/>
      </c>
      <c r="V473">
        <f>IF($U473=1,SUMPRODUCT(--($X$2:$X$1501&lt;$X473))+1,"")</f>
        <v/>
      </c>
      <c r="W473">
        <f>IF($B473="","",IF(OR($S473=TRUE(),$S473="TRUE"),1,0))</f>
        <v/>
      </c>
      <c r="X473">
        <f>IF($U473=1,IFERROR(IF(VALUE($B473)&lt;100000000,VALUE($B473),1000000000),IFERROR(IF(VALUE(MID($B473,2,20))&lt;100000000,VALUE(MID($B473,2,20)),1000000000),1000000000))+ROW()/100000,"")</f>
        <v/>
      </c>
    </row>
    <row r="474">
      <c r="A474">
        <f>IF($B474="","",IFERROR(IF(INDEX('Per Invoice'!$C$2:$C$401,MATCH($B474,'Per Invoice'!$A$2:$A$401,0))=0,"",INDEX('Per Invoice'!$C$2:$C$401,MATCH($B474,'Per Invoice'!$A$2:$A$401,0))),""))</f>
        <v/>
      </c>
      <c r="G474" s="7">
        <f>IF($B474="","",F474*L474/100)</f>
        <v/>
      </c>
      <c r="K474" s="7" t="n"/>
      <c r="L474" s="7" t="n"/>
      <c r="M474" s="7">
        <f>IF($B474="","",L474*T474/100)</f>
        <v/>
      </c>
      <c r="N474" s="7">
        <f>IF($B474="","",L474-M474)</f>
        <v/>
      </c>
      <c r="O474" s="7">
        <f>IF($B474="","",N474-G474)</f>
        <v/>
      </c>
      <c r="R474" s="14" t="n"/>
      <c r="T474">
        <f>IF($B474="","",IF($W474=1,Settings!$C$6,Settings!$C$7)*100)</f>
        <v/>
      </c>
      <c r="U474">
        <f>IF($B474="","",IF(COUNTIF($B$2:$B474,$B474)=1,1,0))</f>
        <v/>
      </c>
      <c r="V474">
        <f>IF($U474=1,SUMPRODUCT(--($X$2:$X$1501&lt;$X474))+1,"")</f>
        <v/>
      </c>
      <c r="W474">
        <f>IF($B474="","",IF(OR($S474=TRUE(),$S474="TRUE"),1,0))</f>
        <v/>
      </c>
      <c r="X474">
        <f>IF($U474=1,IFERROR(IF(VALUE($B474)&lt;100000000,VALUE($B474),1000000000),IFERROR(IF(VALUE(MID($B474,2,20))&lt;100000000,VALUE(MID($B474,2,20)),1000000000),1000000000))+ROW()/100000,"")</f>
        <v/>
      </c>
    </row>
    <row r="475">
      <c r="A475">
        <f>IF($B475="","",IFERROR(IF(INDEX('Per Invoice'!$C$2:$C$401,MATCH($B475,'Per Invoice'!$A$2:$A$401,0))=0,"",INDEX('Per Invoice'!$C$2:$C$401,MATCH($B475,'Per Invoice'!$A$2:$A$401,0))),""))</f>
        <v/>
      </c>
      <c r="G475" s="7">
        <f>IF($B475="","",F475*L475/100)</f>
        <v/>
      </c>
      <c r="K475" s="7" t="n"/>
      <c r="L475" s="7" t="n"/>
      <c r="M475" s="7">
        <f>IF($B475="","",L475*T475/100)</f>
        <v/>
      </c>
      <c r="N475" s="7">
        <f>IF($B475="","",L475-M475)</f>
        <v/>
      </c>
      <c r="O475" s="7">
        <f>IF($B475="","",N475-G475)</f>
        <v/>
      </c>
      <c r="R475" s="14" t="n"/>
      <c r="T475">
        <f>IF($B475="","",IF($W475=1,Settings!$C$6,Settings!$C$7)*100)</f>
        <v/>
      </c>
      <c r="U475">
        <f>IF($B475="","",IF(COUNTIF($B$2:$B475,$B475)=1,1,0))</f>
        <v/>
      </c>
      <c r="V475">
        <f>IF($U475=1,SUMPRODUCT(--($X$2:$X$1501&lt;$X475))+1,"")</f>
        <v/>
      </c>
      <c r="W475">
        <f>IF($B475="","",IF(OR($S475=TRUE(),$S475="TRUE"),1,0))</f>
        <v/>
      </c>
      <c r="X475">
        <f>IF($U475=1,IFERROR(IF(VALUE($B475)&lt;100000000,VALUE($B475),1000000000),IFERROR(IF(VALUE(MID($B475,2,20))&lt;100000000,VALUE(MID($B475,2,20)),1000000000),1000000000))+ROW()/100000,"")</f>
        <v/>
      </c>
    </row>
    <row r="476">
      <c r="A476">
        <f>IF($B476="","",IFERROR(IF(INDEX('Per Invoice'!$C$2:$C$401,MATCH($B476,'Per Invoice'!$A$2:$A$401,0))=0,"",INDEX('Per Invoice'!$C$2:$C$401,MATCH($B476,'Per Invoice'!$A$2:$A$401,0))),""))</f>
        <v/>
      </c>
      <c r="G476" s="7">
        <f>IF($B476="","",F476*L476/100)</f>
        <v/>
      </c>
      <c r="K476" s="7" t="n"/>
      <c r="L476" s="7" t="n"/>
      <c r="M476" s="7">
        <f>IF($B476="","",L476*T476/100)</f>
        <v/>
      </c>
      <c r="N476" s="7">
        <f>IF($B476="","",L476-M476)</f>
        <v/>
      </c>
      <c r="O476" s="7">
        <f>IF($B476="","",N476-G476)</f>
        <v/>
      </c>
      <c r="R476" s="14" t="n"/>
      <c r="T476">
        <f>IF($B476="","",IF($W476=1,Settings!$C$6,Settings!$C$7)*100)</f>
        <v/>
      </c>
      <c r="U476">
        <f>IF($B476="","",IF(COUNTIF($B$2:$B476,$B476)=1,1,0))</f>
        <v/>
      </c>
      <c r="V476">
        <f>IF($U476=1,SUMPRODUCT(--($X$2:$X$1501&lt;$X476))+1,"")</f>
        <v/>
      </c>
      <c r="W476">
        <f>IF($B476="","",IF(OR($S476=TRUE(),$S476="TRUE"),1,0))</f>
        <v/>
      </c>
      <c r="X476">
        <f>IF($U476=1,IFERROR(IF(VALUE($B476)&lt;100000000,VALUE($B476),1000000000),IFERROR(IF(VALUE(MID($B476,2,20))&lt;100000000,VALUE(MID($B476,2,20)),1000000000),1000000000))+ROW()/100000,"")</f>
        <v/>
      </c>
    </row>
    <row r="477">
      <c r="A477">
        <f>IF($B477="","",IFERROR(IF(INDEX('Per Invoice'!$C$2:$C$401,MATCH($B477,'Per Invoice'!$A$2:$A$401,0))=0,"",INDEX('Per Invoice'!$C$2:$C$401,MATCH($B477,'Per Invoice'!$A$2:$A$401,0))),""))</f>
        <v/>
      </c>
      <c r="G477" s="7">
        <f>IF($B477="","",F477*L477/100)</f>
        <v/>
      </c>
      <c r="K477" s="7" t="n"/>
      <c r="L477" s="7" t="n"/>
      <c r="M477" s="7">
        <f>IF($B477="","",L477*T477/100)</f>
        <v/>
      </c>
      <c r="N477" s="7">
        <f>IF($B477="","",L477-M477)</f>
        <v/>
      </c>
      <c r="O477" s="7">
        <f>IF($B477="","",N477-G477)</f>
        <v/>
      </c>
      <c r="R477" s="14" t="n"/>
      <c r="T477">
        <f>IF($B477="","",IF($W477=1,Settings!$C$6,Settings!$C$7)*100)</f>
        <v/>
      </c>
      <c r="U477">
        <f>IF($B477="","",IF(COUNTIF($B$2:$B477,$B477)=1,1,0))</f>
        <v/>
      </c>
      <c r="V477">
        <f>IF($U477=1,SUMPRODUCT(--($X$2:$X$1501&lt;$X477))+1,"")</f>
        <v/>
      </c>
      <c r="W477">
        <f>IF($B477="","",IF(OR($S477=TRUE(),$S477="TRUE"),1,0))</f>
        <v/>
      </c>
      <c r="X477">
        <f>IF($U477=1,IFERROR(IF(VALUE($B477)&lt;100000000,VALUE($B477),1000000000),IFERROR(IF(VALUE(MID($B477,2,20))&lt;100000000,VALUE(MID($B477,2,20)),1000000000),1000000000))+ROW()/100000,"")</f>
        <v/>
      </c>
    </row>
    <row r="478">
      <c r="A478">
        <f>IF($B478="","",IFERROR(IF(INDEX('Per Invoice'!$C$2:$C$401,MATCH($B478,'Per Invoice'!$A$2:$A$401,0))=0,"",INDEX('Per Invoice'!$C$2:$C$401,MATCH($B478,'Per Invoice'!$A$2:$A$401,0))),""))</f>
        <v/>
      </c>
      <c r="G478" s="7">
        <f>IF($B478="","",F478*L478/100)</f>
        <v/>
      </c>
      <c r="K478" s="7" t="n"/>
      <c r="L478" s="7" t="n"/>
      <c r="M478" s="7">
        <f>IF($B478="","",L478*T478/100)</f>
        <v/>
      </c>
      <c r="N478" s="7">
        <f>IF($B478="","",L478-M478)</f>
        <v/>
      </c>
      <c r="O478" s="7">
        <f>IF($B478="","",N478-G478)</f>
        <v/>
      </c>
      <c r="R478" s="14" t="n"/>
      <c r="T478">
        <f>IF($B478="","",IF($W478=1,Settings!$C$6,Settings!$C$7)*100)</f>
        <v/>
      </c>
      <c r="U478">
        <f>IF($B478="","",IF(COUNTIF($B$2:$B478,$B478)=1,1,0))</f>
        <v/>
      </c>
      <c r="V478">
        <f>IF($U478=1,SUMPRODUCT(--($X$2:$X$1501&lt;$X478))+1,"")</f>
        <v/>
      </c>
      <c r="W478">
        <f>IF($B478="","",IF(OR($S478=TRUE(),$S478="TRUE"),1,0))</f>
        <v/>
      </c>
      <c r="X478">
        <f>IF($U478=1,IFERROR(IF(VALUE($B478)&lt;100000000,VALUE($B478),1000000000),IFERROR(IF(VALUE(MID($B478,2,20))&lt;100000000,VALUE(MID($B478,2,20)),1000000000),1000000000))+ROW()/100000,"")</f>
        <v/>
      </c>
    </row>
    <row r="479">
      <c r="A479">
        <f>IF($B479="","",IFERROR(IF(INDEX('Per Invoice'!$C$2:$C$401,MATCH($B479,'Per Invoice'!$A$2:$A$401,0))=0,"",INDEX('Per Invoice'!$C$2:$C$401,MATCH($B479,'Per Invoice'!$A$2:$A$401,0))),""))</f>
        <v/>
      </c>
      <c r="G479" s="7">
        <f>IF($B479="","",F479*L479/100)</f>
        <v/>
      </c>
      <c r="K479" s="7" t="n"/>
      <c r="L479" s="7" t="n"/>
      <c r="M479" s="7">
        <f>IF($B479="","",L479*T479/100)</f>
        <v/>
      </c>
      <c r="N479" s="7">
        <f>IF($B479="","",L479-M479)</f>
        <v/>
      </c>
      <c r="O479" s="7">
        <f>IF($B479="","",N479-G479)</f>
        <v/>
      </c>
      <c r="R479" s="14" t="n"/>
      <c r="T479">
        <f>IF($B479="","",IF($W479=1,Settings!$C$6,Settings!$C$7)*100)</f>
        <v/>
      </c>
      <c r="U479">
        <f>IF($B479="","",IF(COUNTIF($B$2:$B479,$B479)=1,1,0))</f>
        <v/>
      </c>
      <c r="V479">
        <f>IF($U479=1,SUMPRODUCT(--($X$2:$X$1501&lt;$X479))+1,"")</f>
        <v/>
      </c>
      <c r="W479">
        <f>IF($B479="","",IF(OR($S479=TRUE(),$S479="TRUE"),1,0))</f>
        <v/>
      </c>
      <c r="X479">
        <f>IF($U479=1,IFERROR(IF(VALUE($B479)&lt;100000000,VALUE($B479),1000000000),IFERROR(IF(VALUE(MID($B479,2,20))&lt;100000000,VALUE(MID($B479,2,20)),1000000000),1000000000))+ROW()/100000,"")</f>
        <v/>
      </c>
    </row>
    <row r="480">
      <c r="A480">
        <f>IF($B480="","",IFERROR(IF(INDEX('Per Invoice'!$C$2:$C$401,MATCH($B480,'Per Invoice'!$A$2:$A$401,0))=0,"",INDEX('Per Invoice'!$C$2:$C$401,MATCH($B480,'Per Invoice'!$A$2:$A$401,0))),""))</f>
        <v/>
      </c>
      <c r="G480" s="7">
        <f>IF($B480="","",F480*L480/100)</f>
        <v/>
      </c>
      <c r="K480" s="7" t="n"/>
      <c r="L480" s="7" t="n"/>
      <c r="M480" s="7">
        <f>IF($B480="","",L480*T480/100)</f>
        <v/>
      </c>
      <c r="N480" s="7">
        <f>IF($B480="","",L480-M480)</f>
        <v/>
      </c>
      <c r="O480" s="7">
        <f>IF($B480="","",N480-G480)</f>
        <v/>
      </c>
      <c r="R480" s="14" t="n"/>
      <c r="T480">
        <f>IF($B480="","",IF($W480=1,Settings!$C$6,Settings!$C$7)*100)</f>
        <v/>
      </c>
      <c r="U480">
        <f>IF($B480="","",IF(COUNTIF($B$2:$B480,$B480)=1,1,0))</f>
        <v/>
      </c>
      <c r="V480">
        <f>IF($U480=1,SUMPRODUCT(--($X$2:$X$1501&lt;$X480))+1,"")</f>
        <v/>
      </c>
      <c r="W480">
        <f>IF($B480="","",IF(OR($S480=TRUE(),$S480="TRUE"),1,0))</f>
        <v/>
      </c>
      <c r="X480">
        <f>IF($U480=1,IFERROR(IF(VALUE($B480)&lt;100000000,VALUE($B480),1000000000),IFERROR(IF(VALUE(MID($B480,2,20))&lt;100000000,VALUE(MID($B480,2,20)),1000000000),1000000000))+ROW()/100000,"")</f>
        <v/>
      </c>
    </row>
    <row r="481">
      <c r="A481">
        <f>IF($B481="","",IFERROR(IF(INDEX('Per Invoice'!$C$2:$C$401,MATCH($B481,'Per Invoice'!$A$2:$A$401,0))=0,"",INDEX('Per Invoice'!$C$2:$C$401,MATCH($B481,'Per Invoice'!$A$2:$A$401,0))),""))</f>
        <v/>
      </c>
      <c r="G481" s="7">
        <f>IF($B481="","",F481*L481/100)</f>
        <v/>
      </c>
      <c r="K481" s="7" t="n"/>
      <c r="L481" s="7" t="n"/>
      <c r="M481" s="7">
        <f>IF($B481="","",L481*T481/100)</f>
        <v/>
      </c>
      <c r="N481" s="7">
        <f>IF($B481="","",L481-M481)</f>
        <v/>
      </c>
      <c r="O481" s="7">
        <f>IF($B481="","",N481-G481)</f>
        <v/>
      </c>
      <c r="R481" s="14" t="n"/>
      <c r="T481">
        <f>IF($B481="","",IF($W481=1,Settings!$C$6,Settings!$C$7)*100)</f>
        <v/>
      </c>
      <c r="U481">
        <f>IF($B481="","",IF(COUNTIF($B$2:$B481,$B481)=1,1,0))</f>
        <v/>
      </c>
      <c r="V481">
        <f>IF($U481=1,SUMPRODUCT(--($X$2:$X$1501&lt;$X481))+1,"")</f>
        <v/>
      </c>
      <c r="W481">
        <f>IF($B481="","",IF(OR($S481=TRUE(),$S481="TRUE"),1,0))</f>
        <v/>
      </c>
      <c r="X481">
        <f>IF($U481=1,IFERROR(IF(VALUE($B481)&lt;100000000,VALUE($B481),1000000000),IFERROR(IF(VALUE(MID($B481,2,20))&lt;100000000,VALUE(MID($B481,2,20)),1000000000),1000000000))+ROW()/100000,"")</f>
        <v/>
      </c>
    </row>
    <row r="482">
      <c r="A482">
        <f>IF($B482="","",IFERROR(IF(INDEX('Per Invoice'!$C$2:$C$401,MATCH($B482,'Per Invoice'!$A$2:$A$401,0))=0,"",INDEX('Per Invoice'!$C$2:$C$401,MATCH($B482,'Per Invoice'!$A$2:$A$401,0))),""))</f>
        <v/>
      </c>
      <c r="G482" s="7">
        <f>IF($B482="","",F482*L482/100)</f>
        <v/>
      </c>
      <c r="K482" s="7" t="n"/>
      <c r="L482" s="7" t="n"/>
      <c r="M482" s="7">
        <f>IF($B482="","",L482*T482/100)</f>
        <v/>
      </c>
      <c r="N482" s="7">
        <f>IF($B482="","",L482-M482)</f>
        <v/>
      </c>
      <c r="O482" s="7">
        <f>IF($B482="","",N482-G482)</f>
        <v/>
      </c>
      <c r="R482" s="14" t="n"/>
      <c r="T482">
        <f>IF($B482="","",IF($W482=1,Settings!$C$6,Settings!$C$7)*100)</f>
        <v/>
      </c>
      <c r="U482">
        <f>IF($B482="","",IF(COUNTIF($B$2:$B482,$B482)=1,1,0))</f>
        <v/>
      </c>
      <c r="V482">
        <f>IF($U482=1,SUMPRODUCT(--($X$2:$X$1501&lt;$X482))+1,"")</f>
        <v/>
      </c>
      <c r="W482">
        <f>IF($B482="","",IF(OR($S482=TRUE(),$S482="TRUE"),1,0))</f>
        <v/>
      </c>
      <c r="X482">
        <f>IF($U482=1,IFERROR(IF(VALUE($B482)&lt;100000000,VALUE($B482),1000000000),IFERROR(IF(VALUE(MID($B482,2,20))&lt;100000000,VALUE(MID($B482,2,20)),1000000000),1000000000))+ROW()/100000,"")</f>
        <v/>
      </c>
    </row>
    <row r="483">
      <c r="A483">
        <f>IF($B483="","",IFERROR(IF(INDEX('Per Invoice'!$C$2:$C$401,MATCH($B483,'Per Invoice'!$A$2:$A$401,0))=0,"",INDEX('Per Invoice'!$C$2:$C$401,MATCH($B483,'Per Invoice'!$A$2:$A$401,0))),""))</f>
        <v/>
      </c>
      <c r="G483" s="7">
        <f>IF($B483="","",F483*L483/100)</f>
        <v/>
      </c>
      <c r="K483" s="7" t="n"/>
      <c r="L483" s="7" t="n"/>
      <c r="M483" s="7">
        <f>IF($B483="","",L483*T483/100)</f>
        <v/>
      </c>
      <c r="N483" s="7">
        <f>IF($B483="","",L483-M483)</f>
        <v/>
      </c>
      <c r="O483" s="7">
        <f>IF($B483="","",N483-G483)</f>
        <v/>
      </c>
      <c r="R483" s="14" t="n"/>
      <c r="T483">
        <f>IF($B483="","",IF($W483=1,Settings!$C$6,Settings!$C$7)*100)</f>
        <v/>
      </c>
      <c r="U483">
        <f>IF($B483="","",IF(COUNTIF($B$2:$B483,$B483)=1,1,0))</f>
        <v/>
      </c>
      <c r="V483">
        <f>IF($U483=1,SUMPRODUCT(--($X$2:$X$1501&lt;$X483))+1,"")</f>
        <v/>
      </c>
      <c r="W483">
        <f>IF($B483="","",IF(OR($S483=TRUE(),$S483="TRUE"),1,0))</f>
        <v/>
      </c>
      <c r="X483">
        <f>IF($U483=1,IFERROR(IF(VALUE($B483)&lt;100000000,VALUE($B483),1000000000),IFERROR(IF(VALUE(MID($B483,2,20))&lt;100000000,VALUE(MID($B483,2,20)),1000000000),1000000000))+ROW()/100000,"")</f>
        <v/>
      </c>
    </row>
    <row r="484">
      <c r="A484">
        <f>IF($B484="","",IFERROR(IF(INDEX('Per Invoice'!$C$2:$C$401,MATCH($B484,'Per Invoice'!$A$2:$A$401,0))=0,"",INDEX('Per Invoice'!$C$2:$C$401,MATCH($B484,'Per Invoice'!$A$2:$A$401,0))),""))</f>
        <v/>
      </c>
      <c r="G484" s="7">
        <f>IF($B484="","",F484*L484/100)</f>
        <v/>
      </c>
      <c r="K484" s="7" t="n"/>
      <c r="L484" s="7" t="n"/>
      <c r="M484" s="7">
        <f>IF($B484="","",L484*T484/100)</f>
        <v/>
      </c>
      <c r="N484" s="7">
        <f>IF($B484="","",L484-M484)</f>
        <v/>
      </c>
      <c r="O484" s="7">
        <f>IF($B484="","",N484-G484)</f>
        <v/>
      </c>
      <c r="R484" s="14" t="n"/>
      <c r="T484">
        <f>IF($B484="","",IF($W484=1,Settings!$C$6,Settings!$C$7)*100)</f>
        <v/>
      </c>
      <c r="U484">
        <f>IF($B484="","",IF(COUNTIF($B$2:$B484,$B484)=1,1,0))</f>
        <v/>
      </c>
      <c r="V484">
        <f>IF($U484=1,SUMPRODUCT(--($X$2:$X$1501&lt;$X484))+1,"")</f>
        <v/>
      </c>
      <c r="W484">
        <f>IF($B484="","",IF(OR($S484=TRUE(),$S484="TRUE"),1,0))</f>
        <v/>
      </c>
      <c r="X484">
        <f>IF($U484=1,IFERROR(IF(VALUE($B484)&lt;100000000,VALUE($B484),1000000000),IFERROR(IF(VALUE(MID($B484,2,20))&lt;100000000,VALUE(MID($B484,2,20)),1000000000),1000000000))+ROW()/100000,"")</f>
        <v/>
      </c>
    </row>
    <row r="485">
      <c r="A485">
        <f>IF($B485="","",IFERROR(IF(INDEX('Per Invoice'!$C$2:$C$401,MATCH($B485,'Per Invoice'!$A$2:$A$401,0))=0,"",INDEX('Per Invoice'!$C$2:$C$401,MATCH($B485,'Per Invoice'!$A$2:$A$401,0))),""))</f>
        <v/>
      </c>
      <c r="G485" s="7">
        <f>IF($B485="","",F485*L485/100)</f>
        <v/>
      </c>
      <c r="K485" s="7" t="n"/>
      <c r="L485" s="7" t="n"/>
      <c r="M485" s="7">
        <f>IF($B485="","",L485*T485/100)</f>
        <v/>
      </c>
      <c r="N485" s="7">
        <f>IF($B485="","",L485-M485)</f>
        <v/>
      </c>
      <c r="O485" s="7">
        <f>IF($B485="","",N485-G485)</f>
        <v/>
      </c>
      <c r="R485" s="14" t="n"/>
      <c r="T485">
        <f>IF($B485="","",IF($W485=1,Settings!$C$6,Settings!$C$7)*100)</f>
        <v/>
      </c>
      <c r="U485">
        <f>IF($B485="","",IF(COUNTIF($B$2:$B485,$B485)=1,1,0))</f>
        <v/>
      </c>
      <c r="V485">
        <f>IF($U485=1,SUMPRODUCT(--($X$2:$X$1501&lt;$X485))+1,"")</f>
        <v/>
      </c>
      <c r="W485">
        <f>IF($B485="","",IF(OR($S485=TRUE(),$S485="TRUE"),1,0))</f>
        <v/>
      </c>
      <c r="X485">
        <f>IF($U485=1,IFERROR(IF(VALUE($B485)&lt;100000000,VALUE($B485),1000000000),IFERROR(IF(VALUE(MID($B485,2,20))&lt;100000000,VALUE(MID($B485,2,20)),1000000000),1000000000))+ROW()/100000,"")</f>
        <v/>
      </c>
    </row>
    <row r="486">
      <c r="A486">
        <f>IF($B486="","",IFERROR(IF(INDEX('Per Invoice'!$C$2:$C$401,MATCH($B486,'Per Invoice'!$A$2:$A$401,0))=0,"",INDEX('Per Invoice'!$C$2:$C$401,MATCH($B486,'Per Invoice'!$A$2:$A$401,0))),""))</f>
        <v/>
      </c>
      <c r="G486" s="7">
        <f>IF($B486="","",F486*L486/100)</f>
        <v/>
      </c>
      <c r="K486" s="7" t="n"/>
      <c r="L486" s="7" t="n"/>
      <c r="M486" s="7">
        <f>IF($B486="","",L486*T486/100)</f>
        <v/>
      </c>
      <c r="N486" s="7">
        <f>IF($B486="","",L486-M486)</f>
        <v/>
      </c>
      <c r="O486" s="7">
        <f>IF($B486="","",N486-G486)</f>
        <v/>
      </c>
      <c r="R486" s="14" t="n"/>
      <c r="T486">
        <f>IF($B486="","",IF($W486=1,Settings!$C$6,Settings!$C$7)*100)</f>
        <v/>
      </c>
      <c r="U486">
        <f>IF($B486="","",IF(COUNTIF($B$2:$B486,$B486)=1,1,0))</f>
        <v/>
      </c>
      <c r="V486">
        <f>IF($U486=1,SUMPRODUCT(--($X$2:$X$1501&lt;$X486))+1,"")</f>
        <v/>
      </c>
      <c r="W486">
        <f>IF($B486="","",IF(OR($S486=TRUE(),$S486="TRUE"),1,0))</f>
        <v/>
      </c>
      <c r="X486">
        <f>IF($U486=1,IFERROR(IF(VALUE($B486)&lt;100000000,VALUE($B486),1000000000),IFERROR(IF(VALUE(MID($B486,2,20))&lt;100000000,VALUE(MID($B486,2,20)),1000000000),1000000000))+ROW()/100000,"")</f>
        <v/>
      </c>
    </row>
    <row r="487">
      <c r="A487">
        <f>IF($B487="","",IFERROR(IF(INDEX('Per Invoice'!$C$2:$C$401,MATCH($B487,'Per Invoice'!$A$2:$A$401,0))=0,"",INDEX('Per Invoice'!$C$2:$C$401,MATCH($B487,'Per Invoice'!$A$2:$A$401,0))),""))</f>
        <v/>
      </c>
      <c r="G487" s="7">
        <f>IF($B487="","",F487*L487/100)</f>
        <v/>
      </c>
      <c r="K487" s="7" t="n"/>
      <c r="L487" s="7" t="n"/>
      <c r="M487" s="7">
        <f>IF($B487="","",L487*T487/100)</f>
        <v/>
      </c>
      <c r="N487" s="7">
        <f>IF($B487="","",L487-M487)</f>
        <v/>
      </c>
      <c r="O487" s="7">
        <f>IF($B487="","",N487-G487)</f>
        <v/>
      </c>
      <c r="R487" s="14" t="n"/>
      <c r="T487">
        <f>IF($B487="","",IF($W487=1,Settings!$C$6,Settings!$C$7)*100)</f>
        <v/>
      </c>
      <c r="U487">
        <f>IF($B487="","",IF(COUNTIF($B$2:$B487,$B487)=1,1,0))</f>
        <v/>
      </c>
      <c r="V487">
        <f>IF($U487=1,SUMPRODUCT(--($X$2:$X$1501&lt;$X487))+1,"")</f>
        <v/>
      </c>
      <c r="W487">
        <f>IF($B487="","",IF(OR($S487=TRUE(),$S487="TRUE"),1,0))</f>
        <v/>
      </c>
      <c r="X487">
        <f>IF($U487=1,IFERROR(IF(VALUE($B487)&lt;100000000,VALUE($B487),1000000000),IFERROR(IF(VALUE(MID($B487,2,20))&lt;100000000,VALUE(MID($B487,2,20)),1000000000),1000000000))+ROW()/100000,"")</f>
        <v/>
      </c>
    </row>
    <row r="488">
      <c r="A488">
        <f>IF($B488="","",IFERROR(IF(INDEX('Per Invoice'!$C$2:$C$401,MATCH($B488,'Per Invoice'!$A$2:$A$401,0))=0,"",INDEX('Per Invoice'!$C$2:$C$401,MATCH($B488,'Per Invoice'!$A$2:$A$401,0))),""))</f>
        <v/>
      </c>
      <c r="G488" s="7">
        <f>IF($B488="","",F488*L488/100)</f>
        <v/>
      </c>
      <c r="K488" s="7" t="n"/>
      <c r="L488" s="7" t="n"/>
      <c r="M488" s="7">
        <f>IF($B488="","",L488*T488/100)</f>
        <v/>
      </c>
      <c r="N488" s="7">
        <f>IF($B488="","",L488-M488)</f>
        <v/>
      </c>
      <c r="O488" s="7">
        <f>IF($B488="","",N488-G488)</f>
        <v/>
      </c>
      <c r="R488" s="14" t="n"/>
      <c r="T488">
        <f>IF($B488="","",IF($W488=1,Settings!$C$6,Settings!$C$7)*100)</f>
        <v/>
      </c>
      <c r="U488">
        <f>IF($B488="","",IF(COUNTIF($B$2:$B488,$B488)=1,1,0))</f>
        <v/>
      </c>
      <c r="V488">
        <f>IF($U488=1,SUMPRODUCT(--($X$2:$X$1501&lt;$X488))+1,"")</f>
        <v/>
      </c>
      <c r="W488">
        <f>IF($B488="","",IF(OR($S488=TRUE(),$S488="TRUE"),1,0))</f>
        <v/>
      </c>
      <c r="X488">
        <f>IF($U488=1,IFERROR(IF(VALUE($B488)&lt;100000000,VALUE($B488),1000000000),IFERROR(IF(VALUE(MID($B488,2,20))&lt;100000000,VALUE(MID($B488,2,20)),1000000000),1000000000))+ROW()/100000,"")</f>
        <v/>
      </c>
    </row>
    <row r="489">
      <c r="A489">
        <f>IF($B489="","",IFERROR(IF(INDEX('Per Invoice'!$C$2:$C$401,MATCH($B489,'Per Invoice'!$A$2:$A$401,0))=0,"",INDEX('Per Invoice'!$C$2:$C$401,MATCH($B489,'Per Invoice'!$A$2:$A$401,0))),""))</f>
        <v/>
      </c>
      <c r="G489" s="7">
        <f>IF($B489="","",F489*L489/100)</f>
        <v/>
      </c>
      <c r="K489" s="7" t="n"/>
      <c r="L489" s="7" t="n"/>
      <c r="M489" s="7">
        <f>IF($B489="","",L489*T489/100)</f>
        <v/>
      </c>
      <c r="N489" s="7">
        <f>IF($B489="","",L489-M489)</f>
        <v/>
      </c>
      <c r="O489" s="7">
        <f>IF($B489="","",N489-G489)</f>
        <v/>
      </c>
      <c r="R489" s="14" t="n"/>
      <c r="T489">
        <f>IF($B489="","",IF($W489=1,Settings!$C$6,Settings!$C$7)*100)</f>
        <v/>
      </c>
      <c r="U489">
        <f>IF($B489="","",IF(COUNTIF($B$2:$B489,$B489)=1,1,0))</f>
        <v/>
      </c>
      <c r="V489">
        <f>IF($U489=1,SUMPRODUCT(--($X$2:$X$1501&lt;$X489))+1,"")</f>
        <v/>
      </c>
      <c r="W489">
        <f>IF($B489="","",IF(OR($S489=TRUE(),$S489="TRUE"),1,0))</f>
        <v/>
      </c>
      <c r="X489">
        <f>IF($U489=1,IFERROR(IF(VALUE($B489)&lt;100000000,VALUE($B489),1000000000),IFERROR(IF(VALUE(MID($B489,2,20))&lt;100000000,VALUE(MID($B489,2,20)),1000000000),1000000000))+ROW()/100000,"")</f>
        <v/>
      </c>
    </row>
    <row r="490">
      <c r="A490">
        <f>IF($B490="","",IFERROR(IF(INDEX('Per Invoice'!$C$2:$C$401,MATCH($B490,'Per Invoice'!$A$2:$A$401,0))=0,"",INDEX('Per Invoice'!$C$2:$C$401,MATCH($B490,'Per Invoice'!$A$2:$A$401,0))),""))</f>
        <v/>
      </c>
      <c r="G490" s="7">
        <f>IF($B490="","",F490*L490/100)</f>
        <v/>
      </c>
      <c r="K490" s="7" t="n"/>
      <c r="L490" s="7" t="n"/>
      <c r="M490" s="7">
        <f>IF($B490="","",L490*T490/100)</f>
        <v/>
      </c>
      <c r="N490" s="7">
        <f>IF($B490="","",L490-M490)</f>
        <v/>
      </c>
      <c r="O490" s="7">
        <f>IF($B490="","",N490-G490)</f>
        <v/>
      </c>
      <c r="R490" s="14" t="n"/>
      <c r="T490">
        <f>IF($B490="","",IF($W490=1,Settings!$C$6,Settings!$C$7)*100)</f>
        <v/>
      </c>
      <c r="U490">
        <f>IF($B490="","",IF(COUNTIF($B$2:$B490,$B490)=1,1,0))</f>
        <v/>
      </c>
      <c r="V490">
        <f>IF($U490=1,SUMPRODUCT(--($X$2:$X$1501&lt;$X490))+1,"")</f>
        <v/>
      </c>
      <c r="W490">
        <f>IF($B490="","",IF(OR($S490=TRUE(),$S490="TRUE"),1,0))</f>
        <v/>
      </c>
      <c r="X490">
        <f>IF($U490=1,IFERROR(IF(VALUE($B490)&lt;100000000,VALUE($B490),1000000000),IFERROR(IF(VALUE(MID($B490,2,20))&lt;100000000,VALUE(MID($B490,2,20)),1000000000),1000000000))+ROW()/100000,"")</f>
        <v/>
      </c>
    </row>
    <row r="491">
      <c r="A491">
        <f>IF($B491="","",IFERROR(IF(INDEX('Per Invoice'!$C$2:$C$401,MATCH($B491,'Per Invoice'!$A$2:$A$401,0))=0,"",INDEX('Per Invoice'!$C$2:$C$401,MATCH($B491,'Per Invoice'!$A$2:$A$401,0))),""))</f>
        <v/>
      </c>
      <c r="G491" s="7">
        <f>IF($B491="","",F491*L491/100)</f>
        <v/>
      </c>
      <c r="K491" s="7" t="n"/>
      <c r="L491" s="7" t="n"/>
      <c r="M491" s="7">
        <f>IF($B491="","",L491*T491/100)</f>
        <v/>
      </c>
      <c r="N491" s="7">
        <f>IF($B491="","",L491-M491)</f>
        <v/>
      </c>
      <c r="O491" s="7">
        <f>IF($B491="","",N491-G491)</f>
        <v/>
      </c>
      <c r="R491" s="14" t="n"/>
      <c r="T491">
        <f>IF($B491="","",IF($W491=1,Settings!$C$6,Settings!$C$7)*100)</f>
        <v/>
      </c>
      <c r="U491">
        <f>IF($B491="","",IF(COUNTIF($B$2:$B491,$B491)=1,1,0))</f>
        <v/>
      </c>
      <c r="V491">
        <f>IF($U491=1,SUMPRODUCT(--($X$2:$X$1501&lt;$X491))+1,"")</f>
        <v/>
      </c>
      <c r="W491">
        <f>IF($B491="","",IF(OR($S491=TRUE(),$S491="TRUE"),1,0))</f>
        <v/>
      </c>
      <c r="X491">
        <f>IF($U491=1,IFERROR(IF(VALUE($B491)&lt;100000000,VALUE($B491),1000000000),IFERROR(IF(VALUE(MID($B491,2,20))&lt;100000000,VALUE(MID($B491,2,20)),1000000000),1000000000))+ROW()/100000,"")</f>
        <v/>
      </c>
    </row>
    <row r="492">
      <c r="A492">
        <f>IF($B492="","",IFERROR(IF(INDEX('Per Invoice'!$C$2:$C$401,MATCH($B492,'Per Invoice'!$A$2:$A$401,0))=0,"",INDEX('Per Invoice'!$C$2:$C$401,MATCH($B492,'Per Invoice'!$A$2:$A$401,0))),""))</f>
        <v/>
      </c>
      <c r="G492" s="7">
        <f>IF($B492="","",F492*L492/100)</f>
        <v/>
      </c>
      <c r="K492" s="7" t="n"/>
      <c r="L492" s="7" t="n"/>
      <c r="M492" s="7">
        <f>IF($B492="","",L492*T492/100)</f>
        <v/>
      </c>
      <c r="N492" s="7">
        <f>IF($B492="","",L492-M492)</f>
        <v/>
      </c>
      <c r="O492" s="7">
        <f>IF($B492="","",N492-G492)</f>
        <v/>
      </c>
      <c r="R492" s="14" t="n"/>
      <c r="T492">
        <f>IF($B492="","",IF($W492=1,Settings!$C$6,Settings!$C$7)*100)</f>
        <v/>
      </c>
      <c r="U492">
        <f>IF($B492="","",IF(COUNTIF($B$2:$B492,$B492)=1,1,0))</f>
        <v/>
      </c>
      <c r="V492">
        <f>IF($U492=1,SUMPRODUCT(--($X$2:$X$1501&lt;$X492))+1,"")</f>
        <v/>
      </c>
      <c r="W492">
        <f>IF($B492="","",IF(OR($S492=TRUE(),$S492="TRUE"),1,0))</f>
        <v/>
      </c>
      <c r="X492">
        <f>IF($U492=1,IFERROR(IF(VALUE($B492)&lt;100000000,VALUE($B492),1000000000),IFERROR(IF(VALUE(MID($B492,2,20))&lt;100000000,VALUE(MID($B492,2,20)),1000000000),1000000000))+ROW()/100000,"")</f>
        <v/>
      </c>
    </row>
    <row r="493">
      <c r="A493">
        <f>IF($B493="","",IFERROR(IF(INDEX('Per Invoice'!$C$2:$C$401,MATCH($B493,'Per Invoice'!$A$2:$A$401,0))=0,"",INDEX('Per Invoice'!$C$2:$C$401,MATCH($B493,'Per Invoice'!$A$2:$A$401,0))),""))</f>
        <v/>
      </c>
      <c r="G493" s="7">
        <f>IF($B493="","",F493*L493/100)</f>
        <v/>
      </c>
      <c r="K493" s="7" t="n"/>
      <c r="L493" s="7" t="n"/>
      <c r="M493" s="7">
        <f>IF($B493="","",L493*T493/100)</f>
        <v/>
      </c>
      <c r="N493" s="7">
        <f>IF($B493="","",L493-M493)</f>
        <v/>
      </c>
      <c r="O493" s="7">
        <f>IF($B493="","",N493-G493)</f>
        <v/>
      </c>
      <c r="R493" s="14" t="n"/>
      <c r="T493">
        <f>IF($B493="","",IF($W493=1,Settings!$C$6,Settings!$C$7)*100)</f>
        <v/>
      </c>
      <c r="U493">
        <f>IF($B493="","",IF(COUNTIF($B$2:$B493,$B493)=1,1,0))</f>
        <v/>
      </c>
      <c r="V493">
        <f>IF($U493=1,SUMPRODUCT(--($X$2:$X$1501&lt;$X493))+1,"")</f>
        <v/>
      </c>
      <c r="W493">
        <f>IF($B493="","",IF(OR($S493=TRUE(),$S493="TRUE"),1,0))</f>
        <v/>
      </c>
      <c r="X493">
        <f>IF($U493=1,IFERROR(IF(VALUE($B493)&lt;100000000,VALUE($B493),1000000000),IFERROR(IF(VALUE(MID($B493,2,20))&lt;100000000,VALUE(MID($B493,2,20)),1000000000),1000000000))+ROW()/100000,"")</f>
        <v/>
      </c>
    </row>
    <row r="494">
      <c r="A494">
        <f>IF($B494="","",IFERROR(IF(INDEX('Per Invoice'!$C$2:$C$401,MATCH($B494,'Per Invoice'!$A$2:$A$401,0))=0,"",INDEX('Per Invoice'!$C$2:$C$401,MATCH($B494,'Per Invoice'!$A$2:$A$401,0))),""))</f>
        <v/>
      </c>
      <c r="G494" s="7">
        <f>IF($B494="","",F494*L494/100)</f>
        <v/>
      </c>
      <c r="K494" s="7" t="n"/>
      <c r="L494" s="7" t="n"/>
      <c r="M494" s="7">
        <f>IF($B494="","",L494*T494/100)</f>
        <v/>
      </c>
      <c r="N494" s="7">
        <f>IF($B494="","",L494-M494)</f>
        <v/>
      </c>
      <c r="O494" s="7">
        <f>IF($B494="","",N494-G494)</f>
        <v/>
      </c>
      <c r="R494" s="14" t="n"/>
      <c r="T494">
        <f>IF($B494="","",IF($W494=1,Settings!$C$6,Settings!$C$7)*100)</f>
        <v/>
      </c>
      <c r="U494">
        <f>IF($B494="","",IF(COUNTIF($B$2:$B494,$B494)=1,1,0))</f>
        <v/>
      </c>
      <c r="V494">
        <f>IF($U494=1,SUMPRODUCT(--($X$2:$X$1501&lt;$X494))+1,"")</f>
        <v/>
      </c>
      <c r="W494">
        <f>IF($B494="","",IF(OR($S494=TRUE(),$S494="TRUE"),1,0))</f>
        <v/>
      </c>
      <c r="X494">
        <f>IF($U494=1,IFERROR(IF(VALUE($B494)&lt;100000000,VALUE($B494),1000000000),IFERROR(IF(VALUE(MID($B494,2,20))&lt;100000000,VALUE(MID($B494,2,20)),1000000000),1000000000))+ROW()/100000,"")</f>
        <v/>
      </c>
    </row>
    <row r="495">
      <c r="A495">
        <f>IF($B495="","",IFERROR(IF(INDEX('Per Invoice'!$C$2:$C$401,MATCH($B495,'Per Invoice'!$A$2:$A$401,0))=0,"",INDEX('Per Invoice'!$C$2:$C$401,MATCH($B495,'Per Invoice'!$A$2:$A$401,0))),""))</f>
        <v/>
      </c>
      <c r="G495" s="7">
        <f>IF($B495="","",F495*L495/100)</f>
        <v/>
      </c>
      <c r="K495" s="7" t="n"/>
      <c r="L495" s="7" t="n"/>
      <c r="M495" s="7">
        <f>IF($B495="","",L495*T495/100)</f>
        <v/>
      </c>
      <c r="N495" s="7">
        <f>IF($B495="","",L495-M495)</f>
        <v/>
      </c>
      <c r="O495" s="7">
        <f>IF($B495="","",N495-G495)</f>
        <v/>
      </c>
      <c r="R495" s="14" t="n"/>
      <c r="T495">
        <f>IF($B495="","",IF($W495=1,Settings!$C$6,Settings!$C$7)*100)</f>
        <v/>
      </c>
      <c r="U495">
        <f>IF($B495="","",IF(COUNTIF($B$2:$B495,$B495)=1,1,0))</f>
        <v/>
      </c>
      <c r="V495">
        <f>IF($U495=1,SUMPRODUCT(--($X$2:$X$1501&lt;$X495))+1,"")</f>
        <v/>
      </c>
      <c r="W495">
        <f>IF($B495="","",IF(OR($S495=TRUE(),$S495="TRUE"),1,0))</f>
        <v/>
      </c>
      <c r="X495">
        <f>IF($U495=1,IFERROR(IF(VALUE($B495)&lt;100000000,VALUE($B495),1000000000),IFERROR(IF(VALUE(MID($B495,2,20))&lt;100000000,VALUE(MID($B495,2,20)),1000000000),1000000000))+ROW()/100000,"")</f>
        <v/>
      </c>
    </row>
    <row r="496">
      <c r="A496">
        <f>IF($B496="","",IFERROR(IF(INDEX('Per Invoice'!$C$2:$C$401,MATCH($B496,'Per Invoice'!$A$2:$A$401,0))=0,"",INDEX('Per Invoice'!$C$2:$C$401,MATCH($B496,'Per Invoice'!$A$2:$A$401,0))),""))</f>
        <v/>
      </c>
      <c r="G496" s="7">
        <f>IF($B496="","",F496*L496/100)</f>
        <v/>
      </c>
      <c r="K496" s="7" t="n"/>
      <c r="L496" s="7" t="n"/>
      <c r="M496" s="7">
        <f>IF($B496="","",L496*T496/100)</f>
        <v/>
      </c>
      <c r="N496" s="7">
        <f>IF($B496="","",L496-M496)</f>
        <v/>
      </c>
      <c r="O496" s="7">
        <f>IF($B496="","",N496-G496)</f>
        <v/>
      </c>
      <c r="R496" s="14" t="n"/>
      <c r="T496">
        <f>IF($B496="","",IF($W496=1,Settings!$C$6,Settings!$C$7)*100)</f>
        <v/>
      </c>
      <c r="U496">
        <f>IF($B496="","",IF(COUNTIF($B$2:$B496,$B496)=1,1,0))</f>
        <v/>
      </c>
      <c r="V496">
        <f>IF($U496=1,SUMPRODUCT(--($X$2:$X$1501&lt;$X496))+1,"")</f>
        <v/>
      </c>
      <c r="W496">
        <f>IF($B496="","",IF(OR($S496=TRUE(),$S496="TRUE"),1,0))</f>
        <v/>
      </c>
      <c r="X496">
        <f>IF($U496=1,IFERROR(IF(VALUE($B496)&lt;100000000,VALUE($B496),1000000000),IFERROR(IF(VALUE(MID($B496,2,20))&lt;100000000,VALUE(MID($B496,2,20)),1000000000),1000000000))+ROW()/100000,"")</f>
        <v/>
      </c>
    </row>
    <row r="497">
      <c r="A497">
        <f>IF($B497="","",IFERROR(IF(INDEX('Per Invoice'!$C$2:$C$401,MATCH($B497,'Per Invoice'!$A$2:$A$401,0))=0,"",INDEX('Per Invoice'!$C$2:$C$401,MATCH($B497,'Per Invoice'!$A$2:$A$401,0))),""))</f>
        <v/>
      </c>
      <c r="G497" s="7">
        <f>IF($B497="","",F497*L497/100)</f>
        <v/>
      </c>
      <c r="K497" s="7" t="n"/>
      <c r="L497" s="7" t="n"/>
      <c r="M497" s="7">
        <f>IF($B497="","",L497*T497/100)</f>
        <v/>
      </c>
      <c r="N497" s="7">
        <f>IF($B497="","",L497-M497)</f>
        <v/>
      </c>
      <c r="O497" s="7">
        <f>IF($B497="","",N497-G497)</f>
        <v/>
      </c>
      <c r="R497" s="14" t="n"/>
      <c r="T497">
        <f>IF($B497="","",IF($W497=1,Settings!$C$6,Settings!$C$7)*100)</f>
        <v/>
      </c>
      <c r="U497">
        <f>IF($B497="","",IF(COUNTIF($B$2:$B497,$B497)=1,1,0))</f>
        <v/>
      </c>
      <c r="V497">
        <f>IF($U497=1,SUMPRODUCT(--($X$2:$X$1501&lt;$X497))+1,"")</f>
        <v/>
      </c>
      <c r="W497">
        <f>IF($B497="","",IF(OR($S497=TRUE(),$S497="TRUE"),1,0))</f>
        <v/>
      </c>
      <c r="X497">
        <f>IF($U497=1,IFERROR(IF(VALUE($B497)&lt;100000000,VALUE($B497),1000000000),IFERROR(IF(VALUE(MID($B497,2,20))&lt;100000000,VALUE(MID($B497,2,20)),1000000000),1000000000))+ROW()/100000,"")</f>
        <v/>
      </c>
    </row>
    <row r="498">
      <c r="A498">
        <f>IF($B498="","",IFERROR(IF(INDEX('Per Invoice'!$C$2:$C$401,MATCH($B498,'Per Invoice'!$A$2:$A$401,0))=0,"",INDEX('Per Invoice'!$C$2:$C$401,MATCH($B498,'Per Invoice'!$A$2:$A$401,0))),""))</f>
        <v/>
      </c>
      <c r="G498" s="7">
        <f>IF($B498="","",F498*L498/100)</f>
        <v/>
      </c>
      <c r="K498" s="7" t="n"/>
      <c r="L498" s="7" t="n"/>
      <c r="M498" s="7">
        <f>IF($B498="","",L498*T498/100)</f>
        <v/>
      </c>
      <c r="N498" s="7">
        <f>IF($B498="","",L498-M498)</f>
        <v/>
      </c>
      <c r="O498" s="7">
        <f>IF($B498="","",N498-G498)</f>
        <v/>
      </c>
      <c r="R498" s="14" t="n"/>
      <c r="T498">
        <f>IF($B498="","",IF($W498=1,Settings!$C$6,Settings!$C$7)*100)</f>
        <v/>
      </c>
      <c r="U498">
        <f>IF($B498="","",IF(COUNTIF($B$2:$B498,$B498)=1,1,0))</f>
        <v/>
      </c>
      <c r="V498">
        <f>IF($U498=1,SUMPRODUCT(--($X$2:$X$1501&lt;$X498))+1,"")</f>
        <v/>
      </c>
      <c r="W498">
        <f>IF($B498="","",IF(OR($S498=TRUE(),$S498="TRUE"),1,0))</f>
        <v/>
      </c>
      <c r="X498">
        <f>IF($U498=1,IFERROR(IF(VALUE($B498)&lt;100000000,VALUE($B498),1000000000),IFERROR(IF(VALUE(MID($B498,2,20))&lt;100000000,VALUE(MID($B498,2,20)),1000000000),1000000000))+ROW()/100000,"")</f>
        <v/>
      </c>
    </row>
    <row r="499">
      <c r="A499">
        <f>IF($B499="","",IFERROR(IF(INDEX('Per Invoice'!$C$2:$C$401,MATCH($B499,'Per Invoice'!$A$2:$A$401,0))=0,"",INDEX('Per Invoice'!$C$2:$C$401,MATCH($B499,'Per Invoice'!$A$2:$A$401,0))),""))</f>
        <v/>
      </c>
      <c r="G499" s="7">
        <f>IF($B499="","",F499*L499/100)</f>
        <v/>
      </c>
      <c r="K499" s="7" t="n"/>
      <c r="L499" s="7" t="n"/>
      <c r="M499" s="7">
        <f>IF($B499="","",L499*T499/100)</f>
        <v/>
      </c>
      <c r="N499" s="7">
        <f>IF($B499="","",L499-M499)</f>
        <v/>
      </c>
      <c r="O499" s="7">
        <f>IF($B499="","",N499-G499)</f>
        <v/>
      </c>
      <c r="R499" s="14" t="n"/>
      <c r="T499">
        <f>IF($B499="","",IF($W499=1,Settings!$C$6,Settings!$C$7)*100)</f>
        <v/>
      </c>
      <c r="U499">
        <f>IF($B499="","",IF(COUNTIF($B$2:$B499,$B499)=1,1,0))</f>
        <v/>
      </c>
      <c r="V499">
        <f>IF($U499=1,SUMPRODUCT(--($X$2:$X$1501&lt;$X499))+1,"")</f>
        <v/>
      </c>
      <c r="W499">
        <f>IF($B499="","",IF(OR($S499=TRUE(),$S499="TRUE"),1,0))</f>
        <v/>
      </c>
      <c r="X499">
        <f>IF($U499=1,IFERROR(IF(VALUE($B499)&lt;100000000,VALUE($B499),1000000000),IFERROR(IF(VALUE(MID($B499,2,20))&lt;100000000,VALUE(MID($B499,2,20)),1000000000),1000000000))+ROW()/100000,"")</f>
        <v/>
      </c>
    </row>
    <row r="500">
      <c r="A500">
        <f>IF($B500="","",IFERROR(IF(INDEX('Per Invoice'!$C$2:$C$401,MATCH($B500,'Per Invoice'!$A$2:$A$401,0))=0,"",INDEX('Per Invoice'!$C$2:$C$401,MATCH($B500,'Per Invoice'!$A$2:$A$401,0))),""))</f>
        <v/>
      </c>
      <c r="G500" s="7">
        <f>IF($B500="","",F500*L500/100)</f>
        <v/>
      </c>
      <c r="K500" s="7" t="n"/>
      <c r="L500" s="7" t="n"/>
      <c r="M500" s="7">
        <f>IF($B500="","",L500*T500/100)</f>
        <v/>
      </c>
      <c r="N500" s="7">
        <f>IF($B500="","",L500-M500)</f>
        <v/>
      </c>
      <c r="O500" s="7">
        <f>IF($B500="","",N500-G500)</f>
        <v/>
      </c>
      <c r="R500" s="14" t="n"/>
      <c r="T500">
        <f>IF($B500="","",IF($W500=1,Settings!$C$6,Settings!$C$7)*100)</f>
        <v/>
      </c>
      <c r="U500">
        <f>IF($B500="","",IF(COUNTIF($B$2:$B500,$B500)=1,1,0))</f>
        <v/>
      </c>
      <c r="V500">
        <f>IF($U500=1,SUMPRODUCT(--($X$2:$X$1501&lt;$X500))+1,"")</f>
        <v/>
      </c>
      <c r="W500">
        <f>IF($B500="","",IF(OR($S500=TRUE(),$S500="TRUE"),1,0))</f>
        <v/>
      </c>
      <c r="X500">
        <f>IF($U500=1,IFERROR(IF(VALUE($B500)&lt;100000000,VALUE($B500),1000000000),IFERROR(IF(VALUE(MID($B500,2,20))&lt;100000000,VALUE(MID($B500,2,20)),1000000000),1000000000))+ROW()/100000,"")</f>
        <v/>
      </c>
    </row>
    <row r="501">
      <c r="A501">
        <f>IF($B501="","",IFERROR(IF(INDEX('Per Invoice'!$C$2:$C$401,MATCH($B501,'Per Invoice'!$A$2:$A$401,0))=0,"",INDEX('Per Invoice'!$C$2:$C$401,MATCH($B501,'Per Invoice'!$A$2:$A$401,0))),""))</f>
        <v/>
      </c>
      <c r="G501" s="7">
        <f>IF($B501="","",F501*L501/100)</f>
        <v/>
      </c>
      <c r="K501" s="7" t="n"/>
      <c r="L501" s="7" t="n"/>
      <c r="M501" s="7">
        <f>IF($B501="","",L501*T501/100)</f>
        <v/>
      </c>
      <c r="N501" s="7">
        <f>IF($B501="","",L501-M501)</f>
        <v/>
      </c>
      <c r="O501" s="7">
        <f>IF($B501="","",N501-G501)</f>
        <v/>
      </c>
      <c r="R501" s="14" t="n"/>
      <c r="T501">
        <f>IF($B501="","",IF($W501=1,Settings!$C$6,Settings!$C$7)*100)</f>
        <v/>
      </c>
      <c r="U501">
        <f>IF($B501="","",IF(COUNTIF($B$2:$B501,$B501)=1,1,0))</f>
        <v/>
      </c>
      <c r="V501">
        <f>IF($U501=1,SUMPRODUCT(--($X$2:$X$1501&lt;$X501))+1,"")</f>
        <v/>
      </c>
      <c r="W501">
        <f>IF($B501="","",IF(OR($S501=TRUE(),$S501="TRUE"),1,0))</f>
        <v/>
      </c>
      <c r="X501">
        <f>IF($U501=1,IFERROR(IF(VALUE($B501)&lt;100000000,VALUE($B501),1000000000),IFERROR(IF(VALUE(MID($B501,2,20))&lt;100000000,VALUE(MID($B501,2,20)),1000000000),1000000000))+ROW()/100000,"")</f>
        <v/>
      </c>
    </row>
    <row r="502">
      <c r="A502">
        <f>IF($B502="","",IFERROR(IF(INDEX('Per Invoice'!$C$2:$C$401,MATCH($B502,'Per Invoice'!$A$2:$A$401,0))=0,"",INDEX('Per Invoice'!$C$2:$C$401,MATCH($B502,'Per Invoice'!$A$2:$A$401,0))),""))</f>
        <v/>
      </c>
      <c r="G502" s="7">
        <f>IF($B502="","",F502*L502/100)</f>
        <v/>
      </c>
      <c r="K502" s="7" t="n"/>
      <c r="L502" s="7" t="n"/>
      <c r="M502" s="7">
        <f>IF($B502="","",L502*T502/100)</f>
        <v/>
      </c>
      <c r="N502" s="7">
        <f>IF($B502="","",L502-M502)</f>
        <v/>
      </c>
      <c r="O502" s="7">
        <f>IF($B502="","",N502-G502)</f>
        <v/>
      </c>
      <c r="R502" s="14" t="n"/>
      <c r="T502">
        <f>IF($B502="","",IF($W502=1,Settings!$C$6,Settings!$C$7)*100)</f>
        <v/>
      </c>
      <c r="U502">
        <f>IF($B502="","",IF(COUNTIF($B$2:$B502,$B502)=1,1,0))</f>
        <v/>
      </c>
      <c r="V502">
        <f>IF($U502=1,SUMPRODUCT(--($X$2:$X$1501&lt;$X502))+1,"")</f>
        <v/>
      </c>
      <c r="W502">
        <f>IF($B502="","",IF(OR($S502=TRUE(),$S502="TRUE"),1,0))</f>
        <v/>
      </c>
      <c r="X502">
        <f>IF($U502=1,IFERROR(IF(VALUE($B502)&lt;100000000,VALUE($B502),1000000000),IFERROR(IF(VALUE(MID($B502,2,20))&lt;100000000,VALUE(MID($B502,2,20)),1000000000),1000000000))+ROW()/100000,"")</f>
        <v/>
      </c>
    </row>
    <row r="503">
      <c r="A503">
        <f>IF($B503="","",IFERROR(IF(INDEX('Per Invoice'!$C$2:$C$401,MATCH($B503,'Per Invoice'!$A$2:$A$401,0))=0,"",INDEX('Per Invoice'!$C$2:$C$401,MATCH($B503,'Per Invoice'!$A$2:$A$401,0))),""))</f>
        <v/>
      </c>
      <c r="G503" s="7">
        <f>IF($B503="","",F503*L503/100)</f>
        <v/>
      </c>
      <c r="K503" s="7" t="n"/>
      <c r="L503" s="7" t="n"/>
      <c r="M503" s="7">
        <f>IF($B503="","",L503*T503/100)</f>
        <v/>
      </c>
      <c r="N503" s="7">
        <f>IF($B503="","",L503-M503)</f>
        <v/>
      </c>
      <c r="O503" s="7">
        <f>IF($B503="","",N503-G503)</f>
        <v/>
      </c>
      <c r="R503" s="14" t="n"/>
      <c r="T503">
        <f>IF($B503="","",IF($W503=1,Settings!$C$6,Settings!$C$7)*100)</f>
        <v/>
      </c>
      <c r="U503">
        <f>IF($B503="","",IF(COUNTIF($B$2:$B503,$B503)=1,1,0))</f>
        <v/>
      </c>
      <c r="V503">
        <f>IF($U503=1,SUMPRODUCT(--($X$2:$X$1501&lt;$X503))+1,"")</f>
        <v/>
      </c>
      <c r="W503">
        <f>IF($B503="","",IF(OR($S503=TRUE(),$S503="TRUE"),1,0))</f>
        <v/>
      </c>
      <c r="X503">
        <f>IF($U503=1,IFERROR(IF(VALUE($B503)&lt;100000000,VALUE($B503),1000000000),IFERROR(IF(VALUE(MID($B503,2,20))&lt;100000000,VALUE(MID($B503,2,20)),1000000000),1000000000))+ROW()/100000,"")</f>
        <v/>
      </c>
    </row>
    <row r="504">
      <c r="A504">
        <f>IF($B504="","",IFERROR(IF(INDEX('Per Invoice'!$C$2:$C$401,MATCH($B504,'Per Invoice'!$A$2:$A$401,0))=0,"",INDEX('Per Invoice'!$C$2:$C$401,MATCH($B504,'Per Invoice'!$A$2:$A$401,0))),""))</f>
        <v/>
      </c>
      <c r="G504" s="7">
        <f>IF($B504="","",F504*L504/100)</f>
        <v/>
      </c>
      <c r="K504" s="7" t="n"/>
      <c r="L504" s="7" t="n"/>
      <c r="M504" s="7">
        <f>IF($B504="","",L504*T504/100)</f>
        <v/>
      </c>
      <c r="N504" s="7">
        <f>IF($B504="","",L504-M504)</f>
        <v/>
      </c>
      <c r="O504" s="7">
        <f>IF($B504="","",N504-G504)</f>
        <v/>
      </c>
      <c r="R504" s="14" t="n"/>
      <c r="T504">
        <f>IF($B504="","",IF($W504=1,Settings!$C$6,Settings!$C$7)*100)</f>
        <v/>
      </c>
      <c r="U504">
        <f>IF($B504="","",IF(COUNTIF($B$2:$B504,$B504)=1,1,0))</f>
        <v/>
      </c>
      <c r="V504">
        <f>IF($U504=1,SUMPRODUCT(--($X$2:$X$1501&lt;$X504))+1,"")</f>
        <v/>
      </c>
      <c r="W504">
        <f>IF($B504="","",IF(OR($S504=TRUE(),$S504="TRUE"),1,0))</f>
        <v/>
      </c>
      <c r="X504">
        <f>IF($U504=1,IFERROR(IF(VALUE($B504)&lt;100000000,VALUE($B504),1000000000),IFERROR(IF(VALUE(MID($B504,2,20))&lt;100000000,VALUE(MID($B504,2,20)),1000000000),1000000000))+ROW()/100000,"")</f>
        <v/>
      </c>
    </row>
    <row r="505">
      <c r="A505">
        <f>IF($B505="","",IFERROR(IF(INDEX('Per Invoice'!$C$2:$C$401,MATCH($B505,'Per Invoice'!$A$2:$A$401,0))=0,"",INDEX('Per Invoice'!$C$2:$C$401,MATCH($B505,'Per Invoice'!$A$2:$A$401,0))),""))</f>
        <v/>
      </c>
      <c r="G505" s="7">
        <f>IF($B505="","",F505*L505/100)</f>
        <v/>
      </c>
      <c r="K505" s="7" t="n"/>
      <c r="L505" s="7" t="n"/>
      <c r="M505" s="7">
        <f>IF($B505="","",L505*T505/100)</f>
        <v/>
      </c>
      <c r="N505" s="7">
        <f>IF($B505="","",L505-M505)</f>
        <v/>
      </c>
      <c r="O505" s="7">
        <f>IF($B505="","",N505-G505)</f>
        <v/>
      </c>
      <c r="R505" s="14" t="n"/>
      <c r="T505">
        <f>IF($B505="","",IF($W505=1,Settings!$C$6,Settings!$C$7)*100)</f>
        <v/>
      </c>
      <c r="U505">
        <f>IF($B505="","",IF(COUNTIF($B$2:$B505,$B505)=1,1,0))</f>
        <v/>
      </c>
      <c r="V505">
        <f>IF($U505=1,SUMPRODUCT(--($X$2:$X$1501&lt;$X505))+1,"")</f>
        <v/>
      </c>
      <c r="W505">
        <f>IF($B505="","",IF(OR($S505=TRUE(),$S505="TRUE"),1,0))</f>
        <v/>
      </c>
      <c r="X505">
        <f>IF($U505=1,IFERROR(IF(VALUE($B505)&lt;100000000,VALUE($B505),1000000000),IFERROR(IF(VALUE(MID($B505,2,20))&lt;100000000,VALUE(MID($B505,2,20)),1000000000),1000000000))+ROW()/100000,"")</f>
        <v/>
      </c>
    </row>
    <row r="506">
      <c r="A506">
        <f>IF($B506="","",IFERROR(IF(INDEX('Per Invoice'!$C$2:$C$401,MATCH($B506,'Per Invoice'!$A$2:$A$401,0))=0,"",INDEX('Per Invoice'!$C$2:$C$401,MATCH($B506,'Per Invoice'!$A$2:$A$401,0))),""))</f>
        <v/>
      </c>
      <c r="G506" s="7">
        <f>IF($B506="","",F506*L506/100)</f>
        <v/>
      </c>
      <c r="K506" s="7" t="n"/>
      <c r="L506" s="7" t="n"/>
      <c r="M506" s="7">
        <f>IF($B506="","",L506*T506/100)</f>
        <v/>
      </c>
      <c r="N506" s="7">
        <f>IF($B506="","",L506-M506)</f>
        <v/>
      </c>
      <c r="O506" s="7">
        <f>IF($B506="","",N506-G506)</f>
        <v/>
      </c>
      <c r="R506" s="14" t="n"/>
      <c r="T506">
        <f>IF($B506="","",IF($W506=1,Settings!$C$6,Settings!$C$7)*100)</f>
        <v/>
      </c>
      <c r="U506">
        <f>IF($B506="","",IF(COUNTIF($B$2:$B506,$B506)=1,1,0))</f>
        <v/>
      </c>
      <c r="V506">
        <f>IF($U506=1,SUMPRODUCT(--($X$2:$X$1501&lt;$X506))+1,"")</f>
        <v/>
      </c>
      <c r="W506">
        <f>IF($B506="","",IF(OR($S506=TRUE(),$S506="TRUE"),1,0))</f>
        <v/>
      </c>
      <c r="X506">
        <f>IF($U506=1,IFERROR(IF(VALUE($B506)&lt;100000000,VALUE($B506),1000000000),IFERROR(IF(VALUE(MID($B506,2,20))&lt;100000000,VALUE(MID($B506,2,20)),1000000000),1000000000))+ROW()/100000,"")</f>
        <v/>
      </c>
    </row>
    <row r="507">
      <c r="A507">
        <f>IF($B507="","",IFERROR(IF(INDEX('Per Invoice'!$C$2:$C$401,MATCH($B507,'Per Invoice'!$A$2:$A$401,0))=0,"",INDEX('Per Invoice'!$C$2:$C$401,MATCH($B507,'Per Invoice'!$A$2:$A$401,0))),""))</f>
        <v/>
      </c>
      <c r="G507" s="7">
        <f>IF($B507="","",F507*L507/100)</f>
        <v/>
      </c>
      <c r="K507" s="7" t="n"/>
      <c r="L507" s="7" t="n"/>
      <c r="M507" s="7">
        <f>IF($B507="","",L507*T507/100)</f>
        <v/>
      </c>
      <c r="N507" s="7">
        <f>IF($B507="","",L507-M507)</f>
        <v/>
      </c>
      <c r="O507" s="7">
        <f>IF($B507="","",N507-G507)</f>
        <v/>
      </c>
      <c r="R507" s="14" t="n"/>
      <c r="T507">
        <f>IF($B507="","",IF($W507=1,Settings!$C$6,Settings!$C$7)*100)</f>
        <v/>
      </c>
      <c r="U507">
        <f>IF($B507="","",IF(COUNTIF($B$2:$B507,$B507)=1,1,0))</f>
        <v/>
      </c>
      <c r="V507">
        <f>IF($U507=1,SUMPRODUCT(--($X$2:$X$1501&lt;$X507))+1,"")</f>
        <v/>
      </c>
      <c r="W507">
        <f>IF($B507="","",IF(OR($S507=TRUE(),$S507="TRUE"),1,0))</f>
        <v/>
      </c>
      <c r="X507">
        <f>IF($U507=1,IFERROR(IF(VALUE($B507)&lt;100000000,VALUE($B507),1000000000),IFERROR(IF(VALUE(MID($B507,2,20))&lt;100000000,VALUE(MID($B507,2,20)),1000000000),1000000000))+ROW()/100000,"")</f>
        <v/>
      </c>
    </row>
    <row r="508">
      <c r="A508">
        <f>IF($B508="","",IFERROR(IF(INDEX('Per Invoice'!$C$2:$C$401,MATCH($B508,'Per Invoice'!$A$2:$A$401,0))=0,"",INDEX('Per Invoice'!$C$2:$C$401,MATCH($B508,'Per Invoice'!$A$2:$A$401,0))),""))</f>
        <v/>
      </c>
      <c r="G508" s="7">
        <f>IF($B508="","",F508*L508/100)</f>
        <v/>
      </c>
      <c r="K508" s="7" t="n"/>
      <c r="L508" s="7" t="n"/>
      <c r="M508" s="7">
        <f>IF($B508="","",L508*T508/100)</f>
        <v/>
      </c>
      <c r="N508" s="7">
        <f>IF($B508="","",L508-M508)</f>
        <v/>
      </c>
      <c r="O508" s="7">
        <f>IF($B508="","",N508-G508)</f>
        <v/>
      </c>
      <c r="R508" s="14" t="n"/>
      <c r="T508">
        <f>IF($B508="","",IF($W508=1,Settings!$C$6,Settings!$C$7)*100)</f>
        <v/>
      </c>
      <c r="U508">
        <f>IF($B508="","",IF(COUNTIF($B$2:$B508,$B508)=1,1,0))</f>
        <v/>
      </c>
      <c r="V508">
        <f>IF($U508=1,SUMPRODUCT(--($X$2:$X$1501&lt;$X508))+1,"")</f>
        <v/>
      </c>
      <c r="W508">
        <f>IF($B508="","",IF(OR($S508=TRUE(),$S508="TRUE"),1,0))</f>
        <v/>
      </c>
      <c r="X508">
        <f>IF($U508=1,IFERROR(IF(VALUE($B508)&lt;100000000,VALUE($B508),1000000000),IFERROR(IF(VALUE(MID($B508,2,20))&lt;100000000,VALUE(MID($B508,2,20)),1000000000),1000000000))+ROW()/100000,"")</f>
        <v/>
      </c>
    </row>
    <row r="509">
      <c r="A509">
        <f>IF($B509="","",IFERROR(IF(INDEX('Per Invoice'!$C$2:$C$401,MATCH($B509,'Per Invoice'!$A$2:$A$401,0))=0,"",INDEX('Per Invoice'!$C$2:$C$401,MATCH($B509,'Per Invoice'!$A$2:$A$401,0))),""))</f>
        <v/>
      </c>
      <c r="G509" s="7">
        <f>IF($B509="","",F509*L509/100)</f>
        <v/>
      </c>
      <c r="K509" s="7" t="n"/>
      <c r="L509" s="7" t="n"/>
      <c r="M509" s="7">
        <f>IF($B509="","",L509*T509/100)</f>
        <v/>
      </c>
      <c r="N509" s="7">
        <f>IF($B509="","",L509-M509)</f>
        <v/>
      </c>
      <c r="O509" s="7">
        <f>IF($B509="","",N509-G509)</f>
        <v/>
      </c>
      <c r="R509" s="14" t="n"/>
      <c r="T509">
        <f>IF($B509="","",IF($W509=1,Settings!$C$6,Settings!$C$7)*100)</f>
        <v/>
      </c>
      <c r="U509">
        <f>IF($B509="","",IF(COUNTIF($B$2:$B509,$B509)=1,1,0))</f>
        <v/>
      </c>
      <c r="V509">
        <f>IF($U509=1,SUMPRODUCT(--($X$2:$X$1501&lt;$X509))+1,"")</f>
        <v/>
      </c>
      <c r="W509">
        <f>IF($B509="","",IF(OR($S509=TRUE(),$S509="TRUE"),1,0))</f>
        <v/>
      </c>
      <c r="X509">
        <f>IF($U509=1,IFERROR(IF(VALUE($B509)&lt;100000000,VALUE($B509),1000000000),IFERROR(IF(VALUE(MID($B509,2,20))&lt;100000000,VALUE(MID($B509,2,20)),1000000000),1000000000))+ROW()/100000,"")</f>
        <v/>
      </c>
    </row>
    <row r="510">
      <c r="A510">
        <f>IF($B510="","",IFERROR(IF(INDEX('Per Invoice'!$C$2:$C$401,MATCH($B510,'Per Invoice'!$A$2:$A$401,0))=0,"",INDEX('Per Invoice'!$C$2:$C$401,MATCH($B510,'Per Invoice'!$A$2:$A$401,0))),""))</f>
        <v/>
      </c>
      <c r="G510" s="7">
        <f>IF($B510="","",F510*L510/100)</f>
        <v/>
      </c>
      <c r="K510" s="7" t="n"/>
      <c r="L510" s="7" t="n"/>
      <c r="M510" s="7">
        <f>IF($B510="","",L510*T510/100)</f>
        <v/>
      </c>
      <c r="N510" s="7">
        <f>IF($B510="","",L510-M510)</f>
        <v/>
      </c>
      <c r="O510" s="7">
        <f>IF($B510="","",N510-G510)</f>
        <v/>
      </c>
      <c r="R510" s="14" t="n"/>
      <c r="T510">
        <f>IF($B510="","",IF($W510=1,Settings!$C$6,Settings!$C$7)*100)</f>
        <v/>
      </c>
      <c r="U510">
        <f>IF($B510="","",IF(COUNTIF($B$2:$B510,$B510)=1,1,0))</f>
        <v/>
      </c>
      <c r="V510">
        <f>IF($U510=1,SUMPRODUCT(--($X$2:$X$1501&lt;$X510))+1,"")</f>
        <v/>
      </c>
      <c r="W510">
        <f>IF($B510="","",IF(OR($S510=TRUE(),$S510="TRUE"),1,0))</f>
        <v/>
      </c>
      <c r="X510">
        <f>IF($U510=1,IFERROR(IF(VALUE($B510)&lt;100000000,VALUE($B510),1000000000),IFERROR(IF(VALUE(MID($B510,2,20))&lt;100000000,VALUE(MID($B510,2,20)),1000000000),1000000000))+ROW()/100000,"")</f>
        <v/>
      </c>
    </row>
    <row r="511">
      <c r="A511">
        <f>IF($B511="","",IFERROR(IF(INDEX('Per Invoice'!$C$2:$C$401,MATCH($B511,'Per Invoice'!$A$2:$A$401,0))=0,"",INDEX('Per Invoice'!$C$2:$C$401,MATCH($B511,'Per Invoice'!$A$2:$A$401,0))),""))</f>
        <v/>
      </c>
      <c r="G511" s="7">
        <f>IF($B511="","",F511*L511/100)</f>
        <v/>
      </c>
      <c r="K511" s="7" t="n"/>
      <c r="L511" s="7" t="n"/>
      <c r="M511" s="7">
        <f>IF($B511="","",L511*T511/100)</f>
        <v/>
      </c>
      <c r="N511" s="7">
        <f>IF($B511="","",L511-M511)</f>
        <v/>
      </c>
      <c r="O511" s="7">
        <f>IF($B511="","",N511-G511)</f>
        <v/>
      </c>
      <c r="R511" s="14" t="n"/>
      <c r="T511">
        <f>IF($B511="","",IF($W511=1,Settings!$C$6,Settings!$C$7)*100)</f>
        <v/>
      </c>
      <c r="U511">
        <f>IF($B511="","",IF(COUNTIF($B$2:$B511,$B511)=1,1,0))</f>
        <v/>
      </c>
      <c r="V511">
        <f>IF($U511=1,SUMPRODUCT(--($X$2:$X$1501&lt;$X511))+1,"")</f>
        <v/>
      </c>
      <c r="W511">
        <f>IF($B511="","",IF(OR($S511=TRUE(),$S511="TRUE"),1,0))</f>
        <v/>
      </c>
      <c r="X511">
        <f>IF($U511=1,IFERROR(IF(VALUE($B511)&lt;100000000,VALUE($B511),1000000000),IFERROR(IF(VALUE(MID($B511,2,20))&lt;100000000,VALUE(MID($B511,2,20)),1000000000),1000000000))+ROW()/100000,"")</f>
        <v/>
      </c>
    </row>
    <row r="512">
      <c r="A512">
        <f>IF($B512="","",IFERROR(IF(INDEX('Per Invoice'!$C$2:$C$401,MATCH($B512,'Per Invoice'!$A$2:$A$401,0))=0,"",INDEX('Per Invoice'!$C$2:$C$401,MATCH($B512,'Per Invoice'!$A$2:$A$401,0))),""))</f>
        <v/>
      </c>
      <c r="G512" s="7">
        <f>IF($B512="","",F512*L512/100)</f>
        <v/>
      </c>
      <c r="K512" s="7" t="n"/>
      <c r="L512" s="7" t="n"/>
      <c r="M512" s="7">
        <f>IF($B512="","",L512*T512/100)</f>
        <v/>
      </c>
      <c r="N512" s="7">
        <f>IF($B512="","",L512-M512)</f>
        <v/>
      </c>
      <c r="O512" s="7">
        <f>IF($B512="","",N512-G512)</f>
        <v/>
      </c>
      <c r="R512" s="14" t="n"/>
      <c r="T512">
        <f>IF($B512="","",IF($W512=1,Settings!$C$6,Settings!$C$7)*100)</f>
        <v/>
      </c>
      <c r="U512">
        <f>IF($B512="","",IF(COUNTIF($B$2:$B512,$B512)=1,1,0))</f>
        <v/>
      </c>
      <c r="V512">
        <f>IF($U512=1,SUMPRODUCT(--($X$2:$X$1501&lt;$X512))+1,"")</f>
        <v/>
      </c>
      <c r="W512">
        <f>IF($B512="","",IF(OR($S512=TRUE(),$S512="TRUE"),1,0))</f>
        <v/>
      </c>
      <c r="X512">
        <f>IF($U512=1,IFERROR(IF(VALUE($B512)&lt;100000000,VALUE($B512),1000000000),IFERROR(IF(VALUE(MID($B512,2,20))&lt;100000000,VALUE(MID($B512,2,20)),1000000000),1000000000))+ROW()/100000,"")</f>
        <v/>
      </c>
    </row>
    <row r="513">
      <c r="A513">
        <f>IF($B513="","",IFERROR(IF(INDEX('Per Invoice'!$C$2:$C$401,MATCH($B513,'Per Invoice'!$A$2:$A$401,0))=0,"",INDEX('Per Invoice'!$C$2:$C$401,MATCH($B513,'Per Invoice'!$A$2:$A$401,0))),""))</f>
        <v/>
      </c>
      <c r="G513" s="7">
        <f>IF($B513="","",F513*L513/100)</f>
        <v/>
      </c>
      <c r="K513" s="7" t="n"/>
      <c r="L513" s="7" t="n"/>
      <c r="M513" s="7">
        <f>IF($B513="","",L513*T513/100)</f>
        <v/>
      </c>
      <c r="N513" s="7">
        <f>IF($B513="","",L513-M513)</f>
        <v/>
      </c>
      <c r="O513" s="7">
        <f>IF($B513="","",N513-G513)</f>
        <v/>
      </c>
      <c r="R513" s="14" t="n"/>
      <c r="T513">
        <f>IF($B513="","",IF($W513=1,Settings!$C$6,Settings!$C$7)*100)</f>
        <v/>
      </c>
      <c r="U513">
        <f>IF($B513="","",IF(COUNTIF($B$2:$B513,$B513)=1,1,0))</f>
        <v/>
      </c>
      <c r="V513">
        <f>IF($U513=1,SUMPRODUCT(--($X$2:$X$1501&lt;$X513))+1,"")</f>
        <v/>
      </c>
      <c r="W513">
        <f>IF($B513="","",IF(OR($S513=TRUE(),$S513="TRUE"),1,0))</f>
        <v/>
      </c>
      <c r="X513">
        <f>IF($U513=1,IFERROR(IF(VALUE($B513)&lt;100000000,VALUE($B513),1000000000),IFERROR(IF(VALUE(MID($B513,2,20))&lt;100000000,VALUE(MID($B513,2,20)),1000000000),1000000000))+ROW()/100000,"")</f>
        <v/>
      </c>
    </row>
    <row r="514">
      <c r="A514">
        <f>IF($B514="","",IFERROR(IF(INDEX('Per Invoice'!$C$2:$C$401,MATCH($B514,'Per Invoice'!$A$2:$A$401,0))=0,"",INDEX('Per Invoice'!$C$2:$C$401,MATCH($B514,'Per Invoice'!$A$2:$A$401,0))),""))</f>
        <v/>
      </c>
      <c r="G514" s="7">
        <f>IF($B514="","",F514*L514/100)</f>
        <v/>
      </c>
      <c r="K514" s="7" t="n"/>
      <c r="L514" s="7" t="n"/>
      <c r="M514" s="7">
        <f>IF($B514="","",L514*T514/100)</f>
        <v/>
      </c>
      <c r="N514" s="7">
        <f>IF($B514="","",L514-M514)</f>
        <v/>
      </c>
      <c r="O514" s="7">
        <f>IF($B514="","",N514-G514)</f>
        <v/>
      </c>
      <c r="R514" s="14" t="n"/>
      <c r="T514">
        <f>IF($B514="","",IF($W514=1,Settings!$C$6,Settings!$C$7)*100)</f>
        <v/>
      </c>
      <c r="U514">
        <f>IF($B514="","",IF(COUNTIF($B$2:$B514,$B514)=1,1,0))</f>
        <v/>
      </c>
      <c r="V514">
        <f>IF($U514=1,SUMPRODUCT(--($X$2:$X$1501&lt;$X514))+1,"")</f>
        <v/>
      </c>
      <c r="W514">
        <f>IF($B514="","",IF(OR($S514=TRUE(),$S514="TRUE"),1,0))</f>
        <v/>
      </c>
      <c r="X514">
        <f>IF($U514=1,IFERROR(IF(VALUE($B514)&lt;100000000,VALUE($B514),1000000000),IFERROR(IF(VALUE(MID($B514,2,20))&lt;100000000,VALUE(MID($B514,2,20)),1000000000),1000000000))+ROW()/100000,"")</f>
        <v/>
      </c>
    </row>
    <row r="515">
      <c r="A515">
        <f>IF($B515="","",IFERROR(IF(INDEX('Per Invoice'!$C$2:$C$401,MATCH($B515,'Per Invoice'!$A$2:$A$401,0))=0,"",INDEX('Per Invoice'!$C$2:$C$401,MATCH($B515,'Per Invoice'!$A$2:$A$401,0))),""))</f>
        <v/>
      </c>
      <c r="G515" s="7">
        <f>IF($B515="","",F515*L515/100)</f>
        <v/>
      </c>
      <c r="K515" s="7" t="n"/>
      <c r="L515" s="7" t="n"/>
      <c r="M515" s="7">
        <f>IF($B515="","",L515*T515/100)</f>
        <v/>
      </c>
      <c r="N515" s="7">
        <f>IF($B515="","",L515-M515)</f>
        <v/>
      </c>
      <c r="O515" s="7">
        <f>IF($B515="","",N515-G515)</f>
        <v/>
      </c>
      <c r="R515" s="14" t="n"/>
      <c r="T515">
        <f>IF($B515="","",IF($W515=1,Settings!$C$6,Settings!$C$7)*100)</f>
        <v/>
      </c>
      <c r="U515">
        <f>IF($B515="","",IF(COUNTIF($B$2:$B515,$B515)=1,1,0))</f>
        <v/>
      </c>
      <c r="V515">
        <f>IF($U515=1,SUMPRODUCT(--($X$2:$X$1501&lt;$X515))+1,"")</f>
        <v/>
      </c>
      <c r="W515">
        <f>IF($B515="","",IF(OR($S515=TRUE(),$S515="TRUE"),1,0))</f>
        <v/>
      </c>
      <c r="X515">
        <f>IF($U515=1,IFERROR(IF(VALUE($B515)&lt;100000000,VALUE($B515),1000000000),IFERROR(IF(VALUE(MID($B515,2,20))&lt;100000000,VALUE(MID($B515,2,20)),1000000000),1000000000))+ROW()/100000,"")</f>
        <v/>
      </c>
    </row>
    <row r="516">
      <c r="A516">
        <f>IF($B516="","",IFERROR(IF(INDEX('Per Invoice'!$C$2:$C$401,MATCH($B516,'Per Invoice'!$A$2:$A$401,0))=0,"",INDEX('Per Invoice'!$C$2:$C$401,MATCH($B516,'Per Invoice'!$A$2:$A$401,0))),""))</f>
        <v/>
      </c>
      <c r="G516" s="7">
        <f>IF($B516="","",F516*L516/100)</f>
        <v/>
      </c>
      <c r="K516" s="7" t="n"/>
      <c r="L516" s="7" t="n"/>
      <c r="M516" s="7">
        <f>IF($B516="","",L516*T516/100)</f>
        <v/>
      </c>
      <c r="N516" s="7">
        <f>IF($B516="","",L516-M516)</f>
        <v/>
      </c>
      <c r="O516" s="7">
        <f>IF($B516="","",N516-G516)</f>
        <v/>
      </c>
      <c r="R516" s="14" t="n"/>
      <c r="T516">
        <f>IF($B516="","",IF($W516=1,Settings!$C$6,Settings!$C$7)*100)</f>
        <v/>
      </c>
      <c r="U516">
        <f>IF($B516="","",IF(COUNTIF($B$2:$B516,$B516)=1,1,0))</f>
        <v/>
      </c>
      <c r="V516">
        <f>IF($U516=1,SUMPRODUCT(--($X$2:$X$1501&lt;$X516))+1,"")</f>
        <v/>
      </c>
      <c r="W516">
        <f>IF($B516="","",IF(OR($S516=TRUE(),$S516="TRUE"),1,0))</f>
        <v/>
      </c>
      <c r="X516">
        <f>IF($U516=1,IFERROR(IF(VALUE($B516)&lt;100000000,VALUE($B516),1000000000),IFERROR(IF(VALUE(MID($B516,2,20))&lt;100000000,VALUE(MID($B516,2,20)),1000000000),1000000000))+ROW()/100000,"")</f>
        <v/>
      </c>
    </row>
    <row r="517">
      <c r="A517">
        <f>IF($B517="","",IFERROR(IF(INDEX('Per Invoice'!$C$2:$C$401,MATCH($B517,'Per Invoice'!$A$2:$A$401,0))=0,"",INDEX('Per Invoice'!$C$2:$C$401,MATCH($B517,'Per Invoice'!$A$2:$A$401,0))),""))</f>
        <v/>
      </c>
      <c r="G517" s="7">
        <f>IF($B517="","",F517*L517/100)</f>
        <v/>
      </c>
      <c r="K517" s="7" t="n"/>
      <c r="L517" s="7" t="n"/>
      <c r="M517" s="7">
        <f>IF($B517="","",L517*T517/100)</f>
        <v/>
      </c>
      <c r="N517" s="7">
        <f>IF($B517="","",L517-M517)</f>
        <v/>
      </c>
      <c r="O517" s="7">
        <f>IF($B517="","",N517-G517)</f>
        <v/>
      </c>
      <c r="R517" s="14" t="n"/>
      <c r="T517">
        <f>IF($B517="","",IF($W517=1,Settings!$C$6,Settings!$C$7)*100)</f>
        <v/>
      </c>
      <c r="U517">
        <f>IF($B517="","",IF(COUNTIF($B$2:$B517,$B517)=1,1,0))</f>
        <v/>
      </c>
      <c r="V517">
        <f>IF($U517=1,SUMPRODUCT(--($X$2:$X$1501&lt;$X517))+1,"")</f>
        <v/>
      </c>
      <c r="W517">
        <f>IF($B517="","",IF(OR($S517=TRUE(),$S517="TRUE"),1,0))</f>
        <v/>
      </c>
      <c r="X517">
        <f>IF($U517=1,IFERROR(IF(VALUE($B517)&lt;100000000,VALUE($B517),1000000000),IFERROR(IF(VALUE(MID($B517,2,20))&lt;100000000,VALUE(MID($B517,2,20)),1000000000),1000000000))+ROW()/100000,"")</f>
        <v/>
      </c>
    </row>
    <row r="518">
      <c r="A518">
        <f>IF($B518="","",IFERROR(IF(INDEX('Per Invoice'!$C$2:$C$401,MATCH($B518,'Per Invoice'!$A$2:$A$401,0))=0,"",INDEX('Per Invoice'!$C$2:$C$401,MATCH($B518,'Per Invoice'!$A$2:$A$401,0))),""))</f>
        <v/>
      </c>
      <c r="G518" s="7">
        <f>IF($B518="","",F518*L518/100)</f>
        <v/>
      </c>
      <c r="K518" s="7" t="n"/>
      <c r="L518" s="7" t="n"/>
      <c r="M518" s="7">
        <f>IF($B518="","",L518*T518/100)</f>
        <v/>
      </c>
      <c r="N518" s="7">
        <f>IF($B518="","",L518-M518)</f>
        <v/>
      </c>
      <c r="O518" s="7">
        <f>IF($B518="","",N518-G518)</f>
        <v/>
      </c>
      <c r="R518" s="14" t="n"/>
      <c r="T518">
        <f>IF($B518="","",IF($W518=1,Settings!$C$6,Settings!$C$7)*100)</f>
        <v/>
      </c>
      <c r="U518">
        <f>IF($B518="","",IF(COUNTIF($B$2:$B518,$B518)=1,1,0))</f>
        <v/>
      </c>
      <c r="V518">
        <f>IF($U518=1,SUMPRODUCT(--($X$2:$X$1501&lt;$X518))+1,"")</f>
        <v/>
      </c>
      <c r="W518">
        <f>IF($B518="","",IF(OR($S518=TRUE(),$S518="TRUE"),1,0))</f>
        <v/>
      </c>
      <c r="X518">
        <f>IF($U518=1,IFERROR(IF(VALUE($B518)&lt;100000000,VALUE($B518),1000000000),IFERROR(IF(VALUE(MID($B518,2,20))&lt;100000000,VALUE(MID($B518,2,20)),1000000000),1000000000))+ROW()/100000,"")</f>
        <v/>
      </c>
    </row>
    <row r="519">
      <c r="A519">
        <f>IF($B519="","",IFERROR(IF(INDEX('Per Invoice'!$C$2:$C$401,MATCH($B519,'Per Invoice'!$A$2:$A$401,0))=0,"",INDEX('Per Invoice'!$C$2:$C$401,MATCH($B519,'Per Invoice'!$A$2:$A$401,0))),""))</f>
        <v/>
      </c>
      <c r="G519" s="7">
        <f>IF($B519="","",F519*L519/100)</f>
        <v/>
      </c>
      <c r="K519" s="7" t="n"/>
      <c r="L519" s="7" t="n"/>
      <c r="M519" s="7">
        <f>IF($B519="","",L519*T519/100)</f>
        <v/>
      </c>
      <c r="N519" s="7">
        <f>IF($B519="","",L519-M519)</f>
        <v/>
      </c>
      <c r="O519" s="7">
        <f>IF($B519="","",N519-G519)</f>
        <v/>
      </c>
      <c r="R519" s="14" t="n"/>
      <c r="T519">
        <f>IF($B519="","",IF($W519=1,Settings!$C$6,Settings!$C$7)*100)</f>
        <v/>
      </c>
      <c r="U519">
        <f>IF($B519="","",IF(COUNTIF($B$2:$B519,$B519)=1,1,0))</f>
        <v/>
      </c>
      <c r="V519">
        <f>IF($U519=1,SUMPRODUCT(--($X$2:$X$1501&lt;$X519))+1,"")</f>
        <v/>
      </c>
      <c r="W519">
        <f>IF($B519="","",IF(OR($S519=TRUE(),$S519="TRUE"),1,0))</f>
        <v/>
      </c>
      <c r="X519">
        <f>IF($U519=1,IFERROR(IF(VALUE($B519)&lt;100000000,VALUE($B519),1000000000),IFERROR(IF(VALUE(MID($B519,2,20))&lt;100000000,VALUE(MID($B519,2,20)),1000000000),1000000000))+ROW()/100000,"")</f>
        <v/>
      </c>
    </row>
    <row r="520">
      <c r="A520">
        <f>IF($B520="","",IFERROR(IF(INDEX('Per Invoice'!$C$2:$C$401,MATCH($B520,'Per Invoice'!$A$2:$A$401,0))=0,"",INDEX('Per Invoice'!$C$2:$C$401,MATCH($B520,'Per Invoice'!$A$2:$A$401,0))),""))</f>
        <v/>
      </c>
      <c r="G520" s="7">
        <f>IF($B520="","",F520*L520/100)</f>
        <v/>
      </c>
      <c r="K520" s="7" t="n"/>
      <c r="L520" s="7" t="n"/>
      <c r="M520" s="7">
        <f>IF($B520="","",L520*T520/100)</f>
        <v/>
      </c>
      <c r="N520" s="7">
        <f>IF($B520="","",L520-M520)</f>
        <v/>
      </c>
      <c r="O520" s="7">
        <f>IF($B520="","",N520-G520)</f>
        <v/>
      </c>
      <c r="R520" s="14" t="n"/>
      <c r="T520">
        <f>IF($B520="","",IF($W520=1,Settings!$C$6,Settings!$C$7)*100)</f>
        <v/>
      </c>
      <c r="U520">
        <f>IF($B520="","",IF(COUNTIF($B$2:$B520,$B520)=1,1,0))</f>
        <v/>
      </c>
      <c r="V520">
        <f>IF($U520=1,SUMPRODUCT(--($X$2:$X$1501&lt;$X520))+1,"")</f>
        <v/>
      </c>
      <c r="W520">
        <f>IF($B520="","",IF(OR($S520=TRUE(),$S520="TRUE"),1,0))</f>
        <v/>
      </c>
      <c r="X520">
        <f>IF($U520=1,IFERROR(IF(VALUE($B520)&lt;100000000,VALUE($B520),1000000000),IFERROR(IF(VALUE(MID($B520,2,20))&lt;100000000,VALUE(MID($B520,2,20)),1000000000),1000000000))+ROW()/100000,"")</f>
        <v/>
      </c>
    </row>
    <row r="521">
      <c r="A521">
        <f>IF($B521="","",IFERROR(IF(INDEX('Per Invoice'!$C$2:$C$401,MATCH($B521,'Per Invoice'!$A$2:$A$401,0))=0,"",INDEX('Per Invoice'!$C$2:$C$401,MATCH($B521,'Per Invoice'!$A$2:$A$401,0))),""))</f>
        <v/>
      </c>
      <c r="G521" s="7">
        <f>IF($B521="","",F521*L521/100)</f>
        <v/>
      </c>
      <c r="K521" s="7" t="n"/>
      <c r="L521" s="7" t="n"/>
      <c r="M521" s="7">
        <f>IF($B521="","",L521*T521/100)</f>
        <v/>
      </c>
      <c r="N521" s="7">
        <f>IF($B521="","",L521-M521)</f>
        <v/>
      </c>
      <c r="O521" s="7">
        <f>IF($B521="","",N521-G521)</f>
        <v/>
      </c>
      <c r="R521" s="14" t="n"/>
      <c r="T521">
        <f>IF($B521="","",IF($W521=1,Settings!$C$6,Settings!$C$7)*100)</f>
        <v/>
      </c>
      <c r="U521">
        <f>IF($B521="","",IF(COUNTIF($B$2:$B521,$B521)=1,1,0))</f>
        <v/>
      </c>
      <c r="V521">
        <f>IF($U521=1,SUMPRODUCT(--($X$2:$X$1501&lt;$X521))+1,"")</f>
        <v/>
      </c>
      <c r="W521">
        <f>IF($B521="","",IF(OR($S521=TRUE(),$S521="TRUE"),1,0))</f>
        <v/>
      </c>
      <c r="X521">
        <f>IF($U521=1,IFERROR(IF(VALUE($B521)&lt;100000000,VALUE($B521),1000000000),IFERROR(IF(VALUE(MID($B521,2,20))&lt;100000000,VALUE(MID($B521,2,20)),1000000000),1000000000))+ROW()/100000,"")</f>
        <v/>
      </c>
    </row>
    <row r="522">
      <c r="A522">
        <f>IF($B522="","",IFERROR(IF(INDEX('Per Invoice'!$C$2:$C$401,MATCH($B522,'Per Invoice'!$A$2:$A$401,0))=0,"",INDEX('Per Invoice'!$C$2:$C$401,MATCH($B522,'Per Invoice'!$A$2:$A$401,0))),""))</f>
        <v/>
      </c>
      <c r="G522" s="7">
        <f>IF($B522="","",F522*L522/100)</f>
        <v/>
      </c>
      <c r="K522" s="7" t="n"/>
      <c r="L522" s="7" t="n"/>
      <c r="M522" s="7">
        <f>IF($B522="","",L522*T522/100)</f>
        <v/>
      </c>
      <c r="N522" s="7">
        <f>IF($B522="","",L522-M522)</f>
        <v/>
      </c>
      <c r="O522" s="7">
        <f>IF($B522="","",N522-G522)</f>
        <v/>
      </c>
      <c r="R522" s="14" t="n"/>
      <c r="T522">
        <f>IF($B522="","",IF($W522=1,Settings!$C$6,Settings!$C$7)*100)</f>
        <v/>
      </c>
      <c r="U522">
        <f>IF($B522="","",IF(COUNTIF($B$2:$B522,$B522)=1,1,0))</f>
        <v/>
      </c>
      <c r="V522">
        <f>IF($U522=1,SUMPRODUCT(--($X$2:$X$1501&lt;$X522))+1,"")</f>
        <v/>
      </c>
      <c r="W522">
        <f>IF($B522="","",IF(OR($S522=TRUE(),$S522="TRUE"),1,0))</f>
        <v/>
      </c>
      <c r="X522">
        <f>IF($U522=1,IFERROR(IF(VALUE($B522)&lt;100000000,VALUE($B522),1000000000),IFERROR(IF(VALUE(MID($B522,2,20))&lt;100000000,VALUE(MID($B522,2,20)),1000000000),1000000000))+ROW()/100000,"")</f>
        <v/>
      </c>
    </row>
    <row r="523">
      <c r="A523">
        <f>IF($B523="","",IFERROR(IF(INDEX('Per Invoice'!$C$2:$C$401,MATCH($B523,'Per Invoice'!$A$2:$A$401,0))=0,"",INDEX('Per Invoice'!$C$2:$C$401,MATCH($B523,'Per Invoice'!$A$2:$A$401,0))),""))</f>
        <v/>
      </c>
      <c r="G523" s="7">
        <f>IF($B523="","",F523*L523/100)</f>
        <v/>
      </c>
      <c r="K523" s="7" t="n"/>
      <c r="L523" s="7" t="n"/>
      <c r="M523" s="7">
        <f>IF($B523="","",L523*T523/100)</f>
        <v/>
      </c>
      <c r="N523" s="7">
        <f>IF($B523="","",L523-M523)</f>
        <v/>
      </c>
      <c r="O523" s="7">
        <f>IF($B523="","",N523-G523)</f>
        <v/>
      </c>
      <c r="R523" s="14" t="n"/>
      <c r="T523">
        <f>IF($B523="","",IF($W523=1,Settings!$C$6,Settings!$C$7)*100)</f>
        <v/>
      </c>
      <c r="U523">
        <f>IF($B523="","",IF(COUNTIF($B$2:$B523,$B523)=1,1,0))</f>
        <v/>
      </c>
      <c r="V523">
        <f>IF($U523=1,SUMPRODUCT(--($X$2:$X$1501&lt;$X523))+1,"")</f>
        <v/>
      </c>
      <c r="W523">
        <f>IF($B523="","",IF(OR($S523=TRUE(),$S523="TRUE"),1,0))</f>
        <v/>
      </c>
      <c r="X523">
        <f>IF($U523=1,IFERROR(IF(VALUE($B523)&lt;100000000,VALUE($B523),1000000000),IFERROR(IF(VALUE(MID($B523,2,20))&lt;100000000,VALUE(MID($B523,2,20)),1000000000),1000000000))+ROW()/100000,"")</f>
        <v/>
      </c>
    </row>
    <row r="524">
      <c r="A524">
        <f>IF($B524="","",IFERROR(IF(INDEX('Per Invoice'!$C$2:$C$401,MATCH($B524,'Per Invoice'!$A$2:$A$401,0))=0,"",INDEX('Per Invoice'!$C$2:$C$401,MATCH($B524,'Per Invoice'!$A$2:$A$401,0))),""))</f>
        <v/>
      </c>
      <c r="G524" s="7">
        <f>IF($B524="","",F524*L524/100)</f>
        <v/>
      </c>
      <c r="K524" s="7" t="n"/>
      <c r="L524" s="7" t="n"/>
      <c r="M524" s="7">
        <f>IF($B524="","",L524*T524/100)</f>
        <v/>
      </c>
      <c r="N524" s="7">
        <f>IF($B524="","",L524-M524)</f>
        <v/>
      </c>
      <c r="O524" s="7">
        <f>IF($B524="","",N524-G524)</f>
        <v/>
      </c>
      <c r="R524" s="14" t="n"/>
      <c r="T524">
        <f>IF($B524="","",IF($W524=1,Settings!$C$6,Settings!$C$7)*100)</f>
        <v/>
      </c>
      <c r="U524">
        <f>IF($B524="","",IF(COUNTIF($B$2:$B524,$B524)=1,1,0))</f>
        <v/>
      </c>
      <c r="V524">
        <f>IF($U524=1,SUMPRODUCT(--($X$2:$X$1501&lt;$X524))+1,"")</f>
        <v/>
      </c>
      <c r="W524">
        <f>IF($B524="","",IF(OR($S524=TRUE(),$S524="TRUE"),1,0))</f>
        <v/>
      </c>
      <c r="X524">
        <f>IF($U524=1,IFERROR(IF(VALUE($B524)&lt;100000000,VALUE($B524),1000000000),IFERROR(IF(VALUE(MID($B524,2,20))&lt;100000000,VALUE(MID($B524,2,20)),1000000000),1000000000))+ROW()/100000,"")</f>
        <v/>
      </c>
    </row>
    <row r="525">
      <c r="A525">
        <f>IF($B525="","",IFERROR(IF(INDEX('Per Invoice'!$C$2:$C$401,MATCH($B525,'Per Invoice'!$A$2:$A$401,0))=0,"",INDEX('Per Invoice'!$C$2:$C$401,MATCH($B525,'Per Invoice'!$A$2:$A$401,0))),""))</f>
        <v/>
      </c>
      <c r="G525" s="7">
        <f>IF($B525="","",F525*L525/100)</f>
        <v/>
      </c>
      <c r="K525" s="7" t="n"/>
      <c r="L525" s="7" t="n"/>
      <c r="M525" s="7">
        <f>IF($B525="","",L525*T525/100)</f>
        <v/>
      </c>
      <c r="N525" s="7">
        <f>IF($B525="","",L525-M525)</f>
        <v/>
      </c>
      <c r="O525" s="7">
        <f>IF($B525="","",N525-G525)</f>
        <v/>
      </c>
      <c r="R525" s="14" t="n"/>
      <c r="T525">
        <f>IF($B525="","",IF($W525=1,Settings!$C$6,Settings!$C$7)*100)</f>
        <v/>
      </c>
      <c r="U525">
        <f>IF($B525="","",IF(COUNTIF($B$2:$B525,$B525)=1,1,0))</f>
        <v/>
      </c>
      <c r="V525">
        <f>IF($U525=1,SUMPRODUCT(--($X$2:$X$1501&lt;$X525))+1,"")</f>
        <v/>
      </c>
      <c r="W525">
        <f>IF($B525="","",IF(OR($S525=TRUE(),$S525="TRUE"),1,0))</f>
        <v/>
      </c>
      <c r="X525">
        <f>IF($U525=1,IFERROR(IF(VALUE($B525)&lt;100000000,VALUE($B525),1000000000),IFERROR(IF(VALUE(MID($B525,2,20))&lt;100000000,VALUE(MID($B525,2,20)),1000000000),1000000000))+ROW()/100000,"")</f>
        <v/>
      </c>
    </row>
    <row r="526">
      <c r="A526">
        <f>IF($B526="","",IFERROR(IF(INDEX('Per Invoice'!$C$2:$C$401,MATCH($B526,'Per Invoice'!$A$2:$A$401,0))=0,"",INDEX('Per Invoice'!$C$2:$C$401,MATCH($B526,'Per Invoice'!$A$2:$A$401,0))),""))</f>
        <v/>
      </c>
      <c r="G526" s="7">
        <f>IF($B526="","",F526*L526/100)</f>
        <v/>
      </c>
      <c r="K526" s="7" t="n"/>
      <c r="L526" s="7" t="n"/>
      <c r="M526" s="7">
        <f>IF($B526="","",L526*T526/100)</f>
        <v/>
      </c>
      <c r="N526" s="7">
        <f>IF($B526="","",L526-M526)</f>
        <v/>
      </c>
      <c r="O526" s="7">
        <f>IF($B526="","",N526-G526)</f>
        <v/>
      </c>
      <c r="R526" s="14" t="n"/>
      <c r="T526">
        <f>IF($B526="","",IF($W526=1,Settings!$C$6,Settings!$C$7)*100)</f>
        <v/>
      </c>
      <c r="U526">
        <f>IF($B526="","",IF(COUNTIF($B$2:$B526,$B526)=1,1,0))</f>
        <v/>
      </c>
      <c r="V526">
        <f>IF($U526=1,SUMPRODUCT(--($X$2:$X$1501&lt;$X526))+1,"")</f>
        <v/>
      </c>
      <c r="W526">
        <f>IF($B526="","",IF(OR($S526=TRUE(),$S526="TRUE"),1,0))</f>
        <v/>
      </c>
      <c r="X526">
        <f>IF($U526=1,IFERROR(IF(VALUE($B526)&lt;100000000,VALUE($B526),1000000000),IFERROR(IF(VALUE(MID($B526,2,20))&lt;100000000,VALUE(MID($B526,2,20)),1000000000),1000000000))+ROW()/100000,"")</f>
        <v/>
      </c>
    </row>
    <row r="527">
      <c r="A527">
        <f>IF($B527="","",IFERROR(IF(INDEX('Per Invoice'!$C$2:$C$401,MATCH($B527,'Per Invoice'!$A$2:$A$401,0))=0,"",INDEX('Per Invoice'!$C$2:$C$401,MATCH($B527,'Per Invoice'!$A$2:$A$401,0))),""))</f>
        <v/>
      </c>
      <c r="G527" s="7">
        <f>IF($B527="","",F527*L527/100)</f>
        <v/>
      </c>
      <c r="K527" s="7" t="n"/>
      <c r="L527" s="7" t="n"/>
      <c r="M527" s="7">
        <f>IF($B527="","",L527*T527/100)</f>
        <v/>
      </c>
      <c r="N527" s="7">
        <f>IF($B527="","",L527-M527)</f>
        <v/>
      </c>
      <c r="O527" s="7">
        <f>IF($B527="","",N527-G527)</f>
        <v/>
      </c>
      <c r="R527" s="14" t="n"/>
      <c r="T527">
        <f>IF($B527="","",IF($W527=1,Settings!$C$6,Settings!$C$7)*100)</f>
        <v/>
      </c>
      <c r="U527">
        <f>IF($B527="","",IF(COUNTIF($B$2:$B527,$B527)=1,1,0))</f>
        <v/>
      </c>
      <c r="V527">
        <f>IF($U527=1,SUMPRODUCT(--($X$2:$X$1501&lt;$X527))+1,"")</f>
        <v/>
      </c>
      <c r="W527">
        <f>IF($B527="","",IF(OR($S527=TRUE(),$S527="TRUE"),1,0))</f>
        <v/>
      </c>
      <c r="X527">
        <f>IF($U527=1,IFERROR(IF(VALUE($B527)&lt;100000000,VALUE($B527),1000000000),IFERROR(IF(VALUE(MID($B527,2,20))&lt;100000000,VALUE(MID($B527,2,20)),1000000000),1000000000))+ROW()/100000,"")</f>
        <v/>
      </c>
    </row>
    <row r="528">
      <c r="A528">
        <f>IF($B528="","",IFERROR(IF(INDEX('Per Invoice'!$C$2:$C$401,MATCH($B528,'Per Invoice'!$A$2:$A$401,0))=0,"",INDEX('Per Invoice'!$C$2:$C$401,MATCH($B528,'Per Invoice'!$A$2:$A$401,0))),""))</f>
        <v/>
      </c>
      <c r="G528" s="7">
        <f>IF($B528="","",F528*L528/100)</f>
        <v/>
      </c>
      <c r="K528" s="7" t="n"/>
      <c r="L528" s="7" t="n"/>
      <c r="M528" s="7">
        <f>IF($B528="","",L528*T528/100)</f>
        <v/>
      </c>
      <c r="N528" s="7">
        <f>IF($B528="","",L528-M528)</f>
        <v/>
      </c>
      <c r="O528" s="7">
        <f>IF($B528="","",N528-G528)</f>
        <v/>
      </c>
      <c r="R528" s="14" t="n"/>
      <c r="T528">
        <f>IF($B528="","",IF($W528=1,Settings!$C$6,Settings!$C$7)*100)</f>
        <v/>
      </c>
      <c r="U528">
        <f>IF($B528="","",IF(COUNTIF($B$2:$B528,$B528)=1,1,0))</f>
        <v/>
      </c>
      <c r="V528">
        <f>IF($U528=1,SUMPRODUCT(--($X$2:$X$1501&lt;$X528))+1,"")</f>
        <v/>
      </c>
      <c r="W528">
        <f>IF($B528="","",IF(OR($S528=TRUE(),$S528="TRUE"),1,0))</f>
        <v/>
      </c>
      <c r="X528">
        <f>IF($U528=1,IFERROR(IF(VALUE($B528)&lt;100000000,VALUE($B528),1000000000),IFERROR(IF(VALUE(MID($B528,2,20))&lt;100000000,VALUE(MID($B528,2,20)),1000000000),1000000000))+ROW()/100000,"")</f>
        <v/>
      </c>
    </row>
    <row r="529">
      <c r="A529">
        <f>IF($B529="","",IFERROR(IF(INDEX('Per Invoice'!$C$2:$C$401,MATCH($B529,'Per Invoice'!$A$2:$A$401,0))=0,"",INDEX('Per Invoice'!$C$2:$C$401,MATCH($B529,'Per Invoice'!$A$2:$A$401,0))),""))</f>
        <v/>
      </c>
      <c r="G529" s="7">
        <f>IF($B529="","",F529*L529/100)</f>
        <v/>
      </c>
      <c r="K529" s="7" t="n"/>
      <c r="L529" s="7" t="n"/>
      <c r="M529" s="7">
        <f>IF($B529="","",L529*T529/100)</f>
        <v/>
      </c>
      <c r="N529" s="7">
        <f>IF($B529="","",L529-M529)</f>
        <v/>
      </c>
      <c r="O529" s="7">
        <f>IF($B529="","",N529-G529)</f>
        <v/>
      </c>
      <c r="R529" s="14" t="n"/>
      <c r="T529">
        <f>IF($B529="","",IF($W529=1,Settings!$C$6,Settings!$C$7)*100)</f>
        <v/>
      </c>
      <c r="U529">
        <f>IF($B529="","",IF(COUNTIF($B$2:$B529,$B529)=1,1,0))</f>
        <v/>
      </c>
      <c r="V529">
        <f>IF($U529=1,SUMPRODUCT(--($X$2:$X$1501&lt;$X529))+1,"")</f>
        <v/>
      </c>
      <c r="W529">
        <f>IF($B529="","",IF(OR($S529=TRUE(),$S529="TRUE"),1,0))</f>
        <v/>
      </c>
      <c r="X529">
        <f>IF($U529=1,IFERROR(IF(VALUE($B529)&lt;100000000,VALUE($B529),1000000000),IFERROR(IF(VALUE(MID($B529,2,20))&lt;100000000,VALUE(MID($B529,2,20)),1000000000),1000000000))+ROW()/100000,"")</f>
        <v/>
      </c>
    </row>
    <row r="530">
      <c r="A530">
        <f>IF($B530="","",IFERROR(IF(INDEX('Per Invoice'!$C$2:$C$401,MATCH($B530,'Per Invoice'!$A$2:$A$401,0))=0,"",INDEX('Per Invoice'!$C$2:$C$401,MATCH($B530,'Per Invoice'!$A$2:$A$401,0))),""))</f>
        <v/>
      </c>
      <c r="G530" s="7">
        <f>IF($B530="","",F530*L530/100)</f>
        <v/>
      </c>
      <c r="K530" s="7" t="n"/>
      <c r="L530" s="7" t="n"/>
      <c r="M530" s="7">
        <f>IF($B530="","",L530*T530/100)</f>
        <v/>
      </c>
      <c r="N530" s="7">
        <f>IF($B530="","",L530-M530)</f>
        <v/>
      </c>
      <c r="O530" s="7">
        <f>IF($B530="","",N530-G530)</f>
        <v/>
      </c>
      <c r="R530" s="14" t="n"/>
      <c r="T530">
        <f>IF($B530="","",IF($W530=1,Settings!$C$6,Settings!$C$7)*100)</f>
        <v/>
      </c>
      <c r="U530">
        <f>IF($B530="","",IF(COUNTIF($B$2:$B530,$B530)=1,1,0))</f>
        <v/>
      </c>
      <c r="V530">
        <f>IF($U530=1,SUMPRODUCT(--($X$2:$X$1501&lt;$X530))+1,"")</f>
        <v/>
      </c>
      <c r="W530">
        <f>IF($B530="","",IF(OR($S530=TRUE(),$S530="TRUE"),1,0))</f>
        <v/>
      </c>
      <c r="X530">
        <f>IF($U530=1,IFERROR(IF(VALUE($B530)&lt;100000000,VALUE($B530),1000000000),IFERROR(IF(VALUE(MID($B530,2,20))&lt;100000000,VALUE(MID($B530,2,20)),1000000000),1000000000))+ROW()/100000,"")</f>
        <v/>
      </c>
    </row>
    <row r="531">
      <c r="A531">
        <f>IF($B531="","",IFERROR(IF(INDEX('Per Invoice'!$C$2:$C$401,MATCH($B531,'Per Invoice'!$A$2:$A$401,0))=0,"",INDEX('Per Invoice'!$C$2:$C$401,MATCH($B531,'Per Invoice'!$A$2:$A$401,0))),""))</f>
        <v/>
      </c>
      <c r="G531" s="7">
        <f>IF($B531="","",F531*L531/100)</f>
        <v/>
      </c>
      <c r="K531" s="7" t="n"/>
      <c r="L531" s="7" t="n"/>
      <c r="M531" s="7">
        <f>IF($B531="","",L531*T531/100)</f>
        <v/>
      </c>
      <c r="N531" s="7">
        <f>IF($B531="","",L531-M531)</f>
        <v/>
      </c>
      <c r="O531" s="7">
        <f>IF($B531="","",N531-G531)</f>
        <v/>
      </c>
      <c r="R531" s="14" t="n"/>
      <c r="T531">
        <f>IF($B531="","",IF($W531=1,Settings!$C$6,Settings!$C$7)*100)</f>
        <v/>
      </c>
      <c r="U531">
        <f>IF($B531="","",IF(COUNTIF($B$2:$B531,$B531)=1,1,0))</f>
        <v/>
      </c>
      <c r="V531">
        <f>IF($U531=1,SUMPRODUCT(--($X$2:$X$1501&lt;$X531))+1,"")</f>
        <v/>
      </c>
      <c r="W531">
        <f>IF($B531="","",IF(OR($S531=TRUE(),$S531="TRUE"),1,0))</f>
        <v/>
      </c>
      <c r="X531">
        <f>IF($U531=1,IFERROR(IF(VALUE($B531)&lt;100000000,VALUE($B531),1000000000),IFERROR(IF(VALUE(MID($B531,2,20))&lt;100000000,VALUE(MID($B531,2,20)),1000000000),1000000000))+ROW()/100000,"")</f>
        <v/>
      </c>
    </row>
    <row r="532">
      <c r="A532">
        <f>IF($B532="","",IFERROR(IF(INDEX('Per Invoice'!$C$2:$C$401,MATCH($B532,'Per Invoice'!$A$2:$A$401,0))=0,"",INDEX('Per Invoice'!$C$2:$C$401,MATCH($B532,'Per Invoice'!$A$2:$A$401,0))),""))</f>
        <v/>
      </c>
      <c r="G532" s="7">
        <f>IF($B532="","",F532*L532/100)</f>
        <v/>
      </c>
      <c r="K532" s="7" t="n"/>
      <c r="L532" s="7" t="n"/>
      <c r="M532" s="7">
        <f>IF($B532="","",L532*T532/100)</f>
        <v/>
      </c>
      <c r="N532" s="7">
        <f>IF($B532="","",L532-M532)</f>
        <v/>
      </c>
      <c r="O532" s="7">
        <f>IF($B532="","",N532-G532)</f>
        <v/>
      </c>
      <c r="R532" s="14" t="n"/>
      <c r="T532">
        <f>IF($B532="","",IF($W532=1,Settings!$C$6,Settings!$C$7)*100)</f>
        <v/>
      </c>
      <c r="U532">
        <f>IF($B532="","",IF(COUNTIF($B$2:$B532,$B532)=1,1,0))</f>
        <v/>
      </c>
      <c r="V532">
        <f>IF($U532=1,SUMPRODUCT(--($X$2:$X$1501&lt;$X532))+1,"")</f>
        <v/>
      </c>
      <c r="W532">
        <f>IF($B532="","",IF(OR($S532=TRUE(),$S532="TRUE"),1,0))</f>
        <v/>
      </c>
      <c r="X532">
        <f>IF($U532=1,IFERROR(IF(VALUE($B532)&lt;100000000,VALUE($B532),1000000000),IFERROR(IF(VALUE(MID($B532,2,20))&lt;100000000,VALUE(MID($B532,2,20)),1000000000),1000000000))+ROW()/100000,"")</f>
        <v/>
      </c>
    </row>
    <row r="533">
      <c r="A533">
        <f>IF($B533="","",IFERROR(IF(INDEX('Per Invoice'!$C$2:$C$401,MATCH($B533,'Per Invoice'!$A$2:$A$401,0))=0,"",INDEX('Per Invoice'!$C$2:$C$401,MATCH($B533,'Per Invoice'!$A$2:$A$401,0))),""))</f>
        <v/>
      </c>
      <c r="G533" s="7">
        <f>IF($B533="","",F533*L533/100)</f>
        <v/>
      </c>
      <c r="K533" s="7" t="n"/>
      <c r="L533" s="7" t="n"/>
      <c r="M533" s="7">
        <f>IF($B533="","",L533*T533/100)</f>
        <v/>
      </c>
      <c r="N533" s="7">
        <f>IF($B533="","",L533-M533)</f>
        <v/>
      </c>
      <c r="O533" s="7">
        <f>IF($B533="","",N533-G533)</f>
        <v/>
      </c>
      <c r="R533" s="14" t="n"/>
      <c r="T533">
        <f>IF($B533="","",IF($W533=1,Settings!$C$6,Settings!$C$7)*100)</f>
        <v/>
      </c>
      <c r="U533">
        <f>IF($B533="","",IF(COUNTIF($B$2:$B533,$B533)=1,1,0))</f>
        <v/>
      </c>
      <c r="V533">
        <f>IF($U533=1,SUMPRODUCT(--($X$2:$X$1501&lt;$X533))+1,"")</f>
        <v/>
      </c>
      <c r="W533">
        <f>IF($B533="","",IF(OR($S533=TRUE(),$S533="TRUE"),1,0))</f>
        <v/>
      </c>
      <c r="X533">
        <f>IF($U533=1,IFERROR(IF(VALUE($B533)&lt;100000000,VALUE($B533),1000000000),IFERROR(IF(VALUE(MID($B533,2,20))&lt;100000000,VALUE(MID($B533,2,20)),1000000000),1000000000))+ROW()/100000,"")</f>
        <v/>
      </c>
    </row>
    <row r="534">
      <c r="A534">
        <f>IF($B534="","",IFERROR(IF(INDEX('Per Invoice'!$C$2:$C$401,MATCH($B534,'Per Invoice'!$A$2:$A$401,0))=0,"",INDEX('Per Invoice'!$C$2:$C$401,MATCH($B534,'Per Invoice'!$A$2:$A$401,0))),""))</f>
        <v/>
      </c>
      <c r="G534" s="7">
        <f>IF($B534="","",F534*L534/100)</f>
        <v/>
      </c>
      <c r="K534" s="7" t="n"/>
      <c r="L534" s="7" t="n"/>
      <c r="M534" s="7">
        <f>IF($B534="","",L534*T534/100)</f>
        <v/>
      </c>
      <c r="N534" s="7">
        <f>IF($B534="","",L534-M534)</f>
        <v/>
      </c>
      <c r="O534" s="7">
        <f>IF($B534="","",N534-G534)</f>
        <v/>
      </c>
      <c r="R534" s="14" t="n"/>
      <c r="T534">
        <f>IF($B534="","",IF($W534=1,Settings!$C$6,Settings!$C$7)*100)</f>
        <v/>
      </c>
      <c r="U534">
        <f>IF($B534="","",IF(COUNTIF($B$2:$B534,$B534)=1,1,0))</f>
        <v/>
      </c>
      <c r="V534">
        <f>IF($U534=1,SUMPRODUCT(--($X$2:$X$1501&lt;$X534))+1,"")</f>
        <v/>
      </c>
      <c r="W534">
        <f>IF($B534="","",IF(OR($S534=TRUE(),$S534="TRUE"),1,0))</f>
        <v/>
      </c>
      <c r="X534">
        <f>IF($U534=1,IFERROR(IF(VALUE($B534)&lt;100000000,VALUE($B534),1000000000),IFERROR(IF(VALUE(MID($B534,2,20))&lt;100000000,VALUE(MID($B534,2,20)),1000000000),1000000000))+ROW()/100000,"")</f>
        <v/>
      </c>
    </row>
    <row r="535">
      <c r="A535">
        <f>IF($B535="","",IFERROR(IF(INDEX('Per Invoice'!$C$2:$C$401,MATCH($B535,'Per Invoice'!$A$2:$A$401,0))=0,"",INDEX('Per Invoice'!$C$2:$C$401,MATCH($B535,'Per Invoice'!$A$2:$A$401,0))),""))</f>
        <v/>
      </c>
      <c r="G535" s="7">
        <f>IF($B535="","",F535*L535/100)</f>
        <v/>
      </c>
      <c r="K535" s="7" t="n"/>
      <c r="L535" s="7" t="n"/>
      <c r="M535" s="7">
        <f>IF($B535="","",L535*T535/100)</f>
        <v/>
      </c>
      <c r="N535" s="7">
        <f>IF($B535="","",L535-M535)</f>
        <v/>
      </c>
      <c r="O535" s="7">
        <f>IF($B535="","",N535-G535)</f>
        <v/>
      </c>
      <c r="R535" s="14" t="n"/>
      <c r="T535">
        <f>IF($B535="","",IF($W535=1,Settings!$C$6,Settings!$C$7)*100)</f>
        <v/>
      </c>
      <c r="U535">
        <f>IF($B535="","",IF(COUNTIF($B$2:$B535,$B535)=1,1,0))</f>
        <v/>
      </c>
      <c r="V535">
        <f>IF($U535=1,SUMPRODUCT(--($X$2:$X$1501&lt;$X535))+1,"")</f>
        <v/>
      </c>
      <c r="W535">
        <f>IF($B535="","",IF(OR($S535=TRUE(),$S535="TRUE"),1,0))</f>
        <v/>
      </c>
      <c r="X535">
        <f>IF($U535=1,IFERROR(IF(VALUE($B535)&lt;100000000,VALUE($B535),1000000000),IFERROR(IF(VALUE(MID($B535,2,20))&lt;100000000,VALUE(MID($B535,2,20)),1000000000),1000000000))+ROW()/100000,"")</f>
        <v/>
      </c>
    </row>
    <row r="536">
      <c r="A536">
        <f>IF($B536="","",IFERROR(IF(INDEX('Per Invoice'!$C$2:$C$401,MATCH($B536,'Per Invoice'!$A$2:$A$401,0))=0,"",INDEX('Per Invoice'!$C$2:$C$401,MATCH($B536,'Per Invoice'!$A$2:$A$401,0))),""))</f>
        <v/>
      </c>
      <c r="G536" s="7">
        <f>IF($B536="","",F536*L536/100)</f>
        <v/>
      </c>
      <c r="K536" s="7" t="n"/>
      <c r="L536" s="7" t="n"/>
      <c r="M536" s="7">
        <f>IF($B536="","",L536*T536/100)</f>
        <v/>
      </c>
      <c r="N536" s="7">
        <f>IF($B536="","",L536-M536)</f>
        <v/>
      </c>
      <c r="O536" s="7">
        <f>IF($B536="","",N536-G536)</f>
        <v/>
      </c>
      <c r="R536" s="14" t="n"/>
      <c r="T536">
        <f>IF($B536="","",IF($W536=1,Settings!$C$6,Settings!$C$7)*100)</f>
        <v/>
      </c>
      <c r="U536">
        <f>IF($B536="","",IF(COUNTIF($B$2:$B536,$B536)=1,1,0))</f>
        <v/>
      </c>
      <c r="V536">
        <f>IF($U536=1,SUMPRODUCT(--($X$2:$X$1501&lt;$X536))+1,"")</f>
        <v/>
      </c>
      <c r="W536">
        <f>IF($B536="","",IF(OR($S536=TRUE(),$S536="TRUE"),1,0))</f>
        <v/>
      </c>
      <c r="X536">
        <f>IF($U536=1,IFERROR(IF(VALUE($B536)&lt;100000000,VALUE($B536),1000000000),IFERROR(IF(VALUE(MID($B536,2,20))&lt;100000000,VALUE(MID($B536,2,20)),1000000000),1000000000))+ROW()/100000,"")</f>
        <v/>
      </c>
    </row>
    <row r="537">
      <c r="A537">
        <f>IF($B537="","",IFERROR(IF(INDEX('Per Invoice'!$C$2:$C$401,MATCH($B537,'Per Invoice'!$A$2:$A$401,0))=0,"",INDEX('Per Invoice'!$C$2:$C$401,MATCH($B537,'Per Invoice'!$A$2:$A$401,0))),""))</f>
        <v/>
      </c>
      <c r="G537" s="7">
        <f>IF($B537="","",F537*L537/100)</f>
        <v/>
      </c>
      <c r="K537" s="7" t="n"/>
      <c r="L537" s="7" t="n"/>
      <c r="M537" s="7">
        <f>IF($B537="","",L537*T537/100)</f>
        <v/>
      </c>
      <c r="N537" s="7">
        <f>IF($B537="","",L537-M537)</f>
        <v/>
      </c>
      <c r="O537" s="7">
        <f>IF($B537="","",N537-G537)</f>
        <v/>
      </c>
      <c r="R537" s="14" t="n"/>
      <c r="T537">
        <f>IF($B537="","",IF($W537=1,Settings!$C$6,Settings!$C$7)*100)</f>
        <v/>
      </c>
      <c r="U537">
        <f>IF($B537="","",IF(COUNTIF($B$2:$B537,$B537)=1,1,0))</f>
        <v/>
      </c>
      <c r="V537">
        <f>IF($U537=1,SUMPRODUCT(--($X$2:$X$1501&lt;$X537))+1,"")</f>
        <v/>
      </c>
      <c r="W537">
        <f>IF($B537="","",IF(OR($S537=TRUE(),$S537="TRUE"),1,0))</f>
        <v/>
      </c>
      <c r="X537">
        <f>IF($U537=1,IFERROR(IF(VALUE($B537)&lt;100000000,VALUE($B537),1000000000),IFERROR(IF(VALUE(MID($B537,2,20))&lt;100000000,VALUE(MID($B537,2,20)),1000000000),1000000000))+ROW()/100000,"")</f>
        <v/>
      </c>
    </row>
    <row r="538">
      <c r="A538">
        <f>IF($B538="","",IFERROR(IF(INDEX('Per Invoice'!$C$2:$C$401,MATCH($B538,'Per Invoice'!$A$2:$A$401,0))=0,"",INDEX('Per Invoice'!$C$2:$C$401,MATCH($B538,'Per Invoice'!$A$2:$A$401,0))),""))</f>
        <v/>
      </c>
      <c r="G538" s="7">
        <f>IF($B538="","",F538*L538/100)</f>
        <v/>
      </c>
      <c r="K538" s="7" t="n"/>
      <c r="L538" s="7" t="n"/>
      <c r="M538" s="7">
        <f>IF($B538="","",L538*T538/100)</f>
        <v/>
      </c>
      <c r="N538" s="7">
        <f>IF($B538="","",L538-M538)</f>
        <v/>
      </c>
      <c r="O538" s="7">
        <f>IF($B538="","",N538-G538)</f>
        <v/>
      </c>
      <c r="R538" s="14" t="n"/>
      <c r="T538">
        <f>IF($B538="","",IF($W538=1,Settings!$C$6,Settings!$C$7)*100)</f>
        <v/>
      </c>
      <c r="U538">
        <f>IF($B538="","",IF(COUNTIF($B$2:$B538,$B538)=1,1,0))</f>
        <v/>
      </c>
      <c r="V538">
        <f>IF($U538=1,SUMPRODUCT(--($X$2:$X$1501&lt;$X538))+1,"")</f>
        <v/>
      </c>
      <c r="W538">
        <f>IF($B538="","",IF(OR($S538=TRUE(),$S538="TRUE"),1,0))</f>
        <v/>
      </c>
      <c r="X538">
        <f>IF($U538=1,IFERROR(IF(VALUE($B538)&lt;100000000,VALUE($B538),1000000000),IFERROR(IF(VALUE(MID($B538,2,20))&lt;100000000,VALUE(MID($B538,2,20)),1000000000),1000000000))+ROW()/100000,"")</f>
        <v/>
      </c>
    </row>
    <row r="539">
      <c r="A539">
        <f>IF($B539="","",IFERROR(IF(INDEX('Per Invoice'!$C$2:$C$401,MATCH($B539,'Per Invoice'!$A$2:$A$401,0))=0,"",INDEX('Per Invoice'!$C$2:$C$401,MATCH($B539,'Per Invoice'!$A$2:$A$401,0))),""))</f>
        <v/>
      </c>
      <c r="G539" s="7">
        <f>IF($B539="","",F539*L539/100)</f>
        <v/>
      </c>
      <c r="K539" s="7" t="n"/>
      <c r="L539" s="7" t="n"/>
      <c r="M539" s="7">
        <f>IF($B539="","",L539*T539/100)</f>
        <v/>
      </c>
      <c r="N539" s="7">
        <f>IF($B539="","",L539-M539)</f>
        <v/>
      </c>
      <c r="O539" s="7">
        <f>IF($B539="","",N539-G539)</f>
        <v/>
      </c>
      <c r="R539" s="14" t="n"/>
      <c r="T539">
        <f>IF($B539="","",IF($W539=1,Settings!$C$6,Settings!$C$7)*100)</f>
        <v/>
      </c>
      <c r="U539">
        <f>IF($B539="","",IF(COUNTIF($B$2:$B539,$B539)=1,1,0))</f>
        <v/>
      </c>
      <c r="V539">
        <f>IF($U539=1,SUMPRODUCT(--($X$2:$X$1501&lt;$X539))+1,"")</f>
        <v/>
      </c>
      <c r="W539">
        <f>IF($B539="","",IF(OR($S539=TRUE(),$S539="TRUE"),1,0))</f>
        <v/>
      </c>
      <c r="X539">
        <f>IF($U539=1,IFERROR(IF(VALUE($B539)&lt;100000000,VALUE($B539),1000000000),IFERROR(IF(VALUE(MID($B539,2,20))&lt;100000000,VALUE(MID($B539,2,20)),1000000000),1000000000))+ROW()/100000,"")</f>
        <v/>
      </c>
    </row>
    <row r="540">
      <c r="A540">
        <f>IF($B540="","",IFERROR(IF(INDEX('Per Invoice'!$C$2:$C$401,MATCH($B540,'Per Invoice'!$A$2:$A$401,0))=0,"",INDEX('Per Invoice'!$C$2:$C$401,MATCH($B540,'Per Invoice'!$A$2:$A$401,0))),""))</f>
        <v/>
      </c>
      <c r="G540" s="7">
        <f>IF($B540="","",F540*L540/100)</f>
        <v/>
      </c>
      <c r="K540" s="7" t="n"/>
      <c r="L540" s="7" t="n"/>
      <c r="M540" s="7">
        <f>IF($B540="","",L540*T540/100)</f>
        <v/>
      </c>
      <c r="N540" s="7">
        <f>IF($B540="","",L540-M540)</f>
        <v/>
      </c>
      <c r="O540" s="7">
        <f>IF($B540="","",N540-G540)</f>
        <v/>
      </c>
      <c r="R540" s="14" t="n"/>
      <c r="T540">
        <f>IF($B540="","",IF($W540=1,Settings!$C$6,Settings!$C$7)*100)</f>
        <v/>
      </c>
      <c r="U540">
        <f>IF($B540="","",IF(COUNTIF($B$2:$B540,$B540)=1,1,0))</f>
        <v/>
      </c>
      <c r="V540">
        <f>IF($U540=1,SUMPRODUCT(--($X$2:$X$1501&lt;$X540))+1,"")</f>
        <v/>
      </c>
      <c r="W540">
        <f>IF($B540="","",IF(OR($S540=TRUE(),$S540="TRUE"),1,0))</f>
        <v/>
      </c>
      <c r="X540">
        <f>IF($U540=1,IFERROR(IF(VALUE($B540)&lt;100000000,VALUE($B540),1000000000),IFERROR(IF(VALUE(MID($B540,2,20))&lt;100000000,VALUE(MID($B540,2,20)),1000000000),1000000000))+ROW()/100000,"")</f>
        <v/>
      </c>
    </row>
    <row r="541">
      <c r="A541">
        <f>IF($B541="","",IFERROR(IF(INDEX('Per Invoice'!$C$2:$C$401,MATCH($B541,'Per Invoice'!$A$2:$A$401,0))=0,"",INDEX('Per Invoice'!$C$2:$C$401,MATCH($B541,'Per Invoice'!$A$2:$A$401,0))),""))</f>
        <v/>
      </c>
      <c r="G541" s="7">
        <f>IF($B541="","",F541*L541/100)</f>
        <v/>
      </c>
      <c r="K541" s="7" t="n"/>
      <c r="L541" s="7" t="n"/>
      <c r="M541" s="7">
        <f>IF($B541="","",L541*T541/100)</f>
        <v/>
      </c>
      <c r="N541" s="7">
        <f>IF($B541="","",L541-M541)</f>
        <v/>
      </c>
      <c r="O541" s="7">
        <f>IF($B541="","",N541-G541)</f>
        <v/>
      </c>
      <c r="R541" s="14" t="n"/>
      <c r="T541">
        <f>IF($B541="","",IF($W541=1,Settings!$C$6,Settings!$C$7)*100)</f>
        <v/>
      </c>
      <c r="U541">
        <f>IF($B541="","",IF(COUNTIF($B$2:$B541,$B541)=1,1,0))</f>
        <v/>
      </c>
      <c r="V541">
        <f>IF($U541=1,SUMPRODUCT(--($X$2:$X$1501&lt;$X541))+1,"")</f>
        <v/>
      </c>
      <c r="W541">
        <f>IF($B541="","",IF(OR($S541=TRUE(),$S541="TRUE"),1,0))</f>
        <v/>
      </c>
      <c r="X541">
        <f>IF($U541=1,IFERROR(IF(VALUE($B541)&lt;100000000,VALUE($B541),1000000000),IFERROR(IF(VALUE(MID($B541,2,20))&lt;100000000,VALUE(MID($B541,2,20)),1000000000),1000000000))+ROW()/100000,"")</f>
        <v/>
      </c>
    </row>
    <row r="542">
      <c r="A542">
        <f>IF($B542="","",IFERROR(IF(INDEX('Per Invoice'!$C$2:$C$401,MATCH($B542,'Per Invoice'!$A$2:$A$401,0))=0,"",INDEX('Per Invoice'!$C$2:$C$401,MATCH($B542,'Per Invoice'!$A$2:$A$401,0))),""))</f>
        <v/>
      </c>
      <c r="G542" s="7">
        <f>IF($B542="","",F542*L542/100)</f>
        <v/>
      </c>
      <c r="K542" s="7" t="n"/>
      <c r="L542" s="7" t="n"/>
      <c r="M542" s="7">
        <f>IF($B542="","",L542*T542/100)</f>
        <v/>
      </c>
      <c r="N542" s="7">
        <f>IF($B542="","",L542-M542)</f>
        <v/>
      </c>
      <c r="O542" s="7">
        <f>IF($B542="","",N542-G542)</f>
        <v/>
      </c>
      <c r="R542" s="14" t="n"/>
      <c r="T542">
        <f>IF($B542="","",IF($W542=1,Settings!$C$6,Settings!$C$7)*100)</f>
        <v/>
      </c>
      <c r="U542">
        <f>IF($B542="","",IF(COUNTIF($B$2:$B542,$B542)=1,1,0))</f>
        <v/>
      </c>
      <c r="V542">
        <f>IF($U542=1,SUMPRODUCT(--($X$2:$X$1501&lt;$X542))+1,"")</f>
        <v/>
      </c>
      <c r="W542">
        <f>IF($B542="","",IF(OR($S542=TRUE(),$S542="TRUE"),1,0))</f>
        <v/>
      </c>
      <c r="X542">
        <f>IF($U542=1,IFERROR(IF(VALUE($B542)&lt;100000000,VALUE($B542),1000000000),IFERROR(IF(VALUE(MID($B542,2,20))&lt;100000000,VALUE(MID($B542,2,20)),1000000000),1000000000))+ROW()/100000,"")</f>
        <v/>
      </c>
    </row>
    <row r="543">
      <c r="A543">
        <f>IF($B543="","",IFERROR(IF(INDEX('Per Invoice'!$C$2:$C$401,MATCH($B543,'Per Invoice'!$A$2:$A$401,0))=0,"",INDEX('Per Invoice'!$C$2:$C$401,MATCH($B543,'Per Invoice'!$A$2:$A$401,0))),""))</f>
        <v/>
      </c>
      <c r="G543" s="7">
        <f>IF($B543="","",F543*L543/100)</f>
        <v/>
      </c>
      <c r="K543" s="7" t="n"/>
      <c r="L543" s="7" t="n"/>
      <c r="M543" s="7">
        <f>IF($B543="","",L543*T543/100)</f>
        <v/>
      </c>
      <c r="N543" s="7">
        <f>IF($B543="","",L543-M543)</f>
        <v/>
      </c>
      <c r="O543" s="7">
        <f>IF($B543="","",N543-G543)</f>
        <v/>
      </c>
      <c r="R543" s="14" t="n"/>
      <c r="T543">
        <f>IF($B543="","",IF($W543=1,Settings!$C$6,Settings!$C$7)*100)</f>
        <v/>
      </c>
      <c r="U543">
        <f>IF($B543="","",IF(COUNTIF($B$2:$B543,$B543)=1,1,0))</f>
        <v/>
      </c>
      <c r="V543">
        <f>IF($U543=1,SUMPRODUCT(--($X$2:$X$1501&lt;$X543))+1,"")</f>
        <v/>
      </c>
      <c r="W543">
        <f>IF($B543="","",IF(OR($S543=TRUE(),$S543="TRUE"),1,0))</f>
        <v/>
      </c>
      <c r="X543">
        <f>IF($U543=1,IFERROR(IF(VALUE($B543)&lt;100000000,VALUE($B543),1000000000),IFERROR(IF(VALUE(MID($B543,2,20))&lt;100000000,VALUE(MID($B543,2,20)),1000000000),1000000000))+ROW()/100000,"")</f>
        <v/>
      </c>
    </row>
    <row r="544">
      <c r="A544">
        <f>IF($B544="","",IFERROR(IF(INDEX('Per Invoice'!$C$2:$C$401,MATCH($B544,'Per Invoice'!$A$2:$A$401,0))=0,"",INDEX('Per Invoice'!$C$2:$C$401,MATCH($B544,'Per Invoice'!$A$2:$A$401,0))),""))</f>
        <v/>
      </c>
      <c r="G544" s="7">
        <f>IF($B544="","",F544*L544/100)</f>
        <v/>
      </c>
      <c r="K544" s="7" t="n"/>
      <c r="L544" s="7" t="n"/>
      <c r="M544" s="7">
        <f>IF($B544="","",L544*T544/100)</f>
        <v/>
      </c>
      <c r="N544" s="7">
        <f>IF($B544="","",L544-M544)</f>
        <v/>
      </c>
      <c r="O544" s="7">
        <f>IF($B544="","",N544-G544)</f>
        <v/>
      </c>
      <c r="R544" s="14" t="n"/>
      <c r="T544">
        <f>IF($B544="","",IF($W544=1,Settings!$C$6,Settings!$C$7)*100)</f>
        <v/>
      </c>
      <c r="U544">
        <f>IF($B544="","",IF(COUNTIF($B$2:$B544,$B544)=1,1,0))</f>
        <v/>
      </c>
      <c r="V544">
        <f>IF($U544=1,SUMPRODUCT(--($X$2:$X$1501&lt;$X544))+1,"")</f>
        <v/>
      </c>
      <c r="W544">
        <f>IF($B544="","",IF(OR($S544=TRUE(),$S544="TRUE"),1,0))</f>
        <v/>
      </c>
      <c r="X544">
        <f>IF($U544=1,IFERROR(IF(VALUE($B544)&lt;100000000,VALUE($B544),1000000000),IFERROR(IF(VALUE(MID($B544,2,20))&lt;100000000,VALUE(MID($B544,2,20)),1000000000),1000000000))+ROW()/100000,"")</f>
        <v/>
      </c>
    </row>
    <row r="545">
      <c r="A545">
        <f>IF($B545="","",IFERROR(IF(INDEX('Per Invoice'!$C$2:$C$401,MATCH($B545,'Per Invoice'!$A$2:$A$401,0))=0,"",INDEX('Per Invoice'!$C$2:$C$401,MATCH($B545,'Per Invoice'!$A$2:$A$401,0))),""))</f>
        <v/>
      </c>
      <c r="G545" s="7">
        <f>IF($B545="","",F545*L545/100)</f>
        <v/>
      </c>
      <c r="K545" s="7" t="n"/>
      <c r="L545" s="7" t="n"/>
      <c r="M545" s="7">
        <f>IF($B545="","",L545*T545/100)</f>
        <v/>
      </c>
      <c r="N545" s="7">
        <f>IF($B545="","",L545-M545)</f>
        <v/>
      </c>
      <c r="O545" s="7">
        <f>IF($B545="","",N545-G545)</f>
        <v/>
      </c>
      <c r="R545" s="14" t="n"/>
      <c r="T545">
        <f>IF($B545="","",IF($W545=1,Settings!$C$6,Settings!$C$7)*100)</f>
        <v/>
      </c>
      <c r="U545">
        <f>IF($B545="","",IF(COUNTIF($B$2:$B545,$B545)=1,1,0))</f>
        <v/>
      </c>
      <c r="V545">
        <f>IF($U545=1,SUMPRODUCT(--($X$2:$X$1501&lt;$X545))+1,"")</f>
        <v/>
      </c>
      <c r="W545">
        <f>IF($B545="","",IF(OR($S545=TRUE(),$S545="TRUE"),1,0))</f>
        <v/>
      </c>
      <c r="X545">
        <f>IF($U545=1,IFERROR(IF(VALUE($B545)&lt;100000000,VALUE($B545),1000000000),IFERROR(IF(VALUE(MID($B545,2,20))&lt;100000000,VALUE(MID($B545,2,20)),1000000000),1000000000))+ROW()/100000,"")</f>
        <v/>
      </c>
    </row>
    <row r="546">
      <c r="A546">
        <f>IF($B546="","",IFERROR(IF(INDEX('Per Invoice'!$C$2:$C$401,MATCH($B546,'Per Invoice'!$A$2:$A$401,0))=0,"",INDEX('Per Invoice'!$C$2:$C$401,MATCH($B546,'Per Invoice'!$A$2:$A$401,0))),""))</f>
        <v/>
      </c>
      <c r="G546" s="7">
        <f>IF($B546="","",F546*L546/100)</f>
        <v/>
      </c>
      <c r="K546" s="7" t="n"/>
      <c r="L546" s="7" t="n"/>
      <c r="M546" s="7">
        <f>IF($B546="","",L546*T546/100)</f>
        <v/>
      </c>
      <c r="N546" s="7">
        <f>IF($B546="","",L546-M546)</f>
        <v/>
      </c>
      <c r="O546" s="7">
        <f>IF($B546="","",N546-G546)</f>
        <v/>
      </c>
      <c r="R546" s="14" t="n"/>
      <c r="T546">
        <f>IF($B546="","",IF($W546=1,Settings!$C$6,Settings!$C$7)*100)</f>
        <v/>
      </c>
      <c r="U546">
        <f>IF($B546="","",IF(COUNTIF($B$2:$B546,$B546)=1,1,0))</f>
        <v/>
      </c>
      <c r="V546">
        <f>IF($U546=1,SUMPRODUCT(--($X$2:$X$1501&lt;$X546))+1,"")</f>
        <v/>
      </c>
      <c r="W546">
        <f>IF($B546="","",IF(OR($S546=TRUE(),$S546="TRUE"),1,0))</f>
        <v/>
      </c>
      <c r="X546">
        <f>IF($U546=1,IFERROR(IF(VALUE($B546)&lt;100000000,VALUE($B546),1000000000),IFERROR(IF(VALUE(MID($B546,2,20))&lt;100000000,VALUE(MID($B546,2,20)),1000000000),1000000000))+ROW()/100000,"")</f>
        <v/>
      </c>
    </row>
    <row r="547">
      <c r="A547">
        <f>IF($B547="","",IFERROR(IF(INDEX('Per Invoice'!$C$2:$C$401,MATCH($B547,'Per Invoice'!$A$2:$A$401,0))=0,"",INDEX('Per Invoice'!$C$2:$C$401,MATCH($B547,'Per Invoice'!$A$2:$A$401,0))),""))</f>
        <v/>
      </c>
      <c r="G547" s="7">
        <f>IF($B547="","",F547*L547/100)</f>
        <v/>
      </c>
      <c r="K547" s="7" t="n"/>
      <c r="L547" s="7" t="n"/>
      <c r="M547" s="7">
        <f>IF($B547="","",L547*T547/100)</f>
        <v/>
      </c>
      <c r="N547" s="7">
        <f>IF($B547="","",L547-M547)</f>
        <v/>
      </c>
      <c r="O547" s="7">
        <f>IF($B547="","",N547-G547)</f>
        <v/>
      </c>
      <c r="R547" s="14" t="n"/>
      <c r="T547">
        <f>IF($B547="","",IF($W547=1,Settings!$C$6,Settings!$C$7)*100)</f>
        <v/>
      </c>
      <c r="U547">
        <f>IF($B547="","",IF(COUNTIF($B$2:$B547,$B547)=1,1,0))</f>
        <v/>
      </c>
      <c r="V547">
        <f>IF($U547=1,SUMPRODUCT(--($X$2:$X$1501&lt;$X547))+1,"")</f>
        <v/>
      </c>
      <c r="W547">
        <f>IF($B547="","",IF(OR($S547=TRUE(),$S547="TRUE"),1,0))</f>
        <v/>
      </c>
      <c r="X547">
        <f>IF($U547=1,IFERROR(IF(VALUE($B547)&lt;100000000,VALUE($B547),1000000000),IFERROR(IF(VALUE(MID($B547,2,20))&lt;100000000,VALUE(MID($B547,2,20)),1000000000),1000000000))+ROW()/100000,"")</f>
        <v/>
      </c>
    </row>
    <row r="548">
      <c r="A548">
        <f>IF($B548="","",IFERROR(IF(INDEX('Per Invoice'!$C$2:$C$401,MATCH($B548,'Per Invoice'!$A$2:$A$401,0))=0,"",INDEX('Per Invoice'!$C$2:$C$401,MATCH($B548,'Per Invoice'!$A$2:$A$401,0))),""))</f>
        <v/>
      </c>
      <c r="G548" s="7">
        <f>IF($B548="","",F548*L548/100)</f>
        <v/>
      </c>
      <c r="K548" s="7" t="n"/>
      <c r="L548" s="7" t="n"/>
      <c r="M548" s="7">
        <f>IF($B548="","",L548*T548/100)</f>
        <v/>
      </c>
      <c r="N548" s="7">
        <f>IF($B548="","",L548-M548)</f>
        <v/>
      </c>
      <c r="O548" s="7">
        <f>IF($B548="","",N548-G548)</f>
        <v/>
      </c>
      <c r="R548" s="14" t="n"/>
      <c r="T548">
        <f>IF($B548="","",IF($W548=1,Settings!$C$6,Settings!$C$7)*100)</f>
        <v/>
      </c>
      <c r="U548">
        <f>IF($B548="","",IF(COUNTIF($B$2:$B548,$B548)=1,1,0))</f>
        <v/>
      </c>
      <c r="V548">
        <f>IF($U548=1,SUMPRODUCT(--($X$2:$X$1501&lt;$X548))+1,"")</f>
        <v/>
      </c>
      <c r="W548">
        <f>IF($B548="","",IF(OR($S548=TRUE(),$S548="TRUE"),1,0))</f>
        <v/>
      </c>
      <c r="X548">
        <f>IF($U548=1,IFERROR(IF(VALUE($B548)&lt;100000000,VALUE($B548),1000000000),IFERROR(IF(VALUE(MID($B548,2,20))&lt;100000000,VALUE(MID($B548,2,20)),1000000000),1000000000))+ROW()/100000,"")</f>
        <v/>
      </c>
    </row>
    <row r="549">
      <c r="A549">
        <f>IF($B549="","",IFERROR(IF(INDEX('Per Invoice'!$C$2:$C$401,MATCH($B549,'Per Invoice'!$A$2:$A$401,0))=0,"",INDEX('Per Invoice'!$C$2:$C$401,MATCH($B549,'Per Invoice'!$A$2:$A$401,0))),""))</f>
        <v/>
      </c>
      <c r="G549" s="7">
        <f>IF($B549="","",F549*L549/100)</f>
        <v/>
      </c>
      <c r="K549" s="7" t="n"/>
      <c r="L549" s="7" t="n"/>
      <c r="M549" s="7">
        <f>IF($B549="","",L549*T549/100)</f>
        <v/>
      </c>
      <c r="N549" s="7">
        <f>IF($B549="","",L549-M549)</f>
        <v/>
      </c>
      <c r="O549" s="7">
        <f>IF($B549="","",N549-G549)</f>
        <v/>
      </c>
      <c r="R549" s="14" t="n"/>
      <c r="T549">
        <f>IF($B549="","",IF($W549=1,Settings!$C$6,Settings!$C$7)*100)</f>
        <v/>
      </c>
      <c r="U549">
        <f>IF($B549="","",IF(COUNTIF($B$2:$B549,$B549)=1,1,0))</f>
        <v/>
      </c>
      <c r="V549">
        <f>IF($U549=1,SUMPRODUCT(--($X$2:$X$1501&lt;$X549))+1,"")</f>
        <v/>
      </c>
      <c r="W549">
        <f>IF($B549="","",IF(OR($S549=TRUE(),$S549="TRUE"),1,0))</f>
        <v/>
      </c>
      <c r="X549">
        <f>IF($U549=1,IFERROR(IF(VALUE($B549)&lt;100000000,VALUE($B549),1000000000),IFERROR(IF(VALUE(MID($B549,2,20))&lt;100000000,VALUE(MID($B549,2,20)),1000000000),1000000000))+ROW()/100000,"")</f>
        <v/>
      </c>
    </row>
    <row r="550">
      <c r="A550">
        <f>IF($B550="","",IFERROR(IF(INDEX('Per Invoice'!$C$2:$C$401,MATCH($B550,'Per Invoice'!$A$2:$A$401,0))=0,"",INDEX('Per Invoice'!$C$2:$C$401,MATCH($B550,'Per Invoice'!$A$2:$A$401,0))),""))</f>
        <v/>
      </c>
      <c r="G550" s="7">
        <f>IF($B550="","",F550*L550/100)</f>
        <v/>
      </c>
      <c r="K550" s="7" t="n"/>
      <c r="L550" s="7" t="n"/>
      <c r="M550" s="7">
        <f>IF($B550="","",L550*T550/100)</f>
        <v/>
      </c>
      <c r="N550" s="7">
        <f>IF($B550="","",L550-M550)</f>
        <v/>
      </c>
      <c r="O550" s="7">
        <f>IF($B550="","",N550-G550)</f>
        <v/>
      </c>
      <c r="R550" s="14" t="n"/>
      <c r="T550">
        <f>IF($B550="","",IF($W550=1,Settings!$C$6,Settings!$C$7)*100)</f>
        <v/>
      </c>
      <c r="U550">
        <f>IF($B550="","",IF(COUNTIF($B$2:$B550,$B550)=1,1,0))</f>
        <v/>
      </c>
      <c r="V550">
        <f>IF($U550=1,SUMPRODUCT(--($X$2:$X$1501&lt;$X550))+1,"")</f>
        <v/>
      </c>
      <c r="W550">
        <f>IF($B550="","",IF(OR($S550=TRUE(),$S550="TRUE"),1,0))</f>
        <v/>
      </c>
      <c r="X550">
        <f>IF($U550=1,IFERROR(IF(VALUE($B550)&lt;100000000,VALUE($B550),1000000000),IFERROR(IF(VALUE(MID($B550,2,20))&lt;100000000,VALUE(MID($B550,2,20)),1000000000),1000000000))+ROW()/100000,"")</f>
        <v/>
      </c>
    </row>
    <row r="551">
      <c r="A551">
        <f>IF($B551="","",IFERROR(IF(INDEX('Per Invoice'!$C$2:$C$401,MATCH($B551,'Per Invoice'!$A$2:$A$401,0))=0,"",INDEX('Per Invoice'!$C$2:$C$401,MATCH($B551,'Per Invoice'!$A$2:$A$401,0))),""))</f>
        <v/>
      </c>
      <c r="G551" s="7">
        <f>IF($B551="","",F551*L551/100)</f>
        <v/>
      </c>
      <c r="K551" s="7" t="n"/>
      <c r="L551" s="7" t="n"/>
      <c r="M551" s="7">
        <f>IF($B551="","",L551*T551/100)</f>
        <v/>
      </c>
      <c r="N551" s="7">
        <f>IF($B551="","",L551-M551)</f>
        <v/>
      </c>
      <c r="O551" s="7">
        <f>IF($B551="","",N551-G551)</f>
        <v/>
      </c>
      <c r="R551" s="14" t="n"/>
      <c r="T551">
        <f>IF($B551="","",IF($W551=1,Settings!$C$6,Settings!$C$7)*100)</f>
        <v/>
      </c>
      <c r="U551">
        <f>IF($B551="","",IF(COUNTIF($B$2:$B551,$B551)=1,1,0))</f>
        <v/>
      </c>
      <c r="V551">
        <f>IF($U551=1,SUMPRODUCT(--($X$2:$X$1501&lt;$X551))+1,"")</f>
        <v/>
      </c>
      <c r="W551">
        <f>IF($B551="","",IF(OR($S551=TRUE(),$S551="TRUE"),1,0))</f>
        <v/>
      </c>
      <c r="X551">
        <f>IF($U551=1,IFERROR(IF(VALUE($B551)&lt;100000000,VALUE($B551),1000000000),IFERROR(IF(VALUE(MID($B551,2,20))&lt;100000000,VALUE(MID($B551,2,20)),1000000000),1000000000))+ROW()/100000,"")</f>
        <v/>
      </c>
    </row>
    <row r="552">
      <c r="A552">
        <f>IF($B552="","",IFERROR(IF(INDEX('Per Invoice'!$C$2:$C$401,MATCH($B552,'Per Invoice'!$A$2:$A$401,0))=0,"",INDEX('Per Invoice'!$C$2:$C$401,MATCH($B552,'Per Invoice'!$A$2:$A$401,0))),""))</f>
        <v/>
      </c>
      <c r="G552" s="7">
        <f>IF($B552="","",F552*L552/100)</f>
        <v/>
      </c>
      <c r="K552" s="7" t="n"/>
      <c r="L552" s="7" t="n"/>
      <c r="M552" s="7">
        <f>IF($B552="","",L552*T552/100)</f>
        <v/>
      </c>
      <c r="N552" s="7">
        <f>IF($B552="","",L552-M552)</f>
        <v/>
      </c>
      <c r="O552" s="7">
        <f>IF($B552="","",N552-G552)</f>
        <v/>
      </c>
      <c r="R552" s="14" t="n"/>
      <c r="T552">
        <f>IF($B552="","",IF($W552=1,Settings!$C$6,Settings!$C$7)*100)</f>
        <v/>
      </c>
      <c r="U552">
        <f>IF($B552="","",IF(COUNTIF($B$2:$B552,$B552)=1,1,0))</f>
        <v/>
      </c>
      <c r="V552">
        <f>IF($U552=1,SUMPRODUCT(--($X$2:$X$1501&lt;$X552))+1,"")</f>
        <v/>
      </c>
      <c r="W552">
        <f>IF($B552="","",IF(OR($S552=TRUE(),$S552="TRUE"),1,0))</f>
        <v/>
      </c>
      <c r="X552">
        <f>IF($U552=1,IFERROR(IF(VALUE($B552)&lt;100000000,VALUE($B552),1000000000),IFERROR(IF(VALUE(MID($B552,2,20))&lt;100000000,VALUE(MID($B552,2,20)),1000000000),1000000000))+ROW()/100000,"")</f>
        <v/>
      </c>
    </row>
    <row r="553">
      <c r="A553">
        <f>IF($B553="","",IFERROR(IF(INDEX('Per Invoice'!$C$2:$C$401,MATCH($B553,'Per Invoice'!$A$2:$A$401,0))=0,"",INDEX('Per Invoice'!$C$2:$C$401,MATCH($B553,'Per Invoice'!$A$2:$A$401,0))),""))</f>
        <v/>
      </c>
      <c r="G553" s="7">
        <f>IF($B553="","",F553*L553/100)</f>
        <v/>
      </c>
      <c r="K553" s="7" t="n"/>
      <c r="L553" s="7" t="n"/>
      <c r="M553" s="7">
        <f>IF($B553="","",L553*T553/100)</f>
        <v/>
      </c>
      <c r="N553" s="7">
        <f>IF($B553="","",L553-M553)</f>
        <v/>
      </c>
      <c r="O553" s="7">
        <f>IF($B553="","",N553-G553)</f>
        <v/>
      </c>
      <c r="R553" s="14" t="n"/>
      <c r="T553">
        <f>IF($B553="","",IF($W553=1,Settings!$C$6,Settings!$C$7)*100)</f>
        <v/>
      </c>
      <c r="U553">
        <f>IF($B553="","",IF(COUNTIF($B$2:$B553,$B553)=1,1,0))</f>
        <v/>
      </c>
      <c r="V553">
        <f>IF($U553=1,SUMPRODUCT(--($X$2:$X$1501&lt;$X553))+1,"")</f>
        <v/>
      </c>
      <c r="W553">
        <f>IF($B553="","",IF(OR($S553=TRUE(),$S553="TRUE"),1,0))</f>
        <v/>
      </c>
      <c r="X553">
        <f>IF($U553=1,IFERROR(IF(VALUE($B553)&lt;100000000,VALUE($B553),1000000000),IFERROR(IF(VALUE(MID($B553,2,20))&lt;100000000,VALUE(MID($B553,2,20)),1000000000),1000000000))+ROW()/100000,"")</f>
        <v/>
      </c>
    </row>
    <row r="554">
      <c r="A554">
        <f>IF($B554="","",IFERROR(IF(INDEX('Per Invoice'!$C$2:$C$401,MATCH($B554,'Per Invoice'!$A$2:$A$401,0))=0,"",INDEX('Per Invoice'!$C$2:$C$401,MATCH($B554,'Per Invoice'!$A$2:$A$401,0))),""))</f>
        <v/>
      </c>
      <c r="G554" s="7">
        <f>IF($B554="","",F554*L554/100)</f>
        <v/>
      </c>
      <c r="K554" s="7" t="n"/>
      <c r="L554" s="7" t="n"/>
      <c r="M554" s="7">
        <f>IF($B554="","",L554*T554/100)</f>
        <v/>
      </c>
      <c r="N554" s="7">
        <f>IF($B554="","",L554-M554)</f>
        <v/>
      </c>
      <c r="O554" s="7">
        <f>IF($B554="","",N554-G554)</f>
        <v/>
      </c>
      <c r="R554" s="14" t="n"/>
      <c r="T554">
        <f>IF($B554="","",IF($W554=1,Settings!$C$6,Settings!$C$7)*100)</f>
        <v/>
      </c>
      <c r="U554">
        <f>IF($B554="","",IF(COUNTIF($B$2:$B554,$B554)=1,1,0))</f>
        <v/>
      </c>
      <c r="V554">
        <f>IF($U554=1,SUMPRODUCT(--($X$2:$X$1501&lt;$X554))+1,"")</f>
        <v/>
      </c>
      <c r="W554">
        <f>IF($B554="","",IF(OR($S554=TRUE(),$S554="TRUE"),1,0))</f>
        <v/>
      </c>
      <c r="X554">
        <f>IF($U554=1,IFERROR(IF(VALUE($B554)&lt;100000000,VALUE($B554),1000000000),IFERROR(IF(VALUE(MID($B554,2,20))&lt;100000000,VALUE(MID($B554,2,20)),1000000000),1000000000))+ROW()/100000,"")</f>
        <v/>
      </c>
    </row>
    <row r="555">
      <c r="A555">
        <f>IF($B555="","",IFERROR(IF(INDEX('Per Invoice'!$C$2:$C$401,MATCH($B555,'Per Invoice'!$A$2:$A$401,0))=0,"",INDEX('Per Invoice'!$C$2:$C$401,MATCH($B555,'Per Invoice'!$A$2:$A$401,0))),""))</f>
        <v/>
      </c>
      <c r="G555" s="7">
        <f>IF($B555="","",F555*L555/100)</f>
        <v/>
      </c>
      <c r="K555" s="7" t="n"/>
      <c r="L555" s="7" t="n"/>
      <c r="M555" s="7">
        <f>IF($B555="","",L555*T555/100)</f>
        <v/>
      </c>
      <c r="N555" s="7">
        <f>IF($B555="","",L555-M555)</f>
        <v/>
      </c>
      <c r="O555" s="7">
        <f>IF($B555="","",N555-G555)</f>
        <v/>
      </c>
      <c r="R555" s="14" t="n"/>
      <c r="T555">
        <f>IF($B555="","",IF($W555=1,Settings!$C$6,Settings!$C$7)*100)</f>
        <v/>
      </c>
      <c r="U555">
        <f>IF($B555="","",IF(COUNTIF($B$2:$B555,$B555)=1,1,0))</f>
        <v/>
      </c>
      <c r="V555">
        <f>IF($U555=1,SUMPRODUCT(--($X$2:$X$1501&lt;$X555))+1,"")</f>
        <v/>
      </c>
      <c r="W555">
        <f>IF($B555="","",IF(OR($S555=TRUE(),$S555="TRUE"),1,0))</f>
        <v/>
      </c>
      <c r="X555">
        <f>IF($U555=1,IFERROR(IF(VALUE($B555)&lt;100000000,VALUE($B555),1000000000),IFERROR(IF(VALUE(MID($B555,2,20))&lt;100000000,VALUE(MID($B555,2,20)),1000000000),1000000000))+ROW()/100000,"")</f>
        <v/>
      </c>
    </row>
    <row r="556">
      <c r="A556">
        <f>IF($B556="","",IFERROR(IF(INDEX('Per Invoice'!$C$2:$C$401,MATCH($B556,'Per Invoice'!$A$2:$A$401,0))=0,"",INDEX('Per Invoice'!$C$2:$C$401,MATCH($B556,'Per Invoice'!$A$2:$A$401,0))),""))</f>
        <v/>
      </c>
      <c r="G556" s="7">
        <f>IF($B556="","",F556*L556/100)</f>
        <v/>
      </c>
      <c r="K556" s="7" t="n"/>
      <c r="L556" s="7" t="n"/>
      <c r="M556" s="7">
        <f>IF($B556="","",L556*T556/100)</f>
        <v/>
      </c>
      <c r="N556" s="7">
        <f>IF($B556="","",L556-M556)</f>
        <v/>
      </c>
      <c r="O556" s="7">
        <f>IF($B556="","",N556-G556)</f>
        <v/>
      </c>
      <c r="R556" s="14" t="n"/>
      <c r="T556">
        <f>IF($B556="","",IF($W556=1,Settings!$C$6,Settings!$C$7)*100)</f>
        <v/>
      </c>
      <c r="U556">
        <f>IF($B556="","",IF(COUNTIF($B$2:$B556,$B556)=1,1,0))</f>
        <v/>
      </c>
      <c r="V556">
        <f>IF($U556=1,SUMPRODUCT(--($X$2:$X$1501&lt;$X556))+1,"")</f>
        <v/>
      </c>
      <c r="W556">
        <f>IF($B556="","",IF(OR($S556=TRUE(),$S556="TRUE"),1,0))</f>
        <v/>
      </c>
      <c r="X556">
        <f>IF($U556=1,IFERROR(IF(VALUE($B556)&lt;100000000,VALUE($B556),1000000000),IFERROR(IF(VALUE(MID($B556,2,20))&lt;100000000,VALUE(MID($B556,2,20)),1000000000),1000000000))+ROW()/100000,"")</f>
        <v/>
      </c>
    </row>
    <row r="557">
      <c r="A557">
        <f>IF($B557="","",IFERROR(IF(INDEX('Per Invoice'!$C$2:$C$401,MATCH($B557,'Per Invoice'!$A$2:$A$401,0))=0,"",INDEX('Per Invoice'!$C$2:$C$401,MATCH($B557,'Per Invoice'!$A$2:$A$401,0))),""))</f>
        <v/>
      </c>
      <c r="G557" s="7">
        <f>IF($B557="","",F557*L557/100)</f>
        <v/>
      </c>
      <c r="K557" s="7" t="n"/>
      <c r="L557" s="7" t="n"/>
      <c r="M557" s="7">
        <f>IF($B557="","",L557*T557/100)</f>
        <v/>
      </c>
      <c r="N557" s="7">
        <f>IF($B557="","",L557-M557)</f>
        <v/>
      </c>
      <c r="O557" s="7">
        <f>IF($B557="","",N557-G557)</f>
        <v/>
      </c>
      <c r="R557" s="14" t="n"/>
      <c r="T557">
        <f>IF($B557="","",IF($W557=1,Settings!$C$6,Settings!$C$7)*100)</f>
        <v/>
      </c>
      <c r="U557">
        <f>IF($B557="","",IF(COUNTIF($B$2:$B557,$B557)=1,1,0))</f>
        <v/>
      </c>
      <c r="V557">
        <f>IF($U557=1,SUMPRODUCT(--($X$2:$X$1501&lt;$X557))+1,"")</f>
        <v/>
      </c>
      <c r="W557">
        <f>IF($B557="","",IF(OR($S557=TRUE(),$S557="TRUE"),1,0))</f>
        <v/>
      </c>
      <c r="X557">
        <f>IF($U557=1,IFERROR(IF(VALUE($B557)&lt;100000000,VALUE($B557),1000000000),IFERROR(IF(VALUE(MID($B557,2,20))&lt;100000000,VALUE(MID($B557,2,20)),1000000000),1000000000))+ROW()/100000,"")</f>
        <v/>
      </c>
    </row>
    <row r="558">
      <c r="A558">
        <f>IF($B558="","",IFERROR(IF(INDEX('Per Invoice'!$C$2:$C$401,MATCH($B558,'Per Invoice'!$A$2:$A$401,0))=0,"",INDEX('Per Invoice'!$C$2:$C$401,MATCH($B558,'Per Invoice'!$A$2:$A$401,0))),""))</f>
        <v/>
      </c>
      <c r="G558" s="7">
        <f>IF($B558="","",F558*L558/100)</f>
        <v/>
      </c>
      <c r="K558" s="7" t="n"/>
      <c r="L558" s="7" t="n"/>
      <c r="M558" s="7">
        <f>IF($B558="","",L558*T558/100)</f>
        <v/>
      </c>
      <c r="N558" s="7">
        <f>IF($B558="","",L558-M558)</f>
        <v/>
      </c>
      <c r="O558" s="7">
        <f>IF($B558="","",N558-G558)</f>
        <v/>
      </c>
      <c r="R558" s="14" t="n"/>
      <c r="T558">
        <f>IF($B558="","",IF($W558=1,Settings!$C$6,Settings!$C$7)*100)</f>
        <v/>
      </c>
      <c r="U558">
        <f>IF($B558="","",IF(COUNTIF($B$2:$B558,$B558)=1,1,0))</f>
        <v/>
      </c>
      <c r="V558">
        <f>IF($U558=1,SUMPRODUCT(--($X$2:$X$1501&lt;$X558))+1,"")</f>
        <v/>
      </c>
      <c r="W558">
        <f>IF($B558="","",IF(OR($S558=TRUE(),$S558="TRUE"),1,0))</f>
        <v/>
      </c>
      <c r="X558">
        <f>IF($U558=1,IFERROR(IF(VALUE($B558)&lt;100000000,VALUE($B558),1000000000),IFERROR(IF(VALUE(MID($B558,2,20))&lt;100000000,VALUE(MID($B558,2,20)),1000000000),1000000000))+ROW()/100000,"")</f>
        <v/>
      </c>
    </row>
    <row r="559">
      <c r="A559">
        <f>IF($B559="","",IFERROR(IF(INDEX('Per Invoice'!$C$2:$C$401,MATCH($B559,'Per Invoice'!$A$2:$A$401,0))=0,"",INDEX('Per Invoice'!$C$2:$C$401,MATCH($B559,'Per Invoice'!$A$2:$A$401,0))),""))</f>
        <v/>
      </c>
      <c r="G559" s="7">
        <f>IF($B559="","",F559*L559/100)</f>
        <v/>
      </c>
      <c r="K559" s="7" t="n"/>
      <c r="L559" s="7" t="n"/>
      <c r="M559" s="7">
        <f>IF($B559="","",L559*T559/100)</f>
        <v/>
      </c>
      <c r="N559" s="7">
        <f>IF($B559="","",L559-M559)</f>
        <v/>
      </c>
      <c r="O559" s="7">
        <f>IF($B559="","",N559-G559)</f>
        <v/>
      </c>
      <c r="R559" s="14" t="n"/>
      <c r="T559">
        <f>IF($B559="","",IF($W559=1,Settings!$C$6,Settings!$C$7)*100)</f>
        <v/>
      </c>
      <c r="U559">
        <f>IF($B559="","",IF(COUNTIF($B$2:$B559,$B559)=1,1,0))</f>
        <v/>
      </c>
      <c r="V559">
        <f>IF($U559=1,SUMPRODUCT(--($X$2:$X$1501&lt;$X559))+1,"")</f>
        <v/>
      </c>
      <c r="W559">
        <f>IF($B559="","",IF(OR($S559=TRUE(),$S559="TRUE"),1,0))</f>
        <v/>
      </c>
      <c r="X559">
        <f>IF($U559=1,IFERROR(IF(VALUE($B559)&lt;100000000,VALUE($B559),1000000000),IFERROR(IF(VALUE(MID($B559,2,20))&lt;100000000,VALUE(MID($B559,2,20)),1000000000),1000000000))+ROW()/100000,"")</f>
        <v/>
      </c>
    </row>
    <row r="560">
      <c r="A560">
        <f>IF($B560="","",IFERROR(IF(INDEX('Per Invoice'!$C$2:$C$401,MATCH($B560,'Per Invoice'!$A$2:$A$401,0))=0,"",INDEX('Per Invoice'!$C$2:$C$401,MATCH($B560,'Per Invoice'!$A$2:$A$401,0))),""))</f>
        <v/>
      </c>
      <c r="G560" s="7">
        <f>IF($B560="","",F560*L560/100)</f>
        <v/>
      </c>
      <c r="K560" s="7" t="n"/>
      <c r="L560" s="7" t="n"/>
      <c r="M560" s="7">
        <f>IF($B560="","",L560*T560/100)</f>
        <v/>
      </c>
      <c r="N560" s="7">
        <f>IF($B560="","",L560-M560)</f>
        <v/>
      </c>
      <c r="O560" s="7">
        <f>IF($B560="","",N560-G560)</f>
        <v/>
      </c>
      <c r="R560" s="14" t="n"/>
      <c r="T560">
        <f>IF($B560="","",IF($W560=1,Settings!$C$6,Settings!$C$7)*100)</f>
        <v/>
      </c>
      <c r="U560">
        <f>IF($B560="","",IF(COUNTIF($B$2:$B560,$B560)=1,1,0))</f>
        <v/>
      </c>
      <c r="V560">
        <f>IF($U560=1,SUMPRODUCT(--($X$2:$X$1501&lt;$X560))+1,"")</f>
        <v/>
      </c>
      <c r="W560">
        <f>IF($B560="","",IF(OR($S560=TRUE(),$S560="TRUE"),1,0))</f>
        <v/>
      </c>
      <c r="X560">
        <f>IF($U560=1,IFERROR(IF(VALUE($B560)&lt;100000000,VALUE($B560),1000000000),IFERROR(IF(VALUE(MID($B560,2,20))&lt;100000000,VALUE(MID($B560,2,20)),1000000000),1000000000))+ROW()/100000,"")</f>
        <v/>
      </c>
    </row>
    <row r="561">
      <c r="A561">
        <f>IF($B561="","",IFERROR(IF(INDEX('Per Invoice'!$C$2:$C$401,MATCH($B561,'Per Invoice'!$A$2:$A$401,0))=0,"",INDEX('Per Invoice'!$C$2:$C$401,MATCH($B561,'Per Invoice'!$A$2:$A$401,0))),""))</f>
        <v/>
      </c>
      <c r="G561" s="7">
        <f>IF($B561="","",F561*L561/100)</f>
        <v/>
      </c>
      <c r="K561" s="7" t="n"/>
      <c r="L561" s="7" t="n"/>
      <c r="M561" s="7">
        <f>IF($B561="","",L561*T561/100)</f>
        <v/>
      </c>
      <c r="N561" s="7">
        <f>IF($B561="","",L561-M561)</f>
        <v/>
      </c>
      <c r="O561" s="7">
        <f>IF($B561="","",N561-G561)</f>
        <v/>
      </c>
      <c r="R561" s="14" t="n"/>
      <c r="T561">
        <f>IF($B561="","",IF($W561=1,Settings!$C$6,Settings!$C$7)*100)</f>
        <v/>
      </c>
      <c r="U561">
        <f>IF($B561="","",IF(COUNTIF($B$2:$B561,$B561)=1,1,0))</f>
        <v/>
      </c>
      <c r="V561">
        <f>IF($U561=1,SUMPRODUCT(--($X$2:$X$1501&lt;$X561))+1,"")</f>
        <v/>
      </c>
      <c r="W561">
        <f>IF($B561="","",IF(OR($S561=TRUE(),$S561="TRUE"),1,0))</f>
        <v/>
      </c>
      <c r="X561">
        <f>IF($U561=1,IFERROR(IF(VALUE($B561)&lt;100000000,VALUE($B561),1000000000),IFERROR(IF(VALUE(MID($B561,2,20))&lt;100000000,VALUE(MID($B561,2,20)),1000000000),1000000000))+ROW()/100000,"")</f>
        <v/>
      </c>
    </row>
    <row r="562">
      <c r="A562">
        <f>IF($B562="","",IFERROR(IF(INDEX('Per Invoice'!$C$2:$C$401,MATCH($B562,'Per Invoice'!$A$2:$A$401,0))=0,"",INDEX('Per Invoice'!$C$2:$C$401,MATCH($B562,'Per Invoice'!$A$2:$A$401,0))),""))</f>
        <v/>
      </c>
      <c r="G562" s="7">
        <f>IF($B562="","",F562*L562/100)</f>
        <v/>
      </c>
      <c r="K562" s="7" t="n"/>
      <c r="L562" s="7" t="n"/>
      <c r="M562" s="7">
        <f>IF($B562="","",L562*T562/100)</f>
        <v/>
      </c>
      <c r="N562" s="7">
        <f>IF($B562="","",L562-M562)</f>
        <v/>
      </c>
      <c r="O562" s="7">
        <f>IF($B562="","",N562-G562)</f>
        <v/>
      </c>
      <c r="R562" s="14" t="n"/>
      <c r="T562">
        <f>IF($B562="","",IF($W562=1,Settings!$C$6,Settings!$C$7)*100)</f>
        <v/>
      </c>
      <c r="U562">
        <f>IF($B562="","",IF(COUNTIF($B$2:$B562,$B562)=1,1,0))</f>
        <v/>
      </c>
      <c r="V562">
        <f>IF($U562=1,SUMPRODUCT(--($X$2:$X$1501&lt;$X562))+1,"")</f>
        <v/>
      </c>
      <c r="W562">
        <f>IF($B562="","",IF(OR($S562=TRUE(),$S562="TRUE"),1,0))</f>
        <v/>
      </c>
      <c r="X562">
        <f>IF($U562=1,IFERROR(IF(VALUE($B562)&lt;100000000,VALUE($B562),1000000000),IFERROR(IF(VALUE(MID($B562,2,20))&lt;100000000,VALUE(MID($B562,2,20)),1000000000),1000000000))+ROW()/100000,"")</f>
        <v/>
      </c>
    </row>
    <row r="563">
      <c r="A563">
        <f>IF($B563="","",IFERROR(IF(INDEX('Per Invoice'!$C$2:$C$401,MATCH($B563,'Per Invoice'!$A$2:$A$401,0))=0,"",INDEX('Per Invoice'!$C$2:$C$401,MATCH($B563,'Per Invoice'!$A$2:$A$401,0))),""))</f>
        <v/>
      </c>
      <c r="G563" s="7">
        <f>IF($B563="","",F563*L563/100)</f>
        <v/>
      </c>
      <c r="K563" s="7" t="n"/>
      <c r="L563" s="7" t="n"/>
      <c r="M563" s="7">
        <f>IF($B563="","",L563*T563/100)</f>
        <v/>
      </c>
      <c r="N563" s="7">
        <f>IF($B563="","",L563-M563)</f>
        <v/>
      </c>
      <c r="O563" s="7">
        <f>IF($B563="","",N563-G563)</f>
        <v/>
      </c>
      <c r="R563" s="14" t="n"/>
      <c r="T563">
        <f>IF($B563="","",IF($W563=1,Settings!$C$6,Settings!$C$7)*100)</f>
        <v/>
      </c>
      <c r="U563">
        <f>IF($B563="","",IF(COUNTIF($B$2:$B563,$B563)=1,1,0))</f>
        <v/>
      </c>
      <c r="V563">
        <f>IF($U563=1,SUMPRODUCT(--($X$2:$X$1501&lt;$X563))+1,"")</f>
        <v/>
      </c>
      <c r="W563">
        <f>IF($B563="","",IF(OR($S563=TRUE(),$S563="TRUE"),1,0))</f>
        <v/>
      </c>
      <c r="X563">
        <f>IF($U563=1,IFERROR(IF(VALUE($B563)&lt;100000000,VALUE($B563),1000000000),IFERROR(IF(VALUE(MID($B563,2,20))&lt;100000000,VALUE(MID($B563,2,20)),1000000000),1000000000))+ROW()/100000,"")</f>
        <v/>
      </c>
    </row>
    <row r="564">
      <c r="A564">
        <f>IF($B564="","",IFERROR(IF(INDEX('Per Invoice'!$C$2:$C$401,MATCH($B564,'Per Invoice'!$A$2:$A$401,0))=0,"",INDEX('Per Invoice'!$C$2:$C$401,MATCH($B564,'Per Invoice'!$A$2:$A$401,0))),""))</f>
        <v/>
      </c>
      <c r="G564" s="7">
        <f>IF($B564="","",F564*L564/100)</f>
        <v/>
      </c>
      <c r="K564" s="7" t="n"/>
      <c r="L564" s="7" t="n"/>
      <c r="M564" s="7">
        <f>IF($B564="","",L564*T564/100)</f>
        <v/>
      </c>
      <c r="N564" s="7">
        <f>IF($B564="","",L564-M564)</f>
        <v/>
      </c>
      <c r="O564" s="7">
        <f>IF($B564="","",N564-G564)</f>
        <v/>
      </c>
      <c r="R564" s="14" t="n"/>
      <c r="T564">
        <f>IF($B564="","",IF($W564=1,Settings!$C$6,Settings!$C$7)*100)</f>
        <v/>
      </c>
      <c r="U564">
        <f>IF($B564="","",IF(COUNTIF($B$2:$B564,$B564)=1,1,0))</f>
        <v/>
      </c>
      <c r="V564">
        <f>IF($U564=1,SUMPRODUCT(--($X$2:$X$1501&lt;$X564))+1,"")</f>
        <v/>
      </c>
      <c r="W564">
        <f>IF($B564="","",IF(OR($S564=TRUE(),$S564="TRUE"),1,0))</f>
        <v/>
      </c>
      <c r="X564">
        <f>IF($U564=1,IFERROR(IF(VALUE($B564)&lt;100000000,VALUE($B564),1000000000),IFERROR(IF(VALUE(MID($B564,2,20))&lt;100000000,VALUE(MID($B564,2,20)),1000000000),1000000000))+ROW()/100000,"")</f>
        <v/>
      </c>
    </row>
    <row r="565">
      <c r="A565">
        <f>IF($B565="","",IFERROR(IF(INDEX('Per Invoice'!$C$2:$C$401,MATCH($B565,'Per Invoice'!$A$2:$A$401,0))=0,"",INDEX('Per Invoice'!$C$2:$C$401,MATCH($B565,'Per Invoice'!$A$2:$A$401,0))),""))</f>
        <v/>
      </c>
      <c r="G565" s="7">
        <f>IF($B565="","",F565*L565/100)</f>
        <v/>
      </c>
      <c r="K565" s="7" t="n"/>
      <c r="L565" s="7" t="n"/>
      <c r="M565" s="7">
        <f>IF($B565="","",L565*T565/100)</f>
        <v/>
      </c>
      <c r="N565" s="7">
        <f>IF($B565="","",L565-M565)</f>
        <v/>
      </c>
      <c r="O565" s="7">
        <f>IF($B565="","",N565-G565)</f>
        <v/>
      </c>
      <c r="R565" s="14" t="n"/>
      <c r="T565">
        <f>IF($B565="","",IF($W565=1,Settings!$C$6,Settings!$C$7)*100)</f>
        <v/>
      </c>
      <c r="U565">
        <f>IF($B565="","",IF(COUNTIF($B$2:$B565,$B565)=1,1,0))</f>
        <v/>
      </c>
      <c r="V565">
        <f>IF($U565=1,SUMPRODUCT(--($X$2:$X$1501&lt;$X565))+1,"")</f>
        <v/>
      </c>
      <c r="W565">
        <f>IF($B565="","",IF(OR($S565=TRUE(),$S565="TRUE"),1,0))</f>
        <v/>
      </c>
      <c r="X565">
        <f>IF($U565=1,IFERROR(IF(VALUE($B565)&lt;100000000,VALUE($B565),1000000000),IFERROR(IF(VALUE(MID($B565,2,20))&lt;100000000,VALUE(MID($B565,2,20)),1000000000),1000000000))+ROW()/100000,"")</f>
        <v/>
      </c>
    </row>
    <row r="566">
      <c r="A566">
        <f>IF($B566="","",IFERROR(IF(INDEX('Per Invoice'!$C$2:$C$401,MATCH($B566,'Per Invoice'!$A$2:$A$401,0))=0,"",INDEX('Per Invoice'!$C$2:$C$401,MATCH($B566,'Per Invoice'!$A$2:$A$401,0))),""))</f>
        <v/>
      </c>
      <c r="G566" s="7">
        <f>IF($B566="","",F566*L566/100)</f>
        <v/>
      </c>
      <c r="K566" s="7" t="n"/>
      <c r="L566" s="7" t="n"/>
      <c r="M566" s="7">
        <f>IF($B566="","",L566*T566/100)</f>
        <v/>
      </c>
      <c r="N566" s="7">
        <f>IF($B566="","",L566-M566)</f>
        <v/>
      </c>
      <c r="O566" s="7">
        <f>IF($B566="","",N566-G566)</f>
        <v/>
      </c>
      <c r="R566" s="14" t="n"/>
      <c r="T566">
        <f>IF($B566="","",IF($W566=1,Settings!$C$6,Settings!$C$7)*100)</f>
        <v/>
      </c>
      <c r="U566">
        <f>IF($B566="","",IF(COUNTIF($B$2:$B566,$B566)=1,1,0))</f>
        <v/>
      </c>
      <c r="V566">
        <f>IF($U566=1,SUMPRODUCT(--($X$2:$X$1501&lt;$X566))+1,"")</f>
        <v/>
      </c>
      <c r="W566">
        <f>IF($B566="","",IF(OR($S566=TRUE(),$S566="TRUE"),1,0))</f>
        <v/>
      </c>
      <c r="X566">
        <f>IF($U566=1,IFERROR(IF(VALUE($B566)&lt;100000000,VALUE($B566),1000000000),IFERROR(IF(VALUE(MID($B566,2,20))&lt;100000000,VALUE(MID($B566,2,20)),1000000000),1000000000))+ROW()/100000,"")</f>
        <v/>
      </c>
    </row>
    <row r="567">
      <c r="A567">
        <f>IF($B567="","",IFERROR(IF(INDEX('Per Invoice'!$C$2:$C$401,MATCH($B567,'Per Invoice'!$A$2:$A$401,0))=0,"",INDEX('Per Invoice'!$C$2:$C$401,MATCH($B567,'Per Invoice'!$A$2:$A$401,0))),""))</f>
        <v/>
      </c>
      <c r="G567" s="7">
        <f>IF($B567="","",F567*L567/100)</f>
        <v/>
      </c>
      <c r="K567" s="7" t="n"/>
      <c r="L567" s="7" t="n"/>
      <c r="M567" s="7">
        <f>IF($B567="","",L567*T567/100)</f>
        <v/>
      </c>
      <c r="N567" s="7">
        <f>IF($B567="","",L567-M567)</f>
        <v/>
      </c>
      <c r="O567" s="7">
        <f>IF($B567="","",N567-G567)</f>
        <v/>
      </c>
      <c r="R567" s="14" t="n"/>
      <c r="T567">
        <f>IF($B567="","",IF($W567=1,Settings!$C$6,Settings!$C$7)*100)</f>
        <v/>
      </c>
      <c r="U567">
        <f>IF($B567="","",IF(COUNTIF($B$2:$B567,$B567)=1,1,0))</f>
        <v/>
      </c>
      <c r="V567">
        <f>IF($U567=1,SUMPRODUCT(--($X$2:$X$1501&lt;$X567))+1,"")</f>
        <v/>
      </c>
      <c r="W567">
        <f>IF($B567="","",IF(OR($S567=TRUE(),$S567="TRUE"),1,0))</f>
        <v/>
      </c>
      <c r="X567">
        <f>IF($U567=1,IFERROR(IF(VALUE($B567)&lt;100000000,VALUE($B567),1000000000),IFERROR(IF(VALUE(MID($B567,2,20))&lt;100000000,VALUE(MID($B567,2,20)),1000000000),1000000000))+ROW()/100000,"")</f>
        <v/>
      </c>
    </row>
    <row r="568">
      <c r="A568">
        <f>IF($B568="","",IFERROR(IF(INDEX('Per Invoice'!$C$2:$C$401,MATCH($B568,'Per Invoice'!$A$2:$A$401,0))=0,"",INDEX('Per Invoice'!$C$2:$C$401,MATCH($B568,'Per Invoice'!$A$2:$A$401,0))),""))</f>
        <v/>
      </c>
      <c r="G568" s="7">
        <f>IF($B568="","",F568*L568/100)</f>
        <v/>
      </c>
      <c r="K568" s="7" t="n"/>
      <c r="L568" s="7" t="n"/>
      <c r="M568" s="7">
        <f>IF($B568="","",L568*T568/100)</f>
        <v/>
      </c>
      <c r="N568" s="7">
        <f>IF($B568="","",L568-M568)</f>
        <v/>
      </c>
      <c r="O568" s="7">
        <f>IF($B568="","",N568-G568)</f>
        <v/>
      </c>
      <c r="R568" s="14" t="n"/>
      <c r="T568">
        <f>IF($B568="","",IF($W568=1,Settings!$C$6,Settings!$C$7)*100)</f>
        <v/>
      </c>
      <c r="U568">
        <f>IF($B568="","",IF(COUNTIF($B$2:$B568,$B568)=1,1,0))</f>
        <v/>
      </c>
      <c r="V568">
        <f>IF($U568=1,SUMPRODUCT(--($X$2:$X$1501&lt;$X568))+1,"")</f>
        <v/>
      </c>
      <c r="W568">
        <f>IF($B568="","",IF(OR($S568=TRUE(),$S568="TRUE"),1,0))</f>
        <v/>
      </c>
      <c r="X568">
        <f>IF($U568=1,IFERROR(IF(VALUE($B568)&lt;100000000,VALUE($B568),1000000000),IFERROR(IF(VALUE(MID($B568,2,20))&lt;100000000,VALUE(MID($B568,2,20)),1000000000),1000000000))+ROW()/100000,"")</f>
        <v/>
      </c>
    </row>
    <row r="569">
      <c r="A569">
        <f>IF($B569="","",IFERROR(IF(INDEX('Per Invoice'!$C$2:$C$401,MATCH($B569,'Per Invoice'!$A$2:$A$401,0))=0,"",INDEX('Per Invoice'!$C$2:$C$401,MATCH($B569,'Per Invoice'!$A$2:$A$401,0))),""))</f>
        <v/>
      </c>
      <c r="G569" s="7">
        <f>IF($B569="","",F569*L569/100)</f>
        <v/>
      </c>
      <c r="K569" s="7" t="n"/>
      <c r="L569" s="7" t="n"/>
      <c r="M569" s="7">
        <f>IF($B569="","",L569*T569/100)</f>
        <v/>
      </c>
      <c r="N569" s="7">
        <f>IF($B569="","",L569-M569)</f>
        <v/>
      </c>
      <c r="O569" s="7">
        <f>IF($B569="","",N569-G569)</f>
        <v/>
      </c>
      <c r="R569" s="14" t="n"/>
      <c r="T569">
        <f>IF($B569="","",IF($W569=1,Settings!$C$6,Settings!$C$7)*100)</f>
        <v/>
      </c>
      <c r="U569">
        <f>IF($B569="","",IF(COUNTIF($B$2:$B569,$B569)=1,1,0))</f>
        <v/>
      </c>
      <c r="V569">
        <f>IF($U569=1,SUMPRODUCT(--($X$2:$X$1501&lt;$X569))+1,"")</f>
        <v/>
      </c>
      <c r="W569">
        <f>IF($B569="","",IF(OR($S569=TRUE(),$S569="TRUE"),1,0))</f>
        <v/>
      </c>
      <c r="X569">
        <f>IF($U569=1,IFERROR(IF(VALUE($B569)&lt;100000000,VALUE($B569),1000000000),IFERROR(IF(VALUE(MID($B569,2,20))&lt;100000000,VALUE(MID($B569,2,20)),1000000000),1000000000))+ROW()/100000,"")</f>
        <v/>
      </c>
    </row>
    <row r="570">
      <c r="A570">
        <f>IF($B570="","",IFERROR(IF(INDEX('Per Invoice'!$C$2:$C$401,MATCH($B570,'Per Invoice'!$A$2:$A$401,0))=0,"",INDEX('Per Invoice'!$C$2:$C$401,MATCH($B570,'Per Invoice'!$A$2:$A$401,0))),""))</f>
        <v/>
      </c>
      <c r="G570" s="7">
        <f>IF($B570="","",F570*L570/100)</f>
        <v/>
      </c>
      <c r="K570" s="7" t="n"/>
      <c r="L570" s="7" t="n"/>
      <c r="M570" s="7">
        <f>IF($B570="","",L570*T570/100)</f>
        <v/>
      </c>
      <c r="N570" s="7">
        <f>IF($B570="","",L570-M570)</f>
        <v/>
      </c>
      <c r="O570" s="7">
        <f>IF($B570="","",N570-G570)</f>
        <v/>
      </c>
      <c r="R570" s="14" t="n"/>
      <c r="T570">
        <f>IF($B570="","",IF($W570=1,Settings!$C$6,Settings!$C$7)*100)</f>
        <v/>
      </c>
      <c r="U570">
        <f>IF($B570="","",IF(COUNTIF($B$2:$B570,$B570)=1,1,0))</f>
        <v/>
      </c>
      <c r="V570">
        <f>IF($U570=1,SUMPRODUCT(--($X$2:$X$1501&lt;$X570))+1,"")</f>
        <v/>
      </c>
      <c r="W570">
        <f>IF($B570="","",IF(OR($S570=TRUE(),$S570="TRUE"),1,0))</f>
        <v/>
      </c>
      <c r="X570">
        <f>IF($U570=1,IFERROR(IF(VALUE($B570)&lt;100000000,VALUE($B570),1000000000),IFERROR(IF(VALUE(MID($B570,2,20))&lt;100000000,VALUE(MID($B570,2,20)),1000000000),1000000000))+ROW()/100000,"")</f>
        <v/>
      </c>
    </row>
    <row r="571">
      <c r="A571">
        <f>IF($B571="","",IFERROR(IF(INDEX('Per Invoice'!$C$2:$C$401,MATCH($B571,'Per Invoice'!$A$2:$A$401,0))=0,"",INDEX('Per Invoice'!$C$2:$C$401,MATCH($B571,'Per Invoice'!$A$2:$A$401,0))),""))</f>
        <v/>
      </c>
      <c r="G571" s="7">
        <f>IF($B571="","",F571*L571/100)</f>
        <v/>
      </c>
      <c r="K571" s="7" t="n"/>
      <c r="L571" s="7" t="n"/>
      <c r="M571" s="7">
        <f>IF($B571="","",L571*T571/100)</f>
        <v/>
      </c>
      <c r="N571" s="7">
        <f>IF($B571="","",L571-M571)</f>
        <v/>
      </c>
      <c r="O571" s="7">
        <f>IF($B571="","",N571-G571)</f>
        <v/>
      </c>
      <c r="R571" s="14" t="n"/>
      <c r="T571">
        <f>IF($B571="","",IF($W571=1,Settings!$C$6,Settings!$C$7)*100)</f>
        <v/>
      </c>
      <c r="U571">
        <f>IF($B571="","",IF(COUNTIF($B$2:$B571,$B571)=1,1,0))</f>
        <v/>
      </c>
      <c r="V571">
        <f>IF($U571=1,SUMPRODUCT(--($X$2:$X$1501&lt;$X571))+1,"")</f>
        <v/>
      </c>
      <c r="W571">
        <f>IF($B571="","",IF(OR($S571=TRUE(),$S571="TRUE"),1,0))</f>
        <v/>
      </c>
      <c r="X571">
        <f>IF($U571=1,IFERROR(IF(VALUE($B571)&lt;100000000,VALUE($B571),1000000000),IFERROR(IF(VALUE(MID($B571,2,20))&lt;100000000,VALUE(MID($B571,2,20)),1000000000),1000000000))+ROW()/100000,"")</f>
        <v/>
      </c>
    </row>
    <row r="572">
      <c r="A572">
        <f>IF($B572="","",IFERROR(IF(INDEX('Per Invoice'!$C$2:$C$401,MATCH($B572,'Per Invoice'!$A$2:$A$401,0))=0,"",INDEX('Per Invoice'!$C$2:$C$401,MATCH($B572,'Per Invoice'!$A$2:$A$401,0))),""))</f>
        <v/>
      </c>
      <c r="G572" s="7">
        <f>IF($B572="","",F572*L572/100)</f>
        <v/>
      </c>
      <c r="K572" s="7" t="n"/>
      <c r="L572" s="7" t="n"/>
      <c r="M572" s="7">
        <f>IF($B572="","",L572*T572/100)</f>
        <v/>
      </c>
      <c r="N572" s="7">
        <f>IF($B572="","",L572-M572)</f>
        <v/>
      </c>
      <c r="O572" s="7">
        <f>IF($B572="","",N572-G572)</f>
        <v/>
      </c>
      <c r="R572" s="14" t="n"/>
      <c r="T572">
        <f>IF($B572="","",IF($W572=1,Settings!$C$6,Settings!$C$7)*100)</f>
        <v/>
      </c>
      <c r="U572">
        <f>IF($B572="","",IF(COUNTIF($B$2:$B572,$B572)=1,1,0))</f>
        <v/>
      </c>
      <c r="V572">
        <f>IF($U572=1,SUMPRODUCT(--($X$2:$X$1501&lt;$X572))+1,"")</f>
        <v/>
      </c>
      <c r="W572">
        <f>IF($B572="","",IF(OR($S572=TRUE(),$S572="TRUE"),1,0))</f>
        <v/>
      </c>
      <c r="X572">
        <f>IF($U572=1,IFERROR(IF(VALUE($B572)&lt;100000000,VALUE($B572),1000000000),IFERROR(IF(VALUE(MID($B572,2,20))&lt;100000000,VALUE(MID($B572,2,20)),1000000000),1000000000))+ROW()/100000,"")</f>
        <v/>
      </c>
    </row>
    <row r="573">
      <c r="A573">
        <f>IF($B573="","",IFERROR(IF(INDEX('Per Invoice'!$C$2:$C$401,MATCH($B573,'Per Invoice'!$A$2:$A$401,0))=0,"",INDEX('Per Invoice'!$C$2:$C$401,MATCH($B573,'Per Invoice'!$A$2:$A$401,0))),""))</f>
        <v/>
      </c>
      <c r="G573" s="7">
        <f>IF($B573="","",F573*L573/100)</f>
        <v/>
      </c>
      <c r="K573" s="7" t="n"/>
      <c r="L573" s="7" t="n"/>
      <c r="M573" s="7">
        <f>IF($B573="","",L573*T573/100)</f>
        <v/>
      </c>
      <c r="N573" s="7">
        <f>IF($B573="","",L573-M573)</f>
        <v/>
      </c>
      <c r="O573" s="7">
        <f>IF($B573="","",N573-G573)</f>
        <v/>
      </c>
      <c r="R573" s="14" t="n"/>
      <c r="T573">
        <f>IF($B573="","",IF($W573=1,Settings!$C$6,Settings!$C$7)*100)</f>
        <v/>
      </c>
      <c r="U573">
        <f>IF($B573="","",IF(COUNTIF($B$2:$B573,$B573)=1,1,0))</f>
        <v/>
      </c>
      <c r="V573">
        <f>IF($U573=1,SUMPRODUCT(--($X$2:$X$1501&lt;$X573))+1,"")</f>
        <v/>
      </c>
      <c r="W573">
        <f>IF($B573="","",IF(OR($S573=TRUE(),$S573="TRUE"),1,0))</f>
        <v/>
      </c>
      <c r="X573">
        <f>IF($U573=1,IFERROR(IF(VALUE($B573)&lt;100000000,VALUE($B573),1000000000),IFERROR(IF(VALUE(MID($B573,2,20))&lt;100000000,VALUE(MID($B573,2,20)),1000000000),1000000000))+ROW()/100000,"")</f>
        <v/>
      </c>
    </row>
    <row r="574">
      <c r="A574">
        <f>IF($B574="","",IFERROR(IF(INDEX('Per Invoice'!$C$2:$C$401,MATCH($B574,'Per Invoice'!$A$2:$A$401,0))=0,"",INDEX('Per Invoice'!$C$2:$C$401,MATCH($B574,'Per Invoice'!$A$2:$A$401,0))),""))</f>
        <v/>
      </c>
      <c r="G574" s="7">
        <f>IF($B574="","",F574*L574/100)</f>
        <v/>
      </c>
      <c r="K574" s="7" t="n"/>
      <c r="L574" s="7" t="n"/>
      <c r="M574" s="7">
        <f>IF($B574="","",L574*T574/100)</f>
        <v/>
      </c>
      <c r="N574" s="7">
        <f>IF($B574="","",L574-M574)</f>
        <v/>
      </c>
      <c r="O574" s="7">
        <f>IF($B574="","",N574-G574)</f>
        <v/>
      </c>
      <c r="R574" s="14" t="n"/>
      <c r="T574">
        <f>IF($B574="","",IF($W574=1,Settings!$C$6,Settings!$C$7)*100)</f>
        <v/>
      </c>
      <c r="U574">
        <f>IF($B574="","",IF(COUNTIF($B$2:$B574,$B574)=1,1,0))</f>
        <v/>
      </c>
      <c r="V574">
        <f>IF($U574=1,SUMPRODUCT(--($X$2:$X$1501&lt;$X574))+1,"")</f>
        <v/>
      </c>
      <c r="W574">
        <f>IF($B574="","",IF(OR($S574=TRUE(),$S574="TRUE"),1,0))</f>
        <v/>
      </c>
      <c r="X574">
        <f>IF($U574=1,IFERROR(IF(VALUE($B574)&lt;100000000,VALUE($B574),1000000000),IFERROR(IF(VALUE(MID($B574,2,20))&lt;100000000,VALUE(MID($B574,2,20)),1000000000),1000000000))+ROW()/100000,"")</f>
        <v/>
      </c>
    </row>
    <row r="575">
      <c r="A575">
        <f>IF($B575="","",IFERROR(IF(INDEX('Per Invoice'!$C$2:$C$401,MATCH($B575,'Per Invoice'!$A$2:$A$401,0))=0,"",INDEX('Per Invoice'!$C$2:$C$401,MATCH($B575,'Per Invoice'!$A$2:$A$401,0))),""))</f>
        <v/>
      </c>
      <c r="G575" s="7">
        <f>IF($B575="","",F575*L575/100)</f>
        <v/>
      </c>
      <c r="K575" s="7" t="n"/>
      <c r="L575" s="7" t="n"/>
      <c r="M575" s="7">
        <f>IF($B575="","",L575*T575/100)</f>
        <v/>
      </c>
      <c r="N575" s="7">
        <f>IF($B575="","",L575-M575)</f>
        <v/>
      </c>
      <c r="O575" s="7">
        <f>IF($B575="","",N575-G575)</f>
        <v/>
      </c>
      <c r="R575" s="14" t="n"/>
      <c r="T575">
        <f>IF($B575="","",IF($W575=1,Settings!$C$6,Settings!$C$7)*100)</f>
        <v/>
      </c>
      <c r="U575">
        <f>IF($B575="","",IF(COUNTIF($B$2:$B575,$B575)=1,1,0))</f>
        <v/>
      </c>
      <c r="V575">
        <f>IF($U575=1,SUMPRODUCT(--($X$2:$X$1501&lt;$X575))+1,"")</f>
        <v/>
      </c>
      <c r="W575">
        <f>IF($B575="","",IF(OR($S575=TRUE(),$S575="TRUE"),1,0))</f>
        <v/>
      </c>
      <c r="X575">
        <f>IF($U575=1,IFERROR(IF(VALUE($B575)&lt;100000000,VALUE($B575),1000000000),IFERROR(IF(VALUE(MID($B575,2,20))&lt;100000000,VALUE(MID($B575,2,20)),1000000000),1000000000))+ROW()/100000,"")</f>
        <v/>
      </c>
    </row>
    <row r="576">
      <c r="A576">
        <f>IF($B576="","",IFERROR(IF(INDEX('Per Invoice'!$C$2:$C$401,MATCH($B576,'Per Invoice'!$A$2:$A$401,0))=0,"",INDEX('Per Invoice'!$C$2:$C$401,MATCH($B576,'Per Invoice'!$A$2:$A$401,0))),""))</f>
        <v/>
      </c>
      <c r="G576" s="7">
        <f>IF($B576="","",F576*L576/100)</f>
        <v/>
      </c>
      <c r="K576" s="7" t="n"/>
      <c r="L576" s="7" t="n"/>
      <c r="M576" s="7">
        <f>IF($B576="","",L576*T576/100)</f>
        <v/>
      </c>
      <c r="N576" s="7">
        <f>IF($B576="","",L576-M576)</f>
        <v/>
      </c>
      <c r="O576" s="7">
        <f>IF($B576="","",N576-G576)</f>
        <v/>
      </c>
      <c r="R576" s="14" t="n"/>
      <c r="T576">
        <f>IF($B576="","",IF($W576=1,Settings!$C$6,Settings!$C$7)*100)</f>
        <v/>
      </c>
      <c r="U576">
        <f>IF($B576="","",IF(COUNTIF($B$2:$B576,$B576)=1,1,0))</f>
        <v/>
      </c>
      <c r="V576">
        <f>IF($U576=1,SUMPRODUCT(--($X$2:$X$1501&lt;$X576))+1,"")</f>
        <v/>
      </c>
      <c r="W576">
        <f>IF($B576="","",IF(OR($S576=TRUE(),$S576="TRUE"),1,0))</f>
        <v/>
      </c>
      <c r="X576">
        <f>IF($U576=1,IFERROR(IF(VALUE($B576)&lt;100000000,VALUE($B576),1000000000),IFERROR(IF(VALUE(MID($B576,2,20))&lt;100000000,VALUE(MID($B576,2,20)),1000000000),1000000000))+ROW()/100000,"")</f>
        <v/>
      </c>
    </row>
    <row r="577">
      <c r="A577">
        <f>IF($B577="","",IFERROR(IF(INDEX('Per Invoice'!$C$2:$C$401,MATCH($B577,'Per Invoice'!$A$2:$A$401,0))=0,"",INDEX('Per Invoice'!$C$2:$C$401,MATCH($B577,'Per Invoice'!$A$2:$A$401,0))),""))</f>
        <v/>
      </c>
      <c r="G577" s="7">
        <f>IF($B577="","",F577*L577/100)</f>
        <v/>
      </c>
      <c r="K577" s="7" t="n"/>
      <c r="L577" s="7" t="n"/>
      <c r="M577" s="7">
        <f>IF($B577="","",L577*T577/100)</f>
        <v/>
      </c>
      <c r="N577" s="7">
        <f>IF($B577="","",L577-M577)</f>
        <v/>
      </c>
      <c r="O577" s="7">
        <f>IF($B577="","",N577-G577)</f>
        <v/>
      </c>
      <c r="R577" s="14" t="n"/>
      <c r="T577">
        <f>IF($B577="","",IF($W577=1,Settings!$C$6,Settings!$C$7)*100)</f>
        <v/>
      </c>
      <c r="U577">
        <f>IF($B577="","",IF(COUNTIF($B$2:$B577,$B577)=1,1,0))</f>
        <v/>
      </c>
      <c r="V577">
        <f>IF($U577=1,SUMPRODUCT(--($X$2:$X$1501&lt;$X577))+1,"")</f>
        <v/>
      </c>
      <c r="W577">
        <f>IF($B577="","",IF(OR($S577=TRUE(),$S577="TRUE"),1,0))</f>
        <v/>
      </c>
      <c r="X577">
        <f>IF($U577=1,IFERROR(IF(VALUE($B577)&lt;100000000,VALUE($B577),1000000000),IFERROR(IF(VALUE(MID($B577,2,20))&lt;100000000,VALUE(MID($B577,2,20)),1000000000),1000000000))+ROW()/100000,"")</f>
        <v/>
      </c>
    </row>
    <row r="578">
      <c r="A578">
        <f>IF($B578="","",IFERROR(IF(INDEX('Per Invoice'!$C$2:$C$401,MATCH($B578,'Per Invoice'!$A$2:$A$401,0))=0,"",INDEX('Per Invoice'!$C$2:$C$401,MATCH($B578,'Per Invoice'!$A$2:$A$401,0))),""))</f>
        <v/>
      </c>
      <c r="G578" s="7">
        <f>IF($B578="","",F578*L578/100)</f>
        <v/>
      </c>
      <c r="K578" s="7" t="n"/>
      <c r="L578" s="7" t="n"/>
      <c r="M578" s="7">
        <f>IF($B578="","",L578*T578/100)</f>
        <v/>
      </c>
      <c r="N578" s="7">
        <f>IF($B578="","",L578-M578)</f>
        <v/>
      </c>
      <c r="O578" s="7">
        <f>IF($B578="","",N578-G578)</f>
        <v/>
      </c>
      <c r="R578" s="14" t="n"/>
      <c r="T578">
        <f>IF($B578="","",IF($W578=1,Settings!$C$6,Settings!$C$7)*100)</f>
        <v/>
      </c>
      <c r="U578">
        <f>IF($B578="","",IF(COUNTIF($B$2:$B578,$B578)=1,1,0))</f>
        <v/>
      </c>
      <c r="V578">
        <f>IF($U578=1,SUMPRODUCT(--($X$2:$X$1501&lt;$X578))+1,"")</f>
        <v/>
      </c>
      <c r="W578">
        <f>IF($B578="","",IF(OR($S578=TRUE(),$S578="TRUE"),1,0))</f>
        <v/>
      </c>
      <c r="X578">
        <f>IF($U578=1,IFERROR(IF(VALUE($B578)&lt;100000000,VALUE($B578),1000000000),IFERROR(IF(VALUE(MID($B578,2,20))&lt;100000000,VALUE(MID($B578,2,20)),1000000000),1000000000))+ROW()/100000,"")</f>
        <v/>
      </c>
    </row>
    <row r="579">
      <c r="A579">
        <f>IF($B579="","",IFERROR(IF(INDEX('Per Invoice'!$C$2:$C$401,MATCH($B579,'Per Invoice'!$A$2:$A$401,0))=0,"",INDEX('Per Invoice'!$C$2:$C$401,MATCH($B579,'Per Invoice'!$A$2:$A$401,0))),""))</f>
        <v/>
      </c>
      <c r="G579" s="7">
        <f>IF($B579="","",F579*L579/100)</f>
        <v/>
      </c>
      <c r="K579" s="7" t="n"/>
      <c r="L579" s="7" t="n"/>
      <c r="M579" s="7">
        <f>IF($B579="","",L579*T579/100)</f>
        <v/>
      </c>
      <c r="N579" s="7">
        <f>IF($B579="","",L579-M579)</f>
        <v/>
      </c>
      <c r="O579" s="7">
        <f>IF($B579="","",N579-G579)</f>
        <v/>
      </c>
      <c r="R579" s="14" t="n"/>
      <c r="T579">
        <f>IF($B579="","",IF($W579=1,Settings!$C$6,Settings!$C$7)*100)</f>
        <v/>
      </c>
      <c r="U579">
        <f>IF($B579="","",IF(COUNTIF($B$2:$B579,$B579)=1,1,0))</f>
        <v/>
      </c>
      <c r="V579">
        <f>IF($U579=1,SUMPRODUCT(--($X$2:$X$1501&lt;$X579))+1,"")</f>
        <v/>
      </c>
      <c r="W579">
        <f>IF($B579="","",IF(OR($S579=TRUE(),$S579="TRUE"),1,0))</f>
        <v/>
      </c>
      <c r="X579">
        <f>IF($U579=1,IFERROR(IF(VALUE($B579)&lt;100000000,VALUE($B579),1000000000),IFERROR(IF(VALUE(MID($B579,2,20))&lt;100000000,VALUE(MID($B579,2,20)),1000000000),1000000000))+ROW()/100000,"")</f>
        <v/>
      </c>
    </row>
    <row r="580">
      <c r="A580">
        <f>IF($B580="","",IFERROR(IF(INDEX('Per Invoice'!$C$2:$C$401,MATCH($B580,'Per Invoice'!$A$2:$A$401,0))=0,"",INDEX('Per Invoice'!$C$2:$C$401,MATCH($B580,'Per Invoice'!$A$2:$A$401,0))),""))</f>
        <v/>
      </c>
      <c r="G580" s="7">
        <f>IF($B580="","",F580*L580/100)</f>
        <v/>
      </c>
      <c r="K580" s="7" t="n"/>
      <c r="L580" s="7" t="n"/>
      <c r="M580" s="7">
        <f>IF($B580="","",L580*T580/100)</f>
        <v/>
      </c>
      <c r="N580" s="7">
        <f>IF($B580="","",L580-M580)</f>
        <v/>
      </c>
      <c r="O580" s="7">
        <f>IF($B580="","",N580-G580)</f>
        <v/>
      </c>
      <c r="R580" s="14" t="n"/>
      <c r="T580">
        <f>IF($B580="","",IF($W580=1,Settings!$C$6,Settings!$C$7)*100)</f>
        <v/>
      </c>
      <c r="U580">
        <f>IF($B580="","",IF(COUNTIF($B$2:$B580,$B580)=1,1,0))</f>
        <v/>
      </c>
      <c r="V580">
        <f>IF($U580=1,SUMPRODUCT(--($X$2:$X$1501&lt;$X580))+1,"")</f>
        <v/>
      </c>
      <c r="W580">
        <f>IF($B580="","",IF(OR($S580=TRUE(),$S580="TRUE"),1,0))</f>
        <v/>
      </c>
      <c r="X580">
        <f>IF($U580=1,IFERROR(IF(VALUE($B580)&lt;100000000,VALUE($B580),1000000000),IFERROR(IF(VALUE(MID($B580,2,20))&lt;100000000,VALUE(MID($B580,2,20)),1000000000),1000000000))+ROW()/100000,"")</f>
        <v/>
      </c>
    </row>
    <row r="581">
      <c r="A581">
        <f>IF($B581="","",IFERROR(IF(INDEX('Per Invoice'!$C$2:$C$401,MATCH($B581,'Per Invoice'!$A$2:$A$401,0))=0,"",INDEX('Per Invoice'!$C$2:$C$401,MATCH($B581,'Per Invoice'!$A$2:$A$401,0))),""))</f>
        <v/>
      </c>
      <c r="G581" s="7">
        <f>IF($B581="","",F581*L581/100)</f>
        <v/>
      </c>
      <c r="K581" s="7" t="n"/>
      <c r="L581" s="7" t="n"/>
      <c r="M581" s="7">
        <f>IF($B581="","",L581*T581/100)</f>
        <v/>
      </c>
      <c r="N581" s="7">
        <f>IF($B581="","",L581-M581)</f>
        <v/>
      </c>
      <c r="O581" s="7">
        <f>IF($B581="","",N581-G581)</f>
        <v/>
      </c>
      <c r="R581" s="14" t="n"/>
      <c r="T581">
        <f>IF($B581="","",IF($W581=1,Settings!$C$6,Settings!$C$7)*100)</f>
        <v/>
      </c>
      <c r="U581">
        <f>IF($B581="","",IF(COUNTIF($B$2:$B581,$B581)=1,1,0))</f>
        <v/>
      </c>
      <c r="V581">
        <f>IF($U581=1,SUMPRODUCT(--($X$2:$X$1501&lt;$X581))+1,"")</f>
        <v/>
      </c>
      <c r="W581">
        <f>IF($B581="","",IF(OR($S581=TRUE(),$S581="TRUE"),1,0))</f>
        <v/>
      </c>
      <c r="X581">
        <f>IF($U581=1,IFERROR(IF(VALUE($B581)&lt;100000000,VALUE($B581),1000000000),IFERROR(IF(VALUE(MID($B581,2,20))&lt;100000000,VALUE(MID($B581,2,20)),1000000000),1000000000))+ROW()/100000,"")</f>
        <v/>
      </c>
    </row>
    <row r="582">
      <c r="A582">
        <f>IF($B582="","",IFERROR(IF(INDEX('Per Invoice'!$C$2:$C$401,MATCH($B582,'Per Invoice'!$A$2:$A$401,0))=0,"",INDEX('Per Invoice'!$C$2:$C$401,MATCH($B582,'Per Invoice'!$A$2:$A$401,0))),""))</f>
        <v/>
      </c>
      <c r="G582" s="7">
        <f>IF($B582="","",F582*L582/100)</f>
        <v/>
      </c>
      <c r="K582" s="7" t="n"/>
      <c r="L582" s="7" t="n"/>
      <c r="M582" s="7">
        <f>IF($B582="","",L582*T582/100)</f>
        <v/>
      </c>
      <c r="N582" s="7">
        <f>IF($B582="","",L582-M582)</f>
        <v/>
      </c>
      <c r="O582" s="7">
        <f>IF($B582="","",N582-G582)</f>
        <v/>
      </c>
      <c r="R582" s="14" t="n"/>
      <c r="T582">
        <f>IF($B582="","",IF($W582=1,Settings!$C$6,Settings!$C$7)*100)</f>
        <v/>
      </c>
      <c r="U582">
        <f>IF($B582="","",IF(COUNTIF($B$2:$B582,$B582)=1,1,0))</f>
        <v/>
      </c>
      <c r="V582">
        <f>IF($U582=1,SUMPRODUCT(--($X$2:$X$1501&lt;$X582))+1,"")</f>
        <v/>
      </c>
      <c r="W582">
        <f>IF($B582="","",IF(OR($S582=TRUE(),$S582="TRUE"),1,0))</f>
        <v/>
      </c>
      <c r="X582">
        <f>IF($U582=1,IFERROR(IF(VALUE($B582)&lt;100000000,VALUE($B582),1000000000),IFERROR(IF(VALUE(MID($B582,2,20))&lt;100000000,VALUE(MID($B582,2,20)),1000000000),1000000000))+ROW()/100000,"")</f>
        <v/>
      </c>
    </row>
    <row r="583">
      <c r="A583">
        <f>IF($B583="","",IFERROR(IF(INDEX('Per Invoice'!$C$2:$C$401,MATCH($B583,'Per Invoice'!$A$2:$A$401,0))=0,"",INDEX('Per Invoice'!$C$2:$C$401,MATCH($B583,'Per Invoice'!$A$2:$A$401,0))),""))</f>
        <v/>
      </c>
      <c r="G583" s="7">
        <f>IF($B583="","",F583*L583/100)</f>
        <v/>
      </c>
      <c r="K583" s="7" t="n"/>
      <c r="L583" s="7" t="n"/>
      <c r="M583" s="7">
        <f>IF($B583="","",L583*T583/100)</f>
        <v/>
      </c>
      <c r="N583" s="7">
        <f>IF($B583="","",L583-M583)</f>
        <v/>
      </c>
      <c r="O583" s="7">
        <f>IF($B583="","",N583-G583)</f>
        <v/>
      </c>
      <c r="R583" s="14" t="n"/>
      <c r="T583">
        <f>IF($B583="","",IF($W583=1,Settings!$C$6,Settings!$C$7)*100)</f>
        <v/>
      </c>
      <c r="U583">
        <f>IF($B583="","",IF(COUNTIF($B$2:$B583,$B583)=1,1,0))</f>
        <v/>
      </c>
      <c r="V583">
        <f>IF($U583=1,SUMPRODUCT(--($X$2:$X$1501&lt;$X583))+1,"")</f>
        <v/>
      </c>
      <c r="W583">
        <f>IF($B583="","",IF(OR($S583=TRUE(),$S583="TRUE"),1,0))</f>
        <v/>
      </c>
      <c r="X583">
        <f>IF($U583=1,IFERROR(IF(VALUE($B583)&lt;100000000,VALUE($B583),1000000000),IFERROR(IF(VALUE(MID($B583,2,20))&lt;100000000,VALUE(MID($B583,2,20)),1000000000),1000000000))+ROW()/100000,"")</f>
        <v/>
      </c>
    </row>
    <row r="584">
      <c r="A584">
        <f>IF($B584="","",IFERROR(IF(INDEX('Per Invoice'!$C$2:$C$401,MATCH($B584,'Per Invoice'!$A$2:$A$401,0))=0,"",INDEX('Per Invoice'!$C$2:$C$401,MATCH($B584,'Per Invoice'!$A$2:$A$401,0))),""))</f>
        <v/>
      </c>
      <c r="G584" s="7">
        <f>IF($B584="","",F584*L584/100)</f>
        <v/>
      </c>
      <c r="K584" s="7" t="n"/>
      <c r="L584" s="7" t="n"/>
      <c r="M584" s="7">
        <f>IF($B584="","",L584*T584/100)</f>
        <v/>
      </c>
      <c r="N584" s="7">
        <f>IF($B584="","",L584-M584)</f>
        <v/>
      </c>
      <c r="O584" s="7">
        <f>IF($B584="","",N584-G584)</f>
        <v/>
      </c>
      <c r="R584" s="14" t="n"/>
      <c r="T584">
        <f>IF($B584="","",IF($W584=1,Settings!$C$6,Settings!$C$7)*100)</f>
        <v/>
      </c>
      <c r="U584">
        <f>IF($B584="","",IF(COUNTIF($B$2:$B584,$B584)=1,1,0))</f>
        <v/>
      </c>
      <c r="V584">
        <f>IF($U584=1,SUMPRODUCT(--($X$2:$X$1501&lt;$X584))+1,"")</f>
        <v/>
      </c>
      <c r="W584">
        <f>IF($B584="","",IF(OR($S584=TRUE(),$S584="TRUE"),1,0))</f>
        <v/>
      </c>
      <c r="X584">
        <f>IF($U584=1,IFERROR(IF(VALUE($B584)&lt;100000000,VALUE($B584),1000000000),IFERROR(IF(VALUE(MID($B584,2,20))&lt;100000000,VALUE(MID($B584,2,20)),1000000000),1000000000))+ROW()/100000,"")</f>
        <v/>
      </c>
    </row>
    <row r="585">
      <c r="A585">
        <f>IF($B585="","",IFERROR(IF(INDEX('Per Invoice'!$C$2:$C$401,MATCH($B585,'Per Invoice'!$A$2:$A$401,0))=0,"",INDEX('Per Invoice'!$C$2:$C$401,MATCH($B585,'Per Invoice'!$A$2:$A$401,0))),""))</f>
        <v/>
      </c>
      <c r="G585" s="7">
        <f>IF($B585="","",F585*L585/100)</f>
        <v/>
      </c>
      <c r="K585" s="7" t="n"/>
      <c r="L585" s="7" t="n"/>
      <c r="M585" s="7">
        <f>IF($B585="","",L585*T585/100)</f>
        <v/>
      </c>
      <c r="N585" s="7">
        <f>IF($B585="","",L585-M585)</f>
        <v/>
      </c>
      <c r="O585" s="7">
        <f>IF($B585="","",N585-G585)</f>
        <v/>
      </c>
      <c r="R585" s="14" t="n"/>
      <c r="T585">
        <f>IF($B585="","",IF($W585=1,Settings!$C$6,Settings!$C$7)*100)</f>
        <v/>
      </c>
      <c r="U585">
        <f>IF($B585="","",IF(COUNTIF($B$2:$B585,$B585)=1,1,0))</f>
        <v/>
      </c>
      <c r="V585">
        <f>IF($U585=1,SUMPRODUCT(--($X$2:$X$1501&lt;$X585))+1,"")</f>
        <v/>
      </c>
      <c r="W585">
        <f>IF($B585="","",IF(OR($S585=TRUE(),$S585="TRUE"),1,0))</f>
        <v/>
      </c>
      <c r="X585">
        <f>IF($U585=1,IFERROR(IF(VALUE($B585)&lt;100000000,VALUE($B585),1000000000),IFERROR(IF(VALUE(MID($B585,2,20))&lt;100000000,VALUE(MID($B585,2,20)),1000000000),1000000000))+ROW()/100000,"")</f>
        <v/>
      </c>
    </row>
    <row r="586">
      <c r="A586">
        <f>IF($B586="","",IFERROR(IF(INDEX('Per Invoice'!$C$2:$C$401,MATCH($B586,'Per Invoice'!$A$2:$A$401,0))=0,"",INDEX('Per Invoice'!$C$2:$C$401,MATCH($B586,'Per Invoice'!$A$2:$A$401,0))),""))</f>
        <v/>
      </c>
      <c r="G586" s="7">
        <f>IF($B586="","",F586*L586/100)</f>
        <v/>
      </c>
      <c r="K586" s="7" t="n"/>
      <c r="L586" s="7" t="n"/>
      <c r="M586" s="7">
        <f>IF($B586="","",L586*T586/100)</f>
        <v/>
      </c>
      <c r="N586" s="7">
        <f>IF($B586="","",L586-M586)</f>
        <v/>
      </c>
      <c r="O586" s="7">
        <f>IF($B586="","",N586-G586)</f>
        <v/>
      </c>
      <c r="R586" s="14" t="n"/>
      <c r="T586">
        <f>IF($B586="","",IF($W586=1,Settings!$C$6,Settings!$C$7)*100)</f>
        <v/>
      </c>
      <c r="U586">
        <f>IF($B586="","",IF(COUNTIF($B$2:$B586,$B586)=1,1,0))</f>
        <v/>
      </c>
      <c r="V586">
        <f>IF($U586=1,SUMPRODUCT(--($X$2:$X$1501&lt;$X586))+1,"")</f>
        <v/>
      </c>
      <c r="W586">
        <f>IF($B586="","",IF(OR($S586=TRUE(),$S586="TRUE"),1,0))</f>
        <v/>
      </c>
      <c r="X586">
        <f>IF($U586=1,IFERROR(IF(VALUE($B586)&lt;100000000,VALUE($B586),1000000000),IFERROR(IF(VALUE(MID($B586,2,20))&lt;100000000,VALUE(MID($B586,2,20)),1000000000),1000000000))+ROW()/100000,"")</f>
        <v/>
      </c>
    </row>
    <row r="587">
      <c r="A587">
        <f>IF($B587="","",IFERROR(IF(INDEX('Per Invoice'!$C$2:$C$401,MATCH($B587,'Per Invoice'!$A$2:$A$401,0))=0,"",INDEX('Per Invoice'!$C$2:$C$401,MATCH($B587,'Per Invoice'!$A$2:$A$401,0))),""))</f>
        <v/>
      </c>
      <c r="G587" s="7">
        <f>IF($B587="","",F587*L587/100)</f>
        <v/>
      </c>
      <c r="K587" s="7" t="n"/>
      <c r="L587" s="7" t="n"/>
      <c r="M587" s="7">
        <f>IF($B587="","",L587*T587/100)</f>
        <v/>
      </c>
      <c r="N587" s="7">
        <f>IF($B587="","",L587-M587)</f>
        <v/>
      </c>
      <c r="O587" s="7">
        <f>IF($B587="","",N587-G587)</f>
        <v/>
      </c>
      <c r="R587" s="14" t="n"/>
      <c r="T587">
        <f>IF($B587="","",IF($W587=1,Settings!$C$6,Settings!$C$7)*100)</f>
        <v/>
      </c>
      <c r="U587">
        <f>IF($B587="","",IF(COUNTIF($B$2:$B587,$B587)=1,1,0))</f>
        <v/>
      </c>
      <c r="V587">
        <f>IF($U587=1,SUMPRODUCT(--($X$2:$X$1501&lt;$X587))+1,"")</f>
        <v/>
      </c>
      <c r="W587">
        <f>IF($B587="","",IF(OR($S587=TRUE(),$S587="TRUE"),1,0))</f>
        <v/>
      </c>
      <c r="X587">
        <f>IF($U587=1,IFERROR(IF(VALUE($B587)&lt;100000000,VALUE($B587),1000000000),IFERROR(IF(VALUE(MID($B587,2,20))&lt;100000000,VALUE(MID($B587,2,20)),1000000000),1000000000))+ROW()/100000,"")</f>
        <v/>
      </c>
    </row>
    <row r="588">
      <c r="A588">
        <f>IF($B588="","",IFERROR(IF(INDEX('Per Invoice'!$C$2:$C$401,MATCH($B588,'Per Invoice'!$A$2:$A$401,0))=0,"",INDEX('Per Invoice'!$C$2:$C$401,MATCH($B588,'Per Invoice'!$A$2:$A$401,0))),""))</f>
        <v/>
      </c>
      <c r="G588" s="7">
        <f>IF($B588="","",F588*L588/100)</f>
        <v/>
      </c>
      <c r="K588" s="7" t="n"/>
      <c r="L588" s="7" t="n"/>
      <c r="M588" s="7">
        <f>IF($B588="","",L588*T588/100)</f>
        <v/>
      </c>
      <c r="N588" s="7">
        <f>IF($B588="","",L588-M588)</f>
        <v/>
      </c>
      <c r="O588" s="7">
        <f>IF($B588="","",N588-G588)</f>
        <v/>
      </c>
      <c r="R588" s="14" t="n"/>
      <c r="T588">
        <f>IF($B588="","",IF($W588=1,Settings!$C$6,Settings!$C$7)*100)</f>
        <v/>
      </c>
      <c r="U588">
        <f>IF($B588="","",IF(COUNTIF($B$2:$B588,$B588)=1,1,0))</f>
        <v/>
      </c>
      <c r="V588">
        <f>IF($U588=1,SUMPRODUCT(--($X$2:$X$1501&lt;$X588))+1,"")</f>
        <v/>
      </c>
      <c r="W588">
        <f>IF($B588="","",IF(OR($S588=TRUE(),$S588="TRUE"),1,0))</f>
        <v/>
      </c>
      <c r="X588">
        <f>IF($U588=1,IFERROR(IF(VALUE($B588)&lt;100000000,VALUE($B588),1000000000),IFERROR(IF(VALUE(MID($B588,2,20))&lt;100000000,VALUE(MID($B588,2,20)),1000000000),1000000000))+ROW()/100000,"")</f>
        <v/>
      </c>
    </row>
    <row r="589">
      <c r="A589">
        <f>IF($B589="","",IFERROR(IF(INDEX('Per Invoice'!$C$2:$C$401,MATCH($B589,'Per Invoice'!$A$2:$A$401,0))=0,"",INDEX('Per Invoice'!$C$2:$C$401,MATCH($B589,'Per Invoice'!$A$2:$A$401,0))),""))</f>
        <v/>
      </c>
      <c r="G589" s="7">
        <f>IF($B589="","",F589*L589/100)</f>
        <v/>
      </c>
      <c r="K589" s="7" t="n"/>
      <c r="L589" s="7" t="n"/>
      <c r="M589" s="7">
        <f>IF($B589="","",L589*T589/100)</f>
        <v/>
      </c>
      <c r="N589" s="7">
        <f>IF($B589="","",L589-M589)</f>
        <v/>
      </c>
      <c r="O589" s="7">
        <f>IF($B589="","",N589-G589)</f>
        <v/>
      </c>
      <c r="R589" s="14" t="n"/>
      <c r="T589">
        <f>IF($B589="","",IF($W589=1,Settings!$C$6,Settings!$C$7)*100)</f>
        <v/>
      </c>
      <c r="U589">
        <f>IF($B589="","",IF(COUNTIF($B$2:$B589,$B589)=1,1,0))</f>
        <v/>
      </c>
      <c r="V589">
        <f>IF($U589=1,SUMPRODUCT(--($X$2:$X$1501&lt;$X589))+1,"")</f>
        <v/>
      </c>
      <c r="W589">
        <f>IF($B589="","",IF(OR($S589=TRUE(),$S589="TRUE"),1,0))</f>
        <v/>
      </c>
      <c r="X589">
        <f>IF($U589=1,IFERROR(IF(VALUE($B589)&lt;100000000,VALUE($B589),1000000000),IFERROR(IF(VALUE(MID($B589,2,20))&lt;100000000,VALUE(MID($B589,2,20)),1000000000),1000000000))+ROW()/100000,"")</f>
        <v/>
      </c>
    </row>
    <row r="590">
      <c r="A590">
        <f>IF($B590="","",IFERROR(IF(INDEX('Per Invoice'!$C$2:$C$401,MATCH($B590,'Per Invoice'!$A$2:$A$401,0))=0,"",INDEX('Per Invoice'!$C$2:$C$401,MATCH($B590,'Per Invoice'!$A$2:$A$401,0))),""))</f>
        <v/>
      </c>
      <c r="G590" s="7">
        <f>IF($B590="","",F590*L590/100)</f>
        <v/>
      </c>
      <c r="K590" s="7" t="n"/>
      <c r="L590" s="7" t="n"/>
      <c r="M590" s="7">
        <f>IF($B590="","",L590*T590/100)</f>
        <v/>
      </c>
      <c r="N590" s="7">
        <f>IF($B590="","",L590-M590)</f>
        <v/>
      </c>
      <c r="O590" s="7">
        <f>IF($B590="","",N590-G590)</f>
        <v/>
      </c>
      <c r="R590" s="14" t="n"/>
      <c r="T590">
        <f>IF($B590="","",IF($W590=1,Settings!$C$6,Settings!$C$7)*100)</f>
        <v/>
      </c>
      <c r="U590">
        <f>IF($B590="","",IF(COUNTIF($B$2:$B590,$B590)=1,1,0))</f>
        <v/>
      </c>
      <c r="V590">
        <f>IF($U590=1,SUMPRODUCT(--($X$2:$X$1501&lt;$X590))+1,"")</f>
        <v/>
      </c>
      <c r="W590">
        <f>IF($B590="","",IF(OR($S590=TRUE(),$S590="TRUE"),1,0))</f>
        <v/>
      </c>
      <c r="X590">
        <f>IF($U590=1,IFERROR(IF(VALUE($B590)&lt;100000000,VALUE($B590),1000000000),IFERROR(IF(VALUE(MID($B590,2,20))&lt;100000000,VALUE(MID($B590,2,20)),1000000000),1000000000))+ROW()/100000,"")</f>
        <v/>
      </c>
    </row>
    <row r="591">
      <c r="A591">
        <f>IF($B591="","",IFERROR(IF(INDEX('Per Invoice'!$C$2:$C$401,MATCH($B591,'Per Invoice'!$A$2:$A$401,0))=0,"",INDEX('Per Invoice'!$C$2:$C$401,MATCH($B591,'Per Invoice'!$A$2:$A$401,0))),""))</f>
        <v/>
      </c>
      <c r="G591" s="7">
        <f>IF($B591="","",F591*L591/100)</f>
        <v/>
      </c>
      <c r="K591" s="7" t="n"/>
      <c r="L591" s="7" t="n"/>
      <c r="M591" s="7">
        <f>IF($B591="","",L591*T591/100)</f>
        <v/>
      </c>
      <c r="N591" s="7">
        <f>IF($B591="","",L591-M591)</f>
        <v/>
      </c>
      <c r="O591" s="7">
        <f>IF($B591="","",N591-G591)</f>
        <v/>
      </c>
      <c r="R591" s="14" t="n"/>
      <c r="T591">
        <f>IF($B591="","",IF($W591=1,Settings!$C$6,Settings!$C$7)*100)</f>
        <v/>
      </c>
      <c r="U591">
        <f>IF($B591="","",IF(COUNTIF($B$2:$B591,$B591)=1,1,0))</f>
        <v/>
      </c>
      <c r="V591">
        <f>IF($U591=1,SUMPRODUCT(--($X$2:$X$1501&lt;$X591))+1,"")</f>
        <v/>
      </c>
      <c r="W591">
        <f>IF($B591="","",IF(OR($S591=TRUE(),$S591="TRUE"),1,0))</f>
        <v/>
      </c>
      <c r="X591">
        <f>IF($U591=1,IFERROR(IF(VALUE($B591)&lt;100000000,VALUE($B591),1000000000),IFERROR(IF(VALUE(MID($B591,2,20))&lt;100000000,VALUE(MID($B591,2,20)),1000000000),1000000000))+ROW()/100000,"")</f>
        <v/>
      </c>
    </row>
    <row r="592">
      <c r="A592">
        <f>IF($B592="","",IFERROR(IF(INDEX('Per Invoice'!$C$2:$C$401,MATCH($B592,'Per Invoice'!$A$2:$A$401,0))=0,"",INDEX('Per Invoice'!$C$2:$C$401,MATCH($B592,'Per Invoice'!$A$2:$A$401,0))),""))</f>
        <v/>
      </c>
      <c r="G592" s="7">
        <f>IF($B592="","",F592*L592/100)</f>
        <v/>
      </c>
      <c r="K592" s="7" t="n"/>
      <c r="L592" s="7" t="n"/>
      <c r="M592" s="7">
        <f>IF($B592="","",L592*T592/100)</f>
        <v/>
      </c>
      <c r="N592" s="7">
        <f>IF($B592="","",L592-M592)</f>
        <v/>
      </c>
      <c r="O592" s="7">
        <f>IF($B592="","",N592-G592)</f>
        <v/>
      </c>
      <c r="R592" s="14" t="n"/>
      <c r="T592">
        <f>IF($B592="","",IF($W592=1,Settings!$C$6,Settings!$C$7)*100)</f>
        <v/>
      </c>
      <c r="U592">
        <f>IF($B592="","",IF(COUNTIF($B$2:$B592,$B592)=1,1,0))</f>
        <v/>
      </c>
      <c r="V592">
        <f>IF($U592=1,SUMPRODUCT(--($X$2:$X$1501&lt;$X592))+1,"")</f>
        <v/>
      </c>
      <c r="W592">
        <f>IF($B592="","",IF(OR($S592=TRUE(),$S592="TRUE"),1,0))</f>
        <v/>
      </c>
      <c r="X592">
        <f>IF($U592=1,IFERROR(IF(VALUE($B592)&lt;100000000,VALUE($B592),1000000000),IFERROR(IF(VALUE(MID($B592,2,20))&lt;100000000,VALUE(MID($B592,2,20)),1000000000),1000000000))+ROW()/100000,"")</f>
        <v/>
      </c>
    </row>
    <row r="593">
      <c r="A593">
        <f>IF($B593="","",IFERROR(IF(INDEX('Per Invoice'!$C$2:$C$401,MATCH($B593,'Per Invoice'!$A$2:$A$401,0))=0,"",INDEX('Per Invoice'!$C$2:$C$401,MATCH($B593,'Per Invoice'!$A$2:$A$401,0))),""))</f>
        <v/>
      </c>
      <c r="G593" s="7">
        <f>IF($B593="","",F593*L593/100)</f>
        <v/>
      </c>
      <c r="K593" s="7" t="n"/>
      <c r="L593" s="7" t="n"/>
      <c r="M593" s="7">
        <f>IF($B593="","",L593*T593/100)</f>
        <v/>
      </c>
      <c r="N593" s="7">
        <f>IF($B593="","",L593-M593)</f>
        <v/>
      </c>
      <c r="O593" s="7">
        <f>IF($B593="","",N593-G593)</f>
        <v/>
      </c>
      <c r="R593" s="14" t="n"/>
      <c r="T593">
        <f>IF($B593="","",IF($W593=1,Settings!$C$6,Settings!$C$7)*100)</f>
        <v/>
      </c>
      <c r="U593">
        <f>IF($B593="","",IF(COUNTIF($B$2:$B593,$B593)=1,1,0))</f>
        <v/>
      </c>
      <c r="V593">
        <f>IF($U593=1,SUMPRODUCT(--($X$2:$X$1501&lt;$X593))+1,"")</f>
        <v/>
      </c>
      <c r="W593">
        <f>IF($B593="","",IF(OR($S593=TRUE(),$S593="TRUE"),1,0))</f>
        <v/>
      </c>
      <c r="X593">
        <f>IF($U593=1,IFERROR(IF(VALUE($B593)&lt;100000000,VALUE($B593),1000000000),IFERROR(IF(VALUE(MID($B593,2,20))&lt;100000000,VALUE(MID($B593,2,20)),1000000000),1000000000))+ROW()/100000,"")</f>
        <v/>
      </c>
    </row>
    <row r="594">
      <c r="A594">
        <f>IF($B594="","",IFERROR(IF(INDEX('Per Invoice'!$C$2:$C$401,MATCH($B594,'Per Invoice'!$A$2:$A$401,0))=0,"",INDEX('Per Invoice'!$C$2:$C$401,MATCH($B594,'Per Invoice'!$A$2:$A$401,0))),""))</f>
        <v/>
      </c>
      <c r="G594" s="7">
        <f>IF($B594="","",F594*L594/100)</f>
        <v/>
      </c>
      <c r="K594" s="7" t="n"/>
      <c r="L594" s="7" t="n"/>
      <c r="M594" s="7">
        <f>IF($B594="","",L594*T594/100)</f>
        <v/>
      </c>
      <c r="N594" s="7">
        <f>IF($B594="","",L594-M594)</f>
        <v/>
      </c>
      <c r="O594" s="7">
        <f>IF($B594="","",N594-G594)</f>
        <v/>
      </c>
      <c r="R594" s="14" t="n"/>
      <c r="T594">
        <f>IF($B594="","",IF($W594=1,Settings!$C$6,Settings!$C$7)*100)</f>
        <v/>
      </c>
      <c r="U594">
        <f>IF($B594="","",IF(COUNTIF($B$2:$B594,$B594)=1,1,0))</f>
        <v/>
      </c>
      <c r="V594">
        <f>IF($U594=1,SUMPRODUCT(--($X$2:$X$1501&lt;$X594))+1,"")</f>
        <v/>
      </c>
      <c r="W594">
        <f>IF($B594="","",IF(OR($S594=TRUE(),$S594="TRUE"),1,0))</f>
        <v/>
      </c>
      <c r="X594">
        <f>IF($U594=1,IFERROR(IF(VALUE($B594)&lt;100000000,VALUE($B594),1000000000),IFERROR(IF(VALUE(MID($B594,2,20))&lt;100000000,VALUE(MID($B594,2,20)),1000000000),1000000000))+ROW()/100000,"")</f>
        <v/>
      </c>
    </row>
    <row r="595">
      <c r="A595">
        <f>IF($B595="","",IFERROR(IF(INDEX('Per Invoice'!$C$2:$C$401,MATCH($B595,'Per Invoice'!$A$2:$A$401,0))=0,"",INDEX('Per Invoice'!$C$2:$C$401,MATCH($B595,'Per Invoice'!$A$2:$A$401,0))),""))</f>
        <v/>
      </c>
      <c r="G595" s="7">
        <f>IF($B595="","",F595*L595/100)</f>
        <v/>
      </c>
      <c r="K595" s="7" t="n"/>
      <c r="L595" s="7" t="n"/>
      <c r="M595" s="7">
        <f>IF($B595="","",L595*T595/100)</f>
        <v/>
      </c>
      <c r="N595" s="7">
        <f>IF($B595="","",L595-M595)</f>
        <v/>
      </c>
      <c r="O595" s="7">
        <f>IF($B595="","",N595-G595)</f>
        <v/>
      </c>
      <c r="R595" s="14" t="n"/>
      <c r="T595">
        <f>IF($B595="","",IF($W595=1,Settings!$C$6,Settings!$C$7)*100)</f>
        <v/>
      </c>
      <c r="U595">
        <f>IF($B595="","",IF(COUNTIF($B$2:$B595,$B595)=1,1,0))</f>
        <v/>
      </c>
      <c r="V595">
        <f>IF($U595=1,SUMPRODUCT(--($X$2:$X$1501&lt;$X595))+1,"")</f>
        <v/>
      </c>
      <c r="W595">
        <f>IF($B595="","",IF(OR($S595=TRUE(),$S595="TRUE"),1,0))</f>
        <v/>
      </c>
      <c r="X595">
        <f>IF($U595=1,IFERROR(IF(VALUE($B595)&lt;100000000,VALUE($B595),1000000000),IFERROR(IF(VALUE(MID($B595,2,20))&lt;100000000,VALUE(MID($B595,2,20)),1000000000),1000000000))+ROW()/100000,"")</f>
        <v/>
      </c>
    </row>
    <row r="596">
      <c r="A596">
        <f>IF($B596="","",IFERROR(IF(INDEX('Per Invoice'!$C$2:$C$401,MATCH($B596,'Per Invoice'!$A$2:$A$401,0))=0,"",INDEX('Per Invoice'!$C$2:$C$401,MATCH($B596,'Per Invoice'!$A$2:$A$401,0))),""))</f>
        <v/>
      </c>
      <c r="G596" s="7">
        <f>IF($B596="","",F596*L596/100)</f>
        <v/>
      </c>
      <c r="K596" s="7" t="n"/>
      <c r="L596" s="7" t="n"/>
      <c r="M596" s="7">
        <f>IF($B596="","",L596*T596/100)</f>
        <v/>
      </c>
      <c r="N596" s="7">
        <f>IF($B596="","",L596-M596)</f>
        <v/>
      </c>
      <c r="O596" s="7">
        <f>IF($B596="","",N596-G596)</f>
        <v/>
      </c>
      <c r="R596" s="14" t="n"/>
      <c r="T596">
        <f>IF($B596="","",IF($W596=1,Settings!$C$6,Settings!$C$7)*100)</f>
        <v/>
      </c>
      <c r="U596">
        <f>IF($B596="","",IF(COUNTIF($B$2:$B596,$B596)=1,1,0))</f>
        <v/>
      </c>
      <c r="V596">
        <f>IF($U596=1,SUMPRODUCT(--($X$2:$X$1501&lt;$X596))+1,"")</f>
        <v/>
      </c>
      <c r="W596">
        <f>IF($B596="","",IF(OR($S596=TRUE(),$S596="TRUE"),1,0))</f>
        <v/>
      </c>
      <c r="X596">
        <f>IF($U596=1,IFERROR(IF(VALUE($B596)&lt;100000000,VALUE($B596),1000000000),IFERROR(IF(VALUE(MID($B596,2,20))&lt;100000000,VALUE(MID($B596,2,20)),1000000000),1000000000))+ROW()/100000,"")</f>
        <v/>
      </c>
    </row>
    <row r="597">
      <c r="A597">
        <f>IF($B597="","",IFERROR(IF(INDEX('Per Invoice'!$C$2:$C$401,MATCH($B597,'Per Invoice'!$A$2:$A$401,0))=0,"",INDEX('Per Invoice'!$C$2:$C$401,MATCH($B597,'Per Invoice'!$A$2:$A$401,0))),""))</f>
        <v/>
      </c>
      <c r="G597" s="7">
        <f>IF($B597="","",F597*L597/100)</f>
        <v/>
      </c>
      <c r="K597" s="7" t="n"/>
      <c r="L597" s="7" t="n"/>
      <c r="M597" s="7">
        <f>IF($B597="","",L597*T597/100)</f>
        <v/>
      </c>
      <c r="N597" s="7">
        <f>IF($B597="","",L597-M597)</f>
        <v/>
      </c>
      <c r="O597" s="7">
        <f>IF($B597="","",N597-G597)</f>
        <v/>
      </c>
      <c r="R597" s="14" t="n"/>
      <c r="T597">
        <f>IF($B597="","",IF($W597=1,Settings!$C$6,Settings!$C$7)*100)</f>
        <v/>
      </c>
      <c r="U597">
        <f>IF($B597="","",IF(COUNTIF($B$2:$B597,$B597)=1,1,0))</f>
        <v/>
      </c>
      <c r="V597">
        <f>IF($U597=1,SUMPRODUCT(--($X$2:$X$1501&lt;$X597))+1,"")</f>
        <v/>
      </c>
      <c r="W597">
        <f>IF($B597="","",IF(OR($S597=TRUE(),$S597="TRUE"),1,0))</f>
        <v/>
      </c>
      <c r="X597">
        <f>IF($U597=1,IFERROR(IF(VALUE($B597)&lt;100000000,VALUE($B597),1000000000),IFERROR(IF(VALUE(MID($B597,2,20))&lt;100000000,VALUE(MID($B597,2,20)),1000000000),1000000000))+ROW()/100000,"")</f>
        <v/>
      </c>
    </row>
    <row r="598">
      <c r="A598">
        <f>IF($B598="","",IFERROR(IF(INDEX('Per Invoice'!$C$2:$C$401,MATCH($B598,'Per Invoice'!$A$2:$A$401,0))=0,"",INDEX('Per Invoice'!$C$2:$C$401,MATCH($B598,'Per Invoice'!$A$2:$A$401,0))),""))</f>
        <v/>
      </c>
      <c r="G598" s="7">
        <f>IF($B598="","",F598*L598/100)</f>
        <v/>
      </c>
      <c r="K598" s="7" t="n"/>
      <c r="L598" s="7" t="n"/>
      <c r="M598" s="7">
        <f>IF($B598="","",L598*T598/100)</f>
        <v/>
      </c>
      <c r="N598" s="7">
        <f>IF($B598="","",L598-M598)</f>
        <v/>
      </c>
      <c r="O598" s="7">
        <f>IF($B598="","",N598-G598)</f>
        <v/>
      </c>
      <c r="R598" s="14" t="n"/>
      <c r="T598">
        <f>IF($B598="","",IF($W598=1,Settings!$C$6,Settings!$C$7)*100)</f>
        <v/>
      </c>
      <c r="U598">
        <f>IF($B598="","",IF(COUNTIF($B$2:$B598,$B598)=1,1,0))</f>
        <v/>
      </c>
      <c r="V598">
        <f>IF($U598=1,SUMPRODUCT(--($X$2:$X$1501&lt;$X598))+1,"")</f>
        <v/>
      </c>
      <c r="W598">
        <f>IF($B598="","",IF(OR($S598=TRUE(),$S598="TRUE"),1,0))</f>
        <v/>
      </c>
      <c r="X598">
        <f>IF($U598=1,IFERROR(IF(VALUE($B598)&lt;100000000,VALUE($B598),1000000000),IFERROR(IF(VALUE(MID($B598,2,20))&lt;100000000,VALUE(MID($B598,2,20)),1000000000),1000000000))+ROW()/100000,"")</f>
        <v/>
      </c>
    </row>
    <row r="599">
      <c r="A599">
        <f>IF($B599="","",IFERROR(IF(INDEX('Per Invoice'!$C$2:$C$401,MATCH($B599,'Per Invoice'!$A$2:$A$401,0))=0,"",INDEX('Per Invoice'!$C$2:$C$401,MATCH($B599,'Per Invoice'!$A$2:$A$401,0))),""))</f>
        <v/>
      </c>
      <c r="G599" s="7">
        <f>IF($B599="","",F599*L599/100)</f>
        <v/>
      </c>
      <c r="K599" s="7" t="n"/>
      <c r="L599" s="7" t="n"/>
      <c r="M599" s="7">
        <f>IF($B599="","",L599*T599/100)</f>
        <v/>
      </c>
      <c r="N599" s="7">
        <f>IF($B599="","",L599-M599)</f>
        <v/>
      </c>
      <c r="O599" s="7">
        <f>IF($B599="","",N599-G599)</f>
        <v/>
      </c>
      <c r="R599" s="14" t="n"/>
      <c r="T599">
        <f>IF($B599="","",IF($W599=1,Settings!$C$6,Settings!$C$7)*100)</f>
        <v/>
      </c>
      <c r="U599">
        <f>IF($B599="","",IF(COUNTIF($B$2:$B599,$B599)=1,1,0))</f>
        <v/>
      </c>
      <c r="V599">
        <f>IF($U599=1,SUMPRODUCT(--($X$2:$X$1501&lt;$X599))+1,"")</f>
        <v/>
      </c>
      <c r="W599">
        <f>IF($B599="","",IF(OR($S599=TRUE(),$S599="TRUE"),1,0))</f>
        <v/>
      </c>
      <c r="X599">
        <f>IF($U599=1,IFERROR(IF(VALUE($B599)&lt;100000000,VALUE($B599),1000000000),IFERROR(IF(VALUE(MID($B599,2,20))&lt;100000000,VALUE(MID($B599,2,20)),1000000000),1000000000))+ROW()/100000,"")</f>
        <v/>
      </c>
    </row>
    <row r="600">
      <c r="A600">
        <f>IF($B600="","",IFERROR(IF(INDEX('Per Invoice'!$C$2:$C$401,MATCH($B600,'Per Invoice'!$A$2:$A$401,0))=0,"",INDEX('Per Invoice'!$C$2:$C$401,MATCH($B600,'Per Invoice'!$A$2:$A$401,0))),""))</f>
        <v/>
      </c>
      <c r="G600" s="7">
        <f>IF($B600="","",F600*L600/100)</f>
        <v/>
      </c>
      <c r="K600" s="7" t="n"/>
      <c r="L600" s="7" t="n"/>
      <c r="M600" s="7">
        <f>IF($B600="","",L600*T600/100)</f>
        <v/>
      </c>
      <c r="N600" s="7">
        <f>IF($B600="","",L600-M600)</f>
        <v/>
      </c>
      <c r="O600" s="7">
        <f>IF($B600="","",N600-G600)</f>
        <v/>
      </c>
      <c r="R600" s="14" t="n"/>
      <c r="T600">
        <f>IF($B600="","",IF($W600=1,Settings!$C$6,Settings!$C$7)*100)</f>
        <v/>
      </c>
      <c r="U600">
        <f>IF($B600="","",IF(COUNTIF($B$2:$B600,$B600)=1,1,0))</f>
        <v/>
      </c>
      <c r="V600">
        <f>IF($U600=1,SUMPRODUCT(--($X$2:$X$1501&lt;$X600))+1,"")</f>
        <v/>
      </c>
      <c r="W600">
        <f>IF($B600="","",IF(OR($S600=TRUE(),$S600="TRUE"),1,0))</f>
        <v/>
      </c>
      <c r="X600">
        <f>IF($U600=1,IFERROR(IF(VALUE($B600)&lt;100000000,VALUE($B600),1000000000),IFERROR(IF(VALUE(MID($B600,2,20))&lt;100000000,VALUE(MID($B600,2,20)),1000000000),1000000000))+ROW()/100000,"")</f>
        <v/>
      </c>
    </row>
    <row r="601">
      <c r="A601">
        <f>IF($B601="","",IFERROR(IF(INDEX('Per Invoice'!$C$2:$C$401,MATCH($B601,'Per Invoice'!$A$2:$A$401,0))=0,"",INDEX('Per Invoice'!$C$2:$C$401,MATCH($B601,'Per Invoice'!$A$2:$A$401,0))),""))</f>
        <v/>
      </c>
      <c r="G601" s="7">
        <f>IF($B601="","",F601*L601/100)</f>
        <v/>
      </c>
      <c r="K601" s="7" t="n"/>
      <c r="L601" s="7" t="n"/>
      <c r="M601" s="7">
        <f>IF($B601="","",L601*T601/100)</f>
        <v/>
      </c>
      <c r="N601" s="7">
        <f>IF($B601="","",L601-M601)</f>
        <v/>
      </c>
      <c r="O601" s="7">
        <f>IF($B601="","",N601-G601)</f>
        <v/>
      </c>
      <c r="R601" s="14" t="n"/>
      <c r="T601">
        <f>IF($B601="","",IF($W601=1,Settings!$C$6,Settings!$C$7)*100)</f>
        <v/>
      </c>
      <c r="U601">
        <f>IF($B601="","",IF(COUNTIF($B$2:$B601,$B601)=1,1,0))</f>
        <v/>
      </c>
      <c r="V601">
        <f>IF($U601=1,SUMPRODUCT(--($X$2:$X$1501&lt;$X601))+1,"")</f>
        <v/>
      </c>
      <c r="W601">
        <f>IF($B601="","",IF(OR($S601=TRUE(),$S601="TRUE"),1,0))</f>
        <v/>
      </c>
      <c r="X601">
        <f>IF($U601=1,IFERROR(IF(VALUE($B601)&lt;100000000,VALUE($B601),1000000000),IFERROR(IF(VALUE(MID($B601,2,20))&lt;100000000,VALUE(MID($B601,2,20)),1000000000),1000000000))+ROW()/100000,"")</f>
        <v/>
      </c>
    </row>
    <row r="602">
      <c r="A602">
        <f>IF($B602="","",IFERROR(IF(INDEX('Per Invoice'!$C$2:$C$401,MATCH($B602,'Per Invoice'!$A$2:$A$401,0))=0,"",INDEX('Per Invoice'!$C$2:$C$401,MATCH($B602,'Per Invoice'!$A$2:$A$401,0))),""))</f>
        <v/>
      </c>
      <c r="G602" s="7">
        <f>IF($B602="","",F602*L602/100)</f>
        <v/>
      </c>
      <c r="K602" s="7" t="n"/>
      <c r="L602" s="7" t="n"/>
      <c r="M602" s="7">
        <f>IF($B602="","",L602*T602/100)</f>
        <v/>
      </c>
      <c r="N602" s="7">
        <f>IF($B602="","",L602-M602)</f>
        <v/>
      </c>
      <c r="O602" s="7">
        <f>IF($B602="","",N602-G602)</f>
        <v/>
      </c>
      <c r="R602" s="14" t="n"/>
      <c r="T602">
        <f>IF($B602="","",IF($W602=1,Settings!$C$6,Settings!$C$7)*100)</f>
        <v/>
      </c>
      <c r="U602">
        <f>IF($B602="","",IF(COUNTIF($B$2:$B602,$B602)=1,1,0))</f>
        <v/>
      </c>
      <c r="V602">
        <f>IF($U602=1,SUMPRODUCT(--($X$2:$X$1501&lt;$X602))+1,"")</f>
        <v/>
      </c>
      <c r="W602">
        <f>IF($B602="","",IF(OR($S602=TRUE(),$S602="TRUE"),1,0))</f>
        <v/>
      </c>
      <c r="X602">
        <f>IF($U602=1,IFERROR(IF(VALUE($B602)&lt;100000000,VALUE($B602),1000000000),IFERROR(IF(VALUE(MID($B602,2,20))&lt;100000000,VALUE(MID($B602,2,20)),1000000000),1000000000))+ROW()/100000,"")</f>
        <v/>
      </c>
    </row>
    <row r="603">
      <c r="A603">
        <f>IF($B603="","",IFERROR(IF(INDEX('Per Invoice'!$C$2:$C$401,MATCH($B603,'Per Invoice'!$A$2:$A$401,0))=0,"",INDEX('Per Invoice'!$C$2:$C$401,MATCH($B603,'Per Invoice'!$A$2:$A$401,0))),""))</f>
        <v/>
      </c>
      <c r="G603" s="7">
        <f>IF($B603="","",F603*L603/100)</f>
        <v/>
      </c>
      <c r="K603" s="7" t="n"/>
      <c r="L603" s="7" t="n"/>
      <c r="M603" s="7">
        <f>IF($B603="","",L603*T603/100)</f>
        <v/>
      </c>
      <c r="N603" s="7">
        <f>IF($B603="","",L603-M603)</f>
        <v/>
      </c>
      <c r="O603" s="7">
        <f>IF($B603="","",N603-G603)</f>
        <v/>
      </c>
      <c r="R603" s="14" t="n"/>
      <c r="T603">
        <f>IF($B603="","",IF($W603=1,Settings!$C$6,Settings!$C$7)*100)</f>
        <v/>
      </c>
      <c r="U603">
        <f>IF($B603="","",IF(COUNTIF($B$2:$B603,$B603)=1,1,0))</f>
        <v/>
      </c>
      <c r="V603">
        <f>IF($U603=1,SUMPRODUCT(--($X$2:$X$1501&lt;$X603))+1,"")</f>
        <v/>
      </c>
      <c r="W603">
        <f>IF($B603="","",IF(OR($S603=TRUE(),$S603="TRUE"),1,0))</f>
        <v/>
      </c>
      <c r="X603">
        <f>IF($U603=1,IFERROR(IF(VALUE($B603)&lt;100000000,VALUE($B603),1000000000),IFERROR(IF(VALUE(MID($B603,2,20))&lt;100000000,VALUE(MID($B603,2,20)),1000000000),1000000000))+ROW()/100000,"")</f>
        <v/>
      </c>
    </row>
    <row r="604">
      <c r="A604">
        <f>IF($B604="","",IFERROR(IF(INDEX('Per Invoice'!$C$2:$C$401,MATCH($B604,'Per Invoice'!$A$2:$A$401,0))=0,"",INDEX('Per Invoice'!$C$2:$C$401,MATCH($B604,'Per Invoice'!$A$2:$A$401,0))),""))</f>
        <v/>
      </c>
      <c r="G604" s="7">
        <f>IF($B604="","",F604*L604/100)</f>
        <v/>
      </c>
      <c r="K604" s="7" t="n"/>
      <c r="L604" s="7" t="n"/>
      <c r="M604" s="7">
        <f>IF($B604="","",L604*T604/100)</f>
        <v/>
      </c>
      <c r="N604" s="7">
        <f>IF($B604="","",L604-M604)</f>
        <v/>
      </c>
      <c r="O604" s="7">
        <f>IF($B604="","",N604-G604)</f>
        <v/>
      </c>
      <c r="R604" s="14" t="n"/>
      <c r="T604">
        <f>IF($B604="","",IF($W604=1,Settings!$C$6,Settings!$C$7)*100)</f>
        <v/>
      </c>
      <c r="U604">
        <f>IF($B604="","",IF(COUNTIF($B$2:$B604,$B604)=1,1,0))</f>
        <v/>
      </c>
      <c r="V604">
        <f>IF($U604=1,SUMPRODUCT(--($X$2:$X$1501&lt;$X604))+1,"")</f>
        <v/>
      </c>
      <c r="W604">
        <f>IF($B604="","",IF(OR($S604=TRUE(),$S604="TRUE"),1,0))</f>
        <v/>
      </c>
      <c r="X604">
        <f>IF($U604=1,IFERROR(IF(VALUE($B604)&lt;100000000,VALUE($B604),1000000000),IFERROR(IF(VALUE(MID($B604,2,20))&lt;100000000,VALUE(MID($B604,2,20)),1000000000),1000000000))+ROW()/100000,"")</f>
        <v/>
      </c>
    </row>
    <row r="605">
      <c r="A605">
        <f>IF($B605="","",IFERROR(IF(INDEX('Per Invoice'!$C$2:$C$401,MATCH($B605,'Per Invoice'!$A$2:$A$401,0))=0,"",INDEX('Per Invoice'!$C$2:$C$401,MATCH($B605,'Per Invoice'!$A$2:$A$401,0))),""))</f>
        <v/>
      </c>
      <c r="G605" s="7">
        <f>IF($B605="","",F605*L605/100)</f>
        <v/>
      </c>
      <c r="K605" s="7" t="n"/>
      <c r="L605" s="7" t="n"/>
      <c r="M605" s="7">
        <f>IF($B605="","",L605*T605/100)</f>
        <v/>
      </c>
      <c r="N605" s="7">
        <f>IF($B605="","",L605-M605)</f>
        <v/>
      </c>
      <c r="O605" s="7">
        <f>IF($B605="","",N605-G605)</f>
        <v/>
      </c>
      <c r="R605" s="14" t="n"/>
      <c r="T605">
        <f>IF($B605="","",IF($W605=1,Settings!$C$6,Settings!$C$7)*100)</f>
        <v/>
      </c>
      <c r="U605">
        <f>IF($B605="","",IF(COUNTIF($B$2:$B605,$B605)=1,1,0))</f>
        <v/>
      </c>
      <c r="V605">
        <f>IF($U605=1,SUMPRODUCT(--($X$2:$X$1501&lt;$X605))+1,"")</f>
        <v/>
      </c>
      <c r="W605">
        <f>IF($B605="","",IF(OR($S605=TRUE(),$S605="TRUE"),1,0))</f>
        <v/>
      </c>
      <c r="X605">
        <f>IF($U605=1,IFERROR(IF(VALUE($B605)&lt;100000000,VALUE($B605),1000000000),IFERROR(IF(VALUE(MID($B605,2,20))&lt;100000000,VALUE(MID($B605,2,20)),1000000000),1000000000))+ROW()/100000,"")</f>
        <v/>
      </c>
    </row>
    <row r="606">
      <c r="A606">
        <f>IF($B606="","",IFERROR(IF(INDEX('Per Invoice'!$C$2:$C$401,MATCH($B606,'Per Invoice'!$A$2:$A$401,0))=0,"",INDEX('Per Invoice'!$C$2:$C$401,MATCH($B606,'Per Invoice'!$A$2:$A$401,0))),""))</f>
        <v/>
      </c>
      <c r="G606" s="7">
        <f>IF($B606="","",F606*L606/100)</f>
        <v/>
      </c>
      <c r="K606" s="7" t="n"/>
      <c r="L606" s="7" t="n"/>
      <c r="M606" s="7">
        <f>IF($B606="","",L606*T606/100)</f>
        <v/>
      </c>
      <c r="N606" s="7">
        <f>IF($B606="","",L606-M606)</f>
        <v/>
      </c>
      <c r="O606" s="7">
        <f>IF($B606="","",N606-G606)</f>
        <v/>
      </c>
      <c r="R606" s="14" t="n"/>
      <c r="T606">
        <f>IF($B606="","",IF($W606=1,Settings!$C$6,Settings!$C$7)*100)</f>
        <v/>
      </c>
      <c r="U606">
        <f>IF($B606="","",IF(COUNTIF($B$2:$B606,$B606)=1,1,0))</f>
        <v/>
      </c>
      <c r="V606">
        <f>IF($U606=1,SUMPRODUCT(--($X$2:$X$1501&lt;$X606))+1,"")</f>
        <v/>
      </c>
      <c r="W606">
        <f>IF($B606="","",IF(OR($S606=TRUE(),$S606="TRUE"),1,0))</f>
        <v/>
      </c>
      <c r="X606">
        <f>IF($U606=1,IFERROR(IF(VALUE($B606)&lt;100000000,VALUE($B606),1000000000),IFERROR(IF(VALUE(MID($B606,2,20))&lt;100000000,VALUE(MID($B606,2,20)),1000000000),1000000000))+ROW()/100000,"")</f>
        <v/>
      </c>
    </row>
    <row r="607">
      <c r="A607">
        <f>IF($B607="","",IFERROR(IF(INDEX('Per Invoice'!$C$2:$C$401,MATCH($B607,'Per Invoice'!$A$2:$A$401,0))=0,"",INDEX('Per Invoice'!$C$2:$C$401,MATCH($B607,'Per Invoice'!$A$2:$A$401,0))),""))</f>
        <v/>
      </c>
      <c r="G607" s="7">
        <f>IF($B607="","",F607*L607/100)</f>
        <v/>
      </c>
      <c r="K607" s="7" t="n"/>
      <c r="L607" s="7" t="n"/>
      <c r="M607" s="7">
        <f>IF($B607="","",L607*T607/100)</f>
        <v/>
      </c>
      <c r="N607" s="7">
        <f>IF($B607="","",L607-M607)</f>
        <v/>
      </c>
      <c r="O607" s="7">
        <f>IF($B607="","",N607-G607)</f>
        <v/>
      </c>
      <c r="R607" s="14" t="n"/>
      <c r="T607">
        <f>IF($B607="","",IF($W607=1,Settings!$C$6,Settings!$C$7)*100)</f>
        <v/>
      </c>
      <c r="U607">
        <f>IF($B607="","",IF(COUNTIF($B$2:$B607,$B607)=1,1,0))</f>
        <v/>
      </c>
      <c r="V607">
        <f>IF($U607=1,SUMPRODUCT(--($X$2:$X$1501&lt;$X607))+1,"")</f>
        <v/>
      </c>
      <c r="W607">
        <f>IF($B607="","",IF(OR($S607=TRUE(),$S607="TRUE"),1,0))</f>
        <v/>
      </c>
      <c r="X607">
        <f>IF($U607=1,IFERROR(IF(VALUE($B607)&lt;100000000,VALUE($B607),1000000000),IFERROR(IF(VALUE(MID($B607,2,20))&lt;100000000,VALUE(MID($B607,2,20)),1000000000),1000000000))+ROW()/100000,"")</f>
        <v/>
      </c>
    </row>
    <row r="608">
      <c r="A608">
        <f>IF($B608="","",IFERROR(IF(INDEX('Per Invoice'!$C$2:$C$401,MATCH($B608,'Per Invoice'!$A$2:$A$401,0))=0,"",INDEX('Per Invoice'!$C$2:$C$401,MATCH($B608,'Per Invoice'!$A$2:$A$401,0))),""))</f>
        <v/>
      </c>
      <c r="G608" s="7">
        <f>IF($B608="","",F608*L608/100)</f>
        <v/>
      </c>
      <c r="K608" s="7" t="n"/>
      <c r="L608" s="7" t="n"/>
      <c r="M608" s="7">
        <f>IF($B608="","",L608*T608/100)</f>
        <v/>
      </c>
      <c r="N608" s="7">
        <f>IF($B608="","",L608-M608)</f>
        <v/>
      </c>
      <c r="O608" s="7">
        <f>IF($B608="","",N608-G608)</f>
        <v/>
      </c>
      <c r="R608" s="14" t="n"/>
      <c r="T608">
        <f>IF($B608="","",IF($W608=1,Settings!$C$6,Settings!$C$7)*100)</f>
        <v/>
      </c>
      <c r="U608">
        <f>IF($B608="","",IF(COUNTIF($B$2:$B608,$B608)=1,1,0))</f>
        <v/>
      </c>
      <c r="V608">
        <f>IF($U608=1,SUMPRODUCT(--($X$2:$X$1501&lt;$X608))+1,"")</f>
        <v/>
      </c>
      <c r="W608">
        <f>IF($B608="","",IF(OR($S608=TRUE(),$S608="TRUE"),1,0))</f>
        <v/>
      </c>
      <c r="X608">
        <f>IF($U608=1,IFERROR(IF(VALUE($B608)&lt;100000000,VALUE($B608),1000000000),IFERROR(IF(VALUE(MID($B608,2,20))&lt;100000000,VALUE(MID($B608,2,20)),1000000000),1000000000))+ROW()/100000,"")</f>
        <v/>
      </c>
    </row>
    <row r="609">
      <c r="A609">
        <f>IF($B609="","",IFERROR(IF(INDEX('Per Invoice'!$C$2:$C$401,MATCH($B609,'Per Invoice'!$A$2:$A$401,0))=0,"",INDEX('Per Invoice'!$C$2:$C$401,MATCH($B609,'Per Invoice'!$A$2:$A$401,0))),""))</f>
        <v/>
      </c>
      <c r="G609" s="7">
        <f>IF($B609="","",F609*L609/100)</f>
        <v/>
      </c>
      <c r="K609" s="7" t="n"/>
      <c r="L609" s="7" t="n"/>
      <c r="M609" s="7">
        <f>IF($B609="","",L609*T609/100)</f>
        <v/>
      </c>
      <c r="N609" s="7">
        <f>IF($B609="","",L609-M609)</f>
        <v/>
      </c>
      <c r="O609" s="7">
        <f>IF($B609="","",N609-G609)</f>
        <v/>
      </c>
      <c r="R609" s="14" t="n"/>
      <c r="T609">
        <f>IF($B609="","",IF($W609=1,Settings!$C$6,Settings!$C$7)*100)</f>
        <v/>
      </c>
      <c r="U609">
        <f>IF($B609="","",IF(COUNTIF($B$2:$B609,$B609)=1,1,0))</f>
        <v/>
      </c>
      <c r="V609">
        <f>IF($U609=1,SUMPRODUCT(--($X$2:$X$1501&lt;$X609))+1,"")</f>
        <v/>
      </c>
      <c r="W609">
        <f>IF($B609="","",IF(OR($S609=TRUE(),$S609="TRUE"),1,0))</f>
        <v/>
      </c>
      <c r="X609">
        <f>IF($U609=1,IFERROR(IF(VALUE($B609)&lt;100000000,VALUE($B609),1000000000),IFERROR(IF(VALUE(MID($B609,2,20))&lt;100000000,VALUE(MID($B609,2,20)),1000000000),1000000000))+ROW()/100000,"")</f>
        <v/>
      </c>
    </row>
    <row r="610">
      <c r="A610">
        <f>IF($B610="","",IFERROR(IF(INDEX('Per Invoice'!$C$2:$C$401,MATCH($B610,'Per Invoice'!$A$2:$A$401,0))=0,"",INDEX('Per Invoice'!$C$2:$C$401,MATCH($B610,'Per Invoice'!$A$2:$A$401,0))),""))</f>
        <v/>
      </c>
      <c r="G610" s="7">
        <f>IF($B610="","",F610*L610/100)</f>
        <v/>
      </c>
      <c r="K610" s="7" t="n"/>
      <c r="L610" s="7" t="n"/>
      <c r="M610" s="7">
        <f>IF($B610="","",L610*T610/100)</f>
        <v/>
      </c>
      <c r="N610" s="7">
        <f>IF($B610="","",L610-M610)</f>
        <v/>
      </c>
      <c r="O610" s="7">
        <f>IF($B610="","",N610-G610)</f>
        <v/>
      </c>
      <c r="R610" s="14" t="n"/>
      <c r="T610">
        <f>IF($B610="","",IF($W610=1,Settings!$C$6,Settings!$C$7)*100)</f>
        <v/>
      </c>
      <c r="U610">
        <f>IF($B610="","",IF(COUNTIF($B$2:$B610,$B610)=1,1,0))</f>
        <v/>
      </c>
      <c r="V610">
        <f>IF($U610=1,SUMPRODUCT(--($X$2:$X$1501&lt;$X610))+1,"")</f>
        <v/>
      </c>
      <c r="W610">
        <f>IF($B610="","",IF(OR($S610=TRUE(),$S610="TRUE"),1,0))</f>
        <v/>
      </c>
      <c r="X610">
        <f>IF($U610=1,IFERROR(IF(VALUE($B610)&lt;100000000,VALUE($B610),1000000000),IFERROR(IF(VALUE(MID($B610,2,20))&lt;100000000,VALUE(MID($B610,2,20)),1000000000),1000000000))+ROW()/100000,"")</f>
        <v/>
      </c>
    </row>
    <row r="611">
      <c r="A611">
        <f>IF($B611="","",IFERROR(IF(INDEX('Per Invoice'!$C$2:$C$401,MATCH($B611,'Per Invoice'!$A$2:$A$401,0))=0,"",INDEX('Per Invoice'!$C$2:$C$401,MATCH($B611,'Per Invoice'!$A$2:$A$401,0))),""))</f>
        <v/>
      </c>
      <c r="G611" s="7">
        <f>IF($B611="","",F611*L611/100)</f>
        <v/>
      </c>
      <c r="K611" s="7" t="n"/>
      <c r="L611" s="7" t="n"/>
      <c r="M611" s="7">
        <f>IF($B611="","",L611*T611/100)</f>
        <v/>
      </c>
      <c r="N611" s="7">
        <f>IF($B611="","",L611-M611)</f>
        <v/>
      </c>
      <c r="O611" s="7">
        <f>IF($B611="","",N611-G611)</f>
        <v/>
      </c>
      <c r="R611" s="14" t="n"/>
      <c r="T611">
        <f>IF($B611="","",IF($W611=1,Settings!$C$6,Settings!$C$7)*100)</f>
        <v/>
      </c>
      <c r="U611">
        <f>IF($B611="","",IF(COUNTIF($B$2:$B611,$B611)=1,1,0))</f>
        <v/>
      </c>
      <c r="V611">
        <f>IF($U611=1,SUMPRODUCT(--($X$2:$X$1501&lt;$X611))+1,"")</f>
        <v/>
      </c>
      <c r="W611">
        <f>IF($B611="","",IF(OR($S611=TRUE(),$S611="TRUE"),1,0))</f>
        <v/>
      </c>
      <c r="X611">
        <f>IF($U611=1,IFERROR(IF(VALUE($B611)&lt;100000000,VALUE($B611),1000000000),IFERROR(IF(VALUE(MID($B611,2,20))&lt;100000000,VALUE(MID($B611,2,20)),1000000000),1000000000))+ROW()/100000,"")</f>
        <v/>
      </c>
    </row>
    <row r="612">
      <c r="A612">
        <f>IF($B612="","",IFERROR(IF(INDEX('Per Invoice'!$C$2:$C$401,MATCH($B612,'Per Invoice'!$A$2:$A$401,0))=0,"",INDEX('Per Invoice'!$C$2:$C$401,MATCH($B612,'Per Invoice'!$A$2:$A$401,0))),""))</f>
        <v/>
      </c>
      <c r="G612" s="7">
        <f>IF($B612="","",F612*L612/100)</f>
        <v/>
      </c>
      <c r="K612" s="7" t="n"/>
      <c r="L612" s="7" t="n"/>
      <c r="M612" s="7">
        <f>IF($B612="","",L612*T612/100)</f>
        <v/>
      </c>
      <c r="N612" s="7">
        <f>IF($B612="","",L612-M612)</f>
        <v/>
      </c>
      <c r="O612" s="7">
        <f>IF($B612="","",N612-G612)</f>
        <v/>
      </c>
      <c r="R612" s="14" t="n"/>
      <c r="T612">
        <f>IF($B612="","",IF($W612=1,Settings!$C$6,Settings!$C$7)*100)</f>
        <v/>
      </c>
      <c r="U612">
        <f>IF($B612="","",IF(COUNTIF($B$2:$B612,$B612)=1,1,0))</f>
        <v/>
      </c>
      <c r="V612">
        <f>IF($U612=1,SUMPRODUCT(--($X$2:$X$1501&lt;$X612))+1,"")</f>
        <v/>
      </c>
      <c r="W612">
        <f>IF($B612="","",IF(OR($S612=TRUE(),$S612="TRUE"),1,0))</f>
        <v/>
      </c>
      <c r="X612">
        <f>IF($U612=1,IFERROR(IF(VALUE($B612)&lt;100000000,VALUE($B612),1000000000),IFERROR(IF(VALUE(MID($B612,2,20))&lt;100000000,VALUE(MID($B612,2,20)),1000000000),1000000000))+ROW()/100000,"")</f>
        <v/>
      </c>
    </row>
    <row r="613">
      <c r="A613">
        <f>IF($B613="","",IFERROR(IF(INDEX('Per Invoice'!$C$2:$C$401,MATCH($B613,'Per Invoice'!$A$2:$A$401,0))=0,"",INDEX('Per Invoice'!$C$2:$C$401,MATCH($B613,'Per Invoice'!$A$2:$A$401,0))),""))</f>
        <v/>
      </c>
      <c r="G613" s="7">
        <f>IF($B613="","",F613*L613/100)</f>
        <v/>
      </c>
      <c r="K613" s="7" t="n"/>
      <c r="L613" s="7" t="n"/>
      <c r="M613" s="7">
        <f>IF($B613="","",L613*T613/100)</f>
        <v/>
      </c>
      <c r="N613" s="7">
        <f>IF($B613="","",L613-M613)</f>
        <v/>
      </c>
      <c r="O613" s="7">
        <f>IF($B613="","",N613-G613)</f>
        <v/>
      </c>
      <c r="R613" s="14" t="n"/>
      <c r="T613">
        <f>IF($B613="","",IF($W613=1,Settings!$C$6,Settings!$C$7)*100)</f>
        <v/>
      </c>
      <c r="U613">
        <f>IF($B613="","",IF(COUNTIF($B$2:$B613,$B613)=1,1,0))</f>
        <v/>
      </c>
      <c r="V613">
        <f>IF($U613=1,SUMPRODUCT(--($X$2:$X$1501&lt;$X613))+1,"")</f>
        <v/>
      </c>
      <c r="W613">
        <f>IF($B613="","",IF(OR($S613=TRUE(),$S613="TRUE"),1,0))</f>
        <v/>
      </c>
      <c r="X613">
        <f>IF($U613=1,IFERROR(IF(VALUE($B613)&lt;100000000,VALUE($B613),1000000000),IFERROR(IF(VALUE(MID($B613,2,20))&lt;100000000,VALUE(MID($B613,2,20)),1000000000),1000000000))+ROW()/100000,"")</f>
        <v/>
      </c>
    </row>
    <row r="614">
      <c r="A614">
        <f>IF($B614="","",IFERROR(IF(INDEX('Per Invoice'!$C$2:$C$401,MATCH($B614,'Per Invoice'!$A$2:$A$401,0))=0,"",INDEX('Per Invoice'!$C$2:$C$401,MATCH($B614,'Per Invoice'!$A$2:$A$401,0))),""))</f>
        <v/>
      </c>
      <c r="G614" s="7">
        <f>IF($B614="","",F614*L614/100)</f>
        <v/>
      </c>
      <c r="K614" s="7" t="n"/>
      <c r="L614" s="7" t="n"/>
      <c r="M614" s="7">
        <f>IF($B614="","",L614*T614/100)</f>
        <v/>
      </c>
      <c r="N614" s="7">
        <f>IF($B614="","",L614-M614)</f>
        <v/>
      </c>
      <c r="O614" s="7">
        <f>IF($B614="","",N614-G614)</f>
        <v/>
      </c>
      <c r="R614" s="14" t="n"/>
      <c r="T614">
        <f>IF($B614="","",IF($W614=1,Settings!$C$6,Settings!$C$7)*100)</f>
        <v/>
      </c>
      <c r="U614">
        <f>IF($B614="","",IF(COUNTIF($B$2:$B614,$B614)=1,1,0))</f>
        <v/>
      </c>
      <c r="V614">
        <f>IF($U614=1,SUMPRODUCT(--($X$2:$X$1501&lt;$X614))+1,"")</f>
        <v/>
      </c>
      <c r="W614">
        <f>IF($B614="","",IF(OR($S614=TRUE(),$S614="TRUE"),1,0))</f>
        <v/>
      </c>
      <c r="X614">
        <f>IF($U614=1,IFERROR(IF(VALUE($B614)&lt;100000000,VALUE($B614),1000000000),IFERROR(IF(VALUE(MID($B614,2,20))&lt;100000000,VALUE(MID($B614,2,20)),1000000000),1000000000))+ROW()/100000,"")</f>
        <v/>
      </c>
    </row>
    <row r="615">
      <c r="A615">
        <f>IF($B615="","",IFERROR(IF(INDEX('Per Invoice'!$C$2:$C$401,MATCH($B615,'Per Invoice'!$A$2:$A$401,0))=0,"",INDEX('Per Invoice'!$C$2:$C$401,MATCH($B615,'Per Invoice'!$A$2:$A$401,0))),""))</f>
        <v/>
      </c>
      <c r="G615" s="7">
        <f>IF($B615="","",F615*L615/100)</f>
        <v/>
      </c>
      <c r="K615" s="7" t="n"/>
      <c r="L615" s="7" t="n"/>
      <c r="M615" s="7">
        <f>IF($B615="","",L615*T615/100)</f>
        <v/>
      </c>
      <c r="N615" s="7">
        <f>IF($B615="","",L615-M615)</f>
        <v/>
      </c>
      <c r="O615" s="7">
        <f>IF($B615="","",N615-G615)</f>
        <v/>
      </c>
      <c r="R615" s="14" t="n"/>
      <c r="T615">
        <f>IF($B615="","",IF($W615=1,Settings!$C$6,Settings!$C$7)*100)</f>
        <v/>
      </c>
      <c r="U615">
        <f>IF($B615="","",IF(COUNTIF($B$2:$B615,$B615)=1,1,0))</f>
        <v/>
      </c>
      <c r="V615">
        <f>IF($U615=1,SUMPRODUCT(--($X$2:$X$1501&lt;$X615))+1,"")</f>
        <v/>
      </c>
      <c r="W615">
        <f>IF($B615="","",IF(OR($S615=TRUE(),$S615="TRUE"),1,0))</f>
        <v/>
      </c>
      <c r="X615">
        <f>IF($U615=1,IFERROR(IF(VALUE($B615)&lt;100000000,VALUE($B615),1000000000),IFERROR(IF(VALUE(MID($B615,2,20))&lt;100000000,VALUE(MID($B615,2,20)),1000000000),1000000000))+ROW()/100000,"")</f>
        <v/>
      </c>
    </row>
    <row r="616">
      <c r="A616">
        <f>IF($B616="","",IFERROR(IF(INDEX('Per Invoice'!$C$2:$C$401,MATCH($B616,'Per Invoice'!$A$2:$A$401,0))=0,"",INDEX('Per Invoice'!$C$2:$C$401,MATCH($B616,'Per Invoice'!$A$2:$A$401,0))),""))</f>
        <v/>
      </c>
      <c r="G616" s="7">
        <f>IF($B616="","",F616*L616/100)</f>
        <v/>
      </c>
      <c r="K616" s="7" t="n"/>
      <c r="L616" s="7" t="n"/>
      <c r="M616" s="7">
        <f>IF($B616="","",L616*T616/100)</f>
        <v/>
      </c>
      <c r="N616" s="7">
        <f>IF($B616="","",L616-M616)</f>
        <v/>
      </c>
      <c r="O616" s="7">
        <f>IF($B616="","",N616-G616)</f>
        <v/>
      </c>
      <c r="R616" s="14" t="n"/>
      <c r="T616">
        <f>IF($B616="","",IF($W616=1,Settings!$C$6,Settings!$C$7)*100)</f>
        <v/>
      </c>
      <c r="U616">
        <f>IF($B616="","",IF(COUNTIF($B$2:$B616,$B616)=1,1,0))</f>
        <v/>
      </c>
      <c r="V616">
        <f>IF($U616=1,SUMPRODUCT(--($X$2:$X$1501&lt;$X616))+1,"")</f>
        <v/>
      </c>
      <c r="W616">
        <f>IF($B616="","",IF(OR($S616=TRUE(),$S616="TRUE"),1,0))</f>
        <v/>
      </c>
      <c r="X616">
        <f>IF($U616=1,IFERROR(IF(VALUE($B616)&lt;100000000,VALUE($B616),1000000000),IFERROR(IF(VALUE(MID($B616,2,20))&lt;100000000,VALUE(MID($B616,2,20)),1000000000),1000000000))+ROW()/100000,"")</f>
        <v/>
      </c>
    </row>
    <row r="617">
      <c r="A617">
        <f>IF($B617="","",IFERROR(IF(INDEX('Per Invoice'!$C$2:$C$401,MATCH($B617,'Per Invoice'!$A$2:$A$401,0))=0,"",INDEX('Per Invoice'!$C$2:$C$401,MATCH($B617,'Per Invoice'!$A$2:$A$401,0))),""))</f>
        <v/>
      </c>
      <c r="G617" s="7">
        <f>IF($B617="","",F617*L617/100)</f>
        <v/>
      </c>
      <c r="K617" s="7" t="n"/>
      <c r="L617" s="7" t="n"/>
      <c r="M617" s="7">
        <f>IF($B617="","",L617*T617/100)</f>
        <v/>
      </c>
      <c r="N617" s="7">
        <f>IF($B617="","",L617-M617)</f>
        <v/>
      </c>
      <c r="O617" s="7">
        <f>IF($B617="","",N617-G617)</f>
        <v/>
      </c>
      <c r="R617" s="14" t="n"/>
      <c r="T617">
        <f>IF($B617="","",IF($W617=1,Settings!$C$6,Settings!$C$7)*100)</f>
        <v/>
      </c>
      <c r="U617">
        <f>IF($B617="","",IF(COUNTIF($B$2:$B617,$B617)=1,1,0))</f>
        <v/>
      </c>
      <c r="V617">
        <f>IF($U617=1,SUMPRODUCT(--($X$2:$X$1501&lt;$X617))+1,"")</f>
        <v/>
      </c>
      <c r="W617">
        <f>IF($B617="","",IF(OR($S617=TRUE(),$S617="TRUE"),1,0))</f>
        <v/>
      </c>
      <c r="X617">
        <f>IF($U617=1,IFERROR(IF(VALUE($B617)&lt;100000000,VALUE($B617),1000000000),IFERROR(IF(VALUE(MID($B617,2,20))&lt;100000000,VALUE(MID($B617,2,20)),1000000000),1000000000))+ROW()/100000,"")</f>
        <v/>
      </c>
    </row>
    <row r="618">
      <c r="A618">
        <f>IF($B618="","",IFERROR(IF(INDEX('Per Invoice'!$C$2:$C$401,MATCH($B618,'Per Invoice'!$A$2:$A$401,0))=0,"",INDEX('Per Invoice'!$C$2:$C$401,MATCH($B618,'Per Invoice'!$A$2:$A$401,0))),""))</f>
        <v/>
      </c>
      <c r="G618" s="7">
        <f>IF($B618="","",F618*L618/100)</f>
        <v/>
      </c>
      <c r="K618" s="7" t="n"/>
      <c r="L618" s="7" t="n"/>
      <c r="M618" s="7">
        <f>IF($B618="","",L618*T618/100)</f>
        <v/>
      </c>
      <c r="N618" s="7">
        <f>IF($B618="","",L618-M618)</f>
        <v/>
      </c>
      <c r="O618" s="7">
        <f>IF($B618="","",N618-G618)</f>
        <v/>
      </c>
      <c r="R618" s="14" t="n"/>
      <c r="T618">
        <f>IF($B618="","",IF($W618=1,Settings!$C$6,Settings!$C$7)*100)</f>
        <v/>
      </c>
      <c r="U618">
        <f>IF($B618="","",IF(COUNTIF($B$2:$B618,$B618)=1,1,0))</f>
        <v/>
      </c>
      <c r="V618">
        <f>IF($U618=1,SUMPRODUCT(--($X$2:$X$1501&lt;$X618))+1,"")</f>
        <v/>
      </c>
      <c r="W618">
        <f>IF($B618="","",IF(OR($S618=TRUE(),$S618="TRUE"),1,0))</f>
        <v/>
      </c>
      <c r="X618">
        <f>IF($U618=1,IFERROR(IF(VALUE($B618)&lt;100000000,VALUE($B618),1000000000),IFERROR(IF(VALUE(MID($B618,2,20))&lt;100000000,VALUE(MID($B618,2,20)),1000000000),1000000000))+ROW()/100000,"")</f>
        <v/>
      </c>
    </row>
    <row r="619">
      <c r="A619">
        <f>IF($B619="","",IFERROR(IF(INDEX('Per Invoice'!$C$2:$C$401,MATCH($B619,'Per Invoice'!$A$2:$A$401,0))=0,"",INDEX('Per Invoice'!$C$2:$C$401,MATCH($B619,'Per Invoice'!$A$2:$A$401,0))),""))</f>
        <v/>
      </c>
      <c r="G619" s="7">
        <f>IF($B619="","",F619*L619/100)</f>
        <v/>
      </c>
      <c r="K619" s="7" t="n"/>
      <c r="L619" s="7" t="n"/>
      <c r="M619" s="7">
        <f>IF($B619="","",L619*T619/100)</f>
        <v/>
      </c>
      <c r="N619" s="7">
        <f>IF($B619="","",L619-M619)</f>
        <v/>
      </c>
      <c r="O619" s="7">
        <f>IF($B619="","",N619-G619)</f>
        <v/>
      </c>
      <c r="R619" s="14" t="n"/>
      <c r="T619">
        <f>IF($B619="","",IF($W619=1,Settings!$C$6,Settings!$C$7)*100)</f>
        <v/>
      </c>
      <c r="U619">
        <f>IF($B619="","",IF(COUNTIF($B$2:$B619,$B619)=1,1,0))</f>
        <v/>
      </c>
      <c r="V619">
        <f>IF($U619=1,SUMPRODUCT(--($X$2:$X$1501&lt;$X619))+1,"")</f>
        <v/>
      </c>
      <c r="W619">
        <f>IF($B619="","",IF(OR($S619=TRUE(),$S619="TRUE"),1,0))</f>
        <v/>
      </c>
      <c r="X619">
        <f>IF($U619=1,IFERROR(IF(VALUE($B619)&lt;100000000,VALUE($B619),1000000000),IFERROR(IF(VALUE(MID($B619,2,20))&lt;100000000,VALUE(MID($B619,2,20)),1000000000),1000000000))+ROW()/100000,"")</f>
        <v/>
      </c>
    </row>
    <row r="620">
      <c r="A620">
        <f>IF($B620="","",IFERROR(IF(INDEX('Per Invoice'!$C$2:$C$401,MATCH($B620,'Per Invoice'!$A$2:$A$401,0))=0,"",INDEX('Per Invoice'!$C$2:$C$401,MATCH($B620,'Per Invoice'!$A$2:$A$401,0))),""))</f>
        <v/>
      </c>
      <c r="G620" s="7">
        <f>IF($B620="","",F620*L620/100)</f>
        <v/>
      </c>
      <c r="K620" s="7" t="n"/>
      <c r="L620" s="7" t="n"/>
      <c r="M620" s="7">
        <f>IF($B620="","",L620*T620/100)</f>
        <v/>
      </c>
      <c r="N620" s="7">
        <f>IF($B620="","",L620-M620)</f>
        <v/>
      </c>
      <c r="O620" s="7">
        <f>IF($B620="","",N620-G620)</f>
        <v/>
      </c>
      <c r="R620" s="14" t="n"/>
      <c r="T620">
        <f>IF($B620="","",IF($W620=1,Settings!$C$6,Settings!$C$7)*100)</f>
        <v/>
      </c>
      <c r="U620">
        <f>IF($B620="","",IF(COUNTIF($B$2:$B620,$B620)=1,1,0))</f>
        <v/>
      </c>
      <c r="V620">
        <f>IF($U620=1,SUMPRODUCT(--($X$2:$X$1501&lt;$X620))+1,"")</f>
        <v/>
      </c>
      <c r="W620">
        <f>IF($B620="","",IF(OR($S620=TRUE(),$S620="TRUE"),1,0))</f>
        <v/>
      </c>
      <c r="X620">
        <f>IF($U620=1,IFERROR(IF(VALUE($B620)&lt;100000000,VALUE($B620),1000000000),IFERROR(IF(VALUE(MID($B620,2,20))&lt;100000000,VALUE(MID($B620,2,20)),1000000000),1000000000))+ROW()/100000,"")</f>
        <v/>
      </c>
    </row>
    <row r="621">
      <c r="A621">
        <f>IF($B621="","",IFERROR(IF(INDEX('Per Invoice'!$C$2:$C$401,MATCH($B621,'Per Invoice'!$A$2:$A$401,0))=0,"",INDEX('Per Invoice'!$C$2:$C$401,MATCH($B621,'Per Invoice'!$A$2:$A$401,0))),""))</f>
        <v/>
      </c>
      <c r="G621" s="7">
        <f>IF($B621="","",F621*L621/100)</f>
        <v/>
      </c>
      <c r="K621" s="7" t="n"/>
      <c r="L621" s="7" t="n"/>
      <c r="M621" s="7">
        <f>IF($B621="","",L621*T621/100)</f>
        <v/>
      </c>
      <c r="N621" s="7">
        <f>IF($B621="","",L621-M621)</f>
        <v/>
      </c>
      <c r="O621" s="7">
        <f>IF($B621="","",N621-G621)</f>
        <v/>
      </c>
      <c r="R621" s="14" t="n"/>
      <c r="T621">
        <f>IF($B621="","",IF($W621=1,Settings!$C$6,Settings!$C$7)*100)</f>
        <v/>
      </c>
      <c r="U621">
        <f>IF($B621="","",IF(COUNTIF($B$2:$B621,$B621)=1,1,0))</f>
        <v/>
      </c>
      <c r="V621">
        <f>IF($U621=1,SUMPRODUCT(--($X$2:$X$1501&lt;$X621))+1,"")</f>
        <v/>
      </c>
      <c r="W621">
        <f>IF($B621="","",IF(OR($S621=TRUE(),$S621="TRUE"),1,0))</f>
        <v/>
      </c>
      <c r="X621">
        <f>IF($U621=1,IFERROR(IF(VALUE($B621)&lt;100000000,VALUE($B621),1000000000),IFERROR(IF(VALUE(MID($B621,2,20))&lt;100000000,VALUE(MID($B621,2,20)),1000000000),1000000000))+ROW()/100000,"")</f>
        <v/>
      </c>
    </row>
    <row r="622">
      <c r="A622">
        <f>IF($B622="","",IFERROR(IF(INDEX('Per Invoice'!$C$2:$C$401,MATCH($B622,'Per Invoice'!$A$2:$A$401,0))=0,"",INDEX('Per Invoice'!$C$2:$C$401,MATCH($B622,'Per Invoice'!$A$2:$A$401,0))),""))</f>
        <v/>
      </c>
      <c r="G622" s="7">
        <f>IF($B622="","",F622*L622/100)</f>
        <v/>
      </c>
      <c r="K622" s="7" t="n"/>
      <c r="L622" s="7" t="n"/>
      <c r="M622" s="7">
        <f>IF($B622="","",L622*T622/100)</f>
        <v/>
      </c>
      <c r="N622" s="7">
        <f>IF($B622="","",L622-M622)</f>
        <v/>
      </c>
      <c r="O622" s="7">
        <f>IF($B622="","",N622-G622)</f>
        <v/>
      </c>
      <c r="R622" s="14" t="n"/>
      <c r="T622">
        <f>IF($B622="","",IF($W622=1,Settings!$C$6,Settings!$C$7)*100)</f>
        <v/>
      </c>
      <c r="U622">
        <f>IF($B622="","",IF(COUNTIF($B$2:$B622,$B622)=1,1,0))</f>
        <v/>
      </c>
      <c r="V622">
        <f>IF($U622=1,SUMPRODUCT(--($X$2:$X$1501&lt;$X622))+1,"")</f>
        <v/>
      </c>
      <c r="W622">
        <f>IF($B622="","",IF(OR($S622=TRUE(),$S622="TRUE"),1,0))</f>
        <v/>
      </c>
      <c r="X622">
        <f>IF($U622=1,IFERROR(IF(VALUE($B622)&lt;100000000,VALUE($B622),1000000000),IFERROR(IF(VALUE(MID($B622,2,20))&lt;100000000,VALUE(MID($B622,2,20)),1000000000),1000000000))+ROW()/100000,"")</f>
        <v/>
      </c>
    </row>
    <row r="623">
      <c r="A623">
        <f>IF($B623="","",IFERROR(IF(INDEX('Per Invoice'!$C$2:$C$401,MATCH($B623,'Per Invoice'!$A$2:$A$401,0))=0,"",INDEX('Per Invoice'!$C$2:$C$401,MATCH($B623,'Per Invoice'!$A$2:$A$401,0))),""))</f>
        <v/>
      </c>
      <c r="G623" s="7">
        <f>IF($B623="","",F623*L623/100)</f>
        <v/>
      </c>
      <c r="K623" s="7" t="n"/>
      <c r="L623" s="7" t="n"/>
      <c r="M623" s="7">
        <f>IF($B623="","",L623*T623/100)</f>
        <v/>
      </c>
      <c r="N623" s="7">
        <f>IF($B623="","",L623-M623)</f>
        <v/>
      </c>
      <c r="O623" s="7">
        <f>IF($B623="","",N623-G623)</f>
        <v/>
      </c>
      <c r="R623" s="14" t="n"/>
      <c r="T623">
        <f>IF($B623="","",IF($W623=1,Settings!$C$6,Settings!$C$7)*100)</f>
        <v/>
      </c>
      <c r="U623">
        <f>IF($B623="","",IF(COUNTIF($B$2:$B623,$B623)=1,1,0))</f>
        <v/>
      </c>
      <c r="V623">
        <f>IF($U623=1,SUMPRODUCT(--($X$2:$X$1501&lt;$X623))+1,"")</f>
        <v/>
      </c>
      <c r="W623">
        <f>IF($B623="","",IF(OR($S623=TRUE(),$S623="TRUE"),1,0))</f>
        <v/>
      </c>
      <c r="X623">
        <f>IF($U623=1,IFERROR(IF(VALUE($B623)&lt;100000000,VALUE($B623),1000000000),IFERROR(IF(VALUE(MID($B623,2,20))&lt;100000000,VALUE(MID($B623,2,20)),1000000000),1000000000))+ROW()/100000,"")</f>
        <v/>
      </c>
    </row>
    <row r="624">
      <c r="A624">
        <f>IF($B624="","",IFERROR(IF(INDEX('Per Invoice'!$C$2:$C$401,MATCH($B624,'Per Invoice'!$A$2:$A$401,0))=0,"",INDEX('Per Invoice'!$C$2:$C$401,MATCH($B624,'Per Invoice'!$A$2:$A$401,0))),""))</f>
        <v/>
      </c>
      <c r="G624" s="7">
        <f>IF($B624="","",F624*L624/100)</f>
        <v/>
      </c>
      <c r="K624" s="7" t="n"/>
      <c r="L624" s="7" t="n"/>
      <c r="M624" s="7">
        <f>IF($B624="","",L624*T624/100)</f>
        <v/>
      </c>
      <c r="N624" s="7">
        <f>IF($B624="","",L624-M624)</f>
        <v/>
      </c>
      <c r="O624" s="7">
        <f>IF($B624="","",N624-G624)</f>
        <v/>
      </c>
      <c r="R624" s="14" t="n"/>
      <c r="T624">
        <f>IF($B624="","",IF($W624=1,Settings!$C$6,Settings!$C$7)*100)</f>
        <v/>
      </c>
      <c r="U624">
        <f>IF($B624="","",IF(COUNTIF($B$2:$B624,$B624)=1,1,0))</f>
        <v/>
      </c>
      <c r="V624">
        <f>IF($U624=1,SUMPRODUCT(--($X$2:$X$1501&lt;$X624))+1,"")</f>
        <v/>
      </c>
      <c r="W624">
        <f>IF($B624="","",IF(OR($S624=TRUE(),$S624="TRUE"),1,0))</f>
        <v/>
      </c>
      <c r="X624">
        <f>IF($U624=1,IFERROR(IF(VALUE($B624)&lt;100000000,VALUE($B624),1000000000),IFERROR(IF(VALUE(MID($B624,2,20))&lt;100000000,VALUE(MID($B624,2,20)),1000000000),1000000000))+ROW()/100000,"")</f>
        <v/>
      </c>
    </row>
    <row r="625">
      <c r="A625">
        <f>IF($B625="","",IFERROR(IF(INDEX('Per Invoice'!$C$2:$C$401,MATCH($B625,'Per Invoice'!$A$2:$A$401,0))=0,"",INDEX('Per Invoice'!$C$2:$C$401,MATCH($B625,'Per Invoice'!$A$2:$A$401,0))),""))</f>
        <v/>
      </c>
      <c r="G625" s="7">
        <f>IF($B625="","",F625*L625/100)</f>
        <v/>
      </c>
      <c r="K625" s="7" t="n"/>
      <c r="L625" s="7" t="n"/>
      <c r="M625" s="7">
        <f>IF($B625="","",L625*T625/100)</f>
        <v/>
      </c>
      <c r="N625" s="7">
        <f>IF($B625="","",L625-M625)</f>
        <v/>
      </c>
      <c r="O625" s="7">
        <f>IF($B625="","",N625-G625)</f>
        <v/>
      </c>
      <c r="R625" s="14" t="n"/>
      <c r="T625">
        <f>IF($B625="","",IF($W625=1,Settings!$C$6,Settings!$C$7)*100)</f>
        <v/>
      </c>
      <c r="U625">
        <f>IF($B625="","",IF(COUNTIF($B$2:$B625,$B625)=1,1,0))</f>
        <v/>
      </c>
      <c r="V625">
        <f>IF($U625=1,SUMPRODUCT(--($X$2:$X$1501&lt;$X625))+1,"")</f>
        <v/>
      </c>
      <c r="W625">
        <f>IF($B625="","",IF(OR($S625=TRUE(),$S625="TRUE"),1,0))</f>
        <v/>
      </c>
      <c r="X625">
        <f>IF($U625=1,IFERROR(IF(VALUE($B625)&lt;100000000,VALUE($B625),1000000000),IFERROR(IF(VALUE(MID($B625,2,20))&lt;100000000,VALUE(MID($B625,2,20)),1000000000),1000000000))+ROW()/100000,"")</f>
        <v/>
      </c>
    </row>
    <row r="626">
      <c r="A626">
        <f>IF($B626="","",IFERROR(IF(INDEX('Per Invoice'!$C$2:$C$401,MATCH($B626,'Per Invoice'!$A$2:$A$401,0))=0,"",INDEX('Per Invoice'!$C$2:$C$401,MATCH($B626,'Per Invoice'!$A$2:$A$401,0))),""))</f>
        <v/>
      </c>
      <c r="G626" s="7">
        <f>IF($B626="","",F626*L626/100)</f>
        <v/>
      </c>
      <c r="K626" s="7" t="n"/>
      <c r="L626" s="7" t="n"/>
      <c r="M626" s="7">
        <f>IF($B626="","",L626*T626/100)</f>
        <v/>
      </c>
      <c r="N626" s="7">
        <f>IF($B626="","",L626-M626)</f>
        <v/>
      </c>
      <c r="O626" s="7">
        <f>IF($B626="","",N626-G626)</f>
        <v/>
      </c>
      <c r="R626" s="14" t="n"/>
      <c r="T626">
        <f>IF($B626="","",IF($W626=1,Settings!$C$6,Settings!$C$7)*100)</f>
        <v/>
      </c>
      <c r="U626">
        <f>IF($B626="","",IF(COUNTIF($B$2:$B626,$B626)=1,1,0))</f>
        <v/>
      </c>
      <c r="V626">
        <f>IF($U626=1,SUMPRODUCT(--($X$2:$X$1501&lt;$X626))+1,"")</f>
        <v/>
      </c>
      <c r="W626">
        <f>IF($B626="","",IF(OR($S626=TRUE(),$S626="TRUE"),1,0))</f>
        <v/>
      </c>
      <c r="X626">
        <f>IF($U626=1,IFERROR(IF(VALUE($B626)&lt;100000000,VALUE($B626),1000000000),IFERROR(IF(VALUE(MID($B626,2,20))&lt;100000000,VALUE(MID($B626,2,20)),1000000000),1000000000))+ROW()/100000,"")</f>
        <v/>
      </c>
    </row>
    <row r="627">
      <c r="A627">
        <f>IF($B627="","",IFERROR(IF(INDEX('Per Invoice'!$C$2:$C$401,MATCH($B627,'Per Invoice'!$A$2:$A$401,0))=0,"",INDEX('Per Invoice'!$C$2:$C$401,MATCH($B627,'Per Invoice'!$A$2:$A$401,0))),""))</f>
        <v/>
      </c>
      <c r="G627" s="7">
        <f>IF($B627="","",F627*L627/100)</f>
        <v/>
      </c>
      <c r="K627" s="7" t="n"/>
      <c r="L627" s="7" t="n"/>
      <c r="M627" s="7">
        <f>IF($B627="","",L627*T627/100)</f>
        <v/>
      </c>
      <c r="N627" s="7">
        <f>IF($B627="","",L627-M627)</f>
        <v/>
      </c>
      <c r="O627" s="7">
        <f>IF($B627="","",N627-G627)</f>
        <v/>
      </c>
      <c r="R627" s="14" t="n"/>
      <c r="T627">
        <f>IF($B627="","",IF($W627=1,Settings!$C$6,Settings!$C$7)*100)</f>
        <v/>
      </c>
      <c r="U627">
        <f>IF($B627="","",IF(COUNTIF($B$2:$B627,$B627)=1,1,0))</f>
        <v/>
      </c>
      <c r="V627">
        <f>IF($U627=1,SUMPRODUCT(--($X$2:$X$1501&lt;$X627))+1,"")</f>
        <v/>
      </c>
      <c r="W627">
        <f>IF($B627="","",IF(OR($S627=TRUE(),$S627="TRUE"),1,0))</f>
        <v/>
      </c>
      <c r="X627">
        <f>IF($U627=1,IFERROR(IF(VALUE($B627)&lt;100000000,VALUE($B627),1000000000),IFERROR(IF(VALUE(MID($B627,2,20))&lt;100000000,VALUE(MID($B627,2,20)),1000000000),1000000000))+ROW()/100000,"")</f>
        <v/>
      </c>
    </row>
    <row r="628">
      <c r="A628">
        <f>IF($B628="","",IFERROR(IF(INDEX('Per Invoice'!$C$2:$C$401,MATCH($B628,'Per Invoice'!$A$2:$A$401,0))=0,"",INDEX('Per Invoice'!$C$2:$C$401,MATCH($B628,'Per Invoice'!$A$2:$A$401,0))),""))</f>
        <v/>
      </c>
      <c r="G628" s="7">
        <f>IF($B628="","",F628*L628/100)</f>
        <v/>
      </c>
      <c r="K628" s="7" t="n"/>
      <c r="L628" s="7" t="n"/>
      <c r="M628" s="7">
        <f>IF($B628="","",L628*T628/100)</f>
        <v/>
      </c>
      <c r="N628" s="7">
        <f>IF($B628="","",L628-M628)</f>
        <v/>
      </c>
      <c r="O628" s="7">
        <f>IF($B628="","",N628-G628)</f>
        <v/>
      </c>
      <c r="R628" s="14" t="n"/>
      <c r="T628">
        <f>IF($B628="","",IF($W628=1,Settings!$C$6,Settings!$C$7)*100)</f>
        <v/>
      </c>
      <c r="U628">
        <f>IF($B628="","",IF(COUNTIF($B$2:$B628,$B628)=1,1,0))</f>
        <v/>
      </c>
      <c r="V628">
        <f>IF($U628=1,SUMPRODUCT(--($X$2:$X$1501&lt;$X628))+1,"")</f>
        <v/>
      </c>
      <c r="W628">
        <f>IF($B628="","",IF(OR($S628=TRUE(),$S628="TRUE"),1,0))</f>
        <v/>
      </c>
      <c r="X628">
        <f>IF($U628=1,IFERROR(IF(VALUE($B628)&lt;100000000,VALUE($B628),1000000000),IFERROR(IF(VALUE(MID($B628,2,20))&lt;100000000,VALUE(MID($B628,2,20)),1000000000),1000000000))+ROW()/100000,"")</f>
        <v/>
      </c>
    </row>
    <row r="629">
      <c r="A629">
        <f>IF($B629="","",IFERROR(IF(INDEX('Per Invoice'!$C$2:$C$401,MATCH($B629,'Per Invoice'!$A$2:$A$401,0))=0,"",INDEX('Per Invoice'!$C$2:$C$401,MATCH($B629,'Per Invoice'!$A$2:$A$401,0))),""))</f>
        <v/>
      </c>
      <c r="G629" s="7">
        <f>IF($B629="","",F629*L629/100)</f>
        <v/>
      </c>
      <c r="K629" s="7" t="n"/>
      <c r="L629" s="7" t="n"/>
      <c r="M629" s="7">
        <f>IF($B629="","",L629*T629/100)</f>
        <v/>
      </c>
      <c r="N629" s="7">
        <f>IF($B629="","",L629-M629)</f>
        <v/>
      </c>
      <c r="O629" s="7">
        <f>IF($B629="","",N629-G629)</f>
        <v/>
      </c>
      <c r="R629" s="14" t="n"/>
      <c r="T629">
        <f>IF($B629="","",IF($W629=1,Settings!$C$6,Settings!$C$7)*100)</f>
        <v/>
      </c>
      <c r="U629">
        <f>IF($B629="","",IF(COUNTIF($B$2:$B629,$B629)=1,1,0))</f>
        <v/>
      </c>
      <c r="V629">
        <f>IF($U629=1,SUMPRODUCT(--($X$2:$X$1501&lt;$X629))+1,"")</f>
        <v/>
      </c>
      <c r="W629">
        <f>IF($B629="","",IF(OR($S629=TRUE(),$S629="TRUE"),1,0))</f>
        <v/>
      </c>
      <c r="X629">
        <f>IF($U629=1,IFERROR(IF(VALUE($B629)&lt;100000000,VALUE($B629),1000000000),IFERROR(IF(VALUE(MID($B629,2,20))&lt;100000000,VALUE(MID($B629,2,20)),1000000000),1000000000))+ROW()/100000,"")</f>
        <v/>
      </c>
    </row>
    <row r="630">
      <c r="A630">
        <f>IF($B630="","",IFERROR(IF(INDEX('Per Invoice'!$C$2:$C$401,MATCH($B630,'Per Invoice'!$A$2:$A$401,0))=0,"",INDEX('Per Invoice'!$C$2:$C$401,MATCH($B630,'Per Invoice'!$A$2:$A$401,0))),""))</f>
        <v/>
      </c>
      <c r="G630" s="7">
        <f>IF($B630="","",F630*L630/100)</f>
        <v/>
      </c>
      <c r="K630" s="7" t="n"/>
      <c r="L630" s="7" t="n"/>
      <c r="M630" s="7">
        <f>IF($B630="","",L630*T630/100)</f>
        <v/>
      </c>
      <c r="N630" s="7">
        <f>IF($B630="","",L630-M630)</f>
        <v/>
      </c>
      <c r="O630" s="7">
        <f>IF($B630="","",N630-G630)</f>
        <v/>
      </c>
      <c r="R630" s="14" t="n"/>
      <c r="T630">
        <f>IF($B630="","",IF($W630=1,Settings!$C$6,Settings!$C$7)*100)</f>
        <v/>
      </c>
      <c r="U630">
        <f>IF($B630="","",IF(COUNTIF($B$2:$B630,$B630)=1,1,0))</f>
        <v/>
      </c>
      <c r="V630">
        <f>IF($U630=1,SUMPRODUCT(--($X$2:$X$1501&lt;$X630))+1,"")</f>
        <v/>
      </c>
      <c r="W630">
        <f>IF($B630="","",IF(OR($S630=TRUE(),$S630="TRUE"),1,0))</f>
        <v/>
      </c>
      <c r="X630">
        <f>IF($U630=1,IFERROR(IF(VALUE($B630)&lt;100000000,VALUE($B630),1000000000),IFERROR(IF(VALUE(MID($B630,2,20))&lt;100000000,VALUE(MID($B630,2,20)),1000000000),1000000000))+ROW()/100000,"")</f>
        <v/>
      </c>
    </row>
    <row r="631">
      <c r="A631">
        <f>IF($B631="","",IFERROR(IF(INDEX('Per Invoice'!$C$2:$C$401,MATCH($B631,'Per Invoice'!$A$2:$A$401,0))=0,"",INDEX('Per Invoice'!$C$2:$C$401,MATCH($B631,'Per Invoice'!$A$2:$A$401,0))),""))</f>
        <v/>
      </c>
      <c r="G631" s="7">
        <f>IF($B631="","",F631*L631/100)</f>
        <v/>
      </c>
      <c r="K631" s="7" t="n"/>
      <c r="L631" s="7" t="n"/>
      <c r="M631" s="7">
        <f>IF($B631="","",L631*T631/100)</f>
        <v/>
      </c>
      <c r="N631" s="7">
        <f>IF($B631="","",L631-M631)</f>
        <v/>
      </c>
      <c r="O631" s="7">
        <f>IF($B631="","",N631-G631)</f>
        <v/>
      </c>
      <c r="R631" s="14" t="n"/>
      <c r="T631">
        <f>IF($B631="","",IF($W631=1,Settings!$C$6,Settings!$C$7)*100)</f>
        <v/>
      </c>
      <c r="U631">
        <f>IF($B631="","",IF(COUNTIF($B$2:$B631,$B631)=1,1,0))</f>
        <v/>
      </c>
      <c r="V631">
        <f>IF($U631=1,SUMPRODUCT(--($X$2:$X$1501&lt;$X631))+1,"")</f>
        <v/>
      </c>
      <c r="W631">
        <f>IF($B631="","",IF(OR($S631=TRUE(),$S631="TRUE"),1,0))</f>
        <v/>
      </c>
      <c r="X631">
        <f>IF($U631=1,IFERROR(IF(VALUE($B631)&lt;100000000,VALUE($B631),1000000000),IFERROR(IF(VALUE(MID($B631,2,20))&lt;100000000,VALUE(MID($B631,2,20)),1000000000),1000000000))+ROW()/100000,"")</f>
        <v/>
      </c>
    </row>
    <row r="632">
      <c r="A632">
        <f>IF($B632="","",IFERROR(IF(INDEX('Per Invoice'!$C$2:$C$401,MATCH($B632,'Per Invoice'!$A$2:$A$401,0))=0,"",INDEX('Per Invoice'!$C$2:$C$401,MATCH($B632,'Per Invoice'!$A$2:$A$401,0))),""))</f>
        <v/>
      </c>
      <c r="G632" s="7">
        <f>IF($B632="","",F632*L632/100)</f>
        <v/>
      </c>
      <c r="K632" s="7" t="n"/>
      <c r="L632" s="7" t="n"/>
      <c r="M632" s="7">
        <f>IF($B632="","",L632*T632/100)</f>
        <v/>
      </c>
      <c r="N632" s="7">
        <f>IF($B632="","",L632-M632)</f>
        <v/>
      </c>
      <c r="O632" s="7">
        <f>IF($B632="","",N632-G632)</f>
        <v/>
      </c>
      <c r="R632" s="14" t="n"/>
      <c r="T632">
        <f>IF($B632="","",IF($W632=1,Settings!$C$6,Settings!$C$7)*100)</f>
        <v/>
      </c>
      <c r="U632">
        <f>IF($B632="","",IF(COUNTIF($B$2:$B632,$B632)=1,1,0))</f>
        <v/>
      </c>
      <c r="V632">
        <f>IF($U632=1,SUMPRODUCT(--($X$2:$X$1501&lt;$X632))+1,"")</f>
        <v/>
      </c>
      <c r="W632">
        <f>IF($B632="","",IF(OR($S632=TRUE(),$S632="TRUE"),1,0))</f>
        <v/>
      </c>
      <c r="X632">
        <f>IF($U632=1,IFERROR(IF(VALUE($B632)&lt;100000000,VALUE($B632),1000000000),IFERROR(IF(VALUE(MID($B632,2,20))&lt;100000000,VALUE(MID($B632,2,20)),1000000000),1000000000))+ROW()/100000,"")</f>
        <v/>
      </c>
    </row>
    <row r="633">
      <c r="A633">
        <f>IF($B633="","",IFERROR(IF(INDEX('Per Invoice'!$C$2:$C$401,MATCH($B633,'Per Invoice'!$A$2:$A$401,0))=0,"",INDEX('Per Invoice'!$C$2:$C$401,MATCH($B633,'Per Invoice'!$A$2:$A$401,0))),""))</f>
        <v/>
      </c>
      <c r="G633" s="7">
        <f>IF($B633="","",F633*L633/100)</f>
        <v/>
      </c>
      <c r="K633" s="7" t="n"/>
      <c r="L633" s="7" t="n"/>
      <c r="M633" s="7">
        <f>IF($B633="","",L633*T633/100)</f>
        <v/>
      </c>
      <c r="N633" s="7">
        <f>IF($B633="","",L633-M633)</f>
        <v/>
      </c>
      <c r="O633" s="7">
        <f>IF($B633="","",N633-G633)</f>
        <v/>
      </c>
      <c r="R633" s="14" t="n"/>
      <c r="T633">
        <f>IF($B633="","",IF($W633=1,Settings!$C$6,Settings!$C$7)*100)</f>
        <v/>
      </c>
      <c r="U633">
        <f>IF($B633="","",IF(COUNTIF($B$2:$B633,$B633)=1,1,0))</f>
        <v/>
      </c>
      <c r="V633">
        <f>IF($U633=1,SUMPRODUCT(--($X$2:$X$1501&lt;$X633))+1,"")</f>
        <v/>
      </c>
      <c r="W633">
        <f>IF($B633="","",IF(OR($S633=TRUE(),$S633="TRUE"),1,0))</f>
        <v/>
      </c>
      <c r="X633">
        <f>IF($U633=1,IFERROR(IF(VALUE($B633)&lt;100000000,VALUE($B633),1000000000),IFERROR(IF(VALUE(MID($B633,2,20))&lt;100000000,VALUE(MID($B633,2,20)),1000000000),1000000000))+ROW()/100000,"")</f>
        <v/>
      </c>
    </row>
    <row r="634">
      <c r="A634">
        <f>IF($B634="","",IFERROR(IF(INDEX('Per Invoice'!$C$2:$C$401,MATCH($B634,'Per Invoice'!$A$2:$A$401,0))=0,"",INDEX('Per Invoice'!$C$2:$C$401,MATCH($B634,'Per Invoice'!$A$2:$A$401,0))),""))</f>
        <v/>
      </c>
      <c r="G634" s="7">
        <f>IF($B634="","",F634*L634/100)</f>
        <v/>
      </c>
      <c r="K634" s="7" t="n"/>
      <c r="L634" s="7" t="n"/>
      <c r="M634" s="7">
        <f>IF($B634="","",L634*T634/100)</f>
        <v/>
      </c>
      <c r="N634" s="7">
        <f>IF($B634="","",L634-M634)</f>
        <v/>
      </c>
      <c r="O634" s="7">
        <f>IF($B634="","",N634-G634)</f>
        <v/>
      </c>
      <c r="R634" s="14" t="n"/>
      <c r="T634">
        <f>IF($B634="","",IF($W634=1,Settings!$C$6,Settings!$C$7)*100)</f>
        <v/>
      </c>
      <c r="U634">
        <f>IF($B634="","",IF(COUNTIF($B$2:$B634,$B634)=1,1,0))</f>
        <v/>
      </c>
      <c r="V634">
        <f>IF($U634=1,SUMPRODUCT(--($X$2:$X$1501&lt;$X634))+1,"")</f>
        <v/>
      </c>
      <c r="W634">
        <f>IF($B634="","",IF(OR($S634=TRUE(),$S634="TRUE"),1,0))</f>
        <v/>
      </c>
      <c r="X634">
        <f>IF($U634=1,IFERROR(IF(VALUE($B634)&lt;100000000,VALUE($B634),1000000000),IFERROR(IF(VALUE(MID($B634,2,20))&lt;100000000,VALUE(MID($B634,2,20)),1000000000),1000000000))+ROW()/100000,"")</f>
        <v/>
      </c>
    </row>
    <row r="635">
      <c r="A635">
        <f>IF($B635="","",IFERROR(IF(INDEX('Per Invoice'!$C$2:$C$401,MATCH($B635,'Per Invoice'!$A$2:$A$401,0))=0,"",INDEX('Per Invoice'!$C$2:$C$401,MATCH($B635,'Per Invoice'!$A$2:$A$401,0))),""))</f>
        <v/>
      </c>
      <c r="G635" s="7">
        <f>IF($B635="","",F635*L635/100)</f>
        <v/>
      </c>
      <c r="K635" s="7" t="n"/>
      <c r="L635" s="7" t="n"/>
      <c r="M635" s="7">
        <f>IF($B635="","",L635*T635/100)</f>
        <v/>
      </c>
      <c r="N635" s="7">
        <f>IF($B635="","",L635-M635)</f>
        <v/>
      </c>
      <c r="O635" s="7">
        <f>IF($B635="","",N635-G635)</f>
        <v/>
      </c>
      <c r="R635" s="14" t="n"/>
      <c r="T635">
        <f>IF($B635="","",IF($W635=1,Settings!$C$6,Settings!$C$7)*100)</f>
        <v/>
      </c>
      <c r="U635">
        <f>IF($B635="","",IF(COUNTIF($B$2:$B635,$B635)=1,1,0))</f>
        <v/>
      </c>
      <c r="V635">
        <f>IF($U635=1,SUMPRODUCT(--($X$2:$X$1501&lt;$X635))+1,"")</f>
        <v/>
      </c>
      <c r="W635">
        <f>IF($B635="","",IF(OR($S635=TRUE(),$S635="TRUE"),1,0))</f>
        <v/>
      </c>
      <c r="X635">
        <f>IF($U635=1,IFERROR(IF(VALUE($B635)&lt;100000000,VALUE($B635),1000000000),IFERROR(IF(VALUE(MID($B635,2,20))&lt;100000000,VALUE(MID($B635,2,20)),1000000000),1000000000))+ROW()/100000,"")</f>
        <v/>
      </c>
    </row>
    <row r="636">
      <c r="A636">
        <f>IF($B636="","",IFERROR(IF(INDEX('Per Invoice'!$C$2:$C$401,MATCH($B636,'Per Invoice'!$A$2:$A$401,0))=0,"",INDEX('Per Invoice'!$C$2:$C$401,MATCH($B636,'Per Invoice'!$A$2:$A$401,0))),""))</f>
        <v/>
      </c>
      <c r="G636" s="7">
        <f>IF($B636="","",F636*L636/100)</f>
        <v/>
      </c>
      <c r="K636" s="7" t="n"/>
      <c r="L636" s="7" t="n"/>
      <c r="M636" s="7">
        <f>IF($B636="","",L636*T636/100)</f>
        <v/>
      </c>
      <c r="N636" s="7">
        <f>IF($B636="","",L636-M636)</f>
        <v/>
      </c>
      <c r="O636" s="7">
        <f>IF($B636="","",N636-G636)</f>
        <v/>
      </c>
      <c r="R636" s="14" t="n"/>
      <c r="T636">
        <f>IF($B636="","",IF($W636=1,Settings!$C$6,Settings!$C$7)*100)</f>
        <v/>
      </c>
      <c r="U636">
        <f>IF($B636="","",IF(COUNTIF($B$2:$B636,$B636)=1,1,0))</f>
        <v/>
      </c>
      <c r="V636">
        <f>IF($U636=1,SUMPRODUCT(--($X$2:$X$1501&lt;$X636))+1,"")</f>
        <v/>
      </c>
      <c r="W636">
        <f>IF($B636="","",IF(OR($S636=TRUE(),$S636="TRUE"),1,0))</f>
        <v/>
      </c>
      <c r="X636">
        <f>IF($U636=1,IFERROR(IF(VALUE($B636)&lt;100000000,VALUE($B636),1000000000),IFERROR(IF(VALUE(MID($B636,2,20))&lt;100000000,VALUE(MID($B636,2,20)),1000000000),1000000000))+ROW()/100000,"")</f>
        <v/>
      </c>
    </row>
    <row r="637">
      <c r="A637">
        <f>IF($B637="","",IFERROR(IF(INDEX('Per Invoice'!$C$2:$C$401,MATCH($B637,'Per Invoice'!$A$2:$A$401,0))=0,"",INDEX('Per Invoice'!$C$2:$C$401,MATCH($B637,'Per Invoice'!$A$2:$A$401,0))),""))</f>
        <v/>
      </c>
      <c r="G637" s="7">
        <f>IF($B637="","",F637*L637/100)</f>
        <v/>
      </c>
      <c r="K637" s="7" t="n"/>
      <c r="L637" s="7" t="n"/>
      <c r="M637" s="7">
        <f>IF($B637="","",L637*T637/100)</f>
        <v/>
      </c>
      <c r="N637" s="7">
        <f>IF($B637="","",L637-M637)</f>
        <v/>
      </c>
      <c r="O637" s="7">
        <f>IF($B637="","",N637-G637)</f>
        <v/>
      </c>
      <c r="R637" s="14" t="n"/>
      <c r="T637">
        <f>IF($B637="","",IF($W637=1,Settings!$C$6,Settings!$C$7)*100)</f>
        <v/>
      </c>
      <c r="U637">
        <f>IF($B637="","",IF(COUNTIF($B$2:$B637,$B637)=1,1,0))</f>
        <v/>
      </c>
      <c r="V637">
        <f>IF($U637=1,SUMPRODUCT(--($X$2:$X$1501&lt;$X637))+1,"")</f>
        <v/>
      </c>
      <c r="W637">
        <f>IF($B637="","",IF(OR($S637=TRUE(),$S637="TRUE"),1,0))</f>
        <v/>
      </c>
      <c r="X637">
        <f>IF($U637=1,IFERROR(IF(VALUE($B637)&lt;100000000,VALUE($B637),1000000000),IFERROR(IF(VALUE(MID($B637,2,20))&lt;100000000,VALUE(MID($B637,2,20)),1000000000),1000000000))+ROW()/100000,"")</f>
        <v/>
      </c>
    </row>
    <row r="638">
      <c r="A638">
        <f>IF($B638="","",IFERROR(IF(INDEX('Per Invoice'!$C$2:$C$401,MATCH($B638,'Per Invoice'!$A$2:$A$401,0))=0,"",INDEX('Per Invoice'!$C$2:$C$401,MATCH($B638,'Per Invoice'!$A$2:$A$401,0))),""))</f>
        <v/>
      </c>
      <c r="G638" s="7">
        <f>IF($B638="","",F638*L638/100)</f>
        <v/>
      </c>
      <c r="K638" s="7" t="n"/>
      <c r="L638" s="7" t="n"/>
      <c r="M638" s="7">
        <f>IF($B638="","",L638*T638/100)</f>
        <v/>
      </c>
      <c r="N638" s="7">
        <f>IF($B638="","",L638-M638)</f>
        <v/>
      </c>
      <c r="O638" s="7">
        <f>IF($B638="","",N638-G638)</f>
        <v/>
      </c>
      <c r="R638" s="14" t="n"/>
      <c r="T638">
        <f>IF($B638="","",IF($W638=1,Settings!$C$6,Settings!$C$7)*100)</f>
        <v/>
      </c>
      <c r="U638">
        <f>IF($B638="","",IF(COUNTIF($B$2:$B638,$B638)=1,1,0))</f>
        <v/>
      </c>
      <c r="V638">
        <f>IF($U638=1,SUMPRODUCT(--($X$2:$X$1501&lt;$X638))+1,"")</f>
        <v/>
      </c>
      <c r="W638">
        <f>IF($B638="","",IF(OR($S638=TRUE(),$S638="TRUE"),1,0))</f>
        <v/>
      </c>
      <c r="X638">
        <f>IF($U638=1,IFERROR(IF(VALUE($B638)&lt;100000000,VALUE($B638),1000000000),IFERROR(IF(VALUE(MID($B638,2,20))&lt;100000000,VALUE(MID($B638,2,20)),1000000000),1000000000))+ROW()/100000,"")</f>
        <v/>
      </c>
    </row>
    <row r="639">
      <c r="A639">
        <f>IF($B639="","",IFERROR(IF(INDEX('Per Invoice'!$C$2:$C$401,MATCH($B639,'Per Invoice'!$A$2:$A$401,0))=0,"",INDEX('Per Invoice'!$C$2:$C$401,MATCH($B639,'Per Invoice'!$A$2:$A$401,0))),""))</f>
        <v/>
      </c>
      <c r="G639" s="7">
        <f>IF($B639="","",F639*L639/100)</f>
        <v/>
      </c>
      <c r="K639" s="7" t="n"/>
      <c r="L639" s="7" t="n"/>
      <c r="M639" s="7">
        <f>IF($B639="","",L639*T639/100)</f>
        <v/>
      </c>
      <c r="N639" s="7">
        <f>IF($B639="","",L639-M639)</f>
        <v/>
      </c>
      <c r="O639" s="7">
        <f>IF($B639="","",N639-G639)</f>
        <v/>
      </c>
      <c r="R639" s="14" t="n"/>
      <c r="T639">
        <f>IF($B639="","",IF($W639=1,Settings!$C$6,Settings!$C$7)*100)</f>
        <v/>
      </c>
      <c r="U639">
        <f>IF($B639="","",IF(COUNTIF($B$2:$B639,$B639)=1,1,0))</f>
        <v/>
      </c>
      <c r="V639">
        <f>IF($U639=1,SUMPRODUCT(--($X$2:$X$1501&lt;$X639))+1,"")</f>
        <v/>
      </c>
      <c r="W639">
        <f>IF($B639="","",IF(OR($S639=TRUE(),$S639="TRUE"),1,0))</f>
        <v/>
      </c>
      <c r="X639">
        <f>IF($U639=1,IFERROR(IF(VALUE($B639)&lt;100000000,VALUE($B639),1000000000),IFERROR(IF(VALUE(MID($B639,2,20))&lt;100000000,VALUE(MID($B639,2,20)),1000000000),1000000000))+ROW()/100000,"")</f>
        <v/>
      </c>
    </row>
    <row r="640">
      <c r="A640">
        <f>IF($B640="","",IFERROR(IF(INDEX('Per Invoice'!$C$2:$C$401,MATCH($B640,'Per Invoice'!$A$2:$A$401,0))=0,"",INDEX('Per Invoice'!$C$2:$C$401,MATCH($B640,'Per Invoice'!$A$2:$A$401,0))),""))</f>
        <v/>
      </c>
      <c r="G640" s="7">
        <f>IF($B640="","",F640*L640/100)</f>
        <v/>
      </c>
      <c r="K640" s="7" t="n"/>
      <c r="L640" s="7" t="n"/>
      <c r="M640" s="7">
        <f>IF($B640="","",L640*T640/100)</f>
        <v/>
      </c>
      <c r="N640" s="7">
        <f>IF($B640="","",L640-M640)</f>
        <v/>
      </c>
      <c r="O640" s="7">
        <f>IF($B640="","",N640-G640)</f>
        <v/>
      </c>
      <c r="R640" s="14" t="n"/>
      <c r="T640">
        <f>IF($B640="","",IF($W640=1,Settings!$C$6,Settings!$C$7)*100)</f>
        <v/>
      </c>
      <c r="U640">
        <f>IF($B640="","",IF(COUNTIF($B$2:$B640,$B640)=1,1,0))</f>
        <v/>
      </c>
      <c r="V640">
        <f>IF($U640=1,SUMPRODUCT(--($X$2:$X$1501&lt;$X640))+1,"")</f>
        <v/>
      </c>
      <c r="W640">
        <f>IF($B640="","",IF(OR($S640=TRUE(),$S640="TRUE"),1,0))</f>
        <v/>
      </c>
      <c r="X640">
        <f>IF($U640=1,IFERROR(IF(VALUE($B640)&lt;100000000,VALUE($B640),1000000000),IFERROR(IF(VALUE(MID($B640,2,20))&lt;100000000,VALUE(MID($B640,2,20)),1000000000),1000000000))+ROW()/100000,"")</f>
        <v/>
      </c>
    </row>
    <row r="641">
      <c r="A641">
        <f>IF($B641="","",IFERROR(IF(INDEX('Per Invoice'!$C$2:$C$401,MATCH($B641,'Per Invoice'!$A$2:$A$401,0))=0,"",INDEX('Per Invoice'!$C$2:$C$401,MATCH($B641,'Per Invoice'!$A$2:$A$401,0))),""))</f>
        <v/>
      </c>
      <c r="G641" s="7">
        <f>IF($B641="","",F641*L641/100)</f>
        <v/>
      </c>
      <c r="K641" s="7" t="n"/>
      <c r="L641" s="7" t="n"/>
      <c r="M641" s="7">
        <f>IF($B641="","",L641*T641/100)</f>
        <v/>
      </c>
      <c r="N641" s="7">
        <f>IF($B641="","",L641-M641)</f>
        <v/>
      </c>
      <c r="O641" s="7">
        <f>IF($B641="","",N641-G641)</f>
        <v/>
      </c>
      <c r="R641" s="14" t="n"/>
      <c r="T641">
        <f>IF($B641="","",IF($W641=1,Settings!$C$6,Settings!$C$7)*100)</f>
        <v/>
      </c>
      <c r="U641">
        <f>IF($B641="","",IF(COUNTIF($B$2:$B641,$B641)=1,1,0))</f>
        <v/>
      </c>
      <c r="V641">
        <f>IF($U641=1,SUMPRODUCT(--($X$2:$X$1501&lt;$X641))+1,"")</f>
        <v/>
      </c>
      <c r="W641">
        <f>IF($B641="","",IF(OR($S641=TRUE(),$S641="TRUE"),1,0))</f>
        <v/>
      </c>
      <c r="X641">
        <f>IF($U641=1,IFERROR(IF(VALUE($B641)&lt;100000000,VALUE($B641),1000000000),IFERROR(IF(VALUE(MID($B641,2,20))&lt;100000000,VALUE(MID($B641,2,20)),1000000000),1000000000))+ROW()/100000,"")</f>
        <v/>
      </c>
    </row>
    <row r="642">
      <c r="A642">
        <f>IF($B642="","",IFERROR(IF(INDEX('Per Invoice'!$C$2:$C$401,MATCH($B642,'Per Invoice'!$A$2:$A$401,0))=0,"",INDEX('Per Invoice'!$C$2:$C$401,MATCH($B642,'Per Invoice'!$A$2:$A$401,0))),""))</f>
        <v/>
      </c>
      <c r="G642" s="7">
        <f>IF($B642="","",F642*L642/100)</f>
        <v/>
      </c>
      <c r="K642" s="7" t="n"/>
      <c r="L642" s="7" t="n"/>
      <c r="M642" s="7">
        <f>IF($B642="","",L642*T642/100)</f>
        <v/>
      </c>
      <c r="N642" s="7">
        <f>IF($B642="","",L642-M642)</f>
        <v/>
      </c>
      <c r="O642" s="7">
        <f>IF($B642="","",N642-G642)</f>
        <v/>
      </c>
      <c r="R642" s="14" t="n"/>
      <c r="T642">
        <f>IF($B642="","",IF($W642=1,Settings!$C$6,Settings!$C$7)*100)</f>
        <v/>
      </c>
      <c r="U642">
        <f>IF($B642="","",IF(COUNTIF($B$2:$B642,$B642)=1,1,0))</f>
        <v/>
      </c>
      <c r="V642">
        <f>IF($U642=1,SUMPRODUCT(--($X$2:$X$1501&lt;$X642))+1,"")</f>
        <v/>
      </c>
      <c r="W642">
        <f>IF($B642="","",IF(OR($S642=TRUE(),$S642="TRUE"),1,0))</f>
        <v/>
      </c>
      <c r="X642">
        <f>IF($U642=1,IFERROR(IF(VALUE($B642)&lt;100000000,VALUE($B642),1000000000),IFERROR(IF(VALUE(MID($B642,2,20))&lt;100000000,VALUE(MID($B642,2,20)),1000000000),1000000000))+ROW()/100000,"")</f>
        <v/>
      </c>
    </row>
    <row r="643">
      <c r="A643">
        <f>IF($B643="","",IFERROR(IF(INDEX('Per Invoice'!$C$2:$C$401,MATCH($B643,'Per Invoice'!$A$2:$A$401,0))=0,"",INDEX('Per Invoice'!$C$2:$C$401,MATCH($B643,'Per Invoice'!$A$2:$A$401,0))),""))</f>
        <v/>
      </c>
      <c r="G643" s="7">
        <f>IF($B643="","",F643*L643/100)</f>
        <v/>
      </c>
      <c r="K643" s="7" t="n"/>
      <c r="L643" s="7" t="n"/>
      <c r="M643" s="7">
        <f>IF($B643="","",L643*T643/100)</f>
        <v/>
      </c>
      <c r="N643" s="7">
        <f>IF($B643="","",L643-M643)</f>
        <v/>
      </c>
      <c r="O643" s="7">
        <f>IF($B643="","",N643-G643)</f>
        <v/>
      </c>
      <c r="R643" s="14" t="n"/>
      <c r="T643">
        <f>IF($B643="","",IF($W643=1,Settings!$C$6,Settings!$C$7)*100)</f>
        <v/>
      </c>
      <c r="U643">
        <f>IF($B643="","",IF(COUNTIF($B$2:$B643,$B643)=1,1,0))</f>
        <v/>
      </c>
      <c r="V643">
        <f>IF($U643=1,SUMPRODUCT(--($X$2:$X$1501&lt;$X643))+1,"")</f>
        <v/>
      </c>
      <c r="W643">
        <f>IF($B643="","",IF(OR($S643=TRUE(),$S643="TRUE"),1,0))</f>
        <v/>
      </c>
      <c r="X643">
        <f>IF($U643=1,IFERROR(IF(VALUE($B643)&lt;100000000,VALUE($B643),1000000000),IFERROR(IF(VALUE(MID($B643,2,20))&lt;100000000,VALUE(MID($B643,2,20)),1000000000),1000000000))+ROW()/100000,"")</f>
        <v/>
      </c>
    </row>
    <row r="644">
      <c r="A644">
        <f>IF($B644="","",IFERROR(IF(INDEX('Per Invoice'!$C$2:$C$401,MATCH($B644,'Per Invoice'!$A$2:$A$401,0))=0,"",INDEX('Per Invoice'!$C$2:$C$401,MATCH($B644,'Per Invoice'!$A$2:$A$401,0))),""))</f>
        <v/>
      </c>
      <c r="G644" s="7">
        <f>IF($B644="","",F644*L644/100)</f>
        <v/>
      </c>
      <c r="K644" s="7" t="n"/>
      <c r="L644" s="7" t="n"/>
      <c r="M644" s="7">
        <f>IF($B644="","",L644*T644/100)</f>
        <v/>
      </c>
      <c r="N644" s="7">
        <f>IF($B644="","",L644-M644)</f>
        <v/>
      </c>
      <c r="O644" s="7">
        <f>IF($B644="","",N644-G644)</f>
        <v/>
      </c>
      <c r="R644" s="14" t="n"/>
      <c r="T644">
        <f>IF($B644="","",IF($W644=1,Settings!$C$6,Settings!$C$7)*100)</f>
        <v/>
      </c>
      <c r="U644">
        <f>IF($B644="","",IF(COUNTIF($B$2:$B644,$B644)=1,1,0))</f>
        <v/>
      </c>
      <c r="V644">
        <f>IF($U644=1,SUMPRODUCT(--($X$2:$X$1501&lt;$X644))+1,"")</f>
        <v/>
      </c>
      <c r="W644">
        <f>IF($B644="","",IF(OR($S644=TRUE(),$S644="TRUE"),1,0))</f>
        <v/>
      </c>
      <c r="X644">
        <f>IF($U644=1,IFERROR(IF(VALUE($B644)&lt;100000000,VALUE($B644),1000000000),IFERROR(IF(VALUE(MID($B644,2,20))&lt;100000000,VALUE(MID($B644,2,20)),1000000000),1000000000))+ROW()/100000,"")</f>
        <v/>
      </c>
    </row>
    <row r="645">
      <c r="A645">
        <f>IF($B645="","",IFERROR(IF(INDEX('Per Invoice'!$C$2:$C$401,MATCH($B645,'Per Invoice'!$A$2:$A$401,0))=0,"",INDEX('Per Invoice'!$C$2:$C$401,MATCH($B645,'Per Invoice'!$A$2:$A$401,0))),""))</f>
        <v/>
      </c>
      <c r="G645" s="7">
        <f>IF($B645="","",F645*L645/100)</f>
        <v/>
      </c>
      <c r="K645" s="7" t="n"/>
      <c r="L645" s="7" t="n"/>
      <c r="M645" s="7">
        <f>IF($B645="","",L645*T645/100)</f>
        <v/>
      </c>
      <c r="N645" s="7">
        <f>IF($B645="","",L645-M645)</f>
        <v/>
      </c>
      <c r="O645" s="7">
        <f>IF($B645="","",N645-G645)</f>
        <v/>
      </c>
      <c r="R645" s="14" t="n"/>
      <c r="T645">
        <f>IF($B645="","",IF($W645=1,Settings!$C$6,Settings!$C$7)*100)</f>
        <v/>
      </c>
      <c r="U645">
        <f>IF($B645="","",IF(COUNTIF($B$2:$B645,$B645)=1,1,0))</f>
        <v/>
      </c>
      <c r="V645">
        <f>IF($U645=1,SUMPRODUCT(--($X$2:$X$1501&lt;$X645))+1,"")</f>
        <v/>
      </c>
      <c r="W645">
        <f>IF($B645="","",IF(OR($S645=TRUE(),$S645="TRUE"),1,0))</f>
        <v/>
      </c>
      <c r="X645">
        <f>IF($U645=1,IFERROR(IF(VALUE($B645)&lt;100000000,VALUE($B645),1000000000),IFERROR(IF(VALUE(MID($B645,2,20))&lt;100000000,VALUE(MID($B645,2,20)),1000000000),1000000000))+ROW()/100000,"")</f>
        <v/>
      </c>
    </row>
    <row r="646">
      <c r="A646">
        <f>IF($B646="","",IFERROR(IF(INDEX('Per Invoice'!$C$2:$C$401,MATCH($B646,'Per Invoice'!$A$2:$A$401,0))=0,"",INDEX('Per Invoice'!$C$2:$C$401,MATCH($B646,'Per Invoice'!$A$2:$A$401,0))),""))</f>
        <v/>
      </c>
      <c r="G646" s="7">
        <f>IF($B646="","",F646*L646/100)</f>
        <v/>
      </c>
      <c r="K646" s="7" t="n"/>
      <c r="L646" s="7" t="n"/>
      <c r="M646" s="7">
        <f>IF($B646="","",L646*T646/100)</f>
        <v/>
      </c>
      <c r="N646" s="7">
        <f>IF($B646="","",L646-M646)</f>
        <v/>
      </c>
      <c r="O646" s="7">
        <f>IF($B646="","",N646-G646)</f>
        <v/>
      </c>
      <c r="R646" s="14" t="n"/>
      <c r="T646">
        <f>IF($B646="","",IF($W646=1,Settings!$C$6,Settings!$C$7)*100)</f>
        <v/>
      </c>
      <c r="U646">
        <f>IF($B646="","",IF(COUNTIF($B$2:$B646,$B646)=1,1,0))</f>
        <v/>
      </c>
      <c r="V646">
        <f>IF($U646=1,SUMPRODUCT(--($X$2:$X$1501&lt;$X646))+1,"")</f>
        <v/>
      </c>
      <c r="W646">
        <f>IF($B646="","",IF(OR($S646=TRUE(),$S646="TRUE"),1,0))</f>
        <v/>
      </c>
      <c r="X646">
        <f>IF($U646=1,IFERROR(IF(VALUE($B646)&lt;100000000,VALUE($B646),1000000000),IFERROR(IF(VALUE(MID($B646,2,20))&lt;100000000,VALUE(MID($B646,2,20)),1000000000),1000000000))+ROW()/100000,"")</f>
        <v/>
      </c>
    </row>
    <row r="647">
      <c r="A647">
        <f>IF($B647="","",IFERROR(IF(INDEX('Per Invoice'!$C$2:$C$401,MATCH($B647,'Per Invoice'!$A$2:$A$401,0))=0,"",INDEX('Per Invoice'!$C$2:$C$401,MATCH($B647,'Per Invoice'!$A$2:$A$401,0))),""))</f>
        <v/>
      </c>
      <c r="G647" s="7">
        <f>IF($B647="","",F647*L647/100)</f>
        <v/>
      </c>
      <c r="K647" s="7" t="n"/>
      <c r="L647" s="7" t="n"/>
      <c r="M647" s="7">
        <f>IF($B647="","",L647*T647/100)</f>
        <v/>
      </c>
      <c r="N647" s="7">
        <f>IF($B647="","",L647-M647)</f>
        <v/>
      </c>
      <c r="O647" s="7">
        <f>IF($B647="","",N647-G647)</f>
        <v/>
      </c>
      <c r="R647" s="14" t="n"/>
      <c r="T647">
        <f>IF($B647="","",IF($W647=1,Settings!$C$6,Settings!$C$7)*100)</f>
        <v/>
      </c>
      <c r="U647">
        <f>IF($B647="","",IF(COUNTIF($B$2:$B647,$B647)=1,1,0))</f>
        <v/>
      </c>
      <c r="V647">
        <f>IF($U647=1,SUMPRODUCT(--($X$2:$X$1501&lt;$X647))+1,"")</f>
        <v/>
      </c>
      <c r="W647">
        <f>IF($B647="","",IF(OR($S647=TRUE(),$S647="TRUE"),1,0))</f>
        <v/>
      </c>
      <c r="X647">
        <f>IF($U647=1,IFERROR(IF(VALUE($B647)&lt;100000000,VALUE($B647),1000000000),IFERROR(IF(VALUE(MID($B647,2,20))&lt;100000000,VALUE(MID($B647,2,20)),1000000000),1000000000))+ROW()/100000,"")</f>
        <v/>
      </c>
    </row>
    <row r="648">
      <c r="A648">
        <f>IF($B648="","",IFERROR(IF(INDEX('Per Invoice'!$C$2:$C$401,MATCH($B648,'Per Invoice'!$A$2:$A$401,0))=0,"",INDEX('Per Invoice'!$C$2:$C$401,MATCH($B648,'Per Invoice'!$A$2:$A$401,0))),""))</f>
        <v/>
      </c>
      <c r="G648" s="7">
        <f>IF($B648="","",F648*L648/100)</f>
        <v/>
      </c>
      <c r="K648" s="7" t="n"/>
      <c r="L648" s="7" t="n"/>
      <c r="M648" s="7">
        <f>IF($B648="","",L648*T648/100)</f>
        <v/>
      </c>
      <c r="N648" s="7">
        <f>IF($B648="","",L648-M648)</f>
        <v/>
      </c>
      <c r="O648" s="7">
        <f>IF($B648="","",N648-G648)</f>
        <v/>
      </c>
      <c r="R648" s="14" t="n"/>
      <c r="T648">
        <f>IF($B648="","",IF($W648=1,Settings!$C$6,Settings!$C$7)*100)</f>
        <v/>
      </c>
      <c r="U648">
        <f>IF($B648="","",IF(COUNTIF($B$2:$B648,$B648)=1,1,0))</f>
        <v/>
      </c>
      <c r="V648">
        <f>IF($U648=1,SUMPRODUCT(--($X$2:$X$1501&lt;$X648))+1,"")</f>
        <v/>
      </c>
      <c r="W648">
        <f>IF($B648="","",IF(OR($S648=TRUE(),$S648="TRUE"),1,0))</f>
        <v/>
      </c>
      <c r="X648">
        <f>IF($U648=1,IFERROR(IF(VALUE($B648)&lt;100000000,VALUE($B648),1000000000),IFERROR(IF(VALUE(MID($B648,2,20))&lt;100000000,VALUE(MID($B648,2,20)),1000000000),1000000000))+ROW()/100000,"")</f>
        <v/>
      </c>
    </row>
    <row r="649">
      <c r="A649">
        <f>IF($B649="","",IFERROR(IF(INDEX('Per Invoice'!$C$2:$C$401,MATCH($B649,'Per Invoice'!$A$2:$A$401,0))=0,"",INDEX('Per Invoice'!$C$2:$C$401,MATCH($B649,'Per Invoice'!$A$2:$A$401,0))),""))</f>
        <v/>
      </c>
      <c r="G649" s="7">
        <f>IF($B649="","",F649*L649/100)</f>
        <v/>
      </c>
      <c r="K649" s="7" t="n"/>
      <c r="L649" s="7" t="n"/>
      <c r="M649" s="7">
        <f>IF($B649="","",L649*T649/100)</f>
        <v/>
      </c>
      <c r="N649" s="7">
        <f>IF($B649="","",L649-M649)</f>
        <v/>
      </c>
      <c r="O649" s="7">
        <f>IF($B649="","",N649-G649)</f>
        <v/>
      </c>
      <c r="R649" s="14" t="n"/>
      <c r="T649">
        <f>IF($B649="","",IF($W649=1,Settings!$C$6,Settings!$C$7)*100)</f>
        <v/>
      </c>
      <c r="U649">
        <f>IF($B649="","",IF(COUNTIF($B$2:$B649,$B649)=1,1,0))</f>
        <v/>
      </c>
      <c r="V649">
        <f>IF($U649=1,SUMPRODUCT(--($X$2:$X$1501&lt;$X649))+1,"")</f>
        <v/>
      </c>
      <c r="W649">
        <f>IF($B649="","",IF(OR($S649=TRUE(),$S649="TRUE"),1,0))</f>
        <v/>
      </c>
      <c r="X649">
        <f>IF($U649=1,IFERROR(IF(VALUE($B649)&lt;100000000,VALUE($B649),1000000000),IFERROR(IF(VALUE(MID($B649,2,20))&lt;100000000,VALUE(MID($B649,2,20)),1000000000),1000000000))+ROW()/100000,"")</f>
        <v/>
      </c>
    </row>
    <row r="650">
      <c r="A650">
        <f>IF($B650="","",IFERROR(IF(INDEX('Per Invoice'!$C$2:$C$401,MATCH($B650,'Per Invoice'!$A$2:$A$401,0))=0,"",INDEX('Per Invoice'!$C$2:$C$401,MATCH($B650,'Per Invoice'!$A$2:$A$401,0))),""))</f>
        <v/>
      </c>
      <c r="G650" s="7">
        <f>IF($B650="","",F650*L650/100)</f>
        <v/>
      </c>
      <c r="K650" s="7" t="n"/>
      <c r="L650" s="7" t="n"/>
      <c r="M650" s="7">
        <f>IF($B650="","",L650*T650/100)</f>
        <v/>
      </c>
      <c r="N650" s="7">
        <f>IF($B650="","",L650-M650)</f>
        <v/>
      </c>
      <c r="O650" s="7">
        <f>IF($B650="","",N650-G650)</f>
        <v/>
      </c>
      <c r="R650" s="14" t="n"/>
      <c r="T650">
        <f>IF($B650="","",IF($W650=1,Settings!$C$6,Settings!$C$7)*100)</f>
        <v/>
      </c>
      <c r="U650">
        <f>IF($B650="","",IF(COUNTIF($B$2:$B650,$B650)=1,1,0))</f>
        <v/>
      </c>
      <c r="V650">
        <f>IF($U650=1,SUMPRODUCT(--($X$2:$X$1501&lt;$X650))+1,"")</f>
        <v/>
      </c>
      <c r="W650">
        <f>IF($B650="","",IF(OR($S650=TRUE(),$S650="TRUE"),1,0))</f>
        <v/>
      </c>
      <c r="X650">
        <f>IF($U650=1,IFERROR(IF(VALUE($B650)&lt;100000000,VALUE($B650),1000000000),IFERROR(IF(VALUE(MID($B650,2,20))&lt;100000000,VALUE(MID($B650,2,20)),1000000000),1000000000))+ROW()/100000,"")</f>
        <v/>
      </c>
    </row>
    <row r="651">
      <c r="A651">
        <f>IF($B651="","",IFERROR(IF(INDEX('Per Invoice'!$C$2:$C$401,MATCH($B651,'Per Invoice'!$A$2:$A$401,0))=0,"",INDEX('Per Invoice'!$C$2:$C$401,MATCH($B651,'Per Invoice'!$A$2:$A$401,0))),""))</f>
        <v/>
      </c>
      <c r="G651" s="7">
        <f>IF($B651="","",F651*L651/100)</f>
        <v/>
      </c>
      <c r="K651" s="7" t="n"/>
      <c r="L651" s="7" t="n"/>
      <c r="M651" s="7">
        <f>IF($B651="","",L651*T651/100)</f>
        <v/>
      </c>
      <c r="N651" s="7">
        <f>IF($B651="","",L651-M651)</f>
        <v/>
      </c>
      <c r="O651" s="7">
        <f>IF($B651="","",N651-G651)</f>
        <v/>
      </c>
      <c r="R651" s="14" t="n"/>
      <c r="T651">
        <f>IF($B651="","",IF($W651=1,Settings!$C$6,Settings!$C$7)*100)</f>
        <v/>
      </c>
      <c r="U651">
        <f>IF($B651="","",IF(COUNTIF($B$2:$B651,$B651)=1,1,0))</f>
        <v/>
      </c>
      <c r="V651">
        <f>IF($U651=1,SUMPRODUCT(--($X$2:$X$1501&lt;$X651))+1,"")</f>
        <v/>
      </c>
      <c r="W651">
        <f>IF($B651="","",IF(OR($S651=TRUE(),$S651="TRUE"),1,0))</f>
        <v/>
      </c>
      <c r="X651">
        <f>IF($U651=1,IFERROR(IF(VALUE($B651)&lt;100000000,VALUE($B651),1000000000),IFERROR(IF(VALUE(MID($B651,2,20))&lt;100000000,VALUE(MID($B651,2,20)),1000000000),1000000000))+ROW()/100000,"")</f>
        <v/>
      </c>
    </row>
    <row r="652">
      <c r="A652">
        <f>IF($B652="","",IFERROR(IF(INDEX('Per Invoice'!$C$2:$C$401,MATCH($B652,'Per Invoice'!$A$2:$A$401,0))=0,"",INDEX('Per Invoice'!$C$2:$C$401,MATCH($B652,'Per Invoice'!$A$2:$A$401,0))),""))</f>
        <v/>
      </c>
      <c r="G652" s="7">
        <f>IF($B652="","",F652*L652/100)</f>
        <v/>
      </c>
      <c r="K652" s="7" t="n"/>
      <c r="L652" s="7" t="n"/>
      <c r="M652" s="7">
        <f>IF($B652="","",L652*T652/100)</f>
        <v/>
      </c>
      <c r="N652" s="7">
        <f>IF($B652="","",L652-M652)</f>
        <v/>
      </c>
      <c r="O652" s="7">
        <f>IF($B652="","",N652-G652)</f>
        <v/>
      </c>
      <c r="R652" s="14" t="n"/>
      <c r="T652">
        <f>IF($B652="","",IF($W652=1,Settings!$C$6,Settings!$C$7)*100)</f>
        <v/>
      </c>
      <c r="U652">
        <f>IF($B652="","",IF(COUNTIF($B$2:$B652,$B652)=1,1,0))</f>
        <v/>
      </c>
      <c r="V652">
        <f>IF($U652=1,SUMPRODUCT(--($X$2:$X$1501&lt;$X652))+1,"")</f>
        <v/>
      </c>
      <c r="W652">
        <f>IF($B652="","",IF(OR($S652=TRUE(),$S652="TRUE"),1,0))</f>
        <v/>
      </c>
      <c r="X652">
        <f>IF($U652=1,IFERROR(IF(VALUE($B652)&lt;100000000,VALUE($B652),1000000000),IFERROR(IF(VALUE(MID($B652,2,20))&lt;100000000,VALUE(MID($B652,2,20)),1000000000),1000000000))+ROW()/100000,"")</f>
        <v/>
      </c>
    </row>
    <row r="653">
      <c r="A653">
        <f>IF($B653="","",IFERROR(IF(INDEX('Per Invoice'!$C$2:$C$401,MATCH($B653,'Per Invoice'!$A$2:$A$401,0))=0,"",INDEX('Per Invoice'!$C$2:$C$401,MATCH($B653,'Per Invoice'!$A$2:$A$401,0))),""))</f>
        <v/>
      </c>
      <c r="G653" s="7">
        <f>IF($B653="","",F653*L653/100)</f>
        <v/>
      </c>
      <c r="K653" s="7" t="n"/>
      <c r="L653" s="7" t="n"/>
      <c r="M653" s="7">
        <f>IF($B653="","",L653*T653/100)</f>
        <v/>
      </c>
      <c r="N653" s="7">
        <f>IF($B653="","",L653-M653)</f>
        <v/>
      </c>
      <c r="O653" s="7">
        <f>IF($B653="","",N653-G653)</f>
        <v/>
      </c>
      <c r="R653" s="14" t="n"/>
      <c r="T653">
        <f>IF($B653="","",IF($W653=1,Settings!$C$6,Settings!$C$7)*100)</f>
        <v/>
      </c>
      <c r="U653">
        <f>IF($B653="","",IF(COUNTIF($B$2:$B653,$B653)=1,1,0))</f>
        <v/>
      </c>
      <c r="V653">
        <f>IF($U653=1,SUMPRODUCT(--($X$2:$X$1501&lt;$X653))+1,"")</f>
        <v/>
      </c>
      <c r="W653">
        <f>IF($B653="","",IF(OR($S653=TRUE(),$S653="TRUE"),1,0))</f>
        <v/>
      </c>
      <c r="X653">
        <f>IF($U653=1,IFERROR(IF(VALUE($B653)&lt;100000000,VALUE($B653),1000000000),IFERROR(IF(VALUE(MID($B653,2,20))&lt;100000000,VALUE(MID($B653,2,20)),1000000000),1000000000))+ROW()/100000,"")</f>
        <v/>
      </c>
    </row>
    <row r="654">
      <c r="A654">
        <f>IF($B654="","",IFERROR(IF(INDEX('Per Invoice'!$C$2:$C$401,MATCH($B654,'Per Invoice'!$A$2:$A$401,0))=0,"",INDEX('Per Invoice'!$C$2:$C$401,MATCH($B654,'Per Invoice'!$A$2:$A$401,0))),""))</f>
        <v/>
      </c>
      <c r="G654" s="7">
        <f>IF($B654="","",F654*L654/100)</f>
        <v/>
      </c>
      <c r="K654" s="7" t="n"/>
      <c r="L654" s="7" t="n"/>
      <c r="M654" s="7">
        <f>IF($B654="","",L654*T654/100)</f>
        <v/>
      </c>
      <c r="N654" s="7">
        <f>IF($B654="","",L654-M654)</f>
        <v/>
      </c>
      <c r="O654" s="7">
        <f>IF($B654="","",N654-G654)</f>
        <v/>
      </c>
      <c r="R654" s="14" t="n"/>
      <c r="T654">
        <f>IF($B654="","",IF($W654=1,Settings!$C$6,Settings!$C$7)*100)</f>
        <v/>
      </c>
      <c r="U654">
        <f>IF($B654="","",IF(COUNTIF($B$2:$B654,$B654)=1,1,0))</f>
        <v/>
      </c>
      <c r="V654">
        <f>IF($U654=1,SUMPRODUCT(--($X$2:$X$1501&lt;$X654))+1,"")</f>
        <v/>
      </c>
      <c r="W654">
        <f>IF($B654="","",IF(OR($S654=TRUE(),$S654="TRUE"),1,0))</f>
        <v/>
      </c>
      <c r="X654">
        <f>IF($U654=1,IFERROR(IF(VALUE($B654)&lt;100000000,VALUE($B654),1000000000),IFERROR(IF(VALUE(MID($B654,2,20))&lt;100000000,VALUE(MID($B654,2,20)),1000000000),1000000000))+ROW()/100000,"")</f>
        <v/>
      </c>
    </row>
    <row r="655">
      <c r="A655">
        <f>IF($B655="","",IFERROR(IF(INDEX('Per Invoice'!$C$2:$C$401,MATCH($B655,'Per Invoice'!$A$2:$A$401,0))=0,"",INDEX('Per Invoice'!$C$2:$C$401,MATCH($B655,'Per Invoice'!$A$2:$A$401,0))),""))</f>
        <v/>
      </c>
      <c r="G655" s="7">
        <f>IF($B655="","",F655*L655/100)</f>
        <v/>
      </c>
      <c r="K655" s="7" t="n"/>
      <c r="L655" s="7" t="n"/>
      <c r="M655" s="7">
        <f>IF($B655="","",L655*T655/100)</f>
        <v/>
      </c>
      <c r="N655" s="7">
        <f>IF($B655="","",L655-M655)</f>
        <v/>
      </c>
      <c r="O655" s="7">
        <f>IF($B655="","",N655-G655)</f>
        <v/>
      </c>
      <c r="R655" s="14" t="n"/>
      <c r="T655">
        <f>IF($B655="","",IF($W655=1,Settings!$C$6,Settings!$C$7)*100)</f>
        <v/>
      </c>
      <c r="U655">
        <f>IF($B655="","",IF(COUNTIF($B$2:$B655,$B655)=1,1,0))</f>
        <v/>
      </c>
      <c r="V655">
        <f>IF($U655=1,SUMPRODUCT(--($X$2:$X$1501&lt;$X655))+1,"")</f>
        <v/>
      </c>
      <c r="W655">
        <f>IF($B655="","",IF(OR($S655=TRUE(),$S655="TRUE"),1,0))</f>
        <v/>
      </c>
      <c r="X655">
        <f>IF($U655=1,IFERROR(IF(VALUE($B655)&lt;100000000,VALUE($B655),1000000000),IFERROR(IF(VALUE(MID($B655,2,20))&lt;100000000,VALUE(MID($B655,2,20)),1000000000),1000000000))+ROW()/100000,"")</f>
        <v/>
      </c>
    </row>
    <row r="656">
      <c r="A656">
        <f>IF($B656="","",IFERROR(IF(INDEX('Per Invoice'!$C$2:$C$401,MATCH($B656,'Per Invoice'!$A$2:$A$401,0))=0,"",INDEX('Per Invoice'!$C$2:$C$401,MATCH($B656,'Per Invoice'!$A$2:$A$401,0))),""))</f>
        <v/>
      </c>
      <c r="G656" s="7">
        <f>IF($B656="","",F656*L656/100)</f>
        <v/>
      </c>
      <c r="K656" s="7" t="n"/>
      <c r="L656" s="7" t="n"/>
      <c r="M656" s="7">
        <f>IF($B656="","",L656*T656/100)</f>
        <v/>
      </c>
      <c r="N656" s="7">
        <f>IF($B656="","",L656-M656)</f>
        <v/>
      </c>
      <c r="O656" s="7">
        <f>IF($B656="","",N656-G656)</f>
        <v/>
      </c>
      <c r="R656" s="14" t="n"/>
      <c r="T656">
        <f>IF($B656="","",IF($W656=1,Settings!$C$6,Settings!$C$7)*100)</f>
        <v/>
      </c>
      <c r="U656">
        <f>IF($B656="","",IF(COUNTIF($B$2:$B656,$B656)=1,1,0))</f>
        <v/>
      </c>
      <c r="V656">
        <f>IF($U656=1,SUMPRODUCT(--($X$2:$X$1501&lt;$X656))+1,"")</f>
        <v/>
      </c>
      <c r="W656">
        <f>IF($B656="","",IF(OR($S656=TRUE(),$S656="TRUE"),1,0))</f>
        <v/>
      </c>
      <c r="X656">
        <f>IF($U656=1,IFERROR(IF(VALUE($B656)&lt;100000000,VALUE($B656),1000000000),IFERROR(IF(VALUE(MID($B656,2,20))&lt;100000000,VALUE(MID($B656,2,20)),1000000000),1000000000))+ROW()/100000,"")</f>
        <v/>
      </c>
    </row>
    <row r="657">
      <c r="A657">
        <f>IF($B657="","",IFERROR(IF(INDEX('Per Invoice'!$C$2:$C$401,MATCH($B657,'Per Invoice'!$A$2:$A$401,0))=0,"",INDEX('Per Invoice'!$C$2:$C$401,MATCH($B657,'Per Invoice'!$A$2:$A$401,0))),""))</f>
        <v/>
      </c>
      <c r="G657" s="7">
        <f>IF($B657="","",F657*L657/100)</f>
        <v/>
      </c>
      <c r="K657" s="7" t="n"/>
      <c r="L657" s="7" t="n"/>
      <c r="M657" s="7">
        <f>IF($B657="","",L657*T657/100)</f>
        <v/>
      </c>
      <c r="N657" s="7">
        <f>IF($B657="","",L657-M657)</f>
        <v/>
      </c>
      <c r="O657" s="7">
        <f>IF($B657="","",N657-G657)</f>
        <v/>
      </c>
      <c r="R657" s="14" t="n"/>
      <c r="T657">
        <f>IF($B657="","",IF($W657=1,Settings!$C$6,Settings!$C$7)*100)</f>
        <v/>
      </c>
      <c r="U657">
        <f>IF($B657="","",IF(COUNTIF($B$2:$B657,$B657)=1,1,0))</f>
        <v/>
      </c>
      <c r="V657">
        <f>IF($U657=1,SUMPRODUCT(--($X$2:$X$1501&lt;$X657))+1,"")</f>
        <v/>
      </c>
      <c r="W657">
        <f>IF($B657="","",IF(OR($S657=TRUE(),$S657="TRUE"),1,0))</f>
        <v/>
      </c>
      <c r="X657">
        <f>IF($U657=1,IFERROR(IF(VALUE($B657)&lt;100000000,VALUE($B657),1000000000),IFERROR(IF(VALUE(MID($B657,2,20))&lt;100000000,VALUE(MID($B657,2,20)),1000000000),1000000000))+ROW()/100000,"")</f>
        <v/>
      </c>
    </row>
    <row r="658">
      <c r="A658">
        <f>IF($B658="","",IFERROR(IF(INDEX('Per Invoice'!$C$2:$C$401,MATCH($B658,'Per Invoice'!$A$2:$A$401,0))=0,"",INDEX('Per Invoice'!$C$2:$C$401,MATCH($B658,'Per Invoice'!$A$2:$A$401,0))),""))</f>
        <v/>
      </c>
      <c r="G658" s="7">
        <f>IF($B658="","",F658*L658/100)</f>
        <v/>
      </c>
      <c r="K658" s="7" t="n"/>
      <c r="L658" s="7" t="n"/>
      <c r="M658" s="7">
        <f>IF($B658="","",L658*T658/100)</f>
        <v/>
      </c>
      <c r="N658" s="7">
        <f>IF($B658="","",L658-M658)</f>
        <v/>
      </c>
      <c r="O658" s="7">
        <f>IF($B658="","",N658-G658)</f>
        <v/>
      </c>
      <c r="R658" s="14" t="n"/>
      <c r="T658">
        <f>IF($B658="","",IF($W658=1,Settings!$C$6,Settings!$C$7)*100)</f>
        <v/>
      </c>
      <c r="U658">
        <f>IF($B658="","",IF(COUNTIF($B$2:$B658,$B658)=1,1,0))</f>
        <v/>
      </c>
      <c r="V658">
        <f>IF($U658=1,SUMPRODUCT(--($X$2:$X$1501&lt;$X658))+1,"")</f>
        <v/>
      </c>
      <c r="W658">
        <f>IF($B658="","",IF(OR($S658=TRUE(),$S658="TRUE"),1,0))</f>
        <v/>
      </c>
      <c r="X658">
        <f>IF($U658=1,IFERROR(IF(VALUE($B658)&lt;100000000,VALUE($B658),1000000000),IFERROR(IF(VALUE(MID($B658,2,20))&lt;100000000,VALUE(MID($B658,2,20)),1000000000),1000000000))+ROW()/100000,"")</f>
        <v/>
      </c>
    </row>
    <row r="659">
      <c r="A659">
        <f>IF($B659="","",IFERROR(IF(INDEX('Per Invoice'!$C$2:$C$401,MATCH($B659,'Per Invoice'!$A$2:$A$401,0))=0,"",INDEX('Per Invoice'!$C$2:$C$401,MATCH($B659,'Per Invoice'!$A$2:$A$401,0))),""))</f>
        <v/>
      </c>
      <c r="G659" s="7">
        <f>IF($B659="","",F659*L659/100)</f>
        <v/>
      </c>
      <c r="K659" s="7" t="n"/>
      <c r="L659" s="7" t="n"/>
      <c r="M659" s="7">
        <f>IF($B659="","",L659*T659/100)</f>
        <v/>
      </c>
      <c r="N659" s="7">
        <f>IF($B659="","",L659-M659)</f>
        <v/>
      </c>
      <c r="O659" s="7">
        <f>IF($B659="","",N659-G659)</f>
        <v/>
      </c>
      <c r="R659" s="14" t="n"/>
      <c r="T659">
        <f>IF($B659="","",IF($W659=1,Settings!$C$6,Settings!$C$7)*100)</f>
        <v/>
      </c>
      <c r="U659">
        <f>IF($B659="","",IF(COUNTIF($B$2:$B659,$B659)=1,1,0))</f>
        <v/>
      </c>
      <c r="V659">
        <f>IF($U659=1,SUMPRODUCT(--($X$2:$X$1501&lt;$X659))+1,"")</f>
        <v/>
      </c>
      <c r="W659">
        <f>IF($B659="","",IF(OR($S659=TRUE(),$S659="TRUE"),1,0))</f>
        <v/>
      </c>
      <c r="X659">
        <f>IF($U659=1,IFERROR(IF(VALUE($B659)&lt;100000000,VALUE($B659),1000000000),IFERROR(IF(VALUE(MID($B659,2,20))&lt;100000000,VALUE(MID($B659,2,20)),1000000000),1000000000))+ROW()/100000,"")</f>
        <v/>
      </c>
    </row>
    <row r="660">
      <c r="A660">
        <f>IF($B660="","",IFERROR(IF(INDEX('Per Invoice'!$C$2:$C$401,MATCH($B660,'Per Invoice'!$A$2:$A$401,0))=0,"",INDEX('Per Invoice'!$C$2:$C$401,MATCH($B660,'Per Invoice'!$A$2:$A$401,0))),""))</f>
        <v/>
      </c>
      <c r="G660" s="7">
        <f>IF($B660="","",F660*L660/100)</f>
        <v/>
      </c>
      <c r="K660" s="7" t="n"/>
      <c r="L660" s="7" t="n"/>
      <c r="M660" s="7">
        <f>IF($B660="","",L660*T660/100)</f>
        <v/>
      </c>
      <c r="N660" s="7">
        <f>IF($B660="","",L660-M660)</f>
        <v/>
      </c>
      <c r="O660" s="7">
        <f>IF($B660="","",N660-G660)</f>
        <v/>
      </c>
      <c r="R660" s="14" t="n"/>
      <c r="T660">
        <f>IF($B660="","",IF($W660=1,Settings!$C$6,Settings!$C$7)*100)</f>
        <v/>
      </c>
      <c r="U660">
        <f>IF($B660="","",IF(COUNTIF($B$2:$B660,$B660)=1,1,0))</f>
        <v/>
      </c>
      <c r="V660">
        <f>IF($U660=1,SUMPRODUCT(--($X$2:$X$1501&lt;$X660))+1,"")</f>
        <v/>
      </c>
      <c r="W660">
        <f>IF($B660="","",IF(OR($S660=TRUE(),$S660="TRUE"),1,0))</f>
        <v/>
      </c>
      <c r="X660">
        <f>IF($U660=1,IFERROR(IF(VALUE($B660)&lt;100000000,VALUE($B660),1000000000),IFERROR(IF(VALUE(MID($B660,2,20))&lt;100000000,VALUE(MID($B660,2,20)),1000000000),1000000000))+ROW()/100000,"")</f>
        <v/>
      </c>
    </row>
    <row r="661">
      <c r="A661">
        <f>IF($B661="","",IFERROR(IF(INDEX('Per Invoice'!$C$2:$C$401,MATCH($B661,'Per Invoice'!$A$2:$A$401,0))=0,"",INDEX('Per Invoice'!$C$2:$C$401,MATCH($B661,'Per Invoice'!$A$2:$A$401,0))),""))</f>
        <v/>
      </c>
      <c r="G661" s="7">
        <f>IF($B661="","",F661*L661/100)</f>
        <v/>
      </c>
      <c r="K661" s="7" t="n"/>
      <c r="L661" s="7" t="n"/>
      <c r="M661" s="7">
        <f>IF($B661="","",L661*T661/100)</f>
        <v/>
      </c>
      <c r="N661" s="7">
        <f>IF($B661="","",L661-M661)</f>
        <v/>
      </c>
      <c r="O661" s="7">
        <f>IF($B661="","",N661-G661)</f>
        <v/>
      </c>
      <c r="R661" s="14" t="n"/>
      <c r="T661">
        <f>IF($B661="","",IF($W661=1,Settings!$C$6,Settings!$C$7)*100)</f>
        <v/>
      </c>
      <c r="U661">
        <f>IF($B661="","",IF(COUNTIF($B$2:$B661,$B661)=1,1,0))</f>
        <v/>
      </c>
      <c r="V661">
        <f>IF($U661=1,SUMPRODUCT(--($X$2:$X$1501&lt;$X661))+1,"")</f>
        <v/>
      </c>
      <c r="W661">
        <f>IF($B661="","",IF(OR($S661=TRUE(),$S661="TRUE"),1,0))</f>
        <v/>
      </c>
      <c r="X661">
        <f>IF($U661=1,IFERROR(IF(VALUE($B661)&lt;100000000,VALUE($B661),1000000000),IFERROR(IF(VALUE(MID($B661,2,20))&lt;100000000,VALUE(MID($B661,2,20)),1000000000),1000000000))+ROW()/100000,"")</f>
        <v/>
      </c>
    </row>
    <row r="662">
      <c r="A662">
        <f>IF($B662="","",IFERROR(IF(INDEX('Per Invoice'!$C$2:$C$401,MATCH($B662,'Per Invoice'!$A$2:$A$401,0))=0,"",INDEX('Per Invoice'!$C$2:$C$401,MATCH($B662,'Per Invoice'!$A$2:$A$401,0))),""))</f>
        <v/>
      </c>
      <c r="G662" s="7">
        <f>IF($B662="","",F662*L662/100)</f>
        <v/>
      </c>
      <c r="K662" s="7" t="n"/>
      <c r="L662" s="7" t="n"/>
      <c r="M662" s="7">
        <f>IF($B662="","",L662*T662/100)</f>
        <v/>
      </c>
      <c r="N662" s="7">
        <f>IF($B662="","",L662-M662)</f>
        <v/>
      </c>
      <c r="O662" s="7">
        <f>IF($B662="","",N662-G662)</f>
        <v/>
      </c>
      <c r="R662" s="14" t="n"/>
      <c r="T662">
        <f>IF($B662="","",IF($W662=1,Settings!$C$6,Settings!$C$7)*100)</f>
        <v/>
      </c>
      <c r="U662">
        <f>IF($B662="","",IF(COUNTIF($B$2:$B662,$B662)=1,1,0))</f>
        <v/>
      </c>
      <c r="V662">
        <f>IF($U662=1,SUMPRODUCT(--($X$2:$X$1501&lt;$X662))+1,"")</f>
        <v/>
      </c>
      <c r="W662">
        <f>IF($B662="","",IF(OR($S662=TRUE(),$S662="TRUE"),1,0))</f>
        <v/>
      </c>
      <c r="X662">
        <f>IF($U662=1,IFERROR(IF(VALUE($B662)&lt;100000000,VALUE($B662),1000000000),IFERROR(IF(VALUE(MID($B662,2,20))&lt;100000000,VALUE(MID($B662,2,20)),1000000000),1000000000))+ROW()/100000,"")</f>
        <v/>
      </c>
    </row>
    <row r="663">
      <c r="A663">
        <f>IF($B663="","",IFERROR(IF(INDEX('Per Invoice'!$C$2:$C$401,MATCH($B663,'Per Invoice'!$A$2:$A$401,0))=0,"",INDEX('Per Invoice'!$C$2:$C$401,MATCH($B663,'Per Invoice'!$A$2:$A$401,0))),""))</f>
        <v/>
      </c>
      <c r="G663" s="7">
        <f>IF($B663="","",F663*L663/100)</f>
        <v/>
      </c>
      <c r="K663" s="7" t="n"/>
      <c r="L663" s="7" t="n"/>
      <c r="M663" s="7">
        <f>IF($B663="","",L663*T663/100)</f>
        <v/>
      </c>
      <c r="N663" s="7">
        <f>IF($B663="","",L663-M663)</f>
        <v/>
      </c>
      <c r="O663" s="7">
        <f>IF($B663="","",N663-G663)</f>
        <v/>
      </c>
      <c r="R663" s="14" t="n"/>
      <c r="T663">
        <f>IF($B663="","",IF($W663=1,Settings!$C$6,Settings!$C$7)*100)</f>
        <v/>
      </c>
      <c r="U663">
        <f>IF($B663="","",IF(COUNTIF($B$2:$B663,$B663)=1,1,0))</f>
        <v/>
      </c>
      <c r="V663">
        <f>IF($U663=1,SUMPRODUCT(--($X$2:$X$1501&lt;$X663))+1,"")</f>
        <v/>
      </c>
      <c r="W663">
        <f>IF($B663="","",IF(OR($S663=TRUE(),$S663="TRUE"),1,0))</f>
        <v/>
      </c>
      <c r="X663">
        <f>IF($U663=1,IFERROR(IF(VALUE($B663)&lt;100000000,VALUE($B663),1000000000),IFERROR(IF(VALUE(MID($B663,2,20))&lt;100000000,VALUE(MID($B663,2,20)),1000000000),1000000000))+ROW()/100000,"")</f>
        <v/>
      </c>
    </row>
    <row r="664">
      <c r="A664">
        <f>IF($B664="","",IFERROR(IF(INDEX('Per Invoice'!$C$2:$C$401,MATCH($B664,'Per Invoice'!$A$2:$A$401,0))=0,"",INDEX('Per Invoice'!$C$2:$C$401,MATCH($B664,'Per Invoice'!$A$2:$A$401,0))),""))</f>
        <v/>
      </c>
      <c r="G664" s="7">
        <f>IF($B664="","",F664*L664/100)</f>
        <v/>
      </c>
      <c r="K664" s="7" t="n"/>
      <c r="L664" s="7" t="n"/>
      <c r="M664" s="7">
        <f>IF($B664="","",L664*T664/100)</f>
        <v/>
      </c>
      <c r="N664" s="7">
        <f>IF($B664="","",L664-M664)</f>
        <v/>
      </c>
      <c r="O664" s="7">
        <f>IF($B664="","",N664-G664)</f>
        <v/>
      </c>
      <c r="R664" s="14" t="n"/>
      <c r="T664">
        <f>IF($B664="","",IF($W664=1,Settings!$C$6,Settings!$C$7)*100)</f>
        <v/>
      </c>
      <c r="U664">
        <f>IF($B664="","",IF(COUNTIF($B$2:$B664,$B664)=1,1,0))</f>
        <v/>
      </c>
      <c r="V664">
        <f>IF($U664=1,SUMPRODUCT(--($X$2:$X$1501&lt;$X664))+1,"")</f>
        <v/>
      </c>
      <c r="W664">
        <f>IF($B664="","",IF(OR($S664=TRUE(),$S664="TRUE"),1,0))</f>
        <v/>
      </c>
      <c r="X664">
        <f>IF($U664=1,IFERROR(IF(VALUE($B664)&lt;100000000,VALUE($B664),1000000000),IFERROR(IF(VALUE(MID($B664,2,20))&lt;100000000,VALUE(MID($B664,2,20)),1000000000),1000000000))+ROW()/100000,"")</f>
        <v/>
      </c>
    </row>
    <row r="665">
      <c r="A665">
        <f>IF($B665="","",IFERROR(IF(INDEX('Per Invoice'!$C$2:$C$401,MATCH($B665,'Per Invoice'!$A$2:$A$401,0))=0,"",INDEX('Per Invoice'!$C$2:$C$401,MATCH($B665,'Per Invoice'!$A$2:$A$401,0))),""))</f>
        <v/>
      </c>
      <c r="G665" s="7">
        <f>IF($B665="","",F665*L665/100)</f>
        <v/>
      </c>
      <c r="K665" s="7" t="n"/>
      <c r="L665" s="7" t="n"/>
      <c r="M665" s="7">
        <f>IF($B665="","",L665*T665/100)</f>
        <v/>
      </c>
      <c r="N665" s="7">
        <f>IF($B665="","",L665-M665)</f>
        <v/>
      </c>
      <c r="O665" s="7">
        <f>IF($B665="","",N665-G665)</f>
        <v/>
      </c>
      <c r="R665" s="14" t="n"/>
      <c r="T665">
        <f>IF($B665="","",IF($W665=1,Settings!$C$6,Settings!$C$7)*100)</f>
        <v/>
      </c>
      <c r="U665">
        <f>IF($B665="","",IF(COUNTIF($B$2:$B665,$B665)=1,1,0))</f>
        <v/>
      </c>
      <c r="V665">
        <f>IF($U665=1,SUMPRODUCT(--($X$2:$X$1501&lt;$X665))+1,"")</f>
        <v/>
      </c>
      <c r="W665">
        <f>IF($B665="","",IF(OR($S665=TRUE(),$S665="TRUE"),1,0))</f>
        <v/>
      </c>
      <c r="X665">
        <f>IF($U665=1,IFERROR(IF(VALUE($B665)&lt;100000000,VALUE($B665),1000000000),IFERROR(IF(VALUE(MID($B665,2,20))&lt;100000000,VALUE(MID($B665,2,20)),1000000000),1000000000))+ROW()/100000,"")</f>
        <v/>
      </c>
    </row>
    <row r="666">
      <c r="A666">
        <f>IF($B666="","",IFERROR(IF(INDEX('Per Invoice'!$C$2:$C$401,MATCH($B666,'Per Invoice'!$A$2:$A$401,0))=0,"",INDEX('Per Invoice'!$C$2:$C$401,MATCH($B666,'Per Invoice'!$A$2:$A$401,0))),""))</f>
        <v/>
      </c>
      <c r="G666" s="7">
        <f>IF($B666="","",F666*L666/100)</f>
        <v/>
      </c>
      <c r="K666" s="7" t="n"/>
      <c r="L666" s="7" t="n"/>
      <c r="M666" s="7">
        <f>IF($B666="","",L666*T666/100)</f>
        <v/>
      </c>
      <c r="N666" s="7">
        <f>IF($B666="","",L666-M666)</f>
        <v/>
      </c>
      <c r="O666" s="7">
        <f>IF($B666="","",N666-G666)</f>
        <v/>
      </c>
      <c r="R666" s="14" t="n"/>
      <c r="T666">
        <f>IF($B666="","",IF($W666=1,Settings!$C$6,Settings!$C$7)*100)</f>
        <v/>
      </c>
      <c r="U666">
        <f>IF($B666="","",IF(COUNTIF($B$2:$B666,$B666)=1,1,0))</f>
        <v/>
      </c>
      <c r="V666">
        <f>IF($U666=1,SUMPRODUCT(--($X$2:$X$1501&lt;$X666))+1,"")</f>
        <v/>
      </c>
      <c r="W666">
        <f>IF($B666="","",IF(OR($S666=TRUE(),$S666="TRUE"),1,0))</f>
        <v/>
      </c>
      <c r="X666">
        <f>IF($U666=1,IFERROR(IF(VALUE($B666)&lt;100000000,VALUE($B666),1000000000),IFERROR(IF(VALUE(MID($B666,2,20))&lt;100000000,VALUE(MID($B666,2,20)),1000000000),1000000000))+ROW()/100000,"")</f>
        <v/>
      </c>
    </row>
    <row r="667">
      <c r="A667">
        <f>IF($B667="","",IFERROR(IF(INDEX('Per Invoice'!$C$2:$C$401,MATCH($B667,'Per Invoice'!$A$2:$A$401,0))=0,"",INDEX('Per Invoice'!$C$2:$C$401,MATCH($B667,'Per Invoice'!$A$2:$A$401,0))),""))</f>
        <v/>
      </c>
      <c r="G667" s="7">
        <f>IF($B667="","",F667*L667/100)</f>
        <v/>
      </c>
      <c r="K667" s="7" t="n"/>
      <c r="L667" s="7" t="n"/>
      <c r="M667" s="7">
        <f>IF($B667="","",L667*T667/100)</f>
        <v/>
      </c>
      <c r="N667" s="7">
        <f>IF($B667="","",L667-M667)</f>
        <v/>
      </c>
      <c r="O667" s="7">
        <f>IF($B667="","",N667-G667)</f>
        <v/>
      </c>
      <c r="R667" s="14" t="n"/>
      <c r="T667">
        <f>IF($B667="","",IF($W667=1,Settings!$C$6,Settings!$C$7)*100)</f>
        <v/>
      </c>
      <c r="U667">
        <f>IF($B667="","",IF(COUNTIF($B$2:$B667,$B667)=1,1,0))</f>
        <v/>
      </c>
      <c r="V667">
        <f>IF($U667=1,SUMPRODUCT(--($X$2:$X$1501&lt;$X667))+1,"")</f>
        <v/>
      </c>
      <c r="W667">
        <f>IF($B667="","",IF(OR($S667=TRUE(),$S667="TRUE"),1,0))</f>
        <v/>
      </c>
      <c r="X667">
        <f>IF($U667=1,IFERROR(IF(VALUE($B667)&lt;100000000,VALUE($B667),1000000000),IFERROR(IF(VALUE(MID($B667,2,20))&lt;100000000,VALUE(MID($B667,2,20)),1000000000),1000000000))+ROW()/100000,"")</f>
        <v/>
      </c>
    </row>
    <row r="668">
      <c r="A668">
        <f>IF($B668="","",IFERROR(IF(INDEX('Per Invoice'!$C$2:$C$401,MATCH($B668,'Per Invoice'!$A$2:$A$401,0))=0,"",INDEX('Per Invoice'!$C$2:$C$401,MATCH($B668,'Per Invoice'!$A$2:$A$401,0))),""))</f>
        <v/>
      </c>
      <c r="G668" s="7">
        <f>IF($B668="","",F668*L668/100)</f>
        <v/>
      </c>
      <c r="K668" s="7" t="n"/>
      <c r="L668" s="7" t="n"/>
      <c r="M668" s="7">
        <f>IF($B668="","",L668*T668/100)</f>
        <v/>
      </c>
      <c r="N668" s="7">
        <f>IF($B668="","",L668-M668)</f>
        <v/>
      </c>
      <c r="O668" s="7">
        <f>IF($B668="","",N668-G668)</f>
        <v/>
      </c>
      <c r="R668" s="14" t="n"/>
      <c r="T668">
        <f>IF($B668="","",IF($W668=1,Settings!$C$6,Settings!$C$7)*100)</f>
        <v/>
      </c>
      <c r="U668">
        <f>IF($B668="","",IF(COUNTIF($B$2:$B668,$B668)=1,1,0))</f>
        <v/>
      </c>
      <c r="V668">
        <f>IF($U668=1,SUMPRODUCT(--($X$2:$X$1501&lt;$X668))+1,"")</f>
        <v/>
      </c>
      <c r="W668">
        <f>IF($B668="","",IF(OR($S668=TRUE(),$S668="TRUE"),1,0))</f>
        <v/>
      </c>
      <c r="X668">
        <f>IF($U668=1,IFERROR(IF(VALUE($B668)&lt;100000000,VALUE($B668),1000000000),IFERROR(IF(VALUE(MID($B668,2,20))&lt;100000000,VALUE(MID($B668,2,20)),1000000000),1000000000))+ROW()/100000,"")</f>
        <v/>
      </c>
    </row>
    <row r="669">
      <c r="A669">
        <f>IF($B669="","",IFERROR(IF(INDEX('Per Invoice'!$C$2:$C$401,MATCH($B669,'Per Invoice'!$A$2:$A$401,0))=0,"",INDEX('Per Invoice'!$C$2:$C$401,MATCH($B669,'Per Invoice'!$A$2:$A$401,0))),""))</f>
        <v/>
      </c>
      <c r="G669" s="7">
        <f>IF($B669="","",F669*L669/100)</f>
        <v/>
      </c>
      <c r="K669" s="7" t="n"/>
      <c r="L669" s="7" t="n"/>
      <c r="M669" s="7">
        <f>IF($B669="","",L669*T669/100)</f>
        <v/>
      </c>
      <c r="N669" s="7">
        <f>IF($B669="","",L669-M669)</f>
        <v/>
      </c>
      <c r="O669" s="7">
        <f>IF($B669="","",N669-G669)</f>
        <v/>
      </c>
      <c r="R669" s="14" t="n"/>
      <c r="T669">
        <f>IF($B669="","",IF($W669=1,Settings!$C$6,Settings!$C$7)*100)</f>
        <v/>
      </c>
      <c r="U669">
        <f>IF($B669="","",IF(COUNTIF($B$2:$B669,$B669)=1,1,0))</f>
        <v/>
      </c>
      <c r="V669">
        <f>IF($U669=1,SUMPRODUCT(--($X$2:$X$1501&lt;$X669))+1,"")</f>
        <v/>
      </c>
      <c r="W669">
        <f>IF($B669="","",IF(OR($S669=TRUE(),$S669="TRUE"),1,0))</f>
        <v/>
      </c>
      <c r="X669">
        <f>IF($U669=1,IFERROR(IF(VALUE($B669)&lt;100000000,VALUE($B669),1000000000),IFERROR(IF(VALUE(MID($B669,2,20))&lt;100000000,VALUE(MID($B669,2,20)),1000000000),1000000000))+ROW()/100000,"")</f>
        <v/>
      </c>
    </row>
    <row r="670">
      <c r="A670">
        <f>IF($B670="","",IFERROR(IF(INDEX('Per Invoice'!$C$2:$C$401,MATCH($B670,'Per Invoice'!$A$2:$A$401,0))=0,"",INDEX('Per Invoice'!$C$2:$C$401,MATCH($B670,'Per Invoice'!$A$2:$A$401,0))),""))</f>
        <v/>
      </c>
      <c r="G670" s="7">
        <f>IF($B670="","",F670*L670/100)</f>
        <v/>
      </c>
      <c r="K670" s="7" t="n"/>
      <c r="L670" s="7" t="n"/>
      <c r="M670" s="7">
        <f>IF($B670="","",L670*T670/100)</f>
        <v/>
      </c>
      <c r="N670" s="7">
        <f>IF($B670="","",L670-M670)</f>
        <v/>
      </c>
      <c r="O670" s="7">
        <f>IF($B670="","",N670-G670)</f>
        <v/>
      </c>
      <c r="R670" s="14" t="n"/>
      <c r="T670">
        <f>IF($B670="","",IF($W670=1,Settings!$C$6,Settings!$C$7)*100)</f>
        <v/>
      </c>
      <c r="U670">
        <f>IF($B670="","",IF(COUNTIF($B$2:$B670,$B670)=1,1,0))</f>
        <v/>
      </c>
      <c r="V670">
        <f>IF($U670=1,SUMPRODUCT(--($X$2:$X$1501&lt;$X670))+1,"")</f>
        <v/>
      </c>
      <c r="W670">
        <f>IF($B670="","",IF(OR($S670=TRUE(),$S670="TRUE"),1,0))</f>
        <v/>
      </c>
      <c r="X670">
        <f>IF($U670=1,IFERROR(IF(VALUE($B670)&lt;100000000,VALUE($B670),1000000000),IFERROR(IF(VALUE(MID($B670,2,20))&lt;100000000,VALUE(MID($B670,2,20)),1000000000),1000000000))+ROW()/100000,"")</f>
        <v/>
      </c>
    </row>
    <row r="671">
      <c r="A671">
        <f>IF($B671="","",IFERROR(IF(INDEX('Per Invoice'!$C$2:$C$401,MATCH($B671,'Per Invoice'!$A$2:$A$401,0))=0,"",INDEX('Per Invoice'!$C$2:$C$401,MATCH($B671,'Per Invoice'!$A$2:$A$401,0))),""))</f>
        <v/>
      </c>
      <c r="G671" s="7">
        <f>IF($B671="","",F671*L671/100)</f>
        <v/>
      </c>
      <c r="K671" s="7" t="n"/>
      <c r="L671" s="7" t="n"/>
      <c r="M671" s="7">
        <f>IF($B671="","",L671*T671/100)</f>
        <v/>
      </c>
      <c r="N671" s="7">
        <f>IF($B671="","",L671-M671)</f>
        <v/>
      </c>
      <c r="O671" s="7">
        <f>IF($B671="","",N671-G671)</f>
        <v/>
      </c>
      <c r="R671" s="14" t="n"/>
      <c r="T671">
        <f>IF($B671="","",IF($W671=1,Settings!$C$6,Settings!$C$7)*100)</f>
        <v/>
      </c>
      <c r="U671">
        <f>IF($B671="","",IF(COUNTIF($B$2:$B671,$B671)=1,1,0))</f>
        <v/>
      </c>
      <c r="V671">
        <f>IF($U671=1,SUMPRODUCT(--($X$2:$X$1501&lt;$X671))+1,"")</f>
        <v/>
      </c>
      <c r="W671">
        <f>IF($B671="","",IF(OR($S671=TRUE(),$S671="TRUE"),1,0))</f>
        <v/>
      </c>
      <c r="X671">
        <f>IF($U671=1,IFERROR(IF(VALUE($B671)&lt;100000000,VALUE($B671),1000000000),IFERROR(IF(VALUE(MID($B671,2,20))&lt;100000000,VALUE(MID($B671,2,20)),1000000000),1000000000))+ROW()/100000,"")</f>
        <v/>
      </c>
    </row>
    <row r="672">
      <c r="A672">
        <f>IF($B672="","",IFERROR(IF(INDEX('Per Invoice'!$C$2:$C$401,MATCH($B672,'Per Invoice'!$A$2:$A$401,0))=0,"",INDEX('Per Invoice'!$C$2:$C$401,MATCH($B672,'Per Invoice'!$A$2:$A$401,0))),""))</f>
        <v/>
      </c>
      <c r="G672" s="7">
        <f>IF($B672="","",F672*L672/100)</f>
        <v/>
      </c>
      <c r="K672" s="7" t="n"/>
      <c r="L672" s="7" t="n"/>
      <c r="M672" s="7">
        <f>IF($B672="","",L672*T672/100)</f>
        <v/>
      </c>
      <c r="N672" s="7">
        <f>IF($B672="","",L672-M672)</f>
        <v/>
      </c>
      <c r="O672" s="7">
        <f>IF($B672="","",N672-G672)</f>
        <v/>
      </c>
      <c r="R672" s="14" t="n"/>
      <c r="T672">
        <f>IF($B672="","",IF($W672=1,Settings!$C$6,Settings!$C$7)*100)</f>
        <v/>
      </c>
      <c r="U672">
        <f>IF($B672="","",IF(COUNTIF($B$2:$B672,$B672)=1,1,0))</f>
        <v/>
      </c>
      <c r="V672">
        <f>IF($U672=1,SUMPRODUCT(--($X$2:$X$1501&lt;$X672))+1,"")</f>
        <v/>
      </c>
      <c r="W672">
        <f>IF($B672="","",IF(OR($S672=TRUE(),$S672="TRUE"),1,0))</f>
        <v/>
      </c>
      <c r="X672">
        <f>IF($U672=1,IFERROR(IF(VALUE($B672)&lt;100000000,VALUE($B672),1000000000),IFERROR(IF(VALUE(MID($B672,2,20))&lt;100000000,VALUE(MID($B672,2,20)),1000000000),1000000000))+ROW()/100000,"")</f>
        <v/>
      </c>
    </row>
    <row r="673">
      <c r="A673">
        <f>IF($B673="","",IFERROR(IF(INDEX('Per Invoice'!$C$2:$C$401,MATCH($B673,'Per Invoice'!$A$2:$A$401,0))=0,"",INDEX('Per Invoice'!$C$2:$C$401,MATCH($B673,'Per Invoice'!$A$2:$A$401,0))),""))</f>
        <v/>
      </c>
      <c r="G673" s="7">
        <f>IF($B673="","",F673*L673/100)</f>
        <v/>
      </c>
      <c r="K673" s="7" t="n"/>
      <c r="L673" s="7" t="n"/>
      <c r="M673" s="7">
        <f>IF($B673="","",L673*T673/100)</f>
        <v/>
      </c>
      <c r="N673" s="7">
        <f>IF($B673="","",L673-M673)</f>
        <v/>
      </c>
      <c r="O673" s="7">
        <f>IF($B673="","",N673-G673)</f>
        <v/>
      </c>
      <c r="R673" s="14" t="n"/>
      <c r="T673">
        <f>IF($B673="","",IF($W673=1,Settings!$C$6,Settings!$C$7)*100)</f>
        <v/>
      </c>
      <c r="U673">
        <f>IF($B673="","",IF(COUNTIF($B$2:$B673,$B673)=1,1,0))</f>
        <v/>
      </c>
      <c r="V673">
        <f>IF($U673=1,SUMPRODUCT(--($X$2:$X$1501&lt;$X673))+1,"")</f>
        <v/>
      </c>
      <c r="W673">
        <f>IF($B673="","",IF(OR($S673=TRUE(),$S673="TRUE"),1,0))</f>
        <v/>
      </c>
      <c r="X673">
        <f>IF($U673=1,IFERROR(IF(VALUE($B673)&lt;100000000,VALUE($B673),1000000000),IFERROR(IF(VALUE(MID($B673,2,20))&lt;100000000,VALUE(MID($B673,2,20)),1000000000),1000000000))+ROW()/100000,"")</f>
        <v/>
      </c>
    </row>
    <row r="674">
      <c r="A674">
        <f>IF($B674="","",IFERROR(IF(INDEX('Per Invoice'!$C$2:$C$401,MATCH($B674,'Per Invoice'!$A$2:$A$401,0))=0,"",INDEX('Per Invoice'!$C$2:$C$401,MATCH($B674,'Per Invoice'!$A$2:$A$401,0))),""))</f>
        <v/>
      </c>
      <c r="G674" s="7">
        <f>IF($B674="","",F674*L674/100)</f>
        <v/>
      </c>
      <c r="K674" s="7" t="n"/>
      <c r="L674" s="7" t="n"/>
      <c r="M674" s="7">
        <f>IF($B674="","",L674*T674/100)</f>
        <v/>
      </c>
      <c r="N674" s="7">
        <f>IF($B674="","",L674-M674)</f>
        <v/>
      </c>
      <c r="O674" s="7">
        <f>IF($B674="","",N674-G674)</f>
        <v/>
      </c>
      <c r="R674" s="14" t="n"/>
      <c r="T674">
        <f>IF($B674="","",IF($W674=1,Settings!$C$6,Settings!$C$7)*100)</f>
        <v/>
      </c>
      <c r="U674">
        <f>IF($B674="","",IF(COUNTIF($B$2:$B674,$B674)=1,1,0))</f>
        <v/>
      </c>
      <c r="V674">
        <f>IF($U674=1,SUMPRODUCT(--($X$2:$X$1501&lt;$X674))+1,"")</f>
        <v/>
      </c>
      <c r="W674">
        <f>IF($B674="","",IF(OR($S674=TRUE(),$S674="TRUE"),1,0))</f>
        <v/>
      </c>
      <c r="X674">
        <f>IF($U674=1,IFERROR(IF(VALUE($B674)&lt;100000000,VALUE($B674),1000000000),IFERROR(IF(VALUE(MID($B674,2,20))&lt;100000000,VALUE(MID($B674,2,20)),1000000000),1000000000))+ROW()/100000,"")</f>
        <v/>
      </c>
    </row>
    <row r="675">
      <c r="A675">
        <f>IF($B675="","",IFERROR(IF(INDEX('Per Invoice'!$C$2:$C$401,MATCH($B675,'Per Invoice'!$A$2:$A$401,0))=0,"",INDEX('Per Invoice'!$C$2:$C$401,MATCH($B675,'Per Invoice'!$A$2:$A$401,0))),""))</f>
        <v/>
      </c>
      <c r="G675" s="7">
        <f>IF($B675="","",F675*L675/100)</f>
        <v/>
      </c>
      <c r="K675" s="7" t="n"/>
      <c r="L675" s="7" t="n"/>
      <c r="M675" s="7">
        <f>IF($B675="","",L675*T675/100)</f>
        <v/>
      </c>
      <c r="N675" s="7">
        <f>IF($B675="","",L675-M675)</f>
        <v/>
      </c>
      <c r="O675" s="7">
        <f>IF($B675="","",N675-G675)</f>
        <v/>
      </c>
      <c r="R675" s="14" t="n"/>
      <c r="T675">
        <f>IF($B675="","",IF($W675=1,Settings!$C$6,Settings!$C$7)*100)</f>
        <v/>
      </c>
      <c r="U675">
        <f>IF($B675="","",IF(COUNTIF($B$2:$B675,$B675)=1,1,0))</f>
        <v/>
      </c>
      <c r="V675">
        <f>IF($U675=1,SUMPRODUCT(--($X$2:$X$1501&lt;$X675))+1,"")</f>
        <v/>
      </c>
      <c r="W675">
        <f>IF($B675="","",IF(OR($S675=TRUE(),$S675="TRUE"),1,0))</f>
        <v/>
      </c>
      <c r="X675">
        <f>IF($U675=1,IFERROR(IF(VALUE($B675)&lt;100000000,VALUE($B675),1000000000),IFERROR(IF(VALUE(MID($B675,2,20))&lt;100000000,VALUE(MID($B675,2,20)),1000000000),1000000000))+ROW()/100000,"")</f>
        <v/>
      </c>
    </row>
    <row r="676">
      <c r="A676">
        <f>IF($B676="","",IFERROR(IF(INDEX('Per Invoice'!$C$2:$C$401,MATCH($B676,'Per Invoice'!$A$2:$A$401,0))=0,"",INDEX('Per Invoice'!$C$2:$C$401,MATCH($B676,'Per Invoice'!$A$2:$A$401,0))),""))</f>
        <v/>
      </c>
      <c r="G676" s="7">
        <f>IF($B676="","",F676*L676/100)</f>
        <v/>
      </c>
      <c r="K676" s="7" t="n"/>
      <c r="L676" s="7" t="n"/>
      <c r="M676" s="7">
        <f>IF($B676="","",L676*T676/100)</f>
        <v/>
      </c>
      <c r="N676" s="7">
        <f>IF($B676="","",L676-M676)</f>
        <v/>
      </c>
      <c r="O676" s="7">
        <f>IF($B676="","",N676-G676)</f>
        <v/>
      </c>
      <c r="R676" s="14" t="n"/>
      <c r="T676">
        <f>IF($B676="","",IF($W676=1,Settings!$C$6,Settings!$C$7)*100)</f>
        <v/>
      </c>
      <c r="U676">
        <f>IF($B676="","",IF(COUNTIF($B$2:$B676,$B676)=1,1,0))</f>
        <v/>
      </c>
      <c r="V676">
        <f>IF($U676=1,SUMPRODUCT(--($X$2:$X$1501&lt;$X676))+1,"")</f>
        <v/>
      </c>
      <c r="W676">
        <f>IF($B676="","",IF(OR($S676=TRUE(),$S676="TRUE"),1,0))</f>
        <v/>
      </c>
      <c r="X676">
        <f>IF($U676=1,IFERROR(IF(VALUE($B676)&lt;100000000,VALUE($B676),1000000000),IFERROR(IF(VALUE(MID($B676,2,20))&lt;100000000,VALUE(MID($B676,2,20)),1000000000),1000000000))+ROW()/100000,"")</f>
        <v/>
      </c>
    </row>
    <row r="677">
      <c r="A677">
        <f>IF($B677="","",IFERROR(IF(INDEX('Per Invoice'!$C$2:$C$401,MATCH($B677,'Per Invoice'!$A$2:$A$401,0))=0,"",INDEX('Per Invoice'!$C$2:$C$401,MATCH($B677,'Per Invoice'!$A$2:$A$401,0))),""))</f>
        <v/>
      </c>
      <c r="G677" s="7">
        <f>IF($B677="","",F677*L677/100)</f>
        <v/>
      </c>
      <c r="K677" s="7" t="n"/>
      <c r="L677" s="7" t="n"/>
      <c r="M677" s="7">
        <f>IF($B677="","",L677*T677/100)</f>
        <v/>
      </c>
      <c r="N677" s="7">
        <f>IF($B677="","",L677-M677)</f>
        <v/>
      </c>
      <c r="O677" s="7">
        <f>IF($B677="","",N677-G677)</f>
        <v/>
      </c>
      <c r="R677" s="14" t="n"/>
      <c r="T677">
        <f>IF($B677="","",IF($W677=1,Settings!$C$6,Settings!$C$7)*100)</f>
        <v/>
      </c>
      <c r="U677">
        <f>IF($B677="","",IF(COUNTIF($B$2:$B677,$B677)=1,1,0))</f>
        <v/>
      </c>
      <c r="V677">
        <f>IF($U677=1,SUMPRODUCT(--($X$2:$X$1501&lt;$X677))+1,"")</f>
        <v/>
      </c>
      <c r="W677">
        <f>IF($B677="","",IF(OR($S677=TRUE(),$S677="TRUE"),1,0))</f>
        <v/>
      </c>
      <c r="X677">
        <f>IF($U677=1,IFERROR(IF(VALUE($B677)&lt;100000000,VALUE($B677),1000000000),IFERROR(IF(VALUE(MID($B677,2,20))&lt;100000000,VALUE(MID($B677,2,20)),1000000000),1000000000))+ROW()/100000,"")</f>
        <v/>
      </c>
    </row>
    <row r="678">
      <c r="A678">
        <f>IF($B678="","",IFERROR(IF(INDEX('Per Invoice'!$C$2:$C$401,MATCH($B678,'Per Invoice'!$A$2:$A$401,0))=0,"",INDEX('Per Invoice'!$C$2:$C$401,MATCH($B678,'Per Invoice'!$A$2:$A$401,0))),""))</f>
        <v/>
      </c>
      <c r="G678" s="7">
        <f>IF($B678="","",F678*L678/100)</f>
        <v/>
      </c>
      <c r="K678" s="7" t="n"/>
      <c r="L678" s="7" t="n"/>
      <c r="M678" s="7">
        <f>IF($B678="","",L678*T678/100)</f>
        <v/>
      </c>
      <c r="N678" s="7">
        <f>IF($B678="","",L678-M678)</f>
        <v/>
      </c>
      <c r="O678" s="7">
        <f>IF($B678="","",N678-G678)</f>
        <v/>
      </c>
      <c r="R678" s="14" t="n"/>
      <c r="T678">
        <f>IF($B678="","",IF($W678=1,Settings!$C$6,Settings!$C$7)*100)</f>
        <v/>
      </c>
      <c r="U678">
        <f>IF($B678="","",IF(COUNTIF($B$2:$B678,$B678)=1,1,0))</f>
        <v/>
      </c>
      <c r="V678">
        <f>IF($U678=1,SUMPRODUCT(--($X$2:$X$1501&lt;$X678))+1,"")</f>
        <v/>
      </c>
      <c r="W678">
        <f>IF($B678="","",IF(OR($S678=TRUE(),$S678="TRUE"),1,0))</f>
        <v/>
      </c>
      <c r="X678">
        <f>IF($U678=1,IFERROR(IF(VALUE($B678)&lt;100000000,VALUE($B678),1000000000),IFERROR(IF(VALUE(MID($B678,2,20))&lt;100000000,VALUE(MID($B678,2,20)),1000000000),1000000000))+ROW()/100000,"")</f>
        <v/>
      </c>
    </row>
    <row r="679">
      <c r="A679">
        <f>IF($B679="","",IFERROR(IF(INDEX('Per Invoice'!$C$2:$C$401,MATCH($B679,'Per Invoice'!$A$2:$A$401,0))=0,"",INDEX('Per Invoice'!$C$2:$C$401,MATCH($B679,'Per Invoice'!$A$2:$A$401,0))),""))</f>
        <v/>
      </c>
      <c r="G679" s="7">
        <f>IF($B679="","",F679*L679/100)</f>
        <v/>
      </c>
      <c r="K679" s="7" t="n"/>
      <c r="L679" s="7" t="n"/>
      <c r="M679" s="7">
        <f>IF($B679="","",L679*T679/100)</f>
        <v/>
      </c>
      <c r="N679" s="7">
        <f>IF($B679="","",L679-M679)</f>
        <v/>
      </c>
      <c r="O679" s="7">
        <f>IF($B679="","",N679-G679)</f>
        <v/>
      </c>
      <c r="R679" s="14" t="n"/>
      <c r="T679">
        <f>IF($B679="","",IF($W679=1,Settings!$C$6,Settings!$C$7)*100)</f>
        <v/>
      </c>
      <c r="U679">
        <f>IF($B679="","",IF(COUNTIF($B$2:$B679,$B679)=1,1,0))</f>
        <v/>
      </c>
      <c r="V679">
        <f>IF($U679=1,SUMPRODUCT(--($X$2:$X$1501&lt;$X679))+1,"")</f>
        <v/>
      </c>
      <c r="W679">
        <f>IF($B679="","",IF(OR($S679=TRUE(),$S679="TRUE"),1,0))</f>
        <v/>
      </c>
      <c r="X679">
        <f>IF($U679=1,IFERROR(IF(VALUE($B679)&lt;100000000,VALUE($B679),1000000000),IFERROR(IF(VALUE(MID($B679,2,20))&lt;100000000,VALUE(MID($B679,2,20)),1000000000),1000000000))+ROW()/100000,"")</f>
        <v/>
      </c>
    </row>
    <row r="680">
      <c r="A680">
        <f>IF($B680="","",IFERROR(IF(INDEX('Per Invoice'!$C$2:$C$401,MATCH($B680,'Per Invoice'!$A$2:$A$401,0))=0,"",INDEX('Per Invoice'!$C$2:$C$401,MATCH($B680,'Per Invoice'!$A$2:$A$401,0))),""))</f>
        <v/>
      </c>
      <c r="G680" s="7">
        <f>IF($B680="","",F680*L680/100)</f>
        <v/>
      </c>
      <c r="K680" s="7" t="n"/>
      <c r="L680" s="7" t="n"/>
      <c r="M680" s="7">
        <f>IF($B680="","",L680*T680/100)</f>
        <v/>
      </c>
      <c r="N680" s="7">
        <f>IF($B680="","",L680-M680)</f>
        <v/>
      </c>
      <c r="O680" s="7">
        <f>IF($B680="","",N680-G680)</f>
        <v/>
      </c>
      <c r="R680" s="14" t="n"/>
      <c r="T680">
        <f>IF($B680="","",IF($W680=1,Settings!$C$6,Settings!$C$7)*100)</f>
        <v/>
      </c>
      <c r="U680">
        <f>IF($B680="","",IF(COUNTIF($B$2:$B680,$B680)=1,1,0))</f>
        <v/>
      </c>
      <c r="V680">
        <f>IF($U680=1,SUMPRODUCT(--($X$2:$X$1501&lt;$X680))+1,"")</f>
        <v/>
      </c>
      <c r="W680">
        <f>IF($B680="","",IF(OR($S680=TRUE(),$S680="TRUE"),1,0))</f>
        <v/>
      </c>
      <c r="X680">
        <f>IF($U680=1,IFERROR(IF(VALUE($B680)&lt;100000000,VALUE($B680),1000000000),IFERROR(IF(VALUE(MID($B680,2,20))&lt;100000000,VALUE(MID($B680,2,20)),1000000000),1000000000))+ROW()/100000,"")</f>
        <v/>
      </c>
    </row>
    <row r="681">
      <c r="A681">
        <f>IF($B681="","",IFERROR(IF(INDEX('Per Invoice'!$C$2:$C$401,MATCH($B681,'Per Invoice'!$A$2:$A$401,0))=0,"",INDEX('Per Invoice'!$C$2:$C$401,MATCH($B681,'Per Invoice'!$A$2:$A$401,0))),""))</f>
        <v/>
      </c>
      <c r="G681" s="7">
        <f>IF($B681="","",F681*L681/100)</f>
        <v/>
      </c>
      <c r="K681" s="7" t="n"/>
      <c r="L681" s="7" t="n"/>
      <c r="M681" s="7">
        <f>IF($B681="","",L681*T681/100)</f>
        <v/>
      </c>
      <c r="N681" s="7">
        <f>IF($B681="","",L681-M681)</f>
        <v/>
      </c>
      <c r="O681" s="7">
        <f>IF($B681="","",N681-G681)</f>
        <v/>
      </c>
      <c r="R681" s="14" t="n"/>
      <c r="T681">
        <f>IF($B681="","",IF($W681=1,Settings!$C$6,Settings!$C$7)*100)</f>
        <v/>
      </c>
      <c r="U681">
        <f>IF($B681="","",IF(COUNTIF($B$2:$B681,$B681)=1,1,0))</f>
        <v/>
      </c>
      <c r="V681">
        <f>IF($U681=1,SUMPRODUCT(--($X$2:$X$1501&lt;$X681))+1,"")</f>
        <v/>
      </c>
      <c r="W681">
        <f>IF($B681="","",IF(OR($S681=TRUE(),$S681="TRUE"),1,0))</f>
        <v/>
      </c>
      <c r="X681">
        <f>IF($U681=1,IFERROR(IF(VALUE($B681)&lt;100000000,VALUE($B681),1000000000),IFERROR(IF(VALUE(MID($B681,2,20))&lt;100000000,VALUE(MID($B681,2,20)),1000000000),1000000000))+ROW()/100000,"")</f>
        <v/>
      </c>
    </row>
    <row r="682">
      <c r="A682">
        <f>IF($B682="","",IFERROR(IF(INDEX('Per Invoice'!$C$2:$C$401,MATCH($B682,'Per Invoice'!$A$2:$A$401,0))=0,"",INDEX('Per Invoice'!$C$2:$C$401,MATCH($B682,'Per Invoice'!$A$2:$A$401,0))),""))</f>
        <v/>
      </c>
      <c r="G682" s="7">
        <f>IF($B682="","",F682*L682/100)</f>
        <v/>
      </c>
      <c r="K682" s="7" t="n"/>
      <c r="L682" s="7" t="n"/>
      <c r="M682" s="7">
        <f>IF($B682="","",L682*T682/100)</f>
        <v/>
      </c>
      <c r="N682" s="7">
        <f>IF($B682="","",L682-M682)</f>
        <v/>
      </c>
      <c r="O682" s="7">
        <f>IF($B682="","",N682-G682)</f>
        <v/>
      </c>
      <c r="R682" s="14" t="n"/>
      <c r="T682">
        <f>IF($B682="","",IF($W682=1,Settings!$C$6,Settings!$C$7)*100)</f>
        <v/>
      </c>
      <c r="U682">
        <f>IF($B682="","",IF(COUNTIF($B$2:$B682,$B682)=1,1,0))</f>
        <v/>
      </c>
      <c r="V682">
        <f>IF($U682=1,SUMPRODUCT(--($X$2:$X$1501&lt;$X682))+1,"")</f>
        <v/>
      </c>
      <c r="W682">
        <f>IF($B682="","",IF(OR($S682=TRUE(),$S682="TRUE"),1,0))</f>
        <v/>
      </c>
      <c r="X682">
        <f>IF($U682=1,IFERROR(IF(VALUE($B682)&lt;100000000,VALUE($B682),1000000000),IFERROR(IF(VALUE(MID($B682,2,20))&lt;100000000,VALUE(MID($B682,2,20)),1000000000),1000000000))+ROW()/100000,"")</f>
        <v/>
      </c>
    </row>
    <row r="683">
      <c r="A683">
        <f>IF($B683="","",IFERROR(IF(INDEX('Per Invoice'!$C$2:$C$401,MATCH($B683,'Per Invoice'!$A$2:$A$401,0))=0,"",INDEX('Per Invoice'!$C$2:$C$401,MATCH($B683,'Per Invoice'!$A$2:$A$401,0))),""))</f>
        <v/>
      </c>
      <c r="G683" s="7">
        <f>IF($B683="","",F683*L683/100)</f>
        <v/>
      </c>
      <c r="K683" s="7" t="n"/>
      <c r="L683" s="7" t="n"/>
      <c r="M683" s="7">
        <f>IF($B683="","",L683*T683/100)</f>
        <v/>
      </c>
      <c r="N683" s="7">
        <f>IF($B683="","",L683-M683)</f>
        <v/>
      </c>
      <c r="O683" s="7">
        <f>IF($B683="","",N683-G683)</f>
        <v/>
      </c>
      <c r="R683" s="14" t="n"/>
      <c r="T683">
        <f>IF($B683="","",IF($W683=1,Settings!$C$6,Settings!$C$7)*100)</f>
        <v/>
      </c>
      <c r="U683">
        <f>IF($B683="","",IF(COUNTIF($B$2:$B683,$B683)=1,1,0))</f>
        <v/>
      </c>
      <c r="V683">
        <f>IF($U683=1,SUMPRODUCT(--($X$2:$X$1501&lt;$X683))+1,"")</f>
        <v/>
      </c>
      <c r="W683">
        <f>IF($B683="","",IF(OR($S683=TRUE(),$S683="TRUE"),1,0))</f>
        <v/>
      </c>
      <c r="X683">
        <f>IF($U683=1,IFERROR(IF(VALUE($B683)&lt;100000000,VALUE($B683),1000000000),IFERROR(IF(VALUE(MID($B683,2,20))&lt;100000000,VALUE(MID($B683,2,20)),1000000000),1000000000))+ROW()/100000,"")</f>
        <v/>
      </c>
    </row>
    <row r="684">
      <c r="A684">
        <f>IF($B684="","",IFERROR(IF(INDEX('Per Invoice'!$C$2:$C$401,MATCH($B684,'Per Invoice'!$A$2:$A$401,0))=0,"",INDEX('Per Invoice'!$C$2:$C$401,MATCH($B684,'Per Invoice'!$A$2:$A$401,0))),""))</f>
        <v/>
      </c>
      <c r="G684" s="7">
        <f>IF($B684="","",F684*L684/100)</f>
        <v/>
      </c>
      <c r="K684" s="7" t="n"/>
      <c r="L684" s="7" t="n"/>
      <c r="M684" s="7">
        <f>IF($B684="","",L684*T684/100)</f>
        <v/>
      </c>
      <c r="N684" s="7">
        <f>IF($B684="","",L684-M684)</f>
        <v/>
      </c>
      <c r="O684" s="7">
        <f>IF($B684="","",N684-G684)</f>
        <v/>
      </c>
      <c r="R684" s="14" t="n"/>
      <c r="T684">
        <f>IF($B684="","",IF($W684=1,Settings!$C$6,Settings!$C$7)*100)</f>
        <v/>
      </c>
      <c r="U684">
        <f>IF($B684="","",IF(COUNTIF($B$2:$B684,$B684)=1,1,0))</f>
        <v/>
      </c>
      <c r="V684">
        <f>IF($U684=1,SUMPRODUCT(--($X$2:$X$1501&lt;$X684))+1,"")</f>
        <v/>
      </c>
      <c r="W684">
        <f>IF($B684="","",IF(OR($S684=TRUE(),$S684="TRUE"),1,0))</f>
        <v/>
      </c>
      <c r="X684">
        <f>IF($U684=1,IFERROR(IF(VALUE($B684)&lt;100000000,VALUE($B684),1000000000),IFERROR(IF(VALUE(MID($B684,2,20))&lt;100000000,VALUE(MID($B684,2,20)),1000000000),1000000000))+ROW()/100000,"")</f>
        <v/>
      </c>
    </row>
    <row r="685">
      <c r="A685">
        <f>IF($B685="","",IFERROR(IF(INDEX('Per Invoice'!$C$2:$C$401,MATCH($B685,'Per Invoice'!$A$2:$A$401,0))=0,"",INDEX('Per Invoice'!$C$2:$C$401,MATCH($B685,'Per Invoice'!$A$2:$A$401,0))),""))</f>
        <v/>
      </c>
      <c r="G685" s="7">
        <f>IF($B685="","",F685*L685/100)</f>
        <v/>
      </c>
      <c r="K685" s="7" t="n"/>
      <c r="L685" s="7" t="n"/>
      <c r="M685" s="7">
        <f>IF($B685="","",L685*T685/100)</f>
        <v/>
      </c>
      <c r="N685" s="7">
        <f>IF($B685="","",L685-M685)</f>
        <v/>
      </c>
      <c r="O685" s="7">
        <f>IF($B685="","",N685-G685)</f>
        <v/>
      </c>
      <c r="R685" s="14" t="n"/>
      <c r="T685">
        <f>IF($B685="","",IF($W685=1,Settings!$C$6,Settings!$C$7)*100)</f>
        <v/>
      </c>
      <c r="U685">
        <f>IF($B685="","",IF(COUNTIF($B$2:$B685,$B685)=1,1,0))</f>
        <v/>
      </c>
      <c r="V685">
        <f>IF($U685=1,SUMPRODUCT(--($X$2:$X$1501&lt;$X685))+1,"")</f>
        <v/>
      </c>
      <c r="W685">
        <f>IF($B685="","",IF(OR($S685=TRUE(),$S685="TRUE"),1,0))</f>
        <v/>
      </c>
      <c r="X685">
        <f>IF($U685=1,IFERROR(IF(VALUE($B685)&lt;100000000,VALUE($B685),1000000000),IFERROR(IF(VALUE(MID($B685,2,20))&lt;100000000,VALUE(MID($B685,2,20)),1000000000),1000000000))+ROW()/100000,"")</f>
        <v/>
      </c>
    </row>
    <row r="686">
      <c r="A686">
        <f>IF($B686="","",IFERROR(IF(INDEX('Per Invoice'!$C$2:$C$401,MATCH($B686,'Per Invoice'!$A$2:$A$401,0))=0,"",INDEX('Per Invoice'!$C$2:$C$401,MATCH($B686,'Per Invoice'!$A$2:$A$401,0))),""))</f>
        <v/>
      </c>
      <c r="G686" s="7">
        <f>IF($B686="","",F686*L686/100)</f>
        <v/>
      </c>
      <c r="K686" s="7" t="n"/>
      <c r="L686" s="7" t="n"/>
      <c r="M686" s="7">
        <f>IF($B686="","",L686*T686/100)</f>
        <v/>
      </c>
      <c r="N686" s="7">
        <f>IF($B686="","",L686-M686)</f>
        <v/>
      </c>
      <c r="O686" s="7">
        <f>IF($B686="","",N686-G686)</f>
        <v/>
      </c>
      <c r="R686" s="14" t="n"/>
      <c r="T686">
        <f>IF($B686="","",IF($W686=1,Settings!$C$6,Settings!$C$7)*100)</f>
        <v/>
      </c>
      <c r="U686">
        <f>IF($B686="","",IF(COUNTIF($B$2:$B686,$B686)=1,1,0))</f>
        <v/>
      </c>
      <c r="V686">
        <f>IF($U686=1,SUMPRODUCT(--($X$2:$X$1501&lt;$X686))+1,"")</f>
        <v/>
      </c>
      <c r="W686">
        <f>IF($B686="","",IF(OR($S686=TRUE(),$S686="TRUE"),1,0))</f>
        <v/>
      </c>
      <c r="X686">
        <f>IF($U686=1,IFERROR(IF(VALUE($B686)&lt;100000000,VALUE($B686),1000000000),IFERROR(IF(VALUE(MID($B686,2,20))&lt;100000000,VALUE(MID($B686,2,20)),1000000000),1000000000))+ROW()/100000,"")</f>
        <v/>
      </c>
    </row>
    <row r="687">
      <c r="A687">
        <f>IF($B687="","",IFERROR(IF(INDEX('Per Invoice'!$C$2:$C$401,MATCH($B687,'Per Invoice'!$A$2:$A$401,0))=0,"",INDEX('Per Invoice'!$C$2:$C$401,MATCH($B687,'Per Invoice'!$A$2:$A$401,0))),""))</f>
        <v/>
      </c>
      <c r="G687" s="7">
        <f>IF($B687="","",F687*L687/100)</f>
        <v/>
      </c>
      <c r="K687" s="7" t="n"/>
      <c r="L687" s="7" t="n"/>
      <c r="M687" s="7">
        <f>IF($B687="","",L687*T687/100)</f>
        <v/>
      </c>
      <c r="N687" s="7">
        <f>IF($B687="","",L687-M687)</f>
        <v/>
      </c>
      <c r="O687" s="7">
        <f>IF($B687="","",N687-G687)</f>
        <v/>
      </c>
      <c r="R687" s="14" t="n"/>
      <c r="T687">
        <f>IF($B687="","",IF($W687=1,Settings!$C$6,Settings!$C$7)*100)</f>
        <v/>
      </c>
      <c r="U687">
        <f>IF($B687="","",IF(COUNTIF($B$2:$B687,$B687)=1,1,0))</f>
        <v/>
      </c>
      <c r="V687">
        <f>IF($U687=1,SUMPRODUCT(--($X$2:$X$1501&lt;$X687))+1,"")</f>
        <v/>
      </c>
      <c r="W687">
        <f>IF($B687="","",IF(OR($S687=TRUE(),$S687="TRUE"),1,0))</f>
        <v/>
      </c>
      <c r="X687">
        <f>IF($U687=1,IFERROR(IF(VALUE($B687)&lt;100000000,VALUE($B687),1000000000),IFERROR(IF(VALUE(MID($B687,2,20))&lt;100000000,VALUE(MID($B687,2,20)),1000000000),1000000000))+ROW()/100000,"")</f>
        <v/>
      </c>
    </row>
    <row r="688">
      <c r="A688">
        <f>IF($B688="","",IFERROR(IF(INDEX('Per Invoice'!$C$2:$C$401,MATCH($B688,'Per Invoice'!$A$2:$A$401,0))=0,"",INDEX('Per Invoice'!$C$2:$C$401,MATCH($B688,'Per Invoice'!$A$2:$A$401,0))),""))</f>
        <v/>
      </c>
      <c r="G688" s="7">
        <f>IF($B688="","",F688*L688/100)</f>
        <v/>
      </c>
      <c r="K688" s="7" t="n"/>
      <c r="L688" s="7" t="n"/>
      <c r="M688" s="7">
        <f>IF($B688="","",L688*T688/100)</f>
        <v/>
      </c>
      <c r="N688" s="7">
        <f>IF($B688="","",L688-M688)</f>
        <v/>
      </c>
      <c r="O688" s="7">
        <f>IF($B688="","",N688-G688)</f>
        <v/>
      </c>
      <c r="R688" s="14" t="n"/>
      <c r="T688">
        <f>IF($B688="","",IF($W688=1,Settings!$C$6,Settings!$C$7)*100)</f>
        <v/>
      </c>
      <c r="U688">
        <f>IF($B688="","",IF(COUNTIF($B$2:$B688,$B688)=1,1,0))</f>
        <v/>
      </c>
      <c r="V688">
        <f>IF($U688=1,SUMPRODUCT(--($X$2:$X$1501&lt;$X688))+1,"")</f>
        <v/>
      </c>
      <c r="W688">
        <f>IF($B688="","",IF(OR($S688=TRUE(),$S688="TRUE"),1,0))</f>
        <v/>
      </c>
      <c r="X688">
        <f>IF($U688=1,IFERROR(IF(VALUE($B688)&lt;100000000,VALUE($B688),1000000000),IFERROR(IF(VALUE(MID($B688,2,20))&lt;100000000,VALUE(MID($B688,2,20)),1000000000),1000000000))+ROW()/100000,"")</f>
        <v/>
      </c>
    </row>
    <row r="689">
      <c r="A689">
        <f>IF($B689="","",IFERROR(IF(INDEX('Per Invoice'!$C$2:$C$401,MATCH($B689,'Per Invoice'!$A$2:$A$401,0))=0,"",INDEX('Per Invoice'!$C$2:$C$401,MATCH($B689,'Per Invoice'!$A$2:$A$401,0))),""))</f>
        <v/>
      </c>
      <c r="G689" s="7">
        <f>IF($B689="","",F689*L689/100)</f>
        <v/>
      </c>
      <c r="K689" s="7" t="n"/>
      <c r="L689" s="7" t="n"/>
      <c r="M689" s="7">
        <f>IF($B689="","",L689*T689/100)</f>
        <v/>
      </c>
      <c r="N689" s="7">
        <f>IF($B689="","",L689-M689)</f>
        <v/>
      </c>
      <c r="O689" s="7">
        <f>IF($B689="","",N689-G689)</f>
        <v/>
      </c>
      <c r="R689" s="14" t="n"/>
      <c r="T689">
        <f>IF($B689="","",IF($W689=1,Settings!$C$6,Settings!$C$7)*100)</f>
        <v/>
      </c>
      <c r="U689">
        <f>IF($B689="","",IF(COUNTIF($B$2:$B689,$B689)=1,1,0))</f>
        <v/>
      </c>
      <c r="V689">
        <f>IF($U689=1,SUMPRODUCT(--($X$2:$X$1501&lt;$X689))+1,"")</f>
        <v/>
      </c>
      <c r="W689">
        <f>IF($B689="","",IF(OR($S689=TRUE(),$S689="TRUE"),1,0))</f>
        <v/>
      </c>
      <c r="X689">
        <f>IF($U689=1,IFERROR(IF(VALUE($B689)&lt;100000000,VALUE($B689),1000000000),IFERROR(IF(VALUE(MID($B689,2,20))&lt;100000000,VALUE(MID($B689,2,20)),1000000000),1000000000))+ROW()/100000,"")</f>
        <v/>
      </c>
    </row>
    <row r="690">
      <c r="A690">
        <f>IF($B690="","",IFERROR(IF(INDEX('Per Invoice'!$C$2:$C$401,MATCH($B690,'Per Invoice'!$A$2:$A$401,0))=0,"",INDEX('Per Invoice'!$C$2:$C$401,MATCH($B690,'Per Invoice'!$A$2:$A$401,0))),""))</f>
        <v/>
      </c>
      <c r="G690" s="7">
        <f>IF($B690="","",F690*L690/100)</f>
        <v/>
      </c>
      <c r="K690" s="7" t="n"/>
      <c r="L690" s="7" t="n"/>
      <c r="M690" s="7">
        <f>IF($B690="","",L690*T690/100)</f>
        <v/>
      </c>
      <c r="N690" s="7">
        <f>IF($B690="","",L690-M690)</f>
        <v/>
      </c>
      <c r="O690" s="7">
        <f>IF($B690="","",N690-G690)</f>
        <v/>
      </c>
      <c r="R690" s="14" t="n"/>
      <c r="T690">
        <f>IF($B690="","",IF($W690=1,Settings!$C$6,Settings!$C$7)*100)</f>
        <v/>
      </c>
      <c r="U690">
        <f>IF($B690="","",IF(COUNTIF($B$2:$B690,$B690)=1,1,0))</f>
        <v/>
      </c>
      <c r="V690">
        <f>IF($U690=1,SUMPRODUCT(--($X$2:$X$1501&lt;$X690))+1,"")</f>
        <v/>
      </c>
      <c r="W690">
        <f>IF($B690="","",IF(OR($S690=TRUE(),$S690="TRUE"),1,0))</f>
        <v/>
      </c>
      <c r="X690">
        <f>IF($U690=1,IFERROR(IF(VALUE($B690)&lt;100000000,VALUE($B690),1000000000),IFERROR(IF(VALUE(MID($B690,2,20))&lt;100000000,VALUE(MID($B690,2,20)),1000000000),1000000000))+ROW()/100000,"")</f>
        <v/>
      </c>
    </row>
    <row r="691">
      <c r="A691">
        <f>IF($B691="","",IFERROR(IF(INDEX('Per Invoice'!$C$2:$C$401,MATCH($B691,'Per Invoice'!$A$2:$A$401,0))=0,"",INDEX('Per Invoice'!$C$2:$C$401,MATCH($B691,'Per Invoice'!$A$2:$A$401,0))),""))</f>
        <v/>
      </c>
      <c r="G691" s="7">
        <f>IF($B691="","",F691*L691/100)</f>
        <v/>
      </c>
      <c r="K691" s="7" t="n"/>
      <c r="L691" s="7" t="n"/>
      <c r="M691" s="7">
        <f>IF($B691="","",L691*T691/100)</f>
        <v/>
      </c>
      <c r="N691" s="7">
        <f>IF($B691="","",L691-M691)</f>
        <v/>
      </c>
      <c r="O691" s="7">
        <f>IF($B691="","",N691-G691)</f>
        <v/>
      </c>
      <c r="R691" s="14" t="n"/>
      <c r="T691">
        <f>IF($B691="","",IF($W691=1,Settings!$C$6,Settings!$C$7)*100)</f>
        <v/>
      </c>
      <c r="U691">
        <f>IF($B691="","",IF(COUNTIF($B$2:$B691,$B691)=1,1,0))</f>
        <v/>
      </c>
      <c r="V691">
        <f>IF($U691=1,SUMPRODUCT(--($X$2:$X$1501&lt;$X691))+1,"")</f>
        <v/>
      </c>
      <c r="W691">
        <f>IF($B691="","",IF(OR($S691=TRUE(),$S691="TRUE"),1,0))</f>
        <v/>
      </c>
      <c r="X691">
        <f>IF($U691=1,IFERROR(IF(VALUE($B691)&lt;100000000,VALUE($B691),1000000000),IFERROR(IF(VALUE(MID($B691,2,20))&lt;100000000,VALUE(MID($B691,2,20)),1000000000),1000000000))+ROW()/100000,"")</f>
        <v/>
      </c>
    </row>
    <row r="692">
      <c r="A692">
        <f>IF($B692="","",IFERROR(IF(INDEX('Per Invoice'!$C$2:$C$401,MATCH($B692,'Per Invoice'!$A$2:$A$401,0))=0,"",INDEX('Per Invoice'!$C$2:$C$401,MATCH($B692,'Per Invoice'!$A$2:$A$401,0))),""))</f>
        <v/>
      </c>
      <c r="G692" s="7">
        <f>IF($B692="","",F692*L692/100)</f>
        <v/>
      </c>
      <c r="K692" s="7" t="n"/>
      <c r="L692" s="7" t="n"/>
      <c r="M692" s="7">
        <f>IF($B692="","",L692*T692/100)</f>
        <v/>
      </c>
      <c r="N692" s="7">
        <f>IF($B692="","",L692-M692)</f>
        <v/>
      </c>
      <c r="O692" s="7">
        <f>IF($B692="","",N692-G692)</f>
        <v/>
      </c>
      <c r="R692" s="14" t="n"/>
      <c r="T692">
        <f>IF($B692="","",IF($W692=1,Settings!$C$6,Settings!$C$7)*100)</f>
        <v/>
      </c>
      <c r="U692">
        <f>IF($B692="","",IF(COUNTIF($B$2:$B692,$B692)=1,1,0))</f>
        <v/>
      </c>
      <c r="V692">
        <f>IF($U692=1,SUMPRODUCT(--($X$2:$X$1501&lt;$X692))+1,"")</f>
        <v/>
      </c>
      <c r="W692">
        <f>IF($B692="","",IF(OR($S692=TRUE(),$S692="TRUE"),1,0))</f>
        <v/>
      </c>
      <c r="X692">
        <f>IF($U692=1,IFERROR(IF(VALUE($B692)&lt;100000000,VALUE($B692),1000000000),IFERROR(IF(VALUE(MID($B692,2,20))&lt;100000000,VALUE(MID($B692,2,20)),1000000000),1000000000))+ROW()/100000,"")</f>
        <v/>
      </c>
    </row>
    <row r="693">
      <c r="A693">
        <f>IF($B693="","",IFERROR(IF(INDEX('Per Invoice'!$C$2:$C$401,MATCH($B693,'Per Invoice'!$A$2:$A$401,0))=0,"",INDEX('Per Invoice'!$C$2:$C$401,MATCH($B693,'Per Invoice'!$A$2:$A$401,0))),""))</f>
        <v/>
      </c>
      <c r="G693" s="7">
        <f>IF($B693="","",F693*L693/100)</f>
        <v/>
      </c>
      <c r="K693" s="7" t="n"/>
      <c r="L693" s="7" t="n"/>
      <c r="M693" s="7">
        <f>IF($B693="","",L693*T693/100)</f>
        <v/>
      </c>
      <c r="N693" s="7">
        <f>IF($B693="","",L693-M693)</f>
        <v/>
      </c>
      <c r="O693" s="7">
        <f>IF($B693="","",N693-G693)</f>
        <v/>
      </c>
      <c r="R693" s="14" t="n"/>
      <c r="T693">
        <f>IF($B693="","",IF($W693=1,Settings!$C$6,Settings!$C$7)*100)</f>
        <v/>
      </c>
      <c r="U693">
        <f>IF($B693="","",IF(COUNTIF($B$2:$B693,$B693)=1,1,0))</f>
        <v/>
      </c>
      <c r="V693">
        <f>IF($U693=1,SUMPRODUCT(--($X$2:$X$1501&lt;$X693))+1,"")</f>
        <v/>
      </c>
      <c r="W693">
        <f>IF($B693="","",IF(OR($S693=TRUE(),$S693="TRUE"),1,0))</f>
        <v/>
      </c>
      <c r="X693">
        <f>IF($U693=1,IFERROR(IF(VALUE($B693)&lt;100000000,VALUE($B693),1000000000),IFERROR(IF(VALUE(MID($B693,2,20))&lt;100000000,VALUE(MID($B693,2,20)),1000000000),1000000000))+ROW()/100000,"")</f>
        <v/>
      </c>
    </row>
    <row r="694">
      <c r="A694">
        <f>IF($B694="","",IFERROR(IF(INDEX('Per Invoice'!$C$2:$C$401,MATCH($B694,'Per Invoice'!$A$2:$A$401,0))=0,"",INDEX('Per Invoice'!$C$2:$C$401,MATCH($B694,'Per Invoice'!$A$2:$A$401,0))),""))</f>
        <v/>
      </c>
      <c r="G694" s="7">
        <f>IF($B694="","",F694*L694/100)</f>
        <v/>
      </c>
      <c r="K694" s="7" t="n"/>
      <c r="L694" s="7" t="n"/>
      <c r="M694" s="7">
        <f>IF($B694="","",L694*T694/100)</f>
        <v/>
      </c>
      <c r="N694" s="7">
        <f>IF($B694="","",L694-M694)</f>
        <v/>
      </c>
      <c r="O694" s="7">
        <f>IF($B694="","",N694-G694)</f>
        <v/>
      </c>
      <c r="R694" s="14" t="n"/>
      <c r="T694">
        <f>IF($B694="","",IF($W694=1,Settings!$C$6,Settings!$C$7)*100)</f>
        <v/>
      </c>
      <c r="U694">
        <f>IF($B694="","",IF(COUNTIF($B$2:$B694,$B694)=1,1,0))</f>
        <v/>
      </c>
      <c r="V694">
        <f>IF($U694=1,SUMPRODUCT(--($X$2:$X$1501&lt;$X694))+1,"")</f>
        <v/>
      </c>
      <c r="W694">
        <f>IF($B694="","",IF(OR($S694=TRUE(),$S694="TRUE"),1,0))</f>
        <v/>
      </c>
      <c r="X694">
        <f>IF($U694=1,IFERROR(IF(VALUE($B694)&lt;100000000,VALUE($B694),1000000000),IFERROR(IF(VALUE(MID($B694,2,20))&lt;100000000,VALUE(MID($B694,2,20)),1000000000),1000000000))+ROW()/100000,"")</f>
        <v/>
      </c>
    </row>
    <row r="695">
      <c r="A695">
        <f>IF($B695="","",IFERROR(IF(INDEX('Per Invoice'!$C$2:$C$401,MATCH($B695,'Per Invoice'!$A$2:$A$401,0))=0,"",INDEX('Per Invoice'!$C$2:$C$401,MATCH($B695,'Per Invoice'!$A$2:$A$401,0))),""))</f>
        <v/>
      </c>
      <c r="G695" s="7">
        <f>IF($B695="","",F695*L695/100)</f>
        <v/>
      </c>
      <c r="K695" s="7" t="n"/>
      <c r="L695" s="7" t="n"/>
      <c r="M695" s="7">
        <f>IF($B695="","",L695*T695/100)</f>
        <v/>
      </c>
      <c r="N695" s="7">
        <f>IF($B695="","",L695-M695)</f>
        <v/>
      </c>
      <c r="O695" s="7">
        <f>IF($B695="","",N695-G695)</f>
        <v/>
      </c>
      <c r="R695" s="14" t="n"/>
      <c r="T695">
        <f>IF($B695="","",IF($W695=1,Settings!$C$6,Settings!$C$7)*100)</f>
        <v/>
      </c>
      <c r="U695">
        <f>IF($B695="","",IF(COUNTIF($B$2:$B695,$B695)=1,1,0))</f>
        <v/>
      </c>
      <c r="V695">
        <f>IF($U695=1,SUMPRODUCT(--($X$2:$X$1501&lt;$X695))+1,"")</f>
        <v/>
      </c>
      <c r="W695">
        <f>IF($B695="","",IF(OR($S695=TRUE(),$S695="TRUE"),1,0))</f>
        <v/>
      </c>
      <c r="X695">
        <f>IF($U695=1,IFERROR(IF(VALUE($B695)&lt;100000000,VALUE($B695),1000000000),IFERROR(IF(VALUE(MID($B695,2,20))&lt;100000000,VALUE(MID($B695,2,20)),1000000000),1000000000))+ROW()/100000,"")</f>
        <v/>
      </c>
    </row>
    <row r="696">
      <c r="A696">
        <f>IF($B696="","",IFERROR(IF(INDEX('Per Invoice'!$C$2:$C$401,MATCH($B696,'Per Invoice'!$A$2:$A$401,0))=0,"",INDEX('Per Invoice'!$C$2:$C$401,MATCH($B696,'Per Invoice'!$A$2:$A$401,0))),""))</f>
        <v/>
      </c>
      <c r="G696" s="7">
        <f>IF($B696="","",F696*L696/100)</f>
        <v/>
      </c>
      <c r="K696" s="7" t="n"/>
      <c r="L696" s="7" t="n"/>
      <c r="M696" s="7">
        <f>IF($B696="","",L696*T696/100)</f>
        <v/>
      </c>
      <c r="N696" s="7">
        <f>IF($B696="","",L696-M696)</f>
        <v/>
      </c>
      <c r="O696" s="7">
        <f>IF($B696="","",N696-G696)</f>
        <v/>
      </c>
      <c r="R696" s="14" t="n"/>
      <c r="T696">
        <f>IF($B696="","",IF($W696=1,Settings!$C$6,Settings!$C$7)*100)</f>
        <v/>
      </c>
      <c r="U696">
        <f>IF($B696="","",IF(COUNTIF($B$2:$B696,$B696)=1,1,0))</f>
        <v/>
      </c>
      <c r="V696">
        <f>IF($U696=1,SUMPRODUCT(--($X$2:$X$1501&lt;$X696))+1,"")</f>
        <v/>
      </c>
      <c r="W696">
        <f>IF($B696="","",IF(OR($S696=TRUE(),$S696="TRUE"),1,0))</f>
        <v/>
      </c>
      <c r="X696">
        <f>IF($U696=1,IFERROR(IF(VALUE($B696)&lt;100000000,VALUE($B696),1000000000),IFERROR(IF(VALUE(MID($B696,2,20))&lt;100000000,VALUE(MID($B696,2,20)),1000000000),1000000000))+ROW()/100000,"")</f>
        <v/>
      </c>
    </row>
    <row r="697">
      <c r="A697">
        <f>IF($B697="","",IFERROR(IF(INDEX('Per Invoice'!$C$2:$C$401,MATCH($B697,'Per Invoice'!$A$2:$A$401,0))=0,"",INDEX('Per Invoice'!$C$2:$C$401,MATCH($B697,'Per Invoice'!$A$2:$A$401,0))),""))</f>
        <v/>
      </c>
      <c r="G697" s="7">
        <f>IF($B697="","",F697*L697/100)</f>
        <v/>
      </c>
      <c r="K697" s="7" t="n"/>
      <c r="L697" s="7" t="n"/>
      <c r="M697" s="7">
        <f>IF($B697="","",L697*T697/100)</f>
        <v/>
      </c>
      <c r="N697" s="7">
        <f>IF($B697="","",L697-M697)</f>
        <v/>
      </c>
      <c r="O697" s="7">
        <f>IF($B697="","",N697-G697)</f>
        <v/>
      </c>
      <c r="R697" s="14" t="n"/>
      <c r="T697">
        <f>IF($B697="","",IF($W697=1,Settings!$C$6,Settings!$C$7)*100)</f>
        <v/>
      </c>
      <c r="U697">
        <f>IF($B697="","",IF(COUNTIF($B$2:$B697,$B697)=1,1,0))</f>
        <v/>
      </c>
      <c r="V697">
        <f>IF($U697=1,SUMPRODUCT(--($X$2:$X$1501&lt;$X697))+1,"")</f>
        <v/>
      </c>
      <c r="W697">
        <f>IF($B697="","",IF(OR($S697=TRUE(),$S697="TRUE"),1,0))</f>
        <v/>
      </c>
      <c r="X697">
        <f>IF($U697=1,IFERROR(IF(VALUE($B697)&lt;100000000,VALUE($B697),1000000000),IFERROR(IF(VALUE(MID($B697,2,20))&lt;100000000,VALUE(MID($B697,2,20)),1000000000),1000000000))+ROW()/100000,"")</f>
        <v/>
      </c>
    </row>
    <row r="698">
      <c r="A698">
        <f>IF($B698="","",IFERROR(IF(INDEX('Per Invoice'!$C$2:$C$401,MATCH($B698,'Per Invoice'!$A$2:$A$401,0))=0,"",INDEX('Per Invoice'!$C$2:$C$401,MATCH($B698,'Per Invoice'!$A$2:$A$401,0))),""))</f>
        <v/>
      </c>
      <c r="G698" s="7">
        <f>IF($B698="","",F698*L698/100)</f>
        <v/>
      </c>
      <c r="K698" s="7" t="n"/>
      <c r="L698" s="7" t="n"/>
      <c r="M698" s="7">
        <f>IF($B698="","",L698*T698/100)</f>
        <v/>
      </c>
      <c r="N698" s="7">
        <f>IF($B698="","",L698-M698)</f>
        <v/>
      </c>
      <c r="O698" s="7">
        <f>IF($B698="","",N698-G698)</f>
        <v/>
      </c>
      <c r="R698" s="14" t="n"/>
      <c r="T698">
        <f>IF($B698="","",IF($W698=1,Settings!$C$6,Settings!$C$7)*100)</f>
        <v/>
      </c>
      <c r="U698">
        <f>IF($B698="","",IF(COUNTIF($B$2:$B698,$B698)=1,1,0))</f>
        <v/>
      </c>
      <c r="V698">
        <f>IF($U698=1,SUMPRODUCT(--($X$2:$X$1501&lt;$X698))+1,"")</f>
        <v/>
      </c>
      <c r="W698">
        <f>IF($B698="","",IF(OR($S698=TRUE(),$S698="TRUE"),1,0))</f>
        <v/>
      </c>
      <c r="X698">
        <f>IF($U698=1,IFERROR(IF(VALUE($B698)&lt;100000000,VALUE($B698),1000000000),IFERROR(IF(VALUE(MID($B698,2,20))&lt;100000000,VALUE(MID($B698,2,20)),1000000000),1000000000))+ROW()/100000,"")</f>
        <v/>
      </c>
    </row>
    <row r="699">
      <c r="A699">
        <f>IF($B699="","",IFERROR(IF(INDEX('Per Invoice'!$C$2:$C$401,MATCH($B699,'Per Invoice'!$A$2:$A$401,0))=0,"",INDEX('Per Invoice'!$C$2:$C$401,MATCH($B699,'Per Invoice'!$A$2:$A$401,0))),""))</f>
        <v/>
      </c>
      <c r="G699" s="7">
        <f>IF($B699="","",F699*L699/100)</f>
        <v/>
      </c>
      <c r="K699" s="7" t="n"/>
      <c r="L699" s="7" t="n"/>
      <c r="M699" s="7">
        <f>IF($B699="","",L699*T699/100)</f>
        <v/>
      </c>
      <c r="N699" s="7">
        <f>IF($B699="","",L699-M699)</f>
        <v/>
      </c>
      <c r="O699" s="7">
        <f>IF($B699="","",N699-G699)</f>
        <v/>
      </c>
      <c r="R699" s="14" t="n"/>
      <c r="T699">
        <f>IF($B699="","",IF($W699=1,Settings!$C$6,Settings!$C$7)*100)</f>
        <v/>
      </c>
      <c r="U699">
        <f>IF($B699="","",IF(COUNTIF($B$2:$B699,$B699)=1,1,0))</f>
        <v/>
      </c>
      <c r="V699">
        <f>IF($U699=1,SUMPRODUCT(--($X$2:$X$1501&lt;$X699))+1,"")</f>
        <v/>
      </c>
      <c r="W699">
        <f>IF($B699="","",IF(OR($S699=TRUE(),$S699="TRUE"),1,0))</f>
        <v/>
      </c>
      <c r="X699">
        <f>IF($U699=1,IFERROR(IF(VALUE($B699)&lt;100000000,VALUE($B699),1000000000),IFERROR(IF(VALUE(MID($B699,2,20))&lt;100000000,VALUE(MID($B699,2,20)),1000000000),1000000000))+ROW()/100000,"")</f>
        <v/>
      </c>
    </row>
    <row r="700">
      <c r="A700">
        <f>IF($B700="","",IFERROR(IF(INDEX('Per Invoice'!$C$2:$C$401,MATCH($B700,'Per Invoice'!$A$2:$A$401,0))=0,"",INDEX('Per Invoice'!$C$2:$C$401,MATCH($B700,'Per Invoice'!$A$2:$A$401,0))),""))</f>
        <v/>
      </c>
      <c r="G700" s="7">
        <f>IF($B700="","",F700*L700/100)</f>
        <v/>
      </c>
      <c r="K700" s="7" t="n"/>
      <c r="L700" s="7" t="n"/>
      <c r="M700" s="7">
        <f>IF($B700="","",L700*T700/100)</f>
        <v/>
      </c>
      <c r="N700" s="7">
        <f>IF($B700="","",L700-M700)</f>
        <v/>
      </c>
      <c r="O700" s="7">
        <f>IF($B700="","",N700-G700)</f>
        <v/>
      </c>
      <c r="R700" s="14" t="n"/>
      <c r="T700">
        <f>IF($B700="","",IF($W700=1,Settings!$C$6,Settings!$C$7)*100)</f>
        <v/>
      </c>
      <c r="U700">
        <f>IF($B700="","",IF(COUNTIF($B$2:$B700,$B700)=1,1,0))</f>
        <v/>
      </c>
      <c r="V700">
        <f>IF($U700=1,SUMPRODUCT(--($X$2:$X$1501&lt;$X700))+1,"")</f>
        <v/>
      </c>
      <c r="W700">
        <f>IF($B700="","",IF(OR($S700=TRUE(),$S700="TRUE"),1,0))</f>
        <v/>
      </c>
      <c r="X700">
        <f>IF($U700=1,IFERROR(IF(VALUE($B700)&lt;100000000,VALUE($B700),1000000000),IFERROR(IF(VALUE(MID($B700,2,20))&lt;100000000,VALUE(MID($B700,2,20)),1000000000),1000000000))+ROW()/100000,"")</f>
        <v/>
      </c>
    </row>
    <row r="701">
      <c r="A701">
        <f>IF($B701="","",IFERROR(IF(INDEX('Per Invoice'!$C$2:$C$401,MATCH($B701,'Per Invoice'!$A$2:$A$401,0))=0,"",INDEX('Per Invoice'!$C$2:$C$401,MATCH($B701,'Per Invoice'!$A$2:$A$401,0))),""))</f>
        <v/>
      </c>
      <c r="G701" s="7">
        <f>IF($B701="","",F701*L701/100)</f>
        <v/>
      </c>
      <c r="K701" s="7" t="n"/>
      <c r="L701" s="7" t="n"/>
      <c r="M701" s="7">
        <f>IF($B701="","",L701*T701/100)</f>
        <v/>
      </c>
      <c r="N701" s="7">
        <f>IF($B701="","",L701-M701)</f>
        <v/>
      </c>
      <c r="O701" s="7">
        <f>IF($B701="","",N701-G701)</f>
        <v/>
      </c>
      <c r="R701" s="14" t="n"/>
      <c r="T701">
        <f>IF($B701="","",IF($W701=1,Settings!$C$6,Settings!$C$7)*100)</f>
        <v/>
      </c>
      <c r="U701">
        <f>IF($B701="","",IF(COUNTIF($B$2:$B701,$B701)=1,1,0))</f>
        <v/>
      </c>
      <c r="V701">
        <f>IF($U701=1,SUMPRODUCT(--($X$2:$X$1501&lt;$X701))+1,"")</f>
        <v/>
      </c>
      <c r="W701">
        <f>IF($B701="","",IF(OR($S701=TRUE(),$S701="TRUE"),1,0))</f>
        <v/>
      </c>
      <c r="X701">
        <f>IF($U701=1,IFERROR(IF(VALUE($B701)&lt;100000000,VALUE($B701),1000000000),IFERROR(IF(VALUE(MID($B701,2,20))&lt;100000000,VALUE(MID($B701,2,20)),1000000000),1000000000))+ROW()/100000,"")</f>
        <v/>
      </c>
    </row>
    <row r="702">
      <c r="A702">
        <f>IF($B702="","",IFERROR(IF(INDEX('Per Invoice'!$C$2:$C$401,MATCH($B702,'Per Invoice'!$A$2:$A$401,0))=0,"",INDEX('Per Invoice'!$C$2:$C$401,MATCH($B702,'Per Invoice'!$A$2:$A$401,0))),""))</f>
        <v/>
      </c>
      <c r="G702" s="7">
        <f>IF($B702="","",F702*L702/100)</f>
        <v/>
      </c>
      <c r="K702" s="7" t="n"/>
      <c r="L702" s="7" t="n"/>
      <c r="M702" s="7">
        <f>IF($B702="","",L702*T702/100)</f>
        <v/>
      </c>
      <c r="N702" s="7">
        <f>IF($B702="","",L702-M702)</f>
        <v/>
      </c>
      <c r="O702" s="7">
        <f>IF($B702="","",N702-G702)</f>
        <v/>
      </c>
      <c r="R702" s="14" t="n"/>
      <c r="T702">
        <f>IF($B702="","",IF($W702=1,Settings!$C$6,Settings!$C$7)*100)</f>
        <v/>
      </c>
      <c r="U702">
        <f>IF($B702="","",IF(COUNTIF($B$2:$B702,$B702)=1,1,0))</f>
        <v/>
      </c>
      <c r="V702">
        <f>IF($U702=1,SUMPRODUCT(--($X$2:$X$1501&lt;$X702))+1,"")</f>
        <v/>
      </c>
      <c r="W702">
        <f>IF($B702="","",IF(OR($S702=TRUE(),$S702="TRUE"),1,0))</f>
        <v/>
      </c>
      <c r="X702">
        <f>IF($U702=1,IFERROR(IF(VALUE($B702)&lt;100000000,VALUE($B702),1000000000),IFERROR(IF(VALUE(MID($B702,2,20))&lt;100000000,VALUE(MID($B702,2,20)),1000000000),1000000000))+ROW()/100000,"")</f>
        <v/>
      </c>
    </row>
    <row r="703">
      <c r="A703">
        <f>IF($B703="","",IFERROR(IF(INDEX('Per Invoice'!$C$2:$C$401,MATCH($B703,'Per Invoice'!$A$2:$A$401,0))=0,"",INDEX('Per Invoice'!$C$2:$C$401,MATCH($B703,'Per Invoice'!$A$2:$A$401,0))),""))</f>
        <v/>
      </c>
      <c r="G703" s="7">
        <f>IF($B703="","",F703*L703/100)</f>
        <v/>
      </c>
      <c r="K703" s="7" t="n"/>
      <c r="L703" s="7" t="n"/>
      <c r="M703" s="7">
        <f>IF($B703="","",L703*T703/100)</f>
        <v/>
      </c>
      <c r="N703" s="7">
        <f>IF($B703="","",L703-M703)</f>
        <v/>
      </c>
      <c r="O703" s="7">
        <f>IF($B703="","",N703-G703)</f>
        <v/>
      </c>
      <c r="R703" s="14" t="n"/>
      <c r="T703">
        <f>IF($B703="","",IF($W703=1,Settings!$C$6,Settings!$C$7)*100)</f>
        <v/>
      </c>
      <c r="U703">
        <f>IF($B703="","",IF(COUNTIF($B$2:$B703,$B703)=1,1,0))</f>
        <v/>
      </c>
      <c r="V703">
        <f>IF($U703=1,SUMPRODUCT(--($X$2:$X$1501&lt;$X703))+1,"")</f>
        <v/>
      </c>
      <c r="W703">
        <f>IF($B703="","",IF(OR($S703=TRUE(),$S703="TRUE"),1,0))</f>
        <v/>
      </c>
      <c r="X703">
        <f>IF($U703=1,IFERROR(IF(VALUE($B703)&lt;100000000,VALUE($B703),1000000000),IFERROR(IF(VALUE(MID($B703,2,20))&lt;100000000,VALUE(MID($B703,2,20)),1000000000),1000000000))+ROW()/100000,"")</f>
        <v/>
      </c>
    </row>
    <row r="704">
      <c r="A704">
        <f>IF($B704="","",IFERROR(IF(INDEX('Per Invoice'!$C$2:$C$401,MATCH($B704,'Per Invoice'!$A$2:$A$401,0))=0,"",INDEX('Per Invoice'!$C$2:$C$401,MATCH($B704,'Per Invoice'!$A$2:$A$401,0))),""))</f>
        <v/>
      </c>
      <c r="G704" s="7">
        <f>IF($B704="","",F704*L704/100)</f>
        <v/>
      </c>
      <c r="K704" s="7" t="n"/>
      <c r="L704" s="7" t="n"/>
      <c r="M704" s="7">
        <f>IF($B704="","",L704*T704/100)</f>
        <v/>
      </c>
      <c r="N704" s="7">
        <f>IF($B704="","",L704-M704)</f>
        <v/>
      </c>
      <c r="O704" s="7">
        <f>IF($B704="","",N704-G704)</f>
        <v/>
      </c>
      <c r="R704" s="14" t="n"/>
      <c r="T704">
        <f>IF($B704="","",IF($W704=1,Settings!$C$6,Settings!$C$7)*100)</f>
        <v/>
      </c>
      <c r="U704">
        <f>IF($B704="","",IF(COUNTIF($B$2:$B704,$B704)=1,1,0))</f>
        <v/>
      </c>
      <c r="V704">
        <f>IF($U704=1,SUMPRODUCT(--($X$2:$X$1501&lt;$X704))+1,"")</f>
        <v/>
      </c>
      <c r="W704">
        <f>IF($B704="","",IF(OR($S704=TRUE(),$S704="TRUE"),1,0))</f>
        <v/>
      </c>
      <c r="X704">
        <f>IF($U704=1,IFERROR(IF(VALUE($B704)&lt;100000000,VALUE($B704),1000000000),IFERROR(IF(VALUE(MID($B704,2,20))&lt;100000000,VALUE(MID($B704,2,20)),1000000000),1000000000))+ROW()/100000,"")</f>
        <v/>
      </c>
    </row>
    <row r="705">
      <c r="A705">
        <f>IF($B705="","",IFERROR(IF(INDEX('Per Invoice'!$C$2:$C$401,MATCH($B705,'Per Invoice'!$A$2:$A$401,0))=0,"",INDEX('Per Invoice'!$C$2:$C$401,MATCH($B705,'Per Invoice'!$A$2:$A$401,0))),""))</f>
        <v/>
      </c>
      <c r="G705" s="7">
        <f>IF($B705="","",F705*L705/100)</f>
        <v/>
      </c>
      <c r="K705" s="7" t="n"/>
      <c r="L705" s="7" t="n"/>
      <c r="M705" s="7">
        <f>IF($B705="","",L705*T705/100)</f>
        <v/>
      </c>
      <c r="N705" s="7">
        <f>IF($B705="","",L705-M705)</f>
        <v/>
      </c>
      <c r="O705" s="7">
        <f>IF($B705="","",N705-G705)</f>
        <v/>
      </c>
      <c r="R705" s="14" t="n"/>
      <c r="T705">
        <f>IF($B705="","",IF($W705=1,Settings!$C$6,Settings!$C$7)*100)</f>
        <v/>
      </c>
      <c r="U705">
        <f>IF($B705="","",IF(COUNTIF($B$2:$B705,$B705)=1,1,0))</f>
        <v/>
      </c>
      <c r="V705">
        <f>IF($U705=1,SUMPRODUCT(--($X$2:$X$1501&lt;$X705))+1,"")</f>
        <v/>
      </c>
      <c r="W705">
        <f>IF($B705="","",IF(OR($S705=TRUE(),$S705="TRUE"),1,0))</f>
        <v/>
      </c>
      <c r="X705">
        <f>IF($U705=1,IFERROR(IF(VALUE($B705)&lt;100000000,VALUE($B705),1000000000),IFERROR(IF(VALUE(MID($B705,2,20))&lt;100000000,VALUE(MID($B705,2,20)),1000000000),1000000000))+ROW()/100000,"")</f>
        <v/>
      </c>
    </row>
    <row r="706">
      <c r="A706">
        <f>IF($B706="","",IFERROR(IF(INDEX('Per Invoice'!$C$2:$C$401,MATCH($B706,'Per Invoice'!$A$2:$A$401,0))=0,"",INDEX('Per Invoice'!$C$2:$C$401,MATCH($B706,'Per Invoice'!$A$2:$A$401,0))),""))</f>
        <v/>
      </c>
      <c r="G706" s="7">
        <f>IF($B706="","",F706*L706/100)</f>
        <v/>
      </c>
      <c r="K706" s="7" t="n"/>
      <c r="L706" s="7" t="n"/>
      <c r="M706" s="7">
        <f>IF($B706="","",L706*T706/100)</f>
        <v/>
      </c>
      <c r="N706" s="7">
        <f>IF($B706="","",L706-M706)</f>
        <v/>
      </c>
      <c r="O706" s="7">
        <f>IF($B706="","",N706-G706)</f>
        <v/>
      </c>
      <c r="R706" s="14" t="n"/>
      <c r="T706">
        <f>IF($B706="","",IF($W706=1,Settings!$C$6,Settings!$C$7)*100)</f>
        <v/>
      </c>
      <c r="U706">
        <f>IF($B706="","",IF(COUNTIF($B$2:$B706,$B706)=1,1,0))</f>
        <v/>
      </c>
      <c r="V706">
        <f>IF($U706=1,SUMPRODUCT(--($X$2:$X$1501&lt;$X706))+1,"")</f>
        <v/>
      </c>
      <c r="W706">
        <f>IF($B706="","",IF(OR($S706=TRUE(),$S706="TRUE"),1,0))</f>
        <v/>
      </c>
      <c r="X706">
        <f>IF($U706=1,IFERROR(IF(VALUE($B706)&lt;100000000,VALUE($B706),1000000000),IFERROR(IF(VALUE(MID($B706,2,20))&lt;100000000,VALUE(MID($B706,2,20)),1000000000),1000000000))+ROW()/100000,"")</f>
        <v/>
      </c>
    </row>
    <row r="707">
      <c r="A707">
        <f>IF($B707="","",IFERROR(IF(INDEX('Per Invoice'!$C$2:$C$401,MATCH($B707,'Per Invoice'!$A$2:$A$401,0))=0,"",INDEX('Per Invoice'!$C$2:$C$401,MATCH($B707,'Per Invoice'!$A$2:$A$401,0))),""))</f>
        <v/>
      </c>
      <c r="G707" s="7">
        <f>IF($B707="","",F707*L707/100)</f>
        <v/>
      </c>
      <c r="K707" s="7" t="n"/>
      <c r="L707" s="7" t="n"/>
      <c r="M707" s="7">
        <f>IF($B707="","",L707*T707/100)</f>
        <v/>
      </c>
      <c r="N707" s="7">
        <f>IF($B707="","",L707-M707)</f>
        <v/>
      </c>
      <c r="O707" s="7">
        <f>IF($B707="","",N707-G707)</f>
        <v/>
      </c>
      <c r="R707" s="14" t="n"/>
      <c r="T707">
        <f>IF($B707="","",IF($W707=1,Settings!$C$6,Settings!$C$7)*100)</f>
        <v/>
      </c>
      <c r="U707">
        <f>IF($B707="","",IF(COUNTIF($B$2:$B707,$B707)=1,1,0))</f>
        <v/>
      </c>
      <c r="V707">
        <f>IF($U707=1,SUMPRODUCT(--($X$2:$X$1501&lt;$X707))+1,"")</f>
        <v/>
      </c>
      <c r="W707">
        <f>IF($B707="","",IF(OR($S707=TRUE(),$S707="TRUE"),1,0))</f>
        <v/>
      </c>
      <c r="X707">
        <f>IF($U707=1,IFERROR(IF(VALUE($B707)&lt;100000000,VALUE($B707),1000000000),IFERROR(IF(VALUE(MID($B707,2,20))&lt;100000000,VALUE(MID($B707,2,20)),1000000000),1000000000))+ROW()/100000,"")</f>
        <v/>
      </c>
    </row>
    <row r="708">
      <c r="A708">
        <f>IF($B708="","",IFERROR(IF(INDEX('Per Invoice'!$C$2:$C$401,MATCH($B708,'Per Invoice'!$A$2:$A$401,0))=0,"",INDEX('Per Invoice'!$C$2:$C$401,MATCH($B708,'Per Invoice'!$A$2:$A$401,0))),""))</f>
        <v/>
      </c>
      <c r="G708" s="7">
        <f>IF($B708="","",F708*L708/100)</f>
        <v/>
      </c>
      <c r="K708" s="7" t="n"/>
      <c r="L708" s="7" t="n"/>
      <c r="M708" s="7">
        <f>IF($B708="","",L708*T708/100)</f>
        <v/>
      </c>
      <c r="N708" s="7">
        <f>IF($B708="","",L708-M708)</f>
        <v/>
      </c>
      <c r="O708" s="7">
        <f>IF($B708="","",N708-G708)</f>
        <v/>
      </c>
      <c r="R708" s="14" t="n"/>
      <c r="T708">
        <f>IF($B708="","",IF($W708=1,Settings!$C$6,Settings!$C$7)*100)</f>
        <v/>
      </c>
      <c r="U708">
        <f>IF($B708="","",IF(COUNTIF($B$2:$B708,$B708)=1,1,0))</f>
        <v/>
      </c>
      <c r="V708">
        <f>IF($U708=1,SUMPRODUCT(--($X$2:$X$1501&lt;$X708))+1,"")</f>
        <v/>
      </c>
      <c r="W708">
        <f>IF($B708="","",IF(OR($S708=TRUE(),$S708="TRUE"),1,0))</f>
        <v/>
      </c>
      <c r="X708">
        <f>IF($U708=1,IFERROR(IF(VALUE($B708)&lt;100000000,VALUE($B708),1000000000),IFERROR(IF(VALUE(MID($B708,2,20))&lt;100000000,VALUE(MID($B708,2,20)),1000000000),1000000000))+ROW()/100000,"")</f>
        <v/>
      </c>
    </row>
    <row r="709">
      <c r="A709">
        <f>IF($B709="","",IFERROR(IF(INDEX('Per Invoice'!$C$2:$C$401,MATCH($B709,'Per Invoice'!$A$2:$A$401,0))=0,"",INDEX('Per Invoice'!$C$2:$C$401,MATCH($B709,'Per Invoice'!$A$2:$A$401,0))),""))</f>
        <v/>
      </c>
      <c r="G709" s="7">
        <f>IF($B709="","",F709*L709/100)</f>
        <v/>
      </c>
      <c r="K709" s="7" t="n"/>
      <c r="L709" s="7" t="n"/>
      <c r="M709" s="7">
        <f>IF($B709="","",L709*T709/100)</f>
        <v/>
      </c>
      <c r="N709" s="7">
        <f>IF($B709="","",L709-M709)</f>
        <v/>
      </c>
      <c r="O709" s="7">
        <f>IF($B709="","",N709-G709)</f>
        <v/>
      </c>
      <c r="R709" s="14" t="n"/>
      <c r="T709">
        <f>IF($B709="","",IF($W709=1,Settings!$C$6,Settings!$C$7)*100)</f>
        <v/>
      </c>
      <c r="U709">
        <f>IF($B709="","",IF(COUNTIF($B$2:$B709,$B709)=1,1,0))</f>
        <v/>
      </c>
      <c r="V709">
        <f>IF($U709=1,SUMPRODUCT(--($X$2:$X$1501&lt;$X709))+1,"")</f>
        <v/>
      </c>
      <c r="W709">
        <f>IF($B709="","",IF(OR($S709=TRUE(),$S709="TRUE"),1,0))</f>
        <v/>
      </c>
      <c r="X709">
        <f>IF($U709=1,IFERROR(IF(VALUE($B709)&lt;100000000,VALUE($B709),1000000000),IFERROR(IF(VALUE(MID($B709,2,20))&lt;100000000,VALUE(MID($B709,2,20)),1000000000),1000000000))+ROW()/100000,"")</f>
        <v/>
      </c>
    </row>
    <row r="710">
      <c r="A710">
        <f>IF($B710="","",IFERROR(IF(INDEX('Per Invoice'!$C$2:$C$401,MATCH($B710,'Per Invoice'!$A$2:$A$401,0))=0,"",INDEX('Per Invoice'!$C$2:$C$401,MATCH($B710,'Per Invoice'!$A$2:$A$401,0))),""))</f>
        <v/>
      </c>
      <c r="G710" s="7">
        <f>IF($B710="","",F710*L710/100)</f>
        <v/>
      </c>
      <c r="K710" s="7" t="n"/>
      <c r="L710" s="7" t="n"/>
      <c r="M710" s="7">
        <f>IF($B710="","",L710*T710/100)</f>
        <v/>
      </c>
      <c r="N710" s="7">
        <f>IF($B710="","",L710-M710)</f>
        <v/>
      </c>
      <c r="O710" s="7">
        <f>IF($B710="","",N710-G710)</f>
        <v/>
      </c>
      <c r="R710" s="14" t="n"/>
      <c r="T710">
        <f>IF($B710="","",IF($W710=1,Settings!$C$6,Settings!$C$7)*100)</f>
        <v/>
      </c>
      <c r="U710">
        <f>IF($B710="","",IF(COUNTIF($B$2:$B710,$B710)=1,1,0))</f>
        <v/>
      </c>
      <c r="V710">
        <f>IF($U710=1,SUMPRODUCT(--($X$2:$X$1501&lt;$X710))+1,"")</f>
        <v/>
      </c>
      <c r="W710">
        <f>IF($B710="","",IF(OR($S710=TRUE(),$S710="TRUE"),1,0))</f>
        <v/>
      </c>
      <c r="X710">
        <f>IF($U710=1,IFERROR(IF(VALUE($B710)&lt;100000000,VALUE($B710),1000000000),IFERROR(IF(VALUE(MID($B710,2,20))&lt;100000000,VALUE(MID($B710,2,20)),1000000000),1000000000))+ROW()/100000,"")</f>
        <v/>
      </c>
    </row>
    <row r="711">
      <c r="A711">
        <f>IF($B711="","",IFERROR(IF(INDEX('Per Invoice'!$C$2:$C$401,MATCH($B711,'Per Invoice'!$A$2:$A$401,0))=0,"",INDEX('Per Invoice'!$C$2:$C$401,MATCH($B711,'Per Invoice'!$A$2:$A$401,0))),""))</f>
        <v/>
      </c>
      <c r="G711" s="7">
        <f>IF($B711="","",F711*L711/100)</f>
        <v/>
      </c>
      <c r="K711" s="7" t="n"/>
      <c r="L711" s="7" t="n"/>
      <c r="M711" s="7">
        <f>IF($B711="","",L711*T711/100)</f>
        <v/>
      </c>
      <c r="N711" s="7">
        <f>IF($B711="","",L711-M711)</f>
        <v/>
      </c>
      <c r="O711" s="7">
        <f>IF($B711="","",N711-G711)</f>
        <v/>
      </c>
      <c r="R711" s="14" t="n"/>
      <c r="T711">
        <f>IF($B711="","",IF($W711=1,Settings!$C$6,Settings!$C$7)*100)</f>
        <v/>
      </c>
      <c r="U711">
        <f>IF($B711="","",IF(COUNTIF($B$2:$B711,$B711)=1,1,0))</f>
        <v/>
      </c>
      <c r="V711">
        <f>IF($U711=1,SUMPRODUCT(--($X$2:$X$1501&lt;$X711))+1,"")</f>
        <v/>
      </c>
      <c r="W711">
        <f>IF($B711="","",IF(OR($S711=TRUE(),$S711="TRUE"),1,0))</f>
        <v/>
      </c>
      <c r="X711">
        <f>IF($U711=1,IFERROR(IF(VALUE($B711)&lt;100000000,VALUE($B711),1000000000),IFERROR(IF(VALUE(MID($B711,2,20))&lt;100000000,VALUE(MID($B711,2,20)),1000000000),1000000000))+ROW()/100000,"")</f>
        <v/>
      </c>
    </row>
    <row r="712">
      <c r="A712">
        <f>IF($B712="","",IFERROR(IF(INDEX('Per Invoice'!$C$2:$C$401,MATCH($B712,'Per Invoice'!$A$2:$A$401,0))=0,"",INDEX('Per Invoice'!$C$2:$C$401,MATCH($B712,'Per Invoice'!$A$2:$A$401,0))),""))</f>
        <v/>
      </c>
      <c r="G712" s="7">
        <f>IF($B712="","",F712*L712/100)</f>
        <v/>
      </c>
      <c r="K712" s="7" t="n"/>
      <c r="L712" s="7" t="n"/>
      <c r="M712" s="7">
        <f>IF($B712="","",L712*T712/100)</f>
        <v/>
      </c>
      <c r="N712" s="7">
        <f>IF($B712="","",L712-M712)</f>
        <v/>
      </c>
      <c r="O712" s="7">
        <f>IF($B712="","",N712-G712)</f>
        <v/>
      </c>
      <c r="R712" s="14" t="n"/>
      <c r="T712">
        <f>IF($B712="","",IF($W712=1,Settings!$C$6,Settings!$C$7)*100)</f>
        <v/>
      </c>
      <c r="U712">
        <f>IF($B712="","",IF(COUNTIF($B$2:$B712,$B712)=1,1,0))</f>
        <v/>
      </c>
      <c r="V712">
        <f>IF($U712=1,SUMPRODUCT(--($X$2:$X$1501&lt;$X712))+1,"")</f>
        <v/>
      </c>
      <c r="W712">
        <f>IF($B712="","",IF(OR($S712=TRUE(),$S712="TRUE"),1,0))</f>
        <v/>
      </c>
      <c r="X712">
        <f>IF($U712=1,IFERROR(IF(VALUE($B712)&lt;100000000,VALUE($B712),1000000000),IFERROR(IF(VALUE(MID($B712,2,20))&lt;100000000,VALUE(MID($B712,2,20)),1000000000),1000000000))+ROW()/100000,"")</f>
        <v/>
      </c>
    </row>
    <row r="713">
      <c r="A713">
        <f>IF($B713="","",IFERROR(IF(INDEX('Per Invoice'!$C$2:$C$401,MATCH($B713,'Per Invoice'!$A$2:$A$401,0))=0,"",INDEX('Per Invoice'!$C$2:$C$401,MATCH($B713,'Per Invoice'!$A$2:$A$401,0))),""))</f>
        <v/>
      </c>
      <c r="G713" s="7">
        <f>IF($B713="","",F713*L713/100)</f>
        <v/>
      </c>
      <c r="K713" s="7" t="n"/>
      <c r="L713" s="7" t="n"/>
      <c r="M713" s="7">
        <f>IF($B713="","",L713*T713/100)</f>
        <v/>
      </c>
      <c r="N713" s="7">
        <f>IF($B713="","",L713-M713)</f>
        <v/>
      </c>
      <c r="O713" s="7">
        <f>IF($B713="","",N713-G713)</f>
        <v/>
      </c>
      <c r="R713" s="14" t="n"/>
      <c r="T713">
        <f>IF($B713="","",IF($W713=1,Settings!$C$6,Settings!$C$7)*100)</f>
        <v/>
      </c>
      <c r="U713">
        <f>IF($B713="","",IF(COUNTIF($B$2:$B713,$B713)=1,1,0))</f>
        <v/>
      </c>
      <c r="V713">
        <f>IF($U713=1,SUMPRODUCT(--($X$2:$X$1501&lt;$X713))+1,"")</f>
        <v/>
      </c>
      <c r="W713">
        <f>IF($B713="","",IF(OR($S713=TRUE(),$S713="TRUE"),1,0))</f>
        <v/>
      </c>
      <c r="X713">
        <f>IF($U713=1,IFERROR(IF(VALUE($B713)&lt;100000000,VALUE($B713),1000000000),IFERROR(IF(VALUE(MID($B713,2,20))&lt;100000000,VALUE(MID($B713,2,20)),1000000000),1000000000))+ROW()/100000,"")</f>
        <v/>
      </c>
    </row>
    <row r="714">
      <c r="A714">
        <f>IF($B714="","",IFERROR(IF(INDEX('Per Invoice'!$C$2:$C$401,MATCH($B714,'Per Invoice'!$A$2:$A$401,0))=0,"",INDEX('Per Invoice'!$C$2:$C$401,MATCH($B714,'Per Invoice'!$A$2:$A$401,0))),""))</f>
        <v/>
      </c>
      <c r="G714" s="7">
        <f>IF($B714="","",F714*L714/100)</f>
        <v/>
      </c>
      <c r="K714" s="7" t="n"/>
      <c r="L714" s="7" t="n"/>
      <c r="M714" s="7">
        <f>IF($B714="","",L714*T714/100)</f>
        <v/>
      </c>
      <c r="N714" s="7">
        <f>IF($B714="","",L714-M714)</f>
        <v/>
      </c>
      <c r="O714" s="7">
        <f>IF($B714="","",N714-G714)</f>
        <v/>
      </c>
      <c r="R714" s="14" t="n"/>
      <c r="T714">
        <f>IF($B714="","",IF($W714=1,Settings!$C$6,Settings!$C$7)*100)</f>
        <v/>
      </c>
      <c r="U714">
        <f>IF($B714="","",IF(COUNTIF($B$2:$B714,$B714)=1,1,0))</f>
        <v/>
      </c>
      <c r="V714">
        <f>IF($U714=1,SUMPRODUCT(--($X$2:$X$1501&lt;$X714))+1,"")</f>
        <v/>
      </c>
      <c r="W714">
        <f>IF($B714="","",IF(OR($S714=TRUE(),$S714="TRUE"),1,0))</f>
        <v/>
      </c>
      <c r="X714">
        <f>IF($U714=1,IFERROR(IF(VALUE($B714)&lt;100000000,VALUE($B714),1000000000),IFERROR(IF(VALUE(MID($B714,2,20))&lt;100000000,VALUE(MID($B714,2,20)),1000000000),1000000000))+ROW()/100000,"")</f>
        <v/>
      </c>
    </row>
    <row r="715">
      <c r="A715">
        <f>IF($B715="","",IFERROR(IF(INDEX('Per Invoice'!$C$2:$C$401,MATCH($B715,'Per Invoice'!$A$2:$A$401,0))=0,"",INDEX('Per Invoice'!$C$2:$C$401,MATCH($B715,'Per Invoice'!$A$2:$A$401,0))),""))</f>
        <v/>
      </c>
      <c r="G715" s="7">
        <f>IF($B715="","",F715*L715/100)</f>
        <v/>
      </c>
      <c r="K715" s="7" t="n"/>
      <c r="L715" s="7" t="n"/>
      <c r="M715" s="7">
        <f>IF($B715="","",L715*T715/100)</f>
        <v/>
      </c>
      <c r="N715" s="7">
        <f>IF($B715="","",L715-M715)</f>
        <v/>
      </c>
      <c r="O715" s="7">
        <f>IF($B715="","",N715-G715)</f>
        <v/>
      </c>
      <c r="R715" s="14" t="n"/>
      <c r="T715">
        <f>IF($B715="","",IF($W715=1,Settings!$C$6,Settings!$C$7)*100)</f>
        <v/>
      </c>
      <c r="U715">
        <f>IF($B715="","",IF(COUNTIF($B$2:$B715,$B715)=1,1,0))</f>
        <v/>
      </c>
      <c r="V715">
        <f>IF($U715=1,SUMPRODUCT(--($X$2:$X$1501&lt;$X715))+1,"")</f>
        <v/>
      </c>
      <c r="W715">
        <f>IF($B715="","",IF(OR($S715=TRUE(),$S715="TRUE"),1,0))</f>
        <v/>
      </c>
      <c r="X715">
        <f>IF($U715=1,IFERROR(IF(VALUE($B715)&lt;100000000,VALUE($B715),1000000000),IFERROR(IF(VALUE(MID($B715,2,20))&lt;100000000,VALUE(MID($B715,2,20)),1000000000),1000000000))+ROW()/100000,"")</f>
        <v/>
      </c>
    </row>
    <row r="716">
      <c r="A716">
        <f>IF($B716="","",IFERROR(IF(INDEX('Per Invoice'!$C$2:$C$401,MATCH($B716,'Per Invoice'!$A$2:$A$401,0))=0,"",INDEX('Per Invoice'!$C$2:$C$401,MATCH($B716,'Per Invoice'!$A$2:$A$401,0))),""))</f>
        <v/>
      </c>
      <c r="G716" s="7">
        <f>IF($B716="","",F716*L716/100)</f>
        <v/>
      </c>
      <c r="K716" s="7" t="n"/>
      <c r="L716" s="7" t="n"/>
      <c r="M716" s="7">
        <f>IF($B716="","",L716*T716/100)</f>
        <v/>
      </c>
      <c r="N716" s="7">
        <f>IF($B716="","",L716-M716)</f>
        <v/>
      </c>
      <c r="O716" s="7">
        <f>IF($B716="","",N716-G716)</f>
        <v/>
      </c>
      <c r="R716" s="14" t="n"/>
      <c r="T716">
        <f>IF($B716="","",IF($W716=1,Settings!$C$6,Settings!$C$7)*100)</f>
        <v/>
      </c>
      <c r="U716">
        <f>IF($B716="","",IF(COUNTIF($B$2:$B716,$B716)=1,1,0))</f>
        <v/>
      </c>
      <c r="V716">
        <f>IF($U716=1,SUMPRODUCT(--($X$2:$X$1501&lt;$X716))+1,"")</f>
        <v/>
      </c>
      <c r="W716">
        <f>IF($B716="","",IF(OR($S716=TRUE(),$S716="TRUE"),1,0))</f>
        <v/>
      </c>
      <c r="X716">
        <f>IF($U716=1,IFERROR(IF(VALUE($B716)&lt;100000000,VALUE($B716),1000000000),IFERROR(IF(VALUE(MID($B716,2,20))&lt;100000000,VALUE(MID($B716,2,20)),1000000000),1000000000))+ROW()/100000,"")</f>
        <v/>
      </c>
    </row>
    <row r="717">
      <c r="A717">
        <f>IF($B717="","",IFERROR(IF(INDEX('Per Invoice'!$C$2:$C$401,MATCH($B717,'Per Invoice'!$A$2:$A$401,0))=0,"",INDEX('Per Invoice'!$C$2:$C$401,MATCH($B717,'Per Invoice'!$A$2:$A$401,0))),""))</f>
        <v/>
      </c>
      <c r="G717" s="7">
        <f>IF($B717="","",F717*L717/100)</f>
        <v/>
      </c>
      <c r="K717" s="7" t="n"/>
      <c r="L717" s="7" t="n"/>
      <c r="M717" s="7">
        <f>IF($B717="","",L717*T717/100)</f>
        <v/>
      </c>
      <c r="N717" s="7">
        <f>IF($B717="","",L717-M717)</f>
        <v/>
      </c>
      <c r="O717" s="7">
        <f>IF($B717="","",N717-G717)</f>
        <v/>
      </c>
      <c r="R717" s="14" t="n"/>
      <c r="T717">
        <f>IF($B717="","",IF($W717=1,Settings!$C$6,Settings!$C$7)*100)</f>
        <v/>
      </c>
      <c r="U717">
        <f>IF($B717="","",IF(COUNTIF($B$2:$B717,$B717)=1,1,0))</f>
        <v/>
      </c>
      <c r="V717">
        <f>IF($U717=1,SUMPRODUCT(--($X$2:$X$1501&lt;$X717))+1,"")</f>
        <v/>
      </c>
      <c r="W717">
        <f>IF($B717="","",IF(OR($S717=TRUE(),$S717="TRUE"),1,0))</f>
        <v/>
      </c>
      <c r="X717">
        <f>IF($U717=1,IFERROR(IF(VALUE($B717)&lt;100000000,VALUE($B717),1000000000),IFERROR(IF(VALUE(MID($B717,2,20))&lt;100000000,VALUE(MID($B717,2,20)),1000000000),1000000000))+ROW()/100000,"")</f>
        <v/>
      </c>
    </row>
    <row r="718">
      <c r="A718">
        <f>IF($B718="","",IFERROR(IF(INDEX('Per Invoice'!$C$2:$C$401,MATCH($B718,'Per Invoice'!$A$2:$A$401,0))=0,"",INDEX('Per Invoice'!$C$2:$C$401,MATCH($B718,'Per Invoice'!$A$2:$A$401,0))),""))</f>
        <v/>
      </c>
      <c r="G718" s="7">
        <f>IF($B718="","",F718*L718/100)</f>
        <v/>
      </c>
      <c r="K718" s="7" t="n"/>
      <c r="L718" s="7" t="n"/>
      <c r="M718" s="7">
        <f>IF($B718="","",L718*T718/100)</f>
        <v/>
      </c>
      <c r="N718" s="7">
        <f>IF($B718="","",L718-M718)</f>
        <v/>
      </c>
      <c r="O718" s="7">
        <f>IF($B718="","",N718-G718)</f>
        <v/>
      </c>
      <c r="R718" s="14" t="n"/>
      <c r="T718">
        <f>IF($B718="","",IF($W718=1,Settings!$C$6,Settings!$C$7)*100)</f>
        <v/>
      </c>
      <c r="U718">
        <f>IF($B718="","",IF(COUNTIF($B$2:$B718,$B718)=1,1,0))</f>
        <v/>
      </c>
      <c r="V718">
        <f>IF($U718=1,SUMPRODUCT(--($X$2:$X$1501&lt;$X718))+1,"")</f>
        <v/>
      </c>
      <c r="W718">
        <f>IF($B718="","",IF(OR($S718=TRUE(),$S718="TRUE"),1,0))</f>
        <v/>
      </c>
      <c r="X718">
        <f>IF($U718=1,IFERROR(IF(VALUE($B718)&lt;100000000,VALUE($B718),1000000000),IFERROR(IF(VALUE(MID($B718,2,20))&lt;100000000,VALUE(MID($B718,2,20)),1000000000),1000000000))+ROW()/100000,"")</f>
        <v/>
      </c>
    </row>
    <row r="719">
      <c r="A719">
        <f>IF($B719="","",IFERROR(IF(INDEX('Per Invoice'!$C$2:$C$401,MATCH($B719,'Per Invoice'!$A$2:$A$401,0))=0,"",INDEX('Per Invoice'!$C$2:$C$401,MATCH($B719,'Per Invoice'!$A$2:$A$401,0))),""))</f>
        <v/>
      </c>
      <c r="G719" s="7">
        <f>IF($B719="","",F719*L719/100)</f>
        <v/>
      </c>
      <c r="K719" s="7" t="n"/>
      <c r="L719" s="7" t="n"/>
      <c r="M719" s="7">
        <f>IF($B719="","",L719*T719/100)</f>
        <v/>
      </c>
      <c r="N719" s="7">
        <f>IF($B719="","",L719-M719)</f>
        <v/>
      </c>
      <c r="O719" s="7">
        <f>IF($B719="","",N719-G719)</f>
        <v/>
      </c>
      <c r="R719" s="14" t="n"/>
      <c r="T719">
        <f>IF($B719="","",IF($W719=1,Settings!$C$6,Settings!$C$7)*100)</f>
        <v/>
      </c>
      <c r="U719">
        <f>IF($B719="","",IF(COUNTIF($B$2:$B719,$B719)=1,1,0))</f>
        <v/>
      </c>
      <c r="V719">
        <f>IF($U719=1,SUMPRODUCT(--($X$2:$X$1501&lt;$X719))+1,"")</f>
        <v/>
      </c>
      <c r="W719">
        <f>IF($B719="","",IF(OR($S719=TRUE(),$S719="TRUE"),1,0))</f>
        <v/>
      </c>
      <c r="X719">
        <f>IF($U719=1,IFERROR(IF(VALUE($B719)&lt;100000000,VALUE($B719),1000000000),IFERROR(IF(VALUE(MID($B719,2,20))&lt;100000000,VALUE(MID($B719,2,20)),1000000000),1000000000))+ROW()/100000,"")</f>
        <v/>
      </c>
    </row>
    <row r="720">
      <c r="A720">
        <f>IF($B720="","",IFERROR(IF(INDEX('Per Invoice'!$C$2:$C$401,MATCH($B720,'Per Invoice'!$A$2:$A$401,0))=0,"",INDEX('Per Invoice'!$C$2:$C$401,MATCH($B720,'Per Invoice'!$A$2:$A$401,0))),""))</f>
        <v/>
      </c>
      <c r="G720" s="7">
        <f>IF($B720="","",F720*L720/100)</f>
        <v/>
      </c>
      <c r="K720" s="7" t="n"/>
      <c r="L720" s="7" t="n"/>
      <c r="M720" s="7">
        <f>IF($B720="","",L720*T720/100)</f>
        <v/>
      </c>
      <c r="N720" s="7">
        <f>IF($B720="","",L720-M720)</f>
        <v/>
      </c>
      <c r="O720" s="7">
        <f>IF($B720="","",N720-G720)</f>
        <v/>
      </c>
      <c r="R720" s="14" t="n"/>
      <c r="T720">
        <f>IF($B720="","",IF($W720=1,Settings!$C$6,Settings!$C$7)*100)</f>
        <v/>
      </c>
      <c r="U720">
        <f>IF($B720="","",IF(COUNTIF($B$2:$B720,$B720)=1,1,0))</f>
        <v/>
      </c>
      <c r="V720">
        <f>IF($U720=1,SUMPRODUCT(--($X$2:$X$1501&lt;$X720))+1,"")</f>
        <v/>
      </c>
      <c r="W720">
        <f>IF($B720="","",IF(OR($S720=TRUE(),$S720="TRUE"),1,0))</f>
        <v/>
      </c>
      <c r="X720">
        <f>IF($U720=1,IFERROR(IF(VALUE($B720)&lt;100000000,VALUE($B720),1000000000),IFERROR(IF(VALUE(MID($B720,2,20))&lt;100000000,VALUE(MID($B720,2,20)),1000000000),1000000000))+ROW()/100000,"")</f>
        <v/>
      </c>
    </row>
    <row r="721">
      <c r="A721">
        <f>IF($B721="","",IFERROR(IF(INDEX('Per Invoice'!$C$2:$C$401,MATCH($B721,'Per Invoice'!$A$2:$A$401,0))=0,"",INDEX('Per Invoice'!$C$2:$C$401,MATCH($B721,'Per Invoice'!$A$2:$A$401,0))),""))</f>
        <v/>
      </c>
      <c r="G721" s="7">
        <f>IF($B721="","",F721*L721/100)</f>
        <v/>
      </c>
      <c r="K721" s="7" t="n"/>
      <c r="L721" s="7" t="n"/>
      <c r="M721" s="7">
        <f>IF($B721="","",L721*T721/100)</f>
        <v/>
      </c>
      <c r="N721" s="7">
        <f>IF($B721="","",L721-M721)</f>
        <v/>
      </c>
      <c r="O721" s="7">
        <f>IF($B721="","",N721-G721)</f>
        <v/>
      </c>
      <c r="R721" s="14" t="n"/>
      <c r="T721">
        <f>IF($B721="","",IF($W721=1,Settings!$C$6,Settings!$C$7)*100)</f>
        <v/>
      </c>
      <c r="U721">
        <f>IF($B721="","",IF(COUNTIF($B$2:$B721,$B721)=1,1,0))</f>
        <v/>
      </c>
      <c r="V721">
        <f>IF($U721=1,SUMPRODUCT(--($X$2:$X$1501&lt;$X721))+1,"")</f>
        <v/>
      </c>
      <c r="W721">
        <f>IF($B721="","",IF(OR($S721=TRUE(),$S721="TRUE"),1,0))</f>
        <v/>
      </c>
      <c r="X721">
        <f>IF($U721=1,IFERROR(IF(VALUE($B721)&lt;100000000,VALUE($B721),1000000000),IFERROR(IF(VALUE(MID($B721,2,20))&lt;100000000,VALUE(MID($B721,2,20)),1000000000),1000000000))+ROW()/100000,"")</f>
        <v/>
      </c>
    </row>
    <row r="722">
      <c r="A722">
        <f>IF($B722="","",IFERROR(IF(INDEX('Per Invoice'!$C$2:$C$401,MATCH($B722,'Per Invoice'!$A$2:$A$401,0))=0,"",INDEX('Per Invoice'!$C$2:$C$401,MATCH($B722,'Per Invoice'!$A$2:$A$401,0))),""))</f>
        <v/>
      </c>
      <c r="G722" s="7">
        <f>IF($B722="","",F722*L722/100)</f>
        <v/>
      </c>
      <c r="K722" s="7" t="n"/>
      <c r="L722" s="7" t="n"/>
      <c r="M722" s="7">
        <f>IF($B722="","",L722*T722/100)</f>
        <v/>
      </c>
      <c r="N722" s="7">
        <f>IF($B722="","",L722-M722)</f>
        <v/>
      </c>
      <c r="O722" s="7">
        <f>IF($B722="","",N722-G722)</f>
        <v/>
      </c>
      <c r="R722" s="14" t="n"/>
      <c r="T722">
        <f>IF($B722="","",IF($W722=1,Settings!$C$6,Settings!$C$7)*100)</f>
        <v/>
      </c>
      <c r="U722">
        <f>IF($B722="","",IF(COUNTIF($B$2:$B722,$B722)=1,1,0))</f>
        <v/>
      </c>
      <c r="V722">
        <f>IF($U722=1,SUMPRODUCT(--($X$2:$X$1501&lt;$X722))+1,"")</f>
        <v/>
      </c>
      <c r="W722">
        <f>IF($B722="","",IF(OR($S722=TRUE(),$S722="TRUE"),1,0))</f>
        <v/>
      </c>
      <c r="X722">
        <f>IF($U722=1,IFERROR(IF(VALUE($B722)&lt;100000000,VALUE($B722),1000000000),IFERROR(IF(VALUE(MID($B722,2,20))&lt;100000000,VALUE(MID($B722,2,20)),1000000000),1000000000))+ROW()/100000,"")</f>
        <v/>
      </c>
    </row>
    <row r="723">
      <c r="A723">
        <f>IF($B723="","",IFERROR(IF(INDEX('Per Invoice'!$C$2:$C$401,MATCH($B723,'Per Invoice'!$A$2:$A$401,0))=0,"",INDEX('Per Invoice'!$C$2:$C$401,MATCH($B723,'Per Invoice'!$A$2:$A$401,0))),""))</f>
        <v/>
      </c>
      <c r="G723" s="7">
        <f>IF($B723="","",F723*L723/100)</f>
        <v/>
      </c>
      <c r="K723" s="7" t="n"/>
      <c r="L723" s="7" t="n"/>
      <c r="M723" s="7">
        <f>IF($B723="","",L723*T723/100)</f>
        <v/>
      </c>
      <c r="N723" s="7">
        <f>IF($B723="","",L723-M723)</f>
        <v/>
      </c>
      <c r="O723" s="7">
        <f>IF($B723="","",N723-G723)</f>
        <v/>
      </c>
      <c r="R723" s="14" t="n"/>
      <c r="T723">
        <f>IF($B723="","",IF($W723=1,Settings!$C$6,Settings!$C$7)*100)</f>
        <v/>
      </c>
      <c r="U723">
        <f>IF($B723="","",IF(COUNTIF($B$2:$B723,$B723)=1,1,0))</f>
        <v/>
      </c>
      <c r="V723">
        <f>IF($U723=1,SUMPRODUCT(--($X$2:$X$1501&lt;$X723))+1,"")</f>
        <v/>
      </c>
      <c r="W723">
        <f>IF($B723="","",IF(OR($S723=TRUE(),$S723="TRUE"),1,0))</f>
        <v/>
      </c>
      <c r="X723">
        <f>IF($U723=1,IFERROR(IF(VALUE($B723)&lt;100000000,VALUE($B723),1000000000),IFERROR(IF(VALUE(MID($B723,2,20))&lt;100000000,VALUE(MID($B723,2,20)),1000000000),1000000000))+ROW()/100000,"")</f>
        <v/>
      </c>
    </row>
    <row r="724">
      <c r="A724">
        <f>IF($B724="","",IFERROR(IF(INDEX('Per Invoice'!$C$2:$C$401,MATCH($B724,'Per Invoice'!$A$2:$A$401,0))=0,"",INDEX('Per Invoice'!$C$2:$C$401,MATCH($B724,'Per Invoice'!$A$2:$A$401,0))),""))</f>
        <v/>
      </c>
      <c r="G724" s="7">
        <f>IF($B724="","",F724*L724/100)</f>
        <v/>
      </c>
      <c r="K724" s="7" t="n"/>
      <c r="L724" s="7" t="n"/>
      <c r="M724" s="7">
        <f>IF($B724="","",L724*T724/100)</f>
        <v/>
      </c>
      <c r="N724" s="7">
        <f>IF($B724="","",L724-M724)</f>
        <v/>
      </c>
      <c r="O724" s="7">
        <f>IF($B724="","",N724-G724)</f>
        <v/>
      </c>
      <c r="R724" s="14" t="n"/>
      <c r="T724">
        <f>IF($B724="","",IF($W724=1,Settings!$C$6,Settings!$C$7)*100)</f>
        <v/>
      </c>
      <c r="U724">
        <f>IF($B724="","",IF(COUNTIF($B$2:$B724,$B724)=1,1,0))</f>
        <v/>
      </c>
      <c r="V724">
        <f>IF($U724=1,SUMPRODUCT(--($X$2:$X$1501&lt;$X724))+1,"")</f>
        <v/>
      </c>
      <c r="W724">
        <f>IF($B724="","",IF(OR($S724=TRUE(),$S724="TRUE"),1,0))</f>
        <v/>
      </c>
      <c r="X724">
        <f>IF($U724=1,IFERROR(IF(VALUE($B724)&lt;100000000,VALUE($B724),1000000000),IFERROR(IF(VALUE(MID($B724,2,20))&lt;100000000,VALUE(MID($B724,2,20)),1000000000),1000000000))+ROW()/100000,"")</f>
        <v/>
      </c>
    </row>
    <row r="725">
      <c r="A725">
        <f>IF($B725="","",IFERROR(IF(INDEX('Per Invoice'!$C$2:$C$401,MATCH($B725,'Per Invoice'!$A$2:$A$401,0))=0,"",INDEX('Per Invoice'!$C$2:$C$401,MATCH($B725,'Per Invoice'!$A$2:$A$401,0))),""))</f>
        <v/>
      </c>
      <c r="G725" s="7">
        <f>IF($B725="","",F725*L725/100)</f>
        <v/>
      </c>
      <c r="K725" s="7" t="n"/>
      <c r="L725" s="7" t="n"/>
      <c r="M725" s="7">
        <f>IF($B725="","",L725*T725/100)</f>
        <v/>
      </c>
      <c r="N725" s="7">
        <f>IF($B725="","",L725-M725)</f>
        <v/>
      </c>
      <c r="O725" s="7">
        <f>IF($B725="","",N725-G725)</f>
        <v/>
      </c>
      <c r="R725" s="14" t="n"/>
      <c r="T725">
        <f>IF($B725="","",IF($W725=1,Settings!$C$6,Settings!$C$7)*100)</f>
        <v/>
      </c>
      <c r="U725">
        <f>IF($B725="","",IF(COUNTIF($B$2:$B725,$B725)=1,1,0))</f>
        <v/>
      </c>
      <c r="V725">
        <f>IF($U725=1,SUMPRODUCT(--($X$2:$X$1501&lt;$X725))+1,"")</f>
        <v/>
      </c>
      <c r="W725">
        <f>IF($B725="","",IF(OR($S725=TRUE(),$S725="TRUE"),1,0))</f>
        <v/>
      </c>
      <c r="X725">
        <f>IF($U725=1,IFERROR(IF(VALUE($B725)&lt;100000000,VALUE($B725),1000000000),IFERROR(IF(VALUE(MID($B725,2,20))&lt;100000000,VALUE(MID($B725,2,20)),1000000000),1000000000))+ROW()/100000,"")</f>
        <v/>
      </c>
    </row>
    <row r="726">
      <c r="A726">
        <f>IF($B726="","",IFERROR(IF(INDEX('Per Invoice'!$C$2:$C$401,MATCH($B726,'Per Invoice'!$A$2:$A$401,0))=0,"",INDEX('Per Invoice'!$C$2:$C$401,MATCH($B726,'Per Invoice'!$A$2:$A$401,0))),""))</f>
        <v/>
      </c>
      <c r="G726" s="7">
        <f>IF($B726="","",F726*L726/100)</f>
        <v/>
      </c>
      <c r="K726" s="7" t="n"/>
      <c r="L726" s="7" t="n"/>
      <c r="M726" s="7">
        <f>IF($B726="","",L726*T726/100)</f>
        <v/>
      </c>
      <c r="N726" s="7">
        <f>IF($B726="","",L726-M726)</f>
        <v/>
      </c>
      <c r="O726" s="7">
        <f>IF($B726="","",N726-G726)</f>
        <v/>
      </c>
      <c r="R726" s="14" t="n"/>
      <c r="T726">
        <f>IF($B726="","",IF($W726=1,Settings!$C$6,Settings!$C$7)*100)</f>
        <v/>
      </c>
      <c r="U726">
        <f>IF($B726="","",IF(COUNTIF($B$2:$B726,$B726)=1,1,0))</f>
        <v/>
      </c>
      <c r="V726">
        <f>IF($U726=1,SUMPRODUCT(--($X$2:$X$1501&lt;$X726))+1,"")</f>
        <v/>
      </c>
      <c r="W726">
        <f>IF($B726="","",IF(OR($S726=TRUE(),$S726="TRUE"),1,0))</f>
        <v/>
      </c>
      <c r="X726">
        <f>IF($U726=1,IFERROR(IF(VALUE($B726)&lt;100000000,VALUE($B726),1000000000),IFERROR(IF(VALUE(MID($B726,2,20))&lt;100000000,VALUE(MID($B726,2,20)),1000000000),1000000000))+ROW()/100000,"")</f>
        <v/>
      </c>
    </row>
    <row r="727">
      <c r="A727">
        <f>IF($B727="","",IFERROR(IF(INDEX('Per Invoice'!$C$2:$C$401,MATCH($B727,'Per Invoice'!$A$2:$A$401,0))=0,"",INDEX('Per Invoice'!$C$2:$C$401,MATCH($B727,'Per Invoice'!$A$2:$A$401,0))),""))</f>
        <v/>
      </c>
      <c r="G727" s="7">
        <f>IF($B727="","",F727*L727/100)</f>
        <v/>
      </c>
      <c r="K727" s="7" t="n"/>
      <c r="L727" s="7" t="n"/>
      <c r="M727" s="7">
        <f>IF($B727="","",L727*T727/100)</f>
        <v/>
      </c>
      <c r="N727" s="7">
        <f>IF($B727="","",L727-M727)</f>
        <v/>
      </c>
      <c r="O727" s="7">
        <f>IF($B727="","",N727-G727)</f>
        <v/>
      </c>
      <c r="R727" s="14" t="n"/>
      <c r="T727">
        <f>IF($B727="","",IF($W727=1,Settings!$C$6,Settings!$C$7)*100)</f>
        <v/>
      </c>
      <c r="U727">
        <f>IF($B727="","",IF(COUNTIF($B$2:$B727,$B727)=1,1,0))</f>
        <v/>
      </c>
      <c r="V727">
        <f>IF($U727=1,SUMPRODUCT(--($X$2:$X$1501&lt;$X727))+1,"")</f>
        <v/>
      </c>
      <c r="W727">
        <f>IF($B727="","",IF(OR($S727=TRUE(),$S727="TRUE"),1,0))</f>
        <v/>
      </c>
      <c r="X727">
        <f>IF($U727=1,IFERROR(IF(VALUE($B727)&lt;100000000,VALUE($B727),1000000000),IFERROR(IF(VALUE(MID($B727,2,20))&lt;100000000,VALUE(MID($B727,2,20)),1000000000),1000000000))+ROW()/100000,"")</f>
        <v/>
      </c>
    </row>
    <row r="728">
      <c r="A728">
        <f>IF($B728="","",IFERROR(IF(INDEX('Per Invoice'!$C$2:$C$401,MATCH($B728,'Per Invoice'!$A$2:$A$401,0))=0,"",INDEX('Per Invoice'!$C$2:$C$401,MATCH($B728,'Per Invoice'!$A$2:$A$401,0))),""))</f>
        <v/>
      </c>
      <c r="G728" s="7">
        <f>IF($B728="","",F728*L728/100)</f>
        <v/>
      </c>
      <c r="K728" s="7" t="n"/>
      <c r="L728" s="7" t="n"/>
      <c r="M728" s="7">
        <f>IF($B728="","",L728*T728/100)</f>
        <v/>
      </c>
      <c r="N728" s="7">
        <f>IF($B728="","",L728-M728)</f>
        <v/>
      </c>
      <c r="O728" s="7">
        <f>IF($B728="","",N728-G728)</f>
        <v/>
      </c>
      <c r="R728" s="14" t="n"/>
      <c r="T728">
        <f>IF($B728="","",IF($W728=1,Settings!$C$6,Settings!$C$7)*100)</f>
        <v/>
      </c>
      <c r="U728">
        <f>IF($B728="","",IF(COUNTIF($B$2:$B728,$B728)=1,1,0))</f>
        <v/>
      </c>
      <c r="V728">
        <f>IF($U728=1,SUMPRODUCT(--($X$2:$X$1501&lt;$X728))+1,"")</f>
        <v/>
      </c>
      <c r="W728">
        <f>IF($B728="","",IF(OR($S728=TRUE(),$S728="TRUE"),1,0))</f>
        <v/>
      </c>
      <c r="X728">
        <f>IF($U728=1,IFERROR(IF(VALUE($B728)&lt;100000000,VALUE($B728),1000000000),IFERROR(IF(VALUE(MID($B728,2,20))&lt;100000000,VALUE(MID($B728,2,20)),1000000000),1000000000))+ROW()/100000,"")</f>
        <v/>
      </c>
    </row>
    <row r="729">
      <c r="A729">
        <f>IF($B729="","",IFERROR(IF(INDEX('Per Invoice'!$C$2:$C$401,MATCH($B729,'Per Invoice'!$A$2:$A$401,0))=0,"",INDEX('Per Invoice'!$C$2:$C$401,MATCH($B729,'Per Invoice'!$A$2:$A$401,0))),""))</f>
        <v/>
      </c>
      <c r="G729" s="7">
        <f>IF($B729="","",F729*L729/100)</f>
        <v/>
      </c>
      <c r="K729" s="7" t="n"/>
      <c r="L729" s="7" t="n"/>
      <c r="M729" s="7">
        <f>IF($B729="","",L729*T729/100)</f>
        <v/>
      </c>
      <c r="N729" s="7">
        <f>IF($B729="","",L729-M729)</f>
        <v/>
      </c>
      <c r="O729" s="7">
        <f>IF($B729="","",N729-G729)</f>
        <v/>
      </c>
      <c r="R729" s="14" t="n"/>
      <c r="T729">
        <f>IF($B729="","",IF($W729=1,Settings!$C$6,Settings!$C$7)*100)</f>
        <v/>
      </c>
      <c r="U729">
        <f>IF($B729="","",IF(COUNTIF($B$2:$B729,$B729)=1,1,0))</f>
        <v/>
      </c>
      <c r="V729">
        <f>IF($U729=1,SUMPRODUCT(--($X$2:$X$1501&lt;$X729))+1,"")</f>
        <v/>
      </c>
      <c r="W729">
        <f>IF($B729="","",IF(OR($S729=TRUE(),$S729="TRUE"),1,0))</f>
        <v/>
      </c>
      <c r="X729">
        <f>IF($U729=1,IFERROR(IF(VALUE($B729)&lt;100000000,VALUE($B729),1000000000),IFERROR(IF(VALUE(MID($B729,2,20))&lt;100000000,VALUE(MID($B729,2,20)),1000000000),1000000000))+ROW()/100000,"")</f>
        <v/>
      </c>
    </row>
    <row r="730">
      <c r="A730">
        <f>IF($B730="","",IFERROR(IF(INDEX('Per Invoice'!$C$2:$C$401,MATCH($B730,'Per Invoice'!$A$2:$A$401,0))=0,"",INDEX('Per Invoice'!$C$2:$C$401,MATCH($B730,'Per Invoice'!$A$2:$A$401,0))),""))</f>
        <v/>
      </c>
      <c r="G730" s="7">
        <f>IF($B730="","",F730*L730/100)</f>
        <v/>
      </c>
      <c r="K730" s="7" t="n"/>
      <c r="L730" s="7" t="n"/>
      <c r="M730" s="7">
        <f>IF($B730="","",L730*T730/100)</f>
        <v/>
      </c>
      <c r="N730" s="7">
        <f>IF($B730="","",L730-M730)</f>
        <v/>
      </c>
      <c r="O730" s="7">
        <f>IF($B730="","",N730-G730)</f>
        <v/>
      </c>
      <c r="R730" s="14" t="n"/>
      <c r="T730">
        <f>IF($B730="","",IF($W730=1,Settings!$C$6,Settings!$C$7)*100)</f>
        <v/>
      </c>
      <c r="U730">
        <f>IF($B730="","",IF(COUNTIF($B$2:$B730,$B730)=1,1,0))</f>
        <v/>
      </c>
      <c r="V730">
        <f>IF($U730=1,SUMPRODUCT(--($X$2:$X$1501&lt;$X730))+1,"")</f>
        <v/>
      </c>
      <c r="W730">
        <f>IF($B730="","",IF(OR($S730=TRUE(),$S730="TRUE"),1,0))</f>
        <v/>
      </c>
      <c r="X730">
        <f>IF($U730=1,IFERROR(IF(VALUE($B730)&lt;100000000,VALUE($B730),1000000000),IFERROR(IF(VALUE(MID($B730,2,20))&lt;100000000,VALUE(MID($B730,2,20)),1000000000),1000000000))+ROW()/100000,"")</f>
        <v/>
      </c>
    </row>
    <row r="731">
      <c r="A731">
        <f>IF($B731="","",IFERROR(IF(INDEX('Per Invoice'!$C$2:$C$401,MATCH($B731,'Per Invoice'!$A$2:$A$401,0))=0,"",INDEX('Per Invoice'!$C$2:$C$401,MATCH($B731,'Per Invoice'!$A$2:$A$401,0))),""))</f>
        <v/>
      </c>
      <c r="G731" s="7">
        <f>IF($B731="","",F731*L731/100)</f>
        <v/>
      </c>
      <c r="K731" s="7" t="n"/>
      <c r="L731" s="7" t="n"/>
      <c r="M731" s="7">
        <f>IF($B731="","",L731*T731/100)</f>
        <v/>
      </c>
      <c r="N731" s="7">
        <f>IF($B731="","",L731-M731)</f>
        <v/>
      </c>
      <c r="O731" s="7">
        <f>IF($B731="","",N731-G731)</f>
        <v/>
      </c>
      <c r="R731" s="14" t="n"/>
      <c r="T731">
        <f>IF($B731="","",IF($W731=1,Settings!$C$6,Settings!$C$7)*100)</f>
        <v/>
      </c>
      <c r="U731">
        <f>IF($B731="","",IF(COUNTIF($B$2:$B731,$B731)=1,1,0))</f>
        <v/>
      </c>
      <c r="V731">
        <f>IF($U731=1,SUMPRODUCT(--($X$2:$X$1501&lt;$X731))+1,"")</f>
        <v/>
      </c>
      <c r="W731">
        <f>IF($B731="","",IF(OR($S731=TRUE(),$S731="TRUE"),1,0))</f>
        <v/>
      </c>
      <c r="X731">
        <f>IF($U731=1,IFERROR(IF(VALUE($B731)&lt;100000000,VALUE($B731),1000000000),IFERROR(IF(VALUE(MID($B731,2,20))&lt;100000000,VALUE(MID($B731,2,20)),1000000000),1000000000))+ROW()/100000,"")</f>
        <v/>
      </c>
    </row>
    <row r="732">
      <c r="A732">
        <f>IF($B732="","",IFERROR(IF(INDEX('Per Invoice'!$C$2:$C$401,MATCH($B732,'Per Invoice'!$A$2:$A$401,0))=0,"",INDEX('Per Invoice'!$C$2:$C$401,MATCH($B732,'Per Invoice'!$A$2:$A$401,0))),""))</f>
        <v/>
      </c>
      <c r="G732" s="7">
        <f>IF($B732="","",F732*L732/100)</f>
        <v/>
      </c>
      <c r="K732" s="7" t="n"/>
      <c r="L732" s="7" t="n"/>
      <c r="M732" s="7">
        <f>IF($B732="","",L732*T732/100)</f>
        <v/>
      </c>
      <c r="N732" s="7">
        <f>IF($B732="","",L732-M732)</f>
        <v/>
      </c>
      <c r="O732" s="7">
        <f>IF($B732="","",N732-G732)</f>
        <v/>
      </c>
      <c r="R732" s="14" t="n"/>
      <c r="T732">
        <f>IF($B732="","",IF($W732=1,Settings!$C$6,Settings!$C$7)*100)</f>
        <v/>
      </c>
      <c r="U732">
        <f>IF($B732="","",IF(COUNTIF($B$2:$B732,$B732)=1,1,0))</f>
        <v/>
      </c>
      <c r="V732">
        <f>IF($U732=1,SUMPRODUCT(--($X$2:$X$1501&lt;$X732))+1,"")</f>
        <v/>
      </c>
      <c r="W732">
        <f>IF($B732="","",IF(OR($S732=TRUE(),$S732="TRUE"),1,0))</f>
        <v/>
      </c>
      <c r="X732">
        <f>IF($U732=1,IFERROR(IF(VALUE($B732)&lt;100000000,VALUE($B732),1000000000),IFERROR(IF(VALUE(MID($B732,2,20))&lt;100000000,VALUE(MID($B732,2,20)),1000000000),1000000000))+ROW()/100000,"")</f>
        <v/>
      </c>
    </row>
    <row r="733">
      <c r="A733">
        <f>IF($B733="","",IFERROR(IF(INDEX('Per Invoice'!$C$2:$C$401,MATCH($B733,'Per Invoice'!$A$2:$A$401,0))=0,"",INDEX('Per Invoice'!$C$2:$C$401,MATCH($B733,'Per Invoice'!$A$2:$A$401,0))),""))</f>
        <v/>
      </c>
      <c r="G733" s="7">
        <f>IF($B733="","",F733*L733/100)</f>
        <v/>
      </c>
      <c r="K733" s="7" t="n"/>
      <c r="L733" s="7" t="n"/>
      <c r="M733" s="7">
        <f>IF($B733="","",L733*T733/100)</f>
        <v/>
      </c>
      <c r="N733" s="7">
        <f>IF($B733="","",L733-M733)</f>
        <v/>
      </c>
      <c r="O733" s="7">
        <f>IF($B733="","",N733-G733)</f>
        <v/>
      </c>
      <c r="R733" s="14" t="n"/>
      <c r="T733">
        <f>IF($B733="","",IF($W733=1,Settings!$C$6,Settings!$C$7)*100)</f>
        <v/>
      </c>
      <c r="U733">
        <f>IF($B733="","",IF(COUNTIF($B$2:$B733,$B733)=1,1,0))</f>
        <v/>
      </c>
      <c r="V733">
        <f>IF($U733=1,SUMPRODUCT(--($X$2:$X$1501&lt;$X733))+1,"")</f>
        <v/>
      </c>
      <c r="W733">
        <f>IF($B733="","",IF(OR($S733=TRUE(),$S733="TRUE"),1,0))</f>
        <v/>
      </c>
      <c r="X733">
        <f>IF($U733=1,IFERROR(IF(VALUE($B733)&lt;100000000,VALUE($B733),1000000000),IFERROR(IF(VALUE(MID($B733,2,20))&lt;100000000,VALUE(MID($B733,2,20)),1000000000),1000000000))+ROW()/100000,"")</f>
        <v/>
      </c>
    </row>
    <row r="734">
      <c r="A734">
        <f>IF($B734="","",IFERROR(IF(INDEX('Per Invoice'!$C$2:$C$401,MATCH($B734,'Per Invoice'!$A$2:$A$401,0))=0,"",INDEX('Per Invoice'!$C$2:$C$401,MATCH($B734,'Per Invoice'!$A$2:$A$401,0))),""))</f>
        <v/>
      </c>
      <c r="G734" s="7">
        <f>IF($B734="","",F734*L734/100)</f>
        <v/>
      </c>
      <c r="K734" s="7" t="n"/>
      <c r="L734" s="7" t="n"/>
      <c r="M734" s="7">
        <f>IF($B734="","",L734*T734/100)</f>
        <v/>
      </c>
      <c r="N734" s="7">
        <f>IF($B734="","",L734-M734)</f>
        <v/>
      </c>
      <c r="O734" s="7">
        <f>IF($B734="","",N734-G734)</f>
        <v/>
      </c>
      <c r="R734" s="14" t="n"/>
      <c r="T734">
        <f>IF($B734="","",IF($W734=1,Settings!$C$6,Settings!$C$7)*100)</f>
        <v/>
      </c>
      <c r="U734">
        <f>IF($B734="","",IF(COUNTIF($B$2:$B734,$B734)=1,1,0))</f>
        <v/>
      </c>
      <c r="V734">
        <f>IF($U734=1,SUMPRODUCT(--($X$2:$X$1501&lt;$X734))+1,"")</f>
        <v/>
      </c>
      <c r="W734">
        <f>IF($B734="","",IF(OR($S734=TRUE(),$S734="TRUE"),1,0))</f>
        <v/>
      </c>
      <c r="X734">
        <f>IF($U734=1,IFERROR(IF(VALUE($B734)&lt;100000000,VALUE($B734),1000000000),IFERROR(IF(VALUE(MID($B734,2,20))&lt;100000000,VALUE(MID($B734,2,20)),1000000000),1000000000))+ROW()/100000,"")</f>
        <v/>
      </c>
    </row>
    <row r="735">
      <c r="A735">
        <f>IF($B735="","",IFERROR(IF(INDEX('Per Invoice'!$C$2:$C$401,MATCH($B735,'Per Invoice'!$A$2:$A$401,0))=0,"",INDEX('Per Invoice'!$C$2:$C$401,MATCH($B735,'Per Invoice'!$A$2:$A$401,0))),""))</f>
        <v/>
      </c>
      <c r="G735" s="7">
        <f>IF($B735="","",F735*L735/100)</f>
        <v/>
      </c>
      <c r="K735" s="7" t="n"/>
      <c r="L735" s="7" t="n"/>
      <c r="M735" s="7">
        <f>IF($B735="","",L735*T735/100)</f>
        <v/>
      </c>
      <c r="N735" s="7">
        <f>IF($B735="","",L735-M735)</f>
        <v/>
      </c>
      <c r="O735" s="7">
        <f>IF($B735="","",N735-G735)</f>
        <v/>
      </c>
      <c r="R735" s="14" t="n"/>
      <c r="T735">
        <f>IF($B735="","",IF($W735=1,Settings!$C$6,Settings!$C$7)*100)</f>
        <v/>
      </c>
      <c r="U735">
        <f>IF($B735="","",IF(COUNTIF($B$2:$B735,$B735)=1,1,0))</f>
        <v/>
      </c>
      <c r="V735">
        <f>IF($U735=1,SUMPRODUCT(--($X$2:$X$1501&lt;$X735))+1,"")</f>
        <v/>
      </c>
      <c r="W735">
        <f>IF($B735="","",IF(OR($S735=TRUE(),$S735="TRUE"),1,0))</f>
        <v/>
      </c>
      <c r="X735">
        <f>IF($U735=1,IFERROR(IF(VALUE($B735)&lt;100000000,VALUE($B735),1000000000),IFERROR(IF(VALUE(MID($B735,2,20))&lt;100000000,VALUE(MID($B735,2,20)),1000000000),1000000000))+ROW()/100000,"")</f>
        <v/>
      </c>
    </row>
    <row r="736">
      <c r="A736">
        <f>IF($B736="","",IFERROR(IF(INDEX('Per Invoice'!$C$2:$C$401,MATCH($B736,'Per Invoice'!$A$2:$A$401,0))=0,"",INDEX('Per Invoice'!$C$2:$C$401,MATCH($B736,'Per Invoice'!$A$2:$A$401,0))),""))</f>
        <v/>
      </c>
      <c r="G736" s="7">
        <f>IF($B736="","",F736*L736/100)</f>
        <v/>
      </c>
      <c r="K736" s="7" t="n"/>
      <c r="L736" s="7" t="n"/>
      <c r="M736" s="7">
        <f>IF($B736="","",L736*T736/100)</f>
        <v/>
      </c>
      <c r="N736" s="7">
        <f>IF($B736="","",L736-M736)</f>
        <v/>
      </c>
      <c r="O736" s="7">
        <f>IF($B736="","",N736-G736)</f>
        <v/>
      </c>
      <c r="R736" s="14" t="n"/>
      <c r="T736">
        <f>IF($B736="","",IF($W736=1,Settings!$C$6,Settings!$C$7)*100)</f>
        <v/>
      </c>
      <c r="U736">
        <f>IF($B736="","",IF(COUNTIF($B$2:$B736,$B736)=1,1,0))</f>
        <v/>
      </c>
      <c r="V736">
        <f>IF($U736=1,SUMPRODUCT(--($X$2:$X$1501&lt;$X736))+1,"")</f>
        <v/>
      </c>
      <c r="W736">
        <f>IF($B736="","",IF(OR($S736=TRUE(),$S736="TRUE"),1,0))</f>
        <v/>
      </c>
      <c r="X736">
        <f>IF($U736=1,IFERROR(IF(VALUE($B736)&lt;100000000,VALUE($B736),1000000000),IFERROR(IF(VALUE(MID($B736,2,20))&lt;100000000,VALUE(MID($B736,2,20)),1000000000),1000000000))+ROW()/100000,"")</f>
        <v/>
      </c>
    </row>
    <row r="737">
      <c r="A737">
        <f>IF($B737="","",IFERROR(IF(INDEX('Per Invoice'!$C$2:$C$401,MATCH($B737,'Per Invoice'!$A$2:$A$401,0))=0,"",INDEX('Per Invoice'!$C$2:$C$401,MATCH($B737,'Per Invoice'!$A$2:$A$401,0))),""))</f>
        <v/>
      </c>
      <c r="G737" s="7">
        <f>IF($B737="","",F737*L737/100)</f>
        <v/>
      </c>
      <c r="K737" s="7" t="n"/>
      <c r="L737" s="7" t="n"/>
      <c r="M737" s="7">
        <f>IF($B737="","",L737*T737/100)</f>
        <v/>
      </c>
      <c r="N737" s="7">
        <f>IF($B737="","",L737-M737)</f>
        <v/>
      </c>
      <c r="O737" s="7">
        <f>IF($B737="","",N737-G737)</f>
        <v/>
      </c>
      <c r="R737" s="14" t="n"/>
      <c r="T737">
        <f>IF($B737="","",IF($W737=1,Settings!$C$6,Settings!$C$7)*100)</f>
        <v/>
      </c>
      <c r="U737">
        <f>IF($B737="","",IF(COUNTIF($B$2:$B737,$B737)=1,1,0))</f>
        <v/>
      </c>
      <c r="V737">
        <f>IF($U737=1,SUMPRODUCT(--($X$2:$X$1501&lt;$X737))+1,"")</f>
        <v/>
      </c>
      <c r="W737">
        <f>IF($B737="","",IF(OR($S737=TRUE(),$S737="TRUE"),1,0))</f>
        <v/>
      </c>
      <c r="X737">
        <f>IF($U737=1,IFERROR(IF(VALUE($B737)&lt;100000000,VALUE($B737),1000000000),IFERROR(IF(VALUE(MID($B737,2,20))&lt;100000000,VALUE(MID($B737,2,20)),1000000000),1000000000))+ROW()/100000,"")</f>
        <v/>
      </c>
    </row>
    <row r="738">
      <c r="A738">
        <f>IF($B738="","",IFERROR(IF(INDEX('Per Invoice'!$C$2:$C$401,MATCH($B738,'Per Invoice'!$A$2:$A$401,0))=0,"",INDEX('Per Invoice'!$C$2:$C$401,MATCH($B738,'Per Invoice'!$A$2:$A$401,0))),""))</f>
        <v/>
      </c>
      <c r="G738" s="7">
        <f>IF($B738="","",F738*L738/100)</f>
        <v/>
      </c>
      <c r="K738" s="7" t="n"/>
      <c r="L738" s="7" t="n"/>
      <c r="M738" s="7">
        <f>IF($B738="","",L738*T738/100)</f>
        <v/>
      </c>
      <c r="N738" s="7">
        <f>IF($B738="","",L738-M738)</f>
        <v/>
      </c>
      <c r="O738" s="7">
        <f>IF($B738="","",N738-G738)</f>
        <v/>
      </c>
      <c r="R738" s="14" t="n"/>
      <c r="T738">
        <f>IF($B738="","",IF($W738=1,Settings!$C$6,Settings!$C$7)*100)</f>
        <v/>
      </c>
      <c r="U738">
        <f>IF($B738="","",IF(COUNTIF($B$2:$B738,$B738)=1,1,0))</f>
        <v/>
      </c>
      <c r="V738">
        <f>IF($U738=1,SUMPRODUCT(--($X$2:$X$1501&lt;$X738))+1,"")</f>
        <v/>
      </c>
      <c r="W738">
        <f>IF($B738="","",IF(OR($S738=TRUE(),$S738="TRUE"),1,0))</f>
        <v/>
      </c>
      <c r="X738">
        <f>IF($U738=1,IFERROR(IF(VALUE($B738)&lt;100000000,VALUE($B738),1000000000),IFERROR(IF(VALUE(MID($B738,2,20))&lt;100000000,VALUE(MID($B738,2,20)),1000000000),1000000000))+ROW()/100000,"")</f>
        <v/>
      </c>
    </row>
    <row r="739">
      <c r="A739">
        <f>IF($B739="","",IFERROR(IF(INDEX('Per Invoice'!$C$2:$C$401,MATCH($B739,'Per Invoice'!$A$2:$A$401,0))=0,"",INDEX('Per Invoice'!$C$2:$C$401,MATCH($B739,'Per Invoice'!$A$2:$A$401,0))),""))</f>
        <v/>
      </c>
      <c r="G739" s="7">
        <f>IF($B739="","",F739*L739/100)</f>
        <v/>
      </c>
      <c r="K739" s="7" t="n"/>
      <c r="L739" s="7" t="n"/>
      <c r="M739" s="7">
        <f>IF($B739="","",L739*T739/100)</f>
        <v/>
      </c>
      <c r="N739" s="7">
        <f>IF($B739="","",L739-M739)</f>
        <v/>
      </c>
      <c r="O739" s="7">
        <f>IF($B739="","",N739-G739)</f>
        <v/>
      </c>
      <c r="R739" s="14" t="n"/>
      <c r="T739">
        <f>IF($B739="","",IF($W739=1,Settings!$C$6,Settings!$C$7)*100)</f>
        <v/>
      </c>
      <c r="U739">
        <f>IF($B739="","",IF(COUNTIF($B$2:$B739,$B739)=1,1,0))</f>
        <v/>
      </c>
      <c r="V739">
        <f>IF($U739=1,SUMPRODUCT(--($X$2:$X$1501&lt;$X739))+1,"")</f>
        <v/>
      </c>
      <c r="W739">
        <f>IF($B739="","",IF(OR($S739=TRUE(),$S739="TRUE"),1,0))</f>
        <v/>
      </c>
      <c r="X739">
        <f>IF($U739=1,IFERROR(IF(VALUE($B739)&lt;100000000,VALUE($B739),1000000000),IFERROR(IF(VALUE(MID($B739,2,20))&lt;100000000,VALUE(MID($B739,2,20)),1000000000),1000000000))+ROW()/100000,"")</f>
        <v/>
      </c>
    </row>
    <row r="740">
      <c r="A740">
        <f>IF($B740="","",IFERROR(IF(INDEX('Per Invoice'!$C$2:$C$401,MATCH($B740,'Per Invoice'!$A$2:$A$401,0))=0,"",INDEX('Per Invoice'!$C$2:$C$401,MATCH($B740,'Per Invoice'!$A$2:$A$401,0))),""))</f>
        <v/>
      </c>
      <c r="G740" s="7">
        <f>IF($B740="","",F740*L740/100)</f>
        <v/>
      </c>
      <c r="K740" s="7" t="n"/>
      <c r="L740" s="7" t="n"/>
      <c r="M740" s="7">
        <f>IF($B740="","",L740*T740/100)</f>
        <v/>
      </c>
      <c r="N740" s="7">
        <f>IF($B740="","",L740-M740)</f>
        <v/>
      </c>
      <c r="O740" s="7">
        <f>IF($B740="","",N740-G740)</f>
        <v/>
      </c>
      <c r="R740" s="14" t="n"/>
      <c r="T740">
        <f>IF($B740="","",IF($W740=1,Settings!$C$6,Settings!$C$7)*100)</f>
        <v/>
      </c>
      <c r="U740">
        <f>IF($B740="","",IF(COUNTIF($B$2:$B740,$B740)=1,1,0))</f>
        <v/>
      </c>
      <c r="V740">
        <f>IF($U740=1,SUMPRODUCT(--($X$2:$X$1501&lt;$X740))+1,"")</f>
        <v/>
      </c>
      <c r="W740">
        <f>IF($B740="","",IF(OR($S740=TRUE(),$S740="TRUE"),1,0))</f>
        <v/>
      </c>
      <c r="X740">
        <f>IF($U740=1,IFERROR(IF(VALUE($B740)&lt;100000000,VALUE($B740),1000000000),IFERROR(IF(VALUE(MID($B740,2,20))&lt;100000000,VALUE(MID($B740,2,20)),1000000000),1000000000))+ROW()/100000,"")</f>
        <v/>
      </c>
    </row>
    <row r="741">
      <c r="A741">
        <f>IF($B741="","",IFERROR(IF(INDEX('Per Invoice'!$C$2:$C$401,MATCH($B741,'Per Invoice'!$A$2:$A$401,0))=0,"",INDEX('Per Invoice'!$C$2:$C$401,MATCH($B741,'Per Invoice'!$A$2:$A$401,0))),""))</f>
        <v/>
      </c>
      <c r="G741" s="7">
        <f>IF($B741="","",F741*L741/100)</f>
        <v/>
      </c>
      <c r="K741" s="7" t="n"/>
      <c r="L741" s="7" t="n"/>
      <c r="M741" s="7">
        <f>IF($B741="","",L741*T741/100)</f>
        <v/>
      </c>
      <c r="N741" s="7">
        <f>IF($B741="","",L741-M741)</f>
        <v/>
      </c>
      <c r="O741" s="7">
        <f>IF($B741="","",N741-G741)</f>
        <v/>
      </c>
      <c r="R741" s="14" t="n"/>
      <c r="T741">
        <f>IF($B741="","",IF($W741=1,Settings!$C$6,Settings!$C$7)*100)</f>
        <v/>
      </c>
      <c r="U741">
        <f>IF($B741="","",IF(COUNTIF($B$2:$B741,$B741)=1,1,0))</f>
        <v/>
      </c>
      <c r="V741">
        <f>IF($U741=1,SUMPRODUCT(--($X$2:$X$1501&lt;$X741))+1,"")</f>
        <v/>
      </c>
      <c r="W741">
        <f>IF($B741="","",IF(OR($S741=TRUE(),$S741="TRUE"),1,0))</f>
        <v/>
      </c>
      <c r="X741">
        <f>IF($U741=1,IFERROR(IF(VALUE($B741)&lt;100000000,VALUE($B741),1000000000),IFERROR(IF(VALUE(MID($B741,2,20))&lt;100000000,VALUE(MID($B741,2,20)),1000000000),1000000000))+ROW()/100000,"")</f>
        <v/>
      </c>
    </row>
    <row r="742">
      <c r="A742">
        <f>IF($B742="","",IFERROR(IF(INDEX('Per Invoice'!$C$2:$C$401,MATCH($B742,'Per Invoice'!$A$2:$A$401,0))=0,"",INDEX('Per Invoice'!$C$2:$C$401,MATCH($B742,'Per Invoice'!$A$2:$A$401,0))),""))</f>
        <v/>
      </c>
      <c r="G742" s="7">
        <f>IF($B742="","",F742*L742/100)</f>
        <v/>
      </c>
      <c r="K742" s="7" t="n"/>
      <c r="L742" s="7" t="n"/>
      <c r="M742" s="7">
        <f>IF($B742="","",L742*T742/100)</f>
        <v/>
      </c>
      <c r="N742" s="7">
        <f>IF($B742="","",L742-M742)</f>
        <v/>
      </c>
      <c r="O742" s="7">
        <f>IF($B742="","",N742-G742)</f>
        <v/>
      </c>
      <c r="R742" s="14" t="n"/>
      <c r="T742">
        <f>IF($B742="","",IF($W742=1,Settings!$C$6,Settings!$C$7)*100)</f>
        <v/>
      </c>
      <c r="U742">
        <f>IF($B742="","",IF(COUNTIF($B$2:$B742,$B742)=1,1,0))</f>
        <v/>
      </c>
      <c r="V742">
        <f>IF($U742=1,SUMPRODUCT(--($X$2:$X$1501&lt;$X742))+1,"")</f>
        <v/>
      </c>
      <c r="W742">
        <f>IF($B742="","",IF(OR($S742=TRUE(),$S742="TRUE"),1,0))</f>
        <v/>
      </c>
      <c r="X742">
        <f>IF($U742=1,IFERROR(IF(VALUE($B742)&lt;100000000,VALUE($B742),1000000000),IFERROR(IF(VALUE(MID($B742,2,20))&lt;100000000,VALUE(MID($B742,2,20)),1000000000),1000000000))+ROW()/100000,"")</f>
        <v/>
      </c>
    </row>
    <row r="743">
      <c r="A743">
        <f>IF($B743="","",IFERROR(IF(INDEX('Per Invoice'!$C$2:$C$401,MATCH($B743,'Per Invoice'!$A$2:$A$401,0))=0,"",INDEX('Per Invoice'!$C$2:$C$401,MATCH($B743,'Per Invoice'!$A$2:$A$401,0))),""))</f>
        <v/>
      </c>
      <c r="G743" s="7">
        <f>IF($B743="","",F743*L743/100)</f>
        <v/>
      </c>
      <c r="K743" s="7" t="n"/>
      <c r="L743" s="7" t="n"/>
      <c r="M743" s="7">
        <f>IF($B743="","",L743*T743/100)</f>
        <v/>
      </c>
      <c r="N743" s="7">
        <f>IF($B743="","",L743-M743)</f>
        <v/>
      </c>
      <c r="O743" s="7">
        <f>IF($B743="","",N743-G743)</f>
        <v/>
      </c>
      <c r="R743" s="14" t="n"/>
      <c r="T743">
        <f>IF($B743="","",IF($W743=1,Settings!$C$6,Settings!$C$7)*100)</f>
        <v/>
      </c>
      <c r="U743">
        <f>IF($B743="","",IF(COUNTIF($B$2:$B743,$B743)=1,1,0))</f>
        <v/>
      </c>
      <c r="V743">
        <f>IF($U743=1,SUMPRODUCT(--($X$2:$X$1501&lt;$X743))+1,"")</f>
        <v/>
      </c>
      <c r="W743">
        <f>IF($B743="","",IF(OR($S743=TRUE(),$S743="TRUE"),1,0))</f>
        <v/>
      </c>
      <c r="X743">
        <f>IF($U743=1,IFERROR(IF(VALUE($B743)&lt;100000000,VALUE($B743),1000000000),IFERROR(IF(VALUE(MID($B743,2,20))&lt;100000000,VALUE(MID($B743,2,20)),1000000000),1000000000))+ROW()/100000,"")</f>
        <v/>
      </c>
    </row>
    <row r="744">
      <c r="A744">
        <f>IF($B744="","",IFERROR(IF(INDEX('Per Invoice'!$C$2:$C$401,MATCH($B744,'Per Invoice'!$A$2:$A$401,0))=0,"",INDEX('Per Invoice'!$C$2:$C$401,MATCH($B744,'Per Invoice'!$A$2:$A$401,0))),""))</f>
        <v/>
      </c>
      <c r="G744" s="7">
        <f>IF($B744="","",F744*L744/100)</f>
        <v/>
      </c>
      <c r="K744" s="7" t="n"/>
      <c r="L744" s="7" t="n"/>
      <c r="M744" s="7">
        <f>IF($B744="","",L744*T744/100)</f>
        <v/>
      </c>
      <c r="N744" s="7">
        <f>IF($B744="","",L744-M744)</f>
        <v/>
      </c>
      <c r="O744" s="7">
        <f>IF($B744="","",N744-G744)</f>
        <v/>
      </c>
      <c r="R744" s="14" t="n"/>
      <c r="T744">
        <f>IF($B744="","",IF($W744=1,Settings!$C$6,Settings!$C$7)*100)</f>
        <v/>
      </c>
      <c r="U744">
        <f>IF($B744="","",IF(COUNTIF($B$2:$B744,$B744)=1,1,0))</f>
        <v/>
      </c>
      <c r="V744">
        <f>IF($U744=1,SUMPRODUCT(--($X$2:$X$1501&lt;$X744))+1,"")</f>
        <v/>
      </c>
      <c r="W744">
        <f>IF($B744="","",IF(OR($S744=TRUE(),$S744="TRUE"),1,0))</f>
        <v/>
      </c>
      <c r="X744">
        <f>IF($U744=1,IFERROR(IF(VALUE($B744)&lt;100000000,VALUE($B744),1000000000),IFERROR(IF(VALUE(MID($B744,2,20))&lt;100000000,VALUE(MID($B744,2,20)),1000000000),1000000000))+ROW()/100000,"")</f>
        <v/>
      </c>
    </row>
    <row r="745">
      <c r="A745">
        <f>IF($B745="","",IFERROR(IF(INDEX('Per Invoice'!$C$2:$C$401,MATCH($B745,'Per Invoice'!$A$2:$A$401,0))=0,"",INDEX('Per Invoice'!$C$2:$C$401,MATCH($B745,'Per Invoice'!$A$2:$A$401,0))),""))</f>
        <v/>
      </c>
      <c r="G745" s="7">
        <f>IF($B745="","",F745*L745/100)</f>
        <v/>
      </c>
      <c r="K745" s="7" t="n"/>
      <c r="L745" s="7" t="n"/>
      <c r="M745" s="7">
        <f>IF($B745="","",L745*T745/100)</f>
        <v/>
      </c>
      <c r="N745" s="7">
        <f>IF($B745="","",L745-M745)</f>
        <v/>
      </c>
      <c r="O745" s="7">
        <f>IF($B745="","",N745-G745)</f>
        <v/>
      </c>
      <c r="R745" s="14" t="n"/>
      <c r="T745">
        <f>IF($B745="","",IF($W745=1,Settings!$C$6,Settings!$C$7)*100)</f>
        <v/>
      </c>
      <c r="U745">
        <f>IF($B745="","",IF(COUNTIF($B$2:$B745,$B745)=1,1,0))</f>
        <v/>
      </c>
      <c r="V745">
        <f>IF($U745=1,SUMPRODUCT(--($X$2:$X$1501&lt;$X745))+1,"")</f>
        <v/>
      </c>
      <c r="W745">
        <f>IF($B745="","",IF(OR($S745=TRUE(),$S745="TRUE"),1,0))</f>
        <v/>
      </c>
      <c r="X745">
        <f>IF($U745=1,IFERROR(IF(VALUE($B745)&lt;100000000,VALUE($B745),1000000000),IFERROR(IF(VALUE(MID($B745,2,20))&lt;100000000,VALUE(MID($B745,2,20)),1000000000),1000000000))+ROW()/100000,"")</f>
        <v/>
      </c>
    </row>
    <row r="746">
      <c r="A746">
        <f>IF($B746="","",IFERROR(IF(INDEX('Per Invoice'!$C$2:$C$401,MATCH($B746,'Per Invoice'!$A$2:$A$401,0))=0,"",INDEX('Per Invoice'!$C$2:$C$401,MATCH($B746,'Per Invoice'!$A$2:$A$401,0))),""))</f>
        <v/>
      </c>
      <c r="G746" s="7">
        <f>IF($B746="","",F746*L746/100)</f>
        <v/>
      </c>
      <c r="K746" s="7" t="n"/>
      <c r="L746" s="7" t="n"/>
      <c r="M746" s="7">
        <f>IF($B746="","",L746*T746/100)</f>
        <v/>
      </c>
      <c r="N746" s="7">
        <f>IF($B746="","",L746-M746)</f>
        <v/>
      </c>
      <c r="O746" s="7">
        <f>IF($B746="","",N746-G746)</f>
        <v/>
      </c>
      <c r="R746" s="14" t="n"/>
      <c r="T746">
        <f>IF($B746="","",IF($W746=1,Settings!$C$6,Settings!$C$7)*100)</f>
        <v/>
      </c>
      <c r="U746">
        <f>IF($B746="","",IF(COUNTIF($B$2:$B746,$B746)=1,1,0))</f>
        <v/>
      </c>
      <c r="V746">
        <f>IF($U746=1,SUMPRODUCT(--($X$2:$X$1501&lt;$X746))+1,"")</f>
        <v/>
      </c>
      <c r="W746">
        <f>IF($B746="","",IF(OR($S746=TRUE(),$S746="TRUE"),1,0))</f>
        <v/>
      </c>
      <c r="X746">
        <f>IF($U746=1,IFERROR(IF(VALUE($B746)&lt;100000000,VALUE($B746),1000000000),IFERROR(IF(VALUE(MID($B746,2,20))&lt;100000000,VALUE(MID($B746,2,20)),1000000000),1000000000))+ROW()/100000,"")</f>
        <v/>
      </c>
    </row>
    <row r="747">
      <c r="A747">
        <f>IF($B747="","",IFERROR(IF(INDEX('Per Invoice'!$C$2:$C$401,MATCH($B747,'Per Invoice'!$A$2:$A$401,0))=0,"",INDEX('Per Invoice'!$C$2:$C$401,MATCH($B747,'Per Invoice'!$A$2:$A$401,0))),""))</f>
        <v/>
      </c>
      <c r="G747" s="7">
        <f>IF($B747="","",F747*L747/100)</f>
        <v/>
      </c>
      <c r="K747" s="7" t="n"/>
      <c r="L747" s="7" t="n"/>
      <c r="M747" s="7">
        <f>IF($B747="","",L747*T747/100)</f>
        <v/>
      </c>
      <c r="N747" s="7">
        <f>IF($B747="","",L747-M747)</f>
        <v/>
      </c>
      <c r="O747" s="7">
        <f>IF($B747="","",N747-G747)</f>
        <v/>
      </c>
      <c r="R747" s="14" t="n"/>
      <c r="T747">
        <f>IF($B747="","",IF($W747=1,Settings!$C$6,Settings!$C$7)*100)</f>
        <v/>
      </c>
      <c r="U747">
        <f>IF($B747="","",IF(COUNTIF($B$2:$B747,$B747)=1,1,0))</f>
        <v/>
      </c>
      <c r="V747">
        <f>IF($U747=1,SUMPRODUCT(--($X$2:$X$1501&lt;$X747))+1,"")</f>
        <v/>
      </c>
      <c r="W747">
        <f>IF($B747="","",IF(OR($S747=TRUE(),$S747="TRUE"),1,0))</f>
        <v/>
      </c>
      <c r="X747">
        <f>IF($U747=1,IFERROR(IF(VALUE($B747)&lt;100000000,VALUE($B747),1000000000),IFERROR(IF(VALUE(MID($B747,2,20))&lt;100000000,VALUE(MID($B747,2,20)),1000000000),1000000000))+ROW()/100000,"")</f>
        <v/>
      </c>
    </row>
    <row r="748">
      <c r="A748">
        <f>IF($B748="","",IFERROR(IF(INDEX('Per Invoice'!$C$2:$C$401,MATCH($B748,'Per Invoice'!$A$2:$A$401,0))=0,"",INDEX('Per Invoice'!$C$2:$C$401,MATCH($B748,'Per Invoice'!$A$2:$A$401,0))),""))</f>
        <v/>
      </c>
      <c r="G748" s="7">
        <f>IF($B748="","",F748*L748/100)</f>
        <v/>
      </c>
      <c r="K748" s="7" t="n"/>
      <c r="L748" s="7" t="n"/>
      <c r="M748" s="7">
        <f>IF($B748="","",L748*T748/100)</f>
        <v/>
      </c>
      <c r="N748" s="7">
        <f>IF($B748="","",L748-M748)</f>
        <v/>
      </c>
      <c r="O748" s="7">
        <f>IF($B748="","",N748-G748)</f>
        <v/>
      </c>
      <c r="R748" s="14" t="n"/>
      <c r="T748">
        <f>IF($B748="","",IF($W748=1,Settings!$C$6,Settings!$C$7)*100)</f>
        <v/>
      </c>
      <c r="U748">
        <f>IF($B748="","",IF(COUNTIF($B$2:$B748,$B748)=1,1,0))</f>
        <v/>
      </c>
      <c r="V748">
        <f>IF($U748=1,SUMPRODUCT(--($X$2:$X$1501&lt;$X748))+1,"")</f>
        <v/>
      </c>
      <c r="W748">
        <f>IF($B748="","",IF(OR($S748=TRUE(),$S748="TRUE"),1,0))</f>
        <v/>
      </c>
      <c r="X748">
        <f>IF($U748=1,IFERROR(IF(VALUE($B748)&lt;100000000,VALUE($B748),1000000000),IFERROR(IF(VALUE(MID($B748,2,20))&lt;100000000,VALUE(MID($B748,2,20)),1000000000),1000000000))+ROW()/100000,"")</f>
        <v/>
      </c>
    </row>
    <row r="749">
      <c r="A749">
        <f>IF($B749="","",IFERROR(IF(INDEX('Per Invoice'!$C$2:$C$401,MATCH($B749,'Per Invoice'!$A$2:$A$401,0))=0,"",INDEX('Per Invoice'!$C$2:$C$401,MATCH($B749,'Per Invoice'!$A$2:$A$401,0))),""))</f>
        <v/>
      </c>
      <c r="G749" s="7">
        <f>IF($B749="","",F749*L749/100)</f>
        <v/>
      </c>
      <c r="K749" s="7" t="n"/>
      <c r="L749" s="7" t="n"/>
      <c r="M749" s="7">
        <f>IF($B749="","",L749*T749/100)</f>
        <v/>
      </c>
      <c r="N749" s="7">
        <f>IF($B749="","",L749-M749)</f>
        <v/>
      </c>
      <c r="O749" s="7">
        <f>IF($B749="","",N749-G749)</f>
        <v/>
      </c>
      <c r="R749" s="14" t="n"/>
      <c r="T749">
        <f>IF($B749="","",IF($W749=1,Settings!$C$6,Settings!$C$7)*100)</f>
        <v/>
      </c>
      <c r="U749">
        <f>IF($B749="","",IF(COUNTIF($B$2:$B749,$B749)=1,1,0))</f>
        <v/>
      </c>
      <c r="V749">
        <f>IF($U749=1,SUMPRODUCT(--($X$2:$X$1501&lt;$X749))+1,"")</f>
        <v/>
      </c>
      <c r="W749">
        <f>IF($B749="","",IF(OR($S749=TRUE(),$S749="TRUE"),1,0))</f>
        <v/>
      </c>
      <c r="X749">
        <f>IF($U749=1,IFERROR(IF(VALUE($B749)&lt;100000000,VALUE($B749),1000000000),IFERROR(IF(VALUE(MID($B749,2,20))&lt;100000000,VALUE(MID($B749,2,20)),1000000000),1000000000))+ROW()/100000,"")</f>
        <v/>
      </c>
    </row>
    <row r="750">
      <c r="A750">
        <f>IF($B750="","",IFERROR(IF(INDEX('Per Invoice'!$C$2:$C$401,MATCH($B750,'Per Invoice'!$A$2:$A$401,0))=0,"",INDEX('Per Invoice'!$C$2:$C$401,MATCH($B750,'Per Invoice'!$A$2:$A$401,0))),""))</f>
        <v/>
      </c>
      <c r="G750" s="7">
        <f>IF($B750="","",F750*L750/100)</f>
        <v/>
      </c>
      <c r="K750" s="7" t="n"/>
      <c r="L750" s="7" t="n"/>
      <c r="M750" s="7">
        <f>IF($B750="","",L750*T750/100)</f>
        <v/>
      </c>
      <c r="N750" s="7">
        <f>IF($B750="","",L750-M750)</f>
        <v/>
      </c>
      <c r="O750" s="7">
        <f>IF($B750="","",N750-G750)</f>
        <v/>
      </c>
      <c r="R750" s="14" t="n"/>
      <c r="T750">
        <f>IF($B750="","",IF($W750=1,Settings!$C$6,Settings!$C$7)*100)</f>
        <v/>
      </c>
      <c r="U750">
        <f>IF($B750="","",IF(COUNTIF($B$2:$B750,$B750)=1,1,0))</f>
        <v/>
      </c>
      <c r="V750">
        <f>IF($U750=1,SUMPRODUCT(--($X$2:$X$1501&lt;$X750))+1,"")</f>
        <v/>
      </c>
      <c r="W750">
        <f>IF($B750="","",IF(OR($S750=TRUE(),$S750="TRUE"),1,0))</f>
        <v/>
      </c>
      <c r="X750">
        <f>IF($U750=1,IFERROR(IF(VALUE($B750)&lt;100000000,VALUE($B750),1000000000),IFERROR(IF(VALUE(MID($B750,2,20))&lt;100000000,VALUE(MID($B750,2,20)),1000000000),1000000000))+ROW()/100000,"")</f>
        <v/>
      </c>
    </row>
    <row r="751">
      <c r="A751">
        <f>IF($B751="","",IFERROR(IF(INDEX('Per Invoice'!$C$2:$C$401,MATCH($B751,'Per Invoice'!$A$2:$A$401,0))=0,"",INDEX('Per Invoice'!$C$2:$C$401,MATCH($B751,'Per Invoice'!$A$2:$A$401,0))),""))</f>
        <v/>
      </c>
      <c r="G751" s="7">
        <f>IF($B751="","",F751*L751/100)</f>
        <v/>
      </c>
      <c r="K751" s="7" t="n"/>
      <c r="L751" s="7" t="n"/>
      <c r="M751" s="7">
        <f>IF($B751="","",L751*T751/100)</f>
        <v/>
      </c>
      <c r="N751" s="7">
        <f>IF($B751="","",L751-M751)</f>
        <v/>
      </c>
      <c r="O751" s="7">
        <f>IF($B751="","",N751-G751)</f>
        <v/>
      </c>
      <c r="R751" s="14" t="n"/>
      <c r="T751">
        <f>IF($B751="","",IF($W751=1,Settings!$C$6,Settings!$C$7)*100)</f>
        <v/>
      </c>
      <c r="U751">
        <f>IF($B751="","",IF(COUNTIF($B$2:$B751,$B751)=1,1,0))</f>
        <v/>
      </c>
      <c r="V751">
        <f>IF($U751=1,SUMPRODUCT(--($X$2:$X$1501&lt;$X751))+1,"")</f>
        <v/>
      </c>
      <c r="W751">
        <f>IF($B751="","",IF(OR($S751=TRUE(),$S751="TRUE"),1,0))</f>
        <v/>
      </c>
      <c r="X751">
        <f>IF($U751=1,IFERROR(IF(VALUE($B751)&lt;100000000,VALUE($B751),1000000000),IFERROR(IF(VALUE(MID($B751,2,20))&lt;100000000,VALUE(MID($B751,2,20)),1000000000),1000000000))+ROW()/100000,"")</f>
        <v/>
      </c>
    </row>
    <row r="752">
      <c r="A752">
        <f>IF($B752="","",IFERROR(IF(INDEX('Per Invoice'!$C$2:$C$401,MATCH($B752,'Per Invoice'!$A$2:$A$401,0))=0,"",INDEX('Per Invoice'!$C$2:$C$401,MATCH($B752,'Per Invoice'!$A$2:$A$401,0))),""))</f>
        <v/>
      </c>
      <c r="G752" s="7">
        <f>IF($B752="","",F752*L752/100)</f>
        <v/>
      </c>
      <c r="K752" s="7" t="n"/>
      <c r="L752" s="7" t="n"/>
      <c r="M752" s="7">
        <f>IF($B752="","",L752*T752/100)</f>
        <v/>
      </c>
      <c r="N752" s="7">
        <f>IF($B752="","",L752-M752)</f>
        <v/>
      </c>
      <c r="O752" s="7">
        <f>IF($B752="","",N752-G752)</f>
        <v/>
      </c>
      <c r="R752" s="14" t="n"/>
      <c r="T752">
        <f>IF($B752="","",IF($W752=1,Settings!$C$6,Settings!$C$7)*100)</f>
        <v/>
      </c>
      <c r="U752">
        <f>IF($B752="","",IF(COUNTIF($B$2:$B752,$B752)=1,1,0))</f>
        <v/>
      </c>
      <c r="V752">
        <f>IF($U752=1,SUMPRODUCT(--($X$2:$X$1501&lt;$X752))+1,"")</f>
        <v/>
      </c>
      <c r="W752">
        <f>IF($B752="","",IF(OR($S752=TRUE(),$S752="TRUE"),1,0))</f>
        <v/>
      </c>
      <c r="X752">
        <f>IF($U752=1,IFERROR(IF(VALUE($B752)&lt;100000000,VALUE($B752),1000000000),IFERROR(IF(VALUE(MID($B752,2,20))&lt;100000000,VALUE(MID($B752,2,20)),1000000000),1000000000))+ROW()/100000,"")</f>
        <v/>
      </c>
    </row>
    <row r="753">
      <c r="A753">
        <f>IF($B753="","",IFERROR(IF(INDEX('Per Invoice'!$C$2:$C$401,MATCH($B753,'Per Invoice'!$A$2:$A$401,0))=0,"",INDEX('Per Invoice'!$C$2:$C$401,MATCH($B753,'Per Invoice'!$A$2:$A$401,0))),""))</f>
        <v/>
      </c>
      <c r="G753" s="7">
        <f>IF($B753="","",F753*L753/100)</f>
        <v/>
      </c>
      <c r="K753" s="7" t="n"/>
      <c r="L753" s="7" t="n"/>
      <c r="M753" s="7">
        <f>IF($B753="","",L753*T753/100)</f>
        <v/>
      </c>
      <c r="N753" s="7">
        <f>IF($B753="","",L753-M753)</f>
        <v/>
      </c>
      <c r="O753" s="7">
        <f>IF($B753="","",N753-G753)</f>
        <v/>
      </c>
      <c r="R753" s="14" t="n"/>
      <c r="T753">
        <f>IF($B753="","",IF($W753=1,Settings!$C$6,Settings!$C$7)*100)</f>
        <v/>
      </c>
      <c r="U753">
        <f>IF($B753="","",IF(COUNTIF($B$2:$B753,$B753)=1,1,0))</f>
        <v/>
      </c>
      <c r="V753">
        <f>IF($U753=1,SUMPRODUCT(--($X$2:$X$1501&lt;$X753))+1,"")</f>
        <v/>
      </c>
      <c r="W753">
        <f>IF($B753="","",IF(OR($S753=TRUE(),$S753="TRUE"),1,0))</f>
        <v/>
      </c>
      <c r="X753">
        <f>IF($U753=1,IFERROR(IF(VALUE($B753)&lt;100000000,VALUE($B753),1000000000),IFERROR(IF(VALUE(MID($B753,2,20))&lt;100000000,VALUE(MID($B753,2,20)),1000000000),1000000000))+ROW()/100000,"")</f>
        <v/>
      </c>
    </row>
    <row r="754">
      <c r="A754">
        <f>IF($B754="","",IFERROR(IF(INDEX('Per Invoice'!$C$2:$C$401,MATCH($B754,'Per Invoice'!$A$2:$A$401,0))=0,"",INDEX('Per Invoice'!$C$2:$C$401,MATCH($B754,'Per Invoice'!$A$2:$A$401,0))),""))</f>
        <v/>
      </c>
      <c r="G754" s="7">
        <f>IF($B754="","",F754*L754/100)</f>
        <v/>
      </c>
      <c r="K754" s="7" t="n"/>
      <c r="L754" s="7" t="n"/>
      <c r="M754" s="7">
        <f>IF($B754="","",L754*T754/100)</f>
        <v/>
      </c>
      <c r="N754" s="7">
        <f>IF($B754="","",L754-M754)</f>
        <v/>
      </c>
      <c r="O754" s="7">
        <f>IF($B754="","",N754-G754)</f>
        <v/>
      </c>
      <c r="R754" s="14" t="n"/>
      <c r="T754">
        <f>IF($B754="","",IF($W754=1,Settings!$C$6,Settings!$C$7)*100)</f>
        <v/>
      </c>
      <c r="U754">
        <f>IF($B754="","",IF(COUNTIF($B$2:$B754,$B754)=1,1,0))</f>
        <v/>
      </c>
      <c r="V754">
        <f>IF($U754=1,SUMPRODUCT(--($X$2:$X$1501&lt;$X754))+1,"")</f>
        <v/>
      </c>
      <c r="W754">
        <f>IF($B754="","",IF(OR($S754=TRUE(),$S754="TRUE"),1,0))</f>
        <v/>
      </c>
      <c r="X754">
        <f>IF($U754=1,IFERROR(IF(VALUE($B754)&lt;100000000,VALUE($B754),1000000000),IFERROR(IF(VALUE(MID($B754,2,20))&lt;100000000,VALUE(MID($B754,2,20)),1000000000),1000000000))+ROW()/100000,"")</f>
        <v/>
      </c>
    </row>
    <row r="755">
      <c r="A755">
        <f>IF($B755="","",IFERROR(IF(INDEX('Per Invoice'!$C$2:$C$401,MATCH($B755,'Per Invoice'!$A$2:$A$401,0))=0,"",INDEX('Per Invoice'!$C$2:$C$401,MATCH($B755,'Per Invoice'!$A$2:$A$401,0))),""))</f>
        <v/>
      </c>
      <c r="G755" s="7">
        <f>IF($B755="","",F755*L755/100)</f>
        <v/>
      </c>
      <c r="K755" s="7" t="n"/>
      <c r="L755" s="7" t="n"/>
      <c r="M755" s="7">
        <f>IF($B755="","",L755*T755/100)</f>
        <v/>
      </c>
      <c r="N755" s="7">
        <f>IF($B755="","",L755-M755)</f>
        <v/>
      </c>
      <c r="O755" s="7">
        <f>IF($B755="","",N755-G755)</f>
        <v/>
      </c>
      <c r="R755" s="14" t="n"/>
      <c r="T755">
        <f>IF($B755="","",IF($W755=1,Settings!$C$6,Settings!$C$7)*100)</f>
        <v/>
      </c>
      <c r="U755">
        <f>IF($B755="","",IF(COUNTIF($B$2:$B755,$B755)=1,1,0))</f>
        <v/>
      </c>
      <c r="V755">
        <f>IF($U755=1,SUMPRODUCT(--($X$2:$X$1501&lt;$X755))+1,"")</f>
        <v/>
      </c>
      <c r="W755">
        <f>IF($B755="","",IF(OR($S755=TRUE(),$S755="TRUE"),1,0))</f>
        <v/>
      </c>
      <c r="X755">
        <f>IF($U755=1,IFERROR(IF(VALUE($B755)&lt;100000000,VALUE($B755),1000000000),IFERROR(IF(VALUE(MID($B755,2,20))&lt;100000000,VALUE(MID($B755,2,20)),1000000000),1000000000))+ROW()/100000,"")</f>
        <v/>
      </c>
    </row>
    <row r="756">
      <c r="A756">
        <f>IF($B756="","",IFERROR(IF(INDEX('Per Invoice'!$C$2:$C$401,MATCH($B756,'Per Invoice'!$A$2:$A$401,0))=0,"",INDEX('Per Invoice'!$C$2:$C$401,MATCH($B756,'Per Invoice'!$A$2:$A$401,0))),""))</f>
        <v/>
      </c>
      <c r="G756" s="7">
        <f>IF($B756="","",F756*L756/100)</f>
        <v/>
      </c>
      <c r="K756" s="7" t="n"/>
      <c r="L756" s="7" t="n"/>
      <c r="M756" s="7">
        <f>IF($B756="","",L756*T756/100)</f>
        <v/>
      </c>
      <c r="N756" s="7">
        <f>IF($B756="","",L756-M756)</f>
        <v/>
      </c>
      <c r="O756" s="7">
        <f>IF($B756="","",N756-G756)</f>
        <v/>
      </c>
      <c r="R756" s="14" t="n"/>
      <c r="T756">
        <f>IF($B756="","",IF($W756=1,Settings!$C$6,Settings!$C$7)*100)</f>
        <v/>
      </c>
      <c r="U756">
        <f>IF($B756="","",IF(COUNTIF($B$2:$B756,$B756)=1,1,0))</f>
        <v/>
      </c>
      <c r="V756">
        <f>IF($U756=1,SUMPRODUCT(--($X$2:$X$1501&lt;$X756))+1,"")</f>
        <v/>
      </c>
      <c r="W756">
        <f>IF($B756="","",IF(OR($S756=TRUE(),$S756="TRUE"),1,0))</f>
        <v/>
      </c>
      <c r="X756">
        <f>IF($U756=1,IFERROR(IF(VALUE($B756)&lt;100000000,VALUE($B756),1000000000),IFERROR(IF(VALUE(MID($B756,2,20))&lt;100000000,VALUE(MID($B756,2,20)),1000000000),1000000000))+ROW()/100000,"")</f>
        <v/>
      </c>
    </row>
    <row r="757">
      <c r="A757">
        <f>IF($B757="","",IFERROR(IF(INDEX('Per Invoice'!$C$2:$C$401,MATCH($B757,'Per Invoice'!$A$2:$A$401,0))=0,"",INDEX('Per Invoice'!$C$2:$C$401,MATCH($B757,'Per Invoice'!$A$2:$A$401,0))),""))</f>
        <v/>
      </c>
      <c r="G757" s="7">
        <f>IF($B757="","",F757*L757/100)</f>
        <v/>
      </c>
      <c r="K757" s="7" t="n"/>
      <c r="L757" s="7" t="n"/>
      <c r="M757" s="7">
        <f>IF($B757="","",L757*T757/100)</f>
        <v/>
      </c>
      <c r="N757" s="7">
        <f>IF($B757="","",L757-M757)</f>
        <v/>
      </c>
      <c r="O757" s="7">
        <f>IF($B757="","",N757-G757)</f>
        <v/>
      </c>
      <c r="R757" s="14" t="n"/>
      <c r="T757">
        <f>IF($B757="","",IF($W757=1,Settings!$C$6,Settings!$C$7)*100)</f>
        <v/>
      </c>
      <c r="U757">
        <f>IF($B757="","",IF(COUNTIF($B$2:$B757,$B757)=1,1,0))</f>
        <v/>
      </c>
      <c r="V757">
        <f>IF($U757=1,SUMPRODUCT(--($X$2:$X$1501&lt;$X757))+1,"")</f>
        <v/>
      </c>
      <c r="W757">
        <f>IF($B757="","",IF(OR($S757=TRUE(),$S757="TRUE"),1,0))</f>
        <v/>
      </c>
      <c r="X757">
        <f>IF($U757=1,IFERROR(IF(VALUE($B757)&lt;100000000,VALUE($B757),1000000000),IFERROR(IF(VALUE(MID($B757,2,20))&lt;100000000,VALUE(MID($B757,2,20)),1000000000),1000000000))+ROW()/100000,"")</f>
        <v/>
      </c>
    </row>
    <row r="758">
      <c r="A758">
        <f>IF($B758="","",IFERROR(IF(INDEX('Per Invoice'!$C$2:$C$401,MATCH($B758,'Per Invoice'!$A$2:$A$401,0))=0,"",INDEX('Per Invoice'!$C$2:$C$401,MATCH($B758,'Per Invoice'!$A$2:$A$401,0))),""))</f>
        <v/>
      </c>
      <c r="G758" s="7">
        <f>IF($B758="","",F758*L758/100)</f>
        <v/>
      </c>
      <c r="K758" s="7" t="n"/>
      <c r="L758" s="7" t="n"/>
      <c r="M758" s="7">
        <f>IF($B758="","",L758*T758/100)</f>
        <v/>
      </c>
      <c r="N758" s="7">
        <f>IF($B758="","",L758-M758)</f>
        <v/>
      </c>
      <c r="O758" s="7">
        <f>IF($B758="","",N758-G758)</f>
        <v/>
      </c>
      <c r="R758" s="14" t="n"/>
      <c r="T758">
        <f>IF($B758="","",IF($W758=1,Settings!$C$6,Settings!$C$7)*100)</f>
        <v/>
      </c>
      <c r="U758">
        <f>IF($B758="","",IF(COUNTIF($B$2:$B758,$B758)=1,1,0))</f>
        <v/>
      </c>
      <c r="V758">
        <f>IF($U758=1,SUMPRODUCT(--($X$2:$X$1501&lt;$X758))+1,"")</f>
        <v/>
      </c>
      <c r="W758">
        <f>IF($B758="","",IF(OR($S758=TRUE(),$S758="TRUE"),1,0))</f>
        <v/>
      </c>
      <c r="X758">
        <f>IF($U758=1,IFERROR(IF(VALUE($B758)&lt;100000000,VALUE($B758),1000000000),IFERROR(IF(VALUE(MID($B758,2,20))&lt;100000000,VALUE(MID($B758,2,20)),1000000000),1000000000))+ROW()/100000,"")</f>
        <v/>
      </c>
    </row>
    <row r="759">
      <c r="A759">
        <f>IF($B759="","",IFERROR(IF(INDEX('Per Invoice'!$C$2:$C$401,MATCH($B759,'Per Invoice'!$A$2:$A$401,0))=0,"",INDEX('Per Invoice'!$C$2:$C$401,MATCH($B759,'Per Invoice'!$A$2:$A$401,0))),""))</f>
        <v/>
      </c>
      <c r="G759" s="7">
        <f>IF($B759="","",F759*L759/100)</f>
        <v/>
      </c>
      <c r="K759" s="7" t="n"/>
      <c r="L759" s="7" t="n"/>
      <c r="M759" s="7">
        <f>IF($B759="","",L759*T759/100)</f>
        <v/>
      </c>
      <c r="N759" s="7">
        <f>IF($B759="","",L759-M759)</f>
        <v/>
      </c>
      <c r="O759" s="7">
        <f>IF($B759="","",N759-G759)</f>
        <v/>
      </c>
      <c r="R759" s="14" t="n"/>
      <c r="T759">
        <f>IF($B759="","",IF($W759=1,Settings!$C$6,Settings!$C$7)*100)</f>
        <v/>
      </c>
      <c r="U759">
        <f>IF($B759="","",IF(COUNTIF($B$2:$B759,$B759)=1,1,0))</f>
        <v/>
      </c>
      <c r="V759">
        <f>IF($U759=1,SUMPRODUCT(--($X$2:$X$1501&lt;$X759))+1,"")</f>
        <v/>
      </c>
      <c r="W759">
        <f>IF($B759="","",IF(OR($S759=TRUE(),$S759="TRUE"),1,0))</f>
        <v/>
      </c>
      <c r="X759">
        <f>IF($U759=1,IFERROR(IF(VALUE($B759)&lt;100000000,VALUE($B759),1000000000),IFERROR(IF(VALUE(MID($B759,2,20))&lt;100000000,VALUE(MID($B759,2,20)),1000000000),1000000000))+ROW()/100000,"")</f>
        <v/>
      </c>
    </row>
    <row r="760">
      <c r="A760">
        <f>IF($B760="","",IFERROR(IF(INDEX('Per Invoice'!$C$2:$C$401,MATCH($B760,'Per Invoice'!$A$2:$A$401,0))=0,"",INDEX('Per Invoice'!$C$2:$C$401,MATCH($B760,'Per Invoice'!$A$2:$A$401,0))),""))</f>
        <v/>
      </c>
      <c r="G760" s="7">
        <f>IF($B760="","",F760*L760/100)</f>
        <v/>
      </c>
      <c r="K760" s="7" t="n"/>
      <c r="L760" s="7" t="n"/>
      <c r="M760" s="7">
        <f>IF($B760="","",L760*T760/100)</f>
        <v/>
      </c>
      <c r="N760" s="7">
        <f>IF($B760="","",L760-M760)</f>
        <v/>
      </c>
      <c r="O760" s="7">
        <f>IF($B760="","",N760-G760)</f>
        <v/>
      </c>
      <c r="R760" s="14" t="n"/>
      <c r="T760">
        <f>IF($B760="","",IF($W760=1,Settings!$C$6,Settings!$C$7)*100)</f>
        <v/>
      </c>
      <c r="U760">
        <f>IF($B760="","",IF(COUNTIF($B$2:$B760,$B760)=1,1,0))</f>
        <v/>
      </c>
      <c r="V760">
        <f>IF($U760=1,SUMPRODUCT(--($X$2:$X$1501&lt;$X760))+1,"")</f>
        <v/>
      </c>
      <c r="W760">
        <f>IF($B760="","",IF(OR($S760=TRUE(),$S760="TRUE"),1,0))</f>
        <v/>
      </c>
      <c r="X760">
        <f>IF($U760=1,IFERROR(IF(VALUE($B760)&lt;100000000,VALUE($B760),1000000000),IFERROR(IF(VALUE(MID($B760,2,20))&lt;100000000,VALUE(MID($B760,2,20)),1000000000),1000000000))+ROW()/100000,"")</f>
        <v/>
      </c>
    </row>
    <row r="761">
      <c r="A761">
        <f>IF($B761="","",IFERROR(IF(INDEX('Per Invoice'!$C$2:$C$401,MATCH($B761,'Per Invoice'!$A$2:$A$401,0))=0,"",INDEX('Per Invoice'!$C$2:$C$401,MATCH($B761,'Per Invoice'!$A$2:$A$401,0))),""))</f>
        <v/>
      </c>
      <c r="G761" s="7">
        <f>IF($B761="","",F761*L761/100)</f>
        <v/>
      </c>
      <c r="K761" s="7" t="n"/>
      <c r="L761" s="7" t="n"/>
      <c r="M761" s="7">
        <f>IF($B761="","",L761*T761/100)</f>
        <v/>
      </c>
      <c r="N761" s="7">
        <f>IF($B761="","",L761-M761)</f>
        <v/>
      </c>
      <c r="O761" s="7">
        <f>IF($B761="","",N761-G761)</f>
        <v/>
      </c>
      <c r="R761" s="14" t="n"/>
      <c r="T761">
        <f>IF($B761="","",IF($W761=1,Settings!$C$6,Settings!$C$7)*100)</f>
        <v/>
      </c>
      <c r="U761">
        <f>IF($B761="","",IF(COUNTIF($B$2:$B761,$B761)=1,1,0))</f>
        <v/>
      </c>
      <c r="V761">
        <f>IF($U761=1,SUMPRODUCT(--($X$2:$X$1501&lt;$X761))+1,"")</f>
        <v/>
      </c>
      <c r="W761">
        <f>IF($B761="","",IF(OR($S761=TRUE(),$S761="TRUE"),1,0))</f>
        <v/>
      </c>
      <c r="X761">
        <f>IF($U761=1,IFERROR(IF(VALUE($B761)&lt;100000000,VALUE($B761),1000000000),IFERROR(IF(VALUE(MID($B761,2,20))&lt;100000000,VALUE(MID($B761,2,20)),1000000000),1000000000))+ROW()/100000,"")</f>
        <v/>
      </c>
    </row>
    <row r="762">
      <c r="A762">
        <f>IF($B762="","",IFERROR(IF(INDEX('Per Invoice'!$C$2:$C$401,MATCH($B762,'Per Invoice'!$A$2:$A$401,0))=0,"",INDEX('Per Invoice'!$C$2:$C$401,MATCH($B762,'Per Invoice'!$A$2:$A$401,0))),""))</f>
        <v/>
      </c>
      <c r="G762" s="7">
        <f>IF($B762="","",F762*L762/100)</f>
        <v/>
      </c>
      <c r="K762" s="7" t="n"/>
      <c r="L762" s="7" t="n"/>
      <c r="M762" s="7">
        <f>IF($B762="","",L762*T762/100)</f>
        <v/>
      </c>
      <c r="N762" s="7">
        <f>IF($B762="","",L762-M762)</f>
        <v/>
      </c>
      <c r="O762" s="7">
        <f>IF($B762="","",N762-G762)</f>
        <v/>
      </c>
      <c r="R762" s="14" t="n"/>
      <c r="T762">
        <f>IF($B762="","",IF($W762=1,Settings!$C$6,Settings!$C$7)*100)</f>
        <v/>
      </c>
      <c r="U762">
        <f>IF($B762="","",IF(COUNTIF($B$2:$B762,$B762)=1,1,0))</f>
        <v/>
      </c>
      <c r="V762">
        <f>IF($U762=1,SUMPRODUCT(--($X$2:$X$1501&lt;$X762))+1,"")</f>
        <v/>
      </c>
      <c r="W762">
        <f>IF($B762="","",IF(OR($S762=TRUE(),$S762="TRUE"),1,0))</f>
        <v/>
      </c>
      <c r="X762">
        <f>IF($U762=1,IFERROR(IF(VALUE($B762)&lt;100000000,VALUE($B762),1000000000),IFERROR(IF(VALUE(MID($B762,2,20))&lt;100000000,VALUE(MID($B762,2,20)),1000000000),1000000000))+ROW()/100000,"")</f>
        <v/>
      </c>
    </row>
    <row r="763">
      <c r="A763">
        <f>IF($B763="","",IFERROR(IF(INDEX('Per Invoice'!$C$2:$C$401,MATCH($B763,'Per Invoice'!$A$2:$A$401,0))=0,"",INDEX('Per Invoice'!$C$2:$C$401,MATCH($B763,'Per Invoice'!$A$2:$A$401,0))),""))</f>
        <v/>
      </c>
      <c r="G763" s="7">
        <f>IF($B763="","",F763*L763/100)</f>
        <v/>
      </c>
      <c r="K763" s="7" t="n"/>
      <c r="L763" s="7" t="n"/>
      <c r="M763" s="7">
        <f>IF($B763="","",L763*T763/100)</f>
        <v/>
      </c>
      <c r="N763" s="7">
        <f>IF($B763="","",L763-M763)</f>
        <v/>
      </c>
      <c r="O763" s="7">
        <f>IF($B763="","",N763-G763)</f>
        <v/>
      </c>
      <c r="R763" s="14" t="n"/>
      <c r="T763">
        <f>IF($B763="","",IF($W763=1,Settings!$C$6,Settings!$C$7)*100)</f>
        <v/>
      </c>
      <c r="U763">
        <f>IF($B763="","",IF(COUNTIF($B$2:$B763,$B763)=1,1,0))</f>
        <v/>
      </c>
      <c r="V763">
        <f>IF($U763=1,SUMPRODUCT(--($X$2:$X$1501&lt;$X763))+1,"")</f>
        <v/>
      </c>
      <c r="W763">
        <f>IF($B763="","",IF(OR($S763=TRUE(),$S763="TRUE"),1,0))</f>
        <v/>
      </c>
      <c r="X763">
        <f>IF($U763=1,IFERROR(IF(VALUE($B763)&lt;100000000,VALUE($B763),1000000000),IFERROR(IF(VALUE(MID($B763,2,20))&lt;100000000,VALUE(MID($B763,2,20)),1000000000),1000000000))+ROW()/100000,"")</f>
        <v/>
      </c>
    </row>
    <row r="764">
      <c r="A764">
        <f>IF($B764="","",IFERROR(IF(INDEX('Per Invoice'!$C$2:$C$401,MATCH($B764,'Per Invoice'!$A$2:$A$401,0))=0,"",INDEX('Per Invoice'!$C$2:$C$401,MATCH($B764,'Per Invoice'!$A$2:$A$401,0))),""))</f>
        <v/>
      </c>
      <c r="G764" s="7">
        <f>IF($B764="","",F764*L764/100)</f>
        <v/>
      </c>
      <c r="K764" s="7" t="n"/>
      <c r="L764" s="7" t="n"/>
      <c r="M764" s="7">
        <f>IF($B764="","",L764*T764/100)</f>
        <v/>
      </c>
      <c r="N764" s="7">
        <f>IF($B764="","",L764-M764)</f>
        <v/>
      </c>
      <c r="O764" s="7">
        <f>IF($B764="","",N764-G764)</f>
        <v/>
      </c>
      <c r="R764" s="14" t="n"/>
      <c r="T764">
        <f>IF($B764="","",IF($W764=1,Settings!$C$6,Settings!$C$7)*100)</f>
        <v/>
      </c>
      <c r="U764">
        <f>IF($B764="","",IF(COUNTIF($B$2:$B764,$B764)=1,1,0))</f>
        <v/>
      </c>
      <c r="V764">
        <f>IF($U764=1,SUMPRODUCT(--($X$2:$X$1501&lt;$X764))+1,"")</f>
        <v/>
      </c>
      <c r="W764">
        <f>IF($B764="","",IF(OR($S764=TRUE(),$S764="TRUE"),1,0))</f>
        <v/>
      </c>
      <c r="X764">
        <f>IF($U764=1,IFERROR(IF(VALUE($B764)&lt;100000000,VALUE($B764),1000000000),IFERROR(IF(VALUE(MID($B764,2,20))&lt;100000000,VALUE(MID($B764,2,20)),1000000000),1000000000))+ROW()/100000,"")</f>
        <v/>
      </c>
    </row>
    <row r="765">
      <c r="A765">
        <f>IF($B765="","",IFERROR(IF(INDEX('Per Invoice'!$C$2:$C$401,MATCH($B765,'Per Invoice'!$A$2:$A$401,0))=0,"",INDEX('Per Invoice'!$C$2:$C$401,MATCH($B765,'Per Invoice'!$A$2:$A$401,0))),""))</f>
        <v/>
      </c>
      <c r="G765" s="7">
        <f>IF($B765="","",F765*L765/100)</f>
        <v/>
      </c>
      <c r="K765" s="7" t="n"/>
      <c r="L765" s="7" t="n"/>
      <c r="M765" s="7">
        <f>IF($B765="","",L765*T765/100)</f>
        <v/>
      </c>
      <c r="N765" s="7">
        <f>IF($B765="","",L765-M765)</f>
        <v/>
      </c>
      <c r="O765" s="7">
        <f>IF($B765="","",N765-G765)</f>
        <v/>
      </c>
      <c r="R765" s="14" t="n"/>
      <c r="T765">
        <f>IF($B765="","",IF($W765=1,Settings!$C$6,Settings!$C$7)*100)</f>
        <v/>
      </c>
      <c r="U765">
        <f>IF($B765="","",IF(COUNTIF($B$2:$B765,$B765)=1,1,0))</f>
        <v/>
      </c>
      <c r="V765">
        <f>IF($U765=1,SUMPRODUCT(--($X$2:$X$1501&lt;$X765))+1,"")</f>
        <v/>
      </c>
      <c r="W765">
        <f>IF($B765="","",IF(OR($S765=TRUE(),$S765="TRUE"),1,0))</f>
        <v/>
      </c>
      <c r="X765">
        <f>IF($U765=1,IFERROR(IF(VALUE($B765)&lt;100000000,VALUE($B765),1000000000),IFERROR(IF(VALUE(MID($B765,2,20))&lt;100000000,VALUE(MID($B765,2,20)),1000000000),1000000000))+ROW()/100000,"")</f>
        <v/>
      </c>
    </row>
    <row r="766">
      <c r="A766">
        <f>IF($B766="","",IFERROR(IF(INDEX('Per Invoice'!$C$2:$C$401,MATCH($B766,'Per Invoice'!$A$2:$A$401,0))=0,"",INDEX('Per Invoice'!$C$2:$C$401,MATCH($B766,'Per Invoice'!$A$2:$A$401,0))),""))</f>
        <v/>
      </c>
      <c r="G766" s="7">
        <f>IF($B766="","",F766*L766/100)</f>
        <v/>
      </c>
      <c r="K766" s="7" t="n"/>
      <c r="L766" s="7" t="n"/>
      <c r="M766" s="7">
        <f>IF($B766="","",L766*T766/100)</f>
        <v/>
      </c>
      <c r="N766" s="7">
        <f>IF($B766="","",L766-M766)</f>
        <v/>
      </c>
      <c r="O766" s="7">
        <f>IF($B766="","",N766-G766)</f>
        <v/>
      </c>
      <c r="R766" s="14" t="n"/>
      <c r="T766">
        <f>IF($B766="","",IF($W766=1,Settings!$C$6,Settings!$C$7)*100)</f>
        <v/>
      </c>
      <c r="U766">
        <f>IF($B766="","",IF(COUNTIF($B$2:$B766,$B766)=1,1,0))</f>
        <v/>
      </c>
      <c r="V766">
        <f>IF($U766=1,SUMPRODUCT(--($X$2:$X$1501&lt;$X766))+1,"")</f>
        <v/>
      </c>
      <c r="W766">
        <f>IF($B766="","",IF(OR($S766=TRUE(),$S766="TRUE"),1,0))</f>
        <v/>
      </c>
      <c r="X766">
        <f>IF($U766=1,IFERROR(IF(VALUE($B766)&lt;100000000,VALUE($B766),1000000000),IFERROR(IF(VALUE(MID($B766,2,20))&lt;100000000,VALUE(MID($B766,2,20)),1000000000),1000000000))+ROW()/100000,"")</f>
        <v/>
      </c>
    </row>
    <row r="767">
      <c r="A767">
        <f>IF($B767="","",IFERROR(IF(INDEX('Per Invoice'!$C$2:$C$401,MATCH($B767,'Per Invoice'!$A$2:$A$401,0))=0,"",INDEX('Per Invoice'!$C$2:$C$401,MATCH($B767,'Per Invoice'!$A$2:$A$401,0))),""))</f>
        <v/>
      </c>
      <c r="G767" s="7">
        <f>IF($B767="","",F767*L767/100)</f>
        <v/>
      </c>
      <c r="K767" s="7" t="n"/>
      <c r="L767" s="7" t="n"/>
      <c r="M767" s="7">
        <f>IF($B767="","",L767*T767/100)</f>
        <v/>
      </c>
      <c r="N767" s="7">
        <f>IF($B767="","",L767-M767)</f>
        <v/>
      </c>
      <c r="O767" s="7">
        <f>IF($B767="","",N767-G767)</f>
        <v/>
      </c>
      <c r="R767" s="14" t="n"/>
      <c r="T767">
        <f>IF($B767="","",IF($W767=1,Settings!$C$6,Settings!$C$7)*100)</f>
        <v/>
      </c>
      <c r="U767">
        <f>IF($B767="","",IF(COUNTIF($B$2:$B767,$B767)=1,1,0))</f>
        <v/>
      </c>
      <c r="V767">
        <f>IF($U767=1,SUMPRODUCT(--($X$2:$X$1501&lt;$X767))+1,"")</f>
        <v/>
      </c>
      <c r="W767">
        <f>IF($B767="","",IF(OR($S767=TRUE(),$S767="TRUE"),1,0))</f>
        <v/>
      </c>
      <c r="X767">
        <f>IF($U767=1,IFERROR(IF(VALUE($B767)&lt;100000000,VALUE($B767),1000000000),IFERROR(IF(VALUE(MID($B767,2,20))&lt;100000000,VALUE(MID($B767,2,20)),1000000000),1000000000))+ROW()/100000,"")</f>
        <v/>
      </c>
    </row>
    <row r="768">
      <c r="A768">
        <f>IF($B768="","",IFERROR(IF(INDEX('Per Invoice'!$C$2:$C$401,MATCH($B768,'Per Invoice'!$A$2:$A$401,0))=0,"",INDEX('Per Invoice'!$C$2:$C$401,MATCH($B768,'Per Invoice'!$A$2:$A$401,0))),""))</f>
        <v/>
      </c>
      <c r="G768" s="7">
        <f>IF($B768="","",F768*L768/100)</f>
        <v/>
      </c>
      <c r="K768" s="7" t="n"/>
      <c r="L768" s="7" t="n"/>
      <c r="M768" s="7">
        <f>IF($B768="","",L768*T768/100)</f>
        <v/>
      </c>
      <c r="N768" s="7">
        <f>IF($B768="","",L768-M768)</f>
        <v/>
      </c>
      <c r="O768" s="7">
        <f>IF($B768="","",N768-G768)</f>
        <v/>
      </c>
      <c r="R768" s="14" t="n"/>
      <c r="T768">
        <f>IF($B768="","",IF($W768=1,Settings!$C$6,Settings!$C$7)*100)</f>
        <v/>
      </c>
      <c r="U768">
        <f>IF($B768="","",IF(COUNTIF($B$2:$B768,$B768)=1,1,0))</f>
        <v/>
      </c>
      <c r="V768">
        <f>IF($U768=1,SUMPRODUCT(--($X$2:$X$1501&lt;$X768))+1,"")</f>
        <v/>
      </c>
      <c r="W768">
        <f>IF($B768="","",IF(OR($S768=TRUE(),$S768="TRUE"),1,0))</f>
        <v/>
      </c>
      <c r="X768">
        <f>IF($U768=1,IFERROR(IF(VALUE($B768)&lt;100000000,VALUE($B768),1000000000),IFERROR(IF(VALUE(MID($B768,2,20))&lt;100000000,VALUE(MID($B768,2,20)),1000000000),1000000000))+ROW()/100000,"")</f>
        <v/>
      </c>
    </row>
    <row r="769">
      <c r="A769">
        <f>IF($B769="","",IFERROR(IF(INDEX('Per Invoice'!$C$2:$C$401,MATCH($B769,'Per Invoice'!$A$2:$A$401,0))=0,"",INDEX('Per Invoice'!$C$2:$C$401,MATCH($B769,'Per Invoice'!$A$2:$A$401,0))),""))</f>
        <v/>
      </c>
      <c r="G769" s="7">
        <f>IF($B769="","",F769*L769/100)</f>
        <v/>
      </c>
      <c r="K769" s="7" t="n"/>
      <c r="L769" s="7" t="n"/>
      <c r="M769" s="7">
        <f>IF($B769="","",L769*T769/100)</f>
        <v/>
      </c>
      <c r="N769" s="7">
        <f>IF($B769="","",L769-M769)</f>
        <v/>
      </c>
      <c r="O769" s="7">
        <f>IF($B769="","",N769-G769)</f>
        <v/>
      </c>
      <c r="R769" s="14" t="n"/>
      <c r="T769">
        <f>IF($B769="","",IF($W769=1,Settings!$C$6,Settings!$C$7)*100)</f>
        <v/>
      </c>
      <c r="U769">
        <f>IF($B769="","",IF(COUNTIF($B$2:$B769,$B769)=1,1,0))</f>
        <v/>
      </c>
      <c r="V769">
        <f>IF($U769=1,SUMPRODUCT(--($X$2:$X$1501&lt;$X769))+1,"")</f>
        <v/>
      </c>
      <c r="W769">
        <f>IF($B769="","",IF(OR($S769=TRUE(),$S769="TRUE"),1,0))</f>
        <v/>
      </c>
      <c r="X769">
        <f>IF($U769=1,IFERROR(IF(VALUE($B769)&lt;100000000,VALUE($B769),1000000000),IFERROR(IF(VALUE(MID($B769,2,20))&lt;100000000,VALUE(MID($B769,2,20)),1000000000),1000000000))+ROW()/100000,"")</f>
        <v/>
      </c>
    </row>
    <row r="770">
      <c r="A770">
        <f>IF($B770="","",IFERROR(IF(INDEX('Per Invoice'!$C$2:$C$401,MATCH($B770,'Per Invoice'!$A$2:$A$401,0))=0,"",INDEX('Per Invoice'!$C$2:$C$401,MATCH($B770,'Per Invoice'!$A$2:$A$401,0))),""))</f>
        <v/>
      </c>
      <c r="G770" s="7">
        <f>IF($B770="","",F770*L770/100)</f>
        <v/>
      </c>
      <c r="K770" s="7" t="n"/>
      <c r="L770" s="7" t="n"/>
      <c r="M770" s="7">
        <f>IF($B770="","",L770*T770/100)</f>
        <v/>
      </c>
      <c r="N770" s="7">
        <f>IF($B770="","",L770-M770)</f>
        <v/>
      </c>
      <c r="O770" s="7">
        <f>IF($B770="","",N770-G770)</f>
        <v/>
      </c>
      <c r="R770" s="14" t="n"/>
      <c r="T770">
        <f>IF($B770="","",IF($W770=1,Settings!$C$6,Settings!$C$7)*100)</f>
        <v/>
      </c>
      <c r="U770">
        <f>IF($B770="","",IF(COUNTIF($B$2:$B770,$B770)=1,1,0))</f>
        <v/>
      </c>
      <c r="V770">
        <f>IF($U770=1,SUMPRODUCT(--($X$2:$X$1501&lt;$X770))+1,"")</f>
        <v/>
      </c>
      <c r="W770">
        <f>IF($B770="","",IF(OR($S770=TRUE(),$S770="TRUE"),1,0))</f>
        <v/>
      </c>
      <c r="X770">
        <f>IF($U770=1,IFERROR(IF(VALUE($B770)&lt;100000000,VALUE($B770),1000000000),IFERROR(IF(VALUE(MID($B770,2,20))&lt;100000000,VALUE(MID($B770,2,20)),1000000000),1000000000))+ROW()/100000,"")</f>
        <v/>
      </c>
    </row>
    <row r="771">
      <c r="A771">
        <f>IF($B771="","",IFERROR(IF(INDEX('Per Invoice'!$C$2:$C$401,MATCH($B771,'Per Invoice'!$A$2:$A$401,0))=0,"",INDEX('Per Invoice'!$C$2:$C$401,MATCH($B771,'Per Invoice'!$A$2:$A$401,0))),""))</f>
        <v/>
      </c>
      <c r="G771" s="7">
        <f>IF($B771="","",F771*L771/100)</f>
        <v/>
      </c>
      <c r="K771" s="7" t="n"/>
      <c r="L771" s="7" t="n"/>
      <c r="M771" s="7">
        <f>IF($B771="","",L771*T771/100)</f>
        <v/>
      </c>
      <c r="N771" s="7">
        <f>IF($B771="","",L771-M771)</f>
        <v/>
      </c>
      <c r="O771" s="7">
        <f>IF($B771="","",N771-G771)</f>
        <v/>
      </c>
      <c r="R771" s="14" t="n"/>
      <c r="T771">
        <f>IF($B771="","",IF($W771=1,Settings!$C$6,Settings!$C$7)*100)</f>
        <v/>
      </c>
      <c r="U771">
        <f>IF($B771="","",IF(COUNTIF($B$2:$B771,$B771)=1,1,0))</f>
        <v/>
      </c>
      <c r="V771">
        <f>IF($U771=1,SUMPRODUCT(--($X$2:$X$1501&lt;$X771))+1,"")</f>
        <v/>
      </c>
      <c r="W771">
        <f>IF($B771="","",IF(OR($S771=TRUE(),$S771="TRUE"),1,0))</f>
        <v/>
      </c>
      <c r="X771">
        <f>IF($U771=1,IFERROR(IF(VALUE($B771)&lt;100000000,VALUE($B771),1000000000),IFERROR(IF(VALUE(MID($B771,2,20))&lt;100000000,VALUE(MID($B771,2,20)),1000000000),1000000000))+ROW()/100000,"")</f>
        <v/>
      </c>
    </row>
    <row r="772">
      <c r="A772">
        <f>IF($B772="","",IFERROR(IF(INDEX('Per Invoice'!$C$2:$C$401,MATCH($B772,'Per Invoice'!$A$2:$A$401,0))=0,"",INDEX('Per Invoice'!$C$2:$C$401,MATCH($B772,'Per Invoice'!$A$2:$A$401,0))),""))</f>
        <v/>
      </c>
      <c r="G772" s="7">
        <f>IF($B772="","",F772*L772/100)</f>
        <v/>
      </c>
      <c r="K772" s="7" t="n"/>
      <c r="L772" s="7" t="n"/>
      <c r="M772" s="7">
        <f>IF($B772="","",L772*T772/100)</f>
        <v/>
      </c>
      <c r="N772" s="7">
        <f>IF($B772="","",L772-M772)</f>
        <v/>
      </c>
      <c r="O772" s="7">
        <f>IF($B772="","",N772-G772)</f>
        <v/>
      </c>
      <c r="R772" s="14" t="n"/>
      <c r="T772">
        <f>IF($B772="","",IF($W772=1,Settings!$C$6,Settings!$C$7)*100)</f>
        <v/>
      </c>
      <c r="U772">
        <f>IF($B772="","",IF(COUNTIF($B$2:$B772,$B772)=1,1,0))</f>
        <v/>
      </c>
      <c r="V772">
        <f>IF($U772=1,SUMPRODUCT(--($X$2:$X$1501&lt;$X772))+1,"")</f>
        <v/>
      </c>
      <c r="W772">
        <f>IF($B772="","",IF(OR($S772=TRUE(),$S772="TRUE"),1,0))</f>
        <v/>
      </c>
      <c r="X772">
        <f>IF($U772=1,IFERROR(IF(VALUE($B772)&lt;100000000,VALUE($B772),1000000000),IFERROR(IF(VALUE(MID($B772,2,20))&lt;100000000,VALUE(MID($B772,2,20)),1000000000),1000000000))+ROW()/100000,"")</f>
        <v/>
      </c>
    </row>
    <row r="773">
      <c r="A773">
        <f>IF($B773="","",IFERROR(IF(INDEX('Per Invoice'!$C$2:$C$401,MATCH($B773,'Per Invoice'!$A$2:$A$401,0))=0,"",INDEX('Per Invoice'!$C$2:$C$401,MATCH($B773,'Per Invoice'!$A$2:$A$401,0))),""))</f>
        <v/>
      </c>
      <c r="G773" s="7">
        <f>IF($B773="","",F773*L773/100)</f>
        <v/>
      </c>
      <c r="K773" s="7" t="n"/>
      <c r="L773" s="7" t="n"/>
      <c r="M773" s="7">
        <f>IF($B773="","",L773*T773/100)</f>
        <v/>
      </c>
      <c r="N773" s="7">
        <f>IF($B773="","",L773-M773)</f>
        <v/>
      </c>
      <c r="O773" s="7">
        <f>IF($B773="","",N773-G773)</f>
        <v/>
      </c>
      <c r="R773" s="14" t="n"/>
      <c r="T773">
        <f>IF($B773="","",IF($W773=1,Settings!$C$6,Settings!$C$7)*100)</f>
        <v/>
      </c>
      <c r="U773">
        <f>IF($B773="","",IF(COUNTIF($B$2:$B773,$B773)=1,1,0))</f>
        <v/>
      </c>
      <c r="V773">
        <f>IF($U773=1,SUMPRODUCT(--($X$2:$X$1501&lt;$X773))+1,"")</f>
        <v/>
      </c>
      <c r="W773">
        <f>IF($B773="","",IF(OR($S773=TRUE(),$S773="TRUE"),1,0))</f>
        <v/>
      </c>
      <c r="X773">
        <f>IF($U773=1,IFERROR(IF(VALUE($B773)&lt;100000000,VALUE($B773),1000000000),IFERROR(IF(VALUE(MID($B773,2,20))&lt;100000000,VALUE(MID($B773,2,20)),1000000000),1000000000))+ROW()/100000,"")</f>
        <v/>
      </c>
    </row>
    <row r="774">
      <c r="A774">
        <f>IF($B774="","",IFERROR(IF(INDEX('Per Invoice'!$C$2:$C$401,MATCH($B774,'Per Invoice'!$A$2:$A$401,0))=0,"",INDEX('Per Invoice'!$C$2:$C$401,MATCH($B774,'Per Invoice'!$A$2:$A$401,0))),""))</f>
        <v/>
      </c>
      <c r="G774" s="7">
        <f>IF($B774="","",F774*L774/100)</f>
        <v/>
      </c>
      <c r="K774" s="7" t="n"/>
      <c r="L774" s="7" t="n"/>
      <c r="M774" s="7">
        <f>IF($B774="","",L774*T774/100)</f>
        <v/>
      </c>
      <c r="N774" s="7">
        <f>IF($B774="","",L774-M774)</f>
        <v/>
      </c>
      <c r="O774" s="7">
        <f>IF($B774="","",N774-G774)</f>
        <v/>
      </c>
      <c r="R774" s="14" t="n"/>
      <c r="T774">
        <f>IF($B774="","",IF($W774=1,Settings!$C$6,Settings!$C$7)*100)</f>
        <v/>
      </c>
      <c r="U774">
        <f>IF($B774="","",IF(COUNTIF($B$2:$B774,$B774)=1,1,0))</f>
        <v/>
      </c>
      <c r="V774">
        <f>IF($U774=1,SUMPRODUCT(--($X$2:$X$1501&lt;$X774))+1,"")</f>
        <v/>
      </c>
      <c r="W774">
        <f>IF($B774="","",IF(OR($S774=TRUE(),$S774="TRUE"),1,0))</f>
        <v/>
      </c>
      <c r="X774">
        <f>IF($U774=1,IFERROR(IF(VALUE($B774)&lt;100000000,VALUE($B774),1000000000),IFERROR(IF(VALUE(MID($B774,2,20))&lt;100000000,VALUE(MID($B774,2,20)),1000000000),1000000000))+ROW()/100000,"")</f>
        <v/>
      </c>
    </row>
    <row r="775">
      <c r="A775">
        <f>IF($B775="","",IFERROR(IF(INDEX('Per Invoice'!$C$2:$C$401,MATCH($B775,'Per Invoice'!$A$2:$A$401,0))=0,"",INDEX('Per Invoice'!$C$2:$C$401,MATCH($B775,'Per Invoice'!$A$2:$A$401,0))),""))</f>
        <v/>
      </c>
      <c r="G775" s="7">
        <f>IF($B775="","",F775*L775/100)</f>
        <v/>
      </c>
      <c r="K775" s="7" t="n"/>
      <c r="L775" s="7" t="n"/>
      <c r="M775" s="7">
        <f>IF($B775="","",L775*T775/100)</f>
        <v/>
      </c>
      <c r="N775" s="7">
        <f>IF($B775="","",L775-M775)</f>
        <v/>
      </c>
      <c r="O775" s="7">
        <f>IF($B775="","",N775-G775)</f>
        <v/>
      </c>
      <c r="R775" s="14" t="n"/>
      <c r="T775">
        <f>IF($B775="","",IF($W775=1,Settings!$C$6,Settings!$C$7)*100)</f>
        <v/>
      </c>
      <c r="U775">
        <f>IF($B775="","",IF(COUNTIF($B$2:$B775,$B775)=1,1,0))</f>
        <v/>
      </c>
      <c r="V775">
        <f>IF($U775=1,SUMPRODUCT(--($X$2:$X$1501&lt;$X775))+1,"")</f>
        <v/>
      </c>
      <c r="W775">
        <f>IF($B775="","",IF(OR($S775=TRUE(),$S775="TRUE"),1,0))</f>
        <v/>
      </c>
      <c r="X775">
        <f>IF($U775=1,IFERROR(IF(VALUE($B775)&lt;100000000,VALUE($B775),1000000000),IFERROR(IF(VALUE(MID($B775,2,20))&lt;100000000,VALUE(MID($B775,2,20)),1000000000),1000000000))+ROW()/100000,"")</f>
        <v/>
      </c>
    </row>
    <row r="776">
      <c r="A776">
        <f>IF($B776="","",IFERROR(IF(INDEX('Per Invoice'!$C$2:$C$401,MATCH($B776,'Per Invoice'!$A$2:$A$401,0))=0,"",INDEX('Per Invoice'!$C$2:$C$401,MATCH($B776,'Per Invoice'!$A$2:$A$401,0))),""))</f>
        <v/>
      </c>
      <c r="G776" s="7">
        <f>IF($B776="","",F776*L776/100)</f>
        <v/>
      </c>
      <c r="K776" s="7" t="n"/>
      <c r="L776" s="7" t="n"/>
      <c r="M776" s="7">
        <f>IF($B776="","",L776*T776/100)</f>
        <v/>
      </c>
      <c r="N776" s="7">
        <f>IF($B776="","",L776-M776)</f>
        <v/>
      </c>
      <c r="O776" s="7">
        <f>IF($B776="","",N776-G776)</f>
        <v/>
      </c>
      <c r="R776" s="14" t="n"/>
      <c r="T776">
        <f>IF($B776="","",IF($W776=1,Settings!$C$6,Settings!$C$7)*100)</f>
        <v/>
      </c>
      <c r="U776">
        <f>IF($B776="","",IF(COUNTIF($B$2:$B776,$B776)=1,1,0))</f>
        <v/>
      </c>
      <c r="V776">
        <f>IF($U776=1,SUMPRODUCT(--($X$2:$X$1501&lt;$X776))+1,"")</f>
        <v/>
      </c>
      <c r="W776">
        <f>IF($B776="","",IF(OR($S776=TRUE(),$S776="TRUE"),1,0))</f>
        <v/>
      </c>
      <c r="X776">
        <f>IF($U776=1,IFERROR(IF(VALUE($B776)&lt;100000000,VALUE($B776),1000000000),IFERROR(IF(VALUE(MID($B776,2,20))&lt;100000000,VALUE(MID($B776,2,20)),1000000000),1000000000))+ROW()/100000,"")</f>
        <v/>
      </c>
    </row>
    <row r="777">
      <c r="A777">
        <f>IF($B777="","",IFERROR(IF(INDEX('Per Invoice'!$C$2:$C$401,MATCH($B777,'Per Invoice'!$A$2:$A$401,0))=0,"",INDEX('Per Invoice'!$C$2:$C$401,MATCH($B777,'Per Invoice'!$A$2:$A$401,0))),""))</f>
        <v/>
      </c>
      <c r="G777" s="7">
        <f>IF($B777="","",F777*L777/100)</f>
        <v/>
      </c>
      <c r="K777" s="7" t="n"/>
      <c r="L777" s="7" t="n"/>
      <c r="M777" s="7">
        <f>IF($B777="","",L777*T777/100)</f>
        <v/>
      </c>
      <c r="N777" s="7">
        <f>IF($B777="","",L777-M777)</f>
        <v/>
      </c>
      <c r="O777" s="7">
        <f>IF($B777="","",N777-G777)</f>
        <v/>
      </c>
      <c r="R777" s="14" t="n"/>
      <c r="T777">
        <f>IF($B777="","",IF($W777=1,Settings!$C$6,Settings!$C$7)*100)</f>
        <v/>
      </c>
      <c r="U777">
        <f>IF($B777="","",IF(COUNTIF($B$2:$B777,$B777)=1,1,0))</f>
        <v/>
      </c>
      <c r="V777">
        <f>IF($U777=1,SUMPRODUCT(--($X$2:$X$1501&lt;$X777))+1,"")</f>
        <v/>
      </c>
      <c r="W777">
        <f>IF($B777="","",IF(OR($S777=TRUE(),$S777="TRUE"),1,0))</f>
        <v/>
      </c>
      <c r="X777">
        <f>IF($U777=1,IFERROR(IF(VALUE($B777)&lt;100000000,VALUE($B777),1000000000),IFERROR(IF(VALUE(MID($B777,2,20))&lt;100000000,VALUE(MID($B777,2,20)),1000000000),1000000000))+ROW()/100000,"")</f>
        <v/>
      </c>
    </row>
    <row r="778">
      <c r="A778">
        <f>IF($B778="","",IFERROR(IF(INDEX('Per Invoice'!$C$2:$C$401,MATCH($B778,'Per Invoice'!$A$2:$A$401,0))=0,"",INDEX('Per Invoice'!$C$2:$C$401,MATCH($B778,'Per Invoice'!$A$2:$A$401,0))),""))</f>
        <v/>
      </c>
      <c r="G778" s="7">
        <f>IF($B778="","",F778*L778/100)</f>
        <v/>
      </c>
      <c r="K778" s="7" t="n"/>
      <c r="L778" s="7" t="n"/>
      <c r="M778" s="7">
        <f>IF($B778="","",L778*T778/100)</f>
        <v/>
      </c>
      <c r="N778" s="7">
        <f>IF($B778="","",L778-M778)</f>
        <v/>
      </c>
      <c r="O778" s="7">
        <f>IF($B778="","",N778-G778)</f>
        <v/>
      </c>
      <c r="R778" s="14" t="n"/>
      <c r="T778">
        <f>IF($B778="","",IF($W778=1,Settings!$C$6,Settings!$C$7)*100)</f>
        <v/>
      </c>
      <c r="U778">
        <f>IF($B778="","",IF(COUNTIF($B$2:$B778,$B778)=1,1,0))</f>
        <v/>
      </c>
      <c r="V778">
        <f>IF($U778=1,SUMPRODUCT(--($X$2:$X$1501&lt;$X778))+1,"")</f>
        <v/>
      </c>
      <c r="W778">
        <f>IF($B778="","",IF(OR($S778=TRUE(),$S778="TRUE"),1,0))</f>
        <v/>
      </c>
      <c r="X778">
        <f>IF($U778=1,IFERROR(IF(VALUE($B778)&lt;100000000,VALUE($B778),1000000000),IFERROR(IF(VALUE(MID($B778,2,20))&lt;100000000,VALUE(MID($B778,2,20)),1000000000),1000000000))+ROW()/100000,"")</f>
        <v/>
      </c>
    </row>
    <row r="779">
      <c r="A779">
        <f>IF($B779="","",IFERROR(IF(INDEX('Per Invoice'!$C$2:$C$401,MATCH($B779,'Per Invoice'!$A$2:$A$401,0))=0,"",INDEX('Per Invoice'!$C$2:$C$401,MATCH($B779,'Per Invoice'!$A$2:$A$401,0))),""))</f>
        <v/>
      </c>
      <c r="G779" s="7">
        <f>IF($B779="","",F779*L779/100)</f>
        <v/>
      </c>
      <c r="K779" s="7" t="n"/>
      <c r="L779" s="7" t="n"/>
      <c r="M779" s="7">
        <f>IF($B779="","",L779*T779/100)</f>
        <v/>
      </c>
      <c r="N779" s="7">
        <f>IF($B779="","",L779-M779)</f>
        <v/>
      </c>
      <c r="O779" s="7">
        <f>IF($B779="","",N779-G779)</f>
        <v/>
      </c>
      <c r="R779" s="14" t="n"/>
      <c r="T779">
        <f>IF($B779="","",IF($W779=1,Settings!$C$6,Settings!$C$7)*100)</f>
        <v/>
      </c>
      <c r="U779">
        <f>IF($B779="","",IF(COUNTIF($B$2:$B779,$B779)=1,1,0))</f>
        <v/>
      </c>
      <c r="V779">
        <f>IF($U779=1,SUMPRODUCT(--($X$2:$X$1501&lt;$X779))+1,"")</f>
        <v/>
      </c>
      <c r="W779">
        <f>IF($B779="","",IF(OR($S779=TRUE(),$S779="TRUE"),1,0))</f>
        <v/>
      </c>
      <c r="X779">
        <f>IF($U779=1,IFERROR(IF(VALUE($B779)&lt;100000000,VALUE($B779),1000000000),IFERROR(IF(VALUE(MID($B779,2,20))&lt;100000000,VALUE(MID($B779,2,20)),1000000000),1000000000))+ROW()/100000,"")</f>
        <v/>
      </c>
    </row>
    <row r="780">
      <c r="A780">
        <f>IF($B780="","",IFERROR(IF(INDEX('Per Invoice'!$C$2:$C$401,MATCH($B780,'Per Invoice'!$A$2:$A$401,0))=0,"",INDEX('Per Invoice'!$C$2:$C$401,MATCH($B780,'Per Invoice'!$A$2:$A$401,0))),""))</f>
        <v/>
      </c>
      <c r="G780" s="7">
        <f>IF($B780="","",F780*L780/100)</f>
        <v/>
      </c>
      <c r="K780" s="7" t="n"/>
      <c r="L780" s="7" t="n"/>
      <c r="M780" s="7">
        <f>IF($B780="","",L780*T780/100)</f>
        <v/>
      </c>
      <c r="N780" s="7">
        <f>IF($B780="","",L780-M780)</f>
        <v/>
      </c>
      <c r="O780" s="7">
        <f>IF($B780="","",N780-G780)</f>
        <v/>
      </c>
      <c r="R780" s="14" t="n"/>
      <c r="T780">
        <f>IF($B780="","",IF($W780=1,Settings!$C$6,Settings!$C$7)*100)</f>
        <v/>
      </c>
      <c r="U780">
        <f>IF($B780="","",IF(COUNTIF($B$2:$B780,$B780)=1,1,0))</f>
        <v/>
      </c>
      <c r="V780">
        <f>IF($U780=1,SUMPRODUCT(--($X$2:$X$1501&lt;$X780))+1,"")</f>
        <v/>
      </c>
      <c r="W780">
        <f>IF($B780="","",IF(OR($S780=TRUE(),$S780="TRUE"),1,0))</f>
        <v/>
      </c>
      <c r="X780">
        <f>IF($U780=1,IFERROR(IF(VALUE($B780)&lt;100000000,VALUE($B780),1000000000),IFERROR(IF(VALUE(MID($B780,2,20))&lt;100000000,VALUE(MID($B780,2,20)),1000000000),1000000000))+ROW()/100000,"")</f>
        <v/>
      </c>
    </row>
    <row r="781">
      <c r="A781">
        <f>IF($B781="","",IFERROR(IF(INDEX('Per Invoice'!$C$2:$C$401,MATCH($B781,'Per Invoice'!$A$2:$A$401,0))=0,"",INDEX('Per Invoice'!$C$2:$C$401,MATCH($B781,'Per Invoice'!$A$2:$A$401,0))),""))</f>
        <v/>
      </c>
      <c r="G781" s="7">
        <f>IF($B781="","",F781*L781/100)</f>
        <v/>
      </c>
      <c r="K781" s="7" t="n"/>
      <c r="L781" s="7" t="n"/>
      <c r="M781" s="7">
        <f>IF($B781="","",L781*T781/100)</f>
        <v/>
      </c>
      <c r="N781" s="7">
        <f>IF($B781="","",L781-M781)</f>
        <v/>
      </c>
      <c r="O781" s="7">
        <f>IF($B781="","",N781-G781)</f>
        <v/>
      </c>
      <c r="R781" s="14" t="n"/>
      <c r="T781">
        <f>IF($B781="","",IF($W781=1,Settings!$C$6,Settings!$C$7)*100)</f>
        <v/>
      </c>
      <c r="U781">
        <f>IF($B781="","",IF(COUNTIF($B$2:$B781,$B781)=1,1,0))</f>
        <v/>
      </c>
      <c r="V781">
        <f>IF($U781=1,SUMPRODUCT(--($X$2:$X$1501&lt;$X781))+1,"")</f>
        <v/>
      </c>
      <c r="W781">
        <f>IF($B781="","",IF(OR($S781=TRUE(),$S781="TRUE"),1,0))</f>
        <v/>
      </c>
      <c r="X781">
        <f>IF($U781=1,IFERROR(IF(VALUE($B781)&lt;100000000,VALUE($B781),1000000000),IFERROR(IF(VALUE(MID($B781,2,20))&lt;100000000,VALUE(MID($B781,2,20)),1000000000),1000000000))+ROW()/100000,"")</f>
        <v/>
      </c>
    </row>
    <row r="782">
      <c r="A782">
        <f>IF($B782="","",IFERROR(IF(INDEX('Per Invoice'!$C$2:$C$401,MATCH($B782,'Per Invoice'!$A$2:$A$401,0))=0,"",INDEX('Per Invoice'!$C$2:$C$401,MATCH($B782,'Per Invoice'!$A$2:$A$401,0))),""))</f>
        <v/>
      </c>
      <c r="G782" s="7">
        <f>IF($B782="","",F782*L782/100)</f>
        <v/>
      </c>
      <c r="K782" s="7" t="n"/>
      <c r="L782" s="7" t="n"/>
      <c r="M782" s="7">
        <f>IF($B782="","",L782*T782/100)</f>
        <v/>
      </c>
      <c r="N782" s="7">
        <f>IF($B782="","",L782-M782)</f>
        <v/>
      </c>
      <c r="O782" s="7">
        <f>IF($B782="","",N782-G782)</f>
        <v/>
      </c>
      <c r="R782" s="14" t="n"/>
      <c r="T782">
        <f>IF($B782="","",IF($W782=1,Settings!$C$6,Settings!$C$7)*100)</f>
        <v/>
      </c>
      <c r="U782">
        <f>IF($B782="","",IF(COUNTIF($B$2:$B782,$B782)=1,1,0))</f>
        <v/>
      </c>
      <c r="V782">
        <f>IF($U782=1,SUMPRODUCT(--($X$2:$X$1501&lt;$X782))+1,"")</f>
        <v/>
      </c>
      <c r="W782">
        <f>IF($B782="","",IF(OR($S782=TRUE(),$S782="TRUE"),1,0))</f>
        <v/>
      </c>
      <c r="X782">
        <f>IF($U782=1,IFERROR(IF(VALUE($B782)&lt;100000000,VALUE($B782),1000000000),IFERROR(IF(VALUE(MID($B782,2,20))&lt;100000000,VALUE(MID($B782,2,20)),1000000000),1000000000))+ROW()/100000,"")</f>
        <v/>
      </c>
    </row>
    <row r="783">
      <c r="A783">
        <f>IF($B783="","",IFERROR(IF(INDEX('Per Invoice'!$C$2:$C$401,MATCH($B783,'Per Invoice'!$A$2:$A$401,0))=0,"",INDEX('Per Invoice'!$C$2:$C$401,MATCH($B783,'Per Invoice'!$A$2:$A$401,0))),""))</f>
        <v/>
      </c>
      <c r="G783" s="7">
        <f>IF($B783="","",F783*L783/100)</f>
        <v/>
      </c>
      <c r="K783" s="7" t="n"/>
      <c r="L783" s="7" t="n"/>
      <c r="M783" s="7">
        <f>IF($B783="","",L783*T783/100)</f>
        <v/>
      </c>
      <c r="N783" s="7">
        <f>IF($B783="","",L783-M783)</f>
        <v/>
      </c>
      <c r="O783" s="7">
        <f>IF($B783="","",N783-G783)</f>
        <v/>
      </c>
      <c r="R783" s="14" t="n"/>
      <c r="T783">
        <f>IF($B783="","",IF($W783=1,Settings!$C$6,Settings!$C$7)*100)</f>
        <v/>
      </c>
      <c r="U783">
        <f>IF($B783="","",IF(COUNTIF($B$2:$B783,$B783)=1,1,0))</f>
        <v/>
      </c>
      <c r="V783">
        <f>IF($U783=1,SUMPRODUCT(--($X$2:$X$1501&lt;$X783))+1,"")</f>
        <v/>
      </c>
      <c r="W783">
        <f>IF($B783="","",IF(OR($S783=TRUE(),$S783="TRUE"),1,0))</f>
        <v/>
      </c>
      <c r="X783">
        <f>IF($U783=1,IFERROR(IF(VALUE($B783)&lt;100000000,VALUE($B783),1000000000),IFERROR(IF(VALUE(MID($B783,2,20))&lt;100000000,VALUE(MID($B783,2,20)),1000000000),1000000000))+ROW()/100000,"")</f>
        <v/>
      </c>
    </row>
    <row r="784">
      <c r="A784">
        <f>IF($B784="","",IFERROR(IF(INDEX('Per Invoice'!$C$2:$C$401,MATCH($B784,'Per Invoice'!$A$2:$A$401,0))=0,"",INDEX('Per Invoice'!$C$2:$C$401,MATCH($B784,'Per Invoice'!$A$2:$A$401,0))),""))</f>
        <v/>
      </c>
      <c r="G784" s="7">
        <f>IF($B784="","",F784*L784/100)</f>
        <v/>
      </c>
      <c r="K784" s="7" t="n"/>
      <c r="L784" s="7" t="n"/>
      <c r="M784" s="7">
        <f>IF($B784="","",L784*T784/100)</f>
        <v/>
      </c>
      <c r="N784" s="7">
        <f>IF($B784="","",L784-M784)</f>
        <v/>
      </c>
      <c r="O784" s="7">
        <f>IF($B784="","",N784-G784)</f>
        <v/>
      </c>
      <c r="R784" s="14" t="n"/>
      <c r="T784">
        <f>IF($B784="","",IF($W784=1,Settings!$C$6,Settings!$C$7)*100)</f>
        <v/>
      </c>
      <c r="U784">
        <f>IF($B784="","",IF(COUNTIF($B$2:$B784,$B784)=1,1,0))</f>
        <v/>
      </c>
      <c r="V784">
        <f>IF($U784=1,SUMPRODUCT(--($X$2:$X$1501&lt;$X784))+1,"")</f>
        <v/>
      </c>
      <c r="W784">
        <f>IF($B784="","",IF(OR($S784=TRUE(),$S784="TRUE"),1,0))</f>
        <v/>
      </c>
      <c r="X784">
        <f>IF($U784=1,IFERROR(IF(VALUE($B784)&lt;100000000,VALUE($B784),1000000000),IFERROR(IF(VALUE(MID($B784,2,20))&lt;100000000,VALUE(MID($B784,2,20)),1000000000),1000000000))+ROW()/100000,"")</f>
        <v/>
      </c>
    </row>
    <row r="785">
      <c r="A785">
        <f>IF($B785="","",IFERROR(IF(INDEX('Per Invoice'!$C$2:$C$401,MATCH($B785,'Per Invoice'!$A$2:$A$401,0))=0,"",INDEX('Per Invoice'!$C$2:$C$401,MATCH($B785,'Per Invoice'!$A$2:$A$401,0))),""))</f>
        <v/>
      </c>
      <c r="G785" s="7">
        <f>IF($B785="","",F785*L785/100)</f>
        <v/>
      </c>
      <c r="K785" s="7" t="n"/>
      <c r="L785" s="7" t="n"/>
      <c r="M785" s="7">
        <f>IF($B785="","",L785*T785/100)</f>
        <v/>
      </c>
      <c r="N785" s="7">
        <f>IF($B785="","",L785-M785)</f>
        <v/>
      </c>
      <c r="O785" s="7">
        <f>IF($B785="","",N785-G785)</f>
        <v/>
      </c>
      <c r="R785" s="14" t="n"/>
      <c r="T785">
        <f>IF($B785="","",IF($W785=1,Settings!$C$6,Settings!$C$7)*100)</f>
        <v/>
      </c>
      <c r="U785">
        <f>IF($B785="","",IF(COUNTIF($B$2:$B785,$B785)=1,1,0))</f>
        <v/>
      </c>
      <c r="V785">
        <f>IF($U785=1,SUMPRODUCT(--($X$2:$X$1501&lt;$X785))+1,"")</f>
        <v/>
      </c>
      <c r="W785">
        <f>IF($B785="","",IF(OR($S785=TRUE(),$S785="TRUE"),1,0))</f>
        <v/>
      </c>
      <c r="X785">
        <f>IF($U785=1,IFERROR(IF(VALUE($B785)&lt;100000000,VALUE($B785),1000000000),IFERROR(IF(VALUE(MID($B785,2,20))&lt;100000000,VALUE(MID($B785,2,20)),1000000000),1000000000))+ROW()/100000,"")</f>
        <v/>
      </c>
    </row>
    <row r="786">
      <c r="A786">
        <f>IF($B786="","",IFERROR(IF(INDEX('Per Invoice'!$C$2:$C$401,MATCH($B786,'Per Invoice'!$A$2:$A$401,0))=0,"",INDEX('Per Invoice'!$C$2:$C$401,MATCH($B786,'Per Invoice'!$A$2:$A$401,0))),""))</f>
        <v/>
      </c>
      <c r="G786" s="7">
        <f>IF($B786="","",F786*L786/100)</f>
        <v/>
      </c>
      <c r="K786" s="7" t="n"/>
      <c r="L786" s="7" t="n"/>
      <c r="M786" s="7">
        <f>IF($B786="","",L786*T786/100)</f>
        <v/>
      </c>
      <c r="N786" s="7">
        <f>IF($B786="","",L786-M786)</f>
        <v/>
      </c>
      <c r="O786" s="7">
        <f>IF($B786="","",N786-G786)</f>
        <v/>
      </c>
      <c r="R786" s="14" t="n"/>
      <c r="T786">
        <f>IF($B786="","",IF($W786=1,Settings!$C$6,Settings!$C$7)*100)</f>
        <v/>
      </c>
      <c r="U786">
        <f>IF($B786="","",IF(COUNTIF($B$2:$B786,$B786)=1,1,0))</f>
        <v/>
      </c>
      <c r="V786">
        <f>IF($U786=1,SUMPRODUCT(--($X$2:$X$1501&lt;$X786))+1,"")</f>
        <v/>
      </c>
      <c r="W786">
        <f>IF($B786="","",IF(OR($S786=TRUE(),$S786="TRUE"),1,0))</f>
        <v/>
      </c>
      <c r="X786">
        <f>IF($U786=1,IFERROR(IF(VALUE($B786)&lt;100000000,VALUE($B786),1000000000),IFERROR(IF(VALUE(MID($B786,2,20))&lt;100000000,VALUE(MID($B786,2,20)),1000000000),1000000000))+ROW()/100000,"")</f>
        <v/>
      </c>
    </row>
    <row r="787">
      <c r="A787">
        <f>IF($B787="","",IFERROR(IF(INDEX('Per Invoice'!$C$2:$C$401,MATCH($B787,'Per Invoice'!$A$2:$A$401,0))=0,"",INDEX('Per Invoice'!$C$2:$C$401,MATCH($B787,'Per Invoice'!$A$2:$A$401,0))),""))</f>
        <v/>
      </c>
      <c r="G787" s="7">
        <f>IF($B787="","",F787*L787/100)</f>
        <v/>
      </c>
      <c r="K787" s="7" t="n"/>
      <c r="L787" s="7" t="n"/>
      <c r="M787" s="7">
        <f>IF($B787="","",L787*T787/100)</f>
        <v/>
      </c>
      <c r="N787" s="7">
        <f>IF($B787="","",L787-M787)</f>
        <v/>
      </c>
      <c r="O787" s="7">
        <f>IF($B787="","",N787-G787)</f>
        <v/>
      </c>
      <c r="R787" s="14" t="n"/>
      <c r="T787">
        <f>IF($B787="","",IF($W787=1,Settings!$C$6,Settings!$C$7)*100)</f>
        <v/>
      </c>
      <c r="U787">
        <f>IF($B787="","",IF(COUNTIF($B$2:$B787,$B787)=1,1,0))</f>
        <v/>
      </c>
      <c r="V787">
        <f>IF($U787=1,SUMPRODUCT(--($X$2:$X$1501&lt;$X787))+1,"")</f>
        <v/>
      </c>
      <c r="W787">
        <f>IF($B787="","",IF(OR($S787=TRUE(),$S787="TRUE"),1,0))</f>
        <v/>
      </c>
      <c r="X787">
        <f>IF($U787=1,IFERROR(IF(VALUE($B787)&lt;100000000,VALUE($B787),1000000000),IFERROR(IF(VALUE(MID($B787,2,20))&lt;100000000,VALUE(MID($B787,2,20)),1000000000),1000000000))+ROW()/100000,"")</f>
        <v/>
      </c>
    </row>
    <row r="788">
      <c r="A788">
        <f>IF($B788="","",IFERROR(IF(INDEX('Per Invoice'!$C$2:$C$401,MATCH($B788,'Per Invoice'!$A$2:$A$401,0))=0,"",INDEX('Per Invoice'!$C$2:$C$401,MATCH($B788,'Per Invoice'!$A$2:$A$401,0))),""))</f>
        <v/>
      </c>
      <c r="G788" s="7">
        <f>IF($B788="","",F788*L788/100)</f>
        <v/>
      </c>
      <c r="K788" s="7" t="n"/>
      <c r="L788" s="7" t="n"/>
      <c r="M788" s="7">
        <f>IF($B788="","",L788*T788/100)</f>
        <v/>
      </c>
      <c r="N788" s="7">
        <f>IF($B788="","",L788-M788)</f>
        <v/>
      </c>
      <c r="O788" s="7">
        <f>IF($B788="","",N788-G788)</f>
        <v/>
      </c>
      <c r="R788" s="14" t="n"/>
      <c r="T788">
        <f>IF($B788="","",IF($W788=1,Settings!$C$6,Settings!$C$7)*100)</f>
        <v/>
      </c>
      <c r="U788">
        <f>IF($B788="","",IF(COUNTIF($B$2:$B788,$B788)=1,1,0))</f>
        <v/>
      </c>
      <c r="V788">
        <f>IF($U788=1,SUMPRODUCT(--($X$2:$X$1501&lt;$X788))+1,"")</f>
        <v/>
      </c>
      <c r="W788">
        <f>IF($B788="","",IF(OR($S788=TRUE(),$S788="TRUE"),1,0))</f>
        <v/>
      </c>
      <c r="X788">
        <f>IF($U788=1,IFERROR(IF(VALUE($B788)&lt;100000000,VALUE($B788),1000000000),IFERROR(IF(VALUE(MID($B788,2,20))&lt;100000000,VALUE(MID($B788,2,20)),1000000000),1000000000))+ROW()/100000,"")</f>
        <v/>
      </c>
    </row>
    <row r="789">
      <c r="A789">
        <f>IF($B789="","",IFERROR(IF(INDEX('Per Invoice'!$C$2:$C$401,MATCH($B789,'Per Invoice'!$A$2:$A$401,0))=0,"",INDEX('Per Invoice'!$C$2:$C$401,MATCH($B789,'Per Invoice'!$A$2:$A$401,0))),""))</f>
        <v/>
      </c>
      <c r="G789" s="7">
        <f>IF($B789="","",F789*L789/100)</f>
        <v/>
      </c>
      <c r="K789" s="7" t="n"/>
      <c r="L789" s="7" t="n"/>
      <c r="M789" s="7">
        <f>IF($B789="","",L789*T789/100)</f>
        <v/>
      </c>
      <c r="N789" s="7">
        <f>IF($B789="","",L789-M789)</f>
        <v/>
      </c>
      <c r="O789" s="7">
        <f>IF($B789="","",N789-G789)</f>
        <v/>
      </c>
      <c r="R789" s="14" t="n"/>
      <c r="T789">
        <f>IF($B789="","",IF($W789=1,Settings!$C$6,Settings!$C$7)*100)</f>
        <v/>
      </c>
      <c r="U789">
        <f>IF($B789="","",IF(COUNTIF($B$2:$B789,$B789)=1,1,0))</f>
        <v/>
      </c>
      <c r="V789">
        <f>IF($U789=1,SUMPRODUCT(--($X$2:$X$1501&lt;$X789))+1,"")</f>
        <v/>
      </c>
      <c r="W789">
        <f>IF($B789="","",IF(OR($S789=TRUE(),$S789="TRUE"),1,0))</f>
        <v/>
      </c>
      <c r="X789">
        <f>IF($U789=1,IFERROR(IF(VALUE($B789)&lt;100000000,VALUE($B789),1000000000),IFERROR(IF(VALUE(MID($B789,2,20))&lt;100000000,VALUE(MID($B789,2,20)),1000000000),1000000000))+ROW()/100000,"")</f>
        <v/>
      </c>
    </row>
    <row r="790">
      <c r="A790">
        <f>IF($B790="","",IFERROR(IF(INDEX('Per Invoice'!$C$2:$C$401,MATCH($B790,'Per Invoice'!$A$2:$A$401,0))=0,"",INDEX('Per Invoice'!$C$2:$C$401,MATCH($B790,'Per Invoice'!$A$2:$A$401,0))),""))</f>
        <v/>
      </c>
      <c r="G790" s="7">
        <f>IF($B790="","",F790*L790/100)</f>
        <v/>
      </c>
      <c r="K790" s="7" t="n"/>
      <c r="L790" s="7" t="n"/>
      <c r="M790" s="7">
        <f>IF($B790="","",L790*T790/100)</f>
        <v/>
      </c>
      <c r="N790" s="7">
        <f>IF($B790="","",L790-M790)</f>
        <v/>
      </c>
      <c r="O790" s="7">
        <f>IF($B790="","",N790-G790)</f>
        <v/>
      </c>
      <c r="R790" s="14" t="n"/>
      <c r="T790">
        <f>IF($B790="","",IF($W790=1,Settings!$C$6,Settings!$C$7)*100)</f>
        <v/>
      </c>
      <c r="U790">
        <f>IF($B790="","",IF(COUNTIF($B$2:$B790,$B790)=1,1,0))</f>
        <v/>
      </c>
      <c r="V790">
        <f>IF($U790=1,SUMPRODUCT(--($X$2:$X$1501&lt;$X790))+1,"")</f>
        <v/>
      </c>
      <c r="W790">
        <f>IF($B790="","",IF(OR($S790=TRUE(),$S790="TRUE"),1,0))</f>
        <v/>
      </c>
      <c r="X790">
        <f>IF($U790=1,IFERROR(IF(VALUE($B790)&lt;100000000,VALUE($B790),1000000000),IFERROR(IF(VALUE(MID($B790,2,20))&lt;100000000,VALUE(MID($B790,2,20)),1000000000),1000000000))+ROW()/100000,"")</f>
        <v/>
      </c>
    </row>
    <row r="791">
      <c r="A791">
        <f>IF($B791="","",IFERROR(IF(INDEX('Per Invoice'!$C$2:$C$401,MATCH($B791,'Per Invoice'!$A$2:$A$401,0))=0,"",INDEX('Per Invoice'!$C$2:$C$401,MATCH($B791,'Per Invoice'!$A$2:$A$401,0))),""))</f>
        <v/>
      </c>
      <c r="G791" s="7">
        <f>IF($B791="","",F791*L791/100)</f>
        <v/>
      </c>
      <c r="K791" s="7" t="n"/>
      <c r="L791" s="7" t="n"/>
      <c r="M791" s="7">
        <f>IF($B791="","",L791*T791/100)</f>
        <v/>
      </c>
      <c r="N791" s="7">
        <f>IF($B791="","",L791-M791)</f>
        <v/>
      </c>
      <c r="O791" s="7">
        <f>IF($B791="","",N791-G791)</f>
        <v/>
      </c>
      <c r="R791" s="14" t="n"/>
      <c r="T791">
        <f>IF($B791="","",IF($W791=1,Settings!$C$6,Settings!$C$7)*100)</f>
        <v/>
      </c>
      <c r="U791">
        <f>IF($B791="","",IF(COUNTIF($B$2:$B791,$B791)=1,1,0))</f>
        <v/>
      </c>
      <c r="V791">
        <f>IF($U791=1,SUMPRODUCT(--($X$2:$X$1501&lt;$X791))+1,"")</f>
        <v/>
      </c>
      <c r="W791">
        <f>IF($B791="","",IF(OR($S791=TRUE(),$S791="TRUE"),1,0))</f>
        <v/>
      </c>
      <c r="X791">
        <f>IF($U791=1,IFERROR(IF(VALUE($B791)&lt;100000000,VALUE($B791),1000000000),IFERROR(IF(VALUE(MID($B791,2,20))&lt;100000000,VALUE(MID($B791,2,20)),1000000000),1000000000))+ROW()/100000,"")</f>
        <v/>
      </c>
    </row>
    <row r="792">
      <c r="A792">
        <f>IF($B792="","",IFERROR(IF(INDEX('Per Invoice'!$C$2:$C$401,MATCH($B792,'Per Invoice'!$A$2:$A$401,0))=0,"",INDEX('Per Invoice'!$C$2:$C$401,MATCH($B792,'Per Invoice'!$A$2:$A$401,0))),""))</f>
        <v/>
      </c>
      <c r="G792" s="7">
        <f>IF($B792="","",F792*L792/100)</f>
        <v/>
      </c>
      <c r="K792" s="7" t="n"/>
      <c r="L792" s="7" t="n"/>
      <c r="M792" s="7">
        <f>IF($B792="","",L792*T792/100)</f>
        <v/>
      </c>
      <c r="N792" s="7">
        <f>IF($B792="","",L792-M792)</f>
        <v/>
      </c>
      <c r="O792" s="7">
        <f>IF($B792="","",N792-G792)</f>
        <v/>
      </c>
      <c r="R792" s="14" t="n"/>
      <c r="T792">
        <f>IF($B792="","",IF($W792=1,Settings!$C$6,Settings!$C$7)*100)</f>
        <v/>
      </c>
      <c r="U792">
        <f>IF($B792="","",IF(COUNTIF($B$2:$B792,$B792)=1,1,0))</f>
        <v/>
      </c>
      <c r="V792">
        <f>IF($U792=1,SUMPRODUCT(--($X$2:$X$1501&lt;$X792))+1,"")</f>
        <v/>
      </c>
      <c r="W792">
        <f>IF($B792="","",IF(OR($S792=TRUE(),$S792="TRUE"),1,0))</f>
        <v/>
      </c>
      <c r="X792">
        <f>IF($U792=1,IFERROR(IF(VALUE($B792)&lt;100000000,VALUE($B792),1000000000),IFERROR(IF(VALUE(MID($B792,2,20))&lt;100000000,VALUE(MID($B792,2,20)),1000000000),1000000000))+ROW()/100000,"")</f>
        <v/>
      </c>
    </row>
    <row r="793">
      <c r="A793">
        <f>IF($B793="","",IFERROR(IF(INDEX('Per Invoice'!$C$2:$C$401,MATCH($B793,'Per Invoice'!$A$2:$A$401,0))=0,"",INDEX('Per Invoice'!$C$2:$C$401,MATCH($B793,'Per Invoice'!$A$2:$A$401,0))),""))</f>
        <v/>
      </c>
      <c r="G793" s="7">
        <f>IF($B793="","",F793*L793/100)</f>
        <v/>
      </c>
      <c r="K793" s="7" t="n"/>
      <c r="L793" s="7" t="n"/>
      <c r="M793" s="7">
        <f>IF($B793="","",L793*T793/100)</f>
        <v/>
      </c>
      <c r="N793" s="7">
        <f>IF($B793="","",L793-M793)</f>
        <v/>
      </c>
      <c r="O793" s="7">
        <f>IF($B793="","",N793-G793)</f>
        <v/>
      </c>
      <c r="R793" s="14" t="n"/>
      <c r="T793">
        <f>IF($B793="","",IF($W793=1,Settings!$C$6,Settings!$C$7)*100)</f>
        <v/>
      </c>
      <c r="U793">
        <f>IF($B793="","",IF(COUNTIF($B$2:$B793,$B793)=1,1,0))</f>
        <v/>
      </c>
      <c r="V793">
        <f>IF($U793=1,SUMPRODUCT(--($X$2:$X$1501&lt;$X793))+1,"")</f>
        <v/>
      </c>
      <c r="W793">
        <f>IF($B793="","",IF(OR($S793=TRUE(),$S793="TRUE"),1,0))</f>
        <v/>
      </c>
      <c r="X793">
        <f>IF($U793=1,IFERROR(IF(VALUE($B793)&lt;100000000,VALUE($B793),1000000000),IFERROR(IF(VALUE(MID($B793,2,20))&lt;100000000,VALUE(MID($B793,2,20)),1000000000),1000000000))+ROW()/100000,"")</f>
        <v/>
      </c>
    </row>
    <row r="794">
      <c r="A794">
        <f>IF($B794="","",IFERROR(IF(INDEX('Per Invoice'!$C$2:$C$401,MATCH($B794,'Per Invoice'!$A$2:$A$401,0))=0,"",INDEX('Per Invoice'!$C$2:$C$401,MATCH($B794,'Per Invoice'!$A$2:$A$401,0))),""))</f>
        <v/>
      </c>
      <c r="G794" s="7">
        <f>IF($B794="","",F794*L794/100)</f>
        <v/>
      </c>
      <c r="K794" s="7" t="n"/>
      <c r="L794" s="7" t="n"/>
      <c r="M794" s="7">
        <f>IF($B794="","",L794*T794/100)</f>
        <v/>
      </c>
      <c r="N794" s="7">
        <f>IF($B794="","",L794-M794)</f>
        <v/>
      </c>
      <c r="O794" s="7">
        <f>IF($B794="","",N794-G794)</f>
        <v/>
      </c>
      <c r="R794" s="14" t="n"/>
      <c r="T794">
        <f>IF($B794="","",IF($W794=1,Settings!$C$6,Settings!$C$7)*100)</f>
        <v/>
      </c>
      <c r="U794">
        <f>IF($B794="","",IF(COUNTIF($B$2:$B794,$B794)=1,1,0))</f>
        <v/>
      </c>
      <c r="V794">
        <f>IF($U794=1,SUMPRODUCT(--($X$2:$X$1501&lt;$X794))+1,"")</f>
        <v/>
      </c>
      <c r="W794">
        <f>IF($B794="","",IF(OR($S794=TRUE(),$S794="TRUE"),1,0))</f>
        <v/>
      </c>
      <c r="X794">
        <f>IF($U794=1,IFERROR(IF(VALUE($B794)&lt;100000000,VALUE($B794),1000000000),IFERROR(IF(VALUE(MID($B794,2,20))&lt;100000000,VALUE(MID($B794,2,20)),1000000000),1000000000))+ROW()/100000,"")</f>
        <v/>
      </c>
    </row>
    <row r="795">
      <c r="A795">
        <f>IF($B795="","",IFERROR(IF(INDEX('Per Invoice'!$C$2:$C$401,MATCH($B795,'Per Invoice'!$A$2:$A$401,0))=0,"",INDEX('Per Invoice'!$C$2:$C$401,MATCH($B795,'Per Invoice'!$A$2:$A$401,0))),""))</f>
        <v/>
      </c>
      <c r="G795" s="7">
        <f>IF($B795="","",F795*L795/100)</f>
        <v/>
      </c>
      <c r="K795" s="7" t="n"/>
      <c r="L795" s="7" t="n"/>
      <c r="M795" s="7">
        <f>IF($B795="","",L795*T795/100)</f>
        <v/>
      </c>
      <c r="N795" s="7">
        <f>IF($B795="","",L795-M795)</f>
        <v/>
      </c>
      <c r="O795" s="7">
        <f>IF($B795="","",N795-G795)</f>
        <v/>
      </c>
      <c r="R795" s="14" t="n"/>
      <c r="T795">
        <f>IF($B795="","",IF($W795=1,Settings!$C$6,Settings!$C$7)*100)</f>
        <v/>
      </c>
      <c r="U795">
        <f>IF($B795="","",IF(COUNTIF($B$2:$B795,$B795)=1,1,0))</f>
        <v/>
      </c>
      <c r="V795">
        <f>IF($U795=1,SUMPRODUCT(--($X$2:$X$1501&lt;$X795))+1,"")</f>
        <v/>
      </c>
      <c r="W795">
        <f>IF($B795="","",IF(OR($S795=TRUE(),$S795="TRUE"),1,0))</f>
        <v/>
      </c>
      <c r="X795">
        <f>IF($U795=1,IFERROR(IF(VALUE($B795)&lt;100000000,VALUE($B795),1000000000),IFERROR(IF(VALUE(MID($B795,2,20))&lt;100000000,VALUE(MID($B795,2,20)),1000000000),1000000000))+ROW()/100000,"")</f>
        <v/>
      </c>
    </row>
    <row r="796">
      <c r="A796">
        <f>IF($B796="","",IFERROR(IF(INDEX('Per Invoice'!$C$2:$C$401,MATCH($B796,'Per Invoice'!$A$2:$A$401,0))=0,"",INDEX('Per Invoice'!$C$2:$C$401,MATCH($B796,'Per Invoice'!$A$2:$A$401,0))),""))</f>
        <v/>
      </c>
      <c r="G796" s="7">
        <f>IF($B796="","",F796*L796/100)</f>
        <v/>
      </c>
      <c r="K796" s="7" t="n"/>
      <c r="L796" s="7" t="n"/>
      <c r="M796" s="7">
        <f>IF($B796="","",L796*T796/100)</f>
        <v/>
      </c>
      <c r="N796" s="7">
        <f>IF($B796="","",L796-M796)</f>
        <v/>
      </c>
      <c r="O796" s="7">
        <f>IF($B796="","",N796-G796)</f>
        <v/>
      </c>
      <c r="R796" s="14" t="n"/>
      <c r="T796">
        <f>IF($B796="","",IF($W796=1,Settings!$C$6,Settings!$C$7)*100)</f>
        <v/>
      </c>
      <c r="U796">
        <f>IF($B796="","",IF(COUNTIF($B$2:$B796,$B796)=1,1,0))</f>
        <v/>
      </c>
      <c r="V796">
        <f>IF($U796=1,SUMPRODUCT(--($X$2:$X$1501&lt;$X796))+1,"")</f>
        <v/>
      </c>
      <c r="W796">
        <f>IF($B796="","",IF(OR($S796=TRUE(),$S796="TRUE"),1,0))</f>
        <v/>
      </c>
      <c r="X796">
        <f>IF($U796=1,IFERROR(IF(VALUE($B796)&lt;100000000,VALUE($B796),1000000000),IFERROR(IF(VALUE(MID($B796,2,20))&lt;100000000,VALUE(MID($B796,2,20)),1000000000),1000000000))+ROW()/100000,"")</f>
        <v/>
      </c>
    </row>
    <row r="797">
      <c r="A797">
        <f>IF($B797="","",IFERROR(IF(INDEX('Per Invoice'!$C$2:$C$401,MATCH($B797,'Per Invoice'!$A$2:$A$401,0))=0,"",INDEX('Per Invoice'!$C$2:$C$401,MATCH($B797,'Per Invoice'!$A$2:$A$401,0))),""))</f>
        <v/>
      </c>
      <c r="G797" s="7">
        <f>IF($B797="","",F797*L797/100)</f>
        <v/>
      </c>
      <c r="K797" s="7" t="n"/>
      <c r="L797" s="7" t="n"/>
      <c r="M797" s="7">
        <f>IF($B797="","",L797*T797/100)</f>
        <v/>
      </c>
      <c r="N797" s="7">
        <f>IF($B797="","",L797-M797)</f>
        <v/>
      </c>
      <c r="O797" s="7">
        <f>IF($B797="","",N797-G797)</f>
        <v/>
      </c>
      <c r="R797" s="14" t="n"/>
      <c r="T797">
        <f>IF($B797="","",IF($W797=1,Settings!$C$6,Settings!$C$7)*100)</f>
        <v/>
      </c>
      <c r="U797">
        <f>IF($B797="","",IF(COUNTIF($B$2:$B797,$B797)=1,1,0))</f>
        <v/>
      </c>
      <c r="V797">
        <f>IF($U797=1,SUMPRODUCT(--($X$2:$X$1501&lt;$X797))+1,"")</f>
        <v/>
      </c>
      <c r="W797">
        <f>IF($B797="","",IF(OR($S797=TRUE(),$S797="TRUE"),1,0))</f>
        <v/>
      </c>
      <c r="X797">
        <f>IF($U797=1,IFERROR(IF(VALUE($B797)&lt;100000000,VALUE($B797),1000000000),IFERROR(IF(VALUE(MID($B797,2,20))&lt;100000000,VALUE(MID($B797,2,20)),1000000000),1000000000))+ROW()/100000,"")</f>
        <v/>
      </c>
    </row>
    <row r="798">
      <c r="A798">
        <f>IF($B798="","",IFERROR(IF(INDEX('Per Invoice'!$C$2:$C$401,MATCH($B798,'Per Invoice'!$A$2:$A$401,0))=0,"",INDEX('Per Invoice'!$C$2:$C$401,MATCH($B798,'Per Invoice'!$A$2:$A$401,0))),""))</f>
        <v/>
      </c>
      <c r="G798" s="7">
        <f>IF($B798="","",F798*L798/100)</f>
        <v/>
      </c>
      <c r="K798" s="7" t="n"/>
      <c r="L798" s="7" t="n"/>
      <c r="M798" s="7">
        <f>IF($B798="","",L798*T798/100)</f>
        <v/>
      </c>
      <c r="N798" s="7">
        <f>IF($B798="","",L798-M798)</f>
        <v/>
      </c>
      <c r="O798" s="7">
        <f>IF($B798="","",N798-G798)</f>
        <v/>
      </c>
      <c r="R798" s="14" t="n"/>
      <c r="T798">
        <f>IF($B798="","",IF($W798=1,Settings!$C$6,Settings!$C$7)*100)</f>
        <v/>
      </c>
      <c r="U798">
        <f>IF($B798="","",IF(COUNTIF($B$2:$B798,$B798)=1,1,0))</f>
        <v/>
      </c>
      <c r="V798">
        <f>IF($U798=1,SUMPRODUCT(--($X$2:$X$1501&lt;$X798))+1,"")</f>
        <v/>
      </c>
      <c r="W798">
        <f>IF($B798="","",IF(OR($S798=TRUE(),$S798="TRUE"),1,0))</f>
        <v/>
      </c>
      <c r="X798">
        <f>IF($U798=1,IFERROR(IF(VALUE($B798)&lt;100000000,VALUE($B798),1000000000),IFERROR(IF(VALUE(MID($B798,2,20))&lt;100000000,VALUE(MID($B798,2,20)),1000000000),1000000000))+ROW()/100000,"")</f>
        <v/>
      </c>
    </row>
    <row r="799">
      <c r="A799">
        <f>IF($B799="","",IFERROR(IF(INDEX('Per Invoice'!$C$2:$C$401,MATCH($B799,'Per Invoice'!$A$2:$A$401,0))=0,"",INDEX('Per Invoice'!$C$2:$C$401,MATCH($B799,'Per Invoice'!$A$2:$A$401,0))),""))</f>
        <v/>
      </c>
      <c r="G799" s="7">
        <f>IF($B799="","",F799*L799/100)</f>
        <v/>
      </c>
      <c r="K799" s="7" t="n"/>
      <c r="L799" s="7" t="n"/>
      <c r="M799" s="7">
        <f>IF($B799="","",L799*T799/100)</f>
        <v/>
      </c>
      <c r="N799" s="7">
        <f>IF($B799="","",L799-M799)</f>
        <v/>
      </c>
      <c r="O799" s="7">
        <f>IF($B799="","",N799-G799)</f>
        <v/>
      </c>
      <c r="R799" s="14" t="n"/>
      <c r="T799">
        <f>IF($B799="","",IF($W799=1,Settings!$C$6,Settings!$C$7)*100)</f>
        <v/>
      </c>
      <c r="U799">
        <f>IF($B799="","",IF(COUNTIF($B$2:$B799,$B799)=1,1,0))</f>
        <v/>
      </c>
      <c r="V799">
        <f>IF($U799=1,SUMPRODUCT(--($X$2:$X$1501&lt;$X799))+1,"")</f>
        <v/>
      </c>
      <c r="W799">
        <f>IF($B799="","",IF(OR($S799=TRUE(),$S799="TRUE"),1,0))</f>
        <v/>
      </c>
      <c r="X799">
        <f>IF($U799=1,IFERROR(IF(VALUE($B799)&lt;100000000,VALUE($B799),1000000000),IFERROR(IF(VALUE(MID($B799,2,20))&lt;100000000,VALUE(MID($B799,2,20)),1000000000),1000000000))+ROW()/100000,"")</f>
        <v/>
      </c>
    </row>
    <row r="800">
      <c r="A800">
        <f>IF($B800="","",IFERROR(IF(INDEX('Per Invoice'!$C$2:$C$401,MATCH($B800,'Per Invoice'!$A$2:$A$401,0))=0,"",INDEX('Per Invoice'!$C$2:$C$401,MATCH($B800,'Per Invoice'!$A$2:$A$401,0))),""))</f>
        <v/>
      </c>
      <c r="G800" s="7">
        <f>IF($B800="","",F800*L800/100)</f>
        <v/>
      </c>
      <c r="K800" s="7" t="n"/>
      <c r="L800" s="7" t="n"/>
      <c r="M800" s="7">
        <f>IF($B800="","",L800*T800/100)</f>
        <v/>
      </c>
      <c r="N800" s="7">
        <f>IF($B800="","",L800-M800)</f>
        <v/>
      </c>
      <c r="O800" s="7">
        <f>IF($B800="","",N800-G800)</f>
        <v/>
      </c>
      <c r="R800" s="14" t="n"/>
      <c r="T800">
        <f>IF($B800="","",IF($W800=1,Settings!$C$6,Settings!$C$7)*100)</f>
        <v/>
      </c>
      <c r="U800">
        <f>IF($B800="","",IF(COUNTIF($B$2:$B800,$B800)=1,1,0))</f>
        <v/>
      </c>
      <c r="V800">
        <f>IF($U800=1,SUMPRODUCT(--($X$2:$X$1501&lt;$X800))+1,"")</f>
        <v/>
      </c>
      <c r="W800">
        <f>IF($B800="","",IF(OR($S800=TRUE(),$S800="TRUE"),1,0))</f>
        <v/>
      </c>
      <c r="X800">
        <f>IF($U800=1,IFERROR(IF(VALUE($B800)&lt;100000000,VALUE($B800),1000000000),IFERROR(IF(VALUE(MID($B800,2,20))&lt;100000000,VALUE(MID($B800,2,20)),1000000000),1000000000))+ROW()/100000,"")</f>
        <v/>
      </c>
    </row>
    <row r="801">
      <c r="A801">
        <f>IF($B801="","",IFERROR(IF(INDEX('Per Invoice'!$C$2:$C$401,MATCH($B801,'Per Invoice'!$A$2:$A$401,0))=0,"",INDEX('Per Invoice'!$C$2:$C$401,MATCH($B801,'Per Invoice'!$A$2:$A$401,0))),""))</f>
        <v/>
      </c>
      <c r="G801" s="7">
        <f>IF($B801="","",F801*L801/100)</f>
        <v/>
      </c>
      <c r="K801" s="7" t="n"/>
      <c r="L801" s="7" t="n"/>
      <c r="M801" s="7">
        <f>IF($B801="","",L801*T801/100)</f>
        <v/>
      </c>
      <c r="N801" s="7">
        <f>IF($B801="","",L801-M801)</f>
        <v/>
      </c>
      <c r="O801" s="7">
        <f>IF($B801="","",N801-G801)</f>
        <v/>
      </c>
      <c r="R801" s="14" t="n"/>
      <c r="T801">
        <f>IF($B801="","",IF($W801=1,Settings!$C$6,Settings!$C$7)*100)</f>
        <v/>
      </c>
      <c r="U801">
        <f>IF($B801="","",IF(COUNTIF($B$2:$B801,$B801)=1,1,0))</f>
        <v/>
      </c>
      <c r="V801">
        <f>IF($U801=1,SUMPRODUCT(--($X$2:$X$1501&lt;$X801))+1,"")</f>
        <v/>
      </c>
      <c r="W801">
        <f>IF($B801="","",IF(OR($S801=TRUE(),$S801="TRUE"),1,0))</f>
        <v/>
      </c>
      <c r="X801">
        <f>IF($U801=1,IFERROR(IF(VALUE($B801)&lt;100000000,VALUE($B801),1000000000),IFERROR(IF(VALUE(MID($B801,2,20))&lt;100000000,VALUE(MID($B801,2,20)),1000000000),1000000000))+ROW()/100000,"")</f>
        <v/>
      </c>
    </row>
    <row r="802">
      <c r="A802">
        <f>IF($B802="","",IFERROR(IF(INDEX('Per Invoice'!$C$2:$C$401,MATCH($B802,'Per Invoice'!$A$2:$A$401,0))=0,"",INDEX('Per Invoice'!$C$2:$C$401,MATCH($B802,'Per Invoice'!$A$2:$A$401,0))),""))</f>
        <v/>
      </c>
      <c r="G802" s="7">
        <f>IF($B802="","",F802*L802/100)</f>
        <v/>
      </c>
      <c r="K802" s="7" t="n"/>
      <c r="L802" s="7" t="n"/>
      <c r="M802" s="7">
        <f>IF($B802="","",L802*T802/100)</f>
        <v/>
      </c>
      <c r="N802" s="7">
        <f>IF($B802="","",L802-M802)</f>
        <v/>
      </c>
      <c r="O802" s="7">
        <f>IF($B802="","",N802-G802)</f>
        <v/>
      </c>
      <c r="R802" s="14" t="n"/>
      <c r="T802">
        <f>IF($B802="","",IF($W802=1,Settings!$C$6,Settings!$C$7)*100)</f>
        <v/>
      </c>
      <c r="U802">
        <f>IF($B802="","",IF(COUNTIF($B$2:$B802,$B802)=1,1,0))</f>
        <v/>
      </c>
      <c r="V802">
        <f>IF($U802=1,SUMPRODUCT(--($X$2:$X$1501&lt;$X802))+1,"")</f>
        <v/>
      </c>
      <c r="W802">
        <f>IF($B802="","",IF(OR($S802=TRUE(),$S802="TRUE"),1,0))</f>
        <v/>
      </c>
      <c r="X802">
        <f>IF($U802=1,IFERROR(IF(VALUE($B802)&lt;100000000,VALUE($B802),1000000000),IFERROR(IF(VALUE(MID($B802,2,20))&lt;100000000,VALUE(MID($B802,2,20)),1000000000),1000000000))+ROW()/100000,"")</f>
        <v/>
      </c>
    </row>
    <row r="803">
      <c r="A803">
        <f>IF($B803="","",IFERROR(IF(INDEX('Per Invoice'!$C$2:$C$401,MATCH($B803,'Per Invoice'!$A$2:$A$401,0))=0,"",INDEX('Per Invoice'!$C$2:$C$401,MATCH($B803,'Per Invoice'!$A$2:$A$401,0))),""))</f>
        <v/>
      </c>
      <c r="G803" s="7">
        <f>IF($B803="","",F803*L803/100)</f>
        <v/>
      </c>
      <c r="K803" s="7" t="n"/>
      <c r="L803" s="7" t="n"/>
      <c r="M803" s="7">
        <f>IF($B803="","",L803*T803/100)</f>
        <v/>
      </c>
      <c r="N803" s="7">
        <f>IF($B803="","",L803-M803)</f>
        <v/>
      </c>
      <c r="O803" s="7">
        <f>IF($B803="","",N803-G803)</f>
        <v/>
      </c>
      <c r="R803" s="14" t="n"/>
      <c r="T803">
        <f>IF($B803="","",IF($W803=1,Settings!$C$6,Settings!$C$7)*100)</f>
        <v/>
      </c>
      <c r="U803">
        <f>IF($B803="","",IF(COUNTIF($B$2:$B803,$B803)=1,1,0))</f>
        <v/>
      </c>
      <c r="V803">
        <f>IF($U803=1,SUMPRODUCT(--($X$2:$X$1501&lt;$X803))+1,"")</f>
        <v/>
      </c>
      <c r="W803">
        <f>IF($B803="","",IF(OR($S803=TRUE(),$S803="TRUE"),1,0))</f>
        <v/>
      </c>
      <c r="X803">
        <f>IF($U803=1,IFERROR(IF(VALUE($B803)&lt;100000000,VALUE($B803),1000000000),IFERROR(IF(VALUE(MID($B803,2,20))&lt;100000000,VALUE(MID($B803,2,20)),1000000000),1000000000))+ROW()/100000,"")</f>
        <v/>
      </c>
    </row>
    <row r="804">
      <c r="A804">
        <f>IF($B804="","",IFERROR(IF(INDEX('Per Invoice'!$C$2:$C$401,MATCH($B804,'Per Invoice'!$A$2:$A$401,0))=0,"",INDEX('Per Invoice'!$C$2:$C$401,MATCH($B804,'Per Invoice'!$A$2:$A$401,0))),""))</f>
        <v/>
      </c>
      <c r="G804" s="7">
        <f>IF($B804="","",F804*L804/100)</f>
        <v/>
      </c>
      <c r="K804" s="7" t="n"/>
      <c r="L804" s="7" t="n"/>
      <c r="M804" s="7">
        <f>IF($B804="","",L804*T804/100)</f>
        <v/>
      </c>
      <c r="N804" s="7">
        <f>IF($B804="","",L804-M804)</f>
        <v/>
      </c>
      <c r="O804" s="7">
        <f>IF($B804="","",N804-G804)</f>
        <v/>
      </c>
      <c r="R804" s="14" t="n"/>
      <c r="T804">
        <f>IF($B804="","",IF($W804=1,Settings!$C$6,Settings!$C$7)*100)</f>
        <v/>
      </c>
      <c r="U804">
        <f>IF($B804="","",IF(COUNTIF($B$2:$B804,$B804)=1,1,0))</f>
        <v/>
      </c>
      <c r="V804">
        <f>IF($U804=1,SUMPRODUCT(--($X$2:$X$1501&lt;$X804))+1,"")</f>
        <v/>
      </c>
      <c r="W804">
        <f>IF($B804="","",IF(OR($S804=TRUE(),$S804="TRUE"),1,0))</f>
        <v/>
      </c>
      <c r="X804">
        <f>IF($U804=1,IFERROR(IF(VALUE($B804)&lt;100000000,VALUE($B804),1000000000),IFERROR(IF(VALUE(MID($B804,2,20))&lt;100000000,VALUE(MID($B804,2,20)),1000000000),1000000000))+ROW()/100000,"")</f>
        <v/>
      </c>
    </row>
    <row r="805">
      <c r="A805">
        <f>IF($B805="","",IFERROR(IF(INDEX('Per Invoice'!$C$2:$C$401,MATCH($B805,'Per Invoice'!$A$2:$A$401,0))=0,"",INDEX('Per Invoice'!$C$2:$C$401,MATCH($B805,'Per Invoice'!$A$2:$A$401,0))),""))</f>
        <v/>
      </c>
      <c r="G805" s="7">
        <f>IF($B805="","",F805*L805/100)</f>
        <v/>
      </c>
      <c r="K805" s="7" t="n"/>
      <c r="L805" s="7" t="n"/>
      <c r="M805" s="7">
        <f>IF($B805="","",L805*T805/100)</f>
        <v/>
      </c>
      <c r="N805" s="7">
        <f>IF($B805="","",L805-M805)</f>
        <v/>
      </c>
      <c r="O805" s="7">
        <f>IF($B805="","",N805-G805)</f>
        <v/>
      </c>
      <c r="R805" s="14" t="n"/>
      <c r="T805">
        <f>IF($B805="","",IF($W805=1,Settings!$C$6,Settings!$C$7)*100)</f>
        <v/>
      </c>
      <c r="U805">
        <f>IF($B805="","",IF(COUNTIF($B$2:$B805,$B805)=1,1,0))</f>
        <v/>
      </c>
      <c r="V805">
        <f>IF($U805=1,SUMPRODUCT(--($X$2:$X$1501&lt;$X805))+1,"")</f>
        <v/>
      </c>
      <c r="W805">
        <f>IF($B805="","",IF(OR($S805=TRUE(),$S805="TRUE"),1,0))</f>
        <v/>
      </c>
      <c r="X805">
        <f>IF($U805=1,IFERROR(IF(VALUE($B805)&lt;100000000,VALUE($B805),1000000000),IFERROR(IF(VALUE(MID($B805,2,20))&lt;100000000,VALUE(MID($B805,2,20)),1000000000),1000000000))+ROW()/100000,"")</f>
        <v/>
      </c>
    </row>
    <row r="806">
      <c r="A806">
        <f>IF($B806="","",IFERROR(IF(INDEX('Per Invoice'!$C$2:$C$401,MATCH($B806,'Per Invoice'!$A$2:$A$401,0))=0,"",INDEX('Per Invoice'!$C$2:$C$401,MATCH($B806,'Per Invoice'!$A$2:$A$401,0))),""))</f>
        <v/>
      </c>
      <c r="G806" s="7">
        <f>IF($B806="","",F806*L806/100)</f>
        <v/>
      </c>
      <c r="K806" s="7" t="n"/>
      <c r="L806" s="7" t="n"/>
      <c r="M806" s="7">
        <f>IF($B806="","",L806*T806/100)</f>
        <v/>
      </c>
      <c r="N806" s="7">
        <f>IF($B806="","",L806-M806)</f>
        <v/>
      </c>
      <c r="O806" s="7">
        <f>IF($B806="","",N806-G806)</f>
        <v/>
      </c>
      <c r="R806" s="14" t="n"/>
      <c r="T806">
        <f>IF($B806="","",IF($W806=1,Settings!$C$6,Settings!$C$7)*100)</f>
        <v/>
      </c>
      <c r="U806">
        <f>IF($B806="","",IF(COUNTIF($B$2:$B806,$B806)=1,1,0))</f>
        <v/>
      </c>
      <c r="V806">
        <f>IF($U806=1,SUMPRODUCT(--($X$2:$X$1501&lt;$X806))+1,"")</f>
        <v/>
      </c>
      <c r="W806">
        <f>IF($B806="","",IF(OR($S806=TRUE(),$S806="TRUE"),1,0))</f>
        <v/>
      </c>
      <c r="X806">
        <f>IF($U806=1,IFERROR(IF(VALUE($B806)&lt;100000000,VALUE($B806),1000000000),IFERROR(IF(VALUE(MID($B806,2,20))&lt;100000000,VALUE(MID($B806,2,20)),1000000000),1000000000))+ROW()/100000,"")</f>
        <v/>
      </c>
    </row>
    <row r="807">
      <c r="A807">
        <f>IF($B807="","",IFERROR(IF(INDEX('Per Invoice'!$C$2:$C$401,MATCH($B807,'Per Invoice'!$A$2:$A$401,0))=0,"",INDEX('Per Invoice'!$C$2:$C$401,MATCH($B807,'Per Invoice'!$A$2:$A$401,0))),""))</f>
        <v/>
      </c>
      <c r="G807" s="7">
        <f>IF($B807="","",F807*L807/100)</f>
        <v/>
      </c>
      <c r="K807" s="7" t="n"/>
      <c r="L807" s="7" t="n"/>
      <c r="M807" s="7">
        <f>IF($B807="","",L807*T807/100)</f>
        <v/>
      </c>
      <c r="N807" s="7">
        <f>IF($B807="","",L807-M807)</f>
        <v/>
      </c>
      <c r="O807" s="7">
        <f>IF($B807="","",N807-G807)</f>
        <v/>
      </c>
      <c r="R807" s="14" t="n"/>
      <c r="T807">
        <f>IF($B807="","",IF($W807=1,Settings!$C$6,Settings!$C$7)*100)</f>
        <v/>
      </c>
      <c r="U807">
        <f>IF($B807="","",IF(COUNTIF($B$2:$B807,$B807)=1,1,0))</f>
        <v/>
      </c>
      <c r="V807">
        <f>IF($U807=1,SUMPRODUCT(--($X$2:$X$1501&lt;$X807))+1,"")</f>
        <v/>
      </c>
      <c r="W807">
        <f>IF($B807="","",IF(OR($S807=TRUE(),$S807="TRUE"),1,0))</f>
        <v/>
      </c>
      <c r="X807">
        <f>IF($U807=1,IFERROR(IF(VALUE($B807)&lt;100000000,VALUE($B807),1000000000),IFERROR(IF(VALUE(MID($B807,2,20))&lt;100000000,VALUE(MID($B807,2,20)),1000000000),1000000000))+ROW()/100000,"")</f>
        <v/>
      </c>
    </row>
    <row r="808">
      <c r="A808">
        <f>IF($B808="","",IFERROR(IF(INDEX('Per Invoice'!$C$2:$C$401,MATCH($B808,'Per Invoice'!$A$2:$A$401,0))=0,"",INDEX('Per Invoice'!$C$2:$C$401,MATCH($B808,'Per Invoice'!$A$2:$A$401,0))),""))</f>
        <v/>
      </c>
      <c r="G808" s="7">
        <f>IF($B808="","",F808*L808/100)</f>
        <v/>
      </c>
      <c r="K808" s="7" t="n"/>
      <c r="L808" s="7" t="n"/>
      <c r="M808" s="7">
        <f>IF($B808="","",L808*T808/100)</f>
        <v/>
      </c>
      <c r="N808" s="7">
        <f>IF($B808="","",L808-M808)</f>
        <v/>
      </c>
      <c r="O808" s="7">
        <f>IF($B808="","",N808-G808)</f>
        <v/>
      </c>
      <c r="R808" s="14" t="n"/>
      <c r="T808">
        <f>IF($B808="","",IF($W808=1,Settings!$C$6,Settings!$C$7)*100)</f>
        <v/>
      </c>
      <c r="U808">
        <f>IF($B808="","",IF(COUNTIF($B$2:$B808,$B808)=1,1,0))</f>
        <v/>
      </c>
      <c r="V808">
        <f>IF($U808=1,SUMPRODUCT(--($X$2:$X$1501&lt;$X808))+1,"")</f>
        <v/>
      </c>
      <c r="W808">
        <f>IF($B808="","",IF(OR($S808=TRUE(),$S808="TRUE"),1,0))</f>
        <v/>
      </c>
      <c r="X808">
        <f>IF($U808=1,IFERROR(IF(VALUE($B808)&lt;100000000,VALUE($B808),1000000000),IFERROR(IF(VALUE(MID($B808,2,20))&lt;100000000,VALUE(MID($B808,2,20)),1000000000),1000000000))+ROW()/100000,"")</f>
        <v/>
      </c>
    </row>
    <row r="809">
      <c r="A809">
        <f>IF($B809="","",IFERROR(IF(INDEX('Per Invoice'!$C$2:$C$401,MATCH($B809,'Per Invoice'!$A$2:$A$401,0))=0,"",INDEX('Per Invoice'!$C$2:$C$401,MATCH($B809,'Per Invoice'!$A$2:$A$401,0))),""))</f>
        <v/>
      </c>
      <c r="G809" s="7">
        <f>IF($B809="","",F809*L809/100)</f>
        <v/>
      </c>
      <c r="K809" s="7" t="n"/>
      <c r="L809" s="7" t="n"/>
      <c r="M809" s="7">
        <f>IF($B809="","",L809*T809/100)</f>
        <v/>
      </c>
      <c r="N809" s="7">
        <f>IF($B809="","",L809-M809)</f>
        <v/>
      </c>
      <c r="O809" s="7">
        <f>IF($B809="","",N809-G809)</f>
        <v/>
      </c>
      <c r="R809" s="14" t="n"/>
      <c r="T809">
        <f>IF($B809="","",IF($W809=1,Settings!$C$6,Settings!$C$7)*100)</f>
        <v/>
      </c>
      <c r="U809">
        <f>IF($B809="","",IF(COUNTIF($B$2:$B809,$B809)=1,1,0))</f>
        <v/>
      </c>
      <c r="V809">
        <f>IF($U809=1,SUMPRODUCT(--($X$2:$X$1501&lt;$X809))+1,"")</f>
        <v/>
      </c>
      <c r="W809">
        <f>IF($B809="","",IF(OR($S809=TRUE(),$S809="TRUE"),1,0))</f>
        <v/>
      </c>
      <c r="X809">
        <f>IF($U809=1,IFERROR(IF(VALUE($B809)&lt;100000000,VALUE($B809),1000000000),IFERROR(IF(VALUE(MID($B809,2,20))&lt;100000000,VALUE(MID($B809,2,20)),1000000000),1000000000))+ROW()/100000,"")</f>
        <v/>
      </c>
    </row>
    <row r="810">
      <c r="A810">
        <f>IF($B810="","",IFERROR(IF(INDEX('Per Invoice'!$C$2:$C$401,MATCH($B810,'Per Invoice'!$A$2:$A$401,0))=0,"",INDEX('Per Invoice'!$C$2:$C$401,MATCH($B810,'Per Invoice'!$A$2:$A$401,0))),""))</f>
        <v/>
      </c>
      <c r="G810" s="7">
        <f>IF($B810="","",F810*L810/100)</f>
        <v/>
      </c>
      <c r="K810" s="7" t="n"/>
      <c r="L810" s="7" t="n"/>
      <c r="M810" s="7">
        <f>IF($B810="","",L810*T810/100)</f>
        <v/>
      </c>
      <c r="N810" s="7">
        <f>IF($B810="","",L810-M810)</f>
        <v/>
      </c>
      <c r="O810" s="7">
        <f>IF($B810="","",N810-G810)</f>
        <v/>
      </c>
      <c r="R810" s="14" t="n"/>
      <c r="T810">
        <f>IF($B810="","",IF($W810=1,Settings!$C$6,Settings!$C$7)*100)</f>
        <v/>
      </c>
      <c r="U810">
        <f>IF($B810="","",IF(COUNTIF($B$2:$B810,$B810)=1,1,0))</f>
        <v/>
      </c>
      <c r="V810">
        <f>IF($U810=1,SUMPRODUCT(--($X$2:$X$1501&lt;$X810))+1,"")</f>
        <v/>
      </c>
      <c r="W810">
        <f>IF($B810="","",IF(OR($S810=TRUE(),$S810="TRUE"),1,0))</f>
        <v/>
      </c>
      <c r="X810">
        <f>IF($U810=1,IFERROR(IF(VALUE($B810)&lt;100000000,VALUE($B810),1000000000),IFERROR(IF(VALUE(MID($B810,2,20))&lt;100000000,VALUE(MID($B810,2,20)),1000000000),1000000000))+ROW()/100000,"")</f>
        <v/>
      </c>
    </row>
    <row r="811">
      <c r="A811">
        <f>IF($B811="","",IFERROR(IF(INDEX('Per Invoice'!$C$2:$C$401,MATCH($B811,'Per Invoice'!$A$2:$A$401,0))=0,"",INDEX('Per Invoice'!$C$2:$C$401,MATCH($B811,'Per Invoice'!$A$2:$A$401,0))),""))</f>
        <v/>
      </c>
      <c r="G811" s="7">
        <f>IF($B811="","",F811*L811/100)</f>
        <v/>
      </c>
      <c r="K811" s="7" t="n"/>
      <c r="L811" s="7" t="n"/>
      <c r="M811" s="7">
        <f>IF($B811="","",L811*T811/100)</f>
        <v/>
      </c>
      <c r="N811" s="7">
        <f>IF($B811="","",L811-M811)</f>
        <v/>
      </c>
      <c r="O811" s="7">
        <f>IF($B811="","",N811-G811)</f>
        <v/>
      </c>
      <c r="R811" s="14" t="n"/>
      <c r="T811">
        <f>IF($B811="","",IF($W811=1,Settings!$C$6,Settings!$C$7)*100)</f>
        <v/>
      </c>
      <c r="U811">
        <f>IF($B811="","",IF(COUNTIF($B$2:$B811,$B811)=1,1,0))</f>
        <v/>
      </c>
      <c r="V811">
        <f>IF($U811=1,SUMPRODUCT(--($X$2:$X$1501&lt;$X811))+1,"")</f>
        <v/>
      </c>
      <c r="W811">
        <f>IF($B811="","",IF(OR($S811=TRUE(),$S811="TRUE"),1,0))</f>
        <v/>
      </c>
      <c r="X811">
        <f>IF($U811=1,IFERROR(IF(VALUE($B811)&lt;100000000,VALUE($B811),1000000000),IFERROR(IF(VALUE(MID($B811,2,20))&lt;100000000,VALUE(MID($B811,2,20)),1000000000),1000000000))+ROW()/100000,"")</f>
        <v/>
      </c>
    </row>
    <row r="812">
      <c r="A812">
        <f>IF($B812="","",IFERROR(IF(INDEX('Per Invoice'!$C$2:$C$401,MATCH($B812,'Per Invoice'!$A$2:$A$401,0))=0,"",INDEX('Per Invoice'!$C$2:$C$401,MATCH($B812,'Per Invoice'!$A$2:$A$401,0))),""))</f>
        <v/>
      </c>
      <c r="G812" s="7">
        <f>IF($B812="","",F812*L812/100)</f>
        <v/>
      </c>
      <c r="K812" s="7" t="n"/>
      <c r="L812" s="7" t="n"/>
      <c r="M812" s="7">
        <f>IF($B812="","",L812*T812/100)</f>
        <v/>
      </c>
      <c r="N812" s="7">
        <f>IF($B812="","",L812-M812)</f>
        <v/>
      </c>
      <c r="O812" s="7">
        <f>IF($B812="","",N812-G812)</f>
        <v/>
      </c>
      <c r="R812" s="14" t="n"/>
      <c r="T812">
        <f>IF($B812="","",IF($W812=1,Settings!$C$6,Settings!$C$7)*100)</f>
        <v/>
      </c>
      <c r="U812">
        <f>IF($B812="","",IF(COUNTIF($B$2:$B812,$B812)=1,1,0))</f>
        <v/>
      </c>
      <c r="V812">
        <f>IF($U812=1,SUMPRODUCT(--($X$2:$X$1501&lt;$X812))+1,"")</f>
        <v/>
      </c>
      <c r="W812">
        <f>IF($B812="","",IF(OR($S812=TRUE(),$S812="TRUE"),1,0))</f>
        <v/>
      </c>
      <c r="X812">
        <f>IF($U812=1,IFERROR(IF(VALUE($B812)&lt;100000000,VALUE($B812),1000000000),IFERROR(IF(VALUE(MID($B812,2,20))&lt;100000000,VALUE(MID($B812,2,20)),1000000000),1000000000))+ROW()/100000,"")</f>
        <v/>
      </c>
    </row>
    <row r="813">
      <c r="A813">
        <f>IF($B813="","",IFERROR(IF(INDEX('Per Invoice'!$C$2:$C$401,MATCH($B813,'Per Invoice'!$A$2:$A$401,0))=0,"",INDEX('Per Invoice'!$C$2:$C$401,MATCH($B813,'Per Invoice'!$A$2:$A$401,0))),""))</f>
        <v/>
      </c>
      <c r="G813" s="7">
        <f>IF($B813="","",F813*L813/100)</f>
        <v/>
      </c>
      <c r="K813" s="7" t="n"/>
      <c r="L813" s="7" t="n"/>
      <c r="M813" s="7">
        <f>IF($B813="","",L813*T813/100)</f>
        <v/>
      </c>
      <c r="N813" s="7">
        <f>IF($B813="","",L813-M813)</f>
        <v/>
      </c>
      <c r="O813" s="7">
        <f>IF($B813="","",N813-G813)</f>
        <v/>
      </c>
      <c r="R813" s="14" t="n"/>
      <c r="T813">
        <f>IF($B813="","",IF($W813=1,Settings!$C$6,Settings!$C$7)*100)</f>
        <v/>
      </c>
      <c r="U813">
        <f>IF($B813="","",IF(COUNTIF($B$2:$B813,$B813)=1,1,0))</f>
        <v/>
      </c>
      <c r="V813">
        <f>IF($U813=1,SUMPRODUCT(--($X$2:$X$1501&lt;$X813))+1,"")</f>
        <v/>
      </c>
      <c r="W813">
        <f>IF($B813="","",IF(OR($S813=TRUE(),$S813="TRUE"),1,0))</f>
        <v/>
      </c>
      <c r="X813">
        <f>IF($U813=1,IFERROR(IF(VALUE($B813)&lt;100000000,VALUE($B813),1000000000),IFERROR(IF(VALUE(MID($B813,2,20))&lt;100000000,VALUE(MID($B813,2,20)),1000000000),1000000000))+ROW()/100000,"")</f>
        <v/>
      </c>
    </row>
    <row r="814">
      <c r="A814">
        <f>IF($B814="","",IFERROR(IF(INDEX('Per Invoice'!$C$2:$C$401,MATCH($B814,'Per Invoice'!$A$2:$A$401,0))=0,"",INDEX('Per Invoice'!$C$2:$C$401,MATCH($B814,'Per Invoice'!$A$2:$A$401,0))),""))</f>
        <v/>
      </c>
      <c r="G814" s="7">
        <f>IF($B814="","",F814*L814/100)</f>
        <v/>
      </c>
      <c r="K814" s="7" t="n"/>
      <c r="L814" s="7" t="n"/>
      <c r="M814" s="7">
        <f>IF($B814="","",L814*T814/100)</f>
        <v/>
      </c>
      <c r="N814" s="7">
        <f>IF($B814="","",L814-M814)</f>
        <v/>
      </c>
      <c r="O814" s="7">
        <f>IF($B814="","",N814-G814)</f>
        <v/>
      </c>
      <c r="R814" s="14" t="n"/>
      <c r="T814">
        <f>IF($B814="","",IF($W814=1,Settings!$C$6,Settings!$C$7)*100)</f>
        <v/>
      </c>
      <c r="U814">
        <f>IF($B814="","",IF(COUNTIF($B$2:$B814,$B814)=1,1,0))</f>
        <v/>
      </c>
      <c r="V814">
        <f>IF($U814=1,SUMPRODUCT(--($X$2:$X$1501&lt;$X814))+1,"")</f>
        <v/>
      </c>
      <c r="W814">
        <f>IF($B814="","",IF(OR($S814=TRUE(),$S814="TRUE"),1,0))</f>
        <v/>
      </c>
      <c r="X814">
        <f>IF($U814=1,IFERROR(IF(VALUE($B814)&lt;100000000,VALUE($B814),1000000000),IFERROR(IF(VALUE(MID($B814,2,20))&lt;100000000,VALUE(MID($B814,2,20)),1000000000),1000000000))+ROW()/100000,"")</f>
        <v/>
      </c>
    </row>
    <row r="815">
      <c r="A815">
        <f>IF($B815="","",IFERROR(IF(INDEX('Per Invoice'!$C$2:$C$401,MATCH($B815,'Per Invoice'!$A$2:$A$401,0))=0,"",INDEX('Per Invoice'!$C$2:$C$401,MATCH($B815,'Per Invoice'!$A$2:$A$401,0))),""))</f>
        <v/>
      </c>
      <c r="G815" s="7">
        <f>IF($B815="","",F815*L815/100)</f>
        <v/>
      </c>
      <c r="K815" s="7" t="n"/>
      <c r="L815" s="7" t="n"/>
      <c r="M815" s="7">
        <f>IF($B815="","",L815*T815/100)</f>
        <v/>
      </c>
      <c r="N815" s="7">
        <f>IF($B815="","",L815-M815)</f>
        <v/>
      </c>
      <c r="O815" s="7">
        <f>IF($B815="","",N815-G815)</f>
        <v/>
      </c>
      <c r="R815" s="14" t="n"/>
      <c r="T815">
        <f>IF($B815="","",IF($W815=1,Settings!$C$6,Settings!$C$7)*100)</f>
        <v/>
      </c>
      <c r="U815">
        <f>IF($B815="","",IF(COUNTIF($B$2:$B815,$B815)=1,1,0))</f>
        <v/>
      </c>
      <c r="V815">
        <f>IF($U815=1,SUMPRODUCT(--($X$2:$X$1501&lt;$X815))+1,"")</f>
        <v/>
      </c>
      <c r="W815">
        <f>IF($B815="","",IF(OR($S815=TRUE(),$S815="TRUE"),1,0))</f>
        <v/>
      </c>
      <c r="X815">
        <f>IF($U815=1,IFERROR(IF(VALUE($B815)&lt;100000000,VALUE($B815),1000000000),IFERROR(IF(VALUE(MID($B815,2,20))&lt;100000000,VALUE(MID($B815,2,20)),1000000000),1000000000))+ROW()/100000,"")</f>
        <v/>
      </c>
    </row>
    <row r="816">
      <c r="A816">
        <f>IF($B816="","",IFERROR(IF(INDEX('Per Invoice'!$C$2:$C$401,MATCH($B816,'Per Invoice'!$A$2:$A$401,0))=0,"",INDEX('Per Invoice'!$C$2:$C$401,MATCH($B816,'Per Invoice'!$A$2:$A$401,0))),""))</f>
        <v/>
      </c>
      <c r="G816" s="7">
        <f>IF($B816="","",F816*L816/100)</f>
        <v/>
      </c>
      <c r="K816" s="7" t="n"/>
      <c r="L816" s="7" t="n"/>
      <c r="M816" s="7">
        <f>IF($B816="","",L816*T816/100)</f>
        <v/>
      </c>
      <c r="N816" s="7">
        <f>IF($B816="","",L816-M816)</f>
        <v/>
      </c>
      <c r="O816" s="7">
        <f>IF($B816="","",N816-G816)</f>
        <v/>
      </c>
      <c r="R816" s="14" t="n"/>
      <c r="T816">
        <f>IF($B816="","",IF($W816=1,Settings!$C$6,Settings!$C$7)*100)</f>
        <v/>
      </c>
      <c r="U816">
        <f>IF($B816="","",IF(COUNTIF($B$2:$B816,$B816)=1,1,0))</f>
        <v/>
      </c>
      <c r="V816">
        <f>IF($U816=1,SUMPRODUCT(--($X$2:$X$1501&lt;$X816))+1,"")</f>
        <v/>
      </c>
      <c r="W816">
        <f>IF($B816="","",IF(OR($S816=TRUE(),$S816="TRUE"),1,0))</f>
        <v/>
      </c>
      <c r="X816">
        <f>IF($U816=1,IFERROR(IF(VALUE($B816)&lt;100000000,VALUE($B816),1000000000),IFERROR(IF(VALUE(MID($B816,2,20))&lt;100000000,VALUE(MID($B816,2,20)),1000000000),1000000000))+ROW()/100000,"")</f>
        <v/>
      </c>
    </row>
    <row r="817">
      <c r="A817">
        <f>IF($B817="","",IFERROR(IF(INDEX('Per Invoice'!$C$2:$C$401,MATCH($B817,'Per Invoice'!$A$2:$A$401,0))=0,"",INDEX('Per Invoice'!$C$2:$C$401,MATCH($B817,'Per Invoice'!$A$2:$A$401,0))),""))</f>
        <v/>
      </c>
      <c r="G817" s="7">
        <f>IF($B817="","",F817*L817/100)</f>
        <v/>
      </c>
      <c r="K817" s="7" t="n"/>
      <c r="L817" s="7" t="n"/>
      <c r="M817" s="7">
        <f>IF($B817="","",L817*T817/100)</f>
        <v/>
      </c>
      <c r="N817" s="7">
        <f>IF($B817="","",L817-M817)</f>
        <v/>
      </c>
      <c r="O817" s="7">
        <f>IF($B817="","",N817-G817)</f>
        <v/>
      </c>
      <c r="R817" s="14" t="n"/>
      <c r="T817">
        <f>IF($B817="","",IF($W817=1,Settings!$C$6,Settings!$C$7)*100)</f>
        <v/>
      </c>
      <c r="U817">
        <f>IF($B817="","",IF(COUNTIF($B$2:$B817,$B817)=1,1,0))</f>
        <v/>
      </c>
      <c r="V817">
        <f>IF($U817=1,SUMPRODUCT(--($X$2:$X$1501&lt;$X817))+1,"")</f>
        <v/>
      </c>
      <c r="W817">
        <f>IF($B817="","",IF(OR($S817=TRUE(),$S817="TRUE"),1,0))</f>
        <v/>
      </c>
      <c r="X817">
        <f>IF($U817=1,IFERROR(IF(VALUE($B817)&lt;100000000,VALUE($B817),1000000000),IFERROR(IF(VALUE(MID($B817,2,20))&lt;100000000,VALUE(MID($B817,2,20)),1000000000),1000000000))+ROW()/100000,"")</f>
        <v/>
      </c>
    </row>
    <row r="818">
      <c r="A818">
        <f>IF($B818="","",IFERROR(IF(INDEX('Per Invoice'!$C$2:$C$401,MATCH($B818,'Per Invoice'!$A$2:$A$401,0))=0,"",INDEX('Per Invoice'!$C$2:$C$401,MATCH($B818,'Per Invoice'!$A$2:$A$401,0))),""))</f>
        <v/>
      </c>
      <c r="G818" s="7">
        <f>IF($B818="","",F818*L818/100)</f>
        <v/>
      </c>
      <c r="K818" s="7" t="n"/>
      <c r="L818" s="7" t="n"/>
      <c r="M818" s="7">
        <f>IF($B818="","",L818*T818/100)</f>
        <v/>
      </c>
      <c r="N818" s="7">
        <f>IF($B818="","",L818-M818)</f>
        <v/>
      </c>
      <c r="O818" s="7">
        <f>IF($B818="","",N818-G818)</f>
        <v/>
      </c>
      <c r="R818" s="14" t="n"/>
      <c r="T818">
        <f>IF($B818="","",IF($W818=1,Settings!$C$6,Settings!$C$7)*100)</f>
        <v/>
      </c>
      <c r="U818">
        <f>IF($B818="","",IF(COUNTIF($B$2:$B818,$B818)=1,1,0))</f>
        <v/>
      </c>
      <c r="V818">
        <f>IF($U818=1,SUMPRODUCT(--($X$2:$X$1501&lt;$X818))+1,"")</f>
        <v/>
      </c>
      <c r="W818">
        <f>IF($B818="","",IF(OR($S818=TRUE(),$S818="TRUE"),1,0))</f>
        <v/>
      </c>
      <c r="X818">
        <f>IF($U818=1,IFERROR(IF(VALUE($B818)&lt;100000000,VALUE($B818),1000000000),IFERROR(IF(VALUE(MID($B818,2,20))&lt;100000000,VALUE(MID($B818,2,20)),1000000000),1000000000))+ROW()/100000,"")</f>
        <v/>
      </c>
    </row>
    <row r="819">
      <c r="A819">
        <f>IF($B819="","",IFERROR(IF(INDEX('Per Invoice'!$C$2:$C$401,MATCH($B819,'Per Invoice'!$A$2:$A$401,0))=0,"",INDEX('Per Invoice'!$C$2:$C$401,MATCH($B819,'Per Invoice'!$A$2:$A$401,0))),""))</f>
        <v/>
      </c>
      <c r="G819" s="7">
        <f>IF($B819="","",F819*L819/100)</f>
        <v/>
      </c>
      <c r="K819" s="7" t="n"/>
      <c r="L819" s="7" t="n"/>
      <c r="M819" s="7">
        <f>IF($B819="","",L819*T819/100)</f>
        <v/>
      </c>
      <c r="N819" s="7">
        <f>IF($B819="","",L819-M819)</f>
        <v/>
      </c>
      <c r="O819" s="7">
        <f>IF($B819="","",N819-G819)</f>
        <v/>
      </c>
      <c r="R819" s="14" t="n"/>
      <c r="T819">
        <f>IF($B819="","",IF($W819=1,Settings!$C$6,Settings!$C$7)*100)</f>
        <v/>
      </c>
      <c r="U819">
        <f>IF($B819="","",IF(COUNTIF($B$2:$B819,$B819)=1,1,0))</f>
        <v/>
      </c>
      <c r="V819">
        <f>IF($U819=1,SUMPRODUCT(--($X$2:$X$1501&lt;$X819))+1,"")</f>
        <v/>
      </c>
      <c r="W819">
        <f>IF($B819="","",IF(OR($S819=TRUE(),$S819="TRUE"),1,0))</f>
        <v/>
      </c>
      <c r="X819">
        <f>IF($U819=1,IFERROR(IF(VALUE($B819)&lt;100000000,VALUE($B819),1000000000),IFERROR(IF(VALUE(MID($B819,2,20))&lt;100000000,VALUE(MID($B819,2,20)),1000000000),1000000000))+ROW()/100000,"")</f>
        <v/>
      </c>
    </row>
    <row r="820">
      <c r="A820">
        <f>IF($B820="","",IFERROR(IF(INDEX('Per Invoice'!$C$2:$C$401,MATCH($B820,'Per Invoice'!$A$2:$A$401,0))=0,"",INDEX('Per Invoice'!$C$2:$C$401,MATCH($B820,'Per Invoice'!$A$2:$A$401,0))),""))</f>
        <v/>
      </c>
      <c r="G820" s="7">
        <f>IF($B820="","",F820*L820/100)</f>
        <v/>
      </c>
      <c r="K820" s="7" t="n"/>
      <c r="L820" s="7" t="n"/>
      <c r="M820" s="7">
        <f>IF($B820="","",L820*T820/100)</f>
        <v/>
      </c>
      <c r="N820" s="7">
        <f>IF($B820="","",L820-M820)</f>
        <v/>
      </c>
      <c r="O820" s="7">
        <f>IF($B820="","",N820-G820)</f>
        <v/>
      </c>
      <c r="R820" s="14" t="n"/>
      <c r="T820">
        <f>IF($B820="","",IF($W820=1,Settings!$C$6,Settings!$C$7)*100)</f>
        <v/>
      </c>
      <c r="U820">
        <f>IF($B820="","",IF(COUNTIF($B$2:$B820,$B820)=1,1,0))</f>
        <v/>
      </c>
      <c r="V820">
        <f>IF($U820=1,SUMPRODUCT(--($X$2:$X$1501&lt;$X820))+1,"")</f>
        <v/>
      </c>
      <c r="W820">
        <f>IF($B820="","",IF(OR($S820=TRUE(),$S820="TRUE"),1,0))</f>
        <v/>
      </c>
      <c r="X820">
        <f>IF($U820=1,IFERROR(IF(VALUE($B820)&lt;100000000,VALUE($B820),1000000000),IFERROR(IF(VALUE(MID($B820,2,20))&lt;100000000,VALUE(MID($B820,2,20)),1000000000),1000000000))+ROW()/100000,"")</f>
        <v/>
      </c>
    </row>
    <row r="821">
      <c r="A821">
        <f>IF($B821="","",IFERROR(IF(INDEX('Per Invoice'!$C$2:$C$401,MATCH($B821,'Per Invoice'!$A$2:$A$401,0))=0,"",INDEX('Per Invoice'!$C$2:$C$401,MATCH($B821,'Per Invoice'!$A$2:$A$401,0))),""))</f>
        <v/>
      </c>
      <c r="G821" s="7">
        <f>IF($B821="","",F821*L821/100)</f>
        <v/>
      </c>
      <c r="K821" s="7" t="n"/>
      <c r="L821" s="7" t="n"/>
      <c r="M821" s="7">
        <f>IF($B821="","",L821*T821/100)</f>
        <v/>
      </c>
      <c r="N821" s="7">
        <f>IF($B821="","",L821-M821)</f>
        <v/>
      </c>
      <c r="O821" s="7">
        <f>IF($B821="","",N821-G821)</f>
        <v/>
      </c>
      <c r="R821" s="14" t="n"/>
      <c r="T821">
        <f>IF($B821="","",IF($W821=1,Settings!$C$6,Settings!$C$7)*100)</f>
        <v/>
      </c>
      <c r="U821">
        <f>IF($B821="","",IF(COUNTIF($B$2:$B821,$B821)=1,1,0))</f>
        <v/>
      </c>
      <c r="V821">
        <f>IF($U821=1,SUMPRODUCT(--($X$2:$X$1501&lt;$X821))+1,"")</f>
        <v/>
      </c>
      <c r="W821">
        <f>IF($B821="","",IF(OR($S821=TRUE(),$S821="TRUE"),1,0))</f>
        <v/>
      </c>
      <c r="X821">
        <f>IF($U821=1,IFERROR(IF(VALUE($B821)&lt;100000000,VALUE($B821),1000000000),IFERROR(IF(VALUE(MID($B821,2,20))&lt;100000000,VALUE(MID($B821,2,20)),1000000000),1000000000))+ROW()/100000,"")</f>
        <v/>
      </c>
    </row>
    <row r="822">
      <c r="A822">
        <f>IF($B822="","",IFERROR(IF(INDEX('Per Invoice'!$C$2:$C$401,MATCH($B822,'Per Invoice'!$A$2:$A$401,0))=0,"",INDEX('Per Invoice'!$C$2:$C$401,MATCH($B822,'Per Invoice'!$A$2:$A$401,0))),""))</f>
        <v/>
      </c>
      <c r="G822" s="7">
        <f>IF($B822="","",F822*L822/100)</f>
        <v/>
      </c>
      <c r="K822" s="7" t="n"/>
      <c r="L822" s="7" t="n"/>
      <c r="M822" s="7">
        <f>IF($B822="","",L822*T822/100)</f>
        <v/>
      </c>
      <c r="N822" s="7">
        <f>IF($B822="","",L822-M822)</f>
        <v/>
      </c>
      <c r="O822" s="7">
        <f>IF($B822="","",N822-G822)</f>
        <v/>
      </c>
      <c r="R822" s="14" t="n"/>
      <c r="T822">
        <f>IF($B822="","",IF($W822=1,Settings!$C$6,Settings!$C$7)*100)</f>
        <v/>
      </c>
      <c r="U822">
        <f>IF($B822="","",IF(COUNTIF($B$2:$B822,$B822)=1,1,0))</f>
        <v/>
      </c>
      <c r="V822">
        <f>IF($U822=1,SUMPRODUCT(--($X$2:$X$1501&lt;$X822))+1,"")</f>
        <v/>
      </c>
      <c r="W822">
        <f>IF($B822="","",IF(OR($S822=TRUE(),$S822="TRUE"),1,0))</f>
        <v/>
      </c>
      <c r="X822">
        <f>IF($U822=1,IFERROR(IF(VALUE($B822)&lt;100000000,VALUE($B822),1000000000),IFERROR(IF(VALUE(MID($B822,2,20))&lt;100000000,VALUE(MID($B822,2,20)),1000000000),1000000000))+ROW()/100000,"")</f>
        <v/>
      </c>
    </row>
    <row r="823">
      <c r="A823">
        <f>IF($B823="","",IFERROR(IF(INDEX('Per Invoice'!$C$2:$C$401,MATCH($B823,'Per Invoice'!$A$2:$A$401,0))=0,"",INDEX('Per Invoice'!$C$2:$C$401,MATCH($B823,'Per Invoice'!$A$2:$A$401,0))),""))</f>
        <v/>
      </c>
      <c r="G823" s="7">
        <f>IF($B823="","",F823*L823/100)</f>
        <v/>
      </c>
      <c r="K823" s="7" t="n"/>
      <c r="L823" s="7" t="n"/>
      <c r="M823" s="7">
        <f>IF($B823="","",L823*T823/100)</f>
        <v/>
      </c>
      <c r="N823" s="7">
        <f>IF($B823="","",L823-M823)</f>
        <v/>
      </c>
      <c r="O823" s="7">
        <f>IF($B823="","",N823-G823)</f>
        <v/>
      </c>
      <c r="R823" s="14" t="n"/>
      <c r="T823">
        <f>IF($B823="","",IF($W823=1,Settings!$C$6,Settings!$C$7)*100)</f>
        <v/>
      </c>
      <c r="U823">
        <f>IF($B823="","",IF(COUNTIF($B$2:$B823,$B823)=1,1,0))</f>
        <v/>
      </c>
      <c r="V823">
        <f>IF($U823=1,SUMPRODUCT(--($X$2:$X$1501&lt;$X823))+1,"")</f>
        <v/>
      </c>
      <c r="W823">
        <f>IF($B823="","",IF(OR($S823=TRUE(),$S823="TRUE"),1,0))</f>
        <v/>
      </c>
      <c r="X823">
        <f>IF($U823=1,IFERROR(IF(VALUE($B823)&lt;100000000,VALUE($B823),1000000000),IFERROR(IF(VALUE(MID($B823,2,20))&lt;100000000,VALUE(MID($B823,2,20)),1000000000),1000000000))+ROW()/100000,"")</f>
        <v/>
      </c>
    </row>
    <row r="824">
      <c r="A824">
        <f>IF($B824="","",IFERROR(IF(INDEX('Per Invoice'!$C$2:$C$401,MATCH($B824,'Per Invoice'!$A$2:$A$401,0))=0,"",INDEX('Per Invoice'!$C$2:$C$401,MATCH($B824,'Per Invoice'!$A$2:$A$401,0))),""))</f>
        <v/>
      </c>
      <c r="G824" s="7">
        <f>IF($B824="","",F824*L824/100)</f>
        <v/>
      </c>
      <c r="K824" s="7" t="n"/>
      <c r="L824" s="7" t="n"/>
      <c r="M824" s="7">
        <f>IF($B824="","",L824*T824/100)</f>
        <v/>
      </c>
      <c r="N824" s="7">
        <f>IF($B824="","",L824-M824)</f>
        <v/>
      </c>
      <c r="O824" s="7">
        <f>IF($B824="","",N824-G824)</f>
        <v/>
      </c>
      <c r="R824" s="14" t="n"/>
      <c r="T824">
        <f>IF($B824="","",IF($W824=1,Settings!$C$6,Settings!$C$7)*100)</f>
        <v/>
      </c>
      <c r="U824">
        <f>IF($B824="","",IF(COUNTIF($B$2:$B824,$B824)=1,1,0))</f>
        <v/>
      </c>
      <c r="V824">
        <f>IF($U824=1,SUMPRODUCT(--($X$2:$X$1501&lt;$X824))+1,"")</f>
        <v/>
      </c>
      <c r="W824">
        <f>IF($B824="","",IF(OR($S824=TRUE(),$S824="TRUE"),1,0))</f>
        <v/>
      </c>
      <c r="X824">
        <f>IF($U824=1,IFERROR(IF(VALUE($B824)&lt;100000000,VALUE($B824),1000000000),IFERROR(IF(VALUE(MID($B824,2,20))&lt;100000000,VALUE(MID($B824,2,20)),1000000000),1000000000))+ROW()/100000,"")</f>
        <v/>
      </c>
    </row>
    <row r="825">
      <c r="A825">
        <f>IF($B825="","",IFERROR(IF(INDEX('Per Invoice'!$C$2:$C$401,MATCH($B825,'Per Invoice'!$A$2:$A$401,0))=0,"",INDEX('Per Invoice'!$C$2:$C$401,MATCH($B825,'Per Invoice'!$A$2:$A$401,0))),""))</f>
        <v/>
      </c>
      <c r="G825" s="7">
        <f>IF($B825="","",F825*L825/100)</f>
        <v/>
      </c>
      <c r="K825" s="7" t="n"/>
      <c r="L825" s="7" t="n"/>
      <c r="M825" s="7">
        <f>IF($B825="","",L825*T825/100)</f>
        <v/>
      </c>
      <c r="N825" s="7">
        <f>IF($B825="","",L825-M825)</f>
        <v/>
      </c>
      <c r="O825" s="7">
        <f>IF($B825="","",N825-G825)</f>
        <v/>
      </c>
      <c r="R825" s="14" t="n"/>
      <c r="T825">
        <f>IF($B825="","",IF($W825=1,Settings!$C$6,Settings!$C$7)*100)</f>
        <v/>
      </c>
      <c r="U825">
        <f>IF($B825="","",IF(COUNTIF($B$2:$B825,$B825)=1,1,0))</f>
        <v/>
      </c>
      <c r="V825">
        <f>IF($U825=1,SUMPRODUCT(--($X$2:$X$1501&lt;$X825))+1,"")</f>
        <v/>
      </c>
      <c r="W825">
        <f>IF($B825="","",IF(OR($S825=TRUE(),$S825="TRUE"),1,0))</f>
        <v/>
      </c>
      <c r="X825">
        <f>IF($U825=1,IFERROR(IF(VALUE($B825)&lt;100000000,VALUE($B825),1000000000),IFERROR(IF(VALUE(MID($B825,2,20))&lt;100000000,VALUE(MID($B825,2,20)),1000000000),1000000000))+ROW()/100000,"")</f>
        <v/>
      </c>
    </row>
    <row r="826">
      <c r="A826">
        <f>IF($B826="","",IFERROR(IF(INDEX('Per Invoice'!$C$2:$C$401,MATCH($B826,'Per Invoice'!$A$2:$A$401,0))=0,"",INDEX('Per Invoice'!$C$2:$C$401,MATCH($B826,'Per Invoice'!$A$2:$A$401,0))),""))</f>
        <v/>
      </c>
      <c r="G826" s="7">
        <f>IF($B826="","",F826*L826/100)</f>
        <v/>
      </c>
      <c r="K826" s="7" t="n"/>
      <c r="L826" s="7" t="n"/>
      <c r="M826" s="7">
        <f>IF($B826="","",L826*T826/100)</f>
        <v/>
      </c>
      <c r="N826" s="7">
        <f>IF($B826="","",L826-M826)</f>
        <v/>
      </c>
      <c r="O826" s="7">
        <f>IF($B826="","",N826-G826)</f>
        <v/>
      </c>
      <c r="R826" s="14" t="n"/>
      <c r="T826">
        <f>IF($B826="","",IF($W826=1,Settings!$C$6,Settings!$C$7)*100)</f>
        <v/>
      </c>
      <c r="U826">
        <f>IF($B826="","",IF(COUNTIF($B$2:$B826,$B826)=1,1,0))</f>
        <v/>
      </c>
      <c r="V826">
        <f>IF($U826=1,SUMPRODUCT(--($X$2:$X$1501&lt;$X826))+1,"")</f>
        <v/>
      </c>
      <c r="W826">
        <f>IF($B826="","",IF(OR($S826=TRUE(),$S826="TRUE"),1,0))</f>
        <v/>
      </c>
      <c r="X826">
        <f>IF($U826=1,IFERROR(IF(VALUE($B826)&lt;100000000,VALUE($B826),1000000000),IFERROR(IF(VALUE(MID($B826,2,20))&lt;100000000,VALUE(MID($B826,2,20)),1000000000),1000000000))+ROW()/100000,"")</f>
        <v/>
      </c>
    </row>
    <row r="827">
      <c r="A827">
        <f>IF($B827="","",IFERROR(IF(INDEX('Per Invoice'!$C$2:$C$401,MATCH($B827,'Per Invoice'!$A$2:$A$401,0))=0,"",INDEX('Per Invoice'!$C$2:$C$401,MATCH($B827,'Per Invoice'!$A$2:$A$401,0))),""))</f>
        <v/>
      </c>
      <c r="G827" s="7">
        <f>IF($B827="","",F827*L827/100)</f>
        <v/>
      </c>
      <c r="K827" s="7" t="n"/>
      <c r="L827" s="7" t="n"/>
      <c r="M827" s="7">
        <f>IF($B827="","",L827*T827/100)</f>
        <v/>
      </c>
      <c r="N827" s="7">
        <f>IF($B827="","",L827-M827)</f>
        <v/>
      </c>
      <c r="O827" s="7">
        <f>IF($B827="","",N827-G827)</f>
        <v/>
      </c>
      <c r="R827" s="14" t="n"/>
      <c r="T827">
        <f>IF($B827="","",IF($W827=1,Settings!$C$6,Settings!$C$7)*100)</f>
        <v/>
      </c>
      <c r="U827">
        <f>IF($B827="","",IF(COUNTIF($B$2:$B827,$B827)=1,1,0))</f>
        <v/>
      </c>
      <c r="V827">
        <f>IF($U827=1,SUMPRODUCT(--($X$2:$X$1501&lt;$X827))+1,"")</f>
        <v/>
      </c>
      <c r="W827">
        <f>IF($B827="","",IF(OR($S827=TRUE(),$S827="TRUE"),1,0))</f>
        <v/>
      </c>
      <c r="X827">
        <f>IF($U827=1,IFERROR(IF(VALUE($B827)&lt;100000000,VALUE($B827),1000000000),IFERROR(IF(VALUE(MID($B827,2,20))&lt;100000000,VALUE(MID($B827,2,20)),1000000000),1000000000))+ROW()/100000,"")</f>
        <v/>
      </c>
    </row>
    <row r="828">
      <c r="A828">
        <f>IF($B828="","",IFERROR(IF(INDEX('Per Invoice'!$C$2:$C$401,MATCH($B828,'Per Invoice'!$A$2:$A$401,0))=0,"",INDEX('Per Invoice'!$C$2:$C$401,MATCH($B828,'Per Invoice'!$A$2:$A$401,0))),""))</f>
        <v/>
      </c>
      <c r="G828" s="7">
        <f>IF($B828="","",F828*L828/100)</f>
        <v/>
      </c>
      <c r="K828" s="7" t="n"/>
      <c r="L828" s="7" t="n"/>
      <c r="M828" s="7">
        <f>IF($B828="","",L828*T828/100)</f>
        <v/>
      </c>
      <c r="N828" s="7">
        <f>IF($B828="","",L828-M828)</f>
        <v/>
      </c>
      <c r="O828" s="7">
        <f>IF($B828="","",N828-G828)</f>
        <v/>
      </c>
      <c r="R828" s="14" t="n"/>
      <c r="T828">
        <f>IF($B828="","",IF($W828=1,Settings!$C$6,Settings!$C$7)*100)</f>
        <v/>
      </c>
      <c r="U828">
        <f>IF($B828="","",IF(COUNTIF($B$2:$B828,$B828)=1,1,0))</f>
        <v/>
      </c>
      <c r="V828">
        <f>IF($U828=1,SUMPRODUCT(--($X$2:$X$1501&lt;$X828))+1,"")</f>
        <v/>
      </c>
      <c r="W828">
        <f>IF($B828="","",IF(OR($S828=TRUE(),$S828="TRUE"),1,0))</f>
        <v/>
      </c>
      <c r="X828">
        <f>IF($U828=1,IFERROR(IF(VALUE($B828)&lt;100000000,VALUE($B828),1000000000),IFERROR(IF(VALUE(MID($B828,2,20))&lt;100000000,VALUE(MID($B828,2,20)),1000000000),1000000000))+ROW()/100000,"")</f>
        <v/>
      </c>
    </row>
    <row r="829">
      <c r="A829">
        <f>IF($B829="","",IFERROR(IF(INDEX('Per Invoice'!$C$2:$C$401,MATCH($B829,'Per Invoice'!$A$2:$A$401,0))=0,"",INDEX('Per Invoice'!$C$2:$C$401,MATCH($B829,'Per Invoice'!$A$2:$A$401,0))),""))</f>
        <v/>
      </c>
      <c r="G829" s="7">
        <f>IF($B829="","",F829*L829/100)</f>
        <v/>
      </c>
      <c r="K829" s="7" t="n"/>
      <c r="L829" s="7" t="n"/>
      <c r="M829" s="7">
        <f>IF($B829="","",L829*T829/100)</f>
        <v/>
      </c>
      <c r="N829" s="7">
        <f>IF($B829="","",L829-M829)</f>
        <v/>
      </c>
      <c r="O829" s="7">
        <f>IF($B829="","",N829-G829)</f>
        <v/>
      </c>
      <c r="R829" s="14" t="n"/>
      <c r="T829">
        <f>IF($B829="","",IF($W829=1,Settings!$C$6,Settings!$C$7)*100)</f>
        <v/>
      </c>
      <c r="U829">
        <f>IF($B829="","",IF(COUNTIF($B$2:$B829,$B829)=1,1,0))</f>
        <v/>
      </c>
      <c r="V829">
        <f>IF($U829=1,SUMPRODUCT(--($X$2:$X$1501&lt;$X829))+1,"")</f>
        <v/>
      </c>
      <c r="W829">
        <f>IF($B829="","",IF(OR($S829=TRUE(),$S829="TRUE"),1,0))</f>
        <v/>
      </c>
      <c r="X829">
        <f>IF($U829=1,IFERROR(IF(VALUE($B829)&lt;100000000,VALUE($B829),1000000000),IFERROR(IF(VALUE(MID($B829,2,20))&lt;100000000,VALUE(MID($B829,2,20)),1000000000),1000000000))+ROW()/100000,"")</f>
        <v/>
      </c>
    </row>
    <row r="830">
      <c r="A830">
        <f>IF($B830="","",IFERROR(IF(INDEX('Per Invoice'!$C$2:$C$401,MATCH($B830,'Per Invoice'!$A$2:$A$401,0))=0,"",INDEX('Per Invoice'!$C$2:$C$401,MATCH($B830,'Per Invoice'!$A$2:$A$401,0))),""))</f>
        <v/>
      </c>
      <c r="G830" s="7">
        <f>IF($B830="","",F830*L830/100)</f>
        <v/>
      </c>
      <c r="K830" s="7" t="n"/>
      <c r="L830" s="7" t="n"/>
      <c r="M830" s="7">
        <f>IF($B830="","",L830*T830/100)</f>
        <v/>
      </c>
      <c r="N830" s="7">
        <f>IF($B830="","",L830-M830)</f>
        <v/>
      </c>
      <c r="O830" s="7">
        <f>IF($B830="","",N830-G830)</f>
        <v/>
      </c>
      <c r="R830" s="14" t="n"/>
      <c r="T830">
        <f>IF($B830="","",IF($W830=1,Settings!$C$6,Settings!$C$7)*100)</f>
        <v/>
      </c>
      <c r="U830">
        <f>IF($B830="","",IF(COUNTIF($B$2:$B830,$B830)=1,1,0))</f>
        <v/>
      </c>
      <c r="V830">
        <f>IF($U830=1,SUMPRODUCT(--($X$2:$X$1501&lt;$X830))+1,"")</f>
        <v/>
      </c>
      <c r="W830">
        <f>IF($B830="","",IF(OR($S830=TRUE(),$S830="TRUE"),1,0))</f>
        <v/>
      </c>
      <c r="X830">
        <f>IF($U830=1,IFERROR(IF(VALUE($B830)&lt;100000000,VALUE($B830),1000000000),IFERROR(IF(VALUE(MID($B830,2,20))&lt;100000000,VALUE(MID($B830,2,20)),1000000000),1000000000))+ROW()/100000,"")</f>
        <v/>
      </c>
    </row>
    <row r="831">
      <c r="A831">
        <f>IF($B831="","",IFERROR(IF(INDEX('Per Invoice'!$C$2:$C$401,MATCH($B831,'Per Invoice'!$A$2:$A$401,0))=0,"",INDEX('Per Invoice'!$C$2:$C$401,MATCH($B831,'Per Invoice'!$A$2:$A$401,0))),""))</f>
        <v/>
      </c>
      <c r="G831" s="7">
        <f>IF($B831="","",F831*L831/100)</f>
        <v/>
      </c>
      <c r="K831" s="7" t="n"/>
      <c r="L831" s="7" t="n"/>
      <c r="M831" s="7">
        <f>IF($B831="","",L831*T831/100)</f>
        <v/>
      </c>
      <c r="N831" s="7">
        <f>IF($B831="","",L831-M831)</f>
        <v/>
      </c>
      <c r="O831" s="7">
        <f>IF($B831="","",N831-G831)</f>
        <v/>
      </c>
      <c r="R831" s="14" t="n"/>
      <c r="T831">
        <f>IF($B831="","",IF($W831=1,Settings!$C$6,Settings!$C$7)*100)</f>
        <v/>
      </c>
      <c r="U831">
        <f>IF($B831="","",IF(COUNTIF($B$2:$B831,$B831)=1,1,0))</f>
        <v/>
      </c>
      <c r="V831">
        <f>IF($U831=1,SUMPRODUCT(--($X$2:$X$1501&lt;$X831))+1,"")</f>
        <v/>
      </c>
      <c r="W831">
        <f>IF($B831="","",IF(OR($S831=TRUE(),$S831="TRUE"),1,0))</f>
        <v/>
      </c>
      <c r="X831">
        <f>IF($U831=1,IFERROR(IF(VALUE($B831)&lt;100000000,VALUE($B831),1000000000),IFERROR(IF(VALUE(MID($B831,2,20))&lt;100000000,VALUE(MID($B831,2,20)),1000000000),1000000000))+ROW()/100000,"")</f>
        <v/>
      </c>
    </row>
    <row r="832">
      <c r="A832">
        <f>IF($B832="","",IFERROR(IF(INDEX('Per Invoice'!$C$2:$C$401,MATCH($B832,'Per Invoice'!$A$2:$A$401,0))=0,"",INDEX('Per Invoice'!$C$2:$C$401,MATCH($B832,'Per Invoice'!$A$2:$A$401,0))),""))</f>
        <v/>
      </c>
      <c r="G832" s="7">
        <f>IF($B832="","",F832*L832/100)</f>
        <v/>
      </c>
      <c r="K832" s="7" t="n"/>
      <c r="L832" s="7" t="n"/>
      <c r="M832" s="7">
        <f>IF($B832="","",L832*T832/100)</f>
        <v/>
      </c>
      <c r="N832" s="7">
        <f>IF($B832="","",L832-M832)</f>
        <v/>
      </c>
      <c r="O832" s="7">
        <f>IF($B832="","",N832-G832)</f>
        <v/>
      </c>
      <c r="R832" s="14" t="n"/>
      <c r="T832">
        <f>IF($B832="","",IF($W832=1,Settings!$C$6,Settings!$C$7)*100)</f>
        <v/>
      </c>
      <c r="U832">
        <f>IF($B832="","",IF(COUNTIF($B$2:$B832,$B832)=1,1,0))</f>
        <v/>
      </c>
      <c r="V832">
        <f>IF($U832=1,SUMPRODUCT(--($X$2:$X$1501&lt;$X832))+1,"")</f>
        <v/>
      </c>
      <c r="W832">
        <f>IF($B832="","",IF(OR($S832=TRUE(),$S832="TRUE"),1,0))</f>
        <v/>
      </c>
      <c r="X832">
        <f>IF($U832=1,IFERROR(IF(VALUE($B832)&lt;100000000,VALUE($B832),1000000000),IFERROR(IF(VALUE(MID($B832,2,20))&lt;100000000,VALUE(MID($B832,2,20)),1000000000),1000000000))+ROW()/100000,"")</f>
        <v/>
      </c>
    </row>
    <row r="833">
      <c r="A833">
        <f>IF($B833="","",IFERROR(IF(INDEX('Per Invoice'!$C$2:$C$401,MATCH($B833,'Per Invoice'!$A$2:$A$401,0))=0,"",INDEX('Per Invoice'!$C$2:$C$401,MATCH($B833,'Per Invoice'!$A$2:$A$401,0))),""))</f>
        <v/>
      </c>
      <c r="G833" s="7">
        <f>IF($B833="","",F833*L833/100)</f>
        <v/>
      </c>
      <c r="K833" s="7" t="n"/>
      <c r="L833" s="7" t="n"/>
      <c r="M833" s="7">
        <f>IF($B833="","",L833*T833/100)</f>
        <v/>
      </c>
      <c r="N833" s="7">
        <f>IF($B833="","",L833-M833)</f>
        <v/>
      </c>
      <c r="O833" s="7">
        <f>IF($B833="","",N833-G833)</f>
        <v/>
      </c>
      <c r="R833" s="14" t="n"/>
      <c r="T833">
        <f>IF($B833="","",IF($W833=1,Settings!$C$6,Settings!$C$7)*100)</f>
        <v/>
      </c>
      <c r="U833">
        <f>IF($B833="","",IF(COUNTIF($B$2:$B833,$B833)=1,1,0))</f>
        <v/>
      </c>
      <c r="V833">
        <f>IF($U833=1,SUMPRODUCT(--($X$2:$X$1501&lt;$X833))+1,"")</f>
        <v/>
      </c>
      <c r="W833">
        <f>IF($B833="","",IF(OR($S833=TRUE(),$S833="TRUE"),1,0))</f>
        <v/>
      </c>
      <c r="X833">
        <f>IF($U833=1,IFERROR(IF(VALUE($B833)&lt;100000000,VALUE($B833),1000000000),IFERROR(IF(VALUE(MID($B833,2,20))&lt;100000000,VALUE(MID($B833,2,20)),1000000000),1000000000))+ROW()/100000,"")</f>
        <v/>
      </c>
    </row>
    <row r="834">
      <c r="A834">
        <f>IF($B834="","",IFERROR(IF(INDEX('Per Invoice'!$C$2:$C$401,MATCH($B834,'Per Invoice'!$A$2:$A$401,0))=0,"",INDEX('Per Invoice'!$C$2:$C$401,MATCH($B834,'Per Invoice'!$A$2:$A$401,0))),""))</f>
        <v/>
      </c>
      <c r="G834" s="7">
        <f>IF($B834="","",F834*L834/100)</f>
        <v/>
      </c>
      <c r="K834" s="7" t="n"/>
      <c r="L834" s="7" t="n"/>
      <c r="M834" s="7">
        <f>IF($B834="","",L834*T834/100)</f>
        <v/>
      </c>
      <c r="N834" s="7">
        <f>IF($B834="","",L834-M834)</f>
        <v/>
      </c>
      <c r="O834" s="7">
        <f>IF($B834="","",N834-G834)</f>
        <v/>
      </c>
      <c r="R834" s="14" t="n"/>
      <c r="T834">
        <f>IF($B834="","",IF($W834=1,Settings!$C$6,Settings!$C$7)*100)</f>
        <v/>
      </c>
      <c r="U834">
        <f>IF($B834="","",IF(COUNTIF($B$2:$B834,$B834)=1,1,0))</f>
        <v/>
      </c>
      <c r="V834">
        <f>IF($U834=1,SUMPRODUCT(--($X$2:$X$1501&lt;$X834))+1,"")</f>
        <v/>
      </c>
      <c r="W834">
        <f>IF($B834="","",IF(OR($S834=TRUE(),$S834="TRUE"),1,0))</f>
        <v/>
      </c>
      <c r="X834">
        <f>IF($U834=1,IFERROR(IF(VALUE($B834)&lt;100000000,VALUE($B834),1000000000),IFERROR(IF(VALUE(MID($B834,2,20))&lt;100000000,VALUE(MID($B834,2,20)),1000000000),1000000000))+ROW()/100000,"")</f>
        <v/>
      </c>
    </row>
    <row r="835">
      <c r="A835">
        <f>IF($B835="","",IFERROR(IF(INDEX('Per Invoice'!$C$2:$C$401,MATCH($B835,'Per Invoice'!$A$2:$A$401,0))=0,"",INDEX('Per Invoice'!$C$2:$C$401,MATCH($B835,'Per Invoice'!$A$2:$A$401,0))),""))</f>
        <v/>
      </c>
      <c r="G835" s="7">
        <f>IF($B835="","",F835*L835/100)</f>
        <v/>
      </c>
      <c r="K835" s="7" t="n"/>
      <c r="L835" s="7" t="n"/>
      <c r="M835" s="7">
        <f>IF($B835="","",L835*T835/100)</f>
        <v/>
      </c>
      <c r="N835" s="7">
        <f>IF($B835="","",L835-M835)</f>
        <v/>
      </c>
      <c r="O835" s="7">
        <f>IF($B835="","",N835-G835)</f>
        <v/>
      </c>
      <c r="R835" s="14" t="n"/>
      <c r="T835">
        <f>IF($B835="","",IF($W835=1,Settings!$C$6,Settings!$C$7)*100)</f>
        <v/>
      </c>
      <c r="U835">
        <f>IF($B835="","",IF(COUNTIF($B$2:$B835,$B835)=1,1,0))</f>
        <v/>
      </c>
      <c r="V835">
        <f>IF($U835=1,SUMPRODUCT(--($X$2:$X$1501&lt;$X835))+1,"")</f>
        <v/>
      </c>
      <c r="W835">
        <f>IF($B835="","",IF(OR($S835=TRUE(),$S835="TRUE"),1,0))</f>
        <v/>
      </c>
      <c r="X835">
        <f>IF($U835=1,IFERROR(IF(VALUE($B835)&lt;100000000,VALUE($B835),1000000000),IFERROR(IF(VALUE(MID($B835,2,20))&lt;100000000,VALUE(MID($B835,2,20)),1000000000),1000000000))+ROW()/100000,"")</f>
        <v/>
      </c>
    </row>
    <row r="836">
      <c r="A836">
        <f>IF($B836="","",IFERROR(IF(INDEX('Per Invoice'!$C$2:$C$401,MATCH($B836,'Per Invoice'!$A$2:$A$401,0))=0,"",INDEX('Per Invoice'!$C$2:$C$401,MATCH($B836,'Per Invoice'!$A$2:$A$401,0))),""))</f>
        <v/>
      </c>
      <c r="G836" s="7">
        <f>IF($B836="","",F836*L836/100)</f>
        <v/>
      </c>
      <c r="K836" s="7" t="n"/>
      <c r="L836" s="7" t="n"/>
      <c r="M836" s="7">
        <f>IF($B836="","",L836*T836/100)</f>
        <v/>
      </c>
      <c r="N836" s="7">
        <f>IF($B836="","",L836-M836)</f>
        <v/>
      </c>
      <c r="O836" s="7">
        <f>IF($B836="","",N836-G836)</f>
        <v/>
      </c>
      <c r="R836" s="14" t="n"/>
      <c r="T836">
        <f>IF($B836="","",IF($W836=1,Settings!$C$6,Settings!$C$7)*100)</f>
        <v/>
      </c>
      <c r="U836">
        <f>IF($B836="","",IF(COUNTIF($B$2:$B836,$B836)=1,1,0))</f>
        <v/>
      </c>
      <c r="V836">
        <f>IF($U836=1,SUMPRODUCT(--($X$2:$X$1501&lt;$X836))+1,"")</f>
        <v/>
      </c>
      <c r="W836">
        <f>IF($B836="","",IF(OR($S836=TRUE(),$S836="TRUE"),1,0))</f>
        <v/>
      </c>
      <c r="X836">
        <f>IF($U836=1,IFERROR(IF(VALUE($B836)&lt;100000000,VALUE($B836),1000000000),IFERROR(IF(VALUE(MID($B836,2,20))&lt;100000000,VALUE(MID($B836,2,20)),1000000000),1000000000))+ROW()/100000,"")</f>
        <v/>
      </c>
    </row>
    <row r="837">
      <c r="A837">
        <f>IF($B837="","",IFERROR(IF(INDEX('Per Invoice'!$C$2:$C$401,MATCH($B837,'Per Invoice'!$A$2:$A$401,0))=0,"",INDEX('Per Invoice'!$C$2:$C$401,MATCH($B837,'Per Invoice'!$A$2:$A$401,0))),""))</f>
        <v/>
      </c>
      <c r="G837" s="7">
        <f>IF($B837="","",F837*L837/100)</f>
        <v/>
      </c>
      <c r="K837" s="7" t="n"/>
      <c r="L837" s="7" t="n"/>
      <c r="M837" s="7">
        <f>IF($B837="","",L837*T837/100)</f>
        <v/>
      </c>
      <c r="N837" s="7">
        <f>IF($B837="","",L837-M837)</f>
        <v/>
      </c>
      <c r="O837" s="7">
        <f>IF($B837="","",N837-G837)</f>
        <v/>
      </c>
      <c r="R837" s="14" t="n"/>
      <c r="T837">
        <f>IF($B837="","",IF($W837=1,Settings!$C$6,Settings!$C$7)*100)</f>
        <v/>
      </c>
      <c r="U837">
        <f>IF($B837="","",IF(COUNTIF($B$2:$B837,$B837)=1,1,0))</f>
        <v/>
      </c>
      <c r="V837">
        <f>IF($U837=1,SUMPRODUCT(--($X$2:$X$1501&lt;$X837))+1,"")</f>
        <v/>
      </c>
      <c r="W837">
        <f>IF($B837="","",IF(OR($S837=TRUE(),$S837="TRUE"),1,0))</f>
        <v/>
      </c>
      <c r="X837">
        <f>IF($U837=1,IFERROR(IF(VALUE($B837)&lt;100000000,VALUE($B837),1000000000),IFERROR(IF(VALUE(MID($B837,2,20))&lt;100000000,VALUE(MID($B837,2,20)),1000000000),1000000000))+ROW()/100000,"")</f>
        <v/>
      </c>
    </row>
    <row r="838">
      <c r="A838">
        <f>IF($B838="","",IFERROR(IF(INDEX('Per Invoice'!$C$2:$C$401,MATCH($B838,'Per Invoice'!$A$2:$A$401,0))=0,"",INDEX('Per Invoice'!$C$2:$C$401,MATCH($B838,'Per Invoice'!$A$2:$A$401,0))),""))</f>
        <v/>
      </c>
      <c r="G838" s="7">
        <f>IF($B838="","",F838*L838/100)</f>
        <v/>
      </c>
      <c r="K838" s="7" t="n"/>
      <c r="L838" s="7" t="n"/>
      <c r="M838" s="7">
        <f>IF($B838="","",L838*T838/100)</f>
        <v/>
      </c>
      <c r="N838" s="7">
        <f>IF($B838="","",L838-M838)</f>
        <v/>
      </c>
      <c r="O838" s="7">
        <f>IF($B838="","",N838-G838)</f>
        <v/>
      </c>
      <c r="R838" s="14" t="n"/>
      <c r="T838">
        <f>IF($B838="","",IF($W838=1,Settings!$C$6,Settings!$C$7)*100)</f>
        <v/>
      </c>
      <c r="U838">
        <f>IF($B838="","",IF(COUNTIF($B$2:$B838,$B838)=1,1,0))</f>
        <v/>
      </c>
      <c r="V838">
        <f>IF($U838=1,SUMPRODUCT(--($X$2:$X$1501&lt;$X838))+1,"")</f>
        <v/>
      </c>
      <c r="W838">
        <f>IF($B838="","",IF(OR($S838=TRUE(),$S838="TRUE"),1,0))</f>
        <v/>
      </c>
      <c r="X838">
        <f>IF($U838=1,IFERROR(IF(VALUE($B838)&lt;100000000,VALUE($B838),1000000000),IFERROR(IF(VALUE(MID($B838,2,20))&lt;100000000,VALUE(MID($B838,2,20)),1000000000),1000000000))+ROW()/100000,"")</f>
        <v/>
      </c>
    </row>
    <row r="839">
      <c r="A839">
        <f>IF($B839="","",IFERROR(IF(INDEX('Per Invoice'!$C$2:$C$401,MATCH($B839,'Per Invoice'!$A$2:$A$401,0))=0,"",INDEX('Per Invoice'!$C$2:$C$401,MATCH($B839,'Per Invoice'!$A$2:$A$401,0))),""))</f>
        <v/>
      </c>
      <c r="G839" s="7">
        <f>IF($B839="","",F839*L839/100)</f>
        <v/>
      </c>
      <c r="K839" s="7" t="n"/>
      <c r="L839" s="7" t="n"/>
      <c r="M839" s="7">
        <f>IF($B839="","",L839*T839/100)</f>
        <v/>
      </c>
      <c r="N839" s="7">
        <f>IF($B839="","",L839-M839)</f>
        <v/>
      </c>
      <c r="O839" s="7">
        <f>IF($B839="","",N839-G839)</f>
        <v/>
      </c>
      <c r="R839" s="14" t="n"/>
      <c r="T839">
        <f>IF($B839="","",IF($W839=1,Settings!$C$6,Settings!$C$7)*100)</f>
        <v/>
      </c>
      <c r="U839">
        <f>IF($B839="","",IF(COUNTIF($B$2:$B839,$B839)=1,1,0))</f>
        <v/>
      </c>
      <c r="V839">
        <f>IF($U839=1,SUMPRODUCT(--($X$2:$X$1501&lt;$X839))+1,"")</f>
        <v/>
      </c>
      <c r="W839">
        <f>IF($B839="","",IF(OR($S839=TRUE(),$S839="TRUE"),1,0))</f>
        <v/>
      </c>
      <c r="X839">
        <f>IF($U839=1,IFERROR(IF(VALUE($B839)&lt;100000000,VALUE($B839),1000000000),IFERROR(IF(VALUE(MID($B839,2,20))&lt;100000000,VALUE(MID($B839,2,20)),1000000000),1000000000))+ROW()/100000,"")</f>
        <v/>
      </c>
    </row>
    <row r="840">
      <c r="A840">
        <f>IF($B840="","",IFERROR(IF(INDEX('Per Invoice'!$C$2:$C$401,MATCH($B840,'Per Invoice'!$A$2:$A$401,0))=0,"",INDEX('Per Invoice'!$C$2:$C$401,MATCH($B840,'Per Invoice'!$A$2:$A$401,0))),""))</f>
        <v/>
      </c>
      <c r="G840" s="7">
        <f>IF($B840="","",F840*L840/100)</f>
        <v/>
      </c>
      <c r="K840" s="7" t="n"/>
      <c r="L840" s="7" t="n"/>
      <c r="M840" s="7">
        <f>IF($B840="","",L840*T840/100)</f>
        <v/>
      </c>
      <c r="N840" s="7">
        <f>IF($B840="","",L840-M840)</f>
        <v/>
      </c>
      <c r="O840" s="7">
        <f>IF($B840="","",N840-G840)</f>
        <v/>
      </c>
      <c r="R840" s="14" t="n"/>
      <c r="T840">
        <f>IF($B840="","",IF($W840=1,Settings!$C$6,Settings!$C$7)*100)</f>
        <v/>
      </c>
      <c r="U840">
        <f>IF($B840="","",IF(COUNTIF($B$2:$B840,$B840)=1,1,0))</f>
        <v/>
      </c>
      <c r="V840">
        <f>IF($U840=1,SUMPRODUCT(--($X$2:$X$1501&lt;$X840))+1,"")</f>
        <v/>
      </c>
      <c r="W840">
        <f>IF($B840="","",IF(OR($S840=TRUE(),$S840="TRUE"),1,0))</f>
        <v/>
      </c>
      <c r="X840">
        <f>IF($U840=1,IFERROR(IF(VALUE($B840)&lt;100000000,VALUE($B840),1000000000),IFERROR(IF(VALUE(MID($B840,2,20))&lt;100000000,VALUE(MID($B840,2,20)),1000000000),1000000000))+ROW()/100000,"")</f>
        <v/>
      </c>
    </row>
    <row r="841">
      <c r="A841">
        <f>IF($B841="","",IFERROR(IF(INDEX('Per Invoice'!$C$2:$C$401,MATCH($B841,'Per Invoice'!$A$2:$A$401,0))=0,"",INDEX('Per Invoice'!$C$2:$C$401,MATCH($B841,'Per Invoice'!$A$2:$A$401,0))),""))</f>
        <v/>
      </c>
      <c r="G841" s="7">
        <f>IF($B841="","",F841*L841/100)</f>
        <v/>
      </c>
      <c r="K841" s="7" t="n"/>
      <c r="L841" s="7" t="n"/>
      <c r="M841" s="7">
        <f>IF($B841="","",L841*T841/100)</f>
        <v/>
      </c>
      <c r="N841" s="7">
        <f>IF($B841="","",L841-M841)</f>
        <v/>
      </c>
      <c r="O841" s="7">
        <f>IF($B841="","",N841-G841)</f>
        <v/>
      </c>
      <c r="R841" s="14" t="n"/>
      <c r="T841">
        <f>IF($B841="","",IF($W841=1,Settings!$C$6,Settings!$C$7)*100)</f>
        <v/>
      </c>
      <c r="U841">
        <f>IF($B841="","",IF(COUNTIF($B$2:$B841,$B841)=1,1,0))</f>
        <v/>
      </c>
      <c r="V841">
        <f>IF($U841=1,SUMPRODUCT(--($X$2:$X$1501&lt;$X841))+1,"")</f>
        <v/>
      </c>
      <c r="W841">
        <f>IF($B841="","",IF(OR($S841=TRUE(),$S841="TRUE"),1,0))</f>
        <v/>
      </c>
      <c r="X841">
        <f>IF($U841=1,IFERROR(IF(VALUE($B841)&lt;100000000,VALUE($B841),1000000000),IFERROR(IF(VALUE(MID($B841,2,20))&lt;100000000,VALUE(MID($B841,2,20)),1000000000),1000000000))+ROW()/100000,"")</f>
        <v/>
      </c>
    </row>
    <row r="842">
      <c r="A842">
        <f>IF($B842="","",IFERROR(IF(INDEX('Per Invoice'!$C$2:$C$401,MATCH($B842,'Per Invoice'!$A$2:$A$401,0))=0,"",INDEX('Per Invoice'!$C$2:$C$401,MATCH($B842,'Per Invoice'!$A$2:$A$401,0))),""))</f>
        <v/>
      </c>
      <c r="G842" s="7">
        <f>IF($B842="","",F842*L842/100)</f>
        <v/>
      </c>
      <c r="K842" s="7" t="n"/>
      <c r="L842" s="7" t="n"/>
      <c r="M842" s="7">
        <f>IF($B842="","",L842*T842/100)</f>
        <v/>
      </c>
      <c r="N842" s="7">
        <f>IF($B842="","",L842-M842)</f>
        <v/>
      </c>
      <c r="O842" s="7">
        <f>IF($B842="","",N842-G842)</f>
        <v/>
      </c>
      <c r="R842" s="14" t="n"/>
      <c r="T842">
        <f>IF($B842="","",IF($W842=1,Settings!$C$6,Settings!$C$7)*100)</f>
        <v/>
      </c>
      <c r="U842">
        <f>IF($B842="","",IF(COUNTIF($B$2:$B842,$B842)=1,1,0))</f>
        <v/>
      </c>
      <c r="V842">
        <f>IF($U842=1,SUMPRODUCT(--($X$2:$X$1501&lt;$X842))+1,"")</f>
        <v/>
      </c>
      <c r="W842">
        <f>IF($B842="","",IF(OR($S842=TRUE(),$S842="TRUE"),1,0))</f>
        <v/>
      </c>
      <c r="X842">
        <f>IF($U842=1,IFERROR(IF(VALUE($B842)&lt;100000000,VALUE($B842),1000000000),IFERROR(IF(VALUE(MID($B842,2,20))&lt;100000000,VALUE(MID($B842,2,20)),1000000000),1000000000))+ROW()/100000,"")</f>
        <v/>
      </c>
    </row>
    <row r="843">
      <c r="A843">
        <f>IF($B843="","",IFERROR(IF(INDEX('Per Invoice'!$C$2:$C$401,MATCH($B843,'Per Invoice'!$A$2:$A$401,0))=0,"",INDEX('Per Invoice'!$C$2:$C$401,MATCH($B843,'Per Invoice'!$A$2:$A$401,0))),""))</f>
        <v/>
      </c>
      <c r="G843" s="7">
        <f>IF($B843="","",F843*L843/100)</f>
        <v/>
      </c>
      <c r="K843" s="7" t="n"/>
      <c r="L843" s="7" t="n"/>
      <c r="M843" s="7">
        <f>IF($B843="","",L843*T843/100)</f>
        <v/>
      </c>
      <c r="N843" s="7">
        <f>IF($B843="","",L843-M843)</f>
        <v/>
      </c>
      <c r="O843" s="7">
        <f>IF($B843="","",N843-G843)</f>
        <v/>
      </c>
      <c r="R843" s="14" t="n"/>
      <c r="T843">
        <f>IF($B843="","",IF($W843=1,Settings!$C$6,Settings!$C$7)*100)</f>
        <v/>
      </c>
      <c r="U843">
        <f>IF($B843="","",IF(COUNTIF($B$2:$B843,$B843)=1,1,0))</f>
        <v/>
      </c>
      <c r="V843">
        <f>IF($U843=1,SUMPRODUCT(--($X$2:$X$1501&lt;$X843))+1,"")</f>
        <v/>
      </c>
      <c r="W843">
        <f>IF($B843="","",IF(OR($S843=TRUE(),$S843="TRUE"),1,0))</f>
        <v/>
      </c>
      <c r="X843">
        <f>IF($U843=1,IFERROR(IF(VALUE($B843)&lt;100000000,VALUE($B843),1000000000),IFERROR(IF(VALUE(MID($B843,2,20))&lt;100000000,VALUE(MID($B843,2,20)),1000000000),1000000000))+ROW()/100000,"")</f>
        <v/>
      </c>
    </row>
    <row r="844">
      <c r="A844">
        <f>IF($B844="","",IFERROR(IF(INDEX('Per Invoice'!$C$2:$C$401,MATCH($B844,'Per Invoice'!$A$2:$A$401,0))=0,"",INDEX('Per Invoice'!$C$2:$C$401,MATCH($B844,'Per Invoice'!$A$2:$A$401,0))),""))</f>
        <v/>
      </c>
      <c r="G844" s="7">
        <f>IF($B844="","",F844*L844/100)</f>
        <v/>
      </c>
      <c r="K844" s="7" t="n"/>
      <c r="L844" s="7" t="n"/>
      <c r="M844" s="7">
        <f>IF($B844="","",L844*T844/100)</f>
        <v/>
      </c>
      <c r="N844" s="7">
        <f>IF($B844="","",L844-M844)</f>
        <v/>
      </c>
      <c r="O844" s="7">
        <f>IF($B844="","",N844-G844)</f>
        <v/>
      </c>
      <c r="R844" s="14" t="n"/>
      <c r="T844">
        <f>IF($B844="","",IF($W844=1,Settings!$C$6,Settings!$C$7)*100)</f>
        <v/>
      </c>
      <c r="U844">
        <f>IF($B844="","",IF(COUNTIF($B$2:$B844,$B844)=1,1,0))</f>
        <v/>
      </c>
      <c r="V844">
        <f>IF($U844=1,SUMPRODUCT(--($X$2:$X$1501&lt;$X844))+1,"")</f>
        <v/>
      </c>
      <c r="W844">
        <f>IF($B844="","",IF(OR($S844=TRUE(),$S844="TRUE"),1,0))</f>
        <v/>
      </c>
      <c r="X844">
        <f>IF($U844=1,IFERROR(IF(VALUE($B844)&lt;100000000,VALUE($B844),1000000000),IFERROR(IF(VALUE(MID($B844,2,20))&lt;100000000,VALUE(MID($B844,2,20)),1000000000),1000000000))+ROW()/100000,"")</f>
        <v/>
      </c>
    </row>
    <row r="845">
      <c r="A845">
        <f>IF($B845="","",IFERROR(IF(INDEX('Per Invoice'!$C$2:$C$401,MATCH($B845,'Per Invoice'!$A$2:$A$401,0))=0,"",INDEX('Per Invoice'!$C$2:$C$401,MATCH($B845,'Per Invoice'!$A$2:$A$401,0))),""))</f>
        <v/>
      </c>
      <c r="G845" s="7">
        <f>IF($B845="","",F845*L845/100)</f>
        <v/>
      </c>
      <c r="K845" s="7" t="n"/>
      <c r="L845" s="7" t="n"/>
      <c r="M845" s="7">
        <f>IF($B845="","",L845*T845/100)</f>
        <v/>
      </c>
      <c r="N845" s="7">
        <f>IF($B845="","",L845-M845)</f>
        <v/>
      </c>
      <c r="O845" s="7">
        <f>IF($B845="","",N845-G845)</f>
        <v/>
      </c>
      <c r="R845" s="14" t="n"/>
      <c r="T845">
        <f>IF($B845="","",IF($W845=1,Settings!$C$6,Settings!$C$7)*100)</f>
        <v/>
      </c>
      <c r="U845">
        <f>IF($B845="","",IF(COUNTIF($B$2:$B845,$B845)=1,1,0))</f>
        <v/>
      </c>
      <c r="V845">
        <f>IF($U845=1,SUMPRODUCT(--($X$2:$X$1501&lt;$X845))+1,"")</f>
        <v/>
      </c>
      <c r="W845">
        <f>IF($B845="","",IF(OR($S845=TRUE(),$S845="TRUE"),1,0))</f>
        <v/>
      </c>
      <c r="X845">
        <f>IF($U845=1,IFERROR(IF(VALUE($B845)&lt;100000000,VALUE($B845),1000000000),IFERROR(IF(VALUE(MID($B845,2,20))&lt;100000000,VALUE(MID($B845,2,20)),1000000000),1000000000))+ROW()/100000,"")</f>
        <v/>
      </c>
    </row>
    <row r="846">
      <c r="A846">
        <f>IF($B846="","",IFERROR(IF(INDEX('Per Invoice'!$C$2:$C$401,MATCH($B846,'Per Invoice'!$A$2:$A$401,0))=0,"",INDEX('Per Invoice'!$C$2:$C$401,MATCH($B846,'Per Invoice'!$A$2:$A$401,0))),""))</f>
        <v/>
      </c>
      <c r="G846" s="7">
        <f>IF($B846="","",F846*L846/100)</f>
        <v/>
      </c>
      <c r="K846" s="7" t="n"/>
      <c r="L846" s="7" t="n"/>
      <c r="M846" s="7">
        <f>IF($B846="","",L846*T846/100)</f>
        <v/>
      </c>
      <c r="N846" s="7">
        <f>IF($B846="","",L846-M846)</f>
        <v/>
      </c>
      <c r="O846" s="7">
        <f>IF($B846="","",N846-G846)</f>
        <v/>
      </c>
      <c r="R846" s="14" t="n"/>
      <c r="T846">
        <f>IF($B846="","",IF($W846=1,Settings!$C$6,Settings!$C$7)*100)</f>
        <v/>
      </c>
      <c r="U846">
        <f>IF($B846="","",IF(COUNTIF($B$2:$B846,$B846)=1,1,0))</f>
        <v/>
      </c>
      <c r="V846">
        <f>IF($U846=1,SUMPRODUCT(--($X$2:$X$1501&lt;$X846))+1,"")</f>
        <v/>
      </c>
      <c r="W846">
        <f>IF($B846="","",IF(OR($S846=TRUE(),$S846="TRUE"),1,0))</f>
        <v/>
      </c>
      <c r="X846">
        <f>IF($U846=1,IFERROR(IF(VALUE($B846)&lt;100000000,VALUE($B846),1000000000),IFERROR(IF(VALUE(MID($B846,2,20))&lt;100000000,VALUE(MID($B846,2,20)),1000000000),1000000000))+ROW()/100000,"")</f>
        <v/>
      </c>
    </row>
    <row r="847">
      <c r="A847">
        <f>IF($B847="","",IFERROR(IF(INDEX('Per Invoice'!$C$2:$C$401,MATCH($B847,'Per Invoice'!$A$2:$A$401,0))=0,"",INDEX('Per Invoice'!$C$2:$C$401,MATCH($B847,'Per Invoice'!$A$2:$A$401,0))),""))</f>
        <v/>
      </c>
      <c r="G847" s="7">
        <f>IF($B847="","",F847*L847/100)</f>
        <v/>
      </c>
      <c r="K847" s="7" t="n"/>
      <c r="L847" s="7" t="n"/>
      <c r="M847" s="7">
        <f>IF($B847="","",L847*T847/100)</f>
        <v/>
      </c>
      <c r="N847" s="7">
        <f>IF($B847="","",L847-M847)</f>
        <v/>
      </c>
      <c r="O847" s="7">
        <f>IF($B847="","",N847-G847)</f>
        <v/>
      </c>
      <c r="R847" s="14" t="n"/>
      <c r="T847">
        <f>IF($B847="","",IF($W847=1,Settings!$C$6,Settings!$C$7)*100)</f>
        <v/>
      </c>
      <c r="U847">
        <f>IF($B847="","",IF(COUNTIF($B$2:$B847,$B847)=1,1,0))</f>
        <v/>
      </c>
      <c r="V847">
        <f>IF($U847=1,SUMPRODUCT(--($X$2:$X$1501&lt;$X847))+1,"")</f>
        <v/>
      </c>
      <c r="W847">
        <f>IF($B847="","",IF(OR($S847=TRUE(),$S847="TRUE"),1,0))</f>
        <v/>
      </c>
      <c r="X847">
        <f>IF($U847=1,IFERROR(IF(VALUE($B847)&lt;100000000,VALUE($B847),1000000000),IFERROR(IF(VALUE(MID($B847,2,20))&lt;100000000,VALUE(MID($B847,2,20)),1000000000),1000000000))+ROW()/100000,"")</f>
        <v/>
      </c>
    </row>
    <row r="848">
      <c r="A848">
        <f>IF($B848="","",IFERROR(IF(INDEX('Per Invoice'!$C$2:$C$401,MATCH($B848,'Per Invoice'!$A$2:$A$401,0))=0,"",INDEX('Per Invoice'!$C$2:$C$401,MATCH($B848,'Per Invoice'!$A$2:$A$401,0))),""))</f>
        <v/>
      </c>
      <c r="G848" s="7">
        <f>IF($B848="","",F848*L848/100)</f>
        <v/>
      </c>
      <c r="K848" s="7" t="n"/>
      <c r="L848" s="7" t="n"/>
      <c r="M848" s="7">
        <f>IF($B848="","",L848*T848/100)</f>
        <v/>
      </c>
      <c r="N848" s="7">
        <f>IF($B848="","",L848-M848)</f>
        <v/>
      </c>
      <c r="O848" s="7">
        <f>IF($B848="","",N848-G848)</f>
        <v/>
      </c>
      <c r="R848" s="14" t="n"/>
      <c r="T848">
        <f>IF($B848="","",IF($W848=1,Settings!$C$6,Settings!$C$7)*100)</f>
        <v/>
      </c>
      <c r="U848">
        <f>IF($B848="","",IF(COUNTIF($B$2:$B848,$B848)=1,1,0))</f>
        <v/>
      </c>
      <c r="V848">
        <f>IF($U848=1,SUMPRODUCT(--($X$2:$X$1501&lt;$X848))+1,"")</f>
        <v/>
      </c>
      <c r="W848">
        <f>IF($B848="","",IF(OR($S848=TRUE(),$S848="TRUE"),1,0))</f>
        <v/>
      </c>
      <c r="X848">
        <f>IF($U848=1,IFERROR(IF(VALUE($B848)&lt;100000000,VALUE($B848),1000000000),IFERROR(IF(VALUE(MID($B848,2,20))&lt;100000000,VALUE(MID($B848,2,20)),1000000000),1000000000))+ROW()/100000,"")</f>
        <v/>
      </c>
    </row>
    <row r="849">
      <c r="A849">
        <f>IF($B849="","",IFERROR(IF(INDEX('Per Invoice'!$C$2:$C$401,MATCH($B849,'Per Invoice'!$A$2:$A$401,0))=0,"",INDEX('Per Invoice'!$C$2:$C$401,MATCH($B849,'Per Invoice'!$A$2:$A$401,0))),""))</f>
        <v/>
      </c>
      <c r="G849" s="7">
        <f>IF($B849="","",F849*L849/100)</f>
        <v/>
      </c>
      <c r="K849" s="7" t="n"/>
      <c r="L849" s="7" t="n"/>
      <c r="M849" s="7">
        <f>IF($B849="","",L849*T849/100)</f>
        <v/>
      </c>
      <c r="N849" s="7">
        <f>IF($B849="","",L849-M849)</f>
        <v/>
      </c>
      <c r="O849" s="7">
        <f>IF($B849="","",N849-G849)</f>
        <v/>
      </c>
      <c r="R849" s="14" t="n"/>
      <c r="T849">
        <f>IF($B849="","",IF($W849=1,Settings!$C$6,Settings!$C$7)*100)</f>
        <v/>
      </c>
      <c r="U849">
        <f>IF($B849="","",IF(COUNTIF($B$2:$B849,$B849)=1,1,0))</f>
        <v/>
      </c>
      <c r="V849">
        <f>IF($U849=1,SUMPRODUCT(--($X$2:$X$1501&lt;$X849))+1,"")</f>
        <v/>
      </c>
      <c r="W849">
        <f>IF($B849="","",IF(OR($S849=TRUE(),$S849="TRUE"),1,0))</f>
        <v/>
      </c>
      <c r="X849">
        <f>IF($U849=1,IFERROR(IF(VALUE($B849)&lt;100000000,VALUE($B849),1000000000),IFERROR(IF(VALUE(MID($B849,2,20))&lt;100000000,VALUE(MID($B849,2,20)),1000000000),1000000000))+ROW()/100000,"")</f>
        <v/>
      </c>
    </row>
    <row r="850">
      <c r="A850">
        <f>IF($B850="","",IFERROR(IF(INDEX('Per Invoice'!$C$2:$C$401,MATCH($B850,'Per Invoice'!$A$2:$A$401,0))=0,"",INDEX('Per Invoice'!$C$2:$C$401,MATCH($B850,'Per Invoice'!$A$2:$A$401,0))),""))</f>
        <v/>
      </c>
      <c r="G850" s="7">
        <f>IF($B850="","",F850*L850/100)</f>
        <v/>
      </c>
      <c r="K850" s="7" t="n"/>
      <c r="L850" s="7" t="n"/>
      <c r="M850" s="7">
        <f>IF($B850="","",L850*T850/100)</f>
        <v/>
      </c>
      <c r="N850" s="7">
        <f>IF($B850="","",L850-M850)</f>
        <v/>
      </c>
      <c r="O850" s="7">
        <f>IF($B850="","",N850-G850)</f>
        <v/>
      </c>
      <c r="R850" s="14" t="n"/>
      <c r="T850">
        <f>IF($B850="","",IF($W850=1,Settings!$C$6,Settings!$C$7)*100)</f>
        <v/>
      </c>
      <c r="U850">
        <f>IF($B850="","",IF(COUNTIF($B$2:$B850,$B850)=1,1,0))</f>
        <v/>
      </c>
      <c r="V850">
        <f>IF($U850=1,SUMPRODUCT(--($X$2:$X$1501&lt;$X850))+1,"")</f>
        <v/>
      </c>
      <c r="W850">
        <f>IF($B850="","",IF(OR($S850=TRUE(),$S850="TRUE"),1,0))</f>
        <v/>
      </c>
      <c r="X850">
        <f>IF($U850=1,IFERROR(IF(VALUE($B850)&lt;100000000,VALUE($B850),1000000000),IFERROR(IF(VALUE(MID($B850,2,20))&lt;100000000,VALUE(MID($B850,2,20)),1000000000),1000000000))+ROW()/100000,"")</f>
        <v/>
      </c>
    </row>
    <row r="851">
      <c r="A851">
        <f>IF($B851="","",IFERROR(IF(INDEX('Per Invoice'!$C$2:$C$401,MATCH($B851,'Per Invoice'!$A$2:$A$401,0))=0,"",INDEX('Per Invoice'!$C$2:$C$401,MATCH($B851,'Per Invoice'!$A$2:$A$401,0))),""))</f>
        <v/>
      </c>
      <c r="G851" s="7">
        <f>IF($B851="","",F851*L851/100)</f>
        <v/>
      </c>
      <c r="K851" s="7" t="n"/>
      <c r="L851" s="7" t="n"/>
      <c r="M851" s="7">
        <f>IF($B851="","",L851*T851/100)</f>
        <v/>
      </c>
      <c r="N851" s="7">
        <f>IF($B851="","",L851-M851)</f>
        <v/>
      </c>
      <c r="O851" s="7">
        <f>IF($B851="","",N851-G851)</f>
        <v/>
      </c>
      <c r="R851" s="14" t="n"/>
      <c r="T851">
        <f>IF($B851="","",IF($W851=1,Settings!$C$6,Settings!$C$7)*100)</f>
        <v/>
      </c>
      <c r="U851">
        <f>IF($B851="","",IF(COUNTIF($B$2:$B851,$B851)=1,1,0))</f>
        <v/>
      </c>
      <c r="V851">
        <f>IF($U851=1,SUMPRODUCT(--($X$2:$X$1501&lt;$X851))+1,"")</f>
        <v/>
      </c>
      <c r="W851">
        <f>IF($B851="","",IF(OR($S851=TRUE(),$S851="TRUE"),1,0))</f>
        <v/>
      </c>
      <c r="X851">
        <f>IF($U851=1,IFERROR(IF(VALUE($B851)&lt;100000000,VALUE($B851),1000000000),IFERROR(IF(VALUE(MID($B851,2,20))&lt;100000000,VALUE(MID($B851,2,20)),1000000000),1000000000))+ROW()/100000,"")</f>
        <v/>
      </c>
    </row>
    <row r="852">
      <c r="A852">
        <f>IF($B852="","",IFERROR(IF(INDEX('Per Invoice'!$C$2:$C$401,MATCH($B852,'Per Invoice'!$A$2:$A$401,0))=0,"",INDEX('Per Invoice'!$C$2:$C$401,MATCH($B852,'Per Invoice'!$A$2:$A$401,0))),""))</f>
        <v/>
      </c>
      <c r="G852" s="7">
        <f>IF($B852="","",F852*L852/100)</f>
        <v/>
      </c>
      <c r="K852" s="7" t="n"/>
      <c r="L852" s="7" t="n"/>
      <c r="M852" s="7">
        <f>IF($B852="","",L852*T852/100)</f>
        <v/>
      </c>
      <c r="N852" s="7">
        <f>IF($B852="","",L852-M852)</f>
        <v/>
      </c>
      <c r="O852" s="7">
        <f>IF($B852="","",N852-G852)</f>
        <v/>
      </c>
      <c r="R852" s="14" t="n"/>
      <c r="T852">
        <f>IF($B852="","",IF($W852=1,Settings!$C$6,Settings!$C$7)*100)</f>
        <v/>
      </c>
      <c r="U852">
        <f>IF($B852="","",IF(COUNTIF($B$2:$B852,$B852)=1,1,0))</f>
        <v/>
      </c>
      <c r="V852">
        <f>IF($U852=1,SUMPRODUCT(--($X$2:$X$1501&lt;$X852))+1,"")</f>
        <v/>
      </c>
      <c r="W852">
        <f>IF($B852="","",IF(OR($S852=TRUE(),$S852="TRUE"),1,0))</f>
        <v/>
      </c>
      <c r="X852">
        <f>IF($U852=1,IFERROR(IF(VALUE($B852)&lt;100000000,VALUE($B852),1000000000),IFERROR(IF(VALUE(MID($B852,2,20))&lt;100000000,VALUE(MID($B852,2,20)),1000000000),1000000000))+ROW()/100000,"")</f>
        <v/>
      </c>
    </row>
    <row r="853">
      <c r="A853">
        <f>IF($B853="","",IFERROR(IF(INDEX('Per Invoice'!$C$2:$C$401,MATCH($B853,'Per Invoice'!$A$2:$A$401,0))=0,"",INDEX('Per Invoice'!$C$2:$C$401,MATCH($B853,'Per Invoice'!$A$2:$A$401,0))),""))</f>
        <v/>
      </c>
      <c r="G853" s="7">
        <f>IF($B853="","",F853*L853/100)</f>
        <v/>
      </c>
      <c r="K853" s="7" t="n"/>
      <c r="L853" s="7" t="n"/>
      <c r="M853" s="7">
        <f>IF($B853="","",L853*T853/100)</f>
        <v/>
      </c>
      <c r="N853" s="7">
        <f>IF($B853="","",L853-M853)</f>
        <v/>
      </c>
      <c r="O853" s="7">
        <f>IF($B853="","",N853-G853)</f>
        <v/>
      </c>
      <c r="R853" s="14" t="n"/>
      <c r="T853">
        <f>IF($B853="","",IF($W853=1,Settings!$C$6,Settings!$C$7)*100)</f>
        <v/>
      </c>
      <c r="U853">
        <f>IF($B853="","",IF(COUNTIF($B$2:$B853,$B853)=1,1,0))</f>
        <v/>
      </c>
      <c r="V853">
        <f>IF($U853=1,SUMPRODUCT(--($X$2:$X$1501&lt;$X853))+1,"")</f>
        <v/>
      </c>
      <c r="W853">
        <f>IF($B853="","",IF(OR($S853=TRUE(),$S853="TRUE"),1,0))</f>
        <v/>
      </c>
      <c r="X853">
        <f>IF($U853=1,IFERROR(IF(VALUE($B853)&lt;100000000,VALUE($B853),1000000000),IFERROR(IF(VALUE(MID($B853,2,20))&lt;100000000,VALUE(MID($B853,2,20)),1000000000),1000000000))+ROW()/100000,"")</f>
        <v/>
      </c>
    </row>
    <row r="854">
      <c r="A854">
        <f>IF($B854="","",IFERROR(IF(INDEX('Per Invoice'!$C$2:$C$401,MATCH($B854,'Per Invoice'!$A$2:$A$401,0))=0,"",INDEX('Per Invoice'!$C$2:$C$401,MATCH($B854,'Per Invoice'!$A$2:$A$401,0))),""))</f>
        <v/>
      </c>
      <c r="G854" s="7">
        <f>IF($B854="","",F854*L854/100)</f>
        <v/>
      </c>
      <c r="K854" s="7" t="n"/>
      <c r="L854" s="7" t="n"/>
      <c r="M854" s="7">
        <f>IF($B854="","",L854*T854/100)</f>
        <v/>
      </c>
      <c r="N854" s="7">
        <f>IF($B854="","",L854-M854)</f>
        <v/>
      </c>
      <c r="O854" s="7">
        <f>IF($B854="","",N854-G854)</f>
        <v/>
      </c>
      <c r="R854" s="14" t="n"/>
      <c r="T854">
        <f>IF($B854="","",IF($W854=1,Settings!$C$6,Settings!$C$7)*100)</f>
        <v/>
      </c>
      <c r="U854">
        <f>IF($B854="","",IF(COUNTIF($B$2:$B854,$B854)=1,1,0))</f>
        <v/>
      </c>
      <c r="V854">
        <f>IF($U854=1,SUMPRODUCT(--($X$2:$X$1501&lt;$X854))+1,"")</f>
        <v/>
      </c>
      <c r="W854">
        <f>IF($B854="","",IF(OR($S854=TRUE(),$S854="TRUE"),1,0))</f>
        <v/>
      </c>
      <c r="X854">
        <f>IF($U854=1,IFERROR(IF(VALUE($B854)&lt;100000000,VALUE($B854),1000000000),IFERROR(IF(VALUE(MID($B854,2,20))&lt;100000000,VALUE(MID($B854,2,20)),1000000000),1000000000))+ROW()/100000,"")</f>
        <v/>
      </c>
    </row>
    <row r="855">
      <c r="A855">
        <f>IF($B855="","",IFERROR(IF(INDEX('Per Invoice'!$C$2:$C$401,MATCH($B855,'Per Invoice'!$A$2:$A$401,0))=0,"",INDEX('Per Invoice'!$C$2:$C$401,MATCH($B855,'Per Invoice'!$A$2:$A$401,0))),""))</f>
        <v/>
      </c>
      <c r="G855" s="7">
        <f>IF($B855="","",F855*L855/100)</f>
        <v/>
      </c>
      <c r="K855" s="7" t="n"/>
      <c r="L855" s="7" t="n"/>
      <c r="M855" s="7">
        <f>IF($B855="","",L855*T855/100)</f>
        <v/>
      </c>
      <c r="N855" s="7">
        <f>IF($B855="","",L855-M855)</f>
        <v/>
      </c>
      <c r="O855" s="7">
        <f>IF($B855="","",N855-G855)</f>
        <v/>
      </c>
      <c r="R855" s="14" t="n"/>
      <c r="T855">
        <f>IF($B855="","",IF($W855=1,Settings!$C$6,Settings!$C$7)*100)</f>
        <v/>
      </c>
      <c r="U855">
        <f>IF($B855="","",IF(COUNTIF($B$2:$B855,$B855)=1,1,0))</f>
        <v/>
      </c>
      <c r="V855">
        <f>IF($U855=1,SUMPRODUCT(--($X$2:$X$1501&lt;$X855))+1,"")</f>
        <v/>
      </c>
      <c r="W855">
        <f>IF($B855="","",IF(OR($S855=TRUE(),$S855="TRUE"),1,0))</f>
        <v/>
      </c>
      <c r="X855">
        <f>IF($U855=1,IFERROR(IF(VALUE($B855)&lt;100000000,VALUE($B855),1000000000),IFERROR(IF(VALUE(MID($B855,2,20))&lt;100000000,VALUE(MID($B855,2,20)),1000000000),1000000000))+ROW()/100000,"")</f>
        <v/>
      </c>
    </row>
    <row r="856">
      <c r="A856">
        <f>IF($B856="","",IFERROR(IF(INDEX('Per Invoice'!$C$2:$C$401,MATCH($B856,'Per Invoice'!$A$2:$A$401,0))=0,"",INDEX('Per Invoice'!$C$2:$C$401,MATCH($B856,'Per Invoice'!$A$2:$A$401,0))),""))</f>
        <v/>
      </c>
      <c r="G856" s="7">
        <f>IF($B856="","",F856*L856/100)</f>
        <v/>
      </c>
      <c r="K856" s="7" t="n"/>
      <c r="L856" s="7" t="n"/>
      <c r="M856" s="7">
        <f>IF($B856="","",L856*T856/100)</f>
        <v/>
      </c>
      <c r="N856" s="7">
        <f>IF($B856="","",L856-M856)</f>
        <v/>
      </c>
      <c r="O856" s="7">
        <f>IF($B856="","",N856-G856)</f>
        <v/>
      </c>
      <c r="R856" s="14" t="n"/>
      <c r="T856">
        <f>IF($B856="","",IF($W856=1,Settings!$C$6,Settings!$C$7)*100)</f>
        <v/>
      </c>
      <c r="U856">
        <f>IF($B856="","",IF(COUNTIF($B$2:$B856,$B856)=1,1,0))</f>
        <v/>
      </c>
      <c r="V856">
        <f>IF($U856=1,SUMPRODUCT(--($X$2:$X$1501&lt;$X856))+1,"")</f>
        <v/>
      </c>
      <c r="W856">
        <f>IF($B856="","",IF(OR($S856=TRUE(),$S856="TRUE"),1,0))</f>
        <v/>
      </c>
      <c r="X856">
        <f>IF($U856=1,IFERROR(IF(VALUE($B856)&lt;100000000,VALUE($B856),1000000000),IFERROR(IF(VALUE(MID($B856,2,20))&lt;100000000,VALUE(MID($B856,2,20)),1000000000),1000000000))+ROW()/100000,"")</f>
        <v/>
      </c>
    </row>
    <row r="857">
      <c r="A857">
        <f>IF($B857="","",IFERROR(IF(INDEX('Per Invoice'!$C$2:$C$401,MATCH($B857,'Per Invoice'!$A$2:$A$401,0))=0,"",INDEX('Per Invoice'!$C$2:$C$401,MATCH($B857,'Per Invoice'!$A$2:$A$401,0))),""))</f>
        <v/>
      </c>
      <c r="G857" s="7">
        <f>IF($B857="","",F857*L857/100)</f>
        <v/>
      </c>
      <c r="K857" s="7" t="n"/>
      <c r="L857" s="7" t="n"/>
      <c r="M857" s="7">
        <f>IF($B857="","",L857*T857/100)</f>
        <v/>
      </c>
      <c r="N857" s="7">
        <f>IF($B857="","",L857-M857)</f>
        <v/>
      </c>
      <c r="O857" s="7">
        <f>IF($B857="","",N857-G857)</f>
        <v/>
      </c>
      <c r="R857" s="14" t="n"/>
      <c r="T857">
        <f>IF($B857="","",IF($W857=1,Settings!$C$6,Settings!$C$7)*100)</f>
        <v/>
      </c>
      <c r="U857">
        <f>IF($B857="","",IF(COUNTIF($B$2:$B857,$B857)=1,1,0))</f>
        <v/>
      </c>
      <c r="V857">
        <f>IF($U857=1,SUMPRODUCT(--($X$2:$X$1501&lt;$X857))+1,"")</f>
        <v/>
      </c>
      <c r="W857">
        <f>IF($B857="","",IF(OR($S857=TRUE(),$S857="TRUE"),1,0))</f>
        <v/>
      </c>
      <c r="X857">
        <f>IF($U857=1,IFERROR(IF(VALUE($B857)&lt;100000000,VALUE($B857),1000000000),IFERROR(IF(VALUE(MID($B857,2,20))&lt;100000000,VALUE(MID($B857,2,20)),1000000000),1000000000))+ROW()/100000,"")</f>
        <v/>
      </c>
    </row>
    <row r="858">
      <c r="A858">
        <f>IF($B858="","",IFERROR(IF(INDEX('Per Invoice'!$C$2:$C$401,MATCH($B858,'Per Invoice'!$A$2:$A$401,0))=0,"",INDEX('Per Invoice'!$C$2:$C$401,MATCH($B858,'Per Invoice'!$A$2:$A$401,0))),""))</f>
        <v/>
      </c>
      <c r="G858" s="7">
        <f>IF($B858="","",F858*L858/100)</f>
        <v/>
      </c>
      <c r="K858" s="7" t="n"/>
      <c r="L858" s="7" t="n"/>
      <c r="M858" s="7">
        <f>IF($B858="","",L858*T858/100)</f>
        <v/>
      </c>
      <c r="N858" s="7">
        <f>IF($B858="","",L858-M858)</f>
        <v/>
      </c>
      <c r="O858" s="7">
        <f>IF($B858="","",N858-G858)</f>
        <v/>
      </c>
      <c r="R858" s="14" t="n"/>
      <c r="T858">
        <f>IF($B858="","",IF($W858=1,Settings!$C$6,Settings!$C$7)*100)</f>
        <v/>
      </c>
      <c r="U858">
        <f>IF($B858="","",IF(COUNTIF($B$2:$B858,$B858)=1,1,0))</f>
        <v/>
      </c>
      <c r="V858">
        <f>IF($U858=1,SUMPRODUCT(--($X$2:$X$1501&lt;$X858))+1,"")</f>
        <v/>
      </c>
      <c r="W858">
        <f>IF($B858="","",IF(OR($S858=TRUE(),$S858="TRUE"),1,0))</f>
        <v/>
      </c>
      <c r="X858">
        <f>IF($U858=1,IFERROR(IF(VALUE($B858)&lt;100000000,VALUE($B858),1000000000),IFERROR(IF(VALUE(MID($B858,2,20))&lt;100000000,VALUE(MID($B858,2,20)),1000000000),1000000000))+ROW()/100000,"")</f>
        <v/>
      </c>
    </row>
    <row r="859">
      <c r="A859">
        <f>IF($B859="","",IFERROR(IF(INDEX('Per Invoice'!$C$2:$C$401,MATCH($B859,'Per Invoice'!$A$2:$A$401,0))=0,"",INDEX('Per Invoice'!$C$2:$C$401,MATCH($B859,'Per Invoice'!$A$2:$A$401,0))),""))</f>
        <v/>
      </c>
      <c r="G859" s="7">
        <f>IF($B859="","",F859*L859/100)</f>
        <v/>
      </c>
      <c r="K859" s="7" t="n"/>
      <c r="L859" s="7" t="n"/>
      <c r="M859" s="7">
        <f>IF($B859="","",L859*T859/100)</f>
        <v/>
      </c>
      <c r="N859" s="7">
        <f>IF($B859="","",L859-M859)</f>
        <v/>
      </c>
      <c r="O859" s="7">
        <f>IF($B859="","",N859-G859)</f>
        <v/>
      </c>
      <c r="R859" s="14" t="n"/>
      <c r="T859">
        <f>IF($B859="","",IF($W859=1,Settings!$C$6,Settings!$C$7)*100)</f>
        <v/>
      </c>
      <c r="U859">
        <f>IF($B859="","",IF(COUNTIF($B$2:$B859,$B859)=1,1,0))</f>
        <v/>
      </c>
      <c r="V859">
        <f>IF($U859=1,SUMPRODUCT(--($X$2:$X$1501&lt;$X859))+1,"")</f>
        <v/>
      </c>
      <c r="W859">
        <f>IF($B859="","",IF(OR($S859=TRUE(),$S859="TRUE"),1,0))</f>
        <v/>
      </c>
      <c r="X859">
        <f>IF($U859=1,IFERROR(IF(VALUE($B859)&lt;100000000,VALUE($B859),1000000000),IFERROR(IF(VALUE(MID($B859,2,20))&lt;100000000,VALUE(MID($B859,2,20)),1000000000),1000000000))+ROW()/100000,"")</f>
        <v/>
      </c>
    </row>
    <row r="860">
      <c r="A860">
        <f>IF($B860="","",IFERROR(IF(INDEX('Per Invoice'!$C$2:$C$401,MATCH($B860,'Per Invoice'!$A$2:$A$401,0))=0,"",INDEX('Per Invoice'!$C$2:$C$401,MATCH($B860,'Per Invoice'!$A$2:$A$401,0))),""))</f>
        <v/>
      </c>
      <c r="G860" s="7">
        <f>IF($B860="","",F860*L860/100)</f>
        <v/>
      </c>
      <c r="K860" s="7" t="n"/>
      <c r="L860" s="7" t="n"/>
      <c r="M860" s="7">
        <f>IF($B860="","",L860*T860/100)</f>
        <v/>
      </c>
      <c r="N860" s="7">
        <f>IF($B860="","",L860-M860)</f>
        <v/>
      </c>
      <c r="O860" s="7">
        <f>IF($B860="","",N860-G860)</f>
        <v/>
      </c>
      <c r="R860" s="14" t="n"/>
      <c r="T860">
        <f>IF($B860="","",IF($W860=1,Settings!$C$6,Settings!$C$7)*100)</f>
        <v/>
      </c>
      <c r="U860">
        <f>IF($B860="","",IF(COUNTIF($B$2:$B860,$B860)=1,1,0))</f>
        <v/>
      </c>
      <c r="V860">
        <f>IF($U860=1,SUMPRODUCT(--($X$2:$X$1501&lt;$X860))+1,"")</f>
        <v/>
      </c>
      <c r="W860">
        <f>IF($B860="","",IF(OR($S860=TRUE(),$S860="TRUE"),1,0))</f>
        <v/>
      </c>
      <c r="X860">
        <f>IF($U860=1,IFERROR(IF(VALUE($B860)&lt;100000000,VALUE($B860),1000000000),IFERROR(IF(VALUE(MID($B860,2,20))&lt;100000000,VALUE(MID($B860,2,20)),1000000000),1000000000))+ROW()/100000,"")</f>
        <v/>
      </c>
    </row>
    <row r="861">
      <c r="A861">
        <f>IF($B861="","",IFERROR(IF(INDEX('Per Invoice'!$C$2:$C$401,MATCH($B861,'Per Invoice'!$A$2:$A$401,0))=0,"",INDEX('Per Invoice'!$C$2:$C$401,MATCH($B861,'Per Invoice'!$A$2:$A$401,0))),""))</f>
        <v/>
      </c>
      <c r="G861" s="7">
        <f>IF($B861="","",F861*L861/100)</f>
        <v/>
      </c>
      <c r="K861" s="7" t="n"/>
      <c r="L861" s="7" t="n"/>
      <c r="M861" s="7">
        <f>IF($B861="","",L861*T861/100)</f>
        <v/>
      </c>
      <c r="N861" s="7">
        <f>IF($B861="","",L861-M861)</f>
        <v/>
      </c>
      <c r="O861" s="7">
        <f>IF($B861="","",N861-G861)</f>
        <v/>
      </c>
      <c r="R861" s="14" t="n"/>
      <c r="T861">
        <f>IF($B861="","",IF($W861=1,Settings!$C$6,Settings!$C$7)*100)</f>
        <v/>
      </c>
      <c r="U861">
        <f>IF($B861="","",IF(COUNTIF($B$2:$B861,$B861)=1,1,0))</f>
        <v/>
      </c>
      <c r="V861">
        <f>IF($U861=1,SUMPRODUCT(--($X$2:$X$1501&lt;$X861))+1,"")</f>
        <v/>
      </c>
      <c r="W861">
        <f>IF($B861="","",IF(OR($S861=TRUE(),$S861="TRUE"),1,0))</f>
        <v/>
      </c>
      <c r="X861">
        <f>IF($U861=1,IFERROR(IF(VALUE($B861)&lt;100000000,VALUE($B861),1000000000),IFERROR(IF(VALUE(MID($B861,2,20))&lt;100000000,VALUE(MID($B861,2,20)),1000000000),1000000000))+ROW()/100000,"")</f>
        <v/>
      </c>
    </row>
    <row r="862">
      <c r="A862">
        <f>IF($B862="","",IFERROR(IF(INDEX('Per Invoice'!$C$2:$C$401,MATCH($B862,'Per Invoice'!$A$2:$A$401,0))=0,"",INDEX('Per Invoice'!$C$2:$C$401,MATCH($B862,'Per Invoice'!$A$2:$A$401,0))),""))</f>
        <v/>
      </c>
      <c r="G862" s="7">
        <f>IF($B862="","",F862*L862/100)</f>
        <v/>
      </c>
      <c r="K862" s="7" t="n"/>
      <c r="L862" s="7" t="n"/>
      <c r="M862" s="7">
        <f>IF($B862="","",L862*T862/100)</f>
        <v/>
      </c>
      <c r="N862" s="7">
        <f>IF($B862="","",L862-M862)</f>
        <v/>
      </c>
      <c r="O862" s="7">
        <f>IF($B862="","",N862-G862)</f>
        <v/>
      </c>
      <c r="R862" s="14" t="n"/>
      <c r="T862">
        <f>IF($B862="","",IF($W862=1,Settings!$C$6,Settings!$C$7)*100)</f>
        <v/>
      </c>
      <c r="U862">
        <f>IF($B862="","",IF(COUNTIF($B$2:$B862,$B862)=1,1,0))</f>
        <v/>
      </c>
      <c r="V862">
        <f>IF($U862=1,SUMPRODUCT(--($X$2:$X$1501&lt;$X862))+1,"")</f>
        <v/>
      </c>
      <c r="W862">
        <f>IF($B862="","",IF(OR($S862=TRUE(),$S862="TRUE"),1,0))</f>
        <v/>
      </c>
      <c r="X862">
        <f>IF($U862=1,IFERROR(IF(VALUE($B862)&lt;100000000,VALUE($B862),1000000000),IFERROR(IF(VALUE(MID($B862,2,20))&lt;100000000,VALUE(MID($B862,2,20)),1000000000),1000000000))+ROW()/100000,"")</f>
        <v/>
      </c>
    </row>
    <row r="863">
      <c r="A863">
        <f>IF($B863="","",IFERROR(IF(INDEX('Per Invoice'!$C$2:$C$401,MATCH($B863,'Per Invoice'!$A$2:$A$401,0))=0,"",INDEX('Per Invoice'!$C$2:$C$401,MATCH($B863,'Per Invoice'!$A$2:$A$401,0))),""))</f>
        <v/>
      </c>
      <c r="G863" s="7">
        <f>IF($B863="","",F863*L863/100)</f>
        <v/>
      </c>
      <c r="K863" s="7" t="n"/>
      <c r="L863" s="7" t="n"/>
      <c r="M863" s="7">
        <f>IF($B863="","",L863*T863/100)</f>
        <v/>
      </c>
      <c r="N863" s="7">
        <f>IF($B863="","",L863-M863)</f>
        <v/>
      </c>
      <c r="O863" s="7">
        <f>IF($B863="","",N863-G863)</f>
        <v/>
      </c>
      <c r="R863" s="14" t="n"/>
      <c r="T863">
        <f>IF($B863="","",IF($W863=1,Settings!$C$6,Settings!$C$7)*100)</f>
        <v/>
      </c>
      <c r="U863">
        <f>IF($B863="","",IF(COUNTIF($B$2:$B863,$B863)=1,1,0))</f>
        <v/>
      </c>
      <c r="V863">
        <f>IF($U863=1,SUMPRODUCT(--($X$2:$X$1501&lt;$X863))+1,"")</f>
        <v/>
      </c>
      <c r="W863">
        <f>IF($B863="","",IF(OR($S863=TRUE(),$S863="TRUE"),1,0))</f>
        <v/>
      </c>
      <c r="X863">
        <f>IF($U863=1,IFERROR(IF(VALUE($B863)&lt;100000000,VALUE($B863),1000000000),IFERROR(IF(VALUE(MID($B863,2,20))&lt;100000000,VALUE(MID($B863,2,20)),1000000000),1000000000))+ROW()/100000,"")</f>
        <v/>
      </c>
    </row>
    <row r="864">
      <c r="A864">
        <f>IF($B864="","",IFERROR(IF(INDEX('Per Invoice'!$C$2:$C$401,MATCH($B864,'Per Invoice'!$A$2:$A$401,0))=0,"",INDEX('Per Invoice'!$C$2:$C$401,MATCH($B864,'Per Invoice'!$A$2:$A$401,0))),""))</f>
        <v/>
      </c>
      <c r="G864" s="7">
        <f>IF($B864="","",F864*L864/100)</f>
        <v/>
      </c>
      <c r="K864" s="7" t="n"/>
      <c r="L864" s="7" t="n"/>
      <c r="M864" s="7">
        <f>IF($B864="","",L864*T864/100)</f>
        <v/>
      </c>
      <c r="N864" s="7">
        <f>IF($B864="","",L864-M864)</f>
        <v/>
      </c>
      <c r="O864" s="7">
        <f>IF($B864="","",N864-G864)</f>
        <v/>
      </c>
      <c r="R864" s="14" t="n"/>
      <c r="T864">
        <f>IF($B864="","",IF($W864=1,Settings!$C$6,Settings!$C$7)*100)</f>
        <v/>
      </c>
      <c r="U864">
        <f>IF($B864="","",IF(COUNTIF($B$2:$B864,$B864)=1,1,0))</f>
        <v/>
      </c>
      <c r="V864">
        <f>IF($U864=1,SUMPRODUCT(--($X$2:$X$1501&lt;$X864))+1,"")</f>
        <v/>
      </c>
      <c r="W864">
        <f>IF($B864="","",IF(OR($S864=TRUE(),$S864="TRUE"),1,0))</f>
        <v/>
      </c>
      <c r="X864">
        <f>IF($U864=1,IFERROR(IF(VALUE($B864)&lt;100000000,VALUE($B864),1000000000),IFERROR(IF(VALUE(MID($B864,2,20))&lt;100000000,VALUE(MID($B864,2,20)),1000000000),1000000000))+ROW()/100000,"")</f>
        <v/>
      </c>
    </row>
    <row r="865">
      <c r="A865">
        <f>IF($B865="","",IFERROR(IF(INDEX('Per Invoice'!$C$2:$C$401,MATCH($B865,'Per Invoice'!$A$2:$A$401,0))=0,"",INDEX('Per Invoice'!$C$2:$C$401,MATCH($B865,'Per Invoice'!$A$2:$A$401,0))),""))</f>
        <v/>
      </c>
      <c r="G865" s="7">
        <f>IF($B865="","",F865*L865/100)</f>
        <v/>
      </c>
      <c r="K865" s="7" t="n"/>
      <c r="L865" s="7" t="n"/>
      <c r="M865" s="7">
        <f>IF($B865="","",L865*T865/100)</f>
        <v/>
      </c>
      <c r="N865" s="7">
        <f>IF($B865="","",L865-M865)</f>
        <v/>
      </c>
      <c r="O865" s="7">
        <f>IF($B865="","",N865-G865)</f>
        <v/>
      </c>
      <c r="R865" s="14" t="n"/>
      <c r="T865">
        <f>IF($B865="","",IF($W865=1,Settings!$C$6,Settings!$C$7)*100)</f>
        <v/>
      </c>
      <c r="U865">
        <f>IF($B865="","",IF(COUNTIF($B$2:$B865,$B865)=1,1,0))</f>
        <v/>
      </c>
      <c r="V865">
        <f>IF($U865=1,SUMPRODUCT(--($X$2:$X$1501&lt;$X865))+1,"")</f>
        <v/>
      </c>
      <c r="W865">
        <f>IF($B865="","",IF(OR($S865=TRUE(),$S865="TRUE"),1,0))</f>
        <v/>
      </c>
      <c r="X865">
        <f>IF($U865=1,IFERROR(IF(VALUE($B865)&lt;100000000,VALUE($B865),1000000000),IFERROR(IF(VALUE(MID($B865,2,20))&lt;100000000,VALUE(MID($B865,2,20)),1000000000),1000000000))+ROW()/100000,"")</f>
        <v/>
      </c>
    </row>
    <row r="866">
      <c r="A866">
        <f>IF($B866="","",IFERROR(IF(INDEX('Per Invoice'!$C$2:$C$401,MATCH($B866,'Per Invoice'!$A$2:$A$401,0))=0,"",INDEX('Per Invoice'!$C$2:$C$401,MATCH($B866,'Per Invoice'!$A$2:$A$401,0))),""))</f>
        <v/>
      </c>
      <c r="G866" s="7">
        <f>IF($B866="","",F866*L866/100)</f>
        <v/>
      </c>
      <c r="K866" s="7" t="n"/>
      <c r="L866" s="7" t="n"/>
      <c r="M866" s="7">
        <f>IF($B866="","",L866*T866/100)</f>
        <v/>
      </c>
      <c r="N866" s="7">
        <f>IF($B866="","",L866-M866)</f>
        <v/>
      </c>
      <c r="O866" s="7">
        <f>IF($B866="","",N866-G866)</f>
        <v/>
      </c>
      <c r="R866" s="14" t="n"/>
      <c r="T866">
        <f>IF($B866="","",IF($W866=1,Settings!$C$6,Settings!$C$7)*100)</f>
        <v/>
      </c>
      <c r="U866">
        <f>IF($B866="","",IF(COUNTIF($B$2:$B866,$B866)=1,1,0))</f>
        <v/>
      </c>
      <c r="V866">
        <f>IF($U866=1,SUMPRODUCT(--($X$2:$X$1501&lt;$X866))+1,"")</f>
        <v/>
      </c>
      <c r="W866">
        <f>IF($B866="","",IF(OR($S866=TRUE(),$S866="TRUE"),1,0))</f>
        <v/>
      </c>
      <c r="X866">
        <f>IF($U866=1,IFERROR(IF(VALUE($B866)&lt;100000000,VALUE($B866),1000000000),IFERROR(IF(VALUE(MID($B866,2,20))&lt;100000000,VALUE(MID($B866,2,20)),1000000000),1000000000))+ROW()/100000,"")</f>
        <v/>
      </c>
    </row>
    <row r="867">
      <c r="A867">
        <f>IF($B867="","",IFERROR(IF(INDEX('Per Invoice'!$C$2:$C$401,MATCH($B867,'Per Invoice'!$A$2:$A$401,0))=0,"",INDEX('Per Invoice'!$C$2:$C$401,MATCH($B867,'Per Invoice'!$A$2:$A$401,0))),""))</f>
        <v/>
      </c>
      <c r="G867" s="7">
        <f>IF($B867="","",F867*L867/100)</f>
        <v/>
      </c>
      <c r="K867" s="7" t="n"/>
      <c r="L867" s="7" t="n"/>
      <c r="M867" s="7">
        <f>IF($B867="","",L867*T867/100)</f>
        <v/>
      </c>
      <c r="N867" s="7">
        <f>IF($B867="","",L867-M867)</f>
        <v/>
      </c>
      <c r="O867" s="7">
        <f>IF($B867="","",N867-G867)</f>
        <v/>
      </c>
      <c r="R867" s="14" t="n"/>
      <c r="T867">
        <f>IF($B867="","",IF($W867=1,Settings!$C$6,Settings!$C$7)*100)</f>
        <v/>
      </c>
      <c r="U867">
        <f>IF($B867="","",IF(COUNTIF($B$2:$B867,$B867)=1,1,0))</f>
        <v/>
      </c>
      <c r="V867">
        <f>IF($U867=1,SUMPRODUCT(--($X$2:$X$1501&lt;$X867))+1,"")</f>
        <v/>
      </c>
      <c r="W867">
        <f>IF($B867="","",IF(OR($S867=TRUE(),$S867="TRUE"),1,0))</f>
        <v/>
      </c>
      <c r="X867">
        <f>IF($U867=1,IFERROR(IF(VALUE($B867)&lt;100000000,VALUE($B867),1000000000),IFERROR(IF(VALUE(MID($B867,2,20))&lt;100000000,VALUE(MID($B867,2,20)),1000000000),1000000000))+ROW()/100000,"")</f>
        <v/>
      </c>
    </row>
    <row r="868">
      <c r="A868">
        <f>IF($B868="","",IFERROR(IF(INDEX('Per Invoice'!$C$2:$C$401,MATCH($B868,'Per Invoice'!$A$2:$A$401,0))=0,"",INDEX('Per Invoice'!$C$2:$C$401,MATCH($B868,'Per Invoice'!$A$2:$A$401,0))),""))</f>
        <v/>
      </c>
      <c r="G868" s="7">
        <f>IF($B868="","",F868*L868/100)</f>
        <v/>
      </c>
      <c r="K868" s="7" t="n"/>
      <c r="L868" s="7" t="n"/>
      <c r="M868" s="7">
        <f>IF($B868="","",L868*T868/100)</f>
        <v/>
      </c>
      <c r="N868" s="7">
        <f>IF($B868="","",L868-M868)</f>
        <v/>
      </c>
      <c r="O868" s="7">
        <f>IF($B868="","",N868-G868)</f>
        <v/>
      </c>
      <c r="R868" s="14" t="n"/>
      <c r="T868">
        <f>IF($B868="","",IF($W868=1,Settings!$C$6,Settings!$C$7)*100)</f>
        <v/>
      </c>
      <c r="U868">
        <f>IF($B868="","",IF(COUNTIF($B$2:$B868,$B868)=1,1,0))</f>
        <v/>
      </c>
      <c r="V868">
        <f>IF($U868=1,SUMPRODUCT(--($X$2:$X$1501&lt;$X868))+1,"")</f>
        <v/>
      </c>
      <c r="W868">
        <f>IF($B868="","",IF(OR($S868=TRUE(),$S868="TRUE"),1,0))</f>
        <v/>
      </c>
      <c r="X868">
        <f>IF($U868=1,IFERROR(IF(VALUE($B868)&lt;100000000,VALUE($B868),1000000000),IFERROR(IF(VALUE(MID($B868,2,20))&lt;100000000,VALUE(MID($B868,2,20)),1000000000),1000000000))+ROW()/100000,"")</f>
        <v/>
      </c>
    </row>
    <row r="869">
      <c r="A869">
        <f>IF($B869="","",IFERROR(IF(INDEX('Per Invoice'!$C$2:$C$401,MATCH($B869,'Per Invoice'!$A$2:$A$401,0))=0,"",INDEX('Per Invoice'!$C$2:$C$401,MATCH($B869,'Per Invoice'!$A$2:$A$401,0))),""))</f>
        <v/>
      </c>
      <c r="G869" s="7">
        <f>IF($B869="","",F869*L869/100)</f>
        <v/>
      </c>
      <c r="K869" s="7" t="n"/>
      <c r="L869" s="7" t="n"/>
      <c r="M869" s="7">
        <f>IF($B869="","",L869*T869/100)</f>
        <v/>
      </c>
      <c r="N869" s="7">
        <f>IF($B869="","",L869-M869)</f>
        <v/>
      </c>
      <c r="O869" s="7">
        <f>IF($B869="","",N869-G869)</f>
        <v/>
      </c>
      <c r="R869" s="14" t="n"/>
      <c r="T869">
        <f>IF($B869="","",IF($W869=1,Settings!$C$6,Settings!$C$7)*100)</f>
        <v/>
      </c>
      <c r="U869">
        <f>IF($B869="","",IF(COUNTIF($B$2:$B869,$B869)=1,1,0))</f>
        <v/>
      </c>
      <c r="V869">
        <f>IF($U869=1,SUMPRODUCT(--($X$2:$X$1501&lt;$X869))+1,"")</f>
        <v/>
      </c>
      <c r="W869">
        <f>IF($B869="","",IF(OR($S869=TRUE(),$S869="TRUE"),1,0))</f>
        <v/>
      </c>
      <c r="X869">
        <f>IF($U869=1,IFERROR(IF(VALUE($B869)&lt;100000000,VALUE($B869),1000000000),IFERROR(IF(VALUE(MID($B869,2,20))&lt;100000000,VALUE(MID($B869,2,20)),1000000000),1000000000))+ROW()/100000,"")</f>
        <v/>
      </c>
    </row>
    <row r="870">
      <c r="A870">
        <f>IF($B870="","",IFERROR(IF(INDEX('Per Invoice'!$C$2:$C$401,MATCH($B870,'Per Invoice'!$A$2:$A$401,0))=0,"",INDEX('Per Invoice'!$C$2:$C$401,MATCH($B870,'Per Invoice'!$A$2:$A$401,0))),""))</f>
        <v/>
      </c>
      <c r="G870" s="7">
        <f>IF($B870="","",F870*L870/100)</f>
        <v/>
      </c>
      <c r="K870" s="7" t="n"/>
      <c r="L870" s="7" t="n"/>
      <c r="M870" s="7">
        <f>IF($B870="","",L870*T870/100)</f>
        <v/>
      </c>
      <c r="N870" s="7">
        <f>IF($B870="","",L870-M870)</f>
        <v/>
      </c>
      <c r="O870" s="7">
        <f>IF($B870="","",N870-G870)</f>
        <v/>
      </c>
      <c r="R870" s="14" t="n"/>
      <c r="T870">
        <f>IF($B870="","",IF($W870=1,Settings!$C$6,Settings!$C$7)*100)</f>
        <v/>
      </c>
      <c r="U870">
        <f>IF($B870="","",IF(COUNTIF($B$2:$B870,$B870)=1,1,0))</f>
        <v/>
      </c>
      <c r="V870">
        <f>IF($U870=1,SUMPRODUCT(--($X$2:$X$1501&lt;$X870))+1,"")</f>
        <v/>
      </c>
      <c r="W870">
        <f>IF($B870="","",IF(OR($S870=TRUE(),$S870="TRUE"),1,0))</f>
        <v/>
      </c>
      <c r="X870">
        <f>IF($U870=1,IFERROR(IF(VALUE($B870)&lt;100000000,VALUE($B870),1000000000),IFERROR(IF(VALUE(MID($B870,2,20))&lt;100000000,VALUE(MID($B870,2,20)),1000000000),1000000000))+ROW()/100000,"")</f>
        <v/>
      </c>
    </row>
    <row r="871">
      <c r="A871">
        <f>IF($B871="","",IFERROR(IF(INDEX('Per Invoice'!$C$2:$C$401,MATCH($B871,'Per Invoice'!$A$2:$A$401,0))=0,"",INDEX('Per Invoice'!$C$2:$C$401,MATCH($B871,'Per Invoice'!$A$2:$A$401,0))),""))</f>
        <v/>
      </c>
      <c r="G871" s="7">
        <f>IF($B871="","",F871*L871/100)</f>
        <v/>
      </c>
      <c r="K871" s="7" t="n"/>
      <c r="L871" s="7" t="n"/>
      <c r="M871" s="7">
        <f>IF($B871="","",L871*T871/100)</f>
        <v/>
      </c>
      <c r="N871" s="7">
        <f>IF($B871="","",L871-M871)</f>
        <v/>
      </c>
      <c r="O871" s="7">
        <f>IF($B871="","",N871-G871)</f>
        <v/>
      </c>
      <c r="R871" s="14" t="n"/>
      <c r="T871">
        <f>IF($B871="","",IF($W871=1,Settings!$C$6,Settings!$C$7)*100)</f>
        <v/>
      </c>
      <c r="U871">
        <f>IF($B871="","",IF(COUNTIF($B$2:$B871,$B871)=1,1,0))</f>
        <v/>
      </c>
      <c r="V871">
        <f>IF($U871=1,SUMPRODUCT(--($X$2:$X$1501&lt;$X871))+1,"")</f>
        <v/>
      </c>
      <c r="W871">
        <f>IF($B871="","",IF(OR($S871=TRUE(),$S871="TRUE"),1,0))</f>
        <v/>
      </c>
      <c r="X871">
        <f>IF($U871=1,IFERROR(IF(VALUE($B871)&lt;100000000,VALUE($B871),1000000000),IFERROR(IF(VALUE(MID($B871,2,20))&lt;100000000,VALUE(MID($B871,2,20)),1000000000),1000000000))+ROW()/100000,"")</f>
        <v/>
      </c>
    </row>
    <row r="872">
      <c r="A872">
        <f>IF($B872="","",IFERROR(IF(INDEX('Per Invoice'!$C$2:$C$401,MATCH($B872,'Per Invoice'!$A$2:$A$401,0))=0,"",INDEX('Per Invoice'!$C$2:$C$401,MATCH($B872,'Per Invoice'!$A$2:$A$401,0))),""))</f>
        <v/>
      </c>
      <c r="G872" s="7">
        <f>IF($B872="","",F872*L872/100)</f>
        <v/>
      </c>
      <c r="K872" s="7" t="n"/>
      <c r="L872" s="7" t="n"/>
      <c r="M872" s="7">
        <f>IF($B872="","",L872*T872/100)</f>
        <v/>
      </c>
      <c r="N872" s="7">
        <f>IF($B872="","",L872-M872)</f>
        <v/>
      </c>
      <c r="O872" s="7">
        <f>IF($B872="","",N872-G872)</f>
        <v/>
      </c>
      <c r="R872" s="14" t="n"/>
      <c r="T872">
        <f>IF($B872="","",IF($W872=1,Settings!$C$6,Settings!$C$7)*100)</f>
        <v/>
      </c>
      <c r="U872">
        <f>IF($B872="","",IF(COUNTIF($B$2:$B872,$B872)=1,1,0))</f>
        <v/>
      </c>
      <c r="V872">
        <f>IF($U872=1,SUMPRODUCT(--($X$2:$X$1501&lt;$X872))+1,"")</f>
        <v/>
      </c>
      <c r="W872">
        <f>IF($B872="","",IF(OR($S872=TRUE(),$S872="TRUE"),1,0))</f>
        <v/>
      </c>
      <c r="X872">
        <f>IF($U872=1,IFERROR(IF(VALUE($B872)&lt;100000000,VALUE($B872),1000000000),IFERROR(IF(VALUE(MID($B872,2,20))&lt;100000000,VALUE(MID($B872,2,20)),1000000000),1000000000))+ROW()/100000,"")</f>
        <v/>
      </c>
    </row>
    <row r="873">
      <c r="A873">
        <f>IF($B873="","",IFERROR(IF(INDEX('Per Invoice'!$C$2:$C$401,MATCH($B873,'Per Invoice'!$A$2:$A$401,0))=0,"",INDEX('Per Invoice'!$C$2:$C$401,MATCH($B873,'Per Invoice'!$A$2:$A$401,0))),""))</f>
        <v/>
      </c>
      <c r="G873" s="7">
        <f>IF($B873="","",F873*L873/100)</f>
        <v/>
      </c>
      <c r="K873" s="7" t="n"/>
      <c r="L873" s="7" t="n"/>
      <c r="M873" s="7">
        <f>IF($B873="","",L873*T873/100)</f>
        <v/>
      </c>
      <c r="N873" s="7">
        <f>IF($B873="","",L873-M873)</f>
        <v/>
      </c>
      <c r="O873" s="7">
        <f>IF($B873="","",N873-G873)</f>
        <v/>
      </c>
      <c r="R873" s="14" t="n"/>
      <c r="T873">
        <f>IF($B873="","",IF($W873=1,Settings!$C$6,Settings!$C$7)*100)</f>
        <v/>
      </c>
      <c r="U873">
        <f>IF($B873="","",IF(COUNTIF($B$2:$B873,$B873)=1,1,0))</f>
        <v/>
      </c>
      <c r="V873">
        <f>IF($U873=1,SUMPRODUCT(--($X$2:$X$1501&lt;$X873))+1,"")</f>
        <v/>
      </c>
      <c r="W873">
        <f>IF($B873="","",IF(OR($S873=TRUE(),$S873="TRUE"),1,0))</f>
        <v/>
      </c>
      <c r="X873">
        <f>IF($U873=1,IFERROR(IF(VALUE($B873)&lt;100000000,VALUE($B873),1000000000),IFERROR(IF(VALUE(MID($B873,2,20))&lt;100000000,VALUE(MID($B873,2,20)),1000000000),1000000000))+ROW()/100000,"")</f>
        <v/>
      </c>
    </row>
    <row r="874">
      <c r="A874">
        <f>IF($B874="","",IFERROR(IF(INDEX('Per Invoice'!$C$2:$C$401,MATCH($B874,'Per Invoice'!$A$2:$A$401,0))=0,"",INDEX('Per Invoice'!$C$2:$C$401,MATCH($B874,'Per Invoice'!$A$2:$A$401,0))),""))</f>
        <v/>
      </c>
      <c r="G874" s="7">
        <f>IF($B874="","",F874*L874/100)</f>
        <v/>
      </c>
      <c r="K874" s="7" t="n"/>
      <c r="L874" s="7" t="n"/>
      <c r="M874" s="7">
        <f>IF($B874="","",L874*T874/100)</f>
        <v/>
      </c>
      <c r="N874" s="7">
        <f>IF($B874="","",L874-M874)</f>
        <v/>
      </c>
      <c r="O874" s="7">
        <f>IF($B874="","",N874-G874)</f>
        <v/>
      </c>
      <c r="R874" s="14" t="n"/>
      <c r="T874">
        <f>IF($B874="","",IF($W874=1,Settings!$C$6,Settings!$C$7)*100)</f>
        <v/>
      </c>
      <c r="U874">
        <f>IF($B874="","",IF(COUNTIF($B$2:$B874,$B874)=1,1,0))</f>
        <v/>
      </c>
      <c r="V874">
        <f>IF($U874=1,SUMPRODUCT(--($X$2:$X$1501&lt;$X874))+1,"")</f>
        <v/>
      </c>
      <c r="W874">
        <f>IF($B874="","",IF(OR($S874=TRUE(),$S874="TRUE"),1,0))</f>
        <v/>
      </c>
      <c r="X874">
        <f>IF($U874=1,IFERROR(IF(VALUE($B874)&lt;100000000,VALUE($B874),1000000000),IFERROR(IF(VALUE(MID($B874,2,20))&lt;100000000,VALUE(MID($B874,2,20)),1000000000),1000000000))+ROW()/100000,"")</f>
        <v/>
      </c>
    </row>
    <row r="875">
      <c r="A875">
        <f>IF($B875="","",IFERROR(IF(INDEX('Per Invoice'!$C$2:$C$401,MATCH($B875,'Per Invoice'!$A$2:$A$401,0))=0,"",INDEX('Per Invoice'!$C$2:$C$401,MATCH($B875,'Per Invoice'!$A$2:$A$401,0))),""))</f>
        <v/>
      </c>
      <c r="G875" s="7">
        <f>IF($B875="","",F875*L875/100)</f>
        <v/>
      </c>
      <c r="K875" s="7" t="n"/>
      <c r="L875" s="7" t="n"/>
      <c r="M875" s="7">
        <f>IF($B875="","",L875*T875/100)</f>
        <v/>
      </c>
      <c r="N875" s="7">
        <f>IF($B875="","",L875-M875)</f>
        <v/>
      </c>
      <c r="O875" s="7">
        <f>IF($B875="","",N875-G875)</f>
        <v/>
      </c>
      <c r="R875" s="14" t="n"/>
      <c r="T875">
        <f>IF($B875="","",IF($W875=1,Settings!$C$6,Settings!$C$7)*100)</f>
        <v/>
      </c>
      <c r="U875">
        <f>IF($B875="","",IF(COUNTIF($B$2:$B875,$B875)=1,1,0))</f>
        <v/>
      </c>
      <c r="V875">
        <f>IF($U875=1,SUMPRODUCT(--($X$2:$X$1501&lt;$X875))+1,"")</f>
        <v/>
      </c>
      <c r="W875">
        <f>IF($B875="","",IF(OR($S875=TRUE(),$S875="TRUE"),1,0))</f>
        <v/>
      </c>
      <c r="X875">
        <f>IF($U875=1,IFERROR(IF(VALUE($B875)&lt;100000000,VALUE($B875),1000000000),IFERROR(IF(VALUE(MID($B875,2,20))&lt;100000000,VALUE(MID($B875,2,20)),1000000000),1000000000))+ROW()/100000,"")</f>
        <v/>
      </c>
    </row>
    <row r="876">
      <c r="A876">
        <f>IF($B876="","",IFERROR(IF(INDEX('Per Invoice'!$C$2:$C$401,MATCH($B876,'Per Invoice'!$A$2:$A$401,0))=0,"",INDEX('Per Invoice'!$C$2:$C$401,MATCH($B876,'Per Invoice'!$A$2:$A$401,0))),""))</f>
        <v/>
      </c>
      <c r="G876" s="7">
        <f>IF($B876="","",F876*L876/100)</f>
        <v/>
      </c>
      <c r="K876" s="7" t="n"/>
      <c r="L876" s="7" t="n"/>
      <c r="M876" s="7">
        <f>IF($B876="","",L876*T876/100)</f>
        <v/>
      </c>
      <c r="N876" s="7">
        <f>IF($B876="","",L876-M876)</f>
        <v/>
      </c>
      <c r="O876" s="7">
        <f>IF($B876="","",N876-G876)</f>
        <v/>
      </c>
      <c r="R876" s="14" t="n"/>
      <c r="T876">
        <f>IF($B876="","",IF($W876=1,Settings!$C$6,Settings!$C$7)*100)</f>
        <v/>
      </c>
      <c r="U876">
        <f>IF($B876="","",IF(COUNTIF($B$2:$B876,$B876)=1,1,0))</f>
        <v/>
      </c>
      <c r="V876">
        <f>IF($U876=1,SUMPRODUCT(--($X$2:$X$1501&lt;$X876))+1,"")</f>
        <v/>
      </c>
      <c r="W876">
        <f>IF($B876="","",IF(OR($S876=TRUE(),$S876="TRUE"),1,0))</f>
        <v/>
      </c>
      <c r="X876">
        <f>IF($U876=1,IFERROR(IF(VALUE($B876)&lt;100000000,VALUE($B876),1000000000),IFERROR(IF(VALUE(MID($B876,2,20))&lt;100000000,VALUE(MID($B876,2,20)),1000000000),1000000000))+ROW()/100000,"")</f>
        <v/>
      </c>
    </row>
    <row r="877">
      <c r="A877">
        <f>IF($B877="","",IFERROR(IF(INDEX('Per Invoice'!$C$2:$C$401,MATCH($B877,'Per Invoice'!$A$2:$A$401,0))=0,"",INDEX('Per Invoice'!$C$2:$C$401,MATCH($B877,'Per Invoice'!$A$2:$A$401,0))),""))</f>
        <v/>
      </c>
      <c r="G877" s="7">
        <f>IF($B877="","",F877*L877/100)</f>
        <v/>
      </c>
      <c r="K877" s="7" t="n"/>
      <c r="L877" s="7" t="n"/>
      <c r="M877" s="7">
        <f>IF($B877="","",L877*T877/100)</f>
        <v/>
      </c>
      <c r="N877" s="7">
        <f>IF($B877="","",L877-M877)</f>
        <v/>
      </c>
      <c r="O877" s="7">
        <f>IF($B877="","",N877-G877)</f>
        <v/>
      </c>
      <c r="R877" s="14" t="n"/>
      <c r="T877">
        <f>IF($B877="","",IF($W877=1,Settings!$C$6,Settings!$C$7)*100)</f>
        <v/>
      </c>
      <c r="U877">
        <f>IF($B877="","",IF(COUNTIF($B$2:$B877,$B877)=1,1,0))</f>
        <v/>
      </c>
      <c r="V877">
        <f>IF($U877=1,SUMPRODUCT(--($X$2:$X$1501&lt;$X877))+1,"")</f>
        <v/>
      </c>
      <c r="W877">
        <f>IF($B877="","",IF(OR($S877=TRUE(),$S877="TRUE"),1,0))</f>
        <v/>
      </c>
      <c r="X877">
        <f>IF($U877=1,IFERROR(IF(VALUE($B877)&lt;100000000,VALUE($B877),1000000000),IFERROR(IF(VALUE(MID($B877,2,20))&lt;100000000,VALUE(MID($B877,2,20)),1000000000),1000000000))+ROW()/100000,"")</f>
        <v/>
      </c>
    </row>
    <row r="878">
      <c r="A878">
        <f>IF($B878="","",IFERROR(IF(INDEX('Per Invoice'!$C$2:$C$401,MATCH($B878,'Per Invoice'!$A$2:$A$401,0))=0,"",INDEX('Per Invoice'!$C$2:$C$401,MATCH($B878,'Per Invoice'!$A$2:$A$401,0))),""))</f>
        <v/>
      </c>
      <c r="G878" s="7">
        <f>IF($B878="","",F878*L878/100)</f>
        <v/>
      </c>
      <c r="K878" s="7" t="n"/>
      <c r="L878" s="7" t="n"/>
      <c r="M878" s="7">
        <f>IF($B878="","",L878*T878/100)</f>
        <v/>
      </c>
      <c r="N878" s="7">
        <f>IF($B878="","",L878-M878)</f>
        <v/>
      </c>
      <c r="O878" s="7">
        <f>IF($B878="","",N878-G878)</f>
        <v/>
      </c>
      <c r="R878" s="14" t="n"/>
      <c r="T878">
        <f>IF($B878="","",IF($W878=1,Settings!$C$6,Settings!$C$7)*100)</f>
        <v/>
      </c>
      <c r="U878">
        <f>IF($B878="","",IF(COUNTIF($B$2:$B878,$B878)=1,1,0))</f>
        <v/>
      </c>
      <c r="V878">
        <f>IF($U878=1,SUMPRODUCT(--($X$2:$X$1501&lt;$X878))+1,"")</f>
        <v/>
      </c>
      <c r="W878">
        <f>IF($B878="","",IF(OR($S878=TRUE(),$S878="TRUE"),1,0))</f>
        <v/>
      </c>
      <c r="X878">
        <f>IF($U878=1,IFERROR(IF(VALUE($B878)&lt;100000000,VALUE($B878),1000000000),IFERROR(IF(VALUE(MID($B878,2,20))&lt;100000000,VALUE(MID($B878,2,20)),1000000000),1000000000))+ROW()/100000,"")</f>
        <v/>
      </c>
    </row>
    <row r="879">
      <c r="A879">
        <f>IF($B879="","",IFERROR(IF(INDEX('Per Invoice'!$C$2:$C$401,MATCH($B879,'Per Invoice'!$A$2:$A$401,0))=0,"",INDEX('Per Invoice'!$C$2:$C$401,MATCH($B879,'Per Invoice'!$A$2:$A$401,0))),""))</f>
        <v/>
      </c>
      <c r="G879" s="7">
        <f>IF($B879="","",F879*L879/100)</f>
        <v/>
      </c>
      <c r="K879" s="7" t="n"/>
      <c r="L879" s="7" t="n"/>
      <c r="M879" s="7">
        <f>IF($B879="","",L879*T879/100)</f>
        <v/>
      </c>
      <c r="N879" s="7">
        <f>IF($B879="","",L879-M879)</f>
        <v/>
      </c>
      <c r="O879" s="7">
        <f>IF($B879="","",N879-G879)</f>
        <v/>
      </c>
      <c r="R879" s="14" t="n"/>
      <c r="T879">
        <f>IF($B879="","",IF($W879=1,Settings!$C$6,Settings!$C$7)*100)</f>
        <v/>
      </c>
      <c r="U879">
        <f>IF($B879="","",IF(COUNTIF($B$2:$B879,$B879)=1,1,0))</f>
        <v/>
      </c>
      <c r="V879">
        <f>IF($U879=1,SUMPRODUCT(--($X$2:$X$1501&lt;$X879))+1,"")</f>
        <v/>
      </c>
      <c r="W879">
        <f>IF($B879="","",IF(OR($S879=TRUE(),$S879="TRUE"),1,0))</f>
        <v/>
      </c>
      <c r="X879">
        <f>IF($U879=1,IFERROR(IF(VALUE($B879)&lt;100000000,VALUE($B879),1000000000),IFERROR(IF(VALUE(MID($B879,2,20))&lt;100000000,VALUE(MID($B879,2,20)),1000000000),1000000000))+ROW()/100000,"")</f>
        <v/>
      </c>
    </row>
    <row r="880">
      <c r="A880">
        <f>IF($B880="","",IFERROR(IF(INDEX('Per Invoice'!$C$2:$C$401,MATCH($B880,'Per Invoice'!$A$2:$A$401,0))=0,"",INDEX('Per Invoice'!$C$2:$C$401,MATCH($B880,'Per Invoice'!$A$2:$A$401,0))),""))</f>
        <v/>
      </c>
      <c r="G880" s="7">
        <f>IF($B880="","",F880*L880/100)</f>
        <v/>
      </c>
      <c r="K880" s="7" t="n"/>
      <c r="L880" s="7" t="n"/>
      <c r="M880" s="7">
        <f>IF($B880="","",L880*T880/100)</f>
        <v/>
      </c>
      <c r="N880" s="7">
        <f>IF($B880="","",L880-M880)</f>
        <v/>
      </c>
      <c r="O880" s="7">
        <f>IF($B880="","",N880-G880)</f>
        <v/>
      </c>
      <c r="R880" s="14" t="n"/>
      <c r="T880">
        <f>IF($B880="","",IF($W880=1,Settings!$C$6,Settings!$C$7)*100)</f>
        <v/>
      </c>
      <c r="U880">
        <f>IF($B880="","",IF(COUNTIF($B$2:$B880,$B880)=1,1,0))</f>
        <v/>
      </c>
      <c r="V880">
        <f>IF($U880=1,SUMPRODUCT(--($X$2:$X$1501&lt;$X880))+1,"")</f>
        <v/>
      </c>
      <c r="W880">
        <f>IF($B880="","",IF(OR($S880=TRUE(),$S880="TRUE"),1,0))</f>
        <v/>
      </c>
      <c r="X880">
        <f>IF($U880=1,IFERROR(IF(VALUE($B880)&lt;100000000,VALUE($B880),1000000000),IFERROR(IF(VALUE(MID($B880,2,20))&lt;100000000,VALUE(MID($B880,2,20)),1000000000),1000000000))+ROW()/100000,"")</f>
        <v/>
      </c>
    </row>
    <row r="881">
      <c r="A881">
        <f>IF($B881="","",IFERROR(IF(INDEX('Per Invoice'!$C$2:$C$401,MATCH($B881,'Per Invoice'!$A$2:$A$401,0))=0,"",INDEX('Per Invoice'!$C$2:$C$401,MATCH($B881,'Per Invoice'!$A$2:$A$401,0))),""))</f>
        <v/>
      </c>
      <c r="G881" s="7">
        <f>IF($B881="","",F881*L881/100)</f>
        <v/>
      </c>
      <c r="K881" s="7" t="n"/>
      <c r="L881" s="7" t="n"/>
      <c r="M881" s="7">
        <f>IF($B881="","",L881*T881/100)</f>
        <v/>
      </c>
      <c r="N881" s="7">
        <f>IF($B881="","",L881-M881)</f>
        <v/>
      </c>
      <c r="O881" s="7">
        <f>IF($B881="","",N881-G881)</f>
        <v/>
      </c>
      <c r="R881" s="14" t="n"/>
      <c r="T881">
        <f>IF($B881="","",IF($W881=1,Settings!$C$6,Settings!$C$7)*100)</f>
        <v/>
      </c>
      <c r="U881">
        <f>IF($B881="","",IF(COUNTIF($B$2:$B881,$B881)=1,1,0))</f>
        <v/>
      </c>
      <c r="V881">
        <f>IF($U881=1,SUMPRODUCT(--($X$2:$X$1501&lt;$X881))+1,"")</f>
        <v/>
      </c>
      <c r="W881">
        <f>IF($B881="","",IF(OR($S881=TRUE(),$S881="TRUE"),1,0))</f>
        <v/>
      </c>
      <c r="X881">
        <f>IF($U881=1,IFERROR(IF(VALUE($B881)&lt;100000000,VALUE($B881),1000000000),IFERROR(IF(VALUE(MID($B881,2,20))&lt;100000000,VALUE(MID($B881,2,20)),1000000000),1000000000))+ROW()/100000,"")</f>
        <v/>
      </c>
    </row>
    <row r="882">
      <c r="A882">
        <f>IF($B882="","",IFERROR(IF(INDEX('Per Invoice'!$C$2:$C$401,MATCH($B882,'Per Invoice'!$A$2:$A$401,0))=0,"",INDEX('Per Invoice'!$C$2:$C$401,MATCH($B882,'Per Invoice'!$A$2:$A$401,0))),""))</f>
        <v/>
      </c>
      <c r="G882" s="7">
        <f>IF($B882="","",F882*L882/100)</f>
        <v/>
      </c>
      <c r="K882" s="7" t="n"/>
      <c r="L882" s="7" t="n"/>
      <c r="M882" s="7">
        <f>IF($B882="","",L882*T882/100)</f>
        <v/>
      </c>
      <c r="N882" s="7">
        <f>IF($B882="","",L882-M882)</f>
        <v/>
      </c>
      <c r="O882" s="7">
        <f>IF($B882="","",N882-G882)</f>
        <v/>
      </c>
      <c r="R882" s="14" t="n"/>
      <c r="T882">
        <f>IF($B882="","",IF($W882=1,Settings!$C$6,Settings!$C$7)*100)</f>
        <v/>
      </c>
      <c r="U882">
        <f>IF($B882="","",IF(COUNTIF($B$2:$B882,$B882)=1,1,0))</f>
        <v/>
      </c>
      <c r="V882">
        <f>IF($U882=1,SUMPRODUCT(--($X$2:$X$1501&lt;$X882))+1,"")</f>
        <v/>
      </c>
      <c r="W882">
        <f>IF($B882="","",IF(OR($S882=TRUE(),$S882="TRUE"),1,0))</f>
        <v/>
      </c>
      <c r="X882">
        <f>IF($U882=1,IFERROR(IF(VALUE($B882)&lt;100000000,VALUE($B882),1000000000),IFERROR(IF(VALUE(MID($B882,2,20))&lt;100000000,VALUE(MID($B882,2,20)),1000000000),1000000000))+ROW()/100000,"")</f>
        <v/>
      </c>
    </row>
    <row r="883">
      <c r="A883">
        <f>IF($B883="","",IFERROR(IF(INDEX('Per Invoice'!$C$2:$C$401,MATCH($B883,'Per Invoice'!$A$2:$A$401,0))=0,"",INDEX('Per Invoice'!$C$2:$C$401,MATCH($B883,'Per Invoice'!$A$2:$A$401,0))),""))</f>
        <v/>
      </c>
      <c r="G883" s="7">
        <f>IF($B883="","",F883*L883/100)</f>
        <v/>
      </c>
      <c r="K883" s="7" t="n"/>
      <c r="L883" s="7" t="n"/>
      <c r="M883" s="7">
        <f>IF($B883="","",L883*T883/100)</f>
        <v/>
      </c>
      <c r="N883" s="7">
        <f>IF($B883="","",L883-M883)</f>
        <v/>
      </c>
      <c r="O883" s="7">
        <f>IF($B883="","",N883-G883)</f>
        <v/>
      </c>
      <c r="R883" s="14" t="n"/>
      <c r="T883">
        <f>IF($B883="","",IF($W883=1,Settings!$C$6,Settings!$C$7)*100)</f>
        <v/>
      </c>
      <c r="U883">
        <f>IF($B883="","",IF(COUNTIF($B$2:$B883,$B883)=1,1,0))</f>
        <v/>
      </c>
      <c r="V883">
        <f>IF($U883=1,SUMPRODUCT(--($X$2:$X$1501&lt;$X883))+1,"")</f>
        <v/>
      </c>
      <c r="W883">
        <f>IF($B883="","",IF(OR($S883=TRUE(),$S883="TRUE"),1,0))</f>
        <v/>
      </c>
      <c r="X883">
        <f>IF($U883=1,IFERROR(IF(VALUE($B883)&lt;100000000,VALUE($B883),1000000000),IFERROR(IF(VALUE(MID($B883,2,20))&lt;100000000,VALUE(MID($B883,2,20)),1000000000),1000000000))+ROW()/100000,"")</f>
        <v/>
      </c>
    </row>
    <row r="884">
      <c r="A884">
        <f>IF($B884="","",IFERROR(IF(INDEX('Per Invoice'!$C$2:$C$401,MATCH($B884,'Per Invoice'!$A$2:$A$401,0))=0,"",INDEX('Per Invoice'!$C$2:$C$401,MATCH($B884,'Per Invoice'!$A$2:$A$401,0))),""))</f>
        <v/>
      </c>
      <c r="G884" s="7">
        <f>IF($B884="","",F884*L884/100)</f>
        <v/>
      </c>
      <c r="K884" s="7" t="n"/>
      <c r="L884" s="7" t="n"/>
      <c r="M884" s="7">
        <f>IF($B884="","",L884*T884/100)</f>
        <v/>
      </c>
      <c r="N884" s="7">
        <f>IF($B884="","",L884-M884)</f>
        <v/>
      </c>
      <c r="O884" s="7">
        <f>IF($B884="","",N884-G884)</f>
        <v/>
      </c>
      <c r="R884" s="14" t="n"/>
      <c r="T884">
        <f>IF($B884="","",IF($W884=1,Settings!$C$6,Settings!$C$7)*100)</f>
        <v/>
      </c>
      <c r="U884">
        <f>IF($B884="","",IF(COUNTIF($B$2:$B884,$B884)=1,1,0))</f>
        <v/>
      </c>
      <c r="V884">
        <f>IF($U884=1,SUMPRODUCT(--($X$2:$X$1501&lt;$X884))+1,"")</f>
        <v/>
      </c>
      <c r="W884">
        <f>IF($B884="","",IF(OR($S884=TRUE(),$S884="TRUE"),1,0))</f>
        <v/>
      </c>
      <c r="X884">
        <f>IF($U884=1,IFERROR(IF(VALUE($B884)&lt;100000000,VALUE($B884),1000000000),IFERROR(IF(VALUE(MID($B884,2,20))&lt;100000000,VALUE(MID($B884,2,20)),1000000000),1000000000))+ROW()/100000,"")</f>
        <v/>
      </c>
    </row>
    <row r="885">
      <c r="A885">
        <f>IF($B885="","",IFERROR(IF(INDEX('Per Invoice'!$C$2:$C$401,MATCH($B885,'Per Invoice'!$A$2:$A$401,0))=0,"",INDEX('Per Invoice'!$C$2:$C$401,MATCH($B885,'Per Invoice'!$A$2:$A$401,0))),""))</f>
        <v/>
      </c>
      <c r="G885" s="7">
        <f>IF($B885="","",F885*L885/100)</f>
        <v/>
      </c>
      <c r="K885" s="7" t="n"/>
      <c r="L885" s="7" t="n"/>
      <c r="M885" s="7">
        <f>IF($B885="","",L885*T885/100)</f>
        <v/>
      </c>
      <c r="N885" s="7">
        <f>IF($B885="","",L885-M885)</f>
        <v/>
      </c>
      <c r="O885" s="7">
        <f>IF($B885="","",N885-G885)</f>
        <v/>
      </c>
      <c r="R885" s="14" t="n"/>
      <c r="T885">
        <f>IF($B885="","",IF($W885=1,Settings!$C$6,Settings!$C$7)*100)</f>
        <v/>
      </c>
      <c r="U885">
        <f>IF($B885="","",IF(COUNTIF($B$2:$B885,$B885)=1,1,0))</f>
        <v/>
      </c>
      <c r="V885">
        <f>IF($U885=1,SUMPRODUCT(--($X$2:$X$1501&lt;$X885))+1,"")</f>
        <v/>
      </c>
      <c r="W885">
        <f>IF($B885="","",IF(OR($S885=TRUE(),$S885="TRUE"),1,0))</f>
        <v/>
      </c>
      <c r="X885">
        <f>IF($U885=1,IFERROR(IF(VALUE($B885)&lt;100000000,VALUE($B885),1000000000),IFERROR(IF(VALUE(MID($B885,2,20))&lt;100000000,VALUE(MID($B885,2,20)),1000000000),1000000000))+ROW()/100000,"")</f>
        <v/>
      </c>
    </row>
    <row r="886">
      <c r="A886">
        <f>IF($B886="","",IFERROR(IF(INDEX('Per Invoice'!$C$2:$C$401,MATCH($B886,'Per Invoice'!$A$2:$A$401,0))=0,"",INDEX('Per Invoice'!$C$2:$C$401,MATCH($B886,'Per Invoice'!$A$2:$A$401,0))),""))</f>
        <v/>
      </c>
      <c r="G886" s="7">
        <f>IF($B886="","",F886*L886/100)</f>
        <v/>
      </c>
      <c r="K886" s="7" t="n"/>
      <c r="L886" s="7" t="n"/>
      <c r="M886" s="7">
        <f>IF($B886="","",L886*T886/100)</f>
        <v/>
      </c>
      <c r="N886" s="7">
        <f>IF($B886="","",L886-M886)</f>
        <v/>
      </c>
      <c r="O886" s="7">
        <f>IF($B886="","",N886-G886)</f>
        <v/>
      </c>
      <c r="R886" s="14" t="n"/>
      <c r="T886">
        <f>IF($B886="","",IF($W886=1,Settings!$C$6,Settings!$C$7)*100)</f>
        <v/>
      </c>
      <c r="U886">
        <f>IF($B886="","",IF(COUNTIF($B$2:$B886,$B886)=1,1,0))</f>
        <v/>
      </c>
      <c r="V886">
        <f>IF($U886=1,SUMPRODUCT(--($X$2:$X$1501&lt;$X886))+1,"")</f>
        <v/>
      </c>
      <c r="W886">
        <f>IF($B886="","",IF(OR($S886=TRUE(),$S886="TRUE"),1,0))</f>
        <v/>
      </c>
      <c r="X886">
        <f>IF($U886=1,IFERROR(IF(VALUE($B886)&lt;100000000,VALUE($B886),1000000000),IFERROR(IF(VALUE(MID($B886,2,20))&lt;100000000,VALUE(MID($B886,2,20)),1000000000),1000000000))+ROW()/100000,"")</f>
        <v/>
      </c>
    </row>
    <row r="887">
      <c r="A887">
        <f>IF($B887="","",IFERROR(IF(INDEX('Per Invoice'!$C$2:$C$401,MATCH($B887,'Per Invoice'!$A$2:$A$401,0))=0,"",INDEX('Per Invoice'!$C$2:$C$401,MATCH($B887,'Per Invoice'!$A$2:$A$401,0))),""))</f>
        <v/>
      </c>
      <c r="G887" s="7">
        <f>IF($B887="","",F887*L887/100)</f>
        <v/>
      </c>
      <c r="K887" s="7" t="n"/>
      <c r="L887" s="7" t="n"/>
      <c r="M887" s="7">
        <f>IF($B887="","",L887*T887/100)</f>
        <v/>
      </c>
      <c r="N887" s="7">
        <f>IF($B887="","",L887-M887)</f>
        <v/>
      </c>
      <c r="O887" s="7">
        <f>IF($B887="","",N887-G887)</f>
        <v/>
      </c>
      <c r="R887" s="14" t="n"/>
      <c r="T887">
        <f>IF($B887="","",IF($W887=1,Settings!$C$6,Settings!$C$7)*100)</f>
        <v/>
      </c>
      <c r="U887">
        <f>IF($B887="","",IF(COUNTIF($B$2:$B887,$B887)=1,1,0))</f>
        <v/>
      </c>
      <c r="V887">
        <f>IF($U887=1,SUMPRODUCT(--($X$2:$X$1501&lt;$X887))+1,"")</f>
        <v/>
      </c>
      <c r="W887">
        <f>IF($B887="","",IF(OR($S887=TRUE(),$S887="TRUE"),1,0))</f>
        <v/>
      </c>
      <c r="X887">
        <f>IF($U887=1,IFERROR(IF(VALUE($B887)&lt;100000000,VALUE($B887),1000000000),IFERROR(IF(VALUE(MID($B887,2,20))&lt;100000000,VALUE(MID($B887,2,20)),1000000000),1000000000))+ROW()/100000,"")</f>
        <v/>
      </c>
    </row>
    <row r="888">
      <c r="A888">
        <f>IF($B888="","",IFERROR(IF(INDEX('Per Invoice'!$C$2:$C$401,MATCH($B888,'Per Invoice'!$A$2:$A$401,0))=0,"",INDEX('Per Invoice'!$C$2:$C$401,MATCH($B888,'Per Invoice'!$A$2:$A$401,0))),""))</f>
        <v/>
      </c>
      <c r="G888" s="7">
        <f>IF($B888="","",F888*L888/100)</f>
        <v/>
      </c>
      <c r="K888" s="7" t="n"/>
      <c r="L888" s="7" t="n"/>
      <c r="M888" s="7">
        <f>IF($B888="","",L888*T888/100)</f>
        <v/>
      </c>
      <c r="N888" s="7">
        <f>IF($B888="","",L888-M888)</f>
        <v/>
      </c>
      <c r="O888" s="7">
        <f>IF($B888="","",N888-G888)</f>
        <v/>
      </c>
      <c r="R888" s="14" t="n"/>
      <c r="T888">
        <f>IF($B888="","",IF($W888=1,Settings!$C$6,Settings!$C$7)*100)</f>
        <v/>
      </c>
      <c r="U888">
        <f>IF($B888="","",IF(COUNTIF($B$2:$B888,$B888)=1,1,0))</f>
        <v/>
      </c>
      <c r="V888">
        <f>IF($U888=1,SUMPRODUCT(--($X$2:$X$1501&lt;$X888))+1,"")</f>
        <v/>
      </c>
      <c r="W888">
        <f>IF($B888="","",IF(OR($S888=TRUE(),$S888="TRUE"),1,0))</f>
        <v/>
      </c>
      <c r="X888">
        <f>IF($U888=1,IFERROR(IF(VALUE($B888)&lt;100000000,VALUE($B888),1000000000),IFERROR(IF(VALUE(MID($B888,2,20))&lt;100000000,VALUE(MID($B888,2,20)),1000000000),1000000000))+ROW()/100000,"")</f>
        <v/>
      </c>
    </row>
    <row r="889">
      <c r="A889">
        <f>IF($B889="","",IFERROR(IF(INDEX('Per Invoice'!$C$2:$C$401,MATCH($B889,'Per Invoice'!$A$2:$A$401,0))=0,"",INDEX('Per Invoice'!$C$2:$C$401,MATCH($B889,'Per Invoice'!$A$2:$A$401,0))),""))</f>
        <v/>
      </c>
      <c r="G889" s="7">
        <f>IF($B889="","",F889*L889/100)</f>
        <v/>
      </c>
      <c r="K889" s="7" t="n"/>
      <c r="L889" s="7" t="n"/>
      <c r="M889" s="7">
        <f>IF($B889="","",L889*T889/100)</f>
        <v/>
      </c>
      <c r="N889" s="7">
        <f>IF($B889="","",L889-M889)</f>
        <v/>
      </c>
      <c r="O889" s="7">
        <f>IF($B889="","",N889-G889)</f>
        <v/>
      </c>
      <c r="R889" s="14" t="n"/>
      <c r="T889">
        <f>IF($B889="","",IF($W889=1,Settings!$C$6,Settings!$C$7)*100)</f>
        <v/>
      </c>
      <c r="U889">
        <f>IF($B889="","",IF(COUNTIF($B$2:$B889,$B889)=1,1,0))</f>
        <v/>
      </c>
      <c r="V889">
        <f>IF($U889=1,SUMPRODUCT(--($X$2:$X$1501&lt;$X889))+1,"")</f>
        <v/>
      </c>
      <c r="W889">
        <f>IF($B889="","",IF(OR($S889=TRUE(),$S889="TRUE"),1,0))</f>
        <v/>
      </c>
      <c r="X889">
        <f>IF($U889=1,IFERROR(IF(VALUE($B889)&lt;100000000,VALUE($B889),1000000000),IFERROR(IF(VALUE(MID($B889,2,20))&lt;100000000,VALUE(MID($B889,2,20)),1000000000),1000000000))+ROW()/100000,"")</f>
        <v/>
      </c>
    </row>
    <row r="890">
      <c r="A890">
        <f>IF($B890="","",IFERROR(IF(INDEX('Per Invoice'!$C$2:$C$401,MATCH($B890,'Per Invoice'!$A$2:$A$401,0))=0,"",INDEX('Per Invoice'!$C$2:$C$401,MATCH($B890,'Per Invoice'!$A$2:$A$401,0))),""))</f>
        <v/>
      </c>
      <c r="G890" s="7">
        <f>IF($B890="","",F890*L890/100)</f>
        <v/>
      </c>
      <c r="K890" s="7" t="n"/>
      <c r="L890" s="7" t="n"/>
      <c r="M890" s="7">
        <f>IF($B890="","",L890*T890/100)</f>
        <v/>
      </c>
      <c r="N890" s="7">
        <f>IF($B890="","",L890-M890)</f>
        <v/>
      </c>
      <c r="O890" s="7">
        <f>IF($B890="","",N890-G890)</f>
        <v/>
      </c>
      <c r="R890" s="14" t="n"/>
      <c r="T890">
        <f>IF($B890="","",IF($W890=1,Settings!$C$6,Settings!$C$7)*100)</f>
        <v/>
      </c>
      <c r="U890">
        <f>IF($B890="","",IF(COUNTIF($B$2:$B890,$B890)=1,1,0))</f>
        <v/>
      </c>
      <c r="V890">
        <f>IF($U890=1,SUMPRODUCT(--($X$2:$X$1501&lt;$X890))+1,"")</f>
        <v/>
      </c>
      <c r="W890">
        <f>IF($B890="","",IF(OR($S890=TRUE(),$S890="TRUE"),1,0))</f>
        <v/>
      </c>
      <c r="X890">
        <f>IF($U890=1,IFERROR(IF(VALUE($B890)&lt;100000000,VALUE($B890),1000000000),IFERROR(IF(VALUE(MID($B890,2,20))&lt;100000000,VALUE(MID($B890,2,20)),1000000000),1000000000))+ROW()/100000,"")</f>
        <v/>
      </c>
    </row>
    <row r="891">
      <c r="A891">
        <f>IF($B891="","",IFERROR(IF(INDEX('Per Invoice'!$C$2:$C$401,MATCH($B891,'Per Invoice'!$A$2:$A$401,0))=0,"",INDEX('Per Invoice'!$C$2:$C$401,MATCH($B891,'Per Invoice'!$A$2:$A$401,0))),""))</f>
        <v/>
      </c>
      <c r="G891" s="7">
        <f>IF($B891="","",F891*L891/100)</f>
        <v/>
      </c>
      <c r="K891" s="7" t="n"/>
      <c r="L891" s="7" t="n"/>
      <c r="M891" s="7">
        <f>IF($B891="","",L891*T891/100)</f>
        <v/>
      </c>
      <c r="N891" s="7">
        <f>IF($B891="","",L891-M891)</f>
        <v/>
      </c>
      <c r="O891" s="7">
        <f>IF($B891="","",N891-G891)</f>
        <v/>
      </c>
      <c r="R891" s="14" t="n"/>
      <c r="T891">
        <f>IF($B891="","",IF($W891=1,Settings!$C$6,Settings!$C$7)*100)</f>
        <v/>
      </c>
      <c r="U891">
        <f>IF($B891="","",IF(COUNTIF($B$2:$B891,$B891)=1,1,0))</f>
        <v/>
      </c>
      <c r="V891">
        <f>IF($U891=1,SUMPRODUCT(--($X$2:$X$1501&lt;$X891))+1,"")</f>
        <v/>
      </c>
      <c r="W891">
        <f>IF($B891="","",IF(OR($S891=TRUE(),$S891="TRUE"),1,0))</f>
        <v/>
      </c>
      <c r="X891">
        <f>IF($U891=1,IFERROR(IF(VALUE($B891)&lt;100000000,VALUE($B891),1000000000),IFERROR(IF(VALUE(MID($B891,2,20))&lt;100000000,VALUE(MID($B891,2,20)),1000000000),1000000000))+ROW()/100000,"")</f>
        <v/>
      </c>
    </row>
    <row r="892">
      <c r="A892">
        <f>IF($B892="","",IFERROR(IF(INDEX('Per Invoice'!$C$2:$C$401,MATCH($B892,'Per Invoice'!$A$2:$A$401,0))=0,"",INDEX('Per Invoice'!$C$2:$C$401,MATCH($B892,'Per Invoice'!$A$2:$A$401,0))),""))</f>
        <v/>
      </c>
      <c r="G892" s="7">
        <f>IF($B892="","",F892*L892/100)</f>
        <v/>
      </c>
      <c r="K892" s="7" t="n"/>
      <c r="L892" s="7" t="n"/>
      <c r="M892" s="7">
        <f>IF($B892="","",L892*T892/100)</f>
        <v/>
      </c>
      <c r="N892" s="7">
        <f>IF($B892="","",L892-M892)</f>
        <v/>
      </c>
      <c r="O892" s="7">
        <f>IF($B892="","",N892-G892)</f>
        <v/>
      </c>
      <c r="R892" s="14" t="n"/>
      <c r="T892">
        <f>IF($B892="","",IF($W892=1,Settings!$C$6,Settings!$C$7)*100)</f>
        <v/>
      </c>
      <c r="U892">
        <f>IF($B892="","",IF(COUNTIF($B$2:$B892,$B892)=1,1,0))</f>
        <v/>
      </c>
      <c r="V892">
        <f>IF($U892=1,SUMPRODUCT(--($X$2:$X$1501&lt;$X892))+1,"")</f>
        <v/>
      </c>
      <c r="W892">
        <f>IF($B892="","",IF(OR($S892=TRUE(),$S892="TRUE"),1,0))</f>
        <v/>
      </c>
      <c r="X892">
        <f>IF($U892=1,IFERROR(IF(VALUE($B892)&lt;100000000,VALUE($B892),1000000000),IFERROR(IF(VALUE(MID($B892,2,20))&lt;100000000,VALUE(MID($B892,2,20)),1000000000),1000000000))+ROW()/100000,"")</f>
        <v/>
      </c>
    </row>
    <row r="893">
      <c r="A893">
        <f>IF($B893="","",IFERROR(IF(INDEX('Per Invoice'!$C$2:$C$401,MATCH($B893,'Per Invoice'!$A$2:$A$401,0))=0,"",INDEX('Per Invoice'!$C$2:$C$401,MATCH($B893,'Per Invoice'!$A$2:$A$401,0))),""))</f>
        <v/>
      </c>
      <c r="G893" s="7">
        <f>IF($B893="","",F893*L893/100)</f>
        <v/>
      </c>
      <c r="K893" s="7" t="n"/>
      <c r="L893" s="7" t="n"/>
      <c r="M893" s="7">
        <f>IF($B893="","",L893*T893/100)</f>
        <v/>
      </c>
      <c r="N893" s="7">
        <f>IF($B893="","",L893-M893)</f>
        <v/>
      </c>
      <c r="O893" s="7">
        <f>IF($B893="","",N893-G893)</f>
        <v/>
      </c>
      <c r="R893" s="14" t="n"/>
      <c r="T893">
        <f>IF($B893="","",IF($W893=1,Settings!$C$6,Settings!$C$7)*100)</f>
        <v/>
      </c>
      <c r="U893">
        <f>IF($B893="","",IF(COUNTIF($B$2:$B893,$B893)=1,1,0))</f>
        <v/>
      </c>
      <c r="V893">
        <f>IF($U893=1,SUMPRODUCT(--($X$2:$X$1501&lt;$X893))+1,"")</f>
        <v/>
      </c>
      <c r="W893">
        <f>IF($B893="","",IF(OR($S893=TRUE(),$S893="TRUE"),1,0))</f>
        <v/>
      </c>
      <c r="X893">
        <f>IF($U893=1,IFERROR(IF(VALUE($B893)&lt;100000000,VALUE($B893),1000000000),IFERROR(IF(VALUE(MID($B893,2,20))&lt;100000000,VALUE(MID($B893,2,20)),1000000000),1000000000))+ROW()/100000,"")</f>
        <v/>
      </c>
    </row>
    <row r="894">
      <c r="A894">
        <f>IF($B894="","",IFERROR(IF(INDEX('Per Invoice'!$C$2:$C$401,MATCH($B894,'Per Invoice'!$A$2:$A$401,0))=0,"",INDEX('Per Invoice'!$C$2:$C$401,MATCH($B894,'Per Invoice'!$A$2:$A$401,0))),""))</f>
        <v/>
      </c>
      <c r="G894" s="7">
        <f>IF($B894="","",F894*L894/100)</f>
        <v/>
      </c>
      <c r="K894" s="7" t="n"/>
      <c r="L894" s="7" t="n"/>
      <c r="M894" s="7">
        <f>IF($B894="","",L894*T894/100)</f>
        <v/>
      </c>
      <c r="N894" s="7">
        <f>IF($B894="","",L894-M894)</f>
        <v/>
      </c>
      <c r="O894" s="7">
        <f>IF($B894="","",N894-G894)</f>
        <v/>
      </c>
      <c r="R894" s="14" t="n"/>
      <c r="T894">
        <f>IF($B894="","",IF($W894=1,Settings!$C$6,Settings!$C$7)*100)</f>
        <v/>
      </c>
      <c r="U894">
        <f>IF($B894="","",IF(COUNTIF($B$2:$B894,$B894)=1,1,0))</f>
        <v/>
      </c>
      <c r="V894">
        <f>IF($U894=1,SUMPRODUCT(--($X$2:$X$1501&lt;$X894))+1,"")</f>
        <v/>
      </c>
      <c r="W894">
        <f>IF($B894="","",IF(OR($S894=TRUE(),$S894="TRUE"),1,0))</f>
        <v/>
      </c>
      <c r="X894">
        <f>IF($U894=1,IFERROR(IF(VALUE($B894)&lt;100000000,VALUE($B894),1000000000),IFERROR(IF(VALUE(MID($B894,2,20))&lt;100000000,VALUE(MID($B894,2,20)),1000000000),1000000000))+ROW()/100000,"")</f>
        <v/>
      </c>
    </row>
    <row r="895">
      <c r="A895">
        <f>IF($B895="","",IFERROR(IF(INDEX('Per Invoice'!$C$2:$C$401,MATCH($B895,'Per Invoice'!$A$2:$A$401,0))=0,"",INDEX('Per Invoice'!$C$2:$C$401,MATCH($B895,'Per Invoice'!$A$2:$A$401,0))),""))</f>
        <v/>
      </c>
      <c r="G895" s="7">
        <f>IF($B895="","",F895*L895/100)</f>
        <v/>
      </c>
      <c r="K895" s="7" t="n"/>
      <c r="L895" s="7" t="n"/>
      <c r="M895" s="7">
        <f>IF($B895="","",L895*T895/100)</f>
        <v/>
      </c>
      <c r="N895" s="7">
        <f>IF($B895="","",L895-M895)</f>
        <v/>
      </c>
      <c r="O895" s="7">
        <f>IF($B895="","",N895-G895)</f>
        <v/>
      </c>
      <c r="R895" s="14" t="n"/>
      <c r="T895">
        <f>IF($B895="","",IF($W895=1,Settings!$C$6,Settings!$C$7)*100)</f>
        <v/>
      </c>
      <c r="U895">
        <f>IF($B895="","",IF(COUNTIF($B$2:$B895,$B895)=1,1,0))</f>
        <v/>
      </c>
      <c r="V895">
        <f>IF($U895=1,SUMPRODUCT(--($X$2:$X$1501&lt;$X895))+1,"")</f>
        <v/>
      </c>
      <c r="W895">
        <f>IF($B895="","",IF(OR($S895=TRUE(),$S895="TRUE"),1,0))</f>
        <v/>
      </c>
      <c r="X895">
        <f>IF($U895=1,IFERROR(IF(VALUE($B895)&lt;100000000,VALUE($B895),1000000000),IFERROR(IF(VALUE(MID($B895,2,20))&lt;100000000,VALUE(MID($B895,2,20)),1000000000),1000000000))+ROW()/100000,"")</f>
        <v/>
      </c>
    </row>
    <row r="896">
      <c r="A896">
        <f>IF($B896="","",IFERROR(IF(INDEX('Per Invoice'!$C$2:$C$401,MATCH($B896,'Per Invoice'!$A$2:$A$401,0))=0,"",INDEX('Per Invoice'!$C$2:$C$401,MATCH($B896,'Per Invoice'!$A$2:$A$401,0))),""))</f>
        <v/>
      </c>
      <c r="G896" s="7">
        <f>IF($B896="","",F896*L896/100)</f>
        <v/>
      </c>
      <c r="K896" s="7" t="n"/>
      <c r="L896" s="7" t="n"/>
      <c r="M896" s="7">
        <f>IF($B896="","",L896*T896/100)</f>
        <v/>
      </c>
      <c r="N896" s="7">
        <f>IF($B896="","",L896-M896)</f>
        <v/>
      </c>
      <c r="O896" s="7">
        <f>IF($B896="","",N896-G896)</f>
        <v/>
      </c>
      <c r="R896" s="14" t="n"/>
      <c r="T896">
        <f>IF($B896="","",IF($W896=1,Settings!$C$6,Settings!$C$7)*100)</f>
        <v/>
      </c>
      <c r="U896">
        <f>IF($B896="","",IF(COUNTIF($B$2:$B896,$B896)=1,1,0))</f>
        <v/>
      </c>
      <c r="V896">
        <f>IF($U896=1,SUMPRODUCT(--($X$2:$X$1501&lt;$X896))+1,"")</f>
        <v/>
      </c>
      <c r="W896">
        <f>IF($B896="","",IF(OR($S896=TRUE(),$S896="TRUE"),1,0))</f>
        <v/>
      </c>
      <c r="X896">
        <f>IF($U896=1,IFERROR(IF(VALUE($B896)&lt;100000000,VALUE($B896),1000000000),IFERROR(IF(VALUE(MID($B896,2,20))&lt;100000000,VALUE(MID($B896,2,20)),1000000000),1000000000))+ROW()/100000,"")</f>
        <v/>
      </c>
    </row>
    <row r="897">
      <c r="A897">
        <f>IF($B897="","",IFERROR(IF(INDEX('Per Invoice'!$C$2:$C$401,MATCH($B897,'Per Invoice'!$A$2:$A$401,0))=0,"",INDEX('Per Invoice'!$C$2:$C$401,MATCH($B897,'Per Invoice'!$A$2:$A$401,0))),""))</f>
        <v/>
      </c>
      <c r="G897" s="7">
        <f>IF($B897="","",F897*L897/100)</f>
        <v/>
      </c>
      <c r="K897" s="7" t="n"/>
      <c r="L897" s="7" t="n"/>
      <c r="M897" s="7">
        <f>IF($B897="","",L897*T897/100)</f>
        <v/>
      </c>
      <c r="N897" s="7">
        <f>IF($B897="","",L897-M897)</f>
        <v/>
      </c>
      <c r="O897" s="7">
        <f>IF($B897="","",N897-G897)</f>
        <v/>
      </c>
      <c r="R897" s="14" t="n"/>
      <c r="T897">
        <f>IF($B897="","",IF($W897=1,Settings!$C$6,Settings!$C$7)*100)</f>
        <v/>
      </c>
      <c r="U897">
        <f>IF($B897="","",IF(COUNTIF($B$2:$B897,$B897)=1,1,0))</f>
        <v/>
      </c>
      <c r="V897">
        <f>IF($U897=1,SUMPRODUCT(--($X$2:$X$1501&lt;$X897))+1,"")</f>
        <v/>
      </c>
      <c r="W897">
        <f>IF($B897="","",IF(OR($S897=TRUE(),$S897="TRUE"),1,0))</f>
        <v/>
      </c>
      <c r="X897">
        <f>IF($U897=1,IFERROR(IF(VALUE($B897)&lt;100000000,VALUE($B897),1000000000),IFERROR(IF(VALUE(MID($B897,2,20))&lt;100000000,VALUE(MID($B897,2,20)),1000000000),1000000000))+ROW()/100000,"")</f>
        <v/>
      </c>
    </row>
    <row r="898">
      <c r="A898">
        <f>IF($B898="","",IFERROR(IF(INDEX('Per Invoice'!$C$2:$C$401,MATCH($B898,'Per Invoice'!$A$2:$A$401,0))=0,"",INDEX('Per Invoice'!$C$2:$C$401,MATCH($B898,'Per Invoice'!$A$2:$A$401,0))),""))</f>
        <v/>
      </c>
      <c r="G898" s="7">
        <f>IF($B898="","",F898*L898/100)</f>
        <v/>
      </c>
      <c r="K898" s="7" t="n"/>
      <c r="L898" s="7" t="n"/>
      <c r="M898" s="7">
        <f>IF($B898="","",L898*T898/100)</f>
        <v/>
      </c>
      <c r="N898" s="7">
        <f>IF($B898="","",L898-M898)</f>
        <v/>
      </c>
      <c r="O898" s="7">
        <f>IF($B898="","",N898-G898)</f>
        <v/>
      </c>
      <c r="R898" s="14" t="n"/>
      <c r="T898">
        <f>IF($B898="","",IF($W898=1,Settings!$C$6,Settings!$C$7)*100)</f>
        <v/>
      </c>
      <c r="U898">
        <f>IF($B898="","",IF(COUNTIF($B$2:$B898,$B898)=1,1,0))</f>
        <v/>
      </c>
      <c r="V898">
        <f>IF($U898=1,SUMPRODUCT(--($X$2:$X$1501&lt;$X898))+1,"")</f>
        <v/>
      </c>
      <c r="W898">
        <f>IF($B898="","",IF(OR($S898=TRUE(),$S898="TRUE"),1,0))</f>
        <v/>
      </c>
      <c r="X898">
        <f>IF($U898=1,IFERROR(IF(VALUE($B898)&lt;100000000,VALUE($B898),1000000000),IFERROR(IF(VALUE(MID($B898,2,20))&lt;100000000,VALUE(MID($B898,2,20)),1000000000),1000000000))+ROW()/100000,"")</f>
        <v/>
      </c>
    </row>
    <row r="899">
      <c r="A899">
        <f>IF($B899="","",IFERROR(IF(INDEX('Per Invoice'!$C$2:$C$401,MATCH($B899,'Per Invoice'!$A$2:$A$401,0))=0,"",INDEX('Per Invoice'!$C$2:$C$401,MATCH($B899,'Per Invoice'!$A$2:$A$401,0))),""))</f>
        <v/>
      </c>
      <c r="G899" s="7">
        <f>IF($B899="","",F899*L899/100)</f>
        <v/>
      </c>
      <c r="K899" s="7" t="n"/>
      <c r="L899" s="7" t="n"/>
      <c r="M899" s="7">
        <f>IF($B899="","",L899*T899/100)</f>
        <v/>
      </c>
      <c r="N899" s="7">
        <f>IF($B899="","",L899-M899)</f>
        <v/>
      </c>
      <c r="O899" s="7">
        <f>IF($B899="","",N899-G899)</f>
        <v/>
      </c>
      <c r="R899" s="14" t="n"/>
      <c r="T899">
        <f>IF($B899="","",IF($W899=1,Settings!$C$6,Settings!$C$7)*100)</f>
        <v/>
      </c>
      <c r="U899">
        <f>IF($B899="","",IF(COUNTIF($B$2:$B899,$B899)=1,1,0))</f>
        <v/>
      </c>
      <c r="V899">
        <f>IF($U899=1,SUMPRODUCT(--($X$2:$X$1501&lt;$X899))+1,"")</f>
        <v/>
      </c>
      <c r="W899">
        <f>IF($B899="","",IF(OR($S899=TRUE(),$S899="TRUE"),1,0))</f>
        <v/>
      </c>
      <c r="X899">
        <f>IF($U899=1,IFERROR(IF(VALUE($B899)&lt;100000000,VALUE($B899),1000000000),IFERROR(IF(VALUE(MID($B899,2,20))&lt;100000000,VALUE(MID($B899,2,20)),1000000000),1000000000))+ROW()/100000,"")</f>
        <v/>
      </c>
    </row>
    <row r="900">
      <c r="A900">
        <f>IF($B900="","",IFERROR(IF(INDEX('Per Invoice'!$C$2:$C$401,MATCH($B900,'Per Invoice'!$A$2:$A$401,0))=0,"",INDEX('Per Invoice'!$C$2:$C$401,MATCH($B900,'Per Invoice'!$A$2:$A$401,0))),""))</f>
        <v/>
      </c>
      <c r="G900" s="7">
        <f>IF($B900="","",F900*L900/100)</f>
        <v/>
      </c>
      <c r="K900" s="7" t="n"/>
      <c r="L900" s="7" t="n"/>
      <c r="M900" s="7">
        <f>IF($B900="","",L900*T900/100)</f>
        <v/>
      </c>
      <c r="N900" s="7">
        <f>IF($B900="","",L900-M900)</f>
        <v/>
      </c>
      <c r="O900" s="7">
        <f>IF($B900="","",N900-G900)</f>
        <v/>
      </c>
      <c r="R900" s="14" t="n"/>
      <c r="T900">
        <f>IF($B900="","",IF($W900=1,Settings!$C$6,Settings!$C$7)*100)</f>
        <v/>
      </c>
      <c r="U900">
        <f>IF($B900="","",IF(COUNTIF($B$2:$B900,$B900)=1,1,0))</f>
        <v/>
      </c>
      <c r="V900">
        <f>IF($U900=1,SUMPRODUCT(--($X$2:$X$1501&lt;$X900))+1,"")</f>
        <v/>
      </c>
      <c r="W900">
        <f>IF($B900="","",IF(OR($S900=TRUE(),$S900="TRUE"),1,0))</f>
        <v/>
      </c>
      <c r="X900">
        <f>IF($U900=1,IFERROR(IF(VALUE($B900)&lt;100000000,VALUE($B900),1000000000),IFERROR(IF(VALUE(MID($B900,2,20))&lt;100000000,VALUE(MID($B900,2,20)),1000000000),1000000000))+ROW()/100000,"")</f>
        <v/>
      </c>
    </row>
    <row r="901">
      <c r="A901">
        <f>IF($B901="","",IFERROR(IF(INDEX('Per Invoice'!$C$2:$C$401,MATCH($B901,'Per Invoice'!$A$2:$A$401,0))=0,"",INDEX('Per Invoice'!$C$2:$C$401,MATCH($B901,'Per Invoice'!$A$2:$A$401,0))),""))</f>
        <v/>
      </c>
      <c r="G901" s="7">
        <f>IF($B901="","",F901*L901/100)</f>
        <v/>
      </c>
      <c r="K901" s="7" t="n"/>
      <c r="L901" s="7" t="n"/>
      <c r="M901" s="7">
        <f>IF($B901="","",L901*T901/100)</f>
        <v/>
      </c>
      <c r="N901" s="7">
        <f>IF($B901="","",L901-M901)</f>
        <v/>
      </c>
      <c r="O901" s="7">
        <f>IF($B901="","",N901-G901)</f>
        <v/>
      </c>
      <c r="R901" s="14" t="n"/>
      <c r="T901">
        <f>IF($B901="","",IF($W901=1,Settings!$C$6,Settings!$C$7)*100)</f>
        <v/>
      </c>
      <c r="U901">
        <f>IF($B901="","",IF(COUNTIF($B$2:$B901,$B901)=1,1,0))</f>
        <v/>
      </c>
      <c r="V901">
        <f>IF($U901=1,SUMPRODUCT(--($X$2:$X$1501&lt;$X901))+1,"")</f>
        <v/>
      </c>
      <c r="W901">
        <f>IF($B901="","",IF(OR($S901=TRUE(),$S901="TRUE"),1,0))</f>
        <v/>
      </c>
      <c r="X901">
        <f>IF($U901=1,IFERROR(IF(VALUE($B901)&lt;100000000,VALUE($B901),1000000000),IFERROR(IF(VALUE(MID($B901,2,20))&lt;100000000,VALUE(MID($B901,2,20)),1000000000),1000000000))+ROW()/100000,"")</f>
        <v/>
      </c>
    </row>
    <row r="902">
      <c r="A902">
        <f>IF($B902="","",IFERROR(IF(INDEX('Per Invoice'!$C$2:$C$401,MATCH($B902,'Per Invoice'!$A$2:$A$401,0))=0,"",INDEX('Per Invoice'!$C$2:$C$401,MATCH($B902,'Per Invoice'!$A$2:$A$401,0))),""))</f>
        <v/>
      </c>
      <c r="G902" s="7">
        <f>IF($B902="","",F902*L902/100)</f>
        <v/>
      </c>
      <c r="K902" s="7" t="n"/>
      <c r="L902" s="7" t="n"/>
      <c r="M902" s="7">
        <f>IF($B902="","",L902*T902/100)</f>
        <v/>
      </c>
      <c r="N902" s="7">
        <f>IF($B902="","",L902-M902)</f>
        <v/>
      </c>
      <c r="O902" s="7">
        <f>IF($B902="","",N902-G902)</f>
        <v/>
      </c>
      <c r="R902" s="14" t="n"/>
      <c r="T902">
        <f>IF($B902="","",IF($W902=1,Settings!$C$6,Settings!$C$7)*100)</f>
        <v/>
      </c>
      <c r="U902">
        <f>IF($B902="","",IF(COUNTIF($B$2:$B902,$B902)=1,1,0))</f>
        <v/>
      </c>
      <c r="V902">
        <f>IF($U902=1,SUMPRODUCT(--($X$2:$X$1501&lt;$X902))+1,"")</f>
        <v/>
      </c>
      <c r="W902">
        <f>IF($B902="","",IF(OR($S902=TRUE(),$S902="TRUE"),1,0))</f>
        <v/>
      </c>
      <c r="X902">
        <f>IF($U902=1,IFERROR(IF(VALUE($B902)&lt;100000000,VALUE($B902),1000000000),IFERROR(IF(VALUE(MID($B902,2,20))&lt;100000000,VALUE(MID($B902,2,20)),1000000000),1000000000))+ROW()/100000,"")</f>
        <v/>
      </c>
    </row>
    <row r="903">
      <c r="A903">
        <f>IF($B903="","",IFERROR(IF(INDEX('Per Invoice'!$C$2:$C$401,MATCH($B903,'Per Invoice'!$A$2:$A$401,0))=0,"",INDEX('Per Invoice'!$C$2:$C$401,MATCH($B903,'Per Invoice'!$A$2:$A$401,0))),""))</f>
        <v/>
      </c>
      <c r="G903" s="7">
        <f>IF($B903="","",F903*L903/100)</f>
        <v/>
      </c>
      <c r="K903" s="7" t="n"/>
      <c r="L903" s="7" t="n"/>
      <c r="M903" s="7">
        <f>IF($B903="","",L903*T903/100)</f>
        <v/>
      </c>
      <c r="N903" s="7">
        <f>IF($B903="","",L903-M903)</f>
        <v/>
      </c>
      <c r="O903" s="7">
        <f>IF($B903="","",N903-G903)</f>
        <v/>
      </c>
      <c r="R903" s="14" t="n"/>
      <c r="T903">
        <f>IF($B903="","",IF($W903=1,Settings!$C$6,Settings!$C$7)*100)</f>
        <v/>
      </c>
      <c r="U903">
        <f>IF($B903="","",IF(COUNTIF($B$2:$B903,$B903)=1,1,0))</f>
        <v/>
      </c>
      <c r="V903">
        <f>IF($U903=1,SUMPRODUCT(--($X$2:$X$1501&lt;$X903))+1,"")</f>
        <v/>
      </c>
      <c r="W903">
        <f>IF($B903="","",IF(OR($S903=TRUE(),$S903="TRUE"),1,0))</f>
        <v/>
      </c>
      <c r="X903">
        <f>IF($U903=1,IFERROR(IF(VALUE($B903)&lt;100000000,VALUE($B903),1000000000),IFERROR(IF(VALUE(MID($B903,2,20))&lt;100000000,VALUE(MID($B903,2,20)),1000000000),1000000000))+ROW()/100000,"")</f>
        <v/>
      </c>
    </row>
    <row r="904">
      <c r="A904">
        <f>IF($B904="","",IFERROR(IF(INDEX('Per Invoice'!$C$2:$C$401,MATCH($B904,'Per Invoice'!$A$2:$A$401,0))=0,"",INDEX('Per Invoice'!$C$2:$C$401,MATCH($B904,'Per Invoice'!$A$2:$A$401,0))),""))</f>
        <v/>
      </c>
      <c r="G904" s="7">
        <f>IF($B904="","",F904*L904/100)</f>
        <v/>
      </c>
      <c r="K904" s="7" t="n"/>
      <c r="L904" s="7" t="n"/>
      <c r="M904" s="7">
        <f>IF($B904="","",L904*T904/100)</f>
        <v/>
      </c>
      <c r="N904" s="7">
        <f>IF($B904="","",L904-M904)</f>
        <v/>
      </c>
      <c r="O904" s="7">
        <f>IF($B904="","",N904-G904)</f>
        <v/>
      </c>
      <c r="R904" s="14" t="n"/>
      <c r="T904">
        <f>IF($B904="","",IF($W904=1,Settings!$C$6,Settings!$C$7)*100)</f>
        <v/>
      </c>
      <c r="U904">
        <f>IF($B904="","",IF(COUNTIF($B$2:$B904,$B904)=1,1,0))</f>
        <v/>
      </c>
      <c r="V904">
        <f>IF($U904=1,SUMPRODUCT(--($X$2:$X$1501&lt;$X904))+1,"")</f>
        <v/>
      </c>
      <c r="W904">
        <f>IF($B904="","",IF(OR($S904=TRUE(),$S904="TRUE"),1,0))</f>
        <v/>
      </c>
      <c r="X904">
        <f>IF($U904=1,IFERROR(IF(VALUE($B904)&lt;100000000,VALUE($B904),1000000000),IFERROR(IF(VALUE(MID($B904,2,20))&lt;100000000,VALUE(MID($B904,2,20)),1000000000),1000000000))+ROW()/100000,"")</f>
        <v/>
      </c>
    </row>
    <row r="905">
      <c r="A905">
        <f>IF($B905="","",IFERROR(IF(INDEX('Per Invoice'!$C$2:$C$401,MATCH($B905,'Per Invoice'!$A$2:$A$401,0))=0,"",INDEX('Per Invoice'!$C$2:$C$401,MATCH($B905,'Per Invoice'!$A$2:$A$401,0))),""))</f>
        <v/>
      </c>
      <c r="G905" s="7">
        <f>IF($B905="","",F905*L905/100)</f>
        <v/>
      </c>
      <c r="K905" s="7" t="n"/>
      <c r="L905" s="7" t="n"/>
      <c r="M905" s="7">
        <f>IF($B905="","",L905*T905/100)</f>
        <v/>
      </c>
      <c r="N905" s="7">
        <f>IF($B905="","",L905-M905)</f>
        <v/>
      </c>
      <c r="O905" s="7">
        <f>IF($B905="","",N905-G905)</f>
        <v/>
      </c>
      <c r="R905" s="14" t="n"/>
      <c r="T905">
        <f>IF($B905="","",IF($W905=1,Settings!$C$6,Settings!$C$7)*100)</f>
        <v/>
      </c>
      <c r="U905">
        <f>IF($B905="","",IF(COUNTIF($B$2:$B905,$B905)=1,1,0))</f>
        <v/>
      </c>
      <c r="V905">
        <f>IF($U905=1,SUMPRODUCT(--($X$2:$X$1501&lt;$X905))+1,"")</f>
        <v/>
      </c>
      <c r="W905">
        <f>IF($B905="","",IF(OR($S905=TRUE(),$S905="TRUE"),1,0))</f>
        <v/>
      </c>
      <c r="X905">
        <f>IF($U905=1,IFERROR(IF(VALUE($B905)&lt;100000000,VALUE($B905),1000000000),IFERROR(IF(VALUE(MID($B905,2,20))&lt;100000000,VALUE(MID($B905,2,20)),1000000000),1000000000))+ROW()/100000,"")</f>
        <v/>
      </c>
    </row>
    <row r="906">
      <c r="A906">
        <f>IF($B906="","",IFERROR(IF(INDEX('Per Invoice'!$C$2:$C$401,MATCH($B906,'Per Invoice'!$A$2:$A$401,0))=0,"",INDEX('Per Invoice'!$C$2:$C$401,MATCH($B906,'Per Invoice'!$A$2:$A$401,0))),""))</f>
        <v/>
      </c>
      <c r="G906" s="7">
        <f>IF($B906="","",F906*L906/100)</f>
        <v/>
      </c>
      <c r="K906" s="7" t="n"/>
      <c r="L906" s="7" t="n"/>
      <c r="M906" s="7">
        <f>IF($B906="","",L906*T906/100)</f>
        <v/>
      </c>
      <c r="N906" s="7">
        <f>IF($B906="","",L906-M906)</f>
        <v/>
      </c>
      <c r="O906" s="7">
        <f>IF($B906="","",N906-G906)</f>
        <v/>
      </c>
      <c r="R906" s="14" t="n"/>
      <c r="T906">
        <f>IF($B906="","",IF($W906=1,Settings!$C$6,Settings!$C$7)*100)</f>
        <v/>
      </c>
      <c r="U906">
        <f>IF($B906="","",IF(COUNTIF($B$2:$B906,$B906)=1,1,0))</f>
        <v/>
      </c>
      <c r="V906">
        <f>IF($U906=1,SUMPRODUCT(--($X$2:$X$1501&lt;$X906))+1,"")</f>
        <v/>
      </c>
      <c r="W906">
        <f>IF($B906="","",IF(OR($S906=TRUE(),$S906="TRUE"),1,0))</f>
        <v/>
      </c>
      <c r="X906">
        <f>IF($U906=1,IFERROR(IF(VALUE($B906)&lt;100000000,VALUE($B906),1000000000),IFERROR(IF(VALUE(MID($B906,2,20))&lt;100000000,VALUE(MID($B906,2,20)),1000000000),1000000000))+ROW()/100000,"")</f>
        <v/>
      </c>
    </row>
    <row r="907">
      <c r="A907">
        <f>IF($B907="","",IFERROR(IF(INDEX('Per Invoice'!$C$2:$C$401,MATCH($B907,'Per Invoice'!$A$2:$A$401,0))=0,"",INDEX('Per Invoice'!$C$2:$C$401,MATCH($B907,'Per Invoice'!$A$2:$A$401,0))),""))</f>
        <v/>
      </c>
      <c r="G907" s="7">
        <f>IF($B907="","",F907*L907/100)</f>
        <v/>
      </c>
      <c r="K907" s="7" t="n"/>
      <c r="L907" s="7" t="n"/>
      <c r="M907" s="7">
        <f>IF($B907="","",L907*T907/100)</f>
        <v/>
      </c>
      <c r="N907" s="7">
        <f>IF($B907="","",L907-M907)</f>
        <v/>
      </c>
      <c r="O907" s="7">
        <f>IF($B907="","",N907-G907)</f>
        <v/>
      </c>
      <c r="R907" s="14" t="n"/>
      <c r="T907">
        <f>IF($B907="","",IF($W907=1,Settings!$C$6,Settings!$C$7)*100)</f>
        <v/>
      </c>
      <c r="U907">
        <f>IF($B907="","",IF(COUNTIF($B$2:$B907,$B907)=1,1,0))</f>
        <v/>
      </c>
      <c r="V907">
        <f>IF($U907=1,SUMPRODUCT(--($X$2:$X$1501&lt;$X907))+1,"")</f>
        <v/>
      </c>
      <c r="W907">
        <f>IF($B907="","",IF(OR($S907=TRUE(),$S907="TRUE"),1,0))</f>
        <v/>
      </c>
      <c r="X907">
        <f>IF($U907=1,IFERROR(IF(VALUE($B907)&lt;100000000,VALUE($B907),1000000000),IFERROR(IF(VALUE(MID($B907,2,20))&lt;100000000,VALUE(MID($B907,2,20)),1000000000),1000000000))+ROW()/100000,"")</f>
        <v/>
      </c>
    </row>
    <row r="908">
      <c r="A908">
        <f>IF($B908="","",IFERROR(IF(INDEX('Per Invoice'!$C$2:$C$401,MATCH($B908,'Per Invoice'!$A$2:$A$401,0))=0,"",INDEX('Per Invoice'!$C$2:$C$401,MATCH($B908,'Per Invoice'!$A$2:$A$401,0))),""))</f>
        <v/>
      </c>
      <c r="G908" s="7">
        <f>IF($B908="","",F908*L908/100)</f>
        <v/>
      </c>
      <c r="K908" s="7" t="n"/>
      <c r="L908" s="7" t="n"/>
      <c r="M908" s="7">
        <f>IF($B908="","",L908*T908/100)</f>
        <v/>
      </c>
      <c r="N908" s="7">
        <f>IF($B908="","",L908-M908)</f>
        <v/>
      </c>
      <c r="O908" s="7">
        <f>IF($B908="","",N908-G908)</f>
        <v/>
      </c>
      <c r="R908" s="14" t="n"/>
      <c r="T908">
        <f>IF($B908="","",IF($W908=1,Settings!$C$6,Settings!$C$7)*100)</f>
        <v/>
      </c>
      <c r="U908">
        <f>IF($B908="","",IF(COUNTIF($B$2:$B908,$B908)=1,1,0))</f>
        <v/>
      </c>
      <c r="V908">
        <f>IF($U908=1,SUMPRODUCT(--($X$2:$X$1501&lt;$X908))+1,"")</f>
        <v/>
      </c>
      <c r="W908">
        <f>IF($B908="","",IF(OR($S908=TRUE(),$S908="TRUE"),1,0))</f>
        <v/>
      </c>
      <c r="X908">
        <f>IF($U908=1,IFERROR(IF(VALUE($B908)&lt;100000000,VALUE($B908),1000000000),IFERROR(IF(VALUE(MID($B908,2,20))&lt;100000000,VALUE(MID($B908,2,20)),1000000000),1000000000))+ROW()/100000,"")</f>
        <v/>
      </c>
    </row>
    <row r="909">
      <c r="A909">
        <f>IF($B909="","",IFERROR(IF(INDEX('Per Invoice'!$C$2:$C$401,MATCH($B909,'Per Invoice'!$A$2:$A$401,0))=0,"",INDEX('Per Invoice'!$C$2:$C$401,MATCH($B909,'Per Invoice'!$A$2:$A$401,0))),""))</f>
        <v/>
      </c>
      <c r="G909" s="7">
        <f>IF($B909="","",F909*L909/100)</f>
        <v/>
      </c>
      <c r="K909" s="7" t="n"/>
      <c r="L909" s="7" t="n"/>
      <c r="M909" s="7">
        <f>IF($B909="","",L909*T909/100)</f>
        <v/>
      </c>
      <c r="N909" s="7">
        <f>IF($B909="","",L909-M909)</f>
        <v/>
      </c>
      <c r="O909" s="7">
        <f>IF($B909="","",N909-G909)</f>
        <v/>
      </c>
      <c r="R909" s="14" t="n"/>
      <c r="T909">
        <f>IF($B909="","",IF($W909=1,Settings!$C$6,Settings!$C$7)*100)</f>
        <v/>
      </c>
      <c r="U909">
        <f>IF($B909="","",IF(COUNTIF($B$2:$B909,$B909)=1,1,0))</f>
        <v/>
      </c>
      <c r="V909">
        <f>IF($U909=1,SUMPRODUCT(--($X$2:$X$1501&lt;$X909))+1,"")</f>
        <v/>
      </c>
      <c r="W909">
        <f>IF($B909="","",IF(OR($S909=TRUE(),$S909="TRUE"),1,0))</f>
        <v/>
      </c>
      <c r="X909">
        <f>IF($U909=1,IFERROR(IF(VALUE($B909)&lt;100000000,VALUE($B909),1000000000),IFERROR(IF(VALUE(MID($B909,2,20))&lt;100000000,VALUE(MID($B909,2,20)),1000000000),1000000000))+ROW()/100000,"")</f>
        <v/>
      </c>
    </row>
    <row r="910">
      <c r="A910">
        <f>IF($B910="","",IFERROR(IF(INDEX('Per Invoice'!$C$2:$C$401,MATCH($B910,'Per Invoice'!$A$2:$A$401,0))=0,"",INDEX('Per Invoice'!$C$2:$C$401,MATCH($B910,'Per Invoice'!$A$2:$A$401,0))),""))</f>
        <v/>
      </c>
      <c r="G910" s="7">
        <f>IF($B910="","",F910*L910/100)</f>
        <v/>
      </c>
      <c r="K910" s="7" t="n"/>
      <c r="L910" s="7" t="n"/>
      <c r="M910" s="7">
        <f>IF($B910="","",L910*T910/100)</f>
        <v/>
      </c>
      <c r="N910" s="7">
        <f>IF($B910="","",L910-M910)</f>
        <v/>
      </c>
      <c r="O910" s="7">
        <f>IF($B910="","",N910-G910)</f>
        <v/>
      </c>
      <c r="R910" s="14" t="n"/>
      <c r="T910">
        <f>IF($B910="","",IF($W910=1,Settings!$C$6,Settings!$C$7)*100)</f>
        <v/>
      </c>
      <c r="U910">
        <f>IF($B910="","",IF(COUNTIF($B$2:$B910,$B910)=1,1,0))</f>
        <v/>
      </c>
      <c r="V910">
        <f>IF($U910=1,SUMPRODUCT(--($X$2:$X$1501&lt;$X910))+1,"")</f>
        <v/>
      </c>
      <c r="W910">
        <f>IF($B910="","",IF(OR($S910=TRUE(),$S910="TRUE"),1,0))</f>
        <v/>
      </c>
      <c r="X910">
        <f>IF($U910=1,IFERROR(IF(VALUE($B910)&lt;100000000,VALUE($B910),1000000000),IFERROR(IF(VALUE(MID($B910,2,20))&lt;100000000,VALUE(MID($B910,2,20)),1000000000),1000000000))+ROW()/100000,"")</f>
        <v/>
      </c>
    </row>
    <row r="911">
      <c r="A911">
        <f>IF($B911="","",IFERROR(IF(INDEX('Per Invoice'!$C$2:$C$401,MATCH($B911,'Per Invoice'!$A$2:$A$401,0))=0,"",INDEX('Per Invoice'!$C$2:$C$401,MATCH($B911,'Per Invoice'!$A$2:$A$401,0))),""))</f>
        <v/>
      </c>
      <c r="G911" s="7">
        <f>IF($B911="","",F911*L911/100)</f>
        <v/>
      </c>
      <c r="K911" s="7" t="n"/>
      <c r="L911" s="7" t="n"/>
      <c r="M911" s="7">
        <f>IF($B911="","",L911*T911/100)</f>
        <v/>
      </c>
      <c r="N911" s="7">
        <f>IF($B911="","",L911-M911)</f>
        <v/>
      </c>
      <c r="O911" s="7">
        <f>IF($B911="","",N911-G911)</f>
        <v/>
      </c>
      <c r="R911" s="14" t="n"/>
      <c r="T911">
        <f>IF($B911="","",IF($W911=1,Settings!$C$6,Settings!$C$7)*100)</f>
        <v/>
      </c>
      <c r="U911">
        <f>IF($B911="","",IF(COUNTIF($B$2:$B911,$B911)=1,1,0))</f>
        <v/>
      </c>
      <c r="V911">
        <f>IF($U911=1,SUMPRODUCT(--($X$2:$X$1501&lt;$X911))+1,"")</f>
        <v/>
      </c>
      <c r="W911">
        <f>IF($B911="","",IF(OR($S911=TRUE(),$S911="TRUE"),1,0))</f>
        <v/>
      </c>
      <c r="X911">
        <f>IF($U911=1,IFERROR(IF(VALUE($B911)&lt;100000000,VALUE($B911),1000000000),IFERROR(IF(VALUE(MID($B911,2,20))&lt;100000000,VALUE(MID($B911,2,20)),1000000000),1000000000))+ROW()/100000,"")</f>
        <v/>
      </c>
    </row>
    <row r="912">
      <c r="A912">
        <f>IF($B912="","",IFERROR(IF(INDEX('Per Invoice'!$C$2:$C$401,MATCH($B912,'Per Invoice'!$A$2:$A$401,0))=0,"",INDEX('Per Invoice'!$C$2:$C$401,MATCH($B912,'Per Invoice'!$A$2:$A$401,0))),""))</f>
        <v/>
      </c>
      <c r="G912" s="7">
        <f>IF($B912="","",F912*L912/100)</f>
        <v/>
      </c>
      <c r="K912" s="7" t="n"/>
      <c r="L912" s="7" t="n"/>
      <c r="M912" s="7">
        <f>IF($B912="","",L912*T912/100)</f>
        <v/>
      </c>
      <c r="N912" s="7">
        <f>IF($B912="","",L912-M912)</f>
        <v/>
      </c>
      <c r="O912" s="7">
        <f>IF($B912="","",N912-G912)</f>
        <v/>
      </c>
      <c r="R912" s="14" t="n"/>
      <c r="T912">
        <f>IF($B912="","",IF($W912=1,Settings!$C$6,Settings!$C$7)*100)</f>
        <v/>
      </c>
      <c r="U912">
        <f>IF($B912="","",IF(COUNTIF($B$2:$B912,$B912)=1,1,0))</f>
        <v/>
      </c>
      <c r="V912">
        <f>IF($U912=1,SUMPRODUCT(--($X$2:$X$1501&lt;$X912))+1,"")</f>
        <v/>
      </c>
      <c r="W912">
        <f>IF($B912="","",IF(OR($S912=TRUE(),$S912="TRUE"),1,0))</f>
        <v/>
      </c>
      <c r="X912">
        <f>IF($U912=1,IFERROR(IF(VALUE($B912)&lt;100000000,VALUE($B912),1000000000),IFERROR(IF(VALUE(MID($B912,2,20))&lt;100000000,VALUE(MID($B912,2,20)),1000000000),1000000000))+ROW()/100000,"")</f>
        <v/>
      </c>
    </row>
    <row r="913">
      <c r="A913">
        <f>IF($B913="","",IFERROR(IF(INDEX('Per Invoice'!$C$2:$C$401,MATCH($B913,'Per Invoice'!$A$2:$A$401,0))=0,"",INDEX('Per Invoice'!$C$2:$C$401,MATCH($B913,'Per Invoice'!$A$2:$A$401,0))),""))</f>
        <v/>
      </c>
      <c r="G913" s="7">
        <f>IF($B913="","",F913*L913/100)</f>
        <v/>
      </c>
      <c r="K913" s="7" t="n"/>
      <c r="L913" s="7" t="n"/>
      <c r="M913" s="7">
        <f>IF($B913="","",L913*T913/100)</f>
        <v/>
      </c>
      <c r="N913" s="7">
        <f>IF($B913="","",L913-M913)</f>
        <v/>
      </c>
      <c r="O913" s="7">
        <f>IF($B913="","",N913-G913)</f>
        <v/>
      </c>
      <c r="R913" s="14" t="n"/>
      <c r="T913">
        <f>IF($B913="","",IF($W913=1,Settings!$C$6,Settings!$C$7)*100)</f>
        <v/>
      </c>
      <c r="U913">
        <f>IF($B913="","",IF(COUNTIF($B$2:$B913,$B913)=1,1,0))</f>
        <v/>
      </c>
      <c r="V913">
        <f>IF($U913=1,SUMPRODUCT(--($X$2:$X$1501&lt;$X913))+1,"")</f>
        <v/>
      </c>
      <c r="W913">
        <f>IF($B913="","",IF(OR($S913=TRUE(),$S913="TRUE"),1,0))</f>
        <v/>
      </c>
      <c r="X913">
        <f>IF($U913=1,IFERROR(IF(VALUE($B913)&lt;100000000,VALUE($B913),1000000000),IFERROR(IF(VALUE(MID($B913,2,20))&lt;100000000,VALUE(MID($B913,2,20)),1000000000),1000000000))+ROW()/100000,"")</f>
        <v/>
      </c>
    </row>
    <row r="914">
      <c r="A914">
        <f>IF($B914="","",IFERROR(IF(INDEX('Per Invoice'!$C$2:$C$401,MATCH($B914,'Per Invoice'!$A$2:$A$401,0))=0,"",INDEX('Per Invoice'!$C$2:$C$401,MATCH($B914,'Per Invoice'!$A$2:$A$401,0))),""))</f>
        <v/>
      </c>
      <c r="G914" s="7">
        <f>IF($B914="","",F914*L914/100)</f>
        <v/>
      </c>
      <c r="K914" s="7" t="n"/>
      <c r="L914" s="7" t="n"/>
      <c r="M914" s="7">
        <f>IF($B914="","",L914*T914/100)</f>
        <v/>
      </c>
      <c r="N914" s="7">
        <f>IF($B914="","",L914-M914)</f>
        <v/>
      </c>
      <c r="O914" s="7">
        <f>IF($B914="","",N914-G914)</f>
        <v/>
      </c>
      <c r="R914" s="14" t="n"/>
      <c r="T914">
        <f>IF($B914="","",IF($W914=1,Settings!$C$6,Settings!$C$7)*100)</f>
        <v/>
      </c>
      <c r="U914">
        <f>IF($B914="","",IF(COUNTIF($B$2:$B914,$B914)=1,1,0))</f>
        <v/>
      </c>
      <c r="V914">
        <f>IF($U914=1,SUMPRODUCT(--($X$2:$X$1501&lt;$X914))+1,"")</f>
        <v/>
      </c>
      <c r="W914">
        <f>IF($B914="","",IF(OR($S914=TRUE(),$S914="TRUE"),1,0))</f>
        <v/>
      </c>
      <c r="X914">
        <f>IF($U914=1,IFERROR(IF(VALUE($B914)&lt;100000000,VALUE($B914),1000000000),IFERROR(IF(VALUE(MID($B914,2,20))&lt;100000000,VALUE(MID($B914,2,20)),1000000000),1000000000))+ROW()/100000,"")</f>
        <v/>
      </c>
    </row>
    <row r="915">
      <c r="A915">
        <f>IF($B915="","",IFERROR(IF(INDEX('Per Invoice'!$C$2:$C$401,MATCH($B915,'Per Invoice'!$A$2:$A$401,0))=0,"",INDEX('Per Invoice'!$C$2:$C$401,MATCH($B915,'Per Invoice'!$A$2:$A$401,0))),""))</f>
        <v/>
      </c>
      <c r="G915" s="7">
        <f>IF($B915="","",F915*L915/100)</f>
        <v/>
      </c>
      <c r="K915" s="7" t="n"/>
      <c r="L915" s="7" t="n"/>
      <c r="M915" s="7">
        <f>IF($B915="","",L915*T915/100)</f>
        <v/>
      </c>
      <c r="N915" s="7">
        <f>IF($B915="","",L915-M915)</f>
        <v/>
      </c>
      <c r="O915" s="7">
        <f>IF($B915="","",N915-G915)</f>
        <v/>
      </c>
      <c r="R915" s="14" t="n"/>
      <c r="T915">
        <f>IF($B915="","",IF($W915=1,Settings!$C$6,Settings!$C$7)*100)</f>
        <v/>
      </c>
      <c r="U915">
        <f>IF($B915="","",IF(COUNTIF($B$2:$B915,$B915)=1,1,0))</f>
        <v/>
      </c>
      <c r="V915">
        <f>IF($U915=1,SUMPRODUCT(--($X$2:$X$1501&lt;$X915))+1,"")</f>
        <v/>
      </c>
      <c r="W915">
        <f>IF($B915="","",IF(OR($S915=TRUE(),$S915="TRUE"),1,0))</f>
        <v/>
      </c>
      <c r="X915">
        <f>IF($U915=1,IFERROR(IF(VALUE($B915)&lt;100000000,VALUE($B915),1000000000),IFERROR(IF(VALUE(MID($B915,2,20))&lt;100000000,VALUE(MID($B915,2,20)),1000000000),1000000000))+ROW()/100000,"")</f>
        <v/>
      </c>
    </row>
    <row r="916">
      <c r="A916">
        <f>IF($B916="","",IFERROR(IF(INDEX('Per Invoice'!$C$2:$C$401,MATCH($B916,'Per Invoice'!$A$2:$A$401,0))=0,"",INDEX('Per Invoice'!$C$2:$C$401,MATCH($B916,'Per Invoice'!$A$2:$A$401,0))),""))</f>
        <v/>
      </c>
      <c r="G916" s="7">
        <f>IF($B916="","",F916*L916/100)</f>
        <v/>
      </c>
      <c r="K916" s="7" t="n"/>
      <c r="L916" s="7" t="n"/>
      <c r="M916" s="7">
        <f>IF($B916="","",L916*T916/100)</f>
        <v/>
      </c>
      <c r="N916" s="7">
        <f>IF($B916="","",L916-M916)</f>
        <v/>
      </c>
      <c r="O916" s="7">
        <f>IF($B916="","",N916-G916)</f>
        <v/>
      </c>
      <c r="R916" s="14" t="n"/>
      <c r="T916">
        <f>IF($B916="","",IF($W916=1,Settings!$C$6,Settings!$C$7)*100)</f>
        <v/>
      </c>
      <c r="U916">
        <f>IF($B916="","",IF(COUNTIF($B$2:$B916,$B916)=1,1,0))</f>
        <v/>
      </c>
      <c r="V916">
        <f>IF($U916=1,SUMPRODUCT(--($X$2:$X$1501&lt;$X916))+1,"")</f>
        <v/>
      </c>
      <c r="W916">
        <f>IF($B916="","",IF(OR($S916=TRUE(),$S916="TRUE"),1,0))</f>
        <v/>
      </c>
      <c r="X916">
        <f>IF($U916=1,IFERROR(IF(VALUE($B916)&lt;100000000,VALUE($B916),1000000000),IFERROR(IF(VALUE(MID($B916,2,20))&lt;100000000,VALUE(MID($B916,2,20)),1000000000),1000000000))+ROW()/100000,"")</f>
        <v/>
      </c>
    </row>
    <row r="917">
      <c r="A917">
        <f>IF($B917="","",IFERROR(IF(INDEX('Per Invoice'!$C$2:$C$401,MATCH($B917,'Per Invoice'!$A$2:$A$401,0))=0,"",INDEX('Per Invoice'!$C$2:$C$401,MATCH($B917,'Per Invoice'!$A$2:$A$401,0))),""))</f>
        <v/>
      </c>
      <c r="G917" s="7">
        <f>IF($B917="","",F917*L917/100)</f>
        <v/>
      </c>
      <c r="K917" s="7" t="n"/>
      <c r="L917" s="7" t="n"/>
      <c r="M917" s="7">
        <f>IF($B917="","",L917*T917/100)</f>
        <v/>
      </c>
      <c r="N917" s="7">
        <f>IF($B917="","",L917-M917)</f>
        <v/>
      </c>
      <c r="O917" s="7">
        <f>IF($B917="","",N917-G917)</f>
        <v/>
      </c>
      <c r="R917" s="14" t="n"/>
      <c r="T917">
        <f>IF($B917="","",IF($W917=1,Settings!$C$6,Settings!$C$7)*100)</f>
        <v/>
      </c>
      <c r="U917">
        <f>IF($B917="","",IF(COUNTIF($B$2:$B917,$B917)=1,1,0))</f>
        <v/>
      </c>
      <c r="V917">
        <f>IF($U917=1,SUMPRODUCT(--($X$2:$X$1501&lt;$X917))+1,"")</f>
        <v/>
      </c>
      <c r="W917">
        <f>IF($B917="","",IF(OR($S917=TRUE(),$S917="TRUE"),1,0))</f>
        <v/>
      </c>
      <c r="X917">
        <f>IF($U917=1,IFERROR(IF(VALUE($B917)&lt;100000000,VALUE($B917),1000000000),IFERROR(IF(VALUE(MID($B917,2,20))&lt;100000000,VALUE(MID($B917,2,20)),1000000000),1000000000))+ROW()/100000,"")</f>
        <v/>
      </c>
    </row>
    <row r="918">
      <c r="A918">
        <f>IF($B918="","",IFERROR(IF(INDEX('Per Invoice'!$C$2:$C$401,MATCH($B918,'Per Invoice'!$A$2:$A$401,0))=0,"",INDEX('Per Invoice'!$C$2:$C$401,MATCH($B918,'Per Invoice'!$A$2:$A$401,0))),""))</f>
        <v/>
      </c>
      <c r="G918" s="7">
        <f>IF($B918="","",F918*L918/100)</f>
        <v/>
      </c>
      <c r="K918" s="7" t="n"/>
      <c r="L918" s="7" t="n"/>
      <c r="M918" s="7">
        <f>IF($B918="","",L918*T918/100)</f>
        <v/>
      </c>
      <c r="N918" s="7">
        <f>IF($B918="","",L918-M918)</f>
        <v/>
      </c>
      <c r="O918" s="7">
        <f>IF($B918="","",N918-G918)</f>
        <v/>
      </c>
      <c r="R918" s="14" t="n"/>
      <c r="T918">
        <f>IF($B918="","",IF($W918=1,Settings!$C$6,Settings!$C$7)*100)</f>
        <v/>
      </c>
      <c r="U918">
        <f>IF($B918="","",IF(COUNTIF($B$2:$B918,$B918)=1,1,0))</f>
        <v/>
      </c>
      <c r="V918">
        <f>IF($U918=1,SUMPRODUCT(--($X$2:$X$1501&lt;$X918))+1,"")</f>
        <v/>
      </c>
      <c r="W918">
        <f>IF($B918="","",IF(OR($S918=TRUE(),$S918="TRUE"),1,0))</f>
        <v/>
      </c>
      <c r="X918">
        <f>IF($U918=1,IFERROR(IF(VALUE($B918)&lt;100000000,VALUE($B918),1000000000),IFERROR(IF(VALUE(MID($B918,2,20))&lt;100000000,VALUE(MID($B918,2,20)),1000000000),1000000000))+ROW()/100000,"")</f>
        <v/>
      </c>
    </row>
    <row r="919">
      <c r="A919">
        <f>IF($B919="","",IFERROR(IF(INDEX('Per Invoice'!$C$2:$C$401,MATCH($B919,'Per Invoice'!$A$2:$A$401,0))=0,"",INDEX('Per Invoice'!$C$2:$C$401,MATCH($B919,'Per Invoice'!$A$2:$A$401,0))),""))</f>
        <v/>
      </c>
      <c r="G919" s="7">
        <f>IF($B919="","",F919*L919/100)</f>
        <v/>
      </c>
      <c r="K919" s="7" t="n"/>
      <c r="L919" s="7" t="n"/>
      <c r="M919" s="7">
        <f>IF($B919="","",L919*T919/100)</f>
        <v/>
      </c>
      <c r="N919" s="7">
        <f>IF($B919="","",L919-M919)</f>
        <v/>
      </c>
      <c r="O919" s="7">
        <f>IF($B919="","",N919-G919)</f>
        <v/>
      </c>
      <c r="R919" s="14" t="n"/>
      <c r="T919">
        <f>IF($B919="","",IF($W919=1,Settings!$C$6,Settings!$C$7)*100)</f>
        <v/>
      </c>
      <c r="U919">
        <f>IF($B919="","",IF(COUNTIF($B$2:$B919,$B919)=1,1,0))</f>
        <v/>
      </c>
      <c r="V919">
        <f>IF($U919=1,SUMPRODUCT(--($X$2:$X$1501&lt;$X919))+1,"")</f>
        <v/>
      </c>
      <c r="W919">
        <f>IF($B919="","",IF(OR($S919=TRUE(),$S919="TRUE"),1,0))</f>
        <v/>
      </c>
      <c r="X919">
        <f>IF($U919=1,IFERROR(IF(VALUE($B919)&lt;100000000,VALUE($B919),1000000000),IFERROR(IF(VALUE(MID($B919,2,20))&lt;100000000,VALUE(MID($B919,2,20)),1000000000),1000000000))+ROW()/100000,"")</f>
        <v/>
      </c>
    </row>
    <row r="920">
      <c r="A920">
        <f>IF($B920="","",IFERROR(IF(INDEX('Per Invoice'!$C$2:$C$401,MATCH($B920,'Per Invoice'!$A$2:$A$401,0))=0,"",INDEX('Per Invoice'!$C$2:$C$401,MATCH($B920,'Per Invoice'!$A$2:$A$401,0))),""))</f>
        <v/>
      </c>
      <c r="G920" s="7">
        <f>IF($B920="","",F920*L920/100)</f>
        <v/>
      </c>
      <c r="K920" s="7" t="n"/>
      <c r="L920" s="7" t="n"/>
      <c r="M920" s="7">
        <f>IF($B920="","",L920*T920/100)</f>
        <v/>
      </c>
      <c r="N920" s="7">
        <f>IF($B920="","",L920-M920)</f>
        <v/>
      </c>
      <c r="O920" s="7">
        <f>IF($B920="","",N920-G920)</f>
        <v/>
      </c>
      <c r="R920" s="14" t="n"/>
      <c r="T920">
        <f>IF($B920="","",IF($W920=1,Settings!$C$6,Settings!$C$7)*100)</f>
        <v/>
      </c>
      <c r="U920">
        <f>IF($B920="","",IF(COUNTIF($B$2:$B920,$B920)=1,1,0))</f>
        <v/>
      </c>
      <c r="V920">
        <f>IF($U920=1,SUMPRODUCT(--($X$2:$X$1501&lt;$X920))+1,"")</f>
        <v/>
      </c>
      <c r="W920">
        <f>IF($B920="","",IF(OR($S920=TRUE(),$S920="TRUE"),1,0))</f>
        <v/>
      </c>
      <c r="X920">
        <f>IF($U920=1,IFERROR(IF(VALUE($B920)&lt;100000000,VALUE($B920),1000000000),IFERROR(IF(VALUE(MID($B920,2,20))&lt;100000000,VALUE(MID($B920,2,20)),1000000000),1000000000))+ROW()/100000,"")</f>
        <v/>
      </c>
    </row>
    <row r="921">
      <c r="A921">
        <f>IF($B921="","",IFERROR(IF(INDEX('Per Invoice'!$C$2:$C$401,MATCH($B921,'Per Invoice'!$A$2:$A$401,0))=0,"",INDEX('Per Invoice'!$C$2:$C$401,MATCH($B921,'Per Invoice'!$A$2:$A$401,0))),""))</f>
        <v/>
      </c>
      <c r="G921" s="7">
        <f>IF($B921="","",F921*L921/100)</f>
        <v/>
      </c>
      <c r="K921" s="7" t="n"/>
      <c r="L921" s="7" t="n"/>
      <c r="M921" s="7">
        <f>IF($B921="","",L921*T921/100)</f>
        <v/>
      </c>
      <c r="N921" s="7">
        <f>IF($B921="","",L921-M921)</f>
        <v/>
      </c>
      <c r="O921" s="7">
        <f>IF($B921="","",N921-G921)</f>
        <v/>
      </c>
      <c r="R921" s="14" t="n"/>
      <c r="T921">
        <f>IF($B921="","",IF($W921=1,Settings!$C$6,Settings!$C$7)*100)</f>
        <v/>
      </c>
      <c r="U921">
        <f>IF($B921="","",IF(COUNTIF($B$2:$B921,$B921)=1,1,0))</f>
        <v/>
      </c>
      <c r="V921">
        <f>IF($U921=1,SUMPRODUCT(--($X$2:$X$1501&lt;$X921))+1,"")</f>
        <v/>
      </c>
      <c r="W921">
        <f>IF($B921="","",IF(OR($S921=TRUE(),$S921="TRUE"),1,0))</f>
        <v/>
      </c>
      <c r="X921">
        <f>IF($U921=1,IFERROR(IF(VALUE($B921)&lt;100000000,VALUE($B921),1000000000),IFERROR(IF(VALUE(MID($B921,2,20))&lt;100000000,VALUE(MID($B921,2,20)),1000000000),1000000000))+ROW()/100000,"")</f>
        <v/>
      </c>
    </row>
    <row r="922">
      <c r="A922">
        <f>IF($B922="","",IFERROR(IF(INDEX('Per Invoice'!$C$2:$C$401,MATCH($B922,'Per Invoice'!$A$2:$A$401,0))=0,"",INDEX('Per Invoice'!$C$2:$C$401,MATCH($B922,'Per Invoice'!$A$2:$A$401,0))),""))</f>
        <v/>
      </c>
      <c r="G922" s="7">
        <f>IF($B922="","",F922*L922/100)</f>
        <v/>
      </c>
      <c r="K922" s="7" t="n"/>
      <c r="L922" s="7" t="n"/>
      <c r="M922" s="7">
        <f>IF($B922="","",L922*T922/100)</f>
        <v/>
      </c>
      <c r="N922" s="7">
        <f>IF($B922="","",L922-M922)</f>
        <v/>
      </c>
      <c r="O922" s="7">
        <f>IF($B922="","",N922-G922)</f>
        <v/>
      </c>
      <c r="R922" s="14" t="n"/>
      <c r="T922">
        <f>IF($B922="","",IF($W922=1,Settings!$C$6,Settings!$C$7)*100)</f>
        <v/>
      </c>
      <c r="U922">
        <f>IF($B922="","",IF(COUNTIF($B$2:$B922,$B922)=1,1,0))</f>
        <v/>
      </c>
      <c r="V922">
        <f>IF($U922=1,SUMPRODUCT(--($X$2:$X$1501&lt;$X922))+1,"")</f>
        <v/>
      </c>
      <c r="W922">
        <f>IF($B922="","",IF(OR($S922=TRUE(),$S922="TRUE"),1,0))</f>
        <v/>
      </c>
      <c r="X922">
        <f>IF($U922=1,IFERROR(IF(VALUE($B922)&lt;100000000,VALUE($B922),1000000000),IFERROR(IF(VALUE(MID($B922,2,20))&lt;100000000,VALUE(MID($B922,2,20)),1000000000),1000000000))+ROW()/100000,"")</f>
        <v/>
      </c>
    </row>
    <row r="923">
      <c r="A923">
        <f>IF($B923="","",IFERROR(IF(INDEX('Per Invoice'!$C$2:$C$401,MATCH($B923,'Per Invoice'!$A$2:$A$401,0))=0,"",INDEX('Per Invoice'!$C$2:$C$401,MATCH($B923,'Per Invoice'!$A$2:$A$401,0))),""))</f>
        <v/>
      </c>
      <c r="G923" s="7">
        <f>IF($B923="","",F923*L923/100)</f>
        <v/>
      </c>
      <c r="K923" s="7" t="n"/>
      <c r="L923" s="7" t="n"/>
      <c r="M923" s="7">
        <f>IF($B923="","",L923*T923/100)</f>
        <v/>
      </c>
      <c r="N923" s="7">
        <f>IF($B923="","",L923-M923)</f>
        <v/>
      </c>
      <c r="O923" s="7">
        <f>IF($B923="","",N923-G923)</f>
        <v/>
      </c>
      <c r="R923" s="14" t="n"/>
      <c r="T923">
        <f>IF($B923="","",IF($W923=1,Settings!$C$6,Settings!$C$7)*100)</f>
        <v/>
      </c>
      <c r="U923">
        <f>IF($B923="","",IF(COUNTIF($B$2:$B923,$B923)=1,1,0))</f>
        <v/>
      </c>
      <c r="V923">
        <f>IF($U923=1,SUMPRODUCT(--($X$2:$X$1501&lt;$X923))+1,"")</f>
        <v/>
      </c>
      <c r="W923">
        <f>IF($B923="","",IF(OR($S923=TRUE(),$S923="TRUE"),1,0))</f>
        <v/>
      </c>
      <c r="X923">
        <f>IF($U923=1,IFERROR(IF(VALUE($B923)&lt;100000000,VALUE($B923),1000000000),IFERROR(IF(VALUE(MID($B923,2,20))&lt;100000000,VALUE(MID($B923,2,20)),1000000000),1000000000))+ROW()/100000,"")</f>
        <v/>
      </c>
    </row>
    <row r="924">
      <c r="A924">
        <f>IF($B924="","",IFERROR(IF(INDEX('Per Invoice'!$C$2:$C$401,MATCH($B924,'Per Invoice'!$A$2:$A$401,0))=0,"",INDEX('Per Invoice'!$C$2:$C$401,MATCH($B924,'Per Invoice'!$A$2:$A$401,0))),""))</f>
        <v/>
      </c>
      <c r="G924" s="7">
        <f>IF($B924="","",F924*L924/100)</f>
        <v/>
      </c>
      <c r="K924" s="7" t="n"/>
      <c r="L924" s="7" t="n"/>
      <c r="M924" s="7">
        <f>IF($B924="","",L924*T924/100)</f>
        <v/>
      </c>
      <c r="N924" s="7">
        <f>IF($B924="","",L924-M924)</f>
        <v/>
      </c>
      <c r="O924" s="7">
        <f>IF($B924="","",N924-G924)</f>
        <v/>
      </c>
      <c r="R924" s="14" t="n"/>
      <c r="T924">
        <f>IF($B924="","",IF($W924=1,Settings!$C$6,Settings!$C$7)*100)</f>
        <v/>
      </c>
      <c r="U924">
        <f>IF($B924="","",IF(COUNTIF($B$2:$B924,$B924)=1,1,0))</f>
        <v/>
      </c>
      <c r="V924">
        <f>IF($U924=1,SUMPRODUCT(--($X$2:$X$1501&lt;$X924))+1,"")</f>
        <v/>
      </c>
      <c r="W924">
        <f>IF($B924="","",IF(OR($S924=TRUE(),$S924="TRUE"),1,0))</f>
        <v/>
      </c>
      <c r="X924">
        <f>IF($U924=1,IFERROR(IF(VALUE($B924)&lt;100000000,VALUE($B924),1000000000),IFERROR(IF(VALUE(MID($B924,2,20))&lt;100000000,VALUE(MID($B924,2,20)),1000000000),1000000000))+ROW()/100000,"")</f>
        <v/>
      </c>
    </row>
    <row r="925">
      <c r="A925">
        <f>IF($B925="","",IFERROR(IF(INDEX('Per Invoice'!$C$2:$C$401,MATCH($B925,'Per Invoice'!$A$2:$A$401,0))=0,"",INDEX('Per Invoice'!$C$2:$C$401,MATCH($B925,'Per Invoice'!$A$2:$A$401,0))),""))</f>
        <v/>
      </c>
      <c r="G925" s="7">
        <f>IF($B925="","",F925*L925/100)</f>
        <v/>
      </c>
      <c r="K925" s="7" t="n"/>
      <c r="L925" s="7" t="n"/>
      <c r="M925" s="7">
        <f>IF($B925="","",L925*T925/100)</f>
        <v/>
      </c>
      <c r="N925" s="7">
        <f>IF($B925="","",L925-M925)</f>
        <v/>
      </c>
      <c r="O925" s="7">
        <f>IF($B925="","",N925-G925)</f>
        <v/>
      </c>
      <c r="R925" s="14" t="n"/>
      <c r="T925">
        <f>IF($B925="","",IF($W925=1,Settings!$C$6,Settings!$C$7)*100)</f>
        <v/>
      </c>
      <c r="U925">
        <f>IF($B925="","",IF(COUNTIF($B$2:$B925,$B925)=1,1,0))</f>
        <v/>
      </c>
      <c r="V925">
        <f>IF($U925=1,SUMPRODUCT(--($X$2:$X$1501&lt;$X925))+1,"")</f>
        <v/>
      </c>
      <c r="W925">
        <f>IF($B925="","",IF(OR($S925=TRUE(),$S925="TRUE"),1,0))</f>
        <v/>
      </c>
      <c r="X925">
        <f>IF($U925=1,IFERROR(IF(VALUE($B925)&lt;100000000,VALUE($B925),1000000000),IFERROR(IF(VALUE(MID($B925,2,20))&lt;100000000,VALUE(MID($B925,2,20)),1000000000),1000000000))+ROW()/100000,"")</f>
        <v/>
      </c>
    </row>
    <row r="926">
      <c r="A926">
        <f>IF($B926="","",IFERROR(IF(INDEX('Per Invoice'!$C$2:$C$401,MATCH($B926,'Per Invoice'!$A$2:$A$401,0))=0,"",INDEX('Per Invoice'!$C$2:$C$401,MATCH($B926,'Per Invoice'!$A$2:$A$401,0))),""))</f>
        <v/>
      </c>
      <c r="G926" s="7">
        <f>IF($B926="","",F926*L926/100)</f>
        <v/>
      </c>
      <c r="K926" s="7" t="n"/>
      <c r="L926" s="7" t="n"/>
      <c r="M926" s="7">
        <f>IF($B926="","",L926*T926/100)</f>
        <v/>
      </c>
      <c r="N926" s="7">
        <f>IF($B926="","",L926-M926)</f>
        <v/>
      </c>
      <c r="O926" s="7">
        <f>IF($B926="","",N926-G926)</f>
        <v/>
      </c>
      <c r="R926" s="14" t="n"/>
      <c r="T926">
        <f>IF($B926="","",IF($W926=1,Settings!$C$6,Settings!$C$7)*100)</f>
        <v/>
      </c>
      <c r="U926">
        <f>IF($B926="","",IF(COUNTIF($B$2:$B926,$B926)=1,1,0))</f>
        <v/>
      </c>
      <c r="V926">
        <f>IF($U926=1,SUMPRODUCT(--($X$2:$X$1501&lt;$X926))+1,"")</f>
        <v/>
      </c>
      <c r="W926">
        <f>IF($B926="","",IF(OR($S926=TRUE(),$S926="TRUE"),1,0))</f>
        <v/>
      </c>
      <c r="X926">
        <f>IF($U926=1,IFERROR(IF(VALUE($B926)&lt;100000000,VALUE($B926),1000000000),IFERROR(IF(VALUE(MID($B926,2,20))&lt;100000000,VALUE(MID($B926,2,20)),1000000000),1000000000))+ROW()/100000,"")</f>
        <v/>
      </c>
    </row>
    <row r="927">
      <c r="A927">
        <f>IF($B927="","",IFERROR(IF(INDEX('Per Invoice'!$C$2:$C$401,MATCH($B927,'Per Invoice'!$A$2:$A$401,0))=0,"",INDEX('Per Invoice'!$C$2:$C$401,MATCH($B927,'Per Invoice'!$A$2:$A$401,0))),""))</f>
        <v/>
      </c>
      <c r="G927" s="7">
        <f>IF($B927="","",F927*L927/100)</f>
        <v/>
      </c>
      <c r="K927" s="7" t="n"/>
      <c r="L927" s="7" t="n"/>
      <c r="M927" s="7">
        <f>IF($B927="","",L927*T927/100)</f>
        <v/>
      </c>
      <c r="N927" s="7">
        <f>IF($B927="","",L927-M927)</f>
        <v/>
      </c>
      <c r="O927" s="7">
        <f>IF($B927="","",N927-G927)</f>
        <v/>
      </c>
      <c r="R927" s="14" t="n"/>
      <c r="T927">
        <f>IF($B927="","",IF($W927=1,Settings!$C$6,Settings!$C$7)*100)</f>
        <v/>
      </c>
      <c r="U927">
        <f>IF($B927="","",IF(COUNTIF($B$2:$B927,$B927)=1,1,0))</f>
        <v/>
      </c>
      <c r="V927">
        <f>IF($U927=1,SUMPRODUCT(--($X$2:$X$1501&lt;$X927))+1,"")</f>
        <v/>
      </c>
      <c r="W927">
        <f>IF($B927="","",IF(OR($S927=TRUE(),$S927="TRUE"),1,0))</f>
        <v/>
      </c>
      <c r="X927">
        <f>IF($U927=1,IFERROR(IF(VALUE($B927)&lt;100000000,VALUE($B927),1000000000),IFERROR(IF(VALUE(MID($B927,2,20))&lt;100000000,VALUE(MID($B927,2,20)),1000000000),1000000000))+ROW()/100000,"")</f>
        <v/>
      </c>
    </row>
    <row r="928">
      <c r="A928">
        <f>IF($B928="","",IFERROR(IF(INDEX('Per Invoice'!$C$2:$C$401,MATCH($B928,'Per Invoice'!$A$2:$A$401,0))=0,"",INDEX('Per Invoice'!$C$2:$C$401,MATCH($B928,'Per Invoice'!$A$2:$A$401,0))),""))</f>
        <v/>
      </c>
      <c r="G928" s="7">
        <f>IF($B928="","",F928*L928/100)</f>
        <v/>
      </c>
      <c r="K928" s="7" t="n"/>
      <c r="L928" s="7" t="n"/>
      <c r="M928" s="7">
        <f>IF($B928="","",L928*T928/100)</f>
        <v/>
      </c>
      <c r="N928" s="7">
        <f>IF($B928="","",L928-M928)</f>
        <v/>
      </c>
      <c r="O928" s="7">
        <f>IF($B928="","",N928-G928)</f>
        <v/>
      </c>
      <c r="R928" s="14" t="n"/>
      <c r="T928">
        <f>IF($B928="","",IF($W928=1,Settings!$C$6,Settings!$C$7)*100)</f>
        <v/>
      </c>
      <c r="U928">
        <f>IF($B928="","",IF(COUNTIF($B$2:$B928,$B928)=1,1,0))</f>
        <v/>
      </c>
      <c r="V928">
        <f>IF($U928=1,SUMPRODUCT(--($X$2:$X$1501&lt;$X928))+1,"")</f>
        <v/>
      </c>
      <c r="W928">
        <f>IF($B928="","",IF(OR($S928=TRUE(),$S928="TRUE"),1,0))</f>
        <v/>
      </c>
      <c r="X928">
        <f>IF($U928=1,IFERROR(IF(VALUE($B928)&lt;100000000,VALUE($B928),1000000000),IFERROR(IF(VALUE(MID($B928,2,20))&lt;100000000,VALUE(MID($B928,2,20)),1000000000),1000000000))+ROW()/100000,"")</f>
        <v/>
      </c>
    </row>
    <row r="929">
      <c r="A929">
        <f>IF($B929="","",IFERROR(IF(INDEX('Per Invoice'!$C$2:$C$401,MATCH($B929,'Per Invoice'!$A$2:$A$401,0))=0,"",INDEX('Per Invoice'!$C$2:$C$401,MATCH($B929,'Per Invoice'!$A$2:$A$401,0))),""))</f>
        <v/>
      </c>
      <c r="G929" s="7">
        <f>IF($B929="","",F929*L929/100)</f>
        <v/>
      </c>
      <c r="K929" s="7" t="n"/>
      <c r="L929" s="7" t="n"/>
      <c r="M929" s="7">
        <f>IF($B929="","",L929*T929/100)</f>
        <v/>
      </c>
      <c r="N929" s="7">
        <f>IF($B929="","",L929-M929)</f>
        <v/>
      </c>
      <c r="O929" s="7">
        <f>IF($B929="","",N929-G929)</f>
        <v/>
      </c>
      <c r="R929" s="14" t="n"/>
      <c r="T929">
        <f>IF($B929="","",IF($W929=1,Settings!$C$6,Settings!$C$7)*100)</f>
        <v/>
      </c>
      <c r="U929">
        <f>IF($B929="","",IF(COUNTIF($B$2:$B929,$B929)=1,1,0))</f>
        <v/>
      </c>
      <c r="V929">
        <f>IF($U929=1,SUMPRODUCT(--($X$2:$X$1501&lt;$X929))+1,"")</f>
        <v/>
      </c>
      <c r="W929">
        <f>IF($B929="","",IF(OR($S929=TRUE(),$S929="TRUE"),1,0))</f>
        <v/>
      </c>
      <c r="X929">
        <f>IF($U929=1,IFERROR(IF(VALUE($B929)&lt;100000000,VALUE($B929),1000000000),IFERROR(IF(VALUE(MID($B929,2,20))&lt;100000000,VALUE(MID($B929,2,20)),1000000000),1000000000))+ROW()/100000,"")</f>
        <v/>
      </c>
    </row>
    <row r="930">
      <c r="A930">
        <f>IF($B930="","",IFERROR(IF(INDEX('Per Invoice'!$C$2:$C$401,MATCH($B930,'Per Invoice'!$A$2:$A$401,0))=0,"",INDEX('Per Invoice'!$C$2:$C$401,MATCH($B930,'Per Invoice'!$A$2:$A$401,0))),""))</f>
        <v/>
      </c>
      <c r="G930" s="7">
        <f>IF($B930="","",F930*L930/100)</f>
        <v/>
      </c>
      <c r="K930" s="7" t="n"/>
      <c r="L930" s="7" t="n"/>
      <c r="M930" s="7">
        <f>IF($B930="","",L930*T930/100)</f>
        <v/>
      </c>
      <c r="N930" s="7">
        <f>IF($B930="","",L930-M930)</f>
        <v/>
      </c>
      <c r="O930" s="7">
        <f>IF($B930="","",N930-G930)</f>
        <v/>
      </c>
      <c r="R930" s="14" t="n"/>
      <c r="T930">
        <f>IF($B930="","",IF($W930=1,Settings!$C$6,Settings!$C$7)*100)</f>
        <v/>
      </c>
      <c r="U930">
        <f>IF($B930="","",IF(COUNTIF($B$2:$B930,$B930)=1,1,0))</f>
        <v/>
      </c>
      <c r="V930">
        <f>IF($U930=1,SUMPRODUCT(--($X$2:$X$1501&lt;$X930))+1,"")</f>
        <v/>
      </c>
      <c r="W930">
        <f>IF($B930="","",IF(OR($S930=TRUE(),$S930="TRUE"),1,0))</f>
        <v/>
      </c>
      <c r="X930">
        <f>IF($U930=1,IFERROR(IF(VALUE($B930)&lt;100000000,VALUE($B930),1000000000),IFERROR(IF(VALUE(MID($B930,2,20))&lt;100000000,VALUE(MID($B930,2,20)),1000000000),1000000000))+ROW()/100000,"")</f>
        <v/>
      </c>
    </row>
    <row r="931">
      <c r="A931">
        <f>IF($B931="","",IFERROR(IF(INDEX('Per Invoice'!$C$2:$C$401,MATCH($B931,'Per Invoice'!$A$2:$A$401,0))=0,"",INDEX('Per Invoice'!$C$2:$C$401,MATCH($B931,'Per Invoice'!$A$2:$A$401,0))),""))</f>
        <v/>
      </c>
      <c r="G931" s="7">
        <f>IF($B931="","",F931*L931/100)</f>
        <v/>
      </c>
      <c r="K931" s="7" t="n"/>
      <c r="L931" s="7" t="n"/>
      <c r="M931" s="7">
        <f>IF($B931="","",L931*T931/100)</f>
        <v/>
      </c>
      <c r="N931" s="7">
        <f>IF($B931="","",L931-M931)</f>
        <v/>
      </c>
      <c r="O931" s="7">
        <f>IF($B931="","",N931-G931)</f>
        <v/>
      </c>
      <c r="R931" s="14" t="n"/>
      <c r="T931">
        <f>IF($B931="","",IF($W931=1,Settings!$C$6,Settings!$C$7)*100)</f>
        <v/>
      </c>
      <c r="U931">
        <f>IF($B931="","",IF(COUNTIF($B$2:$B931,$B931)=1,1,0))</f>
        <v/>
      </c>
      <c r="V931">
        <f>IF($U931=1,SUMPRODUCT(--($X$2:$X$1501&lt;$X931))+1,"")</f>
        <v/>
      </c>
      <c r="W931">
        <f>IF($B931="","",IF(OR($S931=TRUE(),$S931="TRUE"),1,0))</f>
        <v/>
      </c>
      <c r="X931">
        <f>IF($U931=1,IFERROR(IF(VALUE($B931)&lt;100000000,VALUE($B931),1000000000),IFERROR(IF(VALUE(MID($B931,2,20))&lt;100000000,VALUE(MID($B931,2,20)),1000000000),1000000000))+ROW()/100000,"")</f>
        <v/>
      </c>
    </row>
    <row r="932">
      <c r="A932">
        <f>IF($B932="","",IFERROR(IF(INDEX('Per Invoice'!$C$2:$C$401,MATCH($B932,'Per Invoice'!$A$2:$A$401,0))=0,"",INDEX('Per Invoice'!$C$2:$C$401,MATCH($B932,'Per Invoice'!$A$2:$A$401,0))),""))</f>
        <v/>
      </c>
      <c r="G932" s="7">
        <f>IF($B932="","",F932*L932/100)</f>
        <v/>
      </c>
      <c r="K932" s="7" t="n"/>
      <c r="L932" s="7" t="n"/>
      <c r="M932" s="7">
        <f>IF($B932="","",L932*T932/100)</f>
        <v/>
      </c>
      <c r="N932" s="7">
        <f>IF($B932="","",L932-M932)</f>
        <v/>
      </c>
      <c r="O932" s="7">
        <f>IF($B932="","",N932-G932)</f>
        <v/>
      </c>
      <c r="R932" s="14" t="n"/>
      <c r="T932">
        <f>IF($B932="","",IF($W932=1,Settings!$C$6,Settings!$C$7)*100)</f>
        <v/>
      </c>
      <c r="U932">
        <f>IF($B932="","",IF(COUNTIF($B$2:$B932,$B932)=1,1,0))</f>
        <v/>
      </c>
      <c r="V932">
        <f>IF($U932=1,SUMPRODUCT(--($X$2:$X$1501&lt;$X932))+1,"")</f>
        <v/>
      </c>
      <c r="W932">
        <f>IF($B932="","",IF(OR($S932=TRUE(),$S932="TRUE"),1,0))</f>
        <v/>
      </c>
      <c r="X932">
        <f>IF($U932=1,IFERROR(IF(VALUE($B932)&lt;100000000,VALUE($B932),1000000000),IFERROR(IF(VALUE(MID($B932,2,20))&lt;100000000,VALUE(MID($B932,2,20)),1000000000),1000000000))+ROW()/100000,"")</f>
        <v/>
      </c>
    </row>
    <row r="933">
      <c r="A933">
        <f>IF($B933="","",IFERROR(IF(INDEX('Per Invoice'!$C$2:$C$401,MATCH($B933,'Per Invoice'!$A$2:$A$401,0))=0,"",INDEX('Per Invoice'!$C$2:$C$401,MATCH($B933,'Per Invoice'!$A$2:$A$401,0))),""))</f>
        <v/>
      </c>
      <c r="G933" s="7">
        <f>IF($B933="","",F933*L933/100)</f>
        <v/>
      </c>
      <c r="K933" s="7" t="n"/>
      <c r="L933" s="7" t="n"/>
      <c r="M933" s="7">
        <f>IF($B933="","",L933*T933/100)</f>
        <v/>
      </c>
      <c r="N933" s="7">
        <f>IF($B933="","",L933-M933)</f>
        <v/>
      </c>
      <c r="O933" s="7">
        <f>IF($B933="","",N933-G933)</f>
        <v/>
      </c>
      <c r="R933" s="14" t="n"/>
      <c r="T933">
        <f>IF($B933="","",IF($W933=1,Settings!$C$6,Settings!$C$7)*100)</f>
        <v/>
      </c>
      <c r="U933">
        <f>IF($B933="","",IF(COUNTIF($B$2:$B933,$B933)=1,1,0))</f>
        <v/>
      </c>
      <c r="V933">
        <f>IF($U933=1,SUMPRODUCT(--($X$2:$X$1501&lt;$X933))+1,"")</f>
        <v/>
      </c>
      <c r="W933">
        <f>IF($B933="","",IF(OR($S933=TRUE(),$S933="TRUE"),1,0))</f>
        <v/>
      </c>
      <c r="X933">
        <f>IF($U933=1,IFERROR(IF(VALUE($B933)&lt;100000000,VALUE($B933),1000000000),IFERROR(IF(VALUE(MID($B933,2,20))&lt;100000000,VALUE(MID($B933,2,20)),1000000000),1000000000))+ROW()/100000,"")</f>
        <v/>
      </c>
    </row>
    <row r="934">
      <c r="A934">
        <f>IF($B934="","",IFERROR(IF(INDEX('Per Invoice'!$C$2:$C$401,MATCH($B934,'Per Invoice'!$A$2:$A$401,0))=0,"",INDEX('Per Invoice'!$C$2:$C$401,MATCH($B934,'Per Invoice'!$A$2:$A$401,0))),""))</f>
        <v/>
      </c>
      <c r="G934" s="7">
        <f>IF($B934="","",F934*L934/100)</f>
        <v/>
      </c>
      <c r="K934" s="7" t="n"/>
      <c r="L934" s="7" t="n"/>
      <c r="M934" s="7">
        <f>IF($B934="","",L934*T934/100)</f>
        <v/>
      </c>
      <c r="N934" s="7">
        <f>IF($B934="","",L934-M934)</f>
        <v/>
      </c>
      <c r="O934" s="7">
        <f>IF($B934="","",N934-G934)</f>
        <v/>
      </c>
      <c r="R934" s="14" t="n"/>
      <c r="T934">
        <f>IF($B934="","",IF($W934=1,Settings!$C$6,Settings!$C$7)*100)</f>
        <v/>
      </c>
      <c r="U934">
        <f>IF($B934="","",IF(COUNTIF($B$2:$B934,$B934)=1,1,0))</f>
        <v/>
      </c>
      <c r="V934">
        <f>IF($U934=1,SUMPRODUCT(--($X$2:$X$1501&lt;$X934))+1,"")</f>
        <v/>
      </c>
      <c r="W934">
        <f>IF($B934="","",IF(OR($S934=TRUE(),$S934="TRUE"),1,0))</f>
        <v/>
      </c>
      <c r="X934">
        <f>IF($U934=1,IFERROR(IF(VALUE($B934)&lt;100000000,VALUE($B934),1000000000),IFERROR(IF(VALUE(MID($B934,2,20))&lt;100000000,VALUE(MID($B934,2,20)),1000000000),1000000000))+ROW()/100000,"")</f>
        <v/>
      </c>
    </row>
    <row r="935">
      <c r="A935">
        <f>IF($B935="","",IFERROR(IF(INDEX('Per Invoice'!$C$2:$C$401,MATCH($B935,'Per Invoice'!$A$2:$A$401,0))=0,"",INDEX('Per Invoice'!$C$2:$C$401,MATCH($B935,'Per Invoice'!$A$2:$A$401,0))),""))</f>
        <v/>
      </c>
      <c r="G935" s="7">
        <f>IF($B935="","",F935*L935/100)</f>
        <v/>
      </c>
      <c r="K935" s="7" t="n"/>
      <c r="L935" s="7" t="n"/>
      <c r="M935" s="7">
        <f>IF($B935="","",L935*T935/100)</f>
        <v/>
      </c>
      <c r="N935" s="7">
        <f>IF($B935="","",L935-M935)</f>
        <v/>
      </c>
      <c r="O935" s="7">
        <f>IF($B935="","",N935-G935)</f>
        <v/>
      </c>
      <c r="R935" s="14" t="n"/>
      <c r="T935">
        <f>IF($B935="","",IF($W935=1,Settings!$C$6,Settings!$C$7)*100)</f>
        <v/>
      </c>
      <c r="U935">
        <f>IF($B935="","",IF(COUNTIF($B$2:$B935,$B935)=1,1,0))</f>
        <v/>
      </c>
      <c r="V935">
        <f>IF($U935=1,SUMPRODUCT(--($X$2:$X$1501&lt;$X935))+1,"")</f>
        <v/>
      </c>
      <c r="W935">
        <f>IF($B935="","",IF(OR($S935=TRUE(),$S935="TRUE"),1,0))</f>
        <v/>
      </c>
      <c r="X935">
        <f>IF($U935=1,IFERROR(IF(VALUE($B935)&lt;100000000,VALUE($B935),1000000000),IFERROR(IF(VALUE(MID($B935,2,20))&lt;100000000,VALUE(MID($B935,2,20)),1000000000),1000000000))+ROW()/100000,"")</f>
        <v/>
      </c>
    </row>
    <row r="936">
      <c r="A936">
        <f>IF($B936="","",IFERROR(IF(INDEX('Per Invoice'!$C$2:$C$401,MATCH($B936,'Per Invoice'!$A$2:$A$401,0))=0,"",INDEX('Per Invoice'!$C$2:$C$401,MATCH($B936,'Per Invoice'!$A$2:$A$401,0))),""))</f>
        <v/>
      </c>
      <c r="G936" s="7">
        <f>IF($B936="","",F936*L936/100)</f>
        <v/>
      </c>
      <c r="K936" s="7" t="n"/>
      <c r="L936" s="7" t="n"/>
      <c r="M936" s="7">
        <f>IF($B936="","",L936*T936/100)</f>
        <v/>
      </c>
      <c r="N936" s="7">
        <f>IF($B936="","",L936-M936)</f>
        <v/>
      </c>
      <c r="O936" s="7">
        <f>IF($B936="","",N936-G936)</f>
        <v/>
      </c>
      <c r="R936" s="14" t="n"/>
      <c r="T936">
        <f>IF($B936="","",IF($W936=1,Settings!$C$6,Settings!$C$7)*100)</f>
        <v/>
      </c>
      <c r="U936">
        <f>IF($B936="","",IF(COUNTIF($B$2:$B936,$B936)=1,1,0))</f>
        <v/>
      </c>
      <c r="V936">
        <f>IF($U936=1,SUMPRODUCT(--($X$2:$X$1501&lt;$X936))+1,"")</f>
        <v/>
      </c>
      <c r="W936">
        <f>IF($B936="","",IF(OR($S936=TRUE(),$S936="TRUE"),1,0))</f>
        <v/>
      </c>
      <c r="X936">
        <f>IF($U936=1,IFERROR(IF(VALUE($B936)&lt;100000000,VALUE($B936),1000000000),IFERROR(IF(VALUE(MID($B936,2,20))&lt;100000000,VALUE(MID($B936,2,20)),1000000000),1000000000))+ROW()/100000,"")</f>
        <v/>
      </c>
    </row>
    <row r="937">
      <c r="A937">
        <f>IF($B937="","",IFERROR(IF(INDEX('Per Invoice'!$C$2:$C$401,MATCH($B937,'Per Invoice'!$A$2:$A$401,0))=0,"",INDEX('Per Invoice'!$C$2:$C$401,MATCH($B937,'Per Invoice'!$A$2:$A$401,0))),""))</f>
        <v/>
      </c>
      <c r="G937" s="7">
        <f>IF($B937="","",F937*L937/100)</f>
        <v/>
      </c>
      <c r="K937" s="7" t="n"/>
      <c r="L937" s="7" t="n"/>
      <c r="M937" s="7">
        <f>IF($B937="","",L937*T937/100)</f>
        <v/>
      </c>
      <c r="N937" s="7">
        <f>IF($B937="","",L937-M937)</f>
        <v/>
      </c>
      <c r="O937" s="7">
        <f>IF($B937="","",N937-G937)</f>
        <v/>
      </c>
      <c r="R937" s="14" t="n"/>
      <c r="T937">
        <f>IF($B937="","",IF($W937=1,Settings!$C$6,Settings!$C$7)*100)</f>
        <v/>
      </c>
      <c r="U937">
        <f>IF($B937="","",IF(COUNTIF($B$2:$B937,$B937)=1,1,0))</f>
        <v/>
      </c>
      <c r="V937">
        <f>IF($U937=1,SUMPRODUCT(--($X$2:$X$1501&lt;$X937))+1,"")</f>
        <v/>
      </c>
      <c r="W937">
        <f>IF($B937="","",IF(OR($S937=TRUE(),$S937="TRUE"),1,0))</f>
        <v/>
      </c>
      <c r="X937">
        <f>IF($U937=1,IFERROR(IF(VALUE($B937)&lt;100000000,VALUE($B937),1000000000),IFERROR(IF(VALUE(MID($B937,2,20))&lt;100000000,VALUE(MID($B937,2,20)),1000000000),1000000000))+ROW()/100000,"")</f>
        <v/>
      </c>
    </row>
    <row r="938">
      <c r="A938">
        <f>IF($B938="","",IFERROR(IF(INDEX('Per Invoice'!$C$2:$C$401,MATCH($B938,'Per Invoice'!$A$2:$A$401,0))=0,"",INDEX('Per Invoice'!$C$2:$C$401,MATCH($B938,'Per Invoice'!$A$2:$A$401,0))),""))</f>
        <v/>
      </c>
      <c r="G938" s="7">
        <f>IF($B938="","",F938*L938/100)</f>
        <v/>
      </c>
      <c r="K938" s="7" t="n"/>
      <c r="L938" s="7" t="n"/>
      <c r="M938" s="7">
        <f>IF($B938="","",L938*T938/100)</f>
        <v/>
      </c>
      <c r="N938" s="7">
        <f>IF($B938="","",L938-M938)</f>
        <v/>
      </c>
      <c r="O938" s="7">
        <f>IF($B938="","",N938-G938)</f>
        <v/>
      </c>
      <c r="R938" s="14" t="n"/>
      <c r="T938">
        <f>IF($B938="","",IF($W938=1,Settings!$C$6,Settings!$C$7)*100)</f>
        <v/>
      </c>
      <c r="U938">
        <f>IF($B938="","",IF(COUNTIF($B$2:$B938,$B938)=1,1,0))</f>
        <v/>
      </c>
      <c r="V938">
        <f>IF($U938=1,SUMPRODUCT(--($X$2:$X$1501&lt;$X938))+1,"")</f>
        <v/>
      </c>
      <c r="W938">
        <f>IF($B938="","",IF(OR($S938=TRUE(),$S938="TRUE"),1,0))</f>
        <v/>
      </c>
      <c r="X938">
        <f>IF($U938=1,IFERROR(IF(VALUE($B938)&lt;100000000,VALUE($B938),1000000000),IFERROR(IF(VALUE(MID($B938,2,20))&lt;100000000,VALUE(MID($B938,2,20)),1000000000),1000000000))+ROW()/100000,"")</f>
        <v/>
      </c>
    </row>
    <row r="939">
      <c r="A939">
        <f>IF($B939="","",IFERROR(IF(INDEX('Per Invoice'!$C$2:$C$401,MATCH($B939,'Per Invoice'!$A$2:$A$401,0))=0,"",INDEX('Per Invoice'!$C$2:$C$401,MATCH($B939,'Per Invoice'!$A$2:$A$401,0))),""))</f>
        <v/>
      </c>
      <c r="G939" s="7">
        <f>IF($B939="","",F939*L939/100)</f>
        <v/>
      </c>
      <c r="K939" s="7" t="n"/>
      <c r="L939" s="7" t="n"/>
      <c r="M939" s="7">
        <f>IF($B939="","",L939*T939/100)</f>
        <v/>
      </c>
      <c r="N939" s="7">
        <f>IF($B939="","",L939-M939)</f>
        <v/>
      </c>
      <c r="O939" s="7">
        <f>IF($B939="","",N939-G939)</f>
        <v/>
      </c>
      <c r="R939" s="14" t="n"/>
      <c r="T939">
        <f>IF($B939="","",IF($W939=1,Settings!$C$6,Settings!$C$7)*100)</f>
        <v/>
      </c>
      <c r="U939">
        <f>IF($B939="","",IF(COUNTIF($B$2:$B939,$B939)=1,1,0))</f>
        <v/>
      </c>
      <c r="V939">
        <f>IF($U939=1,SUMPRODUCT(--($X$2:$X$1501&lt;$X939))+1,"")</f>
        <v/>
      </c>
      <c r="W939">
        <f>IF($B939="","",IF(OR($S939=TRUE(),$S939="TRUE"),1,0))</f>
        <v/>
      </c>
      <c r="X939">
        <f>IF($U939=1,IFERROR(IF(VALUE($B939)&lt;100000000,VALUE($B939),1000000000),IFERROR(IF(VALUE(MID($B939,2,20))&lt;100000000,VALUE(MID($B939,2,20)),1000000000),1000000000))+ROW()/100000,"")</f>
        <v/>
      </c>
    </row>
    <row r="940">
      <c r="A940">
        <f>IF($B940="","",IFERROR(IF(INDEX('Per Invoice'!$C$2:$C$401,MATCH($B940,'Per Invoice'!$A$2:$A$401,0))=0,"",INDEX('Per Invoice'!$C$2:$C$401,MATCH($B940,'Per Invoice'!$A$2:$A$401,0))),""))</f>
        <v/>
      </c>
      <c r="G940" s="7">
        <f>IF($B940="","",F940*L940/100)</f>
        <v/>
      </c>
      <c r="K940" s="7" t="n"/>
      <c r="L940" s="7" t="n"/>
      <c r="M940" s="7">
        <f>IF($B940="","",L940*T940/100)</f>
        <v/>
      </c>
      <c r="N940" s="7">
        <f>IF($B940="","",L940-M940)</f>
        <v/>
      </c>
      <c r="O940" s="7">
        <f>IF($B940="","",N940-G940)</f>
        <v/>
      </c>
      <c r="R940" s="14" t="n"/>
      <c r="T940">
        <f>IF($B940="","",IF($W940=1,Settings!$C$6,Settings!$C$7)*100)</f>
        <v/>
      </c>
      <c r="U940">
        <f>IF($B940="","",IF(COUNTIF($B$2:$B940,$B940)=1,1,0))</f>
        <v/>
      </c>
      <c r="V940">
        <f>IF($U940=1,SUMPRODUCT(--($X$2:$X$1501&lt;$X940))+1,"")</f>
        <v/>
      </c>
      <c r="W940">
        <f>IF($B940="","",IF(OR($S940=TRUE(),$S940="TRUE"),1,0))</f>
        <v/>
      </c>
      <c r="X940">
        <f>IF($U940=1,IFERROR(IF(VALUE($B940)&lt;100000000,VALUE($B940),1000000000),IFERROR(IF(VALUE(MID($B940,2,20))&lt;100000000,VALUE(MID($B940,2,20)),1000000000),1000000000))+ROW()/100000,"")</f>
        <v/>
      </c>
    </row>
    <row r="941">
      <c r="A941">
        <f>IF($B941="","",IFERROR(IF(INDEX('Per Invoice'!$C$2:$C$401,MATCH($B941,'Per Invoice'!$A$2:$A$401,0))=0,"",INDEX('Per Invoice'!$C$2:$C$401,MATCH($B941,'Per Invoice'!$A$2:$A$401,0))),""))</f>
        <v/>
      </c>
      <c r="G941" s="7">
        <f>IF($B941="","",F941*L941/100)</f>
        <v/>
      </c>
      <c r="K941" s="7" t="n"/>
      <c r="L941" s="7" t="n"/>
      <c r="M941" s="7">
        <f>IF($B941="","",L941*T941/100)</f>
        <v/>
      </c>
      <c r="N941" s="7">
        <f>IF($B941="","",L941-M941)</f>
        <v/>
      </c>
      <c r="O941" s="7">
        <f>IF($B941="","",N941-G941)</f>
        <v/>
      </c>
      <c r="R941" s="14" t="n"/>
      <c r="T941">
        <f>IF($B941="","",IF($W941=1,Settings!$C$6,Settings!$C$7)*100)</f>
        <v/>
      </c>
      <c r="U941">
        <f>IF($B941="","",IF(COUNTIF($B$2:$B941,$B941)=1,1,0))</f>
        <v/>
      </c>
      <c r="V941">
        <f>IF($U941=1,SUMPRODUCT(--($X$2:$X$1501&lt;$X941))+1,"")</f>
        <v/>
      </c>
      <c r="W941">
        <f>IF($B941="","",IF(OR($S941=TRUE(),$S941="TRUE"),1,0))</f>
        <v/>
      </c>
      <c r="X941">
        <f>IF($U941=1,IFERROR(IF(VALUE($B941)&lt;100000000,VALUE($B941),1000000000),IFERROR(IF(VALUE(MID($B941,2,20))&lt;100000000,VALUE(MID($B941,2,20)),1000000000),1000000000))+ROW()/100000,"")</f>
        <v/>
      </c>
    </row>
    <row r="942">
      <c r="A942">
        <f>IF($B942="","",IFERROR(IF(INDEX('Per Invoice'!$C$2:$C$401,MATCH($B942,'Per Invoice'!$A$2:$A$401,0))=0,"",INDEX('Per Invoice'!$C$2:$C$401,MATCH($B942,'Per Invoice'!$A$2:$A$401,0))),""))</f>
        <v/>
      </c>
      <c r="G942" s="7">
        <f>IF($B942="","",F942*L942/100)</f>
        <v/>
      </c>
      <c r="K942" s="7" t="n"/>
      <c r="L942" s="7" t="n"/>
      <c r="M942" s="7">
        <f>IF($B942="","",L942*T942/100)</f>
        <v/>
      </c>
      <c r="N942" s="7">
        <f>IF($B942="","",L942-M942)</f>
        <v/>
      </c>
      <c r="O942" s="7">
        <f>IF($B942="","",N942-G942)</f>
        <v/>
      </c>
      <c r="R942" s="14" t="n"/>
      <c r="T942">
        <f>IF($B942="","",IF($W942=1,Settings!$C$6,Settings!$C$7)*100)</f>
        <v/>
      </c>
      <c r="U942">
        <f>IF($B942="","",IF(COUNTIF($B$2:$B942,$B942)=1,1,0))</f>
        <v/>
      </c>
      <c r="V942">
        <f>IF($U942=1,SUMPRODUCT(--($X$2:$X$1501&lt;$X942))+1,"")</f>
        <v/>
      </c>
      <c r="W942">
        <f>IF($B942="","",IF(OR($S942=TRUE(),$S942="TRUE"),1,0))</f>
        <v/>
      </c>
      <c r="X942">
        <f>IF($U942=1,IFERROR(IF(VALUE($B942)&lt;100000000,VALUE($B942),1000000000),IFERROR(IF(VALUE(MID($B942,2,20))&lt;100000000,VALUE(MID($B942,2,20)),1000000000),1000000000))+ROW()/100000,"")</f>
        <v/>
      </c>
    </row>
    <row r="943">
      <c r="A943">
        <f>IF($B943="","",IFERROR(IF(INDEX('Per Invoice'!$C$2:$C$401,MATCH($B943,'Per Invoice'!$A$2:$A$401,0))=0,"",INDEX('Per Invoice'!$C$2:$C$401,MATCH($B943,'Per Invoice'!$A$2:$A$401,0))),""))</f>
        <v/>
      </c>
      <c r="G943" s="7">
        <f>IF($B943="","",F943*L943/100)</f>
        <v/>
      </c>
      <c r="K943" s="7" t="n"/>
      <c r="L943" s="7" t="n"/>
      <c r="M943" s="7">
        <f>IF($B943="","",L943*T943/100)</f>
        <v/>
      </c>
      <c r="N943" s="7">
        <f>IF($B943="","",L943-M943)</f>
        <v/>
      </c>
      <c r="O943" s="7">
        <f>IF($B943="","",N943-G943)</f>
        <v/>
      </c>
      <c r="R943" s="14" t="n"/>
      <c r="T943">
        <f>IF($B943="","",IF($W943=1,Settings!$C$6,Settings!$C$7)*100)</f>
        <v/>
      </c>
      <c r="U943">
        <f>IF($B943="","",IF(COUNTIF($B$2:$B943,$B943)=1,1,0))</f>
        <v/>
      </c>
      <c r="V943">
        <f>IF($U943=1,SUMPRODUCT(--($X$2:$X$1501&lt;$X943))+1,"")</f>
        <v/>
      </c>
      <c r="W943">
        <f>IF($B943="","",IF(OR($S943=TRUE(),$S943="TRUE"),1,0))</f>
        <v/>
      </c>
      <c r="X943">
        <f>IF($U943=1,IFERROR(IF(VALUE($B943)&lt;100000000,VALUE($B943),1000000000),IFERROR(IF(VALUE(MID($B943,2,20))&lt;100000000,VALUE(MID($B943,2,20)),1000000000),1000000000))+ROW()/100000,"")</f>
        <v/>
      </c>
    </row>
    <row r="944">
      <c r="A944">
        <f>IF($B944="","",IFERROR(IF(INDEX('Per Invoice'!$C$2:$C$401,MATCH($B944,'Per Invoice'!$A$2:$A$401,0))=0,"",INDEX('Per Invoice'!$C$2:$C$401,MATCH($B944,'Per Invoice'!$A$2:$A$401,0))),""))</f>
        <v/>
      </c>
      <c r="G944" s="7">
        <f>IF($B944="","",F944*L944/100)</f>
        <v/>
      </c>
      <c r="K944" s="7" t="n"/>
      <c r="L944" s="7" t="n"/>
      <c r="M944" s="7">
        <f>IF($B944="","",L944*T944/100)</f>
        <v/>
      </c>
      <c r="N944" s="7">
        <f>IF($B944="","",L944-M944)</f>
        <v/>
      </c>
      <c r="O944" s="7">
        <f>IF($B944="","",N944-G944)</f>
        <v/>
      </c>
      <c r="R944" s="14" t="n"/>
      <c r="T944">
        <f>IF($B944="","",IF($W944=1,Settings!$C$6,Settings!$C$7)*100)</f>
        <v/>
      </c>
      <c r="U944">
        <f>IF($B944="","",IF(COUNTIF($B$2:$B944,$B944)=1,1,0))</f>
        <v/>
      </c>
      <c r="V944">
        <f>IF($U944=1,SUMPRODUCT(--($X$2:$X$1501&lt;$X944))+1,"")</f>
        <v/>
      </c>
      <c r="W944">
        <f>IF($B944="","",IF(OR($S944=TRUE(),$S944="TRUE"),1,0))</f>
        <v/>
      </c>
      <c r="X944">
        <f>IF($U944=1,IFERROR(IF(VALUE($B944)&lt;100000000,VALUE($B944),1000000000),IFERROR(IF(VALUE(MID($B944,2,20))&lt;100000000,VALUE(MID($B944,2,20)),1000000000),1000000000))+ROW()/100000,"")</f>
        <v/>
      </c>
    </row>
    <row r="945">
      <c r="A945">
        <f>IF($B945="","",IFERROR(IF(INDEX('Per Invoice'!$C$2:$C$401,MATCH($B945,'Per Invoice'!$A$2:$A$401,0))=0,"",INDEX('Per Invoice'!$C$2:$C$401,MATCH($B945,'Per Invoice'!$A$2:$A$401,0))),""))</f>
        <v/>
      </c>
      <c r="G945" s="7">
        <f>IF($B945="","",F945*L945/100)</f>
        <v/>
      </c>
      <c r="K945" s="7" t="n"/>
      <c r="L945" s="7" t="n"/>
      <c r="M945" s="7">
        <f>IF($B945="","",L945*T945/100)</f>
        <v/>
      </c>
      <c r="N945" s="7">
        <f>IF($B945="","",L945-M945)</f>
        <v/>
      </c>
      <c r="O945" s="7">
        <f>IF($B945="","",N945-G945)</f>
        <v/>
      </c>
      <c r="R945" s="14" t="n"/>
      <c r="T945">
        <f>IF($B945="","",IF($W945=1,Settings!$C$6,Settings!$C$7)*100)</f>
        <v/>
      </c>
      <c r="U945">
        <f>IF($B945="","",IF(COUNTIF($B$2:$B945,$B945)=1,1,0))</f>
        <v/>
      </c>
      <c r="V945">
        <f>IF($U945=1,SUMPRODUCT(--($X$2:$X$1501&lt;$X945))+1,"")</f>
        <v/>
      </c>
      <c r="W945">
        <f>IF($B945="","",IF(OR($S945=TRUE(),$S945="TRUE"),1,0))</f>
        <v/>
      </c>
      <c r="X945">
        <f>IF($U945=1,IFERROR(IF(VALUE($B945)&lt;100000000,VALUE($B945),1000000000),IFERROR(IF(VALUE(MID($B945,2,20))&lt;100000000,VALUE(MID($B945,2,20)),1000000000),1000000000))+ROW()/100000,"")</f>
        <v/>
      </c>
    </row>
    <row r="946">
      <c r="A946">
        <f>IF($B946="","",IFERROR(IF(INDEX('Per Invoice'!$C$2:$C$401,MATCH($B946,'Per Invoice'!$A$2:$A$401,0))=0,"",INDEX('Per Invoice'!$C$2:$C$401,MATCH($B946,'Per Invoice'!$A$2:$A$401,0))),""))</f>
        <v/>
      </c>
      <c r="G946" s="7">
        <f>IF($B946="","",F946*L946/100)</f>
        <v/>
      </c>
      <c r="K946" s="7" t="n"/>
      <c r="L946" s="7" t="n"/>
      <c r="M946" s="7">
        <f>IF($B946="","",L946*T946/100)</f>
        <v/>
      </c>
      <c r="N946" s="7">
        <f>IF($B946="","",L946-M946)</f>
        <v/>
      </c>
      <c r="O946" s="7">
        <f>IF($B946="","",N946-G946)</f>
        <v/>
      </c>
      <c r="R946" s="14" t="n"/>
      <c r="T946">
        <f>IF($B946="","",IF($W946=1,Settings!$C$6,Settings!$C$7)*100)</f>
        <v/>
      </c>
      <c r="U946">
        <f>IF($B946="","",IF(COUNTIF($B$2:$B946,$B946)=1,1,0))</f>
        <v/>
      </c>
      <c r="V946">
        <f>IF($U946=1,SUMPRODUCT(--($X$2:$X$1501&lt;$X946))+1,"")</f>
        <v/>
      </c>
      <c r="W946">
        <f>IF($B946="","",IF(OR($S946=TRUE(),$S946="TRUE"),1,0))</f>
        <v/>
      </c>
      <c r="X946">
        <f>IF($U946=1,IFERROR(IF(VALUE($B946)&lt;100000000,VALUE($B946),1000000000),IFERROR(IF(VALUE(MID($B946,2,20))&lt;100000000,VALUE(MID($B946,2,20)),1000000000),1000000000))+ROW()/100000,"")</f>
        <v/>
      </c>
    </row>
    <row r="947">
      <c r="A947">
        <f>IF($B947="","",IFERROR(IF(INDEX('Per Invoice'!$C$2:$C$401,MATCH($B947,'Per Invoice'!$A$2:$A$401,0))=0,"",INDEX('Per Invoice'!$C$2:$C$401,MATCH($B947,'Per Invoice'!$A$2:$A$401,0))),""))</f>
        <v/>
      </c>
      <c r="G947" s="7">
        <f>IF($B947="","",F947*L947/100)</f>
        <v/>
      </c>
      <c r="K947" s="7" t="n"/>
      <c r="L947" s="7" t="n"/>
      <c r="M947" s="7">
        <f>IF($B947="","",L947*T947/100)</f>
        <v/>
      </c>
      <c r="N947" s="7">
        <f>IF($B947="","",L947-M947)</f>
        <v/>
      </c>
      <c r="O947" s="7">
        <f>IF($B947="","",N947-G947)</f>
        <v/>
      </c>
      <c r="R947" s="14" t="n"/>
      <c r="T947">
        <f>IF($B947="","",IF($W947=1,Settings!$C$6,Settings!$C$7)*100)</f>
        <v/>
      </c>
      <c r="U947">
        <f>IF($B947="","",IF(COUNTIF($B$2:$B947,$B947)=1,1,0))</f>
        <v/>
      </c>
      <c r="V947">
        <f>IF($U947=1,SUMPRODUCT(--($X$2:$X$1501&lt;$X947))+1,"")</f>
        <v/>
      </c>
      <c r="W947">
        <f>IF($B947="","",IF(OR($S947=TRUE(),$S947="TRUE"),1,0))</f>
        <v/>
      </c>
      <c r="X947">
        <f>IF($U947=1,IFERROR(IF(VALUE($B947)&lt;100000000,VALUE($B947),1000000000),IFERROR(IF(VALUE(MID($B947,2,20))&lt;100000000,VALUE(MID($B947,2,20)),1000000000),1000000000))+ROW()/100000,"")</f>
        <v/>
      </c>
    </row>
    <row r="948">
      <c r="A948">
        <f>IF($B948="","",IFERROR(IF(INDEX('Per Invoice'!$C$2:$C$401,MATCH($B948,'Per Invoice'!$A$2:$A$401,0))=0,"",INDEX('Per Invoice'!$C$2:$C$401,MATCH($B948,'Per Invoice'!$A$2:$A$401,0))),""))</f>
        <v/>
      </c>
      <c r="G948" s="7">
        <f>IF($B948="","",F948*L948/100)</f>
        <v/>
      </c>
      <c r="K948" s="7" t="n"/>
      <c r="L948" s="7" t="n"/>
      <c r="M948" s="7">
        <f>IF($B948="","",L948*T948/100)</f>
        <v/>
      </c>
      <c r="N948" s="7">
        <f>IF($B948="","",L948-M948)</f>
        <v/>
      </c>
      <c r="O948" s="7">
        <f>IF($B948="","",N948-G948)</f>
        <v/>
      </c>
      <c r="R948" s="14" t="n"/>
      <c r="T948">
        <f>IF($B948="","",IF($W948=1,Settings!$C$6,Settings!$C$7)*100)</f>
        <v/>
      </c>
      <c r="U948">
        <f>IF($B948="","",IF(COUNTIF($B$2:$B948,$B948)=1,1,0))</f>
        <v/>
      </c>
      <c r="V948">
        <f>IF($U948=1,SUMPRODUCT(--($X$2:$X$1501&lt;$X948))+1,"")</f>
        <v/>
      </c>
      <c r="W948">
        <f>IF($B948="","",IF(OR($S948=TRUE(),$S948="TRUE"),1,0))</f>
        <v/>
      </c>
      <c r="X948">
        <f>IF($U948=1,IFERROR(IF(VALUE($B948)&lt;100000000,VALUE($B948),1000000000),IFERROR(IF(VALUE(MID($B948,2,20))&lt;100000000,VALUE(MID($B948,2,20)),1000000000),1000000000))+ROW()/100000,"")</f>
        <v/>
      </c>
    </row>
    <row r="949">
      <c r="A949">
        <f>IF($B949="","",IFERROR(IF(INDEX('Per Invoice'!$C$2:$C$401,MATCH($B949,'Per Invoice'!$A$2:$A$401,0))=0,"",INDEX('Per Invoice'!$C$2:$C$401,MATCH($B949,'Per Invoice'!$A$2:$A$401,0))),""))</f>
        <v/>
      </c>
      <c r="G949" s="7">
        <f>IF($B949="","",F949*L949/100)</f>
        <v/>
      </c>
      <c r="K949" s="7" t="n"/>
      <c r="L949" s="7" t="n"/>
      <c r="M949" s="7">
        <f>IF($B949="","",L949*T949/100)</f>
        <v/>
      </c>
      <c r="N949" s="7">
        <f>IF($B949="","",L949-M949)</f>
        <v/>
      </c>
      <c r="O949" s="7">
        <f>IF($B949="","",N949-G949)</f>
        <v/>
      </c>
      <c r="R949" s="14" t="n"/>
      <c r="T949">
        <f>IF($B949="","",IF($W949=1,Settings!$C$6,Settings!$C$7)*100)</f>
        <v/>
      </c>
      <c r="U949">
        <f>IF($B949="","",IF(COUNTIF($B$2:$B949,$B949)=1,1,0))</f>
        <v/>
      </c>
      <c r="V949">
        <f>IF($U949=1,SUMPRODUCT(--($X$2:$X$1501&lt;$X949))+1,"")</f>
        <v/>
      </c>
      <c r="W949">
        <f>IF($B949="","",IF(OR($S949=TRUE(),$S949="TRUE"),1,0))</f>
        <v/>
      </c>
      <c r="X949">
        <f>IF($U949=1,IFERROR(IF(VALUE($B949)&lt;100000000,VALUE($B949),1000000000),IFERROR(IF(VALUE(MID($B949,2,20))&lt;100000000,VALUE(MID($B949,2,20)),1000000000),1000000000))+ROW()/100000,"")</f>
        <v/>
      </c>
    </row>
    <row r="950">
      <c r="A950">
        <f>IF($B950="","",IFERROR(IF(INDEX('Per Invoice'!$C$2:$C$401,MATCH($B950,'Per Invoice'!$A$2:$A$401,0))=0,"",INDEX('Per Invoice'!$C$2:$C$401,MATCH($B950,'Per Invoice'!$A$2:$A$401,0))),""))</f>
        <v/>
      </c>
      <c r="G950" s="7">
        <f>IF($B950="","",F950*L950/100)</f>
        <v/>
      </c>
      <c r="K950" s="7" t="n"/>
      <c r="L950" s="7" t="n"/>
      <c r="M950" s="7">
        <f>IF($B950="","",L950*T950/100)</f>
        <v/>
      </c>
      <c r="N950" s="7">
        <f>IF($B950="","",L950-M950)</f>
        <v/>
      </c>
      <c r="O950" s="7">
        <f>IF($B950="","",N950-G950)</f>
        <v/>
      </c>
      <c r="R950" s="14" t="n"/>
      <c r="T950">
        <f>IF($B950="","",IF($W950=1,Settings!$C$6,Settings!$C$7)*100)</f>
        <v/>
      </c>
      <c r="U950">
        <f>IF($B950="","",IF(COUNTIF($B$2:$B950,$B950)=1,1,0))</f>
        <v/>
      </c>
      <c r="V950">
        <f>IF($U950=1,SUMPRODUCT(--($X$2:$X$1501&lt;$X950))+1,"")</f>
        <v/>
      </c>
      <c r="W950">
        <f>IF($B950="","",IF(OR($S950=TRUE(),$S950="TRUE"),1,0))</f>
        <v/>
      </c>
      <c r="X950">
        <f>IF($U950=1,IFERROR(IF(VALUE($B950)&lt;100000000,VALUE($B950),1000000000),IFERROR(IF(VALUE(MID($B950,2,20))&lt;100000000,VALUE(MID($B950,2,20)),1000000000),1000000000))+ROW()/100000,"")</f>
        <v/>
      </c>
    </row>
    <row r="951">
      <c r="A951">
        <f>IF($B951="","",IFERROR(IF(INDEX('Per Invoice'!$C$2:$C$401,MATCH($B951,'Per Invoice'!$A$2:$A$401,0))=0,"",INDEX('Per Invoice'!$C$2:$C$401,MATCH($B951,'Per Invoice'!$A$2:$A$401,0))),""))</f>
        <v/>
      </c>
      <c r="G951" s="7">
        <f>IF($B951="","",F951*L951/100)</f>
        <v/>
      </c>
      <c r="K951" s="7" t="n"/>
      <c r="L951" s="7" t="n"/>
      <c r="M951" s="7">
        <f>IF($B951="","",L951*T951/100)</f>
        <v/>
      </c>
      <c r="N951" s="7">
        <f>IF($B951="","",L951-M951)</f>
        <v/>
      </c>
      <c r="O951" s="7">
        <f>IF($B951="","",N951-G951)</f>
        <v/>
      </c>
      <c r="R951" s="14" t="n"/>
      <c r="T951">
        <f>IF($B951="","",IF($W951=1,Settings!$C$6,Settings!$C$7)*100)</f>
        <v/>
      </c>
      <c r="U951">
        <f>IF($B951="","",IF(COUNTIF($B$2:$B951,$B951)=1,1,0))</f>
        <v/>
      </c>
      <c r="V951">
        <f>IF($U951=1,SUMPRODUCT(--($X$2:$X$1501&lt;$X951))+1,"")</f>
        <v/>
      </c>
      <c r="W951">
        <f>IF($B951="","",IF(OR($S951=TRUE(),$S951="TRUE"),1,0))</f>
        <v/>
      </c>
      <c r="X951">
        <f>IF($U951=1,IFERROR(IF(VALUE($B951)&lt;100000000,VALUE($B951),1000000000),IFERROR(IF(VALUE(MID($B951,2,20))&lt;100000000,VALUE(MID($B951,2,20)),1000000000),1000000000))+ROW()/100000,"")</f>
        <v/>
      </c>
    </row>
    <row r="952">
      <c r="A952">
        <f>IF($B952="","",IFERROR(IF(INDEX('Per Invoice'!$C$2:$C$401,MATCH($B952,'Per Invoice'!$A$2:$A$401,0))=0,"",INDEX('Per Invoice'!$C$2:$C$401,MATCH($B952,'Per Invoice'!$A$2:$A$401,0))),""))</f>
        <v/>
      </c>
      <c r="G952" s="7">
        <f>IF($B952="","",F952*L952/100)</f>
        <v/>
      </c>
      <c r="K952" s="7" t="n"/>
      <c r="L952" s="7" t="n"/>
      <c r="M952" s="7">
        <f>IF($B952="","",L952*T952/100)</f>
        <v/>
      </c>
      <c r="N952" s="7">
        <f>IF($B952="","",L952-M952)</f>
        <v/>
      </c>
      <c r="O952" s="7">
        <f>IF($B952="","",N952-G952)</f>
        <v/>
      </c>
      <c r="R952" s="14" t="n"/>
      <c r="T952">
        <f>IF($B952="","",IF($W952=1,Settings!$C$6,Settings!$C$7)*100)</f>
        <v/>
      </c>
      <c r="U952">
        <f>IF($B952="","",IF(COUNTIF($B$2:$B952,$B952)=1,1,0))</f>
        <v/>
      </c>
      <c r="V952">
        <f>IF($U952=1,SUMPRODUCT(--($X$2:$X$1501&lt;$X952))+1,"")</f>
        <v/>
      </c>
      <c r="W952">
        <f>IF($B952="","",IF(OR($S952=TRUE(),$S952="TRUE"),1,0))</f>
        <v/>
      </c>
      <c r="X952">
        <f>IF($U952=1,IFERROR(IF(VALUE($B952)&lt;100000000,VALUE($B952),1000000000),IFERROR(IF(VALUE(MID($B952,2,20))&lt;100000000,VALUE(MID($B952,2,20)),1000000000),1000000000))+ROW()/100000,"")</f>
        <v/>
      </c>
    </row>
    <row r="953">
      <c r="A953">
        <f>IF($B953="","",IFERROR(IF(INDEX('Per Invoice'!$C$2:$C$401,MATCH($B953,'Per Invoice'!$A$2:$A$401,0))=0,"",INDEX('Per Invoice'!$C$2:$C$401,MATCH($B953,'Per Invoice'!$A$2:$A$401,0))),""))</f>
        <v/>
      </c>
      <c r="G953" s="7">
        <f>IF($B953="","",F953*L953/100)</f>
        <v/>
      </c>
      <c r="K953" s="7" t="n"/>
      <c r="L953" s="7" t="n"/>
      <c r="M953" s="7">
        <f>IF($B953="","",L953*T953/100)</f>
        <v/>
      </c>
      <c r="N953" s="7">
        <f>IF($B953="","",L953-M953)</f>
        <v/>
      </c>
      <c r="O953" s="7">
        <f>IF($B953="","",N953-G953)</f>
        <v/>
      </c>
      <c r="R953" s="14" t="n"/>
      <c r="T953">
        <f>IF($B953="","",IF($W953=1,Settings!$C$6,Settings!$C$7)*100)</f>
        <v/>
      </c>
      <c r="U953">
        <f>IF($B953="","",IF(COUNTIF($B$2:$B953,$B953)=1,1,0))</f>
        <v/>
      </c>
      <c r="V953">
        <f>IF($U953=1,SUMPRODUCT(--($X$2:$X$1501&lt;$X953))+1,"")</f>
        <v/>
      </c>
      <c r="W953">
        <f>IF($B953="","",IF(OR($S953=TRUE(),$S953="TRUE"),1,0))</f>
        <v/>
      </c>
      <c r="X953">
        <f>IF($U953=1,IFERROR(IF(VALUE($B953)&lt;100000000,VALUE($B953),1000000000),IFERROR(IF(VALUE(MID($B953,2,20))&lt;100000000,VALUE(MID($B953,2,20)),1000000000),1000000000))+ROW()/100000,"")</f>
        <v/>
      </c>
    </row>
    <row r="954">
      <c r="A954">
        <f>IF($B954="","",IFERROR(IF(INDEX('Per Invoice'!$C$2:$C$401,MATCH($B954,'Per Invoice'!$A$2:$A$401,0))=0,"",INDEX('Per Invoice'!$C$2:$C$401,MATCH($B954,'Per Invoice'!$A$2:$A$401,0))),""))</f>
        <v/>
      </c>
      <c r="G954" s="7">
        <f>IF($B954="","",F954*L954/100)</f>
        <v/>
      </c>
      <c r="K954" s="7" t="n"/>
      <c r="L954" s="7" t="n"/>
      <c r="M954" s="7">
        <f>IF($B954="","",L954*T954/100)</f>
        <v/>
      </c>
      <c r="N954" s="7">
        <f>IF($B954="","",L954-M954)</f>
        <v/>
      </c>
      <c r="O954" s="7">
        <f>IF($B954="","",N954-G954)</f>
        <v/>
      </c>
      <c r="R954" s="14" t="n"/>
      <c r="T954">
        <f>IF($B954="","",IF($W954=1,Settings!$C$6,Settings!$C$7)*100)</f>
        <v/>
      </c>
      <c r="U954">
        <f>IF($B954="","",IF(COUNTIF($B$2:$B954,$B954)=1,1,0))</f>
        <v/>
      </c>
      <c r="V954">
        <f>IF($U954=1,SUMPRODUCT(--($X$2:$X$1501&lt;$X954))+1,"")</f>
        <v/>
      </c>
      <c r="W954">
        <f>IF($B954="","",IF(OR($S954=TRUE(),$S954="TRUE"),1,0))</f>
        <v/>
      </c>
      <c r="X954">
        <f>IF($U954=1,IFERROR(IF(VALUE($B954)&lt;100000000,VALUE($B954),1000000000),IFERROR(IF(VALUE(MID($B954,2,20))&lt;100000000,VALUE(MID($B954,2,20)),1000000000),1000000000))+ROW()/100000,"")</f>
        <v/>
      </c>
    </row>
    <row r="955">
      <c r="A955">
        <f>IF($B955="","",IFERROR(IF(INDEX('Per Invoice'!$C$2:$C$401,MATCH($B955,'Per Invoice'!$A$2:$A$401,0))=0,"",INDEX('Per Invoice'!$C$2:$C$401,MATCH($B955,'Per Invoice'!$A$2:$A$401,0))),""))</f>
        <v/>
      </c>
      <c r="G955" s="7">
        <f>IF($B955="","",F955*L955/100)</f>
        <v/>
      </c>
      <c r="K955" s="7" t="n"/>
      <c r="L955" s="7" t="n"/>
      <c r="M955" s="7">
        <f>IF($B955="","",L955*T955/100)</f>
        <v/>
      </c>
      <c r="N955" s="7">
        <f>IF($B955="","",L955-M955)</f>
        <v/>
      </c>
      <c r="O955" s="7">
        <f>IF($B955="","",N955-G955)</f>
        <v/>
      </c>
      <c r="R955" s="14" t="n"/>
      <c r="T955">
        <f>IF($B955="","",IF($W955=1,Settings!$C$6,Settings!$C$7)*100)</f>
        <v/>
      </c>
      <c r="U955">
        <f>IF($B955="","",IF(COUNTIF($B$2:$B955,$B955)=1,1,0))</f>
        <v/>
      </c>
      <c r="V955">
        <f>IF($U955=1,SUMPRODUCT(--($X$2:$X$1501&lt;$X955))+1,"")</f>
        <v/>
      </c>
      <c r="W955">
        <f>IF($B955="","",IF(OR($S955=TRUE(),$S955="TRUE"),1,0))</f>
        <v/>
      </c>
      <c r="X955">
        <f>IF($U955=1,IFERROR(IF(VALUE($B955)&lt;100000000,VALUE($B955),1000000000),IFERROR(IF(VALUE(MID($B955,2,20))&lt;100000000,VALUE(MID($B955,2,20)),1000000000),1000000000))+ROW()/100000,"")</f>
        <v/>
      </c>
    </row>
    <row r="956">
      <c r="A956">
        <f>IF($B956="","",IFERROR(IF(INDEX('Per Invoice'!$C$2:$C$401,MATCH($B956,'Per Invoice'!$A$2:$A$401,0))=0,"",INDEX('Per Invoice'!$C$2:$C$401,MATCH($B956,'Per Invoice'!$A$2:$A$401,0))),""))</f>
        <v/>
      </c>
      <c r="G956" s="7">
        <f>IF($B956="","",F956*L956/100)</f>
        <v/>
      </c>
      <c r="K956" s="7" t="n"/>
      <c r="L956" s="7" t="n"/>
      <c r="M956" s="7">
        <f>IF($B956="","",L956*T956/100)</f>
        <v/>
      </c>
      <c r="N956" s="7">
        <f>IF($B956="","",L956-M956)</f>
        <v/>
      </c>
      <c r="O956" s="7">
        <f>IF($B956="","",N956-G956)</f>
        <v/>
      </c>
      <c r="R956" s="14" t="n"/>
      <c r="T956">
        <f>IF($B956="","",IF($W956=1,Settings!$C$6,Settings!$C$7)*100)</f>
        <v/>
      </c>
      <c r="U956">
        <f>IF($B956="","",IF(COUNTIF($B$2:$B956,$B956)=1,1,0))</f>
        <v/>
      </c>
      <c r="V956">
        <f>IF($U956=1,SUMPRODUCT(--($X$2:$X$1501&lt;$X956))+1,"")</f>
        <v/>
      </c>
      <c r="W956">
        <f>IF($B956="","",IF(OR($S956=TRUE(),$S956="TRUE"),1,0))</f>
        <v/>
      </c>
      <c r="X956">
        <f>IF($U956=1,IFERROR(IF(VALUE($B956)&lt;100000000,VALUE($B956),1000000000),IFERROR(IF(VALUE(MID($B956,2,20))&lt;100000000,VALUE(MID($B956,2,20)),1000000000),1000000000))+ROW()/100000,"")</f>
        <v/>
      </c>
    </row>
    <row r="957">
      <c r="A957">
        <f>IF($B957="","",IFERROR(IF(INDEX('Per Invoice'!$C$2:$C$401,MATCH($B957,'Per Invoice'!$A$2:$A$401,0))=0,"",INDEX('Per Invoice'!$C$2:$C$401,MATCH($B957,'Per Invoice'!$A$2:$A$401,0))),""))</f>
        <v/>
      </c>
      <c r="G957" s="7">
        <f>IF($B957="","",F957*L957/100)</f>
        <v/>
      </c>
      <c r="K957" s="7" t="n"/>
      <c r="L957" s="7" t="n"/>
      <c r="M957" s="7">
        <f>IF($B957="","",L957*T957/100)</f>
        <v/>
      </c>
      <c r="N957" s="7">
        <f>IF($B957="","",L957-M957)</f>
        <v/>
      </c>
      <c r="O957" s="7">
        <f>IF($B957="","",N957-G957)</f>
        <v/>
      </c>
      <c r="R957" s="14" t="n"/>
      <c r="T957">
        <f>IF($B957="","",IF($W957=1,Settings!$C$6,Settings!$C$7)*100)</f>
        <v/>
      </c>
      <c r="U957">
        <f>IF($B957="","",IF(COUNTIF($B$2:$B957,$B957)=1,1,0))</f>
        <v/>
      </c>
      <c r="V957">
        <f>IF($U957=1,SUMPRODUCT(--($X$2:$X$1501&lt;$X957))+1,"")</f>
        <v/>
      </c>
      <c r="W957">
        <f>IF($B957="","",IF(OR($S957=TRUE(),$S957="TRUE"),1,0))</f>
        <v/>
      </c>
      <c r="X957">
        <f>IF($U957=1,IFERROR(IF(VALUE($B957)&lt;100000000,VALUE($B957),1000000000),IFERROR(IF(VALUE(MID($B957,2,20))&lt;100000000,VALUE(MID($B957,2,20)),1000000000),1000000000))+ROW()/100000,"")</f>
        <v/>
      </c>
    </row>
    <row r="958">
      <c r="A958">
        <f>IF($B958="","",IFERROR(IF(INDEX('Per Invoice'!$C$2:$C$401,MATCH($B958,'Per Invoice'!$A$2:$A$401,0))=0,"",INDEX('Per Invoice'!$C$2:$C$401,MATCH($B958,'Per Invoice'!$A$2:$A$401,0))),""))</f>
        <v/>
      </c>
      <c r="G958" s="7">
        <f>IF($B958="","",F958*L958/100)</f>
        <v/>
      </c>
      <c r="K958" s="7" t="n"/>
      <c r="L958" s="7" t="n"/>
      <c r="M958" s="7">
        <f>IF($B958="","",L958*T958/100)</f>
        <v/>
      </c>
      <c r="N958" s="7">
        <f>IF($B958="","",L958-M958)</f>
        <v/>
      </c>
      <c r="O958" s="7">
        <f>IF($B958="","",N958-G958)</f>
        <v/>
      </c>
      <c r="R958" s="14" t="n"/>
      <c r="T958">
        <f>IF($B958="","",IF($W958=1,Settings!$C$6,Settings!$C$7)*100)</f>
        <v/>
      </c>
      <c r="U958">
        <f>IF($B958="","",IF(COUNTIF($B$2:$B958,$B958)=1,1,0))</f>
        <v/>
      </c>
      <c r="V958">
        <f>IF($U958=1,SUMPRODUCT(--($X$2:$X$1501&lt;$X958))+1,"")</f>
        <v/>
      </c>
      <c r="W958">
        <f>IF($B958="","",IF(OR($S958=TRUE(),$S958="TRUE"),1,0))</f>
        <v/>
      </c>
      <c r="X958">
        <f>IF($U958=1,IFERROR(IF(VALUE($B958)&lt;100000000,VALUE($B958),1000000000),IFERROR(IF(VALUE(MID($B958,2,20))&lt;100000000,VALUE(MID($B958,2,20)),1000000000),1000000000))+ROW()/100000,"")</f>
        <v/>
      </c>
    </row>
    <row r="959">
      <c r="A959">
        <f>IF($B959="","",IFERROR(IF(INDEX('Per Invoice'!$C$2:$C$401,MATCH($B959,'Per Invoice'!$A$2:$A$401,0))=0,"",INDEX('Per Invoice'!$C$2:$C$401,MATCH($B959,'Per Invoice'!$A$2:$A$401,0))),""))</f>
        <v/>
      </c>
      <c r="G959" s="7">
        <f>IF($B959="","",F959*L959/100)</f>
        <v/>
      </c>
      <c r="K959" s="7" t="n"/>
      <c r="L959" s="7" t="n"/>
      <c r="M959" s="7">
        <f>IF($B959="","",L959*T959/100)</f>
        <v/>
      </c>
      <c r="N959" s="7">
        <f>IF($B959="","",L959-M959)</f>
        <v/>
      </c>
      <c r="O959" s="7">
        <f>IF($B959="","",N959-G959)</f>
        <v/>
      </c>
      <c r="R959" s="14" t="n"/>
      <c r="T959">
        <f>IF($B959="","",IF($W959=1,Settings!$C$6,Settings!$C$7)*100)</f>
        <v/>
      </c>
      <c r="U959">
        <f>IF($B959="","",IF(COUNTIF($B$2:$B959,$B959)=1,1,0))</f>
        <v/>
      </c>
      <c r="V959">
        <f>IF($U959=1,SUMPRODUCT(--($X$2:$X$1501&lt;$X959))+1,"")</f>
        <v/>
      </c>
      <c r="W959">
        <f>IF($B959="","",IF(OR($S959=TRUE(),$S959="TRUE"),1,0))</f>
        <v/>
      </c>
      <c r="X959">
        <f>IF($U959=1,IFERROR(IF(VALUE($B959)&lt;100000000,VALUE($B959),1000000000),IFERROR(IF(VALUE(MID($B959,2,20))&lt;100000000,VALUE(MID($B959,2,20)),1000000000),1000000000))+ROW()/100000,"")</f>
        <v/>
      </c>
    </row>
    <row r="960">
      <c r="A960">
        <f>IF($B960="","",IFERROR(IF(INDEX('Per Invoice'!$C$2:$C$401,MATCH($B960,'Per Invoice'!$A$2:$A$401,0))=0,"",INDEX('Per Invoice'!$C$2:$C$401,MATCH($B960,'Per Invoice'!$A$2:$A$401,0))),""))</f>
        <v/>
      </c>
      <c r="G960" s="7">
        <f>IF($B960="","",F960*L960/100)</f>
        <v/>
      </c>
      <c r="K960" s="7" t="n"/>
      <c r="L960" s="7" t="n"/>
      <c r="M960" s="7">
        <f>IF($B960="","",L960*T960/100)</f>
        <v/>
      </c>
      <c r="N960" s="7">
        <f>IF($B960="","",L960-M960)</f>
        <v/>
      </c>
      <c r="O960" s="7">
        <f>IF($B960="","",N960-G960)</f>
        <v/>
      </c>
      <c r="R960" s="14" t="n"/>
      <c r="T960">
        <f>IF($B960="","",IF($W960=1,Settings!$C$6,Settings!$C$7)*100)</f>
        <v/>
      </c>
      <c r="U960">
        <f>IF($B960="","",IF(COUNTIF($B$2:$B960,$B960)=1,1,0))</f>
        <v/>
      </c>
      <c r="V960">
        <f>IF($U960=1,SUMPRODUCT(--($X$2:$X$1501&lt;$X960))+1,"")</f>
        <v/>
      </c>
      <c r="W960">
        <f>IF($B960="","",IF(OR($S960=TRUE(),$S960="TRUE"),1,0))</f>
        <v/>
      </c>
      <c r="X960">
        <f>IF($U960=1,IFERROR(IF(VALUE($B960)&lt;100000000,VALUE($B960),1000000000),IFERROR(IF(VALUE(MID($B960,2,20))&lt;100000000,VALUE(MID($B960,2,20)),1000000000),1000000000))+ROW()/100000,"")</f>
        <v/>
      </c>
    </row>
    <row r="961">
      <c r="A961">
        <f>IF($B961="","",IFERROR(IF(INDEX('Per Invoice'!$C$2:$C$401,MATCH($B961,'Per Invoice'!$A$2:$A$401,0))=0,"",INDEX('Per Invoice'!$C$2:$C$401,MATCH($B961,'Per Invoice'!$A$2:$A$401,0))),""))</f>
        <v/>
      </c>
      <c r="G961" s="7">
        <f>IF($B961="","",F961*L961/100)</f>
        <v/>
      </c>
      <c r="K961" s="7" t="n"/>
      <c r="L961" s="7" t="n"/>
      <c r="M961" s="7">
        <f>IF($B961="","",L961*T961/100)</f>
        <v/>
      </c>
      <c r="N961" s="7">
        <f>IF($B961="","",L961-M961)</f>
        <v/>
      </c>
      <c r="O961" s="7">
        <f>IF($B961="","",N961-G961)</f>
        <v/>
      </c>
      <c r="R961" s="14" t="n"/>
      <c r="T961">
        <f>IF($B961="","",IF($W961=1,Settings!$C$6,Settings!$C$7)*100)</f>
        <v/>
      </c>
      <c r="U961">
        <f>IF($B961="","",IF(COUNTIF($B$2:$B961,$B961)=1,1,0))</f>
        <v/>
      </c>
      <c r="V961">
        <f>IF($U961=1,SUMPRODUCT(--($X$2:$X$1501&lt;$X961))+1,"")</f>
        <v/>
      </c>
      <c r="W961">
        <f>IF($B961="","",IF(OR($S961=TRUE(),$S961="TRUE"),1,0))</f>
        <v/>
      </c>
      <c r="X961">
        <f>IF($U961=1,IFERROR(IF(VALUE($B961)&lt;100000000,VALUE($B961),1000000000),IFERROR(IF(VALUE(MID($B961,2,20))&lt;100000000,VALUE(MID($B961,2,20)),1000000000),1000000000))+ROW()/100000,"")</f>
        <v/>
      </c>
    </row>
    <row r="962">
      <c r="A962">
        <f>IF($B962="","",IFERROR(IF(INDEX('Per Invoice'!$C$2:$C$401,MATCH($B962,'Per Invoice'!$A$2:$A$401,0))=0,"",INDEX('Per Invoice'!$C$2:$C$401,MATCH($B962,'Per Invoice'!$A$2:$A$401,0))),""))</f>
        <v/>
      </c>
      <c r="G962" s="7">
        <f>IF($B962="","",F962*L962/100)</f>
        <v/>
      </c>
      <c r="K962" s="7" t="n"/>
      <c r="L962" s="7" t="n"/>
      <c r="M962" s="7">
        <f>IF($B962="","",L962*T962/100)</f>
        <v/>
      </c>
      <c r="N962" s="7">
        <f>IF($B962="","",L962-M962)</f>
        <v/>
      </c>
      <c r="O962" s="7">
        <f>IF($B962="","",N962-G962)</f>
        <v/>
      </c>
      <c r="R962" s="14" t="n"/>
      <c r="T962">
        <f>IF($B962="","",IF($W962=1,Settings!$C$6,Settings!$C$7)*100)</f>
        <v/>
      </c>
      <c r="U962">
        <f>IF($B962="","",IF(COUNTIF($B$2:$B962,$B962)=1,1,0))</f>
        <v/>
      </c>
      <c r="V962">
        <f>IF($U962=1,SUMPRODUCT(--($X$2:$X$1501&lt;$X962))+1,"")</f>
        <v/>
      </c>
      <c r="W962">
        <f>IF($B962="","",IF(OR($S962=TRUE(),$S962="TRUE"),1,0))</f>
        <v/>
      </c>
      <c r="X962">
        <f>IF($U962=1,IFERROR(IF(VALUE($B962)&lt;100000000,VALUE($B962),1000000000),IFERROR(IF(VALUE(MID($B962,2,20))&lt;100000000,VALUE(MID($B962,2,20)),1000000000),1000000000))+ROW()/100000,"")</f>
        <v/>
      </c>
    </row>
    <row r="963">
      <c r="A963">
        <f>IF($B963="","",IFERROR(IF(INDEX('Per Invoice'!$C$2:$C$401,MATCH($B963,'Per Invoice'!$A$2:$A$401,0))=0,"",INDEX('Per Invoice'!$C$2:$C$401,MATCH($B963,'Per Invoice'!$A$2:$A$401,0))),""))</f>
        <v/>
      </c>
      <c r="G963" s="7">
        <f>IF($B963="","",F963*L963/100)</f>
        <v/>
      </c>
      <c r="K963" s="7" t="n"/>
      <c r="L963" s="7" t="n"/>
      <c r="M963" s="7">
        <f>IF($B963="","",L963*T963/100)</f>
        <v/>
      </c>
      <c r="N963" s="7">
        <f>IF($B963="","",L963-M963)</f>
        <v/>
      </c>
      <c r="O963" s="7">
        <f>IF($B963="","",N963-G963)</f>
        <v/>
      </c>
      <c r="R963" s="14" t="n"/>
      <c r="T963">
        <f>IF($B963="","",IF($W963=1,Settings!$C$6,Settings!$C$7)*100)</f>
        <v/>
      </c>
      <c r="U963">
        <f>IF($B963="","",IF(COUNTIF($B$2:$B963,$B963)=1,1,0))</f>
        <v/>
      </c>
      <c r="V963">
        <f>IF($U963=1,SUMPRODUCT(--($X$2:$X$1501&lt;$X963))+1,"")</f>
        <v/>
      </c>
      <c r="W963">
        <f>IF($B963="","",IF(OR($S963=TRUE(),$S963="TRUE"),1,0))</f>
        <v/>
      </c>
      <c r="X963">
        <f>IF($U963=1,IFERROR(IF(VALUE($B963)&lt;100000000,VALUE($B963),1000000000),IFERROR(IF(VALUE(MID($B963,2,20))&lt;100000000,VALUE(MID($B963,2,20)),1000000000),1000000000))+ROW()/100000,"")</f>
        <v/>
      </c>
    </row>
    <row r="964">
      <c r="A964">
        <f>IF($B964="","",IFERROR(IF(INDEX('Per Invoice'!$C$2:$C$401,MATCH($B964,'Per Invoice'!$A$2:$A$401,0))=0,"",INDEX('Per Invoice'!$C$2:$C$401,MATCH($B964,'Per Invoice'!$A$2:$A$401,0))),""))</f>
        <v/>
      </c>
      <c r="G964" s="7">
        <f>IF($B964="","",F964*L964/100)</f>
        <v/>
      </c>
      <c r="K964" s="7" t="n"/>
      <c r="L964" s="7" t="n"/>
      <c r="M964" s="7">
        <f>IF($B964="","",L964*T964/100)</f>
        <v/>
      </c>
      <c r="N964" s="7">
        <f>IF($B964="","",L964-M964)</f>
        <v/>
      </c>
      <c r="O964" s="7">
        <f>IF($B964="","",N964-G964)</f>
        <v/>
      </c>
      <c r="R964" s="14" t="n"/>
      <c r="T964">
        <f>IF($B964="","",IF($W964=1,Settings!$C$6,Settings!$C$7)*100)</f>
        <v/>
      </c>
      <c r="U964">
        <f>IF($B964="","",IF(COUNTIF($B$2:$B964,$B964)=1,1,0))</f>
        <v/>
      </c>
      <c r="V964">
        <f>IF($U964=1,SUMPRODUCT(--($X$2:$X$1501&lt;$X964))+1,"")</f>
        <v/>
      </c>
      <c r="W964">
        <f>IF($B964="","",IF(OR($S964=TRUE(),$S964="TRUE"),1,0))</f>
        <v/>
      </c>
      <c r="X964">
        <f>IF($U964=1,IFERROR(IF(VALUE($B964)&lt;100000000,VALUE($B964),1000000000),IFERROR(IF(VALUE(MID($B964,2,20))&lt;100000000,VALUE(MID($B964,2,20)),1000000000),1000000000))+ROW()/100000,"")</f>
        <v/>
      </c>
    </row>
    <row r="965">
      <c r="A965">
        <f>IF($B965="","",IFERROR(IF(INDEX('Per Invoice'!$C$2:$C$401,MATCH($B965,'Per Invoice'!$A$2:$A$401,0))=0,"",INDEX('Per Invoice'!$C$2:$C$401,MATCH($B965,'Per Invoice'!$A$2:$A$401,0))),""))</f>
        <v/>
      </c>
      <c r="G965" s="7">
        <f>IF($B965="","",F965*L965/100)</f>
        <v/>
      </c>
      <c r="K965" s="7" t="n"/>
      <c r="L965" s="7" t="n"/>
      <c r="M965" s="7">
        <f>IF($B965="","",L965*T965/100)</f>
        <v/>
      </c>
      <c r="N965" s="7">
        <f>IF($B965="","",L965-M965)</f>
        <v/>
      </c>
      <c r="O965" s="7">
        <f>IF($B965="","",N965-G965)</f>
        <v/>
      </c>
      <c r="R965" s="14" t="n"/>
      <c r="T965">
        <f>IF($B965="","",IF($W965=1,Settings!$C$6,Settings!$C$7)*100)</f>
        <v/>
      </c>
      <c r="U965">
        <f>IF($B965="","",IF(COUNTIF($B$2:$B965,$B965)=1,1,0))</f>
        <v/>
      </c>
      <c r="V965">
        <f>IF($U965=1,SUMPRODUCT(--($X$2:$X$1501&lt;$X965))+1,"")</f>
        <v/>
      </c>
      <c r="W965">
        <f>IF($B965="","",IF(OR($S965=TRUE(),$S965="TRUE"),1,0))</f>
        <v/>
      </c>
      <c r="X965">
        <f>IF($U965=1,IFERROR(IF(VALUE($B965)&lt;100000000,VALUE($B965),1000000000),IFERROR(IF(VALUE(MID($B965,2,20))&lt;100000000,VALUE(MID($B965,2,20)),1000000000),1000000000))+ROW()/100000,"")</f>
        <v/>
      </c>
    </row>
    <row r="966">
      <c r="A966">
        <f>IF($B966="","",IFERROR(IF(INDEX('Per Invoice'!$C$2:$C$401,MATCH($B966,'Per Invoice'!$A$2:$A$401,0))=0,"",INDEX('Per Invoice'!$C$2:$C$401,MATCH($B966,'Per Invoice'!$A$2:$A$401,0))),""))</f>
        <v/>
      </c>
      <c r="G966" s="7">
        <f>IF($B966="","",F966*L966/100)</f>
        <v/>
      </c>
      <c r="K966" s="7" t="n"/>
      <c r="L966" s="7" t="n"/>
      <c r="M966" s="7">
        <f>IF($B966="","",L966*T966/100)</f>
        <v/>
      </c>
      <c r="N966" s="7">
        <f>IF($B966="","",L966-M966)</f>
        <v/>
      </c>
      <c r="O966" s="7">
        <f>IF($B966="","",N966-G966)</f>
        <v/>
      </c>
      <c r="R966" s="14" t="n"/>
      <c r="T966">
        <f>IF($B966="","",IF($W966=1,Settings!$C$6,Settings!$C$7)*100)</f>
        <v/>
      </c>
      <c r="U966">
        <f>IF($B966="","",IF(COUNTIF($B$2:$B966,$B966)=1,1,0))</f>
        <v/>
      </c>
      <c r="V966">
        <f>IF($U966=1,SUMPRODUCT(--($X$2:$X$1501&lt;$X966))+1,"")</f>
        <v/>
      </c>
      <c r="W966">
        <f>IF($B966="","",IF(OR($S966=TRUE(),$S966="TRUE"),1,0))</f>
        <v/>
      </c>
      <c r="X966">
        <f>IF($U966=1,IFERROR(IF(VALUE($B966)&lt;100000000,VALUE($B966),1000000000),IFERROR(IF(VALUE(MID($B966,2,20))&lt;100000000,VALUE(MID($B966,2,20)),1000000000),1000000000))+ROW()/100000,"")</f>
        <v/>
      </c>
    </row>
    <row r="967">
      <c r="A967">
        <f>IF($B967="","",IFERROR(IF(INDEX('Per Invoice'!$C$2:$C$401,MATCH($B967,'Per Invoice'!$A$2:$A$401,0))=0,"",INDEX('Per Invoice'!$C$2:$C$401,MATCH($B967,'Per Invoice'!$A$2:$A$401,0))),""))</f>
        <v/>
      </c>
      <c r="G967" s="7">
        <f>IF($B967="","",F967*L967/100)</f>
        <v/>
      </c>
      <c r="K967" s="7" t="n"/>
      <c r="L967" s="7" t="n"/>
      <c r="M967" s="7">
        <f>IF($B967="","",L967*T967/100)</f>
        <v/>
      </c>
      <c r="N967" s="7">
        <f>IF($B967="","",L967-M967)</f>
        <v/>
      </c>
      <c r="O967" s="7">
        <f>IF($B967="","",N967-G967)</f>
        <v/>
      </c>
      <c r="R967" s="14" t="n"/>
      <c r="T967">
        <f>IF($B967="","",IF($W967=1,Settings!$C$6,Settings!$C$7)*100)</f>
        <v/>
      </c>
      <c r="U967">
        <f>IF($B967="","",IF(COUNTIF($B$2:$B967,$B967)=1,1,0))</f>
        <v/>
      </c>
      <c r="V967">
        <f>IF($U967=1,SUMPRODUCT(--($X$2:$X$1501&lt;$X967))+1,"")</f>
        <v/>
      </c>
      <c r="W967">
        <f>IF($B967="","",IF(OR($S967=TRUE(),$S967="TRUE"),1,0))</f>
        <v/>
      </c>
      <c r="X967">
        <f>IF($U967=1,IFERROR(IF(VALUE($B967)&lt;100000000,VALUE($B967),1000000000),IFERROR(IF(VALUE(MID($B967,2,20))&lt;100000000,VALUE(MID($B967,2,20)),1000000000),1000000000))+ROW()/100000,"")</f>
        <v/>
      </c>
    </row>
    <row r="968">
      <c r="A968">
        <f>IF($B968="","",IFERROR(IF(INDEX('Per Invoice'!$C$2:$C$401,MATCH($B968,'Per Invoice'!$A$2:$A$401,0))=0,"",INDEX('Per Invoice'!$C$2:$C$401,MATCH($B968,'Per Invoice'!$A$2:$A$401,0))),""))</f>
        <v/>
      </c>
      <c r="G968" s="7">
        <f>IF($B968="","",F968*L968/100)</f>
        <v/>
      </c>
      <c r="K968" s="7" t="n"/>
      <c r="L968" s="7" t="n"/>
      <c r="M968" s="7">
        <f>IF($B968="","",L968*T968/100)</f>
        <v/>
      </c>
      <c r="N968" s="7">
        <f>IF($B968="","",L968-M968)</f>
        <v/>
      </c>
      <c r="O968" s="7">
        <f>IF($B968="","",N968-G968)</f>
        <v/>
      </c>
      <c r="R968" s="14" t="n"/>
      <c r="T968">
        <f>IF($B968="","",IF($W968=1,Settings!$C$6,Settings!$C$7)*100)</f>
        <v/>
      </c>
      <c r="U968">
        <f>IF($B968="","",IF(COUNTIF($B$2:$B968,$B968)=1,1,0))</f>
        <v/>
      </c>
      <c r="V968">
        <f>IF($U968=1,SUMPRODUCT(--($X$2:$X$1501&lt;$X968))+1,"")</f>
        <v/>
      </c>
      <c r="W968">
        <f>IF($B968="","",IF(OR($S968=TRUE(),$S968="TRUE"),1,0))</f>
        <v/>
      </c>
      <c r="X968">
        <f>IF($U968=1,IFERROR(IF(VALUE($B968)&lt;100000000,VALUE($B968),1000000000),IFERROR(IF(VALUE(MID($B968,2,20))&lt;100000000,VALUE(MID($B968,2,20)),1000000000),1000000000))+ROW()/100000,"")</f>
        <v/>
      </c>
    </row>
    <row r="969">
      <c r="A969">
        <f>IF($B969="","",IFERROR(IF(INDEX('Per Invoice'!$C$2:$C$401,MATCH($B969,'Per Invoice'!$A$2:$A$401,0))=0,"",INDEX('Per Invoice'!$C$2:$C$401,MATCH($B969,'Per Invoice'!$A$2:$A$401,0))),""))</f>
        <v/>
      </c>
      <c r="G969" s="7">
        <f>IF($B969="","",F969*L969/100)</f>
        <v/>
      </c>
      <c r="K969" s="7" t="n"/>
      <c r="L969" s="7" t="n"/>
      <c r="M969" s="7">
        <f>IF($B969="","",L969*T969/100)</f>
        <v/>
      </c>
      <c r="N969" s="7">
        <f>IF($B969="","",L969-M969)</f>
        <v/>
      </c>
      <c r="O969" s="7">
        <f>IF($B969="","",N969-G969)</f>
        <v/>
      </c>
      <c r="R969" s="14" t="n"/>
      <c r="T969">
        <f>IF($B969="","",IF($W969=1,Settings!$C$6,Settings!$C$7)*100)</f>
        <v/>
      </c>
      <c r="U969">
        <f>IF($B969="","",IF(COUNTIF($B$2:$B969,$B969)=1,1,0))</f>
        <v/>
      </c>
      <c r="V969">
        <f>IF($U969=1,SUMPRODUCT(--($X$2:$X$1501&lt;$X969))+1,"")</f>
        <v/>
      </c>
      <c r="W969">
        <f>IF($B969="","",IF(OR($S969=TRUE(),$S969="TRUE"),1,0))</f>
        <v/>
      </c>
      <c r="X969">
        <f>IF($U969=1,IFERROR(IF(VALUE($B969)&lt;100000000,VALUE($B969),1000000000),IFERROR(IF(VALUE(MID($B969,2,20))&lt;100000000,VALUE(MID($B969,2,20)),1000000000),1000000000))+ROW()/100000,"")</f>
        <v/>
      </c>
    </row>
    <row r="970">
      <c r="A970">
        <f>IF($B970="","",IFERROR(IF(INDEX('Per Invoice'!$C$2:$C$401,MATCH($B970,'Per Invoice'!$A$2:$A$401,0))=0,"",INDEX('Per Invoice'!$C$2:$C$401,MATCH($B970,'Per Invoice'!$A$2:$A$401,0))),""))</f>
        <v/>
      </c>
      <c r="G970" s="7">
        <f>IF($B970="","",F970*L970/100)</f>
        <v/>
      </c>
      <c r="K970" s="7" t="n"/>
      <c r="L970" s="7" t="n"/>
      <c r="M970" s="7">
        <f>IF($B970="","",L970*T970/100)</f>
        <v/>
      </c>
      <c r="N970" s="7">
        <f>IF($B970="","",L970-M970)</f>
        <v/>
      </c>
      <c r="O970" s="7">
        <f>IF($B970="","",N970-G970)</f>
        <v/>
      </c>
      <c r="R970" s="14" t="n"/>
      <c r="T970">
        <f>IF($B970="","",IF($W970=1,Settings!$C$6,Settings!$C$7)*100)</f>
        <v/>
      </c>
      <c r="U970">
        <f>IF($B970="","",IF(COUNTIF($B$2:$B970,$B970)=1,1,0))</f>
        <v/>
      </c>
      <c r="V970">
        <f>IF($U970=1,SUMPRODUCT(--($X$2:$X$1501&lt;$X970))+1,"")</f>
        <v/>
      </c>
      <c r="W970">
        <f>IF($B970="","",IF(OR($S970=TRUE(),$S970="TRUE"),1,0))</f>
        <v/>
      </c>
      <c r="X970">
        <f>IF($U970=1,IFERROR(IF(VALUE($B970)&lt;100000000,VALUE($B970),1000000000),IFERROR(IF(VALUE(MID($B970,2,20))&lt;100000000,VALUE(MID($B970,2,20)),1000000000),1000000000))+ROW()/100000,"")</f>
        <v/>
      </c>
    </row>
    <row r="971">
      <c r="A971">
        <f>IF($B971="","",IFERROR(IF(INDEX('Per Invoice'!$C$2:$C$401,MATCH($B971,'Per Invoice'!$A$2:$A$401,0))=0,"",INDEX('Per Invoice'!$C$2:$C$401,MATCH($B971,'Per Invoice'!$A$2:$A$401,0))),""))</f>
        <v/>
      </c>
      <c r="G971" s="7">
        <f>IF($B971="","",F971*L971/100)</f>
        <v/>
      </c>
      <c r="K971" s="7" t="n"/>
      <c r="L971" s="7" t="n"/>
      <c r="M971" s="7">
        <f>IF($B971="","",L971*T971/100)</f>
        <v/>
      </c>
      <c r="N971" s="7">
        <f>IF($B971="","",L971-M971)</f>
        <v/>
      </c>
      <c r="O971" s="7">
        <f>IF($B971="","",N971-G971)</f>
        <v/>
      </c>
      <c r="R971" s="14" t="n"/>
      <c r="T971">
        <f>IF($B971="","",IF($W971=1,Settings!$C$6,Settings!$C$7)*100)</f>
        <v/>
      </c>
      <c r="U971">
        <f>IF($B971="","",IF(COUNTIF($B$2:$B971,$B971)=1,1,0))</f>
        <v/>
      </c>
      <c r="V971">
        <f>IF($U971=1,SUMPRODUCT(--($X$2:$X$1501&lt;$X971))+1,"")</f>
        <v/>
      </c>
      <c r="W971">
        <f>IF($B971="","",IF(OR($S971=TRUE(),$S971="TRUE"),1,0))</f>
        <v/>
      </c>
      <c r="X971">
        <f>IF($U971=1,IFERROR(IF(VALUE($B971)&lt;100000000,VALUE($B971),1000000000),IFERROR(IF(VALUE(MID($B971,2,20))&lt;100000000,VALUE(MID($B971,2,20)),1000000000),1000000000))+ROW()/100000,"")</f>
        <v/>
      </c>
    </row>
    <row r="972">
      <c r="A972">
        <f>IF($B972="","",IFERROR(IF(INDEX('Per Invoice'!$C$2:$C$401,MATCH($B972,'Per Invoice'!$A$2:$A$401,0))=0,"",INDEX('Per Invoice'!$C$2:$C$401,MATCH($B972,'Per Invoice'!$A$2:$A$401,0))),""))</f>
        <v/>
      </c>
      <c r="G972" s="7">
        <f>IF($B972="","",F972*L972/100)</f>
        <v/>
      </c>
      <c r="K972" s="7" t="n"/>
      <c r="L972" s="7" t="n"/>
      <c r="M972" s="7">
        <f>IF($B972="","",L972*T972/100)</f>
        <v/>
      </c>
      <c r="N972" s="7">
        <f>IF($B972="","",L972-M972)</f>
        <v/>
      </c>
      <c r="O972" s="7">
        <f>IF($B972="","",N972-G972)</f>
        <v/>
      </c>
      <c r="R972" s="14" t="n"/>
      <c r="T972">
        <f>IF($B972="","",IF($W972=1,Settings!$C$6,Settings!$C$7)*100)</f>
        <v/>
      </c>
      <c r="U972">
        <f>IF($B972="","",IF(COUNTIF($B$2:$B972,$B972)=1,1,0))</f>
        <v/>
      </c>
      <c r="V972">
        <f>IF($U972=1,SUMPRODUCT(--($X$2:$X$1501&lt;$X972))+1,"")</f>
        <v/>
      </c>
      <c r="W972">
        <f>IF($B972="","",IF(OR($S972=TRUE(),$S972="TRUE"),1,0))</f>
        <v/>
      </c>
      <c r="X972">
        <f>IF($U972=1,IFERROR(IF(VALUE($B972)&lt;100000000,VALUE($B972),1000000000),IFERROR(IF(VALUE(MID($B972,2,20))&lt;100000000,VALUE(MID($B972,2,20)),1000000000),1000000000))+ROW()/100000,"")</f>
        <v/>
      </c>
    </row>
    <row r="973">
      <c r="A973">
        <f>IF($B973="","",IFERROR(IF(INDEX('Per Invoice'!$C$2:$C$401,MATCH($B973,'Per Invoice'!$A$2:$A$401,0))=0,"",INDEX('Per Invoice'!$C$2:$C$401,MATCH($B973,'Per Invoice'!$A$2:$A$401,0))),""))</f>
        <v/>
      </c>
      <c r="G973" s="7">
        <f>IF($B973="","",F973*L973/100)</f>
        <v/>
      </c>
      <c r="K973" s="7" t="n"/>
      <c r="L973" s="7" t="n"/>
      <c r="M973" s="7">
        <f>IF($B973="","",L973*T973/100)</f>
        <v/>
      </c>
      <c r="N973" s="7">
        <f>IF($B973="","",L973-M973)</f>
        <v/>
      </c>
      <c r="O973" s="7">
        <f>IF($B973="","",N973-G973)</f>
        <v/>
      </c>
      <c r="R973" s="14" t="n"/>
      <c r="T973">
        <f>IF($B973="","",IF($W973=1,Settings!$C$6,Settings!$C$7)*100)</f>
        <v/>
      </c>
      <c r="U973">
        <f>IF($B973="","",IF(COUNTIF($B$2:$B973,$B973)=1,1,0))</f>
        <v/>
      </c>
      <c r="V973">
        <f>IF($U973=1,SUMPRODUCT(--($X$2:$X$1501&lt;$X973))+1,"")</f>
        <v/>
      </c>
      <c r="W973">
        <f>IF($B973="","",IF(OR($S973=TRUE(),$S973="TRUE"),1,0))</f>
        <v/>
      </c>
      <c r="X973">
        <f>IF($U973=1,IFERROR(IF(VALUE($B973)&lt;100000000,VALUE($B973),1000000000),IFERROR(IF(VALUE(MID($B973,2,20))&lt;100000000,VALUE(MID($B973,2,20)),1000000000),1000000000))+ROW()/100000,"")</f>
        <v/>
      </c>
    </row>
    <row r="974">
      <c r="A974">
        <f>IF($B974="","",IFERROR(IF(INDEX('Per Invoice'!$C$2:$C$401,MATCH($B974,'Per Invoice'!$A$2:$A$401,0))=0,"",INDEX('Per Invoice'!$C$2:$C$401,MATCH($B974,'Per Invoice'!$A$2:$A$401,0))),""))</f>
        <v/>
      </c>
      <c r="G974" s="7">
        <f>IF($B974="","",F974*L974/100)</f>
        <v/>
      </c>
      <c r="K974" s="7" t="n"/>
      <c r="L974" s="7" t="n"/>
      <c r="M974" s="7">
        <f>IF($B974="","",L974*T974/100)</f>
        <v/>
      </c>
      <c r="N974" s="7">
        <f>IF($B974="","",L974-M974)</f>
        <v/>
      </c>
      <c r="O974" s="7">
        <f>IF($B974="","",N974-G974)</f>
        <v/>
      </c>
      <c r="R974" s="14" t="n"/>
      <c r="T974">
        <f>IF($B974="","",IF($W974=1,Settings!$C$6,Settings!$C$7)*100)</f>
        <v/>
      </c>
      <c r="U974">
        <f>IF($B974="","",IF(COUNTIF($B$2:$B974,$B974)=1,1,0))</f>
        <v/>
      </c>
      <c r="V974">
        <f>IF($U974=1,SUMPRODUCT(--($X$2:$X$1501&lt;$X974))+1,"")</f>
        <v/>
      </c>
      <c r="W974">
        <f>IF($B974="","",IF(OR($S974=TRUE(),$S974="TRUE"),1,0))</f>
        <v/>
      </c>
      <c r="X974">
        <f>IF($U974=1,IFERROR(IF(VALUE($B974)&lt;100000000,VALUE($B974),1000000000),IFERROR(IF(VALUE(MID($B974,2,20))&lt;100000000,VALUE(MID($B974,2,20)),1000000000),1000000000))+ROW()/100000,"")</f>
        <v/>
      </c>
    </row>
    <row r="975">
      <c r="A975">
        <f>IF($B975="","",IFERROR(IF(INDEX('Per Invoice'!$C$2:$C$401,MATCH($B975,'Per Invoice'!$A$2:$A$401,0))=0,"",INDEX('Per Invoice'!$C$2:$C$401,MATCH($B975,'Per Invoice'!$A$2:$A$401,0))),""))</f>
        <v/>
      </c>
      <c r="G975" s="7">
        <f>IF($B975="","",F975*L975/100)</f>
        <v/>
      </c>
      <c r="K975" s="7" t="n"/>
      <c r="L975" s="7" t="n"/>
      <c r="M975" s="7">
        <f>IF($B975="","",L975*T975/100)</f>
        <v/>
      </c>
      <c r="N975" s="7">
        <f>IF($B975="","",L975-M975)</f>
        <v/>
      </c>
      <c r="O975" s="7">
        <f>IF($B975="","",N975-G975)</f>
        <v/>
      </c>
      <c r="R975" s="14" t="n"/>
      <c r="T975">
        <f>IF($B975="","",IF($W975=1,Settings!$C$6,Settings!$C$7)*100)</f>
        <v/>
      </c>
      <c r="U975">
        <f>IF($B975="","",IF(COUNTIF($B$2:$B975,$B975)=1,1,0))</f>
        <v/>
      </c>
      <c r="V975">
        <f>IF($U975=1,SUMPRODUCT(--($X$2:$X$1501&lt;$X975))+1,"")</f>
        <v/>
      </c>
      <c r="W975">
        <f>IF($B975="","",IF(OR($S975=TRUE(),$S975="TRUE"),1,0))</f>
        <v/>
      </c>
      <c r="X975">
        <f>IF($U975=1,IFERROR(IF(VALUE($B975)&lt;100000000,VALUE($B975),1000000000),IFERROR(IF(VALUE(MID($B975,2,20))&lt;100000000,VALUE(MID($B975,2,20)),1000000000),1000000000))+ROW()/100000,"")</f>
        <v/>
      </c>
    </row>
    <row r="976">
      <c r="A976">
        <f>IF($B976="","",IFERROR(IF(INDEX('Per Invoice'!$C$2:$C$401,MATCH($B976,'Per Invoice'!$A$2:$A$401,0))=0,"",INDEX('Per Invoice'!$C$2:$C$401,MATCH($B976,'Per Invoice'!$A$2:$A$401,0))),""))</f>
        <v/>
      </c>
      <c r="G976" s="7">
        <f>IF($B976="","",F976*L976/100)</f>
        <v/>
      </c>
      <c r="K976" s="7" t="n"/>
      <c r="L976" s="7" t="n"/>
      <c r="M976" s="7">
        <f>IF($B976="","",L976*T976/100)</f>
        <v/>
      </c>
      <c r="N976" s="7">
        <f>IF($B976="","",L976-M976)</f>
        <v/>
      </c>
      <c r="O976" s="7">
        <f>IF($B976="","",N976-G976)</f>
        <v/>
      </c>
      <c r="R976" s="14" t="n"/>
      <c r="T976">
        <f>IF($B976="","",IF($W976=1,Settings!$C$6,Settings!$C$7)*100)</f>
        <v/>
      </c>
      <c r="U976">
        <f>IF($B976="","",IF(COUNTIF($B$2:$B976,$B976)=1,1,0))</f>
        <v/>
      </c>
      <c r="V976">
        <f>IF($U976=1,SUMPRODUCT(--($X$2:$X$1501&lt;$X976))+1,"")</f>
        <v/>
      </c>
      <c r="W976">
        <f>IF($B976="","",IF(OR($S976=TRUE(),$S976="TRUE"),1,0))</f>
        <v/>
      </c>
      <c r="X976">
        <f>IF($U976=1,IFERROR(IF(VALUE($B976)&lt;100000000,VALUE($B976),1000000000),IFERROR(IF(VALUE(MID($B976,2,20))&lt;100000000,VALUE(MID($B976,2,20)),1000000000),1000000000))+ROW()/100000,"")</f>
        <v/>
      </c>
    </row>
    <row r="977">
      <c r="A977">
        <f>IF($B977="","",IFERROR(IF(INDEX('Per Invoice'!$C$2:$C$401,MATCH($B977,'Per Invoice'!$A$2:$A$401,0))=0,"",INDEX('Per Invoice'!$C$2:$C$401,MATCH($B977,'Per Invoice'!$A$2:$A$401,0))),""))</f>
        <v/>
      </c>
      <c r="G977" s="7">
        <f>IF($B977="","",F977*L977/100)</f>
        <v/>
      </c>
      <c r="K977" s="7" t="n"/>
      <c r="L977" s="7" t="n"/>
      <c r="M977" s="7">
        <f>IF($B977="","",L977*T977/100)</f>
        <v/>
      </c>
      <c r="N977" s="7">
        <f>IF($B977="","",L977-M977)</f>
        <v/>
      </c>
      <c r="O977" s="7">
        <f>IF($B977="","",N977-G977)</f>
        <v/>
      </c>
      <c r="R977" s="14" t="n"/>
      <c r="T977">
        <f>IF($B977="","",IF($W977=1,Settings!$C$6,Settings!$C$7)*100)</f>
        <v/>
      </c>
      <c r="U977">
        <f>IF($B977="","",IF(COUNTIF($B$2:$B977,$B977)=1,1,0))</f>
        <v/>
      </c>
      <c r="V977">
        <f>IF($U977=1,SUMPRODUCT(--($X$2:$X$1501&lt;$X977))+1,"")</f>
        <v/>
      </c>
      <c r="W977">
        <f>IF($B977="","",IF(OR($S977=TRUE(),$S977="TRUE"),1,0))</f>
        <v/>
      </c>
      <c r="X977">
        <f>IF($U977=1,IFERROR(IF(VALUE($B977)&lt;100000000,VALUE($B977),1000000000),IFERROR(IF(VALUE(MID($B977,2,20))&lt;100000000,VALUE(MID($B977,2,20)),1000000000),1000000000))+ROW()/100000,"")</f>
        <v/>
      </c>
    </row>
    <row r="978">
      <c r="A978">
        <f>IF($B978="","",IFERROR(IF(INDEX('Per Invoice'!$C$2:$C$401,MATCH($B978,'Per Invoice'!$A$2:$A$401,0))=0,"",INDEX('Per Invoice'!$C$2:$C$401,MATCH($B978,'Per Invoice'!$A$2:$A$401,0))),""))</f>
        <v/>
      </c>
      <c r="G978" s="7">
        <f>IF($B978="","",F978*L978/100)</f>
        <v/>
      </c>
      <c r="K978" s="7" t="n"/>
      <c r="L978" s="7" t="n"/>
      <c r="M978" s="7">
        <f>IF($B978="","",L978*T978/100)</f>
        <v/>
      </c>
      <c r="N978" s="7">
        <f>IF($B978="","",L978-M978)</f>
        <v/>
      </c>
      <c r="O978" s="7">
        <f>IF($B978="","",N978-G978)</f>
        <v/>
      </c>
      <c r="R978" s="14" t="n"/>
      <c r="T978">
        <f>IF($B978="","",IF($W978=1,Settings!$C$6,Settings!$C$7)*100)</f>
        <v/>
      </c>
      <c r="U978">
        <f>IF($B978="","",IF(COUNTIF($B$2:$B978,$B978)=1,1,0))</f>
        <v/>
      </c>
      <c r="V978">
        <f>IF($U978=1,SUMPRODUCT(--($X$2:$X$1501&lt;$X978))+1,"")</f>
        <v/>
      </c>
      <c r="W978">
        <f>IF($B978="","",IF(OR($S978=TRUE(),$S978="TRUE"),1,0))</f>
        <v/>
      </c>
      <c r="X978">
        <f>IF($U978=1,IFERROR(IF(VALUE($B978)&lt;100000000,VALUE($B978),1000000000),IFERROR(IF(VALUE(MID($B978,2,20))&lt;100000000,VALUE(MID($B978,2,20)),1000000000),1000000000))+ROW()/100000,"")</f>
        <v/>
      </c>
    </row>
    <row r="979">
      <c r="A979">
        <f>IF($B979="","",IFERROR(IF(INDEX('Per Invoice'!$C$2:$C$401,MATCH($B979,'Per Invoice'!$A$2:$A$401,0))=0,"",INDEX('Per Invoice'!$C$2:$C$401,MATCH($B979,'Per Invoice'!$A$2:$A$401,0))),""))</f>
        <v/>
      </c>
      <c r="G979" s="7">
        <f>IF($B979="","",F979*L979/100)</f>
        <v/>
      </c>
      <c r="K979" s="7" t="n"/>
      <c r="L979" s="7" t="n"/>
      <c r="M979" s="7">
        <f>IF($B979="","",L979*T979/100)</f>
        <v/>
      </c>
      <c r="N979" s="7">
        <f>IF($B979="","",L979-M979)</f>
        <v/>
      </c>
      <c r="O979" s="7">
        <f>IF($B979="","",N979-G979)</f>
        <v/>
      </c>
      <c r="R979" s="14" t="n"/>
      <c r="T979">
        <f>IF($B979="","",IF($W979=1,Settings!$C$6,Settings!$C$7)*100)</f>
        <v/>
      </c>
      <c r="U979">
        <f>IF($B979="","",IF(COUNTIF($B$2:$B979,$B979)=1,1,0))</f>
        <v/>
      </c>
      <c r="V979">
        <f>IF($U979=1,SUMPRODUCT(--($X$2:$X$1501&lt;$X979))+1,"")</f>
        <v/>
      </c>
      <c r="W979">
        <f>IF($B979="","",IF(OR($S979=TRUE(),$S979="TRUE"),1,0))</f>
        <v/>
      </c>
      <c r="X979">
        <f>IF($U979=1,IFERROR(IF(VALUE($B979)&lt;100000000,VALUE($B979),1000000000),IFERROR(IF(VALUE(MID($B979,2,20))&lt;100000000,VALUE(MID($B979,2,20)),1000000000),1000000000))+ROW()/100000,"")</f>
        <v/>
      </c>
    </row>
    <row r="980">
      <c r="A980">
        <f>IF($B980="","",IFERROR(IF(INDEX('Per Invoice'!$C$2:$C$401,MATCH($B980,'Per Invoice'!$A$2:$A$401,0))=0,"",INDEX('Per Invoice'!$C$2:$C$401,MATCH($B980,'Per Invoice'!$A$2:$A$401,0))),""))</f>
        <v/>
      </c>
      <c r="G980" s="7">
        <f>IF($B980="","",F980*L980/100)</f>
        <v/>
      </c>
      <c r="K980" s="7" t="n"/>
      <c r="L980" s="7" t="n"/>
      <c r="M980" s="7">
        <f>IF($B980="","",L980*T980/100)</f>
        <v/>
      </c>
      <c r="N980" s="7">
        <f>IF($B980="","",L980-M980)</f>
        <v/>
      </c>
      <c r="O980" s="7">
        <f>IF($B980="","",N980-G980)</f>
        <v/>
      </c>
      <c r="R980" s="14" t="n"/>
      <c r="T980">
        <f>IF($B980="","",IF($W980=1,Settings!$C$6,Settings!$C$7)*100)</f>
        <v/>
      </c>
      <c r="U980">
        <f>IF($B980="","",IF(COUNTIF($B$2:$B980,$B980)=1,1,0))</f>
        <v/>
      </c>
      <c r="V980">
        <f>IF($U980=1,SUMPRODUCT(--($X$2:$X$1501&lt;$X980))+1,"")</f>
        <v/>
      </c>
      <c r="W980">
        <f>IF($B980="","",IF(OR($S980=TRUE(),$S980="TRUE"),1,0))</f>
        <v/>
      </c>
      <c r="X980">
        <f>IF($U980=1,IFERROR(IF(VALUE($B980)&lt;100000000,VALUE($B980),1000000000),IFERROR(IF(VALUE(MID($B980,2,20))&lt;100000000,VALUE(MID($B980,2,20)),1000000000),1000000000))+ROW()/100000,"")</f>
        <v/>
      </c>
    </row>
    <row r="981">
      <c r="A981">
        <f>IF($B981="","",IFERROR(IF(INDEX('Per Invoice'!$C$2:$C$401,MATCH($B981,'Per Invoice'!$A$2:$A$401,0))=0,"",INDEX('Per Invoice'!$C$2:$C$401,MATCH($B981,'Per Invoice'!$A$2:$A$401,0))),""))</f>
        <v/>
      </c>
      <c r="G981" s="7">
        <f>IF($B981="","",F981*L981/100)</f>
        <v/>
      </c>
      <c r="K981" s="7" t="n"/>
      <c r="L981" s="7" t="n"/>
      <c r="M981" s="7">
        <f>IF($B981="","",L981*T981/100)</f>
        <v/>
      </c>
      <c r="N981" s="7">
        <f>IF($B981="","",L981-M981)</f>
        <v/>
      </c>
      <c r="O981" s="7">
        <f>IF($B981="","",N981-G981)</f>
        <v/>
      </c>
      <c r="R981" s="14" t="n"/>
      <c r="T981">
        <f>IF($B981="","",IF($W981=1,Settings!$C$6,Settings!$C$7)*100)</f>
        <v/>
      </c>
      <c r="U981">
        <f>IF($B981="","",IF(COUNTIF($B$2:$B981,$B981)=1,1,0))</f>
        <v/>
      </c>
      <c r="V981">
        <f>IF($U981=1,SUMPRODUCT(--($X$2:$X$1501&lt;$X981))+1,"")</f>
        <v/>
      </c>
      <c r="W981">
        <f>IF($B981="","",IF(OR($S981=TRUE(),$S981="TRUE"),1,0))</f>
        <v/>
      </c>
      <c r="X981">
        <f>IF($U981=1,IFERROR(IF(VALUE($B981)&lt;100000000,VALUE($B981),1000000000),IFERROR(IF(VALUE(MID($B981,2,20))&lt;100000000,VALUE(MID($B981,2,20)),1000000000),1000000000))+ROW()/100000,"")</f>
        <v/>
      </c>
    </row>
    <row r="982">
      <c r="A982">
        <f>IF($B982="","",IFERROR(IF(INDEX('Per Invoice'!$C$2:$C$401,MATCH($B982,'Per Invoice'!$A$2:$A$401,0))=0,"",INDEX('Per Invoice'!$C$2:$C$401,MATCH($B982,'Per Invoice'!$A$2:$A$401,0))),""))</f>
        <v/>
      </c>
      <c r="G982" s="7">
        <f>IF($B982="","",F982*L982/100)</f>
        <v/>
      </c>
      <c r="K982" s="7" t="n"/>
      <c r="L982" s="7" t="n"/>
      <c r="M982" s="7">
        <f>IF($B982="","",L982*T982/100)</f>
        <v/>
      </c>
      <c r="N982" s="7">
        <f>IF($B982="","",L982-M982)</f>
        <v/>
      </c>
      <c r="O982" s="7">
        <f>IF($B982="","",N982-G982)</f>
        <v/>
      </c>
      <c r="R982" s="14" t="n"/>
      <c r="T982">
        <f>IF($B982="","",IF($W982=1,Settings!$C$6,Settings!$C$7)*100)</f>
        <v/>
      </c>
      <c r="U982">
        <f>IF($B982="","",IF(COUNTIF($B$2:$B982,$B982)=1,1,0))</f>
        <v/>
      </c>
      <c r="V982">
        <f>IF($U982=1,SUMPRODUCT(--($X$2:$X$1501&lt;$X982))+1,"")</f>
        <v/>
      </c>
      <c r="W982">
        <f>IF($B982="","",IF(OR($S982=TRUE(),$S982="TRUE"),1,0))</f>
        <v/>
      </c>
      <c r="X982">
        <f>IF($U982=1,IFERROR(IF(VALUE($B982)&lt;100000000,VALUE($B982),1000000000),IFERROR(IF(VALUE(MID($B982,2,20))&lt;100000000,VALUE(MID($B982,2,20)),1000000000),1000000000))+ROW()/100000,"")</f>
        <v/>
      </c>
    </row>
    <row r="983">
      <c r="A983">
        <f>IF($B983="","",IFERROR(IF(INDEX('Per Invoice'!$C$2:$C$401,MATCH($B983,'Per Invoice'!$A$2:$A$401,0))=0,"",INDEX('Per Invoice'!$C$2:$C$401,MATCH($B983,'Per Invoice'!$A$2:$A$401,0))),""))</f>
        <v/>
      </c>
      <c r="G983" s="7">
        <f>IF($B983="","",F983*L983/100)</f>
        <v/>
      </c>
      <c r="K983" s="7" t="n"/>
      <c r="L983" s="7" t="n"/>
      <c r="M983" s="7">
        <f>IF($B983="","",L983*T983/100)</f>
        <v/>
      </c>
      <c r="N983" s="7">
        <f>IF($B983="","",L983-M983)</f>
        <v/>
      </c>
      <c r="O983" s="7">
        <f>IF($B983="","",N983-G983)</f>
        <v/>
      </c>
      <c r="R983" s="14" t="n"/>
      <c r="T983">
        <f>IF($B983="","",IF($W983=1,Settings!$C$6,Settings!$C$7)*100)</f>
        <v/>
      </c>
      <c r="U983">
        <f>IF($B983="","",IF(COUNTIF($B$2:$B983,$B983)=1,1,0))</f>
        <v/>
      </c>
      <c r="V983">
        <f>IF($U983=1,SUMPRODUCT(--($X$2:$X$1501&lt;$X983))+1,"")</f>
        <v/>
      </c>
      <c r="W983">
        <f>IF($B983="","",IF(OR($S983=TRUE(),$S983="TRUE"),1,0))</f>
        <v/>
      </c>
      <c r="X983">
        <f>IF($U983=1,IFERROR(IF(VALUE($B983)&lt;100000000,VALUE($B983),1000000000),IFERROR(IF(VALUE(MID($B983,2,20))&lt;100000000,VALUE(MID($B983,2,20)),1000000000),1000000000))+ROW()/100000,"")</f>
        <v/>
      </c>
    </row>
    <row r="984">
      <c r="A984">
        <f>IF($B984="","",IFERROR(IF(INDEX('Per Invoice'!$C$2:$C$401,MATCH($B984,'Per Invoice'!$A$2:$A$401,0))=0,"",INDEX('Per Invoice'!$C$2:$C$401,MATCH($B984,'Per Invoice'!$A$2:$A$401,0))),""))</f>
        <v/>
      </c>
      <c r="G984" s="7">
        <f>IF($B984="","",F984*L984/100)</f>
        <v/>
      </c>
      <c r="K984" s="7" t="n"/>
      <c r="L984" s="7" t="n"/>
      <c r="M984" s="7">
        <f>IF($B984="","",L984*T984/100)</f>
        <v/>
      </c>
      <c r="N984" s="7">
        <f>IF($B984="","",L984-M984)</f>
        <v/>
      </c>
      <c r="O984" s="7">
        <f>IF($B984="","",N984-G984)</f>
        <v/>
      </c>
      <c r="R984" s="14" t="n"/>
      <c r="T984">
        <f>IF($B984="","",IF($W984=1,Settings!$C$6,Settings!$C$7)*100)</f>
        <v/>
      </c>
      <c r="U984">
        <f>IF($B984="","",IF(COUNTIF($B$2:$B984,$B984)=1,1,0))</f>
        <v/>
      </c>
      <c r="V984">
        <f>IF($U984=1,SUMPRODUCT(--($X$2:$X$1501&lt;$X984))+1,"")</f>
        <v/>
      </c>
      <c r="W984">
        <f>IF($B984="","",IF(OR($S984=TRUE(),$S984="TRUE"),1,0))</f>
        <v/>
      </c>
      <c r="X984">
        <f>IF($U984=1,IFERROR(IF(VALUE($B984)&lt;100000000,VALUE($B984),1000000000),IFERROR(IF(VALUE(MID($B984,2,20))&lt;100000000,VALUE(MID($B984,2,20)),1000000000),1000000000))+ROW()/100000,"")</f>
        <v/>
      </c>
    </row>
    <row r="985">
      <c r="A985">
        <f>IF($B985="","",IFERROR(IF(INDEX('Per Invoice'!$C$2:$C$401,MATCH($B985,'Per Invoice'!$A$2:$A$401,0))=0,"",INDEX('Per Invoice'!$C$2:$C$401,MATCH($B985,'Per Invoice'!$A$2:$A$401,0))),""))</f>
        <v/>
      </c>
      <c r="G985" s="7">
        <f>IF($B985="","",F985*L985/100)</f>
        <v/>
      </c>
      <c r="K985" s="7" t="n"/>
      <c r="L985" s="7" t="n"/>
      <c r="M985" s="7">
        <f>IF($B985="","",L985*T985/100)</f>
        <v/>
      </c>
      <c r="N985" s="7">
        <f>IF($B985="","",L985-M985)</f>
        <v/>
      </c>
      <c r="O985" s="7">
        <f>IF($B985="","",N985-G985)</f>
        <v/>
      </c>
      <c r="R985" s="14" t="n"/>
      <c r="T985">
        <f>IF($B985="","",IF($W985=1,Settings!$C$6,Settings!$C$7)*100)</f>
        <v/>
      </c>
      <c r="U985">
        <f>IF($B985="","",IF(COUNTIF($B$2:$B985,$B985)=1,1,0))</f>
        <v/>
      </c>
      <c r="V985">
        <f>IF($U985=1,SUMPRODUCT(--($X$2:$X$1501&lt;$X985))+1,"")</f>
        <v/>
      </c>
      <c r="W985">
        <f>IF($B985="","",IF(OR($S985=TRUE(),$S985="TRUE"),1,0))</f>
        <v/>
      </c>
      <c r="X985">
        <f>IF($U985=1,IFERROR(IF(VALUE($B985)&lt;100000000,VALUE($B985),1000000000),IFERROR(IF(VALUE(MID($B985,2,20))&lt;100000000,VALUE(MID($B985,2,20)),1000000000),1000000000))+ROW()/100000,"")</f>
        <v/>
      </c>
    </row>
    <row r="986">
      <c r="A986">
        <f>IF($B986="","",IFERROR(IF(INDEX('Per Invoice'!$C$2:$C$401,MATCH($B986,'Per Invoice'!$A$2:$A$401,0))=0,"",INDEX('Per Invoice'!$C$2:$C$401,MATCH($B986,'Per Invoice'!$A$2:$A$401,0))),""))</f>
        <v/>
      </c>
      <c r="G986" s="7">
        <f>IF($B986="","",F986*L986/100)</f>
        <v/>
      </c>
      <c r="K986" s="7" t="n"/>
      <c r="L986" s="7" t="n"/>
      <c r="M986" s="7">
        <f>IF($B986="","",L986*T986/100)</f>
        <v/>
      </c>
      <c r="N986" s="7">
        <f>IF($B986="","",L986-M986)</f>
        <v/>
      </c>
      <c r="O986" s="7">
        <f>IF($B986="","",N986-G986)</f>
        <v/>
      </c>
      <c r="R986" s="14" t="n"/>
      <c r="T986">
        <f>IF($B986="","",IF($W986=1,Settings!$C$6,Settings!$C$7)*100)</f>
        <v/>
      </c>
      <c r="U986">
        <f>IF($B986="","",IF(COUNTIF($B$2:$B986,$B986)=1,1,0))</f>
        <v/>
      </c>
      <c r="V986">
        <f>IF($U986=1,SUMPRODUCT(--($X$2:$X$1501&lt;$X986))+1,"")</f>
        <v/>
      </c>
      <c r="W986">
        <f>IF($B986="","",IF(OR($S986=TRUE(),$S986="TRUE"),1,0))</f>
        <v/>
      </c>
      <c r="X986">
        <f>IF($U986=1,IFERROR(IF(VALUE($B986)&lt;100000000,VALUE($B986),1000000000),IFERROR(IF(VALUE(MID($B986,2,20))&lt;100000000,VALUE(MID($B986,2,20)),1000000000),1000000000))+ROW()/100000,"")</f>
        <v/>
      </c>
    </row>
    <row r="987">
      <c r="A987">
        <f>IF($B987="","",IFERROR(IF(INDEX('Per Invoice'!$C$2:$C$401,MATCH($B987,'Per Invoice'!$A$2:$A$401,0))=0,"",INDEX('Per Invoice'!$C$2:$C$401,MATCH($B987,'Per Invoice'!$A$2:$A$401,0))),""))</f>
        <v/>
      </c>
      <c r="G987" s="7">
        <f>IF($B987="","",F987*L987/100)</f>
        <v/>
      </c>
      <c r="K987" s="7" t="n"/>
      <c r="L987" s="7" t="n"/>
      <c r="M987" s="7">
        <f>IF($B987="","",L987*T987/100)</f>
        <v/>
      </c>
      <c r="N987" s="7">
        <f>IF($B987="","",L987-M987)</f>
        <v/>
      </c>
      <c r="O987" s="7">
        <f>IF($B987="","",N987-G987)</f>
        <v/>
      </c>
      <c r="R987" s="14" t="n"/>
      <c r="T987">
        <f>IF($B987="","",IF($W987=1,Settings!$C$6,Settings!$C$7)*100)</f>
        <v/>
      </c>
      <c r="U987">
        <f>IF($B987="","",IF(COUNTIF($B$2:$B987,$B987)=1,1,0))</f>
        <v/>
      </c>
      <c r="V987">
        <f>IF($U987=1,SUMPRODUCT(--($X$2:$X$1501&lt;$X987))+1,"")</f>
        <v/>
      </c>
      <c r="W987">
        <f>IF($B987="","",IF(OR($S987=TRUE(),$S987="TRUE"),1,0))</f>
        <v/>
      </c>
      <c r="X987">
        <f>IF($U987=1,IFERROR(IF(VALUE($B987)&lt;100000000,VALUE($B987),1000000000),IFERROR(IF(VALUE(MID($B987,2,20))&lt;100000000,VALUE(MID($B987,2,20)),1000000000),1000000000))+ROW()/100000,"")</f>
        <v/>
      </c>
    </row>
    <row r="988">
      <c r="A988">
        <f>IF($B988="","",IFERROR(IF(INDEX('Per Invoice'!$C$2:$C$401,MATCH($B988,'Per Invoice'!$A$2:$A$401,0))=0,"",INDEX('Per Invoice'!$C$2:$C$401,MATCH($B988,'Per Invoice'!$A$2:$A$401,0))),""))</f>
        <v/>
      </c>
      <c r="G988" s="7">
        <f>IF($B988="","",F988*L988/100)</f>
        <v/>
      </c>
      <c r="K988" s="7" t="n"/>
      <c r="L988" s="7" t="n"/>
      <c r="M988" s="7">
        <f>IF($B988="","",L988*T988/100)</f>
        <v/>
      </c>
      <c r="N988" s="7">
        <f>IF($B988="","",L988-M988)</f>
        <v/>
      </c>
      <c r="O988" s="7">
        <f>IF($B988="","",N988-G988)</f>
        <v/>
      </c>
      <c r="R988" s="14" t="n"/>
      <c r="T988">
        <f>IF($B988="","",IF($W988=1,Settings!$C$6,Settings!$C$7)*100)</f>
        <v/>
      </c>
      <c r="U988">
        <f>IF($B988="","",IF(COUNTIF($B$2:$B988,$B988)=1,1,0))</f>
        <v/>
      </c>
      <c r="V988">
        <f>IF($U988=1,SUMPRODUCT(--($X$2:$X$1501&lt;$X988))+1,"")</f>
        <v/>
      </c>
      <c r="W988">
        <f>IF($B988="","",IF(OR($S988=TRUE(),$S988="TRUE"),1,0))</f>
        <v/>
      </c>
      <c r="X988">
        <f>IF($U988=1,IFERROR(IF(VALUE($B988)&lt;100000000,VALUE($B988),1000000000),IFERROR(IF(VALUE(MID($B988,2,20))&lt;100000000,VALUE(MID($B988,2,20)),1000000000),1000000000))+ROW()/100000,"")</f>
        <v/>
      </c>
    </row>
    <row r="989">
      <c r="A989">
        <f>IF($B989="","",IFERROR(IF(INDEX('Per Invoice'!$C$2:$C$401,MATCH($B989,'Per Invoice'!$A$2:$A$401,0))=0,"",INDEX('Per Invoice'!$C$2:$C$401,MATCH($B989,'Per Invoice'!$A$2:$A$401,0))),""))</f>
        <v/>
      </c>
      <c r="G989" s="7">
        <f>IF($B989="","",F989*L989/100)</f>
        <v/>
      </c>
      <c r="K989" s="7" t="n"/>
      <c r="L989" s="7" t="n"/>
      <c r="M989" s="7">
        <f>IF($B989="","",L989*T989/100)</f>
        <v/>
      </c>
      <c r="N989" s="7">
        <f>IF($B989="","",L989-M989)</f>
        <v/>
      </c>
      <c r="O989" s="7">
        <f>IF($B989="","",N989-G989)</f>
        <v/>
      </c>
      <c r="R989" s="14" t="n"/>
      <c r="T989">
        <f>IF($B989="","",IF($W989=1,Settings!$C$6,Settings!$C$7)*100)</f>
        <v/>
      </c>
      <c r="U989">
        <f>IF($B989="","",IF(COUNTIF($B$2:$B989,$B989)=1,1,0))</f>
        <v/>
      </c>
      <c r="V989">
        <f>IF($U989=1,SUMPRODUCT(--($X$2:$X$1501&lt;$X989))+1,"")</f>
        <v/>
      </c>
      <c r="W989">
        <f>IF($B989="","",IF(OR($S989=TRUE(),$S989="TRUE"),1,0))</f>
        <v/>
      </c>
      <c r="X989">
        <f>IF($U989=1,IFERROR(IF(VALUE($B989)&lt;100000000,VALUE($B989),1000000000),IFERROR(IF(VALUE(MID($B989,2,20))&lt;100000000,VALUE(MID($B989,2,20)),1000000000),1000000000))+ROW()/100000,"")</f>
        <v/>
      </c>
    </row>
    <row r="990">
      <c r="A990">
        <f>IF($B990="","",IFERROR(IF(INDEX('Per Invoice'!$C$2:$C$401,MATCH($B990,'Per Invoice'!$A$2:$A$401,0))=0,"",INDEX('Per Invoice'!$C$2:$C$401,MATCH($B990,'Per Invoice'!$A$2:$A$401,0))),""))</f>
        <v/>
      </c>
      <c r="G990" s="7">
        <f>IF($B990="","",F990*L990/100)</f>
        <v/>
      </c>
      <c r="K990" s="7" t="n"/>
      <c r="L990" s="7" t="n"/>
      <c r="M990" s="7">
        <f>IF($B990="","",L990*T990/100)</f>
        <v/>
      </c>
      <c r="N990" s="7">
        <f>IF($B990="","",L990-M990)</f>
        <v/>
      </c>
      <c r="O990" s="7">
        <f>IF($B990="","",N990-G990)</f>
        <v/>
      </c>
      <c r="R990" s="14" t="n"/>
      <c r="T990">
        <f>IF($B990="","",IF($W990=1,Settings!$C$6,Settings!$C$7)*100)</f>
        <v/>
      </c>
      <c r="U990">
        <f>IF($B990="","",IF(COUNTIF($B$2:$B990,$B990)=1,1,0))</f>
        <v/>
      </c>
      <c r="V990">
        <f>IF($U990=1,SUMPRODUCT(--($X$2:$X$1501&lt;$X990))+1,"")</f>
        <v/>
      </c>
      <c r="W990">
        <f>IF($B990="","",IF(OR($S990=TRUE(),$S990="TRUE"),1,0))</f>
        <v/>
      </c>
      <c r="X990">
        <f>IF($U990=1,IFERROR(IF(VALUE($B990)&lt;100000000,VALUE($B990),1000000000),IFERROR(IF(VALUE(MID($B990,2,20))&lt;100000000,VALUE(MID($B990,2,20)),1000000000),1000000000))+ROW()/100000,"")</f>
        <v/>
      </c>
    </row>
    <row r="991">
      <c r="A991">
        <f>IF($B991="","",IFERROR(IF(INDEX('Per Invoice'!$C$2:$C$401,MATCH($B991,'Per Invoice'!$A$2:$A$401,0))=0,"",INDEX('Per Invoice'!$C$2:$C$401,MATCH($B991,'Per Invoice'!$A$2:$A$401,0))),""))</f>
        <v/>
      </c>
      <c r="G991" s="7">
        <f>IF($B991="","",F991*L991/100)</f>
        <v/>
      </c>
      <c r="K991" s="7" t="n"/>
      <c r="L991" s="7" t="n"/>
      <c r="M991" s="7">
        <f>IF($B991="","",L991*T991/100)</f>
        <v/>
      </c>
      <c r="N991" s="7">
        <f>IF($B991="","",L991-M991)</f>
        <v/>
      </c>
      <c r="O991" s="7">
        <f>IF($B991="","",N991-G991)</f>
        <v/>
      </c>
      <c r="R991" s="14" t="n"/>
      <c r="T991">
        <f>IF($B991="","",IF($W991=1,Settings!$C$6,Settings!$C$7)*100)</f>
        <v/>
      </c>
      <c r="U991">
        <f>IF($B991="","",IF(COUNTIF($B$2:$B991,$B991)=1,1,0))</f>
        <v/>
      </c>
      <c r="V991">
        <f>IF($U991=1,SUMPRODUCT(--($X$2:$X$1501&lt;$X991))+1,"")</f>
        <v/>
      </c>
      <c r="W991">
        <f>IF($B991="","",IF(OR($S991=TRUE(),$S991="TRUE"),1,0))</f>
        <v/>
      </c>
      <c r="X991">
        <f>IF($U991=1,IFERROR(IF(VALUE($B991)&lt;100000000,VALUE($B991),1000000000),IFERROR(IF(VALUE(MID($B991,2,20))&lt;100000000,VALUE(MID($B991,2,20)),1000000000),1000000000))+ROW()/100000,"")</f>
        <v/>
      </c>
    </row>
    <row r="992">
      <c r="A992">
        <f>IF($B992="","",IFERROR(IF(INDEX('Per Invoice'!$C$2:$C$401,MATCH($B992,'Per Invoice'!$A$2:$A$401,0))=0,"",INDEX('Per Invoice'!$C$2:$C$401,MATCH($B992,'Per Invoice'!$A$2:$A$401,0))),""))</f>
        <v/>
      </c>
      <c r="G992" s="7">
        <f>IF($B992="","",F992*L992/100)</f>
        <v/>
      </c>
      <c r="K992" s="7" t="n"/>
      <c r="L992" s="7" t="n"/>
      <c r="M992" s="7">
        <f>IF($B992="","",L992*T992/100)</f>
        <v/>
      </c>
      <c r="N992" s="7">
        <f>IF($B992="","",L992-M992)</f>
        <v/>
      </c>
      <c r="O992" s="7">
        <f>IF($B992="","",N992-G992)</f>
        <v/>
      </c>
      <c r="R992" s="14" t="n"/>
      <c r="T992">
        <f>IF($B992="","",IF($W992=1,Settings!$C$6,Settings!$C$7)*100)</f>
        <v/>
      </c>
      <c r="U992">
        <f>IF($B992="","",IF(COUNTIF($B$2:$B992,$B992)=1,1,0))</f>
        <v/>
      </c>
      <c r="V992">
        <f>IF($U992=1,SUMPRODUCT(--($X$2:$X$1501&lt;$X992))+1,"")</f>
        <v/>
      </c>
      <c r="W992">
        <f>IF($B992="","",IF(OR($S992=TRUE(),$S992="TRUE"),1,0))</f>
        <v/>
      </c>
      <c r="X992">
        <f>IF($U992=1,IFERROR(IF(VALUE($B992)&lt;100000000,VALUE($B992),1000000000),IFERROR(IF(VALUE(MID($B992,2,20))&lt;100000000,VALUE(MID($B992,2,20)),1000000000),1000000000))+ROW()/100000,"")</f>
        <v/>
      </c>
    </row>
    <row r="993">
      <c r="A993">
        <f>IF($B993="","",IFERROR(IF(INDEX('Per Invoice'!$C$2:$C$401,MATCH($B993,'Per Invoice'!$A$2:$A$401,0))=0,"",INDEX('Per Invoice'!$C$2:$C$401,MATCH($B993,'Per Invoice'!$A$2:$A$401,0))),""))</f>
        <v/>
      </c>
      <c r="G993" s="7">
        <f>IF($B993="","",F993*L993/100)</f>
        <v/>
      </c>
      <c r="K993" s="7" t="n"/>
      <c r="L993" s="7" t="n"/>
      <c r="M993" s="7">
        <f>IF($B993="","",L993*T993/100)</f>
        <v/>
      </c>
      <c r="N993" s="7">
        <f>IF($B993="","",L993-M993)</f>
        <v/>
      </c>
      <c r="O993" s="7">
        <f>IF($B993="","",N993-G993)</f>
        <v/>
      </c>
      <c r="R993" s="14" t="n"/>
      <c r="T993">
        <f>IF($B993="","",IF($W993=1,Settings!$C$6,Settings!$C$7)*100)</f>
        <v/>
      </c>
      <c r="U993">
        <f>IF($B993="","",IF(COUNTIF($B$2:$B993,$B993)=1,1,0))</f>
        <v/>
      </c>
      <c r="V993">
        <f>IF($U993=1,SUMPRODUCT(--($X$2:$X$1501&lt;$X993))+1,"")</f>
        <v/>
      </c>
      <c r="W993">
        <f>IF($B993="","",IF(OR($S993=TRUE(),$S993="TRUE"),1,0))</f>
        <v/>
      </c>
      <c r="X993">
        <f>IF($U993=1,IFERROR(IF(VALUE($B993)&lt;100000000,VALUE($B993),1000000000),IFERROR(IF(VALUE(MID($B993,2,20))&lt;100000000,VALUE(MID($B993,2,20)),1000000000),1000000000))+ROW()/100000,"")</f>
        <v/>
      </c>
    </row>
    <row r="994">
      <c r="A994">
        <f>IF($B994="","",IFERROR(IF(INDEX('Per Invoice'!$C$2:$C$401,MATCH($B994,'Per Invoice'!$A$2:$A$401,0))=0,"",INDEX('Per Invoice'!$C$2:$C$401,MATCH($B994,'Per Invoice'!$A$2:$A$401,0))),""))</f>
        <v/>
      </c>
      <c r="G994" s="7">
        <f>IF($B994="","",F994*L994/100)</f>
        <v/>
      </c>
      <c r="K994" s="7" t="n"/>
      <c r="L994" s="7" t="n"/>
      <c r="M994" s="7">
        <f>IF($B994="","",L994*T994/100)</f>
        <v/>
      </c>
      <c r="N994" s="7">
        <f>IF($B994="","",L994-M994)</f>
        <v/>
      </c>
      <c r="O994" s="7">
        <f>IF($B994="","",N994-G994)</f>
        <v/>
      </c>
      <c r="R994" s="14" t="n"/>
      <c r="T994">
        <f>IF($B994="","",IF($W994=1,Settings!$C$6,Settings!$C$7)*100)</f>
        <v/>
      </c>
      <c r="U994">
        <f>IF($B994="","",IF(COUNTIF($B$2:$B994,$B994)=1,1,0))</f>
        <v/>
      </c>
      <c r="V994">
        <f>IF($U994=1,SUMPRODUCT(--($X$2:$X$1501&lt;$X994))+1,"")</f>
        <v/>
      </c>
      <c r="W994">
        <f>IF($B994="","",IF(OR($S994=TRUE(),$S994="TRUE"),1,0))</f>
        <v/>
      </c>
      <c r="X994">
        <f>IF($U994=1,IFERROR(IF(VALUE($B994)&lt;100000000,VALUE($B994),1000000000),IFERROR(IF(VALUE(MID($B994,2,20))&lt;100000000,VALUE(MID($B994,2,20)),1000000000),1000000000))+ROW()/100000,"")</f>
        <v/>
      </c>
    </row>
    <row r="995">
      <c r="A995">
        <f>IF($B995="","",IFERROR(IF(INDEX('Per Invoice'!$C$2:$C$401,MATCH($B995,'Per Invoice'!$A$2:$A$401,0))=0,"",INDEX('Per Invoice'!$C$2:$C$401,MATCH($B995,'Per Invoice'!$A$2:$A$401,0))),""))</f>
        <v/>
      </c>
      <c r="G995" s="7">
        <f>IF($B995="","",F995*L995/100)</f>
        <v/>
      </c>
      <c r="K995" s="7" t="n"/>
      <c r="L995" s="7" t="n"/>
      <c r="M995" s="7">
        <f>IF($B995="","",L995*T995/100)</f>
        <v/>
      </c>
      <c r="N995" s="7">
        <f>IF($B995="","",L995-M995)</f>
        <v/>
      </c>
      <c r="O995" s="7">
        <f>IF($B995="","",N995-G995)</f>
        <v/>
      </c>
      <c r="R995" s="14" t="n"/>
      <c r="T995">
        <f>IF($B995="","",IF($W995=1,Settings!$C$6,Settings!$C$7)*100)</f>
        <v/>
      </c>
      <c r="U995">
        <f>IF($B995="","",IF(COUNTIF($B$2:$B995,$B995)=1,1,0))</f>
        <v/>
      </c>
      <c r="V995">
        <f>IF($U995=1,SUMPRODUCT(--($X$2:$X$1501&lt;$X995))+1,"")</f>
        <v/>
      </c>
      <c r="W995">
        <f>IF($B995="","",IF(OR($S995=TRUE(),$S995="TRUE"),1,0))</f>
        <v/>
      </c>
      <c r="X995">
        <f>IF($U995=1,IFERROR(IF(VALUE($B995)&lt;100000000,VALUE($B995),1000000000),IFERROR(IF(VALUE(MID($B995,2,20))&lt;100000000,VALUE(MID($B995,2,20)),1000000000),1000000000))+ROW()/100000,"")</f>
        <v/>
      </c>
    </row>
    <row r="996">
      <c r="A996">
        <f>IF($B996="","",IFERROR(IF(INDEX('Per Invoice'!$C$2:$C$401,MATCH($B996,'Per Invoice'!$A$2:$A$401,0))=0,"",INDEX('Per Invoice'!$C$2:$C$401,MATCH($B996,'Per Invoice'!$A$2:$A$401,0))),""))</f>
        <v/>
      </c>
      <c r="G996" s="7">
        <f>IF($B996="","",F996*L996/100)</f>
        <v/>
      </c>
      <c r="K996" s="7" t="n"/>
      <c r="L996" s="7" t="n"/>
      <c r="M996" s="7">
        <f>IF($B996="","",L996*T996/100)</f>
        <v/>
      </c>
      <c r="N996" s="7">
        <f>IF($B996="","",L996-M996)</f>
        <v/>
      </c>
      <c r="O996" s="7">
        <f>IF($B996="","",N996-G996)</f>
        <v/>
      </c>
      <c r="R996" s="14" t="n"/>
      <c r="T996">
        <f>IF($B996="","",IF($W996=1,Settings!$C$6,Settings!$C$7)*100)</f>
        <v/>
      </c>
      <c r="U996">
        <f>IF($B996="","",IF(COUNTIF($B$2:$B996,$B996)=1,1,0))</f>
        <v/>
      </c>
      <c r="V996">
        <f>IF($U996=1,SUMPRODUCT(--($X$2:$X$1501&lt;$X996))+1,"")</f>
        <v/>
      </c>
      <c r="W996">
        <f>IF($B996="","",IF(OR($S996=TRUE(),$S996="TRUE"),1,0))</f>
        <v/>
      </c>
      <c r="X996">
        <f>IF($U996=1,IFERROR(IF(VALUE($B996)&lt;100000000,VALUE($B996),1000000000),IFERROR(IF(VALUE(MID($B996,2,20))&lt;100000000,VALUE(MID($B996,2,20)),1000000000),1000000000))+ROW()/100000,"")</f>
        <v/>
      </c>
    </row>
    <row r="997">
      <c r="A997">
        <f>IF($B997="","",IFERROR(IF(INDEX('Per Invoice'!$C$2:$C$401,MATCH($B997,'Per Invoice'!$A$2:$A$401,0))=0,"",INDEX('Per Invoice'!$C$2:$C$401,MATCH($B997,'Per Invoice'!$A$2:$A$401,0))),""))</f>
        <v/>
      </c>
      <c r="G997" s="7">
        <f>IF($B997="","",F997*L997/100)</f>
        <v/>
      </c>
      <c r="K997" s="7" t="n"/>
      <c r="L997" s="7" t="n"/>
      <c r="M997" s="7">
        <f>IF($B997="","",L997*T997/100)</f>
        <v/>
      </c>
      <c r="N997" s="7">
        <f>IF($B997="","",L997-M997)</f>
        <v/>
      </c>
      <c r="O997" s="7">
        <f>IF($B997="","",N997-G997)</f>
        <v/>
      </c>
      <c r="R997" s="14" t="n"/>
      <c r="T997">
        <f>IF($B997="","",IF($W997=1,Settings!$C$6,Settings!$C$7)*100)</f>
        <v/>
      </c>
      <c r="U997">
        <f>IF($B997="","",IF(COUNTIF($B$2:$B997,$B997)=1,1,0))</f>
        <v/>
      </c>
      <c r="V997">
        <f>IF($U997=1,SUMPRODUCT(--($X$2:$X$1501&lt;$X997))+1,"")</f>
        <v/>
      </c>
      <c r="W997">
        <f>IF($B997="","",IF(OR($S997=TRUE(),$S997="TRUE"),1,0))</f>
        <v/>
      </c>
      <c r="X997">
        <f>IF($U997=1,IFERROR(IF(VALUE($B997)&lt;100000000,VALUE($B997),1000000000),IFERROR(IF(VALUE(MID($B997,2,20))&lt;100000000,VALUE(MID($B997,2,20)),1000000000),1000000000))+ROW()/100000,"")</f>
        <v/>
      </c>
    </row>
    <row r="998">
      <c r="A998">
        <f>IF($B998="","",IFERROR(IF(INDEX('Per Invoice'!$C$2:$C$401,MATCH($B998,'Per Invoice'!$A$2:$A$401,0))=0,"",INDEX('Per Invoice'!$C$2:$C$401,MATCH($B998,'Per Invoice'!$A$2:$A$401,0))),""))</f>
        <v/>
      </c>
      <c r="G998" s="7">
        <f>IF($B998="","",F998*L998/100)</f>
        <v/>
      </c>
      <c r="K998" s="7" t="n"/>
      <c r="L998" s="7" t="n"/>
      <c r="M998" s="7">
        <f>IF($B998="","",L998*T998/100)</f>
        <v/>
      </c>
      <c r="N998" s="7">
        <f>IF($B998="","",L998-M998)</f>
        <v/>
      </c>
      <c r="O998" s="7">
        <f>IF($B998="","",N998-G998)</f>
        <v/>
      </c>
      <c r="R998" s="14" t="n"/>
      <c r="T998">
        <f>IF($B998="","",IF($W998=1,Settings!$C$6,Settings!$C$7)*100)</f>
        <v/>
      </c>
      <c r="U998">
        <f>IF($B998="","",IF(COUNTIF($B$2:$B998,$B998)=1,1,0))</f>
        <v/>
      </c>
      <c r="V998">
        <f>IF($U998=1,SUMPRODUCT(--($X$2:$X$1501&lt;$X998))+1,"")</f>
        <v/>
      </c>
      <c r="W998">
        <f>IF($B998="","",IF(OR($S998=TRUE(),$S998="TRUE"),1,0))</f>
        <v/>
      </c>
      <c r="X998">
        <f>IF($U998=1,IFERROR(IF(VALUE($B998)&lt;100000000,VALUE($B998),1000000000),IFERROR(IF(VALUE(MID($B998,2,20))&lt;100000000,VALUE(MID($B998,2,20)),1000000000),1000000000))+ROW()/100000,"")</f>
        <v/>
      </c>
    </row>
    <row r="999">
      <c r="A999">
        <f>IF($B999="","",IFERROR(IF(INDEX('Per Invoice'!$C$2:$C$401,MATCH($B999,'Per Invoice'!$A$2:$A$401,0))=0,"",INDEX('Per Invoice'!$C$2:$C$401,MATCH($B999,'Per Invoice'!$A$2:$A$401,0))),""))</f>
        <v/>
      </c>
      <c r="G999" s="7">
        <f>IF($B999="","",F999*L999/100)</f>
        <v/>
      </c>
      <c r="K999" s="7" t="n"/>
      <c r="L999" s="7" t="n"/>
      <c r="M999" s="7">
        <f>IF($B999="","",L999*T999/100)</f>
        <v/>
      </c>
      <c r="N999" s="7">
        <f>IF($B999="","",L999-M999)</f>
        <v/>
      </c>
      <c r="O999" s="7">
        <f>IF($B999="","",N999-G999)</f>
        <v/>
      </c>
      <c r="R999" s="14" t="n"/>
      <c r="T999">
        <f>IF($B999="","",IF($W999=1,Settings!$C$6,Settings!$C$7)*100)</f>
        <v/>
      </c>
      <c r="U999">
        <f>IF($B999="","",IF(COUNTIF($B$2:$B999,$B999)=1,1,0))</f>
        <v/>
      </c>
      <c r="V999">
        <f>IF($U999=1,SUMPRODUCT(--($X$2:$X$1501&lt;$X999))+1,"")</f>
        <v/>
      </c>
      <c r="W999">
        <f>IF($B999="","",IF(OR($S999=TRUE(),$S999="TRUE"),1,0))</f>
        <v/>
      </c>
      <c r="X999">
        <f>IF($U999=1,IFERROR(IF(VALUE($B999)&lt;100000000,VALUE($B999),1000000000),IFERROR(IF(VALUE(MID($B999,2,20))&lt;100000000,VALUE(MID($B999,2,20)),1000000000),1000000000))+ROW()/100000,"")</f>
        <v/>
      </c>
    </row>
    <row r="1000">
      <c r="A1000">
        <f>IF($B1000="","",IFERROR(IF(INDEX('Per Invoice'!$C$2:$C$401,MATCH($B1000,'Per Invoice'!$A$2:$A$401,0))=0,"",INDEX('Per Invoice'!$C$2:$C$401,MATCH($B1000,'Per Invoice'!$A$2:$A$401,0))),""))</f>
        <v/>
      </c>
      <c r="G1000" s="7">
        <f>IF($B1000="","",F1000*L1000/100)</f>
        <v/>
      </c>
      <c r="K1000" s="7" t="n"/>
      <c r="L1000" s="7" t="n"/>
      <c r="M1000" s="7">
        <f>IF($B1000="","",L1000*T1000/100)</f>
        <v/>
      </c>
      <c r="N1000" s="7">
        <f>IF($B1000="","",L1000-M1000)</f>
        <v/>
      </c>
      <c r="O1000" s="7">
        <f>IF($B1000="","",N1000-G1000)</f>
        <v/>
      </c>
      <c r="R1000" s="14" t="n"/>
      <c r="T1000">
        <f>IF($B1000="","",IF($W1000=1,Settings!$C$6,Settings!$C$7)*100)</f>
        <v/>
      </c>
      <c r="U1000">
        <f>IF($B1000="","",IF(COUNTIF($B$2:$B1000,$B1000)=1,1,0))</f>
        <v/>
      </c>
      <c r="V1000">
        <f>IF($U1000=1,SUMPRODUCT(--($X$2:$X$1501&lt;$X1000))+1,"")</f>
        <v/>
      </c>
      <c r="W1000">
        <f>IF($B1000="","",IF(OR($S1000=TRUE(),$S1000="TRUE"),1,0))</f>
        <v/>
      </c>
      <c r="X1000">
        <f>IF($U1000=1,IFERROR(IF(VALUE($B1000)&lt;100000000,VALUE($B1000),1000000000),IFERROR(IF(VALUE(MID($B1000,2,20))&lt;100000000,VALUE(MID($B1000,2,20)),1000000000),1000000000))+ROW()/100000,"")</f>
        <v/>
      </c>
    </row>
    <row r="1001">
      <c r="A1001">
        <f>IF($B1001="","",IFERROR(IF(INDEX('Per Invoice'!$C$2:$C$401,MATCH($B1001,'Per Invoice'!$A$2:$A$401,0))=0,"",INDEX('Per Invoice'!$C$2:$C$401,MATCH($B1001,'Per Invoice'!$A$2:$A$401,0))),""))</f>
        <v/>
      </c>
      <c r="G1001" s="7">
        <f>IF($B1001="","",F1001*L1001/100)</f>
        <v/>
      </c>
      <c r="K1001" s="7" t="n"/>
      <c r="L1001" s="7" t="n"/>
      <c r="M1001" s="7">
        <f>IF($B1001="","",L1001*T1001/100)</f>
        <v/>
      </c>
      <c r="N1001" s="7">
        <f>IF($B1001="","",L1001-M1001)</f>
        <v/>
      </c>
      <c r="O1001" s="7">
        <f>IF($B1001="","",N1001-G1001)</f>
        <v/>
      </c>
      <c r="R1001" s="14" t="n"/>
      <c r="T1001">
        <f>IF($B1001="","",IF($W1001=1,Settings!$C$6,Settings!$C$7)*100)</f>
        <v/>
      </c>
      <c r="U1001">
        <f>IF($B1001="","",IF(COUNTIF($B$2:$B1001,$B1001)=1,1,0))</f>
        <v/>
      </c>
      <c r="V1001">
        <f>IF($U1001=1,SUMPRODUCT(--($X$2:$X$1501&lt;$X1001))+1,"")</f>
        <v/>
      </c>
      <c r="W1001">
        <f>IF($B1001="","",IF(OR($S1001=TRUE(),$S1001="TRUE"),1,0))</f>
        <v/>
      </c>
      <c r="X1001">
        <f>IF($U1001=1,IFERROR(IF(VALUE($B1001)&lt;100000000,VALUE($B1001),1000000000),IFERROR(IF(VALUE(MID($B1001,2,20))&lt;100000000,VALUE(MID($B1001,2,20)),1000000000),1000000000))+ROW()/100000,"")</f>
        <v/>
      </c>
    </row>
    <row r="1002">
      <c r="A1002">
        <f>IF($B1002="","",IFERROR(IF(INDEX('Per Invoice'!$C$2:$C$401,MATCH($B1002,'Per Invoice'!$A$2:$A$401,0))=0,"",INDEX('Per Invoice'!$C$2:$C$401,MATCH($B1002,'Per Invoice'!$A$2:$A$401,0))),""))</f>
        <v/>
      </c>
      <c r="G1002" s="7">
        <f>IF($B1002="","",F1002*L1002/100)</f>
        <v/>
      </c>
      <c r="K1002" s="7" t="n"/>
      <c r="L1002" s="7" t="n"/>
      <c r="M1002" s="7">
        <f>IF($B1002="","",L1002*T1002/100)</f>
        <v/>
      </c>
      <c r="N1002" s="7">
        <f>IF($B1002="","",L1002-M1002)</f>
        <v/>
      </c>
      <c r="O1002" s="7">
        <f>IF($B1002="","",N1002-G1002)</f>
        <v/>
      </c>
      <c r="R1002" s="14" t="n"/>
      <c r="T1002">
        <f>IF($B1002="","",IF($W1002=1,Settings!$C$6,Settings!$C$7)*100)</f>
        <v/>
      </c>
      <c r="U1002">
        <f>IF($B1002="","",IF(COUNTIF($B$2:$B1002,$B1002)=1,1,0))</f>
        <v/>
      </c>
      <c r="V1002">
        <f>IF($U1002=1,SUMPRODUCT(--($X$2:$X$1501&lt;$X1002))+1,"")</f>
        <v/>
      </c>
      <c r="W1002">
        <f>IF($B1002="","",IF(OR($S1002=TRUE(),$S1002="TRUE"),1,0))</f>
        <v/>
      </c>
      <c r="X1002">
        <f>IF($U1002=1,IFERROR(IF(VALUE($B1002)&lt;100000000,VALUE($B1002),1000000000),IFERROR(IF(VALUE(MID($B1002,2,20))&lt;100000000,VALUE(MID($B1002,2,20)),1000000000),1000000000))+ROW()/100000,"")</f>
        <v/>
      </c>
    </row>
    <row r="1003">
      <c r="A1003">
        <f>IF($B1003="","",IFERROR(IF(INDEX('Per Invoice'!$C$2:$C$401,MATCH($B1003,'Per Invoice'!$A$2:$A$401,0))=0,"",INDEX('Per Invoice'!$C$2:$C$401,MATCH($B1003,'Per Invoice'!$A$2:$A$401,0))),""))</f>
        <v/>
      </c>
      <c r="G1003" s="7">
        <f>IF($B1003="","",F1003*L1003/100)</f>
        <v/>
      </c>
      <c r="K1003" s="7" t="n"/>
      <c r="L1003" s="7" t="n"/>
      <c r="M1003" s="7">
        <f>IF($B1003="","",L1003*T1003/100)</f>
        <v/>
      </c>
      <c r="N1003" s="7">
        <f>IF($B1003="","",L1003-M1003)</f>
        <v/>
      </c>
      <c r="O1003" s="7">
        <f>IF($B1003="","",N1003-G1003)</f>
        <v/>
      </c>
      <c r="R1003" s="14" t="n"/>
      <c r="T1003">
        <f>IF($B1003="","",IF($W1003=1,Settings!$C$6,Settings!$C$7)*100)</f>
        <v/>
      </c>
      <c r="U1003">
        <f>IF($B1003="","",IF(COUNTIF($B$2:$B1003,$B1003)=1,1,0))</f>
        <v/>
      </c>
      <c r="V1003">
        <f>IF($U1003=1,SUMPRODUCT(--($X$2:$X$1501&lt;$X1003))+1,"")</f>
        <v/>
      </c>
      <c r="W1003">
        <f>IF($B1003="","",IF(OR($S1003=TRUE(),$S1003="TRUE"),1,0))</f>
        <v/>
      </c>
      <c r="X1003">
        <f>IF($U1003=1,IFERROR(IF(VALUE($B1003)&lt;100000000,VALUE($B1003),1000000000),IFERROR(IF(VALUE(MID($B1003,2,20))&lt;100000000,VALUE(MID($B1003,2,20)),1000000000),1000000000))+ROW()/100000,"")</f>
        <v/>
      </c>
    </row>
    <row r="1004">
      <c r="A1004">
        <f>IF($B1004="","",IFERROR(IF(INDEX('Per Invoice'!$C$2:$C$401,MATCH($B1004,'Per Invoice'!$A$2:$A$401,0))=0,"",INDEX('Per Invoice'!$C$2:$C$401,MATCH($B1004,'Per Invoice'!$A$2:$A$401,0))),""))</f>
        <v/>
      </c>
      <c r="G1004" s="7">
        <f>IF($B1004="","",F1004*L1004/100)</f>
        <v/>
      </c>
      <c r="K1004" s="7" t="n"/>
      <c r="L1004" s="7" t="n"/>
      <c r="M1004" s="7">
        <f>IF($B1004="","",L1004*T1004/100)</f>
        <v/>
      </c>
      <c r="N1004" s="7">
        <f>IF($B1004="","",L1004-M1004)</f>
        <v/>
      </c>
      <c r="O1004" s="7">
        <f>IF($B1004="","",N1004-G1004)</f>
        <v/>
      </c>
      <c r="R1004" s="14" t="n"/>
      <c r="T1004">
        <f>IF($B1004="","",IF($W1004=1,Settings!$C$6,Settings!$C$7)*100)</f>
        <v/>
      </c>
      <c r="U1004">
        <f>IF($B1004="","",IF(COUNTIF($B$2:$B1004,$B1004)=1,1,0))</f>
        <v/>
      </c>
      <c r="V1004">
        <f>IF($U1004=1,SUMPRODUCT(--($X$2:$X$1501&lt;$X1004))+1,"")</f>
        <v/>
      </c>
      <c r="W1004">
        <f>IF($B1004="","",IF(OR($S1004=TRUE(),$S1004="TRUE"),1,0))</f>
        <v/>
      </c>
      <c r="X1004">
        <f>IF($U1004=1,IFERROR(IF(VALUE($B1004)&lt;100000000,VALUE($B1004),1000000000),IFERROR(IF(VALUE(MID($B1004,2,20))&lt;100000000,VALUE(MID($B1004,2,20)),1000000000),1000000000))+ROW()/100000,"")</f>
        <v/>
      </c>
    </row>
    <row r="1005">
      <c r="A1005">
        <f>IF($B1005="","",IFERROR(IF(INDEX('Per Invoice'!$C$2:$C$401,MATCH($B1005,'Per Invoice'!$A$2:$A$401,0))=0,"",INDEX('Per Invoice'!$C$2:$C$401,MATCH($B1005,'Per Invoice'!$A$2:$A$401,0))),""))</f>
        <v/>
      </c>
      <c r="G1005" s="7">
        <f>IF($B1005="","",F1005*L1005/100)</f>
        <v/>
      </c>
      <c r="K1005" s="7" t="n"/>
      <c r="L1005" s="7" t="n"/>
      <c r="M1005" s="7">
        <f>IF($B1005="","",L1005*T1005/100)</f>
        <v/>
      </c>
      <c r="N1005" s="7">
        <f>IF($B1005="","",L1005-M1005)</f>
        <v/>
      </c>
      <c r="O1005" s="7">
        <f>IF($B1005="","",N1005-G1005)</f>
        <v/>
      </c>
      <c r="R1005" s="14" t="n"/>
      <c r="T1005">
        <f>IF($B1005="","",IF($W1005=1,Settings!$C$6,Settings!$C$7)*100)</f>
        <v/>
      </c>
      <c r="U1005">
        <f>IF($B1005="","",IF(COUNTIF($B$2:$B1005,$B1005)=1,1,0))</f>
        <v/>
      </c>
      <c r="V1005">
        <f>IF($U1005=1,SUMPRODUCT(--($X$2:$X$1501&lt;$X1005))+1,"")</f>
        <v/>
      </c>
      <c r="W1005">
        <f>IF($B1005="","",IF(OR($S1005=TRUE(),$S1005="TRUE"),1,0))</f>
        <v/>
      </c>
      <c r="X1005">
        <f>IF($U1005=1,IFERROR(IF(VALUE($B1005)&lt;100000000,VALUE($B1005),1000000000),IFERROR(IF(VALUE(MID($B1005,2,20))&lt;100000000,VALUE(MID($B1005,2,20)),1000000000),1000000000))+ROW()/100000,"")</f>
        <v/>
      </c>
    </row>
    <row r="1006">
      <c r="A1006">
        <f>IF($B1006="","",IFERROR(IF(INDEX('Per Invoice'!$C$2:$C$401,MATCH($B1006,'Per Invoice'!$A$2:$A$401,0))=0,"",INDEX('Per Invoice'!$C$2:$C$401,MATCH($B1006,'Per Invoice'!$A$2:$A$401,0))),""))</f>
        <v/>
      </c>
      <c r="G1006" s="7">
        <f>IF($B1006="","",F1006*L1006/100)</f>
        <v/>
      </c>
      <c r="K1006" s="7" t="n"/>
      <c r="L1006" s="7" t="n"/>
      <c r="M1006" s="7">
        <f>IF($B1006="","",L1006*T1006/100)</f>
        <v/>
      </c>
      <c r="N1006" s="7">
        <f>IF($B1006="","",L1006-M1006)</f>
        <v/>
      </c>
      <c r="O1006" s="7">
        <f>IF($B1006="","",N1006-G1006)</f>
        <v/>
      </c>
      <c r="R1006" s="14" t="n"/>
      <c r="T1006">
        <f>IF($B1006="","",IF($W1006=1,Settings!$C$6,Settings!$C$7)*100)</f>
        <v/>
      </c>
      <c r="U1006">
        <f>IF($B1006="","",IF(COUNTIF($B$2:$B1006,$B1006)=1,1,0))</f>
        <v/>
      </c>
      <c r="V1006">
        <f>IF($U1006=1,SUMPRODUCT(--($X$2:$X$1501&lt;$X1006))+1,"")</f>
        <v/>
      </c>
      <c r="W1006">
        <f>IF($B1006="","",IF(OR($S1006=TRUE(),$S1006="TRUE"),1,0))</f>
        <v/>
      </c>
      <c r="X1006">
        <f>IF($U1006=1,IFERROR(IF(VALUE($B1006)&lt;100000000,VALUE($B1006),1000000000),IFERROR(IF(VALUE(MID($B1006,2,20))&lt;100000000,VALUE(MID($B1006,2,20)),1000000000),1000000000))+ROW()/100000,"")</f>
        <v/>
      </c>
    </row>
    <row r="1007">
      <c r="A1007">
        <f>IF($B1007="","",IFERROR(IF(INDEX('Per Invoice'!$C$2:$C$401,MATCH($B1007,'Per Invoice'!$A$2:$A$401,0))=0,"",INDEX('Per Invoice'!$C$2:$C$401,MATCH($B1007,'Per Invoice'!$A$2:$A$401,0))),""))</f>
        <v/>
      </c>
      <c r="G1007" s="7">
        <f>IF($B1007="","",F1007*L1007/100)</f>
        <v/>
      </c>
      <c r="K1007" s="7" t="n"/>
      <c r="L1007" s="7" t="n"/>
      <c r="M1007" s="7">
        <f>IF($B1007="","",L1007*T1007/100)</f>
        <v/>
      </c>
      <c r="N1007" s="7">
        <f>IF($B1007="","",L1007-M1007)</f>
        <v/>
      </c>
      <c r="O1007" s="7">
        <f>IF($B1007="","",N1007-G1007)</f>
        <v/>
      </c>
      <c r="R1007" s="14" t="n"/>
      <c r="T1007">
        <f>IF($B1007="","",IF($W1007=1,Settings!$C$6,Settings!$C$7)*100)</f>
        <v/>
      </c>
      <c r="U1007">
        <f>IF($B1007="","",IF(COUNTIF($B$2:$B1007,$B1007)=1,1,0))</f>
        <v/>
      </c>
      <c r="V1007">
        <f>IF($U1007=1,SUMPRODUCT(--($X$2:$X$1501&lt;$X1007))+1,"")</f>
        <v/>
      </c>
      <c r="W1007">
        <f>IF($B1007="","",IF(OR($S1007=TRUE(),$S1007="TRUE"),1,0))</f>
        <v/>
      </c>
      <c r="X1007">
        <f>IF($U1007=1,IFERROR(IF(VALUE($B1007)&lt;100000000,VALUE($B1007),1000000000),IFERROR(IF(VALUE(MID($B1007,2,20))&lt;100000000,VALUE(MID($B1007,2,20)),1000000000),1000000000))+ROW()/100000,"")</f>
        <v/>
      </c>
    </row>
    <row r="1008">
      <c r="A1008">
        <f>IF($B1008="","",IFERROR(IF(INDEX('Per Invoice'!$C$2:$C$401,MATCH($B1008,'Per Invoice'!$A$2:$A$401,0))=0,"",INDEX('Per Invoice'!$C$2:$C$401,MATCH($B1008,'Per Invoice'!$A$2:$A$401,0))),""))</f>
        <v/>
      </c>
      <c r="G1008" s="7">
        <f>IF($B1008="","",F1008*L1008/100)</f>
        <v/>
      </c>
      <c r="K1008" s="7" t="n"/>
      <c r="L1008" s="7" t="n"/>
      <c r="M1008" s="7">
        <f>IF($B1008="","",L1008*T1008/100)</f>
        <v/>
      </c>
      <c r="N1008" s="7">
        <f>IF($B1008="","",L1008-M1008)</f>
        <v/>
      </c>
      <c r="O1008" s="7">
        <f>IF($B1008="","",N1008-G1008)</f>
        <v/>
      </c>
      <c r="R1008" s="14" t="n"/>
      <c r="T1008">
        <f>IF($B1008="","",IF($W1008=1,Settings!$C$6,Settings!$C$7)*100)</f>
        <v/>
      </c>
      <c r="U1008">
        <f>IF($B1008="","",IF(COUNTIF($B$2:$B1008,$B1008)=1,1,0))</f>
        <v/>
      </c>
      <c r="V1008">
        <f>IF($U1008=1,SUMPRODUCT(--($X$2:$X$1501&lt;$X1008))+1,"")</f>
        <v/>
      </c>
      <c r="W1008">
        <f>IF($B1008="","",IF(OR($S1008=TRUE(),$S1008="TRUE"),1,0))</f>
        <v/>
      </c>
      <c r="X1008">
        <f>IF($U1008=1,IFERROR(IF(VALUE($B1008)&lt;100000000,VALUE($B1008),1000000000),IFERROR(IF(VALUE(MID($B1008,2,20))&lt;100000000,VALUE(MID($B1008,2,20)),1000000000),1000000000))+ROW()/100000,"")</f>
        <v/>
      </c>
    </row>
    <row r="1009">
      <c r="A1009">
        <f>IF($B1009="","",IFERROR(IF(INDEX('Per Invoice'!$C$2:$C$401,MATCH($B1009,'Per Invoice'!$A$2:$A$401,0))=0,"",INDEX('Per Invoice'!$C$2:$C$401,MATCH($B1009,'Per Invoice'!$A$2:$A$401,0))),""))</f>
        <v/>
      </c>
      <c r="G1009" s="7">
        <f>IF($B1009="","",F1009*L1009/100)</f>
        <v/>
      </c>
      <c r="K1009" s="7" t="n"/>
      <c r="L1009" s="7" t="n"/>
      <c r="M1009" s="7">
        <f>IF($B1009="","",L1009*T1009/100)</f>
        <v/>
      </c>
      <c r="N1009" s="7">
        <f>IF($B1009="","",L1009-M1009)</f>
        <v/>
      </c>
      <c r="O1009" s="7">
        <f>IF($B1009="","",N1009-G1009)</f>
        <v/>
      </c>
      <c r="R1009" s="14" t="n"/>
      <c r="T1009">
        <f>IF($B1009="","",IF($W1009=1,Settings!$C$6,Settings!$C$7)*100)</f>
        <v/>
      </c>
      <c r="U1009">
        <f>IF($B1009="","",IF(COUNTIF($B$2:$B1009,$B1009)=1,1,0))</f>
        <v/>
      </c>
      <c r="V1009">
        <f>IF($U1009=1,SUMPRODUCT(--($X$2:$X$1501&lt;$X1009))+1,"")</f>
        <v/>
      </c>
      <c r="W1009">
        <f>IF($B1009="","",IF(OR($S1009=TRUE(),$S1009="TRUE"),1,0))</f>
        <v/>
      </c>
      <c r="X1009">
        <f>IF($U1009=1,IFERROR(IF(VALUE($B1009)&lt;100000000,VALUE($B1009),1000000000),IFERROR(IF(VALUE(MID($B1009,2,20))&lt;100000000,VALUE(MID($B1009,2,20)),1000000000),1000000000))+ROW()/100000,"")</f>
        <v/>
      </c>
    </row>
    <row r="1010">
      <c r="A1010">
        <f>IF($B1010="","",IFERROR(IF(INDEX('Per Invoice'!$C$2:$C$401,MATCH($B1010,'Per Invoice'!$A$2:$A$401,0))=0,"",INDEX('Per Invoice'!$C$2:$C$401,MATCH($B1010,'Per Invoice'!$A$2:$A$401,0))),""))</f>
        <v/>
      </c>
      <c r="G1010" s="7">
        <f>IF($B1010="","",F1010*L1010/100)</f>
        <v/>
      </c>
      <c r="K1010" s="7" t="n"/>
      <c r="L1010" s="7" t="n"/>
      <c r="M1010" s="7">
        <f>IF($B1010="","",L1010*T1010/100)</f>
        <v/>
      </c>
      <c r="N1010" s="7">
        <f>IF($B1010="","",L1010-M1010)</f>
        <v/>
      </c>
      <c r="O1010" s="7">
        <f>IF($B1010="","",N1010-G1010)</f>
        <v/>
      </c>
      <c r="R1010" s="14" t="n"/>
      <c r="T1010">
        <f>IF($B1010="","",IF($W1010=1,Settings!$C$6,Settings!$C$7)*100)</f>
        <v/>
      </c>
      <c r="U1010">
        <f>IF($B1010="","",IF(COUNTIF($B$2:$B1010,$B1010)=1,1,0))</f>
        <v/>
      </c>
      <c r="V1010">
        <f>IF($U1010=1,SUMPRODUCT(--($X$2:$X$1501&lt;$X1010))+1,"")</f>
        <v/>
      </c>
      <c r="W1010">
        <f>IF($B1010="","",IF(OR($S1010=TRUE(),$S1010="TRUE"),1,0))</f>
        <v/>
      </c>
      <c r="X1010">
        <f>IF($U1010=1,IFERROR(IF(VALUE($B1010)&lt;100000000,VALUE($B1010),1000000000),IFERROR(IF(VALUE(MID($B1010,2,20))&lt;100000000,VALUE(MID($B1010,2,20)),1000000000),1000000000))+ROW()/100000,"")</f>
        <v/>
      </c>
    </row>
    <row r="1011">
      <c r="A1011">
        <f>IF($B1011="","",IFERROR(IF(INDEX('Per Invoice'!$C$2:$C$401,MATCH($B1011,'Per Invoice'!$A$2:$A$401,0))=0,"",INDEX('Per Invoice'!$C$2:$C$401,MATCH($B1011,'Per Invoice'!$A$2:$A$401,0))),""))</f>
        <v/>
      </c>
      <c r="G1011" s="7">
        <f>IF($B1011="","",F1011*L1011/100)</f>
        <v/>
      </c>
      <c r="K1011" s="7" t="n"/>
      <c r="L1011" s="7" t="n"/>
      <c r="M1011" s="7">
        <f>IF($B1011="","",L1011*T1011/100)</f>
        <v/>
      </c>
      <c r="N1011" s="7">
        <f>IF($B1011="","",L1011-M1011)</f>
        <v/>
      </c>
      <c r="O1011" s="7">
        <f>IF($B1011="","",N1011-G1011)</f>
        <v/>
      </c>
      <c r="R1011" s="14" t="n"/>
      <c r="T1011">
        <f>IF($B1011="","",IF($W1011=1,Settings!$C$6,Settings!$C$7)*100)</f>
        <v/>
      </c>
      <c r="U1011">
        <f>IF($B1011="","",IF(COUNTIF($B$2:$B1011,$B1011)=1,1,0))</f>
        <v/>
      </c>
      <c r="V1011">
        <f>IF($U1011=1,SUMPRODUCT(--($X$2:$X$1501&lt;$X1011))+1,"")</f>
        <v/>
      </c>
      <c r="W1011">
        <f>IF($B1011="","",IF(OR($S1011=TRUE(),$S1011="TRUE"),1,0))</f>
        <v/>
      </c>
      <c r="X1011">
        <f>IF($U1011=1,IFERROR(IF(VALUE($B1011)&lt;100000000,VALUE($B1011),1000000000),IFERROR(IF(VALUE(MID($B1011,2,20))&lt;100000000,VALUE(MID($B1011,2,20)),1000000000),1000000000))+ROW()/100000,"")</f>
        <v/>
      </c>
    </row>
    <row r="1012">
      <c r="A1012">
        <f>IF($B1012="","",IFERROR(IF(INDEX('Per Invoice'!$C$2:$C$401,MATCH($B1012,'Per Invoice'!$A$2:$A$401,0))=0,"",INDEX('Per Invoice'!$C$2:$C$401,MATCH($B1012,'Per Invoice'!$A$2:$A$401,0))),""))</f>
        <v/>
      </c>
      <c r="G1012" s="7">
        <f>IF($B1012="","",F1012*L1012/100)</f>
        <v/>
      </c>
      <c r="K1012" s="7" t="n"/>
      <c r="L1012" s="7" t="n"/>
      <c r="M1012" s="7">
        <f>IF($B1012="","",L1012*T1012/100)</f>
        <v/>
      </c>
      <c r="N1012" s="7">
        <f>IF($B1012="","",L1012-M1012)</f>
        <v/>
      </c>
      <c r="O1012" s="7">
        <f>IF($B1012="","",N1012-G1012)</f>
        <v/>
      </c>
      <c r="R1012" s="14" t="n"/>
      <c r="T1012">
        <f>IF($B1012="","",IF($W1012=1,Settings!$C$6,Settings!$C$7)*100)</f>
        <v/>
      </c>
      <c r="U1012">
        <f>IF($B1012="","",IF(COUNTIF($B$2:$B1012,$B1012)=1,1,0))</f>
        <v/>
      </c>
      <c r="V1012">
        <f>IF($U1012=1,SUMPRODUCT(--($X$2:$X$1501&lt;$X1012))+1,"")</f>
        <v/>
      </c>
      <c r="W1012">
        <f>IF($B1012="","",IF(OR($S1012=TRUE(),$S1012="TRUE"),1,0))</f>
        <v/>
      </c>
      <c r="X1012">
        <f>IF($U1012=1,IFERROR(IF(VALUE($B1012)&lt;100000000,VALUE($B1012),1000000000),IFERROR(IF(VALUE(MID($B1012,2,20))&lt;100000000,VALUE(MID($B1012,2,20)),1000000000),1000000000))+ROW()/100000,"")</f>
        <v/>
      </c>
    </row>
    <row r="1013">
      <c r="A1013">
        <f>IF($B1013="","",IFERROR(IF(INDEX('Per Invoice'!$C$2:$C$401,MATCH($B1013,'Per Invoice'!$A$2:$A$401,0))=0,"",INDEX('Per Invoice'!$C$2:$C$401,MATCH($B1013,'Per Invoice'!$A$2:$A$401,0))),""))</f>
        <v/>
      </c>
      <c r="G1013" s="7">
        <f>IF($B1013="","",F1013*L1013/100)</f>
        <v/>
      </c>
      <c r="K1013" s="7" t="n"/>
      <c r="L1013" s="7" t="n"/>
      <c r="M1013" s="7">
        <f>IF($B1013="","",L1013*T1013/100)</f>
        <v/>
      </c>
      <c r="N1013" s="7">
        <f>IF($B1013="","",L1013-M1013)</f>
        <v/>
      </c>
      <c r="O1013" s="7">
        <f>IF($B1013="","",N1013-G1013)</f>
        <v/>
      </c>
      <c r="R1013" s="14" t="n"/>
      <c r="T1013">
        <f>IF($B1013="","",IF($W1013=1,Settings!$C$6,Settings!$C$7)*100)</f>
        <v/>
      </c>
      <c r="U1013">
        <f>IF($B1013="","",IF(COUNTIF($B$2:$B1013,$B1013)=1,1,0))</f>
        <v/>
      </c>
      <c r="V1013">
        <f>IF($U1013=1,SUMPRODUCT(--($X$2:$X$1501&lt;$X1013))+1,"")</f>
        <v/>
      </c>
      <c r="W1013">
        <f>IF($B1013="","",IF(OR($S1013=TRUE(),$S1013="TRUE"),1,0))</f>
        <v/>
      </c>
      <c r="X1013">
        <f>IF($U1013=1,IFERROR(IF(VALUE($B1013)&lt;100000000,VALUE($B1013),1000000000),IFERROR(IF(VALUE(MID($B1013,2,20))&lt;100000000,VALUE(MID($B1013,2,20)),1000000000),1000000000))+ROW()/100000,"")</f>
        <v/>
      </c>
    </row>
    <row r="1014">
      <c r="A1014">
        <f>IF($B1014="","",IFERROR(IF(INDEX('Per Invoice'!$C$2:$C$401,MATCH($B1014,'Per Invoice'!$A$2:$A$401,0))=0,"",INDEX('Per Invoice'!$C$2:$C$401,MATCH($B1014,'Per Invoice'!$A$2:$A$401,0))),""))</f>
        <v/>
      </c>
      <c r="G1014" s="7">
        <f>IF($B1014="","",F1014*L1014/100)</f>
        <v/>
      </c>
      <c r="K1014" s="7" t="n"/>
      <c r="L1014" s="7" t="n"/>
      <c r="M1014" s="7">
        <f>IF($B1014="","",L1014*T1014/100)</f>
        <v/>
      </c>
      <c r="N1014" s="7">
        <f>IF($B1014="","",L1014-M1014)</f>
        <v/>
      </c>
      <c r="O1014" s="7">
        <f>IF($B1014="","",N1014-G1014)</f>
        <v/>
      </c>
      <c r="R1014" s="14" t="n"/>
      <c r="T1014">
        <f>IF($B1014="","",IF($W1014=1,Settings!$C$6,Settings!$C$7)*100)</f>
        <v/>
      </c>
      <c r="U1014">
        <f>IF($B1014="","",IF(COUNTIF($B$2:$B1014,$B1014)=1,1,0))</f>
        <v/>
      </c>
      <c r="V1014">
        <f>IF($U1014=1,SUMPRODUCT(--($X$2:$X$1501&lt;$X1014))+1,"")</f>
        <v/>
      </c>
      <c r="W1014">
        <f>IF($B1014="","",IF(OR($S1014=TRUE(),$S1014="TRUE"),1,0))</f>
        <v/>
      </c>
      <c r="X1014">
        <f>IF($U1014=1,IFERROR(IF(VALUE($B1014)&lt;100000000,VALUE($B1014),1000000000),IFERROR(IF(VALUE(MID($B1014,2,20))&lt;100000000,VALUE(MID($B1014,2,20)),1000000000),1000000000))+ROW()/100000,"")</f>
        <v/>
      </c>
    </row>
    <row r="1015">
      <c r="A1015">
        <f>IF($B1015="","",IFERROR(IF(INDEX('Per Invoice'!$C$2:$C$401,MATCH($B1015,'Per Invoice'!$A$2:$A$401,0))=0,"",INDEX('Per Invoice'!$C$2:$C$401,MATCH($B1015,'Per Invoice'!$A$2:$A$401,0))),""))</f>
        <v/>
      </c>
      <c r="G1015" s="7">
        <f>IF($B1015="","",F1015*L1015/100)</f>
        <v/>
      </c>
      <c r="K1015" s="7" t="n"/>
      <c r="L1015" s="7" t="n"/>
      <c r="M1015" s="7">
        <f>IF($B1015="","",L1015*T1015/100)</f>
        <v/>
      </c>
      <c r="N1015" s="7">
        <f>IF($B1015="","",L1015-M1015)</f>
        <v/>
      </c>
      <c r="O1015" s="7">
        <f>IF($B1015="","",N1015-G1015)</f>
        <v/>
      </c>
      <c r="R1015" s="14" t="n"/>
      <c r="T1015">
        <f>IF($B1015="","",IF($W1015=1,Settings!$C$6,Settings!$C$7)*100)</f>
        <v/>
      </c>
      <c r="U1015">
        <f>IF($B1015="","",IF(COUNTIF($B$2:$B1015,$B1015)=1,1,0))</f>
        <v/>
      </c>
      <c r="V1015">
        <f>IF($U1015=1,SUMPRODUCT(--($X$2:$X$1501&lt;$X1015))+1,"")</f>
        <v/>
      </c>
      <c r="W1015">
        <f>IF($B1015="","",IF(OR($S1015=TRUE(),$S1015="TRUE"),1,0))</f>
        <v/>
      </c>
      <c r="X1015">
        <f>IF($U1015=1,IFERROR(IF(VALUE($B1015)&lt;100000000,VALUE($B1015),1000000000),IFERROR(IF(VALUE(MID($B1015,2,20))&lt;100000000,VALUE(MID($B1015,2,20)),1000000000),1000000000))+ROW()/100000,"")</f>
        <v/>
      </c>
    </row>
    <row r="1016">
      <c r="A1016">
        <f>IF($B1016="","",IFERROR(IF(INDEX('Per Invoice'!$C$2:$C$401,MATCH($B1016,'Per Invoice'!$A$2:$A$401,0))=0,"",INDEX('Per Invoice'!$C$2:$C$401,MATCH($B1016,'Per Invoice'!$A$2:$A$401,0))),""))</f>
        <v/>
      </c>
      <c r="G1016" s="7">
        <f>IF($B1016="","",F1016*L1016/100)</f>
        <v/>
      </c>
      <c r="K1016" s="7" t="n"/>
      <c r="L1016" s="7" t="n"/>
      <c r="M1016" s="7">
        <f>IF($B1016="","",L1016*T1016/100)</f>
        <v/>
      </c>
      <c r="N1016" s="7">
        <f>IF($B1016="","",L1016-M1016)</f>
        <v/>
      </c>
      <c r="O1016" s="7">
        <f>IF($B1016="","",N1016-G1016)</f>
        <v/>
      </c>
      <c r="R1016" s="14" t="n"/>
      <c r="T1016">
        <f>IF($B1016="","",IF($W1016=1,Settings!$C$6,Settings!$C$7)*100)</f>
        <v/>
      </c>
      <c r="U1016">
        <f>IF($B1016="","",IF(COUNTIF($B$2:$B1016,$B1016)=1,1,0))</f>
        <v/>
      </c>
      <c r="V1016">
        <f>IF($U1016=1,SUMPRODUCT(--($X$2:$X$1501&lt;$X1016))+1,"")</f>
        <v/>
      </c>
      <c r="W1016">
        <f>IF($B1016="","",IF(OR($S1016=TRUE(),$S1016="TRUE"),1,0))</f>
        <v/>
      </c>
      <c r="X1016">
        <f>IF($U1016=1,IFERROR(IF(VALUE($B1016)&lt;100000000,VALUE($B1016),1000000000),IFERROR(IF(VALUE(MID($B1016,2,20))&lt;100000000,VALUE(MID($B1016,2,20)),1000000000),1000000000))+ROW()/100000,"")</f>
        <v/>
      </c>
    </row>
    <row r="1017">
      <c r="A1017">
        <f>IF($B1017="","",IFERROR(IF(INDEX('Per Invoice'!$C$2:$C$401,MATCH($B1017,'Per Invoice'!$A$2:$A$401,0))=0,"",INDEX('Per Invoice'!$C$2:$C$401,MATCH($B1017,'Per Invoice'!$A$2:$A$401,0))),""))</f>
        <v/>
      </c>
      <c r="G1017" s="7">
        <f>IF($B1017="","",F1017*L1017/100)</f>
        <v/>
      </c>
      <c r="K1017" s="7" t="n"/>
      <c r="L1017" s="7" t="n"/>
      <c r="M1017" s="7">
        <f>IF($B1017="","",L1017*T1017/100)</f>
        <v/>
      </c>
      <c r="N1017" s="7">
        <f>IF($B1017="","",L1017-M1017)</f>
        <v/>
      </c>
      <c r="O1017" s="7">
        <f>IF($B1017="","",N1017-G1017)</f>
        <v/>
      </c>
      <c r="R1017" s="14" t="n"/>
      <c r="T1017">
        <f>IF($B1017="","",IF($W1017=1,Settings!$C$6,Settings!$C$7)*100)</f>
        <v/>
      </c>
      <c r="U1017">
        <f>IF($B1017="","",IF(COUNTIF($B$2:$B1017,$B1017)=1,1,0))</f>
        <v/>
      </c>
      <c r="V1017">
        <f>IF($U1017=1,SUMPRODUCT(--($X$2:$X$1501&lt;$X1017))+1,"")</f>
        <v/>
      </c>
      <c r="W1017">
        <f>IF($B1017="","",IF(OR($S1017=TRUE(),$S1017="TRUE"),1,0))</f>
        <v/>
      </c>
      <c r="X1017">
        <f>IF($U1017=1,IFERROR(IF(VALUE($B1017)&lt;100000000,VALUE($B1017),1000000000),IFERROR(IF(VALUE(MID($B1017,2,20))&lt;100000000,VALUE(MID($B1017,2,20)),1000000000),1000000000))+ROW()/100000,"")</f>
        <v/>
      </c>
    </row>
    <row r="1018">
      <c r="A1018">
        <f>IF($B1018="","",IFERROR(IF(INDEX('Per Invoice'!$C$2:$C$401,MATCH($B1018,'Per Invoice'!$A$2:$A$401,0))=0,"",INDEX('Per Invoice'!$C$2:$C$401,MATCH($B1018,'Per Invoice'!$A$2:$A$401,0))),""))</f>
        <v/>
      </c>
      <c r="G1018" s="7">
        <f>IF($B1018="","",F1018*L1018/100)</f>
        <v/>
      </c>
      <c r="K1018" s="7" t="n"/>
      <c r="L1018" s="7" t="n"/>
      <c r="M1018" s="7">
        <f>IF($B1018="","",L1018*T1018/100)</f>
        <v/>
      </c>
      <c r="N1018" s="7">
        <f>IF($B1018="","",L1018-M1018)</f>
        <v/>
      </c>
      <c r="O1018" s="7">
        <f>IF($B1018="","",N1018-G1018)</f>
        <v/>
      </c>
      <c r="R1018" s="14" t="n"/>
      <c r="T1018">
        <f>IF($B1018="","",IF($W1018=1,Settings!$C$6,Settings!$C$7)*100)</f>
        <v/>
      </c>
      <c r="U1018">
        <f>IF($B1018="","",IF(COUNTIF($B$2:$B1018,$B1018)=1,1,0))</f>
        <v/>
      </c>
      <c r="V1018">
        <f>IF($U1018=1,SUMPRODUCT(--($X$2:$X$1501&lt;$X1018))+1,"")</f>
        <v/>
      </c>
      <c r="W1018">
        <f>IF($B1018="","",IF(OR($S1018=TRUE(),$S1018="TRUE"),1,0))</f>
        <v/>
      </c>
      <c r="X1018">
        <f>IF($U1018=1,IFERROR(IF(VALUE($B1018)&lt;100000000,VALUE($B1018),1000000000),IFERROR(IF(VALUE(MID($B1018,2,20))&lt;100000000,VALUE(MID($B1018,2,20)),1000000000),1000000000))+ROW()/100000,"")</f>
        <v/>
      </c>
    </row>
    <row r="1019">
      <c r="A1019">
        <f>IF($B1019="","",IFERROR(IF(INDEX('Per Invoice'!$C$2:$C$401,MATCH($B1019,'Per Invoice'!$A$2:$A$401,0))=0,"",INDEX('Per Invoice'!$C$2:$C$401,MATCH($B1019,'Per Invoice'!$A$2:$A$401,0))),""))</f>
        <v/>
      </c>
      <c r="G1019" s="7">
        <f>IF($B1019="","",F1019*L1019/100)</f>
        <v/>
      </c>
      <c r="K1019" s="7" t="n"/>
      <c r="L1019" s="7" t="n"/>
      <c r="M1019" s="7">
        <f>IF($B1019="","",L1019*T1019/100)</f>
        <v/>
      </c>
      <c r="N1019" s="7">
        <f>IF($B1019="","",L1019-M1019)</f>
        <v/>
      </c>
      <c r="O1019" s="7">
        <f>IF($B1019="","",N1019-G1019)</f>
        <v/>
      </c>
      <c r="R1019" s="14" t="n"/>
      <c r="T1019">
        <f>IF($B1019="","",IF($W1019=1,Settings!$C$6,Settings!$C$7)*100)</f>
        <v/>
      </c>
      <c r="U1019">
        <f>IF($B1019="","",IF(COUNTIF($B$2:$B1019,$B1019)=1,1,0))</f>
        <v/>
      </c>
      <c r="V1019">
        <f>IF($U1019=1,SUMPRODUCT(--($X$2:$X$1501&lt;$X1019))+1,"")</f>
        <v/>
      </c>
      <c r="W1019">
        <f>IF($B1019="","",IF(OR($S1019=TRUE(),$S1019="TRUE"),1,0))</f>
        <v/>
      </c>
      <c r="X1019">
        <f>IF($U1019=1,IFERROR(IF(VALUE($B1019)&lt;100000000,VALUE($B1019),1000000000),IFERROR(IF(VALUE(MID($B1019,2,20))&lt;100000000,VALUE(MID($B1019,2,20)),1000000000),1000000000))+ROW()/100000,"")</f>
        <v/>
      </c>
    </row>
    <row r="1020">
      <c r="A1020">
        <f>IF($B1020="","",IFERROR(IF(INDEX('Per Invoice'!$C$2:$C$401,MATCH($B1020,'Per Invoice'!$A$2:$A$401,0))=0,"",INDEX('Per Invoice'!$C$2:$C$401,MATCH($B1020,'Per Invoice'!$A$2:$A$401,0))),""))</f>
        <v/>
      </c>
      <c r="G1020" s="7">
        <f>IF($B1020="","",F1020*L1020/100)</f>
        <v/>
      </c>
      <c r="K1020" s="7" t="n"/>
      <c r="L1020" s="7" t="n"/>
      <c r="M1020" s="7">
        <f>IF($B1020="","",L1020*T1020/100)</f>
        <v/>
      </c>
      <c r="N1020" s="7">
        <f>IF($B1020="","",L1020-M1020)</f>
        <v/>
      </c>
      <c r="O1020" s="7">
        <f>IF($B1020="","",N1020-G1020)</f>
        <v/>
      </c>
      <c r="R1020" s="14" t="n"/>
      <c r="T1020">
        <f>IF($B1020="","",IF($W1020=1,Settings!$C$6,Settings!$C$7)*100)</f>
        <v/>
      </c>
      <c r="U1020">
        <f>IF($B1020="","",IF(COUNTIF($B$2:$B1020,$B1020)=1,1,0))</f>
        <v/>
      </c>
      <c r="V1020">
        <f>IF($U1020=1,SUMPRODUCT(--($X$2:$X$1501&lt;$X1020))+1,"")</f>
        <v/>
      </c>
      <c r="W1020">
        <f>IF($B1020="","",IF(OR($S1020=TRUE(),$S1020="TRUE"),1,0))</f>
        <v/>
      </c>
      <c r="X1020">
        <f>IF($U1020=1,IFERROR(IF(VALUE($B1020)&lt;100000000,VALUE($B1020),1000000000),IFERROR(IF(VALUE(MID($B1020,2,20))&lt;100000000,VALUE(MID($B1020,2,20)),1000000000),1000000000))+ROW()/100000,"")</f>
        <v/>
      </c>
    </row>
    <row r="1021">
      <c r="A1021">
        <f>IF($B1021="","",IFERROR(IF(INDEX('Per Invoice'!$C$2:$C$401,MATCH($B1021,'Per Invoice'!$A$2:$A$401,0))=0,"",INDEX('Per Invoice'!$C$2:$C$401,MATCH($B1021,'Per Invoice'!$A$2:$A$401,0))),""))</f>
        <v/>
      </c>
      <c r="G1021" s="7">
        <f>IF($B1021="","",F1021*L1021/100)</f>
        <v/>
      </c>
      <c r="K1021" s="7" t="n"/>
      <c r="L1021" s="7" t="n"/>
      <c r="M1021" s="7">
        <f>IF($B1021="","",L1021*T1021/100)</f>
        <v/>
      </c>
      <c r="N1021" s="7">
        <f>IF($B1021="","",L1021-M1021)</f>
        <v/>
      </c>
      <c r="O1021" s="7">
        <f>IF($B1021="","",N1021-G1021)</f>
        <v/>
      </c>
      <c r="R1021" s="14" t="n"/>
      <c r="T1021">
        <f>IF($B1021="","",IF($W1021=1,Settings!$C$6,Settings!$C$7)*100)</f>
        <v/>
      </c>
      <c r="U1021">
        <f>IF($B1021="","",IF(COUNTIF($B$2:$B1021,$B1021)=1,1,0))</f>
        <v/>
      </c>
      <c r="V1021">
        <f>IF($U1021=1,SUMPRODUCT(--($X$2:$X$1501&lt;$X1021))+1,"")</f>
        <v/>
      </c>
      <c r="W1021">
        <f>IF($B1021="","",IF(OR($S1021=TRUE(),$S1021="TRUE"),1,0))</f>
        <v/>
      </c>
      <c r="X1021">
        <f>IF($U1021=1,IFERROR(IF(VALUE($B1021)&lt;100000000,VALUE($B1021),1000000000),IFERROR(IF(VALUE(MID($B1021,2,20))&lt;100000000,VALUE(MID($B1021,2,20)),1000000000),1000000000))+ROW()/100000,"")</f>
        <v/>
      </c>
    </row>
    <row r="1022">
      <c r="A1022">
        <f>IF($B1022="","",IFERROR(IF(INDEX('Per Invoice'!$C$2:$C$401,MATCH($B1022,'Per Invoice'!$A$2:$A$401,0))=0,"",INDEX('Per Invoice'!$C$2:$C$401,MATCH($B1022,'Per Invoice'!$A$2:$A$401,0))),""))</f>
        <v/>
      </c>
      <c r="G1022" s="7">
        <f>IF($B1022="","",F1022*L1022/100)</f>
        <v/>
      </c>
      <c r="K1022" s="7" t="n"/>
      <c r="L1022" s="7" t="n"/>
      <c r="M1022" s="7">
        <f>IF($B1022="","",L1022*T1022/100)</f>
        <v/>
      </c>
      <c r="N1022" s="7">
        <f>IF($B1022="","",L1022-M1022)</f>
        <v/>
      </c>
      <c r="O1022" s="7">
        <f>IF($B1022="","",N1022-G1022)</f>
        <v/>
      </c>
      <c r="R1022" s="14" t="n"/>
      <c r="T1022">
        <f>IF($B1022="","",IF($W1022=1,Settings!$C$6,Settings!$C$7)*100)</f>
        <v/>
      </c>
      <c r="U1022">
        <f>IF($B1022="","",IF(COUNTIF($B$2:$B1022,$B1022)=1,1,0))</f>
        <v/>
      </c>
      <c r="V1022">
        <f>IF($U1022=1,SUMPRODUCT(--($X$2:$X$1501&lt;$X1022))+1,"")</f>
        <v/>
      </c>
      <c r="W1022">
        <f>IF($B1022="","",IF(OR($S1022=TRUE(),$S1022="TRUE"),1,0))</f>
        <v/>
      </c>
      <c r="X1022">
        <f>IF($U1022=1,IFERROR(IF(VALUE($B1022)&lt;100000000,VALUE($B1022),1000000000),IFERROR(IF(VALUE(MID($B1022,2,20))&lt;100000000,VALUE(MID($B1022,2,20)),1000000000),1000000000))+ROW()/100000,"")</f>
        <v/>
      </c>
    </row>
    <row r="1023">
      <c r="A1023">
        <f>IF($B1023="","",IFERROR(IF(INDEX('Per Invoice'!$C$2:$C$401,MATCH($B1023,'Per Invoice'!$A$2:$A$401,0))=0,"",INDEX('Per Invoice'!$C$2:$C$401,MATCH($B1023,'Per Invoice'!$A$2:$A$401,0))),""))</f>
        <v/>
      </c>
      <c r="G1023" s="7">
        <f>IF($B1023="","",F1023*L1023/100)</f>
        <v/>
      </c>
      <c r="K1023" s="7" t="n"/>
      <c r="L1023" s="7" t="n"/>
      <c r="M1023" s="7">
        <f>IF($B1023="","",L1023*T1023/100)</f>
        <v/>
      </c>
      <c r="N1023" s="7">
        <f>IF($B1023="","",L1023-M1023)</f>
        <v/>
      </c>
      <c r="O1023" s="7">
        <f>IF($B1023="","",N1023-G1023)</f>
        <v/>
      </c>
      <c r="R1023" s="14" t="n"/>
      <c r="T1023">
        <f>IF($B1023="","",IF($W1023=1,Settings!$C$6,Settings!$C$7)*100)</f>
        <v/>
      </c>
      <c r="U1023">
        <f>IF($B1023="","",IF(COUNTIF($B$2:$B1023,$B1023)=1,1,0))</f>
        <v/>
      </c>
      <c r="V1023">
        <f>IF($U1023=1,SUMPRODUCT(--($X$2:$X$1501&lt;$X1023))+1,"")</f>
        <v/>
      </c>
      <c r="W1023">
        <f>IF($B1023="","",IF(OR($S1023=TRUE(),$S1023="TRUE"),1,0))</f>
        <v/>
      </c>
      <c r="X1023">
        <f>IF($U1023=1,IFERROR(IF(VALUE($B1023)&lt;100000000,VALUE($B1023),1000000000),IFERROR(IF(VALUE(MID($B1023,2,20))&lt;100000000,VALUE(MID($B1023,2,20)),1000000000),1000000000))+ROW()/100000,"")</f>
        <v/>
      </c>
    </row>
    <row r="1024">
      <c r="A1024">
        <f>IF($B1024="","",IFERROR(IF(INDEX('Per Invoice'!$C$2:$C$401,MATCH($B1024,'Per Invoice'!$A$2:$A$401,0))=0,"",INDEX('Per Invoice'!$C$2:$C$401,MATCH($B1024,'Per Invoice'!$A$2:$A$401,0))),""))</f>
        <v/>
      </c>
      <c r="G1024" s="7">
        <f>IF($B1024="","",F1024*L1024/100)</f>
        <v/>
      </c>
      <c r="K1024" s="7" t="n"/>
      <c r="L1024" s="7" t="n"/>
      <c r="M1024" s="7">
        <f>IF($B1024="","",L1024*T1024/100)</f>
        <v/>
      </c>
      <c r="N1024" s="7">
        <f>IF($B1024="","",L1024-M1024)</f>
        <v/>
      </c>
      <c r="O1024" s="7">
        <f>IF($B1024="","",N1024-G1024)</f>
        <v/>
      </c>
      <c r="R1024" s="14" t="n"/>
      <c r="T1024">
        <f>IF($B1024="","",IF($W1024=1,Settings!$C$6,Settings!$C$7)*100)</f>
        <v/>
      </c>
      <c r="U1024">
        <f>IF($B1024="","",IF(COUNTIF($B$2:$B1024,$B1024)=1,1,0))</f>
        <v/>
      </c>
      <c r="V1024">
        <f>IF($U1024=1,SUMPRODUCT(--($X$2:$X$1501&lt;$X1024))+1,"")</f>
        <v/>
      </c>
      <c r="W1024">
        <f>IF($B1024="","",IF(OR($S1024=TRUE(),$S1024="TRUE"),1,0))</f>
        <v/>
      </c>
      <c r="X1024">
        <f>IF($U1024=1,IFERROR(IF(VALUE($B1024)&lt;100000000,VALUE($B1024),1000000000),IFERROR(IF(VALUE(MID($B1024,2,20))&lt;100000000,VALUE(MID($B1024,2,20)),1000000000),1000000000))+ROW()/100000,"")</f>
        <v/>
      </c>
    </row>
    <row r="1025">
      <c r="A1025">
        <f>IF($B1025="","",IFERROR(IF(INDEX('Per Invoice'!$C$2:$C$401,MATCH($B1025,'Per Invoice'!$A$2:$A$401,0))=0,"",INDEX('Per Invoice'!$C$2:$C$401,MATCH($B1025,'Per Invoice'!$A$2:$A$401,0))),""))</f>
        <v/>
      </c>
      <c r="G1025" s="7">
        <f>IF($B1025="","",F1025*L1025/100)</f>
        <v/>
      </c>
      <c r="K1025" s="7" t="n"/>
      <c r="L1025" s="7" t="n"/>
      <c r="M1025" s="7">
        <f>IF($B1025="","",L1025*T1025/100)</f>
        <v/>
      </c>
      <c r="N1025" s="7">
        <f>IF($B1025="","",L1025-M1025)</f>
        <v/>
      </c>
      <c r="O1025" s="7">
        <f>IF($B1025="","",N1025-G1025)</f>
        <v/>
      </c>
      <c r="R1025" s="14" t="n"/>
      <c r="T1025">
        <f>IF($B1025="","",IF($W1025=1,Settings!$C$6,Settings!$C$7)*100)</f>
        <v/>
      </c>
      <c r="U1025">
        <f>IF($B1025="","",IF(COUNTIF($B$2:$B1025,$B1025)=1,1,0))</f>
        <v/>
      </c>
      <c r="V1025">
        <f>IF($U1025=1,SUMPRODUCT(--($X$2:$X$1501&lt;$X1025))+1,"")</f>
        <v/>
      </c>
      <c r="W1025">
        <f>IF($B1025="","",IF(OR($S1025=TRUE(),$S1025="TRUE"),1,0))</f>
        <v/>
      </c>
      <c r="X1025">
        <f>IF($U1025=1,IFERROR(IF(VALUE($B1025)&lt;100000000,VALUE($B1025),1000000000),IFERROR(IF(VALUE(MID($B1025,2,20))&lt;100000000,VALUE(MID($B1025,2,20)),1000000000),1000000000))+ROW()/100000,"")</f>
        <v/>
      </c>
    </row>
    <row r="1026">
      <c r="A1026">
        <f>IF($B1026="","",IFERROR(IF(INDEX('Per Invoice'!$C$2:$C$401,MATCH($B1026,'Per Invoice'!$A$2:$A$401,0))=0,"",INDEX('Per Invoice'!$C$2:$C$401,MATCH($B1026,'Per Invoice'!$A$2:$A$401,0))),""))</f>
        <v/>
      </c>
      <c r="G1026" s="7">
        <f>IF($B1026="","",F1026*L1026/100)</f>
        <v/>
      </c>
      <c r="K1026" s="7" t="n"/>
      <c r="L1026" s="7" t="n"/>
      <c r="M1026" s="7">
        <f>IF($B1026="","",L1026*T1026/100)</f>
        <v/>
      </c>
      <c r="N1026" s="7">
        <f>IF($B1026="","",L1026-M1026)</f>
        <v/>
      </c>
      <c r="O1026" s="7">
        <f>IF($B1026="","",N1026-G1026)</f>
        <v/>
      </c>
      <c r="R1026" s="14" t="n"/>
      <c r="T1026">
        <f>IF($B1026="","",IF($W1026=1,Settings!$C$6,Settings!$C$7)*100)</f>
        <v/>
      </c>
      <c r="U1026">
        <f>IF($B1026="","",IF(COUNTIF($B$2:$B1026,$B1026)=1,1,0))</f>
        <v/>
      </c>
      <c r="V1026">
        <f>IF($U1026=1,SUMPRODUCT(--($X$2:$X$1501&lt;$X1026))+1,"")</f>
        <v/>
      </c>
      <c r="W1026">
        <f>IF($B1026="","",IF(OR($S1026=TRUE(),$S1026="TRUE"),1,0))</f>
        <v/>
      </c>
      <c r="X1026">
        <f>IF($U1026=1,IFERROR(IF(VALUE($B1026)&lt;100000000,VALUE($B1026),1000000000),IFERROR(IF(VALUE(MID($B1026,2,20))&lt;100000000,VALUE(MID($B1026,2,20)),1000000000),1000000000))+ROW()/100000,"")</f>
        <v/>
      </c>
    </row>
    <row r="1027">
      <c r="A1027">
        <f>IF($B1027="","",IFERROR(IF(INDEX('Per Invoice'!$C$2:$C$401,MATCH($B1027,'Per Invoice'!$A$2:$A$401,0))=0,"",INDEX('Per Invoice'!$C$2:$C$401,MATCH($B1027,'Per Invoice'!$A$2:$A$401,0))),""))</f>
        <v/>
      </c>
      <c r="G1027" s="7">
        <f>IF($B1027="","",F1027*L1027/100)</f>
        <v/>
      </c>
      <c r="K1027" s="7" t="n"/>
      <c r="L1027" s="7" t="n"/>
      <c r="M1027" s="7">
        <f>IF($B1027="","",L1027*T1027/100)</f>
        <v/>
      </c>
      <c r="N1027" s="7">
        <f>IF($B1027="","",L1027-M1027)</f>
        <v/>
      </c>
      <c r="O1027" s="7">
        <f>IF($B1027="","",N1027-G1027)</f>
        <v/>
      </c>
      <c r="R1027" s="14" t="n"/>
      <c r="T1027">
        <f>IF($B1027="","",IF($W1027=1,Settings!$C$6,Settings!$C$7)*100)</f>
        <v/>
      </c>
      <c r="U1027">
        <f>IF($B1027="","",IF(COUNTIF($B$2:$B1027,$B1027)=1,1,0))</f>
        <v/>
      </c>
      <c r="V1027">
        <f>IF($U1027=1,SUMPRODUCT(--($X$2:$X$1501&lt;$X1027))+1,"")</f>
        <v/>
      </c>
      <c r="W1027">
        <f>IF($B1027="","",IF(OR($S1027=TRUE(),$S1027="TRUE"),1,0))</f>
        <v/>
      </c>
      <c r="X1027">
        <f>IF($U1027=1,IFERROR(IF(VALUE($B1027)&lt;100000000,VALUE($B1027),1000000000),IFERROR(IF(VALUE(MID($B1027,2,20))&lt;100000000,VALUE(MID($B1027,2,20)),1000000000),1000000000))+ROW()/100000,"")</f>
        <v/>
      </c>
    </row>
    <row r="1028">
      <c r="A1028">
        <f>IF($B1028="","",IFERROR(IF(INDEX('Per Invoice'!$C$2:$C$401,MATCH($B1028,'Per Invoice'!$A$2:$A$401,0))=0,"",INDEX('Per Invoice'!$C$2:$C$401,MATCH($B1028,'Per Invoice'!$A$2:$A$401,0))),""))</f>
        <v/>
      </c>
      <c r="G1028" s="7">
        <f>IF($B1028="","",F1028*L1028/100)</f>
        <v/>
      </c>
      <c r="K1028" s="7" t="n"/>
      <c r="L1028" s="7" t="n"/>
      <c r="M1028" s="7">
        <f>IF($B1028="","",L1028*T1028/100)</f>
        <v/>
      </c>
      <c r="N1028" s="7">
        <f>IF($B1028="","",L1028-M1028)</f>
        <v/>
      </c>
      <c r="O1028" s="7">
        <f>IF($B1028="","",N1028-G1028)</f>
        <v/>
      </c>
      <c r="R1028" s="14" t="n"/>
      <c r="T1028">
        <f>IF($B1028="","",IF($W1028=1,Settings!$C$6,Settings!$C$7)*100)</f>
        <v/>
      </c>
      <c r="U1028">
        <f>IF($B1028="","",IF(COUNTIF($B$2:$B1028,$B1028)=1,1,0))</f>
        <v/>
      </c>
      <c r="V1028">
        <f>IF($U1028=1,SUMPRODUCT(--($X$2:$X$1501&lt;$X1028))+1,"")</f>
        <v/>
      </c>
      <c r="W1028">
        <f>IF($B1028="","",IF(OR($S1028=TRUE(),$S1028="TRUE"),1,0))</f>
        <v/>
      </c>
      <c r="X1028">
        <f>IF($U1028=1,IFERROR(IF(VALUE($B1028)&lt;100000000,VALUE($B1028),1000000000),IFERROR(IF(VALUE(MID($B1028,2,20))&lt;100000000,VALUE(MID($B1028,2,20)),1000000000),1000000000))+ROW()/100000,"")</f>
        <v/>
      </c>
    </row>
    <row r="1029">
      <c r="A1029">
        <f>IF($B1029="","",IFERROR(IF(INDEX('Per Invoice'!$C$2:$C$401,MATCH($B1029,'Per Invoice'!$A$2:$A$401,0))=0,"",INDEX('Per Invoice'!$C$2:$C$401,MATCH($B1029,'Per Invoice'!$A$2:$A$401,0))),""))</f>
        <v/>
      </c>
      <c r="G1029" s="7">
        <f>IF($B1029="","",F1029*L1029/100)</f>
        <v/>
      </c>
      <c r="K1029" s="7" t="n"/>
      <c r="L1029" s="7" t="n"/>
      <c r="M1029" s="7">
        <f>IF($B1029="","",L1029*T1029/100)</f>
        <v/>
      </c>
      <c r="N1029" s="7">
        <f>IF($B1029="","",L1029-M1029)</f>
        <v/>
      </c>
      <c r="O1029" s="7">
        <f>IF($B1029="","",N1029-G1029)</f>
        <v/>
      </c>
      <c r="R1029" s="14" t="n"/>
      <c r="T1029">
        <f>IF($B1029="","",IF($W1029=1,Settings!$C$6,Settings!$C$7)*100)</f>
        <v/>
      </c>
      <c r="U1029">
        <f>IF($B1029="","",IF(COUNTIF($B$2:$B1029,$B1029)=1,1,0))</f>
        <v/>
      </c>
      <c r="V1029">
        <f>IF($U1029=1,SUMPRODUCT(--($X$2:$X$1501&lt;$X1029))+1,"")</f>
        <v/>
      </c>
      <c r="W1029">
        <f>IF($B1029="","",IF(OR($S1029=TRUE(),$S1029="TRUE"),1,0))</f>
        <v/>
      </c>
      <c r="X1029">
        <f>IF($U1029=1,IFERROR(IF(VALUE($B1029)&lt;100000000,VALUE($B1029),1000000000),IFERROR(IF(VALUE(MID($B1029,2,20))&lt;100000000,VALUE(MID($B1029,2,20)),1000000000),1000000000))+ROW()/100000,"")</f>
        <v/>
      </c>
    </row>
    <row r="1030">
      <c r="A1030">
        <f>IF($B1030="","",IFERROR(IF(INDEX('Per Invoice'!$C$2:$C$401,MATCH($B1030,'Per Invoice'!$A$2:$A$401,0))=0,"",INDEX('Per Invoice'!$C$2:$C$401,MATCH($B1030,'Per Invoice'!$A$2:$A$401,0))),""))</f>
        <v/>
      </c>
      <c r="G1030" s="7">
        <f>IF($B1030="","",F1030*L1030/100)</f>
        <v/>
      </c>
      <c r="K1030" s="7" t="n"/>
      <c r="L1030" s="7" t="n"/>
      <c r="M1030" s="7">
        <f>IF($B1030="","",L1030*T1030/100)</f>
        <v/>
      </c>
      <c r="N1030" s="7">
        <f>IF($B1030="","",L1030-M1030)</f>
        <v/>
      </c>
      <c r="O1030" s="7">
        <f>IF($B1030="","",N1030-G1030)</f>
        <v/>
      </c>
      <c r="R1030" s="14" t="n"/>
      <c r="T1030">
        <f>IF($B1030="","",IF($W1030=1,Settings!$C$6,Settings!$C$7)*100)</f>
        <v/>
      </c>
      <c r="U1030">
        <f>IF($B1030="","",IF(COUNTIF($B$2:$B1030,$B1030)=1,1,0))</f>
        <v/>
      </c>
      <c r="V1030">
        <f>IF($U1030=1,SUMPRODUCT(--($X$2:$X$1501&lt;$X1030))+1,"")</f>
        <v/>
      </c>
      <c r="W1030">
        <f>IF($B1030="","",IF(OR($S1030=TRUE(),$S1030="TRUE"),1,0))</f>
        <v/>
      </c>
      <c r="X1030">
        <f>IF($U1030=1,IFERROR(IF(VALUE($B1030)&lt;100000000,VALUE($B1030),1000000000),IFERROR(IF(VALUE(MID($B1030,2,20))&lt;100000000,VALUE(MID($B1030,2,20)),1000000000),1000000000))+ROW()/100000,"")</f>
        <v/>
      </c>
    </row>
    <row r="1031">
      <c r="A1031">
        <f>IF($B1031="","",IFERROR(IF(INDEX('Per Invoice'!$C$2:$C$401,MATCH($B1031,'Per Invoice'!$A$2:$A$401,0))=0,"",INDEX('Per Invoice'!$C$2:$C$401,MATCH($B1031,'Per Invoice'!$A$2:$A$401,0))),""))</f>
        <v/>
      </c>
      <c r="G1031" s="7">
        <f>IF($B1031="","",F1031*L1031/100)</f>
        <v/>
      </c>
      <c r="K1031" s="7" t="n"/>
      <c r="L1031" s="7" t="n"/>
      <c r="M1031" s="7">
        <f>IF($B1031="","",L1031*T1031/100)</f>
        <v/>
      </c>
      <c r="N1031" s="7">
        <f>IF($B1031="","",L1031-M1031)</f>
        <v/>
      </c>
      <c r="O1031" s="7">
        <f>IF($B1031="","",N1031-G1031)</f>
        <v/>
      </c>
      <c r="R1031" s="14" t="n"/>
      <c r="T1031">
        <f>IF($B1031="","",IF($W1031=1,Settings!$C$6,Settings!$C$7)*100)</f>
        <v/>
      </c>
      <c r="U1031">
        <f>IF($B1031="","",IF(COUNTIF($B$2:$B1031,$B1031)=1,1,0))</f>
        <v/>
      </c>
      <c r="V1031">
        <f>IF($U1031=1,SUMPRODUCT(--($X$2:$X$1501&lt;$X1031))+1,"")</f>
        <v/>
      </c>
      <c r="W1031">
        <f>IF($B1031="","",IF(OR($S1031=TRUE(),$S1031="TRUE"),1,0))</f>
        <v/>
      </c>
      <c r="X1031">
        <f>IF($U1031=1,IFERROR(IF(VALUE($B1031)&lt;100000000,VALUE($B1031),1000000000),IFERROR(IF(VALUE(MID($B1031,2,20))&lt;100000000,VALUE(MID($B1031,2,20)),1000000000),1000000000))+ROW()/100000,"")</f>
        <v/>
      </c>
    </row>
    <row r="1032">
      <c r="A1032">
        <f>IF($B1032="","",IFERROR(IF(INDEX('Per Invoice'!$C$2:$C$401,MATCH($B1032,'Per Invoice'!$A$2:$A$401,0))=0,"",INDEX('Per Invoice'!$C$2:$C$401,MATCH($B1032,'Per Invoice'!$A$2:$A$401,0))),""))</f>
        <v/>
      </c>
      <c r="G1032" s="7">
        <f>IF($B1032="","",F1032*L1032/100)</f>
        <v/>
      </c>
      <c r="K1032" s="7" t="n"/>
      <c r="L1032" s="7" t="n"/>
      <c r="M1032" s="7">
        <f>IF($B1032="","",L1032*T1032/100)</f>
        <v/>
      </c>
      <c r="N1032" s="7">
        <f>IF($B1032="","",L1032-M1032)</f>
        <v/>
      </c>
      <c r="O1032" s="7">
        <f>IF($B1032="","",N1032-G1032)</f>
        <v/>
      </c>
      <c r="R1032" s="14" t="n"/>
      <c r="T1032">
        <f>IF($B1032="","",IF($W1032=1,Settings!$C$6,Settings!$C$7)*100)</f>
        <v/>
      </c>
      <c r="U1032">
        <f>IF($B1032="","",IF(COUNTIF($B$2:$B1032,$B1032)=1,1,0))</f>
        <v/>
      </c>
      <c r="V1032">
        <f>IF($U1032=1,SUMPRODUCT(--($X$2:$X$1501&lt;$X1032))+1,"")</f>
        <v/>
      </c>
      <c r="W1032">
        <f>IF($B1032="","",IF(OR($S1032=TRUE(),$S1032="TRUE"),1,0))</f>
        <v/>
      </c>
      <c r="X1032">
        <f>IF($U1032=1,IFERROR(IF(VALUE($B1032)&lt;100000000,VALUE($B1032),1000000000),IFERROR(IF(VALUE(MID($B1032,2,20))&lt;100000000,VALUE(MID($B1032,2,20)),1000000000),1000000000))+ROW()/100000,"")</f>
        <v/>
      </c>
    </row>
    <row r="1033">
      <c r="A1033">
        <f>IF($B1033="","",IFERROR(IF(INDEX('Per Invoice'!$C$2:$C$401,MATCH($B1033,'Per Invoice'!$A$2:$A$401,0))=0,"",INDEX('Per Invoice'!$C$2:$C$401,MATCH($B1033,'Per Invoice'!$A$2:$A$401,0))),""))</f>
        <v/>
      </c>
      <c r="G1033" s="7">
        <f>IF($B1033="","",F1033*L1033/100)</f>
        <v/>
      </c>
      <c r="K1033" s="7" t="n"/>
      <c r="L1033" s="7" t="n"/>
      <c r="M1033" s="7">
        <f>IF($B1033="","",L1033*T1033/100)</f>
        <v/>
      </c>
      <c r="N1033" s="7">
        <f>IF($B1033="","",L1033-M1033)</f>
        <v/>
      </c>
      <c r="O1033" s="7">
        <f>IF($B1033="","",N1033-G1033)</f>
        <v/>
      </c>
      <c r="R1033" s="14" t="n"/>
      <c r="T1033">
        <f>IF($B1033="","",IF($W1033=1,Settings!$C$6,Settings!$C$7)*100)</f>
        <v/>
      </c>
      <c r="U1033">
        <f>IF($B1033="","",IF(COUNTIF($B$2:$B1033,$B1033)=1,1,0))</f>
        <v/>
      </c>
      <c r="V1033">
        <f>IF($U1033=1,SUMPRODUCT(--($X$2:$X$1501&lt;$X1033))+1,"")</f>
        <v/>
      </c>
      <c r="W1033">
        <f>IF($B1033="","",IF(OR($S1033=TRUE(),$S1033="TRUE"),1,0))</f>
        <v/>
      </c>
      <c r="X1033">
        <f>IF($U1033=1,IFERROR(IF(VALUE($B1033)&lt;100000000,VALUE($B1033),1000000000),IFERROR(IF(VALUE(MID($B1033,2,20))&lt;100000000,VALUE(MID($B1033,2,20)),1000000000),1000000000))+ROW()/100000,"")</f>
        <v/>
      </c>
    </row>
    <row r="1034">
      <c r="A1034">
        <f>IF($B1034="","",IFERROR(IF(INDEX('Per Invoice'!$C$2:$C$401,MATCH($B1034,'Per Invoice'!$A$2:$A$401,0))=0,"",INDEX('Per Invoice'!$C$2:$C$401,MATCH($B1034,'Per Invoice'!$A$2:$A$401,0))),""))</f>
        <v/>
      </c>
      <c r="G1034" s="7">
        <f>IF($B1034="","",F1034*L1034/100)</f>
        <v/>
      </c>
      <c r="K1034" s="7" t="n"/>
      <c r="L1034" s="7" t="n"/>
      <c r="M1034" s="7">
        <f>IF($B1034="","",L1034*T1034/100)</f>
        <v/>
      </c>
      <c r="N1034" s="7">
        <f>IF($B1034="","",L1034-M1034)</f>
        <v/>
      </c>
      <c r="O1034" s="7">
        <f>IF($B1034="","",N1034-G1034)</f>
        <v/>
      </c>
      <c r="R1034" s="14" t="n"/>
      <c r="T1034">
        <f>IF($B1034="","",IF($W1034=1,Settings!$C$6,Settings!$C$7)*100)</f>
        <v/>
      </c>
      <c r="U1034">
        <f>IF($B1034="","",IF(COUNTIF($B$2:$B1034,$B1034)=1,1,0))</f>
        <v/>
      </c>
      <c r="V1034">
        <f>IF($U1034=1,SUMPRODUCT(--($X$2:$X$1501&lt;$X1034))+1,"")</f>
        <v/>
      </c>
      <c r="W1034">
        <f>IF($B1034="","",IF(OR($S1034=TRUE(),$S1034="TRUE"),1,0))</f>
        <v/>
      </c>
      <c r="X1034">
        <f>IF($U1034=1,IFERROR(IF(VALUE($B1034)&lt;100000000,VALUE($B1034),1000000000),IFERROR(IF(VALUE(MID($B1034,2,20))&lt;100000000,VALUE(MID($B1034,2,20)),1000000000),1000000000))+ROW()/100000,"")</f>
        <v/>
      </c>
    </row>
    <row r="1035">
      <c r="A1035">
        <f>IF($B1035="","",IFERROR(IF(INDEX('Per Invoice'!$C$2:$C$401,MATCH($B1035,'Per Invoice'!$A$2:$A$401,0))=0,"",INDEX('Per Invoice'!$C$2:$C$401,MATCH($B1035,'Per Invoice'!$A$2:$A$401,0))),""))</f>
        <v/>
      </c>
      <c r="G1035" s="7">
        <f>IF($B1035="","",F1035*L1035/100)</f>
        <v/>
      </c>
      <c r="K1035" s="7" t="n"/>
      <c r="L1035" s="7" t="n"/>
      <c r="M1035" s="7">
        <f>IF($B1035="","",L1035*T1035/100)</f>
        <v/>
      </c>
      <c r="N1035" s="7">
        <f>IF($B1035="","",L1035-M1035)</f>
        <v/>
      </c>
      <c r="O1035" s="7">
        <f>IF($B1035="","",N1035-G1035)</f>
        <v/>
      </c>
      <c r="R1035" s="14" t="n"/>
      <c r="T1035">
        <f>IF($B1035="","",IF($W1035=1,Settings!$C$6,Settings!$C$7)*100)</f>
        <v/>
      </c>
      <c r="U1035">
        <f>IF($B1035="","",IF(COUNTIF($B$2:$B1035,$B1035)=1,1,0))</f>
        <v/>
      </c>
      <c r="V1035">
        <f>IF($U1035=1,SUMPRODUCT(--($X$2:$X$1501&lt;$X1035))+1,"")</f>
        <v/>
      </c>
      <c r="W1035">
        <f>IF($B1035="","",IF(OR($S1035=TRUE(),$S1035="TRUE"),1,0))</f>
        <v/>
      </c>
      <c r="X1035">
        <f>IF($U1035=1,IFERROR(IF(VALUE($B1035)&lt;100000000,VALUE($B1035),1000000000),IFERROR(IF(VALUE(MID($B1035,2,20))&lt;100000000,VALUE(MID($B1035,2,20)),1000000000),1000000000))+ROW()/100000,"")</f>
        <v/>
      </c>
    </row>
    <row r="1036">
      <c r="A1036">
        <f>IF($B1036="","",IFERROR(IF(INDEX('Per Invoice'!$C$2:$C$401,MATCH($B1036,'Per Invoice'!$A$2:$A$401,0))=0,"",INDEX('Per Invoice'!$C$2:$C$401,MATCH($B1036,'Per Invoice'!$A$2:$A$401,0))),""))</f>
        <v/>
      </c>
      <c r="G1036" s="7">
        <f>IF($B1036="","",F1036*L1036/100)</f>
        <v/>
      </c>
      <c r="K1036" s="7" t="n"/>
      <c r="L1036" s="7" t="n"/>
      <c r="M1036" s="7">
        <f>IF($B1036="","",L1036*T1036/100)</f>
        <v/>
      </c>
      <c r="N1036" s="7">
        <f>IF($B1036="","",L1036-M1036)</f>
        <v/>
      </c>
      <c r="O1036" s="7">
        <f>IF($B1036="","",N1036-G1036)</f>
        <v/>
      </c>
      <c r="R1036" s="14" t="n"/>
      <c r="T1036">
        <f>IF($B1036="","",IF($W1036=1,Settings!$C$6,Settings!$C$7)*100)</f>
        <v/>
      </c>
      <c r="U1036">
        <f>IF($B1036="","",IF(COUNTIF($B$2:$B1036,$B1036)=1,1,0))</f>
        <v/>
      </c>
      <c r="V1036">
        <f>IF($U1036=1,SUMPRODUCT(--($X$2:$X$1501&lt;$X1036))+1,"")</f>
        <v/>
      </c>
      <c r="W1036">
        <f>IF($B1036="","",IF(OR($S1036=TRUE(),$S1036="TRUE"),1,0))</f>
        <v/>
      </c>
      <c r="X1036">
        <f>IF($U1036=1,IFERROR(IF(VALUE($B1036)&lt;100000000,VALUE($B1036),1000000000),IFERROR(IF(VALUE(MID($B1036,2,20))&lt;100000000,VALUE(MID($B1036,2,20)),1000000000),1000000000))+ROW()/100000,"")</f>
        <v/>
      </c>
    </row>
    <row r="1037">
      <c r="A1037">
        <f>IF($B1037="","",IFERROR(IF(INDEX('Per Invoice'!$C$2:$C$401,MATCH($B1037,'Per Invoice'!$A$2:$A$401,0))=0,"",INDEX('Per Invoice'!$C$2:$C$401,MATCH($B1037,'Per Invoice'!$A$2:$A$401,0))),""))</f>
        <v/>
      </c>
      <c r="G1037" s="7">
        <f>IF($B1037="","",F1037*L1037/100)</f>
        <v/>
      </c>
      <c r="K1037" s="7" t="n"/>
      <c r="L1037" s="7" t="n"/>
      <c r="M1037" s="7">
        <f>IF($B1037="","",L1037*T1037/100)</f>
        <v/>
      </c>
      <c r="N1037" s="7">
        <f>IF($B1037="","",L1037-M1037)</f>
        <v/>
      </c>
      <c r="O1037" s="7">
        <f>IF($B1037="","",N1037-G1037)</f>
        <v/>
      </c>
      <c r="R1037" s="14" t="n"/>
      <c r="T1037">
        <f>IF($B1037="","",IF($W1037=1,Settings!$C$6,Settings!$C$7)*100)</f>
        <v/>
      </c>
      <c r="U1037">
        <f>IF($B1037="","",IF(COUNTIF($B$2:$B1037,$B1037)=1,1,0))</f>
        <v/>
      </c>
      <c r="V1037">
        <f>IF($U1037=1,SUMPRODUCT(--($X$2:$X$1501&lt;$X1037))+1,"")</f>
        <v/>
      </c>
      <c r="W1037">
        <f>IF($B1037="","",IF(OR($S1037=TRUE(),$S1037="TRUE"),1,0))</f>
        <v/>
      </c>
      <c r="X1037">
        <f>IF($U1037=1,IFERROR(IF(VALUE($B1037)&lt;100000000,VALUE($B1037),1000000000),IFERROR(IF(VALUE(MID($B1037,2,20))&lt;100000000,VALUE(MID($B1037,2,20)),1000000000),1000000000))+ROW()/100000,"")</f>
        <v/>
      </c>
    </row>
    <row r="1038">
      <c r="A1038">
        <f>IF($B1038="","",IFERROR(IF(INDEX('Per Invoice'!$C$2:$C$401,MATCH($B1038,'Per Invoice'!$A$2:$A$401,0))=0,"",INDEX('Per Invoice'!$C$2:$C$401,MATCH($B1038,'Per Invoice'!$A$2:$A$401,0))),""))</f>
        <v/>
      </c>
      <c r="G1038" s="7">
        <f>IF($B1038="","",F1038*L1038/100)</f>
        <v/>
      </c>
      <c r="K1038" s="7" t="n"/>
      <c r="L1038" s="7" t="n"/>
      <c r="M1038" s="7">
        <f>IF($B1038="","",L1038*T1038/100)</f>
        <v/>
      </c>
      <c r="N1038" s="7">
        <f>IF($B1038="","",L1038-M1038)</f>
        <v/>
      </c>
      <c r="O1038" s="7">
        <f>IF($B1038="","",N1038-G1038)</f>
        <v/>
      </c>
      <c r="R1038" s="14" t="n"/>
      <c r="T1038">
        <f>IF($B1038="","",IF($W1038=1,Settings!$C$6,Settings!$C$7)*100)</f>
        <v/>
      </c>
      <c r="U1038">
        <f>IF($B1038="","",IF(COUNTIF($B$2:$B1038,$B1038)=1,1,0))</f>
        <v/>
      </c>
      <c r="V1038">
        <f>IF($U1038=1,SUMPRODUCT(--($X$2:$X$1501&lt;$X1038))+1,"")</f>
        <v/>
      </c>
      <c r="W1038">
        <f>IF($B1038="","",IF(OR($S1038=TRUE(),$S1038="TRUE"),1,0))</f>
        <v/>
      </c>
      <c r="X1038">
        <f>IF($U1038=1,IFERROR(IF(VALUE($B1038)&lt;100000000,VALUE($B1038),1000000000),IFERROR(IF(VALUE(MID($B1038,2,20))&lt;100000000,VALUE(MID($B1038,2,20)),1000000000),1000000000))+ROW()/100000,"")</f>
        <v/>
      </c>
    </row>
    <row r="1039">
      <c r="A1039">
        <f>IF($B1039="","",IFERROR(IF(INDEX('Per Invoice'!$C$2:$C$401,MATCH($B1039,'Per Invoice'!$A$2:$A$401,0))=0,"",INDEX('Per Invoice'!$C$2:$C$401,MATCH($B1039,'Per Invoice'!$A$2:$A$401,0))),""))</f>
        <v/>
      </c>
      <c r="G1039" s="7">
        <f>IF($B1039="","",F1039*L1039/100)</f>
        <v/>
      </c>
      <c r="K1039" s="7" t="n"/>
      <c r="L1039" s="7" t="n"/>
      <c r="M1039" s="7">
        <f>IF($B1039="","",L1039*T1039/100)</f>
        <v/>
      </c>
      <c r="N1039" s="7">
        <f>IF($B1039="","",L1039-M1039)</f>
        <v/>
      </c>
      <c r="O1039" s="7">
        <f>IF($B1039="","",N1039-G1039)</f>
        <v/>
      </c>
      <c r="R1039" s="14" t="n"/>
      <c r="T1039">
        <f>IF($B1039="","",IF($W1039=1,Settings!$C$6,Settings!$C$7)*100)</f>
        <v/>
      </c>
      <c r="U1039">
        <f>IF($B1039="","",IF(COUNTIF($B$2:$B1039,$B1039)=1,1,0))</f>
        <v/>
      </c>
      <c r="V1039">
        <f>IF($U1039=1,SUMPRODUCT(--($X$2:$X$1501&lt;$X1039))+1,"")</f>
        <v/>
      </c>
      <c r="W1039">
        <f>IF($B1039="","",IF(OR($S1039=TRUE(),$S1039="TRUE"),1,0))</f>
        <v/>
      </c>
      <c r="X1039">
        <f>IF($U1039=1,IFERROR(IF(VALUE($B1039)&lt;100000000,VALUE($B1039),1000000000),IFERROR(IF(VALUE(MID($B1039,2,20))&lt;100000000,VALUE(MID($B1039,2,20)),1000000000),1000000000))+ROW()/100000,"")</f>
        <v/>
      </c>
    </row>
    <row r="1040">
      <c r="A1040">
        <f>IF($B1040="","",IFERROR(IF(INDEX('Per Invoice'!$C$2:$C$401,MATCH($B1040,'Per Invoice'!$A$2:$A$401,0))=0,"",INDEX('Per Invoice'!$C$2:$C$401,MATCH($B1040,'Per Invoice'!$A$2:$A$401,0))),""))</f>
        <v/>
      </c>
      <c r="G1040" s="7">
        <f>IF($B1040="","",F1040*L1040/100)</f>
        <v/>
      </c>
      <c r="K1040" s="7" t="n"/>
      <c r="L1040" s="7" t="n"/>
      <c r="M1040" s="7">
        <f>IF($B1040="","",L1040*T1040/100)</f>
        <v/>
      </c>
      <c r="N1040" s="7">
        <f>IF($B1040="","",L1040-M1040)</f>
        <v/>
      </c>
      <c r="O1040" s="7">
        <f>IF($B1040="","",N1040-G1040)</f>
        <v/>
      </c>
      <c r="R1040" s="14" t="n"/>
      <c r="T1040">
        <f>IF($B1040="","",IF($W1040=1,Settings!$C$6,Settings!$C$7)*100)</f>
        <v/>
      </c>
      <c r="U1040">
        <f>IF($B1040="","",IF(COUNTIF($B$2:$B1040,$B1040)=1,1,0))</f>
        <v/>
      </c>
      <c r="V1040">
        <f>IF($U1040=1,SUMPRODUCT(--($X$2:$X$1501&lt;$X1040))+1,"")</f>
        <v/>
      </c>
      <c r="W1040">
        <f>IF($B1040="","",IF(OR($S1040=TRUE(),$S1040="TRUE"),1,0))</f>
        <v/>
      </c>
      <c r="X1040">
        <f>IF($U1040=1,IFERROR(IF(VALUE($B1040)&lt;100000000,VALUE($B1040),1000000000),IFERROR(IF(VALUE(MID($B1040,2,20))&lt;100000000,VALUE(MID($B1040,2,20)),1000000000),1000000000))+ROW()/100000,"")</f>
        <v/>
      </c>
    </row>
    <row r="1041">
      <c r="A1041">
        <f>IF($B1041="","",IFERROR(IF(INDEX('Per Invoice'!$C$2:$C$401,MATCH($B1041,'Per Invoice'!$A$2:$A$401,0))=0,"",INDEX('Per Invoice'!$C$2:$C$401,MATCH($B1041,'Per Invoice'!$A$2:$A$401,0))),""))</f>
        <v/>
      </c>
      <c r="G1041" s="7">
        <f>IF($B1041="","",F1041*L1041/100)</f>
        <v/>
      </c>
      <c r="K1041" s="7" t="n"/>
      <c r="L1041" s="7" t="n"/>
      <c r="M1041" s="7">
        <f>IF($B1041="","",L1041*T1041/100)</f>
        <v/>
      </c>
      <c r="N1041" s="7">
        <f>IF($B1041="","",L1041-M1041)</f>
        <v/>
      </c>
      <c r="O1041" s="7">
        <f>IF($B1041="","",N1041-G1041)</f>
        <v/>
      </c>
      <c r="R1041" s="14" t="n"/>
      <c r="T1041">
        <f>IF($B1041="","",IF($W1041=1,Settings!$C$6,Settings!$C$7)*100)</f>
        <v/>
      </c>
      <c r="U1041">
        <f>IF($B1041="","",IF(COUNTIF($B$2:$B1041,$B1041)=1,1,0))</f>
        <v/>
      </c>
      <c r="V1041">
        <f>IF($U1041=1,SUMPRODUCT(--($X$2:$X$1501&lt;$X1041))+1,"")</f>
        <v/>
      </c>
      <c r="W1041">
        <f>IF($B1041="","",IF(OR($S1041=TRUE(),$S1041="TRUE"),1,0))</f>
        <v/>
      </c>
      <c r="X1041">
        <f>IF($U1041=1,IFERROR(IF(VALUE($B1041)&lt;100000000,VALUE($B1041),1000000000),IFERROR(IF(VALUE(MID($B1041,2,20))&lt;100000000,VALUE(MID($B1041,2,20)),1000000000),1000000000))+ROW()/100000,"")</f>
        <v/>
      </c>
    </row>
    <row r="1042">
      <c r="A1042">
        <f>IF($B1042="","",IFERROR(IF(INDEX('Per Invoice'!$C$2:$C$401,MATCH($B1042,'Per Invoice'!$A$2:$A$401,0))=0,"",INDEX('Per Invoice'!$C$2:$C$401,MATCH($B1042,'Per Invoice'!$A$2:$A$401,0))),""))</f>
        <v/>
      </c>
      <c r="G1042" s="7">
        <f>IF($B1042="","",F1042*L1042/100)</f>
        <v/>
      </c>
      <c r="K1042" s="7" t="n"/>
      <c r="L1042" s="7" t="n"/>
      <c r="M1042" s="7">
        <f>IF($B1042="","",L1042*T1042/100)</f>
        <v/>
      </c>
      <c r="N1042" s="7">
        <f>IF($B1042="","",L1042-M1042)</f>
        <v/>
      </c>
      <c r="O1042" s="7">
        <f>IF($B1042="","",N1042-G1042)</f>
        <v/>
      </c>
      <c r="R1042" s="14" t="n"/>
      <c r="T1042">
        <f>IF($B1042="","",IF($W1042=1,Settings!$C$6,Settings!$C$7)*100)</f>
        <v/>
      </c>
      <c r="U1042">
        <f>IF($B1042="","",IF(COUNTIF($B$2:$B1042,$B1042)=1,1,0))</f>
        <v/>
      </c>
      <c r="V1042">
        <f>IF($U1042=1,SUMPRODUCT(--($X$2:$X$1501&lt;$X1042))+1,"")</f>
        <v/>
      </c>
      <c r="W1042">
        <f>IF($B1042="","",IF(OR($S1042=TRUE(),$S1042="TRUE"),1,0))</f>
        <v/>
      </c>
      <c r="X1042">
        <f>IF($U1042=1,IFERROR(IF(VALUE($B1042)&lt;100000000,VALUE($B1042),1000000000),IFERROR(IF(VALUE(MID($B1042,2,20))&lt;100000000,VALUE(MID($B1042,2,20)),1000000000),1000000000))+ROW()/100000,"")</f>
        <v/>
      </c>
    </row>
    <row r="1043">
      <c r="A1043">
        <f>IF($B1043="","",IFERROR(IF(INDEX('Per Invoice'!$C$2:$C$401,MATCH($B1043,'Per Invoice'!$A$2:$A$401,0))=0,"",INDEX('Per Invoice'!$C$2:$C$401,MATCH($B1043,'Per Invoice'!$A$2:$A$401,0))),""))</f>
        <v/>
      </c>
      <c r="G1043" s="7">
        <f>IF($B1043="","",F1043*L1043/100)</f>
        <v/>
      </c>
      <c r="K1043" s="7" t="n"/>
      <c r="L1043" s="7" t="n"/>
      <c r="M1043" s="7">
        <f>IF($B1043="","",L1043*T1043/100)</f>
        <v/>
      </c>
      <c r="N1043" s="7">
        <f>IF($B1043="","",L1043-M1043)</f>
        <v/>
      </c>
      <c r="O1043" s="7">
        <f>IF($B1043="","",N1043-G1043)</f>
        <v/>
      </c>
      <c r="R1043" s="14" t="n"/>
      <c r="T1043">
        <f>IF($B1043="","",IF($W1043=1,Settings!$C$6,Settings!$C$7)*100)</f>
        <v/>
      </c>
      <c r="U1043">
        <f>IF($B1043="","",IF(COUNTIF($B$2:$B1043,$B1043)=1,1,0))</f>
        <v/>
      </c>
      <c r="V1043">
        <f>IF($U1043=1,SUMPRODUCT(--($X$2:$X$1501&lt;$X1043))+1,"")</f>
        <v/>
      </c>
      <c r="W1043">
        <f>IF($B1043="","",IF(OR($S1043=TRUE(),$S1043="TRUE"),1,0))</f>
        <v/>
      </c>
      <c r="X1043">
        <f>IF($U1043=1,IFERROR(IF(VALUE($B1043)&lt;100000000,VALUE($B1043),1000000000),IFERROR(IF(VALUE(MID($B1043,2,20))&lt;100000000,VALUE(MID($B1043,2,20)),1000000000),1000000000))+ROW()/100000,"")</f>
        <v/>
      </c>
    </row>
    <row r="1044">
      <c r="A1044">
        <f>IF($B1044="","",IFERROR(IF(INDEX('Per Invoice'!$C$2:$C$401,MATCH($B1044,'Per Invoice'!$A$2:$A$401,0))=0,"",INDEX('Per Invoice'!$C$2:$C$401,MATCH($B1044,'Per Invoice'!$A$2:$A$401,0))),""))</f>
        <v/>
      </c>
      <c r="G1044" s="7">
        <f>IF($B1044="","",F1044*L1044/100)</f>
        <v/>
      </c>
      <c r="K1044" s="7" t="n"/>
      <c r="L1044" s="7" t="n"/>
      <c r="M1044" s="7">
        <f>IF($B1044="","",L1044*T1044/100)</f>
        <v/>
      </c>
      <c r="N1044" s="7">
        <f>IF($B1044="","",L1044-M1044)</f>
        <v/>
      </c>
      <c r="O1044" s="7">
        <f>IF($B1044="","",N1044-G1044)</f>
        <v/>
      </c>
      <c r="R1044" s="14" t="n"/>
      <c r="T1044">
        <f>IF($B1044="","",IF($W1044=1,Settings!$C$6,Settings!$C$7)*100)</f>
        <v/>
      </c>
      <c r="U1044">
        <f>IF($B1044="","",IF(COUNTIF($B$2:$B1044,$B1044)=1,1,0))</f>
        <v/>
      </c>
      <c r="V1044">
        <f>IF($U1044=1,SUMPRODUCT(--($X$2:$X$1501&lt;$X1044))+1,"")</f>
        <v/>
      </c>
      <c r="W1044">
        <f>IF($B1044="","",IF(OR($S1044=TRUE(),$S1044="TRUE"),1,0))</f>
        <v/>
      </c>
      <c r="X1044">
        <f>IF($U1044=1,IFERROR(IF(VALUE($B1044)&lt;100000000,VALUE($B1044),1000000000),IFERROR(IF(VALUE(MID($B1044,2,20))&lt;100000000,VALUE(MID($B1044,2,20)),1000000000),1000000000))+ROW()/100000,"")</f>
        <v/>
      </c>
    </row>
    <row r="1045">
      <c r="A1045">
        <f>IF($B1045="","",IFERROR(IF(INDEX('Per Invoice'!$C$2:$C$401,MATCH($B1045,'Per Invoice'!$A$2:$A$401,0))=0,"",INDEX('Per Invoice'!$C$2:$C$401,MATCH($B1045,'Per Invoice'!$A$2:$A$401,0))),""))</f>
        <v/>
      </c>
      <c r="G1045" s="7">
        <f>IF($B1045="","",F1045*L1045/100)</f>
        <v/>
      </c>
      <c r="K1045" s="7" t="n"/>
      <c r="L1045" s="7" t="n"/>
      <c r="M1045" s="7">
        <f>IF($B1045="","",L1045*T1045/100)</f>
        <v/>
      </c>
      <c r="N1045" s="7">
        <f>IF($B1045="","",L1045-M1045)</f>
        <v/>
      </c>
      <c r="O1045" s="7">
        <f>IF($B1045="","",N1045-G1045)</f>
        <v/>
      </c>
      <c r="R1045" s="14" t="n"/>
      <c r="T1045">
        <f>IF($B1045="","",IF($W1045=1,Settings!$C$6,Settings!$C$7)*100)</f>
        <v/>
      </c>
      <c r="U1045">
        <f>IF($B1045="","",IF(COUNTIF($B$2:$B1045,$B1045)=1,1,0))</f>
        <v/>
      </c>
      <c r="V1045">
        <f>IF($U1045=1,SUMPRODUCT(--($X$2:$X$1501&lt;$X1045))+1,"")</f>
        <v/>
      </c>
      <c r="W1045">
        <f>IF($B1045="","",IF(OR($S1045=TRUE(),$S1045="TRUE"),1,0))</f>
        <v/>
      </c>
      <c r="X1045">
        <f>IF($U1045=1,IFERROR(IF(VALUE($B1045)&lt;100000000,VALUE($B1045),1000000000),IFERROR(IF(VALUE(MID($B1045,2,20))&lt;100000000,VALUE(MID($B1045,2,20)),1000000000),1000000000))+ROW()/100000,"")</f>
        <v/>
      </c>
    </row>
    <row r="1046">
      <c r="A1046">
        <f>IF($B1046="","",IFERROR(IF(INDEX('Per Invoice'!$C$2:$C$401,MATCH($B1046,'Per Invoice'!$A$2:$A$401,0))=0,"",INDEX('Per Invoice'!$C$2:$C$401,MATCH($B1046,'Per Invoice'!$A$2:$A$401,0))),""))</f>
        <v/>
      </c>
      <c r="G1046" s="7">
        <f>IF($B1046="","",F1046*L1046/100)</f>
        <v/>
      </c>
      <c r="K1046" s="7" t="n"/>
      <c r="L1046" s="7" t="n"/>
      <c r="M1046" s="7">
        <f>IF($B1046="","",L1046*T1046/100)</f>
        <v/>
      </c>
      <c r="N1046" s="7">
        <f>IF($B1046="","",L1046-M1046)</f>
        <v/>
      </c>
      <c r="O1046" s="7">
        <f>IF($B1046="","",N1046-G1046)</f>
        <v/>
      </c>
      <c r="R1046" s="14" t="n"/>
      <c r="T1046">
        <f>IF($B1046="","",IF($W1046=1,Settings!$C$6,Settings!$C$7)*100)</f>
        <v/>
      </c>
      <c r="U1046">
        <f>IF($B1046="","",IF(COUNTIF($B$2:$B1046,$B1046)=1,1,0))</f>
        <v/>
      </c>
      <c r="V1046">
        <f>IF($U1046=1,SUMPRODUCT(--($X$2:$X$1501&lt;$X1046))+1,"")</f>
        <v/>
      </c>
      <c r="W1046">
        <f>IF($B1046="","",IF(OR($S1046=TRUE(),$S1046="TRUE"),1,0))</f>
        <v/>
      </c>
      <c r="X1046">
        <f>IF($U1046=1,IFERROR(IF(VALUE($B1046)&lt;100000000,VALUE($B1046),1000000000),IFERROR(IF(VALUE(MID($B1046,2,20))&lt;100000000,VALUE(MID($B1046,2,20)),1000000000),1000000000))+ROW()/100000,"")</f>
        <v/>
      </c>
    </row>
    <row r="1047">
      <c r="A1047">
        <f>IF($B1047="","",IFERROR(IF(INDEX('Per Invoice'!$C$2:$C$401,MATCH($B1047,'Per Invoice'!$A$2:$A$401,0))=0,"",INDEX('Per Invoice'!$C$2:$C$401,MATCH($B1047,'Per Invoice'!$A$2:$A$401,0))),""))</f>
        <v/>
      </c>
      <c r="G1047" s="7">
        <f>IF($B1047="","",F1047*L1047/100)</f>
        <v/>
      </c>
      <c r="K1047" s="7" t="n"/>
      <c r="L1047" s="7" t="n"/>
      <c r="M1047" s="7">
        <f>IF($B1047="","",L1047*T1047/100)</f>
        <v/>
      </c>
      <c r="N1047" s="7">
        <f>IF($B1047="","",L1047-M1047)</f>
        <v/>
      </c>
      <c r="O1047" s="7">
        <f>IF($B1047="","",N1047-G1047)</f>
        <v/>
      </c>
      <c r="R1047" s="14" t="n"/>
      <c r="T1047">
        <f>IF($B1047="","",IF($W1047=1,Settings!$C$6,Settings!$C$7)*100)</f>
        <v/>
      </c>
      <c r="U1047">
        <f>IF($B1047="","",IF(COUNTIF($B$2:$B1047,$B1047)=1,1,0))</f>
        <v/>
      </c>
      <c r="V1047">
        <f>IF($U1047=1,SUMPRODUCT(--($X$2:$X$1501&lt;$X1047))+1,"")</f>
        <v/>
      </c>
      <c r="W1047">
        <f>IF($B1047="","",IF(OR($S1047=TRUE(),$S1047="TRUE"),1,0))</f>
        <v/>
      </c>
      <c r="X1047">
        <f>IF($U1047=1,IFERROR(IF(VALUE($B1047)&lt;100000000,VALUE($B1047),1000000000),IFERROR(IF(VALUE(MID($B1047,2,20))&lt;100000000,VALUE(MID($B1047,2,20)),1000000000),1000000000))+ROW()/100000,"")</f>
        <v/>
      </c>
    </row>
    <row r="1048">
      <c r="A1048">
        <f>IF($B1048="","",IFERROR(IF(INDEX('Per Invoice'!$C$2:$C$401,MATCH($B1048,'Per Invoice'!$A$2:$A$401,0))=0,"",INDEX('Per Invoice'!$C$2:$C$401,MATCH($B1048,'Per Invoice'!$A$2:$A$401,0))),""))</f>
        <v/>
      </c>
      <c r="G1048" s="7">
        <f>IF($B1048="","",F1048*L1048/100)</f>
        <v/>
      </c>
      <c r="K1048" s="7" t="n"/>
      <c r="L1048" s="7" t="n"/>
      <c r="M1048" s="7">
        <f>IF($B1048="","",L1048*T1048/100)</f>
        <v/>
      </c>
      <c r="N1048" s="7">
        <f>IF($B1048="","",L1048-M1048)</f>
        <v/>
      </c>
      <c r="O1048" s="7">
        <f>IF($B1048="","",N1048-G1048)</f>
        <v/>
      </c>
      <c r="R1048" s="14" t="n"/>
      <c r="T1048">
        <f>IF($B1048="","",IF($W1048=1,Settings!$C$6,Settings!$C$7)*100)</f>
        <v/>
      </c>
      <c r="U1048">
        <f>IF($B1048="","",IF(COUNTIF($B$2:$B1048,$B1048)=1,1,0))</f>
        <v/>
      </c>
      <c r="V1048">
        <f>IF($U1048=1,SUMPRODUCT(--($X$2:$X$1501&lt;$X1048))+1,"")</f>
        <v/>
      </c>
      <c r="W1048">
        <f>IF($B1048="","",IF(OR($S1048=TRUE(),$S1048="TRUE"),1,0))</f>
        <v/>
      </c>
      <c r="X1048">
        <f>IF($U1048=1,IFERROR(IF(VALUE($B1048)&lt;100000000,VALUE($B1048),1000000000),IFERROR(IF(VALUE(MID($B1048,2,20))&lt;100000000,VALUE(MID($B1048,2,20)),1000000000),1000000000))+ROW()/100000,"")</f>
        <v/>
      </c>
    </row>
    <row r="1049">
      <c r="A1049">
        <f>IF($B1049="","",IFERROR(IF(INDEX('Per Invoice'!$C$2:$C$401,MATCH($B1049,'Per Invoice'!$A$2:$A$401,0))=0,"",INDEX('Per Invoice'!$C$2:$C$401,MATCH($B1049,'Per Invoice'!$A$2:$A$401,0))),""))</f>
        <v/>
      </c>
      <c r="G1049" s="7">
        <f>IF($B1049="","",F1049*L1049/100)</f>
        <v/>
      </c>
      <c r="K1049" s="7" t="n"/>
      <c r="L1049" s="7" t="n"/>
      <c r="M1049" s="7">
        <f>IF($B1049="","",L1049*T1049/100)</f>
        <v/>
      </c>
      <c r="N1049" s="7">
        <f>IF($B1049="","",L1049-M1049)</f>
        <v/>
      </c>
      <c r="O1049" s="7">
        <f>IF($B1049="","",N1049-G1049)</f>
        <v/>
      </c>
      <c r="R1049" s="14" t="n"/>
      <c r="T1049">
        <f>IF($B1049="","",IF($W1049=1,Settings!$C$6,Settings!$C$7)*100)</f>
        <v/>
      </c>
      <c r="U1049">
        <f>IF($B1049="","",IF(COUNTIF($B$2:$B1049,$B1049)=1,1,0))</f>
        <v/>
      </c>
      <c r="V1049">
        <f>IF($U1049=1,SUMPRODUCT(--($X$2:$X$1501&lt;$X1049))+1,"")</f>
        <v/>
      </c>
      <c r="W1049">
        <f>IF($B1049="","",IF(OR($S1049=TRUE(),$S1049="TRUE"),1,0))</f>
        <v/>
      </c>
      <c r="X1049">
        <f>IF($U1049=1,IFERROR(IF(VALUE($B1049)&lt;100000000,VALUE($B1049),1000000000),IFERROR(IF(VALUE(MID($B1049,2,20))&lt;100000000,VALUE(MID($B1049,2,20)),1000000000),1000000000))+ROW()/100000,"")</f>
        <v/>
      </c>
    </row>
    <row r="1050">
      <c r="A1050">
        <f>IF($B1050="","",IFERROR(IF(INDEX('Per Invoice'!$C$2:$C$401,MATCH($B1050,'Per Invoice'!$A$2:$A$401,0))=0,"",INDEX('Per Invoice'!$C$2:$C$401,MATCH($B1050,'Per Invoice'!$A$2:$A$401,0))),""))</f>
        <v/>
      </c>
      <c r="G1050" s="7">
        <f>IF($B1050="","",F1050*L1050/100)</f>
        <v/>
      </c>
      <c r="K1050" s="7" t="n"/>
      <c r="L1050" s="7" t="n"/>
      <c r="M1050" s="7">
        <f>IF($B1050="","",L1050*T1050/100)</f>
        <v/>
      </c>
      <c r="N1050" s="7">
        <f>IF($B1050="","",L1050-M1050)</f>
        <v/>
      </c>
      <c r="O1050" s="7">
        <f>IF($B1050="","",N1050-G1050)</f>
        <v/>
      </c>
      <c r="R1050" s="14" t="n"/>
      <c r="T1050">
        <f>IF($B1050="","",IF($W1050=1,Settings!$C$6,Settings!$C$7)*100)</f>
        <v/>
      </c>
      <c r="U1050">
        <f>IF($B1050="","",IF(COUNTIF($B$2:$B1050,$B1050)=1,1,0))</f>
        <v/>
      </c>
      <c r="V1050">
        <f>IF($U1050=1,SUMPRODUCT(--($X$2:$X$1501&lt;$X1050))+1,"")</f>
        <v/>
      </c>
      <c r="W1050">
        <f>IF($B1050="","",IF(OR($S1050=TRUE(),$S1050="TRUE"),1,0))</f>
        <v/>
      </c>
      <c r="X1050">
        <f>IF($U1050=1,IFERROR(IF(VALUE($B1050)&lt;100000000,VALUE($B1050),1000000000),IFERROR(IF(VALUE(MID($B1050,2,20))&lt;100000000,VALUE(MID($B1050,2,20)),1000000000),1000000000))+ROW()/100000,"")</f>
        <v/>
      </c>
    </row>
    <row r="1051">
      <c r="A1051">
        <f>IF($B1051="","",IFERROR(IF(INDEX('Per Invoice'!$C$2:$C$401,MATCH($B1051,'Per Invoice'!$A$2:$A$401,0))=0,"",INDEX('Per Invoice'!$C$2:$C$401,MATCH($B1051,'Per Invoice'!$A$2:$A$401,0))),""))</f>
        <v/>
      </c>
      <c r="G1051" s="7">
        <f>IF($B1051="","",F1051*L1051/100)</f>
        <v/>
      </c>
      <c r="K1051" s="7" t="n"/>
      <c r="L1051" s="7" t="n"/>
      <c r="M1051" s="7">
        <f>IF($B1051="","",L1051*T1051/100)</f>
        <v/>
      </c>
      <c r="N1051" s="7">
        <f>IF($B1051="","",L1051-M1051)</f>
        <v/>
      </c>
      <c r="O1051" s="7">
        <f>IF($B1051="","",N1051-G1051)</f>
        <v/>
      </c>
      <c r="R1051" s="14" t="n"/>
      <c r="T1051">
        <f>IF($B1051="","",IF($W1051=1,Settings!$C$6,Settings!$C$7)*100)</f>
        <v/>
      </c>
      <c r="U1051">
        <f>IF($B1051="","",IF(COUNTIF($B$2:$B1051,$B1051)=1,1,0))</f>
        <v/>
      </c>
      <c r="V1051">
        <f>IF($U1051=1,SUMPRODUCT(--($X$2:$X$1501&lt;$X1051))+1,"")</f>
        <v/>
      </c>
      <c r="W1051">
        <f>IF($B1051="","",IF(OR($S1051=TRUE(),$S1051="TRUE"),1,0))</f>
        <v/>
      </c>
      <c r="X1051">
        <f>IF($U1051=1,IFERROR(IF(VALUE($B1051)&lt;100000000,VALUE($B1051),1000000000),IFERROR(IF(VALUE(MID($B1051,2,20))&lt;100000000,VALUE(MID($B1051,2,20)),1000000000),1000000000))+ROW()/100000,"")</f>
        <v/>
      </c>
    </row>
    <row r="1052">
      <c r="A1052">
        <f>IF($B1052="","",IFERROR(IF(INDEX('Per Invoice'!$C$2:$C$401,MATCH($B1052,'Per Invoice'!$A$2:$A$401,0))=0,"",INDEX('Per Invoice'!$C$2:$C$401,MATCH($B1052,'Per Invoice'!$A$2:$A$401,0))),""))</f>
        <v/>
      </c>
      <c r="G1052" s="7">
        <f>IF($B1052="","",F1052*L1052/100)</f>
        <v/>
      </c>
      <c r="K1052" s="7" t="n"/>
      <c r="L1052" s="7" t="n"/>
      <c r="M1052" s="7">
        <f>IF($B1052="","",L1052*T1052/100)</f>
        <v/>
      </c>
      <c r="N1052" s="7">
        <f>IF($B1052="","",L1052-M1052)</f>
        <v/>
      </c>
      <c r="O1052" s="7">
        <f>IF($B1052="","",N1052-G1052)</f>
        <v/>
      </c>
      <c r="R1052" s="14" t="n"/>
      <c r="T1052">
        <f>IF($B1052="","",IF($W1052=1,Settings!$C$6,Settings!$C$7)*100)</f>
        <v/>
      </c>
      <c r="U1052">
        <f>IF($B1052="","",IF(COUNTIF($B$2:$B1052,$B1052)=1,1,0))</f>
        <v/>
      </c>
      <c r="V1052">
        <f>IF($U1052=1,SUMPRODUCT(--($X$2:$X$1501&lt;$X1052))+1,"")</f>
        <v/>
      </c>
      <c r="W1052">
        <f>IF($B1052="","",IF(OR($S1052=TRUE(),$S1052="TRUE"),1,0))</f>
        <v/>
      </c>
      <c r="X1052">
        <f>IF($U1052=1,IFERROR(IF(VALUE($B1052)&lt;100000000,VALUE($B1052),1000000000),IFERROR(IF(VALUE(MID($B1052,2,20))&lt;100000000,VALUE(MID($B1052,2,20)),1000000000),1000000000))+ROW()/100000,"")</f>
        <v/>
      </c>
    </row>
    <row r="1053">
      <c r="A1053">
        <f>IF($B1053="","",IFERROR(IF(INDEX('Per Invoice'!$C$2:$C$401,MATCH($B1053,'Per Invoice'!$A$2:$A$401,0))=0,"",INDEX('Per Invoice'!$C$2:$C$401,MATCH($B1053,'Per Invoice'!$A$2:$A$401,0))),""))</f>
        <v/>
      </c>
      <c r="G1053" s="7">
        <f>IF($B1053="","",F1053*L1053/100)</f>
        <v/>
      </c>
      <c r="K1053" s="7" t="n"/>
      <c r="L1053" s="7" t="n"/>
      <c r="M1053" s="7">
        <f>IF($B1053="","",L1053*T1053/100)</f>
        <v/>
      </c>
      <c r="N1053" s="7">
        <f>IF($B1053="","",L1053-M1053)</f>
        <v/>
      </c>
      <c r="O1053" s="7">
        <f>IF($B1053="","",N1053-G1053)</f>
        <v/>
      </c>
      <c r="R1053" s="14" t="n"/>
      <c r="T1053">
        <f>IF($B1053="","",IF($W1053=1,Settings!$C$6,Settings!$C$7)*100)</f>
        <v/>
      </c>
      <c r="U1053">
        <f>IF($B1053="","",IF(COUNTIF($B$2:$B1053,$B1053)=1,1,0))</f>
        <v/>
      </c>
      <c r="V1053">
        <f>IF($U1053=1,SUMPRODUCT(--($X$2:$X$1501&lt;$X1053))+1,"")</f>
        <v/>
      </c>
      <c r="W1053">
        <f>IF($B1053="","",IF(OR($S1053=TRUE(),$S1053="TRUE"),1,0))</f>
        <v/>
      </c>
      <c r="X1053">
        <f>IF($U1053=1,IFERROR(IF(VALUE($B1053)&lt;100000000,VALUE($B1053),1000000000),IFERROR(IF(VALUE(MID($B1053,2,20))&lt;100000000,VALUE(MID($B1053,2,20)),1000000000),1000000000))+ROW()/100000,"")</f>
        <v/>
      </c>
    </row>
    <row r="1054">
      <c r="A1054">
        <f>IF($B1054="","",IFERROR(IF(INDEX('Per Invoice'!$C$2:$C$401,MATCH($B1054,'Per Invoice'!$A$2:$A$401,0))=0,"",INDEX('Per Invoice'!$C$2:$C$401,MATCH($B1054,'Per Invoice'!$A$2:$A$401,0))),""))</f>
        <v/>
      </c>
      <c r="G1054" s="7">
        <f>IF($B1054="","",F1054*L1054/100)</f>
        <v/>
      </c>
      <c r="K1054" s="7" t="n"/>
      <c r="L1054" s="7" t="n"/>
      <c r="M1054" s="7">
        <f>IF($B1054="","",L1054*T1054/100)</f>
        <v/>
      </c>
      <c r="N1054" s="7">
        <f>IF($B1054="","",L1054-M1054)</f>
        <v/>
      </c>
      <c r="O1054" s="7">
        <f>IF($B1054="","",N1054-G1054)</f>
        <v/>
      </c>
      <c r="R1054" s="14" t="n"/>
      <c r="T1054">
        <f>IF($B1054="","",IF($W1054=1,Settings!$C$6,Settings!$C$7)*100)</f>
        <v/>
      </c>
      <c r="U1054">
        <f>IF($B1054="","",IF(COUNTIF($B$2:$B1054,$B1054)=1,1,0))</f>
        <v/>
      </c>
      <c r="V1054">
        <f>IF($U1054=1,SUMPRODUCT(--($X$2:$X$1501&lt;$X1054))+1,"")</f>
        <v/>
      </c>
      <c r="W1054">
        <f>IF($B1054="","",IF(OR($S1054=TRUE(),$S1054="TRUE"),1,0))</f>
        <v/>
      </c>
      <c r="X1054">
        <f>IF($U1054=1,IFERROR(IF(VALUE($B1054)&lt;100000000,VALUE($B1054),1000000000),IFERROR(IF(VALUE(MID($B1054,2,20))&lt;100000000,VALUE(MID($B1054,2,20)),1000000000),1000000000))+ROW()/100000,"")</f>
        <v/>
      </c>
    </row>
    <row r="1055">
      <c r="A1055">
        <f>IF($B1055="","",IFERROR(IF(INDEX('Per Invoice'!$C$2:$C$401,MATCH($B1055,'Per Invoice'!$A$2:$A$401,0))=0,"",INDEX('Per Invoice'!$C$2:$C$401,MATCH($B1055,'Per Invoice'!$A$2:$A$401,0))),""))</f>
        <v/>
      </c>
      <c r="G1055" s="7">
        <f>IF($B1055="","",F1055*L1055/100)</f>
        <v/>
      </c>
      <c r="K1055" s="7" t="n"/>
      <c r="L1055" s="7" t="n"/>
      <c r="M1055" s="7">
        <f>IF($B1055="","",L1055*T1055/100)</f>
        <v/>
      </c>
      <c r="N1055" s="7">
        <f>IF($B1055="","",L1055-M1055)</f>
        <v/>
      </c>
      <c r="O1055" s="7">
        <f>IF($B1055="","",N1055-G1055)</f>
        <v/>
      </c>
      <c r="R1055" s="14" t="n"/>
      <c r="T1055">
        <f>IF($B1055="","",IF($W1055=1,Settings!$C$6,Settings!$C$7)*100)</f>
        <v/>
      </c>
      <c r="U1055">
        <f>IF($B1055="","",IF(COUNTIF($B$2:$B1055,$B1055)=1,1,0))</f>
        <v/>
      </c>
      <c r="V1055">
        <f>IF($U1055=1,SUMPRODUCT(--($X$2:$X$1501&lt;$X1055))+1,"")</f>
        <v/>
      </c>
      <c r="W1055">
        <f>IF($B1055="","",IF(OR($S1055=TRUE(),$S1055="TRUE"),1,0))</f>
        <v/>
      </c>
      <c r="X1055">
        <f>IF($U1055=1,IFERROR(IF(VALUE($B1055)&lt;100000000,VALUE($B1055),1000000000),IFERROR(IF(VALUE(MID($B1055,2,20))&lt;100000000,VALUE(MID($B1055,2,20)),1000000000),1000000000))+ROW()/100000,"")</f>
        <v/>
      </c>
    </row>
    <row r="1056">
      <c r="A1056">
        <f>IF($B1056="","",IFERROR(IF(INDEX('Per Invoice'!$C$2:$C$401,MATCH($B1056,'Per Invoice'!$A$2:$A$401,0))=0,"",INDEX('Per Invoice'!$C$2:$C$401,MATCH($B1056,'Per Invoice'!$A$2:$A$401,0))),""))</f>
        <v/>
      </c>
      <c r="G1056" s="7">
        <f>IF($B1056="","",F1056*L1056/100)</f>
        <v/>
      </c>
      <c r="K1056" s="7" t="n"/>
      <c r="L1056" s="7" t="n"/>
      <c r="M1056" s="7">
        <f>IF($B1056="","",L1056*T1056/100)</f>
        <v/>
      </c>
      <c r="N1056" s="7">
        <f>IF($B1056="","",L1056-M1056)</f>
        <v/>
      </c>
      <c r="O1056" s="7">
        <f>IF($B1056="","",N1056-G1056)</f>
        <v/>
      </c>
      <c r="R1056" s="14" t="n"/>
      <c r="T1056">
        <f>IF($B1056="","",IF($W1056=1,Settings!$C$6,Settings!$C$7)*100)</f>
        <v/>
      </c>
      <c r="U1056">
        <f>IF($B1056="","",IF(COUNTIF($B$2:$B1056,$B1056)=1,1,0))</f>
        <v/>
      </c>
      <c r="V1056">
        <f>IF($U1056=1,SUMPRODUCT(--($X$2:$X$1501&lt;$X1056))+1,"")</f>
        <v/>
      </c>
      <c r="W1056">
        <f>IF($B1056="","",IF(OR($S1056=TRUE(),$S1056="TRUE"),1,0))</f>
        <v/>
      </c>
      <c r="X1056">
        <f>IF($U1056=1,IFERROR(IF(VALUE($B1056)&lt;100000000,VALUE($B1056),1000000000),IFERROR(IF(VALUE(MID($B1056,2,20))&lt;100000000,VALUE(MID($B1056,2,20)),1000000000),1000000000))+ROW()/100000,"")</f>
        <v/>
      </c>
    </row>
    <row r="1057">
      <c r="A1057">
        <f>IF($B1057="","",IFERROR(IF(INDEX('Per Invoice'!$C$2:$C$401,MATCH($B1057,'Per Invoice'!$A$2:$A$401,0))=0,"",INDEX('Per Invoice'!$C$2:$C$401,MATCH($B1057,'Per Invoice'!$A$2:$A$401,0))),""))</f>
        <v/>
      </c>
      <c r="G1057" s="7">
        <f>IF($B1057="","",F1057*L1057/100)</f>
        <v/>
      </c>
      <c r="K1057" s="7" t="n"/>
      <c r="L1057" s="7" t="n"/>
      <c r="M1057" s="7">
        <f>IF($B1057="","",L1057*T1057/100)</f>
        <v/>
      </c>
      <c r="N1057" s="7">
        <f>IF($B1057="","",L1057-M1057)</f>
        <v/>
      </c>
      <c r="O1057" s="7">
        <f>IF($B1057="","",N1057-G1057)</f>
        <v/>
      </c>
      <c r="R1057" s="14" t="n"/>
      <c r="T1057">
        <f>IF($B1057="","",IF($W1057=1,Settings!$C$6,Settings!$C$7)*100)</f>
        <v/>
      </c>
      <c r="U1057">
        <f>IF($B1057="","",IF(COUNTIF($B$2:$B1057,$B1057)=1,1,0))</f>
        <v/>
      </c>
      <c r="V1057">
        <f>IF($U1057=1,SUMPRODUCT(--($X$2:$X$1501&lt;$X1057))+1,"")</f>
        <v/>
      </c>
      <c r="W1057">
        <f>IF($B1057="","",IF(OR($S1057=TRUE(),$S1057="TRUE"),1,0))</f>
        <v/>
      </c>
      <c r="X1057">
        <f>IF($U1057=1,IFERROR(IF(VALUE($B1057)&lt;100000000,VALUE($B1057),1000000000),IFERROR(IF(VALUE(MID($B1057,2,20))&lt;100000000,VALUE(MID($B1057,2,20)),1000000000),1000000000))+ROW()/100000,"")</f>
        <v/>
      </c>
    </row>
    <row r="1058">
      <c r="A1058">
        <f>IF($B1058="","",IFERROR(IF(INDEX('Per Invoice'!$C$2:$C$401,MATCH($B1058,'Per Invoice'!$A$2:$A$401,0))=0,"",INDEX('Per Invoice'!$C$2:$C$401,MATCH($B1058,'Per Invoice'!$A$2:$A$401,0))),""))</f>
        <v/>
      </c>
      <c r="G1058" s="7">
        <f>IF($B1058="","",F1058*L1058/100)</f>
        <v/>
      </c>
      <c r="K1058" s="7" t="n"/>
      <c r="L1058" s="7" t="n"/>
      <c r="M1058" s="7">
        <f>IF($B1058="","",L1058*T1058/100)</f>
        <v/>
      </c>
      <c r="N1058" s="7">
        <f>IF($B1058="","",L1058-M1058)</f>
        <v/>
      </c>
      <c r="O1058" s="7">
        <f>IF($B1058="","",N1058-G1058)</f>
        <v/>
      </c>
      <c r="R1058" s="14" t="n"/>
      <c r="T1058">
        <f>IF($B1058="","",IF($W1058=1,Settings!$C$6,Settings!$C$7)*100)</f>
        <v/>
      </c>
      <c r="U1058">
        <f>IF($B1058="","",IF(COUNTIF($B$2:$B1058,$B1058)=1,1,0))</f>
        <v/>
      </c>
      <c r="V1058">
        <f>IF($U1058=1,SUMPRODUCT(--($X$2:$X$1501&lt;$X1058))+1,"")</f>
        <v/>
      </c>
      <c r="W1058">
        <f>IF($B1058="","",IF(OR($S1058=TRUE(),$S1058="TRUE"),1,0))</f>
        <v/>
      </c>
      <c r="X1058">
        <f>IF($U1058=1,IFERROR(IF(VALUE($B1058)&lt;100000000,VALUE($B1058),1000000000),IFERROR(IF(VALUE(MID($B1058,2,20))&lt;100000000,VALUE(MID($B1058,2,20)),1000000000),1000000000))+ROW()/100000,"")</f>
        <v/>
      </c>
    </row>
    <row r="1059">
      <c r="A1059">
        <f>IF($B1059="","",IFERROR(IF(INDEX('Per Invoice'!$C$2:$C$401,MATCH($B1059,'Per Invoice'!$A$2:$A$401,0))=0,"",INDEX('Per Invoice'!$C$2:$C$401,MATCH($B1059,'Per Invoice'!$A$2:$A$401,0))),""))</f>
        <v/>
      </c>
      <c r="G1059" s="7">
        <f>IF($B1059="","",F1059*L1059/100)</f>
        <v/>
      </c>
      <c r="K1059" s="7" t="n"/>
      <c r="L1059" s="7" t="n"/>
      <c r="M1059" s="7">
        <f>IF($B1059="","",L1059*T1059/100)</f>
        <v/>
      </c>
      <c r="N1059" s="7">
        <f>IF($B1059="","",L1059-M1059)</f>
        <v/>
      </c>
      <c r="O1059" s="7">
        <f>IF($B1059="","",N1059-G1059)</f>
        <v/>
      </c>
      <c r="R1059" s="14" t="n"/>
      <c r="T1059">
        <f>IF($B1059="","",IF($W1059=1,Settings!$C$6,Settings!$C$7)*100)</f>
        <v/>
      </c>
      <c r="U1059">
        <f>IF($B1059="","",IF(COUNTIF($B$2:$B1059,$B1059)=1,1,0))</f>
        <v/>
      </c>
      <c r="V1059">
        <f>IF($U1059=1,SUMPRODUCT(--($X$2:$X$1501&lt;$X1059))+1,"")</f>
        <v/>
      </c>
      <c r="W1059">
        <f>IF($B1059="","",IF(OR($S1059=TRUE(),$S1059="TRUE"),1,0))</f>
        <v/>
      </c>
      <c r="X1059">
        <f>IF($U1059=1,IFERROR(IF(VALUE($B1059)&lt;100000000,VALUE($B1059),1000000000),IFERROR(IF(VALUE(MID($B1059,2,20))&lt;100000000,VALUE(MID($B1059,2,20)),1000000000),1000000000))+ROW()/100000,"")</f>
        <v/>
      </c>
    </row>
    <row r="1060">
      <c r="A1060">
        <f>IF($B1060="","",IFERROR(IF(INDEX('Per Invoice'!$C$2:$C$401,MATCH($B1060,'Per Invoice'!$A$2:$A$401,0))=0,"",INDEX('Per Invoice'!$C$2:$C$401,MATCH($B1060,'Per Invoice'!$A$2:$A$401,0))),""))</f>
        <v/>
      </c>
      <c r="G1060" s="7">
        <f>IF($B1060="","",F1060*L1060/100)</f>
        <v/>
      </c>
      <c r="K1060" s="7" t="n"/>
      <c r="L1060" s="7" t="n"/>
      <c r="M1060" s="7">
        <f>IF($B1060="","",L1060*T1060/100)</f>
        <v/>
      </c>
      <c r="N1060" s="7">
        <f>IF($B1060="","",L1060-M1060)</f>
        <v/>
      </c>
      <c r="O1060" s="7">
        <f>IF($B1060="","",N1060-G1060)</f>
        <v/>
      </c>
      <c r="R1060" s="14" t="n"/>
      <c r="T1060">
        <f>IF($B1060="","",IF($W1060=1,Settings!$C$6,Settings!$C$7)*100)</f>
        <v/>
      </c>
      <c r="U1060">
        <f>IF($B1060="","",IF(COUNTIF($B$2:$B1060,$B1060)=1,1,0))</f>
        <v/>
      </c>
      <c r="V1060">
        <f>IF($U1060=1,SUMPRODUCT(--($X$2:$X$1501&lt;$X1060))+1,"")</f>
        <v/>
      </c>
      <c r="W1060">
        <f>IF($B1060="","",IF(OR($S1060=TRUE(),$S1060="TRUE"),1,0))</f>
        <v/>
      </c>
      <c r="X1060">
        <f>IF($U1060=1,IFERROR(IF(VALUE($B1060)&lt;100000000,VALUE($B1060),1000000000),IFERROR(IF(VALUE(MID($B1060,2,20))&lt;100000000,VALUE(MID($B1060,2,20)),1000000000),1000000000))+ROW()/100000,"")</f>
        <v/>
      </c>
    </row>
    <row r="1061">
      <c r="A1061">
        <f>IF($B1061="","",IFERROR(IF(INDEX('Per Invoice'!$C$2:$C$401,MATCH($B1061,'Per Invoice'!$A$2:$A$401,0))=0,"",INDEX('Per Invoice'!$C$2:$C$401,MATCH($B1061,'Per Invoice'!$A$2:$A$401,0))),""))</f>
        <v/>
      </c>
      <c r="G1061" s="7">
        <f>IF($B1061="","",F1061*L1061/100)</f>
        <v/>
      </c>
      <c r="K1061" s="7" t="n"/>
      <c r="L1061" s="7" t="n"/>
      <c r="M1061" s="7">
        <f>IF($B1061="","",L1061*T1061/100)</f>
        <v/>
      </c>
      <c r="N1061" s="7">
        <f>IF($B1061="","",L1061-M1061)</f>
        <v/>
      </c>
      <c r="O1061" s="7">
        <f>IF($B1061="","",N1061-G1061)</f>
        <v/>
      </c>
      <c r="R1061" s="14" t="n"/>
      <c r="T1061">
        <f>IF($B1061="","",IF($W1061=1,Settings!$C$6,Settings!$C$7)*100)</f>
        <v/>
      </c>
      <c r="U1061">
        <f>IF($B1061="","",IF(COUNTIF($B$2:$B1061,$B1061)=1,1,0))</f>
        <v/>
      </c>
      <c r="V1061">
        <f>IF($U1061=1,SUMPRODUCT(--($X$2:$X$1501&lt;$X1061))+1,"")</f>
        <v/>
      </c>
      <c r="W1061">
        <f>IF($B1061="","",IF(OR($S1061=TRUE(),$S1061="TRUE"),1,0))</f>
        <v/>
      </c>
      <c r="X1061">
        <f>IF($U1061=1,IFERROR(IF(VALUE($B1061)&lt;100000000,VALUE($B1061),1000000000),IFERROR(IF(VALUE(MID($B1061,2,20))&lt;100000000,VALUE(MID($B1061,2,20)),1000000000),1000000000))+ROW()/100000,"")</f>
        <v/>
      </c>
    </row>
    <row r="1062">
      <c r="A1062">
        <f>IF($B1062="","",IFERROR(IF(INDEX('Per Invoice'!$C$2:$C$401,MATCH($B1062,'Per Invoice'!$A$2:$A$401,0))=0,"",INDEX('Per Invoice'!$C$2:$C$401,MATCH($B1062,'Per Invoice'!$A$2:$A$401,0))),""))</f>
        <v/>
      </c>
      <c r="G1062" s="7">
        <f>IF($B1062="","",F1062*L1062/100)</f>
        <v/>
      </c>
      <c r="K1062" s="7" t="n"/>
      <c r="L1062" s="7" t="n"/>
      <c r="M1062" s="7">
        <f>IF($B1062="","",L1062*T1062/100)</f>
        <v/>
      </c>
      <c r="N1062" s="7">
        <f>IF($B1062="","",L1062-M1062)</f>
        <v/>
      </c>
      <c r="O1062" s="7">
        <f>IF($B1062="","",N1062-G1062)</f>
        <v/>
      </c>
      <c r="R1062" s="14" t="n"/>
      <c r="T1062">
        <f>IF($B1062="","",IF($W1062=1,Settings!$C$6,Settings!$C$7)*100)</f>
        <v/>
      </c>
      <c r="U1062">
        <f>IF($B1062="","",IF(COUNTIF($B$2:$B1062,$B1062)=1,1,0))</f>
        <v/>
      </c>
      <c r="V1062">
        <f>IF($U1062=1,SUMPRODUCT(--($X$2:$X$1501&lt;$X1062))+1,"")</f>
        <v/>
      </c>
      <c r="W1062">
        <f>IF($B1062="","",IF(OR($S1062=TRUE(),$S1062="TRUE"),1,0))</f>
        <v/>
      </c>
      <c r="X1062">
        <f>IF($U1062=1,IFERROR(IF(VALUE($B1062)&lt;100000000,VALUE($B1062),1000000000),IFERROR(IF(VALUE(MID($B1062,2,20))&lt;100000000,VALUE(MID($B1062,2,20)),1000000000),1000000000))+ROW()/100000,"")</f>
        <v/>
      </c>
    </row>
    <row r="1063">
      <c r="A1063">
        <f>IF($B1063="","",IFERROR(IF(INDEX('Per Invoice'!$C$2:$C$401,MATCH($B1063,'Per Invoice'!$A$2:$A$401,0))=0,"",INDEX('Per Invoice'!$C$2:$C$401,MATCH($B1063,'Per Invoice'!$A$2:$A$401,0))),""))</f>
        <v/>
      </c>
      <c r="G1063" s="7">
        <f>IF($B1063="","",F1063*L1063/100)</f>
        <v/>
      </c>
      <c r="K1063" s="7" t="n"/>
      <c r="L1063" s="7" t="n"/>
      <c r="M1063" s="7">
        <f>IF($B1063="","",L1063*T1063/100)</f>
        <v/>
      </c>
      <c r="N1063" s="7">
        <f>IF($B1063="","",L1063-M1063)</f>
        <v/>
      </c>
      <c r="O1063" s="7">
        <f>IF($B1063="","",N1063-G1063)</f>
        <v/>
      </c>
      <c r="R1063" s="14" t="n"/>
      <c r="T1063">
        <f>IF($B1063="","",IF($W1063=1,Settings!$C$6,Settings!$C$7)*100)</f>
        <v/>
      </c>
      <c r="U1063">
        <f>IF($B1063="","",IF(COUNTIF($B$2:$B1063,$B1063)=1,1,0))</f>
        <v/>
      </c>
      <c r="V1063">
        <f>IF($U1063=1,SUMPRODUCT(--($X$2:$X$1501&lt;$X1063))+1,"")</f>
        <v/>
      </c>
      <c r="W1063">
        <f>IF($B1063="","",IF(OR($S1063=TRUE(),$S1063="TRUE"),1,0))</f>
        <v/>
      </c>
      <c r="X1063">
        <f>IF($U1063=1,IFERROR(IF(VALUE($B1063)&lt;100000000,VALUE($B1063),1000000000),IFERROR(IF(VALUE(MID($B1063,2,20))&lt;100000000,VALUE(MID($B1063,2,20)),1000000000),1000000000))+ROW()/100000,"")</f>
        <v/>
      </c>
    </row>
    <row r="1064">
      <c r="A1064">
        <f>IF($B1064="","",IFERROR(IF(INDEX('Per Invoice'!$C$2:$C$401,MATCH($B1064,'Per Invoice'!$A$2:$A$401,0))=0,"",INDEX('Per Invoice'!$C$2:$C$401,MATCH($B1064,'Per Invoice'!$A$2:$A$401,0))),""))</f>
        <v/>
      </c>
      <c r="G1064" s="7">
        <f>IF($B1064="","",F1064*L1064/100)</f>
        <v/>
      </c>
      <c r="K1064" s="7" t="n"/>
      <c r="L1064" s="7" t="n"/>
      <c r="M1064" s="7">
        <f>IF($B1064="","",L1064*T1064/100)</f>
        <v/>
      </c>
      <c r="N1064" s="7">
        <f>IF($B1064="","",L1064-M1064)</f>
        <v/>
      </c>
      <c r="O1064" s="7">
        <f>IF($B1064="","",N1064-G1064)</f>
        <v/>
      </c>
      <c r="R1064" s="14" t="n"/>
      <c r="T1064">
        <f>IF($B1064="","",IF($W1064=1,Settings!$C$6,Settings!$C$7)*100)</f>
        <v/>
      </c>
      <c r="U1064">
        <f>IF($B1064="","",IF(COUNTIF($B$2:$B1064,$B1064)=1,1,0))</f>
        <v/>
      </c>
      <c r="V1064">
        <f>IF($U1064=1,SUMPRODUCT(--($X$2:$X$1501&lt;$X1064))+1,"")</f>
        <v/>
      </c>
      <c r="W1064">
        <f>IF($B1064="","",IF(OR($S1064=TRUE(),$S1064="TRUE"),1,0))</f>
        <v/>
      </c>
      <c r="X1064">
        <f>IF($U1064=1,IFERROR(IF(VALUE($B1064)&lt;100000000,VALUE($B1064),1000000000),IFERROR(IF(VALUE(MID($B1064,2,20))&lt;100000000,VALUE(MID($B1064,2,20)),1000000000),1000000000))+ROW()/100000,"")</f>
        <v/>
      </c>
    </row>
    <row r="1065">
      <c r="A1065">
        <f>IF($B1065="","",IFERROR(IF(INDEX('Per Invoice'!$C$2:$C$401,MATCH($B1065,'Per Invoice'!$A$2:$A$401,0))=0,"",INDEX('Per Invoice'!$C$2:$C$401,MATCH($B1065,'Per Invoice'!$A$2:$A$401,0))),""))</f>
        <v/>
      </c>
      <c r="G1065" s="7">
        <f>IF($B1065="","",F1065*L1065/100)</f>
        <v/>
      </c>
      <c r="K1065" s="7" t="n"/>
      <c r="L1065" s="7" t="n"/>
      <c r="M1065" s="7">
        <f>IF($B1065="","",L1065*T1065/100)</f>
        <v/>
      </c>
      <c r="N1065" s="7">
        <f>IF($B1065="","",L1065-M1065)</f>
        <v/>
      </c>
      <c r="O1065" s="7">
        <f>IF($B1065="","",N1065-G1065)</f>
        <v/>
      </c>
      <c r="R1065" s="14" t="n"/>
      <c r="T1065">
        <f>IF($B1065="","",IF($W1065=1,Settings!$C$6,Settings!$C$7)*100)</f>
        <v/>
      </c>
      <c r="U1065">
        <f>IF($B1065="","",IF(COUNTIF($B$2:$B1065,$B1065)=1,1,0))</f>
        <v/>
      </c>
      <c r="V1065">
        <f>IF($U1065=1,SUMPRODUCT(--($X$2:$X$1501&lt;$X1065))+1,"")</f>
        <v/>
      </c>
      <c r="W1065">
        <f>IF($B1065="","",IF(OR($S1065=TRUE(),$S1065="TRUE"),1,0))</f>
        <v/>
      </c>
      <c r="X1065">
        <f>IF($U1065=1,IFERROR(IF(VALUE($B1065)&lt;100000000,VALUE($B1065),1000000000),IFERROR(IF(VALUE(MID($B1065,2,20))&lt;100000000,VALUE(MID($B1065,2,20)),1000000000),1000000000))+ROW()/100000,"")</f>
        <v/>
      </c>
    </row>
    <row r="1066">
      <c r="A1066">
        <f>IF($B1066="","",IFERROR(IF(INDEX('Per Invoice'!$C$2:$C$401,MATCH($B1066,'Per Invoice'!$A$2:$A$401,0))=0,"",INDEX('Per Invoice'!$C$2:$C$401,MATCH($B1066,'Per Invoice'!$A$2:$A$401,0))),""))</f>
        <v/>
      </c>
      <c r="G1066" s="7">
        <f>IF($B1066="","",F1066*L1066/100)</f>
        <v/>
      </c>
      <c r="K1066" s="7" t="n"/>
      <c r="L1066" s="7" t="n"/>
      <c r="M1066" s="7">
        <f>IF($B1066="","",L1066*T1066/100)</f>
        <v/>
      </c>
      <c r="N1066" s="7">
        <f>IF($B1066="","",L1066-M1066)</f>
        <v/>
      </c>
      <c r="O1066" s="7">
        <f>IF($B1066="","",N1066-G1066)</f>
        <v/>
      </c>
      <c r="R1066" s="14" t="n"/>
      <c r="T1066">
        <f>IF($B1066="","",IF($W1066=1,Settings!$C$6,Settings!$C$7)*100)</f>
        <v/>
      </c>
      <c r="U1066">
        <f>IF($B1066="","",IF(COUNTIF($B$2:$B1066,$B1066)=1,1,0))</f>
        <v/>
      </c>
      <c r="V1066">
        <f>IF($U1066=1,SUMPRODUCT(--($X$2:$X$1501&lt;$X1066))+1,"")</f>
        <v/>
      </c>
      <c r="W1066">
        <f>IF($B1066="","",IF(OR($S1066=TRUE(),$S1066="TRUE"),1,0))</f>
        <v/>
      </c>
      <c r="X1066">
        <f>IF($U1066=1,IFERROR(IF(VALUE($B1066)&lt;100000000,VALUE($B1066),1000000000),IFERROR(IF(VALUE(MID($B1066,2,20))&lt;100000000,VALUE(MID($B1066,2,20)),1000000000),1000000000))+ROW()/100000,"")</f>
        <v/>
      </c>
    </row>
    <row r="1067">
      <c r="A1067">
        <f>IF($B1067="","",IFERROR(IF(INDEX('Per Invoice'!$C$2:$C$401,MATCH($B1067,'Per Invoice'!$A$2:$A$401,0))=0,"",INDEX('Per Invoice'!$C$2:$C$401,MATCH($B1067,'Per Invoice'!$A$2:$A$401,0))),""))</f>
        <v/>
      </c>
      <c r="G1067" s="7">
        <f>IF($B1067="","",F1067*L1067/100)</f>
        <v/>
      </c>
      <c r="K1067" s="7" t="n"/>
      <c r="L1067" s="7" t="n"/>
      <c r="M1067" s="7">
        <f>IF($B1067="","",L1067*T1067/100)</f>
        <v/>
      </c>
      <c r="N1067" s="7">
        <f>IF($B1067="","",L1067-M1067)</f>
        <v/>
      </c>
      <c r="O1067" s="7">
        <f>IF($B1067="","",N1067-G1067)</f>
        <v/>
      </c>
      <c r="R1067" s="14" t="n"/>
      <c r="T1067">
        <f>IF($B1067="","",IF($W1067=1,Settings!$C$6,Settings!$C$7)*100)</f>
        <v/>
      </c>
      <c r="U1067">
        <f>IF($B1067="","",IF(COUNTIF($B$2:$B1067,$B1067)=1,1,0))</f>
        <v/>
      </c>
      <c r="V1067">
        <f>IF($U1067=1,SUMPRODUCT(--($X$2:$X$1501&lt;$X1067))+1,"")</f>
        <v/>
      </c>
      <c r="W1067">
        <f>IF($B1067="","",IF(OR($S1067=TRUE(),$S1067="TRUE"),1,0))</f>
        <v/>
      </c>
      <c r="X1067">
        <f>IF($U1067=1,IFERROR(IF(VALUE($B1067)&lt;100000000,VALUE($B1067),1000000000),IFERROR(IF(VALUE(MID($B1067,2,20))&lt;100000000,VALUE(MID($B1067,2,20)),1000000000),1000000000))+ROW()/100000,"")</f>
        <v/>
      </c>
    </row>
    <row r="1068">
      <c r="A1068">
        <f>IF($B1068="","",IFERROR(IF(INDEX('Per Invoice'!$C$2:$C$401,MATCH($B1068,'Per Invoice'!$A$2:$A$401,0))=0,"",INDEX('Per Invoice'!$C$2:$C$401,MATCH($B1068,'Per Invoice'!$A$2:$A$401,0))),""))</f>
        <v/>
      </c>
      <c r="G1068" s="7">
        <f>IF($B1068="","",F1068*L1068/100)</f>
        <v/>
      </c>
      <c r="K1068" s="7" t="n"/>
      <c r="L1068" s="7" t="n"/>
      <c r="M1068" s="7">
        <f>IF($B1068="","",L1068*T1068/100)</f>
        <v/>
      </c>
      <c r="N1068" s="7">
        <f>IF($B1068="","",L1068-M1068)</f>
        <v/>
      </c>
      <c r="O1068" s="7">
        <f>IF($B1068="","",N1068-G1068)</f>
        <v/>
      </c>
      <c r="R1068" s="14" t="n"/>
      <c r="T1068">
        <f>IF($B1068="","",IF($W1068=1,Settings!$C$6,Settings!$C$7)*100)</f>
        <v/>
      </c>
      <c r="U1068">
        <f>IF($B1068="","",IF(COUNTIF($B$2:$B1068,$B1068)=1,1,0))</f>
        <v/>
      </c>
      <c r="V1068">
        <f>IF($U1068=1,SUMPRODUCT(--($X$2:$X$1501&lt;$X1068))+1,"")</f>
        <v/>
      </c>
      <c r="W1068">
        <f>IF($B1068="","",IF(OR($S1068=TRUE(),$S1068="TRUE"),1,0))</f>
        <v/>
      </c>
      <c r="X1068">
        <f>IF($U1068=1,IFERROR(IF(VALUE($B1068)&lt;100000000,VALUE($B1068),1000000000),IFERROR(IF(VALUE(MID($B1068,2,20))&lt;100000000,VALUE(MID($B1068,2,20)),1000000000),1000000000))+ROW()/100000,"")</f>
        <v/>
      </c>
    </row>
    <row r="1069">
      <c r="A1069">
        <f>IF($B1069="","",IFERROR(IF(INDEX('Per Invoice'!$C$2:$C$401,MATCH($B1069,'Per Invoice'!$A$2:$A$401,0))=0,"",INDEX('Per Invoice'!$C$2:$C$401,MATCH($B1069,'Per Invoice'!$A$2:$A$401,0))),""))</f>
        <v/>
      </c>
      <c r="G1069" s="7">
        <f>IF($B1069="","",F1069*L1069/100)</f>
        <v/>
      </c>
      <c r="K1069" s="7" t="n"/>
      <c r="L1069" s="7" t="n"/>
      <c r="M1069" s="7">
        <f>IF($B1069="","",L1069*T1069/100)</f>
        <v/>
      </c>
      <c r="N1069" s="7">
        <f>IF($B1069="","",L1069-M1069)</f>
        <v/>
      </c>
      <c r="O1069" s="7">
        <f>IF($B1069="","",N1069-G1069)</f>
        <v/>
      </c>
      <c r="R1069" s="14" t="n"/>
      <c r="T1069">
        <f>IF($B1069="","",IF($W1069=1,Settings!$C$6,Settings!$C$7)*100)</f>
        <v/>
      </c>
      <c r="U1069">
        <f>IF($B1069="","",IF(COUNTIF($B$2:$B1069,$B1069)=1,1,0))</f>
        <v/>
      </c>
      <c r="V1069">
        <f>IF($U1069=1,SUMPRODUCT(--($X$2:$X$1501&lt;$X1069))+1,"")</f>
        <v/>
      </c>
      <c r="W1069">
        <f>IF($B1069="","",IF(OR($S1069=TRUE(),$S1069="TRUE"),1,0))</f>
        <v/>
      </c>
      <c r="X1069">
        <f>IF($U1069=1,IFERROR(IF(VALUE($B1069)&lt;100000000,VALUE($B1069),1000000000),IFERROR(IF(VALUE(MID($B1069,2,20))&lt;100000000,VALUE(MID($B1069,2,20)),1000000000),1000000000))+ROW()/100000,"")</f>
        <v/>
      </c>
    </row>
    <row r="1070">
      <c r="A1070">
        <f>IF($B1070="","",IFERROR(IF(INDEX('Per Invoice'!$C$2:$C$401,MATCH($B1070,'Per Invoice'!$A$2:$A$401,0))=0,"",INDEX('Per Invoice'!$C$2:$C$401,MATCH($B1070,'Per Invoice'!$A$2:$A$401,0))),""))</f>
        <v/>
      </c>
      <c r="G1070" s="7">
        <f>IF($B1070="","",F1070*L1070/100)</f>
        <v/>
      </c>
      <c r="K1070" s="7" t="n"/>
      <c r="L1070" s="7" t="n"/>
      <c r="M1070" s="7">
        <f>IF($B1070="","",L1070*T1070/100)</f>
        <v/>
      </c>
      <c r="N1070" s="7">
        <f>IF($B1070="","",L1070-M1070)</f>
        <v/>
      </c>
      <c r="O1070" s="7">
        <f>IF($B1070="","",N1070-G1070)</f>
        <v/>
      </c>
      <c r="R1070" s="14" t="n"/>
      <c r="T1070">
        <f>IF($B1070="","",IF($W1070=1,Settings!$C$6,Settings!$C$7)*100)</f>
        <v/>
      </c>
      <c r="U1070">
        <f>IF($B1070="","",IF(COUNTIF($B$2:$B1070,$B1070)=1,1,0))</f>
        <v/>
      </c>
      <c r="V1070">
        <f>IF($U1070=1,SUMPRODUCT(--($X$2:$X$1501&lt;$X1070))+1,"")</f>
        <v/>
      </c>
      <c r="W1070">
        <f>IF($B1070="","",IF(OR($S1070=TRUE(),$S1070="TRUE"),1,0))</f>
        <v/>
      </c>
      <c r="X1070">
        <f>IF($U1070=1,IFERROR(IF(VALUE($B1070)&lt;100000000,VALUE($B1070),1000000000),IFERROR(IF(VALUE(MID($B1070,2,20))&lt;100000000,VALUE(MID($B1070,2,20)),1000000000),1000000000))+ROW()/100000,"")</f>
        <v/>
      </c>
    </row>
    <row r="1071">
      <c r="A1071">
        <f>IF($B1071="","",IFERROR(IF(INDEX('Per Invoice'!$C$2:$C$401,MATCH($B1071,'Per Invoice'!$A$2:$A$401,0))=0,"",INDEX('Per Invoice'!$C$2:$C$401,MATCH($B1071,'Per Invoice'!$A$2:$A$401,0))),""))</f>
        <v/>
      </c>
      <c r="G1071" s="7">
        <f>IF($B1071="","",F1071*L1071/100)</f>
        <v/>
      </c>
      <c r="K1071" s="7" t="n"/>
      <c r="L1071" s="7" t="n"/>
      <c r="M1071" s="7">
        <f>IF($B1071="","",L1071*T1071/100)</f>
        <v/>
      </c>
      <c r="N1071" s="7">
        <f>IF($B1071="","",L1071-M1071)</f>
        <v/>
      </c>
      <c r="O1071" s="7">
        <f>IF($B1071="","",N1071-G1071)</f>
        <v/>
      </c>
      <c r="R1071" s="14" t="n"/>
      <c r="T1071">
        <f>IF($B1071="","",IF($W1071=1,Settings!$C$6,Settings!$C$7)*100)</f>
        <v/>
      </c>
      <c r="U1071">
        <f>IF($B1071="","",IF(COUNTIF($B$2:$B1071,$B1071)=1,1,0))</f>
        <v/>
      </c>
      <c r="V1071">
        <f>IF($U1071=1,SUMPRODUCT(--($X$2:$X$1501&lt;$X1071))+1,"")</f>
        <v/>
      </c>
      <c r="W1071">
        <f>IF($B1071="","",IF(OR($S1071=TRUE(),$S1071="TRUE"),1,0))</f>
        <v/>
      </c>
      <c r="X1071">
        <f>IF($U1071=1,IFERROR(IF(VALUE($B1071)&lt;100000000,VALUE($B1071),1000000000),IFERROR(IF(VALUE(MID($B1071,2,20))&lt;100000000,VALUE(MID($B1071,2,20)),1000000000),1000000000))+ROW()/100000,"")</f>
        <v/>
      </c>
    </row>
    <row r="1072">
      <c r="A1072">
        <f>IF($B1072="","",IFERROR(IF(INDEX('Per Invoice'!$C$2:$C$401,MATCH($B1072,'Per Invoice'!$A$2:$A$401,0))=0,"",INDEX('Per Invoice'!$C$2:$C$401,MATCH($B1072,'Per Invoice'!$A$2:$A$401,0))),""))</f>
        <v/>
      </c>
      <c r="G1072" s="7">
        <f>IF($B1072="","",F1072*L1072/100)</f>
        <v/>
      </c>
      <c r="K1072" s="7" t="n"/>
      <c r="L1072" s="7" t="n"/>
      <c r="M1072" s="7">
        <f>IF($B1072="","",L1072*T1072/100)</f>
        <v/>
      </c>
      <c r="N1072" s="7">
        <f>IF($B1072="","",L1072-M1072)</f>
        <v/>
      </c>
      <c r="O1072" s="7">
        <f>IF($B1072="","",N1072-G1072)</f>
        <v/>
      </c>
      <c r="R1072" s="14" t="n"/>
      <c r="T1072">
        <f>IF($B1072="","",IF($W1072=1,Settings!$C$6,Settings!$C$7)*100)</f>
        <v/>
      </c>
      <c r="U1072">
        <f>IF($B1072="","",IF(COUNTIF($B$2:$B1072,$B1072)=1,1,0))</f>
        <v/>
      </c>
      <c r="V1072">
        <f>IF($U1072=1,SUMPRODUCT(--($X$2:$X$1501&lt;$X1072))+1,"")</f>
        <v/>
      </c>
      <c r="W1072">
        <f>IF($B1072="","",IF(OR($S1072=TRUE(),$S1072="TRUE"),1,0))</f>
        <v/>
      </c>
      <c r="X1072">
        <f>IF($U1072=1,IFERROR(IF(VALUE($B1072)&lt;100000000,VALUE($B1072),1000000000),IFERROR(IF(VALUE(MID($B1072,2,20))&lt;100000000,VALUE(MID($B1072,2,20)),1000000000),1000000000))+ROW()/100000,"")</f>
        <v/>
      </c>
    </row>
    <row r="1073">
      <c r="A1073">
        <f>IF($B1073="","",IFERROR(IF(INDEX('Per Invoice'!$C$2:$C$401,MATCH($B1073,'Per Invoice'!$A$2:$A$401,0))=0,"",INDEX('Per Invoice'!$C$2:$C$401,MATCH($B1073,'Per Invoice'!$A$2:$A$401,0))),""))</f>
        <v/>
      </c>
      <c r="G1073" s="7">
        <f>IF($B1073="","",F1073*L1073/100)</f>
        <v/>
      </c>
      <c r="K1073" s="7" t="n"/>
      <c r="L1073" s="7" t="n"/>
      <c r="M1073" s="7">
        <f>IF($B1073="","",L1073*T1073/100)</f>
        <v/>
      </c>
      <c r="N1073" s="7">
        <f>IF($B1073="","",L1073-M1073)</f>
        <v/>
      </c>
      <c r="O1073" s="7">
        <f>IF($B1073="","",N1073-G1073)</f>
        <v/>
      </c>
      <c r="R1073" s="14" t="n"/>
      <c r="T1073">
        <f>IF($B1073="","",IF($W1073=1,Settings!$C$6,Settings!$C$7)*100)</f>
        <v/>
      </c>
      <c r="U1073">
        <f>IF($B1073="","",IF(COUNTIF($B$2:$B1073,$B1073)=1,1,0))</f>
        <v/>
      </c>
      <c r="V1073">
        <f>IF($U1073=1,SUMPRODUCT(--($X$2:$X$1501&lt;$X1073))+1,"")</f>
        <v/>
      </c>
      <c r="W1073">
        <f>IF($B1073="","",IF(OR($S1073=TRUE(),$S1073="TRUE"),1,0))</f>
        <v/>
      </c>
      <c r="X1073">
        <f>IF($U1073=1,IFERROR(IF(VALUE($B1073)&lt;100000000,VALUE($B1073),1000000000),IFERROR(IF(VALUE(MID($B1073,2,20))&lt;100000000,VALUE(MID($B1073,2,20)),1000000000),1000000000))+ROW()/100000,"")</f>
        <v/>
      </c>
    </row>
    <row r="1074">
      <c r="A1074">
        <f>IF($B1074="","",IFERROR(IF(INDEX('Per Invoice'!$C$2:$C$401,MATCH($B1074,'Per Invoice'!$A$2:$A$401,0))=0,"",INDEX('Per Invoice'!$C$2:$C$401,MATCH($B1074,'Per Invoice'!$A$2:$A$401,0))),""))</f>
        <v/>
      </c>
      <c r="G1074" s="7">
        <f>IF($B1074="","",F1074*L1074/100)</f>
        <v/>
      </c>
      <c r="K1074" s="7" t="n"/>
      <c r="L1074" s="7" t="n"/>
      <c r="M1074" s="7">
        <f>IF($B1074="","",L1074*T1074/100)</f>
        <v/>
      </c>
      <c r="N1074" s="7">
        <f>IF($B1074="","",L1074-M1074)</f>
        <v/>
      </c>
      <c r="O1074" s="7">
        <f>IF($B1074="","",N1074-G1074)</f>
        <v/>
      </c>
      <c r="R1074" s="14" t="n"/>
      <c r="T1074">
        <f>IF($B1074="","",IF($W1074=1,Settings!$C$6,Settings!$C$7)*100)</f>
        <v/>
      </c>
      <c r="U1074">
        <f>IF($B1074="","",IF(COUNTIF($B$2:$B1074,$B1074)=1,1,0))</f>
        <v/>
      </c>
      <c r="V1074">
        <f>IF($U1074=1,SUMPRODUCT(--($X$2:$X$1501&lt;$X1074))+1,"")</f>
        <v/>
      </c>
      <c r="W1074">
        <f>IF($B1074="","",IF(OR($S1074=TRUE(),$S1074="TRUE"),1,0))</f>
        <v/>
      </c>
      <c r="X1074">
        <f>IF($U1074=1,IFERROR(IF(VALUE($B1074)&lt;100000000,VALUE($B1074),1000000000),IFERROR(IF(VALUE(MID($B1074,2,20))&lt;100000000,VALUE(MID($B1074,2,20)),1000000000),1000000000))+ROW()/100000,"")</f>
        <v/>
      </c>
    </row>
    <row r="1075">
      <c r="A1075">
        <f>IF($B1075="","",IFERROR(IF(INDEX('Per Invoice'!$C$2:$C$401,MATCH($B1075,'Per Invoice'!$A$2:$A$401,0))=0,"",INDEX('Per Invoice'!$C$2:$C$401,MATCH($B1075,'Per Invoice'!$A$2:$A$401,0))),""))</f>
        <v/>
      </c>
      <c r="G1075" s="7">
        <f>IF($B1075="","",F1075*L1075/100)</f>
        <v/>
      </c>
      <c r="K1075" s="7" t="n"/>
      <c r="L1075" s="7" t="n"/>
      <c r="M1075" s="7">
        <f>IF($B1075="","",L1075*T1075/100)</f>
        <v/>
      </c>
      <c r="N1075" s="7">
        <f>IF($B1075="","",L1075-M1075)</f>
        <v/>
      </c>
      <c r="O1075" s="7">
        <f>IF($B1075="","",N1075-G1075)</f>
        <v/>
      </c>
      <c r="R1075" s="14" t="n"/>
      <c r="T1075">
        <f>IF($B1075="","",IF($W1075=1,Settings!$C$6,Settings!$C$7)*100)</f>
        <v/>
      </c>
      <c r="U1075">
        <f>IF($B1075="","",IF(COUNTIF($B$2:$B1075,$B1075)=1,1,0))</f>
        <v/>
      </c>
      <c r="V1075">
        <f>IF($U1075=1,SUMPRODUCT(--($X$2:$X$1501&lt;$X1075))+1,"")</f>
        <v/>
      </c>
      <c r="W1075">
        <f>IF($B1075="","",IF(OR($S1075=TRUE(),$S1075="TRUE"),1,0))</f>
        <v/>
      </c>
      <c r="X1075">
        <f>IF($U1075=1,IFERROR(IF(VALUE($B1075)&lt;100000000,VALUE($B1075),1000000000),IFERROR(IF(VALUE(MID($B1075,2,20))&lt;100000000,VALUE(MID($B1075,2,20)),1000000000),1000000000))+ROW()/100000,"")</f>
        <v/>
      </c>
    </row>
    <row r="1076">
      <c r="A1076">
        <f>IF($B1076="","",IFERROR(IF(INDEX('Per Invoice'!$C$2:$C$401,MATCH($B1076,'Per Invoice'!$A$2:$A$401,0))=0,"",INDEX('Per Invoice'!$C$2:$C$401,MATCH($B1076,'Per Invoice'!$A$2:$A$401,0))),""))</f>
        <v/>
      </c>
      <c r="G1076" s="7">
        <f>IF($B1076="","",F1076*L1076/100)</f>
        <v/>
      </c>
      <c r="K1076" s="7" t="n"/>
      <c r="L1076" s="7" t="n"/>
      <c r="M1076" s="7">
        <f>IF($B1076="","",L1076*T1076/100)</f>
        <v/>
      </c>
      <c r="N1076" s="7">
        <f>IF($B1076="","",L1076-M1076)</f>
        <v/>
      </c>
      <c r="O1076" s="7">
        <f>IF($B1076="","",N1076-G1076)</f>
        <v/>
      </c>
      <c r="R1076" s="14" t="n"/>
      <c r="T1076">
        <f>IF($B1076="","",IF($W1076=1,Settings!$C$6,Settings!$C$7)*100)</f>
        <v/>
      </c>
      <c r="U1076">
        <f>IF($B1076="","",IF(COUNTIF($B$2:$B1076,$B1076)=1,1,0))</f>
        <v/>
      </c>
      <c r="V1076">
        <f>IF($U1076=1,SUMPRODUCT(--($X$2:$X$1501&lt;$X1076))+1,"")</f>
        <v/>
      </c>
      <c r="W1076">
        <f>IF($B1076="","",IF(OR($S1076=TRUE(),$S1076="TRUE"),1,0))</f>
        <v/>
      </c>
      <c r="X1076">
        <f>IF($U1076=1,IFERROR(IF(VALUE($B1076)&lt;100000000,VALUE($B1076),1000000000),IFERROR(IF(VALUE(MID($B1076,2,20))&lt;100000000,VALUE(MID($B1076,2,20)),1000000000),1000000000))+ROW()/100000,"")</f>
        <v/>
      </c>
    </row>
    <row r="1077">
      <c r="A1077">
        <f>IF($B1077="","",IFERROR(IF(INDEX('Per Invoice'!$C$2:$C$401,MATCH($B1077,'Per Invoice'!$A$2:$A$401,0))=0,"",INDEX('Per Invoice'!$C$2:$C$401,MATCH($B1077,'Per Invoice'!$A$2:$A$401,0))),""))</f>
        <v/>
      </c>
      <c r="G1077" s="7">
        <f>IF($B1077="","",F1077*L1077/100)</f>
        <v/>
      </c>
      <c r="K1077" s="7" t="n"/>
      <c r="L1077" s="7" t="n"/>
      <c r="M1077" s="7">
        <f>IF($B1077="","",L1077*T1077/100)</f>
        <v/>
      </c>
      <c r="N1077" s="7">
        <f>IF($B1077="","",L1077-M1077)</f>
        <v/>
      </c>
      <c r="O1077" s="7">
        <f>IF($B1077="","",N1077-G1077)</f>
        <v/>
      </c>
      <c r="R1077" s="14" t="n"/>
      <c r="T1077">
        <f>IF($B1077="","",IF($W1077=1,Settings!$C$6,Settings!$C$7)*100)</f>
        <v/>
      </c>
      <c r="U1077">
        <f>IF($B1077="","",IF(COUNTIF($B$2:$B1077,$B1077)=1,1,0))</f>
        <v/>
      </c>
      <c r="V1077">
        <f>IF($U1077=1,SUMPRODUCT(--($X$2:$X$1501&lt;$X1077))+1,"")</f>
        <v/>
      </c>
      <c r="W1077">
        <f>IF($B1077="","",IF(OR($S1077=TRUE(),$S1077="TRUE"),1,0))</f>
        <v/>
      </c>
      <c r="X1077">
        <f>IF($U1077=1,IFERROR(IF(VALUE($B1077)&lt;100000000,VALUE($B1077),1000000000),IFERROR(IF(VALUE(MID($B1077,2,20))&lt;100000000,VALUE(MID($B1077,2,20)),1000000000),1000000000))+ROW()/100000,"")</f>
        <v/>
      </c>
    </row>
    <row r="1078">
      <c r="A1078">
        <f>IF($B1078="","",IFERROR(IF(INDEX('Per Invoice'!$C$2:$C$401,MATCH($B1078,'Per Invoice'!$A$2:$A$401,0))=0,"",INDEX('Per Invoice'!$C$2:$C$401,MATCH($B1078,'Per Invoice'!$A$2:$A$401,0))),""))</f>
        <v/>
      </c>
      <c r="G1078" s="7">
        <f>IF($B1078="","",F1078*L1078/100)</f>
        <v/>
      </c>
      <c r="K1078" s="7" t="n"/>
      <c r="L1078" s="7" t="n"/>
      <c r="M1078" s="7">
        <f>IF($B1078="","",L1078*T1078/100)</f>
        <v/>
      </c>
      <c r="N1078" s="7">
        <f>IF($B1078="","",L1078-M1078)</f>
        <v/>
      </c>
      <c r="O1078" s="7">
        <f>IF($B1078="","",N1078-G1078)</f>
        <v/>
      </c>
      <c r="R1078" s="14" t="n"/>
      <c r="T1078">
        <f>IF($B1078="","",IF($W1078=1,Settings!$C$6,Settings!$C$7)*100)</f>
        <v/>
      </c>
      <c r="U1078">
        <f>IF($B1078="","",IF(COUNTIF($B$2:$B1078,$B1078)=1,1,0))</f>
        <v/>
      </c>
      <c r="V1078">
        <f>IF($U1078=1,SUMPRODUCT(--($X$2:$X$1501&lt;$X1078))+1,"")</f>
        <v/>
      </c>
      <c r="W1078">
        <f>IF($B1078="","",IF(OR($S1078=TRUE(),$S1078="TRUE"),1,0))</f>
        <v/>
      </c>
      <c r="X1078">
        <f>IF($U1078=1,IFERROR(IF(VALUE($B1078)&lt;100000000,VALUE($B1078),1000000000),IFERROR(IF(VALUE(MID($B1078,2,20))&lt;100000000,VALUE(MID($B1078,2,20)),1000000000),1000000000))+ROW()/100000,"")</f>
        <v/>
      </c>
    </row>
    <row r="1079">
      <c r="A1079">
        <f>IF($B1079="","",IFERROR(IF(INDEX('Per Invoice'!$C$2:$C$401,MATCH($B1079,'Per Invoice'!$A$2:$A$401,0))=0,"",INDEX('Per Invoice'!$C$2:$C$401,MATCH($B1079,'Per Invoice'!$A$2:$A$401,0))),""))</f>
        <v/>
      </c>
      <c r="G1079" s="7">
        <f>IF($B1079="","",F1079*L1079/100)</f>
        <v/>
      </c>
      <c r="K1079" s="7" t="n"/>
      <c r="L1079" s="7" t="n"/>
      <c r="M1079" s="7">
        <f>IF($B1079="","",L1079*T1079/100)</f>
        <v/>
      </c>
      <c r="N1079" s="7">
        <f>IF($B1079="","",L1079-M1079)</f>
        <v/>
      </c>
      <c r="O1079" s="7">
        <f>IF($B1079="","",N1079-G1079)</f>
        <v/>
      </c>
      <c r="R1079" s="14" t="n"/>
      <c r="T1079">
        <f>IF($B1079="","",IF($W1079=1,Settings!$C$6,Settings!$C$7)*100)</f>
        <v/>
      </c>
      <c r="U1079">
        <f>IF($B1079="","",IF(COUNTIF($B$2:$B1079,$B1079)=1,1,0))</f>
        <v/>
      </c>
      <c r="V1079">
        <f>IF($U1079=1,SUMPRODUCT(--($X$2:$X$1501&lt;$X1079))+1,"")</f>
        <v/>
      </c>
      <c r="W1079">
        <f>IF($B1079="","",IF(OR($S1079=TRUE(),$S1079="TRUE"),1,0))</f>
        <v/>
      </c>
      <c r="X1079">
        <f>IF($U1079=1,IFERROR(IF(VALUE($B1079)&lt;100000000,VALUE($B1079),1000000000),IFERROR(IF(VALUE(MID($B1079,2,20))&lt;100000000,VALUE(MID($B1079,2,20)),1000000000),1000000000))+ROW()/100000,"")</f>
        <v/>
      </c>
    </row>
    <row r="1080">
      <c r="A1080">
        <f>IF($B1080="","",IFERROR(IF(INDEX('Per Invoice'!$C$2:$C$401,MATCH($B1080,'Per Invoice'!$A$2:$A$401,0))=0,"",INDEX('Per Invoice'!$C$2:$C$401,MATCH($B1080,'Per Invoice'!$A$2:$A$401,0))),""))</f>
        <v/>
      </c>
      <c r="G1080" s="7">
        <f>IF($B1080="","",F1080*L1080/100)</f>
        <v/>
      </c>
      <c r="K1080" s="7" t="n"/>
      <c r="L1080" s="7" t="n"/>
      <c r="M1080" s="7">
        <f>IF($B1080="","",L1080*T1080/100)</f>
        <v/>
      </c>
      <c r="N1080" s="7">
        <f>IF($B1080="","",L1080-M1080)</f>
        <v/>
      </c>
      <c r="O1080" s="7">
        <f>IF($B1080="","",N1080-G1080)</f>
        <v/>
      </c>
      <c r="R1080" s="14" t="n"/>
      <c r="T1080">
        <f>IF($B1080="","",IF($W1080=1,Settings!$C$6,Settings!$C$7)*100)</f>
        <v/>
      </c>
      <c r="U1080">
        <f>IF($B1080="","",IF(COUNTIF($B$2:$B1080,$B1080)=1,1,0))</f>
        <v/>
      </c>
      <c r="V1080">
        <f>IF($U1080=1,SUMPRODUCT(--($X$2:$X$1501&lt;$X1080))+1,"")</f>
        <v/>
      </c>
      <c r="W1080">
        <f>IF($B1080="","",IF(OR($S1080=TRUE(),$S1080="TRUE"),1,0))</f>
        <v/>
      </c>
      <c r="X1080">
        <f>IF($U1080=1,IFERROR(IF(VALUE($B1080)&lt;100000000,VALUE($B1080),1000000000),IFERROR(IF(VALUE(MID($B1080,2,20))&lt;100000000,VALUE(MID($B1080,2,20)),1000000000),1000000000))+ROW()/100000,"")</f>
        <v/>
      </c>
    </row>
    <row r="1081">
      <c r="A1081">
        <f>IF($B1081="","",IFERROR(IF(INDEX('Per Invoice'!$C$2:$C$401,MATCH($B1081,'Per Invoice'!$A$2:$A$401,0))=0,"",INDEX('Per Invoice'!$C$2:$C$401,MATCH($B1081,'Per Invoice'!$A$2:$A$401,0))),""))</f>
        <v/>
      </c>
      <c r="G1081" s="7">
        <f>IF($B1081="","",F1081*L1081/100)</f>
        <v/>
      </c>
      <c r="K1081" s="7" t="n"/>
      <c r="L1081" s="7" t="n"/>
      <c r="M1081" s="7">
        <f>IF($B1081="","",L1081*T1081/100)</f>
        <v/>
      </c>
      <c r="N1081" s="7">
        <f>IF($B1081="","",L1081-M1081)</f>
        <v/>
      </c>
      <c r="O1081" s="7">
        <f>IF($B1081="","",N1081-G1081)</f>
        <v/>
      </c>
      <c r="R1081" s="14" t="n"/>
      <c r="T1081">
        <f>IF($B1081="","",IF($W1081=1,Settings!$C$6,Settings!$C$7)*100)</f>
        <v/>
      </c>
      <c r="U1081">
        <f>IF($B1081="","",IF(COUNTIF($B$2:$B1081,$B1081)=1,1,0))</f>
        <v/>
      </c>
      <c r="V1081">
        <f>IF($U1081=1,SUMPRODUCT(--($X$2:$X$1501&lt;$X1081))+1,"")</f>
        <v/>
      </c>
      <c r="W1081">
        <f>IF($B1081="","",IF(OR($S1081=TRUE(),$S1081="TRUE"),1,0))</f>
        <v/>
      </c>
      <c r="X1081">
        <f>IF($U1081=1,IFERROR(IF(VALUE($B1081)&lt;100000000,VALUE($B1081),1000000000),IFERROR(IF(VALUE(MID($B1081,2,20))&lt;100000000,VALUE(MID($B1081,2,20)),1000000000),1000000000))+ROW()/100000,"")</f>
        <v/>
      </c>
    </row>
    <row r="1082">
      <c r="A1082">
        <f>IF($B1082="","",IFERROR(IF(INDEX('Per Invoice'!$C$2:$C$401,MATCH($B1082,'Per Invoice'!$A$2:$A$401,0))=0,"",INDEX('Per Invoice'!$C$2:$C$401,MATCH($B1082,'Per Invoice'!$A$2:$A$401,0))),""))</f>
        <v/>
      </c>
      <c r="G1082" s="7">
        <f>IF($B1082="","",F1082*L1082/100)</f>
        <v/>
      </c>
      <c r="K1082" s="7" t="n"/>
      <c r="L1082" s="7" t="n"/>
      <c r="M1082" s="7">
        <f>IF($B1082="","",L1082*T1082/100)</f>
        <v/>
      </c>
      <c r="N1082" s="7">
        <f>IF($B1082="","",L1082-M1082)</f>
        <v/>
      </c>
      <c r="O1082" s="7">
        <f>IF($B1082="","",N1082-G1082)</f>
        <v/>
      </c>
      <c r="R1082" s="14" t="n"/>
      <c r="T1082">
        <f>IF($B1082="","",IF($W1082=1,Settings!$C$6,Settings!$C$7)*100)</f>
        <v/>
      </c>
      <c r="U1082">
        <f>IF($B1082="","",IF(COUNTIF($B$2:$B1082,$B1082)=1,1,0))</f>
        <v/>
      </c>
      <c r="V1082">
        <f>IF($U1082=1,SUMPRODUCT(--($X$2:$X$1501&lt;$X1082))+1,"")</f>
        <v/>
      </c>
      <c r="W1082">
        <f>IF($B1082="","",IF(OR($S1082=TRUE(),$S1082="TRUE"),1,0))</f>
        <v/>
      </c>
      <c r="X1082">
        <f>IF($U1082=1,IFERROR(IF(VALUE($B1082)&lt;100000000,VALUE($B1082),1000000000),IFERROR(IF(VALUE(MID($B1082,2,20))&lt;100000000,VALUE(MID($B1082,2,20)),1000000000),1000000000))+ROW()/100000,"")</f>
        <v/>
      </c>
    </row>
    <row r="1083">
      <c r="A1083">
        <f>IF($B1083="","",IFERROR(IF(INDEX('Per Invoice'!$C$2:$C$401,MATCH($B1083,'Per Invoice'!$A$2:$A$401,0))=0,"",INDEX('Per Invoice'!$C$2:$C$401,MATCH($B1083,'Per Invoice'!$A$2:$A$401,0))),""))</f>
        <v/>
      </c>
      <c r="G1083" s="7">
        <f>IF($B1083="","",F1083*L1083/100)</f>
        <v/>
      </c>
      <c r="K1083" s="7" t="n"/>
      <c r="L1083" s="7" t="n"/>
      <c r="M1083" s="7">
        <f>IF($B1083="","",L1083*T1083/100)</f>
        <v/>
      </c>
      <c r="N1083" s="7">
        <f>IF($B1083="","",L1083-M1083)</f>
        <v/>
      </c>
      <c r="O1083" s="7">
        <f>IF($B1083="","",N1083-G1083)</f>
        <v/>
      </c>
      <c r="R1083" s="14" t="n"/>
      <c r="T1083">
        <f>IF($B1083="","",IF($W1083=1,Settings!$C$6,Settings!$C$7)*100)</f>
        <v/>
      </c>
      <c r="U1083">
        <f>IF($B1083="","",IF(COUNTIF($B$2:$B1083,$B1083)=1,1,0))</f>
        <v/>
      </c>
      <c r="V1083">
        <f>IF($U1083=1,SUMPRODUCT(--($X$2:$X$1501&lt;$X1083))+1,"")</f>
        <v/>
      </c>
      <c r="W1083">
        <f>IF($B1083="","",IF(OR($S1083=TRUE(),$S1083="TRUE"),1,0))</f>
        <v/>
      </c>
      <c r="X1083">
        <f>IF($U1083=1,IFERROR(IF(VALUE($B1083)&lt;100000000,VALUE($B1083),1000000000),IFERROR(IF(VALUE(MID($B1083,2,20))&lt;100000000,VALUE(MID($B1083,2,20)),1000000000),1000000000))+ROW()/100000,"")</f>
        <v/>
      </c>
    </row>
    <row r="1084">
      <c r="A1084">
        <f>IF($B1084="","",IFERROR(IF(INDEX('Per Invoice'!$C$2:$C$401,MATCH($B1084,'Per Invoice'!$A$2:$A$401,0))=0,"",INDEX('Per Invoice'!$C$2:$C$401,MATCH($B1084,'Per Invoice'!$A$2:$A$401,0))),""))</f>
        <v/>
      </c>
      <c r="G1084" s="7">
        <f>IF($B1084="","",F1084*L1084/100)</f>
        <v/>
      </c>
      <c r="K1084" s="7" t="n"/>
      <c r="L1084" s="7" t="n"/>
      <c r="M1084" s="7">
        <f>IF($B1084="","",L1084*T1084/100)</f>
        <v/>
      </c>
      <c r="N1084" s="7">
        <f>IF($B1084="","",L1084-M1084)</f>
        <v/>
      </c>
      <c r="O1084" s="7">
        <f>IF($B1084="","",N1084-G1084)</f>
        <v/>
      </c>
      <c r="R1084" s="14" t="n"/>
      <c r="T1084">
        <f>IF($B1084="","",IF($W1084=1,Settings!$C$6,Settings!$C$7)*100)</f>
        <v/>
      </c>
      <c r="U1084">
        <f>IF($B1084="","",IF(COUNTIF($B$2:$B1084,$B1084)=1,1,0))</f>
        <v/>
      </c>
      <c r="V1084">
        <f>IF($U1084=1,SUMPRODUCT(--($X$2:$X$1501&lt;$X1084))+1,"")</f>
        <v/>
      </c>
      <c r="W1084">
        <f>IF($B1084="","",IF(OR($S1084=TRUE(),$S1084="TRUE"),1,0))</f>
        <v/>
      </c>
      <c r="X1084">
        <f>IF($U1084=1,IFERROR(IF(VALUE($B1084)&lt;100000000,VALUE($B1084),1000000000),IFERROR(IF(VALUE(MID($B1084,2,20))&lt;100000000,VALUE(MID($B1084,2,20)),1000000000),1000000000))+ROW()/100000,"")</f>
        <v/>
      </c>
    </row>
    <row r="1085">
      <c r="A1085">
        <f>IF($B1085="","",IFERROR(IF(INDEX('Per Invoice'!$C$2:$C$401,MATCH($B1085,'Per Invoice'!$A$2:$A$401,0))=0,"",INDEX('Per Invoice'!$C$2:$C$401,MATCH($B1085,'Per Invoice'!$A$2:$A$401,0))),""))</f>
        <v/>
      </c>
      <c r="G1085" s="7">
        <f>IF($B1085="","",F1085*L1085/100)</f>
        <v/>
      </c>
      <c r="K1085" s="7" t="n"/>
      <c r="L1085" s="7" t="n"/>
      <c r="M1085" s="7">
        <f>IF($B1085="","",L1085*T1085/100)</f>
        <v/>
      </c>
      <c r="N1085" s="7">
        <f>IF($B1085="","",L1085-M1085)</f>
        <v/>
      </c>
      <c r="O1085" s="7">
        <f>IF($B1085="","",N1085-G1085)</f>
        <v/>
      </c>
      <c r="R1085" s="14" t="n"/>
      <c r="T1085">
        <f>IF($B1085="","",IF($W1085=1,Settings!$C$6,Settings!$C$7)*100)</f>
        <v/>
      </c>
      <c r="U1085">
        <f>IF($B1085="","",IF(COUNTIF($B$2:$B1085,$B1085)=1,1,0))</f>
        <v/>
      </c>
      <c r="V1085">
        <f>IF($U1085=1,SUMPRODUCT(--($X$2:$X$1501&lt;$X1085))+1,"")</f>
        <v/>
      </c>
      <c r="W1085">
        <f>IF($B1085="","",IF(OR($S1085=TRUE(),$S1085="TRUE"),1,0))</f>
        <v/>
      </c>
      <c r="X1085">
        <f>IF($U1085=1,IFERROR(IF(VALUE($B1085)&lt;100000000,VALUE($B1085),1000000000),IFERROR(IF(VALUE(MID($B1085,2,20))&lt;100000000,VALUE(MID($B1085,2,20)),1000000000),1000000000))+ROW()/100000,"")</f>
        <v/>
      </c>
    </row>
    <row r="1086">
      <c r="A1086">
        <f>IF($B1086="","",IFERROR(IF(INDEX('Per Invoice'!$C$2:$C$401,MATCH($B1086,'Per Invoice'!$A$2:$A$401,0))=0,"",INDEX('Per Invoice'!$C$2:$C$401,MATCH($B1086,'Per Invoice'!$A$2:$A$401,0))),""))</f>
        <v/>
      </c>
      <c r="G1086" s="7">
        <f>IF($B1086="","",F1086*L1086/100)</f>
        <v/>
      </c>
      <c r="K1086" s="7" t="n"/>
      <c r="L1086" s="7" t="n"/>
      <c r="M1086" s="7">
        <f>IF($B1086="","",L1086*T1086/100)</f>
        <v/>
      </c>
      <c r="N1086" s="7">
        <f>IF($B1086="","",L1086-M1086)</f>
        <v/>
      </c>
      <c r="O1086" s="7">
        <f>IF($B1086="","",N1086-G1086)</f>
        <v/>
      </c>
      <c r="R1086" s="14" t="n"/>
      <c r="T1086">
        <f>IF($B1086="","",IF($W1086=1,Settings!$C$6,Settings!$C$7)*100)</f>
        <v/>
      </c>
      <c r="U1086">
        <f>IF($B1086="","",IF(COUNTIF($B$2:$B1086,$B1086)=1,1,0))</f>
        <v/>
      </c>
      <c r="V1086">
        <f>IF($U1086=1,SUMPRODUCT(--($X$2:$X$1501&lt;$X1086))+1,"")</f>
        <v/>
      </c>
      <c r="W1086">
        <f>IF($B1086="","",IF(OR($S1086=TRUE(),$S1086="TRUE"),1,0))</f>
        <v/>
      </c>
      <c r="X1086">
        <f>IF($U1086=1,IFERROR(IF(VALUE($B1086)&lt;100000000,VALUE($B1086),1000000000),IFERROR(IF(VALUE(MID($B1086,2,20))&lt;100000000,VALUE(MID($B1086,2,20)),1000000000),1000000000))+ROW()/100000,"")</f>
        <v/>
      </c>
    </row>
    <row r="1087">
      <c r="A1087">
        <f>IF($B1087="","",IFERROR(IF(INDEX('Per Invoice'!$C$2:$C$401,MATCH($B1087,'Per Invoice'!$A$2:$A$401,0))=0,"",INDEX('Per Invoice'!$C$2:$C$401,MATCH($B1087,'Per Invoice'!$A$2:$A$401,0))),""))</f>
        <v/>
      </c>
      <c r="G1087" s="7">
        <f>IF($B1087="","",F1087*L1087/100)</f>
        <v/>
      </c>
      <c r="K1087" s="7" t="n"/>
      <c r="L1087" s="7" t="n"/>
      <c r="M1087" s="7">
        <f>IF($B1087="","",L1087*T1087/100)</f>
        <v/>
      </c>
      <c r="N1087" s="7">
        <f>IF($B1087="","",L1087-M1087)</f>
        <v/>
      </c>
      <c r="O1087" s="7">
        <f>IF($B1087="","",N1087-G1087)</f>
        <v/>
      </c>
      <c r="R1087" s="14" t="n"/>
      <c r="T1087">
        <f>IF($B1087="","",IF($W1087=1,Settings!$C$6,Settings!$C$7)*100)</f>
        <v/>
      </c>
      <c r="U1087">
        <f>IF($B1087="","",IF(COUNTIF($B$2:$B1087,$B1087)=1,1,0))</f>
        <v/>
      </c>
      <c r="V1087">
        <f>IF($U1087=1,SUMPRODUCT(--($X$2:$X$1501&lt;$X1087))+1,"")</f>
        <v/>
      </c>
      <c r="W1087">
        <f>IF($B1087="","",IF(OR($S1087=TRUE(),$S1087="TRUE"),1,0))</f>
        <v/>
      </c>
      <c r="X1087">
        <f>IF($U1087=1,IFERROR(IF(VALUE($B1087)&lt;100000000,VALUE($B1087),1000000000),IFERROR(IF(VALUE(MID($B1087,2,20))&lt;100000000,VALUE(MID($B1087,2,20)),1000000000),1000000000))+ROW()/100000,"")</f>
        <v/>
      </c>
    </row>
    <row r="1088">
      <c r="A1088">
        <f>IF($B1088="","",IFERROR(IF(INDEX('Per Invoice'!$C$2:$C$401,MATCH($B1088,'Per Invoice'!$A$2:$A$401,0))=0,"",INDEX('Per Invoice'!$C$2:$C$401,MATCH($B1088,'Per Invoice'!$A$2:$A$401,0))),""))</f>
        <v/>
      </c>
      <c r="G1088" s="7">
        <f>IF($B1088="","",F1088*L1088/100)</f>
        <v/>
      </c>
      <c r="K1088" s="7" t="n"/>
      <c r="L1088" s="7" t="n"/>
      <c r="M1088" s="7">
        <f>IF($B1088="","",L1088*T1088/100)</f>
        <v/>
      </c>
      <c r="N1088" s="7">
        <f>IF($B1088="","",L1088-M1088)</f>
        <v/>
      </c>
      <c r="O1088" s="7">
        <f>IF($B1088="","",N1088-G1088)</f>
        <v/>
      </c>
      <c r="R1088" s="14" t="n"/>
      <c r="T1088">
        <f>IF($B1088="","",IF($W1088=1,Settings!$C$6,Settings!$C$7)*100)</f>
        <v/>
      </c>
      <c r="U1088">
        <f>IF($B1088="","",IF(COUNTIF($B$2:$B1088,$B1088)=1,1,0))</f>
        <v/>
      </c>
      <c r="V1088">
        <f>IF($U1088=1,SUMPRODUCT(--($X$2:$X$1501&lt;$X1088))+1,"")</f>
        <v/>
      </c>
      <c r="W1088">
        <f>IF($B1088="","",IF(OR($S1088=TRUE(),$S1088="TRUE"),1,0))</f>
        <v/>
      </c>
      <c r="X1088">
        <f>IF($U1088=1,IFERROR(IF(VALUE($B1088)&lt;100000000,VALUE($B1088),1000000000),IFERROR(IF(VALUE(MID($B1088,2,20))&lt;100000000,VALUE(MID($B1088,2,20)),1000000000),1000000000))+ROW()/100000,"")</f>
        <v/>
      </c>
    </row>
    <row r="1089">
      <c r="A1089">
        <f>IF($B1089="","",IFERROR(IF(INDEX('Per Invoice'!$C$2:$C$401,MATCH($B1089,'Per Invoice'!$A$2:$A$401,0))=0,"",INDEX('Per Invoice'!$C$2:$C$401,MATCH($B1089,'Per Invoice'!$A$2:$A$401,0))),""))</f>
        <v/>
      </c>
      <c r="G1089" s="7">
        <f>IF($B1089="","",F1089*L1089/100)</f>
        <v/>
      </c>
      <c r="K1089" s="7" t="n"/>
      <c r="L1089" s="7" t="n"/>
      <c r="M1089" s="7">
        <f>IF($B1089="","",L1089*T1089/100)</f>
        <v/>
      </c>
      <c r="N1089" s="7">
        <f>IF($B1089="","",L1089-M1089)</f>
        <v/>
      </c>
      <c r="O1089" s="7">
        <f>IF($B1089="","",N1089-G1089)</f>
        <v/>
      </c>
      <c r="R1089" s="14" t="n"/>
      <c r="T1089">
        <f>IF($B1089="","",IF($W1089=1,Settings!$C$6,Settings!$C$7)*100)</f>
        <v/>
      </c>
      <c r="U1089">
        <f>IF($B1089="","",IF(COUNTIF($B$2:$B1089,$B1089)=1,1,0))</f>
        <v/>
      </c>
      <c r="V1089">
        <f>IF($U1089=1,SUMPRODUCT(--($X$2:$X$1501&lt;$X1089))+1,"")</f>
        <v/>
      </c>
      <c r="W1089">
        <f>IF($B1089="","",IF(OR($S1089=TRUE(),$S1089="TRUE"),1,0))</f>
        <v/>
      </c>
      <c r="X1089">
        <f>IF($U1089=1,IFERROR(IF(VALUE($B1089)&lt;100000000,VALUE($B1089),1000000000),IFERROR(IF(VALUE(MID($B1089,2,20))&lt;100000000,VALUE(MID($B1089,2,20)),1000000000),1000000000))+ROW()/100000,"")</f>
        <v/>
      </c>
    </row>
    <row r="1090">
      <c r="A1090">
        <f>IF($B1090="","",IFERROR(IF(INDEX('Per Invoice'!$C$2:$C$401,MATCH($B1090,'Per Invoice'!$A$2:$A$401,0))=0,"",INDEX('Per Invoice'!$C$2:$C$401,MATCH($B1090,'Per Invoice'!$A$2:$A$401,0))),""))</f>
        <v/>
      </c>
      <c r="G1090" s="7">
        <f>IF($B1090="","",F1090*L1090/100)</f>
        <v/>
      </c>
      <c r="K1090" s="7" t="n"/>
      <c r="L1090" s="7" t="n"/>
      <c r="M1090" s="7">
        <f>IF($B1090="","",L1090*T1090/100)</f>
        <v/>
      </c>
      <c r="N1090" s="7">
        <f>IF($B1090="","",L1090-M1090)</f>
        <v/>
      </c>
      <c r="O1090" s="7">
        <f>IF($B1090="","",N1090-G1090)</f>
        <v/>
      </c>
      <c r="R1090" s="14" t="n"/>
      <c r="T1090">
        <f>IF($B1090="","",IF($W1090=1,Settings!$C$6,Settings!$C$7)*100)</f>
        <v/>
      </c>
      <c r="U1090">
        <f>IF($B1090="","",IF(COUNTIF($B$2:$B1090,$B1090)=1,1,0))</f>
        <v/>
      </c>
      <c r="V1090">
        <f>IF($U1090=1,SUMPRODUCT(--($X$2:$X$1501&lt;$X1090))+1,"")</f>
        <v/>
      </c>
      <c r="W1090">
        <f>IF($B1090="","",IF(OR($S1090=TRUE(),$S1090="TRUE"),1,0))</f>
        <v/>
      </c>
      <c r="X1090">
        <f>IF($U1090=1,IFERROR(IF(VALUE($B1090)&lt;100000000,VALUE($B1090),1000000000),IFERROR(IF(VALUE(MID($B1090,2,20))&lt;100000000,VALUE(MID($B1090,2,20)),1000000000),1000000000))+ROW()/100000,"")</f>
        <v/>
      </c>
    </row>
    <row r="1091">
      <c r="A1091">
        <f>IF($B1091="","",IFERROR(IF(INDEX('Per Invoice'!$C$2:$C$401,MATCH($B1091,'Per Invoice'!$A$2:$A$401,0))=0,"",INDEX('Per Invoice'!$C$2:$C$401,MATCH($B1091,'Per Invoice'!$A$2:$A$401,0))),""))</f>
        <v/>
      </c>
      <c r="G1091" s="7">
        <f>IF($B1091="","",F1091*L1091/100)</f>
        <v/>
      </c>
      <c r="K1091" s="7" t="n"/>
      <c r="L1091" s="7" t="n"/>
      <c r="M1091" s="7">
        <f>IF($B1091="","",L1091*T1091/100)</f>
        <v/>
      </c>
      <c r="N1091" s="7">
        <f>IF($B1091="","",L1091-M1091)</f>
        <v/>
      </c>
      <c r="O1091" s="7">
        <f>IF($B1091="","",N1091-G1091)</f>
        <v/>
      </c>
      <c r="R1091" s="14" t="n"/>
      <c r="T1091">
        <f>IF($B1091="","",IF($W1091=1,Settings!$C$6,Settings!$C$7)*100)</f>
        <v/>
      </c>
      <c r="U1091">
        <f>IF($B1091="","",IF(COUNTIF($B$2:$B1091,$B1091)=1,1,0))</f>
        <v/>
      </c>
      <c r="V1091">
        <f>IF($U1091=1,SUMPRODUCT(--($X$2:$X$1501&lt;$X1091))+1,"")</f>
        <v/>
      </c>
      <c r="W1091">
        <f>IF($B1091="","",IF(OR($S1091=TRUE(),$S1091="TRUE"),1,0))</f>
        <v/>
      </c>
      <c r="X1091">
        <f>IF($U1091=1,IFERROR(IF(VALUE($B1091)&lt;100000000,VALUE($B1091),1000000000),IFERROR(IF(VALUE(MID($B1091,2,20))&lt;100000000,VALUE(MID($B1091,2,20)),1000000000),1000000000))+ROW()/100000,"")</f>
        <v/>
      </c>
    </row>
    <row r="1092">
      <c r="A1092">
        <f>IF($B1092="","",IFERROR(IF(INDEX('Per Invoice'!$C$2:$C$401,MATCH($B1092,'Per Invoice'!$A$2:$A$401,0))=0,"",INDEX('Per Invoice'!$C$2:$C$401,MATCH($B1092,'Per Invoice'!$A$2:$A$401,0))),""))</f>
        <v/>
      </c>
      <c r="G1092" s="7">
        <f>IF($B1092="","",F1092*L1092/100)</f>
        <v/>
      </c>
      <c r="K1092" s="7" t="n"/>
      <c r="L1092" s="7" t="n"/>
      <c r="M1092" s="7">
        <f>IF($B1092="","",L1092*T1092/100)</f>
        <v/>
      </c>
      <c r="N1092" s="7">
        <f>IF($B1092="","",L1092-M1092)</f>
        <v/>
      </c>
      <c r="O1092" s="7">
        <f>IF($B1092="","",N1092-G1092)</f>
        <v/>
      </c>
      <c r="R1092" s="14" t="n"/>
      <c r="T1092">
        <f>IF($B1092="","",IF($W1092=1,Settings!$C$6,Settings!$C$7)*100)</f>
        <v/>
      </c>
      <c r="U1092">
        <f>IF($B1092="","",IF(COUNTIF($B$2:$B1092,$B1092)=1,1,0))</f>
        <v/>
      </c>
      <c r="V1092">
        <f>IF($U1092=1,SUMPRODUCT(--($X$2:$X$1501&lt;$X1092))+1,"")</f>
        <v/>
      </c>
      <c r="W1092">
        <f>IF($B1092="","",IF(OR($S1092=TRUE(),$S1092="TRUE"),1,0))</f>
        <v/>
      </c>
      <c r="X1092">
        <f>IF($U1092=1,IFERROR(IF(VALUE($B1092)&lt;100000000,VALUE($B1092),1000000000),IFERROR(IF(VALUE(MID($B1092,2,20))&lt;100000000,VALUE(MID($B1092,2,20)),1000000000),1000000000))+ROW()/100000,"")</f>
        <v/>
      </c>
    </row>
    <row r="1093">
      <c r="A1093">
        <f>IF($B1093="","",IFERROR(IF(INDEX('Per Invoice'!$C$2:$C$401,MATCH($B1093,'Per Invoice'!$A$2:$A$401,0))=0,"",INDEX('Per Invoice'!$C$2:$C$401,MATCH($B1093,'Per Invoice'!$A$2:$A$401,0))),""))</f>
        <v/>
      </c>
      <c r="G1093" s="7">
        <f>IF($B1093="","",F1093*L1093/100)</f>
        <v/>
      </c>
      <c r="K1093" s="7" t="n"/>
      <c r="L1093" s="7" t="n"/>
      <c r="M1093" s="7">
        <f>IF($B1093="","",L1093*T1093/100)</f>
        <v/>
      </c>
      <c r="N1093" s="7">
        <f>IF($B1093="","",L1093-M1093)</f>
        <v/>
      </c>
      <c r="O1093" s="7">
        <f>IF($B1093="","",N1093-G1093)</f>
        <v/>
      </c>
      <c r="R1093" s="14" t="n"/>
      <c r="T1093">
        <f>IF($B1093="","",IF($W1093=1,Settings!$C$6,Settings!$C$7)*100)</f>
        <v/>
      </c>
      <c r="U1093">
        <f>IF($B1093="","",IF(COUNTIF($B$2:$B1093,$B1093)=1,1,0))</f>
        <v/>
      </c>
      <c r="V1093">
        <f>IF($U1093=1,SUMPRODUCT(--($X$2:$X$1501&lt;$X1093))+1,"")</f>
        <v/>
      </c>
      <c r="W1093">
        <f>IF($B1093="","",IF(OR($S1093=TRUE(),$S1093="TRUE"),1,0))</f>
        <v/>
      </c>
      <c r="X1093">
        <f>IF($U1093=1,IFERROR(IF(VALUE($B1093)&lt;100000000,VALUE($B1093),1000000000),IFERROR(IF(VALUE(MID($B1093,2,20))&lt;100000000,VALUE(MID($B1093,2,20)),1000000000),1000000000))+ROW()/100000,"")</f>
        <v/>
      </c>
    </row>
    <row r="1094">
      <c r="A1094">
        <f>IF($B1094="","",IFERROR(IF(INDEX('Per Invoice'!$C$2:$C$401,MATCH($B1094,'Per Invoice'!$A$2:$A$401,0))=0,"",INDEX('Per Invoice'!$C$2:$C$401,MATCH($B1094,'Per Invoice'!$A$2:$A$401,0))),""))</f>
        <v/>
      </c>
      <c r="G1094" s="7">
        <f>IF($B1094="","",F1094*L1094/100)</f>
        <v/>
      </c>
      <c r="K1094" s="7" t="n"/>
      <c r="L1094" s="7" t="n"/>
      <c r="M1094" s="7">
        <f>IF($B1094="","",L1094*T1094/100)</f>
        <v/>
      </c>
      <c r="N1094" s="7">
        <f>IF($B1094="","",L1094-M1094)</f>
        <v/>
      </c>
      <c r="O1094" s="7">
        <f>IF($B1094="","",N1094-G1094)</f>
        <v/>
      </c>
      <c r="R1094" s="14" t="n"/>
      <c r="T1094">
        <f>IF($B1094="","",IF($W1094=1,Settings!$C$6,Settings!$C$7)*100)</f>
        <v/>
      </c>
      <c r="U1094">
        <f>IF($B1094="","",IF(COUNTIF($B$2:$B1094,$B1094)=1,1,0))</f>
        <v/>
      </c>
      <c r="V1094">
        <f>IF($U1094=1,SUMPRODUCT(--($X$2:$X$1501&lt;$X1094))+1,"")</f>
        <v/>
      </c>
      <c r="W1094">
        <f>IF($B1094="","",IF(OR($S1094=TRUE(),$S1094="TRUE"),1,0))</f>
        <v/>
      </c>
      <c r="X1094">
        <f>IF($U1094=1,IFERROR(IF(VALUE($B1094)&lt;100000000,VALUE($B1094),1000000000),IFERROR(IF(VALUE(MID($B1094,2,20))&lt;100000000,VALUE(MID($B1094,2,20)),1000000000),1000000000))+ROW()/100000,"")</f>
        <v/>
      </c>
    </row>
    <row r="1095">
      <c r="A1095">
        <f>IF($B1095="","",IFERROR(IF(INDEX('Per Invoice'!$C$2:$C$401,MATCH($B1095,'Per Invoice'!$A$2:$A$401,0))=0,"",INDEX('Per Invoice'!$C$2:$C$401,MATCH($B1095,'Per Invoice'!$A$2:$A$401,0))),""))</f>
        <v/>
      </c>
      <c r="G1095" s="7">
        <f>IF($B1095="","",F1095*L1095/100)</f>
        <v/>
      </c>
      <c r="K1095" s="7" t="n"/>
      <c r="L1095" s="7" t="n"/>
      <c r="M1095" s="7">
        <f>IF($B1095="","",L1095*T1095/100)</f>
        <v/>
      </c>
      <c r="N1095" s="7">
        <f>IF($B1095="","",L1095-M1095)</f>
        <v/>
      </c>
      <c r="O1095" s="7">
        <f>IF($B1095="","",N1095-G1095)</f>
        <v/>
      </c>
      <c r="R1095" s="14" t="n"/>
      <c r="T1095">
        <f>IF($B1095="","",IF($W1095=1,Settings!$C$6,Settings!$C$7)*100)</f>
        <v/>
      </c>
      <c r="U1095">
        <f>IF($B1095="","",IF(COUNTIF($B$2:$B1095,$B1095)=1,1,0))</f>
        <v/>
      </c>
      <c r="V1095">
        <f>IF($U1095=1,SUMPRODUCT(--($X$2:$X$1501&lt;$X1095))+1,"")</f>
        <v/>
      </c>
      <c r="W1095">
        <f>IF($B1095="","",IF(OR($S1095=TRUE(),$S1095="TRUE"),1,0))</f>
        <v/>
      </c>
      <c r="X1095">
        <f>IF($U1095=1,IFERROR(IF(VALUE($B1095)&lt;100000000,VALUE($B1095),1000000000),IFERROR(IF(VALUE(MID($B1095,2,20))&lt;100000000,VALUE(MID($B1095,2,20)),1000000000),1000000000))+ROW()/100000,"")</f>
        <v/>
      </c>
    </row>
    <row r="1096">
      <c r="A1096">
        <f>IF($B1096="","",IFERROR(IF(INDEX('Per Invoice'!$C$2:$C$401,MATCH($B1096,'Per Invoice'!$A$2:$A$401,0))=0,"",INDEX('Per Invoice'!$C$2:$C$401,MATCH($B1096,'Per Invoice'!$A$2:$A$401,0))),""))</f>
        <v/>
      </c>
      <c r="G1096" s="7">
        <f>IF($B1096="","",F1096*L1096/100)</f>
        <v/>
      </c>
      <c r="K1096" s="7" t="n"/>
      <c r="L1096" s="7" t="n"/>
      <c r="M1096" s="7">
        <f>IF($B1096="","",L1096*T1096/100)</f>
        <v/>
      </c>
      <c r="N1096" s="7">
        <f>IF($B1096="","",L1096-M1096)</f>
        <v/>
      </c>
      <c r="O1096" s="7">
        <f>IF($B1096="","",N1096-G1096)</f>
        <v/>
      </c>
      <c r="R1096" s="14" t="n"/>
      <c r="T1096">
        <f>IF($B1096="","",IF($W1096=1,Settings!$C$6,Settings!$C$7)*100)</f>
        <v/>
      </c>
      <c r="U1096">
        <f>IF($B1096="","",IF(COUNTIF($B$2:$B1096,$B1096)=1,1,0))</f>
        <v/>
      </c>
      <c r="V1096">
        <f>IF($U1096=1,SUMPRODUCT(--($X$2:$X$1501&lt;$X1096))+1,"")</f>
        <v/>
      </c>
      <c r="W1096">
        <f>IF($B1096="","",IF(OR($S1096=TRUE(),$S1096="TRUE"),1,0))</f>
        <v/>
      </c>
      <c r="X1096">
        <f>IF($U1096=1,IFERROR(IF(VALUE($B1096)&lt;100000000,VALUE($B1096),1000000000),IFERROR(IF(VALUE(MID($B1096,2,20))&lt;100000000,VALUE(MID($B1096,2,20)),1000000000),1000000000))+ROW()/100000,"")</f>
        <v/>
      </c>
    </row>
    <row r="1097">
      <c r="A1097">
        <f>IF($B1097="","",IFERROR(IF(INDEX('Per Invoice'!$C$2:$C$401,MATCH($B1097,'Per Invoice'!$A$2:$A$401,0))=0,"",INDEX('Per Invoice'!$C$2:$C$401,MATCH($B1097,'Per Invoice'!$A$2:$A$401,0))),""))</f>
        <v/>
      </c>
      <c r="G1097" s="7">
        <f>IF($B1097="","",F1097*L1097/100)</f>
        <v/>
      </c>
      <c r="K1097" s="7" t="n"/>
      <c r="L1097" s="7" t="n"/>
      <c r="M1097" s="7">
        <f>IF($B1097="","",L1097*T1097/100)</f>
        <v/>
      </c>
      <c r="N1097" s="7">
        <f>IF($B1097="","",L1097-M1097)</f>
        <v/>
      </c>
      <c r="O1097" s="7">
        <f>IF($B1097="","",N1097-G1097)</f>
        <v/>
      </c>
      <c r="R1097" s="14" t="n"/>
      <c r="T1097">
        <f>IF($B1097="","",IF($W1097=1,Settings!$C$6,Settings!$C$7)*100)</f>
        <v/>
      </c>
      <c r="U1097">
        <f>IF($B1097="","",IF(COUNTIF($B$2:$B1097,$B1097)=1,1,0))</f>
        <v/>
      </c>
      <c r="V1097">
        <f>IF($U1097=1,SUMPRODUCT(--($X$2:$X$1501&lt;$X1097))+1,"")</f>
        <v/>
      </c>
      <c r="W1097">
        <f>IF($B1097="","",IF(OR($S1097=TRUE(),$S1097="TRUE"),1,0))</f>
        <v/>
      </c>
      <c r="X1097">
        <f>IF($U1097=1,IFERROR(IF(VALUE($B1097)&lt;100000000,VALUE($B1097),1000000000),IFERROR(IF(VALUE(MID($B1097,2,20))&lt;100000000,VALUE(MID($B1097,2,20)),1000000000),1000000000))+ROW()/100000,"")</f>
        <v/>
      </c>
    </row>
    <row r="1098">
      <c r="A1098">
        <f>IF($B1098="","",IFERROR(IF(INDEX('Per Invoice'!$C$2:$C$401,MATCH($B1098,'Per Invoice'!$A$2:$A$401,0))=0,"",INDEX('Per Invoice'!$C$2:$C$401,MATCH($B1098,'Per Invoice'!$A$2:$A$401,0))),""))</f>
        <v/>
      </c>
      <c r="G1098" s="7">
        <f>IF($B1098="","",F1098*L1098/100)</f>
        <v/>
      </c>
      <c r="K1098" s="7" t="n"/>
      <c r="L1098" s="7" t="n"/>
      <c r="M1098" s="7">
        <f>IF($B1098="","",L1098*T1098/100)</f>
        <v/>
      </c>
      <c r="N1098" s="7">
        <f>IF($B1098="","",L1098-M1098)</f>
        <v/>
      </c>
      <c r="O1098" s="7">
        <f>IF($B1098="","",N1098-G1098)</f>
        <v/>
      </c>
      <c r="R1098" s="14" t="n"/>
      <c r="T1098">
        <f>IF($B1098="","",IF($W1098=1,Settings!$C$6,Settings!$C$7)*100)</f>
        <v/>
      </c>
      <c r="U1098">
        <f>IF($B1098="","",IF(COUNTIF($B$2:$B1098,$B1098)=1,1,0))</f>
        <v/>
      </c>
      <c r="V1098">
        <f>IF($U1098=1,SUMPRODUCT(--($X$2:$X$1501&lt;$X1098))+1,"")</f>
        <v/>
      </c>
      <c r="W1098">
        <f>IF($B1098="","",IF(OR($S1098=TRUE(),$S1098="TRUE"),1,0))</f>
        <v/>
      </c>
      <c r="X1098">
        <f>IF($U1098=1,IFERROR(IF(VALUE($B1098)&lt;100000000,VALUE($B1098),1000000000),IFERROR(IF(VALUE(MID($B1098,2,20))&lt;100000000,VALUE(MID($B1098,2,20)),1000000000),1000000000))+ROW()/100000,"")</f>
        <v/>
      </c>
    </row>
    <row r="1099">
      <c r="A1099">
        <f>IF($B1099="","",IFERROR(IF(INDEX('Per Invoice'!$C$2:$C$401,MATCH($B1099,'Per Invoice'!$A$2:$A$401,0))=0,"",INDEX('Per Invoice'!$C$2:$C$401,MATCH($B1099,'Per Invoice'!$A$2:$A$401,0))),""))</f>
        <v/>
      </c>
      <c r="G1099" s="7">
        <f>IF($B1099="","",F1099*L1099/100)</f>
        <v/>
      </c>
      <c r="K1099" s="7" t="n"/>
      <c r="L1099" s="7" t="n"/>
      <c r="M1099" s="7">
        <f>IF($B1099="","",L1099*T1099/100)</f>
        <v/>
      </c>
      <c r="N1099" s="7">
        <f>IF($B1099="","",L1099-M1099)</f>
        <v/>
      </c>
      <c r="O1099" s="7">
        <f>IF($B1099="","",N1099-G1099)</f>
        <v/>
      </c>
      <c r="R1099" s="14" t="n"/>
      <c r="T1099">
        <f>IF($B1099="","",IF($W1099=1,Settings!$C$6,Settings!$C$7)*100)</f>
        <v/>
      </c>
      <c r="U1099">
        <f>IF($B1099="","",IF(COUNTIF($B$2:$B1099,$B1099)=1,1,0))</f>
        <v/>
      </c>
      <c r="V1099">
        <f>IF($U1099=1,SUMPRODUCT(--($X$2:$X$1501&lt;$X1099))+1,"")</f>
        <v/>
      </c>
      <c r="W1099">
        <f>IF($B1099="","",IF(OR($S1099=TRUE(),$S1099="TRUE"),1,0))</f>
        <v/>
      </c>
      <c r="X1099">
        <f>IF($U1099=1,IFERROR(IF(VALUE($B1099)&lt;100000000,VALUE($B1099),1000000000),IFERROR(IF(VALUE(MID($B1099,2,20))&lt;100000000,VALUE(MID($B1099,2,20)),1000000000),1000000000))+ROW()/100000,"")</f>
        <v/>
      </c>
    </row>
    <row r="1100">
      <c r="A1100">
        <f>IF($B1100="","",IFERROR(IF(INDEX('Per Invoice'!$C$2:$C$401,MATCH($B1100,'Per Invoice'!$A$2:$A$401,0))=0,"",INDEX('Per Invoice'!$C$2:$C$401,MATCH($B1100,'Per Invoice'!$A$2:$A$401,0))),""))</f>
        <v/>
      </c>
      <c r="G1100" s="7">
        <f>IF($B1100="","",F1100*L1100/100)</f>
        <v/>
      </c>
      <c r="K1100" s="7" t="n"/>
      <c r="L1100" s="7" t="n"/>
      <c r="M1100" s="7">
        <f>IF($B1100="","",L1100*T1100/100)</f>
        <v/>
      </c>
      <c r="N1100" s="7">
        <f>IF($B1100="","",L1100-M1100)</f>
        <v/>
      </c>
      <c r="O1100" s="7">
        <f>IF($B1100="","",N1100-G1100)</f>
        <v/>
      </c>
      <c r="R1100" s="14" t="n"/>
      <c r="T1100">
        <f>IF($B1100="","",IF($W1100=1,Settings!$C$6,Settings!$C$7)*100)</f>
        <v/>
      </c>
      <c r="U1100">
        <f>IF($B1100="","",IF(COUNTIF($B$2:$B1100,$B1100)=1,1,0))</f>
        <v/>
      </c>
      <c r="V1100">
        <f>IF($U1100=1,SUMPRODUCT(--($X$2:$X$1501&lt;$X1100))+1,"")</f>
        <v/>
      </c>
      <c r="W1100">
        <f>IF($B1100="","",IF(OR($S1100=TRUE(),$S1100="TRUE"),1,0))</f>
        <v/>
      </c>
      <c r="X1100">
        <f>IF($U1100=1,IFERROR(IF(VALUE($B1100)&lt;100000000,VALUE($B1100),1000000000),IFERROR(IF(VALUE(MID($B1100,2,20))&lt;100000000,VALUE(MID($B1100,2,20)),1000000000),1000000000))+ROW()/100000,"")</f>
        <v/>
      </c>
    </row>
    <row r="1101">
      <c r="A1101">
        <f>IF($B1101="","",IFERROR(IF(INDEX('Per Invoice'!$C$2:$C$401,MATCH($B1101,'Per Invoice'!$A$2:$A$401,0))=0,"",INDEX('Per Invoice'!$C$2:$C$401,MATCH($B1101,'Per Invoice'!$A$2:$A$401,0))),""))</f>
        <v/>
      </c>
      <c r="G1101" s="7">
        <f>IF($B1101="","",F1101*L1101/100)</f>
        <v/>
      </c>
      <c r="K1101" s="7" t="n"/>
      <c r="L1101" s="7" t="n"/>
      <c r="M1101" s="7">
        <f>IF($B1101="","",L1101*T1101/100)</f>
        <v/>
      </c>
      <c r="N1101" s="7">
        <f>IF($B1101="","",L1101-M1101)</f>
        <v/>
      </c>
      <c r="O1101" s="7">
        <f>IF($B1101="","",N1101-G1101)</f>
        <v/>
      </c>
      <c r="R1101" s="14" t="n"/>
      <c r="T1101">
        <f>IF($B1101="","",IF($W1101=1,Settings!$C$6,Settings!$C$7)*100)</f>
        <v/>
      </c>
      <c r="U1101">
        <f>IF($B1101="","",IF(COUNTIF($B$2:$B1101,$B1101)=1,1,0))</f>
        <v/>
      </c>
      <c r="V1101">
        <f>IF($U1101=1,SUMPRODUCT(--($X$2:$X$1501&lt;$X1101))+1,"")</f>
        <v/>
      </c>
      <c r="W1101">
        <f>IF($B1101="","",IF(OR($S1101=TRUE(),$S1101="TRUE"),1,0))</f>
        <v/>
      </c>
      <c r="X1101">
        <f>IF($U1101=1,IFERROR(IF(VALUE($B1101)&lt;100000000,VALUE($B1101),1000000000),IFERROR(IF(VALUE(MID($B1101,2,20))&lt;100000000,VALUE(MID($B1101,2,20)),1000000000),1000000000))+ROW()/100000,"")</f>
        <v/>
      </c>
    </row>
    <row r="1102">
      <c r="A1102">
        <f>IF($B1102="","",IFERROR(IF(INDEX('Per Invoice'!$C$2:$C$401,MATCH($B1102,'Per Invoice'!$A$2:$A$401,0))=0,"",INDEX('Per Invoice'!$C$2:$C$401,MATCH($B1102,'Per Invoice'!$A$2:$A$401,0))),""))</f>
        <v/>
      </c>
      <c r="G1102" s="7">
        <f>IF($B1102="","",F1102*L1102/100)</f>
        <v/>
      </c>
      <c r="K1102" s="7" t="n"/>
      <c r="L1102" s="7" t="n"/>
      <c r="M1102" s="7">
        <f>IF($B1102="","",L1102*T1102/100)</f>
        <v/>
      </c>
      <c r="N1102" s="7">
        <f>IF($B1102="","",L1102-M1102)</f>
        <v/>
      </c>
      <c r="O1102" s="7">
        <f>IF($B1102="","",N1102-G1102)</f>
        <v/>
      </c>
      <c r="R1102" s="14" t="n"/>
      <c r="T1102">
        <f>IF($B1102="","",IF($W1102=1,Settings!$C$6,Settings!$C$7)*100)</f>
        <v/>
      </c>
      <c r="U1102">
        <f>IF($B1102="","",IF(COUNTIF($B$2:$B1102,$B1102)=1,1,0))</f>
        <v/>
      </c>
      <c r="V1102">
        <f>IF($U1102=1,SUMPRODUCT(--($X$2:$X$1501&lt;$X1102))+1,"")</f>
        <v/>
      </c>
      <c r="W1102">
        <f>IF($B1102="","",IF(OR($S1102=TRUE(),$S1102="TRUE"),1,0))</f>
        <v/>
      </c>
      <c r="X1102">
        <f>IF($U1102=1,IFERROR(IF(VALUE($B1102)&lt;100000000,VALUE($B1102),1000000000),IFERROR(IF(VALUE(MID($B1102,2,20))&lt;100000000,VALUE(MID($B1102,2,20)),1000000000),1000000000))+ROW()/100000,"")</f>
        <v/>
      </c>
    </row>
    <row r="1103">
      <c r="A1103">
        <f>IF($B1103="","",IFERROR(IF(INDEX('Per Invoice'!$C$2:$C$401,MATCH($B1103,'Per Invoice'!$A$2:$A$401,0))=0,"",INDEX('Per Invoice'!$C$2:$C$401,MATCH($B1103,'Per Invoice'!$A$2:$A$401,0))),""))</f>
        <v/>
      </c>
      <c r="G1103" s="7">
        <f>IF($B1103="","",F1103*L1103/100)</f>
        <v/>
      </c>
      <c r="K1103" s="7" t="n"/>
      <c r="L1103" s="7" t="n"/>
      <c r="M1103" s="7">
        <f>IF($B1103="","",L1103*T1103/100)</f>
        <v/>
      </c>
      <c r="N1103" s="7">
        <f>IF($B1103="","",L1103-M1103)</f>
        <v/>
      </c>
      <c r="O1103" s="7">
        <f>IF($B1103="","",N1103-G1103)</f>
        <v/>
      </c>
      <c r="R1103" s="14" t="n"/>
      <c r="T1103">
        <f>IF($B1103="","",IF($W1103=1,Settings!$C$6,Settings!$C$7)*100)</f>
        <v/>
      </c>
      <c r="U1103">
        <f>IF($B1103="","",IF(COUNTIF($B$2:$B1103,$B1103)=1,1,0))</f>
        <v/>
      </c>
      <c r="V1103">
        <f>IF($U1103=1,SUMPRODUCT(--($X$2:$X$1501&lt;$X1103))+1,"")</f>
        <v/>
      </c>
      <c r="W1103">
        <f>IF($B1103="","",IF(OR($S1103=TRUE(),$S1103="TRUE"),1,0))</f>
        <v/>
      </c>
      <c r="X1103">
        <f>IF($U1103=1,IFERROR(IF(VALUE($B1103)&lt;100000000,VALUE($B1103),1000000000),IFERROR(IF(VALUE(MID($B1103,2,20))&lt;100000000,VALUE(MID($B1103,2,20)),1000000000),1000000000))+ROW()/100000,"")</f>
        <v/>
      </c>
    </row>
    <row r="1104">
      <c r="A1104">
        <f>IF($B1104="","",IFERROR(IF(INDEX('Per Invoice'!$C$2:$C$401,MATCH($B1104,'Per Invoice'!$A$2:$A$401,0))=0,"",INDEX('Per Invoice'!$C$2:$C$401,MATCH($B1104,'Per Invoice'!$A$2:$A$401,0))),""))</f>
        <v/>
      </c>
      <c r="G1104" s="7">
        <f>IF($B1104="","",F1104*L1104/100)</f>
        <v/>
      </c>
      <c r="K1104" s="7" t="n"/>
      <c r="L1104" s="7" t="n"/>
      <c r="M1104" s="7">
        <f>IF($B1104="","",L1104*T1104/100)</f>
        <v/>
      </c>
      <c r="N1104" s="7">
        <f>IF($B1104="","",L1104-M1104)</f>
        <v/>
      </c>
      <c r="O1104" s="7">
        <f>IF($B1104="","",N1104-G1104)</f>
        <v/>
      </c>
      <c r="R1104" s="14" t="n"/>
      <c r="T1104">
        <f>IF($B1104="","",IF($W1104=1,Settings!$C$6,Settings!$C$7)*100)</f>
        <v/>
      </c>
      <c r="U1104">
        <f>IF($B1104="","",IF(COUNTIF($B$2:$B1104,$B1104)=1,1,0))</f>
        <v/>
      </c>
      <c r="V1104">
        <f>IF($U1104=1,SUMPRODUCT(--($X$2:$X$1501&lt;$X1104))+1,"")</f>
        <v/>
      </c>
      <c r="W1104">
        <f>IF($B1104="","",IF(OR($S1104=TRUE(),$S1104="TRUE"),1,0))</f>
        <v/>
      </c>
      <c r="X1104">
        <f>IF($U1104=1,IFERROR(IF(VALUE($B1104)&lt;100000000,VALUE($B1104),1000000000),IFERROR(IF(VALUE(MID($B1104,2,20))&lt;100000000,VALUE(MID($B1104,2,20)),1000000000),1000000000))+ROW()/100000,"")</f>
        <v/>
      </c>
    </row>
    <row r="1105">
      <c r="A1105">
        <f>IF($B1105="","",IFERROR(IF(INDEX('Per Invoice'!$C$2:$C$401,MATCH($B1105,'Per Invoice'!$A$2:$A$401,0))=0,"",INDEX('Per Invoice'!$C$2:$C$401,MATCH($B1105,'Per Invoice'!$A$2:$A$401,0))),""))</f>
        <v/>
      </c>
      <c r="G1105" s="7">
        <f>IF($B1105="","",F1105*L1105/100)</f>
        <v/>
      </c>
      <c r="K1105" s="7" t="n"/>
      <c r="L1105" s="7" t="n"/>
      <c r="M1105" s="7">
        <f>IF($B1105="","",L1105*T1105/100)</f>
        <v/>
      </c>
      <c r="N1105" s="7">
        <f>IF($B1105="","",L1105-M1105)</f>
        <v/>
      </c>
      <c r="O1105" s="7">
        <f>IF($B1105="","",N1105-G1105)</f>
        <v/>
      </c>
      <c r="R1105" s="14" t="n"/>
      <c r="T1105">
        <f>IF($B1105="","",IF($W1105=1,Settings!$C$6,Settings!$C$7)*100)</f>
        <v/>
      </c>
      <c r="U1105">
        <f>IF($B1105="","",IF(COUNTIF($B$2:$B1105,$B1105)=1,1,0))</f>
        <v/>
      </c>
      <c r="V1105">
        <f>IF($U1105=1,SUMPRODUCT(--($X$2:$X$1501&lt;$X1105))+1,"")</f>
        <v/>
      </c>
      <c r="W1105">
        <f>IF($B1105="","",IF(OR($S1105=TRUE(),$S1105="TRUE"),1,0))</f>
        <v/>
      </c>
      <c r="X1105">
        <f>IF($U1105=1,IFERROR(IF(VALUE($B1105)&lt;100000000,VALUE($B1105),1000000000),IFERROR(IF(VALUE(MID($B1105,2,20))&lt;100000000,VALUE(MID($B1105,2,20)),1000000000),1000000000))+ROW()/100000,"")</f>
        <v/>
      </c>
    </row>
    <row r="1106">
      <c r="A1106">
        <f>IF($B1106="","",IFERROR(IF(INDEX('Per Invoice'!$C$2:$C$401,MATCH($B1106,'Per Invoice'!$A$2:$A$401,0))=0,"",INDEX('Per Invoice'!$C$2:$C$401,MATCH($B1106,'Per Invoice'!$A$2:$A$401,0))),""))</f>
        <v/>
      </c>
      <c r="G1106" s="7">
        <f>IF($B1106="","",F1106*L1106/100)</f>
        <v/>
      </c>
      <c r="K1106" s="7" t="n"/>
      <c r="L1106" s="7" t="n"/>
      <c r="M1106" s="7">
        <f>IF($B1106="","",L1106*T1106/100)</f>
        <v/>
      </c>
      <c r="N1106" s="7">
        <f>IF($B1106="","",L1106-M1106)</f>
        <v/>
      </c>
      <c r="O1106" s="7">
        <f>IF($B1106="","",N1106-G1106)</f>
        <v/>
      </c>
      <c r="R1106" s="14" t="n"/>
      <c r="T1106">
        <f>IF($B1106="","",IF($W1106=1,Settings!$C$6,Settings!$C$7)*100)</f>
        <v/>
      </c>
      <c r="U1106">
        <f>IF($B1106="","",IF(COUNTIF($B$2:$B1106,$B1106)=1,1,0))</f>
        <v/>
      </c>
      <c r="V1106">
        <f>IF($U1106=1,SUMPRODUCT(--($X$2:$X$1501&lt;$X1106))+1,"")</f>
        <v/>
      </c>
      <c r="W1106">
        <f>IF($B1106="","",IF(OR($S1106=TRUE(),$S1106="TRUE"),1,0))</f>
        <v/>
      </c>
      <c r="X1106">
        <f>IF($U1106=1,IFERROR(IF(VALUE($B1106)&lt;100000000,VALUE($B1106),1000000000),IFERROR(IF(VALUE(MID($B1106,2,20))&lt;100000000,VALUE(MID($B1106,2,20)),1000000000),1000000000))+ROW()/100000,"")</f>
        <v/>
      </c>
    </row>
    <row r="1107">
      <c r="A1107">
        <f>IF($B1107="","",IFERROR(IF(INDEX('Per Invoice'!$C$2:$C$401,MATCH($B1107,'Per Invoice'!$A$2:$A$401,0))=0,"",INDEX('Per Invoice'!$C$2:$C$401,MATCH($B1107,'Per Invoice'!$A$2:$A$401,0))),""))</f>
        <v/>
      </c>
      <c r="G1107" s="7">
        <f>IF($B1107="","",F1107*L1107/100)</f>
        <v/>
      </c>
      <c r="K1107" s="7" t="n"/>
      <c r="L1107" s="7" t="n"/>
      <c r="M1107" s="7">
        <f>IF($B1107="","",L1107*T1107/100)</f>
        <v/>
      </c>
      <c r="N1107" s="7">
        <f>IF($B1107="","",L1107-M1107)</f>
        <v/>
      </c>
      <c r="O1107" s="7">
        <f>IF($B1107="","",N1107-G1107)</f>
        <v/>
      </c>
      <c r="R1107" s="14" t="n"/>
      <c r="T1107">
        <f>IF($B1107="","",IF($W1107=1,Settings!$C$6,Settings!$C$7)*100)</f>
        <v/>
      </c>
      <c r="U1107">
        <f>IF($B1107="","",IF(COUNTIF($B$2:$B1107,$B1107)=1,1,0))</f>
        <v/>
      </c>
      <c r="V1107">
        <f>IF($U1107=1,SUMPRODUCT(--($X$2:$X$1501&lt;$X1107))+1,"")</f>
        <v/>
      </c>
      <c r="W1107">
        <f>IF($B1107="","",IF(OR($S1107=TRUE(),$S1107="TRUE"),1,0))</f>
        <v/>
      </c>
      <c r="X1107">
        <f>IF($U1107=1,IFERROR(IF(VALUE($B1107)&lt;100000000,VALUE($B1107),1000000000),IFERROR(IF(VALUE(MID($B1107,2,20))&lt;100000000,VALUE(MID($B1107,2,20)),1000000000),1000000000))+ROW()/100000,"")</f>
        <v/>
      </c>
    </row>
    <row r="1108">
      <c r="A1108">
        <f>IF($B1108="","",IFERROR(IF(INDEX('Per Invoice'!$C$2:$C$401,MATCH($B1108,'Per Invoice'!$A$2:$A$401,0))=0,"",INDEX('Per Invoice'!$C$2:$C$401,MATCH($B1108,'Per Invoice'!$A$2:$A$401,0))),""))</f>
        <v/>
      </c>
      <c r="G1108" s="7">
        <f>IF($B1108="","",F1108*L1108/100)</f>
        <v/>
      </c>
      <c r="K1108" s="7" t="n"/>
      <c r="L1108" s="7" t="n"/>
      <c r="M1108" s="7">
        <f>IF($B1108="","",L1108*T1108/100)</f>
        <v/>
      </c>
      <c r="N1108" s="7">
        <f>IF($B1108="","",L1108-M1108)</f>
        <v/>
      </c>
      <c r="O1108" s="7">
        <f>IF($B1108="","",N1108-G1108)</f>
        <v/>
      </c>
      <c r="R1108" s="14" t="n"/>
      <c r="T1108">
        <f>IF($B1108="","",IF($W1108=1,Settings!$C$6,Settings!$C$7)*100)</f>
        <v/>
      </c>
      <c r="U1108">
        <f>IF($B1108="","",IF(COUNTIF($B$2:$B1108,$B1108)=1,1,0))</f>
        <v/>
      </c>
      <c r="V1108">
        <f>IF($U1108=1,SUMPRODUCT(--($X$2:$X$1501&lt;$X1108))+1,"")</f>
        <v/>
      </c>
      <c r="W1108">
        <f>IF($B1108="","",IF(OR($S1108=TRUE(),$S1108="TRUE"),1,0))</f>
        <v/>
      </c>
      <c r="X1108">
        <f>IF($U1108=1,IFERROR(IF(VALUE($B1108)&lt;100000000,VALUE($B1108),1000000000),IFERROR(IF(VALUE(MID($B1108,2,20))&lt;100000000,VALUE(MID($B1108,2,20)),1000000000),1000000000))+ROW()/100000,"")</f>
        <v/>
      </c>
    </row>
    <row r="1109">
      <c r="A1109">
        <f>IF($B1109="","",IFERROR(IF(INDEX('Per Invoice'!$C$2:$C$401,MATCH($B1109,'Per Invoice'!$A$2:$A$401,0))=0,"",INDEX('Per Invoice'!$C$2:$C$401,MATCH($B1109,'Per Invoice'!$A$2:$A$401,0))),""))</f>
        <v/>
      </c>
      <c r="G1109" s="7">
        <f>IF($B1109="","",F1109*L1109/100)</f>
        <v/>
      </c>
      <c r="K1109" s="7" t="n"/>
      <c r="L1109" s="7" t="n"/>
      <c r="M1109" s="7">
        <f>IF($B1109="","",L1109*T1109/100)</f>
        <v/>
      </c>
      <c r="N1109" s="7">
        <f>IF($B1109="","",L1109-M1109)</f>
        <v/>
      </c>
      <c r="O1109" s="7">
        <f>IF($B1109="","",N1109-G1109)</f>
        <v/>
      </c>
      <c r="R1109" s="14" t="n"/>
      <c r="T1109">
        <f>IF($B1109="","",IF($W1109=1,Settings!$C$6,Settings!$C$7)*100)</f>
        <v/>
      </c>
      <c r="U1109">
        <f>IF($B1109="","",IF(COUNTIF($B$2:$B1109,$B1109)=1,1,0))</f>
        <v/>
      </c>
      <c r="V1109">
        <f>IF($U1109=1,SUMPRODUCT(--($X$2:$X$1501&lt;$X1109))+1,"")</f>
        <v/>
      </c>
      <c r="W1109">
        <f>IF($B1109="","",IF(OR($S1109=TRUE(),$S1109="TRUE"),1,0))</f>
        <v/>
      </c>
      <c r="X1109">
        <f>IF($U1109=1,IFERROR(IF(VALUE($B1109)&lt;100000000,VALUE($B1109),1000000000),IFERROR(IF(VALUE(MID($B1109,2,20))&lt;100000000,VALUE(MID($B1109,2,20)),1000000000),1000000000))+ROW()/100000,"")</f>
        <v/>
      </c>
    </row>
    <row r="1110">
      <c r="A1110">
        <f>IF($B1110="","",IFERROR(IF(INDEX('Per Invoice'!$C$2:$C$401,MATCH($B1110,'Per Invoice'!$A$2:$A$401,0))=0,"",INDEX('Per Invoice'!$C$2:$C$401,MATCH($B1110,'Per Invoice'!$A$2:$A$401,0))),""))</f>
        <v/>
      </c>
      <c r="G1110" s="7">
        <f>IF($B1110="","",F1110*L1110/100)</f>
        <v/>
      </c>
      <c r="K1110" s="7" t="n"/>
      <c r="L1110" s="7" t="n"/>
      <c r="M1110" s="7">
        <f>IF($B1110="","",L1110*T1110/100)</f>
        <v/>
      </c>
      <c r="N1110" s="7">
        <f>IF($B1110="","",L1110-M1110)</f>
        <v/>
      </c>
      <c r="O1110" s="7">
        <f>IF($B1110="","",N1110-G1110)</f>
        <v/>
      </c>
      <c r="R1110" s="14" t="n"/>
      <c r="T1110">
        <f>IF($B1110="","",IF($W1110=1,Settings!$C$6,Settings!$C$7)*100)</f>
        <v/>
      </c>
      <c r="U1110">
        <f>IF($B1110="","",IF(COUNTIF($B$2:$B1110,$B1110)=1,1,0))</f>
        <v/>
      </c>
      <c r="V1110">
        <f>IF($U1110=1,SUMPRODUCT(--($X$2:$X$1501&lt;$X1110))+1,"")</f>
        <v/>
      </c>
      <c r="W1110">
        <f>IF($B1110="","",IF(OR($S1110=TRUE(),$S1110="TRUE"),1,0))</f>
        <v/>
      </c>
      <c r="X1110">
        <f>IF($U1110=1,IFERROR(IF(VALUE($B1110)&lt;100000000,VALUE($B1110),1000000000),IFERROR(IF(VALUE(MID($B1110,2,20))&lt;100000000,VALUE(MID($B1110,2,20)),1000000000),1000000000))+ROW()/100000,"")</f>
        <v/>
      </c>
    </row>
    <row r="1111">
      <c r="A1111">
        <f>IF($B1111="","",IFERROR(IF(INDEX('Per Invoice'!$C$2:$C$401,MATCH($B1111,'Per Invoice'!$A$2:$A$401,0))=0,"",INDEX('Per Invoice'!$C$2:$C$401,MATCH($B1111,'Per Invoice'!$A$2:$A$401,0))),""))</f>
        <v/>
      </c>
      <c r="G1111" s="7">
        <f>IF($B1111="","",F1111*L1111/100)</f>
        <v/>
      </c>
      <c r="K1111" s="7" t="n"/>
      <c r="L1111" s="7" t="n"/>
      <c r="M1111" s="7">
        <f>IF($B1111="","",L1111*T1111/100)</f>
        <v/>
      </c>
      <c r="N1111" s="7">
        <f>IF($B1111="","",L1111-M1111)</f>
        <v/>
      </c>
      <c r="O1111" s="7">
        <f>IF($B1111="","",N1111-G1111)</f>
        <v/>
      </c>
      <c r="R1111" s="14" t="n"/>
      <c r="T1111">
        <f>IF($B1111="","",IF($W1111=1,Settings!$C$6,Settings!$C$7)*100)</f>
        <v/>
      </c>
      <c r="U1111">
        <f>IF($B1111="","",IF(COUNTIF($B$2:$B1111,$B1111)=1,1,0))</f>
        <v/>
      </c>
      <c r="V1111">
        <f>IF($U1111=1,SUMPRODUCT(--($X$2:$X$1501&lt;$X1111))+1,"")</f>
        <v/>
      </c>
      <c r="W1111">
        <f>IF($B1111="","",IF(OR($S1111=TRUE(),$S1111="TRUE"),1,0))</f>
        <v/>
      </c>
      <c r="X1111">
        <f>IF($U1111=1,IFERROR(IF(VALUE($B1111)&lt;100000000,VALUE($B1111),1000000000),IFERROR(IF(VALUE(MID($B1111,2,20))&lt;100000000,VALUE(MID($B1111,2,20)),1000000000),1000000000))+ROW()/100000,"")</f>
        <v/>
      </c>
    </row>
    <row r="1112">
      <c r="A1112">
        <f>IF($B1112="","",IFERROR(IF(INDEX('Per Invoice'!$C$2:$C$401,MATCH($B1112,'Per Invoice'!$A$2:$A$401,0))=0,"",INDEX('Per Invoice'!$C$2:$C$401,MATCH($B1112,'Per Invoice'!$A$2:$A$401,0))),""))</f>
        <v/>
      </c>
      <c r="G1112" s="7">
        <f>IF($B1112="","",F1112*L1112/100)</f>
        <v/>
      </c>
      <c r="K1112" s="7" t="n"/>
      <c r="L1112" s="7" t="n"/>
      <c r="M1112" s="7">
        <f>IF($B1112="","",L1112*T1112/100)</f>
        <v/>
      </c>
      <c r="N1112" s="7">
        <f>IF($B1112="","",L1112-M1112)</f>
        <v/>
      </c>
      <c r="O1112" s="7">
        <f>IF($B1112="","",N1112-G1112)</f>
        <v/>
      </c>
      <c r="R1112" s="14" t="n"/>
      <c r="T1112">
        <f>IF($B1112="","",IF($W1112=1,Settings!$C$6,Settings!$C$7)*100)</f>
        <v/>
      </c>
      <c r="U1112">
        <f>IF($B1112="","",IF(COUNTIF($B$2:$B1112,$B1112)=1,1,0))</f>
        <v/>
      </c>
      <c r="V1112">
        <f>IF($U1112=1,SUMPRODUCT(--($X$2:$X$1501&lt;$X1112))+1,"")</f>
        <v/>
      </c>
      <c r="W1112">
        <f>IF($B1112="","",IF(OR($S1112=TRUE(),$S1112="TRUE"),1,0))</f>
        <v/>
      </c>
      <c r="X1112">
        <f>IF($U1112=1,IFERROR(IF(VALUE($B1112)&lt;100000000,VALUE($B1112),1000000000),IFERROR(IF(VALUE(MID($B1112,2,20))&lt;100000000,VALUE(MID($B1112,2,20)),1000000000),1000000000))+ROW()/100000,"")</f>
        <v/>
      </c>
    </row>
    <row r="1113">
      <c r="A1113">
        <f>IF($B1113="","",IFERROR(IF(INDEX('Per Invoice'!$C$2:$C$401,MATCH($B1113,'Per Invoice'!$A$2:$A$401,0))=0,"",INDEX('Per Invoice'!$C$2:$C$401,MATCH($B1113,'Per Invoice'!$A$2:$A$401,0))),""))</f>
        <v/>
      </c>
      <c r="G1113" s="7">
        <f>IF($B1113="","",F1113*L1113/100)</f>
        <v/>
      </c>
      <c r="K1113" s="7" t="n"/>
      <c r="L1113" s="7" t="n"/>
      <c r="M1113" s="7">
        <f>IF($B1113="","",L1113*T1113/100)</f>
        <v/>
      </c>
      <c r="N1113" s="7">
        <f>IF($B1113="","",L1113-M1113)</f>
        <v/>
      </c>
      <c r="O1113" s="7">
        <f>IF($B1113="","",N1113-G1113)</f>
        <v/>
      </c>
      <c r="R1113" s="14" t="n"/>
      <c r="T1113">
        <f>IF($B1113="","",IF($W1113=1,Settings!$C$6,Settings!$C$7)*100)</f>
        <v/>
      </c>
      <c r="U1113">
        <f>IF($B1113="","",IF(COUNTIF($B$2:$B1113,$B1113)=1,1,0))</f>
        <v/>
      </c>
      <c r="V1113">
        <f>IF($U1113=1,SUMPRODUCT(--($X$2:$X$1501&lt;$X1113))+1,"")</f>
        <v/>
      </c>
      <c r="W1113">
        <f>IF($B1113="","",IF(OR($S1113=TRUE(),$S1113="TRUE"),1,0))</f>
        <v/>
      </c>
      <c r="X1113">
        <f>IF($U1113=1,IFERROR(IF(VALUE($B1113)&lt;100000000,VALUE($B1113),1000000000),IFERROR(IF(VALUE(MID($B1113,2,20))&lt;100000000,VALUE(MID($B1113,2,20)),1000000000),1000000000))+ROW()/100000,"")</f>
        <v/>
      </c>
    </row>
    <row r="1114">
      <c r="A1114">
        <f>IF($B1114="","",IFERROR(IF(INDEX('Per Invoice'!$C$2:$C$401,MATCH($B1114,'Per Invoice'!$A$2:$A$401,0))=0,"",INDEX('Per Invoice'!$C$2:$C$401,MATCH($B1114,'Per Invoice'!$A$2:$A$401,0))),""))</f>
        <v/>
      </c>
      <c r="G1114" s="7">
        <f>IF($B1114="","",F1114*L1114/100)</f>
        <v/>
      </c>
      <c r="K1114" s="7" t="n"/>
      <c r="L1114" s="7" t="n"/>
      <c r="M1114" s="7">
        <f>IF($B1114="","",L1114*T1114/100)</f>
        <v/>
      </c>
      <c r="N1114" s="7">
        <f>IF($B1114="","",L1114-M1114)</f>
        <v/>
      </c>
      <c r="O1114" s="7">
        <f>IF($B1114="","",N1114-G1114)</f>
        <v/>
      </c>
      <c r="R1114" s="14" t="n"/>
      <c r="T1114">
        <f>IF($B1114="","",IF($W1114=1,Settings!$C$6,Settings!$C$7)*100)</f>
        <v/>
      </c>
      <c r="U1114">
        <f>IF($B1114="","",IF(COUNTIF($B$2:$B1114,$B1114)=1,1,0))</f>
        <v/>
      </c>
      <c r="V1114">
        <f>IF($U1114=1,SUMPRODUCT(--($X$2:$X$1501&lt;$X1114))+1,"")</f>
        <v/>
      </c>
      <c r="W1114">
        <f>IF($B1114="","",IF(OR($S1114=TRUE(),$S1114="TRUE"),1,0))</f>
        <v/>
      </c>
      <c r="X1114">
        <f>IF($U1114=1,IFERROR(IF(VALUE($B1114)&lt;100000000,VALUE($B1114),1000000000),IFERROR(IF(VALUE(MID($B1114,2,20))&lt;100000000,VALUE(MID($B1114,2,20)),1000000000),1000000000))+ROW()/100000,"")</f>
        <v/>
      </c>
    </row>
    <row r="1115">
      <c r="A1115">
        <f>IF($B1115="","",IFERROR(IF(INDEX('Per Invoice'!$C$2:$C$401,MATCH($B1115,'Per Invoice'!$A$2:$A$401,0))=0,"",INDEX('Per Invoice'!$C$2:$C$401,MATCH($B1115,'Per Invoice'!$A$2:$A$401,0))),""))</f>
        <v/>
      </c>
      <c r="G1115" s="7">
        <f>IF($B1115="","",F1115*L1115/100)</f>
        <v/>
      </c>
      <c r="K1115" s="7" t="n"/>
      <c r="L1115" s="7" t="n"/>
      <c r="M1115" s="7">
        <f>IF($B1115="","",L1115*T1115/100)</f>
        <v/>
      </c>
      <c r="N1115" s="7">
        <f>IF($B1115="","",L1115-M1115)</f>
        <v/>
      </c>
      <c r="O1115" s="7">
        <f>IF($B1115="","",N1115-G1115)</f>
        <v/>
      </c>
      <c r="R1115" s="14" t="n"/>
      <c r="T1115">
        <f>IF($B1115="","",IF($W1115=1,Settings!$C$6,Settings!$C$7)*100)</f>
        <v/>
      </c>
      <c r="U1115">
        <f>IF($B1115="","",IF(COUNTIF($B$2:$B1115,$B1115)=1,1,0))</f>
        <v/>
      </c>
      <c r="V1115">
        <f>IF($U1115=1,SUMPRODUCT(--($X$2:$X$1501&lt;$X1115))+1,"")</f>
        <v/>
      </c>
      <c r="W1115">
        <f>IF($B1115="","",IF(OR($S1115=TRUE(),$S1115="TRUE"),1,0))</f>
        <v/>
      </c>
      <c r="X1115">
        <f>IF($U1115=1,IFERROR(IF(VALUE($B1115)&lt;100000000,VALUE($B1115),1000000000),IFERROR(IF(VALUE(MID($B1115,2,20))&lt;100000000,VALUE(MID($B1115,2,20)),1000000000),1000000000))+ROW()/100000,"")</f>
        <v/>
      </c>
    </row>
    <row r="1116">
      <c r="A1116">
        <f>IF($B1116="","",IFERROR(IF(INDEX('Per Invoice'!$C$2:$C$401,MATCH($B1116,'Per Invoice'!$A$2:$A$401,0))=0,"",INDEX('Per Invoice'!$C$2:$C$401,MATCH($B1116,'Per Invoice'!$A$2:$A$401,0))),""))</f>
        <v/>
      </c>
      <c r="G1116" s="7">
        <f>IF($B1116="","",F1116*L1116/100)</f>
        <v/>
      </c>
      <c r="K1116" s="7" t="n"/>
      <c r="L1116" s="7" t="n"/>
      <c r="M1116" s="7">
        <f>IF($B1116="","",L1116*T1116/100)</f>
        <v/>
      </c>
      <c r="N1116" s="7">
        <f>IF($B1116="","",L1116-M1116)</f>
        <v/>
      </c>
      <c r="O1116" s="7">
        <f>IF($B1116="","",N1116-G1116)</f>
        <v/>
      </c>
      <c r="R1116" s="14" t="n"/>
      <c r="T1116">
        <f>IF($B1116="","",IF($W1116=1,Settings!$C$6,Settings!$C$7)*100)</f>
        <v/>
      </c>
      <c r="U1116">
        <f>IF($B1116="","",IF(COUNTIF($B$2:$B1116,$B1116)=1,1,0))</f>
        <v/>
      </c>
      <c r="V1116">
        <f>IF($U1116=1,SUMPRODUCT(--($X$2:$X$1501&lt;$X1116))+1,"")</f>
        <v/>
      </c>
      <c r="W1116">
        <f>IF($B1116="","",IF(OR($S1116=TRUE(),$S1116="TRUE"),1,0))</f>
        <v/>
      </c>
      <c r="X1116">
        <f>IF($U1116=1,IFERROR(IF(VALUE($B1116)&lt;100000000,VALUE($B1116),1000000000),IFERROR(IF(VALUE(MID($B1116,2,20))&lt;100000000,VALUE(MID($B1116,2,20)),1000000000),1000000000))+ROW()/100000,"")</f>
        <v/>
      </c>
    </row>
    <row r="1117">
      <c r="A1117">
        <f>IF($B1117="","",IFERROR(IF(INDEX('Per Invoice'!$C$2:$C$401,MATCH($B1117,'Per Invoice'!$A$2:$A$401,0))=0,"",INDEX('Per Invoice'!$C$2:$C$401,MATCH($B1117,'Per Invoice'!$A$2:$A$401,0))),""))</f>
        <v/>
      </c>
      <c r="G1117" s="7">
        <f>IF($B1117="","",F1117*L1117/100)</f>
        <v/>
      </c>
      <c r="K1117" s="7" t="n"/>
      <c r="L1117" s="7" t="n"/>
      <c r="M1117" s="7">
        <f>IF($B1117="","",L1117*T1117/100)</f>
        <v/>
      </c>
      <c r="N1117" s="7">
        <f>IF($B1117="","",L1117-M1117)</f>
        <v/>
      </c>
      <c r="O1117" s="7">
        <f>IF($B1117="","",N1117-G1117)</f>
        <v/>
      </c>
      <c r="R1117" s="14" t="n"/>
      <c r="T1117">
        <f>IF($B1117="","",IF($W1117=1,Settings!$C$6,Settings!$C$7)*100)</f>
        <v/>
      </c>
      <c r="U1117">
        <f>IF($B1117="","",IF(COUNTIF($B$2:$B1117,$B1117)=1,1,0))</f>
        <v/>
      </c>
      <c r="V1117">
        <f>IF($U1117=1,SUMPRODUCT(--($X$2:$X$1501&lt;$X1117))+1,"")</f>
        <v/>
      </c>
      <c r="W1117">
        <f>IF($B1117="","",IF(OR($S1117=TRUE(),$S1117="TRUE"),1,0))</f>
        <v/>
      </c>
      <c r="X1117">
        <f>IF($U1117=1,IFERROR(IF(VALUE($B1117)&lt;100000000,VALUE($B1117),1000000000),IFERROR(IF(VALUE(MID($B1117,2,20))&lt;100000000,VALUE(MID($B1117,2,20)),1000000000),1000000000))+ROW()/100000,"")</f>
        <v/>
      </c>
    </row>
    <row r="1118">
      <c r="A1118">
        <f>IF($B1118="","",IFERROR(IF(INDEX('Per Invoice'!$C$2:$C$401,MATCH($B1118,'Per Invoice'!$A$2:$A$401,0))=0,"",INDEX('Per Invoice'!$C$2:$C$401,MATCH($B1118,'Per Invoice'!$A$2:$A$401,0))),""))</f>
        <v/>
      </c>
      <c r="G1118" s="7">
        <f>IF($B1118="","",F1118*L1118/100)</f>
        <v/>
      </c>
      <c r="K1118" s="7" t="n"/>
      <c r="L1118" s="7" t="n"/>
      <c r="M1118" s="7">
        <f>IF($B1118="","",L1118*T1118/100)</f>
        <v/>
      </c>
      <c r="N1118" s="7">
        <f>IF($B1118="","",L1118-M1118)</f>
        <v/>
      </c>
      <c r="O1118" s="7">
        <f>IF($B1118="","",N1118-G1118)</f>
        <v/>
      </c>
      <c r="R1118" s="14" t="n"/>
      <c r="T1118">
        <f>IF($B1118="","",IF($W1118=1,Settings!$C$6,Settings!$C$7)*100)</f>
        <v/>
      </c>
      <c r="U1118">
        <f>IF($B1118="","",IF(COUNTIF($B$2:$B1118,$B1118)=1,1,0))</f>
        <v/>
      </c>
      <c r="V1118">
        <f>IF($U1118=1,SUMPRODUCT(--($X$2:$X$1501&lt;$X1118))+1,"")</f>
        <v/>
      </c>
      <c r="W1118">
        <f>IF($B1118="","",IF(OR($S1118=TRUE(),$S1118="TRUE"),1,0))</f>
        <v/>
      </c>
      <c r="X1118">
        <f>IF($U1118=1,IFERROR(IF(VALUE($B1118)&lt;100000000,VALUE($B1118),1000000000),IFERROR(IF(VALUE(MID($B1118,2,20))&lt;100000000,VALUE(MID($B1118,2,20)),1000000000),1000000000))+ROW()/100000,"")</f>
        <v/>
      </c>
    </row>
    <row r="1119">
      <c r="A1119">
        <f>IF($B1119="","",IFERROR(IF(INDEX('Per Invoice'!$C$2:$C$401,MATCH($B1119,'Per Invoice'!$A$2:$A$401,0))=0,"",INDEX('Per Invoice'!$C$2:$C$401,MATCH($B1119,'Per Invoice'!$A$2:$A$401,0))),""))</f>
        <v/>
      </c>
      <c r="G1119" s="7">
        <f>IF($B1119="","",F1119*L1119/100)</f>
        <v/>
      </c>
      <c r="K1119" s="7" t="n"/>
      <c r="L1119" s="7" t="n"/>
      <c r="M1119" s="7">
        <f>IF($B1119="","",L1119*T1119/100)</f>
        <v/>
      </c>
      <c r="N1119" s="7">
        <f>IF($B1119="","",L1119-M1119)</f>
        <v/>
      </c>
      <c r="O1119" s="7">
        <f>IF($B1119="","",N1119-G1119)</f>
        <v/>
      </c>
      <c r="R1119" s="14" t="n"/>
      <c r="T1119">
        <f>IF($B1119="","",IF($W1119=1,Settings!$C$6,Settings!$C$7)*100)</f>
        <v/>
      </c>
      <c r="U1119">
        <f>IF($B1119="","",IF(COUNTIF($B$2:$B1119,$B1119)=1,1,0))</f>
        <v/>
      </c>
      <c r="V1119">
        <f>IF($U1119=1,SUMPRODUCT(--($X$2:$X$1501&lt;$X1119))+1,"")</f>
        <v/>
      </c>
      <c r="W1119">
        <f>IF($B1119="","",IF(OR($S1119=TRUE(),$S1119="TRUE"),1,0))</f>
        <v/>
      </c>
      <c r="X1119">
        <f>IF($U1119=1,IFERROR(IF(VALUE($B1119)&lt;100000000,VALUE($B1119),1000000000),IFERROR(IF(VALUE(MID($B1119,2,20))&lt;100000000,VALUE(MID($B1119,2,20)),1000000000),1000000000))+ROW()/100000,"")</f>
        <v/>
      </c>
    </row>
    <row r="1120">
      <c r="A1120">
        <f>IF($B1120="","",IFERROR(IF(INDEX('Per Invoice'!$C$2:$C$401,MATCH($B1120,'Per Invoice'!$A$2:$A$401,0))=0,"",INDEX('Per Invoice'!$C$2:$C$401,MATCH($B1120,'Per Invoice'!$A$2:$A$401,0))),""))</f>
        <v/>
      </c>
      <c r="G1120" s="7">
        <f>IF($B1120="","",F1120*L1120/100)</f>
        <v/>
      </c>
      <c r="K1120" s="7" t="n"/>
      <c r="L1120" s="7" t="n"/>
      <c r="M1120" s="7">
        <f>IF($B1120="","",L1120*T1120/100)</f>
        <v/>
      </c>
      <c r="N1120" s="7">
        <f>IF($B1120="","",L1120-M1120)</f>
        <v/>
      </c>
      <c r="O1120" s="7">
        <f>IF($B1120="","",N1120-G1120)</f>
        <v/>
      </c>
      <c r="R1120" s="14" t="n"/>
      <c r="T1120">
        <f>IF($B1120="","",IF($W1120=1,Settings!$C$6,Settings!$C$7)*100)</f>
        <v/>
      </c>
      <c r="U1120">
        <f>IF($B1120="","",IF(COUNTIF($B$2:$B1120,$B1120)=1,1,0))</f>
        <v/>
      </c>
      <c r="V1120">
        <f>IF($U1120=1,SUMPRODUCT(--($X$2:$X$1501&lt;$X1120))+1,"")</f>
        <v/>
      </c>
      <c r="W1120">
        <f>IF($B1120="","",IF(OR($S1120=TRUE(),$S1120="TRUE"),1,0))</f>
        <v/>
      </c>
      <c r="X1120">
        <f>IF($U1120=1,IFERROR(IF(VALUE($B1120)&lt;100000000,VALUE($B1120),1000000000),IFERROR(IF(VALUE(MID($B1120,2,20))&lt;100000000,VALUE(MID($B1120,2,20)),1000000000),1000000000))+ROW()/100000,"")</f>
        <v/>
      </c>
    </row>
    <row r="1121">
      <c r="A1121">
        <f>IF($B1121="","",IFERROR(IF(INDEX('Per Invoice'!$C$2:$C$401,MATCH($B1121,'Per Invoice'!$A$2:$A$401,0))=0,"",INDEX('Per Invoice'!$C$2:$C$401,MATCH($B1121,'Per Invoice'!$A$2:$A$401,0))),""))</f>
        <v/>
      </c>
      <c r="G1121" s="7">
        <f>IF($B1121="","",F1121*L1121/100)</f>
        <v/>
      </c>
      <c r="K1121" s="7" t="n"/>
      <c r="L1121" s="7" t="n"/>
      <c r="M1121" s="7">
        <f>IF($B1121="","",L1121*T1121/100)</f>
        <v/>
      </c>
      <c r="N1121" s="7">
        <f>IF($B1121="","",L1121-M1121)</f>
        <v/>
      </c>
      <c r="O1121" s="7">
        <f>IF($B1121="","",N1121-G1121)</f>
        <v/>
      </c>
      <c r="R1121" s="14" t="n"/>
      <c r="T1121">
        <f>IF($B1121="","",IF($W1121=1,Settings!$C$6,Settings!$C$7)*100)</f>
        <v/>
      </c>
      <c r="U1121">
        <f>IF($B1121="","",IF(COUNTIF($B$2:$B1121,$B1121)=1,1,0))</f>
        <v/>
      </c>
      <c r="V1121">
        <f>IF($U1121=1,SUMPRODUCT(--($X$2:$X$1501&lt;$X1121))+1,"")</f>
        <v/>
      </c>
      <c r="W1121">
        <f>IF($B1121="","",IF(OR($S1121=TRUE(),$S1121="TRUE"),1,0))</f>
        <v/>
      </c>
      <c r="X1121">
        <f>IF($U1121=1,IFERROR(IF(VALUE($B1121)&lt;100000000,VALUE($B1121),1000000000),IFERROR(IF(VALUE(MID($B1121,2,20))&lt;100000000,VALUE(MID($B1121,2,20)),1000000000),1000000000))+ROW()/100000,"")</f>
        <v/>
      </c>
    </row>
    <row r="1122">
      <c r="A1122">
        <f>IF($B1122="","",IFERROR(IF(INDEX('Per Invoice'!$C$2:$C$401,MATCH($B1122,'Per Invoice'!$A$2:$A$401,0))=0,"",INDEX('Per Invoice'!$C$2:$C$401,MATCH($B1122,'Per Invoice'!$A$2:$A$401,0))),""))</f>
        <v/>
      </c>
      <c r="G1122" s="7">
        <f>IF($B1122="","",F1122*L1122/100)</f>
        <v/>
      </c>
      <c r="K1122" s="7" t="n"/>
      <c r="L1122" s="7" t="n"/>
      <c r="M1122" s="7">
        <f>IF($B1122="","",L1122*T1122/100)</f>
        <v/>
      </c>
      <c r="N1122" s="7">
        <f>IF($B1122="","",L1122-M1122)</f>
        <v/>
      </c>
      <c r="O1122" s="7">
        <f>IF($B1122="","",N1122-G1122)</f>
        <v/>
      </c>
      <c r="R1122" s="14" t="n"/>
      <c r="T1122">
        <f>IF($B1122="","",IF($W1122=1,Settings!$C$6,Settings!$C$7)*100)</f>
        <v/>
      </c>
      <c r="U1122">
        <f>IF($B1122="","",IF(COUNTIF($B$2:$B1122,$B1122)=1,1,0))</f>
        <v/>
      </c>
      <c r="V1122">
        <f>IF($U1122=1,SUMPRODUCT(--($X$2:$X$1501&lt;$X1122))+1,"")</f>
        <v/>
      </c>
      <c r="W1122">
        <f>IF($B1122="","",IF(OR($S1122=TRUE(),$S1122="TRUE"),1,0))</f>
        <v/>
      </c>
      <c r="X1122">
        <f>IF($U1122=1,IFERROR(IF(VALUE($B1122)&lt;100000000,VALUE($B1122),1000000000),IFERROR(IF(VALUE(MID($B1122,2,20))&lt;100000000,VALUE(MID($B1122,2,20)),1000000000),1000000000))+ROW()/100000,"")</f>
        <v/>
      </c>
    </row>
    <row r="1123">
      <c r="A1123">
        <f>IF($B1123="","",IFERROR(IF(INDEX('Per Invoice'!$C$2:$C$401,MATCH($B1123,'Per Invoice'!$A$2:$A$401,0))=0,"",INDEX('Per Invoice'!$C$2:$C$401,MATCH($B1123,'Per Invoice'!$A$2:$A$401,0))),""))</f>
        <v/>
      </c>
      <c r="G1123" s="7">
        <f>IF($B1123="","",F1123*L1123/100)</f>
        <v/>
      </c>
      <c r="K1123" s="7" t="n"/>
      <c r="L1123" s="7" t="n"/>
      <c r="M1123" s="7">
        <f>IF($B1123="","",L1123*T1123/100)</f>
        <v/>
      </c>
      <c r="N1123" s="7">
        <f>IF($B1123="","",L1123-M1123)</f>
        <v/>
      </c>
      <c r="O1123" s="7">
        <f>IF($B1123="","",N1123-G1123)</f>
        <v/>
      </c>
      <c r="R1123" s="14" t="n"/>
      <c r="T1123">
        <f>IF($B1123="","",IF($W1123=1,Settings!$C$6,Settings!$C$7)*100)</f>
        <v/>
      </c>
      <c r="U1123">
        <f>IF($B1123="","",IF(COUNTIF($B$2:$B1123,$B1123)=1,1,0))</f>
        <v/>
      </c>
      <c r="V1123">
        <f>IF($U1123=1,SUMPRODUCT(--($X$2:$X$1501&lt;$X1123))+1,"")</f>
        <v/>
      </c>
      <c r="W1123">
        <f>IF($B1123="","",IF(OR($S1123=TRUE(),$S1123="TRUE"),1,0))</f>
        <v/>
      </c>
      <c r="X1123">
        <f>IF($U1123=1,IFERROR(IF(VALUE($B1123)&lt;100000000,VALUE($B1123),1000000000),IFERROR(IF(VALUE(MID($B1123,2,20))&lt;100000000,VALUE(MID($B1123,2,20)),1000000000),1000000000))+ROW()/100000,"")</f>
        <v/>
      </c>
    </row>
    <row r="1124">
      <c r="A1124">
        <f>IF($B1124="","",IFERROR(IF(INDEX('Per Invoice'!$C$2:$C$401,MATCH($B1124,'Per Invoice'!$A$2:$A$401,0))=0,"",INDEX('Per Invoice'!$C$2:$C$401,MATCH($B1124,'Per Invoice'!$A$2:$A$401,0))),""))</f>
        <v/>
      </c>
      <c r="G1124" s="7">
        <f>IF($B1124="","",F1124*L1124/100)</f>
        <v/>
      </c>
      <c r="K1124" s="7" t="n"/>
      <c r="L1124" s="7" t="n"/>
      <c r="M1124" s="7">
        <f>IF($B1124="","",L1124*T1124/100)</f>
        <v/>
      </c>
      <c r="N1124" s="7">
        <f>IF($B1124="","",L1124-M1124)</f>
        <v/>
      </c>
      <c r="O1124" s="7">
        <f>IF($B1124="","",N1124-G1124)</f>
        <v/>
      </c>
      <c r="R1124" s="14" t="n"/>
      <c r="T1124">
        <f>IF($B1124="","",IF($W1124=1,Settings!$C$6,Settings!$C$7)*100)</f>
        <v/>
      </c>
      <c r="U1124">
        <f>IF($B1124="","",IF(COUNTIF($B$2:$B1124,$B1124)=1,1,0))</f>
        <v/>
      </c>
      <c r="V1124">
        <f>IF($U1124=1,SUMPRODUCT(--($X$2:$X$1501&lt;$X1124))+1,"")</f>
        <v/>
      </c>
      <c r="W1124">
        <f>IF($B1124="","",IF(OR($S1124=TRUE(),$S1124="TRUE"),1,0))</f>
        <v/>
      </c>
      <c r="X1124">
        <f>IF($U1124=1,IFERROR(IF(VALUE($B1124)&lt;100000000,VALUE($B1124),1000000000),IFERROR(IF(VALUE(MID($B1124,2,20))&lt;100000000,VALUE(MID($B1124,2,20)),1000000000),1000000000))+ROW()/100000,"")</f>
        <v/>
      </c>
    </row>
    <row r="1125">
      <c r="A1125">
        <f>IF($B1125="","",IFERROR(IF(INDEX('Per Invoice'!$C$2:$C$401,MATCH($B1125,'Per Invoice'!$A$2:$A$401,0))=0,"",INDEX('Per Invoice'!$C$2:$C$401,MATCH($B1125,'Per Invoice'!$A$2:$A$401,0))),""))</f>
        <v/>
      </c>
      <c r="G1125" s="7">
        <f>IF($B1125="","",F1125*L1125/100)</f>
        <v/>
      </c>
      <c r="K1125" s="7" t="n"/>
      <c r="L1125" s="7" t="n"/>
      <c r="M1125" s="7">
        <f>IF($B1125="","",L1125*T1125/100)</f>
        <v/>
      </c>
      <c r="N1125" s="7">
        <f>IF($B1125="","",L1125-M1125)</f>
        <v/>
      </c>
      <c r="O1125" s="7">
        <f>IF($B1125="","",N1125-G1125)</f>
        <v/>
      </c>
      <c r="R1125" s="14" t="n"/>
      <c r="T1125">
        <f>IF($B1125="","",IF($W1125=1,Settings!$C$6,Settings!$C$7)*100)</f>
        <v/>
      </c>
      <c r="U1125">
        <f>IF($B1125="","",IF(COUNTIF($B$2:$B1125,$B1125)=1,1,0))</f>
        <v/>
      </c>
      <c r="V1125">
        <f>IF($U1125=1,SUMPRODUCT(--($X$2:$X$1501&lt;$X1125))+1,"")</f>
        <v/>
      </c>
      <c r="W1125">
        <f>IF($B1125="","",IF(OR($S1125=TRUE(),$S1125="TRUE"),1,0))</f>
        <v/>
      </c>
      <c r="X1125">
        <f>IF($U1125=1,IFERROR(IF(VALUE($B1125)&lt;100000000,VALUE($B1125),1000000000),IFERROR(IF(VALUE(MID($B1125,2,20))&lt;100000000,VALUE(MID($B1125,2,20)),1000000000),1000000000))+ROW()/100000,"")</f>
        <v/>
      </c>
    </row>
    <row r="1126">
      <c r="A1126">
        <f>IF($B1126="","",IFERROR(IF(INDEX('Per Invoice'!$C$2:$C$401,MATCH($B1126,'Per Invoice'!$A$2:$A$401,0))=0,"",INDEX('Per Invoice'!$C$2:$C$401,MATCH($B1126,'Per Invoice'!$A$2:$A$401,0))),""))</f>
        <v/>
      </c>
      <c r="G1126" s="7">
        <f>IF($B1126="","",F1126*L1126/100)</f>
        <v/>
      </c>
      <c r="K1126" s="7" t="n"/>
      <c r="L1126" s="7" t="n"/>
      <c r="M1126" s="7">
        <f>IF($B1126="","",L1126*T1126/100)</f>
        <v/>
      </c>
      <c r="N1126" s="7">
        <f>IF($B1126="","",L1126-M1126)</f>
        <v/>
      </c>
      <c r="O1126" s="7">
        <f>IF($B1126="","",N1126-G1126)</f>
        <v/>
      </c>
      <c r="R1126" s="14" t="n"/>
      <c r="T1126">
        <f>IF($B1126="","",IF($W1126=1,Settings!$C$6,Settings!$C$7)*100)</f>
        <v/>
      </c>
      <c r="U1126">
        <f>IF($B1126="","",IF(COUNTIF($B$2:$B1126,$B1126)=1,1,0))</f>
        <v/>
      </c>
      <c r="V1126">
        <f>IF($U1126=1,SUMPRODUCT(--($X$2:$X$1501&lt;$X1126))+1,"")</f>
        <v/>
      </c>
      <c r="W1126">
        <f>IF($B1126="","",IF(OR($S1126=TRUE(),$S1126="TRUE"),1,0))</f>
        <v/>
      </c>
      <c r="X1126">
        <f>IF($U1126=1,IFERROR(IF(VALUE($B1126)&lt;100000000,VALUE($B1126),1000000000),IFERROR(IF(VALUE(MID($B1126,2,20))&lt;100000000,VALUE(MID($B1126,2,20)),1000000000),1000000000))+ROW()/100000,"")</f>
        <v/>
      </c>
    </row>
    <row r="1127">
      <c r="A1127">
        <f>IF($B1127="","",IFERROR(IF(INDEX('Per Invoice'!$C$2:$C$401,MATCH($B1127,'Per Invoice'!$A$2:$A$401,0))=0,"",INDEX('Per Invoice'!$C$2:$C$401,MATCH($B1127,'Per Invoice'!$A$2:$A$401,0))),""))</f>
        <v/>
      </c>
      <c r="G1127" s="7">
        <f>IF($B1127="","",F1127*L1127/100)</f>
        <v/>
      </c>
      <c r="K1127" s="7" t="n"/>
      <c r="L1127" s="7" t="n"/>
      <c r="M1127" s="7">
        <f>IF($B1127="","",L1127*T1127/100)</f>
        <v/>
      </c>
      <c r="N1127" s="7">
        <f>IF($B1127="","",L1127-M1127)</f>
        <v/>
      </c>
      <c r="O1127" s="7">
        <f>IF($B1127="","",N1127-G1127)</f>
        <v/>
      </c>
      <c r="R1127" s="14" t="n"/>
      <c r="T1127">
        <f>IF($B1127="","",IF($W1127=1,Settings!$C$6,Settings!$C$7)*100)</f>
        <v/>
      </c>
      <c r="U1127">
        <f>IF($B1127="","",IF(COUNTIF($B$2:$B1127,$B1127)=1,1,0))</f>
        <v/>
      </c>
      <c r="V1127">
        <f>IF($U1127=1,SUMPRODUCT(--($X$2:$X$1501&lt;$X1127))+1,"")</f>
        <v/>
      </c>
      <c r="W1127">
        <f>IF($B1127="","",IF(OR($S1127=TRUE(),$S1127="TRUE"),1,0))</f>
        <v/>
      </c>
      <c r="X1127">
        <f>IF($U1127=1,IFERROR(IF(VALUE($B1127)&lt;100000000,VALUE($B1127),1000000000),IFERROR(IF(VALUE(MID($B1127,2,20))&lt;100000000,VALUE(MID($B1127,2,20)),1000000000),1000000000))+ROW()/100000,"")</f>
        <v/>
      </c>
    </row>
    <row r="1128">
      <c r="A1128">
        <f>IF($B1128="","",IFERROR(IF(INDEX('Per Invoice'!$C$2:$C$401,MATCH($B1128,'Per Invoice'!$A$2:$A$401,0))=0,"",INDEX('Per Invoice'!$C$2:$C$401,MATCH($B1128,'Per Invoice'!$A$2:$A$401,0))),""))</f>
        <v/>
      </c>
      <c r="G1128" s="7">
        <f>IF($B1128="","",F1128*L1128/100)</f>
        <v/>
      </c>
      <c r="K1128" s="7" t="n"/>
      <c r="L1128" s="7" t="n"/>
      <c r="M1128" s="7">
        <f>IF($B1128="","",L1128*T1128/100)</f>
        <v/>
      </c>
      <c r="N1128" s="7">
        <f>IF($B1128="","",L1128-M1128)</f>
        <v/>
      </c>
      <c r="O1128" s="7">
        <f>IF($B1128="","",N1128-G1128)</f>
        <v/>
      </c>
      <c r="R1128" s="14" t="n"/>
      <c r="T1128">
        <f>IF($B1128="","",IF($W1128=1,Settings!$C$6,Settings!$C$7)*100)</f>
        <v/>
      </c>
      <c r="U1128">
        <f>IF($B1128="","",IF(COUNTIF($B$2:$B1128,$B1128)=1,1,0))</f>
        <v/>
      </c>
      <c r="V1128">
        <f>IF($U1128=1,SUMPRODUCT(--($X$2:$X$1501&lt;$X1128))+1,"")</f>
        <v/>
      </c>
      <c r="W1128">
        <f>IF($B1128="","",IF(OR($S1128=TRUE(),$S1128="TRUE"),1,0))</f>
        <v/>
      </c>
      <c r="X1128">
        <f>IF($U1128=1,IFERROR(IF(VALUE($B1128)&lt;100000000,VALUE($B1128),1000000000),IFERROR(IF(VALUE(MID($B1128,2,20))&lt;100000000,VALUE(MID($B1128,2,20)),1000000000),1000000000))+ROW()/100000,"")</f>
        <v/>
      </c>
    </row>
    <row r="1129">
      <c r="A1129">
        <f>IF($B1129="","",IFERROR(IF(INDEX('Per Invoice'!$C$2:$C$401,MATCH($B1129,'Per Invoice'!$A$2:$A$401,0))=0,"",INDEX('Per Invoice'!$C$2:$C$401,MATCH($B1129,'Per Invoice'!$A$2:$A$401,0))),""))</f>
        <v/>
      </c>
      <c r="G1129" s="7">
        <f>IF($B1129="","",F1129*L1129/100)</f>
        <v/>
      </c>
      <c r="K1129" s="7" t="n"/>
      <c r="L1129" s="7" t="n"/>
      <c r="M1129" s="7">
        <f>IF($B1129="","",L1129*T1129/100)</f>
        <v/>
      </c>
      <c r="N1129" s="7">
        <f>IF($B1129="","",L1129-M1129)</f>
        <v/>
      </c>
      <c r="O1129" s="7">
        <f>IF($B1129="","",N1129-G1129)</f>
        <v/>
      </c>
      <c r="R1129" s="14" t="n"/>
      <c r="T1129">
        <f>IF($B1129="","",IF($W1129=1,Settings!$C$6,Settings!$C$7)*100)</f>
        <v/>
      </c>
      <c r="U1129">
        <f>IF($B1129="","",IF(COUNTIF($B$2:$B1129,$B1129)=1,1,0))</f>
        <v/>
      </c>
      <c r="V1129">
        <f>IF($U1129=1,SUMPRODUCT(--($X$2:$X$1501&lt;$X1129))+1,"")</f>
        <v/>
      </c>
      <c r="W1129">
        <f>IF($B1129="","",IF(OR($S1129=TRUE(),$S1129="TRUE"),1,0))</f>
        <v/>
      </c>
      <c r="X1129">
        <f>IF($U1129=1,IFERROR(IF(VALUE($B1129)&lt;100000000,VALUE($B1129),1000000000),IFERROR(IF(VALUE(MID($B1129,2,20))&lt;100000000,VALUE(MID($B1129,2,20)),1000000000),1000000000))+ROW()/100000,"")</f>
        <v/>
      </c>
    </row>
    <row r="1130">
      <c r="A1130">
        <f>IF($B1130="","",IFERROR(IF(INDEX('Per Invoice'!$C$2:$C$401,MATCH($B1130,'Per Invoice'!$A$2:$A$401,0))=0,"",INDEX('Per Invoice'!$C$2:$C$401,MATCH($B1130,'Per Invoice'!$A$2:$A$401,0))),""))</f>
        <v/>
      </c>
      <c r="G1130" s="7">
        <f>IF($B1130="","",F1130*L1130/100)</f>
        <v/>
      </c>
      <c r="K1130" s="7" t="n"/>
      <c r="L1130" s="7" t="n"/>
      <c r="M1130" s="7">
        <f>IF($B1130="","",L1130*T1130/100)</f>
        <v/>
      </c>
      <c r="N1130" s="7">
        <f>IF($B1130="","",L1130-M1130)</f>
        <v/>
      </c>
      <c r="O1130" s="7">
        <f>IF($B1130="","",N1130-G1130)</f>
        <v/>
      </c>
      <c r="R1130" s="14" t="n"/>
      <c r="T1130">
        <f>IF($B1130="","",IF($W1130=1,Settings!$C$6,Settings!$C$7)*100)</f>
        <v/>
      </c>
      <c r="U1130">
        <f>IF($B1130="","",IF(COUNTIF($B$2:$B1130,$B1130)=1,1,0))</f>
        <v/>
      </c>
      <c r="V1130">
        <f>IF($U1130=1,SUMPRODUCT(--($X$2:$X$1501&lt;$X1130))+1,"")</f>
        <v/>
      </c>
      <c r="W1130">
        <f>IF($B1130="","",IF(OR($S1130=TRUE(),$S1130="TRUE"),1,0))</f>
        <v/>
      </c>
      <c r="X1130">
        <f>IF($U1130=1,IFERROR(IF(VALUE($B1130)&lt;100000000,VALUE($B1130),1000000000),IFERROR(IF(VALUE(MID($B1130,2,20))&lt;100000000,VALUE(MID($B1130,2,20)),1000000000),1000000000))+ROW()/100000,"")</f>
        <v/>
      </c>
    </row>
    <row r="1131">
      <c r="A1131">
        <f>IF($B1131="","",IFERROR(IF(INDEX('Per Invoice'!$C$2:$C$401,MATCH($B1131,'Per Invoice'!$A$2:$A$401,0))=0,"",INDEX('Per Invoice'!$C$2:$C$401,MATCH($B1131,'Per Invoice'!$A$2:$A$401,0))),""))</f>
        <v/>
      </c>
      <c r="G1131" s="7">
        <f>IF($B1131="","",F1131*L1131/100)</f>
        <v/>
      </c>
      <c r="K1131" s="7" t="n"/>
      <c r="L1131" s="7" t="n"/>
      <c r="M1131" s="7">
        <f>IF($B1131="","",L1131*T1131/100)</f>
        <v/>
      </c>
      <c r="N1131" s="7">
        <f>IF($B1131="","",L1131-M1131)</f>
        <v/>
      </c>
      <c r="O1131" s="7">
        <f>IF($B1131="","",N1131-G1131)</f>
        <v/>
      </c>
      <c r="R1131" s="14" t="n"/>
      <c r="T1131">
        <f>IF($B1131="","",IF($W1131=1,Settings!$C$6,Settings!$C$7)*100)</f>
        <v/>
      </c>
      <c r="U1131">
        <f>IF($B1131="","",IF(COUNTIF($B$2:$B1131,$B1131)=1,1,0))</f>
        <v/>
      </c>
      <c r="V1131">
        <f>IF($U1131=1,SUMPRODUCT(--($X$2:$X$1501&lt;$X1131))+1,"")</f>
        <v/>
      </c>
      <c r="W1131">
        <f>IF($B1131="","",IF(OR($S1131=TRUE(),$S1131="TRUE"),1,0))</f>
        <v/>
      </c>
      <c r="X1131">
        <f>IF($U1131=1,IFERROR(IF(VALUE($B1131)&lt;100000000,VALUE($B1131),1000000000),IFERROR(IF(VALUE(MID($B1131,2,20))&lt;100000000,VALUE(MID($B1131,2,20)),1000000000),1000000000))+ROW()/100000,"")</f>
        <v/>
      </c>
    </row>
    <row r="1132">
      <c r="A1132">
        <f>IF($B1132="","",IFERROR(IF(INDEX('Per Invoice'!$C$2:$C$401,MATCH($B1132,'Per Invoice'!$A$2:$A$401,0))=0,"",INDEX('Per Invoice'!$C$2:$C$401,MATCH($B1132,'Per Invoice'!$A$2:$A$401,0))),""))</f>
        <v/>
      </c>
      <c r="G1132" s="7">
        <f>IF($B1132="","",F1132*L1132/100)</f>
        <v/>
      </c>
      <c r="K1132" s="7" t="n"/>
      <c r="L1132" s="7" t="n"/>
      <c r="M1132" s="7">
        <f>IF($B1132="","",L1132*T1132/100)</f>
        <v/>
      </c>
      <c r="N1132" s="7">
        <f>IF($B1132="","",L1132-M1132)</f>
        <v/>
      </c>
      <c r="O1132" s="7">
        <f>IF($B1132="","",N1132-G1132)</f>
        <v/>
      </c>
      <c r="R1132" s="14" t="n"/>
      <c r="T1132">
        <f>IF($B1132="","",IF($W1132=1,Settings!$C$6,Settings!$C$7)*100)</f>
        <v/>
      </c>
      <c r="U1132">
        <f>IF($B1132="","",IF(COUNTIF($B$2:$B1132,$B1132)=1,1,0))</f>
        <v/>
      </c>
      <c r="V1132">
        <f>IF($U1132=1,SUMPRODUCT(--($X$2:$X$1501&lt;$X1132))+1,"")</f>
        <v/>
      </c>
      <c r="W1132">
        <f>IF($B1132="","",IF(OR($S1132=TRUE(),$S1132="TRUE"),1,0))</f>
        <v/>
      </c>
      <c r="X1132">
        <f>IF($U1132=1,IFERROR(IF(VALUE($B1132)&lt;100000000,VALUE($B1132),1000000000),IFERROR(IF(VALUE(MID($B1132,2,20))&lt;100000000,VALUE(MID($B1132,2,20)),1000000000),1000000000))+ROW()/100000,"")</f>
        <v/>
      </c>
    </row>
    <row r="1133">
      <c r="A1133">
        <f>IF($B1133="","",IFERROR(IF(INDEX('Per Invoice'!$C$2:$C$401,MATCH($B1133,'Per Invoice'!$A$2:$A$401,0))=0,"",INDEX('Per Invoice'!$C$2:$C$401,MATCH($B1133,'Per Invoice'!$A$2:$A$401,0))),""))</f>
        <v/>
      </c>
      <c r="G1133" s="7">
        <f>IF($B1133="","",F1133*L1133/100)</f>
        <v/>
      </c>
      <c r="K1133" s="7" t="n"/>
      <c r="L1133" s="7" t="n"/>
      <c r="M1133" s="7">
        <f>IF($B1133="","",L1133*T1133/100)</f>
        <v/>
      </c>
      <c r="N1133" s="7">
        <f>IF($B1133="","",L1133-M1133)</f>
        <v/>
      </c>
      <c r="O1133" s="7">
        <f>IF($B1133="","",N1133-G1133)</f>
        <v/>
      </c>
      <c r="R1133" s="14" t="n"/>
      <c r="T1133">
        <f>IF($B1133="","",IF($W1133=1,Settings!$C$6,Settings!$C$7)*100)</f>
        <v/>
      </c>
      <c r="U1133">
        <f>IF($B1133="","",IF(COUNTIF($B$2:$B1133,$B1133)=1,1,0))</f>
        <v/>
      </c>
      <c r="V1133">
        <f>IF($U1133=1,SUMPRODUCT(--($X$2:$X$1501&lt;$X1133))+1,"")</f>
        <v/>
      </c>
      <c r="W1133">
        <f>IF($B1133="","",IF(OR($S1133=TRUE(),$S1133="TRUE"),1,0))</f>
        <v/>
      </c>
      <c r="X1133">
        <f>IF($U1133=1,IFERROR(IF(VALUE($B1133)&lt;100000000,VALUE($B1133),1000000000),IFERROR(IF(VALUE(MID($B1133,2,20))&lt;100000000,VALUE(MID($B1133,2,20)),1000000000),1000000000))+ROW()/100000,"")</f>
        <v/>
      </c>
    </row>
    <row r="1134">
      <c r="A1134">
        <f>IF($B1134="","",IFERROR(IF(INDEX('Per Invoice'!$C$2:$C$401,MATCH($B1134,'Per Invoice'!$A$2:$A$401,0))=0,"",INDEX('Per Invoice'!$C$2:$C$401,MATCH($B1134,'Per Invoice'!$A$2:$A$401,0))),""))</f>
        <v/>
      </c>
      <c r="G1134" s="7">
        <f>IF($B1134="","",F1134*L1134/100)</f>
        <v/>
      </c>
      <c r="K1134" s="7" t="n"/>
      <c r="L1134" s="7" t="n"/>
      <c r="M1134" s="7">
        <f>IF($B1134="","",L1134*T1134/100)</f>
        <v/>
      </c>
      <c r="N1134" s="7">
        <f>IF($B1134="","",L1134-M1134)</f>
        <v/>
      </c>
      <c r="O1134" s="7">
        <f>IF($B1134="","",N1134-G1134)</f>
        <v/>
      </c>
      <c r="R1134" s="14" t="n"/>
      <c r="T1134">
        <f>IF($B1134="","",IF($W1134=1,Settings!$C$6,Settings!$C$7)*100)</f>
        <v/>
      </c>
      <c r="U1134">
        <f>IF($B1134="","",IF(COUNTIF($B$2:$B1134,$B1134)=1,1,0))</f>
        <v/>
      </c>
      <c r="V1134">
        <f>IF($U1134=1,SUMPRODUCT(--($X$2:$X$1501&lt;$X1134))+1,"")</f>
        <v/>
      </c>
      <c r="W1134">
        <f>IF($B1134="","",IF(OR($S1134=TRUE(),$S1134="TRUE"),1,0))</f>
        <v/>
      </c>
      <c r="X1134">
        <f>IF($U1134=1,IFERROR(IF(VALUE($B1134)&lt;100000000,VALUE($B1134),1000000000),IFERROR(IF(VALUE(MID($B1134,2,20))&lt;100000000,VALUE(MID($B1134,2,20)),1000000000),1000000000))+ROW()/100000,"")</f>
        <v/>
      </c>
    </row>
    <row r="1135">
      <c r="A1135">
        <f>IF($B1135="","",IFERROR(IF(INDEX('Per Invoice'!$C$2:$C$401,MATCH($B1135,'Per Invoice'!$A$2:$A$401,0))=0,"",INDEX('Per Invoice'!$C$2:$C$401,MATCH($B1135,'Per Invoice'!$A$2:$A$401,0))),""))</f>
        <v/>
      </c>
      <c r="G1135" s="7">
        <f>IF($B1135="","",F1135*L1135/100)</f>
        <v/>
      </c>
      <c r="K1135" s="7" t="n"/>
      <c r="L1135" s="7" t="n"/>
      <c r="M1135" s="7">
        <f>IF($B1135="","",L1135*T1135/100)</f>
        <v/>
      </c>
      <c r="N1135" s="7">
        <f>IF($B1135="","",L1135-M1135)</f>
        <v/>
      </c>
      <c r="O1135" s="7">
        <f>IF($B1135="","",N1135-G1135)</f>
        <v/>
      </c>
      <c r="R1135" s="14" t="n"/>
      <c r="T1135">
        <f>IF($B1135="","",IF($W1135=1,Settings!$C$6,Settings!$C$7)*100)</f>
        <v/>
      </c>
      <c r="U1135">
        <f>IF($B1135="","",IF(COUNTIF($B$2:$B1135,$B1135)=1,1,0))</f>
        <v/>
      </c>
      <c r="V1135">
        <f>IF($U1135=1,SUMPRODUCT(--($X$2:$X$1501&lt;$X1135))+1,"")</f>
        <v/>
      </c>
      <c r="W1135">
        <f>IF($B1135="","",IF(OR($S1135=TRUE(),$S1135="TRUE"),1,0))</f>
        <v/>
      </c>
      <c r="X1135">
        <f>IF($U1135=1,IFERROR(IF(VALUE($B1135)&lt;100000000,VALUE($B1135),1000000000),IFERROR(IF(VALUE(MID($B1135,2,20))&lt;100000000,VALUE(MID($B1135,2,20)),1000000000),1000000000))+ROW()/100000,"")</f>
        <v/>
      </c>
    </row>
    <row r="1136">
      <c r="A1136">
        <f>IF($B1136="","",IFERROR(IF(INDEX('Per Invoice'!$C$2:$C$401,MATCH($B1136,'Per Invoice'!$A$2:$A$401,0))=0,"",INDEX('Per Invoice'!$C$2:$C$401,MATCH($B1136,'Per Invoice'!$A$2:$A$401,0))),""))</f>
        <v/>
      </c>
      <c r="G1136" s="7">
        <f>IF($B1136="","",F1136*L1136/100)</f>
        <v/>
      </c>
      <c r="K1136" s="7" t="n"/>
      <c r="L1136" s="7" t="n"/>
      <c r="M1136" s="7">
        <f>IF($B1136="","",L1136*T1136/100)</f>
        <v/>
      </c>
      <c r="N1136" s="7">
        <f>IF($B1136="","",L1136-M1136)</f>
        <v/>
      </c>
      <c r="O1136" s="7">
        <f>IF($B1136="","",N1136-G1136)</f>
        <v/>
      </c>
      <c r="R1136" s="14" t="n"/>
      <c r="T1136">
        <f>IF($B1136="","",IF($W1136=1,Settings!$C$6,Settings!$C$7)*100)</f>
        <v/>
      </c>
      <c r="U1136">
        <f>IF($B1136="","",IF(COUNTIF($B$2:$B1136,$B1136)=1,1,0))</f>
        <v/>
      </c>
      <c r="V1136">
        <f>IF($U1136=1,SUMPRODUCT(--($X$2:$X$1501&lt;$X1136))+1,"")</f>
        <v/>
      </c>
      <c r="W1136">
        <f>IF($B1136="","",IF(OR($S1136=TRUE(),$S1136="TRUE"),1,0))</f>
        <v/>
      </c>
      <c r="X1136">
        <f>IF($U1136=1,IFERROR(IF(VALUE($B1136)&lt;100000000,VALUE($B1136),1000000000),IFERROR(IF(VALUE(MID($B1136,2,20))&lt;100000000,VALUE(MID($B1136,2,20)),1000000000),1000000000))+ROW()/100000,"")</f>
        <v/>
      </c>
    </row>
    <row r="1137">
      <c r="A1137">
        <f>IF($B1137="","",IFERROR(IF(INDEX('Per Invoice'!$C$2:$C$401,MATCH($B1137,'Per Invoice'!$A$2:$A$401,0))=0,"",INDEX('Per Invoice'!$C$2:$C$401,MATCH($B1137,'Per Invoice'!$A$2:$A$401,0))),""))</f>
        <v/>
      </c>
      <c r="G1137" s="7">
        <f>IF($B1137="","",F1137*L1137/100)</f>
        <v/>
      </c>
      <c r="K1137" s="7" t="n"/>
      <c r="L1137" s="7" t="n"/>
      <c r="M1137" s="7">
        <f>IF($B1137="","",L1137*T1137/100)</f>
        <v/>
      </c>
      <c r="N1137" s="7">
        <f>IF($B1137="","",L1137-M1137)</f>
        <v/>
      </c>
      <c r="O1137" s="7">
        <f>IF($B1137="","",N1137-G1137)</f>
        <v/>
      </c>
      <c r="R1137" s="14" t="n"/>
      <c r="T1137">
        <f>IF($B1137="","",IF($W1137=1,Settings!$C$6,Settings!$C$7)*100)</f>
        <v/>
      </c>
      <c r="U1137">
        <f>IF($B1137="","",IF(COUNTIF($B$2:$B1137,$B1137)=1,1,0))</f>
        <v/>
      </c>
      <c r="V1137">
        <f>IF($U1137=1,SUMPRODUCT(--($X$2:$X$1501&lt;$X1137))+1,"")</f>
        <v/>
      </c>
      <c r="W1137">
        <f>IF($B1137="","",IF(OR($S1137=TRUE(),$S1137="TRUE"),1,0))</f>
        <v/>
      </c>
      <c r="X1137">
        <f>IF($U1137=1,IFERROR(IF(VALUE($B1137)&lt;100000000,VALUE($B1137),1000000000),IFERROR(IF(VALUE(MID($B1137,2,20))&lt;100000000,VALUE(MID($B1137,2,20)),1000000000),1000000000))+ROW()/100000,"")</f>
        <v/>
      </c>
    </row>
    <row r="1138">
      <c r="A1138">
        <f>IF($B1138="","",IFERROR(IF(INDEX('Per Invoice'!$C$2:$C$401,MATCH($B1138,'Per Invoice'!$A$2:$A$401,0))=0,"",INDEX('Per Invoice'!$C$2:$C$401,MATCH($B1138,'Per Invoice'!$A$2:$A$401,0))),""))</f>
        <v/>
      </c>
      <c r="G1138" s="7">
        <f>IF($B1138="","",F1138*L1138/100)</f>
        <v/>
      </c>
      <c r="K1138" s="7" t="n"/>
      <c r="L1138" s="7" t="n"/>
      <c r="M1138" s="7">
        <f>IF($B1138="","",L1138*T1138/100)</f>
        <v/>
      </c>
      <c r="N1138" s="7">
        <f>IF($B1138="","",L1138-M1138)</f>
        <v/>
      </c>
      <c r="O1138" s="7">
        <f>IF($B1138="","",N1138-G1138)</f>
        <v/>
      </c>
      <c r="R1138" s="14" t="n"/>
      <c r="T1138">
        <f>IF($B1138="","",IF($W1138=1,Settings!$C$6,Settings!$C$7)*100)</f>
        <v/>
      </c>
      <c r="U1138">
        <f>IF($B1138="","",IF(COUNTIF($B$2:$B1138,$B1138)=1,1,0))</f>
        <v/>
      </c>
      <c r="V1138">
        <f>IF($U1138=1,SUMPRODUCT(--($X$2:$X$1501&lt;$X1138))+1,"")</f>
        <v/>
      </c>
      <c r="W1138">
        <f>IF($B1138="","",IF(OR($S1138=TRUE(),$S1138="TRUE"),1,0))</f>
        <v/>
      </c>
      <c r="X1138">
        <f>IF($U1138=1,IFERROR(IF(VALUE($B1138)&lt;100000000,VALUE($B1138),1000000000),IFERROR(IF(VALUE(MID($B1138,2,20))&lt;100000000,VALUE(MID($B1138,2,20)),1000000000),1000000000))+ROW()/100000,"")</f>
        <v/>
      </c>
    </row>
    <row r="1139">
      <c r="A1139">
        <f>IF($B1139="","",IFERROR(IF(INDEX('Per Invoice'!$C$2:$C$401,MATCH($B1139,'Per Invoice'!$A$2:$A$401,0))=0,"",INDEX('Per Invoice'!$C$2:$C$401,MATCH($B1139,'Per Invoice'!$A$2:$A$401,0))),""))</f>
        <v/>
      </c>
      <c r="G1139" s="7">
        <f>IF($B1139="","",F1139*L1139/100)</f>
        <v/>
      </c>
      <c r="K1139" s="7" t="n"/>
      <c r="L1139" s="7" t="n"/>
      <c r="M1139" s="7">
        <f>IF($B1139="","",L1139*T1139/100)</f>
        <v/>
      </c>
      <c r="N1139" s="7">
        <f>IF($B1139="","",L1139-M1139)</f>
        <v/>
      </c>
      <c r="O1139" s="7">
        <f>IF($B1139="","",N1139-G1139)</f>
        <v/>
      </c>
      <c r="R1139" s="14" t="n"/>
      <c r="T1139">
        <f>IF($B1139="","",IF($W1139=1,Settings!$C$6,Settings!$C$7)*100)</f>
        <v/>
      </c>
      <c r="U1139">
        <f>IF($B1139="","",IF(COUNTIF($B$2:$B1139,$B1139)=1,1,0))</f>
        <v/>
      </c>
      <c r="V1139">
        <f>IF($U1139=1,SUMPRODUCT(--($X$2:$X$1501&lt;$X1139))+1,"")</f>
        <v/>
      </c>
      <c r="W1139">
        <f>IF($B1139="","",IF(OR($S1139=TRUE(),$S1139="TRUE"),1,0))</f>
        <v/>
      </c>
      <c r="X1139">
        <f>IF($U1139=1,IFERROR(IF(VALUE($B1139)&lt;100000000,VALUE($B1139),1000000000),IFERROR(IF(VALUE(MID($B1139,2,20))&lt;100000000,VALUE(MID($B1139,2,20)),1000000000),1000000000))+ROW()/100000,"")</f>
        <v/>
      </c>
    </row>
    <row r="1140">
      <c r="A1140">
        <f>IF($B1140="","",IFERROR(IF(INDEX('Per Invoice'!$C$2:$C$401,MATCH($B1140,'Per Invoice'!$A$2:$A$401,0))=0,"",INDEX('Per Invoice'!$C$2:$C$401,MATCH($B1140,'Per Invoice'!$A$2:$A$401,0))),""))</f>
        <v/>
      </c>
      <c r="G1140" s="7">
        <f>IF($B1140="","",F1140*L1140/100)</f>
        <v/>
      </c>
      <c r="K1140" s="7" t="n"/>
      <c r="L1140" s="7" t="n"/>
      <c r="M1140" s="7">
        <f>IF($B1140="","",L1140*T1140/100)</f>
        <v/>
      </c>
      <c r="N1140" s="7">
        <f>IF($B1140="","",L1140-M1140)</f>
        <v/>
      </c>
      <c r="O1140" s="7">
        <f>IF($B1140="","",N1140-G1140)</f>
        <v/>
      </c>
      <c r="R1140" s="14" t="n"/>
      <c r="T1140">
        <f>IF($B1140="","",IF($W1140=1,Settings!$C$6,Settings!$C$7)*100)</f>
        <v/>
      </c>
      <c r="U1140">
        <f>IF($B1140="","",IF(COUNTIF($B$2:$B1140,$B1140)=1,1,0))</f>
        <v/>
      </c>
      <c r="V1140">
        <f>IF($U1140=1,SUMPRODUCT(--($X$2:$X$1501&lt;$X1140))+1,"")</f>
        <v/>
      </c>
      <c r="W1140">
        <f>IF($B1140="","",IF(OR($S1140=TRUE(),$S1140="TRUE"),1,0))</f>
        <v/>
      </c>
      <c r="X1140">
        <f>IF($U1140=1,IFERROR(IF(VALUE($B1140)&lt;100000000,VALUE($B1140),1000000000),IFERROR(IF(VALUE(MID($B1140,2,20))&lt;100000000,VALUE(MID($B1140,2,20)),1000000000),1000000000))+ROW()/100000,"")</f>
        <v/>
      </c>
    </row>
    <row r="1141">
      <c r="A1141">
        <f>IF($B1141="","",IFERROR(IF(INDEX('Per Invoice'!$C$2:$C$401,MATCH($B1141,'Per Invoice'!$A$2:$A$401,0))=0,"",INDEX('Per Invoice'!$C$2:$C$401,MATCH($B1141,'Per Invoice'!$A$2:$A$401,0))),""))</f>
        <v/>
      </c>
      <c r="G1141" s="7">
        <f>IF($B1141="","",F1141*L1141/100)</f>
        <v/>
      </c>
      <c r="K1141" s="7" t="n"/>
      <c r="L1141" s="7" t="n"/>
      <c r="M1141" s="7">
        <f>IF($B1141="","",L1141*T1141/100)</f>
        <v/>
      </c>
      <c r="N1141" s="7">
        <f>IF($B1141="","",L1141-M1141)</f>
        <v/>
      </c>
      <c r="O1141" s="7">
        <f>IF($B1141="","",N1141-G1141)</f>
        <v/>
      </c>
      <c r="R1141" s="14" t="n"/>
      <c r="T1141">
        <f>IF($B1141="","",IF($W1141=1,Settings!$C$6,Settings!$C$7)*100)</f>
        <v/>
      </c>
      <c r="U1141">
        <f>IF($B1141="","",IF(COUNTIF($B$2:$B1141,$B1141)=1,1,0))</f>
        <v/>
      </c>
      <c r="V1141">
        <f>IF($U1141=1,SUMPRODUCT(--($X$2:$X$1501&lt;$X1141))+1,"")</f>
        <v/>
      </c>
      <c r="W1141">
        <f>IF($B1141="","",IF(OR($S1141=TRUE(),$S1141="TRUE"),1,0))</f>
        <v/>
      </c>
      <c r="X1141">
        <f>IF($U1141=1,IFERROR(IF(VALUE($B1141)&lt;100000000,VALUE($B1141),1000000000),IFERROR(IF(VALUE(MID($B1141,2,20))&lt;100000000,VALUE(MID($B1141,2,20)),1000000000),1000000000))+ROW()/100000,"")</f>
        <v/>
      </c>
    </row>
    <row r="1142">
      <c r="A1142">
        <f>IF($B1142="","",IFERROR(IF(INDEX('Per Invoice'!$C$2:$C$401,MATCH($B1142,'Per Invoice'!$A$2:$A$401,0))=0,"",INDEX('Per Invoice'!$C$2:$C$401,MATCH($B1142,'Per Invoice'!$A$2:$A$401,0))),""))</f>
        <v/>
      </c>
      <c r="G1142" s="7">
        <f>IF($B1142="","",F1142*L1142/100)</f>
        <v/>
      </c>
      <c r="K1142" s="7" t="n"/>
      <c r="L1142" s="7" t="n"/>
      <c r="M1142" s="7">
        <f>IF($B1142="","",L1142*T1142/100)</f>
        <v/>
      </c>
      <c r="N1142" s="7">
        <f>IF($B1142="","",L1142-M1142)</f>
        <v/>
      </c>
      <c r="O1142" s="7">
        <f>IF($B1142="","",N1142-G1142)</f>
        <v/>
      </c>
      <c r="R1142" s="14" t="n"/>
      <c r="T1142">
        <f>IF($B1142="","",IF($W1142=1,Settings!$C$6,Settings!$C$7)*100)</f>
        <v/>
      </c>
      <c r="U1142">
        <f>IF($B1142="","",IF(COUNTIF($B$2:$B1142,$B1142)=1,1,0))</f>
        <v/>
      </c>
      <c r="V1142">
        <f>IF($U1142=1,SUMPRODUCT(--($X$2:$X$1501&lt;$X1142))+1,"")</f>
        <v/>
      </c>
      <c r="W1142">
        <f>IF($B1142="","",IF(OR($S1142=TRUE(),$S1142="TRUE"),1,0))</f>
        <v/>
      </c>
      <c r="X1142">
        <f>IF($U1142=1,IFERROR(IF(VALUE($B1142)&lt;100000000,VALUE($B1142),1000000000),IFERROR(IF(VALUE(MID($B1142,2,20))&lt;100000000,VALUE(MID($B1142,2,20)),1000000000),1000000000))+ROW()/100000,"")</f>
        <v/>
      </c>
    </row>
    <row r="1143">
      <c r="A1143">
        <f>IF($B1143="","",IFERROR(IF(INDEX('Per Invoice'!$C$2:$C$401,MATCH($B1143,'Per Invoice'!$A$2:$A$401,0))=0,"",INDEX('Per Invoice'!$C$2:$C$401,MATCH($B1143,'Per Invoice'!$A$2:$A$401,0))),""))</f>
        <v/>
      </c>
      <c r="G1143" s="7">
        <f>IF($B1143="","",F1143*L1143/100)</f>
        <v/>
      </c>
      <c r="K1143" s="7" t="n"/>
      <c r="L1143" s="7" t="n"/>
      <c r="M1143" s="7">
        <f>IF($B1143="","",L1143*T1143/100)</f>
        <v/>
      </c>
      <c r="N1143" s="7">
        <f>IF($B1143="","",L1143-M1143)</f>
        <v/>
      </c>
      <c r="O1143" s="7">
        <f>IF($B1143="","",N1143-G1143)</f>
        <v/>
      </c>
      <c r="R1143" s="14" t="n"/>
      <c r="T1143">
        <f>IF($B1143="","",IF($W1143=1,Settings!$C$6,Settings!$C$7)*100)</f>
        <v/>
      </c>
      <c r="U1143">
        <f>IF($B1143="","",IF(COUNTIF($B$2:$B1143,$B1143)=1,1,0))</f>
        <v/>
      </c>
      <c r="V1143">
        <f>IF($U1143=1,SUMPRODUCT(--($X$2:$X$1501&lt;$X1143))+1,"")</f>
        <v/>
      </c>
      <c r="W1143">
        <f>IF($B1143="","",IF(OR($S1143=TRUE(),$S1143="TRUE"),1,0))</f>
        <v/>
      </c>
      <c r="X1143">
        <f>IF($U1143=1,IFERROR(IF(VALUE($B1143)&lt;100000000,VALUE($B1143),1000000000),IFERROR(IF(VALUE(MID($B1143,2,20))&lt;100000000,VALUE(MID($B1143,2,20)),1000000000),1000000000))+ROW()/100000,"")</f>
        <v/>
      </c>
    </row>
    <row r="1144">
      <c r="A1144">
        <f>IF($B1144="","",IFERROR(IF(INDEX('Per Invoice'!$C$2:$C$401,MATCH($B1144,'Per Invoice'!$A$2:$A$401,0))=0,"",INDEX('Per Invoice'!$C$2:$C$401,MATCH($B1144,'Per Invoice'!$A$2:$A$401,0))),""))</f>
        <v/>
      </c>
      <c r="G1144" s="7">
        <f>IF($B1144="","",F1144*L1144/100)</f>
        <v/>
      </c>
      <c r="K1144" s="7" t="n"/>
      <c r="L1144" s="7" t="n"/>
      <c r="M1144" s="7">
        <f>IF($B1144="","",L1144*T1144/100)</f>
        <v/>
      </c>
      <c r="N1144" s="7">
        <f>IF($B1144="","",L1144-M1144)</f>
        <v/>
      </c>
      <c r="O1144" s="7">
        <f>IF($B1144="","",N1144-G1144)</f>
        <v/>
      </c>
      <c r="R1144" s="14" t="n"/>
      <c r="T1144">
        <f>IF($B1144="","",IF($W1144=1,Settings!$C$6,Settings!$C$7)*100)</f>
        <v/>
      </c>
      <c r="U1144">
        <f>IF($B1144="","",IF(COUNTIF($B$2:$B1144,$B1144)=1,1,0))</f>
        <v/>
      </c>
      <c r="V1144">
        <f>IF($U1144=1,SUMPRODUCT(--($X$2:$X$1501&lt;$X1144))+1,"")</f>
        <v/>
      </c>
      <c r="W1144">
        <f>IF($B1144="","",IF(OR($S1144=TRUE(),$S1144="TRUE"),1,0))</f>
        <v/>
      </c>
      <c r="X1144">
        <f>IF($U1144=1,IFERROR(IF(VALUE($B1144)&lt;100000000,VALUE($B1144),1000000000),IFERROR(IF(VALUE(MID($B1144,2,20))&lt;100000000,VALUE(MID($B1144,2,20)),1000000000),1000000000))+ROW()/100000,"")</f>
        <v/>
      </c>
    </row>
    <row r="1145">
      <c r="A1145">
        <f>IF($B1145="","",IFERROR(IF(INDEX('Per Invoice'!$C$2:$C$401,MATCH($B1145,'Per Invoice'!$A$2:$A$401,0))=0,"",INDEX('Per Invoice'!$C$2:$C$401,MATCH($B1145,'Per Invoice'!$A$2:$A$401,0))),""))</f>
        <v/>
      </c>
      <c r="G1145" s="7">
        <f>IF($B1145="","",F1145*L1145/100)</f>
        <v/>
      </c>
      <c r="K1145" s="7" t="n"/>
      <c r="L1145" s="7" t="n"/>
      <c r="M1145" s="7">
        <f>IF($B1145="","",L1145*T1145/100)</f>
        <v/>
      </c>
      <c r="N1145" s="7">
        <f>IF($B1145="","",L1145-M1145)</f>
        <v/>
      </c>
      <c r="O1145" s="7">
        <f>IF($B1145="","",N1145-G1145)</f>
        <v/>
      </c>
      <c r="R1145" s="14" t="n"/>
      <c r="T1145">
        <f>IF($B1145="","",IF($W1145=1,Settings!$C$6,Settings!$C$7)*100)</f>
        <v/>
      </c>
      <c r="U1145">
        <f>IF($B1145="","",IF(COUNTIF($B$2:$B1145,$B1145)=1,1,0))</f>
        <v/>
      </c>
      <c r="V1145">
        <f>IF($U1145=1,SUMPRODUCT(--($X$2:$X$1501&lt;$X1145))+1,"")</f>
        <v/>
      </c>
      <c r="W1145">
        <f>IF($B1145="","",IF(OR($S1145=TRUE(),$S1145="TRUE"),1,0))</f>
        <v/>
      </c>
      <c r="X1145">
        <f>IF($U1145=1,IFERROR(IF(VALUE($B1145)&lt;100000000,VALUE($B1145),1000000000),IFERROR(IF(VALUE(MID($B1145,2,20))&lt;100000000,VALUE(MID($B1145,2,20)),1000000000),1000000000))+ROW()/100000,"")</f>
        <v/>
      </c>
    </row>
    <row r="1146">
      <c r="A1146">
        <f>IF($B1146="","",IFERROR(IF(INDEX('Per Invoice'!$C$2:$C$401,MATCH($B1146,'Per Invoice'!$A$2:$A$401,0))=0,"",INDEX('Per Invoice'!$C$2:$C$401,MATCH($B1146,'Per Invoice'!$A$2:$A$401,0))),""))</f>
        <v/>
      </c>
      <c r="G1146" s="7">
        <f>IF($B1146="","",F1146*L1146/100)</f>
        <v/>
      </c>
      <c r="K1146" s="7" t="n"/>
      <c r="L1146" s="7" t="n"/>
      <c r="M1146" s="7">
        <f>IF($B1146="","",L1146*T1146/100)</f>
        <v/>
      </c>
      <c r="N1146" s="7">
        <f>IF($B1146="","",L1146-M1146)</f>
        <v/>
      </c>
      <c r="O1146" s="7">
        <f>IF($B1146="","",N1146-G1146)</f>
        <v/>
      </c>
      <c r="R1146" s="14" t="n"/>
      <c r="T1146">
        <f>IF($B1146="","",IF($W1146=1,Settings!$C$6,Settings!$C$7)*100)</f>
        <v/>
      </c>
      <c r="U1146">
        <f>IF($B1146="","",IF(COUNTIF($B$2:$B1146,$B1146)=1,1,0))</f>
        <v/>
      </c>
      <c r="V1146">
        <f>IF($U1146=1,SUMPRODUCT(--($X$2:$X$1501&lt;$X1146))+1,"")</f>
        <v/>
      </c>
      <c r="W1146">
        <f>IF($B1146="","",IF(OR($S1146=TRUE(),$S1146="TRUE"),1,0))</f>
        <v/>
      </c>
      <c r="X1146">
        <f>IF($U1146=1,IFERROR(IF(VALUE($B1146)&lt;100000000,VALUE($B1146),1000000000),IFERROR(IF(VALUE(MID($B1146,2,20))&lt;100000000,VALUE(MID($B1146,2,20)),1000000000),1000000000))+ROW()/100000,"")</f>
        <v/>
      </c>
    </row>
    <row r="1147">
      <c r="A1147">
        <f>IF($B1147="","",IFERROR(IF(INDEX('Per Invoice'!$C$2:$C$401,MATCH($B1147,'Per Invoice'!$A$2:$A$401,0))=0,"",INDEX('Per Invoice'!$C$2:$C$401,MATCH($B1147,'Per Invoice'!$A$2:$A$401,0))),""))</f>
        <v/>
      </c>
      <c r="G1147" s="7">
        <f>IF($B1147="","",F1147*L1147/100)</f>
        <v/>
      </c>
      <c r="K1147" s="7" t="n"/>
      <c r="L1147" s="7" t="n"/>
      <c r="M1147" s="7">
        <f>IF($B1147="","",L1147*T1147/100)</f>
        <v/>
      </c>
      <c r="N1147" s="7">
        <f>IF($B1147="","",L1147-M1147)</f>
        <v/>
      </c>
      <c r="O1147" s="7">
        <f>IF($B1147="","",N1147-G1147)</f>
        <v/>
      </c>
      <c r="R1147" s="14" t="n"/>
      <c r="T1147">
        <f>IF($B1147="","",IF($W1147=1,Settings!$C$6,Settings!$C$7)*100)</f>
        <v/>
      </c>
      <c r="U1147">
        <f>IF($B1147="","",IF(COUNTIF($B$2:$B1147,$B1147)=1,1,0))</f>
        <v/>
      </c>
      <c r="V1147">
        <f>IF($U1147=1,SUMPRODUCT(--($X$2:$X$1501&lt;$X1147))+1,"")</f>
        <v/>
      </c>
      <c r="W1147">
        <f>IF($B1147="","",IF(OR($S1147=TRUE(),$S1147="TRUE"),1,0))</f>
        <v/>
      </c>
      <c r="X1147">
        <f>IF($U1147=1,IFERROR(IF(VALUE($B1147)&lt;100000000,VALUE($B1147),1000000000),IFERROR(IF(VALUE(MID($B1147,2,20))&lt;100000000,VALUE(MID($B1147,2,20)),1000000000),1000000000))+ROW()/100000,"")</f>
        <v/>
      </c>
    </row>
    <row r="1148">
      <c r="A1148">
        <f>IF($B1148="","",IFERROR(IF(INDEX('Per Invoice'!$C$2:$C$401,MATCH($B1148,'Per Invoice'!$A$2:$A$401,0))=0,"",INDEX('Per Invoice'!$C$2:$C$401,MATCH($B1148,'Per Invoice'!$A$2:$A$401,0))),""))</f>
        <v/>
      </c>
      <c r="G1148" s="7">
        <f>IF($B1148="","",F1148*L1148/100)</f>
        <v/>
      </c>
      <c r="K1148" s="7" t="n"/>
      <c r="L1148" s="7" t="n"/>
      <c r="M1148" s="7">
        <f>IF($B1148="","",L1148*T1148/100)</f>
        <v/>
      </c>
      <c r="N1148" s="7">
        <f>IF($B1148="","",L1148-M1148)</f>
        <v/>
      </c>
      <c r="O1148" s="7">
        <f>IF($B1148="","",N1148-G1148)</f>
        <v/>
      </c>
      <c r="R1148" s="14" t="n"/>
      <c r="T1148">
        <f>IF($B1148="","",IF($W1148=1,Settings!$C$6,Settings!$C$7)*100)</f>
        <v/>
      </c>
      <c r="U1148">
        <f>IF($B1148="","",IF(COUNTIF($B$2:$B1148,$B1148)=1,1,0))</f>
        <v/>
      </c>
      <c r="V1148">
        <f>IF($U1148=1,SUMPRODUCT(--($X$2:$X$1501&lt;$X1148))+1,"")</f>
        <v/>
      </c>
      <c r="W1148">
        <f>IF($B1148="","",IF(OR($S1148=TRUE(),$S1148="TRUE"),1,0))</f>
        <v/>
      </c>
      <c r="X1148">
        <f>IF($U1148=1,IFERROR(IF(VALUE($B1148)&lt;100000000,VALUE($B1148),1000000000),IFERROR(IF(VALUE(MID($B1148,2,20))&lt;100000000,VALUE(MID($B1148,2,20)),1000000000),1000000000))+ROW()/100000,"")</f>
        <v/>
      </c>
    </row>
    <row r="1149">
      <c r="A1149">
        <f>IF($B1149="","",IFERROR(IF(INDEX('Per Invoice'!$C$2:$C$401,MATCH($B1149,'Per Invoice'!$A$2:$A$401,0))=0,"",INDEX('Per Invoice'!$C$2:$C$401,MATCH($B1149,'Per Invoice'!$A$2:$A$401,0))),""))</f>
        <v/>
      </c>
      <c r="G1149" s="7">
        <f>IF($B1149="","",F1149*L1149/100)</f>
        <v/>
      </c>
      <c r="K1149" s="7" t="n"/>
      <c r="L1149" s="7" t="n"/>
      <c r="M1149" s="7">
        <f>IF($B1149="","",L1149*T1149/100)</f>
        <v/>
      </c>
      <c r="N1149" s="7">
        <f>IF($B1149="","",L1149-M1149)</f>
        <v/>
      </c>
      <c r="O1149" s="7">
        <f>IF($B1149="","",N1149-G1149)</f>
        <v/>
      </c>
      <c r="R1149" s="14" t="n"/>
      <c r="T1149">
        <f>IF($B1149="","",IF($W1149=1,Settings!$C$6,Settings!$C$7)*100)</f>
        <v/>
      </c>
      <c r="U1149">
        <f>IF($B1149="","",IF(COUNTIF($B$2:$B1149,$B1149)=1,1,0))</f>
        <v/>
      </c>
      <c r="V1149">
        <f>IF($U1149=1,SUMPRODUCT(--($X$2:$X$1501&lt;$X1149))+1,"")</f>
        <v/>
      </c>
      <c r="W1149">
        <f>IF($B1149="","",IF(OR($S1149=TRUE(),$S1149="TRUE"),1,0))</f>
        <v/>
      </c>
      <c r="X1149">
        <f>IF($U1149=1,IFERROR(IF(VALUE($B1149)&lt;100000000,VALUE($B1149),1000000000),IFERROR(IF(VALUE(MID($B1149,2,20))&lt;100000000,VALUE(MID($B1149,2,20)),1000000000),1000000000))+ROW()/100000,"")</f>
        <v/>
      </c>
    </row>
    <row r="1150">
      <c r="A1150">
        <f>IF($B1150="","",IFERROR(IF(INDEX('Per Invoice'!$C$2:$C$401,MATCH($B1150,'Per Invoice'!$A$2:$A$401,0))=0,"",INDEX('Per Invoice'!$C$2:$C$401,MATCH($B1150,'Per Invoice'!$A$2:$A$401,0))),""))</f>
        <v/>
      </c>
      <c r="G1150" s="7">
        <f>IF($B1150="","",F1150*L1150/100)</f>
        <v/>
      </c>
      <c r="K1150" s="7" t="n"/>
      <c r="L1150" s="7" t="n"/>
      <c r="M1150" s="7">
        <f>IF($B1150="","",L1150*T1150/100)</f>
        <v/>
      </c>
      <c r="N1150" s="7">
        <f>IF($B1150="","",L1150-M1150)</f>
        <v/>
      </c>
      <c r="O1150" s="7">
        <f>IF($B1150="","",N1150-G1150)</f>
        <v/>
      </c>
      <c r="R1150" s="14" t="n"/>
      <c r="T1150">
        <f>IF($B1150="","",IF($W1150=1,Settings!$C$6,Settings!$C$7)*100)</f>
        <v/>
      </c>
      <c r="U1150">
        <f>IF($B1150="","",IF(COUNTIF($B$2:$B1150,$B1150)=1,1,0))</f>
        <v/>
      </c>
      <c r="V1150">
        <f>IF($U1150=1,SUMPRODUCT(--($X$2:$X$1501&lt;$X1150))+1,"")</f>
        <v/>
      </c>
      <c r="W1150">
        <f>IF($B1150="","",IF(OR($S1150=TRUE(),$S1150="TRUE"),1,0))</f>
        <v/>
      </c>
      <c r="X1150">
        <f>IF($U1150=1,IFERROR(IF(VALUE($B1150)&lt;100000000,VALUE($B1150),1000000000),IFERROR(IF(VALUE(MID($B1150,2,20))&lt;100000000,VALUE(MID($B1150,2,20)),1000000000),1000000000))+ROW()/100000,"")</f>
        <v/>
      </c>
    </row>
    <row r="1151">
      <c r="A1151">
        <f>IF($B1151="","",IFERROR(IF(INDEX('Per Invoice'!$C$2:$C$401,MATCH($B1151,'Per Invoice'!$A$2:$A$401,0))=0,"",INDEX('Per Invoice'!$C$2:$C$401,MATCH($B1151,'Per Invoice'!$A$2:$A$401,0))),""))</f>
        <v/>
      </c>
      <c r="G1151" s="7">
        <f>IF($B1151="","",F1151*L1151/100)</f>
        <v/>
      </c>
      <c r="K1151" s="7" t="n"/>
      <c r="L1151" s="7" t="n"/>
      <c r="M1151" s="7">
        <f>IF($B1151="","",L1151*T1151/100)</f>
        <v/>
      </c>
      <c r="N1151" s="7">
        <f>IF($B1151="","",L1151-M1151)</f>
        <v/>
      </c>
      <c r="O1151" s="7">
        <f>IF($B1151="","",N1151-G1151)</f>
        <v/>
      </c>
      <c r="R1151" s="14" t="n"/>
      <c r="T1151">
        <f>IF($B1151="","",IF($W1151=1,Settings!$C$6,Settings!$C$7)*100)</f>
        <v/>
      </c>
      <c r="U1151">
        <f>IF($B1151="","",IF(COUNTIF($B$2:$B1151,$B1151)=1,1,0))</f>
        <v/>
      </c>
      <c r="V1151">
        <f>IF($U1151=1,SUMPRODUCT(--($X$2:$X$1501&lt;$X1151))+1,"")</f>
        <v/>
      </c>
      <c r="W1151">
        <f>IF($B1151="","",IF(OR($S1151=TRUE(),$S1151="TRUE"),1,0))</f>
        <v/>
      </c>
      <c r="X1151">
        <f>IF($U1151=1,IFERROR(IF(VALUE($B1151)&lt;100000000,VALUE($B1151),1000000000),IFERROR(IF(VALUE(MID($B1151,2,20))&lt;100000000,VALUE(MID($B1151,2,20)),1000000000),1000000000))+ROW()/100000,"")</f>
        <v/>
      </c>
    </row>
    <row r="1152">
      <c r="A1152">
        <f>IF($B1152="","",IFERROR(IF(INDEX('Per Invoice'!$C$2:$C$401,MATCH($B1152,'Per Invoice'!$A$2:$A$401,0))=0,"",INDEX('Per Invoice'!$C$2:$C$401,MATCH($B1152,'Per Invoice'!$A$2:$A$401,0))),""))</f>
        <v/>
      </c>
      <c r="G1152" s="7">
        <f>IF($B1152="","",F1152*L1152/100)</f>
        <v/>
      </c>
      <c r="K1152" s="7" t="n"/>
      <c r="L1152" s="7" t="n"/>
      <c r="M1152" s="7">
        <f>IF($B1152="","",L1152*T1152/100)</f>
        <v/>
      </c>
      <c r="N1152" s="7">
        <f>IF($B1152="","",L1152-M1152)</f>
        <v/>
      </c>
      <c r="O1152" s="7">
        <f>IF($B1152="","",N1152-G1152)</f>
        <v/>
      </c>
      <c r="R1152" s="14" t="n"/>
      <c r="T1152">
        <f>IF($B1152="","",IF($W1152=1,Settings!$C$6,Settings!$C$7)*100)</f>
        <v/>
      </c>
      <c r="U1152">
        <f>IF($B1152="","",IF(COUNTIF($B$2:$B1152,$B1152)=1,1,0))</f>
        <v/>
      </c>
      <c r="V1152">
        <f>IF($U1152=1,SUMPRODUCT(--($X$2:$X$1501&lt;$X1152))+1,"")</f>
        <v/>
      </c>
      <c r="W1152">
        <f>IF($B1152="","",IF(OR($S1152=TRUE(),$S1152="TRUE"),1,0))</f>
        <v/>
      </c>
      <c r="X1152">
        <f>IF($U1152=1,IFERROR(IF(VALUE($B1152)&lt;100000000,VALUE($B1152),1000000000),IFERROR(IF(VALUE(MID($B1152,2,20))&lt;100000000,VALUE(MID($B1152,2,20)),1000000000),1000000000))+ROW()/100000,"")</f>
        <v/>
      </c>
    </row>
    <row r="1153">
      <c r="A1153">
        <f>IF($B1153="","",IFERROR(IF(INDEX('Per Invoice'!$C$2:$C$401,MATCH($B1153,'Per Invoice'!$A$2:$A$401,0))=0,"",INDEX('Per Invoice'!$C$2:$C$401,MATCH($B1153,'Per Invoice'!$A$2:$A$401,0))),""))</f>
        <v/>
      </c>
      <c r="G1153" s="7">
        <f>IF($B1153="","",F1153*L1153/100)</f>
        <v/>
      </c>
      <c r="K1153" s="7" t="n"/>
      <c r="L1153" s="7" t="n"/>
      <c r="M1153" s="7">
        <f>IF($B1153="","",L1153*T1153/100)</f>
        <v/>
      </c>
      <c r="N1153" s="7">
        <f>IF($B1153="","",L1153-M1153)</f>
        <v/>
      </c>
      <c r="O1153" s="7">
        <f>IF($B1153="","",N1153-G1153)</f>
        <v/>
      </c>
      <c r="R1153" s="14" t="n"/>
      <c r="T1153">
        <f>IF($B1153="","",IF($W1153=1,Settings!$C$6,Settings!$C$7)*100)</f>
        <v/>
      </c>
      <c r="U1153">
        <f>IF($B1153="","",IF(COUNTIF($B$2:$B1153,$B1153)=1,1,0))</f>
        <v/>
      </c>
      <c r="V1153">
        <f>IF($U1153=1,SUMPRODUCT(--($X$2:$X$1501&lt;$X1153))+1,"")</f>
        <v/>
      </c>
      <c r="W1153">
        <f>IF($B1153="","",IF(OR($S1153=TRUE(),$S1153="TRUE"),1,0))</f>
        <v/>
      </c>
      <c r="X1153">
        <f>IF($U1153=1,IFERROR(IF(VALUE($B1153)&lt;100000000,VALUE($B1153),1000000000),IFERROR(IF(VALUE(MID($B1153,2,20))&lt;100000000,VALUE(MID($B1153,2,20)),1000000000),1000000000))+ROW()/100000,"")</f>
        <v/>
      </c>
    </row>
    <row r="1154">
      <c r="A1154">
        <f>IF($B1154="","",IFERROR(IF(INDEX('Per Invoice'!$C$2:$C$401,MATCH($B1154,'Per Invoice'!$A$2:$A$401,0))=0,"",INDEX('Per Invoice'!$C$2:$C$401,MATCH($B1154,'Per Invoice'!$A$2:$A$401,0))),""))</f>
        <v/>
      </c>
      <c r="G1154" s="7">
        <f>IF($B1154="","",F1154*L1154/100)</f>
        <v/>
      </c>
      <c r="K1154" s="7" t="n"/>
      <c r="L1154" s="7" t="n"/>
      <c r="M1154" s="7">
        <f>IF($B1154="","",L1154*T1154/100)</f>
        <v/>
      </c>
      <c r="N1154" s="7">
        <f>IF($B1154="","",L1154-M1154)</f>
        <v/>
      </c>
      <c r="O1154" s="7">
        <f>IF($B1154="","",N1154-G1154)</f>
        <v/>
      </c>
      <c r="R1154" s="14" t="n"/>
      <c r="T1154">
        <f>IF($B1154="","",IF($W1154=1,Settings!$C$6,Settings!$C$7)*100)</f>
        <v/>
      </c>
      <c r="U1154">
        <f>IF($B1154="","",IF(COUNTIF($B$2:$B1154,$B1154)=1,1,0))</f>
        <v/>
      </c>
      <c r="V1154">
        <f>IF($U1154=1,SUMPRODUCT(--($X$2:$X$1501&lt;$X1154))+1,"")</f>
        <v/>
      </c>
      <c r="W1154">
        <f>IF($B1154="","",IF(OR($S1154=TRUE(),$S1154="TRUE"),1,0))</f>
        <v/>
      </c>
      <c r="X1154">
        <f>IF($U1154=1,IFERROR(IF(VALUE($B1154)&lt;100000000,VALUE($B1154),1000000000),IFERROR(IF(VALUE(MID($B1154,2,20))&lt;100000000,VALUE(MID($B1154,2,20)),1000000000),1000000000))+ROW()/100000,"")</f>
        <v/>
      </c>
    </row>
    <row r="1155">
      <c r="A1155">
        <f>IF($B1155="","",IFERROR(IF(INDEX('Per Invoice'!$C$2:$C$401,MATCH($B1155,'Per Invoice'!$A$2:$A$401,0))=0,"",INDEX('Per Invoice'!$C$2:$C$401,MATCH($B1155,'Per Invoice'!$A$2:$A$401,0))),""))</f>
        <v/>
      </c>
      <c r="G1155" s="7">
        <f>IF($B1155="","",F1155*L1155/100)</f>
        <v/>
      </c>
      <c r="K1155" s="7" t="n"/>
      <c r="L1155" s="7" t="n"/>
      <c r="M1155" s="7">
        <f>IF($B1155="","",L1155*T1155/100)</f>
        <v/>
      </c>
      <c r="N1155" s="7">
        <f>IF($B1155="","",L1155-M1155)</f>
        <v/>
      </c>
      <c r="O1155" s="7">
        <f>IF($B1155="","",N1155-G1155)</f>
        <v/>
      </c>
      <c r="R1155" s="14" t="n"/>
      <c r="T1155">
        <f>IF($B1155="","",IF($W1155=1,Settings!$C$6,Settings!$C$7)*100)</f>
        <v/>
      </c>
      <c r="U1155">
        <f>IF($B1155="","",IF(COUNTIF($B$2:$B1155,$B1155)=1,1,0))</f>
        <v/>
      </c>
      <c r="V1155">
        <f>IF($U1155=1,SUMPRODUCT(--($X$2:$X$1501&lt;$X1155))+1,"")</f>
        <v/>
      </c>
      <c r="W1155">
        <f>IF($B1155="","",IF(OR($S1155=TRUE(),$S1155="TRUE"),1,0))</f>
        <v/>
      </c>
      <c r="X1155">
        <f>IF($U1155=1,IFERROR(IF(VALUE($B1155)&lt;100000000,VALUE($B1155),1000000000),IFERROR(IF(VALUE(MID($B1155,2,20))&lt;100000000,VALUE(MID($B1155,2,20)),1000000000),1000000000))+ROW()/100000,"")</f>
        <v/>
      </c>
    </row>
    <row r="1156">
      <c r="A1156">
        <f>IF($B1156="","",IFERROR(IF(INDEX('Per Invoice'!$C$2:$C$401,MATCH($B1156,'Per Invoice'!$A$2:$A$401,0))=0,"",INDEX('Per Invoice'!$C$2:$C$401,MATCH($B1156,'Per Invoice'!$A$2:$A$401,0))),""))</f>
        <v/>
      </c>
      <c r="G1156" s="7">
        <f>IF($B1156="","",F1156*L1156/100)</f>
        <v/>
      </c>
      <c r="K1156" s="7" t="n"/>
      <c r="L1156" s="7" t="n"/>
      <c r="M1156" s="7">
        <f>IF($B1156="","",L1156*T1156/100)</f>
        <v/>
      </c>
      <c r="N1156" s="7">
        <f>IF($B1156="","",L1156-M1156)</f>
        <v/>
      </c>
      <c r="O1156" s="7">
        <f>IF($B1156="","",N1156-G1156)</f>
        <v/>
      </c>
      <c r="R1156" s="14" t="n"/>
      <c r="T1156">
        <f>IF($B1156="","",IF($W1156=1,Settings!$C$6,Settings!$C$7)*100)</f>
        <v/>
      </c>
      <c r="U1156">
        <f>IF($B1156="","",IF(COUNTIF($B$2:$B1156,$B1156)=1,1,0))</f>
        <v/>
      </c>
      <c r="V1156">
        <f>IF($U1156=1,SUMPRODUCT(--($X$2:$X$1501&lt;$X1156))+1,"")</f>
        <v/>
      </c>
      <c r="W1156">
        <f>IF($B1156="","",IF(OR($S1156=TRUE(),$S1156="TRUE"),1,0))</f>
        <v/>
      </c>
      <c r="X1156">
        <f>IF($U1156=1,IFERROR(IF(VALUE($B1156)&lt;100000000,VALUE($B1156),1000000000),IFERROR(IF(VALUE(MID($B1156,2,20))&lt;100000000,VALUE(MID($B1156,2,20)),1000000000),1000000000))+ROW()/100000,"")</f>
        <v/>
      </c>
    </row>
    <row r="1157">
      <c r="A1157">
        <f>IF($B1157="","",IFERROR(IF(INDEX('Per Invoice'!$C$2:$C$401,MATCH($B1157,'Per Invoice'!$A$2:$A$401,0))=0,"",INDEX('Per Invoice'!$C$2:$C$401,MATCH($B1157,'Per Invoice'!$A$2:$A$401,0))),""))</f>
        <v/>
      </c>
      <c r="G1157" s="7">
        <f>IF($B1157="","",F1157*L1157/100)</f>
        <v/>
      </c>
      <c r="K1157" s="7" t="n"/>
      <c r="L1157" s="7" t="n"/>
      <c r="M1157" s="7">
        <f>IF($B1157="","",L1157*T1157/100)</f>
        <v/>
      </c>
      <c r="N1157" s="7">
        <f>IF($B1157="","",L1157-M1157)</f>
        <v/>
      </c>
      <c r="O1157" s="7">
        <f>IF($B1157="","",N1157-G1157)</f>
        <v/>
      </c>
      <c r="R1157" s="14" t="n"/>
      <c r="T1157">
        <f>IF($B1157="","",IF($W1157=1,Settings!$C$6,Settings!$C$7)*100)</f>
        <v/>
      </c>
      <c r="U1157">
        <f>IF($B1157="","",IF(COUNTIF($B$2:$B1157,$B1157)=1,1,0))</f>
        <v/>
      </c>
      <c r="V1157">
        <f>IF($U1157=1,SUMPRODUCT(--($X$2:$X$1501&lt;$X1157))+1,"")</f>
        <v/>
      </c>
      <c r="W1157">
        <f>IF($B1157="","",IF(OR($S1157=TRUE(),$S1157="TRUE"),1,0))</f>
        <v/>
      </c>
      <c r="X1157">
        <f>IF($U1157=1,IFERROR(IF(VALUE($B1157)&lt;100000000,VALUE($B1157),1000000000),IFERROR(IF(VALUE(MID($B1157,2,20))&lt;100000000,VALUE(MID($B1157,2,20)),1000000000),1000000000))+ROW()/100000,"")</f>
        <v/>
      </c>
    </row>
    <row r="1158">
      <c r="A1158">
        <f>IF($B1158="","",IFERROR(IF(INDEX('Per Invoice'!$C$2:$C$401,MATCH($B1158,'Per Invoice'!$A$2:$A$401,0))=0,"",INDEX('Per Invoice'!$C$2:$C$401,MATCH($B1158,'Per Invoice'!$A$2:$A$401,0))),""))</f>
        <v/>
      </c>
      <c r="G1158" s="7">
        <f>IF($B1158="","",F1158*L1158/100)</f>
        <v/>
      </c>
      <c r="K1158" s="7" t="n"/>
      <c r="L1158" s="7" t="n"/>
      <c r="M1158" s="7">
        <f>IF($B1158="","",L1158*T1158/100)</f>
        <v/>
      </c>
      <c r="N1158" s="7">
        <f>IF($B1158="","",L1158-M1158)</f>
        <v/>
      </c>
      <c r="O1158" s="7">
        <f>IF($B1158="","",N1158-G1158)</f>
        <v/>
      </c>
      <c r="R1158" s="14" t="n"/>
      <c r="T1158">
        <f>IF($B1158="","",IF($W1158=1,Settings!$C$6,Settings!$C$7)*100)</f>
        <v/>
      </c>
      <c r="U1158">
        <f>IF($B1158="","",IF(COUNTIF($B$2:$B1158,$B1158)=1,1,0))</f>
        <v/>
      </c>
      <c r="V1158">
        <f>IF($U1158=1,SUMPRODUCT(--($X$2:$X$1501&lt;$X1158))+1,"")</f>
        <v/>
      </c>
      <c r="W1158">
        <f>IF($B1158="","",IF(OR($S1158=TRUE(),$S1158="TRUE"),1,0))</f>
        <v/>
      </c>
      <c r="X1158">
        <f>IF($U1158=1,IFERROR(IF(VALUE($B1158)&lt;100000000,VALUE($B1158),1000000000),IFERROR(IF(VALUE(MID($B1158,2,20))&lt;100000000,VALUE(MID($B1158,2,20)),1000000000),1000000000))+ROW()/100000,"")</f>
        <v/>
      </c>
    </row>
    <row r="1159">
      <c r="A1159">
        <f>IF($B1159="","",IFERROR(IF(INDEX('Per Invoice'!$C$2:$C$401,MATCH($B1159,'Per Invoice'!$A$2:$A$401,0))=0,"",INDEX('Per Invoice'!$C$2:$C$401,MATCH($B1159,'Per Invoice'!$A$2:$A$401,0))),""))</f>
        <v/>
      </c>
      <c r="G1159" s="7">
        <f>IF($B1159="","",F1159*L1159/100)</f>
        <v/>
      </c>
      <c r="K1159" s="7" t="n"/>
      <c r="L1159" s="7" t="n"/>
      <c r="M1159" s="7">
        <f>IF($B1159="","",L1159*T1159/100)</f>
        <v/>
      </c>
      <c r="N1159" s="7">
        <f>IF($B1159="","",L1159-M1159)</f>
        <v/>
      </c>
      <c r="O1159" s="7">
        <f>IF($B1159="","",N1159-G1159)</f>
        <v/>
      </c>
      <c r="R1159" s="14" t="n"/>
      <c r="T1159">
        <f>IF($B1159="","",IF($W1159=1,Settings!$C$6,Settings!$C$7)*100)</f>
        <v/>
      </c>
      <c r="U1159">
        <f>IF($B1159="","",IF(COUNTIF($B$2:$B1159,$B1159)=1,1,0))</f>
        <v/>
      </c>
      <c r="V1159">
        <f>IF($U1159=1,SUMPRODUCT(--($X$2:$X$1501&lt;$X1159))+1,"")</f>
        <v/>
      </c>
      <c r="W1159">
        <f>IF($B1159="","",IF(OR($S1159=TRUE(),$S1159="TRUE"),1,0))</f>
        <v/>
      </c>
      <c r="X1159">
        <f>IF($U1159=1,IFERROR(IF(VALUE($B1159)&lt;100000000,VALUE($B1159),1000000000),IFERROR(IF(VALUE(MID($B1159,2,20))&lt;100000000,VALUE(MID($B1159,2,20)),1000000000),1000000000))+ROW()/100000,"")</f>
        <v/>
      </c>
    </row>
    <row r="1160">
      <c r="A1160">
        <f>IF($B1160="","",IFERROR(IF(INDEX('Per Invoice'!$C$2:$C$401,MATCH($B1160,'Per Invoice'!$A$2:$A$401,0))=0,"",INDEX('Per Invoice'!$C$2:$C$401,MATCH($B1160,'Per Invoice'!$A$2:$A$401,0))),""))</f>
        <v/>
      </c>
      <c r="G1160" s="7">
        <f>IF($B1160="","",F1160*L1160/100)</f>
        <v/>
      </c>
      <c r="K1160" s="7" t="n"/>
      <c r="L1160" s="7" t="n"/>
      <c r="M1160" s="7">
        <f>IF($B1160="","",L1160*T1160/100)</f>
        <v/>
      </c>
      <c r="N1160" s="7">
        <f>IF($B1160="","",L1160-M1160)</f>
        <v/>
      </c>
      <c r="O1160" s="7">
        <f>IF($B1160="","",N1160-G1160)</f>
        <v/>
      </c>
      <c r="R1160" s="14" t="n"/>
      <c r="T1160">
        <f>IF($B1160="","",IF($W1160=1,Settings!$C$6,Settings!$C$7)*100)</f>
        <v/>
      </c>
      <c r="U1160">
        <f>IF($B1160="","",IF(COUNTIF($B$2:$B1160,$B1160)=1,1,0))</f>
        <v/>
      </c>
      <c r="V1160">
        <f>IF($U1160=1,SUMPRODUCT(--($X$2:$X$1501&lt;$X1160))+1,"")</f>
        <v/>
      </c>
      <c r="W1160">
        <f>IF($B1160="","",IF(OR($S1160=TRUE(),$S1160="TRUE"),1,0))</f>
        <v/>
      </c>
      <c r="X1160">
        <f>IF($U1160=1,IFERROR(IF(VALUE($B1160)&lt;100000000,VALUE($B1160),1000000000),IFERROR(IF(VALUE(MID($B1160,2,20))&lt;100000000,VALUE(MID($B1160,2,20)),1000000000),1000000000))+ROW()/100000,"")</f>
        <v/>
      </c>
    </row>
    <row r="1161">
      <c r="A1161">
        <f>IF($B1161="","",IFERROR(IF(INDEX('Per Invoice'!$C$2:$C$401,MATCH($B1161,'Per Invoice'!$A$2:$A$401,0))=0,"",INDEX('Per Invoice'!$C$2:$C$401,MATCH($B1161,'Per Invoice'!$A$2:$A$401,0))),""))</f>
        <v/>
      </c>
      <c r="G1161" s="7">
        <f>IF($B1161="","",F1161*L1161/100)</f>
        <v/>
      </c>
      <c r="K1161" s="7" t="n"/>
      <c r="L1161" s="7" t="n"/>
      <c r="M1161" s="7">
        <f>IF($B1161="","",L1161*T1161/100)</f>
        <v/>
      </c>
      <c r="N1161" s="7">
        <f>IF($B1161="","",L1161-M1161)</f>
        <v/>
      </c>
      <c r="O1161" s="7">
        <f>IF($B1161="","",N1161-G1161)</f>
        <v/>
      </c>
      <c r="R1161" s="14" t="n"/>
      <c r="T1161">
        <f>IF($B1161="","",IF($W1161=1,Settings!$C$6,Settings!$C$7)*100)</f>
        <v/>
      </c>
      <c r="U1161">
        <f>IF($B1161="","",IF(COUNTIF($B$2:$B1161,$B1161)=1,1,0))</f>
        <v/>
      </c>
      <c r="V1161">
        <f>IF($U1161=1,SUMPRODUCT(--($X$2:$X$1501&lt;$X1161))+1,"")</f>
        <v/>
      </c>
      <c r="W1161">
        <f>IF($B1161="","",IF(OR($S1161=TRUE(),$S1161="TRUE"),1,0))</f>
        <v/>
      </c>
      <c r="X1161">
        <f>IF($U1161=1,IFERROR(IF(VALUE($B1161)&lt;100000000,VALUE($B1161),1000000000),IFERROR(IF(VALUE(MID($B1161,2,20))&lt;100000000,VALUE(MID($B1161,2,20)),1000000000),1000000000))+ROW()/100000,"")</f>
        <v/>
      </c>
    </row>
    <row r="1162">
      <c r="A1162">
        <f>IF($B1162="","",IFERROR(IF(INDEX('Per Invoice'!$C$2:$C$401,MATCH($B1162,'Per Invoice'!$A$2:$A$401,0))=0,"",INDEX('Per Invoice'!$C$2:$C$401,MATCH($B1162,'Per Invoice'!$A$2:$A$401,0))),""))</f>
        <v/>
      </c>
      <c r="G1162" s="7">
        <f>IF($B1162="","",F1162*L1162/100)</f>
        <v/>
      </c>
      <c r="K1162" s="7" t="n"/>
      <c r="L1162" s="7" t="n"/>
      <c r="M1162" s="7">
        <f>IF($B1162="","",L1162*T1162/100)</f>
        <v/>
      </c>
      <c r="N1162" s="7">
        <f>IF($B1162="","",L1162-M1162)</f>
        <v/>
      </c>
      <c r="O1162" s="7">
        <f>IF($B1162="","",N1162-G1162)</f>
        <v/>
      </c>
      <c r="R1162" s="14" t="n"/>
      <c r="T1162">
        <f>IF($B1162="","",IF($W1162=1,Settings!$C$6,Settings!$C$7)*100)</f>
        <v/>
      </c>
      <c r="U1162">
        <f>IF($B1162="","",IF(COUNTIF($B$2:$B1162,$B1162)=1,1,0))</f>
        <v/>
      </c>
      <c r="V1162">
        <f>IF($U1162=1,SUMPRODUCT(--($X$2:$X$1501&lt;$X1162))+1,"")</f>
        <v/>
      </c>
      <c r="W1162">
        <f>IF($B1162="","",IF(OR($S1162=TRUE(),$S1162="TRUE"),1,0))</f>
        <v/>
      </c>
      <c r="X1162">
        <f>IF($U1162=1,IFERROR(IF(VALUE($B1162)&lt;100000000,VALUE($B1162),1000000000),IFERROR(IF(VALUE(MID($B1162,2,20))&lt;100000000,VALUE(MID($B1162,2,20)),1000000000),1000000000))+ROW()/100000,"")</f>
        <v/>
      </c>
    </row>
    <row r="1163">
      <c r="A1163">
        <f>IF($B1163="","",IFERROR(IF(INDEX('Per Invoice'!$C$2:$C$401,MATCH($B1163,'Per Invoice'!$A$2:$A$401,0))=0,"",INDEX('Per Invoice'!$C$2:$C$401,MATCH($B1163,'Per Invoice'!$A$2:$A$401,0))),""))</f>
        <v/>
      </c>
      <c r="G1163" s="7">
        <f>IF($B1163="","",F1163*L1163/100)</f>
        <v/>
      </c>
      <c r="K1163" s="7" t="n"/>
      <c r="L1163" s="7" t="n"/>
      <c r="M1163" s="7">
        <f>IF($B1163="","",L1163*T1163/100)</f>
        <v/>
      </c>
      <c r="N1163" s="7">
        <f>IF($B1163="","",L1163-M1163)</f>
        <v/>
      </c>
      <c r="O1163" s="7">
        <f>IF($B1163="","",N1163-G1163)</f>
        <v/>
      </c>
      <c r="R1163" s="14" t="n"/>
      <c r="T1163">
        <f>IF($B1163="","",IF($W1163=1,Settings!$C$6,Settings!$C$7)*100)</f>
        <v/>
      </c>
      <c r="U1163">
        <f>IF($B1163="","",IF(COUNTIF($B$2:$B1163,$B1163)=1,1,0))</f>
        <v/>
      </c>
      <c r="V1163">
        <f>IF($U1163=1,SUMPRODUCT(--($X$2:$X$1501&lt;$X1163))+1,"")</f>
        <v/>
      </c>
      <c r="W1163">
        <f>IF($B1163="","",IF(OR($S1163=TRUE(),$S1163="TRUE"),1,0))</f>
        <v/>
      </c>
      <c r="X1163">
        <f>IF($U1163=1,IFERROR(IF(VALUE($B1163)&lt;100000000,VALUE($B1163),1000000000),IFERROR(IF(VALUE(MID($B1163,2,20))&lt;100000000,VALUE(MID($B1163,2,20)),1000000000),1000000000))+ROW()/100000,"")</f>
        <v/>
      </c>
    </row>
    <row r="1164">
      <c r="A1164">
        <f>IF($B1164="","",IFERROR(IF(INDEX('Per Invoice'!$C$2:$C$401,MATCH($B1164,'Per Invoice'!$A$2:$A$401,0))=0,"",INDEX('Per Invoice'!$C$2:$C$401,MATCH($B1164,'Per Invoice'!$A$2:$A$401,0))),""))</f>
        <v/>
      </c>
      <c r="G1164" s="7">
        <f>IF($B1164="","",F1164*L1164/100)</f>
        <v/>
      </c>
      <c r="K1164" s="7" t="n"/>
      <c r="L1164" s="7" t="n"/>
      <c r="M1164" s="7">
        <f>IF($B1164="","",L1164*T1164/100)</f>
        <v/>
      </c>
      <c r="N1164" s="7">
        <f>IF($B1164="","",L1164-M1164)</f>
        <v/>
      </c>
      <c r="O1164" s="7">
        <f>IF($B1164="","",N1164-G1164)</f>
        <v/>
      </c>
      <c r="R1164" s="14" t="n"/>
      <c r="T1164">
        <f>IF($B1164="","",IF($W1164=1,Settings!$C$6,Settings!$C$7)*100)</f>
        <v/>
      </c>
      <c r="U1164">
        <f>IF($B1164="","",IF(COUNTIF($B$2:$B1164,$B1164)=1,1,0))</f>
        <v/>
      </c>
      <c r="V1164">
        <f>IF($U1164=1,SUMPRODUCT(--($X$2:$X$1501&lt;$X1164))+1,"")</f>
        <v/>
      </c>
      <c r="W1164">
        <f>IF($B1164="","",IF(OR($S1164=TRUE(),$S1164="TRUE"),1,0))</f>
        <v/>
      </c>
      <c r="X1164">
        <f>IF($U1164=1,IFERROR(IF(VALUE($B1164)&lt;100000000,VALUE($B1164),1000000000),IFERROR(IF(VALUE(MID($B1164,2,20))&lt;100000000,VALUE(MID($B1164,2,20)),1000000000),1000000000))+ROW()/100000,"")</f>
        <v/>
      </c>
    </row>
    <row r="1165">
      <c r="A1165">
        <f>IF($B1165="","",IFERROR(IF(INDEX('Per Invoice'!$C$2:$C$401,MATCH($B1165,'Per Invoice'!$A$2:$A$401,0))=0,"",INDEX('Per Invoice'!$C$2:$C$401,MATCH($B1165,'Per Invoice'!$A$2:$A$401,0))),""))</f>
        <v/>
      </c>
      <c r="G1165" s="7">
        <f>IF($B1165="","",F1165*L1165/100)</f>
        <v/>
      </c>
      <c r="K1165" s="7" t="n"/>
      <c r="L1165" s="7" t="n"/>
      <c r="M1165" s="7">
        <f>IF($B1165="","",L1165*T1165/100)</f>
        <v/>
      </c>
      <c r="N1165" s="7">
        <f>IF($B1165="","",L1165-M1165)</f>
        <v/>
      </c>
      <c r="O1165" s="7">
        <f>IF($B1165="","",N1165-G1165)</f>
        <v/>
      </c>
      <c r="R1165" s="14" t="n"/>
      <c r="T1165">
        <f>IF($B1165="","",IF($W1165=1,Settings!$C$6,Settings!$C$7)*100)</f>
        <v/>
      </c>
      <c r="U1165">
        <f>IF($B1165="","",IF(COUNTIF($B$2:$B1165,$B1165)=1,1,0))</f>
        <v/>
      </c>
      <c r="V1165">
        <f>IF($U1165=1,SUMPRODUCT(--($X$2:$X$1501&lt;$X1165))+1,"")</f>
        <v/>
      </c>
      <c r="W1165">
        <f>IF($B1165="","",IF(OR($S1165=TRUE(),$S1165="TRUE"),1,0))</f>
        <v/>
      </c>
      <c r="X1165">
        <f>IF($U1165=1,IFERROR(IF(VALUE($B1165)&lt;100000000,VALUE($B1165),1000000000),IFERROR(IF(VALUE(MID($B1165,2,20))&lt;100000000,VALUE(MID($B1165,2,20)),1000000000),1000000000))+ROW()/100000,"")</f>
        <v/>
      </c>
    </row>
    <row r="1166">
      <c r="A1166">
        <f>IF($B1166="","",IFERROR(IF(INDEX('Per Invoice'!$C$2:$C$401,MATCH($B1166,'Per Invoice'!$A$2:$A$401,0))=0,"",INDEX('Per Invoice'!$C$2:$C$401,MATCH($B1166,'Per Invoice'!$A$2:$A$401,0))),""))</f>
        <v/>
      </c>
      <c r="G1166" s="7">
        <f>IF($B1166="","",F1166*L1166/100)</f>
        <v/>
      </c>
      <c r="K1166" s="7" t="n"/>
      <c r="L1166" s="7" t="n"/>
      <c r="M1166" s="7">
        <f>IF($B1166="","",L1166*T1166/100)</f>
        <v/>
      </c>
      <c r="N1166" s="7">
        <f>IF($B1166="","",L1166-M1166)</f>
        <v/>
      </c>
      <c r="O1166" s="7">
        <f>IF($B1166="","",N1166-G1166)</f>
        <v/>
      </c>
      <c r="R1166" s="14" t="n"/>
      <c r="T1166">
        <f>IF($B1166="","",IF($W1166=1,Settings!$C$6,Settings!$C$7)*100)</f>
        <v/>
      </c>
      <c r="U1166">
        <f>IF($B1166="","",IF(COUNTIF($B$2:$B1166,$B1166)=1,1,0))</f>
        <v/>
      </c>
      <c r="V1166">
        <f>IF($U1166=1,SUMPRODUCT(--($X$2:$X$1501&lt;$X1166))+1,"")</f>
        <v/>
      </c>
      <c r="W1166">
        <f>IF($B1166="","",IF(OR($S1166=TRUE(),$S1166="TRUE"),1,0))</f>
        <v/>
      </c>
      <c r="X1166">
        <f>IF($U1166=1,IFERROR(IF(VALUE($B1166)&lt;100000000,VALUE($B1166),1000000000),IFERROR(IF(VALUE(MID($B1166,2,20))&lt;100000000,VALUE(MID($B1166,2,20)),1000000000),1000000000))+ROW()/100000,"")</f>
        <v/>
      </c>
    </row>
    <row r="1167">
      <c r="A1167">
        <f>IF($B1167="","",IFERROR(IF(INDEX('Per Invoice'!$C$2:$C$401,MATCH($B1167,'Per Invoice'!$A$2:$A$401,0))=0,"",INDEX('Per Invoice'!$C$2:$C$401,MATCH($B1167,'Per Invoice'!$A$2:$A$401,0))),""))</f>
        <v/>
      </c>
      <c r="G1167" s="7">
        <f>IF($B1167="","",F1167*L1167/100)</f>
        <v/>
      </c>
      <c r="K1167" s="7" t="n"/>
      <c r="L1167" s="7" t="n"/>
      <c r="M1167" s="7">
        <f>IF($B1167="","",L1167*T1167/100)</f>
        <v/>
      </c>
      <c r="N1167" s="7">
        <f>IF($B1167="","",L1167-M1167)</f>
        <v/>
      </c>
      <c r="O1167" s="7">
        <f>IF($B1167="","",N1167-G1167)</f>
        <v/>
      </c>
      <c r="R1167" s="14" t="n"/>
      <c r="T1167">
        <f>IF($B1167="","",IF($W1167=1,Settings!$C$6,Settings!$C$7)*100)</f>
        <v/>
      </c>
      <c r="U1167">
        <f>IF($B1167="","",IF(COUNTIF($B$2:$B1167,$B1167)=1,1,0))</f>
        <v/>
      </c>
      <c r="V1167">
        <f>IF($U1167=1,SUMPRODUCT(--($X$2:$X$1501&lt;$X1167))+1,"")</f>
        <v/>
      </c>
      <c r="W1167">
        <f>IF($B1167="","",IF(OR($S1167=TRUE(),$S1167="TRUE"),1,0))</f>
        <v/>
      </c>
      <c r="X1167">
        <f>IF($U1167=1,IFERROR(IF(VALUE($B1167)&lt;100000000,VALUE($B1167),1000000000),IFERROR(IF(VALUE(MID($B1167,2,20))&lt;100000000,VALUE(MID($B1167,2,20)),1000000000),1000000000))+ROW()/100000,"")</f>
        <v/>
      </c>
    </row>
    <row r="1168">
      <c r="A1168">
        <f>IF($B1168="","",IFERROR(IF(INDEX('Per Invoice'!$C$2:$C$401,MATCH($B1168,'Per Invoice'!$A$2:$A$401,0))=0,"",INDEX('Per Invoice'!$C$2:$C$401,MATCH($B1168,'Per Invoice'!$A$2:$A$401,0))),""))</f>
        <v/>
      </c>
      <c r="G1168" s="7">
        <f>IF($B1168="","",F1168*L1168/100)</f>
        <v/>
      </c>
      <c r="K1168" s="7" t="n"/>
      <c r="L1168" s="7" t="n"/>
      <c r="M1168" s="7">
        <f>IF($B1168="","",L1168*T1168/100)</f>
        <v/>
      </c>
      <c r="N1168" s="7">
        <f>IF($B1168="","",L1168-M1168)</f>
        <v/>
      </c>
      <c r="O1168" s="7">
        <f>IF($B1168="","",N1168-G1168)</f>
        <v/>
      </c>
      <c r="R1168" s="14" t="n"/>
      <c r="T1168">
        <f>IF($B1168="","",IF($W1168=1,Settings!$C$6,Settings!$C$7)*100)</f>
        <v/>
      </c>
      <c r="U1168">
        <f>IF($B1168="","",IF(COUNTIF($B$2:$B1168,$B1168)=1,1,0))</f>
        <v/>
      </c>
      <c r="V1168">
        <f>IF($U1168=1,SUMPRODUCT(--($X$2:$X$1501&lt;$X1168))+1,"")</f>
        <v/>
      </c>
      <c r="W1168">
        <f>IF($B1168="","",IF(OR($S1168=TRUE(),$S1168="TRUE"),1,0))</f>
        <v/>
      </c>
      <c r="X1168">
        <f>IF($U1168=1,IFERROR(IF(VALUE($B1168)&lt;100000000,VALUE($B1168),1000000000),IFERROR(IF(VALUE(MID($B1168,2,20))&lt;100000000,VALUE(MID($B1168,2,20)),1000000000),1000000000))+ROW()/100000,"")</f>
        <v/>
      </c>
    </row>
    <row r="1169">
      <c r="A1169">
        <f>IF($B1169="","",IFERROR(IF(INDEX('Per Invoice'!$C$2:$C$401,MATCH($B1169,'Per Invoice'!$A$2:$A$401,0))=0,"",INDEX('Per Invoice'!$C$2:$C$401,MATCH($B1169,'Per Invoice'!$A$2:$A$401,0))),""))</f>
        <v/>
      </c>
      <c r="G1169" s="7">
        <f>IF($B1169="","",F1169*L1169/100)</f>
        <v/>
      </c>
      <c r="K1169" s="7" t="n"/>
      <c r="L1169" s="7" t="n"/>
      <c r="M1169" s="7">
        <f>IF($B1169="","",L1169*T1169/100)</f>
        <v/>
      </c>
      <c r="N1169" s="7">
        <f>IF($B1169="","",L1169-M1169)</f>
        <v/>
      </c>
      <c r="O1169" s="7">
        <f>IF($B1169="","",N1169-G1169)</f>
        <v/>
      </c>
      <c r="R1169" s="14" t="n"/>
      <c r="T1169">
        <f>IF($B1169="","",IF($W1169=1,Settings!$C$6,Settings!$C$7)*100)</f>
        <v/>
      </c>
      <c r="U1169">
        <f>IF($B1169="","",IF(COUNTIF($B$2:$B1169,$B1169)=1,1,0))</f>
        <v/>
      </c>
      <c r="V1169">
        <f>IF($U1169=1,SUMPRODUCT(--($X$2:$X$1501&lt;$X1169))+1,"")</f>
        <v/>
      </c>
      <c r="W1169">
        <f>IF($B1169="","",IF(OR($S1169=TRUE(),$S1169="TRUE"),1,0))</f>
        <v/>
      </c>
      <c r="X1169">
        <f>IF($U1169=1,IFERROR(IF(VALUE($B1169)&lt;100000000,VALUE($B1169),1000000000),IFERROR(IF(VALUE(MID($B1169,2,20))&lt;100000000,VALUE(MID($B1169,2,20)),1000000000),1000000000))+ROW()/100000,"")</f>
        <v/>
      </c>
    </row>
    <row r="1170">
      <c r="A1170">
        <f>IF($B1170="","",IFERROR(IF(INDEX('Per Invoice'!$C$2:$C$401,MATCH($B1170,'Per Invoice'!$A$2:$A$401,0))=0,"",INDEX('Per Invoice'!$C$2:$C$401,MATCH($B1170,'Per Invoice'!$A$2:$A$401,0))),""))</f>
        <v/>
      </c>
      <c r="G1170" s="7">
        <f>IF($B1170="","",F1170*L1170/100)</f>
        <v/>
      </c>
      <c r="K1170" s="7" t="n"/>
      <c r="L1170" s="7" t="n"/>
      <c r="M1170" s="7">
        <f>IF($B1170="","",L1170*T1170/100)</f>
        <v/>
      </c>
      <c r="N1170" s="7">
        <f>IF($B1170="","",L1170-M1170)</f>
        <v/>
      </c>
      <c r="O1170" s="7">
        <f>IF($B1170="","",N1170-G1170)</f>
        <v/>
      </c>
      <c r="R1170" s="14" t="n"/>
      <c r="T1170">
        <f>IF($B1170="","",IF($W1170=1,Settings!$C$6,Settings!$C$7)*100)</f>
        <v/>
      </c>
      <c r="U1170">
        <f>IF($B1170="","",IF(COUNTIF($B$2:$B1170,$B1170)=1,1,0))</f>
        <v/>
      </c>
      <c r="V1170">
        <f>IF($U1170=1,SUMPRODUCT(--($X$2:$X$1501&lt;$X1170))+1,"")</f>
        <v/>
      </c>
      <c r="W1170">
        <f>IF($B1170="","",IF(OR($S1170=TRUE(),$S1170="TRUE"),1,0))</f>
        <v/>
      </c>
      <c r="X1170">
        <f>IF($U1170=1,IFERROR(IF(VALUE($B1170)&lt;100000000,VALUE($B1170),1000000000),IFERROR(IF(VALUE(MID($B1170,2,20))&lt;100000000,VALUE(MID($B1170,2,20)),1000000000),1000000000))+ROW()/100000,"")</f>
        <v/>
      </c>
    </row>
    <row r="1171">
      <c r="A1171">
        <f>IF($B1171="","",IFERROR(IF(INDEX('Per Invoice'!$C$2:$C$401,MATCH($B1171,'Per Invoice'!$A$2:$A$401,0))=0,"",INDEX('Per Invoice'!$C$2:$C$401,MATCH($B1171,'Per Invoice'!$A$2:$A$401,0))),""))</f>
        <v/>
      </c>
      <c r="G1171" s="7">
        <f>IF($B1171="","",F1171*L1171/100)</f>
        <v/>
      </c>
      <c r="K1171" s="7" t="n"/>
      <c r="L1171" s="7" t="n"/>
      <c r="M1171" s="7">
        <f>IF($B1171="","",L1171*T1171/100)</f>
        <v/>
      </c>
      <c r="N1171" s="7">
        <f>IF($B1171="","",L1171-M1171)</f>
        <v/>
      </c>
      <c r="O1171" s="7">
        <f>IF($B1171="","",N1171-G1171)</f>
        <v/>
      </c>
      <c r="R1171" s="14" t="n"/>
      <c r="T1171">
        <f>IF($B1171="","",IF($W1171=1,Settings!$C$6,Settings!$C$7)*100)</f>
        <v/>
      </c>
      <c r="U1171">
        <f>IF($B1171="","",IF(COUNTIF($B$2:$B1171,$B1171)=1,1,0))</f>
        <v/>
      </c>
      <c r="V1171">
        <f>IF($U1171=1,SUMPRODUCT(--($X$2:$X$1501&lt;$X1171))+1,"")</f>
        <v/>
      </c>
      <c r="W1171">
        <f>IF($B1171="","",IF(OR($S1171=TRUE(),$S1171="TRUE"),1,0))</f>
        <v/>
      </c>
      <c r="X1171">
        <f>IF($U1171=1,IFERROR(IF(VALUE($B1171)&lt;100000000,VALUE($B1171),1000000000),IFERROR(IF(VALUE(MID($B1171,2,20))&lt;100000000,VALUE(MID($B1171,2,20)),1000000000),1000000000))+ROW()/100000,"")</f>
        <v/>
      </c>
    </row>
    <row r="1172">
      <c r="A1172">
        <f>IF($B1172="","",IFERROR(IF(INDEX('Per Invoice'!$C$2:$C$401,MATCH($B1172,'Per Invoice'!$A$2:$A$401,0))=0,"",INDEX('Per Invoice'!$C$2:$C$401,MATCH($B1172,'Per Invoice'!$A$2:$A$401,0))),""))</f>
        <v/>
      </c>
      <c r="G1172" s="7">
        <f>IF($B1172="","",F1172*L1172/100)</f>
        <v/>
      </c>
      <c r="K1172" s="7" t="n"/>
      <c r="L1172" s="7" t="n"/>
      <c r="M1172" s="7">
        <f>IF($B1172="","",L1172*T1172/100)</f>
        <v/>
      </c>
      <c r="N1172" s="7">
        <f>IF($B1172="","",L1172-M1172)</f>
        <v/>
      </c>
      <c r="O1172" s="7">
        <f>IF($B1172="","",N1172-G1172)</f>
        <v/>
      </c>
      <c r="R1172" s="14" t="n"/>
      <c r="T1172">
        <f>IF($B1172="","",IF($W1172=1,Settings!$C$6,Settings!$C$7)*100)</f>
        <v/>
      </c>
      <c r="U1172">
        <f>IF($B1172="","",IF(COUNTIF($B$2:$B1172,$B1172)=1,1,0))</f>
        <v/>
      </c>
      <c r="V1172">
        <f>IF($U1172=1,SUMPRODUCT(--($X$2:$X$1501&lt;$X1172))+1,"")</f>
        <v/>
      </c>
      <c r="W1172">
        <f>IF($B1172="","",IF(OR($S1172=TRUE(),$S1172="TRUE"),1,0))</f>
        <v/>
      </c>
      <c r="X1172">
        <f>IF($U1172=1,IFERROR(IF(VALUE($B1172)&lt;100000000,VALUE($B1172),1000000000),IFERROR(IF(VALUE(MID($B1172,2,20))&lt;100000000,VALUE(MID($B1172,2,20)),1000000000),1000000000))+ROW()/100000,"")</f>
        <v/>
      </c>
    </row>
    <row r="1173">
      <c r="A1173">
        <f>IF($B1173="","",IFERROR(IF(INDEX('Per Invoice'!$C$2:$C$401,MATCH($B1173,'Per Invoice'!$A$2:$A$401,0))=0,"",INDEX('Per Invoice'!$C$2:$C$401,MATCH($B1173,'Per Invoice'!$A$2:$A$401,0))),""))</f>
        <v/>
      </c>
      <c r="G1173" s="7">
        <f>IF($B1173="","",F1173*L1173/100)</f>
        <v/>
      </c>
      <c r="K1173" s="7" t="n"/>
      <c r="L1173" s="7" t="n"/>
      <c r="M1173" s="7">
        <f>IF($B1173="","",L1173*T1173/100)</f>
        <v/>
      </c>
      <c r="N1173" s="7">
        <f>IF($B1173="","",L1173-M1173)</f>
        <v/>
      </c>
      <c r="O1173" s="7">
        <f>IF($B1173="","",N1173-G1173)</f>
        <v/>
      </c>
      <c r="R1173" s="14" t="n"/>
      <c r="T1173">
        <f>IF($B1173="","",IF($W1173=1,Settings!$C$6,Settings!$C$7)*100)</f>
        <v/>
      </c>
      <c r="U1173">
        <f>IF($B1173="","",IF(COUNTIF($B$2:$B1173,$B1173)=1,1,0))</f>
        <v/>
      </c>
      <c r="V1173">
        <f>IF($U1173=1,SUMPRODUCT(--($X$2:$X$1501&lt;$X1173))+1,"")</f>
        <v/>
      </c>
      <c r="W1173">
        <f>IF($B1173="","",IF(OR($S1173=TRUE(),$S1173="TRUE"),1,0))</f>
        <v/>
      </c>
      <c r="X1173">
        <f>IF($U1173=1,IFERROR(IF(VALUE($B1173)&lt;100000000,VALUE($B1173),1000000000),IFERROR(IF(VALUE(MID($B1173,2,20))&lt;100000000,VALUE(MID($B1173,2,20)),1000000000),1000000000))+ROW()/100000,"")</f>
        <v/>
      </c>
    </row>
    <row r="1174">
      <c r="A1174">
        <f>IF($B1174="","",IFERROR(IF(INDEX('Per Invoice'!$C$2:$C$401,MATCH($B1174,'Per Invoice'!$A$2:$A$401,0))=0,"",INDEX('Per Invoice'!$C$2:$C$401,MATCH($B1174,'Per Invoice'!$A$2:$A$401,0))),""))</f>
        <v/>
      </c>
      <c r="G1174" s="7">
        <f>IF($B1174="","",F1174*L1174/100)</f>
        <v/>
      </c>
      <c r="K1174" s="7" t="n"/>
      <c r="L1174" s="7" t="n"/>
      <c r="M1174" s="7">
        <f>IF($B1174="","",L1174*T1174/100)</f>
        <v/>
      </c>
      <c r="N1174" s="7">
        <f>IF($B1174="","",L1174-M1174)</f>
        <v/>
      </c>
      <c r="O1174" s="7">
        <f>IF($B1174="","",N1174-G1174)</f>
        <v/>
      </c>
      <c r="R1174" s="14" t="n"/>
      <c r="T1174">
        <f>IF($B1174="","",IF($W1174=1,Settings!$C$6,Settings!$C$7)*100)</f>
        <v/>
      </c>
      <c r="U1174">
        <f>IF($B1174="","",IF(COUNTIF($B$2:$B1174,$B1174)=1,1,0))</f>
        <v/>
      </c>
      <c r="V1174">
        <f>IF($U1174=1,SUMPRODUCT(--($X$2:$X$1501&lt;$X1174))+1,"")</f>
        <v/>
      </c>
      <c r="W1174">
        <f>IF($B1174="","",IF(OR($S1174=TRUE(),$S1174="TRUE"),1,0))</f>
        <v/>
      </c>
      <c r="X1174">
        <f>IF($U1174=1,IFERROR(IF(VALUE($B1174)&lt;100000000,VALUE($B1174),1000000000),IFERROR(IF(VALUE(MID($B1174,2,20))&lt;100000000,VALUE(MID($B1174,2,20)),1000000000),1000000000))+ROW()/100000,"")</f>
        <v/>
      </c>
    </row>
    <row r="1175">
      <c r="A1175">
        <f>IF($B1175="","",IFERROR(IF(INDEX('Per Invoice'!$C$2:$C$401,MATCH($B1175,'Per Invoice'!$A$2:$A$401,0))=0,"",INDEX('Per Invoice'!$C$2:$C$401,MATCH($B1175,'Per Invoice'!$A$2:$A$401,0))),""))</f>
        <v/>
      </c>
      <c r="G1175" s="7">
        <f>IF($B1175="","",F1175*L1175/100)</f>
        <v/>
      </c>
      <c r="K1175" s="7" t="n"/>
      <c r="L1175" s="7" t="n"/>
      <c r="M1175" s="7">
        <f>IF($B1175="","",L1175*T1175/100)</f>
        <v/>
      </c>
      <c r="N1175" s="7">
        <f>IF($B1175="","",L1175-M1175)</f>
        <v/>
      </c>
      <c r="O1175" s="7">
        <f>IF($B1175="","",N1175-G1175)</f>
        <v/>
      </c>
      <c r="R1175" s="14" t="n"/>
      <c r="T1175">
        <f>IF($B1175="","",IF($W1175=1,Settings!$C$6,Settings!$C$7)*100)</f>
        <v/>
      </c>
      <c r="U1175">
        <f>IF($B1175="","",IF(COUNTIF($B$2:$B1175,$B1175)=1,1,0))</f>
        <v/>
      </c>
      <c r="V1175">
        <f>IF($U1175=1,SUMPRODUCT(--($X$2:$X$1501&lt;$X1175))+1,"")</f>
        <v/>
      </c>
      <c r="W1175">
        <f>IF($B1175="","",IF(OR($S1175=TRUE(),$S1175="TRUE"),1,0))</f>
        <v/>
      </c>
      <c r="X1175">
        <f>IF($U1175=1,IFERROR(IF(VALUE($B1175)&lt;100000000,VALUE($B1175),1000000000),IFERROR(IF(VALUE(MID($B1175,2,20))&lt;100000000,VALUE(MID($B1175,2,20)),1000000000),1000000000))+ROW()/100000,"")</f>
        <v/>
      </c>
    </row>
    <row r="1176">
      <c r="A1176">
        <f>IF($B1176="","",IFERROR(IF(INDEX('Per Invoice'!$C$2:$C$401,MATCH($B1176,'Per Invoice'!$A$2:$A$401,0))=0,"",INDEX('Per Invoice'!$C$2:$C$401,MATCH($B1176,'Per Invoice'!$A$2:$A$401,0))),""))</f>
        <v/>
      </c>
      <c r="G1176" s="7">
        <f>IF($B1176="","",F1176*L1176/100)</f>
        <v/>
      </c>
      <c r="K1176" s="7" t="n"/>
      <c r="L1176" s="7" t="n"/>
      <c r="M1176" s="7">
        <f>IF($B1176="","",L1176*T1176/100)</f>
        <v/>
      </c>
      <c r="N1176" s="7">
        <f>IF($B1176="","",L1176-M1176)</f>
        <v/>
      </c>
      <c r="O1176" s="7">
        <f>IF($B1176="","",N1176-G1176)</f>
        <v/>
      </c>
      <c r="R1176" s="14" t="n"/>
      <c r="T1176">
        <f>IF($B1176="","",IF($W1176=1,Settings!$C$6,Settings!$C$7)*100)</f>
        <v/>
      </c>
      <c r="U1176">
        <f>IF($B1176="","",IF(COUNTIF($B$2:$B1176,$B1176)=1,1,0))</f>
        <v/>
      </c>
      <c r="V1176">
        <f>IF($U1176=1,SUMPRODUCT(--($X$2:$X$1501&lt;$X1176))+1,"")</f>
        <v/>
      </c>
      <c r="W1176">
        <f>IF($B1176="","",IF(OR($S1176=TRUE(),$S1176="TRUE"),1,0))</f>
        <v/>
      </c>
      <c r="X1176">
        <f>IF($U1176=1,IFERROR(IF(VALUE($B1176)&lt;100000000,VALUE($B1176),1000000000),IFERROR(IF(VALUE(MID($B1176,2,20))&lt;100000000,VALUE(MID($B1176,2,20)),1000000000),1000000000))+ROW()/100000,"")</f>
        <v/>
      </c>
    </row>
    <row r="1177">
      <c r="A1177">
        <f>IF($B1177="","",IFERROR(IF(INDEX('Per Invoice'!$C$2:$C$401,MATCH($B1177,'Per Invoice'!$A$2:$A$401,0))=0,"",INDEX('Per Invoice'!$C$2:$C$401,MATCH($B1177,'Per Invoice'!$A$2:$A$401,0))),""))</f>
        <v/>
      </c>
      <c r="G1177" s="7">
        <f>IF($B1177="","",F1177*L1177/100)</f>
        <v/>
      </c>
      <c r="K1177" s="7" t="n"/>
      <c r="L1177" s="7" t="n"/>
      <c r="M1177" s="7">
        <f>IF($B1177="","",L1177*T1177/100)</f>
        <v/>
      </c>
      <c r="N1177" s="7">
        <f>IF($B1177="","",L1177-M1177)</f>
        <v/>
      </c>
      <c r="O1177" s="7">
        <f>IF($B1177="","",N1177-G1177)</f>
        <v/>
      </c>
      <c r="R1177" s="14" t="n"/>
      <c r="T1177">
        <f>IF($B1177="","",IF($W1177=1,Settings!$C$6,Settings!$C$7)*100)</f>
        <v/>
      </c>
      <c r="U1177">
        <f>IF($B1177="","",IF(COUNTIF($B$2:$B1177,$B1177)=1,1,0))</f>
        <v/>
      </c>
      <c r="V1177">
        <f>IF($U1177=1,SUMPRODUCT(--($X$2:$X$1501&lt;$X1177))+1,"")</f>
        <v/>
      </c>
      <c r="W1177">
        <f>IF($B1177="","",IF(OR($S1177=TRUE(),$S1177="TRUE"),1,0))</f>
        <v/>
      </c>
      <c r="X1177">
        <f>IF($U1177=1,IFERROR(IF(VALUE($B1177)&lt;100000000,VALUE($B1177),1000000000),IFERROR(IF(VALUE(MID($B1177,2,20))&lt;100000000,VALUE(MID($B1177,2,20)),1000000000),1000000000))+ROW()/100000,"")</f>
        <v/>
      </c>
    </row>
    <row r="1178">
      <c r="A1178">
        <f>IF($B1178="","",IFERROR(IF(INDEX('Per Invoice'!$C$2:$C$401,MATCH($B1178,'Per Invoice'!$A$2:$A$401,0))=0,"",INDEX('Per Invoice'!$C$2:$C$401,MATCH($B1178,'Per Invoice'!$A$2:$A$401,0))),""))</f>
        <v/>
      </c>
      <c r="G1178" s="7">
        <f>IF($B1178="","",F1178*L1178/100)</f>
        <v/>
      </c>
      <c r="K1178" s="7" t="n"/>
      <c r="L1178" s="7" t="n"/>
      <c r="M1178" s="7">
        <f>IF($B1178="","",L1178*T1178/100)</f>
        <v/>
      </c>
      <c r="N1178" s="7">
        <f>IF($B1178="","",L1178-M1178)</f>
        <v/>
      </c>
      <c r="O1178" s="7">
        <f>IF($B1178="","",N1178-G1178)</f>
        <v/>
      </c>
      <c r="R1178" s="14" t="n"/>
      <c r="T1178">
        <f>IF($B1178="","",IF($W1178=1,Settings!$C$6,Settings!$C$7)*100)</f>
        <v/>
      </c>
      <c r="U1178">
        <f>IF($B1178="","",IF(COUNTIF($B$2:$B1178,$B1178)=1,1,0))</f>
        <v/>
      </c>
      <c r="V1178">
        <f>IF($U1178=1,SUMPRODUCT(--($X$2:$X$1501&lt;$X1178))+1,"")</f>
        <v/>
      </c>
      <c r="W1178">
        <f>IF($B1178="","",IF(OR($S1178=TRUE(),$S1178="TRUE"),1,0))</f>
        <v/>
      </c>
      <c r="X1178">
        <f>IF($U1178=1,IFERROR(IF(VALUE($B1178)&lt;100000000,VALUE($B1178),1000000000),IFERROR(IF(VALUE(MID($B1178,2,20))&lt;100000000,VALUE(MID($B1178,2,20)),1000000000),1000000000))+ROW()/100000,"")</f>
        <v/>
      </c>
    </row>
    <row r="1179">
      <c r="A1179">
        <f>IF($B1179="","",IFERROR(IF(INDEX('Per Invoice'!$C$2:$C$401,MATCH($B1179,'Per Invoice'!$A$2:$A$401,0))=0,"",INDEX('Per Invoice'!$C$2:$C$401,MATCH($B1179,'Per Invoice'!$A$2:$A$401,0))),""))</f>
        <v/>
      </c>
      <c r="G1179" s="7">
        <f>IF($B1179="","",F1179*L1179/100)</f>
        <v/>
      </c>
      <c r="K1179" s="7" t="n"/>
      <c r="L1179" s="7" t="n"/>
      <c r="M1179" s="7">
        <f>IF($B1179="","",L1179*T1179/100)</f>
        <v/>
      </c>
      <c r="N1179" s="7">
        <f>IF($B1179="","",L1179-M1179)</f>
        <v/>
      </c>
      <c r="O1179" s="7">
        <f>IF($B1179="","",N1179-G1179)</f>
        <v/>
      </c>
      <c r="R1179" s="14" t="n"/>
      <c r="T1179">
        <f>IF($B1179="","",IF($W1179=1,Settings!$C$6,Settings!$C$7)*100)</f>
        <v/>
      </c>
      <c r="U1179">
        <f>IF($B1179="","",IF(COUNTIF($B$2:$B1179,$B1179)=1,1,0))</f>
        <v/>
      </c>
      <c r="V1179">
        <f>IF($U1179=1,SUMPRODUCT(--($X$2:$X$1501&lt;$X1179))+1,"")</f>
        <v/>
      </c>
      <c r="W1179">
        <f>IF($B1179="","",IF(OR($S1179=TRUE(),$S1179="TRUE"),1,0))</f>
        <v/>
      </c>
      <c r="X1179">
        <f>IF($U1179=1,IFERROR(IF(VALUE($B1179)&lt;100000000,VALUE($B1179),1000000000),IFERROR(IF(VALUE(MID($B1179,2,20))&lt;100000000,VALUE(MID($B1179,2,20)),1000000000),1000000000))+ROW()/100000,"")</f>
        <v/>
      </c>
    </row>
    <row r="1180">
      <c r="A1180">
        <f>IF($B1180="","",IFERROR(IF(INDEX('Per Invoice'!$C$2:$C$401,MATCH($B1180,'Per Invoice'!$A$2:$A$401,0))=0,"",INDEX('Per Invoice'!$C$2:$C$401,MATCH($B1180,'Per Invoice'!$A$2:$A$401,0))),""))</f>
        <v/>
      </c>
      <c r="G1180" s="7">
        <f>IF($B1180="","",F1180*L1180/100)</f>
        <v/>
      </c>
      <c r="K1180" s="7" t="n"/>
      <c r="L1180" s="7" t="n"/>
      <c r="M1180" s="7">
        <f>IF($B1180="","",L1180*T1180/100)</f>
        <v/>
      </c>
      <c r="N1180" s="7">
        <f>IF($B1180="","",L1180-M1180)</f>
        <v/>
      </c>
      <c r="O1180" s="7">
        <f>IF($B1180="","",N1180-G1180)</f>
        <v/>
      </c>
      <c r="R1180" s="14" t="n"/>
      <c r="T1180">
        <f>IF($B1180="","",IF($W1180=1,Settings!$C$6,Settings!$C$7)*100)</f>
        <v/>
      </c>
      <c r="U1180">
        <f>IF($B1180="","",IF(COUNTIF($B$2:$B1180,$B1180)=1,1,0))</f>
        <v/>
      </c>
      <c r="V1180">
        <f>IF($U1180=1,SUMPRODUCT(--($X$2:$X$1501&lt;$X1180))+1,"")</f>
        <v/>
      </c>
      <c r="W1180">
        <f>IF($B1180="","",IF(OR($S1180=TRUE(),$S1180="TRUE"),1,0))</f>
        <v/>
      </c>
      <c r="X1180">
        <f>IF($U1180=1,IFERROR(IF(VALUE($B1180)&lt;100000000,VALUE($B1180),1000000000),IFERROR(IF(VALUE(MID($B1180,2,20))&lt;100000000,VALUE(MID($B1180,2,20)),1000000000),1000000000))+ROW()/100000,"")</f>
        <v/>
      </c>
    </row>
    <row r="1181">
      <c r="A1181">
        <f>IF($B1181="","",IFERROR(IF(INDEX('Per Invoice'!$C$2:$C$401,MATCH($B1181,'Per Invoice'!$A$2:$A$401,0))=0,"",INDEX('Per Invoice'!$C$2:$C$401,MATCH($B1181,'Per Invoice'!$A$2:$A$401,0))),""))</f>
        <v/>
      </c>
      <c r="G1181" s="7">
        <f>IF($B1181="","",F1181*L1181/100)</f>
        <v/>
      </c>
      <c r="K1181" s="7" t="n"/>
      <c r="L1181" s="7" t="n"/>
      <c r="M1181" s="7">
        <f>IF($B1181="","",L1181*T1181/100)</f>
        <v/>
      </c>
      <c r="N1181" s="7">
        <f>IF($B1181="","",L1181-M1181)</f>
        <v/>
      </c>
      <c r="O1181" s="7">
        <f>IF($B1181="","",N1181-G1181)</f>
        <v/>
      </c>
      <c r="R1181" s="14" t="n"/>
      <c r="T1181">
        <f>IF($B1181="","",IF($W1181=1,Settings!$C$6,Settings!$C$7)*100)</f>
        <v/>
      </c>
      <c r="U1181">
        <f>IF($B1181="","",IF(COUNTIF($B$2:$B1181,$B1181)=1,1,0))</f>
        <v/>
      </c>
      <c r="V1181">
        <f>IF($U1181=1,SUMPRODUCT(--($X$2:$X$1501&lt;$X1181))+1,"")</f>
        <v/>
      </c>
      <c r="W1181">
        <f>IF($B1181="","",IF(OR($S1181=TRUE(),$S1181="TRUE"),1,0))</f>
        <v/>
      </c>
      <c r="X1181">
        <f>IF($U1181=1,IFERROR(IF(VALUE($B1181)&lt;100000000,VALUE($B1181),1000000000),IFERROR(IF(VALUE(MID($B1181,2,20))&lt;100000000,VALUE(MID($B1181,2,20)),1000000000),1000000000))+ROW()/100000,"")</f>
        <v/>
      </c>
    </row>
    <row r="1182">
      <c r="A1182">
        <f>IF($B1182="","",IFERROR(IF(INDEX('Per Invoice'!$C$2:$C$401,MATCH($B1182,'Per Invoice'!$A$2:$A$401,0))=0,"",INDEX('Per Invoice'!$C$2:$C$401,MATCH($B1182,'Per Invoice'!$A$2:$A$401,0))),""))</f>
        <v/>
      </c>
      <c r="G1182" s="7">
        <f>IF($B1182="","",F1182*L1182/100)</f>
        <v/>
      </c>
      <c r="K1182" s="7" t="n"/>
      <c r="L1182" s="7" t="n"/>
      <c r="M1182" s="7">
        <f>IF($B1182="","",L1182*T1182/100)</f>
        <v/>
      </c>
      <c r="N1182" s="7">
        <f>IF($B1182="","",L1182-M1182)</f>
        <v/>
      </c>
      <c r="O1182" s="7">
        <f>IF($B1182="","",N1182-G1182)</f>
        <v/>
      </c>
      <c r="R1182" s="14" t="n"/>
      <c r="T1182">
        <f>IF($B1182="","",IF($W1182=1,Settings!$C$6,Settings!$C$7)*100)</f>
        <v/>
      </c>
      <c r="U1182">
        <f>IF($B1182="","",IF(COUNTIF($B$2:$B1182,$B1182)=1,1,0))</f>
        <v/>
      </c>
      <c r="V1182">
        <f>IF($U1182=1,SUMPRODUCT(--($X$2:$X$1501&lt;$X1182))+1,"")</f>
        <v/>
      </c>
      <c r="W1182">
        <f>IF($B1182="","",IF(OR($S1182=TRUE(),$S1182="TRUE"),1,0))</f>
        <v/>
      </c>
      <c r="X1182">
        <f>IF($U1182=1,IFERROR(IF(VALUE($B1182)&lt;100000000,VALUE($B1182),1000000000),IFERROR(IF(VALUE(MID($B1182,2,20))&lt;100000000,VALUE(MID($B1182,2,20)),1000000000),1000000000))+ROW()/100000,"")</f>
        <v/>
      </c>
    </row>
    <row r="1183">
      <c r="A1183">
        <f>IF($B1183="","",IFERROR(IF(INDEX('Per Invoice'!$C$2:$C$401,MATCH($B1183,'Per Invoice'!$A$2:$A$401,0))=0,"",INDEX('Per Invoice'!$C$2:$C$401,MATCH($B1183,'Per Invoice'!$A$2:$A$401,0))),""))</f>
        <v/>
      </c>
      <c r="G1183" s="7">
        <f>IF($B1183="","",F1183*L1183/100)</f>
        <v/>
      </c>
      <c r="K1183" s="7" t="n"/>
      <c r="L1183" s="7" t="n"/>
      <c r="M1183" s="7">
        <f>IF($B1183="","",L1183*T1183/100)</f>
        <v/>
      </c>
      <c r="N1183" s="7">
        <f>IF($B1183="","",L1183-M1183)</f>
        <v/>
      </c>
      <c r="O1183" s="7">
        <f>IF($B1183="","",N1183-G1183)</f>
        <v/>
      </c>
      <c r="R1183" s="14" t="n"/>
      <c r="T1183">
        <f>IF($B1183="","",IF($W1183=1,Settings!$C$6,Settings!$C$7)*100)</f>
        <v/>
      </c>
      <c r="U1183">
        <f>IF($B1183="","",IF(COUNTIF($B$2:$B1183,$B1183)=1,1,0))</f>
        <v/>
      </c>
      <c r="V1183">
        <f>IF($U1183=1,SUMPRODUCT(--($X$2:$X$1501&lt;$X1183))+1,"")</f>
        <v/>
      </c>
      <c r="W1183">
        <f>IF($B1183="","",IF(OR($S1183=TRUE(),$S1183="TRUE"),1,0))</f>
        <v/>
      </c>
      <c r="X1183">
        <f>IF($U1183=1,IFERROR(IF(VALUE($B1183)&lt;100000000,VALUE($B1183),1000000000),IFERROR(IF(VALUE(MID($B1183,2,20))&lt;100000000,VALUE(MID($B1183,2,20)),1000000000),1000000000))+ROW()/100000,"")</f>
        <v/>
      </c>
    </row>
    <row r="1184">
      <c r="A1184">
        <f>IF($B1184="","",IFERROR(IF(INDEX('Per Invoice'!$C$2:$C$401,MATCH($B1184,'Per Invoice'!$A$2:$A$401,0))=0,"",INDEX('Per Invoice'!$C$2:$C$401,MATCH($B1184,'Per Invoice'!$A$2:$A$401,0))),""))</f>
        <v/>
      </c>
      <c r="G1184" s="7">
        <f>IF($B1184="","",F1184*L1184/100)</f>
        <v/>
      </c>
      <c r="K1184" s="7" t="n"/>
      <c r="L1184" s="7" t="n"/>
      <c r="M1184" s="7">
        <f>IF($B1184="","",L1184*T1184/100)</f>
        <v/>
      </c>
      <c r="N1184" s="7">
        <f>IF($B1184="","",L1184-M1184)</f>
        <v/>
      </c>
      <c r="O1184" s="7">
        <f>IF($B1184="","",N1184-G1184)</f>
        <v/>
      </c>
      <c r="R1184" s="14" t="n"/>
      <c r="T1184">
        <f>IF($B1184="","",IF($W1184=1,Settings!$C$6,Settings!$C$7)*100)</f>
        <v/>
      </c>
      <c r="U1184">
        <f>IF($B1184="","",IF(COUNTIF($B$2:$B1184,$B1184)=1,1,0))</f>
        <v/>
      </c>
      <c r="V1184">
        <f>IF($U1184=1,SUMPRODUCT(--($X$2:$X$1501&lt;$X1184))+1,"")</f>
        <v/>
      </c>
      <c r="W1184">
        <f>IF($B1184="","",IF(OR($S1184=TRUE(),$S1184="TRUE"),1,0))</f>
        <v/>
      </c>
      <c r="X1184">
        <f>IF($U1184=1,IFERROR(IF(VALUE($B1184)&lt;100000000,VALUE($B1184),1000000000),IFERROR(IF(VALUE(MID($B1184,2,20))&lt;100000000,VALUE(MID($B1184,2,20)),1000000000),1000000000))+ROW()/100000,"")</f>
        <v/>
      </c>
    </row>
    <row r="1185">
      <c r="A1185">
        <f>IF($B1185="","",IFERROR(IF(INDEX('Per Invoice'!$C$2:$C$401,MATCH($B1185,'Per Invoice'!$A$2:$A$401,0))=0,"",INDEX('Per Invoice'!$C$2:$C$401,MATCH($B1185,'Per Invoice'!$A$2:$A$401,0))),""))</f>
        <v/>
      </c>
      <c r="G1185" s="7">
        <f>IF($B1185="","",F1185*L1185/100)</f>
        <v/>
      </c>
      <c r="K1185" s="7" t="n"/>
      <c r="L1185" s="7" t="n"/>
      <c r="M1185" s="7">
        <f>IF($B1185="","",L1185*T1185/100)</f>
        <v/>
      </c>
      <c r="N1185" s="7">
        <f>IF($B1185="","",L1185-M1185)</f>
        <v/>
      </c>
      <c r="O1185" s="7">
        <f>IF($B1185="","",N1185-G1185)</f>
        <v/>
      </c>
      <c r="R1185" s="14" t="n"/>
      <c r="T1185">
        <f>IF($B1185="","",IF($W1185=1,Settings!$C$6,Settings!$C$7)*100)</f>
        <v/>
      </c>
      <c r="U1185">
        <f>IF($B1185="","",IF(COUNTIF($B$2:$B1185,$B1185)=1,1,0))</f>
        <v/>
      </c>
      <c r="V1185">
        <f>IF($U1185=1,SUMPRODUCT(--($X$2:$X$1501&lt;$X1185))+1,"")</f>
        <v/>
      </c>
      <c r="W1185">
        <f>IF($B1185="","",IF(OR($S1185=TRUE(),$S1185="TRUE"),1,0))</f>
        <v/>
      </c>
      <c r="X1185">
        <f>IF($U1185=1,IFERROR(IF(VALUE($B1185)&lt;100000000,VALUE($B1185),1000000000),IFERROR(IF(VALUE(MID($B1185,2,20))&lt;100000000,VALUE(MID($B1185,2,20)),1000000000),1000000000))+ROW()/100000,"")</f>
        <v/>
      </c>
    </row>
    <row r="1186">
      <c r="A1186">
        <f>IF($B1186="","",IFERROR(IF(INDEX('Per Invoice'!$C$2:$C$401,MATCH($B1186,'Per Invoice'!$A$2:$A$401,0))=0,"",INDEX('Per Invoice'!$C$2:$C$401,MATCH($B1186,'Per Invoice'!$A$2:$A$401,0))),""))</f>
        <v/>
      </c>
      <c r="G1186" s="7">
        <f>IF($B1186="","",F1186*L1186/100)</f>
        <v/>
      </c>
      <c r="K1186" s="7" t="n"/>
      <c r="L1186" s="7" t="n"/>
      <c r="M1186" s="7">
        <f>IF($B1186="","",L1186*T1186/100)</f>
        <v/>
      </c>
      <c r="N1186" s="7">
        <f>IF($B1186="","",L1186-M1186)</f>
        <v/>
      </c>
      <c r="O1186" s="7">
        <f>IF($B1186="","",N1186-G1186)</f>
        <v/>
      </c>
      <c r="R1186" s="14" t="n"/>
      <c r="T1186">
        <f>IF($B1186="","",IF($W1186=1,Settings!$C$6,Settings!$C$7)*100)</f>
        <v/>
      </c>
      <c r="U1186">
        <f>IF($B1186="","",IF(COUNTIF($B$2:$B1186,$B1186)=1,1,0))</f>
        <v/>
      </c>
      <c r="V1186">
        <f>IF($U1186=1,SUMPRODUCT(--($X$2:$X$1501&lt;$X1186))+1,"")</f>
        <v/>
      </c>
      <c r="W1186">
        <f>IF($B1186="","",IF(OR($S1186=TRUE(),$S1186="TRUE"),1,0))</f>
        <v/>
      </c>
      <c r="X1186">
        <f>IF($U1186=1,IFERROR(IF(VALUE($B1186)&lt;100000000,VALUE($B1186),1000000000),IFERROR(IF(VALUE(MID($B1186,2,20))&lt;100000000,VALUE(MID($B1186,2,20)),1000000000),1000000000))+ROW()/100000,"")</f>
        <v/>
      </c>
    </row>
    <row r="1187">
      <c r="A1187">
        <f>IF($B1187="","",IFERROR(IF(INDEX('Per Invoice'!$C$2:$C$401,MATCH($B1187,'Per Invoice'!$A$2:$A$401,0))=0,"",INDEX('Per Invoice'!$C$2:$C$401,MATCH($B1187,'Per Invoice'!$A$2:$A$401,0))),""))</f>
        <v/>
      </c>
      <c r="G1187" s="7">
        <f>IF($B1187="","",F1187*L1187/100)</f>
        <v/>
      </c>
      <c r="K1187" s="7" t="n"/>
      <c r="L1187" s="7" t="n"/>
      <c r="M1187" s="7">
        <f>IF($B1187="","",L1187*T1187/100)</f>
        <v/>
      </c>
      <c r="N1187" s="7">
        <f>IF($B1187="","",L1187-M1187)</f>
        <v/>
      </c>
      <c r="O1187" s="7">
        <f>IF($B1187="","",N1187-G1187)</f>
        <v/>
      </c>
      <c r="R1187" s="14" t="n"/>
      <c r="T1187">
        <f>IF($B1187="","",IF($W1187=1,Settings!$C$6,Settings!$C$7)*100)</f>
        <v/>
      </c>
      <c r="U1187">
        <f>IF($B1187="","",IF(COUNTIF($B$2:$B1187,$B1187)=1,1,0))</f>
        <v/>
      </c>
      <c r="V1187">
        <f>IF($U1187=1,SUMPRODUCT(--($X$2:$X$1501&lt;$X1187))+1,"")</f>
        <v/>
      </c>
      <c r="W1187">
        <f>IF($B1187="","",IF(OR($S1187=TRUE(),$S1187="TRUE"),1,0))</f>
        <v/>
      </c>
      <c r="X1187">
        <f>IF($U1187=1,IFERROR(IF(VALUE($B1187)&lt;100000000,VALUE($B1187),1000000000),IFERROR(IF(VALUE(MID($B1187,2,20))&lt;100000000,VALUE(MID($B1187,2,20)),1000000000),1000000000))+ROW()/100000,"")</f>
        <v/>
      </c>
    </row>
    <row r="1188">
      <c r="A1188">
        <f>IF($B1188="","",IFERROR(IF(INDEX('Per Invoice'!$C$2:$C$401,MATCH($B1188,'Per Invoice'!$A$2:$A$401,0))=0,"",INDEX('Per Invoice'!$C$2:$C$401,MATCH($B1188,'Per Invoice'!$A$2:$A$401,0))),""))</f>
        <v/>
      </c>
      <c r="G1188" s="7">
        <f>IF($B1188="","",F1188*L1188/100)</f>
        <v/>
      </c>
      <c r="K1188" s="7" t="n"/>
      <c r="L1188" s="7" t="n"/>
      <c r="M1188" s="7">
        <f>IF($B1188="","",L1188*T1188/100)</f>
        <v/>
      </c>
      <c r="N1188" s="7">
        <f>IF($B1188="","",L1188-M1188)</f>
        <v/>
      </c>
      <c r="O1188" s="7">
        <f>IF($B1188="","",N1188-G1188)</f>
        <v/>
      </c>
      <c r="R1188" s="14" t="n"/>
      <c r="T1188">
        <f>IF($B1188="","",IF($W1188=1,Settings!$C$6,Settings!$C$7)*100)</f>
        <v/>
      </c>
      <c r="U1188">
        <f>IF($B1188="","",IF(COUNTIF($B$2:$B1188,$B1188)=1,1,0))</f>
        <v/>
      </c>
      <c r="V1188">
        <f>IF($U1188=1,SUMPRODUCT(--($X$2:$X$1501&lt;$X1188))+1,"")</f>
        <v/>
      </c>
      <c r="W1188">
        <f>IF($B1188="","",IF(OR($S1188=TRUE(),$S1188="TRUE"),1,0))</f>
        <v/>
      </c>
      <c r="X1188">
        <f>IF($U1188=1,IFERROR(IF(VALUE($B1188)&lt;100000000,VALUE($B1188),1000000000),IFERROR(IF(VALUE(MID($B1188,2,20))&lt;100000000,VALUE(MID($B1188,2,20)),1000000000),1000000000))+ROW()/100000,"")</f>
        <v/>
      </c>
    </row>
    <row r="1189">
      <c r="A1189">
        <f>IF($B1189="","",IFERROR(IF(INDEX('Per Invoice'!$C$2:$C$401,MATCH($B1189,'Per Invoice'!$A$2:$A$401,0))=0,"",INDEX('Per Invoice'!$C$2:$C$401,MATCH($B1189,'Per Invoice'!$A$2:$A$401,0))),""))</f>
        <v/>
      </c>
      <c r="G1189" s="7">
        <f>IF($B1189="","",F1189*L1189/100)</f>
        <v/>
      </c>
      <c r="K1189" s="7" t="n"/>
      <c r="L1189" s="7" t="n"/>
      <c r="M1189" s="7">
        <f>IF($B1189="","",L1189*T1189/100)</f>
        <v/>
      </c>
      <c r="N1189" s="7">
        <f>IF($B1189="","",L1189-M1189)</f>
        <v/>
      </c>
      <c r="O1189" s="7">
        <f>IF($B1189="","",N1189-G1189)</f>
        <v/>
      </c>
      <c r="R1189" s="14" t="n"/>
      <c r="T1189">
        <f>IF($B1189="","",IF($W1189=1,Settings!$C$6,Settings!$C$7)*100)</f>
        <v/>
      </c>
      <c r="U1189">
        <f>IF($B1189="","",IF(COUNTIF($B$2:$B1189,$B1189)=1,1,0))</f>
        <v/>
      </c>
      <c r="V1189">
        <f>IF($U1189=1,SUMPRODUCT(--($X$2:$X$1501&lt;$X1189))+1,"")</f>
        <v/>
      </c>
      <c r="W1189">
        <f>IF($B1189="","",IF(OR($S1189=TRUE(),$S1189="TRUE"),1,0))</f>
        <v/>
      </c>
      <c r="X1189">
        <f>IF($U1189=1,IFERROR(IF(VALUE($B1189)&lt;100000000,VALUE($B1189),1000000000),IFERROR(IF(VALUE(MID($B1189,2,20))&lt;100000000,VALUE(MID($B1189,2,20)),1000000000),1000000000))+ROW()/100000,"")</f>
        <v/>
      </c>
    </row>
    <row r="1190">
      <c r="A1190">
        <f>IF($B1190="","",IFERROR(IF(INDEX('Per Invoice'!$C$2:$C$401,MATCH($B1190,'Per Invoice'!$A$2:$A$401,0))=0,"",INDEX('Per Invoice'!$C$2:$C$401,MATCH($B1190,'Per Invoice'!$A$2:$A$401,0))),""))</f>
        <v/>
      </c>
      <c r="G1190" s="7">
        <f>IF($B1190="","",F1190*L1190/100)</f>
        <v/>
      </c>
      <c r="K1190" s="7" t="n"/>
      <c r="L1190" s="7" t="n"/>
      <c r="M1190" s="7">
        <f>IF($B1190="","",L1190*T1190/100)</f>
        <v/>
      </c>
      <c r="N1190" s="7">
        <f>IF($B1190="","",L1190-M1190)</f>
        <v/>
      </c>
      <c r="O1190" s="7">
        <f>IF($B1190="","",N1190-G1190)</f>
        <v/>
      </c>
      <c r="R1190" s="14" t="n"/>
      <c r="T1190">
        <f>IF($B1190="","",IF($W1190=1,Settings!$C$6,Settings!$C$7)*100)</f>
        <v/>
      </c>
      <c r="U1190">
        <f>IF($B1190="","",IF(COUNTIF($B$2:$B1190,$B1190)=1,1,0))</f>
        <v/>
      </c>
      <c r="V1190">
        <f>IF($U1190=1,SUMPRODUCT(--($X$2:$X$1501&lt;$X1190))+1,"")</f>
        <v/>
      </c>
      <c r="W1190">
        <f>IF($B1190="","",IF(OR($S1190=TRUE(),$S1190="TRUE"),1,0))</f>
        <v/>
      </c>
      <c r="X1190">
        <f>IF($U1190=1,IFERROR(IF(VALUE($B1190)&lt;100000000,VALUE($B1190),1000000000),IFERROR(IF(VALUE(MID($B1190,2,20))&lt;100000000,VALUE(MID($B1190,2,20)),1000000000),1000000000))+ROW()/100000,"")</f>
        <v/>
      </c>
    </row>
    <row r="1191">
      <c r="A1191">
        <f>IF($B1191="","",IFERROR(IF(INDEX('Per Invoice'!$C$2:$C$401,MATCH($B1191,'Per Invoice'!$A$2:$A$401,0))=0,"",INDEX('Per Invoice'!$C$2:$C$401,MATCH($B1191,'Per Invoice'!$A$2:$A$401,0))),""))</f>
        <v/>
      </c>
      <c r="G1191" s="7">
        <f>IF($B1191="","",F1191*L1191/100)</f>
        <v/>
      </c>
      <c r="K1191" s="7" t="n"/>
      <c r="L1191" s="7" t="n"/>
      <c r="M1191" s="7">
        <f>IF($B1191="","",L1191*T1191/100)</f>
        <v/>
      </c>
      <c r="N1191" s="7">
        <f>IF($B1191="","",L1191-M1191)</f>
        <v/>
      </c>
      <c r="O1191" s="7">
        <f>IF($B1191="","",N1191-G1191)</f>
        <v/>
      </c>
      <c r="R1191" s="14" t="n"/>
      <c r="T1191">
        <f>IF($B1191="","",IF($W1191=1,Settings!$C$6,Settings!$C$7)*100)</f>
        <v/>
      </c>
      <c r="U1191">
        <f>IF($B1191="","",IF(COUNTIF($B$2:$B1191,$B1191)=1,1,0))</f>
        <v/>
      </c>
      <c r="V1191">
        <f>IF($U1191=1,SUMPRODUCT(--($X$2:$X$1501&lt;$X1191))+1,"")</f>
        <v/>
      </c>
      <c r="W1191">
        <f>IF($B1191="","",IF(OR($S1191=TRUE(),$S1191="TRUE"),1,0))</f>
        <v/>
      </c>
      <c r="X1191">
        <f>IF($U1191=1,IFERROR(IF(VALUE($B1191)&lt;100000000,VALUE($B1191),1000000000),IFERROR(IF(VALUE(MID($B1191,2,20))&lt;100000000,VALUE(MID($B1191,2,20)),1000000000),1000000000))+ROW()/100000,"")</f>
        <v/>
      </c>
    </row>
    <row r="1192">
      <c r="A1192">
        <f>IF($B1192="","",IFERROR(IF(INDEX('Per Invoice'!$C$2:$C$401,MATCH($B1192,'Per Invoice'!$A$2:$A$401,0))=0,"",INDEX('Per Invoice'!$C$2:$C$401,MATCH($B1192,'Per Invoice'!$A$2:$A$401,0))),""))</f>
        <v/>
      </c>
      <c r="G1192" s="7">
        <f>IF($B1192="","",F1192*L1192/100)</f>
        <v/>
      </c>
      <c r="K1192" s="7" t="n"/>
      <c r="L1192" s="7" t="n"/>
      <c r="M1192" s="7">
        <f>IF($B1192="","",L1192*T1192/100)</f>
        <v/>
      </c>
      <c r="N1192" s="7">
        <f>IF($B1192="","",L1192-M1192)</f>
        <v/>
      </c>
      <c r="O1192" s="7">
        <f>IF($B1192="","",N1192-G1192)</f>
        <v/>
      </c>
      <c r="R1192" s="14" t="n"/>
      <c r="T1192">
        <f>IF($B1192="","",IF($W1192=1,Settings!$C$6,Settings!$C$7)*100)</f>
        <v/>
      </c>
      <c r="U1192">
        <f>IF($B1192="","",IF(COUNTIF($B$2:$B1192,$B1192)=1,1,0))</f>
        <v/>
      </c>
      <c r="V1192">
        <f>IF($U1192=1,SUMPRODUCT(--($X$2:$X$1501&lt;$X1192))+1,"")</f>
        <v/>
      </c>
      <c r="W1192">
        <f>IF($B1192="","",IF(OR($S1192=TRUE(),$S1192="TRUE"),1,0))</f>
        <v/>
      </c>
      <c r="X1192">
        <f>IF($U1192=1,IFERROR(IF(VALUE($B1192)&lt;100000000,VALUE($B1192),1000000000),IFERROR(IF(VALUE(MID($B1192,2,20))&lt;100000000,VALUE(MID($B1192,2,20)),1000000000),1000000000))+ROW()/100000,"")</f>
        <v/>
      </c>
    </row>
    <row r="1193">
      <c r="A1193">
        <f>IF($B1193="","",IFERROR(IF(INDEX('Per Invoice'!$C$2:$C$401,MATCH($B1193,'Per Invoice'!$A$2:$A$401,0))=0,"",INDEX('Per Invoice'!$C$2:$C$401,MATCH($B1193,'Per Invoice'!$A$2:$A$401,0))),""))</f>
        <v/>
      </c>
      <c r="G1193" s="7">
        <f>IF($B1193="","",F1193*L1193/100)</f>
        <v/>
      </c>
      <c r="K1193" s="7" t="n"/>
      <c r="L1193" s="7" t="n"/>
      <c r="M1193" s="7">
        <f>IF($B1193="","",L1193*T1193/100)</f>
        <v/>
      </c>
      <c r="N1193" s="7">
        <f>IF($B1193="","",L1193-M1193)</f>
        <v/>
      </c>
      <c r="O1193" s="7">
        <f>IF($B1193="","",N1193-G1193)</f>
        <v/>
      </c>
      <c r="R1193" s="14" t="n"/>
      <c r="T1193">
        <f>IF($B1193="","",IF($W1193=1,Settings!$C$6,Settings!$C$7)*100)</f>
        <v/>
      </c>
      <c r="U1193">
        <f>IF($B1193="","",IF(COUNTIF($B$2:$B1193,$B1193)=1,1,0))</f>
        <v/>
      </c>
      <c r="V1193">
        <f>IF($U1193=1,SUMPRODUCT(--($X$2:$X$1501&lt;$X1193))+1,"")</f>
        <v/>
      </c>
      <c r="W1193">
        <f>IF($B1193="","",IF(OR($S1193=TRUE(),$S1193="TRUE"),1,0))</f>
        <v/>
      </c>
      <c r="X1193">
        <f>IF($U1193=1,IFERROR(IF(VALUE($B1193)&lt;100000000,VALUE($B1193),1000000000),IFERROR(IF(VALUE(MID($B1193,2,20))&lt;100000000,VALUE(MID($B1193,2,20)),1000000000),1000000000))+ROW()/100000,"")</f>
        <v/>
      </c>
    </row>
    <row r="1194">
      <c r="A1194">
        <f>IF($B1194="","",IFERROR(IF(INDEX('Per Invoice'!$C$2:$C$401,MATCH($B1194,'Per Invoice'!$A$2:$A$401,0))=0,"",INDEX('Per Invoice'!$C$2:$C$401,MATCH($B1194,'Per Invoice'!$A$2:$A$401,0))),""))</f>
        <v/>
      </c>
      <c r="G1194" s="7">
        <f>IF($B1194="","",F1194*L1194/100)</f>
        <v/>
      </c>
      <c r="K1194" s="7" t="n"/>
      <c r="L1194" s="7" t="n"/>
      <c r="M1194" s="7">
        <f>IF($B1194="","",L1194*T1194/100)</f>
        <v/>
      </c>
      <c r="N1194" s="7">
        <f>IF($B1194="","",L1194-M1194)</f>
        <v/>
      </c>
      <c r="O1194" s="7">
        <f>IF($B1194="","",N1194-G1194)</f>
        <v/>
      </c>
      <c r="R1194" s="14" t="n"/>
      <c r="T1194">
        <f>IF($B1194="","",IF($W1194=1,Settings!$C$6,Settings!$C$7)*100)</f>
        <v/>
      </c>
      <c r="U1194">
        <f>IF($B1194="","",IF(COUNTIF($B$2:$B1194,$B1194)=1,1,0))</f>
        <v/>
      </c>
      <c r="V1194">
        <f>IF($U1194=1,SUMPRODUCT(--($X$2:$X$1501&lt;$X1194))+1,"")</f>
        <v/>
      </c>
      <c r="W1194">
        <f>IF($B1194="","",IF(OR($S1194=TRUE(),$S1194="TRUE"),1,0))</f>
        <v/>
      </c>
      <c r="X1194">
        <f>IF($U1194=1,IFERROR(IF(VALUE($B1194)&lt;100000000,VALUE($B1194),1000000000),IFERROR(IF(VALUE(MID($B1194,2,20))&lt;100000000,VALUE(MID($B1194,2,20)),1000000000),1000000000))+ROW()/100000,"")</f>
        <v/>
      </c>
    </row>
    <row r="1195">
      <c r="A1195">
        <f>IF($B1195="","",IFERROR(IF(INDEX('Per Invoice'!$C$2:$C$401,MATCH($B1195,'Per Invoice'!$A$2:$A$401,0))=0,"",INDEX('Per Invoice'!$C$2:$C$401,MATCH($B1195,'Per Invoice'!$A$2:$A$401,0))),""))</f>
        <v/>
      </c>
      <c r="G1195" s="7">
        <f>IF($B1195="","",F1195*L1195/100)</f>
        <v/>
      </c>
      <c r="K1195" s="7" t="n"/>
      <c r="L1195" s="7" t="n"/>
      <c r="M1195" s="7">
        <f>IF($B1195="","",L1195*T1195/100)</f>
        <v/>
      </c>
      <c r="N1195" s="7">
        <f>IF($B1195="","",L1195-M1195)</f>
        <v/>
      </c>
      <c r="O1195" s="7">
        <f>IF($B1195="","",N1195-G1195)</f>
        <v/>
      </c>
      <c r="R1195" s="14" t="n"/>
      <c r="T1195">
        <f>IF($B1195="","",IF($W1195=1,Settings!$C$6,Settings!$C$7)*100)</f>
        <v/>
      </c>
      <c r="U1195">
        <f>IF($B1195="","",IF(COUNTIF($B$2:$B1195,$B1195)=1,1,0))</f>
        <v/>
      </c>
      <c r="V1195">
        <f>IF($U1195=1,SUMPRODUCT(--($X$2:$X$1501&lt;$X1195))+1,"")</f>
        <v/>
      </c>
      <c r="W1195">
        <f>IF($B1195="","",IF(OR($S1195=TRUE(),$S1195="TRUE"),1,0))</f>
        <v/>
      </c>
      <c r="X1195">
        <f>IF($U1195=1,IFERROR(IF(VALUE($B1195)&lt;100000000,VALUE($B1195),1000000000),IFERROR(IF(VALUE(MID($B1195,2,20))&lt;100000000,VALUE(MID($B1195,2,20)),1000000000),1000000000))+ROW()/100000,"")</f>
        <v/>
      </c>
    </row>
    <row r="1196">
      <c r="A1196">
        <f>IF($B1196="","",IFERROR(IF(INDEX('Per Invoice'!$C$2:$C$401,MATCH($B1196,'Per Invoice'!$A$2:$A$401,0))=0,"",INDEX('Per Invoice'!$C$2:$C$401,MATCH($B1196,'Per Invoice'!$A$2:$A$401,0))),""))</f>
        <v/>
      </c>
      <c r="G1196" s="7">
        <f>IF($B1196="","",F1196*L1196/100)</f>
        <v/>
      </c>
      <c r="K1196" s="7" t="n"/>
      <c r="L1196" s="7" t="n"/>
      <c r="M1196" s="7">
        <f>IF($B1196="","",L1196*T1196/100)</f>
        <v/>
      </c>
      <c r="N1196" s="7">
        <f>IF($B1196="","",L1196-M1196)</f>
        <v/>
      </c>
      <c r="O1196" s="7">
        <f>IF($B1196="","",N1196-G1196)</f>
        <v/>
      </c>
      <c r="R1196" s="14" t="n"/>
      <c r="T1196">
        <f>IF($B1196="","",IF($W1196=1,Settings!$C$6,Settings!$C$7)*100)</f>
        <v/>
      </c>
      <c r="U1196">
        <f>IF($B1196="","",IF(COUNTIF($B$2:$B1196,$B1196)=1,1,0))</f>
        <v/>
      </c>
      <c r="V1196">
        <f>IF($U1196=1,SUMPRODUCT(--($X$2:$X$1501&lt;$X1196))+1,"")</f>
        <v/>
      </c>
      <c r="W1196">
        <f>IF($B1196="","",IF(OR($S1196=TRUE(),$S1196="TRUE"),1,0))</f>
        <v/>
      </c>
      <c r="X1196">
        <f>IF($U1196=1,IFERROR(IF(VALUE($B1196)&lt;100000000,VALUE($B1196),1000000000),IFERROR(IF(VALUE(MID($B1196,2,20))&lt;100000000,VALUE(MID($B1196,2,20)),1000000000),1000000000))+ROW()/100000,"")</f>
        <v/>
      </c>
    </row>
    <row r="1197">
      <c r="A1197">
        <f>IF($B1197="","",IFERROR(IF(INDEX('Per Invoice'!$C$2:$C$401,MATCH($B1197,'Per Invoice'!$A$2:$A$401,0))=0,"",INDEX('Per Invoice'!$C$2:$C$401,MATCH($B1197,'Per Invoice'!$A$2:$A$401,0))),""))</f>
        <v/>
      </c>
      <c r="G1197" s="7">
        <f>IF($B1197="","",F1197*L1197/100)</f>
        <v/>
      </c>
      <c r="K1197" s="7" t="n"/>
      <c r="L1197" s="7" t="n"/>
      <c r="M1197" s="7">
        <f>IF($B1197="","",L1197*T1197/100)</f>
        <v/>
      </c>
      <c r="N1197" s="7">
        <f>IF($B1197="","",L1197-M1197)</f>
        <v/>
      </c>
      <c r="O1197" s="7">
        <f>IF($B1197="","",N1197-G1197)</f>
        <v/>
      </c>
      <c r="R1197" s="14" t="n"/>
      <c r="T1197">
        <f>IF($B1197="","",IF($W1197=1,Settings!$C$6,Settings!$C$7)*100)</f>
        <v/>
      </c>
      <c r="U1197">
        <f>IF($B1197="","",IF(COUNTIF($B$2:$B1197,$B1197)=1,1,0))</f>
        <v/>
      </c>
      <c r="V1197">
        <f>IF($U1197=1,SUMPRODUCT(--($X$2:$X$1501&lt;$X1197))+1,"")</f>
        <v/>
      </c>
      <c r="W1197">
        <f>IF($B1197="","",IF(OR($S1197=TRUE(),$S1197="TRUE"),1,0))</f>
        <v/>
      </c>
      <c r="X1197">
        <f>IF($U1197=1,IFERROR(IF(VALUE($B1197)&lt;100000000,VALUE($B1197),1000000000),IFERROR(IF(VALUE(MID($B1197,2,20))&lt;100000000,VALUE(MID($B1197,2,20)),1000000000),1000000000))+ROW()/100000,"")</f>
        <v/>
      </c>
    </row>
    <row r="1198">
      <c r="A1198">
        <f>IF($B1198="","",IFERROR(IF(INDEX('Per Invoice'!$C$2:$C$401,MATCH($B1198,'Per Invoice'!$A$2:$A$401,0))=0,"",INDEX('Per Invoice'!$C$2:$C$401,MATCH($B1198,'Per Invoice'!$A$2:$A$401,0))),""))</f>
        <v/>
      </c>
      <c r="G1198" s="7">
        <f>IF($B1198="","",F1198*L1198/100)</f>
        <v/>
      </c>
      <c r="K1198" s="7" t="n"/>
      <c r="L1198" s="7" t="n"/>
      <c r="M1198" s="7">
        <f>IF($B1198="","",L1198*T1198/100)</f>
        <v/>
      </c>
      <c r="N1198" s="7">
        <f>IF($B1198="","",L1198-M1198)</f>
        <v/>
      </c>
      <c r="O1198" s="7">
        <f>IF($B1198="","",N1198-G1198)</f>
        <v/>
      </c>
      <c r="R1198" s="14" t="n"/>
      <c r="T1198">
        <f>IF($B1198="","",IF($W1198=1,Settings!$C$6,Settings!$C$7)*100)</f>
        <v/>
      </c>
      <c r="U1198">
        <f>IF($B1198="","",IF(COUNTIF($B$2:$B1198,$B1198)=1,1,0))</f>
        <v/>
      </c>
      <c r="V1198">
        <f>IF($U1198=1,SUMPRODUCT(--($X$2:$X$1501&lt;$X1198))+1,"")</f>
        <v/>
      </c>
      <c r="W1198">
        <f>IF($B1198="","",IF(OR($S1198=TRUE(),$S1198="TRUE"),1,0))</f>
        <v/>
      </c>
      <c r="X1198">
        <f>IF($U1198=1,IFERROR(IF(VALUE($B1198)&lt;100000000,VALUE($B1198),1000000000),IFERROR(IF(VALUE(MID($B1198,2,20))&lt;100000000,VALUE(MID($B1198,2,20)),1000000000),1000000000))+ROW()/100000,"")</f>
        <v/>
      </c>
    </row>
    <row r="1199">
      <c r="A1199">
        <f>IF($B1199="","",IFERROR(IF(INDEX('Per Invoice'!$C$2:$C$401,MATCH($B1199,'Per Invoice'!$A$2:$A$401,0))=0,"",INDEX('Per Invoice'!$C$2:$C$401,MATCH($B1199,'Per Invoice'!$A$2:$A$401,0))),""))</f>
        <v/>
      </c>
      <c r="G1199" s="7">
        <f>IF($B1199="","",F1199*L1199/100)</f>
        <v/>
      </c>
      <c r="K1199" s="7" t="n"/>
      <c r="L1199" s="7" t="n"/>
      <c r="M1199" s="7">
        <f>IF($B1199="","",L1199*T1199/100)</f>
        <v/>
      </c>
      <c r="N1199" s="7">
        <f>IF($B1199="","",L1199-M1199)</f>
        <v/>
      </c>
      <c r="O1199" s="7">
        <f>IF($B1199="","",N1199-G1199)</f>
        <v/>
      </c>
      <c r="R1199" s="14" t="n"/>
      <c r="T1199">
        <f>IF($B1199="","",IF($W1199=1,Settings!$C$6,Settings!$C$7)*100)</f>
        <v/>
      </c>
      <c r="U1199">
        <f>IF($B1199="","",IF(COUNTIF($B$2:$B1199,$B1199)=1,1,0))</f>
        <v/>
      </c>
      <c r="V1199">
        <f>IF($U1199=1,SUMPRODUCT(--($X$2:$X$1501&lt;$X1199))+1,"")</f>
        <v/>
      </c>
      <c r="W1199">
        <f>IF($B1199="","",IF(OR($S1199=TRUE(),$S1199="TRUE"),1,0))</f>
        <v/>
      </c>
      <c r="X1199">
        <f>IF($U1199=1,IFERROR(IF(VALUE($B1199)&lt;100000000,VALUE($B1199),1000000000),IFERROR(IF(VALUE(MID($B1199,2,20))&lt;100000000,VALUE(MID($B1199,2,20)),1000000000),1000000000))+ROW()/100000,"")</f>
        <v/>
      </c>
    </row>
    <row r="1200">
      <c r="A1200">
        <f>IF($B1200="","",IFERROR(IF(INDEX('Per Invoice'!$C$2:$C$401,MATCH($B1200,'Per Invoice'!$A$2:$A$401,0))=0,"",INDEX('Per Invoice'!$C$2:$C$401,MATCH($B1200,'Per Invoice'!$A$2:$A$401,0))),""))</f>
        <v/>
      </c>
      <c r="G1200" s="7">
        <f>IF($B1200="","",F1200*L1200/100)</f>
        <v/>
      </c>
      <c r="K1200" s="7" t="n"/>
      <c r="L1200" s="7" t="n"/>
      <c r="M1200" s="7">
        <f>IF($B1200="","",L1200*T1200/100)</f>
        <v/>
      </c>
      <c r="N1200" s="7">
        <f>IF($B1200="","",L1200-M1200)</f>
        <v/>
      </c>
      <c r="O1200" s="7">
        <f>IF($B1200="","",N1200-G1200)</f>
        <v/>
      </c>
      <c r="R1200" s="14" t="n"/>
      <c r="T1200">
        <f>IF($B1200="","",IF($W1200=1,Settings!$C$6,Settings!$C$7)*100)</f>
        <v/>
      </c>
      <c r="U1200">
        <f>IF($B1200="","",IF(COUNTIF($B$2:$B1200,$B1200)=1,1,0))</f>
        <v/>
      </c>
      <c r="V1200">
        <f>IF($U1200=1,SUMPRODUCT(--($X$2:$X$1501&lt;$X1200))+1,"")</f>
        <v/>
      </c>
      <c r="W1200">
        <f>IF($B1200="","",IF(OR($S1200=TRUE(),$S1200="TRUE"),1,0))</f>
        <v/>
      </c>
      <c r="X1200">
        <f>IF($U1200=1,IFERROR(IF(VALUE($B1200)&lt;100000000,VALUE($B1200),1000000000),IFERROR(IF(VALUE(MID($B1200,2,20))&lt;100000000,VALUE(MID($B1200,2,20)),1000000000),1000000000))+ROW()/100000,"")</f>
        <v/>
      </c>
    </row>
    <row r="1201">
      <c r="A1201">
        <f>IF($B1201="","",IFERROR(IF(INDEX('Per Invoice'!$C$2:$C$401,MATCH($B1201,'Per Invoice'!$A$2:$A$401,0))=0,"",INDEX('Per Invoice'!$C$2:$C$401,MATCH($B1201,'Per Invoice'!$A$2:$A$401,0))),""))</f>
        <v/>
      </c>
      <c r="G1201" s="7">
        <f>IF($B1201="","",F1201*L1201/100)</f>
        <v/>
      </c>
      <c r="K1201" s="7" t="n"/>
      <c r="L1201" s="7" t="n"/>
      <c r="M1201" s="7">
        <f>IF($B1201="","",L1201*T1201/100)</f>
        <v/>
      </c>
      <c r="N1201" s="7">
        <f>IF($B1201="","",L1201-M1201)</f>
        <v/>
      </c>
      <c r="O1201" s="7">
        <f>IF($B1201="","",N1201-G1201)</f>
        <v/>
      </c>
      <c r="R1201" s="14" t="n"/>
      <c r="T1201">
        <f>IF($B1201="","",IF($W1201=1,Settings!$C$6,Settings!$C$7)*100)</f>
        <v/>
      </c>
      <c r="U1201">
        <f>IF($B1201="","",IF(COUNTIF($B$2:$B1201,$B1201)=1,1,0))</f>
        <v/>
      </c>
      <c r="V1201">
        <f>IF($U1201=1,SUMPRODUCT(--($X$2:$X$1501&lt;$X1201))+1,"")</f>
        <v/>
      </c>
      <c r="W1201">
        <f>IF($B1201="","",IF(OR($S1201=TRUE(),$S1201="TRUE"),1,0))</f>
        <v/>
      </c>
      <c r="X1201">
        <f>IF($U1201=1,IFERROR(IF(VALUE($B1201)&lt;100000000,VALUE($B1201),1000000000),IFERROR(IF(VALUE(MID($B1201,2,20))&lt;100000000,VALUE(MID($B1201,2,20)),1000000000),1000000000))+ROW()/100000,"")</f>
        <v/>
      </c>
    </row>
    <row r="1202">
      <c r="A1202">
        <f>IF($B1202="","",IFERROR(IF(INDEX('Per Invoice'!$C$2:$C$401,MATCH($B1202,'Per Invoice'!$A$2:$A$401,0))=0,"",INDEX('Per Invoice'!$C$2:$C$401,MATCH($B1202,'Per Invoice'!$A$2:$A$401,0))),""))</f>
        <v/>
      </c>
      <c r="G1202" s="7">
        <f>IF($B1202="","",F1202*L1202/100)</f>
        <v/>
      </c>
      <c r="K1202" s="7" t="n"/>
      <c r="L1202" s="7" t="n"/>
      <c r="M1202" s="7">
        <f>IF($B1202="","",L1202*T1202/100)</f>
        <v/>
      </c>
      <c r="N1202" s="7">
        <f>IF($B1202="","",L1202-M1202)</f>
        <v/>
      </c>
      <c r="O1202" s="7">
        <f>IF($B1202="","",N1202-G1202)</f>
        <v/>
      </c>
      <c r="R1202" s="14" t="n"/>
      <c r="T1202">
        <f>IF($B1202="","",IF($W1202=1,Settings!$C$6,Settings!$C$7)*100)</f>
        <v/>
      </c>
      <c r="U1202">
        <f>IF($B1202="","",IF(COUNTIF($B$2:$B1202,$B1202)=1,1,0))</f>
        <v/>
      </c>
      <c r="V1202">
        <f>IF($U1202=1,SUMPRODUCT(--($X$2:$X$1501&lt;$X1202))+1,"")</f>
        <v/>
      </c>
      <c r="W1202">
        <f>IF($B1202="","",IF(OR($S1202=TRUE(),$S1202="TRUE"),1,0))</f>
        <v/>
      </c>
      <c r="X1202">
        <f>IF($U1202=1,IFERROR(IF(VALUE($B1202)&lt;100000000,VALUE($B1202),1000000000),IFERROR(IF(VALUE(MID($B1202,2,20))&lt;100000000,VALUE(MID($B1202,2,20)),1000000000),1000000000))+ROW()/100000,"")</f>
        <v/>
      </c>
    </row>
    <row r="1203">
      <c r="A1203">
        <f>IF($B1203="","",IFERROR(IF(INDEX('Per Invoice'!$C$2:$C$401,MATCH($B1203,'Per Invoice'!$A$2:$A$401,0))=0,"",INDEX('Per Invoice'!$C$2:$C$401,MATCH($B1203,'Per Invoice'!$A$2:$A$401,0))),""))</f>
        <v/>
      </c>
      <c r="G1203" s="7">
        <f>IF($B1203="","",F1203*L1203/100)</f>
        <v/>
      </c>
      <c r="K1203" s="7" t="n"/>
      <c r="L1203" s="7" t="n"/>
      <c r="M1203" s="7">
        <f>IF($B1203="","",L1203*T1203/100)</f>
        <v/>
      </c>
      <c r="N1203" s="7">
        <f>IF($B1203="","",L1203-M1203)</f>
        <v/>
      </c>
      <c r="O1203" s="7">
        <f>IF($B1203="","",N1203-G1203)</f>
        <v/>
      </c>
      <c r="R1203" s="14" t="n"/>
      <c r="T1203">
        <f>IF($B1203="","",IF($W1203=1,Settings!$C$6,Settings!$C$7)*100)</f>
        <v/>
      </c>
      <c r="U1203">
        <f>IF($B1203="","",IF(COUNTIF($B$2:$B1203,$B1203)=1,1,0))</f>
        <v/>
      </c>
      <c r="V1203">
        <f>IF($U1203=1,SUMPRODUCT(--($X$2:$X$1501&lt;$X1203))+1,"")</f>
        <v/>
      </c>
      <c r="W1203">
        <f>IF($B1203="","",IF(OR($S1203=TRUE(),$S1203="TRUE"),1,0))</f>
        <v/>
      </c>
      <c r="X1203">
        <f>IF($U1203=1,IFERROR(IF(VALUE($B1203)&lt;100000000,VALUE($B1203),1000000000),IFERROR(IF(VALUE(MID($B1203,2,20))&lt;100000000,VALUE(MID($B1203,2,20)),1000000000),1000000000))+ROW()/100000,"")</f>
        <v/>
      </c>
    </row>
    <row r="1204">
      <c r="A1204">
        <f>IF($B1204="","",IFERROR(IF(INDEX('Per Invoice'!$C$2:$C$401,MATCH($B1204,'Per Invoice'!$A$2:$A$401,0))=0,"",INDEX('Per Invoice'!$C$2:$C$401,MATCH($B1204,'Per Invoice'!$A$2:$A$401,0))),""))</f>
        <v/>
      </c>
      <c r="G1204" s="7">
        <f>IF($B1204="","",F1204*L1204/100)</f>
        <v/>
      </c>
      <c r="K1204" s="7" t="n"/>
      <c r="L1204" s="7" t="n"/>
      <c r="M1204" s="7">
        <f>IF($B1204="","",L1204*T1204/100)</f>
        <v/>
      </c>
      <c r="N1204" s="7">
        <f>IF($B1204="","",L1204-M1204)</f>
        <v/>
      </c>
      <c r="O1204" s="7">
        <f>IF($B1204="","",N1204-G1204)</f>
        <v/>
      </c>
      <c r="R1204" s="14" t="n"/>
      <c r="T1204">
        <f>IF($B1204="","",IF($W1204=1,Settings!$C$6,Settings!$C$7)*100)</f>
        <v/>
      </c>
      <c r="U1204">
        <f>IF($B1204="","",IF(COUNTIF($B$2:$B1204,$B1204)=1,1,0))</f>
        <v/>
      </c>
      <c r="V1204">
        <f>IF($U1204=1,SUMPRODUCT(--($X$2:$X$1501&lt;$X1204))+1,"")</f>
        <v/>
      </c>
      <c r="W1204">
        <f>IF($B1204="","",IF(OR($S1204=TRUE(),$S1204="TRUE"),1,0))</f>
        <v/>
      </c>
      <c r="X1204">
        <f>IF($U1204=1,IFERROR(IF(VALUE($B1204)&lt;100000000,VALUE($B1204),1000000000),IFERROR(IF(VALUE(MID($B1204,2,20))&lt;100000000,VALUE(MID($B1204,2,20)),1000000000),1000000000))+ROW()/100000,"")</f>
        <v/>
      </c>
    </row>
    <row r="1205">
      <c r="A1205">
        <f>IF($B1205="","",IFERROR(IF(INDEX('Per Invoice'!$C$2:$C$401,MATCH($B1205,'Per Invoice'!$A$2:$A$401,0))=0,"",INDEX('Per Invoice'!$C$2:$C$401,MATCH($B1205,'Per Invoice'!$A$2:$A$401,0))),""))</f>
        <v/>
      </c>
      <c r="G1205" s="7">
        <f>IF($B1205="","",F1205*L1205/100)</f>
        <v/>
      </c>
      <c r="K1205" s="7" t="n"/>
      <c r="L1205" s="7" t="n"/>
      <c r="M1205" s="7">
        <f>IF($B1205="","",L1205*T1205/100)</f>
        <v/>
      </c>
      <c r="N1205" s="7">
        <f>IF($B1205="","",L1205-M1205)</f>
        <v/>
      </c>
      <c r="O1205" s="7">
        <f>IF($B1205="","",N1205-G1205)</f>
        <v/>
      </c>
      <c r="R1205" s="14" t="n"/>
      <c r="T1205">
        <f>IF($B1205="","",IF($W1205=1,Settings!$C$6,Settings!$C$7)*100)</f>
        <v/>
      </c>
      <c r="U1205">
        <f>IF($B1205="","",IF(COUNTIF($B$2:$B1205,$B1205)=1,1,0))</f>
        <v/>
      </c>
      <c r="V1205">
        <f>IF($U1205=1,SUMPRODUCT(--($X$2:$X$1501&lt;$X1205))+1,"")</f>
        <v/>
      </c>
      <c r="W1205">
        <f>IF($B1205="","",IF(OR($S1205=TRUE(),$S1205="TRUE"),1,0))</f>
        <v/>
      </c>
      <c r="X1205">
        <f>IF($U1205=1,IFERROR(IF(VALUE($B1205)&lt;100000000,VALUE($B1205),1000000000),IFERROR(IF(VALUE(MID($B1205,2,20))&lt;100000000,VALUE(MID($B1205,2,20)),1000000000),1000000000))+ROW()/100000,"")</f>
        <v/>
      </c>
    </row>
    <row r="1206">
      <c r="A1206">
        <f>IF($B1206="","",IFERROR(IF(INDEX('Per Invoice'!$C$2:$C$401,MATCH($B1206,'Per Invoice'!$A$2:$A$401,0))=0,"",INDEX('Per Invoice'!$C$2:$C$401,MATCH($B1206,'Per Invoice'!$A$2:$A$401,0))),""))</f>
        <v/>
      </c>
      <c r="G1206" s="7">
        <f>IF($B1206="","",F1206*L1206/100)</f>
        <v/>
      </c>
      <c r="K1206" s="7" t="n"/>
      <c r="L1206" s="7" t="n"/>
      <c r="M1206" s="7">
        <f>IF($B1206="","",L1206*T1206/100)</f>
        <v/>
      </c>
      <c r="N1206" s="7">
        <f>IF($B1206="","",L1206-M1206)</f>
        <v/>
      </c>
      <c r="O1206" s="7">
        <f>IF($B1206="","",N1206-G1206)</f>
        <v/>
      </c>
      <c r="R1206" s="14" t="n"/>
      <c r="T1206">
        <f>IF($B1206="","",IF($W1206=1,Settings!$C$6,Settings!$C$7)*100)</f>
        <v/>
      </c>
      <c r="U1206">
        <f>IF($B1206="","",IF(COUNTIF($B$2:$B1206,$B1206)=1,1,0))</f>
        <v/>
      </c>
      <c r="V1206">
        <f>IF($U1206=1,SUMPRODUCT(--($X$2:$X$1501&lt;$X1206))+1,"")</f>
        <v/>
      </c>
      <c r="W1206">
        <f>IF($B1206="","",IF(OR($S1206=TRUE(),$S1206="TRUE"),1,0))</f>
        <v/>
      </c>
      <c r="X1206">
        <f>IF($U1206=1,IFERROR(IF(VALUE($B1206)&lt;100000000,VALUE($B1206),1000000000),IFERROR(IF(VALUE(MID($B1206,2,20))&lt;100000000,VALUE(MID($B1206,2,20)),1000000000),1000000000))+ROW()/100000,"")</f>
        <v/>
      </c>
    </row>
    <row r="1207">
      <c r="A1207">
        <f>IF($B1207="","",IFERROR(IF(INDEX('Per Invoice'!$C$2:$C$401,MATCH($B1207,'Per Invoice'!$A$2:$A$401,0))=0,"",INDEX('Per Invoice'!$C$2:$C$401,MATCH($B1207,'Per Invoice'!$A$2:$A$401,0))),""))</f>
        <v/>
      </c>
      <c r="G1207" s="7">
        <f>IF($B1207="","",F1207*L1207/100)</f>
        <v/>
      </c>
      <c r="K1207" s="7" t="n"/>
      <c r="L1207" s="7" t="n"/>
      <c r="M1207" s="7">
        <f>IF($B1207="","",L1207*T1207/100)</f>
        <v/>
      </c>
      <c r="N1207" s="7">
        <f>IF($B1207="","",L1207-M1207)</f>
        <v/>
      </c>
      <c r="O1207" s="7">
        <f>IF($B1207="","",N1207-G1207)</f>
        <v/>
      </c>
      <c r="R1207" s="14" t="n"/>
      <c r="T1207">
        <f>IF($B1207="","",IF($W1207=1,Settings!$C$6,Settings!$C$7)*100)</f>
        <v/>
      </c>
      <c r="U1207">
        <f>IF($B1207="","",IF(COUNTIF($B$2:$B1207,$B1207)=1,1,0))</f>
        <v/>
      </c>
      <c r="V1207">
        <f>IF($U1207=1,SUMPRODUCT(--($X$2:$X$1501&lt;$X1207))+1,"")</f>
        <v/>
      </c>
      <c r="W1207">
        <f>IF($B1207="","",IF(OR($S1207=TRUE(),$S1207="TRUE"),1,0))</f>
        <v/>
      </c>
      <c r="X1207">
        <f>IF($U1207=1,IFERROR(IF(VALUE($B1207)&lt;100000000,VALUE($B1207),1000000000),IFERROR(IF(VALUE(MID($B1207,2,20))&lt;100000000,VALUE(MID($B1207,2,20)),1000000000),1000000000))+ROW()/100000,"")</f>
        <v/>
      </c>
    </row>
    <row r="1208">
      <c r="A1208">
        <f>IF($B1208="","",IFERROR(IF(INDEX('Per Invoice'!$C$2:$C$401,MATCH($B1208,'Per Invoice'!$A$2:$A$401,0))=0,"",INDEX('Per Invoice'!$C$2:$C$401,MATCH($B1208,'Per Invoice'!$A$2:$A$401,0))),""))</f>
        <v/>
      </c>
      <c r="G1208" s="7">
        <f>IF($B1208="","",F1208*L1208/100)</f>
        <v/>
      </c>
      <c r="K1208" s="7" t="n"/>
      <c r="L1208" s="7" t="n"/>
      <c r="M1208" s="7">
        <f>IF($B1208="","",L1208*T1208/100)</f>
        <v/>
      </c>
      <c r="N1208" s="7">
        <f>IF($B1208="","",L1208-M1208)</f>
        <v/>
      </c>
      <c r="O1208" s="7">
        <f>IF($B1208="","",N1208-G1208)</f>
        <v/>
      </c>
      <c r="R1208" s="14" t="n"/>
      <c r="T1208">
        <f>IF($B1208="","",IF($W1208=1,Settings!$C$6,Settings!$C$7)*100)</f>
        <v/>
      </c>
      <c r="U1208">
        <f>IF($B1208="","",IF(COUNTIF($B$2:$B1208,$B1208)=1,1,0))</f>
        <v/>
      </c>
      <c r="V1208">
        <f>IF($U1208=1,SUMPRODUCT(--($X$2:$X$1501&lt;$X1208))+1,"")</f>
        <v/>
      </c>
      <c r="W1208">
        <f>IF($B1208="","",IF(OR($S1208=TRUE(),$S1208="TRUE"),1,0))</f>
        <v/>
      </c>
      <c r="X1208">
        <f>IF($U1208=1,IFERROR(IF(VALUE($B1208)&lt;100000000,VALUE($B1208),1000000000),IFERROR(IF(VALUE(MID($B1208,2,20))&lt;100000000,VALUE(MID($B1208,2,20)),1000000000),1000000000))+ROW()/100000,"")</f>
        <v/>
      </c>
    </row>
    <row r="1209">
      <c r="A1209">
        <f>IF($B1209="","",IFERROR(IF(INDEX('Per Invoice'!$C$2:$C$401,MATCH($B1209,'Per Invoice'!$A$2:$A$401,0))=0,"",INDEX('Per Invoice'!$C$2:$C$401,MATCH($B1209,'Per Invoice'!$A$2:$A$401,0))),""))</f>
        <v/>
      </c>
      <c r="G1209" s="7">
        <f>IF($B1209="","",F1209*L1209/100)</f>
        <v/>
      </c>
      <c r="K1209" s="7" t="n"/>
      <c r="L1209" s="7" t="n"/>
      <c r="M1209" s="7">
        <f>IF($B1209="","",L1209*T1209/100)</f>
        <v/>
      </c>
      <c r="N1209" s="7">
        <f>IF($B1209="","",L1209-M1209)</f>
        <v/>
      </c>
      <c r="O1209" s="7">
        <f>IF($B1209="","",N1209-G1209)</f>
        <v/>
      </c>
      <c r="R1209" s="14" t="n"/>
      <c r="T1209">
        <f>IF($B1209="","",IF($W1209=1,Settings!$C$6,Settings!$C$7)*100)</f>
        <v/>
      </c>
      <c r="U1209">
        <f>IF($B1209="","",IF(COUNTIF($B$2:$B1209,$B1209)=1,1,0))</f>
        <v/>
      </c>
      <c r="V1209">
        <f>IF($U1209=1,SUMPRODUCT(--($X$2:$X$1501&lt;$X1209))+1,"")</f>
        <v/>
      </c>
      <c r="W1209">
        <f>IF($B1209="","",IF(OR($S1209=TRUE(),$S1209="TRUE"),1,0))</f>
        <v/>
      </c>
      <c r="X1209">
        <f>IF($U1209=1,IFERROR(IF(VALUE($B1209)&lt;100000000,VALUE($B1209),1000000000),IFERROR(IF(VALUE(MID($B1209,2,20))&lt;100000000,VALUE(MID($B1209,2,20)),1000000000),1000000000))+ROW()/100000,"")</f>
        <v/>
      </c>
    </row>
    <row r="1210">
      <c r="A1210">
        <f>IF($B1210="","",IFERROR(IF(INDEX('Per Invoice'!$C$2:$C$401,MATCH($B1210,'Per Invoice'!$A$2:$A$401,0))=0,"",INDEX('Per Invoice'!$C$2:$C$401,MATCH($B1210,'Per Invoice'!$A$2:$A$401,0))),""))</f>
        <v/>
      </c>
      <c r="G1210" s="7">
        <f>IF($B1210="","",F1210*L1210/100)</f>
        <v/>
      </c>
      <c r="K1210" s="7" t="n"/>
      <c r="L1210" s="7" t="n"/>
      <c r="M1210" s="7">
        <f>IF($B1210="","",L1210*T1210/100)</f>
        <v/>
      </c>
      <c r="N1210" s="7">
        <f>IF($B1210="","",L1210-M1210)</f>
        <v/>
      </c>
      <c r="O1210" s="7">
        <f>IF($B1210="","",N1210-G1210)</f>
        <v/>
      </c>
      <c r="R1210" s="14" t="n"/>
      <c r="T1210">
        <f>IF($B1210="","",IF($W1210=1,Settings!$C$6,Settings!$C$7)*100)</f>
        <v/>
      </c>
      <c r="U1210">
        <f>IF($B1210="","",IF(COUNTIF($B$2:$B1210,$B1210)=1,1,0))</f>
        <v/>
      </c>
      <c r="V1210">
        <f>IF($U1210=1,SUMPRODUCT(--($X$2:$X$1501&lt;$X1210))+1,"")</f>
        <v/>
      </c>
      <c r="W1210">
        <f>IF($B1210="","",IF(OR($S1210=TRUE(),$S1210="TRUE"),1,0))</f>
        <v/>
      </c>
      <c r="X1210">
        <f>IF($U1210=1,IFERROR(IF(VALUE($B1210)&lt;100000000,VALUE($B1210),1000000000),IFERROR(IF(VALUE(MID($B1210,2,20))&lt;100000000,VALUE(MID($B1210,2,20)),1000000000),1000000000))+ROW()/100000,"")</f>
        <v/>
      </c>
    </row>
    <row r="1211">
      <c r="A1211">
        <f>IF($B1211="","",IFERROR(IF(INDEX('Per Invoice'!$C$2:$C$401,MATCH($B1211,'Per Invoice'!$A$2:$A$401,0))=0,"",INDEX('Per Invoice'!$C$2:$C$401,MATCH($B1211,'Per Invoice'!$A$2:$A$401,0))),""))</f>
        <v/>
      </c>
      <c r="G1211" s="7">
        <f>IF($B1211="","",F1211*L1211/100)</f>
        <v/>
      </c>
      <c r="K1211" s="7" t="n"/>
      <c r="L1211" s="7" t="n"/>
      <c r="M1211" s="7">
        <f>IF($B1211="","",L1211*T1211/100)</f>
        <v/>
      </c>
      <c r="N1211" s="7">
        <f>IF($B1211="","",L1211-M1211)</f>
        <v/>
      </c>
      <c r="O1211" s="7">
        <f>IF($B1211="","",N1211-G1211)</f>
        <v/>
      </c>
      <c r="R1211" s="14" t="n"/>
      <c r="T1211">
        <f>IF($B1211="","",IF($W1211=1,Settings!$C$6,Settings!$C$7)*100)</f>
        <v/>
      </c>
      <c r="U1211">
        <f>IF($B1211="","",IF(COUNTIF($B$2:$B1211,$B1211)=1,1,0))</f>
        <v/>
      </c>
      <c r="V1211">
        <f>IF($U1211=1,SUMPRODUCT(--($X$2:$X$1501&lt;$X1211))+1,"")</f>
        <v/>
      </c>
      <c r="W1211">
        <f>IF($B1211="","",IF(OR($S1211=TRUE(),$S1211="TRUE"),1,0))</f>
        <v/>
      </c>
      <c r="X1211">
        <f>IF($U1211=1,IFERROR(IF(VALUE($B1211)&lt;100000000,VALUE($B1211),1000000000),IFERROR(IF(VALUE(MID($B1211,2,20))&lt;100000000,VALUE(MID($B1211,2,20)),1000000000),1000000000))+ROW()/100000,"")</f>
        <v/>
      </c>
    </row>
    <row r="1212">
      <c r="A1212">
        <f>IF($B1212="","",IFERROR(IF(INDEX('Per Invoice'!$C$2:$C$401,MATCH($B1212,'Per Invoice'!$A$2:$A$401,0))=0,"",INDEX('Per Invoice'!$C$2:$C$401,MATCH($B1212,'Per Invoice'!$A$2:$A$401,0))),""))</f>
        <v/>
      </c>
      <c r="G1212" s="7">
        <f>IF($B1212="","",F1212*L1212/100)</f>
        <v/>
      </c>
      <c r="K1212" s="7" t="n"/>
      <c r="L1212" s="7" t="n"/>
      <c r="M1212" s="7">
        <f>IF($B1212="","",L1212*T1212/100)</f>
        <v/>
      </c>
      <c r="N1212" s="7">
        <f>IF($B1212="","",L1212-M1212)</f>
        <v/>
      </c>
      <c r="O1212" s="7">
        <f>IF($B1212="","",N1212-G1212)</f>
        <v/>
      </c>
      <c r="R1212" s="14" t="n"/>
      <c r="T1212">
        <f>IF($B1212="","",IF($W1212=1,Settings!$C$6,Settings!$C$7)*100)</f>
        <v/>
      </c>
      <c r="U1212">
        <f>IF($B1212="","",IF(COUNTIF($B$2:$B1212,$B1212)=1,1,0))</f>
        <v/>
      </c>
      <c r="V1212">
        <f>IF($U1212=1,SUMPRODUCT(--($X$2:$X$1501&lt;$X1212))+1,"")</f>
        <v/>
      </c>
      <c r="W1212">
        <f>IF($B1212="","",IF(OR($S1212=TRUE(),$S1212="TRUE"),1,0))</f>
        <v/>
      </c>
      <c r="X1212">
        <f>IF($U1212=1,IFERROR(IF(VALUE($B1212)&lt;100000000,VALUE($B1212),1000000000),IFERROR(IF(VALUE(MID($B1212,2,20))&lt;100000000,VALUE(MID($B1212,2,20)),1000000000),1000000000))+ROW()/100000,"")</f>
        <v/>
      </c>
    </row>
    <row r="1213">
      <c r="A1213">
        <f>IF($B1213="","",IFERROR(IF(INDEX('Per Invoice'!$C$2:$C$401,MATCH($B1213,'Per Invoice'!$A$2:$A$401,0))=0,"",INDEX('Per Invoice'!$C$2:$C$401,MATCH($B1213,'Per Invoice'!$A$2:$A$401,0))),""))</f>
        <v/>
      </c>
      <c r="G1213" s="7">
        <f>IF($B1213="","",F1213*L1213/100)</f>
        <v/>
      </c>
      <c r="K1213" s="7" t="n"/>
      <c r="L1213" s="7" t="n"/>
      <c r="M1213" s="7">
        <f>IF($B1213="","",L1213*T1213/100)</f>
        <v/>
      </c>
      <c r="N1213" s="7">
        <f>IF($B1213="","",L1213-M1213)</f>
        <v/>
      </c>
      <c r="O1213" s="7">
        <f>IF($B1213="","",N1213-G1213)</f>
        <v/>
      </c>
      <c r="R1213" s="14" t="n"/>
      <c r="T1213">
        <f>IF($B1213="","",IF($W1213=1,Settings!$C$6,Settings!$C$7)*100)</f>
        <v/>
      </c>
      <c r="U1213">
        <f>IF($B1213="","",IF(COUNTIF($B$2:$B1213,$B1213)=1,1,0))</f>
        <v/>
      </c>
      <c r="V1213">
        <f>IF($U1213=1,SUMPRODUCT(--($X$2:$X$1501&lt;$X1213))+1,"")</f>
        <v/>
      </c>
      <c r="W1213">
        <f>IF($B1213="","",IF(OR($S1213=TRUE(),$S1213="TRUE"),1,0))</f>
        <v/>
      </c>
      <c r="X1213">
        <f>IF($U1213=1,IFERROR(IF(VALUE($B1213)&lt;100000000,VALUE($B1213),1000000000),IFERROR(IF(VALUE(MID($B1213,2,20))&lt;100000000,VALUE(MID($B1213,2,20)),1000000000),1000000000))+ROW()/100000,"")</f>
        <v/>
      </c>
    </row>
    <row r="1214">
      <c r="A1214">
        <f>IF($B1214="","",IFERROR(IF(INDEX('Per Invoice'!$C$2:$C$401,MATCH($B1214,'Per Invoice'!$A$2:$A$401,0))=0,"",INDEX('Per Invoice'!$C$2:$C$401,MATCH($B1214,'Per Invoice'!$A$2:$A$401,0))),""))</f>
        <v/>
      </c>
      <c r="G1214" s="7">
        <f>IF($B1214="","",F1214*L1214/100)</f>
        <v/>
      </c>
      <c r="K1214" s="7" t="n"/>
      <c r="L1214" s="7" t="n"/>
      <c r="M1214" s="7">
        <f>IF($B1214="","",L1214*T1214/100)</f>
        <v/>
      </c>
      <c r="N1214" s="7">
        <f>IF($B1214="","",L1214-M1214)</f>
        <v/>
      </c>
      <c r="O1214" s="7">
        <f>IF($B1214="","",N1214-G1214)</f>
        <v/>
      </c>
      <c r="R1214" s="14" t="n"/>
      <c r="T1214">
        <f>IF($B1214="","",IF($W1214=1,Settings!$C$6,Settings!$C$7)*100)</f>
        <v/>
      </c>
      <c r="U1214">
        <f>IF($B1214="","",IF(COUNTIF($B$2:$B1214,$B1214)=1,1,0))</f>
        <v/>
      </c>
      <c r="V1214">
        <f>IF($U1214=1,SUMPRODUCT(--($X$2:$X$1501&lt;$X1214))+1,"")</f>
        <v/>
      </c>
      <c r="W1214">
        <f>IF($B1214="","",IF(OR($S1214=TRUE(),$S1214="TRUE"),1,0))</f>
        <v/>
      </c>
      <c r="X1214">
        <f>IF($U1214=1,IFERROR(IF(VALUE($B1214)&lt;100000000,VALUE($B1214),1000000000),IFERROR(IF(VALUE(MID($B1214,2,20))&lt;100000000,VALUE(MID($B1214,2,20)),1000000000),1000000000))+ROW()/100000,"")</f>
        <v/>
      </c>
    </row>
    <row r="1215">
      <c r="A1215">
        <f>IF($B1215="","",IFERROR(IF(INDEX('Per Invoice'!$C$2:$C$401,MATCH($B1215,'Per Invoice'!$A$2:$A$401,0))=0,"",INDEX('Per Invoice'!$C$2:$C$401,MATCH($B1215,'Per Invoice'!$A$2:$A$401,0))),""))</f>
        <v/>
      </c>
      <c r="G1215" s="7">
        <f>IF($B1215="","",F1215*L1215/100)</f>
        <v/>
      </c>
      <c r="K1215" s="7" t="n"/>
      <c r="L1215" s="7" t="n"/>
      <c r="M1215" s="7">
        <f>IF($B1215="","",L1215*T1215/100)</f>
        <v/>
      </c>
      <c r="N1215" s="7">
        <f>IF($B1215="","",L1215-M1215)</f>
        <v/>
      </c>
      <c r="O1215" s="7">
        <f>IF($B1215="","",N1215-G1215)</f>
        <v/>
      </c>
      <c r="R1215" s="14" t="n"/>
      <c r="T1215">
        <f>IF($B1215="","",IF($W1215=1,Settings!$C$6,Settings!$C$7)*100)</f>
        <v/>
      </c>
      <c r="U1215">
        <f>IF($B1215="","",IF(COUNTIF($B$2:$B1215,$B1215)=1,1,0))</f>
        <v/>
      </c>
      <c r="V1215">
        <f>IF($U1215=1,SUMPRODUCT(--($X$2:$X$1501&lt;$X1215))+1,"")</f>
        <v/>
      </c>
      <c r="W1215">
        <f>IF($B1215="","",IF(OR($S1215=TRUE(),$S1215="TRUE"),1,0))</f>
        <v/>
      </c>
      <c r="X1215">
        <f>IF($U1215=1,IFERROR(IF(VALUE($B1215)&lt;100000000,VALUE($B1215),1000000000),IFERROR(IF(VALUE(MID($B1215,2,20))&lt;100000000,VALUE(MID($B1215,2,20)),1000000000),1000000000))+ROW()/100000,"")</f>
        <v/>
      </c>
    </row>
    <row r="1216">
      <c r="A1216">
        <f>IF($B1216="","",IFERROR(IF(INDEX('Per Invoice'!$C$2:$C$401,MATCH($B1216,'Per Invoice'!$A$2:$A$401,0))=0,"",INDEX('Per Invoice'!$C$2:$C$401,MATCH($B1216,'Per Invoice'!$A$2:$A$401,0))),""))</f>
        <v/>
      </c>
      <c r="G1216" s="7">
        <f>IF($B1216="","",F1216*L1216/100)</f>
        <v/>
      </c>
      <c r="K1216" s="7" t="n"/>
      <c r="L1216" s="7" t="n"/>
      <c r="M1216" s="7">
        <f>IF($B1216="","",L1216*T1216/100)</f>
        <v/>
      </c>
      <c r="N1216" s="7">
        <f>IF($B1216="","",L1216-M1216)</f>
        <v/>
      </c>
      <c r="O1216" s="7">
        <f>IF($B1216="","",N1216-G1216)</f>
        <v/>
      </c>
      <c r="R1216" s="14" t="n"/>
      <c r="T1216">
        <f>IF($B1216="","",IF($W1216=1,Settings!$C$6,Settings!$C$7)*100)</f>
        <v/>
      </c>
      <c r="U1216">
        <f>IF($B1216="","",IF(COUNTIF($B$2:$B1216,$B1216)=1,1,0))</f>
        <v/>
      </c>
      <c r="V1216">
        <f>IF($U1216=1,SUMPRODUCT(--($X$2:$X$1501&lt;$X1216))+1,"")</f>
        <v/>
      </c>
      <c r="W1216">
        <f>IF($B1216="","",IF(OR($S1216=TRUE(),$S1216="TRUE"),1,0))</f>
        <v/>
      </c>
      <c r="X1216">
        <f>IF($U1216=1,IFERROR(IF(VALUE($B1216)&lt;100000000,VALUE($B1216),1000000000),IFERROR(IF(VALUE(MID($B1216,2,20))&lt;100000000,VALUE(MID($B1216,2,20)),1000000000),1000000000))+ROW()/100000,"")</f>
        <v/>
      </c>
    </row>
    <row r="1217">
      <c r="A1217">
        <f>IF($B1217="","",IFERROR(IF(INDEX('Per Invoice'!$C$2:$C$401,MATCH($B1217,'Per Invoice'!$A$2:$A$401,0))=0,"",INDEX('Per Invoice'!$C$2:$C$401,MATCH($B1217,'Per Invoice'!$A$2:$A$401,0))),""))</f>
        <v/>
      </c>
      <c r="G1217" s="7">
        <f>IF($B1217="","",F1217*L1217/100)</f>
        <v/>
      </c>
      <c r="K1217" s="7" t="n"/>
      <c r="L1217" s="7" t="n"/>
      <c r="M1217" s="7">
        <f>IF($B1217="","",L1217*T1217/100)</f>
        <v/>
      </c>
      <c r="N1217" s="7">
        <f>IF($B1217="","",L1217-M1217)</f>
        <v/>
      </c>
      <c r="O1217" s="7">
        <f>IF($B1217="","",N1217-G1217)</f>
        <v/>
      </c>
      <c r="R1217" s="14" t="n"/>
      <c r="T1217">
        <f>IF($B1217="","",IF($W1217=1,Settings!$C$6,Settings!$C$7)*100)</f>
        <v/>
      </c>
      <c r="U1217">
        <f>IF($B1217="","",IF(COUNTIF($B$2:$B1217,$B1217)=1,1,0))</f>
        <v/>
      </c>
      <c r="V1217">
        <f>IF($U1217=1,SUMPRODUCT(--($X$2:$X$1501&lt;$X1217))+1,"")</f>
        <v/>
      </c>
      <c r="W1217">
        <f>IF($B1217="","",IF(OR($S1217=TRUE(),$S1217="TRUE"),1,0))</f>
        <v/>
      </c>
      <c r="X1217">
        <f>IF($U1217=1,IFERROR(IF(VALUE($B1217)&lt;100000000,VALUE($B1217),1000000000),IFERROR(IF(VALUE(MID($B1217,2,20))&lt;100000000,VALUE(MID($B1217,2,20)),1000000000),1000000000))+ROW()/100000,"")</f>
        <v/>
      </c>
    </row>
    <row r="1218">
      <c r="A1218">
        <f>IF($B1218="","",IFERROR(IF(INDEX('Per Invoice'!$C$2:$C$401,MATCH($B1218,'Per Invoice'!$A$2:$A$401,0))=0,"",INDEX('Per Invoice'!$C$2:$C$401,MATCH($B1218,'Per Invoice'!$A$2:$A$401,0))),""))</f>
        <v/>
      </c>
      <c r="G1218" s="7">
        <f>IF($B1218="","",F1218*L1218/100)</f>
        <v/>
      </c>
      <c r="K1218" s="7" t="n"/>
      <c r="L1218" s="7" t="n"/>
      <c r="M1218" s="7">
        <f>IF($B1218="","",L1218*T1218/100)</f>
        <v/>
      </c>
      <c r="N1218" s="7">
        <f>IF($B1218="","",L1218-M1218)</f>
        <v/>
      </c>
      <c r="O1218" s="7">
        <f>IF($B1218="","",N1218-G1218)</f>
        <v/>
      </c>
      <c r="R1218" s="14" t="n"/>
      <c r="T1218">
        <f>IF($B1218="","",IF($W1218=1,Settings!$C$6,Settings!$C$7)*100)</f>
        <v/>
      </c>
      <c r="U1218">
        <f>IF($B1218="","",IF(COUNTIF($B$2:$B1218,$B1218)=1,1,0))</f>
        <v/>
      </c>
      <c r="V1218">
        <f>IF($U1218=1,SUMPRODUCT(--($X$2:$X$1501&lt;$X1218))+1,"")</f>
        <v/>
      </c>
      <c r="W1218">
        <f>IF($B1218="","",IF(OR($S1218=TRUE(),$S1218="TRUE"),1,0))</f>
        <v/>
      </c>
      <c r="X1218">
        <f>IF($U1218=1,IFERROR(IF(VALUE($B1218)&lt;100000000,VALUE($B1218),1000000000),IFERROR(IF(VALUE(MID($B1218,2,20))&lt;100000000,VALUE(MID($B1218,2,20)),1000000000),1000000000))+ROW()/100000,"")</f>
        <v/>
      </c>
    </row>
    <row r="1219">
      <c r="A1219">
        <f>IF($B1219="","",IFERROR(IF(INDEX('Per Invoice'!$C$2:$C$401,MATCH($B1219,'Per Invoice'!$A$2:$A$401,0))=0,"",INDEX('Per Invoice'!$C$2:$C$401,MATCH($B1219,'Per Invoice'!$A$2:$A$401,0))),""))</f>
        <v/>
      </c>
      <c r="G1219" s="7">
        <f>IF($B1219="","",F1219*L1219/100)</f>
        <v/>
      </c>
      <c r="K1219" s="7" t="n"/>
      <c r="L1219" s="7" t="n"/>
      <c r="M1219" s="7">
        <f>IF($B1219="","",L1219*T1219/100)</f>
        <v/>
      </c>
      <c r="N1219" s="7">
        <f>IF($B1219="","",L1219-M1219)</f>
        <v/>
      </c>
      <c r="O1219" s="7">
        <f>IF($B1219="","",N1219-G1219)</f>
        <v/>
      </c>
      <c r="R1219" s="14" t="n"/>
      <c r="T1219">
        <f>IF($B1219="","",IF($W1219=1,Settings!$C$6,Settings!$C$7)*100)</f>
        <v/>
      </c>
      <c r="U1219">
        <f>IF($B1219="","",IF(COUNTIF($B$2:$B1219,$B1219)=1,1,0))</f>
        <v/>
      </c>
      <c r="V1219">
        <f>IF($U1219=1,SUMPRODUCT(--($X$2:$X$1501&lt;$X1219))+1,"")</f>
        <v/>
      </c>
      <c r="W1219">
        <f>IF($B1219="","",IF(OR($S1219=TRUE(),$S1219="TRUE"),1,0))</f>
        <v/>
      </c>
      <c r="X1219">
        <f>IF($U1219=1,IFERROR(IF(VALUE($B1219)&lt;100000000,VALUE($B1219),1000000000),IFERROR(IF(VALUE(MID($B1219,2,20))&lt;100000000,VALUE(MID($B1219,2,20)),1000000000),1000000000))+ROW()/100000,"")</f>
        <v/>
      </c>
    </row>
    <row r="1220">
      <c r="A1220">
        <f>IF($B1220="","",IFERROR(IF(INDEX('Per Invoice'!$C$2:$C$401,MATCH($B1220,'Per Invoice'!$A$2:$A$401,0))=0,"",INDEX('Per Invoice'!$C$2:$C$401,MATCH($B1220,'Per Invoice'!$A$2:$A$401,0))),""))</f>
        <v/>
      </c>
      <c r="G1220" s="7">
        <f>IF($B1220="","",F1220*L1220/100)</f>
        <v/>
      </c>
      <c r="K1220" s="7" t="n"/>
      <c r="L1220" s="7" t="n"/>
      <c r="M1220" s="7">
        <f>IF($B1220="","",L1220*T1220/100)</f>
        <v/>
      </c>
      <c r="N1220" s="7">
        <f>IF($B1220="","",L1220-M1220)</f>
        <v/>
      </c>
      <c r="O1220" s="7">
        <f>IF($B1220="","",N1220-G1220)</f>
        <v/>
      </c>
      <c r="R1220" s="14" t="n"/>
      <c r="T1220">
        <f>IF($B1220="","",IF($W1220=1,Settings!$C$6,Settings!$C$7)*100)</f>
        <v/>
      </c>
      <c r="U1220">
        <f>IF($B1220="","",IF(COUNTIF($B$2:$B1220,$B1220)=1,1,0))</f>
        <v/>
      </c>
      <c r="V1220">
        <f>IF($U1220=1,SUMPRODUCT(--($X$2:$X$1501&lt;$X1220))+1,"")</f>
        <v/>
      </c>
      <c r="W1220">
        <f>IF($B1220="","",IF(OR($S1220=TRUE(),$S1220="TRUE"),1,0))</f>
        <v/>
      </c>
      <c r="X1220">
        <f>IF($U1220=1,IFERROR(IF(VALUE($B1220)&lt;100000000,VALUE($B1220),1000000000),IFERROR(IF(VALUE(MID($B1220,2,20))&lt;100000000,VALUE(MID($B1220,2,20)),1000000000),1000000000))+ROW()/100000,"")</f>
        <v/>
      </c>
    </row>
    <row r="1221">
      <c r="A1221">
        <f>IF($B1221="","",IFERROR(IF(INDEX('Per Invoice'!$C$2:$C$401,MATCH($B1221,'Per Invoice'!$A$2:$A$401,0))=0,"",INDEX('Per Invoice'!$C$2:$C$401,MATCH($B1221,'Per Invoice'!$A$2:$A$401,0))),""))</f>
        <v/>
      </c>
      <c r="G1221" s="7">
        <f>IF($B1221="","",F1221*L1221/100)</f>
        <v/>
      </c>
      <c r="K1221" s="7" t="n"/>
      <c r="L1221" s="7" t="n"/>
      <c r="M1221" s="7">
        <f>IF($B1221="","",L1221*T1221/100)</f>
        <v/>
      </c>
      <c r="N1221" s="7">
        <f>IF($B1221="","",L1221-M1221)</f>
        <v/>
      </c>
      <c r="O1221" s="7">
        <f>IF($B1221="","",N1221-G1221)</f>
        <v/>
      </c>
      <c r="R1221" s="14" t="n"/>
      <c r="T1221">
        <f>IF($B1221="","",IF($W1221=1,Settings!$C$6,Settings!$C$7)*100)</f>
        <v/>
      </c>
      <c r="U1221">
        <f>IF($B1221="","",IF(COUNTIF($B$2:$B1221,$B1221)=1,1,0))</f>
        <v/>
      </c>
      <c r="V1221">
        <f>IF($U1221=1,SUMPRODUCT(--($X$2:$X$1501&lt;$X1221))+1,"")</f>
        <v/>
      </c>
      <c r="W1221">
        <f>IF($B1221="","",IF(OR($S1221=TRUE(),$S1221="TRUE"),1,0))</f>
        <v/>
      </c>
      <c r="X1221">
        <f>IF($U1221=1,IFERROR(IF(VALUE($B1221)&lt;100000000,VALUE($B1221),1000000000),IFERROR(IF(VALUE(MID($B1221,2,20))&lt;100000000,VALUE(MID($B1221,2,20)),1000000000),1000000000))+ROW()/100000,"")</f>
        <v/>
      </c>
    </row>
    <row r="1222">
      <c r="A1222">
        <f>IF($B1222="","",IFERROR(IF(INDEX('Per Invoice'!$C$2:$C$401,MATCH($B1222,'Per Invoice'!$A$2:$A$401,0))=0,"",INDEX('Per Invoice'!$C$2:$C$401,MATCH($B1222,'Per Invoice'!$A$2:$A$401,0))),""))</f>
        <v/>
      </c>
      <c r="G1222" s="7">
        <f>IF($B1222="","",F1222*L1222/100)</f>
        <v/>
      </c>
      <c r="K1222" s="7" t="n"/>
      <c r="L1222" s="7" t="n"/>
      <c r="M1222" s="7">
        <f>IF($B1222="","",L1222*T1222/100)</f>
        <v/>
      </c>
      <c r="N1222" s="7">
        <f>IF($B1222="","",L1222-M1222)</f>
        <v/>
      </c>
      <c r="O1222" s="7">
        <f>IF($B1222="","",N1222-G1222)</f>
        <v/>
      </c>
      <c r="R1222" s="14" t="n"/>
      <c r="T1222">
        <f>IF($B1222="","",IF($W1222=1,Settings!$C$6,Settings!$C$7)*100)</f>
        <v/>
      </c>
      <c r="U1222">
        <f>IF($B1222="","",IF(COUNTIF($B$2:$B1222,$B1222)=1,1,0))</f>
        <v/>
      </c>
      <c r="V1222">
        <f>IF($U1222=1,SUMPRODUCT(--($X$2:$X$1501&lt;$X1222))+1,"")</f>
        <v/>
      </c>
      <c r="W1222">
        <f>IF($B1222="","",IF(OR($S1222=TRUE(),$S1222="TRUE"),1,0))</f>
        <v/>
      </c>
      <c r="X1222">
        <f>IF($U1222=1,IFERROR(IF(VALUE($B1222)&lt;100000000,VALUE($B1222),1000000000),IFERROR(IF(VALUE(MID($B1222,2,20))&lt;100000000,VALUE(MID($B1222,2,20)),1000000000),1000000000))+ROW()/100000,"")</f>
        <v/>
      </c>
    </row>
    <row r="1223">
      <c r="A1223">
        <f>IF($B1223="","",IFERROR(IF(INDEX('Per Invoice'!$C$2:$C$401,MATCH($B1223,'Per Invoice'!$A$2:$A$401,0))=0,"",INDEX('Per Invoice'!$C$2:$C$401,MATCH($B1223,'Per Invoice'!$A$2:$A$401,0))),""))</f>
        <v/>
      </c>
      <c r="G1223" s="7">
        <f>IF($B1223="","",F1223*L1223/100)</f>
        <v/>
      </c>
      <c r="K1223" s="7" t="n"/>
      <c r="L1223" s="7" t="n"/>
      <c r="M1223" s="7">
        <f>IF($B1223="","",L1223*T1223/100)</f>
        <v/>
      </c>
      <c r="N1223" s="7">
        <f>IF($B1223="","",L1223-M1223)</f>
        <v/>
      </c>
      <c r="O1223" s="7">
        <f>IF($B1223="","",N1223-G1223)</f>
        <v/>
      </c>
      <c r="R1223" s="14" t="n"/>
      <c r="T1223">
        <f>IF($B1223="","",IF($W1223=1,Settings!$C$6,Settings!$C$7)*100)</f>
        <v/>
      </c>
      <c r="U1223">
        <f>IF($B1223="","",IF(COUNTIF($B$2:$B1223,$B1223)=1,1,0))</f>
        <v/>
      </c>
      <c r="V1223">
        <f>IF($U1223=1,SUMPRODUCT(--($X$2:$X$1501&lt;$X1223))+1,"")</f>
        <v/>
      </c>
      <c r="W1223">
        <f>IF($B1223="","",IF(OR($S1223=TRUE(),$S1223="TRUE"),1,0))</f>
        <v/>
      </c>
      <c r="X1223">
        <f>IF($U1223=1,IFERROR(IF(VALUE($B1223)&lt;100000000,VALUE($B1223),1000000000),IFERROR(IF(VALUE(MID($B1223,2,20))&lt;100000000,VALUE(MID($B1223,2,20)),1000000000),1000000000))+ROW()/100000,"")</f>
        <v/>
      </c>
    </row>
    <row r="1224">
      <c r="A1224">
        <f>IF($B1224="","",IFERROR(IF(INDEX('Per Invoice'!$C$2:$C$401,MATCH($B1224,'Per Invoice'!$A$2:$A$401,0))=0,"",INDEX('Per Invoice'!$C$2:$C$401,MATCH($B1224,'Per Invoice'!$A$2:$A$401,0))),""))</f>
        <v/>
      </c>
      <c r="G1224" s="7">
        <f>IF($B1224="","",F1224*L1224/100)</f>
        <v/>
      </c>
      <c r="K1224" s="7" t="n"/>
      <c r="L1224" s="7" t="n"/>
      <c r="M1224" s="7">
        <f>IF($B1224="","",L1224*T1224/100)</f>
        <v/>
      </c>
      <c r="N1224" s="7">
        <f>IF($B1224="","",L1224-M1224)</f>
        <v/>
      </c>
      <c r="O1224" s="7">
        <f>IF($B1224="","",N1224-G1224)</f>
        <v/>
      </c>
      <c r="R1224" s="14" t="n"/>
      <c r="T1224">
        <f>IF($B1224="","",IF($W1224=1,Settings!$C$6,Settings!$C$7)*100)</f>
        <v/>
      </c>
      <c r="U1224">
        <f>IF($B1224="","",IF(COUNTIF($B$2:$B1224,$B1224)=1,1,0))</f>
        <v/>
      </c>
      <c r="V1224">
        <f>IF($U1224=1,SUMPRODUCT(--($X$2:$X$1501&lt;$X1224))+1,"")</f>
        <v/>
      </c>
      <c r="W1224">
        <f>IF($B1224="","",IF(OR($S1224=TRUE(),$S1224="TRUE"),1,0))</f>
        <v/>
      </c>
      <c r="X1224">
        <f>IF($U1224=1,IFERROR(IF(VALUE($B1224)&lt;100000000,VALUE($B1224),1000000000),IFERROR(IF(VALUE(MID($B1224,2,20))&lt;100000000,VALUE(MID($B1224,2,20)),1000000000),1000000000))+ROW()/100000,"")</f>
        <v/>
      </c>
    </row>
    <row r="1225">
      <c r="A1225">
        <f>IF($B1225="","",IFERROR(IF(INDEX('Per Invoice'!$C$2:$C$401,MATCH($B1225,'Per Invoice'!$A$2:$A$401,0))=0,"",INDEX('Per Invoice'!$C$2:$C$401,MATCH($B1225,'Per Invoice'!$A$2:$A$401,0))),""))</f>
        <v/>
      </c>
      <c r="G1225" s="7">
        <f>IF($B1225="","",F1225*L1225/100)</f>
        <v/>
      </c>
      <c r="K1225" s="7" t="n"/>
      <c r="L1225" s="7" t="n"/>
      <c r="M1225" s="7">
        <f>IF($B1225="","",L1225*T1225/100)</f>
        <v/>
      </c>
      <c r="N1225" s="7">
        <f>IF($B1225="","",L1225-M1225)</f>
        <v/>
      </c>
      <c r="O1225" s="7">
        <f>IF($B1225="","",N1225-G1225)</f>
        <v/>
      </c>
      <c r="R1225" s="14" t="n"/>
      <c r="T1225">
        <f>IF($B1225="","",IF($W1225=1,Settings!$C$6,Settings!$C$7)*100)</f>
        <v/>
      </c>
      <c r="U1225">
        <f>IF($B1225="","",IF(COUNTIF($B$2:$B1225,$B1225)=1,1,0))</f>
        <v/>
      </c>
      <c r="V1225">
        <f>IF($U1225=1,SUMPRODUCT(--($X$2:$X$1501&lt;$X1225))+1,"")</f>
        <v/>
      </c>
      <c r="W1225">
        <f>IF($B1225="","",IF(OR($S1225=TRUE(),$S1225="TRUE"),1,0))</f>
        <v/>
      </c>
      <c r="X1225">
        <f>IF($U1225=1,IFERROR(IF(VALUE($B1225)&lt;100000000,VALUE($B1225),1000000000),IFERROR(IF(VALUE(MID($B1225,2,20))&lt;100000000,VALUE(MID($B1225,2,20)),1000000000),1000000000))+ROW()/100000,"")</f>
        <v/>
      </c>
    </row>
    <row r="1226">
      <c r="A1226">
        <f>IF($B1226="","",IFERROR(IF(INDEX('Per Invoice'!$C$2:$C$401,MATCH($B1226,'Per Invoice'!$A$2:$A$401,0))=0,"",INDEX('Per Invoice'!$C$2:$C$401,MATCH($B1226,'Per Invoice'!$A$2:$A$401,0))),""))</f>
        <v/>
      </c>
      <c r="G1226" s="7">
        <f>IF($B1226="","",F1226*L1226/100)</f>
        <v/>
      </c>
      <c r="K1226" s="7" t="n"/>
      <c r="L1226" s="7" t="n"/>
      <c r="M1226" s="7">
        <f>IF($B1226="","",L1226*T1226/100)</f>
        <v/>
      </c>
      <c r="N1226" s="7">
        <f>IF($B1226="","",L1226-M1226)</f>
        <v/>
      </c>
      <c r="O1226" s="7">
        <f>IF($B1226="","",N1226-G1226)</f>
        <v/>
      </c>
      <c r="R1226" s="14" t="n"/>
      <c r="T1226">
        <f>IF($B1226="","",IF($W1226=1,Settings!$C$6,Settings!$C$7)*100)</f>
        <v/>
      </c>
      <c r="U1226">
        <f>IF($B1226="","",IF(COUNTIF($B$2:$B1226,$B1226)=1,1,0))</f>
        <v/>
      </c>
      <c r="V1226">
        <f>IF($U1226=1,SUMPRODUCT(--($X$2:$X$1501&lt;$X1226))+1,"")</f>
        <v/>
      </c>
      <c r="W1226">
        <f>IF($B1226="","",IF(OR($S1226=TRUE(),$S1226="TRUE"),1,0))</f>
        <v/>
      </c>
      <c r="X1226">
        <f>IF($U1226=1,IFERROR(IF(VALUE($B1226)&lt;100000000,VALUE($B1226),1000000000),IFERROR(IF(VALUE(MID($B1226,2,20))&lt;100000000,VALUE(MID($B1226,2,20)),1000000000),1000000000))+ROW()/100000,"")</f>
        <v/>
      </c>
    </row>
    <row r="1227">
      <c r="A1227">
        <f>IF($B1227="","",IFERROR(IF(INDEX('Per Invoice'!$C$2:$C$401,MATCH($B1227,'Per Invoice'!$A$2:$A$401,0))=0,"",INDEX('Per Invoice'!$C$2:$C$401,MATCH($B1227,'Per Invoice'!$A$2:$A$401,0))),""))</f>
        <v/>
      </c>
      <c r="G1227" s="7">
        <f>IF($B1227="","",F1227*L1227/100)</f>
        <v/>
      </c>
      <c r="K1227" s="7" t="n"/>
      <c r="L1227" s="7" t="n"/>
      <c r="M1227" s="7">
        <f>IF($B1227="","",L1227*T1227/100)</f>
        <v/>
      </c>
      <c r="N1227" s="7">
        <f>IF($B1227="","",L1227-M1227)</f>
        <v/>
      </c>
      <c r="O1227" s="7">
        <f>IF($B1227="","",N1227-G1227)</f>
        <v/>
      </c>
      <c r="R1227" s="14" t="n"/>
      <c r="T1227">
        <f>IF($B1227="","",IF($W1227=1,Settings!$C$6,Settings!$C$7)*100)</f>
        <v/>
      </c>
      <c r="U1227">
        <f>IF($B1227="","",IF(COUNTIF($B$2:$B1227,$B1227)=1,1,0))</f>
        <v/>
      </c>
      <c r="V1227">
        <f>IF($U1227=1,SUMPRODUCT(--($X$2:$X$1501&lt;$X1227))+1,"")</f>
        <v/>
      </c>
      <c r="W1227">
        <f>IF($B1227="","",IF(OR($S1227=TRUE(),$S1227="TRUE"),1,0))</f>
        <v/>
      </c>
      <c r="X1227">
        <f>IF($U1227=1,IFERROR(IF(VALUE($B1227)&lt;100000000,VALUE($B1227),1000000000),IFERROR(IF(VALUE(MID($B1227,2,20))&lt;100000000,VALUE(MID($B1227,2,20)),1000000000),1000000000))+ROW()/100000,"")</f>
        <v/>
      </c>
    </row>
    <row r="1228">
      <c r="A1228">
        <f>IF($B1228="","",IFERROR(IF(INDEX('Per Invoice'!$C$2:$C$401,MATCH($B1228,'Per Invoice'!$A$2:$A$401,0))=0,"",INDEX('Per Invoice'!$C$2:$C$401,MATCH($B1228,'Per Invoice'!$A$2:$A$401,0))),""))</f>
        <v/>
      </c>
      <c r="G1228" s="7">
        <f>IF($B1228="","",F1228*L1228/100)</f>
        <v/>
      </c>
      <c r="K1228" s="7" t="n"/>
      <c r="L1228" s="7" t="n"/>
      <c r="M1228" s="7">
        <f>IF($B1228="","",L1228*T1228/100)</f>
        <v/>
      </c>
      <c r="N1228" s="7">
        <f>IF($B1228="","",L1228-M1228)</f>
        <v/>
      </c>
      <c r="O1228" s="7">
        <f>IF($B1228="","",N1228-G1228)</f>
        <v/>
      </c>
      <c r="R1228" s="14" t="n"/>
      <c r="T1228">
        <f>IF($B1228="","",IF($W1228=1,Settings!$C$6,Settings!$C$7)*100)</f>
        <v/>
      </c>
      <c r="U1228">
        <f>IF($B1228="","",IF(COUNTIF($B$2:$B1228,$B1228)=1,1,0))</f>
        <v/>
      </c>
      <c r="V1228">
        <f>IF($U1228=1,SUMPRODUCT(--($X$2:$X$1501&lt;$X1228))+1,"")</f>
        <v/>
      </c>
      <c r="W1228">
        <f>IF($B1228="","",IF(OR($S1228=TRUE(),$S1228="TRUE"),1,0))</f>
        <v/>
      </c>
      <c r="X1228">
        <f>IF($U1228=1,IFERROR(IF(VALUE($B1228)&lt;100000000,VALUE($B1228),1000000000),IFERROR(IF(VALUE(MID($B1228,2,20))&lt;100000000,VALUE(MID($B1228,2,20)),1000000000),1000000000))+ROW()/100000,"")</f>
        <v/>
      </c>
    </row>
    <row r="1229">
      <c r="A1229">
        <f>IF($B1229="","",IFERROR(IF(INDEX('Per Invoice'!$C$2:$C$401,MATCH($B1229,'Per Invoice'!$A$2:$A$401,0))=0,"",INDEX('Per Invoice'!$C$2:$C$401,MATCH($B1229,'Per Invoice'!$A$2:$A$401,0))),""))</f>
        <v/>
      </c>
      <c r="G1229" s="7">
        <f>IF($B1229="","",F1229*L1229/100)</f>
        <v/>
      </c>
      <c r="K1229" s="7" t="n"/>
      <c r="L1229" s="7" t="n"/>
      <c r="M1229" s="7">
        <f>IF($B1229="","",L1229*T1229/100)</f>
        <v/>
      </c>
      <c r="N1229" s="7">
        <f>IF($B1229="","",L1229-M1229)</f>
        <v/>
      </c>
      <c r="O1229" s="7">
        <f>IF($B1229="","",N1229-G1229)</f>
        <v/>
      </c>
      <c r="R1229" s="14" t="n"/>
      <c r="T1229">
        <f>IF($B1229="","",IF($W1229=1,Settings!$C$6,Settings!$C$7)*100)</f>
        <v/>
      </c>
      <c r="U1229">
        <f>IF($B1229="","",IF(COUNTIF($B$2:$B1229,$B1229)=1,1,0))</f>
        <v/>
      </c>
      <c r="V1229">
        <f>IF($U1229=1,SUMPRODUCT(--($X$2:$X$1501&lt;$X1229))+1,"")</f>
        <v/>
      </c>
      <c r="W1229">
        <f>IF($B1229="","",IF(OR($S1229=TRUE(),$S1229="TRUE"),1,0))</f>
        <v/>
      </c>
      <c r="X1229">
        <f>IF($U1229=1,IFERROR(IF(VALUE($B1229)&lt;100000000,VALUE($B1229),1000000000),IFERROR(IF(VALUE(MID($B1229,2,20))&lt;100000000,VALUE(MID($B1229,2,20)),1000000000),1000000000))+ROW()/100000,"")</f>
        <v/>
      </c>
    </row>
    <row r="1230">
      <c r="A1230">
        <f>IF($B1230="","",IFERROR(IF(INDEX('Per Invoice'!$C$2:$C$401,MATCH($B1230,'Per Invoice'!$A$2:$A$401,0))=0,"",INDEX('Per Invoice'!$C$2:$C$401,MATCH($B1230,'Per Invoice'!$A$2:$A$401,0))),""))</f>
        <v/>
      </c>
      <c r="G1230" s="7">
        <f>IF($B1230="","",F1230*L1230/100)</f>
        <v/>
      </c>
      <c r="K1230" s="7" t="n"/>
      <c r="L1230" s="7" t="n"/>
      <c r="M1230" s="7">
        <f>IF($B1230="","",L1230*T1230/100)</f>
        <v/>
      </c>
      <c r="N1230" s="7">
        <f>IF($B1230="","",L1230-M1230)</f>
        <v/>
      </c>
      <c r="O1230" s="7">
        <f>IF($B1230="","",N1230-G1230)</f>
        <v/>
      </c>
      <c r="R1230" s="14" t="n"/>
      <c r="T1230">
        <f>IF($B1230="","",IF($W1230=1,Settings!$C$6,Settings!$C$7)*100)</f>
        <v/>
      </c>
      <c r="U1230">
        <f>IF($B1230="","",IF(COUNTIF($B$2:$B1230,$B1230)=1,1,0))</f>
        <v/>
      </c>
      <c r="V1230">
        <f>IF($U1230=1,SUMPRODUCT(--($X$2:$X$1501&lt;$X1230))+1,"")</f>
        <v/>
      </c>
      <c r="W1230">
        <f>IF($B1230="","",IF(OR($S1230=TRUE(),$S1230="TRUE"),1,0))</f>
        <v/>
      </c>
      <c r="X1230">
        <f>IF($U1230=1,IFERROR(IF(VALUE($B1230)&lt;100000000,VALUE($B1230),1000000000),IFERROR(IF(VALUE(MID($B1230,2,20))&lt;100000000,VALUE(MID($B1230,2,20)),1000000000),1000000000))+ROW()/100000,"")</f>
        <v/>
      </c>
    </row>
    <row r="1231">
      <c r="A1231">
        <f>IF($B1231="","",IFERROR(IF(INDEX('Per Invoice'!$C$2:$C$401,MATCH($B1231,'Per Invoice'!$A$2:$A$401,0))=0,"",INDEX('Per Invoice'!$C$2:$C$401,MATCH($B1231,'Per Invoice'!$A$2:$A$401,0))),""))</f>
        <v/>
      </c>
      <c r="G1231" s="7">
        <f>IF($B1231="","",F1231*L1231/100)</f>
        <v/>
      </c>
      <c r="K1231" s="7" t="n"/>
      <c r="L1231" s="7" t="n"/>
      <c r="M1231" s="7">
        <f>IF($B1231="","",L1231*T1231/100)</f>
        <v/>
      </c>
      <c r="N1231" s="7">
        <f>IF($B1231="","",L1231-M1231)</f>
        <v/>
      </c>
      <c r="O1231" s="7">
        <f>IF($B1231="","",N1231-G1231)</f>
        <v/>
      </c>
      <c r="R1231" s="14" t="n"/>
      <c r="T1231">
        <f>IF($B1231="","",IF($W1231=1,Settings!$C$6,Settings!$C$7)*100)</f>
        <v/>
      </c>
      <c r="U1231">
        <f>IF($B1231="","",IF(COUNTIF($B$2:$B1231,$B1231)=1,1,0))</f>
        <v/>
      </c>
      <c r="V1231">
        <f>IF($U1231=1,SUMPRODUCT(--($X$2:$X$1501&lt;$X1231))+1,"")</f>
        <v/>
      </c>
      <c r="W1231">
        <f>IF($B1231="","",IF(OR($S1231=TRUE(),$S1231="TRUE"),1,0))</f>
        <v/>
      </c>
      <c r="X1231">
        <f>IF($U1231=1,IFERROR(IF(VALUE($B1231)&lt;100000000,VALUE($B1231),1000000000),IFERROR(IF(VALUE(MID($B1231,2,20))&lt;100000000,VALUE(MID($B1231,2,20)),1000000000),1000000000))+ROW()/100000,"")</f>
        <v/>
      </c>
    </row>
    <row r="1232">
      <c r="A1232">
        <f>IF($B1232="","",IFERROR(IF(INDEX('Per Invoice'!$C$2:$C$401,MATCH($B1232,'Per Invoice'!$A$2:$A$401,0))=0,"",INDEX('Per Invoice'!$C$2:$C$401,MATCH($B1232,'Per Invoice'!$A$2:$A$401,0))),""))</f>
        <v/>
      </c>
      <c r="G1232" s="7">
        <f>IF($B1232="","",F1232*L1232/100)</f>
        <v/>
      </c>
      <c r="K1232" s="7" t="n"/>
      <c r="L1232" s="7" t="n"/>
      <c r="M1232" s="7">
        <f>IF($B1232="","",L1232*T1232/100)</f>
        <v/>
      </c>
      <c r="N1232" s="7">
        <f>IF($B1232="","",L1232-M1232)</f>
        <v/>
      </c>
      <c r="O1232" s="7">
        <f>IF($B1232="","",N1232-G1232)</f>
        <v/>
      </c>
      <c r="R1232" s="14" t="n"/>
      <c r="T1232">
        <f>IF($B1232="","",IF($W1232=1,Settings!$C$6,Settings!$C$7)*100)</f>
        <v/>
      </c>
      <c r="U1232">
        <f>IF($B1232="","",IF(COUNTIF($B$2:$B1232,$B1232)=1,1,0))</f>
        <v/>
      </c>
      <c r="V1232">
        <f>IF($U1232=1,SUMPRODUCT(--($X$2:$X$1501&lt;$X1232))+1,"")</f>
        <v/>
      </c>
      <c r="W1232">
        <f>IF($B1232="","",IF(OR($S1232=TRUE(),$S1232="TRUE"),1,0))</f>
        <v/>
      </c>
      <c r="X1232">
        <f>IF($U1232=1,IFERROR(IF(VALUE($B1232)&lt;100000000,VALUE($B1232),1000000000),IFERROR(IF(VALUE(MID($B1232,2,20))&lt;100000000,VALUE(MID($B1232,2,20)),1000000000),1000000000))+ROW()/100000,"")</f>
        <v/>
      </c>
    </row>
    <row r="1233">
      <c r="A1233">
        <f>IF($B1233="","",IFERROR(IF(INDEX('Per Invoice'!$C$2:$C$401,MATCH($B1233,'Per Invoice'!$A$2:$A$401,0))=0,"",INDEX('Per Invoice'!$C$2:$C$401,MATCH($B1233,'Per Invoice'!$A$2:$A$401,0))),""))</f>
        <v/>
      </c>
      <c r="G1233" s="7">
        <f>IF($B1233="","",F1233*L1233/100)</f>
        <v/>
      </c>
      <c r="K1233" s="7" t="n"/>
      <c r="L1233" s="7" t="n"/>
      <c r="M1233" s="7">
        <f>IF($B1233="","",L1233*T1233/100)</f>
        <v/>
      </c>
      <c r="N1233" s="7">
        <f>IF($B1233="","",L1233-M1233)</f>
        <v/>
      </c>
      <c r="O1233" s="7">
        <f>IF($B1233="","",N1233-G1233)</f>
        <v/>
      </c>
      <c r="R1233" s="14" t="n"/>
      <c r="T1233">
        <f>IF($B1233="","",IF($W1233=1,Settings!$C$6,Settings!$C$7)*100)</f>
        <v/>
      </c>
      <c r="U1233">
        <f>IF($B1233="","",IF(COUNTIF($B$2:$B1233,$B1233)=1,1,0))</f>
        <v/>
      </c>
      <c r="V1233">
        <f>IF($U1233=1,SUMPRODUCT(--($X$2:$X$1501&lt;$X1233))+1,"")</f>
        <v/>
      </c>
      <c r="W1233">
        <f>IF($B1233="","",IF(OR($S1233=TRUE(),$S1233="TRUE"),1,0))</f>
        <v/>
      </c>
      <c r="X1233">
        <f>IF($U1233=1,IFERROR(IF(VALUE($B1233)&lt;100000000,VALUE($B1233),1000000000),IFERROR(IF(VALUE(MID($B1233,2,20))&lt;100000000,VALUE(MID($B1233,2,20)),1000000000),1000000000))+ROW()/100000,"")</f>
        <v/>
      </c>
    </row>
    <row r="1234">
      <c r="A1234">
        <f>IF($B1234="","",IFERROR(IF(INDEX('Per Invoice'!$C$2:$C$401,MATCH($B1234,'Per Invoice'!$A$2:$A$401,0))=0,"",INDEX('Per Invoice'!$C$2:$C$401,MATCH($B1234,'Per Invoice'!$A$2:$A$401,0))),""))</f>
        <v/>
      </c>
      <c r="G1234" s="7">
        <f>IF($B1234="","",F1234*L1234/100)</f>
        <v/>
      </c>
      <c r="K1234" s="7" t="n"/>
      <c r="L1234" s="7" t="n"/>
      <c r="M1234" s="7">
        <f>IF($B1234="","",L1234*T1234/100)</f>
        <v/>
      </c>
      <c r="N1234" s="7">
        <f>IF($B1234="","",L1234-M1234)</f>
        <v/>
      </c>
      <c r="O1234" s="7">
        <f>IF($B1234="","",N1234-G1234)</f>
        <v/>
      </c>
      <c r="R1234" s="14" t="n"/>
      <c r="T1234">
        <f>IF($B1234="","",IF($W1234=1,Settings!$C$6,Settings!$C$7)*100)</f>
        <v/>
      </c>
      <c r="U1234">
        <f>IF($B1234="","",IF(COUNTIF($B$2:$B1234,$B1234)=1,1,0))</f>
        <v/>
      </c>
      <c r="V1234">
        <f>IF($U1234=1,SUMPRODUCT(--($X$2:$X$1501&lt;$X1234))+1,"")</f>
        <v/>
      </c>
      <c r="W1234">
        <f>IF($B1234="","",IF(OR($S1234=TRUE(),$S1234="TRUE"),1,0))</f>
        <v/>
      </c>
      <c r="X1234">
        <f>IF($U1234=1,IFERROR(IF(VALUE($B1234)&lt;100000000,VALUE($B1234),1000000000),IFERROR(IF(VALUE(MID($B1234,2,20))&lt;100000000,VALUE(MID($B1234,2,20)),1000000000),1000000000))+ROW()/100000,"")</f>
        <v/>
      </c>
    </row>
    <row r="1235">
      <c r="A1235">
        <f>IF($B1235="","",IFERROR(IF(INDEX('Per Invoice'!$C$2:$C$401,MATCH($B1235,'Per Invoice'!$A$2:$A$401,0))=0,"",INDEX('Per Invoice'!$C$2:$C$401,MATCH($B1235,'Per Invoice'!$A$2:$A$401,0))),""))</f>
        <v/>
      </c>
      <c r="G1235" s="7">
        <f>IF($B1235="","",F1235*L1235/100)</f>
        <v/>
      </c>
      <c r="K1235" s="7" t="n"/>
      <c r="L1235" s="7" t="n"/>
      <c r="M1235" s="7">
        <f>IF($B1235="","",L1235*T1235/100)</f>
        <v/>
      </c>
      <c r="N1235" s="7">
        <f>IF($B1235="","",L1235-M1235)</f>
        <v/>
      </c>
      <c r="O1235" s="7">
        <f>IF($B1235="","",N1235-G1235)</f>
        <v/>
      </c>
      <c r="R1235" s="14" t="n"/>
      <c r="T1235">
        <f>IF($B1235="","",IF($W1235=1,Settings!$C$6,Settings!$C$7)*100)</f>
        <v/>
      </c>
      <c r="U1235">
        <f>IF($B1235="","",IF(COUNTIF($B$2:$B1235,$B1235)=1,1,0))</f>
        <v/>
      </c>
      <c r="V1235">
        <f>IF($U1235=1,SUMPRODUCT(--($X$2:$X$1501&lt;$X1235))+1,"")</f>
        <v/>
      </c>
      <c r="W1235">
        <f>IF($B1235="","",IF(OR($S1235=TRUE(),$S1235="TRUE"),1,0))</f>
        <v/>
      </c>
      <c r="X1235">
        <f>IF($U1235=1,IFERROR(IF(VALUE($B1235)&lt;100000000,VALUE($B1235),1000000000),IFERROR(IF(VALUE(MID($B1235,2,20))&lt;100000000,VALUE(MID($B1235,2,20)),1000000000),1000000000))+ROW()/100000,"")</f>
        <v/>
      </c>
    </row>
    <row r="1236">
      <c r="A1236">
        <f>IF($B1236="","",IFERROR(IF(INDEX('Per Invoice'!$C$2:$C$401,MATCH($B1236,'Per Invoice'!$A$2:$A$401,0))=0,"",INDEX('Per Invoice'!$C$2:$C$401,MATCH($B1236,'Per Invoice'!$A$2:$A$401,0))),""))</f>
        <v/>
      </c>
      <c r="G1236" s="7">
        <f>IF($B1236="","",F1236*L1236/100)</f>
        <v/>
      </c>
      <c r="K1236" s="7" t="n"/>
      <c r="L1236" s="7" t="n"/>
      <c r="M1236" s="7">
        <f>IF($B1236="","",L1236*T1236/100)</f>
        <v/>
      </c>
      <c r="N1236" s="7">
        <f>IF($B1236="","",L1236-M1236)</f>
        <v/>
      </c>
      <c r="O1236" s="7">
        <f>IF($B1236="","",N1236-G1236)</f>
        <v/>
      </c>
      <c r="R1236" s="14" t="n"/>
      <c r="T1236">
        <f>IF($B1236="","",IF($W1236=1,Settings!$C$6,Settings!$C$7)*100)</f>
        <v/>
      </c>
      <c r="U1236">
        <f>IF($B1236="","",IF(COUNTIF($B$2:$B1236,$B1236)=1,1,0))</f>
        <v/>
      </c>
      <c r="V1236">
        <f>IF($U1236=1,SUMPRODUCT(--($X$2:$X$1501&lt;$X1236))+1,"")</f>
        <v/>
      </c>
      <c r="W1236">
        <f>IF($B1236="","",IF(OR($S1236=TRUE(),$S1236="TRUE"),1,0))</f>
        <v/>
      </c>
      <c r="X1236">
        <f>IF($U1236=1,IFERROR(IF(VALUE($B1236)&lt;100000000,VALUE($B1236),1000000000),IFERROR(IF(VALUE(MID($B1236,2,20))&lt;100000000,VALUE(MID($B1236,2,20)),1000000000),1000000000))+ROW()/100000,"")</f>
        <v/>
      </c>
    </row>
    <row r="1237">
      <c r="A1237">
        <f>IF($B1237="","",IFERROR(IF(INDEX('Per Invoice'!$C$2:$C$401,MATCH($B1237,'Per Invoice'!$A$2:$A$401,0))=0,"",INDEX('Per Invoice'!$C$2:$C$401,MATCH($B1237,'Per Invoice'!$A$2:$A$401,0))),""))</f>
        <v/>
      </c>
      <c r="G1237" s="7">
        <f>IF($B1237="","",F1237*L1237/100)</f>
        <v/>
      </c>
      <c r="K1237" s="7" t="n"/>
      <c r="L1237" s="7" t="n"/>
      <c r="M1237" s="7">
        <f>IF($B1237="","",L1237*T1237/100)</f>
        <v/>
      </c>
      <c r="N1237" s="7">
        <f>IF($B1237="","",L1237-M1237)</f>
        <v/>
      </c>
      <c r="O1237" s="7">
        <f>IF($B1237="","",N1237-G1237)</f>
        <v/>
      </c>
      <c r="R1237" s="14" t="n"/>
      <c r="T1237">
        <f>IF($B1237="","",IF($W1237=1,Settings!$C$6,Settings!$C$7)*100)</f>
        <v/>
      </c>
      <c r="U1237">
        <f>IF($B1237="","",IF(COUNTIF($B$2:$B1237,$B1237)=1,1,0))</f>
        <v/>
      </c>
      <c r="V1237">
        <f>IF($U1237=1,SUMPRODUCT(--($X$2:$X$1501&lt;$X1237))+1,"")</f>
        <v/>
      </c>
      <c r="W1237">
        <f>IF($B1237="","",IF(OR($S1237=TRUE(),$S1237="TRUE"),1,0))</f>
        <v/>
      </c>
      <c r="X1237">
        <f>IF($U1237=1,IFERROR(IF(VALUE($B1237)&lt;100000000,VALUE($B1237),1000000000),IFERROR(IF(VALUE(MID($B1237,2,20))&lt;100000000,VALUE(MID($B1237,2,20)),1000000000),1000000000))+ROW()/100000,"")</f>
        <v/>
      </c>
    </row>
    <row r="1238">
      <c r="A1238">
        <f>IF($B1238="","",IFERROR(IF(INDEX('Per Invoice'!$C$2:$C$401,MATCH($B1238,'Per Invoice'!$A$2:$A$401,0))=0,"",INDEX('Per Invoice'!$C$2:$C$401,MATCH($B1238,'Per Invoice'!$A$2:$A$401,0))),""))</f>
        <v/>
      </c>
      <c r="G1238" s="7">
        <f>IF($B1238="","",F1238*L1238/100)</f>
        <v/>
      </c>
      <c r="K1238" s="7" t="n"/>
      <c r="L1238" s="7" t="n"/>
      <c r="M1238" s="7">
        <f>IF($B1238="","",L1238*T1238/100)</f>
        <v/>
      </c>
      <c r="N1238" s="7">
        <f>IF($B1238="","",L1238-M1238)</f>
        <v/>
      </c>
      <c r="O1238" s="7">
        <f>IF($B1238="","",N1238-G1238)</f>
        <v/>
      </c>
      <c r="R1238" s="14" t="n"/>
      <c r="T1238">
        <f>IF($B1238="","",IF($W1238=1,Settings!$C$6,Settings!$C$7)*100)</f>
        <v/>
      </c>
      <c r="U1238">
        <f>IF($B1238="","",IF(COUNTIF($B$2:$B1238,$B1238)=1,1,0))</f>
        <v/>
      </c>
      <c r="V1238">
        <f>IF($U1238=1,SUMPRODUCT(--($X$2:$X$1501&lt;$X1238))+1,"")</f>
        <v/>
      </c>
      <c r="W1238">
        <f>IF($B1238="","",IF(OR($S1238=TRUE(),$S1238="TRUE"),1,0))</f>
        <v/>
      </c>
      <c r="X1238">
        <f>IF($U1238=1,IFERROR(IF(VALUE($B1238)&lt;100000000,VALUE($B1238),1000000000),IFERROR(IF(VALUE(MID($B1238,2,20))&lt;100000000,VALUE(MID($B1238,2,20)),1000000000),1000000000))+ROW()/100000,"")</f>
        <v/>
      </c>
    </row>
    <row r="1239">
      <c r="A1239">
        <f>IF($B1239="","",IFERROR(IF(INDEX('Per Invoice'!$C$2:$C$401,MATCH($B1239,'Per Invoice'!$A$2:$A$401,0))=0,"",INDEX('Per Invoice'!$C$2:$C$401,MATCH($B1239,'Per Invoice'!$A$2:$A$401,0))),""))</f>
        <v/>
      </c>
      <c r="G1239" s="7">
        <f>IF($B1239="","",F1239*L1239/100)</f>
        <v/>
      </c>
      <c r="K1239" s="7" t="n"/>
      <c r="L1239" s="7" t="n"/>
      <c r="M1239" s="7">
        <f>IF($B1239="","",L1239*T1239/100)</f>
        <v/>
      </c>
      <c r="N1239" s="7">
        <f>IF($B1239="","",L1239-M1239)</f>
        <v/>
      </c>
      <c r="O1239" s="7">
        <f>IF($B1239="","",N1239-G1239)</f>
        <v/>
      </c>
      <c r="R1239" s="14" t="n"/>
      <c r="T1239">
        <f>IF($B1239="","",IF($W1239=1,Settings!$C$6,Settings!$C$7)*100)</f>
        <v/>
      </c>
      <c r="U1239">
        <f>IF($B1239="","",IF(COUNTIF($B$2:$B1239,$B1239)=1,1,0))</f>
        <v/>
      </c>
      <c r="V1239">
        <f>IF($U1239=1,SUMPRODUCT(--($X$2:$X$1501&lt;$X1239))+1,"")</f>
        <v/>
      </c>
      <c r="W1239">
        <f>IF($B1239="","",IF(OR($S1239=TRUE(),$S1239="TRUE"),1,0))</f>
        <v/>
      </c>
      <c r="X1239">
        <f>IF($U1239=1,IFERROR(IF(VALUE($B1239)&lt;100000000,VALUE($B1239),1000000000),IFERROR(IF(VALUE(MID($B1239,2,20))&lt;100000000,VALUE(MID($B1239,2,20)),1000000000),1000000000))+ROW()/100000,"")</f>
        <v/>
      </c>
    </row>
    <row r="1240">
      <c r="A1240">
        <f>IF($B1240="","",IFERROR(IF(INDEX('Per Invoice'!$C$2:$C$401,MATCH($B1240,'Per Invoice'!$A$2:$A$401,0))=0,"",INDEX('Per Invoice'!$C$2:$C$401,MATCH($B1240,'Per Invoice'!$A$2:$A$401,0))),""))</f>
        <v/>
      </c>
      <c r="G1240" s="7">
        <f>IF($B1240="","",F1240*L1240/100)</f>
        <v/>
      </c>
      <c r="K1240" s="7" t="n"/>
      <c r="L1240" s="7" t="n"/>
      <c r="M1240" s="7">
        <f>IF($B1240="","",L1240*T1240/100)</f>
        <v/>
      </c>
      <c r="N1240" s="7">
        <f>IF($B1240="","",L1240-M1240)</f>
        <v/>
      </c>
      <c r="O1240" s="7">
        <f>IF($B1240="","",N1240-G1240)</f>
        <v/>
      </c>
      <c r="R1240" s="14" t="n"/>
      <c r="T1240">
        <f>IF($B1240="","",IF($W1240=1,Settings!$C$6,Settings!$C$7)*100)</f>
        <v/>
      </c>
      <c r="U1240">
        <f>IF($B1240="","",IF(COUNTIF($B$2:$B1240,$B1240)=1,1,0))</f>
        <v/>
      </c>
      <c r="V1240">
        <f>IF($U1240=1,SUMPRODUCT(--($X$2:$X$1501&lt;$X1240))+1,"")</f>
        <v/>
      </c>
      <c r="W1240">
        <f>IF($B1240="","",IF(OR($S1240=TRUE(),$S1240="TRUE"),1,0))</f>
        <v/>
      </c>
      <c r="X1240">
        <f>IF($U1240=1,IFERROR(IF(VALUE($B1240)&lt;100000000,VALUE($B1240),1000000000),IFERROR(IF(VALUE(MID($B1240,2,20))&lt;100000000,VALUE(MID($B1240,2,20)),1000000000),1000000000))+ROW()/100000,"")</f>
        <v/>
      </c>
    </row>
    <row r="1241">
      <c r="A1241">
        <f>IF($B1241="","",IFERROR(IF(INDEX('Per Invoice'!$C$2:$C$401,MATCH($B1241,'Per Invoice'!$A$2:$A$401,0))=0,"",INDEX('Per Invoice'!$C$2:$C$401,MATCH($B1241,'Per Invoice'!$A$2:$A$401,0))),""))</f>
        <v/>
      </c>
      <c r="G1241" s="7">
        <f>IF($B1241="","",F1241*L1241/100)</f>
        <v/>
      </c>
      <c r="K1241" s="7" t="n"/>
      <c r="L1241" s="7" t="n"/>
      <c r="M1241" s="7">
        <f>IF($B1241="","",L1241*T1241/100)</f>
        <v/>
      </c>
      <c r="N1241" s="7">
        <f>IF($B1241="","",L1241-M1241)</f>
        <v/>
      </c>
      <c r="O1241" s="7">
        <f>IF($B1241="","",N1241-G1241)</f>
        <v/>
      </c>
      <c r="R1241" s="14" t="n"/>
      <c r="T1241">
        <f>IF($B1241="","",IF($W1241=1,Settings!$C$6,Settings!$C$7)*100)</f>
        <v/>
      </c>
      <c r="U1241">
        <f>IF($B1241="","",IF(COUNTIF($B$2:$B1241,$B1241)=1,1,0))</f>
        <v/>
      </c>
      <c r="V1241">
        <f>IF($U1241=1,SUMPRODUCT(--($X$2:$X$1501&lt;$X1241))+1,"")</f>
        <v/>
      </c>
      <c r="W1241">
        <f>IF($B1241="","",IF(OR($S1241=TRUE(),$S1241="TRUE"),1,0))</f>
        <v/>
      </c>
      <c r="X1241">
        <f>IF($U1241=1,IFERROR(IF(VALUE($B1241)&lt;100000000,VALUE($B1241),1000000000),IFERROR(IF(VALUE(MID($B1241,2,20))&lt;100000000,VALUE(MID($B1241,2,20)),1000000000),1000000000))+ROW()/100000,"")</f>
        <v/>
      </c>
    </row>
    <row r="1242">
      <c r="A1242">
        <f>IF($B1242="","",IFERROR(IF(INDEX('Per Invoice'!$C$2:$C$401,MATCH($B1242,'Per Invoice'!$A$2:$A$401,0))=0,"",INDEX('Per Invoice'!$C$2:$C$401,MATCH($B1242,'Per Invoice'!$A$2:$A$401,0))),""))</f>
        <v/>
      </c>
      <c r="G1242" s="7">
        <f>IF($B1242="","",F1242*L1242/100)</f>
        <v/>
      </c>
      <c r="K1242" s="7" t="n"/>
      <c r="L1242" s="7" t="n"/>
      <c r="M1242" s="7">
        <f>IF($B1242="","",L1242*T1242/100)</f>
        <v/>
      </c>
      <c r="N1242" s="7">
        <f>IF($B1242="","",L1242-M1242)</f>
        <v/>
      </c>
      <c r="O1242" s="7">
        <f>IF($B1242="","",N1242-G1242)</f>
        <v/>
      </c>
      <c r="R1242" s="14" t="n"/>
      <c r="T1242">
        <f>IF($B1242="","",IF($W1242=1,Settings!$C$6,Settings!$C$7)*100)</f>
        <v/>
      </c>
      <c r="U1242">
        <f>IF($B1242="","",IF(COUNTIF($B$2:$B1242,$B1242)=1,1,0))</f>
        <v/>
      </c>
      <c r="V1242">
        <f>IF($U1242=1,SUMPRODUCT(--($X$2:$X$1501&lt;$X1242))+1,"")</f>
        <v/>
      </c>
      <c r="W1242">
        <f>IF($B1242="","",IF(OR($S1242=TRUE(),$S1242="TRUE"),1,0))</f>
        <v/>
      </c>
      <c r="X1242">
        <f>IF($U1242=1,IFERROR(IF(VALUE($B1242)&lt;100000000,VALUE($B1242),1000000000),IFERROR(IF(VALUE(MID($B1242,2,20))&lt;100000000,VALUE(MID($B1242,2,20)),1000000000),1000000000))+ROW()/100000,"")</f>
        <v/>
      </c>
    </row>
    <row r="1243">
      <c r="A1243">
        <f>IF($B1243="","",IFERROR(IF(INDEX('Per Invoice'!$C$2:$C$401,MATCH($B1243,'Per Invoice'!$A$2:$A$401,0))=0,"",INDEX('Per Invoice'!$C$2:$C$401,MATCH($B1243,'Per Invoice'!$A$2:$A$401,0))),""))</f>
        <v/>
      </c>
      <c r="G1243" s="7">
        <f>IF($B1243="","",F1243*L1243/100)</f>
        <v/>
      </c>
      <c r="K1243" s="7" t="n"/>
      <c r="L1243" s="7" t="n"/>
      <c r="M1243" s="7">
        <f>IF($B1243="","",L1243*T1243/100)</f>
        <v/>
      </c>
      <c r="N1243" s="7">
        <f>IF($B1243="","",L1243-M1243)</f>
        <v/>
      </c>
      <c r="O1243" s="7">
        <f>IF($B1243="","",N1243-G1243)</f>
        <v/>
      </c>
      <c r="R1243" s="14" t="n"/>
      <c r="T1243">
        <f>IF($B1243="","",IF($W1243=1,Settings!$C$6,Settings!$C$7)*100)</f>
        <v/>
      </c>
      <c r="U1243">
        <f>IF($B1243="","",IF(COUNTIF($B$2:$B1243,$B1243)=1,1,0))</f>
        <v/>
      </c>
      <c r="V1243">
        <f>IF($U1243=1,SUMPRODUCT(--($X$2:$X$1501&lt;$X1243))+1,"")</f>
        <v/>
      </c>
      <c r="W1243">
        <f>IF($B1243="","",IF(OR($S1243=TRUE(),$S1243="TRUE"),1,0))</f>
        <v/>
      </c>
      <c r="X1243">
        <f>IF($U1243=1,IFERROR(IF(VALUE($B1243)&lt;100000000,VALUE($B1243),1000000000),IFERROR(IF(VALUE(MID($B1243,2,20))&lt;100000000,VALUE(MID($B1243,2,20)),1000000000),1000000000))+ROW()/100000,"")</f>
        <v/>
      </c>
    </row>
    <row r="1244">
      <c r="A1244">
        <f>IF($B1244="","",IFERROR(IF(INDEX('Per Invoice'!$C$2:$C$401,MATCH($B1244,'Per Invoice'!$A$2:$A$401,0))=0,"",INDEX('Per Invoice'!$C$2:$C$401,MATCH($B1244,'Per Invoice'!$A$2:$A$401,0))),""))</f>
        <v/>
      </c>
      <c r="G1244" s="7">
        <f>IF($B1244="","",F1244*L1244/100)</f>
        <v/>
      </c>
      <c r="K1244" s="7" t="n"/>
      <c r="L1244" s="7" t="n"/>
      <c r="M1244" s="7">
        <f>IF($B1244="","",L1244*T1244/100)</f>
        <v/>
      </c>
      <c r="N1244" s="7">
        <f>IF($B1244="","",L1244-M1244)</f>
        <v/>
      </c>
      <c r="O1244" s="7">
        <f>IF($B1244="","",N1244-G1244)</f>
        <v/>
      </c>
      <c r="R1244" s="14" t="n"/>
      <c r="T1244">
        <f>IF($B1244="","",IF($W1244=1,Settings!$C$6,Settings!$C$7)*100)</f>
        <v/>
      </c>
      <c r="U1244">
        <f>IF($B1244="","",IF(COUNTIF($B$2:$B1244,$B1244)=1,1,0))</f>
        <v/>
      </c>
      <c r="V1244">
        <f>IF($U1244=1,SUMPRODUCT(--($X$2:$X$1501&lt;$X1244))+1,"")</f>
        <v/>
      </c>
      <c r="W1244">
        <f>IF($B1244="","",IF(OR($S1244=TRUE(),$S1244="TRUE"),1,0))</f>
        <v/>
      </c>
      <c r="X1244">
        <f>IF($U1244=1,IFERROR(IF(VALUE($B1244)&lt;100000000,VALUE($B1244),1000000000),IFERROR(IF(VALUE(MID($B1244,2,20))&lt;100000000,VALUE(MID($B1244,2,20)),1000000000),1000000000))+ROW()/100000,"")</f>
        <v/>
      </c>
    </row>
    <row r="1245">
      <c r="A1245">
        <f>IF($B1245="","",IFERROR(IF(INDEX('Per Invoice'!$C$2:$C$401,MATCH($B1245,'Per Invoice'!$A$2:$A$401,0))=0,"",INDEX('Per Invoice'!$C$2:$C$401,MATCH($B1245,'Per Invoice'!$A$2:$A$401,0))),""))</f>
        <v/>
      </c>
      <c r="G1245" s="7">
        <f>IF($B1245="","",F1245*L1245/100)</f>
        <v/>
      </c>
      <c r="K1245" s="7" t="n"/>
      <c r="L1245" s="7" t="n"/>
      <c r="M1245" s="7">
        <f>IF($B1245="","",L1245*T1245/100)</f>
        <v/>
      </c>
      <c r="N1245" s="7">
        <f>IF($B1245="","",L1245-M1245)</f>
        <v/>
      </c>
      <c r="O1245" s="7">
        <f>IF($B1245="","",N1245-G1245)</f>
        <v/>
      </c>
      <c r="R1245" s="14" t="n"/>
      <c r="T1245">
        <f>IF($B1245="","",IF($W1245=1,Settings!$C$6,Settings!$C$7)*100)</f>
        <v/>
      </c>
      <c r="U1245">
        <f>IF($B1245="","",IF(COUNTIF($B$2:$B1245,$B1245)=1,1,0))</f>
        <v/>
      </c>
      <c r="V1245">
        <f>IF($U1245=1,SUMPRODUCT(--($X$2:$X$1501&lt;$X1245))+1,"")</f>
        <v/>
      </c>
      <c r="W1245">
        <f>IF($B1245="","",IF(OR($S1245=TRUE(),$S1245="TRUE"),1,0))</f>
        <v/>
      </c>
      <c r="X1245">
        <f>IF($U1245=1,IFERROR(IF(VALUE($B1245)&lt;100000000,VALUE($B1245),1000000000),IFERROR(IF(VALUE(MID($B1245,2,20))&lt;100000000,VALUE(MID($B1245,2,20)),1000000000),1000000000))+ROW()/100000,"")</f>
        <v/>
      </c>
    </row>
    <row r="1246">
      <c r="A1246">
        <f>IF($B1246="","",IFERROR(IF(INDEX('Per Invoice'!$C$2:$C$401,MATCH($B1246,'Per Invoice'!$A$2:$A$401,0))=0,"",INDEX('Per Invoice'!$C$2:$C$401,MATCH($B1246,'Per Invoice'!$A$2:$A$401,0))),""))</f>
        <v/>
      </c>
      <c r="G1246" s="7">
        <f>IF($B1246="","",F1246*L1246/100)</f>
        <v/>
      </c>
      <c r="K1246" s="7" t="n"/>
      <c r="L1246" s="7" t="n"/>
      <c r="M1246" s="7">
        <f>IF($B1246="","",L1246*T1246/100)</f>
        <v/>
      </c>
      <c r="N1246" s="7">
        <f>IF($B1246="","",L1246-M1246)</f>
        <v/>
      </c>
      <c r="O1246" s="7">
        <f>IF($B1246="","",N1246-G1246)</f>
        <v/>
      </c>
      <c r="R1246" s="14" t="n"/>
      <c r="T1246">
        <f>IF($B1246="","",IF($W1246=1,Settings!$C$6,Settings!$C$7)*100)</f>
        <v/>
      </c>
      <c r="U1246">
        <f>IF($B1246="","",IF(COUNTIF($B$2:$B1246,$B1246)=1,1,0))</f>
        <v/>
      </c>
      <c r="V1246">
        <f>IF($U1246=1,SUMPRODUCT(--($X$2:$X$1501&lt;$X1246))+1,"")</f>
        <v/>
      </c>
      <c r="W1246">
        <f>IF($B1246="","",IF(OR($S1246=TRUE(),$S1246="TRUE"),1,0))</f>
        <v/>
      </c>
      <c r="X1246">
        <f>IF($U1246=1,IFERROR(IF(VALUE($B1246)&lt;100000000,VALUE($B1246),1000000000),IFERROR(IF(VALUE(MID($B1246,2,20))&lt;100000000,VALUE(MID($B1246,2,20)),1000000000),1000000000))+ROW()/100000,"")</f>
        <v/>
      </c>
    </row>
    <row r="1247">
      <c r="A1247">
        <f>IF($B1247="","",IFERROR(IF(INDEX('Per Invoice'!$C$2:$C$401,MATCH($B1247,'Per Invoice'!$A$2:$A$401,0))=0,"",INDEX('Per Invoice'!$C$2:$C$401,MATCH($B1247,'Per Invoice'!$A$2:$A$401,0))),""))</f>
        <v/>
      </c>
      <c r="G1247" s="7">
        <f>IF($B1247="","",F1247*L1247/100)</f>
        <v/>
      </c>
      <c r="K1247" s="7" t="n"/>
      <c r="L1247" s="7" t="n"/>
      <c r="M1247" s="7">
        <f>IF($B1247="","",L1247*T1247/100)</f>
        <v/>
      </c>
      <c r="N1247" s="7">
        <f>IF($B1247="","",L1247-M1247)</f>
        <v/>
      </c>
      <c r="O1247" s="7">
        <f>IF($B1247="","",N1247-G1247)</f>
        <v/>
      </c>
      <c r="R1247" s="14" t="n"/>
      <c r="T1247">
        <f>IF($B1247="","",IF($W1247=1,Settings!$C$6,Settings!$C$7)*100)</f>
        <v/>
      </c>
      <c r="U1247">
        <f>IF($B1247="","",IF(COUNTIF($B$2:$B1247,$B1247)=1,1,0))</f>
        <v/>
      </c>
      <c r="V1247">
        <f>IF($U1247=1,SUMPRODUCT(--($X$2:$X$1501&lt;$X1247))+1,"")</f>
        <v/>
      </c>
      <c r="W1247">
        <f>IF($B1247="","",IF(OR($S1247=TRUE(),$S1247="TRUE"),1,0))</f>
        <v/>
      </c>
      <c r="X1247">
        <f>IF($U1247=1,IFERROR(IF(VALUE($B1247)&lt;100000000,VALUE($B1247),1000000000),IFERROR(IF(VALUE(MID($B1247,2,20))&lt;100000000,VALUE(MID($B1247,2,20)),1000000000),1000000000))+ROW()/100000,"")</f>
        <v/>
      </c>
    </row>
    <row r="1248">
      <c r="A1248">
        <f>IF($B1248="","",IFERROR(IF(INDEX('Per Invoice'!$C$2:$C$401,MATCH($B1248,'Per Invoice'!$A$2:$A$401,0))=0,"",INDEX('Per Invoice'!$C$2:$C$401,MATCH($B1248,'Per Invoice'!$A$2:$A$401,0))),""))</f>
        <v/>
      </c>
      <c r="G1248" s="7">
        <f>IF($B1248="","",F1248*L1248/100)</f>
        <v/>
      </c>
      <c r="K1248" s="7" t="n"/>
      <c r="L1248" s="7" t="n"/>
      <c r="M1248" s="7">
        <f>IF($B1248="","",L1248*T1248/100)</f>
        <v/>
      </c>
      <c r="N1248" s="7">
        <f>IF($B1248="","",L1248-M1248)</f>
        <v/>
      </c>
      <c r="O1248" s="7">
        <f>IF($B1248="","",N1248-G1248)</f>
        <v/>
      </c>
      <c r="R1248" s="14" t="n"/>
      <c r="T1248">
        <f>IF($B1248="","",IF($W1248=1,Settings!$C$6,Settings!$C$7)*100)</f>
        <v/>
      </c>
      <c r="U1248">
        <f>IF($B1248="","",IF(COUNTIF($B$2:$B1248,$B1248)=1,1,0))</f>
        <v/>
      </c>
      <c r="V1248">
        <f>IF($U1248=1,SUMPRODUCT(--($X$2:$X$1501&lt;$X1248))+1,"")</f>
        <v/>
      </c>
      <c r="W1248">
        <f>IF($B1248="","",IF(OR($S1248=TRUE(),$S1248="TRUE"),1,0))</f>
        <v/>
      </c>
      <c r="X1248">
        <f>IF($U1248=1,IFERROR(IF(VALUE($B1248)&lt;100000000,VALUE($B1248),1000000000),IFERROR(IF(VALUE(MID($B1248,2,20))&lt;100000000,VALUE(MID($B1248,2,20)),1000000000),1000000000))+ROW()/100000,"")</f>
        <v/>
      </c>
    </row>
    <row r="1249">
      <c r="A1249">
        <f>IF($B1249="","",IFERROR(IF(INDEX('Per Invoice'!$C$2:$C$401,MATCH($B1249,'Per Invoice'!$A$2:$A$401,0))=0,"",INDEX('Per Invoice'!$C$2:$C$401,MATCH($B1249,'Per Invoice'!$A$2:$A$401,0))),""))</f>
        <v/>
      </c>
      <c r="G1249" s="7">
        <f>IF($B1249="","",F1249*L1249/100)</f>
        <v/>
      </c>
      <c r="K1249" s="7" t="n"/>
      <c r="L1249" s="7" t="n"/>
      <c r="M1249" s="7">
        <f>IF($B1249="","",L1249*T1249/100)</f>
        <v/>
      </c>
      <c r="N1249" s="7">
        <f>IF($B1249="","",L1249-M1249)</f>
        <v/>
      </c>
      <c r="O1249" s="7">
        <f>IF($B1249="","",N1249-G1249)</f>
        <v/>
      </c>
      <c r="R1249" s="14" t="n"/>
      <c r="T1249">
        <f>IF($B1249="","",IF($W1249=1,Settings!$C$6,Settings!$C$7)*100)</f>
        <v/>
      </c>
      <c r="U1249">
        <f>IF($B1249="","",IF(COUNTIF($B$2:$B1249,$B1249)=1,1,0))</f>
        <v/>
      </c>
      <c r="V1249">
        <f>IF($U1249=1,SUMPRODUCT(--($X$2:$X$1501&lt;$X1249))+1,"")</f>
        <v/>
      </c>
      <c r="W1249">
        <f>IF($B1249="","",IF(OR($S1249=TRUE(),$S1249="TRUE"),1,0))</f>
        <v/>
      </c>
      <c r="X1249">
        <f>IF($U1249=1,IFERROR(IF(VALUE($B1249)&lt;100000000,VALUE($B1249),1000000000),IFERROR(IF(VALUE(MID($B1249,2,20))&lt;100000000,VALUE(MID($B1249,2,20)),1000000000),1000000000))+ROW()/100000,"")</f>
        <v/>
      </c>
    </row>
    <row r="1250">
      <c r="A1250">
        <f>IF($B1250="","",IFERROR(IF(INDEX('Per Invoice'!$C$2:$C$401,MATCH($B1250,'Per Invoice'!$A$2:$A$401,0))=0,"",INDEX('Per Invoice'!$C$2:$C$401,MATCH($B1250,'Per Invoice'!$A$2:$A$401,0))),""))</f>
        <v/>
      </c>
      <c r="G1250" s="7">
        <f>IF($B1250="","",F1250*L1250/100)</f>
        <v/>
      </c>
      <c r="K1250" s="7" t="n"/>
      <c r="L1250" s="7" t="n"/>
      <c r="M1250" s="7">
        <f>IF($B1250="","",L1250*T1250/100)</f>
        <v/>
      </c>
      <c r="N1250" s="7">
        <f>IF($B1250="","",L1250-M1250)</f>
        <v/>
      </c>
      <c r="O1250" s="7">
        <f>IF($B1250="","",N1250-G1250)</f>
        <v/>
      </c>
      <c r="R1250" s="14" t="n"/>
      <c r="T1250">
        <f>IF($B1250="","",IF($W1250=1,Settings!$C$6,Settings!$C$7)*100)</f>
        <v/>
      </c>
      <c r="U1250">
        <f>IF($B1250="","",IF(COUNTIF($B$2:$B1250,$B1250)=1,1,0))</f>
        <v/>
      </c>
      <c r="V1250">
        <f>IF($U1250=1,SUMPRODUCT(--($X$2:$X$1501&lt;$X1250))+1,"")</f>
        <v/>
      </c>
      <c r="W1250">
        <f>IF($B1250="","",IF(OR($S1250=TRUE(),$S1250="TRUE"),1,0))</f>
        <v/>
      </c>
      <c r="X1250">
        <f>IF($U1250=1,IFERROR(IF(VALUE($B1250)&lt;100000000,VALUE($B1250),1000000000),IFERROR(IF(VALUE(MID($B1250,2,20))&lt;100000000,VALUE(MID($B1250,2,20)),1000000000),1000000000))+ROW()/100000,"")</f>
        <v/>
      </c>
    </row>
    <row r="1251">
      <c r="A1251">
        <f>IF($B1251="","",IFERROR(IF(INDEX('Per Invoice'!$C$2:$C$401,MATCH($B1251,'Per Invoice'!$A$2:$A$401,0))=0,"",INDEX('Per Invoice'!$C$2:$C$401,MATCH($B1251,'Per Invoice'!$A$2:$A$401,0))),""))</f>
        <v/>
      </c>
      <c r="G1251" s="7">
        <f>IF($B1251="","",F1251*L1251/100)</f>
        <v/>
      </c>
      <c r="K1251" s="7" t="n"/>
      <c r="L1251" s="7" t="n"/>
      <c r="M1251" s="7">
        <f>IF($B1251="","",L1251*T1251/100)</f>
        <v/>
      </c>
      <c r="N1251" s="7">
        <f>IF($B1251="","",L1251-M1251)</f>
        <v/>
      </c>
      <c r="O1251" s="7">
        <f>IF($B1251="","",N1251-G1251)</f>
        <v/>
      </c>
      <c r="R1251" s="14" t="n"/>
      <c r="T1251">
        <f>IF($B1251="","",IF($W1251=1,Settings!$C$6,Settings!$C$7)*100)</f>
        <v/>
      </c>
      <c r="U1251">
        <f>IF($B1251="","",IF(COUNTIF($B$2:$B1251,$B1251)=1,1,0))</f>
        <v/>
      </c>
      <c r="V1251">
        <f>IF($U1251=1,SUMPRODUCT(--($X$2:$X$1501&lt;$X1251))+1,"")</f>
        <v/>
      </c>
      <c r="W1251">
        <f>IF($B1251="","",IF(OR($S1251=TRUE(),$S1251="TRUE"),1,0))</f>
        <v/>
      </c>
      <c r="X1251">
        <f>IF($U1251=1,IFERROR(IF(VALUE($B1251)&lt;100000000,VALUE($B1251),1000000000),IFERROR(IF(VALUE(MID($B1251,2,20))&lt;100000000,VALUE(MID($B1251,2,20)),1000000000),1000000000))+ROW()/100000,"")</f>
        <v/>
      </c>
    </row>
    <row r="1252">
      <c r="A1252">
        <f>IF($B1252="","",IFERROR(IF(INDEX('Per Invoice'!$C$2:$C$401,MATCH($B1252,'Per Invoice'!$A$2:$A$401,0))=0,"",INDEX('Per Invoice'!$C$2:$C$401,MATCH($B1252,'Per Invoice'!$A$2:$A$401,0))),""))</f>
        <v/>
      </c>
      <c r="G1252" s="7">
        <f>IF($B1252="","",F1252*L1252/100)</f>
        <v/>
      </c>
      <c r="K1252" s="7" t="n"/>
      <c r="L1252" s="7" t="n"/>
      <c r="M1252" s="7">
        <f>IF($B1252="","",L1252*T1252/100)</f>
        <v/>
      </c>
      <c r="N1252" s="7">
        <f>IF($B1252="","",L1252-M1252)</f>
        <v/>
      </c>
      <c r="O1252" s="7">
        <f>IF($B1252="","",N1252-G1252)</f>
        <v/>
      </c>
      <c r="R1252" s="14" t="n"/>
      <c r="T1252">
        <f>IF($B1252="","",IF($W1252=1,Settings!$C$6,Settings!$C$7)*100)</f>
        <v/>
      </c>
      <c r="U1252">
        <f>IF($B1252="","",IF(COUNTIF($B$2:$B1252,$B1252)=1,1,0))</f>
        <v/>
      </c>
      <c r="V1252">
        <f>IF($U1252=1,SUMPRODUCT(--($X$2:$X$1501&lt;$X1252))+1,"")</f>
        <v/>
      </c>
      <c r="W1252">
        <f>IF($B1252="","",IF(OR($S1252=TRUE(),$S1252="TRUE"),1,0))</f>
        <v/>
      </c>
      <c r="X1252">
        <f>IF($U1252=1,IFERROR(IF(VALUE($B1252)&lt;100000000,VALUE($B1252),1000000000),IFERROR(IF(VALUE(MID($B1252,2,20))&lt;100000000,VALUE(MID($B1252,2,20)),1000000000),1000000000))+ROW()/100000,"")</f>
        <v/>
      </c>
    </row>
    <row r="1253">
      <c r="A1253">
        <f>IF($B1253="","",IFERROR(IF(INDEX('Per Invoice'!$C$2:$C$401,MATCH($B1253,'Per Invoice'!$A$2:$A$401,0))=0,"",INDEX('Per Invoice'!$C$2:$C$401,MATCH($B1253,'Per Invoice'!$A$2:$A$401,0))),""))</f>
        <v/>
      </c>
      <c r="G1253" s="7">
        <f>IF($B1253="","",F1253*L1253/100)</f>
        <v/>
      </c>
      <c r="K1253" s="7" t="n"/>
      <c r="L1253" s="7" t="n"/>
      <c r="M1253" s="7">
        <f>IF($B1253="","",L1253*T1253/100)</f>
        <v/>
      </c>
      <c r="N1253" s="7">
        <f>IF($B1253="","",L1253-M1253)</f>
        <v/>
      </c>
      <c r="O1253" s="7">
        <f>IF($B1253="","",N1253-G1253)</f>
        <v/>
      </c>
      <c r="R1253" s="14" t="n"/>
      <c r="T1253">
        <f>IF($B1253="","",IF($W1253=1,Settings!$C$6,Settings!$C$7)*100)</f>
        <v/>
      </c>
      <c r="U1253">
        <f>IF($B1253="","",IF(COUNTIF($B$2:$B1253,$B1253)=1,1,0))</f>
        <v/>
      </c>
      <c r="V1253">
        <f>IF($U1253=1,SUMPRODUCT(--($X$2:$X$1501&lt;$X1253))+1,"")</f>
        <v/>
      </c>
      <c r="W1253">
        <f>IF($B1253="","",IF(OR($S1253=TRUE(),$S1253="TRUE"),1,0))</f>
        <v/>
      </c>
      <c r="X1253">
        <f>IF($U1253=1,IFERROR(IF(VALUE($B1253)&lt;100000000,VALUE($B1253),1000000000),IFERROR(IF(VALUE(MID($B1253,2,20))&lt;100000000,VALUE(MID($B1253,2,20)),1000000000),1000000000))+ROW()/100000,"")</f>
        <v/>
      </c>
    </row>
    <row r="1254">
      <c r="A1254">
        <f>IF($B1254="","",IFERROR(IF(INDEX('Per Invoice'!$C$2:$C$401,MATCH($B1254,'Per Invoice'!$A$2:$A$401,0))=0,"",INDEX('Per Invoice'!$C$2:$C$401,MATCH($B1254,'Per Invoice'!$A$2:$A$401,0))),""))</f>
        <v/>
      </c>
      <c r="G1254" s="7">
        <f>IF($B1254="","",F1254*L1254/100)</f>
        <v/>
      </c>
      <c r="K1254" s="7" t="n"/>
      <c r="L1254" s="7" t="n"/>
      <c r="M1254" s="7">
        <f>IF($B1254="","",L1254*T1254/100)</f>
        <v/>
      </c>
      <c r="N1254" s="7">
        <f>IF($B1254="","",L1254-M1254)</f>
        <v/>
      </c>
      <c r="O1254" s="7">
        <f>IF($B1254="","",N1254-G1254)</f>
        <v/>
      </c>
      <c r="R1254" s="14" t="n"/>
      <c r="T1254">
        <f>IF($B1254="","",IF($W1254=1,Settings!$C$6,Settings!$C$7)*100)</f>
        <v/>
      </c>
      <c r="U1254">
        <f>IF($B1254="","",IF(COUNTIF($B$2:$B1254,$B1254)=1,1,0))</f>
        <v/>
      </c>
      <c r="V1254">
        <f>IF($U1254=1,SUMPRODUCT(--($X$2:$X$1501&lt;$X1254))+1,"")</f>
        <v/>
      </c>
      <c r="W1254">
        <f>IF($B1254="","",IF(OR($S1254=TRUE(),$S1254="TRUE"),1,0))</f>
        <v/>
      </c>
      <c r="X1254">
        <f>IF($U1254=1,IFERROR(IF(VALUE($B1254)&lt;100000000,VALUE($B1254),1000000000),IFERROR(IF(VALUE(MID($B1254,2,20))&lt;100000000,VALUE(MID($B1254,2,20)),1000000000),1000000000))+ROW()/100000,"")</f>
        <v/>
      </c>
    </row>
    <row r="1255">
      <c r="A1255">
        <f>IF($B1255="","",IFERROR(IF(INDEX('Per Invoice'!$C$2:$C$401,MATCH($B1255,'Per Invoice'!$A$2:$A$401,0))=0,"",INDEX('Per Invoice'!$C$2:$C$401,MATCH($B1255,'Per Invoice'!$A$2:$A$401,0))),""))</f>
        <v/>
      </c>
      <c r="G1255" s="7">
        <f>IF($B1255="","",F1255*L1255/100)</f>
        <v/>
      </c>
      <c r="K1255" s="7" t="n"/>
      <c r="L1255" s="7" t="n"/>
      <c r="M1255" s="7">
        <f>IF($B1255="","",L1255*T1255/100)</f>
        <v/>
      </c>
      <c r="N1255" s="7">
        <f>IF($B1255="","",L1255-M1255)</f>
        <v/>
      </c>
      <c r="O1255" s="7">
        <f>IF($B1255="","",N1255-G1255)</f>
        <v/>
      </c>
      <c r="R1255" s="14" t="n"/>
      <c r="T1255">
        <f>IF($B1255="","",IF($W1255=1,Settings!$C$6,Settings!$C$7)*100)</f>
        <v/>
      </c>
      <c r="U1255">
        <f>IF($B1255="","",IF(COUNTIF($B$2:$B1255,$B1255)=1,1,0))</f>
        <v/>
      </c>
      <c r="V1255">
        <f>IF($U1255=1,SUMPRODUCT(--($X$2:$X$1501&lt;$X1255))+1,"")</f>
        <v/>
      </c>
      <c r="W1255">
        <f>IF($B1255="","",IF(OR($S1255=TRUE(),$S1255="TRUE"),1,0))</f>
        <v/>
      </c>
      <c r="X1255">
        <f>IF($U1255=1,IFERROR(IF(VALUE($B1255)&lt;100000000,VALUE($B1255),1000000000),IFERROR(IF(VALUE(MID($B1255,2,20))&lt;100000000,VALUE(MID($B1255,2,20)),1000000000),1000000000))+ROW()/100000,"")</f>
        <v/>
      </c>
    </row>
    <row r="1256">
      <c r="A1256">
        <f>IF($B1256="","",IFERROR(IF(INDEX('Per Invoice'!$C$2:$C$401,MATCH($B1256,'Per Invoice'!$A$2:$A$401,0))=0,"",INDEX('Per Invoice'!$C$2:$C$401,MATCH($B1256,'Per Invoice'!$A$2:$A$401,0))),""))</f>
        <v/>
      </c>
      <c r="G1256" s="7">
        <f>IF($B1256="","",F1256*L1256/100)</f>
        <v/>
      </c>
      <c r="K1256" s="7" t="n"/>
      <c r="L1256" s="7" t="n"/>
      <c r="M1256" s="7">
        <f>IF($B1256="","",L1256*T1256/100)</f>
        <v/>
      </c>
      <c r="N1256" s="7">
        <f>IF($B1256="","",L1256-M1256)</f>
        <v/>
      </c>
      <c r="O1256" s="7">
        <f>IF($B1256="","",N1256-G1256)</f>
        <v/>
      </c>
      <c r="R1256" s="14" t="n"/>
      <c r="T1256">
        <f>IF($B1256="","",IF($W1256=1,Settings!$C$6,Settings!$C$7)*100)</f>
        <v/>
      </c>
      <c r="U1256">
        <f>IF($B1256="","",IF(COUNTIF($B$2:$B1256,$B1256)=1,1,0))</f>
        <v/>
      </c>
      <c r="V1256">
        <f>IF($U1256=1,SUMPRODUCT(--($X$2:$X$1501&lt;$X1256))+1,"")</f>
        <v/>
      </c>
      <c r="W1256">
        <f>IF($B1256="","",IF(OR($S1256=TRUE(),$S1256="TRUE"),1,0))</f>
        <v/>
      </c>
      <c r="X1256">
        <f>IF($U1256=1,IFERROR(IF(VALUE($B1256)&lt;100000000,VALUE($B1256),1000000000),IFERROR(IF(VALUE(MID($B1256,2,20))&lt;100000000,VALUE(MID($B1256,2,20)),1000000000),1000000000))+ROW()/100000,"")</f>
        <v/>
      </c>
    </row>
    <row r="1257">
      <c r="A1257">
        <f>IF($B1257="","",IFERROR(IF(INDEX('Per Invoice'!$C$2:$C$401,MATCH($B1257,'Per Invoice'!$A$2:$A$401,0))=0,"",INDEX('Per Invoice'!$C$2:$C$401,MATCH($B1257,'Per Invoice'!$A$2:$A$401,0))),""))</f>
        <v/>
      </c>
      <c r="G1257" s="7">
        <f>IF($B1257="","",F1257*L1257/100)</f>
        <v/>
      </c>
      <c r="K1257" s="7" t="n"/>
      <c r="L1257" s="7" t="n"/>
      <c r="M1257" s="7">
        <f>IF($B1257="","",L1257*T1257/100)</f>
        <v/>
      </c>
      <c r="N1257" s="7">
        <f>IF($B1257="","",L1257-M1257)</f>
        <v/>
      </c>
      <c r="O1257" s="7">
        <f>IF($B1257="","",N1257-G1257)</f>
        <v/>
      </c>
      <c r="R1257" s="14" t="n"/>
      <c r="T1257">
        <f>IF($B1257="","",IF($W1257=1,Settings!$C$6,Settings!$C$7)*100)</f>
        <v/>
      </c>
      <c r="U1257">
        <f>IF($B1257="","",IF(COUNTIF($B$2:$B1257,$B1257)=1,1,0))</f>
        <v/>
      </c>
      <c r="V1257">
        <f>IF($U1257=1,SUMPRODUCT(--($X$2:$X$1501&lt;$X1257))+1,"")</f>
        <v/>
      </c>
      <c r="W1257">
        <f>IF($B1257="","",IF(OR($S1257=TRUE(),$S1257="TRUE"),1,0))</f>
        <v/>
      </c>
      <c r="X1257">
        <f>IF($U1257=1,IFERROR(IF(VALUE($B1257)&lt;100000000,VALUE($B1257),1000000000),IFERROR(IF(VALUE(MID($B1257,2,20))&lt;100000000,VALUE(MID($B1257,2,20)),1000000000),1000000000))+ROW()/100000,"")</f>
        <v/>
      </c>
    </row>
    <row r="1258">
      <c r="A1258">
        <f>IF($B1258="","",IFERROR(IF(INDEX('Per Invoice'!$C$2:$C$401,MATCH($B1258,'Per Invoice'!$A$2:$A$401,0))=0,"",INDEX('Per Invoice'!$C$2:$C$401,MATCH($B1258,'Per Invoice'!$A$2:$A$401,0))),""))</f>
        <v/>
      </c>
      <c r="G1258" s="7">
        <f>IF($B1258="","",F1258*L1258/100)</f>
        <v/>
      </c>
      <c r="K1258" s="7" t="n"/>
      <c r="L1258" s="7" t="n"/>
      <c r="M1258" s="7">
        <f>IF($B1258="","",L1258*T1258/100)</f>
        <v/>
      </c>
      <c r="N1258" s="7">
        <f>IF($B1258="","",L1258-M1258)</f>
        <v/>
      </c>
      <c r="O1258" s="7">
        <f>IF($B1258="","",N1258-G1258)</f>
        <v/>
      </c>
      <c r="R1258" s="14" t="n"/>
      <c r="T1258">
        <f>IF($B1258="","",IF($W1258=1,Settings!$C$6,Settings!$C$7)*100)</f>
        <v/>
      </c>
      <c r="U1258">
        <f>IF($B1258="","",IF(COUNTIF($B$2:$B1258,$B1258)=1,1,0))</f>
        <v/>
      </c>
      <c r="V1258">
        <f>IF($U1258=1,SUMPRODUCT(--($X$2:$X$1501&lt;$X1258))+1,"")</f>
        <v/>
      </c>
      <c r="W1258">
        <f>IF($B1258="","",IF(OR($S1258=TRUE(),$S1258="TRUE"),1,0))</f>
        <v/>
      </c>
      <c r="X1258">
        <f>IF($U1258=1,IFERROR(IF(VALUE($B1258)&lt;100000000,VALUE($B1258),1000000000),IFERROR(IF(VALUE(MID($B1258,2,20))&lt;100000000,VALUE(MID($B1258,2,20)),1000000000),1000000000))+ROW()/100000,"")</f>
        <v/>
      </c>
    </row>
    <row r="1259">
      <c r="A1259">
        <f>IF($B1259="","",IFERROR(IF(INDEX('Per Invoice'!$C$2:$C$401,MATCH($B1259,'Per Invoice'!$A$2:$A$401,0))=0,"",INDEX('Per Invoice'!$C$2:$C$401,MATCH($B1259,'Per Invoice'!$A$2:$A$401,0))),""))</f>
        <v/>
      </c>
      <c r="G1259" s="7">
        <f>IF($B1259="","",F1259*L1259/100)</f>
        <v/>
      </c>
      <c r="K1259" s="7" t="n"/>
      <c r="L1259" s="7" t="n"/>
      <c r="M1259" s="7">
        <f>IF($B1259="","",L1259*T1259/100)</f>
        <v/>
      </c>
      <c r="N1259" s="7">
        <f>IF($B1259="","",L1259-M1259)</f>
        <v/>
      </c>
      <c r="O1259" s="7">
        <f>IF($B1259="","",N1259-G1259)</f>
        <v/>
      </c>
      <c r="R1259" s="14" t="n"/>
      <c r="T1259">
        <f>IF($B1259="","",IF($W1259=1,Settings!$C$6,Settings!$C$7)*100)</f>
        <v/>
      </c>
      <c r="U1259">
        <f>IF($B1259="","",IF(COUNTIF($B$2:$B1259,$B1259)=1,1,0))</f>
        <v/>
      </c>
      <c r="V1259">
        <f>IF($U1259=1,SUMPRODUCT(--($X$2:$X$1501&lt;$X1259))+1,"")</f>
        <v/>
      </c>
      <c r="W1259">
        <f>IF($B1259="","",IF(OR($S1259=TRUE(),$S1259="TRUE"),1,0))</f>
        <v/>
      </c>
      <c r="X1259">
        <f>IF($U1259=1,IFERROR(IF(VALUE($B1259)&lt;100000000,VALUE($B1259),1000000000),IFERROR(IF(VALUE(MID($B1259,2,20))&lt;100000000,VALUE(MID($B1259,2,20)),1000000000),1000000000))+ROW()/100000,"")</f>
        <v/>
      </c>
    </row>
    <row r="1260">
      <c r="A1260">
        <f>IF($B1260="","",IFERROR(IF(INDEX('Per Invoice'!$C$2:$C$401,MATCH($B1260,'Per Invoice'!$A$2:$A$401,0))=0,"",INDEX('Per Invoice'!$C$2:$C$401,MATCH($B1260,'Per Invoice'!$A$2:$A$401,0))),""))</f>
        <v/>
      </c>
      <c r="G1260" s="7">
        <f>IF($B1260="","",F1260*L1260/100)</f>
        <v/>
      </c>
      <c r="K1260" s="7" t="n"/>
      <c r="L1260" s="7" t="n"/>
      <c r="M1260" s="7">
        <f>IF($B1260="","",L1260*T1260/100)</f>
        <v/>
      </c>
      <c r="N1260" s="7">
        <f>IF($B1260="","",L1260-M1260)</f>
        <v/>
      </c>
      <c r="O1260" s="7">
        <f>IF($B1260="","",N1260-G1260)</f>
        <v/>
      </c>
      <c r="R1260" s="14" t="n"/>
      <c r="T1260">
        <f>IF($B1260="","",IF($W1260=1,Settings!$C$6,Settings!$C$7)*100)</f>
        <v/>
      </c>
      <c r="U1260">
        <f>IF($B1260="","",IF(COUNTIF($B$2:$B1260,$B1260)=1,1,0))</f>
        <v/>
      </c>
      <c r="V1260">
        <f>IF($U1260=1,SUMPRODUCT(--($X$2:$X$1501&lt;$X1260))+1,"")</f>
        <v/>
      </c>
      <c r="W1260">
        <f>IF($B1260="","",IF(OR($S1260=TRUE(),$S1260="TRUE"),1,0))</f>
        <v/>
      </c>
      <c r="X1260">
        <f>IF($U1260=1,IFERROR(IF(VALUE($B1260)&lt;100000000,VALUE($B1260),1000000000),IFERROR(IF(VALUE(MID($B1260,2,20))&lt;100000000,VALUE(MID($B1260,2,20)),1000000000),1000000000))+ROW()/100000,"")</f>
        <v/>
      </c>
    </row>
    <row r="1261">
      <c r="A1261">
        <f>IF($B1261="","",IFERROR(IF(INDEX('Per Invoice'!$C$2:$C$401,MATCH($B1261,'Per Invoice'!$A$2:$A$401,0))=0,"",INDEX('Per Invoice'!$C$2:$C$401,MATCH($B1261,'Per Invoice'!$A$2:$A$401,0))),""))</f>
        <v/>
      </c>
      <c r="G1261" s="7">
        <f>IF($B1261="","",F1261*L1261/100)</f>
        <v/>
      </c>
      <c r="K1261" s="7" t="n"/>
      <c r="L1261" s="7" t="n"/>
      <c r="M1261" s="7">
        <f>IF($B1261="","",L1261*T1261/100)</f>
        <v/>
      </c>
      <c r="N1261" s="7">
        <f>IF($B1261="","",L1261-M1261)</f>
        <v/>
      </c>
      <c r="O1261" s="7">
        <f>IF($B1261="","",N1261-G1261)</f>
        <v/>
      </c>
      <c r="R1261" s="14" t="n"/>
      <c r="T1261">
        <f>IF($B1261="","",IF($W1261=1,Settings!$C$6,Settings!$C$7)*100)</f>
        <v/>
      </c>
      <c r="U1261">
        <f>IF($B1261="","",IF(COUNTIF($B$2:$B1261,$B1261)=1,1,0))</f>
        <v/>
      </c>
      <c r="V1261">
        <f>IF($U1261=1,SUMPRODUCT(--($X$2:$X$1501&lt;$X1261))+1,"")</f>
        <v/>
      </c>
      <c r="W1261">
        <f>IF($B1261="","",IF(OR($S1261=TRUE(),$S1261="TRUE"),1,0))</f>
        <v/>
      </c>
      <c r="X1261">
        <f>IF($U1261=1,IFERROR(IF(VALUE($B1261)&lt;100000000,VALUE($B1261),1000000000),IFERROR(IF(VALUE(MID($B1261,2,20))&lt;100000000,VALUE(MID($B1261,2,20)),1000000000),1000000000))+ROW()/100000,"")</f>
        <v/>
      </c>
    </row>
    <row r="1262">
      <c r="A1262">
        <f>IF($B1262="","",IFERROR(IF(INDEX('Per Invoice'!$C$2:$C$401,MATCH($B1262,'Per Invoice'!$A$2:$A$401,0))=0,"",INDEX('Per Invoice'!$C$2:$C$401,MATCH($B1262,'Per Invoice'!$A$2:$A$401,0))),""))</f>
        <v/>
      </c>
      <c r="G1262" s="7">
        <f>IF($B1262="","",F1262*L1262/100)</f>
        <v/>
      </c>
      <c r="K1262" s="7" t="n"/>
      <c r="L1262" s="7" t="n"/>
      <c r="M1262" s="7">
        <f>IF($B1262="","",L1262*T1262/100)</f>
        <v/>
      </c>
      <c r="N1262" s="7">
        <f>IF($B1262="","",L1262-M1262)</f>
        <v/>
      </c>
      <c r="O1262" s="7">
        <f>IF($B1262="","",N1262-G1262)</f>
        <v/>
      </c>
      <c r="R1262" s="14" t="n"/>
      <c r="T1262">
        <f>IF($B1262="","",IF($W1262=1,Settings!$C$6,Settings!$C$7)*100)</f>
        <v/>
      </c>
      <c r="U1262">
        <f>IF($B1262="","",IF(COUNTIF($B$2:$B1262,$B1262)=1,1,0))</f>
        <v/>
      </c>
      <c r="V1262">
        <f>IF($U1262=1,SUMPRODUCT(--($X$2:$X$1501&lt;$X1262))+1,"")</f>
        <v/>
      </c>
      <c r="W1262">
        <f>IF($B1262="","",IF(OR($S1262=TRUE(),$S1262="TRUE"),1,0))</f>
        <v/>
      </c>
      <c r="X1262">
        <f>IF($U1262=1,IFERROR(IF(VALUE($B1262)&lt;100000000,VALUE($B1262),1000000000),IFERROR(IF(VALUE(MID($B1262,2,20))&lt;100000000,VALUE(MID($B1262,2,20)),1000000000),1000000000))+ROW()/100000,"")</f>
        <v/>
      </c>
    </row>
    <row r="1263">
      <c r="A1263">
        <f>IF($B1263="","",IFERROR(IF(INDEX('Per Invoice'!$C$2:$C$401,MATCH($B1263,'Per Invoice'!$A$2:$A$401,0))=0,"",INDEX('Per Invoice'!$C$2:$C$401,MATCH($B1263,'Per Invoice'!$A$2:$A$401,0))),""))</f>
        <v/>
      </c>
      <c r="G1263" s="7">
        <f>IF($B1263="","",F1263*L1263/100)</f>
        <v/>
      </c>
      <c r="K1263" s="7" t="n"/>
      <c r="L1263" s="7" t="n"/>
      <c r="M1263" s="7">
        <f>IF($B1263="","",L1263*T1263/100)</f>
        <v/>
      </c>
      <c r="N1263" s="7">
        <f>IF($B1263="","",L1263-M1263)</f>
        <v/>
      </c>
      <c r="O1263" s="7">
        <f>IF($B1263="","",N1263-G1263)</f>
        <v/>
      </c>
      <c r="R1263" s="14" t="n"/>
      <c r="T1263">
        <f>IF($B1263="","",IF($W1263=1,Settings!$C$6,Settings!$C$7)*100)</f>
        <v/>
      </c>
      <c r="U1263">
        <f>IF($B1263="","",IF(COUNTIF($B$2:$B1263,$B1263)=1,1,0))</f>
        <v/>
      </c>
      <c r="V1263">
        <f>IF($U1263=1,SUMPRODUCT(--($X$2:$X$1501&lt;$X1263))+1,"")</f>
        <v/>
      </c>
      <c r="W1263">
        <f>IF($B1263="","",IF(OR($S1263=TRUE(),$S1263="TRUE"),1,0))</f>
        <v/>
      </c>
      <c r="X1263">
        <f>IF($U1263=1,IFERROR(IF(VALUE($B1263)&lt;100000000,VALUE($B1263),1000000000),IFERROR(IF(VALUE(MID($B1263,2,20))&lt;100000000,VALUE(MID($B1263,2,20)),1000000000),1000000000))+ROW()/100000,"")</f>
        <v/>
      </c>
    </row>
    <row r="1264">
      <c r="A1264">
        <f>IF($B1264="","",IFERROR(IF(INDEX('Per Invoice'!$C$2:$C$401,MATCH($B1264,'Per Invoice'!$A$2:$A$401,0))=0,"",INDEX('Per Invoice'!$C$2:$C$401,MATCH($B1264,'Per Invoice'!$A$2:$A$401,0))),""))</f>
        <v/>
      </c>
      <c r="G1264" s="7">
        <f>IF($B1264="","",F1264*L1264/100)</f>
        <v/>
      </c>
      <c r="K1264" s="7" t="n"/>
      <c r="L1264" s="7" t="n"/>
      <c r="M1264" s="7">
        <f>IF($B1264="","",L1264*T1264/100)</f>
        <v/>
      </c>
      <c r="N1264" s="7">
        <f>IF($B1264="","",L1264-M1264)</f>
        <v/>
      </c>
      <c r="O1264" s="7">
        <f>IF($B1264="","",N1264-G1264)</f>
        <v/>
      </c>
      <c r="R1264" s="14" t="n"/>
      <c r="T1264">
        <f>IF($B1264="","",IF($W1264=1,Settings!$C$6,Settings!$C$7)*100)</f>
        <v/>
      </c>
      <c r="U1264">
        <f>IF($B1264="","",IF(COUNTIF($B$2:$B1264,$B1264)=1,1,0))</f>
        <v/>
      </c>
      <c r="V1264">
        <f>IF($U1264=1,SUMPRODUCT(--($X$2:$X$1501&lt;$X1264))+1,"")</f>
        <v/>
      </c>
      <c r="W1264">
        <f>IF($B1264="","",IF(OR($S1264=TRUE(),$S1264="TRUE"),1,0))</f>
        <v/>
      </c>
      <c r="X1264">
        <f>IF($U1264=1,IFERROR(IF(VALUE($B1264)&lt;100000000,VALUE($B1264),1000000000),IFERROR(IF(VALUE(MID($B1264,2,20))&lt;100000000,VALUE(MID($B1264,2,20)),1000000000),1000000000))+ROW()/100000,"")</f>
        <v/>
      </c>
    </row>
    <row r="1265">
      <c r="A1265">
        <f>IF($B1265="","",IFERROR(IF(INDEX('Per Invoice'!$C$2:$C$401,MATCH($B1265,'Per Invoice'!$A$2:$A$401,0))=0,"",INDEX('Per Invoice'!$C$2:$C$401,MATCH($B1265,'Per Invoice'!$A$2:$A$401,0))),""))</f>
        <v/>
      </c>
      <c r="G1265" s="7">
        <f>IF($B1265="","",F1265*L1265/100)</f>
        <v/>
      </c>
      <c r="K1265" s="7" t="n"/>
      <c r="L1265" s="7" t="n"/>
      <c r="M1265" s="7">
        <f>IF($B1265="","",L1265*T1265/100)</f>
        <v/>
      </c>
      <c r="N1265" s="7">
        <f>IF($B1265="","",L1265-M1265)</f>
        <v/>
      </c>
      <c r="O1265" s="7">
        <f>IF($B1265="","",N1265-G1265)</f>
        <v/>
      </c>
      <c r="R1265" s="14" t="n"/>
      <c r="T1265">
        <f>IF($B1265="","",IF($W1265=1,Settings!$C$6,Settings!$C$7)*100)</f>
        <v/>
      </c>
      <c r="U1265">
        <f>IF($B1265="","",IF(COUNTIF($B$2:$B1265,$B1265)=1,1,0))</f>
        <v/>
      </c>
      <c r="V1265">
        <f>IF($U1265=1,SUMPRODUCT(--($X$2:$X$1501&lt;$X1265))+1,"")</f>
        <v/>
      </c>
      <c r="W1265">
        <f>IF($B1265="","",IF(OR($S1265=TRUE(),$S1265="TRUE"),1,0))</f>
        <v/>
      </c>
      <c r="X1265">
        <f>IF($U1265=1,IFERROR(IF(VALUE($B1265)&lt;100000000,VALUE($B1265),1000000000),IFERROR(IF(VALUE(MID($B1265,2,20))&lt;100000000,VALUE(MID($B1265,2,20)),1000000000),1000000000))+ROW()/100000,"")</f>
        <v/>
      </c>
    </row>
    <row r="1266">
      <c r="A1266">
        <f>IF($B1266="","",IFERROR(IF(INDEX('Per Invoice'!$C$2:$C$401,MATCH($B1266,'Per Invoice'!$A$2:$A$401,0))=0,"",INDEX('Per Invoice'!$C$2:$C$401,MATCH($B1266,'Per Invoice'!$A$2:$A$401,0))),""))</f>
        <v/>
      </c>
      <c r="G1266" s="7">
        <f>IF($B1266="","",F1266*L1266/100)</f>
        <v/>
      </c>
      <c r="K1266" s="7" t="n"/>
      <c r="L1266" s="7" t="n"/>
      <c r="M1266" s="7">
        <f>IF($B1266="","",L1266*T1266/100)</f>
        <v/>
      </c>
      <c r="N1266" s="7">
        <f>IF($B1266="","",L1266-M1266)</f>
        <v/>
      </c>
      <c r="O1266" s="7">
        <f>IF($B1266="","",N1266-G1266)</f>
        <v/>
      </c>
      <c r="R1266" s="14" t="n"/>
      <c r="T1266">
        <f>IF($B1266="","",IF($W1266=1,Settings!$C$6,Settings!$C$7)*100)</f>
        <v/>
      </c>
      <c r="U1266">
        <f>IF($B1266="","",IF(COUNTIF($B$2:$B1266,$B1266)=1,1,0))</f>
        <v/>
      </c>
      <c r="V1266">
        <f>IF($U1266=1,SUMPRODUCT(--($X$2:$X$1501&lt;$X1266))+1,"")</f>
        <v/>
      </c>
      <c r="W1266">
        <f>IF($B1266="","",IF(OR($S1266=TRUE(),$S1266="TRUE"),1,0))</f>
        <v/>
      </c>
      <c r="X1266">
        <f>IF($U1266=1,IFERROR(IF(VALUE($B1266)&lt;100000000,VALUE($B1266),1000000000),IFERROR(IF(VALUE(MID($B1266,2,20))&lt;100000000,VALUE(MID($B1266,2,20)),1000000000),1000000000))+ROW()/100000,"")</f>
        <v/>
      </c>
    </row>
    <row r="1267">
      <c r="A1267">
        <f>IF($B1267="","",IFERROR(IF(INDEX('Per Invoice'!$C$2:$C$401,MATCH($B1267,'Per Invoice'!$A$2:$A$401,0))=0,"",INDEX('Per Invoice'!$C$2:$C$401,MATCH($B1267,'Per Invoice'!$A$2:$A$401,0))),""))</f>
        <v/>
      </c>
      <c r="G1267" s="7">
        <f>IF($B1267="","",F1267*L1267/100)</f>
        <v/>
      </c>
      <c r="K1267" s="7" t="n"/>
      <c r="L1267" s="7" t="n"/>
      <c r="M1267" s="7">
        <f>IF($B1267="","",L1267*T1267/100)</f>
        <v/>
      </c>
      <c r="N1267" s="7">
        <f>IF($B1267="","",L1267-M1267)</f>
        <v/>
      </c>
      <c r="O1267" s="7">
        <f>IF($B1267="","",N1267-G1267)</f>
        <v/>
      </c>
      <c r="R1267" s="14" t="n"/>
      <c r="T1267">
        <f>IF($B1267="","",IF($W1267=1,Settings!$C$6,Settings!$C$7)*100)</f>
        <v/>
      </c>
      <c r="U1267">
        <f>IF($B1267="","",IF(COUNTIF($B$2:$B1267,$B1267)=1,1,0))</f>
        <v/>
      </c>
      <c r="V1267">
        <f>IF($U1267=1,SUMPRODUCT(--($X$2:$X$1501&lt;$X1267))+1,"")</f>
        <v/>
      </c>
      <c r="W1267">
        <f>IF($B1267="","",IF(OR($S1267=TRUE(),$S1267="TRUE"),1,0))</f>
        <v/>
      </c>
      <c r="X1267">
        <f>IF($U1267=1,IFERROR(IF(VALUE($B1267)&lt;100000000,VALUE($B1267),1000000000),IFERROR(IF(VALUE(MID($B1267,2,20))&lt;100000000,VALUE(MID($B1267,2,20)),1000000000),1000000000))+ROW()/100000,"")</f>
        <v/>
      </c>
    </row>
    <row r="1268">
      <c r="A1268">
        <f>IF($B1268="","",IFERROR(IF(INDEX('Per Invoice'!$C$2:$C$401,MATCH($B1268,'Per Invoice'!$A$2:$A$401,0))=0,"",INDEX('Per Invoice'!$C$2:$C$401,MATCH($B1268,'Per Invoice'!$A$2:$A$401,0))),""))</f>
        <v/>
      </c>
      <c r="G1268" s="7">
        <f>IF($B1268="","",F1268*L1268/100)</f>
        <v/>
      </c>
      <c r="K1268" s="7" t="n"/>
      <c r="L1268" s="7" t="n"/>
      <c r="M1268" s="7">
        <f>IF($B1268="","",L1268*T1268/100)</f>
        <v/>
      </c>
      <c r="N1268" s="7">
        <f>IF($B1268="","",L1268-M1268)</f>
        <v/>
      </c>
      <c r="O1268" s="7">
        <f>IF($B1268="","",N1268-G1268)</f>
        <v/>
      </c>
      <c r="R1268" s="14" t="n"/>
      <c r="T1268">
        <f>IF($B1268="","",IF($W1268=1,Settings!$C$6,Settings!$C$7)*100)</f>
        <v/>
      </c>
      <c r="U1268">
        <f>IF($B1268="","",IF(COUNTIF($B$2:$B1268,$B1268)=1,1,0))</f>
        <v/>
      </c>
      <c r="V1268">
        <f>IF($U1268=1,SUMPRODUCT(--($X$2:$X$1501&lt;$X1268))+1,"")</f>
        <v/>
      </c>
      <c r="W1268">
        <f>IF($B1268="","",IF(OR($S1268=TRUE(),$S1268="TRUE"),1,0))</f>
        <v/>
      </c>
      <c r="X1268">
        <f>IF($U1268=1,IFERROR(IF(VALUE($B1268)&lt;100000000,VALUE($B1268),1000000000),IFERROR(IF(VALUE(MID($B1268,2,20))&lt;100000000,VALUE(MID($B1268,2,20)),1000000000),1000000000))+ROW()/100000,"")</f>
        <v/>
      </c>
    </row>
    <row r="1269">
      <c r="A1269">
        <f>IF($B1269="","",IFERROR(IF(INDEX('Per Invoice'!$C$2:$C$401,MATCH($B1269,'Per Invoice'!$A$2:$A$401,0))=0,"",INDEX('Per Invoice'!$C$2:$C$401,MATCH($B1269,'Per Invoice'!$A$2:$A$401,0))),""))</f>
        <v/>
      </c>
      <c r="G1269" s="7">
        <f>IF($B1269="","",F1269*L1269/100)</f>
        <v/>
      </c>
      <c r="K1269" s="7" t="n"/>
      <c r="L1269" s="7" t="n"/>
      <c r="M1269" s="7">
        <f>IF($B1269="","",L1269*T1269/100)</f>
        <v/>
      </c>
      <c r="N1269" s="7">
        <f>IF($B1269="","",L1269-M1269)</f>
        <v/>
      </c>
      <c r="O1269" s="7">
        <f>IF($B1269="","",N1269-G1269)</f>
        <v/>
      </c>
      <c r="R1269" s="14" t="n"/>
      <c r="T1269">
        <f>IF($B1269="","",IF($W1269=1,Settings!$C$6,Settings!$C$7)*100)</f>
        <v/>
      </c>
      <c r="U1269">
        <f>IF($B1269="","",IF(COUNTIF($B$2:$B1269,$B1269)=1,1,0))</f>
        <v/>
      </c>
      <c r="V1269">
        <f>IF($U1269=1,SUMPRODUCT(--($X$2:$X$1501&lt;$X1269))+1,"")</f>
        <v/>
      </c>
      <c r="W1269">
        <f>IF($B1269="","",IF(OR($S1269=TRUE(),$S1269="TRUE"),1,0))</f>
        <v/>
      </c>
      <c r="X1269">
        <f>IF($U1269=1,IFERROR(IF(VALUE($B1269)&lt;100000000,VALUE($B1269),1000000000),IFERROR(IF(VALUE(MID($B1269,2,20))&lt;100000000,VALUE(MID($B1269,2,20)),1000000000),1000000000))+ROW()/100000,"")</f>
        <v/>
      </c>
    </row>
    <row r="1270">
      <c r="A1270">
        <f>IF($B1270="","",IFERROR(IF(INDEX('Per Invoice'!$C$2:$C$401,MATCH($B1270,'Per Invoice'!$A$2:$A$401,0))=0,"",INDEX('Per Invoice'!$C$2:$C$401,MATCH($B1270,'Per Invoice'!$A$2:$A$401,0))),""))</f>
        <v/>
      </c>
      <c r="G1270" s="7">
        <f>IF($B1270="","",F1270*L1270/100)</f>
        <v/>
      </c>
      <c r="K1270" s="7" t="n"/>
      <c r="L1270" s="7" t="n"/>
      <c r="M1270" s="7">
        <f>IF($B1270="","",L1270*T1270/100)</f>
        <v/>
      </c>
      <c r="N1270" s="7">
        <f>IF($B1270="","",L1270-M1270)</f>
        <v/>
      </c>
      <c r="O1270" s="7">
        <f>IF($B1270="","",N1270-G1270)</f>
        <v/>
      </c>
      <c r="R1270" s="14" t="n"/>
      <c r="T1270">
        <f>IF($B1270="","",IF($W1270=1,Settings!$C$6,Settings!$C$7)*100)</f>
        <v/>
      </c>
      <c r="U1270">
        <f>IF($B1270="","",IF(COUNTIF($B$2:$B1270,$B1270)=1,1,0))</f>
        <v/>
      </c>
      <c r="V1270">
        <f>IF($U1270=1,SUMPRODUCT(--($X$2:$X$1501&lt;$X1270))+1,"")</f>
        <v/>
      </c>
      <c r="W1270">
        <f>IF($B1270="","",IF(OR($S1270=TRUE(),$S1270="TRUE"),1,0))</f>
        <v/>
      </c>
      <c r="X1270">
        <f>IF($U1270=1,IFERROR(IF(VALUE($B1270)&lt;100000000,VALUE($B1270),1000000000),IFERROR(IF(VALUE(MID($B1270,2,20))&lt;100000000,VALUE(MID($B1270,2,20)),1000000000),1000000000))+ROW()/100000,"")</f>
        <v/>
      </c>
    </row>
    <row r="1271">
      <c r="A1271">
        <f>IF($B1271="","",IFERROR(IF(INDEX('Per Invoice'!$C$2:$C$401,MATCH($B1271,'Per Invoice'!$A$2:$A$401,0))=0,"",INDEX('Per Invoice'!$C$2:$C$401,MATCH($B1271,'Per Invoice'!$A$2:$A$401,0))),""))</f>
        <v/>
      </c>
      <c r="G1271" s="7">
        <f>IF($B1271="","",F1271*L1271/100)</f>
        <v/>
      </c>
      <c r="K1271" s="7" t="n"/>
      <c r="L1271" s="7" t="n"/>
      <c r="M1271" s="7">
        <f>IF($B1271="","",L1271*T1271/100)</f>
        <v/>
      </c>
      <c r="N1271" s="7">
        <f>IF($B1271="","",L1271-M1271)</f>
        <v/>
      </c>
      <c r="O1271" s="7">
        <f>IF($B1271="","",N1271-G1271)</f>
        <v/>
      </c>
      <c r="R1271" s="14" t="n"/>
      <c r="T1271">
        <f>IF($B1271="","",IF($W1271=1,Settings!$C$6,Settings!$C$7)*100)</f>
        <v/>
      </c>
      <c r="U1271">
        <f>IF($B1271="","",IF(COUNTIF($B$2:$B1271,$B1271)=1,1,0))</f>
        <v/>
      </c>
      <c r="V1271">
        <f>IF($U1271=1,SUMPRODUCT(--($X$2:$X$1501&lt;$X1271))+1,"")</f>
        <v/>
      </c>
      <c r="W1271">
        <f>IF($B1271="","",IF(OR($S1271=TRUE(),$S1271="TRUE"),1,0))</f>
        <v/>
      </c>
      <c r="X1271">
        <f>IF($U1271=1,IFERROR(IF(VALUE($B1271)&lt;100000000,VALUE($B1271),1000000000),IFERROR(IF(VALUE(MID($B1271,2,20))&lt;100000000,VALUE(MID($B1271,2,20)),1000000000),1000000000))+ROW()/100000,"")</f>
        <v/>
      </c>
    </row>
    <row r="1272">
      <c r="A1272">
        <f>IF($B1272="","",IFERROR(IF(INDEX('Per Invoice'!$C$2:$C$401,MATCH($B1272,'Per Invoice'!$A$2:$A$401,0))=0,"",INDEX('Per Invoice'!$C$2:$C$401,MATCH($B1272,'Per Invoice'!$A$2:$A$401,0))),""))</f>
        <v/>
      </c>
      <c r="G1272" s="7">
        <f>IF($B1272="","",F1272*L1272/100)</f>
        <v/>
      </c>
      <c r="K1272" s="7" t="n"/>
      <c r="L1272" s="7" t="n"/>
      <c r="M1272" s="7">
        <f>IF($B1272="","",L1272*T1272/100)</f>
        <v/>
      </c>
      <c r="N1272" s="7">
        <f>IF($B1272="","",L1272-M1272)</f>
        <v/>
      </c>
      <c r="O1272" s="7">
        <f>IF($B1272="","",N1272-G1272)</f>
        <v/>
      </c>
      <c r="R1272" s="14" t="n"/>
      <c r="T1272">
        <f>IF($B1272="","",IF($W1272=1,Settings!$C$6,Settings!$C$7)*100)</f>
        <v/>
      </c>
      <c r="U1272">
        <f>IF($B1272="","",IF(COUNTIF($B$2:$B1272,$B1272)=1,1,0))</f>
        <v/>
      </c>
      <c r="V1272">
        <f>IF($U1272=1,SUMPRODUCT(--($X$2:$X$1501&lt;$X1272))+1,"")</f>
        <v/>
      </c>
      <c r="W1272">
        <f>IF($B1272="","",IF(OR($S1272=TRUE(),$S1272="TRUE"),1,0))</f>
        <v/>
      </c>
      <c r="X1272">
        <f>IF($U1272=1,IFERROR(IF(VALUE($B1272)&lt;100000000,VALUE($B1272),1000000000),IFERROR(IF(VALUE(MID($B1272,2,20))&lt;100000000,VALUE(MID($B1272,2,20)),1000000000),1000000000))+ROW()/100000,"")</f>
        <v/>
      </c>
    </row>
    <row r="1273">
      <c r="A1273">
        <f>IF($B1273="","",IFERROR(IF(INDEX('Per Invoice'!$C$2:$C$401,MATCH($B1273,'Per Invoice'!$A$2:$A$401,0))=0,"",INDEX('Per Invoice'!$C$2:$C$401,MATCH($B1273,'Per Invoice'!$A$2:$A$401,0))),""))</f>
        <v/>
      </c>
      <c r="G1273" s="7">
        <f>IF($B1273="","",F1273*L1273/100)</f>
        <v/>
      </c>
      <c r="K1273" s="7" t="n"/>
      <c r="L1273" s="7" t="n"/>
      <c r="M1273" s="7">
        <f>IF($B1273="","",L1273*T1273/100)</f>
        <v/>
      </c>
      <c r="N1273" s="7">
        <f>IF($B1273="","",L1273-M1273)</f>
        <v/>
      </c>
      <c r="O1273" s="7">
        <f>IF($B1273="","",N1273-G1273)</f>
        <v/>
      </c>
      <c r="R1273" s="14" t="n"/>
      <c r="T1273">
        <f>IF($B1273="","",IF($W1273=1,Settings!$C$6,Settings!$C$7)*100)</f>
        <v/>
      </c>
      <c r="U1273">
        <f>IF($B1273="","",IF(COUNTIF($B$2:$B1273,$B1273)=1,1,0))</f>
        <v/>
      </c>
      <c r="V1273">
        <f>IF($U1273=1,SUMPRODUCT(--($X$2:$X$1501&lt;$X1273))+1,"")</f>
        <v/>
      </c>
      <c r="W1273">
        <f>IF($B1273="","",IF(OR($S1273=TRUE(),$S1273="TRUE"),1,0))</f>
        <v/>
      </c>
      <c r="X1273">
        <f>IF($U1273=1,IFERROR(IF(VALUE($B1273)&lt;100000000,VALUE($B1273),1000000000),IFERROR(IF(VALUE(MID($B1273,2,20))&lt;100000000,VALUE(MID($B1273,2,20)),1000000000),1000000000))+ROW()/100000,"")</f>
        <v/>
      </c>
    </row>
    <row r="1274">
      <c r="A1274">
        <f>IF($B1274="","",IFERROR(IF(INDEX('Per Invoice'!$C$2:$C$401,MATCH($B1274,'Per Invoice'!$A$2:$A$401,0))=0,"",INDEX('Per Invoice'!$C$2:$C$401,MATCH($B1274,'Per Invoice'!$A$2:$A$401,0))),""))</f>
        <v/>
      </c>
      <c r="G1274" s="7">
        <f>IF($B1274="","",F1274*L1274/100)</f>
        <v/>
      </c>
      <c r="K1274" s="7" t="n"/>
      <c r="L1274" s="7" t="n"/>
      <c r="M1274" s="7">
        <f>IF($B1274="","",L1274*T1274/100)</f>
        <v/>
      </c>
      <c r="N1274" s="7">
        <f>IF($B1274="","",L1274-M1274)</f>
        <v/>
      </c>
      <c r="O1274" s="7">
        <f>IF($B1274="","",N1274-G1274)</f>
        <v/>
      </c>
      <c r="R1274" s="14" t="n"/>
      <c r="T1274">
        <f>IF($B1274="","",IF($W1274=1,Settings!$C$6,Settings!$C$7)*100)</f>
        <v/>
      </c>
      <c r="U1274">
        <f>IF($B1274="","",IF(COUNTIF($B$2:$B1274,$B1274)=1,1,0))</f>
        <v/>
      </c>
      <c r="V1274">
        <f>IF($U1274=1,SUMPRODUCT(--($X$2:$X$1501&lt;$X1274))+1,"")</f>
        <v/>
      </c>
      <c r="W1274">
        <f>IF($B1274="","",IF(OR($S1274=TRUE(),$S1274="TRUE"),1,0))</f>
        <v/>
      </c>
      <c r="X1274">
        <f>IF($U1274=1,IFERROR(IF(VALUE($B1274)&lt;100000000,VALUE($B1274),1000000000),IFERROR(IF(VALUE(MID($B1274,2,20))&lt;100000000,VALUE(MID($B1274,2,20)),1000000000),1000000000))+ROW()/100000,"")</f>
        <v/>
      </c>
    </row>
    <row r="1275">
      <c r="A1275">
        <f>IF($B1275="","",IFERROR(IF(INDEX('Per Invoice'!$C$2:$C$401,MATCH($B1275,'Per Invoice'!$A$2:$A$401,0))=0,"",INDEX('Per Invoice'!$C$2:$C$401,MATCH($B1275,'Per Invoice'!$A$2:$A$401,0))),""))</f>
        <v/>
      </c>
      <c r="G1275" s="7">
        <f>IF($B1275="","",F1275*L1275/100)</f>
        <v/>
      </c>
      <c r="K1275" s="7" t="n"/>
      <c r="L1275" s="7" t="n"/>
      <c r="M1275" s="7">
        <f>IF($B1275="","",L1275*T1275/100)</f>
        <v/>
      </c>
      <c r="N1275" s="7">
        <f>IF($B1275="","",L1275-M1275)</f>
        <v/>
      </c>
      <c r="O1275" s="7">
        <f>IF($B1275="","",N1275-G1275)</f>
        <v/>
      </c>
      <c r="R1275" s="14" t="n"/>
      <c r="T1275">
        <f>IF($B1275="","",IF($W1275=1,Settings!$C$6,Settings!$C$7)*100)</f>
        <v/>
      </c>
      <c r="U1275">
        <f>IF($B1275="","",IF(COUNTIF($B$2:$B1275,$B1275)=1,1,0))</f>
        <v/>
      </c>
      <c r="V1275">
        <f>IF($U1275=1,SUMPRODUCT(--($X$2:$X$1501&lt;$X1275))+1,"")</f>
        <v/>
      </c>
      <c r="W1275">
        <f>IF($B1275="","",IF(OR($S1275=TRUE(),$S1275="TRUE"),1,0))</f>
        <v/>
      </c>
      <c r="X1275">
        <f>IF($U1275=1,IFERROR(IF(VALUE($B1275)&lt;100000000,VALUE($B1275),1000000000),IFERROR(IF(VALUE(MID($B1275,2,20))&lt;100000000,VALUE(MID($B1275,2,20)),1000000000),1000000000))+ROW()/100000,"")</f>
        <v/>
      </c>
    </row>
    <row r="1276">
      <c r="A1276">
        <f>IF($B1276="","",IFERROR(IF(INDEX('Per Invoice'!$C$2:$C$401,MATCH($B1276,'Per Invoice'!$A$2:$A$401,0))=0,"",INDEX('Per Invoice'!$C$2:$C$401,MATCH($B1276,'Per Invoice'!$A$2:$A$401,0))),""))</f>
        <v/>
      </c>
      <c r="G1276" s="7">
        <f>IF($B1276="","",F1276*L1276/100)</f>
        <v/>
      </c>
      <c r="K1276" s="7" t="n"/>
      <c r="L1276" s="7" t="n"/>
      <c r="M1276" s="7">
        <f>IF($B1276="","",L1276*T1276/100)</f>
        <v/>
      </c>
      <c r="N1276" s="7">
        <f>IF($B1276="","",L1276-M1276)</f>
        <v/>
      </c>
      <c r="O1276" s="7">
        <f>IF($B1276="","",N1276-G1276)</f>
        <v/>
      </c>
      <c r="R1276" s="14" t="n"/>
      <c r="T1276">
        <f>IF($B1276="","",IF($W1276=1,Settings!$C$6,Settings!$C$7)*100)</f>
        <v/>
      </c>
      <c r="U1276">
        <f>IF($B1276="","",IF(COUNTIF($B$2:$B1276,$B1276)=1,1,0))</f>
        <v/>
      </c>
      <c r="V1276">
        <f>IF($U1276=1,SUMPRODUCT(--($X$2:$X$1501&lt;$X1276))+1,"")</f>
        <v/>
      </c>
      <c r="W1276">
        <f>IF($B1276="","",IF(OR($S1276=TRUE(),$S1276="TRUE"),1,0))</f>
        <v/>
      </c>
      <c r="X1276">
        <f>IF($U1276=1,IFERROR(IF(VALUE($B1276)&lt;100000000,VALUE($B1276),1000000000),IFERROR(IF(VALUE(MID($B1276,2,20))&lt;100000000,VALUE(MID($B1276,2,20)),1000000000),1000000000))+ROW()/100000,"")</f>
        <v/>
      </c>
    </row>
    <row r="1277">
      <c r="A1277">
        <f>IF($B1277="","",IFERROR(IF(INDEX('Per Invoice'!$C$2:$C$401,MATCH($B1277,'Per Invoice'!$A$2:$A$401,0))=0,"",INDEX('Per Invoice'!$C$2:$C$401,MATCH($B1277,'Per Invoice'!$A$2:$A$401,0))),""))</f>
        <v/>
      </c>
      <c r="G1277" s="7">
        <f>IF($B1277="","",F1277*L1277/100)</f>
        <v/>
      </c>
      <c r="K1277" s="7" t="n"/>
      <c r="L1277" s="7" t="n"/>
      <c r="M1277" s="7">
        <f>IF($B1277="","",L1277*T1277/100)</f>
        <v/>
      </c>
      <c r="N1277" s="7">
        <f>IF($B1277="","",L1277-M1277)</f>
        <v/>
      </c>
      <c r="O1277" s="7">
        <f>IF($B1277="","",N1277-G1277)</f>
        <v/>
      </c>
      <c r="R1277" s="14" t="n"/>
      <c r="T1277">
        <f>IF($B1277="","",IF($W1277=1,Settings!$C$6,Settings!$C$7)*100)</f>
        <v/>
      </c>
      <c r="U1277">
        <f>IF($B1277="","",IF(COUNTIF($B$2:$B1277,$B1277)=1,1,0))</f>
        <v/>
      </c>
      <c r="V1277">
        <f>IF($U1277=1,SUMPRODUCT(--($X$2:$X$1501&lt;$X1277))+1,"")</f>
        <v/>
      </c>
      <c r="W1277">
        <f>IF($B1277="","",IF(OR($S1277=TRUE(),$S1277="TRUE"),1,0))</f>
        <v/>
      </c>
      <c r="X1277">
        <f>IF($U1277=1,IFERROR(IF(VALUE($B1277)&lt;100000000,VALUE($B1277),1000000000),IFERROR(IF(VALUE(MID($B1277,2,20))&lt;100000000,VALUE(MID($B1277,2,20)),1000000000),1000000000))+ROW()/100000,"")</f>
        <v/>
      </c>
    </row>
    <row r="1278">
      <c r="A1278">
        <f>IF($B1278="","",IFERROR(IF(INDEX('Per Invoice'!$C$2:$C$401,MATCH($B1278,'Per Invoice'!$A$2:$A$401,0))=0,"",INDEX('Per Invoice'!$C$2:$C$401,MATCH($B1278,'Per Invoice'!$A$2:$A$401,0))),""))</f>
        <v/>
      </c>
      <c r="G1278" s="7">
        <f>IF($B1278="","",F1278*L1278/100)</f>
        <v/>
      </c>
      <c r="K1278" s="7" t="n"/>
      <c r="L1278" s="7" t="n"/>
      <c r="M1278" s="7">
        <f>IF($B1278="","",L1278*T1278/100)</f>
        <v/>
      </c>
      <c r="N1278" s="7">
        <f>IF($B1278="","",L1278-M1278)</f>
        <v/>
      </c>
      <c r="O1278" s="7">
        <f>IF($B1278="","",N1278-G1278)</f>
        <v/>
      </c>
      <c r="R1278" s="14" t="n"/>
      <c r="T1278">
        <f>IF($B1278="","",IF($W1278=1,Settings!$C$6,Settings!$C$7)*100)</f>
        <v/>
      </c>
      <c r="U1278">
        <f>IF($B1278="","",IF(COUNTIF($B$2:$B1278,$B1278)=1,1,0))</f>
        <v/>
      </c>
      <c r="V1278">
        <f>IF($U1278=1,SUMPRODUCT(--($X$2:$X$1501&lt;$X1278))+1,"")</f>
        <v/>
      </c>
      <c r="W1278">
        <f>IF($B1278="","",IF(OR($S1278=TRUE(),$S1278="TRUE"),1,0))</f>
        <v/>
      </c>
      <c r="X1278">
        <f>IF($U1278=1,IFERROR(IF(VALUE($B1278)&lt;100000000,VALUE($B1278),1000000000),IFERROR(IF(VALUE(MID($B1278,2,20))&lt;100000000,VALUE(MID($B1278,2,20)),1000000000),1000000000))+ROW()/100000,"")</f>
        <v/>
      </c>
    </row>
    <row r="1279">
      <c r="A1279">
        <f>IF($B1279="","",IFERROR(IF(INDEX('Per Invoice'!$C$2:$C$401,MATCH($B1279,'Per Invoice'!$A$2:$A$401,0))=0,"",INDEX('Per Invoice'!$C$2:$C$401,MATCH($B1279,'Per Invoice'!$A$2:$A$401,0))),""))</f>
        <v/>
      </c>
      <c r="G1279" s="7">
        <f>IF($B1279="","",F1279*L1279/100)</f>
        <v/>
      </c>
      <c r="K1279" s="7" t="n"/>
      <c r="L1279" s="7" t="n"/>
      <c r="M1279" s="7">
        <f>IF($B1279="","",L1279*T1279/100)</f>
        <v/>
      </c>
      <c r="N1279" s="7">
        <f>IF($B1279="","",L1279-M1279)</f>
        <v/>
      </c>
      <c r="O1279" s="7">
        <f>IF($B1279="","",N1279-G1279)</f>
        <v/>
      </c>
      <c r="R1279" s="14" t="n"/>
      <c r="T1279">
        <f>IF($B1279="","",IF($W1279=1,Settings!$C$6,Settings!$C$7)*100)</f>
        <v/>
      </c>
      <c r="U1279">
        <f>IF($B1279="","",IF(COUNTIF($B$2:$B1279,$B1279)=1,1,0))</f>
        <v/>
      </c>
      <c r="V1279">
        <f>IF($U1279=1,SUMPRODUCT(--($X$2:$X$1501&lt;$X1279))+1,"")</f>
        <v/>
      </c>
      <c r="W1279">
        <f>IF($B1279="","",IF(OR($S1279=TRUE(),$S1279="TRUE"),1,0))</f>
        <v/>
      </c>
      <c r="X1279">
        <f>IF($U1279=1,IFERROR(IF(VALUE($B1279)&lt;100000000,VALUE($B1279),1000000000),IFERROR(IF(VALUE(MID($B1279,2,20))&lt;100000000,VALUE(MID($B1279,2,20)),1000000000),1000000000))+ROW()/100000,"")</f>
        <v/>
      </c>
    </row>
    <row r="1280">
      <c r="A1280">
        <f>IF($B1280="","",IFERROR(IF(INDEX('Per Invoice'!$C$2:$C$401,MATCH($B1280,'Per Invoice'!$A$2:$A$401,0))=0,"",INDEX('Per Invoice'!$C$2:$C$401,MATCH($B1280,'Per Invoice'!$A$2:$A$401,0))),""))</f>
        <v/>
      </c>
      <c r="G1280" s="7">
        <f>IF($B1280="","",F1280*L1280/100)</f>
        <v/>
      </c>
      <c r="K1280" s="7" t="n"/>
      <c r="L1280" s="7" t="n"/>
      <c r="M1280" s="7">
        <f>IF($B1280="","",L1280*T1280/100)</f>
        <v/>
      </c>
      <c r="N1280" s="7">
        <f>IF($B1280="","",L1280-M1280)</f>
        <v/>
      </c>
      <c r="O1280" s="7">
        <f>IF($B1280="","",N1280-G1280)</f>
        <v/>
      </c>
      <c r="R1280" s="14" t="n"/>
      <c r="T1280">
        <f>IF($B1280="","",IF($W1280=1,Settings!$C$6,Settings!$C$7)*100)</f>
        <v/>
      </c>
      <c r="U1280">
        <f>IF($B1280="","",IF(COUNTIF($B$2:$B1280,$B1280)=1,1,0))</f>
        <v/>
      </c>
      <c r="V1280">
        <f>IF($U1280=1,SUMPRODUCT(--($X$2:$X$1501&lt;$X1280))+1,"")</f>
        <v/>
      </c>
      <c r="W1280">
        <f>IF($B1280="","",IF(OR($S1280=TRUE(),$S1280="TRUE"),1,0))</f>
        <v/>
      </c>
      <c r="X1280">
        <f>IF($U1280=1,IFERROR(IF(VALUE($B1280)&lt;100000000,VALUE($B1280),1000000000),IFERROR(IF(VALUE(MID($B1280,2,20))&lt;100000000,VALUE(MID($B1280,2,20)),1000000000),1000000000))+ROW()/100000,"")</f>
        <v/>
      </c>
    </row>
    <row r="1281">
      <c r="A1281">
        <f>IF($B1281="","",IFERROR(IF(INDEX('Per Invoice'!$C$2:$C$401,MATCH($B1281,'Per Invoice'!$A$2:$A$401,0))=0,"",INDEX('Per Invoice'!$C$2:$C$401,MATCH($B1281,'Per Invoice'!$A$2:$A$401,0))),""))</f>
        <v/>
      </c>
      <c r="G1281" s="7">
        <f>IF($B1281="","",F1281*L1281/100)</f>
        <v/>
      </c>
      <c r="K1281" s="7" t="n"/>
      <c r="L1281" s="7" t="n"/>
      <c r="M1281" s="7">
        <f>IF($B1281="","",L1281*T1281/100)</f>
        <v/>
      </c>
      <c r="N1281" s="7">
        <f>IF($B1281="","",L1281-M1281)</f>
        <v/>
      </c>
      <c r="O1281" s="7">
        <f>IF($B1281="","",N1281-G1281)</f>
        <v/>
      </c>
      <c r="R1281" s="14" t="n"/>
      <c r="T1281">
        <f>IF($B1281="","",IF($W1281=1,Settings!$C$6,Settings!$C$7)*100)</f>
        <v/>
      </c>
      <c r="U1281">
        <f>IF($B1281="","",IF(COUNTIF($B$2:$B1281,$B1281)=1,1,0))</f>
        <v/>
      </c>
      <c r="V1281">
        <f>IF($U1281=1,SUMPRODUCT(--($X$2:$X$1501&lt;$X1281))+1,"")</f>
        <v/>
      </c>
      <c r="W1281">
        <f>IF($B1281="","",IF(OR($S1281=TRUE(),$S1281="TRUE"),1,0))</f>
        <v/>
      </c>
      <c r="X1281">
        <f>IF($U1281=1,IFERROR(IF(VALUE($B1281)&lt;100000000,VALUE($B1281),1000000000),IFERROR(IF(VALUE(MID($B1281,2,20))&lt;100000000,VALUE(MID($B1281,2,20)),1000000000),1000000000))+ROW()/100000,"")</f>
        <v/>
      </c>
    </row>
    <row r="1282">
      <c r="A1282">
        <f>IF($B1282="","",IFERROR(IF(INDEX('Per Invoice'!$C$2:$C$401,MATCH($B1282,'Per Invoice'!$A$2:$A$401,0))=0,"",INDEX('Per Invoice'!$C$2:$C$401,MATCH($B1282,'Per Invoice'!$A$2:$A$401,0))),""))</f>
        <v/>
      </c>
      <c r="G1282" s="7">
        <f>IF($B1282="","",F1282*L1282/100)</f>
        <v/>
      </c>
      <c r="K1282" s="7" t="n"/>
      <c r="L1282" s="7" t="n"/>
      <c r="M1282" s="7">
        <f>IF($B1282="","",L1282*T1282/100)</f>
        <v/>
      </c>
      <c r="N1282" s="7">
        <f>IF($B1282="","",L1282-M1282)</f>
        <v/>
      </c>
      <c r="O1282" s="7">
        <f>IF($B1282="","",N1282-G1282)</f>
        <v/>
      </c>
      <c r="R1282" s="14" t="n"/>
      <c r="T1282">
        <f>IF($B1282="","",IF($W1282=1,Settings!$C$6,Settings!$C$7)*100)</f>
        <v/>
      </c>
      <c r="U1282">
        <f>IF($B1282="","",IF(COUNTIF($B$2:$B1282,$B1282)=1,1,0))</f>
        <v/>
      </c>
      <c r="V1282">
        <f>IF($U1282=1,SUMPRODUCT(--($X$2:$X$1501&lt;$X1282))+1,"")</f>
        <v/>
      </c>
      <c r="W1282">
        <f>IF($B1282="","",IF(OR($S1282=TRUE(),$S1282="TRUE"),1,0))</f>
        <v/>
      </c>
      <c r="X1282">
        <f>IF($U1282=1,IFERROR(IF(VALUE($B1282)&lt;100000000,VALUE($B1282),1000000000),IFERROR(IF(VALUE(MID($B1282,2,20))&lt;100000000,VALUE(MID($B1282,2,20)),1000000000),1000000000))+ROW()/100000,"")</f>
        <v/>
      </c>
    </row>
    <row r="1283">
      <c r="A1283">
        <f>IF($B1283="","",IFERROR(IF(INDEX('Per Invoice'!$C$2:$C$401,MATCH($B1283,'Per Invoice'!$A$2:$A$401,0))=0,"",INDEX('Per Invoice'!$C$2:$C$401,MATCH($B1283,'Per Invoice'!$A$2:$A$401,0))),""))</f>
        <v/>
      </c>
      <c r="G1283" s="7">
        <f>IF($B1283="","",F1283*L1283/100)</f>
        <v/>
      </c>
      <c r="K1283" s="7" t="n"/>
      <c r="L1283" s="7" t="n"/>
      <c r="M1283" s="7">
        <f>IF($B1283="","",L1283*T1283/100)</f>
        <v/>
      </c>
      <c r="N1283" s="7">
        <f>IF($B1283="","",L1283-M1283)</f>
        <v/>
      </c>
      <c r="O1283" s="7">
        <f>IF($B1283="","",N1283-G1283)</f>
        <v/>
      </c>
      <c r="R1283" s="14" t="n"/>
      <c r="T1283">
        <f>IF($B1283="","",IF($W1283=1,Settings!$C$6,Settings!$C$7)*100)</f>
        <v/>
      </c>
      <c r="U1283">
        <f>IF($B1283="","",IF(COUNTIF($B$2:$B1283,$B1283)=1,1,0))</f>
        <v/>
      </c>
      <c r="V1283">
        <f>IF($U1283=1,SUMPRODUCT(--($X$2:$X$1501&lt;$X1283))+1,"")</f>
        <v/>
      </c>
      <c r="W1283">
        <f>IF($B1283="","",IF(OR($S1283=TRUE(),$S1283="TRUE"),1,0))</f>
        <v/>
      </c>
      <c r="X1283">
        <f>IF($U1283=1,IFERROR(IF(VALUE($B1283)&lt;100000000,VALUE($B1283),1000000000),IFERROR(IF(VALUE(MID($B1283,2,20))&lt;100000000,VALUE(MID($B1283,2,20)),1000000000),1000000000))+ROW()/100000,"")</f>
        <v/>
      </c>
    </row>
    <row r="1284">
      <c r="A1284">
        <f>IF($B1284="","",IFERROR(IF(INDEX('Per Invoice'!$C$2:$C$401,MATCH($B1284,'Per Invoice'!$A$2:$A$401,0))=0,"",INDEX('Per Invoice'!$C$2:$C$401,MATCH($B1284,'Per Invoice'!$A$2:$A$401,0))),""))</f>
        <v/>
      </c>
      <c r="G1284" s="7">
        <f>IF($B1284="","",F1284*L1284/100)</f>
        <v/>
      </c>
      <c r="K1284" s="7" t="n"/>
      <c r="L1284" s="7" t="n"/>
      <c r="M1284" s="7">
        <f>IF($B1284="","",L1284*T1284/100)</f>
        <v/>
      </c>
      <c r="N1284" s="7">
        <f>IF($B1284="","",L1284-M1284)</f>
        <v/>
      </c>
      <c r="O1284" s="7">
        <f>IF($B1284="","",N1284-G1284)</f>
        <v/>
      </c>
      <c r="R1284" s="14" t="n"/>
      <c r="T1284">
        <f>IF($B1284="","",IF($W1284=1,Settings!$C$6,Settings!$C$7)*100)</f>
        <v/>
      </c>
      <c r="U1284">
        <f>IF($B1284="","",IF(COUNTIF($B$2:$B1284,$B1284)=1,1,0))</f>
        <v/>
      </c>
      <c r="V1284">
        <f>IF($U1284=1,SUMPRODUCT(--($X$2:$X$1501&lt;$X1284))+1,"")</f>
        <v/>
      </c>
      <c r="W1284">
        <f>IF($B1284="","",IF(OR($S1284=TRUE(),$S1284="TRUE"),1,0))</f>
        <v/>
      </c>
      <c r="X1284">
        <f>IF($U1284=1,IFERROR(IF(VALUE($B1284)&lt;100000000,VALUE($B1284),1000000000),IFERROR(IF(VALUE(MID($B1284,2,20))&lt;100000000,VALUE(MID($B1284,2,20)),1000000000),1000000000))+ROW()/100000,"")</f>
        <v/>
      </c>
    </row>
    <row r="1285">
      <c r="A1285">
        <f>IF($B1285="","",IFERROR(IF(INDEX('Per Invoice'!$C$2:$C$401,MATCH($B1285,'Per Invoice'!$A$2:$A$401,0))=0,"",INDEX('Per Invoice'!$C$2:$C$401,MATCH($B1285,'Per Invoice'!$A$2:$A$401,0))),""))</f>
        <v/>
      </c>
      <c r="G1285" s="7">
        <f>IF($B1285="","",F1285*L1285/100)</f>
        <v/>
      </c>
      <c r="K1285" s="7" t="n"/>
      <c r="L1285" s="7" t="n"/>
      <c r="M1285" s="7">
        <f>IF($B1285="","",L1285*T1285/100)</f>
        <v/>
      </c>
      <c r="N1285" s="7">
        <f>IF($B1285="","",L1285-M1285)</f>
        <v/>
      </c>
      <c r="O1285" s="7">
        <f>IF($B1285="","",N1285-G1285)</f>
        <v/>
      </c>
      <c r="R1285" s="14" t="n"/>
      <c r="T1285">
        <f>IF($B1285="","",IF($W1285=1,Settings!$C$6,Settings!$C$7)*100)</f>
        <v/>
      </c>
      <c r="U1285">
        <f>IF($B1285="","",IF(COUNTIF($B$2:$B1285,$B1285)=1,1,0))</f>
        <v/>
      </c>
      <c r="V1285">
        <f>IF($U1285=1,SUMPRODUCT(--($X$2:$X$1501&lt;$X1285))+1,"")</f>
        <v/>
      </c>
      <c r="W1285">
        <f>IF($B1285="","",IF(OR($S1285=TRUE(),$S1285="TRUE"),1,0))</f>
        <v/>
      </c>
      <c r="X1285">
        <f>IF($U1285=1,IFERROR(IF(VALUE($B1285)&lt;100000000,VALUE($B1285),1000000000),IFERROR(IF(VALUE(MID($B1285,2,20))&lt;100000000,VALUE(MID($B1285,2,20)),1000000000),1000000000))+ROW()/100000,"")</f>
        <v/>
      </c>
    </row>
    <row r="1286">
      <c r="A1286">
        <f>IF($B1286="","",IFERROR(IF(INDEX('Per Invoice'!$C$2:$C$401,MATCH($B1286,'Per Invoice'!$A$2:$A$401,0))=0,"",INDEX('Per Invoice'!$C$2:$C$401,MATCH($B1286,'Per Invoice'!$A$2:$A$401,0))),""))</f>
        <v/>
      </c>
      <c r="G1286" s="7">
        <f>IF($B1286="","",F1286*L1286/100)</f>
        <v/>
      </c>
      <c r="K1286" s="7" t="n"/>
      <c r="L1286" s="7" t="n"/>
      <c r="M1286" s="7">
        <f>IF($B1286="","",L1286*T1286/100)</f>
        <v/>
      </c>
      <c r="N1286" s="7">
        <f>IF($B1286="","",L1286-M1286)</f>
        <v/>
      </c>
      <c r="O1286" s="7">
        <f>IF($B1286="","",N1286-G1286)</f>
        <v/>
      </c>
      <c r="R1286" s="14" t="n"/>
      <c r="T1286">
        <f>IF($B1286="","",IF($W1286=1,Settings!$C$6,Settings!$C$7)*100)</f>
        <v/>
      </c>
      <c r="U1286">
        <f>IF($B1286="","",IF(COUNTIF($B$2:$B1286,$B1286)=1,1,0))</f>
        <v/>
      </c>
      <c r="V1286">
        <f>IF($U1286=1,SUMPRODUCT(--($X$2:$X$1501&lt;$X1286))+1,"")</f>
        <v/>
      </c>
      <c r="W1286">
        <f>IF($B1286="","",IF(OR($S1286=TRUE(),$S1286="TRUE"),1,0))</f>
        <v/>
      </c>
      <c r="X1286">
        <f>IF($U1286=1,IFERROR(IF(VALUE($B1286)&lt;100000000,VALUE($B1286),1000000000),IFERROR(IF(VALUE(MID($B1286,2,20))&lt;100000000,VALUE(MID($B1286,2,20)),1000000000),1000000000))+ROW()/100000,"")</f>
        <v/>
      </c>
    </row>
    <row r="1287">
      <c r="A1287">
        <f>IF($B1287="","",IFERROR(IF(INDEX('Per Invoice'!$C$2:$C$401,MATCH($B1287,'Per Invoice'!$A$2:$A$401,0))=0,"",INDEX('Per Invoice'!$C$2:$C$401,MATCH($B1287,'Per Invoice'!$A$2:$A$401,0))),""))</f>
        <v/>
      </c>
      <c r="G1287" s="7">
        <f>IF($B1287="","",F1287*L1287/100)</f>
        <v/>
      </c>
      <c r="K1287" s="7" t="n"/>
      <c r="L1287" s="7" t="n"/>
      <c r="M1287" s="7">
        <f>IF($B1287="","",L1287*T1287/100)</f>
        <v/>
      </c>
      <c r="N1287" s="7">
        <f>IF($B1287="","",L1287-M1287)</f>
        <v/>
      </c>
      <c r="O1287" s="7">
        <f>IF($B1287="","",N1287-G1287)</f>
        <v/>
      </c>
      <c r="R1287" s="14" t="n"/>
      <c r="T1287">
        <f>IF($B1287="","",IF($W1287=1,Settings!$C$6,Settings!$C$7)*100)</f>
        <v/>
      </c>
      <c r="U1287">
        <f>IF($B1287="","",IF(COUNTIF($B$2:$B1287,$B1287)=1,1,0))</f>
        <v/>
      </c>
      <c r="V1287">
        <f>IF($U1287=1,SUMPRODUCT(--($X$2:$X$1501&lt;$X1287))+1,"")</f>
        <v/>
      </c>
      <c r="W1287">
        <f>IF($B1287="","",IF(OR($S1287=TRUE(),$S1287="TRUE"),1,0))</f>
        <v/>
      </c>
      <c r="X1287">
        <f>IF($U1287=1,IFERROR(IF(VALUE($B1287)&lt;100000000,VALUE($B1287),1000000000),IFERROR(IF(VALUE(MID($B1287,2,20))&lt;100000000,VALUE(MID($B1287,2,20)),1000000000),1000000000))+ROW()/100000,"")</f>
        <v/>
      </c>
    </row>
    <row r="1288">
      <c r="A1288">
        <f>IF($B1288="","",IFERROR(IF(INDEX('Per Invoice'!$C$2:$C$401,MATCH($B1288,'Per Invoice'!$A$2:$A$401,0))=0,"",INDEX('Per Invoice'!$C$2:$C$401,MATCH($B1288,'Per Invoice'!$A$2:$A$401,0))),""))</f>
        <v/>
      </c>
      <c r="G1288" s="7">
        <f>IF($B1288="","",F1288*L1288/100)</f>
        <v/>
      </c>
      <c r="K1288" s="7" t="n"/>
      <c r="L1288" s="7" t="n"/>
      <c r="M1288" s="7">
        <f>IF($B1288="","",L1288*T1288/100)</f>
        <v/>
      </c>
      <c r="N1288" s="7">
        <f>IF($B1288="","",L1288-M1288)</f>
        <v/>
      </c>
      <c r="O1288" s="7">
        <f>IF($B1288="","",N1288-G1288)</f>
        <v/>
      </c>
      <c r="R1288" s="14" t="n"/>
      <c r="T1288">
        <f>IF($B1288="","",IF($W1288=1,Settings!$C$6,Settings!$C$7)*100)</f>
        <v/>
      </c>
      <c r="U1288">
        <f>IF($B1288="","",IF(COUNTIF($B$2:$B1288,$B1288)=1,1,0))</f>
        <v/>
      </c>
      <c r="V1288">
        <f>IF($U1288=1,SUMPRODUCT(--($X$2:$X$1501&lt;$X1288))+1,"")</f>
        <v/>
      </c>
      <c r="W1288">
        <f>IF($B1288="","",IF(OR($S1288=TRUE(),$S1288="TRUE"),1,0))</f>
        <v/>
      </c>
      <c r="X1288">
        <f>IF($U1288=1,IFERROR(IF(VALUE($B1288)&lt;100000000,VALUE($B1288),1000000000),IFERROR(IF(VALUE(MID($B1288,2,20))&lt;100000000,VALUE(MID($B1288,2,20)),1000000000),1000000000))+ROW()/100000,"")</f>
        <v/>
      </c>
    </row>
    <row r="1289">
      <c r="A1289">
        <f>IF($B1289="","",IFERROR(IF(INDEX('Per Invoice'!$C$2:$C$401,MATCH($B1289,'Per Invoice'!$A$2:$A$401,0))=0,"",INDEX('Per Invoice'!$C$2:$C$401,MATCH($B1289,'Per Invoice'!$A$2:$A$401,0))),""))</f>
        <v/>
      </c>
      <c r="G1289" s="7">
        <f>IF($B1289="","",F1289*L1289/100)</f>
        <v/>
      </c>
      <c r="K1289" s="7" t="n"/>
      <c r="L1289" s="7" t="n"/>
      <c r="M1289" s="7">
        <f>IF($B1289="","",L1289*T1289/100)</f>
        <v/>
      </c>
      <c r="N1289" s="7">
        <f>IF($B1289="","",L1289-M1289)</f>
        <v/>
      </c>
      <c r="O1289" s="7">
        <f>IF($B1289="","",N1289-G1289)</f>
        <v/>
      </c>
      <c r="R1289" s="14" t="n"/>
      <c r="T1289">
        <f>IF($B1289="","",IF($W1289=1,Settings!$C$6,Settings!$C$7)*100)</f>
        <v/>
      </c>
      <c r="U1289">
        <f>IF($B1289="","",IF(COUNTIF($B$2:$B1289,$B1289)=1,1,0))</f>
        <v/>
      </c>
      <c r="V1289">
        <f>IF($U1289=1,SUMPRODUCT(--($X$2:$X$1501&lt;$X1289))+1,"")</f>
        <v/>
      </c>
      <c r="W1289">
        <f>IF($B1289="","",IF(OR($S1289=TRUE(),$S1289="TRUE"),1,0))</f>
        <v/>
      </c>
      <c r="X1289">
        <f>IF($U1289=1,IFERROR(IF(VALUE($B1289)&lt;100000000,VALUE($B1289),1000000000),IFERROR(IF(VALUE(MID($B1289,2,20))&lt;100000000,VALUE(MID($B1289,2,20)),1000000000),1000000000))+ROW()/100000,"")</f>
        <v/>
      </c>
    </row>
    <row r="1290">
      <c r="A1290">
        <f>IF($B1290="","",IFERROR(IF(INDEX('Per Invoice'!$C$2:$C$401,MATCH($B1290,'Per Invoice'!$A$2:$A$401,0))=0,"",INDEX('Per Invoice'!$C$2:$C$401,MATCH($B1290,'Per Invoice'!$A$2:$A$401,0))),""))</f>
        <v/>
      </c>
      <c r="G1290" s="7">
        <f>IF($B1290="","",F1290*L1290/100)</f>
        <v/>
      </c>
      <c r="K1290" s="7" t="n"/>
      <c r="L1290" s="7" t="n"/>
      <c r="M1290" s="7">
        <f>IF($B1290="","",L1290*T1290/100)</f>
        <v/>
      </c>
      <c r="N1290" s="7">
        <f>IF($B1290="","",L1290-M1290)</f>
        <v/>
      </c>
      <c r="O1290" s="7">
        <f>IF($B1290="","",N1290-G1290)</f>
        <v/>
      </c>
      <c r="R1290" s="14" t="n"/>
      <c r="T1290">
        <f>IF($B1290="","",IF($W1290=1,Settings!$C$6,Settings!$C$7)*100)</f>
        <v/>
      </c>
      <c r="U1290">
        <f>IF($B1290="","",IF(COUNTIF($B$2:$B1290,$B1290)=1,1,0))</f>
        <v/>
      </c>
      <c r="V1290">
        <f>IF($U1290=1,SUMPRODUCT(--($X$2:$X$1501&lt;$X1290))+1,"")</f>
        <v/>
      </c>
      <c r="W1290">
        <f>IF($B1290="","",IF(OR($S1290=TRUE(),$S1290="TRUE"),1,0))</f>
        <v/>
      </c>
      <c r="X1290">
        <f>IF($U1290=1,IFERROR(IF(VALUE($B1290)&lt;100000000,VALUE($B1290),1000000000),IFERROR(IF(VALUE(MID($B1290,2,20))&lt;100000000,VALUE(MID($B1290,2,20)),1000000000),1000000000))+ROW()/100000,"")</f>
        <v/>
      </c>
    </row>
    <row r="1291">
      <c r="A1291">
        <f>IF($B1291="","",IFERROR(IF(INDEX('Per Invoice'!$C$2:$C$401,MATCH($B1291,'Per Invoice'!$A$2:$A$401,0))=0,"",INDEX('Per Invoice'!$C$2:$C$401,MATCH($B1291,'Per Invoice'!$A$2:$A$401,0))),""))</f>
        <v/>
      </c>
      <c r="G1291" s="7">
        <f>IF($B1291="","",F1291*L1291/100)</f>
        <v/>
      </c>
      <c r="K1291" s="7" t="n"/>
      <c r="L1291" s="7" t="n"/>
      <c r="M1291" s="7">
        <f>IF($B1291="","",L1291*T1291/100)</f>
        <v/>
      </c>
      <c r="N1291" s="7">
        <f>IF($B1291="","",L1291-M1291)</f>
        <v/>
      </c>
      <c r="O1291" s="7">
        <f>IF($B1291="","",N1291-G1291)</f>
        <v/>
      </c>
      <c r="R1291" s="14" t="n"/>
      <c r="T1291">
        <f>IF($B1291="","",IF($W1291=1,Settings!$C$6,Settings!$C$7)*100)</f>
        <v/>
      </c>
      <c r="U1291">
        <f>IF($B1291="","",IF(COUNTIF($B$2:$B1291,$B1291)=1,1,0))</f>
        <v/>
      </c>
      <c r="V1291">
        <f>IF($U1291=1,SUMPRODUCT(--($X$2:$X$1501&lt;$X1291))+1,"")</f>
        <v/>
      </c>
      <c r="W1291">
        <f>IF($B1291="","",IF(OR($S1291=TRUE(),$S1291="TRUE"),1,0))</f>
        <v/>
      </c>
      <c r="X1291">
        <f>IF($U1291=1,IFERROR(IF(VALUE($B1291)&lt;100000000,VALUE($B1291),1000000000),IFERROR(IF(VALUE(MID($B1291,2,20))&lt;100000000,VALUE(MID($B1291,2,20)),1000000000),1000000000))+ROW()/100000,"")</f>
        <v/>
      </c>
    </row>
    <row r="1292">
      <c r="A1292">
        <f>IF($B1292="","",IFERROR(IF(INDEX('Per Invoice'!$C$2:$C$401,MATCH($B1292,'Per Invoice'!$A$2:$A$401,0))=0,"",INDEX('Per Invoice'!$C$2:$C$401,MATCH($B1292,'Per Invoice'!$A$2:$A$401,0))),""))</f>
        <v/>
      </c>
      <c r="G1292" s="7">
        <f>IF($B1292="","",F1292*L1292/100)</f>
        <v/>
      </c>
      <c r="K1292" s="7" t="n"/>
      <c r="L1292" s="7" t="n"/>
      <c r="M1292" s="7">
        <f>IF($B1292="","",L1292*T1292/100)</f>
        <v/>
      </c>
      <c r="N1292" s="7">
        <f>IF($B1292="","",L1292-M1292)</f>
        <v/>
      </c>
      <c r="O1292" s="7">
        <f>IF($B1292="","",N1292-G1292)</f>
        <v/>
      </c>
      <c r="R1292" s="14" t="n"/>
      <c r="T1292">
        <f>IF($B1292="","",IF($W1292=1,Settings!$C$6,Settings!$C$7)*100)</f>
        <v/>
      </c>
      <c r="U1292">
        <f>IF($B1292="","",IF(COUNTIF($B$2:$B1292,$B1292)=1,1,0))</f>
        <v/>
      </c>
      <c r="V1292">
        <f>IF($U1292=1,SUMPRODUCT(--($X$2:$X$1501&lt;$X1292))+1,"")</f>
        <v/>
      </c>
      <c r="W1292">
        <f>IF($B1292="","",IF(OR($S1292=TRUE(),$S1292="TRUE"),1,0))</f>
        <v/>
      </c>
      <c r="X1292">
        <f>IF($U1292=1,IFERROR(IF(VALUE($B1292)&lt;100000000,VALUE($B1292),1000000000),IFERROR(IF(VALUE(MID($B1292,2,20))&lt;100000000,VALUE(MID($B1292,2,20)),1000000000),1000000000))+ROW()/100000,"")</f>
        <v/>
      </c>
    </row>
    <row r="1293">
      <c r="A1293">
        <f>IF($B1293="","",IFERROR(IF(INDEX('Per Invoice'!$C$2:$C$401,MATCH($B1293,'Per Invoice'!$A$2:$A$401,0))=0,"",INDEX('Per Invoice'!$C$2:$C$401,MATCH($B1293,'Per Invoice'!$A$2:$A$401,0))),""))</f>
        <v/>
      </c>
      <c r="G1293" s="7">
        <f>IF($B1293="","",F1293*L1293/100)</f>
        <v/>
      </c>
      <c r="K1293" s="7" t="n"/>
      <c r="L1293" s="7" t="n"/>
      <c r="M1293" s="7">
        <f>IF($B1293="","",L1293*T1293/100)</f>
        <v/>
      </c>
      <c r="N1293" s="7">
        <f>IF($B1293="","",L1293-M1293)</f>
        <v/>
      </c>
      <c r="O1293" s="7">
        <f>IF($B1293="","",N1293-G1293)</f>
        <v/>
      </c>
      <c r="R1293" s="14" t="n"/>
      <c r="T1293">
        <f>IF($B1293="","",IF($W1293=1,Settings!$C$6,Settings!$C$7)*100)</f>
        <v/>
      </c>
      <c r="U1293">
        <f>IF($B1293="","",IF(COUNTIF($B$2:$B1293,$B1293)=1,1,0))</f>
        <v/>
      </c>
      <c r="V1293">
        <f>IF($U1293=1,SUMPRODUCT(--($X$2:$X$1501&lt;$X1293))+1,"")</f>
        <v/>
      </c>
      <c r="W1293">
        <f>IF($B1293="","",IF(OR($S1293=TRUE(),$S1293="TRUE"),1,0))</f>
        <v/>
      </c>
      <c r="X1293">
        <f>IF($U1293=1,IFERROR(IF(VALUE($B1293)&lt;100000000,VALUE($B1293),1000000000),IFERROR(IF(VALUE(MID($B1293,2,20))&lt;100000000,VALUE(MID($B1293,2,20)),1000000000),1000000000))+ROW()/100000,"")</f>
        <v/>
      </c>
    </row>
    <row r="1294">
      <c r="A1294">
        <f>IF($B1294="","",IFERROR(IF(INDEX('Per Invoice'!$C$2:$C$401,MATCH($B1294,'Per Invoice'!$A$2:$A$401,0))=0,"",INDEX('Per Invoice'!$C$2:$C$401,MATCH($B1294,'Per Invoice'!$A$2:$A$401,0))),""))</f>
        <v/>
      </c>
      <c r="G1294" s="7">
        <f>IF($B1294="","",F1294*L1294/100)</f>
        <v/>
      </c>
      <c r="K1294" s="7" t="n"/>
      <c r="L1294" s="7" t="n"/>
      <c r="M1294" s="7">
        <f>IF($B1294="","",L1294*T1294/100)</f>
        <v/>
      </c>
      <c r="N1294" s="7">
        <f>IF($B1294="","",L1294-M1294)</f>
        <v/>
      </c>
      <c r="O1294" s="7">
        <f>IF($B1294="","",N1294-G1294)</f>
        <v/>
      </c>
      <c r="R1294" s="14" t="n"/>
      <c r="T1294">
        <f>IF($B1294="","",IF($W1294=1,Settings!$C$6,Settings!$C$7)*100)</f>
        <v/>
      </c>
      <c r="U1294">
        <f>IF($B1294="","",IF(COUNTIF($B$2:$B1294,$B1294)=1,1,0))</f>
        <v/>
      </c>
      <c r="V1294">
        <f>IF($U1294=1,SUMPRODUCT(--($X$2:$X$1501&lt;$X1294))+1,"")</f>
        <v/>
      </c>
      <c r="W1294">
        <f>IF($B1294="","",IF(OR($S1294=TRUE(),$S1294="TRUE"),1,0))</f>
        <v/>
      </c>
      <c r="X1294">
        <f>IF($U1294=1,IFERROR(IF(VALUE($B1294)&lt;100000000,VALUE($B1294),1000000000),IFERROR(IF(VALUE(MID($B1294,2,20))&lt;100000000,VALUE(MID($B1294,2,20)),1000000000),1000000000))+ROW()/100000,"")</f>
        <v/>
      </c>
    </row>
    <row r="1295">
      <c r="A1295">
        <f>IF($B1295="","",IFERROR(IF(INDEX('Per Invoice'!$C$2:$C$401,MATCH($B1295,'Per Invoice'!$A$2:$A$401,0))=0,"",INDEX('Per Invoice'!$C$2:$C$401,MATCH($B1295,'Per Invoice'!$A$2:$A$401,0))),""))</f>
        <v/>
      </c>
      <c r="G1295" s="7">
        <f>IF($B1295="","",F1295*L1295/100)</f>
        <v/>
      </c>
      <c r="K1295" s="7" t="n"/>
      <c r="L1295" s="7" t="n"/>
      <c r="M1295" s="7">
        <f>IF($B1295="","",L1295*T1295/100)</f>
        <v/>
      </c>
      <c r="N1295" s="7">
        <f>IF($B1295="","",L1295-M1295)</f>
        <v/>
      </c>
      <c r="O1295" s="7">
        <f>IF($B1295="","",N1295-G1295)</f>
        <v/>
      </c>
      <c r="R1295" s="14" t="n"/>
      <c r="T1295">
        <f>IF($B1295="","",IF($W1295=1,Settings!$C$6,Settings!$C$7)*100)</f>
        <v/>
      </c>
      <c r="U1295">
        <f>IF($B1295="","",IF(COUNTIF($B$2:$B1295,$B1295)=1,1,0))</f>
        <v/>
      </c>
      <c r="V1295">
        <f>IF($U1295=1,SUMPRODUCT(--($X$2:$X$1501&lt;$X1295))+1,"")</f>
        <v/>
      </c>
      <c r="W1295">
        <f>IF($B1295="","",IF(OR($S1295=TRUE(),$S1295="TRUE"),1,0))</f>
        <v/>
      </c>
      <c r="X1295">
        <f>IF($U1295=1,IFERROR(IF(VALUE($B1295)&lt;100000000,VALUE($B1295),1000000000),IFERROR(IF(VALUE(MID($B1295,2,20))&lt;100000000,VALUE(MID($B1295,2,20)),1000000000),1000000000))+ROW()/100000,"")</f>
        <v/>
      </c>
    </row>
    <row r="1296">
      <c r="A1296">
        <f>IF($B1296="","",IFERROR(IF(INDEX('Per Invoice'!$C$2:$C$401,MATCH($B1296,'Per Invoice'!$A$2:$A$401,0))=0,"",INDEX('Per Invoice'!$C$2:$C$401,MATCH($B1296,'Per Invoice'!$A$2:$A$401,0))),""))</f>
        <v/>
      </c>
      <c r="G1296" s="7">
        <f>IF($B1296="","",F1296*L1296/100)</f>
        <v/>
      </c>
      <c r="K1296" s="7" t="n"/>
      <c r="L1296" s="7" t="n"/>
      <c r="M1296" s="7">
        <f>IF($B1296="","",L1296*T1296/100)</f>
        <v/>
      </c>
      <c r="N1296" s="7">
        <f>IF($B1296="","",L1296-M1296)</f>
        <v/>
      </c>
      <c r="O1296" s="7">
        <f>IF($B1296="","",N1296-G1296)</f>
        <v/>
      </c>
      <c r="R1296" s="14" t="n"/>
      <c r="T1296">
        <f>IF($B1296="","",IF($W1296=1,Settings!$C$6,Settings!$C$7)*100)</f>
        <v/>
      </c>
      <c r="U1296">
        <f>IF($B1296="","",IF(COUNTIF($B$2:$B1296,$B1296)=1,1,0))</f>
        <v/>
      </c>
      <c r="V1296">
        <f>IF($U1296=1,SUMPRODUCT(--($X$2:$X$1501&lt;$X1296))+1,"")</f>
        <v/>
      </c>
      <c r="W1296">
        <f>IF($B1296="","",IF(OR($S1296=TRUE(),$S1296="TRUE"),1,0))</f>
        <v/>
      </c>
      <c r="X1296">
        <f>IF($U1296=1,IFERROR(IF(VALUE($B1296)&lt;100000000,VALUE($B1296),1000000000),IFERROR(IF(VALUE(MID($B1296,2,20))&lt;100000000,VALUE(MID($B1296,2,20)),1000000000),1000000000))+ROW()/100000,"")</f>
        <v/>
      </c>
    </row>
    <row r="1297">
      <c r="A1297">
        <f>IF($B1297="","",IFERROR(IF(INDEX('Per Invoice'!$C$2:$C$401,MATCH($B1297,'Per Invoice'!$A$2:$A$401,0))=0,"",INDEX('Per Invoice'!$C$2:$C$401,MATCH($B1297,'Per Invoice'!$A$2:$A$401,0))),""))</f>
        <v/>
      </c>
      <c r="G1297" s="7">
        <f>IF($B1297="","",F1297*L1297/100)</f>
        <v/>
      </c>
      <c r="K1297" s="7" t="n"/>
      <c r="L1297" s="7" t="n"/>
      <c r="M1297" s="7">
        <f>IF($B1297="","",L1297*T1297/100)</f>
        <v/>
      </c>
      <c r="N1297" s="7">
        <f>IF($B1297="","",L1297-M1297)</f>
        <v/>
      </c>
      <c r="O1297" s="7">
        <f>IF($B1297="","",N1297-G1297)</f>
        <v/>
      </c>
      <c r="R1297" s="14" t="n"/>
      <c r="T1297">
        <f>IF($B1297="","",IF($W1297=1,Settings!$C$6,Settings!$C$7)*100)</f>
        <v/>
      </c>
      <c r="U1297">
        <f>IF($B1297="","",IF(COUNTIF($B$2:$B1297,$B1297)=1,1,0))</f>
        <v/>
      </c>
      <c r="V1297">
        <f>IF($U1297=1,SUMPRODUCT(--($X$2:$X$1501&lt;$X1297))+1,"")</f>
        <v/>
      </c>
      <c r="W1297">
        <f>IF($B1297="","",IF(OR($S1297=TRUE(),$S1297="TRUE"),1,0))</f>
        <v/>
      </c>
      <c r="X1297">
        <f>IF($U1297=1,IFERROR(IF(VALUE($B1297)&lt;100000000,VALUE($B1297),1000000000),IFERROR(IF(VALUE(MID($B1297,2,20))&lt;100000000,VALUE(MID($B1297,2,20)),1000000000),1000000000))+ROW()/100000,"")</f>
        <v/>
      </c>
    </row>
    <row r="1298">
      <c r="A1298">
        <f>IF($B1298="","",IFERROR(IF(INDEX('Per Invoice'!$C$2:$C$401,MATCH($B1298,'Per Invoice'!$A$2:$A$401,0))=0,"",INDEX('Per Invoice'!$C$2:$C$401,MATCH($B1298,'Per Invoice'!$A$2:$A$401,0))),""))</f>
        <v/>
      </c>
      <c r="G1298" s="7">
        <f>IF($B1298="","",F1298*L1298/100)</f>
        <v/>
      </c>
      <c r="K1298" s="7" t="n"/>
      <c r="L1298" s="7" t="n"/>
      <c r="M1298" s="7">
        <f>IF($B1298="","",L1298*T1298/100)</f>
        <v/>
      </c>
      <c r="N1298" s="7">
        <f>IF($B1298="","",L1298-M1298)</f>
        <v/>
      </c>
      <c r="O1298" s="7">
        <f>IF($B1298="","",N1298-G1298)</f>
        <v/>
      </c>
      <c r="R1298" s="14" t="n"/>
      <c r="T1298">
        <f>IF($B1298="","",IF($W1298=1,Settings!$C$6,Settings!$C$7)*100)</f>
        <v/>
      </c>
      <c r="U1298">
        <f>IF($B1298="","",IF(COUNTIF($B$2:$B1298,$B1298)=1,1,0))</f>
        <v/>
      </c>
      <c r="V1298">
        <f>IF($U1298=1,SUMPRODUCT(--($X$2:$X$1501&lt;$X1298))+1,"")</f>
        <v/>
      </c>
      <c r="W1298">
        <f>IF($B1298="","",IF(OR($S1298=TRUE(),$S1298="TRUE"),1,0))</f>
        <v/>
      </c>
      <c r="X1298">
        <f>IF($U1298=1,IFERROR(IF(VALUE($B1298)&lt;100000000,VALUE($B1298),1000000000),IFERROR(IF(VALUE(MID($B1298,2,20))&lt;100000000,VALUE(MID($B1298,2,20)),1000000000),1000000000))+ROW()/100000,"")</f>
        <v/>
      </c>
    </row>
    <row r="1299">
      <c r="A1299">
        <f>IF($B1299="","",IFERROR(IF(INDEX('Per Invoice'!$C$2:$C$401,MATCH($B1299,'Per Invoice'!$A$2:$A$401,0))=0,"",INDEX('Per Invoice'!$C$2:$C$401,MATCH($B1299,'Per Invoice'!$A$2:$A$401,0))),""))</f>
        <v/>
      </c>
      <c r="G1299" s="7">
        <f>IF($B1299="","",F1299*L1299/100)</f>
        <v/>
      </c>
      <c r="K1299" s="7" t="n"/>
      <c r="L1299" s="7" t="n"/>
      <c r="M1299" s="7">
        <f>IF($B1299="","",L1299*T1299/100)</f>
        <v/>
      </c>
      <c r="N1299" s="7">
        <f>IF($B1299="","",L1299-M1299)</f>
        <v/>
      </c>
      <c r="O1299" s="7">
        <f>IF($B1299="","",N1299-G1299)</f>
        <v/>
      </c>
      <c r="R1299" s="14" t="n"/>
      <c r="T1299">
        <f>IF($B1299="","",IF($W1299=1,Settings!$C$6,Settings!$C$7)*100)</f>
        <v/>
      </c>
      <c r="U1299">
        <f>IF($B1299="","",IF(COUNTIF($B$2:$B1299,$B1299)=1,1,0))</f>
        <v/>
      </c>
      <c r="V1299">
        <f>IF($U1299=1,SUMPRODUCT(--($X$2:$X$1501&lt;$X1299))+1,"")</f>
        <v/>
      </c>
      <c r="W1299">
        <f>IF($B1299="","",IF(OR($S1299=TRUE(),$S1299="TRUE"),1,0))</f>
        <v/>
      </c>
      <c r="X1299">
        <f>IF($U1299=1,IFERROR(IF(VALUE($B1299)&lt;100000000,VALUE($B1299),1000000000),IFERROR(IF(VALUE(MID($B1299,2,20))&lt;100000000,VALUE(MID($B1299,2,20)),1000000000),1000000000))+ROW()/100000,"")</f>
        <v/>
      </c>
    </row>
    <row r="1300">
      <c r="A1300">
        <f>IF($B1300="","",IFERROR(IF(INDEX('Per Invoice'!$C$2:$C$401,MATCH($B1300,'Per Invoice'!$A$2:$A$401,0))=0,"",INDEX('Per Invoice'!$C$2:$C$401,MATCH($B1300,'Per Invoice'!$A$2:$A$401,0))),""))</f>
        <v/>
      </c>
      <c r="G1300" s="7">
        <f>IF($B1300="","",F1300*L1300/100)</f>
        <v/>
      </c>
      <c r="K1300" s="7" t="n"/>
      <c r="L1300" s="7" t="n"/>
      <c r="M1300" s="7">
        <f>IF($B1300="","",L1300*T1300/100)</f>
        <v/>
      </c>
      <c r="N1300" s="7">
        <f>IF($B1300="","",L1300-M1300)</f>
        <v/>
      </c>
      <c r="O1300" s="7">
        <f>IF($B1300="","",N1300-G1300)</f>
        <v/>
      </c>
      <c r="R1300" s="14" t="n"/>
      <c r="T1300">
        <f>IF($B1300="","",IF($W1300=1,Settings!$C$6,Settings!$C$7)*100)</f>
        <v/>
      </c>
      <c r="U1300">
        <f>IF($B1300="","",IF(COUNTIF($B$2:$B1300,$B1300)=1,1,0))</f>
        <v/>
      </c>
      <c r="V1300">
        <f>IF($U1300=1,SUMPRODUCT(--($X$2:$X$1501&lt;$X1300))+1,"")</f>
        <v/>
      </c>
      <c r="W1300">
        <f>IF($B1300="","",IF(OR($S1300=TRUE(),$S1300="TRUE"),1,0))</f>
        <v/>
      </c>
      <c r="X1300">
        <f>IF($U1300=1,IFERROR(IF(VALUE($B1300)&lt;100000000,VALUE($B1300),1000000000),IFERROR(IF(VALUE(MID($B1300,2,20))&lt;100000000,VALUE(MID($B1300,2,20)),1000000000),1000000000))+ROW()/100000,"")</f>
        <v/>
      </c>
    </row>
    <row r="1301">
      <c r="A1301">
        <f>IF($B1301="","",IFERROR(IF(INDEX('Per Invoice'!$C$2:$C$401,MATCH($B1301,'Per Invoice'!$A$2:$A$401,0))=0,"",INDEX('Per Invoice'!$C$2:$C$401,MATCH($B1301,'Per Invoice'!$A$2:$A$401,0))),""))</f>
        <v/>
      </c>
      <c r="G1301" s="7">
        <f>IF($B1301="","",F1301*L1301/100)</f>
        <v/>
      </c>
      <c r="K1301" s="7" t="n"/>
      <c r="L1301" s="7" t="n"/>
      <c r="M1301" s="7">
        <f>IF($B1301="","",L1301*T1301/100)</f>
        <v/>
      </c>
      <c r="N1301" s="7">
        <f>IF($B1301="","",L1301-M1301)</f>
        <v/>
      </c>
      <c r="O1301" s="7">
        <f>IF($B1301="","",N1301-G1301)</f>
        <v/>
      </c>
      <c r="R1301" s="14" t="n"/>
      <c r="T1301">
        <f>IF($B1301="","",IF($W1301=1,Settings!$C$6,Settings!$C$7)*100)</f>
        <v/>
      </c>
      <c r="U1301">
        <f>IF($B1301="","",IF(COUNTIF($B$2:$B1301,$B1301)=1,1,0))</f>
        <v/>
      </c>
      <c r="V1301">
        <f>IF($U1301=1,SUMPRODUCT(--($X$2:$X$1501&lt;$X1301))+1,"")</f>
        <v/>
      </c>
      <c r="W1301">
        <f>IF($B1301="","",IF(OR($S1301=TRUE(),$S1301="TRUE"),1,0))</f>
        <v/>
      </c>
      <c r="X1301">
        <f>IF($U1301=1,IFERROR(IF(VALUE($B1301)&lt;100000000,VALUE($B1301),1000000000),IFERROR(IF(VALUE(MID($B1301,2,20))&lt;100000000,VALUE(MID($B1301,2,20)),1000000000),1000000000))+ROW()/100000,"")</f>
        <v/>
      </c>
    </row>
    <row r="1302">
      <c r="A1302">
        <f>IF($B1302="","",IFERROR(IF(INDEX('Per Invoice'!$C$2:$C$401,MATCH($B1302,'Per Invoice'!$A$2:$A$401,0))=0,"",INDEX('Per Invoice'!$C$2:$C$401,MATCH($B1302,'Per Invoice'!$A$2:$A$401,0))),""))</f>
        <v/>
      </c>
      <c r="G1302" s="7">
        <f>IF($B1302="","",F1302*L1302/100)</f>
        <v/>
      </c>
      <c r="K1302" s="7" t="n"/>
      <c r="L1302" s="7" t="n"/>
      <c r="M1302" s="7">
        <f>IF($B1302="","",L1302*T1302/100)</f>
        <v/>
      </c>
      <c r="N1302" s="7">
        <f>IF($B1302="","",L1302-M1302)</f>
        <v/>
      </c>
      <c r="O1302" s="7">
        <f>IF($B1302="","",N1302-G1302)</f>
        <v/>
      </c>
      <c r="R1302" s="14" t="n"/>
      <c r="T1302">
        <f>IF($B1302="","",IF($W1302=1,Settings!$C$6,Settings!$C$7)*100)</f>
        <v/>
      </c>
      <c r="U1302">
        <f>IF($B1302="","",IF(COUNTIF($B$2:$B1302,$B1302)=1,1,0))</f>
        <v/>
      </c>
      <c r="V1302">
        <f>IF($U1302=1,SUMPRODUCT(--($X$2:$X$1501&lt;$X1302))+1,"")</f>
        <v/>
      </c>
      <c r="W1302">
        <f>IF($B1302="","",IF(OR($S1302=TRUE(),$S1302="TRUE"),1,0))</f>
        <v/>
      </c>
      <c r="X1302">
        <f>IF($U1302=1,IFERROR(IF(VALUE($B1302)&lt;100000000,VALUE($B1302),1000000000),IFERROR(IF(VALUE(MID($B1302,2,20))&lt;100000000,VALUE(MID($B1302,2,20)),1000000000),1000000000))+ROW()/100000,"")</f>
        <v/>
      </c>
    </row>
    <row r="1303">
      <c r="A1303">
        <f>IF($B1303="","",IFERROR(IF(INDEX('Per Invoice'!$C$2:$C$401,MATCH($B1303,'Per Invoice'!$A$2:$A$401,0))=0,"",INDEX('Per Invoice'!$C$2:$C$401,MATCH($B1303,'Per Invoice'!$A$2:$A$401,0))),""))</f>
        <v/>
      </c>
      <c r="G1303" s="7">
        <f>IF($B1303="","",F1303*L1303/100)</f>
        <v/>
      </c>
      <c r="K1303" s="7" t="n"/>
      <c r="L1303" s="7" t="n"/>
      <c r="M1303" s="7">
        <f>IF($B1303="","",L1303*T1303/100)</f>
        <v/>
      </c>
      <c r="N1303" s="7">
        <f>IF($B1303="","",L1303-M1303)</f>
        <v/>
      </c>
      <c r="O1303" s="7">
        <f>IF($B1303="","",N1303-G1303)</f>
        <v/>
      </c>
      <c r="R1303" s="14" t="n"/>
      <c r="T1303">
        <f>IF($B1303="","",IF($W1303=1,Settings!$C$6,Settings!$C$7)*100)</f>
        <v/>
      </c>
      <c r="U1303">
        <f>IF($B1303="","",IF(COUNTIF($B$2:$B1303,$B1303)=1,1,0))</f>
        <v/>
      </c>
      <c r="V1303">
        <f>IF($U1303=1,SUMPRODUCT(--($X$2:$X$1501&lt;$X1303))+1,"")</f>
        <v/>
      </c>
      <c r="W1303">
        <f>IF($B1303="","",IF(OR($S1303=TRUE(),$S1303="TRUE"),1,0))</f>
        <v/>
      </c>
      <c r="X1303">
        <f>IF($U1303=1,IFERROR(IF(VALUE($B1303)&lt;100000000,VALUE($B1303),1000000000),IFERROR(IF(VALUE(MID($B1303,2,20))&lt;100000000,VALUE(MID($B1303,2,20)),1000000000),1000000000))+ROW()/100000,"")</f>
        <v/>
      </c>
    </row>
    <row r="1304">
      <c r="A1304">
        <f>IF($B1304="","",IFERROR(IF(INDEX('Per Invoice'!$C$2:$C$401,MATCH($B1304,'Per Invoice'!$A$2:$A$401,0))=0,"",INDEX('Per Invoice'!$C$2:$C$401,MATCH($B1304,'Per Invoice'!$A$2:$A$401,0))),""))</f>
        <v/>
      </c>
      <c r="G1304" s="7">
        <f>IF($B1304="","",F1304*L1304/100)</f>
        <v/>
      </c>
      <c r="K1304" s="7" t="n"/>
      <c r="L1304" s="7" t="n"/>
      <c r="M1304" s="7">
        <f>IF($B1304="","",L1304*T1304/100)</f>
        <v/>
      </c>
      <c r="N1304" s="7">
        <f>IF($B1304="","",L1304-M1304)</f>
        <v/>
      </c>
      <c r="O1304" s="7">
        <f>IF($B1304="","",N1304-G1304)</f>
        <v/>
      </c>
      <c r="R1304" s="14" t="n"/>
      <c r="T1304">
        <f>IF($B1304="","",IF($W1304=1,Settings!$C$6,Settings!$C$7)*100)</f>
        <v/>
      </c>
      <c r="U1304">
        <f>IF($B1304="","",IF(COUNTIF($B$2:$B1304,$B1304)=1,1,0))</f>
        <v/>
      </c>
      <c r="V1304">
        <f>IF($U1304=1,SUMPRODUCT(--($X$2:$X$1501&lt;$X1304))+1,"")</f>
        <v/>
      </c>
      <c r="W1304">
        <f>IF($B1304="","",IF(OR($S1304=TRUE(),$S1304="TRUE"),1,0))</f>
        <v/>
      </c>
      <c r="X1304">
        <f>IF($U1304=1,IFERROR(IF(VALUE($B1304)&lt;100000000,VALUE($B1304),1000000000),IFERROR(IF(VALUE(MID($B1304,2,20))&lt;100000000,VALUE(MID($B1304,2,20)),1000000000),1000000000))+ROW()/100000,"")</f>
        <v/>
      </c>
    </row>
    <row r="1305">
      <c r="A1305">
        <f>IF($B1305="","",IFERROR(IF(INDEX('Per Invoice'!$C$2:$C$401,MATCH($B1305,'Per Invoice'!$A$2:$A$401,0))=0,"",INDEX('Per Invoice'!$C$2:$C$401,MATCH($B1305,'Per Invoice'!$A$2:$A$401,0))),""))</f>
        <v/>
      </c>
      <c r="G1305" s="7">
        <f>IF($B1305="","",F1305*L1305/100)</f>
        <v/>
      </c>
      <c r="K1305" s="7" t="n"/>
      <c r="L1305" s="7" t="n"/>
      <c r="M1305" s="7">
        <f>IF($B1305="","",L1305*T1305/100)</f>
        <v/>
      </c>
      <c r="N1305" s="7">
        <f>IF($B1305="","",L1305-M1305)</f>
        <v/>
      </c>
      <c r="O1305" s="7">
        <f>IF($B1305="","",N1305-G1305)</f>
        <v/>
      </c>
      <c r="R1305" s="14" t="n"/>
      <c r="T1305">
        <f>IF($B1305="","",IF($W1305=1,Settings!$C$6,Settings!$C$7)*100)</f>
        <v/>
      </c>
      <c r="U1305">
        <f>IF($B1305="","",IF(COUNTIF($B$2:$B1305,$B1305)=1,1,0))</f>
        <v/>
      </c>
      <c r="V1305">
        <f>IF($U1305=1,SUMPRODUCT(--($X$2:$X$1501&lt;$X1305))+1,"")</f>
        <v/>
      </c>
      <c r="W1305">
        <f>IF($B1305="","",IF(OR($S1305=TRUE(),$S1305="TRUE"),1,0))</f>
        <v/>
      </c>
      <c r="X1305">
        <f>IF($U1305=1,IFERROR(IF(VALUE($B1305)&lt;100000000,VALUE($B1305),1000000000),IFERROR(IF(VALUE(MID($B1305,2,20))&lt;100000000,VALUE(MID($B1305,2,20)),1000000000),1000000000))+ROW()/100000,"")</f>
        <v/>
      </c>
    </row>
    <row r="1306">
      <c r="A1306">
        <f>IF($B1306="","",IFERROR(IF(INDEX('Per Invoice'!$C$2:$C$401,MATCH($B1306,'Per Invoice'!$A$2:$A$401,0))=0,"",INDEX('Per Invoice'!$C$2:$C$401,MATCH($B1306,'Per Invoice'!$A$2:$A$401,0))),""))</f>
        <v/>
      </c>
      <c r="G1306" s="7">
        <f>IF($B1306="","",F1306*L1306/100)</f>
        <v/>
      </c>
      <c r="K1306" s="7" t="n"/>
      <c r="L1306" s="7" t="n"/>
      <c r="M1306" s="7">
        <f>IF($B1306="","",L1306*T1306/100)</f>
        <v/>
      </c>
      <c r="N1306" s="7">
        <f>IF($B1306="","",L1306-M1306)</f>
        <v/>
      </c>
      <c r="O1306" s="7">
        <f>IF($B1306="","",N1306-G1306)</f>
        <v/>
      </c>
      <c r="R1306" s="14" t="n"/>
      <c r="T1306">
        <f>IF($B1306="","",IF($W1306=1,Settings!$C$6,Settings!$C$7)*100)</f>
        <v/>
      </c>
      <c r="U1306">
        <f>IF($B1306="","",IF(COUNTIF($B$2:$B1306,$B1306)=1,1,0))</f>
        <v/>
      </c>
      <c r="V1306">
        <f>IF($U1306=1,SUMPRODUCT(--($X$2:$X$1501&lt;$X1306))+1,"")</f>
        <v/>
      </c>
      <c r="W1306">
        <f>IF($B1306="","",IF(OR($S1306=TRUE(),$S1306="TRUE"),1,0))</f>
        <v/>
      </c>
      <c r="X1306">
        <f>IF($U1306=1,IFERROR(IF(VALUE($B1306)&lt;100000000,VALUE($B1306),1000000000),IFERROR(IF(VALUE(MID($B1306,2,20))&lt;100000000,VALUE(MID($B1306,2,20)),1000000000),1000000000))+ROW()/100000,"")</f>
        <v/>
      </c>
    </row>
    <row r="1307">
      <c r="A1307">
        <f>IF($B1307="","",IFERROR(IF(INDEX('Per Invoice'!$C$2:$C$401,MATCH($B1307,'Per Invoice'!$A$2:$A$401,0))=0,"",INDEX('Per Invoice'!$C$2:$C$401,MATCH($B1307,'Per Invoice'!$A$2:$A$401,0))),""))</f>
        <v/>
      </c>
      <c r="G1307" s="7">
        <f>IF($B1307="","",F1307*L1307/100)</f>
        <v/>
      </c>
      <c r="K1307" s="7" t="n"/>
      <c r="L1307" s="7" t="n"/>
      <c r="M1307" s="7">
        <f>IF($B1307="","",L1307*T1307/100)</f>
        <v/>
      </c>
      <c r="N1307" s="7">
        <f>IF($B1307="","",L1307-M1307)</f>
        <v/>
      </c>
      <c r="O1307" s="7">
        <f>IF($B1307="","",N1307-G1307)</f>
        <v/>
      </c>
      <c r="R1307" s="14" t="n"/>
      <c r="T1307">
        <f>IF($B1307="","",IF($W1307=1,Settings!$C$6,Settings!$C$7)*100)</f>
        <v/>
      </c>
      <c r="U1307">
        <f>IF($B1307="","",IF(COUNTIF($B$2:$B1307,$B1307)=1,1,0))</f>
        <v/>
      </c>
      <c r="V1307">
        <f>IF($U1307=1,SUMPRODUCT(--($X$2:$X$1501&lt;$X1307))+1,"")</f>
        <v/>
      </c>
      <c r="W1307">
        <f>IF($B1307="","",IF(OR($S1307=TRUE(),$S1307="TRUE"),1,0))</f>
        <v/>
      </c>
      <c r="X1307">
        <f>IF($U1307=1,IFERROR(IF(VALUE($B1307)&lt;100000000,VALUE($B1307),1000000000),IFERROR(IF(VALUE(MID($B1307,2,20))&lt;100000000,VALUE(MID($B1307,2,20)),1000000000),1000000000))+ROW()/100000,"")</f>
        <v/>
      </c>
    </row>
    <row r="1308">
      <c r="A1308">
        <f>IF($B1308="","",IFERROR(IF(INDEX('Per Invoice'!$C$2:$C$401,MATCH($B1308,'Per Invoice'!$A$2:$A$401,0))=0,"",INDEX('Per Invoice'!$C$2:$C$401,MATCH($B1308,'Per Invoice'!$A$2:$A$401,0))),""))</f>
        <v/>
      </c>
      <c r="G1308" s="7">
        <f>IF($B1308="","",F1308*L1308/100)</f>
        <v/>
      </c>
      <c r="K1308" s="7" t="n"/>
      <c r="L1308" s="7" t="n"/>
      <c r="M1308" s="7">
        <f>IF($B1308="","",L1308*T1308/100)</f>
        <v/>
      </c>
      <c r="N1308" s="7">
        <f>IF($B1308="","",L1308-M1308)</f>
        <v/>
      </c>
      <c r="O1308" s="7">
        <f>IF($B1308="","",N1308-G1308)</f>
        <v/>
      </c>
      <c r="R1308" s="14" t="n"/>
      <c r="T1308">
        <f>IF($B1308="","",IF($W1308=1,Settings!$C$6,Settings!$C$7)*100)</f>
        <v/>
      </c>
      <c r="U1308">
        <f>IF($B1308="","",IF(COUNTIF($B$2:$B1308,$B1308)=1,1,0))</f>
        <v/>
      </c>
      <c r="V1308">
        <f>IF($U1308=1,SUMPRODUCT(--($X$2:$X$1501&lt;$X1308))+1,"")</f>
        <v/>
      </c>
      <c r="W1308">
        <f>IF($B1308="","",IF(OR($S1308=TRUE(),$S1308="TRUE"),1,0))</f>
        <v/>
      </c>
      <c r="X1308">
        <f>IF($U1308=1,IFERROR(IF(VALUE($B1308)&lt;100000000,VALUE($B1308),1000000000),IFERROR(IF(VALUE(MID($B1308,2,20))&lt;100000000,VALUE(MID($B1308,2,20)),1000000000),1000000000))+ROW()/100000,"")</f>
        <v/>
      </c>
    </row>
    <row r="1309">
      <c r="A1309">
        <f>IF($B1309="","",IFERROR(IF(INDEX('Per Invoice'!$C$2:$C$401,MATCH($B1309,'Per Invoice'!$A$2:$A$401,0))=0,"",INDEX('Per Invoice'!$C$2:$C$401,MATCH($B1309,'Per Invoice'!$A$2:$A$401,0))),""))</f>
        <v/>
      </c>
      <c r="G1309" s="7">
        <f>IF($B1309="","",F1309*L1309/100)</f>
        <v/>
      </c>
      <c r="K1309" s="7" t="n"/>
      <c r="L1309" s="7" t="n"/>
      <c r="M1309" s="7">
        <f>IF($B1309="","",L1309*T1309/100)</f>
        <v/>
      </c>
      <c r="N1309" s="7">
        <f>IF($B1309="","",L1309-M1309)</f>
        <v/>
      </c>
      <c r="O1309" s="7">
        <f>IF($B1309="","",N1309-G1309)</f>
        <v/>
      </c>
      <c r="R1309" s="14" t="n"/>
      <c r="T1309">
        <f>IF($B1309="","",IF($W1309=1,Settings!$C$6,Settings!$C$7)*100)</f>
        <v/>
      </c>
      <c r="U1309">
        <f>IF($B1309="","",IF(COUNTIF($B$2:$B1309,$B1309)=1,1,0))</f>
        <v/>
      </c>
      <c r="V1309">
        <f>IF($U1309=1,SUMPRODUCT(--($X$2:$X$1501&lt;$X1309))+1,"")</f>
        <v/>
      </c>
      <c r="W1309">
        <f>IF($B1309="","",IF(OR($S1309=TRUE(),$S1309="TRUE"),1,0))</f>
        <v/>
      </c>
      <c r="X1309">
        <f>IF($U1309=1,IFERROR(IF(VALUE($B1309)&lt;100000000,VALUE($B1309),1000000000),IFERROR(IF(VALUE(MID($B1309,2,20))&lt;100000000,VALUE(MID($B1309,2,20)),1000000000),1000000000))+ROW()/100000,"")</f>
        <v/>
      </c>
    </row>
    <row r="1310">
      <c r="A1310">
        <f>IF($B1310="","",IFERROR(IF(INDEX('Per Invoice'!$C$2:$C$401,MATCH($B1310,'Per Invoice'!$A$2:$A$401,0))=0,"",INDEX('Per Invoice'!$C$2:$C$401,MATCH($B1310,'Per Invoice'!$A$2:$A$401,0))),""))</f>
        <v/>
      </c>
      <c r="G1310" s="7">
        <f>IF($B1310="","",F1310*L1310/100)</f>
        <v/>
      </c>
      <c r="K1310" s="7" t="n"/>
      <c r="L1310" s="7" t="n"/>
      <c r="M1310" s="7">
        <f>IF($B1310="","",L1310*T1310/100)</f>
        <v/>
      </c>
      <c r="N1310" s="7">
        <f>IF($B1310="","",L1310-M1310)</f>
        <v/>
      </c>
      <c r="O1310" s="7">
        <f>IF($B1310="","",N1310-G1310)</f>
        <v/>
      </c>
      <c r="R1310" s="14" t="n"/>
      <c r="T1310">
        <f>IF($B1310="","",IF($W1310=1,Settings!$C$6,Settings!$C$7)*100)</f>
        <v/>
      </c>
      <c r="U1310">
        <f>IF($B1310="","",IF(COUNTIF($B$2:$B1310,$B1310)=1,1,0))</f>
        <v/>
      </c>
      <c r="V1310">
        <f>IF($U1310=1,SUMPRODUCT(--($X$2:$X$1501&lt;$X1310))+1,"")</f>
        <v/>
      </c>
      <c r="W1310">
        <f>IF($B1310="","",IF(OR($S1310=TRUE(),$S1310="TRUE"),1,0))</f>
        <v/>
      </c>
      <c r="X1310">
        <f>IF($U1310=1,IFERROR(IF(VALUE($B1310)&lt;100000000,VALUE($B1310),1000000000),IFERROR(IF(VALUE(MID($B1310,2,20))&lt;100000000,VALUE(MID($B1310,2,20)),1000000000),1000000000))+ROW()/100000,"")</f>
        <v/>
      </c>
    </row>
    <row r="1311">
      <c r="A1311">
        <f>IF($B1311="","",IFERROR(IF(INDEX('Per Invoice'!$C$2:$C$401,MATCH($B1311,'Per Invoice'!$A$2:$A$401,0))=0,"",INDEX('Per Invoice'!$C$2:$C$401,MATCH($B1311,'Per Invoice'!$A$2:$A$401,0))),""))</f>
        <v/>
      </c>
      <c r="G1311" s="7">
        <f>IF($B1311="","",F1311*L1311/100)</f>
        <v/>
      </c>
      <c r="K1311" s="7" t="n"/>
      <c r="L1311" s="7" t="n"/>
      <c r="M1311" s="7">
        <f>IF($B1311="","",L1311*T1311/100)</f>
        <v/>
      </c>
      <c r="N1311" s="7">
        <f>IF($B1311="","",L1311-M1311)</f>
        <v/>
      </c>
      <c r="O1311" s="7">
        <f>IF($B1311="","",N1311-G1311)</f>
        <v/>
      </c>
      <c r="R1311" s="14" t="n"/>
      <c r="T1311">
        <f>IF($B1311="","",IF($W1311=1,Settings!$C$6,Settings!$C$7)*100)</f>
        <v/>
      </c>
      <c r="U1311">
        <f>IF($B1311="","",IF(COUNTIF($B$2:$B1311,$B1311)=1,1,0))</f>
        <v/>
      </c>
      <c r="V1311">
        <f>IF($U1311=1,SUMPRODUCT(--($X$2:$X$1501&lt;$X1311))+1,"")</f>
        <v/>
      </c>
      <c r="W1311">
        <f>IF($B1311="","",IF(OR($S1311=TRUE(),$S1311="TRUE"),1,0))</f>
        <v/>
      </c>
      <c r="X1311">
        <f>IF($U1311=1,IFERROR(IF(VALUE($B1311)&lt;100000000,VALUE($B1311),1000000000),IFERROR(IF(VALUE(MID($B1311,2,20))&lt;100000000,VALUE(MID($B1311,2,20)),1000000000),1000000000))+ROW()/100000,"")</f>
        <v/>
      </c>
    </row>
    <row r="1312">
      <c r="A1312">
        <f>IF($B1312="","",IFERROR(IF(INDEX('Per Invoice'!$C$2:$C$401,MATCH($B1312,'Per Invoice'!$A$2:$A$401,0))=0,"",INDEX('Per Invoice'!$C$2:$C$401,MATCH($B1312,'Per Invoice'!$A$2:$A$401,0))),""))</f>
        <v/>
      </c>
      <c r="G1312" s="7">
        <f>IF($B1312="","",F1312*L1312/100)</f>
        <v/>
      </c>
      <c r="K1312" s="7" t="n"/>
      <c r="L1312" s="7" t="n"/>
      <c r="M1312" s="7">
        <f>IF($B1312="","",L1312*T1312/100)</f>
        <v/>
      </c>
      <c r="N1312" s="7">
        <f>IF($B1312="","",L1312-M1312)</f>
        <v/>
      </c>
      <c r="O1312" s="7">
        <f>IF($B1312="","",N1312-G1312)</f>
        <v/>
      </c>
      <c r="R1312" s="14" t="n"/>
      <c r="T1312">
        <f>IF($B1312="","",IF($W1312=1,Settings!$C$6,Settings!$C$7)*100)</f>
        <v/>
      </c>
      <c r="U1312">
        <f>IF($B1312="","",IF(COUNTIF($B$2:$B1312,$B1312)=1,1,0))</f>
        <v/>
      </c>
      <c r="V1312">
        <f>IF($U1312=1,SUMPRODUCT(--($X$2:$X$1501&lt;$X1312))+1,"")</f>
        <v/>
      </c>
      <c r="W1312">
        <f>IF($B1312="","",IF(OR($S1312=TRUE(),$S1312="TRUE"),1,0))</f>
        <v/>
      </c>
      <c r="X1312">
        <f>IF($U1312=1,IFERROR(IF(VALUE($B1312)&lt;100000000,VALUE($B1312),1000000000),IFERROR(IF(VALUE(MID($B1312,2,20))&lt;100000000,VALUE(MID($B1312,2,20)),1000000000),1000000000))+ROW()/100000,"")</f>
        <v/>
      </c>
    </row>
    <row r="1313">
      <c r="A1313">
        <f>IF($B1313="","",IFERROR(IF(INDEX('Per Invoice'!$C$2:$C$401,MATCH($B1313,'Per Invoice'!$A$2:$A$401,0))=0,"",INDEX('Per Invoice'!$C$2:$C$401,MATCH($B1313,'Per Invoice'!$A$2:$A$401,0))),""))</f>
        <v/>
      </c>
      <c r="G1313" s="7">
        <f>IF($B1313="","",F1313*L1313/100)</f>
        <v/>
      </c>
      <c r="K1313" s="7" t="n"/>
      <c r="L1313" s="7" t="n"/>
      <c r="M1313" s="7">
        <f>IF($B1313="","",L1313*T1313/100)</f>
        <v/>
      </c>
      <c r="N1313" s="7">
        <f>IF($B1313="","",L1313-M1313)</f>
        <v/>
      </c>
      <c r="O1313" s="7">
        <f>IF($B1313="","",N1313-G1313)</f>
        <v/>
      </c>
      <c r="R1313" s="14" t="n"/>
      <c r="T1313">
        <f>IF($B1313="","",IF($W1313=1,Settings!$C$6,Settings!$C$7)*100)</f>
        <v/>
      </c>
      <c r="U1313">
        <f>IF($B1313="","",IF(COUNTIF($B$2:$B1313,$B1313)=1,1,0))</f>
        <v/>
      </c>
      <c r="V1313">
        <f>IF($U1313=1,SUMPRODUCT(--($X$2:$X$1501&lt;$X1313))+1,"")</f>
        <v/>
      </c>
      <c r="W1313">
        <f>IF($B1313="","",IF(OR($S1313=TRUE(),$S1313="TRUE"),1,0))</f>
        <v/>
      </c>
      <c r="X1313">
        <f>IF($U1313=1,IFERROR(IF(VALUE($B1313)&lt;100000000,VALUE($B1313),1000000000),IFERROR(IF(VALUE(MID($B1313,2,20))&lt;100000000,VALUE(MID($B1313,2,20)),1000000000),1000000000))+ROW()/100000,"")</f>
        <v/>
      </c>
    </row>
    <row r="1314">
      <c r="A1314">
        <f>IF($B1314="","",IFERROR(IF(INDEX('Per Invoice'!$C$2:$C$401,MATCH($B1314,'Per Invoice'!$A$2:$A$401,0))=0,"",INDEX('Per Invoice'!$C$2:$C$401,MATCH($B1314,'Per Invoice'!$A$2:$A$401,0))),""))</f>
        <v/>
      </c>
      <c r="G1314" s="7">
        <f>IF($B1314="","",F1314*L1314/100)</f>
        <v/>
      </c>
      <c r="K1314" s="7" t="n"/>
      <c r="L1314" s="7" t="n"/>
      <c r="M1314" s="7">
        <f>IF($B1314="","",L1314*T1314/100)</f>
        <v/>
      </c>
      <c r="N1314" s="7">
        <f>IF($B1314="","",L1314-M1314)</f>
        <v/>
      </c>
      <c r="O1314" s="7">
        <f>IF($B1314="","",N1314-G1314)</f>
        <v/>
      </c>
      <c r="R1314" s="14" t="n"/>
      <c r="T1314">
        <f>IF($B1314="","",IF($W1314=1,Settings!$C$6,Settings!$C$7)*100)</f>
        <v/>
      </c>
      <c r="U1314">
        <f>IF($B1314="","",IF(COUNTIF($B$2:$B1314,$B1314)=1,1,0))</f>
        <v/>
      </c>
      <c r="V1314">
        <f>IF($U1314=1,SUMPRODUCT(--($X$2:$X$1501&lt;$X1314))+1,"")</f>
        <v/>
      </c>
      <c r="W1314">
        <f>IF($B1314="","",IF(OR($S1314=TRUE(),$S1314="TRUE"),1,0))</f>
        <v/>
      </c>
      <c r="X1314">
        <f>IF($U1314=1,IFERROR(IF(VALUE($B1314)&lt;100000000,VALUE($B1314),1000000000),IFERROR(IF(VALUE(MID($B1314,2,20))&lt;100000000,VALUE(MID($B1314,2,20)),1000000000),1000000000))+ROW()/100000,"")</f>
        <v/>
      </c>
    </row>
    <row r="1315">
      <c r="A1315">
        <f>IF($B1315="","",IFERROR(IF(INDEX('Per Invoice'!$C$2:$C$401,MATCH($B1315,'Per Invoice'!$A$2:$A$401,0))=0,"",INDEX('Per Invoice'!$C$2:$C$401,MATCH($B1315,'Per Invoice'!$A$2:$A$401,0))),""))</f>
        <v/>
      </c>
      <c r="G1315" s="7">
        <f>IF($B1315="","",F1315*L1315/100)</f>
        <v/>
      </c>
      <c r="K1315" s="7" t="n"/>
      <c r="L1315" s="7" t="n"/>
      <c r="M1315" s="7">
        <f>IF($B1315="","",L1315*T1315/100)</f>
        <v/>
      </c>
      <c r="N1315" s="7">
        <f>IF($B1315="","",L1315-M1315)</f>
        <v/>
      </c>
      <c r="O1315" s="7">
        <f>IF($B1315="","",N1315-G1315)</f>
        <v/>
      </c>
      <c r="R1315" s="14" t="n"/>
      <c r="T1315">
        <f>IF($B1315="","",IF($W1315=1,Settings!$C$6,Settings!$C$7)*100)</f>
        <v/>
      </c>
      <c r="U1315">
        <f>IF($B1315="","",IF(COUNTIF($B$2:$B1315,$B1315)=1,1,0))</f>
        <v/>
      </c>
      <c r="V1315">
        <f>IF($U1315=1,SUMPRODUCT(--($X$2:$X$1501&lt;$X1315))+1,"")</f>
        <v/>
      </c>
      <c r="W1315">
        <f>IF($B1315="","",IF(OR($S1315=TRUE(),$S1315="TRUE"),1,0))</f>
        <v/>
      </c>
      <c r="X1315">
        <f>IF($U1315=1,IFERROR(IF(VALUE($B1315)&lt;100000000,VALUE($B1315),1000000000),IFERROR(IF(VALUE(MID($B1315,2,20))&lt;100000000,VALUE(MID($B1315,2,20)),1000000000),1000000000))+ROW()/100000,"")</f>
        <v/>
      </c>
    </row>
    <row r="1316">
      <c r="A1316">
        <f>IF($B1316="","",IFERROR(IF(INDEX('Per Invoice'!$C$2:$C$401,MATCH($B1316,'Per Invoice'!$A$2:$A$401,0))=0,"",INDEX('Per Invoice'!$C$2:$C$401,MATCH($B1316,'Per Invoice'!$A$2:$A$401,0))),""))</f>
        <v/>
      </c>
      <c r="G1316" s="7">
        <f>IF($B1316="","",F1316*L1316/100)</f>
        <v/>
      </c>
      <c r="K1316" s="7" t="n"/>
      <c r="L1316" s="7" t="n"/>
      <c r="M1316" s="7">
        <f>IF($B1316="","",L1316*T1316/100)</f>
        <v/>
      </c>
      <c r="N1316" s="7">
        <f>IF($B1316="","",L1316-M1316)</f>
        <v/>
      </c>
      <c r="O1316" s="7">
        <f>IF($B1316="","",N1316-G1316)</f>
        <v/>
      </c>
      <c r="R1316" s="14" t="n"/>
      <c r="T1316">
        <f>IF($B1316="","",IF($W1316=1,Settings!$C$6,Settings!$C$7)*100)</f>
        <v/>
      </c>
      <c r="U1316">
        <f>IF($B1316="","",IF(COUNTIF($B$2:$B1316,$B1316)=1,1,0))</f>
        <v/>
      </c>
      <c r="V1316">
        <f>IF($U1316=1,SUMPRODUCT(--($X$2:$X$1501&lt;$X1316))+1,"")</f>
        <v/>
      </c>
      <c r="W1316">
        <f>IF($B1316="","",IF(OR($S1316=TRUE(),$S1316="TRUE"),1,0))</f>
        <v/>
      </c>
      <c r="X1316">
        <f>IF($U1316=1,IFERROR(IF(VALUE($B1316)&lt;100000000,VALUE($B1316),1000000000),IFERROR(IF(VALUE(MID($B1316,2,20))&lt;100000000,VALUE(MID($B1316,2,20)),1000000000),1000000000))+ROW()/100000,"")</f>
        <v/>
      </c>
    </row>
    <row r="1317">
      <c r="A1317">
        <f>IF($B1317="","",IFERROR(IF(INDEX('Per Invoice'!$C$2:$C$401,MATCH($B1317,'Per Invoice'!$A$2:$A$401,0))=0,"",INDEX('Per Invoice'!$C$2:$C$401,MATCH($B1317,'Per Invoice'!$A$2:$A$401,0))),""))</f>
        <v/>
      </c>
      <c r="G1317" s="7">
        <f>IF($B1317="","",F1317*L1317/100)</f>
        <v/>
      </c>
      <c r="K1317" s="7" t="n"/>
      <c r="L1317" s="7" t="n"/>
      <c r="M1317" s="7">
        <f>IF($B1317="","",L1317*T1317/100)</f>
        <v/>
      </c>
      <c r="N1317" s="7">
        <f>IF($B1317="","",L1317-M1317)</f>
        <v/>
      </c>
      <c r="O1317" s="7">
        <f>IF($B1317="","",N1317-G1317)</f>
        <v/>
      </c>
      <c r="R1317" s="14" t="n"/>
      <c r="T1317">
        <f>IF($B1317="","",IF($W1317=1,Settings!$C$6,Settings!$C$7)*100)</f>
        <v/>
      </c>
      <c r="U1317">
        <f>IF($B1317="","",IF(COUNTIF($B$2:$B1317,$B1317)=1,1,0))</f>
        <v/>
      </c>
      <c r="V1317">
        <f>IF($U1317=1,SUMPRODUCT(--($X$2:$X$1501&lt;$X1317))+1,"")</f>
        <v/>
      </c>
      <c r="W1317">
        <f>IF($B1317="","",IF(OR($S1317=TRUE(),$S1317="TRUE"),1,0))</f>
        <v/>
      </c>
      <c r="X1317">
        <f>IF($U1317=1,IFERROR(IF(VALUE($B1317)&lt;100000000,VALUE($B1317),1000000000),IFERROR(IF(VALUE(MID($B1317,2,20))&lt;100000000,VALUE(MID($B1317,2,20)),1000000000),1000000000))+ROW()/100000,"")</f>
        <v/>
      </c>
    </row>
    <row r="1318">
      <c r="A1318">
        <f>IF($B1318="","",IFERROR(IF(INDEX('Per Invoice'!$C$2:$C$401,MATCH($B1318,'Per Invoice'!$A$2:$A$401,0))=0,"",INDEX('Per Invoice'!$C$2:$C$401,MATCH($B1318,'Per Invoice'!$A$2:$A$401,0))),""))</f>
        <v/>
      </c>
      <c r="G1318" s="7">
        <f>IF($B1318="","",F1318*L1318/100)</f>
        <v/>
      </c>
      <c r="K1318" s="7" t="n"/>
      <c r="L1318" s="7" t="n"/>
      <c r="M1318" s="7">
        <f>IF($B1318="","",L1318*T1318/100)</f>
        <v/>
      </c>
      <c r="N1318" s="7">
        <f>IF($B1318="","",L1318-M1318)</f>
        <v/>
      </c>
      <c r="O1318" s="7">
        <f>IF($B1318="","",N1318-G1318)</f>
        <v/>
      </c>
      <c r="R1318" s="14" t="n"/>
      <c r="T1318">
        <f>IF($B1318="","",IF($W1318=1,Settings!$C$6,Settings!$C$7)*100)</f>
        <v/>
      </c>
      <c r="U1318">
        <f>IF($B1318="","",IF(COUNTIF($B$2:$B1318,$B1318)=1,1,0))</f>
        <v/>
      </c>
      <c r="V1318">
        <f>IF($U1318=1,SUMPRODUCT(--($X$2:$X$1501&lt;$X1318))+1,"")</f>
        <v/>
      </c>
      <c r="W1318">
        <f>IF($B1318="","",IF(OR($S1318=TRUE(),$S1318="TRUE"),1,0))</f>
        <v/>
      </c>
      <c r="X1318">
        <f>IF($U1318=1,IFERROR(IF(VALUE($B1318)&lt;100000000,VALUE($B1318),1000000000),IFERROR(IF(VALUE(MID($B1318,2,20))&lt;100000000,VALUE(MID($B1318,2,20)),1000000000),1000000000))+ROW()/100000,"")</f>
        <v/>
      </c>
    </row>
    <row r="1319">
      <c r="A1319">
        <f>IF($B1319="","",IFERROR(IF(INDEX('Per Invoice'!$C$2:$C$401,MATCH($B1319,'Per Invoice'!$A$2:$A$401,0))=0,"",INDEX('Per Invoice'!$C$2:$C$401,MATCH($B1319,'Per Invoice'!$A$2:$A$401,0))),""))</f>
        <v/>
      </c>
      <c r="G1319" s="7">
        <f>IF($B1319="","",F1319*L1319/100)</f>
        <v/>
      </c>
      <c r="K1319" s="7" t="n"/>
      <c r="L1319" s="7" t="n"/>
      <c r="M1319" s="7">
        <f>IF($B1319="","",L1319*T1319/100)</f>
        <v/>
      </c>
      <c r="N1319" s="7">
        <f>IF($B1319="","",L1319-M1319)</f>
        <v/>
      </c>
      <c r="O1319" s="7">
        <f>IF($B1319="","",N1319-G1319)</f>
        <v/>
      </c>
      <c r="R1319" s="14" t="n"/>
      <c r="T1319">
        <f>IF($B1319="","",IF($W1319=1,Settings!$C$6,Settings!$C$7)*100)</f>
        <v/>
      </c>
      <c r="U1319">
        <f>IF($B1319="","",IF(COUNTIF($B$2:$B1319,$B1319)=1,1,0))</f>
        <v/>
      </c>
      <c r="V1319">
        <f>IF($U1319=1,SUMPRODUCT(--($X$2:$X$1501&lt;$X1319))+1,"")</f>
        <v/>
      </c>
      <c r="W1319">
        <f>IF($B1319="","",IF(OR($S1319=TRUE(),$S1319="TRUE"),1,0))</f>
        <v/>
      </c>
      <c r="X1319">
        <f>IF($U1319=1,IFERROR(IF(VALUE($B1319)&lt;100000000,VALUE($B1319),1000000000),IFERROR(IF(VALUE(MID($B1319,2,20))&lt;100000000,VALUE(MID($B1319,2,20)),1000000000),1000000000))+ROW()/100000,"")</f>
        <v/>
      </c>
    </row>
    <row r="1320">
      <c r="A1320">
        <f>IF($B1320="","",IFERROR(IF(INDEX('Per Invoice'!$C$2:$C$401,MATCH($B1320,'Per Invoice'!$A$2:$A$401,0))=0,"",INDEX('Per Invoice'!$C$2:$C$401,MATCH($B1320,'Per Invoice'!$A$2:$A$401,0))),""))</f>
        <v/>
      </c>
      <c r="G1320" s="7">
        <f>IF($B1320="","",F1320*L1320/100)</f>
        <v/>
      </c>
      <c r="K1320" s="7" t="n"/>
      <c r="L1320" s="7" t="n"/>
      <c r="M1320" s="7">
        <f>IF($B1320="","",L1320*T1320/100)</f>
        <v/>
      </c>
      <c r="N1320" s="7">
        <f>IF($B1320="","",L1320-M1320)</f>
        <v/>
      </c>
      <c r="O1320" s="7">
        <f>IF($B1320="","",N1320-G1320)</f>
        <v/>
      </c>
      <c r="R1320" s="14" t="n"/>
      <c r="T1320">
        <f>IF($B1320="","",IF($W1320=1,Settings!$C$6,Settings!$C$7)*100)</f>
        <v/>
      </c>
      <c r="U1320">
        <f>IF($B1320="","",IF(COUNTIF($B$2:$B1320,$B1320)=1,1,0))</f>
        <v/>
      </c>
      <c r="V1320">
        <f>IF($U1320=1,SUMPRODUCT(--($X$2:$X$1501&lt;$X1320))+1,"")</f>
        <v/>
      </c>
      <c r="W1320">
        <f>IF($B1320="","",IF(OR($S1320=TRUE(),$S1320="TRUE"),1,0))</f>
        <v/>
      </c>
      <c r="X1320">
        <f>IF($U1320=1,IFERROR(IF(VALUE($B1320)&lt;100000000,VALUE($B1320),1000000000),IFERROR(IF(VALUE(MID($B1320,2,20))&lt;100000000,VALUE(MID($B1320,2,20)),1000000000),1000000000))+ROW()/100000,"")</f>
        <v/>
      </c>
    </row>
    <row r="1321">
      <c r="A1321">
        <f>IF($B1321="","",IFERROR(IF(INDEX('Per Invoice'!$C$2:$C$401,MATCH($B1321,'Per Invoice'!$A$2:$A$401,0))=0,"",INDEX('Per Invoice'!$C$2:$C$401,MATCH($B1321,'Per Invoice'!$A$2:$A$401,0))),""))</f>
        <v/>
      </c>
      <c r="G1321" s="7">
        <f>IF($B1321="","",F1321*L1321/100)</f>
        <v/>
      </c>
      <c r="K1321" s="7" t="n"/>
      <c r="L1321" s="7" t="n"/>
      <c r="M1321" s="7">
        <f>IF($B1321="","",L1321*T1321/100)</f>
        <v/>
      </c>
      <c r="N1321" s="7">
        <f>IF($B1321="","",L1321-M1321)</f>
        <v/>
      </c>
      <c r="O1321" s="7">
        <f>IF($B1321="","",N1321-G1321)</f>
        <v/>
      </c>
      <c r="R1321" s="14" t="n"/>
      <c r="T1321">
        <f>IF($B1321="","",IF($W1321=1,Settings!$C$6,Settings!$C$7)*100)</f>
        <v/>
      </c>
      <c r="U1321">
        <f>IF($B1321="","",IF(COUNTIF($B$2:$B1321,$B1321)=1,1,0))</f>
        <v/>
      </c>
      <c r="V1321">
        <f>IF($U1321=1,SUMPRODUCT(--($X$2:$X$1501&lt;$X1321))+1,"")</f>
        <v/>
      </c>
      <c r="W1321">
        <f>IF($B1321="","",IF(OR($S1321=TRUE(),$S1321="TRUE"),1,0))</f>
        <v/>
      </c>
      <c r="X1321">
        <f>IF($U1321=1,IFERROR(IF(VALUE($B1321)&lt;100000000,VALUE($B1321),1000000000),IFERROR(IF(VALUE(MID($B1321,2,20))&lt;100000000,VALUE(MID($B1321,2,20)),1000000000),1000000000))+ROW()/100000,"")</f>
        <v/>
      </c>
    </row>
    <row r="1322">
      <c r="A1322">
        <f>IF($B1322="","",IFERROR(IF(INDEX('Per Invoice'!$C$2:$C$401,MATCH($B1322,'Per Invoice'!$A$2:$A$401,0))=0,"",INDEX('Per Invoice'!$C$2:$C$401,MATCH($B1322,'Per Invoice'!$A$2:$A$401,0))),""))</f>
        <v/>
      </c>
      <c r="G1322" s="7">
        <f>IF($B1322="","",F1322*L1322/100)</f>
        <v/>
      </c>
      <c r="K1322" s="7" t="n"/>
      <c r="L1322" s="7" t="n"/>
      <c r="M1322" s="7">
        <f>IF($B1322="","",L1322*T1322/100)</f>
        <v/>
      </c>
      <c r="N1322" s="7">
        <f>IF($B1322="","",L1322-M1322)</f>
        <v/>
      </c>
      <c r="O1322" s="7">
        <f>IF($B1322="","",N1322-G1322)</f>
        <v/>
      </c>
      <c r="R1322" s="14" t="n"/>
      <c r="T1322">
        <f>IF($B1322="","",IF($W1322=1,Settings!$C$6,Settings!$C$7)*100)</f>
        <v/>
      </c>
      <c r="U1322">
        <f>IF($B1322="","",IF(COUNTIF($B$2:$B1322,$B1322)=1,1,0))</f>
        <v/>
      </c>
      <c r="V1322">
        <f>IF($U1322=1,SUMPRODUCT(--($X$2:$X$1501&lt;$X1322))+1,"")</f>
        <v/>
      </c>
      <c r="W1322">
        <f>IF($B1322="","",IF(OR($S1322=TRUE(),$S1322="TRUE"),1,0))</f>
        <v/>
      </c>
      <c r="X1322">
        <f>IF($U1322=1,IFERROR(IF(VALUE($B1322)&lt;100000000,VALUE($B1322),1000000000),IFERROR(IF(VALUE(MID($B1322,2,20))&lt;100000000,VALUE(MID($B1322,2,20)),1000000000),1000000000))+ROW()/100000,"")</f>
        <v/>
      </c>
    </row>
    <row r="1323">
      <c r="A1323">
        <f>IF($B1323="","",IFERROR(IF(INDEX('Per Invoice'!$C$2:$C$401,MATCH($B1323,'Per Invoice'!$A$2:$A$401,0))=0,"",INDEX('Per Invoice'!$C$2:$C$401,MATCH($B1323,'Per Invoice'!$A$2:$A$401,0))),""))</f>
        <v/>
      </c>
      <c r="G1323" s="7">
        <f>IF($B1323="","",F1323*L1323/100)</f>
        <v/>
      </c>
      <c r="K1323" s="7" t="n"/>
      <c r="L1323" s="7" t="n"/>
      <c r="M1323" s="7">
        <f>IF($B1323="","",L1323*T1323/100)</f>
        <v/>
      </c>
      <c r="N1323" s="7">
        <f>IF($B1323="","",L1323-M1323)</f>
        <v/>
      </c>
      <c r="O1323" s="7">
        <f>IF($B1323="","",N1323-G1323)</f>
        <v/>
      </c>
      <c r="R1323" s="14" t="n"/>
      <c r="T1323">
        <f>IF($B1323="","",IF($W1323=1,Settings!$C$6,Settings!$C$7)*100)</f>
        <v/>
      </c>
      <c r="U1323">
        <f>IF($B1323="","",IF(COUNTIF($B$2:$B1323,$B1323)=1,1,0))</f>
        <v/>
      </c>
      <c r="V1323">
        <f>IF($U1323=1,SUMPRODUCT(--($X$2:$X$1501&lt;$X1323))+1,"")</f>
        <v/>
      </c>
      <c r="W1323">
        <f>IF($B1323="","",IF(OR($S1323=TRUE(),$S1323="TRUE"),1,0))</f>
        <v/>
      </c>
      <c r="X1323">
        <f>IF($U1323=1,IFERROR(IF(VALUE($B1323)&lt;100000000,VALUE($B1323),1000000000),IFERROR(IF(VALUE(MID($B1323,2,20))&lt;100000000,VALUE(MID($B1323,2,20)),1000000000),1000000000))+ROW()/100000,"")</f>
        <v/>
      </c>
    </row>
    <row r="1324">
      <c r="A1324">
        <f>IF($B1324="","",IFERROR(IF(INDEX('Per Invoice'!$C$2:$C$401,MATCH($B1324,'Per Invoice'!$A$2:$A$401,0))=0,"",INDEX('Per Invoice'!$C$2:$C$401,MATCH($B1324,'Per Invoice'!$A$2:$A$401,0))),""))</f>
        <v/>
      </c>
      <c r="G1324" s="7">
        <f>IF($B1324="","",F1324*L1324/100)</f>
        <v/>
      </c>
      <c r="K1324" s="7" t="n"/>
      <c r="L1324" s="7" t="n"/>
      <c r="M1324" s="7">
        <f>IF($B1324="","",L1324*T1324/100)</f>
        <v/>
      </c>
      <c r="N1324" s="7">
        <f>IF($B1324="","",L1324-M1324)</f>
        <v/>
      </c>
      <c r="O1324" s="7">
        <f>IF($B1324="","",N1324-G1324)</f>
        <v/>
      </c>
      <c r="R1324" s="14" t="n"/>
      <c r="T1324">
        <f>IF($B1324="","",IF($W1324=1,Settings!$C$6,Settings!$C$7)*100)</f>
        <v/>
      </c>
      <c r="U1324">
        <f>IF($B1324="","",IF(COUNTIF($B$2:$B1324,$B1324)=1,1,0))</f>
        <v/>
      </c>
      <c r="V1324">
        <f>IF($U1324=1,SUMPRODUCT(--($X$2:$X$1501&lt;$X1324))+1,"")</f>
        <v/>
      </c>
      <c r="W1324">
        <f>IF($B1324="","",IF(OR($S1324=TRUE(),$S1324="TRUE"),1,0))</f>
        <v/>
      </c>
      <c r="X1324">
        <f>IF($U1324=1,IFERROR(IF(VALUE($B1324)&lt;100000000,VALUE($B1324),1000000000),IFERROR(IF(VALUE(MID($B1324,2,20))&lt;100000000,VALUE(MID($B1324,2,20)),1000000000),1000000000))+ROW()/100000,"")</f>
        <v/>
      </c>
    </row>
    <row r="1325">
      <c r="A1325">
        <f>IF($B1325="","",IFERROR(IF(INDEX('Per Invoice'!$C$2:$C$401,MATCH($B1325,'Per Invoice'!$A$2:$A$401,0))=0,"",INDEX('Per Invoice'!$C$2:$C$401,MATCH($B1325,'Per Invoice'!$A$2:$A$401,0))),""))</f>
        <v/>
      </c>
      <c r="G1325" s="7">
        <f>IF($B1325="","",F1325*L1325/100)</f>
        <v/>
      </c>
      <c r="K1325" s="7" t="n"/>
      <c r="L1325" s="7" t="n"/>
      <c r="M1325" s="7">
        <f>IF($B1325="","",L1325*T1325/100)</f>
        <v/>
      </c>
      <c r="N1325" s="7">
        <f>IF($B1325="","",L1325-M1325)</f>
        <v/>
      </c>
      <c r="O1325" s="7">
        <f>IF($B1325="","",N1325-G1325)</f>
        <v/>
      </c>
      <c r="R1325" s="14" t="n"/>
      <c r="T1325">
        <f>IF($B1325="","",IF($W1325=1,Settings!$C$6,Settings!$C$7)*100)</f>
        <v/>
      </c>
      <c r="U1325">
        <f>IF($B1325="","",IF(COUNTIF($B$2:$B1325,$B1325)=1,1,0))</f>
        <v/>
      </c>
      <c r="V1325">
        <f>IF($U1325=1,SUMPRODUCT(--($X$2:$X$1501&lt;$X1325))+1,"")</f>
        <v/>
      </c>
      <c r="W1325">
        <f>IF($B1325="","",IF(OR($S1325=TRUE(),$S1325="TRUE"),1,0))</f>
        <v/>
      </c>
      <c r="X1325">
        <f>IF($U1325=1,IFERROR(IF(VALUE($B1325)&lt;100000000,VALUE($B1325),1000000000),IFERROR(IF(VALUE(MID($B1325,2,20))&lt;100000000,VALUE(MID($B1325,2,20)),1000000000),1000000000))+ROW()/100000,"")</f>
        <v/>
      </c>
    </row>
    <row r="1326">
      <c r="A1326">
        <f>IF($B1326="","",IFERROR(IF(INDEX('Per Invoice'!$C$2:$C$401,MATCH($B1326,'Per Invoice'!$A$2:$A$401,0))=0,"",INDEX('Per Invoice'!$C$2:$C$401,MATCH($B1326,'Per Invoice'!$A$2:$A$401,0))),""))</f>
        <v/>
      </c>
      <c r="G1326" s="7">
        <f>IF($B1326="","",F1326*L1326/100)</f>
        <v/>
      </c>
      <c r="K1326" s="7" t="n"/>
      <c r="L1326" s="7" t="n"/>
      <c r="M1326" s="7">
        <f>IF($B1326="","",L1326*T1326/100)</f>
        <v/>
      </c>
      <c r="N1326" s="7">
        <f>IF($B1326="","",L1326-M1326)</f>
        <v/>
      </c>
      <c r="O1326" s="7">
        <f>IF($B1326="","",N1326-G1326)</f>
        <v/>
      </c>
      <c r="R1326" s="14" t="n"/>
      <c r="T1326">
        <f>IF($B1326="","",IF($W1326=1,Settings!$C$6,Settings!$C$7)*100)</f>
        <v/>
      </c>
      <c r="U1326">
        <f>IF($B1326="","",IF(COUNTIF($B$2:$B1326,$B1326)=1,1,0))</f>
        <v/>
      </c>
      <c r="V1326">
        <f>IF($U1326=1,SUMPRODUCT(--($X$2:$X$1501&lt;$X1326))+1,"")</f>
        <v/>
      </c>
      <c r="W1326">
        <f>IF($B1326="","",IF(OR($S1326=TRUE(),$S1326="TRUE"),1,0))</f>
        <v/>
      </c>
      <c r="X1326">
        <f>IF($U1326=1,IFERROR(IF(VALUE($B1326)&lt;100000000,VALUE($B1326),1000000000),IFERROR(IF(VALUE(MID($B1326,2,20))&lt;100000000,VALUE(MID($B1326,2,20)),1000000000),1000000000))+ROW()/100000,"")</f>
        <v/>
      </c>
    </row>
    <row r="1327">
      <c r="A1327">
        <f>IF($B1327="","",IFERROR(IF(INDEX('Per Invoice'!$C$2:$C$401,MATCH($B1327,'Per Invoice'!$A$2:$A$401,0))=0,"",INDEX('Per Invoice'!$C$2:$C$401,MATCH($B1327,'Per Invoice'!$A$2:$A$401,0))),""))</f>
        <v/>
      </c>
      <c r="G1327" s="7">
        <f>IF($B1327="","",F1327*L1327/100)</f>
        <v/>
      </c>
      <c r="K1327" s="7" t="n"/>
      <c r="L1327" s="7" t="n"/>
      <c r="M1327" s="7">
        <f>IF($B1327="","",L1327*T1327/100)</f>
        <v/>
      </c>
      <c r="N1327" s="7">
        <f>IF($B1327="","",L1327-M1327)</f>
        <v/>
      </c>
      <c r="O1327" s="7">
        <f>IF($B1327="","",N1327-G1327)</f>
        <v/>
      </c>
      <c r="R1327" s="14" t="n"/>
      <c r="T1327">
        <f>IF($B1327="","",IF($W1327=1,Settings!$C$6,Settings!$C$7)*100)</f>
        <v/>
      </c>
      <c r="U1327">
        <f>IF($B1327="","",IF(COUNTIF($B$2:$B1327,$B1327)=1,1,0))</f>
        <v/>
      </c>
      <c r="V1327">
        <f>IF($U1327=1,SUMPRODUCT(--($X$2:$X$1501&lt;$X1327))+1,"")</f>
        <v/>
      </c>
      <c r="W1327">
        <f>IF($B1327="","",IF(OR($S1327=TRUE(),$S1327="TRUE"),1,0))</f>
        <v/>
      </c>
      <c r="X1327">
        <f>IF($U1327=1,IFERROR(IF(VALUE($B1327)&lt;100000000,VALUE($B1327),1000000000),IFERROR(IF(VALUE(MID($B1327,2,20))&lt;100000000,VALUE(MID($B1327,2,20)),1000000000),1000000000))+ROW()/100000,"")</f>
        <v/>
      </c>
    </row>
    <row r="1328">
      <c r="A1328">
        <f>IF($B1328="","",IFERROR(IF(INDEX('Per Invoice'!$C$2:$C$401,MATCH($B1328,'Per Invoice'!$A$2:$A$401,0))=0,"",INDEX('Per Invoice'!$C$2:$C$401,MATCH($B1328,'Per Invoice'!$A$2:$A$401,0))),""))</f>
        <v/>
      </c>
      <c r="G1328" s="7">
        <f>IF($B1328="","",F1328*L1328/100)</f>
        <v/>
      </c>
      <c r="K1328" s="7" t="n"/>
      <c r="L1328" s="7" t="n"/>
      <c r="M1328" s="7">
        <f>IF($B1328="","",L1328*T1328/100)</f>
        <v/>
      </c>
      <c r="N1328" s="7">
        <f>IF($B1328="","",L1328-M1328)</f>
        <v/>
      </c>
      <c r="O1328" s="7">
        <f>IF($B1328="","",N1328-G1328)</f>
        <v/>
      </c>
      <c r="R1328" s="14" t="n"/>
      <c r="T1328">
        <f>IF($B1328="","",IF($W1328=1,Settings!$C$6,Settings!$C$7)*100)</f>
        <v/>
      </c>
      <c r="U1328">
        <f>IF($B1328="","",IF(COUNTIF($B$2:$B1328,$B1328)=1,1,0))</f>
        <v/>
      </c>
      <c r="V1328">
        <f>IF($U1328=1,SUMPRODUCT(--($X$2:$X$1501&lt;$X1328))+1,"")</f>
        <v/>
      </c>
      <c r="W1328">
        <f>IF($B1328="","",IF(OR($S1328=TRUE(),$S1328="TRUE"),1,0))</f>
        <v/>
      </c>
      <c r="X1328">
        <f>IF($U1328=1,IFERROR(IF(VALUE($B1328)&lt;100000000,VALUE($B1328),1000000000),IFERROR(IF(VALUE(MID($B1328,2,20))&lt;100000000,VALUE(MID($B1328,2,20)),1000000000),1000000000))+ROW()/100000,"")</f>
        <v/>
      </c>
    </row>
    <row r="1329">
      <c r="A1329">
        <f>IF($B1329="","",IFERROR(IF(INDEX('Per Invoice'!$C$2:$C$401,MATCH($B1329,'Per Invoice'!$A$2:$A$401,0))=0,"",INDEX('Per Invoice'!$C$2:$C$401,MATCH($B1329,'Per Invoice'!$A$2:$A$401,0))),""))</f>
        <v/>
      </c>
      <c r="G1329" s="7">
        <f>IF($B1329="","",F1329*L1329/100)</f>
        <v/>
      </c>
      <c r="K1329" s="7" t="n"/>
      <c r="L1329" s="7" t="n"/>
      <c r="M1329" s="7">
        <f>IF($B1329="","",L1329*T1329/100)</f>
        <v/>
      </c>
      <c r="N1329" s="7">
        <f>IF($B1329="","",L1329-M1329)</f>
        <v/>
      </c>
      <c r="O1329" s="7">
        <f>IF($B1329="","",N1329-G1329)</f>
        <v/>
      </c>
      <c r="R1329" s="14" t="n"/>
      <c r="T1329">
        <f>IF($B1329="","",IF($W1329=1,Settings!$C$6,Settings!$C$7)*100)</f>
        <v/>
      </c>
      <c r="U1329">
        <f>IF($B1329="","",IF(COUNTIF($B$2:$B1329,$B1329)=1,1,0))</f>
        <v/>
      </c>
      <c r="V1329">
        <f>IF($U1329=1,SUMPRODUCT(--($X$2:$X$1501&lt;$X1329))+1,"")</f>
        <v/>
      </c>
      <c r="W1329">
        <f>IF($B1329="","",IF(OR($S1329=TRUE(),$S1329="TRUE"),1,0))</f>
        <v/>
      </c>
      <c r="X1329">
        <f>IF($U1329=1,IFERROR(IF(VALUE($B1329)&lt;100000000,VALUE($B1329),1000000000),IFERROR(IF(VALUE(MID($B1329,2,20))&lt;100000000,VALUE(MID($B1329,2,20)),1000000000),1000000000))+ROW()/100000,"")</f>
        <v/>
      </c>
    </row>
    <row r="1330">
      <c r="A1330">
        <f>IF($B1330="","",IFERROR(IF(INDEX('Per Invoice'!$C$2:$C$401,MATCH($B1330,'Per Invoice'!$A$2:$A$401,0))=0,"",INDEX('Per Invoice'!$C$2:$C$401,MATCH($B1330,'Per Invoice'!$A$2:$A$401,0))),""))</f>
        <v/>
      </c>
      <c r="G1330" s="7">
        <f>IF($B1330="","",F1330*L1330/100)</f>
        <v/>
      </c>
      <c r="K1330" s="7" t="n"/>
      <c r="L1330" s="7" t="n"/>
      <c r="M1330" s="7">
        <f>IF($B1330="","",L1330*T1330/100)</f>
        <v/>
      </c>
      <c r="N1330" s="7">
        <f>IF($B1330="","",L1330-M1330)</f>
        <v/>
      </c>
      <c r="O1330" s="7">
        <f>IF($B1330="","",N1330-G1330)</f>
        <v/>
      </c>
      <c r="R1330" s="14" t="n"/>
      <c r="T1330">
        <f>IF($B1330="","",IF($W1330=1,Settings!$C$6,Settings!$C$7)*100)</f>
        <v/>
      </c>
      <c r="U1330">
        <f>IF($B1330="","",IF(COUNTIF($B$2:$B1330,$B1330)=1,1,0))</f>
        <v/>
      </c>
      <c r="V1330">
        <f>IF($U1330=1,SUMPRODUCT(--($X$2:$X$1501&lt;$X1330))+1,"")</f>
        <v/>
      </c>
      <c r="W1330">
        <f>IF($B1330="","",IF(OR($S1330=TRUE(),$S1330="TRUE"),1,0))</f>
        <v/>
      </c>
      <c r="X1330">
        <f>IF($U1330=1,IFERROR(IF(VALUE($B1330)&lt;100000000,VALUE($B1330),1000000000),IFERROR(IF(VALUE(MID($B1330,2,20))&lt;100000000,VALUE(MID($B1330,2,20)),1000000000),1000000000))+ROW()/100000,"")</f>
        <v/>
      </c>
    </row>
    <row r="1331">
      <c r="A1331">
        <f>IF($B1331="","",IFERROR(IF(INDEX('Per Invoice'!$C$2:$C$401,MATCH($B1331,'Per Invoice'!$A$2:$A$401,0))=0,"",INDEX('Per Invoice'!$C$2:$C$401,MATCH($B1331,'Per Invoice'!$A$2:$A$401,0))),""))</f>
        <v/>
      </c>
      <c r="G1331" s="7">
        <f>IF($B1331="","",F1331*L1331/100)</f>
        <v/>
      </c>
      <c r="K1331" s="7" t="n"/>
      <c r="L1331" s="7" t="n"/>
      <c r="M1331" s="7">
        <f>IF($B1331="","",L1331*T1331/100)</f>
        <v/>
      </c>
      <c r="N1331" s="7">
        <f>IF($B1331="","",L1331-M1331)</f>
        <v/>
      </c>
      <c r="O1331" s="7">
        <f>IF($B1331="","",N1331-G1331)</f>
        <v/>
      </c>
      <c r="R1331" s="14" t="n"/>
      <c r="T1331">
        <f>IF($B1331="","",IF($W1331=1,Settings!$C$6,Settings!$C$7)*100)</f>
        <v/>
      </c>
      <c r="U1331">
        <f>IF($B1331="","",IF(COUNTIF($B$2:$B1331,$B1331)=1,1,0))</f>
        <v/>
      </c>
      <c r="V1331">
        <f>IF($U1331=1,SUMPRODUCT(--($X$2:$X$1501&lt;$X1331))+1,"")</f>
        <v/>
      </c>
      <c r="W1331">
        <f>IF($B1331="","",IF(OR($S1331=TRUE(),$S1331="TRUE"),1,0))</f>
        <v/>
      </c>
      <c r="X1331">
        <f>IF($U1331=1,IFERROR(IF(VALUE($B1331)&lt;100000000,VALUE($B1331),1000000000),IFERROR(IF(VALUE(MID($B1331,2,20))&lt;100000000,VALUE(MID($B1331,2,20)),1000000000),1000000000))+ROW()/100000,"")</f>
        <v/>
      </c>
    </row>
    <row r="1332">
      <c r="A1332">
        <f>IF($B1332="","",IFERROR(IF(INDEX('Per Invoice'!$C$2:$C$401,MATCH($B1332,'Per Invoice'!$A$2:$A$401,0))=0,"",INDEX('Per Invoice'!$C$2:$C$401,MATCH($B1332,'Per Invoice'!$A$2:$A$401,0))),""))</f>
        <v/>
      </c>
      <c r="G1332" s="7">
        <f>IF($B1332="","",F1332*L1332/100)</f>
        <v/>
      </c>
      <c r="K1332" s="7" t="n"/>
      <c r="L1332" s="7" t="n"/>
      <c r="M1332" s="7">
        <f>IF($B1332="","",L1332*T1332/100)</f>
        <v/>
      </c>
      <c r="N1332" s="7">
        <f>IF($B1332="","",L1332-M1332)</f>
        <v/>
      </c>
      <c r="O1332" s="7">
        <f>IF($B1332="","",N1332-G1332)</f>
        <v/>
      </c>
      <c r="R1332" s="14" t="n"/>
      <c r="T1332">
        <f>IF($B1332="","",IF($W1332=1,Settings!$C$6,Settings!$C$7)*100)</f>
        <v/>
      </c>
      <c r="U1332">
        <f>IF($B1332="","",IF(COUNTIF($B$2:$B1332,$B1332)=1,1,0))</f>
        <v/>
      </c>
      <c r="V1332">
        <f>IF($U1332=1,SUMPRODUCT(--($X$2:$X$1501&lt;$X1332))+1,"")</f>
        <v/>
      </c>
      <c r="W1332">
        <f>IF($B1332="","",IF(OR($S1332=TRUE(),$S1332="TRUE"),1,0))</f>
        <v/>
      </c>
      <c r="X1332">
        <f>IF($U1332=1,IFERROR(IF(VALUE($B1332)&lt;100000000,VALUE($B1332),1000000000),IFERROR(IF(VALUE(MID($B1332,2,20))&lt;100000000,VALUE(MID($B1332,2,20)),1000000000),1000000000))+ROW()/100000,"")</f>
        <v/>
      </c>
    </row>
    <row r="1333">
      <c r="A1333">
        <f>IF($B1333="","",IFERROR(IF(INDEX('Per Invoice'!$C$2:$C$401,MATCH($B1333,'Per Invoice'!$A$2:$A$401,0))=0,"",INDEX('Per Invoice'!$C$2:$C$401,MATCH($B1333,'Per Invoice'!$A$2:$A$401,0))),""))</f>
        <v/>
      </c>
      <c r="G1333" s="7">
        <f>IF($B1333="","",F1333*L1333/100)</f>
        <v/>
      </c>
      <c r="K1333" s="7" t="n"/>
      <c r="L1333" s="7" t="n"/>
      <c r="M1333" s="7">
        <f>IF($B1333="","",L1333*T1333/100)</f>
        <v/>
      </c>
      <c r="N1333" s="7">
        <f>IF($B1333="","",L1333-M1333)</f>
        <v/>
      </c>
      <c r="O1333" s="7">
        <f>IF($B1333="","",N1333-G1333)</f>
        <v/>
      </c>
      <c r="R1333" s="14" t="n"/>
      <c r="T1333">
        <f>IF($B1333="","",IF($W1333=1,Settings!$C$6,Settings!$C$7)*100)</f>
        <v/>
      </c>
      <c r="U1333">
        <f>IF($B1333="","",IF(COUNTIF($B$2:$B1333,$B1333)=1,1,0))</f>
        <v/>
      </c>
      <c r="V1333">
        <f>IF($U1333=1,SUMPRODUCT(--($X$2:$X$1501&lt;$X1333))+1,"")</f>
        <v/>
      </c>
      <c r="W1333">
        <f>IF($B1333="","",IF(OR($S1333=TRUE(),$S1333="TRUE"),1,0))</f>
        <v/>
      </c>
      <c r="X1333">
        <f>IF($U1333=1,IFERROR(IF(VALUE($B1333)&lt;100000000,VALUE($B1333),1000000000),IFERROR(IF(VALUE(MID($B1333,2,20))&lt;100000000,VALUE(MID($B1333,2,20)),1000000000),1000000000))+ROW()/100000,"")</f>
        <v/>
      </c>
    </row>
    <row r="1334">
      <c r="A1334">
        <f>IF($B1334="","",IFERROR(IF(INDEX('Per Invoice'!$C$2:$C$401,MATCH($B1334,'Per Invoice'!$A$2:$A$401,0))=0,"",INDEX('Per Invoice'!$C$2:$C$401,MATCH($B1334,'Per Invoice'!$A$2:$A$401,0))),""))</f>
        <v/>
      </c>
      <c r="G1334" s="7">
        <f>IF($B1334="","",F1334*L1334/100)</f>
        <v/>
      </c>
      <c r="K1334" s="7" t="n"/>
      <c r="L1334" s="7" t="n"/>
      <c r="M1334" s="7">
        <f>IF($B1334="","",L1334*T1334/100)</f>
        <v/>
      </c>
      <c r="N1334" s="7">
        <f>IF($B1334="","",L1334-M1334)</f>
        <v/>
      </c>
      <c r="O1334" s="7">
        <f>IF($B1334="","",N1334-G1334)</f>
        <v/>
      </c>
      <c r="R1334" s="14" t="n"/>
      <c r="T1334">
        <f>IF($B1334="","",IF($W1334=1,Settings!$C$6,Settings!$C$7)*100)</f>
        <v/>
      </c>
      <c r="U1334">
        <f>IF($B1334="","",IF(COUNTIF($B$2:$B1334,$B1334)=1,1,0))</f>
        <v/>
      </c>
      <c r="V1334">
        <f>IF($U1334=1,SUMPRODUCT(--($X$2:$X$1501&lt;$X1334))+1,"")</f>
        <v/>
      </c>
      <c r="W1334">
        <f>IF($B1334="","",IF(OR($S1334=TRUE(),$S1334="TRUE"),1,0))</f>
        <v/>
      </c>
      <c r="X1334">
        <f>IF($U1334=1,IFERROR(IF(VALUE($B1334)&lt;100000000,VALUE($B1334),1000000000),IFERROR(IF(VALUE(MID($B1334,2,20))&lt;100000000,VALUE(MID($B1334,2,20)),1000000000),1000000000))+ROW()/100000,"")</f>
        <v/>
      </c>
    </row>
    <row r="1335">
      <c r="A1335">
        <f>IF($B1335="","",IFERROR(IF(INDEX('Per Invoice'!$C$2:$C$401,MATCH($B1335,'Per Invoice'!$A$2:$A$401,0))=0,"",INDEX('Per Invoice'!$C$2:$C$401,MATCH($B1335,'Per Invoice'!$A$2:$A$401,0))),""))</f>
        <v/>
      </c>
      <c r="G1335" s="7">
        <f>IF($B1335="","",F1335*L1335/100)</f>
        <v/>
      </c>
      <c r="K1335" s="7" t="n"/>
      <c r="L1335" s="7" t="n"/>
      <c r="M1335" s="7">
        <f>IF($B1335="","",L1335*T1335/100)</f>
        <v/>
      </c>
      <c r="N1335" s="7">
        <f>IF($B1335="","",L1335-M1335)</f>
        <v/>
      </c>
      <c r="O1335" s="7">
        <f>IF($B1335="","",N1335-G1335)</f>
        <v/>
      </c>
      <c r="R1335" s="14" t="n"/>
      <c r="T1335">
        <f>IF($B1335="","",IF($W1335=1,Settings!$C$6,Settings!$C$7)*100)</f>
        <v/>
      </c>
      <c r="U1335">
        <f>IF($B1335="","",IF(COUNTIF($B$2:$B1335,$B1335)=1,1,0))</f>
        <v/>
      </c>
      <c r="V1335">
        <f>IF($U1335=1,SUMPRODUCT(--($X$2:$X$1501&lt;$X1335))+1,"")</f>
        <v/>
      </c>
      <c r="W1335">
        <f>IF($B1335="","",IF(OR($S1335=TRUE(),$S1335="TRUE"),1,0))</f>
        <v/>
      </c>
      <c r="X1335">
        <f>IF($U1335=1,IFERROR(IF(VALUE($B1335)&lt;100000000,VALUE($B1335),1000000000),IFERROR(IF(VALUE(MID($B1335,2,20))&lt;100000000,VALUE(MID($B1335,2,20)),1000000000),1000000000))+ROW()/100000,"")</f>
        <v/>
      </c>
    </row>
    <row r="1336">
      <c r="A1336">
        <f>IF($B1336="","",IFERROR(IF(INDEX('Per Invoice'!$C$2:$C$401,MATCH($B1336,'Per Invoice'!$A$2:$A$401,0))=0,"",INDEX('Per Invoice'!$C$2:$C$401,MATCH($B1336,'Per Invoice'!$A$2:$A$401,0))),""))</f>
        <v/>
      </c>
      <c r="G1336" s="7">
        <f>IF($B1336="","",F1336*L1336/100)</f>
        <v/>
      </c>
      <c r="K1336" s="7" t="n"/>
      <c r="L1336" s="7" t="n"/>
      <c r="M1336" s="7">
        <f>IF($B1336="","",L1336*T1336/100)</f>
        <v/>
      </c>
      <c r="N1336" s="7">
        <f>IF($B1336="","",L1336-M1336)</f>
        <v/>
      </c>
      <c r="O1336" s="7">
        <f>IF($B1336="","",N1336-G1336)</f>
        <v/>
      </c>
      <c r="R1336" s="14" t="n"/>
      <c r="T1336">
        <f>IF($B1336="","",IF($W1336=1,Settings!$C$6,Settings!$C$7)*100)</f>
        <v/>
      </c>
      <c r="U1336">
        <f>IF($B1336="","",IF(COUNTIF($B$2:$B1336,$B1336)=1,1,0))</f>
        <v/>
      </c>
      <c r="V1336">
        <f>IF($U1336=1,SUMPRODUCT(--($X$2:$X$1501&lt;$X1336))+1,"")</f>
        <v/>
      </c>
      <c r="W1336">
        <f>IF($B1336="","",IF(OR($S1336=TRUE(),$S1336="TRUE"),1,0))</f>
        <v/>
      </c>
      <c r="X1336">
        <f>IF($U1336=1,IFERROR(IF(VALUE($B1336)&lt;100000000,VALUE($B1336),1000000000),IFERROR(IF(VALUE(MID($B1336,2,20))&lt;100000000,VALUE(MID($B1336,2,20)),1000000000),1000000000))+ROW()/100000,"")</f>
        <v/>
      </c>
    </row>
    <row r="1337">
      <c r="A1337">
        <f>IF($B1337="","",IFERROR(IF(INDEX('Per Invoice'!$C$2:$C$401,MATCH($B1337,'Per Invoice'!$A$2:$A$401,0))=0,"",INDEX('Per Invoice'!$C$2:$C$401,MATCH($B1337,'Per Invoice'!$A$2:$A$401,0))),""))</f>
        <v/>
      </c>
      <c r="G1337" s="7">
        <f>IF($B1337="","",F1337*L1337/100)</f>
        <v/>
      </c>
      <c r="K1337" s="7" t="n"/>
      <c r="L1337" s="7" t="n"/>
      <c r="M1337" s="7">
        <f>IF($B1337="","",L1337*T1337/100)</f>
        <v/>
      </c>
      <c r="N1337" s="7">
        <f>IF($B1337="","",L1337-M1337)</f>
        <v/>
      </c>
      <c r="O1337" s="7">
        <f>IF($B1337="","",N1337-G1337)</f>
        <v/>
      </c>
      <c r="R1337" s="14" t="n"/>
      <c r="T1337">
        <f>IF($B1337="","",IF($W1337=1,Settings!$C$6,Settings!$C$7)*100)</f>
        <v/>
      </c>
      <c r="U1337">
        <f>IF($B1337="","",IF(COUNTIF($B$2:$B1337,$B1337)=1,1,0))</f>
        <v/>
      </c>
      <c r="V1337">
        <f>IF($U1337=1,SUMPRODUCT(--($X$2:$X$1501&lt;$X1337))+1,"")</f>
        <v/>
      </c>
      <c r="W1337">
        <f>IF($B1337="","",IF(OR($S1337=TRUE(),$S1337="TRUE"),1,0))</f>
        <v/>
      </c>
      <c r="X1337">
        <f>IF($U1337=1,IFERROR(IF(VALUE($B1337)&lt;100000000,VALUE($B1337),1000000000),IFERROR(IF(VALUE(MID($B1337,2,20))&lt;100000000,VALUE(MID($B1337,2,20)),1000000000),1000000000))+ROW()/100000,"")</f>
        <v/>
      </c>
    </row>
    <row r="1338">
      <c r="A1338">
        <f>IF($B1338="","",IFERROR(IF(INDEX('Per Invoice'!$C$2:$C$401,MATCH($B1338,'Per Invoice'!$A$2:$A$401,0))=0,"",INDEX('Per Invoice'!$C$2:$C$401,MATCH($B1338,'Per Invoice'!$A$2:$A$401,0))),""))</f>
        <v/>
      </c>
      <c r="G1338" s="7">
        <f>IF($B1338="","",F1338*L1338/100)</f>
        <v/>
      </c>
      <c r="K1338" s="7" t="n"/>
      <c r="L1338" s="7" t="n"/>
      <c r="M1338" s="7">
        <f>IF($B1338="","",L1338*T1338/100)</f>
        <v/>
      </c>
      <c r="N1338" s="7">
        <f>IF($B1338="","",L1338-M1338)</f>
        <v/>
      </c>
      <c r="O1338" s="7">
        <f>IF($B1338="","",N1338-G1338)</f>
        <v/>
      </c>
      <c r="R1338" s="14" t="n"/>
      <c r="T1338">
        <f>IF($B1338="","",IF($W1338=1,Settings!$C$6,Settings!$C$7)*100)</f>
        <v/>
      </c>
      <c r="U1338">
        <f>IF($B1338="","",IF(COUNTIF($B$2:$B1338,$B1338)=1,1,0))</f>
        <v/>
      </c>
      <c r="V1338">
        <f>IF($U1338=1,SUMPRODUCT(--($X$2:$X$1501&lt;$X1338))+1,"")</f>
        <v/>
      </c>
      <c r="W1338">
        <f>IF($B1338="","",IF(OR($S1338=TRUE(),$S1338="TRUE"),1,0))</f>
        <v/>
      </c>
      <c r="X1338">
        <f>IF($U1338=1,IFERROR(IF(VALUE($B1338)&lt;100000000,VALUE($B1338),1000000000),IFERROR(IF(VALUE(MID($B1338,2,20))&lt;100000000,VALUE(MID($B1338,2,20)),1000000000),1000000000))+ROW()/100000,"")</f>
        <v/>
      </c>
    </row>
    <row r="1339">
      <c r="A1339">
        <f>IF($B1339="","",IFERROR(IF(INDEX('Per Invoice'!$C$2:$C$401,MATCH($B1339,'Per Invoice'!$A$2:$A$401,0))=0,"",INDEX('Per Invoice'!$C$2:$C$401,MATCH($B1339,'Per Invoice'!$A$2:$A$401,0))),""))</f>
        <v/>
      </c>
      <c r="G1339" s="7">
        <f>IF($B1339="","",F1339*L1339/100)</f>
        <v/>
      </c>
      <c r="K1339" s="7" t="n"/>
      <c r="L1339" s="7" t="n"/>
      <c r="M1339" s="7">
        <f>IF($B1339="","",L1339*T1339/100)</f>
        <v/>
      </c>
      <c r="N1339" s="7">
        <f>IF($B1339="","",L1339-M1339)</f>
        <v/>
      </c>
      <c r="O1339" s="7">
        <f>IF($B1339="","",N1339-G1339)</f>
        <v/>
      </c>
      <c r="R1339" s="14" t="n"/>
      <c r="T1339">
        <f>IF($B1339="","",IF($W1339=1,Settings!$C$6,Settings!$C$7)*100)</f>
        <v/>
      </c>
      <c r="U1339">
        <f>IF($B1339="","",IF(COUNTIF($B$2:$B1339,$B1339)=1,1,0))</f>
        <v/>
      </c>
      <c r="V1339">
        <f>IF($U1339=1,SUMPRODUCT(--($X$2:$X$1501&lt;$X1339))+1,"")</f>
        <v/>
      </c>
      <c r="W1339">
        <f>IF($B1339="","",IF(OR($S1339=TRUE(),$S1339="TRUE"),1,0))</f>
        <v/>
      </c>
      <c r="X1339">
        <f>IF($U1339=1,IFERROR(IF(VALUE($B1339)&lt;100000000,VALUE($B1339),1000000000),IFERROR(IF(VALUE(MID($B1339,2,20))&lt;100000000,VALUE(MID($B1339,2,20)),1000000000),1000000000))+ROW()/100000,"")</f>
        <v/>
      </c>
    </row>
    <row r="1340">
      <c r="A1340">
        <f>IF($B1340="","",IFERROR(IF(INDEX('Per Invoice'!$C$2:$C$401,MATCH($B1340,'Per Invoice'!$A$2:$A$401,0))=0,"",INDEX('Per Invoice'!$C$2:$C$401,MATCH($B1340,'Per Invoice'!$A$2:$A$401,0))),""))</f>
        <v/>
      </c>
      <c r="G1340" s="7">
        <f>IF($B1340="","",F1340*L1340/100)</f>
        <v/>
      </c>
      <c r="K1340" s="7" t="n"/>
      <c r="L1340" s="7" t="n"/>
      <c r="M1340" s="7">
        <f>IF($B1340="","",L1340*T1340/100)</f>
        <v/>
      </c>
      <c r="N1340" s="7">
        <f>IF($B1340="","",L1340-M1340)</f>
        <v/>
      </c>
      <c r="O1340" s="7">
        <f>IF($B1340="","",N1340-G1340)</f>
        <v/>
      </c>
      <c r="R1340" s="14" t="n"/>
      <c r="T1340">
        <f>IF($B1340="","",IF($W1340=1,Settings!$C$6,Settings!$C$7)*100)</f>
        <v/>
      </c>
      <c r="U1340">
        <f>IF($B1340="","",IF(COUNTIF($B$2:$B1340,$B1340)=1,1,0))</f>
        <v/>
      </c>
      <c r="V1340">
        <f>IF($U1340=1,SUMPRODUCT(--($X$2:$X$1501&lt;$X1340))+1,"")</f>
        <v/>
      </c>
      <c r="W1340">
        <f>IF($B1340="","",IF(OR($S1340=TRUE(),$S1340="TRUE"),1,0))</f>
        <v/>
      </c>
      <c r="X1340">
        <f>IF($U1340=1,IFERROR(IF(VALUE($B1340)&lt;100000000,VALUE($B1340),1000000000),IFERROR(IF(VALUE(MID($B1340,2,20))&lt;100000000,VALUE(MID($B1340,2,20)),1000000000),1000000000))+ROW()/100000,"")</f>
        <v/>
      </c>
    </row>
    <row r="1341">
      <c r="A1341">
        <f>IF($B1341="","",IFERROR(IF(INDEX('Per Invoice'!$C$2:$C$401,MATCH($B1341,'Per Invoice'!$A$2:$A$401,0))=0,"",INDEX('Per Invoice'!$C$2:$C$401,MATCH($B1341,'Per Invoice'!$A$2:$A$401,0))),""))</f>
        <v/>
      </c>
      <c r="G1341" s="7">
        <f>IF($B1341="","",F1341*L1341/100)</f>
        <v/>
      </c>
      <c r="K1341" s="7" t="n"/>
      <c r="L1341" s="7" t="n"/>
      <c r="M1341" s="7">
        <f>IF($B1341="","",L1341*T1341/100)</f>
        <v/>
      </c>
      <c r="N1341" s="7">
        <f>IF($B1341="","",L1341-M1341)</f>
        <v/>
      </c>
      <c r="O1341" s="7">
        <f>IF($B1341="","",N1341-G1341)</f>
        <v/>
      </c>
      <c r="R1341" s="14" t="n"/>
      <c r="T1341">
        <f>IF($B1341="","",IF($W1341=1,Settings!$C$6,Settings!$C$7)*100)</f>
        <v/>
      </c>
      <c r="U1341">
        <f>IF($B1341="","",IF(COUNTIF($B$2:$B1341,$B1341)=1,1,0))</f>
        <v/>
      </c>
      <c r="V1341">
        <f>IF($U1341=1,SUMPRODUCT(--($X$2:$X$1501&lt;$X1341))+1,"")</f>
        <v/>
      </c>
      <c r="W1341">
        <f>IF($B1341="","",IF(OR($S1341=TRUE(),$S1341="TRUE"),1,0))</f>
        <v/>
      </c>
      <c r="X1341">
        <f>IF($U1341=1,IFERROR(IF(VALUE($B1341)&lt;100000000,VALUE($B1341),1000000000),IFERROR(IF(VALUE(MID($B1341,2,20))&lt;100000000,VALUE(MID($B1341,2,20)),1000000000),1000000000))+ROW()/100000,"")</f>
        <v/>
      </c>
    </row>
    <row r="1342">
      <c r="A1342">
        <f>IF($B1342="","",IFERROR(IF(INDEX('Per Invoice'!$C$2:$C$401,MATCH($B1342,'Per Invoice'!$A$2:$A$401,0))=0,"",INDEX('Per Invoice'!$C$2:$C$401,MATCH($B1342,'Per Invoice'!$A$2:$A$401,0))),""))</f>
        <v/>
      </c>
      <c r="G1342" s="7">
        <f>IF($B1342="","",F1342*L1342/100)</f>
        <v/>
      </c>
      <c r="K1342" s="7" t="n"/>
      <c r="L1342" s="7" t="n"/>
      <c r="M1342" s="7">
        <f>IF($B1342="","",L1342*T1342/100)</f>
        <v/>
      </c>
      <c r="N1342" s="7">
        <f>IF($B1342="","",L1342-M1342)</f>
        <v/>
      </c>
      <c r="O1342" s="7">
        <f>IF($B1342="","",N1342-G1342)</f>
        <v/>
      </c>
      <c r="R1342" s="14" t="n"/>
      <c r="T1342">
        <f>IF($B1342="","",IF($W1342=1,Settings!$C$6,Settings!$C$7)*100)</f>
        <v/>
      </c>
      <c r="U1342">
        <f>IF($B1342="","",IF(COUNTIF($B$2:$B1342,$B1342)=1,1,0))</f>
        <v/>
      </c>
      <c r="V1342">
        <f>IF($U1342=1,SUMPRODUCT(--($X$2:$X$1501&lt;$X1342))+1,"")</f>
        <v/>
      </c>
      <c r="W1342">
        <f>IF($B1342="","",IF(OR($S1342=TRUE(),$S1342="TRUE"),1,0))</f>
        <v/>
      </c>
      <c r="X1342">
        <f>IF($U1342=1,IFERROR(IF(VALUE($B1342)&lt;100000000,VALUE($B1342),1000000000),IFERROR(IF(VALUE(MID($B1342,2,20))&lt;100000000,VALUE(MID($B1342,2,20)),1000000000),1000000000))+ROW()/100000,"")</f>
        <v/>
      </c>
    </row>
    <row r="1343">
      <c r="A1343">
        <f>IF($B1343="","",IFERROR(IF(INDEX('Per Invoice'!$C$2:$C$401,MATCH($B1343,'Per Invoice'!$A$2:$A$401,0))=0,"",INDEX('Per Invoice'!$C$2:$C$401,MATCH($B1343,'Per Invoice'!$A$2:$A$401,0))),""))</f>
        <v/>
      </c>
      <c r="G1343" s="7">
        <f>IF($B1343="","",F1343*L1343/100)</f>
        <v/>
      </c>
      <c r="K1343" s="7" t="n"/>
      <c r="L1343" s="7" t="n"/>
      <c r="M1343" s="7">
        <f>IF($B1343="","",L1343*T1343/100)</f>
        <v/>
      </c>
      <c r="N1343" s="7">
        <f>IF($B1343="","",L1343-M1343)</f>
        <v/>
      </c>
      <c r="O1343" s="7">
        <f>IF($B1343="","",N1343-G1343)</f>
        <v/>
      </c>
      <c r="R1343" s="14" t="n"/>
      <c r="T1343">
        <f>IF($B1343="","",IF($W1343=1,Settings!$C$6,Settings!$C$7)*100)</f>
        <v/>
      </c>
      <c r="U1343">
        <f>IF($B1343="","",IF(COUNTIF($B$2:$B1343,$B1343)=1,1,0))</f>
        <v/>
      </c>
      <c r="V1343">
        <f>IF($U1343=1,SUMPRODUCT(--($X$2:$X$1501&lt;$X1343))+1,"")</f>
        <v/>
      </c>
      <c r="W1343">
        <f>IF($B1343="","",IF(OR($S1343=TRUE(),$S1343="TRUE"),1,0))</f>
        <v/>
      </c>
      <c r="X1343">
        <f>IF($U1343=1,IFERROR(IF(VALUE($B1343)&lt;100000000,VALUE($B1343),1000000000),IFERROR(IF(VALUE(MID($B1343,2,20))&lt;100000000,VALUE(MID($B1343,2,20)),1000000000),1000000000))+ROW()/100000,"")</f>
        <v/>
      </c>
    </row>
    <row r="1344">
      <c r="A1344">
        <f>IF($B1344="","",IFERROR(IF(INDEX('Per Invoice'!$C$2:$C$401,MATCH($B1344,'Per Invoice'!$A$2:$A$401,0))=0,"",INDEX('Per Invoice'!$C$2:$C$401,MATCH($B1344,'Per Invoice'!$A$2:$A$401,0))),""))</f>
        <v/>
      </c>
      <c r="G1344" s="7">
        <f>IF($B1344="","",F1344*L1344/100)</f>
        <v/>
      </c>
      <c r="K1344" s="7" t="n"/>
      <c r="L1344" s="7" t="n"/>
      <c r="M1344" s="7">
        <f>IF($B1344="","",L1344*T1344/100)</f>
        <v/>
      </c>
      <c r="N1344" s="7">
        <f>IF($B1344="","",L1344-M1344)</f>
        <v/>
      </c>
      <c r="O1344" s="7">
        <f>IF($B1344="","",N1344-G1344)</f>
        <v/>
      </c>
      <c r="R1344" s="14" t="n"/>
      <c r="T1344">
        <f>IF($B1344="","",IF($W1344=1,Settings!$C$6,Settings!$C$7)*100)</f>
        <v/>
      </c>
      <c r="U1344">
        <f>IF($B1344="","",IF(COUNTIF($B$2:$B1344,$B1344)=1,1,0))</f>
        <v/>
      </c>
      <c r="V1344">
        <f>IF($U1344=1,SUMPRODUCT(--($X$2:$X$1501&lt;$X1344))+1,"")</f>
        <v/>
      </c>
      <c r="W1344">
        <f>IF($B1344="","",IF(OR($S1344=TRUE(),$S1344="TRUE"),1,0))</f>
        <v/>
      </c>
      <c r="X1344">
        <f>IF($U1344=1,IFERROR(IF(VALUE($B1344)&lt;100000000,VALUE($B1344),1000000000),IFERROR(IF(VALUE(MID($B1344,2,20))&lt;100000000,VALUE(MID($B1344,2,20)),1000000000),1000000000))+ROW()/100000,"")</f>
        <v/>
      </c>
    </row>
    <row r="1345">
      <c r="A1345">
        <f>IF($B1345="","",IFERROR(IF(INDEX('Per Invoice'!$C$2:$C$401,MATCH($B1345,'Per Invoice'!$A$2:$A$401,0))=0,"",INDEX('Per Invoice'!$C$2:$C$401,MATCH($B1345,'Per Invoice'!$A$2:$A$401,0))),""))</f>
        <v/>
      </c>
      <c r="G1345" s="7">
        <f>IF($B1345="","",F1345*L1345/100)</f>
        <v/>
      </c>
      <c r="K1345" s="7" t="n"/>
      <c r="L1345" s="7" t="n"/>
      <c r="M1345" s="7">
        <f>IF($B1345="","",L1345*T1345/100)</f>
        <v/>
      </c>
      <c r="N1345" s="7">
        <f>IF($B1345="","",L1345-M1345)</f>
        <v/>
      </c>
      <c r="O1345" s="7">
        <f>IF($B1345="","",N1345-G1345)</f>
        <v/>
      </c>
      <c r="R1345" s="14" t="n"/>
      <c r="T1345">
        <f>IF($B1345="","",IF($W1345=1,Settings!$C$6,Settings!$C$7)*100)</f>
        <v/>
      </c>
      <c r="U1345">
        <f>IF($B1345="","",IF(COUNTIF($B$2:$B1345,$B1345)=1,1,0))</f>
        <v/>
      </c>
      <c r="V1345">
        <f>IF($U1345=1,SUMPRODUCT(--($X$2:$X$1501&lt;$X1345))+1,"")</f>
        <v/>
      </c>
      <c r="W1345">
        <f>IF($B1345="","",IF(OR($S1345=TRUE(),$S1345="TRUE"),1,0))</f>
        <v/>
      </c>
      <c r="X1345">
        <f>IF($U1345=1,IFERROR(IF(VALUE($B1345)&lt;100000000,VALUE($B1345),1000000000),IFERROR(IF(VALUE(MID($B1345,2,20))&lt;100000000,VALUE(MID($B1345,2,20)),1000000000),1000000000))+ROW()/100000,"")</f>
        <v/>
      </c>
    </row>
    <row r="1346">
      <c r="A1346">
        <f>IF($B1346="","",IFERROR(IF(INDEX('Per Invoice'!$C$2:$C$401,MATCH($B1346,'Per Invoice'!$A$2:$A$401,0))=0,"",INDEX('Per Invoice'!$C$2:$C$401,MATCH($B1346,'Per Invoice'!$A$2:$A$401,0))),""))</f>
        <v/>
      </c>
      <c r="G1346" s="7">
        <f>IF($B1346="","",F1346*L1346/100)</f>
        <v/>
      </c>
      <c r="K1346" s="7" t="n"/>
      <c r="L1346" s="7" t="n"/>
      <c r="M1346" s="7">
        <f>IF($B1346="","",L1346*T1346/100)</f>
        <v/>
      </c>
      <c r="N1346" s="7">
        <f>IF($B1346="","",L1346-M1346)</f>
        <v/>
      </c>
      <c r="O1346" s="7">
        <f>IF($B1346="","",N1346-G1346)</f>
        <v/>
      </c>
      <c r="R1346" s="14" t="n"/>
      <c r="T1346">
        <f>IF($B1346="","",IF($W1346=1,Settings!$C$6,Settings!$C$7)*100)</f>
        <v/>
      </c>
      <c r="U1346">
        <f>IF($B1346="","",IF(COUNTIF($B$2:$B1346,$B1346)=1,1,0))</f>
        <v/>
      </c>
      <c r="V1346">
        <f>IF($U1346=1,SUMPRODUCT(--($X$2:$X$1501&lt;$X1346))+1,"")</f>
        <v/>
      </c>
      <c r="W1346">
        <f>IF($B1346="","",IF(OR($S1346=TRUE(),$S1346="TRUE"),1,0))</f>
        <v/>
      </c>
      <c r="X1346">
        <f>IF($U1346=1,IFERROR(IF(VALUE($B1346)&lt;100000000,VALUE($B1346),1000000000),IFERROR(IF(VALUE(MID($B1346,2,20))&lt;100000000,VALUE(MID($B1346,2,20)),1000000000),1000000000))+ROW()/100000,"")</f>
        <v/>
      </c>
    </row>
    <row r="1347">
      <c r="A1347">
        <f>IF($B1347="","",IFERROR(IF(INDEX('Per Invoice'!$C$2:$C$401,MATCH($B1347,'Per Invoice'!$A$2:$A$401,0))=0,"",INDEX('Per Invoice'!$C$2:$C$401,MATCH($B1347,'Per Invoice'!$A$2:$A$401,0))),""))</f>
        <v/>
      </c>
      <c r="G1347" s="7">
        <f>IF($B1347="","",F1347*L1347/100)</f>
        <v/>
      </c>
      <c r="K1347" s="7" t="n"/>
      <c r="L1347" s="7" t="n"/>
      <c r="M1347" s="7">
        <f>IF($B1347="","",L1347*T1347/100)</f>
        <v/>
      </c>
      <c r="N1347" s="7">
        <f>IF($B1347="","",L1347-M1347)</f>
        <v/>
      </c>
      <c r="O1347" s="7">
        <f>IF($B1347="","",N1347-G1347)</f>
        <v/>
      </c>
      <c r="R1347" s="14" t="n"/>
      <c r="T1347">
        <f>IF($B1347="","",IF($W1347=1,Settings!$C$6,Settings!$C$7)*100)</f>
        <v/>
      </c>
      <c r="U1347">
        <f>IF($B1347="","",IF(COUNTIF($B$2:$B1347,$B1347)=1,1,0))</f>
        <v/>
      </c>
      <c r="V1347">
        <f>IF($U1347=1,SUMPRODUCT(--($X$2:$X$1501&lt;$X1347))+1,"")</f>
        <v/>
      </c>
      <c r="W1347">
        <f>IF($B1347="","",IF(OR($S1347=TRUE(),$S1347="TRUE"),1,0))</f>
        <v/>
      </c>
      <c r="X1347">
        <f>IF($U1347=1,IFERROR(IF(VALUE($B1347)&lt;100000000,VALUE($B1347),1000000000),IFERROR(IF(VALUE(MID($B1347,2,20))&lt;100000000,VALUE(MID($B1347,2,20)),1000000000),1000000000))+ROW()/100000,"")</f>
        <v/>
      </c>
    </row>
    <row r="1348">
      <c r="A1348">
        <f>IF($B1348="","",IFERROR(IF(INDEX('Per Invoice'!$C$2:$C$401,MATCH($B1348,'Per Invoice'!$A$2:$A$401,0))=0,"",INDEX('Per Invoice'!$C$2:$C$401,MATCH($B1348,'Per Invoice'!$A$2:$A$401,0))),""))</f>
        <v/>
      </c>
      <c r="G1348" s="7">
        <f>IF($B1348="","",F1348*L1348/100)</f>
        <v/>
      </c>
      <c r="K1348" s="7" t="n"/>
      <c r="L1348" s="7" t="n"/>
      <c r="M1348" s="7">
        <f>IF($B1348="","",L1348*T1348/100)</f>
        <v/>
      </c>
      <c r="N1348" s="7">
        <f>IF($B1348="","",L1348-M1348)</f>
        <v/>
      </c>
      <c r="O1348" s="7">
        <f>IF($B1348="","",N1348-G1348)</f>
        <v/>
      </c>
      <c r="R1348" s="14" t="n"/>
      <c r="T1348">
        <f>IF($B1348="","",IF($W1348=1,Settings!$C$6,Settings!$C$7)*100)</f>
        <v/>
      </c>
      <c r="U1348">
        <f>IF($B1348="","",IF(COUNTIF($B$2:$B1348,$B1348)=1,1,0))</f>
        <v/>
      </c>
      <c r="V1348">
        <f>IF($U1348=1,SUMPRODUCT(--($X$2:$X$1501&lt;$X1348))+1,"")</f>
        <v/>
      </c>
      <c r="W1348">
        <f>IF($B1348="","",IF(OR($S1348=TRUE(),$S1348="TRUE"),1,0))</f>
        <v/>
      </c>
      <c r="X1348">
        <f>IF($U1348=1,IFERROR(IF(VALUE($B1348)&lt;100000000,VALUE($B1348),1000000000),IFERROR(IF(VALUE(MID($B1348,2,20))&lt;100000000,VALUE(MID($B1348,2,20)),1000000000),1000000000))+ROW()/100000,"")</f>
        <v/>
      </c>
    </row>
    <row r="1349">
      <c r="A1349">
        <f>IF($B1349="","",IFERROR(IF(INDEX('Per Invoice'!$C$2:$C$401,MATCH($B1349,'Per Invoice'!$A$2:$A$401,0))=0,"",INDEX('Per Invoice'!$C$2:$C$401,MATCH($B1349,'Per Invoice'!$A$2:$A$401,0))),""))</f>
        <v/>
      </c>
      <c r="G1349" s="7">
        <f>IF($B1349="","",F1349*L1349/100)</f>
        <v/>
      </c>
      <c r="K1349" s="7" t="n"/>
      <c r="L1349" s="7" t="n"/>
      <c r="M1349" s="7">
        <f>IF($B1349="","",L1349*T1349/100)</f>
        <v/>
      </c>
      <c r="N1349" s="7">
        <f>IF($B1349="","",L1349-M1349)</f>
        <v/>
      </c>
      <c r="O1349" s="7">
        <f>IF($B1349="","",N1349-G1349)</f>
        <v/>
      </c>
      <c r="R1349" s="14" t="n"/>
      <c r="T1349">
        <f>IF($B1349="","",IF($W1349=1,Settings!$C$6,Settings!$C$7)*100)</f>
        <v/>
      </c>
      <c r="U1349">
        <f>IF($B1349="","",IF(COUNTIF($B$2:$B1349,$B1349)=1,1,0))</f>
        <v/>
      </c>
      <c r="V1349">
        <f>IF($U1349=1,SUMPRODUCT(--($X$2:$X$1501&lt;$X1349))+1,"")</f>
        <v/>
      </c>
      <c r="W1349">
        <f>IF($B1349="","",IF(OR($S1349=TRUE(),$S1349="TRUE"),1,0))</f>
        <v/>
      </c>
      <c r="X1349">
        <f>IF($U1349=1,IFERROR(IF(VALUE($B1349)&lt;100000000,VALUE($B1349),1000000000),IFERROR(IF(VALUE(MID($B1349,2,20))&lt;100000000,VALUE(MID($B1349,2,20)),1000000000),1000000000))+ROW()/100000,"")</f>
        <v/>
      </c>
    </row>
    <row r="1350">
      <c r="A1350">
        <f>IF($B1350="","",IFERROR(IF(INDEX('Per Invoice'!$C$2:$C$401,MATCH($B1350,'Per Invoice'!$A$2:$A$401,0))=0,"",INDEX('Per Invoice'!$C$2:$C$401,MATCH($B1350,'Per Invoice'!$A$2:$A$401,0))),""))</f>
        <v/>
      </c>
      <c r="G1350" s="7">
        <f>IF($B1350="","",F1350*L1350/100)</f>
        <v/>
      </c>
      <c r="K1350" s="7" t="n"/>
      <c r="L1350" s="7" t="n"/>
      <c r="M1350" s="7">
        <f>IF($B1350="","",L1350*T1350/100)</f>
        <v/>
      </c>
      <c r="N1350" s="7">
        <f>IF($B1350="","",L1350-M1350)</f>
        <v/>
      </c>
      <c r="O1350" s="7">
        <f>IF($B1350="","",N1350-G1350)</f>
        <v/>
      </c>
      <c r="R1350" s="14" t="n"/>
      <c r="T1350">
        <f>IF($B1350="","",IF($W1350=1,Settings!$C$6,Settings!$C$7)*100)</f>
        <v/>
      </c>
      <c r="U1350">
        <f>IF($B1350="","",IF(COUNTIF($B$2:$B1350,$B1350)=1,1,0))</f>
        <v/>
      </c>
      <c r="V1350">
        <f>IF($U1350=1,SUMPRODUCT(--($X$2:$X$1501&lt;$X1350))+1,"")</f>
        <v/>
      </c>
      <c r="W1350">
        <f>IF($B1350="","",IF(OR($S1350=TRUE(),$S1350="TRUE"),1,0))</f>
        <v/>
      </c>
      <c r="X1350">
        <f>IF($U1350=1,IFERROR(IF(VALUE($B1350)&lt;100000000,VALUE($B1350),1000000000),IFERROR(IF(VALUE(MID($B1350,2,20))&lt;100000000,VALUE(MID($B1350,2,20)),1000000000),1000000000))+ROW()/100000,"")</f>
        <v/>
      </c>
    </row>
    <row r="1351">
      <c r="A1351">
        <f>IF($B1351="","",IFERROR(IF(INDEX('Per Invoice'!$C$2:$C$401,MATCH($B1351,'Per Invoice'!$A$2:$A$401,0))=0,"",INDEX('Per Invoice'!$C$2:$C$401,MATCH($B1351,'Per Invoice'!$A$2:$A$401,0))),""))</f>
        <v/>
      </c>
      <c r="G1351" s="7">
        <f>IF($B1351="","",F1351*L1351/100)</f>
        <v/>
      </c>
      <c r="K1351" s="7" t="n"/>
      <c r="L1351" s="7" t="n"/>
      <c r="M1351" s="7">
        <f>IF($B1351="","",L1351*T1351/100)</f>
        <v/>
      </c>
      <c r="N1351" s="7">
        <f>IF($B1351="","",L1351-M1351)</f>
        <v/>
      </c>
      <c r="O1351" s="7">
        <f>IF($B1351="","",N1351-G1351)</f>
        <v/>
      </c>
      <c r="R1351" s="14" t="n"/>
      <c r="T1351">
        <f>IF($B1351="","",IF($W1351=1,Settings!$C$6,Settings!$C$7)*100)</f>
        <v/>
      </c>
      <c r="U1351">
        <f>IF($B1351="","",IF(COUNTIF($B$2:$B1351,$B1351)=1,1,0))</f>
        <v/>
      </c>
      <c r="V1351">
        <f>IF($U1351=1,SUMPRODUCT(--($X$2:$X$1501&lt;$X1351))+1,"")</f>
        <v/>
      </c>
      <c r="W1351">
        <f>IF($B1351="","",IF(OR($S1351=TRUE(),$S1351="TRUE"),1,0))</f>
        <v/>
      </c>
      <c r="X1351">
        <f>IF($U1351=1,IFERROR(IF(VALUE($B1351)&lt;100000000,VALUE($B1351),1000000000),IFERROR(IF(VALUE(MID($B1351,2,20))&lt;100000000,VALUE(MID($B1351,2,20)),1000000000),1000000000))+ROW()/100000,"")</f>
        <v/>
      </c>
    </row>
    <row r="1352">
      <c r="A1352">
        <f>IF($B1352="","",IFERROR(IF(INDEX('Per Invoice'!$C$2:$C$401,MATCH($B1352,'Per Invoice'!$A$2:$A$401,0))=0,"",INDEX('Per Invoice'!$C$2:$C$401,MATCH($B1352,'Per Invoice'!$A$2:$A$401,0))),""))</f>
        <v/>
      </c>
      <c r="G1352" s="7">
        <f>IF($B1352="","",F1352*L1352/100)</f>
        <v/>
      </c>
      <c r="K1352" s="7" t="n"/>
      <c r="L1352" s="7" t="n"/>
      <c r="M1352" s="7">
        <f>IF($B1352="","",L1352*T1352/100)</f>
        <v/>
      </c>
      <c r="N1352" s="7">
        <f>IF($B1352="","",L1352-M1352)</f>
        <v/>
      </c>
      <c r="O1352" s="7">
        <f>IF($B1352="","",N1352-G1352)</f>
        <v/>
      </c>
      <c r="R1352" s="14" t="n"/>
      <c r="T1352">
        <f>IF($B1352="","",IF($W1352=1,Settings!$C$6,Settings!$C$7)*100)</f>
        <v/>
      </c>
      <c r="U1352">
        <f>IF($B1352="","",IF(COUNTIF($B$2:$B1352,$B1352)=1,1,0))</f>
        <v/>
      </c>
      <c r="V1352">
        <f>IF($U1352=1,SUMPRODUCT(--($X$2:$X$1501&lt;$X1352))+1,"")</f>
        <v/>
      </c>
      <c r="W1352">
        <f>IF($B1352="","",IF(OR($S1352=TRUE(),$S1352="TRUE"),1,0))</f>
        <v/>
      </c>
      <c r="X1352">
        <f>IF($U1352=1,IFERROR(IF(VALUE($B1352)&lt;100000000,VALUE($B1352),1000000000),IFERROR(IF(VALUE(MID($B1352,2,20))&lt;100000000,VALUE(MID($B1352,2,20)),1000000000),1000000000))+ROW()/100000,"")</f>
        <v/>
      </c>
    </row>
    <row r="1353">
      <c r="A1353">
        <f>IF($B1353="","",IFERROR(IF(INDEX('Per Invoice'!$C$2:$C$401,MATCH($B1353,'Per Invoice'!$A$2:$A$401,0))=0,"",INDEX('Per Invoice'!$C$2:$C$401,MATCH($B1353,'Per Invoice'!$A$2:$A$401,0))),""))</f>
        <v/>
      </c>
      <c r="G1353" s="7">
        <f>IF($B1353="","",F1353*L1353/100)</f>
        <v/>
      </c>
      <c r="K1353" s="7" t="n"/>
      <c r="L1353" s="7" t="n"/>
      <c r="M1353" s="7">
        <f>IF($B1353="","",L1353*T1353/100)</f>
        <v/>
      </c>
      <c r="N1353" s="7">
        <f>IF($B1353="","",L1353-M1353)</f>
        <v/>
      </c>
      <c r="O1353" s="7">
        <f>IF($B1353="","",N1353-G1353)</f>
        <v/>
      </c>
      <c r="R1353" s="14" t="n"/>
      <c r="T1353">
        <f>IF($B1353="","",IF($W1353=1,Settings!$C$6,Settings!$C$7)*100)</f>
        <v/>
      </c>
      <c r="U1353">
        <f>IF($B1353="","",IF(COUNTIF($B$2:$B1353,$B1353)=1,1,0))</f>
        <v/>
      </c>
      <c r="V1353">
        <f>IF($U1353=1,SUMPRODUCT(--($X$2:$X$1501&lt;$X1353))+1,"")</f>
        <v/>
      </c>
      <c r="W1353">
        <f>IF($B1353="","",IF(OR($S1353=TRUE(),$S1353="TRUE"),1,0))</f>
        <v/>
      </c>
      <c r="X1353">
        <f>IF($U1353=1,IFERROR(IF(VALUE($B1353)&lt;100000000,VALUE($B1353),1000000000),IFERROR(IF(VALUE(MID($B1353,2,20))&lt;100000000,VALUE(MID($B1353,2,20)),1000000000),1000000000))+ROW()/100000,"")</f>
        <v/>
      </c>
    </row>
    <row r="1354">
      <c r="A1354">
        <f>IF($B1354="","",IFERROR(IF(INDEX('Per Invoice'!$C$2:$C$401,MATCH($B1354,'Per Invoice'!$A$2:$A$401,0))=0,"",INDEX('Per Invoice'!$C$2:$C$401,MATCH($B1354,'Per Invoice'!$A$2:$A$401,0))),""))</f>
        <v/>
      </c>
      <c r="G1354" s="7">
        <f>IF($B1354="","",F1354*L1354/100)</f>
        <v/>
      </c>
      <c r="K1354" s="7" t="n"/>
      <c r="L1354" s="7" t="n"/>
      <c r="M1354" s="7">
        <f>IF($B1354="","",L1354*T1354/100)</f>
        <v/>
      </c>
      <c r="N1354" s="7">
        <f>IF($B1354="","",L1354-M1354)</f>
        <v/>
      </c>
      <c r="O1354" s="7">
        <f>IF($B1354="","",N1354-G1354)</f>
        <v/>
      </c>
      <c r="R1354" s="14" t="n"/>
      <c r="T1354">
        <f>IF($B1354="","",IF($W1354=1,Settings!$C$6,Settings!$C$7)*100)</f>
        <v/>
      </c>
      <c r="U1354">
        <f>IF($B1354="","",IF(COUNTIF($B$2:$B1354,$B1354)=1,1,0))</f>
        <v/>
      </c>
      <c r="V1354">
        <f>IF($U1354=1,SUMPRODUCT(--($X$2:$X$1501&lt;$X1354))+1,"")</f>
        <v/>
      </c>
      <c r="W1354">
        <f>IF($B1354="","",IF(OR($S1354=TRUE(),$S1354="TRUE"),1,0))</f>
        <v/>
      </c>
      <c r="X1354">
        <f>IF($U1354=1,IFERROR(IF(VALUE($B1354)&lt;100000000,VALUE($B1354),1000000000),IFERROR(IF(VALUE(MID($B1354,2,20))&lt;100000000,VALUE(MID($B1354,2,20)),1000000000),1000000000))+ROW()/100000,"")</f>
        <v/>
      </c>
    </row>
    <row r="1355">
      <c r="A1355">
        <f>IF($B1355="","",IFERROR(IF(INDEX('Per Invoice'!$C$2:$C$401,MATCH($B1355,'Per Invoice'!$A$2:$A$401,0))=0,"",INDEX('Per Invoice'!$C$2:$C$401,MATCH($B1355,'Per Invoice'!$A$2:$A$401,0))),""))</f>
        <v/>
      </c>
      <c r="G1355" s="7">
        <f>IF($B1355="","",F1355*L1355/100)</f>
        <v/>
      </c>
      <c r="K1355" s="7" t="n"/>
      <c r="L1355" s="7" t="n"/>
      <c r="M1355" s="7">
        <f>IF($B1355="","",L1355*T1355/100)</f>
        <v/>
      </c>
      <c r="N1355" s="7">
        <f>IF($B1355="","",L1355-M1355)</f>
        <v/>
      </c>
      <c r="O1355" s="7">
        <f>IF($B1355="","",N1355-G1355)</f>
        <v/>
      </c>
      <c r="R1355" s="14" t="n"/>
      <c r="T1355">
        <f>IF($B1355="","",IF($W1355=1,Settings!$C$6,Settings!$C$7)*100)</f>
        <v/>
      </c>
      <c r="U1355">
        <f>IF($B1355="","",IF(COUNTIF($B$2:$B1355,$B1355)=1,1,0))</f>
        <v/>
      </c>
      <c r="V1355">
        <f>IF($U1355=1,SUMPRODUCT(--($X$2:$X$1501&lt;$X1355))+1,"")</f>
        <v/>
      </c>
      <c r="W1355">
        <f>IF($B1355="","",IF(OR($S1355=TRUE(),$S1355="TRUE"),1,0))</f>
        <v/>
      </c>
      <c r="X1355">
        <f>IF($U1355=1,IFERROR(IF(VALUE($B1355)&lt;100000000,VALUE($B1355),1000000000),IFERROR(IF(VALUE(MID($B1355,2,20))&lt;100000000,VALUE(MID($B1355,2,20)),1000000000),1000000000))+ROW()/100000,"")</f>
        <v/>
      </c>
    </row>
    <row r="1356">
      <c r="A1356">
        <f>IF($B1356="","",IFERROR(IF(INDEX('Per Invoice'!$C$2:$C$401,MATCH($B1356,'Per Invoice'!$A$2:$A$401,0))=0,"",INDEX('Per Invoice'!$C$2:$C$401,MATCH($B1356,'Per Invoice'!$A$2:$A$401,0))),""))</f>
        <v/>
      </c>
      <c r="G1356" s="7">
        <f>IF($B1356="","",F1356*L1356/100)</f>
        <v/>
      </c>
      <c r="K1356" s="7" t="n"/>
      <c r="L1356" s="7" t="n"/>
      <c r="M1356" s="7">
        <f>IF($B1356="","",L1356*T1356/100)</f>
        <v/>
      </c>
      <c r="N1356" s="7">
        <f>IF($B1356="","",L1356-M1356)</f>
        <v/>
      </c>
      <c r="O1356" s="7">
        <f>IF($B1356="","",N1356-G1356)</f>
        <v/>
      </c>
      <c r="R1356" s="14" t="n"/>
      <c r="T1356">
        <f>IF($B1356="","",IF($W1356=1,Settings!$C$6,Settings!$C$7)*100)</f>
        <v/>
      </c>
      <c r="U1356">
        <f>IF($B1356="","",IF(COUNTIF($B$2:$B1356,$B1356)=1,1,0))</f>
        <v/>
      </c>
      <c r="V1356">
        <f>IF($U1356=1,SUMPRODUCT(--($X$2:$X$1501&lt;$X1356))+1,"")</f>
        <v/>
      </c>
      <c r="W1356">
        <f>IF($B1356="","",IF(OR($S1356=TRUE(),$S1356="TRUE"),1,0))</f>
        <v/>
      </c>
      <c r="X1356">
        <f>IF($U1356=1,IFERROR(IF(VALUE($B1356)&lt;100000000,VALUE($B1356),1000000000),IFERROR(IF(VALUE(MID($B1356,2,20))&lt;100000000,VALUE(MID($B1356,2,20)),1000000000),1000000000))+ROW()/100000,"")</f>
        <v/>
      </c>
    </row>
    <row r="1357">
      <c r="A1357">
        <f>IF($B1357="","",IFERROR(IF(INDEX('Per Invoice'!$C$2:$C$401,MATCH($B1357,'Per Invoice'!$A$2:$A$401,0))=0,"",INDEX('Per Invoice'!$C$2:$C$401,MATCH($B1357,'Per Invoice'!$A$2:$A$401,0))),""))</f>
        <v/>
      </c>
      <c r="G1357" s="7">
        <f>IF($B1357="","",F1357*L1357/100)</f>
        <v/>
      </c>
      <c r="K1357" s="7" t="n"/>
      <c r="L1357" s="7" t="n"/>
      <c r="M1357" s="7">
        <f>IF($B1357="","",L1357*T1357/100)</f>
        <v/>
      </c>
      <c r="N1357" s="7">
        <f>IF($B1357="","",L1357-M1357)</f>
        <v/>
      </c>
      <c r="O1357" s="7">
        <f>IF($B1357="","",N1357-G1357)</f>
        <v/>
      </c>
      <c r="R1357" s="14" t="n"/>
      <c r="T1357">
        <f>IF($B1357="","",IF($W1357=1,Settings!$C$6,Settings!$C$7)*100)</f>
        <v/>
      </c>
      <c r="U1357">
        <f>IF($B1357="","",IF(COUNTIF($B$2:$B1357,$B1357)=1,1,0))</f>
        <v/>
      </c>
      <c r="V1357">
        <f>IF($U1357=1,SUMPRODUCT(--($X$2:$X$1501&lt;$X1357))+1,"")</f>
        <v/>
      </c>
      <c r="W1357">
        <f>IF($B1357="","",IF(OR($S1357=TRUE(),$S1357="TRUE"),1,0))</f>
        <v/>
      </c>
      <c r="X1357">
        <f>IF($U1357=1,IFERROR(IF(VALUE($B1357)&lt;100000000,VALUE($B1357),1000000000),IFERROR(IF(VALUE(MID($B1357,2,20))&lt;100000000,VALUE(MID($B1357,2,20)),1000000000),1000000000))+ROW()/100000,"")</f>
        <v/>
      </c>
    </row>
    <row r="1358">
      <c r="A1358">
        <f>IF($B1358="","",IFERROR(IF(INDEX('Per Invoice'!$C$2:$C$401,MATCH($B1358,'Per Invoice'!$A$2:$A$401,0))=0,"",INDEX('Per Invoice'!$C$2:$C$401,MATCH($B1358,'Per Invoice'!$A$2:$A$401,0))),""))</f>
        <v/>
      </c>
      <c r="G1358" s="7">
        <f>IF($B1358="","",F1358*L1358/100)</f>
        <v/>
      </c>
      <c r="K1358" s="7" t="n"/>
      <c r="L1358" s="7" t="n"/>
      <c r="M1358" s="7">
        <f>IF($B1358="","",L1358*T1358/100)</f>
        <v/>
      </c>
      <c r="N1358" s="7">
        <f>IF($B1358="","",L1358-M1358)</f>
        <v/>
      </c>
      <c r="O1358" s="7">
        <f>IF($B1358="","",N1358-G1358)</f>
        <v/>
      </c>
      <c r="R1358" s="14" t="n"/>
      <c r="T1358">
        <f>IF($B1358="","",IF($W1358=1,Settings!$C$6,Settings!$C$7)*100)</f>
        <v/>
      </c>
      <c r="U1358">
        <f>IF($B1358="","",IF(COUNTIF($B$2:$B1358,$B1358)=1,1,0))</f>
        <v/>
      </c>
      <c r="V1358">
        <f>IF($U1358=1,SUMPRODUCT(--($X$2:$X$1501&lt;$X1358))+1,"")</f>
        <v/>
      </c>
      <c r="W1358">
        <f>IF($B1358="","",IF(OR($S1358=TRUE(),$S1358="TRUE"),1,0))</f>
        <v/>
      </c>
      <c r="X1358">
        <f>IF($U1358=1,IFERROR(IF(VALUE($B1358)&lt;100000000,VALUE($B1358),1000000000),IFERROR(IF(VALUE(MID($B1358,2,20))&lt;100000000,VALUE(MID($B1358,2,20)),1000000000),1000000000))+ROW()/100000,"")</f>
        <v/>
      </c>
    </row>
    <row r="1359">
      <c r="A1359">
        <f>IF($B1359="","",IFERROR(IF(INDEX('Per Invoice'!$C$2:$C$401,MATCH($B1359,'Per Invoice'!$A$2:$A$401,0))=0,"",INDEX('Per Invoice'!$C$2:$C$401,MATCH($B1359,'Per Invoice'!$A$2:$A$401,0))),""))</f>
        <v/>
      </c>
      <c r="G1359" s="7">
        <f>IF($B1359="","",F1359*L1359/100)</f>
        <v/>
      </c>
      <c r="K1359" s="7" t="n"/>
      <c r="L1359" s="7" t="n"/>
      <c r="M1359" s="7">
        <f>IF($B1359="","",L1359*T1359/100)</f>
        <v/>
      </c>
      <c r="N1359" s="7">
        <f>IF($B1359="","",L1359-M1359)</f>
        <v/>
      </c>
      <c r="O1359" s="7">
        <f>IF($B1359="","",N1359-G1359)</f>
        <v/>
      </c>
      <c r="R1359" s="14" t="n"/>
      <c r="T1359">
        <f>IF($B1359="","",IF($W1359=1,Settings!$C$6,Settings!$C$7)*100)</f>
        <v/>
      </c>
      <c r="U1359">
        <f>IF($B1359="","",IF(COUNTIF($B$2:$B1359,$B1359)=1,1,0))</f>
        <v/>
      </c>
      <c r="V1359">
        <f>IF($U1359=1,SUMPRODUCT(--($X$2:$X$1501&lt;$X1359))+1,"")</f>
        <v/>
      </c>
      <c r="W1359">
        <f>IF($B1359="","",IF(OR($S1359=TRUE(),$S1359="TRUE"),1,0))</f>
        <v/>
      </c>
      <c r="X1359">
        <f>IF($U1359=1,IFERROR(IF(VALUE($B1359)&lt;100000000,VALUE($B1359),1000000000),IFERROR(IF(VALUE(MID($B1359,2,20))&lt;100000000,VALUE(MID($B1359,2,20)),1000000000),1000000000))+ROW()/100000,"")</f>
        <v/>
      </c>
    </row>
    <row r="1360">
      <c r="A1360">
        <f>IF($B1360="","",IFERROR(IF(INDEX('Per Invoice'!$C$2:$C$401,MATCH($B1360,'Per Invoice'!$A$2:$A$401,0))=0,"",INDEX('Per Invoice'!$C$2:$C$401,MATCH($B1360,'Per Invoice'!$A$2:$A$401,0))),""))</f>
        <v/>
      </c>
      <c r="G1360" s="7">
        <f>IF($B1360="","",F1360*L1360/100)</f>
        <v/>
      </c>
      <c r="K1360" s="7" t="n"/>
      <c r="L1360" s="7" t="n"/>
      <c r="M1360" s="7">
        <f>IF($B1360="","",L1360*T1360/100)</f>
        <v/>
      </c>
      <c r="N1360" s="7">
        <f>IF($B1360="","",L1360-M1360)</f>
        <v/>
      </c>
      <c r="O1360" s="7">
        <f>IF($B1360="","",N1360-G1360)</f>
        <v/>
      </c>
      <c r="R1360" s="14" t="n"/>
      <c r="T1360">
        <f>IF($B1360="","",IF($W1360=1,Settings!$C$6,Settings!$C$7)*100)</f>
        <v/>
      </c>
      <c r="U1360">
        <f>IF($B1360="","",IF(COUNTIF($B$2:$B1360,$B1360)=1,1,0))</f>
        <v/>
      </c>
      <c r="V1360">
        <f>IF($U1360=1,SUMPRODUCT(--($X$2:$X$1501&lt;$X1360))+1,"")</f>
        <v/>
      </c>
      <c r="W1360">
        <f>IF($B1360="","",IF(OR($S1360=TRUE(),$S1360="TRUE"),1,0))</f>
        <v/>
      </c>
      <c r="X1360">
        <f>IF($U1360=1,IFERROR(IF(VALUE($B1360)&lt;100000000,VALUE($B1360),1000000000),IFERROR(IF(VALUE(MID($B1360,2,20))&lt;100000000,VALUE(MID($B1360,2,20)),1000000000),1000000000))+ROW()/100000,"")</f>
        <v/>
      </c>
    </row>
    <row r="1361">
      <c r="A1361">
        <f>IF($B1361="","",IFERROR(IF(INDEX('Per Invoice'!$C$2:$C$401,MATCH($B1361,'Per Invoice'!$A$2:$A$401,0))=0,"",INDEX('Per Invoice'!$C$2:$C$401,MATCH($B1361,'Per Invoice'!$A$2:$A$401,0))),""))</f>
        <v/>
      </c>
      <c r="G1361" s="7">
        <f>IF($B1361="","",F1361*L1361/100)</f>
        <v/>
      </c>
      <c r="K1361" s="7" t="n"/>
      <c r="L1361" s="7" t="n"/>
      <c r="M1361" s="7">
        <f>IF($B1361="","",L1361*T1361/100)</f>
        <v/>
      </c>
      <c r="N1361" s="7">
        <f>IF($B1361="","",L1361-M1361)</f>
        <v/>
      </c>
      <c r="O1361" s="7">
        <f>IF($B1361="","",N1361-G1361)</f>
        <v/>
      </c>
      <c r="R1361" s="14" t="n"/>
      <c r="T1361">
        <f>IF($B1361="","",IF($W1361=1,Settings!$C$6,Settings!$C$7)*100)</f>
        <v/>
      </c>
      <c r="U1361">
        <f>IF($B1361="","",IF(COUNTIF($B$2:$B1361,$B1361)=1,1,0))</f>
        <v/>
      </c>
      <c r="V1361">
        <f>IF($U1361=1,SUMPRODUCT(--($X$2:$X$1501&lt;$X1361))+1,"")</f>
        <v/>
      </c>
      <c r="W1361">
        <f>IF($B1361="","",IF(OR($S1361=TRUE(),$S1361="TRUE"),1,0))</f>
        <v/>
      </c>
      <c r="X1361">
        <f>IF($U1361=1,IFERROR(IF(VALUE($B1361)&lt;100000000,VALUE($B1361),1000000000),IFERROR(IF(VALUE(MID($B1361,2,20))&lt;100000000,VALUE(MID($B1361,2,20)),1000000000),1000000000))+ROW()/100000,"")</f>
        <v/>
      </c>
    </row>
    <row r="1362">
      <c r="A1362">
        <f>IF($B1362="","",IFERROR(IF(INDEX('Per Invoice'!$C$2:$C$401,MATCH($B1362,'Per Invoice'!$A$2:$A$401,0))=0,"",INDEX('Per Invoice'!$C$2:$C$401,MATCH($B1362,'Per Invoice'!$A$2:$A$401,0))),""))</f>
        <v/>
      </c>
      <c r="G1362" s="7">
        <f>IF($B1362="","",F1362*L1362/100)</f>
        <v/>
      </c>
      <c r="K1362" s="7" t="n"/>
      <c r="L1362" s="7" t="n"/>
      <c r="M1362" s="7">
        <f>IF($B1362="","",L1362*T1362/100)</f>
        <v/>
      </c>
      <c r="N1362" s="7">
        <f>IF($B1362="","",L1362-M1362)</f>
        <v/>
      </c>
      <c r="O1362" s="7">
        <f>IF($B1362="","",N1362-G1362)</f>
        <v/>
      </c>
      <c r="R1362" s="14" t="n"/>
      <c r="T1362">
        <f>IF($B1362="","",IF($W1362=1,Settings!$C$6,Settings!$C$7)*100)</f>
        <v/>
      </c>
      <c r="U1362">
        <f>IF($B1362="","",IF(COUNTIF($B$2:$B1362,$B1362)=1,1,0))</f>
        <v/>
      </c>
      <c r="V1362">
        <f>IF($U1362=1,SUMPRODUCT(--($X$2:$X$1501&lt;$X1362))+1,"")</f>
        <v/>
      </c>
      <c r="W1362">
        <f>IF($B1362="","",IF(OR($S1362=TRUE(),$S1362="TRUE"),1,0))</f>
        <v/>
      </c>
      <c r="X1362">
        <f>IF($U1362=1,IFERROR(IF(VALUE($B1362)&lt;100000000,VALUE($B1362),1000000000),IFERROR(IF(VALUE(MID($B1362,2,20))&lt;100000000,VALUE(MID($B1362,2,20)),1000000000),1000000000))+ROW()/100000,"")</f>
        <v/>
      </c>
    </row>
    <row r="1363">
      <c r="A1363">
        <f>IF($B1363="","",IFERROR(IF(INDEX('Per Invoice'!$C$2:$C$401,MATCH($B1363,'Per Invoice'!$A$2:$A$401,0))=0,"",INDEX('Per Invoice'!$C$2:$C$401,MATCH($B1363,'Per Invoice'!$A$2:$A$401,0))),""))</f>
        <v/>
      </c>
      <c r="G1363" s="7">
        <f>IF($B1363="","",F1363*L1363/100)</f>
        <v/>
      </c>
      <c r="K1363" s="7" t="n"/>
      <c r="L1363" s="7" t="n"/>
      <c r="M1363" s="7">
        <f>IF($B1363="","",L1363*T1363/100)</f>
        <v/>
      </c>
      <c r="N1363" s="7">
        <f>IF($B1363="","",L1363-M1363)</f>
        <v/>
      </c>
      <c r="O1363" s="7">
        <f>IF($B1363="","",N1363-G1363)</f>
        <v/>
      </c>
      <c r="R1363" s="14" t="n"/>
      <c r="T1363">
        <f>IF($B1363="","",IF($W1363=1,Settings!$C$6,Settings!$C$7)*100)</f>
        <v/>
      </c>
      <c r="U1363">
        <f>IF($B1363="","",IF(COUNTIF($B$2:$B1363,$B1363)=1,1,0))</f>
        <v/>
      </c>
      <c r="V1363">
        <f>IF($U1363=1,SUMPRODUCT(--($X$2:$X$1501&lt;$X1363))+1,"")</f>
        <v/>
      </c>
      <c r="W1363">
        <f>IF($B1363="","",IF(OR($S1363=TRUE(),$S1363="TRUE"),1,0))</f>
        <v/>
      </c>
      <c r="X1363">
        <f>IF($U1363=1,IFERROR(IF(VALUE($B1363)&lt;100000000,VALUE($B1363),1000000000),IFERROR(IF(VALUE(MID($B1363,2,20))&lt;100000000,VALUE(MID($B1363,2,20)),1000000000),1000000000))+ROW()/100000,"")</f>
        <v/>
      </c>
    </row>
    <row r="1364">
      <c r="A1364">
        <f>IF($B1364="","",IFERROR(IF(INDEX('Per Invoice'!$C$2:$C$401,MATCH($B1364,'Per Invoice'!$A$2:$A$401,0))=0,"",INDEX('Per Invoice'!$C$2:$C$401,MATCH($B1364,'Per Invoice'!$A$2:$A$401,0))),""))</f>
        <v/>
      </c>
      <c r="G1364" s="7">
        <f>IF($B1364="","",F1364*L1364/100)</f>
        <v/>
      </c>
      <c r="K1364" s="7" t="n"/>
      <c r="L1364" s="7" t="n"/>
      <c r="M1364" s="7">
        <f>IF($B1364="","",L1364*T1364/100)</f>
        <v/>
      </c>
      <c r="N1364" s="7">
        <f>IF($B1364="","",L1364-M1364)</f>
        <v/>
      </c>
      <c r="O1364" s="7">
        <f>IF($B1364="","",N1364-G1364)</f>
        <v/>
      </c>
      <c r="R1364" s="14" t="n"/>
      <c r="T1364">
        <f>IF($B1364="","",IF($W1364=1,Settings!$C$6,Settings!$C$7)*100)</f>
        <v/>
      </c>
      <c r="U1364">
        <f>IF($B1364="","",IF(COUNTIF($B$2:$B1364,$B1364)=1,1,0))</f>
        <v/>
      </c>
      <c r="V1364">
        <f>IF($U1364=1,SUMPRODUCT(--($X$2:$X$1501&lt;$X1364))+1,"")</f>
        <v/>
      </c>
      <c r="W1364">
        <f>IF($B1364="","",IF(OR($S1364=TRUE(),$S1364="TRUE"),1,0))</f>
        <v/>
      </c>
      <c r="X1364">
        <f>IF($U1364=1,IFERROR(IF(VALUE($B1364)&lt;100000000,VALUE($B1364),1000000000),IFERROR(IF(VALUE(MID($B1364,2,20))&lt;100000000,VALUE(MID($B1364,2,20)),1000000000),1000000000))+ROW()/100000,"")</f>
        <v/>
      </c>
    </row>
    <row r="1365">
      <c r="A1365">
        <f>IF($B1365="","",IFERROR(IF(INDEX('Per Invoice'!$C$2:$C$401,MATCH($B1365,'Per Invoice'!$A$2:$A$401,0))=0,"",INDEX('Per Invoice'!$C$2:$C$401,MATCH($B1365,'Per Invoice'!$A$2:$A$401,0))),""))</f>
        <v/>
      </c>
      <c r="G1365" s="7">
        <f>IF($B1365="","",F1365*L1365/100)</f>
        <v/>
      </c>
      <c r="K1365" s="7" t="n"/>
      <c r="L1365" s="7" t="n"/>
      <c r="M1365" s="7">
        <f>IF($B1365="","",L1365*T1365/100)</f>
        <v/>
      </c>
      <c r="N1365" s="7">
        <f>IF($B1365="","",L1365-M1365)</f>
        <v/>
      </c>
      <c r="O1365" s="7">
        <f>IF($B1365="","",N1365-G1365)</f>
        <v/>
      </c>
      <c r="R1365" s="14" t="n"/>
      <c r="T1365">
        <f>IF($B1365="","",IF($W1365=1,Settings!$C$6,Settings!$C$7)*100)</f>
        <v/>
      </c>
      <c r="U1365">
        <f>IF($B1365="","",IF(COUNTIF($B$2:$B1365,$B1365)=1,1,0))</f>
        <v/>
      </c>
      <c r="V1365">
        <f>IF($U1365=1,SUMPRODUCT(--($X$2:$X$1501&lt;$X1365))+1,"")</f>
        <v/>
      </c>
      <c r="W1365">
        <f>IF($B1365="","",IF(OR($S1365=TRUE(),$S1365="TRUE"),1,0))</f>
        <v/>
      </c>
      <c r="X1365">
        <f>IF($U1365=1,IFERROR(IF(VALUE($B1365)&lt;100000000,VALUE($B1365),1000000000),IFERROR(IF(VALUE(MID($B1365,2,20))&lt;100000000,VALUE(MID($B1365,2,20)),1000000000),1000000000))+ROW()/100000,"")</f>
        <v/>
      </c>
    </row>
    <row r="1366">
      <c r="A1366">
        <f>IF($B1366="","",IFERROR(IF(INDEX('Per Invoice'!$C$2:$C$401,MATCH($B1366,'Per Invoice'!$A$2:$A$401,0))=0,"",INDEX('Per Invoice'!$C$2:$C$401,MATCH($B1366,'Per Invoice'!$A$2:$A$401,0))),""))</f>
        <v/>
      </c>
      <c r="G1366" s="7">
        <f>IF($B1366="","",F1366*L1366/100)</f>
        <v/>
      </c>
      <c r="K1366" s="7" t="n"/>
      <c r="L1366" s="7" t="n"/>
      <c r="M1366" s="7">
        <f>IF($B1366="","",L1366*T1366/100)</f>
        <v/>
      </c>
      <c r="N1366" s="7">
        <f>IF($B1366="","",L1366-M1366)</f>
        <v/>
      </c>
      <c r="O1366" s="7">
        <f>IF($B1366="","",N1366-G1366)</f>
        <v/>
      </c>
      <c r="R1366" s="14" t="n"/>
      <c r="T1366">
        <f>IF($B1366="","",IF($W1366=1,Settings!$C$6,Settings!$C$7)*100)</f>
        <v/>
      </c>
      <c r="U1366">
        <f>IF($B1366="","",IF(COUNTIF($B$2:$B1366,$B1366)=1,1,0))</f>
        <v/>
      </c>
      <c r="V1366">
        <f>IF($U1366=1,SUMPRODUCT(--($X$2:$X$1501&lt;$X1366))+1,"")</f>
        <v/>
      </c>
      <c r="W1366">
        <f>IF($B1366="","",IF(OR($S1366=TRUE(),$S1366="TRUE"),1,0))</f>
        <v/>
      </c>
      <c r="X1366">
        <f>IF($U1366=1,IFERROR(IF(VALUE($B1366)&lt;100000000,VALUE($B1366),1000000000),IFERROR(IF(VALUE(MID($B1366,2,20))&lt;100000000,VALUE(MID($B1366,2,20)),1000000000),1000000000))+ROW()/100000,"")</f>
        <v/>
      </c>
    </row>
    <row r="1367">
      <c r="A1367">
        <f>IF($B1367="","",IFERROR(IF(INDEX('Per Invoice'!$C$2:$C$401,MATCH($B1367,'Per Invoice'!$A$2:$A$401,0))=0,"",INDEX('Per Invoice'!$C$2:$C$401,MATCH($B1367,'Per Invoice'!$A$2:$A$401,0))),""))</f>
        <v/>
      </c>
      <c r="G1367" s="7">
        <f>IF($B1367="","",F1367*L1367/100)</f>
        <v/>
      </c>
      <c r="K1367" s="7" t="n"/>
      <c r="L1367" s="7" t="n"/>
      <c r="M1367" s="7">
        <f>IF($B1367="","",L1367*T1367/100)</f>
        <v/>
      </c>
      <c r="N1367" s="7">
        <f>IF($B1367="","",L1367-M1367)</f>
        <v/>
      </c>
      <c r="O1367" s="7">
        <f>IF($B1367="","",N1367-G1367)</f>
        <v/>
      </c>
      <c r="R1367" s="14" t="n"/>
      <c r="T1367">
        <f>IF($B1367="","",IF($W1367=1,Settings!$C$6,Settings!$C$7)*100)</f>
        <v/>
      </c>
      <c r="U1367">
        <f>IF($B1367="","",IF(COUNTIF($B$2:$B1367,$B1367)=1,1,0))</f>
        <v/>
      </c>
      <c r="V1367">
        <f>IF($U1367=1,SUMPRODUCT(--($X$2:$X$1501&lt;$X1367))+1,"")</f>
        <v/>
      </c>
      <c r="W1367">
        <f>IF($B1367="","",IF(OR($S1367=TRUE(),$S1367="TRUE"),1,0))</f>
        <v/>
      </c>
      <c r="X1367">
        <f>IF($U1367=1,IFERROR(IF(VALUE($B1367)&lt;100000000,VALUE($B1367),1000000000),IFERROR(IF(VALUE(MID($B1367,2,20))&lt;100000000,VALUE(MID($B1367,2,20)),1000000000),1000000000))+ROW()/100000,"")</f>
        <v/>
      </c>
    </row>
    <row r="1368">
      <c r="A1368">
        <f>IF($B1368="","",IFERROR(IF(INDEX('Per Invoice'!$C$2:$C$401,MATCH($B1368,'Per Invoice'!$A$2:$A$401,0))=0,"",INDEX('Per Invoice'!$C$2:$C$401,MATCH($B1368,'Per Invoice'!$A$2:$A$401,0))),""))</f>
        <v/>
      </c>
      <c r="G1368" s="7">
        <f>IF($B1368="","",F1368*L1368/100)</f>
        <v/>
      </c>
      <c r="K1368" s="7" t="n"/>
      <c r="L1368" s="7" t="n"/>
      <c r="M1368" s="7">
        <f>IF($B1368="","",L1368*T1368/100)</f>
        <v/>
      </c>
      <c r="N1368" s="7">
        <f>IF($B1368="","",L1368-M1368)</f>
        <v/>
      </c>
      <c r="O1368" s="7">
        <f>IF($B1368="","",N1368-G1368)</f>
        <v/>
      </c>
      <c r="R1368" s="14" t="n"/>
      <c r="T1368">
        <f>IF($B1368="","",IF($W1368=1,Settings!$C$6,Settings!$C$7)*100)</f>
        <v/>
      </c>
      <c r="U1368">
        <f>IF($B1368="","",IF(COUNTIF($B$2:$B1368,$B1368)=1,1,0))</f>
        <v/>
      </c>
      <c r="V1368">
        <f>IF($U1368=1,SUMPRODUCT(--($X$2:$X$1501&lt;$X1368))+1,"")</f>
        <v/>
      </c>
      <c r="W1368">
        <f>IF($B1368="","",IF(OR($S1368=TRUE(),$S1368="TRUE"),1,0))</f>
        <v/>
      </c>
      <c r="X1368">
        <f>IF($U1368=1,IFERROR(IF(VALUE($B1368)&lt;100000000,VALUE($B1368),1000000000),IFERROR(IF(VALUE(MID($B1368,2,20))&lt;100000000,VALUE(MID($B1368,2,20)),1000000000),1000000000))+ROW()/100000,"")</f>
        <v/>
      </c>
    </row>
    <row r="1369">
      <c r="A1369">
        <f>IF($B1369="","",IFERROR(IF(INDEX('Per Invoice'!$C$2:$C$401,MATCH($B1369,'Per Invoice'!$A$2:$A$401,0))=0,"",INDEX('Per Invoice'!$C$2:$C$401,MATCH($B1369,'Per Invoice'!$A$2:$A$401,0))),""))</f>
        <v/>
      </c>
      <c r="G1369" s="7">
        <f>IF($B1369="","",F1369*L1369/100)</f>
        <v/>
      </c>
      <c r="K1369" s="7" t="n"/>
      <c r="L1369" s="7" t="n"/>
      <c r="M1369" s="7">
        <f>IF($B1369="","",L1369*T1369/100)</f>
        <v/>
      </c>
      <c r="N1369" s="7">
        <f>IF($B1369="","",L1369-M1369)</f>
        <v/>
      </c>
      <c r="O1369" s="7">
        <f>IF($B1369="","",N1369-G1369)</f>
        <v/>
      </c>
      <c r="R1369" s="14" t="n"/>
      <c r="T1369">
        <f>IF($B1369="","",IF($W1369=1,Settings!$C$6,Settings!$C$7)*100)</f>
        <v/>
      </c>
      <c r="U1369">
        <f>IF($B1369="","",IF(COUNTIF($B$2:$B1369,$B1369)=1,1,0))</f>
        <v/>
      </c>
      <c r="V1369">
        <f>IF($U1369=1,SUMPRODUCT(--($X$2:$X$1501&lt;$X1369))+1,"")</f>
        <v/>
      </c>
      <c r="W1369">
        <f>IF($B1369="","",IF(OR($S1369=TRUE(),$S1369="TRUE"),1,0))</f>
        <v/>
      </c>
      <c r="X1369">
        <f>IF($U1369=1,IFERROR(IF(VALUE($B1369)&lt;100000000,VALUE($B1369),1000000000),IFERROR(IF(VALUE(MID($B1369,2,20))&lt;100000000,VALUE(MID($B1369,2,20)),1000000000),1000000000))+ROW()/100000,"")</f>
        <v/>
      </c>
    </row>
    <row r="1370">
      <c r="A1370">
        <f>IF($B1370="","",IFERROR(IF(INDEX('Per Invoice'!$C$2:$C$401,MATCH($B1370,'Per Invoice'!$A$2:$A$401,0))=0,"",INDEX('Per Invoice'!$C$2:$C$401,MATCH($B1370,'Per Invoice'!$A$2:$A$401,0))),""))</f>
        <v/>
      </c>
      <c r="G1370" s="7">
        <f>IF($B1370="","",F1370*L1370/100)</f>
        <v/>
      </c>
      <c r="K1370" s="7" t="n"/>
      <c r="L1370" s="7" t="n"/>
      <c r="M1370" s="7">
        <f>IF($B1370="","",L1370*T1370/100)</f>
        <v/>
      </c>
      <c r="N1370" s="7">
        <f>IF($B1370="","",L1370-M1370)</f>
        <v/>
      </c>
      <c r="O1370" s="7">
        <f>IF($B1370="","",N1370-G1370)</f>
        <v/>
      </c>
      <c r="R1370" s="14" t="n"/>
      <c r="T1370">
        <f>IF($B1370="","",IF($W1370=1,Settings!$C$6,Settings!$C$7)*100)</f>
        <v/>
      </c>
      <c r="U1370">
        <f>IF($B1370="","",IF(COUNTIF($B$2:$B1370,$B1370)=1,1,0))</f>
        <v/>
      </c>
      <c r="V1370">
        <f>IF($U1370=1,SUMPRODUCT(--($X$2:$X$1501&lt;$X1370))+1,"")</f>
        <v/>
      </c>
      <c r="W1370">
        <f>IF($B1370="","",IF(OR($S1370=TRUE(),$S1370="TRUE"),1,0))</f>
        <v/>
      </c>
      <c r="X1370">
        <f>IF($U1370=1,IFERROR(IF(VALUE($B1370)&lt;100000000,VALUE($B1370),1000000000),IFERROR(IF(VALUE(MID($B1370,2,20))&lt;100000000,VALUE(MID($B1370,2,20)),1000000000),1000000000))+ROW()/100000,"")</f>
        <v/>
      </c>
    </row>
    <row r="1371">
      <c r="A1371">
        <f>IF($B1371="","",IFERROR(IF(INDEX('Per Invoice'!$C$2:$C$401,MATCH($B1371,'Per Invoice'!$A$2:$A$401,0))=0,"",INDEX('Per Invoice'!$C$2:$C$401,MATCH($B1371,'Per Invoice'!$A$2:$A$401,0))),""))</f>
        <v/>
      </c>
      <c r="G1371" s="7">
        <f>IF($B1371="","",F1371*L1371/100)</f>
        <v/>
      </c>
      <c r="K1371" s="7" t="n"/>
      <c r="L1371" s="7" t="n"/>
      <c r="M1371" s="7">
        <f>IF($B1371="","",L1371*T1371/100)</f>
        <v/>
      </c>
      <c r="N1371" s="7">
        <f>IF($B1371="","",L1371-M1371)</f>
        <v/>
      </c>
      <c r="O1371" s="7">
        <f>IF($B1371="","",N1371-G1371)</f>
        <v/>
      </c>
      <c r="R1371" s="14" t="n"/>
      <c r="T1371">
        <f>IF($B1371="","",IF($W1371=1,Settings!$C$6,Settings!$C$7)*100)</f>
        <v/>
      </c>
      <c r="U1371">
        <f>IF($B1371="","",IF(COUNTIF($B$2:$B1371,$B1371)=1,1,0))</f>
        <v/>
      </c>
      <c r="V1371">
        <f>IF($U1371=1,SUMPRODUCT(--($X$2:$X$1501&lt;$X1371))+1,"")</f>
        <v/>
      </c>
      <c r="W1371">
        <f>IF($B1371="","",IF(OR($S1371=TRUE(),$S1371="TRUE"),1,0))</f>
        <v/>
      </c>
      <c r="X1371">
        <f>IF($U1371=1,IFERROR(IF(VALUE($B1371)&lt;100000000,VALUE($B1371),1000000000),IFERROR(IF(VALUE(MID($B1371,2,20))&lt;100000000,VALUE(MID($B1371,2,20)),1000000000),1000000000))+ROW()/100000,"")</f>
        <v/>
      </c>
    </row>
    <row r="1372">
      <c r="A1372">
        <f>IF($B1372="","",IFERROR(IF(INDEX('Per Invoice'!$C$2:$C$401,MATCH($B1372,'Per Invoice'!$A$2:$A$401,0))=0,"",INDEX('Per Invoice'!$C$2:$C$401,MATCH($B1372,'Per Invoice'!$A$2:$A$401,0))),""))</f>
        <v/>
      </c>
      <c r="G1372" s="7">
        <f>IF($B1372="","",F1372*L1372/100)</f>
        <v/>
      </c>
      <c r="K1372" s="7" t="n"/>
      <c r="L1372" s="7" t="n"/>
      <c r="M1372" s="7">
        <f>IF($B1372="","",L1372*T1372/100)</f>
        <v/>
      </c>
      <c r="N1372" s="7">
        <f>IF($B1372="","",L1372-M1372)</f>
        <v/>
      </c>
      <c r="O1372" s="7">
        <f>IF($B1372="","",N1372-G1372)</f>
        <v/>
      </c>
      <c r="R1372" s="14" t="n"/>
      <c r="T1372">
        <f>IF($B1372="","",IF($W1372=1,Settings!$C$6,Settings!$C$7)*100)</f>
        <v/>
      </c>
      <c r="U1372">
        <f>IF($B1372="","",IF(COUNTIF($B$2:$B1372,$B1372)=1,1,0))</f>
        <v/>
      </c>
      <c r="V1372">
        <f>IF($U1372=1,SUMPRODUCT(--($X$2:$X$1501&lt;$X1372))+1,"")</f>
        <v/>
      </c>
      <c r="W1372">
        <f>IF($B1372="","",IF(OR($S1372=TRUE(),$S1372="TRUE"),1,0))</f>
        <v/>
      </c>
      <c r="X1372">
        <f>IF($U1372=1,IFERROR(IF(VALUE($B1372)&lt;100000000,VALUE($B1372),1000000000),IFERROR(IF(VALUE(MID($B1372,2,20))&lt;100000000,VALUE(MID($B1372,2,20)),1000000000),1000000000))+ROW()/100000,"")</f>
        <v/>
      </c>
    </row>
    <row r="1373">
      <c r="A1373">
        <f>IF($B1373="","",IFERROR(IF(INDEX('Per Invoice'!$C$2:$C$401,MATCH($B1373,'Per Invoice'!$A$2:$A$401,0))=0,"",INDEX('Per Invoice'!$C$2:$C$401,MATCH($B1373,'Per Invoice'!$A$2:$A$401,0))),""))</f>
        <v/>
      </c>
      <c r="G1373" s="7">
        <f>IF($B1373="","",F1373*L1373/100)</f>
        <v/>
      </c>
      <c r="K1373" s="7" t="n"/>
      <c r="L1373" s="7" t="n"/>
      <c r="M1373" s="7">
        <f>IF($B1373="","",L1373*T1373/100)</f>
        <v/>
      </c>
      <c r="N1373" s="7">
        <f>IF($B1373="","",L1373-M1373)</f>
        <v/>
      </c>
      <c r="O1373" s="7">
        <f>IF($B1373="","",N1373-G1373)</f>
        <v/>
      </c>
      <c r="R1373" s="14" t="n"/>
      <c r="T1373">
        <f>IF($B1373="","",IF($W1373=1,Settings!$C$6,Settings!$C$7)*100)</f>
        <v/>
      </c>
      <c r="U1373">
        <f>IF($B1373="","",IF(COUNTIF($B$2:$B1373,$B1373)=1,1,0))</f>
        <v/>
      </c>
      <c r="V1373">
        <f>IF($U1373=1,SUMPRODUCT(--($X$2:$X$1501&lt;$X1373))+1,"")</f>
        <v/>
      </c>
      <c r="W1373">
        <f>IF($B1373="","",IF(OR($S1373=TRUE(),$S1373="TRUE"),1,0))</f>
        <v/>
      </c>
      <c r="X1373">
        <f>IF($U1373=1,IFERROR(IF(VALUE($B1373)&lt;100000000,VALUE($B1373),1000000000),IFERROR(IF(VALUE(MID($B1373,2,20))&lt;100000000,VALUE(MID($B1373,2,20)),1000000000),1000000000))+ROW()/100000,"")</f>
        <v/>
      </c>
    </row>
    <row r="1374">
      <c r="A1374">
        <f>IF($B1374="","",IFERROR(IF(INDEX('Per Invoice'!$C$2:$C$401,MATCH($B1374,'Per Invoice'!$A$2:$A$401,0))=0,"",INDEX('Per Invoice'!$C$2:$C$401,MATCH($B1374,'Per Invoice'!$A$2:$A$401,0))),""))</f>
        <v/>
      </c>
      <c r="G1374" s="7">
        <f>IF($B1374="","",F1374*L1374/100)</f>
        <v/>
      </c>
      <c r="K1374" s="7" t="n"/>
      <c r="L1374" s="7" t="n"/>
      <c r="M1374" s="7">
        <f>IF($B1374="","",L1374*T1374/100)</f>
        <v/>
      </c>
      <c r="N1374" s="7">
        <f>IF($B1374="","",L1374-M1374)</f>
        <v/>
      </c>
      <c r="O1374" s="7">
        <f>IF($B1374="","",N1374-G1374)</f>
        <v/>
      </c>
      <c r="R1374" s="14" t="n"/>
      <c r="T1374">
        <f>IF($B1374="","",IF($W1374=1,Settings!$C$6,Settings!$C$7)*100)</f>
        <v/>
      </c>
      <c r="U1374">
        <f>IF($B1374="","",IF(COUNTIF($B$2:$B1374,$B1374)=1,1,0))</f>
        <v/>
      </c>
      <c r="V1374">
        <f>IF($U1374=1,SUMPRODUCT(--($X$2:$X$1501&lt;$X1374))+1,"")</f>
        <v/>
      </c>
      <c r="W1374">
        <f>IF($B1374="","",IF(OR($S1374=TRUE(),$S1374="TRUE"),1,0))</f>
        <v/>
      </c>
      <c r="X1374">
        <f>IF($U1374=1,IFERROR(IF(VALUE($B1374)&lt;100000000,VALUE($B1374),1000000000),IFERROR(IF(VALUE(MID($B1374,2,20))&lt;100000000,VALUE(MID($B1374,2,20)),1000000000),1000000000))+ROW()/100000,"")</f>
        <v/>
      </c>
    </row>
    <row r="1375">
      <c r="A1375">
        <f>IF($B1375="","",IFERROR(IF(INDEX('Per Invoice'!$C$2:$C$401,MATCH($B1375,'Per Invoice'!$A$2:$A$401,0))=0,"",INDEX('Per Invoice'!$C$2:$C$401,MATCH($B1375,'Per Invoice'!$A$2:$A$401,0))),""))</f>
        <v/>
      </c>
      <c r="G1375" s="7">
        <f>IF($B1375="","",F1375*L1375/100)</f>
        <v/>
      </c>
      <c r="K1375" s="7" t="n"/>
      <c r="L1375" s="7" t="n"/>
      <c r="M1375" s="7">
        <f>IF($B1375="","",L1375*T1375/100)</f>
        <v/>
      </c>
      <c r="N1375" s="7">
        <f>IF($B1375="","",L1375-M1375)</f>
        <v/>
      </c>
      <c r="O1375" s="7">
        <f>IF($B1375="","",N1375-G1375)</f>
        <v/>
      </c>
      <c r="R1375" s="14" t="n"/>
      <c r="T1375">
        <f>IF($B1375="","",IF($W1375=1,Settings!$C$6,Settings!$C$7)*100)</f>
        <v/>
      </c>
      <c r="U1375">
        <f>IF($B1375="","",IF(COUNTIF($B$2:$B1375,$B1375)=1,1,0))</f>
        <v/>
      </c>
      <c r="V1375">
        <f>IF($U1375=1,SUMPRODUCT(--($X$2:$X$1501&lt;$X1375))+1,"")</f>
        <v/>
      </c>
      <c r="W1375">
        <f>IF($B1375="","",IF(OR($S1375=TRUE(),$S1375="TRUE"),1,0))</f>
        <v/>
      </c>
      <c r="X1375">
        <f>IF($U1375=1,IFERROR(IF(VALUE($B1375)&lt;100000000,VALUE($B1375),1000000000),IFERROR(IF(VALUE(MID($B1375,2,20))&lt;100000000,VALUE(MID($B1375,2,20)),1000000000),1000000000))+ROW()/100000,"")</f>
        <v/>
      </c>
    </row>
    <row r="1376">
      <c r="A1376">
        <f>IF($B1376="","",IFERROR(IF(INDEX('Per Invoice'!$C$2:$C$401,MATCH($B1376,'Per Invoice'!$A$2:$A$401,0))=0,"",INDEX('Per Invoice'!$C$2:$C$401,MATCH($B1376,'Per Invoice'!$A$2:$A$401,0))),""))</f>
        <v/>
      </c>
      <c r="G1376" s="7">
        <f>IF($B1376="","",F1376*L1376/100)</f>
        <v/>
      </c>
      <c r="K1376" s="7" t="n"/>
      <c r="L1376" s="7" t="n"/>
      <c r="M1376" s="7">
        <f>IF($B1376="","",L1376*T1376/100)</f>
        <v/>
      </c>
      <c r="N1376" s="7">
        <f>IF($B1376="","",L1376-M1376)</f>
        <v/>
      </c>
      <c r="O1376" s="7">
        <f>IF($B1376="","",N1376-G1376)</f>
        <v/>
      </c>
      <c r="R1376" s="14" t="n"/>
      <c r="T1376">
        <f>IF($B1376="","",IF($W1376=1,Settings!$C$6,Settings!$C$7)*100)</f>
        <v/>
      </c>
      <c r="U1376">
        <f>IF($B1376="","",IF(COUNTIF($B$2:$B1376,$B1376)=1,1,0))</f>
        <v/>
      </c>
      <c r="V1376">
        <f>IF($U1376=1,SUMPRODUCT(--($X$2:$X$1501&lt;$X1376))+1,"")</f>
        <v/>
      </c>
      <c r="W1376">
        <f>IF($B1376="","",IF(OR($S1376=TRUE(),$S1376="TRUE"),1,0))</f>
        <v/>
      </c>
      <c r="X1376">
        <f>IF($U1376=1,IFERROR(IF(VALUE($B1376)&lt;100000000,VALUE($B1376),1000000000),IFERROR(IF(VALUE(MID($B1376,2,20))&lt;100000000,VALUE(MID($B1376,2,20)),1000000000),1000000000))+ROW()/100000,"")</f>
        <v/>
      </c>
    </row>
    <row r="1377">
      <c r="A1377">
        <f>IF($B1377="","",IFERROR(IF(INDEX('Per Invoice'!$C$2:$C$401,MATCH($B1377,'Per Invoice'!$A$2:$A$401,0))=0,"",INDEX('Per Invoice'!$C$2:$C$401,MATCH($B1377,'Per Invoice'!$A$2:$A$401,0))),""))</f>
        <v/>
      </c>
      <c r="G1377" s="7">
        <f>IF($B1377="","",F1377*L1377/100)</f>
        <v/>
      </c>
      <c r="K1377" s="7" t="n"/>
      <c r="L1377" s="7" t="n"/>
      <c r="M1377" s="7">
        <f>IF($B1377="","",L1377*T1377/100)</f>
        <v/>
      </c>
      <c r="N1377" s="7">
        <f>IF($B1377="","",L1377-M1377)</f>
        <v/>
      </c>
      <c r="O1377" s="7">
        <f>IF($B1377="","",N1377-G1377)</f>
        <v/>
      </c>
      <c r="R1377" s="14" t="n"/>
      <c r="T1377">
        <f>IF($B1377="","",IF($W1377=1,Settings!$C$6,Settings!$C$7)*100)</f>
        <v/>
      </c>
      <c r="U1377">
        <f>IF($B1377="","",IF(COUNTIF($B$2:$B1377,$B1377)=1,1,0))</f>
        <v/>
      </c>
      <c r="V1377">
        <f>IF($U1377=1,SUMPRODUCT(--($X$2:$X$1501&lt;$X1377))+1,"")</f>
        <v/>
      </c>
      <c r="W1377">
        <f>IF($B1377="","",IF(OR($S1377=TRUE(),$S1377="TRUE"),1,0))</f>
        <v/>
      </c>
      <c r="X1377">
        <f>IF($U1377=1,IFERROR(IF(VALUE($B1377)&lt;100000000,VALUE($B1377),1000000000),IFERROR(IF(VALUE(MID($B1377,2,20))&lt;100000000,VALUE(MID($B1377,2,20)),1000000000),1000000000))+ROW()/100000,"")</f>
        <v/>
      </c>
    </row>
    <row r="1378">
      <c r="A1378">
        <f>IF($B1378="","",IFERROR(IF(INDEX('Per Invoice'!$C$2:$C$401,MATCH($B1378,'Per Invoice'!$A$2:$A$401,0))=0,"",INDEX('Per Invoice'!$C$2:$C$401,MATCH($B1378,'Per Invoice'!$A$2:$A$401,0))),""))</f>
        <v/>
      </c>
      <c r="G1378" s="7">
        <f>IF($B1378="","",F1378*L1378/100)</f>
        <v/>
      </c>
      <c r="K1378" s="7" t="n"/>
      <c r="L1378" s="7" t="n"/>
      <c r="M1378" s="7">
        <f>IF($B1378="","",L1378*T1378/100)</f>
        <v/>
      </c>
      <c r="N1378" s="7">
        <f>IF($B1378="","",L1378-M1378)</f>
        <v/>
      </c>
      <c r="O1378" s="7">
        <f>IF($B1378="","",N1378-G1378)</f>
        <v/>
      </c>
      <c r="R1378" s="14" t="n"/>
      <c r="T1378">
        <f>IF($B1378="","",IF($W1378=1,Settings!$C$6,Settings!$C$7)*100)</f>
        <v/>
      </c>
      <c r="U1378">
        <f>IF($B1378="","",IF(COUNTIF($B$2:$B1378,$B1378)=1,1,0))</f>
        <v/>
      </c>
      <c r="V1378">
        <f>IF($U1378=1,SUMPRODUCT(--($X$2:$X$1501&lt;$X1378))+1,"")</f>
        <v/>
      </c>
      <c r="W1378">
        <f>IF($B1378="","",IF(OR($S1378=TRUE(),$S1378="TRUE"),1,0))</f>
        <v/>
      </c>
      <c r="X1378">
        <f>IF($U1378=1,IFERROR(IF(VALUE($B1378)&lt;100000000,VALUE($B1378),1000000000),IFERROR(IF(VALUE(MID($B1378,2,20))&lt;100000000,VALUE(MID($B1378,2,20)),1000000000),1000000000))+ROW()/100000,"")</f>
        <v/>
      </c>
    </row>
    <row r="1379">
      <c r="A1379">
        <f>IF($B1379="","",IFERROR(IF(INDEX('Per Invoice'!$C$2:$C$401,MATCH($B1379,'Per Invoice'!$A$2:$A$401,0))=0,"",INDEX('Per Invoice'!$C$2:$C$401,MATCH($B1379,'Per Invoice'!$A$2:$A$401,0))),""))</f>
        <v/>
      </c>
      <c r="G1379" s="7">
        <f>IF($B1379="","",F1379*L1379/100)</f>
        <v/>
      </c>
      <c r="K1379" s="7" t="n"/>
      <c r="L1379" s="7" t="n"/>
      <c r="M1379" s="7">
        <f>IF($B1379="","",L1379*T1379/100)</f>
        <v/>
      </c>
      <c r="N1379" s="7">
        <f>IF($B1379="","",L1379-M1379)</f>
        <v/>
      </c>
      <c r="O1379" s="7">
        <f>IF($B1379="","",N1379-G1379)</f>
        <v/>
      </c>
      <c r="R1379" s="14" t="n"/>
      <c r="T1379">
        <f>IF($B1379="","",IF($W1379=1,Settings!$C$6,Settings!$C$7)*100)</f>
        <v/>
      </c>
      <c r="U1379">
        <f>IF($B1379="","",IF(COUNTIF($B$2:$B1379,$B1379)=1,1,0))</f>
        <v/>
      </c>
      <c r="V1379">
        <f>IF($U1379=1,SUMPRODUCT(--($X$2:$X$1501&lt;$X1379))+1,"")</f>
        <v/>
      </c>
      <c r="W1379">
        <f>IF($B1379="","",IF(OR($S1379=TRUE(),$S1379="TRUE"),1,0))</f>
        <v/>
      </c>
      <c r="X1379">
        <f>IF($U1379=1,IFERROR(IF(VALUE($B1379)&lt;100000000,VALUE($B1379),1000000000),IFERROR(IF(VALUE(MID($B1379,2,20))&lt;100000000,VALUE(MID($B1379,2,20)),1000000000),1000000000))+ROW()/100000,"")</f>
        <v/>
      </c>
    </row>
    <row r="1380">
      <c r="A1380">
        <f>IF($B1380="","",IFERROR(IF(INDEX('Per Invoice'!$C$2:$C$401,MATCH($B1380,'Per Invoice'!$A$2:$A$401,0))=0,"",INDEX('Per Invoice'!$C$2:$C$401,MATCH($B1380,'Per Invoice'!$A$2:$A$401,0))),""))</f>
        <v/>
      </c>
      <c r="G1380" s="7">
        <f>IF($B1380="","",F1380*L1380/100)</f>
        <v/>
      </c>
      <c r="K1380" s="7" t="n"/>
      <c r="L1380" s="7" t="n"/>
      <c r="M1380" s="7">
        <f>IF($B1380="","",L1380*T1380/100)</f>
        <v/>
      </c>
      <c r="N1380" s="7">
        <f>IF($B1380="","",L1380-M1380)</f>
        <v/>
      </c>
      <c r="O1380" s="7">
        <f>IF($B1380="","",N1380-G1380)</f>
        <v/>
      </c>
      <c r="R1380" s="14" t="n"/>
      <c r="T1380">
        <f>IF($B1380="","",IF($W1380=1,Settings!$C$6,Settings!$C$7)*100)</f>
        <v/>
      </c>
      <c r="U1380">
        <f>IF($B1380="","",IF(COUNTIF($B$2:$B1380,$B1380)=1,1,0))</f>
        <v/>
      </c>
      <c r="V1380">
        <f>IF($U1380=1,SUMPRODUCT(--($X$2:$X$1501&lt;$X1380))+1,"")</f>
        <v/>
      </c>
      <c r="W1380">
        <f>IF($B1380="","",IF(OR($S1380=TRUE(),$S1380="TRUE"),1,0))</f>
        <v/>
      </c>
      <c r="X1380">
        <f>IF($U1380=1,IFERROR(IF(VALUE($B1380)&lt;100000000,VALUE($B1380),1000000000),IFERROR(IF(VALUE(MID($B1380,2,20))&lt;100000000,VALUE(MID($B1380,2,20)),1000000000),1000000000))+ROW()/100000,"")</f>
        <v/>
      </c>
    </row>
    <row r="1381">
      <c r="A1381">
        <f>IF($B1381="","",IFERROR(IF(INDEX('Per Invoice'!$C$2:$C$401,MATCH($B1381,'Per Invoice'!$A$2:$A$401,0))=0,"",INDEX('Per Invoice'!$C$2:$C$401,MATCH($B1381,'Per Invoice'!$A$2:$A$401,0))),""))</f>
        <v/>
      </c>
      <c r="G1381" s="7">
        <f>IF($B1381="","",F1381*L1381/100)</f>
        <v/>
      </c>
      <c r="K1381" s="7" t="n"/>
      <c r="L1381" s="7" t="n"/>
      <c r="M1381" s="7">
        <f>IF($B1381="","",L1381*T1381/100)</f>
        <v/>
      </c>
      <c r="N1381" s="7">
        <f>IF($B1381="","",L1381-M1381)</f>
        <v/>
      </c>
      <c r="O1381" s="7">
        <f>IF($B1381="","",N1381-G1381)</f>
        <v/>
      </c>
      <c r="R1381" s="14" t="n"/>
      <c r="T1381">
        <f>IF($B1381="","",IF($W1381=1,Settings!$C$6,Settings!$C$7)*100)</f>
        <v/>
      </c>
      <c r="U1381">
        <f>IF($B1381="","",IF(COUNTIF($B$2:$B1381,$B1381)=1,1,0))</f>
        <v/>
      </c>
      <c r="V1381">
        <f>IF($U1381=1,SUMPRODUCT(--($X$2:$X$1501&lt;$X1381))+1,"")</f>
        <v/>
      </c>
      <c r="W1381">
        <f>IF($B1381="","",IF(OR($S1381=TRUE(),$S1381="TRUE"),1,0))</f>
        <v/>
      </c>
      <c r="X1381">
        <f>IF($U1381=1,IFERROR(IF(VALUE($B1381)&lt;100000000,VALUE($B1381),1000000000),IFERROR(IF(VALUE(MID($B1381,2,20))&lt;100000000,VALUE(MID($B1381,2,20)),1000000000),1000000000))+ROW()/100000,"")</f>
        <v/>
      </c>
    </row>
    <row r="1382">
      <c r="A1382">
        <f>IF($B1382="","",IFERROR(IF(INDEX('Per Invoice'!$C$2:$C$401,MATCH($B1382,'Per Invoice'!$A$2:$A$401,0))=0,"",INDEX('Per Invoice'!$C$2:$C$401,MATCH($B1382,'Per Invoice'!$A$2:$A$401,0))),""))</f>
        <v/>
      </c>
      <c r="G1382" s="7">
        <f>IF($B1382="","",F1382*L1382/100)</f>
        <v/>
      </c>
      <c r="K1382" s="7" t="n"/>
      <c r="L1382" s="7" t="n"/>
      <c r="M1382" s="7">
        <f>IF($B1382="","",L1382*T1382/100)</f>
        <v/>
      </c>
      <c r="N1382" s="7">
        <f>IF($B1382="","",L1382-M1382)</f>
        <v/>
      </c>
      <c r="O1382" s="7">
        <f>IF($B1382="","",N1382-G1382)</f>
        <v/>
      </c>
      <c r="R1382" s="14" t="n"/>
      <c r="T1382">
        <f>IF($B1382="","",IF($W1382=1,Settings!$C$6,Settings!$C$7)*100)</f>
        <v/>
      </c>
      <c r="U1382">
        <f>IF($B1382="","",IF(COUNTIF($B$2:$B1382,$B1382)=1,1,0))</f>
        <v/>
      </c>
      <c r="V1382">
        <f>IF($U1382=1,SUMPRODUCT(--($X$2:$X$1501&lt;$X1382))+1,"")</f>
        <v/>
      </c>
      <c r="W1382">
        <f>IF($B1382="","",IF(OR($S1382=TRUE(),$S1382="TRUE"),1,0))</f>
        <v/>
      </c>
      <c r="X1382">
        <f>IF($U1382=1,IFERROR(IF(VALUE($B1382)&lt;100000000,VALUE($B1382),1000000000),IFERROR(IF(VALUE(MID($B1382,2,20))&lt;100000000,VALUE(MID($B1382,2,20)),1000000000),1000000000))+ROW()/100000,"")</f>
        <v/>
      </c>
    </row>
    <row r="1383">
      <c r="A1383">
        <f>IF($B1383="","",IFERROR(IF(INDEX('Per Invoice'!$C$2:$C$401,MATCH($B1383,'Per Invoice'!$A$2:$A$401,0))=0,"",INDEX('Per Invoice'!$C$2:$C$401,MATCH($B1383,'Per Invoice'!$A$2:$A$401,0))),""))</f>
        <v/>
      </c>
      <c r="G1383" s="7">
        <f>IF($B1383="","",F1383*L1383/100)</f>
        <v/>
      </c>
      <c r="K1383" s="7" t="n"/>
      <c r="L1383" s="7" t="n"/>
      <c r="M1383" s="7">
        <f>IF($B1383="","",L1383*T1383/100)</f>
        <v/>
      </c>
      <c r="N1383" s="7">
        <f>IF($B1383="","",L1383-M1383)</f>
        <v/>
      </c>
      <c r="O1383" s="7">
        <f>IF($B1383="","",N1383-G1383)</f>
        <v/>
      </c>
      <c r="R1383" s="14" t="n"/>
      <c r="T1383">
        <f>IF($B1383="","",IF($W1383=1,Settings!$C$6,Settings!$C$7)*100)</f>
        <v/>
      </c>
      <c r="U1383">
        <f>IF($B1383="","",IF(COUNTIF($B$2:$B1383,$B1383)=1,1,0))</f>
        <v/>
      </c>
      <c r="V1383">
        <f>IF($U1383=1,SUMPRODUCT(--($X$2:$X$1501&lt;$X1383))+1,"")</f>
        <v/>
      </c>
      <c r="W1383">
        <f>IF($B1383="","",IF(OR($S1383=TRUE(),$S1383="TRUE"),1,0))</f>
        <v/>
      </c>
      <c r="X1383">
        <f>IF($U1383=1,IFERROR(IF(VALUE($B1383)&lt;100000000,VALUE($B1383),1000000000),IFERROR(IF(VALUE(MID($B1383,2,20))&lt;100000000,VALUE(MID($B1383,2,20)),1000000000),1000000000))+ROW()/100000,"")</f>
        <v/>
      </c>
    </row>
    <row r="1384">
      <c r="A1384">
        <f>IF($B1384="","",IFERROR(IF(INDEX('Per Invoice'!$C$2:$C$401,MATCH($B1384,'Per Invoice'!$A$2:$A$401,0))=0,"",INDEX('Per Invoice'!$C$2:$C$401,MATCH($B1384,'Per Invoice'!$A$2:$A$401,0))),""))</f>
        <v/>
      </c>
      <c r="G1384" s="7">
        <f>IF($B1384="","",F1384*L1384/100)</f>
        <v/>
      </c>
      <c r="K1384" s="7" t="n"/>
      <c r="L1384" s="7" t="n"/>
      <c r="M1384" s="7">
        <f>IF($B1384="","",L1384*T1384/100)</f>
        <v/>
      </c>
      <c r="N1384" s="7">
        <f>IF($B1384="","",L1384-M1384)</f>
        <v/>
      </c>
      <c r="O1384" s="7">
        <f>IF($B1384="","",N1384-G1384)</f>
        <v/>
      </c>
      <c r="R1384" s="14" t="n"/>
      <c r="T1384">
        <f>IF($B1384="","",IF($W1384=1,Settings!$C$6,Settings!$C$7)*100)</f>
        <v/>
      </c>
      <c r="U1384">
        <f>IF($B1384="","",IF(COUNTIF($B$2:$B1384,$B1384)=1,1,0))</f>
        <v/>
      </c>
      <c r="V1384">
        <f>IF($U1384=1,SUMPRODUCT(--($X$2:$X$1501&lt;$X1384))+1,"")</f>
        <v/>
      </c>
      <c r="W1384">
        <f>IF($B1384="","",IF(OR($S1384=TRUE(),$S1384="TRUE"),1,0))</f>
        <v/>
      </c>
      <c r="X1384">
        <f>IF($U1384=1,IFERROR(IF(VALUE($B1384)&lt;100000000,VALUE($B1384),1000000000),IFERROR(IF(VALUE(MID($B1384,2,20))&lt;100000000,VALUE(MID($B1384,2,20)),1000000000),1000000000))+ROW()/100000,"")</f>
        <v/>
      </c>
    </row>
    <row r="1385">
      <c r="A1385">
        <f>IF($B1385="","",IFERROR(IF(INDEX('Per Invoice'!$C$2:$C$401,MATCH($B1385,'Per Invoice'!$A$2:$A$401,0))=0,"",INDEX('Per Invoice'!$C$2:$C$401,MATCH($B1385,'Per Invoice'!$A$2:$A$401,0))),""))</f>
        <v/>
      </c>
      <c r="G1385" s="7">
        <f>IF($B1385="","",F1385*L1385/100)</f>
        <v/>
      </c>
      <c r="K1385" s="7" t="n"/>
      <c r="L1385" s="7" t="n"/>
      <c r="M1385" s="7">
        <f>IF($B1385="","",L1385*T1385/100)</f>
        <v/>
      </c>
      <c r="N1385" s="7">
        <f>IF($B1385="","",L1385-M1385)</f>
        <v/>
      </c>
      <c r="O1385" s="7">
        <f>IF($B1385="","",N1385-G1385)</f>
        <v/>
      </c>
      <c r="R1385" s="14" t="n"/>
      <c r="T1385">
        <f>IF($B1385="","",IF($W1385=1,Settings!$C$6,Settings!$C$7)*100)</f>
        <v/>
      </c>
      <c r="U1385">
        <f>IF($B1385="","",IF(COUNTIF($B$2:$B1385,$B1385)=1,1,0))</f>
        <v/>
      </c>
      <c r="V1385">
        <f>IF($U1385=1,SUMPRODUCT(--($X$2:$X$1501&lt;$X1385))+1,"")</f>
        <v/>
      </c>
      <c r="W1385">
        <f>IF($B1385="","",IF(OR($S1385=TRUE(),$S1385="TRUE"),1,0))</f>
        <v/>
      </c>
      <c r="X1385">
        <f>IF($U1385=1,IFERROR(IF(VALUE($B1385)&lt;100000000,VALUE($B1385),1000000000),IFERROR(IF(VALUE(MID($B1385,2,20))&lt;100000000,VALUE(MID($B1385,2,20)),1000000000),1000000000))+ROW()/100000,"")</f>
        <v/>
      </c>
    </row>
    <row r="1386">
      <c r="A1386">
        <f>IF($B1386="","",IFERROR(IF(INDEX('Per Invoice'!$C$2:$C$401,MATCH($B1386,'Per Invoice'!$A$2:$A$401,0))=0,"",INDEX('Per Invoice'!$C$2:$C$401,MATCH($B1386,'Per Invoice'!$A$2:$A$401,0))),""))</f>
        <v/>
      </c>
      <c r="G1386" s="7">
        <f>IF($B1386="","",F1386*L1386/100)</f>
        <v/>
      </c>
      <c r="K1386" s="7" t="n"/>
      <c r="L1386" s="7" t="n"/>
      <c r="M1386" s="7">
        <f>IF($B1386="","",L1386*T1386/100)</f>
        <v/>
      </c>
      <c r="N1386" s="7">
        <f>IF($B1386="","",L1386-M1386)</f>
        <v/>
      </c>
      <c r="O1386" s="7">
        <f>IF($B1386="","",N1386-G1386)</f>
        <v/>
      </c>
      <c r="R1386" s="14" t="n"/>
      <c r="T1386">
        <f>IF($B1386="","",IF($W1386=1,Settings!$C$6,Settings!$C$7)*100)</f>
        <v/>
      </c>
      <c r="U1386">
        <f>IF($B1386="","",IF(COUNTIF($B$2:$B1386,$B1386)=1,1,0))</f>
        <v/>
      </c>
      <c r="V1386">
        <f>IF($U1386=1,SUMPRODUCT(--($X$2:$X$1501&lt;$X1386))+1,"")</f>
        <v/>
      </c>
      <c r="W1386">
        <f>IF($B1386="","",IF(OR($S1386=TRUE(),$S1386="TRUE"),1,0))</f>
        <v/>
      </c>
      <c r="X1386">
        <f>IF($U1386=1,IFERROR(IF(VALUE($B1386)&lt;100000000,VALUE($B1386),1000000000),IFERROR(IF(VALUE(MID($B1386,2,20))&lt;100000000,VALUE(MID($B1386,2,20)),1000000000),1000000000))+ROW()/100000,"")</f>
        <v/>
      </c>
    </row>
    <row r="1387">
      <c r="A1387">
        <f>IF($B1387="","",IFERROR(IF(INDEX('Per Invoice'!$C$2:$C$401,MATCH($B1387,'Per Invoice'!$A$2:$A$401,0))=0,"",INDEX('Per Invoice'!$C$2:$C$401,MATCH($B1387,'Per Invoice'!$A$2:$A$401,0))),""))</f>
        <v/>
      </c>
      <c r="G1387" s="7">
        <f>IF($B1387="","",F1387*L1387/100)</f>
        <v/>
      </c>
      <c r="K1387" s="7" t="n"/>
      <c r="L1387" s="7" t="n"/>
      <c r="M1387" s="7">
        <f>IF($B1387="","",L1387*T1387/100)</f>
        <v/>
      </c>
      <c r="N1387" s="7">
        <f>IF($B1387="","",L1387-M1387)</f>
        <v/>
      </c>
      <c r="O1387" s="7">
        <f>IF($B1387="","",N1387-G1387)</f>
        <v/>
      </c>
      <c r="R1387" s="14" t="n"/>
      <c r="T1387">
        <f>IF($B1387="","",IF($W1387=1,Settings!$C$6,Settings!$C$7)*100)</f>
        <v/>
      </c>
      <c r="U1387">
        <f>IF($B1387="","",IF(COUNTIF($B$2:$B1387,$B1387)=1,1,0))</f>
        <v/>
      </c>
      <c r="V1387">
        <f>IF($U1387=1,SUMPRODUCT(--($X$2:$X$1501&lt;$X1387))+1,"")</f>
        <v/>
      </c>
      <c r="W1387">
        <f>IF($B1387="","",IF(OR($S1387=TRUE(),$S1387="TRUE"),1,0))</f>
        <v/>
      </c>
      <c r="X1387">
        <f>IF($U1387=1,IFERROR(IF(VALUE($B1387)&lt;100000000,VALUE($B1387),1000000000),IFERROR(IF(VALUE(MID($B1387,2,20))&lt;100000000,VALUE(MID($B1387,2,20)),1000000000),1000000000))+ROW()/100000,"")</f>
        <v/>
      </c>
    </row>
    <row r="1388">
      <c r="A1388">
        <f>IF($B1388="","",IFERROR(IF(INDEX('Per Invoice'!$C$2:$C$401,MATCH($B1388,'Per Invoice'!$A$2:$A$401,0))=0,"",INDEX('Per Invoice'!$C$2:$C$401,MATCH($B1388,'Per Invoice'!$A$2:$A$401,0))),""))</f>
        <v/>
      </c>
      <c r="G1388" s="7">
        <f>IF($B1388="","",F1388*L1388/100)</f>
        <v/>
      </c>
      <c r="K1388" s="7" t="n"/>
      <c r="L1388" s="7" t="n"/>
      <c r="M1388" s="7">
        <f>IF($B1388="","",L1388*T1388/100)</f>
        <v/>
      </c>
      <c r="N1388" s="7">
        <f>IF($B1388="","",L1388-M1388)</f>
        <v/>
      </c>
      <c r="O1388" s="7">
        <f>IF($B1388="","",N1388-G1388)</f>
        <v/>
      </c>
      <c r="R1388" s="14" t="n"/>
      <c r="T1388">
        <f>IF($B1388="","",IF($W1388=1,Settings!$C$6,Settings!$C$7)*100)</f>
        <v/>
      </c>
      <c r="U1388">
        <f>IF($B1388="","",IF(COUNTIF($B$2:$B1388,$B1388)=1,1,0))</f>
        <v/>
      </c>
      <c r="V1388">
        <f>IF($U1388=1,SUMPRODUCT(--($X$2:$X$1501&lt;$X1388))+1,"")</f>
        <v/>
      </c>
      <c r="W1388">
        <f>IF($B1388="","",IF(OR($S1388=TRUE(),$S1388="TRUE"),1,0))</f>
        <v/>
      </c>
      <c r="X1388">
        <f>IF($U1388=1,IFERROR(IF(VALUE($B1388)&lt;100000000,VALUE($B1388),1000000000),IFERROR(IF(VALUE(MID($B1388,2,20))&lt;100000000,VALUE(MID($B1388,2,20)),1000000000),1000000000))+ROW()/100000,"")</f>
        <v/>
      </c>
    </row>
    <row r="1389">
      <c r="A1389">
        <f>IF($B1389="","",IFERROR(IF(INDEX('Per Invoice'!$C$2:$C$401,MATCH($B1389,'Per Invoice'!$A$2:$A$401,0))=0,"",INDEX('Per Invoice'!$C$2:$C$401,MATCH($B1389,'Per Invoice'!$A$2:$A$401,0))),""))</f>
        <v/>
      </c>
      <c r="G1389" s="7">
        <f>IF($B1389="","",F1389*L1389/100)</f>
        <v/>
      </c>
      <c r="K1389" s="7" t="n"/>
      <c r="L1389" s="7" t="n"/>
      <c r="M1389" s="7">
        <f>IF($B1389="","",L1389*T1389/100)</f>
        <v/>
      </c>
      <c r="N1389" s="7">
        <f>IF($B1389="","",L1389-M1389)</f>
        <v/>
      </c>
      <c r="O1389" s="7">
        <f>IF($B1389="","",N1389-G1389)</f>
        <v/>
      </c>
      <c r="R1389" s="14" t="n"/>
      <c r="T1389">
        <f>IF($B1389="","",IF($W1389=1,Settings!$C$6,Settings!$C$7)*100)</f>
        <v/>
      </c>
      <c r="U1389">
        <f>IF($B1389="","",IF(COUNTIF($B$2:$B1389,$B1389)=1,1,0))</f>
        <v/>
      </c>
      <c r="V1389">
        <f>IF($U1389=1,SUMPRODUCT(--($X$2:$X$1501&lt;$X1389))+1,"")</f>
        <v/>
      </c>
      <c r="W1389">
        <f>IF($B1389="","",IF(OR($S1389=TRUE(),$S1389="TRUE"),1,0))</f>
        <v/>
      </c>
      <c r="X1389">
        <f>IF($U1389=1,IFERROR(IF(VALUE($B1389)&lt;100000000,VALUE($B1389),1000000000),IFERROR(IF(VALUE(MID($B1389,2,20))&lt;100000000,VALUE(MID($B1389,2,20)),1000000000),1000000000))+ROW()/100000,"")</f>
        <v/>
      </c>
    </row>
    <row r="1390">
      <c r="A1390">
        <f>IF($B1390="","",IFERROR(IF(INDEX('Per Invoice'!$C$2:$C$401,MATCH($B1390,'Per Invoice'!$A$2:$A$401,0))=0,"",INDEX('Per Invoice'!$C$2:$C$401,MATCH($B1390,'Per Invoice'!$A$2:$A$401,0))),""))</f>
        <v/>
      </c>
      <c r="G1390" s="7">
        <f>IF($B1390="","",F1390*L1390/100)</f>
        <v/>
      </c>
      <c r="K1390" s="7" t="n"/>
      <c r="L1390" s="7" t="n"/>
      <c r="M1390" s="7">
        <f>IF($B1390="","",L1390*T1390/100)</f>
        <v/>
      </c>
      <c r="N1390" s="7">
        <f>IF($B1390="","",L1390-M1390)</f>
        <v/>
      </c>
      <c r="O1390" s="7">
        <f>IF($B1390="","",N1390-G1390)</f>
        <v/>
      </c>
      <c r="R1390" s="14" t="n"/>
      <c r="T1390">
        <f>IF($B1390="","",IF($W1390=1,Settings!$C$6,Settings!$C$7)*100)</f>
        <v/>
      </c>
      <c r="U1390">
        <f>IF($B1390="","",IF(COUNTIF($B$2:$B1390,$B1390)=1,1,0))</f>
        <v/>
      </c>
      <c r="V1390">
        <f>IF($U1390=1,SUMPRODUCT(--($X$2:$X$1501&lt;$X1390))+1,"")</f>
        <v/>
      </c>
      <c r="W1390">
        <f>IF($B1390="","",IF(OR($S1390=TRUE(),$S1390="TRUE"),1,0))</f>
        <v/>
      </c>
      <c r="X1390">
        <f>IF($U1390=1,IFERROR(IF(VALUE($B1390)&lt;100000000,VALUE($B1390),1000000000),IFERROR(IF(VALUE(MID($B1390,2,20))&lt;100000000,VALUE(MID($B1390,2,20)),1000000000),1000000000))+ROW()/100000,"")</f>
        <v/>
      </c>
    </row>
    <row r="1391">
      <c r="A1391">
        <f>IF($B1391="","",IFERROR(IF(INDEX('Per Invoice'!$C$2:$C$401,MATCH($B1391,'Per Invoice'!$A$2:$A$401,0))=0,"",INDEX('Per Invoice'!$C$2:$C$401,MATCH($B1391,'Per Invoice'!$A$2:$A$401,0))),""))</f>
        <v/>
      </c>
      <c r="G1391" s="7">
        <f>IF($B1391="","",F1391*L1391/100)</f>
        <v/>
      </c>
      <c r="K1391" s="7" t="n"/>
      <c r="L1391" s="7" t="n"/>
      <c r="M1391" s="7">
        <f>IF($B1391="","",L1391*T1391/100)</f>
        <v/>
      </c>
      <c r="N1391" s="7">
        <f>IF($B1391="","",L1391-M1391)</f>
        <v/>
      </c>
      <c r="O1391" s="7">
        <f>IF($B1391="","",N1391-G1391)</f>
        <v/>
      </c>
      <c r="R1391" s="14" t="n"/>
      <c r="T1391">
        <f>IF($B1391="","",IF($W1391=1,Settings!$C$6,Settings!$C$7)*100)</f>
        <v/>
      </c>
      <c r="U1391">
        <f>IF($B1391="","",IF(COUNTIF($B$2:$B1391,$B1391)=1,1,0))</f>
        <v/>
      </c>
      <c r="V1391">
        <f>IF($U1391=1,SUMPRODUCT(--($X$2:$X$1501&lt;$X1391))+1,"")</f>
        <v/>
      </c>
      <c r="W1391">
        <f>IF($B1391="","",IF(OR($S1391=TRUE(),$S1391="TRUE"),1,0))</f>
        <v/>
      </c>
      <c r="X1391">
        <f>IF($U1391=1,IFERROR(IF(VALUE($B1391)&lt;100000000,VALUE($B1391),1000000000),IFERROR(IF(VALUE(MID($B1391,2,20))&lt;100000000,VALUE(MID($B1391,2,20)),1000000000),1000000000))+ROW()/100000,"")</f>
        <v/>
      </c>
    </row>
    <row r="1392">
      <c r="A1392">
        <f>IF($B1392="","",IFERROR(IF(INDEX('Per Invoice'!$C$2:$C$401,MATCH($B1392,'Per Invoice'!$A$2:$A$401,0))=0,"",INDEX('Per Invoice'!$C$2:$C$401,MATCH($B1392,'Per Invoice'!$A$2:$A$401,0))),""))</f>
        <v/>
      </c>
      <c r="G1392" s="7">
        <f>IF($B1392="","",F1392*L1392/100)</f>
        <v/>
      </c>
      <c r="K1392" s="7" t="n"/>
      <c r="L1392" s="7" t="n"/>
      <c r="M1392" s="7">
        <f>IF($B1392="","",L1392*T1392/100)</f>
        <v/>
      </c>
      <c r="N1392" s="7">
        <f>IF($B1392="","",L1392-M1392)</f>
        <v/>
      </c>
      <c r="O1392" s="7">
        <f>IF($B1392="","",N1392-G1392)</f>
        <v/>
      </c>
      <c r="R1392" s="14" t="n"/>
      <c r="T1392">
        <f>IF($B1392="","",IF($W1392=1,Settings!$C$6,Settings!$C$7)*100)</f>
        <v/>
      </c>
      <c r="U1392">
        <f>IF($B1392="","",IF(COUNTIF($B$2:$B1392,$B1392)=1,1,0))</f>
        <v/>
      </c>
      <c r="V1392">
        <f>IF($U1392=1,SUMPRODUCT(--($X$2:$X$1501&lt;$X1392))+1,"")</f>
        <v/>
      </c>
      <c r="W1392">
        <f>IF($B1392="","",IF(OR($S1392=TRUE(),$S1392="TRUE"),1,0))</f>
        <v/>
      </c>
      <c r="X1392">
        <f>IF($U1392=1,IFERROR(IF(VALUE($B1392)&lt;100000000,VALUE($B1392),1000000000),IFERROR(IF(VALUE(MID($B1392,2,20))&lt;100000000,VALUE(MID($B1392,2,20)),1000000000),1000000000))+ROW()/100000,"")</f>
        <v/>
      </c>
    </row>
    <row r="1393">
      <c r="A1393">
        <f>IF($B1393="","",IFERROR(IF(INDEX('Per Invoice'!$C$2:$C$401,MATCH($B1393,'Per Invoice'!$A$2:$A$401,0))=0,"",INDEX('Per Invoice'!$C$2:$C$401,MATCH($B1393,'Per Invoice'!$A$2:$A$401,0))),""))</f>
        <v/>
      </c>
      <c r="G1393" s="7">
        <f>IF($B1393="","",F1393*L1393/100)</f>
        <v/>
      </c>
      <c r="K1393" s="7" t="n"/>
      <c r="L1393" s="7" t="n"/>
      <c r="M1393" s="7">
        <f>IF($B1393="","",L1393*T1393/100)</f>
        <v/>
      </c>
      <c r="N1393" s="7">
        <f>IF($B1393="","",L1393-M1393)</f>
        <v/>
      </c>
      <c r="O1393" s="7">
        <f>IF($B1393="","",N1393-G1393)</f>
        <v/>
      </c>
      <c r="R1393" s="14" t="n"/>
      <c r="T1393">
        <f>IF($B1393="","",IF($W1393=1,Settings!$C$6,Settings!$C$7)*100)</f>
        <v/>
      </c>
      <c r="U1393">
        <f>IF($B1393="","",IF(COUNTIF($B$2:$B1393,$B1393)=1,1,0))</f>
        <v/>
      </c>
      <c r="V1393">
        <f>IF($U1393=1,SUMPRODUCT(--($X$2:$X$1501&lt;$X1393))+1,"")</f>
        <v/>
      </c>
      <c r="W1393">
        <f>IF($B1393="","",IF(OR($S1393=TRUE(),$S1393="TRUE"),1,0))</f>
        <v/>
      </c>
      <c r="X1393">
        <f>IF($U1393=1,IFERROR(IF(VALUE($B1393)&lt;100000000,VALUE($B1393),1000000000),IFERROR(IF(VALUE(MID($B1393,2,20))&lt;100000000,VALUE(MID($B1393,2,20)),1000000000),1000000000))+ROW()/100000,"")</f>
        <v/>
      </c>
    </row>
    <row r="1394">
      <c r="A1394">
        <f>IF($B1394="","",IFERROR(IF(INDEX('Per Invoice'!$C$2:$C$401,MATCH($B1394,'Per Invoice'!$A$2:$A$401,0))=0,"",INDEX('Per Invoice'!$C$2:$C$401,MATCH($B1394,'Per Invoice'!$A$2:$A$401,0))),""))</f>
        <v/>
      </c>
      <c r="G1394" s="7">
        <f>IF($B1394="","",F1394*L1394/100)</f>
        <v/>
      </c>
      <c r="K1394" s="7" t="n"/>
      <c r="L1394" s="7" t="n"/>
      <c r="M1394" s="7">
        <f>IF($B1394="","",L1394*T1394/100)</f>
        <v/>
      </c>
      <c r="N1394" s="7">
        <f>IF($B1394="","",L1394-M1394)</f>
        <v/>
      </c>
      <c r="O1394" s="7">
        <f>IF($B1394="","",N1394-G1394)</f>
        <v/>
      </c>
      <c r="R1394" s="14" t="n"/>
      <c r="T1394">
        <f>IF($B1394="","",IF($W1394=1,Settings!$C$6,Settings!$C$7)*100)</f>
        <v/>
      </c>
      <c r="U1394">
        <f>IF($B1394="","",IF(COUNTIF($B$2:$B1394,$B1394)=1,1,0))</f>
        <v/>
      </c>
      <c r="V1394">
        <f>IF($U1394=1,SUMPRODUCT(--($X$2:$X$1501&lt;$X1394))+1,"")</f>
        <v/>
      </c>
      <c r="W1394">
        <f>IF($B1394="","",IF(OR($S1394=TRUE(),$S1394="TRUE"),1,0))</f>
        <v/>
      </c>
      <c r="X1394">
        <f>IF($U1394=1,IFERROR(IF(VALUE($B1394)&lt;100000000,VALUE($B1394),1000000000),IFERROR(IF(VALUE(MID($B1394,2,20))&lt;100000000,VALUE(MID($B1394,2,20)),1000000000),1000000000))+ROW()/100000,"")</f>
        <v/>
      </c>
    </row>
    <row r="1395">
      <c r="A1395">
        <f>IF($B1395="","",IFERROR(IF(INDEX('Per Invoice'!$C$2:$C$401,MATCH($B1395,'Per Invoice'!$A$2:$A$401,0))=0,"",INDEX('Per Invoice'!$C$2:$C$401,MATCH($B1395,'Per Invoice'!$A$2:$A$401,0))),""))</f>
        <v/>
      </c>
      <c r="G1395" s="7">
        <f>IF($B1395="","",F1395*L1395/100)</f>
        <v/>
      </c>
      <c r="K1395" s="7" t="n"/>
      <c r="L1395" s="7" t="n"/>
      <c r="M1395" s="7">
        <f>IF($B1395="","",L1395*T1395/100)</f>
        <v/>
      </c>
      <c r="N1395" s="7">
        <f>IF($B1395="","",L1395-M1395)</f>
        <v/>
      </c>
      <c r="O1395" s="7">
        <f>IF($B1395="","",N1395-G1395)</f>
        <v/>
      </c>
      <c r="R1395" s="14" t="n"/>
      <c r="T1395">
        <f>IF($B1395="","",IF($W1395=1,Settings!$C$6,Settings!$C$7)*100)</f>
        <v/>
      </c>
      <c r="U1395">
        <f>IF($B1395="","",IF(COUNTIF($B$2:$B1395,$B1395)=1,1,0))</f>
        <v/>
      </c>
      <c r="V1395">
        <f>IF($U1395=1,SUMPRODUCT(--($X$2:$X$1501&lt;$X1395))+1,"")</f>
        <v/>
      </c>
      <c r="W1395">
        <f>IF($B1395="","",IF(OR($S1395=TRUE(),$S1395="TRUE"),1,0))</f>
        <v/>
      </c>
      <c r="X1395">
        <f>IF($U1395=1,IFERROR(IF(VALUE($B1395)&lt;100000000,VALUE($B1395),1000000000),IFERROR(IF(VALUE(MID($B1395,2,20))&lt;100000000,VALUE(MID($B1395,2,20)),1000000000),1000000000))+ROW()/100000,"")</f>
        <v/>
      </c>
    </row>
    <row r="1396">
      <c r="A1396">
        <f>IF($B1396="","",IFERROR(IF(INDEX('Per Invoice'!$C$2:$C$401,MATCH($B1396,'Per Invoice'!$A$2:$A$401,0))=0,"",INDEX('Per Invoice'!$C$2:$C$401,MATCH($B1396,'Per Invoice'!$A$2:$A$401,0))),""))</f>
        <v/>
      </c>
      <c r="G1396" s="7">
        <f>IF($B1396="","",F1396*L1396/100)</f>
        <v/>
      </c>
      <c r="K1396" s="7" t="n"/>
      <c r="L1396" s="7" t="n"/>
      <c r="M1396" s="7">
        <f>IF($B1396="","",L1396*T1396/100)</f>
        <v/>
      </c>
      <c r="N1396" s="7">
        <f>IF($B1396="","",L1396-M1396)</f>
        <v/>
      </c>
      <c r="O1396" s="7">
        <f>IF($B1396="","",N1396-G1396)</f>
        <v/>
      </c>
      <c r="R1396" s="14" t="n"/>
      <c r="T1396">
        <f>IF($B1396="","",IF($W1396=1,Settings!$C$6,Settings!$C$7)*100)</f>
        <v/>
      </c>
      <c r="U1396">
        <f>IF($B1396="","",IF(COUNTIF($B$2:$B1396,$B1396)=1,1,0))</f>
        <v/>
      </c>
      <c r="V1396">
        <f>IF($U1396=1,SUMPRODUCT(--($X$2:$X$1501&lt;$X1396))+1,"")</f>
        <v/>
      </c>
      <c r="W1396">
        <f>IF($B1396="","",IF(OR($S1396=TRUE(),$S1396="TRUE"),1,0))</f>
        <v/>
      </c>
      <c r="X1396">
        <f>IF($U1396=1,IFERROR(IF(VALUE($B1396)&lt;100000000,VALUE($B1396),1000000000),IFERROR(IF(VALUE(MID($B1396,2,20))&lt;100000000,VALUE(MID($B1396,2,20)),1000000000),1000000000))+ROW()/100000,"")</f>
        <v/>
      </c>
    </row>
    <row r="1397">
      <c r="A1397">
        <f>IF($B1397="","",IFERROR(IF(INDEX('Per Invoice'!$C$2:$C$401,MATCH($B1397,'Per Invoice'!$A$2:$A$401,0))=0,"",INDEX('Per Invoice'!$C$2:$C$401,MATCH($B1397,'Per Invoice'!$A$2:$A$401,0))),""))</f>
        <v/>
      </c>
      <c r="G1397" s="7">
        <f>IF($B1397="","",F1397*L1397/100)</f>
        <v/>
      </c>
      <c r="K1397" s="7" t="n"/>
      <c r="L1397" s="7" t="n"/>
      <c r="M1397" s="7">
        <f>IF($B1397="","",L1397*T1397/100)</f>
        <v/>
      </c>
      <c r="N1397" s="7">
        <f>IF($B1397="","",L1397-M1397)</f>
        <v/>
      </c>
      <c r="O1397" s="7">
        <f>IF($B1397="","",N1397-G1397)</f>
        <v/>
      </c>
      <c r="R1397" s="14" t="n"/>
      <c r="T1397">
        <f>IF($B1397="","",IF($W1397=1,Settings!$C$6,Settings!$C$7)*100)</f>
        <v/>
      </c>
      <c r="U1397">
        <f>IF($B1397="","",IF(COUNTIF($B$2:$B1397,$B1397)=1,1,0))</f>
        <v/>
      </c>
      <c r="V1397">
        <f>IF($U1397=1,SUMPRODUCT(--($X$2:$X$1501&lt;$X1397))+1,"")</f>
        <v/>
      </c>
      <c r="W1397">
        <f>IF($B1397="","",IF(OR($S1397=TRUE(),$S1397="TRUE"),1,0))</f>
        <v/>
      </c>
      <c r="X1397">
        <f>IF($U1397=1,IFERROR(IF(VALUE($B1397)&lt;100000000,VALUE($B1397),1000000000),IFERROR(IF(VALUE(MID($B1397,2,20))&lt;100000000,VALUE(MID($B1397,2,20)),1000000000),1000000000))+ROW()/100000,"")</f>
        <v/>
      </c>
    </row>
    <row r="1398">
      <c r="A1398">
        <f>IF($B1398="","",IFERROR(IF(INDEX('Per Invoice'!$C$2:$C$401,MATCH($B1398,'Per Invoice'!$A$2:$A$401,0))=0,"",INDEX('Per Invoice'!$C$2:$C$401,MATCH($B1398,'Per Invoice'!$A$2:$A$401,0))),""))</f>
        <v/>
      </c>
      <c r="G1398" s="7">
        <f>IF($B1398="","",F1398*L1398/100)</f>
        <v/>
      </c>
      <c r="K1398" s="7" t="n"/>
      <c r="L1398" s="7" t="n"/>
      <c r="M1398" s="7">
        <f>IF($B1398="","",L1398*T1398/100)</f>
        <v/>
      </c>
      <c r="N1398" s="7">
        <f>IF($B1398="","",L1398-M1398)</f>
        <v/>
      </c>
      <c r="O1398" s="7">
        <f>IF($B1398="","",N1398-G1398)</f>
        <v/>
      </c>
      <c r="R1398" s="14" t="n"/>
      <c r="T1398">
        <f>IF($B1398="","",IF($W1398=1,Settings!$C$6,Settings!$C$7)*100)</f>
        <v/>
      </c>
      <c r="U1398">
        <f>IF($B1398="","",IF(COUNTIF($B$2:$B1398,$B1398)=1,1,0))</f>
        <v/>
      </c>
      <c r="V1398">
        <f>IF($U1398=1,SUMPRODUCT(--($X$2:$X$1501&lt;$X1398))+1,"")</f>
        <v/>
      </c>
      <c r="W1398">
        <f>IF($B1398="","",IF(OR($S1398=TRUE(),$S1398="TRUE"),1,0))</f>
        <v/>
      </c>
      <c r="X1398">
        <f>IF($U1398=1,IFERROR(IF(VALUE($B1398)&lt;100000000,VALUE($B1398),1000000000),IFERROR(IF(VALUE(MID($B1398,2,20))&lt;100000000,VALUE(MID($B1398,2,20)),1000000000),1000000000))+ROW()/100000,"")</f>
        <v/>
      </c>
    </row>
    <row r="1399">
      <c r="A1399">
        <f>IF($B1399="","",IFERROR(IF(INDEX('Per Invoice'!$C$2:$C$401,MATCH($B1399,'Per Invoice'!$A$2:$A$401,0))=0,"",INDEX('Per Invoice'!$C$2:$C$401,MATCH($B1399,'Per Invoice'!$A$2:$A$401,0))),""))</f>
        <v/>
      </c>
      <c r="G1399" s="7">
        <f>IF($B1399="","",F1399*L1399/100)</f>
        <v/>
      </c>
      <c r="K1399" s="7" t="n"/>
      <c r="L1399" s="7" t="n"/>
      <c r="M1399" s="7">
        <f>IF($B1399="","",L1399*T1399/100)</f>
        <v/>
      </c>
      <c r="N1399" s="7">
        <f>IF($B1399="","",L1399-M1399)</f>
        <v/>
      </c>
      <c r="O1399" s="7">
        <f>IF($B1399="","",N1399-G1399)</f>
        <v/>
      </c>
      <c r="R1399" s="14" t="n"/>
      <c r="T1399">
        <f>IF($B1399="","",IF($W1399=1,Settings!$C$6,Settings!$C$7)*100)</f>
        <v/>
      </c>
      <c r="U1399">
        <f>IF($B1399="","",IF(COUNTIF($B$2:$B1399,$B1399)=1,1,0))</f>
        <v/>
      </c>
      <c r="V1399">
        <f>IF($U1399=1,SUMPRODUCT(--($X$2:$X$1501&lt;$X1399))+1,"")</f>
        <v/>
      </c>
      <c r="W1399">
        <f>IF($B1399="","",IF(OR($S1399=TRUE(),$S1399="TRUE"),1,0))</f>
        <v/>
      </c>
      <c r="X1399">
        <f>IF($U1399=1,IFERROR(IF(VALUE($B1399)&lt;100000000,VALUE($B1399),1000000000),IFERROR(IF(VALUE(MID($B1399,2,20))&lt;100000000,VALUE(MID($B1399,2,20)),1000000000),1000000000))+ROW()/100000,"")</f>
        <v/>
      </c>
    </row>
    <row r="1400">
      <c r="A1400">
        <f>IF($B1400="","",IFERROR(IF(INDEX('Per Invoice'!$C$2:$C$401,MATCH($B1400,'Per Invoice'!$A$2:$A$401,0))=0,"",INDEX('Per Invoice'!$C$2:$C$401,MATCH($B1400,'Per Invoice'!$A$2:$A$401,0))),""))</f>
        <v/>
      </c>
      <c r="G1400" s="7">
        <f>IF($B1400="","",F1400*L1400/100)</f>
        <v/>
      </c>
      <c r="K1400" s="7" t="n"/>
      <c r="L1400" s="7" t="n"/>
      <c r="M1400" s="7">
        <f>IF($B1400="","",L1400*T1400/100)</f>
        <v/>
      </c>
      <c r="N1400" s="7">
        <f>IF($B1400="","",L1400-M1400)</f>
        <v/>
      </c>
      <c r="O1400" s="7">
        <f>IF($B1400="","",N1400-G1400)</f>
        <v/>
      </c>
      <c r="R1400" s="14" t="n"/>
      <c r="T1400">
        <f>IF($B1400="","",IF($W1400=1,Settings!$C$6,Settings!$C$7)*100)</f>
        <v/>
      </c>
      <c r="U1400">
        <f>IF($B1400="","",IF(COUNTIF($B$2:$B1400,$B1400)=1,1,0))</f>
        <v/>
      </c>
      <c r="V1400">
        <f>IF($U1400=1,SUMPRODUCT(--($X$2:$X$1501&lt;$X1400))+1,"")</f>
        <v/>
      </c>
      <c r="W1400">
        <f>IF($B1400="","",IF(OR($S1400=TRUE(),$S1400="TRUE"),1,0))</f>
        <v/>
      </c>
      <c r="X1400">
        <f>IF($U1400=1,IFERROR(IF(VALUE($B1400)&lt;100000000,VALUE($B1400),1000000000),IFERROR(IF(VALUE(MID($B1400,2,20))&lt;100000000,VALUE(MID($B1400,2,20)),1000000000),1000000000))+ROW()/100000,"")</f>
        <v/>
      </c>
    </row>
    <row r="1401">
      <c r="A1401">
        <f>IF($B1401="","",IFERROR(IF(INDEX('Per Invoice'!$C$2:$C$401,MATCH($B1401,'Per Invoice'!$A$2:$A$401,0))=0,"",INDEX('Per Invoice'!$C$2:$C$401,MATCH($B1401,'Per Invoice'!$A$2:$A$401,0))),""))</f>
        <v/>
      </c>
      <c r="G1401" s="7">
        <f>IF($B1401="","",F1401*L1401/100)</f>
        <v/>
      </c>
      <c r="K1401" s="7" t="n"/>
      <c r="L1401" s="7" t="n"/>
      <c r="M1401" s="7">
        <f>IF($B1401="","",L1401*T1401/100)</f>
        <v/>
      </c>
      <c r="N1401" s="7">
        <f>IF($B1401="","",L1401-M1401)</f>
        <v/>
      </c>
      <c r="O1401" s="7">
        <f>IF($B1401="","",N1401-G1401)</f>
        <v/>
      </c>
      <c r="R1401" s="14" t="n"/>
      <c r="T1401">
        <f>IF($B1401="","",IF($W1401=1,Settings!$C$6,Settings!$C$7)*100)</f>
        <v/>
      </c>
      <c r="U1401">
        <f>IF($B1401="","",IF(COUNTIF($B$2:$B1401,$B1401)=1,1,0))</f>
        <v/>
      </c>
      <c r="V1401">
        <f>IF($U1401=1,SUMPRODUCT(--($X$2:$X$1501&lt;$X1401))+1,"")</f>
        <v/>
      </c>
      <c r="W1401">
        <f>IF($B1401="","",IF(OR($S1401=TRUE(),$S1401="TRUE"),1,0))</f>
        <v/>
      </c>
      <c r="X1401">
        <f>IF($U1401=1,IFERROR(IF(VALUE($B1401)&lt;100000000,VALUE($B1401),1000000000),IFERROR(IF(VALUE(MID($B1401,2,20))&lt;100000000,VALUE(MID($B1401,2,20)),1000000000),1000000000))+ROW()/100000,"")</f>
        <v/>
      </c>
    </row>
    <row r="1402">
      <c r="A1402">
        <f>IF($B1402="","",IFERROR(IF(INDEX('Per Invoice'!$C$2:$C$401,MATCH($B1402,'Per Invoice'!$A$2:$A$401,0))=0,"",INDEX('Per Invoice'!$C$2:$C$401,MATCH($B1402,'Per Invoice'!$A$2:$A$401,0))),""))</f>
        <v/>
      </c>
      <c r="G1402" s="7">
        <f>IF($B1402="","",F1402*L1402/100)</f>
        <v/>
      </c>
      <c r="K1402" s="7" t="n"/>
      <c r="L1402" s="7" t="n"/>
      <c r="M1402" s="7">
        <f>IF($B1402="","",L1402*T1402/100)</f>
        <v/>
      </c>
      <c r="N1402" s="7">
        <f>IF($B1402="","",L1402-M1402)</f>
        <v/>
      </c>
      <c r="O1402" s="7">
        <f>IF($B1402="","",N1402-G1402)</f>
        <v/>
      </c>
      <c r="R1402" s="14" t="n"/>
      <c r="T1402">
        <f>IF($B1402="","",IF($W1402=1,Settings!$C$6,Settings!$C$7)*100)</f>
        <v/>
      </c>
      <c r="U1402">
        <f>IF($B1402="","",IF(COUNTIF($B$2:$B1402,$B1402)=1,1,0))</f>
        <v/>
      </c>
      <c r="V1402">
        <f>IF($U1402=1,SUMPRODUCT(--($X$2:$X$1501&lt;$X1402))+1,"")</f>
        <v/>
      </c>
      <c r="W1402">
        <f>IF($B1402="","",IF(OR($S1402=TRUE(),$S1402="TRUE"),1,0))</f>
        <v/>
      </c>
      <c r="X1402">
        <f>IF($U1402=1,IFERROR(IF(VALUE($B1402)&lt;100000000,VALUE($B1402),1000000000),IFERROR(IF(VALUE(MID($B1402,2,20))&lt;100000000,VALUE(MID($B1402,2,20)),1000000000),1000000000))+ROW()/100000,"")</f>
        <v/>
      </c>
    </row>
    <row r="1403">
      <c r="A1403">
        <f>IF($B1403="","",IFERROR(IF(INDEX('Per Invoice'!$C$2:$C$401,MATCH($B1403,'Per Invoice'!$A$2:$A$401,0))=0,"",INDEX('Per Invoice'!$C$2:$C$401,MATCH($B1403,'Per Invoice'!$A$2:$A$401,0))),""))</f>
        <v/>
      </c>
      <c r="G1403" s="7">
        <f>IF($B1403="","",F1403*L1403/100)</f>
        <v/>
      </c>
      <c r="K1403" s="7" t="n"/>
      <c r="L1403" s="7" t="n"/>
      <c r="M1403" s="7">
        <f>IF($B1403="","",L1403*T1403/100)</f>
        <v/>
      </c>
      <c r="N1403" s="7">
        <f>IF($B1403="","",L1403-M1403)</f>
        <v/>
      </c>
      <c r="O1403" s="7">
        <f>IF($B1403="","",N1403-G1403)</f>
        <v/>
      </c>
      <c r="R1403" s="14" t="n"/>
      <c r="T1403">
        <f>IF($B1403="","",IF($W1403=1,Settings!$C$6,Settings!$C$7)*100)</f>
        <v/>
      </c>
      <c r="U1403">
        <f>IF($B1403="","",IF(COUNTIF($B$2:$B1403,$B1403)=1,1,0))</f>
        <v/>
      </c>
      <c r="V1403">
        <f>IF($U1403=1,SUMPRODUCT(--($X$2:$X$1501&lt;$X1403))+1,"")</f>
        <v/>
      </c>
      <c r="W1403">
        <f>IF($B1403="","",IF(OR($S1403=TRUE(),$S1403="TRUE"),1,0))</f>
        <v/>
      </c>
      <c r="X1403">
        <f>IF($U1403=1,IFERROR(IF(VALUE($B1403)&lt;100000000,VALUE($B1403),1000000000),IFERROR(IF(VALUE(MID($B1403,2,20))&lt;100000000,VALUE(MID($B1403,2,20)),1000000000),1000000000))+ROW()/100000,"")</f>
        <v/>
      </c>
    </row>
    <row r="1404">
      <c r="A1404">
        <f>IF($B1404="","",IFERROR(IF(INDEX('Per Invoice'!$C$2:$C$401,MATCH($B1404,'Per Invoice'!$A$2:$A$401,0))=0,"",INDEX('Per Invoice'!$C$2:$C$401,MATCH($B1404,'Per Invoice'!$A$2:$A$401,0))),""))</f>
        <v/>
      </c>
      <c r="G1404" s="7">
        <f>IF($B1404="","",F1404*L1404/100)</f>
        <v/>
      </c>
      <c r="K1404" s="7" t="n"/>
      <c r="L1404" s="7" t="n"/>
      <c r="M1404" s="7">
        <f>IF($B1404="","",L1404*T1404/100)</f>
        <v/>
      </c>
      <c r="N1404" s="7">
        <f>IF($B1404="","",L1404-M1404)</f>
        <v/>
      </c>
      <c r="O1404" s="7">
        <f>IF($B1404="","",N1404-G1404)</f>
        <v/>
      </c>
      <c r="R1404" s="14" t="n"/>
      <c r="T1404">
        <f>IF($B1404="","",IF($W1404=1,Settings!$C$6,Settings!$C$7)*100)</f>
        <v/>
      </c>
      <c r="U1404">
        <f>IF($B1404="","",IF(COUNTIF($B$2:$B1404,$B1404)=1,1,0))</f>
        <v/>
      </c>
      <c r="V1404">
        <f>IF($U1404=1,SUMPRODUCT(--($X$2:$X$1501&lt;$X1404))+1,"")</f>
        <v/>
      </c>
      <c r="W1404">
        <f>IF($B1404="","",IF(OR($S1404=TRUE(),$S1404="TRUE"),1,0))</f>
        <v/>
      </c>
      <c r="X1404">
        <f>IF($U1404=1,IFERROR(IF(VALUE($B1404)&lt;100000000,VALUE($B1404),1000000000),IFERROR(IF(VALUE(MID($B1404,2,20))&lt;100000000,VALUE(MID($B1404,2,20)),1000000000),1000000000))+ROW()/100000,"")</f>
        <v/>
      </c>
    </row>
    <row r="1405">
      <c r="A1405">
        <f>IF($B1405="","",IFERROR(IF(INDEX('Per Invoice'!$C$2:$C$401,MATCH($B1405,'Per Invoice'!$A$2:$A$401,0))=0,"",INDEX('Per Invoice'!$C$2:$C$401,MATCH($B1405,'Per Invoice'!$A$2:$A$401,0))),""))</f>
        <v/>
      </c>
      <c r="G1405" s="7">
        <f>IF($B1405="","",F1405*L1405/100)</f>
        <v/>
      </c>
      <c r="K1405" s="7" t="n"/>
      <c r="L1405" s="7" t="n"/>
      <c r="M1405" s="7">
        <f>IF($B1405="","",L1405*T1405/100)</f>
        <v/>
      </c>
      <c r="N1405" s="7">
        <f>IF($B1405="","",L1405-M1405)</f>
        <v/>
      </c>
      <c r="O1405" s="7">
        <f>IF($B1405="","",N1405-G1405)</f>
        <v/>
      </c>
      <c r="R1405" s="14" t="n"/>
      <c r="T1405">
        <f>IF($B1405="","",IF($W1405=1,Settings!$C$6,Settings!$C$7)*100)</f>
        <v/>
      </c>
      <c r="U1405">
        <f>IF($B1405="","",IF(COUNTIF($B$2:$B1405,$B1405)=1,1,0))</f>
        <v/>
      </c>
      <c r="V1405">
        <f>IF($U1405=1,SUMPRODUCT(--($X$2:$X$1501&lt;$X1405))+1,"")</f>
        <v/>
      </c>
      <c r="W1405">
        <f>IF($B1405="","",IF(OR($S1405=TRUE(),$S1405="TRUE"),1,0))</f>
        <v/>
      </c>
      <c r="X1405">
        <f>IF($U1405=1,IFERROR(IF(VALUE($B1405)&lt;100000000,VALUE($B1405),1000000000),IFERROR(IF(VALUE(MID($B1405,2,20))&lt;100000000,VALUE(MID($B1405,2,20)),1000000000),1000000000))+ROW()/100000,"")</f>
        <v/>
      </c>
    </row>
    <row r="1406">
      <c r="A1406">
        <f>IF($B1406="","",IFERROR(IF(INDEX('Per Invoice'!$C$2:$C$401,MATCH($B1406,'Per Invoice'!$A$2:$A$401,0))=0,"",INDEX('Per Invoice'!$C$2:$C$401,MATCH($B1406,'Per Invoice'!$A$2:$A$401,0))),""))</f>
        <v/>
      </c>
      <c r="G1406" s="7">
        <f>IF($B1406="","",F1406*L1406/100)</f>
        <v/>
      </c>
      <c r="K1406" s="7" t="n"/>
      <c r="L1406" s="7" t="n"/>
      <c r="M1406" s="7">
        <f>IF($B1406="","",L1406*T1406/100)</f>
        <v/>
      </c>
      <c r="N1406" s="7">
        <f>IF($B1406="","",L1406-M1406)</f>
        <v/>
      </c>
      <c r="O1406" s="7">
        <f>IF($B1406="","",N1406-G1406)</f>
        <v/>
      </c>
      <c r="R1406" s="14" t="n"/>
      <c r="T1406">
        <f>IF($B1406="","",IF($W1406=1,Settings!$C$6,Settings!$C$7)*100)</f>
        <v/>
      </c>
      <c r="U1406">
        <f>IF($B1406="","",IF(COUNTIF($B$2:$B1406,$B1406)=1,1,0))</f>
        <v/>
      </c>
      <c r="V1406">
        <f>IF($U1406=1,SUMPRODUCT(--($X$2:$X$1501&lt;$X1406))+1,"")</f>
        <v/>
      </c>
      <c r="W1406">
        <f>IF($B1406="","",IF(OR($S1406=TRUE(),$S1406="TRUE"),1,0))</f>
        <v/>
      </c>
      <c r="X1406">
        <f>IF($U1406=1,IFERROR(IF(VALUE($B1406)&lt;100000000,VALUE($B1406),1000000000),IFERROR(IF(VALUE(MID($B1406,2,20))&lt;100000000,VALUE(MID($B1406,2,20)),1000000000),1000000000))+ROW()/100000,"")</f>
        <v/>
      </c>
    </row>
    <row r="1407">
      <c r="A1407">
        <f>IF($B1407="","",IFERROR(IF(INDEX('Per Invoice'!$C$2:$C$401,MATCH($B1407,'Per Invoice'!$A$2:$A$401,0))=0,"",INDEX('Per Invoice'!$C$2:$C$401,MATCH($B1407,'Per Invoice'!$A$2:$A$401,0))),""))</f>
        <v/>
      </c>
      <c r="G1407" s="7">
        <f>IF($B1407="","",F1407*L1407/100)</f>
        <v/>
      </c>
      <c r="K1407" s="7" t="n"/>
      <c r="L1407" s="7" t="n"/>
      <c r="M1407" s="7">
        <f>IF($B1407="","",L1407*T1407/100)</f>
        <v/>
      </c>
      <c r="N1407" s="7">
        <f>IF($B1407="","",L1407-M1407)</f>
        <v/>
      </c>
      <c r="O1407" s="7">
        <f>IF($B1407="","",N1407-G1407)</f>
        <v/>
      </c>
      <c r="R1407" s="14" t="n"/>
      <c r="T1407">
        <f>IF($B1407="","",IF($W1407=1,Settings!$C$6,Settings!$C$7)*100)</f>
        <v/>
      </c>
      <c r="U1407">
        <f>IF($B1407="","",IF(COUNTIF($B$2:$B1407,$B1407)=1,1,0))</f>
        <v/>
      </c>
      <c r="V1407">
        <f>IF($U1407=1,SUMPRODUCT(--($X$2:$X$1501&lt;$X1407))+1,"")</f>
        <v/>
      </c>
      <c r="W1407">
        <f>IF($B1407="","",IF(OR($S1407=TRUE(),$S1407="TRUE"),1,0))</f>
        <v/>
      </c>
      <c r="X1407">
        <f>IF($U1407=1,IFERROR(IF(VALUE($B1407)&lt;100000000,VALUE($B1407),1000000000),IFERROR(IF(VALUE(MID($B1407,2,20))&lt;100000000,VALUE(MID($B1407,2,20)),1000000000),1000000000))+ROW()/100000,"")</f>
        <v/>
      </c>
    </row>
    <row r="1408">
      <c r="A1408">
        <f>IF($B1408="","",IFERROR(IF(INDEX('Per Invoice'!$C$2:$C$401,MATCH($B1408,'Per Invoice'!$A$2:$A$401,0))=0,"",INDEX('Per Invoice'!$C$2:$C$401,MATCH($B1408,'Per Invoice'!$A$2:$A$401,0))),""))</f>
        <v/>
      </c>
      <c r="G1408" s="7">
        <f>IF($B1408="","",F1408*L1408/100)</f>
        <v/>
      </c>
      <c r="K1408" s="7" t="n"/>
      <c r="L1408" s="7" t="n"/>
      <c r="M1408" s="7">
        <f>IF($B1408="","",L1408*T1408/100)</f>
        <v/>
      </c>
      <c r="N1408" s="7">
        <f>IF($B1408="","",L1408-M1408)</f>
        <v/>
      </c>
      <c r="O1408" s="7">
        <f>IF($B1408="","",N1408-G1408)</f>
        <v/>
      </c>
      <c r="R1408" s="14" t="n"/>
      <c r="T1408">
        <f>IF($B1408="","",IF($W1408=1,Settings!$C$6,Settings!$C$7)*100)</f>
        <v/>
      </c>
      <c r="U1408">
        <f>IF($B1408="","",IF(COUNTIF($B$2:$B1408,$B1408)=1,1,0))</f>
        <v/>
      </c>
      <c r="V1408">
        <f>IF($U1408=1,SUMPRODUCT(--($X$2:$X$1501&lt;$X1408))+1,"")</f>
        <v/>
      </c>
      <c r="W1408">
        <f>IF($B1408="","",IF(OR($S1408=TRUE(),$S1408="TRUE"),1,0))</f>
        <v/>
      </c>
      <c r="X1408">
        <f>IF($U1408=1,IFERROR(IF(VALUE($B1408)&lt;100000000,VALUE($B1408),1000000000),IFERROR(IF(VALUE(MID($B1408,2,20))&lt;100000000,VALUE(MID($B1408,2,20)),1000000000),1000000000))+ROW()/100000,"")</f>
        <v/>
      </c>
    </row>
    <row r="1409">
      <c r="A1409">
        <f>IF($B1409="","",IFERROR(IF(INDEX('Per Invoice'!$C$2:$C$401,MATCH($B1409,'Per Invoice'!$A$2:$A$401,0))=0,"",INDEX('Per Invoice'!$C$2:$C$401,MATCH($B1409,'Per Invoice'!$A$2:$A$401,0))),""))</f>
        <v/>
      </c>
      <c r="G1409" s="7">
        <f>IF($B1409="","",F1409*L1409/100)</f>
        <v/>
      </c>
      <c r="K1409" s="7" t="n"/>
      <c r="L1409" s="7" t="n"/>
      <c r="M1409" s="7">
        <f>IF($B1409="","",L1409*T1409/100)</f>
        <v/>
      </c>
      <c r="N1409" s="7">
        <f>IF($B1409="","",L1409-M1409)</f>
        <v/>
      </c>
      <c r="O1409" s="7">
        <f>IF($B1409="","",N1409-G1409)</f>
        <v/>
      </c>
      <c r="R1409" s="14" t="n"/>
      <c r="T1409">
        <f>IF($B1409="","",IF($W1409=1,Settings!$C$6,Settings!$C$7)*100)</f>
        <v/>
      </c>
      <c r="U1409">
        <f>IF($B1409="","",IF(COUNTIF($B$2:$B1409,$B1409)=1,1,0))</f>
        <v/>
      </c>
      <c r="V1409">
        <f>IF($U1409=1,SUMPRODUCT(--($X$2:$X$1501&lt;$X1409))+1,"")</f>
        <v/>
      </c>
      <c r="W1409">
        <f>IF($B1409="","",IF(OR($S1409=TRUE(),$S1409="TRUE"),1,0))</f>
        <v/>
      </c>
      <c r="X1409">
        <f>IF($U1409=1,IFERROR(IF(VALUE($B1409)&lt;100000000,VALUE($B1409),1000000000),IFERROR(IF(VALUE(MID($B1409,2,20))&lt;100000000,VALUE(MID($B1409,2,20)),1000000000),1000000000))+ROW()/100000,"")</f>
        <v/>
      </c>
    </row>
    <row r="1410">
      <c r="A1410">
        <f>IF($B1410="","",IFERROR(IF(INDEX('Per Invoice'!$C$2:$C$401,MATCH($B1410,'Per Invoice'!$A$2:$A$401,0))=0,"",INDEX('Per Invoice'!$C$2:$C$401,MATCH($B1410,'Per Invoice'!$A$2:$A$401,0))),""))</f>
        <v/>
      </c>
      <c r="G1410" s="7">
        <f>IF($B1410="","",F1410*L1410/100)</f>
        <v/>
      </c>
      <c r="K1410" s="7" t="n"/>
      <c r="L1410" s="7" t="n"/>
      <c r="M1410" s="7">
        <f>IF($B1410="","",L1410*T1410/100)</f>
        <v/>
      </c>
      <c r="N1410" s="7">
        <f>IF($B1410="","",L1410-M1410)</f>
        <v/>
      </c>
      <c r="O1410" s="7">
        <f>IF($B1410="","",N1410-G1410)</f>
        <v/>
      </c>
      <c r="R1410" s="14" t="n"/>
      <c r="T1410">
        <f>IF($B1410="","",IF($W1410=1,Settings!$C$6,Settings!$C$7)*100)</f>
        <v/>
      </c>
      <c r="U1410">
        <f>IF($B1410="","",IF(COUNTIF($B$2:$B1410,$B1410)=1,1,0))</f>
        <v/>
      </c>
      <c r="V1410">
        <f>IF($U1410=1,SUMPRODUCT(--($X$2:$X$1501&lt;$X1410))+1,"")</f>
        <v/>
      </c>
      <c r="W1410">
        <f>IF($B1410="","",IF(OR($S1410=TRUE(),$S1410="TRUE"),1,0))</f>
        <v/>
      </c>
      <c r="X1410">
        <f>IF($U1410=1,IFERROR(IF(VALUE($B1410)&lt;100000000,VALUE($B1410),1000000000),IFERROR(IF(VALUE(MID($B1410,2,20))&lt;100000000,VALUE(MID($B1410,2,20)),1000000000),1000000000))+ROW()/100000,"")</f>
        <v/>
      </c>
    </row>
    <row r="1411">
      <c r="A1411">
        <f>IF($B1411="","",IFERROR(IF(INDEX('Per Invoice'!$C$2:$C$401,MATCH($B1411,'Per Invoice'!$A$2:$A$401,0))=0,"",INDEX('Per Invoice'!$C$2:$C$401,MATCH($B1411,'Per Invoice'!$A$2:$A$401,0))),""))</f>
        <v/>
      </c>
      <c r="G1411" s="7">
        <f>IF($B1411="","",F1411*L1411/100)</f>
        <v/>
      </c>
      <c r="K1411" s="7" t="n"/>
      <c r="L1411" s="7" t="n"/>
      <c r="M1411" s="7">
        <f>IF($B1411="","",L1411*T1411/100)</f>
        <v/>
      </c>
      <c r="N1411" s="7">
        <f>IF($B1411="","",L1411-M1411)</f>
        <v/>
      </c>
      <c r="O1411" s="7">
        <f>IF($B1411="","",N1411-G1411)</f>
        <v/>
      </c>
      <c r="R1411" s="14" t="n"/>
      <c r="T1411">
        <f>IF($B1411="","",IF($W1411=1,Settings!$C$6,Settings!$C$7)*100)</f>
        <v/>
      </c>
      <c r="U1411">
        <f>IF($B1411="","",IF(COUNTIF($B$2:$B1411,$B1411)=1,1,0))</f>
        <v/>
      </c>
      <c r="V1411">
        <f>IF($U1411=1,SUMPRODUCT(--($X$2:$X$1501&lt;$X1411))+1,"")</f>
        <v/>
      </c>
      <c r="W1411">
        <f>IF($B1411="","",IF(OR($S1411=TRUE(),$S1411="TRUE"),1,0))</f>
        <v/>
      </c>
      <c r="X1411">
        <f>IF($U1411=1,IFERROR(IF(VALUE($B1411)&lt;100000000,VALUE($B1411),1000000000),IFERROR(IF(VALUE(MID($B1411,2,20))&lt;100000000,VALUE(MID($B1411,2,20)),1000000000),1000000000))+ROW()/100000,"")</f>
        <v/>
      </c>
    </row>
    <row r="1412">
      <c r="A1412">
        <f>IF($B1412="","",IFERROR(IF(INDEX('Per Invoice'!$C$2:$C$401,MATCH($B1412,'Per Invoice'!$A$2:$A$401,0))=0,"",INDEX('Per Invoice'!$C$2:$C$401,MATCH($B1412,'Per Invoice'!$A$2:$A$401,0))),""))</f>
        <v/>
      </c>
      <c r="G1412" s="7">
        <f>IF($B1412="","",F1412*L1412/100)</f>
        <v/>
      </c>
      <c r="K1412" s="7" t="n"/>
      <c r="L1412" s="7" t="n"/>
      <c r="M1412" s="7">
        <f>IF($B1412="","",L1412*T1412/100)</f>
        <v/>
      </c>
      <c r="N1412" s="7">
        <f>IF($B1412="","",L1412-M1412)</f>
        <v/>
      </c>
      <c r="O1412" s="7">
        <f>IF($B1412="","",N1412-G1412)</f>
        <v/>
      </c>
      <c r="R1412" s="14" t="n"/>
      <c r="T1412">
        <f>IF($B1412="","",IF($W1412=1,Settings!$C$6,Settings!$C$7)*100)</f>
        <v/>
      </c>
      <c r="U1412">
        <f>IF($B1412="","",IF(COUNTIF($B$2:$B1412,$B1412)=1,1,0))</f>
        <v/>
      </c>
      <c r="V1412">
        <f>IF($U1412=1,SUMPRODUCT(--($X$2:$X$1501&lt;$X1412))+1,"")</f>
        <v/>
      </c>
      <c r="W1412">
        <f>IF($B1412="","",IF(OR($S1412=TRUE(),$S1412="TRUE"),1,0))</f>
        <v/>
      </c>
      <c r="X1412">
        <f>IF($U1412=1,IFERROR(IF(VALUE($B1412)&lt;100000000,VALUE($B1412),1000000000),IFERROR(IF(VALUE(MID($B1412,2,20))&lt;100000000,VALUE(MID($B1412,2,20)),1000000000),1000000000))+ROW()/100000,"")</f>
        <v/>
      </c>
    </row>
    <row r="1413">
      <c r="A1413">
        <f>IF($B1413="","",IFERROR(IF(INDEX('Per Invoice'!$C$2:$C$401,MATCH($B1413,'Per Invoice'!$A$2:$A$401,0))=0,"",INDEX('Per Invoice'!$C$2:$C$401,MATCH($B1413,'Per Invoice'!$A$2:$A$401,0))),""))</f>
        <v/>
      </c>
      <c r="G1413" s="7">
        <f>IF($B1413="","",F1413*L1413/100)</f>
        <v/>
      </c>
      <c r="K1413" s="7" t="n"/>
      <c r="L1413" s="7" t="n"/>
      <c r="M1413" s="7">
        <f>IF($B1413="","",L1413*T1413/100)</f>
        <v/>
      </c>
      <c r="N1413" s="7">
        <f>IF($B1413="","",L1413-M1413)</f>
        <v/>
      </c>
      <c r="O1413" s="7">
        <f>IF($B1413="","",N1413-G1413)</f>
        <v/>
      </c>
      <c r="R1413" s="14" t="n"/>
      <c r="T1413">
        <f>IF($B1413="","",IF($W1413=1,Settings!$C$6,Settings!$C$7)*100)</f>
        <v/>
      </c>
      <c r="U1413">
        <f>IF($B1413="","",IF(COUNTIF($B$2:$B1413,$B1413)=1,1,0))</f>
        <v/>
      </c>
      <c r="V1413">
        <f>IF($U1413=1,SUMPRODUCT(--($X$2:$X$1501&lt;$X1413))+1,"")</f>
        <v/>
      </c>
      <c r="W1413">
        <f>IF($B1413="","",IF(OR($S1413=TRUE(),$S1413="TRUE"),1,0))</f>
        <v/>
      </c>
      <c r="X1413">
        <f>IF($U1413=1,IFERROR(IF(VALUE($B1413)&lt;100000000,VALUE($B1413),1000000000),IFERROR(IF(VALUE(MID($B1413,2,20))&lt;100000000,VALUE(MID($B1413,2,20)),1000000000),1000000000))+ROW()/100000,"")</f>
        <v/>
      </c>
    </row>
    <row r="1414">
      <c r="A1414">
        <f>IF($B1414="","",IFERROR(IF(INDEX('Per Invoice'!$C$2:$C$401,MATCH($B1414,'Per Invoice'!$A$2:$A$401,0))=0,"",INDEX('Per Invoice'!$C$2:$C$401,MATCH($B1414,'Per Invoice'!$A$2:$A$401,0))),""))</f>
        <v/>
      </c>
      <c r="G1414" s="7">
        <f>IF($B1414="","",F1414*L1414/100)</f>
        <v/>
      </c>
      <c r="K1414" s="7" t="n"/>
      <c r="L1414" s="7" t="n"/>
      <c r="M1414" s="7">
        <f>IF($B1414="","",L1414*T1414/100)</f>
        <v/>
      </c>
      <c r="N1414" s="7">
        <f>IF($B1414="","",L1414-M1414)</f>
        <v/>
      </c>
      <c r="O1414" s="7">
        <f>IF($B1414="","",N1414-G1414)</f>
        <v/>
      </c>
      <c r="R1414" s="14" t="n"/>
      <c r="T1414">
        <f>IF($B1414="","",IF($W1414=1,Settings!$C$6,Settings!$C$7)*100)</f>
        <v/>
      </c>
      <c r="U1414">
        <f>IF($B1414="","",IF(COUNTIF($B$2:$B1414,$B1414)=1,1,0))</f>
        <v/>
      </c>
      <c r="V1414">
        <f>IF($U1414=1,SUMPRODUCT(--($X$2:$X$1501&lt;$X1414))+1,"")</f>
        <v/>
      </c>
      <c r="W1414">
        <f>IF($B1414="","",IF(OR($S1414=TRUE(),$S1414="TRUE"),1,0))</f>
        <v/>
      </c>
      <c r="X1414">
        <f>IF($U1414=1,IFERROR(IF(VALUE($B1414)&lt;100000000,VALUE($B1414),1000000000),IFERROR(IF(VALUE(MID($B1414,2,20))&lt;100000000,VALUE(MID($B1414,2,20)),1000000000),1000000000))+ROW()/100000,"")</f>
        <v/>
      </c>
    </row>
    <row r="1415">
      <c r="A1415">
        <f>IF($B1415="","",IFERROR(IF(INDEX('Per Invoice'!$C$2:$C$401,MATCH($B1415,'Per Invoice'!$A$2:$A$401,0))=0,"",INDEX('Per Invoice'!$C$2:$C$401,MATCH($B1415,'Per Invoice'!$A$2:$A$401,0))),""))</f>
        <v/>
      </c>
      <c r="G1415" s="7">
        <f>IF($B1415="","",F1415*L1415/100)</f>
        <v/>
      </c>
      <c r="K1415" s="7" t="n"/>
      <c r="L1415" s="7" t="n"/>
      <c r="M1415" s="7">
        <f>IF($B1415="","",L1415*T1415/100)</f>
        <v/>
      </c>
      <c r="N1415" s="7">
        <f>IF($B1415="","",L1415-M1415)</f>
        <v/>
      </c>
      <c r="O1415" s="7">
        <f>IF($B1415="","",N1415-G1415)</f>
        <v/>
      </c>
      <c r="R1415" s="14" t="n"/>
      <c r="T1415">
        <f>IF($B1415="","",IF($W1415=1,Settings!$C$6,Settings!$C$7)*100)</f>
        <v/>
      </c>
      <c r="U1415">
        <f>IF($B1415="","",IF(COUNTIF($B$2:$B1415,$B1415)=1,1,0))</f>
        <v/>
      </c>
      <c r="V1415">
        <f>IF($U1415=1,SUMPRODUCT(--($X$2:$X$1501&lt;$X1415))+1,"")</f>
        <v/>
      </c>
      <c r="W1415">
        <f>IF($B1415="","",IF(OR($S1415=TRUE(),$S1415="TRUE"),1,0))</f>
        <v/>
      </c>
      <c r="X1415">
        <f>IF($U1415=1,IFERROR(IF(VALUE($B1415)&lt;100000000,VALUE($B1415),1000000000),IFERROR(IF(VALUE(MID($B1415,2,20))&lt;100000000,VALUE(MID($B1415,2,20)),1000000000),1000000000))+ROW()/100000,"")</f>
        <v/>
      </c>
    </row>
    <row r="1416">
      <c r="A1416">
        <f>IF($B1416="","",IFERROR(IF(INDEX('Per Invoice'!$C$2:$C$401,MATCH($B1416,'Per Invoice'!$A$2:$A$401,0))=0,"",INDEX('Per Invoice'!$C$2:$C$401,MATCH($B1416,'Per Invoice'!$A$2:$A$401,0))),""))</f>
        <v/>
      </c>
      <c r="G1416" s="7">
        <f>IF($B1416="","",F1416*L1416/100)</f>
        <v/>
      </c>
      <c r="K1416" s="7" t="n"/>
      <c r="L1416" s="7" t="n"/>
      <c r="M1416" s="7">
        <f>IF($B1416="","",L1416*T1416/100)</f>
        <v/>
      </c>
      <c r="N1416" s="7">
        <f>IF($B1416="","",L1416-M1416)</f>
        <v/>
      </c>
      <c r="O1416" s="7">
        <f>IF($B1416="","",N1416-G1416)</f>
        <v/>
      </c>
      <c r="R1416" s="14" t="n"/>
      <c r="T1416">
        <f>IF($B1416="","",IF($W1416=1,Settings!$C$6,Settings!$C$7)*100)</f>
        <v/>
      </c>
      <c r="U1416">
        <f>IF($B1416="","",IF(COUNTIF($B$2:$B1416,$B1416)=1,1,0))</f>
        <v/>
      </c>
      <c r="V1416">
        <f>IF($U1416=1,SUMPRODUCT(--($X$2:$X$1501&lt;$X1416))+1,"")</f>
        <v/>
      </c>
      <c r="W1416">
        <f>IF($B1416="","",IF(OR($S1416=TRUE(),$S1416="TRUE"),1,0))</f>
        <v/>
      </c>
      <c r="X1416">
        <f>IF($U1416=1,IFERROR(IF(VALUE($B1416)&lt;100000000,VALUE($B1416),1000000000),IFERROR(IF(VALUE(MID($B1416,2,20))&lt;100000000,VALUE(MID($B1416,2,20)),1000000000),1000000000))+ROW()/100000,"")</f>
        <v/>
      </c>
    </row>
    <row r="1417">
      <c r="A1417">
        <f>IF($B1417="","",IFERROR(IF(INDEX('Per Invoice'!$C$2:$C$401,MATCH($B1417,'Per Invoice'!$A$2:$A$401,0))=0,"",INDEX('Per Invoice'!$C$2:$C$401,MATCH($B1417,'Per Invoice'!$A$2:$A$401,0))),""))</f>
        <v/>
      </c>
      <c r="G1417" s="7">
        <f>IF($B1417="","",F1417*L1417/100)</f>
        <v/>
      </c>
      <c r="K1417" s="7" t="n"/>
      <c r="L1417" s="7" t="n"/>
      <c r="M1417" s="7">
        <f>IF($B1417="","",L1417*T1417/100)</f>
        <v/>
      </c>
      <c r="N1417" s="7">
        <f>IF($B1417="","",L1417-M1417)</f>
        <v/>
      </c>
      <c r="O1417" s="7">
        <f>IF($B1417="","",N1417-G1417)</f>
        <v/>
      </c>
      <c r="R1417" s="14" t="n"/>
      <c r="T1417">
        <f>IF($B1417="","",IF($W1417=1,Settings!$C$6,Settings!$C$7)*100)</f>
        <v/>
      </c>
      <c r="U1417">
        <f>IF($B1417="","",IF(COUNTIF($B$2:$B1417,$B1417)=1,1,0))</f>
        <v/>
      </c>
      <c r="V1417">
        <f>IF($U1417=1,SUMPRODUCT(--($X$2:$X$1501&lt;$X1417))+1,"")</f>
        <v/>
      </c>
      <c r="W1417">
        <f>IF($B1417="","",IF(OR($S1417=TRUE(),$S1417="TRUE"),1,0))</f>
        <v/>
      </c>
      <c r="X1417">
        <f>IF($U1417=1,IFERROR(IF(VALUE($B1417)&lt;100000000,VALUE($B1417),1000000000),IFERROR(IF(VALUE(MID($B1417,2,20))&lt;100000000,VALUE(MID($B1417,2,20)),1000000000),1000000000))+ROW()/100000,"")</f>
        <v/>
      </c>
    </row>
    <row r="1418">
      <c r="A1418">
        <f>IF($B1418="","",IFERROR(IF(INDEX('Per Invoice'!$C$2:$C$401,MATCH($B1418,'Per Invoice'!$A$2:$A$401,0))=0,"",INDEX('Per Invoice'!$C$2:$C$401,MATCH($B1418,'Per Invoice'!$A$2:$A$401,0))),""))</f>
        <v/>
      </c>
      <c r="G1418" s="7">
        <f>IF($B1418="","",F1418*L1418/100)</f>
        <v/>
      </c>
      <c r="K1418" s="7" t="n"/>
      <c r="L1418" s="7" t="n"/>
      <c r="M1418" s="7">
        <f>IF($B1418="","",L1418*T1418/100)</f>
        <v/>
      </c>
      <c r="N1418" s="7">
        <f>IF($B1418="","",L1418-M1418)</f>
        <v/>
      </c>
      <c r="O1418" s="7">
        <f>IF($B1418="","",N1418-G1418)</f>
        <v/>
      </c>
      <c r="R1418" s="14" t="n"/>
      <c r="T1418">
        <f>IF($B1418="","",IF($W1418=1,Settings!$C$6,Settings!$C$7)*100)</f>
        <v/>
      </c>
      <c r="U1418">
        <f>IF($B1418="","",IF(COUNTIF($B$2:$B1418,$B1418)=1,1,0))</f>
        <v/>
      </c>
      <c r="V1418">
        <f>IF($U1418=1,SUMPRODUCT(--($X$2:$X$1501&lt;$X1418))+1,"")</f>
        <v/>
      </c>
      <c r="W1418">
        <f>IF($B1418="","",IF(OR($S1418=TRUE(),$S1418="TRUE"),1,0))</f>
        <v/>
      </c>
      <c r="X1418">
        <f>IF($U1418=1,IFERROR(IF(VALUE($B1418)&lt;100000000,VALUE($B1418),1000000000),IFERROR(IF(VALUE(MID($B1418,2,20))&lt;100000000,VALUE(MID($B1418,2,20)),1000000000),1000000000))+ROW()/100000,"")</f>
        <v/>
      </c>
    </row>
    <row r="1419">
      <c r="A1419">
        <f>IF($B1419="","",IFERROR(IF(INDEX('Per Invoice'!$C$2:$C$401,MATCH($B1419,'Per Invoice'!$A$2:$A$401,0))=0,"",INDEX('Per Invoice'!$C$2:$C$401,MATCH($B1419,'Per Invoice'!$A$2:$A$401,0))),""))</f>
        <v/>
      </c>
      <c r="G1419" s="7">
        <f>IF($B1419="","",F1419*L1419/100)</f>
        <v/>
      </c>
      <c r="K1419" s="7" t="n"/>
      <c r="L1419" s="7" t="n"/>
      <c r="M1419" s="7">
        <f>IF($B1419="","",L1419*T1419/100)</f>
        <v/>
      </c>
      <c r="N1419" s="7">
        <f>IF($B1419="","",L1419-M1419)</f>
        <v/>
      </c>
      <c r="O1419" s="7">
        <f>IF($B1419="","",N1419-G1419)</f>
        <v/>
      </c>
      <c r="R1419" s="14" t="n"/>
      <c r="T1419">
        <f>IF($B1419="","",IF($W1419=1,Settings!$C$6,Settings!$C$7)*100)</f>
        <v/>
      </c>
      <c r="U1419">
        <f>IF($B1419="","",IF(COUNTIF($B$2:$B1419,$B1419)=1,1,0))</f>
        <v/>
      </c>
      <c r="V1419">
        <f>IF($U1419=1,SUMPRODUCT(--($X$2:$X$1501&lt;$X1419))+1,"")</f>
        <v/>
      </c>
      <c r="W1419">
        <f>IF($B1419="","",IF(OR($S1419=TRUE(),$S1419="TRUE"),1,0))</f>
        <v/>
      </c>
      <c r="X1419">
        <f>IF($U1419=1,IFERROR(IF(VALUE($B1419)&lt;100000000,VALUE($B1419),1000000000),IFERROR(IF(VALUE(MID($B1419,2,20))&lt;100000000,VALUE(MID($B1419,2,20)),1000000000),1000000000))+ROW()/100000,"")</f>
        <v/>
      </c>
    </row>
    <row r="1420">
      <c r="A1420">
        <f>IF($B1420="","",IFERROR(IF(INDEX('Per Invoice'!$C$2:$C$401,MATCH($B1420,'Per Invoice'!$A$2:$A$401,0))=0,"",INDEX('Per Invoice'!$C$2:$C$401,MATCH($B1420,'Per Invoice'!$A$2:$A$401,0))),""))</f>
        <v/>
      </c>
      <c r="G1420" s="7">
        <f>IF($B1420="","",F1420*L1420/100)</f>
        <v/>
      </c>
      <c r="K1420" s="7" t="n"/>
      <c r="L1420" s="7" t="n"/>
      <c r="M1420" s="7">
        <f>IF($B1420="","",L1420*T1420/100)</f>
        <v/>
      </c>
      <c r="N1420" s="7">
        <f>IF($B1420="","",L1420-M1420)</f>
        <v/>
      </c>
      <c r="O1420" s="7">
        <f>IF($B1420="","",N1420-G1420)</f>
        <v/>
      </c>
      <c r="R1420" s="14" t="n"/>
      <c r="T1420">
        <f>IF($B1420="","",IF($W1420=1,Settings!$C$6,Settings!$C$7)*100)</f>
        <v/>
      </c>
      <c r="U1420">
        <f>IF($B1420="","",IF(COUNTIF($B$2:$B1420,$B1420)=1,1,0))</f>
        <v/>
      </c>
      <c r="V1420">
        <f>IF($U1420=1,SUMPRODUCT(--($X$2:$X$1501&lt;$X1420))+1,"")</f>
        <v/>
      </c>
      <c r="W1420">
        <f>IF($B1420="","",IF(OR($S1420=TRUE(),$S1420="TRUE"),1,0))</f>
        <v/>
      </c>
      <c r="X1420">
        <f>IF($U1420=1,IFERROR(IF(VALUE($B1420)&lt;100000000,VALUE($B1420),1000000000),IFERROR(IF(VALUE(MID($B1420,2,20))&lt;100000000,VALUE(MID($B1420,2,20)),1000000000),1000000000))+ROW()/100000,"")</f>
        <v/>
      </c>
    </row>
    <row r="1421">
      <c r="A1421">
        <f>IF($B1421="","",IFERROR(IF(INDEX('Per Invoice'!$C$2:$C$401,MATCH($B1421,'Per Invoice'!$A$2:$A$401,0))=0,"",INDEX('Per Invoice'!$C$2:$C$401,MATCH($B1421,'Per Invoice'!$A$2:$A$401,0))),""))</f>
        <v/>
      </c>
      <c r="G1421" s="7">
        <f>IF($B1421="","",F1421*L1421/100)</f>
        <v/>
      </c>
      <c r="K1421" s="7" t="n"/>
      <c r="L1421" s="7" t="n"/>
      <c r="M1421" s="7">
        <f>IF($B1421="","",L1421*T1421/100)</f>
        <v/>
      </c>
      <c r="N1421" s="7">
        <f>IF($B1421="","",L1421-M1421)</f>
        <v/>
      </c>
      <c r="O1421" s="7">
        <f>IF($B1421="","",N1421-G1421)</f>
        <v/>
      </c>
      <c r="R1421" s="14" t="n"/>
      <c r="T1421">
        <f>IF($B1421="","",IF($W1421=1,Settings!$C$6,Settings!$C$7)*100)</f>
        <v/>
      </c>
      <c r="U1421">
        <f>IF($B1421="","",IF(COUNTIF($B$2:$B1421,$B1421)=1,1,0))</f>
        <v/>
      </c>
      <c r="V1421">
        <f>IF($U1421=1,SUMPRODUCT(--($X$2:$X$1501&lt;$X1421))+1,"")</f>
        <v/>
      </c>
      <c r="W1421">
        <f>IF($B1421="","",IF(OR($S1421=TRUE(),$S1421="TRUE"),1,0))</f>
        <v/>
      </c>
      <c r="X1421">
        <f>IF($U1421=1,IFERROR(IF(VALUE($B1421)&lt;100000000,VALUE($B1421),1000000000),IFERROR(IF(VALUE(MID($B1421,2,20))&lt;100000000,VALUE(MID($B1421,2,20)),1000000000),1000000000))+ROW()/100000,"")</f>
        <v/>
      </c>
    </row>
    <row r="1422">
      <c r="A1422">
        <f>IF($B1422="","",IFERROR(IF(INDEX('Per Invoice'!$C$2:$C$401,MATCH($B1422,'Per Invoice'!$A$2:$A$401,0))=0,"",INDEX('Per Invoice'!$C$2:$C$401,MATCH($B1422,'Per Invoice'!$A$2:$A$401,0))),""))</f>
        <v/>
      </c>
      <c r="G1422" s="7">
        <f>IF($B1422="","",F1422*L1422/100)</f>
        <v/>
      </c>
      <c r="K1422" s="7" t="n"/>
      <c r="L1422" s="7" t="n"/>
      <c r="M1422" s="7">
        <f>IF($B1422="","",L1422*T1422/100)</f>
        <v/>
      </c>
      <c r="N1422" s="7">
        <f>IF($B1422="","",L1422-M1422)</f>
        <v/>
      </c>
      <c r="O1422" s="7">
        <f>IF($B1422="","",N1422-G1422)</f>
        <v/>
      </c>
      <c r="R1422" s="14" t="n"/>
      <c r="T1422">
        <f>IF($B1422="","",IF($W1422=1,Settings!$C$6,Settings!$C$7)*100)</f>
        <v/>
      </c>
      <c r="U1422">
        <f>IF($B1422="","",IF(COUNTIF($B$2:$B1422,$B1422)=1,1,0))</f>
        <v/>
      </c>
      <c r="V1422">
        <f>IF($U1422=1,SUMPRODUCT(--($X$2:$X$1501&lt;$X1422))+1,"")</f>
        <v/>
      </c>
      <c r="W1422">
        <f>IF($B1422="","",IF(OR($S1422=TRUE(),$S1422="TRUE"),1,0))</f>
        <v/>
      </c>
      <c r="X1422">
        <f>IF($U1422=1,IFERROR(IF(VALUE($B1422)&lt;100000000,VALUE($B1422),1000000000),IFERROR(IF(VALUE(MID($B1422,2,20))&lt;100000000,VALUE(MID($B1422,2,20)),1000000000),1000000000))+ROW()/100000,"")</f>
        <v/>
      </c>
    </row>
    <row r="1423">
      <c r="A1423">
        <f>IF($B1423="","",IFERROR(IF(INDEX('Per Invoice'!$C$2:$C$401,MATCH($B1423,'Per Invoice'!$A$2:$A$401,0))=0,"",INDEX('Per Invoice'!$C$2:$C$401,MATCH($B1423,'Per Invoice'!$A$2:$A$401,0))),""))</f>
        <v/>
      </c>
      <c r="G1423" s="7">
        <f>IF($B1423="","",F1423*L1423/100)</f>
        <v/>
      </c>
      <c r="K1423" s="7" t="n"/>
      <c r="L1423" s="7" t="n"/>
      <c r="M1423" s="7">
        <f>IF($B1423="","",L1423*T1423/100)</f>
        <v/>
      </c>
      <c r="N1423" s="7">
        <f>IF($B1423="","",L1423-M1423)</f>
        <v/>
      </c>
      <c r="O1423" s="7">
        <f>IF($B1423="","",N1423-G1423)</f>
        <v/>
      </c>
      <c r="R1423" s="14" t="n"/>
      <c r="T1423">
        <f>IF($B1423="","",IF($W1423=1,Settings!$C$6,Settings!$C$7)*100)</f>
        <v/>
      </c>
      <c r="U1423">
        <f>IF($B1423="","",IF(COUNTIF($B$2:$B1423,$B1423)=1,1,0))</f>
        <v/>
      </c>
      <c r="V1423">
        <f>IF($U1423=1,SUMPRODUCT(--($X$2:$X$1501&lt;$X1423))+1,"")</f>
        <v/>
      </c>
      <c r="W1423">
        <f>IF($B1423="","",IF(OR($S1423=TRUE(),$S1423="TRUE"),1,0))</f>
        <v/>
      </c>
      <c r="X1423">
        <f>IF($U1423=1,IFERROR(IF(VALUE($B1423)&lt;100000000,VALUE($B1423),1000000000),IFERROR(IF(VALUE(MID($B1423,2,20))&lt;100000000,VALUE(MID($B1423,2,20)),1000000000),1000000000))+ROW()/100000,"")</f>
        <v/>
      </c>
    </row>
    <row r="1424">
      <c r="A1424">
        <f>IF($B1424="","",IFERROR(IF(INDEX('Per Invoice'!$C$2:$C$401,MATCH($B1424,'Per Invoice'!$A$2:$A$401,0))=0,"",INDEX('Per Invoice'!$C$2:$C$401,MATCH($B1424,'Per Invoice'!$A$2:$A$401,0))),""))</f>
        <v/>
      </c>
      <c r="G1424" s="7">
        <f>IF($B1424="","",F1424*L1424/100)</f>
        <v/>
      </c>
      <c r="K1424" s="7" t="n"/>
      <c r="L1424" s="7" t="n"/>
      <c r="M1424" s="7">
        <f>IF($B1424="","",L1424*T1424/100)</f>
        <v/>
      </c>
      <c r="N1424" s="7">
        <f>IF($B1424="","",L1424-M1424)</f>
        <v/>
      </c>
      <c r="O1424" s="7">
        <f>IF($B1424="","",N1424-G1424)</f>
        <v/>
      </c>
      <c r="R1424" s="14" t="n"/>
      <c r="T1424">
        <f>IF($B1424="","",IF($W1424=1,Settings!$C$6,Settings!$C$7)*100)</f>
        <v/>
      </c>
      <c r="U1424">
        <f>IF($B1424="","",IF(COUNTIF($B$2:$B1424,$B1424)=1,1,0))</f>
        <v/>
      </c>
      <c r="V1424">
        <f>IF($U1424=1,SUMPRODUCT(--($X$2:$X$1501&lt;$X1424))+1,"")</f>
        <v/>
      </c>
      <c r="W1424">
        <f>IF($B1424="","",IF(OR($S1424=TRUE(),$S1424="TRUE"),1,0))</f>
        <v/>
      </c>
      <c r="X1424">
        <f>IF($U1424=1,IFERROR(IF(VALUE($B1424)&lt;100000000,VALUE($B1424),1000000000),IFERROR(IF(VALUE(MID($B1424,2,20))&lt;100000000,VALUE(MID($B1424,2,20)),1000000000),1000000000))+ROW()/100000,"")</f>
        <v/>
      </c>
    </row>
    <row r="1425">
      <c r="A1425">
        <f>IF($B1425="","",IFERROR(IF(INDEX('Per Invoice'!$C$2:$C$401,MATCH($B1425,'Per Invoice'!$A$2:$A$401,0))=0,"",INDEX('Per Invoice'!$C$2:$C$401,MATCH($B1425,'Per Invoice'!$A$2:$A$401,0))),""))</f>
        <v/>
      </c>
      <c r="G1425" s="7">
        <f>IF($B1425="","",F1425*L1425/100)</f>
        <v/>
      </c>
      <c r="K1425" s="7" t="n"/>
      <c r="L1425" s="7" t="n"/>
      <c r="M1425" s="7">
        <f>IF($B1425="","",L1425*T1425/100)</f>
        <v/>
      </c>
      <c r="N1425" s="7">
        <f>IF($B1425="","",L1425-M1425)</f>
        <v/>
      </c>
      <c r="O1425" s="7">
        <f>IF($B1425="","",N1425-G1425)</f>
        <v/>
      </c>
      <c r="R1425" s="14" t="n"/>
      <c r="T1425">
        <f>IF($B1425="","",IF($W1425=1,Settings!$C$6,Settings!$C$7)*100)</f>
        <v/>
      </c>
      <c r="U1425">
        <f>IF($B1425="","",IF(COUNTIF($B$2:$B1425,$B1425)=1,1,0))</f>
        <v/>
      </c>
      <c r="V1425">
        <f>IF($U1425=1,SUMPRODUCT(--($X$2:$X$1501&lt;$X1425))+1,"")</f>
        <v/>
      </c>
      <c r="W1425">
        <f>IF($B1425="","",IF(OR($S1425=TRUE(),$S1425="TRUE"),1,0))</f>
        <v/>
      </c>
      <c r="X1425">
        <f>IF($U1425=1,IFERROR(IF(VALUE($B1425)&lt;100000000,VALUE($B1425),1000000000),IFERROR(IF(VALUE(MID($B1425,2,20))&lt;100000000,VALUE(MID($B1425,2,20)),1000000000),1000000000))+ROW()/100000,"")</f>
        <v/>
      </c>
    </row>
    <row r="1426">
      <c r="A1426">
        <f>IF($B1426="","",IFERROR(IF(INDEX('Per Invoice'!$C$2:$C$401,MATCH($B1426,'Per Invoice'!$A$2:$A$401,0))=0,"",INDEX('Per Invoice'!$C$2:$C$401,MATCH($B1426,'Per Invoice'!$A$2:$A$401,0))),""))</f>
        <v/>
      </c>
      <c r="G1426" s="7">
        <f>IF($B1426="","",F1426*L1426/100)</f>
        <v/>
      </c>
      <c r="K1426" s="7" t="n"/>
      <c r="L1426" s="7" t="n"/>
      <c r="M1426" s="7">
        <f>IF($B1426="","",L1426*T1426/100)</f>
        <v/>
      </c>
      <c r="N1426" s="7">
        <f>IF($B1426="","",L1426-M1426)</f>
        <v/>
      </c>
      <c r="O1426" s="7">
        <f>IF($B1426="","",N1426-G1426)</f>
        <v/>
      </c>
      <c r="R1426" s="14" t="n"/>
      <c r="T1426">
        <f>IF($B1426="","",IF($W1426=1,Settings!$C$6,Settings!$C$7)*100)</f>
        <v/>
      </c>
      <c r="U1426">
        <f>IF($B1426="","",IF(COUNTIF($B$2:$B1426,$B1426)=1,1,0))</f>
        <v/>
      </c>
      <c r="V1426">
        <f>IF($U1426=1,SUMPRODUCT(--($X$2:$X$1501&lt;$X1426))+1,"")</f>
        <v/>
      </c>
      <c r="W1426">
        <f>IF($B1426="","",IF(OR($S1426=TRUE(),$S1426="TRUE"),1,0))</f>
        <v/>
      </c>
      <c r="X1426">
        <f>IF($U1426=1,IFERROR(IF(VALUE($B1426)&lt;100000000,VALUE($B1426),1000000000),IFERROR(IF(VALUE(MID($B1426,2,20))&lt;100000000,VALUE(MID($B1426,2,20)),1000000000),1000000000))+ROW()/100000,"")</f>
        <v/>
      </c>
    </row>
    <row r="1427">
      <c r="A1427">
        <f>IF($B1427="","",IFERROR(IF(INDEX('Per Invoice'!$C$2:$C$401,MATCH($B1427,'Per Invoice'!$A$2:$A$401,0))=0,"",INDEX('Per Invoice'!$C$2:$C$401,MATCH($B1427,'Per Invoice'!$A$2:$A$401,0))),""))</f>
        <v/>
      </c>
      <c r="G1427" s="7">
        <f>IF($B1427="","",F1427*L1427/100)</f>
        <v/>
      </c>
      <c r="K1427" s="7" t="n"/>
      <c r="L1427" s="7" t="n"/>
      <c r="M1427" s="7">
        <f>IF($B1427="","",L1427*T1427/100)</f>
        <v/>
      </c>
      <c r="N1427" s="7">
        <f>IF($B1427="","",L1427-M1427)</f>
        <v/>
      </c>
      <c r="O1427" s="7">
        <f>IF($B1427="","",N1427-G1427)</f>
        <v/>
      </c>
      <c r="R1427" s="14" t="n"/>
      <c r="T1427">
        <f>IF($B1427="","",IF($W1427=1,Settings!$C$6,Settings!$C$7)*100)</f>
        <v/>
      </c>
      <c r="U1427">
        <f>IF($B1427="","",IF(COUNTIF($B$2:$B1427,$B1427)=1,1,0))</f>
        <v/>
      </c>
      <c r="V1427">
        <f>IF($U1427=1,SUMPRODUCT(--($X$2:$X$1501&lt;$X1427))+1,"")</f>
        <v/>
      </c>
      <c r="W1427">
        <f>IF($B1427="","",IF(OR($S1427=TRUE(),$S1427="TRUE"),1,0))</f>
        <v/>
      </c>
      <c r="X1427">
        <f>IF($U1427=1,IFERROR(IF(VALUE($B1427)&lt;100000000,VALUE($B1427),1000000000),IFERROR(IF(VALUE(MID($B1427,2,20))&lt;100000000,VALUE(MID($B1427,2,20)),1000000000),1000000000))+ROW()/100000,"")</f>
        <v/>
      </c>
    </row>
    <row r="1428">
      <c r="A1428">
        <f>IF($B1428="","",IFERROR(IF(INDEX('Per Invoice'!$C$2:$C$401,MATCH($B1428,'Per Invoice'!$A$2:$A$401,0))=0,"",INDEX('Per Invoice'!$C$2:$C$401,MATCH($B1428,'Per Invoice'!$A$2:$A$401,0))),""))</f>
        <v/>
      </c>
      <c r="G1428" s="7">
        <f>IF($B1428="","",F1428*L1428/100)</f>
        <v/>
      </c>
      <c r="K1428" s="7" t="n"/>
      <c r="L1428" s="7" t="n"/>
      <c r="M1428" s="7">
        <f>IF($B1428="","",L1428*T1428/100)</f>
        <v/>
      </c>
      <c r="N1428" s="7">
        <f>IF($B1428="","",L1428-M1428)</f>
        <v/>
      </c>
      <c r="O1428" s="7">
        <f>IF($B1428="","",N1428-G1428)</f>
        <v/>
      </c>
      <c r="R1428" s="14" t="n"/>
      <c r="T1428">
        <f>IF($B1428="","",IF($W1428=1,Settings!$C$6,Settings!$C$7)*100)</f>
        <v/>
      </c>
      <c r="U1428">
        <f>IF($B1428="","",IF(COUNTIF($B$2:$B1428,$B1428)=1,1,0))</f>
        <v/>
      </c>
      <c r="V1428">
        <f>IF($U1428=1,SUMPRODUCT(--($X$2:$X$1501&lt;$X1428))+1,"")</f>
        <v/>
      </c>
      <c r="W1428">
        <f>IF($B1428="","",IF(OR($S1428=TRUE(),$S1428="TRUE"),1,0))</f>
        <v/>
      </c>
      <c r="X1428">
        <f>IF($U1428=1,IFERROR(IF(VALUE($B1428)&lt;100000000,VALUE($B1428),1000000000),IFERROR(IF(VALUE(MID($B1428,2,20))&lt;100000000,VALUE(MID($B1428,2,20)),1000000000),1000000000))+ROW()/100000,"")</f>
        <v/>
      </c>
    </row>
    <row r="1429">
      <c r="A1429">
        <f>IF($B1429="","",IFERROR(IF(INDEX('Per Invoice'!$C$2:$C$401,MATCH($B1429,'Per Invoice'!$A$2:$A$401,0))=0,"",INDEX('Per Invoice'!$C$2:$C$401,MATCH($B1429,'Per Invoice'!$A$2:$A$401,0))),""))</f>
        <v/>
      </c>
      <c r="G1429" s="7">
        <f>IF($B1429="","",F1429*L1429/100)</f>
        <v/>
      </c>
      <c r="K1429" s="7" t="n"/>
      <c r="L1429" s="7" t="n"/>
      <c r="M1429" s="7">
        <f>IF($B1429="","",L1429*T1429/100)</f>
        <v/>
      </c>
      <c r="N1429" s="7">
        <f>IF($B1429="","",L1429-M1429)</f>
        <v/>
      </c>
      <c r="O1429" s="7">
        <f>IF($B1429="","",N1429-G1429)</f>
        <v/>
      </c>
      <c r="R1429" s="14" t="n"/>
      <c r="T1429">
        <f>IF($B1429="","",IF($W1429=1,Settings!$C$6,Settings!$C$7)*100)</f>
        <v/>
      </c>
      <c r="U1429">
        <f>IF($B1429="","",IF(COUNTIF($B$2:$B1429,$B1429)=1,1,0))</f>
        <v/>
      </c>
      <c r="V1429">
        <f>IF($U1429=1,SUMPRODUCT(--($X$2:$X$1501&lt;$X1429))+1,"")</f>
        <v/>
      </c>
      <c r="W1429">
        <f>IF($B1429="","",IF(OR($S1429=TRUE(),$S1429="TRUE"),1,0))</f>
        <v/>
      </c>
      <c r="X1429">
        <f>IF($U1429=1,IFERROR(IF(VALUE($B1429)&lt;100000000,VALUE($B1429),1000000000),IFERROR(IF(VALUE(MID($B1429,2,20))&lt;100000000,VALUE(MID($B1429,2,20)),1000000000),1000000000))+ROW()/100000,"")</f>
        <v/>
      </c>
    </row>
    <row r="1430">
      <c r="A1430">
        <f>IF($B1430="","",IFERROR(IF(INDEX('Per Invoice'!$C$2:$C$401,MATCH($B1430,'Per Invoice'!$A$2:$A$401,0))=0,"",INDEX('Per Invoice'!$C$2:$C$401,MATCH($B1430,'Per Invoice'!$A$2:$A$401,0))),""))</f>
        <v/>
      </c>
      <c r="G1430" s="7">
        <f>IF($B1430="","",F1430*L1430/100)</f>
        <v/>
      </c>
      <c r="K1430" s="7" t="n"/>
      <c r="L1430" s="7" t="n"/>
      <c r="M1430" s="7">
        <f>IF($B1430="","",L1430*T1430/100)</f>
        <v/>
      </c>
      <c r="N1430" s="7">
        <f>IF($B1430="","",L1430-M1430)</f>
        <v/>
      </c>
      <c r="O1430" s="7">
        <f>IF($B1430="","",N1430-G1430)</f>
        <v/>
      </c>
      <c r="R1430" s="14" t="n"/>
      <c r="T1430">
        <f>IF($B1430="","",IF($W1430=1,Settings!$C$6,Settings!$C$7)*100)</f>
        <v/>
      </c>
      <c r="U1430">
        <f>IF($B1430="","",IF(COUNTIF($B$2:$B1430,$B1430)=1,1,0))</f>
        <v/>
      </c>
      <c r="V1430">
        <f>IF($U1430=1,SUMPRODUCT(--($X$2:$X$1501&lt;$X1430))+1,"")</f>
        <v/>
      </c>
      <c r="W1430">
        <f>IF($B1430="","",IF(OR($S1430=TRUE(),$S1430="TRUE"),1,0))</f>
        <v/>
      </c>
      <c r="X1430">
        <f>IF($U1430=1,IFERROR(IF(VALUE($B1430)&lt;100000000,VALUE($B1430),1000000000),IFERROR(IF(VALUE(MID($B1430,2,20))&lt;100000000,VALUE(MID($B1430,2,20)),1000000000),1000000000))+ROW()/100000,"")</f>
        <v/>
      </c>
    </row>
    <row r="1431">
      <c r="A1431">
        <f>IF($B1431="","",IFERROR(IF(INDEX('Per Invoice'!$C$2:$C$401,MATCH($B1431,'Per Invoice'!$A$2:$A$401,0))=0,"",INDEX('Per Invoice'!$C$2:$C$401,MATCH($B1431,'Per Invoice'!$A$2:$A$401,0))),""))</f>
        <v/>
      </c>
      <c r="G1431" s="7">
        <f>IF($B1431="","",F1431*L1431/100)</f>
        <v/>
      </c>
      <c r="K1431" s="7" t="n"/>
      <c r="L1431" s="7" t="n"/>
      <c r="M1431" s="7">
        <f>IF($B1431="","",L1431*T1431/100)</f>
        <v/>
      </c>
      <c r="N1431" s="7">
        <f>IF($B1431="","",L1431-M1431)</f>
        <v/>
      </c>
      <c r="O1431" s="7">
        <f>IF($B1431="","",N1431-G1431)</f>
        <v/>
      </c>
      <c r="R1431" s="14" t="n"/>
      <c r="T1431">
        <f>IF($B1431="","",IF($W1431=1,Settings!$C$6,Settings!$C$7)*100)</f>
        <v/>
      </c>
      <c r="U1431">
        <f>IF($B1431="","",IF(COUNTIF($B$2:$B1431,$B1431)=1,1,0))</f>
        <v/>
      </c>
      <c r="V1431">
        <f>IF($U1431=1,SUMPRODUCT(--($X$2:$X$1501&lt;$X1431))+1,"")</f>
        <v/>
      </c>
      <c r="W1431">
        <f>IF($B1431="","",IF(OR($S1431=TRUE(),$S1431="TRUE"),1,0))</f>
        <v/>
      </c>
      <c r="X1431">
        <f>IF($U1431=1,IFERROR(IF(VALUE($B1431)&lt;100000000,VALUE($B1431),1000000000),IFERROR(IF(VALUE(MID($B1431,2,20))&lt;100000000,VALUE(MID($B1431,2,20)),1000000000),1000000000))+ROW()/100000,"")</f>
        <v/>
      </c>
    </row>
    <row r="1432">
      <c r="A1432">
        <f>IF($B1432="","",IFERROR(IF(INDEX('Per Invoice'!$C$2:$C$401,MATCH($B1432,'Per Invoice'!$A$2:$A$401,0))=0,"",INDEX('Per Invoice'!$C$2:$C$401,MATCH($B1432,'Per Invoice'!$A$2:$A$401,0))),""))</f>
        <v/>
      </c>
      <c r="G1432" s="7">
        <f>IF($B1432="","",F1432*L1432/100)</f>
        <v/>
      </c>
      <c r="K1432" s="7" t="n"/>
      <c r="L1432" s="7" t="n"/>
      <c r="M1432" s="7">
        <f>IF($B1432="","",L1432*T1432/100)</f>
        <v/>
      </c>
      <c r="N1432" s="7">
        <f>IF($B1432="","",L1432-M1432)</f>
        <v/>
      </c>
      <c r="O1432" s="7">
        <f>IF($B1432="","",N1432-G1432)</f>
        <v/>
      </c>
      <c r="R1432" s="14" t="n"/>
      <c r="T1432">
        <f>IF($B1432="","",IF($W1432=1,Settings!$C$6,Settings!$C$7)*100)</f>
        <v/>
      </c>
      <c r="U1432">
        <f>IF($B1432="","",IF(COUNTIF($B$2:$B1432,$B1432)=1,1,0))</f>
        <v/>
      </c>
      <c r="V1432">
        <f>IF($U1432=1,SUMPRODUCT(--($X$2:$X$1501&lt;$X1432))+1,"")</f>
        <v/>
      </c>
      <c r="W1432">
        <f>IF($B1432="","",IF(OR($S1432=TRUE(),$S1432="TRUE"),1,0))</f>
        <v/>
      </c>
      <c r="X1432">
        <f>IF($U1432=1,IFERROR(IF(VALUE($B1432)&lt;100000000,VALUE($B1432),1000000000),IFERROR(IF(VALUE(MID($B1432,2,20))&lt;100000000,VALUE(MID($B1432,2,20)),1000000000),1000000000))+ROW()/100000,"")</f>
        <v/>
      </c>
    </row>
    <row r="1433">
      <c r="A1433">
        <f>IF($B1433="","",IFERROR(IF(INDEX('Per Invoice'!$C$2:$C$401,MATCH($B1433,'Per Invoice'!$A$2:$A$401,0))=0,"",INDEX('Per Invoice'!$C$2:$C$401,MATCH($B1433,'Per Invoice'!$A$2:$A$401,0))),""))</f>
        <v/>
      </c>
      <c r="G1433" s="7">
        <f>IF($B1433="","",F1433*L1433/100)</f>
        <v/>
      </c>
      <c r="K1433" s="7" t="n"/>
      <c r="L1433" s="7" t="n"/>
      <c r="M1433" s="7">
        <f>IF($B1433="","",L1433*T1433/100)</f>
        <v/>
      </c>
      <c r="N1433" s="7">
        <f>IF($B1433="","",L1433-M1433)</f>
        <v/>
      </c>
      <c r="O1433" s="7">
        <f>IF($B1433="","",N1433-G1433)</f>
        <v/>
      </c>
      <c r="R1433" s="14" t="n"/>
      <c r="T1433">
        <f>IF($B1433="","",IF($W1433=1,Settings!$C$6,Settings!$C$7)*100)</f>
        <v/>
      </c>
      <c r="U1433">
        <f>IF($B1433="","",IF(COUNTIF($B$2:$B1433,$B1433)=1,1,0))</f>
        <v/>
      </c>
      <c r="V1433">
        <f>IF($U1433=1,SUMPRODUCT(--($X$2:$X$1501&lt;$X1433))+1,"")</f>
        <v/>
      </c>
      <c r="W1433">
        <f>IF($B1433="","",IF(OR($S1433=TRUE(),$S1433="TRUE"),1,0))</f>
        <v/>
      </c>
      <c r="X1433">
        <f>IF($U1433=1,IFERROR(IF(VALUE($B1433)&lt;100000000,VALUE($B1433),1000000000),IFERROR(IF(VALUE(MID($B1433,2,20))&lt;100000000,VALUE(MID($B1433,2,20)),1000000000),1000000000))+ROW()/100000,"")</f>
        <v/>
      </c>
    </row>
    <row r="1434">
      <c r="A1434">
        <f>IF($B1434="","",IFERROR(IF(INDEX('Per Invoice'!$C$2:$C$401,MATCH($B1434,'Per Invoice'!$A$2:$A$401,0))=0,"",INDEX('Per Invoice'!$C$2:$C$401,MATCH($B1434,'Per Invoice'!$A$2:$A$401,0))),""))</f>
        <v/>
      </c>
      <c r="G1434" s="7">
        <f>IF($B1434="","",F1434*L1434/100)</f>
        <v/>
      </c>
      <c r="K1434" s="7" t="n"/>
      <c r="L1434" s="7" t="n"/>
      <c r="M1434" s="7">
        <f>IF($B1434="","",L1434*T1434/100)</f>
        <v/>
      </c>
      <c r="N1434" s="7">
        <f>IF($B1434="","",L1434-M1434)</f>
        <v/>
      </c>
      <c r="O1434" s="7">
        <f>IF($B1434="","",N1434-G1434)</f>
        <v/>
      </c>
      <c r="R1434" s="14" t="n"/>
      <c r="T1434">
        <f>IF($B1434="","",IF($W1434=1,Settings!$C$6,Settings!$C$7)*100)</f>
        <v/>
      </c>
      <c r="U1434">
        <f>IF($B1434="","",IF(COUNTIF($B$2:$B1434,$B1434)=1,1,0))</f>
        <v/>
      </c>
      <c r="V1434">
        <f>IF($U1434=1,SUMPRODUCT(--($X$2:$X$1501&lt;$X1434))+1,"")</f>
        <v/>
      </c>
      <c r="W1434">
        <f>IF($B1434="","",IF(OR($S1434=TRUE(),$S1434="TRUE"),1,0))</f>
        <v/>
      </c>
      <c r="X1434">
        <f>IF($U1434=1,IFERROR(IF(VALUE($B1434)&lt;100000000,VALUE($B1434),1000000000),IFERROR(IF(VALUE(MID($B1434,2,20))&lt;100000000,VALUE(MID($B1434,2,20)),1000000000),1000000000))+ROW()/100000,"")</f>
        <v/>
      </c>
    </row>
    <row r="1435">
      <c r="A1435">
        <f>IF($B1435="","",IFERROR(IF(INDEX('Per Invoice'!$C$2:$C$401,MATCH($B1435,'Per Invoice'!$A$2:$A$401,0))=0,"",INDEX('Per Invoice'!$C$2:$C$401,MATCH($B1435,'Per Invoice'!$A$2:$A$401,0))),""))</f>
        <v/>
      </c>
      <c r="G1435" s="7">
        <f>IF($B1435="","",F1435*L1435/100)</f>
        <v/>
      </c>
      <c r="K1435" s="7" t="n"/>
      <c r="L1435" s="7" t="n"/>
      <c r="M1435" s="7">
        <f>IF($B1435="","",L1435*T1435/100)</f>
        <v/>
      </c>
      <c r="N1435" s="7">
        <f>IF($B1435="","",L1435-M1435)</f>
        <v/>
      </c>
      <c r="O1435" s="7">
        <f>IF($B1435="","",N1435-G1435)</f>
        <v/>
      </c>
      <c r="R1435" s="14" t="n"/>
      <c r="T1435">
        <f>IF($B1435="","",IF($W1435=1,Settings!$C$6,Settings!$C$7)*100)</f>
        <v/>
      </c>
      <c r="U1435">
        <f>IF($B1435="","",IF(COUNTIF($B$2:$B1435,$B1435)=1,1,0))</f>
        <v/>
      </c>
      <c r="V1435">
        <f>IF($U1435=1,SUMPRODUCT(--($X$2:$X$1501&lt;$X1435))+1,"")</f>
        <v/>
      </c>
      <c r="W1435">
        <f>IF($B1435="","",IF(OR($S1435=TRUE(),$S1435="TRUE"),1,0))</f>
        <v/>
      </c>
      <c r="X1435">
        <f>IF($U1435=1,IFERROR(IF(VALUE($B1435)&lt;100000000,VALUE($B1435),1000000000),IFERROR(IF(VALUE(MID($B1435,2,20))&lt;100000000,VALUE(MID($B1435,2,20)),1000000000),1000000000))+ROW()/100000,"")</f>
        <v/>
      </c>
    </row>
    <row r="1436">
      <c r="A1436">
        <f>IF($B1436="","",IFERROR(IF(INDEX('Per Invoice'!$C$2:$C$401,MATCH($B1436,'Per Invoice'!$A$2:$A$401,0))=0,"",INDEX('Per Invoice'!$C$2:$C$401,MATCH($B1436,'Per Invoice'!$A$2:$A$401,0))),""))</f>
        <v/>
      </c>
      <c r="G1436" s="7">
        <f>IF($B1436="","",F1436*L1436/100)</f>
        <v/>
      </c>
      <c r="K1436" s="7" t="n"/>
      <c r="L1436" s="7" t="n"/>
      <c r="M1436" s="7">
        <f>IF($B1436="","",L1436*T1436/100)</f>
        <v/>
      </c>
      <c r="N1436" s="7">
        <f>IF($B1436="","",L1436-M1436)</f>
        <v/>
      </c>
      <c r="O1436" s="7">
        <f>IF($B1436="","",N1436-G1436)</f>
        <v/>
      </c>
      <c r="R1436" s="14" t="n"/>
      <c r="T1436">
        <f>IF($B1436="","",IF($W1436=1,Settings!$C$6,Settings!$C$7)*100)</f>
        <v/>
      </c>
      <c r="U1436">
        <f>IF($B1436="","",IF(COUNTIF($B$2:$B1436,$B1436)=1,1,0))</f>
        <v/>
      </c>
      <c r="V1436">
        <f>IF($U1436=1,SUMPRODUCT(--($X$2:$X$1501&lt;$X1436))+1,"")</f>
        <v/>
      </c>
      <c r="W1436">
        <f>IF($B1436="","",IF(OR($S1436=TRUE(),$S1436="TRUE"),1,0))</f>
        <v/>
      </c>
      <c r="X1436">
        <f>IF($U1436=1,IFERROR(IF(VALUE($B1436)&lt;100000000,VALUE($B1436),1000000000),IFERROR(IF(VALUE(MID($B1436,2,20))&lt;100000000,VALUE(MID($B1436,2,20)),1000000000),1000000000))+ROW()/100000,"")</f>
        <v/>
      </c>
    </row>
    <row r="1437">
      <c r="A1437">
        <f>IF($B1437="","",IFERROR(IF(INDEX('Per Invoice'!$C$2:$C$401,MATCH($B1437,'Per Invoice'!$A$2:$A$401,0))=0,"",INDEX('Per Invoice'!$C$2:$C$401,MATCH($B1437,'Per Invoice'!$A$2:$A$401,0))),""))</f>
        <v/>
      </c>
      <c r="G1437" s="7">
        <f>IF($B1437="","",F1437*L1437/100)</f>
        <v/>
      </c>
      <c r="K1437" s="7" t="n"/>
      <c r="L1437" s="7" t="n"/>
      <c r="M1437" s="7">
        <f>IF($B1437="","",L1437*T1437/100)</f>
        <v/>
      </c>
      <c r="N1437" s="7">
        <f>IF($B1437="","",L1437-M1437)</f>
        <v/>
      </c>
      <c r="O1437" s="7">
        <f>IF($B1437="","",N1437-G1437)</f>
        <v/>
      </c>
      <c r="R1437" s="14" t="n"/>
      <c r="T1437">
        <f>IF($B1437="","",IF($W1437=1,Settings!$C$6,Settings!$C$7)*100)</f>
        <v/>
      </c>
      <c r="U1437">
        <f>IF($B1437="","",IF(COUNTIF($B$2:$B1437,$B1437)=1,1,0))</f>
        <v/>
      </c>
      <c r="V1437">
        <f>IF($U1437=1,SUMPRODUCT(--($X$2:$X$1501&lt;$X1437))+1,"")</f>
        <v/>
      </c>
      <c r="W1437">
        <f>IF($B1437="","",IF(OR($S1437=TRUE(),$S1437="TRUE"),1,0))</f>
        <v/>
      </c>
      <c r="X1437">
        <f>IF($U1437=1,IFERROR(IF(VALUE($B1437)&lt;100000000,VALUE($B1437),1000000000),IFERROR(IF(VALUE(MID($B1437,2,20))&lt;100000000,VALUE(MID($B1437,2,20)),1000000000),1000000000))+ROW()/100000,"")</f>
        <v/>
      </c>
    </row>
    <row r="1438">
      <c r="A1438">
        <f>IF($B1438="","",IFERROR(IF(INDEX('Per Invoice'!$C$2:$C$401,MATCH($B1438,'Per Invoice'!$A$2:$A$401,0))=0,"",INDEX('Per Invoice'!$C$2:$C$401,MATCH($B1438,'Per Invoice'!$A$2:$A$401,0))),""))</f>
        <v/>
      </c>
      <c r="G1438" s="7">
        <f>IF($B1438="","",F1438*L1438/100)</f>
        <v/>
      </c>
      <c r="K1438" s="7" t="n"/>
      <c r="L1438" s="7" t="n"/>
      <c r="M1438" s="7">
        <f>IF($B1438="","",L1438*T1438/100)</f>
        <v/>
      </c>
      <c r="N1438" s="7">
        <f>IF($B1438="","",L1438-M1438)</f>
        <v/>
      </c>
      <c r="O1438" s="7">
        <f>IF($B1438="","",N1438-G1438)</f>
        <v/>
      </c>
      <c r="R1438" s="14" t="n"/>
      <c r="T1438">
        <f>IF($B1438="","",IF($W1438=1,Settings!$C$6,Settings!$C$7)*100)</f>
        <v/>
      </c>
      <c r="U1438">
        <f>IF($B1438="","",IF(COUNTIF($B$2:$B1438,$B1438)=1,1,0))</f>
        <v/>
      </c>
      <c r="V1438">
        <f>IF($U1438=1,SUMPRODUCT(--($X$2:$X$1501&lt;$X1438))+1,"")</f>
        <v/>
      </c>
      <c r="W1438">
        <f>IF($B1438="","",IF(OR($S1438=TRUE(),$S1438="TRUE"),1,0))</f>
        <v/>
      </c>
      <c r="X1438">
        <f>IF($U1438=1,IFERROR(IF(VALUE($B1438)&lt;100000000,VALUE($B1438),1000000000),IFERROR(IF(VALUE(MID($B1438,2,20))&lt;100000000,VALUE(MID($B1438,2,20)),1000000000),1000000000))+ROW()/100000,"")</f>
        <v/>
      </c>
    </row>
    <row r="1439">
      <c r="A1439">
        <f>IF($B1439="","",IFERROR(IF(INDEX('Per Invoice'!$C$2:$C$401,MATCH($B1439,'Per Invoice'!$A$2:$A$401,0))=0,"",INDEX('Per Invoice'!$C$2:$C$401,MATCH($B1439,'Per Invoice'!$A$2:$A$401,0))),""))</f>
        <v/>
      </c>
      <c r="G1439" s="7">
        <f>IF($B1439="","",F1439*L1439/100)</f>
        <v/>
      </c>
      <c r="K1439" s="7" t="n"/>
      <c r="L1439" s="7" t="n"/>
      <c r="M1439" s="7">
        <f>IF($B1439="","",L1439*T1439/100)</f>
        <v/>
      </c>
      <c r="N1439" s="7">
        <f>IF($B1439="","",L1439-M1439)</f>
        <v/>
      </c>
      <c r="O1439" s="7">
        <f>IF($B1439="","",N1439-G1439)</f>
        <v/>
      </c>
      <c r="R1439" s="14" t="n"/>
      <c r="T1439">
        <f>IF($B1439="","",IF($W1439=1,Settings!$C$6,Settings!$C$7)*100)</f>
        <v/>
      </c>
      <c r="U1439">
        <f>IF($B1439="","",IF(COUNTIF($B$2:$B1439,$B1439)=1,1,0))</f>
        <v/>
      </c>
      <c r="V1439">
        <f>IF($U1439=1,SUMPRODUCT(--($X$2:$X$1501&lt;$X1439))+1,"")</f>
        <v/>
      </c>
      <c r="W1439">
        <f>IF($B1439="","",IF(OR($S1439=TRUE(),$S1439="TRUE"),1,0))</f>
        <v/>
      </c>
      <c r="X1439">
        <f>IF($U1439=1,IFERROR(IF(VALUE($B1439)&lt;100000000,VALUE($B1439),1000000000),IFERROR(IF(VALUE(MID($B1439,2,20))&lt;100000000,VALUE(MID($B1439,2,20)),1000000000),1000000000))+ROW()/100000,"")</f>
        <v/>
      </c>
    </row>
    <row r="1440">
      <c r="A1440">
        <f>IF($B1440="","",IFERROR(IF(INDEX('Per Invoice'!$C$2:$C$401,MATCH($B1440,'Per Invoice'!$A$2:$A$401,0))=0,"",INDEX('Per Invoice'!$C$2:$C$401,MATCH($B1440,'Per Invoice'!$A$2:$A$401,0))),""))</f>
        <v/>
      </c>
      <c r="G1440" s="7">
        <f>IF($B1440="","",F1440*L1440/100)</f>
        <v/>
      </c>
      <c r="K1440" s="7" t="n"/>
      <c r="L1440" s="7" t="n"/>
      <c r="M1440" s="7">
        <f>IF($B1440="","",L1440*T1440/100)</f>
        <v/>
      </c>
      <c r="N1440" s="7">
        <f>IF($B1440="","",L1440-M1440)</f>
        <v/>
      </c>
      <c r="O1440" s="7">
        <f>IF($B1440="","",N1440-G1440)</f>
        <v/>
      </c>
      <c r="R1440" s="14" t="n"/>
      <c r="T1440">
        <f>IF($B1440="","",IF($W1440=1,Settings!$C$6,Settings!$C$7)*100)</f>
        <v/>
      </c>
      <c r="U1440">
        <f>IF($B1440="","",IF(COUNTIF($B$2:$B1440,$B1440)=1,1,0))</f>
        <v/>
      </c>
      <c r="V1440">
        <f>IF($U1440=1,SUMPRODUCT(--($X$2:$X$1501&lt;$X1440))+1,"")</f>
        <v/>
      </c>
      <c r="W1440">
        <f>IF($B1440="","",IF(OR($S1440=TRUE(),$S1440="TRUE"),1,0))</f>
        <v/>
      </c>
      <c r="X1440">
        <f>IF($U1440=1,IFERROR(IF(VALUE($B1440)&lt;100000000,VALUE($B1440),1000000000),IFERROR(IF(VALUE(MID($B1440,2,20))&lt;100000000,VALUE(MID($B1440,2,20)),1000000000),1000000000))+ROW()/100000,"")</f>
        <v/>
      </c>
    </row>
    <row r="1441">
      <c r="A1441">
        <f>IF($B1441="","",IFERROR(IF(INDEX('Per Invoice'!$C$2:$C$401,MATCH($B1441,'Per Invoice'!$A$2:$A$401,0))=0,"",INDEX('Per Invoice'!$C$2:$C$401,MATCH($B1441,'Per Invoice'!$A$2:$A$401,0))),""))</f>
        <v/>
      </c>
      <c r="G1441" s="7">
        <f>IF($B1441="","",F1441*L1441/100)</f>
        <v/>
      </c>
      <c r="K1441" s="7" t="n"/>
      <c r="L1441" s="7" t="n"/>
      <c r="M1441" s="7">
        <f>IF($B1441="","",L1441*T1441/100)</f>
        <v/>
      </c>
      <c r="N1441" s="7">
        <f>IF($B1441="","",L1441-M1441)</f>
        <v/>
      </c>
      <c r="O1441" s="7">
        <f>IF($B1441="","",N1441-G1441)</f>
        <v/>
      </c>
      <c r="R1441" s="14" t="n"/>
      <c r="T1441">
        <f>IF($B1441="","",IF($W1441=1,Settings!$C$6,Settings!$C$7)*100)</f>
        <v/>
      </c>
      <c r="U1441">
        <f>IF($B1441="","",IF(COUNTIF($B$2:$B1441,$B1441)=1,1,0))</f>
        <v/>
      </c>
      <c r="V1441">
        <f>IF($U1441=1,SUMPRODUCT(--($X$2:$X$1501&lt;$X1441))+1,"")</f>
        <v/>
      </c>
      <c r="W1441">
        <f>IF($B1441="","",IF(OR($S1441=TRUE(),$S1441="TRUE"),1,0))</f>
        <v/>
      </c>
      <c r="X1441">
        <f>IF($U1441=1,IFERROR(IF(VALUE($B1441)&lt;100000000,VALUE($B1441),1000000000),IFERROR(IF(VALUE(MID($B1441,2,20))&lt;100000000,VALUE(MID($B1441,2,20)),1000000000),1000000000))+ROW()/100000,"")</f>
        <v/>
      </c>
    </row>
    <row r="1442">
      <c r="A1442">
        <f>IF($B1442="","",IFERROR(IF(INDEX('Per Invoice'!$C$2:$C$401,MATCH($B1442,'Per Invoice'!$A$2:$A$401,0))=0,"",INDEX('Per Invoice'!$C$2:$C$401,MATCH($B1442,'Per Invoice'!$A$2:$A$401,0))),""))</f>
        <v/>
      </c>
      <c r="G1442" s="7">
        <f>IF($B1442="","",F1442*L1442/100)</f>
        <v/>
      </c>
      <c r="K1442" s="7" t="n"/>
      <c r="L1442" s="7" t="n"/>
      <c r="M1442" s="7">
        <f>IF($B1442="","",L1442*T1442/100)</f>
        <v/>
      </c>
      <c r="N1442" s="7">
        <f>IF($B1442="","",L1442-M1442)</f>
        <v/>
      </c>
      <c r="O1442" s="7">
        <f>IF($B1442="","",N1442-G1442)</f>
        <v/>
      </c>
      <c r="R1442" s="14" t="n"/>
      <c r="T1442">
        <f>IF($B1442="","",IF($W1442=1,Settings!$C$6,Settings!$C$7)*100)</f>
        <v/>
      </c>
      <c r="U1442">
        <f>IF($B1442="","",IF(COUNTIF($B$2:$B1442,$B1442)=1,1,0))</f>
        <v/>
      </c>
      <c r="V1442">
        <f>IF($U1442=1,SUMPRODUCT(--($X$2:$X$1501&lt;$X1442))+1,"")</f>
        <v/>
      </c>
      <c r="W1442">
        <f>IF($B1442="","",IF(OR($S1442=TRUE(),$S1442="TRUE"),1,0))</f>
        <v/>
      </c>
      <c r="X1442">
        <f>IF($U1442=1,IFERROR(IF(VALUE($B1442)&lt;100000000,VALUE($B1442),1000000000),IFERROR(IF(VALUE(MID($B1442,2,20))&lt;100000000,VALUE(MID($B1442,2,20)),1000000000),1000000000))+ROW()/100000,"")</f>
        <v/>
      </c>
    </row>
    <row r="1443">
      <c r="A1443">
        <f>IF($B1443="","",IFERROR(IF(INDEX('Per Invoice'!$C$2:$C$401,MATCH($B1443,'Per Invoice'!$A$2:$A$401,0))=0,"",INDEX('Per Invoice'!$C$2:$C$401,MATCH($B1443,'Per Invoice'!$A$2:$A$401,0))),""))</f>
        <v/>
      </c>
      <c r="G1443" s="7">
        <f>IF($B1443="","",F1443*L1443/100)</f>
        <v/>
      </c>
      <c r="K1443" s="7" t="n"/>
      <c r="L1443" s="7" t="n"/>
      <c r="M1443" s="7">
        <f>IF($B1443="","",L1443*T1443/100)</f>
        <v/>
      </c>
      <c r="N1443" s="7">
        <f>IF($B1443="","",L1443-M1443)</f>
        <v/>
      </c>
      <c r="O1443" s="7">
        <f>IF($B1443="","",N1443-G1443)</f>
        <v/>
      </c>
      <c r="R1443" s="14" t="n"/>
      <c r="T1443">
        <f>IF($B1443="","",IF($W1443=1,Settings!$C$6,Settings!$C$7)*100)</f>
        <v/>
      </c>
      <c r="U1443">
        <f>IF($B1443="","",IF(COUNTIF($B$2:$B1443,$B1443)=1,1,0))</f>
        <v/>
      </c>
      <c r="V1443">
        <f>IF($U1443=1,SUMPRODUCT(--($X$2:$X$1501&lt;$X1443))+1,"")</f>
        <v/>
      </c>
      <c r="W1443">
        <f>IF($B1443="","",IF(OR($S1443=TRUE(),$S1443="TRUE"),1,0))</f>
        <v/>
      </c>
      <c r="X1443">
        <f>IF($U1443=1,IFERROR(IF(VALUE($B1443)&lt;100000000,VALUE($B1443),1000000000),IFERROR(IF(VALUE(MID($B1443,2,20))&lt;100000000,VALUE(MID($B1443,2,20)),1000000000),1000000000))+ROW()/100000,"")</f>
        <v/>
      </c>
    </row>
    <row r="1444">
      <c r="A1444">
        <f>IF($B1444="","",IFERROR(IF(INDEX('Per Invoice'!$C$2:$C$401,MATCH($B1444,'Per Invoice'!$A$2:$A$401,0))=0,"",INDEX('Per Invoice'!$C$2:$C$401,MATCH($B1444,'Per Invoice'!$A$2:$A$401,0))),""))</f>
        <v/>
      </c>
      <c r="G1444" s="7">
        <f>IF($B1444="","",F1444*L1444/100)</f>
        <v/>
      </c>
      <c r="K1444" s="7" t="n"/>
      <c r="L1444" s="7" t="n"/>
      <c r="M1444" s="7">
        <f>IF($B1444="","",L1444*T1444/100)</f>
        <v/>
      </c>
      <c r="N1444" s="7">
        <f>IF($B1444="","",L1444-M1444)</f>
        <v/>
      </c>
      <c r="O1444" s="7">
        <f>IF($B1444="","",N1444-G1444)</f>
        <v/>
      </c>
      <c r="R1444" s="14" t="n"/>
      <c r="T1444">
        <f>IF($B1444="","",IF($W1444=1,Settings!$C$6,Settings!$C$7)*100)</f>
        <v/>
      </c>
      <c r="U1444">
        <f>IF($B1444="","",IF(COUNTIF($B$2:$B1444,$B1444)=1,1,0))</f>
        <v/>
      </c>
      <c r="V1444">
        <f>IF($U1444=1,SUMPRODUCT(--($X$2:$X$1501&lt;$X1444))+1,"")</f>
        <v/>
      </c>
      <c r="W1444">
        <f>IF($B1444="","",IF(OR($S1444=TRUE(),$S1444="TRUE"),1,0))</f>
        <v/>
      </c>
      <c r="X1444">
        <f>IF($U1444=1,IFERROR(IF(VALUE($B1444)&lt;100000000,VALUE($B1444),1000000000),IFERROR(IF(VALUE(MID($B1444,2,20))&lt;100000000,VALUE(MID($B1444,2,20)),1000000000),1000000000))+ROW()/100000,"")</f>
        <v/>
      </c>
    </row>
    <row r="1445">
      <c r="A1445">
        <f>IF($B1445="","",IFERROR(IF(INDEX('Per Invoice'!$C$2:$C$401,MATCH($B1445,'Per Invoice'!$A$2:$A$401,0))=0,"",INDEX('Per Invoice'!$C$2:$C$401,MATCH($B1445,'Per Invoice'!$A$2:$A$401,0))),""))</f>
        <v/>
      </c>
      <c r="G1445" s="7">
        <f>IF($B1445="","",F1445*L1445/100)</f>
        <v/>
      </c>
      <c r="K1445" s="7" t="n"/>
      <c r="L1445" s="7" t="n"/>
      <c r="M1445" s="7">
        <f>IF($B1445="","",L1445*T1445/100)</f>
        <v/>
      </c>
      <c r="N1445" s="7">
        <f>IF($B1445="","",L1445-M1445)</f>
        <v/>
      </c>
      <c r="O1445" s="7">
        <f>IF($B1445="","",N1445-G1445)</f>
        <v/>
      </c>
      <c r="R1445" s="14" t="n"/>
      <c r="T1445">
        <f>IF($B1445="","",IF($W1445=1,Settings!$C$6,Settings!$C$7)*100)</f>
        <v/>
      </c>
      <c r="U1445">
        <f>IF($B1445="","",IF(COUNTIF($B$2:$B1445,$B1445)=1,1,0))</f>
        <v/>
      </c>
      <c r="V1445">
        <f>IF($U1445=1,SUMPRODUCT(--($X$2:$X$1501&lt;$X1445))+1,"")</f>
        <v/>
      </c>
      <c r="W1445">
        <f>IF($B1445="","",IF(OR($S1445=TRUE(),$S1445="TRUE"),1,0))</f>
        <v/>
      </c>
      <c r="X1445">
        <f>IF($U1445=1,IFERROR(IF(VALUE($B1445)&lt;100000000,VALUE($B1445),1000000000),IFERROR(IF(VALUE(MID($B1445,2,20))&lt;100000000,VALUE(MID($B1445,2,20)),1000000000),1000000000))+ROW()/100000,"")</f>
        <v/>
      </c>
    </row>
    <row r="1446">
      <c r="A1446">
        <f>IF($B1446="","",IFERROR(IF(INDEX('Per Invoice'!$C$2:$C$401,MATCH($B1446,'Per Invoice'!$A$2:$A$401,0))=0,"",INDEX('Per Invoice'!$C$2:$C$401,MATCH($B1446,'Per Invoice'!$A$2:$A$401,0))),""))</f>
        <v/>
      </c>
      <c r="G1446" s="7">
        <f>IF($B1446="","",F1446*L1446/100)</f>
        <v/>
      </c>
      <c r="K1446" s="7" t="n"/>
      <c r="L1446" s="7" t="n"/>
      <c r="M1446" s="7">
        <f>IF($B1446="","",L1446*T1446/100)</f>
        <v/>
      </c>
      <c r="N1446" s="7">
        <f>IF($B1446="","",L1446-M1446)</f>
        <v/>
      </c>
      <c r="O1446" s="7">
        <f>IF($B1446="","",N1446-G1446)</f>
        <v/>
      </c>
      <c r="R1446" s="14" t="n"/>
      <c r="T1446">
        <f>IF($B1446="","",IF($W1446=1,Settings!$C$6,Settings!$C$7)*100)</f>
        <v/>
      </c>
      <c r="U1446">
        <f>IF($B1446="","",IF(COUNTIF($B$2:$B1446,$B1446)=1,1,0))</f>
        <v/>
      </c>
      <c r="V1446">
        <f>IF($U1446=1,SUMPRODUCT(--($X$2:$X$1501&lt;$X1446))+1,"")</f>
        <v/>
      </c>
      <c r="W1446">
        <f>IF($B1446="","",IF(OR($S1446=TRUE(),$S1446="TRUE"),1,0))</f>
        <v/>
      </c>
      <c r="X1446">
        <f>IF($U1446=1,IFERROR(IF(VALUE($B1446)&lt;100000000,VALUE($B1446),1000000000),IFERROR(IF(VALUE(MID($B1446,2,20))&lt;100000000,VALUE(MID($B1446,2,20)),1000000000),1000000000))+ROW()/100000,"")</f>
        <v/>
      </c>
    </row>
    <row r="1447">
      <c r="A1447">
        <f>IF($B1447="","",IFERROR(IF(INDEX('Per Invoice'!$C$2:$C$401,MATCH($B1447,'Per Invoice'!$A$2:$A$401,0))=0,"",INDEX('Per Invoice'!$C$2:$C$401,MATCH($B1447,'Per Invoice'!$A$2:$A$401,0))),""))</f>
        <v/>
      </c>
      <c r="G1447" s="7">
        <f>IF($B1447="","",F1447*L1447/100)</f>
        <v/>
      </c>
      <c r="K1447" s="7" t="n"/>
      <c r="L1447" s="7" t="n"/>
      <c r="M1447" s="7">
        <f>IF($B1447="","",L1447*T1447/100)</f>
        <v/>
      </c>
      <c r="N1447" s="7">
        <f>IF($B1447="","",L1447-M1447)</f>
        <v/>
      </c>
      <c r="O1447" s="7">
        <f>IF($B1447="","",N1447-G1447)</f>
        <v/>
      </c>
      <c r="R1447" s="14" t="n"/>
      <c r="T1447">
        <f>IF($B1447="","",IF($W1447=1,Settings!$C$6,Settings!$C$7)*100)</f>
        <v/>
      </c>
      <c r="U1447">
        <f>IF($B1447="","",IF(COUNTIF($B$2:$B1447,$B1447)=1,1,0))</f>
        <v/>
      </c>
      <c r="V1447">
        <f>IF($U1447=1,SUMPRODUCT(--($X$2:$X$1501&lt;$X1447))+1,"")</f>
        <v/>
      </c>
      <c r="W1447">
        <f>IF($B1447="","",IF(OR($S1447=TRUE(),$S1447="TRUE"),1,0))</f>
        <v/>
      </c>
      <c r="X1447">
        <f>IF($U1447=1,IFERROR(IF(VALUE($B1447)&lt;100000000,VALUE($B1447),1000000000),IFERROR(IF(VALUE(MID($B1447,2,20))&lt;100000000,VALUE(MID($B1447,2,20)),1000000000),1000000000))+ROW()/100000,"")</f>
        <v/>
      </c>
    </row>
    <row r="1448">
      <c r="A1448">
        <f>IF($B1448="","",IFERROR(IF(INDEX('Per Invoice'!$C$2:$C$401,MATCH($B1448,'Per Invoice'!$A$2:$A$401,0))=0,"",INDEX('Per Invoice'!$C$2:$C$401,MATCH($B1448,'Per Invoice'!$A$2:$A$401,0))),""))</f>
        <v/>
      </c>
      <c r="G1448" s="7">
        <f>IF($B1448="","",F1448*L1448/100)</f>
        <v/>
      </c>
      <c r="K1448" s="7" t="n"/>
      <c r="L1448" s="7" t="n"/>
      <c r="M1448" s="7">
        <f>IF($B1448="","",L1448*T1448/100)</f>
        <v/>
      </c>
      <c r="N1448" s="7">
        <f>IF($B1448="","",L1448-M1448)</f>
        <v/>
      </c>
      <c r="O1448" s="7">
        <f>IF($B1448="","",N1448-G1448)</f>
        <v/>
      </c>
      <c r="R1448" s="14" t="n"/>
      <c r="T1448">
        <f>IF($B1448="","",IF($W1448=1,Settings!$C$6,Settings!$C$7)*100)</f>
        <v/>
      </c>
      <c r="U1448">
        <f>IF($B1448="","",IF(COUNTIF($B$2:$B1448,$B1448)=1,1,0))</f>
        <v/>
      </c>
      <c r="V1448">
        <f>IF($U1448=1,SUMPRODUCT(--($X$2:$X$1501&lt;$X1448))+1,"")</f>
        <v/>
      </c>
      <c r="W1448">
        <f>IF($B1448="","",IF(OR($S1448=TRUE(),$S1448="TRUE"),1,0))</f>
        <v/>
      </c>
      <c r="X1448">
        <f>IF($U1448=1,IFERROR(IF(VALUE($B1448)&lt;100000000,VALUE($B1448),1000000000),IFERROR(IF(VALUE(MID($B1448,2,20))&lt;100000000,VALUE(MID($B1448,2,20)),1000000000),1000000000))+ROW()/100000,"")</f>
        <v/>
      </c>
    </row>
    <row r="1449">
      <c r="A1449">
        <f>IF($B1449="","",IFERROR(IF(INDEX('Per Invoice'!$C$2:$C$401,MATCH($B1449,'Per Invoice'!$A$2:$A$401,0))=0,"",INDEX('Per Invoice'!$C$2:$C$401,MATCH($B1449,'Per Invoice'!$A$2:$A$401,0))),""))</f>
        <v/>
      </c>
      <c r="G1449" s="7">
        <f>IF($B1449="","",F1449*L1449/100)</f>
        <v/>
      </c>
      <c r="K1449" s="7" t="n"/>
      <c r="L1449" s="7" t="n"/>
      <c r="M1449" s="7">
        <f>IF($B1449="","",L1449*T1449/100)</f>
        <v/>
      </c>
      <c r="N1449" s="7">
        <f>IF($B1449="","",L1449-M1449)</f>
        <v/>
      </c>
      <c r="O1449" s="7">
        <f>IF($B1449="","",N1449-G1449)</f>
        <v/>
      </c>
      <c r="R1449" s="14" t="n"/>
      <c r="T1449">
        <f>IF($B1449="","",IF($W1449=1,Settings!$C$6,Settings!$C$7)*100)</f>
        <v/>
      </c>
      <c r="U1449">
        <f>IF($B1449="","",IF(COUNTIF($B$2:$B1449,$B1449)=1,1,0))</f>
        <v/>
      </c>
      <c r="V1449">
        <f>IF($U1449=1,SUMPRODUCT(--($X$2:$X$1501&lt;$X1449))+1,"")</f>
        <v/>
      </c>
      <c r="W1449">
        <f>IF($B1449="","",IF(OR($S1449=TRUE(),$S1449="TRUE"),1,0))</f>
        <v/>
      </c>
      <c r="X1449">
        <f>IF($U1449=1,IFERROR(IF(VALUE($B1449)&lt;100000000,VALUE($B1449),1000000000),IFERROR(IF(VALUE(MID($B1449,2,20))&lt;100000000,VALUE(MID($B1449,2,20)),1000000000),1000000000))+ROW()/100000,"")</f>
        <v/>
      </c>
    </row>
    <row r="1450">
      <c r="A1450">
        <f>IF($B1450="","",IFERROR(IF(INDEX('Per Invoice'!$C$2:$C$401,MATCH($B1450,'Per Invoice'!$A$2:$A$401,0))=0,"",INDEX('Per Invoice'!$C$2:$C$401,MATCH($B1450,'Per Invoice'!$A$2:$A$401,0))),""))</f>
        <v/>
      </c>
      <c r="G1450" s="7">
        <f>IF($B1450="","",F1450*L1450/100)</f>
        <v/>
      </c>
      <c r="K1450" s="7" t="n"/>
      <c r="L1450" s="7" t="n"/>
      <c r="M1450" s="7">
        <f>IF($B1450="","",L1450*T1450/100)</f>
        <v/>
      </c>
      <c r="N1450" s="7">
        <f>IF($B1450="","",L1450-M1450)</f>
        <v/>
      </c>
      <c r="O1450" s="7">
        <f>IF($B1450="","",N1450-G1450)</f>
        <v/>
      </c>
      <c r="R1450" s="14" t="n"/>
      <c r="T1450">
        <f>IF($B1450="","",IF($W1450=1,Settings!$C$6,Settings!$C$7)*100)</f>
        <v/>
      </c>
      <c r="U1450">
        <f>IF($B1450="","",IF(COUNTIF($B$2:$B1450,$B1450)=1,1,0))</f>
        <v/>
      </c>
      <c r="V1450">
        <f>IF($U1450=1,SUMPRODUCT(--($X$2:$X$1501&lt;$X1450))+1,"")</f>
        <v/>
      </c>
      <c r="W1450">
        <f>IF($B1450="","",IF(OR($S1450=TRUE(),$S1450="TRUE"),1,0))</f>
        <v/>
      </c>
      <c r="X1450">
        <f>IF($U1450=1,IFERROR(IF(VALUE($B1450)&lt;100000000,VALUE($B1450),1000000000),IFERROR(IF(VALUE(MID($B1450,2,20))&lt;100000000,VALUE(MID($B1450,2,20)),1000000000),1000000000))+ROW()/100000,"")</f>
        <v/>
      </c>
    </row>
    <row r="1451">
      <c r="A1451">
        <f>IF($B1451="","",IFERROR(IF(INDEX('Per Invoice'!$C$2:$C$401,MATCH($B1451,'Per Invoice'!$A$2:$A$401,0))=0,"",INDEX('Per Invoice'!$C$2:$C$401,MATCH($B1451,'Per Invoice'!$A$2:$A$401,0))),""))</f>
        <v/>
      </c>
      <c r="G1451" s="7">
        <f>IF($B1451="","",F1451*L1451/100)</f>
        <v/>
      </c>
      <c r="K1451" s="7" t="n"/>
      <c r="L1451" s="7" t="n"/>
      <c r="M1451" s="7">
        <f>IF($B1451="","",L1451*T1451/100)</f>
        <v/>
      </c>
      <c r="N1451" s="7">
        <f>IF($B1451="","",L1451-M1451)</f>
        <v/>
      </c>
      <c r="O1451" s="7">
        <f>IF($B1451="","",N1451-G1451)</f>
        <v/>
      </c>
      <c r="R1451" s="14" t="n"/>
      <c r="T1451">
        <f>IF($B1451="","",IF($W1451=1,Settings!$C$6,Settings!$C$7)*100)</f>
        <v/>
      </c>
      <c r="U1451">
        <f>IF($B1451="","",IF(COUNTIF($B$2:$B1451,$B1451)=1,1,0))</f>
        <v/>
      </c>
      <c r="V1451">
        <f>IF($U1451=1,SUMPRODUCT(--($X$2:$X$1501&lt;$X1451))+1,"")</f>
        <v/>
      </c>
      <c r="W1451">
        <f>IF($B1451="","",IF(OR($S1451=TRUE(),$S1451="TRUE"),1,0))</f>
        <v/>
      </c>
      <c r="X1451">
        <f>IF($U1451=1,IFERROR(IF(VALUE($B1451)&lt;100000000,VALUE($B1451),1000000000),IFERROR(IF(VALUE(MID($B1451,2,20))&lt;100000000,VALUE(MID($B1451,2,20)),1000000000),1000000000))+ROW()/100000,"")</f>
        <v/>
      </c>
    </row>
    <row r="1452">
      <c r="A1452">
        <f>IF($B1452="","",IFERROR(IF(INDEX('Per Invoice'!$C$2:$C$401,MATCH($B1452,'Per Invoice'!$A$2:$A$401,0))=0,"",INDEX('Per Invoice'!$C$2:$C$401,MATCH($B1452,'Per Invoice'!$A$2:$A$401,0))),""))</f>
        <v/>
      </c>
      <c r="G1452" s="7">
        <f>IF($B1452="","",F1452*L1452/100)</f>
        <v/>
      </c>
      <c r="K1452" s="7" t="n"/>
      <c r="L1452" s="7" t="n"/>
      <c r="M1452" s="7">
        <f>IF($B1452="","",L1452*T1452/100)</f>
        <v/>
      </c>
      <c r="N1452" s="7">
        <f>IF($B1452="","",L1452-M1452)</f>
        <v/>
      </c>
      <c r="O1452" s="7">
        <f>IF($B1452="","",N1452-G1452)</f>
        <v/>
      </c>
      <c r="R1452" s="14" t="n"/>
      <c r="T1452">
        <f>IF($B1452="","",IF($W1452=1,Settings!$C$6,Settings!$C$7)*100)</f>
        <v/>
      </c>
      <c r="U1452">
        <f>IF($B1452="","",IF(COUNTIF($B$2:$B1452,$B1452)=1,1,0))</f>
        <v/>
      </c>
      <c r="V1452">
        <f>IF($U1452=1,SUMPRODUCT(--($X$2:$X$1501&lt;$X1452))+1,"")</f>
        <v/>
      </c>
      <c r="W1452">
        <f>IF($B1452="","",IF(OR($S1452=TRUE(),$S1452="TRUE"),1,0))</f>
        <v/>
      </c>
      <c r="X1452">
        <f>IF($U1452=1,IFERROR(IF(VALUE($B1452)&lt;100000000,VALUE($B1452),1000000000),IFERROR(IF(VALUE(MID($B1452,2,20))&lt;100000000,VALUE(MID($B1452,2,20)),1000000000),1000000000))+ROW()/100000,"")</f>
        <v/>
      </c>
    </row>
    <row r="1453">
      <c r="A1453">
        <f>IF($B1453="","",IFERROR(IF(INDEX('Per Invoice'!$C$2:$C$401,MATCH($B1453,'Per Invoice'!$A$2:$A$401,0))=0,"",INDEX('Per Invoice'!$C$2:$C$401,MATCH($B1453,'Per Invoice'!$A$2:$A$401,0))),""))</f>
        <v/>
      </c>
      <c r="G1453" s="7">
        <f>IF($B1453="","",F1453*L1453/100)</f>
        <v/>
      </c>
      <c r="K1453" s="7" t="n"/>
      <c r="L1453" s="7" t="n"/>
      <c r="M1453" s="7">
        <f>IF($B1453="","",L1453*T1453/100)</f>
        <v/>
      </c>
      <c r="N1453" s="7">
        <f>IF($B1453="","",L1453-M1453)</f>
        <v/>
      </c>
      <c r="O1453" s="7">
        <f>IF($B1453="","",N1453-G1453)</f>
        <v/>
      </c>
      <c r="R1453" s="14" t="n"/>
      <c r="T1453">
        <f>IF($B1453="","",IF($W1453=1,Settings!$C$6,Settings!$C$7)*100)</f>
        <v/>
      </c>
      <c r="U1453">
        <f>IF($B1453="","",IF(COUNTIF($B$2:$B1453,$B1453)=1,1,0))</f>
        <v/>
      </c>
      <c r="V1453">
        <f>IF($U1453=1,SUMPRODUCT(--($X$2:$X$1501&lt;$X1453))+1,"")</f>
        <v/>
      </c>
      <c r="W1453">
        <f>IF($B1453="","",IF(OR($S1453=TRUE(),$S1453="TRUE"),1,0))</f>
        <v/>
      </c>
      <c r="X1453">
        <f>IF($U1453=1,IFERROR(IF(VALUE($B1453)&lt;100000000,VALUE($B1453),1000000000),IFERROR(IF(VALUE(MID($B1453,2,20))&lt;100000000,VALUE(MID($B1453,2,20)),1000000000),1000000000))+ROW()/100000,"")</f>
        <v/>
      </c>
    </row>
    <row r="1454">
      <c r="A1454">
        <f>IF($B1454="","",IFERROR(IF(INDEX('Per Invoice'!$C$2:$C$401,MATCH($B1454,'Per Invoice'!$A$2:$A$401,0))=0,"",INDEX('Per Invoice'!$C$2:$C$401,MATCH($B1454,'Per Invoice'!$A$2:$A$401,0))),""))</f>
        <v/>
      </c>
      <c r="G1454" s="7">
        <f>IF($B1454="","",F1454*L1454/100)</f>
        <v/>
      </c>
      <c r="K1454" s="7" t="n"/>
      <c r="L1454" s="7" t="n"/>
      <c r="M1454" s="7">
        <f>IF($B1454="","",L1454*T1454/100)</f>
        <v/>
      </c>
      <c r="N1454" s="7">
        <f>IF($B1454="","",L1454-M1454)</f>
        <v/>
      </c>
      <c r="O1454" s="7">
        <f>IF($B1454="","",N1454-G1454)</f>
        <v/>
      </c>
      <c r="R1454" s="14" t="n"/>
      <c r="T1454">
        <f>IF($B1454="","",IF($W1454=1,Settings!$C$6,Settings!$C$7)*100)</f>
        <v/>
      </c>
      <c r="U1454">
        <f>IF($B1454="","",IF(COUNTIF($B$2:$B1454,$B1454)=1,1,0))</f>
        <v/>
      </c>
      <c r="V1454">
        <f>IF($U1454=1,SUMPRODUCT(--($X$2:$X$1501&lt;$X1454))+1,"")</f>
        <v/>
      </c>
      <c r="W1454">
        <f>IF($B1454="","",IF(OR($S1454=TRUE(),$S1454="TRUE"),1,0))</f>
        <v/>
      </c>
      <c r="X1454">
        <f>IF($U1454=1,IFERROR(IF(VALUE($B1454)&lt;100000000,VALUE($B1454),1000000000),IFERROR(IF(VALUE(MID($B1454,2,20))&lt;100000000,VALUE(MID($B1454,2,20)),1000000000),1000000000))+ROW()/100000,"")</f>
        <v/>
      </c>
    </row>
    <row r="1455">
      <c r="A1455">
        <f>IF($B1455="","",IFERROR(IF(INDEX('Per Invoice'!$C$2:$C$401,MATCH($B1455,'Per Invoice'!$A$2:$A$401,0))=0,"",INDEX('Per Invoice'!$C$2:$C$401,MATCH($B1455,'Per Invoice'!$A$2:$A$401,0))),""))</f>
        <v/>
      </c>
      <c r="G1455" s="7">
        <f>IF($B1455="","",F1455*L1455/100)</f>
        <v/>
      </c>
      <c r="K1455" s="7" t="n"/>
      <c r="L1455" s="7" t="n"/>
      <c r="M1455" s="7">
        <f>IF($B1455="","",L1455*T1455/100)</f>
        <v/>
      </c>
      <c r="N1455" s="7">
        <f>IF($B1455="","",L1455-M1455)</f>
        <v/>
      </c>
      <c r="O1455" s="7">
        <f>IF($B1455="","",N1455-G1455)</f>
        <v/>
      </c>
      <c r="R1455" s="14" t="n"/>
      <c r="T1455">
        <f>IF($B1455="","",IF($W1455=1,Settings!$C$6,Settings!$C$7)*100)</f>
        <v/>
      </c>
      <c r="U1455">
        <f>IF($B1455="","",IF(COUNTIF($B$2:$B1455,$B1455)=1,1,0))</f>
        <v/>
      </c>
      <c r="V1455">
        <f>IF($U1455=1,SUMPRODUCT(--($X$2:$X$1501&lt;$X1455))+1,"")</f>
        <v/>
      </c>
      <c r="W1455">
        <f>IF($B1455="","",IF(OR($S1455=TRUE(),$S1455="TRUE"),1,0))</f>
        <v/>
      </c>
      <c r="X1455">
        <f>IF($U1455=1,IFERROR(IF(VALUE($B1455)&lt;100000000,VALUE($B1455),1000000000),IFERROR(IF(VALUE(MID($B1455,2,20))&lt;100000000,VALUE(MID($B1455,2,20)),1000000000),1000000000))+ROW()/100000,"")</f>
        <v/>
      </c>
    </row>
    <row r="1456">
      <c r="A1456">
        <f>IF($B1456="","",IFERROR(IF(INDEX('Per Invoice'!$C$2:$C$401,MATCH($B1456,'Per Invoice'!$A$2:$A$401,0))=0,"",INDEX('Per Invoice'!$C$2:$C$401,MATCH($B1456,'Per Invoice'!$A$2:$A$401,0))),""))</f>
        <v/>
      </c>
      <c r="G1456" s="7">
        <f>IF($B1456="","",F1456*L1456/100)</f>
        <v/>
      </c>
      <c r="K1456" s="7" t="n"/>
      <c r="L1456" s="7" t="n"/>
      <c r="M1456" s="7">
        <f>IF($B1456="","",L1456*T1456/100)</f>
        <v/>
      </c>
      <c r="N1456" s="7">
        <f>IF($B1456="","",L1456-M1456)</f>
        <v/>
      </c>
      <c r="O1456" s="7">
        <f>IF($B1456="","",N1456-G1456)</f>
        <v/>
      </c>
      <c r="R1456" s="14" t="n"/>
      <c r="T1456">
        <f>IF($B1456="","",IF($W1456=1,Settings!$C$6,Settings!$C$7)*100)</f>
        <v/>
      </c>
      <c r="U1456">
        <f>IF($B1456="","",IF(COUNTIF($B$2:$B1456,$B1456)=1,1,0))</f>
        <v/>
      </c>
      <c r="V1456">
        <f>IF($U1456=1,SUMPRODUCT(--($X$2:$X$1501&lt;$X1456))+1,"")</f>
        <v/>
      </c>
      <c r="W1456">
        <f>IF($B1456="","",IF(OR($S1456=TRUE(),$S1456="TRUE"),1,0))</f>
        <v/>
      </c>
      <c r="X1456">
        <f>IF($U1456=1,IFERROR(IF(VALUE($B1456)&lt;100000000,VALUE($B1456),1000000000),IFERROR(IF(VALUE(MID($B1456,2,20))&lt;100000000,VALUE(MID($B1456,2,20)),1000000000),1000000000))+ROW()/100000,"")</f>
        <v/>
      </c>
    </row>
    <row r="1457">
      <c r="A1457">
        <f>IF($B1457="","",IFERROR(IF(INDEX('Per Invoice'!$C$2:$C$401,MATCH($B1457,'Per Invoice'!$A$2:$A$401,0))=0,"",INDEX('Per Invoice'!$C$2:$C$401,MATCH($B1457,'Per Invoice'!$A$2:$A$401,0))),""))</f>
        <v/>
      </c>
      <c r="G1457" s="7">
        <f>IF($B1457="","",F1457*L1457/100)</f>
        <v/>
      </c>
      <c r="K1457" s="7" t="n"/>
      <c r="L1457" s="7" t="n"/>
      <c r="M1457" s="7">
        <f>IF($B1457="","",L1457*T1457/100)</f>
        <v/>
      </c>
      <c r="N1457" s="7">
        <f>IF($B1457="","",L1457-M1457)</f>
        <v/>
      </c>
      <c r="O1457" s="7">
        <f>IF($B1457="","",N1457-G1457)</f>
        <v/>
      </c>
      <c r="R1457" s="14" t="n"/>
      <c r="T1457">
        <f>IF($B1457="","",IF($W1457=1,Settings!$C$6,Settings!$C$7)*100)</f>
        <v/>
      </c>
      <c r="U1457">
        <f>IF($B1457="","",IF(COUNTIF($B$2:$B1457,$B1457)=1,1,0))</f>
        <v/>
      </c>
      <c r="V1457">
        <f>IF($U1457=1,SUMPRODUCT(--($X$2:$X$1501&lt;$X1457))+1,"")</f>
        <v/>
      </c>
      <c r="W1457">
        <f>IF($B1457="","",IF(OR($S1457=TRUE(),$S1457="TRUE"),1,0))</f>
        <v/>
      </c>
      <c r="X1457">
        <f>IF($U1457=1,IFERROR(IF(VALUE($B1457)&lt;100000000,VALUE($B1457),1000000000),IFERROR(IF(VALUE(MID($B1457,2,20))&lt;100000000,VALUE(MID($B1457,2,20)),1000000000),1000000000))+ROW()/100000,"")</f>
        <v/>
      </c>
    </row>
    <row r="1458">
      <c r="A1458">
        <f>IF($B1458="","",IFERROR(IF(INDEX('Per Invoice'!$C$2:$C$401,MATCH($B1458,'Per Invoice'!$A$2:$A$401,0))=0,"",INDEX('Per Invoice'!$C$2:$C$401,MATCH($B1458,'Per Invoice'!$A$2:$A$401,0))),""))</f>
        <v/>
      </c>
      <c r="G1458" s="7">
        <f>IF($B1458="","",F1458*L1458/100)</f>
        <v/>
      </c>
      <c r="K1458" s="7" t="n"/>
      <c r="L1458" s="7" t="n"/>
      <c r="M1458" s="7">
        <f>IF($B1458="","",L1458*T1458/100)</f>
        <v/>
      </c>
      <c r="N1458" s="7">
        <f>IF($B1458="","",L1458-M1458)</f>
        <v/>
      </c>
      <c r="O1458" s="7">
        <f>IF($B1458="","",N1458-G1458)</f>
        <v/>
      </c>
      <c r="R1458" s="14" t="n"/>
      <c r="T1458">
        <f>IF($B1458="","",IF($W1458=1,Settings!$C$6,Settings!$C$7)*100)</f>
        <v/>
      </c>
      <c r="U1458">
        <f>IF($B1458="","",IF(COUNTIF($B$2:$B1458,$B1458)=1,1,0))</f>
        <v/>
      </c>
      <c r="V1458">
        <f>IF($U1458=1,SUMPRODUCT(--($X$2:$X$1501&lt;$X1458))+1,"")</f>
        <v/>
      </c>
      <c r="W1458">
        <f>IF($B1458="","",IF(OR($S1458=TRUE(),$S1458="TRUE"),1,0))</f>
        <v/>
      </c>
      <c r="X1458">
        <f>IF($U1458=1,IFERROR(IF(VALUE($B1458)&lt;100000000,VALUE($B1458),1000000000),IFERROR(IF(VALUE(MID($B1458,2,20))&lt;100000000,VALUE(MID($B1458,2,20)),1000000000),1000000000))+ROW()/100000,"")</f>
        <v/>
      </c>
    </row>
    <row r="1459">
      <c r="A1459">
        <f>IF($B1459="","",IFERROR(IF(INDEX('Per Invoice'!$C$2:$C$401,MATCH($B1459,'Per Invoice'!$A$2:$A$401,0))=0,"",INDEX('Per Invoice'!$C$2:$C$401,MATCH($B1459,'Per Invoice'!$A$2:$A$401,0))),""))</f>
        <v/>
      </c>
      <c r="G1459" s="7">
        <f>IF($B1459="","",F1459*L1459/100)</f>
        <v/>
      </c>
      <c r="K1459" s="7" t="n"/>
      <c r="L1459" s="7" t="n"/>
      <c r="M1459" s="7">
        <f>IF($B1459="","",L1459*T1459/100)</f>
        <v/>
      </c>
      <c r="N1459" s="7">
        <f>IF($B1459="","",L1459-M1459)</f>
        <v/>
      </c>
      <c r="O1459" s="7">
        <f>IF($B1459="","",N1459-G1459)</f>
        <v/>
      </c>
      <c r="R1459" s="14" t="n"/>
      <c r="T1459">
        <f>IF($B1459="","",IF($W1459=1,Settings!$C$6,Settings!$C$7)*100)</f>
        <v/>
      </c>
      <c r="U1459">
        <f>IF($B1459="","",IF(COUNTIF($B$2:$B1459,$B1459)=1,1,0))</f>
        <v/>
      </c>
      <c r="V1459">
        <f>IF($U1459=1,SUMPRODUCT(--($X$2:$X$1501&lt;$X1459))+1,"")</f>
        <v/>
      </c>
      <c r="W1459">
        <f>IF($B1459="","",IF(OR($S1459=TRUE(),$S1459="TRUE"),1,0))</f>
        <v/>
      </c>
      <c r="X1459">
        <f>IF($U1459=1,IFERROR(IF(VALUE($B1459)&lt;100000000,VALUE($B1459),1000000000),IFERROR(IF(VALUE(MID($B1459,2,20))&lt;100000000,VALUE(MID($B1459,2,20)),1000000000),1000000000))+ROW()/100000,"")</f>
        <v/>
      </c>
    </row>
    <row r="1460">
      <c r="A1460">
        <f>IF($B1460="","",IFERROR(IF(INDEX('Per Invoice'!$C$2:$C$401,MATCH($B1460,'Per Invoice'!$A$2:$A$401,0))=0,"",INDEX('Per Invoice'!$C$2:$C$401,MATCH($B1460,'Per Invoice'!$A$2:$A$401,0))),""))</f>
        <v/>
      </c>
      <c r="G1460" s="7">
        <f>IF($B1460="","",F1460*L1460/100)</f>
        <v/>
      </c>
      <c r="K1460" s="7" t="n"/>
      <c r="L1460" s="7" t="n"/>
      <c r="M1460" s="7">
        <f>IF($B1460="","",L1460*T1460/100)</f>
        <v/>
      </c>
      <c r="N1460" s="7">
        <f>IF($B1460="","",L1460-M1460)</f>
        <v/>
      </c>
      <c r="O1460" s="7">
        <f>IF($B1460="","",N1460-G1460)</f>
        <v/>
      </c>
      <c r="R1460" s="14" t="n"/>
      <c r="T1460">
        <f>IF($B1460="","",IF($W1460=1,Settings!$C$6,Settings!$C$7)*100)</f>
        <v/>
      </c>
      <c r="U1460">
        <f>IF($B1460="","",IF(COUNTIF($B$2:$B1460,$B1460)=1,1,0))</f>
        <v/>
      </c>
      <c r="V1460">
        <f>IF($U1460=1,SUMPRODUCT(--($X$2:$X$1501&lt;$X1460))+1,"")</f>
        <v/>
      </c>
      <c r="W1460">
        <f>IF($B1460="","",IF(OR($S1460=TRUE(),$S1460="TRUE"),1,0))</f>
        <v/>
      </c>
      <c r="X1460">
        <f>IF($U1460=1,IFERROR(IF(VALUE($B1460)&lt;100000000,VALUE($B1460),1000000000),IFERROR(IF(VALUE(MID($B1460,2,20))&lt;100000000,VALUE(MID($B1460,2,20)),1000000000),1000000000))+ROW()/100000,"")</f>
        <v/>
      </c>
    </row>
    <row r="1461">
      <c r="A1461">
        <f>IF($B1461="","",IFERROR(IF(INDEX('Per Invoice'!$C$2:$C$401,MATCH($B1461,'Per Invoice'!$A$2:$A$401,0))=0,"",INDEX('Per Invoice'!$C$2:$C$401,MATCH($B1461,'Per Invoice'!$A$2:$A$401,0))),""))</f>
        <v/>
      </c>
      <c r="G1461" s="7">
        <f>IF($B1461="","",F1461*L1461/100)</f>
        <v/>
      </c>
      <c r="K1461" s="7" t="n"/>
      <c r="L1461" s="7" t="n"/>
      <c r="M1461" s="7">
        <f>IF($B1461="","",L1461*T1461/100)</f>
        <v/>
      </c>
      <c r="N1461" s="7">
        <f>IF($B1461="","",L1461-M1461)</f>
        <v/>
      </c>
      <c r="O1461" s="7">
        <f>IF($B1461="","",N1461-G1461)</f>
        <v/>
      </c>
      <c r="R1461" s="14" t="n"/>
      <c r="T1461">
        <f>IF($B1461="","",IF($W1461=1,Settings!$C$6,Settings!$C$7)*100)</f>
        <v/>
      </c>
      <c r="U1461">
        <f>IF($B1461="","",IF(COUNTIF($B$2:$B1461,$B1461)=1,1,0))</f>
        <v/>
      </c>
      <c r="V1461">
        <f>IF($U1461=1,SUMPRODUCT(--($X$2:$X$1501&lt;$X1461))+1,"")</f>
        <v/>
      </c>
      <c r="W1461">
        <f>IF($B1461="","",IF(OR($S1461=TRUE(),$S1461="TRUE"),1,0))</f>
        <v/>
      </c>
      <c r="X1461">
        <f>IF($U1461=1,IFERROR(IF(VALUE($B1461)&lt;100000000,VALUE($B1461),1000000000),IFERROR(IF(VALUE(MID($B1461,2,20))&lt;100000000,VALUE(MID($B1461,2,20)),1000000000),1000000000))+ROW()/100000,"")</f>
        <v/>
      </c>
    </row>
    <row r="1462">
      <c r="A1462">
        <f>IF($B1462="","",IFERROR(IF(INDEX('Per Invoice'!$C$2:$C$401,MATCH($B1462,'Per Invoice'!$A$2:$A$401,0))=0,"",INDEX('Per Invoice'!$C$2:$C$401,MATCH($B1462,'Per Invoice'!$A$2:$A$401,0))),""))</f>
        <v/>
      </c>
      <c r="G1462" s="7">
        <f>IF($B1462="","",F1462*L1462/100)</f>
        <v/>
      </c>
      <c r="K1462" s="7" t="n"/>
      <c r="L1462" s="7" t="n"/>
      <c r="M1462" s="7">
        <f>IF($B1462="","",L1462*T1462/100)</f>
        <v/>
      </c>
      <c r="N1462" s="7">
        <f>IF($B1462="","",L1462-M1462)</f>
        <v/>
      </c>
      <c r="O1462" s="7">
        <f>IF($B1462="","",N1462-G1462)</f>
        <v/>
      </c>
      <c r="R1462" s="14" t="n"/>
      <c r="T1462">
        <f>IF($B1462="","",IF($W1462=1,Settings!$C$6,Settings!$C$7)*100)</f>
        <v/>
      </c>
      <c r="U1462">
        <f>IF($B1462="","",IF(COUNTIF($B$2:$B1462,$B1462)=1,1,0))</f>
        <v/>
      </c>
      <c r="V1462">
        <f>IF($U1462=1,SUMPRODUCT(--($X$2:$X$1501&lt;$X1462))+1,"")</f>
        <v/>
      </c>
      <c r="W1462">
        <f>IF($B1462="","",IF(OR($S1462=TRUE(),$S1462="TRUE"),1,0))</f>
        <v/>
      </c>
      <c r="X1462">
        <f>IF($U1462=1,IFERROR(IF(VALUE($B1462)&lt;100000000,VALUE($B1462),1000000000),IFERROR(IF(VALUE(MID($B1462,2,20))&lt;100000000,VALUE(MID($B1462,2,20)),1000000000),1000000000))+ROW()/100000,"")</f>
        <v/>
      </c>
    </row>
    <row r="1463">
      <c r="A1463">
        <f>IF($B1463="","",IFERROR(IF(INDEX('Per Invoice'!$C$2:$C$401,MATCH($B1463,'Per Invoice'!$A$2:$A$401,0))=0,"",INDEX('Per Invoice'!$C$2:$C$401,MATCH($B1463,'Per Invoice'!$A$2:$A$401,0))),""))</f>
        <v/>
      </c>
      <c r="G1463" s="7">
        <f>IF($B1463="","",F1463*L1463/100)</f>
        <v/>
      </c>
      <c r="K1463" s="7" t="n"/>
      <c r="L1463" s="7" t="n"/>
      <c r="M1463" s="7">
        <f>IF($B1463="","",L1463*T1463/100)</f>
        <v/>
      </c>
      <c r="N1463" s="7">
        <f>IF($B1463="","",L1463-M1463)</f>
        <v/>
      </c>
      <c r="O1463" s="7">
        <f>IF($B1463="","",N1463-G1463)</f>
        <v/>
      </c>
      <c r="R1463" s="14" t="n"/>
      <c r="T1463">
        <f>IF($B1463="","",IF($W1463=1,Settings!$C$6,Settings!$C$7)*100)</f>
        <v/>
      </c>
      <c r="U1463">
        <f>IF($B1463="","",IF(COUNTIF($B$2:$B1463,$B1463)=1,1,0))</f>
        <v/>
      </c>
      <c r="V1463">
        <f>IF($U1463=1,SUMPRODUCT(--($X$2:$X$1501&lt;$X1463))+1,"")</f>
        <v/>
      </c>
      <c r="W1463">
        <f>IF($B1463="","",IF(OR($S1463=TRUE(),$S1463="TRUE"),1,0))</f>
        <v/>
      </c>
      <c r="X1463">
        <f>IF($U1463=1,IFERROR(IF(VALUE($B1463)&lt;100000000,VALUE($B1463),1000000000),IFERROR(IF(VALUE(MID($B1463,2,20))&lt;100000000,VALUE(MID($B1463,2,20)),1000000000),1000000000))+ROW()/100000,"")</f>
        <v/>
      </c>
    </row>
    <row r="1464">
      <c r="A1464">
        <f>IF($B1464="","",IFERROR(IF(INDEX('Per Invoice'!$C$2:$C$401,MATCH($B1464,'Per Invoice'!$A$2:$A$401,0))=0,"",INDEX('Per Invoice'!$C$2:$C$401,MATCH($B1464,'Per Invoice'!$A$2:$A$401,0))),""))</f>
        <v/>
      </c>
      <c r="G1464" s="7">
        <f>IF($B1464="","",F1464*L1464/100)</f>
        <v/>
      </c>
      <c r="K1464" s="7" t="n"/>
      <c r="L1464" s="7" t="n"/>
      <c r="M1464" s="7">
        <f>IF($B1464="","",L1464*T1464/100)</f>
        <v/>
      </c>
      <c r="N1464" s="7">
        <f>IF($B1464="","",L1464-M1464)</f>
        <v/>
      </c>
      <c r="O1464" s="7">
        <f>IF($B1464="","",N1464-G1464)</f>
        <v/>
      </c>
      <c r="R1464" s="14" t="n"/>
      <c r="T1464">
        <f>IF($B1464="","",IF($W1464=1,Settings!$C$6,Settings!$C$7)*100)</f>
        <v/>
      </c>
      <c r="U1464">
        <f>IF($B1464="","",IF(COUNTIF($B$2:$B1464,$B1464)=1,1,0))</f>
        <v/>
      </c>
      <c r="V1464">
        <f>IF($U1464=1,SUMPRODUCT(--($X$2:$X$1501&lt;$X1464))+1,"")</f>
        <v/>
      </c>
      <c r="W1464">
        <f>IF($B1464="","",IF(OR($S1464=TRUE(),$S1464="TRUE"),1,0))</f>
        <v/>
      </c>
      <c r="X1464">
        <f>IF($U1464=1,IFERROR(IF(VALUE($B1464)&lt;100000000,VALUE($B1464),1000000000),IFERROR(IF(VALUE(MID($B1464,2,20))&lt;100000000,VALUE(MID($B1464,2,20)),1000000000),1000000000))+ROW()/100000,"")</f>
        <v/>
      </c>
    </row>
    <row r="1465">
      <c r="A1465">
        <f>IF($B1465="","",IFERROR(IF(INDEX('Per Invoice'!$C$2:$C$401,MATCH($B1465,'Per Invoice'!$A$2:$A$401,0))=0,"",INDEX('Per Invoice'!$C$2:$C$401,MATCH($B1465,'Per Invoice'!$A$2:$A$401,0))),""))</f>
        <v/>
      </c>
      <c r="G1465" s="7">
        <f>IF($B1465="","",F1465*L1465/100)</f>
        <v/>
      </c>
      <c r="K1465" s="7" t="n"/>
      <c r="L1465" s="7" t="n"/>
      <c r="M1465" s="7">
        <f>IF($B1465="","",L1465*T1465/100)</f>
        <v/>
      </c>
      <c r="N1465" s="7">
        <f>IF($B1465="","",L1465-M1465)</f>
        <v/>
      </c>
      <c r="O1465" s="7">
        <f>IF($B1465="","",N1465-G1465)</f>
        <v/>
      </c>
      <c r="R1465" s="14" t="n"/>
      <c r="T1465">
        <f>IF($B1465="","",IF($W1465=1,Settings!$C$6,Settings!$C$7)*100)</f>
        <v/>
      </c>
      <c r="U1465">
        <f>IF($B1465="","",IF(COUNTIF($B$2:$B1465,$B1465)=1,1,0))</f>
        <v/>
      </c>
      <c r="V1465">
        <f>IF($U1465=1,SUMPRODUCT(--($X$2:$X$1501&lt;$X1465))+1,"")</f>
        <v/>
      </c>
      <c r="W1465">
        <f>IF($B1465="","",IF(OR($S1465=TRUE(),$S1465="TRUE"),1,0))</f>
        <v/>
      </c>
      <c r="X1465">
        <f>IF($U1465=1,IFERROR(IF(VALUE($B1465)&lt;100000000,VALUE($B1465),1000000000),IFERROR(IF(VALUE(MID($B1465,2,20))&lt;100000000,VALUE(MID($B1465,2,20)),1000000000),1000000000))+ROW()/100000,"")</f>
        <v/>
      </c>
    </row>
    <row r="1466">
      <c r="A1466">
        <f>IF($B1466="","",IFERROR(IF(INDEX('Per Invoice'!$C$2:$C$401,MATCH($B1466,'Per Invoice'!$A$2:$A$401,0))=0,"",INDEX('Per Invoice'!$C$2:$C$401,MATCH($B1466,'Per Invoice'!$A$2:$A$401,0))),""))</f>
        <v/>
      </c>
      <c r="G1466" s="7">
        <f>IF($B1466="","",F1466*L1466/100)</f>
        <v/>
      </c>
      <c r="K1466" s="7" t="n"/>
      <c r="L1466" s="7" t="n"/>
      <c r="M1466" s="7">
        <f>IF($B1466="","",L1466*T1466/100)</f>
        <v/>
      </c>
      <c r="N1466" s="7">
        <f>IF($B1466="","",L1466-M1466)</f>
        <v/>
      </c>
      <c r="O1466" s="7">
        <f>IF($B1466="","",N1466-G1466)</f>
        <v/>
      </c>
      <c r="R1466" s="14" t="n"/>
      <c r="T1466">
        <f>IF($B1466="","",IF($W1466=1,Settings!$C$6,Settings!$C$7)*100)</f>
        <v/>
      </c>
      <c r="U1466">
        <f>IF($B1466="","",IF(COUNTIF($B$2:$B1466,$B1466)=1,1,0))</f>
        <v/>
      </c>
      <c r="V1466">
        <f>IF($U1466=1,SUMPRODUCT(--($X$2:$X$1501&lt;$X1466))+1,"")</f>
        <v/>
      </c>
      <c r="W1466">
        <f>IF($B1466="","",IF(OR($S1466=TRUE(),$S1466="TRUE"),1,0))</f>
        <v/>
      </c>
      <c r="X1466">
        <f>IF($U1466=1,IFERROR(IF(VALUE($B1466)&lt;100000000,VALUE($B1466),1000000000),IFERROR(IF(VALUE(MID($B1466,2,20))&lt;100000000,VALUE(MID($B1466,2,20)),1000000000),1000000000))+ROW()/100000,"")</f>
        <v/>
      </c>
    </row>
    <row r="1467">
      <c r="A1467">
        <f>IF($B1467="","",IFERROR(IF(INDEX('Per Invoice'!$C$2:$C$401,MATCH($B1467,'Per Invoice'!$A$2:$A$401,0))=0,"",INDEX('Per Invoice'!$C$2:$C$401,MATCH($B1467,'Per Invoice'!$A$2:$A$401,0))),""))</f>
        <v/>
      </c>
      <c r="G1467" s="7">
        <f>IF($B1467="","",F1467*L1467/100)</f>
        <v/>
      </c>
      <c r="K1467" s="7" t="n"/>
      <c r="L1467" s="7" t="n"/>
      <c r="M1467" s="7">
        <f>IF($B1467="","",L1467*T1467/100)</f>
        <v/>
      </c>
      <c r="N1467" s="7">
        <f>IF($B1467="","",L1467-M1467)</f>
        <v/>
      </c>
      <c r="O1467" s="7">
        <f>IF($B1467="","",N1467-G1467)</f>
        <v/>
      </c>
      <c r="R1467" s="14" t="n"/>
      <c r="T1467">
        <f>IF($B1467="","",IF($W1467=1,Settings!$C$6,Settings!$C$7)*100)</f>
        <v/>
      </c>
      <c r="U1467">
        <f>IF($B1467="","",IF(COUNTIF($B$2:$B1467,$B1467)=1,1,0))</f>
        <v/>
      </c>
      <c r="V1467">
        <f>IF($U1467=1,SUMPRODUCT(--($X$2:$X$1501&lt;$X1467))+1,"")</f>
        <v/>
      </c>
      <c r="W1467">
        <f>IF($B1467="","",IF(OR($S1467=TRUE(),$S1467="TRUE"),1,0))</f>
        <v/>
      </c>
      <c r="X1467">
        <f>IF($U1467=1,IFERROR(IF(VALUE($B1467)&lt;100000000,VALUE($B1467),1000000000),IFERROR(IF(VALUE(MID($B1467,2,20))&lt;100000000,VALUE(MID($B1467,2,20)),1000000000),1000000000))+ROW()/100000,"")</f>
        <v/>
      </c>
    </row>
    <row r="1468">
      <c r="A1468">
        <f>IF($B1468="","",IFERROR(IF(INDEX('Per Invoice'!$C$2:$C$401,MATCH($B1468,'Per Invoice'!$A$2:$A$401,0))=0,"",INDEX('Per Invoice'!$C$2:$C$401,MATCH($B1468,'Per Invoice'!$A$2:$A$401,0))),""))</f>
        <v/>
      </c>
      <c r="G1468" s="7">
        <f>IF($B1468="","",F1468*L1468/100)</f>
        <v/>
      </c>
      <c r="K1468" s="7" t="n"/>
      <c r="L1468" s="7" t="n"/>
      <c r="M1468" s="7">
        <f>IF($B1468="","",L1468*T1468/100)</f>
        <v/>
      </c>
      <c r="N1468" s="7">
        <f>IF($B1468="","",L1468-M1468)</f>
        <v/>
      </c>
      <c r="O1468" s="7">
        <f>IF($B1468="","",N1468-G1468)</f>
        <v/>
      </c>
      <c r="R1468" s="14" t="n"/>
      <c r="T1468">
        <f>IF($B1468="","",IF($W1468=1,Settings!$C$6,Settings!$C$7)*100)</f>
        <v/>
      </c>
      <c r="U1468">
        <f>IF($B1468="","",IF(COUNTIF($B$2:$B1468,$B1468)=1,1,0))</f>
        <v/>
      </c>
      <c r="V1468">
        <f>IF($U1468=1,SUMPRODUCT(--($X$2:$X$1501&lt;$X1468))+1,"")</f>
        <v/>
      </c>
      <c r="W1468">
        <f>IF($B1468="","",IF(OR($S1468=TRUE(),$S1468="TRUE"),1,0))</f>
        <v/>
      </c>
      <c r="X1468">
        <f>IF($U1468=1,IFERROR(IF(VALUE($B1468)&lt;100000000,VALUE($B1468),1000000000),IFERROR(IF(VALUE(MID($B1468,2,20))&lt;100000000,VALUE(MID($B1468,2,20)),1000000000),1000000000))+ROW()/100000,"")</f>
        <v/>
      </c>
    </row>
    <row r="1469">
      <c r="A1469">
        <f>IF($B1469="","",IFERROR(IF(INDEX('Per Invoice'!$C$2:$C$401,MATCH($B1469,'Per Invoice'!$A$2:$A$401,0))=0,"",INDEX('Per Invoice'!$C$2:$C$401,MATCH($B1469,'Per Invoice'!$A$2:$A$401,0))),""))</f>
        <v/>
      </c>
      <c r="G1469" s="7">
        <f>IF($B1469="","",F1469*L1469/100)</f>
        <v/>
      </c>
      <c r="K1469" s="7" t="n"/>
      <c r="L1469" s="7" t="n"/>
      <c r="M1469" s="7">
        <f>IF($B1469="","",L1469*T1469/100)</f>
        <v/>
      </c>
      <c r="N1469" s="7">
        <f>IF($B1469="","",L1469-M1469)</f>
        <v/>
      </c>
      <c r="O1469" s="7">
        <f>IF($B1469="","",N1469-G1469)</f>
        <v/>
      </c>
      <c r="R1469" s="14" t="n"/>
      <c r="T1469">
        <f>IF($B1469="","",IF($W1469=1,Settings!$C$6,Settings!$C$7)*100)</f>
        <v/>
      </c>
      <c r="U1469">
        <f>IF($B1469="","",IF(COUNTIF($B$2:$B1469,$B1469)=1,1,0))</f>
        <v/>
      </c>
      <c r="V1469">
        <f>IF($U1469=1,SUMPRODUCT(--($X$2:$X$1501&lt;$X1469))+1,"")</f>
        <v/>
      </c>
      <c r="W1469">
        <f>IF($B1469="","",IF(OR($S1469=TRUE(),$S1469="TRUE"),1,0))</f>
        <v/>
      </c>
      <c r="X1469">
        <f>IF($U1469=1,IFERROR(IF(VALUE($B1469)&lt;100000000,VALUE($B1469),1000000000),IFERROR(IF(VALUE(MID($B1469,2,20))&lt;100000000,VALUE(MID($B1469,2,20)),1000000000),1000000000))+ROW()/100000,"")</f>
        <v/>
      </c>
    </row>
    <row r="1470">
      <c r="A1470">
        <f>IF($B1470="","",IFERROR(IF(INDEX('Per Invoice'!$C$2:$C$401,MATCH($B1470,'Per Invoice'!$A$2:$A$401,0))=0,"",INDEX('Per Invoice'!$C$2:$C$401,MATCH($B1470,'Per Invoice'!$A$2:$A$401,0))),""))</f>
        <v/>
      </c>
      <c r="G1470" s="7">
        <f>IF($B1470="","",F1470*L1470/100)</f>
        <v/>
      </c>
      <c r="K1470" s="7" t="n"/>
      <c r="L1470" s="7" t="n"/>
      <c r="M1470" s="7">
        <f>IF($B1470="","",L1470*T1470/100)</f>
        <v/>
      </c>
      <c r="N1470" s="7">
        <f>IF($B1470="","",L1470-M1470)</f>
        <v/>
      </c>
      <c r="O1470" s="7">
        <f>IF($B1470="","",N1470-G1470)</f>
        <v/>
      </c>
      <c r="R1470" s="14" t="n"/>
      <c r="T1470">
        <f>IF($B1470="","",IF($W1470=1,Settings!$C$6,Settings!$C$7)*100)</f>
        <v/>
      </c>
      <c r="U1470">
        <f>IF($B1470="","",IF(COUNTIF($B$2:$B1470,$B1470)=1,1,0))</f>
        <v/>
      </c>
      <c r="V1470">
        <f>IF($U1470=1,SUMPRODUCT(--($X$2:$X$1501&lt;$X1470))+1,"")</f>
        <v/>
      </c>
      <c r="W1470">
        <f>IF($B1470="","",IF(OR($S1470=TRUE(),$S1470="TRUE"),1,0))</f>
        <v/>
      </c>
      <c r="X1470">
        <f>IF($U1470=1,IFERROR(IF(VALUE($B1470)&lt;100000000,VALUE($B1470),1000000000),IFERROR(IF(VALUE(MID($B1470,2,20))&lt;100000000,VALUE(MID($B1470,2,20)),1000000000),1000000000))+ROW()/100000,"")</f>
        <v/>
      </c>
    </row>
    <row r="1471">
      <c r="A1471">
        <f>IF($B1471="","",IFERROR(IF(INDEX('Per Invoice'!$C$2:$C$401,MATCH($B1471,'Per Invoice'!$A$2:$A$401,0))=0,"",INDEX('Per Invoice'!$C$2:$C$401,MATCH($B1471,'Per Invoice'!$A$2:$A$401,0))),""))</f>
        <v/>
      </c>
      <c r="G1471" s="7">
        <f>IF($B1471="","",F1471*L1471/100)</f>
        <v/>
      </c>
      <c r="K1471" s="7" t="n"/>
      <c r="L1471" s="7" t="n"/>
      <c r="M1471" s="7">
        <f>IF($B1471="","",L1471*T1471/100)</f>
        <v/>
      </c>
      <c r="N1471" s="7">
        <f>IF($B1471="","",L1471-M1471)</f>
        <v/>
      </c>
      <c r="O1471" s="7">
        <f>IF($B1471="","",N1471-G1471)</f>
        <v/>
      </c>
      <c r="R1471" s="14" t="n"/>
      <c r="T1471">
        <f>IF($B1471="","",IF($W1471=1,Settings!$C$6,Settings!$C$7)*100)</f>
        <v/>
      </c>
      <c r="U1471">
        <f>IF($B1471="","",IF(COUNTIF($B$2:$B1471,$B1471)=1,1,0))</f>
        <v/>
      </c>
      <c r="V1471">
        <f>IF($U1471=1,SUMPRODUCT(--($X$2:$X$1501&lt;$X1471))+1,"")</f>
        <v/>
      </c>
      <c r="W1471">
        <f>IF($B1471="","",IF(OR($S1471=TRUE(),$S1471="TRUE"),1,0))</f>
        <v/>
      </c>
      <c r="X1471">
        <f>IF($U1471=1,IFERROR(IF(VALUE($B1471)&lt;100000000,VALUE($B1471),1000000000),IFERROR(IF(VALUE(MID($B1471,2,20))&lt;100000000,VALUE(MID($B1471,2,20)),1000000000),1000000000))+ROW()/100000,"")</f>
        <v/>
      </c>
    </row>
    <row r="1472">
      <c r="A1472">
        <f>IF($B1472="","",IFERROR(IF(INDEX('Per Invoice'!$C$2:$C$401,MATCH($B1472,'Per Invoice'!$A$2:$A$401,0))=0,"",INDEX('Per Invoice'!$C$2:$C$401,MATCH($B1472,'Per Invoice'!$A$2:$A$401,0))),""))</f>
        <v/>
      </c>
      <c r="G1472" s="7">
        <f>IF($B1472="","",F1472*L1472/100)</f>
        <v/>
      </c>
      <c r="K1472" s="7" t="n"/>
      <c r="L1472" s="7" t="n"/>
      <c r="M1472" s="7">
        <f>IF($B1472="","",L1472*T1472/100)</f>
        <v/>
      </c>
      <c r="N1472" s="7">
        <f>IF($B1472="","",L1472-M1472)</f>
        <v/>
      </c>
      <c r="O1472" s="7">
        <f>IF($B1472="","",N1472-G1472)</f>
        <v/>
      </c>
      <c r="R1472" s="14" t="n"/>
      <c r="T1472">
        <f>IF($B1472="","",IF($W1472=1,Settings!$C$6,Settings!$C$7)*100)</f>
        <v/>
      </c>
      <c r="U1472">
        <f>IF($B1472="","",IF(COUNTIF($B$2:$B1472,$B1472)=1,1,0))</f>
        <v/>
      </c>
      <c r="V1472">
        <f>IF($U1472=1,SUMPRODUCT(--($X$2:$X$1501&lt;$X1472))+1,"")</f>
        <v/>
      </c>
      <c r="W1472">
        <f>IF($B1472="","",IF(OR($S1472=TRUE(),$S1472="TRUE"),1,0))</f>
        <v/>
      </c>
      <c r="X1472">
        <f>IF($U1472=1,IFERROR(IF(VALUE($B1472)&lt;100000000,VALUE($B1472),1000000000),IFERROR(IF(VALUE(MID($B1472,2,20))&lt;100000000,VALUE(MID($B1472,2,20)),1000000000),1000000000))+ROW()/100000,"")</f>
        <v/>
      </c>
    </row>
    <row r="1473">
      <c r="A1473">
        <f>IF($B1473="","",IFERROR(IF(INDEX('Per Invoice'!$C$2:$C$401,MATCH($B1473,'Per Invoice'!$A$2:$A$401,0))=0,"",INDEX('Per Invoice'!$C$2:$C$401,MATCH($B1473,'Per Invoice'!$A$2:$A$401,0))),""))</f>
        <v/>
      </c>
      <c r="G1473" s="7">
        <f>IF($B1473="","",F1473*L1473/100)</f>
        <v/>
      </c>
      <c r="K1473" s="7" t="n"/>
      <c r="L1473" s="7" t="n"/>
      <c r="M1473" s="7">
        <f>IF($B1473="","",L1473*T1473/100)</f>
        <v/>
      </c>
      <c r="N1473" s="7">
        <f>IF($B1473="","",L1473-M1473)</f>
        <v/>
      </c>
      <c r="O1473" s="7">
        <f>IF($B1473="","",N1473-G1473)</f>
        <v/>
      </c>
      <c r="R1473" s="14" t="n"/>
      <c r="T1473">
        <f>IF($B1473="","",IF($W1473=1,Settings!$C$6,Settings!$C$7)*100)</f>
        <v/>
      </c>
      <c r="U1473">
        <f>IF($B1473="","",IF(COUNTIF($B$2:$B1473,$B1473)=1,1,0))</f>
        <v/>
      </c>
      <c r="V1473">
        <f>IF($U1473=1,SUMPRODUCT(--($X$2:$X$1501&lt;$X1473))+1,"")</f>
        <v/>
      </c>
      <c r="W1473">
        <f>IF($B1473="","",IF(OR($S1473=TRUE(),$S1473="TRUE"),1,0))</f>
        <v/>
      </c>
      <c r="X1473">
        <f>IF($U1473=1,IFERROR(IF(VALUE($B1473)&lt;100000000,VALUE($B1473),1000000000),IFERROR(IF(VALUE(MID($B1473,2,20))&lt;100000000,VALUE(MID($B1473,2,20)),1000000000),1000000000))+ROW()/100000,"")</f>
        <v/>
      </c>
    </row>
    <row r="1474">
      <c r="A1474">
        <f>IF($B1474="","",IFERROR(IF(INDEX('Per Invoice'!$C$2:$C$401,MATCH($B1474,'Per Invoice'!$A$2:$A$401,0))=0,"",INDEX('Per Invoice'!$C$2:$C$401,MATCH($B1474,'Per Invoice'!$A$2:$A$401,0))),""))</f>
        <v/>
      </c>
      <c r="G1474" s="7">
        <f>IF($B1474="","",F1474*L1474/100)</f>
        <v/>
      </c>
      <c r="K1474" s="7" t="n"/>
      <c r="L1474" s="7" t="n"/>
      <c r="M1474" s="7">
        <f>IF($B1474="","",L1474*T1474/100)</f>
        <v/>
      </c>
      <c r="N1474" s="7">
        <f>IF($B1474="","",L1474-M1474)</f>
        <v/>
      </c>
      <c r="O1474" s="7">
        <f>IF($B1474="","",N1474-G1474)</f>
        <v/>
      </c>
      <c r="R1474" s="14" t="n"/>
      <c r="T1474">
        <f>IF($B1474="","",IF($W1474=1,Settings!$C$6,Settings!$C$7)*100)</f>
        <v/>
      </c>
      <c r="U1474">
        <f>IF($B1474="","",IF(COUNTIF($B$2:$B1474,$B1474)=1,1,0))</f>
        <v/>
      </c>
      <c r="V1474">
        <f>IF($U1474=1,SUMPRODUCT(--($X$2:$X$1501&lt;$X1474))+1,"")</f>
        <v/>
      </c>
      <c r="W1474">
        <f>IF($B1474="","",IF(OR($S1474=TRUE(),$S1474="TRUE"),1,0))</f>
        <v/>
      </c>
      <c r="X1474">
        <f>IF($U1474=1,IFERROR(IF(VALUE($B1474)&lt;100000000,VALUE($B1474),1000000000),IFERROR(IF(VALUE(MID($B1474,2,20))&lt;100000000,VALUE(MID($B1474,2,20)),1000000000),1000000000))+ROW()/100000,"")</f>
        <v/>
      </c>
    </row>
    <row r="1475">
      <c r="A1475">
        <f>IF($B1475="","",IFERROR(IF(INDEX('Per Invoice'!$C$2:$C$401,MATCH($B1475,'Per Invoice'!$A$2:$A$401,0))=0,"",INDEX('Per Invoice'!$C$2:$C$401,MATCH($B1475,'Per Invoice'!$A$2:$A$401,0))),""))</f>
        <v/>
      </c>
      <c r="G1475" s="7">
        <f>IF($B1475="","",F1475*L1475/100)</f>
        <v/>
      </c>
      <c r="K1475" s="7" t="n"/>
      <c r="L1475" s="7" t="n"/>
      <c r="M1475" s="7">
        <f>IF($B1475="","",L1475*T1475/100)</f>
        <v/>
      </c>
      <c r="N1475" s="7">
        <f>IF($B1475="","",L1475-M1475)</f>
        <v/>
      </c>
      <c r="O1475" s="7">
        <f>IF($B1475="","",N1475-G1475)</f>
        <v/>
      </c>
      <c r="R1475" s="14" t="n"/>
      <c r="T1475">
        <f>IF($B1475="","",IF($W1475=1,Settings!$C$6,Settings!$C$7)*100)</f>
        <v/>
      </c>
      <c r="U1475">
        <f>IF($B1475="","",IF(COUNTIF($B$2:$B1475,$B1475)=1,1,0))</f>
        <v/>
      </c>
      <c r="V1475">
        <f>IF($U1475=1,SUMPRODUCT(--($X$2:$X$1501&lt;$X1475))+1,"")</f>
        <v/>
      </c>
      <c r="W1475">
        <f>IF($B1475="","",IF(OR($S1475=TRUE(),$S1475="TRUE"),1,0))</f>
        <v/>
      </c>
      <c r="X1475">
        <f>IF($U1475=1,IFERROR(IF(VALUE($B1475)&lt;100000000,VALUE($B1475),1000000000),IFERROR(IF(VALUE(MID($B1475,2,20))&lt;100000000,VALUE(MID($B1475,2,20)),1000000000),1000000000))+ROW()/100000,"")</f>
        <v/>
      </c>
    </row>
    <row r="1476">
      <c r="A1476">
        <f>IF($B1476="","",IFERROR(IF(INDEX('Per Invoice'!$C$2:$C$401,MATCH($B1476,'Per Invoice'!$A$2:$A$401,0))=0,"",INDEX('Per Invoice'!$C$2:$C$401,MATCH($B1476,'Per Invoice'!$A$2:$A$401,0))),""))</f>
        <v/>
      </c>
      <c r="G1476" s="7">
        <f>IF($B1476="","",F1476*L1476/100)</f>
        <v/>
      </c>
      <c r="K1476" s="7" t="n"/>
      <c r="L1476" s="7" t="n"/>
      <c r="M1476" s="7">
        <f>IF($B1476="","",L1476*T1476/100)</f>
        <v/>
      </c>
      <c r="N1476" s="7">
        <f>IF($B1476="","",L1476-M1476)</f>
        <v/>
      </c>
      <c r="O1476" s="7">
        <f>IF($B1476="","",N1476-G1476)</f>
        <v/>
      </c>
      <c r="R1476" s="14" t="n"/>
      <c r="T1476">
        <f>IF($B1476="","",IF($W1476=1,Settings!$C$6,Settings!$C$7)*100)</f>
        <v/>
      </c>
      <c r="U1476">
        <f>IF($B1476="","",IF(COUNTIF($B$2:$B1476,$B1476)=1,1,0))</f>
        <v/>
      </c>
      <c r="V1476">
        <f>IF($U1476=1,SUMPRODUCT(--($X$2:$X$1501&lt;$X1476))+1,"")</f>
        <v/>
      </c>
      <c r="W1476">
        <f>IF($B1476="","",IF(OR($S1476=TRUE(),$S1476="TRUE"),1,0))</f>
        <v/>
      </c>
      <c r="X1476">
        <f>IF($U1476=1,IFERROR(IF(VALUE($B1476)&lt;100000000,VALUE($B1476),1000000000),IFERROR(IF(VALUE(MID($B1476,2,20))&lt;100000000,VALUE(MID($B1476,2,20)),1000000000),1000000000))+ROW()/100000,"")</f>
        <v/>
      </c>
    </row>
    <row r="1477">
      <c r="A1477">
        <f>IF($B1477="","",IFERROR(IF(INDEX('Per Invoice'!$C$2:$C$401,MATCH($B1477,'Per Invoice'!$A$2:$A$401,0))=0,"",INDEX('Per Invoice'!$C$2:$C$401,MATCH($B1477,'Per Invoice'!$A$2:$A$401,0))),""))</f>
        <v/>
      </c>
      <c r="G1477" s="7">
        <f>IF($B1477="","",F1477*L1477/100)</f>
        <v/>
      </c>
      <c r="K1477" s="7" t="n"/>
      <c r="L1477" s="7" t="n"/>
      <c r="M1477" s="7">
        <f>IF($B1477="","",L1477*T1477/100)</f>
        <v/>
      </c>
      <c r="N1477" s="7">
        <f>IF($B1477="","",L1477-M1477)</f>
        <v/>
      </c>
      <c r="O1477" s="7">
        <f>IF($B1477="","",N1477-G1477)</f>
        <v/>
      </c>
      <c r="R1477" s="14" t="n"/>
      <c r="T1477">
        <f>IF($B1477="","",IF($W1477=1,Settings!$C$6,Settings!$C$7)*100)</f>
        <v/>
      </c>
      <c r="U1477">
        <f>IF($B1477="","",IF(COUNTIF($B$2:$B1477,$B1477)=1,1,0))</f>
        <v/>
      </c>
      <c r="V1477">
        <f>IF($U1477=1,SUMPRODUCT(--($X$2:$X$1501&lt;$X1477))+1,"")</f>
        <v/>
      </c>
      <c r="W1477">
        <f>IF($B1477="","",IF(OR($S1477=TRUE(),$S1477="TRUE"),1,0))</f>
        <v/>
      </c>
      <c r="X1477">
        <f>IF($U1477=1,IFERROR(IF(VALUE($B1477)&lt;100000000,VALUE($B1477),1000000000),IFERROR(IF(VALUE(MID($B1477,2,20))&lt;100000000,VALUE(MID($B1477,2,20)),1000000000),1000000000))+ROW()/100000,"")</f>
        <v/>
      </c>
    </row>
    <row r="1478">
      <c r="A1478">
        <f>IF($B1478="","",IFERROR(IF(INDEX('Per Invoice'!$C$2:$C$401,MATCH($B1478,'Per Invoice'!$A$2:$A$401,0))=0,"",INDEX('Per Invoice'!$C$2:$C$401,MATCH($B1478,'Per Invoice'!$A$2:$A$401,0))),""))</f>
        <v/>
      </c>
      <c r="G1478" s="7">
        <f>IF($B1478="","",F1478*L1478/100)</f>
        <v/>
      </c>
      <c r="K1478" s="7" t="n"/>
      <c r="L1478" s="7" t="n"/>
      <c r="M1478" s="7">
        <f>IF($B1478="","",L1478*T1478/100)</f>
        <v/>
      </c>
      <c r="N1478" s="7">
        <f>IF($B1478="","",L1478-M1478)</f>
        <v/>
      </c>
      <c r="O1478" s="7">
        <f>IF($B1478="","",N1478-G1478)</f>
        <v/>
      </c>
      <c r="R1478" s="14" t="n"/>
      <c r="T1478">
        <f>IF($B1478="","",IF($W1478=1,Settings!$C$6,Settings!$C$7)*100)</f>
        <v/>
      </c>
      <c r="U1478">
        <f>IF($B1478="","",IF(COUNTIF($B$2:$B1478,$B1478)=1,1,0))</f>
        <v/>
      </c>
      <c r="V1478">
        <f>IF($U1478=1,SUMPRODUCT(--($X$2:$X$1501&lt;$X1478))+1,"")</f>
        <v/>
      </c>
      <c r="W1478">
        <f>IF($B1478="","",IF(OR($S1478=TRUE(),$S1478="TRUE"),1,0))</f>
        <v/>
      </c>
      <c r="X1478">
        <f>IF($U1478=1,IFERROR(IF(VALUE($B1478)&lt;100000000,VALUE($B1478),1000000000),IFERROR(IF(VALUE(MID($B1478,2,20))&lt;100000000,VALUE(MID($B1478,2,20)),1000000000),1000000000))+ROW()/100000,"")</f>
        <v/>
      </c>
    </row>
    <row r="1479">
      <c r="A1479">
        <f>IF($B1479="","",IFERROR(IF(INDEX('Per Invoice'!$C$2:$C$401,MATCH($B1479,'Per Invoice'!$A$2:$A$401,0))=0,"",INDEX('Per Invoice'!$C$2:$C$401,MATCH($B1479,'Per Invoice'!$A$2:$A$401,0))),""))</f>
        <v/>
      </c>
      <c r="G1479" s="7">
        <f>IF($B1479="","",F1479*L1479/100)</f>
        <v/>
      </c>
      <c r="K1479" s="7" t="n"/>
      <c r="L1479" s="7" t="n"/>
      <c r="M1479" s="7">
        <f>IF($B1479="","",L1479*T1479/100)</f>
        <v/>
      </c>
      <c r="N1479" s="7">
        <f>IF($B1479="","",L1479-M1479)</f>
        <v/>
      </c>
      <c r="O1479" s="7">
        <f>IF($B1479="","",N1479-G1479)</f>
        <v/>
      </c>
      <c r="R1479" s="14" t="n"/>
      <c r="T1479">
        <f>IF($B1479="","",IF($W1479=1,Settings!$C$6,Settings!$C$7)*100)</f>
        <v/>
      </c>
      <c r="U1479">
        <f>IF($B1479="","",IF(COUNTIF($B$2:$B1479,$B1479)=1,1,0))</f>
        <v/>
      </c>
      <c r="V1479">
        <f>IF($U1479=1,SUMPRODUCT(--($X$2:$X$1501&lt;$X1479))+1,"")</f>
        <v/>
      </c>
      <c r="W1479">
        <f>IF($B1479="","",IF(OR($S1479=TRUE(),$S1479="TRUE"),1,0))</f>
        <v/>
      </c>
      <c r="X1479">
        <f>IF($U1479=1,IFERROR(IF(VALUE($B1479)&lt;100000000,VALUE($B1479),1000000000),IFERROR(IF(VALUE(MID($B1479,2,20))&lt;100000000,VALUE(MID($B1479,2,20)),1000000000),1000000000))+ROW()/100000,"")</f>
        <v/>
      </c>
    </row>
    <row r="1480">
      <c r="A1480">
        <f>IF($B1480="","",IFERROR(IF(INDEX('Per Invoice'!$C$2:$C$401,MATCH($B1480,'Per Invoice'!$A$2:$A$401,0))=0,"",INDEX('Per Invoice'!$C$2:$C$401,MATCH($B1480,'Per Invoice'!$A$2:$A$401,0))),""))</f>
        <v/>
      </c>
      <c r="G1480" s="7">
        <f>IF($B1480="","",F1480*L1480/100)</f>
        <v/>
      </c>
      <c r="K1480" s="7" t="n"/>
      <c r="L1480" s="7" t="n"/>
      <c r="M1480" s="7">
        <f>IF($B1480="","",L1480*T1480/100)</f>
        <v/>
      </c>
      <c r="N1480" s="7">
        <f>IF($B1480="","",L1480-M1480)</f>
        <v/>
      </c>
      <c r="O1480" s="7">
        <f>IF($B1480="","",N1480-G1480)</f>
        <v/>
      </c>
      <c r="R1480" s="14" t="n"/>
      <c r="T1480">
        <f>IF($B1480="","",IF($W1480=1,Settings!$C$6,Settings!$C$7)*100)</f>
        <v/>
      </c>
      <c r="U1480">
        <f>IF($B1480="","",IF(COUNTIF($B$2:$B1480,$B1480)=1,1,0))</f>
        <v/>
      </c>
      <c r="V1480">
        <f>IF($U1480=1,SUMPRODUCT(--($X$2:$X$1501&lt;$X1480))+1,"")</f>
        <v/>
      </c>
      <c r="W1480">
        <f>IF($B1480="","",IF(OR($S1480=TRUE(),$S1480="TRUE"),1,0))</f>
        <v/>
      </c>
      <c r="X1480">
        <f>IF($U1480=1,IFERROR(IF(VALUE($B1480)&lt;100000000,VALUE($B1480),1000000000),IFERROR(IF(VALUE(MID($B1480,2,20))&lt;100000000,VALUE(MID($B1480,2,20)),1000000000),1000000000))+ROW()/100000,"")</f>
        <v/>
      </c>
    </row>
    <row r="1481">
      <c r="A1481">
        <f>IF($B1481="","",IFERROR(IF(INDEX('Per Invoice'!$C$2:$C$401,MATCH($B1481,'Per Invoice'!$A$2:$A$401,0))=0,"",INDEX('Per Invoice'!$C$2:$C$401,MATCH($B1481,'Per Invoice'!$A$2:$A$401,0))),""))</f>
        <v/>
      </c>
      <c r="G1481" s="7">
        <f>IF($B1481="","",F1481*L1481/100)</f>
        <v/>
      </c>
      <c r="K1481" s="7" t="n"/>
      <c r="L1481" s="7" t="n"/>
      <c r="M1481" s="7">
        <f>IF($B1481="","",L1481*T1481/100)</f>
        <v/>
      </c>
      <c r="N1481" s="7">
        <f>IF($B1481="","",L1481-M1481)</f>
        <v/>
      </c>
      <c r="O1481" s="7">
        <f>IF($B1481="","",N1481-G1481)</f>
        <v/>
      </c>
      <c r="R1481" s="14" t="n"/>
      <c r="T1481">
        <f>IF($B1481="","",IF($W1481=1,Settings!$C$6,Settings!$C$7)*100)</f>
        <v/>
      </c>
      <c r="U1481">
        <f>IF($B1481="","",IF(COUNTIF($B$2:$B1481,$B1481)=1,1,0))</f>
        <v/>
      </c>
      <c r="V1481">
        <f>IF($U1481=1,SUMPRODUCT(--($X$2:$X$1501&lt;$X1481))+1,"")</f>
        <v/>
      </c>
      <c r="W1481">
        <f>IF($B1481="","",IF(OR($S1481=TRUE(),$S1481="TRUE"),1,0))</f>
        <v/>
      </c>
      <c r="X1481">
        <f>IF($U1481=1,IFERROR(IF(VALUE($B1481)&lt;100000000,VALUE($B1481),1000000000),IFERROR(IF(VALUE(MID($B1481,2,20))&lt;100000000,VALUE(MID($B1481,2,20)),1000000000),1000000000))+ROW()/100000,"")</f>
        <v/>
      </c>
    </row>
    <row r="1482">
      <c r="A1482">
        <f>IF($B1482="","",IFERROR(IF(INDEX('Per Invoice'!$C$2:$C$401,MATCH($B1482,'Per Invoice'!$A$2:$A$401,0))=0,"",INDEX('Per Invoice'!$C$2:$C$401,MATCH($B1482,'Per Invoice'!$A$2:$A$401,0))),""))</f>
        <v/>
      </c>
      <c r="G1482" s="7">
        <f>IF($B1482="","",F1482*L1482/100)</f>
        <v/>
      </c>
      <c r="K1482" s="7" t="n"/>
      <c r="L1482" s="7" t="n"/>
      <c r="M1482" s="7">
        <f>IF($B1482="","",L1482*T1482/100)</f>
        <v/>
      </c>
      <c r="N1482" s="7">
        <f>IF($B1482="","",L1482-M1482)</f>
        <v/>
      </c>
      <c r="O1482" s="7">
        <f>IF($B1482="","",N1482-G1482)</f>
        <v/>
      </c>
      <c r="R1482" s="14" t="n"/>
      <c r="T1482">
        <f>IF($B1482="","",IF($W1482=1,Settings!$C$6,Settings!$C$7)*100)</f>
        <v/>
      </c>
      <c r="U1482">
        <f>IF($B1482="","",IF(COUNTIF($B$2:$B1482,$B1482)=1,1,0))</f>
        <v/>
      </c>
      <c r="V1482">
        <f>IF($U1482=1,SUMPRODUCT(--($X$2:$X$1501&lt;$X1482))+1,"")</f>
        <v/>
      </c>
      <c r="W1482">
        <f>IF($B1482="","",IF(OR($S1482=TRUE(),$S1482="TRUE"),1,0))</f>
        <v/>
      </c>
      <c r="X1482">
        <f>IF($U1482=1,IFERROR(IF(VALUE($B1482)&lt;100000000,VALUE($B1482),1000000000),IFERROR(IF(VALUE(MID($B1482,2,20))&lt;100000000,VALUE(MID($B1482,2,20)),1000000000),1000000000))+ROW()/100000,"")</f>
        <v/>
      </c>
    </row>
    <row r="1483">
      <c r="A1483">
        <f>IF($B1483="","",IFERROR(IF(INDEX('Per Invoice'!$C$2:$C$401,MATCH($B1483,'Per Invoice'!$A$2:$A$401,0))=0,"",INDEX('Per Invoice'!$C$2:$C$401,MATCH($B1483,'Per Invoice'!$A$2:$A$401,0))),""))</f>
        <v/>
      </c>
      <c r="G1483" s="7">
        <f>IF($B1483="","",F1483*L1483/100)</f>
        <v/>
      </c>
      <c r="K1483" s="7" t="n"/>
      <c r="L1483" s="7" t="n"/>
      <c r="M1483" s="7">
        <f>IF($B1483="","",L1483*T1483/100)</f>
        <v/>
      </c>
      <c r="N1483" s="7">
        <f>IF($B1483="","",L1483-M1483)</f>
        <v/>
      </c>
      <c r="O1483" s="7">
        <f>IF($B1483="","",N1483-G1483)</f>
        <v/>
      </c>
      <c r="R1483" s="14" t="n"/>
      <c r="T1483">
        <f>IF($B1483="","",IF($W1483=1,Settings!$C$6,Settings!$C$7)*100)</f>
        <v/>
      </c>
      <c r="U1483">
        <f>IF($B1483="","",IF(COUNTIF($B$2:$B1483,$B1483)=1,1,0))</f>
        <v/>
      </c>
      <c r="V1483">
        <f>IF($U1483=1,SUMPRODUCT(--($X$2:$X$1501&lt;$X1483))+1,"")</f>
        <v/>
      </c>
      <c r="W1483">
        <f>IF($B1483="","",IF(OR($S1483=TRUE(),$S1483="TRUE"),1,0))</f>
        <v/>
      </c>
      <c r="X1483">
        <f>IF($U1483=1,IFERROR(IF(VALUE($B1483)&lt;100000000,VALUE($B1483),1000000000),IFERROR(IF(VALUE(MID($B1483,2,20))&lt;100000000,VALUE(MID($B1483,2,20)),1000000000),1000000000))+ROW()/100000,"")</f>
        <v/>
      </c>
    </row>
    <row r="1484">
      <c r="A1484">
        <f>IF($B1484="","",IFERROR(IF(INDEX('Per Invoice'!$C$2:$C$401,MATCH($B1484,'Per Invoice'!$A$2:$A$401,0))=0,"",INDEX('Per Invoice'!$C$2:$C$401,MATCH($B1484,'Per Invoice'!$A$2:$A$401,0))),""))</f>
        <v/>
      </c>
      <c r="G1484" s="7">
        <f>IF($B1484="","",F1484*L1484/100)</f>
        <v/>
      </c>
      <c r="K1484" s="7" t="n"/>
      <c r="L1484" s="7" t="n"/>
      <c r="M1484" s="7">
        <f>IF($B1484="","",L1484*T1484/100)</f>
        <v/>
      </c>
      <c r="N1484" s="7">
        <f>IF($B1484="","",L1484-M1484)</f>
        <v/>
      </c>
      <c r="O1484" s="7">
        <f>IF($B1484="","",N1484-G1484)</f>
        <v/>
      </c>
      <c r="R1484" s="14" t="n"/>
      <c r="T1484">
        <f>IF($B1484="","",IF($W1484=1,Settings!$C$6,Settings!$C$7)*100)</f>
        <v/>
      </c>
      <c r="U1484">
        <f>IF($B1484="","",IF(COUNTIF($B$2:$B1484,$B1484)=1,1,0))</f>
        <v/>
      </c>
      <c r="V1484">
        <f>IF($U1484=1,SUMPRODUCT(--($X$2:$X$1501&lt;$X1484))+1,"")</f>
        <v/>
      </c>
      <c r="W1484">
        <f>IF($B1484="","",IF(OR($S1484=TRUE(),$S1484="TRUE"),1,0))</f>
        <v/>
      </c>
      <c r="X1484">
        <f>IF($U1484=1,IFERROR(IF(VALUE($B1484)&lt;100000000,VALUE($B1484),1000000000),IFERROR(IF(VALUE(MID($B1484,2,20))&lt;100000000,VALUE(MID($B1484,2,20)),1000000000),1000000000))+ROW()/100000,"")</f>
        <v/>
      </c>
    </row>
    <row r="1485">
      <c r="A1485">
        <f>IF($B1485="","",IFERROR(IF(INDEX('Per Invoice'!$C$2:$C$401,MATCH($B1485,'Per Invoice'!$A$2:$A$401,0))=0,"",INDEX('Per Invoice'!$C$2:$C$401,MATCH($B1485,'Per Invoice'!$A$2:$A$401,0))),""))</f>
        <v/>
      </c>
      <c r="G1485" s="7">
        <f>IF($B1485="","",F1485*L1485/100)</f>
        <v/>
      </c>
      <c r="K1485" s="7" t="n"/>
      <c r="L1485" s="7" t="n"/>
      <c r="M1485" s="7">
        <f>IF($B1485="","",L1485*T1485/100)</f>
        <v/>
      </c>
      <c r="N1485" s="7">
        <f>IF($B1485="","",L1485-M1485)</f>
        <v/>
      </c>
      <c r="O1485" s="7">
        <f>IF($B1485="","",N1485-G1485)</f>
        <v/>
      </c>
      <c r="R1485" s="14" t="n"/>
      <c r="T1485">
        <f>IF($B1485="","",IF($W1485=1,Settings!$C$6,Settings!$C$7)*100)</f>
        <v/>
      </c>
      <c r="U1485">
        <f>IF($B1485="","",IF(COUNTIF($B$2:$B1485,$B1485)=1,1,0))</f>
        <v/>
      </c>
      <c r="V1485">
        <f>IF($U1485=1,SUMPRODUCT(--($X$2:$X$1501&lt;$X1485))+1,"")</f>
        <v/>
      </c>
      <c r="W1485">
        <f>IF($B1485="","",IF(OR($S1485=TRUE(),$S1485="TRUE"),1,0))</f>
        <v/>
      </c>
      <c r="X1485">
        <f>IF($U1485=1,IFERROR(IF(VALUE($B1485)&lt;100000000,VALUE($B1485),1000000000),IFERROR(IF(VALUE(MID($B1485,2,20))&lt;100000000,VALUE(MID($B1485,2,20)),1000000000),1000000000))+ROW()/100000,"")</f>
        <v/>
      </c>
    </row>
    <row r="1486">
      <c r="A1486">
        <f>IF($B1486="","",IFERROR(IF(INDEX('Per Invoice'!$C$2:$C$401,MATCH($B1486,'Per Invoice'!$A$2:$A$401,0))=0,"",INDEX('Per Invoice'!$C$2:$C$401,MATCH($B1486,'Per Invoice'!$A$2:$A$401,0))),""))</f>
        <v/>
      </c>
      <c r="G1486" s="7">
        <f>IF($B1486="","",F1486*L1486/100)</f>
        <v/>
      </c>
      <c r="K1486" s="7" t="n"/>
      <c r="L1486" s="7" t="n"/>
      <c r="M1486" s="7">
        <f>IF($B1486="","",L1486*T1486/100)</f>
        <v/>
      </c>
      <c r="N1486" s="7">
        <f>IF($B1486="","",L1486-M1486)</f>
        <v/>
      </c>
      <c r="O1486" s="7">
        <f>IF($B1486="","",N1486-G1486)</f>
        <v/>
      </c>
      <c r="R1486" s="14" t="n"/>
      <c r="T1486">
        <f>IF($B1486="","",IF($W1486=1,Settings!$C$6,Settings!$C$7)*100)</f>
        <v/>
      </c>
      <c r="U1486">
        <f>IF($B1486="","",IF(COUNTIF($B$2:$B1486,$B1486)=1,1,0))</f>
        <v/>
      </c>
      <c r="V1486">
        <f>IF($U1486=1,SUMPRODUCT(--($X$2:$X$1501&lt;$X1486))+1,"")</f>
        <v/>
      </c>
      <c r="W1486">
        <f>IF($B1486="","",IF(OR($S1486=TRUE(),$S1486="TRUE"),1,0))</f>
        <v/>
      </c>
      <c r="X1486">
        <f>IF($U1486=1,IFERROR(IF(VALUE($B1486)&lt;100000000,VALUE($B1486),1000000000),IFERROR(IF(VALUE(MID($B1486,2,20))&lt;100000000,VALUE(MID($B1486,2,20)),1000000000),1000000000))+ROW()/100000,"")</f>
        <v/>
      </c>
    </row>
    <row r="1487">
      <c r="A1487">
        <f>IF($B1487="","",IFERROR(IF(INDEX('Per Invoice'!$C$2:$C$401,MATCH($B1487,'Per Invoice'!$A$2:$A$401,0))=0,"",INDEX('Per Invoice'!$C$2:$C$401,MATCH($B1487,'Per Invoice'!$A$2:$A$401,0))),""))</f>
        <v/>
      </c>
      <c r="G1487" s="7">
        <f>IF($B1487="","",F1487*L1487/100)</f>
        <v/>
      </c>
      <c r="K1487" s="7" t="n"/>
      <c r="L1487" s="7" t="n"/>
      <c r="M1487" s="7">
        <f>IF($B1487="","",L1487*T1487/100)</f>
        <v/>
      </c>
      <c r="N1487" s="7">
        <f>IF($B1487="","",L1487-M1487)</f>
        <v/>
      </c>
      <c r="O1487" s="7">
        <f>IF($B1487="","",N1487-G1487)</f>
        <v/>
      </c>
      <c r="R1487" s="14" t="n"/>
      <c r="T1487">
        <f>IF($B1487="","",IF($W1487=1,Settings!$C$6,Settings!$C$7)*100)</f>
        <v/>
      </c>
      <c r="U1487">
        <f>IF($B1487="","",IF(COUNTIF($B$2:$B1487,$B1487)=1,1,0))</f>
        <v/>
      </c>
      <c r="V1487">
        <f>IF($U1487=1,SUMPRODUCT(--($X$2:$X$1501&lt;$X1487))+1,"")</f>
        <v/>
      </c>
      <c r="W1487">
        <f>IF($B1487="","",IF(OR($S1487=TRUE(),$S1487="TRUE"),1,0))</f>
        <v/>
      </c>
      <c r="X1487">
        <f>IF($U1487=1,IFERROR(IF(VALUE($B1487)&lt;100000000,VALUE($B1487),1000000000),IFERROR(IF(VALUE(MID($B1487,2,20))&lt;100000000,VALUE(MID($B1487,2,20)),1000000000),1000000000))+ROW()/100000,"")</f>
        <v/>
      </c>
    </row>
    <row r="1488">
      <c r="A1488">
        <f>IF($B1488="","",IFERROR(IF(INDEX('Per Invoice'!$C$2:$C$401,MATCH($B1488,'Per Invoice'!$A$2:$A$401,0))=0,"",INDEX('Per Invoice'!$C$2:$C$401,MATCH($B1488,'Per Invoice'!$A$2:$A$401,0))),""))</f>
        <v/>
      </c>
      <c r="G1488" s="7">
        <f>IF($B1488="","",F1488*L1488/100)</f>
        <v/>
      </c>
      <c r="K1488" s="7" t="n"/>
      <c r="L1488" s="7" t="n"/>
      <c r="M1488" s="7">
        <f>IF($B1488="","",L1488*T1488/100)</f>
        <v/>
      </c>
      <c r="N1488" s="7">
        <f>IF($B1488="","",L1488-M1488)</f>
        <v/>
      </c>
      <c r="O1488" s="7">
        <f>IF($B1488="","",N1488-G1488)</f>
        <v/>
      </c>
      <c r="R1488" s="14" t="n"/>
      <c r="T1488">
        <f>IF($B1488="","",IF($W1488=1,Settings!$C$6,Settings!$C$7)*100)</f>
        <v/>
      </c>
      <c r="U1488">
        <f>IF($B1488="","",IF(COUNTIF($B$2:$B1488,$B1488)=1,1,0))</f>
        <v/>
      </c>
      <c r="V1488">
        <f>IF($U1488=1,SUMPRODUCT(--($X$2:$X$1501&lt;$X1488))+1,"")</f>
        <v/>
      </c>
      <c r="W1488">
        <f>IF($B1488="","",IF(OR($S1488=TRUE(),$S1488="TRUE"),1,0))</f>
        <v/>
      </c>
      <c r="X1488">
        <f>IF($U1488=1,IFERROR(IF(VALUE($B1488)&lt;100000000,VALUE($B1488),1000000000),IFERROR(IF(VALUE(MID($B1488,2,20))&lt;100000000,VALUE(MID($B1488,2,20)),1000000000),1000000000))+ROW()/100000,"")</f>
        <v/>
      </c>
    </row>
    <row r="1489">
      <c r="A1489">
        <f>IF($B1489="","",IFERROR(IF(INDEX('Per Invoice'!$C$2:$C$401,MATCH($B1489,'Per Invoice'!$A$2:$A$401,0))=0,"",INDEX('Per Invoice'!$C$2:$C$401,MATCH($B1489,'Per Invoice'!$A$2:$A$401,0))),""))</f>
        <v/>
      </c>
      <c r="G1489" s="7">
        <f>IF($B1489="","",F1489*L1489/100)</f>
        <v/>
      </c>
      <c r="K1489" s="7" t="n"/>
      <c r="L1489" s="7" t="n"/>
      <c r="M1489" s="7">
        <f>IF($B1489="","",L1489*T1489/100)</f>
        <v/>
      </c>
      <c r="N1489" s="7">
        <f>IF($B1489="","",L1489-M1489)</f>
        <v/>
      </c>
      <c r="O1489" s="7">
        <f>IF($B1489="","",N1489-G1489)</f>
        <v/>
      </c>
      <c r="R1489" s="14" t="n"/>
      <c r="T1489">
        <f>IF($B1489="","",IF($W1489=1,Settings!$C$6,Settings!$C$7)*100)</f>
        <v/>
      </c>
      <c r="U1489">
        <f>IF($B1489="","",IF(COUNTIF($B$2:$B1489,$B1489)=1,1,0))</f>
        <v/>
      </c>
      <c r="V1489">
        <f>IF($U1489=1,SUMPRODUCT(--($X$2:$X$1501&lt;$X1489))+1,"")</f>
        <v/>
      </c>
      <c r="W1489">
        <f>IF($B1489="","",IF(OR($S1489=TRUE(),$S1489="TRUE"),1,0))</f>
        <v/>
      </c>
      <c r="X1489">
        <f>IF($U1489=1,IFERROR(IF(VALUE($B1489)&lt;100000000,VALUE($B1489),1000000000),IFERROR(IF(VALUE(MID($B1489,2,20))&lt;100000000,VALUE(MID($B1489,2,20)),1000000000),1000000000))+ROW()/100000,"")</f>
        <v/>
      </c>
    </row>
    <row r="1490">
      <c r="A1490">
        <f>IF($B1490="","",IFERROR(IF(INDEX('Per Invoice'!$C$2:$C$401,MATCH($B1490,'Per Invoice'!$A$2:$A$401,0))=0,"",INDEX('Per Invoice'!$C$2:$C$401,MATCH($B1490,'Per Invoice'!$A$2:$A$401,0))),""))</f>
        <v/>
      </c>
      <c r="G1490" s="7">
        <f>IF($B1490="","",F1490*L1490/100)</f>
        <v/>
      </c>
      <c r="K1490" s="7" t="n"/>
      <c r="L1490" s="7" t="n"/>
      <c r="M1490" s="7">
        <f>IF($B1490="","",L1490*T1490/100)</f>
        <v/>
      </c>
      <c r="N1490" s="7">
        <f>IF($B1490="","",L1490-M1490)</f>
        <v/>
      </c>
      <c r="O1490" s="7">
        <f>IF($B1490="","",N1490-G1490)</f>
        <v/>
      </c>
      <c r="R1490" s="14" t="n"/>
      <c r="T1490">
        <f>IF($B1490="","",IF($W1490=1,Settings!$C$6,Settings!$C$7)*100)</f>
        <v/>
      </c>
      <c r="U1490">
        <f>IF($B1490="","",IF(COUNTIF($B$2:$B1490,$B1490)=1,1,0))</f>
        <v/>
      </c>
      <c r="V1490">
        <f>IF($U1490=1,SUMPRODUCT(--($X$2:$X$1501&lt;$X1490))+1,"")</f>
        <v/>
      </c>
      <c r="W1490">
        <f>IF($B1490="","",IF(OR($S1490=TRUE(),$S1490="TRUE"),1,0))</f>
        <v/>
      </c>
      <c r="X1490">
        <f>IF($U1490=1,IFERROR(IF(VALUE($B1490)&lt;100000000,VALUE($B1490),1000000000),IFERROR(IF(VALUE(MID($B1490,2,20))&lt;100000000,VALUE(MID($B1490,2,20)),1000000000),1000000000))+ROW()/100000,"")</f>
        <v/>
      </c>
    </row>
    <row r="1491">
      <c r="A1491">
        <f>IF($B1491="","",IFERROR(IF(INDEX('Per Invoice'!$C$2:$C$401,MATCH($B1491,'Per Invoice'!$A$2:$A$401,0))=0,"",INDEX('Per Invoice'!$C$2:$C$401,MATCH($B1491,'Per Invoice'!$A$2:$A$401,0))),""))</f>
        <v/>
      </c>
      <c r="G1491" s="7">
        <f>IF($B1491="","",F1491*L1491/100)</f>
        <v/>
      </c>
      <c r="K1491" s="7" t="n"/>
      <c r="L1491" s="7" t="n"/>
      <c r="M1491" s="7">
        <f>IF($B1491="","",L1491*T1491/100)</f>
        <v/>
      </c>
      <c r="N1491" s="7">
        <f>IF($B1491="","",L1491-M1491)</f>
        <v/>
      </c>
      <c r="O1491" s="7">
        <f>IF($B1491="","",N1491-G1491)</f>
        <v/>
      </c>
      <c r="R1491" s="14" t="n"/>
      <c r="T1491">
        <f>IF($B1491="","",IF($W1491=1,Settings!$C$6,Settings!$C$7)*100)</f>
        <v/>
      </c>
      <c r="U1491">
        <f>IF($B1491="","",IF(COUNTIF($B$2:$B1491,$B1491)=1,1,0))</f>
        <v/>
      </c>
      <c r="V1491">
        <f>IF($U1491=1,SUMPRODUCT(--($X$2:$X$1501&lt;$X1491))+1,"")</f>
        <v/>
      </c>
      <c r="W1491">
        <f>IF($B1491="","",IF(OR($S1491=TRUE(),$S1491="TRUE"),1,0))</f>
        <v/>
      </c>
      <c r="X1491">
        <f>IF($U1491=1,IFERROR(IF(VALUE($B1491)&lt;100000000,VALUE($B1491),1000000000),IFERROR(IF(VALUE(MID($B1491,2,20))&lt;100000000,VALUE(MID($B1491,2,20)),1000000000),1000000000))+ROW()/100000,"")</f>
        <v/>
      </c>
    </row>
    <row r="1492">
      <c r="A1492">
        <f>IF($B1492="","",IFERROR(IF(INDEX('Per Invoice'!$C$2:$C$401,MATCH($B1492,'Per Invoice'!$A$2:$A$401,0))=0,"",INDEX('Per Invoice'!$C$2:$C$401,MATCH($B1492,'Per Invoice'!$A$2:$A$401,0))),""))</f>
        <v/>
      </c>
      <c r="G1492" s="7">
        <f>IF($B1492="","",F1492*L1492/100)</f>
        <v/>
      </c>
      <c r="K1492" s="7" t="n"/>
      <c r="L1492" s="7" t="n"/>
      <c r="M1492" s="7">
        <f>IF($B1492="","",L1492*T1492/100)</f>
        <v/>
      </c>
      <c r="N1492" s="7">
        <f>IF($B1492="","",L1492-M1492)</f>
        <v/>
      </c>
      <c r="O1492" s="7">
        <f>IF($B1492="","",N1492-G1492)</f>
        <v/>
      </c>
      <c r="R1492" s="14" t="n"/>
      <c r="T1492">
        <f>IF($B1492="","",IF($W1492=1,Settings!$C$6,Settings!$C$7)*100)</f>
        <v/>
      </c>
      <c r="U1492">
        <f>IF($B1492="","",IF(COUNTIF($B$2:$B1492,$B1492)=1,1,0))</f>
        <v/>
      </c>
      <c r="V1492">
        <f>IF($U1492=1,SUMPRODUCT(--($X$2:$X$1501&lt;$X1492))+1,"")</f>
        <v/>
      </c>
      <c r="W1492">
        <f>IF($B1492="","",IF(OR($S1492=TRUE(),$S1492="TRUE"),1,0))</f>
        <v/>
      </c>
      <c r="X1492">
        <f>IF($U1492=1,IFERROR(IF(VALUE($B1492)&lt;100000000,VALUE($B1492),1000000000),IFERROR(IF(VALUE(MID($B1492,2,20))&lt;100000000,VALUE(MID($B1492,2,20)),1000000000),1000000000))+ROW()/100000,"")</f>
        <v/>
      </c>
    </row>
    <row r="1493">
      <c r="A1493">
        <f>IF($B1493="","",IFERROR(IF(INDEX('Per Invoice'!$C$2:$C$401,MATCH($B1493,'Per Invoice'!$A$2:$A$401,0))=0,"",INDEX('Per Invoice'!$C$2:$C$401,MATCH($B1493,'Per Invoice'!$A$2:$A$401,0))),""))</f>
        <v/>
      </c>
      <c r="G1493" s="7">
        <f>IF($B1493="","",F1493*L1493/100)</f>
        <v/>
      </c>
      <c r="K1493" s="7" t="n"/>
      <c r="L1493" s="7" t="n"/>
      <c r="M1493" s="7">
        <f>IF($B1493="","",L1493*T1493/100)</f>
        <v/>
      </c>
      <c r="N1493" s="7">
        <f>IF($B1493="","",L1493-M1493)</f>
        <v/>
      </c>
      <c r="O1493" s="7">
        <f>IF($B1493="","",N1493-G1493)</f>
        <v/>
      </c>
      <c r="R1493" s="14" t="n"/>
      <c r="T1493">
        <f>IF($B1493="","",IF($W1493=1,Settings!$C$6,Settings!$C$7)*100)</f>
        <v/>
      </c>
      <c r="U1493">
        <f>IF($B1493="","",IF(COUNTIF($B$2:$B1493,$B1493)=1,1,0))</f>
        <v/>
      </c>
      <c r="V1493">
        <f>IF($U1493=1,SUMPRODUCT(--($X$2:$X$1501&lt;$X1493))+1,"")</f>
        <v/>
      </c>
      <c r="W1493">
        <f>IF($B1493="","",IF(OR($S1493=TRUE(),$S1493="TRUE"),1,0))</f>
        <v/>
      </c>
      <c r="X1493">
        <f>IF($U1493=1,IFERROR(IF(VALUE($B1493)&lt;100000000,VALUE($B1493),1000000000),IFERROR(IF(VALUE(MID($B1493,2,20))&lt;100000000,VALUE(MID($B1493,2,20)),1000000000),1000000000))+ROW()/100000,"")</f>
        <v/>
      </c>
    </row>
    <row r="1494">
      <c r="A1494">
        <f>IF($B1494="","",IFERROR(IF(INDEX('Per Invoice'!$C$2:$C$401,MATCH($B1494,'Per Invoice'!$A$2:$A$401,0))=0,"",INDEX('Per Invoice'!$C$2:$C$401,MATCH($B1494,'Per Invoice'!$A$2:$A$401,0))),""))</f>
        <v/>
      </c>
      <c r="G1494" s="7">
        <f>IF($B1494="","",F1494*L1494/100)</f>
        <v/>
      </c>
      <c r="K1494" s="7" t="n"/>
      <c r="L1494" s="7" t="n"/>
      <c r="M1494" s="7">
        <f>IF($B1494="","",L1494*T1494/100)</f>
        <v/>
      </c>
      <c r="N1494" s="7">
        <f>IF($B1494="","",L1494-M1494)</f>
        <v/>
      </c>
      <c r="O1494" s="7">
        <f>IF($B1494="","",N1494-G1494)</f>
        <v/>
      </c>
      <c r="R1494" s="14" t="n"/>
      <c r="T1494">
        <f>IF($B1494="","",IF($W1494=1,Settings!$C$6,Settings!$C$7)*100)</f>
        <v/>
      </c>
      <c r="U1494">
        <f>IF($B1494="","",IF(COUNTIF($B$2:$B1494,$B1494)=1,1,0))</f>
        <v/>
      </c>
      <c r="V1494">
        <f>IF($U1494=1,SUMPRODUCT(--($X$2:$X$1501&lt;$X1494))+1,"")</f>
        <v/>
      </c>
      <c r="W1494">
        <f>IF($B1494="","",IF(OR($S1494=TRUE(),$S1494="TRUE"),1,0))</f>
        <v/>
      </c>
      <c r="X1494">
        <f>IF($U1494=1,IFERROR(IF(VALUE($B1494)&lt;100000000,VALUE($B1494),1000000000),IFERROR(IF(VALUE(MID($B1494,2,20))&lt;100000000,VALUE(MID($B1494,2,20)),1000000000),1000000000))+ROW()/100000,"")</f>
        <v/>
      </c>
    </row>
    <row r="1495">
      <c r="A1495">
        <f>IF($B1495="","",IFERROR(IF(INDEX('Per Invoice'!$C$2:$C$401,MATCH($B1495,'Per Invoice'!$A$2:$A$401,0))=0,"",INDEX('Per Invoice'!$C$2:$C$401,MATCH($B1495,'Per Invoice'!$A$2:$A$401,0))),""))</f>
        <v/>
      </c>
      <c r="G1495" s="7">
        <f>IF($B1495="","",F1495*L1495/100)</f>
        <v/>
      </c>
      <c r="K1495" s="7" t="n"/>
      <c r="L1495" s="7" t="n"/>
      <c r="M1495" s="7">
        <f>IF($B1495="","",L1495*T1495/100)</f>
        <v/>
      </c>
      <c r="N1495" s="7">
        <f>IF($B1495="","",L1495-M1495)</f>
        <v/>
      </c>
      <c r="O1495" s="7">
        <f>IF($B1495="","",N1495-G1495)</f>
        <v/>
      </c>
      <c r="R1495" s="14" t="n"/>
      <c r="T1495">
        <f>IF($B1495="","",IF($W1495=1,Settings!$C$6,Settings!$C$7)*100)</f>
        <v/>
      </c>
      <c r="U1495">
        <f>IF($B1495="","",IF(COUNTIF($B$2:$B1495,$B1495)=1,1,0))</f>
        <v/>
      </c>
      <c r="V1495">
        <f>IF($U1495=1,SUMPRODUCT(--($X$2:$X$1501&lt;$X1495))+1,"")</f>
        <v/>
      </c>
      <c r="W1495">
        <f>IF($B1495="","",IF(OR($S1495=TRUE(),$S1495="TRUE"),1,0))</f>
        <v/>
      </c>
      <c r="X1495">
        <f>IF($U1495=1,IFERROR(IF(VALUE($B1495)&lt;100000000,VALUE($B1495),1000000000),IFERROR(IF(VALUE(MID($B1495,2,20))&lt;100000000,VALUE(MID($B1495,2,20)),1000000000),1000000000))+ROW()/100000,"")</f>
        <v/>
      </c>
    </row>
    <row r="1496">
      <c r="A1496">
        <f>IF($B1496="","",IFERROR(IF(INDEX('Per Invoice'!$C$2:$C$401,MATCH($B1496,'Per Invoice'!$A$2:$A$401,0))=0,"",INDEX('Per Invoice'!$C$2:$C$401,MATCH($B1496,'Per Invoice'!$A$2:$A$401,0))),""))</f>
        <v/>
      </c>
      <c r="G1496" s="7">
        <f>IF($B1496="","",F1496*L1496/100)</f>
        <v/>
      </c>
      <c r="K1496" s="7" t="n"/>
      <c r="L1496" s="7" t="n"/>
      <c r="M1496" s="7">
        <f>IF($B1496="","",L1496*T1496/100)</f>
        <v/>
      </c>
      <c r="N1496" s="7">
        <f>IF($B1496="","",L1496-M1496)</f>
        <v/>
      </c>
      <c r="O1496" s="7">
        <f>IF($B1496="","",N1496-G1496)</f>
        <v/>
      </c>
      <c r="R1496" s="14" t="n"/>
      <c r="T1496">
        <f>IF($B1496="","",IF($W1496=1,Settings!$C$6,Settings!$C$7)*100)</f>
        <v/>
      </c>
      <c r="U1496">
        <f>IF($B1496="","",IF(COUNTIF($B$2:$B1496,$B1496)=1,1,0))</f>
        <v/>
      </c>
      <c r="V1496">
        <f>IF($U1496=1,SUMPRODUCT(--($X$2:$X$1501&lt;$X1496))+1,"")</f>
        <v/>
      </c>
      <c r="W1496">
        <f>IF($B1496="","",IF(OR($S1496=TRUE(),$S1496="TRUE"),1,0))</f>
        <v/>
      </c>
      <c r="X1496">
        <f>IF($U1496=1,IFERROR(IF(VALUE($B1496)&lt;100000000,VALUE($B1496),1000000000),IFERROR(IF(VALUE(MID($B1496,2,20))&lt;100000000,VALUE(MID($B1496,2,20)),1000000000),1000000000))+ROW()/100000,"")</f>
        <v/>
      </c>
    </row>
    <row r="1497">
      <c r="A1497">
        <f>IF($B1497="","",IFERROR(IF(INDEX('Per Invoice'!$C$2:$C$401,MATCH($B1497,'Per Invoice'!$A$2:$A$401,0))=0,"",INDEX('Per Invoice'!$C$2:$C$401,MATCH($B1497,'Per Invoice'!$A$2:$A$401,0))),""))</f>
        <v/>
      </c>
      <c r="G1497" s="7">
        <f>IF($B1497="","",F1497*L1497/100)</f>
        <v/>
      </c>
      <c r="K1497" s="7" t="n"/>
      <c r="L1497" s="7" t="n"/>
      <c r="M1497" s="7">
        <f>IF($B1497="","",L1497*T1497/100)</f>
        <v/>
      </c>
      <c r="N1497" s="7">
        <f>IF($B1497="","",L1497-M1497)</f>
        <v/>
      </c>
      <c r="O1497" s="7">
        <f>IF($B1497="","",N1497-G1497)</f>
        <v/>
      </c>
      <c r="R1497" s="14" t="n"/>
      <c r="T1497">
        <f>IF($B1497="","",IF($W1497=1,Settings!$C$6,Settings!$C$7)*100)</f>
        <v/>
      </c>
      <c r="U1497">
        <f>IF($B1497="","",IF(COUNTIF($B$2:$B1497,$B1497)=1,1,0))</f>
        <v/>
      </c>
      <c r="V1497">
        <f>IF($U1497=1,SUMPRODUCT(--($X$2:$X$1501&lt;$X1497))+1,"")</f>
        <v/>
      </c>
      <c r="W1497">
        <f>IF($B1497="","",IF(OR($S1497=TRUE(),$S1497="TRUE"),1,0))</f>
        <v/>
      </c>
      <c r="X1497">
        <f>IF($U1497=1,IFERROR(IF(VALUE($B1497)&lt;100000000,VALUE($B1497),1000000000),IFERROR(IF(VALUE(MID($B1497,2,20))&lt;100000000,VALUE(MID($B1497,2,20)),1000000000),1000000000))+ROW()/100000,"")</f>
        <v/>
      </c>
    </row>
    <row r="1498">
      <c r="A1498">
        <f>IF($B1498="","",IFERROR(IF(INDEX('Per Invoice'!$C$2:$C$401,MATCH($B1498,'Per Invoice'!$A$2:$A$401,0))=0,"",INDEX('Per Invoice'!$C$2:$C$401,MATCH($B1498,'Per Invoice'!$A$2:$A$401,0))),""))</f>
        <v/>
      </c>
      <c r="G1498" s="7">
        <f>IF($B1498="","",F1498*L1498/100)</f>
        <v/>
      </c>
      <c r="K1498" s="7" t="n"/>
      <c r="L1498" s="7" t="n"/>
      <c r="M1498" s="7">
        <f>IF($B1498="","",L1498*T1498/100)</f>
        <v/>
      </c>
      <c r="N1498" s="7">
        <f>IF($B1498="","",L1498-M1498)</f>
        <v/>
      </c>
      <c r="O1498" s="7">
        <f>IF($B1498="","",N1498-G1498)</f>
        <v/>
      </c>
      <c r="R1498" s="14" t="n"/>
      <c r="T1498">
        <f>IF($B1498="","",IF($W1498=1,Settings!$C$6,Settings!$C$7)*100)</f>
        <v/>
      </c>
      <c r="U1498">
        <f>IF($B1498="","",IF(COUNTIF($B$2:$B1498,$B1498)=1,1,0))</f>
        <v/>
      </c>
      <c r="V1498">
        <f>IF($U1498=1,SUMPRODUCT(--($X$2:$X$1501&lt;$X1498))+1,"")</f>
        <v/>
      </c>
      <c r="W1498">
        <f>IF($B1498="","",IF(OR($S1498=TRUE(),$S1498="TRUE"),1,0))</f>
        <v/>
      </c>
      <c r="X1498">
        <f>IF($U1498=1,IFERROR(IF(VALUE($B1498)&lt;100000000,VALUE($B1498),1000000000),IFERROR(IF(VALUE(MID($B1498,2,20))&lt;100000000,VALUE(MID($B1498,2,20)),1000000000),1000000000))+ROW()/100000,"")</f>
        <v/>
      </c>
    </row>
    <row r="1499">
      <c r="A1499">
        <f>IF($B1499="","",IFERROR(IF(INDEX('Per Invoice'!$C$2:$C$401,MATCH($B1499,'Per Invoice'!$A$2:$A$401,0))=0,"",INDEX('Per Invoice'!$C$2:$C$401,MATCH($B1499,'Per Invoice'!$A$2:$A$401,0))),""))</f>
        <v/>
      </c>
      <c r="G1499" s="7">
        <f>IF($B1499="","",F1499*L1499/100)</f>
        <v/>
      </c>
      <c r="K1499" s="7" t="n"/>
      <c r="L1499" s="7" t="n"/>
      <c r="M1499" s="7">
        <f>IF($B1499="","",L1499*T1499/100)</f>
        <v/>
      </c>
      <c r="N1499" s="7">
        <f>IF($B1499="","",L1499-M1499)</f>
        <v/>
      </c>
      <c r="O1499" s="7">
        <f>IF($B1499="","",N1499-G1499)</f>
        <v/>
      </c>
      <c r="R1499" s="14" t="n"/>
      <c r="T1499">
        <f>IF($B1499="","",IF($W1499=1,Settings!$C$6,Settings!$C$7)*100)</f>
        <v/>
      </c>
      <c r="U1499">
        <f>IF($B1499="","",IF(COUNTIF($B$2:$B1499,$B1499)=1,1,0))</f>
        <v/>
      </c>
      <c r="V1499">
        <f>IF($U1499=1,SUMPRODUCT(--($X$2:$X$1501&lt;$X1499))+1,"")</f>
        <v/>
      </c>
      <c r="W1499">
        <f>IF($B1499="","",IF(OR($S1499=TRUE(),$S1499="TRUE"),1,0))</f>
        <v/>
      </c>
      <c r="X1499">
        <f>IF($U1499=1,IFERROR(IF(VALUE($B1499)&lt;100000000,VALUE($B1499),1000000000),IFERROR(IF(VALUE(MID($B1499,2,20))&lt;100000000,VALUE(MID($B1499,2,20)),1000000000),1000000000))+ROW()/100000,"")</f>
        <v/>
      </c>
    </row>
    <row r="1500">
      <c r="A1500">
        <f>IF($B1500="","",IFERROR(IF(INDEX('Per Invoice'!$C$2:$C$401,MATCH($B1500,'Per Invoice'!$A$2:$A$401,0))=0,"",INDEX('Per Invoice'!$C$2:$C$401,MATCH($B1500,'Per Invoice'!$A$2:$A$401,0))),""))</f>
        <v/>
      </c>
      <c r="G1500" s="7">
        <f>IF($B1500="","",F1500*L1500/100)</f>
        <v/>
      </c>
      <c r="K1500" s="7" t="n"/>
      <c r="L1500" s="7" t="n"/>
      <c r="M1500" s="7">
        <f>IF($B1500="","",L1500*T1500/100)</f>
        <v/>
      </c>
      <c r="N1500" s="7">
        <f>IF($B1500="","",L1500-M1500)</f>
        <v/>
      </c>
      <c r="O1500" s="7">
        <f>IF($B1500="","",N1500-G1500)</f>
        <v/>
      </c>
      <c r="R1500" s="14" t="n"/>
      <c r="T1500">
        <f>IF($B1500="","",IF($W1500=1,Settings!$C$6,Settings!$C$7)*100)</f>
        <v/>
      </c>
      <c r="U1500">
        <f>IF($B1500="","",IF(COUNTIF($B$2:$B1500,$B1500)=1,1,0))</f>
        <v/>
      </c>
      <c r="V1500">
        <f>IF($U1500=1,SUMPRODUCT(--($X$2:$X$1501&lt;$X1500))+1,"")</f>
        <v/>
      </c>
      <c r="W1500">
        <f>IF($B1500="","",IF(OR($S1500=TRUE(),$S1500="TRUE"),1,0))</f>
        <v/>
      </c>
      <c r="X1500">
        <f>IF($U1500=1,IFERROR(IF(VALUE($B1500)&lt;100000000,VALUE($B1500),1000000000),IFERROR(IF(VALUE(MID($B1500,2,20))&lt;100000000,VALUE(MID($B1500,2,20)),1000000000),1000000000))+ROW()/100000,"")</f>
        <v/>
      </c>
    </row>
    <row r="1501">
      <c r="A1501">
        <f>IF($B1501="","",IFERROR(IF(INDEX('Per Invoice'!$C$2:$C$401,MATCH($B1501,'Per Invoice'!$A$2:$A$401,0))=0,"",INDEX('Per Invoice'!$C$2:$C$401,MATCH($B1501,'Per Invoice'!$A$2:$A$401,0))),""))</f>
        <v/>
      </c>
      <c r="G1501" s="7">
        <f>IF($B1501="","",F1501*L1501/100)</f>
        <v/>
      </c>
      <c r="K1501" s="7" t="n"/>
      <c r="L1501" s="7" t="n"/>
      <c r="M1501" s="7">
        <f>IF($B1501="","",L1501*T1501/100)</f>
        <v/>
      </c>
      <c r="N1501" s="7">
        <f>IF($B1501="","",L1501-M1501)</f>
        <v/>
      </c>
      <c r="O1501" s="7">
        <f>IF($B1501="","",N1501-G1501)</f>
        <v/>
      </c>
      <c r="R1501" s="14" t="n"/>
      <c r="T1501">
        <f>IF($B1501="","",IF($W1501=1,Settings!$C$6,Settings!$C$7)*100)</f>
        <v/>
      </c>
      <c r="U1501">
        <f>IF($B1501="","",IF(COUNTIF($B$2:$B1501,$B1501)=1,1,0))</f>
        <v/>
      </c>
      <c r="V1501">
        <f>IF($U1501=1,SUMPRODUCT(--($X$2:$X$1501&lt;$X1501))+1,"")</f>
        <v/>
      </c>
      <c r="W1501">
        <f>IF($B1501="","",IF(OR($S1501=TRUE(),$S1501="TRUE"),1,0))</f>
        <v/>
      </c>
      <c r="X1501">
        <f>IF($U1501=1,IFERROR(IF(VALUE($B1501)&lt;100000000,VALUE($B1501),1000000000),IFERROR(IF(VALUE(MID($B1501,2,20))&lt;100000000,VALUE(MID($B1501,2,20)),1000000000),1000000000))+ROW()/100000,"")</f>
        <v/>
      </c>
    </row>
  </sheetData>
  <autoFilter ref="A1:X15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  <col width="20" customWidth="1" min="22" max="22"/>
  </cols>
  <sheetData>
    <row r="1" ht="32" customHeight="1">
      <c r="A1" s="10" t="inlineStr">
        <is>
          <t>Pos Reference</t>
        </is>
      </c>
      <c r="B1" s="10" t="inlineStr">
        <is>
          <t>Copay Tab (##)</t>
        </is>
      </c>
      <c r="C1" s="12" t="inlineStr">
        <is>
          <t>Invoice</t>
        </is>
      </c>
      <c r="D1" s="10" t="inlineStr">
        <is>
          <t>Insurance Company</t>
        </is>
      </c>
      <c r="E1" s="10" t="inlineStr">
        <is>
          <t>Name</t>
        </is>
      </c>
      <c r="F1" s="10" t="inlineStr">
        <is>
          <t>Card Number</t>
        </is>
      </c>
      <c r="G1" s="10" t="inlineStr">
        <is>
          <t>Co Payment %</t>
        </is>
      </c>
      <c r="H1" s="10" t="inlineStr">
        <is>
          <t>Co val</t>
        </is>
      </c>
      <c r="I1" s="10" t="inlineStr">
        <is>
          <t>Create Date</t>
        </is>
      </c>
      <c r="J1" s="10" t="inlineStr">
        <is>
          <t>Session</t>
        </is>
      </c>
      <c r="K1" s="10" t="inlineStr">
        <is>
          <t>IMP%</t>
        </is>
      </c>
      <c r="L1" s="10" t="inlineStr">
        <is>
          <t>IMP</t>
        </is>
      </c>
      <c r="M1" s="10" t="inlineStr">
        <is>
          <t>IMP VAL</t>
        </is>
      </c>
      <c r="N1" s="10" t="inlineStr">
        <is>
          <t>LOCAL%</t>
        </is>
      </c>
      <c r="O1" s="10" t="inlineStr">
        <is>
          <t>LOCAL</t>
        </is>
      </c>
      <c r="P1" s="10" t="inlineStr">
        <is>
          <t>LOCAL VAL</t>
        </is>
      </c>
      <c r="Q1" s="10" t="inlineStr">
        <is>
          <t>TOTAL VAL</t>
        </is>
      </c>
      <c r="R1" s="10" t="inlineStr">
        <is>
          <t>SUBTOTAL</t>
        </is>
      </c>
      <c r="S1" s="10" t="inlineStr">
        <is>
          <t>Grand Total</t>
        </is>
      </c>
      <c r="T1" s="10" t="inlineStr">
        <is>
          <t>NET</t>
        </is>
      </c>
      <c r="U1" s="13" t="inlineStr">
        <is>
          <t>Src Row (helper)</t>
        </is>
      </c>
      <c r="V1" s="13" t="inlineStr">
        <is>
          <t>Payer Key (helper)</t>
        </is>
      </c>
    </row>
    <row r="2">
      <c r="A2">
        <f>IF($U2="","",INDEX('Per Line'!$B$2:$B$1501,$U2)&amp;"")</f>
        <v/>
      </c>
      <c r="B2">
        <f>IF($U2="","","COPY "&amp;G2&amp;" %")</f>
        <v/>
      </c>
      <c r="C2" s="15" t="n"/>
      <c r="D2">
        <f>IF($U2="","",INDEX('Per Line'!$C$2:$C$1501,$U2)&amp;"")</f>
        <v/>
      </c>
      <c r="E2">
        <f>IF($U2="","",INDEX('Per Line'!$D$2:$D$1501,$U2)&amp;"")</f>
        <v/>
      </c>
      <c r="F2">
        <f>IF($U2="","",INDEX('Per Line'!$E$2:$E$1501,$U2)&amp;"")</f>
        <v/>
      </c>
      <c r="G2">
        <f>IF($U2="","",INDEX('Per Line'!$F$2:$F$1501,$U2))</f>
        <v/>
      </c>
      <c r="H2" s="7">
        <f>IF($U2="","",G2*S2/100)</f>
        <v/>
      </c>
      <c r="I2" s="14">
        <f>IF($U2="","",INDEX('Per Line'!$R$2:$R$1501,$U2))</f>
        <v/>
      </c>
      <c r="J2">
        <f>IF($U2="","",INDEX('Per Line'!$Q$2:$Q$1501,$U2)&amp;"")</f>
        <v/>
      </c>
      <c r="K2">
        <f>IF($U2="","",Settings!$C$7)</f>
        <v/>
      </c>
      <c r="L2" s="7">
        <f>IF($U2="","",SUMIFS('Per Line'!$L$2:$L$1501,'Per Line'!$B$2:$B$1501,$A2,'Per Line'!$W$2:$W$1501,0))</f>
        <v/>
      </c>
      <c r="M2" s="7">
        <f>IF($U2="","",L2*K2)</f>
        <v/>
      </c>
      <c r="N2">
        <f>IF($U2="","",Settings!$C$6)</f>
        <v/>
      </c>
      <c r="O2" s="7">
        <f>IF($U2="","",SUMIFS('Per Line'!$L$2:$L$1501,'Per Line'!$B$2:$B$1501,$A2,'Per Line'!$W$2:$W$1501,1))</f>
        <v/>
      </c>
      <c r="P2" s="7">
        <f>IF($U2="","",O2*N2)</f>
        <v/>
      </c>
      <c r="Q2" s="7">
        <f>IF($U2="","",P2+M2)</f>
        <v/>
      </c>
      <c r="R2" s="7">
        <f>IF($U2="","",S2-Q2)</f>
        <v/>
      </c>
      <c r="S2" s="7">
        <f>IF($U2="","",L2+O2)</f>
        <v/>
      </c>
      <c r="T2" s="7">
        <f>IF($U2="","",S2-Q2-H2)</f>
        <v/>
      </c>
      <c r="U2" s="16">
        <f>IF(ROWS($U$2:$U2)&lt;=MAX('Per Line'!$V$2:$V$1501),MATCH(ROWS($U$2:$U2),'Per Line'!$V$2:$V$1501,0),"")</f>
        <v/>
      </c>
      <c r="V2">
        <f>IF($U2="","",B2&amp;"|"&amp;COUNTIF($B$2:$B2,B2))</f>
        <v/>
      </c>
    </row>
    <row r="3">
      <c r="A3">
        <f>IF($U3="","",INDEX('Per Line'!$B$2:$B$1501,$U3)&amp;"")</f>
        <v/>
      </c>
      <c r="B3">
        <f>IF($U3="","","COPY "&amp;G3&amp;" %")</f>
        <v/>
      </c>
      <c r="C3" s="15" t="n"/>
      <c r="D3">
        <f>IF($U3="","",INDEX('Per Line'!$C$2:$C$1501,$U3)&amp;"")</f>
        <v/>
      </c>
      <c r="E3">
        <f>IF($U3="","",INDEX('Per Line'!$D$2:$D$1501,$U3)&amp;"")</f>
        <v/>
      </c>
      <c r="F3">
        <f>IF($U3="","",INDEX('Per Line'!$E$2:$E$1501,$U3)&amp;"")</f>
        <v/>
      </c>
      <c r="G3">
        <f>IF($U3="","",INDEX('Per Line'!$F$2:$F$1501,$U3))</f>
        <v/>
      </c>
      <c r="H3" s="7">
        <f>IF($U3="","",G3*S3/100)</f>
        <v/>
      </c>
      <c r="I3" s="14">
        <f>IF($U3="","",INDEX('Per Line'!$R$2:$R$1501,$U3))</f>
        <v/>
      </c>
      <c r="J3">
        <f>IF($U3="","",INDEX('Per Line'!$Q$2:$Q$1501,$U3)&amp;"")</f>
        <v/>
      </c>
      <c r="K3">
        <f>IF($U3="","",Settings!$C$7)</f>
        <v/>
      </c>
      <c r="L3" s="7">
        <f>IF($U3="","",SUMIFS('Per Line'!$L$2:$L$1501,'Per Line'!$B$2:$B$1501,$A3,'Per Line'!$W$2:$W$1501,0))</f>
        <v/>
      </c>
      <c r="M3" s="7">
        <f>IF($U3="","",L3*K3)</f>
        <v/>
      </c>
      <c r="N3">
        <f>IF($U3="","",Settings!$C$6)</f>
        <v/>
      </c>
      <c r="O3" s="7">
        <f>IF($U3="","",SUMIFS('Per Line'!$L$2:$L$1501,'Per Line'!$B$2:$B$1501,$A3,'Per Line'!$W$2:$W$1501,1))</f>
        <v/>
      </c>
      <c r="P3" s="7">
        <f>IF($U3="","",O3*N3)</f>
        <v/>
      </c>
      <c r="Q3" s="7">
        <f>IF($U3="","",P3+M3)</f>
        <v/>
      </c>
      <c r="R3" s="7">
        <f>IF($U3="","",S3-Q3)</f>
        <v/>
      </c>
      <c r="S3" s="7">
        <f>IF($U3="","",L3+O3)</f>
        <v/>
      </c>
      <c r="T3" s="7">
        <f>IF($U3="","",S3-Q3-H3)</f>
        <v/>
      </c>
      <c r="U3" s="16">
        <f>IF(ROWS($U$2:$U3)&lt;=MAX('Per Line'!$V$2:$V$1501),MATCH(ROWS($U$2:$U3),'Per Line'!$V$2:$V$1501,0),"")</f>
        <v/>
      </c>
      <c r="V3">
        <f>IF($U3="","",B3&amp;"|"&amp;COUNTIF($B$2:$B3,B3))</f>
        <v/>
      </c>
    </row>
    <row r="4">
      <c r="A4">
        <f>IF($U4="","",INDEX('Per Line'!$B$2:$B$1501,$U4)&amp;"")</f>
        <v/>
      </c>
      <c r="B4">
        <f>IF($U4="","","COPY "&amp;G4&amp;" %")</f>
        <v/>
      </c>
      <c r="C4" s="15" t="n"/>
      <c r="D4">
        <f>IF($U4="","",INDEX('Per Line'!$C$2:$C$1501,$U4)&amp;"")</f>
        <v/>
      </c>
      <c r="E4">
        <f>IF($U4="","",INDEX('Per Line'!$D$2:$D$1501,$U4)&amp;"")</f>
        <v/>
      </c>
      <c r="F4">
        <f>IF($U4="","",INDEX('Per Line'!$E$2:$E$1501,$U4)&amp;"")</f>
        <v/>
      </c>
      <c r="G4">
        <f>IF($U4="","",INDEX('Per Line'!$F$2:$F$1501,$U4))</f>
        <v/>
      </c>
      <c r="H4" s="7">
        <f>IF($U4="","",G4*S4/100)</f>
        <v/>
      </c>
      <c r="I4" s="14">
        <f>IF($U4="","",INDEX('Per Line'!$R$2:$R$1501,$U4))</f>
        <v/>
      </c>
      <c r="J4">
        <f>IF($U4="","",INDEX('Per Line'!$Q$2:$Q$1501,$U4)&amp;"")</f>
        <v/>
      </c>
      <c r="K4">
        <f>IF($U4="","",Settings!$C$7)</f>
        <v/>
      </c>
      <c r="L4" s="7">
        <f>IF($U4="","",SUMIFS('Per Line'!$L$2:$L$1501,'Per Line'!$B$2:$B$1501,$A4,'Per Line'!$W$2:$W$1501,0))</f>
        <v/>
      </c>
      <c r="M4" s="7">
        <f>IF($U4="","",L4*K4)</f>
        <v/>
      </c>
      <c r="N4">
        <f>IF($U4="","",Settings!$C$6)</f>
        <v/>
      </c>
      <c r="O4" s="7">
        <f>IF($U4="","",SUMIFS('Per Line'!$L$2:$L$1501,'Per Line'!$B$2:$B$1501,$A4,'Per Line'!$W$2:$W$1501,1))</f>
        <v/>
      </c>
      <c r="P4" s="7">
        <f>IF($U4="","",O4*N4)</f>
        <v/>
      </c>
      <c r="Q4" s="7">
        <f>IF($U4="","",P4+M4)</f>
        <v/>
      </c>
      <c r="R4" s="7">
        <f>IF($U4="","",S4-Q4)</f>
        <v/>
      </c>
      <c r="S4" s="7">
        <f>IF($U4="","",L4+O4)</f>
        <v/>
      </c>
      <c r="T4" s="7">
        <f>IF($U4="","",S4-Q4-H4)</f>
        <v/>
      </c>
      <c r="U4" s="16">
        <f>IF(ROWS($U$2:$U4)&lt;=MAX('Per Line'!$V$2:$V$1501),MATCH(ROWS($U$2:$U4),'Per Line'!$V$2:$V$1501,0),"")</f>
        <v/>
      </c>
      <c r="V4">
        <f>IF($U4="","",B4&amp;"|"&amp;COUNTIF($B$2:$B4,B4))</f>
        <v/>
      </c>
    </row>
    <row r="5">
      <c r="A5">
        <f>IF($U5="","",INDEX('Per Line'!$B$2:$B$1501,$U5)&amp;"")</f>
        <v/>
      </c>
      <c r="B5">
        <f>IF($U5="","","COPY "&amp;G5&amp;" %")</f>
        <v/>
      </c>
      <c r="C5" s="15" t="n"/>
      <c r="D5">
        <f>IF($U5="","",INDEX('Per Line'!$C$2:$C$1501,$U5)&amp;"")</f>
        <v/>
      </c>
      <c r="E5">
        <f>IF($U5="","",INDEX('Per Line'!$D$2:$D$1501,$U5)&amp;"")</f>
        <v/>
      </c>
      <c r="F5">
        <f>IF($U5="","",INDEX('Per Line'!$E$2:$E$1501,$U5)&amp;"")</f>
        <v/>
      </c>
      <c r="G5">
        <f>IF($U5="","",INDEX('Per Line'!$F$2:$F$1501,$U5))</f>
        <v/>
      </c>
      <c r="H5" s="7">
        <f>IF($U5="","",G5*S5/100)</f>
        <v/>
      </c>
      <c r="I5" s="14">
        <f>IF($U5="","",INDEX('Per Line'!$R$2:$R$1501,$U5))</f>
        <v/>
      </c>
      <c r="J5">
        <f>IF($U5="","",INDEX('Per Line'!$Q$2:$Q$1501,$U5)&amp;"")</f>
        <v/>
      </c>
      <c r="K5">
        <f>IF($U5="","",Settings!$C$7)</f>
        <v/>
      </c>
      <c r="L5" s="7">
        <f>IF($U5="","",SUMIFS('Per Line'!$L$2:$L$1501,'Per Line'!$B$2:$B$1501,$A5,'Per Line'!$W$2:$W$1501,0))</f>
        <v/>
      </c>
      <c r="M5" s="7">
        <f>IF($U5="","",L5*K5)</f>
        <v/>
      </c>
      <c r="N5">
        <f>IF($U5="","",Settings!$C$6)</f>
        <v/>
      </c>
      <c r="O5" s="7">
        <f>IF($U5="","",SUMIFS('Per Line'!$L$2:$L$1501,'Per Line'!$B$2:$B$1501,$A5,'Per Line'!$W$2:$W$1501,1))</f>
        <v/>
      </c>
      <c r="P5" s="7">
        <f>IF($U5="","",O5*N5)</f>
        <v/>
      </c>
      <c r="Q5" s="7">
        <f>IF($U5="","",P5+M5)</f>
        <v/>
      </c>
      <c r="R5" s="7">
        <f>IF($U5="","",S5-Q5)</f>
        <v/>
      </c>
      <c r="S5" s="7">
        <f>IF($U5="","",L5+O5)</f>
        <v/>
      </c>
      <c r="T5" s="7">
        <f>IF($U5="","",S5-Q5-H5)</f>
        <v/>
      </c>
      <c r="U5" s="16">
        <f>IF(ROWS($U$2:$U5)&lt;=MAX('Per Line'!$V$2:$V$1501),MATCH(ROWS($U$2:$U5),'Per Line'!$V$2:$V$1501,0),"")</f>
        <v/>
      </c>
      <c r="V5">
        <f>IF($U5="","",B5&amp;"|"&amp;COUNTIF($B$2:$B5,B5))</f>
        <v/>
      </c>
    </row>
    <row r="6">
      <c r="A6">
        <f>IF($U6="","",INDEX('Per Line'!$B$2:$B$1501,$U6)&amp;"")</f>
        <v/>
      </c>
      <c r="B6">
        <f>IF($U6="","","COPY "&amp;G6&amp;" %")</f>
        <v/>
      </c>
      <c r="C6" s="15" t="n"/>
      <c r="D6">
        <f>IF($U6="","",INDEX('Per Line'!$C$2:$C$1501,$U6)&amp;"")</f>
        <v/>
      </c>
      <c r="E6">
        <f>IF($U6="","",INDEX('Per Line'!$D$2:$D$1501,$U6)&amp;"")</f>
        <v/>
      </c>
      <c r="F6">
        <f>IF($U6="","",INDEX('Per Line'!$E$2:$E$1501,$U6)&amp;"")</f>
        <v/>
      </c>
      <c r="G6">
        <f>IF($U6="","",INDEX('Per Line'!$F$2:$F$1501,$U6))</f>
        <v/>
      </c>
      <c r="H6" s="7">
        <f>IF($U6="","",G6*S6/100)</f>
        <v/>
      </c>
      <c r="I6" s="14">
        <f>IF($U6="","",INDEX('Per Line'!$R$2:$R$1501,$U6))</f>
        <v/>
      </c>
      <c r="J6">
        <f>IF($U6="","",INDEX('Per Line'!$Q$2:$Q$1501,$U6)&amp;"")</f>
        <v/>
      </c>
      <c r="K6">
        <f>IF($U6="","",Settings!$C$7)</f>
        <v/>
      </c>
      <c r="L6" s="7">
        <f>IF($U6="","",SUMIFS('Per Line'!$L$2:$L$1501,'Per Line'!$B$2:$B$1501,$A6,'Per Line'!$W$2:$W$1501,0))</f>
        <v/>
      </c>
      <c r="M6" s="7">
        <f>IF($U6="","",L6*K6)</f>
        <v/>
      </c>
      <c r="N6">
        <f>IF($U6="","",Settings!$C$6)</f>
        <v/>
      </c>
      <c r="O6" s="7">
        <f>IF($U6="","",SUMIFS('Per Line'!$L$2:$L$1501,'Per Line'!$B$2:$B$1501,$A6,'Per Line'!$W$2:$W$1501,1))</f>
        <v/>
      </c>
      <c r="P6" s="7">
        <f>IF($U6="","",O6*N6)</f>
        <v/>
      </c>
      <c r="Q6" s="7">
        <f>IF($U6="","",P6+M6)</f>
        <v/>
      </c>
      <c r="R6" s="7">
        <f>IF($U6="","",S6-Q6)</f>
        <v/>
      </c>
      <c r="S6" s="7">
        <f>IF($U6="","",L6+O6)</f>
        <v/>
      </c>
      <c r="T6" s="7">
        <f>IF($U6="","",S6-Q6-H6)</f>
        <v/>
      </c>
      <c r="U6" s="16">
        <f>IF(ROWS($U$2:$U6)&lt;=MAX('Per Line'!$V$2:$V$1501),MATCH(ROWS($U$2:$U6),'Per Line'!$V$2:$V$1501,0),"")</f>
        <v/>
      </c>
      <c r="V6">
        <f>IF($U6="","",B6&amp;"|"&amp;COUNTIF($B$2:$B6,B6))</f>
        <v/>
      </c>
    </row>
    <row r="7">
      <c r="A7">
        <f>IF($U7="","",INDEX('Per Line'!$B$2:$B$1501,$U7)&amp;"")</f>
        <v/>
      </c>
      <c r="B7">
        <f>IF($U7="","","COPY "&amp;G7&amp;" %")</f>
        <v/>
      </c>
      <c r="C7" s="15" t="n"/>
      <c r="D7">
        <f>IF($U7="","",INDEX('Per Line'!$C$2:$C$1501,$U7)&amp;"")</f>
        <v/>
      </c>
      <c r="E7">
        <f>IF($U7="","",INDEX('Per Line'!$D$2:$D$1501,$U7)&amp;"")</f>
        <v/>
      </c>
      <c r="F7">
        <f>IF($U7="","",INDEX('Per Line'!$E$2:$E$1501,$U7)&amp;"")</f>
        <v/>
      </c>
      <c r="G7">
        <f>IF($U7="","",INDEX('Per Line'!$F$2:$F$1501,$U7))</f>
        <v/>
      </c>
      <c r="H7" s="7">
        <f>IF($U7="","",G7*S7/100)</f>
        <v/>
      </c>
      <c r="I7" s="14">
        <f>IF($U7="","",INDEX('Per Line'!$R$2:$R$1501,$U7))</f>
        <v/>
      </c>
      <c r="J7">
        <f>IF($U7="","",INDEX('Per Line'!$Q$2:$Q$1501,$U7)&amp;"")</f>
        <v/>
      </c>
      <c r="K7">
        <f>IF($U7="","",Settings!$C$7)</f>
        <v/>
      </c>
      <c r="L7" s="7">
        <f>IF($U7="","",SUMIFS('Per Line'!$L$2:$L$1501,'Per Line'!$B$2:$B$1501,$A7,'Per Line'!$W$2:$W$1501,0))</f>
        <v/>
      </c>
      <c r="M7" s="7">
        <f>IF($U7="","",L7*K7)</f>
        <v/>
      </c>
      <c r="N7">
        <f>IF($U7="","",Settings!$C$6)</f>
        <v/>
      </c>
      <c r="O7" s="7">
        <f>IF($U7="","",SUMIFS('Per Line'!$L$2:$L$1501,'Per Line'!$B$2:$B$1501,$A7,'Per Line'!$W$2:$W$1501,1))</f>
        <v/>
      </c>
      <c r="P7" s="7">
        <f>IF($U7="","",O7*N7)</f>
        <v/>
      </c>
      <c r="Q7" s="7">
        <f>IF($U7="","",P7+M7)</f>
        <v/>
      </c>
      <c r="R7" s="7">
        <f>IF($U7="","",S7-Q7)</f>
        <v/>
      </c>
      <c r="S7" s="7">
        <f>IF($U7="","",L7+O7)</f>
        <v/>
      </c>
      <c r="T7" s="7">
        <f>IF($U7="","",S7-Q7-H7)</f>
        <v/>
      </c>
      <c r="U7" s="16">
        <f>IF(ROWS($U$2:$U7)&lt;=MAX('Per Line'!$V$2:$V$1501),MATCH(ROWS($U$2:$U7),'Per Line'!$V$2:$V$1501,0),"")</f>
        <v/>
      </c>
      <c r="V7">
        <f>IF($U7="","",B7&amp;"|"&amp;COUNTIF($B$2:$B7,B7))</f>
        <v/>
      </c>
    </row>
    <row r="8">
      <c r="A8">
        <f>IF($U8="","",INDEX('Per Line'!$B$2:$B$1501,$U8)&amp;"")</f>
        <v/>
      </c>
      <c r="B8">
        <f>IF($U8="","","COPY "&amp;G8&amp;" %")</f>
        <v/>
      </c>
      <c r="C8" s="15" t="n"/>
      <c r="D8">
        <f>IF($U8="","",INDEX('Per Line'!$C$2:$C$1501,$U8)&amp;"")</f>
        <v/>
      </c>
      <c r="E8">
        <f>IF($U8="","",INDEX('Per Line'!$D$2:$D$1501,$U8)&amp;"")</f>
        <v/>
      </c>
      <c r="F8">
        <f>IF($U8="","",INDEX('Per Line'!$E$2:$E$1501,$U8)&amp;"")</f>
        <v/>
      </c>
      <c r="G8">
        <f>IF($U8="","",INDEX('Per Line'!$F$2:$F$1501,$U8))</f>
        <v/>
      </c>
      <c r="H8" s="7">
        <f>IF($U8="","",G8*S8/100)</f>
        <v/>
      </c>
      <c r="I8" s="14">
        <f>IF($U8="","",INDEX('Per Line'!$R$2:$R$1501,$U8))</f>
        <v/>
      </c>
      <c r="J8">
        <f>IF($U8="","",INDEX('Per Line'!$Q$2:$Q$1501,$U8)&amp;"")</f>
        <v/>
      </c>
      <c r="K8">
        <f>IF($U8="","",Settings!$C$7)</f>
        <v/>
      </c>
      <c r="L8" s="7">
        <f>IF($U8="","",SUMIFS('Per Line'!$L$2:$L$1501,'Per Line'!$B$2:$B$1501,$A8,'Per Line'!$W$2:$W$1501,0))</f>
        <v/>
      </c>
      <c r="M8" s="7">
        <f>IF($U8="","",L8*K8)</f>
        <v/>
      </c>
      <c r="N8">
        <f>IF($U8="","",Settings!$C$6)</f>
        <v/>
      </c>
      <c r="O8" s="7">
        <f>IF($U8="","",SUMIFS('Per Line'!$L$2:$L$1501,'Per Line'!$B$2:$B$1501,$A8,'Per Line'!$W$2:$W$1501,1))</f>
        <v/>
      </c>
      <c r="P8" s="7">
        <f>IF($U8="","",O8*N8)</f>
        <v/>
      </c>
      <c r="Q8" s="7">
        <f>IF($U8="","",P8+M8)</f>
        <v/>
      </c>
      <c r="R8" s="7">
        <f>IF($U8="","",S8-Q8)</f>
        <v/>
      </c>
      <c r="S8" s="7">
        <f>IF($U8="","",L8+O8)</f>
        <v/>
      </c>
      <c r="T8" s="7">
        <f>IF($U8="","",S8-Q8-H8)</f>
        <v/>
      </c>
      <c r="U8" s="16">
        <f>IF(ROWS($U$2:$U8)&lt;=MAX('Per Line'!$V$2:$V$1501),MATCH(ROWS($U$2:$U8),'Per Line'!$V$2:$V$1501,0),"")</f>
        <v/>
      </c>
      <c r="V8">
        <f>IF($U8="","",B8&amp;"|"&amp;COUNTIF($B$2:$B8,B8))</f>
        <v/>
      </c>
    </row>
    <row r="9">
      <c r="A9">
        <f>IF($U9="","",INDEX('Per Line'!$B$2:$B$1501,$U9)&amp;"")</f>
        <v/>
      </c>
      <c r="B9">
        <f>IF($U9="","","COPY "&amp;G9&amp;" %")</f>
        <v/>
      </c>
      <c r="C9" s="15" t="n"/>
      <c r="D9">
        <f>IF($U9="","",INDEX('Per Line'!$C$2:$C$1501,$U9)&amp;"")</f>
        <v/>
      </c>
      <c r="E9">
        <f>IF($U9="","",INDEX('Per Line'!$D$2:$D$1501,$U9)&amp;"")</f>
        <v/>
      </c>
      <c r="F9">
        <f>IF($U9="","",INDEX('Per Line'!$E$2:$E$1501,$U9)&amp;"")</f>
        <v/>
      </c>
      <c r="G9">
        <f>IF($U9="","",INDEX('Per Line'!$F$2:$F$1501,$U9))</f>
        <v/>
      </c>
      <c r="H9" s="7">
        <f>IF($U9="","",G9*S9/100)</f>
        <v/>
      </c>
      <c r="I9" s="14">
        <f>IF($U9="","",INDEX('Per Line'!$R$2:$R$1501,$U9))</f>
        <v/>
      </c>
      <c r="J9">
        <f>IF($U9="","",INDEX('Per Line'!$Q$2:$Q$1501,$U9)&amp;"")</f>
        <v/>
      </c>
      <c r="K9">
        <f>IF($U9="","",Settings!$C$7)</f>
        <v/>
      </c>
      <c r="L9" s="7">
        <f>IF($U9="","",SUMIFS('Per Line'!$L$2:$L$1501,'Per Line'!$B$2:$B$1501,$A9,'Per Line'!$W$2:$W$1501,0))</f>
        <v/>
      </c>
      <c r="M9" s="7">
        <f>IF($U9="","",L9*K9)</f>
        <v/>
      </c>
      <c r="N9">
        <f>IF($U9="","",Settings!$C$6)</f>
        <v/>
      </c>
      <c r="O9" s="7">
        <f>IF($U9="","",SUMIFS('Per Line'!$L$2:$L$1501,'Per Line'!$B$2:$B$1501,$A9,'Per Line'!$W$2:$W$1501,1))</f>
        <v/>
      </c>
      <c r="P9" s="7">
        <f>IF($U9="","",O9*N9)</f>
        <v/>
      </c>
      <c r="Q9" s="7">
        <f>IF($U9="","",P9+M9)</f>
        <v/>
      </c>
      <c r="R9" s="7">
        <f>IF($U9="","",S9-Q9)</f>
        <v/>
      </c>
      <c r="S9" s="7">
        <f>IF($U9="","",L9+O9)</f>
        <v/>
      </c>
      <c r="T9" s="7">
        <f>IF($U9="","",S9-Q9-H9)</f>
        <v/>
      </c>
      <c r="U9" s="16">
        <f>IF(ROWS($U$2:$U9)&lt;=MAX('Per Line'!$V$2:$V$1501),MATCH(ROWS($U$2:$U9),'Per Line'!$V$2:$V$1501,0),"")</f>
        <v/>
      </c>
      <c r="V9">
        <f>IF($U9="","",B9&amp;"|"&amp;COUNTIF($B$2:$B9,B9))</f>
        <v/>
      </c>
    </row>
    <row r="10">
      <c r="A10">
        <f>IF($U10="","",INDEX('Per Line'!$B$2:$B$1501,$U10)&amp;"")</f>
        <v/>
      </c>
      <c r="B10">
        <f>IF($U10="","","COPY "&amp;G10&amp;" %")</f>
        <v/>
      </c>
      <c r="C10" s="15" t="n"/>
      <c r="D10">
        <f>IF($U10="","",INDEX('Per Line'!$C$2:$C$1501,$U10)&amp;"")</f>
        <v/>
      </c>
      <c r="E10">
        <f>IF($U10="","",INDEX('Per Line'!$D$2:$D$1501,$U10)&amp;"")</f>
        <v/>
      </c>
      <c r="F10">
        <f>IF($U10="","",INDEX('Per Line'!$E$2:$E$1501,$U10)&amp;"")</f>
        <v/>
      </c>
      <c r="G10">
        <f>IF($U10="","",INDEX('Per Line'!$F$2:$F$1501,$U10))</f>
        <v/>
      </c>
      <c r="H10" s="7">
        <f>IF($U10="","",G10*S10/100)</f>
        <v/>
      </c>
      <c r="I10" s="14">
        <f>IF($U10="","",INDEX('Per Line'!$R$2:$R$1501,$U10))</f>
        <v/>
      </c>
      <c r="J10">
        <f>IF($U10="","",INDEX('Per Line'!$Q$2:$Q$1501,$U10)&amp;"")</f>
        <v/>
      </c>
      <c r="K10">
        <f>IF($U10="","",Settings!$C$7)</f>
        <v/>
      </c>
      <c r="L10" s="7">
        <f>IF($U10="","",SUMIFS('Per Line'!$L$2:$L$1501,'Per Line'!$B$2:$B$1501,$A10,'Per Line'!$W$2:$W$1501,0))</f>
        <v/>
      </c>
      <c r="M10" s="7">
        <f>IF($U10="","",L10*K10)</f>
        <v/>
      </c>
      <c r="N10">
        <f>IF($U10="","",Settings!$C$6)</f>
        <v/>
      </c>
      <c r="O10" s="7">
        <f>IF($U10="","",SUMIFS('Per Line'!$L$2:$L$1501,'Per Line'!$B$2:$B$1501,$A10,'Per Line'!$W$2:$W$1501,1))</f>
        <v/>
      </c>
      <c r="P10" s="7">
        <f>IF($U10="","",O10*N10)</f>
        <v/>
      </c>
      <c r="Q10" s="7">
        <f>IF($U10="","",P10+M10)</f>
        <v/>
      </c>
      <c r="R10" s="7">
        <f>IF($U10="","",S10-Q10)</f>
        <v/>
      </c>
      <c r="S10" s="7">
        <f>IF($U10="","",L10+O10)</f>
        <v/>
      </c>
      <c r="T10" s="7">
        <f>IF($U10="","",S10-Q10-H10)</f>
        <v/>
      </c>
      <c r="U10" s="16">
        <f>IF(ROWS($U$2:$U10)&lt;=MAX('Per Line'!$V$2:$V$1501),MATCH(ROWS($U$2:$U10),'Per Line'!$V$2:$V$1501,0),"")</f>
        <v/>
      </c>
      <c r="V10">
        <f>IF($U10="","",B10&amp;"|"&amp;COUNTIF($B$2:$B10,B10))</f>
        <v/>
      </c>
    </row>
    <row r="11">
      <c r="A11">
        <f>IF($U11="","",INDEX('Per Line'!$B$2:$B$1501,$U11)&amp;"")</f>
        <v/>
      </c>
      <c r="B11">
        <f>IF($U11="","","COPY "&amp;G11&amp;" %")</f>
        <v/>
      </c>
      <c r="C11" s="15" t="n"/>
      <c r="D11">
        <f>IF($U11="","",INDEX('Per Line'!$C$2:$C$1501,$U11)&amp;"")</f>
        <v/>
      </c>
      <c r="E11">
        <f>IF($U11="","",INDEX('Per Line'!$D$2:$D$1501,$U11)&amp;"")</f>
        <v/>
      </c>
      <c r="F11">
        <f>IF($U11="","",INDEX('Per Line'!$E$2:$E$1501,$U11)&amp;"")</f>
        <v/>
      </c>
      <c r="G11">
        <f>IF($U11="","",INDEX('Per Line'!$F$2:$F$1501,$U11))</f>
        <v/>
      </c>
      <c r="H11" s="7">
        <f>IF($U11="","",G11*S11/100)</f>
        <v/>
      </c>
      <c r="I11" s="14">
        <f>IF($U11="","",INDEX('Per Line'!$R$2:$R$1501,$U11))</f>
        <v/>
      </c>
      <c r="J11">
        <f>IF($U11="","",INDEX('Per Line'!$Q$2:$Q$1501,$U11)&amp;"")</f>
        <v/>
      </c>
      <c r="K11">
        <f>IF($U11="","",Settings!$C$7)</f>
        <v/>
      </c>
      <c r="L11" s="7">
        <f>IF($U11="","",SUMIFS('Per Line'!$L$2:$L$1501,'Per Line'!$B$2:$B$1501,$A11,'Per Line'!$W$2:$W$1501,0))</f>
        <v/>
      </c>
      <c r="M11" s="7">
        <f>IF($U11="","",L11*K11)</f>
        <v/>
      </c>
      <c r="N11">
        <f>IF($U11="","",Settings!$C$6)</f>
        <v/>
      </c>
      <c r="O11" s="7">
        <f>IF($U11="","",SUMIFS('Per Line'!$L$2:$L$1501,'Per Line'!$B$2:$B$1501,$A11,'Per Line'!$W$2:$W$1501,1))</f>
        <v/>
      </c>
      <c r="P11" s="7">
        <f>IF($U11="","",O11*N11)</f>
        <v/>
      </c>
      <c r="Q11" s="7">
        <f>IF($U11="","",P11+M11)</f>
        <v/>
      </c>
      <c r="R11" s="7">
        <f>IF($U11="","",S11-Q11)</f>
        <v/>
      </c>
      <c r="S11" s="7">
        <f>IF($U11="","",L11+O11)</f>
        <v/>
      </c>
      <c r="T11" s="7">
        <f>IF($U11="","",S11-Q11-H11)</f>
        <v/>
      </c>
      <c r="U11" s="16">
        <f>IF(ROWS($U$2:$U11)&lt;=MAX('Per Line'!$V$2:$V$1501),MATCH(ROWS($U$2:$U11),'Per Line'!$V$2:$V$1501,0),"")</f>
        <v/>
      </c>
      <c r="V11">
        <f>IF($U11="","",B11&amp;"|"&amp;COUNTIF($B$2:$B11,B11))</f>
        <v/>
      </c>
    </row>
    <row r="12">
      <c r="A12">
        <f>IF($U12="","",INDEX('Per Line'!$B$2:$B$1501,$U12)&amp;"")</f>
        <v/>
      </c>
      <c r="B12">
        <f>IF($U12="","","COPY "&amp;G12&amp;" %")</f>
        <v/>
      </c>
      <c r="C12" s="15" t="n"/>
      <c r="D12">
        <f>IF($U12="","",INDEX('Per Line'!$C$2:$C$1501,$U12)&amp;"")</f>
        <v/>
      </c>
      <c r="E12">
        <f>IF($U12="","",INDEX('Per Line'!$D$2:$D$1501,$U12)&amp;"")</f>
        <v/>
      </c>
      <c r="F12">
        <f>IF($U12="","",INDEX('Per Line'!$E$2:$E$1501,$U12)&amp;"")</f>
        <v/>
      </c>
      <c r="G12">
        <f>IF($U12="","",INDEX('Per Line'!$F$2:$F$1501,$U12))</f>
        <v/>
      </c>
      <c r="H12" s="7">
        <f>IF($U12="","",G12*S12/100)</f>
        <v/>
      </c>
      <c r="I12" s="14">
        <f>IF($U12="","",INDEX('Per Line'!$R$2:$R$1501,$U12))</f>
        <v/>
      </c>
      <c r="J12">
        <f>IF($U12="","",INDEX('Per Line'!$Q$2:$Q$1501,$U12)&amp;"")</f>
        <v/>
      </c>
      <c r="K12">
        <f>IF($U12="","",Settings!$C$7)</f>
        <v/>
      </c>
      <c r="L12" s="7">
        <f>IF($U12="","",SUMIFS('Per Line'!$L$2:$L$1501,'Per Line'!$B$2:$B$1501,$A12,'Per Line'!$W$2:$W$1501,0))</f>
        <v/>
      </c>
      <c r="M12" s="7">
        <f>IF($U12="","",L12*K12)</f>
        <v/>
      </c>
      <c r="N12">
        <f>IF($U12="","",Settings!$C$6)</f>
        <v/>
      </c>
      <c r="O12" s="7">
        <f>IF($U12="","",SUMIFS('Per Line'!$L$2:$L$1501,'Per Line'!$B$2:$B$1501,$A12,'Per Line'!$W$2:$W$1501,1))</f>
        <v/>
      </c>
      <c r="P12" s="7">
        <f>IF($U12="","",O12*N12)</f>
        <v/>
      </c>
      <c r="Q12" s="7">
        <f>IF($U12="","",P12+M12)</f>
        <v/>
      </c>
      <c r="R12" s="7">
        <f>IF($U12="","",S12-Q12)</f>
        <v/>
      </c>
      <c r="S12" s="7">
        <f>IF($U12="","",L12+O12)</f>
        <v/>
      </c>
      <c r="T12" s="7">
        <f>IF($U12="","",S12-Q12-H12)</f>
        <v/>
      </c>
      <c r="U12" s="16">
        <f>IF(ROWS($U$2:$U12)&lt;=MAX('Per Line'!$V$2:$V$1501),MATCH(ROWS($U$2:$U12),'Per Line'!$V$2:$V$1501,0),"")</f>
        <v/>
      </c>
      <c r="V12">
        <f>IF($U12="","",B12&amp;"|"&amp;COUNTIF($B$2:$B12,B12))</f>
        <v/>
      </c>
    </row>
    <row r="13">
      <c r="A13">
        <f>IF($U13="","",INDEX('Per Line'!$B$2:$B$1501,$U13)&amp;"")</f>
        <v/>
      </c>
      <c r="B13">
        <f>IF($U13="","","COPY "&amp;G13&amp;" %")</f>
        <v/>
      </c>
      <c r="C13" s="15" t="n"/>
      <c r="D13">
        <f>IF($U13="","",INDEX('Per Line'!$C$2:$C$1501,$U13)&amp;"")</f>
        <v/>
      </c>
      <c r="E13">
        <f>IF($U13="","",INDEX('Per Line'!$D$2:$D$1501,$U13)&amp;"")</f>
        <v/>
      </c>
      <c r="F13">
        <f>IF($U13="","",INDEX('Per Line'!$E$2:$E$1501,$U13)&amp;"")</f>
        <v/>
      </c>
      <c r="G13">
        <f>IF($U13="","",INDEX('Per Line'!$F$2:$F$1501,$U13))</f>
        <v/>
      </c>
      <c r="H13" s="7">
        <f>IF($U13="","",G13*S13/100)</f>
        <v/>
      </c>
      <c r="I13" s="14">
        <f>IF($U13="","",INDEX('Per Line'!$R$2:$R$1501,$U13))</f>
        <v/>
      </c>
      <c r="J13">
        <f>IF($U13="","",INDEX('Per Line'!$Q$2:$Q$1501,$U13)&amp;"")</f>
        <v/>
      </c>
      <c r="K13">
        <f>IF($U13="","",Settings!$C$7)</f>
        <v/>
      </c>
      <c r="L13" s="7">
        <f>IF($U13="","",SUMIFS('Per Line'!$L$2:$L$1501,'Per Line'!$B$2:$B$1501,$A13,'Per Line'!$W$2:$W$1501,0))</f>
        <v/>
      </c>
      <c r="M13" s="7">
        <f>IF($U13="","",L13*K13)</f>
        <v/>
      </c>
      <c r="N13">
        <f>IF($U13="","",Settings!$C$6)</f>
        <v/>
      </c>
      <c r="O13" s="7">
        <f>IF($U13="","",SUMIFS('Per Line'!$L$2:$L$1501,'Per Line'!$B$2:$B$1501,$A13,'Per Line'!$W$2:$W$1501,1))</f>
        <v/>
      </c>
      <c r="P13" s="7">
        <f>IF($U13="","",O13*N13)</f>
        <v/>
      </c>
      <c r="Q13" s="7">
        <f>IF($U13="","",P13+M13)</f>
        <v/>
      </c>
      <c r="R13" s="7">
        <f>IF($U13="","",S13-Q13)</f>
        <v/>
      </c>
      <c r="S13" s="7">
        <f>IF($U13="","",L13+O13)</f>
        <v/>
      </c>
      <c r="T13" s="7">
        <f>IF($U13="","",S13-Q13-H13)</f>
        <v/>
      </c>
      <c r="U13" s="16">
        <f>IF(ROWS($U$2:$U13)&lt;=MAX('Per Line'!$V$2:$V$1501),MATCH(ROWS($U$2:$U13),'Per Line'!$V$2:$V$1501,0),"")</f>
        <v/>
      </c>
      <c r="V13">
        <f>IF($U13="","",B13&amp;"|"&amp;COUNTIF($B$2:$B13,B13))</f>
        <v/>
      </c>
    </row>
    <row r="14">
      <c r="A14">
        <f>IF($U14="","",INDEX('Per Line'!$B$2:$B$1501,$U14)&amp;"")</f>
        <v/>
      </c>
      <c r="B14">
        <f>IF($U14="","","COPY "&amp;G14&amp;" %")</f>
        <v/>
      </c>
      <c r="C14" s="15" t="n"/>
      <c r="D14">
        <f>IF($U14="","",INDEX('Per Line'!$C$2:$C$1501,$U14)&amp;"")</f>
        <v/>
      </c>
      <c r="E14">
        <f>IF($U14="","",INDEX('Per Line'!$D$2:$D$1501,$U14)&amp;"")</f>
        <v/>
      </c>
      <c r="F14">
        <f>IF($U14="","",INDEX('Per Line'!$E$2:$E$1501,$U14)&amp;"")</f>
        <v/>
      </c>
      <c r="G14">
        <f>IF($U14="","",INDEX('Per Line'!$F$2:$F$1501,$U14))</f>
        <v/>
      </c>
      <c r="H14" s="7">
        <f>IF($U14="","",G14*S14/100)</f>
        <v/>
      </c>
      <c r="I14" s="14">
        <f>IF($U14="","",INDEX('Per Line'!$R$2:$R$1501,$U14))</f>
        <v/>
      </c>
      <c r="J14">
        <f>IF($U14="","",INDEX('Per Line'!$Q$2:$Q$1501,$U14)&amp;"")</f>
        <v/>
      </c>
      <c r="K14">
        <f>IF($U14="","",Settings!$C$7)</f>
        <v/>
      </c>
      <c r="L14" s="7">
        <f>IF($U14="","",SUMIFS('Per Line'!$L$2:$L$1501,'Per Line'!$B$2:$B$1501,$A14,'Per Line'!$W$2:$W$1501,0))</f>
        <v/>
      </c>
      <c r="M14" s="7">
        <f>IF($U14="","",L14*K14)</f>
        <v/>
      </c>
      <c r="N14">
        <f>IF($U14="","",Settings!$C$6)</f>
        <v/>
      </c>
      <c r="O14" s="7">
        <f>IF($U14="","",SUMIFS('Per Line'!$L$2:$L$1501,'Per Line'!$B$2:$B$1501,$A14,'Per Line'!$W$2:$W$1501,1))</f>
        <v/>
      </c>
      <c r="P14" s="7">
        <f>IF($U14="","",O14*N14)</f>
        <v/>
      </c>
      <c r="Q14" s="7">
        <f>IF($U14="","",P14+M14)</f>
        <v/>
      </c>
      <c r="R14" s="7">
        <f>IF($U14="","",S14-Q14)</f>
        <v/>
      </c>
      <c r="S14" s="7">
        <f>IF($U14="","",L14+O14)</f>
        <v/>
      </c>
      <c r="T14" s="7">
        <f>IF($U14="","",S14-Q14-H14)</f>
        <v/>
      </c>
      <c r="U14" s="16">
        <f>IF(ROWS($U$2:$U14)&lt;=MAX('Per Line'!$V$2:$V$1501),MATCH(ROWS($U$2:$U14),'Per Line'!$V$2:$V$1501,0),"")</f>
        <v/>
      </c>
      <c r="V14">
        <f>IF($U14="","",B14&amp;"|"&amp;COUNTIF($B$2:$B14,B14))</f>
        <v/>
      </c>
    </row>
    <row r="15">
      <c r="A15">
        <f>IF($U15="","",INDEX('Per Line'!$B$2:$B$1501,$U15)&amp;"")</f>
        <v/>
      </c>
      <c r="B15">
        <f>IF($U15="","","COPY "&amp;G15&amp;" %")</f>
        <v/>
      </c>
      <c r="C15" s="15" t="n"/>
      <c r="D15">
        <f>IF($U15="","",INDEX('Per Line'!$C$2:$C$1501,$U15)&amp;"")</f>
        <v/>
      </c>
      <c r="E15">
        <f>IF($U15="","",INDEX('Per Line'!$D$2:$D$1501,$U15)&amp;"")</f>
        <v/>
      </c>
      <c r="F15">
        <f>IF($U15="","",INDEX('Per Line'!$E$2:$E$1501,$U15)&amp;"")</f>
        <v/>
      </c>
      <c r="G15">
        <f>IF($U15="","",INDEX('Per Line'!$F$2:$F$1501,$U15))</f>
        <v/>
      </c>
      <c r="H15" s="7">
        <f>IF($U15="","",G15*S15/100)</f>
        <v/>
      </c>
      <c r="I15" s="14">
        <f>IF($U15="","",INDEX('Per Line'!$R$2:$R$1501,$U15))</f>
        <v/>
      </c>
      <c r="J15">
        <f>IF($U15="","",INDEX('Per Line'!$Q$2:$Q$1501,$U15)&amp;"")</f>
        <v/>
      </c>
      <c r="K15">
        <f>IF($U15="","",Settings!$C$7)</f>
        <v/>
      </c>
      <c r="L15" s="7">
        <f>IF($U15="","",SUMIFS('Per Line'!$L$2:$L$1501,'Per Line'!$B$2:$B$1501,$A15,'Per Line'!$W$2:$W$1501,0))</f>
        <v/>
      </c>
      <c r="M15" s="7">
        <f>IF($U15="","",L15*K15)</f>
        <v/>
      </c>
      <c r="N15">
        <f>IF($U15="","",Settings!$C$6)</f>
        <v/>
      </c>
      <c r="O15" s="7">
        <f>IF($U15="","",SUMIFS('Per Line'!$L$2:$L$1501,'Per Line'!$B$2:$B$1501,$A15,'Per Line'!$W$2:$W$1501,1))</f>
        <v/>
      </c>
      <c r="P15" s="7">
        <f>IF($U15="","",O15*N15)</f>
        <v/>
      </c>
      <c r="Q15" s="7">
        <f>IF($U15="","",P15+M15)</f>
        <v/>
      </c>
      <c r="R15" s="7">
        <f>IF($U15="","",S15-Q15)</f>
        <v/>
      </c>
      <c r="S15" s="7">
        <f>IF($U15="","",L15+O15)</f>
        <v/>
      </c>
      <c r="T15" s="7">
        <f>IF($U15="","",S15-Q15-H15)</f>
        <v/>
      </c>
      <c r="U15" s="16">
        <f>IF(ROWS($U$2:$U15)&lt;=MAX('Per Line'!$V$2:$V$1501),MATCH(ROWS($U$2:$U15),'Per Line'!$V$2:$V$1501,0),"")</f>
        <v/>
      </c>
      <c r="V15">
        <f>IF($U15="","",B15&amp;"|"&amp;COUNTIF($B$2:$B15,B15))</f>
        <v/>
      </c>
    </row>
    <row r="16">
      <c r="A16">
        <f>IF($U16="","",INDEX('Per Line'!$B$2:$B$1501,$U16)&amp;"")</f>
        <v/>
      </c>
      <c r="B16">
        <f>IF($U16="","","COPY "&amp;G16&amp;" %")</f>
        <v/>
      </c>
      <c r="C16" s="15" t="n"/>
      <c r="D16">
        <f>IF($U16="","",INDEX('Per Line'!$C$2:$C$1501,$U16)&amp;"")</f>
        <v/>
      </c>
      <c r="E16">
        <f>IF($U16="","",INDEX('Per Line'!$D$2:$D$1501,$U16)&amp;"")</f>
        <v/>
      </c>
      <c r="F16">
        <f>IF($U16="","",INDEX('Per Line'!$E$2:$E$1501,$U16)&amp;"")</f>
        <v/>
      </c>
      <c r="G16">
        <f>IF($U16="","",INDEX('Per Line'!$F$2:$F$1501,$U16))</f>
        <v/>
      </c>
      <c r="H16" s="7">
        <f>IF($U16="","",G16*S16/100)</f>
        <v/>
      </c>
      <c r="I16" s="14">
        <f>IF($U16="","",INDEX('Per Line'!$R$2:$R$1501,$U16))</f>
        <v/>
      </c>
      <c r="J16">
        <f>IF($U16="","",INDEX('Per Line'!$Q$2:$Q$1501,$U16)&amp;"")</f>
        <v/>
      </c>
      <c r="K16">
        <f>IF($U16="","",Settings!$C$7)</f>
        <v/>
      </c>
      <c r="L16" s="7">
        <f>IF($U16="","",SUMIFS('Per Line'!$L$2:$L$1501,'Per Line'!$B$2:$B$1501,$A16,'Per Line'!$W$2:$W$1501,0))</f>
        <v/>
      </c>
      <c r="M16" s="7">
        <f>IF($U16="","",L16*K16)</f>
        <v/>
      </c>
      <c r="N16">
        <f>IF($U16="","",Settings!$C$6)</f>
        <v/>
      </c>
      <c r="O16" s="7">
        <f>IF($U16="","",SUMIFS('Per Line'!$L$2:$L$1501,'Per Line'!$B$2:$B$1501,$A16,'Per Line'!$W$2:$W$1501,1))</f>
        <v/>
      </c>
      <c r="P16" s="7">
        <f>IF($U16="","",O16*N16)</f>
        <v/>
      </c>
      <c r="Q16" s="7">
        <f>IF($U16="","",P16+M16)</f>
        <v/>
      </c>
      <c r="R16" s="7">
        <f>IF($U16="","",S16-Q16)</f>
        <v/>
      </c>
      <c r="S16" s="7">
        <f>IF($U16="","",L16+O16)</f>
        <v/>
      </c>
      <c r="T16" s="7">
        <f>IF($U16="","",S16-Q16-H16)</f>
        <v/>
      </c>
      <c r="U16" s="16">
        <f>IF(ROWS($U$2:$U16)&lt;=MAX('Per Line'!$V$2:$V$1501),MATCH(ROWS($U$2:$U16),'Per Line'!$V$2:$V$1501,0),"")</f>
        <v/>
      </c>
      <c r="V16">
        <f>IF($U16="","",B16&amp;"|"&amp;COUNTIF($B$2:$B16,B16))</f>
        <v/>
      </c>
    </row>
    <row r="17">
      <c r="A17">
        <f>IF($U17="","",INDEX('Per Line'!$B$2:$B$1501,$U17)&amp;"")</f>
        <v/>
      </c>
      <c r="B17">
        <f>IF($U17="","","COPY "&amp;G17&amp;" %")</f>
        <v/>
      </c>
      <c r="C17" s="15" t="n"/>
      <c r="D17">
        <f>IF($U17="","",INDEX('Per Line'!$C$2:$C$1501,$U17)&amp;"")</f>
        <v/>
      </c>
      <c r="E17">
        <f>IF($U17="","",INDEX('Per Line'!$D$2:$D$1501,$U17)&amp;"")</f>
        <v/>
      </c>
      <c r="F17">
        <f>IF($U17="","",INDEX('Per Line'!$E$2:$E$1501,$U17)&amp;"")</f>
        <v/>
      </c>
      <c r="G17">
        <f>IF($U17="","",INDEX('Per Line'!$F$2:$F$1501,$U17))</f>
        <v/>
      </c>
      <c r="H17" s="7">
        <f>IF($U17="","",G17*S17/100)</f>
        <v/>
      </c>
      <c r="I17" s="14">
        <f>IF($U17="","",INDEX('Per Line'!$R$2:$R$1501,$U17))</f>
        <v/>
      </c>
      <c r="J17">
        <f>IF($U17="","",INDEX('Per Line'!$Q$2:$Q$1501,$U17)&amp;"")</f>
        <v/>
      </c>
      <c r="K17">
        <f>IF($U17="","",Settings!$C$7)</f>
        <v/>
      </c>
      <c r="L17" s="7">
        <f>IF($U17="","",SUMIFS('Per Line'!$L$2:$L$1501,'Per Line'!$B$2:$B$1501,$A17,'Per Line'!$W$2:$W$1501,0))</f>
        <v/>
      </c>
      <c r="M17" s="7">
        <f>IF($U17="","",L17*K17)</f>
        <v/>
      </c>
      <c r="N17">
        <f>IF($U17="","",Settings!$C$6)</f>
        <v/>
      </c>
      <c r="O17" s="7">
        <f>IF($U17="","",SUMIFS('Per Line'!$L$2:$L$1501,'Per Line'!$B$2:$B$1501,$A17,'Per Line'!$W$2:$W$1501,1))</f>
        <v/>
      </c>
      <c r="P17" s="7">
        <f>IF($U17="","",O17*N17)</f>
        <v/>
      </c>
      <c r="Q17" s="7">
        <f>IF($U17="","",P17+M17)</f>
        <v/>
      </c>
      <c r="R17" s="7">
        <f>IF($U17="","",S17-Q17)</f>
        <v/>
      </c>
      <c r="S17" s="7">
        <f>IF($U17="","",L17+O17)</f>
        <v/>
      </c>
      <c r="T17" s="7">
        <f>IF($U17="","",S17-Q17-H17)</f>
        <v/>
      </c>
      <c r="U17" s="16">
        <f>IF(ROWS($U$2:$U17)&lt;=MAX('Per Line'!$V$2:$V$1501),MATCH(ROWS($U$2:$U17),'Per Line'!$V$2:$V$1501,0),"")</f>
        <v/>
      </c>
      <c r="V17">
        <f>IF($U17="","",B17&amp;"|"&amp;COUNTIF($B$2:$B17,B17))</f>
        <v/>
      </c>
    </row>
    <row r="18">
      <c r="A18">
        <f>IF($U18="","",INDEX('Per Line'!$B$2:$B$1501,$U18)&amp;"")</f>
        <v/>
      </c>
      <c r="B18">
        <f>IF($U18="","","COPY "&amp;G18&amp;" %")</f>
        <v/>
      </c>
      <c r="C18" s="15" t="n"/>
      <c r="D18">
        <f>IF($U18="","",INDEX('Per Line'!$C$2:$C$1501,$U18)&amp;"")</f>
        <v/>
      </c>
      <c r="E18">
        <f>IF($U18="","",INDEX('Per Line'!$D$2:$D$1501,$U18)&amp;"")</f>
        <v/>
      </c>
      <c r="F18">
        <f>IF($U18="","",INDEX('Per Line'!$E$2:$E$1501,$U18)&amp;"")</f>
        <v/>
      </c>
      <c r="G18">
        <f>IF($U18="","",INDEX('Per Line'!$F$2:$F$1501,$U18))</f>
        <v/>
      </c>
      <c r="H18" s="7">
        <f>IF($U18="","",G18*S18/100)</f>
        <v/>
      </c>
      <c r="I18" s="14">
        <f>IF($U18="","",INDEX('Per Line'!$R$2:$R$1501,$U18))</f>
        <v/>
      </c>
      <c r="J18">
        <f>IF($U18="","",INDEX('Per Line'!$Q$2:$Q$1501,$U18)&amp;"")</f>
        <v/>
      </c>
      <c r="K18">
        <f>IF($U18="","",Settings!$C$7)</f>
        <v/>
      </c>
      <c r="L18" s="7">
        <f>IF($U18="","",SUMIFS('Per Line'!$L$2:$L$1501,'Per Line'!$B$2:$B$1501,$A18,'Per Line'!$W$2:$W$1501,0))</f>
        <v/>
      </c>
      <c r="M18" s="7">
        <f>IF($U18="","",L18*K18)</f>
        <v/>
      </c>
      <c r="N18">
        <f>IF($U18="","",Settings!$C$6)</f>
        <v/>
      </c>
      <c r="O18" s="7">
        <f>IF($U18="","",SUMIFS('Per Line'!$L$2:$L$1501,'Per Line'!$B$2:$B$1501,$A18,'Per Line'!$W$2:$W$1501,1))</f>
        <v/>
      </c>
      <c r="P18" s="7">
        <f>IF($U18="","",O18*N18)</f>
        <v/>
      </c>
      <c r="Q18" s="7">
        <f>IF($U18="","",P18+M18)</f>
        <v/>
      </c>
      <c r="R18" s="7">
        <f>IF($U18="","",S18-Q18)</f>
        <v/>
      </c>
      <c r="S18" s="7">
        <f>IF($U18="","",L18+O18)</f>
        <v/>
      </c>
      <c r="T18" s="7">
        <f>IF($U18="","",S18-Q18-H18)</f>
        <v/>
      </c>
      <c r="U18" s="16">
        <f>IF(ROWS($U$2:$U18)&lt;=MAX('Per Line'!$V$2:$V$1501),MATCH(ROWS($U$2:$U18),'Per Line'!$V$2:$V$1501,0),"")</f>
        <v/>
      </c>
      <c r="V18">
        <f>IF($U18="","",B18&amp;"|"&amp;COUNTIF($B$2:$B18,B18))</f>
        <v/>
      </c>
    </row>
    <row r="19">
      <c r="A19">
        <f>IF($U19="","",INDEX('Per Line'!$B$2:$B$1501,$U19)&amp;"")</f>
        <v/>
      </c>
      <c r="B19">
        <f>IF($U19="","","COPY "&amp;G19&amp;" %")</f>
        <v/>
      </c>
      <c r="C19" s="15" t="n"/>
      <c r="D19">
        <f>IF($U19="","",INDEX('Per Line'!$C$2:$C$1501,$U19)&amp;"")</f>
        <v/>
      </c>
      <c r="E19">
        <f>IF($U19="","",INDEX('Per Line'!$D$2:$D$1501,$U19)&amp;"")</f>
        <v/>
      </c>
      <c r="F19">
        <f>IF($U19="","",INDEX('Per Line'!$E$2:$E$1501,$U19)&amp;"")</f>
        <v/>
      </c>
      <c r="G19">
        <f>IF($U19="","",INDEX('Per Line'!$F$2:$F$1501,$U19))</f>
        <v/>
      </c>
      <c r="H19" s="7">
        <f>IF($U19="","",G19*S19/100)</f>
        <v/>
      </c>
      <c r="I19" s="14">
        <f>IF($U19="","",INDEX('Per Line'!$R$2:$R$1501,$U19))</f>
        <v/>
      </c>
      <c r="J19">
        <f>IF($U19="","",INDEX('Per Line'!$Q$2:$Q$1501,$U19)&amp;"")</f>
        <v/>
      </c>
      <c r="K19">
        <f>IF($U19="","",Settings!$C$7)</f>
        <v/>
      </c>
      <c r="L19" s="7">
        <f>IF($U19="","",SUMIFS('Per Line'!$L$2:$L$1501,'Per Line'!$B$2:$B$1501,$A19,'Per Line'!$W$2:$W$1501,0))</f>
        <v/>
      </c>
      <c r="M19" s="7">
        <f>IF($U19="","",L19*K19)</f>
        <v/>
      </c>
      <c r="N19">
        <f>IF($U19="","",Settings!$C$6)</f>
        <v/>
      </c>
      <c r="O19" s="7">
        <f>IF($U19="","",SUMIFS('Per Line'!$L$2:$L$1501,'Per Line'!$B$2:$B$1501,$A19,'Per Line'!$W$2:$W$1501,1))</f>
        <v/>
      </c>
      <c r="P19" s="7">
        <f>IF($U19="","",O19*N19)</f>
        <v/>
      </c>
      <c r="Q19" s="7">
        <f>IF($U19="","",P19+M19)</f>
        <v/>
      </c>
      <c r="R19" s="7">
        <f>IF($U19="","",S19-Q19)</f>
        <v/>
      </c>
      <c r="S19" s="7">
        <f>IF($U19="","",L19+O19)</f>
        <v/>
      </c>
      <c r="T19" s="7">
        <f>IF($U19="","",S19-Q19-H19)</f>
        <v/>
      </c>
      <c r="U19" s="16">
        <f>IF(ROWS($U$2:$U19)&lt;=MAX('Per Line'!$V$2:$V$1501),MATCH(ROWS($U$2:$U19),'Per Line'!$V$2:$V$1501,0),"")</f>
        <v/>
      </c>
      <c r="V19">
        <f>IF($U19="","",B19&amp;"|"&amp;COUNTIF($B$2:$B19,B19))</f>
        <v/>
      </c>
    </row>
    <row r="20">
      <c r="A20">
        <f>IF($U20="","",INDEX('Per Line'!$B$2:$B$1501,$U20)&amp;"")</f>
        <v/>
      </c>
      <c r="B20">
        <f>IF($U20="","","COPY "&amp;G20&amp;" %")</f>
        <v/>
      </c>
      <c r="C20" s="15" t="n"/>
      <c r="D20">
        <f>IF($U20="","",INDEX('Per Line'!$C$2:$C$1501,$U20)&amp;"")</f>
        <v/>
      </c>
      <c r="E20">
        <f>IF($U20="","",INDEX('Per Line'!$D$2:$D$1501,$U20)&amp;"")</f>
        <v/>
      </c>
      <c r="F20">
        <f>IF($U20="","",INDEX('Per Line'!$E$2:$E$1501,$U20)&amp;"")</f>
        <v/>
      </c>
      <c r="G20">
        <f>IF($U20="","",INDEX('Per Line'!$F$2:$F$1501,$U20))</f>
        <v/>
      </c>
      <c r="H20" s="7">
        <f>IF($U20="","",G20*S20/100)</f>
        <v/>
      </c>
      <c r="I20" s="14">
        <f>IF($U20="","",INDEX('Per Line'!$R$2:$R$1501,$U20))</f>
        <v/>
      </c>
      <c r="J20">
        <f>IF($U20="","",INDEX('Per Line'!$Q$2:$Q$1501,$U20)&amp;"")</f>
        <v/>
      </c>
      <c r="K20">
        <f>IF($U20="","",Settings!$C$7)</f>
        <v/>
      </c>
      <c r="L20" s="7">
        <f>IF($U20="","",SUMIFS('Per Line'!$L$2:$L$1501,'Per Line'!$B$2:$B$1501,$A20,'Per Line'!$W$2:$W$1501,0))</f>
        <v/>
      </c>
      <c r="M20" s="7">
        <f>IF($U20="","",L20*K20)</f>
        <v/>
      </c>
      <c r="N20">
        <f>IF($U20="","",Settings!$C$6)</f>
        <v/>
      </c>
      <c r="O20" s="7">
        <f>IF($U20="","",SUMIFS('Per Line'!$L$2:$L$1501,'Per Line'!$B$2:$B$1501,$A20,'Per Line'!$W$2:$W$1501,1))</f>
        <v/>
      </c>
      <c r="P20" s="7">
        <f>IF($U20="","",O20*N20)</f>
        <v/>
      </c>
      <c r="Q20" s="7">
        <f>IF($U20="","",P20+M20)</f>
        <v/>
      </c>
      <c r="R20" s="7">
        <f>IF($U20="","",S20-Q20)</f>
        <v/>
      </c>
      <c r="S20" s="7">
        <f>IF($U20="","",L20+O20)</f>
        <v/>
      </c>
      <c r="T20" s="7">
        <f>IF($U20="","",S20-Q20-H20)</f>
        <v/>
      </c>
      <c r="U20" s="16">
        <f>IF(ROWS($U$2:$U20)&lt;=MAX('Per Line'!$V$2:$V$1501),MATCH(ROWS($U$2:$U20),'Per Line'!$V$2:$V$1501,0),"")</f>
        <v/>
      </c>
      <c r="V20">
        <f>IF($U20="","",B20&amp;"|"&amp;COUNTIF($B$2:$B20,B20))</f>
        <v/>
      </c>
    </row>
    <row r="21">
      <c r="A21">
        <f>IF($U21="","",INDEX('Per Line'!$B$2:$B$1501,$U21)&amp;"")</f>
        <v/>
      </c>
      <c r="B21">
        <f>IF($U21="","","COPY "&amp;G21&amp;" %")</f>
        <v/>
      </c>
      <c r="C21" s="15" t="n"/>
      <c r="D21">
        <f>IF($U21="","",INDEX('Per Line'!$C$2:$C$1501,$U21)&amp;"")</f>
        <v/>
      </c>
      <c r="E21">
        <f>IF($U21="","",INDEX('Per Line'!$D$2:$D$1501,$U21)&amp;"")</f>
        <v/>
      </c>
      <c r="F21">
        <f>IF($U21="","",INDEX('Per Line'!$E$2:$E$1501,$U21)&amp;"")</f>
        <v/>
      </c>
      <c r="G21">
        <f>IF($U21="","",INDEX('Per Line'!$F$2:$F$1501,$U21))</f>
        <v/>
      </c>
      <c r="H21" s="7">
        <f>IF($U21="","",G21*S21/100)</f>
        <v/>
      </c>
      <c r="I21" s="14">
        <f>IF($U21="","",INDEX('Per Line'!$R$2:$R$1501,$U21))</f>
        <v/>
      </c>
      <c r="J21">
        <f>IF($U21="","",INDEX('Per Line'!$Q$2:$Q$1501,$U21)&amp;"")</f>
        <v/>
      </c>
      <c r="K21">
        <f>IF($U21="","",Settings!$C$7)</f>
        <v/>
      </c>
      <c r="L21" s="7">
        <f>IF($U21="","",SUMIFS('Per Line'!$L$2:$L$1501,'Per Line'!$B$2:$B$1501,$A21,'Per Line'!$W$2:$W$1501,0))</f>
        <v/>
      </c>
      <c r="M21" s="7">
        <f>IF($U21="","",L21*K21)</f>
        <v/>
      </c>
      <c r="N21">
        <f>IF($U21="","",Settings!$C$6)</f>
        <v/>
      </c>
      <c r="O21" s="7">
        <f>IF($U21="","",SUMIFS('Per Line'!$L$2:$L$1501,'Per Line'!$B$2:$B$1501,$A21,'Per Line'!$W$2:$W$1501,1))</f>
        <v/>
      </c>
      <c r="P21" s="7">
        <f>IF($U21="","",O21*N21)</f>
        <v/>
      </c>
      <c r="Q21" s="7">
        <f>IF($U21="","",P21+M21)</f>
        <v/>
      </c>
      <c r="R21" s="7">
        <f>IF($U21="","",S21-Q21)</f>
        <v/>
      </c>
      <c r="S21" s="7">
        <f>IF($U21="","",L21+O21)</f>
        <v/>
      </c>
      <c r="T21" s="7">
        <f>IF($U21="","",S21-Q21-H21)</f>
        <v/>
      </c>
      <c r="U21" s="16">
        <f>IF(ROWS($U$2:$U21)&lt;=MAX('Per Line'!$V$2:$V$1501),MATCH(ROWS($U$2:$U21),'Per Line'!$V$2:$V$1501,0),"")</f>
        <v/>
      </c>
      <c r="V21">
        <f>IF($U21="","",B21&amp;"|"&amp;COUNTIF($B$2:$B21,B21))</f>
        <v/>
      </c>
    </row>
    <row r="22">
      <c r="A22">
        <f>IF($U22="","",INDEX('Per Line'!$B$2:$B$1501,$U22)&amp;"")</f>
        <v/>
      </c>
      <c r="B22">
        <f>IF($U22="","","COPY "&amp;G22&amp;" %")</f>
        <v/>
      </c>
      <c r="C22" s="15" t="n"/>
      <c r="D22">
        <f>IF($U22="","",INDEX('Per Line'!$C$2:$C$1501,$U22)&amp;"")</f>
        <v/>
      </c>
      <c r="E22">
        <f>IF($U22="","",INDEX('Per Line'!$D$2:$D$1501,$U22)&amp;"")</f>
        <v/>
      </c>
      <c r="F22">
        <f>IF($U22="","",INDEX('Per Line'!$E$2:$E$1501,$U22)&amp;"")</f>
        <v/>
      </c>
      <c r="G22">
        <f>IF($U22="","",INDEX('Per Line'!$F$2:$F$1501,$U22))</f>
        <v/>
      </c>
      <c r="H22" s="7">
        <f>IF($U22="","",G22*S22/100)</f>
        <v/>
      </c>
      <c r="I22" s="14">
        <f>IF($U22="","",INDEX('Per Line'!$R$2:$R$1501,$U22))</f>
        <v/>
      </c>
      <c r="J22">
        <f>IF($U22="","",INDEX('Per Line'!$Q$2:$Q$1501,$U22)&amp;"")</f>
        <v/>
      </c>
      <c r="K22">
        <f>IF($U22="","",Settings!$C$7)</f>
        <v/>
      </c>
      <c r="L22" s="7">
        <f>IF($U22="","",SUMIFS('Per Line'!$L$2:$L$1501,'Per Line'!$B$2:$B$1501,$A22,'Per Line'!$W$2:$W$1501,0))</f>
        <v/>
      </c>
      <c r="M22" s="7">
        <f>IF($U22="","",L22*K22)</f>
        <v/>
      </c>
      <c r="N22">
        <f>IF($U22="","",Settings!$C$6)</f>
        <v/>
      </c>
      <c r="O22" s="7">
        <f>IF($U22="","",SUMIFS('Per Line'!$L$2:$L$1501,'Per Line'!$B$2:$B$1501,$A22,'Per Line'!$W$2:$W$1501,1))</f>
        <v/>
      </c>
      <c r="P22" s="7">
        <f>IF($U22="","",O22*N22)</f>
        <v/>
      </c>
      <c r="Q22" s="7">
        <f>IF($U22="","",P22+M22)</f>
        <v/>
      </c>
      <c r="R22" s="7">
        <f>IF($U22="","",S22-Q22)</f>
        <v/>
      </c>
      <c r="S22" s="7">
        <f>IF($U22="","",L22+O22)</f>
        <v/>
      </c>
      <c r="T22" s="7">
        <f>IF($U22="","",S22-Q22-H22)</f>
        <v/>
      </c>
      <c r="U22" s="16">
        <f>IF(ROWS($U$2:$U22)&lt;=MAX('Per Line'!$V$2:$V$1501),MATCH(ROWS($U$2:$U22),'Per Line'!$V$2:$V$1501,0),"")</f>
        <v/>
      </c>
      <c r="V22">
        <f>IF($U22="","",B22&amp;"|"&amp;COUNTIF($B$2:$B22,B22))</f>
        <v/>
      </c>
    </row>
    <row r="23">
      <c r="A23">
        <f>IF($U23="","",INDEX('Per Line'!$B$2:$B$1501,$U23)&amp;"")</f>
        <v/>
      </c>
      <c r="B23">
        <f>IF($U23="","","COPY "&amp;G23&amp;" %")</f>
        <v/>
      </c>
      <c r="C23" s="15" t="n"/>
      <c r="D23">
        <f>IF($U23="","",INDEX('Per Line'!$C$2:$C$1501,$U23)&amp;"")</f>
        <v/>
      </c>
      <c r="E23">
        <f>IF($U23="","",INDEX('Per Line'!$D$2:$D$1501,$U23)&amp;"")</f>
        <v/>
      </c>
      <c r="F23">
        <f>IF($U23="","",INDEX('Per Line'!$E$2:$E$1501,$U23)&amp;"")</f>
        <v/>
      </c>
      <c r="G23">
        <f>IF($U23="","",INDEX('Per Line'!$F$2:$F$1501,$U23))</f>
        <v/>
      </c>
      <c r="H23" s="7">
        <f>IF($U23="","",G23*S23/100)</f>
        <v/>
      </c>
      <c r="I23" s="14">
        <f>IF($U23="","",INDEX('Per Line'!$R$2:$R$1501,$U23))</f>
        <v/>
      </c>
      <c r="J23">
        <f>IF($U23="","",INDEX('Per Line'!$Q$2:$Q$1501,$U23)&amp;"")</f>
        <v/>
      </c>
      <c r="K23">
        <f>IF($U23="","",Settings!$C$7)</f>
        <v/>
      </c>
      <c r="L23" s="7">
        <f>IF($U23="","",SUMIFS('Per Line'!$L$2:$L$1501,'Per Line'!$B$2:$B$1501,$A23,'Per Line'!$W$2:$W$1501,0))</f>
        <v/>
      </c>
      <c r="M23" s="7">
        <f>IF($U23="","",L23*K23)</f>
        <v/>
      </c>
      <c r="N23">
        <f>IF($U23="","",Settings!$C$6)</f>
        <v/>
      </c>
      <c r="O23" s="7">
        <f>IF($U23="","",SUMIFS('Per Line'!$L$2:$L$1501,'Per Line'!$B$2:$B$1501,$A23,'Per Line'!$W$2:$W$1501,1))</f>
        <v/>
      </c>
      <c r="P23" s="7">
        <f>IF($U23="","",O23*N23)</f>
        <v/>
      </c>
      <c r="Q23" s="7">
        <f>IF($U23="","",P23+M23)</f>
        <v/>
      </c>
      <c r="R23" s="7">
        <f>IF($U23="","",S23-Q23)</f>
        <v/>
      </c>
      <c r="S23" s="7">
        <f>IF($U23="","",L23+O23)</f>
        <v/>
      </c>
      <c r="T23" s="7">
        <f>IF($U23="","",S23-Q23-H23)</f>
        <v/>
      </c>
      <c r="U23" s="16">
        <f>IF(ROWS($U$2:$U23)&lt;=MAX('Per Line'!$V$2:$V$1501),MATCH(ROWS($U$2:$U23),'Per Line'!$V$2:$V$1501,0),"")</f>
        <v/>
      </c>
      <c r="V23">
        <f>IF($U23="","",B23&amp;"|"&amp;COUNTIF($B$2:$B23,B23))</f>
        <v/>
      </c>
    </row>
    <row r="24">
      <c r="A24">
        <f>IF($U24="","",INDEX('Per Line'!$B$2:$B$1501,$U24)&amp;"")</f>
        <v/>
      </c>
      <c r="B24">
        <f>IF($U24="","","COPY "&amp;G24&amp;" %")</f>
        <v/>
      </c>
      <c r="C24" s="15" t="n"/>
      <c r="D24">
        <f>IF($U24="","",INDEX('Per Line'!$C$2:$C$1501,$U24)&amp;"")</f>
        <v/>
      </c>
      <c r="E24">
        <f>IF($U24="","",INDEX('Per Line'!$D$2:$D$1501,$U24)&amp;"")</f>
        <v/>
      </c>
      <c r="F24">
        <f>IF($U24="","",INDEX('Per Line'!$E$2:$E$1501,$U24)&amp;"")</f>
        <v/>
      </c>
      <c r="G24">
        <f>IF($U24="","",INDEX('Per Line'!$F$2:$F$1501,$U24))</f>
        <v/>
      </c>
      <c r="H24" s="7">
        <f>IF($U24="","",G24*S24/100)</f>
        <v/>
      </c>
      <c r="I24" s="14">
        <f>IF($U24="","",INDEX('Per Line'!$R$2:$R$1501,$U24))</f>
        <v/>
      </c>
      <c r="J24">
        <f>IF($U24="","",INDEX('Per Line'!$Q$2:$Q$1501,$U24)&amp;"")</f>
        <v/>
      </c>
      <c r="K24">
        <f>IF($U24="","",Settings!$C$7)</f>
        <v/>
      </c>
      <c r="L24" s="7">
        <f>IF($U24="","",SUMIFS('Per Line'!$L$2:$L$1501,'Per Line'!$B$2:$B$1501,$A24,'Per Line'!$W$2:$W$1501,0))</f>
        <v/>
      </c>
      <c r="M24" s="7">
        <f>IF($U24="","",L24*K24)</f>
        <v/>
      </c>
      <c r="N24">
        <f>IF($U24="","",Settings!$C$6)</f>
        <v/>
      </c>
      <c r="O24" s="7">
        <f>IF($U24="","",SUMIFS('Per Line'!$L$2:$L$1501,'Per Line'!$B$2:$B$1501,$A24,'Per Line'!$W$2:$W$1501,1))</f>
        <v/>
      </c>
      <c r="P24" s="7">
        <f>IF($U24="","",O24*N24)</f>
        <v/>
      </c>
      <c r="Q24" s="7">
        <f>IF($U24="","",P24+M24)</f>
        <v/>
      </c>
      <c r="R24" s="7">
        <f>IF($U24="","",S24-Q24)</f>
        <v/>
      </c>
      <c r="S24" s="7">
        <f>IF($U24="","",L24+O24)</f>
        <v/>
      </c>
      <c r="T24" s="7">
        <f>IF($U24="","",S24-Q24-H24)</f>
        <v/>
      </c>
      <c r="U24" s="16">
        <f>IF(ROWS($U$2:$U24)&lt;=MAX('Per Line'!$V$2:$V$1501),MATCH(ROWS($U$2:$U24),'Per Line'!$V$2:$V$1501,0),"")</f>
        <v/>
      </c>
      <c r="V24">
        <f>IF($U24="","",B24&amp;"|"&amp;COUNTIF($B$2:$B24,B24))</f>
        <v/>
      </c>
    </row>
    <row r="25">
      <c r="A25">
        <f>IF($U25="","",INDEX('Per Line'!$B$2:$B$1501,$U25)&amp;"")</f>
        <v/>
      </c>
      <c r="B25">
        <f>IF($U25="","","COPY "&amp;G25&amp;" %")</f>
        <v/>
      </c>
      <c r="C25" s="15" t="n"/>
      <c r="D25">
        <f>IF($U25="","",INDEX('Per Line'!$C$2:$C$1501,$U25)&amp;"")</f>
        <v/>
      </c>
      <c r="E25">
        <f>IF($U25="","",INDEX('Per Line'!$D$2:$D$1501,$U25)&amp;"")</f>
        <v/>
      </c>
      <c r="F25">
        <f>IF($U25="","",INDEX('Per Line'!$E$2:$E$1501,$U25)&amp;"")</f>
        <v/>
      </c>
      <c r="G25">
        <f>IF($U25="","",INDEX('Per Line'!$F$2:$F$1501,$U25))</f>
        <v/>
      </c>
      <c r="H25" s="7">
        <f>IF($U25="","",G25*S25/100)</f>
        <v/>
      </c>
      <c r="I25" s="14">
        <f>IF($U25="","",INDEX('Per Line'!$R$2:$R$1501,$U25))</f>
        <v/>
      </c>
      <c r="J25">
        <f>IF($U25="","",INDEX('Per Line'!$Q$2:$Q$1501,$U25)&amp;"")</f>
        <v/>
      </c>
      <c r="K25">
        <f>IF($U25="","",Settings!$C$7)</f>
        <v/>
      </c>
      <c r="L25" s="7">
        <f>IF($U25="","",SUMIFS('Per Line'!$L$2:$L$1501,'Per Line'!$B$2:$B$1501,$A25,'Per Line'!$W$2:$W$1501,0))</f>
        <v/>
      </c>
      <c r="M25" s="7">
        <f>IF($U25="","",L25*K25)</f>
        <v/>
      </c>
      <c r="N25">
        <f>IF($U25="","",Settings!$C$6)</f>
        <v/>
      </c>
      <c r="O25" s="7">
        <f>IF($U25="","",SUMIFS('Per Line'!$L$2:$L$1501,'Per Line'!$B$2:$B$1501,$A25,'Per Line'!$W$2:$W$1501,1))</f>
        <v/>
      </c>
      <c r="P25" s="7">
        <f>IF($U25="","",O25*N25)</f>
        <v/>
      </c>
      <c r="Q25" s="7">
        <f>IF($U25="","",P25+M25)</f>
        <v/>
      </c>
      <c r="R25" s="7">
        <f>IF($U25="","",S25-Q25)</f>
        <v/>
      </c>
      <c r="S25" s="7">
        <f>IF($U25="","",L25+O25)</f>
        <v/>
      </c>
      <c r="T25" s="7">
        <f>IF($U25="","",S25-Q25-H25)</f>
        <v/>
      </c>
      <c r="U25" s="16">
        <f>IF(ROWS($U$2:$U25)&lt;=MAX('Per Line'!$V$2:$V$1501),MATCH(ROWS($U$2:$U25),'Per Line'!$V$2:$V$1501,0),"")</f>
        <v/>
      </c>
      <c r="V25">
        <f>IF($U25="","",B25&amp;"|"&amp;COUNTIF($B$2:$B25,B25))</f>
        <v/>
      </c>
    </row>
    <row r="26">
      <c r="A26">
        <f>IF($U26="","",INDEX('Per Line'!$B$2:$B$1501,$U26)&amp;"")</f>
        <v/>
      </c>
      <c r="B26">
        <f>IF($U26="","","COPY "&amp;G26&amp;" %")</f>
        <v/>
      </c>
      <c r="C26" s="15" t="n"/>
      <c r="D26">
        <f>IF($U26="","",INDEX('Per Line'!$C$2:$C$1501,$U26)&amp;"")</f>
        <v/>
      </c>
      <c r="E26">
        <f>IF($U26="","",INDEX('Per Line'!$D$2:$D$1501,$U26)&amp;"")</f>
        <v/>
      </c>
      <c r="F26">
        <f>IF($U26="","",INDEX('Per Line'!$E$2:$E$1501,$U26)&amp;"")</f>
        <v/>
      </c>
      <c r="G26">
        <f>IF($U26="","",INDEX('Per Line'!$F$2:$F$1501,$U26))</f>
        <v/>
      </c>
      <c r="H26" s="7">
        <f>IF($U26="","",G26*S26/100)</f>
        <v/>
      </c>
      <c r="I26" s="14">
        <f>IF($U26="","",INDEX('Per Line'!$R$2:$R$1501,$U26))</f>
        <v/>
      </c>
      <c r="J26">
        <f>IF($U26="","",INDEX('Per Line'!$Q$2:$Q$1501,$U26)&amp;"")</f>
        <v/>
      </c>
      <c r="K26">
        <f>IF($U26="","",Settings!$C$7)</f>
        <v/>
      </c>
      <c r="L26" s="7">
        <f>IF($U26="","",SUMIFS('Per Line'!$L$2:$L$1501,'Per Line'!$B$2:$B$1501,$A26,'Per Line'!$W$2:$W$1501,0))</f>
        <v/>
      </c>
      <c r="M26" s="7">
        <f>IF($U26="","",L26*K26)</f>
        <v/>
      </c>
      <c r="N26">
        <f>IF($U26="","",Settings!$C$6)</f>
        <v/>
      </c>
      <c r="O26" s="7">
        <f>IF($U26="","",SUMIFS('Per Line'!$L$2:$L$1501,'Per Line'!$B$2:$B$1501,$A26,'Per Line'!$W$2:$W$1501,1))</f>
        <v/>
      </c>
      <c r="P26" s="7">
        <f>IF($U26="","",O26*N26)</f>
        <v/>
      </c>
      <c r="Q26" s="7">
        <f>IF($U26="","",P26+M26)</f>
        <v/>
      </c>
      <c r="R26" s="7">
        <f>IF($U26="","",S26-Q26)</f>
        <v/>
      </c>
      <c r="S26" s="7">
        <f>IF($U26="","",L26+O26)</f>
        <v/>
      </c>
      <c r="T26" s="7">
        <f>IF($U26="","",S26-Q26-H26)</f>
        <v/>
      </c>
      <c r="U26" s="16">
        <f>IF(ROWS($U$2:$U26)&lt;=MAX('Per Line'!$V$2:$V$1501),MATCH(ROWS($U$2:$U26),'Per Line'!$V$2:$V$1501,0),"")</f>
        <v/>
      </c>
      <c r="V26">
        <f>IF($U26="","",B26&amp;"|"&amp;COUNTIF($B$2:$B26,B26))</f>
        <v/>
      </c>
    </row>
    <row r="27">
      <c r="A27">
        <f>IF($U27="","",INDEX('Per Line'!$B$2:$B$1501,$U27)&amp;"")</f>
        <v/>
      </c>
      <c r="B27">
        <f>IF($U27="","","COPY "&amp;G27&amp;" %")</f>
        <v/>
      </c>
      <c r="C27" s="15" t="n"/>
      <c r="D27">
        <f>IF($U27="","",INDEX('Per Line'!$C$2:$C$1501,$U27)&amp;"")</f>
        <v/>
      </c>
      <c r="E27">
        <f>IF($U27="","",INDEX('Per Line'!$D$2:$D$1501,$U27)&amp;"")</f>
        <v/>
      </c>
      <c r="F27">
        <f>IF($U27="","",INDEX('Per Line'!$E$2:$E$1501,$U27)&amp;"")</f>
        <v/>
      </c>
      <c r="G27">
        <f>IF($U27="","",INDEX('Per Line'!$F$2:$F$1501,$U27))</f>
        <v/>
      </c>
      <c r="H27" s="7">
        <f>IF($U27="","",G27*S27/100)</f>
        <v/>
      </c>
      <c r="I27" s="14">
        <f>IF($U27="","",INDEX('Per Line'!$R$2:$R$1501,$U27))</f>
        <v/>
      </c>
      <c r="J27">
        <f>IF($U27="","",INDEX('Per Line'!$Q$2:$Q$1501,$U27)&amp;"")</f>
        <v/>
      </c>
      <c r="K27">
        <f>IF($U27="","",Settings!$C$7)</f>
        <v/>
      </c>
      <c r="L27" s="7">
        <f>IF($U27="","",SUMIFS('Per Line'!$L$2:$L$1501,'Per Line'!$B$2:$B$1501,$A27,'Per Line'!$W$2:$W$1501,0))</f>
        <v/>
      </c>
      <c r="M27" s="7">
        <f>IF($U27="","",L27*K27)</f>
        <v/>
      </c>
      <c r="N27">
        <f>IF($U27="","",Settings!$C$6)</f>
        <v/>
      </c>
      <c r="O27" s="7">
        <f>IF($U27="","",SUMIFS('Per Line'!$L$2:$L$1501,'Per Line'!$B$2:$B$1501,$A27,'Per Line'!$W$2:$W$1501,1))</f>
        <v/>
      </c>
      <c r="P27" s="7">
        <f>IF($U27="","",O27*N27)</f>
        <v/>
      </c>
      <c r="Q27" s="7">
        <f>IF($U27="","",P27+M27)</f>
        <v/>
      </c>
      <c r="R27" s="7">
        <f>IF($U27="","",S27-Q27)</f>
        <v/>
      </c>
      <c r="S27" s="7">
        <f>IF($U27="","",L27+O27)</f>
        <v/>
      </c>
      <c r="T27" s="7">
        <f>IF($U27="","",S27-Q27-H27)</f>
        <v/>
      </c>
      <c r="U27" s="16">
        <f>IF(ROWS($U$2:$U27)&lt;=MAX('Per Line'!$V$2:$V$1501),MATCH(ROWS($U$2:$U27),'Per Line'!$V$2:$V$1501,0),"")</f>
        <v/>
      </c>
      <c r="V27">
        <f>IF($U27="","",B27&amp;"|"&amp;COUNTIF($B$2:$B27,B27))</f>
        <v/>
      </c>
    </row>
    <row r="28">
      <c r="A28">
        <f>IF($U28="","",INDEX('Per Line'!$B$2:$B$1501,$U28)&amp;"")</f>
        <v/>
      </c>
      <c r="B28">
        <f>IF($U28="","","COPY "&amp;G28&amp;" %")</f>
        <v/>
      </c>
      <c r="C28" s="15" t="n"/>
      <c r="D28">
        <f>IF($U28="","",INDEX('Per Line'!$C$2:$C$1501,$U28)&amp;"")</f>
        <v/>
      </c>
      <c r="E28">
        <f>IF($U28="","",INDEX('Per Line'!$D$2:$D$1501,$U28)&amp;"")</f>
        <v/>
      </c>
      <c r="F28">
        <f>IF($U28="","",INDEX('Per Line'!$E$2:$E$1501,$U28)&amp;"")</f>
        <v/>
      </c>
      <c r="G28">
        <f>IF($U28="","",INDEX('Per Line'!$F$2:$F$1501,$U28))</f>
        <v/>
      </c>
      <c r="H28" s="7">
        <f>IF($U28="","",G28*S28/100)</f>
        <v/>
      </c>
      <c r="I28" s="14">
        <f>IF($U28="","",INDEX('Per Line'!$R$2:$R$1501,$U28))</f>
        <v/>
      </c>
      <c r="J28">
        <f>IF($U28="","",INDEX('Per Line'!$Q$2:$Q$1501,$U28)&amp;"")</f>
        <v/>
      </c>
      <c r="K28">
        <f>IF($U28="","",Settings!$C$7)</f>
        <v/>
      </c>
      <c r="L28" s="7">
        <f>IF($U28="","",SUMIFS('Per Line'!$L$2:$L$1501,'Per Line'!$B$2:$B$1501,$A28,'Per Line'!$W$2:$W$1501,0))</f>
        <v/>
      </c>
      <c r="M28" s="7">
        <f>IF($U28="","",L28*K28)</f>
        <v/>
      </c>
      <c r="N28">
        <f>IF($U28="","",Settings!$C$6)</f>
        <v/>
      </c>
      <c r="O28" s="7">
        <f>IF($U28="","",SUMIFS('Per Line'!$L$2:$L$1501,'Per Line'!$B$2:$B$1501,$A28,'Per Line'!$W$2:$W$1501,1))</f>
        <v/>
      </c>
      <c r="P28" s="7">
        <f>IF($U28="","",O28*N28)</f>
        <v/>
      </c>
      <c r="Q28" s="7">
        <f>IF($U28="","",P28+M28)</f>
        <v/>
      </c>
      <c r="R28" s="7">
        <f>IF($U28="","",S28-Q28)</f>
        <v/>
      </c>
      <c r="S28" s="7">
        <f>IF($U28="","",L28+O28)</f>
        <v/>
      </c>
      <c r="T28" s="7">
        <f>IF($U28="","",S28-Q28-H28)</f>
        <v/>
      </c>
      <c r="U28" s="16">
        <f>IF(ROWS($U$2:$U28)&lt;=MAX('Per Line'!$V$2:$V$1501),MATCH(ROWS($U$2:$U28),'Per Line'!$V$2:$V$1501,0),"")</f>
        <v/>
      </c>
      <c r="V28">
        <f>IF($U28="","",B28&amp;"|"&amp;COUNTIF($B$2:$B28,B28))</f>
        <v/>
      </c>
    </row>
    <row r="29">
      <c r="A29">
        <f>IF($U29="","",INDEX('Per Line'!$B$2:$B$1501,$U29)&amp;"")</f>
        <v/>
      </c>
      <c r="B29">
        <f>IF($U29="","","COPY "&amp;G29&amp;" %")</f>
        <v/>
      </c>
      <c r="C29" s="15" t="n"/>
      <c r="D29">
        <f>IF($U29="","",INDEX('Per Line'!$C$2:$C$1501,$U29)&amp;"")</f>
        <v/>
      </c>
      <c r="E29">
        <f>IF($U29="","",INDEX('Per Line'!$D$2:$D$1501,$U29)&amp;"")</f>
        <v/>
      </c>
      <c r="F29">
        <f>IF($U29="","",INDEX('Per Line'!$E$2:$E$1501,$U29)&amp;"")</f>
        <v/>
      </c>
      <c r="G29">
        <f>IF($U29="","",INDEX('Per Line'!$F$2:$F$1501,$U29))</f>
        <v/>
      </c>
      <c r="H29" s="7">
        <f>IF($U29="","",G29*S29/100)</f>
        <v/>
      </c>
      <c r="I29" s="14">
        <f>IF($U29="","",INDEX('Per Line'!$R$2:$R$1501,$U29))</f>
        <v/>
      </c>
      <c r="J29">
        <f>IF($U29="","",INDEX('Per Line'!$Q$2:$Q$1501,$U29)&amp;"")</f>
        <v/>
      </c>
      <c r="K29">
        <f>IF($U29="","",Settings!$C$7)</f>
        <v/>
      </c>
      <c r="L29" s="7">
        <f>IF($U29="","",SUMIFS('Per Line'!$L$2:$L$1501,'Per Line'!$B$2:$B$1501,$A29,'Per Line'!$W$2:$W$1501,0))</f>
        <v/>
      </c>
      <c r="M29" s="7">
        <f>IF($U29="","",L29*K29)</f>
        <v/>
      </c>
      <c r="N29">
        <f>IF($U29="","",Settings!$C$6)</f>
        <v/>
      </c>
      <c r="O29" s="7">
        <f>IF($U29="","",SUMIFS('Per Line'!$L$2:$L$1501,'Per Line'!$B$2:$B$1501,$A29,'Per Line'!$W$2:$W$1501,1))</f>
        <v/>
      </c>
      <c r="P29" s="7">
        <f>IF($U29="","",O29*N29)</f>
        <v/>
      </c>
      <c r="Q29" s="7">
        <f>IF($U29="","",P29+M29)</f>
        <v/>
      </c>
      <c r="R29" s="7">
        <f>IF($U29="","",S29-Q29)</f>
        <v/>
      </c>
      <c r="S29" s="7">
        <f>IF($U29="","",L29+O29)</f>
        <v/>
      </c>
      <c r="T29" s="7">
        <f>IF($U29="","",S29-Q29-H29)</f>
        <v/>
      </c>
      <c r="U29" s="16">
        <f>IF(ROWS($U$2:$U29)&lt;=MAX('Per Line'!$V$2:$V$1501),MATCH(ROWS($U$2:$U29),'Per Line'!$V$2:$V$1501,0),"")</f>
        <v/>
      </c>
      <c r="V29">
        <f>IF($U29="","",B29&amp;"|"&amp;COUNTIF($B$2:$B29,B29))</f>
        <v/>
      </c>
    </row>
    <row r="30">
      <c r="A30">
        <f>IF($U30="","",INDEX('Per Line'!$B$2:$B$1501,$U30)&amp;"")</f>
        <v/>
      </c>
      <c r="B30">
        <f>IF($U30="","","COPY "&amp;G30&amp;" %")</f>
        <v/>
      </c>
      <c r="C30" s="15" t="n"/>
      <c r="D30">
        <f>IF($U30="","",INDEX('Per Line'!$C$2:$C$1501,$U30)&amp;"")</f>
        <v/>
      </c>
      <c r="E30">
        <f>IF($U30="","",INDEX('Per Line'!$D$2:$D$1501,$U30)&amp;"")</f>
        <v/>
      </c>
      <c r="F30">
        <f>IF($U30="","",INDEX('Per Line'!$E$2:$E$1501,$U30)&amp;"")</f>
        <v/>
      </c>
      <c r="G30">
        <f>IF($U30="","",INDEX('Per Line'!$F$2:$F$1501,$U30))</f>
        <v/>
      </c>
      <c r="H30" s="7">
        <f>IF($U30="","",G30*S30/100)</f>
        <v/>
      </c>
      <c r="I30" s="14">
        <f>IF($U30="","",INDEX('Per Line'!$R$2:$R$1501,$U30))</f>
        <v/>
      </c>
      <c r="J30">
        <f>IF($U30="","",INDEX('Per Line'!$Q$2:$Q$1501,$U30)&amp;"")</f>
        <v/>
      </c>
      <c r="K30">
        <f>IF($U30="","",Settings!$C$7)</f>
        <v/>
      </c>
      <c r="L30" s="7">
        <f>IF($U30="","",SUMIFS('Per Line'!$L$2:$L$1501,'Per Line'!$B$2:$B$1501,$A30,'Per Line'!$W$2:$W$1501,0))</f>
        <v/>
      </c>
      <c r="M30" s="7">
        <f>IF($U30="","",L30*K30)</f>
        <v/>
      </c>
      <c r="N30">
        <f>IF($U30="","",Settings!$C$6)</f>
        <v/>
      </c>
      <c r="O30" s="7">
        <f>IF($U30="","",SUMIFS('Per Line'!$L$2:$L$1501,'Per Line'!$B$2:$B$1501,$A30,'Per Line'!$W$2:$W$1501,1))</f>
        <v/>
      </c>
      <c r="P30" s="7">
        <f>IF($U30="","",O30*N30)</f>
        <v/>
      </c>
      <c r="Q30" s="7">
        <f>IF($U30="","",P30+M30)</f>
        <v/>
      </c>
      <c r="R30" s="7">
        <f>IF($U30="","",S30-Q30)</f>
        <v/>
      </c>
      <c r="S30" s="7">
        <f>IF($U30="","",L30+O30)</f>
        <v/>
      </c>
      <c r="T30" s="7">
        <f>IF($U30="","",S30-Q30-H30)</f>
        <v/>
      </c>
      <c r="U30" s="16">
        <f>IF(ROWS($U$2:$U30)&lt;=MAX('Per Line'!$V$2:$V$1501),MATCH(ROWS($U$2:$U30),'Per Line'!$V$2:$V$1501,0),"")</f>
        <v/>
      </c>
      <c r="V30">
        <f>IF($U30="","",B30&amp;"|"&amp;COUNTIF($B$2:$B30,B30))</f>
        <v/>
      </c>
    </row>
    <row r="31">
      <c r="A31">
        <f>IF($U31="","",INDEX('Per Line'!$B$2:$B$1501,$U31)&amp;"")</f>
        <v/>
      </c>
      <c r="B31">
        <f>IF($U31="","","COPY "&amp;G31&amp;" %")</f>
        <v/>
      </c>
      <c r="C31" s="15" t="n"/>
      <c r="D31">
        <f>IF($U31="","",INDEX('Per Line'!$C$2:$C$1501,$U31)&amp;"")</f>
        <v/>
      </c>
      <c r="E31">
        <f>IF($U31="","",INDEX('Per Line'!$D$2:$D$1501,$U31)&amp;"")</f>
        <v/>
      </c>
      <c r="F31">
        <f>IF($U31="","",INDEX('Per Line'!$E$2:$E$1501,$U31)&amp;"")</f>
        <v/>
      </c>
      <c r="G31">
        <f>IF($U31="","",INDEX('Per Line'!$F$2:$F$1501,$U31))</f>
        <v/>
      </c>
      <c r="H31" s="7">
        <f>IF($U31="","",G31*S31/100)</f>
        <v/>
      </c>
      <c r="I31" s="14">
        <f>IF($U31="","",INDEX('Per Line'!$R$2:$R$1501,$U31))</f>
        <v/>
      </c>
      <c r="J31">
        <f>IF($U31="","",INDEX('Per Line'!$Q$2:$Q$1501,$U31)&amp;"")</f>
        <v/>
      </c>
      <c r="K31">
        <f>IF($U31="","",Settings!$C$7)</f>
        <v/>
      </c>
      <c r="L31" s="7">
        <f>IF($U31="","",SUMIFS('Per Line'!$L$2:$L$1501,'Per Line'!$B$2:$B$1501,$A31,'Per Line'!$W$2:$W$1501,0))</f>
        <v/>
      </c>
      <c r="M31" s="7">
        <f>IF($U31="","",L31*K31)</f>
        <v/>
      </c>
      <c r="N31">
        <f>IF($U31="","",Settings!$C$6)</f>
        <v/>
      </c>
      <c r="O31" s="7">
        <f>IF($U31="","",SUMIFS('Per Line'!$L$2:$L$1501,'Per Line'!$B$2:$B$1501,$A31,'Per Line'!$W$2:$W$1501,1))</f>
        <v/>
      </c>
      <c r="P31" s="7">
        <f>IF($U31="","",O31*N31)</f>
        <v/>
      </c>
      <c r="Q31" s="7">
        <f>IF($U31="","",P31+M31)</f>
        <v/>
      </c>
      <c r="R31" s="7">
        <f>IF($U31="","",S31-Q31)</f>
        <v/>
      </c>
      <c r="S31" s="7">
        <f>IF($U31="","",L31+O31)</f>
        <v/>
      </c>
      <c r="T31" s="7">
        <f>IF($U31="","",S31-Q31-H31)</f>
        <v/>
      </c>
      <c r="U31" s="16">
        <f>IF(ROWS($U$2:$U31)&lt;=MAX('Per Line'!$V$2:$V$1501),MATCH(ROWS($U$2:$U31),'Per Line'!$V$2:$V$1501,0),"")</f>
        <v/>
      </c>
      <c r="V31">
        <f>IF($U31="","",B31&amp;"|"&amp;COUNTIF($B$2:$B31,B31))</f>
        <v/>
      </c>
    </row>
    <row r="32">
      <c r="A32">
        <f>IF($U32="","",INDEX('Per Line'!$B$2:$B$1501,$U32)&amp;"")</f>
        <v/>
      </c>
      <c r="B32">
        <f>IF($U32="","","COPY "&amp;G32&amp;" %")</f>
        <v/>
      </c>
      <c r="C32" s="15" t="n"/>
      <c r="D32">
        <f>IF($U32="","",INDEX('Per Line'!$C$2:$C$1501,$U32)&amp;"")</f>
        <v/>
      </c>
      <c r="E32">
        <f>IF($U32="","",INDEX('Per Line'!$D$2:$D$1501,$U32)&amp;"")</f>
        <v/>
      </c>
      <c r="F32">
        <f>IF($U32="","",INDEX('Per Line'!$E$2:$E$1501,$U32)&amp;"")</f>
        <v/>
      </c>
      <c r="G32">
        <f>IF($U32="","",INDEX('Per Line'!$F$2:$F$1501,$U32))</f>
        <v/>
      </c>
      <c r="H32" s="7">
        <f>IF($U32="","",G32*S32/100)</f>
        <v/>
      </c>
      <c r="I32" s="14">
        <f>IF($U32="","",INDEX('Per Line'!$R$2:$R$1501,$U32))</f>
        <v/>
      </c>
      <c r="J32">
        <f>IF($U32="","",INDEX('Per Line'!$Q$2:$Q$1501,$U32)&amp;"")</f>
        <v/>
      </c>
      <c r="K32">
        <f>IF($U32="","",Settings!$C$7)</f>
        <v/>
      </c>
      <c r="L32" s="7">
        <f>IF($U32="","",SUMIFS('Per Line'!$L$2:$L$1501,'Per Line'!$B$2:$B$1501,$A32,'Per Line'!$W$2:$W$1501,0))</f>
        <v/>
      </c>
      <c r="M32" s="7">
        <f>IF($U32="","",L32*K32)</f>
        <v/>
      </c>
      <c r="N32">
        <f>IF($U32="","",Settings!$C$6)</f>
        <v/>
      </c>
      <c r="O32" s="7">
        <f>IF($U32="","",SUMIFS('Per Line'!$L$2:$L$1501,'Per Line'!$B$2:$B$1501,$A32,'Per Line'!$W$2:$W$1501,1))</f>
        <v/>
      </c>
      <c r="P32" s="7">
        <f>IF($U32="","",O32*N32)</f>
        <v/>
      </c>
      <c r="Q32" s="7">
        <f>IF($U32="","",P32+M32)</f>
        <v/>
      </c>
      <c r="R32" s="7">
        <f>IF($U32="","",S32-Q32)</f>
        <v/>
      </c>
      <c r="S32" s="7">
        <f>IF($U32="","",L32+O32)</f>
        <v/>
      </c>
      <c r="T32" s="7">
        <f>IF($U32="","",S32-Q32-H32)</f>
        <v/>
      </c>
      <c r="U32" s="16">
        <f>IF(ROWS($U$2:$U32)&lt;=MAX('Per Line'!$V$2:$V$1501),MATCH(ROWS($U$2:$U32),'Per Line'!$V$2:$V$1501,0),"")</f>
        <v/>
      </c>
      <c r="V32">
        <f>IF($U32="","",B32&amp;"|"&amp;COUNTIF($B$2:$B32,B32))</f>
        <v/>
      </c>
    </row>
    <row r="33">
      <c r="A33">
        <f>IF($U33="","",INDEX('Per Line'!$B$2:$B$1501,$U33)&amp;"")</f>
        <v/>
      </c>
      <c r="B33">
        <f>IF($U33="","","COPY "&amp;G33&amp;" %")</f>
        <v/>
      </c>
      <c r="C33" s="15" t="n"/>
      <c r="D33">
        <f>IF($U33="","",INDEX('Per Line'!$C$2:$C$1501,$U33)&amp;"")</f>
        <v/>
      </c>
      <c r="E33">
        <f>IF($U33="","",INDEX('Per Line'!$D$2:$D$1501,$U33)&amp;"")</f>
        <v/>
      </c>
      <c r="F33">
        <f>IF($U33="","",INDEX('Per Line'!$E$2:$E$1501,$U33)&amp;"")</f>
        <v/>
      </c>
      <c r="G33">
        <f>IF($U33="","",INDEX('Per Line'!$F$2:$F$1501,$U33))</f>
        <v/>
      </c>
      <c r="H33" s="7">
        <f>IF($U33="","",G33*S33/100)</f>
        <v/>
      </c>
      <c r="I33" s="14">
        <f>IF($U33="","",INDEX('Per Line'!$R$2:$R$1501,$U33))</f>
        <v/>
      </c>
      <c r="J33">
        <f>IF($U33="","",INDEX('Per Line'!$Q$2:$Q$1501,$U33)&amp;"")</f>
        <v/>
      </c>
      <c r="K33">
        <f>IF($U33="","",Settings!$C$7)</f>
        <v/>
      </c>
      <c r="L33" s="7">
        <f>IF($U33="","",SUMIFS('Per Line'!$L$2:$L$1501,'Per Line'!$B$2:$B$1501,$A33,'Per Line'!$W$2:$W$1501,0))</f>
        <v/>
      </c>
      <c r="M33" s="7">
        <f>IF($U33="","",L33*K33)</f>
        <v/>
      </c>
      <c r="N33">
        <f>IF($U33="","",Settings!$C$6)</f>
        <v/>
      </c>
      <c r="O33" s="7">
        <f>IF($U33="","",SUMIFS('Per Line'!$L$2:$L$1501,'Per Line'!$B$2:$B$1501,$A33,'Per Line'!$W$2:$W$1501,1))</f>
        <v/>
      </c>
      <c r="P33" s="7">
        <f>IF($U33="","",O33*N33)</f>
        <v/>
      </c>
      <c r="Q33" s="7">
        <f>IF($U33="","",P33+M33)</f>
        <v/>
      </c>
      <c r="R33" s="7">
        <f>IF($U33="","",S33-Q33)</f>
        <v/>
      </c>
      <c r="S33" s="7">
        <f>IF($U33="","",L33+O33)</f>
        <v/>
      </c>
      <c r="T33" s="7">
        <f>IF($U33="","",S33-Q33-H33)</f>
        <v/>
      </c>
      <c r="U33" s="16">
        <f>IF(ROWS($U$2:$U33)&lt;=MAX('Per Line'!$V$2:$V$1501),MATCH(ROWS($U$2:$U33),'Per Line'!$V$2:$V$1501,0),"")</f>
        <v/>
      </c>
      <c r="V33">
        <f>IF($U33="","",B33&amp;"|"&amp;COUNTIF($B$2:$B33,B33))</f>
        <v/>
      </c>
    </row>
    <row r="34">
      <c r="A34">
        <f>IF($U34="","",INDEX('Per Line'!$B$2:$B$1501,$U34)&amp;"")</f>
        <v/>
      </c>
      <c r="B34">
        <f>IF($U34="","","COPY "&amp;G34&amp;" %")</f>
        <v/>
      </c>
      <c r="C34" s="15" t="n"/>
      <c r="D34">
        <f>IF($U34="","",INDEX('Per Line'!$C$2:$C$1501,$U34)&amp;"")</f>
        <v/>
      </c>
      <c r="E34">
        <f>IF($U34="","",INDEX('Per Line'!$D$2:$D$1501,$U34)&amp;"")</f>
        <v/>
      </c>
      <c r="F34">
        <f>IF($U34="","",INDEX('Per Line'!$E$2:$E$1501,$U34)&amp;"")</f>
        <v/>
      </c>
      <c r="G34">
        <f>IF($U34="","",INDEX('Per Line'!$F$2:$F$1501,$U34))</f>
        <v/>
      </c>
      <c r="H34" s="7">
        <f>IF($U34="","",G34*S34/100)</f>
        <v/>
      </c>
      <c r="I34" s="14">
        <f>IF($U34="","",INDEX('Per Line'!$R$2:$R$1501,$U34))</f>
        <v/>
      </c>
      <c r="J34">
        <f>IF($U34="","",INDEX('Per Line'!$Q$2:$Q$1501,$U34)&amp;"")</f>
        <v/>
      </c>
      <c r="K34">
        <f>IF($U34="","",Settings!$C$7)</f>
        <v/>
      </c>
      <c r="L34" s="7">
        <f>IF($U34="","",SUMIFS('Per Line'!$L$2:$L$1501,'Per Line'!$B$2:$B$1501,$A34,'Per Line'!$W$2:$W$1501,0))</f>
        <v/>
      </c>
      <c r="M34" s="7">
        <f>IF($U34="","",L34*K34)</f>
        <v/>
      </c>
      <c r="N34">
        <f>IF($U34="","",Settings!$C$6)</f>
        <v/>
      </c>
      <c r="O34" s="7">
        <f>IF($U34="","",SUMIFS('Per Line'!$L$2:$L$1501,'Per Line'!$B$2:$B$1501,$A34,'Per Line'!$W$2:$W$1501,1))</f>
        <v/>
      </c>
      <c r="P34" s="7">
        <f>IF($U34="","",O34*N34)</f>
        <v/>
      </c>
      <c r="Q34" s="7">
        <f>IF($U34="","",P34+M34)</f>
        <v/>
      </c>
      <c r="R34" s="7">
        <f>IF($U34="","",S34-Q34)</f>
        <v/>
      </c>
      <c r="S34" s="7">
        <f>IF($U34="","",L34+O34)</f>
        <v/>
      </c>
      <c r="T34" s="7">
        <f>IF($U34="","",S34-Q34-H34)</f>
        <v/>
      </c>
      <c r="U34" s="16">
        <f>IF(ROWS($U$2:$U34)&lt;=MAX('Per Line'!$V$2:$V$1501),MATCH(ROWS($U$2:$U34),'Per Line'!$V$2:$V$1501,0),"")</f>
        <v/>
      </c>
      <c r="V34">
        <f>IF($U34="","",B34&amp;"|"&amp;COUNTIF($B$2:$B34,B34))</f>
        <v/>
      </c>
    </row>
    <row r="35">
      <c r="A35">
        <f>IF($U35="","",INDEX('Per Line'!$B$2:$B$1501,$U35)&amp;"")</f>
        <v/>
      </c>
      <c r="B35">
        <f>IF($U35="","","COPY "&amp;G35&amp;" %")</f>
        <v/>
      </c>
      <c r="C35" s="15" t="n"/>
      <c r="D35">
        <f>IF($U35="","",INDEX('Per Line'!$C$2:$C$1501,$U35)&amp;"")</f>
        <v/>
      </c>
      <c r="E35">
        <f>IF($U35="","",INDEX('Per Line'!$D$2:$D$1501,$U35)&amp;"")</f>
        <v/>
      </c>
      <c r="F35">
        <f>IF($U35="","",INDEX('Per Line'!$E$2:$E$1501,$U35)&amp;"")</f>
        <v/>
      </c>
      <c r="G35">
        <f>IF($U35="","",INDEX('Per Line'!$F$2:$F$1501,$U35))</f>
        <v/>
      </c>
      <c r="H35" s="7">
        <f>IF($U35="","",G35*S35/100)</f>
        <v/>
      </c>
      <c r="I35" s="14">
        <f>IF($U35="","",INDEX('Per Line'!$R$2:$R$1501,$U35))</f>
        <v/>
      </c>
      <c r="J35">
        <f>IF($U35="","",INDEX('Per Line'!$Q$2:$Q$1501,$U35)&amp;"")</f>
        <v/>
      </c>
      <c r="K35">
        <f>IF($U35="","",Settings!$C$7)</f>
        <v/>
      </c>
      <c r="L35" s="7">
        <f>IF($U35="","",SUMIFS('Per Line'!$L$2:$L$1501,'Per Line'!$B$2:$B$1501,$A35,'Per Line'!$W$2:$W$1501,0))</f>
        <v/>
      </c>
      <c r="M35" s="7">
        <f>IF($U35="","",L35*K35)</f>
        <v/>
      </c>
      <c r="N35">
        <f>IF($U35="","",Settings!$C$6)</f>
        <v/>
      </c>
      <c r="O35" s="7">
        <f>IF($U35="","",SUMIFS('Per Line'!$L$2:$L$1501,'Per Line'!$B$2:$B$1501,$A35,'Per Line'!$W$2:$W$1501,1))</f>
        <v/>
      </c>
      <c r="P35" s="7">
        <f>IF($U35="","",O35*N35)</f>
        <v/>
      </c>
      <c r="Q35" s="7">
        <f>IF($U35="","",P35+M35)</f>
        <v/>
      </c>
      <c r="R35" s="7">
        <f>IF($U35="","",S35-Q35)</f>
        <v/>
      </c>
      <c r="S35" s="7">
        <f>IF($U35="","",L35+O35)</f>
        <v/>
      </c>
      <c r="T35" s="7">
        <f>IF($U35="","",S35-Q35-H35)</f>
        <v/>
      </c>
      <c r="U35" s="16">
        <f>IF(ROWS($U$2:$U35)&lt;=MAX('Per Line'!$V$2:$V$1501),MATCH(ROWS($U$2:$U35),'Per Line'!$V$2:$V$1501,0),"")</f>
        <v/>
      </c>
      <c r="V35">
        <f>IF($U35="","",B35&amp;"|"&amp;COUNTIF($B$2:$B35,B35))</f>
        <v/>
      </c>
    </row>
    <row r="36">
      <c r="A36">
        <f>IF($U36="","",INDEX('Per Line'!$B$2:$B$1501,$U36)&amp;"")</f>
        <v/>
      </c>
      <c r="B36">
        <f>IF($U36="","","COPY "&amp;G36&amp;" %")</f>
        <v/>
      </c>
      <c r="C36" s="15" t="n"/>
      <c r="D36">
        <f>IF($U36="","",INDEX('Per Line'!$C$2:$C$1501,$U36)&amp;"")</f>
        <v/>
      </c>
      <c r="E36">
        <f>IF($U36="","",INDEX('Per Line'!$D$2:$D$1501,$U36)&amp;"")</f>
        <v/>
      </c>
      <c r="F36">
        <f>IF($U36="","",INDEX('Per Line'!$E$2:$E$1501,$U36)&amp;"")</f>
        <v/>
      </c>
      <c r="G36">
        <f>IF($U36="","",INDEX('Per Line'!$F$2:$F$1501,$U36))</f>
        <v/>
      </c>
      <c r="H36" s="7">
        <f>IF($U36="","",G36*S36/100)</f>
        <v/>
      </c>
      <c r="I36" s="14">
        <f>IF($U36="","",INDEX('Per Line'!$R$2:$R$1501,$U36))</f>
        <v/>
      </c>
      <c r="J36">
        <f>IF($U36="","",INDEX('Per Line'!$Q$2:$Q$1501,$U36)&amp;"")</f>
        <v/>
      </c>
      <c r="K36">
        <f>IF($U36="","",Settings!$C$7)</f>
        <v/>
      </c>
      <c r="L36" s="7">
        <f>IF($U36="","",SUMIFS('Per Line'!$L$2:$L$1501,'Per Line'!$B$2:$B$1501,$A36,'Per Line'!$W$2:$W$1501,0))</f>
        <v/>
      </c>
      <c r="M36" s="7">
        <f>IF($U36="","",L36*K36)</f>
        <v/>
      </c>
      <c r="N36">
        <f>IF($U36="","",Settings!$C$6)</f>
        <v/>
      </c>
      <c r="O36" s="7">
        <f>IF($U36="","",SUMIFS('Per Line'!$L$2:$L$1501,'Per Line'!$B$2:$B$1501,$A36,'Per Line'!$W$2:$W$1501,1))</f>
        <v/>
      </c>
      <c r="P36" s="7">
        <f>IF($U36="","",O36*N36)</f>
        <v/>
      </c>
      <c r="Q36" s="7">
        <f>IF($U36="","",P36+M36)</f>
        <v/>
      </c>
      <c r="R36" s="7">
        <f>IF($U36="","",S36-Q36)</f>
        <v/>
      </c>
      <c r="S36" s="7">
        <f>IF($U36="","",L36+O36)</f>
        <v/>
      </c>
      <c r="T36" s="7">
        <f>IF($U36="","",S36-Q36-H36)</f>
        <v/>
      </c>
      <c r="U36" s="16">
        <f>IF(ROWS($U$2:$U36)&lt;=MAX('Per Line'!$V$2:$V$1501),MATCH(ROWS($U$2:$U36),'Per Line'!$V$2:$V$1501,0),"")</f>
        <v/>
      </c>
      <c r="V36">
        <f>IF($U36="","",B36&amp;"|"&amp;COUNTIF($B$2:$B36,B36))</f>
        <v/>
      </c>
    </row>
    <row r="37">
      <c r="A37">
        <f>IF($U37="","",INDEX('Per Line'!$B$2:$B$1501,$U37)&amp;"")</f>
        <v/>
      </c>
      <c r="B37">
        <f>IF($U37="","","COPY "&amp;G37&amp;" %")</f>
        <v/>
      </c>
      <c r="C37" s="15" t="n"/>
      <c r="D37">
        <f>IF($U37="","",INDEX('Per Line'!$C$2:$C$1501,$U37)&amp;"")</f>
        <v/>
      </c>
      <c r="E37">
        <f>IF($U37="","",INDEX('Per Line'!$D$2:$D$1501,$U37)&amp;"")</f>
        <v/>
      </c>
      <c r="F37">
        <f>IF($U37="","",INDEX('Per Line'!$E$2:$E$1501,$U37)&amp;"")</f>
        <v/>
      </c>
      <c r="G37">
        <f>IF($U37="","",INDEX('Per Line'!$F$2:$F$1501,$U37))</f>
        <v/>
      </c>
      <c r="H37" s="7">
        <f>IF($U37="","",G37*S37/100)</f>
        <v/>
      </c>
      <c r="I37" s="14">
        <f>IF($U37="","",INDEX('Per Line'!$R$2:$R$1501,$U37))</f>
        <v/>
      </c>
      <c r="J37">
        <f>IF($U37="","",INDEX('Per Line'!$Q$2:$Q$1501,$U37)&amp;"")</f>
        <v/>
      </c>
      <c r="K37">
        <f>IF($U37="","",Settings!$C$7)</f>
        <v/>
      </c>
      <c r="L37" s="7">
        <f>IF($U37="","",SUMIFS('Per Line'!$L$2:$L$1501,'Per Line'!$B$2:$B$1501,$A37,'Per Line'!$W$2:$W$1501,0))</f>
        <v/>
      </c>
      <c r="M37" s="7">
        <f>IF($U37="","",L37*K37)</f>
        <v/>
      </c>
      <c r="N37">
        <f>IF($U37="","",Settings!$C$6)</f>
        <v/>
      </c>
      <c r="O37" s="7">
        <f>IF($U37="","",SUMIFS('Per Line'!$L$2:$L$1501,'Per Line'!$B$2:$B$1501,$A37,'Per Line'!$W$2:$W$1501,1))</f>
        <v/>
      </c>
      <c r="P37" s="7">
        <f>IF($U37="","",O37*N37)</f>
        <v/>
      </c>
      <c r="Q37" s="7">
        <f>IF($U37="","",P37+M37)</f>
        <v/>
      </c>
      <c r="R37" s="7">
        <f>IF($U37="","",S37-Q37)</f>
        <v/>
      </c>
      <c r="S37" s="7">
        <f>IF($U37="","",L37+O37)</f>
        <v/>
      </c>
      <c r="T37" s="7">
        <f>IF($U37="","",S37-Q37-H37)</f>
        <v/>
      </c>
      <c r="U37" s="16">
        <f>IF(ROWS($U$2:$U37)&lt;=MAX('Per Line'!$V$2:$V$1501),MATCH(ROWS($U$2:$U37),'Per Line'!$V$2:$V$1501,0),"")</f>
        <v/>
      </c>
      <c r="V37">
        <f>IF($U37="","",B37&amp;"|"&amp;COUNTIF($B$2:$B37,B37))</f>
        <v/>
      </c>
    </row>
    <row r="38">
      <c r="A38">
        <f>IF($U38="","",INDEX('Per Line'!$B$2:$B$1501,$U38)&amp;"")</f>
        <v/>
      </c>
      <c r="B38">
        <f>IF($U38="","","COPY "&amp;G38&amp;" %")</f>
        <v/>
      </c>
      <c r="C38" s="15" t="n"/>
      <c r="D38">
        <f>IF($U38="","",INDEX('Per Line'!$C$2:$C$1501,$U38)&amp;"")</f>
        <v/>
      </c>
      <c r="E38">
        <f>IF($U38="","",INDEX('Per Line'!$D$2:$D$1501,$U38)&amp;"")</f>
        <v/>
      </c>
      <c r="F38">
        <f>IF($U38="","",INDEX('Per Line'!$E$2:$E$1501,$U38)&amp;"")</f>
        <v/>
      </c>
      <c r="G38">
        <f>IF($U38="","",INDEX('Per Line'!$F$2:$F$1501,$U38))</f>
        <v/>
      </c>
      <c r="H38" s="7">
        <f>IF($U38="","",G38*S38/100)</f>
        <v/>
      </c>
      <c r="I38" s="14">
        <f>IF($U38="","",INDEX('Per Line'!$R$2:$R$1501,$U38))</f>
        <v/>
      </c>
      <c r="J38">
        <f>IF($U38="","",INDEX('Per Line'!$Q$2:$Q$1501,$U38)&amp;"")</f>
        <v/>
      </c>
      <c r="K38">
        <f>IF($U38="","",Settings!$C$7)</f>
        <v/>
      </c>
      <c r="L38" s="7">
        <f>IF($U38="","",SUMIFS('Per Line'!$L$2:$L$1501,'Per Line'!$B$2:$B$1501,$A38,'Per Line'!$W$2:$W$1501,0))</f>
        <v/>
      </c>
      <c r="M38" s="7">
        <f>IF($U38="","",L38*K38)</f>
        <v/>
      </c>
      <c r="N38">
        <f>IF($U38="","",Settings!$C$6)</f>
        <v/>
      </c>
      <c r="O38" s="7">
        <f>IF($U38="","",SUMIFS('Per Line'!$L$2:$L$1501,'Per Line'!$B$2:$B$1501,$A38,'Per Line'!$W$2:$W$1501,1))</f>
        <v/>
      </c>
      <c r="P38" s="7">
        <f>IF($U38="","",O38*N38)</f>
        <v/>
      </c>
      <c r="Q38" s="7">
        <f>IF($U38="","",P38+M38)</f>
        <v/>
      </c>
      <c r="R38" s="7">
        <f>IF($U38="","",S38-Q38)</f>
        <v/>
      </c>
      <c r="S38" s="7">
        <f>IF($U38="","",L38+O38)</f>
        <v/>
      </c>
      <c r="T38" s="7">
        <f>IF($U38="","",S38-Q38-H38)</f>
        <v/>
      </c>
      <c r="U38" s="16">
        <f>IF(ROWS($U$2:$U38)&lt;=MAX('Per Line'!$V$2:$V$1501),MATCH(ROWS($U$2:$U38),'Per Line'!$V$2:$V$1501,0),"")</f>
        <v/>
      </c>
      <c r="V38">
        <f>IF($U38="","",B38&amp;"|"&amp;COUNTIF($B$2:$B38,B38))</f>
        <v/>
      </c>
    </row>
    <row r="39">
      <c r="A39">
        <f>IF($U39="","",INDEX('Per Line'!$B$2:$B$1501,$U39)&amp;"")</f>
        <v/>
      </c>
      <c r="B39">
        <f>IF($U39="","","COPY "&amp;G39&amp;" %")</f>
        <v/>
      </c>
      <c r="C39" s="15" t="n"/>
      <c r="D39">
        <f>IF($U39="","",INDEX('Per Line'!$C$2:$C$1501,$U39)&amp;"")</f>
        <v/>
      </c>
      <c r="E39">
        <f>IF($U39="","",INDEX('Per Line'!$D$2:$D$1501,$U39)&amp;"")</f>
        <v/>
      </c>
      <c r="F39">
        <f>IF($U39="","",INDEX('Per Line'!$E$2:$E$1501,$U39)&amp;"")</f>
        <v/>
      </c>
      <c r="G39">
        <f>IF($U39="","",INDEX('Per Line'!$F$2:$F$1501,$U39))</f>
        <v/>
      </c>
      <c r="H39" s="7">
        <f>IF($U39="","",G39*S39/100)</f>
        <v/>
      </c>
      <c r="I39" s="14">
        <f>IF($U39="","",INDEX('Per Line'!$R$2:$R$1501,$U39))</f>
        <v/>
      </c>
      <c r="J39">
        <f>IF($U39="","",INDEX('Per Line'!$Q$2:$Q$1501,$U39)&amp;"")</f>
        <v/>
      </c>
      <c r="K39">
        <f>IF($U39="","",Settings!$C$7)</f>
        <v/>
      </c>
      <c r="L39" s="7">
        <f>IF($U39="","",SUMIFS('Per Line'!$L$2:$L$1501,'Per Line'!$B$2:$B$1501,$A39,'Per Line'!$W$2:$W$1501,0))</f>
        <v/>
      </c>
      <c r="M39" s="7">
        <f>IF($U39="","",L39*K39)</f>
        <v/>
      </c>
      <c r="N39">
        <f>IF($U39="","",Settings!$C$6)</f>
        <v/>
      </c>
      <c r="O39" s="7">
        <f>IF($U39="","",SUMIFS('Per Line'!$L$2:$L$1501,'Per Line'!$B$2:$B$1501,$A39,'Per Line'!$W$2:$W$1501,1))</f>
        <v/>
      </c>
      <c r="P39" s="7">
        <f>IF($U39="","",O39*N39)</f>
        <v/>
      </c>
      <c r="Q39" s="7">
        <f>IF($U39="","",P39+M39)</f>
        <v/>
      </c>
      <c r="R39" s="7">
        <f>IF($U39="","",S39-Q39)</f>
        <v/>
      </c>
      <c r="S39" s="7">
        <f>IF($U39="","",L39+O39)</f>
        <v/>
      </c>
      <c r="T39" s="7">
        <f>IF($U39="","",S39-Q39-H39)</f>
        <v/>
      </c>
      <c r="U39" s="16">
        <f>IF(ROWS($U$2:$U39)&lt;=MAX('Per Line'!$V$2:$V$1501),MATCH(ROWS($U$2:$U39),'Per Line'!$V$2:$V$1501,0),"")</f>
        <v/>
      </c>
      <c r="V39">
        <f>IF($U39="","",B39&amp;"|"&amp;COUNTIF($B$2:$B39,B39))</f>
        <v/>
      </c>
    </row>
    <row r="40">
      <c r="A40">
        <f>IF($U40="","",INDEX('Per Line'!$B$2:$B$1501,$U40)&amp;"")</f>
        <v/>
      </c>
      <c r="B40">
        <f>IF($U40="","","COPY "&amp;G40&amp;" %")</f>
        <v/>
      </c>
      <c r="C40" s="15" t="n"/>
      <c r="D40">
        <f>IF($U40="","",INDEX('Per Line'!$C$2:$C$1501,$U40)&amp;"")</f>
        <v/>
      </c>
      <c r="E40">
        <f>IF($U40="","",INDEX('Per Line'!$D$2:$D$1501,$U40)&amp;"")</f>
        <v/>
      </c>
      <c r="F40">
        <f>IF($U40="","",INDEX('Per Line'!$E$2:$E$1501,$U40)&amp;"")</f>
        <v/>
      </c>
      <c r="G40">
        <f>IF($U40="","",INDEX('Per Line'!$F$2:$F$1501,$U40))</f>
        <v/>
      </c>
      <c r="H40" s="7">
        <f>IF($U40="","",G40*S40/100)</f>
        <v/>
      </c>
      <c r="I40" s="14">
        <f>IF($U40="","",INDEX('Per Line'!$R$2:$R$1501,$U40))</f>
        <v/>
      </c>
      <c r="J40">
        <f>IF($U40="","",INDEX('Per Line'!$Q$2:$Q$1501,$U40)&amp;"")</f>
        <v/>
      </c>
      <c r="K40">
        <f>IF($U40="","",Settings!$C$7)</f>
        <v/>
      </c>
      <c r="L40" s="7">
        <f>IF($U40="","",SUMIFS('Per Line'!$L$2:$L$1501,'Per Line'!$B$2:$B$1501,$A40,'Per Line'!$W$2:$W$1501,0))</f>
        <v/>
      </c>
      <c r="M40" s="7">
        <f>IF($U40="","",L40*K40)</f>
        <v/>
      </c>
      <c r="N40">
        <f>IF($U40="","",Settings!$C$6)</f>
        <v/>
      </c>
      <c r="O40" s="7">
        <f>IF($U40="","",SUMIFS('Per Line'!$L$2:$L$1501,'Per Line'!$B$2:$B$1501,$A40,'Per Line'!$W$2:$W$1501,1))</f>
        <v/>
      </c>
      <c r="P40" s="7">
        <f>IF($U40="","",O40*N40)</f>
        <v/>
      </c>
      <c r="Q40" s="7">
        <f>IF($U40="","",P40+M40)</f>
        <v/>
      </c>
      <c r="R40" s="7">
        <f>IF($U40="","",S40-Q40)</f>
        <v/>
      </c>
      <c r="S40" s="7">
        <f>IF($U40="","",L40+O40)</f>
        <v/>
      </c>
      <c r="T40" s="7">
        <f>IF($U40="","",S40-Q40-H40)</f>
        <v/>
      </c>
      <c r="U40" s="16">
        <f>IF(ROWS($U$2:$U40)&lt;=MAX('Per Line'!$V$2:$V$1501),MATCH(ROWS($U$2:$U40),'Per Line'!$V$2:$V$1501,0),"")</f>
        <v/>
      </c>
      <c r="V40">
        <f>IF($U40="","",B40&amp;"|"&amp;COUNTIF($B$2:$B40,B40))</f>
        <v/>
      </c>
    </row>
    <row r="41">
      <c r="A41">
        <f>IF($U41="","",INDEX('Per Line'!$B$2:$B$1501,$U41)&amp;"")</f>
        <v/>
      </c>
      <c r="B41">
        <f>IF($U41="","","COPY "&amp;G41&amp;" %")</f>
        <v/>
      </c>
      <c r="C41" s="15" t="n"/>
      <c r="D41">
        <f>IF($U41="","",INDEX('Per Line'!$C$2:$C$1501,$U41)&amp;"")</f>
        <v/>
      </c>
      <c r="E41">
        <f>IF($U41="","",INDEX('Per Line'!$D$2:$D$1501,$U41)&amp;"")</f>
        <v/>
      </c>
      <c r="F41">
        <f>IF($U41="","",INDEX('Per Line'!$E$2:$E$1501,$U41)&amp;"")</f>
        <v/>
      </c>
      <c r="G41">
        <f>IF($U41="","",INDEX('Per Line'!$F$2:$F$1501,$U41))</f>
        <v/>
      </c>
      <c r="H41" s="7">
        <f>IF($U41="","",G41*S41/100)</f>
        <v/>
      </c>
      <c r="I41" s="14">
        <f>IF($U41="","",INDEX('Per Line'!$R$2:$R$1501,$U41))</f>
        <v/>
      </c>
      <c r="J41">
        <f>IF($U41="","",INDEX('Per Line'!$Q$2:$Q$1501,$U41)&amp;"")</f>
        <v/>
      </c>
      <c r="K41">
        <f>IF($U41="","",Settings!$C$7)</f>
        <v/>
      </c>
      <c r="L41" s="7">
        <f>IF($U41="","",SUMIFS('Per Line'!$L$2:$L$1501,'Per Line'!$B$2:$B$1501,$A41,'Per Line'!$W$2:$W$1501,0))</f>
        <v/>
      </c>
      <c r="M41" s="7">
        <f>IF($U41="","",L41*K41)</f>
        <v/>
      </c>
      <c r="N41">
        <f>IF($U41="","",Settings!$C$6)</f>
        <v/>
      </c>
      <c r="O41" s="7">
        <f>IF($U41="","",SUMIFS('Per Line'!$L$2:$L$1501,'Per Line'!$B$2:$B$1501,$A41,'Per Line'!$W$2:$W$1501,1))</f>
        <v/>
      </c>
      <c r="P41" s="7">
        <f>IF($U41="","",O41*N41)</f>
        <v/>
      </c>
      <c r="Q41" s="7">
        <f>IF($U41="","",P41+M41)</f>
        <v/>
      </c>
      <c r="R41" s="7">
        <f>IF($U41="","",S41-Q41)</f>
        <v/>
      </c>
      <c r="S41" s="7">
        <f>IF($U41="","",L41+O41)</f>
        <v/>
      </c>
      <c r="T41" s="7">
        <f>IF($U41="","",S41-Q41-H41)</f>
        <v/>
      </c>
      <c r="U41" s="16">
        <f>IF(ROWS($U$2:$U41)&lt;=MAX('Per Line'!$V$2:$V$1501),MATCH(ROWS($U$2:$U41),'Per Line'!$V$2:$V$1501,0),"")</f>
        <v/>
      </c>
      <c r="V41">
        <f>IF($U41="","",B41&amp;"|"&amp;COUNTIF($B$2:$B41,B41))</f>
        <v/>
      </c>
    </row>
    <row r="42">
      <c r="A42">
        <f>IF($U42="","",INDEX('Per Line'!$B$2:$B$1501,$U42)&amp;"")</f>
        <v/>
      </c>
      <c r="B42">
        <f>IF($U42="","","COPY "&amp;G42&amp;" %")</f>
        <v/>
      </c>
      <c r="C42" s="15" t="n"/>
      <c r="D42">
        <f>IF($U42="","",INDEX('Per Line'!$C$2:$C$1501,$U42)&amp;"")</f>
        <v/>
      </c>
      <c r="E42">
        <f>IF($U42="","",INDEX('Per Line'!$D$2:$D$1501,$U42)&amp;"")</f>
        <v/>
      </c>
      <c r="F42">
        <f>IF($U42="","",INDEX('Per Line'!$E$2:$E$1501,$U42)&amp;"")</f>
        <v/>
      </c>
      <c r="G42">
        <f>IF($U42="","",INDEX('Per Line'!$F$2:$F$1501,$U42))</f>
        <v/>
      </c>
      <c r="H42" s="7">
        <f>IF($U42="","",G42*S42/100)</f>
        <v/>
      </c>
      <c r="I42" s="14">
        <f>IF($U42="","",INDEX('Per Line'!$R$2:$R$1501,$U42))</f>
        <v/>
      </c>
      <c r="J42">
        <f>IF($U42="","",INDEX('Per Line'!$Q$2:$Q$1501,$U42)&amp;"")</f>
        <v/>
      </c>
      <c r="K42">
        <f>IF($U42="","",Settings!$C$7)</f>
        <v/>
      </c>
      <c r="L42" s="7">
        <f>IF($U42="","",SUMIFS('Per Line'!$L$2:$L$1501,'Per Line'!$B$2:$B$1501,$A42,'Per Line'!$W$2:$W$1501,0))</f>
        <v/>
      </c>
      <c r="M42" s="7">
        <f>IF($U42="","",L42*K42)</f>
        <v/>
      </c>
      <c r="N42">
        <f>IF($U42="","",Settings!$C$6)</f>
        <v/>
      </c>
      <c r="O42" s="7">
        <f>IF($U42="","",SUMIFS('Per Line'!$L$2:$L$1501,'Per Line'!$B$2:$B$1501,$A42,'Per Line'!$W$2:$W$1501,1))</f>
        <v/>
      </c>
      <c r="P42" s="7">
        <f>IF($U42="","",O42*N42)</f>
        <v/>
      </c>
      <c r="Q42" s="7">
        <f>IF($U42="","",P42+M42)</f>
        <v/>
      </c>
      <c r="R42" s="7">
        <f>IF($U42="","",S42-Q42)</f>
        <v/>
      </c>
      <c r="S42" s="7">
        <f>IF($U42="","",L42+O42)</f>
        <v/>
      </c>
      <c r="T42" s="7">
        <f>IF($U42="","",S42-Q42-H42)</f>
        <v/>
      </c>
      <c r="U42" s="16">
        <f>IF(ROWS($U$2:$U42)&lt;=MAX('Per Line'!$V$2:$V$1501),MATCH(ROWS($U$2:$U42),'Per Line'!$V$2:$V$1501,0),"")</f>
        <v/>
      </c>
      <c r="V42">
        <f>IF($U42="","",B42&amp;"|"&amp;COUNTIF($B$2:$B42,B42))</f>
        <v/>
      </c>
    </row>
    <row r="43">
      <c r="A43">
        <f>IF($U43="","",INDEX('Per Line'!$B$2:$B$1501,$U43)&amp;"")</f>
        <v/>
      </c>
      <c r="B43">
        <f>IF($U43="","","COPY "&amp;G43&amp;" %")</f>
        <v/>
      </c>
      <c r="C43" s="15" t="n"/>
      <c r="D43">
        <f>IF($U43="","",INDEX('Per Line'!$C$2:$C$1501,$U43)&amp;"")</f>
        <v/>
      </c>
      <c r="E43">
        <f>IF($U43="","",INDEX('Per Line'!$D$2:$D$1501,$U43)&amp;"")</f>
        <v/>
      </c>
      <c r="F43">
        <f>IF($U43="","",INDEX('Per Line'!$E$2:$E$1501,$U43)&amp;"")</f>
        <v/>
      </c>
      <c r="G43">
        <f>IF($U43="","",INDEX('Per Line'!$F$2:$F$1501,$U43))</f>
        <v/>
      </c>
      <c r="H43" s="7">
        <f>IF($U43="","",G43*S43/100)</f>
        <v/>
      </c>
      <c r="I43" s="14">
        <f>IF($U43="","",INDEX('Per Line'!$R$2:$R$1501,$U43))</f>
        <v/>
      </c>
      <c r="J43">
        <f>IF($U43="","",INDEX('Per Line'!$Q$2:$Q$1501,$U43)&amp;"")</f>
        <v/>
      </c>
      <c r="K43">
        <f>IF($U43="","",Settings!$C$7)</f>
        <v/>
      </c>
      <c r="L43" s="7">
        <f>IF($U43="","",SUMIFS('Per Line'!$L$2:$L$1501,'Per Line'!$B$2:$B$1501,$A43,'Per Line'!$W$2:$W$1501,0))</f>
        <v/>
      </c>
      <c r="M43" s="7">
        <f>IF($U43="","",L43*K43)</f>
        <v/>
      </c>
      <c r="N43">
        <f>IF($U43="","",Settings!$C$6)</f>
        <v/>
      </c>
      <c r="O43" s="7">
        <f>IF($U43="","",SUMIFS('Per Line'!$L$2:$L$1501,'Per Line'!$B$2:$B$1501,$A43,'Per Line'!$W$2:$W$1501,1))</f>
        <v/>
      </c>
      <c r="P43" s="7">
        <f>IF($U43="","",O43*N43)</f>
        <v/>
      </c>
      <c r="Q43" s="7">
        <f>IF($U43="","",P43+M43)</f>
        <v/>
      </c>
      <c r="R43" s="7">
        <f>IF($U43="","",S43-Q43)</f>
        <v/>
      </c>
      <c r="S43" s="7">
        <f>IF($U43="","",L43+O43)</f>
        <v/>
      </c>
      <c r="T43" s="7">
        <f>IF($U43="","",S43-Q43-H43)</f>
        <v/>
      </c>
      <c r="U43" s="16">
        <f>IF(ROWS($U$2:$U43)&lt;=MAX('Per Line'!$V$2:$V$1501),MATCH(ROWS($U$2:$U43),'Per Line'!$V$2:$V$1501,0),"")</f>
        <v/>
      </c>
      <c r="V43">
        <f>IF($U43="","",B43&amp;"|"&amp;COUNTIF($B$2:$B43,B43))</f>
        <v/>
      </c>
    </row>
    <row r="44">
      <c r="A44">
        <f>IF($U44="","",INDEX('Per Line'!$B$2:$B$1501,$U44)&amp;"")</f>
        <v/>
      </c>
      <c r="B44">
        <f>IF($U44="","","COPY "&amp;G44&amp;" %")</f>
        <v/>
      </c>
      <c r="C44" s="15" t="n"/>
      <c r="D44">
        <f>IF($U44="","",INDEX('Per Line'!$C$2:$C$1501,$U44)&amp;"")</f>
        <v/>
      </c>
      <c r="E44">
        <f>IF($U44="","",INDEX('Per Line'!$D$2:$D$1501,$U44)&amp;"")</f>
        <v/>
      </c>
      <c r="F44">
        <f>IF($U44="","",INDEX('Per Line'!$E$2:$E$1501,$U44)&amp;"")</f>
        <v/>
      </c>
      <c r="G44">
        <f>IF($U44="","",INDEX('Per Line'!$F$2:$F$1501,$U44))</f>
        <v/>
      </c>
      <c r="H44" s="7">
        <f>IF($U44="","",G44*S44/100)</f>
        <v/>
      </c>
      <c r="I44" s="14">
        <f>IF($U44="","",INDEX('Per Line'!$R$2:$R$1501,$U44))</f>
        <v/>
      </c>
      <c r="J44">
        <f>IF($U44="","",INDEX('Per Line'!$Q$2:$Q$1501,$U44)&amp;"")</f>
        <v/>
      </c>
      <c r="K44">
        <f>IF($U44="","",Settings!$C$7)</f>
        <v/>
      </c>
      <c r="L44" s="7">
        <f>IF($U44="","",SUMIFS('Per Line'!$L$2:$L$1501,'Per Line'!$B$2:$B$1501,$A44,'Per Line'!$W$2:$W$1501,0))</f>
        <v/>
      </c>
      <c r="M44" s="7">
        <f>IF($U44="","",L44*K44)</f>
        <v/>
      </c>
      <c r="N44">
        <f>IF($U44="","",Settings!$C$6)</f>
        <v/>
      </c>
      <c r="O44" s="7">
        <f>IF($U44="","",SUMIFS('Per Line'!$L$2:$L$1501,'Per Line'!$B$2:$B$1501,$A44,'Per Line'!$W$2:$W$1501,1))</f>
        <v/>
      </c>
      <c r="P44" s="7">
        <f>IF($U44="","",O44*N44)</f>
        <v/>
      </c>
      <c r="Q44" s="7">
        <f>IF($U44="","",P44+M44)</f>
        <v/>
      </c>
      <c r="R44" s="7">
        <f>IF($U44="","",S44-Q44)</f>
        <v/>
      </c>
      <c r="S44" s="7">
        <f>IF($U44="","",L44+O44)</f>
        <v/>
      </c>
      <c r="T44" s="7">
        <f>IF($U44="","",S44-Q44-H44)</f>
        <v/>
      </c>
      <c r="U44" s="16">
        <f>IF(ROWS($U$2:$U44)&lt;=MAX('Per Line'!$V$2:$V$1501),MATCH(ROWS($U$2:$U44),'Per Line'!$V$2:$V$1501,0),"")</f>
        <v/>
      </c>
      <c r="V44">
        <f>IF($U44="","",B44&amp;"|"&amp;COUNTIF($B$2:$B44,B44))</f>
        <v/>
      </c>
    </row>
    <row r="45">
      <c r="A45">
        <f>IF($U45="","",INDEX('Per Line'!$B$2:$B$1501,$U45)&amp;"")</f>
        <v/>
      </c>
      <c r="B45">
        <f>IF($U45="","","COPY "&amp;G45&amp;" %")</f>
        <v/>
      </c>
      <c r="C45" s="15" t="n"/>
      <c r="D45">
        <f>IF($U45="","",INDEX('Per Line'!$C$2:$C$1501,$U45)&amp;"")</f>
        <v/>
      </c>
      <c r="E45">
        <f>IF($U45="","",INDEX('Per Line'!$D$2:$D$1501,$U45)&amp;"")</f>
        <v/>
      </c>
      <c r="F45">
        <f>IF($U45="","",INDEX('Per Line'!$E$2:$E$1501,$U45)&amp;"")</f>
        <v/>
      </c>
      <c r="G45">
        <f>IF($U45="","",INDEX('Per Line'!$F$2:$F$1501,$U45))</f>
        <v/>
      </c>
      <c r="H45" s="7">
        <f>IF($U45="","",G45*S45/100)</f>
        <v/>
      </c>
      <c r="I45" s="14">
        <f>IF($U45="","",INDEX('Per Line'!$R$2:$R$1501,$U45))</f>
        <v/>
      </c>
      <c r="J45">
        <f>IF($U45="","",INDEX('Per Line'!$Q$2:$Q$1501,$U45)&amp;"")</f>
        <v/>
      </c>
      <c r="K45">
        <f>IF($U45="","",Settings!$C$7)</f>
        <v/>
      </c>
      <c r="L45" s="7">
        <f>IF($U45="","",SUMIFS('Per Line'!$L$2:$L$1501,'Per Line'!$B$2:$B$1501,$A45,'Per Line'!$W$2:$W$1501,0))</f>
        <v/>
      </c>
      <c r="M45" s="7">
        <f>IF($U45="","",L45*K45)</f>
        <v/>
      </c>
      <c r="N45">
        <f>IF($U45="","",Settings!$C$6)</f>
        <v/>
      </c>
      <c r="O45" s="7">
        <f>IF($U45="","",SUMIFS('Per Line'!$L$2:$L$1501,'Per Line'!$B$2:$B$1501,$A45,'Per Line'!$W$2:$W$1501,1))</f>
        <v/>
      </c>
      <c r="P45" s="7">
        <f>IF($U45="","",O45*N45)</f>
        <v/>
      </c>
      <c r="Q45" s="7">
        <f>IF($U45="","",P45+M45)</f>
        <v/>
      </c>
      <c r="R45" s="7">
        <f>IF($U45="","",S45-Q45)</f>
        <v/>
      </c>
      <c r="S45" s="7">
        <f>IF($U45="","",L45+O45)</f>
        <v/>
      </c>
      <c r="T45" s="7">
        <f>IF($U45="","",S45-Q45-H45)</f>
        <v/>
      </c>
      <c r="U45" s="16">
        <f>IF(ROWS($U$2:$U45)&lt;=MAX('Per Line'!$V$2:$V$1501),MATCH(ROWS($U$2:$U45),'Per Line'!$V$2:$V$1501,0),"")</f>
        <v/>
      </c>
      <c r="V45">
        <f>IF($U45="","",B45&amp;"|"&amp;COUNTIF($B$2:$B45,B45))</f>
        <v/>
      </c>
    </row>
    <row r="46">
      <c r="A46">
        <f>IF($U46="","",INDEX('Per Line'!$B$2:$B$1501,$U46)&amp;"")</f>
        <v/>
      </c>
      <c r="B46">
        <f>IF($U46="","","COPY "&amp;G46&amp;" %")</f>
        <v/>
      </c>
      <c r="C46" s="15" t="n"/>
      <c r="D46">
        <f>IF($U46="","",INDEX('Per Line'!$C$2:$C$1501,$U46)&amp;"")</f>
        <v/>
      </c>
      <c r="E46">
        <f>IF($U46="","",INDEX('Per Line'!$D$2:$D$1501,$U46)&amp;"")</f>
        <v/>
      </c>
      <c r="F46">
        <f>IF($U46="","",INDEX('Per Line'!$E$2:$E$1501,$U46)&amp;"")</f>
        <v/>
      </c>
      <c r="G46">
        <f>IF($U46="","",INDEX('Per Line'!$F$2:$F$1501,$U46))</f>
        <v/>
      </c>
      <c r="H46" s="7">
        <f>IF($U46="","",G46*S46/100)</f>
        <v/>
      </c>
      <c r="I46" s="14">
        <f>IF($U46="","",INDEX('Per Line'!$R$2:$R$1501,$U46))</f>
        <v/>
      </c>
      <c r="J46">
        <f>IF($U46="","",INDEX('Per Line'!$Q$2:$Q$1501,$U46)&amp;"")</f>
        <v/>
      </c>
      <c r="K46">
        <f>IF($U46="","",Settings!$C$7)</f>
        <v/>
      </c>
      <c r="L46" s="7">
        <f>IF($U46="","",SUMIFS('Per Line'!$L$2:$L$1501,'Per Line'!$B$2:$B$1501,$A46,'Per Line'!$W$2:$W$1501,0))</f>
        <v/>
      </c>
      <c r="M46" s="7">
        <f>IF($U46="","",L46*K46)</f>
        <v/>
      </c>
      <c r="N46">
        <f>IF($U46="","",Settings!$C$6)</f>
        <v/>
      </c>
      <c r="O46" s="7">
        <f>IF($U46="","",SUMIFS('Per Line'!$L$2:$L$1501,'Per Line'!$B$2:$B$1501,$A46,'Per Line'!$W$2:$W$1501,1))</f>
        <v/>
      </c>
      <c r="P46" s="7">
        <f>IF($U46="","",O46*N46)</f>
        <v/>
      </c>
      <c r="Q46" s="7">
        <f>IF($U46="","",P46+M46)</f>
        <v/>
      </c>
      <c r="R46" s="7">
        <f>IF($U46="","",S46-Q46)</f>
        <v/>
      </c>
      <c r="S46" s="7">
        <f>IF($U46="","",L46+O46)</f>
        <v/>
      </c>
      <c r="T46" s="7">
        <f>IF($U46="","",S46-Q46-H46)</f>
        <v/>
      </c>
      <c r="U46" s="16">
        <f>IF(ROWS($U$2:$U46)&lt;=MAX('Per Line'!$V$2:$V$1501),MATCH(ROWS($U$2:$U46),'Per Line'!$V$2:$V$1501,0),"")</f>
        <v/>
      </c>
      <c r="V46">
        <f>IF($U46="","",B46&amp;"|"&amp;COUNTIF($B$2:$B46,B46))</f>
        <v/>
      </c>
    </row>
    <row r="47">
      <c r="A47">
        <f>IF($U47="","",INDEX('Per Line'!$B$2:$B$1501,$U47)&amp;"")</f>
        <v/>
      </c>
      <c r="B47">
        <f>IF($U47="","","COPY "&amp;G47&amp;" %")</f>
        <v/>
      </c>
      <c r="C47" s="15" t="n"/>
      <c r="D47">
        <f>IF($U47="","",INDEX('Per Line'!$C$2:$C$1501,$U47)&amp;"")</f>
        <v/>
      </c>
      <c r="E47">
        <f>IF($U47="","",INDEX('Per Line'!$D$2:$D$1501,$U47)&amp;"")</f>
        <v/>
      </c>
      <c r="F47">
        <f>IF($U47="","",INDEX('Per Line'!$E$2:$E$1501,$U47)&amp;"")</f>
        <v/>
      </c>
      <c r="G47">
        <f>IF($U47="","",INDEX('Per Line'!$F$2:$F$1501,$U47))</f>
        <v/>
      </c>
      <c r="H47" s="7">
        <f>IF($U47="","",G47*S47/100)</f>
        <v/>
      </c>
      <c r="I47" s="14">
        <f>IF($U47="","",INDEX('Per Line'!$R$2:$R$1501,$U47))</f>
        <v/>
      </c>
      <c r="J47">
        <f>IF($U47="","",INDEX('Per Line'!$Q$2:$Q$1501,$U47)&amp;"")</f>
        <v/>
      </c>
      <c r="K47">
        <f>IF($U47="","",Settings!$C$7)</f>
        <v/>
      </c>
      <c r="L47" s="7">
        <f>IF($U47="","",SUMIFS('Per Line'!$L$2:$L$1501,'Per Line'!$B$2:$B$1501,$A47,'Per Line'!$W$2:$W$1501,0))</f>
        <v/>
      </c>
      <c r="M47" s="7">
        <f>IF($U47="","",L47*K47)</f>
        <v/>
      </c>
      <c r="N47">
        <f>IF($U47="","",Settings!$C$6)</f>
        <v/>
      </c>
      <c r="O47" s="7">
        <f>IF($U47="","",SUMIFS('Per Line'!$L$2:$L$1501,'Per Line'!$B$2:$B$1501,$A47,'Per Line'!$W$2:$W$1501,1))</f>
        <v/>
      </c>
      <c r="P47" s="7">
        <f>IF($U47="","",O47*N47)</f>
        <v/>
      </c>
      <c r="Q47" s="7">
        <f>IF($U47="","",P47+M47)</f>
        <v/>
      </c>
      <c r="R47" s="7">
        <f>IF($U47="","",S47-Q47)</f>
        <v/>
      </c>
      <c r="S47" s="7">
        <f>IF($U47="","",L47+O47)</f>
        <v/>
      </c>
      <c r="T47" s="7">
        <f>IF($U47="","",S47-Q47-H47)</f>
        <v/>
      </c>
      <c r="U47" s="16">
        <f>IF(ROWS($U$2:$U47)&lt;=MAX('Per Line'!$V$2:$V$1501),MATCH(ROWS($U$2:$U47),'Per Line'!$V$2:$V$1501,0),"")</f>
        <v/>
      </c>
      <c r="V47">
        <f>IF($U47="","",B47&amp;"|"&amp;COUNTIF($B$2:$B47,B47))</f>
        <v/>
      </c>
    </row>
    <row r="48">
      <c r="A48">
        <f>IF($U48="","",INDEX('Per Line'!$B$2:$B$1501,$U48)&amp;"")</f>
        <v/>
      </c>
      <c r="B48">
        <f>IF($U48="","","COPY "&amp;G48&amp;" %")</f>
        <v/>
      </c>
      <c r="C48" s="15" t="n"/>
      <c r="D48">
        <f>IF($U48="","",INDEX('Per Line'!$C$2:$C$1501,$U48)&amp;"")</f>
        <v/>
      </c>
      <c r="E48">
        <f>IF($U48="","",INDEX('Per Line'!$D$2:$D$1501,$U48)&amp;"")</f>
        <v/>
      </c>
      <c r="F48">
        <f>IF($U48="","",INDEX('Per Line'!$E$2:$E$1501,$U48)&amp;"")</f>
        <v/>
      </c>
      <c r="G48">
        <f>IF($U48="","",INDEX('Per Line'!$F$2:$F$1501,$U48))</f>
        <v/>
      </c>
      <c r="H48" s="7">
        <f>IF($U48="","",G48*S48/100)</f>
        <v/>
      </c>
      <c r="I48" s="14">
        <f>IF($U48="","",INDEX('Per Line'!$R$2:$R$1501,$U48))</f>
        <v/>
      </c>
      <c r="J48">
        <f>IF($U48="","",INDEX('Per Line'!$Q$2:$Q$1501,$U48)&amp;"")</f>
        <v/>
      </c>
      <c r="K48">
        <f>IF($U48="","",Settings!$C$7)</f>
        <v/>
      </c>
      <c r="L48" s="7">
        <f>IF($U48="","",SUMIFS('Per Line'!$L$2:$L$1501,'Per Line'!$B$2:$B$1501,$A48,'Per Line'!$W$2:$W$1501,0))</f>
        <v/>
      </c>
      <c r="M48" s="7">
        <f>IF($U48="","",L48*K48)</f>
        <v/>
      </c>
      <c r="N48">
        <f>IF($U48="","",Settings!$C$6)</f>
        <v/>
      </c>
      <c r="O48" s="7">
        <f>IF($U48="","",SUMIFS('Per Line'!$L$2:$L$1501,'Per Line'!$B$2:$B$1501,$A48,'Per Line'!$W$2:$W$1501,1))</f>
        <v/>
      </c>
      <c r="P48" s="7">
        <f>IF($U48="","",O48*N48)</f>
        <v/>
      </c>
      <c r="Q48" s="7">
        <f>IF($U48="","",P48+M48)</f>
        <v/>
      </c>
      <c r="R48" s="7">
        <f>IF($U48="","",S48-Q48)</f>
        <v/>
      </c>
      <c r="S48" s="7">
        <f>IF($U48="","",L48+O48)</f>
        <v/>
      </c>
      <c r="T48" s="7">
        <f>IF($U48="","",S48-Q48-H48)</f>
        <v/>
      </c>
      <c r="U48" s="16">
        <f>IF(ROWS($U$2:$U48)&lt;=MAX('Per Line'!$V$2:$V$1501),MATCH(ROWS($U$2:$U48),'Per Line'!$V$2:$V$1501,0),"")</f>
        <v/>
      </c>
      <c r="V48">
        <f>IF($U48="","",B48&amp;"|"&amp;COUNTIF($B$2:$B48,B48))</f>
        <v/>
      </c>
    </row>
    <row r="49">
      <c r="A49">
        <f>IF($U49="","",INDEX('Per Line'!$B$2:$B$1501,$U49)&amp;"")</f>
        <v/>
      </c>
      <c r="B49">
        <f>IF($U49="","","COPY "&amp;G49&amp;" %")</f>
        <v/>
      </c>
      <c r="C49" s="15" t="n"/>
      <c r="D49">
        <f>IF($U49="","",INDEX('Per Line'!$C$2:$C$1501,$U49)&amp;"")</f>
        <v/>
      </c>
      <c r="E49">
        <f>IF($U49="","",INDEX('Per Line'!$D$2:$D$1501,$U49)&amp;"")</f>
        <v/>
      </c>
      <c r="F49">
        <f>IF($U49="","",INDEX('Per Line'!$E$2:$E$1501,$U49)&amp;"")</f>
        <v/>
      </c>
      <c r="G49">
        <f>IF($U49="","",INDEX('Per Line'!$F$2:$F$1501,$U49))</f>
        <v/>
      </c>
      <c r="H49" s="7">
        <f>IF($U49="","",G49*S49/100)</f>
        <v/>
      </c>
      <c r="I49" s="14">
        <f>IF($U49="","",INDEX('Per Line'!$R$2:$R$1501,$U49))</f>
        <v/>
      </c>
      <c r="J49">
        <f>IF($U49="","",INDEX('Per Line'!$Q$2:$Q$1501,$U49)&amp;"")</f>
        <v/>
      </c>
      <c r="K49">
        <f>IF($U49="","",Settings!$C$7)</f>
        <v/>
      </c>
      <c r="L49" s="7">
        <f>IF($U49="","",SUMIFS('Per Line'!$L$2:$L$1501,'Per Line'!$B$2:$B$1501,$A49,'Per Line'!$W$2:$W$1501,0))</f>
        <v/>
      </c>
      <c r="M49" s="7">
        <f>IF($U49="","",L49*K49)</f>
        <v/>
      </c>
      <c r="N49">
        <f>IF($U49="","",Settings!$C$6)</f>
        <v/>
      </c>
      <c r="O49" s="7">
        <f>IF($U49="","",SUMIFS('Per Line'!$L$2:$L$1501,'Per Line'!$B$2:$B$1501,$A49,'Per Line'!$W$2:$W$1501,1))</f>
        <v/>
      </c>
      <c r="P49" s="7">
        <f>IF($U49="","",O49*N49)</f>
        <v/>
      </c>
      <c r="Q49" s="7">
        <f>IF($U49="","",P49+M49)</f>
        <v/>
      </c>
      <c r="R49" s="7">
        <f>IF($U49="","",S49-Q49)</f>
        <v/>
      </c>
      <c r="S49" s="7">
        <f>IF($U49="","",L49+O49)</f>
        <v/>
      </c>
      <c r="T49" s="7">
        <f>IF($U49="","",S49-Q49-H49)</f>
        <v/>
      </c>
      <c r="U49" s="16">
        <f>IF(ROWS($U$2:$U49)&lt;=MAX('Per Line'!$V$2:$V$1501),MATCH(ROWS($U$2:$U49),'Per Line'!$V$2:$V$1501,0),"")</f>
        <v/>
      </c>
      <c r="V49">
        <f>IF($U49="","",B49&amp;"|"&amp;COUNTIF($B$2:$B49,B49))</f>
        <v/>
      </c>
    </row>
    <row r="50">
      <c r="A50">
        <f>IF($U50="","",INDEX('Per Line'!$B$2:$B$1501,$U50)&amp;"")</f>
        <v/>
      </c>
      <c r="B50">
        <f>IF($U50="","","COPY "&amp;G50&amp;" %")</f>
        <v/>
      </c>
      <c r="C50" s="15" t="n"/>
      <c r="D50">
        <f>IF($U50="","",INDEX('Per Line'!$C$2:$C$1501,$U50)&amp;"")</f>
        <v/>
      </c>
      <c r="E50">
        <f>IF($U50="","",INDEX('Per Line'!$D$2:$D$1501,$U50)&amp;"")</f>
        <v/>
      </c>
      <c r="F50">
        <f>IF($U50="","",INDEX('Per Line'!$E$2:$E$1501,$U50)&amp;"")</f>
        <v/>
      </c>
      <c r="G50">
        <f>IF($U50="","",INDEX('Per Line'!$F$2:$F$1501,$U50))</f>
        <v/>
      </c>
      <c r="H50" s="7">
        <f>IF($U50="","",G50*S50/100)</f>
        <v/>
      </c>
      <c r="I50" s="14">
        <f>IF($U50="","",INDEX('Per Line'!$R$2:$R$1501,$U50))</f>
        <v/>
      </c>
      <c r="J50">
        <f>IF($U50="","",INDEX('Per Line'!$Q$2:$Q$1501,$U50)&amp;"")</f>
        <v/>
      </c>
      <c r="K50">
        <f>IF($U50="","",Settings!$C$7)</f>
        <v/>
      </c>
      <c r="L50" s="7">
        <f>IF($U50="","",SUMIFS('Per Line'!$L$2:$L$1501,'Per Line'!$B$2:$B$1501,$A50,'Per Line'!$W$2:$W$1501,0))</f>
        <v/>
      </c>
      <c r="M50" s="7">
        <f>IF($U50="","",L50*K50)</f>
        <v/>
      </c>
      <c r="N50">
        <f>IF($U50="","",Settings!$C$6)</f>
        <v/>
      </c>
      <c r="O50" s="7">
        <f>IF($U50="","",SUMIFS('Per Line'!$L$2:$L$1501,'Per Line'!$B$2:$B$1501,$A50,'Per Line'!$W$2:$W$1501,1))</f>
        <v/>
      </c>
      <c r="P50" s="7">
        <f>IF($U50="","",O50*N50)</f>
        <v/>
      </c>
      <c r="Q50" s="7">
        <f>IF($U50="","",P50+M50)</f>
        <v/>
      </c>
      <c r="R50" s="7">
        <f>IF($U50="","",S50-Q50)</f>
        <v/>
      </c>
      <c r="S50" s="7">
        <f>IF($U50="","",L50+O50)</f>
        <v/>
      </c>
      <c r="T50" s="7">
        <f>IF($U50="","",S50-Q50-H50)</f>
        <v/>
      </c>
      <c r="U50" s="16">
        <f>IF(ROWS($U$2:$U50)&lt;=MAX('Per Line'!$V$2:$V$1501),MATCH(ROWS($U$2:$U50),'Per Line'!$V$2:$V$1501,0),"")</f>
        <v/>
      </c>
      <c r="V50">
        <f>IF($U50="","",B50&amp;"|"&amp;COUNTIF($B$2:$B50,B50))</f>
        <v/>
      </c>
    </row>
    <row r="51">
      <c r="A51">
        <f>IF($U51="","",INDEX('Per Line'!$B$2:$B$1501,$U51)&amp;"")</f>
        <v/>
      </c>
      <c r="B51">
        <f>IF($U51="","","COPY "&amp;G51&amp;" %")</f>
        <v/>
      </c>
      <c r="C51" s="15" t="n"/>
      <c r="D51">
        <f>IF($U51="","",INDEX('Per Line'!$C$2:$C$1501,$U51)&amp;"")</f>
        <v/>
      </c>
      <c r="E51">
        <f>IF($U51="","",INDEX('Per Line'!$D$2:$D$1501,$U51)&amp;"")</f>
        <v/>
      </c>
      <c r="F51">
        <f>IF($U51="","",INDEX('Per Line'!$E$2:$E$1501,$U51)&amp;"")</f>
        <v/>
      </c>
      <c r="G51">
        <f>IF($U51="","",INDEX('Per Line'!$F$2:$F$1501,$U51))</f>
        <v/>
      </c>
      <c r="H51" s="7">
        <f>IF($U51="","",G51*S51/100)</f>
        <v/>
      </c>
      <c r="I51" s="14">
        <f>IF($U51="","",INDEX('Per Line'!$R$2:$R$1501,$U51))</f>
        <v/>
      </c>
      <c r="J51">
        <f>IF($U51="","",INDEX('Per Line'!$Q$2:$Q$1501,$U51)&amp;"")</f>
        <v/>
      </c>
      <c r="K51">
        <f>IF($U51="","",Settings!$C$7)</f>
        <v/>
      </c>
      <c r="L51" s="7">
        <f>IF($U51="","",SUMIFS('Per Line'!$L$2:$L$1501,'Per Line'!$B$2:$B$1501,$A51,'Per Line'!$W$2:$W$1501,0))</f>
        <v/>
      </c>
      <c r="M51" s="7">
        <f>IF($U51="","",L51*K51)</f>
        <v/>
      </c>
      <c r="N51">
        <f>IF($U51="","",Settings!$C$6)</f>
        <v/>
      </c>
      <c r="O51" s="7">
        <f>IF($U51="","",SUMIFS('Per Line'!$L$2:$L$1501,'Per Line'!$B$2:$B$1501,$A51,'Per Line'!$W$2:$W$1501,1))</f>
        <v/>
      </c>
      <c r="P51" s="7">
        <f>IF($U51="","",O51*N51)</f>
        <v/>
      </c>
      <c r="Q51" s="7">
        <f>IF($U51="","",P51+M51)</f>
        <v/>
      </c>
      <c r="R51" s="7">
        <f>IF($U51="","",S51-Q51)</f>
        <v/>
      </c>
      <c r="S51" s="7">
        <f>IF($U51="","",L51+O51)</f>
        <v/>
      </c>
      <c r="T51" s="7">
        <f>IF($U51="","",S51-Q51-H51)</f>
        <v/>
      </c>
      <c r="U51" s="16">
        <f>IF(ROWS($U$2:$U51)&lt;=MAX('Per Line'!$V$2:$V$1501),MATCH(ROWS($U$2:$U51),'Per Line'!$V$2:$V$1501,0),"")</f>
        <v/>
      </c>
      <c r="V51">
        <f>IF($U51="","",B51&amp;"|"&amp;COUNTIF($B$2:$B51,B51))</f>
        <v/>
      </c>
    </row>
    <row r="52">
      <c r="A52">
        <f>IF($U52="","",INDEX('Per Line'!$B$2:$B$1501,$U52)&amp;"")</f>
        <v/>
      </c>
      <c r="B52">
        <f>IF($U52="","","COPY "&amp;G52&amp;" %")</f>
        <v/>
      </c>
      <c r="C52" s="15" t="n"/>
      <c r="D52">
        <f>IF($U52="","",INDEX('Per Line'!$C$2:$C$1501,$U52)&amp;"")</f>
        <v/>
      </c>
      <c r="E52">
        <f>IF($U52="","",INDEX('Per Line'!$D$2:$D$1501,$U52)&amp;"")</f>
        <v/>
      </c>
      <c r="F52">
        <f>IF($U52="","",INDEX('Per Line'!$E$2:$E$1501,$U52)&amp;"")</f>
        <v/>
      </c>
      <c r="G52">
        <f>IF($U52="","",INDEX('Per Line'!$F$2:$F$1501,$U52))</f>
        <v/>
      </c>
      <c r="H52" s="7">
        <f>IF($U52="","",G52*S52/100)</f>
        <v/>
      </c>
      <c r="I52" s="14">
        <f>IF($U52="","",INDEX('Per Line'!$R$2:$R$1501,$U52))</f>
        <v/>
      </c>
      <c r="J52">
        <f>IF($U52="","",INDEX('Per Line'!$Q$2:$Q$1501,$U52)&amp;"")</f>
        <v/>
      </c>
      <c r="K52">
        <f>IF($U52="","",Settings!$C$7)</f>
        <v/>
      </c>
      <c r="L52" s="7">
        <f>IF($U52="","",SUMIFS('Per Line'!$L$2:$L$1501,'Per Line'!$B$2:$B$1501,$A52,'Per Line'!$W$2:$W$1501,0))</f>
        <v/>
      </c>
      <c r="M52" s="7">
        <f>IF($U52="","",L52*K52)</f>
        <v/>
      </c>
      <c r="N52">
        <f>IF($U52="","",Settings!$C$6)</f>
        <v/>
      </c>
      <c r="O52" s="7">
        <f>IF($U52="","",SUMIFS('Per Line'!$L$2:$L$1501,'Per Line'!$B$2:$B$1501,$A52,'Per Line'!$W$2:$W$1501,1))</f>
        <v/>
      </c>
      <c r="P52" s="7">
        <f>IF($U52="","",O52*N52)</f>
        <v/>
      </c>
      <c r="Q52" s="7">
        <f>IF($U52="","",P52+M52)</f>
        <v/>
      </c>
      <c r="R52" s="7">
        <f>IF($U52="","",S52-Q52)</f>
        <v/>
      </c>
      <c r="S52" s="7">
        <f>IF($U52="","",L52+O52)</f>
        <v/>
      </c>
      <c r="T52" s="7">
        <f>IF($U52="","",S52-Q52-H52)</f>
        <v/>
      </c>
      <c r="U52" s="16">
        <f>IF(ROWS($U$2:$U52)&lt;=MAX('Per Line'!$V$2:$V$1501),MATCH(ROWS($U$2:$U52),'Per Line'!$V$2:$V$1501,0),"")</f>
        <v/>
      </c>
      <c r="V52">
        <f>IF($U52="","",B52&amp;"|"&amp;COUNTIF($B$2:$B52,B52))</f>
        <v/>
      </c>
    </row>
    <row r="53">
      <c r="A53">
        <f>IF($U53="","",INDEX('Per Line'!$B$2:$B$1501,$U53)&amp;"")</f>
        <v/>
      </c>
      <c r="B53">
        <f>IF($U53="","","COPY "&amp;G53&amp;" %")</f>
        <v/>
      </c>
      <c r="C53" s="15" t="n"/>
      <c r="D53">
        <f>IF($U53="","",INDEX('Per Line'!$C$2:$C$1501,$U53)&amp;"")</f>
        <v/>
      </c>
      <c r="E53">
        <f>IF($U53="","",INDEX('Per Line'!$D$2:$D$1501,$U53)&amp;"")</f>
        <v/>
      </c>
      <c r="F53">
        <f>IF($U53="","",INDEX('Per Line'!$E$2:$E$1501,$U53)&amp;"")</f>
        <v/>
      </c>
      <c r="G53">
        <f>IF($U53="","",INDEX('Per Line'!$F$2:$F$1501,$U53))</f>
        <v/>
      </c>
      <c r="H53" s="7">
        <f>IF($U53="","",G53*S53/100)</f>
        <v/>
      </c>
      <c r="I53" s="14">
        <f>IF($U53="","",INDEX('Per Line'!$R$2:$R$1501,$U53))</f>
        <v/>
      </c>
      <c r="J53">
        <f>IF($U53="","",INDEX('Per Line'!$Q$2:$Q$1501,$U53)&amp;"")</f>
        <v/>
      </c>
      <c r="K53">
        <f>IF($U53="","",Settings!$C$7)</f>
        <v/>
      </c>
      <c r="L53" s="7">
        <f>IF($U53="","",SUMIFS('Per Line'!$L$2:$L$1501,'Per Line'!$B$2:$B$1501,$A53,'Per Line'!$W$2:$W$1501,0))</f>
        <v/>
      </c>
      <c r="M53" s="7">
        <f>IF($U53="","",L53*K53)</f>
        <v/>
      </c>
      <c r="N53">
        <f>IF($U53="","",Settings!$C$6)</f>
        <v/>
      </c>
      <c r="O53" s="7">
        <f>IF($U53="","",SUMIFS('Per Line'!$L$2:$L$1501,'Per Line'!$B$2:$B$1501,$A53,'Per Line'!$W$2:$W$1501,1))</f>
        <v/>
      </c>
      <c r="P53" s="7">
        <f>IF($U53="","",O53*N53)</f>
        <v/>
      </c>
      <c r="Q53" s="7">
        <f>IF($U53="","",P53+M53)</f>
        <v/>
      </c>
      <c r="R53" s="7">
        <f>IF($U53="","",S53-Q53)</f>
        <v/>
      </c>
      <c r="S53" s="7">
        <f>IF($U53="","",L53+O53)</f>
        <v/>
      </c>
      <c r="T53" s="7">
        <f>IF($U53="","",S53-Q53-H53)</f>
        <v/>
      </c>
      <c r="U53" s="16">
        <f>IF(ROWS($U$2:$U53)&lt;=MAX('Per Line'!$V$2:$V$1501),MATCH(ROWS($U$2:$U53),'Per Line'!$V$2:$V$1501,0),"")</f>
        <v/>
      </c>
      <c r="V53">
        <f>IF($U53="","",B53&amp;"|"&amp;COUNTIF($B$2:$B53,B53))</f>
        <v/>
      </c>
    </row>
    <row r="54">
      <c r="A54">
        <f>IF($U54="","",INDEX('Per Line'!$B$2:$B$1501,$U54)&amp;"")</f>
        <v/>
      </c>
      <c r="B54">
        <f>IF($U54="","","COPY "&amp;G54&amp;" %")</f>
        <v/>
      </c>
      <c r="C54" s="15" t="n"/>
      <c r="D54">
        <f>IF($U54="","",INDEX('Per Line'!$C$2:$C$1501,$U54)&amp;"")</f>
        <v/>
      </c>
      <c r="E54">
        <f>IF($U54="","",INDEX('Per Line'!$D$2:$D$1501,$U54)&amp;"")</f>
        <v/>
      </c>
      <c r="F54">
        <f>IF($U54="","",INDEX('Per Line'!$E$2:$E$1501,$U54)&amp;"")</f>
        <v/>
      </c>
      <c r="G54">
        <f>IF($U54="","",INDEX('Per Line'!$F$2:$F$1501,$U54))</f>
        <v/>
      </c>
      <c r="H54" s="7">
        <f>IF($U54="","",G54*S54/100)</f>
        <v/>
      </c>
      <c r="I54" s="14">
        <f>IF($U54="","",INDEX('Per Line'!$R$2:$R$1501,$U54))</f>
        <v/>
      </c>
      <c r="J54">
        <f>IF($U54="","",INDEX('Per Line'!$Q$2:$Q$1501,$U54)&amp;"")</f>
        <v/>
      </c>
      <c r="K54">
        <f>IF($U54="","",Settings!$C$7)</f>
        <v/>
      </c>
      <c r="L54" s="7">
        <f>IF($U54="","",SUMIFS('Per Line'!$L$2:$L$1501,'Per Line'!$B$2:$B$1501,$A54,'Per Line'!$W$2:$W$1501,0))</f>
        <v/>
      </c>
      <c r="M54" s="7">
        <f>IF($U54="","",L54*K54)</f>
        <v/>
      </c>
      <c r="N54">
        <f>IF($U54="","",Settings!$C$6)</f>
        <v/>
      </c>
      <c r="O54" s="7">
        <f>IF($U54="","",SUMIFS('Per Line'!$L$2:$L$1501,'Per Line'!$B$2:$B$1501,$A54,'Per Line'!$W$2:$W$1501,1))</f>
        <v/>
      </c>
      <c r="P54" s="7">
        <f>IF($U54="","",O54*N54)</f>
        <v/>
      </c>
      <c r="Q54" s="7">
        <f>IF($U54="","",P54+M54)</f>
        <v/>
      </c>
      <c r="R54" s="7">
        <f>IF($U54="","",S54-Q54)</f>
        <v/>
      </c>
      <c r="S54" s="7">
        <f>IF($U54="","",L54+O54)</f>
        <v/>
      </c>
      <c r="T54" s="7">
        <f>IF($U54="","",S54-Q54-H54)</f>
        <v/>
      </c>
      <c r="U54" s="16">
        <f>IF(ROWS($U$2:$U54)&lt;=MAX('Per Line'!$V$2:$V$1501),MATCH(ROWS($U$2:$U54),'Per Line'!$V$2:$V$1501,0),"")</f>
        <v/>
      </c>
      <c r="V54">
        <f>IF($U54="","",B54&amp;"|"&amp;COUNTIF($B$2:$B54,B54))</f>
        <v/>
      </c>
    </row>
    <row r="55">
      <c r="A55">
        <f>IF($U55="","",INDEX('Per Line'!$B$2:$B$1501,$U55)&amp;"")</f>
        <v/>
      </c>
      <c r="B55">
        <f>IF($U55="","","COPY "&amp;G55&amp;" %")</f>
        <v/>
      </c>
      <c r="C55" s="15" t="n"/>
      <c r="D55">
        <f>IF($U55="","",INDEX('Per Line'!$C$2:$C$1501,$U55)&amp;"")</f>
        <v/>
      </c>
      <c r="E55">
        <f>IF($U55="","",INDEX('Per Line'!$D$2:$D$1501,$U55)&amp;"")</f>
        <v/>
      </c>
      <c r="F55">
        <f>IF($U55="","",INDEX('Per Line'!$E$2:$E$1501,$U55)&amp;"")</f>
        <v/>
      </c>
      <c r="G55">
        <f>IF($U55="","",INDEX('Per Line'!$F$2:$F$1501,$U55))</f>
        <v/>
      </c>
      <c r="H55" s="7">
        <f>IF($U55="","",G55*S55/100)</f>
        <v/>
      </c>
      <c r="I55" s="14">
        <f>IF($U55="","",INDEX('Per Line'!$R$2:$R$1501,$U55))</f>
        <v/>
      </c>
      <c r="J55">
        <f>IF($U55="","",INDEX('Per Line'!$Q$2:$Q$1501,$U55)&amp;"")</f>
        <v/>
      </c>
      <c r="K55">
        <f>IF($U55="","",Settings!$C$7)</f>
        <v/>
      </c>
      <c r="L55" s="7">
        <f>IF($U55="","",SUMIFS('Per Line'!$L$2:$L$1501,'Per Line'!$B$2:$B$1501,$A55,'Per Line'!$W$2:$W$1501,0))</f>
        <v/>
      </c>
      <c r="M55" s="7">
        <f>IF($U55="","",L55*K55)</f>
        <v/>
      </c>
      <c r="N55">
        <f>IF($U55="","",Settings!$C$6)</f>
        <v/>
      </c>
      <c r="O55" s="7">
        <f>IF($U55="","",SUMIFS('Per Line'!$L$2:$L$1501,'Per Line'!$B$2:$B$1501,$A55,'Per Line'!$W$2:$W$1501,1))</f>
        <v/>
      </c>
      <c r="P55" s="7">
        <f>IF($U55="","",O55*N55)</f>
        <v/>
      </c>
      <c r="Q55" s="7">
        <f>IF($U55="","",P55+M55)</f>
        <v/>
      </c>
      <c r="R55" s="7">
        <f>IF($U55="","",S55-Q55)</f>
        <v/>
      </c>
      <c r="S55" s="7">
        <f>IF($U55="","",L55+O55)</f>
        <v/>
      </c>
      <c r="T55" s="7">
        <f>IF($U55="","",S55-Q55-H55)</f>
        <v/>
      </c>
      <c r="U55" s="16">
        <f>IF(ROWS($U$2:$U55)&lt;=MAX('Per Line'!$V$2:$V$1501),MATCH(ROWS($U$2:$U55),'Per Line'!$V$2:$V$1501,0),"")</f>
        <v/>
      </c>
      <c r="V55">
        <f>IF($U55="","",B55&amp;"|"&amp;COUNTIF($B$2:$B55,B55))</f>
        <v/>
      </c>
    </row>
    <row r="56">
      <c r="A56">
        <f>IF($U56="","",INDEX('Per Line'!$B$2:$B$1501,$U56)&amp;"")</f>
        <v/>
      </c>
      <c r="B56">
        <f>IF($U56="","","COPY "&amp;G56&amp;" %")</f>
        <v/>
      </c>
      <c r="C56" s="15" t="n"/>
      <c r="D56">
        <f>IF($U56="","",INDEX('Per Line'!$C$2:$C$1501,$U56)&amp;"")</f>
        <v/>
      </c>
      <c r="E56">
        <f>IF($U56="","",INDEX('Per Line'!$D$2:$D$1501,$U56)&amp;"")</f>
        <v/>
      </c>
      <c r="F56">
        <f>IF($U56="","",INDEX('Per Line'!$E$2:$E$1501,$U56)&amp;"")</f>
        <v/>
      </c>
      <c r="G56">
        <f>IF($U56="","",INDEX('Per Line'!$F$2:$F$1501,$U56))</f>
        <v/>
      </c>
      <c r="H56" s="7">
        <f>IF($U56="","",G56*S56/100)</f>
        <v/>
      </c>
      <c r="I56" s="14">
        <f>IF($U56="","",INDEX('Per Line'!$R$2:$R$1501,$U56))</f>
        <v/>
      </c>
      <c r="J56">
        <f>IF($U56="","",INDEX('Per Line'!$Q$2:$Q$1501,$U56)&amp;"")</f>
        <v/>
      </c>
      <c r="K56">
        <f>IF($U56="","",Settings!$C$7)</f>
        <v/>
      </c>
      <c r="L56" s="7">
        <f>IF($U56="","",SUMIFS('Per Line'!$L$2:$L$1501,'Per Line'!$B$2:$B$1501,$A56,'Per Line'!$W$2:$W$1501,0))</f>
        <v/>
      </c>
      <c r="M56" s="7">
        <f>IF($U56="","",L56*K56)</f>
        <v/>
      </c>
      <c r="N56">
        <f>IF($U56="","",Settings!$C$6)</f>
        <v/>
      </c>
      <c r="O56" s="7">
        <f>IF($U56="","",SUMIFS('Per Line'!$L$2:$L$1501,'Per Line'!$B$2:$B$1501,$A56,'Per Line'!$W$2:$W$1501,1))</f>
        <v/>
      </c>
      <c r="P56" s="7">
        <f>IF($U56="","",O56*N56)</f>
        <v/>
      </c>
      <c r="Q56" s="7">
        <f>IF($U56="","",P56+M56)</f>
        <v/>
      </c>
      <c r="R56" s="7">
        <f>IF($U56="","",S56-Q56)</f>
        <v/>
      </c>
      <c r="S56" s="7">
        <f>IF($U56="","",L56+O56)</f>
        <v/>
      </c>
      <c r="T56" s="7">
        <f>IF($U56="","",S56-Q56-H56)</f>
        <v/>
      </c>
      <c r="U56" s="16">
        <f>IF(ROWS($U$2:$U56)&lt;=MAX('Per Line'!$V$2:$V$1501),MATCH(ROWS($U$2:$U56),'Per Line'!$V$2:$V$1501,0),"")</f>
        <v/>
      </c>
      <c r="V56">
        <f>IF($U56="","",B56&amp;"|"&amp;COUNTIF($B$2:$B56,B56))</f>
        <v/>
      </c>
    </row>
    <row r="57">
      <c r="A57">
        <f>IF($U57="","",INDEX('Per Line'!$B$2:$B$1501,$U57)&amp;"")</f>
        <v/>
      </c>
      <c r="B57">
        <f>IF($U57="","","COPY "&amp;G57&amp;" %")</f>
        <v/>
      </c>
      <c r="C57" s="15" t="n"/>
      <c r="D57">
        <f>IF($U57="","",INDEX('Per Line'!$C$2:$C$1501,$U57)&amp;"")</f>
        <v/>
      </c>
      <c r="E57">
        <f>IF($U57="","",INDEX('Per Line'!$D$2:$D$1501,$U57)&amp;"")</f>
        <v/>
      </c>
      <c r="F57">
        <f>IF($U57="","",INDEX('Per Line'!$E$2:$E$1501,$U57)&amp;"")</f>
        <v/>
      </c>
      <c r="G57">
        <f>IF($U57="","",INDEX('Per Line'!$F$2:$F$1501,$U57))</f>
        <v/>
      </c>
      <c r="H57" s="7">
        <f>IF($U57="","",G57*S57/100)</f>
        <v/>
      </c>
      <c r="I57" s="14">
        <f>IF($U57="","",INDEX('Per Line'!$R$2:$R$1501,$U57))</f>
        <v/>
      </c>
      <c r="J57">
        <f>IF($U57="","",INDEX('Per Line'!$Q$2:$Q$1501,$U57)&amp;"")</f>
        <v/>
      </c>
      <c r="K57">
        <f>IF($U57="","",Settings!$C$7)</f>
        <v/>
      </c>
      <c r="L57" s="7">
        <f>IF($U57="","",SUMIFS('Per Line'!$L$2:$L$1501,'Per Line'!$B$2:$B$1501,$A57,'Per Line'!$W$2:$W$1501,0))</f>
        <v/>
      </c>
      <c r="M57" s="7">
        <f>IF($U57="","",L57*K57)</f>
        <v/>
      </c>
      <c r="N57">
        <f>IF($U57="","",Settings!$C$6)</f>
        <v/>
      </c>
      <c r="O57" s="7">
        <f>IF($U57="","",SUMIFS('Per Line'!$L$2:$L$1501,'Per Line'!$B$2:$B$1501,$A57,'Per Line'!$W$2:$W$1501,1))</f>
        <v/>
      </c>
      <c r="P57" s="7">
        <f>IF($U57="","",O57*N57)</f>
        <v/>
      </c>
      <c r="Q57" s="7">
        <f>IF($U57="","",P57+M57)</f>
        <v/>
      </c>
      <c r="R57" s="7">
        <f>IF($U57="","",S57-Q57)</f>
        <v/>
      </c>
      <c r="S57" s="7">
        <f>IF($U57="","",L57+O57)</f>
        <v/>
      </c>
      <c r="T57" s="7">
        <f>IF($U57="","",S57-Q57-H57)</f>
        <v/>
      </c>
      <c r="U57" s="16">
        <f>IF(ROWS($U$2:$U57)&lt;=MAX('Per Line'!$V$2:$V$1501),MATCH(ROWS($U$2:$U57),'Per Line'!$V$2:$V$1501,0),"")</f>
        <v/>
      </c>
      <c r="V57">
        <f>IF($U57="","",B57&amp;"|"&amp;COUNTIF($B$2:$B57,B57))</f>
        <v/>
      </c>
    </row>
    <row r="58">
      <c r="A58">
        <f>IF($U58="","",INDEX('Per Line'!$B$2:$B$1501,$U58)&amp;"")</f>
        <v/>
      </c>
      <c r="B58">
        <f>IF($U58="","","COPY "&amp;G58&amp;" %")</f>
        <v/>
      </c>
      <c r="C58" s="15" t="n"/>
      <c r="D58">
        <f>IF($U58="","",INDEX('Per Line'!$C$2:$C$1501,$U58)&amp;"")</f>
        <v/>
      </c>
      <c r="E58">
        <f>IF($U58="","",INDEX('Per Line'!$D$2:$D$1501,$U58)&amp;"")</f>
        <v/>
      </c>
      <c r="F58">
        <f>IF($U58="","",INDEX('Per Line'!$E$2:$E$1501,$U58)&amp;"")</f>
        <v/>
      </c>
      <c r="G58">
        <f>IF($U58="","",INDEX('Per Line'!$F$2:$F$1501,$U58))</f>
        <v/>
      </c>
      <c r="H58" s="7">
        <f>IF($U58="","",G58*S58/100)</f>
        <v/>
      </c>
      <c r="I58" s="14">
        <f>IF($U58="","",INDEX('Per Line'!$R$2:$R$1501,$U58))</f>
        <v/>
      </c>
      <c r="J58">
        <f>IF($U58="","",INDEX('Per Line'!$Q$2:$Q$1501,$U58)&amp;"")</f>
        <v/>
      </c>
      <c r="K58">
        <f>IF($U58="","",Settings!$C$7)</f>
        <v/>
      </c>
      <c r="L58" s="7">
        <f>IF($U58="","",SUMIFS('Per Line'!$L$2:$L$1501,'Per Line'!$B$2:$B$1501,$A58,'Per Line'!$W$2:$W$1501,0))</f>
        <v/>
      </c>
      <c r="M58" s="7">
        <f>IF($U58="","",L58*K58)</f>
        <v/>
      </c>
      <c r="N58">
        <f>IF($U58="","",Settings!$C$6)</f>
        <v/>
      </c>
      <c r="O58" s="7">
        <f>IF($U58="","",SUMIFS('Per Line'!$L$2:$L$1501,'Per Line'!$B$2:$B$1501,$A58,'Per Line'!$W$2:$W$1501,1))</f>
        <v/>
      </c>
      <c r="P58" s="7">
        <f>IF($U58="","",O58*N58)</f>
        <v/>
      </c>
      <c r="Q58" s="7">
        <f>IF($U58="","",P58+M58)</f>
        <v/>
      </c>
      <c r="R58" s="7">
        <f>IF($U58="","",S58-Q58)</f>
        <v/>
      </c>
      <c r="S58" s="7">
        <f>IF($U58="","",L58+O58)</f>
        <v/>
      </c>
      <c r="T58" s="7">
        <f>IF($U58="","",S58-Q58-H58)</f>
        <v/>
      </c>
      <c r="U58" s="16">
        <f>IF(ROWS($U$2:$U58)&lt;=MAX('Per Line'!$V$2:$V$1501),MATCH(ROWS($U$2:$U58),'Per Line'!$V$2:$V$1501,0),"")</f>
        <v/>
      </c>
      <c r="V58">
        <f>IF($U58="","",B58&amp;"|"&amp;COUNTIF($B$2:$B58,B58))</f>
        <v/>
      </c>
    </row>
    <row r="59">
      <c r="A59">
        <f>IF($U59="","",INDEX('Per Line'!$B$2:$B$1501,$U59)&amp;"")</f>
        <v/>
      </c>
      <c r="B59">
        <f>IF($U59="","","COPY "&amp;G59&amp;" %")</f>
        <v/>
      </c>
      <c r="C59" s="15" t="n"/>
      <c r="D59">
        <f>IF($U59="","",INDEX('Per Line'!$C$2:$C$1501,$U59)&amp;"")</f>
        <v/>
      </c>
      <c r="E59">
        <f>IF($U59="","",INDEX('Per Line'!$D$2:$D$1501,$U59)&amp;"")</f>
        <v/>
      </c>
      <c r="F59">
        <f>IF($U59="","",INDEX('Per Line'!$E$2:$E$1501,$U59)&amp;"")</f>
        <v/>
      </c>
      <c r="G59">
        <f>IF($U59="","",INDEX('Per Line'!$F$2:$F$1501,$U59))</f>
        <v/>
      </c>
      <c r="H59" s="7">
        <f>IF($U59="","",G59*S59/100)</f>
        <v/>
      </c>
      <c r="I59" s="14">
        <f>IF($U59="","",INDEX('Per Line'!$R$2:$R$1501,$U59))</f>
        <v/>
      </c>
      <c r="J59">
        <f>IF($U59="","",INDEX('Per Line'!$Q$2:$Q$1501,$U59)&amp;"")</f>
        <v/>
      </c>
      <c r="K59">
        <f>IF($U59="","",Settings!$C$7)</f>
        <v/>
      </c>
      <c r="L59" s="7">
        <f>IF($U59="","",SUMIFS('Per Line'!$L$2:$L$1501,'Per Line'!$B$2:$B$1501,$A59,'Per Line'!$W$2:$W$1501,0))</f>
        <v/>
      </c>
      <c r="M59" s="7">
        <f>IF($U59="","",L59*K59)</f>
        <v/>
      </c>
      <c r="N59">
        <f>IF($U59="","",Settings!$C$6)</f>
        <v/>
      </c>
      <c r="O59" s="7">
        <f>IF($U59="","",SUMIFS('Per Line'!$L$2:$L$1501,'Per Line'!$B$2:$B$1501,$A59,'Per Line'!$W$2:$W$1501,1))</f>
        <v/>
      </c>
      <c r="P59" s="7">
        <f>IF($U59="","",O59*N59)</f>
        <v/>
      </c>
      <c r="Q59" s="7">
        <f>IF($U59="","",P59+M59)</f>
        <v/>
      </c>
      <c r="R59" s="7">
        <f>IF($U59="","",S59-Q59)</f>
        <v/>
      </c>
      <c r="S59" s="7">
        <f>IF($U59="","",L59+O59)</f>
        <v/>
      </c>
      <c r="T59" s="7">
        <f>IF($U59="","",S59-Q59-H59)</f>
        <v/>
      </c>
      <c r="U59" s="16">
        <f>IF(ROWS($U$2:$U59)&lt;=MAX('Per Line'!$V$2:$V$1501),MATCH(ROWS($U$2:$U59),'Per Line'!$V$2:$V$1501,0),"")</f>
        <v/>
      </c>
      <c r="V59">
        <f>IF($U59="","",B59&amp;"|"&amp;COUNTIF($B$2:$B59,B59))</f>
        <v/>
      </c>
    </row>
    <row r="60">
      <c r="A60">
        <f>IF($U60="","",INDEX('Per Line'!$B$2:$B$1501,$U60)&amp;"")</f>
        <v/>
      </c>
      <c r="B60">
        <f>IF($U60="","","COPY "&amp;G60&amp;" %")</f>
        <v/>
      </c>
      <c r="C60" s="15" t="n"/>
      <c r="D60">
        <f>IF($U60="","",INDEX('Per Line'!$C$2:$C$1501,$U60)&amp;"")</f>
        <v/>
      </c>
      <c r="E60">
        <f>IF($U60="","",INDEX('Per Line'!$D$2:$D$1501,$U60)&amp;"")</f>
        <v/>
      </c>
      <c r="F60">
        <f>IF($U60="","",INDEX('Per Line'!$E$2:$E$1501,$U60)&amp;"")</f>
        <v/>
      </c>
      <c r="G60">
        <f>IF($U60="","",INDEX('Per Line'!$F$2:$F$1501,$U60))</f>
        <v/>
      </c>
      <c r="H60" s="7">
        <f>IF($U60="","",G60*S60/100)</f>
        <v/>
      </c>
      <c r="I60" s="14">
        <f>IF($U60="","",INDEX('Per Line'!$R$2:$R$1501,$U60))</f>
        <v/>
      </c>
      <c r="J60">
        <f>IF($U60="","",INDEX('Per Line'!$Q$2:$Q$1501,$U60)&amp;"")</f>
        <v/>
      </c>
      <c r="K60">
        <f>IF($U60="","",Settings!$C$7)</f>
        <v/>
      </c>
      <c r="L60" s="7">
        <f>IF($U60="","",SUMIFS('Per Line'!$L$2:$L$1501,'Per Line'!$B$2:$B$1501,$A60,'Per Line'!$W$2:$W$1501,0))</f>
        <v/>
      </c>
      <c r="M60" s="7">
        <f>IF($U60="","",L60*K60)</f>
        <v/>
      </c>
      <c r="N60">
        <f>IF($U60="","",Settings!$C$6)</f>
        <v/>
      </c>
      <c r="O60" s="7">
        <f>IF($U60="","",SUMIFS('Per Line'!$L$2:$L$1501,'Per Line'!$B$2:$B$1501,$A60,'Per Line'!$W$2:$W$1501,1))</f>
        <v/>
      </c>
      <c r="P60" s="7">
        <f>IF($U60="","",O60*N60)</f>
        <v/>
      </c>
      <c r="Q60" s="7">
        <f>IF($U60="","",P60+M60)</f>
        <v/>
      </c>
      <c r="R60" s="7">
        <f>IF($U60="","",S60-Q60)</f>
        <v/>
      </c>
      <c r="S60" s="7">
        <f>IF($U60="","",L60+O60)</f>
        <v/>
      </c>
      <c r="T60" s="7">
        <f>IF($U60="","",S60-Q60-H60)</f>
        <v/>
      </c>
      <c r="U60" s="16">
        <f>IF(ROWS($U$2:$U60)&lt;=MAX('Per Line'!$V$2:$V$1501),MATCH(ROWS($U$2:$U60),'Per Line'!$V$2:$V$1501,0),"")</f>
        <v/>
      </c>
      <c r="V60">
        <f>IF($U60="","",B60&amp;"|"&amp;COUNTIF($B$2:$B60,B60))</f>
        <v/>
      </c>
    </row>
    <row r="61">
      <c r="A61">
        <f>IF($U61="","",INDEX('Per Line'!$B$2:$B$1501,$U61)&amp;"")</f>
        <v/>
      </c>
      <c r="B61">
        <f>IF($U61="","","COPY "&amp;G61&amp;" %")</f>
        <v/>
      </c>
      <c r="C61" s="15" t="n"/>
      <c r="D61">
        <f>IF($U61="","",INDEX('Per Line'!$C$2:$C$1501,$U61)&amp;"")</f>
        <v/>
      </c>
      <c r="E61">
        <f>IF($U61="","",INDEX('Per Line'!$D$2:$D$1501,$U61)&amp;"")</f>
        <v/>
      </c>
      <c r="F61">
        <f>IF($U61="","",INDEX('Per Line'!$E$2:$E$1501,$U61)&amp;"")</f>
        <v/>
      </c>
      <c r="G61">
        <f>IF($U61="","",INDEX('Per Line'!$F$2:$F$1501,$U61))</f>
        <v/>
      </c>
      <c r="H61" s="7">
        <f>IF($U61="","",G61*S61/100)</f>
        <v/>
      </c>
      <c r="I61" s="14">
        <f>IF($U61="","",INDEX('Per Line'!$R$2:$R$1501,$U61))</f>
        <v/>
      </c>
      <c r="J61">
        <f>IF($U61="","",INDEX('Per Line'!$Q$2:$Q$1501,$U61)&amp;"")</f>
        <v/>
      </c>
      <c r="K61">
        <f>IF($U61="","",Settings!$C$7)</f>
        <v/>
      </c>
      <c r="L61" s="7">
        <f>IF($U61="","",SUMIFS('Per Line'!$L$2:$L$1501,'Per Line'!$B$2:$B$1501,$A61,'Per Line'!$W$2:$W$1501,0))</f>
        <v/>
      </c>
      <c r="M61" s="7">
        <f>IF($U61="","",L61*K61)</f>
        <v/>
      </c>
      <c r="N61">
        <f>IF($U61="","",Settings!$C$6)</f>
        <v/>
      </c>
      <c r="O61" s="7">
        <f>IF($U61="","",SUMIFS('Per Line'!$L$2:$L$1501,'Per Line'!$B$2:$B$1501,$A61,'Per Line'!$W$2:$W$1501,1))</f>
        <v/>
      </c>
      <c r="P61" s="7">
        <f>IF($U61="","",O61*N61)</f>
        <v/>
      </c>
      <c r="Q61" s="7">
        <f>IF($U61="","",P61+M61)</f>
        <v/>
      </c>
      <c r="R61" s="7">
        <f>IF($U61="","",S61-Q61)</f>
        <v/>
      </c>
      <c r="S61" s="7">
        <f>IF($U61="","",L61+O61)</f>
        <v/>
      </c>
      <c r="T61" s="7">
        <f>IF($U61="","",S61-Q61-H61)</f>
        <v/>
      </c>
      <c r="U61" s="16">
        <f>IF(ROWS($U$2:$U61)&lt;=MAX('Per Line'!$V$2:$V$1501),MATCH(ROWS($U$2:$U61),'Per Line'!$V$2:$V$1501,0),"")</f>
        <v/>
      </c>
      <c r="V61">
        <f>IF($U61="","",B61&amp;"|"&amp;COUNTIF($B$2:$B61,B61))</f>
        <v/>
      </c>
    </row>
    <row r="62">
      <c r="A62">
        <f>IF($U62="","",INDEX('Per Line'!$B$2:$B$1501,$U62)&amp;"")</f>
        <v/>
      </c>
      <c r="B62">
        <f>IF($U62="","","COPY "&amp;G62&amp;" %")</f>
        <v/>
      </c>
      <c r="C62" s="15" t="n"/>
      <c r="D62">
        <f>IF($U62="","",INDEX('Per Line'!$C$2:$C$1501,$U62)&amp;"")</f>
        <v/>
      </c>
      <c r="E62">
        <f>IF($U62="","",INDEX('Per Line'!$D$2:$D$1501,$U62)&amp;"")</f>
        <v/>
      </c>
      <c r="F62">
        <f>IF($U62="","",INDEX('Per Line'!$E$2:$E$1501,$U62)&amp;"")</f>
        <v/>
      </c>
      <c r="G62">
        <f>IF($U62="","",INDEX('Per Line'!$F$2:$F$1501,$U62))</f>
        <v/>
      </c>
      <c r="H62" s="7">
        <f>IF($U62="","",G62*S62/100)</f>
        <v/>
      </c>
      <c r="I62" s="14">
        <f>IF($U62="","",INDEX('Per Line'!$R$2:$R$1501,$U62))</f>
        <v/>
      </c>
      <c r="J62">
        <f>IF($U62="","",INDEX('Per Line'!$Q$2:$Q$1501,$U62)&amp;"")</f>
        <v/>
      </c>
      <c r="K62">
        <f>IF($U62="","",Settings!$C$7)</f>
        <v/>
      </c>
      <c r="L62" s="7">
        <f>IF($U62="","",SUMIFS('Per Line'!$L$2:$L$1501,'Per Line'!$B$2:$B$1501,$A62,'Per Line'!$W$2:$W$1501,0))</f>
        <v/>
      </c>
      <c r="M62" s="7">
        <f>IF($U62="","",L62*K62)</f>
        <v/>
      </c>
      <c r="N62">
        <f>IF($U62="","",Settings!$C$6)</f>
        <v/>
      </c>
      <c r="O62" s="7">
        <f>IF($U62="","",SUMIFS('Per Line'!$L$2:$L$1501,'Per Line'!$B$2:$B$1501,$A62,'Per Line'!$W$2:$W$1501,1))</f>
        <v/>
      </c>
      <c r="P62" s="7">
        <f>IF($U62="","",O62*N62)</f>
        <v/>
      </c>
      <c r="Q62" s="7">
        <f>IF($U62="","",P62+M62)</f>
        <v/>
      </c>
      <c r="R62" s="7">
        <f>IF($U62="","",S62-Q62)</f>
        <v/>
      </c>
      <c r="S62" s="7">
        <f>IF($U62="","",L62+O62)</f>
        <v/>
      </c>
      <c r="T62" s="7">
        <f>IF($U62="","",S62-Q62-H62)</f>
        <v/>
      </c>
      <c r="U62" s="16">
        <f>IF(ROWS($U$2:$U62)&lt;=MAX('Per Line'!$V$2:$V$1501),MATCH(ROWS($U$2:$U62),'Per Line'!$V$2:$V$1501,0),"")</f>
        <v/>
      </c>
      <c r="V62">
        <f>IF($U62="","",B62&amp;"|"&amp;COUNTIF($B$2:$B62,B62))</f>
        <v/>
      </c>
    </row>
    <row r="63">
      <c r="A63">
        <f>IF($U63="","",INDEX('Per Line'!$B$2:$B$1501,$U63)&amp;"")</f>
        <v/>
      </c>
      <c r="B63">
        <f>IF($U63="","","COPY "&amp;G63&amp;" %")</f>
        <v/>
      </c>
      <c r="C63" s="15" t="n"/>
      <c r="D63">
        <f>IF($U63="","",INDEX('Per Line'!$C$2:$C$1501,$U63)&amp;"")</f>
        <v/>
      </c>
      <c r="E63">
        <f>IF($U63="","",INDEX('Per Line'!$D$2:$D$1501,$U63)&amp;"")</f>
        <v/>
      </c>
      <c r="F63">
        <f>IF($U63="","",INDEX('Per Line'!$E$2:$E$1501,$U63)&amp;"")</f>
        <v/>
      </c>
      <c r="G63">
        <f>IF($U63="","",INDEX('Per Line'!$F$2:$F$1501,$U63))</f>
        <v/>
      </c>
      <c r="H63" s="7">
        <f>IF($U63="","",G63*S63/100)</f>
        <v/>
      </c>
      <c r="I63" s="14">
        <f>IF($U63="","",INDEX('Per Line'!$R$2:$R$1501,$U63))</f>
        <v/>
      </c>
      <c r="J63">
        <f>IF($U63="","",INDEX('Per Line'!$Q$2:$Q$1501,$U63)&amp;"")</f>
        <v/>
      </c>
      <c r="K63">
        <f>IF($U63="","",Settings!$C$7)</f>
        <v/>
      </c>
      <c r="L63" s="7">
        <f>IF($U63="","",SUMIFS('Per Line'!$L$2:$L$1501,'Per Line'!$B$2:$B$1501,$A63,'Per Line'!$W$2:$W$1501,0))</f>
        <v/>
      </c>
      <c r="M63" s="7">
        <f>IF($U63="","",L63*K63)</f>
        <v/>
      </c>
      <c r="N63">
        <f>IF($U63="","",Settings!$C$6)</f>
        <v/>
      </c>
      <c r="O63" s="7">
        <f>IF($U63="","",SUMIFS('Per Line'!$L$2:$L$1501,'Per Line'!$B$2:$B$1501,$A63,'Per Line'!$W$2:$W$1501,1))</f>
        <v/>
      </c>
      <c r="P63" s="7">
        <f>IF($U63="","",O63*N63)</f>
        <v/>
      </c>
      <c r="Q63" s="7">
        <f>IF($U63="","",P63+M63)</f>
        <v/>
      </c>
      <c r="R63" s="7">
        <f>IF($U63="","",S63-Q63)</f>
        <v/>
      </c>
      <c r="S63" s="7">
        <f>IF($U63="","",L63+O63)</f>
        <v/>
      </c>
      <c r="T63" s="7">
        <f>IF($U63="","",S63-Q63-H63)</f>
        <v/>
      </c>
      <c r="U63" s="16">
        <f>IF(ROWS($U$2:$U63)&lt;=MAX('Per Line'!$V$2:$V$1501),MATCH(ROWS($U$2:$U63),'Per Line'!$V$2:$V$1501,0),"")</f>
        <v/>
      </c>
      <c r="V63">
        <f>IF($U63="","",B63&amp;"|"&amp;COUNTIF($B$2:$B63,B63))</f>
        <v/>
      </c>
    </row>
    <row r="64">
      <c r="A64">
        <f>IF($U64="","",INDEX('Per Line'!$B$2:$B$1501,$U64)&amp;"")</f>
        <v/>
      </c>
      <c r="B64">
        <f>IF($U64="","","COPY "&amp;G64&amp;" %")</f>
        <v/>
      </c>
      <c r="C64" s="15" t="n"/>
      <c r="D64">
        <f>IF($U64="","",INDEX('Per Line'!$C$2:$C$1501,$U64)&amp;"")</f>
        <v/>
      </c>
      <c r="E64">
        <f>IF($U64="","",INDEX('Per Line'!$D$2:$D$1501,$U64)&amp;"")</f>
        <v/>
      </c>
      <c r="F64">
        <f>IF($U64="","",INDEX('Per Line'!$E$2:$E$1501,$U64)&amp;"")</f>
        <v/>
      </c>
      <c r="G64">
        <f>IF($U64="","",INDEX('Per Line'!$F$2:$F$1501,$U64))</f>
        <v/>
      </c>
      <c r="H64" s="7">
        <f>IF($U64="","",G64*S64/100)</f>
        <v/>
      </c>
      <c r="I64" s="14">
        <f>IF($U64="","",INDEX('Per Line'!$R$2:$R$1501,$U64))</f>
        <v/>
      </c>
      <c r="J64">
        <f>IF($U64="","",INDEX('Per Line'!$Q$2:$Q$1501,$U64)&amp;"")</f>
        <v/>
      </c>
      <c r="K64">
        <f>IF($U64="","",Settings!$C$7)</f>
        <v/>
      </c>
      <c r="L64" s="7">
        <f>IF($U64="","",SUMIFS('Per Line'!$L$2:$L$1501,'Per Line'!$B$2:$B$1501,$A64,'Per Line'!$W$2:$W$1501,0))</f>
        <v/>
      </c>
      <c r="M64" s="7">
        <f>IF($U64="","",L64*K64)</f>
        <v/>
      </c>
      <c r="N64">
        <f>IF($U64="","",Settings!$C$6)</f>
        <v/>
      </c>
      <c r="O64" s="7">
        <f>IF($U64="","",SUMIFS('Per Line'!$L$2:$L$1501,'Per Line'!$B$2:$B$1501,$A64,'Per Line'!$W$2:$W$1501,1))</f>
        <v/>
      </c>
      <c r="P64" s="7">
        <f>IF($U64="","",O64*N64)</f>
        <v/>
      </c>
      <c r="Q64" s="7">
        <f>IF($U64="","",P64+M64)</f>
        <v/>
      </c>
      <c r="R64" s="7">
        <f>IF($U64="","",S64-Q64)</f>
        <v/>
      </c>
      <c r="S64" s="7">
        <f>IF($U64="","",L64+O64)</f>
        <v/>
      </c>
      <c r="T64" s="7">
        <f>IF($U64="","",S64-Q64-H64)</f>
        <v/>
      </c>
      <c r="U64" s="16">
        <f>IF(ROWS($U$2:$U64)&lt;=MAX('Per Line'!$V$2:$V$1501),MATCH(ROWS($U$2:$U64),'Per Line'!$V$2:$V$1501,0),"")</f>
        <v/>
      </c>
      <c r="V64">
        <f>IF($U64="","",B64&amp;"|"&amp;COUNTIF($B$2:$B64,B64))</f>
        <v/>
      </c>
    </row>
    <row r="65">
      <c r="A65">
        <f>IF($U65="","",INDEX('Per Line'!$B$2:$B$1501,$U65)&amp;"")</f>
        <v/>
      </c>
      <c r="B65">
        <f>IF($U65="","","COPY "&amp;G65&amp;" %")</f>
        <v/>
      </c>
      <c r="C65" s="15" t="n"/>
      <c r="D65">
        <f>IF($U65="","",INDEX('Per Line'!$C$2:$C$1501,$U65)&amp;"")</f>
        <v/>
      </c>
      <c r="E65">
        <f>IF($U65="","",INDEX('Per Line'!$D$2:$D$1501,$U65)&amp;"")</f>
        <v/>
      </c>
      <c r="F65">
        <f>IF($U65="","",INDEX('Per Line'!$E$2:$E$1501,$U65)&amp;"")</f>
        <v/>
      </c>
      <c r="G65">
        <f>IF($U65="","",INDEX('Per Line'!$F$2:$F$1501,$U65))</f>
        <v/>
      </c>
      <c r="H65" s="7">
        <f>IF($U65="","",G65*S65/100)</f>
        <v/>
      </c>
      <c r="I65" s="14">
        <f>IF($U65="","",INDEX('Per Line'!$R$2:$R$1501,$U65))</f>
        <v/>
      </c>
      <c r="J65">
        <f>IF($U65="","",INDEX('Per Line'!$Q$2:$Q$1501,$U65)&amp;"")</f>
        <v/>
      </c>
      <c r="K65">
        <f>IF($U65="","",Settings!$C$7)</f>
        <v/>
      </c>
      <c r="L65" s="7">
        <f>IF($U65="","",SUMIFS('Per Line'!$L$2:$L$1501,'Per Line'!$B$2:$B$1501,$A65,'Per Line'!$W$2:$W$1501,0))</f>
        <v/>
      </c>
      <c r="M65" s="7">
        <f>IF($U65="","",L65*K65)</f>
        <v/>
      </c>
      <c r="N65">
        <f>IF($U65="","",Settings!$C$6)</f>
        <v/>
      </c>
      <c r="O65" s="7">
        <f>IF($U65="","",SUMIFS('Per Line'!$L$2:$L$1501,'Per Line'!$B$2:$B$1501,$A65,'Per Line'!$W$2:$W$1501,1))</f>
        <v/>
      </c>
      <c r="P65" s="7">
        <f>IF($U65="","",O65*N65)</f>
        <v/>
      </c>
      <c r="Q65" s="7">
        <f>IF($U65="","",P65+M65)</f>
        <v/>
      </c>
      <c r="R65" s="7">
        <f>IF($U65="","",S65-Q65)</f>
        <v/>
      </c>
      <c r="S65" s="7">
        <f>IF($U65="","",L65+O65)</f>
        <v/>
      </c>
      <c r="T65" s="7">
        <f>IF($U65="","",S65-Q65-H65)</f>
        <v/>
      </c>
      <c r="U65" s="16">
        <f>IF(ROWS($U$2:$U65)&lt;=MAX('Per Line'!$V$2:$V$1501),MATCH(ROWS($U$2:$U65),'Per Line'!$V$2:$V$1501,0),"")</f>
        <v/>
      </c>
      <c r="V65">
        <f>IF($U65="","",B65&amp;"|"&amp;COUNTIF($B$2:$B65,B65))</f>
        <v/>
      </c>
    </row>
    <row r="66">
      <c r="A66">
        <f>IF($U66="","",INDEX('Per Line'!$B$2:$B$1501,$U66)&amp;"")</f>
        <v/>
      </c>
      <c r="B66">
        <f>IF($U66="","","COPY "&amp;G66&amp;" %")</f>
        <v/>
      </c>
      <c r="C66" s="15" t="n"/>
      <c r="D66">
        <f>IF($U66="","",INDEX('Per Line'!$C$2:$C$1501,$U66)&amp;"")</f>
        <v/>
      </c>
      <c r="E66">
        <f>IF($U66="","",INDEX('Per Line'!$D$2:$D$1501,$U66)&amp;"")</f>
        <v/>
      </c>
      <c r="F66">
        <f>IF($U66="","",INDEX('Per Line'!$E$2:$E$1501,$U66)&amp;"")</f>
        <v/>
      </c>
      <c r="G66">
        <f>IF($U66="","",INDEX('Per Line'!$F$2:$F$1501,$U66))</f>
        <v/>
      </c>
      <c r="H66" s="7">
        <f>IF($U66="","",G66*S66/100)</f>
        <v/>
      </c>
      <c r="I66" s="14">
        <f>IF($U66="","",INDEX('Per Line'!$R$2:$R$1501,$U66))</f>
        <v/>
      </c>
      <c r="J66">
        <f>IF($U66="","",INDEX('Per Line'!$Q$2:$Q$1501,$U66)&amp;"")</f>
        <v/>
      </c>
      <c r="K66">
        <f>IF($U66="","",Settings!$C$7)</f>
        <v/>
      </c>
      <c r="L66" s="7">
        <f>IF($U66="","",SUMIFS('Per Line'!$L$2:$L$1501,'Per Line'!$B$2:$B$1501,$A66,'Per Line'!$W$2:$W$1501,0))</f>
        <v/>
      </c>
      <c r="M66" s="7">
        <f>IF($U66="","",L66*K66)</f>
        <v/>
      </c>
      <c r="N66">
        <f>IF($U66="","",Settings!$C$6)</f>
        <v/>
      </c>
      <c r="O66" s="7">
        <f>IF($U66="","",SUMIFS('Per Line'!$L$2:$L$1501,'Per Line'!$B$2:$B$1501,$A66,'Per Line'!$W$2:$W$1501,1))</f>
        <v/>
      </c>
      <c r="P66" s="7">
        <f>IF($U66="","",O66*N66)</f>
        <v/>
      </c>
      <c r="Q66" s="7">
        <f>IF($U66="","",P66+M66)</f>
        <v/>
      </c>
      <c r="R66" s="7">
        <f>IF($U66="","",S66-Q66)</f>
        <v/>
      </c>
      <c r="S66" s="7">
        <f>IF($U66="","",L66+O66)</f>
        <v/>
      </c>
      <c r="T66" s="7">
        <f>IF($U66="","",S66-Q66-H66)</f>
        <v/>
      </c>
      <c r="U66" s="16">
        <f>IF(ROWS($U$2:$U66)&lt;=MAX('Per Line'!$V$2:$V$1501),MATCH(ROWS($U$2:$U66),'Per Line'!$V$2:$V$1501,0),"")</f>
        <v/>
      </c>
      <c r="V66">
        <f>IF($U66="","",B66&amp;"|"&amp;COUNTIF($B$2:$B66,B66))</f>
        <v/>
      </c>
    </row>
    <row r="67">
      <c r="A67">
        <f>IF($U67="","",INDEX('Per Line'!$B$2:$B$1501,$U67)&amp;"")</f>
        <v/>
      </c>
      <c r="B67">
        <f>IF($U67="","","COPY "&amp;G67&amp;" %")</f>
        <v/>
      </c>
      <c r="C67" s="15" t="n"/>
      <c r="D67">
        <f>IF($U67="","",INDEX('Per Line'!$C$2:$C$1501,$U67)&amp;"")</f>
        <v/>
      </c>
      <c r="E67">
        <f>IF($U67="","",INDEX('Per Line'!$D$2:$D$1501,$U67)&amp;"")</f>
        <v/>
      </c>
      <c r="F67">
        <f>IF($U67="","",INDEX('Per Line'!$E$2:$E$1501,$U67)&amp;"")</f>
        <v/>
      </c>
      <c r="G67">
        <f>IF($U67="","",INDEX('Per Line'!$F$2:$F$1501,$U67))</f>
        <v/>
      </c>
      <c r="H67" s="7">
        <f>IF($U67="","",G67*S67/100)</f>
        <v/>
      </c>
      <c r="I67" s="14">
        <f>IF($U67="","",INDEX('Per Line'!$R$2:$R$1501,$U67))</f>
        <v/>
      </c>
      <c r="J67">
        <f>IF($U67="","",INDEX('Per Line'!$Q$2:$Q$1501,$U67)&amp;"")</f>
        <v/>
      </c>
      <c r="K67">
        <f>IF($U67="","",Settings!$C$7)</f>
        <v/>
      </c>
      <c r="L67" s="7">
        <f>IF($U67="","",SUMIFS('Per Line'!$L$2:$L$1501,'Per Line'!$B$2:$B$1501,$A67,'Per Line'!$W$2:$W$1501,0))</f>
        <v/>
      </c>
      <c r="M67" s="7">
        <f>IF($U67="","",L67*K67)</f>
        <v/>
      </c>
      <c r="N67">
        <f>IF($U67="","",Settings!$C$6)</f>
        <v/>
      </c>
      <c r="O67" s="7">
        <f>IF($U67="","",SUMIFS('Per Line'!$L$2:$L$1501,'Per Line'!$B$2:$B$1501,$A67,'Per Line'!$W$2:$W$1501,1))</f>
        <v/>
      </c>
      <c r="P67" s="7">
        <f>IF($U67="","",O67*N67)</f>
        <v/>
      </c>
      <c r="Q67" s="7">
        <f>IF($U67="","",P67+M67)</f>
        <v/>
      </c>
      <c r="R67" s="7">
        <f>IF($U67="","",S67-Q67)</f>
        <v/>
      </c>
      <c r="S67" s="7">
        <f>IF($U67="","",L67+O67)</f>
        <v/>
      </c>
      <c r="T67" s="7">
        <f>IF($U67="","",S67-Q67-H67)</f>
        <v/>
      </c>
      <c r="U67" s="16">
        <f>IF(ROWS($U$2:$U67)&lt;=MAX('Per Line'!$V$2:$V$1501),MATCH(ROWS($U$2:$U67),'Per Line'!$V$2:$V$1501,0),"")</f>
        <v/>
      </c>
      <c r="V67">
        <f>IF($U67="","",B67&amp;"|"&amp;COUNTIF($B$2:$B67,B67))</f>
        <v/>
      </c>
    </row>
    <row r="68">
      <c r="A68">
        <f>IF($U68="","",INDEX('Per Line'!$B$2:$B$1501,$U68)&amp;"")</f>
        <v/>
      </c>
      <c r="B68">
        <f>IF($U68="","","COPY "&amp;G68&amp;" %")</f>
        <v/>
      </c>
      <c r="C68" s="15" t="n"/>
      <c r="D68">
        <f>IF($U68="","",INDEX('Per Line'!$C$2:$C$1501,$U68)&amp;"")</f>
        <v/>
      </c>
      <c r="E68">
        <f>IF($U68="","",INDEX('Per Line'!$D$2:$D$1501,$U68)&amp;"")</f>
        <v/>
      </c>
      <c r="F68">
        <f>IF($U68="","",INDEX('Per Line'!$E$2:$E$1501,$U68)&amp;"")</f>
        <v/>
      </c>
      <c r="G68">
        <f>IF($U68="","",INDEX('Per Line'!$F$2:$F$1501,$U68))</f>
        <v/>
      </c>
      <c r="H68" s="7">
        <f>IF($U68="","",G68*S68/100)</f>
        <v/>
      </c>
      <c r="I68" s="14">
        <f>IF($U68="","",INDEX('Per Line'!$R$2:$R$1501,$U68))</f>
        <v/>
      </c>
      <c r="J68">
        <f>IF($U68="","",INDEX('Per Line'!$Q$2:$Q$1501,$U68)&amp;"")</f>
        <v/>
      </c>
      <c r="K68">
        <f>IF($U68="","",Settings!$C$7)</f>
        <v/>
      </c>
      <c r="L68" s="7">
        <f>IF($U68="","",SUMIFS('Per Line'!$L$2:$L$1501,'Per Line'!$B$2:$B$1501,$A68,'Per Line'!$W$2:$W$1501,0))</f>
        <v/>
      </c>
      <c r="M68" s="7">
        <f>IF($U68="","",L68*K68)</f>
        <v/>
      </c>
      <c r="N68">
        <f>IF($U68="","",Settings!$C$6)</f>
        <v/>
      </c>
      <c r="O68" s="7">
        <f>IF($U68="","",SUMIFS('Per Line'!$L$2:$L$1501,'Per Line'!$B$2:$B$1501,$A68,'Per Line'!$W$2:$W$1501,1))</f>
        <v/>
      </c>
      <c r="P68" s="7">
        <f>IF($U68="","",O68*N68)</f>
        <v/>
      </c>
      <c r="Q68" s="7">
        <f>IF($U68="","",P68+M68)</f>
        <v/>
      </c>
      <c r="R68" s="7">
        <f>IF($U68="","",S68-Q68)</f>
        <v/>
      </c>
      <c r="S68" s="7">
        <f>IF($U68="","",L68+O68)</f>
        <v/>
      </c>
      <c r="T68" s="7">
        <f>IF($U68="","",S68-Q68-H68)</f>
        <v/>
      </c>
      <c r="U68" s="16">
        <f>IF(ROWS($U$2:$U68)&lt;=MAX('Per Line'!$V$2:$V$1501),MATCH(ROWS($U$2:$U68),'Per Line'!$V$2:$V$1501,0),"")</f>
        <v/>
      </c>
      <c r="V68">
        <f>IF($U68="","",B68&amp;"|"&amp;COUNTIF($B$2:$B68,B68))</f>
        <v/>
      </c>
    </row>
    <row r="69">
      <c r="A69">
        <f>IF($U69="","",INDEX('Per Line'!$B$2:$B$1501,$U69)&amp;"")</f>
        <v/>
      </c>
      <c r="B69">
        <f>IF($U69="","","COPY "&amp;G69&amp;" %")</f>
        <v/>
      </c>
      <c r="C69" s="15" t="n"/>
      <c r="D69">
        <f>IF($U69="","",INDEX('Per Line'!$C$2:$C$1501,$U69)&amp;"")</f>
        <v/>
      </c>
      <c r="E69">
        <f>IF($U69="","",INDEX('Per Line'!$D$2:$D$1501,$U69)&amp;"")</f>
        <v/>
      </c>
      <c r="F69">
        <f>IF($U69="","",INDEX('Per Line'!$E$2:$E$1501,$U69)&amp;"")</f>
        <v/>
      </c>
      <c r="G69">
        <f>IF($U69="","",INDEX('Per Line'!$F$2:$F$1501,$U69))</f>
        <v/>
      </c>
      <c r="H69" s="7">
        <f>IF($U69="","",G69*S69/100)</f>
        <v/>
      </c>
      <c r="I69" s="14">
        <f>IF($U69="","",INDEX('Per Line'!$R$2:$R$1501,$U69))</f>
        <v/>
      </c>
      <c r="J69">
        <f>IF($U69="","",INDEX('Per Line'!$Q$2:$Q$1501,$U69)&amp;"")</f>
        <v/>
      </c>
      <c r="K69">
        <f>IF($U69="","",Settings!$C$7)</f>
        <v/>
      </c>
      <c r="L69" s="7">
        <f>IF($U69="","",SUMIFS('Per Line'!$L$2:$L$1501,'Per Line'!$B$2:$B$1501,$A69,'Per Line'!$W$2:$W$1501,0))</f>
        <v/>
      </c>
      <c r="M69" s="7">
        <f>IF($U69="","",L69*K69)</f>
        <v/>
      </c>
      <c r="N69">
        <f>IF($U69="","",Settings!$C$6)</f>
        <v/>
      </c>
      <c r="O69" s="7">
        <f>IF($U69="","",SUMIFS('Per Line'!$L$2:$L$1501,'Per Line'!$B$2:$B$1501,$A69,'Per Line'!$W$2:$W$1501,1))</f>
        <v/>
      </c>
      <c r="P69" s="7">
        <f>IF($U69="","",O69*N69)</f>
        <v/>
      </c>
      <c r="Q69" s="7">
        <f>IF($U69="","",P69+M69)</f>
        <v/>
      </c>
      <c r="R69" s="7">
        <f>IF($U69="","",S69-Q69)</f>
        <v/>
      </c>
      <c r="S69" s="7">
        <f>IF($U69="","",L69+O69)</f>
        <v/>
      </c>
      <c r="T69" s="7">
        <f>IF($U69="","",S69-Q69-H69)</f>
        <v/>
      </c>
      <c r="U69" s="16">
        <f>IF(ROWS($U$2:$U69)&lt;=MAX('Per Line'!$V$2:$V$1501),MATCH(ROWS($U$2:$U69),'Per Line'!$V$2:$V$1501,0),"")</f>
        <v/>
      </c>
      <c r="V69">
        <f>IF($U69="","",B69&amp;"|"&amp;COUNTIF($B$2:$B69,B69))</f>
        <v/>
      </c>
    </row>
    <row r="70">
      <c r="A70">
        <f>IF($U70="","",INDEX('Per Line'!$B$2:$B$1501,$U70)&amp;"")</f>
        <v/>
      </c>
      <c r="B70">
        <f>IF($U70="","","COPY "&amp;G70&amp;" %")</f>
        <v/>
      </c>
      <c r="C70" s="15" t="n"/>
      <c r="D70">
        <f>IF($U70="","",INDEX('Per Line'!$C$2:$C$1501,$U70)&amp;"")</f>
        <v/>
      </c>
      <c r="E70">
        <f>IF($U70="","",INDEX('Per Line'!$D$2:$D$1501,$U70)&amp;"")</f>
        <v/>
      </c>
      <c r="F70">
        <f>IF($U70="","",INDEX('Per Line'!$E$2:$E$1501,$U70)&amp;"")</f>
        <v/>
      </c>
      <c r="G70">
        <f>IF($U70="","",INDEX('Per Line'!$F$2:$F$1501,$U70))</f>
        <v/>
      </c>
      <c r="H70" s="7">
        <f>IF($U70="","",G70*S70/100)</f>
        <v/>
      </c>
      <c r="I70" s="14">
        <f>IF($U70="","",INDEX('Per Line'!$R$2:$R$1501,$U70))</f>
        <v/>
      </c>
      <c r="J70">
        <f>IF($U70="","",INDEX('Per Line'!$Q$2:$Q$1501,$U70)&amp;"")</f>
        <v/>
      </c>
      <c r="K70">
        <f>IF($U70="","",Settings!$C$7)</f>
        <v/>
      </c>
      <c r="L70" s="7">
        <f>IF($U70="","",SUMIFS('Per Line'!$L$2:$L$1501,'Per Line'!$B$2:$B$1501,$A70,'Per Line'!$W$2:$W$1501,0))</f>
        <v/>
      </c>
      <c r="M70" s="7">
        <f>IF($U70="","",L70*K70)</f>
        <v/>
      </c>
      <c r="N70">
        <f>IF($U70="","",Settings!$C$6)</f>
        <v/>
      </c>
      <c r="O70" s="7">
        <f>IF($U70="","",SUMIFS('Per Line'!$L$2:$L$1501,'Per Line'!$B$2:$B$1501,$A70,'Per Line'!$W$2:$W$1501,1))</f>
        <v/>
      </c>
      <c r="P70" s="7">
        <f>IF($U70="","",O70*N70)</f>
        <v/>
      </c>
      <c r="Q70" s="7">
        <f>IF($U70="","",P70+M70)</f>
        <v/>
      </c>
      <c r="R70" s="7">
        <f>IF($U70="","",S70-Q70)</f>
        <v/>
      </c>
      <c r="S70" s="7">
        <f>IF($U70="","",L70+O70)</f>
        <v/>
      </c>
      <c r="T70" s="7">
        <f>IF($U70="","",S70-Q70-H70)</f>
        <v/>
      </c>
      <c r="U70" s="16">
        <f>IF(ROWS($U$2:$U70)&lt;=MAX('Per Line'!$V$2:$V$1501),MATCH(ROWS($U$2:$U70),'Per Line'!$V$2:$V$1501,0),"")</f>
        <v/>
      </c>
      <c r="V70">
        <f>IF($U70="","",B70&amp;"|"&amp;COUNTIF($B$2:$B70,B70))</f>
        <v/>
      </c>
    </row>
    <row r="71">
      <c r="A71">
        <f>IF($U71="","",INDEX('Per Line'!$B$2:$B$1501,$U71)&amp;"")</f>
        <v/>
      </c>
      <c r="B71">
        <f>IF($U71="","","COPY "&amp;G71&amp;" %")</f>
        <v/>
      </c>
      <c r="C71" s="15" t="n"/>
      <c r="D71">
        <f>IF($U71="","",INDEX('Per Line'!$C$2:$C$1501,$U71)&amp;"")</f>
        <v/>
      </c>
      <c r="E71">
        <f>IF($U71="","",INDEX('Per Line'!$D$2:$D$1501,$U71)&amp;"")</f>
        <v/>
      </c>
      <c r="F71">
        <f>IF($U71="","",INDEX('Per Line'!$E$2:$E$1501,$U71)&amp;"")</f>
        <v/>
      </c>
      <c r="G71">
        <f>IF($U71="","",INDEX('Per Line'!$F$2:$F$1501,$U71))</f>
        <v/>
      </c>
      <c r="H71" s="7">
        <f>IF($U71="","",G71*S71/100)</f>
        <v/>
      </c>
      <c r="I71" s="14">
        <f>IF($U71="","",INDEX('Per Line'!$R$2:$R$1501,$U71))</f>
        <v/>
      </c>
      <c r="J71">
        <f>IF($U71="","",INDEX('Per Line'!$Q$2:$Q$1501,$U71)&amp;"")</f>
        <v/>
      </c>
      <c r="K71">
        <f>IF($U71="","",Settings!$C$7)</f>
        <v/>
      </c>
      <c r="L71" s="7">
        <f>IF($U71="","",SUMIFS('Per Line'!$L$2:$L$1501,'Per Line'!$B$2:$B$1501,$A71,'Per Line'!$W$2:$W$1501,0))</f>
        <v/>
      </c>
      <c r="M71" s="7">
        <f>IF($U71="","",L71*K71)</f>
        <v/>
      </c>
      <c r="N71">
        <f>IF($U71="","",Settings!$C$6)</f>
        <v/>
      </c>
      <c r="O71" s="7">
        <f>IF($U71="","",SUMIFS('Per Line'!$L$2:$L$1501,'Per Line'!$B$2:$B$1501,$A71,'Per Line'!$W$2:$W$1501,1))</f>
        <v/>
      </c>
      <c r="P71" s="7">
        <f>IF($U71="","",O71*N71)</f>
        <v/>
      </c>
      <c r="Q71" s="7">
        <f>IF($U71="","",P71+M71)</f>
        <v/>
      </c>
      <c r="R71" s="7">
        <f>IF($U71="","",S71-Q71)</f>
        <v/>
      </c>
      <c r="S71" s="7">
        <f>IF($U71="","",L71+O71)</f>
        <v/>
      </c>
      <c r="T71" s="7">
        <f>IF($U71="","",S71-Q71-H71)</f>
        <v/>
      </c>
      <c r="U71" s="16">
        <f>IF(ROWS($U$2:$U71)&lt;=MAX('Per Line'!$V$2:$V$1501),MATCH(ROWS($U$2:$U71),'Per Line'!$V$2:$V$1501,0),"")</f>
        <v/>
      </c>
      <c r="V71">
        <f>IF($U71="","",B71&amp;"|"&amp;COUNTIF($B$2:$B71,B71))</f>
        <v/>
      </c>
    </row>
    <row r="72">
      <c r="A72">
        <f>IF($U72="","",INDEX('Per Line'!$B$2:$B$1501,$U72)&amp;"")</f>
        <v/>
      </c>
      <c r="B72">
        <f>IF($U72="","","COPY "&amp;G72&amp;" %")</f>
        <v/>
      </c>
      <c r="C72" s="15" t="n"/>
      <c r="D72">
        <f>IF($U72="","",INDEX('Per Line'!$C$2:$C$1501,$U72)&amp;"")</f>
        <v/>
      </c>
      <c r="E72">
        <f>IF($U72="","",INDEX('Per Line'!$D$2:$D$1501,$U72)&amp;"")</f>
        <v/>
      </c>
      <c r="F72">
        <f>IF($U72="","",INDEX('Per Line'!$E$2:$E$1501,$U72)&amp;"")</f>
        <v/>
      </c>
      <c r="G72">
        <f>IF($U72="","",INDEX('Per Line'!$F$2:$F$1501,$U72))</f>
        <v/>
      </c>
      <c r="H72" s="7">
        <f>IF($U72="","",G72*S72/100)</f>
        <v/>
      </c>
      <c r="I72" s="14">
        <f>IF($U72="","",INDEX('Per Line'!$R$2:$R$1501,$U72))</f>
        <v/>
      </c>
      <c r="J72">
        <f>IF($U72="","",INDEX('Per Line'!$Q$2:$Q$1501,$U72)&amp;"")</f>
        <v/>
      </c>
      <c r="K72">
        <f>IF($U72="","",Settings!$C$7)</f>
        <v/>
      </c>
      <c r="L72" s="7">
        <f>IF($U72="","",SUMIFS('Per Line'!$L$2:$L$1501,'Per Line'!$B$2:$B$1501,$A72,'Per Line'!$W$2:$W$1501,0))</f>
        <v/>
      </c>
      <c r="M72" s="7">
        <f>IF($U72="","",L72*K72)</f>
        <v/>
      </c>
      <c r="N72">
        <f>IF($U72="","",Settings!$C$6)</f>
        <v/>
      </c>
      <c r="O72" s="7">
        <f>IF($U72="","",SUMIFS('Per Line'!$L$2:$L$1501,'Per Line'!$B$2:$B$1501,$A72,'Per Line'!$W$2:$W$1501,1))</f>
        <v/>
      </c>
      <c r="P72" s="7">
        <f>IF($U72="","",O72*N72)</f>
        <v/>
      </c>
      <c r="Q72" s="7">
        <f>IF($U72="","",P72+M72)</f>
        <v/>
      </c>
      <c r="R72" s="7">
        <f>IF($U72="","",S72-Q72)</f>
        <v/>
      </c>
      <c r="S72" s="7">
        <f>IF($U72="","",L72+O72)</f>
        <v/>
      </c>
      <c r="T72" s="7">
        <f>IF($U72="","",S72-Q72-H72)</f>
        <v/>
      </c>
      <c r="U72" s="16">
        <f>IF(ROWS($U$2:$U72)&lt;=MAX('Per Line'!$V$2:$V$1501),MATCH(ROWS($U$2:$U72),'Per Line'!$V$2:$V$1501,0),"")</f>
        <v/>
      </c>
      <c r="V72">
        <f>IF($U72="","",B72&amp;"|"&amp;COUNTIF($B$2:$B72,B72))</f>
        <v/>
      </c>
    </row>
    <row r="73">
      <c r="A73">
        <f>IF($U73="","",INDEX('Per Line'!$B$2:$B$1501,$U73)&amp;"")</f>
        <v/>
      </c>
      <c r="B73">
        <f>IF($U73="","","COPY "&amp;G73&amp;" %")</f>
        <v/>
      </c>
      <c r="C73" s="15" t="n"/>
      <c r="D73">
        <f>IF($U73="","",INDEX('Per Line'!$C$2:$C$1501,$U73)&amp;"")</f>
        <v/>
      </c>
      <c r="E73">
        <f>IF($U73="","",INDEX('Per Line'!$D$2:$D$1501,$U73)&amp;"")</f>
        <v/>
      </c>
      <c r="F73">
        <f>IF($U73="","",INDEX('Per Line'!$E$2:$E$1501,$U73)&amp;"")</f>
        <v/>
      </c>
      <c r="G73">
        <f>IF($U73="","",INDEX('Per Line'!$F$2:$F$1501,$U73))</f>
        <v/>
      </c>
      <c r="H73" s="7">
        <f>IF($U73="","",G73*S73/100)</f>
        <v/>
      </c>
      <c r="I73" s="14">
        <f>IF($U73="","",INDEX('Per Line'!$R$2:$R$1501,$U73))</f>
        <v/>
      </c>
      <c r="J73">
        <f>IF($U73="","",INDEX('Per Line'!$Q$2:$Q$1501,$U73)&amp;"")</f>
        <v/>
      </c>
      <c r="K73">
        <f>IF($U73="","",Settings!$C$7)</f>
        <v/>
      </c>
      <c r="L73" s="7">
        <f>IF($U73="","",SUMIFS('Per Line'!$L$2:$L$1501,'Per Line'!$B$2:$B$1501,$A73,'Per Line'!$W$2:$W$1501,0))</f>
        <v/>
      </c>
      <c r="M73" s="7">
        <f>IF($U73="","",L73*K73)</f>
        <v/>
      </c>
      <c r="N73">
        <f>IF($U73="","",Settings!$C$6)</f>
        <v/>
      </c>
      <c r="O73" s="7">
        <f>IF($U73="","",SUMIFS('Per Line'!$L$2:$L$1501,'Per Line'!$B$2:$B$1501,$A73,'Per Line'!$W$2:$W$1501,1))</f>
        <v/>
      </c>
      <c r="P73" s="7">
        <f>IF($U73="","",O73*N73)</f>
        <v/>
      </c>
      <c r="Q73" s="7">
        <f>IF($U73="","",P73+M73)</f>
        <v/>
      </c>
      <c r="R73" s="7">
        <f>IF($U73="","",S73-Q73)</f>
        <v/>
      </c>
      <c r="S73" s="7">
        <f>IF($U73="","",L73+O73)</f>
        <v/>
      </c>
      <c r="T73" s="7">
        <f>IF($U73="","",S73-Q73-H73)</f>
        <v/>
      </c>
      <c r="U73" s="16">
        <f>IF(ROWS($U$2:$U73)&lt;=MAX('Per Line'!$V$2:$V$1501),MATCH(ROWS($U$2:$U73),'Per Line'!$V$2:$V$1501,0),"")</f>
        <v/>
      </c>
      <c r="V73">
        <f>IF($U73="","",B73&amp;"|"&amp;COUNTIF($B$2:$B73,B73))</f>
        <v/>
      </c>
    </row>
    <row r="74">
      <c r="A74">
        <f>IF($U74="","",INDEX('Per Line'!$B$2:$B$1501,$U74)&amp;"")</f>
        <v/>
      </c>
      <c r="B74">
        <f>IF($U74="","","COPY "&amp;G74&amp;" %")</f>
        <v/>
      </c>
      <c r="C74" s="15" t="n"/>
      <c r="D74">
        <f>IF($U74="","",INDEX('Per Line'!$C$2:$C$1501,$U74)&amp;"")</f>
        <v/>
      </c>
      <c r="E74">
        <f>IF($U74="","",INDEX('Per Line'!$D$2:$D$1501,$U74)&amp;"")</f>
        <v/>
      </c>
      <c r="F74">
        <f>IF($U74="","",INDEX('Per Line'!$E$2:$E$1501,$U74)&amp;"")</f>
        <v/>
      </c>
      <c r="G74">
        <f>IF($U74="","",INDEX('Per Line'!$F$2:$F$1501,$U74))</f>
        <v/>
      </c>
      <c r="H74" s="7">
        <f>IF($U74="","",G74*S74/100)</f>
        <v/>
      </c>
      <c r="I74" s="14">
        <f>IF($U74="","",INDEX('Per Line'!$R$2:$R$1501,$U74))</f>
        <v/>
      </c>
      <c r="J74">
        <f>IF($U74="","",INDEX('Per Line'!$Q$2:$Q$1501,$U74)&amp;"")</f>
        <v/>
      </c>
      <c r="K74">
        <f>IF($U74="","",Settings!$C$7)</f>
        <v/>
      </c>
      <c r="L74" s="7">
        <f>IF($U74="","",SUMIFS('Per Line'!$L$2:$L$1501,'Per Line'!$B$2:$B$1501,$A74,'Per Line'!$W$2:$W$1501,0))</f>
        <v/>
      </c>
      <c r="M74" s="7">
        <f>IF($U74="","",L74*K74)</f>
        <v/>
      </c>
      <c r="N74">
        <f>IF($U74="","",Settings!$C$6)</f>
        <v/>
      </c>
      <c r="O74" s="7">
        <f>IF($U74="","",SUMIFS('Per Line'!$L$2:$L$1501,'Per Line'!$B$2:$B$1501,$A74,'Per Line'!$W$2:$W$1501,1))</f>
        <v/>
      </c>
      <c r="P74" s="7">
        <f>IF($U74="","",O74*N74)</f>
        <v/>
      </c>
      <c r="Q74" s="7">
        <f>IF($U74="","",P74+M74)</f>
        <v/>
      </c>
      <c r="R74" s="7">
        <f>IF($U74="","",S74-Q74)</f>
        <v/>
      </c>
      <c r="S74" s="7">
        <f>IF($U74="","",L74+O74)</f>
        <v/>
      </c>
      <c r="T74" s="7">
        <f>IF($U74="","",S74-Q74-H74)</f>
        <v/>
      </c>
      <c r="U74" s="16">
        <f>IF(ROWS($U$2:$U74)&lt;=MAX('Per Line'!$V$2:$V$1501),MATCH(ROWS($U$2:$U74),'Per Line'!$V$2:$V$1501,0),"")</f>
        <v/>
      </c>
      <c r="V74">
        <f>IF($U74="","",B74&amp;"|"&amp;COUNTIF($B$2:$B74,B74))</f>
        <v/>
      </c>
    </row>
    <row r="75">
      <c r="A75">
        <f>IF($U75="","",INDEX('Per Line'!$B$2:$B$1501,$U75)&amp;"")</f>
        <v/>
      </c>
      <c r="B75">
        <f>IF($U75="","","COPY "&amp;G75&amp;" %")</f>
        <v/>
      </c>
      <c r="C75" s="15" t="n"/>
      <c r="D75">
        <f>IF($U75="","",INDEX('Per Line'!$C$2:$C$1501,$U75)&amp;"")</f>
        <v/>
      </c>
      <c r="E75">
        <f>IF($U75="","",INDEX('Per Line'!$D$2:$D$1501,$U75)&amp;"")</f>
        <v/>
      </c>
      <c r="F75">
        <f>IF($U75="","",INDEX('Per Line'!$E$2:$E$1501,$U75)&amp;"")</f>
        <v/>
      </c>
      <c r="G75">
        <f>IF($U75="","",INDEX('Per Line'!$F$2:$F$1501,$U75))</f>
        <v/>
      </c>
      <c r="H75" s="7">
        <f>IF($U75="","",G75*S75/100)</f>
        <v/>
      </c>
      <c r="I75" s="14">
        <f>IF($U75="","",INDEX('Per Line'!$R$2:$R$1501,$U75))</f>
        <v/>
      </c>
      <c r="J75">
        <f>IF($U75="","",INDEX('Per Line'!$Q$2:$Q$1501,$U75)&amp;"")</f>
        <v/>
      </c>
      <c r="K75">
        <f>IF($U75="","",Settings!$C$7)</f>
        <v/>
      </c>
      <c r="L75" s="7">
        <f>IF($U75="","",SUMIFS('Per Line'!$L$2:$L$1501,'Per Line'!$B$2:$B$1501,$A75,'Per Line'!$W$2:$W$1501,0))</f>
        <v/>
      </c>
      <c r="M75" s="7">
        <f>IF($U75="","",L75*K75)</f>
        <v/>
      </c>
      <c r="N75">
        <f>IF($U75="","",Settings!$C$6)</f>
        <v/>
      </c>
      <c r="O75" s="7">
        <f>IF($U75="","",SUMIFS('Per Line'!$L$2:$L$1501,'Per Line'!$B$2:$B$1501,$A75,'Per Line'!$W$2:$W$1501,1))</f>
        <v/>
      </c>
      <c r="P75" s="7">
        <f>IF($U75="","",O75*N75)</f>
        <v/>
      </c>
      <c r="Q75" s="7">
        <f>IF($U75="","",P75+M75)</f>
        <v/>
      </c>
      <c r="R75" s="7">
        <f>IF($U75="","",S75-Q75)</f>
        <v/>
      </c>
      <c r="S75" s="7">
        <f>IF($U75="","",L75+O75)</f>
        <v/>
      </c>
      <c r="T75" s="7">
        <f>IF($U75="","",S75-Q75-H75)</f>
        <v/>
      </c>
      <c r="U75" s="16">
        <f>IF(ROWS($U$2:$U75)&lt;=MAX('Per Line'!$V$2:$V$1501),MATCH(ROWS($U$2:$U75),'Per Line'!$V$2:$V$1501,0),"")</f>
        <v/>
      </c>
      <c r="V75">
        <f>IF($U75="","",B75&amp;"|"&amp;COUNTIF($B$2:$B75,B75))</f>
        <v/>
      </c>
    </row>
    <row r="76">
      <c r="A76">
        <f>IF($U76="","",INDEX('Per Line'!$B$2:$B$1501,$U76)&amp;"")</f>
        <v/>
      </c>
      <c r="B76">
        <f>IF($U76="","","COPY "&amp;G76&amp;" %")</f>
        <v/>
      </c>
      <c r="C76" s="15" t="n"/>
      <c r="D76">
        <f>IF($U76="","",INDEX('Per Line'!$C$2:$C$1501,$U76)&amp;"")</f>
        <v/>
      </c>
      <c r="E76">
        <f>IF($U76="","",INDEX('Per Line'!$D$2:$D$1501,$U76)&amp;"")</f>
        <v/>
      </c>
      <c r="F76">
        <f>IF($U76="","",INDEX('Per Line'!$E$2:$E$1501,$U76)&amp;"")</f>
        <v/>
      </c>
      <c r="G76">
        <f>IF($U76="","",INDEX('Per Line'!$F$2:$F$1501,$U76))</f>
        <v/>
      </c>
      <c r="H76" s="7">
        <f>IF($U76="","",G76*S76/100)</f>
        <v/>
      </c>
      <c r="I76" s="14">
        <f>IF($U76="","",INDEX('Per Line'!$R$2:$R$1501,$U76))</f>
        <v/>
      </c>
      <c r="J76">
        <f>IF($U76="","",INDEX('Per Line'!$Q$2:$Q$1501,$U76)&amp;"")</f>
        <v/>
      </c>
      <c r="K76">
        <f>IF($U76="","",Settings!$C$7)</f>
        <v/>
      </c>
      <c r="L76" s="7">
        <f>IF($U76="","",SUMIFS('Per Line'!$L$2:$L$1501,'Per Line'!$B$2:$B$1501,$A76,'Per Line'!$W$2:$W$1501,0))</f>
        <v/>
      </c>
      <c r="M76" s="7">
        <f>IF($U76="","",L76*K76)</f>
        <v/>
      </c>
      <c r="N76">
        <f>IF($U76="","",Settings!$C$6)</f>
        <v/>
      </c>
      <c r="O76" s="7">
        <f>IF($U76="","",SUMIFS('Per Line'!$L$2:$L$1501,'Per Line'!$B$2:$B$1501,$A76,'Per Line'!$W$2:$W$1501,1))</f>
        <v/>
      </c>
      <c r="P76" s="7">
        <f>IF($U76="","",O76*N76)</f>
        <v/>
      </c>
      <c r="Q76" s="7">
        <f>IF($U76="","",P76+M76)</f>
        <v/>
      </c>
      <c r="R76" s="7">
        <f>IF($U76="","",S76-Q76)</f>
        <v/>
      </c>
      <c r="S76" s="7">
        <f>IF($U76="","",L76+O76)</f>
        <v/>
      </c>
      <c r="T76" s="7">
        <f>IF($U76="","",S76-Q76-H76)</f>
        <v/>
      </c>
      <c r="U76" s="16">
        <f>IF(ROWS($U$2:$U76)&lt;=MAX('Per Line'!$V$2:$V$1501),MATCH(ROWS($U$2:$U76),'Per Line'!$V$2:$V$1501,0),"")</f>
        <v/>
      </c>
      <c r="V76">
        <f>IF($U76="","",B76&amp;"|"&amp;COUNTIF($B$2:$B76,B76))</f>
        <v/>
      </c>
    </row>
    <row r="77">
      <c r="A77">
        <f>IF($U77="","",INDEX('Per Line'!$B$2:$B$1501,$U77)&amp;"")</f>
        <v/>
      </c>
      <c r="B77">
        <f>IF($U77="","","COPY "&amp;G77&amp;" %")</f>
        <v/>
      </c>
      <c r="C77" s="15" t="n"/>
      <c r="D77">
        <f>IF($U77="","",INDEX('Per Line'!$C$2:$C$1501,$U77)&amp;"")</f>
        <v/>
      </c>
      <c r="E77">
        <f>IF($U77="","",INDEX('Per Line'!$D$2:$D$1501,$U77)&amp;"")</f>
        <v/>
      </c>
      <c r="F77">
        <f>IF($U77="","",INDEX('Per Line'!$E$2:$E$1501,$U77)&amp;"")</f>
        <v/>
      </c>
      <c r="G77">
        <f>IF($U77="","",INDEX('Per Line'!$F$2:$F$1501,$U77))</f>
        <v/>
      </c>
      <c r="H77" s="7">
        <f>IF($U77="","",G77*S77/100)</f>
        <v/>
      </c>
      <c r="I77" s="14">
        <f>IF($U77="","",INDEX('Per Line'!$R$2:$R$1501,$U77))</f>
        <v/>
      </c>
      <c r="J77">
        <f>IF($U77="","",INDEX('Per Line'!$Q$2:$Q$1501,$U77)&amp;"")</f>
        <v/>
      </c>
      <c r="K77">
        <f>IF($U77="","",Settings!$C$7)</f>
        <v/>
      </c>
      <c r="L77" s="7">
        <f>IF($U77="","",SUMIFS('Per Line'!$L$2:$L$1501,'Per Line'!$B$2:$B$1501,$A77,'Per Line'!$W$2:$W$1501,0))</f>
        <v/>
      </c>
      <c r="M77" s="7">
        <f>IF($U77="","",L77*K77)</f>
        <v/>
      </c>
      <c r="N77">
        <f>IF($U77="","",Settings!$C$6)</f>
        <v/>
      </c>
      <c r="O77" s="7">
        <f>IF($U77="","",SUMIFS('Per Line'!$L$2:$L$1501,'Per Line'!$B$2:$B$1501,$A77,'Per Line'!$W$2:$W$1501,1))</f>
        <v/>
      </c>
      <c r="P77" s="7">
        <f>IF($U77="","",O77*N77)</f>
        <v/>
      </c>
      <c r="Q77" s="7">
        <f>IF($U77="","",P77+M77)</f>
        <v/>
      </c>
      <c r="R77" s="7">
        <f>IF($U77="","",S77-Q77)</f>
        <v/>
      </c>
      <c r="S77" s="7">
        <f>IF($U77="","",L77+O77)</f>
        <v/>
      </c>
      <c r="T77" s="7">
        <f>IF($U77="","",S77-Q77-H77)</f>
        <v/>
      </c>
      <c r="U77" s="16">
        <f>IF(ROWS($U$2:$U77)&lt;=MAX('Per Line'!$V$2:$V$1501),MATCH(ROWS($U$2:$U77),'Per Line'!$V$2:$V$1501,0),"")</f>
        <v/>
      </c>
      <c r="V77">
        <f>IF($U77="","",B77&amp;"|"&amp;COUNTIF($B$2:$B77,B77))</f>
        <v/>
      </c>
    </row>
    <row r="78">
      <c r="A78">
        <f>IF($U78="","",INDEX('Per Line'!$B$2:$B$1501,$U78)&amp;"")</f>
        <v/>
      </c>
      <c r="B78">
        <f>IF($U78="","","COPY "&amp;G78&amp;" %")</f>
        <v/>
      </c>
      <c r="C78" s="15" t="n"/>
      <c r="D78">
        <f>IF($U78="","",INDEX('Per Line'!$C$2:$C$1501,$U78)&amp;"")</f>
        <v/>
      </c>
      <c r="E78">
        <f>IF($U78="","",INDEX('Per Line'!$D$2:$D$1501,$U78)&amp;"")</f>
        <v/>
      </c>
      <c r="F78">
        <f>IF($U78="","",INDEX('Per Line'!$E$2:$E$1501,$U78)&amp;"")</f>
        <v/>
      </c>
      <c r="G78">
        <f>IF($U78="","",INDEX('Per Line'!$F$2:$F$1501,$U78))</f>
        <v/>
      </c>
      <c r="H78" s="7">
        <f>IF($U78="","",G78*S78/100)</f>
        <v/>
      </c>
      <c r="I78" s="14">
        <f>IF($U78="","",INDEX('Per Line'!$R$2:$R$1501,$U78))</f>
        <v/>
      </c>
      <c r="J78">
        <f>IF($U78="","",INDEX('Per Line'!$Q$2:$Q$1501,$U78)&amp;"")</f>
        <v/>
      </c>
      <c r="K78">
        <f>IF($U78="","",Settings!$C$7)</f>
        <v/>
      </c>
      <c r="L78" s="7">
        <f>IF($U78="","",SUMIFS('Per Line'!$L$2:$L$1501,'Per Line'!$B$2:$B$1501,$A78,'Per Line'!$W$2:$W$1501,0))</f>
        <v/>
      </c>
      <c r="M78" s="7">
        <f>IF($U78="","",L78*K78)</f>
        <v/>
      </c>
      <c r="N78">
        <f>IF($U78="","",Settings!$C$6)</f>
        <v/>
      </c>
      <c r="O78" s="7">
        <f>IF($U78="","",SUMIFS('Per Line'!$L$2:$L$1501,'Per Line'!$B$2:$B$1501,$A78,'Per Line'!$W$2:$W$1501,1))</f>
        <v/>
      </c>
      <c r="P78" s="7">
        <f>IF($U78="","",O78*N78)</f>
        <v/>
      </c>
      <c r="Q78" s="7">
        <f>IF($U78="","",P78+M78)</f>
        <v/>
      </c>
      <c r="R78" s="7">
        <f>IF($U78="","",S78-Q78)</f>
        <v/>
      </c>
      <c r="S78" s="7">
        <f>IF($U78="","",L78+O78)</f>
        <v/>
      </c>
      <c r="T78" s="7">
        <f>IF($U78="","",S78-Q78-H78)</f>
        <v/>
      </c>
      <c r="U78" s="16">
        <f>IF(ROWS($U$2:$U78)&lt;=MAX('Per Line'!$V$2:$V$1501),MATCH(ROWS($U$2:$U78),'Per Line'!$V$2:$V$1501,0),"")</f>
        <v/>
      </c>
      <c r="V78">
        <f>IF($U78="","",B78&amp;"|"&amp;COUNTIF($B$2:$B78,B78))</f>
        <v/>
      </c>
    </row>
    <row r="79">
      <c r="A79">
        <f>IF($U79="","",INDEX('Per Line'!$B$2:$B$1501,$U79)&amp;"")</f>
        <v/>
      </c>
      <c r="B79">
        <f>IF($U79="","","COPY "&amp;G79&amp;" %")</f>
        <v/>
      </c>
      <c r="C79" s="15" t="n"/>
      <c r="D79">
        <f>IF($U79="","",INDEX('Per Line'!$C$2:$C$1501,$U79)&amp;"")</f>
        <v/>
      </c>
      <c r="E79">
        <f>IF($U79="","",INDEX('Per Line'!$D$2:$D$1501,$U79)&amp;"")</f>
        <v/>
      </c>
      <c r="F79">
        <f>IF($U79="","",INDEX('Per Line'!$E$2:$E$1501,$U79)&amp;"")</f>
        <v/>
      </c>
      <c r="G79">
        <f>IF($U79="","",INDEX('Per Line'!$F$2:$F$1501,$U79))</f>
        <v/>
      </c>
      <c r="H79" s="7">
        <f>IF($U79="","",G79*S79/100)</f>
        <v/>
      </c>
      <c r="I79" s="14">
        <f>IF($U79="","",INDEX('Per Line'!$R$2:$R$1501,$U79))</f>
        <v/>
      </c>
      <c r="J79">
        <f>IF($U79="","",INDEX('Per Line'!$Q$2:$Q$1501,$U79)&amp;"")</f>
        <v/>
      </c>
      <c r="K79">
        <f>IF($U79="","",Settings!$C$7)</f>
        <v/>
      </c>
      <c r="L79" s="7">
        <f>IF($U79="","",SUMIFS('Per Line'!$L$2:$L$1501,'Per Line'!$B$2:$B$1501,$A79,'Per Line'!$W$2:$W$1501,0))</f>
        <v/>
      </c>
      <c r="M79" s="7">
        <f>IF($U79="","",L79*K79)</f>
        <v/>
      </c>
      <c r="N79">
        <f>IF($U79="","",Settings!$C$6)</f>
        <v/>
      </c>
      <c r="O79" s="7">
        <f>IF($U79="","",SUMIFS('Per Line'!$L$2:$L$1501,'Per Line'!$B$2:$B$1501,$A79,'Per Line'!$W$2:$W$1501,1))</f>
        <v/>
      </c>
      <c r="P79" s="7">
        <f>IF($U79="","",O79*N79)</f>
        <v/>
      </c>
      <c r="Q79" s="7">
        <f>IF($U79="","",P79+M79)</f>
        <v/>
      </c>
      <c r="R79" s="7">
        <f>IF($U79="","",S79-Q79)</f>
        <v/>
      </c>
      <c r="S79" s="7">
        <f>IF($U79="","",L79+O79)</f>
        <v/>
      </c>
      <c r="T79" s="7">
        <f>IF($U79="","",S79-Q79-H79)</f>
        <v/>
      </c>
      <c r="U79" s="16">
        <f>IF(ROWS($U$2:$U79)&lt;=MAX('Per Line'!$V$2:$V$1501),MATCH(ROWS($U$2:$U79),'Per Line'!$V$2:$V$1501,0),"")</f>
        <v/>
      </c>
      <c r="V79">
        <f>IF($U79="","",B79&amp;"|"&amp;COUNTIF($B$2:$B79,B79))</f>
        <v/>
      </c>
    </row>
    <row r="80">
      <c r="A80">
        <f>IF($U80="","",INDEX('Per Line'!$B$2:$B$1501,$U80)&amp;"")</f>
        <v/>
      </c>
      <c r="B80">
        <f>IF($U80="","","COPY "&amp;G80&amp;" %")</f>
        <v/>
      </c>
      <c r="C80" s="15" t="n"/>
      <c r="D80">
        <f>IF($U80="","",INDEX('Per Line'!$C$2:$C$1501,$U80)&amp;"")</f>
        <v/>
      </c>
      <c r="E80">
        <f>IF($U80="","",INDEX('Per Line'!$D$2:$D$1501,$U80)&amp;"")</f>
        <v/>
      </c>
      <c r="F80">
        <f>IF($U80="","",INDEX('Per Line'!$E$2:$E$1501,$U80)&amp;"")</f>
        <v/>
      </c>
      <c r="G80">
        <f>IF($U80="","",INDEX('Per Line'!$F$2:$F$1501,$U80))</f>
        <v/>
      </c>
      <c r="H80" s="7">
        <f>IF($U80="","",G80*S80/100)</f>
        <v/>
      </c>
      <c r="I80" s="14">
        <f>IF($U80="","",INDEX('Per Line'!$R$2:$R$1501,$U80))</f>
        <v/>
      </c>
      <c r="J80">
        <f>IF($U80="","",INDEX('Per Line'!$Q$2:$Q$1501,$U80)&amp;"")</f>
        <v/>
      </c>
      <c r="K80">
        <f>IF($U80="","",Settings!$C$7)</f>
        <v/>
      </c>
      <c r="L80" s="7">
        <f>IF($U80="","",SUMIFS('Per Line'!$L$2:$L$1501,'Per Line'!$B$2:$B$1501,$A80,'Per Line'!$W$2:$W$1501,0))</f>
        <v/>
      </c>
      <c r="M80" s="7">
        <f>IF($U80="","",L80*K80)</f>
        <v/>
      </c>
      <c r="N80">
        <f>IF($U80="","",Settings!$C$6)</f>
        <v/>
      </c>
      <c r="O80" s="7">
        <f>IF($U80="","",SUMIFS('Per Line'!$L$2:$L$1501,'Per Line'!$B$2:$B$1501,$A80,'Per Line'!$W$2:$W$1501,1))</f>
        <v/>
      </c>
      <c r="P80" s="7">
        <f>IF($U80="","",O80*N80)</f>
        <v/>
      </c>
      <c r="Q80" s="7">
        <f>IF($U80="","",P80+M80)</f>
        <v/>
      </c>
      <c r="R80" s="7">
        <f>IF($U80="","",S80-Q80)</f>
        <v/>
      </c>
      <c r="S80" s="7">
        <f>IF($U80="","",L80+O80)</f>
        <v/>
      </c>
      <c r="T80" s="7">
        <f>IF($U80="","",S80-Q80-H80)</f>
        <v/>
      </c>
      <c r="U80" s="16">
        <f>IF(ROWS($U$2:$U80)&lt;=MAX('Per Line'!$V$2:$V$1501),MATCH(ROWS($U$2:$U80),'Per Line'!$V$2:$V$1501,0),"")</f>
        <v/>
      </c>
      <c r="V80">
        <f>IF($U80="","",B80&amp;"|"&amp;COUNTIF($B$2:$B80,B80))</f>
        <v/>
      </c>
    </row>
    <row r="81">
      <c r="A81">
        <f>IF($U81="","",INDEX('Per Line'!$B$2:$B$1501,$U81)&amp;"")</f>
        <v/>
      </c>
      <c r="B81">
        <f>IF($U81="","","COPY "&amp;G81&amp;" %")</f>
        <v/>
      </c>
      <c r="C81" s="15" t="n"/>
      <c r="D81">
        <f>IF($U81="","",INDEX('Per Line'!$C$2:$C$1501,$U81)&amp;"")</f>
        <v/>
      </c>
      <c r="E81">
        <f>IF($U81="","",INDEX('Per Line'!$D$2:$D$1501,$U81)&amp;"")</f>
        <v/>
      </c>
      <c r="F81">
        <f>IF($U81="","",INDEX('Per Line'!$E$2:$E$1501,$U81)&amp;"")</f>
        <v/>
      </c>
      <c r="G81">
        <f>IF($U81="","",INDEX('Per Line'!$F$2:$F$1501,$U81))</f>
        <v/>
      </c>
      <c r="H81" s="7">
        <f>IF($U81="","",G81*S81/100)</f>
        <v/>
      </c>
      <c r="I81" s="14">
        <f>IF($U81="","",INDEX('Per Line'!$R$2:$R$1501,$U81))</f>
        <v/>
      </c>
      <c r="J81">
        <f>IF($U81="","",INDEX('Per Line'!$Q$2:$Q$1501,$U81)&amp;"")</f>
        <v/>
      </c>
      <c r="K81">
        <f>IF($U81="","",Settings!$C$7)</f>
        <v/>
      </c>
      <c r="L81" s="7">
        <f>IF($U81="","",SUMIFS('Per Line'!$L$2:$L$1501,'Per Line'!$B$2:$B$1501,$A81,'Per Line'!$W$2:$W$1501,0))</f>
        <v/>
      </c>
      <c r="M81" s="7">
        <f>IF($U81="","",L81*K81)</f>
        <v/>
      </c>
      <c r="N81">
        <f>IF($U81="","",Settings!$C$6)</f>
        <v/>
      </c>
      <c r="O81" s="7">
        <f>IF($U81="","",SUMIFS('Per Line'!$L$2:$L$1501,'Per Line'!$B$2:$B$1501,$A81,'Per Line'!$W$2:$W$1501,1))</f>
        <v/>
      </c>
      <c r="P81" s="7">
        <f>IF($U81="","",O81*N81)</f>
        <v/>
      </c>
      <c r="Q81" s="7">
        <f>IF($U81="","",P81+M81)</f>
        <v/>
      </c>
      <c r="R81" s="7">
        <f>IF($U81="","",S81-Q81)</f>
        <v/>
      </c>
      <c r="S81" s="7">
        <f>IF($U81="","",L81+O81)</f>
        <v/>
      </c>
      <c r="T81" s="7">
        <f>IF($U81="","",S81-Q81-H81)</f>
        <v/>
      </c>
      <c r="U81" s="16">
        <f>IF(ROWS($U$2:$U81)&lt;=MAX('Per Line'!$V$2:$V$1501),MATCH(ROWS($U$2:$U81),'Per Line'!$V$2:$V$1501,0),"")</f>
        <v/>
      </c>
      <c r="V81">
        <f>IF($U81="","",B81&amp;"|"&amp;COUNTIF($B$2:$B81,B81))</f>
        <v/>
      </c>
    </row>
    <row r="82">
      <c r="A82">
        <f>IF($U82="","",INDEX('Per Line'!$B$2:$B$1501,$U82)&amp;"")</f>
        <v/>
      </c>
      <c r="B82">
        <f>IF($U82="","","COPY "&amp;G82&amp;" %")</f>
        <v/>
      </c>
      <c r="C82" s="15" t="n"/>
      <c r="D82">
        <f>IF($U82="","",INDEX('Per Line'!$C$2:$C$1501,$U82)&amp;"")</f>
        <v/>
      </c>
      <c r="E82">
        <f>IF($U82="","",INDEX('Per Line'!$D$2:$D$1501,$U82)&amp;"")</f>
        <v/>
      </c>
      <c r="F82">
        <f>IF($U82="","",INDEX('Per Line'!$E$2:$E$1501,$U82)&amp;"")</f>
        <v/>
      </c>
      <c r="G82">
        <f>IF($U82="","",INDEX('Per Line'!$F$2:$F$1501,$U82))</f>
        <v/>
      </c>
      <c r="H82" s="7">
        <f>IF($U82="","",G82*S82/100)</f>
        <v/>
      </c>
      <c r="I82" s="14">
        <f>IF($U82="","",INDEX('Per Line'!$R$2:$R$1501,$U82))</f>
        <v/>
      </c>
      <c r="J82">
        <f>IF($U82="","",INDEX('Per Line'!$Q$2:$Q$1501,$U82)&amp;"")</f>
        <v/>
      </c>
      <c r="K82">
        <f>IF($U82="","",Settings!$C$7)</f>
        <v/>
      </c>
      <c r="L82" s="7">
        <f>IF($U82="","",SUMIFS('Per Line'!$L$2:$L$1501,'Per Line'!$B$2:$B$1501,$A82,'Per Line'!$W$2:$W$1501,0))</f>
        <v/>
      </c>
      <c r="M82" s="7">
        <f>IF($U82="","",L82*K82)</f>
        <v/>
      </c>
      <c r="N82">
        <f>IF($U82="","",Settings!$C$6)</f>
        <v/>
      </c>
      <c r="O82" s="7">
        <f>IF($U82="","",SUMIFS('Per Line'!$L$2:$L$1501,'Per Line'!$B$2:$B$1501,$A82,'Per Line'!$W$2:$W$1501,1))</f>
        <v/>
      </c>
      <c r="P82" s="7">
        <f>IF($U82="","",O82*N82)</f>
        <v/>
      </c>
      <c r="Q82" s="7">
        <f>IF($U82="","",P82+M82)</f>
        <v/>
      </c>
      <c r="R82" s="7">
        <f>IF($U82="","",S82-Q82)</f>
        <v/>
      </c>
      <c r="S82" s="7">
        <f>IF($U82="","",L82+O82)</f>
        <v/>
      </c>
      <c r="T82" s="7">
        <f>IF($U82="","",S82-Q82-H82)</f>
        <v/>
      </c>
      <c r="U82" s="16">
        <f>IF(ROWS($U$2:$U82)&lt;=MAX('Per Line'!$V$2:$V$1501),MATCH(ROWS($U$2:$U82),'Per Line'!$V$2:$V$1501,0),"")</f>
        <v/>
      </c>
      <c r="V82">
        <f>IF($U82="","",B82&amp;"|"&amp;COUNTIF($B$2:$B82,B82))</f>
        <v/>
      </c>
    </row>
    <row r="83">
      <c r="A83">
        <f>IF($U83="","",INDEX('Per Line'!$B$2:$B$1501,$U83)&amp;"")</f>
        <v/>
      </c>
      <c r="B83">
        <f>IF($U83="","","COPY "&amp;G83&amp;" %")</f>
        <v/>
      </c>
      <c r="C83" s="15" t="n"/>
      <c r="D83">
        <f>IF($U83="","",INDEX('Per Line'!$C$2:$C$1501,$U83)&amp;"")</f>
        <v/>
      </c>
      <c r="E83">
        <f>IF($U83="","",INDEX('Per Line'!$D$2:$D$1501,$U83)&amp;"")</f>
        <v/>
      </c>
      <c r="F83">
        <f>IF($U83="","",INDEX('Per Line'!$E$2:$E$1501,$U83)&amp;"")</f>
        <v/>
      </c>
      <c r="G83">
        <f>IF($U83="","",INDEX('Per Line'!$F$2:$F$1501,$U83))</f>
        <v/>
      </c>
      <c r="H83" s="7">
        <f>IF($U83="","",G83*S83/100)</f>
        <v/>
      </c>
      <c r="I83" s="14">
        <f>IF($U83="","",INDEX('Per Line'!$R$2:$R$1501,$U83))</f>
        <v/>
      </c>
      <c r="J83">
        <f>IF($U83="","",INDEX('Per Line'!$Q$2:$Q$1501,$U83)&amp;"")</f>
        <v/>
      </c>
      <c r="K83">
        <f>IF($U83="","",Settings!$C$7)</f>
        <v/>
      </c>
      <c r="L83" s="7">
        <f>IF($U83="","",SUMIFS('Per Line'!$L$2:$L$1501,'Per Line'!$B$2:$B$1501,$A83,'Per Line'!$W$2:$W$1501,0))</f>
        <v/>
      </c>
      <c r="M83" s="7">
        <f>IF($U83="","",L83*K83)</f>
        <v/>
      </c>
      <c r="N83">
        <f>IF($U83="","",Settings!$C$6)</f>
        <v/>
      </c>
      <c r="O83" s="7">
        <f>IF($U83="","",SUMIFS('Per Line'!$L$2:$L$1501,'Per Line'!$B$2:$B$1501,$A83,'Per Line'!$W$2:$W$1501,1))</f>
        <v/>
      </c>
      <c r="P83" s="7">
        <f>IF($U83="","",O83*N83)</f>
        <v/>
      </c>
      <c r="Q83" s="7">
        <f>IF($U83="","",P83+M83)</f>
        <v/>
      </c>
      <c r="R83" s="7">
        <f>IF($U83="","",S83-Q83)</f>
        <v/>
      </c>
      <c r="S83" s="7">
        <f>IF($U83="","",L83+O83)</f>
        <v/>
      </c>
      <c r="T83" s="7">
        <f>IF($U83="","",S83-Q83-H83)</f>
        <v/>
      </c>
      <c r="U83" s="16">
        <f>IF(ROWS($U$2:$U83)&lt;=MAX('Per Line'!$V$2:$V$1501),MATCH(ROWS($U$2:$U83),'Per Line'!$V$2:$V$1501,0),"")</f>
        <v/>
      </c>
      <c r="V83">
        <f>IF($U83="","",B83&amp;"|"&amp;COUNTIF($B$2:$B83,B83))</f>
        <v/>
      </c>
    </row>
    <row r="84">
      <c r="A84">
        <f>IF($U84="","",INDEX('Per Line'!$B$2:$B$1501,$U84)&amp;"")</f>
        <v/>
      </c>
      <c r="B84">
        <f>IF($U84="","","COPY "&amp;G84&amp;" %")</f>
        <v/>
      </c>
      <c r="C84" s="15" t="n"/>
      <c r="D84">
        <f>IF($U84="","",INDEX('Per Line'!$C$2:$C$1501,$U84)&amp;"")</f>
        <v/>
      </c>
      <c r="E84">
        <f>IF($U84="","",INDEX('Per Line'!$D$2:$D$1501,$U84)&amp;"")</f>
        <v/>
      </c>
      <c r="F84">
        <f>IF($U84="","",INDEX('Per Line'!$E$2:$E$1501,$U84)&amp;"")</f>
        <v/>
      </c>
      <c r="G84">
        <f>IF($U84="","",INDEX('Per Line'!$F$2:$F$1501,$U84))</f>
        <v/>
      </c>
      <c r="H84" s="7">
        <f>IF($U84="","",G84*S84/100)</f>
        <v/>
      </c>
      <c r="I84" s="14">
        <f>IF($U84="","",INDEX('Per Line'!$R$2:$R$1501,$U84))</f>
        <v/>
      </c>
      <c r="J84">
        <f>IF($U84="","",INDEX('Per Line'!$Q$2:$Q$1501,$U84)&amp;"")</f>
        <v/>
      </c>
      <c r="K84">
        <f>IF($U84="","",Settings!$C$7)</f>
        <v/>
      </c>
      <c r="L84" s="7">
        <f>IF($U84="","",SUMIFS('Per Line'!$L$2:$L$1501,'Per Line'!$B$2:$B$1501,$A84,'Per Line'!$W$2:$W$1501,0))</f>
        <v/>
      </c>
      <c r="M84" s="7">
        <f>IF($U84="","",L84*K84)</f>
        <v/>
      </c>
      <c r="N84">
        <f>IF($U84="","",Settings!$C$6)</f>
        <v/>
      </c>
      <c r="O84" s="7">
        <f>IF($U84="","",SUMIFS('Per Line'!$L$2:$L$1501,'Per Line'!$B$2:$B$1501,$A84,'Per Line'!$W$2:$W$1501,1))</f>
        <v/>
      </c>
      <c r="P84" s="7">
        <f>IF($U84="","",O84*N84)</f>
        <v/>
      </c>
      <c r="Q84" s="7">
        <f>IF($U84="","",P84+M84)</f>
        <v/>
      </c>
      <c r="R84" s="7">
        <f>IF($U84="","",S84-Q84)</f>
        <v/>
      </c>
      <c r="S84" s="7">
        <f>IF($U84="","",L84+O84)</f>
        <v/>
      </c>
      <c r="T84" s="7">
        <f>IF($U84="","",S84-Q84-H84)</f>
        <v/>
      </c>
      <c r="U84" s="16">
        <f>IF(ROWS($U$2:$U84)&lt;=MAX('Per Line'!$V$2:$V$1501),MATCH(ROWS($U$2:$U84),'Per Line'!$V$2:$V$1501,0),"")</f>
        <v/>
      </c>
      <c r="V84">
        <f>IF($U84="","",B84&amp;"|"&amp;COUNTIF($B$2:$B84,B84))</f>
        <v/>
      </c>
    </row>
    <row r="85">
      <c r="A85">
        <f>IF($U85="","",INDEX('Per Line'!$B$2:$B$1501,$U85)&amp;"")</f>
        <v/>
      </c>
      <c r="B85">
        <f>IF($U85="","","COPY "&amp;G85&amp;" %")</f>
        <v/>
      </c>
      <c r="C85" s="15" t="n"/>
      <c r="D85">
        <f>IF($U85="","",INDEX('Per Line'!$C$2:$C$1501,$U85)&amp;"")</f>
        <v/>
      </c>
      <c r="E85">
        <f>IF($U85="","",INDEX('Per Line'!$D$2:$D$1501,$U85)&amp;"")</f>
        <v/>
      </c>
      <c r="F85">
        <f>IF($U85="","",INDEX('Per Line'!$E$2:$E$1501,$U85)&amp;"")</f>
        <v/>
      </c>
      <c r="G85">
        <f>IF($U85="","",INDEX('Per Line'!$F$2:$F$1501,$U85))</f>
        <v/>
      </c>
      <c r="H85" s="7">
        <f>IF($U85="","",G85*S85/100)</f>
        <v/>
      </c>
      <c r="I85" s="14">
        <f>IF($U85="","",INDEX('Per Line'!$R$2:$R$1501,$U85))</f>
        <v/>
      </c>
      <c r="J85">
        <f>IF($U85="","",INDEX('Per Line'!$Q$2:$Q$1501,$U85)&amp;"")</f>
        <v/>
      </c>
      <c r="K85">
        <f>IF($U85="","",Settings!$C$7)</f>
        <v/>
      </c>
      <c r="L85" s="7">
        <f>IF($U85="","",SUMIFS('Per Line'!$L$2:$L$1501,'Per Line'!$B$2:$B$1501,$A85,'Per Line'!$W$2:$W$1501,0))</f>
        <v/>
      </c>
      <c r="M85" s="7">
        <f>IF($U85="","",L85*K85)</f>
        <v/>
      </c>
      <c r="N85">
        <f>IF($U85="","",Settings!$C$6)</f>
        <v/>
      </c>
      <c r="O85" s="7">
        <f>IF($U85="","",SUMIFS('Per Line'!$L$2:$L$1501,'Per Line'!$B$2:$B$1501,$A85,'Per Line'!$W$2:$W$1501,1))</f>
        <v/>
      </c>
      <c r="P85" s="7">
        <f>IF($U85="","",O85*N85)</f>
        <v/>
      </c>
      <c r="Q85" s="7">
        <f>IF($U85="","",P85+M85)</f>
        <v/>
      </c>
      <c r="R85" s="7">
        <f>IF($U85="","",S85-Q85)</f>
        <v/>
      </c>
      <c r="S85" s="7">
        <f>IF($U85="","",L85+O85)</f>
        <v/>
      </c>
      <c r="T85" s="7">
        <f>IF($U85="","",S85-Q85-H85)</f>
        <v/>
      </c>
      <c r="U85" s="16">
        <f>IF(ROWS($U$2:$U85)&lt;=MAX('Per Line'!$V$2:$V$1501),MATCH(ROWS($U$2:$U85),'Per Line'!$V$2:$V$1501,0),"")</f>
        <v/>
      </c>
      <c r="V85">
        <f>IF($U85="","",B85&amp;"|"&amp;COUNTIF($B$2:$B85,B85))</f>
        <v/>
      </c>
    </row>
    <row r="86">
      <c r="A86">
        <f>IF($U86="","",INDEX('Per Line'!$B$2:$B$1501,$U86)&amp;"")</f>
        <v/>
      </c>
      <c r="B86">
        <f>IF($U86="","","COPY "&amp;G86&amp;" %")</f>
        <v/>
      </c>
      <c r="C86" s="15" t="n"/>
      <c r="D86">
        <f>IF($U86="","",INDEX('Per Line'!$C$2:$C$1501,$U86)&amp;"")</f>
        <v/>
      </c>
      <c r="E86">
        <f>IF($U86="","",INDEX('Per Line'!$D$2:$D$1501,$U86)&amp;"")</f>
        <v/>
      </c>
      <c r="F86">
        <f>IF($U86="","",INDEX('Per Line'!$E$2:$E$1501,$U86)&amp;"")</f>
        <v/>
      </c>
      <c r="G86">
        <f>IF($U86="","",INDEX('Per Line'!$F$2:$F$1501,$U86))</f>
        <v/>
      </c>
      <c r="H86" s="7">
        <f>IF($U86="","",G86*S86/100)</f>
        <v/>
      </c>
      <c r="I86" s="14">
        <f>IF($U86="","",INDEX('Per Line'!$R$2:$R$1501,$U86))</f>
        <v/>
      </c>
      <c r="J86">
        <f>IF($U86="","",INDEX('Per Line'!$Q$2:$Q$1501,$U86)&amp;"")</f>
        <v/>
      </c>
      <c r="K86">
        <f>IF($U86="","",Settings!$C$7)</f>
        <v/>
      </c>
      <c r="L86" s="7">
        <f>IF($U86="","",SUMIFS('Per Line'!$L$2:$L$1501,'Per Line'!$B$2:$B$1501,$A86,'Per Line'!$W$2:$W$1501,0))</f>
        <v/>
      </c>
      <c r="M86" s="7">
        <f>IF($U86="","",L86*K86)</f>
        <v/>
      </c>
      <c r="N86">
        <f>IF($U86="","",Settings!$C$6)</f>
        <v/>
      </c>
      <c r="O86" s="7">
        <f>IF($U86="","",SUMIFS('Per Line'!$L$2:$L$1501,'Per Line'!$B$2:$B$1501,$A86,'Per Line'!$W$2:$W$1501,1))</f>
        <v/>
      </c>
      <c r="P86" s="7">
        <f>IF($U86="","",O86*N86)</f>
        <v/>
      </c>
      <c r="Q86" s="7">
        <f>IF($U86="","",P86+M86)</f>
        <v/>
      </c>
      <c r="R86" s="7">
        <f>IF($U86="","",S86-Q86)</f>
        <v/>
      </c>
      <c r="S86" s="7">
        <f>IF($U86="","",L86+O86)</f>
        <v/>
      </c>
      <c r="T86" s="7">
        <f>IF($U86="","",S86-Q86-H86)</f>
        <v/>
      </c>
      <c r="U86" s="16">
        <f>IF(ROWS($U$2:$U86)&lt;=MAX('Per Line'!$V$2:$V$1501),MATCH(ROWS($U$2:$U86),'Per Line'!$V$2:$V$1501,0),"")</f>
        <v/>
      </c>
      <c r="V86">
        <f>IF($U86="","",B86&amp;"|"&amp;COUNTIF($B$2:$B86,B86))</f>
        <v/>
      </c>
    </row>
    <row r="87">
      <c r="A87">
        <f>IF($U87="","",INDEX('Per Line'!$B$2:$B$1501,$U87)&amp;"")</f>
        <v/>
      </c>
      <c r="B87">
        <f>IF($U87="","","COPY "&amp;G87&amp;" %")</f>
        <v/>
      </c>
      <c r="C87" s="15" t="n"/>
      <c r="D87">
        <f>IF($U87="","",INDEX('Per Line'!$C$2:$C$1501,$U87)&amp;"")</f>
        <v/>
      </c>
      <c r="E87">
        <f>IF($U87="","",INDEX('Per Line'!$D$2:$D$1501,$U87)&amp;"")</f>
        <v/>
      </c>
      <c r="F87">
        <f>IF($U87="","",INDEX('Per Line'!$E$2:$E$1501,$U87)&amp;"")</f>
        <v/>
      </c>
      <c r="G87">
        <f>IF($U87="","",INDEX('Per Line'!$F$2:$F$1501,$U87))</f>
        <v/>
      </c>
      <c r="H87" s="7">
        <f>IF($U87="","",G87*S87/100)</f>
        <v/>
      </c>
      <c r="I87" s="14">
        <f>IF($U87="","",INDEX('Per Line'!$R$2:$R$1501,$U87))</f>
        <v/>
      </c>
      <c r="J87">
        <f>IF($U87="","",INDEX('Per Line'!$Q$2:$Q$1501,$U87)&amp;"")</f>
        <v/>
      </c>
      <c r="K87">
        <f>IF($U87="","",Settings!$C$7)</f>
        <v/>
      </c>
      <c r="L87" s="7">
        <f>IF($U87="","",SUMIFS('Per Line'!$L$2:$L$1501,'Per Line'!$B$2:$B$1501,$A87,'Per Line'!$W$2:$W$1501,0))</f>
        <v/>
      </c>
      <c r="M87" s="7">
        <f>IF($U87="","",L87*K87)</f>
        <v/>
      </c>
      <c r="N87">
        <f>IF($U87="","",Settings!$C$6)</f>
        <v/>
      </c>
      <c r="O87" s="7">
        <f>IF($U87="","",SUMIFS('Per Line'!$L$2:$L$1501,'Per Line'!$B$2:$B$1501,$A87,'Per Line'!$W$2:$W$1501,1))</f>
        <v/>
      </c>
      <c r="P87" s="7">
        <f>IF($U87="","",O87*N87)</f>
        <v/>
      </c>
      <c r="Q87" s="7">
        <f>IF($U87="","",P87+M87)</f>
        <v/>
      </c>
      <c r="R87" s="7">
        <f>IF($U87="","",S87-Q87)</f>
        <v/>
      </c>
      <c r="S87" s="7">
        <f>IF($U87="","",L87+O87)</f>
        <v/>
      </c>
      <c r="T87" s="7">
        <f>IF($U87="","",S87-Q87-H87)</f>
        <v/>
      </c>
      <c r="U87" s="16">
        <f>IF(ROWS($U$2:$U87)&lt;=MAX('Per Line'!$V$2:$V$1501),MATCH(ROWS($U$2:$U87),'Per Line'!$V$2:$V$1501,0),"")</f>
        <v/>
      </c>
      <c r="V87">
        <f>IF($U87="","",B87&amp;"|"&amp;COUNTIF($B$2:$B87,B87))</f>
        <v/>
      </c>
    </row>
    <row r="88">
      <c r="A88">
        <f>IF($U88="","",INDEX('Per Line'!$B$2:$B$1501,$U88)&amp;"")</f>
        <v/>
      </c>
      <c r="B88">
        <f>IF($U88="","","COPY "&amp;G88&amp;" %")</f>
        <v/>
      </c>
      <c r="C88" s="15" t="n"/>
      <c r="D88">
        <f>IF($U88="","",INDEX('Per Line'!$C$2:$C$1501,$U88)&amp;"")</f>
        <v/>
      </c>
      <c r="E88">
        <f>IF($U88="","",INDEX('Per Line'!$D$2:$D$1501,$U88)&amp;"")</f>
        <v/>
      </c>
      <c r="F88">
        <f>IF($U88="","",INDEX('Per Line'!$E$2:$E$1501,$U88)&amp;"")</f>
        <v/>
      </c>
      <c r="G88">
        <f>IF($U88="","",INDEX('Per Line'!$F$2:$F$1501,$U88))</f>
        <v/>
      </c>
      <c r="H88" s="7">
        <f>IF($U88="","",G88*S88/100)</f>
        <v/>
      </c>
      <c r="I88" s="14">
        <f>IF($U88="","",INDEX('Per Line'!$R$2:$R$1501,$U88))</f>
        <v/>
      </c>
      <c r="J88">
        <f>IF($U88="","",INDEX('Per Line'!$Q$2:$Q$1501,$U88)&amp;"")</f>
        <v/>
      </c>
      <c r="K88">
        <f>IF($U88="","",Settings!$C$7)</f>
        <v/>
      </c>
      <c r="L88" s="7">
        <f>IF($U88="","",SUMIFS('Per Line'!$L$2:$L$1501,'Per Line'!$B$2:$B$1501,$A88,'Per Line'!$W$2:$W$1501,0))</f>
        <v/>
      </c>
      <c r="M88" s="7">
        <f>IF($U88="","",L88*K88)</f>
        <v/>
      </c>
      <c r="N88">
        <f>IF($U88="","",Settings!$C$6)</f>
        <v/>
      </c>
      <c r="O88" s="7">
        <f>IF($U88="","",SUMIFS('Per Line'!$L$2:$L$1501,'Per Line'!$B$2:$B$1501,$A88,'Per Line'!$W$2:$W$1501,1))</f>
        <v/>
      </c>
      <c r="P88" s="7">
        <f>IF($U88="","",O88*N88)</f>
        <v/>
      </c>
      <c r="Q88" s="7">
        <f>IF($U88="","",P88+M88)</f>
        <v/>
      </c>
      <c r="R88" s="7">
        <f>IF($U88="","",S88-Q88)</f>
        <v/>
      </c>
      <c r="S88" s="7">
        <f>IF($U88="","",L88+O88)</f>
        <v/>
      </c>
      <c r="T88" s="7">
        <f>IF($U88="","",S88-Q88-H88)</f>
        <v/>
      </c>
      <c r="U88" s="16">
        <f>IF(ROWS($U$2:$U88)&lt;=MAX('Per Line'!$V$2:$V$1501),MATCH(ROWS($U$2:$U88),'Per Line'!$V$2:$V$1501,0),"")</f>
        <v/>
      </c>
      <c r="V88">
        <f>IF($U88="","",B88&amp;"|"&amp;COUNTIF($B$2:$B88,B88))</f>
        <v/>
      </c>
    </row>
    <row r="89">
      <c r="A89">
        <f>IF($U89="","",INDEX('Per Line'!$B$2:$B$1501,$U89)&amp;"")</f>
        <v/>
      </c>
      <c r="B89">
        <f>IF($U89="","","COPY "&amp;G89&amp;" %")</f>
        <v/>
      </c>
      <c r="C89" s="15" t="n"/>
      <c r="D89">
        <f>IF($U89="","",INDEX('Per Line'!$C$2:$C$1501,$U89)&amp;"")</f>
        <v/>
      </c>
      <c r="E89">
        <f>IF($U89="","",INDEX('Per Line'!$D$2:$D$1501,$U89)&amp;"")</f>
        <v/>
      </c>
      <c r="F89">
        <f>IF($U89="","",INDEX('Per Line'!$E$2:$E$1501,$U89)&amp;"")</f>
        <v/>
      </c>
      <c r="G89">
        <f>IF($U89="","",INDEX('Per Line'!$F$2:$F$1501,$U89))</f>
        <v/>
      </c>
      <c r="H89" s="7">
        <f>IF($U89="","",G89*S89/100)</f>
        <v/>
      </c>
      <c r="I89" s="14">
        <f>IF($U89="","",INDEX('Per Line'!$R$2:$R$1501,$U89))</f>
        <v/>
      </c>
      <c r="J89">
        <f>IF($U89="","",INDEX('Per Line'!$Q$2:$Q$1501,$U89)&amp;"")</f>
        <v/>
      </c>
      <c r="K89">
        <f>IF($U89="","",Settings!$C$7)</f>
        <v/>
      </c>
      <c r="L89" s="7">
        <f>IF($U89="","",SUMIFS('Per Line'!$L$2:$L$1501,'Per Line'!$B$2:$B$1501,$A89,'Per Line'!$W$2:$W$1501,0))</f>
        <v/>
      </c>
      <c r="M89" s="7">
        <f>IF($U89="","",L89*K89)</f>
        <v/>
      </c>
      <c r="N89">
        <f>IF($U89="","",Settings!$C$6)</f>
        <v/>
      </c>
      <c r="O89" s="7">
        <f>IF($U89="","",SUMIFS('Per Line'!$L$2:$L$1501,'Per Line'!$B$2:$B$1501,$A89,'Per Line'!$W$2:$W$1501,1))</f>
        <v/>
      </c>
      <c r="P89" s="7">
        <f>IF($U89="","",O89*N89)</f>
        <v/>
      </c>
      <c r="Q89" s="7">
        <f>IF($U89="","",P89+M89)</f>
        <v/>
      </c>
      <c r="R89" s="7">
        <f>IF($U89="","",S89-Q89)</f>
        <v/>
      </c>
      <c r="S89" s="7">
        <f>IF($U89="","",L89+O89)</f>
        <v/>
      </c>
      <c r="T89" s="7">
        <f>IF($U89="","",S89-Q89-H89)</f>
        <v/>
      </c>
      <c r="U89" s="16">
        <f>IF(ROWS($U$2:$U89)&lt;=MAX('Per Line'!$V$2:$V$1501),MATCH(ROWS($U$2:$U89),'Per Line'!$V$2:$V$1501,0),"")</f>
        <v/>
      </c>
      <c r="V89">
        <f>IF($U89="","",B89&amp;"|"&amp;COUNTIF($B$2:$B89,B89))</f>
        <v/>
      </c>
    </row>
    <row r="90">
      <c r="A90">
        <f>IF($U90="","",INDEX('Per Line'!$B$2:$B$1501,$U90)&amp;"")</f>
        <v/>
      </c>
      <c r="B90">
        <f>IF($U90="","","COPY "&amp;G90&amp;" %")</f>
        <v/>
      </c>
      <c r="C90" s="15" t="n"/>
      <c r="D90">
        <f>IF($U90="","",INDEX('Per Line'!$C$2:$C$1501,$U90)&amp;"")</f>
        <v/>
      </c>
      <c r="E90">
        <f>IF($U90="","",INDEX('Per Line'!$D$2:$D$1501,$U90)&amp;"")</f>
        <v/>
      </c>
      <c r="F90">
        <f>IF($U90="","",INDEX('Per Line'!$E$2:$E$1501,$U90)&amp;"")</f>
        <v/>
      </c>
      <c r="G90">
        <f>IF($U90="","",INDEX('Per Line'!$F$2:$F$1501,$U90))</f>
        <v/>
      </c>
      <c r="H90" s="7">
        <f>IF($U90="","",G90*S90/100)</f>
        <v/>
      </c>
      <c r="I90" s="14">
        <f>IF($U90="","",INDEX('Per Line'!$R$2:$R$1501,$U90))</f>
        <v/>
      </c>
      <c r="J90">
        <f>IF($U90="","",INDEX('Per Line'!$Q$2:$Q$1501,$U90)&amp;"")</f>
        <v/>
      </c>
      <c r="K90">
        <f>IF($U90="","",Settings!$C$7)</f>
        <v/>
      </c>
      <c r="L90" s="7">
        <f>IF($U90="","",SUMIFS('Per Line'!$L$2:$L$1501,'Per Line'!$B$2:$B$1501,$A90,'Per Line'!$W$2:$W$1501,0))</f>
        <v/>
      </c>
      <c r="M90" s="7">
        <f>IF($U90="","",L90*K90)</f>
        <v/>
      </c>
      <c r="N90">
        <f>IF($U90="","",Settings!$C$6)</f>
        <v/>
      </c>
      <c r="O90" s="7">
        <f>IF($U90="","",SUMIFS('Per Line'!$L$2:$L$1501,'Per Line'!$B$2:$B$1501,$A90,'Per Line'!$W$2:$W$1501,1))</f>
        <v/>
      </c>
      <c r="P90" s="7">
        <f>IF($U90="","",O90*N90)</f>
        <v/>
      </c>
      <c r="Q90" s="7">
        <f>IF($U90="","",P90+M90)</f>
        <v/>
      </c>
      <c r="R90" s="7">
        <f>IF($U90="","",S90-Q90)</f>
        <v/>
      </c>
      <c r="S90" s="7">
        <f>IF($U90="","",L90+O90)</f>
        <v/>
      </c>
      <c r="T90" s="7">
        <f>IF($U90="","",S90-Q90-H90)</f>
        <v/>
      </c>
      <c r="U90" s="16">
        <f>IF(ROWS($U$2:$U90)&lt;=MAX('Per Line'!$V$2:$V$1501),MATCH(ROWS($U$2:$U90),'Per Line'!$V$2:$V$1501,0),"")</f>
        <v/>
      </c>
      <c r="V90">
        <f>IF($U90="","",B90&amp;"|"&amp;COUNTIF($B$2:$B90,B90))</f>
        <v/>
      </c>
    </row>
    <row r="91">
      <c r="A91">
        <f>IF($U91="","",INDEX('Per Line'!$B$2:$B$1501,$U91)&amp;"")</f>
        <v/>
      </c>
      <c r="B91">
        <f>IF($U91="","","COPY "&amp;G91&amp;" %")</f>
        <v/>
      </c>
      <c r="C91" s="15" t="n"/>
      <c r="D91">
        <f>IF($U91="","",INDEX('Per Line'!$C$2:$C$1501,$U91)&amp;"")</f>
        <v/>
      </c>
      <c r="E91">
        <f>IF($U91="","",INDEX('Per Line'!$D$2:$D$1501,$U91)&amp;"")</f>
        <v/>
      </c>
      <c r="F91">
        <f>IF($U91="","",INDEX('Per Line'!$E$2:$E$1501,$U91)&amp;"")</f>
        <v/>
      </c>
      <c r="G91">
        <f>IF($U91="","",INDEX('Per Line'!$F$2:$F$1501,$U91))</f>
        <v/>
      </c>
      <c r="H91" s="7">
        <f>IF($U91="","",G91*S91/100)</f>
        <v/>
      </c>
      <c r="I91" s="14">
        <f>IF($U91="","",INDEX('Per Line'!$R$2:$R$1501,$U91))</f>
        <v/>
      </c>
      <c r="J91">
        <f>IF($U91="","",INDEX('Per Line'!$Q$2:$Q$1501,$U91)&amp;"")</f>
        <v/>
      </c>
      <c r="K91">
        <f>IF($U91="","",Settings!$C$7)</f>
        <v/>
      </c>
      <c r="L91" s="7">
        <f>IF($U91="","",SUMIFS('Per Line'!$L$2:$L$1501,'Per Line'!$B$2:$B$1501,$A91,'Per Line'!$W$2:$W$1501,0))</f>
        <v/>
      </c>
      <c r="M91" s="7">
        <f>IF($U91="","",L91*K91)</f>
        <v/>
      </c>
      <c r="N91">
        <f>IF($U91="","",Settings!$C$6)</f>
        <v/>
      </c>
      <c r="O91" s="7">
        <f>IF($U91="","",SUMIFS('Per Line'!$L$2:$L$1501,'Per Line'!$B$2:$B$1501,$A91,'Per Line'!$W$2:$W$1501,1))</f>
        <v/>
      </c>
      <c r="P91" s="7">
        <f>IF($U91="","",O91*N91)</f>
        <v/>
      </c>
      <c r="Q91" s="7">
        <f>IF($U91="","",P91+M91)</f>
        <v/>
      </c>
      <c r="R91" s="7">
        <f>IF($U91="","",S91-Q91)</f>
        <v/>
      </c>
      <c r="S91" s="7">
        <f>IF($U91="","",L91+O91)</f>
        <v/>
      </c>
      <c r="T91" s="7">
        <f>IF($U91="","",S91-Q91-H91)</f>
        <v/>
      </c>
      <c r="U91" s="16">
        <f>IF(ROWS($U$2:$U91)&lt;=MAX('Per Line'!$V$2:$V$1501),MATCH(ROWS($U$2:$U91),'Per Line'!$V$2:$V$1501,0),"")</f>
        <v/>
      </c>
      <c r="V91">
        <f>IF($U91="","",B91&amp;"|"&amp;COUNTIF($B$2:$B91,B91))</f>
        <v/>
      </c>
    </row>
    <row r="92">
      <c r="A92">
        <f>IF($U92="","",INDEX('Per Line'!$B$2:$B$1501,$U92)&amp;"")</f>
        <v/>
      </c>
      <c r="B92">
        <f>IF($U92="","","COPY "&amp;G92&amp;" %")</f>
        <v/>
      </c>
      <c r="C92" s="15" t="n"/>
      <c r="D92">
        <f>IF($U92="","",INDEX('Per Line'!$C$2:$C$1501,$U92)&amp;"")</f>
        <v/>
      </c>
      <c r="E92">
        <f>IF($U92="","",INDEX('Per Line'!$D$2:$D$1501,$U92)&amp;"")</f>
        <v/>
      </c>
      <c r="F92">
        <f>IF($U92="","",INDEX('Per Line'!$E$2:$E$1501,$U92)&amp;"")</f>
        <v/>
      </c>
      <c r="G92">
        <f>IF($U92="","",INDEX('Per Line'!$F$2:$F$1501,$U92))</f>
        <v/>
      </c>
      <c r="H92" s="7">
        <f>IF($U92="","",G92*S92/100)</f>
        <v/>
      </c>
      <c r="I92" s="14">
        <f>IF($U92="","",INDEX('Per Line'!$R$2:$R$1501,$U92))</f>
        <v/>
      </c>
      <c r="J92">
        <f>IF($U92="","",INDEX('Per Line'!$Q$2:$Q$1501,$U92)&amp;"")</f>
        <v/>
      </c>
      <c r="K92">
        <f>IF($U92="","",Settings!$C$7)</f>
        <v/>
      </c>
      <c r="L92" s="7">
        <f>IF($U92="","",SUMIFS('Per Line'!$L$2:$L$1501,'Per Line'!$B$2:$B$1501,$A92,'Per Line'!$W$2:$W$1501,0))</f>
        <v/>
      </c>
      <c r="M92" s="7">
        <f>IF($U92="","",L92*K92)</f>
        <v/>
      </c>
      <c r="N92">
        <f>IF($U92="","",Settings!$C$6)</f>
        <v/>
      </c>
      <c r="O92" s="7">
        <f>IF($U92="","",SUMIFS('Per Line'!$L$2:$L$1501,'Per Line'!$B$2:$B$1501,$A92,'Per Line'!$W$2:$W$1501,1))</f>
        <v/>
      </c>
      <c r="P92" s="7">
        <f>IF($U92="","",O92*N92)</f>
        <v/>
      </c>
      <c r="Q92" s="7">
        <f>IF($U92="","",P92+M92)</f>
        <v/>
      </c>
      <c r="R92" s="7">
        <f>IF($U92="","",S92-Q92)</f>
        <v/>
      </c>
      <c r="S92" s="7">
        <f>IF($U92="","",L92+O92)</f>
        <v/>
      </c>
      <c r="T92" s="7">
        <f>IF($U92="","",S92-Q92-H92)</f>
        <v/>
      </c>
      <c r="U92" s="16">
        <f>IF(ROWS($U$2:$U92)&lt;=MAX('Per Line'!$V$2:$V$1501),MATCH(ROWS($U$2:$U92),'Per Line'!$V$2:$V$1501,0),"")</f>
        <v/>
      </c>
      <c r="V92">
        <f>IF($U92="","",B92&amp;"|"&amp;COUNTIF($B$2:$B92,B92))</f>
        <v/>
      </c>
    </row>
    <row r="93">
      <c r="A93">
        <f>IF($U93="","",INDEX('Per Line'!$B$2:$B$1501,$U93)&amp;"")</f>
        <v/>
      </c>
      <c r="B93">
        <f>IF($U93="","","COPY "&amp;G93&amp;" %")</f>
        <v/>
      </c>
      <c r="C93" s="15" t="n"/>
      <c r="D93">
        <f>IF($U93="","",INDEX('Per Line'!$C$2:$C$1501,$U93)&amp;"")</f>
        <v/>
      </c>
      <c r="E93">
        <f>IF($U93="","",INDEX('Per Line'!$D$2:$D$1501,$U93)&amp;"")</f>
        <v/>
      </c>
      <c r="F93">
        <f>IF($U93="","",INDEX('Per Line'!$E$2:$E$1501,$U93)&amp;"")</f>
        <v/>
      </c>
      <c r="G93">
        <f>IF($U93="","",INDEX('Per Line'!$F$2:$F$1501,$U93))</f>
        <v/>
      </c>
      <c r="H93" s="7">
        <f>IF($U93="","",G93*S93/100)</f>
        <v/>
      </c>
      <c r="I93" s="14">
        <f>IF($U93="","",INDEX('Per Line'!$R$2:$R$1501,$U93))</f>
        <v/>
      </c>
      <c r="J93">
        <f>IF($U93="","",INDEX('Per Line'!$Q$2:$Q$1501,$U93)&amp;"")</f>
        <v/>
      </c>
      <c r="K93">
        <f>IF($U93="","",Settings!$C$7)</f>
        <v/>
      </c>
      <c r="L93" s="7">
        <f>IF($U93="","",SUMIFS('Per Line'!$L$2:$L$1501,'Per Line'!$B$2:$B$1501,$A93,'Per Line'!$W$2:$W$1501,0))</f>
        <v/>
      </c>
      <c r="M93" s="7">
        <f>IF($U93="","",L93*K93)</f>
        <v/>
      </c>
      <c r="N93">
        <f>IF($U93="","",Settings!$C$6)</f>
        <v/>
      </c>
      <c r="O93" s="7">
        <f>IF($U93="","",SUMIFS('Per Line'!$L$2:$L$1501,'Per Line'!$B$2:$B$1501,$A93,'Per Line'!$W$2:$W$1501,1))</f>
        <v/>
      </c>
      <c r="P93" s="7">
        <f>IF($U93="","",O93*N93)</f>
        <v/>
      </c>
      <c r="Q93" s="7">
        <f>IF($U93="","",P93+M93)</f>
        <v/>
      </c>
      <c r="R93" s="7">
        <f>IF($U93="","",S93-Q93)</f>
        <v/>
      </c>
      <c r="S93" s="7">
        <f>IF($U93="","",L93+O93)</f>
        <v/>
      </c>
      <c r="T93" s="7">
        <f>IF($U93="","",S93-Q93-H93)</f>
        <v/>
      </c>
      <c r="U93" s="16">
        <f>IF(ROWS($U$2:$U93)&lt;=MAX('Per Line'!$V$2:$V$1501),MATCH(ROWS($U$2:$U93),'Per Line'!$V$2:$V$1501,0),"")</f>
        <v/>
      </c>
      <c r="V93">
        <f>IF($U93="","",B93&amp;"|"&amp;COUNTIF($B$2:$B93,B93))</f>
        <v/>
      </c>
    </row>
    <row r="94">
      <c r="A94">
        <f>IF($U94="","",INDEX('Per Line'!$B$2:$B$1501,$U94)&amp;"")</f>
        <v/>
      </c>
      <c r="B94">
        <f>IF($U94="","","COPY "&amp;G94&amp;" %")</f>
        <v/>
      </c>
      <c r="C94" s="15" t="n"/>
      <c r="D94">
        <f>IF($U94="","",INDEX('Per Line'!$C$2:$C$1501,$U94)&amp;"")</f>
        <v/>
      </c>
      <c r="E94">
        <f>IF($U94="","",INDEX('Per Line'!$D$2:$D$1501,$U94)&amp;"")</f>
        <v/>
      </c>
      <c r="F94">
        <f>IF($U94="","",INDEX('Per Line'!$E$2:$E$1501,$U94)&amp;"")</f>
        <v/>
      </c>
      <c r="G94">
        <f>IF($U94="","",INDEX('Per Line'!$F$2:$F$1501,$U94))</f>
        <v/>
      </c>
      <c r="H94" s="7">
        <f>IF($U94="","",G94*S94/100)</f>
        <v/>
      </c>
      <c r="I94" s="14">
        <f>IF($U94="","",INDEX('Per Line'!$R$2:$R$1501,$U94))</f>
        <v/>
      </c>
      <c r="J94">
        <f>IF($U94="","",INDEX('Per Line'!$Q$2:$Q$1501,$U94)&amp;"")</f>
        <v/>
      </c>
      <c r="K94">
        <f>IF($U94="","",Settings!$C$7)</f>
        <v/>
      </c>
      <c r="L94" s="7">
        <f>IF($U94="","",SUMIFS('Per Line'!$L$2:$L$1501,'Per Line'!$B$2:$B$1501,$A94,'Per Line'!$W$2:$W$1501,0))</f>
        <v/>
      </c>
      <c r="M94" s="7">
        <f>IF($U94="","",L94*K94)</f>
        <v/>
      </c>
      <c r="N94">
        <f>IF($U94="","",Settings!$C$6)</f>
        <v/>
      </c>
      <c r="O94" s="7">
        <f>IF($U94="","",SUMIFS('Per Line'!$L$2:$L$1501,'Per Line'!$B$2:$B$1501,$A94,'Per Line'!$W$2:$W$1501,1))</f>
        <v/>
      </c>
      <c r="P94" s="7">
        <f>IF($U94="","",O94*N94)</f>
        <v/>
      </c>
      <c r="Q94" s="7">
        <f>IF($U94="","",P94+M94)</f>
        <v/>
      </c>
      <c r="R94" s="7">
        <f>IF($U94="","",S94-Q94)</f>
        <v/>
      </c>
      <c r="S94" s="7">
        <f>IF($U94="","",L94+O94)</f>
        <v/>
      </c>
      <c r="T94" s="7">
        <f>IF($U94="","",S94-Q94-H94)</f>
        <v/>
      </c>
      <c r="U94" s="16">
        <f>IF(ROWS($U$2:$U94)&lt;=MAX('Per Line'!$V$2:$V$1501),MATCH(ROWS($U$2:$U94),'Per Line'!$V$2:$V$1501,0),"")</f>
        <v/>
      </c>
      <c r="V94">
        <f>IF($U94="","",B94&amp;"|"&amp;COUNTIF($B$2:$B94,B94))</f>
        <v/>
      </c>
    </row>
    <row r="95">
      <c r="A95">
        <f>IF($U95="","",INDEX('Per Line'!$B$2:$B$1501,$U95)&amp;"")</f>
        <v/>
      </c>
      <c r="B95">
        <f>IF($U95="","","COPY "&amp;G95&amp;" %")</f>
        <v/>
      </c>
      <c r="C95" s="15" t="n"/>
      <c r="D95">
        <f>IF($U95="","",INDEX('Per Line'!$C$2:$C$1501,$U95)&amp;"")</f>
        <v/>
      </c>
      <c r="E95">
        <f>IF($U95="","",INDEX('Per Line'!$D$2:$D$1501,$U95)&amp;"")</f>
        <v/>
      </c>
      <c r="F95">
        <f>IF($U95="","",INDEX('Per Line'!$E$2:$E$1501,$U95)&amp;"")</f>
        <v/>
      </c>
      <c r="G95">
        <f>IF($U95="","",INDEX('Per Line'!$F$2:$F$1501,$U95))</f>
        <v/>
      </c>
      <c r="H95" s="7">
        <f>IF($U95="","",G95*S95/100)</f>
        <v/>
      </c>
      <c r="I95" s="14">
        <f>IF($U95="","",INDEX('Per Line'!$R$2:$R$1501,$U95))</f>
        <v/>
      </c>
      <c r="J95">
        <f>IF($U95="","",INDEX('Per Line'!$Q$2:$Q$1501,$U95)&amp;"")</f>
        <v/>
      </c>
      <c r="K95">
        <f>IF($U95="","",Settings!$C$7)</f>
        <v/>
      </c>
      <c r="L95" s="7">
        <f>IF($U95="","",SUMIFS('Per Line'!$L$2:$L$1501,'Per Line'!$B$2:$B$1501,$A95,'Per Line'!$W$2:$W$1501,0))</f>
        <v/>
      </c>
      <c r="M95" s="7">
        <f>IF($U95="","",L95*K95)</f>
        <v/>
      </c>
      <c r="N95">
        <f>IF($U95="","",Settings!$C$6)</f>
        <v/>
      </c>
      <c r="O95" s="7">
        <f>IF($U95="","",SUMIFS('Per Line'!$L$2:$L$1501,'Per Line'!$B$2:$B$1501,$A95,'Per Line'!$W$2:$W$1501,1))</f>
        <v/>
      </c>
      <c r="P95" s="7">
        <f>IF($U95="","",O95*N95)</f>
        <v/>
      </c>
      <c r="Q95" s="7">
        <f>IF($U95="","",P95+M95)</f>
        <v/>
      </c>
      <c r="R95" s="7">
        <f>IF($U95="","",S95-Q95)</f>
        <v/>
      </c>
      <c r="S95" s="7">
        <f>IF($U95="","",L95+O95)</f>
        <v/>
      </c>
      <c r="T95" s="7">
        <f>IF($U95="","",S95-Q95-H95)</f>
        <v/>
      </c>
      <c r="U95" s="16">
        <f>IF(ROWS($U$2:$U95)&lt;=MAX('Per Line'!$V$2:$V$1501),MATCH(ROWS($U$2:$U95),'Per Line'!$V$2:$V$1501,0),"")</f>
        <v/>
      </c>
      <c r="V95">
        <f>IF($U95="","",B95&amp;"|"&amp;COUNTIF($B$2:$B95,B95))</f>
        <v/>
      </c>
    </row>
    <row r="96">
      <c r="A96">
        <f>IF($U96="","",INDEX('Per Line'!$B$2:$B$1501,$U96)&amp;"")</f>
        <v/>
      </c>
      <c r="B96">
        <f>IF($U96="","","COPY "&amp;G96&amp;" %")</f>
        <v/>
      </c>
      <c r="C96" s="15" t="n"/>
      <c r="D96">
        <f>IF($U96="","",INDEX('Per Line'!$C$2:$C$1501,$U96)&amp;"")</f>
        <v/>
      </c>
      <c r="E96">
        <f>IF($U96="","",INDEX('Per Line'!$D$2:$D$1501,$U96)&amp;"")</f>
        <v/>
      </c>
      <c r="F96">
        <f>IF($U96="","",INDEX('Per Line'!$E$2:$E$1501,$U96)&amp;"")</f>
        <v/>
      </c>
      <c r="G96">
        <f>IF($U96="","",INDEX('Per Line'!$F$2:$F$1501,$U96))</f>
        <v/>
      </c>
      <c r="H96" s="7">
        <f>IF($U96="","",G96*S96/100)</f>
        <v/>
      </c>
      <c r="I96" s="14">
        <f>IF($U96="","",INDEX('Per Line'!$R$2:$R$1501,$U96))</f>
        <v/>
      </c>
      <c r="J96">
        <f>IF($U96="","",INDEX('Per Line'!$Q$2:$Q$1501,$U96)&amp;"")</f>
        <v/>
      </c>
      <c r="K96">
        <f>IF($U96="","",Settings!$C$7)</f>
        <v/>
      </c>
      <c r="L96" s="7">
        <f>IF($U96="","",SUMIFS('Per Line'!$L$2:$L$1501,'Per Line'!$B$2:$B$1501,$A96,'Per Line'!$W$2:$W$1501,0))</f>
        <v/>
      </c>
      <c r="M96" s="7">
        <f>IF($U96="","",L96*K96)</f>
        <v/>
      </c>
      <c r="N96">
        <f>IF($U96="","",Settings!$C$6)</f>
        <v/>
      </c>
      <c r="O96" s="7">
        <f>IF($U96="","",SUMIFS('Per Line'!$L$2:$L$1501,'Per Line'!$B$2:$B$1501,$A96,'Per Line'!$W$2:$W$1501,1))</f>
        <v/>
      </c>
      <c r="P96" s="7">
        <f>IF($U96="","",O96*N96)</f>
        <v/>
      </c>
      <c r="Q96" s="7">
        <f>IF($U96="","",P96+M96)</f>
        <v/>
      </c>
      <c r="R96" s="7">
        <f>IF($U96="","",S96-Q96)</f>
        <v/>
      </c>
      <c r="S96" s="7">
        <f>IF($U96="","",L96+O96)</f>
        <v/>
      </c>
      <c r="T96" s="7">
        <f>IF($U96="","",S96-Q96-H96)</f>
        <v/>
      </c>
      <c r="U96" s="16">
        <f>IF(ROWS($U$2:$U96)&lt;=MAX('Per Line'!$V$2:$V$1501),MATCH(ROWS($U$2:$U96),'Per Line'!$V$2:$V$1501,0),"")</f>
        <v/>
      </c>
      <c r="V96">
        <f>IF($U96="","",B96&amp;"|"&amp;COUNTIF($B$2:$B96,B96))</f>
        <v/>
      </c>
    </row>
    <row r="97">
      <c r="A97">
        <f>IF($U97="","",INDEX('Per Line'!$B$2:$B$1501,$U97)&amp;"")</f>
        <v/>
      </c>
      <c r="B97">
        <f>IF($U97="","","COPY "&amp;G97&amp;" %")</f>
        <v/>
      </c>
      <c r="C97" s="15" t="n"/>
      <c r="D97">
        <f>IF($U97="","",INDEX('Per Line'!$C$2:$C$1501,$U97)&amp;"")</f>
        <v/>
      </c>
      <c r="E97">
        <f>IF($U97="","",INDEX('Per Line'!$D$2:$D$1501,$U97)&amp;"")</f>
        <v/>
      </c>
      <c r="F97">
        <f>IF($U97="","",INDEX('Per Line'!$E$2:$E$1501,$U97)&amp;"")</f>
        <v/>
      </c>
      <c r="G97">
        <f>IF($U97="","",INDEX('Per Line'!$F$2:$F$1501,$U97))</f>
        <v/>
      </c>
      <c r="H97" s="7">
        <f>IF($U97="","",G97*S97/100)</f>
        <v/>
      </c>
      <c r="I97" s="14">
        <f>IF($U97="","",INDEX('Per Line'!$R$2:$R$1501,$U97))</f>
        <v/>
      </c>
      <c r="J97">
        <f>IF($U97="","",INDEX('Per Line'!$Q$2:$Q$1501,$U97)&amp;"")</f>
        <v/>
      </c>
      <c r="K97">
        <f>IF($U97="","",Settings!$C$7)</f>
        <v/>
      </c>
      <c r="L97" s="7">
        <f>IF($U97="","",SUMIFS('Per Line'!$L$2:$L$1501,'Per Line'!$B$2:$B$1501,$A97,'Per Line'!$W$2:$W$1501,0))</f>
        <v/>
      </c>
      <c r="M97" s="7">
        <f>IF($U97="","",L97*K97)</f>
        <v/>
      </c>
      <c r="N97">
        <f>IF($U97="","",Settings!$C$6)</f>
        <v/>
      </c>
      <c r="O97" s="7">
        <f>IF($U97="","",SUMIFS('Per Line'!$L$2:$L$1501,'Per Line'!$B$2:$B$1501,$A97,'Per Line'!$W$2:$W$1501,1))</f>
        <v/>
      </c>
      <c r="P97" s="7">
        <f>IF($U97="","",O97*N97)</f>
        <v/>
      </c>
      <c r="Q97" s="7">
        <f>IF($U97="","",P97+M97)</f>
        <v/>
      </c>
      <c r="R97" s="7">
        <f>IF($U97="","",S97-Q97)</f>
        <v/>
      </c>
      <c r="S97" s="7">
        <f>IF($U97="","",L97+O97)</f>
        <v/>
      </c>
      <c r="T97" s="7">
        <f>IF($U97="","",S97-Q97-H97)</f>
        <v/>
      </c>
      <c r="U97" s="16">
        <f>IF(ROWS($U$2:$U97)&lt;=MAX('Per Line'!$V$2:$V$1501),MATCH(ROWS($U$2:$U97),'Per Line'!$V$2:$V$1501,0),"")</f>
        <v/>
      </c>
      <c r="V97">
        <f>IF($U97="","",B97&amp;"|"&amp;COUNTIF($B$2:$B97,B97))</f>
        <v/>
      </c>
    </row>
    <row r="98">
      <c r="A98">
        <f>IF($U98="","",INDEX('Per Line'!$B$2:$B$1501,$U98)&amp;"")</f>
        <v/>
      </c>
      <c r="B98">
        <f>IF($U98="","","COPY "&amp;G98&amp;" %")</f>
        <v/>
      </c>
      <c r="C98" s="15" t="n"/>
      <c r="D98">
        <f>IF($U98="","",INDEX('Per Line'!$C$2:$C$1501,$U98)&amp;"")</f>
        <v/>
      </c>
      <c r="E98">
        <f>IF($U98="","",INDEX('Per Line'!$D$2:$D$1501,$U98)&amp;"")</f>
        <v/>
      </c>
      <c r="F98">
        <f>IF($U98="","",INDEX('Per Line'!$E$2:$E$1501,$U98)&amp;"")</f>
        <v/>
      </c>
      <c r="G98">
        <f>IF($U98="","",INDEX('Per Line'!$F$2:$F$1501,$U98))</f>
        <v/>
      </c>
      <c r="H98" s="7">
        <f>IF($U98="","",G98*S98/100)</f>
        <v/>
      </c>
      <c r="I98" s="14">
        <f>IF($U98="","",INDEX('Per Line'!$R$2:$R$1501,$U98))</f>
        <v/>
      </c>
      <c r="J98">
        <f>IF($U98="","",INDEX('Per Line'!$Q$2:$Q$1501,$U98)&amp;"")</f>
        <v/>
      </c>
      <c r="K98">
        <f>IF($U98="","",Settings!$C$7)</f>
        <v/>
      </c>
      <c r="L98" s="7">
        <f>IF($U98="","",SUMIFS('Per Line'!$L$2:$L$1501,'Per Line'!$B$2:$B$1501,$A98,'Per Line'!$W$2:$W$1501,0))</f>
        <v/>
      </c>
      <c r="M98" s="7">
        <f>IF($U98="","",L98*K98)</f>
        <v/>
      </c>
      <c r="N98">
        <f>IF($U98="","",Settings!$C$6)</f>
        <v/>
      </c>
      <c r="O98" s="7">
        <f>IF($U98="","",SUMIFS('Per Line'!$L$2:$L$1501,'Per Line'!$B$2:$B$1501,$A98,'Per Line'!$W$2:$W$1501,1))</f>
        <v/>
      </c>
      <c r="P98" s="7">
        <f>IF($U98="","",O98*N98)</f>
        <v/>
      </c>
      <c r="Q98" s="7">
        <f>IF($U98="","",P98+M98)</f>
        <v/>
      </c>
      <c r="R98" s="7">
        <f>IF($U98="","",S98-Q98)</f>
        <v/>
      </c>
      <c r="S98" s="7">
        <f>IF($U98="","",L98+O98)</f>
        <v/>
      </c>
      <c r="T98" s="7">
        <f>IF($U98="","",S98-Q98-H98)</f>
        <v/>
      </c>
      <c r="U98" s="16">
        <f>IF(ROWS($U$2:$U98)&lt;=MAX('Per Line'!$V$2:$V$1501),MATCH(ROWS($U$2:$U98),'Per Line'!$V$2:$V$1501,0),"")</f>
        <v/>
      </c>
      <c r="V98">
        <f>IF($U98="","",B98&amp;"|"&amp;COUNTIF($B$2:$B98,B98))</f>
        <v/>
      </c>
    </row>
    <row r="99">
      <c r="A99">
        <f>IF($U99="","",INDEX('Per Line'!$B$2:$B$1501,$U99)&amp;"")</f>
        <v/>
      </c>
      <c r="B99">
        <f>IF($U99="","","COPY "&amp;G99&amp;" %")</f>
        <v/>
      </c>
      <c r="C99" s="15" t="n"/>
      <c r="D99">
        <f>IF($U99="","",INDEX('Per Line'!$C$2:$C$1501,$U99)&amp;"")</f>
        <v/>
      </c>
      <c r="E99">
        <f>IF($U99="","",INDEX('Per Line'!$D$2:$D$1501,$U99)&amp;"")</f>
        <v/>
      </c>
      <c r="F99">
        <f>IF($U99="","",INDEX('Per Line'!$E$2:$E$1501,$U99)&amp;"")</f>
        <v/>
      </c>
      <c r="G99">
        <f>IF($U99="","",INDEX('Per Line'!$F$2:$F$1501,$U99))</f>
        <v/>
      </c>
      <c r="H99" s="7">
        <f>IF($U99="","",G99*S99/100)</f>
        <v/>
      </c>
      <c r="I99" s="14">
        <f>IF($U99="","",INDEX('Per Line'!$R$2:$R$1501,$U99))</f>
        <v/>
      </c>
      <c r="J99">
        <f>IF($U99="","",INDEX('Per Line'!$Q$2:$Q$1501,$U99)&amp;"")</f>
        <v/>
      </c>
      <c r="K99">
        <f>IF($U99="","",Settings!$C$7)</f>
        <v/>
      </c>
      <c r="L99" s="7">
        <f>IF($U99="","",SUMIFS('Per Line'!$L$2:$L$1501,'Per Line'!$B$2:$B$1501,$A99,'Per Line'!$W$2:$W$1501,0))</f>
        <v/>
      </c>
      <c r="M99" s="7">
        <f>IF($U99="","",L99*K99)</f>
        <v/>
      </c>
      <c r="N99">
        <f>IF($U99="","",Settings!$C$6)</f>
        <v/>
      </c>
      <c r="O99" s="7">
        <f>IF($U99="","",SUMIFS('Per Line'!$L$2:$L$1501,'Per Line'!$B$2:$B$1501,$A99,'Per Line'!$W$2:$W$1501,1))</f>
        <v/>
      </c>
      <c r="P99" s="7">
        <f>IF($U99="","",O99*N99)</f>
        <v/>
      </c>
      <c r="Q99" s="7">
        <f>IF($U99="","",P99+M99)</f>
        <v/>
      </c>
      <c r="R99" s="7">
        <f>IF($U99="","",S99-Q99)</f>
        <v/>
      </c>
      <c r="S99" s="7">
        <f>IF($U99="","",L99+O99)</f>
        <v/>
      </c>
      <c r="T99" s="7">
        <f>IF($U99="","",S99-Q99-H99)</f>
        <v/>
      </c>
      <c r="U99" s="16">
        <f>IF(ROWS($U$2:$U99)&lt;=MAX('Per Line'!$V$2:$V$1501),MATCH(ROWS($U$2:$U99),'Per Line'!$V$2:$V$1501,0),"")</f>
        <v/>
      </c>
      <c r="V99">
        <f>IF($U99="","",B99&amp;"|"&amp;COUNTIF($B$2:$B99,B99))</f>
        <v/>
      </c>
    </row>
    <row r="100">
      <c r="A100">
        <f>IF($U100="","",INDEX('Per Line'!$B$2:$B$1501,$U100)&amp;"")</f>
        <v/>
      </c>
      <c r="B100">
        <f>IF($U100="","","COPY "&amp;G100&amp;" %")</f>
        <v/>
      </c>
      <c r="C100" s="15" t="n"/>
      <c r="D100">
        <f>IF($U100="","",INDEX('Per Line'!$C$2:$C$1501,$U100)&amp;"")</f>
        <v/>
      </c>
      <c r="E100">
        <f>IF($U100="","",INDEX('Per Line'!$D$2:$D$1501,$U100)&amp;"")</f>
        <v/>
      </c>
      <c r="F100">
        <f>IF($U100="","",INDEX('Per Line'!$E$2:$E$1501,$U100)&amp;"")</f>
        <v/>
      </c>
      <c r="G100">
        <f>IF($U100="","",INDEX('Per Line'!$F$2:$F$1501,$U100))</f>
        <v/>
      </c>
      <c r="H100" s="7">
        <f>IF($U100="","",G100*S100/100)</f>
        <v/>
      </c>
      <c r="I100" s="14">
        <f>IF($U100="","",INDEX('Per Line'!$R$2:$R$1501,$U100))</f>
        <v/>
      </c>
      <c r="J100">
        <f>IF($U100="","",INDEX('Per Line'!$Q$2:$Q$1501,$U100)&amp;"")</f>
        <v/>
      </c>
      <c r="K100">
        <f>IF($U100="","",Settings!$C$7)</f>
        <v/>
      </c>
      <c r="L100" s="7">
        <f>IF($U100="","",SUMIFS('Per Line'!$L$2:$L$1501,'Per Line'!$B$2:$B$1501,$A100,'Per Line'!$W$2:$W$1501,0))</f>
        <v/>
      </c>
      <c r="M100" s="7">
        <f>IF($U100="","",L100*K100)</f>
        <v/>
      </c>
      <c r="N100">
        <f>IF($U100="","",Settings!$C$6)</f>
        <v/>
      </c>
      <c r="O100" s="7">
        <f>IF($U100="","",SUMIFS('Per Line'!$L$2:$L$1501,'Per Line'!$B$2:$B$1501,$A100,'Per Line'!$W$2:$W$1501,1))</f>
        <v/>
      </c>
      <c r="P100" s="7">
        <f>IF($U100="","",O100*N100)</f>
        <v/>
      </c>
      <c r="Q100" s="7">
        <f>IF($U100="","",P100+M100)</f>
        <v/>
      </c>
      <c r="R100" s="7">
        <f>IF($U100="","",S100-Q100)</f>
        <v/>
      </c>
      <c r="S100" s="7">
        <f>IF($U100="","",L100+O100)</f>
        <v/>
      </c>
      <c r="T100" s="7">
        <f>IF($U100="","",S100-Q100-H100)</f>
        <v/>
      </c>
      <c r="U100" s="16">
        <f>IF(ROWS($U$2:$U100)&lt;=MAX('Per Line'!$V$2:$V$1501),MATCH(ROWS($U$2:$U100),'Per Line'!$V$2:$V$1501,0),"")</f>
        <v/>
      </c>
      <c r="V100">
        <f>IF($U100="","",B100&amp;"|"&amp;COUNTIF($B$2:$B100,B100))</f>
        <v/>
      </c>
    </row>
    <row r="101">
      <c r="A101">
        <f>IF($U101="","",INDEX('Per Line'!$B$2:$B$1501,$U101)&amp;"")</f>
        <v/>
      </c>
      <c r="B101">
        <f>IF($U101="","","COPY "&amp;G101&amp;" %")</f>
        <v/>
      </c>
      <c r="C101" s="15" t="n"/>
      <c r="D101">
        <f>IF($U101="","",INDEX('Per Line'!$C$2:$C$1501,$U101)&amp;"")</f>
        <v/>
      </c>
      <c r="E101">
        <f>IF($U101="","",INDEX('Per Line'!$D$2:$D$1501,$U101)&amp;"")</f>
        <v/>
      </c>
      <c r="F101">
        <f>IF($U101="","",INDEX('Per Line'!$E$2:$E$1501,$U101)&amp;"")</f>
        <v/>
      </c>
      <c r="G101">
        <f>IF($U101="","",INDEX('Per Line'!$F$2:$F$1501,$U101))</f>
        <v/>
      </c>
      <c r="H101" s="7">
        <f>IF($U101="","",G101*S101/100)</f>
        <v/>
      </c>
      <c r="I101" s="14">
        <f>IF($U101="","",INDEX('Per Line'!$R$2:$R$1501,$U101))</f>
        <v/>
      </c>
      <c r="J101">
        <f>IF($U101="","",INDEX('Per Line'!$Q$2:$Q$1501,$U101)&amp;"")</f>
        <v/>
      </c>
      <c r="K101">
        <f>IF($U101="","",Settings!$C$7)</f>
        <v/>
      </c>
      <c r="L101" s="7">
        <f>IF($U101="","",SUMIFS('Per Line'!$L$2:$L$1501,'Per Line'!$B$2:$B$1501,$A101,'Per Line'!$W$2:$W$1501,0))</f>
        <v/>
      </c>
      <c r="M101" s="7">
        <f>IF($U101="","",L101*K101)</f>
        <v/>
      </c>
      <c r="N101">
        <f>IF($U101="","",Settings!$C$6)</f>
        <v/>
      </c>
      <c r="O101" s="7">
        <f>IF($U101="","",SUMIFS('Per Line'!$L$2:$L$1501,'Per Line'!$B$2:$B$1501,$A101,'Per Line'!$W$2:$W$1501,1))</f>
        <v/>
      </c>
      <c r="P101" s="7">
        <f>IF($U101="","",O101*N101)</f>
        <v/>
      </c>
      <c r="Q101" s="7">
        <f>IF($U101="","",P101+M101)</f>
        <v/>
      </c>
      <c r="R101" s="7">
        <f>IF($U101="","",S101-Q101)</f>
        <v/>
      </c>
      <c r="S101" s="7">
        <f>IF($U101="","",L101+O101)</f>
        <v/>
      </c>
      <c r="T101" s="7">
        <f>IF($U101="","",S101-Q101-H101)</f>
        <v/>
      </c>
      <c r="U101" s="16">
        <f>IF(ROWS($U$2:$U101)&lt;=MAX('Per Line'!$V$2:$V$1501),MATCH(ROWS($U$2:$U101),'Per Line'!$V$2:$V$1501,0),"")</f>
        <v/>
      </c>
      <c r="V101">
        <f>IF($U101="","",B101&amp;"|"&amp;COUNTIF($B$2:$B101,B101))</f>
        <v/>
      </c>
    </row>
    <row r="102">
      <c r="A102">
        <f>IF($U102="","",INDEX('Per Line'!$B$2:$B$1501,$U102)&amp;"")</f>
        <v/>
      </c>
      <c r="B102">
        <f>IF($U102="","","COPY "&amp;G102&amp;" %")</f>
        <v/>
      </c>
      <c r="C102" s="15" t="n"/>
      <c r="D102">
        <f>IF($U102="","",INDEX('Per Line'!$C$2:$C$1501,$U102)&amp;"")</f>
        <v/>
      </c>
      <c r="E102">
        <f>IF($U102="","",INDEX('Per Line'!$D$2:$D$1501,$U102)&amp;"")</f>
        <v/>
      </c>
      <c r="F102">
        <f>IF($U102="","",INDEX('Per Line'!$E$2:$E$1501,$U102)&amp;"")</f>
        <v/>
      </c>
      <c r="G102">
        <f>IF($U102="","",INDEX('Per Line'!$F$2:$F$1501,$U102))</f>
        <v/>
      </c>
      <c r="H102" s="7">
        <f>IF($U102="","",G102*S102/100)</f>
        <v/>
      </c>
      <c r="I102" s="14">
        <f>IF($U102="","",INDEX('Per Line'!$R$2:$R$1501,$U102))</f>
        <v/>
      </c>
      <c r="J102">
        <f>IF($U102="","",INDEX('Per Line'!$Q$2:$Q$1501,$U102)&amp;"")</f>
        <v/>
      </c>
      <c r="K102">
        <f>IF($U102="","",Settings!$C$7)</f>
        <v/>
      </c>
      <c r="L102" s="7">
        <f>IF($U102="","",SUMIFS('Per Line'!$L$2:$L$1501,'Per Line'!$B$2:$B$1501,$A102,'Per Line'!$W$2:$W$1501,0))</f>
        <v/>
      </c>
      <c r="M102" s="7">
        <f>IF($U102="","",L102*K102)</f>
        <v/>
      </c>
      <c r="N102">
        <f>IF($U102="","",Settings!$C$6)</f>
        <v/>
      </c>
      <c r="O102" s="7">
        <f>IF($U102="","",SUMIFS('Per Line'!$L$2:$L$1501,'Per Line'!$B$2:$B$1501,$A102,'Per Line'!$W$2:$W$1501,1))</f>
        <v/>
      </c>
      <c r="P102" s="7">
        <f>IF($U102="","",O102*N102)</f>
        <v/>
      </c>
      <c r="Q102" s="7">
        <f>IF($U102="","",P102+M102)</f>
        <v/>
      </c>
      <c r="R102" s="7">
        <f>IF($U102="","",S102-Q102)</f>
        <v/>
      </c>
      <c r="S102" s="7">
        <f>IF($U102="","",L102+O102)</f>
        <v/>
      </c>
      <c r="T102" s="7">
        <f>IF($U102="","",S102-Q102-H102)</f>
        <v/>
      </c>
      <c r="U102" s="16">
        <f>IF(ROWS($U$2:$U102)&lt;=MAX('Per Line'!$V$2:$V$1501),MATCH(ROWS($U$2:$U102),'Per Line'!$V$2:$V$1501,0),"")</f>
        <v/>
      </c>
      <c r="V102">
        <f>IF($U102="","",B102&amp;"|"&amp;COUNTIF($B$2:$B102,B102))</f>
        <v/>
      </c>
    </row>
    <row r="103">
      <c r="A103">
        <f>IF($U103="","",INDEX('Per Line'!$B$2:$B$1501,$U103)&amp;"")</f>
        <v/>
      </c>
      <c r="B103">
        <f>IF($U103="","","COPY "&amp;G103&amp;" %")</f>
        <v/>
      </c>
      <c r="C103" s="15" t="n"/>
      <c r="D103">
        <f>IF($U103="","",INDEX('Per Line'!$C$2:$C$1501,$U103)&amp;"")</f>
        <v/>
      </c>
      <c r="E103">
        <f>IF($U103="","",INDEX('Per Line'!$D$2:$D$1501,$U103)&amp;"")</f>
        <v/>
      </c>
      <c r="F103">
        <f>IF($U103="","",INDEX('Per Line'!$E$2:$E$1501,$U103)&amp;"")</f>
        <v/>
      </c>
      <c r="G103">
        <f>IF($U103="","",INDEX('Per Line'!$F$2:$F$1501,$U103))</f>
        <v/>
      </c>
      <c r="H103" s="7">
        <f>IF($U103="","",G103*S103/100)</f>
        <v/>
      </c>
      <c r="I103" s="14">
        <f>IF($U103="","",INDEX('Per Line'!$R$2:$R$1501,$U103))</f>
        <v/>
      </c>
      <c r="J103">
        <f>IF($U103="","",INDEX('Per Line'!$Q$2:$Q$1501,$U103)&amp;"")</f>
        <v/>
      </c>
      <c r="K103">
        <f>IF($U103="","",Settings!$C$7)</f>
        <v/>
      </c>
      <c r="L103" s="7">
        <f>IF($U103="","",SUMIFS('Per Line'!$L$2:$L$1501,'Per Line'!$B$2:$B$1501,$A103,'Per Line'!$W$2:$W$1501,0))</f>
        <v/>
      </c>
      <c r="M103" s="7">
        <f>IF($U103="","",L103*K103)</f>
        <v/>
      </c>
      <c r="N103">
        <f>IF($U103="","",Settings!$C$6)</f>
        <v/>
      </c>
      <c r="O103" s="7">
        <f>IF($U103="","",SUMIFS('Per Line'!$L$2:$L$1501,'Per Line'!$B$2:$B$1501,$A103,'Per Line'!$W$2:$W$1501,1))</f>
        <v/>
      </c>
      <c r="P103" s="7">
        <f>IF($U103="","",O103*N103)</f>
        <v/>
      </c>
      <c r="Q103" s="7">
        <f>IF($U103="","",P103+M103)</f>
        <v/>
      </c>
      <c r="R103" s="7">
        <f>IF($U103="","",S103-Q103)</f>
        <v/>
      </c>
      <c r="S103" s="7">
        <f>IF($U103="","",L103+O103)</f>
        <v/>
      </c>
      <c r="T103" s="7">
        <f>IF($U103="","",S103-Q103-H103)</f>
        <v/>
      </c>
      <c r="U103" s="16">
        <f>IF(ROWS($U$2:$U103)&lt;=MAX('Per Line'!$V$2:$V$1501),MATCH(ROWS($U$2:$U103),'Per Line'!$V$2:$V$1501,0),"")</f>
        <v/>
      </c>
      <c r="V103">
        <f>IF($U103="","",B103&amp;"|"&amp;COUNTIF($B$2:$B103,B103))</f>
        <v/>
      </c>
    </row>
    <row r="104">
      <c r="A104">
        <f>IF($U104="","",INDEX('Per Line'!$B$2:$B$1501,$U104)&amp;"")</f>
        <v/>
      </c>
      <c r="B104">
        <f>IF($U104="","","COPY "&amp;G104&amp;" %")</f>
        <v/>
      </c>
      <c r="C104" s="15" t="n"/>
      <c r="D104">
        <f>IF($U104="","",INDEX('Per Line'!$C$2:$C$1501,$U104)&amp;"")</f>
        <v/>
      </c>
      <c r="E104">
        <f>IF($U104="","",INDEX('Per Line'!$D$2:$D$1501,$U104)&amp;"")</f>
        <v/>
      </c>
      <c r="F104">
        <f>IF($U104="","",INDEX('Per Line'!$E$2:$E$1501,$U104)&amp;"")</f>
        <v/>
      </c>
      <c r="G104">
        <f>IF($U104="","",INDEX('Per Line'!$F$2:$F$1501,$U104))</f>
        <v/>
      </c>
      <c r="H104" s="7">
        <f>IF($U104="","",G104*S104/100)</f>
        <v/>
      </c>
      <c r="I104" s="14">
        <f>IF($U104="","",INDEX('Per Line'!$R$2:$R$1501,$U104))</f>
        <v/>
      </c>
      <c r="J104">
        <f>IF($U104="","",INDEX('Per Line'!$Q$2:$Q$1501,$U104)&amp;"")</f>
        <v/>
      </c>
      <c r="K104">
        <f>IF($U104="","",Settings!$C$7)</f>
        <v/>
      </c>
      <c r="L104" s="7">
        <f>IF($U104="","",SUMIFS('Per Line'!$L$2:$L$1501,'Per Line'!$B$2:$B$1501,$A104,'Per Line'!$W$2:$W$1501,0))</f>
        <v/>
      </c>
      <c r="M104" s="7">
        <f>IF($U104="","",L104*K104)</f>
        <v/>
      </c>
      <c r="N104">
        <f>IF($U104="","",Settings!$C$6)</f>
        <v/>
      </c>
      <c r="O104" s="7">
        <f>IF($U104="","",SUMIFS('Per Line'!$L$2:$L$1501,'Per Line'!$B$2:$B$1501,$A104,'Per Line'!$W$2:$W$1501,1))</f>
        <v/>
      </c>
      <c r="P104" s="7">
        <f>IF($U104="","",O104*N104)</f>
        <v/>
      </c>
      <c r="Q104" s="7">
        <f>IF($U104="","",P104+M104)</f>
        <v/>
      </c>
      <c r="R104" s="7">
        <f>IF($U104="","",S104-Q104)</f>
        <v/>
      </c>
      <c r="S104" s="7">
        <f>IF($U104="","",L104+O104)</f>
        <v/>
      </c>
      <c r="T104" s="7">
        <f>IF($U104="","",S104-Q104-H104)</f>
        <v/>
      </c>
      <c r="U104" s="16">
        <f>IF(ROWS($U$2:$U104)&lt;=MAX('Per Line'!$V$2:$V$1501),MATCH(ROWS($U$2:$U104),'Per Line'!$V$2:$V$1501,0),"")</f>
        <v/>
      </c>
      <c r="V104">
        <f>IF($U104="","",B104&amp;"|"&amp;COUNTIF($B$2:$B104,B104))</f>
        <v/>
      </c>
    </row>
    <row r="105">
      <c r="A105">
        <f>IF($U105="","",INDEX('Per Line'!$B$2:$B$1501,$U105)&amp;"")</f>
        <v/>
      </c>
      <c r="B105">
        <f>IF($U105="","","COPY "&amp;G105&amp;" %")</f>
        <v/>
      </c>
      <c r="C105" s="15" t="n"/>
      <c r="D105">
        <f>IF($U105="","",INDEX('Per Line'!$C$2:$C$1501,$U105)&amp;"")</f>
        <v/>
      </c>
      <c r="E105">
        <f>IF($U105="","",INDEX('Per Line'!$D$2:$D$1501,$U105)&amp;"")</f>
        <v/>
      </c>
      <c r="F105">
        <f>IF($U105="","",INDEX('Per Line'!$E$2:$E$1501,$U105)&amp;"")</f>
        <v/>
      </c>
      <c r="G105">
        <f>IF($U105="","",INDEX('Per Line'!$F$2:$F$1501,$U105))</f>
        <v/>
      </c>
      <c r="H105" s="7">
        <f>IF($U105="","",G105*S105/100)</f>
        <v/>
      </c>
      <c r="I105" s="14">
        <f>IF($U105="","",INDEX('Per Line'!$R$2:$R$1501,$U105))</f>
        <v/>
      </c>
      <c r="J105">
        <f>IF($U105="","",INDEX('Per Line'!$Q$2:$Q$1501,$U105)&amp;"")</f>
        <v/>
      </c>
      <c r="K105">
        <f>IF($U105="","",Settings!$C$7)</f>
        <v/>
      </c>
      <c r="L105" s="7">
        <f>IF($U105="","",SUMIFS('Per Line'!$L$2:$L$1501,'Per Line'!$B$2:$B$1501,$A105,'Per Line'!$W$2:$W$1501,0))</f>
        <v/>
      </c>
      <c r="M105" s="7">
        <f>IF($U105="","",L105*K105)</f>
        <v/>
      </c>
      <c r="N105">
        <f>IF($U105="","",Settings!$C$6)</f>
        <v/>
      </c>
      <c r="O105" s="7">
        <f>IF($U105="","",SUMIFS('Per Line'!$L$2:$L$1501,'Per Line'!$B$2:$B$1501,$A105,'Per Line'!$W$2:$W$1501,1))</f>
        <v/>
      </c>
      <c r="P105" s="7">
        <f>IF($U105="","",O105*N105)</f>
        <v/>
      </c>
      <c r="Q105" s="7">
        <f>IF($U105="","",P105+M105)</f>
        <v/>
      </c>
      <c r="R105" s="7">
        <f>IF($U105="","",S105-Q105)</f>
        <v/>
      </c>
      <c r="S105" s="7">
        <f>IF($U105="","",L105+O105)</f>
        <v/>
      </c>
      <c r="T105" s="7">
        <f>IF($U105="","",S105-Q105-H105)</f>
        <v/>
      </c>
      <c r="U105" s="16">
        <f>IF(ROWS($U$2:$U105)&lt;=MAX('Per Line'!$V$2:$V$1501),MATCH(ROWS($U$2:$U105),'Per Line'!$V$2:$V$1501,0),"")</f>
        <v/>
      </c>
      <c r="V105">
        <f>IF($U105="","",B105&amp;"|"&amp;COUNTIF($B$2:$B105,B105))</f>
        <v/>
      </c>
    </row>
    <row r="106">
      <c r="A106">
        <f>IF($U106="","",INDEX('Per Line'!$B$2:$B$1501,$U106)&amp;"")</f>
        <v/>
      </c>
      <c r="B106">
        <f>IF($U106="","","COPY "&amp;G106&amp;" %")</f>
        <v/>
      </c>
      <c r="C106" s="15" t="n"/>
      <c r="D106">
        <f>IF($U106="","",INDEX('Per Line'!$C$2:$C$1501,$U106)&amp;"")</f>
        <v/>
      </c>
      <c r="E106">
        <f>IF($U106="","",INDEX('Per Line'!$D$2:$D$1501,$U106)&amp;"")</f>
        <v/>
      </c>
      <c r="F106">
        <f>IF($U106="","",INDEX('Per Line'!$E$2:$E$1501,$U106)&amp;"")</f>
        <v/>
      </c>
      <c r="G106">
        <f>IF($U106="","",INDEX('Per Line'!$F$2:$F$1501,$U106))</f>
        <v/>
      </c>
      <c r="H106" s="7">
        <f>IF($U106="","",G106*S106/100)</f>
        <v/>
      </c>
      <c r="I106" s="14">
        <f>IF($U106="","",INDEX('Per Line'!$R$2:$R$1501,$U106))</f>
        <v/>
      </c>
      <c r="J106">
        <f>IF($U106="","",INDEX('Per Line'!$Q$2:$Q$1501,$U106)&amp;"")</f>
        <v/>
      </c>
      <c r="K106">
        <f>IF($U106="","",Settings!$C$7)</f>
        <v/>
      </c>
      <c r="L106" s="7">
        <f>IF($U106="","",SUMIFS('Per Line'!$L$2:$L$1501,'Per Line'!$B$2:$B$1501,$A106,'Per Line'!$W$2:$W$1501,0))</f>
        <v/>
      </c>
      <c r="M106" s="7">
        <f>IF($U106="","",L106*K106)</f>
        <v/>
      </c>
      <c r="N106">
        <f>IF($U106="","",Settings!$C$6)</f>
        <v/>
      </c>
      <c r="O106" s="7">
        <f>IF($U106="","",SUMIFS('Per Line'!$L$2:$L$1501,'Per Line'!$B$2:$B$1501,$A106,'Per Line'!$W$2:$W$1501,1))</f>
        <v/>
      </c>
      <c r="P106" s="7">
        <f>IF($U106="","",O106*N106)</f>
        <v/>
      </c>
      <c r="Q106" s="7">
        <f>IF($U106="","",P106+M106)</f>
        <v/>
      </c>
      <c r="R106" s="7">
        <f>IF($U106="","",S106-Q106)</f>
        <v/>
      </c>
      <c r="S106" s="7">
        <f>IF($U106="","",L106+O106)</f>
        <v/>
      </c>
      <c r="T106" s="7">
        <f>IF($U106="","",S106-Q106-H106)</f>
        <v/>
      </c>
      <c r="U106" s="16">
        <f>IF(ROWS($U$2:$U106)&lt;=MAX('Per Line'!$V$2:$V$1501),MATCH(ROWS($U$2:$U106),'Per Line'!$V$2:$V$1501,0),"")</f>
        <v/>
      </c>
      <c r="V106">
        <f>IF($U106="","",B106&amp;"|"&amp;COUNTIF($B$2:$B106,B106))</f>
        <v/>
      </c>
    </row>
    <row r="107">
      <c r="A107">
        <f>IF($U107="","",INDEX('Per Line'!$B$2:$B$1501,$U107)&amp;"")</f>
        <v/>
      </c>
      <c r="B107">
        <f>IF($U107="","","COPY "&amp;G107&amp;" %")</f>
        <v/>
      </c>
      <c r="C107" s="15" t="n"/>
      <c r="D107">
        <f>IF($U107="","",INDEX('Per Line'!$C$2:$C$1501,$U107)&amp;"")</f>
        <v/>
      </c>
      <c r="E107">
        <f>IF($U107="","",INDEX('Per Line'!$D$2:$D$1501,$U107)&amp;"")</f>
        <v/>
      </c>
      <c r="F107">
        <f>IF($U107="","",INDEX('Per Line'!$E$2:$E$1501,$U107)&amp;"")</f>
        <v/>
      </c>
      <c r="G107">
        <f>IF($U107="","",INDEX('Per Line'!$F$2:$F$1501,$U107))</f>
        <v/>
      </c>
      <c r="H107" s="7">
        <f>IF($U107="","",G107*S107/100)</f>
        <v/>
      </c>
      <c r="I107" s="14">
        <f>IF($U107="","",INDEX('Per Line'!$R$2:$R$1501,$U107))</f>
        <v/>
      </c>
      <c r="J107">
        <f>IF($U107="","",INDEX('Per Line'!$Q$2:$Q$1501,$U107)&amp;"")</f>
        <v/>
      </c>
      <c r="K107">
        <f>IF($U107="","",Settings!$C$7)</f>
        <v/>
      </c>
      <c r="L107" s="7">
        <f>IF($U107="","",SUMIFS('Per Line'!$L$2:$L$1501,'Per Line'!$B$2:$B$1501,$A107,'Per Line'!$W$2:$W$1501,0))</f>
        <v/>
      </c>
      <c r="M107" s="7">
        <f>IF($U107="","",L107*K107)</f>
        <v/>
      </c>
      <c r="N107">
        <f>IF($U107="","",Settings!$C$6)</f>
        <v/>
      </c>
      <c r="O107" s="7">
        <f>IF($U107="","",SUMIFS('Per Line'!$L$2:$L$1501,'Per Line'!$B$2:$B$1501,$A107,'Per Line'!$W$2:$W$1501,1))</f>
        <v/>
      </c>
      <c r="P107" s="7">
        <f>IF($U107="","",O107*N107)</f>
        <v/>
      </c>
      <c r="Q107" s="7">
        <f>IF($U107="","",P107+M107)</f>
        <v/>
      </c>
      <c r="R107" s="7">
        <f>IF($U107="","",S107-Q107)</f>
        <v/>
      </c>
      <c r="S107" s="7">
        <f>IF($U107="","",L107+O107)</f>
        <v/>
      </c>
      <c r="T107" s="7">
        <f>IF($U107="","",S107-Q107-H107)</f>
        <v/>
      </c>
      <c r="U107" s="16">
        <f>IF(ROWS($U$2:$U107)&lt;=MAX('Per Line'!$V$2:$V$1501),MATCH(ROWS($U$2:$U107),'Per Line'!$V$2:$V$1501,0),"")</f>
        <v/>
      </c>
      <c r="V107">
        <f>IF($U107="","",B107&amp;"|"&amp;COUNTIF($B$2:$B107,B107))</f>
        <v/>
      </c>
    </row>
    <row r="108">
      <c r="A108">
        <f>IF($U108="","",INDEX('Per Line'!$B$2:$B$1501,$U108)&amp;"")</f>
        <v/>
      </c>
      <c r="B108">
        <f>IF($U108="","","COPY "&amp;G108&amp;" %")</f>
        <v/>
      </c>
      <c r="C108" s="15" t="n"/>
      <c r="D108">
        <f>IF($U108="","",INDEX('Per Line'!$C$2:$C$1501,$U108)&amp;"")</f>
        <v/>
      </c>
      <c r="E108">
        <f>IF($U108="","",INDEX('Per Line'!$D$2:$D$1501,$U108)&amp;"")</f>
        <v/>
      </c>
      <c r="F108">
        <f>IF($U108="","",INDEX('Per Line'!$E$2:$E$1501,$U108)&amp;"")</f>
        <v/>
      </c>
      <c r="G108">
        <f>IF($U108="","",INDEX('Per Line'!$F$2:$F$1501,$U108))</f>
        <v/>
      </c>
      <c r="H108" s="7">
        <f>IF($U108="","",G108*S108/100)</f>
        <v/>
      </c>
      <c r="I108" s="14">
        <f>IF($U108="","",INDEX('Per Line'!$R$2:$R$1501,$U108))</f>
        <v/>
      </c>
      <c r="J108">
        <f>IF($U108="","",INDEX('Per Line'!$Q$2:$Q$1501,$U108)&amp;"")</f>
        <v/>
      </c>
      <c r="K108">
        <f>IF($U108="","",Settings!$C$7)</f>
        <v/>
      </c>
      <c r="L108" s="7">
        <f>IF($U108="","",SUMIFS('Per Line'!$L$2:$L$1501,'Per Line'!$B$2:$B$1501,$A108,'Per Line'!$W$2:$W$1501,0))</f>
        <v/>
      </c>
      <c r="M108" s="7">
        <f>IF($U108="","",L108*K108)</f>
        <v/>
      </c>
      <c r="N108">
        <f>IF($U108="","",Settings!$C$6)</f>
        <v/>
      </c>
      <c r="O108" s="7">
        <f>IF($U108="","",SUMIFS('Per Line'!$L$2:$L$1501,'Per Line'!$B$2:$B$1501,$A108,'Per Line'!$W$2:$W$1501,1))</f>
        <v/>
      </c>
      <c r="P108" s="7">
        <f>IF($U108="","",O108*N108)</f>
        <v/>
      </c>
      <c r="Q108" s="7">
        <f>IF($U108="","",P108+M108)</f>
        <v/>
      </c>
      <c r="R108" s="7">
        <f>IF($U108="","",S108-Q108)</f>
        <v/>
      </c>
      <c r="S108" s="7">
        <f>IF($U108="","",L108+O108)</f>
        <v/>
      </c>
      <c r="T108" s="7">
        <f>IF($U108="","",S108-Q108-H108)</f>
        <v/>
      </c>
      <c r="U108" s="16">
        <f>IF(ROWS($U$2:$U108)&lt;=MAX('Per Line'!$V$2:$V$1501),MATCH(ROWS($U$2:$U108),'Per Line'!$V$2:$V$1501,0),"")</f>
        <v/>
      </c>
      <c r="V108">
        <f>IF($U108="","",B108&amp;"|"&amp;COUNTIF($B$2:$B108,B108))</f>
        <v/>
      </c>
    </row>
    <row r="109">
      <c r="A109">
        <f>IF($U109="","",INDEX('Per Line'!$B$2:$B$1501,$U109)&amp;"")</f>
        <v/>
      </c>
      <c r="B109">
        <f>IF($U109="","","COPY "&amp;G109&amp;" %")</f>
        <v/>
      </c>
      <c r="C109" s="15" t="n"/>
      <c r="D109">
        <f>IF($U109="","",INDEX('Per Line'!$C$2:$C$1501,$U109)&amp;"")</f>
        <v/>
      </c>
      <c r="E109">
        <f>IF($U109="","",INDEX('Per Line'!$D$2:$D$1501,$U109)&amp;"")</f>
        <v/>
      </c>
      <c r="F109">
        <f>IF($U109="","",INDEX('Per Line'!$E$2:$E$1501,$U109)&amp;"")</f>
        <v/>
      </c>
      <c r="G109">
        <f>IF($U109="","",INDEX('Per Line'!$F$2:$F$1501,$U109))</f>
        <v/>
      </c>
      <c r="H109" s="7">
        <f>IF($U109="","",G109*S109/100)</f>
        <v/>
      </c>
      <c r="I109" s="14">
        <f>IF($U109="","",INDEX('Per Line'!$R$2:$R$1501,$U109))</f>
        <v/>
      </c>
      <c r="J109">
        <f>IF($U109="","",INDEX('Per Line'!$Q$2:$Q$1501,$U109)&amp;"")</f>
        <v/>
      </c>
      <c r="K109">
        <f>IF($U109="","",Settings!$C$7)</f>
        <v/>
      </c>
      <c r="L109" s="7">
        <f>IF($U109="","",SUMIFS('Per Line'!$L$2:$L$1501,'Per Line'!$B$2:$B$1501,$A109,'Per Line'!$W$2:$W$1501,0))</f>
        <v/>
      </c>
      <c r="M109" s="7">
        <f>IF($U109="","",L109*K109)</f>
        <v/>
      </c>
      <c r="N109">
        <f>IF($U109="","",Settings!$C$6)</f>
        <v/>
      </c>
      <c r="O109" s="7">
        <f>IF($U109="","",SUMIFS('Per Line'!$L$2:$L$1501,'Per Line'!$B$2:$B$1501,$A109,'Per Line'!$W$2:$W$1501,1))</f>
        <v/>
      </c>
      <c r="P109" s="7">
        <f>IF($U109="","",O109*N109)</f>
        <v/>
      </c>
      <c r="Q109" s="7">
        <f>IF($U109="","",P109+M109)</f>
        <v/>
      </c>
      <c r="R109" s="7">
        <f>IF($U109="","",S109-Q109)</f>
        <v/>
      </c>
      <c r="S109" s="7">
        <f>IF($U109="","",L109+O109)</f>
        <v/>
      </c>
      <c r="T109" s="7">
        <f>IF($U109="","",S109-Q109-H109)</f>
        <v/>
      </c>
      <c r="U109" s="16">
        <f>IF(ROWS($U$2:$U109)&lt;=MAX('Per Line'!$V$2:$V$1501),MATCH(ROWS($U$2:$U109),'Per Line'!$V$2:$V$1501,0),"")</f>
        <v/>
      </c>
      <c r="V109">
        <f>IF($U109="","",B109&amp;"|"&amp;COUNTIF($B$2:$B109,B109))</f>
        <v/>
      </c>
    </row>
    <row r="110">
      <c r="A110">
        <f>IF($U110="","",INDEX('Per Line'!$B$2:$B$1501,$U110)&amp;"")</f>
        <v/>
      </c>
      <c r="B110">
        <f>IF($U110="","","COPY "&amp;G110&amp;" %")</f>
        <v/>
      </c>
      <c r="C110" s="15" t="n"/>
      <c r="D110">
        <f>IF($U110="","",INDEX('Per Line'!$C$2:$C$1501,$U110)&amp;"")</f>
        <v/>
      </c>
      <c r="E110">
        <f>IF($U110="","",INDEX('Per Line'!$D$2:$D$1501,$U110)&amp;"")</f>
        <v/>
      </c>
      <c r="F110">
        <f>IF($U110="","",INDEX('Per Line'!$E$2:$E$1501,$U110)&amp;"")</f>
        <v/>
      </c>
      <c r="G110">
        <f>IF($U110="","",INDEX('Per Line'!$F$2:$F$1501,$U110))</f>
        <v/>
      </c>
      <c r="H110" s="7">
        <f>IF($U110="","",G110*S110/100)</f>
        <v/>
      </c>
      <c r="I110" s="14">
        <f>IF($U110="","",INDEX('Per Line'!$R$2:$R$1501,$U110))</f>
        <v/>
      </c>
      <c r="J110">
        <f>IF($U110="","",INDEX('Per Line'!$Q$2:$Q$1501,$U110)&amp;"")</f>
        <v/>
      </c>
      <c r="K110">
        <f>IF($U110="","",Settings!$C$7)</f>
        <v/>
      </c>
      <c r="L110" s="7">
        <f>IF($U110="","",SUMIFS('Per Line'!$L$2:$L$1501,'Per Line'!$B$2:$B$1501,$A110,'Per Line'!$W$2:$W$1501,0))</f>
        <v/>
      </c>
      <c r="M110" s="7">
        <f>IF($U110="","",L110*K110)</f>
        <v/>
      </c>
      <c r="N110">
        <f>IF($U110="","",Settings!$C$6)</f>
        <v/>
      </c>
      <c r="O110" s="7">
        <f>IF($U110="","",SUMIFS('Per Line'!$L$2:$L$1501,'Per Line'!$B$2:$B$1501,$A110,'Per Line'!$W$2:$W$1501,1))</f>
        <v/>
      </c>
      <c r="P110" s="7">
        <f>IF($U110="","",O110*N110)</f>
        <v/>
      </c>
      <c r="Q110" s="7">
        <f>IF($U110="","",P110+M110)</f>
        <v/>
      </c>
      <c r="R110" s="7">
        <f>IF($U110="","",S110-Q110)</f>
        <v/>
      </c>
      <c r="S110" s="7">
        <f>IF($U110="","",L110+O110)</f>
        <v/>
      </c>
      <c r="T110" s="7">
        <f>IF($U110="","",S110-Q110-H110)</f>
        <v/>
      </c>
      <c r="U110" s="16">
        <f>IF(ROWS($U$2:$U110)&lt;=MAX('Per Line'!$V$2:$V$1501),MATCH(ROWS($U$2:$U110),'Per Line'!$V$2:$V$1501,0),"")</f>
        <v/>
      </c>
      <c r="V110">
        <f>IF($U110="","",B110&amp;"|"&amp;COUNTIF($B$2:$B110,B110))</f>
        <v/>
      </c>
    </row>
    <row r="111">
      <c r="A111">
        <f>IF($U111="","",INDEX('Per Line'!$B$2:$B$1501,$U111)&amp;"")</f>
        <v/>
      </c>
      <c r="B111">
        <f>IF($U111="","","COPY "&amp;G111&amp;" %")</f>
        <v/>
      </c>
      <c r="C111" s="15" t="n"/>
      <c r="D111">
        <f>IF($U111="","",INDEX('Per Line'!$C$2:$C$1501,$U111)&amp;"")</f>
        <v/>
      </c>
      <c r="E111">
        <f>IF($U111="","",INDEX('Per Line'!$D$2:$D$1501,$U111)&amp;"")</f>
        <v/>
      </c>
      <c r="F111">
        <f>IF($U111="","",INDEX('Per Line'!$E$2:$E$1501,$U111)&amp;"")</f>
        <v/>
      </c>
      <c r="G111">
        <f>IF($U111="","",INDEX('Per Line'!$F$2:$F$1501,$U111))</f>
        <v/>
      </c>
      <c r="H111" s="7">
        <f>IF($U111="","",G111*S111/100)</f>
        <v/>
      </c>
      <c r="I111" s="14">
        <f>IF($U111="","",INDEX('Per Line'!$R$2:$R$1501,$U111))</f>
        <v/>
      </c>
      <c r="J111">
        <f>IF($U111="","",INDEX('Per Line'!$Q$2:$Q$1501,$U111)&amp;"")</f>
        <v/>
      </c>
      <c r="K111">
        <f>IF($U111="","",Settings!$C$7)</f>
        <v/>
      </c>
      <c r="L111" s="7">
        <f>IF($U111="","",SUMIFS('Per Line'!$L$2:$L$1501,'Per Line'!$B$2:$B$1501,$A111,'Per Line'!$W$2:$W$1501,0))</f>
        <v/>
      </c>
      <c r="M111" s="7">
        <f>IF($U111="","",L111*K111)</f>
        <v/>
      </c>
      <c r="N111">
        <f>IF($U111="","",Settings!$C$6)</f>
        <v/>
      </c>
      <c r="O111" s="7">
        <f>IF($U111="","",SUMIFS('Per Line'!$L$2:$L$1501,'Per Line'!$B$2:$B$1501,$A111,'Per Line'!$W$2:$W$1501,1))</f>
        <v/>
      </c>
      <c r="P111" s="7">
        <f>IF($U111="","",O111*N111)</f>
        <v/>
      </c>
      <c r="Q111" s="7">
        <f>IF($U111="","",P111+M111)</f>
        <v/>
      </c>
      <c r="R111" s="7">
        <f>IF($U111="","",S111-Q111)</f>
        <v/>
      </c>
      <c r="S111" s="7">
        <f>IF($U111="","",L111+O111)</f>
        <v/>
      </c>
      <c r="T111" s="7">
        <f>IF($U111="","",S111-Q111-H111)</f>
        <v/>
      </c>
      <c r="U111" s="16">
        <f>IF(ROWS($U$2:$U111)&lt;=MAX('Per Line'!$V$2:$V$1501),MATCH(ROWS($U$2:$U111),'Per Line'!$V$2:$V$1501,0),"")</f>
        <v/>
      </c>
      <c r="V111">
        <f>IF($U111="","",B111&amp;"|"&amp;COUNTIF($B$2:$B111,B111))</f>
        <v/>
      </c>
    </row>
    <row r="112">
      <c r="A112">
        <f>IF($U112="","",INDEX('Per Line'!$B$2:$B$1501,$U112)&amp;"")</f>
        <v/>
      </c>
      <c r="B112">
        <f>IF($U112="","","COPY "&amp;G112&amp;" %")</f>
        <v/>
      </c>
      <c r="C112" s="15" t="n"/>
      <c r="D112">
        <f>IF($U112="","",INDEX('Per Line'!$C$2:$C$1501,$U112)&amp;"")</f>
        <v/>
      </c>
      <c r="E112">
        <f>IF($U112="","",INDEX('Per Line'!$D$2:$D$1501,$U112)&amp;"")</f>
        <v/>
      </c>
      <c r="F112">
        <f>IF($U112="","",INDEX('Per Line'!$E$2:$E$1501,$U112)&amp;"")</f>
        <v/>
      </c>
      <c r="G112">
        <f>IF($U112="","",INDEX('Per Line'!$F$2:$F$1501,$U112))</f>
        <v/>
      </c>
      <c r="H112" s="7">
        <f>IF($U112="","",G112*S112/100)</f>
        <v/>
      </c>
      <c r="I112" s="14">
        <f>IF($U112="","",INDEX('Per Line'!$R$2:$R$1501,$U112))</f>
        <v/>
      </c>
      <c r="J112">
        <f>IF($U112="","",INDEX('Per Line'!$Q$2:$Q$1501,$U112)&amp;"")</f>
        <v/>
      </c>
      <c r="K112">
        <f>IF($U112="","",Settings!$C$7)</f>
        <v/>
      </c>
      <c r="L112" s="7">
        <f>IF($U112="","",SUMIFS('Per Line'!$L$2:$L$1501,'Per Line'!$B$2:$B$1501,$A112,'Per Line'!$W$2:$W$1501,0))</f>
        <v/>
      </c>
      <c r="M112" s="7">
        <f>IF($U112="","",L112*K112)</f>
        <v/>
      </c>
      <c r="N112">
        <f>IF($U112="","",Settings!$C$6)</f>
        <v/>
      </c>
      <c r="O112" s="7">
        <f>IF($U112="","",SUMIFS('Per Line'!$L$2:$L$1501,'Per Line'!$B$2:$B$1501,$A112,'Per Line'!$W$2:$W$1501,1))</f>
        <v/>
      </c>
      <c r="P112" s="7">
        <f>IF($U112="","",O112*N112)</f>
        <v/>
      </c>
      <c r="Q112" s="7">
        <f>IF($U112="","",P112+M112)</f>
        <v/>
      </c>
      <c r="R112" s="7">
        <f>IF($U112="","",S112-Q112)</f>
        <v/>
      </c>
      <c r="S112" s="7">
        <f>IF($U112="","",L112+O112)</f>
        <v/>
      </c>
      <c r="T112" s="7">
        <f>IF($U112="","",S112-Q112-H112)</f>
        <v/>
      </c>
      <c r="U112" s="16">
        <f>IF(ROWS($U$2:$U112)&lt;=MAX('Per Line'!$V$2:$V$1501),MATCH(ROWS($U$2:$U112),'Per Line'!$V$2:$V$1501,0),"")</f>
        <v/>
      </c>
      <c r="V112">
        <f>IF($U112="","",B112&amp;"|"&amp;COUNTIF($B$2:$B112,B112))</f>
        <v/>
      </c>
    </row>
    <row r="113">
      <c r="A113">
        <f>IF($U113="","",INDEX('Per Line'!$B$2:$B$1501,$U113)&amp;"")</f>
        <v/>
      </c>
      <c r="B113">
        <f>IF($U113="","","COPY "&amp;G113&amp;" %")</f>
        <v/>
      </c>
      <c r="C113" s="15" t="n"/>
      <c r="D113">
        <f>IF($U113="","",INDEX('Per Line'!$C$2:$C$1501,$U113)&amp;"")</f>
        <v/>
      </c>
      <c r="E113">
        <f>IF($U113="","",INDEX('Per Line'!$D$2:$D$1501,$U113)&amp;"")</f>
        <v/>
      </c>
      <c r="F113">
        <f>IF($U113="","",INDEX('Per Line'!$E$2:$E$1501,$U113)&amp;"")</f>
        <v/>
      </c>
      <c r="G113">
        <f>IF($U113="","",INDEX('Per Line'!$F$2:$F$1501,$U113))</f>
        <v/>
      </c>
      <c r="H113" s="7">
        <f>IF($U113="","",G113*S113/100)</f>
        <v/>
      </c>
      <c r="I113" s="14">
        <f>IF($U113="","",INDEX('Per Line'!$R$2:$R$1501,$U113))</f>
        <v/>
      </c>
      <c r="J113">
        <f>IF($U113="","",INDEX('Per Line'!$Q$2:$Q$1501,$U113)&amp;"")</f>
        <v/>
      </c>
      <c r="K113">
        <f>IF($U113="","",Settings!$C$7)</f>
        <v/>
      </c>
      <c r="L113" s="7">
        <f>IF($U113="","",SUMIFS('Per Line'!$L$2:$L$1501,'Per Line'!$B$2:$B$1501,$A113,'Per Line'!$W$2:$W$1501,0))</f>
        <v/>
      </c>
      <c r="M113" s="7">
        <f>IF($U113="","",L113*K113)</f>
        <v/>
      </c>
      <c r="N113">
        <f>IF($U113="","",Settings!$C$6)</f>
        <v/>
      </c>
      <c r="O113" s="7">
        <f>IF($U113="","",SUMIFS('Per Line'!$L$2:$L$1501,'Per Line'!$B$2:$B$1501,$A113,'Per Line'!$W$2:$W$1501,1))</f>
        <v/>
      </c>
      <c r="P113" s="7">
        <f>IF($U113="","",O113*N113)</f>
        <v/>
      </c>
      <c r="Q113" s="7">
        <f>IF($U113="","",P113+M113)</f>
        <v/>
      </c>
      <c r="R113" s="7">
        <f>IF($U113="","",S113-Q113)</f>
        <v/>
      </c>
      <c r="S113" s="7">
        <f>IF($U113="","",L113+O113)</f>
        <v/>
      </c>
      <c r="T113" s="7">
        <f>IF($U113="","",S113-Q113-H113)</f>
        <v/>
      </c>
      <c r="U113" s="16">
        <f>IF(ROWS($U$2:$U113)&lt;=MAX('Per Line'!$V$2:$V$1501),MATCH(ROWS($U$2:$U113),'Per Line'!$V$2:$V$1501,0),"")</f>
        <v/>
      </c>
      <c r="V113">
        <f>IF($U113="","",B113&amp;"|"&amp;COUNTIF($B$2:$B113,B113))</f>
        <v/>
      </c>
    </row>
    <row r="114">
      <c r="A114">
        <f>IF($U114="","",INDEX('Per Line'!$B$2:$B$1501,$U114)&amp;"")</f>
        <v/>
      </c>
      <c r="B114">
        <f>IF($U114="","","COPY "&amp;G114&amp;" %")</f>
        <v/>
      </c>
      <c r="C114" s="15" t="n"/>
      <c r="D114">
        <f>IF($U114="","",INDEX('Per Line'!$C$2:$C$1501,$U114)&amp;"")</f>
        <v/>
      </c>
      <c r="E114">
        <f>IF($U114="","",INDEX('Per Line'!$D$2:$D$1501,$U114)&amp;"")</f>
        <v/>
      </c>
      <c r="F114">
        <f>IF($U114="","",INDEX('Per Line'!$E$2:$E$1501,$U114)&amp;"")</f>
        <v/>
      </c>
      <c r="G114">
        <f>IF($U114="","",INDEX('Per Line'!$F$2:$F$1501,$U114))</f>
        <v/>
      </c>
      <c r="H114" s="7">
        <f>IF($U114="","",G114*S114/100)</f>
        <v/>
      </c>
      <c r="I114" s="14">
        <f>IF($U114="","",INDEX('Per Line'!$R$2:$R$1501,$U114))</f>
        <v/>
      </c>
      <c r="J114">
        <f>IF($U114="","",INDEX('Per Line'!$Q$2:$Q$1501,$U114)&amp;"")</f>
        <v/>
      </c>
      <c r="K114">
        <f>IF($U114="","",Settings!$C$7)</f>
        <v/>
      </c>
      <c r="L114" s="7">
        <f>IF($U114="","",SUMIFS('Per Line'!$L$2:$L$1501,'Per Line'!$B$2:$B$1501,$A114,'Per Line'!$W$2:$W$1501,0))</f>
        <v/>
      </c>
      <c r="M114" s="7">
        <f>IF($U114="","",L114*K114)</f>
        <v/>
      </c>
      <c r="N114">
        <f>IF($U114="","",Settings!$C$6)</f>
        <v/>
      </c>
      <c r="O114" s="7">
        <f>IF($U114="","",SUMIFS('Per Line'!$L$2:$L$1501,'Per Line'!$B$2:$B$1501,$A114,'Per Line'!$W$2:$W$1501,1))</f>
        <v/>
      </c>
      <c r="P114" s="7">
        <f>IF($U114="","",O114*N114)</f>
        <v/>
      </c>
      <c r="Q114" s="7">
        <f>IF($U114="","",P114+M114)</f>
        <v/>
      </c>
      <c r="R114" s="7">
        <f>IF($U114="","",S114-Q114)</f>
        <v/>
      </c>
      <c r="S114" s="7">
        <f>IF($U114="","",L114+O114)</f>
        <v/>
      </c>
      <c r="T114" s="7">
        <f>IF($U114="","",S114-Q114-H114)</f>
        <v/>
      </c>
      <c r="U114" s="16">
        <f>IF(ROWS($U$2:$U114)&lt;=MAX('Per Line'!$V$2:$V$1501),MATCH(ROWS($U$2:$U114),'Per Line'!$V$2:$V$1501,0),"")</f>
        <v/>
      </c>
      <c r="V114">
        <f>IF($U114="","",B114&amp;"|"&amp;COUNTIF($B$2:$B114,B114))</f>
        <v/>
      </c>
    </row>
    <row r="115">
      <c r="A115">
        <f>IF($U115="","",INDEX('Per Line'!$B$2:$B$1501,$U115)&amp;"")</f>
        <v/>
      </c>
      <c r="B115">
        <f>IF($U115="","","COPY "&amp;G115&amp;" %")</f>
        <v/>
      </c>
      <c r="C115" s="15" t="n"/>
      <c r="D115">
        <f>IF($U115="","",INDEX('Per Line'!$C$2:$C$1501,$U115)&amp;"")</f>
        <v/>
      </c>
      <c r="E115">
        <f>IF($U115="","",INDEX('Per Line'!$D$2:$D$1501,$U115)&amp;"")</f>
        <v/>
      </c>
      <c r="F115">
        <f>IF($U115="","",INDEX('Per Line'!$E$2:$E$1501,$U115)&amp;"")</f>
        <v/>
      </c>
      <c r="G115">
        <f>IF($U115="","",INDEX('Per Line'!$F$2:$F$1501,$U115))</f>
        <v/>
      </c>
      <c r="H115" s="7">
        <f>IF($U115="","",G115*S115/100)</f>
        <v/>
      </c>
      <c r="I115" s="14">
        <f>IF($U115="","",INDEX('Per Line'!$R$2:$R$1501,$U115))</f>
        <v/>
      </c>
      <c r="J115">
        <f>IF($U115="","",INDEX('Per Line'!$Q$2:$Q$1501,$U115)&amp;"")</f>
        <v/>
      </c>
      <c r="K115">
        <f>IF($U115="","",Settings!$C$7)</f>
        <v/>
      </c>
      <c r="L115" s="7">
        <f>IF($U115="","",SUMIFS('Per Line'!$L$2:$L$1501,'Per Line'!$B$2:$B$1501,$A115,'Per Line'!$W$2:$W$1501,0))</f>
        <v/>
      </c>
      <c r="M115" s="7">
        <f>IF($U115="","",L115*K115)</f>
        <v/>
      </c>
      <c r="N115">
        <f>IF($U115="","",Settings!$C$6)</f>
        <v/>
      </c>
      <c r="O115" s="7">
        <f>IF($U115="","",SUMIFS('Per Line'!$L$2:$L$1501,'Per Line'!$B$2:$B$1501,$A115,'Per Line'!$W$2:$W$1501,1))</f>
        <v/>
      </c>
      <c r="P115" s="7">
        <f>IF($U115="","",O115*N115)</f>
        <v/>
      </c>
      <c r="Q115" s="7">
        <f>IF($U115="","",P115+M115)</f>
        <v/>
      </c>
      <c r="R115" s="7">
        <f>IF($U115="","",S115-Q115)</f>
        <v/>
      </c>
      <c r="S115" s="7">
        <f>IF($U115="","",L115+O115)</f>
        <v/>
      </c>
      <c r="T115" s="7">
        <f>IF($U115="","",S115-Q115-H115)</f>
        <v/>
      </c>
      <c r="U115" s="16">
        <f>IF(ROWS($U$2:$U115)&lt;=MAX('Per Line'!$V$2:$V$1501),MATCH(ROWS($U$2:$U115),'Per Line'!$V$2:$V$1501,0),"")</f>
        <v/>
      </c>
      <c r="V115">
        <f>IF($U115="","",B115&amp;"|"&amp;COUNTIF($B$2:$B115,B115))</f>
        <v/>
      </c>
    </row>
    <row r="116">
      <c r="A116">
        <f>IF($U116="","",INDEX('Per Line'!$B$2:$B$1501,$U116)&amp;"")</f>
        <v/>
      </c>
      <c r="B116">
        <f>IF($U116="","","COPY "&amp;G116&amp;" %")</f>
        <v/>
      </c>
      <c r="C116" s="15" t="n"/>
      <c r="D116">
        <f>IF($U116="","",INDEX('Per Line'!$C$2:$C$1501,$U116)&amp;"")</f>
        <v/>
      </c>
      <c r="E116">
        <f>IF($U116="","",INDEX('Per Line'!$D$2:$D$1501,$U116)&amp;"")</f>
        <v/>
      </c>
      <c r="F116">
        <f>IF($U116="","",INDEX('Per Line'!$E$2:$E$1501,$U116)&amp;"")</f>
        <v/>
      </c>
      <c r="G116">
        <f>IF($U116="","",INDEX('Per Line'!$F$2:$F$1501,$U116))</f>
        <v/>
      </c>
      <c r="H116" s="7">
        <f>IF($U116="","",G116*S116/100)</f>
        <v/>
      </c>
      <c r="I116" s="14">
        <f>IF($U116="","",INDEX('Per Line'!$R$2:$R$1501,$U116))</f>
        <v/>
      </c>
      <c r="J116">
        <f>IF($U116="","",INDEX('Per Line'!$Q$2:$Q$1501,$U116)&amp;"")</f>
        <v/>
      </c>
      <c r="K116">
        <f>IF($U116="","",Settings!$C$7)</f>
        <v/>
      </c>
      <c r="L116" s="7">
        <f>IF($U116="","",SUMIFS('Per Line'!$L$2:$L$1501,'Per Line'!$B$2:$B$1501,$A116,'Per Line'!$W$2:$W$1501,0))</f>
        <v/>
      </c>
      <c r="M116" s="7">
        <f>IF($U116="","",L116*K116)</f>
        <v/>
      </c>
      <c r="N116">
        <f>IF($U116="","",Settings!$C$6)</f>
        <v/>
      </c>
      <c r="O116" s="7">
        <f>IF($U116="","",SUMIFS('Per Line'!$L$2:$L$1501,'Per Line'!$B$2:$B$1501,$A116,'Per Line'!$W$2:$W$1501,1))</f>
        <v/>
      </c>
      <c r="P116" s="7">
        <f>IF($U116="","",O116*N116)</f>
        <v/>
      </c>
      <c r="Q116" s="7">
        <f>IF($U116="","",P116+M116)</f>
        <v/>
      </c>
      <c r="R116" s="7">
        <f>IF($U116="","",S116-Q116)</f>
        <v/>
      </c>
      <c r="S116" s="7">
        <f>IF($U116="","",L116+O116)</f>
        <v/>
      </c>
      <c r="T116" s="7">
        <f>IF($U116="","",S116-Q116-H116)</f>
        <v/>
      </c>
      <c r="U116" s="16">
        <f>IF(ROWS($U$2:$U116)&lt;=MAX('Per Line'!$V$2:$V$1501),MATCH(ROWS($U$2:$U116),'Per Line'!$V$2:$V$1501,0),"")</f>
        <v/>
      </c>
      <c r="V116">
        <f>IF($U116="","",B116&amp;"|"&amp;COUNTIF($B$2:$B116,B116))</f>
        <v/>
      </c>
    </row>
    <row r="117">
      <c r="A117">
        <f>IF($U117="","",INDEX('Per Line'!$B$2:$B$1501,$U117)&amp;"")</f>
        <v/>
      </c>
      <c r="B117">
        <f>IF($U117="","","COPY "&amp;G117&amp;" %")</f>
        <v/>
      </c>
      <c r="C117" s="15" t="n"/>
      <c r="D117">
        <f>IF($U117="","",INDEX('Per Line'!$C$2:$C$1501,$U117)&amp;"")</f>
        <v/>
      </c>
      <c r="E117">
        <f>IF($U117="","",INDEX('Per Line'!$D$2:$D$1501,$U117)&amp;"")</f>
        <v/>
      </c>
      <c r="F117">
        <f>IF($U117="","",INDEX('Per Line'!$E$2:$E$1501,$U117)&amp;"")</f>
        <v/>
      </c>
      <c r="G117">
        <f>IF($U117="","",INDEX('Per Line'!$F$2:$F$1501,$U117))</f>
        <v/>
      </c>
      <c r="H117" s="7">
        <f>IF($U117="","",G117*S117/100)</f>
        <v/>
      </c>
      <c r="I117" s="14">
        <f>IF($U117="","",INDEX('Per Line'!$R$2:$R$1501,$U117))</f>
        <v/>
      </c>
      <c r="J117">
        <f>IF($U117="","",INDEX('Per Line'!$Q$2:$Q$1501,$U117)&amp;"")</f>
        <v/>
      </c>
      <c r="K117">
        <f>IF($U117="","",Settings!$C$7)</f>
        <v/>
      </c>
      <c r="L117" s="7">
        <f>IF($U117="","",SUMIFS('Per Line'!$L$2:$L$1501,'Per Line'!$B$2:$B$1501,$A117,'Per Line'!$W$2:$W$1501,0))</f>
        <v/>
      </c>
      <c r="M117" s="7">
        <f>IF($U117="","",L117*K117)</f>
        <v/>
      </c>
      <c r="N117">
        <f>IF($U117="","",Settings!$C$6)</f>
        <v/>
      </c>
      <c r="O117" s="7">
        <f>IF($U117="","",SUMIFS('Per Line'!$L$2:$L$1501,'Per Line'!$B$2:$B$1501,$A117,'Per Line'!$W$2:$W$1501,1))</f>
        <v/>
      </c>
      <c r="P117" s="7">
        <f>IF($U117="","",O117*N117)</f>
        <v/>
      </c>
      <c r="Q117" s="7">
        <f>IF($U117="","",P117+M117)</f>
        <v/>
      </c>
      <c r="R117" s="7">
        <f>IF($U117="","",S117-Q117)</f>
        <v/>
      </c>
      <c r="S117" s="7">
        <f>IF($U117="","",L117+O117)</f>
        <v/>
      </c>
      <c r="T117" s="7">
        <f>IF($U117="","",S117-Q117-H117)</f>
        <v/>
      </c>
      <c r="U117" s="16">
        <f>IF(ROWS($U$2:$U117)&lt;=MAX('Per Line'!$V$2:$V$1501),MATCH(ROWS($U$2:$U117),'Per Line'!$V$2:$V$1501,0),"")</f>
        <v/>
      </c>
      <c r="V117">
        <f>IF($U117="","",B117&amp;"|"&amp;COUNTIF($B$2:$B117,B117))</f>
        <v/>
      </c>
    </row>
    <row r="118">
      <c r="A118">
        <f>IF($U118="","",INDEX('Per Line'!$B$2:$B$1501,$U118)&amp;"")</f>
        <v/>
      </c>
      <c r="B118">
        <f>IF($U118="","","COPY "&amp;G118&amp;" %")</f>
        <v/>
      </c>
      <c r="C118" s="15" t="n"/>
      <c r="D118">
        <f>IF($U118="","",INDEX('Per Line'!$C$2:$C$1501,$U118)&amp;"")</f>
        <v/>
      </c>
      <c r="E118">
        <f>IF($U118="","",INDEX('Per Line'!$D$2:$D$1501,$U118)&amp;"")</f>
        <v/>
      </c>
      <c r="F118">
        <f>IF($U118="","",INDEX('Per Line'!$E$2:$E$1501,$U118)&amp;"")</f>
        <v/>
      </c>
      <c r="G118">
        <f>IF($U118="","",INDEX('Per Line'!$F$2:$F$1501,$U118))</f>
        <v/>
      </c>
      <c r="H118" s="7">
        <f>IF($U118="","",G118*S118/100)</f>
        <v/>
      </c>
      <c r="I118" s="14">
        <f>IF($U118="","",INDEX('Per Line'!$R$2:$R$1501,$U118))</f>
        <v/>
      </c>
      <c r="J118">
        <f>IF($U118="","",INDEX('Per Line'!$Q$2:$Q$1501,$U118)&amp;"")</f>
        <v/>
      </c>
      <c r="K118">
        <f>IF($U118="","",Settings!$C$7)</f>
        <v/>
      </c>
      <c r="L118" s="7">
        <f>IF($U118="","",SUMIFS('Per Line'!$L$2:$L$1501,'Per Line'!$B$2:$B$1501,$A118,'Per Line'!$W$2:$W$1501,0))</f>
        <v/>
      </c>
      <c r="M118" s="7">
        <f>IF($U118="","",L118*K118)</f>
        <v/>
      </c>
      <c r="N118">
        <f>IF($U118="","",Settings!$C$6)</f>
        <v/>
      </c>
      <c r="O118" s="7">
        <f>IF($U118="","",SUMIFS('Per Line'!$L$2:$L$1501,'Per Line'!$B$2:$B$1501,$A118,'Per Line'!$W$2:$W$1501,1))</f>
        <v/>
      </c>
      <c r="P118" s="7">
        <f>IF($U118="","",O118*N118)</f>
        <v/>
      </c>
      <c r="Q118" s="7">
        <f>IF($U118="","",P118+M118)</f>
        <v/>
      </c>
      <c r="R118" s="7">
        <f>IF($U118="","",S118-Q118)</f>
        <v/>
      </c>
      <c r="S118" s="7">
        <f>IF($U118="","",L118+O118)</f>
        <v/>
      </c>
      <c r="T118" s="7">
        <f>IF($U118="","",S118-Q118-H118)</f>
        <v/>
      </c>
      <c r="U118" s="16">
        <f>IF(ROWS($U$2:$U118)&lt;=MAX('Per Line'!$V$2:$V$1501),MATCH(ROWS($U$2:$U118),'Per Line'!$V$2:$V$1501,0),"")</f>
        <v/>
      </c>
      <c r="V118">
        <f>IF($U118="","",B118&amp;"|"&amp;COUNTIF($B$2:$B118,B118))</f>
        <v/>
      </c>
    </row>
    <row r="119">
      <c r="A119">
        <f>IF($U119="","",INDEX('Per Line'!$B$2:$B$1501,$U119)&amp;"")</f>
        <v/>
      </c>
      <c r="B119">
        <f>IF($U119="","","COPY "&amp;G119&amp;" %")</f>
        <v/>
      </c>
      <c r="C119" s="15" t="n"/>
      <c r="D119">
        <f>IF($U119="","",INDEX('Per Line'!$C$2:$C$1501,$U119)&amp;"")</f>
        <v/>
      </c>
      <c r="E119">
        <f>IF($U119="","",INDEX('Per Line'!$D$2:$D$1501,$U119)&amp;"")</f>
        <v/>
      </c>
      <c r="F119">
        <f>IF($U119="","",INDEX('Per Line'!$E$2:$E$1501,$U119)&amp;"")</f>
        <v/>
      </c>
      <c r="G119">
        <f>IF($U119="","",INDEX('Per Line'!$F$2:$F$1501,$U119))</f>
        <v/>
      </c>
      <c r="H119" s="7">
        <f>IF($U119="","",G119*S119/100)</f>
        <v/>
      </c>
      <c r="I119" s="14">
        <f>IF($U119="","",INDEX('Per Line'!$R$2:$R$1501,$U119))</f>
        <v/>
      </c>
      <c r="J119">
        <f>IF($U119="","",INDEX('Per Line'!$Q$2:$Q$1501,$U119)&amp;"")</f>
        <v/>
      </c>
      <c r="K119">
        <f>IF($U119="","",Settings!$C$7)</f>
        <v/>
      </c>
      <c r="L119" s="7">
        <f>IF($U119="","",SUMIFS('Per Line'!$L$2:$L$1501,'Per Line'!$B$2:$B$1501,$A119,'Per Line'!$W$2:$W$1501,0))</f>
        <v/>
      </c>
      <c r="M119" s="7">
        <f>IF($U119="","",L119*K119)</f>
        <v/>
      </c>
      <c r="N119">
        <f>IF($U119="","",Settings!$C$6)</f>
        <v/>
      </c>
      <c r="O119" s="7">
        <f>IF($U119="","",SUMIFS('Per Line'!$L$2:$L$1501,'Per Line'!$B$2:$B$1501,$A119,'Per Line'!$W$2:$W$1501,1))</f>
        <v/>
      </c>
      <c r="P119" s="7">
        <f>IF($U119="","",O119*N119)</f>
        <v/>
      </c>
      <c r="Q119" s="7">
        <f>IF($U119="","",P119+M119)</f>
        <v/>
      </c>
      <c r="R119" s="7">
        <f>IF($U119="","",S119-Q119)</f>
        <v/>
      </c>
      <c r="S119" s="7">
        <f>IF($U119="","",L119+O119)</f>
        <v/>
      </c>
      <c r="T119" s="7">
        <f>IF($U119="","",S119-Q119-H119)</f>
        <v/>
      </c>
      <c r="U119" s="16">
        <f>IF(ROWS($U$2:$U119)&lt;=MAX('Per Line'!$V$2:$V$1501),MATCH(ROWS($U$2:$U119),'Per Line'!$V$2:$V$1501,0),"")</f>
        <v/>
      </c>
      <c r="V119">
        <f>IF($U119="","",B119&amp;"|"&amp;COUNTIF($B$2:$B119,B119))</f>
        <v/>
      </c>
    </row>
    <row r="120">
      <c r="A120">
        <f>IF($U120="","",INDEX('Per Line'!$B$2:$B$1501,$U120)&amp;"")</f>
        <v/>
      </c>
      <c r="B120">
        <f>IF($U120="","","COPY "&amp;G120&amp;" %")</f>
        <v/>
      </c>
      <c r="C120" s="15" t="n"/>
      <c r="D120">
        <f>IF($U120="","",INDEX('Per Line'!$C$2:$C$1501,$U120)&amp;"")</f>
        <v/>
      </c>
      <c r="E120">
        <f>IF($U120="","",INDEX('Per Line'!$D$2:$D$1501,$U120)&amp;"")</f>
        <v/>
      </c>
      <c r="F120">
        <f>IF($U120="","",INDEX('Per Line'!$E$2:$E$1501,$U120)&amp;"")</f>
        <v/>
      </c>
      <c r="G120">
        <f>IF($U120="","",INDEX('Per Line'!$F$2:$F$1501,$U120))</f>
        <v/>
      </c>
      <c r="H120" s="7">
        <f>IF($U120="","",G120*S120/100)</f>
        <v/>
      </c>
      <c r="I120" s="14">
        <f>IF($U120="","",INDEX('Per Line'!$R$2:$R$1501,$U120))</f>
        <v/>
      </c>
      <c r="J120">
        <f>IF($U120="","",INDEX('Per Line'!$Q$2:$Q$1501,$U120)&amp;"")</f>
        <v/>
      </c>
      <c r="K120">
        <f>IF($U120="","",Settings!$C$7)</f>
        <v/>
      </c>
      <c r="L120" s="7">
        <f>IF($U120="","",SUMIFS('Per Line'!$L$2:$L$1501,'Per Line'!$B$2:$B$1501,$A120,'Per Line'!$W$2:$W$1501,0))</f>
        <v/>
      </c>
      <c r="M120" s="7">
        <f>IF($U120="","",L120*K120)</f>
        <v/>
      </c>
      <c r="N120">
        <f>IF($U120="","",Settings!$C$6)</f>
        <v/>
      </c>
      <c r="O120" s="7">
        <f>IF($U120="","",SUMIFS('Per Line'!$L$2:$L$1501,'Per Line'!$B$2:$B$1501,$A120,'Per Line'!$W$2:$W$1501,1))</f>
        <v/>
      </c>
      <c r="P120" s="7">
        <f>IF($U120="","",O120*N120)</f>
        <v/>
      </c>
      <c r="Q120" s="7">
        <f>IF($U120="","",P120+M120)</f>
        <v/>
      </c>
      <c r="R120" s="7">
        <f>IF($U120="","",S120-Q120)</f>
        <v/>
      </c>
      <c r="S120" s="7">
        <f>IF($U120="","",L120+O120)</f>
        <v/>
      </c>
      <c r="T120" s="7">
        <f>IF($U120="","",S120-Q120-H120)</f>
        <v/>
      </c>
      <c r="U120" s="16">
        <f>IF(ROWS($U$2:$U120)&lt;=MAX('Per Line'!$V$2:$V$1501),MATCH(ROWS($U$2:$U120),'Per Line'!$V$2:$V$1501,0),"")</f>
        <v/>
      </c>
      <c r="V120">
        <f>IF($U120="","",B120&amp;"|"&amp;COUNTIF($B$2:$B120,B120))</f>
        <v/>
      </c>
    </row>
    <row r="121">
      <c r="A121">
        <f>IF($U121="","",INDEX('Per Line'!$B$2:$B$1501,$U121)&amp;"")</f>
        <v/>
      </c>
      <c r="B121">
        <f>IF($U121="","","COPY "&amp;G121&amp;" %")</f>
        <v/>
      </c>
      <c r="C121" s="15" t="n"/>
      <c r="D121">
        <f>IF($U121="","",INDEX('Per Line'!$C$2:$C$1501,$U121)&amp;"")</f>
        <v/>
      </c>
      <c r="E121">
        <f>IF($U121="","",INDEX('Per Line'!$D$2:$D$1501,$U121)&amp;"")</f>
        <v/>
      </c>
      <c r="F121">
        <f>IF($U121="","",INDEX('Per Line'!$E$2:$E$1501,$U121)&amp;"")</f>
        <v/>
      </c>
      <c r="G121">
        <f>IF($U121="","",INDEX('Per Line'!$F$2:$F$1501,$U121))</f>
        <v/>
      </c>
      <c r="H121" s="7">
        <f>IF($U121="","",G121*S121/100)</f>
        <v/>
      </c>
      <c r="I121" s="14">
        <f>IF($U121="","",INDEX('Per Line'!$R$2:$R$1501,$U121))</f>
        <v/>
      </c>
      <c r="J121">
        <f>IF($U121="","",INDEX('Per Line'!$Q$2:$Q$1501,$U121)&amp;"")</f>
        <v/>
      </c>
      <c r="K121">
        <f>IF($U121="","",Settings!$C$7)</f>
        <v/>
      </c>
      <c r="L121" s="7">
        <f>IF($U121="","",SUMIFS('Per Line'!$L$2:$L$1501,'Per Line'!$B$2:$B$1501,$A121,'Per Line'!$W$2:$W$1501,0))</f>
        <v/>
      </c>
      <c r="M121" s="7">
        <f>IF($U121="","",L121*K121)</f>
        <v/>
      </c>
      <c r="N121">
        <f>IF($U121="","",Settings!$C$6)</f>
        <v/>
      </c>
      <c r="O121" s="7">
        <f>IF($U121="","",SUMIFS('Per Line'!$L$2:$L$1501,'Per Line'!$B$2:$B$1501,$A121,'Per Line'!$W$2:$W$1501,1))</f>
        <v/>
      </c>
      <c r="P121" s="7">
        <f>IF($U121="","",O121*N121)</f>
        <v/>
      </c>
      <c r="Q121" s="7">
        <f>IF($U121="","",P121+M121)</f>
        <v/>
      </c>
      <c r="R121" s="7">
        <f>IF($U121="","",S121-Q121)</f>
        <v/>
      </c>
      <c r="S121" s="7">
        <f>IF($U121="","",L121+O121)</f>
        <v/>
      </c>
      <c r="T121" s="7">
        <f>IF($U121="","",S121-Q121-H121)</f>
        <v/>
      </c>
      <c r="U121" s="16">
        <f>IF(ROWS($U$2:$U121)&lt;=MAX('Per Line'!$V$2:$V$1501),MATCH(ROWS($U$2:$U121),'Per Line'!$V$2:$V$1501,0),"")</f>
        <v/>
      </c>
      <c r="V121">
        <f>IF($U121="","",B121&amp;"|"&amp;COUNTIF($B$2:$B121,B121))</f>
        <v/>
      </c>
    </row>
    <row r="122">
      <c r="A122">
        <f>IF($U122="","",INDEX('Per Line'!$B$2:$B$1501,$U122)&amp;"")</f>
        <v/>
      </c>
      <c r="B122">
        <f>IF($U122="","","COPY "&amp;G122&amp;" %")</f>
        <v/>
      </c>
      <c r="C122" s="15" t="n"/>
      <c r="D122">
        <f>IF($U122="","",INDEX('Per Line'!$C$2:$C$1501,$U122)&amp;"")</f>
        <v/>
      </c>
      <c r="E122">
        <f>IF($U122="","",INDEX('Per Line'!$D$2:$D$1501,$U122)&amp;"")</f>
        <v/>
      </c>
      <c r="F122">
        <f>IF($U122="","",INDEX('Per Line'!$E$2:$E$1501,$U122)&amp;"")</f>
        <v/>
      </c>
      <c r="G122">
        <f>IF($U122="","",INDEX('Per Line'!$F$2:$F$1501,$U122))</f>
        <v/>
      </c>
      <c r="H122" s="7">
        <f>IF($U122="","",G122*S122/100)</f>
        <v/>
      </c>
      <c r="I122" s="14">
        <f>IF($U122="","",INDEX('Per Line'!$R$2:$R$1501,$U122))</f>
        <v/>
      </c>
      <c r="J122">
        <f>IF($U122="","",INDEX('Per Line'!$Q$2:$Q$1501,$U122)&amp;"")</f>
        <v/>
      </c>
      <c r="K122">
        <f>IF($U122="","",Settings!$C$7)</f>
        <v/>
      </c>
      <c r="L122" s="7">
        <f>IF($U122="","",SUMIFS('Per Line'!$L$2:$L$1501,'Per Line'!$B$2:$B$1501,$A122,'Per Line'!$W$2:$W$1501,0))</f>
        <v/>
      </c>
      <c r="M122" s="7">
        <f>IF($U122="","",L122*K122)</f>
        <v/>
      </c>
      <c r="N122">
        <f>IF($U122="","",Settings!$C$6)</f>
        <v/>
      </c>
      <c r="O122" s="7">
        <f>IF($U122="","",SUMIFS('Per Line'!$L$2:$L$1501,'Per Line'!$B$2:$B$1501,$A122,'Per Line'!$W$2:$W$1501,1))</f>
        <v/>
      </c>
      <c r="P122" s="7">
        <f>IF($U122="","",O122*N122)</f>
        <v/>
      </c>
      <c r="Q122" s="7">
        <f>IF($U122="","",P122+M122)</f>
        <v/>
      </c>
      <c r="R122" s="7">
        <f>IF($U122="","",S122-Q122)</f>
        <v/>
      </c>
      <c r="S122" s="7">
        <f>IF($U122="","",L122+O122)</f>
        <v/>
      </c>
      <c r="T122" s="7">
        <f>IF($U122="","",S122-Q122-H122)</f>
        <v/>
      </c>
      <c r="U122" s="16">
        <f>IF(ROWS($U$2:$U122)&lt;=MAX('Per Line'!$V$2:$V$1501),MATCH(ROWS($U$2:$U122),'Per Line'!$V$2:$V$1501,0),"")</f>
        <v/>
      </c>
      <c r="V122">
        <f>IF($U122="","",B122&amp;"|"&amp;COUNTIF($B$2:$B122,B122))</f>
        <v/>
      </c>
    </row>
    <row r="123">
      <c r="A123">
        <f>IF($U123="","",INDEX('Per Line'!$B$2:$B$1501,$U123)&amp;"")</f>
        <v/>
      </c>
      <c r="B123">
        <f>IF($U123="","","COPY "&amp;G123&amp;" %")</f>
        <v/>
      </c>
      <c r="C123" s="15" t="n"/>
      <c r="D123">
        <f>IF($U123="","",INDEX('Per Line'!$C$2:$C$1501,$U123)&amp;"")</f>
        <v/>
      </c>
      <c r="E123">
        <f>IF($U123="","",INDEX('Per Line'!$D$2:$D$1501,$U123)&amp;"")</f>
        <v/>
      </c>
      <c r="F123">
        <f>IF($U123="","",INDEX('Per Line'!$E$2:$E$1501,$U123)&amp;"")</f>
        <v/>
      </c>
      <c r="G123">
        <f>IF($U123="","",INDEX('Per Line'!$F$2:$F$1501,$U123))</f>
        <v/>
      </c>
      <c r="H123" s="7">
        <f>IF($U123="","",G123*S123/100)</f>
        <v/>
      </c>
      <c r="I123" s="14">
        <f>IF($U123="","",INDEX('Per Line'!$R$2:$R$1501,$U123))</f>
        <v/>
      </c>
      <c r="J123">
        <f>IF($U123="","",INDEX('Per Line'!$Q$2:$Q$1501,$U123)&amp;"")</f>
        <v/>
      </c>
      <c r="K123">
        <f>IF($U123="","",Settings!$C$7)</f>
        <v/>
      </c>
      <c r="L123" s="7">
        <f>IF($U123="","",SUMIFS('Per Line'!$L$2:$L$1501,'Per Line'!$B$2:$B$1501,$A123,'Per Line'!$W$2:$W$1501,0))</f>
        <v/>
      </c>
      <c r="M123" s="7">
        <f>IF($U123="","",L123*K123)</f>
        <v/>
      </c>
      <c r="N123">
        <f>IF($U123="","",Settings!$C$6)</f>
        <v/>
      </c>
      <c r="O123" s="7">
        <f>IF($U123="","",SUMIFS('Per Line'!$L$2:$L$1501,'Per Line'!$B$2:$B$1501,$A123,'Per Line'!$W$2:$W$1501,1))</f>
        <v/>
      </c>
      <c r="P123" s="7">
        <f>IF($U123="","",O123*N123)</f>
        <v/>
      </c>
      <c r="Q123" s="7">
        <f>IF($U123="","",P123+M123)</f>
        <v/>
      </c>
      <c r="R123" s="7">
        <f>IF($U123="","",S123-Q123)</f>
        <v/>
      </c>
      <c r="S123" s="7">
        <f>IF($U123="","",L123+O123)</f>
        <v/>
      </c>
      <c r="T123" s="7">
        <f>IF($U123="","",S123-Q123-H123)</f>
        <v/>
      </c>
      <c r="U123" s="16">
        <f>IF(ROWS($U$2:$U123)&lt;=MAX('Per Line'!$V$2:$V$1501),MATCH(ROWS($U$2:$U123),'Per Line'!$V$2:$V$1501,0),"")</f>
        <v/>
      </c>
      <c r="V123">
        <f>IF($U123="","",B123&amp;"|"&amp;COUNTIF($B$2:$B123,B123))</f>
        <v/>
      </c>
    </row>
    <row r="124">
      <c r="A124">
        <f>IF($U124="","",INDEX('Per Line'!$B$2:$B$1501,$U124)&amp;"")</f>
        <v/>
      </c>
      <c r="B124">
        <f>IF($U124="","","COPY "&amp;G124&amp;" %")</f>
        <v/>
      </c>
      <c r="C124" s="15" t="n"/>
      <c r="D124">
        <f>IF($U124="","",INDEX('Per Line'!$C$2:$C$1501,$U124)&amp;"")</f>
        <v/>
      </c>
      <c r="E124">
        <f>IF($U124="","",INDEX('Per Line'!$D$2:$D$1501,$U124)&amp;"")</f>
        <v/>
      </c>
      <c r="F124">
        <f>IF($U124="","",INDEX('Per Line'!$E$2:$E$1501,$U124)&amp;"")</f>
        <v/>
      </c>
      <c r="G124">
        <f>IF($U124="","",INDEX('Per Line'!$F$2:$F$1501,$U124))</f>
        <v/>
      </c>
      <c r="H124" s="7">
        <f>IF($U124="","",G124*S124/100)</f>
        <v/>
      </c>
      <c r="I124" s="14">
        <f>IF($U124="","",INDEX('Per Line'!$R$2:$R$1501,$U124))</f>
        <v/>
      </c>
      <c r="J124">
        <f>IF($U124="","",INDEX('Per Line'!$Q$2:$Q$1501,$U124)&amp;"")</f>
        <v/>
      </c>
      <c r="K124">
        <f>IF($U124="","",Settings!$C$7)</f>
        <v/>
      </c>
      <c r="L124" s="7">
        <f>IF($U124="","",SUMIFS('Per Line'!$L$2:$L$1501,'Per Line'!$B$2:$B$1501,$A124,'Per Line'!$W$2:$W$1501,0))</f>
        <v/>
      </c>
      <c r="M124" s="7">
        <f>IF($U124="","",L124*K124)</f>
        <v/>
      </c>
      <c r="N124">
        <f>IF($U124="","",Settings!$C$6)</f>
        <v/>
      </c>
      <c r="O124" s="7">
        <f>IF($U124="","",SUMIFS('Per Line'!$L$2:$L$1501,'Per Line'!$B$2:$B$1501,$A124,'Per Line'!$W$2:$W$1501,1))</f>
        <v/>
      </c>
      <c r="P124" s="7">
        <f>IF($U124="","",O124*N124)</f>
        <v/>
      </c>
      <c r="Q124" s="7">
        <f>IF($U124="","",P124+M124)</f>
        <v/>
      </c>
      <c r="R124" s="7">
        <f>IF($U124="","",S124-Q124)</f>
        <v/>
      </c>
      <c r="S124" s="7">
        <f>IF($U124="","",L124+O124)</f>
        <v/>
      </c>
      <c r="T124" s="7">
        <f>IF($U124="","",S124-Q124-H124)</f>
        <v/>
      </c>
      <c r="U124" s="16">
        <f>IF(ROWS($U$2:$U124)&lt;=MAX('Per Line'!$V$2:$V$1501),MATCH(ROWS($U$2:$U124),'Per Line'!$V$2:$V$1501,0),"")</f>
        <v/>
      </c>
      <c r="V124">
        <f>IF($U124="","",B124&amp;"|"&amp;COUNTIF($B$2:$B124,B124))</f>
        <v/>
      </c>
    </row>
    <row r="125">
      <c r="A125">
        <f>IF($U125="","",INDEX('Per Line'!$B$2:$B$1501,$U125)&amp;"")</f>
        <v/>
      </c>
      <c r="B125">
        <f>IF($U125="","","COPY "&amp;G125&amp;" %")</f>
        <v/>
      </c>
      <c r="C125" s="15" t="n"/>
      <c r="D125">
        <f>IF($U125="","",INDEX('Per Line'!$C$2:$C$1501,$U125)&amp;"")</f>
        <v/>
      </c>
      <c r="E125">
        <f>IF($U125="","",INDEX('Per Line'!$D$2:$D$1501,$U125)&amp;"")</f>
        <v/>
      </c>
      <c r="F125">
        <f>IF($U125="","",INDEX('Per Line'!$E$2:$E$1501,$U125)&amp;"")</f>
        <v/>
      </c>
      <c r="G125">
        <f>IF($U125="","",INDEX('Per Line'!$F$2:$F$1501,$U125))</f>
        <v/>
      </c>
      <c r="H125" s="7">
        <f>IF($U125="","",G125*S125/100)</f>
        <v/>
      </c>
      <c r="I125" s="14">
        <f>IF($U125="","",INDEX('Per Line'!$R$2:$R$1501,$U125))</f>
        <v/>
      </c>
      <c r="J125">
        <f>IF($U125="","",INDEX('Per Line'!$Q$2:$Q$1501,$U125)&amp;"")</f>
        <v/>
      </c>
      <c r="K125">
        <f>IF($U125="","",Settings!$C$7)</f>
        <v/>
      </c>
      <c r="L125" s="7">
        <f>IF($U125="","",SUMIFS('Per Line'!$L$2:$L$1501,'Per Line'!$B$2:$B$1501,$A125,'Per Line'!$W$2:$W$1501,0))</f>
        <v/>
      </c>
      <c r="M125" s="7">
        <f>IF($U125="","",L125*K125)</f>
        <v/>
      </c>
      <c r="N125">
        <f>IF($U125="","",Settings!$C$6)</f>
        <v/>
      </c>
      <c r="O125" s="7">
        <f>IF($U125="","",SUMIFS('Per Line'!$L$2:$L$1501,'Per Line'!$B$2:$B$1501,$A125,'Per Line'!$W$2:$W$1501,1))</f>
        <v/>
      </c>
      <c r="P125" s="7">
        <f>IF($U125="","",O125*N125)</f>
        <v/>
      </c>
      <c r="Q125" s="7">
        <f>IF($U125="","",P125+M125)</f>
        <v/>
      </c>
      <c r="R125" s="7">
        <f>IF($U125="","",S125-Q125)</f>
        <v/>
      </c>
      <c r="S125" s="7">
        <f>IF($U125="","",L125+O125)</f>
        <v/>
      </c>
      <c r="T125" s="7">
        <f>IF($U125="","",S125-Q125-H125)</f>
        <v/>
      </c>
      <c r="U125" s="16">
        <f>IF(ROWS($U$2:$U125)&lt;=MAX('Per Line'!$V$2:$V$1501),MATCH(ROWS($U$2:$U125),'Per Line'!$V$2:$V$1501,0),"")</f>
        <v/>
      </c>
      <c r="V125">
        <f>IF($U125="","",B125&amp;"|"&amp;COUNTIF($B$2:$B125,B125))</f>
        <v/>
      </c>
    </row>
    <row r="126">
      <c r="A126">
        <f>IF($U126="","",INDEX('Per Line'!$B$2:$B$1501,$U126)&amp;"")</f>
        <v/>
      </c>
      <c r="B126">
        <f>IF($U126="","","COPY "&amp;G126&amp;" %")</f>
        <v/>
      </c>
      <c r="C126" s="15" t="n"/>
      <c r="D126">
        <f>IF($U126="","",INDEX('Per Line'!$C$2:$C$1501,$U126)&amp;"")</f>
        <v/>
      </c>
      <c r="E126">
        <f>IF($U126="","",INDEX('Per Line'!$D$2:$D$1501,$U126)&amp;"")</f>
        <v/>
      </c>
      <c r="F126">
        <f>IF($U126="","",INDEX('Per Line'!$E$2:$E$1501,$U126)&amp;"")</f>
        <v/>
      </c>
      <c r="G126">
        <f>IF($U126="","",INDEX('Per Line'!$F$2:$F$1501,$U126))</f>
        <v/>
      </c>
      <c r="H126" s="7">
        <f>IF($U126="","",G126*S126/100)</f>
        <v/>
      </c>
      <c r="I126" s="14">
        <f>IF($U126="","",INDEX('Per Line'!$R$2:$R$1501,$U126))</f>
        <v/>
      </c>
      <c r="J126">
        <f>IF($U126="","",INDEX('Per Line'!$Q$2:$Q$1501,$U126)&amp;"")</f>
        <v/>
      </c>
      <c r="K126">
        <f>IF($U126="","",Settings!$C$7)</f>
        <v/>
      </c>
      <c r="L126" s="7">
        <f>IF($U126="","",SUMIFS('Per Line'!$L$2:$L$1501,'Per Line'!$B$2:$B$1501,$A126,'Per Line'!$W$2:$W$1501,0))</f>
        <v/>
      </c>
      <c r="M126" s="7">
        <f>IF($U126="","",L126*K126)</f>
        <v/>
      </c>
      <c r="N126">
        <f>IF($U126="","",Settings!$C$6)</f>
        <v/>
      </c>
      <c r="O126" s="7">
        <f>IF($U126="","",SUMIFS('Per Line'!$L$2:$L$1501,'Per Line'!$B$2:$B$1501,$A126,'Per Line'!$W$2:$W$1501,1))</f>
        <v/>
      </c>
      <c r="P126" s="7">
        <f>IF($U126="","",O126*N126)</f>
        <v/>
      </c>
      <c r="Q126" s="7">
        <f>IF($U126="","",P126+M126)</f>
        <v/>
      </c>
      <c r="R126" s="7">
        <f>IF($U126="","",S126-Q126)</f>
        <v/>
      </c>
      <c r="S126" s="7">
        <f>IF($U126="","",L126+O126)</f>
        <v/>
      </c>
      <c r="T126" s="7">
        <f>IF($U126="","",S126-Q126-H126)</f>
        <v/>
      </c>
      <c r="U126" s="16">
        <f>IF(ROWS($U$2:$U126)&lt;=MAX('Per Line'!$V$2:$V$1501),MATCH(ROWS($U$2:$U126),'Per Line'!$V$2:$V$1501,0),"")</f>
        <v/>
      </c>
      <c r="V126">
        <f>IF($U126="","",B126&amp;"|"&amp;COUNTIF($B$2:$B126,B126))</f>
        <v/>
      </c>
    </row>
    <row r="127">
      <c r="A127">
        <f>IF($U127="","",INDEX('Per Line'!$B$2:$B$1501,$U127)&amp;"")</f>
        <v/>
      </c>
      <c r="B127">
        <f>IF($U127="","","COPY "&amp;G127&amp;" %")</f>
        <v/>
      </c>
      <c r="C127" s="15" t="n"/>
      <c r="D127">
        <f>IF($U127="","",INDEX('Per Line'!$C$2:$C$1501,$U127)&amp;"")</f>
        <v/>
      </c>
      <c r="E127">
        <f>IF($U127="","",INDEX('Per Line'!$D$2:$D$1501,$U127)&amp;"")</f>
        <v/>
      </c>
      <c r="F127">
        <f>IF($U127="","",INDEX('Per Line'!$E$2:$E$1501,$U127)&amp;"")</f>
        <v/>
      </c>
      <c r="G127">
        <f>IF($U127="","",INDEX('Per Line'!$F$2:$F$1501,$U127))</f>
        <v/>
      </c>
      <c r="H127" s="7">
        <f>IF($U127="","",G127*S127/100)</f>
        <v/>
      </c>
      <c r="I127" s="14">
        <f>IF($U127="","",INDEX('Per Line'!$R$2:$R$1501,$U127))</f>
        <v/>
      </c>
      <c r="J127">
        <f>IF($U127="","",INDEX('Per Line'!$Q$2:$Q$1501,$U127)&amp;"")</f>
        <v/>
      </c>
      <c r="K127">
        <f>IF($U127="","",Settings!$C$7)</f>
        <v/>
      </c>
      <c r="L127" s="7">
        <f>IF($U127="","",SUMIFS('Per Line'!$L$2:$L$1501,'Per Line'!$B$2:$B$1501,$A127,'Per Line'!$W$2:$W$1501,0))</f>
        <v/>
      </c>
      <c r="M127" s="7">
        <f>IF($U127="","",L127*K127)</f>
        <v/>
      </c>
      <c r="N127">
        <f>IF($U127="","",Settings!$C$6)</f>
        <v/>
      </c>
      <c r="O127" s="7">
        <f>IF($U127="","",SUMIFS('Per Line'!$L$2:$L$1501,'Per Line'!$B$2:$B$1501,$A127,'Per Line'!$W$2:$W$1501,1))</f>
        <v/>
      </c>
      <c r="P127" s="7">
        <f>IF($U127="","",O127*N127)</f>
        <v/>
      </c>
      <c r="Q127" s="7">
        <f>IF($U127="","",P127+M127)</f>
        <v/>
      </c>
      <c r="R127" s="7">
        <f>IF($U127="","",S127-Q127)</f>
        <v/>
      </c>
      <c r="S127" s="7">
        <f>IF($U127="","",L127+O127)</f>
        <v/>
      </c>
      <c r="T127" s="7">
        <f>IF($U127="","",S127-Q127-H127)</f>
        <v/>
      </c>
      <c r="U127" s="16">
        <f>IF(ROWS($U$2:$U127)&lt;=MAX('Per Line'!$V$2:$V$1501),MATCH(ROWS($U$2:$U127),'Per Line'!$V$2:$V$1501,0),"")</f>
        <v/>
      </c>
      <c r="V127">
        <f>IF($U127="","",B127&amp;"|"&amp;COUNTIF($B$2:$B127,B127))</f>
        <v/>
      </c>
    </row>
    <row r="128">
      <c r="A128">
        <f>IF($U128="","",INDEX('Per Line'!$B$2:$B$1501,$U128)&amp;"")</f>
        <v/>
      </c>
      <c r="B128">
        <f>IF($U128="","","COPY "&amp;G128&amp;" %")</f>
        <v/>
      </c>
      <c r="C128" s="15" t="n"/>
      <c r="D128">
        <f>IF($U128="","",INDEX('Per Line'!$C$2:$C$1501,$U128)&amp;"")</f>
        <v/>
      </c>
      <c r="E128">
        <f>IF($U128="","",INDEX('Per Line'!$D$2:$D$1501,$U128)&amp;"")</f>
        <v/>
      </c>
      <c r="F128">
        <f>IF($U128="","",INDEX('Per Line'!$E$2:$E$1501,$U128)&amp;"")</f>
        <v/>
      </c>
      <c r="G128">
        <f>IF($U128="","",INDEX('Per Line'!$F$2:$F$1501,$U128))</f>
        <v/>
      </c>
      <c r="H128" s="7">
        <f>IF($U128="","",G128*S128/100)</f>
        <v/>
      </c>
      <c r="I128" s="14">
        <f>IF($U128="","",INDEX('Per Line'!$R$2:$R$1501,$U128))</f>
        <v/>
      </c>
      <c r="J128">
        <f>IF($U128="","",INDEX('Per Line'!$Q$2:$Q$1501,$U128)&amp;"")</f>
        <v/>
      </c>
      <c r="K128">
        <f>IF($U128="","",Settings!$C$7)</f>
        <v/>
      </c>
      <c r="L128" s="7">
        <f>IF($U128="","",SUMIFS('Per Line'!$L$2:$L$1501,'Per Line'!$B$2:$B$1501,$A128,'Per Line'!$W$2:$W$1501,0))</f>
        <v/>
      </c>
      <c r="M128" s="7">
        <f>IF($U128="","",L128*K128)</f>
        <v/>
      </c>
      <c r="N128">
        <f>IF($U128="","",Settings!$C$6)</f>
        <v/>
      </c>
      <c r="O128" s="7">
        <f>IF($U128="","",SUMIFS('Per Line'!$L$2:$L$1501,'Per Line'!$B$2:$B$1501,$A128,'Per Line'!$W$2:$W$1501,1))</f>
        <v/>
      </c>
      <c r="P128" s="7">
        <f>IF($U128="","",O128*N128)</f>
        <v/>
      </c>
      <c r="Q128" s="7">
        <f>IF($U128="","",P128+M128)</f>
        <v/>
      </c>
      <c r="R128" s="7">
        <f>IF($U128="","",S128-Q128)</f>
        <v/>
      </c>
      <c r="S128" s="7">
        <f>IF($U128="","",L128+O128)</f>
        <v/>
      </c>
      <c r="T128" s="7">
        <f>IF($U128="","",S128-Q128-H128)</f>
        <v/>
      </c>
      <c r="U128" s="16">
        <f>IF(ROWS($U$2:$U128)&lt;=MAX('Per Line'!$V$2:$V$1501),MATCH(ROWS($U$2:$U128),'Per Line'!$V$2:$V$1501,0),"")</f>
        <v/>
      </c>
      <c r="V128">
        <f>IF($U128="","",B128&amp;"|"&amp;COUNTIF($B$2:$B128,B128))</f>
        <v/>
      </c>
    </row>
    <row r="129">
      <c r="A129">
        <f>IF($U129="","",INDEX('Per Line'!$B$2:$B$1501,$U129)&amp;"")</f>
        <v/>
      </c>
      <c r="B129">
        <f>IF($U129="","","COPY "&amp;G129&amp;" %")</f>
        <v/>
      </c>
      <c r="C129" s="15" t="n"/>
      <c r="D129">
        <f>IF($U129="","",INDEX('Per Line'!$C$2:$C$1501,$U129)&amp;"")</f>
        <v/>
      </c>
      <c r="E129">
        <f>IF($U129="","",INDEX('Per Line'!$D$2:$D$1501,$U129)&amp;"")</f>
        <v/>
      </c>
      <c r="F129">
        <f>IF($U129="","",INDEX('Per Line'!$E$2:$E$1501,$U129)&amp;"")</f>
        <v/>
      </c>
      <c r="G129">
        <f>IF($U129="","",INDEX('Per Line'!$F$2:$F$1501,$U129))</f>
        <v/>
      </c>
      <c r="H129" s="7">
        <f>IF($U129="","",G129*S129/100)</f>
        <v/>
      </c>
      <c r="I129" s="14">
        <f>IF($U129="","",INDEX('Per Line'!$R$2:$R$1501,$U129))</f>
        <v/>
      </c>
      <c r="J129">
        <f>IF($U129="","",INDEX('Per Line'!$Q$2:$Q$1501,$U129)&amp;"")</f>
        <v/>
      </c>
      <c r="K129">
        <f>IF($U129="","",Settings!$C$7)</f>
        <v/>
      </c>
      <c r="L129" s="7">
        <f>IF($U129="","",SUMIFS('Per Line'!$L$2:$L$1501,'Per Line'!$B$2:$B$1501,$A129,'Per Line'!$W$2:$W$1501,0))</f>
        <v/>
      </c>
      <c r="M129" s="7">
        <f>IF($U129="","",L129*K129)</f>
        <v/>
      </c>
      <c r="N129">
        <f>IF($U129="","",Settings!$C$6)</f>
        <v/>
      </c>
      <c r="O129" s="7">
        <f>IF($U129="","",SUMIFS('Per Line'!$L$2:$L$1501,'Per Line'!$B$2:$B$1501,$A129,'Per Line'!$W$2:$W$1501,1))</f>
        <v/>
      </c>
      <c r="P129" s="7">
        <f>IF($U129="","",O129*N129)</f>
        <v/>
      </c>
      <c r="Q129" s="7">
        <f>IF($U129="","",P129+M129)</f>
        <v/>
      </c>
      <c r="R129" s="7">
        <f>IF($U129="","",S129-Q129)</f>
        <v/>
      </c>
      <c r="S129" s="7">
        <f>IF($U129="","",L129+O129)</f>
        <v/>
      </c>
      <c r="T129" s="7">
        <f>IF($U129="","",S129-Q129-H129)</f>
        <v/>
      </c>
      <c r="U129" s="16">
        <f>IF(ROWS($U$2:$U129)&lt;=MAX('Per Line'!$V$2:$V$1501),MATCH(ROWS($U$2:$U129),'Per Line'!$V$2:$V$1501,0),"")</f>
        <v/>
      </c>
      <c r="V129">
        <f>IF($U129="","",B129&amp;"|"&amp;COUNTIF($B$2:$B129,B129))</f>
        <v/>
      </c>
    </row>
    <row r="130">
      <c r="A130">
        <f>IF($U130="","",INDEX('Per Line'!$B$2:$B$1501,$U130)&amp;"")</f>
        <v/>
      </c>
      <c r="B130">
        <f>IF($U130="","","COPY "&amp;G130&amp;" %")</f>
        <v/>
      </c>
      <c r="C130" s="15" t="n"/>
      <c r="D130">
        <f>IF($U130="","",INDEX('Per Line'!$C$2:$C$1501,$U130)&amp;"")</f>
        <v/>
      </c>
      <c r="E130">
        <f>IF($U130="","",INDEX('Per Line'!$D$2:$D$1501,$U130)&amp;"")</f>
        <v/>
      </c>
      <c r="F130">
        <f>IF($U130="","",INDEX('Per Line'!$E$2:$E$1501,$U130)&amp;"")</f>
        <v/>
      </c>
      <c r="G130">
        <f>IF($U130="","",INDEX('Per Line'!$F$2:$F$1501,$U130))</f>
        <v/>
      </c>
      <c r="H130" s="7">
        <f>IF($U130="","",G130*S130/100)</f>
        <v/>
      </c>
      <c r="I130" s="14">
        <f>IF($U130="","",INDEX('Per Line'!$R$2:$R$1501,$U130))</f>
        <v/>
      </c>
      <c r="J130">
        <f>IF($U130="","",INDEX('Per Line'!$Q$2:$Q$1501,$U130)&amp;"")</f>
        <v/>
      </c>
      <c r="K130">
        <f>IF($U130="","",Settings!$C$7)</f>
        <v/>
      </c>
      <c r="L130" s="7">
        <f>IF($U130="","",SUMIFS('Per Line'!$L$2:$L$1501,'Per Line'!$B$2:$B$1501,$A130,'Per Line'!$W$2:$W$1501,0))</f>
        <v/>
      </c>
      <c r="M130" s="7">
        <f>IF($U130="","",L130*K130)</f>
        <v/>
      </c>
      <c r="N130">
        <f>IF($U130="","",Settings!$C$6)</f>
        <v/>
      </c>
      <c r="O130" s="7">
        <f>IF($U130="","",SUMIFS('Per Line'!$L$2:$L$1501,'Per Line'!$B$2:$B$1501,$A130,'Per Line'!$W$2:$W$1501,1))</f>
        <v/>
      </c>
      <c r="P130" s="7">
        <f>IF($U130="","",O130*N130)</f>
        <v/>
      </c>
      <c r="Q130" s="7">
        <f>IF($U130="","",P130+M130)</f>
        <v/>
      </c>
      <c r="R130" s="7">
        <f>IF($U130="","",S130-Q130)</f>
        <v/>
      </c>
      <c r="S130" s="7">
        <f>IF($U130="","",L130+O130)</f>
        <v/>
      </c>
      <c r="T130" s="7">
        <f>IF($U130="","",S130-Q130-H130)</f>
        <v/>
      </c>
      <c r="U130" s="16">
        <f>IF(ROWS($U$2:$U130)&lt;=MAX('Per Line'!$V$2:$V$1501),MATCH(ROWS($U$2:$U130),'Per Line'!$V$2:$V$1501,0),"")</f>
        <v/>
      </c>
      <c r="V130">
        <f>IF($U130="","",B130&amp;"|"&amp;COUNTIF($B$2:$B130,B130))</f>
        <v/>
      </c>
    </row>
    <row r="131">
      <c r="A131">
        <f>IF($U131="","",INDEX('Per Line'!$B$2:$B$1501,$U131)&amp;"")</f>
        <v/>
      </c>
      <c r="B131">
        <f>IF($U131="","","COPY "&amp;G131&amp;" %")</f>
        <v/>
      </c>
      <c r="C131" s="15" t="n"/>
      <c r="D131">
        <f>IF($U131="","",INDEX('Per Line'!$C$2:$C$1501,$U131)&amp;"")</f>
        <v/>
      </c>
      <c r="E131">
        <f>IF($U131="","",INDEX('Per Line'!$D$2:$D$1501,$U131)&amp;"")</f>
        <v/>
      </c>
      <c r="F131">
        <f>IF($U131="","",INDEX('Per Line'!$E$2:$E$1501,$U131)&amp;"")</f>
        <v/>
      </c>
      <c r="G131">
        <f>IF($U131="","",INDEX('Per Line'!$F$2:$F$1501,$U131))</f>
        <v/>
      </c>
      <c r="H131" s="7">
        <f>IF($U131="","",G131*S131/100)</f>
        <v/>
      </c>
      <c r="I131" s="14">
        <f>IF($U131="","",INDEX('Per Line'!$R$2:$R$1501,$U131))</f>
        <v/>
      </c>
      <c r="J131">
        <f>IF($U131="","",INDEX('Per Line'!$Q$2:$Q$1501,$U131)&amp;"")</f>
        <v/>
      </c>
      <c r="K131">
        <f>IF($U131="","",Settings!$C$7)</f>
        <v/>
      </c>
      <c r="L131" s="7">
        <f>IF($U131="","",SUMIFS('Per Line'!$L$2:$L$1501,'Per Line'!$B$2:$B$1501,$A131,'Per Line'!$W$2:$W$1501,0))</f>
        <v/>
      </c>
      <c r="M131" s="7">
        <f>IF($U131="","",L131*K131)</f>
        <v/>
      </c>
      <c r="N131">
        <f>IF($U131="","",Settings!$C$6)</f>
        <v/>
      </c>
      <c r="O131" s="7">
        <f>IF($U131="","",SUMIFS('Per Line'!$L$2:$L$1501,'Per Line'!$B$2:$B$1501,$A131,'Per Line'!$W$2:$W$1501,1))</f>
        <v/>
      </c>
      <c r="P131" s="7">
        <f>IF($U131="","",O131*N131)</f>
        <v/>
      </c>
      <c r="Q131" s="7">
        <f>IF($U131="","",P131+M131)</f>
        <v/>
      </c>
      <c r="R131" s="7">
        <f>IF($U131="","",S131-Q131)</f>
        <v/>
      </c>
      <c r="S131" s="7">
        <f>IF($U131="","",L131+O131)</f>
        <v/>
      </c>
      <c r="T131" s="7">
        <f>IF($U131="","",S131-Q131-H131)</f>
        <v/>
      </c>
      <c r="U131" s="16">
        <f>IF(ROWS($U$2:$U131)&lt;=MAX('Per Line'!$V$2:$V$1501),MATCH(ROWS($U$2:$U131),'Per Line'!$V$2:$V$1501,0),"")</f>
        <v/>
      </c>
      <c r="V131">
        <f>IF($U131="","",B131&amp;"|"&amp;COUNTIF($B$2:$B131,B131))</f>
        <v/>
      </c>
    </row>
    <row r="132">
      <c r="A132">
        <f>IF($U132="","",INDEX('Per Line'!$B$2:$B$1501,$U132)&amp;"")</f>
        <v/>
      </c>
      <c r="B132">
        <f>IF($U132="","","COPY "&amp;G132&amp;" %")</f>
        <v/>
      </c>
      <c r="C132" s="15" t="n"/>
      <c r="D132">
        <f>IF($U132="","",INDEX('Per Line'!$C$2:$C$1501,$U132)&amp;"")</f>
        <v/>
      </c>
      <c r="E132">
        <f>IF($U132="","",INDEX('Per Line'!$D$2:$D$1501,$U132)&amp;"")</f>
        <v/>
      </c>
      <c r="F132">
        <f>IF($U132="","",INDEX('Per Line'!$E$2:$E$1501,$U132)&amp;"")</f>
        <v/>
      </c>
      <c r="G132">
        <f>IF($U132="","",INDEX('Per Line'!$F$2:$F$1501,$U132))</f>
        <v/>
      </c>
      <c r="H132" s="7">
        <f>IF($U132="","",G132*S132/100)</f>
        <v/>
      </c>
      <c r="I132" s="14">
        <f>IF($U132="","",INDEX('Per Line'!$R$2:$R$1501,$U132))</f>
        <v/>
      </c>
      <c r="J132">
        <f>IF($U132="","",INDEX('Per Line'!$Q$2:$Q$1501,$U132)&amp;"")</f>
        <v/>
      </c>
      <c r="K132">
        <f>IF($U132="","",Settings!$C$7)</f>
        <v/>
      </c>
      <c r="L132" s="7">
        <f>IF($U132="","",SUMIFS('Per Line'!$L$2:$L$1501,'Per Line'!$B$2:$B$1501,$A132,'Per Line'!$W$2:$W$1501,0))</f>
        <v/>
      </c>
      <c r="M132" s="7">
        <f>IF($U132="","",L132*K132)</f>
        <v/>
      </c>
      <c r="N132">
        <f>IF($U132="","",Settings!$C$6)</f>
        <v/>
      </c>
      <c r="O132" s="7">
        <f>IF($U132="","",SUMIFS('Per Line'!$L$2:$L$1501,'Per Line'!$B$2:$B$1501,$A132,'Per Line'!$W$2:$W$1501,1))</f>
        <v/>
      </c>
      <c r="P132" s="7">
        <f>IF($U132="","",O132*N132)</f>
        <v/>
      </c>
      <c r="Q132" s="7">
        <f>IF($U132="","",P132+M132)</f>
        <v/>
      </c>
      <c r="R132" s="7">
        <f>IF($U132="","",S132-Q132)</f>
        <v/>
      </c>
      <c r="S132" s="7">
        <f>IF($U132="","",L132+O132)</f>
        <v/>
      </c>
      <c r="T132" s="7">
        <f>IF($U132="","",S132-Q132-H132)</f>
        <v/>
      </c>
      <c r="U132" s="16">
        <f>IF(ROWS($U$2:$U132)&lt;=MAX('Per Line'!$V$2:$V$1501),MATCH(ROWS($U$2:$U132),'Per Line'!$V$2:$V$1501,0),"")</f>
        <v/>
      </c>
      <c r="V132">
        <f>IF($U132="","",B132&amp;"|"&amp;COUNTIF($B$2:$B132,B132))</f>
        <v/>
      </c>
    </row>
    <row r="133">
      <c r="A133">
        <f>IF($U133="","",INDEX('Per Line'!$B$2:$B$1501,$U133)&amp;"")</f>
        <v/>
      </c>
      <c r="B133">
        <f>IF($U133="","","COPY "&amp;G133&amp;" %")</f>
        <v/>
      </c>
      <c r="C133" s="15" t="n"/>
      <c r="D133">
        <f>IF($U133="","",INDEX('Per Line'!$C$2:$C$1501,$U133)&amp;"")</f>
        <v/>
      </c>
      <c r="E133">
        <f>IF($U133="","",INDEX('Per Line'!$D$2:$D$1501,$U133)&amp;"")</f>
        <v/>
      </c>
      <c r="F133">
        <f>IF($U133="","",INDEX('Per Line'!$E$2:$E$1501,$U133)&amp;"")</f>
        <v/>
      </c>
      <c r="G133">
        <f>IF($U133="","",INDEX('Per Line'!$F$2:$F$1501,$U133))</f>
        <v/>
      </c>
      <c r="H133" s="7">
        <f>IF($U133="","",G133*S133/100)</f>
        <v/>
      </c>
      <c r="I133" s="14">
        <f>IF($U133="","",INDEX('Per Line'!$R$2:$R$1501,$U133))</f>
        <v/>
      </c>
      <c r="J133">
        <f>IF($U133="","",INDEX('Per Line'!$Q$2:$Q$1501,$U133)&amp;"")</f>
        <v/>
      </c>
      <c r="K133">
        <f>IF($U133="","",Settings!$C$7)</f>
        <v/>
      </c>
      <c r="L133" s="7">
        <f>IF($U133="","",SUMIFS('Per Line'!$L$2:$L$1501,'Per Line'!$B$2:$B$1501,$A133,'Per Line'!$W$2:$W$1501,0))</f>
        <v/>
      </c>
      <c r="M133" s="7">
        <f>IF($U133="","",L133*K133)</f>
        <v/>
      </c>
      <c r="N133">
        <f>IF($U133="","",Settings!$C$6)</f>
        <v/>
      </c>
      <c r="O133" s="7">
        <f>IF($U133="","",SUMIFS('Per Line'!$L$2:$L$1501,'Per Line'!$B$2:$B$1501,$A133,'Per Line'!$W$2:$W$1501,1))</f>
        <v/>
      </c>
      <c r="P133" s="7">
        <f>IF($U133="","",O133*N133)</f>
        <v/>
      </c>
      <c r="Q133" s="7">
        <f>IF($U133="","",P133+M133)</f>
        <v/>
      </c>
      <c r="R133" s="7">
        <f>IF($U133="","",S133-Q133)</f>
        <v/>
      </c>
      <c r="S133" s="7">
        <f>IF($U133="","",L133+O133)</f>
        <v/>
      </c>
      <c r="T133" s="7">
        <f>IF($U133="","",S133-Q133-H133)</f>
        <v/>
      </c>
      <c r="U133" s="16">
        <f>IF(ROWS($U$2:$U133)&lt;=MAX('Per Line'!$V$2:$V$1501),MATCH(ROWS($U$2:$U133),'Per Line'!$V$2:$V$1501,0),"")</f>
        <v/>
      </c>
      <c r="V133">
        <f>IF($U133="","",B133&amp;"|"&amp;COUNTIF($B$2:$B133,B133))</f>
        <v/>
      </c>
    </row>
    <row r="134">
      <c r="A134">
        <f>IF($U134="","",INDEX('Per Line'!$B$2:$B$1501,$U134)&amp;"")</f>
        <v/>
      </c>
      <c r="B134">
        <f>IF($U134="","","COPY "&amp;G134&amp;" %")</f>
        <v/>
      </c>
      <c r="C134" s="15" t="n"/>
      <c r="D134">
        <f>IF($U134="","",INDEX('Per Line'!$C$2:$C$1501,$U134)&amp;"")</f>
        <v/>
      </c>
      <c r="E134">
        <f>IF($U134="","",INDEX('Per Line'!$D$2:$D$1501,$U134)&amp;"")</f>
        <v/>
      </c>
      <c r="F134">
        <f>IF($U134="","",INDEX('Per Line'!$E$2:$E$1501,$U134)&amp;"")</f>
        <v/>
      </c>
      <c r="G134">
        <f>IF($U134="","",INDEX('Per Line'!$F$2:$F$1501,$U134))</f>
        <v/>
      </c>
      <c r="H134" s="7">
        <f>IF($U134="","",G134*S134/100)</f>
        <v/>
      </c>
      <c r="I134" s="14">
        <f>IF($U134="","",INDEX('Per Line'!$R$2:$R$1501,$U134))</f>
        <v/>
      </c>
      <c r="J134">
        <f>IF($U134="","",INDEX('Per Line'!$Q$2:$Q$1501,$U134)&amp;"")</f>
        <v/>
      </c>
      <c r="K134">
        <f>IF($U134="","",Settings!$C$7)</f>
        <v/>
      </c>
      <c r="L134" s="7">
        <f>IF($U134="","",SUMIFS('Per Line'!$L$2:$L$1501,'Per Line'!$B$2:$B$1501,$A134,'Per Line'!$W$2:$W$1501,0))</f>
        <v/>
      </c>
      <c r="M134" s="7">
        <f>IF($U134="","",L134*K134)</f>
        <v/>
      </c>
      <c r="N134">
        <f>IF($U134="","",Settings!$C$6)</f>
        <v/>
      </c>
      <c r="O134" s="7">
        <f>IF($U134="","",SUMIFS('Per Line'!$L$2:$L$1501,'Per Line'!$B$2:$B$1501,$A134,'Per Line'!$W$2:$W$1501,1))</f>
        <v/>
      </c>
      <c r="P134" s="7">
        <f>IF($U134="","",O134*N134)</f>
        <v/>
      </c>
      <c r="Q134" s="7">
        <f>IF($U134="","",P134+M134)</f>
        <v/>
      </c>
      <c r="R134" s="7">
        <f>IF($U134="","",S134-Q134)</f>
        <v/>
      </c>
      <c r="S134" s="7">
        <f>IF($U134="","",L134+O134)</f>
        <v/>
      </c>
      <c r="T134" s="7">
        <f>IF($U134="","",S134-Q134-H134)</f>
        <v/>
      </c>
      <c r="U134" s="16">
        <f>IF(ROWS($U$2:$U134)&lt;=MAX('Per Line'!$V$2:$V$1501),MATCH(ROWS($U$2:$U134),'Per Line'!$V$2:$V$1501,0),"")</f>
        <v/>
      </c>
      <c r="V134">
        <f>IF($U134="","",B134&amp;"|"&amp;COUNTIF($B$2:$B134,B134))</f>
        <v/>
      </c>
    </row>
    <row r="135">
      <c r="A135">
        <f>IF($U135="","",INDEX('Per Line'!$B$2:$B$1501,$U135)&amp;"")</f>
        <v/>
      </c>
      <c r="B135">
        <f>IF($U135="","","COPY "&amp;G135&amp;" %")</f>
        <v/>
      </c>
      <c r="C135" s="15" t="n"/>
      <c r="D135">
        <f>IF($U135="","",INDEX('Per Line'!$C$2:$C$1501,$U135)&amp;"")</f>
        <v/>
      </c>
      <c r="E135">
        <f>IF($U135="","",INDEX('Per Line'!$D$2:$D$1501,$U135)&amp;"")</f>
        <v/>
      </c>
      <c r="F135">
        <f>IF($U135="","",INDEX('Per Line'!$E$2:$E$1501,$U135)&amp;"")</f>
        <v/>
      </c>
      <c r="G135">
        <f>IF($U135="","",INDEX('Per Line'!$F$2:$F$1501,$U135))</f>
        <v/>
      </c>
      <c r="H135" s="7">
        <f>IF($U135="","",G135*S135/100)</f>
        <v/>
      </c>
      <c r="I135" s="14">
        <f>IF($U135="","",INDEX('Per Line'!$R$2:$R$1501,$U135))</f>
        <v/>
      </c>
      <c r="J135">
        <f>IF($U135="","",INDEX('Per Line'!$Q$2:$Q$1501,$U135)&amp;"")</f>
        <v/>
      </c>
      <c r="K135">
        <f>IF($U135="","",Settings!$C$7)</f>
        <v/>
      </c>
      <c r="L135" s="7">
        <f>IF($U135="","",SUMIFS('Per Line'!$L$2:$L$1501,'Per Line'!$B$2:$B$1501,$A135,'Per Line'!$W$2:$W$1501,0))</f>
        <v/>
      </c>
      <c r="M135" s="7">
        <f>IF($U135="","",L135*K135)</f>
        <v/>
      </c>
      <c r="N135">
        <f>IF($U135="","",Settings!$C$6)</f>
        <v/>
      </c>
      <c r="O135" s="7">
        <f>IF($U135="","",SUMIFS('Per Line'!$L$2:$L$1501,'Per Line'!$B$2:$B$1501,$A135,'Per Line'!$W$2:$W$1501,1))</f>
        <v/>
      </c>
      <c r="P135" s="7">
        <f>IF($U135="","",O135*N135)</f>
        <v/>
      </c>
      <c r="Q135" s="7">
        <f>IF($U135="","",P135+M135)</f>
        <v/>
      </c>
      <c r="R135" s="7">
        <f>IF($U135="","",S135-Q135)</f>
        <v/>
      </c>
      <c r="S135" s="7">
        <f>IF($U135="","",L135+O135)</f>
        <v/>
      </c>
      <c r="T135" s="7">
        <f>IF($U135="","",S135-Q135-H135)</f>
        <v/>
      </c>
      <c r="U135" s="16">
        <f>IF(ROWS($U$2:$U135)&lt;=MAX('Per Line'!$V$2:$V$1501),MATCH(ROWS($U$2:$U135),'Per Line'!$V$2:$V$1501,0),"")</f>
        <v/>
      </c>
      <c r="V135">
        <f>IF($U135="","",B135&amp;"|"&amp;COUNTIF($B$2:$B135,B135))</f>
        <v/>
      </c>
    </row>
    <row r="136">
      <c r="A136">
        <f>IF($U136="","",INDEX('Per Line'!$B$2:$B$1501,$U136)&amp;"")</f>
        <v/>
      </c>
      <c r="B136">
        <f>IF($U136="","","COPY "&amp;G136&amp;" %")</f>
        <v/>
      </c>
      <c r="C136" s="15" t="n"/>
      <c r="D136">
        <f>IF($U136="","",INDEX('Per Line'!$C$2:$C$1501,$U136)&amp;"")</f>
        <v/>
      </c>
      <c r="E136">
        <f>IF($U136="","",INDEX('Per Line'!$D$2:$D$1501,$U136)&amp;"")</f>
        <v/>
      </c>
      <c r="F136">
        <f>IF($U136="","",INDEX('Per Line'!$E$2:$E$1501,$U136)&amp;"")</f>
        <v/>
      </c>
      <c r="G136">
        <f>IF($U136="","",INDEX('Per Line'!$F$2:$F$1501,$U136))</f>
        <v/>
      </c>
      <c r="H136" s="7">
        <f>IF($U136="","",G136*S136/100)</f>
        <v/>
      </c>
      <c r="I136" s="14">
        <f>IF($U136="","",INDEX('Per Line'!$R$2:$R$1501,$U136))</f>
        <v/>
      </c>
      <c r="J136">
        <f>IF($U136="","",INDEX('Per Line'!$Q$2:$Q$1501,$U136)&amp;"")</f>
        <v/>
      </c>
      <c r="K136">
        <f>IF($U136="","",Settings!$C$7)</f>
        <v/>
      </c>
      <c r="L136" s="7">
        <f>IF($U136="","",SUMIFS('Per Line'!$L$2:$L$1501,'Per Line'!$B$2:$B$1501,$A136,'Per Line'!$W$2:$W$1501,0))</f>
        <v/>
      </c>
      <c r="M136" s="7">
        <f>IF($U136="","",L136*K136)</f>
        <v/>
      </c>
      <c r="N136">
        <f>IF($U136="","",Settings!$C$6)</f>
        <v/>
      </c>
      <c r="O136" s="7">
        <f>IF($U136="","",SUMIFS('Per Line'!$L$2:$L$1501,'Per Line'!$B$2:$B$1501,$A136,'Per Line'!$W$2:$W$1501,1))</f>
        <v/>
      </c>
      <c r="P136" s="7">
        <f>IF($U136="","",O136*N136)</f>
        <v/>
      </c>
      <c r="Q136" s="7">
        <f>IF($U136="","",P136+M136)</f>
        <v/>
      </c>
      <c r="R136" s="7">
        <f>IF($U136="","",S136-Q136)</f>
        <v/>
      </c>
      <c r="S136" s="7">
        <f>IF($U136="","",L136+O136)</f>
        <v/>
      </c>
      <c r="T136" s="7">
        <f>IF($U136="","",S136-Q136-H136)</f>
        <v/>
      </c>
      <c r="U136" s="16">
        <f>IF(ROWS($U$2:$U136)&lt;=MAX('Per Line'!$V$2:$V$1501),MATCH(ROWS($U$2:$U136),'Per Line'!$V$2:$V$1501,0),"")</f>
        <v/>
      </c>
      <c r="V136">
        <f>IF($U136="","",B136&amp;"|"&amp;COUNTIF($B$2:$B136,B136))</f>
        <v/>
      </c>
    </row>
    <row r="137">
      <c r="A137">
        <f>IF($U137="","",INDEX('Per Line'!$B$2:$B$1501,$U137)&amp;"")</f>
        <v/>
      </c>
      <c r="B137">
        <f>IF($U137="","","COPY "&amp;G137&amp;" %")</f>
        <v/>
      </c>
      <c r="C137" s="15" t="n"/>
      <c r="D137">
        <f>IF($U137="","",INDEX('Per Line'!$C$2:$C$1501,$U137)&amp;"")</f>
        <v/>
      </c>
      <c r="E137">
        <f>IF($U137="","",INDEX('Per Line'!$D$2:$D$1501,$U137)&amp;"")</f>
        <v/>
      </c>
      <c r="F137">
        <f>IF($U137="","",INDEX('Per Line'!$E$2:$E$1501,$U137)&amp;"")</f>
        <v/>
      </c>
      <c r="G137">
        <f>IF($U137="","",INDEX('Per Line'!$F$2:$F$1501,$U137))</f>
        <v/>
      </c>
      <c r="H137" s="7">
        <f>IF($U137="","",G137*S137/100)</f>
        <v/>
      </c>
      <c r="I137" s="14">
        <f>IF($U137="","",INDEX('Per Line'!$R$2:$R$1501,$U137))</f>
        <v/>
      </c>
      <c r="J137">
        <f>IF($U137="","",INDEX('Per Line'!$Q$2:$Q$1501,$U137)&amp;"")</f>
        <v/>
      </c>
      <c r="K137">
        <f>IF($U137="","",Settings!$C$7)</f>
        <v/>
      </c>
      <c r="L137" s="7">
        <f>IF($U137="","",SUMIFS('Per Line'!$L$2:$L$1501,'Per Line'!$B$2:$B$1501,$A137,'Per Line'!$W$2:$W$1501,0))</f>
        <v/>
      </c>
      <c r="M137" s="7">
        <f>IF($U137="","",L137*K137)</f>
        <v/>
      </c>
      <c r="N137">
        <f>IF($U137="","",Settings!$C$6)</f>
        <v/>
      </c>
      <c r="O137" s="7">
        <f>IF($U137="","",SUMIFS('Per Line'!$L$2:$L$1501,'Per Line'!$B$2:$B$1501,$A137,'Per Line'!$W$2:$W$1501,1))</f>
        <v/>
      </c>
      <c r="P137" s="7">
        <f>IF($U137="","",O137*N137)</f>
        <v/>
      </c>
      <c r="Q137" s="7">
        <f>IF($U137="","",P137+M137)</f>
        <v/>
      </c>
      <c r="R137" s="7">
        <f>IF($U137="","",S137-Q137)</f>
        <v/>
      </c>
      <c r="S137" s="7">
        <f>IF($U137="","",L137+O137)</f>
        <v/>
      </c>
      <c r="T137" s="7">
        <f>IF($U137="","",S137-Q137-H137)</f>
        <v/>
      </c>
      <c r="U137" s="16">
        <f>IF(ROWS($U$2:$U137)&lt;=MAX('Per Line'!$V$2:$V$1501),MATCH(ROWS($U$2:$U137),'Per Line'!$V$2:$V$1501,0),"")</f>
        <v/>
      </c>
      <c r="V137">
        <f>IF($U137="","",B137&amp;"|"&amp;COUNTIF($B$2:$B137,B137))</f>
        <v/>
      </c>
    </row>
    <row r="138">
      <c r="A138">
        <f>IF($U138="","",INDEX('Per Line'!$B$2:$B$1501,$U138)&amp;"")</f>
        <v/>
      </c>
      <c r="B138">
        <f>IF($U138="","","COPY "&amp;G138&amp;" %")</f>
        <v/>
      </c>
      <c r="C138" s="15" t="n"/>
      <c r="D138">
        <f>IF($U138="","",INDEX('Per Line'!$C$2:$C$1501,$U138)&amp;"")</f>
        <v/>
      </c>
      <c r="E138">
        <f>IF($U138="","",INDEX('Per Line'!$D$2:$D$1501,$U138)&amp;"")</f>
        <v/>
      </c>
      <c r="F138">
        <f>IF($U138="","",INDEX('Per Line'!$E$2:$E$1501,$U138)&amp;"")</f>
        <v/>
      </c>
      <c r="G138">
        <f>IF($U138="","",INDEX('Per Line'!$F$2:$F$1501,$U138))</f>
        <v/>
      </c>
      <c r="H138" s="7">
        <f>IF($U138="","",G138*S138/100)</f>
        <v/>
      </c>
      <c r="I138" s="14">
        <f>IF($U138="","",INDEX('Per Line'!$R$2:$R$1501,$U138))</f>
        <v/>
      </c>
      <c r="J138">
        <f>IF($U138="","",INDEX('Per Line'!$Q$2:$Q$1501,$U138)&amp;"")</f>
        <v/>
      </c>
      <c r="K138">
        <f>IF($U138="","",Settings!$C$7)</f>
        <v/>
      </c>
      <c r="L138" s="7">
        <f>IF($U138="","",SUMIFS('Per Line'!$L$2:$L$1501,'Per Line'!$B$2:$B$1501,$A138,'Per Line'!$W$2:$W$1501,0))</f>
        <v/>
      </c>
      <c r="M138" s="7">
        <f>IF($U138="","",L138*K138)</f>
        <v/>
      </c>
      <c r="N138">
        <f>IF($U138="","",Settings!$C$6)</f>
        <v/>
      </c>
      <c r="O138" s="7">
        <f>IF($U138="","",SUMIFS('Per Line'!$L$2:$L$1501,'Per Line'!$B$2:$B$1501,$A138,'Per Line'!$W$2:$W$1501,1))</f>
        <v/>
      </c>
      <c r="P138" s="7">
        <f>IF($U138="","",O138*N138)</f>
        <v/>
      </c>
      <c r="Q138" s="7">
        <f>IF($U138="","",P138+M138)</f>
        <v/>
      </c>
      <c r="R138" s="7">
        <f>IF($U138="","",S138-Q138)</f>
        <v/>
      </c>
      <c r="S138" s="7">
        <f>IF($U138="","",L138+O138)</f>
        <v/>
      </c>
      <c r="T138" s="7">
        <f>IF($U138="","",S138-Q138-H138)</f>
        <v/>
      </c>
      <c r="U138" s="16">
        <f>IF(ROWS($U$2:$U138)&lt;=MAX('Per Line'!$V$2:$V$1501),MATCH(ROWS($U$2:$U138),'Per Line'!$V$2:$V$1501,0),"")</f>
        <v/>
      </c>
      <c r="V138">
        <f>IF($U138="","",B138&amp;"|"&amp;COUNTIF($B$2:$B138,B138))</f>
        <v/>
      </c>
    </row>
    <row r="139">
      <c r="A139">
        <f>IF($U139="","",INDEX('Per Line'!$B$2:$B$1501,$U139)&amp;"")</f>
        <v/>
      </c>
      <c r="B139">
        <f>IF($U139="","","COPY "&amp;G139&amp;" %")</f>
        <v/>
      </c>
      <c r="C139" s="15" t="n"/>
      <c r="D139">
        <f>IF($U139="","",INDEX('Per Line'!$C$2:$C$1501,$U139)&amp;"")</f>
        <v/>
      </c>
      <c r="E139">
        <f>IF($U139="","",INDEX('Per Line'!$D$2:$D$1501,$U139)&amp;"")</f>
        <v/>
      </c>
      <c r="F139">
        <f>IF($U139="","",INDEX('Per Line'!$E$2:$E$1501,$U139)&amp;"")</f>
        <v/>
      </c>
      <c r="G139">
        <f>IF($U139="","",INDEX('Per Line'!$F$2:$F$1501,$U139))</f>
        <v/>
      </c>
      <c r="H139" s="7">
        <f>IF($U139="","",G139*S139/100)</f>
        <v/>
      </c>
      <c r="I139" s="14">
        <f>IF($U139="","",INDEX('Per Line'!$R$2:$R$1501,$U139))</f>
        <v/>
      </c>
      <c r="J139">
        <f>IF($U139="","",INDEX('Per Line'!$Q$2:$Q$1501,$U139)&amp;"")</f>
        <v/>
      </c>
      <c r="K139">
        <f>IF($U139="","",Settings!$C$7)</f>
        <v/>
      </c>
      <c r="L139" s="7">
        <f>IF($U139="","",SUMIFS('Per Line'!$L$2:$L$1501,'Per Line'!$B$2:$B$1501,$A139,'Per Line'!$W$2:$W$1501,0))</f>
        <v/>
      </c>
      <c r="M139" s="7">
        <f>IF($U139="","",L139*K139)</f>
        <v/>
      </c>
      <c r="N139">
        <f>IF($U139="","",Settings!$C$6)</f>
        <v/>
      </c>
      <c r="O139" s="7">
        <f>IF($U139="","",SUMIFS('Per Line'!$L$2:$L$1501,'Per Line'!$B$2:$B$1501,$A139,'Per Line'!$W$2:$W$1501,1))</f>
        <v/>
      </c>
      <c r="P139" s="7">
        <f>IF($U139="","",O139*N139)</f>
        <v/>
      </c>
      <c r="Q139" s="7">
        <f>IF($U139="","",P139+M139)</f>
        <v/>
      </c>
      <c r="R139" s="7">
        <f>IF($U139="","",S139-Q139)</f>
        <v/>
      </c>
      <c r="S139" s="7">
        <f>IF($U139="","",L139+O139)</f>
        <v/>
      </c>
      <c r="T139" s="7">
        <f>IF($U139="","",S139-Q139-H139)</f>
        <v/>
      </c>
      <c r="U139" s="16">
        <f>IF(ROWS($U$2:$U139)&lt;=MAX('Per Line'!$V$2:$V$1501),MATCH(ROWS($U$2:$U139),'Per Line'!$V$2:$V$1501,0),"")</f>
        <v/>
      </c>
      <c r="V139">
        <f>IF($U139="","",B139&amp;"|"&amp;COUNTIF($B$2:$B139,B139))</f>
        <v/>
      </c>
    </row>
    <row r="140">
      <c r="A140">
        <f>IF($U140="","",INDEX('Per Line'!$B$2:$B$1501,$U140)&amp;"")</f>
        <v/>
      </c>
      <c r="B140">
        <f>IF($U140="","","COPY "&amp;G140&amp;" %")</f>
        <v/>
      </c>
      <c r="C140" s="15" t="n"/>
      <c r="D140">
        <f>IF($U140="","",INDEX('Per Line'!$C$2:$C$1501,$U140)&amp;"")</f>
        <v/>
      </c>
      <c r="E140">
        <f>IF($U140="","",INDEX('Per Line'!$D$2:$D$1501,$U140)&amp;"")</f>
        <v/>
      </c>
      <c r="F140">
        <f>IF($U140="","",INDEX('Per Line'!$E$2:$E$1501,$U140)&amp;"")</f>
        <v/>
      </c>
      <c r="G140">
        <f>IF($U140="","",INDEX('Per Line'!$F$2:$F$1501,$U140))</f>
        <v/>
      </c>
      <c r="H140" s="7">
        <f>IF($U140="","",G140*S140/100)</f>
        <v/>
      </c>
      <c r="I140" s="14">
        <f>IF($U140="","",INDEX('Per Line'!$R$2:$R$1501,$U140))</f>
        <v/>
      </c>
      <c r="J140">
        <f>IF($U140="","",INDEX('Per Line'!$Q$2:$Q$1501,$U140)&amp;"")</f>
        <v/>
      </c>
      <c r="K140">
        <f>IF($U140="","",Settings!$C$7)</f>
        <v/>
      </c>
      <c r="L140" s="7">
        <f>IF($U140="","",SUMIFS('Per Line'!$L$2:$L$1501,'Per Line'!$B$2:$B$1501,$A140,'Per Line'!$W$2:$W$1501,0))</f>
        <v/>
      </c>
      <c r="M140" s="7">
        <f>IF($U140="","",L140*K140)</f>
        <v/>
      </c>
      <c r="N140">
        <f>IF($U140="","",Settings!$C$6)</f>
        <v/>
      </c>
      <c r="O140" s="7">
        <f>IF($U140="","",SUMIFS('Per Line'!$L$2:$L$1501,'Per Line'!$B$2:$B$1501,$A140,'Per Line'!$W$2:$W$1501,1))</f>
        <v/>
      </c>
      <c r="P140" s="7">
        <f>IF($U140="","",O140*N140)</f>
        <v/>
      </c>
      <c r="Q140" s="7">
        <f>IF($U140="","",P140+M140)</f>
        <v/>
      </c>
      <c r="R140" s="7">
        <f>IF($U140="","",S140-Q140)</f>
        <v/>
      </c>
      <c r="S140" s="7">
        <f>IF($U140="","",L140+O140)</f>
        <v/>
      </c>
      <c r="T140" s="7">
        <f>IF($U140="","",S140-Q140-H140)</f>
        <v/>
      </c>
      <c r="U140" s="16">
        <f>IF(ROWS($U$2:$U140)&lt;=MAX('Per Line'!$V$2:$V$1501),MATCH(ROWS($U$2:$U140),'Per Line'!$V$2:$V$1501,0),"")</f>
        <v/>
      </c>
      <c r="V140">
        <f>IF($U140="","",B140&amp;"|"&amp;COUNTIF($B$2:$B140,B140))</f>
        <v/>
      </c>
    </row>
    <row r="141">
      <c r="A141">
        <f>IF($U141="","",INDEX('Per Line'!$B$2:$B$1501,$U141)&amp;"")</f>
        <v/>
      </c>
      <c r="B141">
        <f>IF($U141="","","COPY "&amp;G141&amp;" %")</f>
        <v/>
      </c>
      <c r="C141" s="15" t="n"/>
      <c r="D141">
        <f>IF($U141="","",INDEX('Per Line'!$C$2:$C$1501,$U141)&amp;"")</f>
        <v/>
      </c>
      <c r="E141">
        <f>IF($U141="","",INDEX('Per Line'!$D$2:$D$1501,$U141)&amp;"")</f>
        <v/>
      </c>
      <c r="F141">
        <f>IF($U141="","",INDEX('Per Line'!$E$2:$E$1501,$U141)&amp;"")</f>
        <v/>
      </c>
      <c r="G141">
        <f>IF($U141="","",INDEX('Per Line'!$F$2:$F$1501,$U141))</f>
        <v/>
      </c>
      <c r="H141" s="7">
        <f>IF($U141="","",G141*S141/100)</f>
        <v/>
      </c>
      <c r="I141" s="14">
        <f>IF($U141="","",INDEX('Per Line'!$R$2:$R$1501,$U141))</f>
        <v/>
      </c>
      <c r="J141">
        <f>IF($U141="","",INDEX('Per Line'!$Q$2:$Q$1501,$U141)&amp;"")</f>
        <v/>
      </c>
      <c r="K141">
        <f>IF($U141="","",Settings!$C$7)</f>
        <v/>
      </c>
      <c r="L141" s="7">
        <f>IF($U141="","",SUMIFS('Per Line'!$L$2:$L$1501,'Per Line'!$B$2:$B$1501,$A141,'Per Line'!$W$2:$W$1501,0))</f>
        <v/>
      </c>
      <c r="M141" s="7">
        <f>IF($U141="","",L141*K141)</f>
        <v/>
      </c>
      <c r="N141">
        <f>IF($U141="","",Settings!$C$6)</f>
        <v/>
      </c>
      <c r="O141" s="7">
        <f>IF($U141="","",SUMIFS('Per Line'!$L$2:$L$1501,'Per Line'!$B$2:$B$1501,$A141,'Per Line'!$W$2:$W$1501,1))</f>
        <v/>
      </c>
      <c r="P141" s="7">
        <f>IF($U141="","",O141*N141)</f>
        <v/>
      </c>
      <c r="Q141" s="7">
        <f>IF($U141="","",P141+M141)</f>
        <v/>
      </c>
      <c r="R141" s="7">
        <f>IF($U141="","",S141-Q141)</f>
        <v/>
      </c>
      <c r="S141" s="7">
        <f>IF($U141="","",L141+O141)</f>
        <v/>
      </c>
      <c r="T141" s="7">
        <f>IF($U141="","",S141-Q141-H141)</f>
        <v/>
      </c>
      <c r="U141" s="16">
        <f>IF(ROWS($U$2:$U141)&lt;=MAX('Per Line'!$V$2:$V$1501),MATCH(ROWS($U$2:$U141),'Per Line'!$V$2:$V$1501,0),"")</f>
        <v/>
      </c>
      <c r="V141">
        <f>IF($U141="","",B141&amp;"|"&amp;COUNTIF($B$2:$B141,B141))</f>
        <v/>
      </c>
    </row>
    <row r="142">
      <c r="A142">
        <f>IF($U142="","",INDEX('Per Line'!$B$2:$B$1501,$U142)&amp;"")</f>
        <v/>
      </c>
      <c r="B142">
        <f>IF($U142="","","COPY "&amp;G142&amp;" %")</f>
        <v/>
      </c>
      <c r="C142" s="15" t="n"/>
      <c r="D142">
        <f>IF($U142="","",INDEX('Per Line'!$C$2:$C$1501,$U142)&amp;"")</f>
        <v/>
      </c>
      <c r="E142">
        <f>IF($U142="","",INDEX('Per Line'!$D$2:$D$1501,$U142)&amp;"")</f>
        <v/>
      </c>
      <c r="F142">
        <f>IF($U142="","",INDEX('Per Line'!$E$2:$E$1501,$U142)&amp;"")</f>
        <v/>
      </c>
      <c r="G142">
        <f>IF($U142="","",INDEX('Per Line'!$F$2:$F$1501,$U142))</f>
        <v/>
      </c>
      <c r="H142" s="7">
        <f>IF($U142="","",G142*S142/100)</f>
        <v/>
      </c>
      <c r="I142" s="14">
        <f>IF($U142="","",INDEX('Per Line'!$R$2:$R$1501,$U142))</f>
        <v/>
      </c>
      <c r="J142">
        <f>IF($U142="","",INDEX('Per Line'!$Q$2:$Q$1501,$U142)&amp;"")</f>
        <v/>
      </c>
      <c r="K142">
        <f>IF($U142="","",Settings!$C$7)</f>
        <v/>
      </c>
      <c r="L142" s="7">
        <f>IF($U142="","",SUMIFS('Per Line'!$L$2:$L$1501,'Per Line'!$B$2:$B$1501,$A142,'Per Line'!$W$2:$W$1501,0))</f>
        <v/>
      </c>
      <c r="M142" s="7">
        <f>IF($U142="","",L142*K142)</f>
        <v/>
      </c>
      <c r="N142">
        <f>IF($U142="","",Settings!$C$6)</f>
        <v/>
      </c>
      <c r="O142" s="7">
        <f>IF($U142="","",SUMIFS('Per Line'!$L$2:$L$1501,'Per Line'!$B$2:$B$1501,$A142,'Per Line'!$W$2:$W$1501,1))</f>
        <v/>
      </c>
      <c r="P142" s="7">
        <f>IF($U142="","",O142*N142)</f>
        <v/>
      </c>
      <c r="Q142" s="7">
        <f>IF($U142="","",P142+M142)</f>
        <v/>
      </c>
      <c r="R142" s="7">
        <f>IF($U142="","",S142-Q142)</f>
        <v/>
      </c>
      <c r="S142" s="7">
        <f>IF($U142="","",L142+O142)</f>
        <v/>
      </c>
      <c r="T142" s="7">
        <f>IF($U142="","",S142-Q142-H142)</f>
        <v/>
      </c>
      <c r="U142" s="16">
        <f>IF(ROWS($U$2:$U142)&lt;=MAX('Per Line'!$V$2:$V$1501),MATCH(ROWS($U$2:$U142),'Per Line'!$V$2:$V$1501,0),"")</f>
        <v/>
      </c>
      <c r="V142">
        <f>IF($U142="","",B142&amp;"|"&amp;COUNTIF($B$2:$B142,B142))</f>
        <v/>
      </c>
    </row>
    <row r="143">
      <c r="A143">
        <f>IF($U143="","",INDEX('Per Line'!$B$2:$B$1501,$U143)&amp;"")</f>
        <v/>
      </c>
      <c r="B143">
        <f>IF($U143="","","COPY "&amp;G143&amp;" %")</f>
        <v/>
      </c>
      <c r="C143" s="15" t="n"/>
      <c r="D143">
        <f>IF($U143="","",INDEX('Per Line'!$C$2:$C$1501,$U143)&amp;"")</f>
        <v/>
      </c>
      <c r="E143">
        <f>IF($U143="","",INDEX('Per Line'!$D$2:$D$1501,$U143)&amp;"")</f>
        <v/>
      </c>
      <c r="F143">
        <f>IF($U143="","",INDEX('Per Line'!$E$2:$E$1501,$U143)&amp;"")</f>
        <v/>
      </c>
      <c r="G143">
        <f>IF($U143="","",INDEX('Per Line'!$F$2:$F$1501,$U143))</f>
        <v/>
      </c>
      <c r="H143" s="7">
        <f>IF($U143="","",G143*S143/100)</f>
        <v/>
      </c>
      <c r="I143" s="14">
        <f>IF($U143="","",INDEX('Per Line'!$R$2:$R$1501,$U143))</f>
        <v/>
      </c>
      <c r="J143">
        <f>IF($U143="","",INDEX('Per Line'!$Q$2:$Q$1501,$U143)&amp;"")</f>
        <v/>
      </c>
      <c r="K143">
        <f>IF($U143="","",Settings!$C$7)</f>
        <v/>
      </c>
      <c r="L143" s="7">
        <f>IF($U143="","",SUMIFS('Per Line'!$L$2:$L$1501,'Per Line'!$B$2:$B$1501,$A143,'Per Line'!$W$2:$W$1501,0))</f>
        <v/>
      </c>
      <c r="M143" s="7">
        <f>IF($U143="","",L143*K143)</f>
        <v/>
      </c>
      <c r="N143">
        <f>IF($U143="","",Settings!$C$6)</f>
        <v/>
      </c>
      <c r="O143" s="7">
        <f>IF($U143="","",SUMIFS('Per Line'!$L$2:$L$1501,'Per Line'!$B$2:$B$1501,$A143,'Per Line'!$W$2:$W$1501,1))</f>
        <v/>
      </c>
      <c r="P143" s="7">
        <f>IF($U143="","",O143*N143)</f>
        <v/>
      </c>
      <c r="Q143" s="7">
        <f>IF($U143="","",P143+M143)</f>
        <v/>
      </c>
      <c r="R143" s="7">
        <f>IF($U143="","",S143-Q143)</f>
        <v/>
      </c>
      <c r="S143" s="7">
        <f>IF($U143="","",L143+O143)</f>
        <v/>
      </c>
      <c r="T143" s="7">
        <f>IF($U143="","",S143-Q143-H143)</f>
        <v/>
      </c>
      <c r="U143" s="16">
        <f>IF(ROWS($U$2:$U143)&lt;=MAX('Per Line'!$V$2:$V$1501),MATCH(ROWS($U$2:$U143),'Per Line'!$V$2:$V$1501,0),"")</f>
        <v/>
      </c>
      <c r="V143">
        <f>IF($U143="","",B143&amp;"|"&amp;COUNTIF($B$2:$B143,B143))</f>
        <v/>
      </c>
    </row>
    <row r="144">
      <c r="A144">
        <f>IF($U144="","",INDEX('Per Line'!$B$2:$B$1501,$U144)&amp;"")</f>
        <v/>
      </c>
      <c r="B144">
        <f>IF($U144="","","COPY "&amp;G144&amp;" %")</f>
        <v/>
      </c>
      <c r="C144" s="15" t="n"/>
      <c r="D144">
        <f>IF($U144="","",INDEX('Per Line'!$C$2:$C$1501,$U144)&amp;"")</f>
        <v/>
      </c>
      <c r="E144">
        <f>IF($U144="","",INDEX('Per Line'!$D$2:$D$1501,$U144)&amp;"")</f>
        <v/>
      </c>
      <c r="F144">
        <f>IF($U144="","",INDEX('Per Line'!$E$2:$E$1501,$U144)&amp;"")</f>
        <v/>
      </c>
      <c r="G144">
        <f>IF($U144="","",INDEX('Per Line'!$F$2:$F$1501,$U144))</f>
        <v/>
      </c>
      <c r="H144" s="7">
        <f>IF($U144="","",G144*S144/100)</f>
        <v/>
      </c>
      <c r="I144" s="14">
        <f>IF($U144="","",INDEX('Per Line'!$R$2:$R$1501,$U144))</f>
        <v/>
      </c>
      <c r="J144">
        <f>IF($U144="","",INDEX('Per Line'!$Q$2:$Q$1501,$U144)&amp;"")</f>
        <v/>
      </c>
      <c r="K144">
        <f>IF($U144="","",Settings!$C$7)</f>
        <v/>
      </c>
      <c r="L144" s="7">
        <f>IF($U144="","",SUMIFS('Per Line'!$L$2:$L$1501,'Per Line'!$B$2:$B$1501,$A144,'Per Line'!$W$2:$W$1501,0))</f>
        <v/>
      </c>
      <c r="M144" s="7">
        <f>IF($U144="","",L144*K144)</f>
        <v/>
      </c>
      <c r="N144">
        <f>IF($U144="","",Settings!$C$6)</f>
        <v/>
      </c>
      <c r="O144" s="7">
        <f>IF($U144="","",SUMIFS('Per Line'!$L$2:$L$1501,'Per Line'!$B$2:$B$1501,$A144,'Per Line'!$W$2:$W$1501,1))</f>
        <v/>
      </c>
      <c r="P144" s="7">
        <f>IF($U144="","",O144*N144)</f>
        <v/>
      </c>
      <c r="Q144" s="7">
        <f>IF($U144="","",P144+M144)</f>
        <v/>
      </c>
      <c r="R144" s="7">
        <f>IF($U144="","",S144-Q144)</f>
        <v/>
      </c>
      <c r="S144" s="7">
        <f>IF($U144="","",L144+O144)</f>
        <v/>
      </c>
      <c r="T144" s="7">
        <f>IF($U144="","",S144-Q144-H144)</f>
        <v/>
      </c>
      <c r="U144" s="16">
        <f>IF(ROWS($U$2:$U144)&lt;=MAX('Per Line'!$V$2:$V$1501),MATCH(ROWS($U$2:$U144),'Per Line'!$V$2:$V$1501,0),"")</f>
        <v/>
      </c>
      <c r="V144">
        <f>IF($U144="","",B144&amp;"|"&amp;COUNTIF($B$2:$B144,B144))</f>
        <v/>
      </c>
    </row>
    <row r="145">
      <c r="A145">
        <f>IF($U145="","",INDEX('Per Line'!$B$2:$B$1501,$U145)&amp;"")</f>
        <v/>
      </c>
      <c r="B145">
        <f>IF($U145="","","COPY "&amp;G145&amp;" %")</f>
        <v/>
      </c>
      <c r="C145" s="15" t="n"/>
      <c r="D145">
        <f>IF($U145="","",INDEX('Per Line'!$C$2:$C$1501,$U145)&amp;"")</f>
        <v/>
      </c>
      <c r="E145">
        <f>IF($U145="","",INDEX('Per Line'!$D$2:$D$1501,$U145)&amp;"")</f>
        <v/>
      </c>
      <c r="F145">
        <f>IF($U145="","",INDEX('Per Line'!$E$2:$E$1501,$U145)&amp;"")</f>
        <v/>
      </c>
      <c r="G145">
        <f>IF($U145="","",INDEX('Per Line'!$F$2:$F$1501,$U145))</f>
        <v/>
      </c>
      <c r="H145" s="7">
        <f>IF($U145="","",G145*S145/100)</f>
        <v/>
      </c>
      <c r="I145" s="14">
        <f>IF($U145="","",INDEX('Per Line'!$R$2:$R$1501,$U145))</f>
        <v/>
      </c>
      <c r="J145">
        <f>IF($U145="","",INDEX('Per Line'!$Q$2:$Q$1501,$U145)&amp;"")</f>
        <v/>
      </c>
      <c r="K145">
        <f>IF($U145="","",Settings!$C$7)</f>
        <v/>
      </c>
      <c r="L145" s="7">
        <f>IF($U145="","",SUMIFS('Per Line'!$L$2:$L$1501,'Per Line'!$B$2:$B$1501,$A145,'Per Line'!$W$2:$W$1501,0))</f>
        <v/>
      </c>
      <c r="M145" s="7">
        <f>IF($U145="","",L145*K145)</f>
        <v/>
      </c>
      <c r="N145">
        <f>IF($U145="","",Settings!$C$6)</f>
        <v/>
      </c>
      <c r="O145" s="7">
        <f>IF($U145="","",SUMIFS('Per Line'!$L$2:$L$1501,'Per Line'!$B$2:$B$1501,$A145,'Per Line'!$W$2:$W$1501,1))</f>
        <v/>
      </c>
      <c r="P145" s="7">
        <f>IF($U145="","",O145*N145)</f>
        <v/>
      </c>
      <c r="Q145" s="7">
        <f>IF($U145="","",P145+M145)</f>
        <v/>
      </c>
      <c r="R145" s="7">
        <f>IF($U145="","",S145-Q145)</f>
        <v/>
      </c>
      <c r="S145" s="7">
        <f>IF($U145="","",L145+O145)</f>
        <v/>
      </c>
      <c r="T145" s="7">
        <f>IF($U145="","",S145-Q145-H145)</f>
        <v/>
      </c>
      <c r="U145" s="16">
        <f>IF(ROWS($U$2:$U145)&lt;=MAX('Per Line'!$V$2:$V$1501),MATCH(ROWS($U$2:$U145),'Per Line'!$V$2:$V$1501,0),"")</f>
        <v/>
      </c>
      <c r="V145">
        <f>IF($U145="","",B145&amp;"|"&amp;COUNTIF($B$2:$B145,B145))</f>
        <v/>
      </c>
    </row>
    <row r="146">
      <c r="A146">
        <f>IF($U146="","",INDEX('Per Line'!$B$2:$B$1501,$U146)&amp;"")</f>
        <v/>
      </c>
      <c r="B146">
        <f>IF($U146="","","COPY "&amp;G146&amp;" %")</f>
        <v/>
      </c>
      <c r="C146" s="15" t="n"/>
      <c r="D146">
        <f>IF($U146="","",INDEX('Per Line'!$C$2:$C$1501,$U146)&amp;"")</f>
        <v/>
      </c>
      <c r="E146">
        <f>IF($U146="","",INDEX('Per Line'!$D$2:$D$1501,$U146)&amp;"")</f>
        <v/>
      </c>
      <c r="F146">
        <f>IF($U146="","",INDEX('Per Line'!$E$2:$E$1501,$U146)&amp;"")</f>
        <v/>
      </c>
      <c r="G146">
        <f>IF($U146="","",INDEX('Per Line'!$F$2:$F$1501,$U146))</f>
        <v/>
      </c>
      <c r="H146" s="7">
        <f>IF($U146="","",G146*S146/100)</f>
        <v/>
      </c>
      <c r="I146" s="14">
        <f>IF($U146="","",INDEX('Per Line'!$R$2:$R$1501,$U146))</f>
        <v/>
      </c>
      <c r="J146">
        <f>IF($U146="","",INDEX('Per Line'!$Q$2:$Q$1501,$U146)&amp;"")</f>
        <v/>
      </c>
      <c r="K146">
        <f>IF($U146="","",Settings!$C$7)</f>
        <v/>
      </c>
      <c r="L146" s="7">
        <f>IF($U146="","",SUMIFS('Per Line'!$L$2:$L$1501,'Per Line'!$B$2:$B$1501,$A146,'Per Line'!$W$2:$W$1501,0))</f>
        <v/>
      </c>
      <c r="M146" s="7">
        <f>IF($U146="","",L146*K146)</f>
        <v/>
      </c>
      <c r="N146">
        <f>IF($U146="","",Settings!$C$6)</f>
        <v/>
      </c>
      <c r="O146" s="7">
        <f>IF($U146="","",SUMIFS('Per Line'!$L$2:$L$1501,'Per Line'!$B$2:$B$1501,$A146,'Per Line'!$W$2:$W$1501,1))</f>
        <v/>
      </c>
      <c r="P146" s="7">
        <f>IF($U146="","",O146*N146)</f>
        <v/>
      </c>
      <c r="Q146" s="7">
        <f>IF($U146="","",P146+M146)</f>
        <v/>
      </c>
      <c r="R146" s="7">
        <f>IF($U146="","",S146-Q146)</f>
        <v/>
      </c>
      <c r="S146" s="7">
        <f>IF($U146="","",L146+O146)</f>
        <v/>
      </c>
      <c r="T146" s="7">
        <f>IF($U146="","",S146-Q146-H146)</f>
        <v/>
      </c>
      <c r="U146" s="16">
        <f>IF(ROWS($U$2:$U146)&lt;=MAX('Per Line'!$V$2:$V$1501),MATCH(ROWS($U$2:$U146),'Per Line'!$V$2:$V$1501,0),"")</f>
        <v/>
      </c>
      <c r="V146">
        <f>IF($U146="","",B146&amp;"|"&amp;COUNTIF($B$2:$B146,B146))</f>
        <v/>
      </c>
    </row>
    <row r="147">
      <c r="A147">
        <f>IF($U147="","",INDEX('Per Line'!$B$2:$B$1501,$U147)&amp;"")</f>
        <v/>
      </c>
      <c r="B147">
        <f>IF($U147="","","COPY "&amp;G147&amp;" %")</f>
        <v/>
      </c>
      <c r="C147" s="15" t="n"/>
      <c r="D147">
        <f>IF($U147="","",INDEX('Per Line'!$C$2:$C$1501,$U147)&amp;"")</f>
        <v/>
      </c>
      <c r="E147">
        <f>IF($U147="","",INDEX('Per Line'!$D$2:$D$1501,$U147)&amp;"")</f>
        <v/>
      </c>
      <c r="F147">
        <f>IF($U147="","",INDEX('Per Line'!$E$2:$E$1501,$U147)&amp;"")</f>
        <v/>
      </c>
      <c r="G147">
        <f>IF($U147="","",INDEX('Per Line'!$F$2:$F$1501,$U147))</f>
        <v/>
      </c>
      <c r="H147" s="7">
        <f>IF($U147="","",G147*S147/100)</f>
        <v/>
      </c>
      <c r="I147" s="14">
        <f>IF($U147="","",INDEX('Per Line'!$R$2:$R$1501,$U147))</f>
        <v/>
      </c>
      <c r="J147">
        <f>IF($U147="","",INDEX('Per Line'!$Q$2:$Q$1501,$U147)&amp;"")</f>
        <v/>
      </c>
      <c r="K147">
        <f>IF($U147="","",Settings!$C$7)</f>
        <v/>
      </c>
      <c r="L147" s="7">
        <f>IF($U147="","",SUMIFS('Per Line'!$L$2:$L$1501,'Per Line'!$B$2:$B$1501,$A147,'Per Line'!$W$2:$W$1501,0))</f>
        <v/>
      </c>
      <c r="M147" s="7">
        <f>IF($U147="","",L147*K147)</f>
        <v/>
      </c>
      <c r="N147">
        <f>IF($U147="","",Settings!$C$6)</f>
        <v/>
      </c>
      <c r="O147" s="7">
        <f>IF($U147="","",SUMIFS('Per Line'!$L$2:$L$1501,'Per Line'!$B$2:$B$1501,$A147,'Per Line'!$W$2:$W$1501,1))</f>
        <v/>
      </c>
      <c r="P147" s="7">
        <f>IF($U147="","",O147*N147)</f>
        <v/>
      </c>
      <c r="Q147" s="7">
        <f>IF($U147="","",P147+M147)</f>
        <v/>
      </c>
      <c r="R147" s="7">
        <f>IF($U147="","",S147-Q147)</f>
        <v/>
      </c>
      <c r="S147" s="7">
        <f>IF($U147="","",L147+O147)</f>
        <v/>
      </c>
      <c r="T147" s="7">
        <f>IF($U147="","",S147-Q147-H147)</f>
        <v/>
      </c>
      <c r="U147" s="16">
        <f>IF(ROWS($U$2:$U147)&lt;=MAX('Per Line'!$V$2:$V$1501),MATCH(ROWS($U$2:$U147),'Per Line'!$V$2:$V$1501,0),"")</f>
        <v/>
      </c>
      <c r="V147">
        <f>IF($U147="","",B147&amp;"|"&amp;COUNTIF($B$2:$B147,B147))</f>
        <v/>
      </c>
    </row>
    <row r="148">
      <c r="A148">
        <f>IF($U148="","",INDEX('Per Line'!$B$2:$B$1501,$U148)&amp;"")</f>
        <v/>
      </c>
      <c r="B148">
        <f>IF($U148="","","COPY "&amp;G148&amp;" %")</f>
        <v/>
      </c>
      <c r="C148" s="15" t="n"/>
      <c r="D148">
        <f>IF($U148="","",INDEX('Per Line'!$C$2:$C$1501,$U148)&amp;"")</f>
        <v/>
      </c>
      <c r="E148">
        <f>IF($U148="","",INDEX('Per Line'!$D$2:$D$1501,$U148)&amp;"")</f>
        <v/>
      </c>
      <c r="F148">
        <f>IF($U148="","",INDEX('Per Line'!$E$2:$E$1501,$U148)&amp;"")</f>
        <v/>
      </c>
      <c r="G148">
        <f>IF($U148="","",INDEX('Per Line'!$F$2:$F$1501,$U148))</f>
        <v/>
      </c>
      <c r="H148" s="7">
        <f>IF($U148="","",G148*S148/100)</f>
        <v/>
      </c>
      <c r="I148" s="14">
        <f>IF($U148="","",INDEX('Per Line'!$R$2:$R$1501,$U148))</f>
        <v/>
      </c>
      <c r="J148">
        <f>IF($U148="","",INDEX('Per Line'!$Q$2:$Q$1501,$U148)&amp;"")</f>
        <v/>
      </c>
      <c r="K148">
        <f>IF($U148="","",Settings!$C$7)</f>
        <v/>
      </c>
      <c r="L148" s="7">
        <f>IF($U148="","",SUMIFS('Per Line'!$L$2:$L$1501,'Per Line'!$B$2:$B$1501,$A148,'Per Line'!$W$2:$W$1501,0))</f>
        <v/>
      </c>
      <c r="M148" s="7">
        <f>IF($U148="","",L148*K148)</f>
        <v/>
      </c>
      <c r="N148">
        <f>IF($U148="","",Settings!$C$6)</f>
        <v/>
      </c>
      <c r="O148" s="7">
        <f>IF($U148="","",SUMIFS('Per Line'!$L$2:$L$1501,'Per Line'!$B$2:$B$1501,$A148,'Per Line'!$W$2:$W$1501,1))</f>
        <v/>
      </c>
      <c r="P148" s="7">
        <f>IF($U148="","",O148*N148)</f>
        <v/>
      </c>
      <c r="Q148" s="7">
        <f>IF($U148="","",P148+M148)</f>
        <v/>
      </c>
      <c r="R148" s="7">
        <f>IF($U148="","",S148-Q148)</f>
        <v/>
      </c>
      <c r="S148" s="7">
        <f>IF($U148="","",L148+O148)</f>
        <v/>
      </c>
      <c r="T148" s="7">
        <f>IF($U148="","",S148-Q148-H148)</f>
        <v/>
      </c>
      <c r="U148" s="16">
        <f>IF(ROWS($U$2:$U148)&lt;=MAX('Per Line'!$V$2:$V$1501),MATCH(ROWS($U$2:$U148),'Per Line'!$V$2:$V$1501,0),"")</f>
        <v/>
      </c>
      <c r="V148">
        <f>IF($U148="","",B148&amp;"|"&amp;COUNTIF($B$2:$B148,B148))</f>
        <v/>
      </c>
    </row>
    <row r="149">
      <c r="A149">
        <f>IF($U149="","",INDEX('Per Line'!$B$2:$B$1501,$U149)&amp;"")</f>
        <v/>
      </c>
      <c r="B149">
        <f>IF($U149="","","COPY "&amp;G149&amp;" %")</f>
        <v/>
      </c>
      <c r="C149" s="15" t="n"/>
      <c r="D149">
        <f>IF($U149="","",INDEX('Per Line'!$C$2:$C$1501,$U149)&amp;"")</f>
        <v/>
      </c>
      <c r="E149">
        <f>IF($U149="","",INDEX('Per Line'!$D$2:$D$1501,$U149)&amp;"")</f>
        <v/>
      </c>
      <c r="F149">
        <f>IF($U149="","",INDEX('Per Line'!$E$2:$E$1501,$U149)&amp;"")</f>
        <v/>
      </c>
      <c r="G149">
        <f>IF($U149="","",INDEX('Per Line'!$F$2:$F$1501,$U149))</f>
        <v/>
      </c>
      <c r="H149" s="7">
        <f>IF($U149="","",G149*S149/100)</f>
        <v/>
      </c>
      <c r="I149" s="14">
        <f>IF($U149="","",INDEX('Per Line'!$R$2:$R$1501,$U149))</f>
        <v/>
      </c>
      <c r="J149">
        <f>IF($U149="","",INDEX('Per Line'!$Q$2:$Q$1501,$U149)&amp;"")</f>
        <v/>
      </c>
      <c r="K149">
        <f>IF($U149="","",Settings!$C$7)</f>
        <v/>
      </c>
      <c r="L149" s="7">
        <f>IF($U149="","",SUMIFS('Per Line'!$L$2:$L$1501,'Per Line'!$B$2:$B$1501,$A149,'Per Line'!$W$2:$W$1501,0))</f>
        <v/>
      </c>
      <c r="M149" s="7">
        <f>IF($U149="","",L149*K149)</f>
        <v/>
      </c>
      <c r="N149">
        <f>IF($U149="","",Settings!$C$6)</f>
        <v/>
      </c>
      <c r="O149" s="7">
        <f>IF($U149="","",SUMIFS('Per Line'!$L$2:$L$1501,'Per Line'!$B$2:$B$1501,$A149,'Per Line'!$W$2:$W$1501,1))</f>
        <v/>
      </c>
      <c r="P149" s="7">
        <f>IF($U149="","",O149*N149)</f>
        <v/>
      </c>
      <c r="Q149" s="7">
        <f>IF($U149="","",P149+M149)</f>
        <v/>
      </c>
      <c r="R149" s="7">
        <f>IF($U149="","",S149-Q149)</f>
        <v/>
      </c>
      <c r="S149" s="7">
        <f>IF($U149="","",L149+O149)</f>
        <v/>
      </c>
      <c r="T149" s="7">
        <f>IF($U149="","",S149-Q149-H149)</f>
        <v/>
      </c>
      <c r="U149" s="16">
        <f>IF(ROWS($U$2:$U149)&lt;=MAX('Per Line'!$V$2:$V$1501),MATCH(ROWS($U$2:$U149),'Per Line'!$V$2:$V$1501,0),"")</f>
        <v/>
      </c>
      <c r="V149">
        <f>IF($U149="","",B149&amp;"|"&amp;COUNTIF($B$2:$B149,B149))</f>
        <v/>
      </c>
    </row>
    <row r="150">
      <c r="A150">
        <f>IF($U150="","",INDEX('Per Line'!$B$2:$B$1501,$U150)&amp;"")</f>
        <v/>
      </c>
      <c r="B150">
        <f>IF($U150="","","COPY "&amp;G150&amp;" %")</f>
        <v/>
      </c>
      <c r="C150" s="15" t="n"/>
      <c r="D150">
        <f>IF($U150="","",INDEX('Per Line'!$C$2:$C$1501,$U150)&amp;"")</f>
        <v/>
      </c>
      <c r="E150">
        <f>IF($U150="","",INDEX('Per Line'!$D$2:$D$1501,$U150)&amp;"")</f>
        <v/>
      </c>
      <c r="F150">
        <f>IF($U150="","",INDEX('Per Line'!$E$2:$E$1501,$U150)&amp;"")</f>
        <v/>
      </c>
      <c r="G150">
        <f>IF($U150="","",INDEX('Per Line'!$F$2:$F$1501,$U150))</f>
        <v/>
      </c>
      <c r="H150" s="7">
        <f>IF($U150="","",G150*S150/100)</f>
        <v/>
      </c>
      <c r="I150" s="14">
        <f>IF($U150="","",INDEX('Per Line'!$R$2:$R$1501,$U150))</f>
        <v/>
      </c>
      <c r="J150">
        <f>IF($U150="","",INDEX('Per Line'!$Q$2:$Q$1501,$U150)&amp;"")</f>
        <v/>
      </c>
      <c r="K150">
        <f>IF($U150="","",Settings!$C$7)</f>
        <v/>
      </c>
      <c r="L150" s="7">
        <f>IF($U150="","",SUMIFS('Per Line'!$L$2:$L$1501,'Per Line'!$B$2:$B$1501,$A150,'Per Line'!$W$2:$W$1501,0))</f>
        <v/>
      </c>
      <c r="M150" s="7">
        <f>IF($U150="","",L150*K150)</f>
        <v/>
      </c>
      <c r="N150">
        <f>IF($U150="","",Settings!$C$6)</f>
        <v/>
      </c>
      <c r="O150" s="7">
        <f>IF($U150="","",SUMIFS('Per Line'!$L$2:$L$1501,'Per Line'!$B$2:$B$1501,$A150,'Per Line'!$W$2:$W$1501,1))</f>
        <v/>
      </c>
      <c r="P150" s="7">
        <f>IF($U150="","",O150*N150)</f>
        <v/>
      </c>
      <c r="Q150" s="7">
        <f>IF($U150="","",P150+M150)</f>
        <v/>
      </c>
      <c r="R150" s="7">
        <f>IF($U150="","",S150-Q150)</f>
        <v/>
      </c>
      <c r="S150" s="7">
        <f>IF($U150="","",L150+O150)</f>
        <v/>
      </c>
      <c r="T150" s="7">
        <f>IF($U150="","",S150-Q150-H150)</f>
        <v/>
      </c>
      <c r="U150" s="16">
        <f>IF(ROWS($U$2:$U150)&lt;=MAX('Per Line'!$V$2:$V$1501),MATCH(ROWS($U$2:$U150),'Per Line'!$V$2:$V$1501,0),"")</f>
        <v/>
      </c>
      <c r="V150">
        <f>IF($U150="","",B150&amp;"|"&amp;COUNTIF($B$2:$B150,B150))</f>
        <v/>
      </c>
    </row>
    <row r="151">
      <c r="A151">
        <f>IF($U151="","",INDEX('Per Line'!$B$2:$B$1501,$U151)&amp;"")</f>
        <v/>
      </c>
      <c r="B151">
        <f>IF($U151="","","COPY "&amp;G151&amp;" %")</f>
        <v/>
      </c>
      <c r="C151" s="15" t="n"/>
      <c r="D151">
        <f>IF($U151="","",INDEX('Per Line'!$C$2:$C$1501,$U151)&amp;"")</f>
        <v/>
      </c>
      <c r="E151">
        <f>IF($U151="","",INDEX('Per Line'!$D$2:$D$1501,$U151)&amp;"")</f>
        <v/>
      </c>
      <c r="F151">
        <f>IF($U151="","",INDEX('Per Line'!$E$2:$E$1501,$U151)&amp;"")</f>
        <v/>
      </c>
      <c r="G151">
        <f>IF($U151="","",INDEX('Per Line'!$F$2:$F$1501,$U151))</f>
        <v/>
      </c>
      <c r="H151" s="7">
        <f>IF($U151="","",G151*S151/100)</f>
        <v/>
      </c>
      <c r="I151" s="14">
        <f>IF($U151="","",INDEX('Per Line'!$R$2:$R$1501,$U151))</f>
        <v/>
      </c>
      <c r="J151">
        <f>IF($U151="","",INDEX('Per Line'!$Q$2:$Q$1501,$U151)&amp;"")</f>
        <v/>
      </c>
      <c r="K151">
        <f>IF($U151="","",Settings!$C$7)</f>
        <v/>
      </c>
      <c r="L151" s="7">
        <f>IF($U151="","",SUMIFS('Per Line'!$L$2:$L$1501,'Per Line'!$B$2:$B$1501,$A151,'Per Line'!$W$2:$W$1501,0))</f>
        <v/>
      </c>
      <c r="M151" s="7">
        <f>IF($U151="","",L151*K151)</f>
        <v/>
      </c>
      <c r="N151">
        <f>IF($U151="","",Settings!$C$6)</f>
        <v/>
      </c>
      <c r="O151" s="7">
        <f>IF($U151="","",SUMIFS('Per Line'!$L$2:$L$1501,'Per Line'!$B$2:$B$1501,$A151,'Per Line'!$W$2:$W$1501,1))</f>
        <v/>
      </c>
      <c r="P151" s="7">
        <f>IF($U151="","",O151*N151)</f>
        <v/>
      </c>
      <c r="Q151" s="7">
        <f>IF($U151="","",P151+M151)</f>
        <v/>
      </c>
      <c r="R151" s="7">
        <f>IF($U151="","",S151-Q151)</f>
        <v/>
      </c>
      <c r="S151" s="7">
        <f>IF($U151="","",L151+O151)</f>
        <v/>
      </c>
      <c r="T151" s="7">
        <f>IF($U151="","",S151-Q151-H151)</f>
        <v/>
      </c>
      <c r="U151" s="16">
        <f>IF(ROWS($U$2:$U151)&lt;=MAX('Per Line'!$V$2:$V$1501),MATCH(ROWS($U$2:$U151),'Per Line'!$V$2:$V$1501,0),"")</f>
        <v/>
      </c>
      <c r="V151">
        <f>IF($U151="","",B151&amp;"|"&amp;COUNTIF($B$2:$B151,B151))</f>
        <v/>
      </c>
    </row>
    <row r="152">
      <c r="A152">
        <f>IF($U152="","",INDEX('Per Line'!$B$2:$B$1501,$U152)&amp;"")</f>
        <v/>
      </c>
      <c r="B152">
        <f>IF($U152="","","COPY "&amp;G152&amp;" %")</f>
        <v/>
      </c>
      <c r="C152" s="15" t="n"/>
      <c r="D152">
        <f>IF($U152="","",INDEX('Per Line'!$C$2:$C$1501,$U152)&amp;"")</f>
        <v/>
      </c>
      <c r="E152">
        <f>IF($U152="","",INDEX('Per Line'!$D$2:$D$1501,$U152)&amp;"")</f>
        <v/>
      </c>
      <c r="F152">
        <f>IF($U152="","",INDEX('Per Line'!$E$2:$E$1501,$U152)&amp;"")</f>
        <v/>
      </c>
      <c r="G152">
        <f>IF($U152="","",INDEX('Per Line'!$F$2:$F$1501,$U152))</f>
        <v/>
      </c>
      <c r="H152" s="7">
        <f>IF($U152="","",G152*S152/100)</f>
        <v/>
      </c>
      <c r="I152" s="14">
        <f>IF($U152="","",INDEX('Per Line'!$R$2:$R$1501,$U152))</f>
        <v/>
      </c>
      <c r="J152">
        <f>IF($U152="","",INDEX('Per Line'!$Q$2:$Q$1501,$U152)&amp;"")</f>
        <v/>
      </c>
      <c r="K152">
        <f>IF($U152="","",Settings!$C$7)</f>
        <v/>
      </c>
      <c r="L152" s="7">
        <f>IF($U152="","",SUMIFS('Per Line'!$L$2:$L$1501,'Per Line'!$B$2:$B$1501,$A152,'Per Line'!$W$2:$W$1501,0))</f>
        <v/>
      </c>
      <c r="M152" s="7">
        <f>IF($U152="","",L152*K152)</f>
        <v/>
      </c>
      <c r="N152">
        <f>IF($U152="","",Settings!$C$6)</f>
        <v/>
      </c>
      <c r="O152" s="7">
        <f>IF($U152="","",SUMIFS('Per Line'!$L$2:$L$1501,'Per Line'!$B$2:$B$1501,$A152,'Per Line'!$W$2:$W$1501,1))</f>
        <v/>
      </c>
      <c r="P152" s="7">
        <f>IF($U152="","",O152*N152)</f>
        <v/>
      </c>
      <c r="Q152" s="7">
        <f>IF($U152="","",P152+M152)</f>
        <v/>
      </c>
      <c r="R152" s="7">
        <f>IF($U152="","",S152-Q152)</f>
        <v/>
      </c>
      <c r="S152" s="7">
        <f>IF($U152="","",L152+O152)</f>
        <v/>
      </c>
      <c r="T152" s="7">
        <f>IF($U152="","",S152-Q152-H152)</f>
        <v/>
      </c>
      <c r="U152" s="16">
        <f>IF(ROWS($U$2:$U152)&lt;=MAX('Per Line'!$V$2:$V$1501),MATCH(ROWS($U$2:$U152),'Per Line'!$V$2:$V$1501,0),"")</f>
        <v/>
      </c>
      <c r="V152">
        <f>IF($U152="","",B152&amp;"|"&amp;COUNTIF($B$2:$B152,B152))</f>
        <v/>
      </c>
    </row>
    <row r="153">
      <c r="A153">
        <f>IF($U153="","",INDEX('Per Line'!$B$2:$B$1501,$U153)&amp;"")</f>
        <v/>
      </c>
      <c r="B153">
        <f>IF($U153="","","COPY "&amp;G153&amp;" %")</f>
        <v/>
      </c>
      <c r="C153" s="15" t="n"/>
      <c r="D153">
        <f>IF($U153="","",INDEX('Per Line'!$C$2:$C$1501,$U153)&amp;"")</f>
        <v/>
      </c>
      <c r="E153">
        <f>IF($U153="","",INDEX('Per Line'!$D$2:$D$1501,$U153)&amp;"")</f>
        <v/>
      </c>
      <c r="F153">
        <f>IF($U153="","",INDEX('Per Line'!$E$2:$E$1501,$U153)&amp;"")</f>
        <v/>
      </c>
      <c r="G153">
        <f>IF($U153="","",INDEX('Per Line'!$F$2:$F$1501,$U153))</f>
        <v/>
      </c>
      <c r="H153" s="7">
        <f>IF($U153="","",G153*S153/100)</f>
        <v/>
      </c>
      <c r="I153" s="14">
        <f>IF($U153="","",INDEX('Per Line'!$R$2:$R$1501,$U153))</f>
        <v/>
      </c>
      <c r="J153">
        <f>IF($U153="","",INDEX('Per Line'!$Q$2:$Q$1501,$U153)&amp;"")</f>
        <v/>
      </c>
      <c r="K153">
        <f>IF($U153="","",Settings!$C$7)</f>
        <v/>
      </c>
      <c r="L153" s="7">
        <f>IF($U153="","",SUMIFS('Per Line'!$L$2:$L$1501,'Per Line'!$B$2:$B$1501,$A153,'Per Line'!$W$2:$W$1501,0))</f>
        <v/>
      </c>
      <c r="M153" s="7">
        <f>IF($U153="","",L153*K153)</f>
        <v/>
      </c>
      <c r="N153">
        <f>IF($U153="","",Settings!$C$6)</f>
        <v/>
      </c>
      <c r="O153" s="7">
        <f>IF($U153="","",SUMIFS('Per Line'!$L$2:$L$1501,'Per Line'!$B$2:$B$1501,$A153,'Per Line'!$W$2:$W$1501,1))</f>
        <v/>
      </c>
      <c r="P153" s="7">
        <f>IF($U153="","",O153*N153)</f>
        <v/>
      </c>
      <c r="Q153" s="7">
        <f>IF($U153="","",P153+M153)</f>
        <v/>
      </c>
      <c r="R153" s="7">
        <f>IF($U153="","",S153-Q153)</f>
        <v/>
      </c>
      <c r="S153" s="7">
        <f>IF($U153="","",L153+O153)</f>
        <v/>
      </c>
      <c r="T153" s="7">
        <f>IF($U153="","",S153-Q153-H153)</f>
        <v/>
      </c>
      <c r="U153" s="16">
        <f>IF(ROWS($U$2:$U153)&lt;=MAX('Per Line'!$V$2:$V$1501),MATCH(ROWS($U$2:$U153),'Per Line'!$V$2:$V$1501,0),"")</f>
        <v/>
      </c>
      <c r="V153">
        <f>IF($U153="","",B153&amp;"|"&amp;COUNTIF($B$2:$B153,B153))</f>
        <v/>
      </c>
    </row>
    <row r="154">
      <c r="A154">
        <f>IF($U154="","",INDEX('Per Line'!$B$2:$B$1501,$U154)&amp;"")</f>
        <v/>
      </c>
      <c r="B154">
        <f>IF($U154="","","COPY "&amp;G154&amp;" %")</f>
        <v/>
      </c>
      <c r="C154" s="15" t="n"/>
      <c r="D154">
        <f>IF($U154="","",INDEX('Per Line'!$C$2:$C$1501,$U154)&amp;"")</f>
        <v/>
      </c>
      <c r="E154">
        <f>IF($U154="","",INDEX('Per Line'!$D$2:$D$1501,$U154)&amp;"")</f>
        <v/>
      </c>
      <c r="F154">
        <f>IF($U154="","",INDEX('Per Line'!$E$2:$E$1501,$U154)&amp;"")</f>
        <v/>
      </c>
      <c r="G154">
        <f>IF($U154="","",INDEX('Per Line'!$F$2:$F$1501,$U154))</f>
        <v/>
      </c>
      <c r="H154" s="7">
        <f>IF($U154="","",G154*S154/100)</f>
        <v/>
      </c>
      <c r="I154" s="14">
        <f>IF($U154="","",INDEX('Per Line'!$R$2:$R$1501,$U154))</f>
        <v/>
      </c>
      <c r="J154">
        <f>IF($U154="","",INDEX('Per Line'!$Q$2:$Q$1501,$U154)&amp;"")</f>
        <v/>
      </c>
      <c r="K154">
        <f>IF($U154="","",Settings!$C$7)</f>
        <v/>
      </c>
      <c r="L154" s="7">
        <f>IF($U154="","",SUMIFS('Per Line'!$L$2:$L$1501,'Per Line'!$B$2:$B$1501,$A154,'Per Line'!$W$2:$W$1501,0))</f>
        <v/>
      </c>
      <c r="M154" s="7">
        <f>IF($U154="","",L154*K154)</f>
        <v/>
      </c>
      <c r="N154">
        <f>IF($U154="","",Settings!$C$6)</f>
        <v/>
      </c>
      <c r="O154" s="7">
        <f>IF($U154="","",SUMIFS('Per Line'!$L$2:$L$1501,'Per Line'!$B$2:$B$1501,$A154,'Per Line'!$W$2:$W$1501,1))</f>
        <v/>
      </c>
      <c r="P154" s="7">
        <f>IF($U154="","",O154*N154)</f>
        <v/>
      </c>
      <c r="Q154" s="7">
        <f>IF($U154="","",P154+M154)</f>
        <v/>
      </c>
      <c r="R154" s="7">
        <f>IF($U154="","",S154-Q154)</f>
        <v/>
      </c>
      <c r="S154" s="7">
        <f>IF($U154="","",L154+O154)</f>
        <v/>
      </c>
      <c r="T154" s="7">
        <f>IF($U154="","",S154-Q154-H154)</f>
        <v/>
      </c>
      <c r="U154" s="16">
        <f>IF(ROWS($U$2:$U154)&lt;=MAX('Per Line'!$V$2:$V$1501),MATCH(ROWS($U$2:$U154),'Per Line'!$V$2:$V$1501,0),"")</f>
        <v/>
      </c>
      <c r="V154">
        <f>IF($U154="","",B154&amp;"|"&amp;COUNTIF($B$2:$B154,B154))</f>
        <v/>
      </c>
    </row>
    <row r="155">
      <c r="A155">
        <f>IF($U155="","",INDEX('Per Line'!$B$2:$B$1501,$U155)&amp;"")</f>
        <v/>
      </c>
      <c r="B155">
        <f>IF($U155="","","COPY "&amp;G155&amp;" %")</f>
        <v/>
      </c>
      <c r="C155" s="15" t="n"/>
      <c r="D155">
        <f>IF($U155="","",INDEX('Per Line'!$C$2:$C$1501,$U155)&amp;"")</f>
        <v/>
      </c>
      <c r="E155">
        <f>IF($U155="","",INDEX('Per Line'!$D$2:$D$1501,$U155)&amp;"")</f>
        <v/>
      </c>
      <c r="F155">
        <f>IF($U155="","",INDEX('Per Line'!$E$2:$E$1501,$U155)&amp;"")</f>
        <v/>
      </c>
      <c r="G155">
        <f>IF($U155="","",INDEX('Per Line'!$F$2:$F$1501,$U155))</f>
        <v/>
      </c>
      <c r="H155" s="7">
        <f>IF($U155="","",G155*S155/100)</f>
        <v/>
      </c>
      <c r="I155" s="14">
        <f>IF($U155="","",INDEX('Per Line'!$R$2:$R$1501,$U155))</f>
        <v/>
      </c>
      <c r="J155">
        <f>IF($U155="","",INDEX('Per Line'!$Q$2:$Q$1501,$U155)&amp;"")</f>
        <v/>
      </c>
      <c r="K155">
        <f>IF($U155="","",Settings!$C$7)</f>
        <v/>
      </c>
      <c r="L155" s="7">
        <f>IF($U155="","",SUMIFS('Per Line'!$L$2:$L$1501,'Per Line'!$B$2:$B$1501,$A155,'Per Line'!$W$2:$W$1501,0))</f>
        <v/>
      </c>
      <c r="M155" s="7">
        <f>IF($U155="","",L155*K155)</f>
        <v/>
      </c>
      <c r="N155">
        <f>IF($U155="","",Settings!$C$6)</f>
        <v/>
      </c>
      <c r="O155" s="7">
        <f>IF($U155="","",SUMIFS('Per Line'!$L$2:$L$1501,'Per Line'!$B$2:$B$1501,$A155,'Per Line'!$W$2:$W$1501,1))</f>
        <v/>
      </c>
      <c r="P155" s="7">
        <f>IF($U155="","",O155*N155)</f>
        <v/>
      </c>
      <c r="Q155" s="7">
        <f>IF($U155="","",P155+M155)</f>
        <v/>
      </c>
      <c r="R155" s="7">
        <f>IF($U155="","",S155-Q155)</f>
        <v/>
      </c>
      <c r="S155" s="7">
        <f>IF($U155="","",L155+O155)</f>
        <v/>
      </c>
      <c r="T155" s="7">
        <f>IF($U155="","",S155-Q155-H155)</f>
        <v/>
      </c>
      <c r="U155" s="16">
        <f>IF(ROWS($U$2:$U155)&lt;=MAX('Per Line'!$V$2:$V$1501),MATCH(ROWS($U$2:$U155),'Per Line'!$V$2:$V$1501,0),"")</f>
        <v/>
      </c>
      <c r="V155">
        <f>IF($U155="","",B155&amp;"|"&amp;COUNTIF($B$2:$B155,B155))</f>
        <v/>
      </c>
    </row>
    <row r="156">
      <c r="A156">
        <f>IF($U156="","",INDEX('Per Line'!$B$2:$B$1501,$U156)&amp;"")</f>
        <v/>
      </c>
      <c r="B156">
        <f>IF($U156="","","COPY "&amp;G156&amp;" %")</f>
        <v/>
      </c>
      <c r="C156" s="15" t="n"/>
      <c r="D156">
        <f>IF($U156="","",INDEX('Per Line'!$C$2:$C$1501,$U156)&amp;"")</f>
        <v/>
      </c>
      <c r="E156">
        <f>IF($U156="","",INDEX('Per Line'!$D$2:$D$1501,$U156)&amp;"")</f>
        <v/>
      </c>
      <c r="F156">
        <f>IF($U156="","",INDEX('Per Line'!$E$2:$E$1501,$U156)&amp;"")</f>
        <v/>
      </c>
      <c r="G156">
        <f>IF($U156="","",INDEX('Per Line'!$F$2:$F$1501,$U156))</f>
        <v/>
      </c>
      <c r="H156" s="7">
        <f>IF($U156="","",G156*S156/100)</f>
        <v/>
      </c>
      <c r="I156" s="14">
        <f>IF($U156="","",INDEX('Per Line'!$R$2:$R$1501,$U156))</f>
        <v/>
      </c>
      <c r="J156">
        <f>IF($U156="","",INDEX('Per Line'!$Q$2:$Q$1501,$U156)&amp;"")</f>
        <v/>
      </c>
      <c r="K156">
        <f>IF($U156="","",Settings!$C$7)</f>
        <v/>
      </c>
      <c r="L156" s="7">
        <f>IF($U156="","",SUMIFS('Per Line'!$L$2:$L$1501,'Per Line'!$B$2:$B$1501,$A156,'Per Line'!$W$2:$W$1501,0))</f>
        <v/>
      </c>
      <c r="M156" s="7">
        <f>IF($U156="","",L156*K156)</f>
        <v/>
      </c>
      <c r="N156">
        <f>IF($U156="","",Settings!$C$6)</f>
        <v/>
      </c>
      <c r="O156" s="7">
        <f>IF($U156="","",SUMIFS('Per Line'!$L$2:$L$1501,'Per Line'!$B$2:$B$1501,$A156,'Per Line'!$W$2:$W$1501,1))</f>
        <v/>
      </c>
      <c r="P156" s="7">
        <f>IF($U156="","",O156*N156)</f>
        <v/>
      </c>
      <c r="Q156" s="7">
        <f>IF($U156="","",P156+M156)</f>
        <v/>
      </c>
      <c r="R156" s="7">
        <f>IF($U156="","",S156-Q156)</f>
        <v/>
      </c>
      <c r="S156" s="7">
        <f>IF($U156="","",L156+O156)</f>
        <v/>
      </c>
      <c r="T156" s="7">
        <f>IF($U156="","",S156-Q156-H156)</f>
        <v/>
      </c>
      <c r="U156" s="16">
        <f>IF(ROWS($U$2:$U156)&lt;=MAX('Per Line'!$V$2:$V$1501),MATCH(ROWS($U$2:$U156),'Per Line'!$V$2:$V$1501,0),"")</f>
        <v/>
      </c>
      <c r="V156">
        <f>IF($U156="","",B156&amp;"|"&amp;COUNTIF($B$2:$B156,B156))</f>
        <v/>
      </c>
    </row>
    <row r="157">
      <c r="A157">
        <f>IF($U157="","",INDEX('Per Line'!$B$2:$B$1501,$U157)&amp;"")</f>
        <v/>
      </c>
      <c r="B157">
        <f>IF($U157="","","COPY "&amp;G157&amp;" %")</f>
        <v/>
      </c>
      <c r="C157" s="15" t="n"/>
      <c r="D157">
        <f>IF($U157="","",INDEX('Per Line'!$C$2:$C$1501,$U157)&amp;"")</f>
        <v/>
      </c>
      <c r="E157">
        <f>IF($U157="","",INDEX('Per Line'!$D$2:$D$1501,$U157)&amp;"")</f>
        <v/>
      </c>
      <c r="F157">
        <f>IF($U157="","",INDEX('Per Line'!$E$2:$E$1501,$U157)&amp;"")</f>
        <v/>
      </c>
      <c r="G157">
        <f>IF($U157="","",INDEX('Per Line'!$F$2:$F$1501,$U157))</f>
        <v/>
      </c>
      <c r="H157" s="7">
        <f>IF($U157="","",G157*S157/100)</f>
        <v/>
      </c>
      <c r="I157" s="14">
        <f>IF($U157="","",INDEX('Per Line'!$R$2:$R$1501,$U157))</f>
        <v/>
      </c>
      <c r="J157">
        <f>IF($U157="","",INDEX('Per Line'!$Q$2:$Q$1501,$U157)&amp;"")</f>
        <v/>
      </c>
      <c r="K157">
        <f>IF($U157="","",Settings!$C$7)</f>
        <v/>
      </c>
      <c r="L157" s="7">
        <f>IF($U157="","",SUMIFS('Per Line'!$L$2:$L$1501,'Per Line'!$B$2:$B$1501,$A157,'Per Line'!$W$2:$W$1501,0))</f>
        <v/>
      </c>
      <c r="M157" s="7">
        <f>IF($U157="","",L157*K157)</f>
        <v/>
      </c>
      <c r="N157">
        <f>IF($U157="","",Settings!$C$6)</f>
        <v/>
      </c>
      <c r="O157" s="7">
        <f>IF($U157="","",SUMIFS('Per Line'!$L$2:$L$1501,'Per Line'!$B$2:$B$1501,$A157,'Per Line'!$W$2:$W$1501,1))</f>
        <v/>
      </c>
      <c r="P157" s="7">
        <f>IF($U157="","",O157*N157)</f>
        <v/>
      </c>
      <c r="Q157" s="7">
        <f>IF($U157="","",P157+M157)</f>
        <v/>
      </c>
      <c r="R157" s="7">
        <f>IF($U157="","",S157-Q157)</f>
        <v/>
      </c>
      <c r="S157" s="7">
        <f>IF($U157="","",L157+O157)</f>
        <v/>
      </c>
      <c r="T157" s="7">
        <f>IF($U157="","",S157-Q157-H157)</f>
        <v/>
      </c>
      <c r="U157" s="16">
        <f>IF(ROWS($U$2:$U157)&lt;=MAX('Per Line'!$V$2:$V$1501),MATCH(ROWS($U$2:$U157),'Per Line'!$V$2:$V$1501,0),"")</f>
        <v/>
      </c>
      <c r="V157">
        <f>IF($U157="","",B157&amp;"|"&amp;COUNTIF($B$2:$B157,B157))</f>
        <v/>
      </c>
    </row>
    <row r="158">
      <c r="A158">
        <f>IF($U158="","",INDEX('Per Line'!$B$2:$B$1501,$U158)&amp;"")</f>
        <v/>
      </c>
      <c r="B158">
        <f>IF($U158="","","COPY "&amp;G158&amp;" %")</f>
        <v/>
      </c>
      <c r="C158" s="15" t="n"/>
      <c r="D158">
        <f>IF($U158="","",INDEX('Per Line'!$C$2:$C$1501,$U158)&amp;"")</f>
        <v/>
      </c>
      <c r="E158">
        <f>IF($U158="","",INDEX('Per Line'!$D$2:$D$1501,$U158)&amp;"")</f>
        <v/>
      </c>
      <c r="F158">
        <f>IF($U158="","",INDEX('Per Line'!$E$2:$E$1501,$U158)&amp;"")</f>
        <v/>
      </c>
      <c r="G158">
        <f>IF($U158="","",INDEX('Per Line'!$F$2:$F$1501,$U158))</f>
        <v/>
      </c>
      <c r="H158" s="7">
        <f>IF($U158="","",G158*S158/100)</f>
        <v/>
      </c>
      <c r="I158" s="14">
        <f>IF($U158="","",INDEX('Per Line'!$R$2:$R$1501,$U158))</f>
        <v/>
      </c>
      <c r="J158">
        <f>IF($U158="","",INDEX('Per Line'!$Q$2:$Q$1501,$U158)&amp;"")</f>
        <v/>
      </c>
      <c r="K158">
        <f>IF($U158="","",Settings!$C$7)</f>
        <v/>
      </c>
      <c r="L158" s="7">
        <f>IF($U158="","",SUMIFS('Per Line'!$L$2:$L$1501,'Per Line'!$B$2:$B$1501,$A158,'Per Line'!$W$2:$W$1501,0))</f>
        <v/>
      </c>
      <c r="M158" s="7">
        <f>IF($U158="","",L158*K158)</f>
        <v/>
      </c>
      <c r="N158">
        <f>IF($U158="","",Settings!$C$6)</f>
        <v/>
      </c>
      <c r="O158" s="7">
        <f>IF($U158="","",SUMIFS('Per Line'!$L$2:$L$1501,'Per Line'!$B$2:$B$1501,$A158,'Per Line'!$W$2:$W$1501,1))</f>
        <v/>
      </c>
      <c r="P158" s="7">
        <f>IF($U158="","",O158*N158)</f>
        <v/>
      </c>
      <c r="Q158" s="7">
        <f>IF($U158="","",P158+M158)</f>
        <v/>
      </c>
      <c r="R158" s="7">
        <f>IF($U158="","",S158-Q158)</f>
        <v/>
      </c>
      <c r="S158" s="7">
        <f>IF($U158="","",L158+O158)</f>
        <v/>
      </c>
      <c r="T158" s="7">
        <f>IF($U158="","",S158-Q158-H158)</f>
        <v/>
      </c>
      <c r="U158" s="16">
        <f>IF(ROWS($U$2:$U158)&lt;=MAX('Per Line'!$V$2:$V$1501),MATCH(ROWS($U$2:$U158),'Per Line'!$V$2:$V$1501,0),"")</f>
        <v/>
      </c>
      <c r="V158">
        <f>IF($U158="","",B158&amp;"|"&amp;COUNTIF($B$2:$B158,B158))</f>
        <v/>
      </c>
    </row>
    <row r="159">
      <c r="A159">
        <f>IF($U159="","",INDEX('Per Line'!$B$2:$B$1501,$U159)&amp;"")</f>
        <v/>
      </c>
      <c r="B159">
        <f>IF($U159="","","COPY "&amp;G159&amp;" %")</f>
        <v/>
      </c>
      <c r="C159" s="15" t="n"/>
      <c r="D159">
        <f>IF($U159="","",INDEX('Per Line'!$C$2:$C$1501,$U159)&amp;"")</f>
        <v/>
      </c>
      <c r="E159">
        <f>IF($U159="","",INDEX('Per Line'!$D$2:$D$1501,$U159)&amp;"")</f>
        <v/>
      </c>
      <c r="F159">
        <f>IF($U159="","",INDEX('Per Line'!$E$2:$E$1501,$U159)&amp;"")</f>
        <v/>
      </c>
      <c r="G159">
        <f>IF($U159="","",INDEX('Per Line'!$F$2:$F$1501,$U159))</f>
        <v/>
      </c>
      <c r="H159" s="7">
        <f>IF($U159="","",G159*S159/100)</f>
        <v/>
      </c>
      <c r="I159" s="14">
        <f>IF($U159="","",INDEX('Per Line'!$R$2:$R$1501,$U159))</f>
        <v/>
      </c>
      <c r="J159">
        <f>IF($U159="","",INDEX('Per Line'!$Q$2:$Q$1501,$U159)&amp;"")</f>
        <v/>
      </c>
      <c r="K159">
        <f>IF($U159="","",Settings!$C$7)</f>
        <v/>
      </c>
      <c r="L159" s="7">
        <f>IF($U159="","",SUMIFS('Per Line'!$L$2:$L$1501,'Per Line'!$B$2:$B$1501,$A159,'Per Line'!$W$2:$W$1501,0))</f>
        <v/>
      </c>
      <c r="M159" s="7">
        <f>IF($U159="","",L159*K159)</f>
        <v/>
      </c>
      <c r="N159">
        <f>IF($U159="","",Settings!$C$6)</f>
        <v/>
      </c>
      <c r="O159" s="7">
        <f>IF($U159="","",SUMIFS('Per Line'!$L$2:$L$1501,'Per Line'!$B$2:$B$1501,$A159,'Per Line'!$W$2:$W$1501,1))</f>
        <v/>
      </c>
      <c r="P159" s="7">
        <f>IF($U159="","",O159*N159)</f>
        <v/>
      </c>
      <c r="Q159" s="7">
        <f>IF($U159="","",P159+M159)</f>
        <v/>
      </c>
      <c r="R159" s="7">
        <f>IF($U159="","",S159-Q159)</f>
        <v/>
      </c>
      <c r="S159" s="7">
        <f>IF($U159="","",L159+O159)</f>
        <v/>
      </c>
      <c r="T159" s="7">
        <f>IF($U159="","",S159-Q159-H159)</f>
        <v/>
      </c>
      <c r="U159" s="16">
        <f>IF(ROWS($U$2:$U159)&lt;=MAX('Per Line'!$V$2:$V$1501),MATCH(ROWS($U$2:$U159),'Per Line'!$V$2:$V$1501,0),"")</f>
        <v/>
      </c>
      <c r="V159">
        <f>IF($U159="","",B159&amp;"|"&amp;COUNTIF($B$2:$B159,B159))</f>
        <v/>
      </c>
    </row>
    <row r="160">
      <c r="A160">
        <f>IF($U160="","",INDEX('Per Line'!$B$2:$B$1501,$U160)&amp;"")</f>
        <v/>
      </c>
      <c r="B160">
        <f>IF($U160="","","COPY "&amp;G160&amp;" %")</f>
        <v/>
      </c>
      <c r="C160" s="15" t="n"/>
      <c r="D160">
        <f>IF($U160="","",INDEX('Per Line'!$C$2:$C$1501,$U160)&amp;"")</f>
        <v/>
      </c>
      <c r="E160">
        <f>IF($U160="","",INDEX('Per Line'!$D$2:$D$1501,$U160)&amp;"")</f>
        <v/>
      </c>
      <c r="F160">
        <f>IF($U160="","",INDEX('Per Line'!$E$2:$E$1501,$U160)&amp;"")</f>
        <v/>
      </c>
      <c r="G160">
        <f>IF($U160="","",INDEX('Per Line'!$F$2:$F$1501,$U160))</f>
        <v/>
      </c>
      <c r="H160" s="7">
        <f>IF($U160="","",G160*S160/100)</f>
        <v/>
      </c>
      <c r="I160" s="14">
        <f>IF($U160="","",INDEX('Per Line'!$R$2:$R$1501,$U160))</f>
        <v/>
      </c>
      <c r="J160">
        <f>IF($U160="","",INDEX('Per Line'!$Q$2:$Q$1501,$U160)&amp;"")</f>
        <v/>
      </c>
      <c r="K160">
        <f>IF($U160="","",Settings!$C$7)</f>
        <v/>
      </c>
      <c r="L160" s="7">
        <f>IF($U160="","",SUMIFS('Per Line'!$L$2:$L$1501,'Per Line'!$B$2:$B$1501,$A160,'Per Line'!$W$2:$W$1501,0))</f>
        <v/>
      </c>
      <c r="M160" s="7">
        <f>IF($U160="","",L160*K160)</f>
        <v/>
      </c>
      <c r="N160">
        <f>IF($U160="","",Settings!$C$6)</f>
        <v/>
      </c>
      <c r="O160" s="7">
        <f>IF($U160="","",SUMIFS('Per Line'!$L$2:$L$1501,'Per Line'!$B$2:$B$1501,$A160,'Per Line'!$W$2:$W$1501,1))</f>
        <v/>
      </c>
      <c r="P160" s="7">
        <f>IF($U160="","",O160*N160)</f>
        <v/>
      </c>
      <c r="Q160" s="7">
        <f>IF($U160="","",P160+M160)</f>
        <v/>
      </c>
      <c r="R160" s="7">
        <f>IF($U160="","",S160-Q160)</f>
        <v/>
      </c>
      <c r="S160" s="7">
        <f>IF($U160="","",L160+O160)</f>
        <v/>
      </c>
      <c r="T160" s="7">
        <f>IF($U160="","",S160-Q160-H160)</f>
        <v/>
      </c>
      <c r="U160" s="16">
        <f>IF(ROWS($U$2:$U160)&lt;=MAX('Per Line'!$V$2:$V$1501),MATCH(ROWS($U$2:$U160),'Per Line'!$V$2:$V$1501,0),"")</f>
        <v/>
      </c>
      <c r="V160">
        <f>IF($U160="","",B160&amp;"|"&amp;COUNTIF($B$2:$B160,B160))</f>
        <v/>
      </c>
    </row>
    <row r="161">
      <c r="A161">
        <f>IF($U161="","",INDEX('Per Line'!$B$2:$B$1501,$U161)&amp;"")</f>
        <v/>
      </c>
      <c r="B161">
        <f>IF($U161="","","COPY "&amp;G161&amp;" %")</f>
        <v/>
      </c>
      <c r="C161" s="15" t="n"/>
      <c r="D161">
        <f>IF($U161="","",INDEX('Per Line'!$C$2:$C$1501,$U161)&amp;"")</f>
        <v/>
      </c>
      <c r="E161">
        <f>IF($U161="","",INDEX('Per Line'!$D$2:$D$1501,$U161)&amp;"")</f>
        <v/>
      </c>
      <c r="F161">
        <f>IF($U161="","",INDEX('Per Line'!$E$2:$E$1501,$U161)&amp;"")</f>
        <v/>
      </c>
      <c r="G161">
        <f>IF($U161="","",INDEX('Per Line'!$F$2:$F$1501,$U161))</f>
        <v/>
      </c>
      <c r="H161" s="7">
        <f>IF($U161="","",G161*S161/100)</f>
        <v/>
      </c>
      <c r="I161" s="14">
        <f>IF($U161="","",INDEX('Per Line'!$R$2:$R$1501,$U161))</f>
        <v/>
      </c>
      <c r="J161">
        <f>IF($U161="","",INDEX('Per Line'!$Q$2:$Q$1501,$U161)&amp;"")</f>
        <v/>
      </c>
      <c r="K161">
        <f>IF($U161="","",Settings!$C$7)</f>
        <v/>
      </c>
      <c r="L161" s="7">
        <f>IF($U161="","",SUMIFS('Per Line'!$L$2:$L$1501,'Per Line'!$B$2:$B$1501,$A161,'Per Line'!$W$2:$W$1501,0))</f>
        <v/>
      </c>
      <c r="M161" s="7">
        <f>IF($U161="","",L161*K161)</f>
        <v/>
      </c>
      <c r="N161">
        <f>IF($U161="","",Settings!$C$6)</f>
        <v/>
      </c>
      <c r="O161" s="7">
        <f>IF($U161="","",SUMIFS('Per Line'!$L$2:$L$1501,'Per Line'!$B$2:$B$1501,$A161,'Per Line'!$W$2:$W$1501,1))</f>
        <v/>
      </c>
      <c r="P161" s="7">
        <f>IF($U161="","",O161*N161)</f>
        <v/>
      </c>
      <c r="Q161" s="7">
        <f>IF($U161="","",P161+M161)</f>
        <v/>
      </c>
      <c r="R161" s="7">
        <f>IF($U161="","",S161-Q161)</f>
        <v/>
      </c>
      <c r="S161" s="7">
        <f>IF($U161="","",L161+O161)</f>
        <v/>
      </c>
      <c r="T161" s="7">
        <f>IF($U161="","",S161-Q161-H161)</f>
        <v/>
      </c>
      <c r="U161" s="16">
        <f>IF(ROWS($U$2:$U161)&lt;=MAX('Per Line'!$V$2:$V$1501),MATCH(ROWS($U$2:$U161),'Per Line'!$V$2:$V$1501,0),"")</f>
        <v/>
      </c>
      <c r="V161">
        <f>IF($U161="","",B161&amp;"|"&amp;COUNTIF($B$2:$B161,B161))</f>
        <v/>
      </c>
    </row>
    <row r="162">
      <c r="A162">
        <f>IF($U162="","",INDEX('Per Line'!$B$2:$B$1501,$U162)&amp;"")</f>
        <v/>
      </c>
      <c r="B162">
        <f>IF($U162="","","COPY "&amp;G162&amp;" %")</f>
        <v/>
      </c>
      <c r="C162" s="15" t="n"/>
      <c r="D162">
        <f>IF($U162="","",INDEX('Per Line'!$C$2:$C$1501,$U162)&amp;"")</f>
        <v/>
      </c>
      <c r="E162">
        <f>IF($U162="","",INDEX('Per Line'!$D$2:$D$1501,$U162)&amp;"")</f>
        <v/>
      </c>
      <c r="F162">
        <f>IF($U162="","",INDEX('Per Line'!$E$2:$E$1501,$U162)&amp;"")</f>
        <v/>
      </c>
      <c r="G162">
        <f>IF($U162="","",INDEX('Per Line'!$F$2:$F$1501,$U162))</f>
        <v/>
      </c>
      <c r="H162" s="7">
        <f>IF($U162="","",G162*S162/100)</f>
        <v/>
      </c>
      <c r="I162" s="14">
        <f>IF($U162="","",INDEX('Per Line'!$R$2:$R$1501,$U162))</f>
        <v/>
      </c>
      <c r="J162">
        <f>IF($U162="","",INDEX('Per Line'!$Q$2:$Q$1501,$U162)&amp;"")</f>
        <v/>
      </c>
      <c r="K162">
        <f>IF($U162="","",Settings!$C$7)</f>
        <v/>
      </c>
      <c r="L162" s="7">
        <f>IF($U162="","",SUMIFS('Per Line'!$L$2:$L$1501,'Per Line'!$B$2:$B$1501,$A162,'Per Line'!$W$2:$W$1501,0))</f>
        <v/>
      </c>
      <c r="M162" s="7">
        <f>IF($U162="","",L162*K162)</f>
        <v/>
      </c>
      <c r="N162">
        <f>IF($U162="","",Settings!$C$6)</f>
        <v/>
      </c>
      <c r="O162" s="7">
        <f>IF($U162="","",SUMIFS('Per Line'!$L$2:$L$1501,'Per Line'!$B$2:$B$1501,$A162,'Per Line'!$W$2:$W$1501,1))</f>
        <v/>
      </c>
      <c r="P162" s="7">
        <f>IF($U162="","",O162*N162)</f>
        <v/>
      </c>
      <c r="Q162" s="7">
        <f>IF($U162="","",P162+M162)</f>
        <v/>
      </c>
      <c r="R162" s="7">
        <f>IF($U162="","",S162-Q162)</f>
        <v/>
      </c>
      <c r="S162" s="7">
        <f>IF($U162="","",L162+O162)</f>
        <v/>
      </c>
      <c r="T162" s="7">
        <f>IF($U162="","",S162-Q162-H162)</f>
        <v/>
      </c>
      <c r="U162" s="16">
        <f>IF(ROWS($U$2:$U162)&lt;=MAX('Per Line'!$V$2:$V$1501),MATCH(ROWS($U$2:$U162),'Per Line'!$V$2:$V$1501,0),"")</f>
        <v/>
      </c>
      <c r="V162">
        <f>IF($U162="","",B162&amp;"|"&amp;COUNTIF($B$2:$B162,B162))</f>
        <v/>
      </c>
    </row>
    <row r="163">
      <c r="A163">
        <f>IF($U163="","",INDEX('Per Line'!$B$2:$B$1501,$U163)&amp;"")</f>
        <v/>
      </c>
      <c r="B163">
        <f>IF($U163="","","COPY "&amp;G163&amp;" %")</f>
        <v/>
      </c>
      <c r="C163" s="15" t="n"/>
      <c r="D163">
        <f>IF($U163="","",INDEX('Per Line'!$C$2:$C$1501,$U163)&amp;"")</f>
        <v/>
      </c>
      <c r="E163">
        <f>IF($U163="","",INDEX('Per Line'!$D$2:$D$1501,$U163)&amp;"")</f>
        <v/>
      </c>
      <c r="F163">
        <f>IF($U163="","",INDEX('Per Line'!$E$2:$E$1501,$U163)&amp;"")</f>
        <v/>
      </c>
      <c r="G163">
        <f>IF($U163="","",INDEX('Per Line'!$F$2:$F$1501,$U163))</f>
        <v/>
      </c>
      <c r="H163" s="7">
        <f>IF($U163="","",G163*S163/100)</f>
        <v/>
      </c>
      <c r="I163" s="14">
        <f>IF($U163="","",INDEX('Per Line'!$R$2:$R$1501,$U163))</f>
        <v/>
      </c>
      <c r="J163">
        <f>IF($U163="","",INDEX('Per Line'!$Q$2:$Q$1501,$U163)&amp;"")</f>
        <v/>
      </c>
      <c r="K163">
        <f>IF($U163="","",Settings!$C$7)</f>
        <v/>
      </c>
      <c r="L163" s="7">
        <f>IF($U163="","",SUMIFS('Per Line'!$L$2:$L$1501,'Per Line'!$B$2:$B$1501,$A163,'Per Line'!$W$2:$W$1501,0))</f>
        <v/>
      </c>
      <c r="M163" s="7">
        <f>IF($U163="","",L163*K163)</f>
        <v/>
      </c>
      <c r="N163">
        <f>IF($U163="","",Settings!$C$6)</f>
        <v/>
      </c>
      <c r="O163" s="7">
        <f>IF($U163="","",SUMIFS('Per Line'!$L$2:$L$1501,'Per Line'!$B$2:$B$1501,$A163,'Per Line'!$W$2:$W$1501,1))</f>
        <v/>
      </c>
      <c r="P163" s="7">
        <f>IF($U163="","",O163*N163)</f>
        <v/>
      </c>
      <c r="Q163" s="7">
        <f>IF($U163="","",P163+M163)</f>
        <v/>
      </c>
      <c r="R163" s="7">
        <f>IF($U163="","",S163-Q163)</f>
        <v/>
      </c>
      <c r="S163" s="7">
        <f>IF($U163="","",L163+O163)</f>
        <v/>
      </c>
      <c r="T163" s="7">
        <f>IF($U163="","",S163-Q163-H163)</f>
        <v/>
      </c>
      <c r="U163" s="16">
        <f>IF(ROWS($U$2:$U163)&lt;=MAX('Per Line'!$V$2:$V$1501),MATCH(ROWS($U$2:$U163),'Per Line'!$V$2:$V$1501,0),"")</f>
        <v/>
      </c>
      <c r="V163">
        <f>IF($U163="","",B163&amp;"|"&amp;COUNTIF($B$2:$B163,B163))</f>
        <v/>
      </c>
    </row>
    <row r="164">
      <c r="A164">
        <f>IF($U164="","",INDEX('Per Line'!$B$2:$B$1501,$U164)&amp;"")</f>
        <v/>
      </c>
      <c r="B164">
        <f>IF($U164="","","COPY "&amp;G164&amp;" %")</f>
        <v/>
      </c>
      <c r="C164" s="15" t="n"/>
      <c r="D164">
        <f>IF($U164="","",INDEX('Per Line'!$C$2:$C$1501,$U164)&amp;"")</f>
        <v/>
      </c>
      <c r="E164">
        <f>IF($U164="","",INDEX('Per Line'!$D$2:$D$1501,$U164)&amp;"")</f>
        <v/>
      </c>
      <c r="F164">
        <f>IF($U164="","",INDEX('Per Line'!$E$2:$E$1501,$U164)&amp;"")</f>
        <v/>
      </c>
      <c r="G164">
        <f>IF($U164="","",INDEX('Per Line'!$F$2:$F$1501,$U164))</f>
        <v/>
      </c>
      <c r="H164" s="7">
        <f>IF($U164="","",G164*S164/100)</f>
        <v/>
      </c>
      <c r="I164" s="14">
        <f>IF($U164="","",INDEX('Per Line'!$R$2:$R$1501,$U164))</f>
        <v/>
      </c>
      <c r="J164">
        <f>IF($U164="","",INDEX('Per Line'!$Q$2:$Q$1501,$U164)&amp;"")</f>
        <v/>
      </c>
      <c r="K164">
        <f>IF($U164="","",Settings!$C$7)</f>
        <v/>
      </c>
      <c r="L164" s="7">
        <f>IF($U164="","",SUMIFS('Per Line'!$L$2:$L$1501,'Per Line'!$B$2:$B$1501,$A164,'Per Line'!$W$2:$W$1501,0))</f>
        <v/>
      </c>
      <c r="M164" s="7">
        <f>IF($U164="","",L164*K164)</f>
        <v/>
      </c>
      <c r="N164">
        <f>IF($U164="","",Settings!$C$6)</f>
        <v/>
      </c>
      <c r="O164" s="7">
        <f>IF($U164="","",SUMIFS('Per Line'!$L$2:$L$1501,'Per Line'!$B$2:$B$1501,$A164,'Per Line'!$W$2:$W$1501,1))</f>
        <v/>
      </c>
      <c r="P164" s="7">
        <f>IF($U164="","",O164*N164)</f>
        <v/>
      </c>
      <c r="Q164" s="7">
        <f>IF($U164="","",P164+M164)</f>
        <v/>
      </c>
      <c r="R164" s="7">
        <f>IF($U164="","",S164-Q164)</f>
        <v/>
      </c>
      <c r="S164" s="7">
        <f>IF($U164="","",L164+O164)</f>
        <v/>
      </c>
      <c r="T164" s="7">
        <f>IF($U164="","",S164-Q164-H164)</f>
        <v/>
      </c>
      <c r="U164" s="16">
        <f>IF(ROWS($U$2:$U164)&lt;=MAX('Per Line'!$V$2:$V$1501),MATCH(ROWS($U$2:$U164),'Per Line'!$V$2:$V$1501,0),"")</f>
        <v/>
      </c>
      <c r="V164">
        <f>IF($U164="","",B164&amp;"|"&amp;COUNTIF($B$2:$B164,B164))</f>
        <v/>
      </c>
    </row>
    <row r="165">
      <c r="A165">
        <f>IF($U165="","",INDEX('Per Line'!$B$2:$B$1501,$U165)&amp;"")</f>
        <v/>
      </c>
      <c r="B165">
        <f>IF($U165="","","COPY "&amp;G165&amp;" %")</f>
        <v/>
      </c>
      <c r="C165" s="15" t="n"/>
      <c r="D165">
        <f>IF($U165="","",INDEX('Per Line'!$C$2:$C$1501,$U165)&amp;"")</f>
        <v/>
      </c>
      <c r="E165">
        <f>IF($U165="","",INDEX('Per Line'!$D$2:$D$1501,$U165)&amp;"")</f>
        <v/>
      </c>
      <c r="F165">
        <f>IF($U165="","",INDEX('Per Line'!$E$2:$E$1501,$U165)&amp;"")</f>
        <v/>
      </c>
      <c r="G165">
        <f>IF($U165="","",INDEX('Per Line'!$F$2:$F$1501,$U165))</f>
        <v/>
      </c>
      <c r="H165" s="7">
        <f>IF($U165="","",G165*S165/100)</f>
        <v/>
      </c>
      <c r="I165" s="14">
        <f>IF($U165="","",INDEX('Per Line'!$R$2:$R$1501,$U165))</f>
        <v/>
      </c>
      <c r="J165">
        <f>IF($U165="","",INDEX('Per Line'!$Q$2:$Q$1501,$U165)&amp;"")</f>
        <v/>
      </c>
      <c r="K165">
        <f>IF($U165="","",Settings!$C$7)</f>
        <v/>
      </c>
      <c r="L165" s="7">
        <f>IF($U165="","",SUMIFS('Per Line'!$L$2:$L$1501,'Per Line'!$B$2:$B$1501,$A165,'Per Line'!$W$2:$W$1501,0))</f>
        <v/>
      </c>
      <c r="M165" s="7">
        <f>IF($U165="","",L165*K165)</f>
        <v/>
      </c>
      <c r="N165">
        <f>IF($U165="","",Settings!$C$6)</f>
        <v/>
      </c>
      <c r="O165" s="7">
        <f>IF($U165="","",SUMIFS('Per Line'!$L$2:$L$1501,'Per Line'!$B$2:$B$1501,$A165,'Per Line'!$W$2:$W$1501,1))</f>
        <v/>
      </c>
      <c r="P165" s="7">
        <f>IF($U165="","",O165*N165)</f>
        <v/>
      </c>
      <c r="Q165" s="7">
        <f>IF($U165="","",P165+M165)</f>
        <v/>
      </c>
      <c r="R165" s="7">
        <f>IF($U165="","",S165-Q165)</f>
        <v/>
      </c>
      <c r="S165" s="7">
        <f>IF($U165="","",L165+O165)</f>
        <v/>
      </c>
      <c r="T165" s="7">
        <f>IF($U165="","",S165-Q165-H165)</f>
        <v/>
      </c>
      <c r="U165" s="16">
        <f>IF(ROWS($U$2:$U165)&lt;=MAX('Per Line'!$V$2:$V$1501),MATCH(ROWS($U$2:$U165),'Per Line'!$V$2:$V$1501,0),"")</f>
        <v/>
      </c>
      <c r="V165">
        <f>IF($U165="","",B165&amp;"|"&amp;COUNTIF($B$2:$B165,B165))</f>
        <v/>
      </c>
    </row>
    <row r="166">
      <c r="A166">
        <f>IF($U166="","",INDEX('Per Line'!$B$2:$B$1501,$U166)&amp;"")</f>
        <v/>
      </c>
      <c r="B166">
        <f>IF($U166="","","COPY "&amp;G166&amp;" %")</f>
        <v/>
      </c>
      <c r="C166" s="15" t="n"/>
      <c r="D166">
        <f>IF($U166="","",INDEX('Per Line'!$C$2:$C$1501,$U166)&amp;"")</f>
        <v/>
      </c>
      <c r="E166">
        <f>IF($U166="","",INDEX('Per Line'!$D$2:$D$1501,$U166)&amp;"")</f>
        <v/>
      </c>
      <c r="F166">
        <f>IF($U166="","",INDEX('Per Line'!$E$2:$E$1501,$U166)&amp;"")</f>
        <v/>
      </c>
      <c r="G166">
        <f>IF($U166="","",INDEX('Per Line'!$F$2:$F$1501,$U166))</f>
        <v/>
      </c>
      <c r="H166" s="7">
        <f>IF($U166="","",G166*S166/100)</f>
        <v/>
      </c>
      <c r="I166" s="14">
        <f>IF($U166="","",INDEX('Per Line'!$R$2:$R$1501,$U166))</f>
        <v/>
      </c>
      <c r="J166">
        <f>IF($U166="","",INDEX('Per Line'!$Q$2:$Q$1501,$U166)&amp;"")</f>
        <v/>
      </c>
      <c r="K166">
        <f>IF($U166="","",Settings!$C$7)</f>
        <v/>
      </c>
      <c r="L166" s="7">
        <f>IF($U166="","",SUMIFS('Per Line'!$L$2:$L$1501,'Per Line'!$B$2:$B$1501,$A166,'Per Line'!$W$2:$W$1501,0))</f>
        <v/>
      </c>
      <c r="M166" s="7">
        <f>IF($U166="","",L166*K166)</f>
        <v/>
      </c>
      <c r="N166">
        <f>IF($U166="","",Settings!$C$6)</f>
        <v/>
      </c>
      <c r="O166" s="7">
        <f>IF($U166="","",SUMIFS('Per Line'!$L$2:$L$1501,'Per Line'!$B$2:$B$1501,$A166,'Per Line'!$W$2:$W$1501,1))</f>
        <v/>
      </c>
      <c r="P166" s="7">
        <f>IF($U166="","",O166*N166)</f>
        <v/>
      </c>
      <c r="Q166" s="7">
        <f>IF($U166="","",P166+M166)</f>
        <v/>
      </c>
      <c r="R166" s="7">
        <f>IF($U166="","",S166-Q166)</f>
        <v/>
      </c>
      <c r="S166" s="7">
        <f>IF($U166="","",L166+O166)</f>
        <v/>
      </c>
      <c r="T166" s="7">
        <f>IF($U166="","",S166-Q166-H166)</f>
        <v/>
      </c>
      <c r="U166" s="16">
        <f>IF(ROWS($U$2:$U166)&lt;=MAX('Per Line'!$V$2:$V$1501),MATCH(ROWS($U$2:$U166),'Per Line'!$V$2:$V$1501,0),"")</f>
        <v/>
      </c>
      <c r="V166">
        <f>IF($U166="","",B166&amp;"|"&amp;COUNTIF($B$2:$B166,B166))</f>
        <v/>
      </c>
    </row>
    <row r="167">
      <c r="A167">
        <f>IF($U167="","",INDEX('Per Line'!$B$2:$B$1501,$U167)&amp;"")</f>
        <v/>
      </c>
      <c r="B167">
        <f>IF($U167="","","COPY "&amp;G167&amp;" %")</f>
        <v/>
      </c>
      <c r="C167" s="15" t="n"/>
      <c r="D167">
        <f>IF($U167="","",INDEX('Per Line'!$C$2:$C$1501,$U167)&amp;"")</f>
        <v/>
      </c>
      <c r="E167">
        <f>IF($U167="","",INDEX('Per Line'!$D$2:$D$1501,$U167)&amp;"")</f>
        <v/>
      </c>
      <c r="F167">
        <f>IF($U167="","",INDEX('Per Line'!$E$2:$E$1501,$U167)&amp;"")</f>
        <v/>
      </c>
      <c r="G167">
        <f>IF($U167="","",INDEX('Per Line'!$F$2:$F$1501,$U167))</f>
        <v/>
      </c>
      <c r="H167" s="7">
        <f>IF($U167="","",G167*S167/100)</f>
        <v/>
      </c>
      <c r="I167" s="14">
        <f>IF($U167="","",INDEX('Per Line'!$R$2:$R$1501,$U167))</f>
        <v/>
      </c>
      <c r="J167">
        <f>IF($U167="","",INDEX('Per Line'!$Q$2:$Q$1501,$U167)&amp;"")</f>
        <v/>
      </c>
      <c r="K167">
        <f>IF($U167="","",Settings!$C$7)</f>
        <v/>
      </c>
      <c r="L167" s="7">
        <f>IF($U167="","",SUMIFS('Per Line'!$L$2:$L$1501,'Per Line'!$B$2:$B$1501,$A167,'Per Line'!$W$2:$W$1501,0))</f>
        <v/>
      </c>
      <c r="M167" s="7">
        <f>IF($U167="","",L167*K167)</f>
        <v/>
      </c>
      <c r="N167">
        <f>IF($U167="","",Settings!$C$6)</f>
        <v/>
      </c>
      <c r="O167" s="7">
        <f>IF($U167="","",SUMIFS('Per Line'!$L$2:$L$1501,'Per Line'!$B$2:$B$1501,$A167,'Per Line'!$W$2:$W$1501,1))</f>
        <v/>
      </c>
      <c r="P167" s="7">
        <f>IF($U167="","",O167*N167)</f>
        <v/>
      </c>
      <c r="Q167" s="7">
        <f>IF($U167="","",P167+M167)</f>
        <v/>
      </c>
      <c r="R167" s="7">
        <f>IF($U167="","",S167-Q167)</f>
        <v/>
      </c>
      <c r="S167" s="7">
        <f>IF($U167="","",L167+O167)</f>
        <v/>
      </c>
      <c r="T167" s="7">
        <f>IF($U167="","",S167-Q167-H167)</f>
        <v/>
      </c>
      <c r="U167" s="16">
        <f>IF(ROWS($U$2:$U167)&lt;=MAX('Per Line'!$V$2:$V$1501),MATCH(ROWS($U$2:$U167),'Per Line'!$V$2:$V$1501,0),"")</f>
        <v/>
      </c>
      <c r="V167">
        <f>IF($U167="","",B167&amp;"|"&amp;COUNTIF($B$2:$B167,B167))</f>
        <v/>
      </c>
    </row>
    <row r="168">
      <c r="A168">
        <f>IF($U168="","",INDEX('Per Line'!$B$2:$B$1501,$U168)&amp;"")</f>
        <v/>
      </c>
      <c r="B168">
        <f>IF($U168="","","COPY "&amp;G168&amp;" %")</f>
        <v/>
      </c>
      <c r="C168" s="15" t="n"/>
      <c r="D168">
        <f>IF($U168="","",INDEX('Per Line'!$C$2:$C$1501,$U168)&amp;"")</f>
        <v/>
      </c>
      <c r="E168">
        <f>IF($U168="","",INDEX('Per Line'!$D$2:$D$1501,$U168)&amp;"")</f>
        <v/>
      </c>
      <c r="F168">
        <f>IF($U168="","",INDEX('Per Line'!$E$2:$E$1501,$U168)&amp;"")</f>
        <v/>
      </c>
      <c r="G168">
        <f>IF($U168="","",INDEX('Per Line'!$F$2:$F$1501,$U168))</f>
        <v/>
      </c>
      <c r="H168" s="7">
        <f>IF($U168="","",G168*S168/100)</f>
        <v/>
      </c>
      <c r="I168" s="14">
        <f>IF($U168="","",INDEX('Per Line'!$R$2:$R$1501,$U168))</f>
        <v/>
      </c>
      <c r="J168">
        <f>IF($U168="","",INDEX('Per Line'!$Q$2:$Q$1501,$U168)&amp;"")</f>
        <v/>
      </c>
      <c r="K168">
        <f>IF($U168="","",Settings!$C$7)</f>
        <v/>
      </c>
      <c r="L168" s="7">
        <f>IF($U168="","",SUMIFS('Per Line'!$L$2:$L$1501,'Per Line'!$B$2:$B$1501,$A168,'Per Line'!$W$2:$W$1501,0))</f>
        <v/>
      </c>
      <c r="M168" s="7">
        <f>IF($U168="","",L168*K168)</f>
        <v/>
      </c>
      <c r="N168">
        <f>IF($U168="","",Settings!$C$6)</f>
        <v/>
      </c>
      <c r="O168" s="7">
        <f>IF($U168="","",SUMIFS('Per Line'!$L$2:$L$1501,'Per Line'!$B$2:$B$1501,$A168,'Per Line'!$W$2:$W$1501,1))</f>
        <v/>
      </c>
      <c r="P168" s="7">
        <f>IF($U168="","",O168*N168)</f>
        <v/>
      </c>
      <c r="Q168" s="7">
        <f>IF($U168="","",P168+M168)</f>
        <v/>
      </c>
      <c r="R168" s="7">
        <f>IF($U168="","",S168-Q168)</f>
        <v/>
      </c>
      <c r="S168" s="7">
        <f>IF($U168="","",L168+O168)</f>
        <v/>
      </c>
      <c r="T168" s="7">
        <f>IF($U168="","",S168-Q168-H168)</f>
        <v/>
      </c>
      <c r="U168" s="16">
        <f>IF(ROWS($U$2:$U168)&lt;=MAX('Per Line'!$V$2:$V$1501),MATCH(ROWS($U$2:$U168),'Per Line'!$V$2:$V$1501,0),"")</f>
        <v/>
      </c>
      <c r="V168">
        <f>IF($U168="","",B168&amp;"|"&amp;COUNTIF($B$2:$B168,B168))</f>
        <v/>
      </c>
    </row>
    <row r="169">
      <c r="A169">
        <f>IF($U169="","",INDEX('Per Line'!$B$2:$B$1501,$U169)&amp;"")</f>
        <v/>
      </c>
      <c r="B169">
        <f>IF($U169="","","COPY "&amp;G169&amp;" %")</f>
        <v/>
      </c>
      <c r="C169" s="15" t="n"/>
      <c r="D169">
        <f>IF($U169="","",INDEX('Per Line'!$C$2:$C$1501,$U169)&amp;"")</f>
        <v/>
      </c>
      <c r="E169">
        <f>IF($U169="","",INDEX('Per Line'!$D$2:$D$1501,$U169)&amp;"")</f>
        <v/>
      </c>
      <c r="F169">
        <f>IF($U169="","",INDEX('Per Line'!$E$2:$E$1501,$U169)&amp;"")</f>
        <v/>
      </c>
      <c r="G169">
        <f>IF($U169="","",INDEX('Per Line'!$F$2:$F$1501,$U169))</f>
        <v/>
      </c>
      <c r="H169" s="7">
        <f>IF($U169="","",G169*S169/100)</f>
        <v/>
      </c>
      <c r="I169" s="14">
        <f>IF($U169="","",INDEX('Per Line'!$R$2:$R$1501,$U169))</f>
        <v/>
      </c>
      <c r="J169">
        <f>IF($U169="","",INDEX('Per Line'!$Q$2:$Q$1501,$U169)&amp;"")</f>
        <v/>
      </c>
      <c r="K169">
        <f>IF($U169="","",Settings!$C$7)</f>
        <v/>
      </c>
      <c r="L169" s="7">
        <f>IF($U169="","",SUMIFS('Per Line'!$L$2:$L$1501,'Per Line'!$B$2:$B$1501,$A169,'Per Line'!$W$2:$W$1501,0))</f>
        <v/>
      </c>
      <c r="M169" s="7">
        <f>IF($U169="","",L169*K169)</f>
        <v/>
      </c>
      <c r="N169">
        <f>IF($U169="","",Settings!$C$6)</f>
        <v/>
      </c>
      <c r="O169" s="7">
        <f>IF($U169="","",SUMIFS('Per Line'!$L$2:$L$1501,'Per Line'!$B$2:$B$1501,$A169,'Per Line'!$W$2:$W$1501,1))</f>
        <v/>
      </c>
      <c r="P169" s="7">
        <f>IF($U169="","",O169*N169)</f>
        <v/>
      </c>
      <c r="Q169" s="7">
        <f>IF($U169="","",P169+M169)</f>
        <v/>
      </c>
      <c r="R169" s="7">
        <f>IF($U169="","",S169-Q169)</f>
        <v/>
      </c>
      <c r="S169" s="7">
        <f>IF($U169="","",L169+O169)</f>
        <v/>
      </c>
      <c r="T169" s="7">
        <f>IF($U169="","",S169-Q169-H169)</f>
        <v/>
      </c>
      <c r="U169" s="16">
        <f>IF(ROWS($U$2:$U169)&lt;=MAX('Per Line'!$V$2:$V$1501),MATCH(ROWS($U$2:$U169),'Per Line'!$V$2:$V$1501,0),"")</f>
        <v/>
      </c>
      <c r="V169">
        <f>IF($U169="","",B169&amp;"|"&amp;COUNTIF($B$2:$B169,B169))</f>
        <v/>
      </c>
    </row>
    <row r="170">
      <c r="A170">
        <f>IF($U170="","",INDEX('Per Line'!$B$2:$B$1501,$U170)&amp;"")</f>
        <v/>
      </c>
      <c r="B170">
        <f>IF($U170="","","COPY "&amp;G170&amp;" %")</f>
        <v/>
      </c>
      <c r="C170" s="15" t="n"/>
      <c r="D170">
        <f>IF($U170="","",INDEX('Per Line'!$C$2:$C$1501,$U170)&amp;"")</f>
        <v/>
      </c>
      <c r="E170">
        <f>IF($U170="","",INDEX('Per Line'!$D$2:$D$1501,$U170)&amp;"")</f>
        <v/>
      </c>
      <c r="F170">
        <f>IF($U170="","",INDEX('Per Line'!$E$2:$E$1501,$U170)&amp;"")</f>
        <v/>
      </c>
      <c r="G170">
        <f>IF($U170="","",INDEX('Per Line'!$F$2:$F$1501,$U170))</f>
        <v/>
      </c>
      <c r="H170" s="7">
        <f>IF($U170="","",G170*S170/100)</f>
        <v/>
      </c>
      <c r="I170" s="14">
        <f>IF($U170="","",INDEX('Per Line'!$R$2:$R$1501,$U170))</f>
        <v/>
      </c>
      <c r="J170">
        <f>IF($U170="","",INDEX('Per Line'!$Q$2:$Q$1501,$U170)&amp;"")</f>
        <v/>
      </c>
      <c r="K170">
        <f>IF($U170="","",Settings!$C$7)</f>
        <v/>
      </c>
      <c r="L170" s="7">
        <f>IF($U170="","",SUMIFS('Per Line'!$L$2:$L$1501,'Per Line'!$B$2:$B$1501,$A170,'Per Line'!$W$2:$W$1501,0))</f>
        <v/>
      </c>
      <c r="M170" s="7">
        <f>IF($U170="","",L170*K170)</f>
        <v/>
      </c>
      <c r="N170">
        <f>IF($U170="","",Settings!$C$6)</f>
        <v/>
      </c>
      <c r="O170" s="7">
        <f>IF($U170="","",SUMIFS('Per Line'!$L$2:$L$1501,'Per Line'!$B$2:$B$1501,$A170,'Per Line'!$W$2:$W$1501,1))</f>
        <v/>
      </c>
      <c r="P170" s="7">
        <f>IF($U170="","",O170*N170)</f>
        <v/>
      </c>
      <c r="Q170" s="7">
        <f>IF($U170="","",P170+M170)</f>
        <v/>
      </c>
      <c r="R170" s="7">
        <f>IF($U170="","",S170-Q170)</f>
        <v/>
      </c>
      <c r="S170" s="7">
        <f>IF($U170="","",L170+O170)</f>
        <v/>
      </c>
      <c r="T170" s="7">
        <f>IF($U170="","",S170-Q170-H170)</f>
        <v/>
      </c>
      <c r="U170" s="16">
        <f>IF(ROWS($U$2:$U170)&lt;=MAX('Per Line'!$V$2:$V$1501),MATCH(ROWS($U$2:$U170),'Per Line'!$V$2:$V$1501,0),"")</f>
        <v/>
      </c>
      <c r="V170">
        <f>IF($U170="","",B170&amp;"|"&amp;COUNTIF($B$2:$B170,B170))</f>
        <v/>
      </c>
    </row>
    <row r="171">
      <c r="A171">
        <f>IF($U171="","",INDEX('Per Line'!$B$2:$B$1501,$U171)&amp;"")</f>
        <v/>
      </c>
      <c r="B171">
        <f>IF($U171="","","COPY "&amp;G171&amp;" %")</f>
        <v/>
      </c>
      <c r="C171" s="15" t="n"/>
      <c r="D171">
        <f>IF($U171="","",INDEX('Per Line'!$C$2:$C$1501,$U171)&amp;"")</f>
        <v/>
      </c>
      <c r="E171">
        <f>IF($U171="","",INDEX('Per Line'!$D$2:$D$1501,$U171)&amp;"")</f>
        <v/>
      </c>
      <c r="F171">
        <f>IF($U171="","",INDEX('Per Line'!$E$2:$E$1501,$U171)&amp;"")</f>
        <v/>
      </c>
      <c r="G171">
        <f>IF($U171="","",INDEX('Per Line'!$F$2:$F$1501,$U171))</f>
        <v/>
      </c>
      <c r="H171" s="7">
        <f>IF($U171="","",G171*S171/100)</f>
        <v/>
      </c>
      <c r="I171" s="14">
        <f>IF($U171="","",INDEX('Per Line'!$R$2:$R$1501,$U171))</f>
        <v/>
      </c>
      <c r="J171">
        <f>IF($U171="","",INDEX('Per Line'!$Q$2:$Q$1501,$U171)&amp;"")</f>
        <v/>
      </c>
      <c r="K171">
        <f>IF($U171="","",Settings!$C$7)</f>
        <v/>
      </c>
      <c r="L171" s="7">
        <f>IF($U171="","",SUMIFS('Per Line'!$L$2:$L$1501,'Per Line'!$B$2:$B$1501,$A171,'Per Line'!$W$2:$W$1501,0))</f>
        <v/>
      </c>
      <c r="M171" s="7">
        <f>IF($U171="","",L171*K171)</f>
        <v/>
      </c>
      <c r="N171">
        <f>IF($U171="","",Settings!$C$6)</f>
        <v/>
      </c>
      <c r="O171" s="7">
        <f>IF($U171="","",SUMIFS('Per Line'!$L$2:$L$1501,'Per Line'!$B$2:$B$1501,$A171,'Per Line'!$W$2:$W$1501,1))</f>
        <v/>
      </c>
      <c r="P171" s="7">
        <f>IF($U171="","",O171*N171)</f>
        <v/>
      </c>
      <c r="Q171" s="7">
        <f>IF($U171="","",P171+M171)</f>
        <v/>
      </c>
      <c r="R171" s="7">
        <f>IF($U171="","",S171-Q171)</f>
        <v/>
      </c>
      <c r="S171" s="7">
        <f>IF($U171="","",L171+O171)</f>
        <v/>
      </c>
      <c r="T171" s="7">
        <f>IF($U171="","",S171-Q171-H171)</f>
        <v/>
      </c>
      <c r="U171" s="16">
        <f>IF(ROWS($U$2:$U171)&lt;=MAX('Per Line'!$V$2:$V$1501),MATCH(ROWS($U$2:$U171),'Per Line'!$V$2:$V$1501,0),"")</f>
        <v/>
      </c>
      <c r="V171">
        <f>IF($U171="","",B171&amp;"|"&amp;COUNTIF($B$2:$B171,B171))</f>
        <v/>
      </c>
    </row>
    <row r="172">
      <c r="A172">
        <f>IF($U172="","",INDEX('Per Line'!$B$2:$B$1501,$U172)&amp;"")</f>
        <v/>
      </c>
      <c r="B172">
        <f>IF($U172="","","COPY "&amp;G172&amp;" %")</f>
        <v/>
      </c>
      <c r="C172" s="15" t="n"/>
      <c r="D172">
        <f>IF($U172="","",INDEX('Per Line'!$C$2:$C$1501,$U172)&amp;"")</f>
        <v/>
      </c>
      <c r="E172">
        <f>IF($U172="","",INDEX('Per Line'!$D$2:$D$1501,$U172)&amp;"")</f>
        <v/>
      </c>
      <c r="F172">
        <f>IF($U172="","",INDEX('Per Line'!$E$2:$E$1501,$U172)&amp;"")</f>
        <v/>
      </c>
      <c r="G172">
        <f>IF($U172="","",INDEX('Per Line'!$F$2:$F$1501,$U172))</f>
        <v/>
      </c>
      <c r="H172" s="7">
        <f>IF($U172="","",G172*S172/100)</f>
        <v/>
      </c>
      <c r="I172" s="14">
        <f>IF($U172="","",INDEX('Per Line'!$R$2:$R$1501,$U172))</f>
        <v/>
      </c>
      <c r="J172">
        <f>IF($U172="","",INDEX('Per Line'!$Q$2:$Q$1501,$U172)&amp;"")</f>
        <v/>
      </c>
      <c r="K172">
        <f>IF($U172="","",Settings!$C$7)</f>
        <v/>
      </c>
      <c r="L172" s="7">
        <f>IF($U172="","",SUMIFS('Per Line'!$L$2:$L$1501,'Per Line'!$B$2:$B$1501,$A172,'Per Line'!$W$2:$W$1501,0))</f>
        <v/>
      </c>
      <c r="M172" s="7">
        <f>IF($U172="","",L172*K172)</f>
        <v/>
      </c>
      <c r="N172">
        <f>IF($U172="","",Settings!$C$6)</f>
        <v/>
      </c>
      <c r="O172" s="7">
        <f>IF($U172="","",SUMIFS('Per Line'!$L$2:$L$1501,'Per Line'!$B$2:$B$1501,$A172,'Per Line'!$W$2:$W$1501,1))</f>
        <v/>
      </c>
      <c r="P172" s="7">
        <f>IF($U172="","",O172*N172)</f>
        <v/>
      </c>
      <c r="Q172" s="7">
        <f>IF($U172="","",P172+M172)</f>
        <v/>
      </c>
      <c r="R172" s="7">
        <f>IF($U172="","",S172-Q172)</f>
        <v/>
      </c>
      <c r="S172" s="7">
        <f>IF($U172="","",L172+O172)</f>
        <v/>
      </c>
      <c r="T172" s="7">
        <f>IF($U172="","",S172-Q172-H172)</f>
        <v/>
      </c>
      <c r="U172" s="16">
        <f>IF(ROWS($U$2:$U172)&lt;=MAX('Per Line'!$V$2:$V$1501),MATCH(ROWS($U$2:$U172),'Per Line'!$V$2:$V$1501,0),"")</f>
        <v/>
      </c>
      <c r="V172">
        <f>IF($U172="","",B172&amp;"|"&amp;COUNTIF($B$2:$B172,B172))</f>
        <v/>
      </c>
    </row>
    <row r="173">
      <c r="A173">
        <f>IF($U173="","",INDEX('Per Line'!$B$2:$B$1501,$U173)&amp;"")</f>
        <v/>
      </c>
      <c r="B173">
        <f>IF($U173="","","COPY "&amp;G173&amp;" %")</f>
        <v/>
      </c>
      <c r="C173" s="15" t="n"/>
      <c r="D173">
        <f>IF($U173="","",INDEX('Per Line'!$C$2:$C$1501,$U173)&amp;"")</f>
        <v/>
      </c>
      <c r="E173">
        <f>IF($U173="","",INDEX('Per Line'!$D$2:$D$1501,$U173)&amp;"")</f>
        <v/>
      </c>
      <c r="F173">
        <f>IF($U173="","",INDEX('Per Line'!$E$2:$E$1501,$U173)&amp;"")</f>
        <v/>
      </c>
      <c r="G173">
        <f>IF($U173="","",INDEX('Per Line'!$F$2:$F$1501,$U173))</f>
        <v/>
      </c>
      <c r="H173" s="7">
        <f>IF($U173="","",G173*S173/100)</f>
        <v/>
      </c>
      <c r="I173" s="14">
        <f>IF($U173="","",INDEX('Per Line'!$R$2:$R$1501,$U173))</f>
        <v/>
      </c>
      <c r="J173">
        <f>IF($U173="","",INDEX('Per Line'!$Q$2:$Q$1501,$U173)&amp;"")</f>
        <v/>
      </c>
      <c r="K173">
        <f>IF($U173="","",Settings!$C$7)</f>
        <v/>
      </c>
      <c r="L173" s="7">
        <f>IF($U173="","",SUMIFS('Per Line'!$L$2:$L$1501,'Per Line'!$B$2:$B$1501,$A173,'Per Line'!$W$2:$W$1501,0))</f>
        <v/>
      </c>
      <c r="M173" s="7">
        <f>IF($U173="","",L173*K173)</f>
        <v/>
      </c>
      <c r="N173">
        <f>IF($U173="","",Settings!$C$6)</f>
        <v/>
      </c>
      <c r="O173" s="7">
        <f>IF($U173="","",SUMIFS('Per Line'!$L$2:$L$1501,'Per Line'!$B$2:$B$1501,$A173,'Per Line'!$W$2:$W$1501,1))</f>
        <v/>
      </c>
      <c r="P173" s="7">
        <f>IF($U173="","",O173*N173)</f>
        <v/>
      </c>
      <c r="Q173" s="7">
        <f>IF($U173="","",P173+M173)</f>
        <v/>
      </c>
      <c r="R173" s="7">
        <f>IF($U173="","",S173-Q173)</f>
        <v/>
      </c>
      <c r="S173" s="7">
        <f>IF($U173="","",L173+O173)</f>
        <v/>
      </c>
      <c r="T173" s="7">
        <f>IF($U173="","",S173-Q173-H173)</f>
        <v/>
      </c>
      <c r="U173" s="16">
        <f>IF(ROWS($U$2:$U173)&lt;=MAX('Per Line'!$V$2:$V$1501),MATCH(ROWS($U$2:$U173),'Per Line'!$V$2:$V$1501,0),"")</f>
        <v/>
      </c>
      <c r="V173">
        <f>IF($U173="","",B173&amp;"|"&amp;COUNTIF($B$2:$B173,B173))</f>
        <v/>
      </c>
    </row>
    <row r="174">
      <c r="A174">
        <f>IF($U174="","",INDEX('Per Line'!$B$2:$B$1501,$U174)&amp;"")</f>
        <v/>
      </c>
      <c r="B174">
        <f>IF($U174="","","COPY "&amp;G174&amp;" %")</f>
        <v/>
      </c>
      <c r="C174" s="15" t="n"/>
      <c r="D174">
        <f>IF($U174="","",INDEX('Per Line'!$C$2:$C$1501,$U174)&amp;"")</f>
        <v/>
      </c>
      <c r="E174">
        <f>IF($U174="","",INDEX('Per Line'!$D$2:$D$1501,$U174)&amp;"")</f>
        <v/>
      </c>
      <c r="F174">
        <f>IF($U174="","",INDEX('Per Line'!$E$2:$E$1501,$U174)&amp;"")</f>
        <v/>
      </c>
      <c r="G174">
        <f>IF($U174="","",INDEX('Per Line'!$F$2:$F$1501,$U174))</f>
        <v/>
      </c>
      <c r="H174" s="7">
        <f>IF($U174="","",G174*S174/100)</f>
        <v/>
      </c>
      <c r="I174" s="14">
        <f>IF($U174="","",INDEX('Per Line'!$R$2:$R$1501,$U174))</f>
        <v/>
      </c>
      <c r="J174">
        <f>IF($U174="","",INDEX('Per Line'!$Q$2:$Q$1501,$U174)&amp;"")</f>
        <v/>
      </c>
      <c r="K174">
        <f>IF($U174="","",Settings!$C$7)</f>
        <v/>
      </c>
      <c r="L174" s="7">
        <f>IF($U174="","",SUMIFS('Per Line'!$L$2:$L$1501,'Per Line'!$B$2:$B$1501,$A174,'Per Line'!$W$2:$W$1501,0))</f>
        <v/>
      </c>
      <c r="M174" s="7">
        <f>IF($U174="","",L174*K174)</f>
        <v/>
      </c>
      <c r="N174">
        <f>IF($U174="","",Settings!$C$6)</f>
        <v/>
      </c>
      <c r="O174" s="7">
        <f>IF($U174="","",SUMIFS('Per Line'!$L$2:$L$1501,'Per Line'!$B$2:$B$1501,$A174,'Per Line'!$W$2:$W$1501,1))</f>
        <v/>
      </c>
      <c r="P174" s="7">
        <f>IF($U174="","",O174*N174)</f>
        <v/>
      </c>
      <c r="Q174" s="7">
        <f>IF($U174="","",P174+M174)</f>
        <v/>
      </c>
      <c r="R174" s="7">
        <f>IF($U174="","",S174-Q174)</f>
        <v/>
      </c>
      <c r="S174" s="7">
        <f>IF($U174="","",L174+O174)</f>
        <v/>
      </c>
      <c r="T174" s="7">
        <f>IF($U174="","",S174-Q174-H174)</f>
        <v/>
      </c>
      <c r="U174" s="16">
        <f>IF(ROWS($U$2:$U174)&lt;=MAX('Per Line'!$V$2:$V$1501),MATCH(ROWS($U$2:$U174),'Per Line'!$V$2:$V$1501,0),"")</f>
        <v/>
      </c>
      <c r="V174">
        <f>IF($U174="","",B174&amp;"|"&amp;COUNTIF($B$2:$B174,B174))</f>
        <v/>
      </c>
    </row>
    <row r="175">
      <c r="A175">
        <f>IF($U175="","",INDEX('Per Line'!$B$2:$B$1501,$U175)&amp;"")</f>
        <v/>
      </c>
      <c r="B175">
        <f>IF($U175="","","COPY "&amp;G175&amp;" %")</f>
        <v/>
      </c>
      <c r="C175" s="15" t="n"/>
      <c r="D175">
        <f>IF($U175="","",INDEX('Per Line'!$C$2:$C$1501,$U175)&amp;"")</f>
        <v/>
      </c>
      <c r="E175">
        <f>IF($U175="","",INDEX('Per Line'!$D$2:$D$1501,$U175)&amp;"")</f>
        <v/>
      </c>
      <c r="F175">
        <f>IF($U175="","",INDEX('Per Line'!$E$2:$E$1501,$U175)&amp;"")</f>
        <v/>
      </c>
      <c r="G175">
        <f>IF($U175="","",INDEX('Per Line'!$F$2:$F$1501,$U175))</f>
        <v/>
      </c>
      <c r="H175" s="7">
        <f>IF($U175="","",G175*S175/100)</f>
        <v/>
      </c>
      <c r="I175" s="14">
        <f>IF($U175="","",INDEX('Per Line'!$R$2:$R$1501,$U175))</f>
        <v/>
      </c>
      <c r="J175">
        <f>IF($U175="","",INDEX('Per Line'!$Q$2:$Q$1501,$U175)&amp;"")</f>
        <v/>
      </c>
      <c r="K175">
        <f>IF($U175="","",Settings!$C$7)</f>
        <v/>
      </c>
      <c r="L175" s="7">
        <f>IF($U175="","",SUMIFS('Per Line'!$L$2:$L$1501,'Per Line'!$B$2:$B$1501,$A175,'Per Line'!$W$2:$W$1501,0))</f>
        <v/>
      </c>
      <c r="M175" s="7">
        <f>IF($U175="","",L175*K175)</f>
        <v/>
      </c>
      <c r="N175">
        <f>IF($U175="","",Settings!$C$6)</f>
        <v/>
      </c>
      <c r="O175" s="7">
        <f>IF($U175="","",SUMIFS('Per Line'!$L$2:$L$1501,'Per Line'!$B$2:$B$1501,$A175,'Per Line'!$W$2:$W$1501,1))</f>
        <v/>
      </c>
      <c r="P175" s="7">
        <f>IF($U175="","",O175*N175)</f>
        <v/>
      </c>
      <c r="Q175" s="7">
        <f>IF($U175="","",P175+M175)</f>
        <v/>
      </c>
      <c r="R175" s="7">
        <f>IF($U175="","",S175-Q175)</f>
        <v/>
      </c>
      <c r="S175" s="7">
        <f>IF($U175="","",L175+O175)</f>
        <v/>
      </c>
      <c r="T175" s="7">
        <f>IF($U175="","",S175-Q175-H175)</f>
        <v/>
      </c>
      <c r="U175" s="16">
        <f>IF(ROWS($U$2:$U175)&lt;=MAX('Per Line'!$V$2:$V$1501),MATCH(ROWS($U$2:$U175),'Per Line'!$V$2:$V$1501,0),"")</f>
        <v/>
      </c>
      <c r="V175">
        <f>IF($U175="","",B175&amp;"|"&amp;COUNTIF($B$2:$B175,B175))</f>
        <v/>
      </c>
    </row>
    <row r="176">
      <c r="A176">
        <f>IF($U176="","",INDEX('Per Line'!$B$2:$B$1501,$U176)&amp;"")</f>
        <v/>
      </c>
      <c r="B176">
        <f>IF($U176="","","COPY "&amp;G176&amp;" %")</f>
        <v/>
      </c>
      <c r="C176" s="15" t="n"/>
      <c r="D176">
        <f>IF($U176="","",INDEX('Per Line'!$C$2:$C$1501,$U176)&amp;"")</f>
        <v/>
      </c>
      <c r="E176">
        <f>IF($U176="","",INDEX('Per Line'!$D$2:$D$1501,$U176)&amp;"")</f>
        <v/>
      </c>
      <c r="F176">
        <f>IF($U176="","",INDEX('Per Line'!$E$2:$E$1501,$U176)&amp;"")</f>
        <v/>
      </c>
      <c r="G176">
        <f>IF($U176="","",INDEX('Per Line'!$F$2:$F$1501,$U176))</f>
        <v/>
      </c>
      <c r="H176" s="7">
        <f>IF($U176="","",G176*S176/100)</f>
        <v/>
      </c>
      <c r="I176" s="14">
        <f>IF($U176="","",INDEX('Per Line'!$R$2:$R$1501,$U176))</f>
        <v/>
      </c>
      <c r="J176">
        <f>IF($U176="","",INDEX('Per Line'!$Q$2:$Q$1501,$U176)&amp;"")</f>
        <v/>
      </c>
      <c r="K176">
        <f>IF($U176="","",Settings!$C$7)</f>
        <v/>
      </c>
      <c r="L176" s="7">
        <f>IF($U176="","",SUMIFS('Per Line'!$L$2:$L$1501,'Per Line'!$B$2:$B$1501,$A176,'Per Line'!$W$2:$W$1501,0))</f>
        <v/>
      </c>
      <c r="M176" s="7">
        <f>IF($U176="","",L176*K176)</f>
        <v/>
      </c>
      <c r="N176">
        <f>IF($U176="","",Settings!$C$6)</f>
        <v/>
      </c>
      <c r="O176" s="7">
        <f>IF($U176="","",SUMIFS('Per Line'!$L$2:$L$1501,'Per Line'!$B$2:$B$1501,$A176,'Per Line'!$W$2:$W$1501,1))</f>
        <v/>
      </c>
      <c r="P176" s="7">
        <f>IF($U176="","",O176*N176)</f>
        <v/>
      </c>
      <c r="Q176" s="7">
        <f>IF($U176="","",P176+M176)</f>
        <v/>
      </c>
      <c r="R176" s="7">
        <f>IF($U176="","",S176-Q176)</f>
        <v/>
      </c>
      <c r="S176" s="7">
        <f>IF($U176="","",L176+O176)</f>
        <v/>
      </c>
      <c r="T176" s="7">
        <f>IF($U176="","",S176-Q176-H176)</f>
        <v/>
      </c>
      <c r="U176" s="16">
        <f>IF(ROWS($U$2:$U176)&lt;=MAX('Per Line'!$V$2:$V$1501),MATCH(ROWS($U$2:$U176),'Per Line'!$V$2:$V$1501,0),"")</f>
        <v/>
      </c>
      <c r="V176">
        <f>IF($U176="","",B176&amp;"|"&amp;COUNTIF($B$2:$B176,B176))</f>
        <v/>
      </c>
    </row>
    <row r="177">
      <c r="A177">
        <f>IF($U177="","",INDEX('Per Line'!$B$2:$B$1501,$U177)&amp;"")</f>
        <v/>
      </c>
      <c r="B177">
        <f>IF($U177="","","COPY "&amp;G177&amp;" %")</f>
        <v/>
      </c>
      <c r="C177" s="15" t="n"/>
      <c r="D177">
        <f>IF($U177="","",INDEX('Per Line'!$C$2:$C$1501,$U177)&amp;"")</f>
        <v/>
      </c>
      <c r="E177">
        <f>IF($U177="","",INDEX('Per Line'!$D$2:$D$1501,$U177)&amp;"")</f>
        <v/>
      </c>
      <c r="F177">
        <f>IF($U177="","",INDEX('Per Line'!$E$2:$E$1501,$U177)&amp;"")</f>
        <v/>
      </c>
      <c r="G177">
        <f>IF($U177="","",INDEX('Per Line'!$F$2:$F$1501,$U177))</f>
        <v/>
      </c>
      <c r="H177" s="7">
        <f>IF($U177="","",G177*S177/100)</f>
        <v/>
      </c>
      <c r="I177" s="14">
        <f>IF($U177="","",INDEX('Per Line'!$R$2:$R$1501,$U177))</f>
        <v/>
      </c>
      <c r="J177">
        <f>IF($U177="","",INDEX('Per Line'!$Q$2:$Q$1501,$U177)&amp;"")</f>
        <v/>
      </c>
      <c r="K177">
        <f>IF($U177="","",Settings!$C$7)</f>
        <v/>
      </c>
      <c r="L177" s="7">
        <f>IF($U177="","",SUMIFS('Per Line'!$L$2:$L$1501,'Per Line'!$B$2:$B$1501,$A177,'Per Line'!$W$2:$W$1501,0))</f>
        <v/>
      </c>
      <c r="M177" s="7">
        <f>IF($U177="","",L177*K177)</f>
        <v/>
      </c>
      <c r="N177">
        <f>IF($U177="","",Settings!$C$6)</f>
        <v/>
      </c>
      <c r="O177" s="7">
        <f>IF($U177="","",SUMIFS('Per Line'!$L$2:$L$1501,'Per Line'!$B$2:$B$1501,$A177,'Per Line'!$W$2:$W$1501,1))</f>
        <v/>
      </c>
      <c r="P177" s="7">
        <f>IF($U177="","",O177*N177)</f>
        <v/>
      </c>
      <c r="Q177" s="7">
        <f>IF($U177="","",P177+M177)</f>
        <v/>
      </c>
      <c r="R177" s="7">
        <f>IF($U177="","",S177-Q177)</f>
        <v/>
      </c>
      <c r="S177" s="7">
        <f>IF($U177="","",L177+O177)</f>
        <v/>
      </c>
      <c r="T177" s="7">
        <f>IF($U177="","",S177-Q177-H177)</f>
        <v/>
      </c>
      <c r="U177" s="16">
        <f>IF(ROWS($U$2:$U177)&lt;=MAX('Per Line'!$V$2:$V$1501),MATCH(ROWS($U$2:$U177),'Per Line'!$V$2:$V$1501,0),"")</f>
        <v/>
      </c>
      <c r="V177">
        <f>IF($U177="","",B177&amp;"|"&amp;COUNTIF($B$2:$B177,B177))</f>
        <v/>
      </c>
    </row>
    <row r="178">
      <c r="A178">
        <f>IF($U178="","",INDEX('Per Line'!$B$2:$B$1501,$U178)&amp;"")</f>
        <v/>
      </c>
      <c r="B178">
        <f>IF($U178="","","COPY "&amp;G178&amp;" %")</f>
        <v/>
      </c>
      <c r="C178" s="15" t="n"/>
      <c r="D178">
        <f>IF($U178="","",INDEX('Per Line'!$C$2:$C$1501,$U178)&amp;"")</f>
        <v/>
      </c>
      <c r="E178">
        <f>IF($U178="","",INDEX('Per Line'!$D$2:$D$1501,$U178)&amp;"")</f>
        <v/>
      </c>
      <c r="F178">
        <f>IF($U178="","",INDEX('Per Line'!$E$2:$E$1501,$U178)&amp;"")</f>
        <v/>
      </c>
      <c r="G178">
        <f>IF($U178="","",INDEX('Per Line'!$F$2:$F$1501,$U178))</f>
        <v/>
      </c>
      <c r="H178" s="7">
        <f>IF($U178="","",G178*S178/100)</f>
        <v/>
      </c>
      <c r="I178" s="14">
        <f>IF($U178="","",INDEX('Per Line'!$R$2:$R$1501,$U178))</f>
        <v/>
      </c>
      <c r="J178">
        <f>IF($U178="","",INDEX('Per Line'!$Q$2:$Q$1501,$U178)&amp;"")</f>
        <v/>
      </c>
      <c r="K178">
        <f>IF($U178="","",Settings!$C$7)</f>
        <v/>
      </c>
      <c r="L178" s="7">
        <f>IF($U178="","",SUMIFS('Per Line'!$L$2:$L$1501,'Per Line'!$B$2:$B$1501,$A178,'Per Line'!$W$2:$W$1501,0))</f>
        <v/>
      </c>
      <c r="M178" s="7">
        <f>IF($U178="","",L178*K178)</f>
        <v/>
      </c>
      <c r="N178">
        <f>IF($U178="","",Settings!$C$6)</f>
        <v/>
      </c>
      <c r="O178" s="7">
        <f>IF($U178="","",SUMIFS('Per Line'!$L$2:$L$1501,'Per Line'!$B$2:$B$1501,$A178,'Per Line'!$W$2:$W$1501,1))</f>
        <v/>
      </c>
      <c r="P178" s="7">
        <f>IF($U178="","",O178*N178)</f>
        <v/>
      </c>
      <c r="Q178" s="7">
        <f>IF($U178="","",P178+M178)</f>
        <v/>
      </c>
      <c r="R178" s="7">
        <f>IF($U178="","",S178-Q178)</f>
        <v/>
      </c>
      <c r="S178" s="7">
        <f>IF($U178="","",L178+O178)</f>
        <v/>
      </c>
      <c r="T178" s="7">
        <f>IF($U178="","",S178-Q178-H178)</f>
        <v/>
      </c>
      <c r="U178" s="16">
        <f>IF(ROWS($U$2:$U178)&lt;=MAX('Per Line'!$V$2:$V$1501),MATCH(ROWS($U$2:$U178),'Per Line'!$V$2:$V$1501,0),"")</f>
        <v/>
      </c>
      <c r="V178">
        <f>IF($U178="","",B178&amp;"|"&amp;COUNTIF($B$2:$B178,B178))</f>
        <v/>
      </c>
    </row>
    <row r="179">
      <c r="A179">
        <f>IF($U179="","",INDEX('Per Line'!$B$2:$B$1501,$U179)&amp;"")</f>
        <v/>
      </c>
      <c r="B179">
        <f>IF($U179="","","COPY "&amp;G179&amp;" %")</f>
        <v/>
      </c>
      <c r="C179" s="15" t="n"/>
      <c r="D179">
        <f>IF($U179="","",INDEX('Per Line'!$C$2:$C$1501,$U179)&amp;"")</f>
        <v/>
      </c>
      <c r="E179">
        <f>IF($U179="","",INDEX('Per Line'!$D$2:$D$1501,$U179)&amp;"")</f>
        <v/>
      </c>
      <c r="F179">
        <f>IF($U179="","",INDEX('Per Line'!$E$2:$E$1501,$U179)&amp;"")</f>
        <v/>
      </c>
      <c r="G179">
        <f>IF($U179="","",INDEX('Per Line'!$F$2:$F$1501,$U179))</f>
        <v/>
      </c>
      <c r="H179" s="7">
        <f>IF($U179="","",G179*S179/100)</f>
        <v/>
      </c>
      <c r="I179" s="14">
        <f>IF($U179="","",INDEX('Per Line'!$R$2:$R$1501,$U179))</f>
        <v/>
      </c>
      <c r="J179">
        <f>IF($U179="","",INDEX('Per Line'!$Q$2:$Q$1501,$U179)&amp;"")</f>
        <v/>
      </c>
      <c r="K179">
        <f>IF($U179="","",Settings!$C$7)</f>
        <v/>
      </c>
      <c r="L179" s="7">
        <f>IF($U179="","",SUMIFS('Per Line'!$L$2:$L$1501,'Per Line'!$B$2:$B$1501,$A179,'Per Line'!$W$2:$W$1501,0))</f>
        <v/>
      </c>
      <c r="M179" s="7">
        <f>IF($U179="","",L179*K179)</f>
        <v/>
      </c>
      <c r="N179">
        <f>IF($U179="","",Settings!$C$6)</f>
        <v/>
      </c>
      <c r="O179" s="7">
        <f>IF($U179="","",SUMIFS('Per Line'!$L$2:$L$1501,'Per Line'!$B$2:$B$1501,$A179,'Per Line'!$W$2:$W$1501,1))</f>
        <v/>
      </c>
      <c r="P179" s="7">
        <f>IF($U179="","",O179*N179)</f>
        <v/>
      </c>
      <c r="Q179" s="7">
        <f>IF($U179="","",P179+M179)</f>
        <v/>
      </c>
      <c r="R179" s="7">
        <f>IF($U179="","",S179-Q179)</f>
        <v/>
      </c>
      <c r="S179" s="7">
        <f>IF($U179="","",L179+O179)</f>
        <v/>
      </c>
      <c r="T179" s="7">
        <f>IF($U179="","",S179-Q179-H179)</f>
        <v/>
      </c>
      <c r="U179" s="16">
        <f>IF(ROWS($U$2:$U179)&lt;=MAX('Per Line'!$V$2:$V$1501),MATCH(ROWS($U$2:$U179),'Per Line'!$V$2:$V$1501,0),"")</f>
        <v/>
      </c>
      <c r="V179">
        <f>IF($U179="","",B179&amp;"|"&amp;COUNTIF($B$2:$B179,B179))</f>
        <v/>
      </c>
    </row>
    <row r="180">
      <c r="A180">
        <f>IF($U180="","",INDEX('Per Line'!$B$2:$B$1501,$U180)&amp;"")</f>
        <v/>
      </c>
      <c r="B180">
        <f>IF($U180="","","COPY "&amp;G180&amp;" %")</f>
        <v/>
      </c>
      <c r="C180" s="15" t="n"/>
      <c r="D180">
        <f>IF($U180="","",INDEX('Per Line'!$C$2:$C$1501,$U180)&amp;"")</f>
        <v/>
      </c>
      <c r="E180">
        <f>IF($U180="","",INDEX('Per Line'!$D$2:$D$1501,$U180)&amp;"")</f>
        <v/>
      </c>
      <c r="F180">
        <f>IF($U180="","",INDEX('Per Line'!$E$2:$E$1501,$U180)&amp;"")</f>
        <v/>
      </c>
      <c r="G180">
        <f>IF($U180="","",INDEX('Per Line'!$F$2:$F$1501,$U180))</f>
        <v/>
      </c>
      <c r="H180" s="7">
        <f>IF($U180="","",G180*S180/100)</f>
        <v/>
      </c>
      <c r="I180" s="14">
        <f>IF($U180="","",INDEX('Per Line'!$R$2:$R$1501,$U180))</f>
        <v/>
      </c>
      <c r="J180">
        <f>IF($U180="","",INDEX('Per Line'!$Q$2:$Q$1501,$U180)&amp;"")</f>
        <v/>
      </c>
      <c r="K180">
        <f>IF($U180="","",Settings!$C$7)</f>
        <v/>
      </c>
      <c r="L180" s="7">
        <f>IF($U180="","",SUMIFS('Per Line'!$L$2:$L$1501,'Per Line'!$B$2:$B$1501,$A180,'Per Line'!$W$2:$W$1501,0))</f>
        <v/>
      </c>
      <c r="M180" s="7">
        <f>IF($U180="","",L180*K180)</f>
        <v/>
      </c>
      <c r="N180">
        <f>IF($U180="","",Settings!$C$6)</f>
        <v/>
      </c>
      <c r="O180" s="7">
        <f>IF($U180="","",SUMIFS('Per Line'!$L$2:$L$1501,'Per Line'!$B$2:$B$1501,$A180,'Per Line'!$W$2:$W$1501,1))</f>
        <v/>
      </c>
      <c r="P180" s="7">
        <f>IF($U180="","",O180*N180)</f>
        <v/>
      </c>
      <c r="Q180" s="7">
        <f>IF($U180="","",P180+M180)</f>
        <v/>
      </c>
      <c r="R180" s="7">
        <f>IF($U180="","",S180-Q180)</f>
        <v/>
      </c>
      <c r="S180" s="7">
        <f>IF($U180="","",L180+O180)</f>
        <v/>
      </c>
      <c r="T180" s="7">
        <f>IF($U180="","",S180-Q180-H180)</f>
        <v/>
      </c>
      <c r="U180" s="16">
        <f>IF(ROWS($U$2:$U180)&lt;=MAX('Per Line'!$V$2:$V$1501),MATCH(ROWS($U$2:$U180),'Per Line'!$V$2:$V$1501,0),"")</f>
        <v/>
      </c>
      <c r="V180">
        <f>IF($U180="","",B180&amp;"|"&amp;COUNTIF($B$2:$B180,B180))</f>
        <v/>
      </c>
    </row>
    <row r="181">
      <c r="A181">
        <f>IF($U181="","",INDEX('Per Line'!$B$2:$B$1501,$U181)&amp;"")</f>
        <v/>
      </c>
      <c r="B181">
        <f>IF($U181="","","COPY "&amp;G181&amp;" %")</f>
        <v/>
      </c>
      <c r="C181" s="15" t="n"/>
      <c r="D181">
        <f>IF($U181="","",INDEX('Per Line'!$C$2:$C$1501,$U181)&amp;"")</f>
        <v/>
      </c>
      <c r="E181">
        <f>IF($U181="","",INDEX('Per Line'!$D$2:$D$1501,$U181)&amp;"")</f>
        <v/>
      </c>
      <c r="F181">
        <f>IF($U181="","",INDEX('Per Line'!$E$2:$E$1501,$U181)&amp;"")</f>
        <v/>
      </c>
      <c r="G181">
        <f>IF($U181="","",INDEX('Per Line'!$F$2:$F$1501,$U181))</f>
        <v/>
      </c>
      <c r="H181" s="7">
        <f>IF($U181="","",G181*S181/100)</f>
        <v/>
      </c>
      <c r="I181" s="14">
        <f>IF($U181="","",INDEX('Per Line'!$R$2:$R$1501,$U181))</f>
        <v/>
      </c>
      <c r="J181">
        <f>IF($U181="","",INDEX('Per Line'!$Q$2:$Q$1501,$U181)&amp;"")</f>
        <v/>
      </c>
      <c r="K181">
        <f>IF($U181="","",Settings!$C$7)</f>
        <v/>
      </c>
      <c r="L181" s="7">
        <f>IF($U181="","",SUMIFS('Per Line'!$L$2:$L$1501,'Per Line'!$B$2:$B$1501,$A181,'Per Line'!$W$2:$W$1501,0))</f>
        <v/>
      </c>
      <c r="M181" s="7">
        <f>IF($U181="","",L181*K181)</f>
        <v/>
      </c>
      <c r="N181">
        <f>IF($U181="","",Settings!$C$6)</f>
        <v/>
      </c>
      <c r="O181" s="7">
        <f>IF($U181="","",SUMIFS('Per Line'!$L$2:$L$1501,'Per Line'!$B$2:$B$1501,$A181,'Per Line'!$W$2:$W$1501,1))</f>
        <v/>
      </c>
      <c r="P181" s="7">
        <f>IF($U181="","",O181*N181)</f>
        <v/>
      </c>
      <c r="Q181" s="7">
        <f>IF($U181="","",P181+M181)</f>
        <v/>
      </c>
      <c r="R181" s="7">
        <f>IF($U181="","",S181-Q181)</f>
        <v/>
      </c>
      <c r="S181" s="7">
        <f>IF($U181="","",L181+O181)</f>
        <v/>
      </c>
      <c r="T181" s="7">
        <f>IF($U181="","",S181-Q181-H181)</f>
        <v/>
      </c>
      <c r="U181" s="16">
        <f>IF(ROWS($U$2:$U181)&lt;=MAX('Per Line'!$V$2:$V$1501),MATCH(ROWS($U$2:$U181),'Per Line'!$V$2:$V$1501,0),"")</f>
        <v/>
      </c>
      <c r="V181">
        <f>IF($U181="","",B181&amp;"|"&amp;COUNTIF($B$2:$B181,B181))</f>
        <v/>
      </c>
    </row>
    <row r="182">
      <c r="A182">
        <f>IF($U182="","",INDEX('Per Line'!$B$2:$B$1501,$U182)&amp;"")</f>
        <v/>
      </c>
      <c r="B182">
        <f>IF($U182="","","COPY "&amp;G182&amp;" %")</f>
        <v/>
      </c>
      <c r="C182" s="15" t="n"/>
      <c r="D182">
        <f>IF($U182="","",INDEX('Per Line'!$C$2:$C$1501,$U182)&amp;"")</f>
        <v/>
      </c>
      <c r="E182">
        <f>IF($U182="","",INDEX('Per Line'!$D$2:$D$1501,$U182)&amp;"")</f>
        <v/>
      </c>
      <c r="F182">
        <f>IF($U182="","",INDEX('Per Line'!$E$2:$E$1501,$U182)&amp;"")</f>
        <v/>
      </c>
      <c r="G182">
        <f>IF($U182="","",INDEX('Per Line'!$F$2:$F$1501,$U182))</f>
        <v/>
      </c>
      <c r="H182" s="7">
        <f>IF($U182="","",G182*S182/100)</f>
        <v/>
      </c>
      <c r="I182" s="14">
        <f>IF($U182="","",INDEX('Per Line'!$R$2:$R$1501,$U182))</f>
        <v/>
      </c>
      <c r="J182">
        <f>IF($U182="","",INDEX('Per Line'!$Q$2:$Q$1501,$U182)&amp;"")</f>
        <v/>
      </c>
      <c r="K182">
        <f>IF($U182="","",Settings!$C$7)</f>
        <v/>
      </c>
      <c r="L182" s="7">
        <f>IF($U182="","",SUMIFS('Per Line'!$L$2:$L$1501,'Per Line'!$B$2:$B$1501,$A182,'Per Line'!$W$2:$W$1501,0))</f>
        <v/>
      </c>
      <c r="M182" s="7">
        <f>IF($U182="","",L182*K182)</f>
        <v/>
      </c>
      <c r="N182">
        <f>IF($U182="","",Settings!$C$6)</f>
        <v/>
      </c>
      <c r="O182" s="7">
        <f>IF($U182="","",SUMIFS('Per Line'!$L$2:$L$1501,'Per Line'!$B$2:$B$1501,$A182,'Per Line'!$W$2:$W$1501,1))</f>
        <v/>
      </c>
      <c r="P182" s="7">
        <f>IF($U182="","",O182*N182)</f>
        <v/>
      </c>
      <c r="Q182" s="7">
        <f>IF($U182="","",P182+M182)</f>
        <v/>
      </c>
      <c r="R182" s="7">
        <f>IF($U182="","",S182-Q182)</f>
        <v/>
      </c>
      <c r="S182" s="7">
        <f>IF($U182="","",L182+O182)</f>
        <v/>
      </c>
      <c r="T182" s="7">
        <f>IF($U182="","",S182-Q182-H182)</f>
        <v/>
      </c>
      <c r="U182" s="16">
        <f>IF(ROWS($U$2:$U182)&lt;=MAX('Per Line'!$V$2:$V$1501),MATCH(ROWS($U$2:$U182),'Per Line'!$V$2:$V$1501,0),"")</f>
        <v/>
      </c>
      <c r="V182">
        <f>IF($U182="","",B182&amp;"|"&amp;COUNTIF($B$2:$B182,B182))</f>
        <v/>
      </c>
    </row>
    <row r="183">
      <c r="A183">
        <f>IF($U183="","",INDEX('Per Line'!$B$2:$B$1501,$U183)&amp;"")</f>
        <v/>
      </c>
      <c r="B183">
        <f>IF($U183="","","COPY "&amp;G183&amp;" %")</f>
        <v/>
      </c>
      <c r="C183" s="15" t="n"/>
      <c r="D183">
        <f>IF($U183="","",INDEX('Per Line'!$C$2:$C$1501,$U183)&amp;"")</f>
        <v/>
      </c>
      <c r="E183">
        <f>IF($U183="","",INDEX('Per Line'!$D$2:$D$1501,$U183)&amp;"")</f>
        <v/>
      </c>
      <c r="F183">
        <f>IF($U183="","",INDEX('Per Line'!$E$2:$E$1501,$U183)&amp;"")</f>
        <v/>
      </c>
      <c r="G183">
        <f>IF($U183="","",INDEX('Per Line'!$F$2:$F$1501,$U183))</f>
        <v/>
      </c>
      <c r="H183" s="7">
        <f>IF($U183="","",G183*S183/100)</f>
        <v/>
      </c>
      <c r="I183" s="14">
        <f>IF($U183="","",INDEX('Per Line'!$R$2:$R$1501,$U183))</f>
        <v/>
      </c>
      <c r="J183">
        <f>IF($U183="","",INDEX('Per Line'!$Q$2:$Q$1501,$U183)&amp;"")</f>
        <v/>
      </c>
      <c r="K183">
        <f>IF($U183="","",Settings!$C$7)</f>
        <v/>
      </c>
      <c r="L183" s="7">
        <f>IF($U183="","",SUMIFS('Per Line'!$L$2:$L$1501,'Per Line'!$B$2:$B$1501,$A183,'Per Line'!$W$2:$W$1501,0))</f>
        <v/>
      </c>
      <c r="M183" s="7">
        <f>IF($U183="","",L183*K183)</f>
        <v/>
      </c>
      <c r="N183">
        <f>IF($U183="","",Settings!$C$6)</f>
        <v/>
      </c>
      <c r="O183" s="7">
        <f>IF($U183="","",SUMIFS('Per Line'!$L$2:$L$1501,'Per Line'!$B$2:$B$1501,$A183,'Per Line'!$W$2:$W$1501,1))</f>
        <v/>
      </c>
      <c r="P183" s="7">
        <f>IF($U183="","",O183*N183)</f>
        <v/>
      </c>
      <c r="Q183" s="7">
        <f>IF($U183="","",P183+M183)</f>
        <v/>
      </c>
      <c r="R183" s="7">
        <f>IF($U183="","",S183-Q183)</f>
        <v/>
      </c>
      <c r="S183" s="7">
        <f>IF($U183="","",L183+O183)</f>
        <v/>
      </c>
      <c r="T183" s="7">
        <f>IF($U183="","",S183-Q183-H183)</f>
        <v/>
      </c>
      <c r="U183" s="16">
        <f>IF(ROWS($U$2:$U183)&lt;=MAX('Per Line'!$V$2:$V$1501),MATCH(ROWS($U$2:$U183),'Per Line'!$V$2:$V$1501,0),"")</f>
        <v/>
      </c>
      <c r="V183">
        <f>IF($U183="","",B183&amp;"|"&amp;COUNTIF($B$2:$B183,B183))</f>
        <v/>
      </c>
    </row>
    <row r="184">
      <c r="A184">
        <f>IF($U184="","",INDEX('Per Line'!$B$2:$B$1501,$U184)&amp;"")</f>
        <v/>
      </c>
      <c r="B184">
        <f>IF($U184="","","COPY "&amp;G184&amp;" %")</f>
        <v/>
      </c>
      <c r="C184" s="15" t="n"/>
      <c r="D184">
        <f>IF($U184="","",INDEX('Per Line'!$C$2:$C$1501,$U184)&amp;"")</f>
        <v/>
      </c>
      <c r="E184">
        <f>IF($U184="","",INDEX('Per Line'!$D$2:$D$1501,$U184)&amp;"")</f>
        <v/>
      </c>
      <c r="F184">
        <f>IF($U184="","",INDEX('Per Line'!$E$2:$E$1501,$U184)&amp;"")</f>
        <v/>
      </c>
      <c r="G184">
        <f>IF($U184="","",INDEX('Per Line'!$F$2:$F$1501,$U184))</f>
        <v/>
      </c>
      <c r="H184" s="7">
        <f>IF($U184="","",G184*S184/100)</f>
        <v/>
      </c>
      <c r="I184" s="14">
        <f>IF($U184="","",INDEX('Per Line'!$R$2:$R$1501,$U184))</f>
        <v/>
      </c>
      <c r="J184">
        <f>IF($U184="","",INDEX('Per Line'!$Q$2:$Q$1501,$U184)&amp;"")</f>
        <v/>
      </c>
      <c r="K184">
        <f>IF($U184="","",Settings!$C$7)</f>
        <v/>
      </c>
      <c r="L184" s="7">
        <f>IF($U184="","",SUMIFS('Per Line'!$L$2:$L$1501,'Per Line'!$B$2:$B$1501,$A184,'Per Line'!$W$2:$W$1501,0))</f>
        <v/>
      </c>
      <c r="M184" s="7">
        <f>IF($U184="","",L184*K184)</f>
        <v/>
      </c>
      <c r="N184">
        <f>IF($U184="","",Settings!$C$6)</f>
        <v/>
      </c>
      <c r="O184" s="7">
        <f>IF($U184="","",SUMIFS('Per Line'!$L$2:$L$1501,'Per Line'!$B$2:$B$1501,$A184,'Per Line'!$W$2:$W$1501,1))</f>
        <v/>
      </c>
      <c r="P184" s="7">
        <f>IF($U184="","",O184*N184)</f>
        <v/>
      </c>
      <c r="Q184" s="7">
        <f>IF($U184="","",P184+M184)</f>
        <v/>
      </c>
      <c r="R184" s="7">
        <f>IF($U184="","",S184-Q184)</f>
        <v/>
      </c>
      <c r="S184" s="7">
        <f>IF($U184="","",L184+O184)</f>
        <v/>
      </c>
      <c r="T184" s="7">
        <f>IF($U184="","",S184-Q184-H184)</f>
        <v/>
      </c>
      <c r="U184" s="16">
        <f>IF(ROWS($U$2:$U184)&lt;=MAX('Per Line'!$V$2:$V$1501),MATCH(ROWS($U$2:$U184),'Per Line'!$V$2:$V$1501,0),"")</f>
        <v/>
      </c>
      <c r="V184">
        <f>IF($U184="","",B184&amp;"|"&amp;COUNTIF($B$2:$B184,B184))</f>
        <v/>
      </c>
    </row>
    <row r="185">
      <c r="A185">
        <f>IF($U185="","",INDEX('Per Line'!$B$2:$B$1501,$U185)&amp;"")</f>
        <v/>
      </c>
      <c r="B185">
        <f>IF($U185="","","COPY "&amp;G185&amp;" %")</f>
        <v/>
      </c>
      <c r="C185" s="15" t="n"/>
      <c r="D185">
        <f>IF($U185="","",INDEX('Per Line'!$C$2:$C$1501,$U185)&amp;"")</f>
        <v/>
      </c>
      <c r="E185">
        <f>IF($U185="","",INDEX('Per Line'!$D$2:$D$1501,$U185)&amp;"")</f>
        <v/>
      </c>
      <c r="F185">
        <f>IF($U185="","",INDEX('Per Line'!$E$2:$E$1501,$U185)&amp;"")</f>
        <v/>
      </c>
      <c r="G185">
        <f>IF($U185="","",INDEX('Per Line'!$F$2:$F$1501,$U185))</f>
        <v/>
      </c>
      <c r="H185" s="7">
        <f>IF($U185="","",G185*S185/100)</f>
        <v/>
      </c>
      <c r="I185" s="14">
        <f>IF($U185="","",INDEX('Per Line'!$R$2:$R$1501,$U185))</f>
        <v/>
      </c>
      <c r="J185">
        <f>IF($U185="","",INDEX('Per Line'!$Q$2:$Q$1501,$U185)&amp;"")</f>
        <v/>
      </c>
      <c r="K185">
        <f>IF($U185="","",Settings!$C$7)</f>
        <v/>
      </c>
      <c r="L185" s="7">
        <f>IF($U185="","",SUMIFS('Per Line'!$L$2:$L$1501,'Per Line'!$B$2:$B$1501,$A185,'Per Line'!$W$2:$W$1501,0))</f>
        <v/>
      </c>
      <c r="M185" s="7">
        <f>IF($U185="","",L185*K185)</f>
        <v/>
      </c>
      <c r="N185">
        <f>IF($U185="","",Settings!$C$6)</f>
        <v/>
      </c>
      <c r="O185" s="7">
        <f>IF($U185="","",SUMIFS('Per Line'!$L$2:$L$1501,'Per Line'!$B$2:$B$1501,$A185,'Per Line'!$W$2:$W$1501,1))</f>
        <v/>
      </c>
      <c r="P185" s="7">
        <f>IF($U185="","",O185*N185)</f>
        <v/>
      </c>
      <c r="Q185" s="7">
        <f>IF($U185="","",P185+M185)</f>
        <v/>
      </c>
      <c r="R185" s="7">
        <f>IF($U185="","",S185-Q185)</f>
        <v/>
      </c>
      <c r="S185" s="7">
        <f>IF($U185="","",L185+O185)</f>
        <v/>
      </c>
      <c r="T185" s="7">
        <f>IF($U185="","",S185-Q185-H185)</f>
        <v/>
      </c>
      <c r="U185" s="16">
        <f>IF(ROWS($U$2:$U185)&lt;=MAX('Per Line'!$V$2:$V$1501),MATCH(ROWS($U$2:$U185),'Per Line'!$V$2:$V$1501,0),"")</f>
        <v/>
      </c>
      <c r="V185">
        <f>IF($U185="","",B185&amp;"|"&amp;COUNTIF($B$2:$B185,B185))</f>
        <v/>
      </c>
    </row>
    <row r="186">
      <c r="A186">
        <f>IF($U186="","",INDEX('Per Line'!$B$2:$B$1501,$U186)&amp;"")</f>
        <v/>
      </c>
      <c r="B186">
        <f>IF($U186="","","COPY "&amp;G186&amp;" %")</f>
        <v/>
      </c>
      <c r="C186" s="15" t="n"/>
      <c r="D186">
        <f>IF($U186="","",INDEX('Per Line'!$C$2:$C$1501,$U186)&amp;"")</f>
        <v/>
      </c>
      <c r="E186">
        <f>IF($U186="","",INDEX('Per Line'!$D$2:$D$1501,$U186)&amp;"")</f>
        <v/>
      </c>
      <c r="F186">
        <f>IF($U186="","",INDEX('Per Line'!$E$2:$E$1501,$U186)&amp;"")</f>
        <v/>
      </c>
      <c r="G186">
        <f>IF($U186="","",INDEX('Per Line'!$F$2:$F$1501,$U186))</f>
        <v/>
      </c>
      <c r="H186" s="7">
        <f>IF($U186="","",G186*S186/100)</f>
        <v/>
      </c>
      <c r="I186" s="14">
        <f>IF($U186="","",INDEX('Per Line'!$R$2:$R$1501,$U186))</f>
        <v/>
      </c>
      <c r="J186">
        <f>IF($U186="","",INDEX('Per Line'!$Q$2:$Q$1501,$U186)&amp;"")</f>
        <v/>
      </c>
      <c r="K186">
        <f>IF($U186="","",Settings!$C$7)</f>
        <v/>
      </c>
      <c r="L186" s="7">
        <f>IF($U186="","",SUMIFS('Per Line'!$L$2:$L$1501,'Per Line'!$B$2:$B$1501,$A186,'Per Line'!$W$2:$W$1501,0))</f>
        <v/>
      </c>
      <c r="M186" s="7">
        <f>IF($U186="","",L186*K186)</f>
        <v/>
      </c>
      <c r="N186">
        <f>IF($U186="","",Settings!$C$6)</f>
        <v/>
      </c>
      <c r="O186" s="7">
        <f>IF($U186="","",SUMIFS('Per Line'!$L$2:$L$1501,'Per Line'!$B$2:$B$1501,$A186,'Per Line'!$W$2:$W$1501,1))</f>
        <v/>
      </c>
      <c r="P186" s="7">
        <f>IF($U186="","",O186*N186)</f>
        <v/>
      </c>
      <c r="Q186" s="7">
        <f>IF($U186="","",P186+M186)</f>
        <v/>
      </c>
      <c r="R186" s="7">
        <f>IF($U186="","",S186-Q186)</f>
        <v/>
      </c>
      <c r="S186" s="7">
        <f>IF($U186="","",L186+O186)</f>
        <v/>
      </c>
      <c r="T186" s="7">
        <f>IF($U186="","",S186-Q186-H186)</f>
        <v/>
      </c>
      <c r="U186" s="16">
        <f>IF(ROWS($U$2:$U186)&lt;=MAX('Per Line'!$V$2:$V$1501),MATCH(ROWS($U$2:$U186),'Per Line'!$V$2:$V$1501,0),"")</f>
        <v/>
      </c>
      <c r="V186">
        <f>IF($U186="","",B186&amp;"|"&amp;COUNTIF($B$2:$B186,B186))</f>
        <v/>
      </c>
    </row>
    <row r="187">
      <c r="A187">
        <f>IF($U187="","",INDEX('Per Line'!$B$2:$B$1501,$U187)&amp;"")</f>
        <v/>
      </c>
      <c r="B187">
        <f>IF($U187="","","COPY "&amp;G187&amp;" %")</f>
        <v/>
      </c>
      <c r="C187" s="15" t="n"/>
      <c r="D187">
        <f>IF($U187="","",INDEX('Per Line'!$C$2:$C$1501,$U187)&amp;"")</f>
        <v/>
      </c>
      <c r="E187">
        <f>IF($U187="","",INDEX('Per Line'!$D$2:$D$1501,$U187)&amp;"")</f>
        <v/>
      </c>
      <c r="F187">
        <f>IF($U187="","",INDEX('Per Line'!$E$2:$E$1501,$U187)&amp;"")</f>
        <v/>
      </c>
      <c r="G187">
        <f>IF($U187="","",INDEX('Per Line'!$F$2:$F$1501,$U187))</f>
        <v/>
      </c>
      <c r="H187" s="7">
        <f>IF($U187="","",G187*S187/100)</f>
        <v/>
      </c>
      <c r="I187" s="14">
        <f>IF($U187="","",INDEX('Per Line'!$R$2:$R$1501,$U187))</f>
        <v/>
      </c>
      <c r="J187">
        <f>IF($U187="","",INDEX('Per Line'!$Q$2:$Q$1501,$U187)&amp;"")</f>
        <v/>
      </c>
      <c r="K187">
        <f>IF($U187="","",Settings!$C$7)</f>
        <v/>
      </c>
      <c r="L187" s="7">
        <f>IF($U187="","",SUMIFS('Per Line'!$L$2:$L$1501,'Per Line'!$B$2:$B$1501,$A187,'Per Line'!$W$2:$W$1501,0))</f>
        <v/>
      </c>
      <c r="M187" s="7">
        <f>IF($U187="","",L187*K187)</f>
        <v/>
      </c>
      <c r="N187">
        <f>IF($U187="","",Settings!$C$6)</f>
        <v/>
      </c>
      <c r="O187" s="7">
        <f>IF($U187="","",SUMIFS('Per Line'!$L$2:$L$1501,'Per Line'!$B$2:$B$1501,$A187,'Per Line'!$W$2:$W$1501,1))</f>
        <v/>
      </c>
      <c r="P187" s="7">
        <f>IF($U187="","",O187*N187)</f>
        <v/>
      </c>
      <c r="Q187" s="7">
        <f>IF($U187="","",P187+M187)</f>
        <v/>
      </c>
      <c r="R187" s="7">
        <f>IF($U187="","",S187-Q187)</f>
        <v/>
      </c>
      <c r="S187" s="7">
        <f>IF($U187="","",L187+O187)</f>
        <v/>
      </c>
      <c r="T187" s="7">
        <f>IF($U187="","",S187-Q187-H187)</f>
        <v/>
      </c>
      <c r="U187" s="16">
        <f>IF(ROWS($U$2:$U187)&lt;=MAX('Per Line'!$V$2:$V$1501),MATCH(ROWS($U$2:$U187),'Per Line'!$V$2:$V$1501,0),"")</f>
        <v/>
      </c>
      <c r="V187">
        <f>IF($U187="","",B187&amp;"|"&amp;COUNTIF($B$2:$B187,B187))</f>
        <v/>
      </c>
    </row>
    <row r="188">
      <c r="A188">
        <f>IF($U188="","",INDEX('Per Line'!$B$2:$B$1501,$U188)&amp;"")</f>
        <v/>
      </c>
      <c r="B188">
        <f>IF($U188="","","COPY "&amp;G188&amp;" %")</f>
        <v/>
      </c>
      <c r="C188" s="15" t="n"/>
      <c r="D188">
        <f>IF($U188="","",INDEX('Per Line'!$C$2:$C$1501,$U188)&amp;"")</f>
        <v/>
      </c>
      <c r="E188">
        <f>IF($U188="","",INDEX('Per Line'!$D$2:$D$1501,$U188)&amp;"")</f>
        <v/>
      </c>
      <c r="F188">
        <f>IF($U188="","",INDEX('Per Line'!$E$2:$E$1501,$U188)&amp;"")</f>
        <v/>
      </c>
      <c r="G188">
        <f>IF($U188="","",INDEX('Per Line'!$F$2:$F$1501,$U188))</f>
        <v/>
      </c>
      <c r="H188" s="7">
        <f>IF($U188="","",G188*S188/100)</f>
        <v/>
      </c>
      <c r="I188" s="14">
        <f>IF($U188="","",INDEX('Per Line'!$R$2:$R$1501,$U188))</f>
        <v/>
      </c>
      <c r="J188">
        <f>IF($U188="","",INDEX('Per Line'!$Q$2:$Q$1501,$U188)&amp;"")</f>
        <v/>
      </c>
      <c r="K188">
        <f>IF($U188="","",Settings!$C$7)</f>
        <v/>
      </c>
      <c r="L188" s="7">
        <f>IF($U188="","",SUMIFS('Per Line'!$L$2:$L$1501,'Per Line'!$B$2:$B$1501,$A188,'Per Line'!$W$2:$W$1501,0))</f>
        <v/>
      </c>
      <c r="M188" s="7">
        <f>IF($U188="","",L188*K188)</f>
        <v/>
      </c>
      <c r="N188">
        <f>IF($U188="","",Settings!$C$6)</f>
        <v/>
      </c>
      <c r="O188" s="7">
        <f>IF($U188="","",SUMIFS('Per Line'!$L$2:$L$1501,'Per Line'!$B$2:$B$1501,$A188,'Per Line'!$W$2:$W$1501,1))</f>
        <v/>
      </c>
      <c r="P188" s="7">
        <f>IF($U188="","",O188*N188)</f>
        <v/>
      </c>
      <c r="Q188" s="7">
        <f>IF($U188="","",P188+M188)</f>
        <v/>
      </c>
      <c r="R188" s="7">
        <f>IF($U188="","",S188-Q188)</f>
        <v/>
      </c>
      <c r="S188" s="7">
        <f>IF($U188="","",L188+O188)</f>
        <v/>
      </c>
      <c r="T188" s="7">
        <f>IF($U188="","",S188-Q188-H188)</f>
        <v/>
      </c>
      <c r="U188" s="16">
        <f>IF(ROWS($U$2:$U188)&lt;=MAX('Per Line'!$V$2:$V$1501),MATCH(ROWS($U$2:$U188),'Per Line'!$V$2:$V$1501,0),"")</f>
        <v/>
      </c>
      <c r="V188">
        <f>IF($U188="","",B188&amp;"|"&amp;COUNTIF($B$2:$B188,B188))</f>
        <v/>
      </c>
    </row>
    <row r="189">
      <c r="A189">
        <f>IF($U189="","",INDEX('Per Line'!$B$2:$B$1501,$U189)&amp;"")</f>
        <v/>
      </c>
      <c r="B189">
        <f>IF($U189="","","COPY "&amp;G189&amp;" %")</f>
        <v/>
      </c>
      <c r="C189" s="15" t="n"/>
      <c r="D189">
        <f>IF($U189="","",INDEX('Per Line'!$C$2:$C$1501,$U189)&amp;"")</f>
        <v/>
      </c>
      <c r="E189">
        <f>IF($U189="","",INDEX('Per Line'!$D$2:$D$1501,$U189)&amp;"")</f>
        <v/>
      </c>
      <c r="F189">
        <f>IF($U189="","",INDEX('Per Line'!$E$2:$E$1501,$U189)&amp;"")</f>
        <v/>
      </c>
      <c r="G189">
        <f>IF($U189="","",INDEX('Per Line'!$F$2:$F$1501,$U189))</f>
        <v/>
      </c>
      <c r="H189" s="7">
        <f>IF($U189="","",G189*S189/100)</f>
        <v/>
      </c>
      <c r="I189" s="14">
        <f>IF($U189="","",INDEX('Per Line'!$R$2:$R$1501,$U189))</f>
        <v/>
      </c>
      <c r="J189">
        <f>IF($U189="","",INDEX('Per Line'!$Q$2:$Q$1501,$U189)&amp;"")</f>
        <v/>
      </c>
      <c r="K189">
        <f>IF($U189="","",Settings!$C$7)</f>
        <v/>
      </c>
      <c r="L189" s="7">
        <f>IF($U189="","",SUMIFS('Per Line'!$L$2:$L$1501,'Per Line'!$B$2:$B$1501,$A189,'Per Line'!$W$2:$W$1501,0))</f>
        <v/>
      </c>
      <c r="M189" s="7">
        <f>IF($U189="","",L189*K189)</f>
        <v/>
      </c>
      <c r="N189">
        <f>IF($U189="","",Settings!$C$6)</f>
        <v/>
      </c>
      <c r="O189" s="7">
        <f>IF($U189="","",SUMIFS('Per Line'!$L$2:$L$1501,'Per Line'!$B$2:$B$1501,$A189,'Per Line'!$W$2:$W$1501,1))</f>
        <v/>
      </c>
      <c r="P189" s="7">
        <f>IF($U189="","",O189*N189)</f>
        <v/>
      </c>
      <c r="Q189" s="7">
        <f>IF($U189="","",P189+M189)</f>
        <v/>
      </c>
      <c r="R189" s="7">
        <f>IF($U189="","",S189-Q189)</f>
        <v/>
      </c>
      <c r="S189" s="7">
        <f>IF($U189="","",L189+O189)</f>
        <v/>
      </c>
      <c r="T189" s="7">
        <f>IF($U189="","",S189-Q189-H189)</f>
        <v/>
      </c>
      <c r="U189" s="16">
        <f>IF(ROWS($U$2:$U189)&lt;=MAX('Per Line'!$V$2:$V$1501),MATCH(ROWS($U$2:$U189),'Per Line'!$V$2:$V$1501,0),"")</f>
        <v/>
      </c>
      <c r="V189">
        <f>IF($U189="","",B189&amp;"|"&amp;COUNTIF($B$2:$B189,B189))</f>
        <v/>
      </c>
    </row>
    <row r="190">
      <c r="A190">
        <f>IF($U190="","",INDEX('Per Line'!$B$2:$B$1501,$U190)&amp;"")</f>
        <v/>
      </c>
      <c r="B190">
        <f>IF($U190="","","COPY "&amp;G190&amp;" %")</f>
        <v/>
      </c>
      <c r="C190" s="15" t="n"/>
      <c r="D190">
        <f>IF($U190="","",INDEX('Per Line'!$C$2:$C$1501,$U190)&amp;"")</f>
        <v/>
      </c>
      <c r="E190">
        <f>IF($U190="","",INDEX('Per Line'!$D$2:$D$1501,$U190)&amp;"")</f>
        <v/>
      </c>
      <c r="F190">
        <f>IF($U190="","",INDEX('Per Line'!$E$2:$E$1501,$U190)&amp;"")</f>
        <v/>
      </c>
      <c r="G190">
        <f>IF($U190="","",INDEX('Per Line'!$F$2:$F$1501,$U190))</f>
        <v/>
      </c>
      <c r="H190" s="7">
        <f>IF($U190="","",G190*S190/100)</f>
        <v/>
      </c>
      <c r="I190" s="14">
        <f>IF($U190="","",INDEX('Per Line'!$R$2:$R$1501,$U190))</f>
        <v/>
      </c>
      <c r="J190">
        <f>IF($U190="","",INDEX('Per Line'!$Q$2:$Q$1501,$U190)&amp;"")</f>
        <v/>
      </c>
      <c r="K190">
        <f>IF($U190="","",Settings!$C$7)</f>
        <v/>
      </c>
      <c r="L190" s="7">
        <f>IF($U190="","",SUMIFS('Per Line'!$L$2:$L$1501,'Per Line'!$B$2:$B$1501,$A190,'Per Line'!$W$2:$W$1501,0))</f>
        <v/>
      </c>
      <c r="M190" s="7">
        <f>IF($U190="","",L190*K190)</f>
        <v/>
      </c>
      <c r="N190">
        <f>IF($U190="","",Settings!$C$6)</f>
        <v/>
      </c>
      <c r="O190" s="7">
        <f>IF($U190="","",SUMIFS('Per Line'!$L$2:$L$1501,'Per Line'!$B$2:$B$1501,$A190,'Per Line'!$W$2:$W$1501,1))</f>
        <v/>
      </c>
      <c r="P190" s="7">
        <f>IF($U190="","",O190*N190)</f>
        <v/>
      </c>
      <c r="Q190" s="7">
        <f>IF($U190="","",P190+M190)</f>
        <v/>
      </c>
      <c r="R190" s="7">
        <f>IF($U190="","",S190-Q190)</f>
        <v/>
      </c>
      <c r="S190" s="7">
        <f>IF($U190="","",L190+O190)</f>
        <v/>
      </c>
      <c r="T190" s="7">
        <f>IF($U190="","",S190-Q190-H190)</f>
        <v/>
      </c>
      <c r="U190" s="16">
        <f>IF(ROWS($U$2:$U190)&lt;=MAX('Per Line'!$V$2:$V$1501),MATCH(ROWS($U$2:$U190),'Per Line'!$V$2:$V$1501,0),"")</f>
        <v/>
      </c>
      <c r="V190">
        <f>IF($U190="","",B190&amp;"|"&amp;COUNTIF($B$2:$B190,B190))</f>
        <v/>
      </c>
    </row>
    <row r="191">
      <c r="A191">
        <f>IF($U191="","",INDEX('Per Line'!$B$2:$B$1501,$U191)&amp;"")</f>
        <v/>
      </c>
      <c r="B191">
        <f>IF($U191="","","COPY "&amp;G191&amp;" %")</f>
        <v/>
      </c>
      <c r="C191" s="15" t="n"/>
      <c r="D191">
        <f>IF($U191="","",INDEX('Per Line'!$C$2:$C$1501,$U191)&amp;"")</f>
        <v/>
      </c>
      <c r="E191">
        <f>IF($U191="","",INDEX('Per Line'!$D$2:$D$1501,$U191)&amp;"")</f>
        <v/>
      </c>
      <c r="F191">
        <f>IF($U191="","",INDEX('Per Line'!$E$2:$E$1501,$U191)&amp;"")</f>
        <v/>
      </c>
      <c r="G191">
        <f>IF($U191="","",INDEX('Per Line'!$F$2:$F$1501,$U191))</f>
        <v/>
      </c>
      <c r="H191" s="7">
        <f>IF($U191="","",G191*S191/100)</f>
        <v/>
      </c>
      <c r="I191" s="14">
        <f>IF($U191="","",INDEX('Per Line'!$R$2:$R$1501,$U191))</f>
        <v/>
      </c>
      <c r="J191">
        <f>IF($U191="","",INDEX('Per Line'!$Q$2:$Q$1501,$U191)&amp;"")</f>
        <v/>
      </c>
      <c r="K191">
        <f>IF($U191="","",Settings!$C$7)</f>
        <v/>
      </c>
      <c r="L191" s="7">
        <f>IF($U191="","",SUMIFS('Per Line'!$L$2:$L$1501,'Per Line'!$B$2:$B$1501,$A191,'Per Line'!$W$2:$W$1501,0))</f>
        <v/>
      </c>
      <c r="M191" s="7">
        <f>IF($U191="","",L191*K191)</f>
        <v/>
      </c>
      <c r="N191">
        <f>IF($U191="","",Settings!$C$6)</f>
        <v/>
      </c>
      <c r="O191" s="7">
        <f>IF($U191="","",SUMIFS('Per Line'!$L$2:$L$1501,'Per Line'!$B$2:$B$1501,$A191,'Per Line'!$W$2:$W$1501,1))</f>
        <v/>
      </c>
      <c r="P191" s="7">
        <f>IF($U191="","",O191*N191)</f>
        <v/>
      </c>
      <c r="Q191" s="7">
        <f>IF($U191="","",P191+M191)</f>
        <v/>
      </c>
      <c r="R191" s="7">
        <f>IF($U191="","",S191-Q191)</f>
        <v/>
      </c>
      <c r="S191" s="7">
        <f>IF($U191="","",L191+O191)</f>
        <v/>
      </c>
      <c r="T191" s="7">
        <f>IF($U191="","",S191-Q191-H191)</f>
        <v/>
      </c>
      <c r="U191" s="16">
        <f>IF(ROWS($U$2:$U191)&lt;=MAX('Per Line'!$V$2:$V$1501),MATCH(ROWS($U$2:$U191),'Per Line'!$V$2:$V$1501,0),"")</f>
        <v/>
      </c>
      <c r="V191">
        <f>IF($U191="","",B191&amp;"|"&amp;COUNTIF($B$2:$B191,B191))</f>
        <v/>
      </c>
    </row>
    <row r="192">
      <c r="A192">
        <f>IF($U192="","",INDEX('Per Line'!$B$2:$B$1501,$U192)&amp;"")</f>
        <v/>
      </c>
      <c r="B192">
        <f>IF($U192="","","COPY "&amp;G192&amp;" %")</f>
        <v/>
      </c>
      <c r="C192" s="15" t="n"/>
      <c r="D192">
        <f>IF($U192="","",INDEX('Per Line'!$C$2:$C$1501,$U192)&amp;"")</f>
        <v/>
      </c>
      <c r="E192">
        <f>IF($U192="","",INDEX('Per Line'!$D$2:$D$1501,$U192)&amp;"")</f>
        <v/>
      </c>
      <c r="F192">
        <f>IF($U192="","",INDEX('Per Line'!$E$2:$E$1501,$U192)&amp;"")</f>
        <v/>
      </c>
      <c r="G192">
        <f>IF($U192="","",INDEX('Per Line'!$F$2:$F$1501,$U192))</f>
        <v/>
      </c>
      <c r="H192" s="7">
        <f>IF($U192="","",G192*S192/100)</f>
        <v/>
      </c>
      <c r="I192" s="14">
        <f>IF($U192="","",INDEX('Per Line'!$R$2:$R$1501,$U192))</f>
        <v/>
      </c>
      <c r="J192">
        <f>IF($U192="","",INDEX('Per Line'!$Q$2:$Q$1501,$U192)&amp;"")</f>
        <v/>
      </c>
      <c r="K192">
        <f>IF($U192="","",Settings!$C$7)</f>
        <v/>
      </c>
      <c r="L192" s="7">
        <f>IF($U192="","",SUMIFS('Per Line'!$L$2:$L$1501,'Per Line'!$B$2:$B$1501,$A192,'Per Line'!$W$2:$W$1501,0))</f>
        <v/>
      </c>
      <c r="M192" s="7">
        <f>IF($U192="","",L192*K192)</f>
        <v/>
      </c>
      <c r="N192">
        <f>IF($U192="","",Settings!$C$6)</f>
        <v/>
      </c>
      <c r="O192" s="7">
        <f>IF($U192="","",SUMIFS('Per Line'!$L$2:$L$1501,'Per Line'!$B$2:$B$1501,$A192,'Per Line'!$W$2:$W$1501,1))</f>
        <v/>
      </c>
      <c r="P192" s="7">
        <f>IF($U192="","",O192*N192)</f>
        <v/>
      </c>
      <c r="Q192" s="7">
        <f>IF($U192="","",P192+M192)</f>
        <v/>
      </c>
      <c r="R192" s="7">
        <f>IF($U192="","",S192-Q192)</f>
        <v/>
      </c>
      <c r="S192" s="7">
        <f>IF($U192="","",L192+O192)</f>
        <v/>
      </c>
      <c r="T192" s="7">
        <f>IF($U192="","",S192-Q192-H192)</f>
        <v/>
      </c>
      <c r="U192" s="16">
        <f>IF(ROWS($U$2:$U192)&lt;=MAX('Per Line'!$V$2:$V$1501),MATCH(ROWS($U$2:$U192),'Per Line'!$V$2:$V$1501,0),"")</f>
        <v/>
      </c>
      <c r="V192">
        <f>IF($U192="","",B192&amp;"|"&amp;COUNTIF($B$2:$B192,B192))</f>
        <v/>
      </c>
    </row>
    <row r="193">
      <c r="A193">
        <f>IF($U193="","",INDEX('Per Line'!$B$2:$B$1501,$U193)&amp;"")</f>
        <v/>
      </c>
      <c r="B193">
        <f>IF($U193="","","COPY "&amp;G193&amp;" %")</f>
        <v/>
      </c>
      <c r="C193" s="15" t="n"/>
      <c r="D193">
        <f>IF($U193="","",INDEX('Per Line'!$C$2:$C$1501,$U193)&amp;"")</f>
        <v/>
      </c>
      <c r="E193">
        <f>IF($U193="","",INDEX('Per Line'!$D$2:$D$1501,$U193)&amp;"")</f>
        <v/>
      </c>
      <c r="F193">
        <f>IF($U193="","",INDEX('Per Line'!$E$2:$E$1501,$U193)&amp;"")</f>
        <v/>
      </c>
      <c r="G193">
        <f>IF($U193="","",INDEX('Per Line'!$F$2:$F$1501,$U193))</f>
        <v/>
      </c>
      <c r="H193" s="7">
        <f>IF($U193="","",G193*S193/100)</f>
        <v/>
      </c>
      <c r="I193" s="14">
        <f>IF($U193="","",INDEX('Per Line'!$R$2:$R$1501,$U193))</f>
        <v/>
      </c>
      <c r="J193">
        <f>IF($U193="","",INDEX('Per Line'!$Q$2:$Q$1501,$U193)&amp;"")</f>
        <v/>
      </c>
      <c r="K193">
        <f>IF($U193="","",Settings!$C$7)</f>
        <v/>
      </c>
      <c r="L193" s="7">
        <f>IF($U193="","",SUMIFS('Per Line'!$L$2:$L$1501,'Per Line'!$B$2:$B$1501,$A193,'Per Line'!$W$2:$W$1501,0))</f>
        <v/>
      </c>
      <c r="M193" s="7">
        <f>IF($U193="","",L193*K193)</f>
        <v/>
      </c>
      <c r="N193">
        <f>IF($U193="","",Settings!$C$6)</f>
        <v/>
      </c>
      <c r="O193" s="7">
        <f>IF($U193="","",SUMIFS('Per Line'!$L$2:$L$1501,'Per Line'!$B$2:$B$1501,$A193,'Per Line'!$W$2:$W$1501,1))</f>
        <v/>
      </c>
      <c r="P193" s="7">
        <f>IF($U193="","",O193*N193)</f>
        <v/>
      </c>
      <c r="Q193" s="7">
        <f>IF($U193="","",P193+M193)</f>
        <v/>
      </c>
      <c r="R193" s="7">
        <f>IF($U193="","",S193-Q193)</f>
        <v/>
      </c>
      <c r="S193" s="7">
        <f>IF($U193="","",L193+O193)</f>
        <v/>
      </c>
      <c r="T193" s="7">
        <f>IF($U193="","",S193-Q193-H193)</f>
        <v/>
      </c>
      <c r="U193" s="16">
        <f>IF(ROWS($U$2:$U193)&lt;=MAX('Per Line'!$V$2:$V$1501),MATCH(ROWS($U$2:$U193),'Per Line'!$V$2:$V$1501,0),"")</f>
        <v/>
      </c>
      <c r="V193">
        <f>IF($U193="","",B193&amp;"|"&amp;COUNTIF($B$2:$B193,B193))</f>
        <v/>
      </c>
    </row>
    <row r="194">
      <c r="A194">
        <f>IF($U194="","",INDEX('Per Line'!$B$2:$B$1501,$U194)&amp;"")</f>
        <v/>
      </c>
      <c r="B194">
        <f>IF($U194="","","COPY "&amp;G194&amp;" %")</f>
        <v/>
      </c>
      <c r="C194" s="15" t="n"/>
      <c r="D194">
        <f>IF($U194="","",INDEX('Per Line'!$C$2:$C$1501,$U194)&amp;"")</f>
        <v/>
      </c>
      <c r="E194">
        <f>IF($U194="","",INDEX('Per Line'!$D$2:$D$1501,$U194)&amp;"")</f>
        <v/>
      </c>
      <c r="F194">
        <f>IF($U194="","",INDEX('Per Line'!$E$2:$E$1501,$U194)&amp;"")</f>
        <v/>
      </c>
      <c r="G194">
        <f>IF($U194="","",INDEX('Per Line'!$F$2:$F$1501,$U194))</f>
        <v/>
      </c>
      <c r="H194" s="7">
        <f>IF($U194="","",G194*S194/100)</f>
        <v/>
      </c>
      <c r="I194" s="14">
        <f>IF($U194="","",INDEX('Per Line'!$R$2:$R$1501,$U194))</f>
        <v/>
      </c>
      <c r="J194">
        <f>IF($U194="","",INDEX('Per Line'!$Q$2:$Q$1501,$U194)&amp;"")</f>
        <v/>
      </c>
      <c r="K194">
        <f>IF($U194="","",Settings!$C$7)</f>
        <v/>
      </c>
      <c r="L194" s="7">
        <f>IF($U194="","",SUMIFS('Per Line'!$L$2:$L$1501,'Per Line'!$B$2:$B$1501,$A194,'Per Line'!$W$2:$W$1501,0))</f>
        <v/>
      </c>
      <c r="M194" s="7">
        <f>IF($U194="","",L194*K194)</f>
        <v/>
      </c>
      <c r="N194">
        <f>IF($U194="","",Settings!$C$6)</f>
        <v/>
      </c>
      <c r="O194" s="7">
        <f>IF($U194="","",SUMIFS('Per Line'!$L$2:$L$1501,'Per Line'!$B$2:$B$1501,$A194,'Per Line'!$W$2:$W$1501,1))</f>
        <v/>
      </c>
      <c r="P194" s="7">
        <f>IF($U194="","",O194*N194)</f>
        <v/>
      </c>
      <c r="Q194" s="7">
        <f>IF($U194="","",P194+M194)</f>
        <v/>
      </c>
      <c r="R194" s="7">
        <f>IF($U194="","",S194-Q194)</f>
        <v/>
      </c>
      <c r="S194" s="7">
        <f>IF($U194="","",L194+O194)</f>
        <v/>
      </c>
      <c r="T194" s="7">
        <f>IF($U194="","",S194-Q194-H194)</f>
        <v/>
      </c>
      <c r="U194" s="16">
        <f>IF(ROWS($U$2:$U194)&lt;=MAX('Per Line'!$V$2:$V$1501),MATCH(ROWS($U$2:$U194),'Per Line'!$V$2:$V$1501,0),"")</f>
        <v/>
      </c>
      <c r="V194">
        <f>IF($U194="","",B194&amp;"|"&amp;COUNTIF($B$2:$B194,B194))</f>
        <v/>
      </c>
    </row>
    <row r="195">
      <c r="A195">
        <f>IF($U195="","",INDEX('Per Line'!$B$2:$B$1501,$U195)&amp;"")</f>
        <v/>
      </c>
      <c r="B195">
        <f>IF($U195="","","COPY "&amp;G195&amp;" %")</f>
        <v/>
      </c>
      <c r="C195" s="15" t="n"/>
      <c r="D195">
        <f>IF($U195="","",INDEX('Per Line'!$C$2:$C$1501,$U195)&amp;"")</f>
        <v/>
      </c>
      <c r="E195">
        <f>IF($U195="","",INDEX('Per Line'!$D$2:$D$1501,$U195)&amp;"")</f>
        <v/>
      </c>
      <c r="F195">
        <f>IF($U195="","",INDEX('Per Line'!$E$2:$E$1501,$U195)&amp;"")</f>
        <v/>
      </c>
      <c r="G195">
        <f>IF($U195="","",INDEX('Per Line'!$F$2:$F$1501,$U195))</f>
        <v/>
      </c>
      <c r="H195" s="7">
        <f>IF($U195="","",G195*S195/100)</f>
        <v/>
      </c>
      <c r="I195" s="14">
        <f>IF($U195="","",INDEX('Per Line'!$R$2:$R$1501,$U195))</f>
        <v/>
      </c>
      <c r="J195">
        <f>IF($U195="","",INDEX('Per Line'!$Q$2:$Q$1501,$U195)&amp;"")</f>
        <v/>
      </c>
      <c r="K195">
        <f>IF($U195="","",Settings!$C$7)</f>
        <v/>
      </c>
      <c r="L195" s="7">
        <f>IF($U195="","",SUMIFS('Per Line'!$L$2:$L$1501,'Per Line'!$B$2:$B$1501,$A195,'Per Line'!$W$2:$W$1501,0))</f>
        <v/>
      </c>
      <c r="M195" s="7">
        <f>IF($U195="","",L195*K195)</f>
        <v/>
      </c>
      <c r="N195">
        <f>IF($U195="","",Settings!$C$6)</f>
        <v/>
      </c>
      <c r="O195" s="7">
        <f>IF($U195="","",SUMIFS('Per Line'!$L$2:$L$1501,'Per Line'!$B$2:$B$1501,$A195,'Per Line'!$W$2:$W$1501,1))</f>
        <v/>
      </c>
      <c r="P195" s="7">
        <f>IF($U195="","",O195*N195)</f>
        <v/>
      </c>
      <c r="Q195" s="7">
        <f>IF($U195="","",P195+M195)</f>
        <v/>
      </c>
      <c r="R195" s="7">
        <f>IF($U195="","",S195-Q195)</f>
        <v/>
      </c>
      <c r="S195" s="7">
        <f>IF($U195="","",L195+O195)</f>
        <v/>
      </c>
      <c r="T195" s="7">
        <f>IF($U195="","",S195-Q195-H195)</f>
        <v/>
      </c>
      <c r="U195" s="16">
        <f>IF(ROWS($U$2:$U195)&lt;=MAX('Per Line'!$V$2:$V$1501),MATCH(ROWS($U$2:$U195),'Per Line'!$V$2:$V$1501,0),"")</f>
        <v/>
      </c>
      <c r="V195">
        <f>IF($U195="","",B195&amp;"|"&amp;COUNTIF($B$2:$B195,B195))</f>
        <v/>
      </c>
    </row>
    <row r="196">
      <c r="A196">
        <f>IF($U196="","",INDEX('Per Line'!$B$2:$B$1501,$U196)&amp;"")</f>
        <v/>
      </c>
      <c r="B196">
        <f>IF($U196="","","COPY "&amp;G196&amp;" %")</f>
        <v/>
      </c>
      <c r="C196" s="15" t="n"/>
      <c r="D196">
        <f>IF($U196="","",INDEX('Per Line'!$C$2:$C$1501,$U196)&amp;"")</f>
        <v/>
      </c>
      <c r="E196">
        <f>IF($U196="","",INDEX('Per Line'!$D$2:$D$1501,$U196)&amp;"")</f>
        <v/>
      </c>
      <c r="F196">
        <f>IF($U196="","",INDEX('Per Line'!$E$2:$E$1501,$U196)&amp;"")</f>
        <v/>
      </c>
      <c r="G196">
        <f>IF($U196="","",INDEX('Per Line'!$F$2:$F$1501,$U196))</f>
        <v/>
      </c>
      <c r="H196" s="7">
        <f>IF($U196="","",G196*S196/100)</f>
        <v/>
      </c>
      <c r="I196" s="14">
        <f>IF($U196="","",INDEX('Per Line'!$R$2:$R$1501,$U196))</f>
        <v/>
      </c>
      <c r="J196">
        <f>IF($U196="","",INDEX('Per Line'!$Q$2:$Q$1501,$U196)&amp;"")</f>
        <v/>
      </c>
      <c r="K196">
        <f>IF($U196="","",Settings!$C$7)</f>
        <v/>
      </c>
      <c r="L196" s="7">
        <f>IF($U196="","",SUMIFS('Per Line'!$L$2:$L$1501,'Per Line'!$B$2:$B$1501,$A196,'Per Line'!$W$2:$W$1501,0))</f>
        <v/>
      </c>
      <c r="M196" s="7">
        <f>IF($U196="","",L196*K196)</f>
        <v/>
      </c>
      <c r="N196">
        <f>IF($U196="","",Settings!$C$6)</f>
        <v/>
      </c>
      <c r="O196" s="7">
        <f>IF($U196="","",SUMIFS('Per Line'!$L$2:$L$1501,'Per Line'!$B$2:$B$1501,$A196,'Per Line'!$W$2:$W$1501,1))</f>
        <v/>
      </c>
      <c r="P196" s="7">
        <f>IF($U196="","",O196*N196)</f>
        <v/>
      </c>
      <c r="Q196" s="7">
        <f>IF($U196="","",P196+M196)</f>
        <v/>
      </c>
      <c r="R196" s="7">
        <f>IF($U196="","",S196-Q196)</f>
        <v/>
      </c>
      <c r="S196" s="7">
        <f>IF($U196="","",L196+O196)</f>
        <v/>
      </c>
      <c r="T196" s="7">
        <f>IF($U196="","",S196-Q196-H196)</f>
        <v/>
      </c>
      <c r="U196" s="16">
        <f>IF(ROWS($U$2:$U196)&lt;=MAX('Per Line'!$V$2:$V$1501),MATCH(ROWS($U$2:$U196),'Per Line'!$V$2:$V$1501,0),"")</f>
        <v/>
      </c>
      <c r="V196">
        <f>IF($U196="","",B196&amp;"|"&amp;COUNTIF($B$2:$B196,B196))</f>
        <v/>
      </c>
    </row>
    <row r="197">
      <c r="A197">
        <f>IF($U197="","",INDEX('Per Line'!$B$2:$B$1501,$U197)&amp;"")</f>
        <v/>
      </c>
      <c r="B197">
        <f>IF($U197="","","COPY "&amp;G197&amp;" %")</f>
        <v/>
      </c>
      <c r="C197" s="15" t="n"/>
      <c r="D197">
        <f>IF($U197="","",INDEX('Per Line'!$C$2:$C$1501,$U197)&amp;"")</f>
        <v/>
      </c>
      <c r="E197">
        <f>IF($U197="","",INDEX('Per Line'!$D$2:$D$1501,$U197)&amp;"")</f>
        <v/>
      </c>
      <c r="F197">
        <f>IF($U197="","",INDEX('Per Line'!$E$2:$E$1501,$U197)&amp;"")</f>
        <v/>
      </c>
      <c r="G197">
        <f>IF($U197="","",INDEX('Per Line'!$F$2:$F$1501,$U197))</f>
        <v/>
      </c>
      <c r="H197" s="7">
        <f>IF($U197="","",G197*S197/100)</f>
        <v/>
      </c>
      <c r="I197" s="14">
        <f>IF($U197="","",INDEX('Per Line'!$R$2:$R$1501,$U197))</f>
        <v/>
      </c>
      <c r="J197">
        <f>IF($U197="","",INDEX('Per Line'!$Q$2:$Q$1501,$U197)&amp;"")</f>
        <v/>
      </c>
      <c r="K197">
        <f>IF($U197="","",Settings!$C$7)</f>
        <v/>
      </c>
      <c r="L197" s="7">
        <f>IF($U197="","",SUMIFS('Per Line'!$L$2:$L$1501,'Per Line'!$B$2:$B$1501,$A197,'Per Line'!$W$2:$W$1501,0))</f>
        <v/>
      </c>
      <c r="M197" s="7">
        <f>IF($U197="","",L197*K197)</f>
        <v/>
      </c>
      <c r="N197">
        <f>IF($U197="","",Settings!$C$6)</f>
        <v/>
      </c>
      <c r="O197" s="7">
        <f>IF($U197="","",SUMIFS('Per Line'!$L$2:$L$1501,'Per Line'!$B$2:$B$1501,$A197,'Per Line'!$W$2:$W$1501,1))</f>
        <v/>
      </c>
      <c r="P197" s="7">
        <f>IF($U197="","",O197*N197)</f>
        <v/>
      </c>
      <c r="Q197" s="7">
        <f>IF($U197="","",P197+M197)</f>
        <v/>
      </c>
      <c r="R197" s="7">
        <f>IF($U197="","",S197-Q197)</f>
        <v/>
      </c>
      <c r="S197" s="7">
        <f>IF($U197="","",L197+O197)</f>
        <v/>
      </c>
      <c r="T197" s="7">
        <f>IF($U197="","",S197-Q197-H197)</f>
        <v/>
      </c>
      <c r="U197" s="16">
        <f>IF(ROWS($U$2:$U197)&lt;=MAX('Per Line'!$V$2:$V$1501),MATCH(ROWS($U$2:$U197),'Per Line'!$V$2:$V$1501,0),"")</f>
        <v/>
      </c>
      <c r="V197">
        <f>IF($U197="","",B197&amp;"|"&amp;COUNTIF($B$2:$B197,B197))</f>
        <v/>
      </c>
    </row>
    <row r="198">
      <c r="A198">
        <f>IF($U198="","",INDEX('Per Line'!$B$2:$B$1501,$U198)&amp;"")</f>
        <v/>
      </c>
      <c r="B198">
        <f>IF($U198="","","COPY "&amp;G198&amp;" %")</f>
        <v/>
      </c>
      <c r="C198" s="15" t="n"/>
      <c r="D198">
        <f>IF($U198="","",INDEX('Per Line'!$C$2:$C$1501,$U198)&amp;"")</f>
        <v/>
      </c>
      <c r="E198">
        <f>IF($U198="","",INDEX('Per Line'!$D$2:$D$1501,$U198)&amp;"")</f>
        <v/>
      </c>
      <c r="F198">
        <f>IF($U198="","",INDEX('Per Line'!$E$2:$E$1501,$U198)&amp;"")</f>
        <v/>
      </c>
      <c r="G198">
        <f>IF($U198="","",INDEX('Per Line'!$F$2:$F$1501,$U198))</f>
        <v/>
      </c>
      <c r="H198" s="7">
        <f>IF($U198="","",G198*S198/100)</f>
        <v/>
      </c>
      <c r="I198" s="14">
        <f>IF($U198="","",INDEX('Per Line'!$R$2:$R$1501,$U198))</f>
        <v/>
      </c>
      <c r="J198">
        <f>IF($U198="","",INDEX('Per Line'!$Q$2:$Q$1501,$U198)&amp;"")</f>
        <v/>
      </c>
      <c r="K198">
        <f>IF($U198="","",Settings!$C$7)</f>
        <v/>
      </c>
      <c r="L198" s="7">
        <f>IF($U198="","",SUMIFS('Per Line'!$L$2:$L$1501,'Per Line'!$B$2:$B$1501,$A198,'Per Line'!$W$2:$W$1501,0))</f>
        <v/>
      </c>
      <c r="M198" s="7">
        <f>IF($U198="","",L198*K198)</f>
        <v/>
      </c>
      <c r="N198">
        <f>IF($U198="","",Settings!$C$6)</f>
        <v/>
      </c>
      <c r="O198" s="7">
        <f>IF($U198="","",SUMIFS('Per Line'!$L$2:$L$1501,'Per Line'!$B$2:$B$1501,$A198,'Per Line'!$W$2:$W$1501,1))</f>
        <v/>
      </c>
      <c r="P198" s="7">
        <f>IF($U198="","",O198*N198)</f>
        <v/>
      </c>
      <c r="Q198" s="7">
        <f>IF($U198="","",P198+M198)</f>
        <v/>
      </c>
      <c r="R198" s="7">
        <f>IF($U198="","",S198-Q198)</f>
        <v/>
      </c>
      <c r="S198" s="7">
        <f>IF($U198="","",L198+O198)</f>
        <v/>
      </c>
      <c r="T198" s="7">
        <f>IF($U198="","",S198-Q198-H198)</f>
        <v/>
      </c>
      <c r="U198" s="16">
        <f>IF(ROWS($U$2:$U198)&lt;=MAX('Per Line'!$V$2:$V$1501),MATCH(ROWS($U$2:$U198),'Per Line'!$V$2:$V$1501,0),"")</f>
        <v/>
      </c>
      <c r="V198">
        <f>IF($U198="","",B198&amp;"|"&amp;COUNTIF($B$2:$B198,B198))</f>
        <v/>
      </c>
    </row>
    <row r="199">
      <c r="A199">
        <f>IF($U199="","",INDEX('Per Line'!$B$2:$B$1501,$U199)&amp;"")</f>
        <v/>
      </c>
      <c r="B199">
        <f>IF($U199="","","COPY "&amp;G199&amp;" %")</f>
        <v/>
      </c>
      <c r="C199" s="15" t="n"/>
      <c r="D199">
        <f>IF($U199="","",INDEX('Per Line'!$C$2:$C$1501,$U199)&amp;"")</f>
        <v/>
      </c>
      <c r="E199">
        <f>IF($U199="","",INDEX('Per Line'!$D$2:$D$1501,$U199)&amp;"")</f>
        <v/>
      </c>
      <c r="F199">
        <f>IF($U199="","",INDEX('Per Line'!$E$2:$E$1501,$U199)&amp;"")</f>
        <v/>
      </c>
      <c r="G199">
        <f>IF($U199="","",INDEX('Per Line'!$F$2:$F$1501,$U199))</f>
        <v/>
      </c>
      <c r="H199" s="7">
        <f>IF($U199="","",G199*S199/100)</f>
        <v/>
      </c>
      <c r="I199" s="14">
        <f>IF($U199="","",INDEX('Per Line'!$R$2:$R$1501,$U199))</f>
        <v/>
      </c>
      <c r="J199">
        <f>IF($U199="","",INDEX('Per Line'!$Q$2:$Q$1501,$U199)&amp;"")</f>
        <v/>
      </c>
      <c r="K199">
        <f>IF($U199="","",Settings!$C$7)</f>
        <v/>
      </c>
      <c r="L199" s="7">
        <f>IF($U199="","",SUMIFS('Per Line'!$L$2:$L$1501,'Per Line'!$B$2:$B$1501,$A199,'Per Line'!$W$2:$W$1501,0))</f>
        <v/>
      </c>
      <c r="M199" s="7">
        <f>IF($U199="","",L199*K199)</f>
        <v/>
      </c>
      <c r="N199">
        <f>IF($U199="","",Settings!$C$6)</f>
        <v/>
      </c>
      <c r="O199" s="7">
        <f>IF($U199="","",SUMIFS('Per Line'!$L$2:$L$1501,'Per Line'!$B$2:$B$1501,$A199,'Per Line'!$W$2:$W$1501,1))</f>
        <v/>
      </c>
      <c r="P199" s="7">
        <f>IF($U199="","",O199*N199)</f>
        <v/>
      </c>
      <c r="Q199" s="7">
        <f>IF($U199="","",P199+M199)</f>
        <v/>
      </c>
      <c r="R199" s="7">
        <f>IF($U199="","",S199-Q199)</f>
        <v/>
      </c>
      <c r="S199" s="7">
        <f>IF($U199="","",L199+O199)</f>
        <v/>
      </c>
      <c r="T199" s="7">
        <f>IF($U199="","",S199-Q199-H199)</f>
        <v/>
      </c>
      <c r="U199" s="16">
        <f>IF(ROWS($U$2:$U199)&lt;=MAX('Per Line'!$V$2:$V$1501),MATCH(ROWS($U$2:$U199),'Per Line'!$V$2:$V$1501,0),"")</f>
        <v/>
      </c>
      <c r="V199">
        <f>IF($U199="","",B199&amp;"|"&amp;COUNTIF($B$2:$B199,B199))</f>
        <v/>
      </c>
    </row>
    <row r="200">
      <c r="A200">
        <f>IF($U200="","",INDEX('Per Line'!$B$2:$B$1501,$U200)&amp;"")</f>
        <v/>
      </c>
      <c r="B200">
        <f>IF($U200="","","COPY "&amp;G200&amp;" %")</f>
        <v/>
      </c>
      <c r="C200" s="15" t="n"/>
      <c r="D200">
        <f>IF($U200="","",INDEX('Per Line'!$C$2:$C$1501,$U200)&amp;"")</f>
        <v/>
      </c>
      <c r="E200">
        <f>IF($U200="","",INDEX('Per Line'!$D$2:$D$1501,$U200)&amp;"")</f>
        <v/>
      </c>
      <c r="F200">
        <f>IF($U200="","",INDEX('Per Line'!$E$2:$E$1501,$U200)&amp;"")</f>
        <v/>
      </c>
      <c r="G200">
        <f>IF($U200="","",INDEX('Per Line'!$F$2:$F$1501,$U200))</f>
        <v/>
      </c>
      <c r="H200" s="7">
        <f>IF($U200="","",G200*S200/100)</f>
        <v/>
      </c>
      <c r="I200" s="14">
        <f>IF($U200="","",INDEX('Per Line'!$R$2:$R$1501,$U200))</f>
        <v/>
      </c>
      <c r="J200">
        <f>IF($U200="","",INDEX('Per Line'!$Q$2:$Q$1501,$U200)&amp;"")</f>
        <v/>
      </c>
      <c r="K200">
        <f>IF($U200="","",Settings!$C$7)</f>
        <v/>
      </c>
      <c r="L200" s="7">
        <f>IF($U200="","",SUMIFS('Per Line'!$L$2:$L$1501,'Per Line'!$B$2:$B$1501,$A200,'Per Line'!$W$2:$W$1501,0))</f>
        <v/>
      </c>
      <c r="M200" s="7">
        <f>IF($U200="","",L200*K200)</f>
        <v/>
      </c>
      <c r="N200">
        <f>IF($U200="","",Settings!$C$6)</f>
        <v/>
      </c>
      <c r="O200" s="7">
        <f>IF($U200="","",SUMIFS('Per Line'!$L$2:$L$1501,'Per Line'!$B$2:$B$1501,$A200,'Per Line'!$W$2:$W$1501,1))</f>
        <v/>
      </c>
      <c r="P200" s="7">
        <f>IF($U200="","",O200*N200)</f>
        <v/>
      </c>
      <c r="Q200" s="7">
        <f>IF($U200="","",P200+M200)</f>
        <v/>
      </c>
      <c r="R200" s="7">
        <f>IF($U200="","",S200-Q200)</f>
        <v/>
      </c>
      <c r="S200" s="7">
        <f>IF($U200="","",L200+O200)</f>
        <v/>
      </c>
      <c r="T200" s="7">
        <f>IF($U200="","",S200-Q200-H200)</f>
        <v/>
      </c>
      <c r="U200" s="16">
        <f>IF(ROWS($U$2:$U200)&lt;=MAX('Per Line'!$V$2:$V$1501),MATCH(ROWS($U$2:$U200),'Per Line'!$V$2:$V$1501,0),"")</f>
        <v/>
      </c>
      <c r="V200">
        <f>IF($U200="","",B200&amp;"|"&amp;COUNTIF($B$2:$B200,B200))</f>
        <v/>
      </c>
    </row>
    <row r="201">
      <c r="A201">
        <f>IF($U201="","",INDEX('Per Line'!$B$2:$B$1501,$U201)&amp;"")</f>
        <v/>
      </c>
      <c r="B201">
        <f>IF($U201="","","COPY "&amp;G201&amp;" %")</f>
        <v/>
      </c>
      <c r="C201" s="15" t="n"/>
      <c r="D201">
        <f>IF($U201="","",INDEX('Per Line'!$C$2:$C$1501,$U201)&amp;"")</f>
        <v/>
      </c>
      <c r="E201">
        <f>IF($U201="","",INDEX('Per Line'!$D$2:$D$1501,$U201)&amp;"")</f>
        <v/>
      </c>
      <c r="F201">
        <f>IF($U201="","",INDEX('Per Line'!$E$2:$E$1501,$U201)&amp;"")</f>
        <v/>
      </c>
      <c r="G201">
        <f>IF($U201="","",INDEX('Per Line'!$F$2:$F$1501,$U201))</f>
        <v/>
      </c>
      <c r="H201" s="7">
        <f>IF($U201="","",G201*S201/100)</f>
        <v/>
      </c>
      <c r="I201" s="14">
        <f>IF($U201="","",INDEX('Per Line'!$R$2:$R$1501,$U201))</f>
        <v/>
      </c>
      <c r="J201">
        <f>IF($U201="","",INDEX('Per Line'!$Q$2:$Q$1501,$U201)&amp;"")</f>
        <v/>
      </c>
      <c r="K201">
        <f>IF($U201="","",Settings!$C$7)</f>
        <v/>
      </c>
      <c r="L201" s="7">
        <f>IF($U201="","",SUMIFS('Per Line'!$L$2:$L$1501,'Per Line'!$B$2:$B$1501,$A201,'Per Line'!$W$2:$W$1501,0))</f>
        <v/>
      </c>
      <c r="M201" s="7">
        <f>IF($U201="","",L201*K201)</f>
        <v/>
      </c>
      <c r="N201">
        <f>IF($U201="","",Settings!$C$6)</f>
        <v/>
      </c>
      <c r="O201" s="7">
        <f>IF($U201="","",SUMIFS('Per Line'!$L$2:$L$1501,'Per Line'!$B$2:$B$1501,$A201,'Per Line'!$W$2:$W$1501,1))</f>
        <v/>
      </c>
      <c r="P201" s="7">
        <f>IF($U201="","",O201*N201)</f>
        <v/>
      </c>
      <c r="Q201" s="7">
        <f>IF($U201="","",P201+M201)</f>
        <v/>
      </c>
      <c r="R201" s="7">
        <f>IF($U201="","",S201-Q201)</f>
        <v/>
      </c>
      <c r="S201" s="7">
        <f>IF($U201="","",L201+O201)</f>
        <v/>
      </c>
      <c r="T201" s="7">
        <f>IF($U201="","",S201-Q201-H201)</f>
        <v/>
      </c>
      <c r="U201" s="16">
        <f>IF(ROWS($U$2:$U201)&lt;=MAX('Per Line'!$V$2:$V$1501),MATCH(ROWS($U$2:$U201),'Per Line'!$V$2:$V$1501,0),"")</f>
        <v/>
      </c>
      <c r="V201">
        <f>IF($U201="","",B201&amp;"|"&amp;COUNTIF($B$2:$B201,B201))</f>
        <v/>
      </c>
    </row>
    <row r="202">
      <c r="A202">
        <f>IF($U202="","",INDEX('Per Line'!$B$2:$B$1501,$U202)&amp;"")</f>
        <v/>
      </c>
      <c r="B202">
        <f>IF($U202="","","COPY "&amp;G202&amp;" %")</f>
        <v/>
      </c>
      <c r="C202" s="15" t="n"/>
      <c r="D202">
        <f>IF($U202="","",INDEX('Per Line'!$C$2:$C$1501,$U202)&amp;"")</f>
        <v/>
      </c>
      <c r="E202">
        <f>IF($U202="","",INDEX('Per Line'!$D$2:$D$1501,$U202)&amp;"")</f>
        <v/>
      </c>
      <c r="F202">
        <f>IF($U202="","",INDEX('Per Line'!$E$2:$E$1501,$U202)&amp;"")</f>
        <v/>
      </c>
      <c r="G202">
        <f>IF($U202="","",INDEX('Per Line'!$F$2:$F$1501,$U202))</f>
        <v/>
      </c>
      <c r="H202" s="7">
        <f>IF($U202="","",G202*S202/100)</f>
        <v/>
      </c>
      <c r="I202" s="14">
        <f>IF($U202="","",INDEX('Per Line'!$R$2:$R$1501,$U202))</f>
        <v/>
      </c>
      <c r="J202">
        <f>IF($U202="","",INDEX('Per Line'!$Q$2:$Q$1501,$U202)&amp;"")</f>
        <v/>
      </c>
      <c r="K202">
        <f>IF($U202="","",Settings!$C$7)</f>
        <v/>
      </c>
      <c r="L202" s="7">
        <f>IF($U202="","",SUMIFS('Per Line'!$L$2:$L$1501,'Per Line'!$B$2:$B$1501,$A202,'Per Line'!$W$2:$W$1501,0))</f>
        <v/>
      </c>
      <c r="M202" s="7">
        <f>IF($U202="","",L202*K202)</f>
        <v/>
      </c>
      <c r="N202">
        <f>IF($U202="","",Settings!$C$6)</f>
        <v/>
      </c>
      <c r="O202" s="7">
        <f>IF($U202="","",SUMIFS('Per Line'!$L$2:$L$1501,'Per Line'!$B$2:$B$1501,$A202,'Per Line'!$W$2:$W$1501,1))</f>
        <v/>
      </c>
      <c r="P202" s="7">
        <f>IF($U202="","",O202*N202)</f>
        <v/>
      </c>
      <c r="Q202" s="7">
        <f>IF($U202="","",P202+M202)</f>
        <v/>
      </c>
      <c r="R202" s="7">
        <f>IF($U202="","",S202-Q202)</f>
        <v/>
      </c>
      <c r="S202" s="7">
        <f>IF($U202="","",L202+O202)</f>
        <v/>
      </c>
      <c r="T202" s="7">
        <f>IF($U202="","",S202-Q202-H202)</f>
        <v/>
      </c>
      <c r="U202" s="16">
        <f>IF(ROWS($U$2:$U202)&lt;=MAX('Per Line'!$V$2:$V$1501),MATCH(ROWS($U$2:$U202),'Per Line'!$V$2:$V$1501,0),"")</f>
        <v/>
      </c>
      <c r="V202">
        <f>IF($U202="","",B202&amp;"|"&amp;COUNTIF($B$2:$B202,B202))</f>
        <v/>
      </c>
    </row>
    <row r="203">
      <c r="A203">
        <f>IF($U203="","",INDEX('Per Line'!$B$2:$B$1501,$U203)&amp;"")</f>
        <v/>
      </c>
      <c r="B203">
        <f>IF($U203="","","COPY "&amp;G203&amp;" %")</f>
        <v/>
      </c>
      <c r="C203" s="15" t="n"/>
      <c r="D203">
        <f>IF($U203="","",INDEX('Per Line'!$C$2:$C$1501,$U203)&amp;"")</f>
        <v/>
      </c>
      <c r="E203">
        <f>IF($U203="","",INDEX('Per Line'!$D$2:$D$1501,$U203)&amp;"")</f>
        <v/>
      </c>
      <c r="F203">
        <f>IF($U203="","",INDEX('Per Line'!$E$2:$E$1501,$U203)&amp;"")</f>
        <v/>
      </c>
      <c r="G203">
        <f>IF($U203="","",INDEX('Per Line'!$F$2:$F$1501,$U203))</f>
        <v/>
      </c>
      <c r="H203" s="7">
        <f>IF($U203="","",G203*S203/100)</f>
        <v/>
      </c>
      <c r="I203" s="14">
        <f>IF($U203="","",INDEX('Per Line'!$R$2:$R$1501,$U203))</f>
        <v/>
      </c>
      <c r="J203">
        <f>IF($U203="","",INDEX('Per Line'!$Q$2:$Q$1501,$U203)&amp;"")</f>
        <v/>
      </c>
      <c r="K203">
        <f>IF($U203="","",Settings!$C$7)</f>
        <v/>
      </c>
      <c r="L203" s="7">
        <f>IF($U203="","",SUMIFS('Per Line'!$L$2:$L$1501,'Per Line'!$B$2:$B$1501,$A203,'Per Line'!$W$2:$W$1501,0))</f>
        <v/>
      </c>
      <c r="M203" s="7">
        <f>IF($U203="","",L203*K203)</f>
        <v/>
      </c>
      <c r="N203">
        <f>IF($U203="","",Settings!$C$6)</f>
        <v/>
      </c>
      <c r="O203" s="7">
        <f>IF($U203="","",SUMIFS('Per Line'!$L$2:$L$1501,'Per Line'!$B$2:$B$1501,$A203,'Per Line'!$W$2:$W$1501,1))</f>
        <v/>
      </c>
      <c r="P203" s="7">
        <f>IF($U203="","",O203*N203)</f>
        <v/>
      </c>
      <c r="Q203" s="7">
        <f>IF($U203="","",P203+M203)</f>
        <v/>
      </c>
      <c r="R203" s="7">
        <f>IF($U203="","",S203-Q203)</f>
        <v/>
      </c>
      <c r="S203" s="7">
        <f>IF($U203="","",L203+O203)</f>
        <v/>
      </c>
      <c r="T203" s="7">
        <f>IF($U203="","",S203-Q203-H203)</f>
        <v/>
      </c>
      <c r="U203" s="16">
        <f>IF(ROWS($U$2:$U203)&lt;=MAX('Per Line'!$V$2:$V$1501),MATCH(ROWS($U$2:$U203),'Per Line'!$V$2:$V$1501,0),"")</f>
        <v/>
      </c>
      <c r="V203">
        <f>IF($U203="","",B203&amp;"|"&amp;COUNTIF($B$2:$B203,B203))</f>
        <v/>
      </c>
    </row>
    <row r="204">
      <c r="A204">
        <f>IF($U204="","",INDEX('Per Line'!$B$2:$B$1501,$U204)&amp;"")</f>
        <v/>
      </c>
      <c r="B204">
        <f>IF($U204="","","COPY "&amp;G204&amp;" %")</f>
        <v/>
      </c>
      <c r="C204" s="15" t="n"/>
      <c r="D204">
        <f>IF($U204="","",INDEX('Per Line'!$C$2:$C$1501,$U204)&amp;"")</f>
        <v/>
      </c>
      <c r="E204">
        <f>IF($U204="","",INDEX('Per Line'!$D$2:$D$1501,$U204)&amp;"")</f>
        <v/>
      </c>
      <c r="F204">
        <f>IF($U204="","",INDEX('Per Line'!$E$2:$E$1501,$U204)&amp;"")</f>
        <v/>
      </c>
      <c r="G204">
        <f>IF($U204="","",INDEX('Per Line'!$F$2:$F$1501,$U204))</f>
        <v/>
      </c>
      <c r="H204" s="7">
        <f>IF($U204="","",G204*S204/100)</f>
        <v/>
      </c>
      <c r="I204" s="14">
        <f>IF($U204="","",INDEX('Per Line'!$R$2:$R$1501,$U204))</f>
        <v/>
      </c>
      <c r="J204">
        <f>IF($U204="","",INDEX('Per Line'!$Q$2:$Q$1501,$U204)&amp;"")</f>
        <v/>
      </c>
      <c r="K204">
        <f>IF($U204="","",Settings!$C$7)</f>
        <v/>
      </c>
      <c r="L204" s="7">
        <f>IF($U204="","",SUMIFS('Per Line'!$L$2:$L$1501,'Per Line'!$B$2:$B$1501,$A204,'Per Line'!$W$2:$W$1501,0))</f>
        <v/>
      </c>
      <c r="M204" s="7">
        <f>IF($U204="","",L204*K204)</f>
        <v/>
      </c>
      <c r="N204">
        <f>IF($U204="","",Settings!$C$6)</f>
        <v/>
      </c>
      <c r="O204" s="7">
        <f>IF($U204="","",SUMIFS('Per Line'!$L$2:$L$1501,'Per Line'!$B$2:$B$1501,$A204,'Per Line'!$W$2:$W$1501,1))</f>
        <v/>
      </c>
      <c r="P204" s="7">
        <f>IF($U204="","",O204*N204)</f>
        <v/>
      </c>
      <c r="Q204" s="7">
        <f>IF($U204="","",P204+M204)</f>
        <v/>
      </c>
      <c r="R204" s="7">
        <f>IF($U204="","",S204-Q204)</f>
        <v/>
      </c>
      <c r="S204" s="7">
        <f>IF($U204="","",L204+O204)</f>
        <v/>
      </c>
      <c r="T204" s="7">
        <f>IF($U204="","",S204-Q204-H204)</f>
        <v/>
      </c>
      <c r="U204" s="16">
        <f>IF(ROWS($U$2:$U204)&lt;=MAX('Per Line'!$V$2:$V$1501),MATCH(ROWS($U$2:$U204),'Per Line'!$V$2:$V$1501,0),"")</f>
        <v/>
      </c>
      <c r="V204">
        <f>IF($U204="","",B204&amp;"|"&amp;COUNTIF($B$2:$B204,B204))</f>
        <v/>
      </c>
    </row>
    <row r="205">
      <c r="A205">
        <f>IF($U205="","",INDEX('Per Line'!$B$2:$B$1501,$U205)&amp;"")</f>
        <v/>
      </c>
      <c r="B205">
        <f>IF($U205="","","COPY "&amp;G205&amp;" %")</f>
        <v/>
      </c>
      <c r="C205" s="15" t="n"/>
      <c r="D205">
        <f>IF($U205="","",INDEX('Per Line'!$C$2:$C$1501,$U205)&amp;"")</f>
        <v/>
      </c>
      <c r="E205">
        <f>IF($U205="","",INDEX('Per Line'!$D$2:$D$1501,$U205)&amp;"")</f>
        <v/>
      </c>
      <c r="F205">
        <f>IF($U205="","",INDEX('Per Line'!$E$2:$E$1501,$U205)&amp;"")</f>
        <v/>
      </c>
      <c r="G205">
        <f>IF($U205="","",INDEX('Per Line'!$F$2:$F$1501,$U205))</f>
        <v/>
      </c>
      <c r="H205" s="7">
        <f>IF($U205="","",G205*S205/100)</f>
        <v/>
      </c>
      <c r="I205" s="14">
        <f>IF($U205="","",INDEX('Per Line'!$R$2:$R$1501,$U205))</f>
        <v/>
      </c>
      <c r="J205">
        <f>IF($U205="","",INDEX('Per Line'!$Q$2:$Q$1501,$U205)&amp;"")</f>
        <v/>
      </c>
      <c r="K205">
        <f>IF($U205="","",Settings!$C$7)</f>
        <v/>
      </c>
      <c r="L205" s="7">
        <f>IF($U205="","",SUMIFS('Per Line'!$L$2:$L$1501,'Per Line'!$B$2:$B$1501,$A205,'Per Line'!$W$2:$W$1501,0))</f>
        <v/>
      </c>
      <c r="M205" s="7">
        <f>IF($U205="","",L205*K205)</f>
        <v/>
      </c>
      <c r="N205">
        <f>IF($U205="","",Settings!$C$6)</f>
        <v/>
      </c>
      <c r="O205" s="7">
        <f>IF($U205="","",SUMIFS('Per Line'!$L$2:$L$1501,'Per Line'!$B$2:$B$1501,$A205,'Per Line'!$W$2:$W$1501,1))</f>
        <v/>
      </c>
      <c r="P205" s="7">
        <f>IF($U205="","",O205*N205)</f>
        <v/>
      </c>
      <c r="Q205" s="7">
        <f>IF($U205="","",P205+M205)</f>
        <v/>
      </c>
      <c r="R205" s="7">
        <f>IF($U205="","",S205-Q205)</f>
        <v/>
      </c>
      <c r="S205" s="7">
        <f>IF($U205="","",L205+O205)</f>
        <v/>
      </c>
      <c r="T205" s="7">
        <f>IF($U205="","",S205-Q205-H205)</f>
        <v/>
      </c>
      <c r="U205" s="16">
        <f>IF(ROWS($U$2:$U205)&lt;=MAX('Per Line'!$V$2:$V$1501),MATCH(ROWS($U$2:$U205),'Per Line'!$V$2:$V$1501,0),"")</f>
        <v/>
      </c>
      <c r="V205">
        <f>IF($U205="","",B205&amp;"|"&amp;COUNTIF($B$2:$B205,B205))</f>
        <v/>
      </c>
    </row>
    <row r="206">
      <c r="A206">
        <f>IF($U206="","",INDEX('Per Line'!$B$2:$B$1501,$U206)&amp;"")</f>
        <v/>
      </c>
      <c r="B206">
        <f>IF($U206="","","COPY "&amp;G206&amp;" %")</f>
        <v/>
      </c>
      <c r="C206" s="15" t="n"/>
      <c r="D206">
        <f>IF($U206="","",INDEX('Per Line'!$C$2:$C$1501,$U206)&amp;"")</f>
        <v/>
      </c>
      <c r="E206">
        <f>IF($U206="","",INDEX('Per Line'!$D$2:$D$1501,$U206)&amp;"")</f>
        <v/>
      </c>
      <c r="F206">
        <f>IF($U206="","",INDEX('Per Line'!$E$2:$E$1501,$U206)&amp;"")</f>
        <v/>
      </c>
      <c r="G206">
        <f>IF($U206="","",INDEX('Per Line'!$F$2:$F$1501,$U206))</f>
        <v/>
      </c>
      <c r="H206" s="7">
        <f>IF($U206="","",G206*S206/100)</f>
        <v/>
      </c>
      <c r="I206" s="14">
        <f>IF($U206="","",INDEX('Per Line'!$R$2:$R$1501,$U206))</f>
        <v/>
      </c>
      <c r="J206">
        <f>IF($U206="","",INDEX('Per Line'!$Q$2:$Q$1501,$U206)&amp;"")</f>
        <v/>
      </c>
      <c r="K206">
        <f>IF($U206="","",Settings!$C$7)</f>
        <v/>
      </c>
      <c r="L206" s="7">
        <f>IF($U206="","",SUMIFS('Per Line'!$L$2:$L$1501,'Per Line'!$B$2:$B$1501,$A206,'Per Line'!$W$2:$W$1501,0))</f>
        <v/>
      </c>
      <c r="M206" s="7">
        <f>IF($U206="","",L206*K206)</f>
        <v/>
      </c>
      <c r="N206">
        <f>IF($U206="","",Settings!$C$6)</f>
        <v/>
      </c>
      <c r="O206" s="7">
        <f>IF($U206="","",SUMIFS('Per Line'!$L$2:$L$1501,'Per Line'!$B$2:$B$1501,$A206,'Per Line'!$W$2:$W$1501,1))</f>
        <v/>
      </c>
      <c r="P206" s="7">
        <f>IF($U206="","",O206*N206)</f>
        <v/>
      </c>
      <c r="Q206" s="7">
        <f>IF($U206="","",P206+M206)</f>
        <v/>
      </c>
      <c r="R206" s="7">
        <f>IF($U206="","",S206-Q206)</f>
        <v/>
      </c>
      <c r="S206" s="7">
        <f>IF($U206="","",L206+O206)</f>
        <v/>
      </c>
      <c r="T206" s="7">
        <f>IF($U206="","",S206-Q206-H206)</f>
        <v/>
      </c>
      <c r="U206" s="16">
        <f>IF(ROWS($U$2:$U206)&lt;=MAX('Per Line'!$V$2:$V$1501),MATCH(ROWS($U$2:$U206),'Per Line'!$V$2:$V$1501,0),"")</f>
        <v/>
      </c>
      <c r="V206">
        <f>IF($U206="","",B206&amp;"|"&amp;COUNTIF($B$2:$B206,B206))</f>
        <v/>
      </c>
    </row>
    <row r="207">
      <c r="A207">
        <f>IF($U207="","",INDEX('Per Line'!$B$2:$B$1501,$U207)&amp;"")</f>
        <v/>
      </c>
      <c r="B207">
        <f>IF($U207="","","COPY "&amp;G207&amp;" %")</f>
        <v/>
      </c>
      <c r="C207" s="15" t="n"/>
      <c r="D207">
        <f>IF($U207="","",INDEX('Per Line'!$C$2:$C$1501,$U207)&amp;"")</f>
        <v/>
      </c>
      <c r="E207">
        <f>IF($U207="","",INDEX('Per Line'!$D$2:$D$1501,$U207)&amp;"")</f>
        <v/>
      </c>
      <c r="F207">
        <f>IF($U207="","",INDEX('Per Line'!$E$2:$E$1501,$U207)&amp;"")</f>
        <v/>
      </c>
      <c r="G207">
        <f>IF($U207="","",INDEX('Per Line'!$F$2:$F$1501,$U207))</f>
        <v/>
      </c>
      <c r="H207" s="7">
        <f>IF($U207="","",G207*S207/100)</f>
        <v/>
      </c>
      <c r="I207" s="14">
        <f>IF($U207="","",INDEX('Per Line'!$R$2:$R$1501,$U207))</f>
        <v/>
      </c>
      <c r="J207">
        <f>IF($U207="","",INDEX('Per Line'!$Q$2:$Q$1501,$U207)&amp;"")</f>
        <v/>
      </c>
      <c r="K207">
        <f>IF($U207="","",Settings!$C$7)</f>
        <v/>
      </c>
      <c r="L207" s="7">
        <f>IF($U207="","",SUMIFS('Per Line'!$L$2:$L$1501,'Per Line'!$B$2:$B$1501,$A207,'Per Line'!$W$2:$W$1501,0))</f>
        <v/>
      </c>
      <c r="M207" s="7">
        <f>IF($U207="","",L207*K207)</f>
        <v/>
      </c>
      <c r="N207">
        <f>IF($U207="","",Settings!$C$6)</f>
        <v/>
      </c>
      <c r="O207" s="7">
        <f>IF($U207="","",SUMIFS('Per Line'!$L$2:$L$1501,'Per Line'!$B$2:$B$1501,$A207,'Per Line'!$W$2:$W$1501,1))</f>
        <v/>
      </c>
      <c r="P207" s="7">
        <f>IF($U207="","",O207*N207)</f>
        <v/>
      </c>
      <c r="Q207" s="7">
        <f>IF($U207="","",P207+M207)</f>
        <v/>
      </c>
      <c r="R207" s="7">
        <f>IF($U207="","",S207-Q207)</f>
        <v/>
      </c>
      <c r="S207" s="7">
        <f>IF($U207="","",L207+O207)</f>
        <v/>
      </c>
      <c r="T207" s="7">
        <f>IF($U207="","",S207-Q207-H207)</f>
        <v/>
      </c>
      <c r="U207" s="16">
        <f>IF(ROWS($U$2:$U207)&lt;=MAX('Per Line'!$V$2:$V$1501),MATCH(ROWS($U$2:$U207),'Per Line'!$V$2:$V$1501,0),"")</f>
        <v/>
      </c>
      <c r="V207">
        <f>IF($U207="","",B207&amp;"|"&amp;COUNTIF($B$2:$B207,B207))</f>
        <v/>
      </c>
    </row>
    <row r="208">
      <c r="A208">
        <f>IF($U208="","",INDEX('Per Line'!$B$2:$B$1501,$U208)&amp;"")</f>
        <v/>
      </c>
      <c r="B208">
        <f>IF($U208="","","COPY "&amp;G208&amp;" %")</f>
        <v/>
      </c>
      <c r="C208" s="15" t="n"/>
      <c r="D208">
        <f>IF($U208="","",INDEX('Per Line'!$C$2:$C$1501,$U208)&amp;"")</f>
        <v/>
      </c>
      <c r="E208">
        <f>IF($U208="","",INDEX('Per Line'!$D$2:$D$1501,$U208)&amp;"")</f>
        <v/>
      </c>
      <c r="F208">
        <f>IF($U208="","",INDEX('Per Line'!$E$2:$E$1501,$U208)&amp;"")</f>
        <v/>
      </c>
      <c r="G208">
        <f>IF($U208="","",INDEX('Per Line'!$F$2:$F$1501,$U208))</f>
        <v/>
      </c>
      <c r="H208" s="7">
        <f>IF($U208="","",G208*S208/100)</f>
        <v/>
      </c>
      <c r="I208" s="14">
        <f>IF($U208="","",INDEX('Per Line'!$R$2:$R$1501,$U208))</f>
        <v/>
      </c>
      <c r="J208">
        <f>IF($U208="","",INDEX('Per Line'!$Q$2:$Q$1501,$U208)&amp;"")</f>
        <v/>
      </c>
      <c r="K208">
        <f>IF($U208="","",Settings!$C$7)</f>
        <v/>
      </c>
      <c r="L208" s="7">
        <f>IF($U208="","",SUMIFS('Per Line'!$L$2:$L$1501,'Per Line'!$B$2:$B$1501,$A208,'Per Line'!$W$2:$W$1501,0))</f>
        <v/>
      </c>
      <c r="M208" s="7">
        <f>IF($U208="","",L208*K208)</f>
        <v/>
      </c>
      <c r="N208">
        <f>IF($U208="","",Settings!$C$6)</f>
        <v/>
      </c>
      <c r="O208" s="7">
        <f>IF($U208="","",SUMIFS('Per Line'!$L$2:$L$1501,'Per Line'!$B$2:$B$1501,$A208,'Per Line'!$W$2:$W$1501,1))</f>
        <v/>
      </c>
      <c r="P208" s="7">
        <f>IF($U208="","",O208*N208)</f>
        <v/>
      </c>
      <c r="Q208" s="7">
        <f>IF($U208="","",P208+M208)</f>
        <v/>
      </c>
      <c r="R208" s="7">
        <f>IF($U208="","",S208-Q208)</f>
        <v/>
      </c>
      <c r="S208" s="7">
        <f>IF($U208="","",L208+O208)</f>
        <v/>
      </c>
      <c r="T208" s="7">
        <f>IF($U208="","",S208-Q208-H208)</f>
        <v/>
      </c>
      <c r="U208" s="16">
        <f>IF(ROWS($U$2:$U208)&lt;=MAX('Per Line'!$V$2:$V$1501),MATCH(ROWS($U$2:$U208),'Per Line'!$V$2:$V$1501,0),"")</f>
        <v/>
      </c>
      <c r="V208">
        <f>IF($U208="","",B208&amp;"|"&amp;COUNTIF($B$2:$B208,B208))</f>
        <v/>
      </c>
    </row>
    <row r="209">
      <c r="A209">
        <f>IF($U209="","",INDEX('Per Line'!$B$2:$B$1501,$U209)&amp;"")</f>
        <v/>
      </c>
      <c r="B209">
        <f>IF($U209="","","COPY "&amp;G209&amp;" %")</f>
        <v/>
      </c>
      <c r="C209" s="15" t="n"/>
      <c r="D209">
        <f>IF($U209="","",INDEX('Per Line'!$C$2:$C$1501,$U209)&amp;"")</f>
        <v/>
      </c>
      <c r="E209">
        <f>IF($U209="","",INDEX('Per Line'!$D$2:$D$1501,$U209)&amp;"")</f>
        <v/>
      </c>
      <c r="F209">
        <f>IF($U209="","",INDEX('Per Line'!$E$2:$E$1501,$U209)&amp;"")</f>
        <v/>
      </c>
      <c r="G209">
        <f>IF($U209="","",INDEX('Per Line'!$F$2:$F$1501,$U209))</f>
        <v/>
      </c>
      <c r="H209" s="7">
        <f>IF($U209="","",G209*S209/100)</f>
        <v/>
      </c>
      <c r="I209" s="14">
        <f>IF($U209="","",INDEX('Per Line'!$R$2:$R$1501,$U209))</f>
        <v/>
      </c>
      <c r="J209">
        <f>IF($U209="","",INDEX('Per Line'!$Q$2:$Q$1501,$U209)&amp;"")</f>
        <v/>
      </c>
      <c r="K209">
        <f>IF($U209="","",Settings!$C$7)</f>
        <v/>
      </c>
      <c r="L209" s="7">
        <f>IF($U209="","",SUMIFS('Per Line'!$L$2:$L$1501,'Per Line'!$B$2:$B$1501,$A209,'Per Line'!$W$2:$W$1501,0))</f>
        <v/>
      </c>
      <c r="M209" s="7">
        <f>IF($U209="","",L209*K209)</f>
        <v/>
      </c>
      <c r="N209">
        <f>IF($U209="","",Settings!$C$6)</f>
        <v/>
      </c>
      <c r="O209" s="7">
        <f>IF($U209="","",SUMIFS('Per Line'!$L$2:$L$1501,'Per Line'!$B$2:$B$1501,$A209,'Per Line'!$W$2:$W$1501,1))</f>
        <v/>
      </c>
      <c r="P209" s="7">
        <f>IF($U209="","",O209*N209)</f>
        <v/>
      </c>
      <c r="Q209" s="7">
        <f>IF($U209="","",P209+M209)</f>
        <v/>
      </c>
      <c r="R209" s="7">
        <f>IF($U209="","",S209-Q209)</f>
        <v/>
      </c>
      <c r="S209" s="7">
        <f>IF($U209="","",L209+O209)</f>
        <v/>
      </c>
      <c r="T209" s="7">
        <f>IF($U209="","",S209-Q209-H209)</f>
        <v/>
      </c>
      <c r="U209" s="16">
        <f>IF(ROWS($U$2:$U209)&lt;=MAX('Per Line'!$V$2:$V$1501),MATCH(ROWS($U$2:$U209),'Per Line'!$V$2:$V$1501,0),"")</f>
        <v/>
      </c>
      <c r="V209">
        <f>IF($U209="","",B209&amp;"|"&amp;COUNTIF($B$2:$B209,B209))</f>
        <v/>
      </c>
    </row>
    <row r="210">
      <c r="A210">
        <f>IF($U210="","",INDEX('Per Line'!$B$2:$B$1501,$U210)&amp;"")</f>
        <v/>
      </c>
      <c r="B210">
        <f>IF($U210="","","COPY "&amp;G210&amp;" %")</f>
        <v/>
      </c>
      <c r="C210" s="15" t="n"/>
      <c r="D210">
        <f>IF($U210="","",INDEX('Per Line'!$C$2:$C$1501,$U210)&amp;"")</f>
        <v/>
      </c>
      <c r="E210">
        <f>IF($U210="","",INDEX('Per Line'!$D$2:$D$1501,$U210)&amp;"")</f>
        <v/>
      </c>
      <c r="F210">
        <f>IF($U210="","",INDEX('Per Line'!$E$2:$E$1501,$U210)&amp;"")</f>
        <v/>
      </c>
      <c r="G210">
        <f>IF($U210="","",INDEX('Per Line'!$F$2:$F$1501,$U210))</f>
        <v/>
      </c>
      <c r="H210" s="7">
        <f>IF($U210="","",G210*S210/100)</f>
        <v/>
      </c>
      <c r="I210" s="14">
        <f>IF($U210="","",INDEX('Per Line'!$R$2:$R$1501,$U210))</f>
        <v/>
      </c>
      <c r="J210">
        <f>IF($U210="","",INDEX('Per Line'!$Q$2:$Q$1501,$U210)&amp;"")</f>
        <v/>
      </c>
      <c r="K210">
        <f>IF($U210="","",Settings!$C$7)</f>
        <v/>
      </c>
      <c r="L210" s="7">
        <f>IF($U210="","",SUMIFS('Per Line'!$L$2:$L$1501,'Per Line'!$B$2:$B$1501,$A210,'Per Line'!$W$2:$W$1501,0))</f>
        <v/>
      </c>
      <c r="M210" s="7">
        <f>IF($U210="","",L210*K210)</f>
        <v/>
      </c>
      <c r="N210">
        <f>IF($U210="","",Settings!$C$6)</f>
        <v/>
      </c>
      <c r="O210" s="7">
        <f>IF($U210="","",SUMIFS('Per Line'!$L$2:$L$1501,'Per Line'!$B$2:$B$1501,$A210,'Per Line'!$W$2:$W$1501,1))</f>
        <v/>
      </c>
      <c r="P210" s="7">
        <f>IF($U210="","",O210*N210)</f>
        <v/>
      </c>
      <c r="Q210" s="7">
        <f>IF($U210="","",P210+M210)</f>
        <v/>
      </c>
      <c r="R210" s="7">
        <f>IF($U210="","",S210-Q210)</f>
        <v/>
      </c>
      <c r="S210" s="7">
        <f>IF($U210="","",L210+O210)</f>
        <v/>
      </c>
      <c r="T210" s="7">
        <f>IF($U210="","",S210-Q210-H210)</f>
        <v/>
      </c>
      <c r="U210" s="16">
        <f>IF(ROWS($U$2:$U210)&lt;=MAX('Per Line'!$V$2:$V$1501),MATCH(ROWS($U$2:$U210),'Per Line'!$V$2:$V$1501,0),"")</f>
        <v/>
      </c>
      <c r="V210">
        <f>IF($U210="","",B210&amp;"|"&amp;COUNTIF($B$2:$B210,B210))</f>
        <v/>
      </c>
    </row>
    <row r="211">
      <c r="A211">
        <f>IF($U211="","",INDEX('Per Line'!$B$2:$B$1501,$U211)&amp;"")</f>
        <v/>
      </c>
      <c r="B211">
        <f>IF($U211="","","COPY "&amp;G211&amp;" %")</f>
        <v/>
      </c>
      <c r="C211" s="15" t="n"/>
      <c r="D211">
        <f>IF($U211="","",INDEX('Per Line'!$C$2:$C$1501,$U211)&amp;"")</f>
        <v/>
      </c>
      <c r="E211">
        <f>IF($U211="","",INDEX('Per Line'!$D$2:$D$1501,$U211)&amp;"")</f>
        <v/>
      </c>
      <c r="F211">
        <f>IF($U211="","",INDEX('Per Line'!$E$2:$E$1501,$U211)&amp;"")</f>
        <v/>
      </c>
      <c r="G211">
        <f>IF($U211="","",INDEX('Per Line'!$F$2:$F$1501,$U211))</f>
        <v/>
      </c>
      <c r="H211" s="7">
        <f>IF($U211="","",G211*S211/100)</f>
        <v/>
      </c>
      <c r="I211" s="14">
        <f>IF($U211="","",INDEX('Per Line'!$R$2:$R$1501,$U211))</f>
        <v/>
      </c>
      <c r="J211">
        <f>IF($U211="","",INDEX('Per Line'!$Q$2:$Q$1501,$U211)&amp;"")</f>
        <v/>
      </c>
      <c r="K211">
        <f>IF($U211="","",Settings!$C$7)</f>
        <v/>
      </c>
      <c r="L211" s="7">
        <f>IF($U211="","",SUMIFS('Per Line'!$L$2:$L$1501,'Per Line'!$B$2:$B$1501,$A211,'Per Line'!$W$2:$W$1501,0))</f>
        <v/>
      </c>
      <c r="M211" s="7">
        <f>IF($U211="","",L211*K211)</f>
        <v/>
      </c>
      <c r="N211">
        <f>IF($U211="","",Settings!$C$6)</f>
        <v/>
      </c>
      <c r="O211" s="7">
        <f>IF($U211="","",SUMIFS('Per Line'!$L$2:$L$1501,'Per Line'!$B$2:$B$1501,$A211,'Per Line'!$W$2:$W$1501,1))</f>
        <v/>
      </c>
      <c r="P211" s="7">
        <f>IF($U211="","",O211*N211)</f>
        <v/>
      </c>
      <c r="Q211" s="7">
        <f>IF($U211="","",P211+M211)</f>
        <v/>
      </c>
      <c r="R211" s="7">
        <f>IF($U211="","",S211-Q211)</f>
        <v/>
      </c>
      <c r="S211" s="7">
        <f>IF($U211="","",L211+O211)</f>
        <v/>
      </c>
      <c r="T211" s="7">
        <f>IF($U211="","",S211-Q211-H211)</f>
        <v/>
      </c>
      <c r="U211" s="16">
        <f>IF(ROWS($U$2:$U211)&lt;=MAX('Per Line'!$V$2:$V$1501),MATCH(ROWS($U$2:$U211),'Per Line'!$V$2:$V$1501,0),"")</f>
        <v/>
      </c>
      <c r="V211">
        <f>IF($U211="","",B211&amp;"|"&amp;COUNTIF($B$2:$B211,B211))</f>
        <v/>
      </c>
    </row>
    <row r="212">
      <c r="A212">
        <f>IF($U212="","",INDEX('Per Line'!$B$2:$B$1501,$U212)&amp;"")</f>
        <v/>
      </c>
      <c r="B212">
        <f>IF($U212="","","COPY "&amp;G212&amp;" %")</f>
        <v/>
      </c>
      <c r="C212" s="15" t="n"/>
      <c r="D212">
        <f>IF($U212="","",INDEX('Per Line'!$C$2:$C$1501,$U212)&amp;"")</f>
        <v/>
      </c>
      <c r="E212">
        <f>IF($U212="","",INDEX('Per Line'!$D$2:$D$1501,$U212)&amp;"")</f>
        <v/>
      </c>
      <c r="F212">
        <f>IF($U212="","",INDEX('Per Line'!$E$2:$E$1501,$U212)&amp;"")</f>
        <v/>
      </c>
      <c r="G212">
        <f>IF($U212="","",INDEX('Per Line'!$F$2:$F$1501,$U212))</f>
        <v/>
      </c>
      <c r="H212" s="7">
        <f>IF($U212="","",G212*S212/100)</f>
        <v/>
      </c>
      <c r="I212" s="14">
        <f>IF($U212="","",INDEX('Per Line'!$R$2:$R$1501,$U212))</f>
        <v/>
      </c>
      <c r="J212">
        <f>IF($U212="","",INDEX('Per Line'!$Q$2:$Q$1501,$U212)&amp;"")</f>
        <v/>
      </c>
      <c r="K212">
        <f>IF($U212="","",Settings!$C$7)</f>
        <v/>
      </c>
      <c r="L212" s="7">
        <f>IF($U212="","",SUMIFS('Per Line'!$L$2:$L$1501,'Per Line'!$B$2:$B$1501,$A212,'Per Line'!$W$2:$W$1501,0))</f>
        <v/>
      </c>
      <c r="M212" s="7">
        <f>IF($U212="","",L212*K212)</f>
        <v/>
      </c>
      <c r="N212">
        <f>IF($U212="","",Settings!$C$6)</f>
        <v/>
      </c>
      <c r="O212" s="7">
        <f>IF($U212="","",SUMIFS('Per Line'!$L$2:$L$1501,'Per Line'!$B$2:$B$1501,$A212,'Per Line'!$W$2:$W$1501,1))</f>
        <v/>
      </c>
      <c r="P212" s="7">
        <f>IF($U212="","",O212*N212)</f>
        <v/>
      </c>
      <c r="Q212" s="7">
        <f>IF($U212="","",P212+M212)</f>
        <v/>
      </c>
      <c r="R212" s="7">
        <f>IF($U212="","",S212-Q212)</f>
        <v/>
      </c>
      <c r="S212" s="7">
        <f>IF($U212="","",L212+O212)</f>
        <v/>
      </c>
      <c r="T212" s="7">
        <f>IF($U212="","",S212-Q212-H212)</f>
        <v/>
      </c>
      <c r="U212" s="16">
        <f>IF(ROWS($U$2:$U212)&lt;=MAX('Per Line'!$V$2:$V$1501),MATCH(ROWS($U$2:$U212),'Per Line'!$V$2:$V$1501,0),"")</f>
        <v/>
      </c>
      <c r="V212">
        <f>IF($U212="","",B212&amp;"|"&amp;COUNTIF($B$2:$B212,B212))</f>
        <v/>
      </c>
    </row>
    <row r="213">
      <c r="A213">
        <f>IF($U213="","",INDEX('Per Line'!$B$2:$B$1501,$U213)&amp;"")</f>
        <v/>
      </c>
      <c r="B213">
        <f>IF($U213="","","COPY "&amp;G213&amp;" %")</f>
        <v/>
      </c>
      <c r="C213" s="15" t="n"/>
      <c r="D213">
        <f>IF($U213="","",INDEX('Per Line'!$C$2:$C$1501,$U213)&amp;"")</f>
        <v/>
      </c>
      <c r="E213">
        <f>IF($U213="","",INDEX('Per Line'!$D$2:$D$1501,$U213)&amp;"")</f>
        <v/>
      </c>
      <c r="F213">
        <f>IF($U213="","",INDEX('Per Line'!$E$2:$E$1501,$U213)&amp;"")</f>
        <v/>
      </c>
      <c r="G213">
        <f>IF($U213="","",INDEX('Per Line'!$F$2:$F$1501,$U213))</f>
        <v/>
      </c>
      <c r="H213" s="7">
        <f>IF($U213="","",G213*S213/100)</f>
        <v/>
      </c>
      <c r="I213" s="14">
        <f>IF($U213="","",INDEX('Per Line'!$R$2:$R$1501,$U213))</f>
        <v/>
      </c>
      <c r="J213">
        <f>IF($U213="","",INDEX('Per Line'!$Q$2:$Q$1501,$U213)&amp;"")</f>
        <v/>
      </c>
      <c r="K213">
        <f>IF($U213="","",Settings!$C$7)</f>
        <v/>
      </c>
      <c r="L213" s="7">
        <f>IF($U213="","",SUMIFS('Per Line'!$L$2:$L$1501,'Per Line'!$B$2:$B$1501,$A213,'Per Line'!$W$2:$W$1501,0))</f>
        <v/>
      </c>
      <c r="M213" s="7">
        <f>IF($U213="","",L213*K213)</f>
        <v/>
      </c>
      <c r="N213">
        <f>IF($U213="","",Settings!$C$6)</f>
        <v/>
      </c>
      <c r="O213" s="7">
        <f>IF($U213="","",SUMIFS('Per Line'!$L$2:$L$1501,'Per Line'!$B$2:$B$1501,$A213,'Per Line'!$W$2:$W$1501,1))</f>
        <v/>
      </c>
      <c r="P213" s="7">
        <f>IF($U213="","",O213*N213)</f>
        <v/>
      </c>
      <c r="Q213" s="7">
        <f>IF($U213="","",P213+M213)</f>
        <v/>
      </c>
      <c r="R213" s="7">
        <f>IF($U213="","",S213-Q213)</f>
        <v/>
      </c>
      <c r="S213" s="7">
        <f>IF($U213="","",L213+O213)</f>
        <v/>
      </c>
      <c r="T213" s="7">
        <f>IF($U213="","",S213-Q213-H213)</f>
        <v/>
      </c>
      <c r="U213" s="16">
        <f>IF(ROWS($U$2:$U213)&lt;=MAX('Per Line'!$V$2:$V$1501),MATCH(ROWS($U$2:$U213),'Per Line'!$V$2:$V$1501,0),"")</f>
        <v/>
      </c>
      <c r="V213">
        <f>IF($U213="","",B213&amp;"|"&amp;COUNTIF($B$2:$B213,B213))</f>
        <v/>
      </c>
    </row>
    <row r="214">
      <c r="A214">
        <f>IF($U214="","",INDEX('Per Line'!$B$2:$B$1501,$U214)&amp;"")</f>
        <v/>
      </c>
      <c r="B214">
        <f>IF($U214="","","COPY "&amp;G214&amp;" %")</f>
        <v/>
      </c>
      <c r="C214" s="15" t="n"/>
      <c r="D214">
        <f>IF($U214="","",INDEX('Per Line'!$C$2:$C$1501,$U214)&amp;"")</f>
        <v/>
      </c>
      <c r="E214">
        <f>IF($U214="","",INDEX('Per Line'!$D$2:$D$1501,$U214)&amp;"")</f>
        <v/>
      </c>
      <c r="F214">
        <f>IF($U214="","",INDEX('Per Line'!$E$2:$E$1501,$U214)&amp;"")</f>
        <v/>
      </c>
      <c r="G214">
        <f>IF($U214="","",INDEX('Per Line'!$F$2:$F$1501,$U214))</f>
        <v/>
      </c>
      <c r="H214" s="7">
        <f>IF($U214="","",G214*S214/100)</f>
        <v/>
      </c>
      <c r="I214" s="14">
        <f>IF($U214="","",INDEX('Per Line'!$R$2:$R$1501,$U214))</f>
        <v/>
      </c>
      <c r="J214">
        <f>IF($U214="","",INDEX('Per Line'!$Q$2:$Q$1501,$U214)&amp;"")</f>
        <v/>
      </c>
      <c r="K214">
        <f>IF($U214="","",Settings!$C$7)</f>
        <v/>
      </c>
      <c r="L214" s="7">
        <f>IF($U214="","",SUMIFS('Per Line'!$L$2:$L$1501,'Per Line'!$B$2:$B$1501,$A214,'Per Line'!$W$2:$W$1501,0))</f>
        <v/>
      </c>
      <c r="M214" s="7">
        <f>IF($U214="","",L214*K214)</f>
        <v/>
      </c>
      <c r="N214">
        <f>IF($U214="","",Settings!$C$6)</f>
        <v/>
      </c>
      <c r="O214" s="7">
        <f>IF($U214="","",SUMIFS('Per Line'!$L$2:$L$1501,'Per Line'!$B$2:$B$1501,$A214,'Per Line'!$W$2:$W$1501,1))</f>
        <v/>
      </c>
      <c r="P214" s="7">
        <f>IF($U214="","",O214*N214)</f>
        <v/>
      </c>
      <c r="Q214" s="7">
        <f>IF($U214="","",P214+M214)</f>
        <v/>
      </c>
      <c r="R214" s="7">
        <f>IF($U214="","",S214-Q214)</f>
        <v/>
      </c>
      <c r="S214" s="7">
        <f>IF($U214="","",L214+O214)</f>
        <v/>
      </c>
      <c r="T214" s="7">
        <f>IF($U214="","",S214-Q214-H214)</f>
        <v/>
      </c>
      <c r="U214" s="16">
        <f>IF(ROWS($U$2:$U214)&lt;=MAX('Per Line'!$V$2:$V$1501),MATCH(ROWS($U$2:$U214),'Per Line'!$V$2:$V$1501,0),"")</f>
        <v/>
      </c>
      <c r="V214">
        <f>IF($U214="","",B214&amp;"|"&amp;COUNTIF($B$2:$B214,B214))</f>
        <v/>
      </c>
    </row>
    <row r="215">
      <c r="A215">
        <f>IF($U215="","",INDEX('Per Line'!$B$2:$B$1501,$U215)&amp;"")</f>
        <v/>
      </c>
      <c r="B215">
        <f>IF($U215="","","COPY "&amp;G215&amp;" %")</f>
        <v/>
      </c>
      <c r="C215" s="15" t="n"/>
      <c r="D215">
        <f>IF($U215="","",INDEX('Per Line'!$C$2:$C$1501,$U215)&amp;"")</f>
        <v/>
      </c>
      <c r="E215">
        <f>IF($U215="","",INDEX('Per Line'!$D$2:$D$1501,$U215)&amp;"")</f>
        <v/>
      </c>
      <c r="F215">
        <f>IF($U215="","",INDEX('Per Line'!$E$2:$E$1501,$U215)&amp;"")</f>
        <v/>
      </c>
      <c r="G215">
        <f>IF($U215="","",INDEX('Per Line'!$F$2:$F$1501,$U215))</f>
        <v/>
      </c>
      <c r="H215" s="7">
        <f>IF($U215="","",G215*S215/100)</f>
        <v/>
      </c>
      <c r="I215" s="14">
        <f>IF($U215="","",INDEX('Per Line'!$R$2:$R$1501,$U215))</f>
        <v/>
      </c>
      <c r="J215">
        <f>IF($U215="","",INDEX('Per Line'!$Q$2:$Q$1501,$U215)&amp;"")</f>
        <v/>
      </c>
      <c r="K215">
        <f>IF($U215="","",Settings!$C$7)</f>
        <v/>
      </c>
      <c r="L215" s="7">
        <f>IF($U215="","",SUMIFS('Per Line'!$L$2:$L$1501,'Per Line'!$B$2:$B$1501,$A215,'Per Line'!$W$2:$W$1501,0))</f>
        <v/>
      </c>
      <c r="M215" s="7">
        <f>IF($U215="","",L215*K215)</f>
        <v/>
      </c>
      <c r="N215">
        <f>IF($U215="","",Settings!$C$6)</f>
        <v/>
      </c>
      <c r="O215" s="7">
        <f>IF($U215="","",SUMIFS('Per Line'!$L$2:$L$1501,'Per Line'!$B$2:$B$1501,$A215,'Per Line'!$W$2:$W$1501,1))</f>
        <v/>
      </c>
      <c r="P215" s="7">
        <f>IF($U215="","",O215*N215)</f>
        <v/>
      </c>
      <c r="Q215" s="7">
        <f>IF($U215="","",P215+M215)</f>
        <v/>
      </c>
      <c r="R215" s="7">
        <f>IF($U215="","",S215-Q215)</f>
        <v/>
      </c>
      <c r="S215" s="7">
        <f>IF($U215="","",L215+O215)</f>
        <v/>
      </c>
      <c r="T215" s="7">
        <f>IF($U215="","",S215-Q215-H215)</f>
        <v/>
      </c>
      <c r="U215" s="16">
        <f>IF(ROWS($U$2:$U215)&lt;=MAX('Per Line'!$V$2:$V$1501),MATCH(ROWS($U$2:$U215),'Per Line'!$V$2:$V$1501,0),"")</f>
        <v/>
      </c>
      <c r="V215">
        <f>IF($U215="","",B215&amp;"|"&amp;COUNTIF($B$2:$B215,B215))</f>
        <v/>
      </c>
    </row>
    <row r="216">
      <c r="A216">
        <f>IF($U216="","",INDEX('Per Line'!$B$2:$B$1501,$U216)&amp;"")</f>
        <v/>
      </c>
      <c r="B216">
        <f>IF($U216="","","COPY "&amp;G216&amp;" %")</f>
        <v/>
      </c>
      <c r="C216" s="15" t="n"/>
      <c r="D216">
        <f>IF($U216="","",INDEX('Per Line'!$C$2:$C$1501,$U216)&amp;"")</f>
        <v/>
      </c>
      <c r="E216">
        <f>IF($U216="","",INDEX('Per Line'!$D$2:$D$1501,$U216)&amp;"")</f>
        <v/>
      </c>
      <c r="F216">
        <f>IF($U216="","",INDEX('Per Line'!$E$2:$E$1501,$U216)&amp;"")</f>
        <v/>
      </c>
      <c r="G216">
        <f>IF($U216="","",INDEX('Per Line'!$F$2:$F$1501,$U216))</f>
        <v/>
      </c>
      <c r="H216" s="7">
        <f>IF($U216="","",G216*S216/100)</f>
        <v/>
      </c>
      <c r="I216" s="14">
        <f>IF($U216="","",INDEX('Per Line'!$R$2:$R$1501,$U216))</f>
        <v/>
      </c>
      <c r="J216">
        <f>IF($U216="","",INDEX('Per Line'!$Q$2:$Q$1501,$U216)&amp;"")</f>
        <v/>
      </c>
      <c r="K216">
        <f>IF($U216="","",Settings!$C$7)</f>
        <v/>
      </c>
      <c r="L216" s="7">
        <f>IF($U216="","",SUMIFS('Per Line'!$L$2:$L$1501,'Per Line'!$B$2:$B$1501,$A216,'Per Line'!$W$2:$W$1501,0))</f>
        <v/>
      </c>
      <c r="M216" s="7">
        <f>IF($U216="","",L216*K216)</f>
        <v/>
      </c>
      <c r="N216">
        <f>IF($U216="","",Settings!$C$6)</f>
        <v/>
      </c>
      <c r="O216" s="7">
        <f>IF($U216="","",SUMIFS('Per Line'!$L$2:$L$1501,'Per Line'!$B$2:$B$1501,$A216,'Per Line'!$W$2:$W$1501,1))</f>
        <v/>
      </c>
      <c r="P216" s="7">
        <f>IF($U216="","",O216*N216)</f>
        <v/>
      </c>
      <c r="Q216" s="7">
        <f>IF($U216="","",P216+M216)</f>
        <v/>
      </c>
      <c r="R216" s="7">
        <f>IF($U216="","",S216-Q216)</f>
        <v/>
      </c>
      <c r="S216" s="7">
        <f>IF($U216="","",L216+O216)</f>
        <v/>
      </c>
      <c r="T216" s="7">
        <f>IF($U216="","",S216-Q216-H216)</f>
        <v/>
      </c>
      <c r="U216" s="16">
        <f>IF(ROWS($U$2:$U216)&lt;=MAX('Per Line'!$V$2:$V$1501),MATCH(ROWS($U$2:$U216),'Per Line'!$V$2:$V$1501,0),"")</f>
        <v/>
      </c>
      <c r="V216">
        <f>IF($U216="","",B216&amp;"|"&amp;COUNTIF($B$2:$B216,B216))</f>
        <v/>
      </c>
    </row>
    <row r="217">
      <c r="A217">
        <f>IF($U217="","",INDEX('Per Line'!$B$2:$B$1501,$U217)&amp;"")</f>
        <v/>
      </c>
      <c r="B217">
        <f>IF($U217="","","COPY "&amp;G217&amp;" %")</f>
        <v/>
      </c>
      <c r="C217" s="15" t="n"/>
      <c r="D217">
        <f>IF($U217="","",INDEX('Per Line'!$C$2:$C$1501,$U217)&amp;"")</f>
        <v/>
      </c>
      <c r="E217">
        <f>IF($U217="","",INDEX('Per Line'!$D$2:$D$1501,$U217)&amp;"")</f>
        <v/>
      </c>
      <c r="F217">
        <f>IF($U217="","",INDEX('Per Line'!$E$2:$E$1501,$U217)&amp;"")</f>
        <v/>
      </c>
      <c r="G217">
        <f>IF($U217="","",INDEX('Per Line'!$F$2:$F$1501,$U217))</f>
        <v/>
      </c>
      <c r="H217" s="7">
        <f>IF($U217="","",G217*S217/100)</f>
        <v/>
      </c>
      <c r="I217" s="14">
        <f>IF($U217="","",INDEX('Per Line'!$R$2:$R$1501,$U217))</f>
        <v/>
      </c>
      <c r="J217">
        <f>IF($U217="","",INDEX('Per Line'!$Q$2:$Q$1501,$U217)&amp;"")</f>
        <v/>
      </c>
      <c r="K217">
        <f>IF($U217="","",Settings!$C$7)</f>
        <v/>
      </c>
      <c r="L217" s="7">
        <f>IF($U217="","",SUMIFS('Per Line'!$L$2:$L$1501,'Per Line'!$B$2:$B$1501,$A217,'Per Line'!$W$2:$W$1501,0))</f>
        <v/>
      </c>
      <c r="M217" s="7">
        <f>IF($U217="","",L217*K217)</f>
        <v/>
      </c>
      <c r="N217">
        <f>IF($U217="","",Settings!$C$6)</f>
        <v/>
      </c>
      <c r="O217" s="7">
        <f>IF($U217="","",SUMIFS('Per Line'!$L$2:$L$1501,'Per Line'!$B$2:$B$1501,$A217,'Per Line'!$W$2:$W$1501,1))</f>
        <v/>
      </c>
      <c r="P217" s="7">
        <f>IF($U217="","",O217*N217)</f>
        <v/>
      </c>
      <c r="Q217" s="7">
        <f>IF($U217="","",P217+M217)</f>
        <v/>
      </c>
      <c r="R217" s="7">
        <f>IF($U217="","",S217-Q217)</f>
        <v/>
      </c>
      <c r="S217" s="7">
        <f>IF($U217="","",L217+O217)</f>
        <v/>
      </c>
      <c r="T217" s="7">
        <f>IF($U217="","",S217-Q217-H217)</f>
        <v/>
      </c>
      <c r="U217" s="16">
        <f>IF(ROWS($U$2:$U217)&lt;=MAX('Per Line'!$V$2:$V$1501),MATCH(ROWS($U$2:$U217),'Per Line'!$V$2:$V$1501,0),"")</f>
        <v/>
      </c>
      <c r="V217">
        <f>IF($U217="","",B217&amp;"|"&amp;COUNTIF($B$2:$B217,B217))</f>
        <v/>
      </c>
    </row>
    <row r="218">
      <c r="A218">
        <f>IF($U218="","",INDEX('Per Line'!$B$2:$B$1501,$U218)&amp;"")</f>
        <v/>
      </c>
      <c r="B218">
        <f>IF($U218="","","COPY "&amp;G218&amp;" %")</f>
        <v/>
      </c>
      <c r="C218" s="15" t="n"/>
      <c r="D218">
        <f>IF($U218="","",INDEX('Per Line'!$C$2:$C$1501,$U218)&amp;"")</f>
        <v/>
      </c>
      <c r="E218">
        <f>IF($U218="","",INDEX('Per Line'!$D$2:$D$1501,$U218)&amp;"")</f>
        <v/>
      </c>
      <c r="F218">
        <f>IF($U218="","",INDEX('Per Line'!$E$2:$E$1501,$U218)&amp;"")</f>
        <v/>
      </c>
      <c r="G218">
        <f>IF($U218="","",INDEX('Per Line'!$F$2:$F$1501,$U218))</f>
        <v/>
      </c>
      <c r="H218" s="7">
        <f>IF($U218="","",G218*S218/100)</f>
        <v/>
      </c>
      <c r="I218" s="14">
        <f>IF($U218="","",INDEX('Per Line'!$R$2:$R$1501,$U218))</f>
        <v/>
      </c>
      <c r="J218">
        <f>IF($U218="","",INDEX('Per Line'!$Q$2:$Q$1501,$U218)&amp;"")</f>
        <v/>
      </c>
      <c r="K218">
        <f>IF($U218="","",Settings!$C$7)</f>
        <v/>
      </c>
      <c r="L218" s="7">
        <f>IF($U218="","",SUMIFS('Per Line'!$L$2:$L$1501,'Per Line'!$B$2:$B$1501,$A218,'Per Line'!$W$2:$W$1501,0))</f>
        <v/>
      </c>
      <c r="M218" s="7">
        <f>IF($U218="","",L218*K218)</f>
        <v/>
      </c>
      <c r="N218">
        <f>IF($U218="","",Settings!$C$6)</f>
        <v/>
      </c>
      <c r="O218" s="7">
        <f>IF($U218="","",SUMIFS('Per Line'!$L$2:$L$1501,'Per Line'!$B$2:$B$1501,$A218,'Per Line'!$W$2:$W$1501,1))</f>
        <v/>
      </c>
      <c r="P218" s="7">
        <f>IF($U218="","",O218*N218)</f>
        <v/>
      </c>
      <c r="Q218" s="7">
        <f>IF($U218="","",P218+M218)</f>
        <v/>
      </c>
      <c r="R218" s="7">
        <f>IF($U218="","",S218-Q218)</f>
        <v/>
      </c>
      <c r="S218" s="7">
        <f>IF($U218="","",L218+O218)</f>
        <v/>
      </c>
      <c r="T218" s="7">
        <f>IF($U218="","",S218-Q218-H218)</f>
        <v/>
      </c>
      <c r="U218" s="16">
        <f>IF(ROWS($U$2:$U218)&lt;=MAX('Per Line'!$V$2:$V$1501),MATCH(ROWS($U$2:$U218),'Per Line'!$V$2:$V$1501,0),"")</f>
        <v/>
      </c>
      <c r="V218">
        <f>IF($U218="","",B218&amp;"|"&amp;COUNTIF($B$2:$B218,B218))</f>
        <v/>
      </c>
    </row>
    <row r="219">
      <c r="A219">
        <f>IF($U219="","",INDEX('Per Line'!$B$2:$B$1501,$U219)&amp;"")</f>
        <v/>
      </c>
      <c r="B219">
        <f>IF($U219="","","COPY "&amp;G219&amp;" %")</f>
        <v/>
      </c>
      <c r="C219" s="15" t="n"/>
      <c r="D219">
        <f>IF($U219="","",INDEX('Per Line'!$C$2:$C$1501,$U219)&amp;"")</f>
        <v/>
      </c>
      <c r="E219">
        <f>IF($U219="","",INDEX('Per Line'!$D$2:$D$1501,$U219)&amp;"")</f>
        <v/>
      </c>
      <c r="F219">
        <f>IF($U219="","",INDEX('Per Line'!$E$2:$E$1501,$U219)&amp;"")</f>
        <v/>
      </c>
      <c r="G219">
        <f>IF($U219="","",INDEX('Per Line'!$F$2:$F$1501,$U219))</f>
        <v/>
      </c>
      <c r="H219" s="7">
        <f>IF($U219="","",G219*S219/100)</f>
        <v/>
      </c>
      <c r="I219" s="14">
        <f>IF($U219="","",INDEX('Per Line'!$R$2:$R$1501,$U219))</f>
        <v/>
      </c>
      <c r="J219">
        <f>IF($U219="","",INDEX('Per Line'!$Q$2:$Q$1501,$U219)&amp;"")</f>
        <v/>
      </c>
      <c r="K219">
        <f>IF($U219="","",Settings!$C$7)</f>
        <v/>
      </c>
      <c r="L219" s="7">
        <f>IF($U219="","",SUMIFS('Per Line'!$L$2:$L$1501,'Per Line'!$B$2:$B$1501,$A219,'Per Line'!$W$2:$W$1501,0))</f>
        <v/>
      </c>
      <c r="M219" s="7">
        <f>IF($U219="","",L219*K219)</f>
        <v/>
      </c>
      <c r="N219">
        <f>IF($U219="","",Settings!$C$6)</f>
        <v/>
      </c>
      <c r="O219" s="7">
        <f>IF($U219="","",SUMIFS('Per Line'!$L$2:$L$1501,'Per Line'!$B$2:$B$1501,$A219,'Per Line'!$W$2:$W$1501,1))</f>
        <v/>
      </c>
      <c r="P219" s="7">
        <f>IF($U219="","",O219*N219)</f>
        <v/>
      </c>
      <c r="Q219" s="7">
        <f>IF($U219="","",P219+M219)</f>
        <v/>
      </c>
      <c r="R219" s="7">
        <f>IF($U219="","",S219-Q219)</f>
        <v/>
      </c>
      <c r="S219" s="7">
        <f>IF($U219="","",L219+O219)</f>
        <v/>
      </c>
      <c r="T219" s="7">
        <f>IF($U219="","",S219-Q219-H219)</f>
        <v/>
      </c>
      <c r="U219" s="16">
        <f>IF(ROWS($U$2:$U219)&lt;=MAX('Per Line'!$V$2:$V$1501),MATCH(ROWS($U$2:$U219),'Per Line'!$V$2:$V$1501,0),"")</f>
        <v/>
      </c>
      <c r="V219">
        <f>IF($U219="","",B219&amp;"|"&amp;COUNTIF($B$2:$B219,B219))</f>
        <v/>
      </c>
    </row>
    <row r="220">
      <c r="A220">
        <f>IF($U220="","",INDEX('Per Line'!$B$2:$B$1501,$U220)&amp;"")</f>
        <v/>
      </c>
      <c r="B220">
        <f>IF($U220="","","COPY "&amp;G220&amp;" %")</f>
        <v/>
      </c>
      <c r="C220" s="15" t="n"/>
      <c r="D220">
        <f>IF($U220="","",INDEX('Per Line'!$C$2:$C$1501,$U220)&amp;"")</f>
        <v/>
      </c>
      <c r="E220">
        <f>IF($U220="","",INDEX('Per Line'!$D$2:$D$1501,$U220)&amp;"")</f>
        <v/>
      </c>
      <c r="F220">
        <f>IF($U220="","",INDEX('Per Line'!$E$2:$E$1501,$U220)&amp;"")</f>
        <v/>
      </c>
      <c r="G220">
        <f>IF($U220="","",INDEX('Per Line'!$F$2:$F$1501,$U220))</f>
        <v/>
      </c>
      <c r="H220" s="7">
        <f>IF($U220="","",G220*S220/100)</f>
        <v/>
      </c>
      <c r="I220" s="14">
        <f>IF($U220="","",INDEX('Per Line'!$R$2:$R$1501,$U220))</f>
        <v/>
      </c>
      <c r="J220">
        <f>IF($U220="","",INDEX('Per Line'!$Q$2:$Q$1501,$U220)&amp;"")</f>
        <v/>
      </c>
      <c r="K220">
        <f>IF($U220="","",Settings!$C$7)</f>
        <v/>
      </c>
      <c r="L220" s="7">
        <f>IF($U220="","",SUMIFS('Per Line'!$L$2:$L$1501,'Per Line'!$B$2:$B$1501,$A220,'Per Line'!$W$2:$W$1501,0))</f>
        <v/>
      </c>
      <c r="M220" s="7">
        <f>IF($U220="","",L220*K220)</f>
        <v/>
      </c>
      <c r="N220">
        <f>IF($U220="","",Settings!$C$6)</f>
        <v/>
      </c>
      <c r="O220" s="7">
        <f>IF($U220="","",SUMIFS('Per Line'!$L$2:$L$1501,'Per Line'!$B$2:$B$1501,$A220,'Per Line'!$W$2:$W$1501,1))</f>
        <v/>
      </c>
      <c r="P220" s="7">
        <f>IF($U220="","",O220*N220)</f>
        <v/>
      </c>
      <c r="Q220" s="7">
        <f>IF($U220="","",P220+M220)</f>
        <v/>
      </c>
      <c r="R220" s="7">
        <f>IF($U220="","",S220-Q220)</f>
        <v/>
      </c>
      <c r="S220" s="7">
        <f>IF($U220="","",L220+O220)</f>
        <v/>
      </c>
      <c r="T220" s="7">
        <f>IF($U220="","",S220-Q220-H220)</f>
        <v/>
      </c>
      <c r="U220" s="16">
        <f>IF(ROWS($U$2:$U220)&lt;=MAX('Per Line'!$V$2:$V$1501),MATCH(ROWS($U$2:$U220),'Per Line'!$V$2:$V$1501,0),"")</f>
        <v/>
      </c>
      <c r="V220">
        <f>IF($U220="","",B220&amp;"|"&amp;COUNTIF($B$2:$B220,B220))</f>
        <v/>
      </c>
    </row>
    <row r="221">
      <c r="A221">
        <f>IF($U221="","",INDEX('Per Line'!$B$2:$B$1501,$U221)&amp;"")</f>
        <v/>
      </c>
      <c r="B221">
        <f>IF($U221="","","COPY "&amp;G221&amp;" %")</f>
        <v/>
      </c>
      <c r="C221" s="15" t="n"/>
      <c r="D221">
        <f>IF($U221="","",INDEX('Per Line'!$C$2:$C$1501,$U221)&amp;"")</f>
        <v/>
      </c>
      <c r="E221">
        <f>IF($U221="","",INDEX('Per Line'!$D$2:$D$1501,$U221)&amp;"")</f>
        <v/>
      </c>
      <c r="F221">
        <f>IF($U221="","",INDEX('Per Line'!$E$2:$E$1501,$U221)&amp;"")</f>
        <v/>
      </c>
      <c r="G221">
        <f>IF($U221="","",INDEX('Per Line'!$F$2:$F$1501,$U221))</f>
        <v/>
      </c>
      <c r="H221" s="7">
        <f>IF($U221="","",G221*S221/100)</f>
        <v/>
      </c>
      <c r="I221" s="14">
        <f>IF($U221="","",INDEX('Per Line'!$R$2:$R$1501,$U221))</f>
        <v/>
      </c>
      <c r="J221">
        <f>IF($U221="","",INDEX('Per Line'!$Q$2:$Q$1501,$U221)&amp;"")</f>
        <v/>
      </c>
      <c r="K221">
        <f>IF($U221="","",Settings!$C$7)</f>
        <v/>
      </c>
      <c r="L221" s="7">
        <f>IF($U221="","",SUMIFS('Per Line'!$L$2:$L$1501,'Per Line'!$B$2:$B$1501,$A221,'Per Line'!$W$2:$W$1501,0))</f>
        <v/>
      </c>
      <c r="M221" s="7">
        <f>IF($U221="","",L221*K221)</f>
        <v/>
      </c>
      <c r="N221">
        <f>IF($U221="","",Settings!$C$6)</f>
        <v/>
      </c>
      <c r="O221" s="7">
        <f>IF($U221="","",SUMIFS('Per Line'!$L$2:$L$1501,'Per Line'!$B$2:$B$1501,$A221,'Per Line'!$W$2:$W$1501,1))</f>
        <v/>
      </c>
      <c r="P221" s="7">
        <f>IF($U221="","",O221*N221)</f>
        <v/>
      </c>
      <c r="Q221" s="7">
        <f>IF($U221="","",P221+M221)</f>
        <v/>
      </c>
      <c r="R221" s="7">
        <f>IF($U221="","",S221-Q221)</f>
        <v/>
      </c>
      <c r="S221" s="7">
        <f>IF($U221="","",L221+O221)</f>
        <v/>
      </c>
      <c r="T221" s="7">
        <f>IF($U221="","",S221-Q221-H221)</f>
        <v/>
      </c>
      <c r="U221" s="16">
        <f>IF(ROWS($U$2:$U221)&lt;=MAX('Per Line'!$V$2:$V$1501),MATCH(ROWS($U$2:$U221),'Per Line'!$V$2:$V$1501,0),"")</f>
        <v/>
      </c>
      <c r="V221">
        <f>IF($U221="","",B221&amp;"|"&amp;COUNTIF($B$2:$B221,B221))</f>
        <v/>
      </c>
    </row>
    <row r="222">
      <c r="A222">
        <f>IF($U222="","",INDEX('Per Line'!$B$2:$B$1501,$U222)&amp;"")</f>
        <v/>
      </c>
      <c r="B222">
        <f>IF($U222="","","COPY "&amp;G222&amp;" %")</f>
        <v/>
      </c>
      <c r="C222" s="15" t="n"/>
      <c r="D222">
        <f>IF($U222="","",INDEX('Per Line'!$C$2:$C$1501,$U222)&amp;"")</f>
        <v/>
      </c>
      <c r="E222">
        <f>IF($U222="","",INDEX('Per Line'!$D$2:$D$1501,$U222)&amp;"")</f>
        <v/>
      </c>
      <c r="F222">
        <f>IF($U222="","",INDEX('Per Line'!$E$2:$E$1501,$U222)&amp;"")</f>
        <v/>
      </c>
      <c r="G222">
        <f>IF($U222="","",INDEX('Per Line'!$F$2:$F$1501,$U222))</f>
        <v/>
      </c>
      <c r="H222" s="7">
        <f>IF($U222="","",G222*S222/100)</f>
        <v/>
      </c>
      <c r="I222" s="14">
        <f>IF($U222="","",INDEX('Per Line'!$R$2:$R$1501,$U222))</f>
        <v/>
      </c>
      <c r="J222">
        <f>IF($U222="","",INDEX('Per Line'!$Q$2:$Q$1501,$U222)&amp;"")</f>
        <v/>
      </c>
      <c r="K222">
        <f>IF($U222="","",Settings!$C$7)</f>
        <v/>
      </c>
      <c r="L222" s="7">
        <f>IF($U222="","",SUMIFS('Per Line'!$L$2:$L$1501,'Per Line'!$B$2:$B$1501,$A222,'Per Line'!$W$2:$W$1501,0))</f>
        <v/>
      </c>
      <c r="M222" s="7">
        <f>IF($U222="","",L222*K222)</f>
        <v/>
      </c>
      <c r="N222">
        <f>IF($U222="","",Settings!$C$6)</f>
        <v/>
      </c>
      <c r="O222" s="7">
        <f>IF($U222="","",SUMIFS('Per Line'!$L$2:$L$1501,'Per Line'!$B$2:$B$1501,$A222,'Per Line'!$W$2:$W$1501,1))</f>
        <v/>
      </c>
      <c r="P222" s="7">
        <f>IF($U222="","",O222*N222)</f>
        <v/>
      </c>
      <c r="Q222" s="7">
        <f>IF($U222="","",P222+M222)</f>
        <v/>
      </c>
      <c r="R222" s="7">
        <f>IF($U222="","",S222-Q222)</f>
        <v/>
      </c>
      <c r="S222" s="7">
        <f>IF($U222="","",L222+O222)</f>
        <v/>
      </c>
      <c r="T222" s="7">
        <f>IF($U222="","",S222-Q222-H222)</f>
        <v/>
      </c>
      <c r="U222" s="16">
        <f>IF(ROWS($U$2:$U222)&lt;=MAX('Per Line'!$V$2:$V$1501),MATCH(ROWS($U$2:$U222),'Per Line'!$V$2:$V$1501,0),"")</f>
        <v/>
      </c>
      <c r="V222">
        <f>IF($U222="","",B222&amp;"|"&amp;COUNTIF($B$2:$B222,B222))</f>
        <v/>
      </c>
    </row>
    <row r="223">
      <c r="A223">
        <f>IF($U223="","",INDEX('Per Line'!$B$2:$B$1501,$U223)&amp;"")</f>
        <v/>
      </c>
      <c r="B223">
        <f>IF($U223="","","COPY "&amp;G223&amp;" %")</f>
        <v/>
      </c>
      <c r="C223" s="15" t="n"/>
      <c r="D223">
        <f>IF($U223="","",INDEX('Per Line'!$C$2:$C$1501,$U223)&amp;"")</f>
        <v/>
      </c>
      <c r="E223">
        <f>IF($U223="","",INDEX('Per Line'!$D$2:$D$1501,$U223)&amp;"")</f>
        <v/>
      </c>
      <c r="F223">
        <f>IF($U223="","",INDEX('Per Line'!$E$2:$E$1501,$U223)&amp;"")</f>
        <v/>
      </c>
      <c r="G223">
        <f>IF($U223="","",INDEX('Per Line'!$F$2:$F$1501,$U223))</f>
        <v/>
      </c>
      <c r="H223" s="7">
        <f>IF($U223="","",G223*S223/100)</f>
        <v/>
      </c>
      <c r="I223" s="14">
        <f>IF($U223="","",INDEX('Per Line'!$R$2:$R$1501,$U223))</f>
        <v/>
      </c>
      <c r="J223">
        <f>IF($U223="","",INDEX('Per Line'!$Q$2:$Q$1501,$U223)&amp;"")</f>
        <v/>
      </c>
      <c r="K223">
        <f>IF($U223="","",Settings!$C$7)</f>
        <v/>
      </c>
      <c r="L223" s="7">
        <f>IF($U223="","",SUMIFS('Per Line'!$L$2:$L$1501,'Per Line'!$B$2:$B$1501,$A223,'Per Line'!$W$2:$W$1501,0))</f>
        <v/>
      </c>
      <c r="M223" s="7">
        <f>IF($U223="","",L223*K223)</f>
        <v/>
      </c>
      <c r="N223">
        <f>IF($U223="","",Settings!$C$6)</f>
        <v/>
      </c>
      <c r="O223" s="7">
        <f>IF($U223="","",SUMIFS('Per Line'!$L$2:$L$1501,'Per Line'!$B$2:$B$1501,$A223,'Per Line'!$W$2:$W$1501,1))</f>
        <v/>
      </c>
      <c r="P223" s="7">
        <f>IF($U223="","",O223*N223)</f>
        <v/>
      </c>
      <c r="Q223" s="7">
        <f>IF($U223="","",P223+M223)</f>
        <v/>
      </c>
      <c r="R223" s="7">
        <f>IF($U223="","",S223-Q223)</f>
        <v/>
      </c>
      <c r="S223" s="7">
        <f>IF($U223="","",L223+O223)</f>
        <v/>
      </c>
      <c r="T223" s="7">
        <f>IF($U223="","",S223-Q223-H223)</f>
        <v/>
      </c>
      <c r="U223" s="16">
        <f>IF(ROWS($U$2:$U223)&lt;=MAX('Per Line'!$V$2:$V$1501),MATCH(ROWS($U$2:$U223),'Per Line'!$V$2:$V$1501,0),"")</f>
        <v/>
      </c>
      <c r="V223">
        <f>IF($U223="","",B223&amp;"|"&amp;COUNTIF($B$2:$B223,B223))</f>
        <v/>
      </c>
    </row>
    <row r="224">
      <c r="A224">
        <f>IF($U224="","",INDEX('Per Line'!$B$2:$B$1501,$U224)&amp;"")</f>
        <v/>
      </c>
      <c r="B224">
        <f>IF($U224="","","COPY "&amp;G224&amp;" %")</f>
        <v/>
      </c>
      <c r="C224" s="15" t="n"/>
      <c r="D224">
        <f>IF($U224="","",INDEX('Per Line'!$C$2:$C$1501,$U224)&amp;"")</f>
        <v/>
      </c>
      <c r="E224">
        <f>IF($U224="","",INDEX('Per Line'!$D$2:$D$1501,$U224)&amp;"")</f>
        <v/>
      </c>
      <c r="F224">
        <f>IF($U224="","",INDEX('Per Line'!$E$2:$E$1501,$U224)&amp;"")</f>
        <v/>
      </c>
      <c r="G224">
        <f>IF($U224="","",INDEX('Per Line'!$F$2:$F$1501,$U224))</f>
        <v/>
      </c>
      <c r="H224" s="7">
        <f>IF($U224="","",G224*S224/100)</f>
        <v/>
      </c>
      <c r="I224" s="14">
        <f>IF($U224="","",INDEX('Per Line'!$R$2:$R$1501,$U224))</f>
        <v/>
      </c>
      <c r="J224">
        <f>IF($U224="","",INDEX('Per Line'!$Q$2:$Q$1501,$U224)&amp;"")</f>
        <v/>
      </c>
      <c r="K224">
        <f>IF($U224="","",Settings!$C$7)</f>
        <v/>
      </c>
      <c r="L224" s="7">
        <f>IF($U224="","",SUMIFS('Per Line'!$L$2:$L$1501,'Per Line'!$B$2:$B$1501,$A224,'Per Line'!$W$2:$W$1501,0))</f>
        <v/>
      </c>
      <c r="M224" s="7">
        <f>IF($U224="","",L224*K224)</f>
        <v/>
      </c>
      <c r="N224">
        <f>IF($U224="","",Settings!$C$6)</f>
        <v/>
      </c>
      <c r="O224" s="7">
        <f>IF($U224="","",SUMIFS('Per Line'!$L$2:$L$1501,'Per Line'!$B$2:$B$1501,$A224,'Per Line'!$W$2:$W$1501,1))</f>
        <v/>
      </c>
      <c r="P224" s="7">
        <f>IF($U224="","",O224*N224)</f>
        <v/>
      </c>
      <c r="Q224" s="7">
        <f>IF($U224="","",P224+M224)</f>
        <v/>
      </c>
      <c r="R224" s="7">
        <f>IF($U224="","",S224-Q224)</f>
        <v/>
      </c>
      <c r="S224" s="7">
        <f>IF($U224="","",L224+O224)</f>
        <v/>
      </c>
      <c r="T224" s="7">
        <f>IF($U224="","",S224-Q224-H224)</f>
        <v/>
      </c>
      <c r="U224" s="16">
        <f>IF(ROWS($U$2:$U224)&lt;=MAX('Per Line'!$V$2:$V$1501),MATCH(ROWS($U$2:$U224),'Per Line'!$V$2:$V$1501,0),"")</f>
        <v/>
      </c>
      <c r="V224">
        <f>IF($U224="","",B224&amp;"|"&amp;COUNTIF($B$2:$B224,B224))</f>
        <v/>
      </c>
    </row>
    <row r="225">
      <c r="A225">
        <f>IF($U225="","",INDEX('Per Line'!$B$2:$B$1501,$U225)&amp;"")</f>
        <v/>
      </c>
      <c r="B225">
        <f>IF($U225="","","COPY "&amp;G225&amp;" %")</f>
        <v/>
      </c>
      <c r="C225" s="15" t="n"/>
      <c r="D225">
        <f>IF($U225="","",INDEX('Per Line'!$C$2:$C$1501,$U225)&amp;"")</f>
        <v/>
      </c>
      <c r="E225">
        <f>IF($U225="","",INDEX('Per Line'!$D$2:$D$1501,$U225)&amp;"")</f>
        <v/>
      </c>
      <c r="F225">
        <f>IF($U225="","",INDEX('Per Line'!$E$2:$E$1501,$U225)&amp;"")</f>
        <v/>
      </c>
      <c r="G225">
        <f>IF($U225="","",INDEX('Per Line'!$F$2:$F$1501,$U225))</f>
        <v/>
      </c>
      <c r="H225" s="7">
        <f>IF($U225="","",G225*S225/100)</f>
        <v/>
      </c>
      <c r="I225" s="14">
        <f>IF($U225="","",INDEX('Per Line'!$R$2:$R$1501,$U225))</f>
        <v/>
      </c>
      <c r="J225">
        <f>IF($U225="","",INDEX('Per Line'!$Q$2:$Q$1501,$U225)&amp;"")</f>
        <v/>
      </c>
      <c r="K225">
        <f>IF($U225="","",Settings!$C$7)</f>
        <v/>
      </c>
      <c r="L225" s="7">
        <f>IF($U225="","",SUMIFS('Per Line'!$L$2:$L$1501,'Per Line'!$B$2:$B$1501,$A225,'Per Line'!$W$2:$W$1501,0))</f>
        <v/>
      </c>
      <c r="M225" s="7">
        <f>IF($U225="","",L225*K225)</f>
        <v/>
      </c>
      <c r="N225">
        <f>IF($U225="","",Settings!$C$6)</f>
        <v/>
      </c>
      <c r="O225" s="7">
        <f>IF($U225="","",SUMIFS('Per Line'!$L$2:$L$1501,'Per Line'!$B$2:$B$1501,$A225,'Per Line'!$W$2:$W$1501,1))</f>
        <v/>
      </c>
      <c r="P225" s="7">
        <f>IF($U225="","",O225*N225)</f>
        <v/>
      </c>
      <c r="Q225" s="7">
        <f>IF($U225="","",P225+M225)</f>
        <v/>
      </c>
      <c r="R225" s="7">
        <f>IF($U225="","",S225-Q225)</f>
        <v/>
      </c>
      <c r="S225" s="7">
        <f>IF($U225="","",L225+O225)</f>
        <v/>
      </c>
      <c r="T225" s="7">
        <f>IF($U225="","",S225-Q225-H225)</f>
        <v/>
      </c>
      <c r="U225" s="16">
        <f>IF(ROWS($U$2:$U225)&lt;=MAX('Per Line'!$V$2:$V$1501),MATCH(ROWS($U$2:$U225),'Per Line'!$V$2:$V$1501,0),"")</f>
        <v/>
      </c>
      <c r="V225">
        <f>IF($U225="","",B225&amp;"|"&amp;COUNTIF($B$2:$B225,B225))</f>
        <v/>
      </c>
    </row>
    <row r="226">
      <c r="A226">
        <f>IF($U226="","",INDEX('Per Line'!$B$2:$B$1501,$U226)&amp;"")</f>
        <v/>
      </c>
      <c r="B226">
        <f>IF($U226="","","COPY "&amp;G226&amp;" %")</f>
        <v/>
      </c>
      <c r="C226" s="15" t="n"/>
      <c r="D226">
        <f>IF($U226="","",INDEX('Per Line'!$C$2:$C$1501,$U226)&amp;"")</f>
        <v/>
      </c>
      <c r="E226">
        <f>IF($U226="","",INDEX('Per Line'!$D$2:$D$1501,$U226)&amp;"")</f>
        <v/>
      </c>
      <c r="F226">
        <f>IF($U226="","",INDEX('Per Line'!$E$2:$E$1501,$U226)&amp;"")</f>
        <v/>
      </c>
      <c r="G226">
        <f>IF($U226="","",INDEX('Per Line'!$F$2:$F$1501,$U226))</f>
        <v/>
      </c>
      <c r="H226" s="7">
        <f>IF($U226="","",G226*S226/100)</f>
        <v/>
      </c>
      <c r="I226" s="14">
        <f>IF($U226="","",INDEX('Per Line'!$R$2:$R$1501,$U226))</f>
        <v/>
      </c>
      <c r="J226">
        <f>IF($U226="","",INDEX('Per Line'!$Q$2:$Q$1501,$U226)&amp;"")</f>
        <v/>
      </c>
      <c r="K226">
        <f>IF($U226="","",Settings!$C$7)</f>
        <v/>
      </c>
      <c r="L226" s="7">
        <f>IF($U226="","",SUMIFS('Per Line'!$L$2:$L$1501,'Per Line'!$B$2:$B$1501,$A226,'Per Line'!$W$2:$W$1501,0))</f>
        <v/>
      </c>
      <c r="M226" s="7">
        <f>IF($U226="","",L226*K226)</f>
        <v/>
      </c>
      <c r="N226">
        <f>IF($U226="","",Settings!$C$6)</f>
        <v/>
      </c>
      <c r="O226" s="7">
        <f>IF($U226="","",SUMIFS('Per Line'!$L$2:$L$1501,'Per Line'!$B$2:$B$1501,$A226,'Per Line'!$W$2:$W$1501,1))</f>
        <v/>
      </c>
      <c r="P226" s="7">
        <f>IF($U226="","",O226*N226)</f>
        <v/>
      </c>
      <c r="Q226" s="7">
        <f>IF($U226="","",P226+M226)</f>
        <v/>
      </c>
      <c r="R226" s="7">
        <f>IF($U226="","",S226-Q226)</f>
        <v/>
      </c>
      <c r="S226" s="7">
        <f>IF($U226="","",L226+O226)</f>
        <v/>
      </c>
      <c r="T226" s="7">
        <f>IF($U226="","",S226-Q226-H226)</f>
        <v/>
      </c>
      <c r="U226" s="16">
        <f>IF(ROWS($U$2:$U226)&lt;=MAX('Per Line'!$V$2:$V$1501),MATCH(ROWS($U$2:$U226),'Per Line'!$V$2:$V$1501,0),"")</f>
        <v/>
      </c>
      <c r="V226">
        <f>IF($U226="","",B226&amp;"|"&amp;COUNTIF($B$2:$B226,B226))</f>
        <v/>
      </c>
    </row>
    <row r="227">
      <c r="A227">
        <f>IF($U227="","",INDEX('Per Line'!$B$2:$B$1501,$U227)&amp;"")</f>
        <v/>
      </c>
      <c r="B227">
        <f>IF($U227="","","COPY "&amp;G227&amp;" %")</f>
        <v/>
      </c>
      <c r="C227" s="15" t="n"/>
      <c r="D227">
        <f>IF($U227="","",INDEX('Per Line'!$C$2:$C$1501,$U227)&amp;"")</f>
        <v/>
      </c>
      <c r="E227">
        <f>IF($U227="","",INDEX('Per Line'!$D$2:$D$1501,$U227)&amp;"")</f>
        <v/>
      </c>
      <c r="F227">
        <f>IF($U227="","",INDEX('Per Line'!$E$2:$E$1501,$U227)&amp;"")</f>
        <v/>
      </c>
      <c r="G227">
        <f>IF($U227="","",INDEX('Per Line'!$F$2:$F$1501,$U227))</f>
        <v/>
      </c>
      <c r="H227" s="7">
        <f>IF($U227="","",G227*S227/100)</f>
        <v/>
      </c>
      <c r="I227" s="14">
        <f>IF($U227="","",INDEX('Per Line'!$R$2:$R$1501,$U227))</f>
        <v/>
      </c>
      <c r="J227">
        <f>IF($U227="","",INDEX('Per Line'!$Q$2:$Q$1501,$U227)&amp;"")</f>
        <v/>
      </c>
      <c r="K227">
        <f>IF($U227="","",Settings!$C$7)</f>
        <v/>
      </c>
      <c r="L227" s="7">
        <f>IF($U227="","",SUMIFS('Per Line'!$L$2:$L$1501,'Per Line'!$B$2:$B$1501,$A227,'Per Line'!$W$2:$W$1501,0))</f>
        <v/>
      </c>
      <c r="M227" s="7">
        <f>IF($U227="","",L227*K227)</f>
        <v/>
      </c>
      <c r="N227">
        <f>IF($U227="","",Settings!$C$6)</f>
        <v/>
      </c>
      <c r="O227" s="7">
        <f>IF($U227="","",SUMIFS('Per Line'!$L$2:$L$1501,'Per Line'!$B$2:$B$1501,$A227,'Per Line'!$W$2:$W$1501,1))</f>
        <v/>
      </c>
      <c r="P227" s="7">
        <f>IF($U227="","",O227*N227)</f>
        <v/>
      </c>
      <c r="Q227" s="7">
        <f>IF($U227="","",P227+M227)</f>
        <v/>
      </c>
      <c r="R227" s="7">
        <f>IF($U227="","",S227-Q227)</f>
        <v/>
      </c>
      <c r="S227" s="7">
        <f>IF($U227="","",L227+O227)</f>
        <v/>
      </c>
      <c r="T227" s="7">
        <f>IF($U227="","",S227-Q227-H227)</f>
        <v/>
      </c>
      <c r="U227" s="16">
        <f>IF(ROWS($U$2:$U227)&lt;=MAX('Per Line'!$V$2:$V$1501),MATCH(ROWS($U$2:$U227),'Per Line'!$V$2:$V$1501,0),"")</f>
        <v/>
      </c>
      <c r="V227">
        <f>IF($U227="","",B227&amp;"|"&amp;COUNTIF($B$2:$B227,B227))</f>
        <v/>
      </c>
    </row>
    <row r="228">
      <c r="A228">
        <f>IF($U228="","",INDEX('Per Line'!$B$2:$B$1501,$U228)&amp;"")</f>
        <v/>
      </c>
      <c r="B228">
        <f>IF($U228="","","COPY "&amp;G228&amp;" %")</f>
        <v/>
      </c>
      <c r="C228" s="15" t="n"/>
      <c r="D228">
        <f>IF($U228="","",INDEX('Per Line'!$C$2:$C$1501,$U228)&amp;"")</f>
        <v/>
      </c>
      <c r="E228">
        <f>IF($U228="","",INDEX('Per Line'!$D$2:$D$1501,$U228)&amp;"")</f>
        <v/>
      </c>
      <c r="F228">
        <f>IF($U228="","",INDEX('Per Line'!$E$2:$E$1501,$U228)&amp;"")</f>
        <v/>
      </c>
      <c r="G228">
        <f>IF($U228="","",INDEX('Per Line'!$F$2:$F$1501,$U228))</f>
        <v/>
      </c>
      <c r="H228" s="7">
        <f>IF($U228="","",G228*S228/100)</f>
        <v/>
      </c>
      <c r="I228" s="14">
        <f>IF($U228="","",INDEX('Per Line'!$R$2:$R$1501,$U228))</f>
        <v/>
      </c>
      <c r="J228">
        <f>IF($U228="","",INDEX('Per Line'!$Q$2:$Q$1501,$U228)&amp;"")</f>
        <v/>
      </c>
      <c r="K228">
        <f>IF($U228="","",Settings!$C$7)</f>
        <v/>
      </c>
      <c r="L228" s="7">
        <f>IF($U228="","",SUMIFS('Per Line'!$L$2:$L$1501,'Per Line'!$B$2:$B$1501,$A228,'Per Line'!$W$2:$W$1501,0))</f>
        <v/>
      </c>
      <c r="M228" s="7">
        <f>IF($U228="","",L228*K228)</f>
        <v/>
      </c>
      <c r="N228">
        <f>IF($U228="","",Settings!$C$6)</f>
        <v/>
      </c>
      <c r="O228" s="7">
        <f>IF($U228="","",SUMIFS('Per Line'!$L$2:$L$1501,'Per Line'!$B$2:$B$1501,$A228,'Per Line'!$W$2:$W$1501,1))</f>
        <v/>
      </c>
      <c r="P228" s="7">
        <f>IF($U228="","",O228*N228)</f>
        <v/>
      </c>
      <c r="Q228" s="7">
        <f>IF($U228="","",P228+M228)</f>
        <v/>
      </c>
      <c r="R228" s="7">
        <f>IF($U228="","",S228-Q228)</f>
        <v/>
      </c>
      <c r="S228" s="7">
        <f>IF($U228="","",L228+O228)</f>
        <v/>
      </c>
      <c r="T228" s="7">
        <f>IF($U228="","",S228-Q228-H228)</f>
        <v/>
      </c>
      <c r="U228" s="16">
        <f>IF(ROWS($U$2:$U228)&lt;=MAX('Per Line'!$V$2:$V$1501),MATCH(ROWS($U$2:$U228),'Per Line'!$V$2:$V$1501,0),"")</f>
        <v/>
      </c>
      <c r="V228">
        <f>IF($U228="","",B228&amp;"|"&amp;COUNTIF($B$2:$B228,B228))</f>
        <v/>
      </c>
    </row>
    <row r="229">
      <c r="A229">
        <f>IF($U229="","",INDEX('Per Line'!$B$2:$B$1501,$U229)&amp;"")</f>
        <v/>
      </c>
      <c r="B229">
        <f>IF($U229="","","COPY "&amp;G229&amp;" %")</f>
        <v/>
      </c>
      <c r="C229" s="15" t="n"/>
      <c r="D229">
        <f>IF($U229="","",INDEX('Per Line'!$C$2:$C$1501,$U229)&amp;"")</f>
        <v/>
      </c>
      <c r="E229">
        <f>IF($U229="","",INDEX('Per Line'!$D$2:$D$1501,$U229)&amp;"")</f>
        <v/>
      </c>
      <c r="F229">
        <f>IF($U229="","",INDEX('Per Line'!$E$2:$E$1501,$U229)&amp;"")</f>
        <v/>
      </c>
      <c r="G229">
        <f>IF($U229="","",INDEX('Per Line'!$F$2:$F$1501,$U229))</f>
        <v/>
      </c>
      <c r="H229" s="7">
        <f>IF($U229="","",G229*S229/100)</f>
        <v/>
      </c>
      <c r="I229" s="14">
        <f>IF($U229="","",INDEX('Per Line'!$R$2:$R$1501,$U229))</f>
        <v/>
      </c>
      <c r="J229">
        <f>IF($U229="","",INDEX('Per Line'!$Q$2:$Q$1501,$U229)&amp;"")</f>
        <v/>
      </c>
      <c r="K229">
        <f>IF($U229="","",Settings!$C$7)</f>
        <v/>
      </c>
      <c r="L229" s="7">
        <f>IF($U229="","",SUMIFS('Per Line'!$L$2:$L$1501,'Per Line'!$B$2:$B$1501,$A229,'Per Line'!$W$2:$W$1501,0))</f>
        <v/>
      </c>
      <c r="M229" s="7">
        <f>IF($U229="","",L229*K229)</f>
        <v/>
      </c>
      <c r="N229">
        <f>IF($U229="","",Settings!$C$6)</f>
        <v/>
      </c>
      <c r="O229" s="7">
        <f>IF($U229="","",SUMIFS('Per Line'!$L$2:$L$1501,'Per Line'!$B$2:$B$1501,$A229,'Per Line'!$W$2:$W$1501,1))</f>
        <v/>
      </c>
      <c r="P229" s="7">
        <f>IF($U229="","",O229*N229)</f>
        <v/>
      </c>
      <c r="Q229" s="7">
        <f>IF($U229="","",P229+M229)</f>
        <v/>
      </c>
      <c r="R229" s="7">
        <f>IF($U229="","",S229-Q229)</f>
        <v/>
      </c>
      <c r="S229" s="7">
        <f>IF($U229="","",L229+O229)</f>
        <v/>
      </c>
      <c r="T229" s="7">
        <f>IF($U229="","",S229-Q229-H229)</f>
        <v/>
      </c>
      <c r="U229" s="16">
        <f>IF(ROWS($U$2:$U229)&lt;=MAX('Per Line'!$V$2:$V$1501),MATCH(ROWS($U$2:$U229),'Per Line'!$V$2:$V$1501,0),"")</f>
        <v/>
      </c>
      <c r="V229">
        <f>IF($U229="","",B229&amp;"|"&amp;COUNTIF($B$2:$B229,B229))</f>
        <v/>
      </c>
    </row>
    <row r="230">
      <c r="A230">
        <f>IF($U230="","",INDEX('Per Line'!$B$2:$B$1501,$U230)&amp;"")</f>
        <v/>
      </c>
      <c r="B230">
        <f>IF($U230="","","COPY "&amp;G230&amp;" %")</f>
        <v/>
      </c>
      <c r="C230" s="15" t="n"/>
      <c r="D230">
        <f>IF($U230="","",INDEX('Per Line'!$C$2:$C$1501,$U230)&amp;"")</f>
        <v/>
      </c>
      <c r="E230">
        <f>IF($U230="","",INDEX('Per Line'!$D$2:$D$1501,$U230)&amp;"")</f>
        <v/>
      </c>
      <c r="F230">
        <f>IF($U230="","",INDEX('Per Line'!$E$2:$E$1501,$U230)&amp;"")</f>
        <v/>
      </c>
      <c r="G230">
        <f>IF($U230="","",INDEX('Per Line'!$F$2:$F$1501,$U230))</f>
        <v/>
      </c>
      <c r="H230" s="7">
        <f>IF($U230="","",G230*S230/100)</f>
        <v/>
      </c>
      <c r="I230" s="14">
        <f>IF($U230="","",INDEX('Per Line'!$R$2:$R$1501,$U230))</f>
        <v/>
      </c>
      <c r="J230">
        <f>IF($U230="","",INDEX('Per Line'!$Q$2:$Q$1501,$U230)&amp;"")</f>
        <v/>
      </c>
      <c r="K230">
        <f>IF($U230="","",Settings!$C$7)</f>
        <v/>
      </c>
      <c r="L230" s="7">
        <f>IF($U230="","",SUMIFS('Per Line'!$L$2:$L$1501,'Per Line'!$B$2:$B$1501,$A230,'Per Line'!$W$2:$W$1501,0))</f>
        <v/>
      </c>
      <c r="M230" s="7">
        <f>IF($U230="","",L230*K230)</f>
        <v/>
      </c>
      <c r="N230">
        <f>IF($U230="","",Settings!$C$6)</f>
        <v/>
      </c>
      <c r="O230" s="7">
        <f>IF($U230="","",SUMIFS('Per Line'!$L$2:$L$1501,'Per Line'!$B$2:$B$1501,$A230,'Per Line'!$W$2:$W$1501,1))</f>
        <v/>
      </c>
      <c r="P230" s="7">
        <f>IF($U230="","",O230*N230)</f>
        <v/>
      </c>
      <c r="Q230" s="7">
        <f>IF($U230="","",P230+M230)</f>
        <v/>
      </c>
      <c r="R230" s="7">
        <f>IF($U230="","",S230-Q230)</f>
        <v/>
      </c>
      <c r="S230" s="7">
        <f>IF($U230="","",L230+O230)</f>
        <v/>
      </c>
      <c r="T230" s="7">
        <f>IF($U230="","",S230-Q230-H230)</f>
        <v/>
      </c>
      <c r="U230" s="16">
        <f>IF(ROWS($U$2:$U230)&lt;=MAX('Per Line'!$V$2:$V$1501),MATCH(ROWS($U$2:$U230),'Per Line'!$V$2:$V$1501,0),"")</f>
        <v/>
      </c>
      <c r="V230">
        <f>IF($U230="","",B230&amp;"|"&amp;COUNTIF($B$2:$B230,B230))</f>
        <v/>
      </c>
    </row>
    <row r="231">
      <c r="A231">
        <f>IF($U231="","",INDEX('Per Line'!$B$2:$B$1501,$U231)&amp;"")</f>
        <v/>
      </c>
      <c r="B231">
        <f>IF($U231="","","COPY "&amp;G231&amp;" %")</f>
        <v/>
      </c>
      <c r="C231" s="15" t="n"/>
      <c r="D231">
        <f>IF($U231="","",INDEX('Per Line'!$C$2:$C$1501,$U231)&amp;"")</f>
        <v/>
      </c>
      <c r="E231">
        <f>IF($U231="","",INDEX('Per Line'!$D$2:$D$1501,$U231)&amp;"")</f>
        <v/>
      </c>
      <c r="F231">
        <f>IF($U231="","",INDEX('Per Line'!$E$2:$E$1501,$U231)&amp;"")</f>
        <v/>
      </c>
      <c r="G231">
        <f>IF($U231="","",INDEX('Per Line'!$F$2:$F$1501,$U231))</f>
        <v/>
      </c>
      <c r="H231" s="7">
        <f>IF($U231="","",G231*S231/100)</f>
        <v/>
      </c>
      <c r="I231" s="14">
        <f>IF($U231="","",INDEX('Per Line'!$R$2:$R$1501,$U231))</f>
        <v/>
      </c>
      <c r="J231">
        <f>IF($U231="","",INDEX('Per Line'!$Q$2:$Q$1501,$U231)&amp;"")</f>
        <v/>
      </c>
      <c r="K231">
        <f>IF($U231="","",Settings!$C$7)</f>
        <v/>
      </c>
      <c r="L231" s="7">
        <f>IF($U231="","",SUMIFS('Per Line'!$L$2:$L$1501,'Per Line'!$B$2:$B$1501,$A231,'Per Line'!$W$2:$W$1501,0))</f>
        <v/>
      </c>
      <c r="M231" s="7">
        <f>IF($U231="","",L231*K231)</f>
        <v/>
      </c>
      <c r="N231">
        <f>IF($U231="","",Settings!$C$6)</f>
        <v/>
      </c>
      <c r="O231" s="7">
        <f>IF($U231="","",SUMIFS('Per Line'!$L$2:$L$1501,'Per Line'!$B$2:$B$1501,$A231,'Per Line'!$W$2:$W$1501,1))</f>
        <v/>
      </c>
      <c r="P231" s="7">
        <f>IF($U231="","",O231*N231)</f>
        <v/>
      </c>
      <c r="Q231" s="7">
        <f>IF($U231="","",P231+M231)</f>
        <v/>
      </c>
      <c r="R231" s="7">
        <f>IF($U231="","",S231-Q231)</f>
        <v/>
      </c>
      <c r="S231" s="7">
        <f>IF($U231="","",L231+O231)</f>
        <v/>
      </c>
      <c r="T231" s="7">
        <f>IF($U231="","",S231-Q231-H231)</f>
        <v/>
      </c>
      <c r="U231" s="16">
        <f>IF(ROWS($U$2:$U231)&lt;=MAX('Per Line'!$V$2:$V$1501),MATCH(ROWS($U$2:$U231),'Per Line'!$V$2:$V$1501,0),"")</f>
        <v/>
      </c>
      <c r="V231">
        <f>IF($U231="","",B231&amp;"|"&amp;COUNTIF($B$2:$B231,B231))</f>
        <v/>
      </c>
    </row>
    <row r="232">
      <c r="A232">
        <f>IF($U232="","",INDEX('Per Line'!$B$2:$B$1501,$U232)&amp;"")</f>
        <v/>
      </c>
      <c r="B232">
        <f>IF($U232="","","COPY "&amp;G232&amp;" %")</f>
        <v/>
      </c>
      <c r="C232" s="15" t="n"/>
      <c r="D232">
        <f>IF($U232="","",INDEX('Per Line'!$C$2:$C$1501,$U232)&amp;"")</f>
        <v/>
      </c>
      <c r="E232">
        <f>IF($U232="","",INDEX('Per Line'!$D$2:$D$1501,$U232)&amp;"")</f>
        <v/>
      </c>
      <c r="F232">
        <f>IF($U232="","",INDEX('Per Line'!$E$2:$E$1501,$U232)&amp;"")</f>
        <v/>
      </c>
      <c r="G232">
        <f>IF($U232="","",INDEX('Per Line'!$F$2:$F$1501,$U232))</f>
        <v/>
      </c>
      <c r="H232" s="7">
        <f>IF($U232="","",G232*S232/100)</f>
        <v/>
      </c>
      <c r="I232" s="14">
        <f>IF($U232="","",INDEX('Per Line'!$R$2:$R$1501,$U232))</f>
        <v/>
      </c>
      <c r="J232">
        <f>IF($U232="","",INDEX('Per Line'!$Q$2:$Q$1501,$U232)&amp;"")</f>
        <v/>
      </c>
      <c r="K232">
        <f>IF($U232="","",Settings!$C$7)</f>
        <v/>
      </c>
      <c r="L232" s="7">
        <f>IF($U232="","",SUMIFS('Per Line'!$L$2:$L$1501,'Per Line'!$B$2:$B$1501,$A232,'Per Line'!$W$2:$W$1501,0))</f>
        <v/>
      </c>
      <c r="M232" s="7">
        <f>IF($U232="","",L232*K232)</f>
        <v/>
      </c>
      <c r="N232">
        <f>IF($U232="","",Settings!$C$6)</f>
        <v/>
      </c>
      <c r="O232" s="7">
        <f>IF($U232="","",SUMIFS('Per Line'!$L$2:$L$1501,'Per Line'!$B$2:$B$1501,$A232,'Per Line'!$W$2:$W$1501,1))</f>
        <v/>
      </c>
      <c r="P232" s="7">
        <f>IF($U232="","",O232*N232)</f>
        <v/>
      </c>
      <c r="Q232" s="7">
        <f>IF($U232="","",P232+M232)</f>
        <v/>
      </c>
      <c r="R232" s="7">
        <f>IF($U232="","",S232-Q232)</f>
        <v/>
      </c>
      <c r="S232" s="7">
        <f>IF($U232="","",L232+O232)</f>
        <v/>
      </c>
      <c r="T232" s="7">
        <f>IF($U232="","",S232-Q232-H232)</f>
        <v/>
      </c>
      <c r="U232" s="16">
        <f>IF(ROWS($U$2:$U232)&lt;=MAX('Per Line'!$V$2:$V$1501),MATCH(ROWS($U$2:$U232),'Per Line'!$V$2:$V$1501,0),"")</f>
        <v/>
      </c>
      <c r="V232">
        <f>IF($U232="","",B232&amp;"|"&amp;COUNTIF($B$2:$B232,B232))</f>
        <v/>
      </c>
    </row>
    <row r="233">
      <c r="A233">
        <f>IF($U233="","",INDEX('Per Line'!$B$2:$B$1501,$U233)&amp;"")</f>
        <v/>
      </c>
      <c r="B233">
        <f>IF($U233="","","COPY "&amp;G233&amp;" %")</f>
        <v/>
      </c>
      <c r="C233" s="15" t="n"/>
      <c r="D233">
        <f>IF($U233="","",INDEX('Per Line'!$C$2:$C$1501,$U233)&amp;"")</f>
        <v/>
      </c>
      <c r="E233">
        <f>IF($U233="","",INDEX('Per Line'!$D$2:$D$1501,$U233)&amp;"")</f>
        <v/>
      </c>
      <c r="F233">
        <f>IF($U233="","",INDEX('Per Line'!$E$2:$E$1501,$U233)&amp;"")</f>
        <v/>
      </c>
      <c r="G233">
        <f>IF($U233="","",INDEX('Per Line'!$F$2:$F$1501,$U233))</f>
        <v/>
      </c>
      <c r="H233" s="7">
        <f>IF($U233="","",G233*S233/100)</f>
        <v/>
      </c>
      <c r="I233" s="14">
        <f>IF($U233="","",INDEX('Per Line'!$R$2:$R$1501,$U233))</f>
        <v/>
      </c>
      <c r="J233">
        <f>IF($U233="","",INDEX('Per Line'!$Q$2:$Q$1501,$U233)&amp;"")</f>
        <v/>
      </c>
      <c r="K233">
        <f>IF($U233="","",Settings!$C$7)</f>
        <v/>
      </c>
      <c r="L233" s="7">
        <f>IF($U233="","",SUMIFS('Per Line'!$L$2:$L$1501,'Per Line'!$B$2:$B$1501,$A233,'Per Line'!$W$2:$W$1501,0))</f>
        <v/>
      </c>
      <c r="M233" s="7">
        <f>IF($U233="","",L233*K233)</f>
        <v/>
      </c>
      <c r="N233">
        <f>IF($U233="","",Settings!$C$6)</f>
        <v/>
      </c>
      <c r="O233" s="7">
        <f>IF($U233="","",SUMIFS('Per Line'!$L$2:$L$1501,'Per Line'!$B$2:$B$1501,$A233,'Per Line'!$W$2:$W$1501,1))</f>
        <v/>
      </c>
      <c r="P233" s="7">
        <f>IF($U233="","",O233*N233)</f>
        <v/>
      </c>
      <c r="Q233" s="7">
        <f>IF($U233="","",P233+M233)</f>
        <v/>
      </c>
      <c r="R233" s="7">
        <f>IF($U233="","",S233-Q233)</f>
        <v/>
      </c>
      <c r="S233" s="7">
        <f>IF($U233="","",L233+O233)</f>
        <v/>
      </c>
      <c r="T233" s="7">
        <f>IF($U233="","",S233-Q233-H233)</f>
        <v/>
      </c>
      <c r="U233" s="16">
        <f>IF(ROWS($U$2:$U233)&lt;=MAX('Per Line'!$V$2:$V$1501),MATCH(ROWS($U$2:$U233),'Per Line'!$V$2:$V$1501,0),"")</f>
        <v/>
      </c>
      <c r="V233">
        <f>IF($U233="","",B233&amp;"|"&amp;COUNTIF($B$2:$B233,B233))</f>
        <v/>
      </c>
    </row>
    <row r="234">
      <c r="A234">
        <f>IF($U234="","",INDEX('Per Line'!$B$2:$B$1501,$U234)&amp;"")</f>
        <v/>
      </c>
      <c r="B234">
        <f>IF($U234="","","COPY "&amp;G234&amp;" %")</f>
        <v/>
      </c>
      <c r="C234" s="15" t="n"/>
      <c r="D234">
        <f>IF($U234="","",INDEX('Per Line'!$C$2:$C$1501,$U234)&amp;"")</f>
        <v/>
      </c>
      <c r="E234">
        <f>IF($U234="","",INDEX('Per Line'!$D$2:$D$1501,$U234)&amp;"")</f>
        <v/>
      </c>
      <c r="F234">
        <f>IF($U234="","",INDEX('Per Line'!$E$2:$E$1501,$U234)&amp;"")</f>
        <v/>
      </c>
      <c r="G234">
        <f>IF($U234="","",INDEX('Per Line'!$F$2:$F$1501,$U234))</f>
        <v/>
      </c>
      <c r="H234" s="7">
        <f>IF($U234="","",G234*S234/100)</f>
        <v/>
      </c>
      <c r="I234" s="14">
        <f>IF($U234="","",INDEX('Per Line'!$R$2:$R$1501,$U234))</f>
        <v/>
      </c>
      <c r="J234">
        <f>IF($U234="","",INDEX('Per Line'!$Q$2:$Q$1501,$U234)&amp;"")</f>
        <v/>
      </c>
      <c r="K234">
        <f>IF($U234="","",Settings!$C$7)</f>
        <v/>
      </c>
      <c r="L234" s="7">
        <f>IF($U234="","",SUMIFS('Per Line'!$L$2:$L$1501,'Per Line'!$B$2:$B$1501,$A234,'Per Line'!$W$2:$W$1501,0))</f>
        <v/>
      </c>
      <c r="M234" s="7">
        <f>IF($U234="","",L234*K234)</f>
        <v/>
      </c>
      <c r="N234">
        <f>IF($U234="","",Settings!$C$6)</f>
        <v/>
      </c>
      <c r="O234" s="7">
        <f>IF($U234="","",SUMIFS('Per Line'!$L$2:$L$1501,'Per Line'!$B$2:$B$1501,$A234,'Per Line'!$W$2:$W$1501,1))</f>
        <v/>
      </c>
      <c r="P234" s="7">
        <f>IF($U234="","",O234*N234)</f>
        <v/>
      </c>
      <c r="Q234" s="7">
        <f>IF($U234="","",P234+M234)</f>
        <v/>
      </c>
      <c r="R234" s="7">
        <f>IF($U234="","",S234-Q234)</f>
        <v/>
      </c>
      <c r="S234" s="7">
        <f>IF($U234="","",L234+O234)</f>
        <v/>
      </c>
      <c r="T234" s="7">
        <f>IF($U234="","",S234-Q234-H234)</f>
        <v/>
      </c>
      <c r="U234" s="16">
        <f>IF(ROWS($U$2:$U234)&lt;=MAX('Per Line'!$V$2:$V$1501),MATCH(ROWS($U$2:$U234),'Per Line'!$V$2:$V$1501,0),"")</f>
        <v/>
      </c>
      <c r="V234">
        <f>IF($U234="","",B234&amp;"|"&amp;COUNTIF($B$2:$B234,B234))</f>
        <v/>
      </c>
    </row>
    <row r="235">
      <c r="A235">
        <f>IF($U235="","",INDEX('Per Line'!$B$2:$B$1501,$U235)&amp;"")</f>
        <v/>
      </c>
      <c r="B235">
        <f>IF($U235="","","COPY "&amp;G235&amp;" %")</f>
        <v/>
      </c>
      <c r="C235" s="15" t="n"/>
      <c r="D235">
        <f>IF($U235="","",INDEX('Per Line'!$C$2:$C$1501,$U235)&amp;"")</f>
        <v/>
      </c>
      <c r="E235">
        <f>IF($U235="","",INDEX('Per Line'!$D$2:$D$1501,$U235)&amp;"")</f>
        <v/>
      </c>
      <c r="F235">
        <f>IF($U235="","",INDEX('Per Line'!$E$2:$E$1501,$U235)&amp;"")</f>
        <v/>
      </c>
      <c r="G235">
        <f>IF($U235="","",INDEX('Per Line'!$F$2:$F$1501,$U235))</f>
        <v/>
      </c>
      <c r="H235" s="7">
        <f>IF($U235="","",G235*S235/100)</f>
        <v/>
      </c>
      <c r="I235" s="14">
        <f>IF($U235="","",INDEX('Per Line'!$R$2:$R$1501,$U235))</f>
        <v/>
      </c>
      <c r="J235">
        <f>IF($U235="","",INDEX('Per Line'!$Q$2:$Q$1501,$U235)&amp;"")</f>
        <v/>
      </c>
      <c r="K235">
        <f>IF($U235="","",Settings!$C$7)</f>
        <v/>
      </c>
      <c r="L235" s="7">
        <f>IF($U235="","",SUMIFS('Per Line'!$L$2:$L$1501,'Per Line'!$B$2:$B$1501,$A235,'Per Line'!$W$2:$W$1501,0))</f>
        <v/>
      </c>
      <c r="M235" s="7">
        <f>IF($U235="","",L235*K235)</f>
        <v/>
      </c>
      <c r="N235">
        <f>IF($U235="","",Settings!$C$6)</f>
        <v/>
      </c>
      <c r="O235" s="7">
        <f>IF($U235="","",SUMIFS('Per Line'!$L$2:$L$1501,'Per Line'!$B$2:$B$1501,$A235,'Per Line'!$W$2:$W$1501,1))</f>
        <v/>
      </c>
      <c r="P235" s="7">
        <f>IF($U235="","",O235*N235)</f>
        <v/>
      </c>
      <c r="Q235" s="7">
        <f>IF($U235="","",P235+M235)</f>
        <v/>
      </c>
      <c r="R235" s="7">
        <f>IF($U235="","",S235-Q235)</f>
        <v/>
      </c>
      <c r="S235" s="7">
        <f>IF($U235="","",L235+O235)</f>
        <v/>
      </c>
      <c r="T235" s="7">
        <f>IF($U235="","",S235-Q235-H235)</f>
        <v/>
      </c>
      <c r="U235" s="16">
        <f>IF(ROWS($U$2:$U235)&lt;=MAX('Per Line'!$V$2:$V$1501),MATCH(ROWS($U$2:$U235),'Per Line'!$V$2:$V$1501,0),"")</f>
        <v/>
      </c>
      <c r="V235">
        <f>IF($U235="","",B235&amp;"|"&amp;COUNTIF($B$2:$B235,B235))</f>
        <v/>
      </c>
    </row>
    <row r="236">
      <c r="A236">
        <f>IF($U236="","",INDEX('Per Line'!$B$2:$B$1501,$U236)&amp;"")</f>
        <v/>
      </c>
      <c r="B236">
        <f>IF($U236="","","COPY "&amp;G236&amp;" %")</f>
        <v/>
      </c>
      <c r="C236" s="15" t="n"/>
      <c r="D236">
        <f>IF($U236="","",INDEX('Per Line'!$C$2:$C$1501,$U236)&amp;"")</f>
        <v/>
      </c>
      <c r="E236">
        <f>IF($U236="","",INDEX('Per Line'!$D$2:$D$1501,$U236)&amp;"")</f>
        <v/>
      </c>
      <c r="F236">
        <f>IF($U236="","",INDEX('Per Line'!$E$2:$E$1501,$U236)&amp;"")</f>
        <v/>
      </c>
      <c r="G236">
        <f>IF($U236="","",INDEX('Per Line'!$F$2:$F$1501,$U236))</f>
        <v/>
      </c>
      <c r="H236" s="7">
        <f>IF($U236="","",G236*S236/100)</f>
        <v/>
      </c>
      <c r="I236" s="14">
        <f>IF($U236="","",INDEX('Per Line'!$R$2:$R$1501,$U236))</f>
        <v/>
      </c>
      <c r="J236">
        <f>IF($U236="","",INDEX('Per Line'!$Q$2:$Q$1501,$U236)&amp;"")</f>
        <v/>
      </c>
      <c r="K236">
        <f>IF($U236="","",Settings!$C$7)</f>
        <v/>
      </c>
      <c r="L236" s="7">
        <f>IF($U236="","",SUMIFS('Per Line'!$L$2:$L$1501,'Per Line'!$B$2:$B$1501,$A236,'Per Line'!$W$2:$W$1501,0))</f>
        <v/>
      </c>
      <c r="M236" s="7">
        <f>IF($U236="","",L236*K236)</f>
        <v/>
      </c>
      <c r="N236">
        <f>IF($U236="","",Settings!$C$6)</f>
        <v/>
      </c>
      <c r="O236" s="7">
        <f>IF($U236="","",SUMIFS('Per Line'!$L$2:$L$1501,'Per Line'!$B$2:$B$1501,$A236,'Per Line'!$W$2:$W$1501,1))</f>
        <v/>
      </c>
      <c r="P236" s="7">
        <f>IF($U236="","",O236*N236)</f>
        <v/>
      </c>
      <c r="Q236" s="7">
        <f>IF($U236="","",P236+M236)</f>
        <v/>
      </c>
      <c r="R236" s="7">
        <f>IF($U236="","",S236-Q236)</f>
        <v/>
      </c>
      <c r="S236" s="7">
        <f>IF($U236="","",L236+O236)</f>
        <v/>
      </c>
      <c r="T236" s="7">
        <f>IF($U236="","",S236-Q236-H236)</f>
        <v/>
      </c>
      <c r="U236" s="16">
        <f>IF(ROWS($U$2:$U236)&lt;=MAX('Per Line'!$V$2:$V$1501),MATCH(ROWS($U$2:$U236),'Per Line'!$V$2:$V$1501,0),"")</f>
        <v/>
      </c>
      <c r="V236">
        <f>IF($U236="","",B236&amp;"|"&amp;COUNTIF($B$2:$B236,B236))</f>
        <v/>
      </c>
    </row>
    <row r="237">
      <c r="A237">
        <f>IF($U237="","",INDEX('Per Line'!$B$2:$B$1501,$U237)&amp;"")</f>
        <v/>
      </c>
      <c r="B237">
        <f>IF($U237="","","COPY "&amp;G237&amp;" %")</f>
        <v/>
      </c>
      <c r="C237" s="15" t="n"/>
      <c r="D237">
        <f>IF($U237="","",INDEX('Per Line'!$C$2:$C$1501,$U237)&amp;"")</f>
        <v/>
      </c>
      <c r="E237">
        <f>IF($U237="","",INDEX('Per Line'!$D$2:$D$1501,$U237)&amp;"")</f>
        <v/>
      </c>
      <c r="F237">
        <f>IF($U237="","",INDEX('Per Line'!$E$2:$E$1501,$U237)&amp;"")</f>
        <v/>
      </c>
      <c r="G237">
        <f>IF($U237="","",INDEX('Per Line'!$F$2:$F$1501,$U237))</f>
        <v/>
      </c>
      <c r="H237" s="7">
        <f>IF($U237="","",G237*S237/100)</f>
        <v/>
      </c>
      <c r="I237" s="14">
        <f>IF($U237="","",INDEX('Per Line'!$R$2:$R$1501,$U237))</f>
        <v/>
      </c>
      <c r="J237">
        <f>IF($U237="","",INDEX('Per Line'!$Q$2:$Q$1501,$U237)&amp;"")</f>
        <v/>
      </c>
      <c r="K237">
        <f>IF($U237="","",Settings!$C$7)</f>
        <v/>
      </c>
      <c r="L237" s="7">
        <f>IF($U237="","",SUMIFS('Per Line'!$L$2:$L$1501,'Per Line'!$B$2:$B$1501,$A237,'Per Line'!$W$2:$W$1501,0))</f>
        <v/>
      </c>
      <c r="M237" s="7">
        <f>IF($U237="","",L237*K237)</f>
        <v/>
      </c>
      <c r="N237">
        <f>IF($U237="","",Settings!$C$6)</f>
        <v/>
      </c>
      <c r="O237" s="7">
        <f>IF($U237="","",SUMIFS('Per Line'!$L$2:$L$1501,'Per Line'!$B$2:$B$1501,$A237,'Per Line'!$W$2:$W$1501,1))</f>
        <v/>
      </c>
      <c r="P237" s="7">
        <f>IF($U237="","",O237*N237)</f>
        <v/>
      </c>
      <c r="Q237" s="7">
        <f>IF($U237="","",P237+M237)</f>
        <v/>
      </c>
      <c r="R237" s="7">
        <f>IF($U237="","",S237-Q237)</f>
        <v/>
      </c>
      <c r="S237" s="7">
        <f>IF($U237="","",L237+O237)</f>
        <v/>
      </c>
      <c r="T237" s="7">
        <f>IF($U237="","",S237-Q237-H237)</f>
        <v/>
      </c>
      <c r="U237" s="16">
        <f>IF(ROWS($U$2:$U237)&lt;=MAX('Per Line'!$V$2:$V$1501),MATCH(ROWS($U$2:$U237),'Per Line'!$V$2:$V$1501,0),"")</f>
        <v/>
      </c>
      <c r="V237">
        <f>IF($U237="","",B237&amp;"|"&amp;COUNTIF($B$2:$B237,B237))</f>
        <v/>
      </c>
    </row>
    <row r="238">
      <c r="A238">
        <f>IF($U238="","",INDEX('Per Line'!$B$2:$B$1501,$U238)&amp;"")</f>
        <v/>
      </c>
      <c r="B238">
        <f>IF($U238="","","COPY "&amp;G238&amp;" %")</f>
        <v/>
      </c>
      <c r="C238" s="15" t="n"/>
      <c r="D238">
        <f>IF($U238="","",INDEX('Per Line'!$C$2:$C$1501,$U238)&amp;"")</f>
        <v/>
      </c>
      <c r="E238">
        <f>IF($U238="","",INDEX('Per Line'!$D$2:$D$1501,$U238)&amp;"")</f>
        <v/>
      </c>
      <c r="F238">
        <f>IF($U238="","",INDEX('Per Line'!$E$2:$E$1501,$U238)&amp;"")</f>
        <v/>
      </c>
      <c r="G238">
        <f>IF($U238="","",INDEX('Per Line'!$F$2:$F$1501,$U238))</f>
        <v/>
      </c>
      <c r="H238" s="7">
        <f>IF($U238="","",G238*S238/100)</f>
        <v/>
      </c>
      <c r="I238" s="14">
        <f>IF($U238="","",INDEX('Per Line'!$R$2:$R$1501,$U238))</f>
        <v/>
      </c>
      <c r="J238">
        <f>IF($U238="","",INDEX('Per Line'!$Q$2:$Q$1501,$U238)&amp;"")</f>
        <v/>
      </c>
      <c r="K238">
        <f>IF($U238="","",Settings!$C$7)</f>
        <v/>
      </c>
      <c r="L238" s="7">
        <f>IF($U238="","",SUMIFS('Per Line'!$L$2:$L$1501,'Per Line'!$B$2:$B$1501,$A238,'Per Line'!$W$2:$W$1501,0))</f>
        <v/>
      </c>
      <c r="M238" s="7">
        <f>IF($U238="","",L238*K238)</f>
        <v/>
      </c>
      <c r="N238">
        <f>IF($U238="","",Settings!$C$6)</f>
        <v/>
      </c>
      <c r="O238" s="7">
        <f>IF($U238="","",SUMIFS('Per Line'!$L$2:$L$1501,'Per Line'!$B$2:$B$1501,$A238,'Per Line'!$W$2:$W$1501,1))</f>
        <v/>
      </c>
      <c r="P238" s="7">
        <f>IF($U238="","",O238*N238)</f>
        <v/>
      </c>
      <c r="Q238" s="7">
        <f>IF($U238="","",P238+M238)</f>
        <v/>
      </c>
      <c r="R238" s="7">
        <f>IF($U238="","",S238-Q238)</f>
        <v/>
      </c>
      <c r="S238" s="7">
        <f>IF($U238="","",L238+O238)</f>
        <v/>
      </c>
      <c r="T238" s="7">
        <f>IF($U238="","",S238-Q238-H238)</f>
        <v/>
      </c>
      <c r="U238" s="16">
        <f>IF(ROWS($U$2:$U238)&lt;=MAX('Per Line'!$V$2:$V$1501),MATCH(ROWS($U$2:$U238),'Per Line'!$V$2:$V$1501,0),"")</f>
        <v/>
      </c>
      <c r="V238">
        <f>IF($U238="","",B238&amp;"|"&amp;COUNTIF($B$2:$B238,B238))</f>
        <v/>
      </c>
    </row>
    <row r="239">
      <c r="A239">
        <f>IF($U239="","",INDEX('Per Line'!$B$2:$B$1501,$U239)&amp;"")</f>
        <v/>
      </c>
      <c r="B239">
        <f>IF($U239="","","COPY "&amp;G239&amp;" %")</f>
        <v/>
      </c>
      <c r="C239" s="15" t="n"/>
      <c r="D239">
        <f>IF($U239="","",INDEX('Per Line'!$C$2:$C$1501,$U239)&amp;"")</f>
        <v/>
      </c>
      <c r="E239">
        <f>IF($U239="","",INDEX('Per Line'!$D$2:$D$1501,$U239)&amp;"")</f>
        <v/>
      </c>
      <c r="F239">
        <f>IF($U239="","",INDEX('Per Line'!$E$2:$E$1501,$U239)&amp;"")</f>
        <v/>
      </c>
      <c r="G239">
        <f>IF($U239="","",INDEX('Per Line'!$F$2:$F$1501,$U239))</f>
        <v/>
      </c>
      <c r="H239" s="7">
        <f>IF($U239="","",G239*S239/100)</f>
        <v/>
      </c>
      <c r="I239" s="14">
        <f>IF($U239="","",INDEX('Per Line'!$R$2:$R$1501,$U239))</f>
        <v/>
      </c>
      <c r="J239">
        <f>IF($U239="","",INDEX('Per Line'!$Q$2:$Q$1501,$U239)&amp;"")</f>
        <v/>
      </c>
      <c r="K239">
        <f>IF($U239="","",Settings!$C$7)</f>
        <v/>
      </c>
      <c r="L239" s="7">
        <f>IF($U239="","",SUMIFS('Per Line'!$L$2:$L$1501,'Per Line'!$B$2:$B$1501,$A239,'Per Line'!$W$2:$W$1501,0))</f>
        <v/>
      </c>
      <c r="M239" s="7">
        <f>IF($U239="","",L239*K239)</f>
        <v/>
      </c>
      <c r="N239">
        <f>IF($U239="","",Settings!$C$6)</f>
        <v/>
      </c>
      <c r="O239" s="7">
        <f>IF($U239="","",SUMIFS('Per Line'!$L$2:$L$1501,'Per Line'!$B$2:$B$1501,$A239,'Per Line'!$W$2:$W$1501,1))</f>
        <v/>
      </c>
      <c r="P239" s="7">
        <f>IF($U239="","",O239*N239)</f>
        <v/>
      </c>
      <c r="Q239" s="7">
        <f>IF($U239="","",P239+M239)</f>
        <v/>
      </c>
      <c r="R239" s="7">
        <f>IF($U239="","",S239-Q239)</f>
        <v/>
      </c>
      <c r="S239" s="7">
        <f>IF($U239="","",L239+O239)</f>
        <v/>
      </c>
      <c r="T239" s="7">
        <f>IF($U239="","",S239-Q239-H239)</f>
        <v/>
      </c>
      <c r="U239" s="16">
        <f>IF(ROWS($U$2:$U239)&lt;=MAX('Per Line'!$V$2:$V$1501),MATCH(ROWS($U$2:$U239),'Per Line'!$V$2:$V$1501,0),"")</f>
        <v/>
      </c>
      <c r="V239">
        <f>IF($U239="","",B239&amp;"|"&amp;COUNTIF($B$2:$B239,B239))</f>
        <v/>
      </c>
    </row>
    <row r="240">
      <c r="A240">
        <f>IF($U240="","",INDEX('Per Line'!$B$2:$B$1501,$U240)&amp;"")</f>
        <v/>
      </c>
      <c r="B240">
        <f>IF($U240="","","COPY "&amp;G240&amp;" %")</f>
        <v/>
      </c>
      <c r="C240" s="15" t="n"/>
      <c r="D240">
        <f>IF($U240="","",INDEX('Per Line'!$C$2:$C$1501,$U240)&amp;"")</f>
        <v/>
      </c>
      <c r="E240">
        <f>IF($U240="","",INDEX('Per Line'!$D$2:$D$1501,$U240)&amp;"")</f>
        <v/>
      </c>
      <c r="F240">
        <f>IF($U240="","",INDEX('Per Line'!$E$2:$E$1501,$U240)&amp;"")</f>
        <v/>
      </c>
      <c r="G240">
        <f>IF($U240="","",INDEX('Per Line'!$F$2:$F$1501,$U240))</f>
        <v/>
      </c>
      <c r="H240" s="7">
        <f>IF($U240="","",G240*S240/100)</f>
        <v/>
      </c>
      <c r="I240" s="14">
        <f>IF($U240="","",INDEX('Per Line'!$R$2:$R$1501,$U240))</f>
        <v/>
      </c>
      <c r="J240">
        <f>IF($U240="","",INDEX('Per Line'!$Q$2:$Q$1501,$U240)&amp;"")</f>
        <v/>
      </c>
      <c r="K240">
        <f>IF($U240="","",Settings!$C$7)</f>
        <v/>
      </c>
      <c r="L240" s="7">
        <f>IF($U240="","",SUMIFS('Per Line'!$L$2:$L$1501,'Per Line'!$B$2:$B$1501,$A240,'Per Line'!$W$2:$W$1501,0))</f>
        <v/>
      </c>
      <c r="M240" s="7">
        <f>IF($U240="","",L240*K240)</f>
        <v/>
      </c>
      <c r="N240">
        <f>IF($U240="","",Settings!$C$6)</f>
        <v/>
      </c>
      <c r="O240" s="7">
        <f>IF($U240="","",SUMIFS('Per Line'!$L$2:$L$1501,'Per Line'!$B$2:$B$1501,$A240,'Per Line'!$W$2:$W$1501,1))</f>
        <v/>
      </c>
      <c r="P240" s="7">
        <f>IF($U240="","",O240*N240)</f>
        <v/>
      </c>
      <c r="Q240" s="7">
        <f>IF($U240="","",P240+M240)</f>
        <v/>
      </c>
      <c r="R240" s="7">
        <f>IF($U240="","",S240-Q240)</f>
        <v/>
      </c>
      <c r="S240" s="7">
        <f>IF($U240="","",L240+O240)</f>
        <v/>
      </c>
      <c r="T240" s="7">
        <f>IF($U240="","",S240-Q240-H240)</f>
        <v/>
      </c>
      <c r="U240" s="16">
        <f>IF(ROWS($U$2:$U240)&lt;=MAX('Per Line'!$V$2:$V$1501),MATCH(ROWS($U$2:$U240),'Per Line'!$V$2:$V$1501,0),"")</f>
        <v/>
      </c>
      <c r="V240">
        <f>IF($U240="","",B240&amp;"|"&amp;COUNTIF($B$2:$B240,B240))</f>
        <v/>
      </c>
    </row>
    <row r="241">
      <c r="A241">
        <f>IF($U241="","",INDEX('Per Line'!$B$2:$B$1501,$U241)&amp;"")</f>
        <v/>
      </c>
      <c r="B241">
        <f>IF($U241="","","COPY "&amp;G241&amp;" %")</f>
        <v/>
      </c>
      <c r="C241" s="15" t="n"/>
      <c r="D241">
        <f>IF($U241="","",INDEX('Per Line'!$C$2:$C$1501,$U241)&amp;"")</f>
        <v/>
      </c>
      <c r="E241">
        <f>IF($U241="","",INDEX('Per Line'!$D$2:$D$1501,$U241)&amp;"")</f>
        <v/>
      </c>
      <c r="F241">
        <f>IF($U241="","",INDEX('Per Line'!$E$2:$E$1501,$U241)&amp;"")</f>
        <v/>
      </c>
      <c r="G241">
        <f>IF($U241="","",INDEX('Per Line'!$F$2:$F$1501,$U241))</f>
        <v/>
      </c>
      <c r="H241" s="7">
        <f>IF($U241="","",G241*S241/100)</f>
        <v/>
      </c>
      <c r="I241" s="14">
        <f>IF($U241="","",INDEX('Per Line'!$R$2:$R$1501,$U241))</f>
        <v/>
      </c>
      <c r="J241">
        <f>IF($U241="","",INDEX('Per Line'!$Q$2:$Q$1501,$U241)&amp;"")</f>
        <v/>
      </c>
      <c r="K241">
        <f>IF($U241="","",Settings!$C$7)</f>
        <v/>
      </c>
      <c r="L241" s="7">
        <f>IF($U241="","",SUMIFS('Per Line'!$L$2:$L$1501,'Per Line'!$B$2:$B$1501,$A241,'Per Line'!$W$2:$W$1501,0))</f>
        <v/>
      </c>
      <c r="M241" s="7">
        <f>IF($U241="","",L241*K241)</f>
        <v/>
      </c>
      <c r="N241">
        <f>IF($U241="","",Settings!$C$6)</f>
        <v/>
      </c>
      <c r="O241" s="7">
        <f>IF($U241="","",SUMIFS('Per Line'!$L$2:$L$1501,'Per Line'!$B$2:$B$1501,$A241,'Per Line'!$W$2:$W$1501,1))</f>
        <v/>
      </c>
      <c r="P241" s="7">
        <f>IF($U241="","",O241*N241)</f>
        <v/>
      </c>
      <c r="Q241" s="7">
        <f>IF($U241="","",P241+M241)</f>
        <v/>
      </c>
      <c r="R241" s="7">
        <f>IF($U241="","",S241-Q241)</f>
        <v/>
      </c>
      <c r="S241" s="7">
        <f>IF($U241="","",L241+O241)</f>
        <v/>
      </c>
      <c r="T241" s="7">
        <f>IF($U241="","",S241-Q241-H241)</f>
        <v/>
      </c>
      <c r="U241" s="16">
        <f>IF(ROWS($U$2:$U241)&lt;=MAX('Per Line'!$V$2:$V$1501),MATCH(ROWS($U$2:$U241),'Per Line'!$V$2:$V$1501,0),"")</f>
        <v/>
      </c>
      <c r="V241">
        <f>IF($U241="","",B241&amp;"|"&amp;COUNTIF($B$2:$B241,B241))</f>
        <v/>
      </c>
    </row>
    <row r="242">
      <c r="A242">
        <f>IF($U242="","",INDEX('Per Line'!$B$2:$B$1501,$U242)&amp;"")</f>
        <v/>
      </c>
      <c r="B242">
        <f>IF($U242="","","COPY "&amp;G242&amp;" %")</f>
        <v/>
      </c>
      <c r="C242" s="15" t="n"/>
      <c r="D242">
        <f>IF($U242="","",INDEX('Per Line'!$C$2:$C$1501,$U242)&amp;"")</f>
        <v/>
      </c>
      <c r="E242">
        <f>IF($U242="","",INDEX('Per Line'!$D$2:$D$1501,$U242)&amp;"")</f>
        <v/>
      </c>
      <c r="F242">
        <f>IF($U242="","",INDEX('Per Line'!$E$2:$E$1501,$U242)&amp;"")</f>
        <v/>
      </c>
      <c r="G242">
        <f>IF($U242="","",INDEX('Per Line'!$F$2:$F$1501,$U242))</f>
        <v/>
      </c>
      <c r="H242" s="7">
        <f>IF($U242="","",G242*S242/100)</f>
        <v/>
      </c>
      <c r="I242" s="14">
        <f>IF($U242="","",INDEX('Per Line'!$R$2:$R$1501,$U242))</f>
        <v/>
      </c>
      <c r="J242">
        <f>IF($U242="","",INDEX('Per Line'!$Q$2:$Q$1501,$U242)&amp;"")</f>
        <v/>
      </c>
      <c r="K242">
        <f>IF($U242="","",Settings!$C$7)</f>
        <v/>
      </c>
      <c r="L242" s="7">
        <f>IF($U242="","",SUMIFS('Per Line'!$L$2:$L$1501,'Per Line'!$B$2:$B$1501,$A242,'Per Line'!$W$2:$W$1501,0))</f>
        <v/>
      </c>
      <c r="M242" s="7">
        <f>IF($U242="","",L242*K242)</f>
        <v/>
      </c>
      <c r="N242">
        <f>IF($U242="","",Settings!$C$6)</f>
        <v/>
      </c>
      <c r="O242" s="7">
        <f>IF($U242="","",SUMIFS('Per Line'!$L$2:$L$1501,'Per Line'!$B$2:$B$1501,$A242,'Per Line'!$W$2:$W$1501,1))</f>
        <v/>
      </c>
      <c r="P242" s="7">
        <f>IF($U242="","",O242*N242)</f>
        <v/>
      </c>
      <c r="Q242" s="7">
        <f>IF($U242="","",P242+M242)</f>
        <v/>
      </c>
      <c r="R242" s="7">
        <f>IF($U242="","",S242-Q242)</f>
        <v/>
      </c>
      <c r="S242" s="7">
        <f>IF($U242="","",L242+O242)</f>
        <v/>
      </c>
      <c r="T242" s="7">
        <f>IF($U242="","",S242-Q242-H242)</f>
        <v/>
      </c>
      <c r="U242" s="16">
        <f>IF(ROWS($U$2:$U242)&lt;=MAX('Per Line'!$V$2:$V$1501),MATCH(ROWS($U$2:$U242),'Per Line'!$V$2:$V$1501,0),"")</f>
        <v/>
      </c>
      <c r="V242">
        <f>IF($U242="","",B242&amp;"|"&amp;COUNTIF($B$2:$B242,B242))</f>
        <v/>
      </c>
    </row>
    <row r="243">
      <c r="A243">
        <f>IF($U243="","",INDEX('Per Line'!$B$2:$B$1501,$U243)&amp;"")</f>
        <v/>
      </c>
      <c r="B243">
        <f>IF($U243="","","COPY "&amp;G243&amp;" %")</f>
        <v/>
      </c>
      <c r="C243" s="15" t="n"/>
      <c r="D243">
        <f>IF($U243="","",INDEX('Per Line'!$C$2:$C$1501,$U243)&amp;"")</f>
        <v/>
      </c>
      <c r="E243">
        <f>IF($U243="","",INDEX('Per Line'!$D$2:$D$1501,$U243)&amp;"")</f>
        <v/>
      </c>
      <c r="F243">
        <f>IF($U243="","",INDEX('Per Line'!$E$2:$E$1501,$U243)&amp;"")</f>
        <v/>
      </c>
      <c r="G243">
        <f>IF($U243="","",INDEX('Per Line'!$F$2:$F$1501,$U243))</f>
        <v/>
      </c>
      <c r="H243" s="7">
        <f>IF($U243="","",G243*S243/100)</f>
        <v/>
      </c>
      <c r="I243" s="14">
        <f>IF($U243="","",INDEX('Per Line'!$R$2:$R$1501,$U243))</f>
        <v/>
      </c>
      <c r="J243">
        <f>IF($U243="","",INDEX('Per Line'!$Q$2:$Q$1501,$U243)&amp;"")</f>
        <v/>
      </c>
      <c r="K243">
        <f>IF($U243="","",Settings!$C$7)</f>
        <v/>
      </c>
      <c r="L243" s="7">
        <f>IF($U243="","",SUMIFS('Per Line'!$L$2:$L$1501,'Per Line'!$B$2:$B$1501,$A243,'Per Line'!$W$2:$W$1501,0))</f>
        <v/>
      </c>
      <c r="M243" s="7">
        <f>IF($U243="","",L243*K243)</f>
        <v/>
      </c>
      <c r="N243">
        <f>IF($U243="","",Settings!$C$6)</f>
        <v/>
      </c>
      <c r="O243" s="7">
        <f>IF($U243="","",SUMIFS('Per Line'!$L$2:$L$1501,'Per Line'!$B$2:$B$1501,$A243,'Per Line'!$W$2:$W$1501,1))</f>
        <v/>
      </c>
      <c r="P243" s="7">
        <f>IF($U243="","",O243*N243)</f>
        <v/>
      </c>
      <c r="Q243" s="7">
        <f>IF($U243="","",P243+M243)</f>
        <v/>
      </c>
      <c r="R243" s="7">
        <f>IF($U243="","",S243-Q243)</f>
        <v/>
      </c>
      <c r="S243" s="7">
        <f>IF($U243="","",L243+O243)</f>
        <v/>
      </c>
      <c r="T243" s="7">
        <f>IF($U243="","",S243-Q243-H243)</f>
        <v/>
      </c>
      <c r="U243" s="16">
        <f>IF(ROWS($U$2:$U243)&lt;=MAX('Per Line'!$V$2:$V$1501),MATCH(ROWS($U$2:$U243),'Per Line'!$V$2:$V$1501,0),"")</f>
        <v/>
      </c>
      <c r="V243">
        <f>IF($U243="","",B243&amp;"|"&amp;COUNTIF($B$2:$B243,B243))</f>
        <v/>
      </c>
    </row>
    <row r="244">
      <c r="A244">
        <f>IF($U244="","",INDEX('Per Line'!$B$2:$B$1501,$U244)&amp;"")</f>
        <v/>
      </c>
      <c r="B244">
        <f>IF($U244="","","COPY "&amp;G244&amp;" %")</f>
        <v/>
      </c>
      <c r="C244" s="15" t="n"/>
      <c r="D244">
        <f>IF($U244="","",INDEX('Per Line'!$C$2:$C$1501,$U244)&amp;"")</f>
        <v/>
      </c>
      <c r="E244">
        <f>IF($U244="","",INDEX('Per Line'!$D$2:$D$1501,$U244)&amp;"")</f>
        <v/>
      </c>
      <c r="F244">
        <f>IF($U244="","",INDEX('Per Line'!$E$2:$E$1501,$U244)&amp;"")</f>
        <v/>
      </c>
      <c r="G244">
        <f>IF($U244="","",INDEX('Per Line'!$F$2:$F$1501,$U244))</f>
        <v/>
      </c>
      <c r="H244" s="7">
        <f>IF($U244="","",G244*S244/100)</f>
        <v/>
      </c>
      <c r="I244" s="14">
        <f>IF($U244="","",INDEX('Per Line'!$R$2:$R$1501,$U244))</f>
        <v/>
      </c>
      <c r="J244">
        <f>IF($U244="","",INDEX('Per Line'!$Q$2:$Q$1501,$U244)&amp;"")</f>
        <v/>
      </c>
      <c r="K244">
        <f>IF($U244="","",Settings!$C$7)</f>
        <v/>
      </c>
      <c r="L244" s="7">
        <f>IF($U244="","",SUMIFS('Per Line'!$L$2:$L$1501,'Per Line'!$B$2:$B$1501,$A244,'Per Line'!$W$2:$W$1501,0))</f>
        <v/>
      </c>
      <c r="M244" s="7">
        <f>IF($U244="","",L244*K244)</f>
        <v/>
      </c>
      <c r="N244">
        <f>IF($U244="","",Settings!$C$6)</f>
        <v/>
      </c>
      <c r="O244" s="7">
        <f>IF($U244="","",SUMIFS('Per Line'!$L$2:$L$1501,'Per Line'!$B$2:$B$1501,$A244,'Per Line'!$W$2:$W$1501,1))</f>
        <v/>
      </c>
      <c r="P244" s="7">
        <f>IF($U244="","",O244*N244)</f>
        <v/>
      </c>
      <c r="Q244" s="7">
        <f>IF($U244="","",P244+M244)</f>
        <v/>
      </c>
      <c r="R244" s="7">
        <f>IF($U244="","",S244-Q244)</f>
        <v/>
      </c>
      <c r="S244" s="7">
        <f>IF($U244="","",L244+O244)</f>
        <v/>
      </c>
      <c r="T244" s="7">
        <f>IF($U244="","",S244-Q244-H244)</f>
        <v/>
      </c>
      <c r="U244" s="16">
        <f>IF(ROWS($U$2:$U244)&lt;=MAX('Per Line'!$V$2:$V$1501),MATCH(ROWS($U$2:$U244),'Per Line'!$V$2:$V$1501,0),"")</f>
        <v/>
      </c>
      <c r="V244">
        <f>IF($U244="","",B244&amp;"|"&amp;COUNTIF($B$2:$B244,B244))</f>
        <v/>
      </c>
    </row>
    <row r="245">
      <c r="A245">
        <f>IF($U245="","",INDEX('Per Line'!$B$2:$B$1501,$U245)&amp;"")</f>
        <v/>
      </c>
      <c r="B245">
        <f>IF($U245="","","COPY "&amp;G245&amp;" %")</f>
        <v/>
      </c>
      <c r="C245" s="15" t="n"/>
      <c r="D245">
        <f>IF($U245="","",INDEX('Per Line'!$C$2:$C$1501,$U245)&amp;"")</f>
        <v/>
      </c>
      <c r="E245">
        <f>IF($U245="","",INDEX('Per Line'!$D$2:$D$1501,$U245)&amp;"")</f>
        <v/>
      </c>
      <c r="F245">
        <f>IF($U245="","",INDEX('Per Line'!$E$2:$E$1501,$U245)&amp;"")</f>
        <v/>
      </c>
      <c r="G245">
        <f>IF($U245="","",INDEX('Per Line'!$F$2:$F$1501,$U245))</f>
        <v/>
      </c>
      <c r="H245" s="7">
        <f>IF($U245="","",G245*S245/100)</f>
        <v/>
      </c>
      <c r="I245" s="14">
        <f>IF($U245="","",INDEX('Per Line'!$R$2:$R$1501,$U245))</f>
        <v/>
      </c>
      <c r="J245">
        <f>IF($U245="","",INDEX('Per Line'!$Q$2:$Q$1501,$U245)&amp;"")</f>
        <v/>
      </c>
      <c r="K245">
        <f>IF($U245="","",Settings!$C$7)</f>
        <v/>
      </c>
      <c r="L245" s="7">
        <f>IF($U245="","",SUMIFS('Per Line'!$L$2:$L$1501,'Per Line'!$B$2:$B$1501,$A245,'Per Line'!$W$2:$W$1501,0))</f>
        <v/>
      </c>
      <c r="M245" s="7">
        <f>IF($U245="","",L245*K245)</f>
        <v/>
      </c>
      <c r="N245">
        <f>IF($U245="","",Settings!$C$6)</f>
        <v/>
      </c>
      <c r="O245" s="7">
        <f>IF($U245="","",SUMIFS('Per Line'!$L$2:$L$1501,'Per Line'!$B$2:$B$1501,$A245,'Per Line'!$W$2:$W$1501,1))</f>
        <v/>
      </c>
      <c r="P245" s="7">
        <f>IF($U245="","",O245*N245)</f>
        <v/>
      </c>
      <c r="Q245" s="7">
        <f>IF($U245="","",P245+M245)</f>
        <v/>
      </c>
      <c r="R245" s="7">
        <f>IF($U245="","",S245-Q245)</f>
        <v/>
      </c>
      <c r="S245" s="7">
        <f>IF($U245="","",L245+O245)</f>
        <v/>
      </c>
      <c r="T245" s="7">
        <f>IF($U245="","",S245-Q245-H245)</f>
        <v/>
      </c>
      <c r="U245" s="16">
        <f>IF(ROWS($U$2:$U245)&lt;=MAX('Per Line'!$V$2:$V$1501),MATCH(ROWS($U$2:$U245),'Per Line'!$V$2:$V$1501,0),"")</f>
        <v/>
      </c>
      <c r="V245">
        <f>IF($U245="","",B245&amp;"|"&amp;COUNTIF($B$2:$B245,B245))</f>
        <v/>
      </c>
    </row>
    <row r="246">
      <c r="A246">
        <f>IF($U246="","",INDEX('Per Line'!$B$2:$B$1501,$U246)&amp;"")</f>
        <v/>
      </c>
      <c r="B246">
        <f>IF($U246="","","COPY "&amp;G246&amp;" %")</f>
        <v/>
      </c>
      <c r="C246" s="15" t="n"/>
      <c r="D246">
        <f>IF($U246="","",INDEX('Per Line'!$C$2:$C$1501,$U246)&amp;"")</f>
        <v/>
      </c>
      <c r="E246">
        <f>IF($U246="","",INDEX('Per Line'!$D$2:$D$1501,$U246)&amp;"")</f>
        <v/>
      </c>
      <c r="F246">
        <f>IF($U246="","",INDEX('Per Line'!$E$2:$E$1501,$U246)&amp;"")</f>
        <v/>
      </c>
      <c r="G246">
        <f>IF($U246="","",INDEX('Per Line'!$F$2:$F$1501,$U246))</f>
        <v/>
      </c>
      <c r="H246" s="7">
        <f>IF($U246="","",G246*S246/100)</f>
        <v/>
      </c>
      <c r="I246" s="14">
        <f>IF($U246="","",INDEX('Per Line'!$R$2:$R$1501,$U246))</f>
        <v/>
      </c>
      <c r="J246">
        <f>IF($U246="","",INDEX('Per Line'!$Q$2:$Q$1501,$U246)&amp;"")</f>
        <v/>
      </c>
      <c r="K246">
        <f>IF($U246="","",Settings!$C$7)</f>
        <v/>
      </c>
      <c r="L246" s="7">
        <f>IF($U246="","",SUMIFS('Per Line'!$L$2:$L$1501,'Per Line'!$B$2:$B$1501,$A246,'Per Line'!$W$2:$W$1501,0))</f>
        <v/>
      </c>
      <c r="M246" s="7">
        <f>IF($U246="","",L246*K246)</f>
        <v/>
      </c>
      <c r="N246">
        <f>IF($U246="","",Settings!$C$6)</f>
        <v/>
      </c>
      <c r="O246" s="7">
        <f>IF($U246="","",SUMIFS('Per Line'!$L$2:$L$1501,'Per Line'!$B$2:$B$1501,$A246,'Per Line'!$W$2:$W$1501,1))</f>
        <v/>
      </c>
      <c r="P246" s="7">
        <f>IF($U246="","",O246*N246)</f>
        <v/>
      </c>
      <c r="Q246" s="7">
        <f>IF($U246="","",P246+M246)</f>
        <v/>
      </c>
      <c r="R246" s="7">
        <f>IF($U246="","",S246-Q246)</f>
        <v/>
      </c>
      <c r="S246" s="7">
        <f>IF($U246="","",L246+O246)</f>
        <v/>
      </c>
      <c r="T246" s="7">
        <f>IF($U246="","",S246-Q246-H246)</f>
        <v/>
      </c>
      <c r="U246" s="16">
        <f>IF(ROWS($U$2:$U246)&lt;=MAX('Per Line'!$V$2:$V$1501),MATCH(ROWS($U$2:$U246),'Per Line'!$V$2:$V$1501,0),"")</f>
        <v/>
      </c>
      <c r="V246">
        <f>IF($U246="","",B246&amp;"|"&amp;COUNTIF($B$2:$B246,B246))</f>
        <v/>
      </c>
    </row>
    <row r="247">
      <c r="A247">
        <f>IF($U247="","",INDEX('Per Line'!$B$2:$B$1501,$U247)&amp;"")</f>
        <v/>
      </c>
      <c r="B247">
        <f>IF($U247="","","COPY "&amp;G247&amp;" %")</f>
        <v/>
      </c>
      <c r="C247" s="15" t="n"/>
      <c r="D247">
        <f>IF($U247="","",INDEX('Per Line'!$C$2:$C$1501,$U247)&amp;"")</f>
        <v/>
      </c>
      <c r="E247">
        <f>IF($U247="","",INDEX('Per Line'!$D$2:$D$1501,$U247)&amp;"")</f>
        <v/>
      </c>
      <c r="F247">
        <f>IF($U247="","",INDEX('Per Line'!$E$2:$E$1501,$U247)&amp;"")</f>
        <v/>
      </c>
      <c r="G247">
        <f>IF($U247="","",INDEX('Per Line'!$F$2:$F$1501,$U247))</f>
        <v/>
      </c>
      <c r="H247" s="7">
        <f>IF($U247="","",G247*S247/100)</f>
        <v/>
      </c>
      <c r="I247" s="14">
        <f>IF($U247="","",INDEX('Per Line'!$R$2:$R$1501,$U247))</f>
        <v/>
      </c>
      <c r="J247">
        <f>IF($U247="","",INDEX('Per Line'!$Q$2:$Q$1501,$U247)&amp;"")</f>
        <v/>
      </c>
      <c r="K247">
        <f>IF($U247="","",Settings!$C$7)</f>
        <v/>
      </c>
      <c r="L247" s="7">
        <f>IF($U247="","",SUMIFS('Per Line'!$L$2:$L$1501,'Per Line'!$B$2:$B$1501,$A247,'Per Line'!$W$2:$W$1501,0))</f>
        <v/>
      </c>
      <c r="M247" s="7">
        <f>IF($U247="","",L247*K247)</f>
        <v/>
      </c>
      <c r="N247">
        <f>IF($U247="","",Settings!$C$6)</f>
        <v/>
      </c>
      <c r="O247" s="7">
        <f>IF($U247="","",SUMIFS('Per Line'!$L$2:$L$1501,'Per Line'!$B$2:$B$1501,$A247,'Per Line'!$W$2:$W$1501,1))</f>
        <v/>
      </c>
      <c r="P247" s="7">
        <f>IF($U247="","",O247*N247)</f>
        <v/>
      </c>
      <c r="Q247" s="7">
        <f>IF($U247="","",P247+M247)</f>
        <v/>
      </c>
      <c r="R247" s="7">
        <f>IF($U247="","",S247-Q247)</f>
        <v/>
      </c>
      <c r="S247" s="7">
        <f>IF($U247="","",L247+O247)</f>
        <v/>
      </c>
      <c r="T247" s="7">
        <f>IF($U247="","",S247-Q247-H247)</f>
        <v/>
      </c>
      <c r="U247" s="16">
        <f>IF(ROWS($U$2:$U247)&lt;=MAX('Per Line'!$V$2:$V$1501),MATCH(ROWS($U$2:$U247),'Per Line'!$V$2:$V$1501,0),"")</f>
        <v/>
      </c>
      <c r="V247">
        <f>IF($U247="","",B247&amp;"|"&amp;COUNTIF($B$2:$B247,B247))</f>
        <v/>
      </c>
    </row>
    <row r="248">
      <c r="A248">
        <f>IF($U248="","",INDEX('Per Line'!$B$2:$B$1501,$U248)&amp;"")</f>
        <v/>
      </c>
      <c r="B248">
        <f>IF($U248="","","COPY "&amp;G248&amp;" %")</f>
        <v/>
      </c>
      <c r="C248" s="15" t="n"/>
      <c r="D248">
        <f>IF($U248="","",INDEX('Per Line'!$C$2:$C$1501,$U248)&amp;"")</f>
        <v/>
      </c>
      <c r="E248">
        <f>IF($U248="","",INDEX('Per Line'!$D$2:$D$1501,$U248)&amp;"")</f>
        <v/>
      </c>
      <c r="F248">
        <f>IF($U248="","",INDEX('Per Line'!$E$2:$E$1501,$U248)&amp;"")</f>
        <v/>
      </c>
      <c r="G248">
        <f>IF($U248="","",INDEX('Per Line'!$F$2:$F$1501,$U248))</f>
        <v/>
      </c>
      <c r="H248" s="7">
        <f>IF($U248="","",G248*S248/100)</f>
        <v/>
      </c>
      <c r="I248" s="14">
        <f>IF($U248="","",INDEX('Per Line'!$R$2:$R$1501,$U248))</f>
        <v/>
      </c>
      <c r="J248">
        <f>IF($U248="","",INDEX('Per Line'!$Q$2:$Q$1501,$U248)&amp;"")</f>
        <v/>
      </c>
      <c r="K248">
        <f>IF($U248="","",Settings!$C$7)</f>
        <v/>
      </c>
      <c r="L248" s="7">
        <f>IF($U248="","",SUMIFS('Per Line'!$L$2:$L$1501,'Per Line'!$B$2:$B$1501,$A248,'Per Line'!$W$2:$W$1501,0))</f>
        <v/>
      </c>
      <c r="M248" s="7">
        <f>IF($U248="","",L248*K248)</f>
        <v/>
      </c>
      <c r="N248">
        <f>IF($U248="","",Settings!$C$6)</f>
        <v/>
      </c>
      <c r="O248" s="7">
        <f>IF($U248="","",SUMIFS('Per Line'!$L$2:$L$1501,'Per Line'!$B$2:$B$1501,$A248,'Per Line'!$W$2:$W$1501,1))</f>
        <v/>
      </c>
      <c r="P248" s="7">
        <f>IF($U248="","",O248*N248)</f>
        <v/>
      </c>
      <c r="Q248" s="7">
        <f>IF($U248="","",P248+M248)</f>
        <v/>
      </c>
      <c r="R248" s="7">
        <f>IF($U248="","",S248-Q248)</f>
        <v/>
      </c>
      <c r="S248" s="7">
        <f>IF($U248="","",L248+O248)</f>
        <v/>
      </c>
      <c r="T248" s="7">
        <f>IF($U248="","",S248-Q248-H248)</f>
        <v/>
      </c>
      <c r="U248" s="16">
        <f>IF(ROWS($U$2:$U248)&lt;=MAX('Per Line'!$V$2:$V$1501),MATCH(ROWS($U$2:$U248),'Per Line'!$V$2:$V$1501,0),"")</f>
        <v/>
      </c>
      <c r="V248">
        <f>IF($U248="","",B248&amp;"|"&amp;COUNTIF($B$2:$B248,B248))</f>
        <v/>
      </c>
    </row>
    <row r="249">
      <c r="A249">
        <f>IF($U249="","",INDEX('Per Line'!$B$2:$B$1501,$U249)&amp;"")</f>
        <v/>
      </c>
      <c r="B249">
        <f>IF($U249="","","COPY "&amp;G249&amp;" %")</f>
        <v/>
      </c>
      <c r="C249" s="15" t="n"/>
      <c r="D249">
        <f>IF($U249="","",INDEX('Per Line'!$C$2:$C$1501,$U249)&amp;"")</f>
        <v/>
      </c>
      <c r="E249">
        <f>IF($U249="","",INDEX('Per Line'!$D$2:$D$1501,$U249)&amp;"")</f>
        <v/>
      </c>
      <c r="F249">
        <f>IF($U249="","",INDEX('Per Line'!$E$2:$E$1501,$U249)&amp;"")</f>
        <v/>
      </c>
      <c r="G249">
        <f>IF($U249="","",INDEX('Per Line'!$F$2:$F$1501,$U249))</f>
        <v/>
      </c>
      <c r="H249" s="7">
        <f>IF($U249="","",G249*S249/100)</f>
        <v/>
      </c>
      <c r="I249" s="14">
        <f>IF($U249="","",INDEX('Per Line'!$R$2:$R$1501,$U249))</f>
        <v/>
      </c>
      <c r="J249">
        <f>IF($U249="","",INDEX('Per Line'!$Q$2:$Q$1501,$U249)&amp;"")</f>
        <v/>
      </c>
      <c r="K249">
        <f>IF($U249="","",Settings!$C$7)</f>
        <v/>
      </c>
      <c r="L249" s="7">
        <f>IF($U249="","",SUMIFS('Per Line'!$L$2:$L$1501,'Per Line'!$B$2:$B$1501,$A249,'Per Line'!$W$2:$W$1501,0))</f>
        <v/>
      </c>
      <c r="M249" s="7">
        <f>IF($U249="","",L249*K249)</f>
        <v/>
      </c>
      <c r="N249">
        <f>IF($U249="","",Settings!$C$6)</f>
        <v/>
      </c>
      <c r="O249" s="7">
        <f>IF($U249="","",SUMIFS('Per Line'!$L$2:$L$1501,'Per Line'!$B$2:$B$1501,$A249,'Per Line'!$W$2:$W$1501,1))</f>
        <v/>
      </c>
      <c r="P249" s="7">
        <f>IF($U249="","",O249*N249)</f>
        <v/>
      </c>
      <c r="Q249" s="7">
        <f>IF($U249="","",P249+M249)</f>
        <v/>
      </c>
      <c r="R249" s="7">
        <f>IF($U249="","",S249-Q249)</f>
        <v/>
      </c>
      <c r="S249" s="7">
        <f>IF($U249="","",L249+O249)</f>
        <v/>
      </c>
      <c r="T249" s="7">
        <f>IF($U249="","",S249-Q249-H249)</f>
        <v/>
      </c>
      <c r="U249" s="16">
        <f>IF(ROWS($U$2:$U249)&lt;=MAX('Per Line'!$V$2:$V$1501),MATCH(ROWS($U$2:$U249),'Per Line'!$V$2:$V$1501,0),"")</f>
        <v/>
      </c>
      <c r="V249">
        <f>IF($U249="","",B249&amp;"|"&amp;COUNTIF($B$2:$B249,B249))</f>
        <v/>
      </c>
    </row>
    <row r="250">
      <c r="A250">
        <f>IF($U250="","",INDEX('Per Line'!$B$2:$B$1501,$U250)&amp;"")</f>
        <v/>
      </c>
      <c r="B250">
        <f>IF($U250="","","COPY "&amp;G250&amp;" %")</f>
        <v/>
      </c>
      <c r="C250" s="15" t="n"/>
      <c r="D250">
        <f>IF($U250="","",INDEX('Per Line'!$C$2:$C$1501,$U250)&amp;"")</f>
        <v/>
      </c>
      <c r="E250">
        <f>IF($U250="","",INDEX('Per Line'!$D$2:$D$1501,$U250)&amp;"")</f>
        <v/>
      </c>
      <c r="F250">
        <f>IF($U250="","",INDEX('Per Line'!$E$2:$E$1501,$U250)&amp;"")</f>
        <v/>
      </c>
      <c r="G250">
        <f>IF($U250="","",INDEX('Per Line'!$F$2:$F$1501,$U250))</f>
        <v/>
      </c>
      <c r="H250" s="7">
        <f>IF($U250="","",G250*S250/100)</f>
        <v/>
      </c>
      <c r="I250" s="14">
        <f>IF($U250="","",INDEX('Per Line'!$R$2:$R$1501,$U250))</f>
        <v/>
      </c>
      <c r="J250">
        <f>IF($U250="","",INDEX('Per Line'!$Q$2:$Q$1501,$U250)&amp;"")</f>
        <v/>
      </c>
      <c r="K250">
        <f>IF($U250="","",Settings!$C$7)</f>
        <v/>
      </c>
      <c r="L250" s="7">
        <f>IF($U250="","",SUMIFS('Per Line'!$L$2:$L$1501,'Per Line'!$B$2:$B$1501,$A250,'Per Line'!$W$2:$W$1501,0))</f>
        <v/>
      </c>
      <c r="M250" s="7">
        <f>IF($U250="","",L250*K250)</f>
        <v/>
      </c>
      <c r="N250">
        <f>IF($U250="","",Settings!$C$6)</f>
        <v/>
      </c>
      <c r="O250" s="7">
        <f>IF($U250="","",SUMIFS('Per Line'!$L$2:$L$1501,'Per Line'!$B$2:$B$1501,$A250,'Per Line'!$W$2:$W$1501,1))</f>
        <v/>
      </c>
      <c r="P250" s="7">
        <f>IF($U250="","",O250*N250)</f>
        <v/>
      </c>
      <c r="Q250" s="7">
        <f>IF($U250="","",P250+M250)</f>
        <v/>
      </c>
      <c r="R250" s="7">
        <f>IF($U250="","",S250-Q250)</f>
        <v/>
      </c>
      <c r="S250" s="7">
        <f>IF($U250="","",L250+O250)</f>
        <v/>
      </c>
      <c r="T250" s="7">
        <f>IF($U250="","",S250-Q250-H250)</f>
        <v/>
      </c>
      <c r="U250" s="16">
        <f>IF(ROWS($U$2:$U250)&lt;=MAX('Per Line'!$V$2:$V$1501),MATCH(ROWS($U$2:$U250),'Per Line'!$V$2:$V$1501,0),"")</f>
        <v/>
      </c>
      <c r="V250">
        <f>IF($U250="","",B250&amp;"|"&amp;COUNTIF($B$2:$B250,B250))</f>
        <v/>
      </c>
    </row>
    <row r="251">
      <c r="A251">
        <f>IF($U251="","",INDEX('Per Line'!$B$2:$B$1501,$U251)&amp;"")</f>
        <v/>
      </c>
      <c r="B251">
        <f>IF($U251="","","COPY "&amp;G251&amp;" %")</f>
        <v/>
      </c>
      <c r="C251" s="15" t="n"/>
      <c r="D251">
        <f>IF($U251="","",INDEX('Per Line'!$C$2:$C$1501,$U251)&amp;"")</f>
        <v/>
      </c>
      <c r="E251">
        <f>IF($U251="","",INDEX('Per Line'!$D$2:$D$1501,$U251)&amp;"")</f>
        <v/>
      </c>
      <c r="F251">
        <f>IF($U251="","",INDEX('Per Line'!$E$2:$E$1501,$U251)&amp;"")</f>
        <v/>
      </c>
      <c r="G251">
        <f>IF($U251="","",INDEX('Per Line'!$F$2:$F$1501,$U251))</f>
        <v/>
      </c>
      <c r="H251" s="7">
        <f>IF($U251="","",G251*S251/100)</f>
        <v/>
      </c>
      <c r="I251" s="14">
        <f>IF($U251="","",INDEX('Per Line'!$R$2:$R$1501,$U251))</f>
        <v/>
      </c>
      <c r="J251">
        <f>IF($U251="","",INDEX('Per Line'!$Q$2:$Q$1501,$U251)&amp;"")</f>
        <v/>
      </c>
      <c r="K251">
        <f>IF($U251="","",Settings!$C$7)</f>
        <v/>
      </c>
      <c r="L251" s="7">
        <f>IF($U251="","",SUMIFS('Per Line'!$L$2:$L$1501,'Per Line'!$B$2:$B$1501,$A251,'Per Line'!$W$2:$W$1501,0))</f>
        <v/>
      </c>
      <c r="M251" s="7">
        <f>IF($U251="","",L251*K251)</f>
        <v/>
      </c>
      <c r="N251">
        <f>IF($U251="","",Settings!$C$6)</f>
        <v/>
      </c>
      <c r="O251" s="7">
        <f>IF($U251="","",SUMIFS('Per Line'!$L$2:$L$1501,'Per Line'!$B$2:$B$1501,$A251,'Per Line'!$W$2:$W$1501,1))</f>
        <v/>
      </c>
      <c r="P251" s="7">
        <f>IF($U251="","",O251*N251)</f>
        <v/>
      </c>
      <c r="Q251" s="7">
        <f>IF($U251="","",P251+M251)</f>
        <v/>
      </c>
      <c r="R251" s="7">
        <f>IF($U251="","",S251-Q251)</f>
        <v/>
      </c>
      <c r="S251" s="7">
        <f>IF($U251="","",L251+O251)</f>
        <v/>
      </c>
      <c r="T251" s="7">
        <f>IF($U251="","",S251-Q251-H251)</f>
        <v/>
      </c>
      <c r="U251" s="16">
        <f>IF(ROWS($U$2:$U251)&lt;=MAX('Per Line'!$V$2:$V$1501),MATCH(ROWS($U$2:$U251),'Per Line'!$V$2:$V$1501,0),"")</f>
        <v/>
      </c>
      <c r="V251">
        <f>IF($U251="","",B251&amp;"|"&amp;COUNTIF($B$2:$B251,B251))</f>
        <v/>
      </c>
    </row>
    <row r="252">
      <c r="A252">
        <f>IF($U252="","",INDEX('Per Line'!$B$2:$B$1501,$U252)&amp;"")</f>
        <v/>
      </c>
      <c r="B252">
        <f>IF($U252="","","COPY "&amp;G252&amp;" %")</f>
        <v/>
      </c>
      <c r="C252" s="15" t="n"/>
      <c r="D252">
        <f>IF($U252="","",INDEX('Per Line'!$C$2:$C$1501,$U252)&amp;"")</f>
        <v/>
      </c>
      <c r="E252">
        <f>IF($U252="","",INDEX('Per Line'!$D$2:$D$1501,$U252)&amp;"")</f>
        <v/>
      </c>
      <c r="F252">
        <f>IF($U252="","",INDEX('Per Line'!$E$2:$E$1501,$U252)&amp;"")</f>
        <v/>
      </c>
      <c r="G252">
        <f>IF($U252="","",INDEX('Per Line'!$F$2:$F$1501,$U252))</f>
        <v/>
      </c>
      <c r="H252" s="7">
        <f>IF($U252="","",G252*S252/100)</f>
        <v/>
      </c>
      <c r="I252" s="14">
        <f>IF($U252="","",INDEX('Per Line'!$R$2:$R$1501,$U252))</f>
        <v/>
      </c>
      <c r="J252">
        <f>IF($U252="","",INDEX('Per Line'!$Q$2:$Q$1501,$U252)&amp;"")</f>
        <v/>
      </c>
      <c r="K252">
        <f>IF($U252="","",Settings!$C$7)</f>
        <v/>
      </c>
      <c r="L252" s="7">
        <f>IF($U252="","",SUMIFS('Per Line'!$L$2:$L$1501,'Per Line'!$B$2:$B$1501,$A252,'Per Line'!$W$2:$W$1501,0))</f>
        <v/>
      </c>
      <c r="M252" s="7">
        <f>IF($U252="","",L252*K252)</f>
        <v/>
      </c>
      <c r="N252">
        <f>IF($U252="","",Settings!$C$6)</f>
        <v/>
      </c>
      <c r="O252" s="7">
        <f>IF($U252="","",SUMIFS('Per Line'!$L$2:$L$1501,'Per Line'!$B$2:$B$1501,$A252,'Per Line'!$W$2:$W$1501,1))</f>
        <v/>
      </c>
      <c r="P252" s="7">
        <f>IF($U252="","",O252*N252)</f>
        <v/>
      </c>
      <c r="Q252" s="7">
        <f>IF($U252="","",P252+M252)</f>
        <v/>
      </c>
      <c r="R252" s="7">
        <f>IF($U252="","",S252-Q252)</f>
        <v/>
      </c>
      <c r="S252" s="7">
        <f>IF($U252="","",L252+O252)</f>
        <v/>
      </c>
      <c r="T252" s="7">
        <f>IF($U252="","",S252-Q252-H252)</f>
        <v/>
      </c>
      <c r="U252" s="16">
        <f>IF(ROWS($U$2:$U252)&lt;=MAX('Per Line'!$V$2:$V$1501),MATCH(ROWS($U$2:$U252),'Per Line'!$V$2:$V$1501,0),"")</f>
        <v/>
      </c>
      <c r="V252">
        <f>IF($U252="","",B252&amp;"|"&amp;COUNTIF($B$2:$B252,B252))</f>
        <v/>
      </c>
    </row>
    <row r="253">
      <c r="A253">
        <f>IF($U253="","",INDEX('Per Line'!$B$2:$B$1501,$U253)&amp;"")</f>
        <v/>
      </c>
      <c r="B253">
        <f>IF($U253="","","COPY "&amp;G253&amp;" %")</f>
        <v/>
      </c>
      <c r="C253" s="15" t="n"/>
      <c r="D253">
        <f>IF($U253="","",INDEX('Per Line'!$C$2:$C$1501,$U253)&amp;"")</f>
        <v/>
      </c>
      <c r="E253">
        <f>IF($U253="","",INDEX('Per Line'!$D$2:$D$1501,$U253)&amp;"")</f>
        <v/>
      </c>
      <c r="F253">
        <f>IF($U253="","",INDEX('Per Line'!$E$2:$E$1501,$U253)&amp;"")</f>
        <v/>
      </c>
      <c r="G253">
        <f>IF($U253="","",INDEX('Per Line'!$F$2:$F$1501,$U253))</f>
        <v/>
      </c>
      <c r="H253" s="7">
        <f>IF($U253="","",G253*S253/100)</f>
        <v/>
      </c>
      <c r="I253" s="14">
        <f>IF($U253="","",INDEX('Per Line'!$R$2:$R$1501,$U253))</f>
        <v/>
      </c>
      <c r="J253">
        <f>IF($U253="","",INDEX('Per Line'!$Q$2:$Q$1501,$U253)&amp;"")</f>
        <v/>
      </c>
      <c r="K253">
        <f>IF($U253="","",Settings!$C$7)</f>
        <v/>
      </c>
      <c r="L253" s="7">
        <f>IF($U253="","",SUMIFS('Per Line'!$L$2:$L$1501,'Per Line'!$B$2:$B$1501,$A253,'Per Line'!$W$2:$W$1501,0))</f>
        <v/>
      </c>
      <c r="M253" s="7">
        <f>IF($U253="","",L253*K253)</f>
        <v/>
      </c>
      <c r="N253">
        <f>IF($U253="","",Settings!$C$6)</f>
        <v/>
      </c>
      <c r="O253" s="7">
        <f>IF($U253="","",SUMIFS('Per Line'!$L$2:$L$1501,'Per Line'!$B$2:$B$1501,$A253,'Per Line'!$W$2:$W$1501,1))</f>
        <v/>
      </c>
      <c r="P253" s="7">
        <f>IF($U253="","",O253*N253)</f>
        <v/>
      </c>
      <c r="Q253" s="7">
        <f>IF($U253="","",P253+M253)</f>
        <v/>
      </c>
      <c r="R253" s="7">
        <f>IF($U253="","",S253-Q253)</f>
        <v/>
      </c>
      <c r="S253" s="7">
        <f>IF($U253="","",L253+O253)</f>
        <v/>
      </c>
      <c r="T253" s="7">
        <f>IF($U253="","",S253-Q253-H253)</f>
        <v/>
      </c>
      <c r="U253" s="16">
        <f>IF(ROWS($U$2:$U253)&lt;=MAX('Per Line'!$V$2:$V$1501),MATCH(ROWS($U$2:$U253),'Per Line'!$V$2:$V$1501,0),"")</f>
        <v/>
      </c>
      <c r="V253">
        <f>IF($U253="","",B253&amp;"|"&amp;COUNTIF($B$2:$B253,B253))</f>
        <v/>
      </c>
    </row>
    <row r="254">
      <c r="A254">
        <f>IF($U254="","",INDEX('Per Line'!$B$2:$B$1501,$U254)&amp;"")</f>
        <v/>
      </c>
      <c r="B254">
        <f>IF($U254="","","COPY "&amp;G254&amp;" %")</f>
        <v/>
      </c>
      <c r="C254" s="15" t="n"/>
      <c r="D254">
        <f>IF($U254="","",INDEX('Per Line'!$C$2:$C$1501,$U254)&amp;"")</f>
        <v/>
      </c>
      <c r="E254">
        <f>IF($U254="","",INDEX('Per Line'!$D$2:$D$1501,$U254)&amp;"")</f>
        <v/>
      </c>
      <c r="F254">
        <f>IF($U254="","",INDEX('Per Line'!$E$2:$E$1501,$U254)&amp;"")</f>
        <v/>
      </c>
      <c r="G254">
        <f>IF($U254="","",INDEX('Per Line'!$F$2:$F$1501,$U254))</f>
        <v/>
      </c>
      <c r="H254" s="7">
        <f>IF($U254="","",G254*S254/100)</f>
        <v/>
      </c>
      <c r="I254" s="14">
        <f>IF($U254="","",INDEX('Per Line'!$R$2:$R$1501,$U254))</f>
        <v/>
      </c>
      <c r="J254">
        <f>IF($U254="","",INDEX('Per Line'!$Q$2:$Q$1501,$U254)&amp;"")</f>
        <v/>
      </c>
      <c r="K254">
        <f>IF($U254="","",Settings!$C$7)</f>
        <v/>
      </c>
      <c r="L254" s="7">
        <f>IF($U254="","",SUMIFS('Per Line'!$L$2:$L$1501,'Per Line'!$B$2:$B$1501,$A254,'Per Line'!$W$2:$W$1501,0))</f>
        <v/>
      </c>
      <c r="M254" s="7">
        <f>IF($U254="","",L254*K254)</f>
        <v/>
      </c>
      <c r="N254">
        <f>IF($U254="","",Settings!$C$6)</f>
        <v/>
      </c>
      <c r="O254" s="7">
        <f>IF($U254="","",SUMIFS('Per Line'!$L$2:$L$1501,'Per Line'!$B$2:$B$1501,$A254,'Per Line'!$W$2:$W$1501,1))</f>
        <v/>
      </c>
      <c r="P254" s="7">
        <f>IF($U254="","",O254*N254)</f>
        <v/>
      </c>
      <c r="Q254" s="7">
        <f>IF($U254="","",P254+M254)</f>
        <v/>
      </c>
      <c r="R254" s="7">
        <f>IF($U254="","",S254-Q254)</f>
        <v/>
      </c>
      <c r="S254" s="7">
        <f>IF($U254="","",L254+O254)</f>
        <v/>
      </c>
      <c r="T254" s="7">
        <f>IF($U254="","",S254-Q254-H254)</f>
        <v/>
      </c>
      <c r="U254" s="16">
        <f>IF(ROWS($U$2:$U254)&lt;=MAX('Per Line'!$V$2:$V$1501),MATCH(ROWS($U$2:$U254),'Per Line'!$V$2:$V$1501,0),"")</f>
        <v/>
      </c>
      <c r="V254">
        <f>IF($U254="","",B254&amp;"|"&amp;COUNTIF($B$2:$B254,B254))</f>
        <v/>
      </c>
    </row>
    <row r="255">
      <c r="A255">
        <f>IF($U255="","",INDEX('Per Line'!$B$2:$B$1501,$U255)&amp;"")</f>
        <v/>
      </c>
      <c r="B255">
        <f>IF($U255="","","COPY "&amp;G255&amp;" %")</f>
        <v/>
      </c>
      <c r="C255" s="15" t="n"/>
      <c r="D255">
        <f>IF($U255="","",INDEX('Per Line'!$C$2:$C$1501,$U255)&amp;"")</f>
        <v/>
      </c>
      <c r="E255">
        <f>IF($U255="","",INDEX('Per Line'!$D$2:$D$1501,$U255)&amp;"")</f>
        <v/>
      </c>
      <c r="F255">
        <f>IF($U255="","",INDEX('Per Line'!$E$2:$E$1501,$U255)&amp;"")</f>
        <v/>
      </c>
      <c r="G255">
        <f>IF($U255="","",INDEX('Per Line'!$F$2:$F$1501,$U255))</f>
        <v/>
      </c>
      <c r="H255" s="7">
        <f>IF($U255="","",G255*S255/100)</f>
        <v/>
      </c>
      <c r="I255" s="14">
        <f>IF($U255="","",INDEX('Per Line'!$R$2:$R$1501,$U255))</f>
        <v/>
      </c>
      <c r="J255">
        <f>IF($U255="","",INDEX('Per Line'!$Q$2:$Q$1501,$U255)&amp;"")</f>
        <v/>
      </c>
      <c r="K255">
        <f>IF($U255="","",Settings!$C$7)</f>
        <v/>
      </c>
      <c r="L255" s="7">
        <f>IF($U255="","",SUMIFS('Per Line'!$L$2:$L$1501,'Per Line'!$B$2:$B$1501,$A255,'Per Line'!$W$2:$W$1501,0))</f>
        <v/>
      </c>
      <c r="M255" s="7">
        <f>IF($U255="","",L255*K255)</f>
        <v/>
      </c>
      <c r="N255">
        <f>IF($U255="","",Settings!$C$6)</f>
        <v/>
      </c>
      <c r="O255" s="7">
        <f>IF($U255="","",SUMIFS('Per Line'!$L$2:$L$1501,'Per Line'!$B$2:$B$1501,$A255,'Per Line'!$W$2:$W$1501,1))</f>
        <v/>
      </c>
      <c r="P255" s="7">
        <f>IF($U255="","",O255*N255)</f>
        <v/>
      </c>
      <c r="Q255" s="7">
        <f>IF($U255="","",P255+M255)</f>
        <v/>
      </c>
      <c r="R255" s="7">
        <f>IF($U255="","",S255-Q255)</f>
        <v/>
      </c>
      <c r="S255" s="7">
        <f>IF($U255="","",L255+O255)</f>
        <v/>
      </c>
      <c r="T255" s="7">
        <f>IF($U255="","",S255-Q255-H255)</f>
        <v/>
      </c>
      <c r="U255" s="16">
        <f>IF(ROWS($U$2:$U255)&lt;=MAX('Per Line'!$V$2:$V$1501),MATCH(ROWS($U$2:$U255),'Per Line'!$V$2:$V$1501,0),"")</f>
        <v/>
      </c>
      <c r="V255">
        <f>IF($U255="","",B255&amp;"|"&amp;COUNTIF($B$2:$B255,B255))</f>
        <v/>
      </c>
    </row>
    <row r="256">
      <c r="A256">
        <f>IF($U256="","",INDEX('Per Line'!$B$2:$B$1501,$U256)&amp;"")</f>
        <v/>
      </c>
      <c r="B256">
        <f>IF($U256="","","COPY "&amp;G256&amp;" %")</f>
        <v/>
      </c>
      <c r="C256" s="15" t="n"/>
      <c r="D256">
        <f>IF($U256="","",INDEX('Per Line'!$C$2:$C$1501,$U256)&amp;"")</f>
        <v/>
      </c>
      <c r="E256">
        <f>IF($U256="","",INDEX('Per Line'!$D$2:$D$1501,$U256)&amp;"")</f>
        <v/>
      </c>
      <c r="F256">
        <f>IF($U256="","",INDEX('Per Line'!$E$2:$E$1501,$U256)&amp;"")</f>
        <v/>
      </c>
      <c r="G256">
        <f>IF($U256="","",INDEX('Per Line'!$F$2:$F$1501,$U256))</f>
        <v/>
      </c>
      <c r="H256" s="7">
        <f>IF($U256="","",G256*S256/100)</f>
        <v/>
      </c>
      <c r="I256" s="14">
        <f>IF($U256="","",INDEX('Per Line'!$R$2:$R$1501,$U256))</f>
        <v/>
      </c>
      <c r="J256">
        <f>IF($U256="","",INDEX('Per Line'!$Q$2:$Q$1501,$U256)&amp;"")</f>
        <v/>
      </c>
      <c r="K256">
        <f>IF($U256="","",Settings!$C$7)</f>
        <v/>
      </c>
      <c r="L256" s="7">
        <f>IF($U256="","",SUMIFS('Per Line'!$L$2:$L$1501,'Per Line'!$B$2:$B$1501,$A256,'Per Line'!$W$2:$W$1501,0))</f>
        <v/>
      </c>
      <c r="M256" s="7">
        <f>IF($U256="","",L256*K256)</f>
        <v/>
      </c>
      <c r="N256">
        <f>IF($U256="","",Settings!$C$6)</f>
        <v/>
      </c>
      <c r="O256" s="7">
        <f>IF($U256="","",SUMIFS('Per Line'!$L$2:$L$1501,'Per Line'!$B$2:$B$1501,$A256,'Per Line'!$W$2:$W$1501,1))</f>
        <v/>
      </c>
      <c r="P256" s="7">
        <f>IF($U256="","",O256*N256)</f>
        <v/>
      </c>
      <c r="Q256" s="7">
        <f>IF($U256="","",P256+M256)</f>
        <v/>
      </c>
      <c r="R256" s="7">
        <f>IF($U256="","",S256-Q256)</f>
        <v/>
      </c>
      <c r="S256" s="7">
        <f>IF($U256="","",L256+O256)</f>
        <v/>
      </c>
      <c r="T256" s="7">
        <f>IF($U256="","",S256-Q256-H256)</f>
        <v/>
      </c>
      <c r="U256" s="16">
        <f>IF(ROWS($U$2:$U256)&lt;=MAX('Per Line'!$V$2:$V$1501),MATCH(ROWS($U$2:$U256),'Per Line'!$V$2:$V$1501,0),"")</f>
        <v/>
      </c>
      <c r="V256">
        <f>IF($U256="","",B256&amp;"|"&amp;COUNTIF($B$2:$B256,B256))</f>
        <v/>
      </c>
    </row>
    <row r="257">
      <c r="A257">
        <f>IF($U257="","",INDEX('Per Line'!$B$2:$B$1501,$U257)&amp;"")</f>
        <v/>
      </c>
      <c r="B257">
        <f>IF($U257="","","COPY "&amp;G257&amp;" %")</f>
        <v/>
      </c>
      <c r="C257" s="15" t="n"/>
      <c r="D257">
        <f>IF($U257="","",INDEX('Per Line'!$C$2:$C$1501,$U257)&amp;"")</f>
        <v/>
      </c>
      <c r="E257">
        <f>IF($U257="","",INDEX('Per Line'!$D$2:$D$1501,$U257)&amp;"")</f>
        <v/>
      </c>
      <c r="F257">
        <f>IF($U257="","",INDEX('Per Line'!$E$2:$E$1501,$U257)&amp;"")</f>
        <v/>
      </c>
      <c r="G257">
        <f>IF($U257="","",INDEX('Per Line'!$F$2:$F$1501,$U257))</f>
        <v/>
      </c>
      <c r="H257" s="7">
        <f>IF($U257="","",G257*S257/100)</f>
        <v/>
      </c>
      <c r="I257" s="14">
        <f>IF($U257="","",INDEX('Per Line'!$R$2:$R$1501,$U257))</f>
        <v/>
      </c>
      <c r="J257">
        <f>IF($U257="","",INDEX('Per Line'!$Q$2:$Q$1501,$U257)&amp;"")</f>
        <v/>
      </c>
      <c r="K257">
        <f>IF($U257="","",Settings!$C$7)</f>
        <v/>
      </c>
      <c r="L257" s="7">
        <f>IF($U257="","",SUMIFS('Per Line'!$L$2:$L$1501,'Per Line'!$B$2:$B$1501,$A257,'Per Line'!$W$2:$W$1501,0))</f>
        <v/>
      </c>
      <c r="M257" s="7">
        <f>IF($U257="","",L257*K257)</f>
        <v/>
      </c>
      <c r="N257">
        <f>IF($U257="","",Settings!$C$6)</f>
        <v/>
      </c>
      <c r="O257" s="7">
        <f>IF($U257="","",SUMIFS('Per Line'!$L$2:$L$1501,'Per Line'!$B$2:$B$1501,$A257,'Per Line'!$W$2:$W$1501,1))</f>
        <v/>
      </c>
      <c r="P257" s="7">
        <f>IF($U257="","",O257*N257)</f>
        <v/>
      </c>
      <c r="Q257" s="7">
        <f>IF($U257="","",P257+M257)</f>
        <v/>
      </c>
      <c r="R257" s="7">
        <f>IF($U257="","",S257-Q257)</f>
        <v/>
      </c>
      <c r="S257" s="7">
        <f>IF($U257="","",L257+O257)</f>
        <v/>
      </c>
      <c r="T257" s="7">
        <f>IF($U257="","",S257-Q257-H257)</f>
        <v/>
      </c>
      <c r="U257" s="16">
        <f>IF(ROWS($U$2:$U257)&lt;=MAX('Per Line'!$V$2:$V$1501),MATCH(ROWS($U$2:$U257),'Per Line'!$V$2:$V$1501,0),"")</f>
        <v/>
      </c>
      <c r="V257">
        <f>IF($U257="","",B257&amp;"|"&amp;COUNTIF($B$2:$B257,B257))</f>
        <v/>
      </c>
    </row>
    <row r="258">
      <c r="A258">
        <f>IF($U258="","",INDEX('Per Line'!$B$2:$B$1501,$U258)&amp;"")</f>
        <v/>
      </c>
      <c r="B258">
        <f>IF($U258="","","COPY "&amp;G258&amp;" %")</f>
        <v/>
      </c>
      <c r="C258" s="15" t="n"/>
      <c r="D258">
        <f>IF($U258="","",INDEX('Per Line'!$C$2:$C$1501,$U258)&amp;"")</f>
        <v/>
      </c>
      <c r="E258">
        <f>IF($U258="","",INDEX('Per Line'!$D$2:$D$1501,$U258)&amp;"")</f>
        <v/>
      </c>
      <c r="F258">
        <f>IF($U258="","",INDEX('Per Line'!$E$2:$E$1501,$U258)&amp;"")</f>
        <v/>
      </c>
      <c r="G258">
        <f>IF($U258="","",INDEX('Per Line'!$F$2:$F$1501,$U258))</f>
        <v/>
      </c>
      <c r="H258" s="7">
        <f>IF($U258="","",G258*S258/100)</f>
        <v/>
      </c>
      <c r="I258" s="14">
        <f>IF($U258="","",INDEX('Per Line'!$R$2:$R$1501,$U258))</f>
        <v/>
      </c>
      <c r="J258">
        <f>IF($U258="","",INDEX('Per Line'!$Q$2:$Q$1501,$U258)&amp;"")</f>
        <v/>
      </c>
      <c r="K258">
        <f>IF($U258="","",Settings!$C$7)</f>
        <v/>
      </c>
      <c r="L258" s="7">
        <f>IF($U258="","",SUMIFS('Per Line'!$L$2:$L$1501,'Per Line'!$B$2:$B$1501,$A258,'Per Line'!$W$2:$W$1501,0))</f>
        <v/>
      </c>
      <c r="M258" s="7">
        <f>IF($U258="","",L258*K258)</f>
        <v/>
      </c>
      <c r="N258">
        <f>IF($U258="","",Settings!$C$6)</f>
        <v/>
      </c>
      <c r="O258" s="7">
        <f>IF($U258="","",SUMIFS('Per Line'!$L$2:$L$1501,'Per Line'!$B$2:$B$1501,$A258,'Per Line'!$W$2:$W$1501,1))</f>
        <v/>
      </c>
      <c r="P258" s="7">
        <f>IF($U258="","",O258*N258)</f>
        <v/>
      </c>
      <c r="Q258" s="7">
        <f>IF($U258="","",P258+M258)</f>
        <v/>
      </c>
      <c r="R258" s="7">
        <f>IF($U258="","",S258-Q258)</f>
        <v/>
      </c>
      <c r="S258" s="7">
        <f>IF($U258="","",L258+O258)</f>
        <v/>
      </c>
      <c r="T258" s="7">
        <f>IF($U258="","",S258-Q258-H258)</f>
        <v/>
      </c>
      <c r="U258" s="16">
        <f>IF(ROWS($U$2:$U258)&lt;=MAX('Per Line'!$V$2:$V$1501),MATCH(ROWS($U$2:$U258),'Per Line'!$V$2:$V$1501,0),"")</f>
        <v/>
      </c>
      <c r="V258">
        <f>IF($U258="","",B258&amp;"|"&amp;COUNTIF($B$2:$B258,B258))</f>
        <v/>
      </c>
    </row>
    <row r="259">
      <c r="A259">
        <f>IF($U259="","",INDEX('Per Line'!$B$2:$B$1501,$U259)&amp;"")</f>
        <v/>
      </c>
      <c r="B259">
        <f>IF($U259="","","COPY "&amp;G259&amp;" %")</f>
        <v/>
      </c>
      <c r="C259" s="15" t="n"/>
      <c r="D259">
        <f>IF($U259="","",INDEX('Per Line'!$C$2:$C$1501,$U259)&amp;"")</f>
        <v/>
      </c>
      <c r="E259">
        <f>IF($U259="","",INDEX('Per Line'!$D$2:$D$1501,$U259)&amp;"")</f>
        <v/>
      </c>
      <c r="F259">
        <f>IF($U259="","",INDEX('Per Line'!$E$2:$E$1501,$U259)&amp;"")</f>
        <v/>
      </c>
      <c r="G259">
        <f>IF($U259="","",INDEX('Per Line'!$F$2:$F$1501,$U259))</f>
        <v/>
      </c>
      <c r="H259" s="7">
        <f>IF($U259="","",G259*S259/100)</f>
        <v/>
      </c>
      <c r="I259" s="14">
        <f>IF($U259="","",INDEX('Per Line'!$R$2:$R$1501,$U259))</f>
        <v/>
      </c>
      <c r="J259">
        <f>IF($U259="","",INDEX('Per Line'!$Q$2:$Q$1501,$U259)&amp;"")</f>
        <v/>
      </c>
      <c r="K259">
        <f>IF($U259="","",Settings!$C$7)</f>
        <v/>
      </c>
      <c r="L259" s="7">
        <f>IF($U259="","",SUMIFS('Per Line'!$L$2:$L$1501,'Per Line'!$B$2:$B$1501,$A259,'Per Line'!$W$2:$W$1501,0))</f>
        <v/>
      </c>
      <c r="M259" s="7">
        <f>IF($U259="","",L259*K259)</f>
        <v/>
      </c>
      <c r="N259">
        <f>IF($U259="","",Settings!$C$6)</f>
        <v/>
      </c>
      <c r="O259" s="7">
        <f>IF($U259="","",SUMIFS('Per Line'!$L$2:$L$1501,'Per Line'!$B$2:$B$1501,$A259,'Per Line'!$W$2:$W$1501,1))</f>
        <v/>
      </c>
      <c r="P259" s="7">
        <f>IF($U259="","",O259*N259)</f>
        <v/>
      </c>
      <c r="Q259" s="7">
        <f>IF($U259="","",P259+M259)</f>
        <v/>
      </c>
      <c r="R259" s="7">
        <f>IF($U259="","",S259-Q259)</f>
        <v/>
      </c>
      <c r="S259" s="7">
        <f>IF($U259="","",L259+O259)</f>
        <v/>
      </c>
      <c r="T259" s="7">
        <f>IF($U259="","",S259-Q259-H259)</f>
        <v/>
      </c>
      <c r="U259" s="16">
        <f>IF(ROWS($U$2:$U259)&lt;=MAX('Per Line'!$V$2:$V$1501),MATCH(ROWS($U$2:$U259),'Per Line'!$V$2:$V$1501,0),"")</f>
        <v/>
      </c>
      <c r="V259">
        <f>IF($U259="","",B259&amp;"|"&amp;COUNTIF($B$2:$B259,B259))</f>
        <v/>
      </c>
    </row>
    <row r="260">
      <c r="A260">
        <f>IF($U260="","",INDEX('Per Line'!$B$2:$B$1501,$U260)&amp;"")</f>
        <v/>
      </c>
      <c r="B260">
        <f>IF($U260="","","COPY "&amp;G260&amp;" %")</f>
        <v/>
      </c>
      <c r="C260" s="15" t="n"/>
      <c r="D260">
        <f>IF($U260="","",INDEX('Per Line'!$C$2:$C$1501,$U260)&amp;"")</f>
        <v/>
      </c>
      <c r="E260">
        <f>IF($U260="","",INDEX('Per Line'!$D$2:$D$1501,$U260)&amp;"")</f>
        <v/>
      </c>
      <c r="F260">
        <f>IF($U260="","",INDEX('Per Line'!$E$2:$E$1501,$U260)&amp;"")</f>
        <v/>
      </c>
      <c r="G260">
        <f>IF($U260="","",INDEX('Per Line'!$F$2:$F$1501,$U260))</f>
        <v/>
      </c>
      <c r="H260" s="7">
        <f>IF($U260="","",G260*S260/100)</f>
        <v/>
      </c>
      <c r="I260" s="14">
        <f>IF($U260="","",INDEX('Per Line'!$R$2:$R$1501,$U260))</f>
        <v/>
      </c>
      <c r="J260">
        <f>IF($U260="","",INDEX('Per Line'!$Q$2:$Q$1501,$U260)&amp;"")</f>
        <v/>
      </c>
      <c r="K260">
        <f>IF($U260="","",Settings!$C$7)</f>
        <v/>
      </c>
      <c r="L260" s="7">
        <f>IF($U260="","",SUMIFS('Per Line'!$L$2:$L$1501,'Per Line'!$B$2:$B$1501,$A260,'Per Line'!$W$2:$W$1501,0))</f>
        <v/>
      </c>
      <c r="M260" s="7">
        <f>IF($U260="","",L260*K260)</f>
        <v/>
      </c>
      <c r="N260">
        <f>IF($U260="","",Settings!$C$6)</f>
        <v/>
      </c>
      <c r="O260" s="7">
        <f>IF($U260="","",SUMIFS('Per Line'!$L$2:$L$1501,'Per Line'!$B$2:$B$1501,$A260,'Per Line'!$W$2:$W$1501,1))</f>
        <v/>
      </c>
      <c r="P260" s="7">
        <f>IF($U260="","",O260*N260)</f>
        <v/>
      </c>
      <c r="Q260" s="7">
        <f>IF($U260="","",P260+M260)</f>
        <v/>
      </c>
      <c r="R260" s="7">
        <f>IF($U260="","",S260-Q260)</f>
        <v/>
      </c>
      <c r="S260" s="7">
        <f>IF($U260="","",L260+O260)</f>
        <v/>
      </c>
      <c r="T260" s="7">
        <f>IF($U260="","",S260-Q260-H260)</f>
        <v/>
      </c>
      <c r="U260" s="16">
        <f>IF(ROWS($U$2:$U260)&lt;=MAX('Per Line'!$V$2:$V$1501),MATCH(ROWS($U$2:$U260),'Per Line'!$V$2:$V$1501,0),"")</f>
        <v/>
      </c>
      <c r="V260">
        <f>IF($U260="","",B260&amp;"|"&amp;COUNTIF($B$2:$B260,B260))</f>
        <v/>
      </c>
    </row>
    <row r="261">
      <c r="A261">
        <f>IF($U261="","",INDEX('Per Line'!$B$2:$B$1501,$U261)&amp;"")</f>
        <v/>
      </c>
      <c r="B261">
        <f>IF($U261="","","COPY "&amp;G261&amp;" %")</f>
        <v/>
      </c>
      <c r="C261" s="15" t="n"/>
      <c r="D261">
        <f>IF($U261="","",INDEX('Per Line'!$C$2:$C$1501,$U261)&amp;"")</f>
        <v/>
      </c>
      <c r="E261">
        <f>IF($U261="","",INDEX('Per Line'!$D$2:$D$1501,$U261)&amp;"")</f>
        <v/>
      </c>
      <c r="F261">
        <f>IF($U261="","",INDEX('Per Line'!$E$2:$E$1501,$U261)&amp;"")</f>
        <v/>
      </c>
      <c r="G261">
        <f>IF($U261="","",INDEX('Per Line'!$F$2:$F$1501,$U261))</f>
        <v/>
      </c>
      <c r="H261" s="7">
        <f>IF($U261="","",G261*S261/100)</f>
        <v/>
      </c>
      <c r="I261" s="14">
        <f>IF($U261="","",INDEX('Per Line'!$R$2:$R$1501,$U261))</f>
        <v/>
      </c>
      <c r="J261">
        <f>IF($U261="","",INDEX('Per Line'!$Q$2:$Q$1501,$U261)&amp;"")</f>
        <v/>
      </c>
      <c r="K261">
        <f>IF($U261="","",Settings!$C$7)</f>
        <v/>
      </c>
      <c r="L261" s="7">
        <f>IF($U261="","",SUMIFS('Per Line'!$L$2:$L$1501,'Per Line'!$B$2:$B$1501,$A261,'Per Line'!$W$2:$W$1501,0))</f>
        <v/>
      </c>
      <c r="M261" s="7">
        <f>IF($U261="","",L261*K261)</f>
        <v/>
      </c>
      <c r="N261">
        <f>IF($U261="","",Settings!$C$6)</f>
        <v/>
      </c>
      <c r="O261" s="7">
        <f>IF($U261="","",SUMIFS('Per Line'!$L$2:$L$1501,'Per Line'!$B$2:$B$1501,$A261,'Per Line'!$W$2:$W$1501,1))</f>
        <v/>
      </c>
      <c r="P261" s="7">
        <f>IF($U261="","",O261*N261)</f>
        <v/>
      </c>
      <c r="Q261" s="7">
        <f>IF($U261="","",P261+M261)</f>
        <v/>
      </c>
      <c r="R261" s="7">
        <f>IF($U261="","",S261-Q261)</f>
        <v/>
      </c>
      <c r="S261" s="7">
        <f>IF($U261="","",L261+O261)</f>
        <v/>
      </c>
      <c r="T261" s="7">
        <f>IF($U261="","",S261-Q261-H261)</f>
        <v/>
      </c>
      <c r="U261" s="16">
        <f>IF(ROWS($U$2:$U261)&lt;=MAX('Per Line'!$V$2:$V$1501),MATCH(ROWS($U$2:$U261),'Per Line'!$V$2:$V$1501,0),"")</f>
        <v/>
      </c>
      <c r="V261">
        <f>IF($U261="","",B261&amp;"|"&amp;COUNTIF($B$2:$B261,B261))</f>
        <v/>
      </c>
    </row>
    <row r="262">
      <c r="A262">
        <f>IF($U262="","",INDEX('Per Line'!$B$2:$B$1501,$U262)&amp;"")</f>
        <v/>
      </c>
      <c r="B262">
        <f>IF($U262="","","COPY "&amp;G262&amp;" %")</f>
        <v/>
      </c>
      <c r="C262" s="15" t="n"/>
      <c r="D262">
        <f>IF($U262="","",INDEX('Per Line'!$C$2:$C$1501,$U262)&amp;"")</f>
        <v/>
      </c>
      <c r="E262">
        <f>IF($U262="","",INDEX('Per Line'!$D$2:$D$1501,$U262)&amp;"")</f>
        <v/>
      </c>
      <c r="F262">
        <f>IF($U262="","",INDEX('Per Line'!$E$2:$E$1501,$U262)&amp;"")</f>
        <v/>
      </c>
      <c r="G262">
        <f>IF($U262="","",INDEX('Per Line'!$F$2:$F$1501,$U262))</f>
        <v/>
      </c>
      <c r="H262" s="7">
        <f>IF($U262="","",G262*S262/100)</f>
        <v/>
      </c>
      <c r="I262" s="14">
        <f>IF($U262="","",INDEX('Per Line'!$R$2:$R$1501,$U262))</f>
        <v/>
      </c>
      <c r="J262">
        <f>IF($U262="","",INDEX('Per Line'!$Q$2:$Q$1501,$U262)&amp;"")</f>
        <v/>
      </c>
      <c r="K262">
        <f>IF($U262="","",Settings!$C$7)</f>
        <v/>
      </c>
      <c r="L262" s="7">
        <f>IF($U262="","",SUMIFS('Per Line'!$L$2:$L$1501,'Per Line'!$B$2:$B$1501,$A262,'Per Line'!$W$2:$W$1501,0))</f>
        <v/>
      </c>
      <c r="M262" s="7">
        <f>IF($U262="","",L262*K262)</f>
        <v/>
      </c>
      <c r="N262">
        <f>IF($U262="","",Settings!$C$6)</f>
        <v/>
      </c>
      <c r="O262" s="7">
        <f>IF($U262="","",SUMIFS('Per Line'!$L$2:$L$1501,'Per Line'!$B$2:$B$1501,$A262,'Per Line'!$W$2:$W$1501,1))</f>
        <v/>
      </c>
      <c r="P262" s="7">
        <f>IF($U262="","",O262*N262)</f>
        <v/>
      </c>
      <c r="Q262" s="7">
        <f>IF($U262="","",P262+M262)</f>
        <v/>
      </c>
      <c r="R262" s="7">
        <f>IF($U262="","",S262-Q262)</f>
        <v/>
      </c>
      <c r="S262" s="7">
        <f>IF($U262="","",L262+O262)</f>
        <v/>
      </c>
      <c r="T262" s="7">
        <f>IF($U262="","",S262-Q262-H262)</f>
        <v/>
      </c>
      <c r="U262" s="16">
        <f>IF(ROWS($U$2:$U262)&lt;=MAX('Per Line'!$V$2:$V$1501),MATCH(ROWS($U$2:$U262),'Per Line'!$V$2:$V$1501,0),"")</f>
        <v/>
      </c>
      <c r="V262">
        <f>IF($U262="","",B262&amp;"|"&amp;COUNTIF($B$2:$B262,B262))</f>
        <v/>
      </c>
    </row>
    <row r="263">
      <c r="A263">
        <f>IF($U263="","",INDEX('Per Line'!$B$2:$B$1501,$U263)&amp;"")</f>
        <v/>
      </c>
      <c r="B263">
        <f>IF($U263="","","COPY "&amp;G263&amp;" %")</f>
        <v/>
      </c>
      <c r="C263" s="15" t="n"/>
      <c r="D263">
        <f>IF($U263="","",INDEX('Per Line'!$C$2:$C$1501,$U263)&amp;"")</f>
        <v/>
      </c>
      <c r="E263">
        <f>IF($U263="","",INDEX('Per Line'!$D$2:$D$1501,$U263)&amp;"")</f>
        <v/>
      </c>
      <c r="F263">
        <f>IF($U263="","",INDEX('Per Line'!$E$2:$E$1501,$U263)&amp;"")</f>
        <v/>
      </c>
      <c r="G263">
        <f>IF($U263="","",INDEX('Per Line'!$F$2:$F$1501,$U263))</f>
        <v/>
      </c>
      <c r="H263" s="7">
        <f>IF($U263="","",G263*S263/100)</f>
        <v/>
      </c>
      <c r="I263" s="14">
        <f>IF($U263="","",INDEX('Per Line'!$R$2:$R$1501,$U263))</f>
        <v/>
      </c>
      <c r="J263">
        <f>IF($U263="","",INDEX('Per Line'!$Q$2:$Q$1501,$U263)&amp;"")</f>
        <v/>
      </c>
      <c r="K263">
        <f>IF($U263="","",Settings!$C$7)</f>
        <v/>
      </c>
      <c r="L263" s="7">
        <f>IF($U263="","",SUMIFS('Per Line'!$L$2:$L$1501,'Per Line'!$B$2:$B$1501,$A263,'Per Line'!$W$2:$W$1501,0))</f>
        <v/>
      </c>
      <c r="M263" s="7">
        <f>IF($U263="","",L263*K263)</f>
        <v/>
      </c>
      <c r="N263">
        <f>IF($U263="","",Settings!$C$6)</f>
        <v/>
      </c>
      <c r="O263" s="7">
        <f>IF($U263="","",SUMIFS('Per Line'!$L$2:$L$1501,'Per Line'!$B$2:$B$1501,$A263,'Per Line'!$W$2:$W$1501,1))</f>
        <v/>
      </c>
      <c r="P263" s="7">
        <f>IF($U263="","",O263*N263)</f>
        <v/>
      </c>
      <c r="Q263" s="7">
        <f>IF($U263="","",P263+M263)</f>
        <v/>
      </c>
      <c r="R263" s="7">
        <f>IF($U263="","",S263-Q263)</f>
        <v/>
      </c>
      <c r="S263" s="7">
        <f>IF($U263="","",L263+O263)</f>
        <v/>
      </c>
      <c r="T263" s="7">
        <f>IF($U263="","",S263-Q263-H263)</f>
        <v/>
      </c>
      <c r="U263" s="16">
        <f>IF(ROWS($U$2:$U263)&lt;=MAX('Per Line'!$V$2:$V$1501),MATCH(ROWS($U$2:$U263),'Per Line'!$V$2:$V$1501,0),"")</f>
        <v/>
      </c>
      <c r="V263">
        <f>IF($U263="","",B263&amp;"|"&amp;COUNTIF($B$2:$B263,B263))</f>
        <v/>
      </c>
    </row>
    <row r="264">
      <c r="A264">
        <f>IF($U264="","",INDEX('Per Line'!$B$2:$B$1501,$U264)&amp;"")</f>
        <v/>
      </c>
      <c r="B264">
        <f>IF($U264="","","COPY "&amp;G264&amp;" %")</f>
        <v/>
      </c>
      <c r="C264" s="15" t="n"/>
      <c r="D264">
        <f>IF($U264="","",INDEX('Per Line'!$C$2:$C$1501,$U264)&amp;"")</f>
        <v/>
      </c>
      <c r="E264">
        <f>IF($U264="","",INDEX('Per Line'!$D$2:$D$1501,$U264)&amp;"")</f>
        <v/>
      </c>
      <c r="F264">
        <f>IF($U264="","",INDEX('Per Line'!$E$2:$E$1501,$U264)&amp;"")</f>
        <v/>
      </c>
      <c r="G264">
        <f>IF($U264="","",INDEX('Per Line'!$F$2:$F$1501,$U264))</f>
        <v/>
      </c>
      <c r="H264" s="7">
        <f>IF($U264="","",G264*S264/100)</f>
        <v/>
      </c>
      <c r="I264" s="14">
        <f>IF($U264="","",INDEX('Per Line'!$R$2:$R$1501,$U264))</f>
        <v/>
      </c>
      <c r="J264">
        <f>IF($U264="","",INDEX('Per Line'!$Q$2:$Q$1501,$U264)&amp;"")</f>
        <v/>
      </c>
      <c r="K264">
        <f>IF($U264="","",Settings!$C$7)</f>
        <v/>
      </c>
      <c r="L264" s="7">
        <f>IF($U264="","",SUMIFS('Per Line'!$L$2:$L$1501,'Per Line'!$B$2:$B$1501,$A264,'Per Line'!$W$2:$W$1501,0))</f>
        <v/>
      </c>
      <c r="M264" s="7">
        <f>IF($U264="","",L264*K264)</f>
        <v/>
      </c>
      <c r="N264">
        <f>IF($U264="","",Settings!$C$6)</f>
        <v/>
      </c>
      <c r="O264" s="7">
        <f>IF($U264="","",SUMIFS('Per Line'!$L$2:$L$1501,'Per Line'!$B$2:$B$1501,$A264,'Per Line'!$W$2:$W$1501,1))</f>
        <v/>
      </c>
      <c r="P264" s="7">
        <f>IF($U264="","",O264*N264)</f>
        <v/>
      </c>
      <c r="Q264" s="7">
        <f>IF($U264="","",P264+M264)</f>
        <v/>
      </c>
      <c r="R264" s="7">
        <f>IF($U264="","",S264-Q264)</f>
        <v/>
      </c>
      <c r="S264" s="7">
        <f>IF($U264="","",L264+O264)</f>
        <v/>
      </c>
      <c r="T264" s="7">
        <f>IF($U264="","",S264-Q264-H264)</f>
        <v/>
      </c>
      <c r="U264" s="16">
        <f>IF(ROWS($U$2:$U264)&lt;=MAX('Per Line'!$V$2:$V$1501),MATCH(ROWS($U$2:$U264),'Per Line'!$V$2:$V$1501,0),"")</f>
        <v/>
      </c>
      <c r="V264">
        <f>IF($U264="","",B264&amp;"|"&amp;COUNTIF($B$2:$B264,B264))</f>
        <v/>
      </c>
    </row>
    <row r="265">
      <c r="A265">
        <f>IF($U265="","",INDEX('Per Line'!$B$2:$B$1501,$U265)&amp;"")</f>
        <v/>
      </c>
      <c r="B265">
        <f>IF($U265="","","COPY "&amp;G265&amp;" %")</f>
        <v/>
      </c>
      <c r="C265" s="15" t="n"/>
      <c r="D265">
        <f>IF($U265="","",INDEX('Per Line'!$C$2:$C$1501,$U265)&amp;"")</f>
        <v/>
      </c>
      <c r="E265">
        <f>IF($U265="","",INDEX('Per Line'!$D$2:$D$1501,$U265)&amp;"")</f>
        <v/>
      </c>
      <c r="F265">
        <f>IF($U265="","",INDEX('Per Line'!$E$2:$E$1501,$U265)&amp;"")</f>
        <v/>
      </c>
      <c r="G265">
        <f>IF($U265="","",INDEX('Per Line'!$F$2:$F$1501,$U265))</f>
        <v/>
      </c>
      <c r="H265" s="7">
        <f>IF($U265="","",G265*S265/100)</f>
        <v/>
      </c>
      <c r="I265" s="14">
        <f>IF($U265="","",INDEX('Per Line'!$R$2:$R$1501,$U265))</f>
        <v/>
      </c>
      <c r="J265">
        <f>IF($U265="","",INDEX('Per Line'!$Q$2:$Q$1501,$U265)&amp;"")</f>
        <v/>
      </c>
      <c r="K265">
        <f>IF($U265="","",Settings!$C$7)</f>
        <v/>
      </c>
      <c r="L265" s="7">
        <f>IF($U265="","",SUMIFS('Per Line'!$L$2:$L$1501,'Per Line'!$B$2:$B$1501,$A265,'Per Line'!$W$2:$W$1501,0))</f>
        <v/>
      </c>
      <c r="M265" s="7">
        <f>IF($U265="","",L265*K265)</f>
        <v/>
      </c>
      <c r="N265">
        <f>IF($U265="","",Settings!$C$6)</f>
        <v/>
      </c>
      <c r="O265" s="7">
        <f>IF($U265="","",SUMIFS('Per Line'!$L$2:$L$1501,'Per Line'!$B$2:$B$1501,$A265,'Per Line'!$W$2:$W$1501,1))</f>
        <v/>
      </c>
      <c r="P265" s="7">
        <f>IF($U265="","",O265*N265)</f>
        <v/>
      </c>
      <c r="Q265" s="7">
        <f>IF($U265="","",P265+M265)</f>
        <v/>
      </c>
      <c r="R265" s="7">
        <f>IF($U265="","",S265-Q265)</f>
        <v/>
      </c>
      <c r="S265" s="7">
        <f>IF($U265="","",L265+O265)</f>
        <v/>
      </c>
      <c r="T265" s="7">
        <f>IF($U265="","",S265-Q265-H265)</f>
        <v/>
      </c>
      <c r="U265" s="16">
        <f>IF(ROWS($U$2:$U265)&lt;=MAX('Per Line'!$V$2:$V$1501),MATCH(ROWS($U$2:$U265),'Per Line'!$V$2:$V$1501,0),"")</f>
        <v/>
      </c>
      <c r="V265">
        <f>IF($U265="","",B265&amp;"|"&amp;COUNTIF($B$2:$B265,B265))</f>
        <v/>
      </c>
    </row>
    <row r="266">
      <c r="A266">
        <f>IF($U266="","",INDEX('Per Line'!$B$2:$B$1501,$U266)&amp;"")</f>
        <v/>
      </c>
      <c r="B266">
        <f>IF($U266="","","COPY "&amp;G266&amp;" %")</f>
        <v/>
      </c>
      <c r="C266" s="15" t="n"/>
      <c r="D266">
        <f>IF($U266="","",INDEX('Per Line'!$C$2:$C$1501,$U266)&amp;"")</f>
        <v/>
      </c>
      <c r="E266">
        <f>IF($U266="","",INDEX('Per Line'!$D$2:$D$1501,$U266)&amp;"")</f>
        <v/>
      </c>
      <c r="F266">
        <f>IF($U266="","",INDEX('Per Line'!$E$2:$E$1501,$U266)&amp;"")</f>
        <v/>
      </c>
      <c r="G266">
        <f>IF($U266="","",INDEX('Per Line'!$F$2:$F$1501,$U266))</f>
        <v/>
      </c>
      <c r="H266" s="7">
        <f>IF($U266="","",G266*S266/100)</f>
        <v/>
      </c>
      <c r="I266" s="14">
        <f>IF($U266="","",INDEX('Per Line'!$R$2:$R$1501,$U266))</f>
        <v/>
      </c>
      <c r="J266">
        <f>IF($U266="","",INDEX('Per Line'!$Q$2:$Q$1501,$U266)&amp;"")</f>
        <v/>
      </c>
      <c r="K266">
        <f>IF($U266="","",Settings!$C$7)</f>
        <v/>
      </c>
      <c r="L266" s="7">
        <f>IF($U266="","",SUMIFS('Per Line'!$L$2:$L$1501,'Per Line'!$B$2:$B$1501,$A266,'Per Line'!$W$2:$W$1501,0))</f>
        <v/>
      </c>
      <c r="M266" s="7">
        <f>IF($U266="","",L266*K266)</f>
        <v/>
      </c>
      <c r="N266">
        <f>IF($U266="","",Settings!$C$6)</f>
        <v/>
      </c>
      <c r="O266" s="7">
        <f>IF($U266="","",SUMIFS('Per Line'!$L$2:$L$1501,'Per Line'!$B$2:$B$1501,$A266,'Per Line'!$W$2:$W$1501,1))</f>
        <v/>
      </c>
      <c r="P266" s="7">
        <f>IF($U266="","",O266*N266)</f>
        <v/>
      </c>
      <c r="Q266" s="7">
        <f>IF($U266="","",P266+M266)</f>
        <v/>
      </c>
      <c r="R266" s="7">
        <f>IF($U266="","",S266-Q266)</f>
        <v/>
      </c>
      <c r="S266" s="7">
        <f>IF($U266="","",L266+O266)</f>
        <v/>
      </c>
      <c r="T266" s="7">
        <f>IF($U266="","",S266-Q266-H266)</f>
        <v/>
      </c>
      <c r="U266" s="16">
        <f>IF(ROWS($U$2:$U266)&lt;=MAX('Per Line'!$V$2:$V$1501),MATCH(ROWS($U$2:$U266),'Per Line'!$V$2:$V$1501,0),"")</f>
        <v/>
      </c>
      <c r="V266">
        <f>IF($U266="","",B266&amp;"|"&amp;COUNTIF($B$2:$B266,B266))</f>
        <v/>
      </c>
    </row>
    <row r="267">
      <c r="A267">
        <f>IF($U267="","",INDEX('Per Line'!$B$2:$B$1501,$U267)&amp;"")</f>
        <v/>
      </c>
      <c r="B267">
        <f>IF($U267="","","COPY "&amp;G267&amp;" %")</f>
        <v/>
      </c>
      <c r="C267" s="15" t="n"/>
      <c r="D267">
        <f>IF($U267="","",INDEX('Per Line'!$C$2:$C$1501,$U267)&amp;"")</f>
        <v/>
      </c>
      <c r="E267">
        <f>IF($U267="","",INDEX('Per Line'!$D$2:$D$1501,$U267)&amp;"")</f>
        <v/>
      </c>
      <c r="F267">
        <f>IF($U267="","",INDEX('Per Line'!$E$2:$E$1501,$U267)&amp;"")</f>
        <v/>
      </c>
      <c r="G267">
        <f>IF($U267="","",INDEX('Per Line'!$F$2:$F$1501,$U267))</f>
        <v/>
      </c>
      <c r="H267" s="7">
        <f>IF($U267="","",G267*S267/100)</f>
        <v/>
      </c>
      <c r="I267" s="14">
        <f>IF($U267="","",INDEX('Per Line'!$R$2:$R$1501,$U267))</f>
        <v/>
      </c>
      <c r="J267">
        <f>IF($U267="","",INDEX('Per Line'!$Q$2:$Q$1501,$U267)&amp;"")</f>
        <v/>
      </c>
      <c r="K267">
        <f>IF($U267="","",Settings!$C$7)</f>
        <v/>
      </c>
      <c r="L267" s="7">
        <f>IF($U267="","",SUMIFS('Per Line'!$L$2:$L$1501,'Per Line'!$B$2:$B$1501,$A267,'Per Line'!$W$2:$W$1501,0))</f>
        <v/>
      </c>
      <c r="M267" s="7">
        <f>IF($U267="","",L267*K267)</f>
        <v/>
      </c>
      <c r="N267">
        <f>IF($U267="","",Settings!$C$6)</f>
        <v/>
      </c>
      <c r="O267" s="7">
        <f>IF($U267="","",SUMIFS('Per Line'!$L$2:$L$1501,'Per Line'!$B$2:$B$1501,$A267,'Per Line'!$W$2:$W$1501,1))</f>
        <v/>
      </c>
      <c r="P267" s="7">
        <f>IF($U267="","",O267*N267)</f>
        <v/>
      </c>
      <c r="Q267" s="7">
        <f>IF($U267="","",P267+M267)</f>
        <v/>
      </c>
      <c r="R267" s="7">
        <f>IF($U267="","",S267-Q267)</f>
        <v/>
      </c>
      <c r="S267" s="7">
        <f>IF($U267="","",L267+O267)</f>
        <v/>
      </c>
      <c r="T267" s="7">
        <f>IF($U267="","",S267-Q267-H267)</f>
        <v/>
      </c>
      <c r="U267" s="16">
        <f>IF(ROWS($U$2:$U267)&lt;=MAX('Per Line'!$V$2:$V$1501),MATCH(ROWS($U$2:$U267),'Per Line'!$V$2:$V$1501,0),"")</f>
        <v/>
      </c>
      <c r="V267">
        <f>IF($U267="","",B267&amp;"|"&amp;COUNTIF($B$2:$B267,B267))</f>
        <v/>
      </c>
    </row>
    <row r="268">
      <c r="A268">
        <f>IF($U268="","",INDEX('Per Line'!$B$2:$B$1501,$U268)&amp;"")</f>
        <v/>
      </c>
      <c r="B268">
        <f>IF($U268="","","COPY "&amp;G268&amp;" %")</f>
        <v/>
      </c>
      <c r="C268" s="15" t="n"/>
      <c r="D268">
        <f>IF($U268="","",INDEX('Per Line'!$C$2:$C$1501,$U268)&amp;"")</f>
        <v/>
      </c>
      <c r="E268">
        <f>IF($U268="","",INDEX('Per Line'!$D$2:$D$1501,$U268)&amp;"")</f>
        <v/>
      </c>
      <c r="F268">
        <f>IF($U268="","",INDEX('Per Line'!$E$2:$E$1501,$U268)&amp;"")</f>
        <v/>
      </c>
      <c r="G268">
        <f>IF($U268="","",INDEX('Per Line'!$F$2:$F$1501,$U268))</f>
        <v/>
      </c>
      <c r="H268" s="7">
        <f>IF($U268="","",G268*S268/100)</f>
        <v/>
      </c>
      <c r="I268" s="14">
        <f>IF($U268="","",INDEX('Per Line'!$R$2:$R$1501,$U268))</f>
        <v/>
      </c>
      <c r="J268">
        <f>IF($U268="","",INDEX('Per Line'!$Q$2:$Q$1501,$U268)&amp;"")</f>
        <v/>
      </c>
      <c r="K268">
        <f>IF($U268="","",Settings!$C$7)</f>
        <v/>
      </c>
      <c r="L268" s="7">
        <f>IF($U268="","",SUMIFS('Per Line'!$L$2:$L$1501,'Per Line'!$B$2:$B$1501,$A268,'Per Line'!$W$2:$W$1501,0))</f>
        <v/>
      </c>
      <c r="M268" s="7">
        <f>IF($U268="","",L268*K268)</f>
        <v/>
      </c>
      <c r="N268">
        <f>IF($U268="","",Settings!$C$6)</f>
        <v/>
      </c>
      <c r="O268" s="7">
        <f>IF($U268="","",SUMIFS('Per Line'!$L$2:$L$1501,'Per Line'!$B$2:$B$1501,$A268,'Per Line'!$W$2:$W$1501,1))</f>
        <v/>
      </c>
      <c r="P268" s="7">
        <f>IF($U268="","",O268*N268)</f>
        <v/>
      </c>
      <c r="Q268" s="7">
        <f>IF($U268="","",P268+M268)</f>
        <v/>
      </c>
      <c r="R268" s="7">
        <f>IF($U268="","",S268-Q268)</f>
        <v/>
      </c>
      <c r="S268" s="7">
        <f>IF($U268="","",L268+O268)</f>
        <v/>
      </c>
      <c r="T268" s="7">
        <f>IF($U268="","",S268-Q268-H268)</f>
        <v/>
      </c>
      <c r="U268" s="16">
        <f>IF(ROWS($U$2:$U268)&lt;=MAX('Per Line'!$V$2:$V$1501),MATCH(ROWS($U$2:$U268),'Per Line'!$V$2:$V$1501,0),"")</f>
        <v/>
      </c>
      <c r="V268">
        <f>IF($U268="","",B268&amp;"|"&amp;COUNTIF($B$2:$B268,B268))</f>
        <v/>
      </c>
    </row>
    <row r="269">
      <c r="A269">
        <f>IF($U269="","",INDEX('Per Line'!$B$2:$B$1501,$U269)&amp;"")</f>
        <v/>
      </c>
      <c r="B269">
        <f>IF($U269="","","COPY "&amp;G269&amp;" %")</f>
        <v/>
      </c>
      <c r="C269" s="15" t="n"/>
      <c r="D269">
        <f>IF($U269="","",INDEX('Per Line'!$C$2:$C$1501,$U269)&amp;"")</f>
        <v/>
      </c>
      <c r="E269">
        <f>IF($U269="","",INDEX('Per Line'!$D$2:$D$1501,$U269)&amp;"")</f>
        <v/>
      </c>
      <c r="F269">
        <f>IF($U269="","",INDEX('Per Line'!$E$2:$E$1501,$U269)&amp;"")</f>
        <v/>
      </c>
      <c r="G269">
        <f>IF($U269="","",INDEX('Per Line'!$F$2:$F$1501,$U269))</f>
        <v/>
      </c>
      <c r="H269" s="7">
        <f>IF($U269="","",G269*S269/100)</f>
        <v/>
      </c>
      <c r="I269" s="14">
        <f>IF($U269="","",INDEX('Per Line'!$R$2:$R$1501,$U269))</f>
        <v/>
      </c>
      <c r="J269">
        <f>IF($U269="","",INDEX('Per Line'!$Q$2:$Q$1501,$U269)&amp;"")</f>
        <v/>
      </c>
      <c r="K269">
        <f>IF($U269="","",Settings!$C$7)</f>
        <v/>
      </c>
      <c r="L269" s="7">
        <f>IF($U269="","",SUMIFS('Per Line'!$L$2:$L$1501,'Per Line'!$B$2:$B$1501,$A269,'Per Line'!$W$2:$W$1501,0))</f>
        <v/>
      </c>
      <c r="M269" s="7">
        <f>IF($U269="","",L269*K269)</f>
        <v/>
      </c>
      <c r="N269">
        <f>IF($U269="","",Settings!$C$6)</f>
        <v/>
      </c>
      <c r="O269" s="7">
        <f>IF($U269="","",SUMIFS('Per Line'!$L$2:$L$1501,'Per Line'!$B$2:$B$1501,$A269,'Per Line'!$W$2:$W$1501,1))</f>
        <v/>
      </c>
      <c r="P269" s="7">
        <f>IF($U269="","",O269*N269)</f>
        <v/>
      </c>
      <c r="Q269" s="7">
        <f>IF($U269="","",P269+M269)</f>
        <v/>
      </c>
      <c r="R269" s="7">
        <f>IF($U269="","",S269-Q269)</f>
        <v/>
      </c>
      <c r="S269" s="7">
        <f>IF($U269="","",L269+O269)</f>
        <v/>
      </c>
      <c r="T269" s="7">
        <f>IF($U269="","",S269-Q269-H269)</f>
        <v/>
      </c>
      <c r="U269" s="16">
        <f>IF(ROWS($U$2:$U269)&lt;=MAX('Per Line'!$V$2:$V$1501),MATCH(ROWS($U$2:$U269),'Per Line'!$V$2:$V$1501,0),"")</f>
        <v/>
      </c>
      <c r="V269">
        <f>IF($U269="","",B269&amp;"|"&amp;COUNTIF($B$2:$B269,B269))</f>
        <v/>
      </c>
    </row>
    <row r="270">
      <c r="A270">
        <f>IF($U270="","",INDEX('Per Line'!$B$2:$B$1501,$U270)&amp;"")</f>
        <v/>
      </c>
      <c r="B270">
        <f>IF($U270="","","COPY "&amp;G270&amp;" %")</f>
        <v/>
      </c>
      <c r="C270" s="15" t="n"/>
      <c r="D270">
        <f>IF($U270="","",INDEX('Per Line'!$C$2:$C$1501,$U270)&amp;"")</f>
        <v/>
      </c>
      <c r="E270">
        <f>IF($U270="","",INDEX('Per Line'!$D$2:$D$1501,$U270)&amp;"")</f>
        <v/>
      </c>
      <c r="F270">
        <f>IF($U270="","",INDEX('Per Line'!$E$2:$E$1501,$U270)&amp;"")</f>
        <v/>
      </c>
      <c r="G270">
        <f>IF($U270="","",INDEX('Per Line'!$F$2:$F$1501,$U270))</f>
        <v/>
      </c>
      <c r="H270" s="7">
        <f>IF($U270="","",G270*S270/100)</f>
        <v/>
      </c>
      <c r="I270" s="14">
        <f>IF($U270="","",INDEX('Per Line'!$R$2:$R$1501,$U270))</f>
        <v/>
      </c>
      <c r="J270">
        <f>IF($U270="","",INDEX('Per Line'!$Q$2:$Q$1501,$U270)&amp;"")</f>
        <v/>
      </c>
      <c r="K270">
        <f>IF($U270="","",Settings!$C$7)</f>
        <v/>
      </c>
      <c r="L270" s="7">
        <f>IF($U270="","",SUMIFS('Per Line'!$L$2:$L$1501,'Per Line'!$B$2:$B$1501,$A270,'Per Line'!$W$2:$W$1501,0))</f>
        <v/>
      </c>
      <c r="M270" s="7">
        <f>IF($U270="","",L270*K270)</f>
        <v/>
      </c>
      <c r="N270">
        <f>IF($U270="","",Settings!$C$6)</f>
        <v/>
      </c>
      <c r="O270" s="7">
        <f>IF($U270="","",SUMIFS('Per Line'!$L$2:$L$1501,'Per Line'!$B$2:$B$1501,$A270,'Per Line'!$W$2:$W$1501,1))</f>
        <v/>
      </c>
      <c r="P270" s="7">
        <f>IF($U270="","",O270*N270)</f>
        <v/>
      </c>
      <c r="Q270" s="7">
        <f>IF($U270="","",P270+M270)</f>
        <v/>
      </c>
      <c r="R270" s="7">
        <f>IF($U270="","",S270-Q270)</f>
        <v/>
      </c>
      <c r="S270" s="7">
        <f>IF($U270="","",L270+O270)</f>
        <v/>
      </c>
      <c r="T270" s="7">
        <f>IF($U270="","",S270-Q270-H270)</f>
        <v/>
      </c>
      <c r="U270" s="16">
        <f>IF(ROWS($U$2:$U270)&lt;=MAX('Per Line'!$V$2:$V$1501),MATCH(ROWS($U$2:$U270),'Per Line'!$V$2:$V$1501,0),"")</f>
        <v/>
      </c>
      <c r="V270">
        <f>IF($U270="","",B270&amp;"|"&amp;COUNTIF($B$2:$B270,B270))</f>
        <v/>
      </c>
    </row>
    <row r="271">
      <c r="A271">
        <f>IF($U271="","",INDEX('Per Line'!$B$2:$B$1501,$U271)&amp;"")</f>
        <v/>
      </c>
      <c r="B271">
        <f>IF($U271="","","COPY "&amp;G271&amp;" %")</f>
        <v/>
      </c>
      <c r="C271" s="15" t="n"/>
      <c r="D271">
        <f>IF($U271="","",INDEX('Per Line'!$C$2:$C$1501,$U271)&amp;"")</f>
        <v/>
      </c>
      <c r="E271">
        <f>IF($U271="","",INDEX('Per Line'!$D$2:$D$1501,$U271)&amp;"")</f>
        <v/>
      </c>
      <c r="F271">
        <f>IF($U271="","",INDEX('Per Line'!$E$2:$E$1501,$U271)&amp;"")</f>
        <v/>
      </c>
      <c r="G271">
        <f>IF($U271="","",INDEX('Per Line'!$F$2:$F$1501,$U271))</f>
        <v/>
      </c>
      <c r="H271" s="7">
        <f>IF($U271="","",G271*S271/100)</f>
        <v/>
      </c>
      <c r="I271" s="14">
        <f>IF($U271="","",INDEX('Per Line'!$R$2:$R$1501,$U271))</f>
        <v/>
      </c>
      <c r="J271">
        <f>IF($U271="","",INDEX('Per Line'!$Q$2:$Q$1501,$U271)&amp;"")</f>
        <v/>
      </c>
      <c r="K271">
        <f>IF($U271="","",Settings!$C$7)</f>
        <v/>
      </c>
      <c r="L271" s="7">
        <f>IF($U271="","",SUMIFS('Per Line'!$L$2:$L$1501,'Per Line'!$B$2:$B$1501,$A271,'Per Line'!$W$2:$W$1501,0))</f>
        <v/>
      </c>
      <c r="M271" s="7">
        <f>IF($U271="","",L271*K271)</f>
        <v/>
      </c>
      <c r="N271">
        <f>IF($U271="","",Settings!$C$6)</f>
        <v/>
      </c>
      <c r="O271" s="7">
        <f>IF($U271="","",SUMIFS('Per Line'!$L$2:$L$1501,'Per Line'!$B$2:$B$1501,$A271,'Per Line'!$W$2:$W$1501,1))</f>
        <v/>
      </c>
      <c r="P271" s="7">
        <f>IF($U271="","",O271*N271)</f>
        <v/>
      </c>
      <c r="Q271" s="7">
        <f>IF($U271="","",P271+M271)</f>
        <v/>
      </c>
      <c r="R271" s="7">
        <f>IF($U271="","",S271-Q271)</f>
        <v/>
      </c>
      <c r="S271" s="7">
        <f>IF($U271="","",L271+O271)</f>
        <v/>
      </c>
      <c r="T271" s="7">
        <f>IF($U271="","",S271-Q271-H271)</f>
        <v/>
      </c>
      <c r="U271" s="16">
        <f>IF(ROWS($U$2:$U271)&lt;=MAX('Per Line'!$V$2:$V$1501),MATCH(ROWS($U$2:$U271),'Per Line'!$V$2:$V$1501,0),"")</f>
        <v/>
      </c>
      <c r="V271">
        <f>IF($U271="","",B271&amp;"|"&amp;COUNTIF($B$2:$B271,B271))</f>
        <v/>
      </c>
    </row>
    <row r="272">
      <c r="A272">
        <f>IF($U272="","",INDEX('Per Line'!$B$2:$B$1501,$U272)&amp;"")</f>
        <v/>
      </c>
      <c r="B272">
        <f>IF($U272="","","COPY "&amp;G272&amp;" %")</f>
        <v/>
      </c>
      <c r="C272" s="15" t="n"/>
      <c r="D272">
        <f>IF($U272="","",INDEX('Per Line'!$C$2:$C$1501,$U272)&amp;"")</f>
        <v/>
      </c>
      <c r="E272">
        <f>IF($U272="","",INDEX('Per Line'!$D$2:$D$1501,$U272)&amp;"")</f>
        <v/>
      </c>
      <c r="F272">
        <f>IF($U272="","",INDEX('Per Line'!$E$2:$E$1501,$U272)&amp;"")</f>
        <v/>
      </c>
      <c r="G272">
        <f>IF($U272="","",INDEX('Per Line'!$F$2:$F$1501,$U272))</f>
        <v/>
      </c>
      <c r="H272" s="7">
        <f>IF($U272="","",G272*S272/100)</f>
        <v/>
      </c>
      <c r="I272" s="14">
        <f>IF($U272="","",INDEX('Per Line'!$R$2:$R$1501,$U272))</f>
        <v/>
      </c>
      <c r="J272">
        <f>IF($U272="","",INDEX('Per Line'!$Q$2:$Q$1501,$U272)&amp;"")</f>
        <v/>
      </c>
      <c r="K272">
        <f>IF($U272="","",Settings!$C$7)</f>
        <v/>
      </c>
      <c r="L272" s="7">
        <f>IF($U272="","",SUMIFS('Per Line'!$L$2:$L$1501,'Per Line'!$B$2:$B$1501,$A272,'Per Line'!$W$2:$W$1501,0))</f>
        <v/>
      </c>
      <c r="M272" s="7">
        <f>IF($U272="","",L272*K272)</f>
        <v/>
      </c>
      <c r="N272">
        <f>IF($U272="","",Settings!$C$6)</f>
        <v/>
      </c>
      <c r="O272" s="7">
        <f>IF($U272="","",SUMIFS('Per Line'!$L$2:$L$1501,'Per Line'!$B$2:$B$1501,$A272,'Per Line'!$W$2:$W$1501,1))</f>
        <v/>
      </c>
      <c r="P272" s="7">
        <f>IF($U272="","",O272*N272)</f>
        <v/>
      </c>
      <c r="Q272" s="7">
        <f>IF($U272="","",P272+M272)</f>
        <v/>
      </c>
      <c r="R272" s="7">
        <f>IF($U272="","",S272-Q272)</f>
        <v/>
      </c>
      <c r="S272" s="7">
        <f>IF($U272="","",L272+O272)</f>
        <v/>
      </c>
      <c r="T272" s="7">
        <f>IF($U272="","",S272-Q272-H272)</f>
        <v/>
      </c>
      <c r="U272" s="16">
        <f>IF(ROWS($U$2:$U272)&lt;=MAX('Per Line'!$V$2:$V$1501),MATCH(ROWS($U$2:$U272),'Per Line'!$V$2:$V$1501,0),"")</f>
        <v/>
      </c>
      <c r="V272">
        <f>IF($U272="","",B272&amp;"|"&amp;COUNTIF($B$2:$B272,B272))</f>
        <v/>
      </c>
    </row>
    <row r="273">
      <c r="A273">
        <f>IF($U273="","",INDEX('Per Line'!$B$2:$B$1501,$U273)&amp;"")</f>
        <v/>
      </c>
      <c r="B273">
        <f>IF($U273="","","COPY "&amp;G273&amp;" %")</f>
        <v/>
      </c>
      <c r="C273" s="15" t="n"/>
      <c r="D273">
        <f>IF($U273="","",INDEX('Per Line'!$C$2:$C$1501,$U273)&amp;"")</f>
        <v/>
      </c>
      <c r="E273">
        <f>IF($U273="","",INDEX('Per Line'!$D$2:$D$1501,$U273)&amp;"")</f>
        <v/>
      </c>
      <c r="F273">
        <f>IF($U273="","",INDEX('Per Line'!$E$2:$E$1501,$U273)&amp;"")</f>
        <v/>
      </c>
      <c r="G273">
        <f>IF($U273="","",INDEX('Per Line'!$F$2:$F$1501,$U273))</f>
        <v/>
      </c>
      <c r="H273" s="7">
        <f>IF($U273="","",G273*S273/100)</f>
        <v/>
      </c>
      <c r="I273" s="14">
        <f>IF($U273="","",INDEX('Per Line'!$R$2:$R$1501,$U273))</f>
        <v/>
      </c>
      <c r="J273">
        <f>IF($U273="","",INDEX('Per Line'!$Q$2:$Q$1501,$U273)&amp;"")</f>
        <v/>
      </c>
      <c r="K273">
        <f>IF($U273="","",Settings!$C$7)</f>
        <v/>
      </c>
      <c r="L273" s="7">
        <f>IF($U273="","",SUMIFS('Per Line'!$L$2:$L$1501,'Per Line'!$B$2:$B$1501,$A273,'Per Line'!$W$2:$W$1501,0))</f>
        <v/>
      </c>
      <c r="M273" s="7">
        <f>IF($U273="","",L273*K273)</f>
        <v/>
      </c>
      <c r="N273">
        <f>IF($U273="","",Settings!$C$6)</f>
        <v/>
      </c>
      <c r="O273" s="7">
        <f>IF($U273="","",SUMIFS('Per Line'!$L$2:$L$1501,'Per Line'!$B$2:$B$1501,$A273,'Per Line'!$W$2:$W$1501,1))</f>
        <v/>
      </c>
      <c r="P273" s="7">
        <f>IF($U273="","",O273*N273)</f>
        <v/>
      </c>
      <c r="Q273" s="7">
        <f>IF($U273="","",P273+M273)</f>
        <v/>
      </c>
      <c r="R273" s="7">
        <f>IF($U273="","",S273-Q273)</f>
        <v/>
      </c>
      <c r="S273" s="7">
        <f>IF($U273="","",L273+O273)</f>
        <v/>
      </c>
      <c r="T273" s="7">
        <f>IF($U273="","",S273-Q273-H273)</f>
        <v/>
      </c>
      <c r="U273" s="16">
        <f>IF(ROWS($U$2:$U273)&lt;=MAX('Per Line'!$V$2:$V$1501),MATCH(ROWS($U$2:$U273),'Per Line'!$V$2:$V$1501,0),"")</f>
        <v/>
      </c>
      <c r="V273">
        <f>IF($U273="","",B273&amp;"|"&amp;COUNTIF($B$2:$B273,B273))</f>
        <v/>
      </c>
    </row>
    <row r="274">
      <c r="A274">
        <f>IF($U274="","",INDEX('Per Line'!$B$2:$B$1501,$U274)&amp;"")</f>
        <v/>
      </c>
      <c r="B274">
        <f>IF($U274="","","COPY "&amp;G274&amp;" %")</f>
        <v/>
      </c>
      <c r="C274" s="15" t="n"/>
      <c r="D274">
        <f>IF($U274="","",INDEX('Per Line'!$C$2:$C$1501,$U274)&amp;"")</f>
        <v/>
      </c>
      <c r="E274">
        <f>IF($U274="","",INDEX('Per Line'!$D$2:$D$1501,$U274)&amp;"")</f>
        <v/>
      </c>
      <c r="F274">
        <f>IF($U274="","",INDEX('Per Line'!$E$2:$E$1501,$U274)&amp;"")</f>
        <v/>
      </c>
      <c r="G274">
        <f>IF($U274="","",INDEX('Per Line'!$F$2:$F$1501,$U274))</f>
        <v/>
      </c>
      <c r="H274" s="7">
        <f>IF($U274="","",G274*S274/100)</f>
        <v/>
      </c>
      <c r="I274" s="14">
        <f>IF($U274="","",INDEX('Per Line'!$R$2:$R$1501,$U274))</f>
        <v/>
      </c>
      <c r="J274">
        <f>IF($U274="","",INDEX('Per Line'!$Q$2:$Q$1501,$U274)&amp;"")</f>
        <v/>
      </c>
      <c r="K274">
        <f>IF($U274="","",Settings!$C$7)</f>
        <v/>
      </c>
      <c r="L274" s="7">
        <f>IF($U274="","",SUMIFS('Per Line'!$L$2:$L$1501,'Per Line'!$B$2:$B$1501,$A274,'Per Line'!$W$2:$W$1501,0))</f>
        <v/>
      </c>
      <c r="M274" s="7">
        <f>IF($U274="","",L274*K274)</f>
        <v/>
      </c>
      <c r="N274">
        <f>IF($U274="","",Settings!$C$6)</f>
        <v/>
      </c>
      <c r="O274" s="7">
        <f>IF($U274="","",SUMIFS('Per Line'!$L$2:$L$1501,'Per Line'!$B$2:$B$1501,$A274,'Per Line'!$W$2:$W$1501,1))</f>
        <v/>
      </c>
      <c r="P274" s="7">
        <f>IF($U274="","",O274*N274)</f>
        <v/>
      </c>
      <c r="Q274" s="7">
        <f>IF($U274="","",P274+M274)</f>
        <v/>
      </c>
      <c r="R274" s="7">
        <f>IF($U274="","",S274-Q274)</f>
        <v/>
      </c>
      <c r="S274" s="7">
        <f>IF($U274="","",L274+O274)</f>
        <v/>
      </c>
      <c r="T274" s="7">
        <f>IF($U274="","",S274-Q274-H274)</f>
        <v/>
      </c>
      <c r="U274" s="16">
        <f>IF(ROWS($U$2:$U274)&lt;=MAX('Per Line'!$V$2:$V$1501),MATCH(ROWS($U$2:$U274),'Per Line'!$V$2:$V$1501,0),"")</f>
        <v/>
      </c>
      <c r="V274">
        <f>IF($U274="","",B274&amp;"|"&amp;COUNTIF($B$2:$B274,B274))</f>
        <v/>
      </c>
    </row>
    <row r="275">
      <c r="A275">
        <f>IF($U275="","",INDEX('Per Line'!$B$2:$B$1501,$U275)&amp;"")</f>
        <v/>
      </c>
      <c r="B275">
        <f>IF($U275="","","COPY "&amp;G275&amp;" %")</f>
        <v/>
      </c>
      <c r="C275" s="15" t="n"/>
      <c r="D275">
        <f>IF($U275="","",INDEX('Per Line'!$C$2:$C$1501,$U275)&amp;"")</f>
        <v/>
      </c>
      <c r="E275">
        <f>IF($U275="","",INDEX('Per Line'!$D$2:$D$1501,$U275)&amp;"")</f>
        <v/>
      </c>
      <c r="F275">
        <f>IF($U275="","",INDEX('Per Line'!$E$2:$E$1501,$U275)&amp;"")</f>
        <v/>
      </c>
      <c r="G275">
        <f>IF($U275="","",INDEX('Per Line'!$F$2:$F$1501,$U275))</f>
        <v/>
      </c>
      <c r="H275" s="7">
        <f>IF($U275="","",G275*S275/100)</f>
        <v/>
      </c>
      <c r="I275" s="14">
        <f>IF($U275="","",INDEX('Per Line'!$R$2:$R$1501,$U275))</f>
        <v/>
      </c>
      <c r="J275">
        <f>IF($U275="","",INDEX('Per Line'!$Q$2:$Q$1501,$U275)&amp;"")</f>
        <v/>
      </c>
      <c r="K275">
        <f>IF($U275="","",Settings!$C$7)</f>
        <v/>
      </c>
      <c r="L275" s="7">
        <f>IF($U275="","",SUMIFS('Per Line'!$L$2:$L$1501,'Per Line'!$B$2:$B$1501,$A275,'Per Line'!$W$2:$W$1501,0))</f>
        <v/>
      </c>
      <c r="M275" s="7">
        <f>IF($U275="","",L275*K275)</f>
        <v/>
      </c>
      <c r="N275">
        <f>IF($U275="","",Settings!$C$6)</f>
        <v/>
      </c>
      <c r="O275" s="7">
        <f>IF($U275="","",SUMIFS('Per Line'!$L$2:$L$1501,'Per Line'!$B$2:$B$1501,$A275,'Per Line'!$W$2:$W$1501,1))</f>
        <v/>
      </c>
      <c r="P275" s="7">
        <f>IF($U275="","",O275*N275)</f>
        <v/>
      </c>
      <c r="Q275" s="7">
        <f>IF($U275="","",P275+M275)</f>
        <v/>
      </c>
      <c r="R275" s="7">
        <f>IF($U275="","",S275-Q275)</f>
        <v/>
      </c>
      <c r="S275" s="7">
        <f>IF($U275="","",L275+O275)</f>
        <v/>
      </c>
      <c r="T275" s="7">
        <f>IF($U275="","",S275-Q275-H275)</f>
        <v/>
      </c>
      <c r="U275" s="16">
        <f>IF(ROWS($U$2:$U275)&lt;=MAX('Per Line'!$V$2:$V$1501),MATCH(ROWS($U$2:$U275),'Per Line'!$V$2:$V$1501,0),"")</f>
        <v/>
      </c>
      <c r="V275">
        <f>IF($U275="","",B275&amp;"|"&amp;COUNTIF($B$2:$B275,B275))</f>
        <v/>
      </c>
    </row>
    <row r="276">
      <c r="A276">
        <f>IF($U276="","",INDEX('Per Line'!$B$2:$B$1501,$U276)&amp;"")</f>
        <v/>
      </c>
      <c r="B276">
        <f>IF($U276="","","COPY "&amp;G276&amp;" %")</f>
        <v/>
      </c>
      <c r="C276" s="15" t="n"/>
      <c r="D276">
        <f>IF($U276="","",INDEX('Per Line'!$C$2:$C$1501,$U276)&amp;"")</f>
        <v/>
      </c>
      <c r="E276">
        <f>IF($U276="","",INDEX('Per Line'!$D$2:$D$1501,$U276)&amp;"")</f>
        <v/>
      </c>
      <c r="F276">
        <f>IF($U276="","",INDEX('Per Line'!$E$2:$E$1501,$U276)&amp;"")</f>
        <v/>
      </c>
      <c r="G276">
        <f>IF($U276="","",INDEX('Per Line'!$F$2:$F$1501,$U276))</f>
        <v/>
      </c>
      <c r="H276" s="7">
        <f>IF($U276="","",G276*S276/100)</f>
        <v/>
      </c>
      <c r="I276" s="14">
        <f>IF($U276="","",INDEX('Per Line'!$R$2:$R$1501,$U276))</f>
        <v/>
      </c>
      <c r="J276">
        <f>IF($U276="","",INDEX('Per Line'!$Q$2:$Q$1501,$U276)&amp;"")</f>
        <v/>
      </c>
      <c r="K276">
        <f>IF($U276="","",Settings!$C$7)</f>
        <v/>
      </c>
      <c r="L276" s="7">
        <f>IF($U276="","",SUMIFS('Per Line'!$L$2:$L$1501,'Per Line'!$B$2:$B$1501,$A276,'Per Line'!$W$2:$W$1501,0))</f>
        <v/>
      </c>
      <c r="M276" s="7">
        <f>IF($U276="","",L276*K276)</f>
        <v/>
      </c>
      <c r="N276">
        <f>IF($U276="","",Settings!$C$6)</f>
        <v/>
      </c>
      <c r="O276" s="7">
        <f>IF($U276="","",SUMIFS('Per Line'!$L$2:$L$1501,'Per Line'!$B$2:$B$1501,$A276,'Per Line'!$W$2:$W$1501,1))</f>
        <v/>
      </c>
      <c r="P276" s="7">
        <f>IF($U276="","",O276*N276)</f>
        <v/>
      </c>
      <c r="Q276" s="7">
        <f>IF($U276="","",P276+M276)</f>
        <v/>
      </c>
      <c r="R276" s="7">
        <f>IF($U276="","",S276-Q276)</f>
        <v/>
      </c>
      <c r="S276" s="7">
        <f>IF($U276="","",L276+O276)</f>
        <v/>
      </c>
      <c r="T276" s="7">
        <f>IF($U276="","",S276-Q276-H276)</f>
        <v/>
      </c>
      <c r="U276" s="16">
        <f>IF(ROWS($U$2:$U276)&lt;=MAX('Per Line'!$V$2:$V$1501),MATCH(ROWS($U$2:$U276),'Per Line'!$V$2:$V$1501,0),"")</f>
        <v/>
      </c>
      <c r="V276">
        <f>IF($U276="","",B276&amp;"|"&amp;COUNTIF($B$2:$B276,B276))</f>
        <v/>
      </c>
    </row>
    <row r="277">
      <c r="A277">
        <f>IF($U277="","",INDEX('Per Line'!$B$2:$B$1501,$U277)&amp;"")</f>
        <v/>
      </c>
      <c r="B277">
        <f>IF($U277="","","COPY "&amp;G277&amp;" %")</f>
        <v/>
      </c>
      <c r="C277" s="15" t="n"/>
      <c r="D277">
        <f>IF($U277="","",INDEX('Per Line'!$C$2:$C$1501,$U277)&amp;"")</f>
        <v/>
      </c>
      <c r="E277">
        <f>IF($U277="","",INDEX('Per Line'!$D$2:$D$1501,$U277)&amp;"")</f>
        <v/>
      </c>
      <c r="F277">
        <f>IF($U277="","",INDEX('Per Line'!$E$2:$E$1501,$U277)&amp;"")</f>
        <v/>
      </c>
      <c r="G277">
        <f>IF($U277="","",INDEX('Per Line'!$F$2:$F$1501,$U277))</f>
        <v/>
      </c>
      <c r="H277" s="7">
        <f>IF($U277="","",G277*S277/100)</f>
        <v/>
      </c>
      <c r="I277" s="14">
        <f>IF($U277="","",INDEX('Per Line'!$R$2:$R$1501,$U277))</f>
        <v/>
      </c>
      <c r="J277">
        <f>IF($U277="","",INDEX('Per Line'!$Q$2:$Q$1501,$U277)&amp;"")</f>
        <v/>
      </c>
      <c r="K277">
        <f>IF($U277="","",Settings!$C$7)</f>
        <v/>
      </c>
      <c r="L277" s="7">
        <f>IF($U277="","",SUMIFS('Per Line'!$L$2:$L$1501,'Per Line'!$B$2:$B$1501,$A277,'Per Line'!$W$2:$W$1501,0))</f>
        <v/>
      </c>
      <c r="M277" s="7">
        <f>IF($U277="","",L277*K277)</f>
        <v/>
      </c>
      <c r="N277">
        <f>IF($U277="","",Settings!$C$6)</f>
        <v/>
      </c>
      <c r="O277" s="7">
        <f>IF($U277="","",SUMIFS('Per Line'!$L$2:$L$1501,'Per Line'!$B$2:$B$1501,$A277,'Per Line'!$W$2:$W$1501,1))</f>
        <v/>
      </c>
      <c r="P277" s="7">
        <f>IF($U277="","",O277*N277)</f>
        <v/>
      </c>
      <c r="Q277" s="7">
        <f>IF($U277="","",P277+M277)</f>
        <v/>
      </c>
      <c r="R277" s="7">
        <f>IF($U277="","",S277-Q277)</f>
        <v/>
      </c>
      <c r="S277" s="7">
        <f>IF($U277="","",L277+O277)</f>
        <v/>
      </c>
      <c r="T277" s="7">
        <f>IF($U277="","",S277-Q277-H277)</f>
        <v/>
      </c>
      <c r="U277" s="16">
        <f>IF(ROWS($U$2:$U277)&lt;=MAX('Per Line'!$V$2:$V$1501),MATCH(ROWS($U$2:$U277),'Per Line'!$V$2:$V$1501,0),"")</f>
        <v/>
      </c>
      <c r="V277">
        <f>IF($U277="","",B277&amp;"|"&amp;COUNTIF($B$2:$B277,B277))</f>
        <v/>
      </c>
    </row>
    <row r="278">
      <c r="A278">
        <f>IF($U278="","",INDEX('Per Line'!$B$2:$B$1501,$U278)&amp;"")</f>
        <v/>
      </c>
      <c r="B278">
        <f>IF($U278="","","COPY "&amp;G278&amp;" %")</f>
        <v/>
      </c>
      <c r="C278" s="15" t="n"/>
      <c r="D278">
        <f>IF($U278="","",INDEX('Per Line'!$C$2:$C$1501,$U278)&amp;"")</f>
        <v/>
      </c>
      <c r="E278">
        <f>IF($U278="","",INDEX('Per Line'!$D$2:$D$1501,$U278)&amp;"")</f>
        <v/>
      </c>
      <c r="F278">
        <f>IF($U278="","",INDEX('Per Line'!$E$2:$E$1501,$U278)&amp;"")</f>
        <v/>
      </c>
      <c r="G278">
        <f>IF($U278="","",INDEX('Per Line'!$F$2:$F$1501,$U278))</f>
        <v/>
      </c>
      <c r="H278" s="7">
        <f>IF($U278="","",G278*S278/100)</f>
        <v/>
      </c>
      <c r="I278" s="14">
        <f>IF($U278="","",INDEX('Per Line'!$R$2:$R$1501,$U278))</f>
        <v/>
      </c>
      <c r="J278">
        <f>IF($U278="","",INDEX('Per Line'!$Q$2:$Q$1501,$U278)&amp;"")</f>
        <v/>
      </c>
      <c r="K278">
        <f>IF($U278="","",Settings!$C$7)</f>
        <v/>
      </c>
      <c r="L278" s="7">
        <f>IF($U278="","",SUMIFS('Per Line'!$L$2:$L$1501,'Per Line'!$B$2:$B$1501,$A278,'Per Line'!$W$2:$W$1501,0))</f>
        <v/>
      </c>
      <c r="M278" s="7">
        <f>IF($U278="","",L278*K278)</f>
        <v/>
      </c>
      <c r="N278">
        <f>IF($U278="","",Settings!$C$6)</f>
        <v/>
      </c>
      <c r="O278" s="7">
        <f>IF($U278="","",SUMIFS('Per Line'!$L$2:$L$1501,'Per Line'!$B$2:$B$1501,$A278,'Per Line'!$W$2:$W$1501,1))</f>
        <v/>
      </c>
      <c r="P278" s="7">
        <f>IF($U278="","",O278*N278)</f>
        <v/>
      </c>
      <c r="Q278" s="7">
        <f>IF($U278="","",P278+M278)</f>
        <v/>
      </c>
      <c r="R278" s="7">
        <f>IF($U278="","",S278-Q278)</f>
        <v/>
      </c>
      <c r="S278" s="7">
        <f>IF($U278="","",L278+O278)</f>
        <v/>
      </c>
      <c r="T278" s="7">
        <f>IF($U278="","",S278-Q278-H278)</f>
        <v/>
      </c>
      <c r="U278" s="16">
        <f>IF(ROWS($U$2:$U278)&lt;=MAX('Per Line'!$V$2:$V$1501),MATCH(ROWS($U$2:$U278),'Per Line'!$V$2:$V$1501,0),"")</f>
        <v/>
      </c>
      <c r="V278">
        <f>IF($U278="","",B278&amp;"|"&amp;COUNTIF($B$2:$B278,B278))</f>
        <v/>
      </c>
    </row>
    <row r="279">
      <c r="A279">
        <f>IF($U279="","",INDEX('Per Line'!$B$2:$B$1501,$U279)&amp;"")</f>
        <v/>
      </c>
      <c r="B279">
        <f>IF($U279="","","COPY "&amp;G279&amp;" %")</f>
        <v/>
      </c>
      <c r="C279" s="15" t="n"/>
      <c r="D279">
        <f>IF($U279="","",INDEX('Per Line'!$C$2:$C$1501,$U279)&amp;"")</f>
        <v/>
      </c>
      <c r="E279">
        <f>IF($U279="","",INDEX('Per Line'!$D$2:$D$1501,$U279)&amp;"")</f>
        <v/>
      </c>
      <c r="F279">
        <f>IF($U279="","",INDEX('Per Line'!$E$2:$E$1501,$U279)&amp;"")</f>
        <v/>
      </c>
      <c r="G279">
        <f>IF($U279="","",INDEX('Per Line'!$F$2:$F$1501,$U279))</f>
        <v/>
      </c>
      <c r="H279" s="7">
        <f>IF($U279="","",G279*S279/100)</f>
        <v/>
      </c>
      <c r="I279" s="14">
        <f>IF($U279="","",INDEX('Per Line'!$R$2:$R$1501,$U279))</f>
        <v/>
      </c>
      <c r="J279">
        <f>IF($U279="","",INDEX('Per Line'!$Q$2:$Q$1501,$U279)&amp;"")</f>
        <v/>
      </c>
      <c r="K279">
        <f>IF($U279="","",Settings!$C$7)</f>
        <v/>
      </c>
      <c r="L279" s="7">
        <f>IF($U279="","",SUMIFS('Per Line'!$L$2:$L$1501,'Per Line'!$B$2:$B$1501,$A279,'Per Line'!$W$2:$W$1501,0))</f>
        <v/>
      </c>
      <c r="M279" s="7">
        <f>IF($U279="","",L279*K279)</f>
        <v/>
      </c>
      <c r="N279">
        <f>IF($U279="","",Settings!$C$6)</f>
        <v/>
      </c>
      <c r="O279" s="7">
        <f>IF($U279="","",SUMIFS('Per Line'!$L$2:$L$1501,'Per Line'!$B$2:$B$1501,$A279,'Per Line'!$W$2:$W$1501,1))</f>
        <v/>
      </c>
      <c r="P279" s="7">
        <f>IF($U279="","",O279*N279)</f>
        <v/>
      </c>
      <c r="Q279" s="7">
        <f>IF($U279="","",P279+M279)</f>
        <v/>
      </c>
      <c r="R279" s="7">
        <f>IF($U279="","",S279-Q279)</f>
        <v/>
      </c>
      <c r="S279" s="7">
        <f>IF($U279="","",L279+O279)</f>
        <v/>
      </c>
      <c r="T279" s="7">
        <f>IF($U279="","",S279-Q279-H279)</f>
        <v/>
      </c>
      <c r="U279" s="16">
        <f>IF(ROWS($U$2:$U279)&lt;=MAX('Per Line'!$V$2:$V$1501),MATCH(ROWS($U$2:$U279),'Per Line'!$V$2:$V$1501,0),"")</f>
        <v/>
      </c>
      <c r="V279">
        <f>IF($U279="","",B279&amp;"|"&amp;COUNTIF($B$2:$B279,B279))</f>
        <v/>
      </c>
    </row>
    <row r="280">
      <c r="A280">
        <f>IF($U280="","",INDEX('Per Line'!$B$2:$B$1501,$U280)&amp;"")</f>
        <v/>
      </c>
      <c r="B280">
        <f>IF($U280="","","COPY "&amp;G280&amp;" %")</f>
        <v/>
      </c>
      <c r="C280" s="15" t="n"/>
      <c r="D280">
        <f>IF($U280="","",INDEX('Per Line'!$C$2:$C$1501,$U280)&amp;"")</f>
        <v/>
      </c>
      <c r="E280">
        <f>IF($U280="","",INDEX('Per Line'!$D$2:$D$1501,$U280)&amp;"")</f>
        <v/>
      </c>
      <c r="F280">
        <f>IF($U280="","",INDEX('Per Line'!$E$2:$E$1501,$U280)&amp;"")</f>
        <v/>
      </c>
      <c r="G280">
        <f>IF($U280="","",INDEX('Per Line'!$F$2:$F$1501,$U280))</f>
        <v/>
      </c>
      <c r="H280" s="7">
        <f>IF($U280="","",G280*S280/100)</f>
        <v/>
      </c>
      <c r="I280" s="14">
        <f>IF($U280="","",INDEX('Per Line'!$R$2:$R$1501,$U280))</f>
        <v/>
      </c>
      <c r="J280">
        <f>IF($U280="","",INDEX('Per Line'!$Q$2:$Q$1501,$U280)&amp;"")</f>
        <v/>
      </c>
      <c r="K280">
        <f>IF($U280="","",Settings!$C$7)</f>
        <v/>
      </c>
      <c r="L280" s="7">
        <f>IF($U280="","",SUMIFS('Per Line'!$L$2:$L$1501,'Per Line'!$B$2:$B$1501,$A280,'Per Line'!$W$2:$W$1501,0))</f>
        <v/>
      </c>
      <c r="M280" s="7">
        <f>IF($U280="","",L280*K280)</f>
        <v/>
      </c>
      <c r="N280">
        <f>IF($U280="","",Settings!$C$6)</f>
        <v/>
      </c>
      <c r="O280" s="7">
        <f>IF($U280="","",SUMIFS('Per Line'!$L$2:$L$1501,'Per Line'!$B$2:$B$1501,$A280,'Per Line'!$W$2:$W$1501,1))</f>
        <v/>
      </c>
      <c r="P280" s="7">
        <f>IF($U280="","",O280*N280)</f>
        <v/>
      </c>
      <c r="Q280" s="7">
        <f>IF($U280="","",P280+M280)</f>
        <v/>
      </c>
      <c r="R280" s="7">
        <f>IF($U280="","",S280-Q280)</f>
        <v/>
      </c>
      <c r="S280" s="7">
        <f>IF($U280="","",L280+O280)</f>
        <v/>
      </c>
      <c r="T280" s="7">
        <f>IF($U280="","",S280-Q280-H280)</f>
        <v/>
      </c>
      <c r="U280" s="16">
        <f>IF(ROWS($U$2:$U280)&lt;=MAX('Per Line'!$V$2:$V$1501),MATCH(ROWS($U$2:$U280),'Per Line'!$V$2:$V$1501,0),"")</f>
        <v/>
      </c>
      <c r="V280">
        <f>IF($U280="","",B280&amp;"|"&amp;COUNTIF($B$2:$B280,B280))</f>
        <v/>
      </c>
    </row>
    <row r="281">
      <c r="A281">
        <f>IF($U281="","",INDEX('Per Line'!$B$2:$B$1501,$U281)&amp;"")</f>
        <v/>
      </c>
      <c r="B281">
        <f>IF($U281="","","COPY "&amp;G281&amp;" %")</f>
        <v/>
      </c>
      <c r="C281" s="15" t="n"/>
      <c r="D281">
        <f>IF($U281="","",INDEX('Per Line'!$C$2:$C$1501,$U281)&amp;"")</f>
        <v/>
      </c>
      <c r="E281">
        <f>IF($U281="","",INDEX('Per Line'!$D$2:$D$1501,$U281)&amp;"")</f>
        <v/>
      </c>
      <c r="F281">
        <f>IF($U281="","",INDEX('Per Line'!$E$2:$E$1501,$U281)&amp;"")</f>
        <v/>
      </c>
      <c r="G281">
        <f>IF($U281="","",INDEX('Per Line'!$F$2:$F$1501,$U281))</f>
        <v/>
      </c>
      <c r="H281" s="7">
        <f>IF($U281="","",G281*S281/100)</f>
        <v/>
      </c>
      <c r="I281" s="14">
        <f>IF($U281="","",INDEX('Per Line'!$R$2:$R$1501,$U281))</f>
        <v/>
      </c>
      <c r="J281">
        <f>IF($U281="","",INDEX('Per Line'!$Q$2:$Q$1501,$U281)&amp;"")</f>
        <v/>
      </c>
      <c r="K281">
        <f>IF($U281="","",Settings!$C$7)</f>
        <v/>
      </c>
      <c r="L281" s="7">
        <f>IF($U281="","",SUMIFS('Per Line'!$L$2:$L$1501,'Per Line'!$B$2:$B$1501,$A281,'Per Line'!$W$2:$W$1501,0))</f>
        <v/>
      </c>
      <c r="M281" s="7">
        <f>IF($U281="","",L281*K281)</f>
        <v/>
      </c>
      <c r="N281">
        <f>IF($U281="","",Settings!$C$6)</f>
        <v/>
      </c>
      <c r="O281" s="7">
        <f>IF($U281="","",SUMIFS('Per Line'!$L$2:$L$1501,'Per Line'!$B$2:$B$1501,$A281,'Per Line'!$W$2:$W$1501,1))</f>
        <v/>
      </c>
      <c r="P281" s="7">
        <f>IF($U281="","",O281*N281)</f>
        <v/>
      </c>
      <c r="Q281" s="7">
        <f>IF($U281="","",P281+M281)</f>
        <v/>
      </c>
      <c r="R281" s="7">
        <f>IF($U281="","",S281-Q281)</f>
        <v/>
      </c>
      <c r="S281" s="7">
        <f>IF($U281="","",L281+O281)</f>
        <v/>
      </c>
      <c r="T281" s="7">
        <f>IF($U281="","",S281-Q281-H281)</f>
        <v/>
      </c>
      <c r="U281" s="16">
        <f>IF(ROWS($U$2:$U281)&lt;=MAX('Per Line'!$V$2:$V$1501),MATCH(ROWS($U$2:$U281),'Per Line'!$V$2:$V$1501,0),"")</f>
        <v/>
      </c>
      <c r="V281">
        <f>IF($U281="","",B281&amp;"|"&amp;COUNTIF($B$2:$B281,B281))</f>
        <v/>
      </c>
    </row>
    <row r="282">
      <c r="A282">
        <f>IF($U282="","",INDEX('Per Line'!$B$2:$B$1501,$U282)&amp;"")</f>
        <v/>
      </c>
      <c r="B282">
        <f>IF($U282="","","COPY "&amp;G282&amp;" %")</f>
        <v/>
      </c>
      <c r="C282" s="15" t="n"/>
      <c r="D282">
        <f>IF($U282="","",INDEX('Per Line'!$C$2:$C$1501,$U282)&amp;"")</f>
        <v/>
      </c>
      <c r="E282">
        <f>IF($U282="","",INDEX('Per Line'!$D$2:$D$1501,$U282)&amp;"")</f>
        <v/>
      </c>
      <c r="F282">
        <f>IF($U282="","",INDEX('Per Line'!$E$2:$E$1501,$U282)&amp;"")</f>
        <v/>
      </c>
      <c r="G282">
        <f>IF($U282="","",INDEX('Per Line'!$F$2:$F$1501,$U282))</f>
        <v/>
      </c>
      <c r="H282" s="7">
        <f>IF($U282="","",G282*S282/100)</f>
        <v/>
      </c>
      <c r="I282" s="14">
        <f>IF($U282="","",INDEX('Per Line'!$R$2:$R$1501,$U282))</f>
        <v/>
      </c>
      <c r="J282">
        <f>IF($U282="","",INDEX('Per Line'!$Q$2:$Q$1501,$U282)&amp;"")</f>
        <v/>
      </c>
      <c r="K282">
        <f>IF($U282="","",Settings!$C$7)</f>
        <v/>
      </c>
      <c r="L282" s="7">
        <f>IF($U282="","",SUMIFS('Per Line'!$L$2:$L$1501,'Per Line'!$B$2:$B$1501,$A282,'Per Line'!$W$2:$W$1501,0))</f>
        <v/>
      </c>
      <c r="M282" s="7">
        <f>IF($U282="","",L282*K282)</f>
        <v/>
      </c>
      <c r="N282">
        <f>IF($U282="","",Settings!$C$6)</f>
        <v/>
      </c>
      <c r="O282" s="7">
        <f>IF($U282="","",SUMIFS('Per Line'!$L$2:$L$1501,'Per Line'!$B$2:$B$1501,$A282,'Per Line'!$W$2:$W$1501,1))</f>
        <v/>
      </c>
      <c r="P282" s="7">
        <f>IF($U282="","",O282*N282)</f>
        <v/>
      </c>
      <c r="Q282" s="7">
        <f>IF($U282="","",P282+M282)</f>
        <v/>
      </c>
      <c r="R282" s="7">
        <f>IF($U282="","",S282-Q282)</f>
        <v/>
      </c>
      <c r="S282" s="7">
        <f>IF($U282="","",L282+O282)</f>
        <v/>
      </c>
      <c r="T282" s="7">
        <f>IF($U282="","",S282-Q282-H282)</f>
        <v/>
      </c>
      <c r="U282" s="16">
        <f>IF(ROWS($U$2:$U282)&lt;=MAX('Per Line'!$V$2:$V$1501),MATCH(ROWS($U$2:$U282),'Per Line'!$V$2:$V$1501,0),"")</f>
        <v/>
      </c>
      <c r="V282">
        <f>IF($U282="","",B282&amp;"|"&amp;COUNTIF($B$2:$B282,B282))</f>
        <v/>
      </c>
    </row>
    <row r="283">
      <c r="A283">
        <f>IF($U283="","",INDEX('Per Line'!$B$2:$B$1501,$U283)&amp;"")</f>
        <v/>
      </c>
      <c r="B283">
        <f>IF($U283="","","COPY "&amp;G283&amp;" %")</f>
        <v/>
      </c>
      <c r="C283" s="15" t="n"/>
      <c r="D283">
        <f>IF($U283="","",INDEX('Per Line'!$C$2:$C$1501,$U283)&amp;"")</f>
        <v/>
      </c>
      <c r="E283">
        <f>IF($U283="","",INDEX('Per Line'!$D$2:$D$1501,$U283)&amp;"")</f>
        <v/>
      </c>
      <c r="F283">
        <f>IF($U283="","",INDEX('Per Line'!$E$2:$E$1501,$U283)&amp;"")</f>
        <v/>
      </c>
      <c r="G283">
        <f>IF($U283="","",INDEX('Per Line'!$F$2:$F$1501,$U283))</f>
        <v/>
      </c>
      <c r="H283" s="7">
        <f>IF($U283="","",G283*S283/100)</f>
        <v/>
      </c>
      <c r="I283" s="14">
        <f>IF($U283="","",INDEX('Per Line'!$R$2:$R$1501,$U283))</f>
        <v/>
      </c>
      <c r="J283">
        <f>IF($U283="","",INDEX('Per Line'!$Q$2:$Q$1501,$U283)&amp;"")</f>
        <v/>
      </c>
      <c r="K283">
        <f>IF($U283="","",Settings!$C$7)</f>
        <v/>
      </c>
      <c r="L283" s="7">
        <f>IF($U283="","",SUMIFS('Per Line'!$L$2:$L$1501,'Per Line'!$B$2:$B$1501,$A283,'Per Line'!$W$2:$W$1501,0))</f>
        <v/>
      </c>
      <c r="M283" s="7">
        <f>IF($U283="","",L283*K283)</f>
        <v/>
      </c>
      <c r="N283">
        <f>IF($U283="","",Settings!$C$6)</f>
        <v/>
      </c>
      <c r="O283" s="7">
        <f>IF($U283="","",SUMIFS('Per Line'!$L$2:$L$1501,'Per Line'!$B$2:$B$1501,$A283,'Per Line'!$W$2:$W$1501,1))</f>
        <v/>
      </c>
      <c r="P283" s="7">
        <f>IF($U283="","",O283*N283)</f>
        <v/>
      </c>
      <c r="Q283" s="7">
        <f>IF($U283="","",P283+M283)</f>
        <v/>
      </c>
      <c r="R283" s="7">
        <f>IF($U283="","",S283-Q283)</f>
        <v/>
      </c>
      <c r="S283" s="7">
        <f>IF($U283="","",L283+O283)</f>
        <v/>
      </c>
      <c r="T283" s="7">
        <f>IF($U283="","",S283-Q283-H283)</f>
        <v/>
      </c>
      <c r="U283" s="16">
        <f>IF(ROWS($U$2:$U283)&lt;=MAX('Per Line'!$V$2:$V$1501),MATCH(ROWS($U$2:$U283),'Per Line'!$V$2:$V$1501,0),"")</f>
        <v/>
      </c>
      <c r="V283">
        <f>IF($U283="","",B283&amp;"|"&amp;COUNTIF($B$2:$B283,B283))</f>
        <v/>
      </c>
    </row>
    <row r="284">
      <c r="A284">
        <f>IF($U284="","",INDEX('Per Line'!$B$2:$B$1501,$U284)&amp;"")</f>
        <v/>
      </c>
      <c r="B284">
        <f>IF($U284="","","COPY "&amp;G284&amp;" %")</f>
        <v/>
      </c>
      <c r="C284" s="15" t="n"/>
      <c r="D284">
        <f>IF($U284="","",INDEX('Per Line'!$C$2:$C$1501,$U284)&amp;"")</f>
        <v/>
      </c>
      <c r="E284">
        <f>IF($U284="","",INDEX('Per Line'!$D$2:$D$1501,$U284)&amp;"")</f>
        <v/>
      </c>
      <c r="F284">
        <f>IF($U284="","",INDEX('Per Line'!$E$2:$E$1501,$U284)&amp;"")</f>
        <v/>
      </c>
      <c r="G284">
        <f>IF($U284="","",INDEX('Per Line'!$F$2:$F$1501,$U284))</f>
        <v/>
      </c>
      <c r="H284" s="7">
        <f>IF($U284="","",G284*S284/100)</f>
        <v/>
      </c>
      <c r="I284" s="14">
        <f>IF($U284="","",INDEX('Per Line'!$R$2:$R$1501,$U284))</f>
        <v/>
      </c>
      <c r="J284">
        <f>IF($U284="","",INDEX('Per Line'!$Q$2:$Q$1501,$U284)&amp;"")</f>
        <v/>
      </c>
      <c r="K284">
        <f>IF($U284="","",Settings!$C$7)</f>
        <v/>
      </c>
      <c r="L284" s="7">
        <f>IF($U284="","",SUMIFS('Per Line'!$L$2:$L$1501,'Per Line'!$B$2:$B$1501,$A284,'Per Line'!$W$2:$W$1501,0))</f>
        <v/>
      </c>
      <c r="M284" s="7">
        <f>IF($U284="","",L284*K284)</f>
        <v/>
      </c>
      <c r="N284">
        <f>IF($U284="","",Settings!$C$6)</f>
        <v/>
      </c>
      <c r="O284" s="7">
        <f>IF($U284="","",SUMIFS('Per Line'!$L$2:$L$1501,'Per Line'!$B$2:$B$1501,$A284,'Per Line'!$W$2:$W$1501,1))</f>
        <v/>
      </c>
      <c r="P284" s="7">
        <f>IF($U284="","",O284*N284)</f>
        <v/>
      </c>
      <c r="Q284" s="7">
        <f>IF($U284="","",P284+M284)</f>
        <v/>
      </c>
      <c r="R284" s="7">
        <f>IF($U284="","",S284-Q284)</f>
        <v/>
      </c>
      <c r="S284" s="7">
        <f>IF($U284="","",L284+O284)</f>
        <v/>
      </c>
      <c r="T284" s="7">
        <f>IF($U284="","",S284-Q284-H284)</f>
        <v/>
      </c>
      <c r="U284" s="16">
        <f>IF(ROWS($U$2:$U284)&lt;=MAX('Per Line'!$V$2:$V$1501),MATCH(ROWS($U$2:$U284),'Per Line'!$V$2:$V$1501,0),"")</f>
        <v/>
      </c>
      <c r="V284">
        <f>IF($U284="","",B284&amp;"|"&amp;COUNTIF($B$2:$B284,B284))</f>
        <v/>
      </c>
    </row>
    <row r="285">
      <c r="A285">
        <f>IF($U285="","",INDEX('Per Line'!$B$2:$B$1501,$U285)&amp;"")</f>
        <v/>
      </c>
      <c r="B285">
        <f>IF($U285="","","COPY "&amp;G285&amp;" %")</f>
        <v/>
      </c>
      <c r="C285" s="15" t="n"/>
      <c r="D285">
        <f>IF($U285="","",INDEX('Per Line'!$C$2:$C$1501,$U285)&amp;"")</f>
        <v/>
      </c>
      <c r="E285">
        <f>IF($U285="","",INDEX('Per Line'!$D$2:$D$1501,$U285)&amp;"")</f>
        <v/>
      </c>
      <c r="F285">
        <f>IF($U285="","",INDEX('Per Line'!$E$2:$E$1501,$U285)&amp;"")</f>
        <v/>
      </c>
      <c r="G285">
        <f>IF($U285="","",INDEX('Per Line'!$F$2:$F$1501,$U285))</f>
        <v/>
      </c>
      <c r="H285" s="7">
        <f>IF($U285="","",G285*S285/100)</f>
        <v/>
      </c>
      <c r="I285" s="14">
        <f>IF($U285="","",INDEX('Per Line'!$R$2:$R$1501,$U285))</f>
        <v/>
      </c>
      <c r="J285">
        <f>IF($U285="","",INDEX('Per Line'!$Q$2:$Q$1501,$U285)&amp;"")</f>
        <v/>
      </c>
      <c r="K285">
        <f>IF($U285="","",Settings!$C$7)</f>
        <v/>
      </c>
      <c r="L285" s="7">
        <f>IF($U285="","",SUMIFS('Per Line'!$L$2:$L$1501,'Per Line'!$B$2:$B$1501,$A285,'Per Line'!$W$2:$W$1501,0))</f>
        <v/>
      </c>
      <c r="M285" s="7">
        <f>IF($U285="","",L285*K285)</f>
        <v/>
      </c>
      <c r="N285">
        <f>IF($U285="","",Settings!$C$6)</f>
        <v/>
      </c>
      <c r="O285" s="7">
        <f>IF($U285="","",SUMIFS('Per Line'!$L$2:$L$1501,'Per Line'!$B$2:$B$1501,$A285,'Per Line'!$W$2:$W$1501,1))</f>
        <v/>
      </c>
      <c r="P285" s="7">
        <f>IF($U285="","",O285*N285)</f>
        <v/>
      </c>
      <c r="Q285" s="7">
        <f>IF($U285="","",P285+M285)</f>
        <v/>
      </c>
      <c r="R285" s="7">
        <f>IF($U285="","",S285-Q285)</f>
        <v/>
      </c>
      <c r="S285" s="7">
        <f>IF($U285="","",L285+O285)</f>
        <v/>
      </c>
      <c r="T285" s="7">
        <f>IF($U285="","",S285-Q285-H285)</f>
        <v/>
      </c>
      <c r="U285" s="16">
        <f>IF(ROWS($U$2:$U285)&lt;=MAX('Per Line'!$V$2:$V$1501),MATCH(ROWS($U$2:$U285),'Per Line'!$V$2:$V$1501,0),"")</f>
        <v/>
      </c>
      <c r="V285">
        <f>IF($U285="","",B285&amp;"|"&amp;COUNTIF($B$2:$B285,B285))</f>
        <v/>
      </c>
    </row>
    <row r="286">
      <c r="A286">
        <f>IF($U286="","",INDEX('Per Line'!$B$2:$B$1501,$U286)&amp;"")</f>
        <v/>
      </c>
      <c r="B286">
        <f>IF($U286="","","COPY "&amp;G286&amp;" %")</f>
        <v/>
      </c>
      <c r="C286" s="15" t="n"/>
      <c r="D286">
        <f>IF($U286="","",INDEX('Per Line'!$C$2:$C$1501,$U286)&amp;"")</f>
        <v/>
      </c>
      <c r="E286">
        <f>IF($U286="","",INDEX('Per Line'!$D$2:$D$1501,$U286)&amp;"")</f>
        <v/>
      </c>
      <c r="F286">
        <f>IF($U286="","",INDEX('Per Line'!$E$2:$E$1501,$U286)&amp;"")</f>
        <v/>
      </c>
      <c r="G286">
        <f>IF($U286="","",INDEX('Per Line'!$F$2:$F$1501,$U286))</f>
        <v/>
      </c>
      <c r="H286" s="7">
        <f>IF($U286="","",G286*S286/100)</f>
        <v/>
      </c>
      <c r="I286" s="14">
        <f>IF($U286="","",INDEX('Per Line'!$R$2:$R$1501,$U286))</f>
        <v/>
      </c>
      <c r="J286">
        <f>IF($U286="","",INDEX('Per Line'!$Q$2:$Q$1501,$U286)&amp;"")</f>
        <v/>
      </c>
      <c r="K286">
        <f>IF($U286="","",Settings!$C$7)</f>
        <v/>
      </c>
      <c r="L286" s="7">
        <f>IF($U286="","",SUMIFS('Per Line'!$L$2:$L$1501,'Per Line'!$B$2:$B$1501,$A286,'Per Line'!$W$2:$W$1501,0))</f>
        <v/>
      </c>
      <c r="M286" s="7">
        <f>IF($U286="","",L286*K286)</f>
        <v/>
      </c>
      <c r="N286">
        <f>IF($U286="","",Settings!$C$6)</f>
        <v/>
      </c>
      <c r="O286" s="7">
        <f>IF($U286="","",SUMIFS('Per Line'!$L$2:$L$1501,'Per Line'!$B$2:$B$1501,$A286,'Per Line'!$W$2:$W$1501,1))</f>
        <v/>
      </c>
      <c r="P286" s="7">
        <f>IF($U286="","",O286*N286)</f>
        <v/>
      </c>
      <c r="Q286" s="7">
        <f>IF($U286="","",P286+M286)</f>
        <v/>
      </c>
      <c r="R286" s="7">
        <f>IF($U286="","",S286-Q286)</f>
        <v/>
      </c>
      <c r="S286" s="7">
        <f>IF($U286="","",L286+O286)</f>
        <v/>
      </c>
      <c r="T286" s="7">
        <f>IF($U286="","",S286-Q286-H286)</f>
        <v/>
      </c>
      <c r="U286" s="16">
        <f>IF(ROWS($U$2:$U286)&lt;=MAX('Per Line'!$V$2:$V$1501),MATCH(ROWS($U$2:$U286),'Per Line'!$V$2:$V$1501,0),"")</f>
        <v/>
      </c>
      <c r="V286">
        <f>IF($U286="","",B286&amp;"|"&amp;COUNTIF($B$2:$B286,B286))</f>
        <v/>
      </c>
    </row>
    <row r="287">
      <c r="A287">
        <f>IF($U287="","",INDEX('Per Line'!$B$2:$B$1501,$U287)&amp;"")</f>
        <v/>
      </c>
      <c r="B287">
        <f>IF($U287="","","COPY "&amp;G287&amp;" %")</f>
        <v/>
      </c>
      <c r="C287" s="15" t="n"/>
      <c r="D287">
        <f>IF($U287="","",INDEX('Per Line'!$C$2:$C$1501,$U287)&amp;"")</f>
        <v/>
      </c>
      <c r="E287">
        <f>IF($U287="","",INDEX('Per Line'!$D$2:$D$1501,$U287)&amp;"")</f>
        <v/>
      </c>
      <c r="F287">
        <f>IF($U287="","",INDEX('Per Line'!$E$2:$E$1501,$U287)&amp;"")</f>
        <v/>
      </c>
      <c r="G287">
        <f>IF($U287="","",INDEX('Per Line'!$F$2:$F$1501,$U287))</f>
        <v/>
      </c>
      <c r="H287" s="7">
        <f>IF($U287="","",G287*S287/100)</f>
        <v/>
      </c>
      <c r="I287" s="14">
        <f>IF($U287="","",INDEX('Per Line'!$R$2:$R$1501,$U287))</f>
        <v/>
      </c>
      <c r="J287">
        <f>IF($U287="","",INDEX('Per Line'!$Q$2:$Q$1501,$U287)&amp;"")</f>
        <v/>
      </c>
      <c r="K287">
        <f>IF($U287="","",Settings!$C$7)</f>
        <v/>
      </c>
      <c r="L287" s="7">
        <f>IF($U287="","",SUMIFS('Per Line'!$L$2:$L$1501,'Per Line'!$B$2:$B$1501,$A287,'Per Line'!$W$2:$W$1501,0))</f>
        <v/>
      </c>
      <c r="M287" s="7">
        <f>IF($U287="","",L287*K287)</f>
        <v/>
      </c>
      <c r="N287">
        <f>IF($U287="","",Settings!$C$6)</f>
        <v/>
      </c>
      <c r="O287" s="7">
        <f>IF($U287="","",SUMIFS('Per Line'!$L$2:$L$1501,'Per Line'!$B$2:$B$1501,$A287,'Per Line'!$W$2:$W$1501,1))</f>
        <v/>
      </c>
      <c r="P287" s="7">
        <f>IF($U287="","",O287*N287)</f>
        <v/>
      </c>
      <c r="Q287" s="7">
        <f>IF($U287="","",P287+M287)</f>
        <v/>
      </c>
      <c r="R287" s="7">
        <f>IF($U287="","",S287-Q287)</f>
        <v/>
      </c>
      <c r="S287" s="7">
        <f>IF($U287="","",L287+O287)</f>
        <v/>
      </c>
      <c r="T287" s="7">
        <f>IF($U287="","",S287-Q287-H287)</f>
        <v/>
      </c>
      <c r="U287" s="16">
        <f>IF(ROWS($U$2:$U287)&lt;=MAX('Per Line'!$V$2:$V$1501),MATCH(ROWS($U$2:$U287),'Per Line'!$V$2:$V$1501,0),"")</f>
        <v/>
      </c>
      <c r="V287">
        <f>IF($U287="","",B287&amp;"|"&amp;COUNTIF($B$2:$B287,B287))</f>
        <v/>
      </c>
    </row>
    <row r="288">
      <c r="A288">
        <f>IF($U288="","",INDEX('Per Line'!$B$2:$B$1501,$U288)&amp;"")</f>
        <v/>
      </c>
      <c r="B288">
        <f>IF($U288="","","COPY "&amp;G288&amp;" %")</f>
        <v/>
      </c>
      <c r="C288" s="15" t="n"/>
      <c r="D288">
        <f>IF($U288="","",INDEX('Per Line'!$C$2:$C$1501,$U288)&amp;"")</f>
        <v/>
      </c>
      <c r="E288">
        <f>IF($U288="","",INDEX('Per Line'!$D$2:$D$1501,$U288)&amp;"")</f>
        <v/>
      </c>
      <c r="F288">
        <f>IF($U288="","",INDEX('Per Line'!$E$2:$E$1501,$U288)&amp;"")</f>
        <v/>
      </c>
      <c r="G288">
        <f>IF($U288="","",INDEX('Per Line'!$F$2:$F$1501,$U288))</f>
        <v/>
      </c>
      <c r="H288" s="7">
        <f>IF($U288="","",G288*S288/100)</f>
        <v/>
      </c>
      <c r="I288" s="14">
        <f>IF($U288="","",INDEX('Per Line'!$R$2:$R$1501,$U288))</f>
        <v/>
      </c>
      <c r="J288">
        <f>IF($U288="","",INDEX('Per Line'!$Q$2:$Q$1501,$U288)&amp;"")</f>
        <v/>
      </c>
      <c r="K288">
        <f>IF($U288="","",Settings!$C$7)</f>
        <v/>
      </c>
      <c r="L288" s="7">
        <f>IF($U288="","",SUMIFS('Per Line'!$L$2:$L$1501,'Per Line'!$B$2:$B$1501,$A288,'Per Line'!$W$2:$W$1501,0))</f>
        <v/>
      </c>
      <c r="M288" s="7">
        <f>IF($U288="","",L288*K288)</f>
        <v/>
      </c>
      <c r="N288">
        <f>IF($U288="","",Settings!$C$6)</f>
        <v/>
      </c>
      <c r="O288" s="7">
        <f>IF($U288="","",SUMIFS('Per Line'!$L$2:$L$1501,'Per Line'!$B$2:$B$1501,$A288,'Per Line'!$W$2:$W$1501,1))</f>
        <v/>
      </c>
      <c r="P288" s="7">
        <f>IF($U288="","",O288*N288)</f>
        <v/>
      </c>
      <c r="Q288" s="7">
        <f>IF($U288="","",P288+M288)</f>
        <v/>
      </c>
      <c r="R288" s="7">
        <f>IF($U288="","",S288-Q288)</f>
        <v/>
      </c>
      <c r="S288" s="7">
        <f>IF($U288="","",L288+O288)</f>
        <v/>
      </c>
      <c r="T288" s="7">
        <f>IF($U288="","",S288-Q288-H288)</f>
        <v/>
      </c>
      <c r="U288" s="16">
        <f>IF(ROWS($U$2:$U288)&lt;=MAX('Per Line'!$V$2:$V$1501),MATCH(ROWS($U$2:$U288),'Per Line'!$V$2:$V$1501,0),"")</f>
        <v/>
      </c>
      <c r="V288">
        <f>IF($U288="","",B288&amp;"|"&amp;COUNTIF($B$2:$B288,B288))</f>
        <v/>
      </c>
    </row>
    <row r="289">
      <c r="A289">
        <f>IF($U289="","",INDEX('Per Line'!$B$2:$B$1501,$U289)&amp;"")</f>
        <v/>
      </c>
      <c r="B289">
        <f>IF($U289="","","COPY "&amp;G289&amp;" %")</f>
        <v/>
      </c>
      <c r="C289" s="15" t="n"/>
      <c r="D289">
        <f>IF($U289="","",INDEX('Per Line'!$C$2:$C$1501,$U289)&amp;"")</f>
        <v/>
      </c>
      <c r="E289">
        <f>IF($U289="","",INDEX('Per Line'!$D$2:$D$1501,$U289)&amp;"")</f>
        <v/>
      </c>
      <c r="F289">
        <f>IF($U289="","",INDEX('Per Line'!$E$2:$E$1501,$U289)&amp;"")</f>
        <v/>
      </c>
      <c r="G289">
        <f>IF($U289="","",INDEX('Per Line'!$F$2:$F$1501,$U289))</f>
        <v/>
      </c>
      <c r="H289" s="7">
        <f>IF($U289="","",G289*S289/100)</f>
        <v/>
      </c>
      <c r="I289" s="14">
        <f>IF($U289="","",INDEX('Per Line'!$R$2:$R$1501,$U289))</f>
        <v/>
      </c>
      <c r="J289">
        <f>IF($U289="","",INDEX('Per Line'!$Q$2:$Q$1501,$U289)&amp;"")</f>
        <v/>
      </c>
      <c r="K289">
        <f>IF($U289="","",Settings!$C$7)</f>
        <v/>
      </c>
      <c r="L289" s="7">
        <f>IF($U289="","",SUMIFS('Per Line'!$L$2:$L$1501,'Per Line'!$B$2:$B$1501,$A289,'Per Line'!$W$2:$W$1501,0))</f>
        <v/>
      </c>
      <c r="M289" s="7">
        <f>IF($U289="","",L289*K289)</f>
        <v/>
      </c>
      <c r="N289">
        <f>IF($U289="","",Settings!$C$6)</f>
        <v/>
      </c>
      <c r="O289" s="7">
        <f>IF($U289="","",SUMIFS('Per Line'!$L$2:$L$1501,'Per Line'!$B$2:$B$1501,$A289,'Per Line'!$W$2:$W$1501,1))</f>
        <v/>
      </c>
      <c r="P289" s="7">
        <f>IF($U289="","",O289*N289)</f>
        <v/>
      </c>
      <c r="Q289" s="7">
        <f>IF($U289="","",P289+M289)</f>
        <v/>
      </c>
      <c r="R289" s="7">
        <f>IF($U289="","",S289-Q289)</f>
        <v/>
      </c>
      <c r="S289" s="7">
        <f>IF($U289="","",L289+O289)</f>
        <v/>
      </c>
      <c r="T289" s="7">
        <f>IF($U289="","",S289-Q289-H289)</f>
        <v/>
      </c>
      <c r="U289" s="16">
        <f>IF(ROWS($U$2:$U289)&lt;=MAX('Per Line'!$V$2:$V$1501),MATCH(ROWS($U$2:$U289),'Per Line'!$V$2:$V$1501,0),"")</f>
        <v/>
      </c>
      <c r="V289">
        <f>IF($U289="","",B289&amp;"|"&amp;COUNTIF($B$2:$B289,B289))</f>
        <v/>
      </c>
    </row>
    <row r="290">
      <c r="A290">
        <f>IF($U290="","",INDEX('Per Line'!$B$2:$B$1501,$U290)&amp;"")</f>
        <v/>
      </c>
      <c r="B290">
        <f>IF($U290="","","COPY "&amp;G290&amp;" %")</f>
        <v/>
      </c>
      <c r="C290" s="15" t="n"/>
      <c r="D290">
        <f>IF($U290="","",INDEX('Per Line'!$C$2:$C$1501,$U290)&amp;"")</f>
        <v/>
      </c>
      <c r="E290">
        <f>IF($U290="","",INDEX('Per Line'!$D$2:$D$1501,$U290)&amp;"")</f>
        <v/>
      </c>
      <c r="F290">
        <f>IF($U290="","",INDEX('Per Line'!$E$2:$E$1501,$U290)&amp;"")</f>
        <v/>
      </c>
      <c r="G290">
        <f>IF($U290="","",INDEX('Per Line'!$F$2:$F$1501,$U290))</f>
        <v/>
      </c>
      <c r="H290" s="7">
        <f>IF($U290="","",G290*S290/100)</f>
        <v/>
      </c>
      <c r="I290" s="14">
        <f>IF($U290="","",INDEX('Per Line'!$R$2:$R$1501,$U290))</f>
        <v/>
      </c>
      <c r="J290">
        <f>IF($U290="","",INDEX('Per Line'!$Q$2:$Q$1501,$U290)&amp;"")</f>
        <v/>
      </c>
      <c r="K290">
        <f>IF($U290="","",Settings!$C$7)</f>
        <v/>
      </c>
      <c r="L290" s="7">
        <f>IF($U290="","",SUMIFS('Per Line'!$L$2:$L$1501,'Per Line'!$B$2:$B$1501,$A290,'Per Line'!$W$2:$W$1501,0))</f>
        <v/>
      </c>
      <c r="M290" s="7">
        <f>IF($U290="","",L290*K290)</f>
        <v/>
      </c>
      <c r="N290">
        <f>IF($U290="","",Settings!$C$6)</f>
        <v/>
      </c>
      <c r="O290" s="7">
        <f>IF($U290="","",SUMIFS('Per Line'!$L$2:$L$1501,'Per Line'!$B$2:$B$1501,$A290,'Per Line'!$W$2:$W$1501,1))</f>
        <v/>
      </c>
      <c r="P290" s="7">
        <f>IF($U290="","",O290*N290)</f>
        <v/>
      </c>
      <c r="Q290" s="7">
        <f>IF($U290="","",P290+M290)</f>
        <v/>
      </c>
      <c r="R290" s="7">
        <f>IF($U290="","",S290-Q290)</f>
        <v/>
      </c>
      <c r="S290" s="7">
        <f>IF($U290="","",L290+O290)</f>
        <v/>
      </c>
      <c r="T290" s="7">
        <f>IF($U290="","",S290-Q290-H290)</f>
        <v/>
      </c>
      <c r="U290" s="16">
        <f>IF(ROWS($U$2:$U290)&lt;=MAX('Per Line'!$V$2:$V$1501),MATCH(ROWS($U$2:$U290),'Per Line'!$V$2:$V$1501,0),"")</f>
        <v/>
      </c>
      <c r="V290">
        <f>IF($U290="","",B290&amp;"|"&amp;COUNTIF($B$2:$B290,B290))</f>
        <v/>
      </c>
    </row>
    <row r="291">
      <c r="A291">
        <f>IF($U291="","",INDEX('Per Line'!$B$2:$B$1501,$U291)&amp;"")</f>
        <v/>
      </c>
      <c r="B291">
        <f>IF($U291="","","COPY "&amp;G291&amp;" %")</f>
        <v/>
      </c>
      <c r="C291" s="15" t="n"/>
      <c r="D291">
        <f>IF($U291="","",INDEX('Per Line'!$C$2:$C$1501,$U291)&amp;"")</f>
        <v/>
      </c>
      <c r="E291">
        <f>IF($U291="","",INDEX('Per Line'!$D$2:$D$1501,$U291)&amp;"")</f>
        <v/>
      </c>
      <c r="F291">
        <f>IF($U291="","",INDEX('Per Line'!$E$2:$E$1501,$U291)&amp;"")</f>
        <v/>
      </c>
      <c r="G291">
        <f>IF($U291="","",INDEX('Per Line'!$F$2:$F$1501,$U291))</f>
        <v/>
      </c>
      <c r="H291" s="7">
        <f>IF($U291="","",G291*S291/100)</f>
        <v/>
      </c>
      <c r="I291" s="14">
        <f>IF($U291="","",INDEX('Per Line'!$R$2:$R$1501,$U291))</f>
        <v/>
      </c>
      <c r="J291">
        <f>IF($U291="","",INDEX('Per Line'!$Q$2:$Q$1501,$U291)&amp;"")</f>
        <v/>
      </c>
      <c r="K291">
        <f>IF($U291="","",Settings!$C$7)</f>
        <v/>
      </c>
      <c r="L291" s="7">
        <f>IF($U291="","",SUMIFS('Per Line'!$L$2:$L$1501,'Per Line'!$B$2:$B$1501,$A291,'Per Line'!$W$2:$W$1501,0))</f>
        <v/>
      </c>
      <c r="M291" s="7">
        <f>IF($U291="","",L291*K291)</f>
        <v/>
      </c>
      <c r="N291">
        <f>IF($U291="","",Settings!$C$6)</f>
        <v/>
      </c>
      <c r="O291" s="7">
        <f>IF($U291="","",SUMIFS('Per Line'!$L$2:$L$1501,'Per Line'!$B$2:$B$1501,$A291,'Per Line'!$W$2:$W$1501,1))</f>
        <v/>
      </c>
      <c r="P291" s="7">
        <f>IF($U291="","",O291*N291)</f>
        <v/>
      </c>
      <c r="Q291" s="7">
        <f>IF($U291="","",P291+M291)</f>
        <v/>
      </c>
      <c r="R291" s="7">
        <f>IF($U291="","",S291-Q291)</f>
        <v/>
      </c>
      <c r="S291" s="7">
        <f>IF($U291="","",L291+O291)</f>
        <v/>
      </c>
      <c r="T291" s="7">
        <f>IF($U291="","",S291-Q291-H291)</f>
        <v/>
      </c>
      <c r="U291" s="16">
        <f>IF(ROWS($U$2:$U291)&lt;=MAX('Per Line'!$V$2:$V$1501),MATCH(ROWS($U$2:$U291),'Per Line'!$V$2:$V$1501,0),"")</f>
        <v/>
      </c>
      <c r="V291">
        <f>IF($U291="","",B291&amp;"|"&amp;COUNTIF($B$2:$B291,B291))</f>
        <v/>
      </c>
    </row>
    <row r="292">
      <c r="A292">
        <f>IF($U292="","",INDEX('Per Line'!$B$2:$B$1501,$U292)&amp;"")</f>
        <v/>
      </c>
      <c r="B292">
        <f>IF($U292="","","COPY "&amp;G292&amp;" %")</f>
        <v/>
      </c>
      <c r="C292" s="15" t="n"/>
      <c r="D292">
        <f>IF($U292="","",INDEX('Per Line'!$C$2:$C$1501,$U292)&amp;"")</f>
        <v/>
      </c>
      <c r="E292">
        <f>IF($U292="","",INDEX('Per Line'!$D$2:$D$1501,$U292)&amp;"")</f>
        <v/>
      </c>
      <c r="F292">
        <f>IF($U292="","",INDEX('Per Line'!$E$2:$E$1501,$U292)&amp;"")</f>
        <v/>
      </c>
      <c r="G292">
        <f>IF($U292="","",INDEX('Per Line'!$F$2:$F$1501,$U292))</f>
        <v/>
      </c>
      <c r="H292" s="7">
        <f>IF($U292="","",G292*S292/100)</f>
        <v/>
      </c>
      <c r="I292" s="14">
        <f>IF($U292="","",INDEX('Per Line'!$R$2:$R$1501,$U292))</f>
        <v/>
      </c>
      <c r="J292">
        <f>IF($U292="","",INDEX('Per Line'!$Q$2:$Q$1501,$U292)&amp;"")</f>
        <v/>
      </c>
      <c r="K292">
        <f>IF($U292="","",Settings!$C$7)</f>
        <v/>
      </c>
      <c r="L292" s="7">
        <f>IF($U292="","",SUMIFS('Per Line'!$L$2:$L$1501,'Per Line'!$B$2:$B$1501,$A292,'Per Line'!$W$2:$W$1501,0))</f>
        <v/>
      </c>
      <c r="M292" s="7">
        <f>IF($U292="","",L292*K292)</f>
        <v/>
      </c>
      <c r="N292">
        <f>IF($U292="","",Settings!$C$6)</f>
        <v/>
      </c>
      <c r="O292" s="7">
        <f>IF($U292="","",SUMIFS('Per Line'!$L$2:$L$1501,'Per Line'!$B$2:$B$1501,$A292,'Per Line'!$W$2:$W$1501,1))</f>
        <v/>
      </c>
      <c r="P292" s="7">
        <f>IF($U292="","",O292*N292)</f>
        <v/>
      </c>
      <c r="Q292" s="7">
        <f>IF($U292="","",P292+M292)</f>
        <v/>
      </c>
      <c r="R292" s="7">
        <f>IF($U292="","",S292-Q292)</f>
        <v/>
      </c>
      <c r="S292" s="7">
        <f>IF($U292="","",L292+O292)</f>
        <v/>
      </c>
      <c r="T292" s="7">
        <f>IF($U292="","",S292-Q292-H292)</f>
        <v/>
      </c>
      <c r="U292" s="16">
        <f>IF(ROWS($U$2:$U292)&lt;=MAX('Per Line'!$V$2:$V$1501),MATCH(ROWS($U$2:$U292),'Per Line'!$V$2:$V$1501,0),"")</f>
        <v/>
      </c>
      <c r="V292">
        <f>IF($U292="","",B292&amp;"|"&amp;COUNTIF($B$2:$B292,B292))</f>
        <v/>
      </c>
    </row>
    <row r="293">
      <c r="A293">
        <f>IF($U293="","",INDEX('Per Line'!$B$2:$B$1501,$U293)&amp;"")</f>
        <v/>
      </c>
      <c r="B293">
        <f>IF($U293="","","COPY "&amp;G293&amp;" %")</f>
        <v/>
      </c>
      <c r="C293" s="15" t="n"/>
      <c r="D293">
        <f>IF($U293="","",INDEX('Per Line'!$C$2:$C$1501,$U293)&amp;"")</f>
        <v/>
      </c>
      <c r="E293">
        <f>IF($U293="","",INDEX('Per Line'!$D$2:$D$1501,$U293)&amp;"")</f>
        <v/>
      </c>
      <c r="F293">
        <f>IF($U293="","",INDEX('Per Line'!$E$2:$E$1501,$U293)&amp;"")</f>
        <v/>
      </c>
      <c r="G293">
        <f>IF($U293="","",INDEX('Per Line'!$F$2:$F$1501,$U293))</f>
        <v/>
      </c>
      <c r="H293" s="7">
        <f>IF($U293="","",G293*S293/100)</f>
        <v/>
      </c>
      <c r="I293" s="14">
        <f>IF($U293="","",INDEX('Per Line'!$R$2:$R$1501,$U293))</f>
        <v/>
      </c>
      <c r="J293">
        <f>IF($U293="","",INDEX('Per Line'!$Q$2:$Q$1501,$U293)&amp;"")</f>
        <v/>
      </c>
      <c r="K293">
        <f>IF($U293="","",Settings!$C$7)</f>
        <v/>
      </c>
      <c r="L293" s="7">
        <f>IF($U293="","",SUMIFS('Per Line'!$L$2:$L$1501,'Per Line'!$B$2:$B$1501,$A293,'Per Line'!$W$2:$W$1501,0))</f>
        <v/>
      </c>
      <c r="M293" s="7">
        <f>IF($U293="","",L293*K293)</f>
        <v/>
      </c>
      <c r="N293">
        <f>IF($U293="","",Settings!$C$6)</f>
        <v/>
      </c>
      <c r="O293" s="7">
        <f>IF($U293="","",SUMIFS('Per Line'!$L$2:$L$1501,'Per Line'!$B$2:$B$1501,$A293,'Per Line'!$W$2:$W$1501,1))</f>
        <v/>
      </c>
      <c r="P293" s="7">
        <f>IF($U293="","",O293*N293)</f>
        <v/>
      </c>
      <c r="Q293" s="7">
        <f>IF($U293="","",P293+M293)</f>
        <v/>
      </c>
      <c r="R293" s="7">
        <f>IF($U293="","",S293-Q293)</f>
        <v/>
      </c>
      <c r="S293" s="7">
        <f>IF($U293="","",L293+O293)</f>
        <v/>
      </c>
      <c r="T293" s="7">
        <f>IF($U293="","",S293-Q293-H293)</f>
        <v/>
      </c>
      <c r="U293" s="16">
        <f>IF(ROWS($U$2:$U293)&lt;=MAX('Per Line'!$V$2:$V$1501),MATCH(ROWS($U$2:$U293),'Per Line'!$V$2:$V$1501,0),"")</f>
        <v/>
      </c>
      <c r="V293">
        <f>IF($U293="","",B293&amp;"|"&amp;COUNTIF($B$2:$B293,B293))</f>
        <v/>
      </c>
    </row>
    <row r="294">
      <c r="A294">
        <f>IF($U294="","",INDEX('Per Line'!$B$2:$B$1501,$U294)&amp;"")</f>
        <v/>
      </c>
      <c r="B294">
        <f>IF($U294="","","COPY "&amp;G294&amp;" %")</f>
        <v/>
      </c>
      <c r="C294" s="15" t="n"/>
      <c r="D294">
        <f>IF($U294="","",INDEX('Per Line'!$C$2:$C$1501,$U294)&amp;"")</f>
        <v/>
      </c>
      <c r="E294">
        <f>IF($U294="","",INDEX('Per Line'!$D$2:$D$1501,$U294)&amp;"")</f>
        <v/>
      </c>
      <c r="F294">
        <f>IF($U294="","",INDEX('Per Line'!$E$2:$E$1501,$U294)&amp;"")</f>
        <v/>
      </c>
      <c r="G294">
        <f>IF($U294="","",INDEX('Per Line'!$F$2:$F$1501,$U294))</f>
        <v/>
      </c>
      <c r="H294" s="7">
        <f>IF($U294="","",G294*S294/100)</f>
        <v/>
      </c>
      <c r="I294" s="14">
        <f>IF($U294="","",INDEX('Per Line'!$R$2:$R$1501,$U294))</f>
        <v/>
      </c>
      <c r="J294">
        <f>IF($U294="","",INDEX('Per Line'!$Q$2:$Q$1501,$U294)&amp;"")</f>
        <v/>
      </c>
      <c r="K294">
        <f>IF($U294="","",Settings!$C$7)</f>
        <v/>
      </c>
      <c r="L294" s="7">
        <f>IF($U294="","",SUMIFS('Per Line'!$L$2:$L$1501,'Per Line'!$B$2:$B$1501,$A294,'Per Line'!$W$2:$W$1501,0))</f>
        <v/>
      </c>
      <c r="M294" s="7">
        <f>IF($U294="","",L294*K294)</f>
        <v/>
      </c>
      <c r="N294">
        <f>IF($U294="","",Settings!$C$6)</f>
        <v/>
      </c>
      <c r="O294" s="7">
        <f>IF($U294="","",SUMIFS('Per Line'!$L$2:$L$1501,'Per Line'!$B$2:$B$1501,$A294,'Per Line'!$W$2:$W$1501,1))</f>
        <v/>
      </c>
      <c r="P294" s="7">
        <f>IF($U294="","",O294*N294)</f>
        <v/>
      </c>
      <c r="Q294" s="7">
        <f>IF($U294="","",P294+M294)</f>
        <v/>
      </c>
      <c r="R294" s="7">
        <f>IF($U294="","",S294-Q294)</f>
        <v/>
      </c>
      <c r="S294" s="7">
        <f>IF($U294="","",L294+O294)</f>
        <v/>
      </c>
      <c r="T294" s="7">
        <f>IF($U294="","",S294-Q294-H294)</f>
        <v/>
      </c>
      <c r="U294" s="16">
        <f>IF(ROWS($U$2:$U294)&lt;=MAX('Per Line'!$V$2:$V$1501),MATCH(ROWS($U$2:$U294),'Per Line'!$V$2:$V$1501,0),"")</f>
        <v/>
      </c>
      <c r="V294">
        <f>IF($U294="","",B294&amp;"|"&amp;COUNTIF($B$2:$B294,B294))</f>
        <v/>
      </c>
    </row>
    <row r="295">
      <c r="A295">
        <f>IF($U295="","",INDEX('Per Line'!$B$2:$B$1501,$U295)&amp;"")</f>
        <v/>
      </c>
      <c r="B295">
        <f>IF($U295="","","COPY "&amp;G295&amp;" %")</f>
        <v/>
      </c>
      <c r="C295" s="15" t="n"/>
      <c r="D295">
        <f>IF($U295="","",INDEX('Per Line'!$C$2:$C$1501,$U295)&amp;"")</f>
        <v/>
      </c>
      <c r="E295">
        <f>IF($U295="","",INDEX('Per Line'!$D$2:$D$1501,$U295)&amp;"")</f>
        <v/>
      </c>
      <c r="F295">
        <f>IF($U295="","",INDEX('Per Line'!$E$2:$E$1501,$U295)&amp;"")</f>
        <v/>
      </c>
      <c r="G295">
        <f>IF($U295="","",INDEX('Per Line'!$F$2:$F$1501,$U295))</f>
        <v/>
      </c>
      <c r="H295" s="7">
        <f>IF($U295="","",G295*S295/100)</f>
        <v/>
      </c>
      <c r="I295" s="14">
        <f>IF($U295="","",INDEX('Per Line'!$R$2:$R$1501,$U295))</f>
        <v/>
      </c>
      <c r="J295">
        <f>IF($U295="","",INDEX('Per Line'!$Q$2:$Q$1501,$U295)&amp;"")</f>
        <v/>
      </c>
      <c r="K295">
        <f>IF($U295="","",Settings!$C$7)</f>
        <v/>
      </c>
      <c r="L295" s="7">
        <f>IF($U295="","",SUMIFS('Per Line'!$L$2:$L$1501,'Per Line'!$B$2:$B$1501,$A295,'Per Line'!$W$2:$W$1501,0))</f>
        <v/>
      </c>
      <c r="M295" s="7">
        <f>IF($U295="","",L295*K295)</f>
        <v/>
      </c>
      <c r="N295">
        <f>IF($U295="","",Settings!$C$6)</f>
        <v/>
      </c>
      <c r="O295" s="7">
        <f>IF($U295="","",SUMIFS('Per Line'!$L$2:$L$1501,'Per Line'!$B$2:$B$1501,$A295,'Per Line'!$W$2:$W$1501,1))</f>
        <v/>
      </c>
      <c r="P295" s="7">
        <f>IF($U295="","",O295*N295)</f>
        <v/>
      </c>
      <c r="Q295" s="7">
        <f>IF($U295="","",P295+M295)</f>
        <v/>
      </c>
      <c r="R295" s="7">
        <f>IF($U295="","",S295-Q295)</f>
        <v/>
      </c>
      <c r="S295" s="7">
        <f>IF($U295="","",L295+O295)</f>
        <v/>
      </c>
      <c r="T295" s="7">
        <f>IF($U295="","",S295-Q295-H295)</f>
        <v/>
      </c>
      <c r="U295" s="16">
        <f>IF(ROWS($U$2:$U295)&lt;=MAX('Per Line'!$V$2:$V$1501),MATCH(ROWS($U$2:$U295),'Per Line'!$V$2:$V$1501,0),"")</f>
        <v/>
      </c>
      <c r="V295">
        <f>IF($U295="","",B295&amp;"|"&amp;COUNTIF($B$2:$B295,B295))</f>
        <v/>
      </c>
    </row>
    <row r="296">
      <c r="A296">
        <f>IF($U296="","",INDEX('Per Line'!$B$2:$B$1501,$U296)&amp;"")</f>
        <v/>
      </c>
      <c r="B296">
        <f>IF($U296="","","COPY "&amp;G296&amp;" %")</f>
        <v/>
      </c>
      <c r="C296" s="15" t="n"/>
      <c r="D296">
        <f>IF($U296="","",INDEX('Per Line'!$C$2:$C$1501,$U296)&amp;"")</f>
        <v/>
      </c>
      <c r="E296">
        <f>IF($U296="","",INDEX('Per Line'!$D$2:$D$1501,$U296)&amp;"")</f>
        <v/>
      </c>
      <c r="F296">
        <f>IF($U296="","",INDEX('Per Line'!$E$2:$E$1501,$U296)&amp;"")</f>
        <v/>
      </c>
      <c r="G296">
        <f>IF($U296="","",INDEX('Per Line'!$F$2:$F$1501,$U296))</f>
        <v/>
      </c>
      <c r="H296" s="7">
        <f>IF($U296="","",G296*S296/100)</f>
        <v/>
      </c>
      <c r="I296" s="14">
        <f>IF($U296="","",INDEX('Per Line'!$R$2:$R$1501,$U296))</f>
        <v/>
      </c>
      <c r="J296">
        <f>IF($U296="","",INDEX('Per Line'!$Q$2:$Q$1501,$U296)&amp;"")</f>
        <v/>
      </c>
      <c r="K296">
        <f>IF($U296="","",Settings!$C$7)</f>
        <v/>
      </c>
      <c r="L296" s="7">
        <f>IF($U296="","",SUMIFS('Per Line'!$L$2:$L$1501,'Per Line'!$B$2:$B$1501,$A296,'Per Line'!$W$2:$W$1501,0))</f>
        <v/>
      </c>
      <c r="M296" s="7">
        <f>IF($U296="","",L296*K296)</f>
        <v/>
      </c>
      <c r="N296">
        <f>IF($U296="","",Settings!$C$6)</f>
        <v/>
      </c>
      <c r="O296" s="7">
        <f>IF($U296="","",SUMIFS('Per Line'!$L$2:$L$1501,'Per Line'!$B$2:$B$1501,$A296,'Per Line'!$W$2:$W$1501,1))</f>
        <v/>
      </c>
      <c r="P296" s="7">
        <f>IF($U296="","",O296*N296)</f>
        <v/>
      </c>
      <c r="Q296" s="7">
        <f>IF($U296="","",P296+M296)</f>
        <v/>
      </c>
      <c r="R296" s="7">
        <f>IF($U296="","",S296-Q296)</f>
        <v/>
      </c>
      <c r="S296" s="7">
        <f>IF($U296="","",L296+O296)</f>
        <v/>
      </c>
      <c r="T296" s="7">
        <f>IF($U296="","",S296-Q296-H296)</f>
        <v/>
      </c>
      <c r="U296" s="16">
        <f>IF(ROWS($U$2:$U296)&lt;=MAX('Per Line'!$V$2:$V$1501),MATCH(ROWS($U$2:$U296),'Per Line'!$V$2:$V$1501,0),"")</f>
        <v/>
      </c>
      <c r="V296">
        <f>IF($U296="","",B296&amp;"|"&amp;COUNTIF($B$2:$B296,B296))</f>
        <v/>
      </c>
    </row>
    <row r="297">
      <c r="A297">
        <f>IF($U297="","",INDEX('Per Line'!$B$2:$B$1501,$U297)&amp;"")</f>
        <v/>
      </c>
      <c r="B297">
        <f>IF($U297="","","COPY "&amp;G297&amp;" %")</f>
        <v/>
      </c>
      <c r="C297" s="15" t="n"/>
      <c r="D297">
        <f>IF($U297="","",INDEX('Per Line'!$C$2:$C$1501,$U297)&amp;"")</f>
        <v/>
      </c>
      <c r="E297">
        <f>IF($U297="","",INDEX('Per Line'!$D$2:$D$1501,$U297)&amp;"")</f>
        <v/>
      </c>
      <c r="F297">
        <f>IF($U297="","",INDEX('Per Line'!$E$2:$E$1501,$U297)&amp;"")</f>
        <v/>
      </c>
      <c r="G297">
        <f>IF($U297="","",INDEX('Per Line'!$F$2:$F$1501,$U297))</f>
        <v/>
      </c>
      <c r="H297" s="7">
        <f>IF($U297="","",G297*S297/100)</f>
        <v/>
      </c>
      <c r="I297" s="14">
        <f>IF($U297="","",INDEX('Per Line'!$R$2:$R$1501,$U297))</f>
        <v/>
      </c>
      <c r="J297">
        <f>IF($U297="","",INDEX('Per Line'!$Q$2:$Q$1501,$U297)&amp;"")</f>
        <v/>
      </c>
      <c r="K297">
        <f>IF($U297="","",Settings!$C$7)</f>
        <v/>
      </c>
      <c r="L297" s="7">
        <f>IF($U297="","",SUMIFS('Per Line'!$L$2:$L$1501,'Per Line'!$B$2:$B$1501,$A297,'Per Line'!$W$2:$W$1501,0))</f>
        <v/>
      </c>
      <c r="M297" s="7">
        <f>IF($U297="","",L297*K297)</f>
        <v/>
      </c>
      <c r="N297">
        <f>IF($U297="","",Settings!$C$6)</f>
        <v/>
      </c>
      <c r="O297" s="7">
        <f>IF($U297="","",SUMIFS('Per Line'!$L$2:$L$1501,'Per Line'!$B$2:$B$1501,$A297,'Per Line'!$W$2:$W$1501,1))</f>
        <v/>
      </c>
      <c r="P297" s="7">
        <f>IF($U297="","",O297*N297)</f>
        <v/>
      </c>
      <c r="Q297" s="7">
        <f>IF($U297="","",P297+M297)</f>
        <v/>
      </c>
      <c r="R297" s="7">
        <f>IF($U297="","",S297-Q297)</f>
        <v/>
      </c>
      <c r="S297" s="7">
        <f>IF($U297="","",L297+O297)</f>
        <v/>
      </c>
      <c r="T297" s="7">
        <f>IF($U297="","",S297-Q297-H297)</f>
        <v/>
      </c>
      <c r="U297" s="16">
        <f>IF(ROWS($U$2:$U297)&lt;=MAX('Per Line'!$V$2:$V$1501),MATCH(ROWS($U$2:$U297),'Per Line'!$V$2:$V$1501,0),"")</f>
        <v/>
      </c>
      <c r="V297">
        <f>IF($U297="","",B297&amp;"|"&amp;COUNTIF($B$2:$B297,B297))</f>
        <v/>
      </c>
    </row>
    <row r="298">
      <c r="A298">
        <f>IF($U298="","",INDEX('Per Line'!$B$2:$B$1501,$U298)&amp;"")</f>
        <v/>
      </c>
      <c r="B298">
        <f>IF($U298="","","COPY "&amp;G298&amp;" %")</f>
        <v/>
      </c>
      <c r="C298" s="15" t="n"/>
      <c r="D298">
        <f>IF($U298="","",INDEX('Per Line'!$C$2:$C$1501,$U298)&amp;"")</f>
        <v/>
      </c>
      <c r="E298">
        <f>IF($U298="","",INDEX('Per Line'!$D$2:$D$1501,$U298)&amp;"")</f>
        <v/>
      </c>
      <c r="F298">
        <f>IF($U298="","",INDEX('Per Line'!$E$2:$E$1501,$U298)&amp;"")</f>
        <v/>
      </c>
      <c r="G298">
        <f>IF($U298="","",INDEX('Per Line'!$F$2:$F$1501,$U298))</f>
        <v/>
      </c>
      <c r="H298" s="7">
        <f>IF($U298="","",G298*S298/100)</f>
        <v/>
      </c>
      <c r="I298" s="14">
        <f>IF($U298="","",INDEX('Per Line'!$R$2:$R$1501,$U298))</f>
        <v/>
      </c>
      <c r="J298">
        <f>IF($U298="","",INDEX('Per Line'!$Q$2:$Q$1501,$U298)&amp;"")</f>
        <v/>
      </c>
      <c r="K298">
        <f>IF($U298="","",Settings!$C$7)</f>
        <v/>
      </c>
      <c r="L298" s="7">
        <f>IF($U298="","",SUMIFS('Per Line'!$L$2:$L$1501,'Per Line'!$B$2:$B$1501,$A298,'Per Line'!$W$2:$W$1501,0))</f>
        <v/>
      </c>
      <c r="M298" s="7">
        <f>IF($U298="","",L298*K298)</f>
        <v/>
      </c>
      <c r="N298">
        <f>IF($U298="","",Settings!$C$6)</f>
        <v/>
      </c>
      <c r="O298" s="7">
        <f>IF($U298="","",SUMIFS('Per Line'!$L$2:$L$1501,'Per Line'!$B$2:$B$1501,$A298,'Per Line'!$W$2:$W$1501,1))</f>
        <v/>
      </c>
      <c r="P298" s="7">
        <f>IF($U298="","",O298*N298)</f>
        <v/>
      </c>
      <c r="Q298" s="7">
        <f>IF($U298="","",P298+M298)</f>
        <v/>
      </c>
      <c r="R298" s="7">
        <f>IF($U298="","",S298-Q298)</f>
        <v/>
      </c>
      <c r="S298" s="7">
        <f>IF($U298="","",L298+O298)</f>
        <v/>
      </c>
      <c r="T298" s="7">
        <f>IF($U298="","",S298-Q298-H298)</f>
        <v/>
      </c>
      <c r="U298" s="16">
        <f>IF(ROWS($U$2:$U298)&lt;=MAX('Per Line'!$V$2:$V$1501),MATCH(ROWS($U$2:$U298),'Per Line'!$V$2:$V$1501,0),"")</f>
        <v/>
      </c>
      <c r="V298">
        <f>IF($U298="","",B298&amp;"|"&amp;COUNTIF($B$2:$B298,B298))</f>
        <v/>
      </c>
    </row>
    <row r="299">
      <c r="A299">
        <f>IF($U299="","",INDEX('Per Line'!$B$2:$B$1501,$U299)&amp;"")</f>
        <v/>
      </c>
      <c r="B299">
        <f>IF($U299="","","COPY "&amp;G299&amp;" %")</f>
        <v/>
      </c>
      <c r="C299" s="15" t="n"/>
      <c r="D299">
        <f>IF($U299="","",INDEX('Per Line'!$C$2:$C$1501,$U299)&amp;"")</f>
        <v/>
      </c>
      <c r="E299">
        <f>IF($U299="","",INDEX('Per Line'!$D$2:$D$1501,$U299)&amp;"")</f>
        <v/>
      </c>
      <c r="F299">
        <f>IF($U299="","",INDEX('Per Line'!$E$2:$E$1501,$U299)&amp;"")</f>
        <v/>
      </c>
      <c r="G299">
        <f>IF($U299="","",INDEX('Per Line'!$F$2:$F$1501,$U299))</f>
        <v/>
      </c>
      <c r="H299" s="7">
        <f>IF($U299="","",G299*S299/100)</f>
        <v/>
      </c>
      <c r="I299" s="14">
        <f>IF($U299="","",INDEX('Per Line'!$R$2:$R$1501,$U299))</f>
        <v/>
      </c>
      <c r="J299">
        <f>IF($U299="","",INDEX('Per Line'!$Q$2:$Q$1501,$U299)&amp;"")</f>
        <v/>
      </c>
      <c r="K299">
        <f>IF($U299="","",Settings!$C$7)</f>
        <v/>
      </c>
      <c r="L299" s="7">
        <f>IF($U299="","",SUMIFS('Per Line'!$L$2:$L$1501,'Per Line'!$B$2:$B$1501,$A299,'Per Line'!$W$2:$W$1501,0))</f>
        <v/>
      </c>
      <c r="M299" s="7">
        <f>IF($U299="","",L299*K299)</f>
        <v/>
      </c>
      <c r="N299">
        <f>IF($U299="","",Settings!$C$6)</f>
        <v/>
      </c>
      <c r="O299" s="7">
        <f>IF($U299="","",SUMIFS('Per Line'!$L$2:$L$1501,'Per Line'!$B$2:$B$1501,$A299,'Per Line'!$W$2:$W$1501,1))</f>
        <v/>
      </c>
      <c r="P299" s="7">
        <f>IF($U299="","",O299*N299)</f>
        <v/>
      </c>
      <c r="Q299" s="7">
        <f>IF($U299="","",P299+M299)</f>
        <v/>
      </c>
      <c r="R299" s="7">
        <f>IF($U299="","",S299-Q299)</f>
        <v/>
      </c>
      <c r="S299" s="7">
        <f>IF($U299="","",L299+O299)</f>
        <v/>
      </c>
      <c r="T299" s="7">
        <f>IF($U299="","",S299-Q299-H299)</f>
        <v/>
      </c>
      <c r="U299" s="16">
        <f>IF(ROWS($U$2:$U299)&lt;=MAX('Per Line'!$V$2:$V$1501),MATCH(ROWS($U$2:$U299),'Per Line'!$V$2:$V$1501,0),"")</f>
        <v/>
      </c>
      <c r="V299">
        <f>IF($U299="","",B299&amp;"|"&amp;COUNTIF($B$2:$B299,B299))</f>
        <v/>
      </c>
    </row>
    <row r="300">
      <c r="A300">
        <f>IF($U300="","",INDEX('Per Line'!$B$2:$B$1501,$U300)&amp;"")</f>
        <v/>
      </c>
      <c r="B300">
        <f>IF($U300="","","COPY "&amp;G300&amp;" %")</f>
        <v/>
      </c>
      <c r="C300" s="15" t="n"/>
      <c r="D300">
        <f>IF($U300="","",INDEX('Per Line'!$C$2:$C$1501,$U300)&amp;"")</f>
        <v/>
      </c>
      <c r="E300">
        <f>IF($U300="","",INDEX('Per Line'!$D$2:$D$1501,$U300)&amp;"")</f>
        <v/>
      </c>
      <c r="F300">
        <f>IF($U300="","",INDEX('Per Line'!$E$2:$E$1501,$U300)&amp;"")</f>
        <v/>
      </c>
      <c r="G300">
        <f>IF($U300="","",INDEX('Per Line'!$F$2:$F$1501,$U300))</f>
        <v/>
      </c>
      <c r="H300" s="7">
        <f>IF($U300="","",G300*S300/100)</f>
        <v/>
      </c>
      <c r="I300" s="14">
        <f>IF($U300="","",INDEX('Per Line'!$R$2:$R$1501,$U300))</f>
        <v/>
      </c>
      <c r="J300">
        <f>IF($U300="","",INDEX('Per Line'!$Q$2:$Q$1501,$U300)&amp;"")</f>
        <v/>
      </c>
      <c r="K300">
        <f>IF($U300="","",Settings!$C$7)</f>
        <v/>
      </c>
      <c r="L300" s="7">
        <f>IF($U300="","",SUMIFS('Per Line'!$L$2:$L$1501,'Per Line'!$B$2:$B$1501,$A300,'Per Line'!$W$2:$W$1501,0))</f>
        <v/>
      </c>
      <c r="M300" s="7">
        <f>IF($U300="","",L300*K300)</f>
        <v/>
      </c>
      <c r="N300">
        <f>IF($U300="","",Settings!$C$6)</f>
        <v/>
      </c>
      <c r="O300" s="7">
        <f>IF($U300="","",SUMIFS('Per Line'!$L$2:$L$1501,'Per Line'!$B$2:$B$1501,$A300,'Per Line'!$W$2:$W$1501,1))</f>
        <v/>
      </c>
      <c r="P300" s="7">
        <f>IF($U300="","",O300*N300)</f>
        <v/>
      </c>
      <c r="Q300" s="7">
        <f>IF($U300="","",P300+M300)</f>
        <v/>
      </c>
      <c r="R300" s="7">
        <f>IF($U300="","",S300-Q300)</f>
        <v/>
      </c>
      <c r="S300" s="7">
        <f>IF($U300="","",L300+O300)</f>
        <v/>
      </c>
      <c r="T300" s="7">
        <f>IF($U300="","",S300-Q300-H300)</f>
        <v/>
      </c>
      <c r="U300" s="16">
        <f>IF(ROWS($U$2:$U300)&lt;=MAX('Per Line'!$V$2:$V$1501),MATCH(ROWS($U$2:$U300),'Per Line'!$V$2:$V$1501,0),"")</f>
        <v/>
      </c>
      <c r="V300">
        <f>IF($U300="","",B300&amp;"|"&amp;COUNTIF($B$2:$B300,B300))</f>
        <v/>
      </c>
    </row>
    <row r="301">
      <c r="A301">
        <f>IF($U301="","",INDEX('Per Line'!$B$2:$B$1501,$U301)&amp;"")</f>
        <v/>
      </c>
      <c r="B301">
        <f>IF($U301="","","COPY "&amp;G301&amp;" %")</f>
        <v/>
      </c>
      <c r="C301" s="15" t="n"/>
      <c r="D301">
        <f>IF($U301="","",INDEX('Per Line'!$C$2:$C$1501,$U301)&amp;"")</f>
        <v/>
      </c>
      <c r="E301">
        <f>IF($U301="","",INDEX('Per Line'!$D$2:$D$1501,$U301)&amp;"")</f>
        <v/>
      </c>
      <c r="F301">
        <f>IF($U301="","",INDEX('Per Line'!$E$2:$E$1501,$U301)&amp;"")</f>
        <v/>
      </c>
      <c r="G301">
        <f>IF($U301="","",INDEX('Per Line'!$F$2:$F$1501,$U301))</f>
        <v/>
      </c>
      <c r="H301" s="7">
        <f>IF($U301="","",G301*S301/100)</f>
        <v/>
      </c>
      <c r="I301" s="14">
        <f>IF($U301="","",INDEX('Per Line'!$R$2:$R$1501,$U301))</f>
        <v/>
      </c>
      <c r="J301">
        <f>IF($U301="","",INDEX('Per Line'!$Q$2:$Q$1501,$U301)&amp;"")</f>
        <v/>
      </c>
      <c r="K301">
        <f>IF($U301="","",Settings!$C$7)</f>
        <v/>
      </c>
      <c r="L301" s="7">
        <f>IF($U301="","",SUMIFS('Per Line'!$L$2:$L$1501,'Per Line'!$B$2:$B$1501,$A301,'Per Line'!$W$2:$W$1501,0))</f>
        <v/>
      </c>
      <c r="M301" s="7">
        <f>IF($U301="","",L301*K301)</f>
        <v/>
      </c>
      <c r="N301">
        <f>IF($U301="","",Settings!$C$6)</f>
        <v/>
      </c>
      <c r="O301" s="7">
        <f>IF($U301="","",SUMIFS('Per Line'!$L$2:$L$1501,'Per Line'!$B$2:$B$1501,$A301,'Per Line'!$W$2:$W$1501,1))</f>
        <v/>
      </c>
      <c r="P301" s="7">
        <f>IF($U301="","",O301*N301)</f>
        <v/>
      </c>
      <c r="Q301" s="7">
        <f>IF($U301="","",P301+M301)</f>
        <v/>
      </c>
      <c r="R301" s="7">
        <f>IF($U301="","",S301-Q301)</f>
        <v/>
      </c>
      <c r="S301" s="7">
        <f>IF($U301="","",L301+O301)</f>
        <v/>
      </c>
      <c r="T301" s="7">
        <f>IF($U301="","",S301-Q301-H301)</f>
        <v/>
      </c>
      <c r="U301" s="16">
        <f>IF(ROWS($U$2:$U301)&lt;=MAX('Per Line'!$V$2:$V$1501),MATCH(ROWS($U$2:$U301),'Per Line'!$V$2:$V$1501,0),"")</f>
        <v/>
      </c>
      <c r="V301">
        <f>IF($U301="","",B301&amp;"|"&amp;COUNTIF($B$2:$B301,B301))</f>
        <v/>
      </c>
    </row>
    <row r="302">
      <c r="A302">
        <f>IF($U302="","",INDEX('Per Line'!$B$2:$B$1501,$U302)&amp;"")</f>
        <v/>
      </c>
      <c r="B302">
        <f>IF($U302="","","COPY "&amp;G302&amp;" %")</f>
        <v/>
      </c>
      <c r="C302" s="15" t="n"/>
      <c r="D302">
        <f>IF($U302="","",INDEX('Per Line'!$C$2:$C$1501,$U302)&amp;"")</f>
        <v/>
      </c>
      <c r="E302">
        <f>IF($U302="","",INDEX('Per Line'!$D$2:$D$1501,$U302)&amp;"")</f>
        <v/>
      </c>
      <c r="F302">
        <f>IF($U302="","",INDEX('Per Line'!$E$2:$E$1501,$U302)&amp;"")</f>
        <v/>
      </c>
      <c r="G302">
        <f>IF($U302="","",INDEX('Per Line'!$F$2:$F$1501,$U302))</f>
        <v/>
      </c>
      <c r="H302" s="7">
        <f>IF($U302="","",G302*S302/100)</f>
        <v/>
      </c>
      <c r="I302" s="14">
        <f>IF($U302="","",INDEX('Per Line'!$R$2:$R$1501,$U302))</f>
        <v/>
      </c>
      <c r="J302">
        <f>IF($U302="","",INDEX('Per Line'!$Q$2:$Q$1501,$U302)&amp;"")</f>
        <v/>
      </c>
      <c r="K302">
        <f>IF($U302="","",Settings!$C$7)</f>
        <v/>
      </c>
      <c r="L302" s="7">
        <f>IF($U302="","",SUMIFS('Per Line'!$L$2:$L$1501,'Per Line'!$B$2:$B$1501,$A302,'Per Line'!$W$2:$W$1501,0))</f>
        <v/>
      </c>
      <c r="M302" s="7">
        <f>IF($U302="","",L302*K302)</f>
        <v/>
      </c>
      <c r="N302">
        <f>IF($U302="","",Settings!$C$6)</f>
        <v/>
      </c>
      <c r="O302" s="7">
        <f>IF($U302="","",SUMIFS('Per Line'!$L$2:$L$1501,'Per Line'!$B$2:$B$1501,$A302,'Per Line'!$W$2:$W$1501,1))</f>
        <v/>
      </c>
      <c r="P302" s="7">
        <f>IF($U302="","",O302*N302)</f>
        <v/>
      </c>
      <c r="Q302" s="7">
        <f>IF($U302="","",P302+M302)</f>
        <v/>
      </c>
      <c r="R302" s="7">
        <f>IF($U302="","",S302-Q302)</f>
        <v/>
      </c>
      <c r="S302" s="7">
        <f>IF($U302="","",L302+O302)</f>
        <v/>
      </c>
      <c r="T302" s="7">
        <f>IF($U302="","",S302-Q302-H302)</f>
        <v/>
      </c>
      <c r="U302" s="16">
        <f>IF(ROWS($U$2:$U302)&lt;=MAX('Per Line'!$V$2:$V$1501),MATCH(ROWS($U$2:$U302),'Per Line'!$V$2:$V$1501,0),"")</f>
        <v/>
      </c>
      <c r="V302">
        <f>IF($U302="","",B302&amp;"|"&amp;COUNTIF($B$2:$B302,B302))</f>
        <v/>
      </c>
    </row>
    <row r="303">
      <c r="A303">
        <f>IF($U303="","",INDEX('Per Line'!$B$2:$B$1501,$U303)&amp;"")</f>
        <v/>
      </c>
      <c r="B303">
        <f>IF($U303="","","COPY "&amp;G303&amp;" %")</f>
        <v/>
      </c>
      <c r="C303" s="15" t="n"/>
      <c r="D303">
        <f>IF($U303="","",INDEX('Per Line'!$C$2:$C$1501,$U303)&amp;"")</f>
        <v/>
      </c>
      <c r="E303">
        <f>IF($U303="","",INDEX('Per Line'!$D$2:$D$1501,$U303)&amp;"")</f>
        <v/>
      </c>
      <c r="F303">
        <f>IF($U303="","",INDEX('Per Line'!$E$2:$E$1501,$U303)&amp;"")</f>
        <v/>
      </c>
      <c r="G303">
        <f>IF($U303="","",INDEX('Per Line'!$F$2:$F$1501,$U303))</f>
        <v/>
      </c>
      <c r="H303" s="7">
        <f>IF($U303="","",G303*S303/100)</f>
        <v/>
      </c>
      <c r="I303" s="14">
        <f>IF($U303="","",INDEX('Per Line'!$R$2:$R$1501,$U303))</f>
        <v/>
      </c>
      <c r="J303">
        <f>IF($U303="","",INDEX('Per Line'!$Q$2:$Q$1501,$U303)&amp;"")</f>
        <v/>
      </c>
      <c r="K303">
        <f>IF($U303="","",Settings!$C$7)</f>
        <v/>
      </c>
      <c r="L303" s="7">
        <f>IF($U303="","",SUMIFS('Per Line'!$L$2:$L$1501,'Per Line'!$B$2:$B$1501,$A303,'Per Line'!$W$2:$W$1501,0))</f>
        <v/>
      </c>
      <c r="M303" s="7">
        <f>IF($U303="","",L303*K303)</f>
        <v/>
      </c>
      <c r="N303">
        <f>IF($U303="","",Settings!$C$6)</f>
        <v/>
      </c>
      <c r="O303" s="7">
        <f>IF($U303="","",SUMIFS('Per Line'!$L$2:$L$1501,'Per Line'!$B$2:$B$1501,$A303,'Per Line'!$W$2:$W$1501,1))</f>
        <v/>
      </c>
      <c r="P303" s="7">
        <f>IF($U303="","",O303*N303)</f>
        <v/>
      </c>
      <c r="Q303" s="7">
        <f>IF($U303="","",P303+M303)</f>
        <v/>
      </c>
      <c r="R303" s="7">
        <f>IF($U303="","",S303-Q303)</f>
        <v/>
      </c>
      <c r="S303" s="7">
        <f>IF($U303="","",L303+O303)</f>
        <v/>
      </c>
      <c r="T303" s="7">
        <f>IF($U303="","",S303-Q303-H303)</f>
        <v/>
      </c>
      <c r="U303" s="16">
        <f>IF(ROWS($U$2:$U303)&lt;=MAX('Per Line'!$V$2:$V$1501),MATCH(ROWS($U$2:$U303),'Per Line'!$V$2:$V$1501,0),"")</f>
        <v/>
      </c>
      <c r="V303">
        <f>IF($U303="","",B303&amp;"|"&amp;COUNTIF($B$2:$B303,B303))</f>
        <v/>
      </c>
    </row>
    <row r="304">
      <c r="A304">
        <f>IF($U304="","",INDEX('Per Line'!$B$2:$B$1501,$U304)&amp;"")</f>
        <v/>
      </c>
      <c r="B304">
        <f>IF($U304="","","COPY "&amp;G304&amp;" %")</f>
        <v/>
      </c>
      <c r="C304" s="15" t="n"/>
      <c r="D304">
        <f>IF($U304="","",INDEX('Per Line'!$C$2:$C$1501,$U304)&amp;"")</f>
        <v/>
      </c>
      <c r="E304">
        <f>IF($U304="","",INDEX('Per Line'!$D$2:$D$1501,$U304)&amp;"")</f>
        <v/>
      </c>
      <c r="F304">
        <f>IF($U304="","",INDEX('Per Line'!$E$2:$E$1501,$U304)&amp;"")</f>
        <v/>
      </c>
      <c r="G304">
        <f>IF($U304="","",INDEX('Per Line'!$F$2:$F$1501,$U304))</f>
        <v/>
      </c>
      <c r="H304" s="7">
        <f>IF($U304="","",G304*S304/100)</f>
        <v/>
      </c>
      <c r="I304" s="14">
        <f>IF($U304="","",INDEX('Per Line'!$R$2:$R$1501,$U304))</f>
        <v/>
      </c>
      <c r="J304">
        <f>IF($U304="","",INDEX('Per Line'!$Q$2:$Q$1501,$U304)&amp;"")</f>
        <v/>
      </c>
      <c r="K304">
        <f>IF($U304="","",Settings!$C$7)</f>
        <v/>
      </c>
      <c r="L304" s="7">
        <f>IF($U304="","",SUMIFS('Per Line'!$L$2:$L$1501,'Per Line'!$B$2:$B$1501,$A304,'Per Line'!$W$2:$W$1501,0))</f>
        <v/>
      </c>
      <c r="M304" s="7">
        <f>IF($U304="","",L304*K304)</f>
        <v/>
      </c>
      <c r="N304">
        <f>IF($U304="","",Settings!$C$6)</f>
        <v/>
      </c>
      <c r="O304" s="7">
        <f>IF($U304="","",SUMIFS('Per Line'!$L$2:$L$1501,'Per Line'!$B$2:$B$1501,$A304,'Per Line'!$W$2:$W$1501,1))</f>
        <v/>
      </c>
      <c r="P304" s="7">
        <f>IF($U304="","",O304*N304)</f>
        <v/>
      </c>
      <c r="Q304" s="7">
        <f>IF($U304="","",P304+M304)</f>
        <v/>
      </c>
      <c r="R304" s="7">
        <f>IF($U304="","",S304-Q304)</f>
        <v/>
      </c>
      <c r="S304" s="7">
        <f>IF($U304="","",L304+O304)</f>
        <v/>
      </c>
      <c r="T304" s="7">
        <f>IF($U304="","",S304-Q304-H304)</f>
        <v/>
      </c>
      <c r="U304" s="16">
        <f>IF(ROWS($U$2:$U304)&lt;=MAX('Per Line'!$V$2:$V$1501),MATCH(ROWS($U$2:$U304),'Per Line'!$V$2:$V$1501,0),"")</f>
        <v/>
      </c>
      <c r="V304">
        <f>IF($U304="","",B304&amp;"|"&amp;COUNTIF($B$2:$B304,B304))</f>
        <v/>
      </c>
    </row>
    <row r="305">
      <c r="A305">
        <f>IF($U305="","",INDEX('Per Line'!$B$2:$B$1501,$U305)&amp;"")</f>
        <v/>
      </c>
      <c r="B305">
        <f>IF($U305="","","COPY "&amp;G305&amp;" %")</f>
        <v/>
      </c>
      <c r="C305" s="15" t="n"/>
      <c r="D305">
        <f>IF($U305="","",INDEX('Per Line'!$C$2:$C$1501,$U305)&amp;"")</f>
        <v/>
      </c>
      <c r="E305">
        <f>IF($U305="","",INDEX('Per Line'!$D$2:$D$1501,$U305)&amp;"")</f>
        <v/>
      </c>
      <c r="F305">
        <f>IF($U305="","",INDEX('Per Line'!$E$2:$E$1501,$U305)&amp;"")</f>
        <v/>
      </c>
      <c r="G305">
        <f>IF($U305="","",INDEX('Per Line'!$F$2:$F$1501,$U305))</f>
        <v/>
      </c>
      <c r="H305" s="7">
        <f>IF($U305="","",G305*S305/100)</f>
        <v/>
      </c>
      <c r="I305" s="14">
        <f>IF($U305="","",INDEX('Per Line'!$R$2:$R$1501,$U305))</f>
        <v/>
      </c>
      <c r="J305">
        <f>IF($U305="","",INDEX('Per Line'!$Q$2:$Q$1501,$U305)&amp;"")</f>
        <v/>
      </c>
      <c r="K305">
        <f>IF($U305="","",Settings!$C$7)</f>
        <v/>
      </c>
      <c r="L305" s="7">
        <f>IF($U305="","",SUMIFS('Per Line'!$L$2:$L$1501,'Per Line'!$B$2:$B$1501,$A305,'Per Line'!$W$2:$W$1501,0))</f>
        <v/>
      </c>
      <c r="M305" s="7">
        <f>IF($U305="","",L305*K305)</f>
        <v/>
      </c>
      <c r="N305">
        <f>IF($U305="","",Settings!$C$6)</f>
        <v/>
      </c>
      <c r="O305" s="7">
        <f>IF($U305="","",SUMIFS('Per Line'!$L$2:$L$1501,'Per Line'!$B$2:$B$1501,$A305,'Per Line'!$W$2:$W$1501,1))</f>
        <v/>
      </c>
      <c r="P305" s="7">
        <f>IF($U305="","",O305*N305)</f>
        <v/>
      </c>
      <c r="Q305" s="7">
        <f>IF($U305="","",P305+M305)</f>
        <v/>
      </c>
      <c r="R305" s="7">
        <f>IF($U305="","",S305-Q305)</f>
        <v/>
      </c>
      <c r="S305" s="7">
        <f>IF($U305="","",L305+O305)</f>
        <v/>
      </c>
      <c r="T305" s="7">
        <f>IF($U305="","",S305-Q305-H305)</f>
        <v/>
      </c>
      <c r="U305" s="16">
        <f>IF(ROWS($U$2:$U305)&lt;=MAX('Per Line'!$V$2:$V$1501),MATCH(ROWS($U$2:$U305),'Per Line'!$V$2:$V$1501,0),"")</f>
        <v/>
      </c>
      <c r="V305">
        <f>IF($U305="","",B305&amp;"|"&amp;COUNTIF($B$2:$B305,B305))</f>
        <v/>
      </c>
    </row>
    <row r="306">
      <c r="A306">
        <f>IF($U306="","",INDEX('Per Line'!$B$2:$B$1501,$U306)&amp;"")</f>
        <v/>
      </c>
      <c r="B306">
        <f>IF($U306="","","COPY "&amp;G306&amp;" %")</f>
        <v/>
      </c>
      <c r="C306" s="15" t="n"/>
      <c r="D306">
        <f>IF($U306="","",INDEX('Per Line'!$C$2:$C$1501,$U306)&amp;"")</f>
        <v/>
      </c>
      <c r="E306">
        <f>IF($U306="","",INDEX('Per Line'!$D$2:$D$1501,$U306)&amp;"")</f>
        <v/>
      </c>
      <c r="F306">
        <f>IF($U306="","",INDEX('Per Line'!$E$2:$E$1501,$U306)&amp;"")</f>
        <v/>
      </c>
      <c r="G306">
        <f>IF($U306="","",INDEX('Per Line'!$F$2:$F$1501,$U306))</f>
        <v/>
      </c>
      <c r="H306" s="7">
        <f>IF($U306="","",G306*S306/100)</f>
        <v/>
      </c>
      <c r="I306" s="14">
        <f>IF($U306="","",INDEX('Per Line'!$R$2:$R$1501,$U306))</f>
        <v/>
      </c>
      <c r="J306">
        <f>IF($U306="","",INDEX('Per Line'!$Q$2:$Q$1501,$U306)&amp;"")</f>
        <v/>
      </c>
      <c r="K306">
        <f>IF($U306="","",Settings!$C$7)</f>
        <v/>
      </c>
      <c r="L306" s="7">
        <f>IF($U306="","",SUMIFS('Per Line'!$L$2:$L$1501,'Per Line'!$B$2:$B$1501,$A306,'Per Line'!$W$2:$W$1501,0))</f>
        <v/>
      </c>
      <c r="M306" s="7">
        <f>IF($U306="","",L306*K306)</f>
        <v/>
      </c>
      <c r="N306">
        <f>IF($U306="","",Settings!$C$6)</f>
        <v/>
      </c>
      <c r="O306" s="7">
        <f>IF($U306="","",SUMIFS('Per Line'!$L$2:$L$1501,'Per Line'!$B$2:$B$1501,$A306,'Per Line'!$W$2:$W$1501,1))</f>
        <v/>
      </c>
      <c r="P306" s="7">
        <f>IF($U306="","",O306*N306)</f>
        <v/>
      </c>
      <c r="Q306" s="7">
        <f>IF($U306="","",P306+M306)</f>
        <v/>
      </c>
      <c r="R306" s="7">
        <f>IF($U306="","",S306-Q306)</f>
        <v/>
      </c>
      <c r="S306" s="7">
        <f>IF($U306="","",L306+O306)</f>
        <v/>
      </c>
      <c r="T306" s="7">
        <f>IF($U306="","",S306-Q306-H306)</f>
        <v/>
      </c>
      <c r="U306" s="16">
        <f>IF(ROWS($U$2:$U306)&lt;=MAX('Per Line'!$V$2:$V$1501),MATCH(ROWS($U$2:$U306),'Per Line'!$V$2:$V$1501,0),"")</f>
        <v/>
      </c>
      <c r="V306">
        <f>IF($U306="","",B306&amp;"|"&amp;COUNTIF($B$2:$B306,B306))</f>
        <v/>
      </c>
    </row>
    <row r="307">
      <c r="A307">
        <f>IF($U307="","",INDEX('Per Line'!$B$2:$B$1501,$U307)&amp;"")</f>
        <v/>
      </c>
      <c r="B307">
        <f>IF($U307="","","COPY "&amp;G307&amp;" %")</f>
        <v/>
      </c>
      <c r="C307" s="15" t="n"/>
      <c r="D307">
        <f>IF($U307="","",INDEX('Per Line'!$C$2:$C$1501,$U307)&amp;"")</f>
        <v/>
      </c>
      <c r="E307">
        <f>IF($U307="","",INDEX('Per Line'!$D$2:$D$1501,$U307)&amp;"")</f>
        <v/>
      </c>
      <c r="F307">
        <f>IF($U307="","",INDEX('Per Line'!$E$2:$E$1501,$U307)&amp;"")</f>
        <v/>
      </c>
      <c r="G307">
        <f>IF($U307="","",INDEX('Per Line'!$F$2:$F$1501,$U307))</f>
        <v/>
      </c>
      <c r="H307" s="7">
        <f>IF($U307="","",G307*S307/100)</f>
        <v/>
      </c>
      <c r="I307" s="14">
        <f>IF($U307="","",INDEX('Per Line'!$R$2:$R$1501,$U307))</f>
        <v/>
      </c>
      <c r="J307">
        <f>IF($U307="","",INDEX('Per Line'!$Q$2:$Q$1501,$U307)&amp;"")</f>
        <v/>
      </c>
      <c r="K307">
        <f>IF($U307="","",Settings!$C$7)</f>
        <v/>
      </c>
      <c r="L307" s="7">
        <f>IF($U307="","",SUMIFS('Per Line'!$L$2:$L$1501,'Per Line'!$B$2:$B$1501,$A307,'Per Line'!$W$2:$W$1501,0))</f>
        <v/>
      </c>
      <c r="M307" s="7">
        <f>IF($U307="","",L307*K307)</f>
        <v/>
      </c>
      <c r="N307">
        <f>IF($U307="","",Settings!$C$6)</f>
        <v/>
      </c>
      <c r="O307" s="7">
        <f>IF($U307="","",SUMIFS('Per Line'!$L$2:$L$1501,'Per Line'!$B$2:$B$1501,$A307,'Per Line'!$W$2:$W$1501,1))</f>
        <v/>
      </c>
      <c r="P307" s="7">
        <f>IF($U307="","",O307*N307)</f>
        <v/>
      </c>
      <c r="Q307" s="7">
        <f>IF($U307="","",P307+M307)</f>
        <v/>
      </c>
      <c r="R307" s="7">
        <f>IF($U307="","",S307-Q307)</f>
        <v/>
      </c>
      <c r="S307" s="7">
        <f>IF($U307="","",L307+O307)</f>
        <v/>
      </c>
      <c r="T307" s="7">
        <f>IF($U307="","",S307-Q307-H307)</f>
        <v/>
      </c>
      <c r="U307" s="16">
        <f>IF(ROWS($U$2:$U307)&lt;=MAX('Per Line'!$V$2:$V$1501),MATCH(ROWS($U$2:$U307),'Per Line'!$V$2:$V$1501,0),"")</f>
        <v/>
      </c>
      <c r="V307">
        <f>IF($U307="","",B307&amp;"|"&amp;COUNTIF($B$2:$B307,B307))</f>
        <v/>
      </c>
    </row>
    <row r="308">
      <c r="A308">
        <f>IF($U308="","",INDEX('Per Line'!$B$2:$B$1501,$U308)&amp;"")</f>
        <v/>
      </c>
      <c r="B308">
        <f>IF($U308="","","COPY "&amp;G308&amp;" %")</f>
        <v/>
      </c>
      <c r="C308" s="15" t="n"/>
      <c r="D308">
        <f>IF($U308="","",INDEX('Per Line'!$C$2:$C$1501,$U308)&amp;"")</f>
        <v/>
      </c>
      <c r="E308">
        <f>IF($U308="","",INDEX('Per Line'!$D$2:$D$1501,$U308)&amp;"")</f>
        <v/>
      </c>
      <c r="F308">
        <f>IF($U308="","",INDEX('Per Line'!$E$2:$E$1501,$U308)&amp;"")</f>
        <v/>
      </c>
      <c r="G308">
        <f>IF($U308="","",INDEX('Per Line'!$F$2:$F$1501,$U308))</f>
        <v/>
      </c>
      <c r="H308" s="7">
        <f>IF($U308="","",G308*S308/100)</f>
        <v/>
      </c>
      <c r="I308" s="14">
        <f>IF($U308="","",INDEX('Per Line'!$R$2:$R$1501,$U308))</f>
        <v/>
      </c>
      <c r="J308">
        <f>IF($U308="","",INDEX('Per Line'!$Q$2:$Q$1501,$U308)&amp;"")</f>
        <v/>
      </c>
      <c r="K308">
        <f>IF($U308="","",Settings!$C$7)</f>
        <v/>
      </c>
      <c r="L308" s="7">
        <f>IF($U308="","",SUMIFS('Per Line'!$L$2:$L$1501,'Per Line'!$B$2:$B$1501,$A308,'Per Line'!$W$2:$W$1501,0))</f>
        <v/>
      </c>
      <c r="M308" s="7">
        <f>IF($U308="","",L308*K308)</f>
        <v/>
      </c>
      <c r="N308">
        <f>IF($U308="","",Settings!$C$6)</f>
        <v/>
      </c>
      <c r="O308" s="7">
        <f>IF($U308="","",SUMIFS('Per Line'!$L$2:$L$1501,'Per Line'!$B$2:$B$1501,$A308,'Per Line'!$W$2:$W$1501,1))</f>
        <v/>
      </c>
      <c r="P308" s="7">
        <f>IF($U308="","",O308*N308)</f>
        <v/>
      </c>
      <c r="Q308" s="7">
        <f>IF($U308="","",P308+M308)</f>
        <v/>
      </c>
      <c r="R308" s="7">
        <f>IF($U308="","",S308-Q308)</f>
        <v/>
      </c>
      <c r="S308" s="7">
        <f>IF($U308="","",L308+O308)</f>
        <v/>
      </c>
      <c r="T308" s="7">
        <f>IF($U308="","",S308-Q308-H308)</f>
        <v/>
      </c>
      <c r="U308" s="16">
        <f>IF(ROWS($U$2:$U308)&lt;=MAX('Per Line'!$V$2:$V$1501),MATCH(ROWS($U$2:$U308),'Per Line'!$V$2:$V$1501,0),"")</f>
        <v/>
      </c>
      <c r="V308">
        <f>IF($U308="","",B308&amp;"|"&amp;COUNTIF($B$2:$B308,B308))</f>
        <v/>
      </c>
    </row>
    <row r="309">
      <c r="A309">
        <f>IF($U309="","",INDEX('Per Line'!$B$2:$B$1501,$U309)&amp;"")</f>
        <v/>
      </c>
      <c r="B309">
        <f>IF($U309="","","COPY "&amp;G309&amp;" %")</f>
        <v/>
      </c>
      <c r="C309" s="15" t="n"/>
      <c r="D309">
        <f>IF($U309="","",INDEX('Per Line'!$C$2:$C$1501,$U309)&amp;"")</f>
        <v/>
      </c>
      <c r="E309">
        <f>IF($U309="","",INDEX('Per Line'!$D$2:$D$1501,$U309)&amp;"")</f>
        <v/>
      </c>
      <c r="F309">
        <f>IF($U309="","",INDEX('Per Line'!$E$2:$E$1501,$U309)&amp;"")</f>
        <v/>
      </c>
      <c r="G309">
        <f>IF($U309="","",INDEX('Per Line'!$F$2:$F$1501,$U309))</f>
        <v/>
      </c>
      <c r="H309" s="7">
        <f>IF($U309="","",G309*S309/100)</f>
        <v/>
      </c>
      <c r="I309" s="14">
        <f>IF($U309="","",INDEX('Per Line'!$R$2:$R$1501,$U309))</f>
        <v/>
      </c>
      <c r="J309">
        <f>IF($U309="","",INDEX('Per Line'!$Q$2:$Q$1501,$U309)&amp;"")</f>
        <v/>
      </c>
      <c r="K309">
        <f>IF($U309="","",Settings!$C$7)</f>
        <v/>
      </c>
      <c r="L309" s="7">
        <f>IF($U309="","",SUMIFS('Per Line'!$L$2:$L$1501,'Per Line'!$B$2:$B$1501,$A309,'Per Line'!$W$2:$W$1501,0))</f>
        <v/>
      </c>
      <c r="M309" s="7">
        <f>IF($U309="","",L309*K309)</f>
        <v/>
      </c>
      <c r="N309">
        <f>IF($U309="","",Settings!$C$6)</f>
        <v/>
      </c>
      <c r="O309" s="7">
        <f>IF($U309="","",SUMIFS('Per Line'!$L$2:$L$1501,'Per Line'!$B$2:$B$1501,$A309,'Per Line'!$W$2:$W$1501,1))</f>
        <v/>
      </c>
      <c r="P309" s="7">
        <f>IF($U309="","",O309*N309)</f>
        <v/>
      </c>
      <c r="Q309" s="7">
        <f>IF($U309="","",P309+M309)</f>
        <v/>
      </c>
      <c r="R309" s="7">
        <f>IF($U309="","",S309-Q309)</f>
        <v/>
      </c>
      <c r="S309" s="7">
        <f>IF($U309="","",L309+O309)</f>
        <v/>
      </c>
      <c r="T309" s="7">
        <f>IF($U309="","",S309-Q309-H309)</f>
        <v/>
      </c>
      <c r="U309" s="16">
        <f>IF(ROWS($U$2:$U309)&lt;=MAX('Per Line'!$V$2:$V$1501),MATCH(ROWS($U$2:$U309),'Per Line'!$V$2:$V$1501,0),"")</f>
        <v/>
      </c>
      <c r="V309">
        <f>IF($U309="","",B309&amp;"|"&amp;COUNTIF($B$2:$B309,B309))</f>
        <v/>
      </c>
    </row>
    <row r="310">
      <c r="A310">
        <f>IF($U310="","",INDEX('Per Line'!$B$2:$B$1501,$U310)&amp;"")</f>
        <v/>
      </c>
      <c r="B310">
        <f>IF($U310="","","COPY "&amp;G310&amp;" %")</f>
        <v/>
      </c>
      <c r="C310" s="15" t="n"/>
      <c r="D310">
        <f>IF($U310="","",INDEX('Per Line'!$C$2:$C$1501,$U310)&amp;"")</f>
        <v/>
      </c>
      <c r="E310">
        <f>IF($U310="","",INDEX('Per Line'!$D$2:$D$1501,$U310)&amp;"")</f>
        <v/>
      </c>
      <c r="F310">
        <f>IF($U310="","",INDEX('Per Line'!$E$2:$E$1501,$U310)&amp;"")</f>
        <v/>
      </c>
      <c r="G310">
        <f>IF($U310="","",INDEX('Per Line'!$F$2:$F$1501,$U310))</f>
        <v/>
      </c>
      <c r="H310" s="7">
        <f>IF($U310="","",G310*S310/100)</f>
        <v/>
      </c>
      <c r="I310" s="14">
        <f>IF($U310="","",INDEX('Per Line'!$R$2:$R$1501,$U310))</f>
        <v/>
      </c>
      <c r="J310">
        <f>IF($U310="","",INDEX('Per Line'!$Q$2:$Q$1501,$U310)&amp;"")</f>
        <v/>
      </c>
      <c r="K310">
        <f>IF($U310="","",Settings!$C$7)</f>
        <v/>
      </c>
      <c r="L310" s="7">
        <f>IF($U310="","",SUMIFS('Per Line'!$L$2:$L$1501,'Per Line'!$B$2:$B$1501,$A310,'Per Line'!$W$2:$W$1501,0))</f>
        <v/>
      </c>
      <c r="M310" s="7">
        <f>IF($U310="","",L310*K310)</f>
        <v/>
      </c>
      <c r="N310">
        <f>IF($U310="","",Settings!$C$6)</f>
        <v/>
      </c>
      <c r="O310" s="7">
        <f>IF($U310="","",SUMIFS('Per Line'!$L$2:$L$1501,'Per Line'!$B$2:$B$1501,$A310,'Per Line'!$W$2:$W$1501,1))</f>
        <v/>
      </c>
      <c r="P310" s="7">
        <f>IF($U310="","",O310*N310)</f>
        <v/>
      </c>
      <c r="Q310" s="7">
        <f>IF($U310="","",P310+M310)</f>
        <v/>
      </c>
      <c r="R310" s="7">
        <f>IF($U310="","",S310-Q310)</f>
        <v/>
      </c>
      <c r="S310" s="7">
        <f>IF($U310="","",L310+O310)</f>
        <v/>
      </c>
      <c r="T310" s="7">
        <f>IF($U310="","",S310-Q310-H310)</f>
        <v/>
      </c>
      <c r="U310" s="16">
        <f>IF(ROWS($U$2:$U310)&lt;=MAX('Per Line'!$V$2:$V$1501),MATCH(ROWS($U$2:$U310),'Per Line'!$V$2:$V$1501,0),"")</f>
        <v/>
      </c>
      <c r="V310">
        <f>IF($U310="","",B310&amp;"|"&amp;COUNTIF($B$2:$B310,B310))</f>
        <v/>
      </c>
    </row>
    <row r="311">
      <c r="A311">
        <f>IF($U311="","",INDEX('Per Line'!$B$2:$B$1501,$U311)&amp;"")</f>
        <v/>
      </c>
      <c r="B311">
        <f>IF($U311="","","COPY "&amp;G311&amp;" %")</f>
        <v/>
      </c>
      <c r="C311" s="15" t="n"/>
      <c r="D311">
        <f>IF($U311="","",INDEX('Per Line'!$C$2:$C$1501,$U311)&amp;"")</f>
        <v/>
      </c>
      <c r="E311">
        <f>IF($U311="","",INDEX('Per Line'!$D$2:$D$1501,$U311)&amp;"")</f>
        <v/>
      </c>
      <c r="F311">
        <f>IF($U311="","",INDEX('Per Line'!$E$2:$E$1501,$U311)&amp;"")</f>
        <v/>
      </c>
      <c r="G311">
        <f>IF($U311="","",INDEX('Per Line'!$F$2:$F$1501,$U311))</f>
        <v/>
      </c>
      <c r="H311" s="7">
        <f>IF($U311="","",G311*S311/100)</f>
        <v/>
      </c>
      <c r="I311" s="14">
        <f>IF($U311="","",INDEX('Per Line'!$R$2:$R$1501,$U311))</f>
        <v/>
      </c>
      <c r="J311">
        <f>IF($U311="","",INDEX('Per Line'!$Q$2:$Q$1501,$U311)&amp;"")</f>
        <v/>
      </c>
      <c r="K311">
        <f>IF($U311="","",Settings!$C$7)</f>
        <v/>
      </c>
      <c r="L311" s="7">
        <f>IF($U311="","",SUMIFS('Per Line'!$L$2:$L$1501,'Per Line'!$B$2:$B$1501,$A311,'Per Line'!$W$2:$W$1501,0))</f>
        <v/>
      </c>
      <c r="M311" s="7">
        <f>IF($U311="","",L311*K311)</f>
        <v/>
      </c>
      <c r="N311">
        <f>IF($U311="","",Settings!$C$6)</f>
        <v/>
      </c>
      <c r="O311" s="7">
        <f>IF($U311="","",SUMIFS('Per Line'!$L$2:$L$1501,'Per Line'!$B$2:$B$1501,$A311,'Per Line'!$W$2:$W$1501,1))</f>
        <v/>
      </c>
      <c r="P311" s="7">
        <f>IF($U311="","",O311*N311)</f>
        <v/>
      </c>
      <c r="Q311" s="7">
        <f>IF($U311="","",P311+M311)</f>
        <v/>
      </c>
      <c r="R311" s="7">
        <f>IF($U311="","",S311-Q311)</f>
        <v/>
      </c>
      <c r="S311" s="7">
        <f>IF($U311="","",L311+O311)</f>
        <v/>
      </c>
      <c r="T311" s="7">
        <f>IF($U311="","",S311-Q311-H311)</f>
        <v/>
      </c>
      <c r="U311" s="16">
        <f>IF(ROWS($U$2:$U311)&lt;=MAX('Per Line'!$V$2:$V$1501),MATCH(ROWS($U$2:$U311),'Per Line'!$V$2:$V$1501,0),"")</f>
        <v/>
      </c>
      <c r="V311">
        <f>IF($U311="","",B311&amp;"|"&amp;COUNTIF($B$2:$B311,B311))</f>
        <v/>
      </c>
    </row>
    <row r="312">
      <c r="A312">
        <f>IF($U312="","",INDEX('Per Line'!$B$2:$B$1501,$U312)&amp;"")</f>
        <v/>
      </c>
      <c r="B312">
        <f>IF($U312="","","COPY "&amp;G312&amp;" %")</f>
        <v/>
      </c>
      <c r="C312" s="15" t="n"/>
      <c r="D312">
        <f>IF($U312="","",INDEX('Per Line'!$C$2:$C$1501,$U312)&amp;"")</f>
        <v/>
      </c>
      <c r="E312">
        <f>IF($U312="","",INDEX('Per Line'!$D$2:$D$1501,$U312)&amp;"")</f>
        <v/>
      </c>
      <c r="F312">
        <f>IF($U312="","",INDEX('Per Line'!$E$2:$E$1501,$U312)&amp;"")</f>
        <v/>
      </c>
      <c r="G312">
        <f>IF($U312="","",INDEX('Per Line'!$F$2:$F$1501,$U312))</f>
        <v/>
      </c>
      <c r="H312" s="7">
        <f>IF($U312="","",G312*S312/100)</f>
        <v/>
      </c>
      <c r="I312" s="14">
        <f>IF($U312="","",INDEX('Per Line'!$R$2:$R$1501,$U312))</f>
        <v/>
      </c>
      <c r="J312">
        <f>IF($U312="","",INDEX('Per Line'!$Q$2:$Q$1501,$U312)&amp;"")</f>
        <v/>
      </c>
      <c r="K312">
        <f>IF($U312="","",Settings!$C$7)</f>
        <v/>
      </c>
      <c r="L312" s="7">
        <f>IF($U312="","",SUMIFS('Per Line'!$L$2:$L$1501,'Per Line'!$B$2:$B$1501,$A312,'Per Line'!$W$2:$W$1501,0))</f>
        <v/>
      </c>
      <c r="M312" s="7">
        <f>IF($U312="","",L312*K312)</f>
        <v/>
      </c>
      <c r="N312">
        <f>IF($U312="","",Settings!$C$6)</f>
        <v/>
      </c>
      <c r="O312" s="7">
        <f>IF($U312="","",SUMIFS('Per Line'!$L$2:$L$1501,'Per Line'!$B$2:$B$1501,$A312,'Per Line'!$W$2:$W$1501,1))</f>
        <v/>
      </c>
      <c r="P312" s="7">
        <f>IF($U312="","",O312*N312)</f>
        <v/>
      </c>
      <c r="Q312" s="7">
        <f>IF($U312="","",P312+M312)</f>
        <v/>
      </c>
      <c r="R312" s="7">
        <f>IF($U312="","",S312-Q312)</f>
        <v/>
      </c>
      <c r="S312" s="7">
        <f>IF($U312="","",L312+O312)</f>
        <v/>
      </c>
      <c r="T312" s="7">
        <f>IF($U312="","",S312-Q312-H312)</f>
        <v/>
      </c>
      <c r="U312" s="16">
        <f>IF(ROWS($U$2:$U312)&lt;=MAX('Per Line'!$V$2:$V$1501),MATCH(ROWS($U$2:$U312),'Per Line'!$V$2:$V$1501,0),"")</f>
        <v/>
      </c>
      <c r="V312">
        <f>IF($U312="","",B312&amp;"|"&amp;COUNTIF($B$2:$B312,B312))</f>
        <v/>
      </c>
    </row>
    <row r="313">
      <c r="A313">
        <f>IF($U313="","",INDEX('Per Line'!$B$2:$B$1501,$U313)&amp;"")</f>
        <v/>
      </c>
      <c r="B313">
        <f>IF($U313="","","COPY "&amp;G313&amp;" %")</f>
        <v/>
      </c>
      <c r="C313" s="15" t="n"/>
      <c r="D313">
        <f>IF($U313="","",INDEX('Per Line'!$C$2:$C$1501,$U313)&amp;"")</f>
        <v/>
      </c>
      <c r="E313">
        <f>IF($U313="","",INDEX('Per Line'!$D$2:$D$1501,$U313)&amp;"")</f>
        <v/>
      </c>
      <c r="F313">
        <f>IF($U313="","",INDEX('Per Line'!$E$2:$E$1501,$U313)&amp;"")</f>
        <v/>
      </c>
      <c r="G313">
        <f>IF($U313="","",INDEX('Per Line'!$F$2:$F$1501,$U313))</f>
        <v/>
      </c>
      <c r="H313" s="7">
        <f>IF($U313="","",G313*S313/100)</f>
        <v/>
      </c>
      <c r="I313" s="14">
        <f>IF($U313="","",INDEX('Per Line'!$R$2:$R$1501,$U313))</f>
        <v/>
      </c>
      <c r="J313">
        <f>IF($U313="","",INDEX('Per Line'!$Q$2:$Q$1501,$U313)&amp;"")</f>
        <v/>
      </c>
      <c r="K313">
        <f>IF($U313="","",Settings!$C$7)</f>
        <v/>
      </c>
      <c r="L313" s="7">
        <f>IF($U313="","",SUMIFS('Per Line'!$L$2:$L$1501,'Per Line'!$B$2:$B$1501,$A313,'Per Line'!$W$2:$W$1501,0))</f>
        <v/>
      </c>
      <c r="M313" s="7">
        <f>IF($U313="","",L313*K313)</f>
        <v/>
      </c>
      <c r="N313">
        <f>IF($U313="","",Settings!$C$6)</f>
        <v/>
      </c>
      <c r="O313" s="7">
        <f>IF($U313="","",SUMIFS('Per Line'!$L$2:$L$1501,'Per Line'!$B$2:$B$1501,$A313,'Per Line'!$W$2:$W$1501,1))</f>
        <v/>
      </c>
      <c r="P313" s="7">
        <f>IF($U313="","",O313*N313)</f>
        <v/>
      </c>
      <c r="Q313" s="7">
        <f>IF($U313="","",P313+M313)</f>
        <v/>
      </c>
      <c r="R313" s="7">
        <f>IF($U313="","",S313-Q313)</f>
        <v/>
      </c>
      <c r="S313" s="7">
        <f>IF($U313="","",L313+O313)</f>
        <v/>
      </c>
      <c r="T313" s="7">
        <f>IF($U313="","",S313-Q313-H313)</f>
        <v/>
      </c>
      <c r="U313" s="16">
        <f>IF(ROWS($U$2:$U313)&lt;=MAX('Per Line'!$V$2:$V$1501),MATCH(ROWS($U$2:$U313),'Per Line'!$V$2:$V$1501,0),"")</f>
        <v/>
      </c>
      <c r="V313">
        <f>IF($U313="","",B313&amp;"|"&amp;COUNTIF($B$2:$B313,B313))</f>
        <v/>
      </c>
    </row>
    <row r="314">
      <c r="A314">
        <f>IF($U314="","",INDEX('Per Line'!$B$2:$B$1501,$U314)&amp;"")</f>
        <v/>
      </c>
      <c r="B314">
        <f>IF($U314="","","COPY "&amp;G314&amp;" %")</f>
        <v/>
      </c>
      <c r="C314" s="15" t="n"/>
      <c r="D314">
        <f>IF($U314="","",INDEX('Per Line'!$C$2:$C$1501,$U314)&amp;"")</f>
        <v/>
      </c>
      <c r="E314">
        <f>IF($U314="","",INDEX('Per Line'!$D$2:$D$1501,$U314)&amp;"")</f>
        <v/>
      </c>
      <c r="F314">
        <f>IF($U314="","",INDEX('Per Line'!$E$2:$E$1501,$U314)&amp;"")</f>
        <v/>
      </c>
      <c r="G314">
        <f>IF($U314="","",INDEX('Per Line'!$F$2:$F$1501,$U314))</f>
        <v/>
      </c>
      <c r="H314" s="7">
        <f>IF($U314="","",G314*S314/100)</f>
        <v/>
      </c>
      <c r="I314" s="14">
        <f>IF($U314="","",INDEX('Per Line'!$R$2:$R$1501,$U314))</f>
        <v/>
      </c>
      <c r="J314">
        <f>IF($U314="","",INDEX('Per Line'!$Q$2:$Q$1501,$U314)&amp;"")</f>
        <v/>
      </c>
      <c r="K314">
        <f>IF($U314="","",Settings!$C$7)</f>
        <v/>
      </c>
      <c r="L314" s="7">
        <f>IF($U314="","",SUMIFS('Per Line'!$L$2:$L$1501,'Per Line'!$B$2:$B$1501,$A314,'Per Line'!$W$2:$W$1501,0))</f>
        <v/>
      </c>
      <c r="M314" s="7">
        <f>IF($U314="","",L314*K314)</f>
        <v/>
      </c>
      <c r="N314">
        <f>IF($U314="","",Settings!$C$6)</f>
        <v/>
      </c>
      <c r="O314" s="7">
        <f>IF($U314="","",SUMIFS('Per Line'!$L$2:$L$1501,'Per Line'!$B$2:$B$1501,$A314,'Per Line'!$W$2:$W$1501,1))</f>
        <v/>
      </c>
      <c r="P314" s="7">
        <f>IF($U314="","",O314*N314)</f>
        <v/>
      </c>
      <c r="Q314" s="7">
        <f>IF($U314="","",P314+M314)</f>
        <v/>
      </c>
      <c r="R314" s="7">
        <f>IF($U314="","",S314-Q314)</f>
        <v/>
      </c>
      <c r="S314" s="7">
        <f>IF($U314="","",L314+O314)</f>
        <v/>
      </c>
      <c r="T314" s="7">
        <f>IF($U314="","",S314-Q314-H314)</f>
        <v/>
      </c>
      <c r="U314" s="16">
        <f>IF(ROWS($U$2:$U314)&lt;=MAX('Per Line'!$V$2:$V$1501),MATCH(ROWS($U$2:$U314),'Per Line'!$V$2:$V$1501,0),"")</f>
        <v/>
      </c>
      <c r="V314">
        <f>IF($U314="","",B314&amp;"|"&amp;COUNTIF($B$2:$B314,B314))</f>
        <v/>
      </c>
    </row>
    <row r="315">
      <c r="A315">
        <f>IF($U315="","",INDEX('Per Line'!$B$2:$B$1501,$U315)&amp;"")</f>
        <v/>
      </c>
      <c r="B315">
        <f>IF($U315="","","COPY "&amp;G315&amp;" %")</f>
        <v/>
      </c>
      <c r="C315" s="15" t="n"/>
      <c r="D315">
        <f>IF($U315="","",INDEX('Per Line'!$C$2:$C$1501,$U315)&amp;"")</f>
        <v/>
      </c>
      <c r="E315">
        <f>IF($U315="","",INDEX('Per Line'!$D$2:$D$1501,$U315)&amp;"")</f>
        <v/>
      </c>
      <c r="F315">
        <f>IF($U315="","",INDEX('Per Line'!$E$2:$E$1501,$U315)&amp;"")</f>
        <v/>
      </c>
      <c r="G315">
        <f>IF($U315="","",INDEX('Per Line'!$F$2:$F$1501,$U315))</f>
        <v/>
      </c>
      <c r="H315" s="7">
        <f>IF($U315="","",G315*S315/100)</f>
        <v/>
      </c>
      <c r="I315" s="14">
        <f>IF($U315="","",INDEX('Per Line'!$R$2:$R$1501,$U315))</f>
        <v/>
      </c>
      <c r="J315">
        <f>IF($U315="","",INDEX('Per Line'!$Q$2:$Q$1501,$U315)&amp;"")</f>
        <v/>
      </c>
      <c r="K315">
        <f>IF($U315="","",Settings!$C$7)</f>
        <v/>
      </c>
      <c r="L315" s="7">
        <f>IF($U315="","",SUMIFS('Per Line'!$L$2:$L$1501,'Per Line'!$B$2:$B$1501,$A315,'Per Line'!$W$2:$W$1501,0))</f>
        <v/>
      </c>
      <c r="M315" s="7">
        <f>IF($U315="","",L315*K315)</f>
        <v/>
      </c>
      <c r="N315">
        <f>IF($U315="","",Settings!$C$6)</f>
        <v/>
      </c>
      <c r="O315" s="7">
        <f>IF($U315="","",SUMIFS('Per Line'!$L$2:$L$1501,'Per Line'!$B$2:$B$1501,$A315,'Per Line'!$W$2:$W$1501,1))</f>
        <v/>
      </c>
      <c r="P315" s="7">
        <f>IF($U315="","",O315*N315)</f>
        <v/>
      </c>
      <c r="Q315" s="7">
        <f>IF($U315="","",P315+M315)</f>
        <v/>
      </c>
      <c r="R315" s="7">
        <f>IF($U315="","",S315-Q315)</f>
        <v/>
      </c>
      <c r="S315" s="7">
        <f>IF($U315="","",L315+O315)</f>
        <v/>
      </c>
      <c r="T315" s="7">
        <f>IF($U315="","",S315-Q315-H315)</f>
        <v/>
      </c>
      <c r="U315" s="16">
        <f>IF(ROWS($U$2:$U315)&lt;=MAX('Per Line'!$V$2:$V$1501),MATCH(ROWS($U$2:$U315),'Per Line'!$V$2:$V$1501,0),"")</f>
        <v/>
      </c>
      <c r="V315">
        <f>IF($U315="","",B315&amp;"|"&amp;COUNTIF($B$2:$B315,B315))</f>
        <v/>
      </c>
    </row>
    <row r="316">
      <c r="A316">
        <f>IF($U316="","",INDEX('Per Line'!$B$2:$B$1501,$U316)&amp;"")</f>
        <v/>
      </c>
      <c r="B316">
        <f>IF($U316="","","COPY "&amp;G316&amp;" %")</f>
        <v/>
      </c>
      <c r="C316" s="15" t="n"/>
      <c r="D316">
        <f>IF($U316="","",INDEX('Per Line'!$C$2:$C$1501,$U316)&amp;"")</f>
        <v/>
      </c>
      <c r="E316">
        <f>IF($U316="","",INDEX('Per Line'!$D$2:$D$1501,$U316)&amp;"")</f>
        <v/>
      </c>
      <c r="F316">
        <f>IF($U316="","",INDEX('Per Line'!$E$2:$E$1501,$U316)&amp;"")</f>
        <v/>
      </c>
      <c r="G316">
        <f>IF($U316="","",INDEX('Per Line'!$F$2:$F$1501,$U316))</f>
        <v/>
      </c>
      <c r="H316" s="7">
        <f>IF($U316="","",G316*S316/100)</f>
        <v/>
      </c>
      <c r="I316" s="14">
        <f>IF($U316="","",INDEX('Per Line'!$R$2:$R$1501,$U316))</f>
        <v/>
      </c>
      <c r="J316">
        <f>IF($U316="","",INDEX('Per Line'!$Q$2:$Q$1501,$U316)&amp;"")</f>
        <v/>
      </c>
      <c r="K316">
        <f>IF($U316="","",Settings!$C$7)</f>
        <v/>
      </c>
      <c r="L316" s="7">
        <f>IF($U316="","",SUMIFS('Per Line'!$L$2:$L$1501,'Per Line'!$B$2:$B$1501,$A316,'Per Line'!$W$2:$W$1501,0))</f>
        <v/>
      </c>
      <c r="M316" s="7">
        <f>IF($U316="","",L316*K316)</f>
        <v/>
      </c>
      <c r="N316">
        <f>IF($U316="","",Settings!$C$6)</f>
        <v/>
      </c>
      <c r="O316" s="7">
        <f>IF($U316="","",SUMIFS('Per Line'!$L$2:$L$1501,'Per Line'!$B$2:$B$1501,$A316,'Per Line'!$W$2:$W$1501,1))</f>
        <v/>
      </c>
      <c r="P316" s="7">
        <f>IF($U316="","",O316*N316)</f>
        <v/>
      </c>
      <c r="Q316" s="7">
        <f>IF($U316="","",P316+M316)</f>
        <v/>
      </c>
      <c r="R316" s="7">
        <f>IF($U316="","",S316-Q316)</f>
        <v/>
      </c>
      <c r="S316" s="7">
        <f>IF($U316="","",L316+O316)</f>
        <v/>
      </c>
      <c r="T316" s="7">
        <f>IF($U316="","",S316-Q316-H316)</f>
        <v/>
      </c>
      <c r="U316" s="16">
        <f>IF(ROWS($U$2:$U316)&lt;=MAX('Per Line'!$V$2:$V$1501),MATCH(ROWS($U$2:$U316),'Per Line'!$V$2:$V$1501,0),"")</f>
        <v/>
      </c>
      <c r="V316">
        <f>IF($U316="","",B316&amp;"|"&amp;COUNTIF($B$2:$B316,B316))</f>
        <v/>
      </c>
    </row>
    <row r="317">
      <c r="A317">
        <f>IF($U317="","",INDEX('Per Line'!$B$2:$B$1501,$U317)&amp;"")</f>
        <v/>
      </c>
      <c r="B317">
        <f>IF($U317="","","COPY "&amp;G317&amp;" %")</f>
        <v/>
      </c>
      <c r="C317" s="15" t="n"/>
      <c r="D317">
        <f>IF($U317="","",INDEX('Per Line'!$C$2:$C$1501,$U317)&amp;"")</f>
        <v/>
      </c>
      <c r="E317">
        <f>IF($U317="","",INDEX('Per Line'!$D$2:$D$1501,$U317)&amp;"")</f>
        <v/>
      </c>
      <c r="F317">
        <f>IF($U317="","",INDEX('Per Line'!$E$2:$E$1501,$U317)&amp;"")</f>
        <v/>
      </c>
      <c r="G317">
        <f>IF($U317="","",INDEX('Per Line'!$F$2:$F$1501,$U317))</f>
        <v/>
      </c>
      <c r="H317" s="7">
        <f>IF($U317="","",G317*S317/100)</f>
        <v/>
      </c>
      <c r="I317" s="14">
        <f>IF($U317="","",INDEX('Per Line'!$R$2:$R$1501,$U317))</f>
        <v/>
      </c>
      <c r="J317">
        <f>IF($U317="","",INDEX('Per Line'!$Q$2:$Q$1501,$U317)&amp;"")</f>
        <v/>
      </c>
      <c r="K317">
        <f>IF($U317="","",Settings!$C$7)</f>
        <v/>
      </c>
      <c r="L317" s="7">
        <f>IF($U317="","",SUMIFS('Per Line'!$L$2:$L$1501,'Per Line'!$B$2:$B$1501,$A317,'Per Line'!$W$2:$W$1501,0))</f>
        <v/>
      </c>
      <c r="M317" s="7">
        <f>IF($U317="","",L317*K317)</f>
        <v/>
      </c>
      <c r="N317">
        <f>IF($U317="","",Settings!$C$6)</f>
        <v/>
      </c>
      <c r="O317" s="7">
        <f>IF($U317="","",SUMIFS('Per Line'!$L$2:$L$1501,'Per Line'!$B$2:$B$1501,$A317,'Per Line'!$W$2:$W$1501,1))</f>
        <v/>
      </c>
      <c r="P317" s="7">
        <f>IF($U317="","",O317*N317)</f>
        <v/>
      </c>
      <c r="Q317" s="7">
        <f>IF($U317="","",P317+M317)</f>
        <v/>
      </c>
      <c r="R317" s="7">
        <f>IF($U317="","",S317-Q317)</f>
        <v/>
      </c>
      <c r="S317" s="7">
        <f>IF($U317="","",L317+O317)</f>
        <v/>
      </c>
      <c r="T317" s="7">
        <f>IF($U317="","",S317-Q317-H317)</f>
        <v/>
      </c>
      <c r="U317" s="16">
        <f>IF(ROWS($U$2:$U317)&lt;=MAX('Per Line'!$V$2:$V$1501),MATCH(ROWS($U$2:$U317),'Per Line'!$V$2:$V$1501,0),"")</f>
        <v/>
      </c>
      <c r="V317">
        <f>IF($U317="","",B317&amp;"|"&amp;COUNTIF($B$2:$B317,B317))</f>
        <v/>
      </c>
    </row>
    <row r="318">
      <c r="A318">
        <f>IF($U318="","",INDEX('Per Line'!$B$2:$B$1501,$U318)&amp;"")</f>
        <v/>
      </c>
      <c r="B318">
        <f>IF($U318="","","COPY "&amp;G318&amp;" %")</f>
        <v/>
      </c>
      <c r="C318" s="15" t="n"/>
      <c r="D318">
        <f>IF($U318="","",INDEX('Per Line'!$C$2:$C$1501,$U318)&amp;"")</f>
        <v/>
      </c>
      <c r="E318">
        <f>IF($U318="","",INDEX('Per Line'!$D$2:$D$1501,$U318)&amp;"")</f>
        <v/>
      </c>
      <c r="F318">
        <f>IF($U318="","",INDEX('Per Line'!$E$2:$E$1501,$U318)&amp;"")</f>
        <v/>
      </c>
      <c r="G318">
        <f>IF($U318="","",INDEX('Per Line'!$F$2:$F$1501,$U318))</f>
        <v/>
      </c>
      <c r="H318" s="7">
        <f>IF($U318="","",G318*S318/100)</f>
        <v/>
      </c>
      <c r="I318" s="14">
        <f>IF($U318="","",INDEX('Per Line'!$R$2:$R$1501,$U318))</f>
        <v/>
      </c>
      <c r="J318">
        <f>IF($U318="","",INDEX('Per Line'!$Q$2:$Q$1501,$U318)&amp;"")</f>
        <v/>
      </c>
      <c r="K318">
        <f>IF($U318="","",Settings!$C$7)</f>
        <v/>
      </c>
      <c r="L318" s="7">
        <f>IF($U318="","",SUMIFS('Per Line'!$L$2:$L$1501,'Per Line'!$B$2:$B$1501,$A318,'Per Line'!$W$2:$W$1501,0))</f>
        <v/>
      </c>
      <c r="M318" s="7">
        <f>IF($U318="","",L318*K318)</f>
        <v/>
      </c>
      <c r="N318">
        <f>IF($U318="","",Settings!$C$6)</f>
        <v/>
      </c>
      <c r="O318" s="7">
        <f>IF($U318="","",SUMIFS('Per Line'!$L$2:$L$1501,'Per Line'!$B$2:$B$1501,$A318,'Per Line'!$W$2:$W$1501,1))</f>
        <v/>
      </c>
      <c r="P318" s="7">
        <f>IF($U318="","",O318*N318)</f>
        <v/>
      </c>
      <c r="Q318" s="7">
        <f>IF($U318="","",P318+M318)</f>
        <v/>
      </c>
      <c r="R318" s="7">
        <f>IF($U318="","",S318-Q318)</f>
        <v/>
      </c>
      <c r="S318" s="7">
        <f>IF($U318="","",L318+O318)</f>
        <v/>
      </c>
      <c r="T318" s="7">
        <f>IF($U318="","",S318-Q318-H318)</f>
        <v/>
      </c>
      <c r="U318" s="16">
        <f>IF(ROWS($U$2:$U318)&lt;=MAX('Per Line'!$V$2:$V$1501),MATCH(ROWS($U$2:$U318),'Per Line'!$V$2:$V$1501,0),"")</f>
        <v/>
      </c>
      <c r="V318">
        <f>IF($U318="","",B318&amp;"|"&amp;COUNTIF($B$2:$B318,B318))</f>
        <v/>
      </c>
    </row>
    <row r="319">
      <c r="A319">
        <f>IF($U319="","",INDEX('Per Line'!$B$2:$B$1501,$U319)&amp;"")</f>
        <v/>
      </c>
      <c r="B319">
        <f>IF($U319="","","COPY "&amp;G319&amp;" %")</f>
        <v/>
      </c>
      <c r="C319" s="15" t="n"/>
      <c r="D319">
        <f>IF($U319="","",INDEX('Per Line'!$C$2:$C$1501,$U319)&amp;"")</f>
        <v/>
      </c>
      <c r="E319">
        <f>IF($U319="","",INDEX('Per Line'!$D$2:$D$1501,$U319)&amp;"")</f>
        <v/>
      </c>
      <c r="F319">
        <f>IF($U319="","",INDEX('Per Line'!$E$2:$E$1501,$U319)&amp;"")</f>
        <v/>
      </c>
      <c r="G319">
        <f>IF($U319="","",INDEX('Per Line'!$F$2:$F$1501,$U319))</f>
        <v/>
      </c>
      <c r="H319" s="7">
        <f>IF($U319="","",G319*S319/100)</f>
        <v/>
      </c>
      <c r="I319" s="14">
        <f>IF($U319="","",INDEX('Per Line'!$R$2:$R$1501,$U319))</f>
        <v/>
      </c>
      <c r="J319">
        <f>IF($U319="","",INDEX('Per Line'!$Q$2:$Q$1501,$U319)&amp;"")</f>
        <v/>
      </c>
      <c r="K319">
        <f>IF($U319="","",Settings!$C$7)</f>
        <v/>
      </c>
      <c r="L319" s="7">
        <f>IF($U319="","",SUMIFS('Per Line'!$L$2:$L$1501,'Per Line'!$B$2:$B$1501,$A319,'Per Line'!$W$2:$W$1501,0))</f>
        <v/>
      </c>
      <c r="M319" s="7">
        <f>IF($U319="","",L319*K319)</f>
        <v/>
      </c>
      <c r="N319">
        <f>IF($U319="","",Settings!$C$6)</f>
        <v/>
      </c>
      <c r="O319" s="7">
        <f>IF($U319="","",SUMIFS('Per Line'!$L$2:$L$1501,'Per Line'!$B$2:$B$1501,$A319,'Per Line'!$W$2:$W$1501,1))</f>
        <v/>
      </c>
      <c r="P319" s="7">
        <f>IF($U319="","",O319*N319)</f>
        <v/>
      </c>
      <c r="Q319" s="7">
        <f>IF($U319="","",P319+M319)</f>
        <v/>
      </c>
      <c r="R319" s="7">
        <f>IF($U319="","",S319-Q319)</f>
        <v/>
      </c>
      <c r="S319" s="7">
        <f>IF($U319="","",L319+O319)</f>
        <v/>
      </c>
      <c r="T319" s="7">
        <f>IF($U319="","",S319-Q319-H319)</f>
        <v/>
      </c>
      <c r="U319" s="16">
        <f>IF(ROWS($U$2:$U319)&lt;=MAX('Per Line'!$V$2:$V$1501),MATCH(ROWS($U$2:$U319),'Per Line'!$V$2:$V$1501,0),"")</f>
        <v/>
      </c>
      <c r="V319">
        <f>IF($U319="","",B319&amp;"|"&amp;COUNTIF($B$2:$B319,B319))</f>
        <v/>
      </c>
    </row>
    <row r="320">
      <c r="A320">
        <f>IF($U320="","",INDEX('Per Line'!$B$2:$B$1501,$U320)&amp;"")</f>
        <v/>
      </c>
      <c r="B320">
        <f>IF($U320="","","COPY "&amp;G320&amp;" %")</f>
        <v/>
      </c>
      <c r="C320" s="15" t="n"/>
      <c r="D320">
        <f>IF($U320="","",INDEX('Per Line'!$C$2:$C$1501,$U320)&amp;"")</f>
        <v/>
      </c>
      <c r="E320">
        <f>IF($U320="","",INDEX('Per Line'!$D$2:$D$1501,$U320)&amp;"")</f>
        <v/>
      </c>
      <c r="F320">
        <f>IF($U320="","",INDEX('Per Line'!$E$2:$E$1501,$U320)&amp;"")</f>
        <v/>
      </c>
      <c r="G320">
        <f>IF($U320="","",INDEX('Per Line'!$F$2:$F$1501,$U320))</f>
        <v/>
      </c>
      <c r="H320" s="7">
        <f>IF($U320="","",G320*S320/100)</f>
        <v/>
      </c>
      <c r="I320" s="14">
        <f>IF($U320="","",INDEX('Per Line'!$R$2:$R$1501,$U320))</f>
        <v/>
      </c>
      <c r="J320">
        <f>IF($U320="","",INDEX('Per Line'!$Q$2:$Q$1501,$U320)&amp;"")</f>
        <v/>
      </c>
      <c r="K320">
        <f>IF($U320="","",Settings!$C$7)</f>
        <v/>
      </c>
      <c r="L320" s="7">
        <f>IF($U320="","",SUMIFS('Per Line'!$L$2:$L$1501,'Per Line'!$B$2:$B$1501,$A320,'Per Line'!$W$2:$W$1501,0))</f>
        <v/>
      </c>
      <c r="M320" s="7">
        <f>IF($U320="","",L320*K320)</f>
        <v/>
      </c>
      <c r="N320">
        <f>IF($U320="","",Settings!$C$6)</f>
        <v/>
      </c>
      <c r="O320" s="7">
        <f>IF($U320="","",SUMIFS('Per Line'!$L$2:$L$1501,'Per Line'!$B$2:$B$1501,$A320,'Per Line'!$W$2:$W$1501,1))</f>
        <v/>
      </c>
      <c r="P320" s="7">
        <f>IF($U320="","",O320*N320)</f>
        <v/>
      </c>
      <c r="Q320" s="7">
        <f>IF($U320="","",P320+M320)</f>
        <v/>
      </c>
      <c r="R320" s="7">
        <f>IF($U320="","",S320-Q320)</f>
        <v/>
      </c>
      <c r="S320" s="7">
        <f>IF($U320="","",L320+O320)</f>
        <v/>
      </c>
      <c r="T320" s="7">
        <f>IF($U320="","",S320-Q320-H320)</f>
        <v/>
      </c>
      <c r="U320" s="16">
        <f>IF(ROWS($U$2:$U320)&lt;=MAX('Per Line'!$V$2:$V$1501),MATCH(ROWS($U$2:$U320),'Per Line'!$V$2:$V$1501,0),"")</f>
        <v/>
      </c>
      <c r="V320">
        <f>IF($U320="","",B320&amp;"|"&amp;COUNTIF($B$2:$B320,B320))</f>
        <v/>
      </c>
    </row>
    <row r="321">
      <c r="A321">
        <f>IF($U321="","",INDEX('Per Line'!$B$2:$B$1501,$U321)&amp;"")</f>
        <v/>
      </c>
      <c r="B321">
        <f>IF($U321="","","COPY "&amp;G321&amp;" %")</f>
        <v/>
      </c>
      <c r="C321" s="15" t="n"/>
      <c r="D321">
        <f>IF($U321="","",INDEX('Per Line'!$C$2:$C$1501,$U321)&amp;"")</f>
        <v/>
      </c>
      <c r="E321">
        <f>IF($U321="","",INDEX('Per Line'!$D$2:$D$1501,$U321)&amp;"")</f>
        <v/>
      </c>
      <c r="F321">
        <f>IF($U321="","",INDEX('Per Line'!$E$2:$E$1501,$U321)&amp;"")</f>
        <v/>
      </c>
      <c r="G321">
        <f>IF($U321="","",INDEX('Per Line'!$F$2:$F$1501,$U321))</f>
        <v/>
      </c>
      <c r="H321" s="7">
        <f>IF($U321="","",G321*S321/100)</f>
        <v/>
      </c>
      <c r="I321" s="14">
        <f>IF($U321="","",INDEX('Per Line'!$R$2:$R$1501,$U321))</f>
        <v/>
      </c>
      <c r="J321">
        <f>IF($U321="","",INDEX('Per Line'!$Q$2:$Q$1501,$U321)&amp;"")</f>
        <v/>
      </c>
      <c r="K321">
        <f>IF($U321="","",Settings!$C$7)</f>
        <v/>
      </c>
      <c r="L321" s="7">
        <f>IF($U321="","",SUMIFS('Per Line'!$L$2:$L$1501,'Per Line'!$B$2:$B$1501,$A321,'Per Line'!$W$2:$W$1501,0))</f>
        <v/>
      </c>
      <c r="M321" s="7">
        <f>IF($U321="","",L321*K321)</f>
        <v/>
      </c>
      <c r="N321">
        <f>IF($U321="","",Settings!$C$6)</f>
        <v/>
      </c>
      <c r="O321" s="7">
        <f>IF($U321="","",SUMIFS('Per Line'!$L$2:$L$1501,'Per Line'!$B$2:$B$1501,$A321,'Per Line'!$W$2:$W$1501,1))</f>
        <v/>
      </c>
      <c r="P321" s="7">
        <f>IF($U321="","",O321*N321)</f>
        <v/>
      </c>
      <c r="Q321" s="7">
        <f>IF($U321="","",P321+M321)</f>
        <v/>
      </c>
      <c r="R321" s="7">
        <f>IF($U321="","",S321-Q321)</f>
        <v/>
      </c>
      <c r="S321" s="7">
        <f>IF($U321="","",L321+O321)</f>
        <v/>
      </c>
      <c r="T321" s="7">
        <f>IF($U321="","",S321-Q321-H321)</f>
        <v/>
      </c>
      <c r="U321" s="16">
        <f>IF(ROWS($U$2:$U321)&lt;=MAX('Per Line'!$V$2:$V$1501),MATCH(ROWS($U$2:$U321),'Per Line'!$V$2:$V$1501,0),"")</f>
        <v/>
      </c>
      <c r="V321">
        <f>IF($U321="","",B321&amp;"|"&amp;COUNTIF($B$2:$B321,B321))</f>
        <v/>
      </c>
    </row>
    <row r="322">
      <c r="A322">
        <f>IF($U322="","",INDEX('Per Line'!$B$2:$B$1501,$U322)&amp;"")</f>
        <v/>
      </c>
      <c r="B322">
        <f>IF($U322="","","COPY "&amp;G322&amp;" %")</f>
        <v/>
      </c>
      <c r="C322" s="15" t="n"/>
      <c r="D322">
        <f>IF($U322="","",INDEX('Per Line'!$C$2:$C$1501,$U322)&amp;"")</f>
        <v/>
      </c>
      <c r="E322">
        <f>IF($U322="","",INDEX('Per Line'!$D$2:$D$1501,$U322)&amp;"")</f>
        <v/>
      </c>
      <c r="F322">
        <f>IF($U322="","",INDEX('Per Line'!$E$2:$E$1501,$U322)&amp;"")</f>
        <v/>
      </c>
      <c r="G322">
        <f>IF($U322="","",INDEX('Per Line'!$F$2:$F$1501,$U322))</f>
        <v/>
      </c>
      <c r="H322" s="7">
        <f>IF($U322="","",G322*S322/100)</f>
        <v/>
      </c>
      <c r="I322" s="14">
        <f>IF($U322="","",INDEX('Per Line'!$R$2:$R$1501,$U322))</f>
        <v/>
      </c>
      <c r="J322">
        <f>IF($U322="","",INDEX('Per Line'!$Q$2:$Q$1501,$U322)&amp;"")</f>
        <v/>
      </c>
      <c r="K322">
        <f>IF($U322="","",Settings!$C$7)</f>
        <v/>
      </c>
      <c r="L322" s="7">
        <f>IF($U322="","",SUMIFS('Per Line'!$L$2:$L$1501,'Per Line'!$B$2:$B$1501,$A322,'Per Line'!$W$2:$W$1501,0))</f>
        <v/>
      </c>
      <c r="M322" s="7">
        <f>IF($U322="","",L322*K322)</f>
        <v/>
      </c>
      <c r="N322">
        <f>IF($U322="","",Settings!$C$6)</f>
        <v/>
      </c>
      <c r="O322" s="7">
        <f>IF($U322="","",SUMIFS('Per Line'!$L$2:$L$1501,'Per Line'!$B$2:$B$1501,$A322,'Per Line'!$W$2:$W$1501,1))</f>
        <v/>
      </c>
      <c r="P322" s="7">
        <f>IF($U322="","",O322*N322)</f>
        <v/>
      </c>
      <c r="Q322" s="7">
        <f>IF($U322="","",P322+M322)</f>
        <v/>
      </c>
      <c r="R322" s="7">
        <f>IF($U322="","",S322-Q322)</f>
        <v/>
      </c>
      <c r="S322" s="7">
        <f>IF($U322="","",L322+O322)</f>
        <v/>
      </c>
      <c r="T322" s="7">
        <f>IF($U322="","",S322-Q322-H322)</f>
        <v/>
      </c>
      <c r="U322" s="16">
        <f>IF(ROWS($U$2:$U322)&lt;=MAX('Per Line'!$V$2:$V$1501),MATCH(ROWS($U$2:$U322),'Per Line'!$V$2:$V$1501,0),"")</f>
        <v/>
      </c>
      <c r="V322">
        <f>IF($U322="","",B322&amp;"|"&amp;COUNTIF($B$2:$B322,B322))</f>
        <v/>
      </c>
    </row>
    <row r="323">
      <c r="A323">
        <f>IF($U323="","",INDEX('Per Line'!$B$2:$B$1501,$U323)&amp;"")</f>
        <v/>
      </c>
      <c r="B323">
        <f>IF($U323="","","COPY "&amp;G323&amp;" %")</f>
        <v/>
      </c>
      <c r="C323" s="15" t="n"/>
      <c r="D323">
        <f>IF($U323="","",INDEX('Per Line'!$C$2:$C$1501,$U323)&amp;"")</f>
        <v/>
      </c>
      <c r="E323">
        <f>IF($U323="","",INDEX('Per Line'!$D$2:$D$1501,$U323)&amp;"")</f>
        <v/>
      </c>
      <c r="F323">
        <f>IF($U323="","",INDEX('Per Line'!$E$2:$E$1501,$U323)&amp;"")</f>
        <v/>
      </c>
      <c r="G323">
        <f>IF($U323="","",INDEX('Per Line'!$F$2:$F$1501,$U323))</f>
        <v/>
      </c>
      <c r="H323" s="7">
        <f>IF($U323="","",G323*S323/100)</f>
        <v/>
      </c>
      <c r="I323" s="14">
        <f>IF($U323="","",INDEX('Per Line'!$R$2:$R$1501,$U323))</f>
        <v/>
      </c>
      <c r="J323">
        <f>IF($U323="","",INDEX('Per Line'!$Q$2:$Q$1501,$U323)&amp;"")</f>
        <v/>
      </c>
      <c r="K323">
        <f>IF($U323="","",Settings!$C$7)</f>
        <v/>
      </c>
      <c r="L323" s="7">
        <f>IF($U323="","",SUMIFS('Per Line'!$L$2:$L$1501,'Per Line'!$B$2:$B$1501,$A323,'Per Line'!$W$2:$W$1501,0))</f>
        <v/>
      </c>
      <c r="M323" s="7">
        <f>IF($U323="","",L323*K323)</f>
        <v/>
      </c>
      <c r="N323">
        <f>IF($U323="","",Settings!$C$6)</f>
        <v/>
      </c>
      <c r="O323" s="7">
        <f>IF($U323="","",SUMIFS('Per Line'!$L$2:$L$1501,'Per Line'!$B$2:$B$1501,$A323,'Per Line'!$W$2:$W$1501,1))</f>
        <v/>
      </c>
      <c r="P323" s="7">
        <f>IF($U323="","",O323*N323)</f>
        <v/>
      </c>
      <c r="Q323" s="7">
        <f>IF($U323="","",P323+M323)</f>
        <v/>
      </c>
      <c r="R323" s="7">
        <f>IF($U323="","",S323-Q323)</f>
        <v/>
      </c>
      <c r="S323" s="7">
        <f>IF($U323="","",L323+O323)</f>
        <v/>
      </c>
      <c r="T323" s="7">
        <f>IF($U323="","",S323-Q323-H323)</f>
        <v/>
      </c>
      <c r="U323" s="16">
        <f>IF(ROWS($U$2:$U323)&lt;=MAX('Per Line'!$V$2:$V$1501),MATCH(ROWS($U$2:$U323),'Per Line'!$V$2:$V$1501,0),"")</f>
        <v/>
      </c>
      <c r="V323">
        <f>IF($U323="","",B323&amp;"|"&amp;COUNTIF($B$2:$B323,B323))</f>
        <v/>
      </c>
    </row>
    <row r="324">
      <c r="A324">
        <f>IF($U324="","",INDEX('Per Line'!$B$2:$B$1501,$U324)&amp;"")</f>
        <v/>
      </c>
      <c r="B324">
        <f>IF($U324="","","COPY "&amp;G324&amp;" %")</f>
        <v/>
      </c>
      <c r="C324" s="15" t="n"/>
      <c r="D324">
        <f>IF($U324="","",INDEX('Per Line'!$C$2:$C$1501,$U324)&amp;"")</f>
        <v/>
      </c>
      <c r="E324">
        <f>IF($U324="","",INDEX('Per Line'!$D$2:$D$1501,$U324)&amp;"")</f>
        <v/>
      </c>
      <c r="F324">
        <f>IF($U324="","",INDEX('Per Line'!$E$2:$E$1501,$U324)&amp;"")</f>
        <v/>
      </c>
      <c r="G324">
        <f>IF($U324="","",INDEX('Per Line'!$F$2:$F$1501,$U324))</f>
        <v/>
      </c>
      <c r="H324" s="7">
        <f>IF($U324="","",G324*S324/100)</f>
        <v/>
      </c>
      <c r="I324" s="14">
        <f>IF($U324="","",INDEX('Per Line'!$R$2:$R$1501,$U324))</f>
        <v/>
      </c>
      <c r="J324">
        <f>IF($U324="","",INDEX('Per Line'!$Q$2:$Q$1501,$U324)&amp;"")</f>
        <v/>
      </c>
      <c r="K324">
        <f>IF($U324="","",Settings!$C$7)</f>
        <v/>
      </c>
      <c r="L324" s="7">
        <f>IF($U324="","",SUMIFS('Per Line'!$L$2:$L$1501,'Per Line'!$B$2:$B$1501,$A324,'Per Line'!$W$2:$W$1501,0))</f>
        <v/>
      </c>
      <c r="M324" s="7">
        <f>IF($U324="","",L324*K324)</f>
        <v/>
      </c>
      <c r="N324">
        <f>IF($U324="","",Settings!$C$6)</f>
        <v/>
      </c>
      <c r="O324" s="7">
        <f>IF($U324="","",SUMIFS('Per Line'!$L$2:$L$1501,'Per Line'!$B$2:$B$1501,$A324,'Per Line'!$W$2:$W$1501,1))</f>
        <v/>
      </c>
      <c r="P324" s="7">
        <f>IF($U324="","",O324*N324)</f>
        <v/>
      </c>
      <c r="Q324" s="7">
        <f>IF($U324="","",P324+M324)</f>
        <v/>
      </c>
      <c r="R324" s="7">
        <f>IF($U324="","",S324-Q324)</f>
        <v/>
      </c>
      <c r="S324" s="7">
        <f>IF($U324="","",L324+O324)</f>
        <v/>
      </c>
      <c r="T324" s="7">
        <f>IF($U324="","",S324-Q324-H324)</f>
        <v/>
      </c>
      <c r="U324" s="16">
        <f>IF(ROWS($U$2:$U324)&lt;=MAX('Per Line'!$V$2:$V$1501),MATCH(ROWS($U$2:$U324),'Per Line'!$V$2:$V$1501,0),"")</f>
        <v/>
      </c>
      <c r="V324">
        <f>IF($U324="","",B324&amp;"|"&amp;COUNTIF($B$2:$B324,B324))</f>
        <v/>
      </c>
    </row>
    <row r="325">
      <c r="A325">
        <f>IF($U325="","",INDEX('Per Line'!$B$2:$B$1501,$U325)&amp;"")</f>
        <v/>
      </c>
      <c r="B325">
        <f>IF($U325="","","COPY "&amp;G325&amp;" %")</f>
        <v/>
      </c>
      <c r="C325" s="15" t="n"/>
      <c r="D325">
        <f>IF($U325="","",INDEX('Per Line'!$C$2:$C$1501,$U325)&amp;"")</f>
        <v/>
      </c>
      <c r="E325">
        <f>IF($U325="","",INDEX('Per Line'!$D$2:$D$1501,$U325)&amp;"")</f>
        <v/>
      </c>
      <c r="F325">
        <f>IF($U325="","",INDEX('Per Line'!$E$2:$E$1501,$U325)&amp;"")</f>
        <v/>
      </c>
      <c r="G325">
        <f>IF($U325="","",INDEX('Per Line'!$F$2:$F$1501,$U325))</f>
        <v/>
      </c>
      <c r="H325" s="7">
        <f>IF($U325="","",G325*S325/100)</f>
        <v/>
      </c>
      <c r="I325" s="14">
        <f>IF($U325="","",INDEX('Per Line'!$R$2:$R$1501,$U325))</f>
        <v/>
      </c>
      <c r="J325">
        <f>IF($U325="","",INDEX('Per Line'!$Q$2:$Q$1501,$U325)&amp;"")</f>
        <v/>
      </c>
      <c r="K325">
        <f>IF($U325="","",Settings!$C$7)</f>
        <v/>
      </c>
      <c r="L325" s="7">
        <f>IF($U325="","",SUMIFS('Per Line'!$L$2:$L$1501,'Per Line'!$B$2:$B$1501,$A325,'Per Line'!$W$2:$W$1501,0))</f>
        <v/>
      </c>
      <c r="M325" s="7">
        <f>IF($U325="","",L325*K325)</f>
        <v/>
      </c>
      <c r="N325">
        <f>IF($U325="","",Settings!$C$6)</f>
        <v/>
      </c>
      <c r="O325" s="7">
        <f>IF($U325="","",SUMIFS('Per Line'!$L$2:$L$1501,'Per Line'!$B$2:$B$1501,$A325,'Per Line'!$W$2:$W$1501,1))</f>
        <v/>
      </c>
      <c r="P325" s="7">
        <f>IF($U325="","",O325*N325)</f>
        <v/>
      </c>
      <c r="Q325" s="7">
        <f>IF($U325="","",P325+M325)</f>
        <v/>
      </c>
      <c r="R325" s="7">
        <f>IF($U325="","",S325-Q325)</f>
        <v/>
      </c>
      <c r="S325" s="7">
        <f>IF($U325="","",L325+O325)</f>
        <v/>
      </c>
      <c r="T325" s="7">
        <f>IF($U325="","",S325-Q325-H325)</f>
        <v/>
      </c>
      <c r="U325" s="16">
        <f>IF(ROWS($U$2:$U325)&lt;=MAX('Per Line'!$V$2:$V$1501),MATCH(ROWS($U$2:$U325),'Per Line'!$V$2:$V$1501,0),"")</f>
        <v/>
      </c>
      <c r="V325">
        <f>IF($U325="","",B325&amp;"|"&amp;COUNTIF($B$2:$B325,B325))</f>
        <v/>
      </c>
    </row>
    <row r="326">
      <c r="A326">
        <f>IF($U326="","",INDEX('Per Line'!$B$2:$B$1501,$U326)&amp;"")</f>
        <v/>
      </c>
      <c r="B326">
        <f>IF($U326="","","COPY "&amp;G326&amp;" %")</f>
        <v/>
      </c>
      <c r="C326" s="15" t="n"/>
      <c r="D326">
        <f>IF($U326="","",INDEX('Per Line'!$C$2:$C$1501,$U326)&amp;"")</f>
        <v/>
      </c>
      <c r="E326">
        <f>IF($U326="","",INDEX('Per Line'!$D$2:$D$1501,$U326)&amp;"")</f>
        <v/>
      </c>
      <c r="F326">
        <f>IF($U326="","",INDEX('Per Line'!$E$2:$E$1501,$U326)&amp;"")</f>
        <v/>
      </c>
      <c r="G326">
        <f>IF($U326="","",INDEX('Per Line'!$F$2:$F$1501,$U326))</f>
        <v/>
      </c>
      <c r="H326" s="7">
        <f>IF($U326="","",G326*S326/100)</f>
        <v/>
      </c>
      <c r="I326" s="14">
        <f>IF($U326="","",INDEX('Per Line'!$R$2:$R$1501,$U326))</f>
        <v/>
      </c>
      <c r="J326">
        <f>IF($U326="","",INDEX('Per Line'!$Q$2:$Q$1501,$U326)&amp;"")</f>
        <v/>
      </c>
      <c r="K326">
        <f>IF($U326="","",Settings!$C$7)</f>
        <v/>
      </c>
      <c r="L326" s="7">
        <f>IF($U326="","",SUMIFS('Per Line'!$L$2:$L$1501,'Per Line'!$B$2:$B$1501,$A326,'Per Line'!$W$2:$W$1501,0))</f>
        <v/>
      </c>
      <c r="M326" s="7">
        <f>IF($U326="","",L326*K326)</f>
        <v/>
      </c>
      <c r="N326">
        <f>IF($U326="","",Settings!$C$6)</f>
        <v/>
      </c>
      <c r="O326" s="7">
        <f>IF($U326="","",SUMIFS('Per Line'!$L$2:$L$1501,'Per Line'!$B$2:$B$1501,$A326,'Per Line'!$W$2:$W$1501,1))</f>
        <v/>
      </c>
      <c r="P326" s="7">
        <f>IF($U326="","",O326*N326)</f>
        <v/>
      </c>
      <c r="Q326" s="7">
        <f>IF($U326="","",P326+M326)</f>
        <v/>
      </c>
      <c r="R326" s="7">
        <f>IF($U326="","",S326-Q326)</f>
        <v/>
      </c>
      <c r="S326" s="7">
        <f>IF($U326="","",L326+O326)</f>
        <v/>
      </c>
      <c r="T326" s="7">
        <f>IF($U326="","",S326-Q326-H326)</f>
        <v/>
      </c>
      <c r="U326" s="16">
        <f>IF(ROWS($U$2:$U326)&lt;=MAX('Per Line'!$V$2:$V$1501),MATCH(ROWS($U$2:$U326),'Per Line'!$V$2:$V$1501,0),"")</f>
        <v/>
      </c>
      <c r="V326">
        <f>IF($U326="","",B326&amp;"|"&amp;COUNTIF($B$2:$B326,B326))</f>
        <v/>
      </c>
    </row>
    <row r="327">
      <c r="A327">
        <f>IF($U327="","",INDEX('Per Line'!$B$2:$B$1501,$U327)&amp;"")</f>
        <v/>
      </c>
      <c r="B327">
        <f>IF($U327="","","COPY "&amp;G327&amp;" %")</f>
        <v/>
      </c>
      <c r="C327" s="15" t="n"/>
      <c r="D327">
        <f>IF($U327="","",INDEX('Per Line'!$C$2:$C$1501,$U327)&amp;"")</f>
        <v/>
      </c>
      <c r="E327">
        <f>IF($U327="","",INDEX('Per Line'!$D$2:$D$1501,$U327)&amp;"")</f>
        <v/>
      </c>
      <c r="F327">
        <f>IF($U327="","",INDEX('Per Line'!$E$2:$E$1501,$U327)&amp;"")</f>
        <v/>
      </c>
      <c r="G327">
        <f>IF($U327="","",INDEX('Per Line'!$F$2:$F$1501,$U327))</f>
        <v/>
      </c>
      <c r="H327" s="7">
        <f>IF($U327="","",G327*S327/100)</f>
        <v/>
      </c>
      <c r="I327" s="14">
        <f>IF($U327="","",INDEX('Per Line'!$R$2:$R$1501,$U327))</f>
        <v/>
      </c>
      <c r="J327">
        <f>IF($U327="","",INDEX('Per Line'!$Q$2:$Q$1501,$U327)&amp;"")</f>
        <v/>
      </c>
      <c r="K327">
        <f>IF($U327="","",Settings!$C$7)</f>
        <v/>
      </c>
      <c r="L327" s="7">
        <f>IF($U327="","",SUMIFS('Per Line'!$L$2:$L$1501,'Per Line'!$B$2:$B$1501,$A327,'Per Line'!$W$2:$W$1501,0))</f>
        <v/>
      </c>
      <c r="M327" s="7">
        <f>IF($U327="","",L327*K327)</f>
        <v/>
      </c>
      <c r="N327">
        <f>IF($U327="","",Settings!$C$6)</f>
        <v/>
      </c>
      <c r="O327" s="7">
        <f>IF($U327="","",SUMIFS('Per Line'!$L$2:$L$1501,'Per Line'!$B$2:$B$1501,$A327,'Per Line'!$W$2:$W$1501,1))</f>
        <v/>
      </c>
      <c r="P327" s="7">
        <f>IF($U327="","",O327*N327)</f>
        <v/>
      </c>
      <c r="Q327" s="7">
        <f>IF($U327="","",P327+M327)</f>
        <v/>
      </c>
      <c r="R327" s="7">
        <f>IF($U327="","",S327-Q327)</f>
        <v/>
      </c>
      <c r="S327" s="7">
        <f>IF($U327="","",L327+O327)</f>
        <v/>
      </c>
      <c r="T327" s="7">
        <f>IF($U327="","",S327-Q327-H327)</f>
        <v/>
      </c>
      <c r="U327" s="16">
        <f>IF(ROWS($U$2:$U327)&lt;=MAX('Per Line'!$V$2:$V$1501),MATCH(ROWS($U$2:$U327),'Per Line'!$V$2:$V$1501,0),"")</f>
        <v/>
      </c>
      <c r="V327">
        <f>IF($U327="","",B327&amp;"|"&amp;COUNTIF($B$2:$B327,B327))</f>
        <v/>
      </c>
    </row>
    <row r="328">
      <c r="A328">
        <f>IF($U328="","",INDEX('Per Line'!$B$2:$B$1501,$U328)&amp;"")</f>
        <v/>
      </c>
      <c r="B328">
        <f>IF($U328="","","COPY "&amp;G328&amp;" %")</f>
        <v/>
      </c>
      <c r="C328" s="15" t="n"/>
      <c r="D328">
        <f>IF($U328="","",INDEX('Per Line'!$C$2:$C$1501,$U328)&amp;"")</f>
        <v/>
      </c>
      <c r="E328">
        <f>IF($U328="","",INDEX('Per Line'!$D$2:$D$1501,$U328)&amp;"")</f>
        <v/>
      </c>
      <c r="F328">
        <f>IF($U328="","",INDEX('Per Line'!$E$2:$E$1501,$U328)&amp;"")</f>
        <v/>
      </c>
      <c r="G328">
        <f>IF($U328="","",INDEX('Per Line'!$F$2:$F$1501,$U328))</f>
        <v/>
      </c>
      <c r="H328" s="7">
        <f>IF($U328="","",G328*S328/100)</f>
        <v/>
      </c>
      <c r="I328" s="14">
        <f>IF($U328="","",INDEX('Per Line'!$R$2:$R$1501,$U328))</f>
        <v/>
      </c>
      <c r="J328">
        <f>IF($U328="","",INDEX('Per Line'!$Q$2:$Q$1501,$U328)&amp;"")</f>
        <v/>
      </c>
      <c r="K328">
        <f>IF($U328="","",Settings!$C$7)</f>
        <v/>
      </c>
      <c r="L328" s="7">
        <f>IF($U328="","",SUMIFS('Per Line'!$L$2:$L$1501,'Per Line'!$B$2:$B$1501,$A328,'Per Line'!$W$2:$W$1501,0))</f>
        <v/>
      </c>
      <c r="M328" s="7">
        <f>IF($U328="","",L328*K328)</f>
        <v/>
      </c>
      <c r="N328">
        <f>IF($U328="","",Settings!$C$6)</f>
        <v/>
      </c>
      <c r="O328" s="7">
        <f>IF($U328="","",SUMIFS('Per Line'!$L$2:$L$1501,'Per Line'!$B$2:$B$1501,$A328,'Per Line'!$W$2:$W$1501,1))</f>
        <v/>
      </c>
      <c r="P328" s="7">
        <f>IF($U328="","",O328*N328)</f>
        <v/>
      </c>
      <c r="Q328" s="7">
        <f>IF($U328="","",P328+M328)</f>
        <v/>
      </c>
      <c r="R328" s="7">
        <f>IF($U328="","",S328-Q328)</f>
        <v/>
      </c>
      <c r="S328" s="7">
        <f>IF($U328="","",L328+O328)</f>
        <v/>
      </c>
      <c r="T328" s="7">
        <f>IF($U328="","",S328-Q328-H328)</f>
        <v/>
      </c>
      <c r="U328" s="16">
        <f>IF(ROWS($U$2:$U328)&lt;=MAX('Per Line'!$V$2:$V$1501),MATCH(ROWS($U$2:$U328),'Per Line'!$V$2:$V$1501,0),"")</f>
        <v/>
      </c>
      <c r="V328">
        <f>IF($U328="","",B328&amp;"|"&amp;COUNTIF($B$2:$B328,B328))</f>
        <v/>
      </c>
    </row>
    <row r="329">
      <c r="A329">
        <f>IF($U329="","",INDEX('Per Line'!$B$2:$B$1501,$U329)&amp;"")</f>
        <v/>
      </c>
      <c r="B329">
        <f>IF($U329="","","COPY "&amp;G329&amp;" %")</f>
        <v/>
      </c>
      <c r="C329" s="15" t="n"/>
      <c r="D329">
        <f>IF($U329="","",INDEX('Per Line'!$C$2:$C$1501,$U329)&amp;"")</f>
        <v/>
      </c>
      <c r="E329">
        <f>IF($U329="","",INDEX('Per Line'!$D$2:$D$1501,$U329)&amp;"")</f>
        <v/>
      </c>
      <c r="F329">
        <f>IF($U329="","",INDEX('Per Line'!$E$2:$E$1501,$U329)&amp;"")</f>
        <v/>
      </c>
      <c r="G329">
        <f>IF($U329="","",INDEX('Per Line'!$F$2:$F$1501,$U329))</f>
        <v/>
      </c>
      <c r="H329" s="7">
        <f>IF($U329="","",G329*S329/100)</f>
        <v/>
      </c>
      <c r="I329" s="14">
        <f>IF($U329="","",INDEX('Per Line'!$R$2:$R$1501,$U329))</f>
        <v/>
      </c>
      <c r="J329">
        <f>IF($U329="","",INDEX('Per Line'!$Q$2:$Q$1501,$U329)&amp;"")</f>
        <v/>
      </c>
      <c r="K329">
        <f>IF($U329="","",Settings!$C$7)</f>
        <v/>
      </c>
      <c r="L329" s="7">
        <f>IF($U329="","",SUMIFS('Per Line'!$L$2:$L$1501,'Per Line'!$B$2:$B$1501,$A329,'Per Line'!$W$2:$W$1501,0))</f>
        <v/>
      </c>
      <c r="M329" s="7">
        <f>IF($U329="","",L329*K329)</f>
        <v/>
      </c>
      <c r="N329">
        <f>IF($U329="","",Settings!$C$6)</f>
        <v/>
      </c>
      <c r="O329" s="7">
        <f>IF($U329="","",SUMIFS('Per Line'!$L$2:$L$1501,'Per Line'!$B$2:$B$1501,$A329,'Per Line'!$W$2:$W$1501,1))</f>
        <v/>
      </c>
      <c r="P329" s="7">
        <f>IF($U329="","",O329*N329)</f>
        <v/>
      </c>
      <c r="Q329" s="7">
        <f>IF($U329="","",P329+M329)</f>
        <v/>
      </c>
      <c r="R329" s="7">
        <f>IF($U329="","",S329-Q329)</f>
        <v/>
      </c>
      <c r="S329" s="7">
        <f>IF($U329="","",L329+O329)</f>
        <v/>
      </c>
      <c r="T329" s="7">
        <f>IF($U329="","",S329-Q329-H329)</f>
        <v/>
      </c>
      <c r="U329" s="16">
        <f>IF(ROWS($U$2:$U329)&lt;=MAX('Per Line'!$V$2:$V$1501),MATCH(ROWS($U$2:$U329),'Per Line'!$V$2:$V$1501,0),"")</f>
        <v/>
      </c>
      <c r="V329">
        <f>IF($U329="","",B329&amp;"|"&amp;COUNTIF($B$2:$B329,B329))</f>
        <v/>
      </c>
    </row>
    <row r="330">
      <c r="A330">
        <f>IF($U330="","",INDEX('Per Line'!$B$2:$B$1501,$U330)&amp;"")</f>
        <v/>
      </c>
      <c r="B330">
        <f>IF($U330="","","COPY "&amp;G330&amp;" %")</f>
        <v/>
      </c>
      <c r="C330" s="15" t="n"/>
      <c r="D330">
        <f>IF($U330="","",INDEX('Per Line'!$C$2:$C$1501,$U330)&amp;"")</f>
        <v/>
      </c>
      <c r="E330">
        <f>IF($U330="","",INDEX('Per Line'!$D$2:$D$1501,$U330)&amp;"")</f>
        <v/>
      </c>
      <c r="F330">
        <f>IF($U330="","",INDEX('Per Line'!$E$2:$E$1501,$U330)&amp;"")</f>
        <v/>
      </c>
      <c r="G330">
        <f>IF($U330="","",INDEX('Per Line'!$F$2:$F$1501,$U330))</f>
        <v/>
      </c>
      <c r="H330" s="7">
        <f>IF($U330="","",G330*S330/100)</f>
        <v/>
      </c>
      <c r="I330" s="14">
        <f>IF($U330="","",INDEX('Per Line'!$R$2:$R$1501,$U330))</f>
        <v/>
      </c>
      <c r="J330">
        <f>IF($U330="","",INDEX('Per Line'!$Q$2:$Q$1501,$U330)&amp;"")</f>
        <v/>
      </c>
      <c r="K330">
        <f>IF($U330="","",Settings!$C$7)</f>
        <v/>
      </c>
      <c r="L330" s="7">
        <f>IF($U330="","",SUMIFS('Per Line'!$L$2:$L$1501,'Per Line'!$B$2:$B$1501,$A330,'Per Line'!$W$2:$W$1501,0))</f>
        <v/>
      </c>
      <c r="M330" s="7">
        <f>IF($U330="","",L330*K330)</f>
        <v/>
      </c>
      <c r="N330">
        <f>IF($U330="","",Settings!$C$6)</f>
        <v/>
      </c>
      <c r="O330" s="7">
        <f>IF($U330="","",SUMIFS('Per Line'!$L$2:$L$1501,'Per Line'!$B$2:$B$1501,$A330,'Per Line'!$W$2:$W$1501,1))</f>
        <v/>
      </c>
      <c r="P330" s="7">
        <f>IF($U330="","",O330*N330)</f>
        <v/>
      </c>
      <c r="Q330" s="7">
        <f>IF($U330="","",P330+M330)</f>
        <v/>
      </c>
      <c r="R330" s="7">
        <f>IF($U330="","",S330-Q330)</f>
        <v/>
      </c>
      <c r="S330" s="7">
        <f>IF($U330="","",L330+O330)</f>
        <v/>
      </c>
      <c r="T330" s="7">
        <f>IF($U330="","",S330-Q330-H330)</f>
        <v/>
      </c>
      <c r="U330" s="16">
        <f>IF(ROWS($U$2:$U330)&lt;=MAX('Per Line'!$V$2:$V$1501),MATCH(ROWS($U$2:$U330),'Per Line'!$V$2:$V$1501,0),"")</f>
        <v/>
      </c>
      <c r="V330">
        <f>IF($U330="","",B330&amp;"|"&amp;COUNTIF($B$2:$B330,B330))</f>
        <v/>
      </c>
    </row>
    <row r="331">
      <c r="A331">
        <f>IF($U331="","",INDEX('Per Line'!$B$2:$B$1501,$U331)&amp;"")</f>
        <v/>
      </c>
      <c r="B331">
        <f>IF($U331="","","COPY "&amp;G331&amp;" %")</f>
        <v/>
      </c>
      <c r="C331" s="15" t="n"/>
      <c r="D331">
        <f>IF($U331="","",INDEX('Per Line'!$C$2:$C$1501,$U331)&amp;"")</f>
        <v/>
      </c>
      <c r="E331">
        <f>IF($U331="","",INDEX('Per Line'!$D$2:$D$1501,$U331)&amp;"")</f>
        <v/>
      </c>
      <c r="F331">
        <f>IF($U331="","",INDEX('Per Line'!$E$2:$E$1501,$U331)&amp;"")</f>
        <v/>
      </c>
      <c r="G331">
        <f>IF($U331="","",INDEX('Per Line'!$F$2:$F$1501,$U331))</f>
        <v/>
      </c>
      <c r="H331" s="7">
        <f>IF($U331="","",G331*S331/100)</f>
        <v/>
      </c>
      <c r="I331" s="14">
        <f>IF($U331="","",INDEX('Per Line'!$R$2:$R$1501,$U331))</f>
        <v/>
      </c>
      <c r="J331">
        <f>IF($U331="","",INDEX('Per Line'!$Q$2:$Q$1501,$U331)&amp;"")</f>
        <v/>
      </c>
      <c r="K331">
        <f>IF($U331="","",Settings!$C$7)</f>
        <v/>
      </c>
      <c r="L331" s="7">
        <f>IF($U331="","",SUMIFS('Per Line'!$L$2:$L$1501,'Per Line'!$B$2:$B$1501,$A331,'Per Line'!$W$2:$W$1501,0))</f>
        <v/>
      </c>
      <c r="M331" s="7">
        <f>IF($U331="","",L331*K331)</f>
        <v/>
      </c>
      <c r="N331">
        <f>IF($U331="","",Settings!$C$6)</f>
        <v/>
      </c>
      <c r="O331" s="7">
        <f>IF($U331="","",SUMIFS('Per Line'!$L$2:$L$1501,'Per Line'!$B$2:$B$1501,$A331,'Per Line'!$W$2:$W$1501,1))</f>
        <v/>
      </c>
      <c r="P331" s="7">
        <f>IF($U331="","",O331*N331)</f>
        <v/>
      </c>
      <c r="Q331" s="7">
        <f>IF($U331="","",P331+M331)</f>
        <v/>
      </c>
      <c r="R331" s="7">
        <f>IF($U331="","",S331-Q331)</f>
        <v/>
      </c>
      <c r="S331" s="7">
        <f>IF($U331="","",L331+O331)</f>
        <v/>
      </c>
      <c r="T331" s="7">
        <f>IF($U331="","",S331-Q331-H331)</f>
        <v/>
      </c>
      <c r="U331" s="16">
        <f>IF(ROWS($U$2:$U331)&lt;=MAX('Per Line'!$V$2:$V$1501),MATCH(ROWS($U$2:$U331),'Per Line'!$V$2:$V$1501,0),"")</f>
        <v/>
      </c>
      <c r="V331">
        <f>IF($U331="","",B331&amp;"|"&amp;COUNTIF($B$2:$B331,B331))</f>
        <v/>
      </c>
    </row>
    <row r="332">
      <c r="A332">
        <f>IF($U332="","",INDEX('Per Line'!$B$2:$B$1501,$U332)&amp;"")</f>
        <v/>
      </c>
      <c r="B332">
        <f>IF($U332="","","COPY "&amp;G332&amp;" %")</f>
        <v/>
      </c>
      <c r="C332" s="15" t="n"/>
      <c r="D332">
        <f>IF($U332="","",INDEX('Per Line'!$C$2:$C$1501,$U332)&amp;"")</f>
        <v/>
      </c>
      <c r="E332">
        <f>IF($U332="","",INDEX('Per Line'!$D$2:$D$1501,$U332)&amp;"")</f>
        <v/>
      </c>
      <c r="F332">
        <f>IF($U332="","",INDEX('Per Line'!$E$2:$E$1501,$U332)&amp;"")</f>
        <v/>
      </c>
      <c r="G332">
        <f>IF($U332="","",INDEX('Per Line'!$F$2:$F$1501,$U332))</f>
        <v/>
      </c>
      <c r="H332" s="7">
        <f>IF($U332="","",G332*S332/100)</f>
        <v/>
      </c>
      <c r="I332" s="14">
        <f>IF($U332="","",INDEX('Per Line'!$R$2:$R$1501,$U332))</f>
        <v/>
      </c>
      <c r="J332">
        <f>IF($U332="","",INDEX('Per Line'!$Q$2:$Q$1501,$U332)&amp;"")</f>
        <v/>
      </c>
      <c r="K332">
        <f>IF($U332="","",Settings!$C$7)</f>
        <v/>
      </c>
      <c r="L332" s="7">
        <f>IF($U332="","",SUMIFS('Per Line'!$L$2:$L$1501,'Per Line'!$B$2:$B$1501,$A332,'Per Line'!$W$2:$W$1501,0))</f>
        <v/>
      </c>
      <c r="M332" s="7">
        <f>IF($U332="","",L332*K332)</f>
        <v/>
      </c>
      <c r="N332">
        <f>IF($U332="","",Settings!$C$6)</f>
        <v/>
      </c>
      <c r="O332" s="7">
        <f>IF($U332="","",SUMIFS('Per Line'!$L$2:$L$1501,'Per Line'!$B$2:$B$1501,$A332,'Per Line'!$W$2:$W$1501,1))</f>
        <v/>
      </c>
      <c r="P332" s="7">
        <f>IF($U332="","",O332*N332)</f>
        <v/>
      </c>
      <c r="Q332" s="7">
        <f>IF($U332="","",P332+M332)</f>
        <v/>
      </c>
      <c r="R332" s="7">
        <f>IF($U332="","",S332-Q332)</f>
        <v/>
      </c>
      <c r="S332" s="7">
        <f>IF($U332="","",L332+O332)</f>
        <v/>
      </c>
      <c r="T332" s="7">
        <f>IF($U332="","",S332-Q332-H332)</f>
        <v/>
      </c>
      <c r="U332" s="16">
        <f>IF(ROWS($U$2:$U332)&lt;=MAX('Per Line'!$V$2:$V$1501),MATCH(ROWS($U$2:$U332),'Per Line'!$V$2:$V$1501,0),"")</f>
        <v/>
      </c>
      <c r="V332">
        <f>IF($U332="","",B332&amp;"|"&amp;COUNTIF($B$2:$B332,B332))</f>
        <v/>
      </c>
    </row>
    <row r="333">
      <c r="A333">
        <f>IF($U333="","",INDEX('Per Line'!$B$2:$B$1501,$U333)&amp;"")</f>
        <v/>
      </c>
      <c r="B333">
        <f>IF($U333="","","COPY "&amp;G333&amp;" %")</f>
        <v/>
      </c>
      <c r="C333" s="15" t="n"/>
      <c r="D333">
        <f>IF($U333="","",INDEX('Per Line'!$C$2:$C$1501,$U333)&amp;"")</f>
        <v/>
      </c>
      <c r="E333">
        <f>IF($U333="","",INDEX('Per Line'!$D$2:$D$1501,$U333)&amp;"")</f>
        <v/>
      </c>
      <c r="F333">
        <f>IF($U333="","",INDEX('Per Line'!$E$2:$E$1501,$U333)&amp;"")</f>
        <v/>
      </c>
      <c r="G333">
        <f>IF($U333="","",INDEX('Per Line'!$F$2:$F$1501,$U333))</f>
        <v/>
      </c>
      <c r="H333" s="7">
        <f>IF($U333="","",G333*S333/100)</f>
        <v/>
      </c>
      <c r="I333" s="14">
        <f>IF($U333="","",INDEX('Per Line'!$R$2:$R$1501,$U333))</f>
        <v/>
      </c>
      <c r="J333">
        <f>IF($U333="","",INDEX('Per Line'!$Q$2:$Q$1501,$U333)&amp;"")</f>
        <v/>
      </c>
      <c r="K333">
        <f>IF($U333="","",Settings!$C$7)</f>
        <v/>
      </c>
      <c r="L333" s="7">
        <f>IF($U333="","",SUMIFS('Per Line'!$L$2:$L$1501,'Per Line'!$B$2:$B$1501,$A333,'Per Line'!$W$2:$W$1501,0))</f>
        <v/>
      </c>
      <c r="M333" s="7">
        <f>IF($U333="","",L333*K333)</f>
        <v/>
      </c>
      <c r="N333">
        <f>IF($U333="","",Settings!$C$6)</f>
        <v/>
      </c>
      <c r="O333" s="7">
        <f>IF($U333="","",SUMIFS('Per Line'!$L$2:$L$1501,'Per Line'!$B$2:$B$1501,$A333,'Per Line'!$W$2:$W$1501,1))</f>
        <v/>
      </c>
      <c r="P333" s="7">
        <f>IF($U333="","",O333*N333)</f>
        <v/>
      </c>
      <c r="Q333" s="7">
        <f>IF($U333="","",P333+M333)</f>
        <v/>
      </c>
      <c r="R333" s="7">
        <f>IF($U333="","",S333-Q333)</f>
        <v/>
      </c>
      <c r="S333" s="7">
        <f>IF($U333="","",L333+O333)</f>
        <v/>
      </c>
      <c r="T333" s="7">
        <f>IF($U333="","",S333-Q333-H333)</f>
        <v/>
      </c>
      <c r="U333" s="16">
        <f>IF(ROWS($U$2:$U333)&lt;=MAX('Per Line'!$V$2:$V$1501),MATCH(ROWS($U$2:$U333),'Per Line'!$V$2:$V$1501,0),"")</f>
        <v/>
      </c>
      <c r="V333">
        <f>IF($U333="","",B333&amp;"|"&amp;COUNTIF($B$2:$B333,B333))</f>
        <v/>
      </c>
    </row>
    <row r="334">
      <c r="A334">
        <f>IF($U334="","",INDEX('Per Line'!$B$2:$B$1501,$U334)&amp;"")</f>
        <v/>
      </c>
      <c r="B334">
        <f>IF($U334="","","COPY "&amp;G334&amp;" %")</f>
        <v/>
      </c>
      <c r="C334" s="15" t="n"/>
      <c r="D334">
        <f>IF($U334="","",INDEX('Per Line'!$C$2:$C$1501,$U334)&amp;"")</f>
        <v/>
      </c>
      <c r="E334">
        <f>IF($U334="","",INDEX('Per Line'!$D$2:$D$1501,$U334)&amp;"")</f>
        <v/>
      </c>
      <c r="F334">
        <f>IF($U334="","",INDEX('Per Line'!$E$2:$E$1501,$U334)&amp;"")</f>
        <v/>
      </c>
      <c r="G334">
        <f>IF($U334="","",INDEX('Per Line'!$F$2:$F$1501,$U334))</f>
        <v/>
      </c>
      <c r="H334" s="7">
        <f>IF($U334="","",G334*S334/100)</f>
        <v/>
      </c>
      <c r="I334" s="14">
        <f>IF($U334="","",INDEX('Per Line'!$R$2:$R$1501,$U334))</f>
        <v/>
      </c>
      <c r="J334">
        <f>IF($U334="","",INDEX('Per Line'!$Q$2:$Q$1501,$U334)&amp;"")</f>
        <v/>
      </c>
      <c r="K334">
        <f>IF($U334="","",Settings!$C$7)</f>
        <v/>
      </c>
      <c r="L334" s="7">
        <f>IF($U334="","",SUMIFS('Per Line'!$L$2:$L$1501,'Per Line'!$B$2:$B$1501,$A334,'Per Line'!$W$2:$W$1501,0))</f>
        <v/>
      </c>
      <c r="M334" s="7">
        <f>IF($U334="","",L334*K334)</f>
        <v/>
      </c>
      <c r="N334">
        <f>IF($U334="","",Settings!$C$6)</f>
        <v/>
      </c>
      <c r="O334" s="7">
        <f>IF($U334="","",SUMIFS('Per Line'!$L$2:$L$1501,'Per Line'!$B$2:$B$1501,$A334,'Per Line'!$W$2:$W$1501,1))</f>
        <v/>
      </c>
      <c r="P334" s="7">
        <f>IF($U334="","",O334*N334)</f>
        <v/>
      </c>
      <c r="Q334" s="7">
        <f>IF($U334="","",P334+M334)</f>
        <v/>
      </c>
      <c r="R334" s="7">
        <f>IF($U334="","",S334-Q334)</f>
        <v/>
      </c>
      <c r="S334" s="7">
        <f>IF($U334="","",L334+O334)</f>
        <v/>
      </c>
      <c r="T334" s="7">
        <f>IF($U334="","",S334-Q334-H334)</f>
        <v/>
      </c>
      <c r="U334" s="16">
        <f>IF(ROWS($U$2:$U334)&lt;=MAX('Per Line'!$V$2:$V$1501),MATCH(ROWS($U$2:$U334),'Per Line'!$V$2:$V$1501,0),"")</f>
        <v/>
      </c>
      <c r="V334">
        <f>IF($U334="","",B334&amp;"|"&amp;COUNTIF($B$2:$B334,B334))</f>
        <v/>
      </c>
    </row>
    <row r="335">
      <c r="A335">
        <f>IF($U335="","",INDEX('Per Line'!$B$2:$B$1501,$U335)&amp;"")</f>
        <v/>
      </c>
      <c r="B335">
        <f>IF($U335="","","COPY "&amp;G335&amp;" %")</f>
        <v/>
      </c>
      <c r="C335" s="15" t="n"/>
      <c r="D335">
        <f>IF($U335="","",INDEX('Per Line'!$C$2:$C$1501,$U335)&amp;"")</f>
        <v/>
      </c>
      <c r="E335">
        <f>IF($U335="","",INDEX('Per Line'!$D$2:$D$1501,$U335)&amp;"")</f>
        <v/>
      </c>
      <c r="F335">
        <f>IF($U335="","",INDEX('Per Line'!$E$2:$E$1501,$U335)&amp;"")</f>
        <v/>
      </c>
      <c r="G335">
        <f>IF($U335="","",INDEX('Per Line'!$F$2:$F$1501,$U335))</f>
        <v/>
      </c>
      <c r="H335" s="7">
        <f>IF($U335="","",G335*S335/100)</f>
        <v/>
      </c>
      <c r="I335" s="14">
        <f>IF($U335="","",INDEX('Per Line'!$R$2:$R$1501,$U335))</f>
        <v/>
      </c>
      <c r="J335">
        <f>IF($U335="","",INDEX('Per Line'!$Q$2:$Q$1501,$U335)&amp;"")</f>
        <v/>
      </c>
      <c r="K335">
        <f>IF($U335="","",Settings!$C$7)</f>
        <v/>
      </c>
      <c r="L335" s="7">
        <f>IF($U335="","",SUMIFS('Per Line'!$L$2:$L$1501,'Per Line'!$B$2:$B$1501,$A335,'Per Line'!$W$2:$W$1501,0))</f>
        <v/>
      </c>
      <c r="M335" s="7">
        <f>IF($U335="","",L335*K335)</f>
        <v/>
      </c>
      <c r="N335">
        <f>IF($U335="","",Settings!$C$6)</f>
        <v/>
      </c>
      <c r="O335" s="7">
        <f>IF($U335="","",SUMIFS('Per Line'!$L$2:$L$1501,'Per Line'!$B$2:$B$1501,$A335,'Per Line'!$W$2:$W$1501,1))</f>
        <v/>
      </c>
      <c r="P335" s="7">
        <f>IF($U335="","",O335*N335)</f>
        <v/>
      </c>
      <c r="Q335" s="7">
        <f>IF($U335="","",P335+M335)</f>
        <v/>
      </c>
      <c r="R335" s="7">
        <f>IF($U335="","",S335-Q335)</f>
        <v/>
      </c>
      <c r="S335" s="7">
        <f>IF($U335="","",L335+O335)</f>
        <v/>
      </c>
      <c r="T335" s="7">
        <f>IF($U335="","",S335-Q335-H335)</f>
        <v/>
      </c>
      <c r="U335" s="16">
        <f>IF(ROWS($U$2:$U335)&lt;=MAX('Per Line'!$V$2:$V$1501),MATCH(ROWS($U$2:$U335),'Per Line'!$V$2:$V$1501,0),"")</f>
        <v/>
      </c>
      <c r="V335">
        <f>IF($U335="","",B335&amp;"|"&amp;COUNTIF($B$2:$B335,B335))</f>
        <v/>
      </c>
    </row>
    <row r="336">
      <c r="A336">
        <f>IF($U336="","",INDEX('Per Line'!$B$2:$B$1501,$U336)&amp;"")</f>
        <v/>
      </c>
      <c r="B336">
        <f>IF($U336="","","COPY "&amp;G336&amp;" %")</f>
        <v/>
      </c>
      <c r="C336" s="15" t="n"/>
      <c r="D336">
        <f>IF($U336="","",INDEX('Per Line'!$C$2:$C$1501,$U336)&amp;"")</f>
        <v/>
      </c>
      <c r="E336">
        <f>IF($U336="","",INDEX('Per Line'!$D$2:$D$1501,$U336)&amp;"")</f>
        <v/>
      </c>
      <c r="F336">
        <f>IF($U336="","",INDEX('Per Line'!$E$2:$E$1501,$U336)&amp;"")</f>
        <v/>
      </c>
      <c r="G336">
        <f>IF($U336="","",INDEX('Per Line'!$F$2:$F$1501,$U336))</f>
        <v/>
      </c>
      <c r="H336" s="7">
        <f>IF($U336="","",G336*S336/100)</f>
        <v/>
      </c>
      <c r="I336" s="14">
        <f>IF($U336="","",INDEX('Per Line'!$R$2:$R$1501,$U336))</f>
        <v/>
      </c>
      <c r="J336">
        <f>IF($U336="","",INDEX('Per Line'!$Q$2:$Q$1501,$U336)&amp;"")</f>
        <v/>
      </c>
      <c r="K336">
        <f>IF($U336="","",Settings!$C$7)</f>
        <v/>
      </c>
      <c r="L336" s="7">
        <f>IF($U336="","",SUMIFS('Per Line'!$L$2:$L$1501,'Per Line'!$B$2:$B$1501,$A336,'Per Line'!$W$2:$W$1501,0))</f>
        <v/>
      </c>
      <c r="M336" s="7">
        <f>IF($U336="","",L336*K336)</f>
        <v/>
      </c>
      <c r="N336">
        <f>IF($U336="","",Settings!$C$6)</f>
        <v/>
      </c>
      <c r="O336" s="7">
        <f>IF($U336="","",SUMIFS('Per Line'!$L$2:$L$1501,'Per Line'!$B$2:$B$1501,$A336,'Per Line'!$W$2:$W$1501,1))</f>
        <v/>
      </c>
      <c r="P336" s="7">
        <f>IF($U336="","",O336*N336)</f>
        <v/>
      </c>
      <c r="Q336" s="7">
        <f>IF($U336="","",P336+M336)</f>
        <v/>
      </c>
      <c r="R336" s="7">
        <f>IF($U336="","",S336-Q336)</f>
        <v/>
      </c>
      <c r="S336" s="7">
        <f>IF($U336="","",L336+O336)</f>
        <v/>
      </c>
      <c r="T336" s="7">
        <f>IF($U336="","",S336-Q336-H336)</f>
        <v/>
      </c>
      <c r="U336" s="16">
        <f>IF(ROWS($U$2:$U336)&lt;=MAX('Per Line'!$V$2:$V$1501),MATCH(ROWS($U$2:$U336),'Per Line'!$V$2:$V$1501,0),"")</f>
        <v/>
      </c>
      <c r="V336">
        <f>IF($U336="","",B336&amp;"|"&amp;COUNTIF($B$2:$B336,B336))</f>
        <v/>
      </c>
    </row>
    <row r="337">
      <c r="A337">
        <f>IF($U337="","",INDEX('Per Line'!$B$2:$B$1501,$U337)&amp;"")</f>
        <v/>
      </c>
      <c r="B337">
        <f>IF($U337="","","COPY "&amp;G337&amp;" %")</f>
        <v/>
      </c>
      <c r="C337" s="15" t="n"/>
      <c r="D337">
        <f>IF($U337="","",INDEX('Per Line'!$C$2:$C$1501,$U337)&amp;"")</f>
        <v/>
      </c>
      <c r="E337">
        <f>IF($U337="","",INDEX('Per Line'!$D$2:$D$1501,$U337)&amp;"")</f>
        <v/>
      </c>
      <c r="F337">
        <f>IF($U337="","",INDEX('Per Line'!$E$2:$E$1501,$U337)&amp;"")</f>
        <v/>
      </c>
      <c r="G337">
        <f>IF($U337="","",INDEX('Per Line'!$F$2:$F$1501,$U337))</f>
        <v/>
      </c>
      <c r="H337" s="7">
        <f>IF($U337="","",G337*S337/100)</f>
        <v/>
      </c>
      <c r="I337" s="14">
        <f>IF($U337="","",INDEX('Per Line'!$R$2:$R$1501,$U337))</f>
        <v/>
      </c>
      <c r="J337">
        <f>IF($U337="","",INDEX('Per Line'!$Q$2:$Q$1501,$U337)&amp;"")</f>
        <v/>
      </c>
      <c r="K337">
        <f>IF($U337="","",Settings!$C$7)</f>
        <v/>
      </c>
      <c r="L337" s="7">
        <f>IF($U337="","",SUMIFS('Per Line'!$L$2:$L$1501,'Per Line'!$B$2:$B$1501,$A337,'Per Line'!$W$2:$W$1501,0))</f>
        <v/>
      </c>
      <c r="M337" s="7">
        <f>IF($U337="","",L337*K337)</f>
        <v/>
      </c>
      <c r="N337">
        <f>IF($U337="","",Settings!$C$6)</f>
        <v/>
      </c>
      <c r="O337" s="7">
        <f>IF($U337="","",SUMIFS('Per Line'!$L$2:$L$1501,'Per Line'!$B$2:$B$1501,$A337,'Per Line'!$W$2:$W$1501,1))</f>
        <v/>
      </c>
      <c r="P337" s="7">
        <f>IF($U337="","",O337*N337)</f>
        <v/>
      </c>
      <c r="Q337" s="7">
        <f>IF($U337="","",P337+M337)</f>
        <v/>
      </c>
      <c r="R337" s="7">
        <f>IF($U337="","",S337-Q337)</f>
        <v/>
      </c>
      <c r="S337" s="7">
        <f>IF($U337="","",L337+O337)</f>
        <v/>
      </c>
      <c r="T337" s="7">
        <f>IF($U337="","",S337-Q337-H337)</f>
        <v/>
      </c>
      <c r="U337" s="16">
        <f>IF(ROWS($U$2:$U337)&lt;=MAX('Per Line'!$V$2:$V$1501),MATCH(ROWS($U$2:$U337),'Per Line'!$V$2:$V$1501,0),"")</f>
        <v/>
      </c>
      <c r="V337">
        <f>IF($U337="","",B337&amp;"|"&amp;COUNTIF($B$2:$B337,B337))</f>
        <v/>
      </c>
    </row>
    <row r="338">
      <c r="A338">
        <f>IF($U338="","",INDEX('Per Line'!$B$2:$B$1501,$U338)&amp;"")</f>
        <v/>
      </c>
      <c r="B338">
        <f>IF($U338="","","COPY "&amp;G338&amp;" %")</f>
        <v/>
      </c>
      <c r="C338" s="15" t="n"/>
      <c r="D338">
        <f>IF($U338="","",INDEX('Per Line'!$C$2:$C$1501,$U338)&amp;"")</f>
        <v/>
      </c>
      <c r="E338">
        <f>IF($U338="","",INDEX('Per Line'!$D$2:$D$1501,$U338)&amp;"")</f>
        <v/>
      </c>
      <c r="F338">
        <f>IF($U338="","",INDEX('Per Line'!$E$2:$E$1501,$U338)&amp;"")</f>
        <v/>
      </c>
      <c r="G338">
        <f>IF($U338="","",INDEX('Per Line'!$F$2:$F$1501,$U338))</f>
        <v/>
      </c>
      <c r="H338" s="7">
        <f>IF($U338="","",G338*S338/100)</f>
        <v/>
      </c>
      <c r="I338" s="14">
        <f>IF($U338="","",INDEX('Per Line'!$R$2:$R$1501,$U338))</f>
        <v/>
      </c>
      <c r="J338">
        <f>IF($U338="","",INDEX('Per Line'!$Q$2:$Q$1501,$U338)&amp;"")</f>
        <v/>
      </c>
      <c r="K338">
        <f>IF($U338="","",Settings!$C$7)</f>
        <v/>
      </c>
      <c r="L338" s="7">
        <f>IF($U338="","",SUMIFS('Per Line'!$L$2:$L$1501,'Per Line'!$B$2:$B$1501,$A338,'Per Line'!$W$2:$W$1501,0))</f>
        <v/>
      </c>
      <c r="M338" s="7">
        <f>IF($U338="","",L338*K338)</f>
        <v/>
      </c>
      <c r="N338">
        <f>IF($U338="","",Settings!$C$6)</f>
        <v/>
      </c>
      <c r="O338" s="7">
        <f>IF($U338="","",SUMIFS('Per Line'!$L$2:$L$1501,'Per Line'!$B$2:$B$1501,$A338,'Per Line'!$W$2:$W$1501,1))</f>
        <v/>
      </c>
      <c r="P338" s="7">
        <f>IF($U338="","",O338*N338)</f>
        <v/>
      </c>
      <c r="Q338" s="7">
        <f>IF($U338="","",P338+M338)</f>
        <v/>
      </c>
      <c r="R338" s="7">
        <f>IF($U338="","",S338-Q338)</f>
        <v/>
      </c>
      <c r="S338" s="7">
        <f>IF($U338="","",L338+O338)</f>
        <v/>
      </c>
      <c r="T338" s="7">
        <f>IF($U338="","",S338-Q338-H338)</f>
        <v/>
      </c>
      <c r="U338" s="16">
        <f>IF(ROWS($U$2:$U338)&lt;=MAX('Per Line'!$V$2:$V$1501),MATCH(ROWS($U$2:$U338),'Per Line'!$V$2:$V$1501,0),"")</f>
        <v/>
      </c>
      <c r="V338">
        <f>IF($U338="","",B338&amp;"|"&amp;COUNTIF($B$2:$B338,B338))</f>
        <v/>
      </c>
    </row>
    <row r="339">
      <c r="A339">
        <f>IF($U339="","",INDEX('Per Line'!$B$2:$B$1501,$U339)&amp;"")</f>
        <v/>
      </c>
      <c r="B339">
        <f>IF($U339="","","COPY "&amp;G339&amp;" %")</f>
        <v/>
      </c>
      <c r="C339" s="15" t="n"/>
      <c r="D339">
        <f>IF($U339="","",INDEX('Per Line'!$C$2:$C$1501,$U339)&amp;"")</f>
        <v/>
      </c>
      <c r="E339">
        <f>IF($U339="","",INDEX('Per Line'!$D$2:$D$1501,$U339)&amp;"")</f>
        <v/>
      </c>
      <c r="F339">
        <f>IF($U339="","",INDEX('Per Line'!$E$2:$E$1501,$U339)&amp;"")</f>
        <v/>
      </c>
      <c r="G339">
        <f>IF($U339="","",INDEX('Per Line'!$F$2:$F$1501,$U339))</f>
        <v/>
      </c>
      <c r="H339" s="7">
        <f>IF($U339="","",G339*S339/100)</f>
        <v/>
      </c>
      <c r="I339" s="14">
        <f>IF($U339="","",INDEX('Per Line'!$R$2:$R$1501,$U339))</f>
        <v/>
      </c>
      <c r="J339">
        <f>IF($U339="","",INDEX('Per Line'!$Q$2:$Q$1501,$U339)&amp;"")</f>
        <v/>
      </c>
      <c r="K339">
        <f>IF($U339="","",Settings!$C$7)</f>
        <v/>
      </c>
      <c r="L339" s="7">
        <f>IF($U339="","",SUMIFS('Per Line'!$L$2:$L$1501,'Per Line'!$B$2:$B$1501,$A339,'Per Line'!$W$2:$W$1501,0))</f>
        <v/>
      </c>
      <c r="M339" s="7">
        <f>IF($U339="","",L339*K339)</f>
        <v/>
      </c>
      <c r="N339">
        <f>IF($U339="","",Settings!$C$6)</f>
        <v/>
      </c>
      <c r="O339" s="7">
        <f>IF($U339="","",SUMIFS('Per Line'!$L$2:$L$1501,'Per Line'!$B$2:$B$1501,$A339,'Per Line'!$W$2:$W$1501,1))</f>
        <v/>
      </c>
      <c r="P339" s="7">
        <f>IF($U339="","",O339*N339)</f>
        <v/>
      </c>
      <c r="Q339" s="7">
        <f>IF($U339="","",P339+M339)</f>
        <v/>
      </c>
      <c r="R339" s="7">
        <f>IF($U339="","",S339-Q339)</f>
        <v/>
      </c>
      <c r="S339" s="7">
        <f>IF($U339="","",L339+O339)</f>
        <v/>
      </c>
      <c r="T339" s="7">
        <f>IF($U339="","",S339-Q339-H339)</f>
        <v/>
      </c>
      <c r="U339" s="16">
        <f>IF(ROWS($U$2:$U339)&lt;=MAX('Per Line'!$V$2:$V$1501),MATCH(ROWS($U$2:$U339),'Per Line'!$V$2:$V$1501,0),"")</f>
        <v/>
      </c>
      <c r="V339">
        <f>IF($U339="","",B339&amp;"|"&amp;COUNTIF($B$2:$B339,B339))</f>
        <v/>
      </c>
    </row>
    <row r="340">
      <c r="A340">
        <f>IF($U340="","",INDEX('Per Line'!$B$2:$B$1501,$U340)&amp;"")</f>
        <v/>
      </c>
      <c r="B340">
        <f>IF($U340="","","COPY "&amp;G340&amp;" %")</f>
        <v/>
      </c>
      <c r="C340" s="15" t="n"/>
      <c r="D340">
        <f>IF($U340="","",INDEX('Per Line'!$C$2:$C$1501,$U340)&amp;"")</f>
        <v/>
      </c>
      <c r="E340">
        <f>IF($U340="","",INDEX('Per Line'!$D$2:$D$1501,$U340)&amp;"")</f>
        <v/>
      </c>
      <c r="F340">
        <f>IF($U340="","",INDEX('Per Line'!$E$2:$E$1501,$U340)&amp;"")</f>
        <v/>
      </c>
      <c r="G340">
        <f>IF($U340="","",INDEX('Per Line'!$F$2:$F$1501,$U340))</f>
        <v/>
      </c>
      <c r="H340" s="7">
        <f>IF($U340="","",G340*S340/100)</f>
        <v/>
      </c>
      <c r="I340" s="14">
        <f>IF($U340="","",INDEX('Per Line'!$R$2:$R$1501,$U340))</f>
        <v/>
      </c>
      <c r="J340">
        <f>IF($U340="","",INDEX('Per Line'!$Q$2:$Q$1501,$U340)&amp;"")</f>
        <v/>
      </c>
      <c r="K340">
        <f>IF($U340="","",Settings!$C$7)</f>
        <v/>
      </c>
      <c r="L340" s="7">
        <f>IF($U340="","",SUMIFS('Per Line'!$L$2:$L$1501,'Per Line'!$B$2:$B$1501,$A340,'Per Line'!$W$2:$W$1501,0))</f>
        <v/>
      </c>
      <c r="M340" s="7">
        <f>IF($U340="","",L340*K340)</f>
        <v/>
      </c>
      <c r="N340">
        <f>IF($U340="","",Settings!$C$6)</f>
        <v/>
      </c>
      <c r="O340" s="7">
        <f>IF($U340="","",SUMIFS('Per Line'!$L$2:$L$1501,'Per Line'!$B$2:$B$1501,$A340,'Per Line'!$W$2:$W$1501,1))</f>
        <v/>
      </c>
      <c r="P340" s="7">
        <f>IF($U340="","",O340*N340)</f>
        <v/>
      </c>
      <c r="Q340" s="7">
        <f>IF($U340="","",P340+M340)</f>
        <v/>
      </c>
      <c r="R340" s="7">
        <f>IF($U340="","",S340-Q340)</f>
        <v/>
      </c>
      <c r="S340" s="7">
        <f>IF($U340="","",L340+O340)</f>
        <v/>
      </c>
      <c r="T340" s="7">
        <f>IF($U340="","",S340-Q340-H340)</f>
        <v/>
      </c>
      <c r="U340" s="16">
        <f>IF(ROWS($U$2:$U340)&lt;=MAX('Per Line'!$V$2:$V$1501),MATCH(ROWS($U$2:$U340),'Per Line'!$V$2:$V$1501,0),"")</f>
        <v/>
      </c>
      <c r="V340">
        <f>IF($U340="","",B340&amp;"|"&amp;COUNTIF($B$2:$B340,B340))</f>
        <v/>
      </c>
    </row>
    <row r="341">
      <c r="A341">
        <f>IF($U341="","",INDEX('Per Line'!$B$2:$B$1501,$U341)&amp;"")</f>
        <v/>
      </c>
      <c r="B341">
        <f>IF($U341="","","COPY "&amp;G341&amp;" %")</f>
        <v/>
      </c>
      <c r="C341" s="15" t="n"/>
      <c r="D341">
        <f>IF($U341="","",INDEX('Per Line'!$C$2:$C$1501,$U341)&amp;"")</f>
        <v/>
      </c>
      <c r="E341">
        <f>IF($U341="","",INDEX('Per Line'!$D$2:$D$1501,$U341)&amp;"")</f>
        <v/>
      </c>
      <c r="F341">
        <f>IF($U341="","",INDEX('Per Line'!$E$2:$E$1501,$U341)&amp;"")</f>
        <v/>
      </c>
      <c r="G341">
        <f>IF($U341="","",INDEX('Per Line'!$F$2:$F$1501,$U341))</f>
        <v/>
      </c>
      <c r="H341" s="7">
        <f>IF($U341="","",G341*S341/100)</f>
        <v/>
      </c>
      <c r="I341" s="14">
        <f>IF($U341="","",INDEX('Per Line'!$R$2:$R$1501,$U341))</f>
        <v/>
      </c>
      <c r="J341">
        <f>IF($U341="","",INDEX('Per Line'!$Q$2:$Q$1501,$U341)&amp;"")</f>
        <v/>
      </c>
      <c r="K341">
        <f>IF($U341="","",Settings!$C$7)</f>
        <v/>
      </c>
      <c r="L341" s="7">
        <f>IF($U341="","",SUMIFS('Per Line'!$L$2:$L$1501,'Per Line'!$B$2:$B$1501,$A341,'Per Line'!$W$2:$W$1501,0))</f>
        <v/>
      </c>
      <c r="M341" s="7">
        <f>IF($U341="","",L341*K341)</f>
        <v/>
      </c>
      <c r="N341">
        <f>IF($U341="","",Settings!$C$6)</f>
        <v/>
      </c>
      <c r="O341" s="7">
        <f>IF($U341="","",SUMIFS('Per Line'!$L$2:$L$1501,'Per Line'!$B$2:$B$1501,$A341,'Per Line'!$W$2:$W$1501,1))</f>
        <v/>
      </c>
      <c r="P341" s="7">
        <f>IF($U341="","",O341*N341)</f>
        <v/>
      </c>
      <c r="Q341" s="7">
        <f>IF($U341="","",P341+M341)</f>
        <v/>
      </c>
      <c r="R341" s="7">
        <f>IF($U341="","",S341-Q341)</f>
        <v/>
      </c>
      <c r="S341" s="7">
        <f>IF($U341="","",L341+O341)</f>
        <v/>
      </c>
      <c r="T341" s="7">
        <f>IF($U341="","",S341-Q341-H341)</f>
        <v/>
      </c>
      <c r="U341" s="16">
        <f>IF(ROWS($U$2:$U341)&lt;=MAX('Per Line'!$V$2:$V$1501),MATCH(ROWS($U$2:$U341),'Per Line'!$V$2:$V$1501,0),"")</f>
        <v/>
      </c>
      <c r="V341">
        <f>IF($U341="","",B341&amp;"|"&amp;COUNTIF($B$2:$B341,B341))</f>
        <v/>
      </c>
    </row>
    <row r="342">
      <c r="A342">
        <f>IF($U342="","",INDEX('Per Line'!$B$2:$B$1501,$U342)&amp;"")</f>
        <v/>
      </c>
      <c r="B342">
        <f>IF($U342="","","COPY "&amp;G342&amp;" %")</f>
        <v/>
      </c>
      <c r="C342" s="15" t="n"/>
      <c r="D342">
        <f>IF($U342="","",INDEX('Per Line'!$C$2:$C$1501,$U342)&amp;"")</f>
        <v/>
      </c>
      <c r="E342">
        <f>IF($U342="","",INDEX('Per Line'!$D$2:$D$1501,$U342)&amp;"")</f>
        <v/>
      </c>
      <c r="F342">
        <f>IF($U342="","",INDEX('Per Line'!$E$2:$E$1501,$U342)&amp;"")</f>
        <v/>
      </c>
      <c r="G342">
        <f>IF($U342="","",INDEX('Per Line'!$F$2:$F$1501,$U342))</f>
        <v/>
      </c>
      <c r="H342" s="7">
        <f>IF($U342="","",G342*S342/100)</f>
        <v/>
      </c>
      <c r="I342" s="14">
        <f>IF($U342="","",INDEX('Per Line'!$R$2:$R$1501,$U342))</f>
        <v/>
      </c>
      <c r="J342">
        <f>IF($U342="","",INDEX('Per Line'!$Q$2:$Q$1501,$U342)&amp;"")</f>
        <v/>
      </c>
      <c r="K342">
        <f>IF($U342="","",Settings!$C$7)</f>
        <v/>
      </c>
      <c r="L342" s="7">
        <f>IF($U342="","",SUMIFS('Per Line'!$L$2:$L$1501,'Per Line'!$B$2:$B$1501,$A342,'Per Line'!$W$2:$W$1501,0))</f>
        <v/>
      </c>
      <c r="M342" s="7">
        <f>IF($U342="","",L342*K342)</f>
        <v/>
      </c>
      <c r="N342">
        <f>IF($U342="","",Settings!$C$6)</f>
        <v/>
      </c>
      <c r="O342" s="7">
        <f>IF($U342="","",SUMIFS('Per Line'!$L$2:$L$1501,'Per Line'!$B$2:$B$1501,$A342,'Per Line'!$W$2:$W$1501,1))</f>
        <v/>
      </c>
      <c r="P342" s="7">
        <f>IF($U342="","",O342*N342)</f>
        <v/>
      </c>
      <c r="Q342" s="7">
        <f>IF($U342="","",P342+M342)</f>
        <v/>
      </c>
      <c r="R342" s="7">
        <f>IF($U342="","",S342-Q342)</f>
        <v/>
      </c>
      <c r="S342" s="7">
        <f>IF($U342="","",L342+O342)</f>
        <v/>
      </c>
      <c r="T342" s="7">
        <f>IF($U342="","",S342-Q342-H342)</f>
        <v/>
      </c>
      <c r="U342" s="16">
        <f>IF(ROWS($U$2:$U342)&lt;=MAX('Per Line'!$V$2:$V$1501),MATCH(ROWS($U$2:$U342),'Per Line'!$V$2:$V$1501,0),"")</f>
        <v/>
      </c>
      <c r="V342">
        <f>IF($U342="","",B342&amp;"|"&amp;COUNTIF($B$2:$B342,B342))</f>
        <v/>
      </c>
    </row>
    <row r="343">
      <c r="A343">
        <f>IF($U343="","",INDEX('Per Line'!$B$2:$B$1501,$U343)&amp;"")</f>
        <v/>
      </c>
      <c r="B343">
        <f>IF($U343="","","COPY "&amp;G343&amp;" %")</f>
        <v/>
      </c>
      <c r="C343" s="15" t="n"/>
      <c r="D343">
        <f>IF($U343="","",INDEX('Per Line'!$C$2:$C$1501,$U343)&amp;"")</f>
        <v/>
      </c>
      <c r="E343">
        <f>IF($U343="","",INDEX('Per Line'!$D$2:$D$1501,$U343)&amp;"")</f>
        <v/>
      </c>
      <c r="F343">
        <f>IF($U343="","",INDEX('Per Line'!$E$2:$E$1501,$U343)&amp;"")</f>
        <v/>
      </c>
      <c r="G343">
        <f>IF($U343="","",INDEX('Per Line'!$F$2:$F$1501,$U343))</f>
        <v/>
      </c>
      <c r="H343" s="7">
        <f>IF($U343="","",G343*S343/100)</f>
        <v/>
      </c>
      <c r="I343" s="14">
        <f>IF($U343="","",INDEX('Per Line'!$R$2:$R$1501,$U343))</f>
        <v/>
      </c>
      <c r="J343">
        <f>IF($U343="","",INDEX('Per Line'!$Q$2:$Q$1501,$U343)&amp;"")</f>
        <v/>
      </c>
      <c r="K343">
        <f>IF($U343="","",Settings!$C$7)</f>
        <v/>
      </c>
      <c r="L343" s="7">
        <f>IF($U343="","",SUMIFS('Per Line'!$L$2:$L$1501,'Per Line'!$B$2:$B$1501,$A343,'Per Line'!$W$2:$W$1501,0))</f>
        <v/>
      </c>
      <c r="M343" s="7">
        <f>IF($U343="","",L343*K343)</f>
        <v/>
      </c>
      <c r="N343">
        <f>IF($U343="","",Settings!$C$6)</f>
        <v/>
      </c>
      <c r="O343" s="7">
        <f>IF($U343="","",SUMIFS('Per Line'!$L$2:$L$1501,'Per Line'!$B$2:$B$1501,$A343,'Per Line'!$W$2:$W$1501,1))</f>
        <v/>
      </c>
      <c r="P343" s="7">
        <f>IF($U343="","",O343*N343)</f>
        <v/>
      </c>
      <c r="Q343" s="7">
        <f>IF($U343="","",P343+M343)</f>
        <v/>
      </c>
      <c r="R343" s="7">
        <f>IF($U343="","",S343-Q343)</f>
        <v/>
      </c>
      <c r="S343" s="7">
        <f>IF($U343="","",L343+O343)</f>
        <v/>
      </c>
      <c r="T343" s="7">
        <f>IF($U343="","",S343-Q343-H343)</f>
        <v/>
      </c>
      <c r="U343" s="16">
        <f>IF(ROWS($U$2:$U343)&lt;=MAX('Per Line'!$V$2:$V$1501),MATCH(ROWS($U$2:$U343),'Per Line'!$V$2:$V$1501,0),"")</f>
        <v/>
      </c>
      <c r="V343">
        <f>IF($U343="","",B343&amp;"|"&amp;COUNTIF($B$2:$B343,B343))</f>
        <v/>
      </c>
    </row>
    <row r="344">
      <c r="A344">
        <f>IF($U344="","",INDEX('Per Line'!$B$2:$B$1501,$U344)&amp;"")</f>
        <v/>
      </c>
      <c r="B344">
        <f>IF($U344="","","COPY "&amp;G344&amp;" %")</f>
        <v/>
      </c>
      <c r="C344" s="15" t="n"/>
      <c r="D344">
        <f>IF($U344="","",INDEX('Per Line'!$C$2:$C$1501,$U344)&amp;"")</f>
        <v/>
      </c>
      <c r="E344">
        <f>IF($U344="","",INDEX('Per Line'!$D$2:$D$1501,$U344)&amp;"")</f>
        <v/>
      </c>
      <c r="F344">
        <f>IF($U344="","",INDEX('Per Line'!$E$2:$E$1501,$U344)&amp;"")</f>
        <v/>
      </c>
      <c r="G344">
        <f>IF($U344="","",INDEX('Per Line'!$F$2:$F$1501,$U344))</f>
        <v/>
      </c>
      <c r="H344" s="7">
        <f>IF($U344="","",G344*S344/100)</f>
        <v/>
      </c>
      <c r="I344" s="14">
        <f>IF($U344="","",INDEX('Per Line'!$R$2:$R$1501,$U344))</f>
        <v/>
      </c>
      <c r="J344">
        <f>IF($U344="","",INDEX('Per Line'!$Q$2:$Q$1501,$U344)&amp;"")</f>
        <v/>
      </c>
      <c r="K344">
        <f>IF($U344="","",Settings!$C$7)</f>
        <v/>
      </c>
      <c r="L344" s="7">
        <f>IF($U344="","",SUMIFS('Per Line'!$L$2:$L$1501,'Per Line'!$B$2:$B$1501,$A344,'Per Line'!$W$2:$W$1501,0))</f>
        <v/>
      </c>
      <c r="M344" s="7">
        <f>IF($U344="","",L344*K344)</f>
        <v/>
      </c>
      <c r="N344">
        <f>IF($U344="","",Settings!$C$6)</f>
        <v/>
      </c>
      <c r="O344" s="7">
        <f>IF($U344="","",SUMIFS('Per Line'!$L$2:$L$1501,'Per Line'!$B$2:$B$1501,$A344,'Per Line'!$W$2:$W$1501,1))</f>
        <v/>
      </c>
      <c r="P344" s="7">
        <f>IF($U344="","",O344*N344)</f>
        <v/>
      </c>
      <c r="Q344" s="7">
        <f>IF($U344="","",P344+M344)</f>
        <v/>
      </c>
      <c r="R344" s="7">
        <f>IF($U344="","",S344-Q344)</f>
        <v/>
      </c>
      <c r="S344" s="7">
        <f>IF($U344="","",L344+O344)</f>
        <v/>
      </c>
      <c r="T344" s="7">
        <f>IF($U344="","",S344-Q344-H344)</f>
        <v/>
      </c>
      <c r="U344" s="16">
        <f>IF(ROWS($U$2:$U344)&lt;=MAX('Per Line'!$V$2:$V$1501),MATCH(ROWS($U$2:$U344),'Per Line'!$V$2:$V$1501,0),"")</f>
        <v/>
      </c>
      <c r="V344">
        <f>IF($U344="","",B344&amp;"|"&amp;COUNTIF($B$2:$B344,B344))</f>
        <v/>
      </c>
    </row>
    <row r="345">
      <c r="A345">
        <f>IF($U345="","",INDEX('Per Line'!$B$2:$B$1501,$U345)&amp;"")</f>
        <v/>
      </c>
      <c r="B345">
        <f>IF($U345="","","COPY "&amp;G345&amp;" %")</f>
        <v/>
      </c>
      <c r="C345" s="15" t="n"/>
      <c r="D345">
        <f>IF($U345="","",INDEX('Per Line'!$C$2:$C$1501,$U345)&amp;"")</f>
        <v/>
      </c>
      <c r="E345">
        <f>IF($U345="","",INDEX('Per Line'!$D$2:$D$1501,$U345)&amp;"")</f>
        <v/>
      </c>
      <c r="F345">
        <f>IF($U345="","",INDEX('Per Line'!$E$2:$E$1501,$U345)&amp;"")</f>
        <v/>
      </c>
      <c r="G345">
        <f>IF($U345="","",INDEX('Per Line'!$F$2:$F$1501,$U345))</f>
        <v/>
      </c>
      <c r="H345" s="7">
        <f>IF($U345="","",G345*S345/100)</f>
        <v/>
      </c>
      <c r="I345" s="14">
        <f>IF($U345="","",INDEX('Per Line'!$R$2:$R$1501,$U345))</f>
        <v/>
      </c>
      <c r="J345">
        <f>IF($U345="","",INDEX('Per Line'!$Q$2:$Q$1501,$U345)&amp;"")</f>
        <v/>
      </c>
      <c r="K345">
        <f>IF($U345="","",Settings!$C$7)</f>
        <v/>
      </c>
      <c r="L345" s="7">
        <f>IF($U345="","",SUMIFS('Per Line'!$L$2:$L$1501,'Per Line'!$B$2:$B$1501,$A345,'Per Line'!$W$2:$W$1501,0))</f>
        <v/>
      </c>
      <c r="M345" s="7">
        <f>IF($U345="","",L345*K345)</f>
        <v/>
      </c>
      <c r="N345">
        <f>IF($U345="","",Settings!$C$6)</f>
        <v/>
      </c>
      <c r="O345" s="7">
        <f>IF($U345="","",SUMIFS('Per Line'!$L$2:$L$1501,'Per Line'!$B$2:$B$1501,$A345,'Per Line'!$W$2:$W$1501,1))</f>
        <v/>
      </c>
      <c r="P345" s="7">
        <f>IF($U345="","",O345*N345)</f>
        <v/>
      </c>
      <c r="Q345" s="7">
        <f>IF($U345="","",P345+M345)</f>
        <v/>
      </c>
      <c r="R345" s="7">
        <f>IF($U345="","",S345-Q345)</f>
        <v/>
      </c>
      <c r="S345" s="7">
        <f>IF($U345="","",L345+O345)</f>
        <v/>
      </c>
      <c r="T345" s="7">
        <f>IF($U345="","",S345-Q345-H345)</f>
        <v/>
      </c>
      <c r="U345" s="16">
        <f>IF(ROWS($U$2:$U345)&lt;=MAX('Per Line'!$V$2:$V$1501),MATCH(ROWS($U$2:$U345),'Per Line'!$V$2:$V$1501,0),"")</f>
        <v/>
      </c>
      <c r="V345">
        <f>IF($U345="","",B345&amp;"|"&amp;COUNTIF($B$2:$B345,B345))</f>
        <v/>
      </c>
    </row>
    <row r="346">
      <c r="A346">
        <f>IF($U346="","",INDEX('Per Line'!$B$2:$B$1501,$U346)&amp;"")</f>
        <v/>
      </c>
      <c r="B346">
        <f>IF($U346="","","COPY "&amp;G346&amp;" %")</f>
        <v/>
      </c>
      <c r="C346" s="15" t="n"/>
      <c r="D346">
        <f>IF($U346="","",INDEX('Per Line'!$C$2:$C$1501,$U346)&amp;"")</f>
        <v/>
      </c>
      <c r="E346">
        <f>IF($U346="","",INDEX('Per Line'!$D$2:$D$1501,$U346)&amp;"")</f>
        <v/>
      </c>
      <c r="F346">
        <f>IF($U346="","",INDEX('Per Line'!$E$2:$E$1501,$U346)&amp;"")</f>
        <v/>
      </c>
      <c r="G346">
        <f>IF($U346="","",INDEX('Per Line'!$F$2:$F$1501,$U346))</f>
        <v/>
      </c>
      <c r="H346" s="7">
        <f>IF($U346="","",G346*S346/100)</f>
        <v/>
      </c>
      <c r="I346" s="14">
        <f>IF($U346="","",INDEX('Per Line'!$R$2:$R$1501,$U346))</f>
        <v/>
      </c>
      <c r="J346">
        <f>IF($U346="","",INDEX('Per Line'!$Q$2:$Q$1501,$U346)&amp;"")</f>
        <v/>
      </c>
      <c r="K346">
        <f>IF($U346="","",Settings!$C$7)</f>
        <v/>
      </c>
      <c r="L346" s="7">
        <f>IF($U346="","",SUMIFS('Per Line'!$L$2:$L$1501,'Per Line'!$B$2:$B$1501,$A346,'Per Line'!$W$2:$W$1501,0))</f>
        <v/>
      </c>
      <c r="M346" s="7">
        <f>IF($U346="","",L346*K346)</f>
        <v/>
      </c>
      <c r="N346">
        <f>IF($U346="","",Settings!$C$6)</f>
        <v/>
      </c>
      <c r="O346" s="7">
        <f>IF($U346="","",SUMIFS('Per Line'!$L$2:$L$1501,'Per Line'!$B$2:$B$1501,$A346,'Per Line'!$W$2:$W$1501,1))</f>
        <v/>
      </c>
      <c r="P346" s="7">
        <f>IF($U346="","",O346*N346)</f>
        <v/>
      </c>
      <c r="Q346" s="7">
        <f>IF($U346="","",P346+M346)</f>
        <v/>
      </c>
      <c r="R346" s="7">
        <f>IF($U346="","",S346-Q346)</f>
        <v/>
      </c>
      <c r="S346" s="7">
        <f>IF($U346="","",L346+O346)</f>
        <v/>
      </c>
      <c r="T346" s="7">
        <f>IF($U346="","",S346-Q346-H346)</f>
        <v/>
      </c>
      <c r="U346" s="16">
        <f>IF(ROWS($U$2:$U346)&lt;=MAX('Per Line'!$V$2:$V$1501),MATCH(ROWS($U$2:$U346),'Per Line'!$V$2:$V$1501,0),"")</f>
        <v/>
      </c>
      <c r="V346">
        <f>IF($U346="","",B346&amp;"|"&amp;COUNTIF($B$2:$B346,B346))</f>
        <v/>
      </c>
    </row>
    <row r="347">
      <c r="A347">
        <f>IF($U347="","",INDEX('Per Line'!$B$2:$B$1501,$U347)&amp;"")</f>
        <v/>
      </c>
      <c r="B347">
        <f>IF($U347="","","COPY "&amp;G347&amp;" %")</f>
        <v/>
      </c>
      <c r="C347" s="15" t="n"/>
      <c r="D347">
        <f>IF($U347="","",INDEX('Per Line'!$C$2:$C$1501,$U347)&amp;"")</f>
        <v/>
      </c>
      <c r="E347">
        <f>IF($U347="","",INDEX('Per Line'!$D$2:$D$1501,$U347)&amp;"")</f>
        <v/>
      </c>
      <c r="F347">
        <f>IF($U347="","",INDEX('Per Line'!$E$2:$E$1501,$U347)&amp;"")</f>
        <v/>
      </c>
      <c r="G347">
        <f>IF($U347="","",INDEX('Per Line'!$F$2:$F$1501,$U347))</f>
        <v/>
      </c>
      <c r="H347" s="7">
        <f>IF($U347="","",G347*S347/100)</f>
        <v/>
      </c>
      <c r="I347" s="14">
        <f>IF($U347="","",INDEX('Per Line'!$R$2:$R$1501,$U347))</f>
        <v/>
      </c>
      <c r="J347">
        <f>IF($U347="","",INDEX('Per Line'!$Q$2:$Q$1501,$U347)&amp;"")</f>
        <v/>
      </c>
      <c r="K347">
        <f>IF($U347="","",Settings!$C$7)</f>
        <v/>
      </c>
      <c r="L347" s="7">
        <f>IF($U347="","",SUMIFS('Per Line'!$L$2:$L$1501,'Per Line'!$B$2:$B$1501,$A347,'Per Line'!$W$2:$W$1501,0))</f>
        <v/>
      </c>
      <c r="M347" s="7">
        <f>IF($U347="","",L347*K347)</f>
        <v/>
      </c>
      <c r="N347">
        <f>IF($U347="","",Settings!$C$6)</f>
        <v/>
      </c>
      <c r="O347" s="7">
        <f>IF($U347="","",SUMIFS('Per Line'!$L$2:$L$1501,'Per Line'!$B$2:$B$1501,$A347,'Per Line'!$W$2:$W$1501,1))</f>
        <v/>
      </c>
      <c r="P347" s="7">
        <f>IF($U347="","",O347*N347)</f>
        <v/>
      </c>
      <c r="Q347" s="7">
        <f>IF($U347="","",P347+M347)</f>
        <v/>
      </c>
      <c r="R347" s="7">
        <f>IF($U347="","",S347-Q347)</f>
        <v/>
      </c>
      <c r="S347" s="7">
        <f>IF($U347="","",L347+O347)</f>
        <v/>
      </c>
      <c r="T347" s="7">
        <f>IF($U347="","",S347-Q347-H347)</f>
        <v/>
      </c>
      <c r="U347" s="16">
        <f>IF(ROWS($U$2:$U347)&lt;=MAX('Per Line'!$V$2:$V$1501),MATCH(ROWS($U$2:$U347),'Per Line'!$V$2:$V$1501,0),"")</f>
        <v/>
      </c>
      <c r="V347">
        <f>IF($U347="","",B347&amp;"|"&amp;COUNTIF($B$2:$B347,B347))</f>
        <v/>
      </c>
    </row>
    <row r="348">
      <c r="A348">
        <f>IF($U348="","",INDEX('Per Line'!$B$2:$B$1501,$U348)&amp;"")</f>
        <v/>
      </c>
      <c r="B348">
        <f>IF($U348="","","COPY "&amp;G348&amp;" %")</f>
        <v/>
      </c>
      <c r="C348" s="15" t="n"/>
      <c r="D348">
        <f>IF($U348="","",INDEX('Per Line'!$C$2:$C$1501,$U348)&amp;"")</f>
        <v/>
      </c>
      <c r="E348">
        <f>IF($U348="","",INDEX('Per Line'!$D$2:$D$1501,$U348)&amp;"")</f>
        <v/>
      </c>
      <c r="F348">
        <f>IF($U348="","",INDEX('Per Line'!$E$2:$E$1501,$U348)&amp;"")</f>
        <v/>
      </c>
      <c r="G348">
        <f>IF($U348="","",INDEX('Per Line'!$F$2:$F$1501,$U348))</f>
        <v/>
      </c>
      <c r="H348" s="7">
        <f>IF($U348="","",G348*S348/100)</f>
        <v/>
      </c>
      <c r="I348" s="14">
        <f>IF($U348="","",INDEX('Per Line'!$R$2:$R$1501,$U348))</f>
        <v/>
      </c>
      <c r="J348">
        <f>IF($U348="","",INDEX('Per Line'!$Q$2:$Q$1501,$U348)&amp;"")</f>
        <v/>
      </c>
      <c r="K348">
        <f>IF($U348="","",Settings!$C$7)</f>
        <v/>
      </c>
      <c r="L348" s="7">
        <f>IF($U348="","",SUMIFS('Per Line'!$L$2:$L$1501,'Per Line'!$B$2:$B$1501,$A348,'Per Line'!$W$2:$W$1501,0))</f>
        <v/>
      </c>
      <c r="M348" s="7">
        <f>IF($U348="","",L348*K348)</f>
        <v/>
      </c>
      <c r="N348">
        <f>IF($U348="","",Settings!$C$6)</f>
        <v/>
      </c>
      <c r="O348" s="7">
        <f>IF($U348="","",SUMIFS('Per Line'!$L$2:$L$1501,'Per Line'!$B$2:$B$1501,$A348,'Per Line'!$W$2:$W$1501,1))</f>
        <v/>
      </c>
      <c r="P348" s="7">
        <f>IF($U348="","",O348*N348)</f>
        <v/>
      </c>
      <c r="Q348" s="7">
        <f>IF($U348="","",P348+M348)</f>
        <v/>
      </c>
      <c r="R348" s="7">
        <f>IF($U348="","",S348-Q348)</f>
        <v/>
      </c>
      <c r="S348" s="7">
        <f>IF($U348="","",L348+O348)</f>
        <v/>
      </c>
      <c r="T348" s="7">
        <f>IF($U348="","",S348-Q348-H348)</f>
        <v/>
      </c>
      <c r="U348" s="16">
        <f>IF(ROWS($U$2:$U348)&lt;=MAX('Per Line'!$V$2:$V$1501),MATCH(ROWS($U$2:$U348),'Per Line'!$V$2:$V$1501,0),"")</f>
        <v/>
      </c>
      <c r="V348">
        <f>IF($U348="","",B348&amp;"|"&amp;COUNTIF($B$2:$B348,B348))</f>
        <v/>
      </c>
    </row>
    <row r="349">
      <c r="A349">
        <f>IF($U349="","",INDEX('Per Line'!$B$2:$B$1501,$U349)&amp;"")</f>
        <v/>
      </c>
      <c r="B349">
        <f>IF($U349="","","COPY "&amp;G349&amp;" %")</f>
        <v/>
      </c>
      <c r="C349" s="15" t="n"/>
      <c r="D349">
        <f>IF($U349="","",INDEX('Per Line'!$C$2:$C$1501,$U349)&amp;"")</f>
        <v/>
      </c>
      <c r="E349">
        <f>IF($U349="","",INDEX('Per Line'!$D$2:$D$1501,$U349)&amp;"")</f>
        <v/>
      </c>
      <c r="F349">
        <f>IF($U349="","",INDEX('Per Line'!$E$2:$E$1501,$U349)&amp;"")</f>
        <v/>
      </c>
      <c r="G349">
        <f>IF($U349="","",INDEX('Per Line'!$F$2:$F$1501,$U349))</f>
        <v/>
      </c>
      <c r="H349" s="7">
        <f>IF($U349="","",G349*S349/100)</f>
        <v/>
      </c>
      <c r="I349" s="14">
        <f>IF($U349="","",INDEX('Per Line'!$R$2:$R$1501,$U349))</f>
        <v/>
      </c>
      <c r="J349">
        <f>IF($U349="","",INDEX('Per Line'!$Q$2:$Q$1501,$U349)&amp;"")</f>
        <v/>
      </c>
      <c r="K349">
        <f>IF($U349="","",Settings!$C$7)</f>
        <v/>
      </c>
      <c r="L349" s="7">
        <f>IF($U349="","",SUMIFS('Per Line'!$L$2:$L$1501,'Per Line'!$B$2:$B$1501,$A349,'Per Line'!$W$2:$W$1501,0))</f>
        <v/>
      </c>
      <c r="M349" s="7">
        <f>IF($U349="","",L349*K349)</f>
        <v/>
      </c>
      <c r="N349">
        <f>IF($U349="","",Settings!$C$6)</f>
        <v/>
      </c>
      <c r="O349" s="7">
        <f>IF($U349="","",SUMIFS('Per Line'!$L$2:$L$1501,'Per Line'!$B$2:$B$1501,$A349,'Per Line'!$W$2:$W$1501,1))</f>
        <v/>
      </c>
      <c r="P349" s="7">
        <f>IF($U349="","",O349*N349)</f>
        <v/>
      </c>
      <c r="Q349" s="7">
        <f>IF($U349="","",P349+M349)</f>
        <v/>
      </c>
      <c r="R349" s="7">
        <f>IF($U349="","",S349-Q349)</f>
        <v/>
      </c>
      <c r="S349" s="7">
        <f>IF($U349="","",L349+O349)</f>
        <v/>
      </c>
      <c r="T349" s="7">
        <f>IF($U349="","",S349-Q349-H349)</f>
        <v/>
      </c>
      <c r="U349" s="16">
        <f>IF(ROWS($U$2:$U349)&lt;=MAX('Per Line'!$V$2:$V$1501),MATCH(ROWS($U$2:$U349),'Per Line'!$V$2:$V$1501,0),"")</f>
        <v/>
      </c>
      <c r="V349">
        <f>IF($U349="","",B349&amp;"|"&amp;COUNTIF($B$2:$B349,B349))</f>
        <v/>
      </c>
    </row>
    <row r="350">
      <c r="A350">
        <f>IF($U350="","",INDEX('Per Line'!$B$2:$B$1501,$U350)&amp;"")</f>
        <v/>
      </c>
      <c r="B350">
        <f>IF($U350="","","COPY "&amp;G350&amp;" %")</f>
        <v/>
      </c>
      <c r="C350" s="15" t="n"/>
      <c r="D350">
        <f>IF($U350="","",INDEX('Per Line'!$C$2:$C$1501,$U350)&amp;"")</f>
        <v/>
      </c>
      <c r="E350">
        <f>IF($U350="","",INDEX('Per Line'!$D$2:$D$1501,$U350)&amp;"")</f>
        <v/>
      </c>
      <c r="F350">
        <f>IF($U350="","",INDEX('Per Line'!$E$2:$E$1501,$U350)&amp;"")</f>
        <v/>
      </c>
      <c r="G350">
        <f>IF($U350="","",INDEX('Per Line'!$F$2:$F$1501,$U350))</f>
        <v/>
      </c>
      <c r="H350" s="7">
        <f>IF($U350="","",G350*S350/100)</f>
        <v/>
      </c>
      <c r="I350" s="14">
        <f>IF($U350="","",INDEX('Per Line'!$R$2:$R$1501,$U350))</f>
        <v/>
      </c>
      <c r="J350">
        <f>IF($U350="","",INDEX('Per Line'!$Q$2:$Q$1501,$U350)&amp;"")</f>
        <v/>
      </c>
      <c r="K350">
        <f>IF($U350="","",Settings!$C$7)</f>
        <v/>
      </c>
      <c r="L350" s="7">
        <f>IF($U350="","",SUMIFS('Per Line'!$L$2:$L$1501,'Per Line'!$B$2:$B$1501,$A350,'Per Line'!$W$2:$W$1501,0))</f>
        <v/>
      </c>
      <c r="M350" s="7">
        <f>IF($U350="","",L350*K350)</f>
        <v/>
      </c>
      <c r="N350">
        <f>IF($U350="","",Settings!$C$6)</f>
        <v/>
      </c>
      <c r="O350" s="7">
        <f>IF($U350="","",SUMIFS('Per Line'!$L$2:$L$1501,'Per Line'!$B$2:$B$1501,$A350,'Per Line'!$W$2:$W$1501,1))</f>
        <v/>
      </c>
      <c r="P350" s="7">
        <f>IF($U350="","",O350*N350)</f>
        <v/>
      </c>
      <c r="Q350" s="7">
        <f>IF($U350="","",P350+M350)</f>
        <v/>
      </c>
      <c r="R350" s="7">
        <f>IF($U350="","",S350-Q350)</f>
        <v/>
      </c>
      <c r="S350" s="7">
        <f>IF($U350="","",L350+O350)</f>
        <v/>
      </c>
      <c r="T350" s="7">
        <f>IF($U350="","",S350-Q350-H350)</f>
        <v/>
      </c>
      <c r="U350" s="16">
        <f>IF(ROWS($U$2:$U350)&lt;=MAX('Per Line'!$V$2:$V$1501),MATCH(ROWS($U$2:$U350),'Per Line'!$V$2:$V$1501,0),"")</f>
        <v/>
      </c>
      <c r="V350">
        <f>IF($U350="","",B350&amp;"|"&amp;COUNTIF($B$2:$B350,B350))</f>
        <v/>
      </c>
    </row>
    <row r="351">
      <c r="A351">
        <f>IF($U351="","",INDEX('Per Line'!$B$2:$B$1501,$U351)&amp;"")</f>
        <v/>
      </c>
      <c r="B351">
        <f>IF($U351="","","COPY "&amp;G351&amp;" %")</f>
        <v/>
      </c>
      <c r="C351" s="15" t="n"/>
      <c r="D351">
        <f>IF($U351="","",INDEX('Per Line'!$C$2:$C$1501,$U351)&amp;"")</f>
        <v/>
      </c>
      <c r="E351">
        <f>IF($U351="","",INDEX('Per Line'!$D$2:$D$1501,$U351)&amp;"")</f>
        <v/>
      </c>
      <c r="F351">
        <f>IF($U351="","",INDEX('Per Line'!$E$2:$E$1501,$U351)&amp;"")</f>
        <v/>
      </c>
      <c r="G351">
        <f>IF($U351="","",INDEX('Per Line'!$F$2:$F$1501,$U351))</f>
        <v/>
      </c>
      <c r="H351" s="7">
        <f>IF($U351="","",G351*S351/100)</f>
        <v/>
      </c>
      <c r="I351" s="14">
        <f>IF($U351="","",INDEX('Per Line'!$R$2:$R$1501,$U351))</f>
        <v/>
      </c>
      <c r="J351">
        <f>IF($U351="","",INDEX('Per Line'!$Q$2:$Q$1501,$U351)&amp;"")</f>
        <v/>
      </c>
      <c r="K351">
        <f>IF($U351="","",Settings!$C$7)</f>
        <v/>
      </c>
      <c r="L351" s="7">
        <f>IF($U351="","",SUMIFS('Per Line'!$L$2:$L$1501,'Per Line'!$B$2:$B$1501,$A351,'Per Line'!$W$2:$W$1501,0))</f>
        <v/>
      </c>
      <c r="M351" s="7">
        <f>IF($U351="","",L351*K351)</f>
        <v/>
      </c>
      <c r="N351">
        <f>IF($U351="","",Settings!$C$6)</f>
        <v/>
      </c>
      <c r="O351" s="7">
        <f>IF($U351="","",SUMIFS('Per Line'!$L$2:$L$1501,'Per Line'!$B$2:$B$1501,$A351,'Per Line'!$W$2:$W$1501,1))</f>
        <v/>
      </c>
      <c r="P351" s="7">
        <f>IF($U351="","",O351*N351)</f>
        <v/>
      </c>
      <c r="Q351" s="7">
        <f>IF($U351="","",P351+M351)</f>
        <v/>
      </c>
      <c r="R351" s="7">
        <f>IF($U351="","",S351-Q351)</f>
        <v/>
      </c>
      <c r="S351" s="7">
        <f>IF($U351="","",L351+O351)</f>
        <v/>
      </c>
      <c r="T351" s="7">
        <f>IF($U351="","",S351-Q351-H351)</f>
        <v/>
      </c>
      <c r="U351" s="16">
        <f>IF(ROWS($U$2:$U351)&lt;=MAX('Per Line'!$V$2:$V$1501),MATCH(ROWS($U$2:$U351),'Per Line'!$V$2:$V$1501,0),"")</f>
        <v/>
      </c>
      <c r="V351">
        <f>IF($U351="","",B351&amp;"|"&amp;COUNTIF($B$2:$B351,B351))</f>
        <v/>
      </c>
    </row>
    <row r="352">
      <c r="A352">
        <f>IF($U352="","",INDEX('Per Line'!$B$2:$B$1501,$U352)&amp;"")</f>
        <v/>
      </c>
      <c r="B352">
        <f>IF($U352="","","COPY "&amp;G352&amp;" %")</f>
        <v/>
      </c>
      <c r="C352" s="15" t="n"/>
      <c r="D352">
        <f>IF($U352="","",INDEX('Per Line'!$C$2:$C$1501,$U352)&amp;"")</f>
        <v/>
      </c>
      <c r="E352">
        <f>IF($U352="","",INDEX('Per Line'!$D$2:$D$1501,$U352)&amp;"")</f>
        <v/>
      </c>
      <c r="F352">
        <f>IF($U352="","",INDEX('Per Line'!$E$2:$E$1501,$U352)&amp;"")</f>
        <v/>
      </c>
      <c r="G352">
        <f>IF($U352="","",INDEX('Per Line'!$F$2:$F$1501,$U352))</f>
        <v/>
      </c>
      <c r="H352" s="7">
        <f>IF($U352="","",G352*S352/100)</f>
        <v/>
      </c>
      <c r="I352" s="14">
        <f>IF($U352="","",INDEX('Per Line'!$R$2:$R$1501,$U352))</f>
        <v/>
      </c>
      <c r="J352">
        <f>IF($U352="","",INDEX('Per Line'!$Q$2:$Q$1501,$U352)&amp;"")</f>
        <v/>
      </c>
      <c r="K352">
        <f>IF($U352="","",Settings!$C$7)</f>
        <v/>
      </c>
      <c r="L352" s="7">
        <f>IF($U352="","",SUMIFS('Per Line'!$L$2:$L$1501,'Per Line'!$B$2:$B$1501,$A352,'Per Line'!$W$2:$W$1501,0))</f>
        <v/>
      </c>
      <c r="M352" s="7">
        <f>IF($U352="","",L352*K352)</f>
        <v/>
      </c>
      <c r="N352">
        <f>IF($U352="","",Settings!$C$6)</f>
        <v/>
      </c>
      <c r="O352" s="7">
        <f>IF($U352="","",SUMIFS('Per Line'!$L$2:$L$1501,'Per Line'!$B$2:$B$1501,$A352,'Per Line'!$W$2:$W$1501,1))</f>
        <v/>
      </c>
      <c r="P352" s="7">
        <f>IF($U352="","",O352*N352)</f>
        <v/>
      </c>
      <c r="Q352" s="7">
        <f>IF($U352="","",P352+M352)</f>
        <v/>
      </c>
      <c r="R352" s="7">
        <f>IF($U352="","",S352-Q352)</f>
        <v/>
      </c>
      <c r="S352" s="7">
        <f>IF($U352="","",L352+O352)</f>
        <v/>
      </c>
      <c r="T352" s="7">
        <f>IF($U352="","",S352-Q352-H352)</f>
        <v/>
      </c>
      <c r="U352" s="16">
        <f>IF(ROWS($U$2:$U352)&lt;=MAX('Per Line'!$V$2:$V$1501),MATCH(ROWS($U$2:$U352),'Per Line'!$V$2:$V$1501,0),"")</f>
        <v/>
      </c>
      <c r="V352">
        <f>IF($U352="","",B352&amp;"|"&amp;COUNTIF($B$2:$B352,B352))</f>
        <v/>
      </c>
    </row>
    <row r="353">
      <c r="A353">
        <f>IF($U353="","",INDEX('Per Line'!$B$2:$B$1501,$U353)&amp;"")</f>
        <v/>
      </c>
      <c r="B353">
        <f>IF($U353="","","COPY "&amp;G353&amp;" %")</f>
        <v/>
      </c>
      <c r="C353" s="15" t="n"/>
      <c r="D353">
        <f>IF($U353="","",INDEX('Per Line'!$C$2:$C$1501,$U353)&amp;"")</f>
        <v/>
      </c>
      <c r="E353">
        <f>IF($U353="","",INDEX('Per Line'!$D$2:$D$1501,$U353)&amp;"")</f>
        <v/>
      </c>
      <c r="F353">
        <f>IF($U353="","",INDEX('Per Line'!$E$2:$E$1501,$U353)&amp;"")</f>
        <v/>
      </c>
      <c r="G353">
        <f>IF($U353="","",INDEX('Per Line'!$F$2:$F$1501,$U353))</f>
        <v/>
      </c>
      <c r="H353" s="7">
        <f>IF($U353="","",G353*S353/100)</f>
        <v/>
      </c>
      <c r="I353" s="14">
        <f>IF($U353="","",INDEX('Per Line'!$R$2:$R$1501,$U353))</f>
        <v/>
      </c>
      <c r="J353">
        <f>IF($U353="","",INDEX('Per Line'!$Q$2:$Q$1501,$U353)&amp;"")</f>
        <v/>
      </c>
      <c r="K353">
        <f>IF($U353="","",Settings!$C$7)</f>
        <v/>
      </c>
      <c r="L353" s="7">
        <f>IF($U353="","",SUMIFS('Per Line'!$L$2:$L$1501,'Per Line'!$B$2:$B$1501,$A353,'Per Line'!$W$2:$W$1501,0))</f>
        <v/>
      </c>
      <c r="M353" s="7">
        <f>IF($U353="","",L353*K353)</f>
        <v/>
      </c>
      <c r="N353">
        <f>IF($U353="","",Settings!$C$6)</f>
        <v/>
      </c>
      <c r="O353" s="7">
        <f>IF($U353="","",SUMIFS('Per Line'!$L$2:$L$1501,'Per Line'!$B$2:$B$1501,$A353,'Per Line'!$W$2:$W$1501,1))</f>
        <v/>
      </c>
      <c r="P353" s="7">
        <f>IF($U353="","",O353*N353)</f>
        <v/>
      </c>
      <c r="Q353" s="7">
        <f>IF($U353="","",P353+M353)</f>
        <v/>
      </c>
      <c r="R353" s="7">
        <f>IF($U353="","",S353-Q353)</f>
        <v/>
      </c>
      <c r="S353" s="7">
        <f>IF($U353="","",L353+O353)</f>
        <v/>
      </c>
      <c r="T353" s="7">
        <f>IF($U353="","",S353-Q353-H353)</f>
        <v/>
      </c>
      <c r="U353" s="16">
        <f>IF(ROWS($U$2:$U353)&lt;=MAX('Per Line'!$V$2:$V$1501),MATCH(ROWS($U$2:$U353),'Per Line'!$V$2:$V$1501,0),"")</f>
        <v/>
      </c>
      <c r="V353">
        <f>IF($U353="","",B353&amp;"|"&amp;COUNTIF($B$2:$B353,B353))</f>
        <v/>
      </c>
    </row>
    <row r="354">
      <c r="A354">
        <f>IF($U354="","",INDEX('Per Line'!$B$2:$B$1501,$U354)&amp;"")</f>
        <v/>
      </c>
      <c r="B354">
        <f>IF($U354="","","COPY "&amp;G354&amp;" %")</f>
        <v/>
      </c>
      <c r="C354" s="15" t="n"/>
      <c r="D354">
        <f>IF($U354="","",INDEX('Per Line'!$C$2:$C$1501,$U354)&amp;"")</f>
        <v/>
      </c>
      <c r="E354">
        <f>IF($U354="","",INDEX('Per Line'!$D$2:$D$1501,$U354)&amp;"")</f>
        <v/>
      </c>
      <c r="F354">
        <f>IF($U354="","",INDEX('Per Line'!$E$2:$E$1501,$U354)&amp;"")</f>
        <v/>
      </c>
      <c r="G354">
        <f>IF($U354="","",INDEX('Per Line'!$F$2:$F$1501,$U354))</f>
        <v/>
      </c>
      <c r="H354" s="7">
        <f>IF($U354="","",G354*S354/100)</f>
        <v/>
      </c>
      <c r="I354" s="14">
        <f>IF($U354="","",INDEX('Per Line'!$R$2:$R$1501,$U354))</f>
        <v/>
      </c>
      <c r="J354">
        <f>IF($U354="","",INDEX('Per Line'!$Q$2:$Q$1501,$U354)&amp;"")</f>
        <v/>
      </c>
      <c r="K354">
        <f>IF($U354="","",Settings!$C$7)</f>
        <v/>
      </c>
      <c r="L354" s="7">
        <f>IF($U354="","",SUMIFS('Per Line'!$L$2:$L$1501,'Per Line'!$B$2:$B$1501,$A354,'Per Line'!$W$2:$W$1501,0))</f>
        <v/>
      </c>
      <c r="M354" s="7">
        <f>IF($U354="","",L354*K354)</f>
        <v/>
      </c>
      <c r="N354">
        <f>IF($U354="","",Settings!$C$6)</f>
        <v/>
      </c>
      <c r="O354" s="7">
        <f>IF($U354="","",SUMIFS('Per Line'!$L$2:$L$1501,'Per Line'!$B$2:$B$1501,$A354,'Per Line'!$W$2:$W$1501,1))</f>
        <v/>
      </c>
      <c r="P354" s="7">
        <f>IF($U354="","",O354*N354)</f>
        <v/>
      </c>
      <c r="Q354" s="7">
        <f>IF($U354="","",P354+M354)</f>
        <v/>
      </c>
      <c r="R354" s="7">
        <f>IF($U354="","",S354-Q354)</f>
        <v/>
      </c>
      <c r="S354" s="7">
        <f>IF($U354="","",L354+O354)</f>
        <v/>
      </c>
      <c r="T354" s="7">
        <f>IF($U354="","",S354-Q354-H354)</f>
        <v/>
      </c>
      <c r="U354" s="16">
        <f>IF(ROWS($U$2:$U354)&lt;=MAX('Per Line'!$V$2:$V$1501),MATCH(ROWS($U$2:$U354),'Per Line'!$V$2:$V$1501,0),"")</f>
        <v/>
      </c>
      <c r="V354">
        <f>IF($U354="","",B354&amp;"|"&amp;COUNTIF($B$2:$B354,B354))</f>
        <v/>
      </c>
    </row>
    <row r="355">
      <c r="A355">
        <f>IF($U355="","",INDEX('Per Line'!$B$2:$B$1501,$U355)&amp;"")</f>
        <v/>
      </c>
      <c r="B355">
        <f>IF($U355="","","COPY "&amp;G355&amp;" %")</f>
        <v/>
      </c>
      <c r="C355" s="15" t="n"/>
      <c r="D355">
        <f>IF($U355="","",INDEX('Per Line'!$C$2:$C$1501,$U355)&amp;"")</f>
        <v/>
      </c>
      <c r="E355">
        <f>IF($U355="","",INDEX('Per Line'!$D$2:$D$1501,$U355)&amp;"")</f>
        <v/>
      </c>
      <c r="F355">
        <f>IF($U355="","",INDEX('Per Line'!$E$2:$E$1501,$U355)&amp;"")</f>
        <v/>
      </c>
      <c r="G355">
        <f>IF($U355="","",INDEX('Per Line'!$F$2:$F$1501,$U355))</f>
        <v/>
      </c>
      <c r="H355" s="7">
        <f>IF($U355="","",G355*S355/100)</f>
        <v/>
      </c>
      <c r="I355" s="14">
        <f>IF($U355="","",INDEX('Per Line'!$R$2:$R$1501,$U355))</f>
        <v/>
      </c>
      <c r="J355">
        <f>IF($U355="","",INDEX('Per Line'!$Q$2:$Q$1501,$U355)&amp;"")</f>
        <v/>
      </c>
      <c r="K355">
        <f>IF($U355="","",Settings!$C$7)</f>
        <v/>
      </c>
      <c r="L355" s="7">
        <f>IF($U355="","",SUMIFS('Per Line'!$L$2:$L$1501,'Per Line'!$B$2:$B$1501,$A355,'Per Line'!$W$2:$W$1501,0))</f>
        <v/>
      </c>
      <c r="M355" s="7">
        <f>IF($U355="","",L355*K355)</f>
        <v/>
      </c>
      <c r="N355">
        <f>IF($U355="","",Settings!$C$6)</f>
        <v/>
      </c>
      <c r="O355" s="7">
        <f>IF($U355="","",SUMIFS('Per Line'!$L$2:$L$1501,'Per Line'!$B$2:$B$1501,$A355,'Per Line'!$W$2:$W$1501,1))</f>
        <v/>
      </c>
      <c r="P355" s="7">
        <f>IF($U355="","",O355*N355)</f>
        <v/>
      </c>
      <c r="Q355" s="7">
        <f>IF($U355="","",P355+M355)</f>
        <v/>
      </c>
      <c r="R355" s="7">
        <f>IF($U355="","",S355-Q355)</f>
        <v/>
      </c>
      <c r="S355" s="7">
        <f>IF($U355="","",L355+O355)</f>
        <v/>
      </c>
      <c r="T355" s="7">
        <f>IF($U355="","",S355-Q355-H355)</f>
        <v/>
      </c>
      <c r="U355" s="16">
        <f>IF(ROWS($U$2:$U355)&lt;=MAX('Per Line'!$V$2:$V$1501),MATCH(ROWS($U$2:$U355),'Per Line'!$V$2:$V$1501,0),"")</f>
        <v/>
      </c>
      <c r="V355">
        <f>IF($U355="","",B355&amp;"|"&amp;COUNTIF($B$2:$B355,B355))</f>
        <v/>
      </c>
    </row>
    <row r="356">
      <c r="A356">
        <f>IF($U356="","",INDEX('Per Line'!$B$2:$B$1501,$U356)&amp;"")</f>
        <v/>
      </c>
      <c r="B356">
        <f>IF($U356="","","COPY "&amp;G356&amp;" %")</f>
        <v/>
      </c>
      <c r="C356" s="15" t="n"/>
      <c r="D356">
        <f>IF($U356="","",INDEX('Per Line'!$C$2:$C$1501,$U356)&amp;"")</f>
        <v/>
      </c>
      <c r="E356">
        <f>IF($U356="","",INDEX('Per Line'!$D$2:$D$1501,$U356)&amp;"")</f>
        <v/>
      </c>
      <c r="F356">
        <f>IF($U356="","",INDEX('Per Line'!$E$2:$E$1501,$U356)&amp;"")</f>
        <v/>
      </c>
      <c r="G356">
        <f>IF($U356="","",INDEX('Per Line'!$F$2:$F$1501,$U356))</f>
        <v/>
      </c>
      <c r="H356" s="7">
        <f>IF($U356="","",G356*S356/100)</f>
        <v/>
      </c>
      <c r="I356" s="14">
        <f>IF($U356="","",INDEX('Per Line'!$R$2:$R$1501,$U356))</f>
        <v/>
      </c>
      <c r="J356">
        <f>IF($U356="","",INDEX('Per Line'!$Q$2:$Q$1501,$U356)&amp;"")</f>
        <v/>
      </c>
      <c r="K356">
        <f>IF($U356="","",Settings!$C$7)</f>
        <v/>
      </c>
      <c r="L356" s="7">
        <f>IF($U356="","",SUMIFS('Per Line'!$L$2:$L$1501,'Per Line'!$B$2:$B$1501,$A356,'Per Line'!$W$2:$W$1501,0))</f>
        <v/>
      </c>
      <c r="M356" s="7">
        <f>IF($U356="","",L356*K356)</f>
        <v/>
      </c>
      <c r="N356">
        <f>IF($U356="","",Settings!$C$6)</f>
        <v/>
      </c>
      <c r="O356" s="7">
        <f>IF($U356="","",SUMIFS('Per Line'!$L$2:$L$1501,'Per Line'!$B$2:$B$1501,$A356,'Per Line'!$W$2:$W$1501,1))</f>
        <v/>
      </c>
      <c r="P356" s="7">
        <f>IF($U356="","",O356*N356)</f>
        <v/>
      </c>
      <c r="Q356" s="7">
        <f>IF($U356="","",P356+M356)</f>
        <v/>
      </c>
      <c r="R356" s="7">
        <f>IF($U356="","",S356-Q356)</f>
        <v/>
      </c>
      <c r="S356" s="7">
        <f>IF($U356="","",L356+O356)</f>
        <v/>
      </c>
      <c r="T356" s="7">
        <f>IF($U356="","",S356-Q356-H356)</f>
        <v/>
      </c>
      <c r="U356" s="16">
        <f>IF(ROWS($U$2:$U356)&lt;=MAX('Per Line'!$V$2:$V$1501),MATCH(ROWS($U$2:$U356),'Per Line'!$V$2:$V$1501,0),"")</f>
        <v/>
      </c>
      <c r="V356">
        <f>IF($U356="","",B356&amp;"|"&amp;COUNTIF($B$2:$B356,B356))</f>
        <v/>
      </c>
    </row>
    <row r="357">
      <c r="A357">
        <f>IF($U357="","",INDEX('Per Line'!$B$2:$B$1501,$U357)&amp;"")</f>
        <v/>
      </c>
      <c r="B357">
        <f>IF($U357="","","COPY "&amp;G357&amp;" %")</f>
        <v/>
      </c>
      <c r="C357" s="15" t="n"/>
      <c r="D357">
        <f>IF($U357="","",INDEX('Per Line'!$C$2:$C$1501,$U357)&amp;"")</f>
        <v/>
      </c>
      <c r="E357">
        <f>IF($U357="","",INDEX('Per Line'!$D$2:$D$1501,$U357)&amp;"")</f>
        <v/>
      </c>
      <c r="F357">
        <f>IF($U357="","",INDEX('Per Line'!$E$2:$E$1501,$U357)&amp;"")</f>
        <v/>
      </c>
      <c r="G357">
        <f>IF($U357="","",INDEX('Per Line'!$F$2:$F$1501,$U357))</f>
        <v/>
      </c>
      <c r="H357" s="7">
        <f>IF($U357="","",G357*S357/100)</f>
        <v/>
      </c>
      <c r="I357" s="14">
        <f>IF($U357="","",INDEX('Per Line'!$R$2:$R$1501,$U357))</f>
        <v/>
      </c>
      <c r="J357">
        <f>IF($U357="","",INDEX('Per Line'!$Q$2:$Q$1501,$U357)&amp;"")</f>
        <v/>
      </c>
      <c r="K357">
        <f>IF($U357="","",Settings!$C$7)</f>
        <v/>
      </c>
      <c r="L357" s="7">
        <f>IF($U357="","",SUMIFS('Per Line'!$L$2:$L$1501,'Per Line'!$B$2:$B$1501,$A357,'Per Line'!$W$2:$W$1501,0))</f>
        <v/>
      </c>
      <c r="M357" s="7">
        <f>IF($U357="","",L357*K357)</f>
        <v/>
      </c>
      <c r="N357">
        <f>IF($U357="","",Settings!$C$6)</f>
        <v/>
      </c>
      <c r="O357" s="7">
        <f>IF($U357="","",SUMIFS('Per Line'!$L$2:$L$1501,'Per Line'!$B$2:$B$1501,$A357,'Per Line'!$W$2:$W$1501,1))</f>
        <v/>
      </c>
      <c r="P357" s="7">
        <f>IF($U357="","",O357*N357)</f>
        <v/>
      </c>
      <c r="Q357" s="7">
        <f>IF($U357="","",P357+M357)</f>
        <v/>
      </c>
      <c r="R357" s="7">
        <f>IF($U357="","",S357-Q357)</f>
        <v/>
      </c>
      <c r="S357" s="7">
        <f>IF($U357="","",L357+O357)</f>
        <v/>
      </c>
      <c r="T357" s="7">
        <f>IF($U357="","",S357-Q357-H357)</f>
        <v/>
      </c>
      <c r="U357" s="16">
        <f>IF(ROWS($U$2:$U357)&lt;=MAX('Per Line'!$V$2:$V$1501),MATCH(ROWS($U$2:$U357),'Per Line'!$V$2:$V$1501,0),"")</f>
        <v/>
      </c>
      <c r="V357">
        <f>IF($U357="","",B357&amp;"|"&amp;COUNTIF($B$2:$B357,B357))</f>
        <v/>
      </c>
    </row>
    <row r="358">
      <c r="A358">
        <f>IF($U358="","",INDEX('Per Line'!$B$2:$B$1501,$U358)&amp;"")</f>
        <v/>
      </c>
      <c r="B358">
        <f>IF($U358="","","COPY "&amp;G358&amp;" %")</f>
        <v/>
      </c>
      <c r="C358" s="15" t="n"/>
      <c r="D358">
        <f>IF($U358="","",INDEX('Per Line'!$C$2:$C$1501,$U358)&amp;"")</f>
        <v/>
      </c>
      <c r="E358">
        <f>IF($U358="","",INDEX('Per Line'!$D$2:$D$1501,$U358)&amp;"")</f>
        <v/>
      </c>
      <c r="F358">
        <f>IF($U358="","",INDEX('Per Line'!$E$2:$E$1501,$U358)&amp;"")</f>
        <v/>
      </c>
      <c r="G358">
        <f>IF($U358="","",INDEX('Per Line'!$F$2:$F$1501,$U358))</f>
        <v/>
      </c>
      <c r="H358" s="7">
        <f>IF($U358="","",G358*S358/100)</f>
        <v/>
      </c>
      <c r="I358" s="14">
        <f>IF($U358="","",INDEX('Per Line'!$R$2:$R$1501,$U358))</f>
        <v/>
      </c>
      <c r="J358">
        <f>IF($U358="","",INDEX('Per Line'!$Q$2:$Q$1501,$U358)&amp;"")</f>
        <v/>
      </c>
      <c r="K358">
        <f>IF($U358="","",Settings!$C$7)</f>
        <v/>
      </c>
      <c r="L358" s="7">
        <f>IF($U358="","",SUMIFS('Per Line'!$L$2:$L$1501,'Per Line'!$B$2:$B$1501,$A358,'Per Line'!$W$2:$W$1501,0))</f>
        <v/>
      </c>
      <c r="M358" s="7">
        <f>IF($U358="","",L358*K358)</f>
        <v/>
      </c>
      <c r="N358">
        <f>IF($U358="","",Settings!$C$6)</f>
        <v/>
      </c>
      <c r="O358" s="7">
        <f>IF($U358="","",SUMIFS('Per Line'!$L$2:$L$1501,'Per Line'!$B$2:$B$1501,$A358,'Per Line'!$W$2:$W$1501,1))</f>
        <v/>
      </c>
      <c r="P358" s="7">
        <f>IF($U358="","",O358*N358)</f>
        <v/>
      </c>
      <c r="Q358" s="7">
        <f>IF($U358="","",P358+M358)</f>
        <v/>
      </c>
      <c r="R358" s="7">
        <f>IF($U358="","",S358-Q358)</f>
        <v/>
      </c>
      <c r="S358" s="7">
        <f>IF($U358="","",L358+O358)</f>
        <v/>
      </c>
      <c r="T358" s="7">
        <f>IF($U358="","",S358-Q358-H358)</f>
        <v/>
      </c>
      <c r="U358" s="16">
        <f>IF(ROWS($U$2:$U358)&lt;=MAX('Per Line'!$V$2:$V$1501),MATCH(ROWS($U$2:$U358),'Per Line'!$V$2:$V$1501,0),"")</f>
        <v/>
      </c>
      <c r="V358">
        <f>IF($U358="","",B358&amp;"|"&amp;COUNTIF($B$2:$B358,B358))</f>
        <v/>
      </c>
    </row>
    <row r="359">
      <c r="A359">
        <f>IF($U359="","",INDEX('Per Line'!$B$2:$B$1501,$U359)&amp;"")</f>
        <v/>
      </c>
      <c r="B359">
        <f>IF($U359="","","COPY "&amp;G359&amp;" %")</f>
        <v/>
      </c>
      <c r="C359" s="15" t="n"/>
      <c r="D359">
        <f>IF($U359="","",INDEX('Per Line'!$C$2:$C$1501,$U359)&amp;"")</f>
        <v/>
      </c>
      <c r="E359">
        <f>IF($U359="","",INDEX('Per Line'!$D$2:$D$1501,$U359)&amp;"")</f>
        <v/>
      </c>
      <c r="F359">
        <f>IF($U359="","",INDEX('Per Line'!$E$2:$E$1501,$U359)&amp;"")</f>
        <v/>
      </c>
      <c r="G359">
        <f>IF($U359="","",INDEX('Per Line'!$F$2:$F$1501,$U359))</f>
        <v/>
      </c>
      <c r="H359" s="7">
        <f>IF($U359="","",G359*S359/100)</f>
        <v/>
      </c>
      <c r="I359" s="14">
        <f>IF($U359="","",INDEX('Per Line'!$R$2:$R$1501,$U359))</f>
        <v/>
      </c>
      <c r="J359">
        <f>IF($U359="","",INDEX('Per Line'!$Q$2:$Q$1501,$U359)&amp;"")</f>
        <v/>
      </c>
      <c r="K359">
        <f>IF($U359="","",Settings!$C$7)</f>
        <v/>
      </c>
      <c r="L359" s="7">
        <f>IF($U359="","",SUMIFS('Per Line'!$L$2:$L$1501,'Per Line'!$B$2:$B$1501,$A359,'Per Line'!$W$2:$W$1501,0))</f>
        <v/>
      </c>
      <c r="M359" s="7">
        <f>IF($U359="","",L359*K359)</f>
        <v/>
      </c>
      <c r="N359">
        <f>IF($U359="","",Settings!$C$6)</f>
        <v/>
      </c>
      <c r="O359" s="7">
        <f>IF($U359="","",SUMIFS('Per Line'!$L$2:$L$1501,'Per Line'!$B$2:$B$1501,$A359,'Per Line'!$W$2:$W$1501,1))</f>
        <v/>
      </c>
      <c r="P359" s="7">
        <f>IF($U359="","",O359*N359)</f>
        <v/>
      </c>
      <c r="Q359" s="7">
        <f>IF($U359="","",P359+M359)</f>
        <v/>
      </c>
      <c r="R359" s="7">
        <f>IF($U359="","",S359-Q359)</f>
        <v/>
      </c>
      <c r="S359" s="7">
        <f>IF($U359="","",L359+O359)</f>
        <v/>
      </c>
      <c r="T359" s="7">
        <f>IF($U359="","",S359-Q359-H359)</f>
        <v/>
      </c>
      <c r="U359" s="16">
        <f>IF(ROWS($U$2:$U359)&lt;=MAX('Per Line'!$V$2:$V$1501),MATCH(ROWS($U$2:$U359),'Per Line'!$V$2:$V$1501,0),"")</f>
        <v/>
      </c>
      <c r="V359">
        <f>IF($U359="","",B359&amp;"|"&amp;COUNTIF($B$2:$B359,B359))</f>
        <v/>
      </c>
    </row>
    <row r="360">
      <c r="A360">
        <f>IF($U360="","",INDEX('Per Line'!$B$2:$B$1501,$U360)&amp;"")</f>
        <v/>
      </c>
      <c r="B360">
        <f>IF($U360="","","COPY "&amp;G360&amp;" %")</f>
        <v/>
      </c>
      <c r="C360" s="15" t="n"/>
      <c r="D360">
        <f>IF($U360="","",INDEX('Per Line'!$C$2:$C$1501,$U360)&amp;"")</f>
        <v/>
      </c>
      <c r="E360">
        <f>IF($U360="","",INDEX('Per Line'!$D$2:$D$1501,$U360)&amp;"")</f>
        <v/>
      </c>
      <c r="F360">
        <f>IF($U360="","",INDEX('Per Line'!$E$2:$E$1501,$U360)&amp;"")</f>
        <v/>
      </c>
      <c r="G360">
        <f>IF($U360="","",INDEX('Per Line'!$F$2:$F$1501,$U360))</f>
        <v/>
      </c>
      <c r="H360" s="7">
        <f>IF($U360="","",G360*S360/100)</f>
        <v/>
      </c>
      <c r="I360" s="14">
        <f>IF($U360="","",INDEX('Per Line'!$R$2:$R$1501,$U360))</f>
        <v/>
      </c>
      <c r="J360">
        <f>IF($U360="","",INDEX('Per Line'!$Q$2:$Q$1501,$U360)&amp;"")</f>
        <v/>
      </c>
      <c r="K360">
        <f>IF($U360="","",Settings!$C$7)</f>
        <v/>
      </c>
      <c r="L360" s="7">
        <f>IF($U360="","",SUMIFS('Per Line'!$L$2:$L$1501,'Per Line'!$B$2:$B$1501,$A360,'Per Line'!$W$2:$W$1501,0))</f>
        <v/>
      </c>
      <c r="M360" s="7">
        <f>IF($U360="","",L360*K360)</f>
        <v/>
      </c>
      <c r="N360">
        <f>IF($U360="","",Settings!$C$6)</f>
        <v/>
      </c>
      <c r="O360" s="7">
        <f>IF($U360="","",SUMIFS('Per Line'!$L$2:$L$1501,'Per Line'!$B$2:$B$1501,$A360,'Per Line'!$W$2:$W$1501,1))</f>
        <v/>
      </c>
      <c r="P360" s="7">
        <f>IF($U360="","",O360*N360)</f>
        <v/>
      </c>
      <c r="Q360" s="7">
        <f>IF($U360="","",P360+M360)</f>
        <v/>
      </c>
      <c r="R360" s="7">
        <f>IF($U360="","",S360-Q360)</f>
        <v/>
      </c>
      <c r="S360" s="7">
        <f>IF($U360="","",L360+O360)</f>
        <v/>
      </c>
      <c r="T360" s="7">
        <f>IF($U360="","",S360-Q360-H360)</f>
        <v/>
      </c>
      <c r="U360" s="16">
        <f>IF(ROWS($U$2:$U360)&lt;=MAX('Per Line'!$V$2:$V$1501),MATCH(ROWS($U$2:$U360),'Per Line'!$V$2:$V$1501,0),"")</f>
        <v/>
      </c>
      <c r="V360">
        <f>IF($U360="","",B360&amp;"|"&amp;COUNTIF($B$2:$B360,B360))</f>
        <v/>
      </c>
    </row>
    <row r="361">
      <c r="A361">
        <f>IF($U361="","",INDEX('Per Line'!$B$2:$B$1501,$U361)&amp;"")</f>
        <v/>
      </c>
      <c r="B361">
        <f>IF($U361="","","COPY "&amp;G361&amp;" %")</f>
        <v/>
      </c>
      <c r="C361" s="15" t="n"/>
      <c r="D361">
        <f>IF($U361="","",INDEX('Per Line'!$C$2:$C$1501,$U361)&amp;"")</f>
        <v/>
      </c>
      <c r="E361">
        <f>IF($U361="","",INDEX('Per Line'!$D$2:$D$1501,$U361)&amp;"")</f>
        <v/>
      </c>
      <c r="F361">
        <f>IF($U361="","",INDEX('Per Line'!$E$2:$E$1501,$U361)&amp;"")</f>
        <v/>
      </c>
      <c r="G361">
        <f>IF($U361="","",INDEX('Per Line'!$F$2:$F$1501,$U361))</f>
        <v/>
      </c>
      <c r="H361" s="7">
        <f>IF($U361="","",G361*S361/100)</f>
        <v/>
      </c>
      <c r="I361" s="14">
        <f>IF($U361="","",INDEX('Per Line'!$R$2:$R$1501,$U361))</f>
        <v/>
      </c>
      <c r="J361">
        <f>IF($U361="","",INDEX('Per Line'!$Q$2:$Q$1501,$U361)&amp;"")</f>
        <v/>
      </c>
      <c r="K361">
        <f>IF($U361="","",Settings!$C$7)</f>
        <v/>
      </c>
      <c r="L361" s="7">
        <f>IF($U361="","",SUMIFS('Per Line'!$L$2:$L$1501,'Per Line'!$B$2:$B$1501,$A361,'Per Line'!$W$2:$W$1501,0))</f>
        <v/>
      </c>
      <c r="M361" s="7">
        <f>IF($U361="","",L361*K361)</f>
        <v/>
      </c>
      <c r="N361">
        <f>IF($U361="","",Settings!$C$6)</f>
        <v/>
      </c>
      <c r="O361" s="7">
        <f>IF($U361="","",SUMIFS('Per Line'!$L$2:$L$1501,'Per Line'!$B$2:$B$1501,$A361,'Per Line'!$W$2:$W$1501,1))</f>
        <v/>
      </c>
      <c r="P361" s="7">
        <f>IF($U361="","",O361*N361)</f>
        <v/>
      </c>
      <c r="Q361" s="7">
        <f>IF($U361="","",P361+M361)</f>
        <v/>
      </c>
      <c r="R361" s="7">
        <f>IF($U361="","",S361-Q361)</f>
        <v/>
      </c>
      <c r="S361" s="7">
        <f>IF($U361="","",L361+O361)</f>
        <v/>
      </c>
      <c r="T361" s="7">
        <f>IF($U361="","",S361-Q361-H361)</f>
        <v/>
      </c>
      <c r="U361" s="16">
        <f>IF(ROWS($U$2:$U361)&lt;=MAX('Per Line'!$V$2:$V$1501),MATCH(ROWS($U$2:$U361),'Per Line'!$V$2:$V$1501,0),"")</f>
        <v/>
      </c>
      <c r="V361">
        <f>IF($U361="","",B361&amp;"|"&amp;COUNTIF($B$2:$B361,B361))</f>
        <v/>
      </c>
    </row>
    <row r="362">
      <c r="A362">
        <f>IF($U362="","",INDEX('Per Line'!$B$2:$B$1501,$U362)&amp;"")</f>
        <v/>
      </c>
      <c r="B362">
        <f>IF($U362="","","COPY "&amp;G362&amp;" %")</f>
        <v/>
      </c>
      <c r="C362" s="15" t="n"/>
      <c r="D362">
        <f>IF($U362="","",INDEX('Per Line'!$C$2:$C$1501,$U362)&amp;"")</f>
        <v/>
      </c>
      <c r="E362">
        <f>IF($U362="","",INDEX('Per Line'!$D$2:$D$1501,$U362)&amp;"")</f>
        <v/>
      </c>
      <c r="F362">
        <f>IF($U362="","",INDEX('Per Line'!$E$2:$E$1501,$U362)&amp;"")</f>
        <v/>
      </c>
      <c r="G362">
        <f>IF($U362="","",INDEX('Per Line'!$F$2:$F$1501,$U362))</f>
        <v/>
      </c>
      <c r="H362" s="7">
        <f>IF($U362="","",G362*S362/100)</f>
        <v/>
      </c>
      <c r="I362" s="14">
        <f>IF($U362="","",INDEX('Per Line'!$R$2:$R$1501,$U362))</f>
        <v/>
      </c>
      <c r="J362">
        <f>IF($U362="","",INDEX('Per Line'!$Q$2:$Q$1501,$U362)&amp;"")</f>
        <v/>
      </c>
      <c r="K362">
        <f>IF($U362="","",Settings!$C$7)</f>
        <v/>
      </c>
      <c r="L362" s="7">
        <f>IF($U362="","",SUMIFS('Per Line'!$L$2:$L$1501,'Per Line'!$B$2:$B$1501,$A362,'Per Line'!$W$2:$W$1501,0))</f>
        <v/>
      </c>
      <c r="M362" s="7">
        <f>IF($U362="","",L362*K362)</f>
        <v/>
      </c>
      <c r="N362">
        <f>IF($U362="","",Settings!$C$6)</f>
        <v/>
      </c>
      <c r="O362" s="7">
        <f>IF($U362="","",SUMIFS('Per Line'!$L$2:$L$1501,'Per Line'!$B$2:$B$1501,$A362,'Per Line'!$W$2:$W$1501,1))</f>
        <v/>
      </c>
      <c r="P362" s="7">
        <f>IF($U362="","",O362*N362)</f>
        <v/>
      </c>
      <c r="Q362" s="7">
        <f>IF($U362="","",P362+M362)</f>
        <v/>
      </c>
      <c r="R362" s="7">
        <f>IF($U362="","",S362-Q362)</f>
        <v/>
      </c>
      <c r="S362" s="7">
        <f>IF($U362="","",L362+O362)</f>
        <v/>
      </c>
      <c r="T362" s="7">
        <f>IF($U362="","",S362-Q362-H362)</f>
        <v/>
      </c>
      <c r="U362" s="16">
        <f>IF(ROWS($U$2:$U362)&lt;=MAX('Per Line'!$V$2:$V$1501),MATCH(ROWS($U$2:$U362),'Per Line'!$V$2:$V$1501,0),"")</f>
        <v/>
      </c>
      <c r="V362">
        <f>IF($U362="","",B362&amp;"|"&amp;COUNTIF($B$2:$B362,B362))</f>
        <v/>
      </c>
    </row>
    <row r="363">
      <c r="A363">
        <f>IF($U363="","",INDEX('Per Line'!$B$2:$B$1501,$U363)&amp;"")</f>
        <v/>
      </c>
      <c r="B363">
        <f>IF($U363="","","COPY "&amp;G363&amp;" %")</f>
        <v/>
      </c>
      <c r="C363" s="15" t="n"/>
      <c r="D363">
        <f>IF($U363="","",INDEX('Per Line'!$C$2:$C$1501,$U363)&amp;"")</f>
        <v/>
      </c>
      <c r="E363">
        <f>IF($U363="","",INDEX('Per Line'!$D$2:$D$1501,$U363)&amp;"")</f>
        <v/>
      </c>
      <c r="F363">
        <f>IF($U363="","",INDEX('Per Line'!$E$2:$E$1501,$U363)&amp;"")</f>
        <v/>
      </c>
      <c r="G363">
        <f>IF($U363="","",INDEX('Per Line'!$F$2:$F$1501,$U363))</f>
        <v/>
      </c>
      <c r="H363" s="7">
        <f>IF($U363="","",G363*S363/100)</f>
        <v/>
      </c>
      <c r="I363" s="14">
        <f>IF($U363="","",INDEX('Per Line'!$R$2:$R$1501,$U363))</f>
        <v/>
      </c>
      <c r="J363">
        <f>IF($U363="","",INDEX('Per Line'!$Q$2:$Q$1501,$U363)&amp;"")</f>
        <v/>
      </c>
      <c r="K363">
        <f>IF($U363="","",Settings!$C$7)</f>
        <v/>
      </c>
      <c r="L363" s="7">
        <f>IF($U363="","",SUMIFS('Per Line'!$L$2:$L$1501,'Per Line'!$B$2:$B$1501,$A363,'Per Line'!$W$2:$W$1501,0))</f>
        <v/>
      </c>
      <c r="M363" s="7">
        <f>IF($U363="","",L363*K363)</f>
        <v/>
      </c>
      <c r="N363">
        <f>IF($U363="","",Settings!$C$6)</f>
        <v/>
      </c>
      <c r="O363" s="7">
        <f>IF($U363="","",SUMIFS('Per Line'!$L$2:$L$1501,'Per Line'!$B$2:$B$1501,$A363,'Per Line'!$W$2:$W$1501,1))</f>
        <v/>
      </c>
      <c r="P363" s="7">
        <f>IF($U363="","",O363*N363)</f>
        <v/>
      </c>
      <c r="Q363" s="7">
        <f>IF($U363="","",P363+M363)</f>
        <v/>
      </c>
      <c r="R363" s="7">
        <f>IF($U363="","",S363-Q363)</f>
        <v/>
      </c>
      <c r="S363" s="7">
        <f>IF($U363="","",L363+O363)</f>
        <v/>
      </c>
      <c r="T363" s="7">
        <f>IF($U363="","",S363-Q363-H363)</f>
        <v/>
      </c>
      <c r="U363" s="16">
        <f>IF(ROWS($U$2:$U363)&lt;=MAX('Per Line'!$V$2:$V$1501),MATCH(ROWS($U$2:$U363),'Per Line'!$V$2:$V$1501,0),"")</f>
        <v/>
      </c>
      <c r="V363">
        <f>IF($U363="","",B363&amp;"|"&amp;COUNTIF($B$2:$B363,B363))</f>
        <v/>
      </c>
    </row>
    <row r="364">
      <c r="A364">
        <f>IF($U364="","",INDEX('Per Line'!$B$2:$B$1501,$U364)&amp;"")</f>
        <v/>
      </c>
      <c r="B364">
        <f>IF($U364="","","COPY "&amp;G364&amp;" %")</f>
        <v/>
      </c>
      <c r="C364" s="15" t="n"/>
      <c r="D364">
        <f>IF($U364="","",INDEX('Per Line'!$C$2:$C$1501,$U364)&amp;"")</f>
        <v/>
      </c>
      <c r="E364">
        <f>IF($U364="","",INDEX('Per Line'!$D$2:$D$1501,$U364)&amp;"")</f>
        <v/>
      </c>
      <c r="F364">
        <f>IF($U364="","",INDEX('Per Line'!$E$2:$E$1501,$U364)&amp;"")</f>
        <v/>
      </c>
      <c r="G364">
        <f>IF($U364="","",INDEX('Per Line'!$F$2:$F$1501,$U364))</f>
        <v/>
      </c>
      <c r="H364" s="7">
        <f>IF($U364="","",G364*S364/100)</f>
        <v/>
      </c>
      <c r="I364" s="14">
        <f>IF($U364="","",INDEX('Per Line'!$R$2:$R$1501,$U364))</f>
        <v/>
      </c>
      <c r="J364">
        <f>IF($U364="","",INDEX('Per Line'!$Q$2:$Q$1501,$U364)&amp;"")</f>
        <v/>
      </c>
      <c r="K364">
        <f>IF($U364="","",Settings!$C$7)</f>
        <v/>
      </c>
      <c r="L364" s="7">
        <f>IF($U364="","",SUMIFS('Per Line'!$L$2:$L$1501,'Per Line'!$B$2:$B$1501,$A364,'Per Line'!$W$2:$W$1501,0))</f>
        <v/>
      </c>
      <c r="M364" s="7">
        <f>IF($U364="","",L364*K364)</f>
        <v/>
      </c>
      <c r="N364">
        <f>IF($U364="","",Settings!$C$6)</f>
        <v/>
      </c>
      <c r="O364" s="7">
        <f>IF($U364="","",SUMIFS('Per Line'!$L$2:$L$1501,'Per Line'!$B$2:$B$1501,$A364,'Per Line'!$W$2:$W$1501,1))</f>
        <v/>
      </c>
      <c r="P364" s="7">
        <f>IF($U364="","",O364*N364)</f>
        <v/>
      </c>
      <c r="Q364" s="7">
        <f>IF($U364="","",P364+M364)</f>
        <v/>
      </c>
      <c r="R364" s="7">
        <f>IF($U364="","",S364-Q364)</f>
        <v/>
      </c>
      <c r="S364" s="7">
        <f>IF($U364="","",L364+O364)</f>
        <v/>
      </c>
      <c r="T364" s="7">
        <f>IF($U364="","",S364-Q364-H364)</f>
        <v/>
      </c>
      <c r="U364" s="16">
        <f>IF(ROWS($U$2:$U364)&lt;=MAX('Per Line'!$V$2:$V$1501),MATCH(ROWS($U$2:$U364),'Per Line'!$V$2:$V$1501,0),"")</f>
        <v/>
      </c>
      <c r="V364">
        <f>IF($U364="","",B364&amp;"|"&amp;COUNTIF($B$2:$B364,B364))</f>
        <v/>
      </c>
    </row>
    <row r="365">
      <c r="A365">
        <f>IF($U365="","",INDEX('Per Line'!$B$2:$B$1501,$U365)&amp;"")</f>
        <v/>
      </c>
      <c r="B365">
        <f>IF($U365="","","COPY "&amp;G365&amp;" %")</f>
        <v/>
      </c>
      <c r="C365" s="15" t="n"/>
      <c r="D365">
        <f>IF($U365="","",INDEX('Per Line'!$C$2:$C$1501,$U365)&amp;"")</f>
        <v/>
      </c>
      <c r="E365">
        <f>IF($U365="","",INDEX('Per Line'!$D$2:$D$1501,$U365)&amp;"")</f>
        <v/>
      </c>
      <c r="F365">
        <f>IF($U365="","",INDEX('Per Line'!$E$2:$E$1501,$U365)&amp;"")</f>
        <v/>
      </c>
      <c r="G365">
        <f>IF($U365="","",INDEX('Per Line'!$F$2:$F$1501,$U365))</f>
        <v/>
      </c>
      <c r="H365" s="7">
        <f>IF($U365="","",G365*S365/100)</f>
        <v/>
      </c>
      <c r="I365" s="14">
        <f>IF($U365="","",INDEX('Per Line'!$R$2:$R$1501,$U365))</f>
        <v/>
      </c>
      <c r="J365">
        <f>IF($U365="","",INDEX('Per Line'!$Q$2:$Q$1501,$U365)&amp;"")</f>
        <v/>
      </c>
      <c r="K365">
        <f>IF($U365="","",Settings!$C$7)</f>
        <v/>
      </c>
      <c r="L365" s="7">
        <f>IF($U365="","",SUMIFS('Per Line'!$L$2:$L$1501,'Per Line'!$B$2:$B$1501,$A365,'Per Line'!$W$2:$W$1501,0))</f>
        <v/>
      </c>
      <c r="M365" s="7">
        <f>IF($U365="","",L365*K365)</f>
        <v/>
      </c>
      <c r="N365">
        <f>IF($U365="","",Settings!$C$6)</f>
        <v/>
      </c>
      <c r="O365" s="7">
        <f>IF($U365="","",SUMIFS('Per Line'!$L$2:$L$1501,'Per Line'!$B$2:$B$1501,$A365,'Per Line'!$W$2:$W$1501,1))</f>
        <v/>
      </c>
      <c r="P365" s="7">
        <f>IF($U365="","",O365*N365)</f>
        <v/>
      </c>
      <c r="Q365" s="7">
        <f>IF($U365="","",P365+M365)</f>
        <v/>
      </c>
      <c r="R365" s="7">
        <f>IF($U365="","",S365-Q365)</f>
        <v/>
      </c>
      <c r="S365" s="7">
        <f>IF($U365="","",L365+O365)</f>
        <v/>
      </c>
      <c r="T365" s="7">
        <f>IF($U365="","",S365-Q365-H365)</f>
        <v/>
      </c>
      <c r="U365" s="16">
        <f>IF(ROWS($U$2:$U365)&lt;=MAX('Per Line'!$V$2:$V$1501),MATCH(ROWS($U$2:$U365),'Per Line'!$V$2:$V$1501,0),"")</f>
        <v/>
      </c>
      <c r="V365">
        <f>IF($U365="","",B365&amp;"|"&amp;COUNTIF($B$2:$B365,B365))</f>
        <v/>
      </c>
    </row>
    <row r="366">
      <c r="A366">
        <f>IF($U366="","",INDEX('Per Line'!$B$2:$B$1501,$U366)&amp;"")</f>
        <v/>
      </c>
      <c r="B366">
        <f>IF($U366="","","COPY "&amp;G366&amp;" %")</f>
        <v/>
      </c>
      <c r="C366" s="15" t="n"/>
      <c r="D366">
        <f>IF($U366="","",INDEX('Per Line'!$C$2:$C$1501,$U366)&amp;"")</f>
        <v/>
      </c>
      <c r="E366">
        <f>IF($U366="","",INDEX('Per Line'!$D$2:$D$1501,$U366)&amp;"")</f>
        <v/>
      </c>
      <c r="F366">
        <f>IF($U366="","",INDEX('Per Line'!$E$2:$E$1501,$U366)&amp;"")</f>
        <v/>
      </c>
      <c r="G366">
        <f>IF($U366="","",INDEX('Per Line'!$F$2:$F$1501,$U366))</f>
        <v/>
      </c>
      <c r="H366" s="7">
        <f>IF($U366="","",G366*S366/100)</f>
        <v/>
      </c>
      <c r="I366" s="14">
        <f>IF($U366="","",INDEX('Per Line'!$R$2:$R$1501,$U366))</f>
        <v/>
      </c>
      <c r="J366">
        <f>IF($U366="","",INDEX('Per Line'!$Q$2:$Q$1501,$U366)&amp;"")</f>
        <v/>
      </c>
      <c r="K366">
        <f>IF($U366="","",Settings!$C$7)</f>
        <v/>
      </c>
      <c r="L366" s="7">
        <f>IF($U366="","",SUMIFS('Per Line'!$L$2:$L$1501,'Per Line'!$B$2:$B$1501,$A366,'Per Line'!$W$2:$W$1501,0))</f>
        <v/>
      </c>
      <c r="M366" s="7">
        <f>IF($U366="","",L366*K366)</f>
        <v/>
      </c>
      <c r="N366">
        <f>IF($U366="","",Settings!$C$6)</f>
        <v/>
      </c>
      <c r="O366" s="7">
        <f>IF($U366="","",SUMIFS('Per Line'!$L$2:$L$1501,'Per Line'!$B$2:$B$1501,$A366,'Per Line'!$W$2:$W$1501,1))</f>
        <v/>
      </c>
      <c r="P366" s="7">
        <f>IF($U366="","",O366*N366)</f>
        <v/>
      </c>
      <c r="Q366" s="7">
        <f>IF($U366="","",P366+M366)</f>
        <v/>
      </c>
      <c r="R366" s="7">
        <f>IF($U366="","",S366-Q366)</f>
        <v/>
      </c>
      <c r="S366" s="7">
        <f>IF($U366="","",L366+O366)</f>
        <v/>
      </c>
      <c r="T366" s="7">
        <f>IF($U366="","",S366-Q366-H366)</f>
        <v/>
      </c>
      <c r="U366" s="16">
        <f>IF(ROWS($U$2:$U366)&lt;=MAX('Per Line'!$V$2:$V$1501),MATCH(ROWS($U$2:$U366),'Per Line'!$V$2:$V$1501,0),"")</f>
        <v/>
      </c>
      <c r="V366">
        <f>IF($U366="","",B366&amp;"|"&amp;COUNTIF($B$2:$B366,B366))</f>
        <v/>
      </c>
    </row>
    <row r="367">
      <c r="A367">
        <f>IF($U367="","",INDEX('Per Line'!$B$2:$B$1501,$U367)&amp;"")</f>
        <v/>
      </c>
      <c r="B367">
        <f>IF($U367="","","COPY "&amp;G367&amp;" %")</f>
        <v/>
      </c>
      <c r="C367" s="15" t="n"/>
      <c r="D367">
        <f>IF($U367="","",INDEX('Per Line'!$C$2:$C$1501,$U367)&amp;"")</f>
        <v/>
      </c>
      <c r="E367">
        <f>IF($U367="","",INDEX('Per Line'!$D$2:$D$1501,$U367)&amp;"")</f>
        <v/>
      </c>
      <c r="F367">
        <f>IF($U367="","",INDEX('Per Line'!$E$2:$E$1501,$U367)&amp;"")</f>
        <v/>
      </c>
      <c r="G367">
        <f>IF($U367="","",INDEX('Per Line'!$F$2:$F$1501,$U367))</f>
        <v/>
      </c>
      <c r="H367" s="7">
        <f>IF($U367="","",G367*S367/100)</f>
        <v/>
      </c>
      <c r="I367" s="14">
        <f>IF($U367="","",INDEX('Per Line'!$R$2:$R$1501,$U367))</f>
        <v/>
      </c>
      <c r="J367">
        <f>IF($U367="","",INDEX('Per Line'!$Q$2:$Q$1501,$U367)&amp;"")</f>
        <v/>
      </c>
      <c r="K367">
        <f>IF($U367="","",Settings!$C$7)</f>
        <v/>
      </c>
      <c r="L367" s="7">
        <f>IF($U367="","",SUMIFS('Per Line'!$L$2:$L$1501,'Per Line'!$B$2:$B$1501,$A367,'Per Line'!$W$2:$W$1501,0))</f>
        <v/>
      </c>
      <c r="M367" s="7">
        <f>IF($U367="","",L367*K367)</f>
        <v/>
      </c>
      <c r="N367">
        <f>IF($U367="","",Settings!$C$6)</f>
        <v/>
      </c>
      <c r="O367" s="7">
        <f>IF($U367="","",SUMIFS('Per Line'!$L$2:$L$1501,'Per Line'!$B$2:$B$1501,$A367,'Per Line'!$W$2:$W$1501,1))</f>
        <v/>
      </c>
      <c r="P367" s="7">
        <f>IF($U367="","",O367*N367)</f>
        <v/>
      </c>
      <c r="Q367" s="7">
        <f>IF($U367="","",P367+M367)</f>
        <v/>
      </c>
      <c r="R367" s="7">
        <f>IF($U367="","",S367-Q367)</f>
        <v/>
      </c>
      <c r="S367" s="7">
        <f>IF($U367="","",L367+O367)</f>
        <v/>
      </c>
      <c r="T367" s="7">
        <f>IF($U367="","",S367-Q367-H367)</f>
        <v/>
      </c>
      <c r="U367" s="16">
        <f>IF(ROWS($U$2:$U367)&lt;=MAX('Per Line'!$V$2:$V$1501),MATCH(ROWS($U$2:$U367),'Per Line'!$V$2:$V$1501,0),"")</f>
        <v/>
      </c>
      <c r="V367">
        <f>IF($U367="","",B367&amp;"|"&amp;COUNTIF($B$2:$B367,B367))</f>
        <v/>
      </c>
    </row>
    <row r="368">
      <c r="A368">
        <f>IF($U368="","",INDEX('Per Line'!$B$2:$B$1501,$U368)&amp;"")</f>
        <v/>
      </c>
      <c r="B368">
        <f>IF($U368="","","COPY "&amp;G368&amp;" %")</f>
        <v/>
      </c>
      <c r="C368" s="15" t="n"/>
      <c r="D368">
        <f>IF($U368="","",INDEX('Per Line'!$C$2:$C$1501,$U368)&amp;"")</f>
        <v/>
      </c>
      <c r="E368">
        <f>IF($U368="","",INDEX('Per Line'!$D$2:$D$1501,$U368)&amp;"")</f>
        <v/>
      </c>
      <c r="F368">
        <f>IF($U368="","",INDEX('Per Line'!$E$2:$E$1501,$U368)&amp;"")</f>
        <v/>
      </c>
      <c r="G368">
        <f>IF($U368="","",INDEX('Per Line'!$F$2:$F$1501,$U368))</f>
        <v/>
      </c>
      <c r="H368" s="7">
        <f>IF($U368="","",G368*S368/100)</f>
        <v/>
      </c>
      <c r="I368" s="14">
        <f>IF($U368="","",INDEX('Per Line'!$R$2:$R$1501,$U368))</f>
        <v/>
      </c>
      <c r="J368">
        <f>IF($U368="","",INDEX('Per Line'!$Q$2:$Q$1501,$U368)&amp;"")</f>
        <v/>
      </c>
      <c r="K368">
        <f>IF($U368="","",Settings!$C$7)</f>
        <v/>
      </c>
      <c r="L368" s="7">
        <f>IF($U368="","",SUMIFS('Per Line'!$L$2:$L$1501,'Per Line'!$B$2:$B$1501,$A368,'Per Line'!$W$2:$W$1501,0))</f>
        <v/>
      </c>
      <c r="M368" s="7">
        <f>IF($U368="","",L368*K368)</f>
        <v/>
      </c>
      <c r="N368">
        <f>IF($U368="","",Settings!$C$6)</f>
        <v/>
      </c>
      <c r="O368" s="7">
        <f>IF($U368="","",SUMIFS('Per Line'!$L$2:$L$1501,'Per Line'!$B$2:$B$1501,$A368,'Per Line'!$W$2:$W$1501,1))</f>
        <v/>
      </c>
      <c r="P368" s="7">
        <f>IF($U368="","",O368*N368)</f>
        <v/>
      </c>
      <c r="Q368" s="7">
        <f>IF($U368="","",P368+M368)</f>
        <v/>
      </c>
      <c r="R368" s="7">
        <f>IF($U368="","",S368-Q368)</f>
        <v/>
      </c>
      <c r="S368" s="7">
        <f>IF($U368="","",L368+O368)</f>
        <v/>
      </c>
      <c r="T368" s="7">
        <f>IF($U368="","",S368-Q368-H368)</f>
        <v/>
      </c>
      <c r="U368" s="16">
        <f>IF(ROWS($U$2:$U368)&lt;=MAX('Per Line'!$V$2:$V$1501),MATCH(ROWS($U$2:$U368),'Per Line'!$V$2:$V$1501,0),"")</f>
        <v/>
      </c>
      <c r="V368">
        <f>IF($U368="","",B368&amp;"|"&amp;COUNTIF($B$2:$B368,B368))</f>
        <v/>
      </c>
    </row>
    <row r="369">
      <c r="A369">
        <f>IF($U369="","",INDEX('Per Line'!$B$2:$B$1501,$U369)&amp;"")</f>
        <v/>
      </c>
      <c r="B369">
        <f>IF($U369="","","COPY "&amp;G369&amp;" %")</f>
        <v/>
      </c>
      <c r="C369" s="15" t="n"/>
      <c r="D369">
        <f>IF($U369="","",INDEX('Per Line'!$C$2:$C$1501,$U369)&amp;"")</f>
        <v/>
      </c>
      <c r="E369">
        <f>IF($U369="","",INDEX('Per Line'!$D$2:$D$1501,$U369)&amp;"")</f>
        <v/>
      </c>
      <c r="F369">
        <f>IF($U369="","",INDEX('Per Line'!$E$2:$E$1501,$U369)&amp;"")</f>
        <v/>
      </c>
      <c r="G369">
        <f>IF($U369="","",INDEX('Per Line'!$F$2:$F$1501,$U369))</f>
        <v/>
      </c>
      <c r="H369" s="7">
        <f>IF($U369="","",G369*S369/100)</f>
        <v/>
      </c>
      <c r="I369" s="14">
        <f>IF($U369="","",INDEX('Per Line'!$R$2:$R$1501,$U369))</f>
        <v/>
      </c>
      <c r="J369">
        <f>IF($U369="","",INDEX('Per Line'!$Q$2:$Q$1501,$U369)&amp;"")</f>
        <v/>
      </c>
      <c r="K369">
        <f>IF($U369="","",Settings!$C$7)</f>
        <v/>
      </c>
      <c r="L369" s="7">
        <f>IF($U369="","",SUMIFS('Per Line'!$L$2:$L$1501,'Per Line'!$B$2:$B$1501,$A369,'Per Line'!$W$2:$W$1501,0))</f>
        <v/>
      </c>
      <c r="M369" s="7">
        <f>IF($U369="","",L369*K369)</f>
        <v/>
      </c>
      <c r="N369">
        <f>IF($U369="","",Settings!$C$6)</f>
        <v/>
      </c>
      <c r="O369" s="7">
        <f>IF($U369="","",SUMIFS('Per Line'!$L$2:$L$1501,'Per Line'!$B$2:$B$1501,$A369,'Per Line'!$W$2:$W$1501,1))</f>
        <v/>
      </c>
      <c r="P369" s="7">
        <f>IF($U369="","",O369*N369)</f>
        <v/>
      </c>
      <c r="Q369" s="7">
        <f>IF($U369="","",P369+M369)</f>
        <v/>
      </c>
      <c r="R369" s="7">
        <f>IF($U369="","",S369-Q369)</f>
        <v/>
      </c>
      <c r="S369" s="7">
        <f>IF($U369="","",L369+O369)</f>
        <v/>
      </c>
      <c r="T369" s="7">
        <f>IF($U369="","",S369-Q369-H369)</f>
        <v/>
      </c>
      <c r="U369" s="16">
        <f>IF(ROWS($U$2:$U369)&lt;=MAX('Per Line'!$V$2:$V$1501),MATCH(ROWS($U$2:$U369),'Per Line'!$V$2:$V$1501,0),"")</f>
        <v/>
      </c>
      <c r="V369">
        <f>IF($U369="","",B369&amp;"|"&amp;COUNTIF($B$2:$B369,B369))</f>
        <v/>
      </c>
    </row>
    <row r="370">
      <c r="A370">
        <f>IF($U370="","",INDEX('Per Line'!$B$2:$B$1501,$U370)&amp;"")</f>
        <v/>
      </c>
      <c r="B370">
        <f>IF($U370="","","COPY "&amp;G370&amp;" %")</f>
        <v/>
      </c>
      <c r="C370" s="15" t="n"/>
      <c r="D370">
        <f>IF($U370="","",INDEX('Per Line'!$C$2:$C$1501,$U370)&amp;"")</f>
        <v/>
      </c>
      <c r="E370">
        <f>IF($U370="","",INDEX('Per Line'!$D$2:$D$1501,$U370)&amp;"")</f>
        <v/>
      </c>
      <c r="F370">
        <f>IF($U370="","",INDEX('Per Line'!$E$2:$E$1501,$U370)&amp;"")</f>
        <v/>
      </c>
      <c r="G370">
        <f>IF($U370="","",INDEX('Per Line'!$F$2:$F$1501,$U370))</f>
        <v/>
      </c>
      <c r="H370" s="7">
        <f>IF($U370="","",G370*S370/100)</f>
        <v/>
      </c>
      <c r="I370" s="14">
        <f>IF($U370="","",INDEX('Per Line'!$R$2:$R$1501,$U370))</f>
        <v/>
      </c>
      <c r="J370">
        <f>IF($U370="","",INDEX('Per Line'!$Q$2:$Q$1501,$U370)&amp;"")</f>
        <v/>
      </c>
      <c r="K370">
        <f>IF($U370="","",Settings!$C$7)</f>
        <v/>
      </c>
      <c r="L370" s="7">
        <f>IF($U370="","",SUMIFS('Per Line'!$L$2:$L$1501,'Per Line'!$B$2:$B$1501,$A370,'Per Line'!$W$2:$W$1501,0))</f>
        <v/>
      </c>
      <c r="M370" s="7">
        <f>IF($U370="","",L370*K370)</f>
        <v/>
      </c>
      <c r="N370">
        <f>IF($U370="","",Settings!$C$6)</f>
        <v/>
      </c>
      <c r="O370" s="7">
        <f>IF($U370="","",SUMIFS('Per Line'!$L$2:$L$1501,'Per Line'!$B$2:$B$1501,$A370,'Per Line'!$W$2:$W$1501,1))</f>
        <v/>
      </c>
      <c r="P370" s="7">
        <f>IF($U370="","",O370*N370)</f>
        <v/>
      </c>
      <c r="Q370" s="7">
        <f>IF($U370="","",P370+M370)</f>
        <v/>
      </c>
      <c r="R370" s="7">
        <f>IF($U370="","",S370-Q370)</f>
        <v/>
      </c>
      <c r="S370" s="7">
        <f>IF($U370="","",L370+O370)</f>
        <v/>
      </c>
      <c r="T370" s="7">
        <f>IF($U370="","",S370-Q370-H370)</f>
        <v/>
      </c>
      <c r="U370" s="16">
        <f>IF(ROWS($U$2:$U370)&lt;=MAX('Per Line'!$V$2:$V$1501),MATCH(ROWS($U$2:$U370),'Per Line'!$V$2:$V$1501,0),"")</f>
        <v/>
      </c>
      <c r="V370">
        <f>IF($U370="","",B370&amp;"|"&amp;COUNTIF($B$2:$B370,B370))</f>
        <v/>
      </c>
    </row>
    <row r="371">
      <c r="A371">
        <f>IF($U371="","",INDEX('Per Line'!$B$2:$B$1501,$U371)&amp;"")</f>
        <v/>
      </c>
      <c r="B371">
        <f>IF($U371="","","COPY "&amp;G371&amp;" %")</f>
        <v/>
      </c>
      <c r="C371" s="15" t="n"/>
      <c r="D371">
        <f>IF($U371="","",INDEX('Per Line'!$C$2:$C$1501,$U371)&amp;"")</f>
        <v/>
      </c>
      <c r="E371">
        <f>IF($U371="","",INDEX('Per Line'!$D$2:$D$1501,$U371)&amp;"")</f>
        <v/>
      </c>
      <c r="F371">
        <f>IF($U371="","",INDEX('Per Line'!$E$2:$E$1501,$U371)&amp;"")</f>
        <v/>
      </c>
      <c r="G371">
        <f>IF($U371="","",INDEX('Per Line'!$F$2:$F$1501,$U371))</f>
        <v/>
      </c>
      <c r="H371" s="7">
        <f>IF($U371="","",G371*S371/100)</f>
        <v/>
      </c>
      <c r="I371" s="14">
        <f>IF($U371="","",INDEX('Per Line'!$R$2:$R$1501,$U371))</f>
        <v/>
      </c>
      <c r="J371">
        <f>IF($U371="","",INDEX('Per Line'!$Q$2:$Q$1501,$U371)&amp;"")</f>
        <v/>
      </c>
      <c r="K371">
        <f>IF($U371="","",Settings!$C$7)</f>
        <v/>
      </c>
      <c r="L371" s="7">
        <f>IF($U371="","",SUMIFS('Per Line'!$L$2:$L$1501,'Per Line'!$B$2:$B$1501,$A371,'Per Line'!$W$2:$W$1501,0))</f>
        <v/>
      </c>
      <c r="M371" s="7">
        <f>IF($U371="","",L371*K371)</f>
        <v/>
      </c>
      <c r="N371">
        <f>IF($U371="","",Settings!$C$6)</f>
        <v/>
      </c>
      <c r="O371" s="7">
        <f>IF($U371="","",SUMIFS('Per Line'!$L$2:$L$1501,'Per Line'!$B$2:$B$1501,$A371,'Per Line'!$W$2:$W$1501,1))</f>
        <v/>
      </c>
      <c r="P371" s="7">
        <f>IF($U371="","",O371*N371)</f>
        <v/>
      </c>
      <c r="Q371" s="7">
        <f>IF($U371="","",P371+M371)</f>
        <v/>
      </c>
      <c r="R371" s="7">
        <f>IF($U371="","",S371-Q371)</f>
        <v/>
      </c>
      <c r="S371" s="7">
        <f>IF($U371="","",L371+O371)</f>
        <v/>
      </c>
      <c r="T371" s="7">
        <f>IF($U371="","",S371-Q371-H371)</f>
        <v/>
      </c>
      <c r="U371" s="16">
        <f>IF(ROWS($U$2:$U371)&lt;=MAX('Per Line'!$V$2:$V$1501),MATCH(ROWS($U$2:$U371),'Per Line'!$V$2:$V$1501,0),"")</f>
        <v/>
      </c>
      <c r="V371">
        <f>IF($U371="","",B371&amp;"|"&amp;COUNTIF($B$2:$B371,B371))</f>
        <v/>
      </c>
    </row>
    <row r="372">
      <c r="A372">
        <f>IF($U372="","",INDEX('Per Line'!$B$2:$B$1501,$U372)&amp;"")</f>
        <v/>
      </c>
      <c r="B372">
        <f>IF($U372="","","COPY "&amp;G372&amp;" %")</f>
        <v/>
      </c>
      <c r="C372" s="15" t="n"/>
      <c r="D372">
        <f>IF($U372="","",INDEX('Per Line'!$C$2:$C$1501,$U372)&amp;"")</f>
        <v/>
      </c>
      <c r="E372">
        <f>IF($U372="","",INDEX('Per Line'!$D$2:$D$1501,$U372)&amp;"")</f>
        <v/>
      </c>
      <c r="F372">
        <f>IF($U372="","",INDEX('Per Line'!$E$2:$E$1501,$U372)&amp;"")</f>
        <v/>
      </c>
      <c r="G372">
        <f>IF($U372="","",INDEX('Per Line'!$F$2:$F$1501,$U372))</f>
        <v/>
      </c>
      <c r="H372" s="7">
        <f>IF($U372="","",G372*S372/100)</f>
        <v/>
      </c>
      <c r="I372" s="14">
        <f>IF($U372="","",INDEX('Per Line'!$R$2:$R$1501,$U372))</f>
        <v/>
      </c>
      <c r="J372">
        <f>IF($U372="","",INDEX('Per Line'!$Q$2:$Q$1501,$U372)&amp;"")</f>
        <v/>
      </c>
      <c r="K372">
        <f>IF($U372="","",Settings!$C$7)</f>
        <v/>
      </c>
      <c r="L372" s="7">
        <f>IF($U372="","",SUMIFS('Per Line'!$L$2:$L$1501,'Per Line'!$B$2:$B$1501,$A372,'Per Line'!$W$2:$W$1501,0))</f>
        <v/>
      </c>
      <c r="M372" s="7">
        <f>IF($U372="","",L372*K372)</f>
        <v/>
      </c>
      <c r="N372">
        <f>IF($U372="","",Settings!$C$6)</f>
        <v/>
      </c>
      <c r="O372" s="7">
        <f>IF($U372="","",SUMIFS('Per Line'!$L$2:$L$1501,'Per Line'!$B$2:$B$1501,$A372,'Per Line'!$W$2:$W$1501,1))</f>
        <v/>
      </c>
      <c r="P372" s="7">
        <f>IF($U372="","",O372*N372)</f>
        <v/>
      </c>
      <c r="Q372" s="7">
        <f>IF($U372="","",P372+M372)</f>
        <v/>
      </c>
      <c r="R372" s="7">
        <f>IF($U372="","",S372-Q372)</f>
        <v/>
      </c>
      <c r="S372" s="7">
        <f>IF($U372="","",L372+O372)</f>
        <v/>
      </c>
      <c r="T372" s="7">
        <f>IF($U372="","",S372-Q372-H372)</f>
        <v/>
      </c>
      <c r="U372" s="16">
        <f>IF(ROWS($U$2:$U372)&lt;=MAX('Per Line'!$V$2:$V$1501),MATCH(ROWS($U$2:$U372),'Per Line'!$V$2:$V$1501,0),"")</f>
        <v/>
      </c>
      <c r="V372">
        <f>IF($U372="","",B372&amp;"|"&amp;COUNTIF($B$2:$B372,B372))</f>
        <v/>
      </c>
    </row>
    <row r="373">
      <c r="A373">
        <f>IF($U373="","",INDEX('Per Line'!$B$2:$B$1501,$U373)&amp;"")</f>
        <v/>
      </c>
      <c r="B373">
        <f>IF($U373="","","COPY "&amp;G373&amp;" %")</f>
        <v/>
      </c>
      <c r="C373" s="15" t="n"/>
      <c r="D373">
        <f>IF($U373="","",INDEX('Per Line'!$C$2:$C$1501,$U373)&amp;"")</f>
        <v/>
      </c>
      <c r="E373">
        <f>IF($U373="","",INDEX('Per Line'!$D$2:$D$1501,$U373)&amp;"")</f>
        <v/>
      </c>
      <c r="F373">
        <f>IF($U373="","",INDEX('Per Line'!$E$2:$E$1501,$U373)&amp;"")</f>
        <v/>
      </c>
      <c r="G373">
        <f>IF($U373="","",INDEX('Per Line'!$F$2:$F$1501,$U373))</f>
        <v/>
      </c>
      <c r="H373" s="7">
        <f>IF($U373="","",G373*S373/100)</f>
        <v/>
      </c>
      <c r="I373" s="14">
        <f>IF($U373="","",INDEX('Per Line'!$R$2:$R$1501,$U373))</f>
        <v/>
      </c>
      <c r="J373">
        <f>IF($U373="","",INDEX('Per Line'!$Q$2:$Q$1501,$U373)&amp;"")</f>
        <v/>
      </c>
      <c r="K373">
        <f>IF($U373="","",Settings!$C$7)</f>
        <v/>
      </c>
      <c r="L373" s="7">
        <f>IF($U373="","",SUMIFS('Per Line'!$L$2:$L$1501,'Per Line'!$B$2:$B$1501,$A373,'Per Line'!$W$2:$W$1501,0))</f>
        <v/>
      </c>
      <c r="M373" s="7">
        <f>IF($U373="","",L373*K373)</f>
        <v/>
      </c>
      <c r="N373">
        <f>IF($U373="","",Settings!$C$6)</f>
        <v/>
      </c>
      <c r="O373" s="7">
        <f>IF($U373="","",SUMIFS('Per Line'!$L$2:$L$1501,'Per Line'!$B$2:$B$1501,$A373,'Per Line'!$W$2:$W$1501,1))</f>
        <v/>
      </c>
      <c r="P373" s="7">
        <f>IF($U373="","",O373*N373)</f>
        <v/>
      </c>
      <c r="Q373" s="7">
        <f>IF($U373="","",P373+M373)</f>
        <v/>
      </c>
      <c r="R373" s="7">
        <f>IF($U373="","",S373-Q373)</f>
        <v/>
      </c>
      <c r="S373" s="7">
        <f>IF($U373="","",L373+O373)</f>
        <v/>
      </c>
      <c r="T373" s="7">
        <f>IF($U373="","",S373-Q373-H373)</f>
        <v/>
      </c>
      <c r="U373" s="16">
        <f>IF(ROWS($U$2:$U373)&lt;=MAX('Per Line'!$V$2:$V$1501),MATCH(ROWS($U$2:$U373),'Per Line'!$V$2:$V$1501,0),"")</f>
        <v/>
      </c>
      <c r="V373">
        <f>IF($U373="","",B373&amp;"|"&amp;COUNTIF($B$2:$B373,B373))</f>
        <v/>
      </c>
    </row>
    <row r="374">
      <c r="A374">
        <f>IF($U374="","",INDEX('Per Line'!$B$2:$B$1501,$U374)&amp;"")</f>
        <v/>
      </c>
      <c r="B374">
        <f>IF($U374="","","COPY "&amp;G374&amp;" %")</f>
        <v/>
      </c>
      <c r="C374" s="15" t="n"/>
      <c r="D374">
        <f>IF($U374="","",INDEX('Per Line'!$C$2:$C$1501,$U374)&amp;"")</f>
        <v/>
      </c>
      <c r="E374">
        <f>IF($U374="","",INDEX('Per Line'!$D$2:$D$1501,$U374)&amp;"")</f>
        <v/>
      </c>
      <c r="F374">
        <f>IF($U374="","",INDEX('Per Line'!$E$2:$E$1501,$U374)&amp;"")</f>
        <v/>
      </c>
      <c r="G374">
        <f>IF($U374="","",INDEX('Per Line'!$F$2:$F$1501,$U374))</f>
        <v/>
      </c>
      <c r="H374" s="7">
        <f>IF($U374="","",G374*S374/100)</f>
        <v/>
      </c>
      <c r="I374" s="14">
        <f>IF($U374="","",INDEX('Per Line'!$R$2:$R$1501,$U374))</f>
        <v/>
      </c>
      <c r="J374">
        <f>IF($U374="","",INDEX('Per Line'!$Q$2:$Q$1501,$U374)&amp;"")</f>
        <v/>
      </c>
      <c r="K374">
        <f>IF($U374="","",Settings!$C$7)</f>
        <v/>
      </c>
      <c r="L374" s="7">
        <f>IF($U374="","",SUMIFS('Per Line'!$L$2:$L$1501,'Per Line'!$B$2:$B$1501,$A374,'Per Line'!$W$2:$W$1501,0))</f>
        <v/>
      </c>
      <c r="M374" s="7">
        <f>IF($U374="","",L374*K374)</f>
        <v/>
      </c>
      <c r="N374">
        <f>IF($U374="","",Settings!$C$6)</f>
        <v/>
      </c>
      <c r="O374" s="7">
        <f>IF($U374="","",SUMIFS('Per Line'!$L$2:$L$1501,'Per Line'!$B$2:$B$1501,$A374,'Per Line'!$W$2:$W$1501,1))</f>
        <v/>
      </c>
      <c r="P374" s="7">
        <f>IF($U374="","",O374*N374)</f>
        <v/>
      </c>
      <c r="Q374" s="7">
        <f>IF($U374="","",P374+M374)</f>
        <v/>
      </c>
      <c r="R374" s="7">
        <f>IF($U374="","",S374-Q374)</f>
        <v/>
      </c>
      <c r="S374" s="7">
        <f>IF($U374="","",L374+O374)</f>
        <v/>
      </c>
      <c r="T374" s="7">
        <f>IF($U374="","",S374-Q374-H374)</f>
        <v/>
      </c>
      <c r="U374" s="16">
        <f>IF(ROWS($U$2:$U374)&lt;=MAX('Per Line'!$V$2:$V$1501),MATCH(ROWS($U$2:$U374),'Per Line'!$V$2:$V$1501,0),"")</f>
        <v/>
      </c>
      <c r="V374">
        <f>IF($U374="","",B374&amp;"|"&amp;COUNTIF($B$2:$B374,B374))</f>
        <v/>
      </c>
    </row>
    <row r="375">
      <c r="A375">
        <f>IF($U375="","",INDEX('Per Line'!$B$2:$B$1501,$U375)&amp;"")</f>
        <v/>
      </c>
      <c r="B375">
        <f>IF($U375="","","COPY "&amp;G375&amp;" %")</f>
        <v/>
      </c>
      <c r="C375" s="15" t="n"/>
      <c r="D375">
        <f>IF($U375="","",INDEX('Per Line'!$C$2:$C$1501,$U375)&amp;"")</f>
        <v/>
      </c>
      <c r="E375">
        <f>IF($U375="","",INDEX('Per Line'!$D$2:$D$1501,$U375)&amp;"")</f>
        <v/>
      </c>
      <c r="F375">
        <f>IF($U375="","",INDEX('Per Line'!$E$2:$E$1501,$U375)&amp;"")</f>
        <v/>
      </c>
      <c r="G375">
        <f>IF($U375="","",INDEX('Per Line'!$F$2:$F$1501,$U375))</f>
        <v/>
      </c>
      <c r="H375" s="7">
        <f>IF($U375="","",G375*S375/100)</f>
        <v/>
      </c>
      <c r="I375" s="14">
        <f>IF($U375="","",INDEX('Per Line'!$R$2:$R$1501,$U375))</f>
        <v/>
      </c>
      <c r="J375">
        <f>IF($U375="","",INDEX('Per Line'!$Q$2:$Q$1501,$U375)&amp;"")</f>
        <v/>
      </c>
      <c r="K375">
        <f>IF($U375="","",Settings!$C$7)</f>
        <v/>
      </c>
      <c r="L375" s="7">
        <f>IF($U375="","",SUMIFS('Per Line'!$L$2:$L$1501,'Per Line'!$B$2:$B$1501,$A375,'Per Line'!$W$2:$W$1501,0))</f>
        <v/>
      </c>
      <c r="M375" s="7">
        <f>IF($U375="","",L375*K375)</f>
        <v/>
      </c>
      <c r="N375">
        <f>IF($U375="","",Settings!$C$6)</f>
        <v/>
      </c>
      <c r="O375" s="7">
        <f>IF($U375="","",SUMIFS('Per Line'!$L$2:$L$1501,'Per Line'!$B$2:$B$1501,$A375,'Per Line'!$W$2:$W$1501,1))</f>
        <v/>
      </c>
      <c r="P375" s="7">
        <f>IF($U375="","",O375*N375)</f>
        <v/>
      </c>
      <c r="Q375" s="7">
        <f>IF($U375="","",P375+M375)</f>
        <v/>
      </c>
      <c r="R375" s="7">
        <f>IF($U375="","",S375-Q375)</f>
        <v/>
      </c>
      <c r="S375" s="7">
        <f>IF($U375="","",L375+O375)</f>
        <v/>
      </c>
      <c r="T375" s="7">
        <f>IF($U375="","",S375-Q375-H375)</f>
        <v/>
      </c>
      <c r="U375" s="16">
        <f>IF(ROWS($U$2:$U375)&lt;=MAX('Per Line'!$V$2:$V$1501),MATCH(ROWS($U$2:$U375),'Per Line'!$V$2:$V$1501,0),"")</f>
        <v/>
      </c>
      <c r="V375">
        <f>IF($U375="","",B375&amp;"|"&amp;COUNTIF($B$2:$B375,B375))</f>
        <v/>
      </c>
    </row>
    <row r="376">
      <c r="A376">
        <f>IF($U376="","",INDEX('Per Line'!$B$2:$B$1501,$U376)&amp;"")</f>
        <v/>
      </c>
      <c r="B376">
        <f>IF($U376="","","COPY "&amp;G376&amp;" %")</f>
        <v/>
      </c>
      <c r="C376" s="15" t="n"/>
      <c r="D376">
        <f>IF($U376="","",INDEX('Per Line'!$C$2:$C$1501,$U376)&amp;"")</f>
        <v/>
      </c>
      <c r="E376">
        <f>IF($U376="","",INDEX('Per Line'!$D$2:$D$1501,$U376)&amp;"")</f>
        <v/>
      </c>
      <c r="F376">
        <f>IF($U376="","",INDEX('Per Line'!$E$2:$E$1501,$U376)&amp;"")</f>
        <v/>
      </c>
      <c r="G376">
        <f>IF($U376="","",INDEX('Per Line'!$F$2:$F$1501,$U376))</f>
        <v/>
      </c>
      <c r="H376" s="7">
        <f>IF($U376="","",G376*S376/100)</f>
        <v/>
      </c>
      <c r="I376" s="14">
        <f>IF($U376="","",INDEX('Per Line'!$R$2:$R$1501,$U376))</f>
        <v/>
      </c>
      <c r="J376">
        <f>IF($U376="","",INDEX('Per Line'!$Q$2:$Q$1501,$U376)&amp;"")</f>
        <v/>
      </c>
      <c r="K376">
        <f>IF($U376="","",Settings!$C$7)</f>
        <v/>
      </c>
      <c r="L376" s="7">
        <f>IF($U376="","",SUMIFS('Per Line'!$L$2:$L$1501,'Per Line'!$B$2:$B$1501,$A376,'Per Line'!$W$2:$W$1501,0))</f>
        <v/>
      </c>
      <c r="M376" s="7">
        <f>IF($U376="","",L376*K376)</f>
        <v/>
      </c>
      <c r="N376">
        <f>IF($U376="","",Settings!$C$6)</f>
        <v/>
      </c>
      <c r="O376" s="7">
        <f>IF($U376="","",SUMIFS('Per Line'!$L$2:$L$1501,'Per Line'!$B$2:$B$1501,$A376,'Per Line'!$W$2:$W$1501,1))</f>
        <v/>
      </c>
      <c r="P376" s="7">
        <f>IF($U376="","",O376*N376)</f>
        <v/>
      </c>
      <c r="Q376" s="7">
        <f>IF($U376="","",P376+M376)</f>
        <v/>
      </c>
      <c r="R376" s="7">
        <f>IF($U376="","",S376-Q376)</f>
        <v/>
      </c>
      <c r="S376" s="7">
        <f>IF($U376="","",L376+O376)</f>
        <v/>
      </c>
      <c r="T376" s="7">
        <f>IF($U376="","",S376-Q376-H376)</f>
        <v/>
      </c>
      <c r="U376" s="16">
        <f>IF(ROWS($U$2:$U376)&lt;=MAX('Per Line'!$V$2:$V$1501),MATCH(ROWS($U$2:$U376),'Per Line'!$V$2:$V$1501,0),"")</f>
        <v/>
      </c>
      <c r="V376">
        <f>IF($U376="","",B376&amp;"|"&amp;COUNTIF($B$2:$B376,B376))</f>
        <v/>
      </c>
    </row>
    <row r="377">
      <c r="A377">
        <f>IF($U377="","",INDEX('Per Line'!$B$2:$B$1501,$U377)&amp;"")</f>
        <v/>
      </c>
      <c r="B377">
        <f>IF($U377="","","COPY "&amp;G377&amp;" %")</f>
        <v/>
      </c>
      <c r="C377" s="15" t="n"/>
      <c r="D377">
        <f>IF($U377="","",INDEX('Per Line'!$C$2:$C$1501,$U377)&amp;"")</f>
        <v/>
      </c>
      <c r="E377">
        <f>IF($U377="","",INDEX('Per Line'!$D$2:$D$1501,$U377)&amp;"")</f>
        <v/>
      </c>
      <c r="F377">
        <f>IF($U377="","",INDEX('Per Line'!$E$2:$E$1501,$U377)&amp;"")</f>
        <v/>
      </c>
      <c r="G377">
        <f>IF($U377="","",INDEX('Per Line'!$F$2:$F$1501,$U377))</f>
        <v/>
      </c>
      <c r="H377" s="7">
        <f>IF($U377="","",G377*S377/100)</f>
        <v/>
      </c>
      <c r="I377" s="14">
        <f>IF($U377="","",INDEX('Per Line'!$R$2:$R$1501,$U377))</f>
        <v/>
      </c>
      <c r="J377">
        <f>IF($U377="","",INDEX('Per Line'!$Q$2:$Q$1501,$U377)&amp;"")</f>
        <v/>
      </c>
      <c r="K377">
        <f>IF($U377="","",Settings!$C$7)</f>
        <v/>
      </c>
      <c r="L377" s="7">
        <f>IF($U377="","",SUMIFS('Per Line'!$L$2:$L$1501,'Per Line'!$B$2:$B$1501,$A377,'Per Line'!$W$2:$W$1501,0))</f>
        <v/>
      </c>
      <c r="M377" s="7">
        <f>IF($U377="","",L377*K377)</f>
        <v/>
      </c>
      <c r="N377">
        <f>IF($U377="","",Settings!$C$6)</f>
        <v/>
      </c>
      <c r="O377" s="7">
        <f>IF($U377="","",SUMIFS('Per Line'!$L$2:$L$1501,'Per Line'!$B$2:$B$1501,$A377,'Per Line'!$W$2:$W$1501,1))</f>
        <v/>
      </c>
      <c r="P377" s="7">
        <f>IF($U377="","",O377*N377)</f>
        <v/>
      </c>
      <c r="Q377" s="7">
        <f>IF($U377="","",P377+M377)</f>
        <v/>
      </c>
      <c r="R377" s="7">
        <f>IF($U377="","",S377-Q377)</f>
        <v/>
      </c>
      <c r="S377" s="7">
        <f>IF($U377="","",L377+O377)</f>
        <v/>
      </c>
      <c r="T377" s="7">
        <f>IF($U377="","",S377-Q377-H377)</f>
        <v/>
      </c>
      <c r="U377" s="16">
        <f>IF(ROWS($U$2:$U377)&lt;=MAX('Per Line'!$V$2:$V$1501),MATCH(ROWS($U$2:$U377),'Per Line'!$V$2:$V$1501,0),"")</f>
        <v/>
      </c>
      <c r="V377">
        <f>IF($U377="","",B377&amp;"|"&amp;COUNTIF($B$2:$B377,B377))</f>
        <v/>
      </c>
    </row>
    <row r="378">
      <c r="A378">
        <f>IF($U378="","",INDEX('Per Line'!$B$2:$B$1501,$U378)&amp;"")</f>
        <v/>
      </c>
      <c r="B378">
        <f>IF($U378="","","COPY "&amp;G378&amp;" %")</f>
        <v/>
      </c>
      <c r="C378" s="15" t="n"/>
      <c r="D378">
        <f>IF($U378="","",INDEX('Per Line'!$C$2:$C$1501,$U378)&amp;"")</f>
        <v/>
      </c>
      <c r="E378">
        <f>IF($U378="","",INDEX('Per Line'!$D$2:$D$1501,$U378)&amp;"")</f>
        <v/>
      </c>
      <c r="F378">
        <f>IF($U378="","",INDEX('Per Line'!$E$2:$E$1501,$U378)&amp;"")</f>
        <v/>
      </c>
      <c r="G378">
        <f>IF($U378="","",INDEX('Per Line'!$F$2:$F$1501,$U378))</f>
        <v/>
      </c>
      <c r="H378" s="7">
        <f>IF($U378="","",G378*S378/100)</f>
        <v/>
      </c>
      <c r="I378" s="14">
        <f>IF($U378="","",INDEX('Per Line'!$R$2:$R$1501,$U378))</f>
        <v/>
      </c>
      <c r="J378">
        <f>IF($U378="","",INDEX('Per Line'!$Q$2:$Q$1501,$U378)&amp;"")</f>
        <v/>
      </c>
      <c r="K378">
        <f>IF($U378="","",Settings!$C$7)</f>
        <v/>
      </c>
      <c r="L378" s="7">
        <f>IF($U378="","",SUMIFS('Per Line'!$L$2:$L$1501,'Per Line'!$B$2:$B$1501,$A378,'Per Line'!$W$2:$W$1501,0))</f>
        <v/>
      </c>
      <c r="M378" s="7">
        <f>IF($U378="","",L378*K378)</f>
        <v/>
      </c>
      <c r="N378">
        <f>IF($U378="","",Settings!$C$6)</f>
        <v/>
      </c>
      <c r="O378" s="7">
        <f>IF($U378="","",SUMIFS('Per Line'!$L$2:$L$1501,'Per Line'!$B$2:$B$1501,$A378,'Per Line'!$W$2:$W$1501,1))</f>
        <v/>
      </c>
      <c r="P378" s="7">
        <f>IF($U378="","",O378*N378)</f>
        <v/>
      </c>
      <c r="Q378" s="7">
        <f>IF($U378="","",P378+M378)</f>
        <v/>
      </c>
      <c r="R378" s="7">
        <f>IF($U378="","",S378-Q378)</f>
        <v/>
      </c>
      <c r="S378" s="7">
        <f>IF($U378="","",L378+O378)</f>
        <v/>
      </c>
      <c r="T378" s="7">
        <f>IF($U378="","",S378-Q378-H378)</f>
        <v/>
      </c>
      <c r="U378" s="16">
        <f>IF(ROWS($U$2:$U378)&lt;=MAX('Per Line'!$V$2:$V$1501),MATCH(ROWS($U$2:$U378),'Per Line'!$V$2:$V$1501,0),"")</f>
        <v/>
      </c>
      <c r="V378">
        <f>IF($U378="","",B378&amp;"|"&amp;COUNTIF($B$2:$B378,B378))</f>
        <v/>
      </c>
    </row>
    <row r="379">
      <c r="A379">
        <f>IF($U379="","",INDEX('Per Line'!$B$2:$B$1501,$U379)&amp;"")</f>
        <v/>
      </c>
      <c r="B379">
        <f>IF($U379="","","COPY "&amp;G379&amp;" %")</f>
        <v/>
      </c>
      <c r="C379" s="15" t="n"/>
      <c r="D379">
        <f>IF($U379="","",INDEX('Per Line'!$C$2:$C$1501,$U379)&amp;"")</f>
        <v/>
      </c>
      <c r="E379">
        <f>IF($U379="","",INDEX('Per Line'!$D$2:$D$1501,$U379)&amp;"")</f>
        <v/>
      </c>
      <c r="F379">
        <f>IF($U379="","",INDEX('Per Line'!$E$2:$E$1501,$U379)&amp;"")</f>
        <v/>
      </c>
      <c r="G379">
        <f>IF($U379="","",INDEX('Per Line'!$F$2:$F$1501,$U379))</f>
        <v/>
      </c>
      <c r="H379" s="7">
        <f>IF($U379="","",G379*S379/100)</f>
        <v/>
      </c>
      <c r="I379" s="14">
        <f>IF($U379="","",INDEX('Per Line'!$R$2:$R$1501,$U379))</f>
        <v/>
      </c>
      <c r="J379">
        <f>IF($U379="","",INDEX('Per Line'!$Q$2:$Q$1501,$U379)&amp;"")</f>
        <v/>
      </c>
      <c r="K379">
        <f>IF($U379="","",Settings!$C$7)</f>
        <v/>
      </c>
      <c r="L379" s="7">
        <f>IF($U379="","",SUMIFS('Per Line'!$L$2:$L$1501,'Per Line'!$B$2:$B$1501,$A379,'Per Line'!$W$2:$W$1501,0))</f>
        <v/>
      </c>
      <c r="M379" s="7">
        <f>IF($U379="","",L379*K379)</f>
        <v/>
      </c>
      <c r="N379">
        <f>IF($U379="","",Settings!$C$6)</f>
        <v/>
      </c>
      <c r="O379" s="7">
        <f>IF($U379="","",SUMIFS('Per Line'!$L$2:$L$1501,'Per Line'!$B$2:$B$1501,$A379,'Per Line'!$W$2:$W$1501,1))</f>
        <v/>
      </c>
      <c r="P379" s="7">
        <f>IF($U379="","",O379*N379)</f>
        <v/>
      </c>
      <c r="Q379" s="7">
        <f>IF($U379="","",P379+M379)</f>
        <v/>
      </c>
      <c r="R379" s="7">
        <f>IF($U379="","",S379-Q379)</f>
        <v/>
      </c>
      <c r="S379" s="7">
        <f>IF($U379="","",L379+O379)</f>
        <v/>
      </c>
      <c r="T379" s="7">
        <f>IF($U379="","",S379-Q379-H379)</f>
        <v/>
      </c>
      <c r="U379" s="16">
        <f>IF(ROWS($U$2:$U379)&lt;=MAX('Per Line'!$V$2:$V$1501),MATCH(ROWS($U$2:$U379),'Per Line'!$V$2:$V$1501,0),"")</f>
        <v/>
      </c>
      <c r="V379">
        <f>IF($U379="","",B379&amp;"|"&amp;COUNTIF($B$2:$B379,B379))</f>
        <v/>
      </c>
    </row>
    <row r="380">
      <c r="A380">
        <f>IF($U380="","",INDEX('Per Line'!$B$2:$B$1501,$U380)&amp;"")</f>
        <v/>
      </c>
      <c r="B380">
        <f>IF($U380="","","COPY "&amp;G380&amp;" %")</f>
        <v/>
      </c>
      <c r="C380" s="15" t="n"/>
      <c r="D380">
        <f>IF($U380="","",INDEX('Per Line'!$C$2:$C$1501,$U380)&amp;"")</f>
        <v/>
      </c>
      <c r="E380">
        <f>IF($U380="","",INDEX('Per Line'!$D$2:$D$1501,$U380)&amp;"")</f>
        <v/>
      </c>
      <c r="F380">
        <f>IF($U380="","",INDEX('Per Line'!$E$2:$E$1501,$U380)&amp;"")</f>
        <v/>
      </c>
      <c r="G380">
        <f>IF($U380="","",INDEX('Per Line'!$F$2:$F$1501,$U380))</f>
        <v/>
      </c>
      <c r="H380" s="7">
        <f>IF($U380="","",G380*S380/100)</f>
        <v/>
      </c>
      <c r="I380" s="14">
        <f>IF($U380="","",INDEX('Per Line'!$R$2:$R$1501,$U380))</f>
        <v/>
      </c>
      <c r="J380">
        <f>IF($U380="","",INDEX('Per Line'!$Q$2:$Q$1501,$U380)&amp;"")</f>
        <v/>
      </c>
      <c r="K380">
        <f>IF($U380="","",Settings!$C$7)</f>
        <v/>
      </c>
      <c r="L380" s="7">
        <f>IF($U380="","",SUMIFS('Per Line'!$L$2:$L$1501,'Per Line'!$B$2:$B$1501,$A380,'Per Line'!$W$2:$W$1501,0))</f>
        <v/>
      </c>
      <c r="M380" s="7">
        <f>IF($U380="","",L380*K380)</f>
        <v/>
      </c>
      <c r="N380">
        <f>IF($U380="","",Settings!$C$6)</f>
        <v/>
      </c>
      <c r="O380" s="7">
        <f>IF($U380="","",SUMIFS('Per Line'!$L$2:$L$1501,'Per Line'!$B$2:$B$1501,$A380,'Per Line'!$W$2:$W$1501,1))</f>
        <v/>
      </c>
      <c r="P380" s="7">
        <f>IF($U380="","",O380*N380)</f>
        <v/>
      </c>
      <c r="Q380" s="7">
        <f>IF($U380="","",P380+M380)</f>
        <v/>
      </c>
      <c r="R380" s="7">
        <f>IF($U380="","",S380-Q380)</f>
        <v/>
      </c>
      <c r="S380" s="7">
        <f>IF($U380="","",L380+O380)</f>
        <v/>
      </c>
      <c r="T380" s="7">
        <f>IF($U380="","",S380-Q380-H380)</f>
        <v/>
      </c>
      <c r="U380" s="16">
        <f>IF(ROWS($U$2:$U380)&lt;=MAX('Per Line'!$V$2:$V$1501),MATCH(ROWS($U$2:$U380),'Per Line'!$V$2:$V$1501,0),"")</f>
        <v/>
      </c>
      <c r="V380">
        <f>IF($U380="","",B380&amp;"|"&amp;COUNTIF($B$2:$B380,B380))</f>
        <v/>
      </c>
    </row>
    <row r="381">
      <c r="A381">
        <f>IF($U381="","",INDEX('Per Line'!$B$2:$B$1501,$U381)&amp;"")</f>
        <v/>
      </c>
      <c r="B381">
        <f>IF($U381="","","COPY "&amp;G381&amp;" %")</f>
        <v/>
      </c>
      <c r="C381" s="15" t="n"/>
      <c r="D381">
        <f>IF($U381="","",INDEX('Per Line'!$C$2:$C$1501,$U381)&amp;"")</f>
        <v/>
      </c>
      <c r="E381">
        <f>IF($U381="","",INDEX('Per Line'!$D$2:$D$1501,$U381)&amp;"")</f>
        <v/>
      </c>
      <c r="F381">
        <f>IF($U381="","",INDEX('Per Line'!$E$2:$E$1501,$U381)&amp;"")</f>
        <v/>
      </c>
      <c r="G381">
        <f>IF($U381="","",INDEX('Per Line'!$F$2:$F$1501,$U381))</f>
        <v/>
      </c>
      <c r="H381" s="7">
        <f>IF($U381="","",G381*S381/100)</f>
        <v/>
      </c>
      <c r="I381" s="14">
        <f>IF($U381="","",INDEX('Per Line'!$R$2:$R$1501,$U381))</f>
        <v/>
      </c>
      <c r="J381">
        <f>IF($U381="","",INDEX('Per Line'!$Q$2:$Q$1501,$U381)&amp;"")</f>
        <v/>
      </c>
      <c r="K381">
        <f>IF($U381="","",Settings!$C$7)</f>
        <v/>
      </c>
      <c r="L381" s="7">
        <f>IF($U381="","",SUMIFS('Per Line'!$L$2:$L$1501,'Per Line'!$B$2:$B$1501,$A381,'Per Line'!$W$2:$W$1501,0))</f>
        <v/>
      </c>
      <c r="M381" s="7">
        <f>IF($U381="","",L381*K381)</f>
        <v/>
      </c>
      <c r="N381">
        <f>IF($U381="","",Settings!$C$6)</f>
        <v/>
      </c>
      <c r="O381" s="7">
        <f>IF($U381="","",SUMIFS('Per Line'!$L$2:$L$1501,'Per Line'!$B$2:$B$1501,$A381,'Per Line'!$W$2:$W$1501,1))</f>
        <v/>
      </c>
      <c r="P381" s="7">
        <f>IF($U381="","",O381*N381)</f>
        <v/>
      </c>
      <c r="Q381" s="7">
        <f>IF($U381="","",P381+M381)</f>
        <v/>
      </c>
      <c r="R381" s="7">
        <f>IF($U381="","",S381-Q381)</f>
        <v/>
      </c>
      <c r="S381" s="7">
        <f>IF($U381="","",L381+O381)</f>
        <v/>
      </c>
      <c r="T381" s="7">
        <f>IF($U381="","",S381-Q381-H381)</f>
        <v/>
      </c>
      <c r="U381" s="16">
        <f>IF(ROWS($U$2:$U381)&lt;=MAX('Per Line'!$V$2:$V$1501),MATCH(ROWS($U$2:$U381),'Per Line'!$V$2:$V$1501,0),"")</f>
        <v/>
      </c>
      <c r="V381">
        <f>IF($U381="","",B381&amp;"|"&amp;COUNTIF($B$2:$B381,B381))</f>
        <v/>
      </c>
    </row>
    <row r="382">
      <c r="A382">
        <f>IF($U382="","",INDEX('Per Line'!$B$2:$B$1501,$U382)&amp;"")</f>
        <v/>
      </c>
      <c r="B382">
        <f>IF($U382="","","COPY "&amp;G382&amp;" %")</f>
        <v/>
      </c>
      <c r="C382" s="15" t="n"/>
      <c r="D382">
        <f>IF($U382="","",INDEX('Per Line'!$C$2:$C$1501,$U382)&amp;"")</f>
        <v/>
      </c>
      <c r="E382">
        <f>IF($U382="","",INDEX('Per Line'!$D$2:$D$1501,$U382)&amp;"")</f>
        <v/>
      </c>
      <c r="F382">
        <f>IF($U382="","",INDEX('Per Line'!$E$2:$E$1501,$U382)&amp;"")</f>
        <v/>
      </c>
      <c r="G382">
        <f>IF($U382="","",INDEX('Per Line'!$F$2:$F$1501,$U382))</f>
        <v/>
      </c>
      <c r="H382" s="7">
        <f>IF($U382="","",G382*S382/100)</f>
        <v/>
      </c>
      <c r="I382" s="14">
        <f>IF($U382="","",INDEX('Per Line'!$R$2:$R$1501,$U382))</f>
        <v/>
      </c>
      <c r="J382">
        <f>IF($U382="","",INDEX('Per Line'!$Q$2:$Q$1501,$U382)&amp;"")</f>
        <v/>
      </c>
      <c r="K382">
        <f>IF($U382="","",Settings!$C$7)</f>
        <v/>
      </c>
      <c r="L382" s="7">
        <f>IF($U382="","",SUMIFS('Per Line'!$L$2:$L$1501,'Per Line'!$B$2:$B$1501,$A382,'Per Line'!$W$2:$W$1501,0))</f>
        <v/>
      </c>
      <c r="M382" s="7">
        <f>IF($U382="","",L382*K382)</f>
        <v/>
      </c>
      <c r="N382">
        <f>IF($U382="","",Settings!$C$6)</f>
        <v/>
      </c>
      <c r="O382" s="7">
        <f>IF($U382="","",SUMIFS('Per Line'!$L$2:$L$1501,'Per Line'!$B$2:$B$1501,$A382,'Per Line'!$W$2:$W$1501,1))</f>
        <v/>
      </c>
      <c r="P382" s="7">
        <f>IF($U382="","",O382*N382)</f>
        <v/>
      </c>
      <c r="Q382" s="7">
        <f>IF($U382="","",P382+M382)</f>
        <v/>
      </c>
      <c r="R382" s="7">
        <f>IF($U382="","",S382-Q382)</f>
        <v/>
      </c>
      <c r="S382" s="7">
        <f>IF($U382="","",L382+O382)</f>
        <v/>
      </c>
      <c r="T382" s="7">
        <f>IF($U382="","",S382-Q382-H382)</f>
        <v/>
      </c>
      <c r="U382" s="16">
        <f>IF(ROWS($U$2:$U382)&lt;=MAX('Per Line'!$V$2:$V$1501),MATCH(ROWS($U$2:$U382),'Per Line'!$V$2:$V$1501,0),"")</f>
        <v/>
      </c>
      <c r="V382">
        <f>IF($U382="","",B382&amp;"|"&amp;COUNTIF($B$2:$B382,B382))</f>
        <v/>
      </c>
    </row>
    <row r="383">
      <c r="A383">
        <f>IF($U383="","",INDEX('Per Line'!$B$2:$B$1501,$U383)&amp;"")</f>
        <v/>
      </c>
      <c r="B383">
        <f>IF($U383="","","COPY "&amp;G383&amp;" %")</f>
        <v/>
      </c>
      <c r="C383" s="15" t="n"/>
      <c r="D383">
        <f>IF($U383="","",INDEX('Per Line'!$C$2:$C$1501,$U383)&amp;"")</f>
        <v/>
      </c>
      <c r="E383">
        <f>IF($U383="","",INDEX('Per Line'!$D$2:$D$1501,$U383)&amp;"")</f>
        <v/>
      </c>
      <c r="F383">
        <f>IF($U383="","",INDEX('Per Line'!$E$2:$E$1501,$U383)&amp;"")</f>
        <v/>
      </c>
      <c r="G383">
        <f>IF($U383="","",INDEX('Per Line'!$F$2:$F$1501,$U383))</f>
        <v/>
      </c>
      <c r="H383" s="7">
        <f>IF($U383="","",G383*S383/100)</f>
        <v/>
      </c>
      <c r="I383" s="14">
        <f>IF($U383="","",INDEX('Per Line'!$R$2:$R$1501,$U383))</f>
        <v/>
      </c>
      <c r="J383">
        <f>IF($U383="","",INDEX('Per Line'!$Q$2:$Q$1501,$U383)&amp;"")</f>
        <v/>
      </c>
      <c r="K383">
        <f>IF($U383="","",Settings!$C$7)</f>
        <v/>
      </c>
      <c r="L383" s="7">
        <f>IF($U383="","",SUMIFS('Per Line'!$L$2:$L$1501,'Per Line'!$B$2:$B$1501,$A383,'Per Line'!$W$2:$W$1501,0))</f>
        <v/>
      </c>
      <c r="M383" s="7">
        <f>IF($U383="","",L383*K383)</f>
        <v/>
      </c>
      <c r="N383">
        <f>IF($U383="","",Settings!$C$6)</f>
        <v/>
      </c>
      <c r="O383" s="7">
        <f>IF($U383="","",SUMIFS('Per Line'!$L$2:$L$1501,'Per Line'!$B$2:$B$1501,$A383,'Per Line'!$W$2:$W$1501,1))</f>
        <v/>
      </c>
      <c r="P383" s="7">
        <f>IF($U383="","",O383*N383)</f>
        <v/>
      </c>
      <c r="Q383" s="7">
        <f>IF($U383="","",P383+M383)</f>
        <v/>
      </c>
      <c r="R383" s="7">
        <f>IF($U383="","",S383-Q383)</f>
        <v/>
      </c>
      <c r="S383" s="7">
        <f>IF($U383="","",L383+O383)</f>
        <v/>
      </c>
      <c r="T383" s="7">
        <f>IF($U383="","",S383-Q383-H383)</f>
        <v/>
      </c>
      <c r="U383" s="16">
        <f>IF(ROWS($U$2:$U383)&lt;=MAX('Per Line'!$V$2:$V$1501),MATCH(ROWS($U$2:$U383),'Per Line'!$V$2:$V$1501,0),"")</f>
        <v/>
      </c>
      <c r="V383">
        <f>IF($U383="","",B383&amp;"|"&amp;COUNTIF($B$2:$B383,B383))</f>
        <v/>
      </c>
    </row>
    <row r="384">
      <c r="A384">
        <f>IF($U384="","",INDEX('Per Line'!$B$2:$B$1501,$U384)&amp;"")</f>
        <v/>
      </c>
      <c r="B384">
        <f>IF($U384="","","COPY "&amp;G384&amp;" %")</f>
        <v/>
      </c>
      <c r="C384" s="15" t="n"/>
      <c r="D384">
        <f>IF($U384="","",INDEX('Per Line'!$C$2:$C$1501,$U384)&amp;"")</f>
        <v/>
      </c>
      <c r="E384">
        <f>IF($U384="","",INDEX('Per Line'!$D$2:$D$1501,$U384)&amp;"")</f>
        <v/>
      </c>
      <c r="F384">
        <f>IF($U384="","",INDEX('Per Line'!$E$2:$E$1501,$U384)&amp;"")</f>
        <v/>
      </c>
      <c r="G384">
        <f>IF($U384="","",INDEX('Per Line'!$F$2:$F$1501,$U384))</f>
        <v/>
      </c>
      <c r="H384" s="7">
        <f>IF($U384="","",G384*S384/100)</f>
        <v/>
      </c>
      <c r="I384" s="14">
        <f>IF($U384="","",INDEX('Per Line'!$R$2:$R$1501,$U384))</f>
        <v/>
      </c>
      <c r="J384">
        <f>IF($U384="","",INDEX('Per Line'!$Q$2:$Q$1501,$U384)&amp;"")</f>
        <v/>
      </c>
      <c r="K384">
        <f>IF($U384="","",Settings!$C$7)</f>
        <v/>
      </c>
      <c r="L384" s="7">
        <f>IF($U384="","",SUMIFS('Per Line'!$L$2:$L$1501,'Per Line'!$B$2:$B$1501,$A384,'Per Line'!$W$2:$W$1501,0))</f>
        <v/>
      </c>
      <c r="M384" s="7">
        <f>IF($U384="","",L384*K384)</f>
        <v/>
      </c>
      <c r="N384">
        <f>IF($U384="","",Settings!$C$6)</f>
        <v/>
      </c>
      <c r="O384" s="7">
        <f>IF($U384="","",SUMIFS('Per Line'!$L$2:$L$1501,'Per Line'!$B$2:$B$1501,$A384,'Per Line'!$W$2:$W$1501,1))</f>
        <v/>
      </c>
      <c r="P384" s="7">
        <f>IF($U384="","",O384*N384)</f>
        <v/>
      </c>
      <c r="Q384" s="7">
        <f>IF($U384="","",P384+M384)</f>
        <v/>
      </c>
      <c r="R384" s="7">
        <f>IF($U384="","",S384-Q384)</f>
        <v/>
      </c>
      <c r="S384" s="7">
        <f>IF($U384="","",L384+O384)</f>
        <v/>
      </c>
      <c r="T384" s="7">
        <f>IF($U384="","",S384-Q384-H384)</f>
        <v/>
      </c>
      <c r="U384" s="16">
        <f>IF(ROWS($U$2:$U384)&lt;=MAX('Per Line'!$V$2:$V$1501),MATCH(ROWS($U$2:$U384),'Per Line'!$V$2:$V$1501,0),"")</f>
        <v/>
      </c>
      <c r="V384">
        <f>IF($U384="","",B384&amp;"|"&amp;COUNTIF($B$2:$B384,B384))</f>
        <v/>
      </c>
    </row>
    <row r="385">
      <c r="A385">
        <f>IF($U385="","",INDEX('Per Line'!$B$2:$B$1501,$U385)&amp;"")</f>
        <v/>
      </c>
      <c r="B385">
        <f>IF($U385="","","COPY "&amp;G385&amp;" %")</f>
        <v/>
      </c>
      <c r="C385" s="15" t="n"/>
      <c r="D385">
        <f>IF($U385="","",INDEX('Per Line'!$C$2:$C$1501,$U385)&amp;"")</f>
        <v/>
      </c>
      <c r="E385">
        <f>IF($U385="","",INDEX('Per Line'!$D$2:$D$1501,$U385)&amp;"")</f>
        <v/>
      </c>
      <c r="F385">
        <f>IF($U385="","",INDEX('Per Line'!$E$2:$E$1501,$U385)&amp;"")</f>
        <v/>
      </c>
      <c r="G385">
        <f>IF($U385="","",INDEX('Per Line'!$F$2:$F$1501,$U385))</f>
        <v/>
      </c>
      <c r="H385" s="7">
        <f>IF($U385="","",G385*S385/100)</f>
        <v/>
      </c>
      <c r="I385" s="14">
        <f>IF($U385="","",INDEX('Per Line'!$R$2:$R$1501,$U385))</f>
        <v/>
      </c>
      <c r="J385">
        <f>IF($U385="","",INDEX('Per Line'!$Q$2:$Q$1501,$U385)&amp;"")</f>
        <v/>
      </c>
      <c r="K385">
        <f>IF($U385="","",Settings!$C$7)</f>
        <v/>
      </c>
      <c r="L385" s="7">
        <f>IF($U385="","",SUMIFS('Per Line'!$L$2:$L$1501,'Per Line'!$B$2:$B$1501,$A385,'Per Line'!$W$2:$W$1501,0))</f>
        <v/>
      </c>
      <c r="M385" s="7">
        <f>IF($U385="","",L385*K385)</f>
        <v/>
      </c>
      <c r="N385">
        <f>IF($U385="","",Settings!$C$6)</f>
        <v/>
      </c>
      <c r="O385" s="7">
        <f>IF($U385="","",SUMIFS('Per Line'!$L$2:$L$1501,'Per Line'!$B$2:$B$1501,$A385,'Per Line'!$W$2:$W$1501,1))</f>
        <v/>
      </c>
      <c r="P385" s="7">
        <f>IF($U385="","",O385*N385)</f>
        <v/>
      </c>
      <c r="Q385" s="7">
        <f>IF($U385="","",P385+M385)</f>
        <v/>
      </c>
      <c r="R385" s="7">
        <f>IF($U385="","",S385-Q385)</f>
        <v/>
      </c>
      <c r="S385" s="7">
        <f>IF($U385="","",L385+O385)</f>
        <v/>
      </c>
      <c r="T385" s="7">
        <f>IF($U385="","",S385-Q385-H385)</f>
        <v/>
      </c>
      <c r="U385" s="16">
        <f>IF(ROWS($U$2:$U385)&lt;=MAX('Per Line'!$V$2:$V$1501),MATCH(ROWS($U$2:$U385),'Per Line'!$V$2:$V$1501,0),"")</f>
        <v/>
      </c>
      <c r="V385">
        <f>IF($U385="","",B385&amp;"|"&amp;COUNTIF($B$2:$B385,B385))</f>
        <v/>
      </c>
    </row>
    <row r="386">
      <c r="A386">
        <f>IF($U386="","",INDEX('Per Line'!$B$2:$B$1501,$U386)&amp;"")</f>
        <v/>
      </c>
      <c r="B386">
        <f>IF($U386="","","COPY "&amp;G386&amp;" %")</f>
        <v/>
      </c>
      <c r="C386" s="15" t="n"/>
      <c r="D386">
        <f>IF($U386="","",INDEX('Per Line'!$C$2:$C$1501,$U386)&amp;"")</f>
        <v/>
      </c>
      <c r="E386">
        <f>IF($U386="","",INDEX('Per Line'!$D$2:$D$1501,$U386)&amp;"")</f>
        <v/>
      </c>
      <c r="F386">
        <f>IF($U386="","",INDEX('Per Line'!$E$2:$E$1501,$U386)&amp;"")</f>
        <v/>
      </c>
      <c r="G386">
        <f>IF($U386="","",INDEX('Per Line'!$F$2:$F$1501,$U386))</f>
        <v/>
      </c>
      <c r="H386" s="7">
        <f>IF($U386="","",G386*S386/100)</f>
        <v/>
      </c>
      <c r="I386" s="14">
        <f>IF($U386="","",INDEX('Per Line'!$R$2:$R$1501,$U386))</f>
        <v/>
      </c>
      <c r="J386">
        <f>IF($U386="","",INDEX('Per Line'!$Q$2:$Q$1501,$U386)&amp;"")</f>
        <v/>
      </c>
      <c r="K386">
        <f>IF($U386="","",Settings!$C$7)</f>
        <v/>
      </c>
      <c r="L386" s="7">
        <f>IF($U386="","",SUMIFS('Per Line'!$L$2:$L$1501,'Per Line'!$B$2:$B$1501,$A386,'Per Line'!$W$2:$W$1501,0))</f>
        <v/>
      </c>
      <c r="M386" s="7">
        <f>IF($U386="","",L386*K386)</f>
        <v/>
      </c>
      <c r="N386">
        <f>IF($U386="","",Settings!$C$6)</f>
        <v/>
      </c>
      <c r="O386" s="7">
        <f>IF($U386="","",SUMIFS('Per Line'!$L$2:$L$1501,'Per Line'!$B$2:$B$1501,$A386,'Per Line'!$W$2:$W$1501,1))</f>
        <v/>
      </c>
      <c r="P386" s="7">
        <f>IF($U386="","",O386*N386)</f>
        <v/>
      </c>
      <c r="Q386" s="7">
        <f>IF($U386="","",P386+M386)</f>
        <v/>
      </c>
      <c r="R386" s="7">
        <f>IF($U386="","",S386-Q386)</f>
        <v/>
      </c>
      <c r="S386" s="7">
        <f>IF($U386="","",L386+O386)</f>
        <v/>
      </c>
      <c r="T386" s="7">
        <f>IF($U386="","",S386-Q386-H386)</f>
        <v/>
      </c>
      <c r="U386" s="16">
        <f>IF(ROWS($U$2:$U386)&lt;=MAX('Per Line'!$V$2:$V$1501),MATCH(ROWS($U$2:$U386),'Per Line'!$V$2:$V$1501,0),"")</f>
        <v/>
      </c>
      <c r="V386">
        <f>IF($U386="","",B386&amp;"|"&amp;COUNTIF($B$2:$B386,B386))</f>
        <v/>
      </c>
    </row>
    <row r="387">
      <c r="A387">
        <f>IF($U387="","",INDEX('Per Line'!$B$2:$B$1501,$U387)&amp;"")</f>
        <v/>
      </c>
      <c r="B387">
        <f>IF($U387="","","COPY "&amp;G387&amp;" %")</f>
        <v/>
      </c>
      <c r="C387" s="15" t="n"/>
      <c r="D387">
        <f>IF($U387="","",INDEX('Per Line'!$C$2:$C$1501,$U387)&amp;"")</f>
        <v/>
      </c>
      <c r="E387">
        <f>IF($U387="","",INDEX('Per Line'!$D$2:$D$1501,$U387)&amp;"")</f>
        <v/>
      </c>
      <c r="F387">
        <f>IF($U387="","",INDEX('Per Line'!$E$2:$E$1501,$U387)&amp;"")</f>
        <v/>
      </c>
      <c r="G387">
        <f>IF($U387="","",INDEX('Per Line'!$F$2:$F$1501,$U387))</f>
        <v/>
      </c>
      <c r="H387" s="7">
        <f>IF($U387="","",G387*S387/100)</f>
        <v/>
      </c>
      <c r="I387" s="14">
        <f>IF($U387="","",INDEX('Per Line'!$R$2:$R$1501,$U387))</f>
        <v/>
      </c>
      <c r="J387">
        <f>IF($U387="","",INDEX('Per Line'!$Q$2:$Q$1501,$U387)&amp;"")</f>
        <v/>
      </c>
      <c r="K387">
        <f>IF($U387="","",Settings!$C$7)</f>
        <v/>
      </c>
      <c r="L387" s="7">
        <f>IF($U387="","",SUMIFS('Per Line'!$L$2:$L$1501,'Per Line'!$B$2:$B$1501,$A387,'Per Line'!$W$2:$W$1501,0))</f>
        <v/>
      </c>
      <c r="M387" s="7">
        <f>IF($U387="","",L387*K387)</f>
        <v/>
      </c>
      <c r="N387">
        <f>IF($U387="","",Settings!$C$6)</f>
        <v/>
      </c>
      <c r="O387" s="7">
        <f>IF($U387="","",SUMIFS('Per Line'!$L$2:$L$1501,'Per Line'!$B$2:$B$1501,$A387,'Per Line'!$W$2:$W$1501,1))</f>
        <v/>
      </c>
      <c r="P387" s="7">
        <f>IF($U387="","",O387*N387)</f>
        <v/>
      </c>
      <c r="Q387" s="7">
        <f>IF($U387="","",P387+M387)</f>
        <v/>
      </c>
      <c r="R387" s="7">
        <f>IF($U387="","",S387-Q387)</f>
        <v/>
      </c>
      <c r="S387" s="7">
        <f>IF($U387="","",L387+O387)</f>
        <v/>
      </c>
      <c r="T387" s="7">
        <f>IF($U387="","",S387-Q387-H387)</f>
        <v/>
      </c>
      <c r="U387" s="16">
        <f>IF(ROWS($U$2:$U387)&lt;=MAX('Per Line'!$V$2:$V$1501),MATCH(ROWS($U$2:$U387),'Per Line'!$V$2:$V$1501,0),"")</f>
        <v/>
      </c>
      <c r="V387">
        <f>IF($U387="","",B387&amp;"|"&amp;COUNTIF($B$2:$B387,B387))</f>
        <v/>
      </c>
    </row>
    <row r="388">
      <c r="A388">
        <f>IF($U388="","",INDEX('Per Line'!$B$2:$B$1501,$U388)&amp;"")</f>
        <v/>
      </c>
      <c r="B388">
        <f>IF($U388="","","COPY "&amp;G388&amp;" %")</f>
        <v/>
      </c>
      <c r="C388" s="15" t="n"/>
      <c r="D388">
        <f>IF($U388="","",INDEX('Per Line'!$C$2:$C$1501,$U388)&amp;"")</f>
        <v/>
      </c>
      <c r="E388">
        <f>IF($U388="","",INDEX('Per Line'!$D$2:$D$1501,$U388)&amp;"")</f>
        <v/>
      </c>
      <c r="F388">
        <f>IF($U388="","",INDEX('Per Line'!$E$2:$E$1501,$U388)&amp;"")</f>
        <v/>
      </c>
      <c r="G388">
        <f>IF($U388="","",INDEX('Per Line'!$F$2:$F$1501,$U388))</f>
        <v/>
      </c>
      <c r="H388" s="7">
        <f>IF($U388="","",G388*S388/100)</f>
        <v/>
      </c>
      <c r="I388" s="14">
        <f>IF($U388="","",INDEX('Per Line'!$R$2:$R$1501,$U388))</f>
        <v/>
      </c>
      <c r="J388">
        <f>IF($U388="","",INDEX('Per Line'!$Q$2:$Q$1501,$U388)&amp;"")</f>
        <v/>
      </c>
      <c r="K388">
        <f>IF($U388="","",Settings!$C$7)</f>
        <v/>
      </c>
      <c r="L388" s="7">
        <f>IF($U388="","",SUMIFS('Per Line'!$L$2:$L$1501,'Per Line'!$B$2:$B$1501,$A388,'Per Line'!$W$2:$W$1501,0))</f>
        <v/>
      </c>
      <c r="M388" s="7">
        <f>IF($U388="","",L388*K388)</f>
        <v/>
      </c>
      <c r="N388">
        <f>IF($U388="","",Settings!$C$6)</f>
        <v/>
      </c>
      <c r="O388" s="7">
        <f>IF($U388="","",SUMIFS('Per Line'!$L$2:$L$1501,'Per Line'!$B$2:$B$1501,$A388,'Per Line'!$W$2:$W$1501,1))</f>
        <v/>
      </c>
      <c r="P388" s="7">
        <f>IF($U388="","",O388*N388)</f>
        <v/>
      </c>
      <c r="Q388" s="7">
        <f>IF($U388="","",P388+M388)</f>
        <v/>
      </c>
      <c r="R388" s="7">
        <f>IF($U388="","",S388-Q388)</f>
        <v/>
      </c>
      <c r="S388" s="7">
        <f>IF($U388="","",L388+O388)</f>
        <v/>
      </c>
      <c r="T388" s="7">
        <f>IF($U388="","",S388-Q388-H388)</f>
        <v/>
      </c>
      <c r="U388" s="16">
        <f>IF(ROWS($U$2:$U388)&lt;=MAX('Per Line'!$V$2:$V$1501),MATCH(ROWS($U$2:$U388),'Per Line'!$V$2:$V$1501,0),"")</f>
        <v/>
      </c>
      <c r="V388">
        <f>IF($U388="","",B388&amp;"|"&amp;COUNTIF($B$2:$B388,B388))</f>
        <v/>
      </c>
    </row>
    <row r="389">
      <c r="A389">
        <f>IF($U389="","",INDEX('Per Line'!$B$2:$B$1501,$U389)&amp;"")</f>
        <v/>
      </c>
      <c r="B389">
        <f>IF($U389="","","COPY "&amp;G389&amp;" %")</f>
        <v/>
      </c>
      <c r="C389" s="15" t="n"/>
      <c r="D389">
        <f>IF($U389="","",INDEX('Per Line'!$C$2:$C$1501,$U389)&amp;"")</f>
        <v/>
      </c>
      <c r="E389">
        <f>IF($U389="","",INDEX('Per Line'!$D$2:$D$1501,$U389)&amp;"")</f>
        <v/>
      </c>
      <c r="F389">
        <f>IF($U389="","",INDEX('Per Line'!$E$2:$E$1501,$U389)&amp;"")</f>
        <v/>
      </c>
      <c r="G389">
        <f>IF($U389="","",INDEX('Per Line'!$F$2:$F$1501,$U389))</f>
        <v/>
      </c>
      <c r="H389" s="7">
        <f>IF($U389="","",G389*S389/100)</f>
        <v/>
      </c>
      <c r="I389" s="14">
        <f>IF($U389="","",INDEX('Per Line'!$R$2:$R$1501,$U389))</f>
        <v/>
      </c>
      <c r="J389">
        <f>IF($U389="","",INDEX('Per Line'!$Q$2:$Q$1501,$U389)&amp;"")</f>
        <v/>
      </c>
      <c r="K389">
        <f>IF($U389="","",Settings!$C$7)</f>
        <v/>
      </c>
      <c r="L389" s="7">
        <f>IF($U389="","",SUMIFS('Per Line'!$L$2:$L$1501,'Per Line'!$B$2:$B$1501,$A389,'Per Line'!$W$2:$W$1501,0))</f>
        <v/>
      </c>
      <c r="M389" s="7">
        <f>IF($U389="","",L389*K389)</f>
        <v/>
      </c>
      <c r="N389">
        <f>IF($U389="","",Settings!$C$6)</f>
        <v/>
      </c>
      <c r="O389" s="7">
        <f>IF($U389="","",SUMIFS('Per Line'!$L$2:$L$1501,'Per Line'!$B$2:$B$1501,$A389,'Per Line'!$W$2:$W$1501,1))</f>
        <v/>
      </c>
      <c r="P389" s="7">
        <f>IF($U389="","",O389*N389)</f>
        <v/>
      </c>
      <c r="Q389" s="7">
        <f>IF($U389="","",P389+M389)</f>
        <v/>
      </c>
      <c r="R389" s="7">
        <f>IF($U389="","",S389-Q389)</f>
        <v/>
      </c>
      <c r="S389" s="7">
        <f>IF($U389="","",L389+O389)</f>
        <v/>
      </c>
      <c r="T389" s="7">
        <f>IF($U389="","",S389-Q389-H389)</f>
        <v/>
      </c>
      <c r="U389" s="16">
        <f>IF(ROWS($U$2:$U389)&lt;=MAX('Per Line'!$V$2:$V$1501),MATCH(ROWS($U$2:$U389),'Per Line'!$V$2:$V$1501,0),"")</f>
        <v/>
      </c>
      <c r="V389">
        <f>IF($U389="","",B389&amp;"|"&amp;COUNTIF($B$2:$B389,B389))</f>
        <v/>
      </c>
    </row>
    <row r="390">
      <c r="A390">
        <f>IF($U390="","",INDEX('Per Line'!$B$2:$B$1501,$U390)&amp;"")</f>
        <v/>
      </c>
      <c r="B390">
        <f>IF($U390="","","COPY "&amp;G390&amp;" %")</f>
        <v/>
      </c>
      <c r="C390" s="15" t="n"/>
      <c r="D390">
        <f>IF($U390="","",INDEX('Per Line'!$C$2:$C$1501,$U390)&amp;"")</f>
        <v/>
      </c>
      <c r="E390">
        <f>IF($U390="","",INDEX('Per Line'!$D$2:$D$1501,$U390)&amp;"")</f>
        <v/>
      </c>
      <c r="F390">
        <f>IF($U390="","",INDEX('Per Line'!$E$2:$E$1501,$U390)&amp;"")</f>
        <v/>
      </c>
      <c r="G390">
        <f>IF($U390="","",INDEX('Per Line'!$F$2:$F$1501,$U390))</f>
        <v/>
      </c>
      <c r="H390" s="7">
        <f>IF($U390="","",G390*S390/100)</f>
        <v/>
      </c>
      <c r="I390" s="14">
        <f>IF($U390="","",INDEX('Per Line'!$R$2:$R$1501,$U390))</f>
        <v/>
      </c>
      <c r="J390">
        <f>IF($U390="","",INDEX('Per Line'!$Q$2:$Q$1501,$U390)&amp;"")</f>
        <v/>
      </c>
      <c r="K390">
        <f>IF($U390="","",Settings!$C$7)</f>
        <v/>
      </c>
      <c r="L390" s="7">
        <f>IF($U390="","",SUMIFS('Per Line'!$L$2:$L$1501,'Per Line'!$B$2:$B$1501,$A390,'Per Line'!$W$2:$W$1501,0))</f>
        <v/>
      </c>
      <c r="M390" s="7">
        <f>IF($U390="","",L390*K390)</f>
        <v/>
      </c>
      <c r="N390">
        <f>IF($U390="","",Settings!$C$6)</f>
        <v/>
      </c>
      <c r="O390" s="7">
        <f>IF($U390="","",SUMIFS('Per Line'!$L$2:$L$1501,'Per Line'!$B$2:$B$1501,$A390,'Per Line'!$W$2:$W$1501,1))</f>
        <v/>
      </c>
      <c r="P390" s="7">
        <f>IF($U390="","",O390*N390)</f>
        <v/>
      </c>
      <c r="Q390" s="7">
        <f>IF($U390="","",P390+M390)</f>
        <v/>
      </c>
      <c r="R390" s="7">
        <f>IF($U390="","",S390-Q390)</f>
        <v/>
      </c>
      <c r="S390" s="7">
        <f>IF($U390="","",L390+O390)</f>
        <v/>
      </c>
      <c r="T390" s="7">
        <f>IF($U390="","",S390-Q390-H390)</f>
        <v/>
      </c>
      <c r="U390" s="16">
        <f>IF(ROWS($U$2:$U390)&lt;=MAX('Per Line'!$V$2:$V$1501),MATCH(ROWS($U$2:$U390),'Per Line'!$V$2:$V$1501,0),"")</f>
        <v/>
      </c>
      <c r="V390">
        <f>IF($U390="","",B390&amp;"|"&amp;COUNTIF($B$2:$B390,B390))</f>
        <v/>
      </c>
    </row>
    <row r="391">
      <c r="A391">
        <f>IF($U391="","",INDEX('Per Line'!$B$2:$B$1501,$U391)&amp;"")</f>
        <v/>
      </c>
      <c r="B391">
        <f>IF($U391="","","COPY "&amp;G391&amp;" %")</f>
        <v/>
      </c>
      <c r="C391" s="15" t="n"/>
      <c r="D391">
        <f>IF($U391="","",INDEX('Per Line'!$C$2:$C$1501,$U391)&amp;"")</f>
        <v/>
      </c>
      <c r="E391">
        <f>IF($U391="","",INDEX('Per Line'!$D$2:$D$1501,$U391)&amp;"")</f>
        <v/>
      </c>
      <c r="F391">
        <f>IF($U391="","",INDEX('Per Line'!$E$2:$E$1501,$U391)&amp;"")</f>
        <v/>
      </c>
      <c r="G391">
        <f>IF($U391="","",INDEX('Per Line'!$F$2:$F$1501,$U391))</f>
        <v/>
      </c>
      <c r="H391" s="7">
        <f>IF($U391="","",G391*S391/100)</f>
        <v/>
      </c>
      <c r="I391" s="14">
        <f>IF($U391="","",INDEX('Per Line'!$R$2:$R$1501,$U391))</f>
        <v/>
      </c>
      <c r="J391">
        <f>IF($U391="","",INDEX('Per Line'!$Q$2:$Q$1501,$U391)&amp;"")</f>
        <v/>
      </c>
      <c r="K391">
        <f>IF($U391="","",Settings!$C$7)</f>
        <v/>
      </c>
      <c r="L391" s="7">
        <f>IF($U391="","",SUMIFS('Per Line'!$L$2:$L$1501,'Per Line'!$B$2:$B$1501,$A391,'Per Line'!$W$2:$W$1501,0))</f>
        <v/>
      </c>
      <c r="M391" s="7">
        <f>IF($U391="","",L391*K391)</f>
        <v/>
      </c>
      <c r="N391">
        <f>IF($U391="","",Settings!$C$6)</f>
        <v/>
      </c>
      <c r="O391" s="7">
        <f>IF($U391="","",SUMIFS('Per Line'!$L$2:$L$1501,'Per Line'!$B$2:$B$1501,$A391,'Per Line'!$W$2:$W$1501,1))</f>
        <v/>
      </c>
      <c r="P391" s="7">
        <f>IF($U391="","",O391*N391)</f>
        <v/>
      </c>
      <c r="Q391" s="7">
        <f>IF($U391="","",P391+M391)</f>
        <v/>
      </c>
      <c r="R391" s="7">
        <f>IF($U391="","",S391-Q391)</f>
        <v/>
      </c>
      <c r="S391" s="7">
        <f>IF($U391="","",L391+O391)</f>
        <v/>
      </c>
      <c r="T391" s="7">
        <f>IF($U391="","",S391-Q391-H391)</f>
        <v/>
      </c>
      <c r="U391" s="16">
        <f>IF(ROWS($U$2:$U391)&lt;=MAX('Per Line'!$V$2:$V$1501),MATCH(ROWS($U$2:$U391),'Per Line'!$V$2:$V$1501,0),"")</f>
        <v/>
      </c>
      <c r="V391">
        <f>IF($U391="","",B391&amp;"|"&amp;COUNTIF($B$2:$B391,B391))</f>
        <v/>
      </c>
    </row>
    <row r="392">
      <c r="A392">
        <f>IF($U392="","",INDEX('Per Line'!$B$2:$B$1501,$U392)&amp;"")</f>
        <v/>
      </c>
      <c r="B392">
        <f>IF($U392="","","COPY "&amp;G392&amp;" %")</f>
        <v/>
      </c>
      <c r="C392" s="15" t="n"/>
      <c r="D392">
        <f>IF($U392="","",INDEX('Per Line'!$C$2:$C$1501,$U392)&amp;"")</f>
        <v/>
      </c>
      <c r="E392">
        <f>IF($U392="","",INDEX('Per Line'!$D$2:$D$1501,$U392)&amp;"")</f>
        <v/>
      </c>
      <c r="F392">
        <f>IF($U392="","",INDEX('Per Line'!$E$2:$E$1501,$U392)&amp;"")</f>
        <v/>
      </c>
      <c r="G392">
        <f>IF($U392="","",INDEX('Per Line'!$F$2:$F$1501,$U392))</f>
        <v/>
      </c>
      <c r="H392" s="7">
        <f>IF($U392="","",G392*S392/100)</f>
        <v/>
      </c>
      <c r="I392" s="14">
        <f>IF($U392="","",INDEX('Per Line'!$R$2:$R$1501,$U392))</f>
        <v/>
      </c>
      <c r="J392">
        <f>IF($U392="","",INDEX('Per Line'!$Q$2:$Q$1501,$U392)&amp;"")</f>
        <v/>
      </c>
      <c r="K392">
        <f>IF($U392="","",Settings!$C$7)</f>
        <v/>
      </c>
      <c r="L392" s="7">
        <f>IF($U392="","",SUMIFS('Per Line'!$L$2:$L$1501,'Per Line'!$B$2:$B$1501,$A392,'Per Line'!$W$2:$W$1501,0))</f>
        <v/>
      </c>
      <c r="M392" s="7">
        <f>IF($U392="","",L392*K392)</f>
        <v/>
      </c>
      <c r="N392">
        <f>IF($U392="","",Settings!$C$6)</f>
        <v/>
      </c>
      <c r="O392" s="7">
        <f>IF($U392="","",SUMIFS('Per Line'!$L$2:$L$1501,'Per Line'!$B$2:$B$1501,$A392,'Per Line'!$W$2:$W$1501,1))</f>
        <v/>
      </c>
      <c r="P392" s="7">
        <f>IF($U392="","",O392*N392)</f>
        <v/>
      </c>
      <c r="Q392" s="7">
        <f>IF($U392="","",P392+M392)</f>
        <v/>
      </c>
      <c r="R392" s="7">
        <f>IF($U392="","",S392-Q392)</f>
        <v/>
      </c>
      <c r="S392" s="7">
        <f>IF($U392="","",L392+O392)</f>
        <v/>
      </c>
      <c r="T392" s="7">
        <f>IF($U392="","",S392-Q392-H392)</f>
        <v/>
      </c>
      <c r="U392" s="16">
        <f>IF(ROWS($U$2:$U392)&lt;=MAX('Per Line'!$V$2:$V$1501),MATCH(ROWS($U$2:$U392),'Per Line'!$V$2:$V$1501,0),"")</f>
        <v/>
      </c>
      <c r="V392">
        <f>IF($U392="","",B392&amp;"|"&amp;COUNTIF($B$2:$B392,B392))</f>
        <v/>
      </c>
    </row>
    <row r="393">
      <c r="A393">
        <f>IF($U393="","",INDEX('Per Line'!$B$2:$B$1501,$U393)&amp;"")</f>
        <v/>
      </c>
      <c r="B393">
        <f>IF($U393="","","COPY "&amp;G393&amp;" %")</f>
        <v/>
      </c>
      <c r="C393" s="15" t="n"/>
      <c r="D393">
        <f>IF($U393="","",INDEX('Per Line'!$C$2:$C$1501,$U393)&amp;"")</f>
        <v/>
      </c>
      <c r="E393">
        <f>IF($U393="","",INDEX('Per Line'!$D$2:$D$1501,$U393)&amp;"")</f>
        <v/>
      </c>
      <c r="F393">
        <f>IF($U393="","",INDEX('Per Line'!$E$2:$E$1501,$U393)&amp;"")</f>
        <v/>
      </c>
      <c r="G393">
        <f>IF($U393="","",INDEX('Per Line'!$F$2:$F$1501,$U393))</f>
        <v/>
      </c>
      <c r="H393" s="7">
        <f>IF($U393="","",G393*S393/100)</f>
        <v/>
      </c>
      <c r="I393" s="14">
        <f>IF($U393="","",INDEX('Per Line'!$R$2:$R$1501,$U393))</f>
        <v/>
      </c>
      <c r="J393">
        <f>IF($U393="","",INDEX('Per Line'!$Q$2:$Q$1501,$U393)&amp;"")</f>
        <v/>
      </c>
      <c r="K393">
        <f>IF($U393="","",Settings!$C$7)</f>
        <v/>
      </c>
      <c r="L393" s="7">
        <f>IF($U393="","",SUMIFS('Per Line'!$L$2:$L$1501,'Per Line'!$B$2:$B$1501,$A393,'Per Line'!$W$2:$W$1501,0))</f>
        <v/>
      </c>
      <c r="M393" s="7">
        <f>IF($U393="","",L393*K393)</f>
        <v/>
      </c>
      <c r="N393">
        <f>IF($U393="","",Settings!$C$6)</f>
        <v/>
      </c>
      <c r="O393" s="7">
        <f>IF($U393="","",SUMIFS('Per Line'!$L$2:$L$1501,'Per Line'!$B$2:$B$1501,$A393,'Per Line'!$W$2:$W$1501,1))</f>
        <v/>
      </c>
      <c r="P393" s="7">
        <f>IF($U393="","",O393*N393)</f>
        <v/>
      </c>
      <c r="Q393" s="7">
        <f>IF($U393="","",P393+M393)</f>
        <v/>
      </c>
      <c r="R393" s="7">
        <f>IF($U393="","",S393-Q393)</f>
        <v/>
      </c>
      <c r="S393" s="7">
        <f>IF($U393="","",L393+O393)</f>
        <v/>
      </c>
      <c r="T393" s="7">
        <f>IF($U393="","",S393-Q393-H393)</f>
        <v/>
      </c>
      <c r="U393" s="16">
        <f>IF(ROWS($U$2:$U393)&lt;=MAX('Per Line'!$V$2:$V$1501),MATCH(ROWS($U$2:$U393),'Per Line'!$V$2:$V$1501,0),"")</f>
        <v/>
      </c>
      <c r="V393">
        <f>IF($U393="","",B393&amp;"|"&amp;COUNTIF($B$2:$B393,B393))</f>
        <v/>
      </c>
    </row>
    <row r="394">
      <c r="A394">
        <f>IF($U394="","",INDEX('Per Line'!$B$2:$B$1501,$U394)&amp;"")</f>
        <v/>
      </c>
      <c r="B394">
        <f>IF($U394="","","COPY "&amp;G394&amp;" %")</f>
        <v/>
      </c>
      <c r="C394" s="15" t="n"/>
      <c r="D394">
        <f>IF($U394="","",INDEX('Per Line'!$C$2:$C$1501,$U394)&amp;"")</f>
        <v/>
      </c>
      <c r="E394">
        <f>IF($U394="","",INDEX('Per Line'!$D$2:$D$1501,$U394)&amp;"")</f>
        <v/>
      </c>
      <c r="F394">
        <f>IF($U394="","",INDEX('Per Line'!$E$2:$E$1501,$U394)&amp;"")</f>
        <v/>
      </c>
      <c r="G394">
        <f>IF($U394="","",INDEX('Per Line'!$F$2:$F$1501,$U394))</f>
        <v/>
      </c>
      <c r="H394" s="7">
        <f>IF($U394="","",G394*S394/100)</f>
        <v/>
      </c>
      <c r="I394" s="14">
        <f>IF($U394="","",INDEX('Per Line'!$R$2:$R$1501,$U394))</f>
        <v/>
      </c>
      <c r="J394">
        <f>IF($U394="","",INDEX('Per Line'!$Q$2:$Q$1501,$U394)&amp;"")</f>
        <v/>
      </c>
      <c r="K394">
        <f>IF($U394="","",Settings!$C$7)</f>
        <v/>
      </c>
      <c r="L394" s="7">
        <f>IF($U394="","",SUMIFS('Per Line'!$L$2:$L$1501,'Per Line'!$B$2:$B$1501,$A394,'Per Line'!$W$2:$W$1501,0))</f>
        <v/>
      </c>
      <c r="M394" s="7">
        <f>IF($U394="","",L394*K394)</f>
        <v/>
      </c>
      <c r="N394">
        <f>IF($U394="","",Settings!$C$6)</f>
        <v/>
      </c>
      <c r="O394" s="7">
        <f>IF($U394="","",SUMIFS('Per Line'!$L$2:$L$1501,'Per Line'!$B$2:$B$1501,$A394,'Per Line'!$W$2:$W$1501,1))</f>
        <v/>
      </c>
      <c r="P394" s="7">
        <f>IF($U394="","",O394*N394)</f>
        <v/>
      </c>
      <c r="Q394" s="7">
        <f>IF($U394="","",P394+M394)</f>
        <v/>
      </c>
      <c r="R394" s="7">
        <f>IF($U394="","",S394-Q394)</f>
        <v/>
      </c>
      <c r="S394" s="7">
        <f>IF($U394="","",L394+O394)</f>
        <v/>
      </c>
      <c r="T394" s="7">
        <f>IF($U394="","",S394-Q394-H394)</f>
        <v/>
      </c>
      <c r="U394" s="16">
        <f>IF(ROWS($U$2:$U394)&lt;=MAX('Per Line'!$V$2:$V$1501),MATCH(ROWS($U$2:$U394),'Per Line'!$V$2:$V$1501,0),"")</f>
        <v/>
      </c>
      <c r="V394">
        <f>IF($U394="","",B394&amp;"|"&amp;COUNTIF($B$2:$B394,B394))</f>
        <v/>
      </c>
    </row>
    <row r="395">
      <c r="A395">
        <f>IF($U395="","",INDEX('Per Line'!$B$2:$B$1501,$U395)&amp;"")</f>
        <v/>
      </c>
      <c r="B395">
        <f>IF($U395="","","COPY "&amp;G395&amp;" %")</f>
        <v/>
      </c>
      <c r="C395" s="15" t="n"/>
      <c r="D395">
        <f>IF($U395="","",INDEX('Per Line'!$C$2:$C$1501,$U395)&amp;"")</f>
        <v/>
      </c>
      <c r="E395">
        <f>IF($U395="","",INDEX('Per Line'!$D$2:$D$1501,$U395)&amp;"")</f>
        <v/>
      </c>
      <c r="F395">
        <f>IF($U395="","",INDEX('Per Line'!$E$2:$E$1501,$U395)&amp;"")</f>
        <v/>
      </c>
      <c r="G395">
        <f>IF($U395="","",INDEX('Per Line'!$F$2:$F$1501,$U395))</f>
        <v/>
      </c>
      <c r="H395" s="7">
        <f>IF($U395="","",G395*S395/100)</f>
        <v/>
      </c>
      <c r="I395" s="14">
        <f>IF($U395="","",INDEX('Per Line'!$R$2:$R$1501,$U395))</f>
        <v/>
      </c>
      <c r="J395">
        <f>IF($U395="","",INDEX('Per Line'!$Q$2:$Q$1501,$U395)&amp;"")</f>
        <v/>
      </c>
      <c r="K395">
        <f>IF($U395="","",Settings!$C$7)</f>
        <v/>
      </c>
      <c r="L395" s="7">
        <f>IF($U395="","",SUMIFS('Per Line'!$L$2:$L$1501,'Per Line'!$B$2:$B$1501,$A395,'Per Line'!$W$2:$W$1501,0))</f>
        <v/>
      </c>
      <c r="M395" s="7">
        <f>IF($U395="","",L395*K395)</f>
        <v/>
      </c>
      <c r="N395">
        <f>IF($U395="","",Settings!$C$6)</f>
        <v/>
      </c>
      <c r="O395" s="7">
        <f>IF($U395="","",SUMIFS('Per Line'!$L$2:$L$1501,'Per Line'!$B$2:$B$1501,$A395,'Per Line'!$W$2:$W$1501,1))</f>
        <v/>
      </c>
      <c r="P395" s="7">
        <f>IF($U395="","",O395*N395)</f>
        <v/>
      </c>
      <c r="Q395" s="7">
        <f>IF($U395="","",P395+M395)</f>
        <v/>
      </c>
      <c r="R395" s="7">
        <f>IF($U395="","",S395-Q395)</f>
        <v/>
      </c>
      <c r="S395" s="7">
        <f>IF($U395="","",L395+O395)</f>
        <v/>
      </c>
      <c r="T395" s="7">
        <f>IF($U395="","",S395-Q395-H395)</f>
        <v/>
      </c>
      <c r="U395" s="16">
        <f>IF(ROWS($U$2:$U395)&lt;=MAX('Per Line'!$V$2:$V$1501),MATCH(ROWS($U$2:$U395),'Per Line'!$V$2:$V$1501,0),"")</f>
        <v/>
      </c>
      <c r="V395">
        <f>IF($U395="","",B395&amp;"|"&amp;COUNTIF($B$2:$B395,B395))</f>
        <v/>
      </c>
    </row>
    <row r="396">
      <c r="A396">
        <f>IF($U396="","",INDEX('Per Line'!$B$2:$B$1501,$U396)&amp;"")</f>
        <v/>
      </c>
      <c r="B396">
        <f>IF($U396="","","COPY "&amp;G396&amp;" %")</f>
        <v/>
      </c>
      <c r="C396" s="15" t="n"/>
      <c r="D396">
        <f>IF($U396="","",INDEX('Per Line'!$C$2:$C$1501,$U396)&amp;"")</f>
        <v/>
      </c>
      <c r="E396">
        <f>IF($U396="","",INDEX('Per Line'!$D$2:$D$1501,$U396)&amp;"")</f>
        <v/>
      </c>
      <c r="F396">
        <f>IF($U396="","",INDEX('Per Line'!$E$2:$E$1501,$U396)&amp;"")</f>
        <v/>
      </c>
      <c r="G396">
        <f>IF($U396="","",INDEX('Per Line'!$F$2:$F$1501,$U396))</f>
        <v/>
      </c>
      <c r="H396" s="7">
        <f>IF($U396="","",G396*S396/100)</f>
        <v/>
      </c>
      <c r="I396" s="14">
        <f>IF($U396="","",INDEX('Per Line'!$R$2:$R$1501,$U396))</f>
        <v/>
      </c>
      <c r="J396">
        <f>IF($U396="","",INDEX('Per Line'!$Q$2:$Q$1501,$U396)&amp;"")</f>
        <v/>
      </c>
      <c r="K396">
        <f>IF($U396="","",Settings!$C$7)</f>
        <v/>
      </c>
      <c r="L396" s="7">
        <f>IF($U396="","",SUMIFS('Per Line'!$L$2:$L$1501,'Per Line'!$B$2:$B$1501,$A396,'Per Line'!$W$2:$W$1501,0))</f>
        <v/>
      </c>
      <c r="M396" s="7">
        <f>IF($U396="","",L396*K396)</f>
        <v/>
      </c>
      <c r="N396">
        <f>IF($U396="","",Settings!$C$6)</f>
        <v/>
      </c>
      <c r="O396" s="7">
        <f>IF($U396="","",SUMIFS('Per Line'!$L$2:$L$1501,'Per Line'!$B$2:$B$1501,$A396,'Per Line'!$W$2:$W$1501,1))</f>
        <v/>
      </c>
      <c r="P396" s="7">
        <f>IF($U396="","",O396*N396)</f>
        <v/>
      </c>
      <c r="Q396" s="7">
        <f>IF($U396="","",P396+M396)</f>
        <v/>
      </c>
      <c r="R396" s="7">
        <f>IF($U396="","",S396-Q396)</f>
        <v/>
      </c>
      <c r="S396" s="7">
        <f>IF($U396="","",L396+O396)</f>
        <v/>
      </c>
      <c r="T396" s="7">
        <f>IF($U396="","",S396-Q396-H396)</f>
        <v/>
      </c>
      <c r="U396" s="16">
        <f>IF(ROWS($U$2:$U396)&lt;=MAX('Per Line'!$V$2:$V$1501),MATCH(ROWS($U$2:$U396),'Per Line'!$V$2:$V$1501,0),"")</f>
        <v/>
      </c>
      <c r="V396">
        <f>IF($U396="","",B396&amp;"|"&amp;COUNTIF($B$2:$B396,B396))</f>
        <v/>
      </c>
    </row>
    <row r="397">
      <c r="A397">
        <f>IF($U397="","",INDEX('Per Line'!$B$2:$B$1501,$U397)&amp;"")</f>
        <v/>
      </c>
      <c r="B397">
        <f>IF($U397="","","COPY "&amp;G397&amp;" %")</f>
        <v/>
      </c>
      <c r="C397" s="15" t="n"/>
      <c r="D397">
        <f>IF($U397="","",INDEX('Per Line'!$C$2:$C$1501,$U397)&amp;"")</f>
        <v/>
      </c>
      <c r="E397">
        <f>IF($U397="","",INDEX('Per Line'!$D$2:$D$1501,$U397)&amp;"")</f>
        <v/>
      </c>
      <c r="F397">
        <f>IF($U397="","",INDEX('Per Line'!$E$2:$E$1501,$U397)&amp;"")</f>
        <v/>
      </c>
      <c r="G397">
        <f>IF($U397="","",INDEX('Per Line'!$F$2:$F$1501,$U397))</f>
        <v/>
      </c>
      <c r="H397" s="7">
        <f>IF($U397="","",G397*S397/100)</f>
        <v/>
      </c>
      <c r="I397" s="14">
        <f>IF($U397="","",INDEX('Per Line'!$R$2:$R$1501,$U397))</f>
        <v/>
      </c>
      <c r="J397">
        <f>IF($U397="","",INDEX('Per Line'!$Q$2:$Q$1501,$U397)&amp;"")</f>
        <v/>
      </c>
      <c r="K397">
        <f>IF($U397="","",Settings!$C$7)</f>
        <v/>
      </c>
      <c r="L397" s="7">
        <f>IF($U397="","",SUMIFS('Per Line'!$L$2:$L$1501,'Per Line'!$B$2:$B$1501,$A397,'Per Line'!$W$2:$W$1501,0))</f>
        <v/>
      </c>
      <c r="M397" s="7">
        <f>IF($U397="","",L397*K397)</f>
        <v/>
      </c>
      <c r="N397">
        <f>IF($U397="","",Settings!$C$6)</f>
        <v/>
      </c>
      <c r="O397" s="7">
        <f>IF($U397="","",SUMIFS('Per Line'!$L$2:$L$1501,'Per Line'!$B$2:$B$1501,$A397,'Per Line'!$W$2:$W$1501,1))</f>
        <v/>
      </c>
      <c r="P397" s="7">
        <f>IF($U397="","",O397*N397)</f>
        <v/>
      </c>
      <c r="Q397" s="7">
        <f>IF($U397="","",P397+M397)</f>
        <v/>
      </c>
      <c r="R397" s="7">
        <f>IF($U397="","",S397-Q397)</f>
        <v/>
      </c>
      <c r="S397" s="7">
        <f>IF($U397="","",L397+O397)</f>
        <v/>
      </c>
      <c r="T397" s="7">
        <f>IF($U397="","",S397-Q397-H397)</f>
        <v/>
      </c>
      <c r="U397" s="16">
        <f>IF(ROWS($U$2:$U397)&lt;=MAX('Per Line'!$V$2:$V$1501),MATCH(ROWS($U$2:$U397),'Per Line'!$V$2:$V$1501,0),"")</f>
        <v/>
      </c>
      <c r="V397">
        <f>IF($U397="","",B397&amp;"|"&amp;COUNTIF($B$2:$B397,B397))</f>
        <v/>
      </c>
    </row>
    <row r="398">
      <c r="A398">
        <f>IF($U398="","",INDEX('Per Line'!$B$2:$B$1501,$U398)&amp;"")</f>
        <v/>
      </c>
      <c r="B398">
        <f>IF($U398="","","COPY "&amp;G398&amp;" %")</f>
        <v/>
      </c>
      <c r="C398" s="15" t="n"/>
      <c r="D398">
        <f>IF($U398="","",INDEX('Per Line'!$C$2:$C$1501,$U398)&amp;"")</f>
        <v/>
      </c>
      <c r="E398">
        <f>IF($U398="","",INDEX('Per Line'!$D$2:$D$1501,$U398)&amp;"")</f>
        <v/>
      </c>
      <c r="F398">
        <f>IF($U398="","",INDEX('Per Line'!$E$2:$E$1501,$U398)&amp;"")</f>
        <v/>
      </c>
      <c r="G398">
        <f>IF($U398="","",INDEX('Per Line'!$F$2:$F$1501,$U398))</f>
        <v/>
      </c>
      <c r="H398" s="7">
        <f>IF($U398="","",G398*S398/100)</f>
        <v/>
      </c>
      <c r="I398" s="14">
        <f>IF($U398="","",INDEX('Per Line'!$R$2:$R$1501,$U398))</f>
        <v/>
      </c>
      <c r="J398">
        <f>IF($U398="","",INDEX('Per Line'!$Q$2:$Q$1501,$U398)&amp;"")</f>
        <v/>
      </c>
      <c r="K398">
        <f>IF($U398="","",Settings!$C$7)</f>
        <v/>
      </c>
      <c r="L398" s="7">
        <f>IF($U398="","",SUMIFS('Per Line'!$L$2:$L$1501,'Per Line'!$B$2:$B$1501,$A398,'Per Line'!$W$2:$W$1501,0))</f>
        <v/>
      </c>
      <c r="M398" s="7">
        <f>IF($U398="","",L398*K398)</f>
        <v/>
      </c>
      <c r="N398">
        <f>IF($U398="","",Settings!$C$6)</f>
        <v/>
      </c>
      <c r="O398" s="7">
        <f>IF($U398="","",SUMIFS('Per Line'!$L$2:$L$1501,'Per Line'!$B$2:$B$1501,$A398,'Per Line'!$W$2:$W$1501,1))</f>
        <v/>
      </c>
      <c r="P398" s="7">
        <f>IF($U398="","",O398*N398)</f>
        <v/>
      </c>
      <c r="Q398" s="7">
        <f>IF($U398="","",P398+M398)</f>
        <v/>
      </c>
      <c r="R398" s="7">
        <f>IF($U398="","",S398-Q398)</f>
        <v/>
      </c>
      <c r="S398" s="7">
        <f>IF($U398="","",L398+O398)</f>
        <v/>
      </c>
      <c r="T398" s="7">
        <f>IF($U398="","",S398-Q398-H398)</f>
        <v/>
      </c>
      <c r="U398" s="16">
        <f>IF(ROWS($U$2:$U398)&lt;=MAX('Per Line'!$V$2:$V$1501),MATCH(ROWS($U$2:$U398),'Per Line'!$V$2:$V$1501,0),"")</f>
        <v/>
      </c>
      <c r="V398">
        <f>IF($U398="","",B398&amp;"|"&amp;COUNTIF($B$2:$B398,B398))</f>
        <v/>
      </c>
    </row>
    <row r="399">
      <c r="A399">
        <f>IF($U399="","",INDEX('Per Line'!$B$2:$B$1501,$U399)&amp;"")</f>
        <v/>
      </c>
      <c r="B399">
        <f>IF($U399="","","COPY "&amp;G399&amp;" %")</f>
        <v/>
      </c>
      <c r="C399" s="15" t="n"/>
      <c r="D399">
        <f>IF($U399="","",INDEX('Per Line'!$C$2:$C$1501,$U399)&amp;"")</f>
        <v/>
      </c>
      <c r="E399">
        <f>IF($U399="","",INDEX('Per Line'!$D$2:$D$1501,$U399)&amp;"")</f>
        <v/>
      </c>
      <c r="F399">
        <f>IF($U399="","",INDEX('Per Line'!$E$2:$E$1501,$U399)&amp;"")</f>
        <v/>
      </c>
      <c r="G399">
        <f>IF($U399="","",INDEX('Per Line'!$F$2:$F$1501,$U399))</f>
        <v/>
      </c>
      <c r="H399" s="7">
        <f>IF($U399="","",G399*S399/100)</f>
        <v/>
      </c>
      <c r="I399" s="14">
        <f>IF($U399="","",INDEX('Per Line'!$R$2:$R$1501,$U399))</f>
        <v/>
      </c>
      <c r="J399">
        <f>IF($U399="","",INDEX('Per Line'!$Q$2:$Q$1501,$U399)&amp;"")</f>
        <v/>
      </c>
      <c r="K399">
        <f>IF($U399="","",Settings!$C$7)</f>
        <v/>
      </c>
      <c r="L399" s="7">
        <f>IF($U399="","",SUMIFS('Per Line'!$L$2:$L$1501,'Per Line'!$B$2:$B$1501,$A399,'Per Line'!$W$2:$W$1501,0))</f>
        <v/>
      </c>
      <c r="M399" s="7">
        <f>IF($U399="","",L399*K399)</f>
        <v/>
      </c>
      <c r="N399">
        <f>IF($U399="","",Settings!$C$6)</f>
        <v/>
      </c>
      <c r="O399" s="7">
        <f>IF($U399="","",SUMIFS('Per Line'!$L$2:$L$1501,'Per Line'!$B$2:$B$1501,$A399,'Per Line'!$W$2:$W$1501,1))</f>
        <v/>
      </c>
      <c r="P399" s="7">
        <f>IF($U399="","",O399*N399)</f>
        <v/>
      </c>
      <c r="Q399" s="7">
        <f>IF($U399="","",P399+M399)</f>
        <v/>
      </c>
      <c r="R399" s="7">
        <f>IF($U399="","",S399-Q399)</f>
        <v/>
      </c>
      <c r="S399" s="7">
        <f>IF($U399="","",L399+O399)</f>
        <v/>
      </c>
      <c r="T399" s="7">
        <f>IF($U399="","",S399-Q399-H399)</f>
        <v/>
      </c>
      <c r="U399" s="16">
        <f>IF(ROWS($U$2:$U399)&lt;=MAX('Per Line'!$V$2:$V$1501),MATCH(ROWS($U$2:$U399),'Per Line'!$V$2:$V$1501,0),"")</f>
        <v/>
      </c>
      <c r="V399">
        <f>IF($U399="","",B399&amp;"|"&amp;COUNTIF($B$2:$B399,B399))</f>
        <v/>
      </c>
    </row>
    <row r="400">
      <c r="A400">
        <f>IF($U400="","",INDEX('Per Line'!$B$2:$B$1501,$U400)&amp;"")</f>
        <v/>
      </c>
      <c r="B400">
        <f>IF($U400="","","COPY "&amp;G400&amp;" %")</f>
        <v/>
      </c>
      <c r="C400" s="15" t="n"/>
      <c r="D400">
        <f>IF($U400="","",INDEX('Per Line'!$C$2:$C$1501,$U400)&amp;"")</f>
        <v/>
      </c>
      <c r="E400">
        <f>IF($U400="","",INDEX('Per Line'!$D$2:$D$1501,$U400)&amp;"")</f>
        <v/>
      </c>
      <c r="F400">
        <f>IF($U400="","",INDEX('Per Line'!$E$2:$E$1501,$U400)&amp;"")</f>
        <v/>
      </c>
      <c r="G400">
        <f>IF($U400="","",INDEX('Per Line'!$F$2:$F$1501,$U400))</f>
        <v/>
      </c>
      <c r="H400" s="7">
        <f>IF($U400="","",G400*S400/100)</f>
        <v/>
      </c>
      <c r="I400" s="14">
        <f>IF($U400="","",INDEX('Per Line'!$R$2:$R$1501,$U400))</f>
        <v/>
      </c>
      <c r="J400">
        <f>IF($U400="","",INDEX('Per Line'!$Q$2:$Q$1501,$U400)&amp;"")</f>
        <v/>
      </c>
      <c r="K400">
        <f>IF($U400="","",Settings!$C$7)</f>
        <v/>
      </c>
      <c r="L400" s="7">
        <f>IF($U400="","",SUMIFS('Per Line'!$L$2:$L$1501,'Per Line'!$B$2:$B$1501,$A400,'Per Line'!$W$2:$W$1501,0))</f>
        <v/>
      </c>
      <c r="M400" s="7">
        <f>IF($U400="","",L400*K400)</f>
        <v/>
      </c>
      <c r="N400">
        <f>IF($U400="","",Settings!$C$6)</f>
        <v/>
      </c>
      <c r="O400" s="7">
        <f>IF($U400="","",SUMIFS('Per Line'!$L$2:$L$1501,'Per Line'!$B$2:$B$1501,$A400,'Per Line'!$W$2:$W$1501,1))</f>
        <v/>
      </c>
      <c r="P400" s="7">
        <f>IF($U400="","",O400*N400)</f>
        <v/>
      </c>
      <c r="Q400" s="7">
        <f>IF($U400="","",P400+M400)</f>
        <v/>
      </c>
      <c r="R400" s="7">
        <f>IF($U400="","",S400-Q400)</f>
        <v/>
      </c>
      <c r="S400" s="7">
        <f>IF($U400="","",L400+O400)</f>
        <v/>
      </c>
      <c r="T400" s="7">
        <f>IF($U400="","",S400-Q400-H400)</f>
        <v/>
      </c>
      <c r="U400" s="16">
        <f>IF(ROWS($U$2:$U400)&lt;=MAX('Per Line'!$V$2:$V$1501),MATCH(ROWS($U$2:$U400),'Per Line'!$V$2:$V$1501,0),"")</f>
        <v/>
      </c>
      <c r="V400">
        <f>IF($U400="","",B400&amp;"|"&amp;COUNTIF($B$2:$B400,B400))</f>
        <v/>
      </c>
    </row>
    <row r="401">
      <c r="A401">
        <f>IF($U401="","",INDEX('Per Line'!$B$2:$B$1501,$U401)&amp;"")</f>
        <v/>
      </c>
      <c r="B401">
        <f>IF($U401="","","COPY "&amp;G401&amp;" %")</f>
        <v/>
      </c>
      <c r="C401" s="15" t="n"/>
      <c r="D401">
        <f>IF($U401="","",INDEX('Per Line'!$C$2:$C$1501,$U401)&amp;"")</f>
        <v/>
      </c>
      <c r="E401">
        <f>IF($U401="","",INDEX('Per Line'!$D$2:$D$1501,$U401)&amp;"")</f>
        <v/>
      </c>
      <c r="F401">
        <f>IF($U401="","",INDEX('Per Line'!$E$2:$E$1501,$U401)&amp;"")</f>
        <v/>
      </c>
      <c r="G401">
        <f>IF($U401="","",INDEX('Per Line'!$F$2:$F$1501,$U401))</f>
        <v/>
      </c>
      <c r="H401" s="7">
        <f>IF($U401="","",G401*S401/100)</f>
        <v/>
      </c>
      <c r="I401" s="14">
        <f>IF($U401="","",INDEX('Per Line'!$R$2:$R$1501,$U401))</f>
        <v/>
      </c>
      <c r="J401">
        <f>IF($U401="","",INDEX('Per Line'!$Q$2:$Q$1501,$U401)&amp;"")</f>
        <v/>
      </c>
      <c r="K401">
        <f>IF($U401="","",Settings!$C$7)</f>
        <v/>
      </c>
      <c r="L401" s="7">
        <f>IF($U401="","",SUMIFS('Per Line'!$L$2:$L$1501,'Per Line'!$B$2:$B$1501,$A401,'Per Line'!$W$2:$W$1501,0))</f>
        <v/>
      </c>
      <c r="M401" s="7">
        <f>IF($U401="","",L401*K401)</f>
        <v/>
      </c>
      <c r="N401">
        <f>IF($U401="","",Settings!$C$6)</f>
        <v/>
      </c>
      <c r="O401" s="7">
        <f>IF($U401="","",SUMIFS('Per Line'!$L$2:$L$1501,'Per Line'!$B$2:$B$1501,$A401,'Per Line'!$W$2:$W$1501,1))</f>
        <v/>
      </c>
      <c r="P401" s="7">
        <f>IF($U401="","",O401*N401)</f>
        <v/>
      </c>
      <c r="Q401" s="7">
        <f>IF($U401="","",P401+M401)</f>
        <v/>
      </c>
      <c r="R401" s="7">
        <f>IF($U401="","",S401-Q401)</f>
        <v/>
      </c>
      <c r="S401" s="7">
        <f>IF($U401="","",L401+O401)</f>
        <v/>
      </c>
      <c r="T401" s="7">
        <f>IF($U401="","",S401-Q401-H401)</f>
        <v/>
      </c>
      <c r="U401" s="16">
        <f>IF(ROWS($U$2:$U401)&lt;=MAX('Per Line'!$V$2:$V$1501),MATCH(ROWS($U$2:$U401),'Per Line'!$V$2:$V$1501,0),"")</f>
        <v/>
      </c>
      <c r="V401">
        <f>IF($U401="","",B401&amp;"|"&amp;COUNTIF($B$2:$B401,B401))</f>
        <v/>
      </c>
    </row>
  </sheetData>
  <autoFilter ref="A1:V4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10" t="inlineStr">
        <is>
          <t>Pos Reference</t>
        </is>
      </c>
      <c r="B1" s="10" t="inlineStr">
        <is>
          <t>Copay Tab (##)</t>
        </is>
      </c>
      <c r="C1" s="10" t="inlineStr">
        <is>
          <t>Invoice</t>
        </is>
      </c>
      <c r="D1" s="10" t="inlineStr">
        <is>
          <t>Insurance Company</t>
        </is>
      </c>
      <c r="E1" s="10" t="inlineStr">
        <is>
          <t>Name</t>
        </is>
      </c>
      <c r="F1" s="10" t="inlineStr">
        <is>
          <t>Card Number</t>
        </is>
      </c>
      <c r="G1" s="10" t="inlineStr">
        <is>
          <t>Co Payment %</t>
        </is>
      </c>
      <c r="H1" s="10" t="inlineStr">
        <is>
          <t>Co val</t>
        </is>
      </c>
      <c r="I1" s="10" t="inlineStr">
        <is>
          <t>Create Date</t>
        </is>
      </c>
      <c r="J1" s="10" t="inlineStr">
        <is>
          <t>Session</t>
        </is>
      </c>
      <c r="K1" s="10" t="inlineStr">
        <is>
          <t>IMP%</t>
        </is>
      </c>
      <c r="L1" s="10" t="inlineStr">
        <is>
          <t>IMP</t>
        </is>
      </c>
      <c r="M1" s="10" t="inlineStr">
        <is>
          <t>IMP VAL</t>
        </is>
      </c>
      <c r="N1" s="10" t="inlineStr">
        <is>
          <t>LOCAL%</t>
        </is>
      </c>
      <c r="O1" s="10" t="inlineStr">
        <is>
          <t>LOCAL</t>
        </is>
      </c>
      <c r="P1" s="10" t="inlineStr">
        <is>
          <t>LOCAL VAL</t>
        </is>
      </c>
      <c r="Q1" s="10" t="inlineStr">
        <is>
          <t>TOTAL VAL</t>
        </is>
      </c>
      <c r="R1" s="10" t="inlineStr">
        <is>
          <t>SUBTOTAL</t>
        </is>
      </c>
      <c r="S1" s="10" t="inlineStr">
        <is>
          <t>Grand Total</t>
        </is>
      </c>
      <c r="T1" s="10" t="inlineStr">
        <is>
          <t>NET</t>
        </is>
      </c>
      <c r="U1" s="13" t="inlineStr">
        <is>
          <t>Src Row (helper)</t>
        </is>
      </c>
    </row>
    <row r="2">
      <c r="A2">
        <f>IF($U2="","",IF(INDEX('Per Invoice'!A$2:A$401,$U2)="","",INDEX('Per Invoice'!A$2:A$401,$U2)))</f>
        <v/>
      </c>
      <c r="B2">
        <f>IF($U2="","",IF(INDEX('Per Invoice'!B$2:B$401,$U2)="","",INDEX('Per Invoice'!B$2:B$401,$U2)))</f>
        <v/>
      </c>
      <c r="C2">
        <f>IF($U2="","",IF(INDEX('Per Invoice'!C$2:C$401,$U2)="","",INDEX('Per Invoice'!C$2:C$401,$U2)))</f>
        <v/>
      </c>
      <c r="D2">
        <f>IF($U2="","",IF(INDEX('Per Invoice'!D$2:D$401,$U2)="","",INDEX('Per Invoice'!D$2:D$401,$U2)))</f>
        <v/>
      </c>
      <c r="E2">
        <f>IF($U2="","",IF(INDEX('Per Invoice'!E$2:E$401,$U2)="","",INDEX('Per Invoice'!E$2:E$401,$U2)))</f>
        <v/>
      </c>
      <c r="F2">
        <f>IF($U2="","",IF(INDEX('Per Invoice'!F$2:F$401,$U2)="","",INDEX('Per Invoice'!F$2:F$401,$U2)))</f>
        <v/>
      </c>
      <c r="G2">
        <f>IF($U2="","",IF(INDEX('Per Invoice'!G$2:G$401,$U2)="","",INDEX('Per Invoice'!G$2:G$401,$U2)))</f>
        <v/>
      </c>
      <c r="H2" s="7">
        <f>IF($U2="","",IF(INDEX('Per Invoice'!H$2:H$401,$U2)="","",INDEX('Per Invoice'!H$2:H$401,$U2)))</f>
        <v/>
      </c>
      <c r="I2" s="14">
        <f>IF($U2="","",IF(INDEX('Per Invoice'!I$2:I$401,$U2)="","",INDEX('Per Invoice'!I$2:I$401,$U2)))</f>
        <v/>
      </c>
      <c r="J2">
        <f>IF($U2="","",IF(INDEX('Per Invoice'!J$2:J$401,$U2)="","",INDEX('Per Invoice'!J$2:J$401,$U2)))</f>
        <v/>
      </c>
      <c r="K2">
        <f>IF($U2="","",IF(INDEX('Per Invoice'!K$2:K$401,$U2)="","",INDEX('Per Invoice'!K$2:K$401,$U2)))</f>
        <v/>
      </c>
      <c r="L2" s="7">
        <f>IF($U2="","",IF(INDEX('Per Invoice'!L$2:L$401,$U2)="","",INDEX('Per Invoice'!L$2:L$401,$U2)))</f>
        <v/>
      </c>
      <c r="M2" s="7">
        <f>IF($U2="","",IF(INDEX('Per Invoice'!M$2:M$401,$U2)="","",INDEX('Per Invoice'!M$2:M$401,$U2)))</f>
        <v/>
      </c>
      <c r="N2">
        <f>IF($U2="","",IF(INDEX('Per Invoice'!N$2:N$401,$U2)="","",INDEX('Per Invoice'!N$2:N$401,$U2)))</f>
        <v/>
      </c>
      <c r="O2" s="7">
        <f>IF($U2="","",IF(INDEX('Per Invoice'!O$2:O$401,$U2)="","",INDEX('Per Invoice'!O$2:O$401,$U2)))</f>
        <v/>
      </c>
      <c r="P2" s="7">
        <f>IF($U2="","",IF(INDEX('Per Invoice'!P$2:P$401,$U2)="","",INDEX('Per Invoice'!P$2:P$401,$U2)))</f>
        <v/>
      </c>
      <c r="Q2" s="7">
        <f>IF($U2="","",IF(INDEX('Per Invoice'!Q$2:Q$401,$U2)="","",INDEX('Per Invoice'!Q$2:Q$401,$U2)))</f>
        <v/>
      </c>
      <c r="R2" s="7">
        <f>IF($U2="","",IF(INDEX('Per Invoice'!R$2:R$401,$U2)="","",INDEX('Per Invoice'!R$2:R$401,$U2)))</f>
        <v/>
      </c>
      <c r="S2" s="7">
        <f>IF($U2="","",IF(INDEX('Per Invoice'!S$2:S$401,$U2)="","",INDEX('Per Invoice'!S$2:S$401,$U2)))</f>
        <v/>
      </c>
      <c r="T2" s="7">
        <f>IF($U2="","",IF(INDEX('Per Invoice'!T$2:T$401,$U2)="","",INDEX('Per Invoice'!T$2:T$401,$U2)))</f>
        <v/>
      </c>
      <c r="U2" s="16">
        <f>IFERROR(MATCH(Settings!$C$26&amp;"|"&amp;ROWS($U$2:$U2),'Per Invoice'!$V$2:$V$401,0),"")</f>
        <v/>
      </c>
    </row>
    <row r="3">
      <c r="A3">
        <f>IF($U3="","",IF(INDEX('Per Invoice'!A$2:A$401,$U3)="","",INDEX('Per Invoice'!A$2:A$401,$U3)))</f>
        <v/>
      </c>
      <c r="B3">
        <f>IF($U3="","",IF(INDEX('Per Invoice'!B$2:B$401,$U3)="","",INDEX('Per Invoice'!B$2:B$401,$U3)))</f>
        <v/>
      </c>
      <c r="C3">
        <f>IF($U3="","",IF(INDEX('Per Invoice'!C$2:C$401,$U3)="","",INDEX('Per Invoice'!C$2:C$401,$U3)))</f>
        <v/>
      </c>
      <c r="D3">
        <f>IF($U3="","",IF(INDEX('Per Invoice'!D$2:D$401,$U3)="","",INDEX('Per Invoice'!D$2:D$401,$U3)))</f>
        <v/>
      </c>
      <c r="E3">
        <f>IF($U3="","",IF(INDEX('Per Invoice'!E$2:E$401,$U3)="","",INDEX('Per Invoice'!E$2:E$401,$U3)))</f>
        <v/>
      </c>
      <c r="F3">
        <f>IF($U3="","",IF(INDEX('Per Invoice'!F$2:F$401,$U3)="","",INDEX('Per Invoice'!F$2:F$401,$U3)))</f>
        <v/>
      </c>
      <c r="G3">
        <f>IF($U3="","",IF(INDEX('Per Invoice'!G$2:G$401,$U3)="","",INDEX('Per Invoice'!G$2:G$401,$U3)))</f>
        <v/>
      </c>
      <c r="H3" s="7">
        <f>IF($U3="","",IF(INDEX('Per Invoice'!H$2:H$401,$U3)="","",INDEX('Per Invoice'!H$2:H$401,$U3)))</f>
        <v/>
      </c>
      <c r="I3" s="14">
        <f>IF($U3="","",IF(INDEX('Per Invoice'!I$2:I$401,$U3)="","",INDEX('Per Invoice'!I$2:I$401,$U3)))</f>
        <v/>
      </c>
      <c r="J3">
        <f>IF($U3="","",IF(INDEX('Per Invoice'!J$2:J$401,$U3)="","",INDEX('Per Invoice'!J$2:J$401,$U3)))</f>
        <v/>
      </c>
      <c r="K3">
        <f>IF($U3="","",IF(INDEX('Per Invoice'!K$2:K$401,$U3)="","",INDEX('Per Invoice'!K$2:K$401,$U3)))</f>
        <v/>
      </c>
      <c r="L3" s="7">
        <f>IF($U3="","",IF(INDEX('Per Invoice'!L$2:L$401,$U3)="","",INDEX('Per Invoice'!L$2:L$401,$U3)))</f>
        <v/>
      </c>
      <c r="M3" s="7">
        <f>IF($U3="","",IF(INDEX('Per Invoice'!M$2:M$401,$U3)="","",INDEX('Per Invoice'!M$2:M$401,$U3)))</f>
        <v/>
      </c>
      <c r="N3">
        <f>IF($U3="","",IF(INDEX('Per Invoice'!N$2:N$401,$U3)="","",INDEX('Per Invoice'!N$2:N$401,$U3)))</f>
        <v/>
      </c>
      <c r="O3" s="7">
        <f>IF($U3="","",IF(INDEX('Per Invoice'!O$2:O$401,$U3)="","",INDEX('Per Invoice'!O$2:O$401,$U3)))</f>
        <v/>
      </c>
      <c r="P3" s="7">
        <f>IF($U3="","",IF(INDEX('Per Invoice'!P$2:P$401,$U3)="","",INDEX('Per Invoice'!P$2:P$401,$U3)))</f>
        <v/>
      </c>
      <c r="Q3" s="7">
        <f>IF($U3="","",IF(INDEX('Per Invoice'!Q$2:Q$401,$U3)="","",INDEX('Per Invoice'!Q$2:Q$401,$U3)))</f>
        <v/>
      </c>
      <c r="R3" s="7">
        <f>IF($U3="","",IF(INDEX('Per Invoice'!R$2:R$401,$U3)="","",INDEX('Per Invoice'!R$2:R$401,$U3)))</f>
        <v/>
      </c>
      <c r="S3" s="7">
        <f>IF($U3="","",IF(INDEX('Per Invoice'!S$2:S$401,$U3)="","",INDEX('Per Invoice'!S$2:S$401,$U3)))</f>
        <v/>
      </c>
      <c r="T3" s="7">
        <f>IF($U3="","",IF(INDEX('Per Invoice'!T$2:T$401,$U3)="","",INDEX('Per Invoice'!T$2:T$401,$U3)))</f>
        <v/>
      </c>
      <c r="U3" s="16">
        <f>IFERROR(MATCH(Settings!$C$26&amp;"|"&amp;ROWS($U$2:$U3),'Per Invoice'!$V$2:$V$401,0),"")</f>
        <v/>
      </c>
    </row>
    <row r="4">
      <c r="A4">
        <f>IF($U4="","",IF(INDEX('Per Invoice'!A$2:A$401,$U4)="","",INDEX('Per Invoice'!A$2:A$401,$U4)))</f>
        <v/>
      </c>
      <c r="B4">
        <f>IF($U4="","",IF(INDEX('Per Invoice'!B$2:B$401,$U4)="","",INDEX('Per Invoice'!B$2:B$401,$U4)))</f>
        <v/>
      </c>
      <c r="C4">
        <f>IF($U4="","",IF(INDEX('Per Invoice'!C$2:C$401,$U4)="","",INDEX('Per Invoice'!C$2:C$401,$U4)))</f>
        <v/>
      </c>
      <c r="D4">
        <f>IF($U4="","",IF(INDEX('Per Invoice'!D$2:D$401,$U4)="","",INDEX('Per Invoice'!D$2:D$401,$U4)))</f>
        <v/>
      </c>
      <c r="E4">
        <f>IF($U4="","",IF(INDEX('Per Invoice'!E$2:E$401,$U4)="","",INDEX('Per Invoice'!E$2:E$401,$U4)))</f>
        <v/>
      </c>
      <c r="F4">
        <f>IF($U4="","",IF(INDEX('Per Invoice'!F$2:F$401,$U4)="","",INDEX('Per Invoice'!F$2:F$401,$U4)))</f>
        <v/>
      </c>
      <c r="G4">
        <f>IF($U4="","",IF(INDEX('Per Invoice'!G$2:G$401,$U4)="","",INDEX('Per Invoice'!G$2:G$401,$U4)))</f>
        <v/>
      </c>
      <c r="H4" s="7">
        <f>IF($U4="","",IF(INDEX('Per Invoice'!H$2:H$401,$U4)="","",INDEX('Per Invoice'!H$2:H$401,$U4)))</f>
        <v/>
      </c>
      <c r="I4" s="14">
        <f>IF($U4="","",IF(INDEX('Per Invoice'!I$2:I$401,$U4)="","",INDEX('Per Invoice'!I$2:I$401,$U4)))</f>
        <v/>
      </c>
      <c r="J4">
        <f>IF($U4="","",IF(INDEX('Per Invoice'!J$2:J$401,$U4)="","",INDEX('Per Invoice'!J$2:J$401,$U4)))</f>
        <v/>
      </c>
      <c r="K4">
        <f>IF($U4="","",IF(INDEX('Per Invoice'!K$2:K$401,$U4)="","",INDEX('Per Invoice'!K$2:K$401,$U4)))</f>
        <v/>
      </c>
      <c r="L4" s="7">
        <f>IF($U4="","",IF(INDEX('Per Invoice'!L$2:L$401,$U4)="","",INDEX('Per Invoice'!L$2:L$401,$U4)))</f>
        <v/>
      </c>
      <c r="M4" s="7">
        <f>IF($U4="","",IF(INDEX('Per Invoice'!M$2:M$401,$U4)="","",INDEX('Per Invoice'!M$2:M$401,$U4)))</f>
        <v/>
      </c>
      <c r="N4">
        <f>IF($U4="","",IF(INDEX('Per Invoice'!N$2:N$401,$U4)="","",INDEX('Per Invoice'!N$2:N$401,$U4)))</f>
        <v/>
      </c>
      <c r="O4" s="7">
        <f>IF($U4="","",IF(INDEX('Per Invoice'!O$2:O$401,$U4)="","",INDEX('Per Invoice'!O$2:O$401,$U4)))</f>
        <v/>
      </c>
      <c r="P4" s="7">
        <f>IF($U4="","",IF(INDEX('Per Invoice'!P$2:P$401,$U4)="","",INDEX('Per Invoice'!P$2:P$401,$U4)))</f>
        <v/>
      </c>
      <c r="Q4" s="7">
        <f>IF($U4="","",IF(INDEX('Per Invoice'!Q$2:Q$401,$U4)="","",INDEX('Per Invoice'!Q$2:Q$401,$U4)))</f>
        <v/>
      </c>
      <c r="R4" s="7">
        <f>IF($U4="","",IF(INDEX('Per Invoice'!R$2:R$401,$U4)="","",INDEX('Per Invoice'!R$2:R$401,$U4)))</f>
        <v/>
      </c>
      <c r="S4" s="7">
        <f>IF($U4="","",IF(INDEX('Per Invoice'!S$2:S$401,$U4)="","",INDEX('Per Invoice'!S$2:S$401,$U4)))</f>
        <v/>
      </c>
      <c r="T4" s="7">
        <f>IF($U4="","",IF(INDEX('Per Invoice'!T$2:T$401,$U4)="","",INDEX('Per Invoice'!T$2:T$401,$U4)))</f>
        <v/>
      </c>
      <c r="U4" s="16">
        <f>IFERROR(MATCH(Settings!$C$26&amp;"|"&amp;ROWS($U$2:$U4),'Per Invoice'!$V$2:$V$401,0),"")</f>
        <v/>
      </c>
    </row>
    <row r="5">
      <c r="A5">
        <f>IF($U5="","",IF(INDEX('Per Invoice'!A$2:A$401,$U5)="","",INDEX('Per Invoice'!A$2:A$401,$U5)))</f>
        <v/>
      </c>
      <c r="B5">
        <f>IF($U5="","",IF(INDEX('Per Invoice'!B$2:B$401,$U5)="","",INDEX('Per Invoice'!B$2:B$401,$U5)))</f>
        <v/>
      </c>
      <c r="C5">
        <f>IF($U5="","",IF(INDEX('Per Invoice'!C$2:C$401,$U5)="","",INDEX('Per Invoice'!C$2:C$401,$U5)))</f>
        <v/>
      </c>
      <c r="D5">
        <f>IF($U5="","",IF(INDEX('Per Invoice'!D$2:D$401,$U5)="","",INDEX('Per Invoice'!D$2:D$401,$U5)))</f>
        <v/>
      </c>
      <c r="E5">
        <f>IF($U5="","",IF(INDEX('Per Invoice'!E$2:E$401,$U5)="","",INDEX('Per Invoice'!E$2:E$401,$U5)))</f>
        <v/>
      </c>
      <c r="F5">
        <f>IF($U5="","",IF(INDEX('Per Invoice'!F$2:F$401,$U5)="","",INDEX('Per Invoice'!F$2:F$401,$U5)))</f>
        <v/>
      </c>
      <c r="G5">
        <f>IF($U5="","",IF(INDEX('Per Invoice'!G$2:G$401,$U5)="","",INDEX('Per Invoice'!G$2:G$401,$U5)))</f>
        <v/>
      </c>
      <c r="H5" s="7">
        <f>IF($U5="","",IF(INDEX('Per Invoice'!H$2:H$401,$U5)="","",INDEX('Per Invoice'!H$2:H$401,$U5)))</f>
        <v/>
      </c>
      <c r="I5" s="14">
        <f>IF($U5="","",IF(INDEX('Per Invoice'!I$2:I$401,$U5)="","",INDEX('Per Invoice'!I$2:I$401,$U5)))</f>
        <v/>
      </c>
      <c r="J5">
        <f>IF($U5="","",IF(INDEX('Per Invoice'!J$2:J$401,$U5)="","",INDEX('Per Invoice'!J$2:J$401,$U5)))</f>
        <v/>
      </c>
      <c r="K5">
        <f>IF($U5="","",IF(INDEX('Per Invoice'!K$2:K$401,$U5)="","",INDEX('Per Invoice'!K$2:K$401,$U5)))</f>
        <v/>
      </c>
      <c r="L5" s="7">
        <f>IF($U5="","",IF(INDEX('Per Invoice'!L$2:L$401,$U5)="","",INDEX('Per Invoice'!L$2:L$401,$U5)))</f>
        <v/>
      </c>
      <c r="M5" s="7">
        <f>IF($U5="","",IF(INDEX('Per Invoice'!M$2:M$401,$U5)="","",INDEX('Per Invoice'!M$2:M$401,$U5)))</f>
        <v/>
      </c>
      <c r="N5">
        <f>IF($U5="","",IF(INDEX('Per Invoice'!N$2:N$401,$U5)="","",INDEX('Per Invoice'!N$2:N$401,$U5)))</f>
        <v/>
      </c>
      <c r="O5" s="7">
        <f>IF($U5="","",IF(INDEX('Per Invoice'!O$2:O$401,$U5)="","",INDEX('Per Invoice'!O$2:O$401,$U5)))</f>
        <v/>
      </c>
      <c r="P5" s="7">
        <f>IF($U5="","",IF(INDEX('Per Invoice'!P$2:P$401,$U5)="","",INDEX('Per Invoice'!P$2:P$401,$U5)))</f>
        <v/>
      </c>
      <c r="Q5" s="7">
        <f>IF($U5="","",IF(INDEX('Per Invoice'!Q$2:Q$401,$U5)="","",INDEX('Per Invoice'!Q$2:Q$401,$U5)))</f>
        <v/>
      </c>
      <c r="R5" s="7">
        <f>IF($U5="","",IF(INDEX('Per Invoice'!R$2:R$401,$U5)="","",INDEX('Per Invoice'!R$2:R$401,$U5)))</f>
        <v/>
      </c>
      <c r="S5" s="7">
        <f>IF($U5="","",IF(INDEX('Per Invoice'!S$2:S$401,$U5)="","",INDEX('Per Invoice'!S$2:S$401,$U5)))</f>
        <v/>
      </c>
      <c r="T5" s="7">
        <f>IF($U5="","",IF(INDEX('Per Invoice'!T$2:T$401,$U5)="","",INDEX('Per Invoice'!T$2:T$401,$U5)))</f>
        <v/>
      </c>
      <c r="U5" s="16">
        <f>IFERROR(MATCH(Settings!$C$26&amp;"|"&amp;ROWS($U$2:$U5),'Per Invoice'!$V$2:$V$401,0),"")</f>
        <v/>
      </c>
    </row>
    <row r="6">
      <c r="A6">
        <f>IF($U6="","",IF(INDEX('Per Invoice'!A$2:A$401,$U6)="","",INDEX('Per Invoice'!A$2:A$401,$U6)))</f>
        <v/>
      </c>
      <c r="B6">
        <f>IF($U6="","",IF(INDEX('Per Invoice'!B$2:B$401,$U6)="","",INDEX('Per Invoice'!B$2:B$401,$U6)))</f>
        <v/>
      </c>
      <c r="C6">
        <f>IF($U6="","",IF(INDEX('Per Invoice'!C$2:C$401,$U6)="","",INDEX('Per Invoice'!C$2:C$401,$U6)))</f>
        <v/>
      </c>
      <c r="D6">
        <f>IF($U6="","",IF(INDEX('Per Invoice'!D$2:D$401,$U6)="","",INDEX('Per Invoice'!D$2:D$401,$U6)))</f>
        <v/>
      </c>
      <c r="E6">
        <f>IF($U6="","",IF(INDEX('Per Invoice'!E$2:E$401,$U6)="","",INDEX('Per Invoice'!E$2:E$401,$U6)))</f>
        <v/>
      </c>
      <c r="F6">
        <f>IF($U6="","",IF(INDEX('Per Invoice'!F$2:F$401,$U6)="","",INDEX('Per Invoice'!F$2:F$401,$U6)))</f>
        <v/>
      </c>
      <c r="G6">
        <f>IF($U6="","",IF(INDEX('Per Invoice'!G$2:G$401,$U6)="","",INDEX('Per Invoice'!G$2:G$401,$U6)))</f>
        <v/>
      </c>
      <c r="H6" s="7">
        <f>IF($U6="","",IF(INDEX('Per Invoice'!H$2:H$401,$U6)="","",INDEX('Per Invoice'!H$2:H$401,$U6)))</f>
        <v/>
      </c>
      <c r="I6" s="14">
        <f>IF($U6="","",IF(INDEX('Per Invoice'!I$2:I$401,$U6)="","",INDEX('Per Invoice'!I$2:I$401,$U6)))</f>
        <v/>
      </c>
      <c r="J6">
        <f>IF($U6="","",IF(INDEX('Per Invoice'!J$2:J$401,$U6)="","",INDEX('Per Invoice'!J$2:J$401,$U6)))</f>
        <v/>
      </c>
      <c r="K6">
        <f>IF($U6="","",IF(INDEX('Per Invoice'!K$2:K$401,$U6)="","",INDEX('Per Invoice'!K$2:K$401,$U6)))</f>
        <v/>
      </c>
      <c r="L6" s="7">
        <f>IF($U6="","",IF(INDEX('Per Invoice'!L$2:L$401,$U6)="","",INDEX('Per Invoice'!L$2:L$401,$U6)))</f>
        <v/>
      </c>
      <c r="M6" s="7">
        <f>IF($U6="","",IF(INDEX('Per Invoice'!M$2:M$401,$U6)="","",INDEX('Per Invoice'!M$2:M$401,$U6)))</f>
        <v/>
      </c>
      <c r="N6">
        <f>IF($U6="","",IF(INDEX('Per Invoice'!N$2:N$401,$U6)="","",INDEX('Per Invoice'!N$2:N$401,$U6)))</f>
        <v/>
      </c>
      <c r="O6" s="7">
        <f>IF($U6="","",IF(INDEX('Per Invoice'!O$2:O$401,$U6)="","",INDEX('Per Invoice'!O$2:O$401,$U6)))</f>
        <v/>
      </c>
      <c r="P6" s="7">
        <f>IF($U6="","",IF(INDEX('Per Invoice'!P$2:P$401,$U6)="","",INDEX('Per Invoice'!P$2:P$401,$U6)))</f>
        <v/>
      </c>
      <c r="Q6" s="7">
        <f>IF($U6="","",IF(INDEX('Per Invoice'!Q$2:Q$401,$U6)="","",INDEX('Per Invoice'!Q$2:Q$401,$U6)))</f>
        <v/>
      </c>
      <c r="R6" s="7">
        <f>IF($U6="","",IF(INDEX('Per Invoice'!R$2:R$401,$U6)="","",INDEX('Per Invoice'!R$2:R$401,$U6)))</f>
        <v/>
      </c>
      <c r="S6" s="7">
        <f>IF($U6="","",IF(INDEX('Per Invoice'!S$2:S$401,$U6)="","",INDEX('Per Invoice'!S$2:S$401,$U6)))</f>
        <v/>
      </c>
      <c r="T6" s="7">
        <f>IF($U6="","",IF(INDEX('Per Invoice'!T$2:T$401,$U6)="","",INDEX('Per Invoice'!T$2:T$401,$U6)))</f>
        <v/>
      </c>
      <c r="U6" s="16">
        <f>IFERROR(MATCH(Settings!$C$26&amp;"|"&amp;ROWS($U$2:$U6),'Per Invoice'!$V$2:$V$401,0),"")</f>
        <v/>
      </c>
    </row>
    <row r="7">
      <c r="A7">
        <f>IF($U7="","",IF(INDEX('Per Invoice'!A$2:A$401,$U7)="","",INDEX('Per Invoice'!A$2:A$401,$U7)))</f>
        <v/>
      </c>
      <c r="B7">
        <f>IF($U7="","",IF(INDEX('Per Invoice'!B$2:B$401,$U7)="","",INDEX('Per Invoice'!B$2:B$401,$U7)))</f>
        <v/>
      </c>
      <c r="C7">
        <f>IF($U7="","",IF(INDEX('Per Invoice'!C$2:C$401,$U7)="","",INDEX('Per Invoice'!C$2:C$401,$U7)))</f>
        <v/>
      </c>
      <c r="D7">
        <f>IF($U7="","",IF(INDEX('Per Invoice'!D$2:D$401,$U7)="","",INDEX('Per Invoice'!D$2:D$401,$U7)))</f>
        <v/>
      </c>
      <c r="E7">
        <f>IF($U7="","",IF(INDEX('Per Invoice'!E$2:E$401,$U7)="","",INDEX('Per Invoice'!E$2:E$401,$U7)))</f>
        <v/>
      </c>
      <c r="F7">
        <f>IF($U7="","",IF(INDEX('Per Invoice'!F$2:F$401,$U7)="","",INDEX('Per Invoice'!F$2:F$401,$U7)))</f>
        <v/>
      </c>
      <c r="G7">
        <f>IF($U7="","",IF(INDEX('Per Invoice'!G$2:G$401,$U7)="","",INDEX('Per Invoice'!G$2:G$401,$U7)))</f>
        <v/>
      </c>
      <c r="H7" s="7">
        <f>IF($U7="","",IF(INDEX('Per Invoice'!H$2:H$401,$U7)="","",INDEX('Per Invoice'!H$2:H$401,$U7)))</f>
        <v/>
      </c>
      <c r="I7" s="14">
        <f>IF($U7="","",IF(INDEX('Per Invoice'!I$2:I$401,$U7)="","",INDEX('Per Invoice'!I$2:I$401,$U7)))</f>
        <v/>
      </c>
      <c r="J7">
        <f>IF($U7="","",IF(INDEX('Per Invoice'!J$2:J$401,$U7)="","",INDEX('Per Invoice'!J$2:J$401,$U7)))</f>
        <v/>
      </c>
      <c r="K7">
        <f>IF($U7="","",IF(INDEX('Per Invoice'!K$2:K$401,$U7)="","",INDEX('Per Invoice'!K$2:K$401,$U7)))</f>
        <v/>
      </c>
      <c r="L7" s="7">
        <f>IF($U7="","",IF(INDEX('Per Invoice'!L$2:L$401,$U7)="","",INDEX('Per Invoice'!L$2:L$401,$U7)))</f>
        <v/>
      </c>
      <c r="M7" s="7">
        <f>IF($U7="","",IF(INDEX('Per Invoice'!M$2:M$401,$U7)="","",INDEX('Per Invoice'!M$2:M$401,$U7)))</f>
        <v/>
      </c>
      <c r="N7">
        <f>IF($U7="","",IF(INDEX('Per Invoice'!N$2:N$401,$U7)="","",INDEX('Per Invoice'!N$2:N$401,$U7)))</f>
        <v/>
      </c>
      <c r="O7" s="7">
        <f>IF($U7="","",IF(INDEX('Per Invoice'!O$2:O$401,$U7)="","",INDEX('Per Invoice'!O$2:O$401,$U7)))</f>
        <v/>
      </c>
      <c r="P7" s="7">
        <f>IF($U7="","",IF(INDEX('Per Invoice'!P$2:P$401,$U7)="","",INDEX('Per Invoice'!P$2:P$401,$U7)))</f>
        <v/>
      </c>
      <c r="Q7" s="7">
        <f>IF($U7="","",IF(INDEX('Per Invoice'!Q$2:Q$401,$U7)="","",INDEX('Per Invoice'!Q$2:Q$401,$U7)))</f>
        <v/>
      </c>
      <c r="R7" s="7">
        <f>IF($U7="","",IF(INDEX('Per Invoice'!R$2:R$401,$U7)="","",INDEX('Per Invoice'!R$2:R$401,$U7)))</f>
        <v/>
      </c>
      <c r="S7" s="7">
        <f>IF($U7="","",IF(INDEX('Per Invoice'!S$2:S$401,$U7)="","",INDEX('Per Invoice'!S$2:S$401,$U7)))</f>
        <v/>
      </c>
      <c r="T7" s="7">
        <f>IF($U7="","",IF(INDEX('Per Invoice'!T$2:T$401,$U7)="","",INDEX('Per Invoice'!T$2:T$401,$U7)))</f>
        <v/>
      </c>
      <c r="U7" s="16">
        <f>IFERROR(MATCH(Settings!$C$26&amp;"|"&amp;ROWS($U$2:$U7),'Per Invoice'!$V$2:$V$401,0),"")</f>
        <v/>
      </c>
    </row>
    <row r="8">
      <c r="A8">
        <f>IF($U8="","",IF(INDEX('Per Invoice'!A$2:A$401,$U8)="","",INDEX('Per Invoice'!A$2:A$401,$U8)))</f>
        <v/>
      </c>
      <c r="B8">
        <f>IF($U8="","",IF(INDEX('Per Invoice'!B$2:B$401,$U8)="","",INDEX('Per Invoice'!B$2:B$401,$U8)))</f>
        <v/>
      </c>
      <c r="C8">
        <f>IF($U8="","",IF(INDEX('Per Invoice'!C$2:C$401,$U8)="","",INDEX('Per Invoice'!C$2:C$401,$U8)))</f>
        <v/>
      </c>
      <c r="D8">
        <f>IF($U8="","",IF(INDEX('Per Invoice'!D$2:D$401,$U8)="","",INDEX('Per Invoice'!D$2:D$401,$U8)))</f>
        <v/>
      </c>
      <c r="E8">
        <f>IF($U8="","",IF(INDEX('Per Invoice'!E$2:E$401,$U8)="","",INDEX('Per Invoice'!E$2:E$401,$U8)))</f>
        <v/>
      </c>
      <c r="F8">
        <f>IF($U8="","",IF(INDEX('Per Invoice'!F$2:F$401,$U8)="","",INDEX('Per Invoice'!F$2:F$401,$U8)))</f>
        <v/>
      </c>
      <c r="G8">
        <f>IF($U8="","",IF(INDEX('Per Invoice'!G$2:G$401,$U8)="","",INDEX('Per Invoice'!G$2:G$401,$U8)))</f>
        <v/>
      </c>
      <c r="H8" s="7">
        <f>IF($U8="","",IF(INDEX('Per Invoice'!H$2:H$401,$U8)="","",INDEX('Per Invoice'!H$2:H$401,$U8)))</f>
        <v/>
      </c>
      <c r="I8" s="14">
        <f>IF($U8="","",IF(INDEX('Per Invoice'!I$2:I$401,$U8)="","",INDEX('Per Invoice'!I$2:I$401,$U8)))</f>
        <v/>
      </c>
      <c r="J8">
        <f>IF($U8="","",IF(INDEX('Per Invoice'!J$2:J$401,$U8)="","",INDEX('Per Invoice'!J$2:J$401,$U8)))</f>
        <v/>
      </c>
      <c r="K8">
        <f>IF($U8="","",IF(INDEX('Per Invoice'!K$2:K$401,$U8)="","",INDEX('Per Invoice'!K$2:K$401,$U8)))</f>
        <v/>
      </c>
      <c r="L8" s="7">
        <f>IF($U8="","",IF(INDEX('Per Invoice'!L$2:L$401,$U8)="","",INDEX('Per Invoice'!L$2:L$401,$U8)))</f>
        <v/>
      </c>
      <c r="M8" s="7">
        <f>IF($U8="","",IF(INDEX('Per Invoice'!M$2:M$401,$U8)="","",INDEX('Per Invoice'!M$2:M$401,$U8)))</f>
        <v/>
      </c>
      <c r="N8">
        <f>IF($U8="","",IF(INDEX('Per Invoice'!N$2:N$401,$U8)="","",INDEX('Per Invoice'!N$2:N$401,$U8)))</f>
        <v/>
      </c>
      <c r="O8" s="7">
        <f>IF($U8="","",IF(INDEX('Per Invoice'!O$2:O$401,$U8)="","",INDEX('Per Invoice'!O$2:O$401,$U8)))</f>
        <v/>
      </c>
      <c r="P8" s="7">
        <f>IF($U8="","",IF(INDEX('Per Invoice'!P$2:P$401,$U8)="","",INDEX('Per Invoice'!P$2:P$401,$U8)))</f>
        <v/>
      </c>
      <c r="Q8" s="7">
        <f>IF($U8="","",IF(INDEX('Per Invoice'!Q$2:Q$401,$U8)="","",INDEX('Per Invoice'!Q$2:Q$401,$U8)))</f>
        <v/>
      </c>
      <c r="R8" s="7">
        <f>IF($U8="","",IF(INDEX('Per Invoice'!R$2:R$401,$U8)="","",INDEX('Per Invoice'!R$2:R$401,$U8)))</f>
        <v/>
      </c>
      <c r="S8" s="7">
        <f>IF($U8="","",IF(INDEX('Per Invoice'!S$2:S$401,$U8)="","",INDEX('Per Invoice'!S$2:S$401,$U8)))</f>
        <v/>
      </c>
      <c r="T8" s="7">
        <f>IF($U8="","",IF(INDEX('Per Invoice'!T$2:T$401,$U8)="","",INDEX('Per Invoice'!T$2:T$401,$U8)))</f>
        <v/>
      </c>
      <c r="U8" s="16">
        <f>IFERROR(MATCH(Settings!$C$26&amp;"|"&amp;ROWS($U$2:$U8),'Per Invoice'!$V$2:$V$401,0),"")</f>
        <v/>
      </c>
    </row>
    <row r="9">
      <c r="A9">
        <f>IF($U9="","",IF(INDEX('Per Invoice'!A$2:A$401,$U9)="","",INDEX('Per Invoice'!A$2:A$401,$U9)))</f>
        <v/>
      </c>
      <c r="B9">
        <f>IF($U9="","",IF(INDEX('Per Invoice'!B$2:B$401,$U9)="","",INDEX('Per Invoice'!B$2:B$401,$U9)))</f>
        <v/>
      </c>
      <c r="C9">
        <f>IF($U9="","",IF(INDEX('Per Invoice'!C$2:C$401,$U9)="","",INDEX('Per Invoice'!C$2:C$401,$U9)))</f>
        <v/>
      </c>
      <c r="D9">
        <f>IF($U9="","",IF(INDEX('Per Invoice'!D$2:D$401,$U9)="","",INDEX('Per Invoice'!D$2:D$401,$U9)))</f>
        <v/>
      </c>
      <c r="E9">
        <f>IF($U9="","",IF(INDEX('Per Invoice'!E$2:E$401,$U9)="","",INDEX('Per Invoice'!E$2:E$401,$U9)))</f>
        <v/>
      </c>
      <c r="F9">
        <f>IF($U9="","",IF(INDEX('Per Invoice'!F$2:F$401,$U9)="","",INDEX('Per Invoice'!F$2:F$401,$U9)))</f>
        <v/>
      </c>
      <c r="G9">
        <f>IF($U9="","",IF(INDEX('Per Invoice'!G$2:G$401,$U9)="","",INDEX('Per Invoice'!G$2:G$401,$U9)))</f>
        <v/>
      </c>
      <c r="H9" s="7">
        <f>IF($U9="","",IF(INDEX('Per Invoice'!H$2:H$401,$U9)="","",INDEX('Per Invoice'!H$2:H$401,$U9)))</f>
        <v/>
      </c>
      <c r="I9" s="14">
        <f>IF($U9="","",IF(INDEX('Per Invoice'!I$2:I$401,$U9)="","",INDEX('Per Invoice'!I$2:I$401,$U9)))</f>
        <v/>
      </c>
      <c r="J9">
        <f>IF($U9="","",IF(INDEX('Per Invoice'!J$2:J$401,$U9)="","",INDEX('Per Invoice'!J$2:J$401,$U9)))</f>
        <v/>
      </c>
      <c r="K9">
        <f>IF($U9="","",IF(INDEX('Per Invoice'!K$2:K$401,$U9)="","",INDEX('Per Invoice'!K$2:K$401,$U9)))</f>
        <v/>
      </c>
      <c r="L9" s="7">
        <f>IF($U9="","",IF(INDEX('Per Invoice'!L$2:L$401,$U9)="","",INDEX('Per Invoice'!L$2:L$401,$U9)))</f>
        <v/>
      </c>
      <c r="M9" s="7">
        <f>IF($U9="","",IF(INDEX('Per Invoice'!M$2:M$401,$U9)="","",INDEX('Per Invoice'!M$2:M$401,$U9)))</f>
        <v/>
      </c>
      <c r="N9">
        <f>IF($U9="","",IF(INDEX('Per Invoice'!N$2:N$401,$U9)="","",INDEX('Per Invoice'!N$2:N$401,$U9)))</f>
        <v/>
      </c>
      <c r="O9" s="7">
        <f>IF($U9="","",IF(INDEX('Per Invoice'!O$2:O$401,$U9)="","",INDEX('Per Invoice'!O$2:O$401,$U9)))</f>
        <v/>
      </c>
      <c r="P9" s="7">
        <f>IF($U9="","",IF(INDEX('Per Invoice'!P$2:P$401,$U9)="","",INDEX('Per Invoice'!P$2:P$401,$U9)))</f>
        <v/>
      </c>
      <c r="Q9" s="7">
        <f>IF($U9="","",IF(INDEX('Per Invoice'!Q$2:Q$401,$U9)="","",INDEX('Per Invoice'!Q$2:Q$401,$U9)))</f>
        <v/>
      </c>
      <c r="R9" s="7">
        <f>IF($U9="","",IF(INDEX('Per Invoice'!R$2:R$401,$U9)="","",INDEX('Per Invoice'!R$2:R$401,$U9)))</f>
        <v/>
      </c>
      <c r="S9" s="7">
        <f>IF($U9="","",IF(INDEX('Per Invoice'!S$2:S$401,$U9)="","",INDEX('Per Invoice'!S$2:S$401,$U9)))</f>
        <v/>
      </c>
      <c r="T9" s="7">
        <f>IF($U9="","",IF(INDEX('Per Invoice'!T$2:T$401,$U9)="","",INDEX('Per Invoice'!T$2:T$401,$U9)))</f>
        <v/>
      </c>
      <c r="U9" s="16">
        <f>IFERROR(MATCH(Settings!$C$26&amp;"|"&amp;ROWS($U$2:$U9),'Per Invoice'!$V$2:$V$401,0),"")</f>
        <v/>
      </c>
    </row>
    <row r="10">
      <c r="A10">
        <f>IF($U10="","",IF(INDEX('Per Invoice'!A$2:A$401,$U10)="","",INDEX('Per Invoice'!A$2:A$401,$U10)))</f>
        <v/>
      </c>
      <c r="B10">
        <f>IF($U10="","",IF(INDEX('Per Invoice'!B$2:B$401,$U10)="","",INDEX('Per Invoice'!B$2:B$401,$U10)))</f>
        <v/>
      </c>
      <c r="C10">
        <f>IF($U10="","",IF(INDEX('Per Invoice'!C$2:C$401,$U10)="","",INDEX('Per Invoice'!C$2:C$401,$U10)))</f>
        <v/>
      </c>
      <c r="D10">
        <f>IF($U10="","",IF(INDEX('Per Invoice'!D$2:D$401,$U10)="","",INDEX('Per Invoice'!D$2:D$401,$U10)))</f>
        <v/>
      </c>
      <c r="E10">
        <f>IF($U10="","",IF(INDEX('Per Invoice'!E$2:E$401,$U10)="","",INDEX('Per Invoice'!E$2:E$401,$U10)))</f>
        <v/>
      </c>
      <c r="F10">
        <f>IF($U10="","",IF(INDEX('Per Invoice'!F$2:F$401,$U10)="","",INDEX('Per Invoice'!F$2:F$401,$U10)))</f>
        <v/>
      </c>
      <c r="G10">
        <f>IF($U10="","",IF(INDEX('Per Invoice'!G$2:G$401,$U10)="","",INDEX('Per Invoice'!G$2:G$401,$U10)))</f>
        <v/>
      </c>
      <c r="H10" s="7">
        <f>IF($U10="","",IF(INDEX('Per Invoice'!H$2:H$401,$U10)="","",INDEX('Per Invoice'!H$2:H$401,$U10)))</f>
        <v/>
      </c>
      <c r="I10" s="14">
        <f>IF($U10="","",IF(INDEX('Per Invoice'!I$2:I$401,$U10)="","",INDEX('Per Invoice'!I$2:I$401,$U10)))</f>
        <v/>
      </c>
      <c r="J10">
        <f>IF($U10="","",IF(INDEX('Per Invoice'!J$2:J$401,$U10)="","",INDEX('Per Invoice'!J$2:J$401,$U10)))</f>
        <v/>
      </c>
      <c r="K10">
        <f>IF($U10="","",IF(INDEX('Per Invoice'!K$2:K$401,$U10)="","",INDEX('Per Invoice'!K$2:K$401,$U10)))</f>
        <v/>
      </c>
      <c r="L10" s="7">
        <f>IF($U10="","",IF(INDEX('Per Invoice'!L$2:L$401,$U10)="","",INDEX('Per Invoice'!L$2:L$401,$U10)))</f>
        <v/>
      </c>
      <c r="M10" s="7">
        <f>IF($U10="","",IF(INDEX('Per Invoice'!M$2:M$401,$U10)="","",INDEX('Per Invoice'!M$2:M$401,$U10)))</f>
        <v/>
      </c>
      <c r="N10">
        <f>IF($U10="","",IF(INDEX('Per Invoice'!N$2:N$401,$U10)="","",INDEX('Per Invoice'!N$2:N$401,$U10)))</f>
        <v/>
      </c>
      <c r="O10" s="7">
        <f>IF($U10="","",IF(INDEX('Per Invoice'!O$2:O$401,$U10)="","",INDEX('Per Invoice'!O$2:O$401,$U10)))</f>
        <v/>
      </c>
      <c r="P10" s="7">
        <f>IF($U10="","",IF(INDEX('Per Invoice'!P$2:P$401,$U10)="","",INDEX('Per Invoice'!P$2:P$401,$U10)))</f>
        <v/>
      </c>
      <c r="Q10" s="7">
        <f>IF($U10="","",IF(INDEX('Per Invoice'!Q$2:Q$401,$U10)="","",INDEX('Per Invoice'!Q$2:Q$401,$U10)))</f>
        <v/>
      </c>
      <c r="R10" s="7">
        <f>IF($U10="","",IF(INDEX('Per Invoice'!R$2:R$401,$U10)="","",INDEX('Per Invoice'!R$2:R$401,$U10)))</f>
        <v/>
      </c>
      <c r="S10" s="7">
        <f>IF($U10="","",IF(INDEX('Per Invoice'!S$2:S$401,$U10)="","",INDEX('Per Invoice'!S$2:S$401,$U10)))</f>
        <v/>
      </c>
      <c r="T10" s="7">
        <f>IF($U10="","",IF(INDEX('Per Invoice'!T$2:T$401,$U10)="","",INDEX('Per Invoice'!T$2:T$401,$U10)))</f>
        <v/>
      </c>
      <c r="U10" s="16">
        <f>IFERROR(MATCH(Settings!$C$26&amp;"|"&amp;ROWS($U$2:$U10),'Per Invoice'!$V$2:$V$401,0),"")</f>
        <v/>
      </c>
    </row>
    <row r="11">
      <c r="A11">
        <f>IF($U11="","",IF(INDEX('Per Invoice'!A$2:A$401,$U11)="","",INDEX('Per Invoice'!A$2:A$401,$U11)))</f>
        <v/>
      </c>
      <c r="B11">
        <f>IF($U11="","",IF(INDEX('Per Invoice'!B$2:B$401,$U11)="","",INDEX('Per Invoice'!B$2:B$401,$U11)))</f>
        <v/>
      </c>
      <c r="C11">
        <f>IF($U11="","",IF(INDEX('Per Invoice'!C$2:C$401,$U11)="","",INDEX('Per Invoice'!C$2:C$401,$U11)))</f>
        <v/>
      </c>
      <c r="D11">
        <f>IF($U11="","",IF(INDEX('Per Invoice'!D$2:D$401,$U11)="","",INDEX('Per Invoice'!D$2:D$401,$U11)))</f>
        <v/>
      </c>
      <c r="E11">
        <f>IF($U11="","",IF(INDEX('Per Invoice'!E$2:E$401,$U11)="","",INDEX('Per Invoice'!E$2:E$401,$U11)))</f>
        <v/>
      </c>
      <c r="F11">
        <f>IF($U11="","",IF(INDEX('Per Invoice'!F$2:F$401,$U11)="","",INDEX('Per Invoice'!F$2:F$401,$U11)))</f>
        <v/>
      </c>
      <c r="G11">
        <f>IF($U11="","",IF(INDEX('Per Invoice'!G$2:G$401,$U11)="","",INDEX('Per Invoice'!G$2:G$401,$U11)))</f>
        <v/>
      </c>
      <c r="H11" s="7">
        <f>IF($U11="","",IF(INDEX('Per Invoice'!H$2:H$401,$U11)="","",INDEX('Per Invoice'!H$2:H$401,$U11)))</f>
        <v/>
      </c>
      <c r="I11" s="14">
        <f>IF($U11="","",IF(INDEX('Per Invoice'!I$2:I$401,$U11)="","",INDEX('Per Invoice'!I$2:I$401,$U11)))</f>
        <v/>
      </c>
      <c r="J11">
        <f>IF($U11="","",IF(INDEX('Per Invoice'!J$2:J$401,$U11)="","",INDEX('Per Invoice'!J$2:J$401,$U11)))</f>
        <v/>
      </c>
      <c r="K11">
        <f>IF($U11="","",IF(INDEX('Per Invoice'!K$2:K$401,$U11)="","",INDEX('Per Invoice'!K$2:K$401,$U11)))</f>
        <v/>
      </c>
      <c r="L11" s="7">
        <f>IF($U11="","",IF(INDEX('Per Invoice'!L$2:L$401,$U11)="","",INDEX('Per Invoice'!L$2:L$401,$U11)))</f>
        <v/>
      </c>
      <c r="M11" s="7">
        <f>IF($U11="","",IF(INDEX('Per Invoice'!M$2:M$401,$U11)="","",INDEX('Per Invoice'!M$2:M$401,$U11)))</f>
        <v/>
      </c>
      <c r="N11">
        <f>IF($U11="","",IF(INDEX('Per Invoice'!N$2:N$401,$U11)="","",INDEX('Per Invoice'!N$2:N$401,$U11)))</f>
        <v/>
      </c>
      <c r="O11" s="7">
        <f>IF($U11="","",IF(INDEX('Per Invoice'!O$2:O$401,$U11)="","",INDEX('Per Invoice'!O$2:O$401,$U11)))</f>
        <v/>
      </c>
      <c r="P11" s="7">
        <f>IF($U11="","",IF(INDEX('Per Invoice'!P$2:P$401,$U11)="","",INDEX('Per Invoice'!P$2:P$401,$U11)))</f>
        <v/>
      </c>
      <c r="Q11" s="7">
        <f>IF($U11="","",IF(INDEX('Per Invoice'!Q$2:Q$401,$U11)="","",INDEX('Per Invoice'!Q$2:Q$401,$U11)))</f>
        <v/>
      </c>
      <c r="R11" s="7">
        <f>IF($U11="","",IF(INDEX('Per Invoice'!R$2:R$401,$U11)="","",INDEX('Per Invoice'!R$2:R$401,$U11)))</f>
        <v/>
      </c>
      <c r="S11" s="7">
        <f>IF($U11="","",IF(INDEX('Per Invoice'!S$2:S$401,$U11)="","",INDEX('Per Invoice'!S$2:S$401,$U11)))</f>
        <v/>
      </c>
      <c r="T11" s="7">
        <f>IF($U11="","",IF(INDEX('Per Invoice'!T$2:T$401,$U11)="","",INDEX('Per Invoice'!T$2:T$401,$U11)))</f>
        <v/>
      </c>
      <c r="U11" s="16">
        <f>IFERROR(MATCH(Settings!$C$26&amp;"|"&amp;ROWS($U$2:$U11),'Per Invoice'!$V$2:$V$401,0),"")</f>
        <v/>
      </c>
    </row>
    <row r="12">
      <c r="A12">
        <f>IF($U12="","",IF(INDEX('Per Invoice'!A$2:A$401,$U12)="","",INDEX('Per Invoice'!A$2:A$401,$U12)))</f>
        <v/>
      </c>
      <c r="B12">
        <f>IF($U12="","",IF(INDEX('Per Invoice'!B$2:B$401,$U12)="","",INDEX('Per Invoice'!B$2:B$401,$U12)))</f>
        <v/>
      </c>
      <c r="C12">
        <f>IF($U12="","",IF(INDEX('Per Invoice'!C$2:C$401,$U12)="","",INDEX('Per Invoice'!C$2:C$401,$U12)))</f>
        <v/>
      </c>
      <c r="D12">
        <f>IF($U12="","",IF(INDEX('Per Invoice'!D$2:D$401,$U12)="","",INDEX('Per Invoice'!D$2:D$401,$U12)))</f>
        <v/>
      </c>
      <c r="E12">
        <f>IF($U12="","",IF(INDEX('Per Invoice'!E$2:E$401,$U12)="","",INDEX('Per Invoice'!E$2:E$401,$U12)))</f>
        <v/>
      </c>
      <c r="F12">
        <f>IF($U12="","",IF(INDEX('Per Invoice'!F$2:F$401,$U12)="","",INDEX('Per Invoice'!F$2:F$401,$U12)))</f>
        <v/>
      </c>
      <c r="G12">
        <f>IF($U12="","",IF(INDEX('Per Invoice'!G$2:G$401,$U12)="","",INDEX('Per Invoice'!G$2:G$401,$U12)))</f>
        <v/>
      </c>
      <c r="H12" s="7">
        <f>IF($U12="","",IF(INDEX('Per Invoice'!H$2:H$401,$U12)="","",INDEX('Per Invoice'!H$2:H$401,$U12)))</f>
        <v/>
      </c>
      <c r="I12" s="14">
        <f>IF($U12="","",IF(INDEX('Per Invoice'!I$2:I$401,$U12)="","",INDEX('Per Invoice'!I$2:I$401,$U12)))</f>
        <v/>
      </c>
      <c r="J12">
        <f>IF($U12="","",IF(INDEX('Per Invoice'!J$2:J$401,$U12)="","",INDEX('Per Invoice'!J$2:J$401,$U12)))</f>
        <v/>
      </c>
      <c r="K12">
        <f>IF($U12="","",IF(INDEX('Per Invoice'!K$2:K$401,$U12)="","",INDEX('Per Invoice'!K$2:K$401,$U12)))</f>
        <v/>
      </c>
      <c r="L12" s="7">
        <f>IF($U12="","",IF(INDEX('Per Invoice'!L$2:L$401,$U12)="","",INDEX('Per Invoice'!L$2:L$401,$U12)))</f>
        <v/>
      </c>
      <c r="M12" s="7">
        <f>IF($U12="","",IF(INDEX('Per Invoice'!M$2:M$401,$U12)="","",INDEX('Per Invoice'!M$2:M$401,$U12)))</f>
        <v/>
      </c>
      <c r="N12">
        <f>IF($U12="","",IF(INDEX('Per Invoice'!N$2:N$401,$U12)="","",INDEX('Per Invoice'!N$2:N$401,$U12)))</f>
        <v/>
      </c>
      <c r="O12" s="7">
        <f>IF($U12="","",IF(INDEX('Per Invoice'!O$2:O$401,$U12)="","",INDEX('Per Invoice'!O$2:O$401,$U12)))</f>
        <v/>
      </c>
      <c r="P12" s="7">
        <f>IF($U12="","",IF(INDEX('Per Invoice'!P$2:P$401,$U12)="","",INDEX('Per Invoice'!P$2:P$401,$U12)))</f>
        <v/>
      </c>
      <c r="Q12" s="7">
        <f>IF($U12="","",IF(INDEX('Per Invoice'!Q$2:Q$401,$U12)="","",INDEX('Per Invoice'!Q$2:Q$401,$U12)))</f>
        <v/>
      </c>
      <c r="R12" s="7">
        <f>IF($U12="","",IF(INDEX('Per Invoice'!R$2:R$401,$U12)="","",INDEX('Per Invoice'!R$2:R$401,$U12)))</f>
        <v/>
      </c>
      <c r="S12" s="7">
        <f>IF($U12="","",IF(INDEX('Per Invoice'!S$2:S$401,$U12)="","",INDEX('Per Invoice'!S$2:S$401,$U12)))</f>
        <v/>
      </c>
      <c r="T12" s="7">
        <f>IF($U12="","",IF(INDEX('Per Invoice'!T$2:T$401,$U12)="","",INDEX('Per Invoice'!T$2:T$401,$U12)))</f>
        <v/>
      </c>
      <c r="U12" s="16">
        <f>IFERROR(MATCH(Settings!$C$26&amp;"|"&amp;ROWS($U$2:$U12),'Per Invoice'!$V$2:$V$401,0),"")</f>
        <v/>
      </c>
    </row>
    <row r="13">
      <c r="A13">
        <f>IF($U13="","",IF(INDEX('Per Invoice'!A$2:A$401,$U13)="","",INDEX('Per Invoice'!A$2:A$401,$U13)))</f>
        <v/>
      </c>
      <c r="B13">
        <f>IF($U13="","",IF(INDEX('Per Invoice'!B$2:B$401,$U13)="","",INDEX('Per Invoice'!B$2:B$401,$U13)))</f>
        <v/>
      </c>
      <c r="C13">
        <f>IF($U13="","",IF(INDEX('Per Invoice'!C$2:C$401,$U13)="","",INDEX('Per Invoice'!C$2:C$401,$U13)))</f>
        <v/>
      </c>
      <c r="D13">
        <f>IF($U13="","",IF(INDEX('Per Invoice'!D$2:D$401,$U13)="","",INDEX('Per Invoice'!D$2:D$401,$U13)))</f>
        <v/>
      </c>
      <c r="E13">
        <f>IF($U13="","",IF(INDEX('Per Invoice'!E$2:E$401,$U13)="","",INDEX('Per Invoice'!E$2:E$401,$U13)))</f>
        <v/>
      </c>
      <c r="F13">
        <f>IF($U13="","",IF(INDEX('Per Invoice'!F$2:F$401,$U13)="","",INDEX('Per Invoice'!F$2:F$401,$U13)))</f>
        <v/>
      </c>
      <c r="G13">
        <f>IF($U13="","",IF(INDEX('Per Invoice'!G$2:G$401,$U13)="","",INDEX('Per Invoice'!G$2:G$401,$U13)))</f>
        <v/>
      </c>
      <c r="H13" s="7">
        <f>IF($U13="","",IF(INDEX('Per Invoice'!H$2:H$401,$U13)="","",INDEX('Per Invoice'!H$2:H$401,$U13)))</f>
        <v/>
      </c>
      <c r="I13" s="14">
        <f>IF($U13="","",IF(INDEX('Per Invoice'!I$2:I$401,$U13)="","",INDEX('Per Invoice'!I$2:I$401,$U13)))</f>
        <v/>
      </c>
      <c r="J13">
        <f>IF($U13="","",IF(INDEX('Per Invoice'!J$2:J$401,$U13)="","",INDEX('Per Invoice'!J$2:J$401,$U13)))</f>
        <v/>
      </c>
      <c r="K13">
        <f>IF($U13="","",IF(INDEX('Per Invoice'!K$2:K$401,$U13)="","",INDEX('Per Invoice'!K$2:K$401,$U13)))</f>
        <v/>
      </c>
      <c r="L13" s="7">
        <f>IF($U13="","",IF(INDEX('Per Invoice'!L$2:L$401,$U13)="","",INDEX('Per Invoice'!L$2:L$401,$U13)))</f>
        <v/>
      </c>
      <c r="M13" s="7">
        <f>IF($U13="","",IF(INDEX('Per Invoice'!M$2:M$401,$U13)="","",INDEX('Per Invoice'!M$2:M$401,$U13)))</f>
        <v/>
      </c>
      <c r="N13">
        <f>IF($U13="","",IF(INDEX('Per Invoice'!N$2:N$401,$U13)="","",INDEX('Per Invoice'!N$2:N$401,$U13)))</f>
        <v/>
      </c>
      <c r="O13" s="7">
        <f>IF($U13="","",IF(INDEX('Per Invoice'!O$2:O$401,$U13)="","",INDEX('Per Invoice'!O$2:O$401,$U13)))</f>
        <v/>
      </c>
      <c r="P13" s="7">
        <f>IF($U13="","",IF(INDEX('Per Invoice'!P$2:P$401,$U13)="","",INDEX('Per Invoice'!P$2:P$401,$U13)))</f>
        <v/>
      </c>
      <c r="Q13" s="7">
        <f>IF($U13="","",IF(INDEX('Per Invoice'!Q$2:Q$401,$U13)="","",INDEX('Per Invoice'!Q$2:Q$401,$U13)))</f>
        <v/>
      </c>
      <c r="R13" s="7">
        <f>IF($U13="","",IF(INDEX('Per Invoice'!R$2:R$401,$U13)="","",INDEX('Per Invoice'!R$2:R$401,$U13)))</f>
        <v/>
      </c>
      <c r="S13" s="7">
        <f>IF($U13="","",IF(INDEX('Per Invoice'!S$2:S$401,$U13)="","",INDEX('Per Invoice'!S$2:S$401,$U13)))</f>
        <v/>
      </c>
      <c r="T13" s="7">
        <f>IF($U13="","",IF(INDEX('Per Invoice'!T$2:T$401,$U13)="","",INDEX('Per Invoice'!T$2:T$401,$U13)))</f>
        <v/>
      </c>
      <c r="U13" s="16">
        <f>IFERROR(MATCH(Settings!$C$26&amp;"|"&amp;ROWS($U$2:$U13),'Per Invoice'!$V$2:$V$401,0),"")</f>
        <v/>
      </c>
    </row>
    <row r="14">
      <c r="A14">
        <f>IF($U14="","",IF(INDEX('Per Invoice'!A$2:A$401,$U14)="","",INDEX('Per Invoice'!A$2:A$401,$U14)))</f>
        <v/>
      </c>
      <c r="B14">
        <f>IF($U14="","",IF(INDEX('Per Invoice'!B$2:B$401,$U14)="","",INDEX('Per Invoice'!B$2:B$401,$U14)))</f>
        <v/>
      </c>
      <c r="C14">
        <f>IF($U14="","",IF(INDEX('Per Invoice'!C$2:C$401,$U14)="","",INDEX('Per Invoice'!C$2:C$401,$U14)))</f>
        <v/>
      </c>
      <c r="D14">
        <f>IF($U14="","",IF(INDEX('Per Invoice'!D$2:D$401,$U14)="","",INDEX('Per Invoice'!D$2:D$401,$U14)))</f>
        <v/>
      </c>
      <c r="E14">
        <f>IF($U14="","",IF(INDEX('Per Invoice'!E$2:E$401,$U14)="","",INDEX('Per Invoice'!E$2:E$401,$U14)))</f>
        <v/>
      </c>
      <c r="F14">
        <f>IF($U14="","",IF(INDEX('Per Invoice'!F$2:F$401,$U14)="","",INDEX('Per Invoice'!F$2:F$401,$U14)))</f>
        <v/>
      </c>
      <c r="G14">
        <f>IF($U14="","",IF(INDEX('Per Invoice'!G$2:G$401,$U14)="","",INDEX('Per Invoice'!G$2:G$401,$U14)))</f>
        <v/>
      </c>
      <c r="H14" s="7">
        <f>IF($U14="","",IF(INDEX('Per Invoice'!H$2:H$401,$U14)="","",INDEX('Per Invoice'!H$2:H$401,$U14)))</f>
        <v/>
      </c>
      <c r="I14" s="14">
        <f>IF($U14="","",IF(INDEX('Per Invoice'!I$2:I$401,$U14)="","",INDEX('Per Invoice'!I$2:I$401,$U14)))</f>
        <v/>
      </c>
      <c r="J14">
        <f>IF($U14="","",IF(INDEX('Per Invoice'!J$2:J$401,$U14)="","",INDEX('Per Invoice'!J$2:J$401,$U14)))</f>
        <v/>
      </c>
      <c r="K14">
        <f>IF($U14="","",IF(INDEX('Per Invoice'!K$2:K$401,$U14)="","",INDEX('Per Invoice'!K$2:K$401,$U14)))</f>
        <v/>
      </c>
      <c r="L14" s="7">
        <f>IF($U14="","",IF(INDEX('Per Invoice'!L$2:L$401,$U14)="","",INDEX('Per Invoice'!L$2:L$401,$U14)))</f>
        <v/>
      </c>
      <c r="M14" s="7">
        <f>IF($U14="","",IF(INDEX('Per Invoice'!M$2:M$401,$U14)="","",INDEX('Per Invoice'!M$2:M$401,$U14)))</f>
        <v/>
      </c>
      <c r="N14">
        <f>IF($U14="","",IF(INDEX('Per Invoice'!N$2:N$401,$U14)="","",INDEX('Per Invoice'!N$2:N$401,$U14)))</f>
        <v/>
      </c>
      <c r="O14" s="7">
        <f>IF($U14="","",IF(INDEX('Per Invoice'!O$2:O$401,$U14)="","",INDEX('Per Invoice'!O$2:O$401,$U14)))</f>
        <v/>
      </c>
      <c r="P14" s="7">
        <f>IF($U14="","",IF(INDEX('Per Invoice'!P$2:P$401,$U14)="","",INDEX('Per Invoice'!P$2:P$401,$U14)))</f>
        <v/>
      </c>
      <c r="Q14" s="7">
        <f>IF($U14="","",IF(INDEX('Per Invoice'!Q$2:Q$401,$U14)="","",INDEX('Per Invoice'!Q$2:Q$401,$U14)))</f>
        <v/>
      </c>
      <c r="R14" s="7">
        <f>IF($U14="","",IF(INDEX('Per Invoice'!R$2:R$401,$U14)="","",INDEX('Per Invoice'!R$2:R$401,$U14)))</f>
        <v/>
      </c>
      <c r="S14" s="7">
        <f>IF($U14="","",IF(INDEX('Per Invoice'!S$2:S$401,$U14)="","",INDEX('Per Invoice'!S$2:S$401,$U14)))</f>
        <v/>
      </c>
      <c r="T14" s="7">
        <f>IF($U14="","",IF(INDEX('Per Invoice'!T$2:T$401,$U14)="","",INDEX('Per Invoice'!T$2:T$401,$U14)))</f>
        <v/>
      </c>
      <c r="U14" s="16">
        <f>IFERROR(MATCH(Settings!$C$26&amp;"|"&amp;ROWS($U$2:$U14),'Per Invoice'!$V$2:$V$401,0),"")</f>
        <v/>
      </c>
    </row>
    <row r="15">
      <c r="A15">
        <f>IF($U15="","",IF(INDEX('Per Invoice'!A$2:A$401,$U15)="","",INDEX('Per Invoice'!A$2:A$401,$U15)))</f>
        <v/>
      </c>
      <c r="B15">
        <f>IF($U15="","",IF(INDEX('Per Invoice'!B$2:B$401,$U15)="","",INDEX('Per Invoice'!B$2:B$401,$U15)))</f>
        <v/>
      </c>
      <c r="C15">
        <f>IF($U15="","",IF(INDEX('Per Invoice'!C$2:C$401,$U15)="","",INDEX('Per Invoice'!C$2:C$401,$U15)))</f>
        <v/>
      </c>
      <c r="D15">
        <f>IF($U15="","",IF(INDEX('Per Invoice'!D$2:D$401,$U15)="","",INDEX('Per Invoice'!D$2:D$401,$U15)))</f>
        <v/>
      </c>
      <c r="E15">
        <f>IF($U15="","",IF(INDEX('Per Invoice'!E$2:E$401,$U15)="","",INDEX('Per Invoice'!E$2:E$401,$U15)))</f>
        <v/>
      </c>
      <c r="F15">
        <f>IF($U15="","",IF(INDEX('Per Invoice'!F$2:F$401,$U15)="","",INDEX('Per Invoice'!F$2:F$401,$U15)))</f>
        <v/>
      </c>
      <c r="G15">
        <f>IF($U15="","",IF(INDEX('Per Invoice'!G$2:G$401,$U15)="","",INDEX('Per Invoice'!G$2:G$401,$U15)))</f>
        <v/>
      </c>
      <c r="H15" s="7">
        <f>IF($U15="","",IF(INDEX('Per Invoice'!H$2:H$401,$U15)="","",INDEX('Per Invoice'!H$2:H$401,$U15)))</f>
        <v/>
      </c>
      <c r="I15" s="14">
        <f>IF($U15="","",IF(INDEX('Per Invoice'!I$2:I$401,$U15)="","",INDEX('Per Invoice'!I$2:I$401,$U15)))</f>
        <v/>
      </c>
      <c r="J15">
        <f>IF($U15="","",IF(INDEX('Per Invoice'!J$2:J$401,$U15)="","",INDEX('Per Invoice'!J$2:J$401,$U15)))</f>
        <v/>
      </c>
      <c r="K15">
        <f>IF($U15="","",IF(INDEX('Per Invoice'!K$2:K$401,$U15)="","",INDEX('Per Invoice'!K$2:K$401,$U15)))</f>
        <v/>
      </c>
      <c r="L15" s="7">
        <f>IF($U15="","",IF(INDEX('Per Invoice'!L$2:L$401,$U15)="","",INDEX('Per Invoice'!L$2:L$401,$U15)))</f>
        <v/>
      </c>
      <c r="M15" s="7">
        <f>IF($U15="","",IF(INDEX('Per Invoice'!M$2:M$401,$U15)="","",INDEX('Per Invoice'!M$2:M$401,$U15)))</f>
        <v/>
      </c>
      <c r="N15">
        <f>IF($U15="","",IF(INDEX('Per Invoice'!N$2:N$401,$U15)="","",INDEX('Per Invoice'!N$2:N$401,$U15)))</f>
        <v/>
      </c>
      <c r="O15" s="7">
        <f>IF($U15="","",IF(INDEX('Per Invoice'!O$2:O$401,$U15)="","",INDEX('Per Invoice'!O$2:O$401,$U15)))</f>
        <v/>
      </c>
      <c r="P15" s="7">
        <f>IF($U15="","",IF(INDEX('Per Invoice'!P$2:P$401,$U15)="","",INDEX('Per Invoice'!P$2:P$401,$U15)))</f>
        <v/>
      </c>
      <c r="Q15" s="7">
        <f>IF($U15="","",IF(INDEX('Per Invoice'!Q$2:Q$401,$U15)="","",INDEX('Per Invoice'!Q$2:Q$401,$U15)))</f>
        <v/>
      </c>
      <c r="R15" s="7">
        <f>IF($U15="","",IF(INDEX('Per Invoice'!R$2:R$401,$U15)="","",INDEX('Per Invoice'!R$2:R$401,$U15)))</f>
        <v/>
      </c>
      <c r="S15" s="7">
        <f>IF($U15="","",IF(INDEX('Per Invoice'!S$2:S$401,$U15)="","",INDEX('Per Invoice'!S$2:S$401,$U15)))</f>
        <v/>
      </c>
      <c r="T15" s="7">
        <f>IF($U15="","",IF(INDEX('Per Invoice'!T$2:T$401,$U15)="","",INDEX('Per Invoice'!T$2:T$401,$U15)))</f>
        <v/>
      </c>
      <c r="U15" s="16">
        <f>IFERROR(MATCH(Settings!$C$26&amp;"|"&amp;ROWS($U$2:$U15),'Per Invoice'!$V$2:$V$401,0),"")</f>
        <v/>
      </c>
    </row>
    <row r="16">
      <c r="A16">
        <f>IF($U16="","",IF(INDEX('Per Invoice'!A$2:A$401,$U16)="","",INDEX('Per Invoice'!A$2:A$401,$U16)))</f>
        <v/>
      </c>
      <c r="B16">
        <f>IF($U16="","",IF(INDEX('Per Invoice'!B$2:B$401,$U16)="","",INDEX('Per Invoice'!B$2:B$401,$U16)))</f>
        <v/>
      </c>
      <c r="C16">
        <f>IF($U16="","",IF(INDEX('Per Invoice'!C$2:C$401,$U16)="","",INDEX('Per Invoice'!C$2:C$401,$U16)))</f>
        <v/>
      </c>
      <c r="D16">
        <f>IF($U16="","",IF(INDEX('Per Invoice'!D$2:D$401,$U16)="","",INDEX('Per Invoice'!D$2:D$401,$U16)))</f>
        <v/>
      </c>
      <c r="E16">
        <f>IF($U16="","",IF(INDEX('Per Invoice'!E$2:E$401,$U16)="","",INDEX('Per Invoice'!E$2:E$401,$U16)))</f>
        <v/>
      </c>
      <c r="F16">
        <f>IF($U16="","",IF(INDEX('Per Invoice'!F$2:F$401,$U16)="","",INDEX('Per Invoice'!F$2:F$401,$U16)))</f>
        <v/>
      </c>
      <c r="G16">
        <f>IF($U16="","",IF(INDEX('Per Invoice'!G$2:G$401,$U16)="","",INDEX('Per Invoice'!G$2:G$401,$U16)))</f>
        <v/>
      </c>
      <c r="H16" s="7">
        <f>IF($U16="","",IF(INDEX('Per Invoice'!H$2:H$401,$U16)="","",INDEX('Per Invoice'!H$2:H$401,$U16)))</f>
        <v/>
      </c>
      <c r="I16" s="14">
        <f>IF($U16="","",IF(INDEX('Per Invoice'!I$2:I$401,$U16)="","",INDEX('Per Invoice'!I$2:I$401,$U16)))</f>
        <v/>
      </c>
      <c r="J16">
        <f>IF($U16="","",IF(INDEX('Per Invoice'!J$2:J$401,$U16)="","",INDEX('Per Invoice'!J$2:J$401,$U16)))</f>
        <v/>
      </c>
      <c r="K16">
        <f>IF($U16="","",IF(INDEX('Per Invoice'!K$2:K$401,$U16)="","",INDEX('Per Invoice'!K$2:K$401,$U16)))</f>
        <v/>
      </c>
      <c r="L16" s="7">
        <f>IF($U16="","",IF(INDEX('Per Invoice'!L$2:L$401,$U16)="","",INDEX('Per Invoice'!L$2:L$401,$U16)))</f>
        <v/>
      </c>
      <c r="M16" s="7">
        <f>IF($U16="","",IF(INDEX('Per Invoice'!M$2:M$401,$U16)="","",INDEX('Per Invoice'!M$2:M$401,$U16)))</f>
        <v/>
      </c>
      <c r="N16">
        <f>IF($U16="","",IF(INDEX('Per Invoice'!N$2:N$401,$U16)="","",INDEX('Per Invoice'!N$2:N$401,$U16)))</f>
        <v/>
      </c>
      <c r="O16" s="7">
        <f>IF($U16="","",IF(INDEX('Per Invoice'!O$2:O$401,$U16)="","",INDEX('Per Invoice'!O$2:O$401,$U16)))</f>
        <v/>
      </c>
      <c r="P16" s="7">
        <f>IF($U16="","",IF(INDEX('Per Invoice'!P$2:P$401,$U16)="","",INDEX('Per Invoice'!P$2:P$401,$U16)))</f>
        <v/>
      </c>
      <c r="Q16" s="7">
        <f>IF($U16="","",IF(INDEX('Per Invoice'!Q$2:Q$401,$U16)="","",INDEX('Per Invoice'!Q$2:Q$401,$U16)))</f>
        <v/>
      </c>
      <c r="R16" s="7">
        <f>IF($U16="","",IF(INDEX('Per Invoice'!R$2:R$401,$U16)="","",INDEX('Per Invoice'!R$2:R$401,$U16)))</f>
        <v/>
      </c>
      <c r="S16" s="7">
        <f>IF($U16="","",IF(INDEX('Per Invoice'!S$2:S$401,$U16)="","",INDEX('Per Invoice'!S$2:S$401,$U16)))</f>
        <v/>
      </c>
      <c r="T16" s="7">
        <f>IF($U16="","",IF(INDEX('Per Invoice'!T$2:T$401,$U16)="","",INDEX('Per Invoice'!T$2:T$401,$U16)))</f>
        <v/>
      </c>
      <c r="U16" s="16">
        <f>IFERROR(MATCH(Settings!$C$26&amp;"|"&amp;ROWS($U$2:$U16),'Per Invoice'!$V$2:$V$401,0),"")</f>
        <v/>
      </c>
    </row>
    <row r="17">
      <c r="A17">
        <f>IF($U17="","",IF(INDEX('Per Invoice'!A$2:A$401,$U17)="","",INDEX('Per Invoice'!A$2:A$401,$U17)))</f>
        <v/>
      </c>
      <c r="B17">
        <f>IF($U17="","",IF(INDEX('Per Invoice'!B$2:B$401,$U17)="","",INDEX('Per Invoice'!B$2:B$401,$U17)))</f>
        <v/>
      </c>
      <c r="C17">
        <f>IF($U17="","",IF(INDEX('Per Invoice'!C$2:C$401,$U17)="","",INDEX('Per Invoice'!C$2:C$401,$U17)))</f>
        <v/>
      </c>
      <c r="D17">
        <f>IF($U17="","",IF(INDEX('Per Invoice'!D$2:D$401,$U17)="","",INDEX('Per Invoice'!D$2:D$401,$U17)))</f>
        <v/>
      </c>
      <c r="E17">
        <f>IF($U17="","",IF(INDEX('Per Invoice'!E$2:E$401,$U17)="","",INDEX('Per Invoice'!E$2:E$401,$U17)))</f>
        <v/>
      </c>
      <c r="F17">
        <f>IF($U17="","",IF(INDEX('Per Invoice'!F$2:F$401,$U17)="","",INDEX('Per Invoice'!F$2:F$401,$U17)))</f>
        <v/>
      </c>
      <c r="G17">
        <f>IF($U17="","",IF(INDEX('Per Invoice'!G$2:G$401,$U17)="","",INDEX('Per Invoice'!G$2:G$401,$U17)))</f>
        <v/>
      </c>
      <c r="H17" s="7">
        <f>IF($U17="","",IF(INDEX('Per Invoice'!H$2:H$401,$U17)="","",INDEX('Per Invoice'!H$2:H$401,$U17)))</f>
        <v/>
      </c>
      <c r="I17" s="14">
        <f>IF($U17="","",IF(INDEX('Per Invoice'!I$2:I$401,$U17)="","",INDEX('Per Invoice'!I$2:I$401,$U17)))</f>
        <v/>
      </c>
      <c r="J17">
        <f>IF($U17="","",IF(INDEX('Per Invoice'!J$2:J$401,$U17)="","",INDEX('Per Invoice'!J$2:J$401,$U17)))</f>
        <v/>
      </c>
      <c r="K17">
        <f>IF($U17="","",IF(INDEX('Per Invoice'!K$2:K$401,$U17)="","",INDEX('Per Invoice'!K$2:K$401,$U17)))</f>
        <v/>
      </c>
      <c r="L17" s="7">
        <f>IF($U17="","",IF(INDEX('Per Invoice'!L$2:L$401,$U17)="","",INDEX('Per Invoice'!L$2:L$401,$U17)))</f>
        <v/>
      </c>
      <c r="M17" s="7">
        <f>IF($U17="","",IF(INDEX('Per Invoice'!M$2:M$401,$U17)="","",INDEX('Per Invoice'!M$2:M$401,$U17)))</f>
        <v/>
      </c>
      <c r="N17">
        <f>IF($U17="","",IF(INDEX('Per Invoice'!N$2:N$401,$U17)="","",INDEX('Per Invoice'!N$2:N$401,$U17)))</f>
        <v/>
      </c>
      <c r="O17" s="7">
        <f>IF($U17="","",IF(INDEX('Per Invoice'!O$2:O$401,$U17)="","",INDEX('Per Invoice'!O$2:O$401,$U17)))</f>
        <v/>
      </c>
      <c r="P17" s="7">
        <f>IF($U17="","",IF(INDEX('Per Invoice'!P$2:P$401,$U17)="","",INDEX('Per Invoice'!P$2:P$401,$U17)))</f>
        <v/>
      </c>
      <c r="Q17" s="7">
        <f>IF($U17="","",IF(INDEX('Per Invoice'!Q$2:Q$401,$U17)="","",INDEX('Per Invoice'!Q$2:Q$401,$U17)))</f>
        <v/>
      </c>
      <c r="R17" s="7">
        <f>IF($U17="","",IF(INDEX('Per Invoice'!R$2:R$401,$U17)="","",INDEX('Per Invoice'!R$2:R$401,$U17)))</f>
        <v/>
      </c>
      <c r="S17" s="7">
        <f>IF($U17="","",IF(INDEX('Per Invoice'!S$2:S$401,$U17)="","",INDEX('Per Invoice'!S$2:S$401,$U17)))</f>
        <v/>
      </c>
      <c r="T17" s="7">
        <f>IF($U17="","",IF(INDEX('Per Invoice'!T$2:T$401,$U17)="","",INDEX('Per Invoice'!T$2:T$401,$U17)))</f>
        <v/>
      </c>
      <c r="U17" s="16">
        <f>IFERROR(MATCH(Settings!$C$26&amp;"|"&amp;ROWS($U$2:$U17),'Per Invoice'!$V$2:$V$401,0),"")</f>
        <v/>
      </c>
    </row>
    <row r="18">
      <c r="A18">
        <f>IF($U18="","",IF(INDEX('Per Invoice'!A$2:A$401,$U18)="","",INDEX('Per Invoice'!A$2:A$401,$U18)))</f>
        <v/>
      </c>
      <c r="B18">
        <f>IF($U18="","",IF(INDEX('Per Invoice'!B$2:B$401,$U18)="","",INDEX('Per Invoice'!B$2:B$401,$U18)))</f>
        <v/>
      </c>
      <c r="C18">
        <f>IF($U18="","",IF(INDEX('Per Invoice'!C$2:C$401,$U18)="","",INDEX('Per Invoice'!C$2:C$401,$U18)))</f>
        <v/>
      </c>
      <c r="D18">
        <f>IF($U18="","",IF(INDEX('Per Invoice'!D$2:D$401,$U18)="","",INDEX('Per Invoice'!D$2:D$401,$U18)))</f>
        <v/>
      </c>
      <c r="E18">
        <f>IF($U18="","",IF(INDEX('Per Invoice'!E$2:E$401,$U18)="","",INDEX('Per Invoice'!E$2:E$401,$U18)))</f>
        <v/>
      </c>
      <c r="F18">
        <f>IF($U18="","",IF(INDEX('Per Invoice'!F$2:F$401,$U18)="","",INDEX('Per Invoice'!F$2:F$401,$U18)))</f>
        <v/>
      </c>
      <c r="G18">
        <f>IF($U18="","",IF(INDEX('Per Invoice'!G$2:G$401,$U18)="","",INDEX('Per Invoice'!G$2:G$401,$U18)))</f>
        <v/>
      </c>
      <c r="H18" s="7">
        <f>IF($U18="","",IF(INDEX('Per Invoice'!H$2:H$401,$U18)="","",INDEX('Per Invoice'!H$2:H$401,$U18)))</f>
        <v/>
      </c>
      <c r="I18" s="14">
        <f>IF($U18="","",IF(INDEX('Per Invoice'!I$2:I$401,$U18)="","",INDEX('Per Invoice'!I$2:I$401,$U18)))</f>
        <v/>
      </c>
      <c r="J18">
        <f>IF($U18="","",IF(INDEX('Per Invoice'!J$2:J$401,$U18)="","",INDEX('Per Invoice'!J$2:J$401,$U18)))</f>
        <v/>
      </c>
      <c r="K18">
        <f>IF($U18="","",IF(INDEX('Per Invoice'!K$2:K$401,$U18)="","",INDEX('Per Invoice'!K$2:K$401,$U18)))</f>
        <v/>
      </c>
      <c r="L18" s="7">
        <f>IF($U18="","",IF(INDEX('Per Invoice'!L$2:L$401,$U18)="","",INDEX('Per Invoice'!L$2:L$401,$U18)))</f>
        <v/>
      </c>
      <c r="M18" s="7">
        <f>IF($U18="","",IF(INDEX('Per Invoice'!M$2:M$401,$U18)="","",INDEX('Per Invoice'!M$2:M$401,$U18)))</f>
        <v/>
      </c>
      <c r="N18">
        <f>IF($U18="","",IF(INDEX('Per Invoice'!N$2:N$401,$U18)="","",INDEX('Per Invoice'!N$2:N$401,$U18)))</f>
        <v/>
      </c>
      <c r="O18" s="7">
        <f>IF($U18="","",IF(INDEX('Per Invoice'!O$2:O$401,$U18)="","",INDEX('Per Invoice'!O$2:O$401,$U18)))</f>
        <v/>
      </c>
      <c r="P18" s="7">
        <f>IF($U18="","",IF(INDEX('Per Invoice'!P$2:P$401,$U18)="","",INDEX('Per Invoice'!P$2:P$401,$U18)))</f>
        <v/>
      </c>
      <c r="Q18" s="7">
        <f>IF($U18="","",IF(INDEX('Per Invoice'!Q$2:Q$401,$U18)="","",INDEX('Per Invoice'!Q$2:Q$401,$U18)))</f>
        <v/>
      </c>
      <c r="R18" s="7">
        <f>IF($U18="","",IF(INDEX('Per Invoice'!R$2:R$401,$U18)="","",INDEX('Per Invoice'!R$2:R$401,$U18)))</f>
        <v/>
      </c>
      <c r="S18" s="7">
        <f>IF($U18="","",IF(INDEX('Per Invoice'!S$2:S$401,$U18)="","",INDEX('Per Invoice'!S$2:S$401,$U18)))</f>
        <v/>
      </c>
      <c r="T18" s="7">
        <f>IF($U18="","",IF(INDEX('Per Invoice'!T$2:T$401,$U18)="","",INDEX('Per Invoice'!T$2:T$401,$U18)))</f>
        <v/>
      </c>
      <c r="U18" s="16">
        <f>IFERROR(MATCH(Settings!$C$26&amp;"|"&amp;ROWS($U$2:$U18),'Per Invoice'!$V$2:$V$401,0),"")</f>
        <v/>
      </c>
    </row>
    <row r="19">
      <c r="A19">
        <f>IF($U19="","",IF(INDEX('Per Invoice'!A$2:A$401,$U19)="","",INDEX('Per Invoice'!A$2:A$401,$U19)))</f>
        <v/>
      </c>
      <c r="B19">
        <f>IF($U19="","",IF(INDEX('Per Invoice'!B$2:B$401,$U19)="","",INDEX('Per Invoice'!B$2:B$401,$U19)))</f>
        <v/>
      </c>
      <c r="C19">
        <f>IF($U19="","",IF(INDEX('Per Invoice'!C$2:C$401,$U19)="","",INDEX('Per Invoice'!C$2:C$401,$U19)))</f>
        <v/>
      </c>
      <c r="D19">
        <f>IF($U19="","",IF(INDEX('Per Invoice'!D$2:D$401,$U19)="","",INDEX('Per Invoice'!D$2:D$401,$U19)))</f>
        <v/>
      </c>
      <c r="E19">
        <f>IF($U19="","",IF(INDEX('Per Invoice'!E$2:E$401,$U19)="","",INDEX('Per Invoice'!E$2:E$401,$U19)))</f>
        <v/>
      </c>
      <c r="F19">
        <f>IF($U19="","",IF(INDEX('Per Invoice'!F$2:F$401,$U19)="","",INDEX('Per Invoice'!F$2:F$401,$U19)))</f>
        <v/>
      </c>
      <c r="G19">
        <f>IF($U19="","",IF(INDEX('Per Invoice'!G$2:G$401,$U19)="","",INDEX('Per Invoice'!G$2:G$401,$U19)))</f>
        <v/>
      </c>
      <c r="H19" s="7">
        <f>IF($U19="","",IF(INDEX('Per Invoice'!H$2:H$401,$U19)="","",INDEX('Per Invoice'!H$2:H$401,$U19)))</f>
        <v/>
      </c>
      <c r="I19" s="14">
        <f>IF($U19="","",IF(INDEX('Per Invoice'!I$2:I$401,$U19)="","",INDEX('Per Invoice'!I$2:I$401,$U19)))</f>
        <v/>
      </c>
      <c r="J19">
        <f>IF($U19="","",IF(INDEX('Per Invoice'!J$2:J$401,$U19)="","",INDEX('Per Invoice'!J$2:J$401,$U19)))</f>
        <v/>
      </c>
      <c r="K19">
        <f>IF($U19="","",IF(INDEX('Per Invoice'!K$2:K$401,$U19)="","",INDEX('Per Invoice'!K$2:K$401,$U19)))</f>
        <v/>
      </c>
      <c r="L19" s="7">
        <f>IF($U19="","",IF(INDEX('Per Invoice'!L$2:L$401,$U19)="","",INDEX('Per Invoice'!L$2:L$401,$U19)))</f>
        <v/>
      </c>
      <c r="M19" s="7">
        <f>IF($U19="","",IF(INDEX('Per Invoice'!M$2:M$401,$U19)="","",INDEX('Per Invoice'!M$2:M$401,$U19)))</f>
        <v/>
      </c>
      <c r="N19">
        <f>IF($U19="","",IF(INDEX('Per Invoice'!N$2:N$401,$U19)="","",INDEX('Per Invoice'!N$2:N$401,$U19)))</f>
        <v/>
      </c>
      <c r="O19" s="7">
        <f>IF($U19="","",IF(INDEX('Per Invoice'!O$2:O$401,$U19)="","",INDEX('Per Invoice'!O$2:O$401,$U19)))</f>
        <v/>
      </c>
      <c r="P19" s="7">
        <f>IF($U19="","",IF(INDEX('Per Invoice'!P$2:P$401,$U19)="","",INDEX('Per Invoice'!P$2:P$401,$U19)))</f>
        <v/>
      </c>
      <c r="Q19" s="7">
        <f>IF($U19="","",IF(INDEX('Per Invoice'!Q$2:Q$401,$U19)="","",INDEX('Per Invoice'!Q$2:Q$401,$U19)))</f>
        <v/>
      </c>
      <c r="R19" s="7">
        <f>IF($U19="","",IF(INDEX('Per Invoice'!R$2:R$401,$U19)="","",INDEX('Per Invoice'!R$2:R$401,$U19)))</f>
        <v/>
      </c>
      <c r="S19" s="7">
        <f>IF($U19="","",IF(INDEX('Per Invoice'!S$2:S$401,$U19)="","",INDEX('Per Invoice'!S$2:S$401,$U19)))</f>
        <v/>
      </c>
      <c r="T19" s="7">
        <f>IF($U19="","",IF(INDEX('Per Invoice'!T$2:T$401,$U19)="","",INDEX('Per Invoice'!T$2:T$401,$U19)))</f>
        <v/>
      </c>
      <c r="U19" s="16">
        <f>IFERROR(MATCH(Settings!$C$26&amp;"|"&amp;ROWS($U$2:$U19),'Per Invoice'!$V$2:$V$401,0),"")</f>
        <v/>
      </c>
    </row>
    <row r="20">
      <c r="A20">
        <f>IF($U20="","",IF(INDEX('Per Invoice'!A$2:A$401,$U20)="","",INDEX('Per Invoice'!A$2:A$401,$U20)))</f>
        <v/>
      </c>
      <c r="B20">
        <f>IF($U20="","",IF(INDEX('Per Invoice'!B$2:B$401,$U20)="","",INDEX('Per Invoice'!B$2:B$401,$U20)))</f>
        <v/>
      </c>
      <c r="C20">
        <f>IF($U20="","",IF(INDEX('Per Invoice'!C$2:C$401,$U20)="","",INDEX('Per Invoice'!C$2:C$401,$U20)))</f>
        <v/>
      </c>
      <c r="D20">
        <f>IF($U20="","",IF(INDEX('Per Invoice'!D$2:D$401,$U20)="","",INDEX('Per Invoice'!D$2:D$401,$U20)))</f>
        <v/>
      </c>
      <c r="E20">
        <f>IF($U20="","",IF(INDEX('Per Invoice'!E$2:E$401,$U20)="","",INDEX('Per Invoice'!E$2:E$401,$U20)))</f>
        <v/>
      </c>
      <c r="F20">
        <f>IF($U20="","",IF(INDEX('Per Invoice'!F$2:F$401,$U20)="","",INDEX('Per Invoice'!F$2:F$401,$U20)))</f>
        <v/>
      </c>
      <c r="G20">
        <f>IF($U20="","",IF(INDEX('Per Invoice'!G$2:G$401,$U20)="","",INDEX('Per Invoice'!G$2:G$401,$U20)))</f>
        <v/>
      </c>
      <c r="H20" s="7">
        <f>IF($U20="","",IF(INDEX('Per Invoice'!H$2:H$401,$U20)="","",INDEX('Per Invoice'!H$2:H$401,$U20)))</f>
        <v/>
      </c>
      <c r="I20" s="14">
        <f>IF($U20="","",IF(INDEX('Per Invoice'!I$2:I$401,$U20)="","",INDEX('Per Invoice'!I$2:I$401,$U20)))</f>
        <v/>
      </c>
      <c r="J20">
        <f>IF($U20="","",IF(INDEX('Per Invoice'!J$2:J$401,$U20)="","",INDEX('Per Invoice'!J$2:J$401,$U20)))</f>
        <v/>
      </c>
      <c r="K20">
        <f>IF($U20="","",IF(INDEX('Per Invoice'!K$2:K$401,$U20)="","",INDEX('Per Invoice'!K$2:K$401,$U20)))</f>
        <v/>
      </c>
      <c r="L20" s="7">
        <f>IF($U20="","",IF(INDEX('Per Invoice'!L$2:L$401,$U20)="","",INDEX('Per Invoice'!L$2:L$401,$U20)))</f>
        <v/>
      </c>
      <c r="M20" s="7">
        <f>IF($U20="","",IF(INDEX('Per Invoice'!M$2:M$401,$U20)="","",INDEX('Per Invoice'!M$2:M$401,$U20)))</f>
        <v/>
      </c>
      <c r="N20">
        <f>IF($U20="","",IF(INDEX('Per Invoice'!N$2:N$401,$U20)="","",INDEX('Per Invoice'!N$2:N$401,$U20)))</f>
        <v/>
      </c>
      <c r="O20" s="7">
        <f>IF($U20="","",IF(INDEX('Per Invoice'!O$2:O$401,$U20)="","",INDEX('Per Invoice'!O$2:O$401,$U20)))</f>
        <v/>
      </c>
      <c r="P20" s="7">
        <f>IF($U20="","",IF(INDEX('Per Invoice'!P$2:P$401,$U20)="","",INDEX('Per Invoice'!P$2:P$401,$U20)))</f>
        <v/>
      </c>
      <c r="Q20" s="7">
        <f>IF($U20="","",IF(INDEX('Per Invoice'!Q$2:Q$401,$U20)="","",INDEX('Per Invoice'!Q$2:Q$401,$U20)))</f>
        <v/>
      </c>
      <c r="R20" s="7">
        <f>IF($U20="","",IF(INDEX('Per Invoice'!R$2:R$401,$U20)="","",INDEX('Per Invoice'!R$2:R$401,$U20)))</f>
        <v/>
      </c>
      <c r="S20" s="7">
        <f>IF($U20="","",IF(INDEX('Per Invoice'!S$2:S$401,$U20)="","",INDEX('Per Invoice'!S$2:S$401,$U20)))</f>
        <v/>
      </c>
      <c r="T20" s="7">
        <f>IF($U20="","",IF(INDEX('Per Invoice'!T$2:T$401,$U20)="","",INDEX('Per Invoice'!T$2:T$401,$U20)))</f>
        <v/>
      </c>
      <c r="U20" s="16">
        <f>IFERROR(MATCH(Settings!$C$26&amp;"|"&amp;ROWS($U$2:$U20),'Per Invoice'!$V$2:$V$401,0),"")</f>
        <v/>
      </c>
    </row>
    <row r="21">
      <c r="A21">
        <f>IF($U21="","",IF(INDEX('Per Invoice'!A$2:A$401,$U21)="","",INDEX('Per Invoice'!A$2:A$401,$U21)))</f>
        <v/>
      </c>
      <c r="B21">
        <f>IF($U21="","",IF(INDEX('Per Invoice'!B$2:B$401,$U21)="","",INDEX('Per Invoice'!B$2:B$401,$U21)))</f>
        <v/>
      </c>
      <c r="C21">
        <f>IF($U21="","",IF(INDEX('Per Invoice'!C$2:C$401,$U21)="","",INDEX('Per Invoice'!C$2:C$401,$U21)))</f>
        <v/>
      </c>
      <c r="D21">
        <f>IF($U21="","",IF(INDEX('Per Invoice'!D$2:D$401,$U21)="","",INDEX('Per Invoice'!D$2:D$401,$U21)))</f>
        <v/>
      </c>
      <c r="E21">
        <f>IF($U21="","",IF(INDEX('Per Invoice'!E$2:E$401,$U21)="","",INDEX('Per Invoice'!E$2:E$401,$U21)))</f>
        <v/>
      </c>
      <c r="F21">
        <f>IF($U21="","",IF(INDEX('Per Invoice'!F$2:F$401,$U21)="","",INDEX('Per Invoice'!F$2:F$401,$U21)))</f>
        <v/>
      </c>
      <c r="G21">
        <f>IF($U21="","",IF(INDEX('Per Invoice'!G$2:G$401,$U21)="","",INDEX('Per Invoice'!G$2:G$401,$U21)))</f>
        <v/>
      </c>
      <c r="H21" s="7">
        <f>IF($U21="","",IF(INDEX('Per Invoice'!H$2:H$401,$U21)="","",INDEX('Per Invoice'!H$2:H$401,$U21)))</f>
        <v/>
      </c>
      <c r="I21" s="14">
        <f>IF($U21="","",IF(INDEX('Per Invoice'!I$2:I$401,$U21)="","",INDEX('Per Invoice'!I$2:I$401,$U21)))</f>
        <v/>
      </c>
      <c r="J21">
        <f>IF($U21="","",IF(INDEX('Per Invoice'!J$2:J$401,$U21)="","",INDEX('Per Invoice'!J$2:J$401,$U21)))</f>
        <v/>
      </c>
      <c r="K21">
        <f>IF($U21="","",IF(INDEX('Per Invoice'!K$2:K$401,$U21)="","",INDEX('Per Invoice'!K$2:K$401,$U21)))</f>
        <v/>
      </c>
      <c r="L21" s="7">
        <f>IF($U21="","",IF(INDEX('Per Invoice'!L$2:L$401,$U21)="","",INDEX('Per Invoice'!L$2:L$401,$U21)))</f>
        <v/>
      </c>
      <c r="M21" s="7">
        <f>IF($U21="","",IF(INDEX('Per Invoice'!M$2:M$401,$U21)="","",INDEX('Per Invoice'!M$2:M$401,$U21)))</f>
        <v/>
      </c>
      <c r="N21">
        <f>IF($U21="","",IF(INDEX('Per Invoice'!N$2:N$401,$U21)="","",INDEX('Per Invoice'!N$2:N$401,$U21)))</f>
        <v/>
      </c>
      <c r="O21" s="7">
        <f>IF($U21="","",IF(INDEX('Per Invoice'!O$2:O$401,$U21)="","",INDEX('Per Invoice'!O$2:O$401,$U21)))</f>
        <v/>
      </c>
      <c r="P21" s="7">
        <f>IF($U21="","",IF(INDEX('Per Invoice'!P$2:P$401,$U21)="","",INDEX('Per Invoice'!P$2:P$401,$U21)))</f>
        <v/>
      </c>
      <c r="Q21" s="7">
        <f>IF($U21="","",IF(INDEX('Per Invoice'!Q$2:Q$401,$U21)="","",INDEX('Per Invoice'!Q$2:Q$401,$U21)))</f>
        <v/>
      </c>
      <c r="R21" s="7">
        <f>IF($U21="","",IF(INDEX('Per Invoice'!R$2:R$401,$U21)="","",INDEX('Per Invoice'!R$2:R$401,$U21)))</f>
        <v/>
      </c>
      <c r="S21" s="7">
        <f>IF($U21="","",IF(INDEX('Per Invoice'!S$2:S$401,$U21)="","",INDEX('Per Invoice'!S$2:S$401,$U21)))</f>
        <v/>
      </c>
      <c r="T21" s="7">
        <f>IF($U21="","",IF(INDEX('Per Invoice'!T$2:T$401,$U21)="","",INDEX('Per Invoice'!T$2:T$401,$U21)))</f>
        <v/>
      </c>
      <c r="U21" s="16">
        <f>IFERROR(MATCH(Settings!$C$26&amp;"|"&amp;ROWS($U$2:$U21),'Per Invoice'!$V$2:$V$401,0),"")</f>
        <v/>
      </c>
    </row>
    <row r="22">
      <c r="A22">
        <f>IF($U22="","",IF(INDEX('Per Invoice'!A$2:A$401,$U22)="","",INDEX('Per Invoice'!A$2:A$401,$U22)))</f>
        <v/>
      </c>
      <c r="B22">
        <f>IF($U22="","",IF(INDEX('Per Invoice'!B$2:B$401,$U22)="","",INDEX('Per Invoice'!B$2:B$401,$U22)))</f>
        <v/>
      </c>
      <c r="C22">
        <f>IF($U22="","",IF(INDEX('Per Invoice'!C$2:C$401,$U22)="","",INDEX('Per Invoice'!C$2:C$401,$U22)))</f>
        <v/>
      </c>
      <c r="D22">
        <f>IF($U22="","",IF(INDEX('Per Invoice'!D$2:D$401,$U22)="","",INDEX('Per Invoice'!D$2:D$401,$U22)))</f>
        <v/>
      </c>
      <c r="E22">
        <f>IF($U22="","",IF(INDEX('Per Invoice'!E$2:E$401,$U22)="","",INDEX('Per Invoice'!E$2:E$401,$U22)))</f>
        <v/>
      </c>
      <c r="F22">
        <f>IF($U22="","",IF(INDEX('Per Invoice'!F$2:F$401,$U22)="","",INDEX('Per Invoice'!F$2:F$401,$U22)))</f>
        <v/>
      </c>
      <c r="G22">
        <f>IF($U22="","",IF(INDEX('Per Invoice'!G$2:G$401,$U22)="","",INDEX('Per Invoice'!G$2:G$401,$U22)))</f>
        <v/>
      </c>
      <c r="H22" s="7">
        <f>IF($U22="","",IF(INDEX('Per Invoice'!H$2:H$401,$U22)="","",INDEX('Per Invoice'!H$2:H$401,$U22)))</f>
        <v/>
      </c>
      <c r="I22" s="14">
        <f>IF($U22="","",IF(INDEX('Per Invoice'!I$2:I$401,$U22)="","",INDEX('Per Invoice'!I$2:I$401,$U22)))</f>
        <v/>
      </c>
      <c r="J22">
        <f>IF($U22="","",IF(INDEX('Per Invoice'!J$2:J$401,$U22)="","",INDEX('Per Invoice'!J$2:J$401,$U22)))</f>
        <v/>
      </c>
      <c r="K22">
        <f>IF($U22="","",IF(INDEX('Per Invoice'!K$2:K$401,$U22)="","",INDEX('Per Invoice'!K$2:K$401,$U22)))</f>
        <v/>
      </c>
      <c r="L22" s="7">
        <f>IF($U22="","",IF(INDEX('Per Invoice'!L$2:L$401,$U22)="","",INDEX('Per Invoice'!L$2:L$401,$U22)))</f>
        <v/>
      </c>
      <c r="M22" s="7">
        <f>IF($U22="","",IF(INDEX('Per Invoice'!M$2:M$401,$U22)="","",INDEX('Per Invoice'!M$2:M$401,$U22)))</f>
        <v/>
      </c>
      <c r="N22">
        <f>IF($U22="","",IF(INDEX('Per Invoice'!N$2:N$401,$U22)="","",INDEX('Per Invoice'!N$2:N$401,$U22)))</f>
        <v/>
      </c>
      <c r="O22" s="7">
        <f>IF($U22="","",IF(INDEX('Per Invoice'!O$2:O$401,$U22)="","",INDEX('Per Invoice'!O$2:O$401,$U22)))</f>
        <v/>
      </c>
      <c r="P22" s="7">
        <f>IF($U22="","",IF(INDEX('Per Invoice'!P$2:P$401,$U22)="","",INDEX('Per Invoice'!P$2:P$401,$U22)))</f>
        <v/>
      </c>
      <c r="Q22" s="7">
        <f>IF($U22="","",IF(INDEX('Per Invoice'!Q$2:Q$401,$U22)="","",INDEX('Per Invoice'!Q$2:Q$401,$U22)))</f>
        <v/>
      </c>
      <c r="R22" s="7">
        <f>IF($U22="","",IF(INDEX('Per Invoice'!R$2:R$401,$U22)="","",INDEX('Per Invoice'!R$2:R$401,$U22)))</f>
        <v/>
      </c>
      <c r="S22" s="7">
        <f>IF($U22="","",IF(INDEX('Per Invoice'!S$2:S$401,$U22)="","",INDEX('Per Invoice'!S$2:S$401,$U22)))</f>
        <v/>
      </c>
      <c r="T22" s="7">
        <f>IF($U22="","",IF(INDEX('Per Invoice'!T$2:T$401,$U22)="","",INDEX('Per Invoice'!T$2:T$401,$U22)))</f>
        <v/>
      </c>
      <c r="U22" s="16">
        <f>IFERROR(MATCH(Settings!$C$26&amp;"|"&amp;ROWS($U$2:$U22),'Per Invoice'!$V$2:$V$401,0),"")</f>
        <v/>
      </c>
    </row>
    <row r="23">
      <c r="A23">
        <f>IF($U23="","",IF(INDEX('Per Invoice'!A$2:A$401,$U23)="","",INDEX('Per Invoice'!A$2:A$401,$U23)))</f>
        <v/>
      </c>
      <c r="B23">
        <f>IF($U23="","",IF(INDEX('Per Invoice'!B$2:B$401,$U23)="","",INDEX('Per Invoice'!B$2:B$401,$U23)))</f>
        <v/>
      </c>
      <c r="C23">
        <f>IF($U23="","",IF(INDEX('Per Invoice'!C$2:C$401,$U23)="","",INDEX('Per Invoice'!C$2:C$401,$U23)))</f>
        <v/>
      </c>
      <c r="D23">
        <f>IF($U23="","",IF(INDEX('Per Invoice'!D$2:D$401,$U23)="","",INDEX('Per Invoice'!D$2:D$401,$U23)))</f>
        <v/>
      </c>
      <c r="E23">
        <f>IF($U23="","",IF(INDEX('Per Invoice'!E$2:E$401,$U23)="","",INDEX('Per Invoice'!E$2:E$401,$U23)))</f>
        <v/>
      </c>
      <c r="F23">
        <f>IF($U23="","",IF(INDEX('Per Invoice'!F$2:F$401,$U23)="","",INDEX('Per Invoice'!F$2:F$401,$U23)))</f>
        <v/>
      </c>
      <c r="G23">
        <f>IF($U23="","",IF(INDEX('Per Invoice'!G$2:G$401,$U23)="","",INDEX('Per Invoice'!G$2:G$401,$U23)))</f>
        <v/>
      </c>
      <c r="H23" s="7">
        <f>IF($U23="","",IF(INDEX('Per Invoice'!H$2:H$401,$U23)="","",INDEX('Per Invoice'!H$2:H$401,$U23)))</f>
        <v/>
      </c>
      <c r="I23" s="14">
        <f>IF($U23="","",IF(INDEX('Per Invoice'!I$2:I$401,$U23)="","",INDEX('Per Invoice'!I$2:I$401,$U23)))</f>
        <v/>
      </c>
      <c r="J23">
        <f>IF($U23="","",IF(INDEX('Per Invoice'!J$2:J$401,$U23)="","",INDEX('Per Invoice'!J$2:J$401,$U23)))</f>
        <v/>
      </c>
      <c r="K23">
        <f>IF($U23="","",IF(INDEX('Per Invoice'!K$2:K$401,$U23)="","",INDEX('Per Invoice'!K$2:K$401,$U23)))</f>
        <v/>
      </c>
      <c r="L23" s="7">
        <f>IF($U23="","",IF(INDEX('Per Invoice'!L$2:L$401,$U23)="","",INDEX('Per Invoice'!L$2:L$401,$U23)))</f>
        <v/>
      </c>
      <c r="M23" s="7">
        <f>IF($U23="","",IF(INDEX('Per Invoice'!M$2:M$401,$U23)="","",INDEX('Per Invoice'!M$2:M$401,$U23)))</f>
        <v/>
      </c>
      <c r="N23">
        <f>IF($U23="","",IF(INDEX('Per Invoice'!N$2:N$401,$U23)="","",INDEX('Per Invoice'!N$2:N$401,$U23)))</f>
        <v/>
      </c>
      <c r="O23" s="7">
        <f>IF($U23="","",IF(INDEX('Per Invoice'!O$2:O$401,$U23)="","",INDEX('Per Invoice'!O$2:O$401,$U23)))</f>
        <v/>
      </c>
      <c r="P23" s="7">
        <f>IF($U23="","",IF(INDEX('Per Invoice'!P$2:P$401,$U23)="","",INDEX('Per Invoice'!P$2:P$401,$U23)))</f>
        <v/>
      </c>
      <c r="Q23" s="7">
        <f>IF($U23="","",IF(INDEX('Per Invoice'!Q$2:Q$401,$U23)="","",INDEX('Per Invoice'!Q$2:Q$401,$U23)))</f>
        <v/>
      </c>
      <c r="R23" s="7">
        <f>IF($U23="","",IF(INDEX('Per Invoice'!R$2:R$401,$U23)="","",INDEX('Per Invoice'!R$2:R$401,$U23)))</f>
        <v/>
      </c>
      <c r="S23" s="7">
        <f>IF($U23="","",IF(INDEX('Per Invoice'!S$2:S$401,$U23)="","",INDEX('Per Invoice'!S$2:S$401,$U23)))</f>
        <v/>
      </c>
      <c r="T23" s="7">
        <f>IF($U23="","",IF(INDEX('Per Invoice'!T$2:T$401,$U23)="","",INDEX('Per Invoice'!T$2:T$401,$U23)))</f>
        <v/>
      </c>
      <c r="U23" s="16">
        <f>IFERROR(MATCH(Settings!$C$26&amp;"|"&amp;ROWS($U$2:$U23),'Per Invoice'!$V$2:$V$401,0),"")</f>
        <v/>
      </c>
    </row>
    <row r="24">
      <c r="A24">
        <f>IF($U24="","",IF(INDEX('Per Invoice'!A$2:A$401,$U24)="","",INDEX('Per Invoice'!A$2:A$401,$U24)))</f>
        <v/>
      </c>
      <c r="B24">
        <f>IF($U24="","",IF(INDEX('Per Invoice'!B$2:B$401,$U24)="","",INDEX('Per Invoice'!B$2:B$401,$U24)))</f>
        <v/>
      </c>
      <c r="C24">
        <f>IF($U24="","",IF(INDEX('Per Invoice'!C$2:C$401,$U24)="","",INDEX('Per Invoice'!C$2:C$401,$U24)))</f>
        <v/>
      </c>
      <c r="D24">
        <f>IF($U24="","",IF(INDEX('Per Invoice'!D$2:D$401,$U24)="","",INDEX('Per Invoice'!D$2:D$401,$U24)))</f>
        <v/>
      </c>
      <c r="E24">
        <f>IF($U24="","",IF(INDEX('Per Invoice'!E$2:E$401,$U24)="","",INDEX('Per Invoice'!E$2:E$401,$U24)))</f>
        <v/>
      </c>
      <c r="F24">
        <f>IF($U24="","",IF(INDEX('Per Invoice'!F$2:F$401,$U24)="","",INDEX('Per Invoice'!F$2:F$401,$U24)))</f>
        <v/>
      </c>
      <c r="G24">
        <f>IF($U24="","",IF(INDEX('Per Invoice'!G$2:G$401,$U24)="","",INDEX('Per Invoice'!G$2:G$401,$U24)))</f>
        <v/>
      </c>
      <c r="H24" s="7">
        <f>IF($U24="","",IF(INDEX('Per Invoice'!H$2:H$401,$U24)="","",INDEX('Per Invoice'!H$2:H$401,$U24)))</f>
        <v/>
      </c>
      <c r="I24" s="14">
        <f>IF($U24="","",IF(INDEX('Per Invoice'!I$2:I$401,$U24)="","",INDEX('Per Invoice'!I$2:I$401,$U24)))</f>
        <v/>
      </c>
      <c r="J24">
        <f>IF($U24="","",IF(INDEX('Per Invoice'!J$2:J$401,$U24)="","",INDEX('Per Invoice'!J$2:J$401,$U24)))</f>
        <v/>
      </c>
      <c r="K24">
        <f>IF($U24="","",IF(INDEX('Per Invoice'!K$2:K$401,$U24)="","",INDEX('Per Invoice'!K$2:K$401,$U24)))</f>
        <v/>
      </c>
      <c r="L24" s="7">
        <f>IF($U24="","",IF(INDEX('Per Invoice'!L$2:L$401,$U24)="","",INDEX('Per Invoice'!L$2:L$401,$U24)))</f>
        <v/>
      </c>
      <c r="M24" s="7">
        <f>IF($U24="","",IF(INDEX('Per Invoice'!M$2:M$401,$U24)="","",INDEX('Per Invoice'!M$2:M$401,$U24)))</f>
        <v/>
      </c>
      <c r="N24">
        <f>IF($U24="","",IF(INDEX('Per Invoice'!N$2:N$401,$U24)="","",INDEX('Per Invoice'!N$2:N$401,$U24)))</f>
        <v/>
      </c>
      <c r="O24" s="7">
        <f>IF($U24="","",IF(INDEX('Per Invoice'!O$2:O$401,$U24)="","",INDEX('Per Invoice'!O$2:O$401,$U24)))</f>
        <v/>
      </c>
      <c r="P24" s="7">
        <f>IF($U24="","",IF(INDEX('Per Invoice'!P$2:P$401,$U24)="","",INDEX('Per Invoice'!P$2:P$401,$U24)))</f>
        <v/>
      </c>
      <c r="Q24" s="7">
        <f>IF($U24="","",IF(INDEX('Per Invoice'!Q$2:Q$401,$U24)="","",INDEX('Per Invoice'!Q$2:Q$401,$U24)))</f>
        <v/>
      </c>
      <c r="R24" s="7">
        <f>IF($U24="","",IF(INDEX('Per Invoice'!R$2:R$401,$U24)="","",INDEX('Per Invoice'!R$2:R$401,$U24)))</f>
        <v/>
      </c>
      <c r="S24" s="7">
        <f>IF($U24="","",IF(INDEX('Per Invoice'!S$2:S$401,$U24)="","",INDEX('Per Invoice'!S$2:S$401,$U24)))</f>
        <v/>
      </c>
      <c r="T24" s="7">
        <f>IF($U24="","",IF(INDEX('Per Invoice'!T$2:T$401,$U24)="","",INDEX('Per Invoice'!T$2:T$401,$U24)))</f>
        <v/>
      </c>
      <c r="U24" s="16">
        <f>IFERROR(MATCH(Settings!$C$26&amp;"|"&amp;ROWS($U$2:$U24),'Per Invoice'!$V$2:$V$401,0),"")</f>
        <v/>
      </c>
    </row>
    <row r="25">
      <c r="A25">
        <f>IF($U25="","",IF(INDEX('Per Invoice'!A$2:A$401,$U25)="","",INDEX('Per Invoice'!A$2:A$401,$U25)))</f>
        <v/>
      </c>
      <c r="B25">
        <f>IF($U25="","",IF(INDEX('Per Invoice'!B$2:B$401,$U25)="","",INDEX('Per Invoice'!B$2:B$401,$U25)))</f>
        <v/>
      </c>
      <c r="C25">
        <f>IF($U25="","",IF(INDEX('Per Invoice'!C$2:C$401,$U25)="","",INDEX('Per Invoice'!C$2:C$401,$U25)))</f>
        <v/>
      </c>
      <c r="D25">
        <f>IF($U25="","",IF(INDEX('Per Invoice'!D$2:D$401,$U25)="","",INDEX('Per Invoice'!D$2:D$401,$U25)))</f>
        <v/>
      </c>
      <c r="E25">
        <f>IF($U25="","",IF(INDEX('Per Invoice'!E$2:E$401,$U25)="","",INDEX('Per Invoice'!E$2:E$401,$U25)))</f>
        <v/>
      </c>
      <c r="F25">
        <f>IF($U25="","",IF(INDEX('Per Invoice'!F$2:F$401,$U25)="","",INDEX('Per Invoice'!F$2:F$401,$U25)))</f>
        <v/>
      </c>
      <c r="G25">
        <f>IF($U25="","",IF(INDEX('Per Invoice'!G$2:G$401,$U25)="","",INDEX('Per Invoice'!G$2:G$401,$U25)))</f>
        <v/>
      </c>
      <c r="H25" s="7">
        <f>IF($U25="","",IF(INDEX('Per Invoice'!H$2:H$401,$U25)="","",INDEX('Per Invoice'!H$2:H$401,$U25)))</f>
        <v/>
      </c>
      <c r="I25" s="14">
        <f>IF($U25="","",IF(INDEX('Per Invoice'!I$2:I$401,$U25)="","",INDEX('Per Invoice'!I$2:I$401,$U25)))</f>
        <v/>
      </c>
      <c r="J25">
        <f>IF($U25="","",IF(INDEX('Per Invoice'!J$2:J$401,$U25)="","",INDEX('Per Invoice'!J$2:J$401,$U25)))</f>
        <v/>
      </c>
      <c r="K25">
        <f>IF($U25="","",IF(INDEX('Per Invoice'!K$2:K$401,$U25)="","",INDEX('Per Invoice'!K$2:K$401,$U25)))</f>
        <v/>
      </c>
      <c r="L25" s="7">
        <f>IF($U25="","",IF(INDEX('Per Invoice'!L$2:L$401,$U25)="","",INDEX('Per Invoice'!L$2:L$401,$U25)))</f>
        <v/>
      </c>
      <c r="M25" s="7">
        <f>IF($U25="","",IF(INDEX('Per Invoice'!M$2:M$401,$U25)="","",INDEX('Per Invoice'!M$2:M$401,$U25)))</f>
        <v/>
      </c>
      <c r="N25">
        <f>IF($U25="","",IF(INDEX('Per Invoice'!N$2:N$401,$U25)="","",INDEX('Per Invoice'!N$2:N$401,$U25)))</f>
        <v/>
      </c>
      <c r="O25" s="7">
        <f>IF($U25="","",IF(INDEX('Per Invoice'!O$2:O$401,$U25)="","",INDEX('Per Invoice'!O$2:O$401,$U25)))</f>
        <v/>
      </c>
      <c r="P25" s="7">
        <f>IF($U25="","",IF(INDEX('Per Invoice'!P$2:P$401,$U25)="","",INDEX('Per Invoice'!P$2:P$401,$U25)))</f>
        <v/>
      </c>
      <c r="Q25" s="7">
        <f>IF($U25="","",IF(INDEX('Per Invoice'!Q$2:Q$401,$U25)="","",INDEX('Per Invoice'!Q$2:Q$401,$U25)))</f>
        <v/>
      </c>
      <c r="R25" s="7">
        <f>IF($U25="","",IF(INDEX('Per Invoice'!R$2:R$401,$U25)="","",INDEX('Per Invoice'!R$2:R$401,$U25)))</f>
        <v/>
      </c>
      <c r="S25" s="7">
        <f>IF($U25="","",IF(INDEX('Per Invoice'!S$2:S$401,$U25)="","",INDEX('Per Invoice'!S$2:S$401,$U25)))</f>
        <v/>
      </c>
      <c r="T25" s="7">
        <f>IF($U25="","",IF(INDEX('Per Invoice'!T$2:T$401,$U25)="","",INDEX('Per Invoice'!T$2:T$401,$U25)))</f>
        <v/>
      </c>
      <c r="U25" s="16">
        <f>IFERROR(MATCH(Settings!$C$26&amp;"|"&amp;ROWS($U$2:$U25),'Per Invoice'!$V$2:$V$401,0),"")</f>
        <v/>
      </c>
    </row>
    <row r="26">
      <c r="A26">
        <f>IF($U26="","",IF(INDEX('Per Invoice'!A$2:A$401,$U26)="","",INDEX('Per Invoice'!A$2:A$401,$U26)))</f>
        <v/>
      </c>
      <c r="B26">
        <f>IF($U26="","",IF(INDEX('Per Invoice'!B$2:B$401,$U26)="","",INDEX('Per Invoice'!B$2:B$401,$U26)))</f>
        <v/>
      </c>
      <c r="C26">
        <f>IF($U26="","",IF(INDEX('Per Invoice'!C$2:C$401,$U26)="","",INDEX('Per Invoice'!C$2:C$401,$U26)))</f>
        <v/>
      </c>
      <c r="D26">
        <f>IF($U26="","",IF(INDEX('Per Invoice'!D$2:D$401,$U26)="","",INDEX('Per Invoice'!D$2:D$401,$U26)))</f>
        <v/>
      </c>
      <c r="E26">
        <f>IF($U26="","",IF(INDEX('Per Invoice'!E$2:E$401,$U26)="","",INDEX('Per Invoice'!E$2:E$401,$U26)))</f>
        <v/>
      </c>
      <c r="F26">
        <f>IF($U26="","",IF(INDEX('Per Invoice'!F$2:F$401,$U26)="","",INDEX('Per Invoice'!F$2:F$401,$U26)))</f>
        <v/>
      </c>
      <c r="G26">
        <f>IF($U26="","",IF(INDEX('Per Invoice'!G$2:G$401,$U26)="","",INDEX('Per Invoice'!G$2:G$401,$U26)))</f>
        <v/>
      </c>
      <c r="H26" s="7">
        <f>IF($U26="","",IF(INDEX('Per Invoice'!H$2:H$401,$U26)="","",INDEX('Per Invoice'!H$2:H$401,$U26)))</f>
        <v/>
      </c>
      <c r="I26" s="14">
        <f>IF($U26="","",IF(INDEX('Per Invoice'!I$2:I$401,$U26)="","",INDEX('Per Invoice'!I$2:I$401,$U26)))</f>
        <v/>
      </c>
      <c r="J26">
        <f>IF($U26="","",IF(INDEX('Per Invoice'!J$2:J$401,$U26)="","",INDEX('Per Invoice'!J$2:J$401,$U26)))</f>
        <v/>
      </c>
      <c r="K26">
        <f>IF($U26="","",IF(INDEX('Per Invoice'!K$2:K$401,$U26)="","",INDEX('Per Invoice'!K$2:K$401,$U26)))</f>
        <v/>
      </c>
      <c r="L26" s="7">
        <f>IF($U26="","",IF(INDEX('Per Invoice'!L$2:L$401,$U26)="","",INDEX('Per Invoice'!L$2:L$401,$U26)))</f>
        <v/>
      </c>
      <c r="M26" s="7">
        <f>IF($U26="","",IF(INDEX('Per Invoice'!M$2:M$401,$U26)="","",INDEX('Per Invoice'!M$2:M$401,$U26)))</f>
        <v/>
      </c>
      <c r="N26">
        <f>IF($U26="","",IF(INDEX('Per Invoice'!N$2:N$401,$U26)="","",INDEX('Per Invoice'!N$2:N$401,$U26)))</f>
        <v/>
      </c>
      <c r="O26" s="7">
        <f>IF($U26="","",IF(INDEX('Per Invoice'!O$2:O$401,$U26)="","",INDEX('Per Invoice'!O$2:O$401,$U26)))</f>
        <v/>
      </c>
      <c r="P26" s="7">
        <f>IF($U26="","",IF(INDEX('Per Invoice'!P$2:P$401,$U26)="","",INDEX('Per Invoice'!P$2:P$401,$U26)))</f>
        <v/>
      </c>
      <c r="Q26" s="7">
        <f>IF($U26="","",IF(INDEX('Per Invoice'!Q$2:Q$401,$U26)="","",INDEX('Per Invoice'!Q$2:Q$401,$U26)))</f>
        <v/>
      </c>
      <c r="R26" s="7">
        <f>IF($U26="","",IF(INDEX('Per Invoice'!R$2:R$401,$U26)="","",INDEX('Per Invoice'!R$2:R$401,$U26)))</f>
        <v/>
      </c>
      <c r="S26" s="7">
        <f>IF($U26="","",IF(INDEX('Per Invoice'!S$2:S$401,$U26)="","",INDEX('Per Invoice'!S$2:S$401,$U26)))</f>
        <v/>
      </c>
      <c r="T26" s="7">
        <f>IF($U26="","",IF(INDEX('Per Invoice'!T$2:T$401,$U26)="","",INDEX('Per Invoice'!T$2:T$401,$U26)))</f>
        <v/>
      </c>
      <c r="U26" s="16">
        <f>IFERROR(MATCH(Settings!$C$26&amp;"|"&amp;ROWS($U$2:$U26),'Per Invoice'!$V$2:$V$401,0),"")</f>
        <v/>
      </c>
    </row>
    <row r="27">
      <c r="A27">
        <f>IF($U27="","",IF(INDEX('Per Invoice'!A$2:A$401,$U27)="","",INDEX('Per Invoice'!A$2:A$401,$U27)))</f>
        <v/>
      </c>
      <c r="B27">
        <f>IF($U27="","",IF(INDEX('Per Invoice'!B$2:B$401,$U27)="","",INDEX('Per Invoice'!B$2:B$401,$U27)))</f>
        <v/>
      </c>
      <c r="C27">
        <f>IF($U27="","",IF(INDEX('Per Invoice'!C$2:C$401,$U27)="","",INDEX('Per Invoice'!C$2:C$401,$U27)))</f>
        <v/>
      </c>
      <c r="D27">
        <f>IF($U27="","",IF(INDEX('Per Invoice'!D$2:D$401,$U27)="","",INDEX('Per Invoice'!D$2:D$401,$U27)))</f>
        <v/>
      </c>
      <c r="E27">
        <f>IF($U27="","",IF(INDEX('Per Invoice'!E$2:E$401,$U27)="","",INDEX('Per Invoice'!E$2:E$401,$U27)))</f>
        <v/>
      </c>
      <c r="F27">
        <f>IF($U27="","",IF(INDEX('Per Invoice'!F$2:F$401,$U27)="","",INDEX('Per Invoice'!F$2:F$401,$U27)))</f>
        <v/>
      </c>
      <c r="G27">
        <f>IF($U27="","",IF(INDEX('Per Invoice'!G$2:G$401,$U27)="","",INDEX('Per Invoice'!G$2:G$401,$U27)))</f>
        <v/>
      </c>
      <c r="H27" s="7">
        <f>IF($U27="","",IF(INDEX('Per Invoice'!H$2:H$401,$U27)="","",INDEX('Per Invoice'!H$2:H$401,$U27)))</f>
        <v/>
      </c>
      <c r="I27" s="14">
        <f>IF($U27="","",IF(INDEX('Per Invoice'!I$2:I$401,$U27)="","",INDEX('Per Invoice'!I$2:I$401,$U27)))</f>
        <v/>
      </c>
      <c r="J27">
        <f>IF($U27="","",IF(INDEX('Per Invoice'!J$2:J$401,$U27)="","",INDEX('Per Invoice'!J$2:J$401,$U27)))</f>
        <v/>
      </c>
      <c r="K27">
        <f>IF($U27="","",IF(INDEX('Per Invoice'!K$2:K$401,$U27)="","",INDEX('Per Invoice'!K$2:K$401,$U27)))</f>
        <v/>
      </c>
      <c r="L27" s="7">
        <f>IF($U27="","",IF(INDEX('Per Invoice'!L$2:L$401,$U27)="","",INDEX('Per Invoice'!L$2:L$401,$U27)))</f>
        <v/>
      </c>
      <c r="M27" s="7">
        <f>IF($U27="","",IF(INDEX('Per Invoice'!M$2:M$401,$U27)="","",INDEX('Per Invoice'!M$2:M$401,$U27)))</f>
        <v/>
      </c>
      <c r="N27">
        <f>IF($U27="","",IF(INDEX('Per Invoice'!N$2:N$401,$U27)="","",INDEX('Per Invoice'!N$2:N$401,$U27)))</f>
        <v/>
      </c>
      <c r="O27" s="7">
        <f>IF($U27="","",IF(INDEX('Per Invoice'!O$2:O$401,$U27)="","",INDEX('Per Invoice'!O$2:O$401,$U27)))</f>
        <v/>
      </c>
      <c r="P27" s="7">
        <f>IF($U27="","",IF(INDEX('Per Invoice'!P$2:P$401,$U27)="","",INDEX('Per Invoice'!P$2:P$401,$U27)))</f>
        <v/>
      </c>
      <c r="Q27" s="7">
        <f>IF($U27="","",IF(INDEX('Per Invoice'!Q$2:Q$401,$U27)="","",INDEX('Per Invoice'!Q$2:Q$401,$U27)))</f>
        <v/>
      </c>
      <c r="R27" s="7">
        <f>IF($U27="","",IF(INDEX('Per Invoice'!R$2:R$401,$U27)="","",INDEX('Per Invoice'!R$2:R$401,$U27)))</f>
        <v/>
      </c>
      <c r="S27" s="7">
        <f>IF($U27="","",IF(INDEX('Per Invoice'!S$2:S$401,$U27)="","",INDEX('Per Invoice'!S$2:S$401,$U27)))</f>
        <v/>
      </c>
      <c r="T27" s="7">
        <f>IF($U27="","",IF(INDEX('Per Invoice'!T$2:T$401,$U27)="","",INDEX('Per Invoice'!T$2:T$401,$U27)))</f>
        <v/>
      </c>
      <c r="U27" s="16">
        <f>IFERROR(MATCH(Settings!$C$26&amp;"|"&amp;ROWS($U$2:$U27),'Per Invoice'!$V$2:$V$401,0),"")</f>
        <v/>
      </c>
    </row>
    <row r="28">
      <c r="A28">
        <f>IF($U28="","",IF(INDEX('Per Invoice'!A$2:A$401,$U28)="","",INDEX('Per Invoice'!A$2:A$401,$U28)))</f>
        <v/>
      </c>
      <c r="B28">
        <f>IF($U28="","",IF(INDEX('Per Invoice'!B$2:B$401,$U28)="","",INDEX('Per Invoice'!B$2:B$401,$U28)))</f>
        <v/>
      </c>
      <c r="C28">
        <f>IF($U28="","",IF(INDEX('Per Invoice'!C$2:C$401,$U28)="","",INDEX('Per Invoice'!C$2:C$401,$U28)))</f>
        <v/>
      </c>
      <c r="D28">
        <f>IF($U28="","",IF(INDEX('Per Invoice'!D$2:D$401,$U28)="","",INDEX('Per Invoice'!D$2:D$401,$U28)))</f>
        <v/>
      </c>
      <c r="E28">
        <f>IF($U28="","",IF(INDEX('Per Invoice'!E$2:E$401,$U28)="","",INDEX('Per Invoice'!E$2:E$401,$U28)))</f>
        <v/>
      </c>
      <c r="F28">
        <f>IF($U28="","",IF(INDEX('Per Invoice'!F$2:F$401,$U28)="","",INDEX('Per Invoice'!F$2:F$401,$U28)))</f>
        <v/>
      </c>
      <c r="G28">
        <f>IF($U28="","",IF(INDEX('Per Invoice'!G$2:G$401,$U28)="","",INDEX('Per Invoice'!G$2:G$401,$U28)))</f>
        <v/>
      </c>
      <c r="H28" s="7">
        <f>IF($U28="","",IF(INDEX('Per Invoice'!H$2:H$401,$U28)="","",INDEX('Per Invoice'!H$2:H$401,$U28)))</f>
        <v/>
      </c>
      <c r="I28" s="14">
        <f>IF($U28="","",IF(INDEX('Per Invoice'!I$2:I$401,$U28)="","",INDEX('Per Invoice'!I$2:I$401,$U28)))</f>
        <v/>
      </c>
      <c r="J28">
        <f>IF($U28="","",IF(INDEX('Per Invoice'!J$2:J$401,$U28)="","",INDEX('Per Invoice'!J$2:J$401,$U28)))</f>
        <v/>
      </c>
      <c r="K28">
        <f>IF($U28="","",IF(INDEX('Per Invoice'!K$2:K$401,$U28)="","",INDEX('Per Invoice'!K$2:K$401,$U28)))</f>
        <v/>
      </c>
      <c r="L28" s="7">
        <f>IF($U28="","",IF(INDEX('Per Invoice'!L$2:L$401,$U28)="","",INDEX('Per Invoice'!L$2:L$401,$U28)))</f>
        <v/>
      </c>
      <c r="M28" s="7">
        <f>IF($U28="","",IF(INDEX('Per Invoice'!M$2:M$401,$U28)="","",INDEX('Per Invoice'!M$2:M$401,$U28)))</f>
        <v/>
      </c>
      <c r="N28">
        <f>IF($U28="","",IF(INDEX('Per Invoice'!N$2:N$401,$U28)="","",INDEX('Per Invoice'!N$2:N$401,$U28)))</f>
        <v/>
      </c>
      <c r="O28" s="7">
        <f>IF($U28="","",IF(INDEX('Per Invoice'!O$2:O$401,$U28)="","",INDEX('Per Invoice'!O$2:O$401,$U28)))</f>
        <v/>
      </c>
      <c r="P28" s="7">
        <f>IF($U28="","",IF(INDEX('Per Invoice'!P$2:P$401,$U28)="","",INDEX('Per Invoice'!P$2:P$401,$U28)))</f>
        <v/>
      </c>
      <c r="Q28" s="7">
        <f>IF($U28="","",IF(INDEX('Per Invoice'!Q$2:Q$401,$U28)="","",INDEX('Per Invoice'!Q$2:Q$401,$U28)))</f>
        <v/>
      </c>
      <c r="R28" s="7">
        <f>IF($U28="","",IF(INDEX('Per Invoice'!R$2:R$401,$U28)="","",INDEX('Per Invoice'!R$2:R$401,$U28)))</f>
        <v/>
      </c>
      <c r="S28" s="7">
        <f>IF($U28="","",IF(INDEX('Per Invoice'!S$2:S$401,$U28)="","",INDEX('Per Invoice'!S$2:S$401,$U28)))</f>
        <v/>
      </c>
      <c r="T28" s="7">
        <f>IF($U28="","",IF(INDEX('Per Invoice'!T$2:T$401,$U28)="","",INDEX('Per Invoice'!T$2:T$401,$U28)))</f>
        <v/>
      </c>
      <c r="U28" s="16">
        <f>IFERROR(MATCH(Settings!$C$26&amp;"|"&amp;ROWS($U$2:$U28),'Per Invoice'!$V$2:$V$401,0),"")</f>
        <v/>
      </c>
    </row>
    <row r="29">
      <c r="A29">
        <f>IF($U29="","",IF(INDEX('Per Invoice'!A$2:A$401,$U29)="","",INDEX('Per Invoice'!A$2:A$401,$U29)))</f>
        <v/>
      </c>
      <c r="B29">
        <f>IF($U29="","",IF(INDEX('Per Invoice'!B$2:B$401,$U29)="","",INDEX('Per Invoice'!B$2:B$401,$U29)))</f>
        <v/>
      </c>
      <c r="C29">
        <f>IF($U29="","",IF(INDEX('Per Invoice'!C$2:C$401,$U29)="","",INDEX('Per Invoice'!C$2:C$401,$U29)))</f>
        <v/>
      </c>
      <c r="D29">
        <f>IF($U29="","",IF(INDEX('Per Invoice'!D$2:D$401,$U29)="","",INDEX('Per Invoice'!D$2:D$401,$U29)))</f>
        <v/>
      </c>
      <c r="E29">
        <f>IF($U29="","",IF(INDEX('Per Invoice'!E$2:E$401,$U29)="","",INDEX('Per Invoice'!E$2:E$401,$U29)))</f>
        <v/>
      </c>
      <c r="F29">
        <f>IF($U29="","",IF(INDEX('Per Invoice'!F$2:F$401,$U29)="","",INDEX('Per Invoice'!F$2:F$401,$U29)))</f>
        <v/>
      </c>
      <c r="G29">
        <f>IF($U29="","",IF(INDEX('Per Invoice'!G$2:G$401,$U29)="","",INDEX('Per Invoice'!G$2:G$401,$U29)))</f>
        <v/>
      </c>
      <c r="H29" s="7">
        <f>IF($U29="","",IF(INDEX('Per Invoice'!H$2:H$401,$U29)="","",INDEX('Per Invoice'!H$2:H$401,$U29)))</f>
        <v/>
      </c>
      <c r="I29" s="14">
        <f>IF($U29="","",IF(INDEX('Per Invoice'!I$2:I$401,$U29)="","",INDEX('Per Invoice'!I$2:I$401,$U29)))</f>
        <v/>
      </c>
      <c r="J29">
        <f>IF($U29="","",IF(INDEX('Per Invoice'!J$2:J$401,$U29)="","",INDEX('Per Invoice'!J$2:J$401,$U29)))</f>
        <v/>
      </c>
      <c r="K29">
        <f>IF($U29="","",IF(INDEX('Per Invoice'!K$2:K$401,$U29)="","",INDEX('Per Invoice'!K$2:K$401,$U29)))</f>
        <v/>
      </c>
      <c r="L29" s="7">
        <f>IF($U29="","",IF(INDEX('Per Invoice'!L$2:L$401,$U29)="","",INDEX('Per Invoice'!L$2:L$401,$U29)))</f>
        <v/>
      </c>
      <c r="M29" s="7">
        <f>IF($U29="","",IF(INDEX('Per Invoice'!M$2:M$401,$U29)="","",INDEX('Per Invoice'!M$2:M$401,$U29)))</f>
        <v/>
      </c>
      <c r="N29">
        <f>IF($U29="","",IF(INDEX('Per Invoice'!N$2:N$401,$U29)="","",INDEX('Per Invoice'!N$2:N$401,$U29)))</f>
        <v/>
      </c>
      <c r="O29" s="7">
        <f>IF($U29="","",IF(INDEX('Per Invoice'!O$2:O$401,$U29)="","",INDEX('Per Invoice'!O$2:O$401,$U29)))</f>
        <v/>
      </c>
      <c r="P29" s="7">
        <f>IF($U29="","",IF(INDEX('Per Invoice'!P$2:P$401,$U29)="","",INDEX('Per Invoice'!P$2:P$401,$U29)))</f>
        <v/>
      </c>
      <c r="Q29" s="7">
        <f>IF($U29="","",IF(INDEX('Per Invoice'!Q$2:Q$401,$U29)="","",INDEX('Per Invoice'!Q$2:Q$401,$U29)))</f>
        <v/>
      </c>
      <c r="R29" s="7">
        <f>IF($U29="","",IF(INDEX('Per Invoice'!R$2:R$401,$U29)="","",INDEX('Per Invoice'!R$2:R$401,$U29)))</f>
        <v/>
      </c>
      <c r="S29" s="7">
        <f>IF($U29="","",IF(INDEX('Per Invoice'!S$2:S$401,$U29)="","",INDEX('Per Invoice'!S$2:S$401,$U29)))</f>
        <v/>
      </c>
      <c r="T29" s="7">
        <f>IF($U29="","",IF(INDEX('Per Invoice'!T$2:T$401,$U29)="","",INDEX('Per Invoice'!T$2:T$401,$U29)))</f>
        <v/>
      </c>
      <c r="U29" s="16">
        <f>IFERROR(MATCH(Settings!$C$26&amp;"|"&amp;ROWS($U$2:$U29),'Per Invoice'!$V$2:$V$401,0),"")</f>
        <v/>
      </c>
    </row>
    <row r="30">
      <c r="A30">
        <f>IF($U30="","",IF(INDEX('Per Invoice'!A$2:A$401,$U30)="","",INDEX('Per Invoice'!A$2:A$401,$U30)))</f>
        <v/>
      </c>
      <c r="B30">
        <f>IF($U30="","",IF(INDEX('Per Invoice'!B$2:B$401,$U30)="","",INDEX('Per Invoice'!B$2:B$401,$U30)))</f>
        <v/>
      </c>
      <c r="C30">
        <f>IF($U30="","",IF(INDEX('Per Invoice'!C$2:C$401,$U30)="","",INDEX('Per Invoice'!C$2:C$401,$U30)))</f>
        <v/>
      </c>
      <c r="D30">
        <f>IF($U30="","",IF(INDEX('Per Invoice'!D$2:D$401,$U30)="","",INDEX('Per Invoice'!D$2:D$401,$U30)))</f>
        <v/>
      </c>
      <c r="E30">
        <f>IF($U30="","",IF(INDEX('Per Invoice'!E$2:E$401,$U30)="","",INDEX('Per Invoice'!E$2:E$401,$U30)))</f>
        <v/>
      </c>
      <c r="F30">
        <f>IF($U30="","",IF(INDEX('Per Invoice'!F$2:F$401,$U30)="","",INDEX('Per Invoice'!F$2:F$401,$U30)))</f>
        <v/>
      </c>
      <c r="G30">
        <f>IF($U30="","",IF(INDEX('Per Invoice'!G$2:G$401,$U30)="","",INDEX('Per Invoice'!G$2:G$401,$U30)))</f>
        <v/>
      </c>
      <c r="H30" s="7">
        <f>IF($U30="","",IF(INDEX('Per Invoice'!H$2:H$401,$U30)="","",INDEX('Per Invoice'!H$2:H$401,$U30)))</f>
        <v/>
      </c>
      <c r="I30" s="14">
        <f>IF($U30="","",IF(INDEX('Per Invoice'!I$2:I$401,$U30)="","",INDEX('Per Invoice'!I$2:I$401,$U30)))</f>
        <v/>
      </c>
      <c r="J30">
        <f>IF($U30="","",IF(INDEX('Per Invoice'!J$2:J$401,$U30)="","",INDEX('Per Invoice'!J$2:J$401,$U30)))</f>
        <v/>
      </c>
      <c r="K30">
        <f>IF($U30="","",IF(INDEX('Per Invoice'!K$2:K$401,$U30)="","",INDEX('Per Invoice'!K$2:K$401,$U30)))</f>
        <v/>
      </c>
      <c r="L30" s="7">
        <f>IF($U30="","",IF(INDEX('Per Invoice'!L$2:L$401,$U30)="","",INDEX('Per Invoice'!L$2:L$401,$U30)))</f>
        <v/>
      </c>
      <c r="M30" s="7">
        <f>IF($U30="","",IF(INDEX('Per Invoice'!M$2:M$401,$U30)="","",INDEX('Per Invoice'!M$2:M$401,$U30)))</f>
        <v/>
      </c>
      <c r="N30">
        <f>IF($U30="","",IF(INDEX('Per Invoice'!N$2:N$401,$U30)="","",INDEX('Per Invoice'!N$2:N$401,$U30)))</f>
        <v/>
      </c>
      <c r="O30" s="7">
        <f>IF($U30="","",IF(INDEX('Per Invoice'!O$2:O$401,$U30)="","",INDEX('Per Invoice'!O$2:O$401,$U30)))</f>
        <v/>
      </c>
      <c r="P30" s="7">
        <f>IF($U30="","",IF(INDEX('Per Invoice'!P$2:P$401,$U30)="","",INDEX('Per Invoice'!P$2:P$401,$U30)))</f>
        <v/>
      </c>
      <c r="Q30" s="7">
        <f>IF($U30="","",IF(INDEX('Per Invoice'!Q$2:Q$401,$U30)="","",INDEX('Per Invoice'!Q$2:Q$401,$U30)))</f>
        <v/>
      </c>
      <c r="R30" s="7">
        <f>IF($U30="","",IF(INDEX('Per Invoice'!R$2:R$401,$U30)="","",INDEX('Per Invoice'!R$2:R$401,$U30)))</f>
        <v/>
      </c>
      <c r="S30" s="7">
        <f>IF($U30="","",IF(INDEX('Per Invoice'!S$2:S$401,$U30)="","",INDEX('Per Invoice'!S$2:S$401,$U30)))</f>
        <v/>
      </c>
      <c r="T30" s="7">
        <f>IF($U30="","",IF(INDEX('Per Invoice'!T$2:T$401,$U30)="","",INDEX('Per Invoice'!T$2:T$401,$U30)))</f>
        <v/>
      </c>
      <c r="U30" s="16">
        <f>IFERROR(MATCH(Settings!$C$26&amp;"|"&amp;ROWS($U$2:$U30),'Per Invoice'!$V$2:$V$401,0),"")</f>
        <v/>
      </c>
    </row>
    <row r="31">
      <c r="A31">
        <f>IF($U31="","",IF(INDEX('Per Invoice'!A$2:A$401,$U31)="","",INDEX('Per Invoice'!A$2:A$401,$U31)))</f>
        <v/>
      </c>
      <c r="B31">
        <f>IF($U31="","",IF(INDEX('Per Invoice'!B$2:B$401,$U31)="","",INDEX('Per Invoice'!B$2:B$401,$U31)))</f>
        <v/>
      </c>
      <c r="C31">
        <f>IF($U31="","",IF(INDEX('Per Invoice'!C$2:C$401,$U31)="","",INDEX('Per Invoice'!C$2:C$401,$U31)))</f>
        <v/>
      </c>
      <c r="D31">
        <f>IF($U31="","",IF(INDEX('Per Invoice'!D$2:D$401,$U31)="","",INDEX('Per Invoice'!D$2:D$401,$U31)))</f>
        <v/>
      </c>
      <c r="E31">
        <f>IF($U31="","",IF(INDEX('Per Invoice'!E$2:E$401,$U31)="","",INDEX('Per Invoice'!E$2:E$401,$U31)))</f>
        <v/>
      </c>
      <c r="F31">
        <f>IF($U31="","",IF(INDEX('Per Invoice'!F$2:F$401,$U31)="","",INDEX('Per Invoice'!F$2:F$401,$U31)))</f>
        <v/>
      </c>
      <c r="G31">
        <f>IF($U31="","",IF(INDEX('Per Invoice'!G$2:G$401,$U31)="","",INDEX('Per Invoice'!G$2:G$401,$U31)))</f>
        <v/>
      </c>
      <c r="H31" s="7">
        <f>IF($U31="","",IF(INDEX('Per Invoice'!H$2:H$401,$U31)="","",INDEX('Per Invoice'!H$2:H$401,$U31)))</f>
        <v/>
      </c>
      <c r="I31" s="14">
        <f>IF($U31="","",IF(INDEX('Per Invoice'!I$2:I$401,$U31)="","",INDEX('Per Invoice'!I$2:I$401,$U31)))</f>
        <v/>
      </c>
      <c r="J31">
        <f>IF($U31="","",IF(INDEX('Per Invoice'!J$2:J$401,$U31)="","",INDEX('Per Invoice'!J$2:J$401,$U31)))</f>
        <v/>
      </c>
      <c r="K31">
        <f>IF($U31="","",IF(INDEX('Per Invoice'!K$2:K$401,$U31)="","",INDEX('Per Invoice'!K$2:K$401,$U31)))</f>
        <v/>
      </c>
      <c r="L31" s="7">
        <f>IF($U31="","",IF(INDEX('Per Invoice'!L$2:L$401,$U31)="","",INDEX('Per Invoice'!L$2:L$401,$U31)))</f>
        <v/>
      </c>
      <c r="M31" s="7">
        <f>IF($U31="","",IF(INDEX('Per Invoice'!M$2:M$401,$U31)="","",INDEX('Per Invoice'!M$2:M$401,$U31)))</f>
        <v/>
      </c>
      <c r="N31">
        <f>IF($U31="","",IF(INDEX('Per Invoice'!N$2:N$401,$U31)="","",INDEX('Per Invoice'!N$2:N$401,$U31)))</f>
        <v/>
      </c>
      <c r="O31" s="7">
        <f>IF($U31="","",IF(INDEX('Per Invoice'!O$2:O$401,$U31)="","",INDEX('Per Invoice'!O$2:O$401,$U31)))</f>
        <v/>
      </c>
      <c r="P31" s="7">
        <f>IF($U31="","",IF(INDEX('Per Invoice'!P$2:P$401,$U31)="","",INDEX('Per Invoice'!P$2:P$401,$U31)))</f>
        <v/>
      </c>
      <c r="Q31" s="7">
        <f>IF($U31="","",IF(INDEX('Per Invoice'!Q$2:Q$401,$U31)="","",INDEX('Per Invoice'!Q$2:Q$401,$U31)))</f>
        <v/>
      </c>
      <c r="R31" s="7">
        <f>IF($U31="","",IF(INDEX('Per Invoice'!R$2:R$401,$U31)="","",INDEX('Per Invoice'!R$2:R$401,$U31)))</f>
        <v/>
      </c>
      <c r="S31" s="7">
        <f>IF($U31="","",IF(INDEX('Per Invoice'!S$2:S$401,$U31)="","",INDEX('Per Invoice'!S$2:S$401,$U31)))</f>
        <v/>
      </c>
      <c r="T31" s="7">
        <f>IF($U31="","",IF(INDEX('Per Invoice'!T$2:T$401,$U31)="","",INDEX('Per Invoice'!T$2:T$401,$U31)))</f>
        <v/>
      </c>
      <c r="U31" s="16">
        <f>IFERROR(MATCH(Settings!$C$26&amp;"|"&amp;ROWS($U$2:$U31),'Per Invoice'!$V$2:$V$401,0),"")</f>
        <v/>
      </c>
    </row>
    <row r="32">
      <c r="A32">
        <f>IF($U32="","",IF(INDEX('Per Invoice'!A$2:A$401,$U32)="","",INDEX('Per Invoice'!A$2:A$401,$U32)))</f>
        <v/>
      </c>
      <c r="B32">
        <f>IF($U32="","",IF(INDEX('Per Invoice'!B$2:B$401,$U32)="","",INDEX('Per Invoice'!B$2:B$401,$U32)))</f>
        <v/>
      </c>
      <c r="C32">
        <f>IF($U32="","",IF(INDEX('Per Invoice'!C$2:C$401,$U32)="","",INDEX('Per Invoice'!C$2:C$401,$U32)))</f>
        <v/>
      </c>
      <c r="D32">
        <f>IF($U32="","",IF(INDEX('Per Invoice'!D$2:D$401,$U32)="","",INDEX('Per Invoice'!D$2:D$401,$U32)))</f>
        <v/>
      </c>
      <c r="E32">
        <f>IF($U32="","",IF(INDEX('Per Invoice'!E$2:E$401,$U32)="","",INDEX('Per Invoice'!E$2:E$401,$U32)))</f>
        <v/>
      </c>
      <c r="F32">
        <f>IF($U32="","",IF(INDEX('Per Invoice'!F$2:F$401,$U32)="","",INDEX('Per Invoice'!F$2:F$401,$U32)))</f>
        <v/>
      </c>
      <c r="G32">
        <f>IF($U32="","",IF(INDEX('Per Invoice'!G$2:G$401,$U32)="","",INDEX('Per Invoice'!G$2:G$401,$U32)))</f>
        <v/>
      </c>
      <c r="H32" s="7">
        <f>IF($U32="","",IF(INDEX('Per Invoice'!H$2:H$401,$U32)="","",INDEX('Per Invoice'!H$2:H$401,$U32)))</f>
        <v/>
      </c>
      <c r="I32" s="14">
        <f>IF($U32="","",IF(INDEX('Per Invoice'!I$2:I$401,$U32)="","",INDEX('Per Invoice'!I$2:I$401,$U32)))</f>
        <v/>
      </c>
      <c r="J32">
        <f>IF($U32="","",IF(INDEX('Per Invoice'!J$2:J$401,$U32)="","",INDEX('Per Invoice'!J$2:J$401,$U32)))</f>
        <v/>
      </c>
      <c r="K32">
        <f>IF($U32="","",IF(INDEX('Per Invoice'!K$2:K$401,$U32)="","",INDEX('Per Invoice'!K$2:K$401,$U32)))</f>
        <v/>
      </c>
      <c r="L32" s="7">
        <f>IF($U32="","",IF(INDEX('Per Invoice'!L$2:L$401,$U32)="","",INDEX('Per Invoice'!L$2:L$401,$U32)))</f>
        <v/>
      </c>
      <c r="M32" s="7">
        <f>IF($U32="","",IF(INDEX('Per Invoice'!M$2:M$401,$U32)="","",INDEX('Per Invoice'!M$2:M$401,$U32)))</f>
        <v/>
      </c>
      <c r="N32">
        <f>IF($U32="","",IF(INDEX('Per Invoice'!N$2:N$401,$U32)="","",INDEX('Per Invoice'!N$2:N$401,$U32)))</f>
        <v/>
      </c>
      <c r="O32" s="7">
        <f>IF($U32="","",IF(INDEX('Per Invoice'!O$2:O$401,$U32)="","",INDEX('Per Invoice'!O$2:O$401,$U32)))</f>
        <v/>
      </c>
      <c r="P32" s="7">
        <f>IF($U32="","",IF(INDEX('Per Invoice'!P$2:P$401,$U32)="","",INDEX('Per Invoice'!P$2:P$401,$U32)))</f>
        <v/>
      </c>
      <c r="Q32" s="7">
        <f>IF($U32="","",IF(INDEX('Per Invoice'!Q$2:Q$401,$U32)="","",INDEX('Per Invoice'!Q$2:Q$401,$U32)))</f>
        <v/>
      </c>
      <c r="R32" s="7">
        <f>IF($U32="","",IF(INDEX('Per Invoice'!R$2:R$401,$U32)="","",INDEX('Per Invoice'!R$2:R$401,$U32)))</f>
        <v/>
      </c>
      <c r="S32" s="7">
        <f>IF($U32="","",IF(INDEX('Per Invoice'!S$2:S$401,$U32)="","",INDEX('Per Invoice'!S$2:S$401,$U32)))</f>
        <v/>
      </c>
      <c r="T32" s="7">
        <f>IF($U32="","",IF(INDEX('Per Invoice'!T$2:T$401,$U32)="","",INDEX('Per Invoice'!T$2:T$401,$U32)))</f>
        <v/>
      </c>
      <c r="U32" s="16">
        <f>IFERROR(MATCH(Settings!$C$26&amp;"|"&amp;ROWS($U$2:$U32),'Per Invoice'!$V$2:$V$401,0),"")</f>
        <v/>
      </c>
    </row>
    <row r="33">
      <c r="A33">
        <f>IF($U33="","",IF(INDEX('Per Invoice'!A$2:A$401,$U33)="","",INDEX('Per Invoice'!A$2:A$401,$U33)))</f>
        <v/>
      </c>
      <c r="B33">
        <f>IF($U33="","",IF(INDEX('Per Invoice'!B$2:B$401,$U33)="","",INDEX('Per Invoice'!B$2:B$401,$U33)))</f>
        <v/>
      </c>
      <c r="C33">
        <f>IF($U33="","",IF(INDEX('Per Invoice'!C$2:C$401,$U33)="","",INDEX('Per Invoice'!C$2:C$401,$U33)))</f>
        <v/>
      </c>
      <c r="D33">
        <f>IF($U33="","",IF(INDEX('Per Invoice'!D$2:D$401,$U33)="","",INDEX('Per Invoice'!D$2:D$401,$U33)))</f>
        <v/>
      </c>
      <c r="E33">
        <f>IF($U33="","",IF(INDEX('Per Invoice'!E$2:E$401,$U33)="","",INDEX('Per Invoice'!E$2:E$401,$U33)))</f>
        <v/>
      </c>
      <c r="F33">
        <f>IF($U33="","",IF(INDEX('Per Invoice'!F$2:F$401,$U33)="","",INDEX('Per Invoice'!F$2:F$401,$U33)))</f>
        <v/>
      </c>
      <c r="G33">
        <f>IF($U33="","",IF(INDEX('Per Invoice'!G$2:G$401,$U33)="","",INDEX('Per Invoice'!G$2:G$401,$U33)))</f>
        <v/>
      </c>
      <c r="H33" s="7">
        <f>IF($U33="","",IF(INDEX('Per Invoice'!H$2:H$401,$U33)="","",INDEX('Per Invoice'!H$2:H$401,$U33)))</f>
        <v/>
      </c>
      <c r="I33" s="14">
        <f>IF($U33="","",IF(INDEX('Per Invoice'!I$2:I$401,$U33)="","",INDEX('Per Invoice'!I$2:I$401,$U33)))</f>
        <v/>
      </c>
      <c r="J33">
        <f>IF($U33="","",IF(INDEX('Per Invoice'!J$2:J$401,$U33)="","",INDEX('Per Invoice'!J$2:J$401,$U33)))</f>
        <v/>
      </c>
      <c r="K33">
        <f>IF($U33="","",IF(INDEX('Per Invoice'!K$2:K$401,$U33)="","",INDEX('Per Invoice'!K$2:K$401,$U33)))</f>
        <v/>
      </c>
      <c r="L33" s="7">
        <f>IF($U33="","",IF(INDEX('Per Invoice'!L$2:L$401,$U33)="","",INDEX('Per Invoice'!L$2:L$401,$U33)))</f>
        <v/>
      </c>
      <c r="M33" s="7">
        <f>IF($U33="","",IF(INDEX('Per Invoice'!M$2:M$401,$U33)="","",INDEX('Per Invoice'!M$2:M$401,$U33)))</f>
        <v/>
      </c>
      <c r="N33">
        <f>IF($U33="","",IF(INDEX('Per Invoice'!N$2:N$401,$U33)="","",INDEX('Per Invoice'!N$2:N$401,$U33)))</f>
        <v/>
      </c>
      <c r="O33" s="7">
        <f>IF($U33="","",IF(INDEX('Per Invoice'!O$2:O$401,$U33)="","",INDEX('Per Invoice'!O$2:O$401,$U33)))</f>
        <v/>
      </c>
      <c r="P33" s="7">
        <f>IF($U33="","",IF(INDEX('Per Invoice'!P$2:P$401,$U33)="","",INDEX('Per Invoice'!P$2:P$401,$U33)))</f>
        <v/>
      </c>
      <c r="Q33" s="7">
        <f>IF($U33="","",IF(INDEX('Per Invoice'!Q$2:Q$401,$U33)="","",INDEX('Per Invoice'!Q$2:Q$401,$U33)))</f>
        <v/>
      </c>
      <c r="R33" s="7">
        <f>IF($U33="","",IF(INDEX('Per Invoice'!R$2:R$401,$U33)="","",INDEX('Per Invoice'!R$2:R$401,$U33)))</f>
        <v/>
      </c>
      <c r="S33" s="7">
        <f>IF($U33="","",IF(INDEX('Per Invoice'!S$2:S$401,$U33)="","",INDEX('Per Invoice'!S$2:S$401,$U33)))</f>
        <v/>
      </c>
      <c r="T33" s="7">
        <f>IF($U33="","",IF(INDEX('Per Invoice'!T$2:T$401,$U33)="","",INDEX('Per Invoice'!T$2:T$401,$U33)))</f>
        <v/>
      </c>
      <c r="U33" s="16">
        <f>IFERROR(MATCH(Settings!$C$26&amp;"|"&amp;ROWS($U$2:$U33),'Per Invoice'!$V$2:$V$401,0),"")</f>
        <v/>
      </c>
    </row>
    <row r="34">
      <c r="A34">
        <f>IF($U34="","",IF(INDEX('Per Invoice'!A$2:A$401,$U34)="","",INDEX('Per Invoice'!A$2:A$401,$U34)))</f>
        <v/>
      </c>
      <c r="B34">
        <f>IF($U34="","",IF(INDEX('Per Invoice'!B$2:B$401,$U34)="","",INDEX('Per Invoice'!B$2:B$401,$U34)))</f>
        <v/>
      </c>
      <c r="C34">
        <f>IF($U34="","",IF(INDEX('Per Invoice'!C$2:C$401,$U34)="","",INDEX('Per Invoice'!C$2:C$401,$U34)))</f>
        <v/>
      </c>
      <c r="D34">
        <f>IF($U34="","",IF(INDEX('Per Invoice'!D$2:D$401,$U34)="","",INDEX('Per Invoice'!D$2:D$401,$U34)))</f>
        <v/>
      </c>
      <c r="E34">
        <f>IF($U34="","",IF(INDEX('Per Invoice'!E$2:E$401,$U34)="","",INDEX('Per Invoice'!E$2:E$401,$U34)))</f>
        <v/>
      </c>
      <c r="F34">
        <f>IF($U34="","",IF(INDEX('Per Invoice'!F$2:F$401,$U34)="","",INDEX('Per Invoice'!F$2:F$401,$U34)))</f>
        <v/>
      </c>
      <c r="G34">
        <f>IF($U34="","",IF(INDEX('Per Invoice'!G$2:G$401,$U34)="","",INDEX('Per Invoice'!G$2:G$401,$U34)))</f>
        <v/>
      </c>
      <c r="H34" s="7">
        <f>IF($U34="","",IF(INDEX('Per Invoice'!H$2:H$401,$U34)="","",INDEX('Per Invoice'!H$2:H$401,$U34)))</f>
        <v/>
      </c>
      <c r="I34" s="14">
        <f>IF($U34="","",IF(INDEX('Per Invoice'!I$2:I$401,$U34)="","",INDEX('Per Invoice'!I$2:I$401,$U34)))</f>
        <v/>
      </c>
      <c r="J34">
        <f>IF($U34="","",IF(INDEX('Per Invoice'!J$2:J$401,$U34)="","",INDEX('Per Invoice'!J$2:J$401,$U34)))</f>
        <v/>
      </c>
      <c r="K34">
        <f>IF($U34="","",IF(INDEX('Per Invoice'!K$2:K$401,$U34)="","",INDEX('Per Invoice'!K$2:K$401,$U34)))</f>
        <v/>
      </c>
      <c r="L34" s="7">
        <f>IF($U34="","",IF(INDEX('Per Invoice'!L$2:L$401,$U34)="","",INDEX('Per Invoice'!L$2:L$401,$U34)))</f>
        <v/>
      </c>
      <c r="M34" s="7">
        <f>IF($U34="","",IF(INDEX('Per Invoice'!M$2:M$401,$U34)="","",INDEX('Per Invoice'!M$2:M$401,$U34)))</f>
        <v/>
      </c>
      <c r="N34">
        <f>IF($U34="","",IF(INDEX('Per Invoice'!N$2:N$401,$U34)="","",INDEX('Per Invoice'!N$2:N$401,$U34)))</f>
        <v/>
      </c>
      <c r="O34" s="7">
        <f>IF($U34="","",IF(INDEX('Per Invoice'!O$2:O$401,$U34)="","",INDEX('Per Invoice'!O$2:O$401,$U34)))</f>
        <v/>
      </c>
      <c r="P34" s="7">
        <f>IF($U34="","",IF(INDEX('Per Invoice'!P$2:P$401,$U34)="","",INDEX('Per Invoice'!P$2:P$401,$U34)))</f>
        <v/>
      </c>
      <c r="Q34" s="7">
        <f>IF($U34="","",IF(INDEX('Per Invoice'!Q$2:Q$401,$U34)="","",INDEX('Per Invoice'!Q$2:Q$401,$U34)))</f>
        <v/>
      </c>
      <c r="R34" s="7">
        <f>IF($U34="","",IF(INDEX('Per Invoice'!R$2:R$401,$U34)="","",INDEX('Per Invoice'!R$2:R$401,$U34)))</f>
        <v/>
      </c>
      <c r="S34" s="7">
        <f>IF($U34="","",IF(INDEX('Per Invoice'!S$2:S$401,$U34)="","",INDEX('Per Invoice'!S$2:S$401,$U34)))</f>
        <v/>
      </c>
      <c r="T34" s="7">
        <f>IF($U34="","",IF(INDEX('Per Invoice'!T$2:T$401,$U34)="","",INDEX('Per Invoice'!T$2:T$401,$U34)))</f>
        <v/>
      </c>
      <c r="U34" s="16">
        <f>IFERROR(MATCH(Settings!$C$26&amp;"|"&amp;ROWS($U$2:$U34),'Per Invoice'!$V$2:$V$401,0),"")</f>
        <v/>
      </c>
    </row>
    <row r="35">
      <c r="A35">
        <f>IF($U35="","",IF(INDEX('Per Invoice'!A$2:A$401,$U35)="","",INDEX('Per Invoice'!A$2:A$401,$U35)))</f>
        <v/>
      </c>
      <c r="B35">
        <f>IF($U35="","",IF(INDEX('Per Invoice'!B$2:B$401,$U35)="","",INDEX('Per Invoice'!B$2:B$401,$U35)))</f>
        <v/>
      </c>
      <c r="C35">
        <f>IF($U35="","",IF(INDEX('Per Invoice'!C$2:C$401,$U35)="","",INDEX('Per Invoice'!C$2:C$401,$U35)))</f>
        <v/>
      </c>
      <c r="D35">
        <f>IF($U35="","",IF(INDEX('Per Invoice'!D$2:D$401,$U35)="","",INDEX('Per Invoice'!D$2:D$401,$U35)))</f>
        <v/>
      </c>
      <c r="E35">
        <f>IF($U35="","",IF(INDEX('Per Invoice'!E$2:E$401,$U35)="","",INDEX('Per Invoice'!E$2:E$401,$U35)))</f>
        <v/>
      </c>
      <c r="F35">
        <f>IF($U35="","",IF(INDEX('Per Invoice'!F$2:F$401,$U35)="","",INDEX('Per Invoice'!F$2:F$401,$U35)))</f>
        <v/>
      </c>
      <c r="G35">
        <f>IF($U35="","",IF(INDEX('Per Invoice'!G$2:G$401,$U35)="","",INDEX('Per Invoice'!G$2:G$401,$U35)))</f>
        <v/>
      </c>
      <c r="H35" s="7">
        <f>IF($U35="","",IF(INDEX('Per Invoice'!H$2:H$401,$U35)="","",INDEX('Per Invoice'!H$2:H$401,$U35)))</f>
        <v/>
      </c>
      <c r="I35" s="14">
        <f>IF($U35="","",IF(INDEX('Per Invoice'!I$2:I$401,$U35)="","",INDEX('Per Invoice'!I$2:I$401,$U35)))</f>
        <v/>
      </c>
      <c r="J35">
        <f>IF($U35="","",IF(INDEX('Per Invoice'!J$2:J$401,$U35)="","",INDEX('Per Invoice'!J$2:J$401,$U35)))</f>
        <v/>
      </c>
      <c r="K35">
        <f>IF($U35="","",IF(INDEX('Per Invoice'!K$2:K$401,$U35)="","",INDEX('Per Invoice'!K$2:K$401,$U35)))</f>
        <v/>
      </c>
      <c r="L35" s="7">
        <f>IF($U35="","",IF(INDEX('Per Invoice'!L$2:L$401,$U35)="","",INDEX('Per Invoice'!L$2:L$401,$U35)))</f>
        <v/>
      </c>
      <c r="M35" s="7">
        <f>IF($U35="","",IF(INDEX('Per Invoice'!M$2:M$401,$U35)="","",INDEX('Per Invoice'!M$2:M$401,$U35)))</f>
        <v/>
      </c>
      <c r="N35">
        <f>IF($U35="","",IF(INDEX('Per Invoice'!N$2:N$401,$U35)="","",INDEX('Per Invoice'!N$2:N$401,$U35)))</f>
        <v/>
      </c>
      <c r="O35" s="7">
        <f>IF($U35="","",IF(INDEX('Per Invoice'!O$2:O$401,$U35)="","",INDEX('Per Invoice'!O$2:O$401,$U35)))</f>
        <v/>
      </c>
      <c r="P35" s="7">
        <f>IF($U35="","",IF(INDEX('Per Invoice'!P$2:P$401,$U35)="","",INDEX('Per Invoice'!P$2:P$401,$U35)))</f>
        <v/>
      </c>
      <c r="Q35" s="7">
        <f>IF($U35="","",IF(INDEX('Per Invoice'!Q$2:Q$401,$U35)="","",INDEX('Per Invoice'!Q$2:Q$401,$U35)))</f>
        <v/>
      </c>
      <c r="R35" s="7">
        <f>IF($U35="","",IF(INDEX('Per Invoice'!R$2:R$401,$U35)="","",INDEX('Per Invoice'!R$2:R$401,$U35)))</f>
        <v/>
      </c>
      <c r="S35" s="7">
        <f>IF($U35="","",IF(INDEX('Per Invoice'!S$2:S$401,$U35)="","",INDEX('Per Invoice'!S$2:S$401,$U35)))</f>
        <v/>
      </c>
      <c r="T35" s="7">
        <f>IF($U35="","",IF(INDEX('Per Invoice'!T$2:T$401,$U35)="","",INDEX('Per Invoice'!T$2:T$401,$U35)))</f>
        <v/>
      </c>
      <c r="U35" s="16">
        <f>IFERROR(MATCH(Settings!$C$26&amp;"|"&amp;ROWS($U$2:$U35),'Per Invoice'!$V$2:$V$401,0),"")</f>
        <v/>
      </c>
    </row>
    <row r="36">
      <c r="A36">
        <f>IF($U36="","",IF(INDEX('Per Invoice'!A$2:A$401,$U36)="","",INDEX('Per Invoice'!A$2:A$401,$U36)))</f>
        <v/>
      </c>
      <c r="B36">
        <f>IF($U36="","",IF(INDEX('Per Invoice'!B$2:B$401,$U36)="","",INDEX('Per Invoice'!B$2:B$401,$U36)))</f>
        <v/>
      </c>
      <c r="C36">
        <f>IF($U36="","",IF(INDEX('Per Invoice'!C$2:C$401,$U36)="","",INDEX('Per Invoice'!C$2:C$401,$U36)))</f>
        <v/>
      </c>
      <c r="D36">
        <f>IF($U36="","",IF(INDEX('Per Invoice'!D$2:D$401,$U36)="","",INDEX('Per Invoice'!D$2:D$401,$U36)))</f>
        <v/>
      </c>
      <c r="E36">
        <f>IF($U36="","",IF(INDEX('Per Invoice'!E$2:E$401,$U36)="","",INDEX('Per Invoice'!E$2:E$401,$U36)))</f>
        <v/>
      </c>
      <c r="F36">
        <f>IF($U36="","",IF(INDEX('Per Invoice'!F$2:F$401,$U36)="","",INDEX('Per Invoice'!F$2:F$401,$U36)))</f>
        <v/>
      </c>
      <c r="G36">
        <f>IF($U36="","",IF(INDEX('Per Invoice'!G$2:G$401,$U36)="","",INDEX('Per Invoice'!G$2:G$401,$U36)))</f>
        <v/>
      </c>
      <c r="H36" s="7">
        <f>IF($U36="","",IF(INDEX('Per Invoice'!H$2:H$401,$U36)="","",INDEX('Per Invoice'!H$2:H$401,$U36)))</f>
        <v/>
      </c>
      <c r="I36" s="14">
        <f>IF($U36="","",IF(INDEX('Per Invoice'!I$2:I$401,$U36)="","",INDEX('Per Invoice'!I$2:I$401,$U36)))</f>
        <v/>
      </c>
      <c r="J36">
        <f>IF($U36="","",IF(INDEX('Per Invoice'!J$2:J$401,$U36)="","",INDEX('Per Invoice'!J$2:J$401,$U36)))</f>
        <v/>
      </c>
      <c r="K36">
        <f>IF($U36="","",IF(INDEX('Per Invoice'!K$2:K$401,$U36)="","",INDEX('Per Invoice'!K$2:K$401,$U36)))</f>
        <v/>
      </c>
      <c r="L36" s="7">
        <f>IF($U36="","",IF(INDEX('Per Invoice'!L$2:L$401,$U36)="","",INDEX('Per Invoice'!L$2:L$401,$U36)))</f>
        <v/>
      </c>
      <c r="M36" s="7">
        <f>IF($U36="","",IF(INDEX('Per Invoice'!M$2:M$401,$U36)="","",INDEX('Per Invoice'!M$2:M$401,$U36)))</f>
        <v/>
      </c>
      <c r="N36">
        <f>IF($U36="","",IF(INDEX('Per Invoice'!N$2:N$401,$U36)="","",INDEX('Per Invoice'!N$2:N$401,$U36)))</f>
        <v/>
      </c>
      <c r="O36" s="7">
        <f>IF($U36="","",IF(INDEX('Per Invoice'!O$2:O$401,$U36)="","",INDEX('Per Invoice'!O$2:O$401,$U36)))</f>
        <v/>
      </c>
      <c r="P36" s="7">
        <f>IF($U36="","",IF(INDEX('Per Invoice'!P$2:P$401,$U36)="","",INDEX('Per Invoice'!P$2:P$401,$U36)))</f>
        <v/>
      </c>
      <c r="Q36" s="7">
        <f>IF($U36="","",IF(INDEX('Per Invoice'!Q$2:Q$401,$U36)="","",INDEX('Per Invoice'!Q$2:Q$401,$U36)))</f>
        <v/>
      </c>
      <c r="R36" s="7">
        <f>IF($U36="","",IF(INDEX('Per Invoice'!R$2:R$401,$U36)="","",INDEX('Per Invoice'!R$2:R$401,$U36)))</f>
        <v/>
      </c>
      <c r="S36" s="7">
        <f>IF($U36="","",IF(INDEX('Per Invoice'!S$2:S$401,$U36)="","",INDEX('Per Invoice'!S$2:S$401,$U36)))</f>
        <v/>
      </c>
      <c r="T36" s="7">
        <f>IF($U36="","",IF(INDEX('Per Invoice'!T$2:T$401,$U36)="","",INDEX('Per Invoice'!T$2:T$401,$U36)))</f>
        <v/>
      </c>
      <c r="U36" s="16">
        <f>IFERROR(MATCH(Settings!$C$26&amp;"|"&amp;ROWS($U$2:$U36),'Per Invoice'!$V$2:$V$401,0),"")</f>
        <v/>
      </c>
    </row>
    <row r="37">
      <c r="A37">
        <f>IF($U37="","",IF(INDEX('Per Invoice'!A$2:A$401,$U37)="","",INDEX('Per Invoice'!A$2:A$401,$U37)))</f>
        <v/>
      </c>
      <c r="B37">
        <f>IF($U37="","",IF(INDEX('Per Invoice'!B$2:B$401,$U37)="","",INDEX('Per Invoice'!B$2:B$401,$U37)))</f>
        <v/>
      </c>
      <c r="C37">
        <f>IF($U37="","",IF(INDEX('Per Invoice'!C$2:C$401,$U37)="","",INDEX('Per Invoice'!C$2:C$401,$U37)))</f>
        <v/>
      </c>
      <c r="D37">
        <f>IF($U37="","",IF(INDEX('Per Invoice'!D$2:D$401,$U37)="","",INDEX('Per Invoice'!D$2:D$401,$U37)))</f>
        <v/>
      </c>
      <c r="E37">
        <f>IF($U37="","",IF(INDEX('Per Invoice'!E$2:E$401,$U37)="","",INDEX('Per Invoice'!E$2:E$401,$U37)))</f>
        <v/>
      </c>
      <c r="F37">
        <f>IF($U37="","",IF(INDEX('Per Invoice'!F$2:F$401,$U37)="","",INDEX('Per Invoice'!F$2:F$401,$U37)))</f>
        <v/>
      </c>
      <c r="G37">
        <f>IF($U37="","",IF(INDEX('Per Invoice'!G$2:G$401,$U37)="","",INDEX('Per Invoice'!G$2:G$401,$U37)))</f>
        <v/>
      </c>
      <c r="H37" s="7">
        <f>IF($U37="","",IF(INDEX('Per Invoice'!H$2:H$401,$U37)="","",INDEX('Per Invoice'!H$2:H$401,$U37)))</f>
        <v/>
      </c>
      <c r="I37" s="14">
        <f>IF($U37="","",IF(INDEX('Per Invoice'!I$2:I$401,$U37)="","",INDEX('Per Invoice'!I$2:I$401,$U37)))</f>
        <v/>
      </c>
      <c r="J37">
        <f>IF($U37="","",IF(INDEX('Per Invoice'!J$2:J$401,$U37)="","",INDEX('Per Invoice'!J$2:J$401,$U37)))</f>
        <v/>
      </c>
      <c r="K37">
        <f>IF($U37="","",IF(INDEX('Per Invoice'!K$2:K$401,$U37)="","",INDEX('Per Invoice'!K$2:K$401,$U37)))</f>
        <v/>
      </c>
      <c r="L37" s="7">
        <f>IF($U37="","",IF(INDEX('Per Invoice'!L$2:L$401,$U37)="","",INDEX('Per Invoice'!L$2:L$401,$U37)))</f>
        <v/>
      </c>
      <c r="M37" s="7">
        <f>IF($U37="","",IF(INDEX('Per Invoice'!M$2:M$401,$U37)="","",INDEX('Per Invoice'!M$2:M$401,$U37)))</f>
        <v/>
      </c>
      <c r="N37">
        <f>IF($U37="","",IF(INDEX('Per Invoice'!N$2:N$401,$U37)="","",INDEX('Per Invoice'!N$2:N$401,$U37)))</f>
        <v/>
      </c>
      <c r="O37" s="7">
        <f>IF($U37="","",IF(INDEX('Per Invoice'!O$2:O$401,$U37)="","",INDEX('Per Invoice'!O$2:O$401,$U37)))</f>
        <v/>
      </c>
      <c r="P37" s="7">
        <f>IF($U37="","",IF(INDEX('Per Invoice'!P$2:P$401,$U37)="","",INDEX('Per Invoice'!P$2:P$401,$U37)))</f>
        <v/>
      </c>
      <c r="Q37" s="7">
        <f>IF($U37="","",IF(INDEX('Per Invoice'!Q$2:Q$401,$U37)="","",INDEX('Per Invoice'!Q$2:Q$401,$U37)))</f>
        <v/>
      </c>
      <c r="R37" s="7">
        <f>IF($U37="","",IF(INDEX('Per Invoice'!R$2:R$401,$U37)="","",INDEX('Per Invoice'!R$2:R$401,$U37)))</f>
        <v/>
      </c>
      <c r="S37" s="7">
        <f>IF($U37="","",IF(INDEX('Per Invoice'!S$2:S$401,$U37)="","",INDEX('Per Invoice'!S$2:S$401,$U37)))</f>
        <v/>
      </c>
      <c r="T37" s="7">
        <f>IF($U37="","",IF(INDEX('Per Invoice'!T$2:T$401,$U37)="","",INDEX('Per Invoice'!T$2:T$401,$U37)))</f>
        <v/>
      </c>
      <c r="U37" s="16">
        <f>IFERROR(MATCH(Settings!$C$26&amp;"|"&amp;ROWS($U$2:$U37),'Per Invoice'!$V$2:$V$401,0),"")</f>
        <v/>
      </c>
    </row>
    <row r="38">
      <c r="A38">
        <f>IF($U38="","",IF(INDEX('Per Invoice'!A$2:A$401,$U38)="","",INDEX('Per Invoice'!A$2:A$401,$U38)))</f>
        <v/>
      </c>
      <c r="B38">
        <f>IF($U38="","",IF(INDEX('Per Invoice'!B$2:B$401,$U38)="","",INDEX('Per Invoice'!B$2:B$401,$U38)))</f>
        <v/>
      </c>
      <c r="C38">
        <f>IF($U38="","",IF(INDEX('Per Invoice'!C$2:C$401,$U38)="","",INDEX('Per Invoice'!C$2:C$401,$U38)))</f>
        <v/>
      </c>
      <c r="D38">
        <f>IF($U38="","",IF(INDEX('Per Invoice'!D$2:D$401,$U38)="","",INDEX('Per Invoice'!D$2:D$401,$U38)))</f>
        <v/>
      </c>
      <c r="E38">
        <f>IF($U38="","",IF(INDEX('Per Invoice'!E$2:E$401,$U38)="","",INDEX('Per Invoice'!E$2:E$401,$U38)))</f>
        <v/>
      </c>
      <c r="F38">
        <f>IF($U38="","",IF(INDEX('Per Invoice'!F$2:F$401,$U38)="","",INDEX('Per Invoice'!F$2:F$401,$U38)))</f>
        <v/>
      </c>
      <c r="G38">
        <f>IF($U38="","",IF(INDEX('Per Invoice'!G$2:G$401,$U38)="","",INDEX('Per Invoice'!G$2:G$401,$U38)))</f>
        <v/>
      </c>
      <c r="H38" s="7">
        <f>IF($U38="","",IF(INDEX('Per Invoice'!H$2:H$401,$U38)="","",INDEX('Per Invoice'!H$2:H$401,$U38)))</f>
        <v/>
      </c>
      <c r="I38" s="14">
        <f>IF($U38="","",IF(INDEX('Per Invoice'!I$2:I$401,$U38)="","",INDEX('Per Invoice'!I$2:I$401,$U38)))</f>
        <v/>
      </c>
      <c r="J38">
        <f>IF($U38="","",IF(INDEX('Per Invoice'!J$2:J$401,$U38)="","",INDEX('Per Invoice'!J$2:J$401,$U38)))</f>
        <v/>
      </c>
      <c r="K38">
        <f>IF($U38="","",IF(INDEX('Per Invoice'!K$2:K$401,$U38)="","",INDEX('Per Invoice'!K$2:K$401,$U38)))</f>
        <v/>
      </c>
      <c r="L38" s="7">
        <f>IF($U38="","",IF(INDEX('Per Invoice'!L$2:L$401,$U38)="","",INDEX('Per Invoice'!L$2:L$401,$U38)))</f>
        <v/>
      </c>
      <c r="M38" s="7">
        <f>IF($U38="","",IF(INDEX('Per Invoice'!M$2:M$401,$U38)="","",INDEX('Per Invoice'!M$2:M$401,$U38)))</f>
        <v/>
      </c>
      <c r="N38">
        <f>IF($U38="","",IF(INDEX('Per Invoice'!N$2:N$401,$U38)="","",INDEX('Per Invoice'!N$2:N$401,$U38)))</f>
        <v/>
      </c>
      <c r="O38" s="7">
        <f>IF($U38="","",IF(INDEX('Per Invoice'!O$2:O$401,$U38)="","",INDEX('Per Invoice'!O$2:O$401,$U38)))</f>
        <v/>
      </c>
      <c r="P38" s="7">
        <f>IF($U38="","",IF(INDEX('Per Invoice'!P$2:P$401,$U38)="","",INDEX('Per Invoice'!P$2:P$401,$U38)))</f>
        <v/>
      </c>
      <c r="Q38" s="7">
        <f>IF($U38="","",IF(INDEX('Per Invoice'!Q$2:Q$401,$U38)="","",INDEX('Per Invoice'!Q$2:Q$401,$U38)))</f>
        <v/>
      </c>
      <c r="R38" s="7">
        <f>IF($U38="","",IF(INDEX('Per Invoice'!R$2:R$401,$U38)="","",INDEX('Per Invoice'!R$2:R$401,$U38)))</f>
        <v/>
      </c>
      <c r="S38" s="7">
        <f>IF($U38="","",IF(INDEX('Per Invoice'!S$2:S$401,$U38)="","",INDEX('Per Invoice'!S$2:S$401,$U38)))</f>
        <v/>
      </c>
      <c r="T38" s="7">
        <f>IF($U38="","",IF(INDEX('Per Invoice'!T$2:T$401,$U38)="","",INDEX('Per Invoice'!T$2:T$401,$U38)))</f>
        <v/>
      </c>
      <c r="U38" s="16">
        <f>IFERROR(MATCH(Settings!$C$26&amp;"|"&amp;ROWS($U$2:$U38),'Per Invoice'!$V$2:$V$401,0),"")</f>
        <v/>
      </c>
    </row>
    <row r="39">
      <c r="A39">
        <f>IF($U39="","",IF(INDEX('Per Invoice'!A$2:A$401,$U39)="","",INDEX('Per Invoice'!A$2:A$401,$U39)))</f>
        <v/>
      </c>
      <c r="B39">
        <f>IF($U39="","",IF(INDEX('Per Invoice'!B$2:B$401,$U39)="","",INDEX('Per Invoice'!B$2:B$401,$U39)))</f>
        <v/>
      </c>
      <c r="C39">
        <f>IF($U39="","",IF(INDEX('Per Invoice'!C$2:C$401,$U39)="","",INDEX('Per Invoice'!C$2:C$401,$U39)))</f>
        <v/>
      </c>
      <c r="D39">
        <f>IF($U39="","",IF(INDEX('Per Invoice'!D$2:D$401,$U39)="","",INDEX('Per Invoice'!D$2:D$401,$U39)))</f>
        <v/>
      </c>
      <c r="E39">
        <f>IF($U39="","",IF(INDEX('Per Invoice'!E$2:E$401,$U39)="","",INDEX('Per Invoice'!E$2:E$401,$U39)))</f>
        <v/>
      </c>
      <c r="F39">
        <f>IF($U39="","",IF(INDEX('Per Invoice'!F$2:F$401,$U39)="","",INDEX('Per Invoice'!F$2:F$401,$U39)))</f>
        <v/>
      </c>
      <c r="G39">
        <f>IF($U39="","",IF(INDEX('Per Invoice'!G$2:G$401,$U39)="","",INDEX('Per Invoice'!G$2:G$401,$U39)))</f>
        <v/>
      </c>
      <c r="H39" s="7">
        <f>IF($U39="","",IF(INDEX('Per Invoice'!H$2:H$401,$U39)="","",INDEX('Per Invoice'!H$2:H$401,$U39)))</f>
        <v/>
      </c>
      <c r="I39" s="14">
        <f>IF($U39="","",IF(INDEX('Per Invoice'!I$2:I$401,$U39)="","",INDEX('Per Invoice'!I$2:I$401,$U39)))</f>
        <v/>
      </c>
      <c r="J39">
        <f>IF($U39="","",IF(INDEX('Per Invoice'!J$2:J$401,$U39)="","",INDEX('Per Invoice'!J$2:J$401,$U39)))</f>
        <v/>
      </c>
      <c r="K39">
        <f>IF($U39="","",IF(INDEX('Per Invoice'!K$2:K$401,$U39)="","",INDEX('Per Invoice'!K$2:K$401,$U39)))</f>
        <v/>
      </c>
      <c r="L39" s="7">
        <f>IF($U39="","",IF(INDEX('Per Invoice'!L$2:L$401,$U39)="","",INDEX('Per Invoice'!L$2:L$401,$U39)))</f>
        <v/>
      </c>
      <c r="M39" s="7">
        <f>IF($U39="","",IF(INDEX('Per Invoice'!M$2:M$401,$U39)="","",INDEX('Per Invoice'!M$2:M$401,$U39)))</f>
        <v/>
      </c>
      <c r="N39">
        <f>IF($U39="","",IF(INDEX('Per Invoice'!N$2:N$401,$U39)="","",INDEX('Per Invoice'!N$2:N$401,$U39)))</f>
        <v/>
      </c>
      <c r="O39" s="7">
        <f>IF($U39="","",IF(INDEX('Per Invoice'!O$2:O$401,$U39)="","",INDEX('Per Invoice'!O$2:O$401,$U39)))</f>
        <v/>
      </c>
      <c r="P39" s="7">
        <f>IF($U39="","",IF(INDEX('Per Invoice'!P$2:P$401,$U39)="","",INDEX('Per Invoice'!P$2:P$401,$U39)))</f>
        <v/>
      </c>
      <c r="Q39" s="7">
        <f>IF($U39="","",IF(INDEX('Per Invoice'!Q$2:Q$401,$U39)="","",INDEX('Per Invoice'!Q$2:Q$401,$U39)))</f>
        <v/>
      </c>
      <c r="R39" s="7">
        <f>IF($U39="","",IF(INDEX('Per Invoice'!R$2:R$401,$U39)="","",INDEX('Per Invoice'!R$2:R$401,$U39)))</f>
        <v/>
      </c>
      <c r="S39" s="7">
        <f>IF($U39="","",IF(INDEX('Per Invoice'!S$2:S$401,$U39)="","",INDEX('Per Invoice'!S$2:S$401,$U39)))</f>
        <v/>
      </c>
      <c r="T39" s="7">
        <f>IF($U39="","",IF(INDEX('Per Invoice'!T$2:T$401,$U39)="","",INDEX('Per Invoice'!T$2:T$401,$U39)))</f>
        <v/>
      </c>
      <c r="U39" s="16">
        <f>IFERROR(MATCH(Settings!$C$26&amp;"|"&amp;ROWS($U$2:$U39),'Per Invoice'!$V$2:$V$401,0),"")</f>
        <v/>
      </c>
    </row>
    <row r="40">
      <c r="A40">
        <f>IF($U40="","",IF(INDEX('Per Invoice'!A$2:A$401,$U40)="","",INDEX('Per Invoice'!A$2:A$401,$U40)))</f>
        <v/>
      </c>
      <c r="B40">
        <f>IF($U40="","",IF(INDEX('Per Invoice'!B$2:B$401,$U40)="","",INDEX('Per Invoice'!B$2:B$401,$U40)))</f>
        <v/>
      </c>
      <c r="C40">
        <f>IF($U40="","",IF(INDEX('Per Invoice'!C$2:C$401,$U40)="","",INDEX('Per Invoice'!C$2:C$401,$U40)))</f>
        <v/>
      </c>
      <c r="D40">
        <f>IF($U40="","",IF(INDEX('Per Invoice'!D$2:D$401,$U40)="","",INDEX('Per Invoice'!D$2:D$401,$U40)))</f>
        <v/>
      </c>
      <c r="E40">
        <f>IF($U40="","",IF(INDEX('Per Invoice'!E$2:E$401,$U40)="","",INDEX('Per Invoice'!E$2:E$401,$U40)))</f>
        <v/>
      </c>
      <c r="F40">
        <f>IF($U40="","",IF(INDEX('Per Invoice'!F$2:F$401,$U40)="","",INDEX('Per Invoice'!F$2:F$401,$U40)))</f>
        <v/>
      </c>
      <c r="G40">
        <f>IF($U40="","",IF(INDEX('Per Invoice'!G$2:G$401,$U40)="","",INDEX('Per Invoice'!G$2:G$401,$U40)))</f>
        <v/>
      </c>
      <c r="H40" s="7">
        <f>IF($U40="","",IF(INDEX('Per Invoice'!H$2:H$401,$U40)="","",INDEX('Per Invoice'!H$2:H$401,$U40)))</f>
        <v/>
      </c>
      <c r="I40" s="14">
        <f>IF($U40="","",IF(INDEX('Per Invoice'!I$2:I$401,$U40)="","",INDEX('Per Invoice'!I$2:I$401,$U40)))</f>
        <v/>
      </c>
      <c r="J40">
        <f>IF($U40="","",IF(INDEX('Per Invoice'!J$2:J$401,$U40)="","",INDEX('Per Invoice'!J$2:J$401,$U40)))</f>
        <v/>
      </c>
      <c r="K40">
        <f>IF($U40="","",IF(INDEX('Per Invoice'!K$2:K$401,$U40)="","",INDEX('Per Invoice'!K$2:K$401,$U40)))</f>
        <v/>
      </c>
      <c r="L40" s="7">
        <f>IF($U40="","",IF(INDEX('Per Invoice'!L$2:L$401,$U40)="","",INDEX('Per Invoice'!L$2:L$401,$U40)))</f>
        <v/>
      </c>
      <c r="M40" s="7">
        <f>IF($U40="","",IF(INDEX('Per Invoice'!M$2:M$401,$U40)="","",INDEX('Per Invoice'!M$2:M$401,$U40)))</f>
        <v/>
      </c>
      <c r="N40">
        <f>IF($U40="","",IF(INDEX('Per Invoice'!N$2:N$401,$U40)="","",INDEX('Per Invoice'!N$2:N$401,$U40)))</f>
        <v/>
      </c>
      <c r="O40" s="7">
        <f>IF($U40="","",IF(INDEX('Per Invoice'!O$2:O$401,$U40)="","",INDEX('Per Invoice'!O$2:O$401,$U40)))</f>
        <v/>
      </c>
      <c r="P40" s="7">
        <f>IF($U40="","",IF(INDEX('Per Invoice'!P$2:P$401,$U40)="","",INDEX('Per Invoice'!P$2:P$401,$U40)))</f>
        <v/>
      </c>
      <c r="Q40" s="7">
        <f>IF($U40="","",IF(INDEX('Per Invoice'!Q$2:Q$401,$U40)="","",INDEX('Per Invoice'!Q$2:Q$401,$U40)))</f>
        <v/>
      </c>
      <c r="R40" s="7">
        <f>IF($U40="","",IF(INDEX('Per Invoice'!R$2:R$401,$U40)="","",INDEX('Per Invoice'!R$2:R$401,$U40)))</f>
        <v/>
      </c>
      <c r="S40" s="7">
        <f>IF($U40="","",IF(INDEX('Per Invoice'!S$2:S$401,$U40)="","",INDEX('Per Invoice'!S$2:S$401,$U40)))</f>
        <v/>
      </c>
      <c r="T40" s="7">
        <f>IF($U40="","",IF(INDEX('Per Invoice'!T$2:T$401,$U40)="","",INDEX('Per Invoice'!T$2:T$401,$U40)))</f>
        <v/>
      </c>
      <c r="U40" s="16">
        <f>IFERROR(MATCH(Settings!$C$26&amp;"|"&amp;ROWS($U$2:$U40),'Per Invoice'!$V$2:$V$401,0),"")</f>
        <v/>
      </c>
    </row>
    <row r="41">
      <c r="A41">
        <f>IF($U41="","",IF(INDEX('Per Invoice'!A$2:A$401,$U41)="","",INDEX('Per Invoice'!A$2:A$401,$U41)))</f>
        <v/>
      </c>
      <c r="B41">
        <f>IF($U41="","",IF(INDEX('Per Invoice'!B$2:B$401,$U41)="","",INDEX('Per Invoice'!B$2:B$401,$U41)))</f>
        <v/>
      </c>
      <c r="C41">
        <f>IF($U41="","",IF(INDEX('Per Invoice'!C$2:C$401,$U41)="","",INDEX('Per Invoice'!C$2:C$401,$U41)))</f>
        <v/>
      </c>
      <c r="D41">
        <f>IF($U41="","",IF(INDEX('Per Invoice'!D$2:D$401,$U41)="","",INDEX('Per Invoice'!D$2:D$401,$U41)))</f>
        <v/>
      </c>
      <c r="E41">
        <f>IF($U41="","",IF(INDEX('Per Invoice'!E$2:E$401,$U41)="","",INDEX('Per Invoice'!E$2:E$401,$U41)))</f>
        <v/>
      </c>
      <c r="F41">
        <f>IF($U41="","",IF(INDEX('Per Invoice'!F$2:F$401,$U41)="","",INDEX('Per Invoice'!F$2:F$401,$U41)))</f>
        <v/>
      </c>
      <c r="G41">
        <f>IF($U41="","",IF(INDEX('Per Invoice'!G$2:G$401,$U41)="","",INDEX('Per Invoice'!G$2:G$401,$U41)))</f>
        <v/>
      </c>
      <c r="H41" s="7">
        <f>IF($U41="","",IF(INDEX('Per Invoice'!H$2:H$401,$U41)="","",INDEX('Per Invoice'!H$2:H$401,$U41)))</f>
        <v/>
      </c>
      <c r="I41" s="14">
        <f>IF($U41="","",IF(INDEX('Per Invoice'!I$2:I$401,$U41)="","",INDEX('Per Invoice'!I$2:I$401,$U41)))</f>
        <v/>
      </c>
      <c r="J41">
        <f>IF($U41="","",IF(INDEX('Per Invoice'!J$2:J$401,$U41)="","",INDEX('Per Invoice'!J$2:J$401,$U41)))</f>
        <v/>
      </c>
      <c r="K41">
        <f>IF($U41="","",IF(INDEX('Per Invoice'!K$2:K$401,$U41)="","",INDEX('Per Invoice'!K$2:K$401,$U41)))</f>
        <v/>
      </c>
      <c r="L41" s="7">
        <f>IF($U41="","",IF(INDEX('Per Invoice'!L$2:L$401,$U41)="","",INDEX('Per Invoice'!L$2:L$401,$U41)))</f>
        <v/>
      </c>
      <c r="M41" s="7">
        <f>IF($U41="","",IF(INDEX('Per Invoice'!M$2:M$401,$U41)="","",INDEX('Per Invoice'!M$2:M$401,$U41)))</f>
        <v/>
      </c>
      <c r="N41">
        <f>IF($U41="","",IF(INDEX('Per Invoice'!N$2:N$401,$U41)="","",INDEX('Per Invoice'!N$2:N$401,$U41)))</f>
        <v/>
      </c>
      <c r="O41" s="7">
        <f>IF($U41="","",IF(INDEX('Per Invoice'!O$2:O$401,$U41)="","",INDEX('Per Invoice'!O$2:O$401,$U41)))</f>
        <v/>
      </c>
      <c r="P41" s="7">
        <f>IF($U41="","",IF(INDEX('Per Invoice'!P$2:P$401,$U41)="","",INDEX('Per Invoice'!P$2:P$401,$U41)))</f>
        <v/>
      </c>
      <c r="Q41" s="7">
        <f>IF($U41="","",IF(INDEX('Per Invoice'!Q$2:Q$401,$U41)="","",INDEX('Per Invoice'!Q$2:Q$401,$U41)))</f>
        <v/>
      </c>
      <c r="R41" s="7">
        <f>IF($U41="","",IF(INDEX('Per Invoice'!R$2:R$401,$U41)="","",INDEX('Per Invoice'!R$2:R$401,$U41)))</f>
        <v/>
      </c>
      <c r="S41" s="7">
        <f>IF($U41="","",IF(INDEX('Per Invoice'!S$2:S$401,$U41)="","",INDEX('Per Invoice'!S$2:S$401,$U41)))</f>
        <v/>
      </c>
      <c r="T41" s="7">
        <f>IF($U41="","",IF(INDEX('Per Invoice'!T$2:T$401,$U41)="","",INDEX('Per Invoice'!T$2:T$401,$U41)))</f>
        <v/>
      </c>
      <c r="U41" s="16">
        <f>IFERROR(MATCH(Settings!$C$26&amp;"|"&amp;ROWS($U$2:$U41),'Per Invoice'!$V$2:$V$401,0),"")</f>
        <v/>
      </c>
    </row>
    <row r="42">
      <c r="A42">
        <f>IF($U42="","",IF(INDEX('Per Invoice'!A$2:A$401,$U42)="","",INDEX('Per Invoice'!A$2:A$401,$U42)))</f>
        <v/>
      </c>
      <c r="B42">
        <f>IF($U42="","",IF(INDEX('Per Invoice'!B$2:B$401,$U42)="","",INDEX('Per Invoice'!B$2:B$401,$U42)))</f>
        <v/>
      </c>
      <c r="C42">
        <f>IF($U42="","",IF(INDEX('Per Invoice'!C$2:C$401,$U42)="","",INDEX('Per Invoice'!C$2:C$401,$U42)))</f>
        <v/>
      </c>
      <c r="D42">
        <f>IF($U42="","",IF(INDEX('Per Invoice'!D$2:D$401,$U42)="","",INDEX('Per Invoice'!D$2:D$401,$U42)))</f>
        <v/>
      </c>
      <c r="E42">
        <f>IF($U42="","",IF(INDEX('Per Invoice'!E$2:E$401,$U42)="","",INDEX('Per Invoice'!E$2:E$401,$U42)))</f>
        <v/>
      </c>
      <c r="F42">
        <f>IF($U42="","",IF(INDEX('Per Invoice'!F$2:F$401,$U42)="","",INDEX('Per Invoice'!F$2:F$401,$U42)))</f>
        <v/>
      </c>
      <c r="G42">
        <f>IF($U42="","",IF(INDEX('Per Invoice'!G$2:G$401,$U42)="","",INDEX('Per Invoice'!G$2:G$401,$U42)))</f>
        <v/>
      </c>
      <c r="H42" s="7">
        <f>IF($U42="","",IF(INDEX('Per Invoice'!H$2:H$401,$U42)="","",INDEX('Per Invoice'!H$2:H$401,$U42)))</f>
        <v/>
      </c>
      <c r="I42" s="14">
        <f>IF($U42="","",IF(INDEX('Per Invoice'!I$2:I$401,$U42)="","",INDEX('Per Invoice'!I$2:I$401,$U42)))</f>
        <v/>
      </c>
      <c r="J42">
        <f>IF($U42="","",IF(INDEX('Per Invoice'!J$2:J$401,$U42)="","",INDEX('Per Invoice'!J$2:J$401,$U42)))</f>
        <v/>
      </c>
      <c r="K42">
        <f>IF($U42="","",IF(INDEX('Per Invoice'!K$2:K$401,$U42)="","",INDEX('Per Invoice'!K$2:K$401,$U42)))</f>
        <v/>
      </c>
      <c r="L42" s="7">
        <f>IF($U42="","",IF(INDEX('Per Invoice'!L$2:L$401,$U42)="","",INDEX('Per Invoice'!L$2:L$401,$U42)))</f>
        <v/>
      </c>
      <c r="M42" s="7">
        <f>IF($U42="","",IF(INDEX('Per Invoice'!M$2:M$401,$U42)="","",INDEX('Per Invoice'!M$2:M$401,$U42)))</f>
        <v/>
      </c>
      <c r="N42">
        <f>IF($U42="","",IF(INDEX('Per Invoice'!N$2:N$401,$U42)="","",INDEX('Per Invoice'!N$2:N$401,$U42)))</f>
        <v/>
      </c>
      <c r="O42" s="7">
        <f>IF($U42="","",IF(INDEX('Per Invoice'!O$2:O$401,$U42)="","",INDEX('Per Invoice'!O$2:O$401,$U42)))</f>
        <v/>
      </c>
      <c r="P42" s="7">
        <f>IF($U42="","",IF(INDEX('Per Invoice'!P$2:P$401,$U42)="","",INDEX('Per Invoice'!P$2:P$401,$U42)))</f>
        <v/>
      </c>
      <c r="Q42" s="7">
        <f>IF($U42="","",IF(INDEX('Per Invoice'!Q$2:Q$401,$U42)="","",INDEX('Per Invoice'!Q$2:Q$401,$U42)))</f>
        <v/>
      </c>
      <c r="R42" s="7">
        <f>IF($U42="","",IF(INDEX('Per Invoice'!R$2:R$401,$U42)="","",INDEX('Per Invoice'!R$2:R$401,$U42)))</f>
        <v/>
      </c>
      <c r="S42" s="7">
        <f>IF($U42="","",IF(INDEX('Per Invoice'!S$2:S$401,$U42)="","",INDEX('Per Invoice'!S$2:S$401,$U42)))</f>
        <v/>
      </c>
      <c r="T42" s="7">
        <f>IF($U42="","",IF(INDEX('Per Invoice'!T$2:T$401,$U42)="","",INDEX('Per Invoice'!T$2:T$401,$U42)))</f>
        <v/>
      </c>
      <c r="U42" s="16">
        <f>IFERROR(MATCH(Settings!$C$26&amp;"|"&amp;ROWS($U$2:$U42),'Per Invoice'!$V$2:$V$401,0),"")</f>
        <v/>
      </c>
    </row>
    <row r="43">
      <c r="A43">
        <f>IF($U43="","",IF(INDEX('Per Invoice'!A$2:A$401,$U43)="","",INDEX('Per Invoice'!A$2:A$401,$U43)))</f>
        <v/>
      </c>
      <c r="B43">
        <f>IF($U43="","",IF(INDEX('Per Invoice'!B$2:B$401,$U43)="","",INDEX('Per Invoice'!B$2:B$401,$U43)))</f>
        <v/>
      </c>
      <c r="C43">
        <f>IF($U43="","",IF(INDEX('Per Invoice'!C$2:C$401,$U43)="","",INDEX('Per Invoice'!C$2:C$401,$U43)))</f>
        <v/>
      </c>
      <c r="D43">
        <f>IF($U43="","",IF(INDEX('Per Invoice'!D$2:D$401,$U43)="","",INDEX('Per Invoice'!D$2:D$401,$U43)))</f>
        <v/>
      </c>
      <c r="E43">
        <f>IF($U43="","",IF(INDEX('Per Invoice'!E$2:E$401,$U43)="","",INDEX('Per Invoice'!E$2:E$401,$U43)))</f>
        <v/>
      </c>
      <c r="F43">
        <f>IF($U43="","",IF(INDEX('Per Invoice'!F$2:F$401,$U43)="","",INDEX('Per Invoice'!F$2:F$401,$U43)))</f>
        <v/>
      </c>
      <c r="G43">
        <f>IF($U43="","",IF(INDEX('Per Invoice'!G$2:G$401,$U43)="","",INDEX('Per Invoice'!G$2:G$401,$U43)))</f>
        <v/>
      </c>
      <c r="H43" s="7">
        <f>IF($U43="","",IF(INDEX('Per Invoice'!H$2:H$401,$U43)="","",INDEX('Per Invoice'!H$2:H$401,$U43)))</f>
        <v/>
      </c>
      <c r="I43" s="14">
        <f>IF($U43="","",IF(INDEX('Per Invoice'!I$2:I$401,$U43)="","",INDEX('Per Invoice'!I$2:I$401,$U43)))</f>
        <v/>
      </c>
      <c r="J43">
        <f>IF($U43="","",IF(INDEX('Per Invoice'!J$2:J$401,$U43)="","",INDEX('Per Invoice'!J$2:J$401,$U43)))</f>
        <v/>
      </c>
      <c r="K43">
        <f>IF($U43="","",IF(INDEX('Per Invoice'!K$2:K$401,$U43)="","",INDEX('Per Invoice'!K$2:K$401,$U43)))</f>
        <v/>
      </c>
      <c r="L43" s="7">
        <f>IF($U43="","",IF(INDEX('Per Invoice'!L$2:L$401,$U43)="","",INDEX('Per Invoice'!L$2:L$401,$U43)))</f>
        <v/>
      </c>
      <c r="M43" s="7">
        <f>IF($U43="","",IF(INDEX('Per Invoice'!M$2:M$401,$U43)="","",INDEX('Per Invoice'!M$2:M$401,$U43)))</f>
        <v/>
      </c>
      <c r="N43">
        <f>IF($U43="","",IF(INDEX('Per Invoice'!N$2:N$401,$U43)="","",INDEX('Per Invoice'!N$2:N$401,$U43)))</f>
        <v/>
      </c>
      <c r="O43" s="7">
        <f>IF($U43="","",IF(INDEX('Per Invoice'!O$2:O$401,$U43)="","",INDEX('Per Invoice'!O$2:O$401,$U43)))</f>
        <v/>
      </c>
      <c r="P43" s="7">
        <f>IF($U43="","",IF(INDEX('Per Invoice'!P$2:P$401,$U43)="","",INDEX('Per Invoice'!P$2:P$401,$U43)))</f>
        <v/>
      </c>
      <c r="Q43" s="7">
        <f>IF($U43="","",IF(INDEX('Per Invoice'!Q$2:Q$401,$U43)="","",INDEX('Per Invoice'!Q$2:Q$401,$U43)))</f>
        <v/>
      </c>
      <c r="R43" s="7">
        <f>IF($U43="","",IF(INDEX('Per Invoice'!R$2:R$401,$U43)="","",INDEX('Per Invoice'!R$2:R$401,$U43)))</f>
        <v/>
      </c>
      <c r="S43" s="7">
        <f>IF($U43="","",IF(INDEX('Per Invoice'!S$2:S$401,$U43)="","",INDEX('Per Invoice'!S$2:S$401,$U43)))</f>
        <v/>
      </c>
      <c r="T43" s="7">
        <f>IF($U43="","",IF(INDEX('Per Invoice'!T$2:T$401,$U43)="","",INDEX('Per Invoice'!T$2:T$401,$U43)))</f>
        <v/>
      </c>
      <c r="U43" s="16">
        <f>IFERROR(MATCH(Settings!$C$26&amp;"|"&amp;ROWS($U$2:$U43),'Per Invoice'!$V$2:$V$401,0),"")</f>
        <v/>
      </c>
    </row>
    <row r="44">
      <c r="A44">
        <f>IF($U44="","",IF(INDEX('Per Invoice'!A$2:A$401,$U44)="","",INDEX('Per Invoice'!A$2:A$401,$U44)))</f>
        <v/>
      </c>
      <c r="B44">
        <f>IF($U44="","",IF(INDEX('Per Invoice'!B$2:B$401,$U44)="","",INDEX('Per Invoice'!B$2:B$401,$U44)))</f>
        <v/>
      </c>
      <c r="C44">
        <f>IF($U44="","",IF(INDEX('Per Invoice'!C$2:C$401,$U44)="","",INDEX('Per Invoice'!C$2:C$401,$U44)))</f>
        <v/>
      </c>
      <c r="D44">
        <f>IF($U44="","",IF(INDEX('Per Invoice'!D$2:D$401,$U44)="","",INDEX('Per Invoice'!D$2:D$401,$U44)))</f>
        <v/>
      </c>
      <c r="E44">
        <f>IF($U44="","",IF(INDEX('Per Invoice'!E$2:E$401,$U44)="","",INDEX('Per Invoice'!E$2:E$401,$U44)))</f>
        <v/>
      </c>
      <c r="F44">
        <f>IF($U44="","",IF(INDEX('Per Invoice'!F$2:F$401,$U44)="","",INDEX('Per Invoice'!F$2:F$401,$U44)))</f>
        <v/>
      </c>
      <c r="G44">
        <f>IF($U44="","",IF(INDEX('Per Invoice'!G$2:G$401,$U44)="","",INDEX('Per Invoice'!G$2:G$401,$U44)))</f>
        <v/>
      </c>
      <c r="H44" s="7">
        <f>IF($U44="","",IF(INDEX('Per Invoice'!H$2:H$401,$U44)="","",INDEX('Per Invoice'!H$2:H$401,$U44)))</f>
        <v/>
      </c>
      <c r="I44" s="14">
        <f>IF($U44="","",IF(INDEX('Per Invoice'!I$2:I$401,$U44)="","",INDEX('Per Invoice'!I$2:I$401,$U44)))</f>
        <v/>
      </c>
      <c r="J44">
        <f>IF($U44="","",IF(INDEX('Per Invoice'!J$2:J$401,$U44)="","",INDEX('Per Invoice'!J$2:J$401,$U44)))</f>
        <v/>
      </c>
      <c r="K44">
        <f>IF($U44="","",IF(INDEX('Per Invoice'!K$2:K$401,$U44)="","",INDEX('Per Invoice'!K$2:K$401,$U44)))</f>
        <v/>
      </c>
      <c r="L44" s="7">
        <f>IF($U44="","",IF(INDEX('Per Invoice'!L$2:L$401,$U44)="","",INDEX('Per Invoice'!L$2:L$401,$U44)))</f>
        <v/>
      </c>
      <c r="M44" s="7">
        <f>IF($U44="","",IF(INDEX('Per Invoice'!M$2:M$401,$U44)="","",INDEX('Per Invoice'!M$2:M$401,$U44)))</f>
        <v/>
      </c>
      <c r="N44">
        <f>IF($U44="","",IF(INDEX('Per Invoice'!N$2:N$401,$U44)="","",INDEX('Per Invoice'!N$2:N$401,$U44)))</f>
        <v/>
      </c>
      <c r="O44" s="7">
        <f>IF($U44="","",IF(INDEX('Per Invoice'!O$2:O$401,$U44)="","",INDEX('Per Invoice'!O$2:O$401,$U44)))</f>
        <v/>
      </c>
      <c r="P44" s="7">
        <f>IF($U44="","",IF(INDEX('Per Invoice'!P$2:P$401,$U44)="","",INDEX('Per Invoice'!P$2:P$401,$U44)))</f>
        <v/>
      </c>
      <c r="Q44" s="7">
        <f>IF($U44="","",IF(INDEX('Per Invoice'!Q$2:Q$401,$U44)="","",INDEX('Per Invoice'!Q$2:Q$401,$U44)))</f>
        <v/>
      </c>
      <c r="R44" s="7">
        <f>IF($U44="","",IF(INDEX('Per Invoice'!R$2:R$401,$U44)="","",INDEX('Per Invoice'!R$2:R$401,$U44)))</f>
        <v/>
      </c>
      <c r="S44" s="7">
        <f>IF($U44="","",IF(INDEX('Per Invoice'!S$2:S$401,$U44)="","",INDEX('Per Invoice'!S$2:S$401,$U44)))</f>
        <v/>
      </c>
      <c r="T44" s="7">
        <f>IF($U44="","",IF(INDEX('Per Invoice'!T$2:T$401,$U44)="","",INDEX('Per Invoice'!T$2:T$401,$U44)))</f>
        <v/>
      </c>
      <c r="U44" s="16">
        <f>IFERROR(MATCH(Settings!$C$26&amp;"|"&amp;ROWS($U$2:$U44),'Per Invoice'!$V$2:$V$401,0),"")</f>
        <v/>
      </c>
    </row>
    <row r="45">
      <c r="A45">
        <f>IF($U45="","",IF(INDEX('Per Invoice'!A$2:A$401,$U45)="","",INDEX('Per Invoice'!A$2:A$401,$U45)))</f>
        <v/>
      </c>
      <c r="B45">
        <f>IF($U45="","",IF(INDEX('Per Invoice'!B$2:B$401,$U45)="","",INDEX('Per Invoice'!B$2:B$401,$U45)))</f>
        <v/>
      </c>
      <c r="C45">
        <f>IF($U45="","",IF(INDEX('Per Invoice'!C$2:C$401,$U45)="","",INDEX('Per Invoice'!C$2:C$401,$U45)))</f>
        <v/>
      </c>
      <c r="D45">
        <f>IF($U45="","",IF(INDEX('Per Invoice'!D$2:D$401,$U45)="","",INDEX('Per Invoice'!D$2:D$401,$U45)))</f>
        <v/>
      </c>
      <c r="E45">
        <f>IF($U45="","",IF(INDEX('Per Invoice'!E$2:E$401,$U45)="","",INDEX('Per Invoice'!E$2:E$401,$U45)))</f>
        <v/>
      </c>
      <c r="F45">
        <f>IF($U45="","",IF(INDEX('Per Invoice'!F$2:F$401,$U45)="","",INDEX('Per Invoice'!F$2:F$401,$U45)))</f>
        <v/>
      </c>
      <c r="G45">
        <f>IF($U45="","",IF(INDEX('Per Invoice'!G$2:G$401,$U45)="","",INDEX('Per Invoice'!G$2:G$401,$U45)))</f>
        <v/>
      </c>
      <c r="H45" s="7">
        <f>IF($U45="","",IF(INDEX('Per Invoice'!H$2:H$401,$U45)="","",INDEX('Per Invoice'!H$2:H$401,$U45)))</f>
        <v/>
      </c>
      <c r="I45" s="14">
        <f>IF($U45="","",IF(INDEX('Per Invoice'!I$2:I$401,$U45)="","",INDEX('Per Invoice'!I$2:I$401,$U45)))</f>
        <v/>
      </c>
      <c r="J45">
        <f>IF($U45="","",IF(INDEX('Per Invoice'!J$2:J$401,$U45)="","",INDEX('Per Invoice'!J$2:J$401,$U45)))</f>
        <v/>
      </c>
      <c r="K45">
        <f>IF($U45="","",IF(INDEX('Per Invoice'!K$2:K$401,$U45)="","",INDEX('Per Invoice'!K$2:K$401,$U45)))</f>
        <v/>
      </c>
      <c r="L45" s="7">
        <f>IF($U45="","",IF(INDEX('Per Invoice'!L$2:L$401,$U45)="","",INDEX('Per Invoice'!L$2:L$401,$U45)))</f>
        <v/>
      </c>
      <c r="M45" s="7">
        <f>IF($U45="","",IF(INDEX('Per Invoice'!M$2:M$401,$U45)="","",INDEX('Per Invoice'!M$2:M$401,$U45)))</f>
        <v/>
      </c>
      <c r="N45">
        <f>IF($U45="","",IF(INDEX('Per Invoice'!N$2:N$401,$U45)="","",INDEX('Per Invoice'!N$2:N$401,$U45)))</f>
        <v/>
      </c>
      <c r="O45" s="7">
        <f>IF($U45="","",IF(INDEX('Per Invoice'!O$2:O$401,$U45)="","",INDEX('Per Invoice'!O$2:O$401,$U45)))</f>
        <v/>
      </c>
      <c r="P45" s="7">
        <f>IF($U45="","",IF(INDEX('Per Invoice'!P$2:P$401,$U45)="","",INDEX('Per Invoice'!P$2:P$401,$U45)))</f>
        <v/>
      </c>
      <c r="Q45" s="7">
        <f>IF($U45="","",IF(INDEX('Per Invoice'!Q$2:Q$401,$U45)="","",INDEX('Per Invoice'!Q$2:Q$401,$U45)))</f>
        <v/>
      </c>
      <c r="R45" s="7">
        <f>IF($U45="","",IF(INDEX('Per Invoice'!R$2:R$401,$U45)="","",INDEX('Per Invoice'!R$2:R$401,$U45)))</f>
        <v/>
      </c>
      <c r="S45" s="7">
        <f>IF($U45="","",IF(INDEX('Per Invoice'!S$2:S$401,$U45)="","",INDEX('Per Invoice'!S$2:S$401,$U45)))</f>
        <v/>
      </c>
      <c r="T45" s="7">
        <f>IF($U45="","",IF(INDEX('Per Invoice'!T$2:T$401,$U45)="","",INDEX('Per Invoice'!T$2:T$401,$U45)))</f>
        <v/>
      </c>
      <c r="U45" s="16">
        <f>IFERROR(MATCH(Settings!$C$26&amp;"|"&amp;ROWS($U$2:$U45),'Per Invoice'!$V$2:$V$401,0),"")</f>
        <v/>
      </c>
    </row>
    <row r="46">
      <c r="A46">
        <f>IF($U46="","",IF(INDEX('Per Invoice'!A$2:A$401,$U46)="","",INDEX('Per Invoice'!A$2:A$401,$U46)))</f>
        <v/>
      </c>
      <c r="B46">
        <f>IF($U46="","",IF(INDEX('Per Invoice'!B$2:B$401,$U46)="","",INDEX('Per Invoice'!B$2:B$401,$U46)))</f>
        <v/>
      </c>
      <c r="C46">
        <f>IF($U46="","",IF(INDEX('Per Invoice'!C$2:C$401,$U46)="","",INDEX('Per Invoice'!C$2:C$401,$U46)))</f>
        <v/>
      </c>
      <c r="D46">
        <f>IF($U46="","",IF(INDEX('Per Invoice'!D$2:D$401,$U46)="","",INDEX('Per Invoice'!D$2:D$401,$U46)))</f>
        <v/>
      </c>
      <c r="E46">
        <f>IF($U46="","",IF(INDEX('Per Invoice'!E$2:E$401,$U46)="","",INDEX('Per Invoice'!E$2:E$401,$U46)))</f>
        <v/>
      </c>
      <c r="F46">
        <f>IF($U46="","",IF(INDEX('Per Invoice'!F$2:F$401,$U46)="","",INDEX('Per Invoice'!F$2:F$401,$U46)))</f>
        <v/>
      </c>
      <c r="G46">
        <f>IF($U46="","",IF(INDEX('Per Invoice'!G$2:G$401,$U46)="","",INDEX('Per Invoice'!G$2:G$401,$U46)))</f>
        <v/>
      </c>
      <c r="H46" s="7">
        <f>IF($U46="","",IF(INDEX('Per Invoice'!H$2:H$401,$U46)="","",INDEX('Per Invoice'!H$2:H$401,$U46)))</f>
        <v/>
      </c>
      <c r="I46" s="14">
        <f>IF($U46="","",IF(INDEX('Per Invoice'!I$2:I$401,$U46)="","",INDEX('Per Invoice'!I$2:I$401,$U46)))</f>
        <v/>
      </c>
      <c r="J46">
        <f>IF($U46="","",IF(INDEX('Per Invoice'!J$2:J$401,$U46)="","",INDEX('Per Invoice'!J$2:J$401,$U46)))</f>
        <v/>
      </c>
      <c r="K46">
        <f>IF($U46="","",IF(INDEX('Per Invoice'!K$2:K$401,$U46)="","",INDEX('Per Invoice'!K$2:K$401,$U46)))</f>
        <v/>
      </c>
      <c r="L46" s="7">
        <f>IF($U46="","",IF(INDEX('Per Invoice'!L$2:L$401,$U46)="","",INDEX('Per Invoice'!L$2:L$401,$U46)))</f>
        <v/>
      </c>
      <c r="M46" s="7">
        <f>IF($U46="","",IF(INDEX('Per Invoice'!M$2:M$401,$U46)="","",INDEX('Per Invoice'!M$2:M$401,$U46)))</f>
        <v/>
      </c>
      <c r="N46">
        <f>IF($U46="","",IF(INDEX('Per Invoice'!N$2:N$401,$U46)="","",INDEX('Per Invoice'!N$2:N$401,$U46)))</f>
        <v/>
      </c>
      <c r="O46" s="7">
        <f>IF($U46="","",IF(INDEX('Per Invoice'!O$2:O$401,$U46)="","",INDEX('Per Invoice'!O$2:O$401,$U46)))</f>
        <v/>
      </c>
      <c r="P46" s="7">
        <f>IF($U46="","",IF(INDEX('Per Invoice'!P$2:P$401,$U46)="","",INDEX('Per Invoice'!P$2:P$401,$U46)))</f>
        <v/>
      </c>
      <c r="Q46" s="7">
        <f>IF($U46="","",IF(INDEX('Per Invoice'!Q$2:Q$401,$U46)="","",INDEX('Per Invoice'!Q$2:Q$401,$U46)))</f>
        <v/>
      </c>
      <c r="R46" s="7">
        <f>IF($U46="","",IF(INDEX('Per Invoice'!R$2:R$401,$U46)="","",INDEX('Per Invoice'!R$2:R$401,$U46)))</f>
        <v/>
      </c>
      <c r="S46" s="7">
        <f>IF($U46="","",IF(INDEX('Per Invoice'!S$2:S$401,$U46)="","",INDEX('Per Invoice'!S$2:S$401,$U46)))</f>
        <v/>
      </c>
      <c r="T46" s="7">
        <f>IF($U46="","",IF(INDEX('Per Invoice'!T$2:T$401,$U46)="","",INDEX('Per Invoice'!T$2:T$401,$U46)))</f>
        <v/>
      </c>
      <c r="U46" s="16">
        <f>IFERROR(MATCH(Settings!$C$26&amp;"|"&amp;ROWS($U$2:$U46),'Per Invoice'!$V$2:$V$401,0),"")</f>
        <v/>
      </c>
    </row>
    <row r="47">
      <c r="A47">
        <f>IF($U47="","",IF(INDEX('Per Invoice'!A$2:A$401,$U47)="","",INDEX('Per Invoice'!A$2:A$401,$U47)))</f>
        <v/>
      </c>
      <c r="B47">
        <f>IF($U47="","",IF(INDEX('Per Invoice'!B$2:B$401,$U47)="","",INDEX('Per Invoice'!B$2:B$401,$U47)))</f>
        <v/>
      </c>
      <c r="C47">
        <f>IF($U47="","",IF(INDEX('Per Invoice'!C$2:C$401,$U47)="","",INDEX('Per Invoice'!C$2:C$401,$U47)))</f>
        <v/>
      </c>
      <c r="D47">
        <f>IF($U47="","",IF(INDEX('Per Invoice'!D$2:D$401,$U47)="","",INDEX('Per Invoice'!D$2:D$401,$U47)))</f>
        <v/>
      </c>
      <c r="E47">
        <f>IF($U47="","",IF(INDEX('Per Invoice'!E$2:E$401,$U47)="","",INDEX('Per Invoice'!E$2:E$401,$U47)))</f>
        <v/>
      </c>
      <c r="F47">
        <f>IF($U47="","",IF(INDEX('Per Invoice'!F$2:F$401,$U47)="","",INDEX('Per Invoice'!F$2:F$401,$U47)))</f>
        <v/>
      </c>
      <c r="G47">
        <f>IF($U47="","",IF(INDEX('Per Invoice'!G$2:G$401,$U47)="","",INDEX('Per Invoice'!G$2:G$401,$U47)))</f>
        <v/>
      </c>
      <c r="H47" s="7">
        <f>IF($U47="","",IF(INDEX('Per Invoice'!H$2:H$401,$U47)="","",INDEX('Per Invoice'!H$2:H$401,$U47)))</f>
        <v/>
      </c>
      <c r="I47" s="14">
        <f>IF($U47="","",IF(INDEX('Per Invoice'!I$2:I$401,$U47)="","",INDEX('Per Invoice'!I$2:I$401,$U47)))</f>
        <v/>
      </c>
      <c r="J47">
        <f>IF($U47="","",IF(INDEX('Per Invoice'!J$2:J$401,$U47)="","",INDEX('Per Invoice'!J$2:J$401,$U47)))</f>
        <v/>
      </c>
      <c r="K47">
        <f>IF($U47="","",IF(INDEX('Per Invoice'!K$2:K$401,$U47)="","",INDEX('Per Invoice'!K$2:K$401,$U47)))</f>
        <v/>
      </c>
      <c r="L47" s="7">
        <f>IF($U47="","",IF(INDEX('Per Invoice'!L$2:L$401,$U47)="","",INDEX('Per Invoice'!L$2:L$401,$U47)))</f>
        <v/>
      </c>
      <c r="M47" s="7">
        <f>IF($U47="","",IF(INDEX('Per Invoice'!M$2:M$401,$U47)="","",INDEX('Per Invoice'!M$2:M$401,$U47)))</f>
        <v/>
      </c>
      <c r="N47">
        <f>IF($U47="","",IF(INDEX('Per Invoice'!N$2:N$401,$U47)="","",INDEX('Per Invoice'!N$2:N$401,$U47)))</f>
        <v/>
      </c>
      <c r="O47" s="7">
        <f>IF($U47="","",IF(INDEX('Per Invoice'!O$2:O$401,$U47)="","",INDEX('Per Invoice'!O$2:O$401,$U47)))</f>
        <v/>
      </c>
      <c r="P47" s="7">
        <f>IF($U47="","",IF(INDEX('Per Invoice'!P$2:P$401,$U47)="","",INDEX('Per Invoice'!P$2:P$401,$U47)))</f>
        <v/>
      </c>
      <c r="Q47" s="7">
        <f>IF($U47="","",IF(INDEX('Per Invoice'!Q$2:Q$401,$U47)="","",INDEX('Per Invoice'!Q$2:Q$401,$U47)))</f>
        <v/>
      </c>
      <c r="R47" s="7">
        <f>IF($U47="","",IF(INDEX('Per Invoice'!R$2:R$401,$U47)="","",INDEX('Per Invoice'!R$2:R$401,$U47)))</f>
        <v/>
      </c>
      <c r="S47" s="7">
        <f>IF($U47="","",IF(INDEX('Per Invoice'!S$2:S$401,$U47)="","",INDEX('Per Invoice'!S$2:S$401,$U47)))</f>
        <v/>
      </c>
      <c r="T47" s="7">
        <f>IF($U47="","",IF(INDEX('Per Invoice'!T$2:T$401,$U47)="","",INDEX('Per Invoice'!T$2:T$401,$U47)))</f>
        <v/>
      </c>
      <c r="U47" s="16">
        <f>IFERROR(MATCH(Settings!$C$26&amp;"|"&amp;ROWS($U$2:$U47),'Per Invoice'!$V$2:$V$401,0),"")</f>
        <v/>
      </c>
    </row>
    <row r="48">
      <c r="A48">
        <f>IF($U48="","",IF(INDEX('Per Invoice'!A$2:A$401,$U48)="","",INDEX('Per Invoice'!A$2:A$401,$U48)))</f>
        <v/>
      </c>
      <c r="B48">
        <f>IF($U48="","",IF(INDEX('Per Invoice'!B$2:B$401,$U48)="","",INDEX('Per Invoice'!B$2:B$401,$U48)))</f>
        <v/>
      </c>
      <c r="C48">
        <f>IF($U48="","",IF(INDEX('Per Invoice'!C$2:C$401,$U48)="","",INDEX('Per Invoice'!C$2:C$401,$U48)))</f>
        <v/>
      </c>
      <c r="D48">
        <f>IF($U48="","",IF(INDEX('Per Invoice'!D$2:D$401,$U48)="","",INDEX('Per Invoice'!D$2:D$401,$U48)))</f>
        <v/>
      </c>
      <c r="E48">
        <f>IF($U48="","",IF(INDEX('Per Invoice'!E$2:E$401,$U48)="","",INDEX('Per Invoice'!E$2:E$401,$U48)))</f>
        <v/>
      </c>
      <c r="F48">
        <f>IF($U48="","",IF(INDEX('Per Invoice'!F$2:F$401,$U48)="","",INDEX('Per Invoice'!F$2:F$401,$U48)))</f>
        <v/>
      </c>
      <c r="G48">
        <f>IF($U48="","",IF(INDEX('Per Invoice'!G$2:G$401,$U48)="","",INDEX('Per Invoice'!G$2:G$401,$U48)))</f>
        <v/>
      </c>
      <c r="H48" s="7">
        <f>IF($U48="","",IF(INDEX('Per Invoice'!H$2:H$401,$U48)="","",INDEX('Per Invoice'!H$2:H$401,$U48)))</f>
        <v/>
      </c>
      <c r="I48" s="14">
        <f>IF($U48="","",IF(INDEX('Per Invoice'!I$2:I$401,$U48)="","",INDEX('Per Invoice'!I$2:I$401,$U48)))</f>
        <v/>
      </c>
      <c r="J48">
        <f>IF($U48="","",IF(INDEX('Per Invoice'!J$2:J$401,$U48)="","",INDEX('Per Invoice'!J$2:J$401,$U48)))</f>
        <v/>
      </c>
      <c r="K48">
        <f>IF($U48="","",IF(INDEX('Per Invoice'!K$2:K$401,$U48)="","",INDEX('Per Invoice'!K$2:K$401,$U48)))</f>
        <v/>
      </c>
      <c r="L48" s="7">
        <f>IF($U48="","",IF(INDEX('Per Invoice'!L$2:L$401,$U48)="","",INDEX('Per Invoice'!L$2:L$401,$U48)))</f>
        <v/>
      </c>
      <c r="M48" s="7">
        <f>IF($U48="","",IF(INDEX('Per Invoice'!M$2:M$401,$U48)="","",INDEX('Per Invoice'!M$2:M$401,$U48)))</f>
        <v/>
      </c>
      <c r="N48">
        <f>IF($U48="","",IF(INDEX('Per Invoice'!N$2:N$401,$U48)="","",INDEX('Per Invoice'!N$2:N$401,$U48)))</f>
        <v/>
      </c>
      <c r="O48" s="7">
        <f>IF($U48="","",IF(INDEX('Per Invoice'!O$2:O$401,$U48)="","",INDEX('Per Invoice'!O$2:O$401,$U48)))</f>
        <v/>
      </c>
      <c r="P48" s="7">
        <f>IF($U48="","",IF(INDEX('Per Invoice'!P$2:P$401,$U48)="","",INDEX('Per Invoice'!P$2:P$401,$U48)))</f>
        <v/>
      </c>
      <c r="Q48" s="7">
        <f>IF($U48="","",IF(INDEX('Per Invoice'!Q$2:Q$401,$U48)="","",INDEX('Per Invoice'!Q$2:Q$401,$U48)))</f>
        <v/>
      </c>
      <c r="R48" s="7">
        <f>IF($U48="","",IF(INDEX('Per Invoice'!R$2:R$401,$U48)="","",INDEX('Per Invoice'!R$2:R$401,$U48)))</f>
        <v/>
      </c>
      <c r="S48" s="7">
        <f>IF($U48="","",IF(INDEX('Per Invoice'!S$2:S$401,$U48)="","",INDEX('Per Invoice'!S$2:S$401,$U48)))</f>
        <v/>
      </c>
      <c r="T48" s="7">
        <f>IF($U48="","",IF(INDEX('Per Invoice'!T$2:T$401,$U48)="","",INDEX('Per Invoice'!T$2:T$401,$U48)))</f>
        <v/>
      </c>
      <c r="U48" s="16">
        <f>IFERROR(MATCH(Settings!$C$26&amp;"|"&amp;ROWS($U$2:$U48),'Per Invoice'!$V$2:$V$401,0),"")</f>
        <v/>
      </c>
    </row>
    <row r="49">
      <c r="A49">
        <f>IF($U49="","",IF(INDEX('Per Invoice'!A$2:A$401,$U49)="","",INDEX('Per Invoice'!A$2:A$401,$U49)))</f>
        <v/>
      </c>
      <c r="B49">
        <f>IF($U49="","",IF(INDEX('Per Invoice'!B$2:B$401,$U49)="","",INDEX('Per Invoice'!B$2:B$401,$U49)))</f>
        <v/>
      </c>
      <c r="C49">
        <f>IF($U49="","",IF(INDEX('Per Invoice'!C$2:C$401,$U49)="","",INDEX('Per Invoice'!C$2:C$401,$U49)))</f>
        <v/>
      </c>
      <c r="D49">
        <f>IF($U49="","",IF(INDEX('Per Invoice'!D$2:D$401,$U49)="","",INDEX('Per Invoice'!D$2:D$401,$U49)))</f>
        <v/>
      </c>
      <c r="E49">
        <f>IF($U49="","",IF(INDEX('Per Invoice'!E$2:E$401,$U49)="","",INDEX('Per Invoice'!E$2:E$401,$U49)))</f>
        <v/>
      </c>
      <c r="F49">
        <f>IF($U49="","",IF(INDEX('Per Invoice'!F$2:F$401,$U49)="","",INDEX('Per Invoice'!F$2:F$401,$U49)))</f>
        <v/>
      </c>
      <c r="G49">
        <f>IF($U49="","",IF(INDEX('Per Invoice'!G$2:G$401,$U49)="","",INDEX('Per Invoice'!G$2:G$401,$U49)))</f>
        <v/>
      </c>
      <c r="H49" s="7">
        <f>IF($U49="","",IF(INDEX('Per Invoice'!H$2:H$401,$U49)="","",INDEX('Per Invoice'!H$2:H$401,$U49)))</f>
        <v/>
      </c>
      <c r="I49" s="14">
        <f>IF($U49="","",IF(INDEX('Per Invoice'!I$2:I$401,$U49)="","",INDEX('Per Invoice'!I$2:I$401,$U49)))</f>
        <v/>
      </c>
      <c r="J49">
        <f>IF($U49="","",IF(INDEX('Per Invoice'!J$2:J$401,$U49)="","",INDEX('Per Invoice'!J$2:J$401,$U49)))</f>
        <v/>
      </c>
      <c r="K49">
        <f>IF($U49="","",IF(INDEX('Per Invoice'!K$2:K$401,$U49)="","",INDEX('Per Invoice'!K$2:K$401,$U49)))</f>
        <v/>
      </c>
      <c r="L49" s="7">
        <f>IF($U49="","",IF(INDEX('Per Invoice'!L$2:L$401,$U49)="","",INDEX('Per Invoice'!L$2:L$401,$U49)))</f>
        <v/>
      </c>
      <c r="M49" s="7">
        <f>IF($U49="","",IF(INDEX('Per Invoice'!M$2:M$401,$U49)="","",INDEX('Per Invoice'!M$2:M$401,$U49)))</f>
        <v/>
      </c>
      <c r="N49">
        <f>IF($U49="","",IF(INDEX('Per Invoice'!N$2:N$401,$U49)="","",INDEX('Per Invoice'!N$2:N$401,$U49)))</f>
        <v/>
      </c>
      <c r="O49" s="7">
        <f>IF($U49="","",IF(INDEX('Per Invoice'!O$2:O$401,$U49)="","",INDEX('Per Invoice'!O$2:O$401,$U49)))</f>
        <v/>
      </c>
      <c r="P49" s="7">
        <f>IF($U49="","",IF(INDEX('Per Invoice'!P$2:P$401,$U49)="","",INDEX('Per Invoice'!P$2:P$401,$U49)))</f>
        <v/>
      </c>
      <c r="Q49" s="7">
        <f>IF($U49="","",IF(INDEX('Per Invoice'!Q$2:Q$401,$U49)="","",INDEX('Per Invoice'!Q$2:Q$401,$U49)))</f>
        <v/>
      </c>
      <c r="R49" s="7">
        <f>IF($U49="","",IF(INDEX('Per Invoice'!R$2:R$401,$U49)="","",INDEX('Per Invoice'!R$2:R$401,$U49)))</f>
        <v/>
      </c>
      <c r="S49" s="7">
        <f>IF($U49="","",IF(INDEX('Per Invoice'!S$2:S$401,$U49)="","",INDEX('Per Invoice'!S$2:S$401,$U49)))</f>
        <v/>
      </c>
      <c r="T49" s="7">
        <f>IF($U49="","",IF(INDEX('Per Invoice'!T$2:T$401,$U49)="","",INDEX('Per Invoice'!T$2:T$401,$U49)))</f>
        <v/>
      </c>
      <c r="U49" s="16">
        <f>IFERROR(MATCH(Settings!$C$26&amp;"|"&amp;ROWS($U$2:$U49),'Per Invoice'!$V$2:$V$401,0),"")</f>
        <v/>
      </c>
    </row>
    <row r="50">
      <c r="A50">
        <f>IF($U50="","",IF(INDEX('Per Invoice'!A$2:A$401,$U50)="","",INDEX('Per Invoice'!A$2:A$401,$U50)))</f>
        <v/>
      </c>
      <c r="B50">
        <f>IF($U50="","",IF(INDEX('Per Invoice'!B$2:B$401,$U50)="","",INDEX('Per Invoice'!B$2:B$401,$U50)))</f>
        <v/>
      </c>
      <c r="C50">
        <f>IF($U50="","",IF(INDEX('Per Invoice'!C$2:C$401,$U50)="","",INDEX('Per Invoice'!C$2:C$401,$U50)))</f>
        <v/>
      </c>
      <c r="D50">
        <f>IF($U50="","",IF(INDEX('Per Invoice'!D$2:D$401,$U50)="","",INDEX('Per Invoice'!D$2:D$401,$U50)))</f>
        <v/>
      </c>
      <c r="E50">
        <f>IF($U50="","",IF(INDEX('Per Invoice'!E$2:E$401,$U50)="","",INDEX('Per Invoice'!E$2:E$401,$U50)))</f>
        <v/>
      </c>
      <c r="F50">
        <f>IF($U50="","",IF(INDEX('Per Invoice'!F$2:F$401,$U50)="","",INDEX('Per Invoice'!F$2:F$401,$U50)))</f>
        <v/>
      </c>
      <c r="G50">
        <f>IF($U50="","",IF(INDEX('Per Invoice'!G$2:G$401,$U50)="","",INDEX('Per Invoice'!G$2:G$401,$U50)))</f>
        <v/>
      </c>
      <c r="H50" s="7">
        <f>IF($U50="","",IF(INDEX('Per Invoice'!H$2:H$401,$U50)="","",INDEX('Per Invoice'!H$2:H$401,$U50)))</f>
        <v/>
      </c>
      <c r="I50" s="14">
        <f>IF($U50="","",IF(INDEX('Per Invoice'!I$2:I$401,$U50)="","",INDEX('Per Invoice'!I$2:I$401,$U50)))</f>
        <v/>
      </c>
      <c r="J50">
        <f>IF($U50="","",IF(INDEX('Per Invoice'!J$2:J$401,$U50)="","",INDEX('Per Invoice'!J$2:J$401,$U50)))</f>
        <v/>
      </c>
      <c r="K50">
        <f>IF($U50="","",IF(INDEX('Per Invoice'!K$2:K$401,$U50)="","",INDEX('Per Invoice'!K$2:K$401,$U50)))</f>
        <v/>
      </c>
      <c r="L50" s="7">
        <f>IF($U50="","",IF(INDEX('Per Invoice'!L$2:L$401,$U50)="","",INDEX('Per Invoice'!L$2:L$401,$U50)))</f>
        <v/>
      </c>
      <c r="M50" s="7">
        <f>IF($U50="","",IF(INDEX('Per Invoice'!M$2:M$401,$U50)="","",INDEX('Per Invoice'!M$2:M$401,$U50)))</f>
        <v/>
      </c>
      <c r="N50">
        <f>IF($U50="","",IF(INDEX('Per Invoice'!N$2:N$401,$U50)="","",INDEX('Per Invoice'!N$2:N$401,$U50)))</f>
        <v/>
      </c>
      <c r="O50" s="7">
        <f>IF($U50="","",IF(INDEX('Per Invoice'!O$2:O$401,$U50)="","",INDEX('Per Invoice'!O$2:O$401,$U50)))</f>
        <v/>
      </c>
      <c r="P50" s="7">
        <f>IF($U50="","",IF(INDEX('Per Invoice'!P$2:P$401,$U50)="","",INDEX('Per Invoice'!P$2:P$401,$U50)))</f>
        <v/>
      </c>
      <c r="Q50" s="7">
        <f>IF($U50="","",IF(INDEX('Per Invoice'!Q$2:Q$401,$U50)="","",INDEX('Per Invoice'!Q$2:Q$401,$U50)))</f>
        <v/>
      </c>
      <c r="R50" s="7">
        <f>IF($U50="","",IF(INDEX('Per Invoice'!R$2:R$401,$U50)="","",INDEX('Per Invoice'!R$2:R$401,$U50)))</f>
        <v/>
      </c>
      <c r="S50" s="7">
        <f>IF($U50="","",IF(INDEX('Per Invoice'!S$2:S$401,$U50)="","",INDEX('Per Invoice'!S$2:S$401,$U50)))</f>
        <v/>
      </c>
      <c r="T50" s="7">
        <f>IF($U50="","",IF(INDEX('Per Invoice'!T$2:T$401,$U50)="","",INDEX('Per Invoice'!T$2:T$401,$U50)))</f>
        <v/>
      </c>
      <c r="U50" s="16">
        <f>IFERROR(MATCH(Settings!$C$26&amp;"|"&amp;ROWS($U$2:$U50),'Per Invoice'!$V$2:$V$401,0),"")</f>
        <v/>
      </c>
    </row>
    <row r="51">
      <c r="A51">
        <f>IF($U51="","",IF(INDEX('Per Invoice'!A$2:A$401,$U51)="","",INDEX('Per Invoice'!A$2:A$401,$U51)))</f>
        <v/>
      </c>
      <c r="B51">
        <f>IF($U51="","",IF(INDEX('Per Invoice'!B$2:B$401,$U51)="","",INDEX('Per Invoice'!B$2:B$401,$U51)))</f>
        <v/>
      </c>
      <c r="C51">
        <f>IF($U51="","",IF(INDEX('Per Invoice'!C$2:C$401,$U51)="","",INDEX('Per Invoice'!C$2:C$401,$U51)))</f>
        <v/>
      </c>
      <c r="D51">
        <f>IF($U51="","",IF(INDEX('Per Invoice'!D$2:D$401,$U51)="","",INDEX('Per Invoice'!D$2:D$401,$U51)))</f>
        <v/>
      </c>
      <c r="E51">
        <f>IF($U51="","",IF(INDEX('Per Invoice'!E$2:E$401,$U51)="","",INDEX('Per Invoice'!E$2:E$401,$U51)))</f>
        <v/>
      </c>
      <c r="F51">
        <f>IF($U51="","",IF(INDEX('Per Invoice'!F$2:F$401,$U51)="","",INDEX('Per Invoice'!F$2:F$401,$U51)))</f>
        <v/>
      </c>
      <c r="G51">
        <f>IF($U51="","",IF(INDEX('Per Invoice'!G$2:G$401,$U51)="","",INDEX('Per Invoice'!G$2:G$401,$U51)))</f>
        <v/>
      </c>
      <c r="H51" s="7">
        <f>IF($U51="","",IF(INDEX('Per Invoice'!H$2:H$401,$U51)="","",INDEX('Per Invoice'!H$2:H$401,$U51)))</f>
        <v/>
      </c>
      <c r="I51" s="14">
        <f>IF($U51="","",IF(INDEX('Per Invoice'!I$2:I$401,$U51)="","",INDEX('Per Invoice'!I$2:I$401,$U51)))</f>
        <v/>
      </c>
      <c r="J51">
        <f>IF($U51="","",IF(INDEX('Per Invoice'!J$2:J$401,$U51)="","",INDEX('Per Invoice'!J$2:J$401,$U51)))</f>
        <v/>
      </c>
      <c r="K51">
        <f>IF($U51="","",IF(INDEX('Per Invoice'!K$2:K$401,$U51)="","",INDEX('Per Invoice'!K$2:K$401,$U51)))</f>
        <v/>
      </c>
      <c r="L51" s="7">
        <f>IF($U51="","",IF(INDEX('Per Invoice'!L$2:L$401,$U51)="","",INDEX('Per Invoice'!L$2:L$401,$U51)))</f>
        <v/>
      </c>
      <c r="M51" s="7">
        <f>IF($U51="","",IF(INDEX('Per Invoice'!M$2:M$401,$U51)="","",INDEX('Per Invoice'!M$2:M$401,$U51)))</f>
        <v/>
      </c>
      <c r="N51">
        <f>IF($U51="","",IF(INDEX('Per Invoice'!N$2:N$401,$U51)="","",INDEX('Per Invoice'!N$2:N$401,$U51)))</f>
        <v/>
      </c>
      <c r="O51" s="7">
        <f>IF($U51="","",IF(INDEX('Per Invoice'!O$2:O$401,$U51)="","",INDEX('Per Invoice'!O$2:O$401,$U51)))</f>
        <v/>
      </c>
      <c r="P51" s="7">
        <f>IF($U51="","",IF(INDEX('Per Invoice'!P$2:P$401,$U51)="","",INDEX('Per Invoice'!P$2:P$401,$U51)))</f>
        <v/>
      </c>
      <c r="Q51" s="7">
        <f>IF($U51="","",IF(INDEX('Per Invoice'!Q$2:Q$401,$U51)="","",INDEX('Per Invoice'!Q$2:Q$401,$U51)))</f>
        <v/>
      </c>
      <c r="R51" s="7">
        <f>IF($U51="","",IF(INDEX('Per Invoice'!R$2:R$401,$U51)="","",INDEX('Per Invoice'!R$2:R$401,$U51)))</f>
        <v/>
      </c>
      <c r="S51" s="7">
        <f>IF($U51="","",IF(INDEX('Per Invoice'!S$2:S$401,$U51)="","",INDEX('Per Invoice'!S$2:S$401,$U51)))</f>
        <v/>
      </c>
      <c r="T51" s="7">
        <f>IF($U51="","",IF(INDEX('Per Invoice'!T$2:T$401,$U51)="","",INDEX('Per Invoice'!T$2:T$401,$U51)))</f>
        <v/>
      </c>
      <c r="U51" s="16">
        <f>IFERROR(MATCH(Settings!$C$26&amp;"|"&amp;ROWS($U$2:$U51),'Per Invoice'!$V$2:$V$401,0),"")</f>
        <v/>
      </c>
    </row>
    <row r="52">
      <c r="A52">
        <f>IF($U52="","",IF(INDEX('Per Invoice'!A$2:A$401,$U52)="","",INDEX('Per Invoice'!A$2:A$401,$U52)))</f>
        <v/>
      </c>
      <c r="B52">
        <f>IF($U52="","",IF(INDEX('Per Invoice'!B$2:B$401,$U52)="","",INDEX('Per Invoice'!B$2:B$401,$U52)))</f>
        <v/>
      </c>
      <c r="C52">
        <f>IF($U52="","",IF(INDEX('Per Invoice'!C$2:C$401,$U52)="","",INDEX('Per Invoice'!C$2:C$401,$U52)))</f>
        <v/>
      </c>
      <c r="D52">
        <f>IF($U52="","",IF(INDEX('Per Invoice'!D$2:D$401,$U52)="","",INDEX('Per Invoice'!D$2:D$401,$U52)))</f>
        <v/>
      </c>
      <c r="E52">
        <f>IF($U52="","",IF(INDEX('Per Invoice'!E$2:E$401,$U52)="","",INDEX('Per Invoice'!E$2:E$401,$U52)))</f>
        <v/>
      </c>
      <c r="F52">
        <f>IF($U52="","",IF(INDEX('Per Invoice'!F$2:F$401,$U52)="","",INDEX('Per Invoice'!F$2:F$401,$U52)))</f>
        <v/>
      </c>
      <c r="G52">
        <f>IF($U52="","",IF(INDEX('Per Invoice'!G$2:G$401,$U52)="","",INDEX('Per Invoice'!G$2:G$401,$U52)))</f>
        <v/>
      </c>
      <c r="H52" s="7">
        <f>IF($U52="","",IF(INDEX('Per Invoice'!H$2:H$401,$U52)="","",INDEX('Per Invoice'!H$2:H$401,$U52)))</f>
        <v/>
      </c>
      <c r="I52" s="14">
        <f>IF($U52="","",IF(INDEX('Per Invoice'!I$2:I$401,$U52)="","",INDEX('Per Invoice'!I$2:I$401,$U52)))</f>
        <v/>
      </c>
      <c r="J52">
        <f>IF($U52="","",IF(INDEX('Per Invoice'!J$2:J$401,$U52)="","",INDEX('Per Invoice'!J$2:J$401,$U52)))</f>
        <v/>
      </c>
      <c r="K52">
        <f>IF($U52="","",IF(INDEX('Per Invoice'!K$2:K$401,$U52)="","",INDEX('Per Invoice'!K$2:K$401,$U52)))</f>
        <v/>
      </c>
      <c r="L52" s="7">
        <f>IF($U52="","",IF(INDEX('Per Invoice'!L$2:L$401,$U52)="","",INDEX('Per Invoice'!L$2:L$401,$U52)))</f>
        <v/>
      </c>
      <c r="M52" s="7">
        <f>IF($U52="","",IF(INDEX('Per Invoice'!M$2:M$401,$U52)="","",INDEX('Per Invoice'!M$2:M$401,$U52)))</f>
        <v/>
      </c>
      <c r="N52">
        <f>IF($U52="","",IF(INDEX('Per Invoice'!N$2:N$401,$U52)="","",INDEX('Per Invoice'!N$2:N$401,$U52)))</f>
        <v/>
      </c>
      <c r="O52" s="7">
        <f>IF($U52="","",IF(INDEX('Per Invoice'!O$2:O$401,$U52)="","",INDEX('Per Invoice'!O$2:O$401,$U52)))</f>
        <v/>
      </c>
      <c r="P52" s="7">
        <f>IF($U52="","",IF(INDEX('Per Invoice'!P$2:P$401,$U52)="","",INDEX('Per Invoice'!P$2:P$401,$U52)))</f>
        <v/>
      </c>
      <c r="Q52" s="7">
        <f>IF($U52="","",IF(INDEX('Per Invoice'!Q$2:Q$401,$U52)="","",INDEX('Per Invoice'!Q$2:Q$401,$U52)))</f>
        <v/>
      </c>
      <c r="R52" s="7">
        <f>IF($U52="","",IF(INDEX('Per Invoice'!R$2:R$401,$U52)="","",INDEX('Per Invoice'!R$2:R$401,$U52)))</f>
        <v/>
      </c>
      <c r="S52" s="7">
        <f>IF($U52="","",IF(INDEX('Per Invoice'!S$2:S$401,$U52)="","",INDEX('Per Invoice'!S$2:S$401,$U52)))</f>
        <v/>
      </c>
      <c r="T52" s="7">
        <f>IF($U52="","",IF(INDEX('Per Invoice'!T$2:T$401,$U52)="","",INDEX('Per Invoice'!T$2:T$401,$U52)))</f>
        <v/>
      </c>
      <c r="U52" s="16">
        <f>IFERROR(MATCH(Settings!$C$26&amp;"|"&amp;ROWS($U$2:$U52),'Per Invoice'!$V$2:$V$401,0),"")</f>
        <v/>
      </c>
    </row>
    <row r="53">
      <c r="A53">
        <f>IF($U53="","",IF(INDEX('Per Invoice'!A$2:A$401,$U53)="","",INDEX('Per Invoice'!A$2:A$401,$U53)))</f>
        <v/>
      </c>
      <c r="B53">
        <f>IF($U53="","",IF(INDEX('Per Invoice'!B$2:B$401,$U53)="","",INDEX('Per Invoice'!B$2:B$401,$U53)))</f>
        <v/>
      </c>
      <c r="C53">
        <f>IF($U53="","",IF(INDEX('Per Invoice'!C$2:C$401,$U53)="","",INDEX('Per Invoice'!C$2:C$401,$U53)))</f>
        <v/>
      </c>
      <c r="D53">
        <f>IF($U53="","",IF(INDEX('Per Invoice'!D$2:D$401,$U53)="","",INDEX('Per Invoice'!D$2:D$401,$U53)))</f>
        <v/>
      </c>
      <c r="E53">
        <f>IF($U53="","",IF(INDEX('Per Invoice'!E$2:E$401,$U53)="","",INDEX('Per Invoice'!E$2:E$401,$U53)))</f>
        <v/>
      </c>
      <c r="F53">
        <f>IF($U53="","",IF(INDEX('Per Invoice'!F$2:F$401,$U53)="","",INDEX('Per Invoice'!F$2:F$401,$U53)))</f>
        <v/>
      </c>
      <c r="G53">
        <f>IF($U53="","",IF(INDEX('Per Invoice'!G$2:G$401,$U53)="","",INDEX('Per Invoice'!G$2:G$401,$U53)))</f>
        <v/>
      </c>
      <c r="H53" s="7">
        <f>IF($U53="","",IF(INDEX('Per Invoice'!H$2:H$401,$U53)="","",INDEX('Per Invoice'!H$2:H$401,$U53)))</f>
        <v/>
      </c>
      <c r="I53" s="14">
        <f>IF($U53="","",IF(INDEX('Per Invoice'!I$2:I$401,$U53)="","",INDEX('Per Invoice'!I$2:I$401,$U53)))</f>
        <v/>
      </c>
      <c r="J53">
        <f>IF($U53="","",IF(INDEX('Per Invoice'!J$2:J$401,$U53)="","",INDEX('Per Invoice'!J$2:J$401,$U53)))</f>
        <v/>
      </c>
      <c r="K53">
        <f>IF($U53="","",IF(INDEX('Per Invoice'!K$2:K$401,$U53)="","",INDEX('Per Invoice'!K$2:K$401,$U53)))</f>
        <v/>
      </c>
      <c r="L53" s="7">
        <f>IF($U53="","",IF(INDEX('Per Invoice'!L$2:L$401,$U53)="","",INDEX('Per Invoice'!L$2:L$401,$U53)))</f>
        <v/>
      </c>
      <c r="M53" s="7">
        <f>IF($U53="","",IF(INDEX('Per Invoice'!M$2:M$401,$U53)="","",INDEX('Per Invoice'!M$2:M$401,$U53)))</f>
        <v/>
      </c>
      <c r="N53">
        <f>IF($U53="","",IF(INDEX('Per Invoice'!N$2:N$401,$U53)="","",INDEX('Per Invoice'!N$2:N$401,$U53)))</f>
        <v/>
      </c>
      <c r="O53" s="7">
        <f>IF($U53="","",IF(INDEX('Per Invoice'!O$2:O$401,$U53)="","",INDEX('Per Invoice'!O$2:O$401,$U53)))</f>
        <v/>
      </c>
      <c r="P53" s="7">
        <f>IF($U53="","",IF(INDEX('Per Invoice'!P$2:P$401,$U53)="","",INDEX('Per Invoice'!P$2:P$401,$U53)))</f>
        <v/>
      </c>
      <c r="Q53" s="7">
        <f>IF($U53="","",IF(INDEX('Per Invoice'!Q$2:Q$401,$U53)="","",INDEX('Per Invoice'!Q$2:Q$401,$U53)))</f>
        <v/>
      </c>
      <c r="R53" s="7">
        <f>IF($U53="","",IF(INDEX('Per Invoice'!R$2:R$401,$U53)="","",INDEX('Per Invoice'!R$2:R$401,$U53)))</f>
        <v/>
      </c>
      <c r="S53" s="7">
        <f>IF($U53="","",IF(INDEX('Per Invoice'!S$2:S$401,$U53)="","",INDEX('Per Invoice'!S$2:S$401,$U53)))</f>
        <v/>
      </c>
      <c r="T53" s="7">
        <f>IF($U53="","",IF(INDEX('Per Invoice'!T$2:T$401,$U53)="","",INDEX('Per Invoice'!T$2:T$401,$U53)))</f>
        <v/>
      </c>
      <c r="U53" s="16">
        <f>IFERROR(MATCH(Settings!$C$26&amp;"|"&amp;ROWS($U$2:$U53),'Per Invoice'!$V$2:$V$401,0),"")</f>
        <v/>
      </c>
    </row>
    <row r="54">
      <c r="A54">
        <f>IF($U54="","",IF(INDEX('Per Invoice'!A$2:A$401,$U54)="","",INDEX('Per Invoice'!A$2:A$401,$U54)))</f>
        <v/>
      </c>
      <c r="B54">
        <f>IF($U54="","",IF(INDEX('Per Invoice'!B$2:B$401,$U54)="","",INDEX('Per Invoice'!B$2:B$401,$U54)))</f>
        <v/>
      </c>
      <c r="C54">
        <f>IF($U54="","",IF(INDEX('Per Invoice'!C$2:C$401,$U54)="","",INDEX('Per Invoice'!C$2:C$401,$U54)))</f>
        <v/>
      </c>
      <c r="D54">
        <f>IF($U54="","",IF(INDEX('Per Invoice'!D$2:D$401,$U54)="","",INDEX('Per Invoice'!D$2:D$401,$U54)))</f>
        <v/>
      </c>
      <c r="E54">
        <f>IF($U54="","",IF(INDEX('Per Invoice'!E$2:E$401,$U54)="","",INDEX('Per Invoice'!E$2:E$401,$U54)))</f>
        <v/>
      </c>
      <c r="F54">
        <f>IF($U54="","",IF(INDEX('Per Invoice'!F$2:F$401,$U54)="","",INDEX('Per Invoice'!F$2:F$401,$U54)))</f>
        <v/>
      </c>
      <c r="G54">
        <f>IF($U54="","",IF(INDEX('Per Invoice'!G$2:G$401,$U54)="","",INDEX('Per Invoice'!G$2:G$401,$U54)))</f>
        <v/>
      </c>
      <c r="H54" s="7">
        <f>IF($U54="","",IF(INDEX('Per Invoice'!H$2:H$401,$U54)="","",INDEX('Per Invoice'!H$2:H$401,$U54)))</f>
        <v/>
      </c>
      <c r="I54" s="14">
        <f>IF($U54="","",IF(INDEX('Per Invoice'!I$2:I$401,$U54)="","",INDEX('Per Invoice'!I$2:I$401,$U54)))</f>
        <v/>
      </c>
      <c r="J54">
        <f>IF($U54="","",IF(INDEX('Per Invoice'!J$2:J$401,$U54)="","",INDEX('Per Invoice'!J$2:J$401,$U54)))</f>
        <v/>
      </c>
      <c r="K54">
        <f>IF($U54="","",IF(INDEX('Per Invoice'!K$2:K$401,$U54)="","",INDEX('Per Invoice'!K$2:K$401,$U54)))</f>
        <v/>
      </c>
      <c r="L54" s="7">
        <f>IF($U54="","",IF(INDEX('Per Invoice'!L$2:L$401,$U54)="","",INDEX('Per Invoice'!L$2:L$401,$U54)))</f>
        <v/>
      </c>
      <c r="M54" s="7">
        <f>IF($U54="","",IF(INDEX('Per Invoice'!M$2:M$401,$U54)="","",INDEX('Per Invoice'!M$2:M$401,$U54)))</f>
        <v/>
      </c>
      <c r="N54">
        <f>IF($U54="","",IF(INDEX('Per Invoice'!N$2:N$401,$U54)="","",INDEX('Per Invoice'!N$2:N$401,$U54)))</f>
        <v/>
      </c>
      <c r="O54" s="7">
        <f>IF($U54="","",IF(INDEX('Per Invoice'!O$2:O$401,$U54)="","",INDEX('Per Invoice'!O$2:O$401,$U54)))</f>
        <v/>
      </c>
      <c r="P54" s="7">
        <f>IF($U54="","",IF(INDEX('Per Invoice'!P$2:P$401,$U54)="","",INDEX('Per Invoice'!P$2:P$401,$U54)))</f>
        <v/>
      </c>
      <c r="Q54" s="7">
        <f>IF($U54="","",IF(INDEX('Per Invoice'!Q$2:Q$401,$U54)="","",INDEX('Per Invoice'!Q$2:Q$401,$U54)))</f>
        <v/>
      </c>
      <c r="R54" s="7">
        <f>IF($U54="","",IF(INDEX('Per Invoice'!R$2:R$401,$U54)="","",INDEX('Per Invoice'!R$2:R$401,$U54)))</f>
        <v/>
      </c>
      <c r="S54" s="7">
        <f>IF($U54="","",IF(INDEX('Per Invoice'!S$2:S$401,$U54)="","",INDEX('Per Invoice'!S$2:S$401,$U54)))</f>
        <v/>
      </c>
      <c r="T54" s="7">
        <f>IF($U54="","",IF(INDEX('Per Invoice'!T$2:T$401,$U54)="","",INDEX('Per Invoice'!T$2:T$401,$U54)))</f>
        <v/>
      </c>
      <c r="U54" s="16">
        <f>IFERROR(MATCH(Settings!$C$26&amp;"|"&amp;ROWS($U$2:$U54),'Per Invoice'!$V$2:$V$401,0),"")</f>
        <v/>
      </c>
    </row>
    <row r="55">
      <c r="A55">
        <f>IF($U55="","",IF(INDEX('Per Invoice'!A$2:A$401,$U55)="","",INDEX('Per Invoice'!A$2:A$401,$U55)))</f>
        <v/>
      </c>
      <c r="B55">
        <f>IF($U55="","",IF(INDEX('Per Invoice'!B$2:B$401,$U55)="","",INDEX('Per Invoice'!B$2:B$401,$U55)))</f>
        <v/>
      </c>
      <c r="C55">
        <f>IF($U55="","",IF(INDEX('Per Invoice'!C$2:C$401,$U55)="","",INDEX('Per Invoice'!C$2:C$401,$U55)))</f>
        <v/>
      </c>
      <c r="D55">
        <f>IF($U55="","",IF(INDEX('Per Invoice'!D$2:D$401,$U55)="","",INDEX('Per Invoice'!D$2:D$401,$U55)))</f>
        <v/>
      </c>
      <c r="E55">
        <f>IF($U55="","",IF(INDEX('Per Invoice'!E$2:E$401,$U55)="","",INDEX('Per Invoice'!E$2:E$401,$U55)))</f>
        <v/>
      </c>
      <c r="F55">
        <f>IF($U55="","",IF(INDEX('Per Invoice'!F$2:F$401,$U55)="","",INDEX('Per Invoice'!F$2:F$401,$U55)))</f>
        <v/>
      </c>
      <c r="G55">
        <f>IF($U55="","",IF(INDEX('Per Invoice'!G$2:G$401,$U55)="","",INDEX('Per Invoice'!G$2:G$401,$U55)))</f>
        <v/>
      </c>
      <c r="H55" s="7">
        <f>IF($U55="","",IF(INDEX('Per Invoice'!H$2:H$401,$U55)="","",INDEX('Per Invoice'!H$2:H$401,$U55)))</f>
        <v/>
      </c>
      <c r="I55" s="14">
        <f>IF($U55="","",IF(INDEX('Per Invoice'!I$2:I$401,$U55)="","",INDEX('Per Invoice'!I$2:I$401,$U55)))</f>
        <v/>
      </c>
      <c r="J55">
        <f>IF($U55="","",IF(INDEX('Per Invoice'!J$2:J$401,$U55)="","",INDEX('Per Invoice'!J$2:J$401,$U55)))</f>
        <v/>
      </c>
      <c r="K55">
        <f>IF($U55="","",IF(INDEX('Per Invoice'!K$2:K$401,$U55)="","",INDEX('Per Invoice'!K$2:K$401,$U55)))</f>
        <v/>
      </c>
      <c r="L55" s="7">
        <f>IF($U55="","",IF(INDEX('Per Invoice'!L$2:L$401,$U55)="","",INDEX('Per Invoice'!L$2:L$401,$U55)))</f>
        <v/>
      </c>
      <c r="M55" s="7">
        <f>IF($U55="","",IF(INDEX('Per Invoice'!M$2:M$401,$U55)="","",INDEX('Per Invoice'!M$2:M$401,$U55)))</f>
        <v/>
      </c>
      <c r="N55">
        <f>IF($U55="","",IF(INDEX('Per Invoice'!N$2:N$401,$U55)="","",INDEX('Per Invoice'!N$2:N$401,$U55)))</f>
        <v/>
      </c>
      <c r="O55" s="7">
        <f>IF($U55="","",IF(INDEX('Per Invoice'!O$2:O$401,$U55)="","",INDEX('Per Invoice'!O$2:O$401,$U55)))</f>
        <v/>
      </c>
      <c r="P55" s="7">
        <f>IF($U55="","",IF(INDEX('Per Invoice'!P$2:P$401,$U55)="","",INDEX('Per Invoice'!P$2:P$401,$U55)))</f>
        <v/>
      </c>
      <c r="Q55" s="7">
        <f>IF($U55="","",IF(INDEX('Per Invoice'!Q$2:Q$401,$U55)="","",INDEX('Per Invoice'!Q$2:Q$401,$U55)))</f>
        <v/>
      </c>
      <c r="R55" s="7">
        <f>IF($U55="","",IF(INDEX('Per Invoice'!R$2:R$401,$U55)="","",INDEX('Per Invoice'!R$2:R$401,$U55)))</f>
        <v/>
      </c>
      <c r="S55" s="7">
        <f>IF($U55="","",IF(INDEX('Per Invoice'!S$2:S$401,$U55)="","",INDEX('Per Invoice'!S$2:S$401,$U55)))</f>
        <v/>
      </c>
      <c r="T55" s="7">
        <f>IF($U55="","",IF(INDEX('Per Invoice'!T$2:T$401,$U55)="","",INDEX('Per Invoice'!T$2:T$401,$U55)))</f>
        <v/>
      </c>
      <c r="U55" s="16">
        <f>IFERROR(MATCH(Settings!$C$26&amp;"|"&amp;ROWS($U$2:$U55),'Per Invoice'!$V$2:$V$401,0),"")</f>
        <v/>
      </c>
    </row>
    <row r="56">
      <c r="A56">
        <f>IF($U56="","",IF(INDEX('Per Invoice'!A$2:A$401,$U56)="","",INDEX('Per Invoice'!A$2:A$401,$U56)))</f>
        <v/>
      </c>
      <c r="B56">
        <f>IF($U56="","",IF(INDEX('Per Invoice'!B$2:B$401,$U56)="","",INDEX('Per Invoice'!B$2:B$401,$U56)))</f>
        <v/>
      </c>
      <c r="C56">
        <f>IF($U56="","",IF(INDEX('Per Invoice'!C$2:C$401,$U56)="","",INDEX('Per Invoice'!C$2:C$401,$U56)))</f>
        <v/>
      </c>
      <c r="D56">
        <f>IF($U56="","",IF(INDEX('Per Invoice'!D$2:D$401,$U56)="","",INDEX('Per Invoice'!D$2:D$401,$U56)))</f>
        <v/>
      </c>
      <c r="E56">
        <f>IF($U56="","",IF(INDEX('Per Invoice'!E$2:E$401,$U56)="","",INDEX('Per Invoice'!E$2:E$401,$U56)))</f>
        <v/>
      </c>
      <c r="F56">
        <f>IF($U56="","",IF(INDEX('Per Invoice'!F$2:F$401,$U56)="","",INDEX('Per Invoice'!F$2:F$401,$U56)))</f>
        <v/>
      </c>
      <c r="G56">
        <f>IF($U56="","",IF(INDEX('Per Invoice'!G$2:G$401,$U56)="","",INDEX('Per Invoice'!G$2:G$401,$U56)))</f>
        <v/>
      </c>
      <c r="H56" s="7">
        <f>IF($U56="","",IF(INDEX('Per Invoice'!H$2:H$401,$U56)="","",INDEX('Per Invoice'!H$2:H$401,$U56)))</f>
        <v/>
      </c>
      <c r="I56" s="14">
        <f>IF($U56="","",IF(INDEX('Per Invoice'!I$2:I$401,$U56)="","",INDEX('Per Invoice'!I$2:I$401,$U56)))</f>
        <v/>
      </c>
      <c r="J56">
        <f>IF($U56="","",IF(INDEX('Per Invoice'!J$2:J$401,$U56)="","",INDEX('Per Invoice'!J$2:J$401,$U56)))</f>
        <v/>
      </c>
      <c r="K56">
        <f>IF($U56="","",IF(INDEX('Per Invoice'!K$2:K$401,$U56)="","",INDEX('Per Invoice'!K$2:K$401,$U56)))</f>
        <v/>
      </c>
      <c r="L56" s="7">
        <f>IF($U56="","",IF(INDEX('Per Invoice'!L$2:L$401,$U56)="","",INDEX('Per Invoice'!L$2:L$401,$U56)))</f>
        <v/>
      </c>
      <c r="M56" s="7">
        <f>IF($U56="","",IF(INDEX('Per Invoice'!M$2:M$401,$U56)="","",INDEX('Per Invoice'!M$2:M$401,$U56)))</f>
        <v/>
      </c>
      <c r="N56">
        <f>IF($U56="","",IF(INDEX('Per Invoice'!N$2:N$401,$U56)="","",INDEX('Per Invoice'!N$2:N$401,$U56)))</f>
        <v/>
      </c>
      <c r="O56" s="7">
        <f>IF($U56="","",IF(INDEX('Per Invoice'!O$2:O$401,$U56)="","",INDEX('Per Invoice'!O$2:O$401,$U56)))</f>
        <v/>
      </c>
      <c r="P56" s="7">
        <f>IF($U56="","",IF(INDEX('Per Invoice'!P$2:P$401,$U56)="","",INDEX('Per Invoice'!P$2:P$401,$U56)))</f>
        <v/>
      </c>
      <c r="Q56" s="7">
        <f>IF($U56="","",IF(INDEX('Per Invoice'!Q$2:Q$401,$U56)="","",INDEX('Per Invoice'!Q$2:Q$401,$U56)))</f>
        <v/>
      </c>
      <c r="R56" s="7">
        <f>IF($U56="","",IF(INDEX('Per Invoice'!R$2:R$401,$U56)="","",INDEX('Per Invoice'!R$2:R$401,$U56)))</f>
        <v/>
      </c>
      <c r="S56" s="7">
        <f>IF($U56="","",IF(INDEX('Per Invoice'!S$2:S$401,$U56)="","",INDEX('Per Invoice'!S$2:S$401,$U56)))</f>
        <v/>
      </c>
      <c r="T56" s="7">
        <f>IF($U56="","",IF(INDEX('Per Invoice'!T$2:T$401,$U56)="","",INDEX('Per Invoice'!T$2:T$401,$U56)))</f>
        <v/>
      </c>
      <c r="U56" s="16">
        <f>IFERROR(MATCH(Settings!$C$26&amp;"|"&amp;ROWS($U$2:$U56),'Per Invoice'!$V$2:$V$401,0),"")</f>
        <v/>
      </c>
    </row>
    <row r="57">
      <c r="A57">
        <f>IF($U57="","",IF(INDEX('Per Invoice'!A$2:A$401,$U57)="","",INDEX('Per Invoice'!A$2:A$401,$U57)))</f>
        <v/>
      </c>
      <c r="B57">
        <f>IF($U57="","",IF(INDEX('Per Invoice'!B$2:B$401,$U57)="","",INDEX('Per Invoice'!B$2:B$401,$U57)))</f>
        <v/>
      </c>
      <c r="C57">
        <f>IF($U57="","",IF(INDEX('Per Invoice'!C$2:C$401,$U57)="","",INDEX('Per Invoice'!C$2:C$401,$U57)))</f>
        <v/>
      </c>
      <c r="D57">
        <f>IF($U57="","",IF(INDEX('Per Invoice'!D$2:D$401,$U57)="","",INDEX('Per Invoice'!D$2:D$401,$U57)))</f>
        <v/>
      </c>
      <c r="E57">
        <f>IF($U57="","",IF(INDEX('Per Invoice'!E$2:E$401,$U57)="","",INDEX('Per Invoice'!E$2:E$401,$U57)))</f>
        <v/>
      </c>
      <c r="F57">
        <f>IF($U57="","",IF(INDEX('Per Invoice'!F$2:F$401,$U57)="","",INDEX('Per Invoice'!F$2:F$401,$U57)))</f>
        <v/>
      </c>
      <c r="G57">
        <f>IF($U57="","",IF(INDEX('Per Invoice'!G$2:G$401,$U57)="","",INDEX('Per Invoice'!G$2:G$401,$U57)))</f>
        <v/>
      </c>
      <c r="H57" s="7">
        <f>IF($U57="","",IF(INDEX('Per Invoice'!H$2:H$401,$U57)="","",INDEX('Per Invoice'!H$2:H$401,$U57)))</f>
        <v/>
      </c>
      <c r="I57" s="14">
        <f>IF($U57="","",IF(INDEX('Per Invoice'!I$2:I$401,$U57)="","",INDEX('Per Invoice'!I$2:I$401,$U57)))</f>
        <v/>
      </c>
      <c r="J57">
        <f>IF($U57="","",IF(INDEX('Per Invoice'!J$2:J$401,$U57)="","",INDEX('Per Invoice'!J$2:J$401,$U57)))</f>
        <v/>
      </c>
      <c r="K57">
        <f>IF($U57="","",IF(INDEX('Per Invoice'!K$2:K$401,$U57)="","",INDEX('Per Invoice'!K$2:K$401,$U57)))</f>
        <v/>
      </c>
      <c r="L57" s="7">
        <f>IF($U57="","",IF(INDEX('Per Invoice'!L$2:L$401,$U57)="","",INDEX('Per Invoice'!L$2:L$401,$U57)))</f>
        <v/>
      </c>
      <c r="M57" s="7">
        <f>IF($U57="","",IF(INDEX('Per Invoice'!M$2:M$401,$U57)="","",INDEX('Per Invoice'!M$2:M$401,$U57)))</f>
        <v/>
      </c>
      <c r="N57">
        <f>IF($U57="","",IF(INDEX('Per Invoice'!N$2:N$401,$U57)="","",INDEX('Per Invoice'!N$2:N$401,$U57)))</f>
        <v/>
      </c>
      <c r="O57" s="7">
        <f>IF($U57="","",IF(INDEX('Per Invoice'!O$2:O$401,$U57)="","",INDEX('Per Invoice'!O$2:O$401,$U57)))</f>
        <v/>
      </c>
      <c r="P57" s="7">
        <f>IF($U57="","",IF(INDEX('Per Invoice'!P$2:P$401,$U57)="","",INDEX('Per Invoice'!P$2:P$401,$U57)))</f>
        <v/>
      </c>
      <c r="Q57" s="7">
        <f>IF($U57="","",IF(INDEX('Per Invoice'!Q$2:Q$401,$U57)="","",INDEX('Per Invoice'!Q$2:Q$401,$U57)))</f>
        <v/>
      </c>
      <c r="R57" s="7">
        <f>IF($U57="","",IF(INDEX('Per Invoice'!R$2:R$401,$U57)="","",INDEX('Per Invoice'!R$2:R$401,$U57)))</f>
        <v/>
      </c>
      <c r="S57" s="7">
        <f>IF($U57="","",IF(INDEX('Per Invoice'!S$2:S$401,$U57)="","",INDEX('Per Invoice'!S$2:S$401,$U57)))</f>
        <v/>
      </c>
      <c r="T57" s="7">
        <f>IF($U57="","",IF(INDEX('Per Invoice'!T$2:T$401,$U57)="","",INDEX('Per Invoice'!T$2:T$401,$U57)))</f>
        <v/>
      </c>
      <c r="U57" s="16">
        <f>IFERROR(MATCH(Settings!$C$26&amp;"|"&amp;ROWS($U$2:$U57),'Per Invoice'!$V$2:$V$401,0),"")</f>
        <v/>
      </c>
    </row>
    <row r="58">
      <c r="A58">
        <f>IF($U58="","",IF(INDEX('Per Invoice'!A$2:A$401,$U58)="","",INDEX('Per Invoice'!A$2:A$401,$U58)))</f>
        <v/>
      </c>
      <c r="B58">
        <f>IF($U58="","",IF(INDEX('Per Invoice'!B$2:B$401,$U58)="","",INDEX('Per Invoice'!B$2:B$401,$U58)))</f>
        <v/>
      </c>
      <c r="C58">
        <f>IF($U58="","",IF(INDEX('Per Invoice'!C$2:C$401,$U58)="","",INDEX('Per Invoice'!C$2:C$401,$U58)))</f>
        <v/>
      </c>
      <c r="D58">
        <f>IF($U58="","",IF(INDEX('Per Invoice'!D$2:D$401,$U58)="","",INDEX('Per Invoice'!D$2:D$401,$U58)))</f>
        <v/>
      </c>
      <c r="E58">
        <f>IF($U58="","",IF(INDEX('Per Invoice'!E$2:E$401,$U58)="","",INDEX('Per Invoice'!E$2:E$401,$U58)))</f>
        <v/>
      </c>
      <c r="F58">
        <f>IF($U58="","",IF(INDEX('Per Invoice'!F$2:F$401,$U58)="","",INDEX('Per Invoice'!F$2:F$401,$U58)))</f>
        <v/>
      </c>
      <c r="G58">
        <f>IF($U58="","",IF(INDEX('Per Invoice'!G$2:G$401,$U58)="","",INDEX('Per Invoice'!G$2:G$401,$U58)))</f>
        <v/>
      </c>
      <c r="H58" s="7">
        <f>IF($U58="","",IF(INDEX('Per Invoice'!H$2:H$401,$U58)="","",INDEX('Per Invoice'!H$2:H$401,$U58)))</f>
        <v/>
      </c>
      <c r="I58" s="14">
        <f>IF($U58="","",IF(INDEX('Per Invoice'!I$2:I$401,$U58)="","",INDEX('Per Invoice'!I$2:I$401,$U58)))</f>
        <v/>
      </c>
      <c r="J58">
        <f>IF($U58="","",IF(INDEX('Per Invoice'!J$2:J$401,$U58)="","",INDEX('Per Invoice'!J$2:J$401,$U58)))</f>
        <v/>
      </c>
      <c r="K58">
        <f>IF($U58="","",IF(INDEX('Per Invoice'!K$2:K$401,$U58)="","",INDEX('Per Invoice'!K$2:K$401,$U58)))</f>
        <v/>
      </c>
      <c r="L58" s="7">
        <f>IF($U58="","",IF(INDEX('Per Invoice'!L$2:L$401,$U58)="","",INDEX('Per Invoice'!L$2:L$401,$U58)))</f>
        <v/>
      </c>
      <c r="M58" s="7">
        <f>IF($U58="","",IF(INDEX('Per Invoice'!M$2:M$401,$U58)="","",INDEX('Per Invoice'!M$2:M$401,$U58)))</f>
        <v/>
      </c>
      <c r="N58">
        <f>IF($U58="","",IF(INDEX('Per Invoice'!N$2:N$401,$U58)="","",INDEX('Per Invoice'!N$2:N$401,$U58)))</f>
        <v/>
      </c>
      <c r="O58" s="7">
        <f>IF($U58="","",IF(INDEX('Per Invoice'!O$2:O$401,$U58)="","",INDEX('Per Invoice'!O$2:O$401,$U58)))</f>
        <v/>
      </c>
      <c r="P58" s="7">
        <f>IF($U58="","",IF(INDEX('Per Invoice'!P$2:P$401,$U58)="","",INDEX('Per Invoice'!P$2:P$401,$U58)))</f>
        <v/>
      </c>
      <c r="Q58" s="7">
        <f>IF($U58="","",IF(INDEX('Per Invoice'!Q$2:Q$401,$U58)="","",INDEX('Per Invoice'!Q$2:Q$401,$U58)))</f>
        <v/>
      </c>
      <c r="R58" s="7">
        <f>IF($U58="","",IF(INDEX('Per Invoice'!R$2:R$401,$U58)="","",INDEX('Per Invoice'!R$2:R$401,$U58)))</f>
        <v/>
      </c>
      <c r="S58" s="7">
        <f>IF($U58="","",IF(INDEX('Per Invoice'!S$2:S$401,$U58)="","",INDEX('Per Invoice'!S$2:S$401,$U58)))</f>
        <v/>
      </c>
      <c r="T58" s="7">
        <f>IF($U58="","",IF(INDEX('Per Invoice'!T$2:T$401,$U58)="","",INDEX('Per Invoice'!T$2:T$401,$U58)))</f>
        <v/>
      </c>
      <c r="U58" s="16">
        <f>IFERROR(MATCH(Settings!$C$26&amp;"|"&amp;ROWS($U$2:$U58),'Per Invoice'!$V$2:$V$401,0),"")</f>
        <v/>
      </c>
    </row>
    <row r="59">
      <c r="A59">
        <f>IF($U59="","",IF(INDEX('Per Invoice'!A$2:A$401,$U59)="","",INDEX('Per Invoice'!A$2:A$401,$U59)))</f>
        <v/>
      </c>
      <c r="B59">
        <f>IF($U59="","",IF(INDEX('Per Invoice'!B$2:B$401,$U59)="","",INDEX('Per Invoice'!B$2:B$401,$U59)))</f>
        <v/>
      </c>
      <c r="C59">
        <f>IF($U59="","",IF(INDEX('Per Invoice'!C$2:C$401,$U59)="","",INDEX('Per Invoice'!C$2:C$401,$U59)))</f>
        <v/>
      </c>
      <c r="D59">
        <f>IF($U59="","",IF(INDEX('Per Invoice'!D$2:D$401,$U59)="","",INDEX('Per Invoice'!D$2:D$401,$U59)))</f>
        <v/>
      </c>
      <c r="E59">
        <f>IF($U59="","",IF(INDEX('Per Invoice'!E$2:E$401,$U59)="","",INDEX('Per Invoice'!E$2:E$401,$U59)))</f>
        <v/>
      </c>
      <c r="F59">
        <f>IF($U59="","",IF(INDEX('Per Invoice'!F$2:F$401,$U59)="","",INDEX('Per Invoice'!F$2:F$401,$U59)))</f>
        <v/>
      </c>
      <c r="G59">
        <f>IF($U59="","",IF(INDEX('Per Invoice'!G$2:G$401,$U59)="","",INDEX('Per Invoice'!G$2:G$401,$U59)))</f>
        <v/>
      </c>
      <c r="H59" s="7">
        <f>IF($U59="","",IF(INDEX('Per Invoice'!H$2:H$401,$U59)="","",INDEX('Per Invoice'!H$2:H$401,$U59)))</f>
        <v/>
      </c>
      <c r="I59" s="14">
        <f>IF($U59="","",IF(INDEX('Per Invoice'!I$2:I$401,$U59)="","",INDEX('Per Invoice'!I$2:I$401,$U59)))</f>
        <v/>
      </c>
      <c r="J59">
        <f>IF($U59="","",IF(INDEX('Per Invoice'!J$2:J$401,$U59)="","",INDEX('Per Invoice'!J$2:J$401,$U59)))</f>
        <v/>
      </c>
      <c r="K59">
        <f>IF($U59="","",IF(INDEX('Per Invoice'!K$2:K$401,$U59)="","",INDEX('Per Invoice'!K$2:K$401,$U59)))</f>
        <v/>
      </c>
      <c r="L59" s="7">
        <f>IF($U59="","",IF(INDEX('Per Invoice'!L$2:L$401,$U59)="","",INDEX('Per Invoice'!L$2:L$401,$U59)))</f>
        <v/>
      </c>
      <c r="M59" s="7">
        <f>IF($U59="","",IF(INDEX('Per Invoice'!M$2:M$401,$U59)="","",INDEX('Per Invoice'!M$2:M$401,$U59)))</f>
        <v/>
      </c>
      <c r="N59">
        <f>IF($U59="","",IF(INDEX('Per Invoice'!N$2:N$401,$U59)="","",INDEX('Per Invoice'!N$2:N$401,$U59)))</f>
        <v/>
      </c>
      <c r="O59" s="7">
        <f>IF($U59="","",IF(INDEX('Per Invoice'!O$2:O$401,$U59)="","",INDEX('Per Invoice'!O$2:O$401,$U59)))</f>
        <v/>
      </c>
      <c r="P59" s="7">
        <f>IF($U59="","",IF(INDEX('Per Invoice'!P$2:P$401,$U59)="","",INDEX('Per Invoice'!P$2:P$401,$U59)))</f>
        <v/>
      </c>
      <c r="Q59" s="7">
        <f>IF($U59="","",IF(INDEX('Per Invoice'!Q$2:Q$401,$U59)="","",INDEX('Per Invoice'!Q$2:Q$401,$U59)))</f>
        <v/>
      </c>
      <c r="R59" s="7">
        <f>IF($U59="","",IF(INDEX('Per Invoice'!R$2:R$401,$U59)="","",INDEX('Per Invoice'!R$2:R$401,$U59)))</f>
        <v/>
      </c>
      <c r="S59" s="7">
        <f>IF($U59="","",IF(INDEX('Per Invoice'!S$2:S$401,$U59)="","",INDEX('Per Invoice'!S$2:S$401,$U59)))</f>
        <v/>
      </c>
      <c r="T59" s="7">
        <f>IF($U59="","",IF(INDEX('Per Invoice'!T$2:T$401,$U59)="","",INDEX('Per Invoice'!T$2:T$401,$U59)))</f>
        <v/>
      </c>
      <c r="U59" s="16">
        <f>IFERROR(MATCH(Settings!$C$26&amp;"|"&amp;ROWS($U$2:$U59),'Per Invoice'!$V$2:$V$401,0),"")</f>
        <v/>
      </c>
    </row>
    <row r="60">
      <c r="A60">
        <f>IF($U60="","",IF(INDEX('Per Invoice'!A$2:A$401,$U60)="","",INDEX('Per Invoice'!A$2:A$401,$U60)))</f>
        <v/>
      </c>
      <c r="B60">
        <f>IF($U60="","",IF(INDEX('Per Invoice'!B$2:B$401,$U60)="","",INDEX('Per Invoice'!B$2:B$401,$U60)))</f>
        <v/>
      </c>
      <c r="C60">
        <f>IF($U60="","",IF(INDEX('Per Invoice'!C$2:C$401,$U60)="","",INDEX('Per Invoice'!C$2:C$401,$U60)))</f>
        <v/>
      </c>
      <c r="D60">
        <f>IF($U60="","",IF(INDEX('Per Invoice'!D$2:D$401,$U60)="","",INDEX('Per Invoice'!D$2:D$401,$U60)))</f>
        <v/>
      </c>
      <c r="E60">
        <f>IF($U60="","",IF(INDEX('Per Invoice'!E$2:E$401,$U60)="","",INDEX('Per Invoice'!E$2:E$401,$U60)))</f>
        <v/>
      </c>
      <c r="F60">
        <f>IF($U60="","",IF(INDEX('Per Invoice'!F$2:F$401,$U60)="","",INDEX('Per Invoice'!F$2:F$401,$U60)))</f>
        <v/>
      </c>
      <c r="G60">
        <f>IF($U60="","",IF(INDEX('Per Invoice'!G$2:G$401,$U60)="","",INDEX('Per Invoice'!G$2:G$401,$U60)))</f>
        <v/>
      </c>
      <c r="H60" s="7">
        <f>IF($U60="","",IF(INDEX('Per Invoice'!H$2:H$401,$U60)="","",INDEX('Per Invoice'!H$2:H$401,$U60)))</f>
        <v/>
      </c>
      <c r="I60" s="14">
        <f>IF($U60="","",IF(INDEX('Per Invoice'!I$2:I$401,$U60)="","",INDEX('Per Invoice'!I$2:I$401,$U60)))</f>
        <v/>
      </c>
      <c r="J60">
        <f>IF($U60="","",IF(INDEX('Per Invoice'!J$2:J$401,$U60)="","",INDEX('Per Invoice'!J$2:J$401,$U60)))</f>
        <v/>
      </c>
      <c r="K60">
        <f>IF($U60="","",IF(INDEX('Per Invoice'!K$2:K$401,$U60)="","",INDEX('Per Invoice'!K$2:K$401,$U60)))</f>
        <v/>
      </c>
      <c r="L60" s="7">
        <f>IF($U60="","",IF(INDEX('Per Invoice'!L$2:L$401,$U60)="","",INDEX('Per Invoice'!L$2:L$401,$U60)))</f>
        <v/>
      </c>
      <c r="M60" s="7">
        <f>IF($U60="","",IF(INDEX('Per Invoice'!M$2:M$401,$U60)="","",INDEX('Per Invoice'!M$2:M$401,$U60)))</f>
        <v/>
      </c>
      <c r="N60">
        <f>IF($U60="","",IF(INDEX('Per Invoice'!N$2:N$401,$U60)="","",INDEX('Per Invoice'!N$2:N$401,$U60)))</f>
        <v/>
      </c>
      <c r="O60" s="7">
        <f>IF($U60="","",IF(INDEX('Per Invoice'!O$2:O$401,$U60)="","",INDEX('Per Invoice'!O$2:O$401,$U60)))</f>
        <v/>
      </c>
      <c r="P60" s="7">
        <f>IF($U60="","",IF(INDEX('Per Invoice'!P$2:P$401,$U60)="","",INDEX('Per Invoice'!P$2:P$401,$U60)))</f>
        <v/>
      </c>
      <c r="Q60" s="7">
        <f>IF($U60="","",IF(INDEX('Per Invoice'!Q$2:Q$401,$U60)="","",INDEX('Per Invoice'!Q$2:Q$401,$U60)))</f>
        <v/>
      </c>
      <c r="R60" s="7">
        <f>IF($U60="","",IF(INDEX('Per Invoice'!R$2:R$401,$U60)="","",INDEX('Per Invoice'!R$2:R$401,$U60)))</f>
        <v/>
      </c>
      <c r="S60" s="7">
        <f>IF($U60="","",IF(INDEX('Per Invoice'!S$2:S$401,$U60)="","",INDEX('Per Invoice'!S$2:S$401,$U60)))</f>
        <v/>
      </c>
      <c r="T60" s="7">
        <f>IF($U60="","",IF(INDEX('Per Invoice'!T$2:T$401,$U60)="","",INDEX('Per Invoice'!T$2:T$401,$U60)))</f>
        <v/>
      </c>
      <c r="U60" s="16">
        <f>IFERROR(MATCH(Settings!$C$26&amp;"|"&amp;ROWS($U$2:$U60),'Per Invoice'!$V$2:$V$401,0),"")</f>
        <v/>
      </c>
    </row>
    <row r="61">
      <c r="A61">
        <f>IF($U61="","",IF(INDEX('Per Invoice'!A$2:A$401,$U61)="","",INDEX('Per Invoice'!A$2:A$401,$U61)))</f>
        <v/>
      </c>
      <c r="B61">
        <f>IF($U61="","",IF(INDEX('Per Invoice'!B$2:B$401,$U61)="","",INDEX('Per Invoice'!B$2:B$401,$U61)))</f>
        <v/>
      </c>
      <c r="C61">
        <f>IF($U61="","",IF(INDEX('Per Invoice'!C$2:C$401,$U61)="","",INDEX('Per Invoice'!C$2:C$401,$U61)))</f>
        <v/>
      </c>
      <c r="D61">
        <f>IF($U61="","",IF(INDEX('Per Invoice'!D$2:D$401,$U61)="","",INDEX('Per Invoice'!D$2:D$401,$U61)))</f>
        <v/>
      </c>
      <c r="E61">
        <f>IF($U61="","",IF(INDEX('Per Invoice'!E$2:E$401,$U61)="","",INDEX('Per Invoice'!E$2:E$401,$U61)))</f>
        <v/>
      </c>
      <c r="F61">
        <f>IF($U61="","",IF(INDEX('Per Invoice'!F$2:F$401,$U61)="","",INDEX('Per Invoice'!F$2:F$401,$U61)))</f>
        <v/>
      </c>
      <c r="G61">
        <f>IF($U61="","",IF(INDEX('Per Invoice'!G$2:G$401,$U61)="","",INDEX('Per Invoice'!G$2:G$401,$U61)))</f>
        <v/>
      </c>
      <c r="H61" s="7">
        <f>IF($U61="","",IF(INDEX('Per Invoice'!H$2:H$401,$U61)="","",INDEX('Per Invoice'!H$2:H$401,$U61)))</f>
        <v/>
      </c>
      <c r="I61" s="14">
        <f>IF($U61="","",IF(INDEX('Per Invoice'!I$2:I$401,$U61)="","",INDEX('Per Invoice'!I$2:I$401,$U61)))</f>
        <v/>
      </c>
      <c r="J61">
        <f>IF($U61="","",IF(INDEX('Per Invoice'!J$2:J$401,$U61)="","",INDEX('Per Invoice'!J$2:J$401,$U61)))</f>
        <v/>
      </c>
      <c r="K61">
        <f>IF($U61="","",IF(INDEX('Per Invoice'!K$2:K$401,$U61)="","",INDEX('Per Invoice'!K$2:K$401,$U61)))</f>
        <v/>
      </c>
      <c r="L61" s="7">
        <f>IF($U61="","",IF(INDEX('Per Invoice'!L$2:L$401,$U61)="","",INDEX('Per Invoice'!L$2:L$401,$U61)))</f>
        <v/>
      </c>
      <c r="M61" s="7">
        <f>IF($U61="","",IF(INDEX('Per Invoice'!M$2:M$401,$U61)="","",INDEX('Per Invoice'!M$2:M$401,$U61)))</f>
        <v/>
      </c>
      <c r="N61">
        <f>IF($U61="","",IF(INDEX('Per Invoice'!N$2:N$401,$U61)="","",INDEX('Per Invoice'!N$2:N$401,$U61)))</f>
        <v/>
      </c>
      <c r="O61" s="7">
        <f>IF($U61="","",IF(INDEX('Per Invoice'!O$2:O$401,$U61)="","",INDEX('Per Invoice'!O$2:O$401,$U61)))</f>
        <v/>
      </c>
      <c r="P61" s="7">
        <f>IF($U61="","",IF(INDEX('Per Invoice'!P$2:P$401,$U61)="","",INDEX('Per Invoice'!P$2:P$401,$U61)))</f>
        <v/>
      </c>
      <c r="Q61" s="7">
        <f>IF($U61="","",IF(INDEX('Per Invoice'!Q$2:Q$401,$U61)="","",INDEX('Per Invoice'!Q$2:Q$401,$U61)))</f>
        <v/>
      </c>
      <c r="R61" s="7">
        <f>IF($U61="","",IF(INDEX('Per Invoice'!R$2:R$401,$U61)="","",INDEX('Per Invoice'!R$2:R$401,$U61)))</f>
        <v/>
      </c>
      <c r="S61" s="7">
        <f>IF($U61="","",IF(INDEX('Per Invoice'!S$2:S$401,$U61)="","",INDEX('Per Invoice'!S$2:S$401,$U61)))</f>
        <v/>
      </c>
      <c r="T61" s="7">
        <f>IF($U61="","",IF(INDEX('Per Invoice'!T$2:T$401,$U61)="","",INDEX('Per Invoice'!T$2:T$401,$U61)))</f>
        <v/>
      </c>
      <c r="U61" s="16">
        <f>IFERROR(MATCH(Settings!$C$26&amp;"|"&amp;ROWS($U$2:$U61),'Per Invoice'!$V$2:$V$401,0),"")</f>
        <v/>
      </c>
    </row>
    <row r="62">
      <c r="A62">
        <f>IF($U62="","",IF(INDEX('Per Invoice'!A$2:A$401,$U62)="","",INDEX('Per Invoice'!A$2:A$401,$U62)))</f>
        <v/>
      </c>
      <c r="B62">
        <f>IF($U62="","",IF(INDEX('Per Invoice'!B$2:B$401,$U62)="","",INDEX('Per Invoice'!B$2:B$401,$U62)))</f>
        <v/>
      </c>
      <c r="C62">
        <f>IF($U62="","",IF(INDEX('Per Invoice'!C$2:C$401,$U62)="","",INDEX('Per Invoice'!C$2:C$401,$U62)))</f>
        <v/>
      </c>
      <c r="D62">
        <f>IF($U62="","",IF(INDEX('Per Invoice'!D$2:D$401,$U62)="","",INDEX('Per Invoice'!D$2:D$401,$U62)))</f>
        <v/>
      </c>
      <c r="E62">
        <f>IF($U62="","",IF(INDEX('Per Invoice'!E$2:E$401,$U62)="","",INDEX('Per Invoice'!E$2:E$401,$U62)))</f>
        <v/>
      </c>
      <c r="F62">
        <f>IF($U62="","",IF(INDEX('Per Invoice'!F$2:F$401,$U62)="","",INDEX('Per Invoice'!F$2:F$401,$U62)))</f>
        <v/>
      </c>
      <c r="G62">
        <f>IF($U62="","",IF(INDEX('Per Invoice'!G$2:G$401,$U62)="","",INDEX('Per Invoice'!G$2:G$401,$U62)))</f>
        <v/>
      </c>
      <c r="H62" s="7">
        <f>IF($U62="","",IF(INDEX('Per Invoice'!H$2:H$401,$U62)="","",INDEX('Per Invoice'!H$2:H$401,$U62)))</f>
        <v/>
      </c>
      <c r="I62" s="14">
        <f>IF($U62="","",IF(INDEX('Per Invoice'!I$2:I$401,$U62)="","",INDEX('Per Invoice'!I$2:I$401,$U62)))</f>
        <v/>
      </c>
      <c r="J62">
        <f>IF($U62="","",IF(INDEX('Per Invoice'!J$2:J$401,$U62)="","",INDEX('Per Invoice'!J$2:J$401,$U62)))</f>
        <v/>
      </c>
      <c r="K62">
        <f>IF($U62="","",IF(INDEX('Per Invoice'!K$2:K$401,$U62)="","",INDEX('Per Invoice'!K$2:K$401,$U62)))</f>
        <v/>
      </c>
      <c r="L62" s="7">
        <f>IF($U62="","",IF(INDEX('Per Invoice'!L$2:L$401,$U62)="","",INDEX('Per Invoice'!L$2:L$401,$U62)))</f>
        <v/>
      </c>
      <c r="M62" s="7">
        <f>IF($U62="","",IF(INDEX('Per Invoice'!M$2:M$401,$U62)="","",INDEX('Per Invoice'!M$2:M$401,$U62)))</f>
        <v/>
      </c>
      <c r="N62">
        <f>IF($U62="","",IF(INDEX('Per Invoice'!N$2:N$401,$U62)="","",INDEX('Per Invoice'!N$2:N$401,$U62)))</f>
        <v/>
      </c>
      <c r="O62" s="7">
        <f>IF($U62="","",IF(INDEX('Per Invoice'!O$2:O$401,$U62)="","",INDEX('Per Invoice'!O$2:O$401,$U62)))</f>
        <v/>
      </c>
      <c r="P62" s="7">
        <f>IF($U62="","",IF(INDEX('Per Invoice'!P$2:P$401,$U62)="","",INDEX('Per Invoice'!P$2:P$401,$U62)))</f>
        <v/>
      </c>
      <c r="Q62" s="7">
        <f>IF($U62="","",IF(INDEX('Per Invoice'!Q$2:Q$401,$U62)="","",INDEX('Per Invoice'!Q$2:Q$401,$U62)))</f>
        <v/>
      </c>
      <c r="R62" s="7">
        <f>IF($U62="","",IF(INDEX('Per Invoice'!R$2:R$401,$U62)="","",INDEX('Per Invoice'!R$2:R$401,$U62)))</f>
        <v/>
      </c>
      <c r="S62" s="7">
        <f>IF($U62="","",IF(INDEX('Per Invoice'!S$2:S$401,$U62)="","",INDEX('Per Invoice'!S$2:S$401,$U62)))</f>
        <v/>
      </c>
      <c r="T62" s="7">
        <f>IF($U62="","",IF(INDEX('Per Invoice'!T$2:T$401,$U62)="","",INDEX('Per Invoice'!T$2:T$401,$U62)))</f>
        <v/>
      </c>
      <c r="U62" s="16">
        <f>IFERROR(MATCH(Settings!$C$26&amp;"|"&amp;ROWS($U$2:$U62),'Per Invoice'!$V$2:$V$401,0),"")</f>
        <v/>
      </c>
    </row>
    <row r="63">
      <c r="A63">
        <f>IF($U63="","",IF(INDEX('Per Invoice'!A$2:A$401,$U63)="","",INDEX('Per Invoice'!A$2:A$401,$U63)))</f>
        <v/>
      </c>
      <c r="B63">
        <f>IF($U63="","",IF(INDEX('Per Invoice'!B$2:B$401,$U63)="","",INDEX('Per Invoice'!B$2:B$401,$U63)))</f>
        <v/>
      </c>
      <c r="C63">
        <f>IF($U63="","",IF(INDEX('Per Invoice'!C$2:C$401,$U63)="","",INDEX('Per Invoice'!C$2:C$401,$U63)))</f>
        <v/>
      </c>
      <c r="D63">
        <f>IF($U63="","",IF(INDEX('Per Invoice'!D$2:D$401,$U63)="","",INDEX('Per Invoice'!D$2:D$401,$U63)))</f>
        <v/>
      </c>
      <c r="E63">
        <f>IF($U63="","",IF(INDEX('Per Invoice'!E$2:E$401,$U63)="","",INDEX('Per Invoice'!E$2:E$401,$U63)))</f>
        <v/>
      </c>
      <c r="F63">
        <f>IF($U63="","",IF(INDEX('Per Invoice'!F$2:F$401,$U63)="","",INDEX('Per Invoice'!F$2:F$401,$U63)))</f>
        <v/>
      </c>
      <c r="G63">
        <f>IF($U63="","",IF(INDEX('Per Invoice'!G$2:G$401,$U63)="","",INDEX('Per Invoice'!G$2:G$401,$U63)))</f>
        <v/>
      </c>
      <c r="H63" s="7">
        <f>IF($U63="","",IF(INDEX('Per Invoice'!H$2:H$401,$U63)="","",INDEX('Per Invoice'!H$2:H$401,$U63)))</f>
        <v/>
      </c>
      <c r="I63" s="14">
        <f>IF($U63="","",IF(INDEX('Per Invoice'!I$2:I$401,$U63)="","",INDEX('Per Invoice'!I$2:I$401,$U63)))</f>
        <v/>
      </c>
      <c r="J63">
        <f>IF($U63="","",IF(INDEX('Per Invoice'!J$2:J$401,$U63)="","",INDEX('Per Invoice'!J$2:J$401,$U63)))</f>
        <v/>
      </c>
      <c r="K63">
        <f>IF($U63="","",IF(INDEX('Per Invoice'!K$2:K$401,$U63)="","",INDEX('Per Invoice'!K$2:K$401,$U63)))</f>
        <v/>
      </c>
      <c r="L63" s="7">
        <f>IF($U63="","",IF(INDEX('Per Invoice'!L$2:L$401,$U63)="","",INDEX('Per Invoice'!L$2:L$401,$U63)))</f>
        <v/>
      </c>
      <c r="M63" s="7">
        <f>IF($U63="","",IF(INDEX('Per Invoice'!M$2:M$401,$U63)="","",INDEX('Per Invoice'!M$2:M$401,$U63)))</f>
        <v/>
      </c>
      <c r="N63">
        <f>IF($U63="","",IF(INDEX('Per Invoice'!N$2:N$401,$U63)="","",INDEX('Per Invoice'!N$2:N$401,$U63)))</f>
        <v/>
      </c>
      <c r="O63" s="7">
        <f>IF($U63="","",IF(INDEX('Per Invoice'!O$2:O$401,$U63)="","",INDEX('Per Invoice'!O$2:O$401,$U63)))</f>
        <v/>
      </c>
      <c r="P63" s="7">
        <f>IF($U63="","",IF(INDEX('Per Invoice'!P$2:P$401,$U63)="","",INDEX('Per Invoice'!P$2:P$401,$U63)))</f>
        <v/>
      </c>
      <c r="Q63" s="7">
        <f>IF($U63="","",IF(INDEX('Per Invoice'!Q$2:Q$401,$U63)="","",INDEX('Per Invoice'!Q$2:Q$401,$U63)))</f>
        <v/>
      </c>
      <c r="R63" s="7">
        <f>IF($U63="","",IF(INDEX('Per Invoice'!R$2:R$401,$U63)="","",INDEX('Per Invoice'!R$2:R$401,$U63)))</f>
        <v/>
      </c>
      <c r="S63" s="7">
        <f>IF($U63="","",IF(INDEX('Per Invoice'!S$2:S$401,$U63)="","",INDEX('Per Invoice'!S$2:S$401,$U63)))</f>
        <v/>
      </c>
      <c r="T63" s="7">
        <f>IF($U63="","",IF(INDEX('Per Invoice'!T$2:T$401,$U63)="","",INDEX('Per Invoice'!T$2:T$401,$U63)))</f>
        <v/>
      </c>
      <c r="U63" s="16">
        <f>IFERROR(MATCH(Settings!$C$26&amp;"|"&amp;ROWS($U$2:$U63),'Per Invoice'!$V$2:$V$401,0),"")</f>
        <v/>
      </c>
    </row>
    <row r="64">
      <c r="A64">
        <f>IF($U64="","",IF(INDEX('Per Invoice'!A$2:A$401,$U64)="","",INDEX('Per Invoice'!A$2:A$401,$U64)))</f>
        <v/>
      </c>
      <c r="B64">
        <f>IF($U64="","",IF(INDEX('Per Invoice'!B$2:B$401,$U64)="","",INDEX('Per Invoice'!B$2:B$401,$U64)))</f>
        <v/>
      </c>
      <c r="C64">
        <f>IF($U64="","",IF(INDEX('Per Invoice'!C$2:C$401,$U64)="","",INDEX('Per Invoice'!C$2:C$401,$U64)))</f>
        <v/>
      </c>
      <c r="D64">
        <f>IF($U64="","",IF(INDEX('Per Invoice'!D$2:D$401,$U64)="","",INDEX('Per Invoice'!D$2:D$401,$U64)))</f>
        <v/>
      </c>
      <c r="E64">
        <f>IF($U64="","",IF(INDEX('Per Invoice'!E$2:E$401,$U64)="","",INDEX('Per Invoice'!E$2:E$401,$U64)))</f>
        <v/>
      </c>
      <c r="F64">
        <f>IF($U64="","",IF(INDEX('Per Invoice'!F$2:F$401,$U64)="","",INDEX('Per Invoice'!F$2:F$401,$U64)))</f>
        <v/>
      </c>
      <c r="G64">
        <f>IF($U64="","",IF(INDEX('Per Invoice'!G$2:G$401,$U64)="","",INDEX('Per Invoice'!G$2:G$401,$U64)))</f>
        <v/>
      </c>
      <c r="H64" s="7">
        <f>IF($U64="","",IF(INDEX('Per Invoice'!H$2:H$401,$U64)="","",INDEX('Per Invoice'!H$2:H$401,$U64)))</f>
        <v/>
      </c>
      <c r="I64" s="14">
        <f>IF($U64="","",IF(INDEX('Per Invoice'!I$2:I$401,$U64)="","",INDEX('Per Invoice'!I$2:I$401,$U64)))</f>
        <v/>
      </c>
      <c r="J64">
        <f>IF($U64="","",IF(INDEX('Per Invoice'!J$2:J$401,$U64)="","",INDEX('Per Invoice'!J$2:J$401,$U64)))</f>
        <v/>
      </c>
      <c r="K64">
        <f>IF($U64="","",IF(INDEX('Per Invoice'!K$2:K$401,$U64)="","",INDEX('Per Invoice'!K$2:K$401,$U64)))</f>
        <v/>
      </c>
      <c r="L64" s="7">
        <f>IF($U64="","",IF(INDEX('Per Invoice'!L$2:L$401,$U64)="","",INDEX('Per Invoice'!L$2:L$401,$U64)))</f>
        <v/>
      </c>
      <c r="M64" s="7">
        <f>IF($U64="","",IF(INDEX('Per Invoice'!M$2:M$401,$U64)="","",INDEX('Per Invoice'!M$2:M$401,$U64)))</f>
        <v/>
      </c>
      <c r="N64">
        <f>IF($U64="","",IF(INDEX('Per Invoice'!N$2:N$401,$U64)="","",INDEX('Per Invoice'!N$2:N$401,$U64)))</f>
        <v/>
      </c>
      <c r="O64" s="7">
        <f>IF($U64="","",IF(INDEX('Per Invoice'!O$2:O$401,$U64)="","",INDEX('Per Invoice'!O$2:O$401,$U64)))</f>
        <v/>
      </c>
      <c r="P64" s="7">
        <f>IF($U64="","",IF(INDEX('Per Invoice'!P$2:P$401,$U64)="","",INDEX('Per Invoice'!P$2:P$401,$U64)))</f>
        <v/>
      </c>
      <c r="Q64" s="7">
        <f>IF($U64="","",IF(INDEX('Per Invoice'!Q$2:Q$401,$U64)="","",INDEX('Per Invoice'!Q$2:Q$401,$U64)))</f>
        <v/>
      </c>
      <c r="R64" s="7">
        <f>IF($U64="","",IF(INDEX('Per Invoice'!R$2:R$401,$U64)="","",INDEX('Per Invoice'!R$2:R$401,$U64)))</f>
        <v/>
      </c>
      <c r="S64" s="7">
        <f>IF($U64="","",IF(INDEX('Per Invoice'!S$2:S$401,$U64)="","",INDEX('Per Invoice'!S$2:S$401,$U64)))</f>
        <v/>
      </c>
      <c r="T64" s="7">
        <f>IF($U64="","",IF(INDEX('Per Invoice'!T$2:T$401,$U64)="","",INDEX('Per Invoice'!T$2:T$401,$U64)))</f>
        <v/>
      </c>
      <c r="U64" s="16">
        <f>IFERROR(MATCH(Settings!$C$26&amp;"|"&amp;ROWS($U$2:$U64),'Per Invoice'!$V$2:$V$401,0),"")</f>
        <v/>
      </c>
    </row>
    <row r="65">
      <c r="A65">
        <f>IF($U65="","",IF(INDEX('Per Invoice'!A$2:A$401,$U65)="","",INDEX('Per Invoice'!A$2:A$401,$U65)))</f>
        <v/>
      </c>
      <c r="B65">
        <f>IF($U65="","",IF(INDEX('Per Invoice'!B$2:B$401,$U65)="","",INDEX('Per Invoice'!B$2:B$401,$U65)))</f>
        <v/>
      </c>
      <c r="C65">
        <f>IF($U65="","",IF(INDEX('Per Invoice'!C$2:C$401,$U65)="","",INDEX('Per Invoice'!C$2:C$401,$U65)))</f>
        <v/>
      </c>
      <c r="D65">
        <f>IF($U65="","",IF(INDEX('Per Invoice'!D$2:D$401,$U65)="","",INDEX('Per Invoice'!D$2:D$401,$U65)))</f>
        <v/>
      </c>
      <c r="E65">
        <f>IF($U65="","",IF(INDEX('Per Invoice'!E$2:E$401,$U65)="","",INDEX('Per Invoice'!E$2:E$401,$U65)))</f>
        <v/>
      </c>
      <c r="F65">
        <f>IF($U65="","",IF(INDEX('Per Invoice'!F$2:F$401,$U65)="","",INDEX('Per Invoice'!F$2:F$401,$U65)))</f>
        <v/>
      </c>
      <c r="G65">
        <f>IF($U65="","",IF(INDEX('Per Invoice'!G$2:G$401,$U65)="","",INDEX('Per Invoice'!G$2:G$401,$U65)))</f>
        <v/>
      </c>
      <c r="H65" s="7">
        <f>IF($U65="","",IF(INDEX('Per Invoice'!H$2:H$401,$U65)="","",INDEX('Per Invoice'!H$2:H$401,$U65)))</f>
        <v/>
      </c>
      <c r="I65" s="14">
        <f>IF($U65="","",IF(INDEX('Per Invoice'!I$2:I$401,$U65)="","",INDEX('Per Invoice'!I$2:I$401,$U65)))</f>
        <v/>
      </c>
      <c r="J65">
        <f>IF($U65="","",IF(INDEX('Per Invoice'!J$2:J$401,$U65)="","",INDEX('Per Invoice'!J$2:J$401,$U65)))</f>
        <v/>
      </c>
      <c r="K65">
        <f>IF($U65="","",IF(INDEX('Per Invoice'!K$2:K$401,$U65)="","",INDEX('Per Invoice'!K$2:K$401,$U65)))</f>
        <v/>
      </c>
      <c r="L65" s="7">
        <f>IF($U65="","",IF(INDEX('Per Invoice'!L$2:L$401,$U65)="","",INDEX('Per Invoice'!L$2:L$401,$U65)))</f>
        <v/>
      </c>
      <c r="M65" s="7">
        <f>IF($U65="","",IF(INDEX('Per Invoice'!M$2:M$401,$U65)="","",INDEX('Per Invoice'!M$2:M$401,$U65)))</f>
        <v/>
      </c>
      <c r="N65">
        <f>IF($U65="","",IF(INDEX('Per Invoice'!N$2:N$401,$U65)="","",INDEX('Per Invoice'!N$2:N$401,$U65)))</f>
        <v/>
      </c>
      <c r="O65" s="7">
        <f>IF($U65="","",IF(INDEX('Per Invoice'!O$2:O$401,$U65)="","",INDEX('Per Invoice'!O$2:O$401,$U65)))</f>
        <v/>
      </c>
      <c r="P65" s="7">
        <f>IF($U65="","",IF(INDEX('Per Invoice'!P$2:P$401,$U65)="","",INDEX('Per Invoice'!P$2:P$401,$U65)))</f>
        <v/>
      </c>
      <c r="Q65" s="7">
        <f>IF($U65="","",IF(INDEX('Per Invoice'!Q$2:Q$401,$U65)="","",INDEX('Per Invoice'!Q$2:Q$401,$U65)))</f>
        <v/>
      </c>
      <c r="R65" s="7">
        <f>IF($U65="","",IF(INDEX('Per Invoice'!R$2:R$401,$U65)="","",INDEX('Per Invoice'!R$2:R$401,$U65)))</f>
        <v/>
      </c>
      <c r="S65" s="7">
        <f>IF($U65="","",IF(INDEX('Per Invoice'!S$2:S$401,$U65)="","",INDEX('Per Invoice'!S$2:S$401,$U65)))</f>
        <v/>
      </c>
      <c r="T65" s="7">
        <f>IF($U65="","",IF(INDEX('Per Invoice'!T$2:T$401,$U65)="","",INDEX('Per Invoice'!T$2:T$401,$U65)))</f>
        <v/>
      </c>
      <c r="U65" s="16">
        <f>IFERROR(MATCH(Settings!$C$26&amp;"|"&amp;ROWS($U$2:$U65),'Per Invoice'!$V$2:$V$401,0),"")</f>
        <v/>
      </c>
    </row>
    <row r="66">
      <c r="A66">
        <f>IF($U66="","",IF(INDEX('Per Invoice'!A$2:A$401,$U66)="","",INDEX('Per Invoice'!A$2:A$401,$U66)))</f>
        <v/>
      </c>
      <c r="B66">
        <f>IF($U66="","",IF(INDEX('Per Invoice'!B$2:B$401,$U66)="","",INDEX('Per Invoice'!B$2:B$401,$U66)))</f>
        <v/>
      </c>
      <c r="C66">
        <f>IF($U66="","",IF(INDEX('Per Invoice'!C$2:C$401,$U66)="","",INDEX('Per Invoice'!C$2:C$401,$U66)))</f>
        <v/>
      </c>
      <c r="D66">
        <f>IF($U66="","",IF(INDEX('Per Invoice'!D$2:D$401,$U66)="","",INDEX('Per Invoice'!D$2:D$401,$U66)))</f>
        <v/>
      </c>
      <c r="E66">
        <f>IF($U66="","",IF(INDEX('Per Invoice'!E$2:E$401,$U66)="","",INDEX('Per Invoice'!E$2:E$401,$U66)))</f>
        <v/>
      </c>
      <c r="F66">
        <f>IF($U66="","",IF(INDEX('Per Invoice'!F$2:F$401,$U66)="","",INDEX('Per Invoice'!F$2:F$401,$U66)))</f>
        <v/>
      </c>
      <c r="G66">
        <f>IF($U66="","",IF(INDEX('Per Invoice'!G$2:G$401,$U66)="","",INDEX('Per Invoice'!G$2:G$401,$U66)))</f>
        <v/>
      </c>
      <c r="H66" s="7">
        <f>IF($U66="","",IF(INDEX('Per Invoice'!H$2:H$401,$U66)="","",INDEX('Per Invoice'!H$2:H$401,$U66)))</f>
        <v/>
      </c>
      <c r="I66" s="14">
        <f>IF($U66="","",IF(INDEX('Per Invoice'!I$2:I$401,$U66)="","",INDEX('Per Invoice'!I$2:I$401,$U66)))</f>
        <v/>
      </c>
      <c r="J66">
        <f>IF($U66="","",IF(INDEX('Per Invoice'!J$2:J$401,$U66)="","",INDEX('Per Invoice'!J$2:J$401,$U66)))</f>
        <v/>
      </c>
      <c r="K66">
        <f>IF($U66="","",IF(INDEX('Per Invoice'!K$2:K$401,$U66)="","",INDEX('Per Invoice'!K$2:K$401,$U66)))</f>
        <v/>
      </c>
      <c r="L66" s="7">
        <f>IF($U66="","",IF(INDEX('Per Invoice'!L$2:L$401,$U66)="","",INDEX('Per Invoice'!L$2:L$401,$U66)))</f>
        <v/>
      </c>
      <c r="M66" s="7">
        <f>IF($U66="","",IF(INDEX('Per Invoice'!M$2:M$401,$U66)="","",INDEX('Per Invoice'!M$2:M$401,$U66)))</f>
        <v/>
      </c>
      <c r="N66">
        <f>IF($U66="","",IF(INDEX('Per Invoice'!N$2:N$401,$U66)="","",INDEX('Per Invoice'!N$2:N$401,$U66)))</f>
        <v/>
      </c>
      <c r="O66" s="7">
        <f>IF($U66="","",IF(INDEX('Per Invoice'!O$2:O$401,$U66)="","",INDEX('Per Invoice'!O$2:O$401,$U66)))</f>
        <v/>
      </c>
      <c r="P66" s="7">
        <f>IF($U66="","",IF(INDEX('Per Invoice'!P$2:P$401,$U66)="","",INDEX('Per Invoice'!P$2:P$401,$U66)))</f>
        <v/>
      </c>
      <c r="Q66" s="7">
        <f>IF($U66="","",IF(INDEX('Per Invoice'!Q$2:Q$401,$U66)="","",INDEX('Per Invoice'!Q$2:Q$401,$U66)))</f>
        <v/>
      </c>
      <c r="R66" s="7">
        <f>IF($U66="","",IF(INDEX('Per Invoice'!R$2:R$401,$U66)="","",INDEX('Per Invoice'!R$2:R$401,$U66)))</f>
        <v/>
      </c>
      <c r="S66" s="7">
        <f>IF($U66="","",IF(INDEX('Per Invoice'!S$2:S$401,$U66)="","",INDEX('Per Invoice'!S$2:S$401,$U66)))</f>
        <v/>
      </c>
      <c r="T66" s="7">
        <f>IF($U66="","",IF(INDEX('Per Invoice'!T$2:T$401,$U66)="","",INDEX('Per Invoice'!T$2:T$401,$U66)))</f>
        <v/>
      </c>
      <c r="U66" s="16">
        <f>IFERROR(MATCH(Settings!$C$26&amp;"|"&amp;ROWS($U$2:$U66),'Per Invoice'!$V$2:$V$401,0),"")</f>
        <v/>
      </c>
    </row>
    <row r="67">
      <c r="A67">
        <f>IF($U67="","",IF(INDEX('Per Invoice'!A$2:A$401,$U67)="","",INDEX('Per Invoice'!A$2:A$401,$U67)))</f>
        <v/>
      </c>
      <c r="B67">
        <f>IF($U67="","",IF(INDEX('Per Invoice'!B$2:B$401,$U67)="","",INDEX('Per Invoice'!B$2:B$401,$U67)))</f>
        <v/>
      </c>
      <c r="C67">
        <f>IF($U67="","",IF(INDEX('Per Invoice'!C$2:C$401,$U67)="","",INDEX('Per Invoice'!C$2:C$401,$U67)))</f>
        <v/>
      </c>
      <c r="D67">
        <f>IF($U67="","",IF(INDEX('Per Invoice'!D$2:D$401,$U67)="","",INDEX('Per Invoice'!D$2:D$401,$U67)))</f>
        <v/>
      </c>
      <c r="E67">
        <f>IF($U67="","",IF(INDEX('Per Invoice'!E$2:E$401,$U67)="","",INDEX('Per Invoice'!E$2:E$401,$U67)))</f>
        <v/>
      </c>
      <c r="F67">
        <f>IF($U67="","",IF(INDEX('Per Invoice'!F$2:F$401,$U67)="","",INDEX('Per Invoice'!F$2:F$401,$U67)))</f>
        <v/>
      </c>
      <c r="G67">
        <f>IF($U67="","",IF(INDEX('Per Invoice'!G$2:G$401,$U67)="","",INDEX('Per Invoice'!G$2:G$401,$U67)))</f>
        <v/>
      </c>
      <c r="H67" s="7">
        <f>IF($U67="","",IF(INDEX('Per Invoice'!H$2:H$401,$U67)="","",INDEX('Per Invoice'!H$2:H$401,$U67)))</f>
        <v/>
      </c>
      <c r="I67" s="14">
        <f>IF($U67="","",IF(INDEX('Per Invoice'!I$2:I$401,$U67)="","",INDEX('Per Invoice'!I$2:I$401,$U67)))</f>
        <v/>
      </c>
      <c r="J67">
        <f>IF($U67="","",IF(INDEX('Per Invoice'!J$2:J$401,$U67)="","",INDEX('Per Invoice'!J$2:J$401,$U67)))</f>
        <v/>
      </c>
      <c r="K67">
        <f>IF($U67="","",IF(INDEX('Per Invoice'!K$2:K$401,$U67)="","",INDEX('Per Invoice'!K$2:K$401,$U67)))</f>
        <v/>
      </c>
      <c r="L67" s="7">
        <f>IF($U67="","",IF(INDEX('Per Invoice'!L$2:L$401,$U67)="","",INDEX('Per Invoice'!L$2:L$401,$U67)))</f>
        <v/>
      </c>
      <c r="M67" s="7">
        <f>IF($U67="","",IF(INDEX('Per Invoice'!M$2:M$401,$U67)="","",INDEX('Per Invoice'!M$2:M$401,$U67)))</f>
        <v/>
      </c>
      <c r="N67">
        <f>IF($U67="","",IF(INDEX('Per Invoice'!N$2:N$401,$U67)="","",INDEX('Per Invoice'!N$2:N$401,$U67)))</f>
        <v/>
      </c>
      <c r="O67" s="7">
        <f>IF($U67="","",IF(INDEX('Per Invoice'!O$2:O$401,$U67)="","",INDEX('Per Invoice'!O$2:O$401,$U67)))</f>
        <v/>
      </c>
      <c r="P67" s="7">
        <f>IF($U67="","",IF(INDEX('Per Invoice'!P$2:P$401,$U67)="","",INDEX('Per Invoice'!P$2:P$401,$U67)))</f>
        <v/>
      </c>
      <c r="Q67" s="7">
        <f>IF($U67="","",IF(INDEX('Per Invoice'!Q$2:Q$401,$U67)="","",INDEX('Per Invoice'!Q$2:Q$401,$U67)))</f>
        <v/>
      </c>
      <c r="R67" s="7">
        <f>IF($U67="","",IF(INDEX('Per Invoice'!R$2:R$401,$U67)="","",INDEX('Per Invoice'!R$2:R$401,$U67)))</f>
        <v/>
      </c>
      <c r="S67" s="7">
        <f>IF($U67="","",IF(INDEX('Per Invoice'!S$2:S$401,$U67)="","",INDEX('Per Invoice'!S$2:S$401,$U67)))</f>
        <v/>
      </c>
      <c r="T67" s="7">
        <f>IF($U67="","",IF(INDEX('Per Invoice'!T$2:T$401,$U67)="","",INDEX('Per Invoice'!T$2:T$401,$U67)))</f>
        <v/>
      </c>
      <c r="U67" s="16">
        <f>IFERROR(MATCH(Settings!$C$26&amp;"|"&amp;ROWS($U$2:$U67),'Per Invoice'!$V$2:$V$401,0),"")</f>
        <v/>
      </c>
    </row>
    <row r="68">
      <c r="A68">
        <f>IF($U68="","",IF(INDEX('Per Invoice'!A$2:A$401,$U68)="","",INDEX('Per Invoice'!A$2:A$401,$U68)))</f>
        <v/>
      </c>
      <c r="B68">
        <f>IF($U68="","",IF(INDEX('Per Invoice'!B$2:B$401,$U68)="","",INDEX('Per Invoice'!B$2:B$401,$U68)))</f>
        <v/>
      </c>
      <c r="C68">
        <f>IF($U68="","",IF(INDEX('Per Invoice'!C$2:C$401,$U68)="","",INDEX('Per Invoice'!C$2:C$401,$U68)))</f>
        <v/>
      </c>
      <c r="D68">
        <f>IF($U68="","",IF(INDEX('Per Invoice'!D$2:D$401,$U68)="","",INDEX('Per Invoice'!D$2:D$401,$U68)))</f>
        <v/>
      </c>
      <c r="E68">
        <f>IF($U68="","",IF(INDEX('Per Invoice'!E$2:E$401,$U68)="","",INDEX('Per Invoice'!E$2:E$401,$U68)))</f>
        <v/>
      </c>
      <c r="F68">
        <f>IF($U68="","",IF(INDEX('Per Invoice'!F$2:F$401,$U68)="","",INDEX('Per Invoice'!F$2:F$401,$U68)))</f>
        <v/>
      </c>
      <c r="G68">
        <f>IF($U68="","",IF(INDEX('Per Invoice'!G$2:G$401,$U68)="","",INDEX('Per Invoice'!G$2:G$401,$U68)))</f>
        <v/>
      </c>
      <c r="H68" s="7">
        <f>IF($U68="","",IF(INDEX('Per Invoice'!H$2:H$401,$U68)="","",INDEX('Per Invoice'!H$2:H$401,$U68)))</f>
        <v/>
      </c>
      <c r="I68" s="14">
        <f>IF($U68="","",IF(INDEX('Per Invoice'!I$2:I$401,$U68)="","",INDEX('Per Invoice'!I$2:I$401,$U68)))</f>
        <v/>
      </c>
      <c r="J68">
        <f>IF($U68="","",IF(INDEX('Per Invoice'!J$2:J$401,$U68)="","",INDEX('Per Invoice'!J$2:J$401,$U68)))</f>
        <v/>
      </c>
      <c r="K68">
        <f>IF($U68="","",IF(INDEX('Per Invoice'!K$2:K$401,$U68)="","",INDEX('Per Invoice'!K$2:K$401,$U68)))</f>
        <v/>
      </c>
      <c r="L68" s="7">
        <f>IF($U68="","",IF(INDEX('Per Invoice'!L$2:L$401,$U68)="","",INDEX('Per Invoice'!L$2:L$401,$U68)))</f>
        <v/>
      </c>
      <c r="M68" s="7">
        <f>IF($U68="","",IF(INDEX('Per Invoice'!M$2:M$401,$U68)="","",INDEX('Per Invoice'!M$2:M$401,$U68)))</f>
        <v/>
      </c>
      <c r="N68">
        <f>IF($U68="","",IF(INDEX('Per Invoice'!N$2:N$401,$U68)="","",INDEX('Per Invoice'!N$2:N$401,$U68)))</f>
        <v/>
      </c>
      <c r="O68" s="7">
        <f>IF($U68="","",IF(INDEX('Per Invoice'!O$2:O$401,$U68)="","",INDEX('Per Invoice'!O$2:O$401,$U68)))</f>
        <v/>
      </c>
      <c r="P68" s="7">
        <f>IF($U68="","",IF(INDEX('Per Invoice'!P$2:P$401,$U68)="","",INDEX('Per Invoice'!P$2:P$401,$U68)))</f>
        <v/>
      </c>
      <c r="Q68" s="7">
        <f>IF($U68="","",IF(INDEX('Per Invoice'!Q$2:Q$401,$U68)="","",INDEX('Per Invoice'!Q$2:Q$401,$U68)))</f>
        <v/>
      </c>
      <c r="R68" s="7">
        <f>IF($U68="","",IF(INDEX('Per Invoice'!R$2:R$401,$U68)="","",INDEX('Per Invoice'!R$2:R$401,$U68)))</f>
        <v/>
      </c>
      <c r="S68" s="7">
        <f>IF($U68="","",IF(INDEX('Per Invoice'!S$2:S$401,$U68)="","",INDEX('Per Invoice'!S$2:S$401,$U68)))</f>
        <v/>
      </c>
      <c r="T68" s="7">
        <f>IF($U68="","",IF(INDEX('Per Invoice'!T$2:T$401,$U68)="","",INDEX('Per Invoice'!T$2:T$401,$U68)))</f>
        <v/>
      </c>
      <c r="U68" s="16">
        <f>IFERROR(MATCH(Settings!$C$26&amp;"|"&amp;ROWS($U$2:$U68),'Per Invoice'!$V$2:$V$401,0),"")</f>
        <v/>
      </c>
    </row>
    <row r="69">
      <c r="A69">
        <f>IF($U69="","",IF(INDEX('Per Invoice'!A$2:A$401,$U69)="","",INDEX('Per Invoice'!A$2:A$401,$U69)))</f>
        <v/>
      </c>
      <c r="B69">
        <f>IF($U69="","",IF(INDEX('Per Invoice'!B$2:B$401,$U69)="","",INDEX('Per Invoice'!B$2:B$401,$U69)))</f>
        <v/>
      </c>
      <c r="C69">
        <f>IF($U69="","",IF(INDEX('Per Invoice'!C$2:C$401,$U69)="","",INDEX('Per Invoice'!C$2:C$401,$U69)))</f>
        <v/>
      </c>
      <c r="D69">
        <f>IF($U69="","",IF(INDEX('Per Invoice'!D$2:D$401,$U69)="","",INDEX('Per Invoice'!D$2:D$401,$U69)))</f>
        <v/>
      </c>
      <c r="E69">
        <f>IF($U69="","",IF(INDEX('Per Invoice'!E$2:E$401,$U69)="","",INDEX('Per Invoice'!E$2:E$401,$U69)))</f>
        <v/>
      </c>
      <c r="F69">
        <f>IF($U69="","",IF(INDEX('Per Invoice'!F$2:F$401,$U69)="","",INDEX('Per Invoice'!F$2:F$401,$U69)))</f>
        <v/>
      </c>
      <c r="G69">
        <f>IF($U69="","",IF(INDEX('Per Invoice'!G$2:G$401,$U69)="","",INDEX('Per Invoice'!G$2:G$401,$U69)))</f>
        <v/>
      </c>
      <c r="H69" s="7">
        <f>IF($U69="","",IF(INDEX('Per Invoice'!H$2:H$401,$U69)="","",INDEX('Per Invoice'!H$2:H$401,$U69)))</f>
        <v/>
      </c>
      <c r="I69" s="14">
        <f>IF($U69="","",IF(INDEX('Per Invoice'!I$2:I$401,$U69)="","",INDEX('Per Invoice'!I$2:I$401,$U69)))</f>
        <v/>
      </c>
      <c r="J69">
        <f>IF($U69="","",IF(INDEX('Per Invoice'!J$2:J$401,$U69)="","",INDEX('Per Invoice'!J$2:J$401,$U69)))</f>
        <v/>
      </c>
      <c r="K69">
        <f>IF($U69="","",IF(INDEX('Per Invoice'!K$2:K$401,$U69)="","",INDEX('Per Invoice'!K$2:K$401,$U69)))</f>
        <v/>
      </c>
      <c r="L69" s="7">
        <f>IF($U69="","",IF(INDEX('Per Invoice'!L$2:L$401,$U69)="","",INDEX('Per Invoice'!L$2:L$401,$U69)))</f>
        <v/>
      </c>
      <c r="M69" s="7">
        <f>IF($U69="","",IF(INDEX('Per Invoice'!M$2:M$401,$U69)="","",INDEX('Per Invoice'!M$2:M$401,$U69)))</f>
        <v/>
      </c>
      <c r="N69">
        <f>IF($U69="","",IF(INDEX('Per Invoice'!N$2:N$401,$U69)="","",INDEX('Per Invoice'!N$2:N$401,$U69)))</f>
        <v/>
      </c>
      <c r="O69" s="7">
        <f>IF($U69="","",IF(INDEX('Per Invoice'!O$2:O$401,$U69)="","",INDEX('Per Invoice'!O$2:O$401,$U69)))</f>
        <v/>
      </c>
      <c r="P69" s="7">
        <f>IF($U69="","",IF(INDEX('Per Invoice'!P$2:P$401,$U69)="","",INDEX('Per Invoice'!P$2:P$401,$U69)))</f>
        <v/>
      </c>
      <c r="Q69" s="7">
        <f>IF($U69="","",IF(INDEX('Per Invoice'!Q$2:Q$401,$U69)="","",INDEX('Per Invoice'!Q$2:Q$401,$U69)))</f>
        <v/>
      </c>
      <c r="R69" s="7">
        <f>IF($U69="","",IF(INDEX('Per Invoice'!R$2:R$401,$U69)="","",INDEX('Per Invoice'!R$2:R$401,$U69)))</f>
        <v/>
      </c>
      <c r="S69" s="7">
        <f>IF($U69="","",IF(INDEX('Per Invoice'!S$2:S$401,$U69)="","",INDEX('Per Invoice'!S$2:S$401,$U69)))</f>
        <v/>
      </c>
      <c r="T69" s="7">
        <f>IF($U69="","",IF(INDEX('Per Invoice'!T$2:T$401,$U69)="","",INDEX('Per Invoice'!T$2:T$401,$U69)))</f>
        <v/>
      </c>
      <c r="U69" s="16">
        <f>IFERROR(MATCH(Settings!$C$26&amp;"|"&amp;ROWS($U$2:$U69),'Per Invoice'!$V$2:$V$401,0),"")</f>
        <v/>
      </c>
    </row>
    <row r="70">
      <c r="A70">
        <f>IF($U70="","",IF(INDEX('Per Invoice'!A$2:A$401,$U70)="","",INDEX('Per Invoice'!A$2:A$401,$U70)))</f>
        <v/>
      </c>
      <c r="B70">
        <f>IF($U70="","",IF(INDEX('Per Invoice'!B$2:B$401,$U70)="","",INDEX('Per Invoice'!B$2:B$401,$U70)))</f>
        <v/>
      </c>
      <c r="C70">
        <f>IF($U70="","",IF(INDEX('Per Invoice'!C$2:C$401,$U70)="","",INDEX('Per Invoice'!C$2:C$401,$U70)))</f>
        <v/>
      </c>
      <c r="D70">
        <f>IF($U70="","",IF(INDEX('Per Invoice'!D$2:D$401,$U70)="","",INDEX('Per Invoice'!D$2:D$401,$U70)))</f>
        <v/>
      </c>
      <c r="E70">
        <f>IF($U70="","",IF(INDEX('Per Invoice'!E$2:E$401,$U70)="","",INDEX('Per Invoice'!E$2:E$401,$U70)))</f>
        <v/>
      </c>
      <c r="F70">
        <f>IF($U70="","",IF(INDEX('Per Invoice'!F$2:F$401,$U70)="","",INDEX('Per Invoice'!F$2:F$401,$U70)))</f>
        <v/>
      </c>
      <c r="G70">
        <f>IF($U70="","",IF(INDEX('Per Invoice'!G$2:G$401,$U70)="","",INDEX('Per Invoice'!G$2:G$401,$U70)))</f>
        <v/>
      </c>
      <c r="H70" s="7">
        <f>IF($U70="","",IF(INDEX('Per Invoice'!H$2:H$401,$U70)="","",INDEX('Per Invoice'!H$2:H$401,$U70)))</f>
        <v/>
      </c>
      <c r="I70" s="14">
        <f>IF($U70="","",IF(INDEX('Per Invoice'!I$2:I$401,$U70)="","",INDEX('Per Invoice'!I$2:I$401,$U70)))</f>
        <v/>
      </c>
      <c r="J70">
        <f>IF($U70="","",IF(INDEX('Per Invoice'!J$2:J$401,$U70)="","",INDEX('Per Invoice'!J$2:J$401,$U70)))</f>
        <v/>
      </c>
      <c r="K70">
        <f>IF($U70="","",IF(INDEX('Per Invoice'!K$2:K$401,$U70)="","",INDEX('Per Invoice'!K$2:K$401,$U70)))</f>
        <v/>
      </c>
      <c r="L70" s="7">
        <f>IF($U70="","",IF(INDEX('Per Invoice'!L$2:L$401,$U70)="","",INDEX('Per Invoice'!L$2:L$401,$U70)))</f>
        <v/>
      </c>
      <c r="M70" s="7">
        <f>IF($U70="","",IF(INDEX('Per Invoice'!M$2:M$401,$U70)="","",INDEX('Per Invoice'!M$2:M$401,$U70)))</f>
        <v/>
      </c>
      <c r="N70">
        <f>IF($U70="","",IF(INDEX('Per Invoice'!N$2:N$401,$U70)="","",INDEX('Per Invoice'!N$2:N$401,$U70)))</f>
        <v/>
      </c>
      <c r="O70" s="7">
        <f>IF($U70="","",IF(INDEX('Per Invoice'!O$2:O$401,$U70)="","",INDEX('Per Invoice'!O$2:O$401,$U70)))</f>
        <v/>
      </c>
      <c r="P70" s="7">
        <f>IF($U70="","",IF(INDEX('Per Invoice'!P$2:P$401,$U70)="","",INDEX('Per Invoice'!P$2:P$401,$U70)))</f>
        <v/>
      </c>
      <c r="Q70" s="7">
        <f>IF($U70="","",IF(INDEX('Per Invoice'!Q$2:Q$401,$U70)="","",INDEX('Per Invoice'!Q$2:Q$401,$U70)))</f>
        <v/>
      </c>
      <c r="R70" s="7">
        <f>IF($U70="","",IF(INDEX('Per Invoice'!R$2:R$401,$U70)="","",INDEX('Per Invoice'!R$2:R$401,$U70)))</f>
        <v/>
      </c>
      <c r="S70" s="7">
        <f>IF($U70="","",IF(INDEX('Per Invoice'!S$2:S$401,$U70)="","",INDEX('Per Invoice'!S$2:S$401,$U70)))</f>
        <v/>
      </c>
      <c r="T70" s="7">
        <f>IF($U70="","",IF(INDEX('Per Invoice'!T$2:T$401,$U70)="","",INDEX('Per Invoice'!T$2:T$401,$U70)))</f>
        <v/>
      </c>
      <c r="U70" s="16">
        <f>IFERROR(MATCH(Settings!$C$26&amp;"|"&amp;ROWS($U$2:$U70),'Per Invoice'!$V$2:$V$401,0),"")</f>
        <v/>
      </c>
    </row>
    <row r="71">
      <c r="A71">
        <f>IF($U71="","",IF(INDEX('Per Invoice'!A$2:A$401,$U71)="","",INDEX('Per Invoice'!A$2:A$401,$U71)))</f>
        <v/>
      </c>
      <c r="B71">
        <f>IF($U71="","",IF(INDEX('Per Invoice'!B$2:B$401,$U71)="","",INDEX('Per Invoice'!B$2:B$401,$U71)))</f>
        <v/>
      </c>
      <c r="C71">
        <f>IF($U71="","",IF(INDEX('Per Invoice'!C$2:C$401,$U71)="","",INDEX('Per Invoice'!C$2:C$401,$U71)))</f>
        <v/>
      </c>
      <c r="D71">
        <f>IF($U71="","",IF(INDEX('Per Invoice'!D$2:D$401,$U71)="","",INDEX('Per Invoice'!D$2:D$401,$U71)))</f>
        <v/>
      </c>
      <c r="E71">
        <f>IF($U71="","",IF(INDEX('Per Invoice'!E$2:E$401,$U71)="","",INDEX('Per Invoice'!E$2:E$401,$U71)))</f>
        <v/>
      </c>
      <c r="F71">
        <f>IF($U71="","",IF(INDEX('Per Invoice'!F$2:F$401,$U71)="","",INDEX('Per Invoice'!F$2:F$401,$U71)))</f>
        <v/>
      </c>
      <c r="G71">
        <f>IF($U71="","",IF(INDEX('Per Invoice'!G$2:G$401,$U71)="","",INDEX('Per Invoice'!G$2:G$401,$U71)))</f>
        <v/>
      </c>
      <c r="H71" s="7">
        <f>IF($U71="","",IF(INDEX('Per Invoice'!H$2:H$401,$U71)="","",INDEX('Per Invoice'!H$2:H$401,$U71)))</f>
        <v/>
      </c>
      <c r="I71" s="14">
        <f>IF($U71="","",IF(INDEX('Per Invoice'!I$2:I$401,$U71)="","",INDEX('Per Invoice'!I$2:I$401,$U71)))</f>
        <v/>
      </c>
      <c r="J71">
        <f>IF($U71="","",IF(INDEX('Per Invoice'!J$2:J$401,$U71)="","",INDEX('Per Invoice'!J$2:J$401,$U71)))</f>
        <v/>
      </c>
      <c r="K71">
        <f>IF($U71="","",IF(INDEX('Per Invoice'!K$2:K$401,$U71)="","",INDEX('Per Invoice'!K$2:K$401,$U71)))</f>
        <v/>
      </c>
      <c r="L71" s="7">
        <f>IF($U71="","",IF(INDEX('Per Invoice'!L$2:L$401,$U71)="","",INDEX('Per Invoice'!L$2:L$401,$U71)))</f>
        <v/>
      </c>
      <c r="M71" s="7">
        <f>IF($U71="","",IF(INDEX('Per Invoice'!M$2:M$401,$U71)="","",INDEX('Per Invoice'!M$2:M$401,$U71)))</f>
        <v/>
      </c>
      <c r="N71">
        <f>IF($U71="","",IF(INDEX('Per Invoice'!N$2:N$401,$U71)="","",INDEX('Per Invoice'!N$2:N$401,$U71)))</f>
        <v/>
      </c>
      <c r="O71" s="7">
        <f>IF($U71="","",IF(INDEX('Per Invoice'!O$2:O$401,$U71)="","",INDEX('Per Invoice'!O$2:O$401,$U71)))</f>
        <v/>
      </c>
      <c r="P71" s="7">
        <f>IF($U71="","",IF(INDEX('Per Invoice'!P$2:P$401,$U71)="","",INDEX('Per Invoice'!P$2:P$401,$U71)))</f>
        <v/>
      </c>
      <c r="Q71" s="7">
        <f>IF($U71="","",IF(INDEX('Per Invoice'!Q$2:Q$401,$U71)="","",INDEX('Per Invoice'!Q$2:Q$401,$U71)))</f>
        <v/>
      </c>
      <c r="R71" s="7">
        <f>IF($U71="","",IF(INDEX('Per Invoice'!R$2:R$401,$U71)="","",INDEX('Per Invoice'!R$2:R$401,$U71)))</f>
        <v/>
      </c>
      <c r="S71" s="7">
        <f>IF($U71="","",IF(INDEX('Per Invoice'!S$2:S$401,$U71)="","",INDEX('Per Invoice'!S$2:S$401,$U71)))</f>
        <v/>
      </c>
      <c r="T71" s="7">
        <f>IF($U71="","",IF(INDEX('Per Invoice'!T$2:T$401,$U71)="","",INDEX('Per Invoice'!T$2:T$401,$U71)))</f>
        <v/>
      </c>
      <c r="U71" s="16">
        <f>IFERROR(MATCH(Settings!$C$26&amp;"|"&amp;ROWS($U$2:$U71),'Per Invoice'!$V$2:$V$401,0),"")</f>
        <v/>
      </c>
    </row>
    <row r="72">
      <c r="A72">
        <f>IF($U72="","",IF(INDEX('Per Invoice'!A$2:A$401,$U72)="","",INDEX('Per Invoice'!A$2:A$401,$U72)))</f>
        <v/>
      </c>
      <c r="B72">
        <f>IF($U72="","",IF(INDEX('Per Invoice'!B$2:B$401,$U72)="","",INDEX('Per Invoice'!B$2:B$401,$U72)))</f>
        <v/>
      </c>
      <c r="C72">
        <f>IF($U72="","",IF(INDEX('Per Invoice'!C$2:C$401,$U72)="","",INDEX('Per Invoice'!C$2:C$401,$U72)))</f>
        <v/>
      </c>
      <c r="D72">
        <f>IF($U72="","",IF(INDEX('Per Invoice'!D$2:D$401,$U72)="","",INDEX('Per Invoice'!D$2:D$401,$U72)))</f>
        <v/>
      </c>
      <c r="E72">
        <f>IF($U72="","",IF(INDEX('Per Invoice'!E$2:E$401,$U72)="","",INDEX('Per Invoice'!E$2:E$401,$U72)))</f>
        <v/>
      </c>
      <c r="F72">
        <f>IF($U72="","",IF(INDEX('Per Invoice'!F$2:F$401,$U72)="","",INDEX('Per Invoice'!F$2:F$401,$U72)))</f>
        <v/>
      </c>
      <c r="G72">
        <f>IF($U72="","",IF(INDEX('Per Invoice'!G$2:G$401,$U72)="","",INDEX('Per Invoice'!G$2:G$401,$U72)))</f>
        <v/>
      </c>
      <c r="H72" s="7">
        <f>IF($U72="","",IF(INDEX('Per Invoice'!H$2:H$401,$U72)="","",INDEX('Per Invoice'!H$2:H$401,$U72)))</f>
        <v/>
      </c>
      <c r="I72" s="14">
        <f>IF($U72="","",IF(INDEX('Per Invoice'!I$2:I$401,$U72)="","",INDEX('Per Invoice'!I$2:I$401,$U72)))</f>
        <v/>
      </c>
      <c r="J72">
        <f>IF($U72="","",IF(INDEX('Per Invoice'!J$2:J$401,$U72)="","",INDEX('Per Invoice'!J$2:J$401,$U72)))</f>
        <v/>
      </c>
      <c r="K72">
        <f>IF($U72="","",IF(INDEX('Per Invoice'!K$2:K$401,$U72)="","",INDEX('Per Invoice'!K$2:K$401,$U72)))</f>
        <v/>
      </c>
      <c r="L72" s="7">
        <f>IF($U72="","",IF(INDEX('Per Invoice'!L$2:L$401,$U72)="","",INDEX('Per Invoice'!L$2:L$401,$U72)))</f>
        <v/>
      </c>
      <c r="M72" s="7">
        <f>IF($U72="","",IF(INDEX('Per Invoice'!M$2:M$401,$U72)="","",INDEX('Per Invoice'!M$2:M$401,$U72)))</f>
        <v/>
      </c>
      <c r="N72">
        <f>IF($U72="","",IF(INDEX('Per Invoice'!N$2:N$401,$U72)="","",INDEX('Per Invoice'!N$2:N$401,$U72)))</f>
        <v/>
      </c>
      <c r="O72" s="7">
        <f>IF($U72="","",IF(INDEX('Per Invoice'!O$2:O$401,$U72)="","",INDEX('Per Invoice'!O$2:O$401,$U72)))</f>
        <v/>
      </c>
      <c r="P72" s="7">
        <f>IF($U72="","",IF(INDEX('Per Invoice'!P$2:P$401,$U72)="","",INDEX('Per Invoice'!P$2:P$401,$U72)))</f>
        <v/>
      </c>
      <c r="Q72" s="7">
        <f>IF($U72="","",IF(INDEX('Per Invoice'!Q$2:Q$401,$U72)="","",INDEX('Per Invoice'!Q$2:Q$401,$U72)))</f>
        <v/>
      </c>
      <c r="R72" s="7">
        <f>IF($U72="","",IF(INDEX('Per Invoice'!R$2:R$401,$U72)="","",INDEX('Per Invoice'!R$2:R$401,$U72)))</f>
        <v/>
      </c>
      <c r="S72" s="7">
        <f>IF($U72="","",IF(INDEX('Per Invoice'!S$2:S$401,$U72)="","",INDEX('Per Invoice'!S$2:S$401,$U72)))</f>
        <v/>
      </c>
      <c r="T72" s="7">
        <f>IF($U72="","",IF(INDEX('Per Invoice'!T$2:T$401,$U72)="","",INDEX('Per Invoice'!T$2:T$401,$U72)))</f>
        <v/>
      </c>
      <c r="U72" s="16">
        <f>IFERROR(MATCH(Settings!$C$26&amp;"|"&amp;ROWS($U$2:$U72),'Per Invoice'!$V$2:$V$401,0),"")</f>
        <v/>
      </c>
    </row>
    <row r="73">
      <c r="A73">
        <f>IF($U73="","",IF(INDEX('Per Invoice'!A$2:A$401,$U73)="","",INDEX('Per Invoice'!A$2:A$401,$U73)))</f>
        <v/>
      </c>
      <c r="B73">
        <f>IF($U73="","",IF(INDEX('Per Invoice'!B$2:B$401,$U73)="","",INDEX('Per Invoice'!B$2:B$401,$U73)))</f>
        <v/>
      </c>
      <c r="C73">
        <f>IF($U73="","",IF(INDEX('Per Invoice'!C$2:C$401,$U73)="","",INDEX('Per Invoice'!C$2:C$401,$U73)))</f>
        <v/>
      </c>
      <c r="D73">
        <f>IF($U73="","",IF(INDEX('Per Invoice'!D$2:D$401,$U73)="","",INDEX('Per Invoice'!D$2:D$401,$U73)))</f>
        <v/>
      </c>
      <c r="E73">
        <f>IF($U73="","",IF(INDEX('Per Invoice'!E$2:E$401,$U73)="","",INDEX('Per Invoice'!E$2:E$401,$U73)))</f>
        <v/>
      </c>
      <c r="F73">
        <f>IF($U73="","",IF(INDEX('Per Invoice'!F$2:F$401,$U73)="","",INDEX('Per Invoice'!F$2:F$401,$U73)))</f>
        <v/>
      </c>
      <c r="G73">
        <f>IF($U73="","",IF(INDEX('Per Invoice'!G$2:G$401,$U73)="","",INDEX('Per Invoice'!G$2:G$401,$U73)))</f>
        <v/>
      </c>
      <c r="H73" s="7">
        <f>IF($U73="","",IF(INDEX('Per Invoice'!H$2:H$401,$U73)="","",INDEX('Per Invoice'!H$2:H$401,$U73)))</f>
        <v/>
      </c>
      <c r="I73" s="14">
        <f>IF($U73="","",IF(INDEX('Per Invoice'!I$2:I$401,$U73)="","",INDEX('Per Invoice'!I$2:I$401,$U73)))</f>
        <v/>
      </c>
      <c r="J73">
        <f>IF($U73="","",IF(INDEX('Per Invoice'!J$2:J$401,$U73)="","",INDEX('Per Invoice'!J$2:J$401,$U73)))</f>
        <v/>
      </c>
      <c r="K73">
        <f>IF($U73="","",IF(INDEX('Per Invoice'!K$2:K$401,$U73)="","",INDEX('Per Invoice'!K$2:K$401,$U73)))</f>
        <v/>
      </c>
      <c r="L73" s="7">
        <f>IF($U73="","",IF(INDEX('Per Invoice'!L$2:L$401,$U73)="","",INDEX('Per Invoice'!L$2:L$401,$U73)))</f>
        <v/>
      </c>
      <c r="M73" s="7">
        <f>IF($U73="","",IF(INDEX('Per Invoice'!M$2:M$401,$U73)="","",INDEX('Per Invoice'!M$2:M$401,$U73)))</f>
        <v/>
      </c>
      <c r="N73">
        <f>IF($U73="","",IF(INDEX('Per Invoice'!N$2:N$401,$U73)="","",INDEX('Per Invoice'!N$2:N$401,$U73)))</f>
        <v/>
      </c>
      <c r="O73" s="7">
        <f>IF($U73="","",IF(INDEX('Per Invoice'!O$2:O$401,$U73)="","",INDEX('Per Invoice'!O$2:O$401,$U73)))</f>
        <v/>
      </c>
      <c r="P73" s="7">
        <f>IF($U73="","",IF(INDEX('Per Invoice'!P$2:P$401,$U73)="","",INDEX('Per Invoice'!P$2:P$401,$U73)))</f>
        <v/>
      </c>
      <c r="Q73" s="7">
        <f>IF($U73="","",IF(INDEX('Per Invoice'!Q$2:Q$401,$U73)="","",INDEX('Per Invoice'!Q$2:Q$401,$U73)))</f>
        <v/>
      </c>
      <c r="R73" s="7">
        <f>IF($U73="","",IF(INDEX('Per Invoice'!R$2:R$401,$U73)="","",INDEX('Per Invoice'!R$2:R$401,$U73)))</f>
        <v/>
      </c>
      <c r="S73" s="7">
        <f>IF($U73="","",IF(INDEX('Per Invoice'!S$2:S$401,$U73)="","",INDEX('Per Invoice'!S$2:S$401,$U73)))</f>
        <v/>
      </c>
      <c r="T73" s="7">
        <f>IF($U73="","",IF(INDEX('Per Invoice'!T$2:T$401,$U73)="","",INDEX('Per Invoice'!T$2:T$401,$U73)))</f>
        <v/>
      </c>
      <c r="U73" s="16">
        <f>IFERROR(MATCH(Settings!$C$26&amp;"|"&amp;ROWS($U$2:$U73),'Per Invoice'!$V$2:$V$401,0),"")</f>
        <v/>
      </c>
    </row>
    <row r="74">
      <c r="A74">
        <f>IF($U74="","",IF(INDEX('Per Invoice'!A$2:A$401,$U74)="","",INDEX('Per Invoice'!A$2:A$401,$U74)))</f>
        <v/>
      </c>
      <c r="B74">
        <f>IF($U74="","",IF(INDEX('Per Invoice'!B$2:B$401,$U74)="","",INDEX('Per Invoice'!B$2:B$401,$U74)))</f>
        <v/>
      </c>
      <c r="C74">
        <f>IF($U74="","",IF(INDEX('Per Invoice'!C$2:C$401,$U74)="","",INDEX('Per Invoice'!C$2:C$401,$U74)))</f>
        <v/>
      </c>
      <c r="D74">
        <f>IF($U74="","",IF(INDEX('Per Invoice'!D$2:D$401,$U74)="","",INDEX('Per Invoice'!D$2:D$401,$U74)))</f>
        <v/>
      </c>
      <c r="E74">
        <f>IF($U74="","",IF(INDEX('Per Invoice'!E$2:E$401,$U74)="","",INDEX('Per Invoice'!E$2:E$401,$U74)))</f>
        <v/>
      </c>
      <c r="F74">
        <f>IF($U74="","",IF(INDEX('Per Invoice'!F$2:F$401,$U74)="","",INDEX('Per Invoice'!F$2:F$401,$U74)))</f>
        <v/>
      </c>
      <c r="G74">
        <f>IF($U74="","",IF(INDEX('Per Invoice'!G$2:G$401,$U74)="","",INDEX('Per Invoice'!G$2:G$401,$U74)))</f>
        <v/>
      </c>
      <c r="H74" s="7">
        <f>IF($U74="","",IF(INDEX('Per Invoice'!H$2:H$401,$U74)="","",INDEX('Per Invoice'!H$2:H$401,$U74)))</f>
        <v/>
      </c>
      <c r="I74" s="14">
        <f>IF($U74="","",IF(INDEX('Per Invoice'!I$2:I$401,$U74)="","",INDEX('Per Invoice'!I$2:I$401,$U74)))</f>
        <v/>
      </c>
      <c r="J74">
        <f>IF($U74="","",IF(INDEX('Per Invoice'!J$2:J$401,$U74)="","",INDEX('Per Invoice'!J$2:J$401,$U74)))</f>
        <v/>
      </c>
      <c r="K74">
        <f>IF($U74="","",IF(INDEX('Per Invoice'!K$2:K$401,$U74)="","",INDEX('Per Invoice'!K$2:K$401,$U74)))</f>
        <v/>
      </c>
      <c r="L74" s="7">
        <f>IF($U74="","",IF(INDEX('Per Invoice'!L$2:L$401,$U74)="","",INDEX('Per Invoice'!L$2:L$401,$U74)))</f>
        <v/>
      </c>
      <c r="M74" s="7">
        <f>IF($U74="","",IF(INDEX('Per Invoice'!M$2:M$401,$U74)="","",INDEX('Per Invoice'!M$2:M$401,$U74)))</f>
        <v/>
      </c>
      <c r="N74">
        <f>IF($U74="","",IF(INDEX('Per Invoice'!N$2:N$401,$U74)="","",INDEX('Per Invoice'!N$2:N$401,$U74)))</f>
        <v/>
      </c>
      <c r="O74" s="7">
        <f>IF($U74="","",IF(INDEX('Per Invoice'!O$2:O$401,$U74)="","",INDEX('Per Invoice'!O$2:O$401,$U74)))</f>
        <v/>
      </c>
      <c r="P74" s="7">
        <f>IF($U74="","",IF(INDEX('Per Invoice'!P$2:P$401,$U74)="","",INDEX('Per Invoice'!P$2:P$401,$U74)))</f>
        <v/>
      </c>
      <c r="Q74" s="7">
        <f>IF($U74="","",IF(INDEX('Per Invoice'!Q$2:Q$401,$U74)="","",INDEX('Per Invoice'!Q$2:Q$401,$U74)))</f>
        <v/>
      </c>
      <c r="R74" s="7">
        <f>IF($U74="","",IF(INDEX('Per Invoice'!R$2:R$401,$U74)="","",INDEX('Per Invoice'!R$2:R$401,$U74)))</f>
        <v/>
      </c>
      <c r="S74" s="7">
        <f>IF($U74="","",IF(INDEX('Per Invoice'!S$2:S$401,$U74)="","",INDEX('Per Invoice'!S$2:S$401,$U74)))</f>
        <v/>
      </c>
      <c r="T74" s="7">
        <f>IF($U74="","",IF(INDEX('Per Invoice'!T$2:T$401,$U74)="","",INDEX('Per Invoice'!T$2:T$401,$U74)))</f>
        <v/>
      </c>
      <c r="U74" s="16">
        <f>IFERROR(MATCH(Settings!$C$26&amp;"|"&amp;ROWS($U$2:$U74),'Per Invoice'!$V$2:$V$401,0),"")</f>
        <v/>
      </c>
    </row>
    <row r="75">
      <c r="A75">
        <f>IF($U75="","",IF(INDEX('Per Invoice'!A$2:A$401,$U75)="","",INDEX('Per Invoice'!A$2:A$401,$U75)))</f>
        <v/>
      </c>
      <c r="B75">
        <f>IF($U75="","",IF(INDEX('Per Invoice'!B$2:B$401,$U75)="","",INDEX('Per Invoice'!B$2:B$401,$U75)))</f>
        <v/>
      </c>
      <c r="C75">
        <f>IF($U75="","",IF(INDEX('Per Invoice'!C$2:C$401,$U75)="","",INDEX('Per Invoice'!C$2:C$401,$U75)))</f>
        <v/>
      </c>
      <c r="D75">
        <f>IF($U75="","",IF(INDEX('Per Invoice'!D$2:D$401,$U75)="","",INDEX('Per Invoice'!D$2:D$401,$U75)))</f>
        <v/>
      </c>
      <c r="E75">
        <f>IF($U75="","",IF(INDEX('Per Invoice'!E$2:E$401,$U75)="","",INDEX('Per Invoice'!E$2:E$401,$U75)))</f>
        <v/>
      </c>
      <c r="F75">
        <f>IF($U75="","",IF(INDEX('Per Invoice'!F$2:F$401,$U75)="","",INDEX('Per Invoice'!F$2:F$401,$U75)))</f>
        <v/>
      </c>
      <c r="G75">
        <f>IF($U75="","",IF(INDEX('Per Invoice'!G$2:G$401,$U75)="","",INDEX('Per Invoice'!G$2:G$401,$U75)))</f>
        <v/>
      </c>
      <c r="H75" s="7">
        <f>IF($U75="","",IF(INDEX('Per Invoice'!H$2:H$401,$U75)="","",INDEX('Per Invoice'!H$2:H$401,$U75)))</f>
        <v/>
      </c>
      <c r="I75" s="14">
        <f>IF($U75="","",IF(INDEX('Per Invoice'!I$2:I$401,$U75)="","",INDEX('Per Invoice'!I$2:I$401,$U75)))</f>
        <v/>
      </c>
      <c r="J75">
        <f>IF($U75="","",IF(INDEX('Per Invoice'!J$2:J$401,$U75)="","",INDEX('Per Invoice'!J$2:J$401,$U75)))</f>
        <v/>
      </c>
      <c r="K75">
        <f>IF($U75="","",IF(INDEX('Per Invoice'!K$2:K$401,$U75)="","",INDEX('Per Invoice'!K$2:K$401,$U75)))</f>
        <v/>
      </c>
      <c r="L75" s="7">
        <f>IF($U75="","",IF(INDEX('Per Invoice'!L$2:L$401,$U75)="","",INDEX('Per Invoice'!L$2:L$401,$U75)))</f>
        <v/>
      </c>
      <c r="M75" s="7">
        <f>IF($U75="","",IF(INDEX('Per Invoice'!M$2:M$401,$U75)="","",INDEX('Per Invoice'!M$2:M$401,$U75)))</f>
        <v/>
      </c>
      <c r="N75">
        <f>IF($U75="","",IF(INDEX('Per Invoice'!N$2:N$401,$U75)="","",INDEX('Per Invoice'!N$2:N$401,$U75)))</f>
        <v/>
      </c>
      <c r="O75" s="7">
        <f>IF($U75="","",IF(INDEX('Per Invoice'!O$2:O$401,$U75)="","",INDEX('Per Invoice'!O$2:O$401,$U75)))</f>
        <v/>
      </c>
      <c r="P75" s="7">
        <f>IF($U75="","",IF(INDEX('Per Invoice'!P$2:P$401,$U75)="","",INDEX('Per Invoice'!P$2:P$401,$U75)))</f>
        <v/>
      </c>
      <c r="Q75" s="7">
        <f>IF($U75="","",IF(INDEX('Per Invoice'!Q$2:Q$401,$U75)="","",INDEX('Per Invoice'!Q$2:Q$401,$U75)))</f>
        <v/>
      </c>
      <c r="R75" s="7">
        <f>IF($U75="","",IF(INDEX('Per Invoice'!R$2:R$401,$U75)="","",INDEX('Per Invoice'!R$2:R$401,$U75)))</f>
        <v/>
      </c>
      <c r="S75" s="7">
        <f>IF($U75="","",IF(INDEX('Per Invoice'!S$2:S$401,$U75)="","",INDEX('Per Invoice'!S$2:S$401,$U75)))</f>
        <v/>
      </c>
      <c r="T75" s="7">
        <f>IF($U75="","",IF(INDEX('Per Invoice'!T$2:T$401,$U75)="","",INDEX('Per Invoice'!T$2:T$401,$U75)))</f>
        <v/>
      </c>
      <c r="U75" s="16">
        <f>IFERROR(MATCH(Settings!$C$26&amp;"|"&amp;ROWS($U$2:$U75),'Per Invoice'!$V$2:$V$401,0),"")</f>
        <v/>
      </c>
    </row>
    <row r="76">
      <c r="A76">
        <f>IF($U76="","",IF(INDEX('Per Invoice'!A$2:A$401,$U76)="","",INDEX('Per Invoice'!A$2:A$401,$U76)))</f>
        <v/>
      </c>
      <c r="B76">
        <f>IF($U76="","",IF(INDEX('Per Invoice'!B$2:B$401,$U76)="","",INDEX('Per Invoice'!B$2:B$401,$U76)))</f>
        <v/>
      </c>
      <c r="C76">
        <f>IF($U76="","",IF(INDEX('Per Invoice'!C$2:C$401,$U76)="","",INDEX('Per Invoice'!C$2:C$401,$U76)))</f>
        <v/>
      </c>
      <c r="D76">
        <f>IF($U76="","",IF(INDEX('Per Invoice'!D$2:D$401,$U76)="","",INDEX('Per Invoice'!D$2:D$401,$U76)))</f>
        <v/>
      </c>
      <c r="E76">
        <f>IF($U76="","",IF(INDEX('Per Invoice'!E$2:E$401,$U76)="","",INDEX('Per Invoice'!E$2:E$401,$U76)))</f>
        <v/>
      </c>
      <c r="F76">
        <f>IF($U76="","",IF(INDEX('Per Invoice'!F$2:F$401,$U76)="","",INDEX('Per Invoice'!F$2:F$401,$U76)))</f>
        <v/>
      </c>
      <c r="G76">
        <f>IF($U76="","",IF(INDEX('Per Invoice'!G$2:G$401,$U76)="","",INDEX('Per Invoice'!G$2:G$401,$U76)))</f>
        <v/>
      </c>
      <c r="H76" s="7">
        <f>IF($U76="","",IF(INDEX('Per Invoice'!H$2:H$401,$U76)="","",INDEX('Per Invoice'!H$2:H$401,$U76)))</f>
        <v/>
      </c>
      <c r="I76" s="14">
        <f>IF($U76="","",IF(INDEX('Per Invoice'!I$2:I$401,$U76)="","",INDEX('Per Invoice'!I$2:I$401,$U76)))</f>
        <v/>
      </c>
      <c r="J76">
        <f>IF($U76="","",IF(INDEX('Per Invoice'!J$2:J$401,$U76)="","",INDEX('Per Invoice'!J$2:J$401,$U76)))</f>
        <v/>
      </c>
      <c r="K76">
        <f>IF($U76="","",IF(INDEX('Per Invoice'!K$2:K$401,$U76)="","",INDEX('Per Invoice'!K$2:K$401,$U76)))</f>
        <v/>
      </c>
      <c r="L76" s="7">
        <f>IF($U76="","",IF(INDEX('Per Invoice'!L$2:L$401,$U76)="","",INDEX('Per Invoice'!L$2:L$401,$U76)))</f>
        <v/>
      </c>
      <c r="M76" s="7">
        <f>IF($U76="","",IF(INDEX('Per Invoice'!M$2:M$401,$U76)="","",INDEX('Per Invoice'!M$2:M$401,$U76)))</f>
        <v/>
      </c>
      <c r="N76">
        <f>IF($U76="","",IF(INDEX('Per Invoice'!N$2:N$401,$U76)="","",INDEX('Per Invoice'!N$2:N$401,$U76)))</f>
        <v/>
      </c>
      <c r="O76" s="7">
        <f>IF($U76="","",IF(INDEX('Per Invoice'!O$2:O$401,$U76)="","",INDEX('Per Invoice'!O$2:O$401,$U76)))</f>
        <v/>
      </c>
      <c r="P76" s="7">
        <f>IF($U76="","",IF(INDEX('Per Invoice'!P$2:P$401,$U76)="","",INDEX('Per Invoice'!P$2:P$401,$U76)))</f>
        <v/>
      </c>
      <c r="Q76" s="7">
        <f>IF($U76="","",IF(INDEX('Per Invoice'!Q$2:Q$401,$U76)="","",INDEX('Per Invoice'!Q$2:Q$401,$U76)))</f>
        <v/>
      </c>
      <c r="R76" s="7">
        <f>IF($U76="","",IF(INDEX('Per Invoice'!R$2:R$401,$U76)="","",INDEX('Per Invoice'!R$2:R$401,$U76)))</f>
        <v/>
      </c>
      <c r="S76" s="7">
        <f>IF($U76="","",IF(INDEX('Per Invoice'!S$2:S$401,$U76)="","",INDEX('Per Invoice'!S$2:S$401,$U76)))</f>
        <v/>
      </c>
      <c r="T76" s="7">
        <f>IF($U76="","",IF(INDEX('Per Invoice'!T$2:T$401,$U76)="","",INDEX('Per Invoice'!T$2:T$401,$U76)))</f>
        <v/>
      </c>
      <c r="U76" s="16">
        <f>IFERROR(MATCH(Settings!$C$26&amp;"|"&amp;ROWS($U$2:$U76),'Per Invoice'!$V$2:$V$401,0),"")</f>
        <v/>
      </c>
    </row>
    <row r="77">
      <c r="A77">
        <f>IF($U77="","",IF(INDEX('Per Invoice'!A$2:A$401,$U77)="","",INDEX('Per Invoice'!A$2:A$401,$U77)))</f>
        <v/>
      </c>
      <c r="B77">
        <f>IF($U77="","",IF(INDEX('Per Invoice'!B$2:B$401,$U77)="","",INDEX('Per Invoice'!B$2:B$401,$U77)))</f>
        <v/>
      </c>
      <c r="C77">
        <f>IF($U77="","",IF(INDEX('Per Invoice'!C$2:C$401,$U77)="","",INDEX('Per Invoice'!C$2:C$401,$U77)))</f>
        <v/>
      </c>
      <c r="D77">
        <f>IF($U77="","",IF(INDEX('Per Invoice'!D$2:D$401,$U77)="","",INDEX('Per Invoice'!D$2:D$401,$U77)))</f>
        <v/>
      </c>
      <c r="E77">
        <f>IF($U77="","",IF(INDEX('Per Invoice'!E$2:E$401,$U77)="","",INDEX('Per Invoice'!E$2:E$401,$U77)))</f>
        <v/>
      </c>
      <c r="F77">
        <f>IF($U77="","",IF(INDEX('Per Invoice'!F$2:F$401,$U77)="","",INDEX('Per Invoice'!F$2:F$401,$U77)))</f>
        <v/>
      </c>
      <c r="G77">
        <f>IF($U77="","",IF(INDEX('Per Invoice'!G$2:G$401,$U77)="","",INDEX('Per Invoice'!G$2:G$401,$U77)))</f>
        <v/>
      </c>
      <c r="H77" s="7">
        <f>IF($U77="","",IF(INDEX('Per Invoice'!H$2:H$401,$U77)="","",INDEX('Per Invoice'!H$2:H$401,$U77)))</f>
        <v/>
      </c>
      <c r="I77" s="14">
        <f>IF($U77="","",IF(INDEX('Per Invoice'!I$2:I$401,$U77)="","",INDEX('Per Invoice'!I$2:I$401,$U77)))</f>
        <v/>
      </c>
      <c r="J77">
        <f>IF($U77="","",IF(INDEX('Per Invoice'!J$2:J$401,$U77)="","",INDEX('Per Invoice'!J$2:J$401,$U77)))</f>
        <v/>
      </c>
      <c r="K77">
        <f>IF($U77="","",IF(INDEX('Per Invoice'!K$2:K$401,$U77)="","",INDEX('Per Invoice'!K$2:K$401,$U77)))</f>
        <v/>
      </c>
      <c r="L77" s="7">
        <f>IF($U77="","",IF(INDEX('Per Invoice'!L$2:L$401,$U77)="","",INDEX('Per Invoice'!L$2:L$401,$U77)))</f>
        <v/>
      </c>
      <c r="M77" s="7">
        <f>IF($U77="","",IF(INDEX('Per Invoice'!M$2:M$401,$U77)="","",INDEX('Per Invoice'!M$2:M$401,$U77)))</f>
        <v/>
      </c>
      <c r="N77">
        <f>IF($U77="","",IF(INDEX('Per Invoice'!N$2:N$401,$U77)="","",INDEX('Per Invoice'!N$2:N$401,$U77)))</f>
        <v/>
      </c>
      <c r="O77" s="7">
        <f>IF($U77="","",IF(INDEX('Per Invoice'!O$2:O$401,$U77)="","",INDEX('Per Invoice'!O$2:O$401,$U77)))</f>
        <v/>
      </c>
      <c r="P77" s="7">
        <f>IF($U77="","",IF(INDEX('Per Invoice'!P$2:P$401,$U77)="","",INDEX('Per Invoice'!P$2:P$401,$U77)))</f>
        <v/>
      </c>
      <c r="Q77" s="7">
        <f>IF($U77="","",IF(INDEX('Per Invoice'!Q$2:Q$401,$U77)="","",INDEX('Per Invoice'!Q$2:Q$401,$U77)))</f>
        <v/>
      </c>
      <c r="R77" s="7">
        <f>IF($U77="","",IF(INDEX('Per Invoice'!R$2:R$401,$U77)="","",INDEX('Per Invoice'!R$2:R$401,$U77)))</f>
        <v/>
      </c>
      <c r="S77" s="7">
        <f>IF($U77="","",IF(INDEX('Per Invoice'!S$2:S$401,$U77)="","",INDEX('Per Invoice'!S$2:S$401,$U77)))</f>
        <v/>
      </c>
      <c r="T77" s="7">
        <f>IF($U77="","",IF(INDEX('Per Invoice'!T$2:T$401,$U77)="","",INDEX('Per Invoice'!T$2:T$401,$U77)))</f>
        <v/>
      </c>
      <c r="U77" s="16">
        <f>IFERROR(MATCH(Settings!$C$26&amp;"|"&amp;ROWS($U$2:$U77),'Per Invoice'!$V$2:$V$401,0),"")</f>
        <v/>
      </c>
    </row>
    <row r="78">
      <c r="A78">
        <f>IF($U78="","",IF(INDEX('Per Invoice'!A$2:A$401,$U78)="","",INDEX('Per Invoice'!A$2:A$401,$U78)))</f>
        <v/>
      </c>
      <c r="B78">
        <f>IF($U78="","",IF(INDEX('Per Invoice'!B$2:B$401,$U78)="","",INDEX('Per Invoice'!B$2:B$401,$U78)))</f>
        <v/>
      </c>
      <c r="C78">
        <f>IF($U78="","",IF(INDEX('Per Invoice'!C$2:C$401,$U78)="","",INDEX('Per Invoice'!C$2:C$401,$U78)))</f>
        <v/>
      </c>
      <c r="D78">
        <f>IF($U78="","",IF(INDEX('Per Invoice'!D$2:D$401,$U78)="","",INDEX('Per Invoice'!D$2:D$401,$U78)))</f>
        <v/>
      </c>
      <c r="E78">
        <f>IF($U78="","",IF(INDEX('Per Invoice'!E$2:E$401,$U78)="","",INDEX('Per Invoice'!E$2:E$401,$U78)))</f>
        <v/>
      </c>
      <c r="F78">
        <f>IF($U78="","",IF(INDEX('Per Invoice'!F$2:F$401,$U78)="","",INDEX('Per Invoice'!F$2:F$401,$U78)))</f>
        <v/>
      </c>
      <c r="G78">
        <f>IF($U78="","",IF(INDEX('Per Invoice'!G$2:G$401,$U78)="","",INDEX('Per Invoice'!G$2:G$401,$U78)))</f>
        <v/>
      </c>
      <c r="H78" s="7">
        <f>IF($U78="","",IF(INDEX('Per Invoice'!H$2:H$401,$U78)="","",INDEX('Per Invoice'!H$2:H$401,$U78)))</f>
        <v/>
      </c>
      <c r="I78" s="14">
        <f>IF($U78="","",IF(INDEX('Per Invoice'!I$2:I$401,$U78)="","",INDEX('Per Invoice'!I$2:I$401,$U78)))</f>
        <v/>
      </c>
      <c r="J78">
        <f>IF($U78="","",IF(INDEX('Per Invoice'!J$2:J$401,$U78)="","",INDEX('Per Invoice'!J$2:J$401,$U78)))</f>
        <v/>
      </c>
      <c r="K78">
        <f>IF($U78="","",IF(INDEX('Per Invoice'!K$2:K$401,$U78)="","",INDEX('Per Invoice'!K$2:K$401,$U78)))</f>
        <v/>
      </c>
      <c r="L78" s="7">
        <f>IF($U78="","",IF(INDEX('Per Invoice'!L$2:L$401,$U78)="","",INDEX('Per Invoice'!L$2:L$401,$U78)))</f>
        <v/>
      </c>
      <c r="M78" s="7">
        <f>IF($U78="","",IF(INDEX('Per Invoice'!M$2:M$401,$U78)="","",INDEX('Per Invoice'!M$2:M$401,$U78)))</f>
        <v/>
      </c>
      <c r="N78">
        <f>IF($U78="","",IF(INDEX('Per Invoice'!N$2:N$401,$U78)="","",INDEX('Per Invoice'!N$2:N$401,$U78)))</f>
        <v/>
      </c>
      <c r="O78" s="7">
        <f>IF($U78="","",IF(INDEX('Per Invoice'!O$2:O$401,$U78)="","",INDEX('Per Invoice'!O$2:O$401,$U78)))</f>
        <v/>
      </c>
      <c r="P78" s="7">
        <f>IF($U78="","",IF(INDEX('Per Invoice'!P$2:P$401,$U78)="","",INDEX('Per Invoice'!P$2:P$401,$U78)))</f>
        <v/>
      </c>
      <c r="Q78" s="7">
        <f>IF($U78="","",IF(INDEX('Per Invoice'!Q$2:Q$401,$U78)="","",INDEX('Per Invoice'!Q$2:Q$401,$U78)))</f>
        <v/>
      </c>
      <c r="R78" s="7">
        <f>IF($U78="","",IF(INDEX('Per Invoice'!R$2:R$401,$U78)="","",INDEX('Per Invoice'!R$2:R$401,$U78)))</f>
        <v/>
      </c>
      <c r="S78" s="7">
        <f>IF($U78="","",IF(INDEX('Per Invoice'!S$2:S$401,$U78)="","",INDEX('Per Invoice'!S$2:S$401,$U78)))</f>
        <v/>
      </c>
      <c r="T78" s="7">
        <f>IF($U78="","",IF(INDEX('Per Invoice'!T$2:T$401,$U78)="","",INDEX('Per Invoice'!T$2:T$401,$U78)))</f>
        <v/>
      </c>
      <c r="U78" s="16">
        <f>IFERROR(MATCH(Settings!$C$26&amp;"|"&amp;ROWS($U$2:$U78),'Per Invoice'!$V$2:$V$401,0),"")</f>
        <v/>
      </c>
    </row>
    <row r="79">
      <c r="A79">
        <f>IF($U79="","",IF(INDEX('Per Invoice'!A$2:A$401,$U79)="","",INDEX('Per Invoice'!A$2:A$401,$U79)))</f>
        <v/>
      </c>
      <c r="B79">
        <f>IF($U79="","",IF(INDEX('Per Invoice'!B$2:B$401,$U79)="","",INDEX('Per Invoice'!B$2:B$401,$U79)))</f>
        <v/>
      </c>
      <c r="C79">
        <f>IF($U79="","",IF(INDEX('Per Invoice'!C$2:C$401,$U79)="","",INDEX('Per Invoice'!C$2:C$401,$U79)))</f>
        <v/>
      </c>
      <c r="D79">
        <f>IF($U79="","",IF(INDEX('Per Invoice'!D$2:D$401,$U79)="","",INDEX('Per Invoice'!D$2:D$401,$U79)))</f>
        <v/>
      </c>
      <c r="E79">
        <f>IF($U79="","",IF(INDEX('Per Invoice'!E$2:E$401,$U79)="","",INDEX('Per Invoice'!E$2:E$401,$U79)))</f>
        <v/>
      </c>
      <c r="F79">
        <f>IF($U79="","",IF(INDEX('Per Invoice'!F$2:F$401,$U79)="","",INDEX('Per Invoice'!F$2:F$401,$U79)))</f>
        <v/>
      </c>
      <c r="G79">
        <f>IF($U79="","",IF(INDEX('Per Invoice'!G$2:G$401,$U79)="","",INDEX('Per Invoice'!G$2:G$401,$U79)))</f>
        <v/>
      </c>
      <c r="H79" s="7">
        <f>IF($U79="","",IF(INDEX('Per Invoice'!H$2:H$401,$U79)="","",INDEX('Per Invoice'!H$2:H$401,$U79)))</f>
        <v/>
      </c>
      <c r="I79" s="14">
        <f>IF($U79="","",IF(INDEX('Per Invoice'!I$2:I$401,$U79)="","",INDEX('Per Invoice'!I$2:I$401,$U79)))</f>
        <v/>
      </c>
      <c r="J79">
        <f>IF($U79="","",IF(INDEX('Per Invoice'!J$2:J$401,$U79)="","",INDEX('Per Invoice'!J$2:J$401,$U79)))</f>
        <v/>
      </c>
      <c r="K79">
        <f>IF($U79="","",IF(INDEX('Per Invoice'!K$2:K$401,$U79)="","",INDEX('Per Invoice'!K$2:K$401,$U79)))</f>
        <v/>
      </c>
      <c r="L79" s="7">
        <f>IF($U79="","",IF(INDEX('Per Invoice'!L$2:L$401,$U79)="","",INDEX('Per Invoice'!L$2:L$401,$U79)))</f>
        <v/>
      </c>
      <c r="M79" s="7">
        <f>IF($U79="","",IF(INDEX('Per Invoice'!M$2:M$401,$U79)="","",INDEX('Per Invoice'!M$2:M$401,$U79)))</f>
        <v/>
      </c>
      <c r="N79">
        <f>IF($U79="","",IF(INDEX('Per Invoice'!N$2:N$401,$U79)="","",INDEX('Per Invoice'!N$2:N$401,$U79)))</f>
        <v/>
      </c>
      <c r="O79" s="7">
        <f>IF($U79="","",IF(INDEX('Per Invoice'!O$2:O$401,$U79)="","",INDEX('Per Invoice'!O$2:O$401,$U79)))</f>
        <v/>
      </c>
      <c r="P79" s="7">
        <f>IF($U79="","",IF(INDEX('Per Invoice'!P$2:P$401,$U79)="","",INDEX('Per Invoice'!P$2:P$401,$U79)))</f>
        <v/>
      </c>
      <c r="Q79" s="7">
        <f>IF($U79="","",IF(INDEX('Per Invoice'!Q$2:Q$401,$U79)="","",INDEX('Per Invoice'!Q$2:Q$401,$U79)))</f>
        <v/>
      </c>
      <c r="R79" s="7">
        <f>IF($U79="","",IF(INDEX('Per Invoice'!R$2:R$401,$U79)="","",INDEX('Per Invoice'!R$2:R$401,$U79)))</f>
        <v/>
      </c>
      <c r="S79" s="7">
        <f>IF($U79="","",IF(INDEX('Per Invoice'!S$2:S$401,$U79)="","",INDEX('Per Invoice'!S$2:S$401,$U79)))</f>
        <v/>
      </c>
      <c r="T79" s="7">
        <f>IF($U79="","",IF(INDEX('Per Invoice'!T$2:T$401,$U79)="","",INDEX('Per Invoice'!T$2:T$401,$U79)))</f>
        <v/>
      </c>
      <c r="U79" s="16">
        <f>IFERROR(MATCH(Settings!$C$26&amp;"|"&amp;ROWS($U$2:$U79),'Per Invoice'!$V$2:$V$401,0),"")</f>
        <v/>
      </c>
    </row>
    <row r="80">
      <c r="A80">
        <f>IF($U80="","",IF(INDEX('Per Invoice'!A$2:A$401,$U80)="","",INDEX('Per Invoice'!A$2:A$401,$U80)))</f>
        <v/>
      </c>
      <c r="B80">
        <f>IF($U80="","",IF(INDEX('Per Invoice'!B$2:B$401,$U80)="","",INDEX('Per Invoice'!B$2:B$401,$U80)))</f>
        <v/>
      </c>
      <c r="C80">
        <f>IF($U80="","",IF(INDEX('Per Invoice'!C$2:C$401,$U80)="","",INDEX('Per Invoice'!C$2:C$401,$U80)))</f>
        <v/>
      </c>
      <c r="D80">
        <f>IF($U80="","",IF(INDEX('Per Invoice'!D$2:D$401,$U80)="","",INDEX('Per Invoice'!D$2:D$401,$U80)))</f>
        <v/>
      </c>
      <c r="E80">
        <f>IF($U80="","",IF(INDEX('Per Invoice'!E$2:E$401,$U80)="","",INDEX('Per Invoice'!E$2:E$401,$U80)))</f>
        <v/>
      </c>
      <c r="F80">
        <f>IF($U80="","",IF(INDEX('Per Invoice'!F$2:F$401,$U80)="","",INDEX('Per Invoice'!F$2:F$401,$U80)))</f>
        <v/>
      </c>
      <c r="G80">
        <f>IF($U80="","",IF(INDEX('Per Invoice'!G$2:G$401,$U80)="","",INDEX('Per Invoice'!G$2:G$401,$U80)))</f>
        <v/>
      </c>
      <c r="H80" s="7">
        <f>IF($U80="","",IF(INDEX('Per Invoice'!H$2:H$401,$U80)="","",INDEX('Per Invoice'!H$2:H$401,$U80)))</f>
        <v/>
      </c>
      <c r="I80" s="14">
        <f>IF($U80="","",IF(INDEX('Per Invoice'!I$2:I$401,$U80)="","",INDEX('Per Invoice'!I$2:I$401,$U80)))</f>
        <v/>
      </c>
      <c r="J80">
        <f>IF($U80="","",IF(INDEX('Per Invoice'!J$2:J$401,$U80)="","",INDEX('Per Invoice'!J$2:J$401,$U80)))</f>
        <v/>
      </c>
      <c r="K80">
        <f>IF($U80="","",IF(INDEX('Per Invoice'!K$2:K$401,$U80)="","",INDEX('Per Invoice'!K$2:K$401,$U80)))</f>
        <v/>
      </c>
      <c r="L80" s="7">
        <f>IF($U80="","",IF(INDEX('Per Invoice'!L$2:L$401,$U80)="","",INDEX('Per Invoice'!L$2:L$401,$U80)))</f>
        <v/>
      </c>
      <c r="M80" s="7">
        <f>IF($U80="","",IF(INDEX('Per Invoice'!M$2:M$401,$U80)="","",INDEX('Per Invoice'!M$2:M$401,$U80)))</f>
        <v/>
      </c>
      <c r="N80">
        <f>IF($U80="","",IF(INDEX('Per Invoice'!N$2:N$401,$U80)="","",INDEX('Per Invoice'!N$2:N$401,$U80)))</f>
        <v/>
      </c>
      <c r="O80" s="7">
        <f>IF($U80="","",IF(INDEX('Per Invoice'!O$2:O$401,$U80)="","",INDEX('Per Invoice'!O$2:O$401,$U80)))</f>
        <v/>
      </c>
      <c r="P80" s="7">
        <f>IF($U80="","",IF(INDEX('Per Invoice'!P$2:P$401,$U80)="","",INDEX('Per Invoice'!P$2:P$401,$U80)))</f>
        <v/>
      </c>
      <c r="Q80" s="7">
        <f>IF($U80="","",IF(INDEX('Per Invoice'!Q$2:Q$401,$U80)="","",INDEX('Per Invoice'!Q$2:Q$401,$U80)))</f>
        <v/>
      </c>
      <c r="R80" s="7">
        <f>IF($U80="","",IF(INDEX('Per Invoice'!R$2:R$401,$U80)="","",INDEX('Per Invoice'!R$2:R$401,$U80)))</f>
        <v/>
      </c>
      <c r="S80" s="7">
        <f>IF($U80="","",IF(INDEX('Per Invoice'!S$2:S$401,$U80)="","",INDEX('Per Invoice'!S$2:S$401,$U80)))</f>
        <v/>
      </c>
      <c r="T80" s="7">
        <f>IF($U80="","",IF(INDEX('Per Invoice'!T$2:T$401,$U80)="","",INDEX('Per Invoice'!T$2:T$401,$U80)))</f>
        <v/>
      </c>
      <c r="U80" s="16">
        <f>IFERROR(MATCH(Settings!$C$26&amp;"|"&amp;ROWS($U$2:$U80),'Per Invoice'!$V$2:$V$401,0),"")</f>
        <v/>
      </c>
    </row>
    <row r="81">
      <c r="A81">
        <f>IF($U81="","",IF(INDEX('Per Invoice'!A$2:A$401,$U81)="","",INDEX('Per Invoice'!A$2:A$401,$U81)))</f>
        <v/>
      </c>
      <c r="B81">
        <f>IF($U81="","",IF(INDEX('Per Invoice'!B$2:B$401,$U81)="","",INDEX('Per Invoice'!B$2:B$401,$U81)))</f>
        <v/>
      </c>
      <c r="C81">
        <f>IF($U81="","",IF(INDEX('Per Invoice'!C$2:C$401,$U81)="","",INDEX('Per Invoice'!C$2:C$401,$U81)))</f>
        <v/>
      </c>
      <c r="D81">
        <f>IF($U81="","",IF(INDEX('Per Invoice'!D$2:D$401,$U81)="","",INDEX('Per Invoice'!D$2:D$401,$U81)))</f>
        <v/>
      </c>
      <c r="E81">
        <f>IF($U81="","",IF(INDEX('Per Invoice'!E$2:E$401,$U81)="","",INDEX('Per Invoice'!E$2:E$401,$U81)))</f>
        <v/>
      </c>
      <c r="F81">
        <f>IF($U81="","",IF(INDEX('Per Invoice'!F$2:F$401,$U81)="","",INDEX('Per Invoice'!F$2:F$401,$U81)))</f>
        <v/>
      </c>
      <c r="G81">
        <f>IF($U81="","",IF(INDEX('Per Invoice'!G$2:G$401,$U81)="","",INDEX('Per Invoice'!G$2:G$401,$U81)))</f>
        <v/>
      </c>
      <c r="H81" s="7">
        <f>IF($U81="","",IF(INDEX('Per Invoice'!H$2:H$401,$U81)="","",INDEX('Per Invoice'!H$2:H$401,$U81)))</f>
        <v/>
      </c>
      <c r="I81" s="14">
        <f>IF($U81="","",IF(INDEX('Per Invoice'!I$2:I$401,$U81)="","",INDEX('Per Invoice'!I$2:I$401,$U81)))</f>
        <v/>
      </c>
      <c r="J81">
        <f>IF($U81="","",IF(INDEX('Per Invoice'!J$2:J$401,$U81)="","",INDEX('Per Invoice'!J$2:J$401,$U81)))</f>
        <v/>
      </c>
      <c r="K81">
        <f>IF($U81="","",IF(INDEX('Per Invoice'!K$2:K$401,$U81)="","",INDEX('Per Invoice'!K$2:K$401,$U81)))</f>
        <v/>
      </c>
      <c r="L81" s="7">
        <f>IF($U81="","",IF(INDEX('Per Invoice'!L$2:L$401,$U81)="","",INDEX('Per Invoice'!L$2:L$401,$U81)))</f>
        <v/>
      </c>
      <c r="M81" s="7">
        <f>IF($U81="","",IF(INDEX('Per Invoice'!M$2:M$401,$U81)="","",INDEX('Per Invoice'!M$2:M$401,$U81)))</f>
        <v/>
      </c>
      <c r="N81">
        <f>IF($U81="","",IF(INDEX('Per Invoice'!N$2:N$401,$U81)="","",INDEX('Per Invoice'!N$2:N$401,$U81)))</f>
        <v/>
      </c>
      <c r="O81" s="7">
        <f>IF($U81="","",IF(INDEX('Per Invoice'!O$2:O$401,$U81)="","",INDEX('Per Invoice'!O$2:O$401,$U81)))</f>
        <v/>
      </c>
      <c r="P81" s="7">
        <f>IF($U81="","",IF(INDEX('Per Invoice'!P$2:P$401,$U81)="","",INDEX('Per Invoice'!P$2:P$401,$U81)))</f>
        <v/>
      </c>
      <c r="Q81" s="7">
        <f>IF($U81="","",IF(INDEX('Per Invoice'!Q$2:Q$401,$U81)="","",INDEX('Per Invoice'!Q$2:Q$401,$U81)))</f>
        <v/>
      </c>
      <c r="R81" s="7">
        <f>IF($U81="","",IF(INDEX('Per Invoice'!R$2:R$401,$U81)="","",INDEX('Per Invoice'!R$2:R$401,$U81)))</f>
        <v/>
      </c>
      <c r="S81" s="7">
        <f>IF($U81="","",IF(INDEX('Per Invoice'!S$2:S$401,$U81)="","",INDEX('Per Invoice'!S$2:S$401,$U81)))</f>
        <v/>
      </c>
      <c r="T81" s="7">
        <f>IF($U81="","",IF(INDEX('Per Invoice'!T$2:T$401,$U81)="","",INDEX('Per Invoice'!T$2:T$401,$U81)))</f>
        <v/>
      </c>
      <c r="U81" s="16">
        <f>IFERROR(MATCH(Settings!$C$26&amp;"|"&amp;ROWS($U$2:$U81),'Per Invoice'!$V$2:$V$401,0),"")</f>
        <v/>
      </c>
    </row>
    <row r="82">
      <c r="A82">
        <f>IF($U82="","",IF(INDEX('Per Invoice'!A$2:A$401,$U82)="","",INDEX('Per Invoice'!A$2:A$401,$U82)))</f>
        <v/>
      </c>
      <c r="B82">
        <f>IF($U82="","",IF(INDEX('Per Invoice'!B$2:B$401,$U82)="","",INDEX('Per Invoice'!B$2:B$401,$U82)))</f>
        <v/>
      </c>
      <c r="C82">
        <f>IF($U82="","",IF(INDEX('Per Invoice'!C$2:C$401,$U82)="","",INDEX('Per Invoice'!C$2:C$401,$U82)))</f>
        <v/>
      </c>
      <c r="D82">
        <f>IF($U82="","",IF(INDEX('Per Invoice'!D$2:D$401,$U82)="","",INDEX('Per Invoice'!D$2:D$401,$U82)))</f>
        <v/>
      </c>
      <c r="E82">
        <f>IF($U82="","",IF(INDEX('Per Invoice'!E$2:E$401,$U82)="","",INDEX('Per Invoice'!E$2:E$401,$U82)))</f>
        <v/>
      </c>
      <c r="F82">
        <f>IF($U82="","",IF(INDEX('Per Invoice'!F$2:F$401,$U82)="","",INDEX('Per Invoice'!F$2:F$401,$U82)))</f>
        <v/>
      </c>
      <c r="G82">
        <f>IF($U82="","",IF(INDEX('Per Invoice'!G$2:G$401,$U82)="","",INDEX('Per Invoice'!G$2:G$401,$U82)))</f>
        <v/>
      </c>
      <c r="H82" s="7">
        <f>IF($U82="","",IF(INDEX('Per Invoice'!H$2:H$401,$U82)="","",INDEX('Per Invoice'!H$2:H$401,$U82)))</f>
        <v/>
      </c>
      <c r="I82" s="14">
        <f>IF($U82="","",IF(INDEX('Per Invoice'!I$2:I$401,$U82)="","",INDEX('Per Invoice'!I$2:I$401,$U82)))</f>
        <v/>
      </c>
      <c r="J82">
        <f>IF($U82="","",IF(INDEX('Per Invoice'!J$2:J$401,$U82)="","",INDEX('Per Invoice'!J$2:J$401,$U82)))</f>
        <v/>
      </c>
      <c r="K82">
        <f>IF($U82="","",IF(INDEX('Per Invoice'!K$2:K$401,$U82)="","",INDEX('Per Invoice'!K$2:K$401,$U82)))</f>
        <v/>
      </c>
      <c r="L82" s="7">
        <f>IF($U82="","",IF(INDEX('Per Invoice'!L$2:L$401,$U82)="","",INDEX('Per Invoice'!L$2:L$401,$U82)))</f>
        <v/>
      </c>
      <c r="M82" s="7">
        <f>IF($U82="","",IF(INDEX('Per Invoice'!M$2:M$401,$U82)="","",INDEX('Per Invoice'!M$2:M$401,$U82)))</f>
        <v/>
      </c>
      <c r="N82">
        <f>IF($U82="","",IF(INDEX('Per Invoice'!N$2:N$401,$U82)="","",INDEX('Per Invoice'!N$2:N$401,$U82)))</f>
        <v/>
      </c>
      <c r="O82" s="7">
        <f>IF($U82="","",IF(INDEX('Per Invoice'!O$2:O$401,$U82)="","",INDEX('Per Invoice'!O$2:O$401,$U82)))</f>
        <v/>
      </c>
      <c r="P82" s="7">
        <f>IF($U82="","",IF(INDEX('Per Invoice'!P$2:P$401,$U82)="","",INDEX('Per Invoice'!P$2:P$401,$U82)))</f>
        <v/>
      </c>
      <c r="Q82" s="7">
        <f>IF($U82="","",IF(INDEX('Per Invoice'!Q$2:Q$401,$U82)="","",INDEX('Per Invoice'!Q$2:Q$401,$U82)))</f>
        <v/>
      </c>
      <c r="R82" s="7">
        <f>IF($U82="","",IF(INDEX('Per Invoice'!R$2:R$401,$U82)="","",INDEX('Per Invoice'!R$2:R$401,$U82)))</f>
        <v/>
      </c>
      <c r="S82" s="7">
        <f>IF($U82="","",IF(INDEX('Per Invoice'!S$2:S$401,$U82)="","",INDEX('Per Invoice'!S$2:S$401,$U82)))</f>
        <v/>
      </c>
      <c r="T82" s="7">
        <f>IF($U82="","",IF(INDEX('Per Invoice'!T$2:T$401,$U82)="","",INDEX('Per Invoice'!T$2:T$401,$U82)))</f>
        <v/>
      </c>
      <c r="U82" s="16">
        <f>IFERROR(MATCH(Settings!$C$26&amp;"|"&amp;ROWS($U$2:$U82),'Per Invoice'!$V$2:$V$401,0),"")</f>
        <v/>
      </c>
    </row>
    <row r="83">
      <c r="A83">
        <f>IF($U83="","",IF(INDEX('Per Invoice'!A$2:A$401,$U83)="","",INDEX('Per Invoice'!A$2:A$401,$U83)))</f>
        <v/>
      </c>
      <c r="B83">
        <f>IF($U83="","",IF(INDEX('Per Invoice'!B$2:B$401,$U83)="","",INDEX('Per Invoice'!B$2:B$401,$U83)))</f>
        <v/>
      </c>
      <c r="C83">
        <f>IF($U83="","",IF(INDEX('Per Invoice'!C$2:C$401,$U83)="","",INDEX('Per Invoice'!C$2:C$401,$U83)))</f>
        <v/>
      </c>
      <c r="D83">
        <f>IF($U83="","",IF(INDEX('Per Invoice'!D$2:D$401,$U83)="","",INDEX('Per Invoice'!D$2:D$401,$U83)))</f>
        <v/>
      </c>
      <c r="E83">
        <f>IF($U83="","",IF(INDEX('Per Invoice'!E$2:E$401,$U83)="","",INDEX('Per Invoice'!E$2:E$401,$U83)))</f>
        <v/>
      </c>
      <c r="F83">
        <f>IF($U83="","",IF(INDEX('Per Invoice'!F$2:F$401,$U83)="","",INDEX('Per Invoice'!F$2:F$401,$U83)))</f>
        <v/>
      </c>
      <c r="G83">
        <f>IF($U83="","",IF(INDEX('Per Invoice'!G$2:G$401,$U83)="","",INDEX('Per Invoice'!G$2:G$401,$U83)))</f>
        <v/>
      </c>
      <c r="H83" s="7">
        <f>IF($U83="","",IF(INDEX('Per Invoice'!H$2:H$401,$U83)="","",INDEX('Per Invoice'!H$2:H$401,$U83)))</f>
        <v/>
      </c>
      <c r="I83" s="14">
        <f>IF($U83="","",IF(INDEX('Per Invoice'!I$2:I$401,$U83)="","",INDEX('Per Invoice'!I$2:I$401,$U83)))</f>
        <v/>
      </c>
      <c r="J83">
        <f>IF($U83="","",IF(INDEX('Per Invoice'!J$2:J$401,$U83)="","",INDEX('Per Invoice'!J$2:J$401,$U83)))</f>
        <v/>
      </c>
      <c r="K83">
        <f>IF($U83="","",IF(INDEX('Per Invoice'!K$2:K$401,$U83)="","",INDEX('Per Invoice'!K$2:K$401,$U83)))</f>
        <v/>
      </c>
      <c r="L83" s="7">
        <f>IF($U83="","",IF(INDEX('Per Invoice'!L$2:L$401,$U83)="","",INDEX('Per Invoice'!L$2:L$401,$U83)))</f>
        <v/>
      </c>
      <c r="M83" s="7">
        <f>IF($U83="","",IF(INDEX('Per Invoice'!M$2:M$401,$U83)="","",INDEX('Per Invoice'!M$2:M$401,$U83)))</f>
        <v/>
      </c>
      <c r="N83">
        <f>IF($U83="","",IF(INDEX('Per Invoice'!N$2:N$401,$U83)="","",INDEX('Per Invoice'!N$2:N$401,$U83)))</f>
        <v/>
      </c>
      <c r="O83" s="7">
        <f>IF($U83="","",IF(INDEX('Per Invoice'!O$2:O$401,$U83)="","",INDEX('Per Invoice'!O$2:O$401,$U83)))</f>
        <v/>
      </c>
      <c r="P83" s="7">
        <f>IF($U83="","",IF(INDEX('Per Invoice'!P$2:P$401,$U83)="","",INDEX('Per Invoice'!P$2:P$401,$U83)))</f>
        <v/>
      </c>
      <c r="Q83" s="7">
        <f>IF($U83="","",IF(INDEX('Per Invoice'!Q$2:Q$401,$U83)="","",INDEX('Per Invoice'!Q$2:Q$401,$U83)))</f>
        <v/>
      </c>
      <c r="R83" s="7">
        <f>IF($U83="","",IF(INDEX('Per Invoice'!R$2:R$401,$U83)="","",INDEX('Per Invoice'!R$2:R$401,$U83)))</f>
        <v/>
      </c>
      <c r="S83" s="7">
        <f>IF($U83="","",IF(INDEX('Per Invoice'!S$2:S$401,$U83)="","",INDEX('Per Invoice'!S$2:S$401,$U83)))</f>
        <v/>
      </c>
      <c r="T83" s="7">
        <f>IF($U83="","",IF(INDEX('Per Invoice'!T$2:T$401,$U83)="","",INDEX('Per Invoice'!T$2:T$401,$U83)))</f>
        <v/>
      </c>
      <c r="U83" s="16">
        <f>IFERROR(MATCH(Settings!$C$26&amp;"|"&amp;ROWS($U$2:$U83),'Per Invoice'!$V$2:$V$401,0),"")</f>
        <v/>
      </c>
    </row>
    <row r="84">
      <c r="A84">
        <f>IF($U84="","",IF(INDEX('Per Invoice'!A$2:A$401,$U84)="","",INDEX('Per Invoice'!A$2:A$401,$U84)))</f>
        <v/>
      </c>
      <c r="B84">
        <f>IF($U84="","",IF(INDEX('Per Invoice'!B$2:B$401,$U84)="","",INDEX('Per Invoice'!B$2:B$401,$U84)))</f>
        <v/>
      </c>
      <c r="C84">
        <f>IF($U84="","",IF(INDEX('Per Invoice'!C$2:C$401,$U84)="","",INDEX('Per Invoice'!C$2:C$401,$U84)))</f>
        <v/>
      </c>
      <c r="D84">
        <f>IF($U84="","",IF(INDEX('Per Invoice'!D$2:D$401,$U84)="","",INDEX('Per Invoice'!D$2:D$401,$U84)))</f>
        <v/>
      </c>
      <c r="E84">
        <f>IF($U84="","",IF(INDEX('Per Invoice'!E$2:E$401,$U84)="","",INDEX('Per Invoice'!E$2:E$401,$U84)))</f>
        <v/>
      </c>
      <c r="F84">
        <f>IF($U84="","",IF(INDEX('Per Invoice'!F$2:F$401,$U84)="","",INDEX('Per Invoice'!F$2:F$401,$U84)))</f>
        <v/>
      </c>
      <c r="G84">
        <f>IF($U84="","",IF(INDEX('Per Invoice'!G$2:G$401,$U84)="","",INDEX('Per Invoice'!G$2:G$401,$U84)))</f>
        <v/>
      </c>
      <c r="H84" s="7">
        <f>IF($U84="","",IF(INDEX('Per Invoice'!H$2:H$401,$U84)="","",INDEX('Per Invoice'!H$2:H$401,$U84)))</f>
        <v/>
      </c>
      <c r="I84" s="14">
        <f>IF($U84="","",IF(INDEX('Per Invoice'!I$2:I$401,$U84)="","",INDEX('Per Invoice'!I$2:I$401,$U84)))</f>
        <v/>
      </c>
      <c r="J84">
        <f>IF($U84="","",IF(INDEX('Per Invoice'!J$2:J$401,$U84)="","",INDEX('Per Invoice'!J$2:J$401,$U84)))</f>
        <v/>
      </c>
      <c r="K84">
        <f>IF($U84="","",IF(INDEX('Per Invoice'!K$2:K$401,$U84)="","",INDEX('Per Invoice'!K$2:K$401,$U84)))</f>
        <v/>
      </c>
      <c r="L84" s="7">
        <f>IF($U84="","",IF(INDEX('Per Invoice'!L$2:L$401,$U84)="","",INDEX('Per Invoice'!L$2:L$401,$U84)))</f>
        <v/>
      </c>
      <c r="M84" s="7">
        <f>IF($U84="","",IF(INDEX('Per Invoice'!M$2:M$401,$U84)="","",INDEX('Per Invoice'!M$2:M$401,$U84)))</f>
        <v/>
      </c>
      <c r="N84">
        <f>IF($U84="","",IF(INDEX('Per Invoice'!N$2:N$401,$U84)="","",INDEX('Per Invoice'!N$2:N$401,$U84)))</f>
        <v/>
      </c>
      <c r="O84" s="7">
        <f>IF($U84="","",IF(INDEX('Per Invoice'!O$2:O$401,$U84)="","",INDEX('Per Invoice'!O$2:O$401,$U84)))</f>
        <v/>
      </c>
      <c r="P84" s="7">
        <f>IF($U84="","",IF(INDEX('Per Invoice'!P$2:P$401,$U84)="","",INDEX('Per Invoice'!P$2:P$401,$U84)))</f>
        <v/>
      </c>
      <c r="Q84" s="7">
        <f>IF($U84="","",IF(INDEX('Per Invoice'!Q$2:Q$401,$U84)="","",INDEX('Per Invoice'!Q$2:Q$401,$U84)))</f>
        <v/>
      </c>
      <c r="R84" s="7">
        <f>IF($U84="","",IF(INDEX('Per Invoice'!R$2:R$401,$U84)="","",INDEX('Per Invoice'!R$2:R$401,$U84)))</f>
        <v/>
      </c>
      <c r="S84" s="7">
        <f>IF($U84="","",IF(INDEX('Per Invoice'!S$2:S$401,$U84)="","",INDEX('Per Invoice'!S$2:S$401,$U84)))</f>
        <v/>
      </c>
      <c r="T84" s="7">
        <f>IF($U84="","",IF(INDEX('Per Invoice'!T$2:T$401,$U84)="","",INDEX('Per Invoice'!T$2:T$401,$U84)))</f>
        <v/>
      </c>
      <c r="U84" s="16">
        <f>IFERROR(MATCH(Settings!$C$26&amp;"|"&amp;ROWS($U$2:$U84),'Per Invoice'!$V$2:$V$401,0),"")</f>
        <v/>
      </c>
    </row>
    <row r="85">
      <c r="A85">
        <f>IF($U85="","",IF(INDEX('Per Invoice'!A$2:A$401,$U85)="","",INDEX('Per Invoice'!A$2:A$401,$U85)))</f>
        <v/>
      </c>
      <c r="B85">
        <f>IF($U85="","",IF(INDEX('Per Invoice'!B$2:B$401,$U85)="","",INDEX('Per Invoice'!B$2:B$401,$U85)))</f>
        <v/>
      </c>
      <c r="C85">
        <f>IF($U85="","",IF(INDEX('Per Invoice'!C$2:C$401,$U85)="","",INDEX('Per Invoice'!C$2:C$401,$U85)))</f>
        <v/>
      </c>
      <c r="D85">
        <f>IF($U85="","",IF(INDEX('Per Invoice'!D$2:D$401,$U85)="","",INDEX('Per Invoice'!D$2:D$401,$U85)))</f>
        <v/>
      </c>
      <c r="E85">
        <f>IF($U85="","",IF(INDEX('Per Invoice'!E$2:E$401,$U85)="","",INDEX('Per Invoice'!E$2:E$401,$U85)))</f>
        <v/>
      </c>
      <c r="F85">
        <f>IF($U85="","",IF(INDEX('Per Invoice'!F$2:F$401,$U85)="","",INDEX('Per Invoice'!F$2:F$401,$U85)))</f>
        <v/>
      </c>
      <c r="G85">
        <f>IF($U85="","",IF(INDEX('Per Invoice'!G$2:G$401,$U85)="","",INDEX('Per Invoice'!G$2:G$401,$U85)))</f>
        <v/>
      </c>
      <c r="H85" s="7">
        <f>IF($U85="","",IF(INDEX('Per Invoice'!H$2:H$401,$U85)="","",INDEX('Per Invoice'!H$2:H$401,$U85)))</f>
        <v/>
      </c>
      <c r="I85" s="14">
        <f>IF($U85="","",IF(INDEX('Per Invoice'!I$2:I$401,$U85)="","",INDEX('Per Invoice'!I$2:I$401,$U85)))</f>
        <v/>
      </c>
      <c r="J85">
        <f>IF($U85="","",IF(INDEX('Per Invoice'!J$2:J$401,$U85)="","",INDEX('Per Invoice'!J$2:J$401,$U85)))</f>
        <v/>
      </c>
      <c r="K85">
        <f>IF($U85="","",IF(INDEX('Per Invoice'!K$2:K$401,$U85)="","",INDEX('Per Invoice'!K$2:K$401,$U85)))</f>
        <v/>
      </c>
      <c r="L85" s="7">
        <f>IF($U85="","",IF(INDEX('Per Invoice'!L$2:L$401,$U85)="","",INDEX('Per Invoice'!L$2:L$401,$U85)))</f>
        <v/>
      </c>
      <c r="M85" s="7">
        <f>IF($U85="","",IF(INDEX('Per Invoice'!M$2:M$401,$U85)="","",INDEX('Per Invoice'!M$2:M$401,$U85)))</f>
        <v/>
      </c>
      <c r="N85">
        <f>IF($U85="","",IF(INDEX('Per Invoice'!N$2:N$401,$U85)="","",INDEX('Per Invoice'!N$2:N$401,$U85)))</f>
        <v/>
      </c>
      <c r="O85" s="7">
        <f>IF($U85="","",IF(INDEX('Per Invoice'!O$2:O$401,$U85)="","",INDEX('Per Invoice'!O$2:O$401,$U85)))</f>
        <v/>
      </c>
      <c r="P85" s="7">
        <f>IF($U85="","",IF(INDEX('Per Invoice'!P$2:P$401,$U85)="","",INDEX('Per Invoice'!P$2:P$401,$U85)))</f>
        <v/>
      </c>
      <c r="Q85" s="7">
        <f>IF($U85="","",IF(INDEX('Per Invoice'!Q$2:Q$401,$U85)="","",INDEX('Per Invoice'!Q$2:Q$401,$U85)))</f>
        <v/>
      </c>
      <c r="R85" s="7">
        <f>IF($U85="","",IF(INDEX('Per Invoice'!R$2:R$401,$U85)="","",INDEX('Per Invoice'!R$2:R$401,$U85)))</f>
        <v/>
      </c>
      <c r="S85" s="7">
        <f>IF($U85="","",IF(INDEX('Per Invoice'!S$2:S$401,$U85)="","",INDEX('Per Invoice'!S$2:S$401,$U85)))</f>
        <v/>
      </c>
      <c r="T85" s="7">
        <f>IF($U85="","",IF(INDEX('Per Invoice'!T$2:T$401,$U85)="","",INDEX('Per Invoice'!T$2:T$401,$U85)))</f>
        <v/>
      </c>
      <c r="U85" s="16">
        <f>IFERROR(MATCH(Settings!$C$26&amp;"|"&amp;ROWS($U$2:$U85),'Per Invoice'!$V$2:$V$401,0),"")</f>
        <v/>
      </c>
    </row>
    <row r="86">
      <c r="A86">
        <f>IF($U86="","",IF(INDEX('Per Invoice'!A$2:A$401,$U86)="","",INDEX('Per Invoice'!A$2:A$401,$U86)))</f>
        <v/>
      </c>
      <c r="B86">
        <f>IF($U86="","",IF(INDEX('Per Invoice'!B$2:B$401,$U86)="","",INDEX('Per Invoice'!B$2:B$401,$U86)))</f>
        <v/>
      </c>
      <c r="C86">
        <f>IF($U86="","",IF(INDEX('Per Invoice'!C$2:C$401,$U86)="","",INDEX('Per Invoice'!C$2:C$401,$U86)))</f>
        <v/>
      </c>
      <c r="D86">
        <f>IF($U86="","",IF(INDEX('Per Invoice'!D$2:D$401,$U86)="","",INDEX('Per Invoice'!D$2:D$401,$U86)))</f>
        <v/>
      </c>
      <c r="E86">
        <f>IF($U86="","",IF(INDEX('Per Invoice'!E$2:E$401,$U86)="","",INDEX('Per Invoice'!E$2:E$401,$U86)))</f>
        <v/>
      </c>
      <c r="F86">
        <f>IF($U86="","",IF(INDEX('Per Invoice'!F$2:F$401,$U86)="","",INDEX('Per Invoice'!F$2:F$401,$U86)))</f>
        <v/>
      </c>
      <c r="G86">
        <f>IF($U86="","",IF(INDEX('Per Invoice'!G$2:G$401,$U86)="","",INDEX('Per Invoice'!G$2:G$401,$U86)))</f>
        <v/>
      </c>
      <c r="H86" s="7">
        <f>IF($U86="","",IF(INDEX('Per Invoice'!H$2:H$401,$U86)="","",INDEX('Per Invoice'!H$2:H$401,$U86)))</f>
        <v/>
      </c>
      <c r="I86" s="14">
        <f>IF($U86="","",IF(INDEX('Per Invoice'!I$2:I$401,$U86)="","",INDEX('Per Invoice'!I$2:I$401,$U86)))</f>
        <v/>
      </c>
      <c r="J86">
        <f>IF($U86="","",IF(INDEX('Per Invoice'!J$2:J$401,$U86)="","",INDEX('Per Invoice'!J$2:J$401,$U86)))</f>
        <v/>
      </c>
      <c r="K86">
        <f>IF($U86="","",IF(INDEX('Per Invoice'!K$2:K$401,$U86)="","",INDEX('Per Invoice'!K$2:K$401,$U86)))</f>
        <v/>
      </c>
      <c r="L86" s="7">
        <f>IF($U86="","",IF(INDEX('Per Invoice'!L$2:L$401,$U86)="","",INDEX('Per Invoice'!L$2:L$401,$U86)))</f>
        <v/>
      </c>
      <c r="M86" s="7">
        <f>IF($U86="","",IF(INDEX('Per Invoice'!M$2:M$401,$U86)="","",INDEX('Per Invoice'!M$2:M$401,$U86)))</f>
        <v/>
      </c>
      <c r="N86">
        <f>IF($U86="","",IF(INDEX('Per Invoice'!N$2:N$401,$U86)="","",INDEX('Per Invoice'!N$2:N$401,$U86)))</f>
        <v/>
      </c>
      <c r="O86" s="7">
        <f>IF($U86="","",IF(INDEX('Per Invoice'!O$2:O$401,$U86)="","",INDEX('Per Invoice'!O$2:O$401,$U86)))</f>
        <v/>
      </c>
      <c r="P86" s="7">
        <f>IF($U86="","",IF(INDEX('Per Invoice'!P$2:P$401,$U86)="","",INDEX('Per Invoice'!P$2:P$401,$U86)))</f>
        <v/>
      </c>
      <c r="Q86" s="7">
        <f>IF($U86="","",IF(INDEX('Per Invoice'!Q$2:Q$401,$U86)="","",INDEX('Per Invoice'!Q$2:Q$401,$U86)))</f>
        <v/>
      </c>
      <c r="R86" s="7">
        <f>IF($U86="","",IF(INDEX('Per Invoice'!R$2:R$401,$U86)="","",INDEX('Per Invoice'!R$2:R$401,$U86)))</f>
        <v/>
      </c>
      <c r="S86" s="7">
        <f>IF($U86="","",IF(INDEX('Per Invoice'!S$2:S$401,$U86)="","",INDEX('Per Invoice'!S$2:S$401,$U86)))</f>
        <v/>
      </c>
      <c r="T86" s="7">
        <f>IF($U86="","",IF(INDEX('Per Invoice'!T$2:T$401,$U86)="","",INDEX('Per Invoice'!T$2:T$401,$U86)))</f>
        <v/>
      </c>
      <c r="U86" s="16">
        <f>IFERROR(MATCH(Settings!$C$26&amp;"|"&amp;ROWS($U$2:$U86),'Per Invoice'!$V$2:$V$401,0),"")</f>
        <v/>
      </c>
    </row>
    <row r="87">
      <c r="A87">
        <f>IF($U87="","",IF(INDEX('Per Invoice'!A$2:A$401,$U87)="","",INDEX('Per Invoice'!A$2:A$401,$U87)))</f>
        <v/>
      </c>
      <c r="B87">
        <f>IF($U87="","",IF(INDEX('Per Invoice'!B$2:B$401,$U87)="","",INDEX('Per Invoice'!B$2:B$401,$U87)))</f>
        <v/>
      </c>
      <c r="C87">
        <f>IF($U87="","",IF(INDEX('Per Invoice'!C$2:C$401,$U87)="","",INDEX('Per Invoice'!C$2:C$401,$U87)))</f>
        <v/>
      </c>
      <c r="D87">
        <f>IF($U87="","",IF(INDEX('Per Invoice'!D$2:D$401,$U87)="","",INDEX('Per Invoice'!D$2:D$401,$U87)))</f>
        <v/>
      </c>
      <c r="E87">
        <f>IF($U87="","",IF(INDEX('Per Invoice'!E$2:E$401,$U87)="","",INDEX('Per Invoice'!E$2:E$401,$U87)))</f>
        <v/>
      </c>
      <c r="F87">
        <f>IF($U87="","",IF(INDEX('Per Invoice'!F$2:F$401,$U87)="","",INDEX('Per Invoice'!F$2:F$401,$U87)))</f>
        <v/>
      </c>
      <c r="G87">
        <f>IF($U87="","",IF(INDEX('Per Invoice'!G$2:G$401,$U87)="","",INDEX('Per Invoice'!G$2:G$401,$U87)))</f>
        <v/>
      </c>
      <c r="H87" s="7">
        <f>IF($U87="","",IF(INDEX('Per Invoice'!H$2:H$401,$U87)="","",INDEX('Per Invoice'!H$2:H$401,$U87)))</f>
        <v/>
      </c>
      <c r="I87" s="14">
        <f>IF($U87="","",IF(INDEX('Per Invoice'!I$2:I$401,$U87)="","",INDEX('Per Invoice'!I$2:I$401,$U87)))</f>
        <v/>
      </c>
      <c r="J87">
        <f>IF($U87="","",IF(INDEX('Per Invoice'!J$2:J$401,$U87)="","",INDEX('Per Invoice'!J$2:J$401,$U87)))</f>
        <v/>
      </c>
      <c r="K87">
        <f>IF($U87="","",IF(INDEX('Per Invoice'!K$2:K$401,$U87)="","",INDEX('Per Invoice'!K$2:K$401,$U87)))</f>
        <v/>
      </c>
      <c r="L87" s="7">
        <f>IF($U87="","",IF(INDEX('Per Invoice'!L$2:L$401,$U87)="","",INDEX('Per Invoice'!L$2:L$401,$U87)))</f>
        <v/>
      </c>
      <c r="M87" s="7">
        <f>IF($U87="","",IF(INDEX('Per Invoice'!M$2:M$401,$U87)="","",INDEX('Per Invoice'!M$2:M$401,$U87)))</f>
        <v/>
      </c>
      <c r="N87">
        <f>IF($U87="","",IF(INDEX('Per Invoice'!N$2:N$401,$U87)="","",INDEX('Per Invoice'!N$2:N$401,$U87)))</f>
        <v/>
      </c>
      <c r="O87" s="7">
        <f>IF($U87="","",IF(INDEX('Per Invoice'!O$2:O$401,$U87)="","",INDEX('Per Invoice'!O$2:O$401,$U87)))</f>
        <v/>
      </c>
      <c r="P87" s="7">
        <f>IF($U87="","",IF(INDEX('Per Invoice'!P$2:P$401,$U87)="","",INDEX('Per Invoice'!P$2:P$401,$U87)))</f>
        <v/>
      </c>
      <c r="Q87" s="7">
        <f>IF($U87="","",IF(INDEX('Per Invoice'!Q$2:Q$401,$U87)="","",INDEX('Per Invoice'!Q$2:Q$401,$U87)))</f>
        <v/>
      </c>
      <c r="R87" s="7">
        <f>IF($U87="","",IF(INDEX('Per Invoice'!R$2:R$401,$U87)="","",INDEX('Per Invoice'!R$2:R$401,$U87)))</f>
        <v/>
      </c>
      <c r="S87" s="7">
        <f>IF($U87="","",IF(INDEX('Per Invoice'!S$2:S$401,$U87)="","",INDEX('Per Invoice'!S$2:S$401,$U87)))</f>
        <v/>
      </c>
      <c r="T87" s="7">
        <f>IF($U87="","",IF(INDEX('Per Invoice'!T$2:T$401,$U87)="","",INDEX('Per Invoice'!T$2:T$401,$U87)))</f>
        <v/>
      </c>
      <c r="U87" s="16">
        <f>IFERROR(MATCH(Settings!$C$26&amp;"|"&amp;ROWS($U$2:$U87),'Per Invoice'!$V$2:$V$401,0),"")</f>
        <v/>
      </c>
    </row>
    <row r="88">
      <c r="A88">
        <f>IF($U88="","",IF(INDEX('Per Invoice'!A$2:A$401,$U88)="","",INDEX('Per Invoice'!A$2:A$401,$U88)))</f>
        <v/>
      </c>
      <c r="B88">
        <f>IF($U88="","",IF(INDEX('Per Invoice'!B$2:B$401,$U88)="","",INDEX('Per Invoice'!B$2:B$401,$U88)))</f>
        <v/>
      </c>
      <c r="C88">
        <f>IF($U88="","",IF(INDEX('Per Invoice'!C$2:C$401,$U88)="","",INDEX('Per Invoice'!C$2:C$401,$U88)))</f>
        <v/>
      </c>
      <c r="D88">
        <f>IF($U88="","",IF(INDEX('Per Invoice'!D$2:D$401,$U88)="","",INDEX('Per Invoice'!D$2:D$401,$U88)))</f>
        <v/>
      </c>
      <c r="E88">
        <f>IF($U88="","",IF(INDEX('Per Invoice'!E$2:E$401,$U88)="","",INDEX('Per Invoice'!E$2:E$401,$U88)))</f>
        <v/>
      </c>
      <c r="F88">
        <f>IF($U88="","",IF(INDEX('Per Invoice'!F$2:F$401,$U88)="","",INDEX('Per Invoice'!F$2:F$401,$U88)))</f>
        <v/>
      </c>
      <c r="G88">
        <f>IF($U88="","",IF(INDEX('Per Invoice'!G$2:G$401,$U88)="","",INDEX('Per Invoice'!G$2:G$401,$U88)))</f>
        <v/>
      </c>
      <c r="H88" s="7">
        <f>IF($U88="","",IF(INDEX('Per Invoice'!H$2:H$401,$U88)="","",INDEX('Per Invoice'!H$2:H$401,$U88)))</f>
        <v/>
      </c>
      <c r="I88" s="14">
        <f>IF($U88="","",IF(INDEX('Per Invoice'!I$2:I$401,$U88)="","",INDEX('Per Invoice'!I$2:I$401,$U88)))</f>
        <v/>
      </c>
      <c r="J88">
        <f>IF($U88="","",IF(INDEX('Per Invoice'!J$2:J$401,$U88)="","",INDEX('Per Invoice'!J$2:J$401,$U88)))</f>
        <v/>
      </c>
      <c r="K88">
        <f>IF($U88="","",IF(INDEX('Per Invoice'!K$2:K$401,$U88)="","",INDEX('Per Invoice'!K$2:K$401,$U88)))</f>
        <v/>
      </c>
      <c r="L88" s="7">
        <f>IF($U88="","",IF(INDEX('Per Invoice'!L$2:L$401,$U88)="","",INDEX('Per Invoice'!L$2:L$401,$U88)))</f>
        <v/>
      </c>
      <c r="M88" s="7">
        <f>IF($U88="","",IF(INDEX('Per Invoice'!M$2:M$401,$U88)="","",INDEX('Per Invoice'!M$2:M$401,$U88)))</f>
        <v/>
      </c>
      <c r="N88">
        <f>IF($U88="","",IF(INDEX('Per Invoice'!N$2:N$401,$U88)="","",INDEX('Per Invoice'!N$2:N$401,$U88)))</f>
        <v/>
      </c>
      <c r="O88" s="7">
        <f>IF($U88="","",IF(INDEX('Per Invoice'!O$2:O$401,$U88)="","",INDEX('Per Invoice'!O$2:O$401,$U88)))</f>
        <v/>
      </c>
      <c r="P88" s="7">
        <f>IF($U88="","",IF(INDEX('Per Invoice'!P$2:P$401,$U88)="","",INDEX('Per Invoice'!P$2:P$401,$U88)))</f>
        <v/>
      </c>
      <c r="Q88" s="7">
        <f>IF($U88="","",IF(INDEX('Per Invoice'!Q$2:Q$401,$U88)="","",INDEX('Per Invoice'!Q$2:Q$401,$U88)))</f>
        <v/>
      </c>
      <c r="R88" s="7">
        <f>IF($U88="","",IF(INDEX('Per Invoice'!R$2:R$401,$U88)="","",INDEX('Per Invoice'!R$2:R$401,$U88)))</f>
        <v/>
      </c>
      <c r="S88" s="7">
        <f>IF($U88="","",IF(INDEX('Per Invoice'!S$2:S$401,$U88)="","",INDEX('Per Invoice'!S$2:S$401,$U88)))</f>
        <v/>
      </c>
      <c r="T88" s="7">
        <f>IF($U88="","",IF(INDEX('Per Invoice'!T$2:T$401,$U88)="","",INDEX('Per Invoice'!T$2:T$401,$U88)))</f>
        <v/>
      </c>
      <c r="U88" s="16">
        <f>IFERROR(MATCH(Settings!$C$26&amp;"|"&amp;ROWS($U$2:$U88),'Per Invoice'!$V$2:$V$401,0),"")</f>
        <v/>
      </c>
    </row>
    <row r="89">
      <c r="A89">
        <f>IF($U89="","",IF(INDEX('Per Invoice'!A$2:A$401,$U89)="","",INDEX('Per Invoice'!A$2:A$401,$U89)))</f>
        <v/>
      </c>
      <c r="B89">
        <f>IF($U89="","",IF(INDEX('Per Invoice'!B$2:B$401,$U89)="","",INDEX('Per Invoice'!B$2:B$401,$U89)))</f>
        <v/>
      </c>
      <c r="C89">
        <f>IF($U89="","",IF(INDEX('Per Invoice'!C$2:C$401,$U89)="","",INDEX('Per Invoice'!C$2:C$401,$U89)))</f>
        <v/>
      </c>
      <c r="D89">
        <f>IF($U89="","",IF(INDEX('Per Invoice'!D$2:D$401,$U89)="","",INDEX('Per Invoice'!D$2:D$401,$U89)))</f>
        <v/>
      </c>
      <c r="E89">
        <f>IF($U89="","",IF(INDEX('Per Invoice'!E$2:E$401,$U89)="","",INDEX('Per Invoice'!E$2:E$401,$U89)))</f>
        <v/>
      </c>
      <c r="F89">
        <f>IF($U89="","",IF(INDEX('Per Invoice'!F$2:F$401,$U89)="","",INDEX('Per Invoice'!F$2:F$401,$U89)))</f>
        <v/>
      </c>
      <c r="G89">
        <f>IF($U89="","",IF(INDEX('Per Invoice'!G$2:G$401,$U89)="","",INDEX('Per Invoice'!G$2:G$401,$U89)))</f>
        <v/>
      </c>
      <c r="H89" s="7">
        <f>IF($U89="","",IF(INDEX('Per Invoice'!H$2:H$401,$U89)="","",INDEX('Per Invoice'!H$2:H$401,$U89)))</f>
        <v/>
      </c>
      <c r="I89" s="14">
        <f>IF($U89="","",IF(INDEX('Per Invoice'!I$2:I$401,$U89)="","",INDEX('Per Invoice'!I$2:I$401,$U89)))</f>
        <v/>
      </c>
      <c r="J89">
        <f>IF($U89="","",IF(INDEX('Per Invoice'!J$2:J$401,$U89)="","",INDEX('Per Invoice'!J$2:J$401,$U89)))</f>
        <v/>
      </c>
      <c r="K89">
        <f>IF($U89="","",IF(INDEX('Per Invoice'!K$2:K$401,$U89)="","",INDEX('Per Invoice'!K$2:K$401,$U89)))</f>
        <v/>
      </c>
      <c r="L89" s="7">
        <f>IF($U89="","",IF(INDEX('Per Invoice'!L$2:L$401,$U89)="","",INDEX('Per Invoice'!L$2:L$401,$U89)))</f>
        <v/>
      </c>
      <c r="M89" s="7">
        <f>IF($U89="","",IF(INDEX('Per Invoice'!M$2:M$401,$U89)="","",INDEX('Per Invoice'!M$2:M$401,$U89)))</f>
        <v/>
      </c>
      <c r="N89">
        <f>IF($U89="","",IF(INDEX('Per Invoice'!N$2:N$401,$U89)="","",INDEX('Per Invoice'!N$2:N$401,$U89)))</f>
        <v/>
      </c>
      <c r="O89" s="7">
        <f>IF($U89="","",IF(INDEX('Per Invoice'!O$2:O$401,$U89)="","",INDEX('Per Invoice'!O$2:O$401,$U89)))</f>
        <v/>
      </c>
      <c r="P89" s="7">
        <f>IF($U89="","",IF(INDEX('Per Invoice'!P$2:P$401,$U89)="","",INDEX('Per Invoice'!P$2:P$401,$U89)))</f>
        <v/>
      </c>
      <c r="Q89" s="7">
        <f>IF($U89="","",IF(INDEX('Per Invoice'!Q$2:Q$401,$U89)="","",INDEX('Per Invoice'!Q$2:Q$401,$U89)))</f>
        <v/>
      </c>
      <c r="R89" s="7">
        <f>IF($U89="","",IF(INDEX('Per Invoice'!R$2:R$401,$U89)="","",INDEX('Per Invoice'!R$2:R$401,$U89)))</f>
        <v/>
      </c>
      <c r="S89" s="7">
        <f>IF($U89="","",IF(INDEX('Per Invoice'!S$2:S$401,$U89)="","",INDEX('Per Invoice'!S$2:S$401,$U89)))</f>
        <v/>
      </c>
      <c r="T89" s="7">
        <f>IF($U89="","",IF(INDEX('Per Invoice'!T$2:T$401,$U89)="","",INDEX('Per Invoice'!T$2:T$401,$U89)))</f>
        <v/>
      </c>
      <c r="U89" s="16">
        <f>IFERROR(MATCH(Settings!$C$26&amp;"|"&amp;ROWS($U$2:$U89),'Per Invoice'!$V$2:$V$401,0),"")</f>
        <v/>
      </c>
    </row>
    <row r="90">
      <c r="A90">
        <f>IF($U90="","",IF(INDEX('Per Invoice'!A$2:A$401,$U90)="","",INDEX('Per Invoice'!A$2:A$401,$U90)))</f>
        <v/>
      </c>
      <c r="B90">
        <f>IF($U90="","",IF(INDEX('Per Invoice'!B$2:B$401,$U90)="","",INDEX('Per Invoice'!B$2:B$401,$U90)))</f>
        <v/>
      </c>
      <c r="C90">
        <f>IF($U90="","",IF(INDEX('Per Invoice'!C$2:C$401,$U90)="","",INDEX('Per Invoice'!C$2:C$401,$U90)))</f>
        <v/>
      </c>
      <c r="D90">
        <f>IF($U90="","",IF(INDEX('Per Invoice'!D$2:D$401,$U90)="","",INDEX('Per Invoice'!D$2:D$401,$U90)))</f>
        <v/>
      </c>
      <c r="E90">
        <f>IF($U90="","",IF(INDEX('Per Invoice'!E$2:E$401,$U90)="","",INDEX('Per Invoice'!E$2:E$401,$U90)))</f>
        <v/>
      </c>
      <c r="F90">
        <f>IF($U90="","",IF(INDEX('Per Invoice'!F$2:F$401,$U90)="","",INDEX('Per Invoice'!F$2:F$401,$U90)))</f>
        <v/>
      </c>
      <c r="G90">
        <f>IF($U90="","",IF(INDEX('Per Invoice'!G$2:G$401,$U90)="","",INDEX('Per Invoice'!G$2:G$401,$U90)))</f>
        <v/>
      </c>
      <c r="H90" s="7">
        <f>IF($U90="","",IF(INDEX('Per Invoice'!H$2:H$401,$U90)="","",INDEX('Per Invoice'!H$2:H$401,$U90)))</f>
        <v/>
      </c>
      <c r="I90" s="14">
        <f>IF($U90="","",IF(INDEX('Per Invoice'!I$2:I$401,$U90)="","",INDEX('Per Invoice'!I$2:I$401,$U90)))</f>
        <v/>
      </c>
      <c r="J90">
        <f>IF($U90="","",IF(INDEX('Per Invoice'!J$2:J$401,$U90)="","",INDEX('Per Invoice'!J$2:J$401,$U90)))</f>
        <v/>
      </c>
      <c r="K90">
        <f>IF($U90="","",IF(INDEX('Per Invoice'!K$2:K$401,$U90)="","",INDEX('Per Invoice'!K$2:K$401,$U90)))</f>
        <v/>
      </c>
      <c r="L90" s="7">
        <f>IF($U90="","",IF(INDEX('Per Invoice'!L$2:L$401,$U90)="","",INDEX('Per Invoice'!L$2:L$401,$U90)))</f>
        <v/>
      </c>
      <c r="M90" s="7">
        <f>IF($U90="","",IF(INDEX('Per Invoice'!M$2:M$401,$U90)="","",INDEX('Per Invoice'!M$2:M$401,$U90)))</f>
        <v/>
      </c>
      <c r="N90">
        <f>IF($U90="","",IF(INDEX('Per Invoice'!N$2:N$401,$U90)="","",INDEX('Per Invoice'!N$2:N$401,$U90)))</f>
        <v/>
      </c>
      <c r="O90" s="7">
        <f>IF($U90="","",IF(INDEX('Per Invoice'!O$2:O$401,$U90)="","",INDEX('Per Invoice'!O$2:O$401,$U90)))</f>
        <v/>
      </c>
      <c r="P90" s="7">
        <f>IF($U90="","",IF(INDEX('Per Invoice'!P$2:P$401,$U90)="","",INDEX('Per Invoice'!P$2:P$401,$U90)))</f>
        <v/>
      </c>
      <c r="Q90" s="7">
        <f>IF($U90="","",IF(INDEX('Per Invoice'!Q$2:Q$401,$U90)="","",INDEX('Per Invoice'!Q$2:Q$401,$U90)))</f>
        <v/>
      </c>
      <c r="R90" s="7">
        <f>IF($U90="","",IF(INDEX('Per Invoice'!R$2:R$401,$U90)="","",INDEX('Per Invoice'!R$2:R$401,$U90)))</f>
        <v/>
      </c>
      <c r="S90" s="7">
        <f>IF($U90="","",IF(INDEX('Per Invoice'!S$2:S$401,$U90)="","",INDEX('Per Invoice'!S$2:S$401,$U90)))</f>
        <v/>
      </c>
      <c r="T90" s="7">
        <f>IF($U90="","",IF(INDEX('Per Invoice'!T$2:T$401,$U90)="","",INDEX('Per Invoice'!T$2:T$401,$U90)))</f>
        <v/>
      </c>
      <c r="U90" s="16">
        <f>IFERROR(MATCH(Settings!$C$26&amp;"|"&amp;ROWS($U$2:$U90),'Per Invoice'!$V$2:$V$401,0),"")</f>
        <v/>
      </c>
    </row>
    <row r="91">
      <c r="A91">
        <f>IF($U91="","",IF(INDEX('Per Invoice'!A$2:A$401,$U91)="","",INDEX('Per Invoice'!A$2:A$401,$U91)))</f>
        <v/>
      </c>
      <c r="B91">
        <f>IF($U91="","",IF(INDEX('Per Invoice'!B$2:B$401,$U91)="","",INDEX('Per Invoice'!B$2:B$401,$U91)))</f>
        <v/>
      </c>
      <c r="C91">
        <f>IF($U91="","",IF(INDEX('Per Invoice'!C$2:C$401,$U91)="","",INDEX('Per Invoice'!C$2:C$401,$U91)))</f>
        <v/>
      </c>
      <c r="D91">
        <f>IF($U91="","",IF(INDEX('Per Invoice'!D$2:D$401,$U91)="","",INDEX('Per Invoice'!D$2:D$401,$U91)))</f>
        <v/>
      </c>
      <c r="E91">
        <f>IF($U91="","",IF(INDEX('Per Invoice'!E$2:E$401,$U91)="","",INDEX('Per Invoice'!E$2:E$401,$U91)))</f>
        <v/>
      </c>
      <c r="F91">
        <f>IF($U91="","",IF(INDEX('Per Invoice'!F$2:F$401,$U91)="","",INDEX('Per Invoice'!F$2:F$401,$U91)))</f>
        <v/>
      </c>
      <c r="G91">
        <f>IF($U91="","",IF(INDEX('Per Invoice'!G$2:G$401,$U91)="","",INDEX('Per Invoice'!G$2:G$401,$U91)))</f>
        <v/>
      </c>
      <c r="H91" s="7">
        <f>IF($U91="","",IF(INDEX('Per Invoice'!H$2:H$401,$U91)="","",INDEX('Per Invoice'!H$2:H$401,$U91)))</f>
        <v/>
      </c>
      <c r="I91" s="14">
        <f>IF($U91="","",IF(INDEX('Per Invoice'!I$2:I$401,$U91)="","",INDEX('Per Invoice'!I$2:I$401,$U91)))</f>
        <v/>
      </c>
      <c r="J91">
        <f>IF($U91="","",IF(INDEX('Per Invoice'!J$2:J$401,$U91)="","",INDEX('Per Invoice'!J$2:J$401,$U91)))</f>
        <v/>
      </c>
      <c r="K91">
        <f>IF($U91="","",IF(INDEX('Per Invoice'!K$2:K$401,$U91)="","",INDEX('Per Invoice'!K$2:K$401,$U91)))</f>
        <v/>
      </c>
      <c r="L91" s="7">
        <f>IF($U91="","",IF(INDEX('Per Invoice'!L$2:L$401,$U91)="","",INDEX('Per Invoice'!L$2:L$401,$U91)))</f>
        <v/>
      </c>
      <c r="M91" s="7">
        <f>IF($U91="","",IF(INDEX('Per Invoice'!M$2:M$401,$U91)="","",INDEX('Per Invoice'!M$2:M$401,$U91)))</f>
        <v/>
      </c>
      <c r="N91">
        <f>IF($U91="","",IF(INDEX('Per Invoice'!N$2:N$401,$U91)="","",INDEX('Per Invoice'!N$2:N$401,$U91)))</f>
        <v/>
      </c>
      <c r="O91" s="7">
        <f>IF($U91="","",IF(INDEX('Per Invoice'!O$2:O$401,$U91)="","",INDEX('Per Invoice'!O$2:O$401,$U91)))</f>
        <v/>
      </c>
      <c r="P91" s="7">
        <f>IF($U91="","",IF(INDEX('Per Invoice'!P$2:P$401,$U91)="","",INDEX('Per Invoice'!P$2:P$401,$U91)))</f>
        <v/>
      </c>
      <c r="Q91" s="7">
        <f>IF($U91="","",IF(INDEX('Per Invoice'!Q$2:Q$401,$U91)="","",INDEX('Per Invoice'!Q$2:Q$401,$U91)))</f>
        <v/>
      </c>
      <c r="R91" s="7">
        <f>IF($U91="","",IF(INDEX('Per Invoice'!R$2:R$401,$U91)="","",INDEX('Per Invoice'!R$2:R$401,$U91)))</f>
        <v/>
      </c>
      <c r="S91" s="7">
        <f>IF($U91="","",IF(INDEX('Per Invoice'!S$2:S$401,$U91)="","",INDEX('Per Invoice'!S$2:S$401,$U91)))</f>
        <v/>
      </c>
      <c r="T91" s="7">
        <f>IF($U91="","",IF(INDEX('Per Invoice'!T$2:T$401,$U91)="","",INDEX('Per Invoice'!T$2:T$401,$U91)))</f>
        <v/>
      </c>
      <c r="U91" s="16">
        <f>IFERROR(MATCH(Settings!$C$26&amp;"|"&amp;ROWS($U$2:$U91),'Per Invoice'!$V$2:$V$401,0),"")</f>
        <v/>
      </c>
    </row>
    <row r="92">
      <c r="A92">
        <f>IF($U92="","",IF(INDEX('Per Invoice'!A$2:A$401,$U92)="","",INDEX('Per Invoice'!A$2:A$401,$U92)))</f>
        <v/>
      </c>
      <c r="B92">
        <f>IF($U92="","",IF(INDEX('Per Invoice'!B$2:B$401,$U92)="","",INDEX('Per Invoice'!B$2:B$401,$U92)))</f>
        <v/>
      </c>
      <c r="C92">
        <f>IF($U92="","",IF(INDEX('Per Invoice'!C$2:C$401,$U92)="","",INDEX('Per Invoice'!C$2:C$401,$U92)))</f>
        <v/>
      </c>
      <c r="D92">
        <f>IF($U92="","",IF(INDEX('Per Invoice'!D$2:D$401,$U92)="","",INDEX('Per Invoice'!D$2:D$401,$U92)))</f>
        <v/>
      </c>
      <c r="E92">
        <f>IF($U92="","",IF(INDEX('Per Invoice'!E$2:E$401,$U92)="","",INDEX('Per Invoice'!E$2:E$401,$U92)))</f>
        <v/>
      </c>
      <c r="F92">
        <f>IF($U92="","",IF(INDEX('Per Invoice'!F$2:F$401,$U92)="","",INDEX('Per Invoice'!F$2:F$401,$U92)))</f>
        <v/>
      </c>
      <c r="G92">
        <f>IF($U92="","",IF(INDEX('Per Invoice'!G$2:G$401,$U92)="","",INDEX('Per Invoice'!G$2:G$401,$U92)))</f>
        <v/>
      </c>
      <c r="H92" s="7">
        <f>IF($U92="","",IF(INDEX('Per Invoice'!H$2:H$401,$U92)="","",INDEX('Per Invoice'!H$2:H$401,$U92)))</f>
        <v/>
      </c>
      <c r="I92" s="14">
        <f>IF($U92="","",IF(INDEX('Per Invoice'!I$2:I$401,$U92)="","",INDEX('Per Invoice'!I$2:I$401,$U92)))</f>
        <v/>
      </c>
      <c r="J92">
        <f>IF($U92="","",IF(INDEX('Per Invoice'!J$2:J$401,$U92)="","",INDEX('Per Invoice'!J$2:J$401,$U92)))</f>
        <v/>
      </c>
      <c r="K92">
        <f>IF($U92="","",IF(INDEX('Per Invoice'!K$2:K$401,$U92)="","",INDEX('Per Invoice'!K$2:K$401,$U92)))</f>
        <v/>
      </c>
      <c r="L92" s="7">
        <f>IF($U92="","",IF(INDEX('Per Invoice'!L$2:L$401,$U92)="","",INDEX('Per Invoice'!L$2:L$401,$U92)))</f>
        <v/>
      </c>
      <c r="M92" s="7">
        <f>IF($U92="","",IF(INDEX('Per Invoice'!M$2:M$401,$U92)="","",INDEX('Per Invoice'!M$2:M$401,$U92)))</f>
        <v/>
      </c>
      <c r="N92">
        <f>IF($U92="","",IF(INDEX('Per Invoice'!N$2:N$401,$U92)="","",INDEX('Per Invoice'!N$2:N$401,$U92)))</f>
        <v/>
      </c>
      <c r="O92" s="7">
        <f>IF($U92="","",IF(INDEX('Per Invoice'!O$2:O$401,$U92)="","",INDEX('Per Invoice'!O$2:O$401,$U92)))</f>
        <v/>
      </c>
      <c r="P92" s="7">
        <f>IF($U92="","",IF(INDEX('Per Invoice'!P$2:P$401,$U92)="","",INDEX('Per Invoice'!P$2:P$401,$U92)))</f>
        <v/>
      </c>
      <c r="Q92" s="7">
        <f>IF($U92="","",IF(INDEX('Per Invoice'!Q$2:Q$401,$U92)="","",INDEX('Per Invoice'!Q$2:Q$401,$U92)))</f>
        <v/>
      </c>
      <c r="R92" s="7">
        <f>IF($U92="","",IF(INDEX('Per Invoice'!R$2:R$401,$U92)="","",INDEX('Per Invoice'!R$2:R$401,$U92)))</f>
        <v/>
      </c>
      <c r="S92" s="7">
        <f>IF($U92="","",IF(INDEX('Per Invoice'!S$2:S$401,$U92)="","",INDEX('Per Invoice'!S$2:S$401,$U92)))</f>
        <v/>
      </c>
      <c r="T92" s="7">
        <f>IF($U92="","",IF(INDEX('Per Invoice'!T$2:T$401,$U92)="","",INDEX('Per Invoice'!T$2:T$401,$U92)))</f>
        <v/>
      </c>
      <c r="U92" s="16">
        <f>IFERROR(MATCH(Settings!$C$26&amp;"|"&amp;ROWS($U$2:$U92),'Per Invoice'!$V$2:$V$401,0),"")</f>
        <v/>
      </c>
    </row>
    <row r="93">
      <c r="A93">
        <f>IF($U93="","",IF(INDEX('Per Invoice'!A$2:A$401,$U93)="","",INDEX('Per Invoice'!A$2:A$401,$U93)))</f>
        <v/>
      </c>
      <c r="B93">
        <f>IF($U93="","",IF(INDEX('Per Invoice'!B$2:B$401,$U93)="","",INDEX('Per Invoice'!B$2:B$401,$U93)))</f>
        <v/>
      </c>
      <c r="C93">
        <f>IF($U93="","",IF(INDEX('Per Invoice'!C$2:C$401,$U93)="","",INDEX('Per Invoice'!C$2:C$401,$U93)))</f>
        <v/>
      </c>
      <c r="D93">
        <f>IF($U93="","",IF(INDEX('Per Invoice'!D$2:D$401,$U93)="","",INDEX('Per Invoice'!D$2:D$401,$U93)))</f>
        <v/>
      </c>
      <c r="E93">
        <f>IF($U93="","",IF(INDEX('Per Invoice'!E$2:E$401,$U93)="","",INDEX('Per Invoice'!E$2:E$401,$U93)))</f>
        <v/>
      </c>
      <c r="F93">
        <f>IF($U93="","",IF(INDEX('Per Invoice'!F$2:F$401,$U93)="","",INDEX('Per Invoice'!F$2:F$401,$U93)))</f>
        <v/>
      </c>
      <c r="G93">
        <f>IF($U93="","",IF(INDEX('Per Invoice'!G$2:G$401,$U93)="","",INDEX('Per Invoice'!G$2:G$401,$U93)))</f>
        <v/>
      </c>
      <c r="H93" s="7">
        <f>IF($U93="","",IF(INDEX('Per Invoice'!H$2:H$401,$U93)="","",INDEX('Per Invoice'!H$2:H$401,$U93)))</f>
        <v/>
      </c>
      <c r="I93" s="14">
        <f>IF($U93="","",IF(INDEX('Per Invoice'!I$2:I$401,$U93)="","",INDEX('Per Invoice'!I$2:I$401,$U93)))</f>
        <v/>
      </c>
      <c r="J93">
        <f>IF($U93="","",IF(INDEX('Per Invoice'!J$2:J$401,$U93)="","",INDEX('Per Invoice'!J$2:J$401,$U93)))</f>
        <v/>
      </c>
      <c r="K93">
        <f>IF($U93="","",IF(INDEX('Per Invoice'!K$2:K$401,$U93)="","",INDEX('Per Invoice'!K$2:K$401,$U93)))</f>
        <v/>
      </c>
      <c r="L93" s="7">
        <f>IF($U93="","",IF(INDEX('Per Invoice'!L$2:L$401,$U93)="","",INDEX('Per Invoice'!L$2:L$401,$U93)))</f>
        <v/>
      </c>
      <c r="M93" s="7">
        <f>IF($U93="","",IF(INDEX('Per Invoice'!M$2:M$401,$U93)="","",INDEX('Per Invoice'!M$2:M$401,$U93)))</f>
        <v/>
      </c>
      <c r="N93">
        <f>IF($U93="","",IF(INDEX('Per Invoice'!N$2:N$401,$U93)="","",INDEX('Per Invoice'!N$2:N$401,$U93)))</f>
        <v/>
      </c>
      <c r="O93" s="7">
        <f>IF($U93="","",IF(INDEX('Per Invoice'!O$2:O$401,$U93)="","",INDEX('Per Invoice'!O$2:O$401,$U93)))</f>
        <v/>
      </c>
      <c r="P93" s="7">
        <f>IF($U93="","",IF(INDEX('Per Invoice'!P$2:P$401,$U93)="","",INDEX('Per Invoice'!P$2:P$401,$U93)))</f>
        <v/>
      </c>
      <c r="Q93" s="7">
        <f>IF($U93="","",IF(INDEX('Per Invoice'!Q$2:Q$401,$U93)="","",INDEX('Per Invoice'!Q$2:Q$401,$U93)))</f>
        <v/>
      </c>
      <c r="R93" s="7">
        <f>IF($U93="","",IF(INDEX('Per Invoice'!R$2:R$401,$U93)="","",INDEX('Per Invoice'!R$2:R$401,$U93)))</f>
        <v/>
      </c>
      <c r="S93" s="7">
        <f>IF($U93="","",IF(INDEX('Per Invoice'!S$2:S$401,$U93)="","",INDEX('Per Invoice'!S$2:S$401,$U93)))</f>
        <v/>
      </c>
      <c r="T93" s="7">
        <f>IF($U93="","",IF(INDEX('Per Invoice'!T$2:T$401,$U93)="","",INDEX('Per Invoice'!T$2:T$401,$U93)))</f>
        <v/>
      </c>
      <c r="U93" s="16">
        <f>IFERROR(MATCH(Settings!$C$26&amp;"|"&amp;ROWS($U$2:$U93),'Per Invoice'!$V$2:$V$401,0),"")</f>
        <v/>
      </c>
    </row>
    <row r="94">
      <c r="A94">
        <f>IF($U94="","",IF(INDEX('Per Invoice'!A$2:A$401,$U94)="","",INDEX('Per Invoice'!A$2:A$401,$U94)))</f>
        <v/>
      </c>
      <c r="B94">
        <f>IF($U94="","",IF(INDEX('Per Invoice'!B$2:B$401,$U94)="","",INDEX('Per Invoice'!B$2:B$401,$U94)))</f>
        <v/>
      </c>
      <c r="C94">
        <f>IF($U94="","",IF(INDEX('Per Invoice'!C$2:C$401,$U94)="","",INDEX('Per Invoice'!C$2:C$401,$U94)))</f>
        <v/>
      </c>
      <c r="D94">
        <f>IF($U94="","",IF(INDEX('Per Invoice'!D$2:D$401,$U94)="","",INDEX('Per Invoice'!D$2:D$401,$U94)))</f>
        <v/>
      </c>
      <c r="E94">
        <f>IF($U94="","",IF(INDEX('Per Invoice'!E$2:E$401,$U94)="","",INDEX('Per Invoice'!E$2:E$401,$U94)))</f>
        <v/>
      </c>
      <c r="F94">
        <f>IF($U94="","",IF(INDEX('Per Invoice'!F$2:F$401,$U94)="","",INDEX('Per Invoice'!F$2:F$401,$U94)))</f>
        <v/>
      </c>
      <c r="G94">
        <f>IF($U94="","",IF(INDEX('Per Invoice'!G$2:G$401,$U94)="","",INDEX('Per Invoice'!G$2:G$401,$U94)))</f>
        <v/>
      </c>
      <c r="H94" s="7">
        <f>IF($U94="","",IF(INDEX('Per Invoice'!H$2:H$401,$U94)="","",INDEX('Per Invoice'!H$2:H$401,$U94)))</f>
        <v/>
      </c>
      <c r="I94" s="14">
        <f>IF($U94="","",IF(INDEX('Per Invoice'!I$2:I$401,$U94)="","",INDEX('Per Invoice'!I$2:I$401,$U94)))</f>
        <v/>
      </c>
      <c r="J94">
        <f>IF($U94="","",IF(INDEX('Per Invoice'!J$2:J$401,$U94)="","",INDEX('Per Invoice'!J$2:J$401,$U94)))</f>
        <v/>
      </c>
      <c r="K94">
        <f>IF($U94="","",IF(INDEX('Per Invoice'!K$2:K$401,$U94)="","",INDEX('Per Invoice'!K$2:K$401,$U94)))</f>
        <v/>
      </c>
      <c r="L94" s="7">
        <f>IF($U94="","",IF(INDEX('Per Invoice'!L$2:L$401,$U94)="","",INDEX('Per Invoice'!L$2:L$401,$U94)))</f>
        <v/>
      </c>
      <c r="M94" s="7">
        <f>IF($U94="","",IF(INDEX('Per Invoice'!M$2:M$401,$U94)="","",INDEX('Per Invoice'!M$2:M$401,$U94)))</f>
        <v/>
      </c>
      <c r="N94">
        <f>IF($U94="","",IF(INDEX('Per Invoice'!N$2:N$401,$U94)="","",INDEX('Per Invoice'!N$2:N$401,$U94)))</f>
        <v/>
      </c>
      <c r="O94" s="7">
        <f>IF($U94="","",IF(INDEX('Per Invoice'!O$2:O$401,$U94)="","",INDEX('Per Invoice'!O$2:O$401,$U94)))</f>
        <v/>
      </c>
      <c r="P94" s="7">
        <f>IF($U94="","",IF(INDEX('Per Invoice'!P$2:P$401,$U94)="","",INDEX('Per Invoice'!P$2:P$401,$U94)))</f>
        <v/>
      </c>
      <c r="Q94" s="7">
        <f>IF($U94="","",IF(INDEX('Per Invoice'!Q$2:Q$401,$U94)="","",INDEX('Per Invoice'!Q$2:Q$401,$U94)))</f>
        <v/>
      </c>
      <c r="R94" s="7">
        <f>IF($U94="","",IF(INDEX('Per Invoice'!R$2:R$401,$U94)="","",INDEX('Per Invoice'!R$2:R$401,$U94)))</f>
        <v/>
      </c>
      <c r="S94" s="7">
        <f>IF($U94="","",IF(INDEX('Per Invoice'!S$2:S$401,$U94)="","",INDEX('Per Invoice'!S$2:S$401,$U94)))</f>
        <v/>
      </c>
      <c r="T94" s="7">
        <f>IF($U94="","",IF(INDEX('Per Invoice'!T$2:T$401,$U94)="","",INDEX('Per Invoice'!T$2:T$401,$U94)))</f>
        <v/>
      </c>
      <c r="U94" s="16">
        <f>IFERROR(MATCH(Settings!$C$26&amp;"|"&amp;ROWS($U$2:$U94),'Per Invoice'!$V$2:$V$401,0),"")</f>
        <v/>
      </c>
    </row>
    <row r="95">
      <c r="A95">
        <f>IF($U95="","",IF(INDEX('Per Invoice'!A$2:A$401,$U95)="","",INDEX('Per Invoice'!A$2:A$401,$U95)))</f>
        <v/>
      </c>
      <c r="B95">
        <f>IF($U95="","",IF(INDEX('Per Invoice'!B$2:B$401,$U95)="","",INDEX('Per Invoice'!B$2:B$401,$U95)))</f>
        <v/>
      </c>
      <c r="C95">
        <f>IF($U95="","",IF(INDEX('Per Invoice'!C$2:C$401,$U95)="","",INDEX('Per Invoice'!C$2:C$401,$U95)))</f>
        <v/>
      </c>
      <c r="D95">
        <f>IF($U95="","",IF(INDEX('Per Invoice'!D$2:D$401,$U95)="","",INDEX('Per Invoice'!D$2:D$401,$U95)))</f>
        <v/>
      </c>
      <c r="E95">
        <f>IF($U95="","",IF(INDEX('Per Invoice'!E$2:E$401,$U95)="","",INDEX('Per Invoice'!E$2:E$401,$U95)))</f>
        <v/>
      </c>
      <c r="F95">
        <f>IF($U95="","",IF(INDEX('Per Invoice'!F$2:F$401,$U95)="","",INDEX('Per Invoice'!F$2:F$401,$U95)))</f>
        <v/>
      </c>
      <c r="G95">
        <f>IF($U95="","",IF(INDEX('Per Invoice'!G$2:G$401,$U95)="","",INDEX('Per Invoice'!G$2:G$401,$U95)))</f>
        <v/>
      </c>
      <c r="H95" s="7">
        <f>IF($U95="","",IF(INDEX('Per Invoice'!H$2:H$401,$U95)="","",INDEX('Per Invoice'!H$2:H$401,$U95)))</f>
        <v/>
      </c>
      <c r="I95" s="14">
        <f>IF($U95="","",IF(INDEX('Per Invoice'!I$2:I$401,$U95)="","",INDEX('Per Invoice'!I$2:I$401,$U95)))</f>
        <v/>
      </c>
      <c r="J95">
        <f>IF($U95="","",IF(INDEX('Per Invoice'!J$2:J$401,$U95)="","",INDEX('Per Invoice'!J$2:J$401,$U95)))</f>
        <v/>
      </c>
      <c r="K95">
        <f>IF($U95="","",IF(INDEX('Per Invoice'!K$2:K$401,$U95)="","",INDEX('Per Invoice'!K$2:K$401,$U95)))</f>
        <v/>
      </c>
      <c r="L95" s="7">
        <f>IF($U95="","",IF(INDEX('Per Invoice'!L$2:L$401,$U95)="","",INDEX('Per Invoice'!L$2:L$401,$U95)))</f>
        <v/>
      </c>
      <c r="M95" s="7">
        <f>IF($U95="","",IF(INDEX('Per Invoice'!M$2:M$401,$U95)="","",INDEX('Per Invoice'!M$2:M$401,$U95)))</f>
        <v/>
      </c>
      <c r="N95">
        <f>IF($U95="","",IF(INDEX('Per Invoice'!N$2:N$401,$U95)="","",INDEX('Per Invoice'!N$2:N$401,$U95)))</f>
        <v/>
      </c>
      <c r="O95" s="7">
        <f>IF($U95="","",IF(INDEX('Per Invoice'!O$2:O$401,$U95)="","",INDEX('Per Invoice'!O$2:O$401,$U95)))</f>
        <v/>
      </c>
      <c r="P95" s="7">
        <f>IF($U95="","",IF(INDEX('Per Invoice'!P$2:P$401,$U95)="","",INDEX('Per Invoice'!P$2:P$401,$U95)))</f>
        <v/>
      </c>
      <c r="Q95" s="7">
        <f>IF($U95="","",IF(INDEX('Per Invoice'!Q$2:Q$401,$U95)="","",INDEX('Per Invoice'!Q$2:Q$401,$U95)))</f>
        <v/>
      </c>
      <c r="R95" s="7">
        <f>IF($U95="","",IF(INDEX('Per Invoice'!R$2:R$401,$U95)="","",INDEX('Per Invoice'!R$2:R$401,$U95)))</f>
        <v/>
      </c>
      <c r="S95" s="7">
        <f>IF($U95="","",IF(INDEX('Per Invoice'!S$2:S$401,$U95)="","",INDEX('Per Invoice'!S$2:S$401,$U95)))</f>
        <v/>
      </c>
      <c r="T95" s="7">
        <f>IF($U95="","",IF(INDEX('Per Invoice'!T$2:T$401,$U95)="","",INDEX('Per Invoice'!T$2:T$401,$U95)))</f>
        <v/>
      </c>
      <c r="U95" s="16">
        <f>IFERROR(MATCH(Settings!$C$26&amp;"|"&amp;ROWS($U$2:$U95),'Per Invoice'!$V$2:$V$401,0),"")</f>
        <v/>
      </c>
    </row>
    <row r="96">
      <c r="A96">
        <f>IF($U96="","",IF(INDEX('Per Invoice'!A$2:A$401,$U96)="","",INDEX('Per Invoice'!A$2:A$401,$U96)))</f>
        <v/>
      </c>
      <c r="B96">
        <f>IF($U96="","",IF(INDEX('Per Invoice'!B$2:B$401,$U96)="","",INDEX('Per Invoice'!B$2:B$401,$U96)))</f>
        <v/>
      </c>
      <c r="C96">
        <f>IF($U96="","",IF(INDEX('Per Invoice'!C$2:C$401,$U96)="","",INDEX('Per Invoice'!C$2:C$401,$U96)))</f>
        <v/>
      </c>
      <c r="D96">
        <f>IF($U96="","",IF(INDEX('Per Invoice'!D$2:D$401,$U96)="","",INDEX('Per Invoice'!D$2:D$401,$U96)))</f>
        <v/>
      </c>
      <c r="E96">
        <f>IF($U96="","",IF(INDEX('Per Invoice'!E$2:E$401,$U96)="","",INDEX('Per Invoice'!E$2:E$401,$U96)))</f>
        <v/>
      </c>
      <c r="F96">
        <f>IF($U96="","",IF(INDEX('Per Invoice'!F$2:F$401,$U96)="","",INDEX('Per Invoice'!F$2:F$401,$U96)))</f>
        <v/>
      </c>
      <c r="G96">
        <f>IF($U96="","",IF(INDEX('Per Invoice'!G$2:G$401,$U96)="","",INDEX('Per Invoice'!G$2:G$401,$U96)))</f>
        <v/>
      </c>
      <c r="H96" s="7">
        <f>IF($U96="","",IF(INDEX('Per Invoice'!H$2:H$401,$U96)="","",INDEX('Per Invoice'!H$2:H$401,$U96)))</f>
        <v/>
      </c>
      <c r="I96" s="14">
        <f>IF($U96="","",IF(INDEX('Per Invoice'!I$2:I$401,$U96)="","",INDEX('Per Invoice'!I$2:I$401,$U96)))</f>
        <v/>
      </c>
      <c r="J96">
        <f>IF($U96="","",IF(INDEX('Per Invoice'!J$2:J$401,$U96)="","",INDEX('Per Invoice'!J$2:J$401,$U96)))</f>
        <v/>
      </c>
      <c r="K96">
        <f>IF($U96="","",IF(INDEX('Per Invoice'!K$2:K$401,$U96)="","",INDEX('Per Invoice'!K$2:K$401,$U96)))</f>
        <v/>
      </c>
      <c r="L96" s="7">
        <f>IF($U96="","",IF(INDEX('Per Invoice'!L$2:L$401,$U96)="","",INDEX('Per Invoice'!L$2:L$401,$U96)))</f>
        <v/>
      </c>
      <c r="M96" s="7">
        <f>IF($U96="","",IF(INDEX('Per Invoice'!M$2:M$401,$U96)="","",INDEX('Per Invoice'!M$2:M$401,$U96)))</f>
        <v/>
      </c>
      <c r="N96">
        <f>IF($U96="","",IF(INDEX('Per Invoice'!N$2:N$401,$U96)="","",INDEX('Per Invoice'!N$2:N$401,$U96)))</f>
        <v/>
      </c>
      <c r="O96" s="7">
        <f>IF($U96="","",IF(INDEX('Per Invoice'!O$2:O$401,$U96)="","",INDEX('Per Invoice'!O$2:O$401,$U96)))</f>
        <v/>
      </c>
      <c r="P96" s="7">
        <f>IF($U96="","",IF(INDEX('Per Invoice'!P$2:P$401,$U96)="","",INDEX('Per Invoice'!P$2:P$401,$U96)))</f>
        <v/>
      </c>
      <c r="Q96" s="7">
        <f>IF($U96="","",IF(INDEX('Per Invoice'!Q$2:Q$401,$U96)="","",INDEX('Per Invoice'!Q$2:Q$401,$U96)))</f>
        <v/>
      </c>
      <c r="R96" s="7">
        <f>IF($U96="","",IF(INDEX('Per Invoice'!R$2:R$401,$U96)="","",INDEX('Per Invoice'!R$2:R$401,$U96)))</f>
        <v/>
      </c>
      <c r="S96" s="7">
        <f>IF($U96="","",IF(INDEX('Per Invoice'!S$2:S$401,$U96)="","",INDEX('Per Invoice'!S$2:S$401,$U96)))</f>
        <v/>
      </c>
      <c r="T96" s="7">
        <f>IF($U96="","",IF(INDEX('Per Invoice'!T$2:T$401,$U96)="","",INDEX('Per Invoice'!T$2:T$401,$U96)))</f>
        <v/>
      </c>
      <c r="U96" s="16">
        <f>IFERROR(MATCH(Settings!$C$26&amp;"|"&amp;ROWS($U$2:$U96),'Per Invoice'!$V$2:$V$401,0),"")</f>
        <v/>
      </c>
    </row>
    <row r="97">
      <c r="A97">
        <f>IF($U97="","",IF(INDEX('Per Invoice'!A$2:A$401,$U97)="","",INDEX('Per Invoice'!A$2:A$401,$U97)))</f>
        <v/>
      </c>
      <c r="B97">
        <f>IF($U97="","",IF(INDEX('Per Invoice'!B$2:B$401,$U97)="","",INDEX('Per Invoice'!B$2:B$401,$U97)))</f>
        <v/>
      </c>
      <c r="C97">
        <f>IF($U97="","",IF(INDEX('Per Invoice'!C$2:C$401,$U97)="","",INDEX('Per Invoice'!C$2:C$401,$U97)))</f>
        <v/>
      </c>
      <c r="D97">
        <f>IF($U97="","",IF(INDEX('Per Invoice'!D$2:D$401,$U97)="","",INDEX('Per Invoice'!D$2:D$401,$U97)))</f>
        <v/>
      </c>
      <c r="E97">
        <f>IF($U97="","",IF(INDEX('Per Invoice'!E$2:E$401,$U97)="","",INDEX('Per Invoice'!E$2:E$401,$U97)))</f>
        <v/>
      </c>
      <c r="F97">
        <f>IF($U97="","",IF(INDEX('Per Invoice'!F$2:F$401,$U97)="","",INDEX('Per Invoice'!F$2:F$401,$U97)))</f>
        <v/>
      </c>
      <c r="G97">
        <f>IF($U97="","",IF(INDEX('Per Invoice'!G$2:G$401,$U97)="","",INDEX('Per Invoice'!G$2:G$401,$U97)))</f>
        <v/>
      </c>
      <c r="H97" s="7">
        <f>IF($U97="","",IF(INDEX('Per Invoice'!H$2:H$401,$U97)="","",INDEX('Per Invoice'!H$2:H$401,$U97)))</f>
        <v/>
      </c>
      <c r="I97" s="14">
        <f>IF($U97="","",IF(INDEX('Per Invoice'!I$2:I$401,$U97)="","",INDEX('Per Invoice'!I$2:I$401,$U97)))</f>
        <v/>
      </c>
      <c r="J97">
        <f>IF($U97="","",IF(INDEX('Per Invoice'!J$2:J$401,$U97)="","",INDEX('Per Invoice'!J$2:J$401,$U97)))</f>
        <v/>
      </c>
      <c r="K97">
        <f>IF($U97="","",IF(INDEX('Per Invoice'!K$2:K$401,$U97)="","",INDEX('Per Invoice'!K$2:K$401,$U97)))</f>
        <v/>
      </c>
      <c r="L97" s="7">
        <f>IF($U97="","",IF(INDEX('Per Invoice'!L$2:L$401,$U97)="","",INDEX('Per Invoice'!L$2:L$401,$U97)))</f>
        <v/>
      </c>
      <c r="M97" s="7">
        <f>IF($U97="","",IF(INDEX('Per Invoice'!M$2:M$401,$U97)="","",INDEX('Per Invoice'!M$2:M$401,$U97)))</f>
        <v/>
      </c>
      <c r="N97">
        <f>IF($U97="","",IF(INDEX('Per Invoice'!N$2:N$401,$U97)="","",INDEX('Per Invoice'!N$2:N$401,$U97)))</f>
        <v/>
      </c>
      <c r="O97" s="7">
        <f>IF($U97="","",IF(INDEX('Per Invoice'!O$2:O$401,$U97)="","",INDEX('Per Invoice'!O$2:O$401,$U97)))</f>
        <v/>
      </c>
      <c r="P97" s="7">
        <f>IF($U97="","",IF(INDEX('Per Invoice'!P$2:P$401,$U97)="","",INDEX('Per Invoice'!P$2:P$401,$U97)))</f>
        <v/>
      </c>
      <c r="Q97" s="7">
        <f>IF($U97="","",IF(INDEX('Per Invoice'!Q$2:Q$401,$U97)="","",INDEX('Per Invoice'!Q$2:Q$401,$U97)))</f>
        <v/>
      </c>
      <c r="R97" s="7">
        <f>IF($U97="","",IF(INDEX('Per Invoice'!R$2:R$401,$U97)="","",INDEX('Per Invoice'!R$2:R$401,$U97)))</f>
        <v/>
      </c>
      <c r="S97" s="7">
        <f>IF($U97="","",IF(INDEX('Per Invoice'!S$2:S$401,$U97)="","",INDEX('Per Invoice'!S$2:S$401,$U97)))</f>
        <v/>
      </c>
      <c r="T97" s="7">
        <f>IF($U97="","",IF(INDEX('Per Invoice'!T$2:T$401,$U97)="","",INDEX('Per Invoice'!T$2:T$401,$U97)))</f>
        <v/>
      </c>
      <c r="U97" s="16">
        <f>IFERROR(MATCH(Settings!$C$26&amp;"|"&amp;ROWS($U$2:$U97),'Per Invoice'!$V$2:$V$401,0),"")</f>
        <v/>
      </c>
    </row>
    <row r="98">
      <c r="A98">
        <f>IF($U98="","",IF(INDEX('Per Invoice'!A$2:A$401,$U98)="","",INDEX('Per Invoice'!A$2:A$401,$U98)))</f>
        <v/>
      </c>
      <c r="B98">
        <f>IF($U98="","",IF(INDEX('Per Invoice'!B$2:B$401,$U98)="","",INDEX('Per Invoice'!B$2:B$401,$U98)))</f>
        <v/>
      </c>
      <c r="C98">
        <f>IF($U98="","",IF(INDEX('Per Invoice'!C$2:C$401,$U98)="","",INDEX('Per Invoice'!C$2:C$401,$U98)))</f>
        <v/>
      </c>
      <c r="D98">
        <f>IF($U98="","",IF(INDEX('Per Invoice'!D$2:D$401,$U98)="","",INDEX('Per Invoice'!D$2:D$401,$U98)))</f>
        <v/>
      </c>
      <c r="E98">
        <f>IF($U98="","",IF(INDEX('Per Invoice'!E$2:E$401,$U98)="","",INDEX('Per Invoice'!E$2:E$401,$U98)))</f>
        <v/>
      </c>
      <c r="F98">
        <f>IF($U98="","",IF(INDEX('Per Invoice'!F$2:F$401,$U98)="","",INDEX('Per Invoice'!F$2:F$401,$U98)))</f>
        <v/>
      </c>
      <c r="G98">
        <f>IF($U98="","",IF(INDEX('Per Invoice'!G$2:G$401,$U98)="","",INDEX('Per Invoice'!G$2:G$401,$U98)))</f>
        <v/>
      </c>
      <c r="H98" s="7">
        <f>IF($U98="","",IF(INDEX('Per Invoice'!H$2:H$401,$U98)="","",INDEX('Per Invoice'!H$2:H$401,$U98)))</f>
        <v/>
      </c>
      <c r="I98" s="14">
        <f>IF($U98="","",IF(INDEX('Per Invoice'!I$2:I$401,$U98)="","",INDEX('Per Invoice'!I$2:I$401,$U98)))</f>
        <v/>
      </c>
      <c r="J98">
        <f>IF($U98="","",IF(INDEX('Per Invoice'!J$2:J$401,$U98)="","",INDEX('Per Invoice'!J$2:J$401,$U98)))</f>
        <v/>
      </c>
      <c r="K98">
        <f>IF($U98="","",IF(INDEX('Per Invoice'!K$2:K$401,$U98)="","",INDEX('Per Invoice'!K$2:K$401,$U98)))</f>
        <v/>
      </c>
      <c r="L98" s="7">
        <f>IF($U98="","",IF(INDEX('Per Invoice'!L$2:L$401,$U98)="","",INDEX('Per Invoice'!L$2:L$401,$U98)))</f>
        <v/>
      </c>
      <c r="M98" s="7">
        <f>IF($U98="","",IF(INDEX('Per Invoice'!M$2:M$401,$U98)="","",INDEX('Per Invoice'!M$2:M$401,$U98)))</f>
        <v/>
      </c>
      <c r="N98">
        <f>IF($U98="","",IF(INDEX('Per Invoice'!N$2:N$401,$U98)="","",INDEX('Per Invoice'!N$2:N$401,$U98)))</f>
        <v/>
      </c>
      <c r="O98" s="7">
        <f>IF($U98="","",IF(INDEX('Per Invoice'!O$2:O$401,$U98)="","",INDEX('Per Invoice'!O$2:O$401,$U98)))</f>
        <v/>
      </c>
      <c r="P98" s="7">
        <f>IF($U98="","",IF(INDEX('Per Invoice'!P$2:P$401,$U98)="","",INDEX('Per Invoice'!P$2:P$401,$U98)))</f>
        <v/>
      </c>
      <c r="Q98" s="7">
        <f>IF($U98="","",IF(INDEX('Per Invoice'!Q$2:Q$401,$U98)="","",INDEX('Per Invoice'!Q$2:Q$401,$U98)))</f>
        <v/>
      </c>
      <c r="R98" s="7">
        <f>IF($U98="","",IF(INDEX('Per Invoice'!R$2:R$401,$U98)="","",INDEX('Per Invoice'!R$2:R$401,$U98)))</f>
        <v/>
      </c>
      <c r="S98" s="7">
        <f>IF($U98="","",IF(INDEX('Per Invoice'!S$2:S$401,$U98)="","",INDEX('Per Invoice'!S$2:S$401,$U98)))</f>
        <v/>
      </c>
      <c r="T98" s="7">
        <f>IF($U98="","",IF(INDEX('Per Invoice'!T$2:T$401,$U98)="","",INDEX('Per Invoice'!T$2:T$401,$U98)))</f>
        <v/>
      </c>
      <c r="U98" s="16">
        <f>IFERROR(MATCH(Settings!$C$26&amp;"|"&amp;ROWS($U$2:$U98),'Per Invoice'!$V$2:$V$401,0),"")</f>
        <v/>
      </c>
    </row>
    <row r="99">
      <c r="A99">
        <f>IF($U99="","",IF(INDEX('Per Invoice'!A$2:A$401,$U99)="","",INDEX('Per Invoice'!A$2:A$401,$U99)))</f>
        <v/>
      </c>
      <c r="B99">
        <f>IF($U99="","",IF(INDEX('Per Invoice'!B$2:B$401,$U99)="","",INDEX('Per Invoice'!B$2:B$401,$U99)))</f>
        <v/>
      </c>
      <c r="C99">
        <f>IF($U99="","",IF(INDEX('Per Invoice'!C$2:C$401,$U99)="","",INDEX('Per Invoice'!C$2:C$401,$U99)))</f>
        <v/>
      </c>
      <c r="D99">
        <f>IF($U99="","",IF(INDEX('Per Invoice'!D$2:D$401,$U99)="","",INDEX('Per Invoice'!D$2:D$401,$U99)))</f>
        <v/>
      </c>
      <c r="E99">
        <f>IF($U99="","",IF(INDEX('Per Invoice'!E$2:E$401,$U99)="","",INDEX('Per Invoice'!E$2:E$401,$U99)))</f>
        <v/>
      </c>
      <c r="F99">
        <f>IF($U99="","",IF(INDEX('Per Invoice'!F$2:F$401,$U99)="","",INDEX('Per Invoice'!F$2:F$401,$U99)))</f>
        <v/>
      </c>
      <c r="G99">
        <f>IF($U99="","",IF(INDEX('Per Invoice'!G$2:G$401,$U99)="","",INDEX('Per Invoice'!G$2:G$401,$U99)))</f>
        <v/>
      </c>
      <c r="H99" s="7">
        <f>IF($U99="","",IF(INDEX('Per Invoice'!H$2:H$401,$U99)="","",INDEX('Per Invoice'!H$2:H$401,$U99)))</f>
        <v/>
      </c>
      <c r="I99" s="14">
        <f>IF($U99="","",IF(INDEX('Per Invoice'!I$2:I$401,$U99)="","",INDEX('Per Invoice'!I$2:I$401,$U99)))</f>
        <v/>
      </c>
      <c r="J99">
        <f>IF($U99="","",IF(INDEX('Per Invoice'!J$2:J$401,$U99)="","",INDEX('Per Invoice'!J$2:J$401,$U99)))</f>
        <v/>
      </c>
      <c r="K99">
        <f>IF($U99="","",IF(INDEX('Per Invoice'!K$2:K$401,$U99)="","",INDEX('Per Invoice'!K$2:K$401,$U99)))</f>
        <v/>
      </c>
      <c r="L99" s="7">
        <f>IF($U99="","",IF(INDEX('Per Invoice'!L$2:L$401,$U99)="","",INDEX('Per Invoice'!L$2:L$401,$U99)))</f>
        <v/>
      </c>
      <c r="M99" s="7">
        <f>IF($U99="","",IF(INDEX('Per Invoice'!M$2:M$401,$U99)="","",INDEX('Per Invoice'!M$2:M$401,$U99)))</f>
        <v/>
      </c>
      <c r="N99">
        <f>IF($U99="","",IF(INDEX('Per Invoice'!N$2:N$401,$U99)="","",INDEX('Per Invoice'!N$2:N$401,$U99)))</f>
        <v/>
      </c>
      <c r="O99" s="7">
        <f>IF($U99="","",IF(INDEX('Per Invoice'!O$2:O$401,$U99)="","",INDEX('Per Invoice'!O$2:O$401,$U99)))</f>
        <v/>
      </c>
      <c r="P99" s="7">
        <f>IF($U99="","",IF(INDEX('Per Invoice'!P$2:P$401,$U99)="","",INDEX('Per Invoice'!P$2:P$401,$U99)))</f>
        <v/>
      </c>
      <c r="Q99" s="7">
        <f>IF($U99="","",IF(INDEX('Per Invoice'!Q$2:Q$401,$U99)="","",INDEX('Per Invoice'!Q$2:Q$401,$U99)))</f>
        <v/>
      </c>
      <c r="R99" s="7">
        <f>IF($U99="","",IF(INDEX('Per Invoice'!R$2:R$401,$U99)="","",INDEX('Per Invoice'!R$2:R$401,$U99)))</f>
        <v/>
      </c>
      <c r="S99" s="7">
        <f>IF($U99="","",IF(INDEX('Per Invoice'!S$2:S$401,$U99)="","",INDEX('Per Invoice'!S$2:S$401,$U99)))</f>
        <v/>
      </c>
      <c r="T99" s="7">
        <f>IF($U99="","",IF(INDEX('Per Invoice'!T$2:T$401,$U99)="","",INDEX('Per Invoice'!T$2:T$401,$U99)))</f>
        <v/>
      </c>
      <c r="U99" s="16">
        <f>IFERROR(MATCH(Settings!$C$26&amp;"|"&amp;ROWS($U$2:$U99),'Per Invoice'!$V$2:$V$401,0),"")</f>
        <v/>
      </c>
    </row>
    <row r="100">
      <c r="A100">
        <f>IF($U100="","",IF(INDEX('Per Invoice'!A$2:A$401,$U100)="","",INDEX('Per Invoice'!A$2:A$401,$U100)))</f>
        <v/>
      </c>
      <c r="B100">
        <f>IF($U100="","",IF(INDEX('Per Invoice'!B$2:B$401,$U100)="","",INDEX('Per Invoice'!B$2:B$401,$U100)))</f>
        <v/>
      </c>
      <c r="C100">
        <f>IF($U100="","",IF(INDEX('Per Invoice'!C$2:C$401,$U100)="","",INDEX('Per Invoice'!C$2:C$401,$U100)))</f>
        <v/>
      </c>
      <c r="D100">
        <f>IF($U100="","",IF(INDEX('Per Invoice'!D$2:D$401,$U100)="","",INDEX('Per Invoice'!D$2:D$401,$U100)))</f>
        <v/>
      </c>
      <c r="E100">
        <f>IF($U100="","",IF(INDEX('Per Invoice'!E$2:E$401,$U100)="","",INDEX('Per Invoice'!E$2:E$401,$U100)))</f>
        <v/>
      </c>
      <c r="F100">
        <f>IF($U100="","",IF(INDEX('Per Invoice'!F$2:F$401,$U100)="","",INDEX('Per Invoice'!F$2:F$401,$U100)))</f>
        <v/>
      </c>
      <c r="G100">
        <f>IF($U100="","",IF(INDEX('Per Invoice'!G$2:G$401,$U100)="","",INDEX('Per Invoice'!G$2:G$401,$U100)))</f>
        <v/>
      </c>
      <c r="H100" s="7">
        <f>IF($U100="","",IF(INDEX('Per Invoice'!H$2:H$401,$U100)="","",INDEX('Per Invoice'!H$2:H$401,$U100)))</f>
        <v/>
      </c>
      <c r="I100" s="14">
        <f>IF($U100="","",IF(INDEX('Per Invoice'!I$2:I$401,$U100)="","",INDEX('Per Invoice'!I$2:I$401,$U100)))</f>
        <v/>
      </c>
      <c r="J100">
        <f>IF($U100="","",IF(INDEX('Per Invoice'!J$2:J$401,$U100)="","",INDEX('Per Invoice'!J$2:J$401,$U100)))</f>
        <v/>
      </c>
      <c r="K100">
        <f>IF($U100="","",IF(INDEX('Per Invoice'!K$2:K$401,$U100)="","",INDEX('Per Invoice'!K$2:K$401,$U100)))</f>
        <v/>
      </c>
      <c r="L100" s="7">
        <f>IF($U100="","",IF(INDEX('Per Invoice'!L$2:L$401,$U100)="","",INDEX('Per Invoice'!L$2:L$401,$U100)))</f>
        <v/>
      </c>
      <c r="M100" s="7">
        <f>IF($U100="","",IF(INDEX('Per Invoice'!M$2:M$401,$U100)="","",INDEX('Per Invoice'!M$2:M$401,$U100)))</f>
        <v/>
      </c>
      <c r="N100">
        <f>IF($U100="","",IF(INDEX('Per Invoice'!N$2:N$401,$U100)="","",INDEX('Per Invoice'!N$2:N$401,$U100)))</f>
        <v/>
      </c>
      <c r="O100" s="7">
        <f>IF($U100="","",IF(INDEX('Per Invoice'!O$2:O$401,$U100)="","",INDEX('Per Invoice'!O$2:O$401,$U100)))</f>
        <v/>
      </c>
      <c r="P100" s="7">
        <f>IF($U100="","",IF(INDEX('Per Invoice'!P$2:P$401,$U100)="","",INDEX('Per Invoice'!P$2:P$401,$U100)))</f>
        <v/>
      </c>
      <c r="Q100" s="7">
        <f>IF($U100="","",IF(INDEX('Per Invoice'!Q$2:Q$401,$U100)="","",INDEX('Per Invoice'!Q$2:Q$401,$U100)))</f>
        <v/>
      </c>
      <c r="R100" s="7">
        <f>IF($U100="","",IF(INDEX('Per Invoice'!R$2:R$401,$U100)="","",INDEX('Per Invoice'!R$2:R$401,$U100)))</f>
        <v/>
      </c>
      <c r="S100" s="7">
        <f>IF($U100="","",IF(INDEX('Per Invoice'!S$2:S$401,$U100)="","",INDEX('Per Invoice'!S$2:S$401,$U100)))</f>
        <v/>
      </c>
      <c r="T100" s="7">
        <f>IF($U100="","",IF(INDEX('Per Invoice'!T$2:T$401,$U100)="","",INDEX('Per Invoice'!T$2:T$401,$U100)))</f>
        <v/>
      </c>
      <c r="U100" s="16">
        <f>IFERROR(MATCH(Settings!$C$26&amp;"|"&amp;ROWS($U$2:$U100),'Per Invoice'!$V$2:$V$401,0),"")</f>
        <v/>
      </c>
    </row>
    <row r="101">
      <c r="A101">
        <f>IF($U101="","",IF(INDEX('Per Invoice'!A$2:A$401,$U101)="","",INDEX('Per Invoice'!A$2:A$401,$U101)))</f>
        <v/>
      </c>
      <c r="B101">
        <f>IF($U101="","",IF(INDEX('Per Invoice'!B$2:B$401,$U101)="","",INDEX('Per Invoice'!B$2:B$401,$U101)))</f>
        <v/>
      </c>
      <c r="C101">
        <f>IF($U101="","",IF(INDEX('Per Invoice'!C$2:C$401,$U101)="","",INDEX('Per Invoice'!C$2:C$401,$U101)))</f>
        <v/>
      </c>
      <c r="D101">
        <f>IF($U101="","",IF(INDEX('Per Invoice'!D$2:D$401,$U101)="","",INDEX('Per Invoice'!D$2:D$401,$U101)))</f>
        <v/>
      </c>
      <c r="E101">
        <f>IF($U101="","",IF(INDEX('Per Invoice'!E$2:E$401,$U101)="","",INDEX('Per Invoice'!E$2:E$401,$U101)))</f>
        <v/>
      </c>
      <c r="F101">
        <f>IF($U101="","",IF(INDEX('Per Invoice'!F$2:F$401,$U101)="","",INDEX('Per Invoice'!F$2:F$401,$U101)))</f>
        <v/>
      </c>
      <c r="G101">
        <f>IF($U101="","",IF(INDEX('Per Invoice'!G$2:G$401,$U101)="","",INDEX('Per Invoice'!G$2:G$401,$U101)))</f>
        <v/>
      </c>
      <c r="H101" s="7">
        <f>IF($U101="","",IF(INDEX('Per Invoice'!H$2:H$401,$U101)="","",INDEX('Per Invoice'!H$2:H$401,$U101)))</f>
        <v/>
      </c>
      <c r="I101" s="14">
        <f>IF($U101="","",IF(INDEX('Per Invoice'!I$2:I$401,$U101)="","",INDEX('Per Invoice'!I$2:I$401,$U101)))</f>
        <v/>
      </c>
      <c r="J101">
        <f>IF($U101="","",IF(INDEX('Per Invoice'!J$2:J$401,$U101)="","",INDEX('Per Invoice'!J$2:J$401,$U101)))</f>
        <v/>
      </c>
      <c r="K101">
        <f>IF($U101="","",IF(INDEX('Per Invoice'!K$2:K$401,$U101)="","",INDEX('Per Invoice'!K$2:K$401,$U101)))</f>
        <v/>
      </c>
      <c r="L101" s="7">
        <f>IF($U101="","",IF(INDEX('Per Invoice'!L$2:L$401,$U101)="","",INDEX('Per Invoice'!L$2:L$401,$U101)))</f>
        <v/>
      </c>
      <c r="M101" s="7">
        <f>IF($U101="","",IF(INDEX('Per Invoice'!M$2:M$401,$U101)="","",INDEX('Per Invoice'!M$2:M$401,$U101)))</f>
        <v/>
      </c>
      <c r="N101">
        <f>IF($U101="","",IF(INDEX('Per Invoice'!N$2:N$401,$U101)="","",INDEX('Per Invoice'!N$2:N$401,$U101)))</f>
        <v/>
      </c>
      <c r="O101" s="7">
        <f>IF($U101="","",IF(INDEX('Per Invoice'!O$2:O$401,$U101)="","",INDEX('Per Invoice'!O$2:O$401,$U101)))</f>
        <v/>
      </c>
      <c r="P101" s="7">
        <f>IF($U101="","",IF(INDEX('Per Invoice'!P$2:P$401,$U101)="","",INDEX('Per Invoice'!P$2:P$401,$U101)))</f>
        <v/>
      </c>
      <c r="Q101" s="7">
        <f>IF($U101="","",IF(INDEX('Per Invoice'!Q$2:Q$401,$U101)="","",INDEX('Per Invoice'!Q$2:Q$401,$U101)))</f>
        <v/>
      </c>
      <c r="R101" s="7">
        <f>IF($U101="","",IF(INDEX('Per Invoice'!R$2:R$401,$U101)="","",INDEX('Per Invoice'!R$2:R$401,$U101)))</f>
        <v/>
      </c>
      <c r="S101" s="7">
        <f>IF($U101="","",IF(INDEX('Per Invoice'!S$2:S$401,$U101)="","",INDEX('Per Invoice'!S$2:S$401,$U101)))</f>
        <v/>
      </c>
      <c r="T101" s="7">
        <f>IF($U101="","",IF(INDEX('Per Invoice'!T$2:T$401,$U101)="","",INDEX('Per Invoice'!T$2:T$401,$U101)))</f>
        <v/>
      </c>
      <c r="U101" s="16">
        <f>IFERROR(MATCH(Settings!$C$26&amp;"|"&amp;ROWS($U$2:$U101),'Per Invoice'!$V$2:$V$401,0),"")</f>
        <v/>
      </c>
    </row>
    <row r="102">
      <c r="A102">
        <f>IF($U102="","",IF(INDEX('Per Invoice'!A$2:A$401,$U102)="","",INDEX('Per Invoice'!A$2:A$401,$U102)))</f>
        <v/>
      </c>
      <c r="B102">
        <f>IF($U102="","",IF(INDEX('Per Invoice'!B$2:B$401,$U102)="","",INDEX('Per Invoice'!B$2:B$401,$U102)))</f>
        <v/>
      </c>
      <c r="C102">
        <f>IF($U102="","",IF(INDEX('Per Invoice'!C$2:C$401,$U102)="","",INDEX('Per Invoice'!C$2:C$401,$U102)))</f>
        <v/>
      </c>
      <c r="D102">
        <f>IF($U102="","",IF(INDEX('Per Invoice'!D$2:D$401,$U102)="","",INDEX('Per Invoice'!D$2:D$401,$U102)))</f>
        <v/>
      </c>
      <c r="E102">
        <f>IF($U102="","",IF(INDEX('Per Invoice'!E$2:E$401,$U102)="","",INDEX('Per Invoice'!E$2:E$401,$U102)))</f>
        <v/>
      </c>
      <c r="F102">
        <f>IF($U102="","",IF(INDEX('Per Invoice'!F$2:F$401,$U102)="","",INDEX('Per Invoice'!F$2:F$401,$U102)))</f>
        <v/>
      </c>
      <c r="G102">
        <f>IF($U102="","",IF(INDEX('Per Invoice'!G$2:G$401,$U102)="","",INDEX('Per Invoice'!G$2:G$401,$U102)))</f>
        <v/>
      </c>
      <c r="H102" s="7">
        <f>IF($U102="","",IF(INDEX('Per Invoice'!H$2:H$401,$U102)="","",INDEX('Per Invoice'!H$2:H$401,$U102)))</f>
        <v/>
      </c>
      <c r="I102" s="14">
        <f>IF($U102="","",IF(INDEX('Per Invoice'!I$2:I$401,$U102)="","",INDEX('Per Invoice'!I$2:I$401,$U102)))</f>
        <v/>
      </c>
      <c r="J102">
        <f>IF($U102="","",IF(INDEX('Per Invoice'!J$2:J$401,$U102)="","",INDEX('Per Invoice'!J$2:J$401,$U102)))</f>
        <v/>
      </c>
      <c r="K102">
        <f>IF($U102="","",IF(INDEX('Per Invoice'!K$2:K$401,$U102)="","",INDEX('Per Invoice'!K$2:K$401,$U102)))</f>
        <v/>
      </c>
      <c r="L102" s="7">
        <f>IF($U102="","",IF(INDEX('Per Invoice'!L$2:L$401,$U102)="","",INDEX('Per Invoice'!L$2:L$401,$U102)))</f>
        <v/>
      </c>
      <c r="M102" s="7">
        <f>IF($U102="","",IF(INDEX('Per Invoice'!M$2:M$401,$U102)="","",INDEX('Per Invoice'!M$2:M$401,$U102)))</f>
        <v/>
      </c>
      <c r="N102">
        <f>IF($U102="","",IF(INDEX('Per Invoice'!N$2:N$401,$U102)="","",INDEX('Per Invoice'!N$2:N$401,$U102)))</f>
        <v/>
      </c>
      <c r="O102" s="7">
        <f>IF($U102="","",IF(INDEX('Per Invoice'!O$2:O$401,$U102)="","",INDEX('Per Invoice'!O$2:O$401,$U102)))</f>
        <v/>
      </c>
      <c r="P102" s="7">
        <f>IF($U102="","",IF(INDEX('Per Invoice'!P$2:P$401,$U102)="","",INDEX('Per Invoice'!P$2:P$401,$U102)))</f>
        <v/>
      </c>
      <c r="Q102" s="7">
        <f>IF($U102="","",IF(INDEX('Per Invoice'!Q$2:Q$401,$U102)="","",INDEX('Per Invoice'!Q$2:Q$401,$U102)))</f>
        <v/>
      </c>
      <c r="R102" s="7">
        <f>IF($U102="","",IF(INDEX('Per Invoice'!R$2:R$401,$U102)="","",INDEX('Per Invoice'!R$2:R$401,$U102)))</f>
        <v/>
      </c>
      <c r="S102" s="7">
        <f>IF($U102="","",IF(INDEX('Per Invoice'!S$2:S$401,$U102)="","",INDEX('Per Invoice'!S$2:S$401,$U102)))</f>
        <v/>
      </c>
      <c r="T102" s="7">
        <f>IF($U102="","",IF(INDEX('Per Invoice'!T$2:T$401,$U102)="","",INDEX('Per Invoice'!T$2:T$401,$U102)))</f>
        <v/>
      </c>
      <c r="U102" s="16">
        <f>IFERROR(MATCH(Settings!$C$26&amp;"|"&amp;ROWS($U$2:$U102),'Per Invoice'!$V$2:$V$401,0),"")</f>
        <v/>
      </c>
    </row>
    <row r="103">
      <c r="A103">
        <f>IF($U103="","",IF(INDEX('Per Invoice'!A$2:A$401,$U103)="","",INDEX('Per Invoice'!A$2:A$401,$U103)))</f>
        <v/>
      </c>
      <c r="B103">
        <f>IF($U103="","",IF(INDEX('Per Invoice'!B$2:B$401,$U103)="","",INDEX('Per Invoice'!B$2:B$401,$U103)))</f>
        <v/>
      </c>
      <c r="C103">
        <f>IF($U103="","",IF(INDEX('Per Invoice'!C$2:C$401,$U103)="","",INDEX('Per Invoice'!C$2:C$401,$U103)))</f>
        <v/>
      </c>
      <c r="D103">
        <f>IF($U103="","",IF(INDEX('Per Invoice'!D$2:D$401,$U103)="","",INDEX('Per Invoice'!D$2:D$401,$U103)))</f>
        <v/>
      </c>
      <c r="E103">
        <f>IF($U103="","",IF(INDEX('Per Invoice'!E$2:E$401,$U103)="","",INDEX('Per Invoice'!E$2:E$401,$U103)))</f>
        <v/>
      </c>
      <c r="F103">
        <f>IF($U103="","",IF(INDEX('Per Invoice'!F$2:F$401,$U103)="","",INDEX('Per Invoice'!F$2:F$401,$U103)))</f>
        <v/>
      </c>
      <c r="G103">
        <f>IF($U103="","",IF(INDEX('Per Invoice'!G$2:G$401,$U103)="","",INDEX('Per Invoice'!G$2:G$401,$U103)))</f>
        <v/>
      </c>
      <c r="H103" s="7">
        <f>IF($U103="","",IF(INDEX('Per Invoice'!H$2:H$401,$U103)="","",INDEX('Per Invoice'!H$2:H$401,$U103)))</f>
        <v/>
      </c>
      <c r="I103" s="14">
        <f>IF($U103="","",IF(INDEX('Per Invoice'!I$2:I$401,$U103)="","",INDEX('Per Invoice'!I$2:I$401,$U103)))</f>
        <v/>
      </c>
      <c r="J103">
        <f>IF($U103="","",IF(INDEX('Per Invoice'!J$2:J$401,$U103)="","",INDEX('Per Invoice'!J$2:J$401,$U103)))</f>
        <v/>
      </c>
      <c r="K103">
        <f>IF($U103="","",IF(INDEX('Per Invoice'!K$2:K$401,$U103)="","",INDEX('Per Invoice'!K$2:K$401,$U103)))</f>
        <v/>
      </c>
      <c r="L103" s="7">
        <f>IF($U103="","",IF(INDEX('Per Invoice'!L$2:L$401,$U103)="","",INDEX('Per Invoice'!L$2:L$401,$U103)))</f>
        <v/>
      </c>
      <c r="M103" s="7">
        <f>IF($U103="","",IF(INDEX('Per Invoice'!M$2:M$401,$U103)="","",INDEX('Per Invoice'!M$2:M$401,$U103)))</f>
        <v/>
      </c>
      <c r="N103">
        <f>IF($U103="","",IF(INDEX('Per Invoice'!N$2:N$401,$U103)="","",INDEX('Per Invoice'!N$2:N$401,$U103)))</f>
        <v/>
      </c>
      <c r="O103" s="7">
        <f>IF($U103="","",IF(INDEX('Per Invoice'!O$2:O$401,$U103)="","",INDEX('Per Invoice'!O$2:O$401,$U103)))</f>
        <v/>
      </c>
      <c r="P103" s="7">
        <f>IF($U103="","",IF(INDEX('Per Invoice'!P$2:P$401,$U103)="","",INDEX('Per Invoice'!P$2:P$401,$U103)))</f>
        <v/>
      </c>
      <c r="Q103" s="7">
        <f>IF($U103="","",IF(INDEX('Per Invoice'!Q$2:Q$401,$U103)="","",INDEX('Per Invoice'!Q$2:Q$401,$U103)))</f>
        <v/>
      </c>
      <c r="R103" s="7">
        <f>IF($U103="","",IF(INDEX('Per Invoice'!R$2:R$401,$U103)="","",INDEX('Per Invoice'!R$2:R$401,$U103)))</f>
        <v/>
      </c>
      <c r="S103" s="7">
        <f>IF($U103="","",IF(INDEX('Per Invoice'!S$2:S$401,$U103)="","",INDEX('Per Invoice'!S$2:S$401,$U103)))</f>
        <v/>
      </c>
      <c r="T103" s="7">
        <f>IF($U103="","",IF(INDEX('Per Invoice'!T$2:T$401,$U103)="","",INDEX('Per Invoice'!T$2:T$401,$U103)))</f>
        <v/>
      </c>
      <c r="U103" s="16">
        <f>IFERROR(MATCH(Settings!$C$26&amp;"|"&amp;ROWS($U$2:$U103),'Per Invoice'!$V$2:$V$401,0),"")</f>
        <v/>
      </c>
    </row>
    <row r="104">
      <c r="A104">
        <f>IF($U104="","",IF(INDEX('Per Invoice'!A$2:A$401,$U104)="","",INDEX('Per Invoice'!A$2:A$401,$U104)))</f>
        <v/>
      </c>
      <c r="B104">
        <f>IF($U104="","",IF(INDEX('Per Invoice'!B$2:B$401,$U104)="","",INDEX('Per Invoice'!B$2:B$401,$U104)))</f>
        <v/>
      </c>
      <c r="C104">
        <f>IF($U104="","",IF(INDEX('Per Invoice'!C$2:C$401,$U104)="","",INDEX('Per Invoice'!C$2:C$401,$U104)))</f>
        <v/>
      </c>
      <c r="D104">
        <f>IF($U104="","",IF(INDEX('Per Invoice'!D$2:D$401,$U104)="","",INDEX('Per Invoice'!D$2:D$401,$U104)))</f>
        <v/>
      </c>
      <c r="E104">
        <f>IF($U104="","",IF(INDEX('Per Invoice'!E$2:E$401,$U104)="","",INDEX('Per Invoice'!E$2:E$401,$U104)))</f>
        <v/>
      </c>
      <c r="F104">
        <f>IF($U104="","",IF(INDEX('Per Invoice'!F$2:F$401,$U104)="","",INDEX('Per Invoice'!F$2:F$401,$U104)))</f>
        <v/>
      </c>
      <c r="G104">
        <f>IF($U104="","",IF(INDEX('Per Invoice'!G$2:G$401,$U104)="","",INDEX('Per Invoice'!G$2:G$401,$U104)))</f>
        <v/>
      </c>
      <c r="H104" s="7">
        <f>IF($U104="","",IF(INDEX('Per Invoice'!H$2:H$401,$U104)="","",INDEX('Per Invoice'!H$2:H$401,$U104)))</f>
        <v/>
      </c>
      <c r="I104" s="14">
        <f>IF($U104="","",IF(INDEX('Per Invoice'!I$2:I$401,$U104)="","",INDEX('Per Invoice'!I$2:I$401,$U104)))</f>
        <v/>
      </c>
      <c r="J104">
        <f>IF($U104="","",IF(INDEX('Per Invoice'!J$2:J$401,$U104)="","",INDEX('Per Invoice'!J$2:J$401,$U104)))</f>
        <v/>
      </c>
      <c r="K104">
        <f>IF($U104="","",IF(INDEX('Per Invoice'!K$2:K$401,$U104)="","",INDEX('Per Invoice'!K$2:K$401,$U104)))</f>
        <v/>
      </c>
      <c r="L104" s="7">
        <f>IF($U104="","",IF(INDEX('Per Invoice'!L$2:L$401,$U104)="","",INDEX('Per Invoice'!L$2:L$401,$U104)))</f>
        <v/>
      </c>
      <c r="M104" s="7">
        <f>IF($U104="","",IF(INDEX('Per Invoice'!M$2:M$401,$U104)="","",INDEX('Per Invoice'!M$2:M$401,$U104)))</f>
        <v/>
      </c>
      <c r="N104">
        <f>IF($U104="","",IF(INDEX('Per Invoice'!N$2:N$401,$U104)="","",INDEX('Per Invoice'!N$2:N$401,$U104)))</f>
        <v/>
      </c>
      <c r="O104" s="7">
        <f>IF($U104="","",IF(INDEX('Per Invoice'!O$2:O$401,$U104)="","",INDEX('Per Invoice'!O$2:O$401,$U104)))</f>
        <v/>
      </c>
      <c r="P104" s="7">
        <f>IF($U104="","",IF(INDEX('Per Invoice'!P$2:P$401,$U104)="","",INDEX('Per Invoice'!P$2:P$401,$U104)))</f>
        <v/>
      </c>
      <c r="Q104" s="7">
        <f>IF($U104="","",IF(INDEX('Per Invoice'!Q$2:Q$401,$U104)="","",INDEX('Per Invoice'!Q$2:Q$401,$U104)))</f>
        <v/>
      </c>
      <c r="R104" s="7">
        <f>IF($U104="","",IF(INDEX('Per Invoice'!R$2:R$401,$U104)="","",INDEX('Per Invoice'!R$2:R$401,$U104)))</f>
        <v/>
      </c>
      <c r="S104" s="7">
        <f>IF($U104="","",IF(INDEX('Per Invoice'!S$2:S$401,$U104)="","",INDEX('Per Invoice'!S$2:S$401,$U104)))</f>
        <v/>
      </c>
      <c r="T104" s="7">
        <f>IF($U104="","",IF(INDEX('Per Invoice'!T$2:T$401,$U104)="","",INDEX('Per Invoice'!T$2:T$401,$U104)))</f>
        <v/>
      </c>
      <c r="U104" s="16">
        <f>IFERROR(MATCH(Settings!$C$26&amp;"|"&amp;ROWS($U$2:$U104),'Per Invoice'!$V$2:$V$401,0),"")</f>
        <v/>
      </c>
    </row>
    <row r="105">
      <c r="A105">
        <f>IF($U105="","",IF(INDEX('Per Invoice'!A$2:A$401,$U105)="","",INDEX('Per Invoice'!A$2:A$401,$U105)))</f>
        <v/>
      </c>
      <c r="B105">
        <f>IF($U105="","",IF(INDEX('Per Invoice'!B$2:B$401,$U105)="","",INDEX('Per Invoice'!B$2:B$401,$U105)))</f>
        <v/>
      </c>
      <c r="C105">
        <f>IF($U105="","",IF(INDEX('Per Invoice'!C$2:C$401,$U105)="","",INDEX('Per Invoice'!C$2:C$401,$U105)))</f>
        <v/>
      </c>
      <c r="D105">
        <f>IF($U105="","",IF(INDEX('Per Invoice'!D$2:D$401,$U105)="","",INDEX('Per Invoice'!D$2:D$401,$U105)))</f>
        <v/>
      </c>
      <c r="E105">
        <f>IF($U105="","",IF(INDEX('Per Invoice'!E$2:E$401,$U105)="","",INDEX('Per Invoice'!E$2:E$401,$U105)))</f>
        <v/>
      </c>
      <c r="F105">
        <f>IF($U105="","",IF(INDEX('Per Invoice'!F$2:F$401,$U105)="","",INDEX('Per Invoice'!F$2:F$401,$U105)))</f>
        <v/>
      </c>
      <c r="G105">
        <f>IF($U105="","",IF(INDEX('Per Invoice'!G$2:G$401,$U105)="","",INDEX('Per Invoice'!G$2:G$401,$U105)))</f>
        <v/>
      </c>
      <c r="H105" s="7">
        <f>IF($U105="","",IF(INDEX('Per Invoice'!H$2:H$401,$U105)="","",INDEX('Per Invoice'!H$2:H$401,$U105)))</f>
        <v/>
      </c>
      <c r="I105" s="14">
        <f>IF($U105="","",IF(INDEX('Per Invoice'!I$2:I$401,$U105)="","",INDEX('Per Invoice'!I$2:I$401,$U105)))</f>
        <v/>
      </c>
      <c r="J105">
        <f>IF($U105="","",IF(INDEX('Per Invoice'!J$2:J$401,$U105)="","",INDEX('Per Invoice'!J$2:J$401,$U105)))</f>
        <v/>
      </c>
      <c r="K105">
        <f>IF($U105="","",IF(INDEX('Per Invoice'!K$2:K$401,$U105)="","",INDEX('Per Invoice'!K$2:K$401,$U105)))</f>
        <v/>
      </c>
      <c r="L105" s="7">
        <f>IF($U105="","",IF(INDEX('Per Invoice'!L$2:L$401,$U105)="","",INDEX('Per Invoice'!L$2:L$401,$U105)))</f>
        <v/>
      </c>
      <c r="M105" s="7">
        <f>IF($U105="","",IF(INDEX('Per Invoice'!M$2:M$401,$U105)="","",INDEX('Per Invoice'!M$2:M$401,$U105)))</f>
        <v/>
      </c>
      <c r="N105">
        <f>IF($U105="","",IF(INDEX('Per Invoice'!N$2:N$401,$U105)="","",INDEX('Per Invoice'!N$2:N$401,$U105)))</f>
        <v/>
      </c>
      <c r="O105" s="7">
        <f>IF($U105="","",IF(INDEX('Per Invoice'!O$2:O$401,$U105)="","",INDEX('Per Invoice'!O$2:O$401,$U105)))</f>
        <v/>
      </c>
      <c r="P105" s="7">
        <f>IF($U105="","",IF(INDEX('Per Invoice'!P$2:P$401,$U105)="","",INDEX('Per Invoice'!P$2:P$401,$U105)))</f>
        <v/>
      </c>
      <c r="Q105" s="7">
        <f>IF($U105="","",IF(INDEX('Per Invoice'!Q$2:Q$401,$U105)="","",INDEX('Per Invoice'!Q$2:Q$401,$U105)))</f>
        <v/>
      </c>
      <c r="R105" s="7">
        <f>IF($U105="","",IF(INDEX('Per Invoice'!R$2:R$401,$U105)="","",INDEX('Per Invoice'!R$2:R$401,$U105)))</f>
        <v/>
      </c>
      <c r="S105" s="7">
        <f>IF($U105="","",IF(INDEX('Per Invoice'!S$2:S$401,$U105)="","",INDEX('Per Invoice'!S$2:S$401,$U105)))</f>
        <v/>
      </c>
      <c r="T105" s="7">
        <f>IF($U105="","",IF(INDEX('Per Invoice'!T$2:T$401,$U105)="","",INDEX('Per Invoice'!T$2:T$401,$U105)))</f>
        <v/>
      </c>
      <c r="U105" s="16">
        <f>IFERROR(MATCH(Settings!$C$26&amp;"|"&amp;ROWS($U$2:$U105),'Per Invoice'!$V$2:$V$401,0),"")</f>
        <v/>
      </c>
    </row>
    <row r="106">
      <c r="A106">
        <f>IF($U106="","",IF(INDEX('Per Invoice'!A$2:A$401,$U106)="","",INDEX('Per Invoice'!A$2:A$401,$U106)))</f>
        <v/>
      </c>
      <c r="B106">
        <f>IF($U106="","",IF(INDEX('Per Invoice'!B$2:B$401,$U106)="","",INDEX('Per Invoice'!B$2:B$401,$U106)))</f>
        <v/>
      </c>
      <c r="C106">
        <f>IF($U106="","",IF(INDEX('Per Invoice'!C$2:C$401,$U106)="","",INDEX('Per Invoice'!C$2:C$401,$U106)))</f>
        <v/>
      </c>
      <c r="D106">
        <f>IF($U106="","",IF(INDEX('Per Invoice'!D$2:D$401,$U106)="","",INDEX('Per Invoice'!D$2:D$401,$U106)))</f>
        <v/>
      </c>
      <c r="E106">
        <f>IF($U106="","",IF(INDEX('Per Invoice'!E$2:E$401,$U106)="","",INDEX('Per Invoice'!E$2:E$401,$U106)))</f>
        <v/>
      </c>
      <c r="F106">
        <f>IF($U106="","",IF(INDEX('Per Invoice'!F$2:F$401,$U106)="","",INDEX('Per Invoice'!F$2:F$401,$U106)))</f>
        <v/>
      </c>
      <c r="G106">
        <f>IF($U106="","",IF(INDEX('Per Invoice'!G$2:G$401,$U106)="","",INDEX('Per Invoice'!G$2:G$401,$U106)))</f>
        <v/>
      </c>
      <c r="H106" s="7">
        <f>IF($U106="","",IF(INDEX('Per Invoice'!H$2:H$401,$U106)="","",INDEX('Per Invoice'!H$2:H$401,$U106)))</f>
        <v/>
      </c>
      <c r="I106" s="14">
        <f>IF($U106="","",IF(INDEX('Per Invoice'!I$2:I$401,$U106)="","",INDEX('Per Invoice'!I$2:I$401,$U106)))</f>
        <v/>
      </c>
      <c r="J106">
        <f>IF($U106="","",IF(INDEX('Per Invoice'!J$2:J$401,$U106)="","",INDEX('Per Invoice'!J$2:J$401,$U106)))</f>
        <v/>
      </c>
      <c r="K106">
        <f>IF($U106="","",IF(INDEX('Per Invoice'!K$2:K$401,$U106)="","",INDEX('Per Invoice'!K$2:K$401,$U106)))</f>
        <v/>
      </c>
      <c r="L106" s="7">
        <f>IF($U106="","",IF(INDEX('Per Invoice'!L$2:L$401,$U106)="","",INDEX('Per Invoice'!L$2:L$401,$U106)))</f>
        <v/>
      </c>
      <c r="M106" s="7">
        <f>IF($U106="","",IF(INDEX('Per Invoice'!M$2:M$401,$U106)="","",INDEX('Per Invoice'!M$2:M$401,$U106)))</f>
        <v/>
      </c>
      <c r="N106">
        <f>IF($U106="","",IF(INDEX('Per Invoice'!N$2:N$401,$U106)="","",INDEX('Per Invoice'!N$2:N$401,$U106)))</f>
        <v/>
      </c>
      <c r="O106" s="7">
        <f>IF($U106="","",IF(INDEX('Per Invoice'!O$2:O$401,$U106)="","",INDEX('Per Invoice'!O$2:O$401,$U106)))</f>
        <v/>
      </c>
      <c r="P106" s="7">
        <f>IF($U106="","",IF(INDEX('Per Invoice'!P$2:P$401,$U106)="","",INDEX('Per Invoice'!P$2:P$401,$U106)))</f>
        <v/>
      </c>
      <c r="Q106" s="7">
        <f>IF($U106="","",IF(INDEX('Per Invoice'!Q$2:Q$401,$U106)="","",INDEX('Per Invoice'!Q$2:Q$401,$U106)))</f>
        <v/>
      </c>
      <c r="R106" s="7">
        <f>IF($U106="","",IF(INDEX('Per Invoice'!R$2:R$401,$U106)="","",INDEX('Per Invoice'!R$2:R$401,$U106)))</f>
        <v/>
      </c>
      <c r="S106" s="7">
        <f>IF($U106="","",IF(INDEX('Per Invoice'!S$2:S$401,$U106)="","",INDEX('Per Invoice'!S$2:S$401,$U106)))</f>
        <v/>
      </c>
      <c r="T106" s="7">
        <f>IF($U106="","",IF(INDEX('Per Invoice'!T$2:T$401,$U106)="","",INDEX('Per Invoice'!T$2:T$401,$U106)))</f>
        <v/>
      </c>
      <c r="U106" s="16">
        <f>IFERROR(MATCH(Settings!$C$26&amp;"|"&amp;ROWS($U$2:$U106),'Per Invoice'!$V$2:$V$401,0),"")</f>
        <v/>
      </c>
    </row>
    <row r="107">
      <c r="A107">
        <f>IF($U107="","",IF(INDEX('Per Invoice'!A$2:A$401,$U107)="","",INDEX('Per Invoice'!A$2:A$401,$U107)))</f>
        <v/>
      </c>
      <c r="B107">
        <f>IF($U107="","",IF(INDEX('Per Invoice'!B$2:B$401,$U107)="","",INDEX('Per Invoice'!B$2:B$401,$U107)))</f>
        <v/>
      </c>
      <c r="C107">
        <f>IF($U107="","",IF(INDEX('Per Invoice'!C$2:C$401,$U107)="","",INDEX('Per Invoice'!C$2:C$401,$U107)))</f>
        <v/>
      </c>
      <c r="D107">
        <f>IF($U107="","",IF(INDEX('Per Invoice'!D$2:D$401,$U107)="","",INDEX('Per Invoice'!D$2:D$401,$U107)))</f>
        <v/>
      </c>
      <c r="E107">
        <f>IF($U107="","",IF(INDEX('Per Invoice'!E$2:E$401,$U107)="","",INDEX('Per Invoice'!E$2:E$401,$U107)))</f>
        <v/>
      </c>
      <c r="F107">
        <f>IF($U107="","",IF(INDEX('Per Invoice'!F$2:F$401,$U107)="","",INDEX('Per Invoice'!F$2:F$401,$U107)))</f>
        <v/>
      </c>
      <c r="G107">
        <f>IF($U107="","",IF(INDEX('Per Invoice'!G$2:G$401,$U107)="","",INDEX('Per Invoice'!G$2:G$401,$U107)))</f>
        <v/>
      </c>
      <c r="H107" s="7">
        <f>IF($U107="","",IF(INDEX('Per Invoice'!H$2:H$401,$U107)="","",INDEX('Per Invoice'!H$2:H$401,$U107)))</f>
        <v/>
      </c>
      <c r="I107" s="14">
        <f>IF($U107="","",IF(INDEX('Per Invoice'!I$2:I$401,$U107)="","",INDEX('Per Invoice'!I$2:I$401,$U107)))</f>
        <v/>
      </c>
      <c r="J107">
        <f>IF($U107="","",IF(INDEX('Per Invoice'!J$2:J$401,$U107)="","",INDEX('Per Invoice'!J$2:J$401,$U107)))</f>
        <v/>
      </c>
      <c r="K107">
        <f>IF($U107="","",IF(INDEX('Per Invoice'!K$2:K$401,$U107)="","",INDEX('Per Invoice'!K$2:K$401,$U107)))</f>
        <v/>
      </c>
      <c r="L107" s="7">
        <f>IF($U107="","",IF(INDEX('Per Invoice'!L$2:L$401,$U107)="","",INDEX('Per Invoice'!L$2:L$401,$U107)))</f>
        <v/>
      </c>
      <c r="M107" s="7">
        <f>IF($U107="","",IF(INDEX('Per Invoice'!M$2:M$401,$U107)="","",INDEX('Per Invoice'!M$2:M$401,$U107)))</f>
        <v/>
      </c>
      <c r="N107">
        <f>IF($U107="","",IF(INDEX('Per Invoice'!N$2:N$401,$U107)="","",INDEX('Per Invoice'!N$2:N$401,$U107)))</f>
        <v/>
      </c>
      <c r="O107" s="7">
        <f>IF($U107="","",IF(INDEX('Per Invoice'!O$2:O$401,$U107)="","",INDEX('Per Invoice'!O$2:O$401,$U107)))</f>
        <v/>
      </c>
      <c r="P107" s="7">
        <f>IF($U107="","",IF(INDEX('Per Invoice'!P$2:P$401,$U107)="","",INDEX('Per Invoice'!P$2:P$401,$U107)))</f>
        <v/>
      </c>
      <c r="Q107" s="7">
        <f>IF($U107="","",IF(INDEX('Per Invoice'!Q$2:Q$401,$U107)="","",INDEX('Per Invoice'!Q$2:Q$401,$U107)))</f>
        <v/>
      </c>
      <c r="R107" s="7">
        <f>IF($U107="","",IF(INDEX('Per Invoice'!R$2:R$401,$U107)="","",INDEX('Per Invoice'!R$2:R$401,$U107)))</f>
        <v/>
      </c>
      <c r="S107" s="7">
        <f>IF($U107="","",IF(INDEX('Per Invoice'!S$2:S$401,$U107)="","",INDEX('Per Invoice'!S$2:S$401,$U107)))</f>
        <v/>
      </c>
      <c r="T107" s="7">
        <f>IF($U107="","",IF(INDEX('Per Invoice'!T$2:T$401,$U107)="","",INDEX('Per Invoice'!T$2:T$401,$U107)))</f>
        <v/>
      </c>
      <c r="U107" s="16">
        <f>IFERROR(MATCH(Settings!$C$26&amp;"|"&amp;ROWS($U$2:$U107),'Per Invoice'!$V$2:$V$401,0),"")</f>
        <v/>
      </c>
    </row>
    <row r="108">
      <c r="A108">
        <f>IF($U108="","",IF(INDEX('Per Invoice'!A$2:A$401,$U108)="","",INDEX('Per Invoice'!A$2:A$401,$U108)))</f>
        <v/>
      </c>
      <c r="B108">
        <f>IF($U108="","",IF(INDEX('Per Invoice'!B$2:B$401,$U108)="","",INDEX('Per Invoice'!B$2:B$401,$U108)))</f>
        <v/>
      </c>
      <c r="C108">
        <f>IF($U108="","",IF(INDEX('Per Invoice'!C$2:C$401,$U108)="","",INDEX('Per Invoice'!C$2:C$401,$U108)))</f>
        <v/>
      </c>
      <c r="D108">
        <f>IF($U108="","",IF(INDEX('Per Invoice'!D$2:D$401,$U108)="","",INDEX('Per Invoice'!D$2:D$401,$U108)))</f>
        <v/>
      </c>
      <c r="E108">
        <f>IF($U108="","",IF(INDEX('Per Invoice'!E$2:E$401,$U108)="","",INDEX('Per Invoice'!E$2:E$401,$U108)))</f>
        <v/>
      </c>
      <c r="F108">
        <f>IF($U108="","",IF(INDEX('Per Invoice'!F$2:F$401,$U108)="","",INDEX('Per Invoice'!F$2:F$401,$U108)))</f>
        <v/>
      </c>
      <c r="G108">
        <f>IF($U108="","",IF(INDEX('Per Invoice'!G$2:G$401,$U108)="","",INDEX('Per Invoice'!G$2:G$401,$U108)))</f>
        <v/>
      </c>
      <c r="H108" s="7">
        <f>IF($U108="","",IF(INDEX('Per Invoice'!H$2:H$401,$U108)="","",INDEX('Per Invoice'!H$2:H$401,$U108)))</f>
        <v/>
      </c>
      <c r="I108" s="14">
        <f>IF($U108="","",IF(INDEX('Per Invoice'!I$2:I$401,$U108)="","",INDEX('Per Invoice'!I$2:I$401,$U108)))</f>
        <v/>
      </c>
      <c r="J108">
        <f>IF($U108="","",IF(INDEX('Per Invoice'!J$2:J$401,$U108)="","",INDEX('Per Invoice'!J$2:J$401,$U108)))</f>
        <v/>
      </c>
      <c r="K108">
        <f>IF($U108="","",IF(INDEX('Per Invoice'!K$2:K$401,$U108)="","",INDEX('Per Invoice'!K$2:K$401,$U108)))</f>
        <v/>
      </c>
      <c r="L108" s="7">
        <f>IF($U108="","",IF(INDEX('Per Invoice'!L$2:L$401,$U108)="","",INDEX('Per Invoice'!L$2:L$401,$U108)))</f>
        <v/>
      </c>
      <c r="M108" s="7">
        <f>IF($U108="","",IF(INDEX('Per Invoice'!M$2:M$401,$U108)="","",INDEX('Per Invoice'!M$2:M$401,$U108)))</f>
        <v/>
      </c>
      <c r="N108">
        <f>IF($U108="","",IF(INDEX('Per Invoice'!N$2:N$401,$U108)="","",INDEX('Per Invoice'!N$2:N$401,$U108)))</f>
        <v/>
      </c>
      <c r="O108" s="7">
        <f>IF($U108="","",IF(INDEX('Per Invoice'!O$2:O$401,$U108)="","",INDEX('Per Invoice'!O$2:O$401,$U108)))</f>
        <v/>
      </c>
      <c r="P108" s="7">
        <f>IF($U108="","",IF(INDEX('Per Invoice'!P$2:P$401,$U108)="","",INDEX('Per Invoice'!P$2:P$401,$U108)))</f>
        <v/>
      </c>
      <c r="Q108" s="7">
        <f>IF($U108="","",IF(INDEX('Per Invoice'!Q$2:Q$401,$U108)="","",INDEX('Per Invoice'!Q$2:Q$401,$U108)))</f>
        <v/>
      </c>
      <c r="R108" s="7">
        <f>IF($U108="","",IF(INDEX('Per Invoice'!R$2:R$401,$U108)="","",INDEX('Per Invoice'!R$2:R$401,$U108)))</f>
        <v/>
      </c>
      <c r="S108" s="7">
        <f>IF($U108="","",IF(INDEX('Per Invoice'!S$2:S$401,$U108)="","",INDEX('Per Invoice'!S$2:S$401,$U108)))</f>
        <v/>
      </c>
      <c r="T108" s="7">
        <f>IF($U108="","",IF(INDEX('Per Invoice'!T$2:T$401,$U108)="","",INDEX('Per Invoice'!T$2:T$401,$U108)))</f>
        <v/>
      </c>
      <c r="U108" s="16">
        <f>IFERROR(MATCH(Settings!$C$26&amp;"|"&amp;ROWS($U$2:$U108),'Per Invoice'!$V$2:$V$401,0),"")</f>
        <v/>
      </c>
    </row>
    <row r="109">
      <c r="A109">
        <f>IF($U109="","",IF(INDEX('Per Invoice'!A$2:A$401,$U109)="","",INDEX('Per Invoice'!A$2:A$401,$U109)))</f>
        <v/>
      </c>
      <c r="B109">
        <f>IF($U109="","",IF(INDEX('Per Invoice'!B$2:B$401,$U109)="","",INDEX('Per Invoice'!B$2:B$401,$U109)))</f>
        <v/>
      </c>
      <c r="C109">
        <f>IF($U109="","",IF(INDEX('Per Invoice'!C$2:C$401,$U109)="","",INDEX('Per Invoice'!C$2:C$401,$U109)))</f>
        <v/>
      </c>
      <c r="D109">
        <f>IF($U109="","",IF(INDEX('Per Invoice'!D$2:D$401,$U109)="","",INDEX('Per Invoice'!D$2:D$401,$U109)))</f>
        <v/>
      </c>
      <c r="E109">
        <f>IF($U109="","",IF(INDEX('Per Invoice'!E$2:E$401,$U109)="","",INDEX('Per Invoice'!E$2:E$401,$U109)))</f>
        <v/>
      </c>
      <c r="F109">
        <f>IF($U109="","",IF(INDEX('Per Invoice'!F$2:F$401,$U109)="","",INDEX('Per Invoice'!F$2:F$401,$U109)))</f>
        <v/>
      </c>
      <c r="G109">
        <f>IF($U109="","",IF(INDEX('Per Invoice'!G$2:G$401,$U109)="","",INDEX('Per Invoice'!G$2:G$401,$U109)))</f>
        <v/>
      </c>
      <c r="H109" s="7">
        <f>IF($U109="","",IF(INDEX('Per Invoice'!H$2:H$401,$U109)="","",INDEX('Per Invoice'!H$2:H$401,$U109)))</f>
        <v/>
      </c>
      <c r="I109" s="14">
        <f>IF($U109="","",IF(INDEX('Per Invoice'!I$2:I$401,$U109)="","",INDEX('Per Invoice'!I$2:I$401,$U109)))</f>
        <v/>
      </c>
      <c r="J109">
        <f>IF($U109="","",IF(INDEX('Per Invoice'!J$2:J$401,$U109)="","",INDEX('Per Invoice'!J$2:J$401,$U109)))</f>
        <v/>
      </c>
      <c r="K109">
        <f>IF($U109="","",IF(INDEX('Per Invoice'!K$2:K$401,$U109)="","",INDEX('Per Invoice'!K$2:K$401,$U109)))</f>
        <v/>
      </c>
      <c r="L109" s="7">
        <f>IF($U109="","",IF(INDEX('Per Invoice'!L$2:L$401,$U109)="","",INDEX('Per Invoice'!L$2:L$401,$U109)))</f>
        <v/>
      </c>
      <c r="M109" s="7">
        <f>IF($U109="","",IF(INDEX('Per Invoice'!M$2:M$401,$U109)="","",INDEX('Per Invoice'!M$2:M$401,$U109)))</f>
        <v/>
      </c>
      <c r="N109">
        <f>IF($U109="","",IF(INDEX('Per Invoice'!N$2:N$401,$U109)="","",INDEX('Per Invoice'!N$2:N$401,$U109)))</f>
        <v/>
      </c>
      <c r="O109" s="7">
        <f>IF($U109="","",IF(INDEX('Per Invoice'!O$2:O$401,$U109)="","",INDEX('Per Invoice'!O$2:O$401,$U109)))</f>
        <v/>
      </c>
      <c r="P109" s="7">
        <f>IF($U109="","",IF(INDEX('Per Invoice'!P$2:P$401,$U109)="","",INDEX('Per Invoice'!P$2:P$401,$U109)))</f>
        <v/>
      </c>
      <c r="Q109" s="7">
        <f>IF($U109="","",IF(INDEX('Per Invoice'!Q$2:Q$401,$U109)="","",INDEX('Per Invoice'!Q$2:Q$401,$U109)))</f>
        <v/>
      </c>
      <c r="R109" s="7">
        <f>IF($U109="","",IF(INDEX('Per Invoice'!R$2:R$401,$U109)="","",INDEX('Per Invoice'!R$2:R$401,$U109)))</f>
        <v/>
      </c>
      <c r="S109" s="7">
        <f>IF($U109="","",IF(INDEX('Per Invoice'!S$2:S$401,$U109)="","",INDEX('Per Invoice'!S$2:S$401,$U109)))</f>
        <v/>
      </c>
      <c r="T109" s="7">
        <f>IF($U109="","",IF(INDEX('Per Invoice'!T$2:T$401,$U109)="","",INDEX('Per Invoice'!T$2:T$401,$U109)))</f>
        <v/>
      </c>
      <c r="U109" s="16">
        <f>IFERROR(MATCH(Settings!$C$26&amp;"|"&amp;ROWS($U$2:$U109),'Per Invoice'!$V$2:$V$401,0),"")</f>
        <v/>
      </c>
    </row>
    <row r="110">
      <c r="A110">
        <f>IF($U110="","",IF(INDEX('Per Invoice'!A$2:A$401,$U110)="","",INDEX('Per Invoice'!A$2:A$401,$U110)))</f>
        <v/>
      </c>
      <c r="B110">
        <f>IF($U110="","",IF(INDEX('Per Invoice'!B$2:B$401,$U110)="","",INDEX('Per Invoice'!B$2:B$401,$U110)))</f>
        <v/>
      </c>
      <c r="C110">
        <f>IF($U110="","",IF(INDEX('Per Invoice'!C$2:C$401,$U110)="","",INDEX('Per Invoice'!C$2:C$401,$U110)))</f>
        <v/>
      </c>
      <c r="D110">
        <f>IF($U110="","",IF(INDEX('Per Invoice'!D$2:D$401,$U110)="","",INDEX('Per Invoice'!D$2:D$401,$U110)))</f>
        <v/>
      </c>
      <c r="E110">
        <f>IF($U110="","",IF(INDEX('Per Invoice'!E$2:E$401,$U110)="","",INDEX('Per Invoice'!E$2:E$401,$U110)))</f>
        <v/>
      </c>
      <c r="F110">
        <f>IF($U110="","",IF(INDEX('Per Invoice'!F$2:F$401,$U110)="","",INDEX('Per Invoice'!F$2:F$401,$U110)))</f>
        <v/>
      </c>
      <c r="G110">
        <f>IF($U110="","",IF(INDEX('Per Invoice'!G$2:G$401,$U110)="","",INDEX('Per Invoice'!G$2:G$401,$U110)))</f>
        <v/>
      </c>
      <c r="H110" s="7">
        <f>IF($U110="","",IF(INDEX('Per Invoice'!H$2:H$401,$U110)="","",INDEX('Per Invoice'!H$2:H$401,$U110)))</f>
        <v/>
      </c>
      <c r="I110" s="14">
        <f>IF($U110="","",IF(INDEX('Per Invoice'!I$2:I$401,$U110)="","",INDEX('Per Invoice'!I$2:I$401,$U110)))</f>
        <v/>
      </c>
      <c r="J110">
        <f>IF($U110="","",IF(INDEX('Per Invoice'!J$2:J$401,$U110)="","",INDEX('Per Invoice'!J$2:J$401,$U110)))</f>
        <v/>
      </c>
      <c r="K110">
        <f>IF($U110="","",IF(INDEX('Per Invoice'!K$2:K$401,$U110)="","",INDEX('Per Invoice'!K$2:K$401,$U110)))</f>
        <v/>
      </c>
      <c r="L110" s="7">
        <f>IF($U110="","",IF(INDEX('Per Invoice'!L$2:L$401,$U110)="","",INDEX('Per Invoice'!L$2:L$401,$U110)))</f>
        <v/>
      </c>
      <c r="M110" s="7">
        <f>IF($U110="","",IF(INDEX('Per Invoice'!M$2:M$401,$U110)="","",INDEX('Per Invoice'!M$2:M$401,$U110)))</f>
        <v/>
      </c>
      <c r="N110">
        <f>IF($U110="","",IF(INDEX('Per Invoice'!N$2:N$401,$U110)="","",INDEX('Per Invoice'!N$2:N$401,$U110)))</f>
        <v/>
      </c>
      <c r="O110" s="7">
        <f>IF($U110="","",IF(INDEX('Per Invoice'!O$2:O$401,$U110)="","",INDEX('Per Invoice'!O$2:O$401,$U110)))</f>
        <v/>
      </c>
      <c r="P110" s="7">
        <f>IF($U110="","",IF(INDEX('Per Invoice'!P$2:P$401,$U110)="","",INDEX('Per Invoice'!P$2:P$401,$U110)))</f>
        <v/>
      </c>
      <c r="Q110" s="7">
        <f>IF($U110="","",IF(INDEX('Per Invoice'!Q$2:Q$401,$U110)="","",INDEX('Per Invoice'!Q$2:Q$401,$U110)))</f>
        <v/>
      </c>
      <c r="R110" s="7">
        <f>IF($U110="","",IF(INDEX('Per Invoice'!R$2:R$401,$U110)="","",INDEX('Per Invoice'!R$2:R$401,$U110)))</f>
        <v/>
      </c>
      <c r="S110" s="7">
        <f>IF($U110="","",IF(INDEX('Per Invoice'!S$2:S$401,$U110)="","",INDEX('Per Invoice'!S$2:S$401,$U110)))</f>
        <v/>
      </c>
      <c r="T110" s="7">
        <f>IF($U110="","",IF(INDEX('Per Invoice'!T$2:T$401,$U110)="","",INDEX('Per Invoice'!T$2:T$401,$U110)))</f>
        <v/>
      </c>
      <c r="U110" s="16">
        <f>IFERROR(MATCH(Settings!$C$26&amp;"|"&amp;ROWS($U$2:$U110),'Per Invoice'!$V$2:$V$401,0),"")</f>
        <v/>
      </c>
    </row>
    <row r="111">
      <c r="A111">
        <f>IF($U111="","",IF(INDEX('Per Invoice'!A$2:A$401,$U111)="","",INDEX('Per Invoice'!A$2:A$401,$U111)))</f>
        <v/>
      </c>
      <c r="B111">
        <f>IF($U111="","",IF(INDEX('Per Invoice'!B$2:B$401,$U111)="","",INDEX('Per Invoice'!B$2:B$401,$U111)))</f>
        <v/>
      </c>
      <c r="C111">
        <f>IF($U111="","",IF(INDEX('Per Invoice'!C$2:C$401,$U111)="","",INDEX('Per Invoice'!C$2:C$401,$U111)))</f>
        <v/>
      </c>
      <c r="D111">
        <f>IF($U111="","",IF(INDEX('Per Invoice'!D$2:D$401,$U111)="","",INDEX('Per Invoice'!D$2:D$401,$U111)))</f>
        <v/>
      </c>
      <c r="E111">
        <f>IF($U111="","",IF(INDEX('Per Invoice'!E$2:E$401,$U111)="","",INDEX('Per Invoice'!E$2:E$401,$U111)))</f>
        <v/>
      </c>
      <c r="F111">
        <f>IF($U111="","",IF(INDEX('Per Invoice'!F$2:F$401,$U111)="","",INDEX('Per Invoice'!F$2:F$401,$U111)))</f>
        <v/>
      </c>
      <c r="G111">
        <f>IF($U111="","",IF(INDEX('Per Invoice'!G$2:G$401,$U111)="","",INDEX('Per Invoice'!G$2:G$401,$U111)))</f>
        <v/>
      </c>
      <c r="H111" s="7">
        <f>IF($U111="","",IF(INDEX('Per Invoice'!H$2:H$401,$U111)="","",INDEX('Per Invoice'!H$2:H$401,$U111)))</f>
        <v/>
      </c>
      <c r="I111" s="14">
        <f>IF($U111="","",IF(INDEX('Per Invoice'!I$2:I$401,$U111)="","",INDEX('Per Invoice'!I$2:I$401,$U111)))</f>
        <v/>
      </c>
      <c r="J111">
        <f>IF($U111="","",IF(INDEX('Per Invoice'!J$2:J$401,$U111)="","",INDEX('Per Invoice'!J$2:J$401,$U111)))</f>
        <v/>
      </c>
      <c r="K111">
        <f>IF($U111="","",IF(INDEX('Per Invoice'!K$2:K$401,$U111)="","",INDEX('Per Invoice'!K$2:K$401,$U111)))</f>
        <v/>
      </c>
      <c r="L111" s="7">
        <f>IF($U111="","",IF(INDEX('Per Invoice'!L$2:L$401,$U111)="","",INDEX('Per Invoice'!L$2:L$401,$U111)))</f>
        <v/>
      </c>
      <c r="M111" s="7">
        <f>IF($U111="","",IF(INDEX('Per Invoice'!M$2:M$401,$U111)="","",INDEX('Per Invoice'!M$2:M$401,$U111)))</f>
        <v/>
      </c>
      <c r="N111">
        <f>IF($U111="","",IF(INDEX('Per Invoice'!N$2:N$401,$U111)="","",INDEX('Per Invoice'!N$2:N$401,$U111)))</f>
        <v/>
      </c>
      <c r="O111" s="7">
        <f>IF($U111="","",IF(INDEX('Per Invoice'!O$2:O$401,$U111)="","",INDEX('Per Invoice'!O$2:O$401,$U111)))</f>
        <v/>
      </c>
      <c r="P111" s="7">
        <f>IF($U111="","",IF(INDEX('Per Invoice'!P$2:P$401,$U111)="","",INDEX('Per Invoice'!P$2:P$401,$U111)))</f>
        <v/>
      </c>
      <c r="Q111" s="7">
        <f>IF($U111="","",IF(INDEX('Per Invoice'!Q$2:Q$401,$U111)="","",INDEX('Per Invoice'!Q$2:Q$401,$U111)))</f>
        <v/>
      </c>
      <c r="R111" s="7">
        <f>IF($U111="","",IF(INDEX('Per Invoice'!R$2:R$401,$U111)="","",INDEX('Per Invoice'!R$2:R$401,$U111)))</f>
        <v/>
      </c>
      <c r="S111" s="7">
        <f>IF($U111="","",IF(INDEX('Per Invoice'!S$2:S$401,$U111)="","",INDEX('Per Invoice'!S$2:S$401,$U111)))</f>
        <v/>
      </c>
      <c r="T111" s="7">
        <f>IF($U111="","",IF(INDEX('Per Invoice'!T$2:T$401,$U111)="","",INDEX('Per Invoice'!T$2:T$401,$U111)))</f>
        <v/>
      </c>
      <c r="U111" s="16">
        <f>IFERROR(MATCH(Settings!$C$26&amp;"|"&amp;ROWS($U$2:$U111),'Per Invoice'!$V$2:$V$401,0),"")</f>
        <v/>
      </c>
    </row>
    <row r="112">
      <c r="A112">
        <f>IF($U112="","",IF(INDEX('Per Invoice'!A$2:A$401,$U112)="","",INDEX('Per Invoice'!A$2:A$401,$U112)))</f>
        <v/>
      </c>
      <c r="B112">
        <f>IF($U112="","",IF(INDEX('Per Invoice'!B$2:B$401,$U112)="","",INDEX('Per Invoice'!B$2:B$401,$U112)))</f>
        <v/>
      </c>
      <c r="C112">
        <f>IF($U112="","",IF(INDEX('Per Invoice'!C$2:C$401,$U112)="","",INDEX('Per Invoice'!C$2:C$401,$U112)))</f>
        <v/>
      </c>
      <c r="D112">
        <f>IF($U112="","",IF(INDEX('Per Invoice'!D$2:D$401,$U112)="","",INDEX('Per Invoice'!D$2:D$401,$U112)))</f>
        <v/>
      </c>
      <c r="E112">
        <f>IF($U112="","",IF(INDEX('Per Invoice'!E$2:E$401,$U112)="","",INDEX('Per Invoice'!E$2:E$401,$U112)))</f>
        <v/>
      </c>
      <c r="F112">
        <f>IF($U112="","",IF(INDEX('Per Invoice'!F$2:F$401,$U112)="","",INDEX('Per Invoice'!F$2:F$401,$U112)))</f>
        <v/>
      </c>
      <c r="G112">
        <f>IF($U112="","",IF(INDEX('Per Invoice'!G$2:G$401,$U112)="","",INDEX('Per Invoice'!G$2:G$401,$U112)))</f>
        <v/>
      </c>
      <c r="H112" s="7">
        <f>IF($U112="","",IF(INDEX('Per Invoice'!H$2:H$401,$U112)="","",INDEX('Per Invoice'!H$2:H$401,$U112)))</f>
        <v/>
      </c>
      <c r="I112" s="14">
        <f>IF($U112="","",IF(INDEX('Per Invoice'!I$2:I$401,$U112)="","",INDEX('Per Invoice'!I$2:I$401,$U112)))</f>
        <v/>
      </c>
      <c r="J112">
        <f>IF($U112="","",IF(INDEX('Per Invoice'!J$2:J$401,$U112)="","",INDEX('Per Invoice'!J$2:J$401,$U112)))</f>
        <v/>
      </c>
      <c r="K112">
        <f>IF($U112="","",IF(INDEX('Per Invoice'!K$2:K$401,$U112)="","",INDEX('Per Invoice'!K$2:K$401,$U112)))</f>
        <v/>
      </c>
      <c r="L112" s="7">
        <f>IF($U112="","",IF(INDEX('Per Invoice'!L$2:L$401,$U112)="","",INDEX('Per Invoice'!L$2:L$401,$U112)))</f>
        <v/>
      </c>
      <c r="M112" s="7">
        <f>IF($U112="","",IF(INDEX('Per Invoice'!M$2:M$401,$U112)="","",INDEX('Per Invoice'!M$2:M$401,$U112)))</f>
        <v/>
      </c>
      <c r="N112">
        <f>IF($U112="","",IF(INDEX('Per Invoice'!N$2:N$401,$U112)="","",INDEX('Per Invoice'!N$2:N$401,$U112)))</f>
        <v/>
      </c>
      <c r="O112" s="7">
        <f>IF($U112="","",IF(INDEX('Per Invoice'!O$2:O$401,$U112)="","",INDEX('Per Invoice'!O$2:O$401,$U112)))</f>
        <v/>
      </c>
      <c r="P112" s="7">
        <f>IF($U112="","",IF(INDEX('Per Invoice'!P$2:P$401,$U112)="","",INDEX('Per Invoice'!P$2:P$401,$U112)))</f>
        <v/>
      </c>
      <c r="Q112" s="7">
        <f>IF($U112="","",IF(INDEX('Per Invoice'!Q$2:Q$401,$U112)="","",INDEX('Per Invoice'!Q$2:Q$401,$U112)))</f>
        <v/>
      </c>
      <c r="R112" s="7">
        <f>IF($U112="","",IF(INDEX('Per Invoice'!R$2:R$401,$U112)="","",INDEX('Per Invoice'!R$2:R$401,$U112)))</f>
        <v/>
      </c>
      <c r="S112" s="7">
        <f>IF($U112="","",IF(INDEX('Per Invoice'!S$2:S$401,$U112)="","",INDEX('Per Invoice'!S$2:S$401,$U112)))</f>
        <v/>
      </c>
      <c r="T112" s="7">
        <f>IF($U112="","",IF(INDEX('Per Invoice'!T$2:T$401,$U112)="","",INDEX('Per Invoice'!T$2:T$401,$U112)))</f>
        <v/>
      </c>
      <c r="U112" s="16">
        <f>IFERROR(MATCH(Settings!$C$26&amp;"|"&amp;ROWS($U$2:$U112),'Per Invoice'!$V$2:$V$401,0),"")</f>
        <v/>
      </c>
    </row>
    <row r="113">
      <c r="A113">
        <f>IF($U113="","",IF(INDEX('Per Invoice'!A$2:A$401,$U113)="","",INDEX('Per Invoice'!A$2:A$401,$U113)))</f>
        <v/>
      </c>
      <c r="B113">
        <f>IF($U113="","",IF(INDEX('Per Invoice'!B$2:B$401,$U113)="","",INDEX('Per Invoice'!B$2:B$401,$U113)))</f>
        <v/>
      </c>
      <c r="C113">
        <f>IF($U113="","",IF(INDEX('Per Invoice'!C$2:C$401,$U113)="","",INDEX('Per Invoice'!C$2:C$401,$U113)))</f>
        <v/>
      </c>
      <c r="D113">
        <f>IF($U113="","",IF(INDEX('Per Invoice'!D$2:D$401,$U113)="","",INDEX('Per Invoice'!D$2:D$401,$U113)))</f>
        <v/>
      </c>
      <c r="E113">
        <f>IF($U113="","",IF(INDEX('Per Invoice'!E$2:E$401,$U113)="","",INDEX('Per Invoice'!E$2:E$401,$U113)))</f>
        <v/>
      </c>
      <c r="F113">
        <f>IF($U113="","",IF(INDEX('Per Invoice'!F$2:F$401,$U113)="","",INDEX('Per Invoice'!F$2:F$401,$U113)))</f>
        <v/>
      </c>
      <c r="G113">
        <f>IF($U113="","",IF(INDEX('Per Invoice'!G$2:G$401,$U113)="","",INDEX('Per Invoice'!G$2:G$401,$U113)))</f>
        <v/>
      </c>
      <c r="H113" s="7">
        <f>IF($U113="","",IF(INDEX('Per Invoice'!H$2:H$401,$U113)="","",INDEX('Per Invoice'!H$2:H$401,$U113)))</f>
        <v/>
      </c>
      <c r="I113" s="14">
        <f>IF($U113="","",IF(INDEX('Per Invoice'!I$2:I$401,$U113)="","",INDEX('Per Invoice'!I$2:I$401,$U113)))</f>
        <v/>
      </c>
      <c r="J113">
        <f>IF($U113="","",IF(INDEX('Per Invoice'!J$2:J$401,$U113)="","",INDEX('Per Invoice'!J$2:J$401,$U113)))</f>
        <v/>
      </c>
      <c r="K113">
        <f>IF($U113="","",IF(INDEX('Per Invoice'!K$2:K$401,$U113)="","",INDEX('Per Invoice'!K$2:K$401,$U113)))</f>
        <v/>
      </c>
      <c r="L113" s="7">
        <f>IF($U113="","",IF(INDEX('Per Invoice'!L$2:L$401,$U113)="","",INDEX('Per Invoice'!L$2:L$401,$U113)))</f>
        <v/>
      </c>
      <c r="M113" s="7">
        <f>IF($U113="","",IF(INDEX('Per Invoice'!M$2:M$401,$U113)="","",INDEX('Per Invoice'!M$2:M$401,$U113)))</f>
        <v/>
      </c>
      <c r="N113">
        <f>IF($U113="","",IF(INDEX('Per Invoice'!N$2:N$401,$U113)="","",INDEX('Per Invoice'!N$2:N$401,$U113)))</f>
        <v/>
      </c>
      <c r="O113" s="7">
        <f>IF($U113="","",IF(INDEX('Per Invoice'!O$2:O$401,$U113)="","",INDEX('Per Invoice'!O$2:O$401,$U113)))</f>
        <v/>
      </c>
      <c r="P113" s="7">
        <f>IF($U113="","",IF(INDEX('Per Invoice'!P$2:P$401,$U113)="","",INDEX('Per Invoice'!P$2:P$401,$U113)))</f>
        <v/>
      </c>
      <c r="Q113" s="7">
        <f>IF($U113="","",IF(INDEX('Per Invoice'!Q$2:Q$401,$U113)="","",INDEX('Per Invoice'!Q$2:Q$401,$U113)))</f>
        <v/>
      </c>
      <c r="R113" s="7">
        <f>IF($U113="","",IF(INDEX('Per Invoice'!R$2:R$401,$U113)="","",INDEX('Per Invoice'!R$2:R$401,$U113)))</f>
        <v/>
      </c>
      <c r="S113" s="7">
        <f>IF($U113="","",IF(INDEX('Per Invoice'!S$2:S$401,$U113)="","",INDEX('Per Invoice'!S$2:S$401,$U113)))</f>
        <v/>
      </c>
      <c r="T113" s="7">
        <f>IF($U113="","",IF(INDEX('Per Invoice'!T$2:T$401,$U113)="","",INDEX('Per Invoice'!T$2:T$401,$U113)))</f>
        <v/>
      </c>
      <c r="U113" s="16">
        <f>IFERROR(MATCH(Settings!$C$26&amp;"|"&amp;ROWS($U$2:$U113),'Per Invoice'!$V$2:$V$401,0),"")</f>
        <v/>
      </c>
    </row>
    <row r="114">
      <c r="A114">
        <f>IF($U114="","",IF(INDEX('Per Invoice'!A$2:A$401,$U114)="","",INDEX('Per Invoice'!A$2:A$401,$U114)))</f>
        <v/>
      </c>
      <c r="B114">
        <f>IF($U114="","",IF(INDEX('Per Invoice'!B$2:B$401,$U114)="","",INDEX('Per Invoice'!B$2:B$401,$U114)))</f>
        <v/>
      </c>
      <c r="C114">
        <f>IF($U114="","",IF(INDEX('Per Invoice'!C$2:C$401,$U114)="","",INDEX('Per Invoice'!C$2:C$401,$U114)))</f>
        <v/>
      </c>
      <c r="D114">
        <f>IF($U114="","",IF(INDEX('Per Invoice'!D$2:D$401,$U114)="","",INDEX('Per Invoice'!D$2:D$401,$U114)))</f>
        <v/>
      </c>
      <c r="E114">
        <f>IF($U114="","",IF(INDEX('Per Invoice'!E$2:E$401,$U114)="","",INDEX('Per Invoice'!E$2:E$401,$U114)))</f>
        <v/>
      </c>
      <c r="F114">
        <f>IF($U114="","",IF(INDEX('Per Invoice'!F$2:F$401,$U114)="","",INDEX('Per Invoice'!F$2:F$401,$U114)))</f>
        <v/>
      </c>
      <c r="G114">
        <f>IF($U114="","",IF(INDEX('Per Invoice'!G$2:G$401,$U114)="","",INDEX('Per Invoice'!G$2:G$401,$U114)))</f>
        <v/>
      </c>
      <c r="H114" s="7">
        <f>IF($U114="","",IF(INDEX('Per Invoice'!H$2:H$401,$U114)="","",INDEX('Per Invoice'!H$2:H$401,$U114)))</f>
        <v/>
      </c>
      <c r="I114" s="14">
        <f>IF($U114="","",IF(INDEX('Per Invoice'!I$2:I$401,$U114)="","",INDEX('Per Invoice'!I$2:I$401,$U114)))</f>
        <v/>
      </c>
      <c r="J114">
        <f>IF($U114="","",IF(INDEX('Per Invoice'!J$2:J$401,$U114)="","",INDEX('Per Invoice'!J$2:J$401,$U114)))</f>
        <v/>
      </c>
      <c r="K114">
        <f>IF($U114="","",IF(INDEX('Per Invoice'!K$2:K$401,$U114)="","",INDEX('Per Invoice'!K$2:K$401,$U114)))</f>
        <v/>
      </c>
      <c r="L114" s="7">
        <f>IF($U114="","",IF(INDEX('Per Invoice'!L$2:L$401,$U114)="","",INDEX('Per Invoice'!L$2:L$401,$U114)))</f>
        <v/>
      </c>
      <c r="M114" s="7">
        <f>IF($U114="","",IF(INDEX('Per Invoice'!M$2:M$401,$U114)="","",INDEX('Per Invoice'!M$2:M$401,$U114)))</f>
        <v/>
      </c>
      <c r="N114">
        <f>IF($U114="","",IF(INDEX('Per Invoice'!N$2:N$401,$U114)="","",INDEX('Per Invoice'!N$2:N$401,$U114)))</f>
        <v/>
      </c>
      <c r="O114" s="7">
        <f>IF($U114="","",IF(INDEX('Per Invoice'!O$2:O$401,$U114)="","",INDEX('Per Invoice'!O$2:O$401,$U114)))</f>
        <v/>
      </c>
      <c r="P114" s="7">
        <f>IF($U114="","",IF(INDEX('Per Invoice'!P$2:P$401,$U114)="","",INDEX('Per Invoice'!P$2:P$401,$U114)))</f>
        <v/>
      </c>
      <c r="Q114" s="7">
        <f>IF($U114="","",IF(INDEX('Per Invoice'!Q$2:Q$401,$U114)="","",INDEX('Per Invoice'!Q$2:Q$401,$U114)))</f>
        <v/>
      </c>
      <c r="R114" s="7">
        <f>IF($U114="","",IF(INDEX('Per Invoice'!R$2:R$401,$U114)="","",INDEX('Per Invoice'!R$2:R$401,$U114)))</f>
        <v/>
      </c>
      <c r="S114" s="7">
        <f>IF($U114="","",IF(INDEX('Per Invoice'!S$2:S$401,$U114)="","",INDEX('Per Invoice'!S$2:S$401,$U114)))</f>
        <v/>
      </c>
      <c r="T114" s="7">
        <f>IF($U114="","",IF(INDEX('Per Invoice'!T$2:T$401,$U114)="","",INDEX('Per Invoice'!T$2:T$401,$U114)))</f>
        <v/>
      </c>
      <c r="U114" s="16">
        <f>IFERROR(MATCH(Settings!$C$26&amp;"|"&amp;ROWS($U$2:$U114),'Per Invoice'!$V$2:$V$401,0),"")</f>
        <v/>
      </c>
    </row>
    <row r="115">
      <c r="A115">
        <f>IF($U115="","",IF(INDEX('Per Invoice'!A$2:A$401,$U115)="","",INDEX('Per Invoice'!A$2:A$401,$U115)))</f>
        <v/>
      </c>
      <c r="B115">
        <f>IF($U115="","",IF(INDEX('Per Invoice'!B$2:B$401,$U115)="","",INDEX('Per Invoice'!B$2:B$401,$U115)))</f>
        <v/>
      </c>
      <c r="C115">
        <f>IF($U115="","",IF(INDEX('Per Invoice'!C$2:C$401,$U115)="","",INDEX('Per Invoice'!C$2:C$401,$U115)))</f>
        <v/>
      </c>
      <c r="D115">
        <f>IF($U115="","",IF(INDEX('Per Invoice'!D$2:D$401,$U115)="","",INDEX('Per Invoice'!D$2:D$401,$U115)))</f>
        <v/>
      </c>
      <c r="E115">
        <f>IF($U115="","",IF(INDEX('Per Invoice'!E$2:E$401,$U115)="","",INDEX('Per Invoice'!E$2:E$401,$U115)))</f>
        <v/>
      </c>
      <c r="F115">
        <f>IF($U115="","",IF(INDEX('Per Invoice'!F$2:F$401,$U115)="","",INDEX('Per Invoice'!F$2:F$401,$U115)))</f>
        <v/>
      </c>
      <c r="G115">
        <f>IF($U115="","",IF(INDEX('Per Invoice'!G$2:G$401,$U115)="","",INDEX('Per Invoice'!G$2:G$401,$U115)))</f>
        <v/>
      </c>
      <c r="H115" s="7">
        <f>IF($U115="","",IF(INDEX('Per Invoice'!H$2:H$401,$U115)="","",INDEX('Per Invoice'!H$2:H$401,$U115)))</f>
        <v/>
      </c>
      <c r="I115" s="14">
        <f>IF($U115="","",IF(INDEX('Per Invoice'!I$2:I$401,$U115)="","",INDEX('Per Invoice'!I$2:I$401,$U115)))</f>
        <v/>
      </c>
      <c r="J115">
        <f>IF($U115="","",IF(INDEX('Per Invoice'!J$2:J$401,$U115)="","",INDEX('Per Invoice'!J$2:J$401,$U115)))</f>
        <v/>
      </c>
      <c r="K115">
        <f>IF($U115="","",IF(INDEX('Per Invoice'!K$2:K$401,$U115)="","",INDEX('Per Invoice'!K$2:K$401,$U115)))</f>
        <v/>
      </c>
      <c r="L115" s="7">
        <f>IF($U115="","",IF(INDEX('Per Invoice'!L$2:L$401,$U115)="","",INDEX('Per Invoice'!L$2:L$401,$U115)))</f>
        <v/>
      </c>
      <c r="M115" s="7">
        <f>IF($U115="","",IF(INDEX('Per Invoice'!M$2:M$401,$U115)="","",INDEX('Per Invoice'!M$2:M$401,$U115)))</f>
        <v/>
      </c>
      <c r="N115">
        <f>IF($U115="","",IF(INDEX('Per Invoice'!N$2:N$401,$U115)="","",INDEX('Per Invoice'!N$2:N$401,$U115)))</f>
        <v/>
      </c>
      <c r="O115" s="7">
        <f>IF($U115="","",IF(INDEX('Per Invoice'!O$2:O$401,$U115)="","",INDEX('Per Invoice'!O$2:O$401,$U115)))</f>
        <v/>
      </c>
      <c r="P115" s="7">
        <f>IF($U115="","",IF(INDEX('Per Invoice'!P$2:P$401,$U115)="","",INDEX('Per Invoice'!P$2:P$401,$U115)))</f>
        <v/>
      </c>
      <c r="Q115" s="7">
        <f>IF($U115="","",IF(INDEX('Per Invoice'!Q$2:Q$401,$U115)="","",INDEX('Per Invoice'!Q$2:Q$401,$U115)))</f>
        <v/>
      </c>
      <c r="R115" s="7">
        <f>IF($U115="","",IF(INDEX('Per Invoice'!R$2:R$401,$U115)="","",INDEX('Per Invoice'!R$2:R$401,$U115)))</f>
        <v/>
      </c>
      <c r="S115" s="7">
        <f>IF($U115="","",IF(INDEX('Per Invoice'!S$2:S$401,$U115)="","",INDEX('Per Invoice'!S$2:S$401,$U115)))</f>
        <v/>
      </c>
      <c r="T115" s="7">
        <f>IF($U115="","",IF(INDEX('Per Invoice'!T$2:T$401,$U115)="","",INDEX('Per Invoice'!T$2:T$401,$U115)))</f>
        <v/>
      </c>
      <c r="U115" s="16">
        <f>IFERROR(MATCH(Settings!$C$26&amp;"|"&amp;ROWS($U$2:$U115),'Per Invoice'!$V$2:$V$401,0),"")</f>
        <v/>
      </c>
    </row>
    <row r="116">
      <c r="A116">
        <f>IF($U116="","",IF(INDEX('Per Invoice'!A$2:A$401,$U116)="","",INDEX('Per Invoice'!A$2:A$401,$U116)))</f>
        <v/>
      </c>
      <c r="B116">
        <f>IF($U116="","",IF(INDEX('Per Invoice'!B$2:B$401,$U116)="","",INDEX('Per Invoice'!B$2:B$401,$U116)))</f>
        <v/>
      </c>
      <c r="C116">
        <f>IF($U116="","",IF(INDEX('Per Invoice'!C$2:C$401,$U116)="","",INDEX('Per Invoice'!C$2:C$401,$U116)))</f>
        <v/>
      </c>
      <c r="D116">
        <f>IF($U116="","",IF(INDEX('Per Invoice'!D$2:D$401,$U116)="","",INDEX('Per Invoice'!D$2:D$401,$U116)))</f>
        <v/>
      </c>
      <c r="E116">
        <f>IF($U116="","",IF(INDEX('Per Invoice'!E$2:E$401,$U116)="","",INDEX('Per Invoice'!E$2:E$401,$U116)))</f>
        <v/>
      </c>
      <c r="F116">
        <f>IF($U116="","",IF(INDEX('Per Invoice'!F$2:F$401,$U116)="","",INDEX('Per Invoice'!F$2:F$401,$U116)))</f>
        <v/>
      </c>
      <c r="G116">
        <f>IF($U116="","",IF(INDEX('Per Invoice'!G$2:G$401,$U116)="","",INDEX('Per Invoice'!G$2:G$401,$U116)))</f>
        <v/>
      </c>
      <c r="H116" s="7">
        <f>IF($U116="","",IF(INDEX('Per Invoice'!H$2:H$401,$U116)="","",INDEX('Per Invoice'!H$2:H$401,$U116)))</f>
        <v/>
      </c>
      <c r="I116" s="14">
        <f>IF($U116="","",IF(INDEX('Per Invoice'!I$2:I$401,$U116)="","",INDEX('Per Invoice'!I$2:I$401,$U116)))</f>
        <v/>
      </c>
      <c r="J116">
        <f>IF($U116="","",IF(INDEX('Per Invoice'!J$2:J$401,$U116)="","",INDEX('Per Invoice'!J$2:J$401,$U116)))</f>
        <v/>
      </c>
      <c r="K116">
        <f>IF($U116="","",IF(INDEX('Per Invoice'!K$2:K$401,$U116)="","",INDEX('Per Invoice'!K$2:K$401,$U116)))</f>
        <v/>
      </c>
      <c r="L116" s="7">
        <f>IF($U116="","",IF(INDEX('Per Invoice'!L$2:L$401,$U116)="","",INDEX('Per Invoice'!L$2:L$401,$U116)))</f>
        <v/>
      </c>
      <c r="M116" s="7">
        <f>IF($U116="","",IF(INDEX('Per Invoice'!M$2:M$401,$U116)="","",INDEX('Per Invoice'!M$2:M$401,$U116)))</f>
        <v/>
      </c>
      <c r="N116">
        <f>IF($U116="","",IF(INDEX('Per Invoice'!N$2:N$401,$U116)="","",INDEX('Per Invoice'!N$2:N$401,$U116)))</f>
        <v/>
      </c>
      <c r="O116" s="7">
        <f>IF($U116="","",IF(INDEX('Per Invoice'!O$2:O$401,$U116)="","",INDEX('Per Invoice'!O$2:O$401,$U116)))</f>
        <v/>
      </c>
      <c r="P116" s="7">
        <f>IF($U116="","",IF(INDEX('Per Invoice'!P$2:P$401,$U116)="","",INDEX('Per Invoice'!P$2:P$401,$U116)))</f>
        <v/>
      </c>
      <c r="Q116" s="7">
        <f>IF($U116="","",IF(INDEX('Per Invoice'!Q$2:Q$401,$U116)="","",INDEX('Per Invoice'!Q$2:Q$401,$U116)))</f>
        <v/>
      </c>
      <c r="R116" s="7">
        <f>IF($U116="","",IF(INDEX('Per Invoice'!R$2:R$401,$U116)="","",INDEX('Per Invoice'!R$2:R$401,$U116)))</f>
        <v/>
      </c>
      <c r="S116" s="7">
        <f>IF($U116="","",IF(INDEX('Per Invoice'!S$2:S$401,$U116)="","",INDEX('Per Invoice'!S$2:S$401,$U116)))</f>
        <v/>
      </c>
      <c r="T116" s="7">
        <f>IF($U116="","",IF(INDEX('Per Invoice'!T$2:T$401,$U116)="","",INDEX('Per Invoice'!T$2:T$401,$U116)))</f>
        <v/>
      </c>
      <c r="U116" s="16">
        <f>IFERROR(MATCH(Settings!$C$26&amp;"|"&amp;ROWS($U$2:$U116),'Per Invoice'!$V$2:$V$401,0),"")</f>
        <v/>
      </c>
    </row>
    <row r="117">
      <c r="A117">
        <f>IF($U117="","",IF(INDEX('Per Invoice'!A$2:A$401,$U117)="","",INDEX('Per Invoice'!A$2:A$401,$U117)))</f>
        <v/>
      </c>
      <c r="B117">
        <f>IF($U117="","",IF(INDEX('Per Invoice'!B$2:B$401,$U117)="","",INDEX('Per Invoice'!B$2:B$401,$U117)))</f>
        <v/>
      </c>
      <c r="C117">
        <f>IF($U117="","",IF(INDEX('Per Invoice'!C$2:C$401,$U117)="","",INDEX('Per Invoice'!C$2:C$401,$U117)))</f>
        <v/>
      </c>
      <c r="D117">
        <f>IF($U117="","",IF(INDEX('Per Invoice'!D$2:D$401,$U117)="","",INDEX('Per Invoice'!D$2:D$401,$U117)))</f>
        <v/>
      </c>
      <c r="E117">
        <f>IF($U117="","",IF(INDEX('Per Invoice'!E$2:E$401,$U117)="","",INDEX('Per Invoice'!E$2:E$401,$U117)))</f>
        <v/>
      </c>
      <c r="F117">
        <f>IF($U117="","",IF(INDEX('Per Invoice'!F$2:F$401,$U117)="","",INDEX('Per Invoice'!F$2:F$401,$U117)))</f>
        <v/>
      </c>
      <c r="G117">
        <f>IF($U117="","",IF(INDEX('Per Invoice'!G$2:G$401,$U117)="","",INDEX('Per Invoice'!G$2:G$401,$U117)))</f>
        <v/>
      </c>
      <c r="H117" s="7">
        <f>IF($U117="","",IF(INDEX('Per Invoice'!H$2:H$401,$U117)="","",INDEX('Per Invoice'!H$2:H$401,$U117)))</f>
        <v/>
      </c>
      <c r="I117" s="14">
        <f>IF($U117="","",IF(INDEX('Per Invoice'!I$2:I$401,$U117)="","",INDEX('Per Invoice'!I$2:I$401,$U117)))</f>
        <v/>
      </c>
      <c r="J117">
        <f>IF($U117="","",IF(INDEX('Per Invoice'!J$2:J$401,$U117)="","",INDEX('Per Invoice'!J$2:J$401,$U117)))</f>
        <v/>
      </c>
      <c r="K117">
        <f>IF($U117="","",IF(INDEX('Per Invoice'!K$2:K$401,$U117)="","",INDEX('Per Invoice'!K$2:K$401,$U117)))</f>
        <v/>
      </c>
      <c r="L117" s="7">
        <f>IF($U117="","",IF(INDEX('Per Invoice'!L$2:L$401,$U117)="","",INDEX('Per Invoice'!L$2:L$401,$U117)))</f>
        <v/>
      </c>
      <c r="M117" s="7">
        <f>IF($U117="","",IF(INDEX('Per Invoice'!M$2:M$401,$U117)="","",INDEX('Per Invoice'!M$2:M$401,$U117)))</f>
        <v/>
      </c>
      <c r="N117">
        <f>IF($U117="","",IF(INDEX('Per Invoice'!N$2:N$401,$U117)="","",INDEX('Per Invoice'!N$2:N$401,$U117)))</f>
        <v/>
      </c>
      <c r="O117" s="7">
        <f>IF($U117="","",IF(INDEX('Per Invoice'!O$2:O$401,$U117)="","",INDEX('Per Invoice'!O$2:O$401,$U117)))</f>
        <v/>
      </c>
      <c r="P117" s="7">
        <f>IF($U117="","",IF(INDEX('Per Invoice'!P$2:P$401,$U117)="","",INDEX('Per Invoice'!P$2:P$401,$U117)))</f>
        <v/>
      </c>
      <c r="Q117" s="7">
        <f>IF($U117="","",IF(INDEX('Per Invoice'!Q$2:Q$401,$U117)="","",INDEX('Per Invoice'!Q$2:Q$401,$U117)))</f>
        <v/>
      </c>
      <c r="R117" s="7">
        <f>IF($U117="","",IF(INDEX('Per Invoice'!R$2:R$401,$U117)="","",INDEX('Per Invoice'!R$2:R$401,$U117)))</f>
        <v/>
      </c>
      <c r="S117" s="7">
        <f>IF($U117="","",IF(INDEX('Per Invoice'!S$2:S$401,$U117)="","",INDEX('Per Invoice'!S$2:S$401,$U117)))</f>
        <v/>
      </c>
      <c r="T117" s="7">
        <f>IF($U117="","",IF(INDEX('Per Invoice'!T$2:T$401,$U117)="","",INDEX('Per Invoice'!T$2:T$401,$U117)))</f>
        <v/>
      </c>
      <c r="U117" s="16">
        <f>IFERROR(MATCH(Settings!$C$26&amp;"|"&amp;ROWS($U$2:$U117),'Per Invoice'!$V$2:$V$401,0),"")</f>
        <v/>
      </c>
    </row>
    <row r="118">
      <c r="A118">
        <f>IF($U118="","",IF(INDEX('Per Invoice'!A$2:A$401,$U118)="","",INDEX('Per Invoice'!A$2:A$401,$U118)))</f>
        <v/>
      </c>
      <c r="B118">
        <f>IF($U118="","",IF(INDEX('Per Invoice'!B$2:B$401,$U118)="","",INDEX('Per Invoice'!B$2:B$401,$U118)))</f>
        <v/>
      </c>
      <c r="C118">
        <f>IF($U118="","",IF(INDEX('Per Invoice'!C$2:C$401,$U118)="","",INDEX('Per Invoice'!C$2:C$401,$U118)))</f>
        <v/>
      </c>
      <c r="D118">
        <f>IF($U118="","",IF(INDEX('Per Invoice'!D$2:D$401,$U118)="","",INDEX('Per Invoice'!D$2:D$401,$U118)))</f>
        <v/>
      </c>
      <c r="E118">
        <f>IF($U118="","",IF(INDEX('Per Invoice'!E$2:E$401,$U118)="","",INDEX('Per Invoice'!E$2:E$401,$U118)))</f>
        <v/>
      </c>
      <c r="F118">
        <f>IF($U118="","",IF(INDEX('Per Invoice'!F$2:F$401,$U118)="","",INDEX('Per Invoice'!F$2:F$401,$U118)))</f>
        <v/>
      </c>
      <c r="G118">
        <f>IF($U118="","",IF(INDEX('Per Invoice'!G$2:G$401,$U118)="","",INDEX('Per Invoice'!G$2:G$401,$U118)))</f>
        <v/>
      </c>
      <c r="H118" s="7">
        <f>IF($U118="","",IF(INDEX('Per Invoice'!H$2:H$401,$U118)="","",INDEX('Per Invoice'!H$2:H$401,$U118)))</f>
        <v/>
      </c>
      <c r="I118" s="14">
        <f>IF($U118="","",IF(INDEX('Per Invoice'!I$2:I$401,$U118)="","",INDEX('Per Invoice'!I$2:I$401,$U118)))</f>
        <v/>
      </c>
      <c r="J118">
        <f>IF($U118="","",IF(INDEX('Per Invoice'!J$2:J$401,$U118)="","",INDEX('Per Invoice'!J$2:J$401,$U118)))</f>
        <v/>
      </c>
      <c r="K118">
        <f>IF($U118="","",IF(INDEX('Per Invoice'!K$2:K$401,$U118)="","",INDEX('Per Invoice'!K$2:K$401,$U118)))</f>
        <v/>
      </c>
      <c r="L118" s="7">
        <f>IF($U118="","",IF(INDEX('Per Invoice'!L$2:L$401,$U118)="","",INDEX('Per Invoice'!L$2:L$401,$U118)))</f>
        <v/>
      </c>
      <c r="M118" s="7">
        <f>IF($U118="","",IF(INDEX('Per Invoice'!M$2:M$401,$U118)="","",INDEX('Per Invoice'!M$2:M$401,$U118)))</f>
        <v/>
      </c>
      <c r="N118">
        <f>IF($U118="","",IF(INDEX('Per Invoice'!N$2:N$401,$U118)="","",INDEX('Per Invoice'!N$2:N$401,$U118)))</f>
        <v/>
      </c>
      <c r="O118" s="7">
        <f>IF($U118="","",IF(INDEX('Per Invoice'!O$2:O$401,$U118)="","",INDEX('Per Invoice'!O$2:O$401,$U118)))</f>
        <v/>
      </c>
      <c r="P118" s="7">
        <f>IF($U118="","",IF(INDEX('Per Invoice'!P$2:P$401,$U118)="","",INDEX('Per Invoice'!P$2:P$401,$U118)))</f>
        <v/>
      </c>
      <c r="Q118" s="7">
        <f>IF($U118="","",IF(INDEX('Per Invoice'!Q$2:Q$401,$U118)="","",INDEX('Per Invoice'!Q$2:Q$401,$U118)))</f>
        <v/>
      </c>
      <c r="R118" s="7">
        <f>IF($U118="","",IF(INDEX('Per Invoice'!R$2:R$401,$U118)="","",INDEX('Per Invoice'!R$2:R$401,$U118)))</f>
        <v/>
      </c>
      <c r="S118" s="7">
        <f>IF($U118="","",IF(INDEX('Per Invoice'!S$2:S$401,$U118)="","",INDEX('Per Invoice'!S$2:S$401,$U118)))</f>
        <v/>
      </c>
      <c r="T118" s="7">
        <f>IF($U118="","",IF(INDEX('Per Invoice'!T$2:T$401,$U118)="","",INDEX('Per Invoice'!T$2:T$401,$U118)))</f>
        <v/>
      </c>
      <c r="U118" s="16">
        <f>IFERROR(MATCH(Settings!$C$26&amp;"|"&amp;ROWS($U$2:$U118),'Per Invoice'!$V$2:$V$401,0),"")</f>
        <v/>
      </c>
    </row>
    <row r="119">
      <c r="A119">
        <f>IF($U119="","",IF(INDEX('Per Invoice'!A$2:A$401,$U119)="","",INDEX('Per Invoice'!A$2:A$401,$U119)))</f>
        <v/>
      </c>
      <c r="B119">
        <f>IF($U119="","",IF(INDEX('Per Invoice'!B$2:B$401,$U119)="","",INDEX('Per Invoice'!B$2:B$401,$U119)))</f>
        <v/>
      </c>
      <c r="C119">
        <f>IF($U119="","",IF(INDEX('Per Invoice'!C$2:C$401,$U119)="","",INDEX('Per Invoice'!C$2:C$401,$U119)))</f>
        <v/>
      </c>
      <c r="D119">
        <f>IF($U119="","",IF(INDEX('Per Invoice'!D$2:D$401,$U119)="","",INDEX('Per Invoice'!D$2:D$401,$U119)))</f>
        <v/>
      </c>
      <c r="E119">
        <f>IF($U119="","",IF(INDEX('Per Invoice'!E$2:E$401,$U119)="","",INDEX('Per Invoice'!E$2:E$401,$U119)))</f>
        <v/>
      </c>
      <c r="F119">
        <f>IF($U119="","",IF(INDEX('Per Invoice'!F$2:F$401,$U119)="","",INDEX('Per Invoice'!F$2:F$401,$U119)))</f>
        <v/>
      </c>
      <c r="G119">
        <f>IF($U119="","",IF(INDEX('Per Invoice'!G$2:G$401,$U119)="","",INDEX('Per Invoice'!G$2:G$401,$U119)))</f>
        <v/>
      </c>
      <c r="H119" s="7">
        <f>IF($U119="","",IF(INDEX('Per Invoice'!H$2:H$401,$U119)="","",INDEX('Per Invoice'!H$2:H$401,$U119)))</f>
        <v/>
      </c>
      <c r="I119" s="14">
        <f>IF($U119="","",IF(INDEX('Per Invoice'!I$2:I$401,$U119)="","",INDEX('Per Invoice'!I$2:I$401,$U119)))</f>
        <v/>
      </c>
      <c r="J119">
        <f>IF($U119="","",IF(INDEX('Per Invoice'!J$2:J$401,$U119)="","",INDEX('Per Invoice'!J$2:J$401,$U119)))</f>
        <v/>
      </c>
      <c r="K119">
        <f>IF($U119="","",IF(INDEX('Per Invoice'!K$2:K$401,$U119)="","",INDEX('Per Invoice'!K$2:K$401,$U119)))</f>
        <v/>
      </c>
      <c r="L119" s="7">
        <f>IF($U119="","",IF(INDEX('Per Invoice'!L$2:L$401,$U119)="","",INDEX('Per Invoice'!L$2:L$401,$U119)))</f>
        <v/>
      </c>
      <c r="M119" s="7">
        <f>IF($U119="","",IF(INDEX('Per Invoice'!M$2:M$401,$U119)="","",INDEX('Per Invoice'!M$2:M$401,$U119)))</f>
        <v/>
      </c>
      <c r="N119">
        <f>IF($U119="","",IF(INDEX('Per Invoice'!N$2:N$401,$U119)="","",INDEX('Per Invoice'!N$2:N$401,$U119)))</f>
        <v/>
      </c>
      <c r="O119" s="7">
        <f>IF($U119="","",IF(INDEX('Per Invoice'!O$2:O$401,$U119)="","",INDEX('Per Invoice'!O$2:O$401,$U119)))</f>
        <v/>
      </c>
      <c r="P119" s="7">
        <f>IF($U119="","",IF(INDEX('Per Invoice'!P$2:P$401,$U119)="","",INDEX('Per Invoice'!P$2:P$401,$U119)))</f>
        <v/>
      </c>
      <c r="Q119" s="7">
        <f>IF($U119="","",IF(INDEX('Per Invoice'!Q$2:Q$401,$U119)="","",INDEX('Per Invoice'!Q$2:Q$401,$U119)))</f>
        <v/>
      </c>
      <c r="R119" s="7">
        <f>IF($U119="","",IF(INDEX('Per Invoice'!R$2:R$401,$U119)="","",INDEX('Per Invoice'!R$2:R$401,$U119)))</f>
        <v/>
      </c>
      <c r="S119" s="7">
        <f>IF($U119="","",IF(INDEX('Per Invoice'!S$2:S$401,$U119)="","",INDEX('Per Invoice'!S$2:S$401,$U119)))</f>
        <v/>
      </c>
      <c r="T119" s="7">
        <f>IF($U119="","",IF(INDEX('Per Invoice'!T$2:T$401,$U119)="","",INDEX('Per Invoice'!T$2:T$401,$U119)))</f>
        <v/>
      </c>
      <c r="U119" s="16">
        <f>IFERROR(MATCH(Settings!$C$26&amp;"|"&amp;ROWS($U$2:$U119),'Per Invoice'!$V$2:$V$401,0),"")</f>
        <v/>
      </c>
    </row>
    <row r="120">
      <c r="A120">
        <f>IF($U120="","",IF(INDEX('Per Invoice'!A$2:A$401,$U120)="","",INDEX('Per Invoice'!A$2:A$401,$U120)))</f>
        <v/>
      </c>
      <c r="B120">
        <f>IF($U120="","",IF(INDEX('Per Invoice'!B$2:B$401,$U120)="","",INDEX('Per Invoice'!B$2:B$401,$U120)))</f>
        <v/>
      </c>
      <c r="C120">
        <f>IF($U120="","",IF(INDEX('Per Invoice'!C$2:C$401,$U120)="","",INDEX('Per Invoice'!C$2:C$401,$U120)))</f>
        <v/>
      </c>
      <c r="D120">
        <f>IF($U120="","",IF(INDEX('Per Invoice'!D$2:D$401,$U120)="","",INDEX('Per Invoice'!D$2:D$401,$U120)))</f>
        <v/>
      </c>
      <c r="E120">
        <f>IF($U120="","",IF(INDEX('Per Invoice'!E$2:E$401,$U120)="","",INDEX('Per Invoice'!E$2:E$401,$U120)))</f>
        <v/>
      </c>
      <c r="F120">
        <f>IF($U120="","",IF(INDEX('Per Invoice'!F$2:F$401,$U120)="","",INDEX('Per Invoice'!F$2:F$401,$U120)))</f>
        <v/>
      </c>
      <c r="G120">
        <f>IF($U120="","",IF(INDEX('Per Invoice'!G$2:G$401,$U120)="","",INDEX('Per Invoice'!G$2:G$401,$U120)))</f>
        <v/>
      </c>
      <c r="H120" s="7">
        <f>IF($U120="","",IF(INDEX('Per Invoice'!H$2:H$401,$U120)="","",INDEX('Per Invoice'!H$2:H$401,$U120)))</f>
        <v/>
      </c>
      <c r="I120" s="14">
        <f>IF($U120="","",IF(INDEX('Per Invoice'!I$2:I$401,$U120)="","",INDEX('Per Invoice'!I$2:I$401,$U120)))</f>
        <v/>
      </c>
      <c r="J120">
        <f>IF($U120="","",IF(INDEX('Per Invoice'!J$2:J$401,$U120)="","",INDEX('Per Invoice'!J$2:J$401,$U120)))</f>
        <v/>
      </c>
      <c r="K120">
        <f>IF($U120="","",IF(INDEX('Per Invoice'!K$2:K$401,$U120)="","",INDEX('Per Invoice'!K$2:K$401,$U120)))</f>
        <v/>
      </c>
      <c r="L120" s="7">
        <f>IF($U120="","",IF(INDEX('Per Invoice'!L$2:L$401,$U120)="","",INDEX('Per Invoice'!L$2:L$401,$U120)))</f>
        <v/>
      </c>
      <c r="M120" s="7">
        <f>IF($U120="","",IF(INDEX('Per Invoice'!M$2:M$401,$U120)="","",INDEX('Per Invoice'!M$2:M$401,$U120)))</f>
        <v/>
      </c>
      <c r="N120">
        <f>IF($U120="","",IF(INDEX('Per Invoice'!N$2:N$401,$U120)="","",INDEX('Per Invoice'!N$2:N$401,$U120)))</f>
        <v/>
      </c>
      <c r="O120" s="7">
        <f>IF($U120="","",IF(INDEX('Per Invoice'!O$2:O$401,$U120)="","",INDEX('Per Invoice'!O$2:O$401,$U120)))</f>
        <v/>
      </c>
      <c r="P120" s="7">
        <f>IF($U120="","",IF(INDEX('Per Invoice'!P$2:P$401,$U120)="","",INDEX('Per Invoice'!P$2:P$401,$U120)))</f>
        <v/>
      </c>
      <c r="Q120" s="7">
        <f>IF($U120="","",IF(INDEX('Per Invoice'!Q$2:Q$401,$U120)="","",INDEX('Per Invoice'!Q$2:Q$401,$U120)))</f>
        <v/>
      </c>
      <c r="R120" s="7">
        <f>IF($U120="","",IF(INDEX('Per Invoice'!R$2:R$401,$U120)="","",INDEX('Per Invoice'!R$2:R$401,$U120)))</f>
        <v/>
      </c>
      <c r="S120" s="7">
        <f>IF($U120="","",IF(INDEX('Per Invoice'!S$2:S$401,$U120)="","",INDEX('Per Invoice'!S$2:S$401,$U120)))</f>
        <v/>
      </c>
      <c r="T120" s="7">
        <f>IF($U120="","",IF(INDEX('Per Invoice'!T$2:T$401,$U120)="","",INDEX('Per Invoice'!T$2:T$401,$U120)))</f>
        <v/>
      </c>
      <c r="U120" s="16">
        <f>IFERROR(MATCH(Settings!$C$26&amp;"|"&amp;ROWS($U$2:$U120),'Per Invoice'!$V$2:$V$401,0),"")</f>
        <v/>
      </c>
    </row>
    <row r="121">
      <c r="A121">
        <f>IF($U121="","",IF(INDEX('Per Invoice'!A$2:A$401,$U121)="","",INDEX('Per Invoice'!A$2:A$401,$U121)))</f>
        <v/>
      </c>
      <c r="B121">
        <f>IF($U121="","",IF(INDEX('Per Invoice'!B$2:B$401,$U121)="","",INDEX('Per Invoice'!B$2:B$401,$U121)))</f>
        <v/>
      </c>
      <c r="C121">
        <f>IF($U121="","",IF(INDEX('Per Invoice'!C$2:C$401,$U121)="","",INDEX('Per Invoice'!C$2:C$401,$U121)))</f>
        <v/>
      </c>
      <c r="D121">
        <f>IF($U121="","",IF(INDEX('Per Invoice'!D$2:D$401,$U121)="","",INDEX('Per Invoice'!D$2:D$401,$U121)))</f>
        <v/>
      </c>
      <c r="E121">
        <f>IF($U121="","",IF(INDEX('Per Invoice'!E$2:E$401,$U121)="","",INDEX('Per Invoice'!E$2:E$401,$U121)))</f>
        <v/>
      </c>
      <c r="F121">
        <f>IF($U121="","",IF(INDEX('Per Invoice'!F$2:F$401,$U121)="","",INDEX('Per Invoice'!F$2:F$401,$U121)))</f>
        <v/>
      </c>
      <c r="G121">
        <f>IF($U121="","",IF(INDEX('Per Invoice'!G$2:G$401,$U121)="","",INDEX('Per Invoice'!G$2:G$401,$U121)))</f>
        <v/>
      </c>
      <c r="H121" s="7">
        <f>IF($U121="","",IF(INDEX('Per Invoice'!H$2:H$401,$U121)="","",INDEX('Per Invoice'!H$2:H$401,$U121)))</f>
        <v/>
      </c>
      <c r="I121" s="14">
        <f>IF($U121="","",IF(INDEX('Per Invoice'!I$2:I$401,$U121)="","",INDEX('Per Invoice'!I$2:I$401,$U121)))</f>
        <v/>
      </c>
      <c r="J121">
        <f>IF($U121="","",IF(INDEX('Per Invoice'!J$2:J$401,$U121)="","",INDEX('Per Invoice'!J$2:J$401,$U121)))</f>
        <v/>
      </c>
      <c r="K121">
        <f>IF($U121="","",IF(INDEX('Per Invoice'!K$2:K$401,$U121)="","",INDEX('Per Invoice'!K$2:K$401,$U121)))</f>
        <v/>
      </c>
      <c r="L121" s="7">
        <f>IF($U121="","",IF(INDEX('Per Invoice'!L$2:L$401,$U121)="","",INDEX('Per Invoice'!L$2:L$401,$U121)))</f>
        <v/>
      </c>
      <c r="M121" s="7">
        <f>IF($U121="","",IF(INDEX('Per Invoice'!M$2:M$401,$U121)="","",INDEX('Per Invoice'!M$2:M$401,$U121)))</f>
        <v/>
      </c>
      <c r="N121">
        <f>IF($U121="","",IF(INDEX('Per Invoice'!N$2:N$401,$U121)="","",INDEX('Per Invoice'!N$2:N$401,$U121)))</f>
        <v/>
      </c>
      <c r="O121" s="7">
        <f>IF($U121="","",IF(INDEX('Per Invoice'!O$2:O$401,$U121)="","",INDEX('Per Invoice'!O$2:O$401,$U121)))</f>
        <v/>
      </c>
      <c r="P121" s="7">
        <f>IF($U121="","",IF(INDEX('Per Invoice'!P$2:P$401,$U121)="","",INDEX('Per Invoice'!P$2:P$401,$U121)))</f>
        <v/>
      </c>
      <c r="Q121" s="7">
        <f>IF($U121="","",IF(INDEX('Per Invoice'!Q$2:Q$401,$U121)="","",INDEX('Per Invoice'!Q$2:Q$401,$U121)))</f>
        <v/>
      </c>
      <c r="R121" s="7">
        <f>IF($U121="","",IF(INDEX('Per Invoice'!R$2:R$401,$U121)="","",INDEX('Per Invoice'!R$2:R$401,$U121)))</f>
        <v/>
      </c>
      <c r="S121" s="7">
        <f>IF($U121="","",IF(INDEX('Per Invoice'!S$2:S$401,$U121)="","",INDEX('Per Invoice'!S$2:S$401,$U121)))</f>
        <v/>
      </c>
      <c r="T121" s="7">
        <f>IF($U121="","",IF(INDEX('Per Invoice'!T$2:T$401,$U121)="","",INDEX('Per Invoice'!T$2:T$401,$U121)))</f>
        <v/>
      </c>
      <c r="U121" s="16">
        <f>IFERROR(MATCH(Settings!$C$26&amp;"|"&amp;ROWS($U$2:$U121),'Per Invoice'!$V$2:$V$401,0),"")</f>
        <v/>
      </c>
    </row>
    <row r="122">
      <c r="A122">
        <f>IF($U122="","",IF(INDEX('Per Invoice'!A$2:A$401,$U122)="","",INDEX('Per Invoice'!A$2:A$401,$U122)))</f>
        <v/>
      </c>
      <c r="B122">
        <f>IF($U122="","",IF(INDEX('Per Invoice'!B$2:B$401,$U122)="","",INDEX('Per Invoice'!B$2:B$401,$U122)))</f>
        <v/>
      </c>
      <c r="C122">
        <f>IF($U122="","",IF(INDEX('Per Invoice'!C$2:C$401,$U122)="","",INDEX('Per Invoice'!C$2:C$401,$U122)))</f>
        <v/>
      </c>
      <c r="D122">
        <f>IF($U122="","",IF(INDEX('Per Invoice'!D$2:D$401,$U122)="","",INDEX('Per Invoice'!D$2:D$401,$U122)))</f>
        <v/>
      </c>
      <c r="E122">
        <f>IF($U122="","",IF(INDEX('Per Invoice'!E$2:E$401,$U122)="","",INDEX('Per Invoice'!E$2:E$401,$U122)))</f>
        <v/>
      </c>
      <c r="F122">
        <f>IF($U122="","",IF(INDEX('Per Invoice'!F$2:F$401,$U122)="","",INDEX('Per Invoice'!F$2:F$401,$U122)))</f>
        <v/>
      </c>
      <c r="G122">
        <f>IF($U122="","",IF(INDEX('Per Invoice'!G$2:G$401,$U122)="","",INDEX('Per Invoice'!G$2:G$401,$U122)))</f>
        <v/>
      </c>
      <c r="H122" s="7">
        <f>IF($U122="","",IF(INDEX('Per Invoice'!H$2:H$401,$U122)="","",INDEX('Per Invoice'!H$2:H$401,$U122)))</f>
        <v/>
      </c>
      <c r="I122" s="14">
        <f>IF($U122="","",IF(INDEX('Per Invoice'!I$2:I$401,$U122)="","",INDEX('Per Invoice'!I$2:I$401,$U122)))</f>
        <v/>
      </c>
      <c r="J122">
        <f>IF($U122="","",IF(INDEX('Per Invoice'!J$2:J$401,$U122)="","",INDEX('Per Invoice'!J$2:J$401,$U122)))</f>
        <v/>
      </c>
      <c r="K122">
        <f>IF($U122="","",IF(INDEX('Per Invoice'!K$2:K$401,$U122)="","",INDEX('Per Invoice'!K$2:K$401,$U122)))</f>
        <v/>
      </c>
      <c r="L122" s="7">
        <f>IF($U122="","",IF(INDEX('Per Invoice'!L$2:L$401,$U122)="","",INDEX('Per Invoice'!L$2:L$401,$U122)))</f>
        <v/>
      </c>
      <c r="M122" s="7">
        <f>IF($U122="","",IF(INDEX('Per Invoice'!M$2:M$401,$U122)="","",INDEX('Per Invoice'!M$2:M$401,$U122)))</f>
        <v/>
      </c>
      <c r="N122">
        <f>IF($U122="","",IF(INDEX('Per Invoice'!N$2:N$401,$U122)="","",INDEX('Per Invoice'!N$2:N$401,$U122)))</f>
        <v/>
      </c>
      <c r="O122" s="7">
        <f>IF($U122="","",IF(INDEX('Per Invoice'!O$2:O$401,$U122)="","",INDEX('Per Invoice'!O$2:O$401,$U122)))</f>
        <v/>
      </c>
      <c r="P122" s="7">
        <f>IF($U122="","",IF(INDEX('Per Invoice'!P$2:P$401,$U122)="","",INDEX('Per Invoice'!P$2:P$401,$U122)))</f>
        <v/>
      </c>
      <c r="Q122" s="7">
        <f>IF($U122="","",IF(INDEX('Per Invoice'!Q$2:Q$401,$U122)="","",INDEX('Per Invoice'!Q$2:Q$401,$U122)))</f>
        <v/>
      </c>
      <c r="R122" s="7">
        <f>IF($U122="","",IF(INDEX('Per Invoice'!R$2:R$401,$U122)="","",INDEX('Per Invoice'!R$2:R$401,$U122)))</f>
        <v/>
      </c>
      <c r="S122" s="7">
        <f>IF($U122="","",IF(INDEX('Per Invoice'!S$2:S$401,$U122)="","",INDEX('Per Invoice'!S$2:S$401,$U122)))</f>
        <v/>
      </c>
      <c r="T122" s="7">
        <f>IF($U122="","",IF(INDEX('Per Invoice'!T$2:T$401,$U122)="","",INDEX('Per Invoice'!T$2:T$401,$U122)))</f>
        <v/>
      </c>
      <c r="U122" s="16">
        <f>IFERROR(MATCH(Settings!$C$26&amp;"|"&amp;ROWS($U$2:$U122),'Per Invoice'!$V$2:$V$401,0),"")</f>
        <v/>
      </c>
    </row>
    <row r="123">
      <c r="A123">
        <f>IF($U123="","",IF(INDEX('Per Invoice'!A$2:A$401,$U123)="","",INDEX('Per Invoice'!A$2:A$401,$U123)))</f>
        <v/>
      </c>
      <c r="B123">
        <f>IF($U123="","",IF(INDEX('Per Invoice'!B$2:B$401,$U123)="","",INDEX('Per Invoice'!B$2:B$401,$U123)))</f>
        <v/>
      </c>
      <c r="C123">
        <f>IF($U123="","",IF(INDEX('Per Invoice'!C$2:C$401,$U123)="","",INDEX('Per Invoice'!C$2:C$401,$U123)))</f>
        <v/>
      </c>
      <c r="D123">
        <f>IF($U123="","",IF(INDEX('Per Invoice'!D$2:D$401,$U123)="","",INDEX('Per Invoice'!D$2:D$401,$U123)))</f>
        <v/>
      </c>
      <c r="E123">
        <f>IF($U123="","",IF(INDEX('Per Invoice'!E$2:E$401,$U123)="","",INDEX('Per Invoice'!E$2:E$401,$U123)))</f>
        <v/>
      </c>
      <c r="F123">
        <f>IF($U123="","",IF(INDEX('Per Invoice'!F$2:F$401,$U123)="","",INDEX('Per Invoice'!F$2:F$401,$U123)))</f>
        <v/>
      </c>
      <c r="G123">
        <f>IF($U123="","",IF(INDEX('Per Invoice'!G$2:G$401,$U123)="","",INDEX('Per Invoice'!G$2:G$401,$U123)))</f>
        <v/>
      </c>
      <c r="H123" s="7">
        <f>IF($U123="","",IF(INDEX('Per Invoice'!H$2:H$401,$U123)="","",INDEX('Per Invoice'!H$2:H$401,$U123)))</f>
        <v/>
      </c>
      <c r="I123" s="14">
        <f>IF($U123="","",IF(INDEX('Per Invoice'!I$2:I$401,$U123)="","",INDEX('Per Invoice'!I$2:I$401,$U123)))</f>
        <v/>
      </c>
      <c r="J123">
        <f>IF($U123="","",IF(INDEX('Per Invoice'!J$2:J$401,$U123)="","",INDEX('Per Invoice'!J$2:J$401,$U123)))</f>
        <v/>
      </c>
      <c r="K123">
        <f>IF($U123="","",IF(INDEX('Per Invoice'!K$2:K$401,$U123)="","",INDEX('Per Invoice'!K$2:K$401,$U123)))</f>
        <v/>
      </c>
      <c r="L123" s="7">
        <f>IF($U123="","",IF(INDEX('Per Invoice'!L$2:L$401,$U123)="","",INDEX('Per Invoice'!L$2:L$401,$U123)))</f>
        <v/>
      </c>
      <c r="M123" s="7">
        <f>IF($U123="","",IF(INDEX('Per Invoice'!M$2:M$401,$U123)="","",INDEX('Per Invoice'!M$2:M$401,$U123)))</f>
        <v/>
      </c>
      <c r="N123">
        <f>IF($U123="","",IF(INDEX('Per Invoice'!N$2:N$401,$U123)="","",INDEX('Per Invoice'!N$2:N$401,$U123)))</f>
        <v/>
      </c>
      <c r="O123" s="7">
        <f>IF($U123="","",IF(INDEX('Per Invoice'!O$2:O$401,$U123)="","",INDEX('Per Invoice'!O$2:O$401,$U123)))</f>
        <v/>
      </c>
      <c r="P123" s="7">
        <f>IF($U123="","",IF(INDEX('Per Invoice'!P$2:P$401,$U123)="","",INDEX('Per Invoice'!P$2:P$401,$U123)))</f>
        <v/>
      </c>
      <c r="Q123" s="7">
        <f>IF($U123="","",IF(INDEX('Per Invoice'!Q$2:Q$401,$U123)="","",INDEX('Per Invoice'!Q$2:Q$401,$U123)))</f>
        <v/>
      </c>
      <c r="R123" s="7">
        <f>IF($U123="","",IF(INDEX('Per Invoice'!R$2:R$401,$U123)="","",INDEX('Per Invoice'!R$2:R$401,$U123)))</f>
        <v/>
      </c>
      <c r="S123" s="7">
        <f>IF($U123="","",IF(INDEX('Per Invoice'!S$2:S$401,$U123)="","",INDEX('Per Invoice'!S$2:S$401,$U123)))</f>
        <v/>
      </c>
      <c r="T123" s="7">
        <f>IF($U123="","",IF(INDEX('Per Invoice'!T$2:T$401,$U123)="","",INDEX('Per Invoice'!T$2:T$401,$U123)))</f>
        <v/>
      </c>
      <c r="U123" s="16">
        <f>IFERROR(MATCH(Settings!$C$26&amp;"|"&amp;ROWS($U$2:$U123),'Per Invoice'!$V$2:$V$401,0),"")</f>
        <v/>
      </c>
    </row>
    <row r="124">
      <c r="A124">
        <f>IF($U124="","",IF(INDEX('Per Invoice'!A$2:A$401,$U124)="","",INDEX('Per Invoice'!A$2:A$401,$U124)))</f>
        <v/>
      </c>
      <c r="B124">
        <f>IF($U124="","",IF(INDEX('Per Invoice'!B$2:B$401,$U124)="","",INDEX('Per Invoice'!B$2:B$401,$U124)))</f>
        <v/>
      </c>
      <c r="C124">
        <f>IF($U124="","",IF(INDEX('Per Invoice'!C$2:C$401,$U124)="","",INDEX('Per Invoice'!C$2:C$401,$U124)))</f>
        <v/>
      </c>
      <c r="D124">
        <f>IF($U124="","",IF(INDEX('Per Invoice'!D$2:D$401,$U124)="","",INDEX('Per Invoice'!D$2:D$401,$U124)))</f>
        <v/>
      </c>
      <c r="E124">
        <f>IF($U124="","",IF(INDEX('Per Invoice'!E$2:E$401,$U124)="","",INDEX('Per Invoice'!E$2:E$401,$U124)))</f>
        <v/>
      </c>
      <c r="F124">
        <f>IF($U124="","",IF(INDEX('Per Invoice'!F$2:F$401,$U124)="","",INDEX('Per Invoice'!F$2:F$401,$U124)))</f>
        <v/>
      </c>
      <c r="G124">
        <f>IF($U124="","",IF(INDEX('Per Invoice'!G$2:G$401,$U124)="","",INDEX('Per Invoice'!G$2:G$401,$U124)))</f>
        <v/>
      </c>
      <c r="H124" s="7">
        <f>IF($U124="","",IF(INDEX('Per Invoice'!H$2:H$401,$U124)="","",INDEX('Per Invoice'!H$2:H$401,$U124)))</f>
        <v/>
      </c>
      <c r="I124" s="14">
        <f>IF($U124="","",IF(INDEX('Per Invoice'!I$2:I$401,$U124)="","",INDEX('Per Invoice'!I$2:I$401,$U124)))</f>
        <v/>
      </c>
      <c r="J124">
        <f>IF($U124="","",IF(INDEX('Per Invoice'!J$2:J$401,$U124)="","",INDEX('Per Invoice'!J$2:J$401,$U124)))</f>
        <v/>
      </c>
      <c r="K124">
        <f>IF($U124="","",IF(INDEX('Per Invoice'!K$2:K$401,$U124)="","",INDEX('Per Invoice'!K$2:K$401,$U124)))</f>
        <v/>
      </c>
      <c r="L124" s="7">
        <f>IF($U124="","",IF(INDEX('Per Invoice'!L$2:L$401,$U124)="","",INDEX('Per Invoice'!L$2:L$401,$U124)))</f>
        <v/>
      </c>
      <c r="M124" s="7">
        <f>IF($U124="","",IF(INDEX('Per Invoice'!M$2:M$401,$U124)="","",INDEX('Per Invoice'!M$2:M$401,$U124)))</f>
        <v/>
      </c>
      <c r="N124">
        <f>IF($U124="","",IF(INDEX('Per Invoice'!N$2:N$401,$U124)="","",INDEX('Per Invoice'!N$2:N$401,$U124)))</f>
        <v/>
      </c>
      <c r="O124" s="7">
        <f>IF($U124="","",IF(INDEX('Per Invoice'!O$2:O$401,$U124)="","",INDEX('Per Invoice'!O$2:O$401,$U124)))</f>
        <v/>
      </c>
      <c r="P124" s="7">
        <f>IF($U124="","",IF(INDEX('Per Invoice'!P$2:P$401,$U124)="","",INDEX('Per Invoice'!P$2:P$401,$U124)))</f>
        <v/>
      </c>
      <c r="Q124" s="7">
        <f>IF($U124="","",IF(INDEX('Per Invoice'!Q$2:Q$401,$U124)="","",INDEX('Per Invoice'!Q$2:Q$401,$U124)))</f>
        <v/>
      </c>
      <c r="R124" s="7">
        <f>IF($U124="","",IF(INDEX('Per Invoice'!R$2:R$401,$U124)="","",INDEX('Per Invoice'!R$2:R$401,$U124)))</f>
        <v/>
      </c>
      <c r="S124" s="7">
        <f>IF($U124="","",IF(INDEX('Per Invoice'!S$2:S$401,$U124)="","",INDEX('Per Invoice'!S$2:S$401,$U124)))</f>
        <v/>
      </c>
      <c r="T124" s="7">
        <f>IF($U124="","",IF(INDEX('Per Invoice'!T$2:T$401,$U124)="","",INDEX('Per Invoice'!T$2:T$401,$U124)))</f>
        <v/>
      </c>
      <c r="U124" s="16">
        <f>IFERROR(MATCH(Settings!$C$26&amp;"|"&amp;ROWS($U$2:$U124),'Per Invoice'!$V$2:$V$401,0),"")</f>
        <v/>
      </c>
    </row>
    <row r="125">
      <c r="A125">
        <f>IF($U125="","",IF(INDEX('Per Invoice'!A$2:A$401,$U125)="","",INDEX('Per Invoice'!A$2:A$401,$U125)))</f>
        <v/>
      </c>
      <c r="B125">
        <f>IF($U125="","",IF(INDEX('Per Invoice'!B$2:B$401,$U125)="","",INDEX('Per Invoice'!B$2:B$401,$U125)))</f>
        <v/>
      </c>
      <c r="C125">
        <f>IF($U125="","",IF(INDEX('Per Invoice'!C$2:C$401,$U125)="","",INDEX('Per Invoice'!C$2:C$401,$U125)))</f>
        <v/>
      </c>
      <c r="D125">
        <f>IF($U125="","",IF(INDEX('Per Invoice'!D$2:D$401,$U125)="","",INDEX('Per Invoice'!D$2:D$401,$U125)))</f>
        <v/>
      </c>
      <c r="E125">
        <f>IF($U125="","",IF(INDEX('Per Invoice'!E$2:E$401,$U125)="","",INDEX('Per Invoice'!E$2:E$401,$U125)))</f>
        <v/>
      </c>
      <c r="F125">
        <f>IF($U125="","",IF(INDEX('Per Invoice'!F$2:F$401,$U125)="","",INDEX('Per Invoice'!F$2:F$401,$U125)))</f>
        <v/>
      </c>
      <c r="G125">
        <f>IF($U125="","",IF(INDEX('Per Invoice'!G$2:G$401,$U125)="","",INDEX('Per Invoice'!G$2:G$401,$U125)))</f>
        <v/>
      </c>
      <c r="H125" s="7">
        <f>IF($U125="","",IF(INDEX('Per Invoice'!H$2:H$401,$U125)="","",INDEX('Per Invoice'!H$2:H$401,$U125)))</f>
        <v/>
      </c>
      <c r="I125" s="14">
        <f>IF($U125="","",IF(INDEX('Per Invoice'!I$2:I$401,$U125)="","",INDEX('Per Invoice'!I$2:I$401,$U125)))</f>
        <v/>
      </c>
      <c r="J125">
        <f>IF($U125="","",IF(INDEX('Per Invoice'!J$2:J$401,$U125)="","",INDEX('Per Invoice'!J$2:J$401,$U125)))</f>
        <v/>
      </c>
      <c r="K125">
        <f>IF($U125="","",IF(INDEX('Per Invoice'!K$2:K$401,$U125)="","",INDEX('Per Invoice'!K$2:K$401,$U125)))</f>
        <v/>
      </c>
      <c r="L125" s="7">
        <f>IF($U125="","",IF(INDEX('Per Invoice'!L$2:L$401,$U125)="","",INDEX('Per Invoice'!L$2:L$401,$U125)))</f>
        <v/>
      </c>
      <c r="M125" s="7">
        <f>IF($U125="","",IF(INDEX('Per Invoice'!M$2:M$401,$U125)="","",INDEX('Per Invoice'!M$2:M$401,$U125)))</f>
        <v/>
      </c>
      <c r="N125">
        <f>IF($U125="","",IF(INDEX('Per Invoice'!N$2:N$401,$U125)="","",INDEX('Per Invoice'!N$2:N$401,$U125)))</f>
        <v/>
      </c>
      <c r="O125" s="7">
        <f>IF($U125="","",IF(INDEX('Per Invoice'!O$2:O$401,$U125)="","",INDEX('Per Invoice'!O$2:O$401,$U125)))</f>
        <v/>
      </c>
      <c r="P125" s="7">
        <f>IF($U125="","",IF(INDEX('Per Invoice'!P$2:P$401,$U125)="","",INDEX('Per Invoice'!P$2:P$401,$U125)))</f>
        <v/>
      </c>
      <c r="Q125" s="7">
        <f>IF($U125="","",IF(INDEX('Per Invoice'!Q$2:Q$401,$U125)="","",INDEX('Per Invoice'!Q$2:Q$401,$U125)))</f>
        <v/>
      </c>
      <c r="R125" s="7">
        <f>IF($U125="","",IF(INDEX('Per Invoice'!R$2:R$401,$U125)="","",INDEX('Per Invoice'!R$2:R$401,$U125)))</f>
        <v/>
      </c>
      <c r="S125" s="7">
        <f>IF($U125="","",IF(INDEX('Per Invoice'!S$2:S$401,$U125)="","",INDEX('Per Invoice'!S$2:S$401,$U125)))</f>
        <v/>
      </c>
      <c r="T125" s="7">
        <f>IF($U125="","",IF(INDEX('Per Invoice'!T$2:T$401,$U125)="","",INDEX('Per Invoice'!T$2:T$401,$U125)))</f>
        <v/>
      </c>
      <c r="U125" s="16">
        <f>IFERROR(MATCH(Settings!$C$26&amp;"|"&amp;ROWS($U$2:$U125),'Per Invoice'!$V$2:$V$401,0),"")</f>
        <v/>
      </c>
    </row>
    <row r="126">
      <c r="A126">
        <f>IF($U126="","",IF(INDEX('Per Invoice'!A$2:A$401,$U126)="","",INDEX('Per Invoice'!A$2:A$401,$U126)))</f>
        <v/>
      </c>
      <c r="B126">
        <f>IF($U126="","",IF(INDEX('Per Invoice'!B$2:B$401,$U126)="","",INDEX('Per Invoice'!B$2:B$401,$U126)))</f>
        <v/>
      </c>
      <c r="C126">
        <f>IF($U126="","",IF(INDEX('Per Invoice'!C$2:C$401,$U126)="","",INDEX('Per Invoice'!C$2:C$401,$U126)))</f>
        <v/>
      </c>
      <c r="D126">
        <f>IF($U126="","",IF(INDEX('Per Invoice'!D$2:D$401,$U126)="","",INDEX('Per Invoice'!D$2:D$401,$U126)))</f>
        <v/>
      </c>
      <c r="E126">
        <f>IF($U126="","",IF(INDEX('Per Invoice'!E$2:E$401,$U126)="","",INDEX('Per Invoice'!E$2:E$401,$U126)))</f>
        <v/>
      </c>
      <c r="F126">
        <f>IF($U126="","",IF(INDEX('Per Invoice'!F$2:F$401,$U126)="","",INDEX('Per Invoice'!F$2:F$401,$U126)))</f>
        <v/>
      </c>
      <c r="G126">
        <f>IF($U126="","",IF(INDEX('Per Invoice'!G$2:G$401,$U126)="","",INDEX('Per Invoice'!G$2:G$401,$U126)))</f>
        <v/>
      </c>
      <c r="H126" s="7">
        <f>IF($U126="","",IF(INDEX('Per Invoice'!H$2:H$401,$U126)="","",INDEX('Per Invoice'!H$2:H$401,$U126)))</f>
        <v/>
      </c>
      <c r="I126" s="14">
        <f>IF($U126="","",IF(INDEX('Per Invoice'!I$2:I$401,$U126)="","",INDEX('Per Invoice'!I$2:I$401,$U126)))</f>
        <v/>
      </c>
      <c r="J126">
        <f>IF($U126="","",IF(INDEX('Per Invoice'!J$2:J$401,$U126)="","",INDEX('Per Invoice'!J$2:J$401,$U126)))</f>
        <v/>
      </c>
      <c r="K126">
        <f>IF($U126="","",IF(INDEX('Per Invoice'!K$2:K$401,$U126)="","",INDEX('Per Invoice'!K$2:K$401,$U126)))</f>
        <v/>
      </c>
      <c r="L126" s="7">
        <f>IF($U126="","",IF(INDEX('Per Invoice'!L$2:L$401,$U126)="","",INDEX('Per Invoice'!L$2:L$401,$U126)))</f>
        <v/>
      </c>
      <c r="M126" s="7">
        <f>IF($U126="","",IF(INDEX('Per Invoice'!M$2:M$401,$U126)="","",INDEX('Per Invoice'!M$2:M$401,$U126)))</f>
        <v/>
      </c>
      <c r="N126">
        <f>IF($U126="","",IF(INDEX('Per Invoice'!N$2:N$401,$U126)="","",INDEX('Per Invoice'!N$2:N$401,$U126)))</f>
        <v/>
      </c>
      <c r="O126" s="7">
        <f>IF($U126="","",IF(INDEX('Per Invoice'!O$2:O$401,$U126)="","",INDEX('Per Invoice'!O$2:O$401,$U126)))</f>
        <v/>
      </c>
      <c r="P126" s="7">
        <f>IF($U126="","",IF(INDEX('Per Invoice'!P$2:P$401,$U126)="","",INDEX('Per Invoice'!P$2:P$401,$U126)))</f>
        <v/>
      </c>
      <c r="Q126" s="7">
        <f>IF($U126="","",IF(INDEX('Per Invoice'!Q$2:Q$401,$U126)="","",INDEX('Per Invoice'!Q$2:Q$401,$U126)))</f>
        <v/>
      </c>
      <c r="R126" s="7">
        <f>IF($U126="","",IF(INDEX('Per Invoice'!R$2:R$401,$U126)="","",INDEX('Per Invoice'!R$2:R$401,$U126)))</f>
        <v/>
      </c>
      <c r="S126" s="7">
        <f>IF($U126="","",IF(INDEX('Per Invoice'!S$2:S$401,$U126)="","",INDEX('Per Invoice'!S$2:S$401,$U126)))</f>
        <v/>
      </c>
      <c r="T126" s="7">
        <f>IF($U126="","",IF(INDEX('Per Invoice'!T$2:T$401,$U126)="","",INDEX('Per Invoice'!T$2:T$401,$U126)))</f>
        <v/>
      </c>
      <c r="U126" s="16">
        <f>IFERROR(MATCH(Settings!$C$26&amp;"|"&amp;ROWS($U$2:$U126),'Per Invoice'!$V$2:$V$401,0),"")</f>
        <v/>
      </c>
    </row>
    <row r="127">
      <c r="A127">
        <f>IF($U127="","",IF(INDEX('Per Invoice'!A$2:A$401,$U127)="","",INDEX('Per Invoice'!A$2:A$401,$U127)))</f>
        <v/>
      </c>
      <c r="B127">
        <f>IF($U127="","",IF(INDEX('Per Invoice'!B$2:B$401,$U127)="","",INDEX('Per Invoice'!B$2:B$401,$U127)))</f>
        <v/>
      </c>
      <c r="C127">
        <f>IF($U127="","",IF(INDEX('Per Invoice'!C$2:C$401,$U127)="","",INDEX('Per Invoice'!C$2:C$401,$U127)))</f>
        <v/>
      </c>
      <c r="D127">
        <f>IF($U127="","",IF(INDEX('Per Invoice'!D$2:D$401,$U127)="","",INDEX('Per Invoice'!D$2:D$401,$U127)))</f>
        <v/>
      </c>
      <c r="E127">
        <f>IF($U127="","",IF(INDEX('Per Invoice'!E$2:E$401,$U127)="","",INDEX('Per Invoice'!E$2:E$401,$U127)))</f>
        <v/>
      </c>
      <c r="F127">
        <f>IF($U127="","",IF(INDEX('Per Invoice'!F$2:F$401,$U127)="","",INDEX('Per Invoice'!F$2:F$401,$U127)))</f>
        <v/>
      </c>
      <c r="G127">
        <f>IF($U127="","",IF(INDEX('Per Invoice'!G$2:G$401,$U127)="","",INDEX('Per Invoice'!G$2:G$401,$U127)))</f>
        <v/>
      </c>
      <c r="H127" s="7">
        <f>IF($U127="","",IF(INDEX('Per Invoice'!H$2:H$401,$U127)="","",INDEX('Per Invoice'!H$2:H$401,$U127)))</f>
        <v/>
      </c>
      <c r="I127" s="14">
        <f>IF($U127="","",IF(INDEX('Per Invoice'!I$2:I$401,$U127)="","",INDEX('Per Invoice'!I$2:I$401,$U127)))</f>
        <v/>
      </c>
      <c r="J127">
        <f>IF($U127="","",IF(INDEX('Per Invoice'!J$2:J$401,$U127)="","",INDEX('Per Invoice'!J$2:J$401,$U127)))</f>
        <v/>
      </c>
      <c r="K127">
        <f>IF($U127="","",IF(INDEX('Per Invoice'!K$2:K$401,$U127)="","",INDEX('Per Invoice'!K$2:K$401,$U127)))</f>
        <v/>
      </c>
      <c r="L127" s="7">
        <f>IF($U127="","",IF(INDEX('Per Invoice'!L$2:L$401,$U127)="","",INDEX('Per Invoice'!L$2:L$401,$U127)))</f>
        <v/>
      </c>
      <c r="M127" s="7">
        <f>IF($U127="","",IF(INDEX('Per Invoice'!M$2:M$401,$U127)="","",INDEX('Per Invoice'!M$2:M$401,$U127)))</f>
        <v/>
      </c>
      <c r="N127">
        <f>IF($U127="","",IF(INDEX('Per Invoice'!N$2:N$401,$U127)="","",INDEX('Per Invoice'!N$2:N$401,$U127)))</f>
        <v/>
      </c>
      <c r="O127" s="7">
        <f>IF($U127="","",IF(INDEX('Per Invoice'!O$2:O$401,$U127)="","",INDEX('Per Invoice'!O$2:O$401,$U127)))</f>
        <v/>
      </c>
      <c r="P127" s="7">
        <f>IF($U127="","",IF(INDEX('Per Invoice'!P$2:P$401,$U127)="","",INDEX('Per Invoice'!P$2:P$401,$U127)))</f>
        <v/>
      </c>
      <c r="Q127" s="7">
        <f>IF($U127="","",IF(INDEX('Per Invoice'!Q$2:Q$401,$U127)="","",INDEX('Per Invoice'!Q$2:Q$401,$U127)))</f>
        <v/>
      </c>
      <c r="R127" s="7">
        <f>IF($U127="","",IF(INDEX('Per Invoice'!R$2:R$401,$U127)="","",INDEX('Per Invoice'!R$2:R$401,$U127)))</f>
        <v/>
      </c>
      <c r="S127" s="7">
        <f>IF($U127="","",IF(INDEX('Per Invoice'!S$2:S$401,$U127)="","",INDEX('Per Invoice'!S$2:S$401,$U127)))</f>
        <v/>
      </c>
      <c r="T127" s="7">
        <f>IF($U127="","",IF(INDEX('Per Invoice'!T$2:T$401,$U127)="","",INDEX('Per Invoice'!T$2:T$401,$U127)))</f>
        <v/>
      </c>
      <c r="U127" s="16">
        <f>IFERROR(MATCH(Settings!$C$26&amp;"|"&amp;ROWS($U$2:$U127),'Per Invoice'!$V$2:$V$401,0),"")</f>
        <v/>
      </c>
    </row>
    <row r="128">
      <c r="A128">
        <f>IF($U128="","",IF(INDEX('Per Invoice'!A$2:A$401,$U128)="","",INDEX('Per Invoice'!A$2:A$401,$U128)))</f>
        <v/>
      </c>
      <c r="B128">
        <f>IF($U128="","",IF(INDEX('Per Invoice'!B$2:B$401,$U128)="","",INDEX('Per Invoice'!B$2:B$401,$U128)))</f>
        <v/>
      </c>
      <c r="C128">
        <f>IF($U128="","",IF(INDEX('Per Invoice'!C$2:C$401,$U128)="","",INDEX('Per Invoice'!C$2:C$401,$U128)))</f>
        <v/>
      </c>
      <c r="D128">
        <f>IF($U128="","",IF(INDEX('Per Invoice'!D$2:D$401,$U128)="","",INDEX('Per Invoice'!D$2:D$401,$U128)))</f>
        <v/>
      </c>
      <c r="E128">
        <f>IF($U128="","",IF(INDEX('Per Invoice'!E$2:E$401,$U128)="","",INDEX('Per Invoice'!E$2:E$401,$U128)))</f>
        <v/>
      </c>
      <c r="F128">
        <f>IF($U128="","",IF(INDEX('Per Invoice'!F$2:F$401,$U128)="","",INDEX('Per Invoice'!F$2:F$401,$U128)))</f>
        <v/>
      </c>
      <c r="G128">
        <f>IF($U128="","",IF(INDEX('Per Invoice'!G$2:G$401,$U128)="","",INDEX('Per Invoice'!G$2:G$401,$U128)))</f>
        <v/>
      </c>
      <c r="H128" s="7">
        <f>IF($U128="","",IF(INDEX('Per Invoice'!H$2:H$401,$U128)="","",INDEX('Per Invoice'!H$2:H$401,$U128)))</f>
        <v/>
      </c>
      <c r="I128" s="14">
        <f>IF($U128="","",IF(INDEX('Per Invoice'!I$2:I$401,$U128)="","",INDEX('Per Invoice'!I$2:I$401,$U128)))</f>
        <v/>
      </c>
      <c r="J128">
        <f>IF($U128="","",IF(INDEX('Per Invoice'!J$2:J$401,$U128)="","",INDEX('Per Invoice'!J$2:J$401,$U128)))</f>
        <v/>
      </c>
      <c r="K128">
        <f>IF($U128="","",IF(INDEX('Per Invoice'!K$2:K$401,$U128)="","",INDEX('Per Invoice'!K$2:K$401,$U128)))</f>
        <v/>
      </c>
      <c r="L128" s="7">
        <f>IF($U128="","",IF(INDEX('Per Invoice'!L$2:L$401,$U128)="","",INDEX('Per Invoice'!L$2:L$401,$U128)))</f>
        <v/>
      </c>
      <c r="M128" s="7">
        <f>IF($U128="","",IF(INDEX('Per Invoice'!M$2:M$401,$U128)="","",INDEX('Per Invoice'!M$2:M$401,$U128)))</f>
        <v/>
      </c>
      <c r="N128">
        <f>IF($U128="","",IF(INDEX('Per Invoice'!N$2:N$401,$U128)="","",INDEX('Per Invoice'!N$2:N$401,$U128)))</f>
        <v/>
      </c>
      <c r="O128" s="7">
        <f>IF($U128="","",IF(INDEX('Per Invoice'!O$2:O$401,$U128)="","",INDEX('Per Invoice'!O$2:O$401,$U128)))</f>
        <v/>
      </c>
      <c r="P128" s="7">
        <f>IF($U128="","",IF(INDEX('Per Invoice'!P$2:P$401,$U128)="","",INDEX('Per Invoice'!P$2:P$401,$U128)))</f>
        <v/>
      </c>
      <c r="Q128" s="7">
        <f>IF($U128="","",IF(INDEX('Per Invoice'!Q$2:Q$401,$U128)="","",INDEX('Per Invoice'!Q$2:Q$401,$U128)))</f>
        <v/>
      </c>
      <c r="R128" s="7">
        <f>IF($U128="","",IF(INDEX('Per Invoice'!R$2:R$401,$U128)="","",INDEX('Per Invoice'!R$2:R$401,$U128)))</f>
        <v/>
      </c>
      <c r="S128" s="7">
        <f>IF($U128="","",IF(INDEX('Per Invoice'!S$2:S$401,$U128)="","",INDEX('Per Invoice'!S$2:S$401,$U128)))</f>
        <v/>
      </c>
      <c r="T128" s="7">
        <f>IF($U128="","",IF(INDEX('Per Invoice'!T$2:T$401,$U128)="","",INDEX('Per Invoice'!T$2:T$401,$U128)))</f>
        <v/>
      </c>
      <c r="U128" s="16">
        <f>IFERROR(MATCH(Settings!$C$26&amp;"|"&amp;ROWS($U$2:$U128),'Per Invoice'!$V$2:$V$401,0),"")</f>
        <v/>
      </c>
    </row>
    <row r="129">
      <c r="A129">
        <f>IF($U129="","",IF(INDEX('Per Invoice'!A$2:A$401,$U129)="","",INDEX('Per Invoice'!A$2:A$401,$U129)))</f>
        <v/>
      </c>
      <c r="B129">
        <f>IF($U129="","",IF(INDEX('Per Invoice'!B$2:B$401,$U129)="","",INDEX('Per Invoice'!B$2:B$401,$U129)))</f>
        <v/>
      </c>
      <c r="C129">
        <f>IF($U129="","",IF(INDEX('Per Invoice'!C$2:C$401,$U129)="","",INDEX('Per Invoice'!C$2:C$401,$U129)))</f>
        <v/>
      </c>
      <c r="D129">
        <f>IF($U129="","",IF(INDEX('Per Invoice'!D$2:D$401,$U129)="","",INDEX('Per Invoice'!D$2:D$401,$U129)))</f>
        <v/>
      </c>
      <c r="E129">
        <f>IF($U129="","",IF(INDEX('Per Invoice'!E$2:E$401,$U129)="","",INDEX('Per Invoice'!E$2:E$401,$U129)))</f>
        <v/>
      </c>
      <c r="F129">
        <f>IF($U129="","",IF(INDEX('Per Invoice'!F$2:F$401,$U129)="","",INDEX('Per Invoice'!F$2:F$401,$U129)))</f>
        <v/>
      </c>
      <c r="G129">
        <f>IF($U129="","",IF(INDEX('Per Invoice'!G$2:G$401,$U129)="","",INDEX('Per Invoice'!G$2:G$401,$U129)))</f>
        <v/>
      </c>
      <c r="H129" s="7">
        <f>IF($U129="","",IF(INDEX('Per Invoice'!H$2:H$401,$U129)="","",INDEX('Per Invoice'!H$2:H$401,$U129)))</f>
        <v/>
      </c>
      <c r="I129" s="14">
        <f>IF($U129="","",IF(INDEX('Per Invoice'!I$2:I$401,$U129)="","",INDEX('Per Invoice'!I$2:I$401,$U129)))</f>
        <v/>
      </c>
      <c r="J129">
        <f>IF($U129="","",IF(INDEX('Per Invoice'!J$2:J$401,$U129)="","",INDEX('Per Invoice'!J$2:J$401,$U129)))</f>
        <v/>
      </c>
      <c r="K129">
        <f>IF($U129="","",IF(INDEX('Per Invoice'!K$2:K$401,$U129)="","",INDEX('Per Invoice'!K$2:K$401,$U129)))</f>
        <v/>
      </c>
      <c r="L129" s="7">
        <f>IF($U129="","",IF(INDEX('Per Invoice'!L$2:L$401,$U129)="","",INDEX('Per Invoice'!L$2:L$401,$U129)))</f>
        <v/>
      </c>
      <c r="M129" s="7">
        <f>IF($U129="","",IF(INDEX('Per Invoice'!M$2:M$401,$U129)="","",INDEX('Per Invoice'!M$2:M$401,$U129)))</f>
        <v/>
      </c>
      <c r="N129">
        <f>IF($U129="","",IF(INDEX('Per Invoice'!N$2:N$401,$U129)="","",INDEX('Per Invoice'!N$2:N$401,$U129)))</f>
        <v/>
      </c>
      <c r="O129" s="7">
        <f>IF($U129="","",IF(INDEX('Per Invoice'!O$2:O$401,$U129)="","",INDEX('Per Invoice'!O$2:O$401,$U129)))</f>
        <v/>
      </c>
      <c r="P129" s="7">
        <f>IF($U129="","",IF(INDEX('Per Invoice'!P$2:P$401,$U129)="","",INDEX('Per Invoice'!P$2:P$401,$U129)))</f>
        <v/>
      </c>
      <c r="Q129" s="7">
        <f>IF($U129="","",IF(INDEX('Per Invoice'!Q$2:Q$401,$U129)="","",INDEX('Per Invoice'!Q$2:Q$401,$U129)))</f>
        <v/>
      </c>
      <c r="R129" s="7">
        <f>IF($U129="","",IF(INDEX('Per Invoice'!R$2:R$401,$U129)="","",INDEX('Per Invoice'!R$2:R$401,$U129)))</f>
        <v/>
      </c>
      <c r="S129" s="7">
        <f>IF($U129="","",IF(INDEX('Per Invoice'!S$2:S$401,$U129)="","",INDEX('Per Invoice'!S$2:S$401,$U129)))</f>
        <v/>
      </c>
      <c r="T129" s="7">
        <f>IF($U129="","",IF(INDEX('Per Invoice'!T$2:T$401,$U129)="","",INDEX('Per Invoice'!T$2:T$401,$U129)))</f>
        <v/>
      </c>
      <c r="U129" s="16">
        <f>IFERROR(MATCH(Settings!$C$26&amp;"|"&amp;ROWS($U$2:$U129),'Per Invoice'!$V$2:$V$401,0),"")</f>
        <v/>
      </c>
    </row>
    <row r="130">
      <c r="A130">
        <f>IF($U130="","",IF(INDEX('Per Invoice'!A$2:A$401,$U130)="","",INDEX('Per Invoice'!A$2:A$401,$U130)))</f>
        <v/>
      </c>
      <c r="B130">
        <f>IF($U130="","",IF(INDEX('Per Invoice'!B$2:B$401,$U130)="","",INDEX('Per Invoice'!B$2:B$401,$U130)))</f>
        <v/>
      </c>
      <c r="C130">
        <f>IF($U130="","",IF(INDEX('Per Invoice'!C$2:C$401,$U130)="","",INDEX('Per Invoice'!C$2:C$401,$U130)))</f>
        <v/>
      </c>
      <c r="D130">
        <f>IF($U130="","",IF(INDEX('Per Invoice'!D$2:D$401,$U130)="","",INDEX('Per Invoice'!D$2:D$401,$U130)))</f>
        <v/>
      </c>
      <c r="E130">
        <f>IF($U130="","",IF(INDEX('Per Invoice'!E$2:E$401,$U130)="","",INDEX('Per Invoice'!E$2:E$401,$U130)))</f>
        <v/>
      </c>
      <c r="F130">
        <f>IF($U130="","",IF(INDEX('Per Invoice'!F$2:F$401,$U130)="","",INDEX('Per Invoice'!F$2:F$401,$U130)))</f>
        <v/>
      </c>
      <c r="G130">
        <f>IF($U130="","",IF(INDEX('Per Invoice'!G$2:G$401,$U130)="","",INDEX('Per Invoice'!G$2:G$401,$U130)))</f>
        <v/>
      </c>
      <c r="H130" s="7">
        <f>IF($U130="","",IF(INDEX('Per Invoice'!H$2:H$401,$U130)="","",INDEX('Per Invoice'!H$2:H$401,$U130)))</f>
        <v/>
      </c>
      <c r="I130" s="14">
        <f>IF($U130="","",IF(INDEX('Per Invoice'!I$2:I$401,$U130)="","",INDEX('Per Invoice'!I$2:I$401,$U130)))</f>
        <v/>
      </c>
      <c r="J130">
        <f>IF($U130="","",IF(INDEX('Per Invoice'!J$2:J$401,$U130)="","",INDEX('Per Invoice'!J$2:J$401,$U130)))</f>
        <v/>
      </c>
      <c r="K130">
        <f>IF($U130="","",IF(INDEX('Per Invoice'!K$2:K$401,$U130)="","",INDEX('Per Invoice'!K$2:K$401,$U130)))</f>
        <v/>
      </c>
      <c r="L130" s="7">
        <f>IF($U130="","",IF(INDEX('Per Invoice'!L$2:L$401,$U130)="","",INDEX('Per Invoice'!L$2:L$401,$U130)))</f>
        <v/>
      </c>
      <c r="M130" s="7">
        <f>IF($U130="","",IF(INDEX('Per Invoice'!M$2:M$401,$U130)="","",INDEX('Per Invoice'!M$2:M$401,$U130)))</f>
        <v/>
      </c>
      <c r="N130">
        <f>IF($U130="","",IF(INDEX('Per Invoice'!N$2:N$401,$U130)="","",INDEX('Per Invoice'!N$2:N$401,$U130)))</f>
        <v/>
      </c>
      <c r="O130" s="7">
        <f>IF($U130="","",IF(INDEX('Per Invoice'!O$2:O$401,$U130)="","",INDEX('Per Invoice'!O$2:O$401,$U130)))</f>
        <v/>
      </c>
      <c r="P130" s="7">
        <f>IF($U130="","",IF(INDEX('Per Invoice'!P$2:P$401,$U130)="","",INDEX('Per Invoice'!P$2:P$401,$U130)))</f>
        <v/>
      </c>
      <c r="Q130" s="7">
        <f>IF($U130="","",IF(INDEX('Per Invoice'!Q$2:Q$401,$U130)="","",INDEX('Per Invoice'!Q$2:Q$401,$U130)))</f>
        <v/>
      </c>
      <c r="R130" s="7">
        <f>IF($U130="","",IF(INDEX('Per Invoice'!R$2:R$401,$U130)="","",INDEX('Per Invoice'!R$2:R$401,$U130)))</f>
        <v/>
      </c>
      <c r="S130" s="7">
        <f>IF($U130="","",IF(INDEX('Per Invoice'!S$2:S$401,$U130)="","",INDEX('Per Invoice'!S$2:S$401,$U130)))</f>
        <v/>
      </c>
      <c r="T130" s="7">
        <f>IF($U130="","",IF(INDEX('Per Invoice'!T$2:T$401,$U130)="","",INDEX('Per Invoice'!T$2:T$401,$U130)))</f>
        <v/>
      </c>
      <c r="U130" s="16">
        <f>IFERROR(MATCH(Settings!$C$26&amp;"|"&amp;ROWS($U$2:$U130),'Per Invoice'!$V$2:$V$401,0),"")</f>
        <v/>
      </c>
    </row>
    <row r="131">
      <c r="A131">
        <f>IF($U131="","",IF(INDEX('Per Invoice'!A$2:A$401,$U131)="","",INDEX('Per Invoice'!A$2:A$401,$U131)))</f>
        <v/>
      </c>
      <c r="B131">
        <f>IF($U131="","",IF(INDEX('Per Invoice'!B$2:B$401,$U131)="","",INDEX('Per Invoice'!B$2:B$401,$U131)))</f>
        <v/>
      </c>
      <c r="C131">
        <f>IF($U131="","",IF(INDEX('Per Invoice'!C$2:C$401,$U131)="","",INDEX('Per Invoice'!C$2:C$401,$U131)))</f>
        <v/>
      </c>
      <c r="D131">
        <f>IF($U131="","",IF(INDEX('Per Invoice'!D$2:D$401,$U131)="","",INDEX('Per Invoice'!D$2:D$401,$U131)))</f>
        <v/>
      </c>
      <c r="E131">
        <f>IF($U131="","",IF(INDEX('Per Invoice'!E$2:E$401,$U131)="","",INDEX('Per Invoice'!E$2:E$401,$U131)))</f>
        <v/>
      </c>
      <c r="F131">
        <f>IF($U131="","",IF(INDEX('Per Invoice'!F$2:F$401,$U131)="","",INDEX('Per Invoice'!F$2:F$401,$U131)))</f>
        <v/>
      </c>
      <c r="G131">
        <f>IF($U131="","",IF(INDEX('Per Invoice'!G$2:G$401,$U131)="","",INDEX('Per Invoice'!G$2:G$401,$U131)))</f>
        <v/>
      </c>
      <c r="H131" s="7">
        <f>IF($U131="","",IF(INDEX('Per Invoice'!H$2:H$401,$U131)="","",INDEX('Per Invoice'!H$2:H$401,$U131)))</f>
        <v/>
      </c>
      <c r="I131" s="14">
        <f>IF($U131="","",IF(INDEX('Per Invoice'!I$2:I$401,$U131)="","",INDEX('Per Invoice'!I$2:I$401,$U131)))</f>
        <v/>
      </c>
      <c r="J131">
        <f>IF($U131="","",IF(INDEX('Per Invoice'!J$2:J$401,$U131)="","",INDEX('Per Invoice'!J$2:J$401,$U131)))</f>
        <v/>
      </c>
      <c r="K131">
        <f>IF($U131="","",IF(INDEX('Per Invoice'!K$2:K$401,$U131)="","",INDEX('Per Invoice'!K$2:K$401,$U131)))</f>
        <v/>
      </c>
      <c r="L131" s="7">
        <f>IF($U131="","",IF(INDEX('Per Invoice'!L$2:L$401,$U131)="","",INDEX('Per Invoice'!L$2:L$401,$U131)))</f>
        <v/>
      </c>
      <c r="M131" s="7">
        <f>IF($U131="","",IF(INDEX('Per Invoice'!M$2:M$401,$U131)="","",INDEX('Per Invoice'!M$2:M$401,$U131)))</f>
        <v/>
      </c>
      <c r="N131">
        <f>IF($U131="","",IF(INDEX('Per Invoice'!N$2:N$401,$U131)="","",INDEX('Per Invoice'!N$2:N$401,$U131)))</f>
        <v/>
      </c>
      <c r="O131" s="7">
        <f>IF($U131="","",IF(INDEX('Per Invoice'!O$2:O$401,$U131)="","",INDEX('Per Invoice'!O$2:O$401,$U131)))</f>
        <v/>
      </c>
      <c r="P131" s="7">
        <f>IF($U131="","",IF(INDEX('Per Invoice'!P$2:P$401,$U131)="","",INDEX('Per Invoice'!P$2:P$401,$U131)))</f>
        <v/>
      </c>
      <c r="Q131" s="7">
        <f>IF($U131="","",IF(INDEX('Per Invoice'!Q$2:Q$401,$U131)="","",INDEX('Per Invoice'!Q$2:Q$401,$U131)))</f>
        <v/>
      </c>
      <c r="R131" s="7">
        <f>IF($U131="","",IF(INDEX('Per Invoice'!R$2:R$401,$U131)="","",INDEX('Per Invoice'!R$2:R$401,$U131)))</f>
        <v/>
      </c>
      <c r="S131" s="7">
        <f>IF($U131="","",IF(INDEX('Per Invoice'!S$2:S$401,$U131)="","",INDEX('Per Invoice'!S$2:S$401,$U131)))</f>
        <v/>
      </c>
      <c r="T131" s="7">
        <f>IF($U131="","",IF(INDEX('Per Invoice'!T$2:T$401,$U131)="","",INDEX('Per Invoice'!T$2:T$401,$U131)))</f>
        <v/>
      </c>
      <c r="U131" s="16">
        <f>IFERROR(MATCH(Settings!$C$26&amp;"|"&amp;ROWS($U$2:$U131),'Per Invoice'!$V$2:$V$401,0),"")</f>
        <v/>
      </c>
    </row>
    <row r="132">
      <c r="A132">
        <f>IF($U132="","",IF(INDEX('Per Invoice'!A$2:A$401,$U132)="","",INDEX('Per Invoice'!A$2:A$401,$U132)))</f>
        <v/>
      </c>
      <c r="B132">
        <f>IF($U132="","",IF(INDEX('Per Invoice'!B$2:B$401,$U132)="","",INDEX('Per Invoice'!B$2:B$401,$U132)))</f>
        <v/>
      </c>
      <c r="C132">
        <f>IF($U132="","",IF(INDEX('Per Invoice'!C$2:C$401,$U132)="","",INDEX('Per Invoice'!C$2:C$401,$U132)))</f>
        <v/>
      </c>
      <c r="D132">
        <f>IF($U132="","",IF(INDEX('Per Invoice'!D$2:D$401,$U132)="","",INDEX('Per Invoice'!D$2:D$401,$U132)))</f>
        <v/>
      </c>
      <c r="E132">
        <f>IF($U132="","",IF(INDEX('Per Invoice'!E$2:E$401,$U132)="","",INDEX('Per Invoice'!E$2:E$401,$U132)))</f>
        <v/>
      </c>
      <c r="F132">
        <f>IF($U132="","",IF(INDEX('Per Invoice'!F$2:F$401,$U132)="","",INDEX('Per Invoice'!F$2:F$401,$U132)))</f>
        <v/>
      </c>
      <c r="G132">
        <f>IF($U132="","",IF(INDEX('Per Invoice'!G$2:G$401,$U132)="","",INDEX('Per Invoice'!G$2:G$401,$U132)))</f>
        <v/>
      </c>
      <c r="H132" s="7">
        <f>IF($U132="","",IF(INDEX('Per Invoice'!H$2:H$401,$U132)="","",INDEX('Per Invoice'!H$2:H$401,$U132)))</f>
        <v/>
      </c>
      <c r="I132" s="14">
        <f>IF($U132="","",IF(INDEX('Per Invoice'!I$2:I$401,$U132)="","",INDEX('Per Invoice'!I$2:I$401,$U132)))</f>
        <v/>
      </c>
      <c r="J132">
        <f>IF($U132="","",IF(INDEX('Per Invoice'!J$2:J$401,$U132)="","",INDEX('Per Invoice'!J$2:J$401,$U132)))</f>
        <v/>
      </c>
      <c r="K132">
        <f>IF($U132="","",IF(INDEX('Per Invoice'!K$2:K$401,$U132)="","",INDEX('Per Invoice'!K$2:K$401,$U132)))</f>
        <v/>
      </c>
      <c r="L132" s="7">
        <f>IF($U132="","",IF(INDEX('Per Invoice'!L$2:L$401,$U132)="","",INDEX('Per Invoice'!L$2:L$401,$U132)))</f>
        <v/>
      </c>
      <c r="M132" s="7">
        <f>IF($U132="","",IF(INDEX('Per Invoice'!M$2:M$401,$U132)="","",INDEX('Per Invoice'!M$2:M$401,$U132)))</f>
        <v/>
      </c>
      <c r="N132">
        <f>IF($U132="","",IF(INDEX('Per Invoice'!N$2:N$401,$U132)="","",INDEX('Per Invoice'!N$2:N$401,$U132)))</f>
        <v/>
      </c>
      <c r="O132" s="7">
        <f>IF($U132="","",IF(INDEX('Per Invoice'!O$2:O$401,$U132)="","",INDEX('Per Invoice'!O$2:O$401,$U132)))</f>
        <v/>
      </c>
      <c r="P132" s="7">
        <f>IF($U132="","",IF(INDEX('Per Invoice'!P$2:P$401,$U132)="","",INDEX('Per Invoice'!P$2:P$401,$U132)))</f>
        <v/>
      </c>
      <c r="Q132" s="7">
        <f>IF($U132="","",IF(INDEX('Per Invoice'!Q$2:Q$401,$U132)="","",INDEX('Per Invoice'!Q$2:Q$401,$U132)))</f>
        <v/>
      </c>
      <c r="R132" s="7">
        <f>IF($U132="","",IF(INDEX('Per Invoice'!R$2:R$401,$U132)="","",INDEX('Per Invoice'!R$2:R$401,$U132)))</f>
        <v/>
      </c>
      <c r="S132" s="7">
        <f>IF($U132="","",IF(INDEX('Per Invoice'!S$2:S$401,$U132)="","",INDEX('Per Invoice'!S$2:S$401,$U132)))</f>
        <v/>
      </c>
      <c r="T132" s="7">
        <f>IF($U132="","",IF(INDEX('Per Invoice'!T$2:T$401,$U132)="","",INDEX('Per Invoice'!T$2:T$401,$U132)))</f>
        <v/>
      </c>
      <c r="U132" s="16">
        <f>IFERROR(MATCH(Settings!$C$26&amp;"|"&amp;ROWS($U$2:$U132),'Per Invoice'!$V$2:$V$401,0),"")</f>
        <v/>
      </c>
    </row>
    <row r="133">
      <c r="A133">
        <f>IF($U133="","",IF(INDEX('Per Invoice'!A$2:A$401,$U133)="","",INDEX('Per Invoice'!A$2:A$401,$U133)))</f>
        <v/>
      </c>
      <c r="B133">
        <f>IF($U133="","",IF(INDEX('Per Invoice'!B$2:B$401,$U133)="","",INDEX('Per Invoice'!B$2:B$401,$U133)))</f>
        <v/>
      </c>
      <c r="C133">
        <f>IF($U133="","",IF(INDEX('Per Invoice'!C$2:C$401,$U133)="","",INDEX('Per Invoice'!C$2:C$401,$U133)))</f>
        <v/>
      </c>
      <c r="D133">
        <f>IF($U133="","",IF(INDEX('Per Invoice'!D$2:D$401,$U133)="","",INDEX('Per Invoice'!D$2:D$401,$U133)))</f>
        <v/>
      </c>
      <c r="E133">
        <f>IF($U133="","",IF(INDEX('Per Invoice'!E$2:E$401,$U133)="","",INDEX('Per Invoice'!E$2:E$401,$U133)))</f>
        <v/>
      </c>
      <c r="F133">
        <f>IF($U133="","",IF(INDEX('Per Invoice'!F$2:F$401,$U133)="","",INDEX('Per Invoice'!F$2:F$401,$U133)))</f>
        <v/>
      </c>
      <c r="G133">
        <f>IF($U133="","",IF(INDEX('Per Invoice'!G$2:G$401,$U133)="","",INDEX('Per Invoice'!G$2:G$401,$U133)))</f>
        <v/>
      </c>
      <c r="H133" s="7">
        <f>IF($U133="","",IF(INDEX('Per Invoice'!H$2:H$401,$U133)="","",INDEX('Per Invoice'!H$2:H$401,$U133)))</f>
        <v/>
      </c>
      <c r="I133" s="14">
        <f>IF($U133="","",IF(INDEX('Per Invoice'!I$2:I$401,$U133)="","",INDEX('Per Invoice'!I$2:I$401,$U133)))</f>
        <v/>
      </c>
      <c r="J133">
        <f>IF($U133="","",IF(INDEX('Per Invoice'!J$2:J$401,$U133)="","",INDEX('Per Invoice'!J$2:J$401,$U133)))</f>
        <v/>
      </c>
      <c r="K133">
        <f>IF($U133="","",IF(INDEX('Per Invoice'!K$2:K$401,$U133)="","",INDEX('Per Invoice'!K$2:K$401,$U133)))</f>
        <v/>
      </c>
      <c r="L133" s="7">
        <f>IF($U133="","",IF(INDEX('Per Invoice'!L$2:L$401,$U133)="","",INDEX('Per Invoice'!L$2:L$401,$U133)))</f>
        <v/>
      </c>
      <c r="M133" s="7">
        <f>IF($U133="","",IF(INDEX('Per Invoice'!M$2:M$401,$U133)="","",INDEX('Per Invoice'!M$2:M$401,$U133)))</f>
        <v/>
      </c>
      <c r="N133">
        <f>IF($U133="","",IF(INDEX('Per Invoice'!N$2:N$401,$U133)="","",INDEX('Per Invoice'!N$2:N$401,$U133)))</f>
        <v/>
      </c>
      <c r="O133" s="7">
        <f>IF($U133="","",IF(INDEX('Per Invoice'!O$2:O$401,$U133)="","",INDEX('Per Invoice'!O$2:O$401,$U133)))</f>
        <v/>
      </c>
      <c r="P133" s="7">
        <f>IF($U133="","",IF(INDEX('Per Invoice'!P$2:P$401,$U133)="","",INDEX('Per Invoice'!P$2:P$401,$U133)))</f>
        <v/>
      </c>
      <c r="Q133" s="7">
        <f>IF($U133="","",IF(INDEX('Per Invoice'!Q$2:Q$401,$U133)="","",INDEX('Per Invoice'!Q$2:Q$401,$U133)))</f>
        <v/>
      </c>
      <c r="R133" s="7">
        <f>IF($U133="","",IF(INDEX('Per Invoice'!R$2:R$401,$U133)="","",INDEX('Per Invoice'!R$2:R$401,$U133)))</f>
        <v/>
      </c>
      <c r="S133" s="7">
        <f>IF($U133="","",IF(INDEX('Per Invoice'!S$2:S$401,$U133)="","",INDEX('Per Invoice'!S$2:S$401,$U133)))</f>
        <v/>
      </c>
      <c r="T133" s="7">
        <f>IF($U133="","",IF(INDEX('Per Invoice'!T$2:T$401,$U133)="","",INDEX('Per Invoice'!T$2:T$401,$U133)))</f>
        <v/>
      </c>
      <c r="U133" s="16">
        <f>IFERROR(MATCH(Settings!$C$26&amp;"|"&amp;ROWS($U$2:$U133),'Per Invoice'!$V$2:$V$401,0),"")</f>
        <v/>
      </c>
    </row>
    <row r="134">
      <c r="A134">
        <f>IF($U134="","",IF(INDEX('Per Invoice'!A$2:A$401,$U134)="","",INDEX('Per Invoice'!A$2:A$401,$U134)))</f>
        <v/>
      </c>
      <c r="B134">
        <f>IF($U134="","",IF(INDEX('Per Invoice'!B$2:B$401,$U134)="","",INDEX('Per Invoice'!B$2:B$401,$U134)))</f>
        <v/>
      </c>
      <c r="C134">
        <f>IF($U134="","",IF(INDEX('Per Invoice'!C$2:C$401,$U134)="","",INDEX('Per Invoice'!C$2:C$401,$U134)))</f>
        <v/>
      </c>
      <c r="D134">
        <f>IF($U134="","",IF(INDEX('Per Invoice'!D$2:D$401,$U134)="","",INDEX('Per Invoice'!D$2:D$401,$U134)))</f>
        <v/>
      </c>
      <c r="E134">
        <f>IF($U134="","",IF(INDEX('Per Invoice'!E$2:E$401,$U134)="","",INDEX('Per Invoice'!E$2:E$401,$U134)))</f>
        <v/>
      </c>
      <c r="F134">
        <f>IF($U134="","",IF(INDEX('Per Invoice'!F$2:F$401,$U134)="","",INDEX('Per Invoice'!F$2:F$401,$U134)))</f>
        <v/>
      </c>
      <c r="G134">
        <f>IF($U134="","",IF(INDEX('Per Invoice'!G$2:G$401,$U134)="","",INDEX('Per Invoice'!G$2:G$401,$U134)))</f>
        <v/>
      </c>
      <c r="H134" s="7">
        <f>IF($U134="","",IF(INDEX('Per Invoice'!H$2:H$401,$U134)="","",INDEX('Per Invoice'!H$2:H$401,$U134)))</f>
        <v/>
      </c>
      <c r="I134" s="14">
        <f>IF($U134="","",IF(INDEX('Per Invoice'!I$2:I$401,$U134)="","",INDEX('Per Invoice'!I$2:I$401,$U134)))</f>
        <v/>
      </c>
      <c r="J134">
        <f>IF($U134="","",IF(INDEX('Per Invoice'!J$2:J$401,$U134)="","",INDEX('Per Invoice'!J$2:J$401,$U134)))</f>
        <v/>
      </c>
      <c r="K134">
        <f>IF($U134="","",IF(INDEX('Per Invoice'!K$2:K$401,$U134)="","",INDEX('Per Invoice'!K$2:K$401,$U134)))</f>
        <v/>
      </c>
      <c r="L134" s="7">
        <f>IF($U134="","",IF(INDEX('Per Invoice'!L$2:L$401,$U134)="","",INDEX('Per Invoice'!L$2:L$401,$U134)))</f>
        <v/>
      </c>
      <c r="M134" s="7">
        <f>IF($U134="","",IF(INDEX('Per Invoice'!M$2:M$401,$U134)="","",INDEX('Per Invoice'!M$2:M$401,$U134)))</f>
        <v/>
      </c>
      <c r="N134">
        <f>IF($U134="","",IF(INDEX('Per Invoice'!N$2:N$401,$U134)="","",INDEX('Per Invoice'!N$2:N$401,$U134)))</f>
        <v/>
      </c>
      <c r="O134" s="7">
        <f>IF($U134="","",IF(INDEX('Per Invoice'!O$2:O$401,$U134)="","",INDEX('Per Invoice'!O$2:O$401,$U134)))</f>
        <v/>
      </c>
      <c r="P134" s="7">
        <f>IF($U134="","",IF(INDEX('Per Invoice'!P$2:P$401,$U134)="","",INDEX('Per Invoice'!P$2:P$401,$U134)))</f>
        <v/>
      </c>
      <c r="Q134" s="7">
        <f>IF($U134="","",IF(INDEX('Per Invoice'!Q$2:Q$401,$U134)="","",INDEX('Per Invoice'!Q$2:Q$401,$U134)))</f>
        <v/>
      </c>
      <c r="R134" s="7">
        <f>IF($U134="","",IF(INDEX('Per Invoice'!R$2:R$401,$U134)="","",INDEX('Per Invoice'!R$2:R$401,$U134)))</f>
        <v/>
      </c>
      <c r="S134" s="7">
        <f>IF($U134="","",IF(INDEX('Per Invoice'!S$2:S$401,$U134)="","",INDEX('Per Invoice'!S$2:S$401,$U134)))</f>
        <v/>
      </c>
      <c r="T134" s="7">
        <f>IF($U134="","",IF(INDEX('Per Invoice'!T$2:T$401,$U134)="","",INDEX('Per Invoice'!T$2:T$401,$U134)))</f>
        <v/>
      </c>
      <c r="U134" s="16">
        <f>IFERROR(MATCH(Settings!$C$26&amp;"|"&amp;ROWS($U$2:$U134),'Per Invoice'!$V$2:$V$401,0),"")</f>
        <v/>
      </c>
    </row>
    <row r="135">
      <c r="A135">
        <f>IF($U135="","",IF(INDEX('Per Invoice'!A$2:A$401,$U135)="","",INDEX('Per Invoice'!A$2:A$401,$U135)))</f>
        <v/>
      </c>
      <c r="B135">
        <f>IF($U135="","",IF(INDEX('Per Invoice'!B$2:B$401,$U135)="","",INDEX('Per Invoice'!B$2:B$401,$U135)))</f>
        <v/>
      </c>
      <c r="C135">
        <f>IF($U135="","",IF(INDEX('Per Invoice'!C$2:C$401,$U135)="","",INDEX('Per Invoice'!C$2:C$401,$U135)))</f>
        <v/>
      </c>
      <c r="D135">
        <f>IF($U135="","",IF(INDEX('Per Invoice'!D$2:D$401,$U135)="","",INDEX('Per Invoice'!D$2:D$401,$U135)))</f>
        <v/>
      </c>
      <c r="E135">
        <f>IF($U135="","",IF(INDEX('Per Invoice'!E$2:E$401,$U135)="","",INDEX('Per Invoice'!E$2:E$401,$U135)))</f>
        <v/>
      </c>
      <c r="F135">
        <f>IF($U135="","",IF(INDEX('Per Invoice'!F$2:F$401,$U135)="","",INDEX('Per Invoice'!F$2:F$401,$U135)))</f>
        <v/>
      </c>
      <c r="G135">
        <f>IF($U135="","",IF(INDEX('Per Invoice'!G$2:G$401,$U135)="","",INDEX('Per Invoice'!G$2:G$401,$U135)))</f>
        <v/>
      </c>
      <c r="H135" s="7">
        <f>IF($U135="","",IF(INDEX('Per Invoice'!H$2:H$401,$U135)="","",INDEX('Per Invoice'!H$2:H$401,$U135)))</f>
        <v/>
      </c>
      <c r="I135" s="14">
        <f>IF($U135="","",IF(INDEX('Per Invoice'!I$2:I$401,$U135)="","",INDEX('Per Invoice'!I$2:I$401,$U135)))</f>
        <v/>
      </c>
      <c r="J135">
        <f>IF($U135="","",IF(INDEX('Per Invoice'!J$2:J$401,$U135)="","",INDEX('Per Invoice'!J$2:J$401,$U135)))</f>
        <v/>
      </c>
      <c r="K135">
        <f>IF($U135="","",IF(INDEX('Per Invoice'!K$2:K$401,$U135)="","",INDEX('Per Invoice'!K$2:K$401,$U135)))</f>
        <v/>
      </c>
      <c r="L135" s="7">
        <f>IF($U135="","",IF(INDEX('Per Invoice'!L$2:L$401,$U135)="","",INDEX('Per Invoice'!L$2:L$401,$U135)))</f>
        <v/>
      </c>
      <c r="M135" s="7">
        <f>IF($U135="","",IF(INDEX('Per Invoice'!M$2:M$401,$U135)="","",INDEX('Per Invoice'!M$2:M$401,$U135)))</f>
        <v/>
      </c>
      <c r="N135">
        <f>IF($U135="","",IF(INDEX('Per Invoice'!N$2:N$401,$U135)="","",INDEX('Per Invoice'!N$2:N$401,$U135)))</f>
        <v/>
      </c>
      <c r="O135" s="7">
        <f>IF($U135="","",IF(INDEX('Per Invoice'!O$2:O$401,$U135)="","",INDEX('Per Invoice'!O$2:O$401,$U135)))</f>
        <v/>
      </c>
      <c r="P135" s="7">
        <f>IF($U135="","",IF(INDEX('Per Invoice'!P$2:P$401,$U135)="","",INDEX('Per Invoice'!P$2:P$401,$U135)))</f>
        <v/>
      </c>
      <c r="Q135" s="7">
        <f>IF($U135="","",IF(INDEX('Per Invoice'!Q$2:Q$401,$U135)="","",INDEX('Per Invoice'!Q$2:Q$401,$U135)))</f>
        <v/>
      </c>
      <c r="R135" s="7">
        <f>IF($U135="","",IF(INDEX('Per Invoice'!R$2:R$401,$U135)="","",INDEX('Per Invoice'!R$2:R$401,$U135)))</f>
        <v/>
      </c>
      <c r="S135" s="7">
        <f>IF($U135="","",IF(INDEX('Per Invoice'!S$2:S$401,$U135)="","",INDEX('Per Invoice'!S$2:S$401,$U135)))</f>
        <v/>
      </c>
      <c r="T135" s="7">
        <f>IF($U135="","",IF(INDEX('Per Invoice'!T$2:T$401,$U135)="","",INDEX('Per Invoice'!T$2:T$401,$U135)))</f>
        <v/>
      </c>
      <c r="U135" s="16">
        <f>IFERROR(MATCH(Settings!$C$26&amp;"|"&amp;ROWS($U$2:$U135),'Per Invoice'!$V$2:$V$401,0),"")</f>
        <v/>
      </c>
    </row>
    <row r="136">
      <c r="A136">
        <f>IF($U136="","",IF(INDEX('Per Invoice'!A$2:A$401,$U136)="","",INDEX('Per Invoice'!A$2:A$401,$U136)))</f>
        <v/>
      </c>
      <c r="B136">
        <f>IF($U136="","",IF(INDEX('Per Invoice'!B$2:B$401,$U136)="","",INDEX('Per Invoice'!B$2:B$401,$U136)))</f>
        <v/>
      </c>
      <c r="C136">
        <f>IF($U136="","",IF(INDEX('Per Invoice'!C$2:C$401,$U136)="","",INDEX('Per Invoice'!C$2:C$401,$U136)))</f>
        <v/>
      </c>
      <c r="D136">
        <f>IF($U136="","",IF(INDEX('Per Invoice'!D$2:D$401,$U136)="","",INDEX('Per Invoice'!D$2:D$401,$U136)))</f>
        <v/>
      </c>
      <c r="E136">
        <f>IF($U136="","",IF(INDEX('Per Invoice'!E$2:E$401,$U136)="","",INDEX('Per Invoice'!E$2:E$401,$U136)))</f>
        <v/>
      </c>
      <c r="F136">
        <f>IF($U136="","",IF(INDEX('Per Invoice'!F$2:F$401,$U136)="","",INDEX('Per Invoice'!F$2:F$401,$U136)))</f>
        <v/>
      </c>
      <c r="G136">
        <f>IF($U136="","",IF(INDEX('Per Invoice'!G$2:G$401,$U136)="","",INDEX('Per Invoice'!G$2:G$401,$U136)))</f>
        <v/>
      </c>
      <c r="H136" s="7">
        <f>IF($U136="","",IF(INDEX('Per Invoice'!H$2:H$401,$U136)="","",INDEX('Per Invoice'!H$2:H$401,$U136)))</f>
        <v/>
      </c>
      <c r="I136" s="14">
        <f>IF($U136="","",IF(INDEX('Per Invoice'!I$2:I$401,$U136)="","",INDEX('Per Invoice'!I$2:I$401,$U136)))</f>
        <v/>
      </c>
      <c r="J136">
        <f>IF($U136="","",IF(INDEX('Per Invoice'!J$2:J$401,$U136)="","",INDEX('Per Invoice'!J$2:J$401,$U136)))</f>
        <v/>
      </c>
      <c r="K136">
        <f>IF($U136="","",IF(INDEX('Per Invoice'!K$2:K$401,$U136)="","",INDEX('Per Invoice'!K$2:K$401,$U136)))</f>
        <v/>
      </c>
      <c r="L136" s="7">
        <f>IF($U136="","",IF(INDEX('Per Invoice'!L$2:L$401,$U136)="","",INDEX('Per Invoice'!L$2:L$401,$U136)))</f>
        <v/>
      </c>
      <c r="M136" s="7">
        <f>IF($U136="","",IF(INDEX('Per Invoice'!M$2:M$401,$U136)="","",INDEX('Per Invoice'!M$2:M$401,$U136)))</f>
        <v/>
      </c>
      <c r="N136">
        <f>IF($U136="","",IF(INDEX('Per Invoice'!N$2:N$401,$U136)="","",INDEX('Per Invoice'!N$2:N$401,$U136)))</f>
        <v/>
      </c>
      <c r="O136" s="7">
        <f>IF($U136="","",IF(INDEX('Per Invoice'!O$2:O$401,$U136)="","",INDEX('Per Invoice'!O$2:O$401,$U136)))</f>
        <v/>
      </c>
      <c r="P136" s="7">
        <f>IF($U136="","",IF(INDEX('Per Invoice'!P$2:P$401,$U136)="","",INDEX('Per Invoice'!P$2:P$401,$U136)))</f>
        <v/>
      </c>
      <c r="Q136" s="7">
        <f>IF($U136="","",IF(INDEX('Per Invoice'!Q$2:Q$401,$U136)="","",INDEX('Per Invoice'!Q$2:Q$401,$U136)))</f>
        <v/>
      </c>
      <c r="R136" s="7">
        <f>IF($U136="","",IF(INDEX('Per Invoice'!R$2:R$401,$U136)="","",INDEX('Per Invoice'!R$2:R$401,$U136)))</f>
        <v/>
      </c>
      <c r="S136" s="7">
        <f>IF($U136="","",IF(INDEX('Per Invoice'!S$2:S$401,$U136)="","",INDEX('Per Invoice'!S$2:S$401,$U136)))</f>
        <v/>
      </c>
      <c r="T136" s="7">
        <f>IF($U136="","",IF(INDEX('Per Invoice'!T$2:T$401,$U136)="","",INDEX('Per Invoice'!T$2:T$401,$U136)))</f>
        <v/>
      </c>
      <c r="U136" s="16">
        <f>IFERROR(MATCH(Settings!$C$26&amp;"|"&amp;ROWS($U$2:$U136),'Per Invoice'!$V$2:$V$401,0),"")</f>
        <v/>
      </c>
    </row>
    <row r="137">
      <c r="A137">
        <f>IF($U137="","",IF(INDEX('Per Invoice'!A$2:A$401,$U137)="","",INDEX('Per Invoice'!A$2:A$401,$U137)))</f>
        <v/>
      </c>
      <c r="B137">
        <f>IF($U137="","",IF(INDEX('Per Invoice'!B$2:B$401,$U137)="","",INDEX('Per Invoice'!B$2:B$401,$U137)))</f>
        <v/>
      </c>
      <c r="C137">
        <f>IF($U137="","",IF(INDEX('Per Invoice'!C$2:C$401,$U137)="","",INDEX('Per Invoice'!C$2:C$401,$U137)))</f>
        <v/>
      </c>
      <c r="D137">
        <f>IF($U137="","",IF(INDEX('Per Invoice'!D$2:D$401,$U137)="","",INDEX('Per Invoice'!D$2:D$401,$U137)))</f>
        <v/>
      </c>
      <c r="E137">
        <f>IF($U137="","",IF(INDEX('Per Invoice'!E$2:E$401,$U137)="","",INDEX('Per Invoice'!E$2:E$401,$U137)))</f>
        <v/>
      </c>
      <c r="F137">
        <f>IF($U137="","",IF(INDEX('Per Invoice'!F$2:F$401,$U137)="","",INDEX('Per Invoice'!F$2:F$401,$U137)))</f>
        <v/>
      </c>
      <c r="G137">
        <f>IF($U137="","",IF(INDEX('Per Invoice'!G$2:G$401,$U137)="","",INDEX('Per Invoice'!G$2:G$401,$U137)))</f>
        <v/>
      </c>
      <c r="H137" s="7">
        <f>IF($U137="","",IF(INDEX('Per Invoice'!H$2:H$401,$U137)="","",INDEX('Per Invoice'!H$2:H$401,$U137)))</f>
        <v/>
      </c>
      <c r="I137" s="14">
        <f>IF($U137="","",IF(INDEX('Per Invoice'!I$2:I$401,$U137)="","",INDEX('Per Invoice'!I$2:I$401,$U137)))</f>
        <v/>
      </c>
      <c r="J137">
        <f>IF($U137="","",IF(INDEX('Per Invoice'!J$2:J$401,$U137)="","",INDEX('Per Invoice'!J$2:J$401,$U137)))</f>
        <v/>
      </c>
      <c r="K137">
        <f>IF($U137="","",IF(INDEX('Per Invoice'!K$2:K$401,$U137)="","",INDEX('Per Invoice'!K$2:K$401,$U137)))</f>
        <v/>
      </c>
      <c r="L137" s="7">
        <f>IF($U137="","",IF(INDEX('Per Invoice'!L$2:L$401,$U137)="","",INDEX('Per Invoice'!L$2:L$401,$U137)))</f>
        <v/>
      </c>
      <c r="M137" s="7">
        <f>IF($U137="","",IF(INDEX('Per Invoice'!M$2:M$401,$U137)="","",INDEX('Per Invoice'!M$2:M$401,$U137)))</f>
        <v/>
      </c>
      <c r="N137">
        <f>IF($U137="","",IF(INDEX('Per Invoice'!N$2:N$401,$U137)="","",INDEX('Per Invoice'!N$2:N$401,$U137)))</f>
        <v/>
      </c>
      <c r="O137" s="7">
        <f>IF($U137="","",IF(INDEX('Per Invoice'!O$2:O$401,$U137)="","",INDEX('Per Invoice'!O$2:O$401,$U137)))</f>
        <v/>
      </c>
      <c r="P137" s="7">
        <f>IF($U137="","",IF(INDEX('Per Invoice'!P$2:P$401,$U137)="","",INDEX('Per Invoice'!P$2:P$401,$U137)))</f>
        <v/>
      </c>
      <c r="Q137" s="7">
        <f>IF($U137="","",IF(INDEX('Per Invoice'!Q$2:Q$401,$U137)="","",INDEX('Per Invoice'!Q$2:Q$401,$U137)))</f>
        <v/>
      </c>
      <c r="R137" s="7">
        <f>IF($U137="","",IF(INDEX('Per Invoice'!R$2:R$401,$U137)="","",INDEX('Per Invoice'!R$2:R$401,$U137)))</f>
        <v/>
      </c>
      <c r="S137" s="7">
        <f>IF($U137="","",IF(INDEX('Per Invoice'!S$2:S$401,$U137)="","",INDEX('Per Invoice'!S$2:S$401,$U137)))</f>
        <v/>
      </c>
      <c r="T137" s="7">
        <f>IF($U137="","",IF(INDEX('Per Invoice'!T$2:T$401,$U137)="","",INDEX('Per Invoice'!T$2:T$401,$U137)))</f>
        <v/>
      </c>
      <c r="U137" s="16">
        <f>IFERROR(MATCH(Settings!$C$26&amp;"|"&amp;ROWS($U$2:$U137),'Per Invoice'!$V$2:$V$401,0),"")</f>
        <v/>
      </c>
    </row>
    <row r="138">
      <c r="A138">
        <f>IF($U138="","",IF(INDEX('Per Invoice'!A$2:A$401,$U138)="","",INDEX('Per Invoice'!A$2:A$401,$U138)))</f>
        <v/>
      </c>
      <c r="B138">
        <f>IF($U138="","",IF(INDEX('Per Invoice'!B$2:B$401,$U138)="","",INDEX('Per Invoice'!B$2:B$401,$U138)))</f>
        <v/>
      </c>
      <c r="C138">
        <f>IF($U138="","",IF(INDEX('Per Invoice'!C$2:C$401,$U138)="","",INDEX('Per Invoice'!C$2:C$401,$U138)))</f>
        <v/>
      </c>
      <c r="D138">
        <f>IF($U138="","",IF(INDEX('Per Invoice'!D$2:D$401,$U138)="","",INDEX('Per Invoice'!D$2:D$401,$U138)))</f>
        <v/>
      </c>
      <c r="E138">
        <f>IF($U138="","",IF(INDEX('Per Invoice'!E$2:E$401,$U138)="","",INDEX('Per Invoice'!E$2:E$401,$U138)))</f>
        <v/>
      </c>
      <c r="F138">
        <f>IF($U138="","",IF(INDEX('Per Invoice'!F$2:F$401,$U138)="","",INDEX('Per Invoice'!F$2:F$401,$U138)))</f>
        <v/>
      </c>
      <c r="G138">
        <f>IF($U138="","",IF(INDEX('Per Invoice'!G$2:G$401,$U138)="","",INDEX('Per Invoice'!G$2:G$401,$U138)))</f>
        <v/>
      </c>
      <c r="H138" s="7">
        <f>IF($U138="","",IF(INDEX('Per Invoice'!H$2:H$401,$U138)="","",INDEX('Per Invoice'!H$2:H$401,$U138)))</f>
        <v/>
      </c>
      <c r="I138" s="14">
        <f>IF($U138="","",IF(INDEX('Per Invoice'!I$2:I$401,$U138)="","",INDEX('Per Invoice'!I$2:I$401,$U138)))</f>
        <v/>
      </c>
      <c r="J138">
        <f>IF($U138="","",IF(INDEX('Per Invoice'!J$2:J$401,$U138)="","",INDEX('Per Invoice'!J$2:J$401,$U138)))</f>
        <v/>
      </c>
      <c r="K138">
        <f>IF($U138="","",IF(INDEX('Per Invoice'!K$2:K$401,$U138)="","",INDEX('Per Invoice'!K$2:K$401,$U138)))</f>
        <v/>
      </c>
      <c r="L138" s="7">
        <f>IF($U138="","",IF(INDEX('Per Invoice'!L$2:L$401,$U138)="","",INDEX('Per Invoice'!L$2:L$401,$U138)))</f>
        <v/>
      </c>
      <c r="M138" s="7">
        <f>IF($U138="","",IF(INDEX('Per Invoice'!M$2:M$401,$U138)="","",INDEX('Per Invoice'!M$2:M$401,$U138)))</f>
        <v/>
      </c>
      <c r="N138">
        <f>IF($U138="","",IF(INDEX('Per Invoice'!N$2:N$401,$U138)="","",INDEX('Per Invoice'!N$2:N$401,$U138)))</f>
        <v/>
      </c>
      <c r="O138" s="7">
        <f>IF($U138="","",IF(INDEX('Per Invoice'!O$2:O$401,$U138)="","",INDEX('Per Invoice'!O$2:O$401,$U138)))</f>
        <v/>
      </c>
      <c r="P138" s="7">
        <f>IF($U138="","",IF(INDEX('Per Invoice'!P$2:P$401,$U138)="","",INDEX('Per Invoice'!P$2:P$401,$U138)))</f>
        <v/>
      </c>
      <c r="Q138" s="7">
        <f>IF($U138="","",IF(INDEX('Per Invoice'!Q$2:Q$401,$U138)="","",INDEX('Per Invoice'!Q$2:Q$401,$U138)))</f>
        <v/>
      </c>
      <c r="R138" s="7">
        <f>IF($U138="","",IF(INDEX('Per Invoice'!R$2:R$401,$U138)="","",INDEX('Per Invoice'!R$2:R$401,$U138)))</f>
        <v/>
      </c>
      <c r="S138" s="7">
        <f>IF($U138="","",IF(INDEX('Per Invoice'!S$2:S$401,$U138)="","",INDEX('Per Invoice'!S$2:S$401,$U138)))</f>
        <v/>
      </c>
      <c r="T138" s="7">
        <f>IF($U138="","",IF(INDEX('Per Invoice'!T$2:T$401,$U138)="","",INDEX('Per Invoice'!T$2:T$401,$U138)))</f>
        <v/>
      </c>
      <c r="U138" s="16">
        <f>IFERROR(MATCH(Settings!$C$26&amp;"|"&amp;ROWS($U$2:$U138),'Per Invoice'!$V$2:$V$401,0),"")</f>
        <v/>
      </c>
    </row>
    <row r="139">
      <c r="A139">
        <f>IF($U139="","",IF(INDEX('Per Invoice'!A$2:A$401,$U139)="","",INDEX('Per Invoice'!A$2:A$401,$U139)))</f>
        <v/>
      </c>
      <c r="B139">
        <f>IF($U139="","",IF(INDEX('Per Invoice'!B$2:B$401,$U139)="","",INDEX('Per Invoice'!B$2:B$401,$U139)))</f>
        <v/>
      </c>
      <c r="C139">
        <f>IF($U139="","",IF(INDEX('Per Invoice'!C$2:C$401,$U139)="","",INDEX('Per Invoice'!C$2:C$401,$U139)))</f>
        <v/>
      </c>
      <c r="D139">
        <f>IF($U139="","",IF(INDEX('Per Invoice'!D$2:D$401,$U139)="","",INDEX('Per Invoice'!D$2:D$401,$U139)))</f>
        <v/>
      </c>
      <c r="E139">
        <f>IF($U139="","",IF(INDEX('Per Invoice'!E$2:E$401,$U139)="","",INDEX('Per Invoice'!E$2:E$401,$U139)))</f>
        <v/>
      </c>
      <c r="F139">
        <f>IF($U139="","",IF(INDEX('Per Invoice'!F$2:F$401,$U139)="","",INDEX('Per Invoice'!F$2:F$401,$U139)))</f>
        <v/>
      </c>
      <c r="G139">
        <f>IF($U139="","",IF(INDEX('Per Invoice'!G$2:G$401,$U139)="","",INDEX('Per Invoice'!G$2:G$401,$U139)))</f>
        <v/>
      </c>
      <c r="H139" s="7">
        <f>IF($U139="","",IF(INDEX('Per Invoice'!H$2:H$401,$U139)="","",INDEX('Per Invoice'!H$2:H$401,$U139)))</f>
        <v/>
      </c>
      <c r="I139" s="14">
        <f>IF($U139="","",IF(INDEX('Per Invoice'!I$2:I$401,$U139)="","",INDEX('Per Invoice'!I$2:I$401,$U139)))</f>
        <v/>
      </c>
      <c r="J139">
        <f>IF($U139="","",IF(INDEX('Per Invoice'!J$2:J$401,$U139)="","",INDEX('Per Invoice'!J$2:J$401,$U139)))</f>
        <v/>
      </c>
      <c r="K139">
        <f>IF($U139="","",IF(INDEX('Per Invoice'!K$2:K$401,$U139)="","",INDEX('Per Invoice'!K$2:K$401,$U139)))</f>
        <v/>
      </c>
      <c r="L139" s="7">
        <f>IF($U139="","",IF(INDEX('Per Invoice'!L$2:L$401,$U139)="","",INDEX('Per Invoice'!L$2:L$401,$U139)))</f>
        <v/>
      </c>
      <c r="M139" s="7">
        <f>IF($U139="","",IF(INDEX('Per Invoice'!M$2:M$401,$U139)="","",INDEX('Per Invoice'!M$2:M$401,$U139)))</f>
        <v/>
      </c>
      <c r="N139">
        <f>IF($U139="","",IF(INDEX('Per Invoice'!N$2:N$401,$U139)="","",INDEX('Per Invoice'!N$2:N$401,$U139)))</f>
        <v/>
      </c>
      <c r="O139" s="7">
        <f>IF($U139="","",IF(INDEX('Per Invoice'!O$2:O$401,$U139)="","",INDEX('Per Invoice'!O$2:O$401,$U139)))</f>
        <v/>
      </c>
      <c r="P139" s="7">
        <f>IF($U139="","",IF(INDEX('Per Invoice'!P$2:P$401,$U139)="","",INDEX('Per Invoice'!P$2:P$401,$U139)))</f>
        <v/>
      </c>
      <c r="Q139" s="7">
        <f>IF($U139="","",IF(INDEX('Per Invoice'!Q$2:Q$401,$U139)="","",INDEX('Per Invoice'!Q$2:Q$401,$U139)))</f>
        <v/>
      </c>
      <c r="R139" s="7">
        <f>IF($U139="","",IF(INDEX('Per Invoice'!R$2:R$401,$U139)="","",INDEX('Per Invoice'!R$2:R$401,$U139)))</f>
        <v/>
      </c>
      <c r="S139" s="7">
        <f>IF($U139="","",IF(INDEX('Per Invoice'!S$2:S$401,$U139)="","",INDEX('Per Invoice'!S$2:S$401,$U139)))</f>
        <v/>
      </c>
      <c r="T139" s="7">
        <f>IF($U139="","",IF(INDEX('Per Invoice'!T$2:T$401,$U139)="","",INDEX('Per Invoice'!T$2:T$401,$U139)))</f>
        <v/>
      </c>
      <c r="U139" s="16">
        <f>IFERROR(MATCH(Settings!$C$26&amp;"|"&amp;ROWS($U$2:$U139),'Per Invoice'!$V$2:$V$401,0),"")</f>
        <v/>
      </c>
    </row>
    <row r="140">
      <c r="A140">
        <f>IF($U140="","",IF(INDEX('Per Invoice'!A$2:A$401,$U140)="","",INDEX('Per Invoice'!A$2:A$401,$U140)))</f>
        <v/>
      </c>
      <c r="B140">
        <f>IF($U140="","",IF(INDEX('Per Invoice'!B$2:B$401,$U140)="","",INDEX('Per Invoice'!B$2:B$401,$U140)))</f>
        <v/>
      </c>
      <c r="C140">
        <f>IF($U140="","",IF(INDEX('Per Invoice'!C$2:C$401,$U140)="","",INDEX('Per Invoice'!C$2:C$401,$U140)))</f>
        <v/>
      </c>
      <c r="D140">
        <f>IF($U140="","",IF(INDEX('Per Invoice'!D$2:D$401,$U140)="","",INDEX('Per Invoice'!D$2:D$401,$U140)))</f>
        <v/>
      </c>
      <c r="E140">
        <f>IF($U140="","",IF(INDEX('Per Invoice'!E$2:E$401,$U140)="","",INDEX('Per Invoice'!E$2:E$401,$U140)))</f>
        <v/>
      </c>
      <c r="F140">
        <f>IF($U140="","",IF(INDEX('Per Invoice'!F$2:F$401,$U140)="","",INDEX('Per Invoice'!F$2:F$401,$U140)))</f>
        <v/>
      </c>
      <c r="G140">
        <f>IF($U140="","",IF(INDEX('Per Invoice'!G$2:G$401,$U140)="","",INDEX('Per Invoice'!G$2:G$401,$U140)))</f>
        <v/>
      </c>
      <c r="H140" s="7">
        <f>IF($U140="","",IF(INDEX('Per Invoice'!H$2:H$401,$U140)="","",INDEX('Per Invoice'!H$2:H$401,$U140)))</f>
        <v/>
      </c>
      <c r="I140" s="14">
        <f>IF($U140="","",IF(INDEX('Per Invoice'!I$2:I$401,$U140)="","",INDEX('Per Invoice'!I$2:I$401,$U140)))</f>
        <v/>
      </c>
      <c r="J140">
        <f>IF($U140="","",IF(INDEX('Per Invoice'!J$2:J$401,$U140)="","",INDEX('Per Invoice'!J$2:J$401,$U140)))</f>
        <v/>
      </c>
      <c r="K140">
        <f>IF($U140="","",IF(INDEX('Per Invoice'!K$2:K$401,$U140)="","",INDEX('Per Invoice'!K$2:K$401,$U140)))</f>
        <v/>
      </c>
      <c r="L140" s="7">
        <f>IF($U140="","",IF(INDEX('Per Invoice'!L$2:L$401,$U140)="","",INDEX('Per Invoice'!L$2:L$401,$U140)))</f>
        <v/>
      </c>
      <c r="M140" s="7">
        <f>IF($U140="","",IF(INDEX('Per Invoice'!M$2:M$401,$U140)="","",INDEX('Per Invoice'!M$2:M$401,$U140)))</f>
        <v/>
      </c>
      <c r="N140">
        <f>IF($U140="","",IF(INDEX('Per Invoice'!N$2:N$401,$U140)="","",INDEX('Per Invoice'!N$2:N$401,$U140)))</f>
        <v/>
      </c>
      <c r="O140" s="7">
        <f>IF($U140="","",IF(INDEX('Per Invoice'!O$2:O$401,$U140)="","",INDEX('Per Invoice'!O$2:O$401,$U140)))</f>
        <v/>
      </c>
      <c r="P140" s="7">
        <f>IF($U140="","",IF(INDEX('Per Invoice'!P$2:P$401,$U140)="","",INDEX('Per Invoice'!P$2:P$401,$U140)))</f>
        <v/>
      </c>
      <c r="Q140" s="7">
        <f>IF($U140="","",IF(INDEX('Per Invoice'!Q$2:Q$401,$U140)="","",INDEX('Per Invoice'!Q$2:Q$401,$U140)))</f>
        <v/>
      </c>
      <c r="R140" s="7">
        <f>IF($U140="","",IF(INDEX('Per Invoice'!R$2:R$401,$U140)="","",INDEX('Per Invoice'!R$2:R$401,$U140)))</f>
        <v/>
      </c>
      <c r="S140" s="7">
        <f>IF($U140="","",IF(INDEX('Per Invoice'!S$2:S$401,$U140)="","",INDEX('Per Invoice'!S$2:S$401,$U140)))</f>
        <v/>
      </c>
      <c r="T140" s="7">
        <f>IF($U140="","",IF(INDEX('Per Invoice'!T$2:T$401,$U140)="","",INDEX('Per Invoice'!T$2:T$401,$U140)))</f>
        <v/>
      </c>
      <c r="U140" s="16">
        <f>IFERROR(MATCH(Settings!$C$26&amp;"|"&amp;ROWS($U$2:$U140),'Per Invoice'!$V$2:$V$401,0),"")</f>
        <v/>
      </c>
    </row>
    <row r="141">
      <c r="A141">
        <f>IF($U141="","",IF(INDEX('Per Invoice'!A$2:A$401,$U141)="","",INDEX('Per Invoice'!A$2:A$401,$U141)))</f>
        <v/>
      </c>
      <c r="B141">
        <f>IF($U141="","",IF(INDEX('Per Invoice'!B$2:B$401,$U141)="","",INDEX('Per Invoice'!B$2:B$401,$U141)))</f>
        <v/>
      </c>
      <c r="C141">
        <f>IF($U141="","",IF(INDEX('Per Invoice'!C$2:C$401,$U141)="","",INDEX('Per Invoice'!C$2:C$401,$U141)))</f>
        <v/>
      </c>
      <c r="D141">
        <f>IF($U141="","",IF(INDEX('Per Invoice'!D$2:D$401,$U141)="","",INDEX('Per Invoice'!D$2:D$401,$U141)))</f>
        <v/>
      </c>
      <c r="E141">
        <f>IF($U141="","",IF(INDEX('Per Invoice'!E$2:E$401,$U141)="","",INDEX('Per Invoice'!E$2:E$401,$U141)))</f>
        <v/>
      </c>
      <c r="F141">
        <f>IF($U141="","",IF(INDEX('Per Invoice'!F$2:F$401,$U141)="","",INDEX('Per Invoice'!F$2:F$401,$U141)))</f>
        <v/>
      </c>
      <c r="G141">
        <f>IF($U141="","",IF(INDEX('Per Invoice'!G$2:G$401,$U141)="","",INDEX('Per Invoice'!G$2:G$401,$U141)))</f>
        <v/>
      </c>
      <c r="H141" s="7">
        <f>IF($U141="","",IF(INDEX('Per Invoice'!H$2:H$401,$U141)="","",INDEX('Per Invoice'!H$2:H$401,$U141)))</f>
        <v/>
      </c>
      <c r="I141" s="14">
        <f>IF($U141="","",IF(INDEX('Per Invoice'!I$2:I$401,$U141)="","",INDEX('Per Invoice'!I$2:I$401,$U141)))</f>
        <v/>
      </c>
      <c r="J141">
        <f>IF($U141="","",IF(INDEX('Per Invoice'!J$2:J$401,$U141)="","",INDEX('Per Invoice'!J$2:J$401,$U141)))</f>
        <v/>
      </c>
      <c r="K141">
        <f>IF($U141="","",IF(INDEX('Per Invoice'!K$2:K$401,$U141)="","",INDEX('Per Invoice'!K$2:K$401,$U141)))</f>
        <v/>
      </c>
      <c r="L141" s="7">
        <f>IF($U141="","",IF(INDEX('Per Invoice'!L$2:L$401,$U141)="","",INDEX('Per Invoice'!L$2:L$401,$U141)))</f>
        <v/>
      </c>
      <c r="M141" s="7">
        <f>IF($U141="","",IF(INDEX('Per Invoice'!M$2:M$401,$U141)="","",INDEX('Per Invoice'!M$2:M$401,$U141)))</f>
        <v/>
      </c>
      <c r="N141">
        <f>IF($U141="","",IF(INDEX('Per Invoice'!N$2:N$401,$U141)="","",INDEX('Per Invoice'!N$2:N$401,$U141)))</f>
        <v/>
      </c>
      <c r="O141" s="7">
        <f>IF($U141="","",IF(INDEX('Per Invoice'!O$2:O$401,$U141)="","",INDEX('Per Invoice'!O$2:O$401,$U141)))</f>
        <v/>
      </c>
      <c r="P141" s="7">
        <f>IF($U141="","",IF(INDEX('Per Invoice'!P$2:P$401,$U141)="","",INDEX('Per Invoice'!P$2:P$401,$U141)))</f>
        <v/>
      </c>
      <c r="Q141" s="7">
        <f>IF($U141="","",IF(INDEX('Per Invoice'!Q$2:Q$401,$U141)="","",INDEX('Per Invoice'!Q$2:Q$401,$U141)))</f>
        <v/>
      </c>
      <c r="R141" s="7">
        <f>IF($U141="","",IF(INDEX('Per Invoice'!R$2:R$401,$U141)="","",INDEX('Per Invoice'!R$2:R$401,$U141)))</f>
        <v/>
      </c>
      <c r="S141" s="7">
        <f>IF($U141="","",IF(INDEX('Per Invoice'!S$2:S$401,$U141)="","",INDEX('Per Invoice'!S$2:S$401,$U141)))</f>
        <v/>
      </c>
      <c r="T141" s="7">
        <f>IF($U141="","",IF(INDEX('Per Invoice'!T$2:T$401,$U141)="","",INDEX('Per Invoice'!T$2:T$401,$U141)))</f>
        <v/>
      </c>
      <c r="U141" s="16">
        <f>IFERROR(MATCH(Settings!$C$26&amp;"|"&amp;ROWS($U$2:$U141),'Per Invoice'!$V$2:$V$401,0),"")</f>
        <v/>
      </c>
    </row>
    <row r="142">
      <c r="A142">
        <f>IF($U142="","",IF(INDEX('Per Invoice'!A$2:A$401,$U142)="","",INDEX('Per Invoice'!A$2:A$401,$U142)))</f>
        <v/>
      </c>
      <c r="B142">
        <f>IF($U142="","",IF(INDEX('Per Invoice'!B$2:B$401,$U142)="","",INDEX('Per Invoice'!B$2:B$401,$U142)))</f>
        <v/>
      </c>
      <c r="C142">
        <f>IF($U142="","",IF(INDEX('Per Invoice'!C$2:C$401,$U142)="","",INDEX('Per Invoice'!C$2:C$401,$U142)))</f>
        <v/>
      </c>
      <c r="D142">
        <f>IF($U142="","",IF(INDEX('Per Invoice'!D$2:D$401,$U142)="","",INDEX('Per Invoice'!D$2:D$401,$U142)))</f>
        <v/>
      </c>
      <c r="E142">
        <f>IF($U142="","",IF(INDEX('Per Invoice'!E$2:E$401,$U142)="","",INDEX('Per Invoice'!E$2:E$401,$U142)))</f>
        <v/>
      </c>
      <c r="F142">
        <f>IF($U142="","",IF(INDEX('Per Invoice'!F$2:F$401,$U142)="","",INDEX('Per Invoice'!F$2:F$401,$U142)))</f>
        <v/>
      </c>
      <c r="G142">
        <f>IF($U142="","",IF(INDEX('Per Invoice'!G$2:G$401,$U142)="","",INDEX('Per Invoice'!G$2:G$401,$U142)))</f>
        <v/>
      </c>
      <c r="H142" s="7">
        <f>IF($U142="","",IF(INDEX('Per Invoice'!H$2:H$401,$U142)="","",INDEX('Per Invoice'!H$2:H$401,$U142)))</f>
        <v/>
      </c>
      <c r="I142" s="14">
        <f>IF($U142="","",IF(INDEX('Per Invoice'!I$2:I$401,$U142)="","",INDEX('Per Invoice'!I$2:I$401,$U142)))</f>
        <v/>
      </c>
      <c r="J142">
        <f>IF($U142="","",IF(INDEX('Per Invoice'!J$2:J$401,$U142)="","",INDEX('Per Invoice'!J$2:J$401,$U142)))</f>
        <v/>
      </c>
      <c r="K142">
        <f>IF($U142="","",IF(INDEX('Per Invoice'!K$2:K$401,$U142)="","",INDEX('Per Invoice'!K$2:K$401,$U142)))</f>
        <v/>
      </c>
      <c r="L142" s="7">
        <f>IF($U142="","",IF(INDEX('Per Invoice'!L$2:L$401,$U142)="","",INDEX('Per Invoice'!L$2:L$401,$U142)))</f>
        <v/>
      </c>
      <c r="M142" s="7">
        <f>IF($U142="","",IF(INDEX('Per Invoice'!M$2:M$401,$U142)="","",INDEX('Per Invoice'!M$2:M$401,$U142)))</f>
        <v/>
      </c>
      <c r="N142">
        <f>IF($U142="","",IF(INDEX('Per Invoice'!N$2:N$401,$U142)="","",INDEX('Per Invoice'!N$2:N$401,$U142)))</f>
        <v/>
      </c>
      <c r="O142" s="7">
        <f>IF($U142="","",IF(INDEX('Per Invoice'!O$2:O$401,$U142)="","",INDEX('Per Invoice'!O$2:O$401,$U142)))</f>
        <v/>
      </c>
      <c r="P142" s="7">
        <f>IF($U142="","",IF(INDEX('Per Invoice'!P$2:P$401,$U142)="","",INDEX('Per Invoice'!P$2:P$401,$U142)))</f>
        <v/>
      </c>
      <c r="Q142" s="7">
        <f>IF($U142="","",IF(INDEX('Per Invoice'!Q$2:Q$401,$U142)="","",INDEX('Per Invoice'!Q$2:Q$401,$U142)))</f>
        <v/>
      </c>
      <c r="R142" s="7">
        <f>IF($U142="","",IF(INDEX('Per Invoice'!R$2:R$401,$U142)="","",INDEX('Per Invoice'!R$2:R$401,$U142)))</f>
        <v/>
      </c>
      <c r="S142" s="7">
        <f>IF($U142="","",IF(INDEX('Per Invoice'!S$2:S$401,$U142)="","",INDEX('Per Invoice'!S$2:S$401,$U142)))</f>
        <v/>
      </c>
      <c r="T142" s="7">
        <f>IF($U142="","",IF(INDEX('Per Invoice'!T$2:T$401,$U142)="","",INDEX('Per Invoice'!T$2:T$401,$U142)))</f>
        <v/>
      </c>
      <c r="U142" s="16">
        <f>IFERROR(MATCH(Settings!$C$26&amp;"|"&amp;ROWS($U$2:$U142),'Per Invoice'!$V$2:$V$401,0),"")</f>
        <v/>
      </c>
    </row>
    <row r="143">
      <c r="A143">
        <f>IF($U143="","",IF(INDEX('Per Invoice'!A$2:A$401,$U143)="","",INDEX('Per Invoice'!A$2:A$401,$U143)))</f>
        <v/>
      </c>
      <c r="B143">
        <f>IF($U143="","",IF(INDEX('Per Invoice'!B$2:B$401,$U143)="","",INDEX('Per Invoice'!B$2:B$401,$U143)))</f>
        <v/>
      </c>
      <c r="C143">
        <f>IF($U143="","",IF(INDEX('Per Invoice'!C$2:C$401,$U143)="","",INDEX('Per Invoice'!C$2:C$401,$U143)))</f>
        <v/>
      </c>
      <c r="D143">
        <f>IF($U143="","",IF(INDEX('Per Invoice'!D$2:D$401,$U143)="","",INDEX('Per Invoice'!D$2:D$401,$U143)))</f>
        <v/>
      </c>
      <c r="E143">
        <f>IF($U143="","",IF(INDEX('Per Invoice'!E$2:E$401,$U143)="","",INDEX('Per Invoice'!E$2:E$401,$U143)))</f>
        <v/>
      </c>
      <c r="F143">
        <f>IF($U143="","",IF(INDEX('Per Invoice'!F$2:F$401,$U143)="","",INDEX('Per Invoice'!F$2:F$401,$U143)))</f>
        <v/>
      </c>
      <c r="G143">
        <f>IF($U143="","",IF(INDEX('Per Invoice'!G$2:G$401,$U143)="","",INDEX('Per Invoice'!G$2:G$401,$U143)))</f>
        <v/>
      </c>
      <c r="H143" s="7">
        <f>IF($U143="","",IF(INDEX('Per Invoice'!H$2:H$401,$U143)="","",INDEX('Per Invoice'!H$2:H$401,$U143)))</f>
        <v/>
      </c>
      <c r="I143" s="14">
        <f>IF($U143="","",IF(INDEX('Per Invoice'!I$2:I$401,$U143)="","",INDEX('Per Invoice'!I$2:I$401,$U143)))</f>
        <v/>
      </c>
      <c r="J143">
        <f>IF($U143="","",IF(INDEX('Per Invoice'!J$2:J$401,$U143)="","",INDEX('Per Invoice'!J$2:J$401,$U143)))</f>
        <v/>
      </c>
      <c r="K143">
        <f>IF($U143="","",IF(INDEX('Per Invoice'!K$2:K$401,$U143)="","",INDEX('Per Invoice'!K$2:K$401,$U143)))</f>
        <v/>
      </c>
      <c r="L143" s="7">
        <f>IF($U143="","",IF(INDEX('Per Invoice'!L$2:L$401,$U143)="","",INDEX('Per Invoice'!L$2:L$401,$U143)))</f>
        <v/>
      </c>
      <c r="M143" s="7">
        <f>IF($U143="","",IF(INDEX('Per Invoice'!M$2:M$401,$U143)="","",INDEX('Per Invoice'!M$2:M$401,$U143)))</f>
        <v/>
      </c>
      <c r="N143">
        <f>IF($U143="","",IF(INDEX('Per Invoice'!N$2:N$401,$U143)="","",INDEX('Per Invoice'!N$2:N$401,$U143)))</f>
        <v/>
      </c>
      <c r="O143" s="7">
        <f>IF($U143="","",IF(INDEX('Per Invoice'!O$2:O$401,$U143)="","",INDEX('Per Invoice'!O$2:O$401,$U143)))</f>
        <v/>
      </c>
      <c r="P143" s="7">
        <f>IF($U143="","",IF(INDEX('Per Invoice'!P$2:P$401,$U143)="","",INDEX('Per Invoice'!P$2:P$401,$U143)))</f>
        <v/>
      </c>
      <c r="Q143" s="7">
        <f>IF($U143="","",IF(INDEX('Per Invoice'!Q$2:Q$401,$U143)="","",INDEX('Per Invoice'!Q$2:Q$401,$U143)))</f>
        <v/>
      </c>
      <c r="R143" s="7">
        <f>IF($U143="","",IF(INDEX('Per Invoice'!R$2:R$401,$U143)="","",INDEX('Per Invoice'!R$2:R$401,$U143)))</f>
        <v/>
      </c>
      <c r="S143" s="7">
        <f>IF($U143="","",IF(INDEX('Per Invoice'!S$2:S$401,$U143)="","",INDEX('Per Invoice'!S$2:S$401,$U143)))</f>
        <v/>
      </c>
      <c r="T143" s="7">
        <f>IF($U143="","",IF(INDEX('Per Invoice'!T$2:T$401,$U143)="","",INDEX('Per Invoice'!T$2:T$401,$U143)))</f>
        <v/>
      </c>
      <c r="U143" s="16">
        <f>IFERROR(MATCH(Settings!$C$26&amp;"|"&amp;ROWS($U$2:$U143),'Per Invoice'!$V$2:$V$401,0),"")</f>
        <v/>
      </c>
    </row>
    <row r="144">
      <c r="A144">
        <f>IF($U144="","",IF(INDEX('Per Invoice'!A$2:A$401,$U144)="","",INDEX('Per Invoice'!A$2:A$401,$U144)))</f>
        <v/>
      </c>
      <c r="B144">
        <f>IF($U144="","",IF(INDEX('Per Invoice'!B$2:B$401,$U144)="","",INDEX('Per Invoice'!B$2:B$401,$U144)))</f>
        <v/>
      </c>
      <c r="C144">
        <f>IF($U144="","",IF(INDEX('Per Invoice'!C$2:C$401,$U144)="","",INDEX('Per Invoice'!C$2:C$401,$U144)))</f>
        <v/>
      </c>
      <c r="D144">
        <f>IF($U144="","",IF(INDEX('Per Invoice'!D$2:D$401,$U144)="","",INDEX('Per Invoice'!D$2:D$401,$U144)))</f>
        <v/>
      </c>
      <c r="E144">
        <f>IF($U144="","",IF(INDEX('Per Invoice'!E$2:E$401,$U144)="","",INDEX('Per Invoice'!E$2:E$401,$U144)))</f>
        <v/>
      </c>
      <c r="F144">
        <f>IF($U144="","",IF(INDEX('Per Invoice'!F$2:F$401,$U144)="","",INDEX('Per Invoice'!F$2:F$401,$U144)))</f>
        <v/>
      </c>
      <c r="G144">
        <f>IF($U144="","",IF(INDEX('Per Invoice'!G$2:G$401,$U144)="","",INDEX('Per Invoice'!G$2:G$401,$U144)))</f>
        <v/>
      </c>
      <c r="H144" s="7">
        <f>IF($U144="","",IF(INDEX('Per Invoice'!H$2:H$401,$U144)="","",INDEX('Per Invoice'!H$2:H$401,$U144)))</f>
        <v/>
      </c>
      <c r="I144" s="14">
        <f>IF($U144="","",IF(INDEX('Per Invoice'!I$2:I$401,$U144)="","",INDEX('Per Invoice'!I$2:I$401,$U144)))</f>
        <v/>
      </c>
      <c r="J144">
        <f>IF($U144="","",IF(INDEX('Per Invoice'!J$2:J$401,$U144)="","",INDEX('Per Invoice'!J$2:J$401,$U144)))</f>
        <v/>
      </c>
      <c r="K144">
        <f>IF($U144="","",IF(INDEX('Per Invoice'!K$2:K$401,$U144)="","",INDEX('Per Invoice'!K$2:K$401,$U144)))</f>
        <v/>
      </c>
      <c r="L144" s="7">
        <f>IF($U144="","",IF(INDEX('Per Invoice'!L$2:L$401,$U144)="","",INDEX('Per Invoice'!L$2:L$401,$U144)))</f>
        <v/>
      </c>
      <c r="M144" s="7">
        <f>IF($U144="","",IF(INDEX('Per Invoice'!M$2:M$401,$U144)="","",INDEX('Per Invoice'!M$2:M$401,$U144)))</f>
        <v/>
      </c>
      <c r="N144">
        <f>IF($U144="","",IF(INDEX('Per Invoice'!N$2:N$401,$U144)="","",INDEX('Per Invoice'!N$2:N$401,$U144)))</f>
        <v/>
      </c>
      <c r="O144" s="7">
        <f>IF($U144="","",IF(INDEX('Per Invoice'!O$2:O$401,$U144)="","",INDEX('Per Invoice'!O$2:O$401,$U144)))</f>
        <v/>
      </c>
      <c r="P144" s="7">
        <f>IF($U144="","",IF(INDEX('Per Invoice'!P$2:P$401,$U144)="","",INDEX('Per Invoice'!P$2:P$401,$U144)))</f>
        <v/>
      </c>
      <c r="Q144" s="7">
        <f>IF($U144="","",IF(INDEX('Per Invoice'!Q$2:Q$401,$U144)="","",INDEX('Per Invoice'!Q$2:Q$401,$U144)))</f>
        <v/>
      </c>
      <c r="R144" s="7">
        <f>IF($U144="","",IF(INDEX('Per Invoice'!R$2:R$401,$U144)="","",INDEX('Per Invoice'!R$2:R$401,$U144)))</f>
        <v/>
      </c>
      <c r="S144" s="7">
        <f>IF($U144="","",IF(INDEX('Per Invoice'!S$2:S$401,$U144)="","",INDEX('Per Invoice'!S$2:S$401,$U144)))</f>
        <v/>
      </c>
      <c r="T144" s="7">
        <f>IF($U144="","",IF(INDEX('Per Invoice'!T$2:T$401,$U144)="","",INDEX('Per Invoice'!T$2:T$401,$U144)))</f>
        <v/>
      </c>
      <c r="U144" s="16">
        <f>IFERROR(MATCH(Settings!$C$26&amp;"|"&amp;ROWS($U$2:$U144),'Per Invoice'!$V$2:$V$401,0),"")</f>
        <v/>
      </c>
    </row>
    <row r="145">
      <c r="A145">
        <f>IF($U145="","",IF(INDEX('Per Invoice'!A$2:A$401,$U145)="","",INDEX('Per Invoice'!A$2:A$401,$U145)))</f>
        <v/>
      </c>
      <c r="B145">
        <f>IF($U145="","",IF(INDEX('Per Invoice'!B$2:B$401,$U145)="","",INDEX('Per Invoice'!B$2:B$401,$U145)))</f>
        <v/>
      </c>
      <c r="C145">
        <f>IF($U145="","",IF(INDEX('Per Invoice'!C$2:C$401,$U145)="","",INDEX('Per Invoice'!C$2:C$401,$U145)))</f>
        <v/>
      </c>
      <c r="D145">
        <f>IF($U145="","",IF(INDEX('Per Invoice'!D$2:D$401,$U145)="","",INDEX('Per Invoice'!D$2:D$401,$U145)))</f>
        <v/>
      </c>
      <c r="E145">
        <f>IF($U145="","",IF(INDEX('Per Invoice'!E$2:E$401,$U145)="","",INDEX('Per Invoice'!E$2:E$401,$U145)))</f>
        <v/>
      </c>
      <c r="F145">
        <f>IF($U145="","",IF(INDEX('Per Invoice'!F$2:F$401,$U145)="","",INDEX('Per Invoice'!F$2:F$401,$U145)))</f>
        <v/>
      </c>
      <c r="G145">
        <f>IF($U145="","",IF(INDEX('Per Invoice'!G$2:G$401,$U145)="","",INDEX('Per Invoice'!G$2:G$401,$U145)))</f>
        <v/>
      </c>
      <c r="H145" s="7">
        <f>IF($U145="","",IF(INDEX('Per Invoice'!H$2:H$401,$U145)="","",INDEX('Per Invoice'!H$2:H$401,$U145)))</f>
        <v/>
      </c>
      <c r="I145" s="14">
        <f>IF($U145="","",IF(INDEX('Per Invoice'!I$2:I$401,$U145)="","",INDEX('Per Invoice'!I$2:I$401,$U145)))</f>
        <v/>
      </c>
      <c r="J145">
        <f>IF($U145="","",IF(INDEX('Per Invoice'!J$2:J$401,$U145)="","",INDEX('Per Invoice'!J$2:J$401,$U145)))</f>
        <v/>
      </c>
      <c r="K145">
        <f>IF($U145="","",IF(INDEX('Per Invoice'!K$2:K$401,$U145)="","",INDEX('Per Invoice'!K$2:K$401,$U145)))</f>
        <v/>
      </c>
      <c r="L145" s="7">
        <f>IF($U145="","",IF(INDEX('Per Invoice'!L$2:L$401,$U145)="","",INDEX('Per Invoice'!L$2:L$401,$U145)))</f>
        <v/>
      </c>
      <c r="M145" s="7">
        <f>IF($U145="","",IF(INDEX('Per Invoice'!M$2:M$401,$U145)="","",INDEX('Per Invoice'!M$2:M$401,$U145)))</f>
        <v/>
      </c>
      <c r="N145">
        <f>IF($U145="","",IF(INDEX('Per Invoice'!N$2:N$401,$U145)="","",INDEX('Per Invoice'!N$2:N$401,$U145)))</f>
        <v/>
      </c>
      <c r="O145" s="7">
        <f>IF($U145="","",IF(INDEX('Per Invoice'!O$2:O$401,$U145)="","",INDEX('Per Invoice'!O$2:O$401,$U145)))</f>
        <v/>
      </c>
      <c r="P145" s="7">
        <f>IF($U145="","",IF(INDEX('Per Invoice'!P$2:P$401,$U145)="","",INDEX('Per Invoice'!P$2:P$401,$U145)))</f>
        <v/>
      </c>
      <c r="Q145" s="7">
        <f>IF($U145="","",IF(INDEX('Per Invoice'!Q$2:Q$401,$U145)="","",INDEX('Per Invoice'!Q$2:Q$401,$U145)))</f>
        <v/>
      </c>
      <c r="R145" s="7">
        <f>IF($U145="","",IF(INDEX('Per Invoice'!R$2:R$401,$U145)="","",INDEX('Per Invoice'!R$2:R$401,$U145)))</f>
        <v/>
      </c>
      <c r="S145" s="7">
        <f>IF($U145="","",IF(INDEX('Per Invoice'!S$2:S$401,$U145)="","",INDEX('Per Invoice'!S$2:S$401,$U145)))</f>
        <v/>
      </c>
      <c r="T145" s="7">
        <f>IF($U145="","",IF(INDEX('Per Invoice'!T$2:T$401,$U145)="","",INDEX('Per Invoice'!T$2:T$401,$U145)))</f>
        <v/>
      </c>
      <c r="U145" s="16">
        <f>IFERROR(MATCH(Settings!$C$26&amp;"|"&amp;ROWS($U$2:$U145),'Per Invoice'!$V$2:$V$401,0),"")</f>
        <v/>
      </c>
    </row>
    <row r="146">
      <c r="A146">
        <f>IF($U146="","",IF(INDEX('Per Invoice'!A$2:A$401,$U146)="","",INDEX('Per Invoice'!A$2:A$401,$U146)))</f>
        <v/>
      </c>
      <c r="B146">
        <f>IF($U146="","",IF(INDEX('Per Invoice'!B$2:B$401,$U146)="","",INDEX('Per Invoice'!B$2:B$401,$U146)))</f>
        <v/>
      </c>
      <c r="C146">
        <f>IF($U146="","",IF(INDEX('Per Invoice'!C$2:C$401,$U146)="","",INDEX('Per Invoice'!C$2:C$401,$U146)))</f>
        <v/>
      </c>
      <c r="D146">
        <f>IF($U146="","",IF(INDEX('Per Invoice'!D$2:D$401,$U146)="","",INDEX('Per Invoice'!D$2:D$401,$U146)))</f>
        <v/>
      </c>
      <c r="E146">
        <f>IF($U146="","",IF(INDEX('Per Invoice'!E$2:E$401,$U146)="","",INDEX('Per Invoice'!E$2:E$401,$U146)))</f>
        <v/>
      </c>
      <c r="F146">
        <f>IF($U146="","",IF(INDEX('Per Invoice'!F$2:F$401,$U146)="","",INDEX('Per Invoice'!F$2:F$401,$U146)))</f>
        <v/>
      </c>
      <c r="G146">
        <f>IF($U146="","",IF(INDEX('Per Invoice'!G$2:G$401,$U146)="","",INDEX('Per Invoice'!G$2:G$401,$U146)))</f>
        <v/>
      </c>
      <c r="H146" s="7">
        <f>IF($U146="","",IF(INDEX('Per Invoice'!H$2:H$401,$U146)="","",INDEX('Per Invoice'!H$2:H$401,$U146)))</f>
        <v/>
      </c>
      <c r="I146" s="14">
        <f>IF($U146="","",IF(INDEX('Per Invoice'!I$2:I$401,$U146)="","",INDEX('Per Invoice'!I$2:I$401,$U146)))</f>
        <v/>
      </c>
      <c r="J146">
        <f>IF($U146="","",IF(INDEX('Per Invoice'!J$2:J$401,$U146)="","",INDEX('Per Invoice'!J$2:J$401,$U146)))</f>
        <v/>
      </c>
      <c r="K146">
        <f>IF($U146="","",IF(INDEX('Per Invoice'!K$2:K$401,$U146)="","",INDEX('Per Invoice'!K$2:K$401,$U146)))</f>
        <v/>
      </c>
      <c r="L146" s="7">
        <f>IF($U146="","",IF(INDEX('Per Invoice'!L$2:L$401,$U146)="","",INDEX('Per Invoice'!L$2:L$401,$U146)))</f>
        <v/>
      </c>
      <c r="M146" s="7">
        <f>IF($U146="","",IF(INDEX('Per Invoice'!M$2:M$401,$U146)="","",INDEX('Per Invoice'!M$2:M$401,$U146)))</f>
        <v/>
      </c>
      <c r="N146">
        <f>IF($U146="","",IF(INDEX('Per Invoice'!N$2:N$401,$U146)="","",INDEX('Per Invoice'!N$2:N$401,$U146)))</f>
        <v/>
      </c>
      <c r="O146" s="7">
        <f>IF($U146="","",IF(INDEX('Per Invoice'!O$2:O$401,$U146)="","",INDEX('Per Invoice'!O$2:O$401,$U146)))</f>
        <v/>
      </c>
      <c r="P146" s="7">
        <f>IF($U146="","",IF(INDEX('Per Invoice'!P$2:P$401,$U146)="","",INDEX('Per Invoice'!P$2:P$401,$U146)))</f>
        <v/>
      </c>
      <c r="Q146" s="7">
        <f>IF($U146="","",IF(INDEX('Per Invoice'!Q$2:Q$401,$U146)="","",INDEX('Per Invoice'!Q$2:Q$401,$U146)))</f>
        <v/>
      </c>
      <c r="R146" s="7">
        <f>IF($U146="","",IF(INDEX('Per Invoice'!R$2:R$401,$U146)="","",INDEX('Per Invoice'!R$2:R$401,$U146)))</f>
        <v/>
      </c>
      <c r="S146" s="7">
        <f>IF($U146="","",IF(INDEX('Per Invoice'!S$2:S$401,$U146)="","",INDEX('Per Invoice'!S$2:S$401,$U146)))</f>
        <v/>
      </c>
      <c r="T146" s="7">
        <f>IF($U146="","",IF(INDEX('Per Invoice'!T$2:T$401,$U146)="","",INDEX('Per Invoice'!T$2:T$401,$U146)))</f>
        <v/>
      </c>
      <c r="U146" s="16">
        <f>IFERROR(MATCH(Settings!$C$26&amp;"|"&amp;ROWS($U$2:$U146),'Per Invoice'!$V$2:$V$401,0),"")</f>
        <v/>
      </c>
    </row>
    <row r="147">
      <c r="A147">
        <f>IF($U147="","",IF(INDEX('Per Invoice'!A$2:A$401,$U147)="","",INDEX('Per Invoice'!A$2:A$401,$U147)))</f>
        <v/>
      </c>
      <c r="B147">
        <f>IF($U147="","",IF(INDEX('Per Invoice'!B$2:B$401,$U147)="","",INDEX('Per Invoice'!B$2:B$401,$U147)))</f>
        <v/>
      </c>
      <c r="C147">
        <f>IF($U147="","",IF(INDEX('Per Invoice'!C$2:C$401,$U147)="","",INDEX('Per Invoice'!C$2:C$401,$U147)))</f>
        <v/>
      </c>
      <c r="D147">
        <f>IF($U147="","",IF(INDEX('Per Invoice'!D$2:D$401,$U147)="","",INDEX('Per Invoice'!D$2:D$401,$U147)))</f>
        <v/>
      </c>
      <c r="E147">
        <f>IF($U147="","",IF(INDEX('Per Invoice'!E$2:E$401,$U147)="","",INDEX('Per Invoice'!E$2:E$401,$U147)))</f>
        <v/>
      </c>
      <c r="F147">
        <f>IF($U147="","",IF(INDEX('Per Invoice'!F$2:F$401,$U147)="","",INDEX('Per Invoice'!F$2:F$401,$U147)))</f>
        <v/>
      </c>
      <c r="G147">
        <f>IF($U147="","",IF(INDEX('Per Invoice'!G$2:G$401,$U147)="","",INDEX('Per Invoice'!G$2:G$401,$U147)))</f>
        <v/>
      </c>
      <c r="H147" s="7">
        <f>IF($U147="","",IF(INDEX('Per Invoice'!H$2:H$401,$U147)="","",INDEX('Per Invoice'!H$2:H$401,$U147)))</f>
        <v/>
      </c>
      <c r="I147" s="14">
        <f>IF($U147="","",IF(INDEX('Per Invoice'!I$2:I$401,$U147)="","",INDEX('Per Invoice'!I$2:I$401,$U147)))</f>
        <v/>
      </c>
      <c r="J147">
        <f>IF($U147="","",IF(INDEX('Per Invoice'!J$2:J$401,$U147)="","",INDEX('Per Invoice'!J$2:J$401,$U147)))</f>
        <v/>
      </c>
      <c r="K147">
        <f>IF($U147="","",IF(INDEX('Per Invoice'!K$2:K$401,$U147)="","",INDEX('Per Invoice'!K$2:K$401,$U147)))</f>
        <v/>
      </c>
      <c r="L147" s="7">
        <f>IF($U147="","",IF(INDEX('Per Invoice'!L$2:L$401,$U147)="","",INDEX('Per Invoice'!L$2:L$401,$U147)))</f>
        <v/>
      </c>
      <c r="M147" s="7">
        <f>IF($U147="","",IF(INDEX('Per Invoice'!M$2:M$401,$U147)="","",INDEX('Per Invoice'!M$2:M$401,$U147)))</f>
        <v/>
      </c>
      <c r="N147">
        <f>IF($U147="","",IF(INDEX('Per Invoice'!N$2:N$401,$U147)="","",INDEX('Per Invoice'!N$2:N$401,$U147)))</f>
        <v/>
      </c>
      <c r="O147" s="7">
        <f>IF($U147="","",IF(INDEX('Per Invoice'!O$2:O$401,$U147)="","",INDEX('Per Invoice'!O$2:O$401,$U147)))</f>
        <v/>
      </c>
      <c r="P147" s="7">
        <f>IF($U147="","",IF(INDEX('Per Invoice'!P$2:P$401,$U147)="","",INDEX('Per Invoice'!P$2:P$401,$U147)))</f>
        <v/>
      </c>
      <c r="Q147" s="7">
        <f>IF($U147="","",IF(INDEX('Per Invoice'!Q$2:Q$401,$U147)="","",INDEX('Per Invoice'!Q$2:Q$401,$U147)))</f>
        <v/>
      </c>
      <c r="R147" s="7">
        <f>IF($U147="","",IF(INDEX('Per Invoice'!R$2:R$401,$U147)="","",INDEX('Per Invoice'!R$2:R$401,$U147)))</f>
        <v/>
      </c>
      <c r="S147" s="7">
        <f>IF($U147="","",IF(INDEX('Per Invoice'!S$2:S$401,$U147)="","",INDEX('Per Invoice'!S$2:S$401,$U147)))</f>
        <v/>
      </c>
      <c r="T147" s="7">
        <f>IF($U147="","",IF(INDEX('Per Invoice'!T$2:T$401,$U147)="","",INDEX('Per Invoice'!T$2:T$401,$U147)))</f>
        <v/>
      </c>
      <c r="U147" s="16">
        <f>IFERROR(MATCH(Settings!$C$26&amp;"|"&amp;ROWS($U$2:$U147),'Per Invoice'!$V$2:$V$401,0),"")</f>
        <v/>
      </c>
    </row>
    <row r="148">
      <c r="A148">
        <f>IF($U148="","",IF(INDEX('Per Invoice'!A$2:A$401,$U148)="","",INDEX('Per Invoice'!A$2:A$401,$U148)))</f>
        <v/>
      </c>
      <c r="B148">
        <f>IF($U148="","",IF(INDEX('Per Invoice'!B$2:B$401,$U148)="","",INDEX('Per Invoice'!B$2:B$401,$U148)))</f>
        <v/>
      </c>
      <c r="C148">
        <f>IF($U148="","",IF(INDEX('Per Invoice'!C$2:C$401,$U148)="","",INDEX('Per Invoice'!C$2:C$401,$U148)))</f>
        <v/>
      </c>
      <c r="D148">
        <f>IF($U148="","",IF(INDEX('Per Invoice'!D$2:D$401,$U148)="","",INDEX('Per Invoice'!D$2:D$401,$U148)))</f>
        <v/>
      </c>
      <c r="E148">
        <f>IF($U148="","",IF(INDEX('Per Invoice'!E$2:E$401,$U148)="","",INDEX('Per Invoice'!E$2:E$401,$U148)))</f>
        <v/>
      </c>
      <c r="F148">
        <f>IF($U148="","",IF(INDEX('Per Invoice'!F$2:F$401,$U148)="","",INDEX('Per Invoice'!F$2:F$401,$U148)))</f>
        <v/>
      </c>
      <c r="G148">
        <f>IF($U148="","",IF(INDEX('Per Invoice'!G$2:G$401,$U148)="","",INDEX('Per Invoice'!G$2:G$401,$U148)))</f>
        <v/>
      </c>
      <c r="H148" s="7">
        <f>IF($U148="","",IF(INDEX('Per Invoice'!H$2:H$401,$U148)="","",INDEX('Per Invoice'!H$2:H$401,$U148)))</f>
        <v/>
      </c>
      <c r="I148" s="14">
        <f>IF($U148="","",IF(INDEX('Per Invoice'!I$2:I$401,$U148)="","",INDEX('Per Invoice'!I$2:I$401,$U148)))</f>
        <v/>
      </c>
      <c r="J148">
        <f>IF($U148="","",IF(INDEX('Per Invoice'!J$2:J$401,$U148)="","",INDEX('Per Invoice'!J$2:J$401,$U148)))</f>
        <v/>
      </c>
      <c r="K148">
        <f>IF($U148="","",IF(INDEX('Per Invoice'!K$2:K$401,$U148)="","",INDEX('Per Invoice'!K$2:K$401,$U148)))</f>
        <v/>
      </c>
      <c r="L148" s="7">
        <f>IF($U148="","",IF(INDEX('Per Invoice'!L$2:L$401,$U148)="","",INDEX('Per Invoice'!L$2:L$401,$U148)))</f>
        <v/>
      </c>
      <c r="M148" s="7">
        <f>IF($U148="","",IF(INDEX('Per Invoice'!M$2:M$401,$U148)="","",INDEX('Per Invoice'!M$2:M$401,$U148)))</f>
        <v/>
      </c>
      <c r="N148">
        <f>IF($U148="","",IF(INDEX('Per Invoice'!N$2:N$401,$U148)="","",INDEX('Per Invoice'!N$2:N$401,$U148)))</f>
        <v/>
      </c>
      <c r="O148" s="7">
        <f>IF($U148="","",IF(INDEX('Per Invoice'!O$2:O$401,$U148)="","",INDEX('Per Invoice'!O$2:O$401,$U148)))</f>
        <v/>
      </c>
      <c r="P148" s="7">
        <f>IF($U148="","",IF(INDEX('Per Invoice'!P$2:P$401,$U148)="","",INDEX('Per Invoice'!P$2:P$401,$U148)))</f>
        <v/>
      </c>
      <c r="Q148" s="7">
        <f>IF($U148="","",IF(INDEX('Per Invoice'!Q$2:Q$401,$U148)="","",INDEX('Per Invoice'!Q$2:Q$401,$U148)))</f>
        <v/>
      </c>
      <c r="R148" s="7">
        <f>IF($U148="","",IF(INDEX('Per Invoice'!R$2:R$401,$U148)="","",INDEX('Per Invoice'!R$2:R$401,$U148)))</f>
        <v/>
      </c>
      <c r="S148" s="7">
        <f>IF($U148="","",IF(INDEX('Per Invoice'!S$2:S$401,$U148)="","",INDEX('Per Invoice'!S$2:S$401,$U148)))</f>
        <v/>
      </c>
      <c r="T148" s="7">
        <f>IF($U148="","",IF(INDEX('Per Invoice'!T$2:T$401,$U148)="","",INDEX('Per Invoice'!T$2:T$401,$U148)))</f>
        <v/>
      </c>
      <c r="U148" s="16">
        <f>IFERROR(MATCH(Settings!$C$26&amp;"|"&amp;ROWS($U$2:$U148),'Per Invoice'!$V$2:$V$401,0),"")</f>
        <v/>
      </c>
    </row>
    <row r="149">
      <c r="A149">
        <f>IF($U149="","",IF(INDEX('Per Invoice'!A$2:A$401,$U149)="","",INDEX('Per Invoice'!A$2:A$401,$U149)))</f>
        <v/>
      </c>
      <c r="B149">
        <f>IF($U149="","",IF(INDEX('Per Invoice'!B$2:B$401,$U149)="","",INDEX('Per Invoice'!B$2:B$401,$U149)))</f>
        <v/>
      </c>
      <c r="C149">
        <f>IF($U149="","",IF(INDEX('Per Invoice'!C$2:C$401,$U149)="","",INDEX('Per Invoice'!C$2:C$401,$U149)))</f>
        <v/>
      </c>
      <c r="D149">
        <f>IF($U149="","",IF(INDEX('Per Invoice'!D$2:D$401,$U149)="","",INDEX('Per Invoice'!D$2:D$401,$U149)))</f>
        <v/>
      </c>
      <c r="E149">
        <f>IF($U149="","",IF(INDEX('Per Invoice'!E$2:E$401,$U149)="","",INDEX('Per Invoice'!E$2:E$401,$U149)))</f>
        <v/>
      </c>
      <c r="F149">
        <f>IF($U149="","",IF(INDEX('Per Invoice'!F$2:F$401,$U149)="","",INDEX('Per Invoice'!F$2:F$401,$U149)))</f>
        <v/>
      </c>
      <c r="G149">
        <f>IF($U149="","",IF(INDEX('Per Invoice'!G$2:G$401,$U149)="","",INDEX('Per Invoice'!G$2:G$401,$U149)))</f>
        <v/>
      </c>
      <c r="H149" s="7">
        <f>IF($U149="","",IF(INDEX('Per Invoice'!H$2:H$401,$U149)="","",INDEX('Per Invoice'!H$2:H$401,$U149)))</f>
        <v/>
      </c>
      <c r="I149" s="14">
        <f>IF($U149="","",IF(INDEX('Per Invoice'!I$2:I$401,$U149)="","",INDEX('Per Invoice'!I$2:I$401,$U149)))</f>
        <v/>
      </c>
      <c r="J149">
        <f>IF($U149="","",IF(INDEX('Per Invoice'!J$2:J$401,$U149)="","",INDEX('Per Invoice'!J$2:J$401,$U149)))</f>
        <v/>
      </c>
      <c r="K149">
        <f>IF($U149="","",IF(INDEX('Per Invoice'!K$2:K$401,$U149)="","",INDEX('Per Invoice'!K$2:K$401,$U149)))</f>
        <v/>
      </c>
      <c r="L149" s="7">
        <f>IF($U149="","",IF(INDEX('Per Invoice'!L$2:L$401,$U149)="","",INDEX('Per Invoice'!L$2:L$401,$U149)))</f>
        <v/>
      </c>
      <c r="M149" s="7">
        <f>IF($U149="","",IF(INDEX('Per Invoice'!M$2:M$401,$U149)="","",INDEX('Per Invoice'!M$2:M$401,$U149)))</f>
        <v/>
      </c>
      <c r="N149">
        <f>IF($U149="","",IF(INDEX('Per Invoice'!N$2:N$401,$U149)="","",INDEX('Per Invoice'!N$2:N$401,$U149)))</f>
        <v/>
      </c>
      <c r="O149" s="7">
        <f>IF($U149="","",IF(INDEX('Per Invoice'!O$2:O$401,$U149)="","",INDEX('Per Invoice'!O$2:O$401,$U149)))</f>
        <v/>
      </c>
      <c r="P149" s="7">
        <f>IF($U149="","",IF(INDEX('Per Invoice'!P$2:P$401,$U149)="","",INDEX('Per Invoice'!P$2:P$401,$U149)))</f>
        <v/>
      </c>
      <c r="Q149" s="7">
        <f>IF($U149="","",IF(INDEX('Per Invoice'!Q$2:Q$401,$U149)="","",INDEX('Per Invoice'!Q$2:Q$401,$U149)))</f>
        <v/>
      </c>
      <c r="R149" s="7">
        <f>IF($U149="","",IF(INDEX('Per Invoice'!R$2:R$401,$U149)="","",INDEX('Per Invoice'!R$2:R$401,$U149)))</f>
        <v/>
      </c>
      <c r="S149" s="7">
        <f>IF($U149="","",IF(INDEX('Per Invoice'!S$2:S$401,$U149)="","",INDEX('Per Invoice'!S$2:S$401,$U149)))</f>
        <v/>
      </c>
      <c r="T149" s="7">
        <f>IF($U149="","",IF(INDEX('Per Invoice'!T$2:T$401,$U149)="","",INDEX('Per Invoice'!T$2:T$401,$U149)))</f>
        <v/>
      </c>
      <c r="U149" s="16">
        <f>IFERROR(MATCH(Settings!$C$26&amp;"|"&amp;ROWS($U$2:$U149),'Per Invoice'!$V$2:$V$401,0),"")</f>
        <v/>
      </c>
    </row>
    <row r="150">
      <c r="A150">
        <f>IF($U150="","",IF(INDEX('Per Invoice'!A$2:A$401,$U150)="","",INDEX('Per Invoice'!A$2:A$401,$U150)))</f>
        <v/>
      </c>
      <c r="B150">
        <f>IF($U150="","",IF(INDEX('Per Invoice'!B$2:B$401,$U150)="","",INDEX('Per Invoice'!B$2:B$401,$U150)))</f>
        <v/>
      </c>
      <c r="C150">
        <f>IF($U150="","",IF(INDEX('Per Invoice'!C$2:C$401,$U150)="","",INDEX('Per Invoice'!C$2:C$401,$U150)))</f>
        <v/>
      </c>
      <c r="D150">
        <f>IF($U150="","",IF(INDEX('Per Invoice'!D$2:D$401,$U150)="","",INDEX('Per Invoice'!D$2:D$401,$U150)))</f>
        <v/>
      </c>
      <c r="E150">
        <f>IF($U150="","",IF(INDEX('Per Invoice'!E$2:E$401,$U150)="","",INDEX('Per Invoice'!E$2:E$401,$U150)))</f>
        <v/>
      </c>
      <c r="F150">
        <f>IF($U150="","",IF(INDEX('Per Invoice'!F$2:F$401,$U150)="","",INDEX('Per Invoice'!F$2:F$401,$U150)))</f>
        <v/>
      </c>
      <c r="G150">
        <f>IF($U150="","",IF(INDEX('Per Invoice'!G$2:G$401,$U150)="","",INDEX('Per Invoice'!G$2:G$401,$U150)))</f>
        <v/>
      </c>
      <c r="H150" s="7">
        <f>IF($U150="","",IF(INDEX('Per Invoice'!H$2:H$401,$U150)="","",INDEX('Per Invoice'!H$2:H$401,$U150)))</f>
        <v/>
      </c>
      <c r="I150" s="14">
        <f>IF($U150="","",IF(INDEX('Per Invoice'!I$2:I$401,$U150)="","",INDEX('Per Invoice'!I$2:I$401,$U150)))</f>
        <v/>
      </c>
      <c r="J150">
        <f>IF($U150="","",IF(INDEX('Per Invoice'!J$2:J$401,$U150)="","",INDEX('Per Invoice'!J$2:J$401,$U150)))</f>
        <v/>
      </c>
      <c r="K150">
        <f>IF($U150="","",IF(INDEX('Per Invoice'!K$2:K$401,$U150)="","",INDEX('Per Invoice'!K$2:K$401,$U150)))</f>
        <v/>
      </c>
      <c r="L150" s="7">
        <f>IF($U150="","",IF(INDEX('Per Invoice'!L$2:L$401,$U150)="","",INDEX('Per Invoice'!L$2:L$401,$U150)))</f>
        <v/>
      </c>
      <c r="M150" s="7">
        <f>IF($U150="","",IF(INDEX('Per Invoice'!M$2:M$401,$U150)="","",INDEX('Per Invoice'!M$2:M$401,$U150)))</f>
        <v/>
      </c>
      <c r="N150">
        <f>IF($U150="","",IF(INDEX('Per Invoice'!N$2:N$401,$U150)="","",INDEX('Per Invoice'!N$2:N$401,$U150)))</f>
        <v/>
      </c>
      <c r="O150" s="7">
        <f>IF($U150="","",IF(INDEX('Per Invoice'!O$2:O$401,$U150)="","",INDEX('Per Invoice'!O$2:O$401,$U150)))</f>
        <v/>
      </c>
      <c r="P150" s="7">
        <f>IF($U150="","",IF(INDEX('Per Invoice'!P$2:P$401,$U150)="","",INDEX('Per Invoice'!P$2:P$401,$U150)))</f>
        <v/>
      </c>
      <c r="Q150" s="7">
        <f>IF($U150="","",IF(INDEX('Per Invoice'!Q$2:Q$401,$U150)="","",INDEX('Per Invoice'!Q$2:Q$401,$U150)))</f>
        <v/>
      </c>
      <c r="R150" s="7">
        <f>IF($U150="","",IF(INDEX('Per Invoice'!R$2:R$401,$U150)="","",INDEX('Per Invoice'!R$2:R$401,$U150)))</f>
        <v/>
      </c>
      <c r="S150" s="7">
        <f>IF($U150="","",IF(INDEX('Per Invoice'!S$2:S$401,$U150)="","",INDEX('Per Invoice'!S$2:S$401,$U150)))</f>
        <v/>
      </c>
      <c r="T150" s="7">
        <f>IF($U150="","",IF(INDEX('Per Invoice'!T$2:T$401,$U150)="","",INDEX('Per Invoice'!T$2:T$401,$U150)))</f>
        <v/>
      </c>
      <c r="U150" s="16">
        <f>IFERROR(MATCH(Settings!$C$26&amp;"|"&amp;ROWS($U$2:$U150),'Per Invoice'!$V$2:$V$401,0),"")</f>
        <v/>
      </c>
    </row>
    <row r="151">
      <c r="A151">
        <f>IF($U151="","",IF(INDEX('Per Invoice'!A$2:A$401,$U151)="","",INDEX('Per Invoice'!A$2:A$401,$U151)))</f>
        <v/>
      </c>
      <c r="B151">
        <f>IF($U151="","",IF(INDEX('Per Invoice'!B$2:B$401,$U151)="","",INDEX('Per Invoice'!B$2:B$401,$U151)))</f>
        <v/>
      </c>
      <c r="C151">
        <f>IF($U151="","",IF(INDEX('Per Invoice'!C$2:C$401,$U151)="","",INDEX('Per Invoice'!C$2:C$401,$U151)))</f>
        <v/>
      </c>
      <c r="D151">
        <f>IF($U151="","",IF(INDEX('Per Invoice'!D$2:D$401,$U151)="","",INDEX('Per Invoice'!D$2:D$401,$U151)))</f>
        <v/>
      </c>
      <c r="E151">
        <f>IF($U151="","",IF(INDEX('Per Invoice'!E$2:E$401,$U151)="","",INDEX('Per Invoice'!E$2:E$401,$U151)))</f>
        <v/>
      </c>
      <c r="F151">
        <f>IF($U151="","",IF(INDEX('Per Invoice'!F$2:F$401,$U151)="","",INDEX('Per Invoice'!F$2:F$401,$U151)))</f>
        <v/>
      </c>
      <c r="G151">
        <f>IF($U151="","",IF(INDEX('Per Invoice'!G$2:G$401,$U151)="","",INDEX('Per Invoice'!G$2:G$401,$U151)))</f>
        <v/>
      </c>
      <c r="H151" s="7">
        <f>IF($U151="","",IF(INDEX('Per Invoice'!H$2:H$401,$U151)="","",INDEX('Per Invoice'!H$2:H$401,$U151)))</f>
        <v/>
      </c>
      <c r="I151" s="14">
        <f>IF($U151="","",IF(INDEX('Per Invoice'!I$2:I$401,$U151)="","",INDEX('Per Invoice'!I$2:I$401,$U151)))</f>
        <v/>
      </c>
      <c r="J151">
        <f>IF($U151="","",IF(INDEX('Per Invoice'!J$2:J$401,$U151)="","",INDEX('Per Invoice'!J$2:J$401,$U151)))</f>
        <v/>
      </c>
      <c r="K151">
        <f>IF($U151="","",IF(INDEX('Per Invoice'!K$2:K$401,$U151)="","",INDEX('Per Invoice'!K$2:K$401,$U151)))</f>
        <v/>
      </c>
      <c r="L151" s="7">
        <f>IF($U151="","",IF(INDEX('Per Invoice'!L$2:L$401,$U151)="","",INDEX('Per Invoice'!L$2:L$401,$U151)))</f>
        <v/>
      </c>
      <c r="M151" s="7">
        <f>IF($U151="","",IF(INDEX('Per Invoice'!M$2:M$401,$U151)="","",INDEX('Per Invoice'!M$2:M$401,$U151)))</f>
        <v/>
      </c>
      <c r="N151">
        <f>IF($U151="","",IF(INDEX('Per Invoice'!N$2:N$401,$U151)="","",INDEX('Per Invoice'!N$2:N$401,$U151)))</f>
        <v/>
      </c>
      <c r="O151" s="7">
        <f>IF($U151="","",IF(INDEX('Per Invoice'!O$2:O$401,$U151)="","",INDEX('Per Invoice'!O$2:O$401,$U151)))</f>
        <v/>
      </c>
      <c r="P151" s="7">
        <f>IF($U151="","",IF(INDEX('Per Invoice'!P$2:P$401,$U151)="","",INDEX('Per Invoice'!P$2:P$401,$U151)))</f>
        <v/>
      </c>
      <c r="Q151" s="7">
        <f>IF($U151="","",IF(INDEX('Per Invoice'!Q$2:Q$401,$U151)="","",INDEX('Per Invoice'!Q$2:Q$401,$U151)))</f>
        <v/>
      </c>
      <c r="R151" s="7">
        <f>IF($U151="","",IF(INDEX('Per Invoice'!R$2:R$401,$U151)="","",INDEX('Per Invoice'!R$2:R$401,$U151)))</f>
        <v/>
      </c>
      <c r="S151" s="7">
        <f>IF($U151="","",IF(INDEX('Per Invoice'!S$2:S$401,$U151)="","",INDEX('Per Invoice'!S$2:S$401,$U151)))</f>
        <v/>
      </c>
      <c r="T151" s="7">
        <f>IF($U151="","",IF(INDEX('Per Invoice'!T$2:T$401,$U151)="","",INDEX('Per Invoice'!T$2:T$401,$U151)))</f>
        <v/>
      </c>
      <c r="U151" s="16">
        <f>IFERROR(MATCH(Settings!$C$26&amp;"|"&amp;ROWS($U$2:$U151),'Per Invoice'!$V$2:$V$401,0),"")</f>
        <v/>
      </c>
    </row>
    <row r="152">
      <c r="A152">
        <f>IF($U152="","",IF(INDEX('Per Invoice'!A$2:A$401,$U152)="","",INDEX('Per Invoice'!A$2:A$401,$U152)))</f>
        <v/>
      </c>
      <c r="B152">
        <f>IF($U152="","",IF(INDEX('Per Invoice'!B$2:B$401,$U152)="","",INDEX('Per Invoice'!B$2:B$401,$U152)))</f>
        <v/>
      </c>
      <c r="C152">
        <f>IF($U152="","",IF(INDEX('Per Invoice'!C$2:C$401,$U152)="","",INDEX('Per Invoice'!C$2:C$401,$U152)))</f>
        <v/>
      </c>
      <c r="D152">
        <f>IF($U152="","",IF(INDEX('Per Invoice'!D$2:D$401,$U152)="","",INDEX('Per Invoice'!D$2:D$401,$U152)))</f>
        <v/>
      </c>
      <c r="E152">
        <f>IF($U152="","",IF(INDEX('Per Invoice'!E$2:E$401,$U152)="","",INDEX('Per Invoice'!E$2:E$401,$U152)))</f>
        <v/>
      </c>
      <c r="F152">
        <f>IF($U152="","",IF(INDEX('Per Invoice'!F$2:F$401,$U152)="","",INDEX('Per Invoice'!F$2:F$401,$U152)))</f>
        <v/>
      </c>
      <c r="G152">
        <f>IF($U152="","",IF(INDEX('Per Invoice'!G$2:G$401,$U152)="","",INDEX('Per Invoice'!G$2:G$401,$U152)))</f>
        <v/>
      </c>
      <c r="H152" s="7">
        <f>IF($U152="","",IF(INDEX('Per Invoice'!H$2:H$401,$U152)="","",INDEX('Per Invoice'!H$2:H$401,$U152)))</f>
        <v/>
      </c>
      <c r="I152" s="14">
        <f>IF($U152="","",IF(INDEX('Per Invoice'!I$2:I$401,$U152)="","",INDEX('Per Invoice'!I$2:I$401,$U152)))</f>
        <v/>
      </c>
      <c r="J152">
        <f>IF($U152="","",IF(INDEX('Per Invoice'!J$2:J$401,$U152)="","",INDEX('Per Invoice'!J$2:J$401,$U152)))</f>
        <v/>
      </c>
      <c r="K152">
        <f>IF($U152="","",IF(INDEX('Per Invoice'!K$2:K$401,$U152)="","",INDEX('Per Invoice'!K$2:K$401,$U152)))</f>
        <v/>
      </c>
      <c r="L152" s="7">
        <f>IF($U152="","",IF(INDEX('Per Invoice'!L$2:L$401,$U152)="","",INDEX('Per Invoice'!L$2:L$401,$U152)))</f>
        <v/>
      </c>
      <c r="M152" s="7">
        <f>IF($U152="","",IF(INDEX('Per Invoice'!M$2:M$401,$U152)="","",INDEX('Per Invoice'!M$2:M$401,$U152)))</f>
        <v/>
      </c>
      <c r="N152">
        <f>IF($U152="","",IF(INDEX('Per Invoice'!N$2:N$401,$U152)="","",INDEX('Per Invoice'!N$2:N$401,$U152)))</f>
        <v/>
      </c>
      <c r="O152" s="7">
        <f>IF($U152="","",IF(INDEX('Per Invoice'!O$2:O$401,$U152)="","",INDEX('Per Invoice'!O$2:O$401,$U152)))</f>
        <v/>
      </c>
      <c r="P152" s="7">
        <f>IF($U152="","",IF(INDEX('Per Invoice'!P$2:P$401,$U152)="","",INDEX('Per Invoice'!P$2:P$401,$U152)))</f>
        <v/>
      </c>
      <c r="Q152" s="7">
        <f>IF($U152="","",IF(INDEX('Per Invoice'!Q$2:Q$401,$U152)="","",INDEX('Per Invoice'!Q$2:Q$401,$U152)))</f>
        <v/>
      </c>
      <c r="R152" s="7">
        <f>IF($U152="","",IF(INDEX('Per Invoice'!R$2:R$401,$U152)="","",INDEX('Per Invoice'!R$2:R$401,$U152)))</f>
        <v/>
      </c>
      <c r="S152" s="7">
        <f>IF($U152="","",IF(INDEX('Per Invoice'!S$2:S$401,$U152)="","",INDEX('Per Invoice'!S$2:S$401,$U152)))</f>
        <v/>
      </c>
      <c r="T152" s="7">
        <f>IF($U152="","",IF(INDEX('Per Invoice'!T$2:T$401,$U152)="","",INDEX('Per Invoice'!T$2:T$401,$U152)))</f>
        <v/>
      </c>
      <c r="U152" s="16">
        <f>IFERROR(MATCH(Settings!$C$26&amp;"|"&amp;ROWS($U$2:$U152),'Per Invoice'!$V$2:$V$401,0),"")</f>
        <v/>
      </c>
    </row>
    <row r="153">
      <c r="A153">
        <f>IF($U153="","",IF(INDEX('Per Invoice'!A$2:A$401,$U153)="","",INDEX('Per Invoice'!A$2:A$401,$U153)))</f>
        <v/>
      </c>
      <c r="B153">
        <f>IF($U153="","",IF(INDEX('Per Invoice'!B$2:B$401,$U153)="","",INDEX('Per Invoice'!B$2:B$401,$U153)))</f>
        <v/>
      </c>
      <c r="C153">
        <f>IF($U153="","",IF(INDEX('Per Invoice'!C$2:C$401,$U153)="","",INDEX('Per Invoice'!C$2:C$401,$U153)))</f>
        <v/>
      </c>
      <c r="D153">
        <f>IF($U153="","",IF(INDEX('Per Invoice'!D$2:D$401,$U153)="","",INDEX('Per Invoice'!D$2:D$401,$U153)))</f>
        <v/>
      </c>
      <c r="E153">
        <f>IF($U153="","",IF(INDEX('Per Invoice'!E$2:E$401,$U153)="","",INDEX('Per Invoice'!E$2:E$401,$U153)))</f>
        <v/>
      </c>
      <c r="F153">
        <f>IF($U153="","",IF(INDEX('Per Invoice'!F$2:F$401,$U153)="","",INDEX('Per Invoice'!F$2:F$401,$U153)))</f>
        <v/>
      </c>
      <c r="G153">
        <f>IF($U153="","",IF(INDEX('Per Invoice'!G$2:G$401,$U153)="","",INDEX('Per Invoice'!G$2:G$401,$U153)))</f>
        <v/>
      </c>
      <c r="H153" s="7">
        <f>IF($U153="","",IF(INDEX('Per Invoice'!H$2:H$401,$U153)="","",INDEX('Per Invoice'!H$2:H$401,$U153)))</f>
        <v/>
      </c>
      <c r="I153" s="14">
        <f>IF($U153="","",IF(INDEX('Per Invoice'!I$2:I$401,$U153)="","",INDEX('Per Invoice'!I$2:I$401,$U153)))</f>
        <v/>
      </c>
      <c r="J153">
        <f>IF($U153="","",IF(INDEX('Per Invoice'!J$2:J$401,$U153)="","",INDEX('Per Invoice'!J$2:J$401,$U153)))</f>
        <v/>
      </c>
      <c r="K153">
        <f>IF($U153="","",IF(INDEX('Per Invoice'!K$2:K$401,$U153)="","",INDEX('Per Invoice'!K$2:K$401,$U153)))</f>
        <v/>
      </c>
      <c r="L153" s="7">
        <f>IF($U153="","",IF(INDEX('Per Invoice'!L$2:L$401,$U153)="","",INDEX('Per Invoice'!L$2:L$401,$U153)))</f>
        <v/>
      </c>
      <c r="M153" s="7">
        <f>IF($U153="","",IF(INDEX('Per Invoice'!M$2:M$401,$U153)="","",INDEX('Per Invoice'!M$2:M$401,$U153)))</f>
        <v/>
      </c>
      <c r="N153">
        <f>IF($U153="","",IF(INDEX('Per Invoice'!N$2:N$401,$U153)="","",INDEX('Per Invoice'!N$2:N$401,$U153)))</f>
        <v/>
      </c>
      <c r="O153" s="7">
        <f>IF($U153="","",IF(INDEX('Per Invoice'!O$2:O$401,$U153)="","",INDEX('Per Invoice'!O$2:O$401,$U153)))</f>
        <v/>
      </c>
      <c r="P153" s="7">
        <f>IF($U153="","",IF(INDEX('Per Invoice'!P$2:P$401,$U153)="","",INDEX('Per Invoice'!P$2:P$401,$U153)))</f>
        <v/>
      </c>
      <c r="Q153" s="7">
        <f>IF($U153="","",IF(INDEX('Per Invoice'!Q$2:Q$401,$U153)="","",INDEX('Per Invoice'!Q$2:Q$401,$U153)))</f>
        <v/>
      </c>
      <c r="R153" s="7">
        <f>IF($U153="","",IF(INDEX('Per Invoice'!R$2:R$401,$U153)="","",INDEX('Per Invoice'!R$2:R$401,$U153)))</f>
        <v/>
      </c>
      <c r="S153" s="7">
        <f>IF($U153="","",IF(INDEX('Per Invoice'!S$2:S$401,$U153)="","",INDEX('Per Invoice'!S$2:S$401,$U153)))</f>
        <v/>
      </c>
      <c r="T153" s="7">
        <f>IF($U153="","",IF(INDEX('Per Invoice'!T$2:T$401,$U153)="","",INDEX('Per Invoice'!T$2:T$401,$U153)))</f>
        <v/>
      </c>
      <c r="U153" s="16">
        <f>IFERROR(MATCH(Settings!$C$26&amp;"|"&amp;ROWS($U$2:$U153),'Per Invoice'!$V$2:$V$401,0),"")</f>
        <v/>
      </c>
    </row>
    <row r="154">
      <c r="A154">
        <f>IF($U154="","",IF(INDEX('Per Invoice'!A$2:A$401,$U154)="","",INDEX('Per Invoice'!A$2:A$401,$U154)))</f>
        <v/>
      </c>
      <c r="B154">
        <f>IF($U154="","",IF(INDEX('Per Invoice'!B$2:B$401,$U154)="","",INDEX('Per Invoice'!B$2:B$401,$U154)))</f>
        <v/>
      </c>
      <c r="C154">
        <f>IF($U154="","",IF(INDEX('Per Invoice'!C$2:C$401,$U154)="","",INDEX('Per Invoice'!C$2:C$401,$U154)))</f>
        <v/>
      </c>
      <c r="D154">
        <f>IF($U154="","",IF(INDEX('Per Invoice'!D$2:D$401,$U154)="","",INDEX('Per Invoice'!D$2:D$401,$U154)))</f>
        <v/>
      </c>
      <c r="E154">
        <f>IF($U154="","",IF(INDEX('Per Invoice'!E$2:E$401,$U154)="","",INDEX('Per Invoice'!E$2:E$401,$U154)))</f>
        <v/>
      </c>
      <c r="F154">
        <f>IF($U154="","",IF(INDEX('Per Invoice'!F$2:F$401,$U154)="","",INDEX('Per Invoice'!F$2:F$401,$U154)))</f>
        <v/>
      </c>
      <c r="G154">
        <f>IF($U154="","",IF(INDEX('Per Invoice'!G$2:G$401,$U154)="","",INDEX('Per Invoice'!G$2:G$401,$U154)))</f>
        <v/>
      </c>
      <c r="H154" s="7">
        <f>IF($U154="","",IF(INDEX('Per Invoice'!H$2:H$401,$U154)="","",INDEX('Per Invoice'!H$2:H$401,$U154)))</f>
        <v/>
      </c>
      <c r="I154" s="14">
        <f>IF($U154="","",IF(INDEX('Per Invoice'!I$2:I$401,$U154)="","",INDEX('Per Invoice'!I$2:I$401,$U154)))</f>
        <v/>
      </c>
      <c r="J154">
        <f>IF($U154="","",IF(INDEX('Per Invoice'!J$2:J$401,$U154)="","",INDEX('Per Invoice'!J$2:J$401,$U154)))</f>
        <v/>
      </c>
      <c r="K154">
        <f>IF($U154="","",IF(INDEX('Per Invoice'!K$2:K$401,$U154)="","",INDEX('Per Invoice'!K$2:K$401,$U154)))</f>
        <v/>
      </c>
      <c r="L154" s="7">
        <f>IF($U154="","",IF(INDEX('Per Invoice'!L$2:L$401,$U154)="","",INDEX('Per Invoice'!L$2:L$401,$U154)))</f>
        <v/>
      </c>
      <c r="M154" s="7">
        <f>IF($U154="","",IF(INDEX('Per Invoice'!M$2:M$401,$U154)="","",INDEX('Per Invoice'!M$2:M$401,$U154)))</f>
        <v/>
      </c>
      <c r="N154">
        <f>IF($U154="","",IF(INDEX('Per Invoice'!N$2:N$401,$U154)="","",INDEX('Per Invoice'!N$2:N$401,$U154)))</f>
        <v/>
      </c>
      <c r="O154" s="7">
        <f>IF($U154="","",IF(INDEX('Per Invoice'!O$2:O$401,$U154)="","",INDEX('Per Invoice'!O$2:O$401,$U154)))</f>
        <v/>
      </c>
      <c r="P154" s="7">
        <f>IF($U154="","",IF(INDEX('Per Invoice'!P$2:P$401,$U154)="","",INDEX('Per Invoice'!P$2:P$401,$U154)))</f>
        <v/>
      </c>
      <c r="Q154" s="7">
        <f>IF($U154="","",IF(INDEX('Per Invoice'!Q$2:Q$401,$U154)="","",INDEX('Per Invoice'!Q$2:Q$401,$U154)))</f>
        <v/>
      </c>
      <c r="R154" s="7">
        <f>IF($U154="","",IF(INDEX('Per Invoice'!R$2:R$401,$U154)="","",INDEX('Per Invoice'!R$2:R$401,$U154)))</f>
        <v/>
      </c>
      <c r="S154" s="7">
        <f>IF($U154="","",IF(INDEX('Per Invoice'!S$2:S$401,$U154)="","",INDEX('Per Invoice'!S$2:S$401,$U154)))</f>
        <v/>
      </c>
      <c r="T154" s="7">
        <f>IF($U154="","",IF(INDEX('Per Invoice'!T$2:T$401,$U154)="","",INDEX('Per Invoice'!T$2:T$401,$U154)))</f>
        <v/>
      </c>
      <c r="U154" s="16">
        <f>IFERROR(MATCH(Settings!$C$26&amp;"|"&amp;ROWS($U$2:$U154),'Per Invoice'!$V$2:$V$401,0),"")</f>
        <v/>
      </c>
    </row>
    <row r="155">
      <c r="A155">
        <f>IF($U155="","",IF(INDEX('Per Invoice'!A$2:A$401,$U155)="","",INDEX('Per Invoice'!A$2:A$401,$U155)))</f>
        <v/>
      </c>
      <c r="B155">
        <f>IF($U155="","",IF(INDEX('Per Invoice'!B$2:B$401,$U155)="","",INDEX('Per Invoice'!B$2:B$401,$U155)))</f>
        <v/>
      </c>
      <c r="C155">
        <f>IF($U155="","",IF(INDEX('Per Invoice'!C$2:C$401,$U155)="","",INDEX('Per Invoice'!C$2:C$401,$U155)))</f>
        <v/>
      </c>
      <c r="D155">
        <f>IF($U155="","",IF(INDEX('Per Invoice'!D$2:D$401,$U155)="","",INDEX('Per Invoice'!D$2:D$401,$U155)))</f>
        <v/>
      </c>
      <c r="E155">
        <f>IF($U155="","",IF(INDEX('Per Invoice'!E$2:E$401,$U155)="","",INDEX('Per Invoice'!E$2:E$401,$U155)))</f>
        <v/>
      </c>
      <c r="F155">
        <f>IF($U155="","",IF(INDEX('Per Invoice'!F$2:F$401,$U155)="","",INDEX('Per Invoice'!F$2:F$401,$U155)))</f>
        <v/>
      </c>
      <c r="G155">
        <f>IF($U155="","",IF(INDEX('Per Invoice'!G$2:G$401,$U155)="","",INDEX('Per Invoice'!G$2:G$401,$U155)))</f>
        <v/>
      </c>
      <c r="H155" s="7">
        <f>IF($U155="","",IF(INDEX('Per Invoice'!H$2:H$401,$U155)="","",INDEX('Per Invoice'!H$2:H$401,$U155)))</f>
        <v/>
      </c>
      <c r="I155" s="14">
        <f>IF($U155="","",IF(INDEX('Per Invoice'!I$2:I$401,$U155)="","",INDEX('Per Invoice'!I$2:I$401,$U155)))</f>
        <v/>
      </c>
      <c r="J155">
        <f>IF($U155="","",IF(INDEX('Per Invoice'!J$2:J$401,$U155)="","",INDEX('Per Invoice'!J$2:J$401,$U155)))</f>
        <v/>
      </c>
      <c r="K155">
        <f>IF($U155="","",IF(INDEX('Per Invoice'!K$2:K$401,$U155)="","",INDEX('Per Invoice'!K$2:K$401,$U155)))</f>
        <v/>
      </c>
      <c r="L155" s="7">
        <f>IF($U155="","",IF(INDEX('Per Invoice'!L$2:L$401,$U155)="","",INDEX('Per Invoice'!L$2:L$401,$U155)))</f>
        <v/>
      </c>
      <c r="M155" s="7">
        <f>IF($U155="","",IF(INDEX('Per Invoice'!M$2:M$401,$U155)="","",INDEX('Per Invoice'!M$2:M$401,$U155)))</f>
        <v/>
      </c>
      <c r="N155">
        <f>IF($U155="","",IF(INDEX('Per Invoice'!N$2:N$401,$U155)="","",INDEX('Per Invoice'!N$2:N$401,$U155)))</f>
        <v/>
      </c>
      <c r="O155" s="7">
        <f>IF($U155="","",IF(INDEX('Per Invoice'!O$2:O$401,$U155)="","",INDEX('Per Invoice'!O$2:O$401,$U155)))</f>
        <v/>
      </c>
      <c r="P155" s="7">
        <f>IF($U155="","",IF(INDEX('Per Invoice'!P$2:P$401,$U155)="","",INDEX('Per Invoice'!P$2:P$401,$U155)))</f>
        <v/>
      </c>
      <c r="Q155" s="7">
        <f>IF($U155="","",IF(INDEX('Per Invoice'!Q$2:Q$401,$U155)="","",INDEX('Per Invoice'!Q$2:Q$401,$U155)))</f>
        <v/>
      </c>
      <c r="R155" s="7">
        <f>IF($U155="","",IF(INDEX('Per Invoice'!R$2:R$401,$U155)="","",INDEX('Per Invoice'!R$2:R$401,$U155)))</f>
        <v/>
      </c>
      <c r="S155" s="7">
        <f>IF($U155="","",IF(INDEX('Per Invoice'!S$2:S$401,$U155)="","",INDEX('Per Invoice'!S$2:S$401,$U155)))</f>
        <v/>
      </c>
      <c r="T155" s="7">
        <f>IF($U155="","",IF(INDEX('Per Invoice'!T$2:T$401,$U155)="","",INDEX('Per Invoice'!T$2:T$401,$U155)))</f>
        <v/>
      </c>
      <c r="U155" s="16">
        <f>IFERROR(MATCH(Settings!$C$26&amp;"|"&amp;ROWS($U$2:$U155),'Per Invoice'!$V$2:$V$401,0),"")</f>
        <v/>
      </c>
    </row>
    <row r="156">
      <c r="A156">
        <f>IF($U156="","",IF(INDEX('Per Invoice'!A$2:A$401,$U156)="","",INDEX('Per Invoice'!A$2:A$401,$U156)))</f>
        <v/>
      </c>
      <c r="B156">
        <f>IF($U156="","",IF(INDEX('Per Invoice'!B$2:B$401,$U156)="","",INDEX('Per Invoice'!B$2:B$401,$U156)))</f>
        <v/>
      </c>
      <c r="C156">
        <f>IF($U156="","",IF(INDEX('Per Invoice'!C$2:C$401,$U156)="","",INDEX('Per Invoice'!C$2:C$401,$U156)))</f>
        <v/>
      </c>
      <c r="D156">
        <f>IF($U156="","",IF(INDEX('Per Invoice'!D$2:D$401,$U156)="","",INDEX('Per Invoice'!D$2:D$401,$U156)))</f>
        <v/>
      </c>
      <c r="E156">
        <f>IF($U156="","",IF(INDEX('Per Invoice'!E$2:E$401,$U156)="","",INDEX('Per Invoice'!E$2:E$401,$U156)))</f>
        <v/>
      </c>
      <c r="F156">
        <f>IF($U156="","",IF(INDEX('Per Invoice'!F$2:F$401,$U156)="","",INDEX('Per Invoice'!F$2:F$401,$U156)))</f>
        <v/>
      </c>
      <c r="G156">
        <f>IF($U156="","",IF(INDEX('Per Invoice'!G$2:G$401,$U156)="","",INDEX('Per Invoice'!G$2:G$401,$U156)))</f>
        <v/>
      </c>
      <c r="H156" s="7">
        <f>IF($U156="","",IF(INDEX('Per Invoice'!H$2:H$401,$U156)="","",INDEX('Per Invoice'!H$2:H$401,$U156)))</f>
        <v/>
      </c>
      <c r="I156" s="14">
        <f>IF($U156="","",IF(INDEX('Per Invoice'!I$2:I$401,$U156)="","",INDEX('Per Invoice'!I$2:I$401,$U156)))</f>
        <v/>
      </c>
      <c r="J156">
        <f>IF($U156="","",IF(INDEX('Per Invoice'!J$2:J$401,$U156)="","",INDEX('Per Invoice'!J$2:J$401,$U156)))</f>
        <v/>
      </c>
      <c r="K156">
        <f>IF($U156="","",IF(INDEX('Per Invoice'!K$2:K$401,$U156)="","",INDEX('Per Invoice'!K$2:K$401,$U156)))</f>
        <v/>
      </c>
      <c r="L156" s="7">
        <f>IF($U156="","",IF(INDEX('Per Invoice'!L$2:L$401,$U156)="","",INDEX('Per Invoice'!L$2:L$401,$U156)))</f>
        <v/>
      </c>
      <c r="M156" s="7">
        <f>IF($U156="","",IF(INDEX('Per Invoice'!M$2:M$401,$U156)="","",INDEX('Per Invoice'!M$2:M$401,$U156)))</f>
        <v/>
      </c>
      <c r="N156">
        <f>IF($U156="","",IF(INDEX('Per Invoice'!N$2:N$401,$U156)="","",INDEX('Per Invoice'!N$2:N$401,$U156)))</f>
        <v/>
      </c>
      <c r="O156" s="7">
        <f>IF($U156="","",IF(INDEX('Per Invoice'!O$2:O$401,$U156)="","",INDEX('Per Invoice'!O$2:O$401,$U156)))</f>
        <v/>
      </c>
      <c r="P156" s="7">
        <f>IF($U156="","",IF(INDEX('Per Invoice'!P$2:P$401,$U156)="","",INDEX('Per Invoice'!P$2:P$401,$U156)))</f>
        <v/>
      </c>
      <c r="Q156" s="7">
        <f>IF($U156="","",IF(INDEX('Per Invoice'!Q$2:Q$401,$U156)="","",INDEX('Per Invoice'!Q$2:Q$401,$U156)))</f>
        <v/>
      </c>
      <c r="R156" s="7">
        <f>IF($U156="","",IF(INDEX('Per Invoice'!R$2:R$401,$U156)="","",INDEX('Per Invoice'!R$2:R$401,$U156)))</f>
        <v/>
      </c>
      <c r="S156" s="7">
        <f>IF($U156="","",IF(INDEX('Per Invoice'!S$2:S$401,$U156)="","",INDEX('Per Invoice'!S$2:S$401,$U156)))</f>
        <v/>
      </c>
      <c r="T156" s="7">
        <f>IF($U156="","",IF(INDEX('Per Invoice'!T$2:T$401,$U156)="","",INDEX('Per Invoice'!T$2:T$401,$U156)))</f>
        <v/>
      </c>
      <c r="U156" s="16">
        <f>IFERROR(MATCH(Settings!$C$26&amp;"|"&amp;ROWS($U$2:$U156),'Per Invoice'!$V$2:$V$401,0),"")</f>
        <v/>
      </c>
    </row>
    <row r="157">
      <c r="A157">
        <f>IF($U157="","",IF(INDEX('Per Invoice'!A$2:A$401,$U157)="","",INDEX('Per Invoice'!A$2:A$401,$U157)))</f>
        <v/>
      </c>
      <c r="B157">
        <f>IF($U157="","",IF(INDEX('Per Invoice'!B$2:B$401,$U157)="","",INDEX('Per Invoice'!B$2:B$401,$U157)))</f>
        <v/>
      </c>
      <c r="C157">
        <f>IF($U157="","",IF(INDEX('Per Invoice'!C$2:C$401,$U157)="","",INDEX('Per Invoice'!C$2:C$401,$U157)))</f>
        <v/>
      </c>
      <c r="D157">
        <f>IF($U157="","",IF(INDEX('Per Invoice'!D$2:D$401,$U157)="","",INDEX('Per Invoice'!D$2:D$401,$U157)))</f>
        <v/>
      </c>
      <c r="E157">
        <f>IF($U157="","",IF(INDEX('Per Invoice'!E$2:E$401,$U157)="","",INDEX('Per Invoice'!E$2:E$401,$U157)))</f>
        <v/>
      </c>
      <c r="F157">
        <f>IF($U157="","",IF(INDEX('Per Invoice'!F$2:F$401,$U157)="","",INDEX('Per Invoice'!F$2:F$401,$U157)))</f>
        <v/>
      </c>
      <c r="G157">
        <f>IF($U157="","",IF(INDEX('Per Invoice'!G$2:G$401,$U157)="","",INDEX('Per Invoice'!G$2:G$401,$U157)))</f>
        <v/>
      </c>
      <c r="H157" s="7">
        <f>IF($U157="","",IF(INDEX('Per Invoice'!H$2:H$401,$U157)="","",INDEX('Per Invoice'!H$2:H$401,$U157)))</f>
        <v/>
      </c>
      <c r="I157" s="14">
        <f>IF($U157="","",IF(INDEX('Per Invoice'!I$2:I$401,$U157)="","",INDEX('Per Invoice'!I$2:I$401,$U157)))</f>
        <v/>
      </c>
      <c r="J157">
        <f>IF($U157="","",IF(INDEX('Per Invoice'!J$2:J$401,$U157)="","",INDEX('Per Invoice'!J$2:J$401,$U157)))</f>
        <v/>
      </c>
      <c r="K157">
        <f>IF($U157="","",IF(INDEX('Per Invoice'!K$2:K$401,$U157)="","",INDEX('Per Invoice'!K$2:K$401,$U157)))</f>
        <v/>
      </c>
      <c r="L157" s="7">
        <f>IF($U157="","",IF(INDEX('Per Invoice'!L$2:L$401,$U157)="","",INDEX('Per Invoice'!L$2:L$401,$U157)))</f>
        <v/>
      </c>
      <c r="M157" s="7">
        <f>IF($U157="","",IF(INDEX('Per Invoice'!M$2:M$401,$U157)="","",INDEX('Per Invoice'!M$2:M$401,$U157)))</f>
        <v/>
      </c>
      <c r="N157">
        <f>IF($U157="","",IF(INDEX('Per Invoice'!N$2:N$401,$U157)="","",INDEX('Per Invoice'!N$2:N$401,$U157)))</f>
        <v/>
      </c>
      <c r="O157" s="7">
        <f>IF($U157="","",IF(INDEX('Per Invoice'!O$2:O$401,$U157)="","",INDEX('Per Invoice'!O$2:O$401,$U157)))</f>
        <v/>
      </c>
      <c r="P157" s="7">
        <f>IF($U157="","",IF(INDEX('Per Invoice'!P$2:P$401,$U157)="","",INDEX('Per Invoice'!P$2:P$401,$U157)))</f>
        <v/>
      </c>
      <c r="Q157" s="7">
        <f>IF($U157="","",IF(INDEX('Per Invoice'!Q$2:Q$401,$U157)="","",INDEX('Per Invoice'!Q$2:Q$401,$U157)))</f>
        <v/>
      </c>
      <c r="R157" s="7">
        <f>IF($U157="","",IF(INDEX('Per Invoice'!R$2:R$401,$U157)="","",INDEX('Per Invoice'!R$2:R$401,$U157)))</f>
        <v/>
      </c>
      <c r="S157" s="7">
        <f>IF($U157="","",IF(INDEX('Per Invoice'!S$2:S$401,$U157)="","",INDEX('Per Invoice'!S$2:S$401,$U157)))</f>
        <v/>
      </c>
      <c r="T157" s="7">
        <f>IF($U157="","",IF(INDEX('Per Invoice'!T$2:T$401,$U157)="","",INDEX('Per Invoice'!T$2:T$401,$U157)))</f>
        <v/>
      </c>
      <c r="U157" s="16">
        <f>IFERROR(MATCH(Settings!$C$26&amp;"|"&amp;ROWS($U$2:$U157),'Per Invoice'!$V$2:$V$401,0),"")</f>
        <v/>
      </c>
    </row>
    <row r="158">
      <c r="A158">
        <f>IF($U158="","",IF(INDEX('Per Invoice'!A$2:A$401,$U158)="","",INDEX('Per Invoice'!A$2:A$401,$U158)))</f>
        <v/>
      </c>
      <c r="B158">
        <f>IF($U158="","",IF(INDEX('Per Invoice'!B$2:B$401,$U158)="","",INDEX('Per Invoice'!B$2:B$401,$U158)))</f>
        <v/>
      </c>
      <c r="C158">
        <f>IF($U158="","",IF(INDEX('Per Invoice'!C$2:C$401,$U158)="","",INDEX('Per Invoice'!C$2:C$401,$U158)))</f>
        <v/>
      </c>
      <c r="D158">
        <f>IF($U158="","",IF(INDEX('Per Invoice'!D$2:D$401,$U158)="","",INDEX('Per Invoice'!D$2:D$401,$U158)))</f>
        <v/>
      </c>
      <c r="E158">
        <f>IF($U158="","",IF(INDEX('Per Invoice'!E$2:E$401,$U158)="","",INDEX('Per Invoice'!E$2:E$401,$U158)))</f>
        <v/>
      </c>
      <c r="F158">
        <f>IF($U158="","",IF(INDEX('Per Invoice'!F$2:F$401,$U158)="","",INDEX('Per Invoice'!F$2:F$401,$U158)))</f>
        <v/>
      </c>
      <c r="G158">
        <f>IF($U158="","",IF(INDEX('Per Invoice'!G$2:G$401,$U158)="","",INDEX('Per Invoice'!G$2:G$401,$U158)))</f>
        <v/>
      </c>
      <c r="H158" s="7">
        <f>IF($U158="","",IF(INDEX('Per Invoice'!H$2:H$401,$U158)="","",INDEX('Per Invoice'!H$2:H$401,$U158)))</f>
        <v/>
      </c>
      <c r="I158" s="14">
        <f>IF($U158="","",IF(INDEX('Per Invoice'!I$2:I$401,$U158)="","",INDEX('Per Invoice'!I$2:I$401,$U158)))</f>
        <v/>
      </c>
      <c r="J158">
        <f>IF($U158="","",IF(INDEX('Per Invoice'!J$2:J$401,$U158)="","",INDEX('Per Invoice'!J$2:J$401,$U158)))</f>
        <v/>
      </c>
      <c r="K158">
        <f>IF($U158="","",IF(INDEX('Per Invoice'!K$2:K$401,$U158)="","",INDEX('Per Invoice'!K$2:K$401,$U158)))</f>
        <v/>
      </c>
      <c r="L158" s="7">
        <f>IF($U158="","",IF(INDEX('Per Invoice'!L$2:L$401,$U158)="","",INDEX('Per Invoice'!L$2:L$401,$U158)))</f>
        <v/>
      </c>
      <c r="M158" s="7">
        <f>IF($U158="","",IF(INDEX('Per Invoice'!M$2:M$401,$U158)="","",INDEX('Per Invoice'!M$2:M$401,$U158)))</f>
        <v/>
      </c>
      <c r="N158">
        <f>IF($U158="","",IF(INDEX('Per Invoice'!N$2:N$401,$U158)="","",INDEX('Per Invoice'!N$2:N$401,$U158)))</f>
        <v/>
      </c>
      <c r="O158" s="7">
        <f>IF($U158="","",IF(INDEX('Per Invoice'!O$2:O$401,$U158)="","",INDEX('Per Invoice'!O$2:O$401,$U158)))</f>
        <v/>
      </c>
      <c r="P158" s="7">
        <f>IF($U158="","",IF(INDEX('Per Invoice'!P$2:P$401,$U158)="","",INDEX('Per Invoice'!P$2:P$401,$U158)))</f>
        <v/>
      </c>
      <c r="Q158" s="7">
        <f>IF($U158="","",IF(INDEX('Per Invoice'!Q$2:Q$401,$U158)="","",INDEX('Per Invoice'!Q$2:Q$401,$U158)))</f>
        <v/>
      </c>
      <c r="R158" s="7">
        <f>IF($U158="","",IF(INDEX('Per Invoice'!R$2:R$401,$U158)="","",INDEX('Per Invoice'!R$2:R$401,$U158)))</f>
        <v/>
      </c>
      <c r="S158" s="7">
        <f>IF($U158="","",IF(INDEX('Per Invoice'!S$2:S$401,$U158)="","",INDEX('Per Invoice'!S$2:S$401,$U158)))</f>
        <v/>
      </c>
      <c r="T158" s="7">
        <f>IF($U158="","",IF(INDEX('Per Invoice'!T$2:T$401,$U158)="","",INDEX('Per Invoice'!T$2:T$401,$U158)))</f>
        <v/>
      </c>
      <c r="U158" s="16">
        <f>IFERROR(MATCH(Settings!$C$26&amp;"|"&amp;ROWS($U$2:$U158),'Per Invoice'!$V$2:$V$401,0),"")</f>
        <v/>
      </c>
    </row>
    <row r="159">
      <c r="A159">
        <f>IF($U159="","",IF(INDEX('Per Invoice'!A$2:A$401,$U159)="","",INDEX('Per Invoice'!A$2:A$401,$U159)))</f>
        <v/>
      </c>
      <c r="B159">
        <f>IF($U159="","",IF(INDEX('Per Invoice'!B$2:B$401,$U159)="","",INDEX('Per Invoice'!B$2:B$401,$U159)))</f>
        <v/>
      </c>
      <c r="C159">
        <f>IF($U159="","",IF(INDEX('Per Invoice'!C$2:C$401,$U159)="","",INDEX('Per Invoice'!C$2:C$401,$U159)))</f>
        <v/>
      </c>
      <c r="D159">
        <f>IF($U159="","",IF(INDEX('Per Invoice'!D$2:D$401,$U159)="","",INDEX('Per Invoice'!D$2:D$401,$U159)))</f>
        <v/>
      </c>
      <c r="E159">
        <f>IF($U159="","",IF(INDEX('Per Invoice'!E$2:E$401,$U159)="","",INDEX('Per Invoice'!E$2:E$401,$U159)))</f>
        <v/>
      </c>
      <c r="F159">
        <f>IF($U159="","",IF(INDEX('Per Invoice'!F$2:F$401,$U159)="","",INDEX('Per Invoice'!F$2:F$401,$U159)))</f>
        <v/>
      </c>
      <c r="G159">
        <f>IF($U159="","",IF(INDEX('Per Invoice'!G$2:G$401,$U159)="","",INDEX('Per Invoice'!G$2:G$401,$U159)))</f>
        <v/>
      </c>
      <c r="H159" s="7">
        <f>IF($U159="","",IF(INDEX('Per Invoice'!H$2:H$401,$U159)="","",INDEX('Per Invoice'!H$2:H$401,$U159)))</f>
        <v/>
      </c>
      <c r="I159" s="14">
        <f>IF($U159="","",IF(INDEX('Per Invoice'!I$2:I$401,$U159)="","",INDEX('Per Invoice'!I$2:I$401,$U159)))</f>
        <v/>
      </c>
      <c r="J159">
        <f>IF($U159="","",IF(INDEX('Per Invoice'!J$2:J$401,$U159)="","",INDEX('Per Invoice'!J$2:J$401,$U159)))</f>
        <v/>
      </c>
      <c r="K159">
        <f>IF($U159="","",IF(INDEX('Per Invoice'!K$2:K$401,$U159)="","",INDEX('Per Invoice'!K$2:K$401,$U159)))</f>
        <v/>
      </c>
      <c r="L159" s="7">
        <f>IF($U159="","",IF(INDEX('Per Invoice'!L$2:L$401,$U159)="","",INDEX('Per Invoice'!L$2:L$401,$U159)))</f>
        <v/>
      </c>
      <c r="M159" s="7">
        <f>IF($U159="","",IF(INDEX('Per Invoice'!M$2:M$401,$U159)="","",INDEX('Per Invoice'!M$2:M$401,$U159)))</f>
        <v/>
      </c>
      <c r="N159">
        <f>IF($U159="","",IF(INDEX('Per Invoice'!N$2:N$401,$U159)="","",INDEX('Per Invoice'!N$2:N$401,$U159)))</f>
        <v/>
      </c>
      <c r="O159" s="7">
        <f>IF($U159="","",IF(INDEX('Per Invoice'!O$2:O$401,$U159)="","",INDEX('Per Invoice'!O$2:O$401,$U159)))</f>
        <v/>
      </c>
      <c r="P159" s="7">
        <f>IF($U159="","",IF(INDEX('Per Invoice'!P$2:P$401,$U159)="","",INDEX('Per Invoice'!P$2:P$401,$U159)))</f>
        <v/>
      </c>
      <c r="Q159" s="7">
        <f>IF($U159="","",IF(INDEX('Per Invoice'!Q$2:Q$401,$U159)="","",INDEX('Per Invoice'!Q$2:Q$401,$U159)))</f>
        <v/>
      </c>
      <c r="R159" s="7">
        <f>IF($U159="","",IF(INDEX('Per Invoice'!R$2:R$401,$U159)="","",INDEX('Per Invoice'!R$2:R$401,$U159)))</f>
        <v/>
      </c>
      <c r="S159" s="7">
        <f>IF($U159="","",IF(INDEX('Per Invoice'!S$2:S$401,$U159)="","",INDEX('Per Invoice'!S$2:S$401,$U159)))</f>
        <v/>
      </c>
      <c r="T159" s="7">
        <f>IF($U159="","",IF(INDEX('Per Invoice'!T$2:T$401,$U159)="","",INDEX('Per Invoice'!T$2:T$401,$U159)))</f>
        <v/>
      </c>
      <c r="U159" s="16">
        <f>IFERROR(MATCH(Settings!$C$26&amp;"|"&amp;ROWS($U$2:$U159),'Per Invoice'!$V$2:$V$401,0),"")</f>
        <v/>
      </c>
    </row>
    <row r="160">
      <c r="A160">
        <f>IF($U160="","",IF(INDEX('Per Invoice'!A$2:A$401,$U160)="","",INDEX('Per Invoice'!A$2:A$401,$U160)))</f>
        <v/>
      </c>
      <c r="B160">
        <f>IF($U160="","",IF(INDEX('Per Invoice'!B$2:B$401,$U160)="","",INDEX('Per Invoice'!B$2:B$401,$U160)))</f>
        <v/>
      </c>
      <c r="C160">
        <f>IF($U160="","",IF(INDEX('Per Invoice'!C$2:C$401,$U160)="","",INDEX('Per Invoice'!C$2:C$401,$U160)))</f>
        <v/>
      </c>
      <c r="D160">
        <f>IF($U160="","",IF(INDEX('Per Invoice'!D$2:D$401,$U160)="","",INDEX('Per Invoice'!D$2:D$401,$U160)))</f>
        <v/>
      </c>
      <c r="E160">
        <f>IF($U160="","",IF(INDEX('Per Invoice'!E$2:E$401,$U160)="","",INDEX('Per Invoice'!E$2:E$401,$U160)))</f>
        <v/>
      </c>
      <c r="F160">
        <f>IF($U160="","",IF(INDEX('Per Invoice'!F$2:F$401,$U160)="","",INDEX('Per Invoice'!F$2:F$401,$U160)))</f>
        <v/>
      </c>
      <c r="G160">
        <f>IF($U160="","",IF(INDEX('Per Invoice'!G$2:G$401,$U160)="","",INDEX('Per Invoice'!G$2:G$401,$U160)))</f>
        <v/>
      </c>
      <c r="H160" s="7">
        <f>IF($U160="","",IF(INDEX('Per Invoice'!H$2:H$401,$U160)="","",INDEX('Per Invoice'!H$2:H$401,$U160)))</f>
        <v/>
      </c>
      <c r="I160" s="14">
        <f>IF($U160="","",IF(INDEX('Per Invoice'!I$2:I$401,$U160)="","",INDEX('Per Invoice'!I$2:I$401,$U160)))</f>
        <v/>
      </c>
      <c r="J160">
        <f>IF($U160="","",IF(INDEX('Per Invoice'!J$2:J$401,$U160)="","",INDEX('Per Invoice'!J$2:J$401,$U160)))</f>
        <v/>
      </c>
      <c r="K160">
        <f>IF($U160="","",IF(INDEX('Per Invoice'!K$2:K$401,$U160)="","",INDEX('Per Invoice'!K$2:K$401,$U160)))</f>
        <v/>
      </c>
      <c r="L160" s="7">
        <f>IF($U160="","",IF(INDEX('Per Invoice'!L$2:L$401,$U160)="","",INDEX('Per Invoice'!L$2:L$401,$U160)))</f>
        <v/>
      </c>
      <c r="M160" s="7">
        <f>IF($U160="","",IF(INDEX('Per Invoice'!M$2:M$401,$U160)="","",INDEX('Per Invoice'!M$2:M$401,$U160)))</f>
        <v/>
      </c>
      <c r="N160">
        <f>IF($U160="","",IF(INDEX('Per Invoice'!N$2:N$401,$U160)="","",INDEX('Per Invoice'!N$2:N$401,$U160)))</f>
        <v/>
      </c>
      <c r="O160" s="7">
        <f>IF($U160="","",IF(INDEX('Per Invoice'!O$2:O$401,$U160)="","",INDEX('Per Invoice'!O$2:O$401,$U160)))</f>
        <v/>
      </c>
      <c r="P160" s="7">
        <f>IF($U160="","",IF(INDEX('Per Invoice'!P$2:P$401,$U160)="","",INDEX('Per Invoice'!P$2:P$401,$U160)))</f>
        <v/>
      </c>
      <c r="Q160" s="7">
        <f>IF($U160="","",IF(INDEX('Per Invoice'!Q$2:Q$401,$U160)="","",INDEX('Per Invoice'!Q$2:Q$401,$U160)))</f>
        <v/>
      </c>
      <c r="R160" s="7">
        <f>IF($U160="","",IF(INDEX('Per Invoice'!R$2:R$401,$U160)="","",INDEX('Per Invoice'!R$2:R$401,$U160)))</f>
        <v/>
      </c>
      <c r="S160" s="7">
        <f>IF($U160="","",IF(INDEX('Per Invoice'!S$2:S$401,$U160)="","",INDEX('Per Invoice'!S$2:S$401,$U160)))</f>
        <v/>
      </c>
      <c r="T160" s="7">
        <f>IF($U160="","",IF(INDEX('Per Invoice'!T$2:T$401,$U160)="","",INDEX('Per Invoice'!T$2:T$401,$U160)))</f>
        <v/>
      </c>
      <c r="U160" s="16">
        <f>IFERROR(MATCH(Settings!$C$26&amp;"|"&amp;ROWS($U$2:$U160),'Per Invoice'!$V$2:$V$401,0),"")</f>
        <v/>
      </c>
    </row>
    <row r="161">
      <c r="A161">
        <f>IF($U161="","",IF(INDEX('Per Invoice'!A$2:A$401,$U161)="","",INDEX('Per Invoice'!A$2:A$401,$U161)))</f>
        <v/>
      </c>
      <c r="B161">
        <f>IF($U161="","",IF(INDEX('Per Invoice'!B$2:B$401,$U161)="","",INDEX('Per Invoice'!B$2:B$401,$U161)))</f>
        <v/>
      </c>
      <c r="C161">
        <f>IF($U161="","",IF(INDEX('Per Invoice'!C$2:C$401,$U161)="","",INDEX('Per Invoice'!C$2:C$401,$U161)))</f>
        <v/>
      </c>
      <c r="D161">
        <f>IF($U161="","",IF(INDEX('Per Invoice'!D$2:D$401,$U161)="","",INDEX('Per Invoice'!D$2:D$401,$U161)))</f>
        <v/>
      </c>
      <c r="E161">
        <f>IF($U161="","",IF(INDEX('Per Invoice'!E$2:E$401,$U161)="","",INDEX('Per Invoice'!E$2:E$401,$U161)))</f>
        <v/>
      </c>
      <c r="F161">
        <f>IF($U161="","",IF(INDEX('Per Invoice'!F$2:F$401,$U161)="","",INDEX('Per Invoice'!F$2:F$401,$U161)))</f>
        <v/>
      </c>
      <c r="G161">
        <f>IF($U161="","",IF(INDEX('Per Invoice'!G$2:G$401,$U161)="","",INDEX('Per Invoice'!G$2:G$401,$U161)))</f>
        <v/>
      </c>
      <c r="H161" s="7">
        <f>IF($U161="","",IF(INDEX('Per Invoice'!H$2:H$401,$U161)="","",INDEX('Per Invoice'!H$2:H$401,$U161)))</f>
        <v/>
      </c>
      <c r="I161" s="14">
        <f>IF($U161="","",IF(INDEX('Per Invoice'!I$2:I$401,$U161)="","",INDEX('Per Invoice'!I$2:I$401,$U161)))</f>
        <v/>
      </c>
      <c r="J161">
        <f>IF($U161="","",IF(INDEX('Per Invoice'!J$2:J$401,$U161)="","",INDEX('Per Invoice'!J$2:J$401,$U161)))</f>
        <v/>
      </c>
      <c r="K161">
        <f>IF($U161="","",IF(INDEX('Per Invoice'!K$2:K$401,$U161)="","",INDEX('Per Invoice'!K$2:K$401,$U161)))</f>
        <v/>
      </c>
      <c r="L161" s="7">
        <f>IF($U161="","",IF(INDEX('Per Invoice'!L$2:L$401,$U161)="","",INDEX('Per Invoice'!L$2:L$401,$U161)))</f>
        <v/>
      </c>
      <c r="M161" s="7">
        <f>IF($U161="","",IF(INDEX('Per Invoice'!M$2:M$401,$U161)="","",INDEX('Per Invoice'!M$2:M$401,$U161)))</f>
        <v/>
      </c>
      <c r="N161">
        <f>IF($U161="","",IF(INDEX('Per Invoice'!N$2:N$401,$U161)="","",INDEX('Per Invoice'!N$2:N$401,$U161)))</f>
        <v/>
      </c>
      <c r="O161" s="7">
        <f>IF($U161="","",IF(INDEX('Per Invoice'!O$2:O$401,$U161)="","",INDEX('Per Invoice'!O$2:O$401,$U161)))</f>
        <v/>
      </c>
      <c r="P161" s="7">
        <f>IF($U161="","",IF(INDEX('Per Invoice'!P$2:P$401,$U161)="","",INDEX('Per Invoice'!P$2:P$401,$U161)))</f>
        <v/>
      </c>
      <c r="Q161" s="7">
        <f>IF($U161="","",IF(INDEX('Per Invoice'!Q$2:Q$401,$U161)="","",INDEX('Per Invoice'!Q$2:Q$401,$U161)))</f>
        <v/>
      </c>
      <c r="R161" s="7">
        <f>IF($U161="","",IF(INDEX('Per Invoice'!R$2:R$401,$U161)="","",INDEX('Per Invoice'!R$2:R$401,$U161)))</f>
        <v/>
      </c>
      <c r="S161" s="7">
        <f>IF($U161="","",IF(INDEX('Per Invoice'!S$2:S$401,$U161)="","",INDEX('Per Invoice'!S$2:S$401,$U161)))</f>
        <v/>
      </c>
      <c r="T161" s="7">
        <f>IF($U161="","",IF(INDEX('Per Invoice'!T$2:T$401,$U161)="","",INDEX('Per Invoice'!T$2:T$401,$U161)))</f>
        <v/>
      </c>
      <c r="U161" s="16">
        <f>IFERROR(MATCH(Settings!$C$26&amp;"|"&amp;ROWS($U$2:$U161),'Per Invoice'!$V$2:$V$401,0),"")</f>
        <v/>
      </c>
    </row>
    <row r="162">
      <c r="A162">
        <f>IF($U162="","",IF(INDEX('Per Invoice'!A$2:A$401,$U162)="","",INDEX('Per Invoice'!A$2:A$401,$U162)))</f>
        <v/>
      </c>
      <c r="B162">
        <f>IF($U162="","",IF(INDEX('Per Invoice'!B$2:B$401,$U162)="","",INDEX('Per Invoice'!B$2:B$401,$U162)))</f>
        <v/>
      </c>
      <c r="C162">
        <f>IF($U162="","",IF(INDEX('Per Invoice'!C$2:C$401,$U162)="","",INDEX('Per Invoice'!C$2:C$401,$U162)))</f>
        <v/>
      </c>
      <c r="D162">
        <f>IF($U162="","",IF(INDEX('Per Invoice'!D$2:D$401,$U162)="","",INDEX('Per Invoice'!D$2:D$401,$U162)))</f>
        <v/>
      </c>
      <c r="E162">
        <f>IF($U162="","",IF(INDEX('Per Invoice'!E$2:E$401,$U162)="","",INDEX('Per Invoice'!E$2:E$401,$U162)))</f>
        <v/>
      </c>
      <c r="F162">
        <f>IF($U162="","",IF(INDEX('Per Invoice'!F$2:F$401,$U162)="","",INDEX('Per Invoice'!F$2:F$401,$U162)))</f>
        <v/>
      </c>
      <c r="G162">
        <f>IF($U162="","",IF(INDEX('Per Invoice'!G$2:G$401,$U162)="","",INDEX('Per Invoice'!G$2:G$401,$U162)))</f>
        <v/>
      </c>
      <c r="H162" s="7">
        <f>IF($U162="","",IF(INDEX('Per Invoice'!H$2:H$401,$U162)="","",INDEX('Per Invoice'!H$2:H$401,$U162)))</f>
        <v/>
      </c>
      <c r="I162" s="14">
        <f>IF($U162="","",IF(INDEX('Per Invoice'!I$2:I$401,$U162)="","",INDEX('Per Invoice'!I$2:I$401,$U162)))</f>
        <v/>
      </c>
      <c r="J162">
        <f>IF($U162="","",IF(INDEX('Per Invoice'!J$2:J$401,$U162)="","",INDEX('Per Invoice'!J$2:J$401,$U162)))</f>
        <v/>
      </c>
      <c r="K162">
        <f>IF($U162="","",IF(INDEX('Per Invoice'!K$2:K$401,$U162)="","",INDEX('Per Invoice'!K$2:K$401,$U162)))</f>
        <v/>
      </c>
      <c r="L162" s="7">
        <f>IF($U162="","",IF(INDEX('Per Invoice'!L$2:L$401,$U162)="","",INDEX('Per Invoice'!L$2:L$401,$U162)))</f>
        <v/>
      </c>
      <c r="M162" s="7">
        <f>IF($U162="","",IF(INDEX('Per Invoice'!M$2:M$401,$U162)="","",INDEX('Per Invoice'!M$2:M$401,$U162)))</f>
        <v/>
      </c>
      <c r="N162">
        <f>IF($U162="","",IF(INDEX('Per Invoice'!N$2:N$401,$U162)="","",INDEX('Per Invoice'!N$2:N$401,$U162)))</f>
        <v/>
      </c>
      <c r="O162" s="7">
        <f>IF($U162="","",IF(INDEX('Per Invoice'!O$2:O$401,$U162)="","",INDEX('Per Invoice'!O$2:O$401,$U162)))</f>
        <v/>
      </c>
      <c r="P162" s="7">
        <f>IF($U162="","",IF(INDEX('Per Invoice'!P$2:P$401,$U162)="","",INDEX('Per Invoice'!P$2:P$401,$U162)))</f>
        <v/>
      </c>
      <c r="Q162" s="7">
        <f>IF($U162="","",IF(INDEX('Per Invoice'!Q$2:Q$401,$U162)="","",INDEX('Per Invoice'!Q$2:Q$401,$U162)))</f>
        <v/>
      </c>
      <c r="R162" s="7">
        <f>IF($U162="","",IF(INDEX('Per Invoice'!R$2:R$401,$U162)="","",INDEX('Per Invoice'!R$2:R$401,$U162)))</f>
        <v/>
      </c>
      <c r="S162" s="7">
        <f>IF($U162="","",IF(INDEX('Per Invoice'!S$2:S$401,$U162)="","",INDEX('Per Invoice'!S$2:S$401,$U162)))</f>
        <v/>
      </c>
      <c r="T162" s="7">
        <f>IF($U162="","",IF(INDEX('Per Invoice'!T$2:T$401,$U162)="","",INDEX('Per Invoice'!T$2:T$401,$U162)))</f>
        <v/>
      </c>
      <c r="U162" s="16">
        <f>IFERROR(MATCH(Settings!$C$26&amp;"|"&amp;ROWS($U$2:$U162),'Per Invoice'!$V$2:$V$401,0),"")</f>
        <v/>
      </c>
    </row>
    <row r="163">
      <c r="A163">
        <f>IF($U163="","",IF(INDEX('Per Invoice'!A$2:A$401,$U163)="","",INDEX('Per Invoice'!A$2:A$401,$U163)))</f>
        <v/>
      </c>
      <c r="B163">
        <f>IF($U163="","",IF(INDEX('Per Invoice'!B$2:B$401,$U163)="","",INDEX('Per Invoice'!B$2:B$401,$U163)))</f>
        <v/>
      </c>
      <c r="C163">
        <f>IF($U163="","",IF(INDEX('Per Invoice'!C$2:C$401,$U163)="","",INDEX('Per Invoice'!C$2:C$401,$U163)))</f>
        <v/>
      </c>
      <c r="D163">
        <f>IF($U163="","",IF(INDEX('Per Invoice'!D$2:D$401,$U163)="","",INDEX('Per Invoice'!D$2:D$401,$U163)))</f>
        <v/>
      </c>
      <c r="E163">
        <f>IF($U163="","",IF(INDEX('Per Invoice'!E$2:E$401,$U163)="","",INDEX('Per Invoice'!E$2:E$401,$U163)))</f>
        <v/>
      </c>
      <c r="F163">
        <f>IF($U163="","",IF(INDEX('Per Invoice'!F$2:F$401,$U163)="","",INDEX('Per Invoice'!F$2:F$401,$U163)))</f>
        <v/>
      </c>
      <c r="G163">
        <f>IF($U163="","",IF(INDEX('Per Invoice'!G$2:G$401,$U163)="","",INDEX('Per Invoice'!G$2:G$401,$U163)))</f>
        <v/>
      </c>
      <c r="H163" s="7">
        <f>IF($U163="","",IF(INDEX('Per Invoice'!H$2:H$401,$U163)="","",INDEX('Per Invoice'!H$2:H$401,$U163)))</f>
        <v/>
      </c>
      <c r="I163" s="14">
        <f>IF($U163="","",IF(INDEX('Per Invoice'!I$2:I$401,$U163)="","",INDEX('Per Invoice'!I$2:I$401,$U163)))</f>
        <v/>
      </c>
      <c r="J163">
        <f>IF($U163="","",IF(INDEX('Per Invoice'!J$2:J$401,$U163)="","",INDEX('Per Invoice'!J$2:J$401,$U163)))</f>
        <v/>
      </c>
      <c r="K163">
        <f>IF($U163="","",IF(INDEX('Per Invoice'!K$2:K$401,$U163)="","",INDEX('Per Invoice'!K$2:K$401,$U163)))</f>
        <v/>
      </c>
      <c r="L163" s="7">
        <f>IF($U163="","",IF(INDEX('Per Invoice'!L$2:L$401,$U163)="","",INDEX('Per Invoice'!L$2:L$401,$U163)))</f>
        <v/>
      </c>
      <c r="M163" s="7">
        <f>IF($U163="","",IF(INDEX('Per Invoice'!M$2:M$401,$U163)="","",INDEX('Per Invoice'!M$2:M$401,$U163)))</f>
        <v/>
      </c>
      <c r="N163">
        <f>IF($U163="","",IF(INDEX('Per Invoice'!N$2:N$401,$U163)="","",INDEX('Per Invoice'!N$2:N$401,$U163)))</f>
        <v/>
      </c>
      <c r="O163" s="7">
        <f>IF($U163="","",IF(INDEX('Per Invoice'!O$2:O$401,$U163)="","",INDEX('Per Invoice'!O$2:O$401,$U163)))</f>
        <v/>
      </c>
      <c r="P163" s="7">
        <f>IF($U163="","",IF(INDEX('Per Invoice'!P$2:P$401,$U163)="","",INDEX('Per Invoice'!P$2:P$401,$U163)))</f>
        <v/>
      </c>
      <c r="Q163" s="7">
        <f>IF($U163="","",IF(INDEX('Per Invoice'!Q$2:Q$401,$U163)="","",INDEX('Per Invoice'!Q$2:Q$401,$U163)))</f>
        <v/>
      </c>
      <c r="R163" s="7">
        <f>IF($U163="","",IF(INDEX('Per Invoice'!R$2:R$401,$U163)="","",INDEX('Per Invoice'!R$2:R$401,$U163)))</f>
        <v/>
      </c>
      <c r="S163" s="7">
        <f>IF($U163="","",IF(INDEX('Per Invoice'!S$2:S$401,$U163)="","",INDEX('Per Invoice'!S$2:S$401,$U163)))</f>
        <v/>
      </c>
      <c r="T163" s="7">
        <f>IF($U163="","",IF(INDEX('Per Invoice'!T$2:T$401,$U163)="","",INDEX('Per Invoice'!T$2:T$401,$U163)))</f>
        <v/>
      </c>
      <c r="U163" s="16">
        <f>IFERROR(MATCH(Settings!$C$26&amp;"|"&amp;ROWS($U$2:$U163),'Per Invoice'!$V$2:$V$401,0),"")</f>
        <v/>
      </c>
    </row>
    <row r="164">
      <c r="A164">
        <f>IF($U164="","",IF(INDEX('Per Invoice'!A$2:A$401,$U164)="","",INDEX('Per Invoice'!A$2:A$401,$U164)))</f>
        <v/>
      </c>
      <c r="B164">
        <f>IF($U164="","",IF(INDEX('Per Invoice'!B$2:B$401,$U164)="","",INDEX('Per Invoice'!B$2:B$401,$U164)))</f>
        <v/>
      </c>
      <c r="C164">
        <f>IF($U164="","",IF(INDEX('Per Invoice'!C$2:C$401,$U164)="","",INDEX('Per Invoice'!C$2:C$401,$U164)))</f>
        <v/>
      </c>
      <c r="D164">
        <f>IF($U164="","",IF(INDEX('Per Invoice'!D$2:D$401,$U164)="","",INDEX('Per Invoice'!D$2:D$401,$U164)))</f>
        <v/>
      </c>
      <c r="E164">
        <f>IF($U164="","",IF(INDEX('Per Invoice'!E$2:E$401,$U164)="","",INDEX('Per Invoice'!E$2:E$401,$U164)))</f>
        <v/>
      </c>
      <c r="F164">
        <f>IF($U164="","",IF(INDEX('Per Invoice'!F$2:F$401,$U164)="","",INDEX('Per Invoice'!F$2:F$401,$U164)))</f>
        <v/>
      </c>
      <c r="G164">
        <f>IF($U164="","",IF(INDEX('Per Invoice'!G$2:G$401,$U164)="","",INDEX('Per Invoice'!G$2:G$401,$U164)))</f>
        <v/>
      </c>
      <c r="H164" s="7">
        <f>IF($U164="","",IF(INDEX('Per Invoice'!H$2:H$401,$U164)="","",INDEX('Per Invoice'!H$2:H$401,$U164)))</f>
        <v/>
      </c>
      <c r="I164" s="14">
        <f>IF($U164="","",IF(INDEX('Per Invoice'!I$2:I$401,$U164)="","",INDEX('Per Invoice'!I$2:I$401,$U164)))</f>
        <v/>
      </c>
      <c r="J164">
        <f>IF($U164="","",IF(INDEX('Per Invoice'!J$2:J$401,$U164)="","",INDEX('Per Invoice'!J$2:J$401,$U164)))</f>
        <v/>
      </c>
      <c r="K164">
        <f>IF($U164="","",IF(INDEX('Per Invoice'!K$2:K$401,$U164)="","",INDEX('Per Invoice'!K$2:K$401,$U164)))</f>
        <v/>
      </c>
      <c r="L164" s="7">
        <f>IF($U164="","",IF(INDEX('Per Invoice'!L$2:L$401,$U164)="","",INDEX('Per Invoice'!L$2:L$401,$U164)))</f>
        <v/>
      </c>
      <c r="M164" s="7">
        <f>IF($U164="","",IF(INDEX('Per Invoice'!M$2:M$401,$U164)="","",INDEX('Per Invoice'!M$2:M$401,$U164)))</f>
        <v/>
      </c>
      <c r="N164">
        <f>IF($U164="","",IF(INDEX('Per Invoice'!N$2:N$401,$U164)="","",INDEX('Per Invoice'!N$2:N$401,$U164)))</f>
        <v/>
      </c>
      <c r="O164" s="7">
        <f>IF($U164="","",IF(INDEX('Per Invoice'!O$2:O$401,$U164)="","",INDEX('Per Invoice'!O$2:O$401,$U164)))</f>
        <v/>
      </c>
      <c r="P164" s="7">
        <f>IF($U164="","",IF(INDEX('Per Invoice'!P$2:P$401,$U164)="","",INDEX('Per Invoice'!P$2:P$401,$U164)))</f>
        <v/>
      </c>
      <c r="Q164" s="7">
        <f>IF($U164="","",IF(INDEX('Per Invoice'!Q$2:Q$401,$U164)="","",INDEX('Per Invoice'!Q$2:Q$401,$U164)))</f>
        <v/>
      </c>
      <c r="R164" s="7">
        <f>IF($U164="","",IF(INDEX('Per Invoice'!R$2:R$401,$U164)="","",INDEX('Per Invoice'!R$2:R$401,$U164)))</f>
        <v/>
      </c>
      <c r="S164" s="7">
        <f>IF($U164="","",IF(INDEX('Per Invoice'!S$2:S$401,$U164)="","",INDEX('Per Invoice'!S$2:S$401,$U164)))</f>
        <v/>
      </c>
      <c r="T164" s="7">
        <f>IF($U164="","",IF(INDEX('Per Invoice'!T$2:T$401,$U164)="","",INDEX('Per Invoice'!T$2:T$401,$U164)))</f>
        <v/>
      </c>
      <c r="U164" s="16">
        <f>IFERROR(MATCH(Settings!$C$26&amp;"|"&amp;ROWS($U$2:$U164),'Per Invoice'!$V$2:$V$401,0),"")</f>
        <v/>
      </c>
    </row>
    <row r="165">
      <c r="A165">
        <f>IF($U165="","",IF(INDEX('Per Invoice'!A$2:A$401,$U165)="","",INDEX('Per Invoice'!A$2:A$401,$U165)))</f>
        <v/>
      </c>
      <c r="B165">
        <f>IF($U165="","",IF(INDEX('Per Invoice'!B$2:B$401,$U165)="","",INDEX('Per Invoice'!B$2:B$401,$U165)))</f>
        <v/>
      </c>
      <c r="C165">
        <f>IF($U165="","",IF(INDEX('Per Invoice'!C$2:C$401,$U165)="","",INDEX('Per Invoice'!C$2:C$401,$U165)))</f>
        <v/>
      </c>
      <c r="D165">
        <f>IF($U165="","",IF(INDEX('Per Invoice'!D$2:D$401,$U165)="","",INDEX('Per Invoice'!D$2:D$401,$U165)))</f>
        <v/>
      </c>
      <c r="E165">
        <f>IF($U165="","",IF(INDEX('Per Invoice'!E$2:E$401,$U165)="","",INDEX('Per Invoice'!E$2:E$401,$U165)))</f>
        <v/>
      </c>
      <c r="F165">
        <f>IF($U165="","",IF(INDEX('Per Invoice'!F$2:F$401,$U165)="","",INDEX('Per Invoice'!F$2:F$401,$U165)))</f>
        <v/>
      </c>
      <c r="G165">
        <f>IF($U165="","",IF(INDEX('Per Invoice'!G$2:G$401,$U165)="","",INDEX('Per Invoice'!G$2:G$401,$U165)))</f>
        <v/>
      </c>
      <c r="H165" s="7">
        <f>IF($U165="","",IF(INDEX('Per Invoice'!H$2:H$401,$U165)="","",INDEX('Per Invoice'!H$2:H$401,$U165)))</f>
        <v/>
      </c>
      <c r="I165" s="14">
        <f>IF($U165="","",IF(INDEX('Per Invoice'!I$2:I$401,$U165)="","",INDEX('Per Invoice'!I$2:I$401,$U165)))</f>
        <v/>
      </c>
      <c r="J165">
        <f>IF($U165="","",IF(INDEX('Per Invoice'!J$2:J$401,$U165)="","",INDEX('Per Invoice'!J$2:J$401,$U165)))</f>
        <v/>
      </c>
      <c r="K165">
        <f>IF($U165="","",IF(INDEX('Per Invoice'!K$2:K$401,$U165)="","",INDEX('Per Invoice'!K$2:K$401,$U165)))</f>
        <v/>
      </c>
      <c r="L165" s="7">
        <f>IF($U165="","",IF(INDEX('Per Invoice'!L$2:L$401,$U165)="","",INDEX('Per Invoice'!L$2:L$401,$U165)))</f>
        <v/>
      </c>
      <c r="M165" s="7">
        <f>IF($U165="","",IF(INDEX('Per Invoice'!M$2:M$401,$U165)="","",INDEX('Per Invoice'!M$2:M$401,$U165)))</f>
        <v/>
      </c>
      <c r="N165">
        <f>IF($U165="","",IF(INDEX('Per Invoice'!N$2:N$401,$U165)="","",INDEX('Per Invoice'!N$2:N$401,$U165)))</f>
        <v/>
      </c>
      <c r="O165" s="7">
        <f>IF($U165="","",IF(INDEX('Per Invoice'!O$2:O$401,$U165)="","",INDEX('Per Invoice'!O$2:O$401,$U165)))</f>
        <v/>
      </c>
      <c r="P165" s="7">
        <f>IF($U165="","",IF(INDEX('Per Invoice'!P$2:P$401,$U165)="","",INDEX('Per Invoice'!P$2:P$401,$U165)))</f>
        <v/>
      </c>
      <c r="Q165" s="7">
        <f>IF($U165="","",IF(INDEX('Per Invoice'!Q$2:Q$401,$U165)="","",INDEX('Per Invoice'!Q$2:Q$401,$U165)))</f>
        <v/>
      </c>
      <c r="R165" s="7">
        <f>IF($U165="","",IF(INDEX('Per Invoice'!R$2:R$401,$U165)="","",INDEX('Per Invoice'!R$2:R$401,$U165)))</f>
        <v/>
      </c>
      <c r="S165" s="7">
        <f>IF($U165="","",IF(INDEX('Per Invoice'!S$2:S$401,$U165)="","",INDEX('Per Invoice'!S$2:S$401,$U165)))</f>
        <v/>
      </c>
      <c r="T165" s="7">
        <f>IF($U165="","",IF(INDEX('Per Invoice'!T$2:T$401,$U165)="","",INDEX('Per Invoice'!T$2:T$401,$U165)))</f>
        <v/>
      </c>
      <c r="U165" s="16">
        <f>IFERROR(MATCH(Settings!$C$26&amp;"|"&amp;ROWS($U$2:$U165),'Per Invoice'!$V$2:$V$401,0),"")</f>
        <v/>
      </c>
    </row>
    <row r="166">
      <c r="A166">
        <f>IF($U166="","",IF(INDEX('Per Invoice'!A$2:A$401,$U166)="","",INDEX('Per Invoice'!A$2:A$401,$U166)))</f>
        <v/>
      </c>
      <c r="B166">
        <f>IF($U166="","",IF(INDEX('Per Invoice'!B$2:B$401,$U166)="","",INDEX('Per Invoice'!B$2:B$401,$U166)))</f>
        <v/>
      </c>
      <c r="C166">
        <f>IF($U166="","",IF(INDEX('Per Invoice'!C$2:C$401,$U166)="","",INDEX('Per Invoice'!C$2:C$401,$U166)))</f>
        <v/>
      </c>
      <c r="D166">
        <f>IF($U166="","",IF(INDEX('Per Invoice'!D$2:D$401,$U166)="","",INDEX('Per Invoice'!D$2:D$401,$U166)))</f>
        <v/>
      </c>
      <c r="E166">
        <f>IF($U166="","",IF(INDEX('Per Invoice'!E$2:E$401,$U166)="","",INDEX('Per Invoice'!E$2:E$401,$U166)))</f>
        <v/>
      </c>
      <c r="F166">
        <f>IF($U166="","",IF(INDEX('Per Invoice'!F$2:F$401,$U166)="","",INDEX('Per Invoice'!F$2:F$401,$U166)))</f>
        <v/>
      </c>
      <c r="G166">
        <f>IF($U166="","",IF(INDEX('Per Invoice'!G$2:G$401,$U166)="","",INDEX('Per Invoice'!G$2:G$401,$U166)))</f>
        <v/>
      </c>
      <c r="H166" s="7">
        <f>IF($U166="","",IF(INDEX('Per Invoice'!H$2:H$401,$U166)="","",INDEX('Per Invoice'!H$2:H$401,$U166)))</f>
        <v/>
      </c>
      <c r="I166" s="14">
        <f>IF($U166="","",IF(INDEX('Per Invoice'!I$2:I$401,$U166)="","",INDEX('Per Invoice'!I$2:I$401,$U166)))</f>
        <v/>
      </c>
      <c r="J166">
        <f>IF($U166="","",IF(INDEX('Per Invoice'!J$2:J$401,$U166)="","",INDEX('Per Invoice'!J$2:J$401,$U166)))</f>
        <v/>
      </c>
      <c r="K166">
        <f>IF($U166="","",IF(INDEX('Per Invoice'!K$2:K$401,$U166)="","",INDEX('Per Invoice'!K$2:K$401,$U166)))</f>
        <v/>
      </c>
      <c r="L166" s="7">
        <f>IF($U166="","",IF(INDEX('Per Invoice'!L$2:L$401,$U166)="","",INDEX('Per Invoice'!L$2:L$401,$U166)))</f>
        <v/>
      </c>
      <c r="M166" s="7">
        <f>IF($U166="","",IF(INDEX('Per Invoice'!M$2:M$401,$U166)="","",INDEX('Per Invoice'!M$2:M$401,$U166)))</f>
        <v/>
      </c>
      <c r="N166">
        <f>IF($U166="","",IF(INDEX('Per Invoice'!N$2:N$401,$U166)="","",INDEX('Per Invoice'!N$2:N$401,$U166)))</f>
        <v/>
      </c>
      <c r="O166" s="7">
        <f>IF($U166="","",IF(INDEX('Per Invoice'!O$2:O$401,$U166)="","",INDEX('Per Invoice'!O$2:O$401,$U166)))</f>
        <v/>
      </c>
      <c r="P166" s="7">
        <f>IF($U166="","",IF(INDEX('Per Invoice'!P$2:P$401,$U166)="","",INDEX('Per Invoice'!P$2:P$401,$U166)))</f>
        <v/>
      </c>
      <c r="Q166" s="7">
        <f>IF($U166="","",IF(INDEX('Per Invoice'!Q$2:Q$401,$U166)="","",INDEX('Per Invoice'!Q$2:Q$401,$U166)))</f>
        <v/>
      </c>
      <c r="R166" s="7">
        <f>IF($U166="","",IF(INDEX('Per Invoice'!R$2:R$401,$U166)="","",INDEX('Per Invoice'!R$2:R$401,$U166)))</f>
        <v/>
      </c>
      <c r="S166" s="7">
        <f>IF($U166="","",IF(INDEX('Per Invoice'!S$2:S$401,$U166)="","",INDEX('Per Invoice'!S$2:S$401,$U166)))</f>
        <v/>
      </c>
      <c r="T166" s="7">
        <f>IF($U166="","",IF(INDEX('Per Invoice'!T$2:T$401,$U166)="","",INDEX('Per Invoice'!T$2:T$401,$U166)))</f>
        <v/>
      </c>
      <c r="U166" s="16">
        <f>IFERROR(MATCH(Settings!$C$26&amp;"|"&amp;ROWS($U$2:$U166),'Per Invoice'!$V$2:$V$401,0),"")</f>
        <v/>
      </c>
    </row>
    <row r="167">
      <c r="A167">
        <f>IF($U167="","",IF(INDEX('Per Invoice'!A$2:A$401,$U167)="","",INDEX('Per Invoice'!A$2:A$401,$U167)))</f>
        <v/>
      </c>
      <c r="B167">
        <f>IF($U167="","",IF(INDEX('Per Invoice'!B$2:B$401,$U167)="","",INDEX('Per Invoice'!B$2:B$401,$U167)))</f>
        <v/>
      </c>
      <c r="C167">
        <f>IF($U167="","",IF(INDEX('Per Invoice'!C$2:C$401,$U167)="","",INDEX('Per Invoice'!C$2:C$401,$U167)))</f>
        <v/>
      </c>
      <c r="D167">
        <f>IF($U167="","",IF(INDEX('Per Invoice'!D$2:D$401,$U167)="","",INDEX('Per Invoice'!D$2:D$401,$U167)))</f>
        <v/>
      </c>
      <c r="E167">
        <f>IF($U167="","",IF(INDEX('Per Invoice'!E$2:E$401,$U167)="","",INDEX('Per Invoice'!E$2:E$401,$U167)))</f>
        <v/>
      </c>
      <c r="F167">
        <f>IF($U167="","",IF(INDEX('Per Invoice'!F$2:F$401,$U167)="","",INDEX('Per Invoice'!F$2:F$401,$U167)))</f>
        <v/>
      </c>
      <c r="G167">
        <f>IF($U167="","",IF(INDEX('Per Invoice'!G$2:G$401,$U167)="","",INDEX('Per Invoice'!G$2:G$401,$U167)))</f>
        <v/>
      </c>
      <c r="H167" s="7">
        <f>IF($U167="","",IF(INDEX('Per Invoice'!H$2:H$401,$U167)="","",INDEX('Per Invoice'!H$2:H$401,$U167)))</f>
        <v/>
      </c>
      <c r="I167" s="14">
        <f>IF($U167="","",IF(INDEX('Per Invoice'!I$2:I$401,$U167)="","",INDEX('Per Invoice'!I$2:I$401,$U167)))</f>
        <v/>
      </c>
      <c r="J167">
        <f>IF($U167="","",IF(INDEX('Per Invoice'!J$2:J$401,$U167)="","",INDEX('Per Invoice'!J$2:J$401,$U167)))</f>
        <v/>
      </c>
      <c r="K167">
        <f>IF($U167="","",IF(INDEX('Per Invoice'!K$2:K$401,$U167)="","",INDEX('Per Invoice'!K$2:K$401,$U167)))</f>
        <v/>
      </c>
      <c r="L167" s="7">
        <f>IF($U167="","",IF(INDEX('Per Invoice'!L$2:L$401,$U167)="","",INDEX('Per Invoice'!L$2:L$401,$U167)))</f>
        <v/>
      </c>
      <c r="M167" s="7">
        <f>IF($U167="","",IF(INDEX('Per Invoice'!M$2:M$401,$U167)="","",INDEX('Per Invoice'!M$2:M$401,$U167)))</f>
        <v/>
      </c>
      <c r="N167">
        <f>IF($U167="","",IF(INDEX('Per Invoice'!N$2:N$401,$U167)="","",INDEX('Per Invoice'!N$2:N$401,$U167)))</f>
        <v/>
      </c>
      <c r="O167" s="7">
        <f>IF($U167="","",IF(INDEX('Per Invoice'!O$2:O$401,$U167)="","",INDEX('Per Invoice'!O$2:O$401,$U167)))</f>
        <v/>
      </c>
      <c r="P167" s="7">
        <f>IF($U167="","",IF(INDEX('Per Invoice'!P$2:P$401,$U167)="","",INDEX('Per Invoice'!P$2:P$401,$U167)))</f>
        <v/>
      </c>
      <c r="Q167" s="7">
        <f>IF($U167="","",IF(INDEX('Per Invoice'!Q$2:Q$401,$U167)="","",INDEX('Per Invoice'!Q$2:Q$401,$U167)))</f>
        <v/>
      </c>
      <c r="R167" s="7">
        <f>IF($U167="","",IF(INDEX('Per Invoice'!R$2:R$401,$U167)="","",INDEX('Per Invoice'!R$2:R$401,$U167)))</f>
        <v/>
      </c>
      <c r="S167" s="7">
        <f>IF($U167="","",IF(INDEX('Per Invoice'!S$2:S$401,$U167)="","",INDEX('Per Invoice'!S$2:S$401,$U167)))</f>
        <v/>
      </c>
      <c r="T167" s="7">
        <f>IF($U167="","",IF(INDEX('Per Invoice'!T$2:T$401,$U167)="","",INDEX('Per Invoice'!T$2:T$401,$U167)))</f>
        <v/>
      </c>
      <c r="U167" s="16">
        <f>IFERROR(MATCH(Settings!$C$26&amp;"|"&amp;ROWS($U$2:$U167),'Per Invoice'!$V$2:$V$401,0),"")</f>
        <v/>
      </c>
    </row>
    <row r="168">
      <c r="A168">
        <f>IF($U168="","",IF(INDEX('Per Invoice'!A$2:A$401,$U168)="","",INDEX('Per Invoice'!A$2:A$401,$U168)))</f>
        <v/>
      </c>
      <c r="B168">
        <f>IF($U168="","",IF(INDEX('Per Invoice'!B$2:B$401,$U168)="","",INDEX('Per Invoice'!B$2:B$401,$U168)))</f>
        <v/>
      </c>
      <c r="C168">
        <f>IF($U168="","",IF(INDEX('Per Invoice'!C$2:C$401,$U168)="","",INDEX('Per Invoice'!C$2:C$401,$U168)))</f>
        <v/>
      </c>
      <c r="D168">
        <f>IF($U168="","",IF(INDEX('Per Invoice'!D$2:D$401,$U168)="","",INDEX('Per Invoice'!D$2:D$401,$U168)))</f>
        <v/>
      </c>
      <c r="E168">
        <f>IF($U168="","",IF(INDEX('Per Invoice'!E$2:E$401,$U168)="","",INDEX('Per Invoice'!E$2:E$401,$U168)))</f>
        <v/>
      </c>
      <c r="F168">
        <f>IF($U168="","",IF(INDEX('Per Invoice'!F$2:F$401,$U168)="","",INDEX('Per Invoice'!F$2:F$401,$U168)))</f>
        <v/>
      </c>
      <c r="G168">
        <f>IF($U168="","",IF(INDEX('Per Invoice'!G$2:G$401,$U168)="","",INDEX('Per Invoice'!G$2:G$401,$U168)))</f>
        <v/>
      </c>
      <c r="H168" s="7">
        <f>IF($U168="","",IF(INDEX('Per Invoice'!H$2:H$401,$U168)="","",INDEX('Per Invoice'!H$2:H$401,$U168)))</f>
        <v/>
      </c>
      <c r="I168" s="14">
        <f>IF($U168="","",IF(INDEX('Per Invoice'!I$2:I$401,$U168)="","",INDEX('Per Invoice'!I$2:I$401,$U168)))</f>
        <v/>
      </c>
      <c r="J168">
        <f>IF($U168="","",IF(INDEX('Per Invoice'!J$2:J$401,$U168)="","",INDEX('Per Invoice'!J$2:J$401,$U168)))</f>
        <v/>
      </c>
      <c r="K168">
        <f>IF($U168="","",IF(INDEX('Per Invoice'!K$2:K$401,$U168)="","",INDEX('Per Invoice'!K$2:K$401,$U168)))</f>
        <v/>
      </c>
      <c r="L168" s="7">
        <f>IF($U168="","",IF(INDEX('Per Invoice'!L$2:L$401,$U168)="","",INDEX('Per Invoice'!L$2:L$401,$U168)))</f>
        <v/>
      </c>
      <c r="M168" s="7">
        <f>IF($U168="","",IF(INDEX('Per Invoice'!M$2:M$401,$U168)="","",INDEX('Per Invoice'!M$2:M$401,$U168)))</f>
        <v/>
      </c>
      <c r="N168">
        <f>IF($U168="","",IF(INDEX('Per Invoice'!N$2:N$401,$U168)="","",INDEX('Per Invoice'!N$2:N$401,$U168)))</f>
        <v/>
      </c>
      <c r="O168" s="7">
        <f>IF($U168="","",IF(INDEX('Per Invoice'!O$2:O$401,$U168)="","",INDEX('Per Invoice'!O$2:O$401,$U168)))</f>
        <v/>
      </c>
      <c r="P168" s="7">
        <f>IF($U168="","",IF(INDEX('Per Invoice'!P$2:P$401,$U168)="","",INDEX('Per Invoice'!P$2:P$401,$U168)))</f>
        <v/>
      </c>
      <c r="Q168" s="7">
        <f>IF($U168="","",IF(INDEX('Per Invoice'!Q$2:Q$401,$U168)="","",INDEX('Per Invoice'!Q$2:Q$401,$U168)))</f>
        <v/>
      </c>
      <c r="R168" s="7">
        <f>IF($U168="","",IF(INDEX('Per Invoice'!R$2:R$401,$U168)="","",INDEX('Per Invoice'!R$2:R$401,$U168)))</f>
        <v/>
      </c>
      <c r="S168" s="7">
        <f>IF($U168="","",IF(INDEX('Per Invoice'!S$2:S$401,$U168)="","",INDEX('Per Invoice'!S$2:S$401,$U168)))</f>
        <v/>
      </c>
      <c r="T168" s="7">
        <f>IF($U168="","",IF(INDEX('Per Invoice'!T$2:T$401,$U168)="","",INDEX('Per Invoice'!T$2:T$401,$U168)))</f>
        <v/>
      </c>
      <c r="U168" s="16">
        <f>IFERROR(MATCH(Settings!$C$26&amp;"|"&amp;ROWS($U$2:$U168),'Per Invoice'!$V$2:$V$401,0),"")</f>
        <v/>
      </c>
    </row>
    <row r="169">
      <c r="A169">
        <f>IF($U169="","",IF(INDEX('Per Invoice'!A$2:A$401,$U169)="","",INDEX('Per Invoice'!A$2:A$401,$U169)))</f>
        <v/>
      </c>
      <c r="B169">
        <f>IF($U169="","",IF(INDEX('Per Invoice'!B$2:B$401,$U169)="","",INDEX('Per Invoice'!B$2:B$401,$U169)))</f>
        <v/>
      </c>
      <c r="C169">
        <f>IF($U169="","",IF(INDEX('Per Invoice'!C$2:C$401,$U169)="","",INDEX('Per Invoice'!C$2:C$401,$U169)))</f>
        <v/>
      </c>
      <c r="D169">
        <f>IF($U169="","",IF(INDEX('Per Invoice'!D$2:D$401,$U169)="","",INDEX('Per Invoice'!D$2:D$401,$U169)))</f>
        <v/>
      </c>
      <c r="E169">
        <f>IF($U169="","",IF(INDEX('Per Invoice'!E$2:E$401,$U169)="","",INDEX('Per Invoice'!E$2:E$401,$U169)))</f>
        <v/>
      </c>
      <c r="F169">
        <f>IF($U169="","",IF(INDEX('Per Invoice'!F$2:F$401,$U169)="","",INDEX('Per Invoice'!F$2:F$401,$U169)))</f>
        <v/>
      </c>
      <c r="G169">
        <f>IF($U169="","",IF(INDEX('Per Invoice'!G$2:G$401,$U169)="","",INDEX('Per Invoice'!G$2:G$401,$U169)))</f>
        <v/>
      </c>
      <c r="H169" s="7">
        <f>IF($U169="","",IF(INDEX('Per Invoice'!H$2:H$401,$U169)="","",INDEX('Per Invoice'!H$2:H$401,$U169)))</f>
        <v/>
      </c>
      <c r="I169" s="14">
        <f>IF($U169="","",IF(INDEX('Per Invoice'!I$2:I$401,$U169)="","",INDEX('Per Invoice'!I$2:I$401,$U169)))</f>
        <v/>
      </c>
      <c r="J169">
        <f>IF($U169="","",IF(INDEX('Per Invoice'!J$2:J$401,$U169)="","",INDEX('Per Invoice'!J$2:J$401,$U169)))</f>
        <v/>
      </c>
      <c r="K169">
        <f>IF($U169="","",IF(INDEX('Per Invoice'!K$2:K$401,$U169)="","",INDEX('Per Invoice'!K$2:K$401,$U169)))</f>
        <v/>
      </c>
      <c r="L169" s="7">
        <f>IF($U169="","",IF(INDEX('Per Invoice'!L$2:L$401,$U169)="","",INDEX('Per Invoice'!L$2:L$401,$U169)))</f>
        <v/>
      </c>
      <c r="M169" s="7">
        <f>IF($U169="","",IF(INDEX('Per Invoice'!M$2:M$401,$U169)="","",INDEX('Per Invoice'!M$2:M$401,$U169)))</f>
        <v/>
      </c>
      <c r="N169">
        <f>IF($U169="","",IF(INDEX('Per Invoice'!N$2:N$401,$U169)="","",INDEX('Per Invoice'!N$2:N$401,$U169)))</f>
        <v/>
      </c>
      <c r="O169" s="7">
        <f>IF($U169="","",IF(INDEX('Per Invoice'!O$2:O$401,$U169)="","",INDEX('Per Invoice'!O$2:O$401,$U169)))</f>
        <v/>
      </c>
      <c r="P169" s="7">
        <f>IF($U169="","",IF(INDEX('Per Invoice'!P$2:P$401,$U169)="","",INDEX('Per Invoice'!P$2:P$401,$U169)))</f>
        <v/>
      </c>
      <c r="Q169" s="7">
        <f>IF($U169="","",IF(INDEX('Per Invoice'!Q$2:Q$401,$U169)="","",INDEX('Per Invoice'!Q$2:Q$401,$U169)))</f>
        <v/>
      </c>
      <c r="R169" s="7">
        <f>IF($U169="","",IF(INDEX('Per Invoice'!R$2:R$401,$U169)="","",INDEX('Per Invoice'!R$2:R$401,$U169)))</f>
        <v/>
      </c>
      <c r="S169" s="7">
        <f>IF($U169="","",IF(INDEX('Per Invoice'!S$2:S$401,$U169)="","",INDEX('Per Invoice'!S$2:S$401,$U169)))</f>
        <v/>
      </c>
      <c r="T169" s="7">
        <f>IF($U169="","",IF(INDEX('Per Invoice'!T$2:T$401,$U169)="","",INDEX('Per Invoice'!T$2:T$401,$U169)))</f>
        <v/>
      </c>
      <c r="U169" s="16">
        <f>IFERROR(MATCH(Settings!$C$26&amp;"|"&amp;ROWS($U$2:$U169),'Per Invoice'!$V$2:$V$401,0),"")</f>
        <v/>
      </c>
    </row>
    <row r="170">
      <c r="A170">
        <f>IF($U170="","",IF(INDEX('Per Invoice'!A$2:A$401,$U170)="","",INDEX('Per Invoice'!A$2:A$401,$U170)))</f>
        <v/>
      </c>
      <c r="B170">
        <f>IF($U170="","",IF(INDEX('Per Invoice'!B$2:B$401,$U170)="","",INDEX('Per Invoice'!B$2:B$401,$U170)))</f>
        <v/>
      </c>
      <c r="C170">
        <f>IF($U170="","",IF(INDEX('Per Invoice'!C$2:C$401,$U170)="","",INDEX('Per Invoice'!C$2:C$401,$U170)))</f>
        <v/>
      </c>
      <c r="D170">
        <f>IF($U170="","",IF(INDEX('Per Invoice'!D$2:D$401,$U170)="","",INDEX('Per Invoice'!D$2:D$401,$U170)))</f>
        <v/>
      </c>
      <c r="E170">
        <f>IF($U170="","",IF(INDEX('Per Invoice'!E$2:E$401,$U170)="","",INDEX('Per Invoice'!E$2:E$401,$U170)))</f>
        <v/>
      </c>
      <c r="F170">
        <f>IF($U170="","",IF(INDEX('Per Invoice'!F$2:F$401,$U170)="","",INDEX('Per Invoice'!F$2:F$401,$U170)))</f>
        <v/>
      </c>
      <c r="G170">
        <f>IF($U170="","",IF(INDEX('Per Invoice'!G$2:G$401,$U170)="","",INDEX('Per Invoice'!G$2:G$401,$U170)))</f>
        <v/>
      </c>
      <c r="H170" s="7">
        <f>IF($U170="","",IF(INDEX('Per Invoice'!H$2:H$401,$U170)="","",INDEX('Per Invoice'!H$2:H$401,$U170)))</f>
        <v/>
      </c>
      <c r="I170" s="14">
        <f>IF($U170="","",IF(INDEX('Per Invoice'!I$2:I$401,$U170)="","",INDEX('Per Invoice'!I$2:I$401,$U170)))</f>
        <v/>
      </c>
      <c r="J170">
        <f>IF($U170="","",IF(INDEX('Per Invoice'!J$2:J$401,$U170)="","",INDEX('Per Invoice'!J$2:J$401,$U170)))</f>
        <v/>
      </c>
      <c r="K170">
        <f>IF($U170="","",IF(INDEX('Per Invoice'!K$2:K$401,$U170)="","",INDEX('Per Invoice'!K$2:K$401,$U170)))</f>
        <v/>
      </c>
      <c r="L170" s="7">
        <f>IF($U170="","",IF(INDEX('Per Invoice'!L$2:L$401,$U170)="","",INDEX('Per Invoice'!L$2:L$401,$U170)))</f>
        <v/>
      </c>
      <c r="M170" s="7">
        <f>IF($U170="","",IF(INDEX('Per Invoice'!M$2:M$401,$U170)="","",INDEX('Per Invoice'!M$2:M$401,$U170)))</f>
        <v/>
      </c>
      <c r="N170">
        <f>IF($U170="","",IF(INDEX('Per Invoice'!N$2:N$401,$U170)="","",INDEX('Per Invoice'!N$2:N$401,$U170)))</f>
        <v/>
      </c>
      <c r="O170" s="7">
        <f>IF($U170="","",IF(INDEX('Per Invoice'!O$2:O$401,$U170)="","",INDEX('Per Invoice'!O$2:O$401,$U170)))</f>
        <v/>
      </c>
      <c r="P170" s="7">
        <f>IF($U170="","",IF(INDEX('Per Invoice'!P$2:P$401,$U170)="","",INDEX('Per Invoice'!P$2:P$401,$U170)))</f>
        <v/>
      </c>
      <c r="Q170" s="7">
        <f>IF($U170="","",IF(INDEX('Per Invoice'!Q$2:Q$401,$U170)="","",INDEX('Per Invoice'!Q$2:Q$401,$U170)))</f>
        <v/>
      </c>
      <c r="R170" s="7">
        <f>IF($U170="","",IF(INDEX('Per Invoice'!R$2:R$401,$U170)="","",INDEX('Per Invoice'!R$2:R$401,$U170)))</f>
        <v/>
      </c>
      <c r="S170" s="7">
        <f>IF($U170="","",IF(INDEX('Per Invoice'!S$2:S$401,$U170)="","",INDEX('Per Invoice'!S$2:S$401,$U170)))</f>
        <v/>
      </c>
      <c r="T170" s="7">
        <f>IF($U170="","",IF(INDEX('Per Invoice'!T$2:T$401,$U170)="","",INDEX('Per Invoice'!T$2:T$401,$U170)))</f>
        <v/>
      </c>
      <c r="U170" s="16">
        <f>IFERROR(MATCH(Settings!$C$26&amp;"|"&amp;ROWS($U$2:$U170),'Per Invoice'!$V$2:$V$401,0),"")</f>
        <v/>
      </c>
    </row>
    <row r="171">
      <c r="A171">
        <f>IF($U171="","",IF(INDEX('Per Invoice'!A$2:A$401,$U171)="","",INDEX('Per Invoice'!A$2:A$401,$U171)))</f>
        <v/>
      </c>
      <c r="B171">
        <f>IF($U171="","",IF(INDEX('Per Invoice'!B$2:B$401,$U171)="","",INDEX('Per Invoice'!B$2:B$401,$U171)))</f>
        <v/>
      </c>
      <c r="C171">
        <f>IF($U171="","",IF(INDEX('Per Invoice'!C$2:C$401,$U171)="","",INDEX('Per Invoice'!C$2:C$401,$U171)))</f>
        <v/>
      </c>
      <c r="D171">
        <f>IF($U171="","",IF(INDEX('Per Invoice'!D$2:D$401,$U171)="","",INDEX('Per Invoice'!D$2:D$401,$U171)))</f>
        <v/>
      </c>
      <c r="E171">
        <f>IF($U171="","",IF(INDEX('Per Invoice'!E$2:E$401,$U171)="","",INDEX('Per Invoice'!E$2:E$401,$U171)))</f>
        <v/>
      </c>
      <c r="F171">
        <f>IF($U171="","",IF(INDEX('Per Invoice'!F$2:F$401,$U171)="","",INDEX('Per Invoice'!F$2:F$401,$U171)))</f>
        <v/>
      </c>
      <c r="G171">
        <f>IF($U171="","",IF(INDEX('Per Invoice'!G$2:G$401,$U171)="","",INDEX('Per Invoice'!G$2:G$401,$U171)))</f>
        <v/>
      </c>
      <c r="H171" s="7">
        <f>IF($U171="","",IF(INDEX('Per Invoice'!H$2:H$401,$U171)="","",INDEX('Per Invoice'!H$2:H$401,$U171)))</f>
        <v/>
      </c>
      <c r="I171" s="14">
        <f>IF($U171="","",IF(INDEX('Per Invoice'!I$2:I$401,$U171)="","",INDEX('Per Invoice'!I$2:I$401,$U171)))</f>
        <v/>
      </c>
      <c r="J171">
        <f>IF($U171="","",IF(INDEX('Per Invoice'!J$2:J$401,$U171)="","",INDEX('Per Invoice'!J$2:J$401,$U171)))</f>
        <v/>
      </c>
      <c r="K171">
        <f>IF($U171="","",IF(INDEX('Per Invoice'!K$2:K$401,$U171)="","",INDEX('Per Invoice'!K$2:K$401,$U171)))</f>
        <v/>
      </c>
      <c r="L171" s="7">
        <f>IF($U171="","",IF(INDEX('Per Invoice'!L$2:L$401,$U171)="","",INDEX('Per Invoice'!L$2:L$401,$U171)))</f>
        <v/>
      </c>
      <c r="M171" s="7">
        <f>IF($U171="","",IF(INDEX('Per Invoice'!M$2:M$401,$U171)="","",INDEX('Per Invoice'!M$2:M$401,$U171)))</f>
        <v/>
      </c>
      <c r="N171">
        <f>IF($U171="","",IF(INDEX('Per Invoice'!N$2:N$401,$U171)="","",INDEX('Per Invoice'!N$2:N$401,$U171)))</f>
        <v/>
      </c>
      <c r="O171" s="7">
        <f>IF($U171="","",IF(INDEX('Per Invoice'!O$2:O$401,$U171)="","",INDEX('Per Invoice'!O$2:O$401,$U171)))</f>
        <v/>
      </c>
      <c r="P171" s="7">
        <f>IF($U171="","",IF(INDEX('Per Invoice'!P$2:P$401,$U171)="","",INDEX('Per Invoice'!P$2:P$401,$U171)))</f>
        <v/>
      </c>
      <c r="Q171" s="7">
        <f>IF($U171="","",IF(INDEX('Per Invoice'!Q$2:Q$401,$U171)="","",INDEX('Per Invoice'!Q$2:Q$401,$U171)))</f>
        <v/>
      </c>
      <c r="R171" s="7">
        <f>IF($U171="","",IF(INDEX('Per Invoice'!R$2:R$401,$U171)="","",INDEX('Per Invoice'!R$2:R$401,$U171)))</f>
        <v/>
      </c>
      <c r="S171" s="7">
        <f>IF($U171="","",IF(INDEX('Per Invoice'!S$2:S$401,$U171)="","",INDEX('Per Invoice'!S$2:S$401,$U171)))</f>
        <v/>
      </c>
      <c r="T171" s="7">
        <f>IF($U171="","",IF(INDEX('Per Invoice'!T$2:T$401,$U171)="","",INDEX('Per Invoice'!T$2:T$401,$U171)))</f>
        <v/>
      </c>
      <c r="U171" s="16">
        <f>IFERROR(MATCH(Settings!$C$26&amp;"|"&amp;ROWS($U$2:$U171),'Per Invoice'!$V$2:$V$401,0),"")</f>
        <v/>
      </c>
    </row>
    <row r="172">
      <c r="A172">
        <f>IF($U172="","",IF(INDEX('Per Invoice'!A$2:A$401,$U172)="","",INDEX('Per Invoice'!A$2:A$401,$U172)))</f>
        <v/>
      </c>
      <c r="B172">
        <f>IF($U172="","",IF(INDEX('Per Invoice'!B$2:B$401,$U172)="","",INDEX('Per Invoice'!B$2:B$401,$U172)))</f>
        <v/>
      </c>
      <c r="C172">
        <f>IF($U172="","",IF(INDEX('Per Invoice'!C$2:C$401,$U172)="","",INDEX('Per Invoice'!C$2:C$401,$U172)))</f>
        <v/>
      </c>
      <c r="D172">
        <f>IF($U172="","",IF(INDEX('Per Invoice'!D$2:D$401,$U172)="","",INDEX('Per Invoice'!D$2:D$401,$U172)))</f>
        <v/>
      </c>
      <c r="E172">
        <f>IF($U172="","",IF(INDEX('Per Invoice'!E$2:E$401,$U172)="","",INDEX('Per Invoice'!E$2:E$401,$U172)))</f>
        <v/>
      </c>
      <c r="F172">
        <f>IF($U172="","",IF(INDEX('Per Invoice'!F$2:F$401,$U172)="","",INDEX('Per Invoice'!F$2:F$401,$U172)))</f>
        <v/>
      </c>
      <c r="G172">
        <f>IF($U172="","",IF(INDEX('Per Invoice'!G$2:G$401,$U172)="","",INDEX('Per Invoice'!G$2:G$401,$U172)))</f>
        <v/>
      </c>
      <c r="H172" s="7">
        <f>IF($U172="","",IF(INDEX('Per Invoice'!H$2:H$401,$U172)="","",INDEX('Per Invoice'!H$2:H$401,$U172)))</f>
        <v/>
      </c>
      <c r="I172" s="14">
        <f>IF($U172="","",IF(INDEX('Per Invoice'!I$2:I$401,$U172)="","",INDEX('Per Invoice'!I$2:I$401,$U172)))</f>
        <v/>
      </c>
      <c r="J172">
        <f>IF($U172="","",IF(INDEX('Per Invoice'!J$2:J$401,$U172)="","",INDEX('Per Invoice'!J$2:J$401,$U172)))</f>
        <v/>
      </c>
      <c r="K172">
        <f>IF($U172="","",IF(INDEX('Per Invoice'!K$2:K$401,$U172)="","",INDEX('Per Invoice'!K$2:K$401,$U172)))</f>
        <v/>
      </c>
      <c r="L172" s="7">
        <f>IF($U172="","",IF(INDEX('Per Invoice'!L$2:L$401,$U172)="","",INDEX('Per Invoice'!L$2:L$401,$U172)))</f>
        <v/>
      </c>
      <c r="M172" s="7">
        <f>IF($U172="","",IF(INDEX('Per Invoice'!M$2:M$401,$U172)="","",INDEX('Per Invoice'!M$2:M$401,$U172)))</f>
        <v/>
      </c>
      <c r="N172">
        <f>IF($U172="","",IF(INDEX('Per Invoice'!N$2:N$401,$U172)="","",INDEX('Per Invoice'!N$2:N$401,$U172)))</f>
        <v/>
      </c>
      <c r="O172" s="7">
        <f>IF($U172="","",IF(INDEX('Per Invoice'!O$2:O$401,$U172)="","",INDEX('Per Invoice'!O$2:O$401,$U172)))</f>
        <v/>
      </c>
      <c r="P172" s="7">
        <f>IF($U172="","",IF(INDEX('Per Invoice'!P$2:P$401,$U172)="","",INDEX('Per Invoice'!P$2:P$401,$U172)))</f>
        <v/>
      </c>
      <c r="Q172" s="7">
        <f>IF($U172="","",IF(INDEX('Per Invoice'!Q$2:Q$401,$U172)="","",INDEX('Per Invoice'!Q$2:Q$401,$U172)))</f>
        <v/>
      </c>
      <c r="R172" s="7">
        <f>IF($U172="","",IF(INDEX('Per Invoice'!R$2:R$401,$U172)="","",INDEX('Per Invoice'!R$2:R$401,$U172)))</f>
        <v/>
      </c>
      <c r="S172" s="7">
        <f>IF($U172="","",IF(INDEX('Per Invoice'!S$2:S$401,$U172)="","",INDEX('Per Invoice'!S$2:S$401,$U172)))</f>
        <v/>
      </c>
      <c r="T172" s="7">
        <f>IF($U172="","",IF(INDEX('Per Invoice'!T$2:T$401,$U172)="","",INDEX('Per Invoice'!T$2:T$401,$U172)))</f>
        <v/>
      </c>
      <c r="U172" s="16">
        <f>IFERROR(MATCH(Settings!$C$26&amp;"|"&amp;ROWS($U$2:$U172),'Per Invoice'!$V$2:$V$401,0),"")</f>
        <v/>
      </c>
    </row>
    <row r="173">
      <c r="A173">
        <f>IF($U173="","",IF(INDEX('Per Invoice'!A$2:A$401,$U173)="","",INDEX('Per Invoice'!A$2:A$401,$U173)))</f>
        <v/>
      </c>
      <c r="B173">
        <f>IF($U173="","",IF(INDEX('Per Invoice'!B$2:B$401,$U173)="","",INDEX('Per Invoice'!B$2:B$401,$U173)))</f>
        <v/>
      </c>
      <c r="C173">
        <f>IF($U173="","",IF(INDEX('Per Invoice'!C$2:C$401,$U173)="","",INDEX('Per Invoice'!C$2:C$401,$U173)))</f>
        <v/>
      </c>
      <c r="D173">
        <f>IF($U173="","",IF(INDEX('Per Invoice'!D$2:D$401,$U173)="","",INDEX('Per Invoice'!D$2:D$401,$U173)))</f>
        <v/>
      </c>
      <c r="E173">
        <f>IF($U173="","",IF(INDEX('Per Invoice'!E$2:E$401,$U173)="","",INDEX('Per Invoice'!E$2:E$401,$U173)))</f>
        <v/>
      </c>
      <c r="F173">
        <f>IF($U173="","",IF(INDEX('Per Invoice'!F$2:F$401,$U173)="","",INDEX('Per Invoice'!F$2:F$401,$U173)))</f>
        <v/>
      </c>
      <c r="G173">
        <f>IF($U173="","",IF(INDEX('Per Invoice'!G$2:G$401,$U173)="","",INDEX('Per Invoice'!G$2:G$401,$U173)))</f>
        <v/>
      </c>
      <c r="H173" s="7">
        <f>IF($U173="","",IF(INDEX('Per Invoice'!H$2:H$401,$U173)="","",INDEX('Per Invoice'!H$2:H$401,$U173)))</f>
        <v/>
      </c>
      <c r="I173" s="14">
        <f>IF($U173="","",IF(INDEX('Per Invoice'!I$2:I$401,$U173)="","",INDEX('Per Invoice'!I$2:I$401,$U173)))</f>
        <v/>
      </c>
      <c r="J173">
        <f>IF($U173="","",IF(INDEX('Per Invoice'!J$2:J$401,$U173)="","",INDEX('Per Invoice'!J$2:J$401,$U173)))</f>
        <v/>
      </c>
      <c r="K173">
        <f>IF($U173="","",IF(INDEX('Per Invoice'!K$2:K$401,$U173)="","",INDEX('Per Invoice'!K$2:K$401,$U173)))</f>
        <v/>
      </c>
      <c r="L173" s="7">
        <f>IF($U173="","",IF(INDEX('Per Invoice'!L$2:L$401,$U173)="","",INDEX('Per Invoice'!L$2:L$401,$U173)))</f>
        <v/>
      </c>
      <c r="M173" s="7">
        <f>IF($U173="","",IF(INDEX('Per Invoice'!M$2:M$401,$U173)="","",INDEX('Per Invoice'!M$2:M$401,$U173)))</f>
        <v/>
      </c>
      <c r="N173">
        <f>IF($U173="","",IF(INDEX('Per Invoice'!N$2:N$401,$U173)="","",INDEX('Per Invoice'!N$2:N$401,$U173)))</f>
        <v/>
      </c>
      <c r="O173" s="7">
        <f>IF($U173="","",IF(INDEX('Per Invoice'!O$2:O$401,$U173)="","",INDEX('Per Invoice'!O$2:O$401,$U173)))</f>
        <v/>
      </c>
      <c r="P173" s="7">
        <f>IF($U173="","",IF(INDEX('Per Invoice'!P$2:P$401,$U173)="","",INDEX('Per Invoice'!P$2:P$401,$U173)))</f>
        <v/>
      </c>
      <c r="Q173" s="7">
        <f>IF($U173="","",IF(INDEX('Per Invoice'!Q$2:Q$401,$U173)="","",INDEX('Per Invoice'!Q$2:Q$401,$U173)))</f>
        <v/>
      </c>
      <c r="R173" s="7">
        <f>IF($U173="","",IF(INDEX('Per Invoice'!R$2:R$401,$U173)="","",INDEX('Per Invoice'!R$2:R$401,$U173)))</f>
        <v/>
      </c>
      <c r="S173" s="7">
        <f>IF($U173="","",IF(INDEX('Per Invoice'!S$2:S$401,$U173)="","",INDEX('Per Invoice'!S$2:S$401,$U173)))</f>
        <v/>
      </c>
      <c r="T173" s="7">
        <f>IF($U173="","",IF(INDEX('Per Invoice'!T$2:T$401,$U173)="","",INDEX('Per Invoice'!T$2:T$401,$U173)))</f>
        <v/>
      </c>
      <c r="U173" s="16">
        <f>IFERROR(MATCH(Settings!$C$26&amp;"|"&amp;ROWS($U$2:$U173),'Per Invoice'!$V$2:$V$401,0),"")</f>
        <v/>
      </c>
    </row>
    <row r="174">
      <c r="A174">
        <f>IF($U174="","",IF(INDEX('Per Invoice'!A$2:A$401,$U174)="","",INDEX('Per Invoice'!A$2:A$401,$U174)))</f>
        <v/>
      </c>
      <c r="B174">
        <f>IF($U174="","",IF(INDEX('Per Invoice'!B$2:B$401,$U174)="","",INDEX('Per Invoice'!B$2:B$401,$U174)))</f>
        <v/>
      </c>
      <c r="C174">
        <f>IF($U174="","",IF(INDEX('Per Invoice'!C$2:C$401,$U174)="","",INDEX('Per Invoice'!C$2:C$401,$U174)))</f>
        <v/>
      </c>
      <c r="D174">
        <f>IF($U174="","",IF(INDEX('Per Invoice'!D$2:D$401,$U174)="","",INDEX('Per Invoice'!D$2:D$401,$U174)))</f>
        <v/>
      </c>
      <c r="E174">
        <f>IF($U174="","",IF(INDEX('Per Invoice'!E$2:E$401,$U174)="","",INDEX('Per Invoice'!E$2:E$401,$U174)))</f>
        <v/>
      </c>
      <c r="F174">
        <f>IF($U174="","",IF(INDEX('Per Invoice'!F$2:F$401,$U174)="","",INDEX('Per Invoice'!F$2:F$401,$U174)))</f>
        <v/>
      </c>
      <c r="G174">
        <f>IF($U174="","",IF(INDEX('Per Invoice'!G$2:G$401,$U174)="","",INDEX('Per Invoice'!G$2:G$401,$U174)))</f>
        <v/>
      </c>
      <c r="H174" s="7">
        <f>IF($U174="","",IF(INDEX('Per Invoice'!H$2:H$401,$U174)="","",INDEX('Per Invoice'!H$2:H$401,$U174)))</f>
        <v/>
      </c>
      <c r="I174" s="14">
        <f>IF($U174="","",IF(INDEX('Per Invoice'!I$2:I$401,$U174)="","",INDEX('Per Invoice'!I$2:I$401,$U174)))</f>
        <v/>
      </c>
      <c r="J174">
        <f>IF($U174="","",IF(INDEX('Per Invoice'!J$2:J$401,$U174)="","",INDEX('Per Invoice'!J$2:J$401,$U174)))</f>
        <v/>
      </c>
      <c r="K174">
        <f>IF($U174="","",IF(INDEX('Per Invoice'!K$2:K$401,$U174)="","",INDEX('Per Invoice'!K$2:K$401,$U174)))</f>
        <v/>
      </c>
      <c r="L174" s="7">
        <f>IF($U174="","",IF(INDEX('Per Invoice'!L$2:L$401,$U174)="","",INDEX('Per Invoice'!L$2:L$401,$U174)))</f>
        <v/>
      </c>
      <c r="M174" s="7">
        <f>IF($U174="","",IF(INDEX('Per Invoice'!M$2:M$401,$U174)="","",INDEX('Per Invoice'!M$2:M$401,$U174)))</f>
        <v/>
      </c>
      <c r="N174">
        <f>IF($U174="","",IF(INDEX('Per Invoice'!N$2:N$401,$U174)="","",INDEX('Per Invoice'!N$2:N$401,$U174)))</f>
        <v/>
      </c>
      <c r="O174" s="7">
        <f>IF($U174="","",IF(INDEX('Per Invoice'!O$2:O$401,$U174)="","",INDEX('Per Invoice'!O$2:O$401,$U174)))</f>
        <v/>
      </c>
      <c r="P174" s="7">
        <f>IF($U174="","",IF(INDEX('Per Invoice'!P$2:P$401,$U174)="","",INDEX('Per Invoice'!P$2:P$401,$U174)))</f>
        <v/>
      </c>
      <c r="Q174" s="7">
        <f>IF($U174="","",IF(INDEX('Per Invoice'!Q$2:Q$401,$U174)="","",INDEX('Per Invoice'!Q$2:Q$401,$U174)))</f>
        <v/>
      </c>
      <c r="R174" s="7">
        <f>IF($U174="","",IF(INDEX('Per Invoice'!R$2:R$401,$U174)="","",INDEX('Per Invoice'!R$2:R$401,$U174)))</f>
        <v/>
      </c>
      <c r="S174" s="7">
        <f>IF($U174="","",IF(INDEX('Per Invoice'!S$2:S$401,$U174)="","",INDEX('Per Invoice'!S$2:S$401,$U174)))</f>
        <v/>
      </c>
      <c r="T174" s="7">
        <f>IF($U174="","",IF(INDEX('Per Invoice'!T$2:T$401,$U174)="","",INDEX('Per Invoice'!T$2:T$401,$U174)))</f>
        <v/>
      </c>
      <c r="U174" s="16">
        <f>IFERROR(MATCH(Settings!$C$26&amp;"|"&amp;ROWS($U$2:$U174),'Per Invoice'!$V$2:$V$401,0),"")</f>
        <v/>
      </c>
    </row>
    <row r="175">
      <c r="A175">
        <f>IF($U175="","",IF(INDEX('Per Invoice'!A$2:A$401,$U175)="","",INDEX('Per Invoice'!A$2:A$401,$U175)))</f>
        <v/>
      </c>
      <c r="B175">
        <f>IF($U175="","",IF(INDEX('Per Invoice'!B$2:B$401,$U175)="","",INDEX('Per Invoice'!B$2:B$401,$U175)))</f>
        <v/>
      </c>
      <c r="C175">
        <f>IF($U175="","",IF(INDEX('Per Invoice'!C$2:C$401,$U175)="","",INDEX('Per Invoice'!C$2:C$401,$U175)))</f>
        <v/>
      </c>
      <c r="D175">
        <f>IF($U175="","",IF(INDEX('Per Invoice'!D$2:D$401,$U175)="","",INDEX('Per Invoice'!D$2:D$401,$U175)))</f>
        <v/>
      </c>
      <c r="E175">
        <f>IF($U175="","",IF(INDEX('Per Invoice'!E$2:E$401,$U175)="","",INDEX('Per Invoice'!E$2:E$401,$U175)))</f>
        <v/>
      </c>
      <c r="F175">
        <f>IF($U175="","",IF(INDEX('Per Invoice'!F$2:F$401,$U175)="","",INDEX('Per Invoice'!F$2:F$401,$U175)))</f>
        <v/>
      </c>
      <c r="G175">
        <f>IF($U175="","",IF(INDEX('Per Invoice'!G$2:G$401,$U175)="","",INDEX('Per Invoice'!G$2:G$401,$U175)))</f>
        <v/>
      </c>
      <c r="H175" s="7">
        <f>IF($U175="","",IF(INDEX('Per Invoice'!H$2:H$401,$U175)="","",INDEX('Per Invoice'!H$2:H$401,$U175)))</f>
        <v/>
      </c>
      <c r="I175" s="14">
        <f>IF($U175="","",IF(INDEX('Per Invoice'!I$2:I$401,$U175)="","",INDEX('Per Invoice'!I$2:I$401,$U175)))</f>
        <v/>
      </c>
      <c r="J175">
        <f>IF($U175="","",IF(INDEX('Per Invoice'!J$2:J$401,$U175)="","",INDEX('Per Invoice'!J$2:J$401,$U175)))</f>
        <v/>
      </c>
      <c r="K175">
        <f>IF($U175="","",IF(INDEX('Per Invoice'!K$2:K$401,$U175)="","",INDEX('Per Invoice'!K$2:K$401,$U175)))</f>
        <v/>
      </c>
      <c r="L175" s="7">
        <f>IF($U175="","",IF(INDEX('Per Invoice'!L$2:L$401,$U175)="","",INDEX('Per Invoice'!L$2:L$401,$U175)))</f>
        <v/>
      </c>
      <c r="M175" s="7">
        <f>IF($U175="","",IF(INDEX('Per Invoice'!M$2:M$401,$U175)="","",INDEX('Per Invoice'!M$2:M$401,$U175)))</f>
        <v/>
      </c>
      <c r="N175">
        <f>IF($U175="","",IF(INDEX('Per Invoice'!N$2:N$401,$U175)="","",INDEX('Per Invoice'!N$2:N$401,$U175)))</f>
        <v/>
      </c>
      <c r="O175" s="7">
        <f>IF($U175="","",IF(INDEX('Per Invoice'!O$2:O$401,$U175)="","",INDEX('Per Invoice'!O$2:O$401,$U175)))</f>
        <v/>
      </c>
      <c r="P175" s="7">
        <f>IF($U175="","",IF(INDEX('Per Invoice'!P$2:P$401,$U175)="","",INDEX('Per Invoice'!P$2:P$401,$U175)))</f>
        <v/>
      </c>
      <c r="Q175" s="7">
        <f>IF($U175="","",IF(INDEX('Per Invoice'!Q$2:Q$401,$U175)="","",INDEX('Per Invoice'!Q$2:Q$401,$U175)))</f>
        <v/>
      </c>
      <c r="R175" s="7">
        <f>IF($U175="","",IF(INDEX('Per Invoice'!R$2:R$401,$U175)="","",INDEX('Per Invoice'!R$2:R$401,$U175)))</f>
        <v/>
      </c>
      <c r="S175" s="7">
        <f>IF($U175="","",IF(INDEX('Per Invoice'!S$2:S$401,$U175)="","",INDEX('Per Invoice'!S$2:S$401,$U175)))</f>
        <v/>
      </c>
      <c r="T175" s="7">
        <f>IF($U175="","",IF(INDEX('Per Invoice'!T$2:T$401,$U175)="","",INDEX('Per Invoice'!T$2:T$401,$U175)))</f>
        <v/>
      </c>
      <c r="U175" s="16">
        <f>IFERROR(MATCH(Settings!$C$26&amp;"|"&amp;ROWS($U$2:$U175),'Per Invoice'!$V$2:$V$401,0),"")</f>
        <v/>
      </c>
    </row>
    <row r="176">
      <c r="A176">
        <f>IF($U176="","",IF(INDEX('Per Invoice'!A$2:A$401,$U176)="","",INDEX('Per Invoice'!A$2:A$401,$U176)))</f>
        <v/>
      </c>
      <c r="B176">
        <f>IF($U176="","",IF(INDEX('Per Invoice'!B$2:B$401,$U176)="","",INDEX('Per Invoice'!B$2:B$401,$U176)))</f>
        <v/>
      </c>
      <c r="C176">
        <f>IF($U176="","",IF(INDEX('Per Invoice'!C$2:C$401,$U176)="","",INDEX('Per Invoice'!C$2:C$401,$U176)))</f>
        <v/>
      </c>
      <c r="D176">
        <f>IF($U176="","",IF(INDEX('Per Invoice'!D$2:D$401,$U176)="","",INDEX('Per Invoice'!D$2:D$401,$U176)))</f>
        <v/>
      </c>
      <c r="E176">
        <f>IF($U176="","",IF(INDEX('Per Invoice'!E$2:E$401,$U176)="","",INDEX('Per Invoice'!E$2:E$401,$U176)))</f>
        <v/>
      </c>
      <c r="F176">
        <f>IF($U176="","",IF(INDEX('Per Invoice'!F$2:F$401,$U176)="","",INDEX('Per Invoice'!F$2:F$401,$U176)))</f>
        <v/>
      </c>
      <c r="G176">
        <f>IF($U176="","",IF(INDEX('Per Invoice'!G$2:G$401,$U176)="","",INDEX('Per Invoice'!G$2:G$401,$U176)))</f>
        <v/>
      </c>
      <c r="H176" s="7">
        <f>IF($U176="","",IF(INDEX('Per Invoice'!H$2:H$401,$U176)="","",INDEX('Per Invoice'!H$2:H$401,$U176)))</f>
        <v/>
      </c>
      <c r="I176" s="14">
        <f>IF($U176="","",IF(INDEX('Per Invoice'!I$2:I$401,$U176)="","",INDEX('Per Invoice'!I$2:I$401,$U176)))</f>
        <v/>
      </c>
      <c r="J176">
        <f>IF($U176="","",IF(INDEX('Per Invoice'!J$2:J$401,$U176)="","",INDEX('Per Invoice'!J$2:J$401,$U176)))</f>
        <v/>
      </c>
      <c r="K176">
        <f>IF($U176="","",IF(INDEX('Per Invoice'!K$2:K$401,$U176)="","",INDEX('Per Invoice'!K$2:K$401,$U176)))</f>
        <v/>
      </c>
      <c r="L176" s="7">
        <f>IF($U176="","",IF(INDEX('Per Invoice'!L$2:L$401,$U176)="","",INDEX('Per Invoice'!L$2:L$401,$U176)))</f>
        <v/>
      </c>
      <c r="M176" s="7">
        <f>IF($U176="","",IF(INDEX('Per Invoice'!M$2:M$401,$U176)="","",INDEX('Per Invoice'!M$2:M$401,$U176)))</f>
        <v/>
      </c>
      <c r="N176">
        <f>IF($U176="","",IF(INDEX('Per Invoice'!N$2:N$401,$U176)="","",INDEX('Per Invoice'!N$2:N$401,$U176)))</f>
        <v/>
      </c>
      <c r="O176" s="7">
        <f>IF($U176="","",IF(INDEX('Per Invoice'!O$2:O$401,$U176)="","",INDEX('Per Invoice'!O$2:O$401,$U176)))</f>
        <v/>
      </c>
      <c r="P176" s="7">
        <f>IF($U176="","",IF(INDEX('Per Invoice'!P$2:P$401,$U176)="","",INDEX('Per Invoice'!P$2:P$401,$U176)))</f>
        <v/>
      </c>
      <c r="Q176" s="7">
        <f>IF($U176="","",IF(INDEX('Per Invoice'!Q$2:Q$401,$U176)="","",INDEX('Per Invoice'!Q$2:Q$401,$U176)))</f>
        <v/>
      </c>
      <c r="R176" s="7">
        <f>IF($U176="","",IF(INDEX('Per Invoice'!R$2:R$401,$U176)="","",INDEX('Per Invoice'!R$2:R$401,$U176)))</f>
        <v/>
      </c>
      <c r="S176" s="7">
        <f>IF($U176="","",IF(INDEX('Per Invoice'!S$2:S$401,$U176)="","",INDEX('Per Invoice'!S$2:S$401,$U176)))</f>
        <v/>
      </c>
      <c r="T176" s="7">
        <f>IF($U176="","",IF(INDEX('Per Invoice'!T$2:T$401,$U176)="","",INDEX('Per Invoice'!T$2:T$401,$U176)))</f>
        <v/>
      </c>
      <c r="U176" s="16">
        <f>IFERROR(MATCH(Settings!$C$26&amp;"|"&amp;ROWS($U$2:$U176),'Per Invoice'!$V$2:$V$401,0),"")</f>
        <v/>
      </c>
    </row>
    <row r="177">
      <c r="A177">
        <f>IF($U177="","",IF(INDEX('Per Invoice'!A$2:A$401,$U177)="","",INDEX('Per Invoice'!A$2:A$401,$U177)))</f>
        <v/>
      </c>
      <c r="B177">
        <f>IF($U177="","",IF(INDEX('Per Invoice'!B$2:B$401,$U177)="","",INDEX('Per Invoice'!B$2:B$401,$U177)))</f>
        <v/>
      </c>
      <c r="C177">
        <f>IF($U177="","",IF(INDEX('Per Invoice'!C$2:C$401,$U177)="","",INDEX('Per Invoice'!C$2:C$401,$U177)))</f>
        <v/>
      </c>
      <c r="D177">
        <f>IF($U177="","",IF(INDEX('Per Invoice'!D$2:D$401,$U177)="","",INDEX('Per Invoice'!D$2:D$401,$U177)))</f>
        <v/>
      </c>
      <c r="E177">
        <f>IF($U177="","",IF(INDEX('Per Invoice'!E$2:E$401,$U177)="","",INDEX('Per Invoice'!E$2:E$401,$U177)))</f>
        <v/>
      </c>
      <c r="F177">
        <f>IF($U177="","",IF(INDEX('Per Invoice'!F$2:F$401,$U177)="","",INDEX('Per Invoice'!F$2:F$401,$U177)))</f>
        <v/>
      </c>
      <c r="G177">
        <f>IF($U177="","",IF(INDEX('Per Invoice'!G$2:G$401,$U177)="","",INDEX('Per Invoice'!G$2:G$401,$U177)))</f>
        <v/>
      </c>
      <c r="H177" s="7">
        <f>IF($U177="","",IF(INDEX('Per Invoice'!H$2:H$401,$U177)="","",INDEX('Per Invoice'!H$2:H$401,$U177)))</f>
        <v/>
      </c>
      <c r="I177" s="14">
        <f>IF($U177="","",IF(INDEX('Per Invoice'!I$2:I$401,$U177)="","",INDEX('Per Invoice'!I$2:I$401,$U177)))</f>
        <v/>
      </c>
      <c r="J177">
        <f>IF($U177="","",IF(INDEX('Per Invoice'!J$2:J$401,$U177)="","",INDEX('Per Invoice'!J$2:J$401,$U177)))</f>
        <v/>
      </c>
      <c r="K177">
        <f>IF($U177="","",IF(INDEX('Per Invoice'!K$2:K$401,$U177)="","",INDEX('Per Invoice'!K$2:K$401,$U177)))</f>
        <v/>
      </c>
      <c r="L177" s="7">
        <f>IF($U177="","",IF(INDEX('Per Invoice'!L$2:L$401,$U177)="","",INDEX('Per Invoice'!L$2:L$401,$U177)))</f>
        <v/>
      </c>
      <c r="M177" s="7">
        <f>IF($U177="","",IF(INDEX('Per Invoice'!M$2:M$401,$U177)="","",INDEX('Per Invoice'!M$2:M$401,$U177)))</f>
        <v/>
      </c>
      <c r="N177">
        <f>IF($U177="","",IF(INDEX('Per Invoice'!N$2:N$401,$U177)="","",INDEX('Per Invoice'!N$2:N$401,$U177)))</f>
        <v/>
      </c>
      <c r="O177" s="7">
        <f>IF($U177="","",IF(INDEX('Per Invoice'!O$2:O$401,$U177)="","",INDEX('Per Invoice'!O$2:O$401,$U177)))</f>
        <v/>
      </c>
      <c r="P177" s="7">
        <f>IF($U177="","",IF(INDEX('Per Invoice'!P$2:P$401,$U177)="","",INDEX('Per Invoice'!P$2:P$401,$U177)))</f>
        <v/>
      </c>
      <c r="Q177" s="7">
        <f>IF($U177="","",IF(INDEX('Per Invoice'!Q$2:Q$401,$U177)="","",INDEX('Per Invoice'!Q$2:Q$401,$U177)))</f>
        <v/>
      </c>
      <c r="R177" s="7">
        <f>IF($U177="","",IF(INDEX('Per Invoice'!R$2:R$401,$U177)="","",INDEX('Per Invoice'!R$2:R$401,$U177)))</f>
        <v/>
      </c>
      <c r="S177" s="7">
        <f>IF($U177="","",IF(INDEX('Per Invoice'!S$2:S$401,$U177)="","",INDEX('Per Invoice'!S$2:S$401,$U177)))</f>
        <v/>
      </c>
      <c r="T177" s="7">
        <f>IF($U177="","",IF(INDEX('Per Invoice'!T$2:T$401,$U177)="","",INDEX('Per Invoice'!T$2:T$401,$U177)))</f>
        <v/>
      </c>
      <c r="U177" s="16">
        <f>IFERROR(MATCH(Settings!$C$26&amp;"|"&amp;ROWS($U$2:$U177),'Per Invoice'!$V$2:$V$401,0),"")</f>
        <v/>
      </c>
    </row>
    <row r="178">
      <c r="A178">
        <f>IF($U178="","",IF(INDEX('Per Invoice'!A$2:A$401,$U178)="","",INDEX('Per Invoice'!A$2:A$401,$U178)))</f>
        <v/>
      </c>
      <c r="B178">
        <f>IF($U178="","",IF(INDEX('Per Invoice'!B$2:B$401,$U178)="","",INDEX('Per Invoice'!B$2:B$401,$U178)))</f>
        <v/>
      </c>
      <c r="C178">
        <f>IF($U178="","",IF(INDEX('Per Invoice'!C$2:C$401,$U178)="","",INDEX('Per Invoice'!C$2:C$401,$U178)))</f>
        <v/>
      </c>
      <c r="D178">
        <f>IF($U178="","",IF(INDEX('Per Invoice'!D$2:D$401,$U178)="","",INDEX('Per Invoice'!D$2:D$401,$U178)))</f>
        <v/>
      </c>
      <c r="E178">
        <f>IF($U178="","",IF(INDEX('Per Invoice'!E$2:E$401,$U178)="","",INDEX('Per Invoice'!E$2:E$401,$U178)))</f>
        <v/>
      </c>
      <c r="F178">
        <f>IF($U178="","",IF(INDEX('Per Invoice'!F$2:F$401,$U178)="","",INDEX('Per Invoice'!F$2:F$401,$U178)))</f>
        <v/>
      </c>
      <c r="G178">
        <f>IF($U178="","",IF(INDEX('Per Invoice'!G$2:G$401,$U178)="","",INDEX('Per Invoice'!G$2:G$401,$U178)))</f>
        <v/>
      </c>
      <c r="H178" s="7">
        <f>IF($U178="","",IF(INDEX('Per Invoice'!H$2:H$401,$U178)="","",INDEX('Per Invoice'!H$2:H$401,$U178)))</f>
        <v/>
      </c>
      <c r="I178" s="14">
        <f>IF($U178="","",IF(INDEX('Per Invoice'!I$2:I$401,$U178)="","",INDEX('Per Invoice'!I$2:I$401,$U178)))</f>
        <v/>
      </c>
      <c r="J178">
        <f>IF($U178="","",IF(INDEX('Per Invoice'!J$2:J$401,$U178)="","",INDEX('Per Invoice'!J$2:J$401,$U178)))</f>
        <v/>
      </c>
      <c r="K178">
        <f>IF($U178="","",IF(INDEX('Per Invoice'!K$2:K$401,$U178)="","",INDEX('Per Invoice'!K$2:K$401,$U178)))</f>
        <v/>
      </c>
      <c r="L178" s="7">
        <f>IF($U178="","",IF(INDEX('Per Invoice'!L$2:L$401,$U178)="","",INDEX('Per Invoice'!L$2:L$401,$U178)))</f>
        <v/>
      </c>
      <c r="M178" s="7">
        <f>IF($U178="","",IF(INDEX('Per Invoice'!M$2:M$401,$U178)="","",INDEX('Per Invoice'!M$2:M$401,$U178)))</f>
        <v/>
      </c>
      <c r="N178">
        <f>IF($U178="","",IF(INDEX('Per Invoice'!N$2:N$401,$U178)="","",INDEX('Per Invoice'!N$2:N$401,$U178)))</f>
        <v/>
      </c>
      <c r="O178" s="7">
        <f>IF($U178="","",IF(INDEX('Per Invoice'!O$2:O$401,$U178)="","",INDEX('Per Invoice'!O$2:O$401,$U178)))</f>
        <v/>
      </c>
      <c r="P178" s="7">
        <f>IF($U178="","",IF(INDEX('Per Invoice'!P$2:P$401,$U178)="","",INDEX('Per Invoice'!P$2:P$401,$U178)))</f>
        <v/>
      </c>
      <c r="Q178" s="7">
        <f>IF($U178="","",IF(INDEX('Per Invoice'!Q$2:Q$401,$U178)="","",INDEX('Per Invoice'!Q$2:Q$401,$U178)))</f>
        <v/>
      </c>
      <c r="R178" s="7">
        <f>IF($U178="","",IF(INDEX('Per Invoice'!R$2:R$401,$U178)="","",INDEX('Per Invoice'!R$2:R$401,$U178)))</f>
        <v/>
      </c>
      <c r="S178" s="7">
        <f>IF($U178="","",IF(INDEX('Per Invoice'!S$2:S$401,$U178)="","",INDEX('Per Invoice'!S$2:S$401,$U178)))</f>
        <v/>
      </c>
      <c r="T178" s="7">
        <f>IF($U178="","",IF(INDEX('Per Invoice'!T$2:T$401,$U178)="","",INDEX('Per Invoice'!T$2:T$401,$U178)))</f>
        <v/>
      </c>
      <c r="U178" s="16">
        <f>IFERROR(MATCH(Settings!$C$26&amp;"|"&amp;ROWS($U$2:$U178),'Per Invoice'!$V$2:$V$401,0),"")</f>
        <v/>
      </c>
    </row>
    <row r="179">
      <c r="A179">
        <f>IF($U179="","",IF(INDEX('Per Invoice'!A$2:A$401,$U179)="","",INDEX('Per Invoice'!A$2:A$401,$U179)))</f>
        <v/>
      </c>
      <c r="B179">
        <f>IF($U179="","",IF(INDEX('Per Invoice'!B$2:B$401,$U179)="","",INDEX('Per Invoice'!B$2:B$401,$U179)))</f>
        <v/>
      </c>
      <c r="C179">
        <f>IF($U179="","",IF(INDEX('Per Invoice'!C$2:C$401,$U179)="","",INDEX('Per Invoice'!C$2:C$401,$U179)))</f>
        <v/>
      </c>
      <c r="D179">
        <f>IF($U179="","",IF(INDEX('Per Invoice'!D$2:D$401,$U179)="","",INDEX('Per Invoice'!D$2:D$401,$U179)))</f>
        <v/>
      </c>
      <c r="E179">
        <f>IF($U179="","",IF(INDEX('Per Invoice'!E$2:E$401,$U179)="","",INDEX('Per Invoice'!E$2:E$401,$U179)))</f>
        <v/>
      </c>
      <c r="F179">
        <f>IF($U179="","",IF(INDEX('Per Invoice'!F$2:F$401,$U179)="","",INDEX('Per Invoice'!F$2:F$401,$U179)))</f>
        <v/>
      </c>
      <c r="G179">
        <f>IF($U179="","",IF(INDEX('Per Invoice'!G$2:G$401,$U179)="","",INDEX('Per Invoice'!G$2:G$401,$U179)))</f>
        <v/>
      </c>
      <c r="H179" s="7">
        <f>IF($U179="","",IF(INDEX('Per Invoice'!H$2:H$401,$U179)="","",INDEX('Per Invoice'!H$2:H$401,$U179)))</f>
        <v/>
      </c>
      <c r="I179" s="14">
        <f>IF($U179="","",IF(INDEX('Per Invoice'!I$2:I$401,$U179)="","",INDEX('Per Invoice'!I$2:I$401,$U179)))</f>
        <v/>
      </c>
      <c r="J179">
        <f>IF($U179="","",IF(INDEX('Per Invoice'!J$2:J$401,$U179)="","",INDEX('Per Invoice'!J$2:J$401,$U179)))</f>
        <v/>
      </c>
      <c r="K179">
        <f>IF($U179="","",IF(INDEX('Per Invoice'!K$2:K$401,$U179)="","",INDEX('Per Invoice'!K$2:K$401,$U179)))</f>
        <v/>
      </c>
      <c r="L179" s="7">
        <f>IF($U179="","",IF(INDEX('Per Invoice'!L$2:L$401,$U179)="","",INDEX('Per Invoice'!L$2:L$401,$U179)))</f>
        <v/>
      </c>
      <c r="M179" s="7">
        <f>IF($U179="","",IF(INDEX('Per Invoice'!M$2:M$401,$U179)="","",INDEX('Per Invoice'!M$2:M$401,$U179)))</f>
        <v/>
      </c>
      <c r="N179">
        <f>IF($U179="","",IF(INDEX('Per Invoice'!N$2:N$401,$U179)="","",INDEX('Per Invoice'!N$2:N$401,$U179)))</f>
        <v/>
      </c>
      <c r="O179" s="7">
        <f>IF($U179="","",IF(INDEX('Per Invoice'!O$2:O$401,$U179)="","",INDEX('Per Invoice'!O$2:O$401,$U179)))</f>
        <v/>
      </c>
      <c r="P179" s="7">
        <f>IF($U179="","",IF(INDEX('Per Invoice'!P$2:P$401,$U179)="","",INDEX('Per Invoice'!P$2:P$401,$U179)))</f>
        <v/>
      </c>
      <c r="Q179" s="7">
        <f>IF($U179="","",IF(INDEX('Per Invoice'!Q$2:Q$401,$U179)="","",INDEX('Per Invoice'!Q$2:Q$401,$U179)))</f>
        <v/>
      </c>
      <c r="R179" s="7">
        <f>IF($U179="","",IF(INDEX('Per Invoice'!R$2:R$401,$U179)="","",INDEX('Per Invoice'!R$2:R$401,$U179)))</f>
        <v/>
      </c>
      <c r="S179" s="7">
        <f>IF($U179="","",IF(INDEX('Per Invoice'!S$2:S$401,$U179)="","",INDEX('Per Invoice'!S$2:S$401,$U179)))</f>
        <v/>
      </c>
      <c r="T179" s="7">
        <f>IF($U179="","",IF(INDEX('Per Invoice'!T$2:T$401,$U179)="","",INDEX('Per Invoice'!T$2:T$401,$U179)))</f>
        <v/>
      </c>
      <c r="U179" s="16">
        <f>IFERROR(MATCH(Settings!$C$26&amp;"|"&amp;ROWS($U$2:$U179),'Per Invoice'!$V$2:$V$401,0),"")</f>
        <v/>
      </c>
    </row>
    <row r="180">
      <c r="A180">
        <f>IF($U180="","",IF(INDEX('Per Invoice'!A$2:A$401,$U180)="","",INDEX('Per Invoice'!A$2:A$401,$U180)))</f>
        <v/>
      </c>
      <c r="B180">
        <f>IF($U180="","",IF(INDEX('Per Invoice'!B$2:B$401,$U180)="","",INDEX('Per Invoice'!B$2:B$401,$U180)))</f>
        <v/>
      </c>
      <c r="C180">
        <f>IF($U180="","",IF(INDEX('Per Invoice'!C$2:C$401,$U180)="","",INDEX('Per Invoice'!C$2:C$401,$U180)))</f>
        <v/>
      </c>
      <c r="D180">
        <f>IF($U180="","",IF(INDEX('Per Invoice'!D$2:D$401,$U180)="","",INDEX('Per Invoice'!D$2:D$401,$U180)))</f>
        <v/>
      </c>
      <c r="E180">
        <f>IF($U180="","",IF(INDEX('Per Invoice'!E$2:E$401,$U180)="","",INDEX('Per Invoice'!E$2:E$401,$U180)))</f>
        <v/>
      </c>
      <c r="F180">
        <f>IF($U180="","",IF(INDEX('Per Invoice'!F$2:F$401,$U180)="","",INDEX('Per Invoice'!F$2:F$401,$U180)))</f>
        <v/>
      </c>
      <c r="G180">
        <f>IF($U180="","",IF(INDEX('Per Invoice'!G$2:G$401,$U180)="","",INDEX('Per Invoice'!G$2:G$401,$U180)))</f>
        <v/>
      </c>
      <c r="H180" s="7">
        <f>IF($U180="","",IF(INDEX('Per Invoice'!H$2:H$401,$U180)="","",INDEX('Per Invoice'!H$2:H$401,$U180)))</f>
        <v/>
      </c>
      <c r="I180" s="14">
        <f>IF($U180="","",IF(INDEX('Per Invoice'!I$2:I$401,$U180)="","",INDEX('Per Invoice'!I$2:I$401,$U180)))</f>
        <v/>
      </c>
      <c r="J180">
        <f>IF($U180="","",IF(INDEX('Per Invoice'!J$2:J$401,$U180)="","",INDEX('Per Invoice'!J$2:J$401,$U180)))</f>
        <v/>
      </c>
      <c r="K180">
        <f>IF($U180="","",IF(INDEX('Per Invoice'!K$2:K$401,$U180)="","",INDEX('Per Invoice'!K$2:K$401,$U180)))</f>
        <v/>
      </c>
      <c r="L180" s="7">
        <f>IF($U180="","",IF(INDEX('Per Invoice'!L$2:L$401,$U180)="","",INDEX('Per Invoice'!L$2:L$401,$U180)))</f>
        <v/>
      </c>
      <c r="M180" s="7">
        <f>IF($U180="","",IF(INDEX('Per Invoice'!M$2:M$401,$U180)="","",INDEX('Per Invoice'!M$2:M$401,$U180)))</f>
        <v/>
      </c>
      <c r="N180">
        <f>IF($U180="","",IF(INDEX('Per Invoice'!N$2:N$401,$U180)="","",INDEX('Per Invoice'!N$2:N$401,$U180)))</f>
        <v/>
      </c>
      <c r="O180" s="7">
        <f>IF($U180="","",IF(INDEX('Per Invoice'!O$2:O$401,$U180)="","",INDEX('Per Invoice'!O$2:O$401,$U180)))</f>
        <v/>
      </c>
      <c r="P180" s="7">
        <f>IF($U180="","",IF(INDEX('Per Invoice'!P$2:P$401,$U180)="","",INDEX('Per Invoice'!P$2:P$401,$U180)))</f>
        <v/>
      </c>
      <c r="Q180" s="7">
        <f>IF($U180="","",IF(INDEX('Per Invoice'!Q$2:Q$401,$U180)="","",INDEX('Per Invoice'!Q$2:Q$401,$U180)))</f>
        <v/>
      </c>
      <c r="R180" s="7">
        <f>IF($U180="","",IF(INDEX('Per Invoice'!R$2:R$401,$U180)="","",INDEX('Per Invoice'!R$2:R$401,$U180)))</f>
        <v/>
      </c>
      <c r="S180" s="7">
        <f>IF($U180="","",IF(INDEX('Per Invoice'!S$2:S$401,$U180)="","",INDEX('Per Invoice'!S$2:S$401,$U180)))</f>
        <v/>
      </c>
      <c r="T180" s="7">
        <f>IF($U180="","",IF(INDEX('Per Invoice'!T$2:T$401,$U180)="","",INDEX('Per Invoice'!T$2:T$401,$U180)))</f>
        <v/>
      </c>
      <c r="U180" s="16">
        <f>IFERROR(MATCH(Settings!$C$26&amp;"|"&amp;ROWS($U$2:$U180),'Per Invoice'!$V$2:$V$401,0),"")</f>
        <v/>
      </c>
    </row>
    <row r="181">
      <c r="A181">
        <f>IF($U181="","",IF(INDEX('Per Invoice'!A$2:A$401,$U181)="","",INDEX('Per Invoice'!A$2:A$401,$U181)))</f>
        <v/>
      </c>
      <c r="B181">
        <f>IF($U181="","",IF(INDEX('Per Invoice'!B$2:B$401,$U181)="","",INDEX('Per Invoice'!B$2:B$401,$U181)))</f>
        <v/>
      </c>
      <c r="C181">
        <f>IF($U181="","",IF(INDEX('Per Invoice'!C$2:C$401,$U181)="","",INDEX('Per Invoice'!C$2:C$401,$U181)))</f>
        <v/>
      </c>
      <c r="D181">
        <f>IF($U181="","",IF(INDEX('Per Invoice'!D$2:D$401,$U181)="","",INDEX('Per Invoice'!D$2:D$401,$U181)))</f>
        <v/>
      </c>
      <c r="E181">
        <f>IF($U181="","",IF(INDEX('Per Invoice'!E$2:E$401,$U181)="","",INDEX('Per Invoice'!E$2:E$401,$U181)))</f>
        <v/>
      </c>
      <c r="F181">
        <f>IF($U181="","",IF(INDEX('Per Invoice'!F$2:F$401,$U181)="","",INDEX('Per Invoice'!F$2:F$401,$U181)))</f>
        <v/>
      </c>
      <c r="G181">
        <f>IF($U181="","",IF(INDEX('Per Invoice'!G$2:G$401,$U181)="","",INDEX('Per Invoice'!G$2:G$401,$U181)))</f>
        <v/>
      </c>
      <c r="H181" s="7">
        <f>IF($U181="","",IF(INDEX('Per Invoice'!H$2:H$401,$U181)="","",INDEX('Per Invoice'!H$2:H$401,$U181)))</f>
        <v/>
      </c>
      <c r="I181" s="14">
        <f>IF($U181="","",IF(INDEX('Per Invoice'!I$2:I$401,$U181)="","",INDEX('Per Invoice'!I$2:I$401,$U181)))</f>
        <v/>
      </c>
      <c r="J181">
        <f>IF($U181="","",IF(INDEX('Per Invoice'!J$2:J$401,$U181)="","",INDEX('Per Invoice'!J$2:J$401,$U181)))</f>
        <v/>
      </c>
      <c r="K181">
        <f>IF($U181="","",IF(INDEX('Per Invoice'!K$2:K$401,$U181)="","",INDEX('Per Invoice'!K$2:K$401,$U181)))</f>
        <v/>
      </c>
      <c r="L181" s="7">
        <f>IF($U181="","",IF(INDEX('Per Invoice'!L$2:L$401,$U181)="","",INDEX('Per Invoice'!L$2:L$401,$U181)))</f>
        <v/>
      </c>
      <c r="M181" s="7">
        <f>IF($U181="","",IF(INDEX('Per Invoice'!M$2:M$401,$U181)="","",INDEX('Per Invoice'!M$2:M$401,$U181)))</f>
        <v/>
      </c>
      <c r="N181">
        <f>IF($U181="","",IF(INDEX('Per Invoice'!N$2:N$401,$U181)="","",INDEX('Per Invoice'!N$2:N$401,$U181)))</f>
        <v/>
      </c>
      <c r="O181" s="7">
        <f>IF($U181="","",IF(INDEX('Per Invoice'!O$2:O$401,$U181)="","",INDEX('Per Invoice'!O$2:O$401,$U181)))</f>
        <v/>
      </c>
      <c r="P181" s="7">
        <f>IF($U181="","",IF(INDEX('Per Invoice'!P$2:P$401,$U181)="","",INDEX('Per Invoice'!P$2:P$401,$U181)))</f>
        <v/>
      </c>
      <c r="Q181" s="7">
        <f>IF($U181="","",IF(INDEX('Per Invoice'!Q$2:Q$401,$U181)="","",INDEX('Per Invoice'!Q$2:Q$401,$U181)))</f>
        <v/>
      </c>
      <c r="R181" s="7">
        <f>IF($U181="","",IF(INDEX('Per Invoice'!R$2:R$401,$U181)="","",INDEX('Per Invoice'!R$2:R$401,$U181)))</f>
        <v/>
      </c>
      <c r="S181" s="7">
        <f>IF($U181="","",IF(INDEX('Per Invoice'!S$2:S$401,$U181)="","",INDEX('Per Invoice'!S$2:S$401,$U181)))</f>
        <v/>
      </c>
      <c r="T181" s="7">
        <f>IF($U181="","",IF(INDEX('Per Invoice'!T$2:T$401,$U181)="","",INDEX('Per Invoice'!T$2:T$401,$U181)))</f>
        <v/>
      </c>
      <c r="U181" s="16">
        <f>IFERROR(MATCH(Settings!$C$26&amp;"|"&amp;ROWS($U$2:$U181),'Per Invoice'!$V$2:$V$401,0),"")</f>
        <v/>
      </c>
    </row>
    <row r="182">
      <c r="A182">
        <f>IF($U182="","",IF(INDEX('Per Invoice'!A$2:A$401,$U182)="","",INDEX('Per Invoice'!A$2:A$401,$U182)))</f>
        <v/>
      </c>
      <c r="B182">
        <f>IF($U182="","",IF(INDEX('Per Invoice'!B$2:B$401,$U182)="","",INDEX('Per Invoice'!B$2:B$401,$U182)))</f>
        <v/>
      </c>
      <c r="C182">
        <f>IF($U182="","",IF(INDEX('Per Invoice'!C$2:C$401,$U182)="","",INDEX('Per Invoice'!C$2:C$401,$U182)))</f>
        <v/>
      </c>
      <c r="D182">
        <f>IF($U182="","",IF(INDEX('Per Invoice'!D$2:D$401,$U182)="","",INDEX('Per Invoice'!D$2:D$401,$U182)))</f>
        <v/>
      </c>
      <c r="E182">
        <f>IF($U182="","",IF(INDEX('Per Invoice'!E$2:E$401,$U182)="","",INDEX('Per Invoice'!E$2:E$401,$U182)))</f>
        <v/>
      </c>
      <c r="F182">
        <f>IF($U182="","",IF(INDEX('Per Invoice'!F$2:F$401,$U182)="","",INDEX('Per Invoice'!F$2:F$401,$U182)))</f>
        <v/>
      </c>
      <c r="G182">
        <f>IF($U182="","",IF(INDEX('Per Invoice'!G$2:G$401,$U182)="","",INDEX('Per Invoice'!G$2:G$401,$U182)))</f>
        <v/>
      </c>
      <c r="H182" s="7">
        <f>IF($U182="","",IF(INDEX('Per Invoice'!H$2:H$401,$U182)="","",INDEX('Per Invoice'!H$2:H$401,$U182)))</f>
        <v/>
      </c>
      <c r="I182" s="14">
        <f>IF($U182="","",IF(INDEX('Per Invoice'!I$2:I$401,$U182)="","",INDEX('Per Invoice'!I$2:I$401,$U182)))</f>
        <v/>
      </c>
      <c r="J182">
        <f>IF($U182="","",IF(INDEX('Per Invoice'!J$2:J$401,$U182)="","",INDEX('Per Invoice'!J$2:J$401,$U182)))</f>
        <v/>
      </c>
      <c r="K182">
        <f>IF($U182="","",IF(INDEX('Per Invoice'!K$2:K$401,$U182)="","",INDEX('Per Invoice'!K$2:K$401,$U182)))</f>
        <v/>
      </c>
      <c r="L182" s="7">
        <f>IF($U182="","",IF(INDEX('Per Invoice'!L$2:L$401,$U182)="","",INDEX('Per Invoice'!L$2:L$401,$U182)))</f>
        <v/>
      </c>
      <c r="M182" s="7">
        <f>IF($U182="","",IF(INDEX('Per Invoice'!M$2:M$401,$U182)="","",INDEX('Per Invoice'!M$2:M$401,$U182)))</f>
        <v/>
      </c>
      <c r="N182">
        <f>IF($U182="","",IF(INDEX('Per Invoice'!N$2:N$401,$U182)="","",INDEX('Per Invoice'!N$2:N$401,$U182)))</f>
        <v/>
      </c>
      <c r="O182" s="7">
        <f>IF($U182="","",IF(INDEX('Per Invoice'!O$2:O$401,$U182)="","",INDEX('Per Invoice'!O$2:O$401,$U182)))</f>
        <v/>
      </c>
      <c r="P182" s="7">
        <f>IF($U182="","",IF(INDEX('Per Invoice'!P$2:P$401,$U182)="","",INDEX('Per Invoice'!P$2:P$401,$U182)))</f>
        <v/>
      </c>
      <c r="Q182" s="7">
        <f>IF($U182="","",IF(INDEX('Per Invoice'!Q$2:Q$401,$U182)="","",INDEX('Per Invoice'!Q$2:Q$401,$U182)))</f>
        <v/>
      </c>
      <c r="R182" s="7">
        <f>IF($U182="","",IF(INDEX('Per Invoice'!R$2:R$401,$U182)="","",INDEX('Per Invoice'!R$2:R$401,$U182)))</f>
        <v/>
      </c>
      <c r="S182" s="7">
        <f>IF($U182="","",IF(INDEX('Per Invoice'!S$2:S$401,$U182)="","",INDEX('Per Invoice'!S$2:S$401,$U182)))</f>
        <v/>
      </c>
      <c r="T182" s="7">
        <f>IF($U182="","",IF(INDEX('Per Invoice'!T$2:T$401,$U182)="","",INDEX('Per Invoice'!T$2:T$401,$U182)))</f>
        <v/>
      </c>
      <c r="U182" s="16">
        <f>IFERROR(MATCH(Settings!$C$26&amp;"|"&amp;ROWS($U$2:$U182),'Per Invoice'!$V$2:$V$401,0),"")</f>
        <v/>
      </c>
    </row>
    <row r="183">
      <c r="A183">
        <f>IF($U183="","",IF(INDEX('Per Invoice'!A$2:A$401,$U183)="","",INDEX('Per Invoice'!A$2:A$401,$U183)))</f>
        <v/>
      </c>
      <c r="B183">
        <f>IF($U183="","",IF(INDEX('Per Invoice'!B$2:B$401,$U183)="","",INDEX('Per Invoice'!B$2:B$401,$U183)))</f>
        <v/>
      </c>
      <c r="C183">
        <f>IF($U183="","",IF(INDEX('Per Invoice'!C$2:C$401,$U183)="","",INDEX('Per Invoice'!C$2:C$401,$U183)))</f>
        <v/>
      </c>
      <c r="D183">
        <f>IF($U183="","",IF(INDEX('Per Invoice'!D$2:D$401,$U183)="","",INDEX('Per Invoice'!D$2:D$401,$U183)))</f>
        <v/>
      </c>
      <c r="E183">
        <f>IF($U183="","",IF(INDEX('Per Invoice'!E$2:E$401,$U183)="","",INDEX('Per Invoice'!E$2:E$401,$U183)))</f>
        <v/>
      </c>
      <c r="F183">
        <f>IF($U183="","",IF(INDEX('Per Invoice'!F$2:F$401,$U183)="","",INDEX('Per Invoice'!F$2:F$401,$U183)))</f>
        <v/>
      </c>
      <c r="G183">
        <f>IF($U183="","",IF(INDEX('Per Invoice'!G$2:G$401,$U183)="","",INDEX('Per Invoice'!G$2:G$401,$U183)))</f>
        <v/>
      </c>
      <c r="H183" s="7">
        <f>IF($U183="","",IF(INDEX('Per Invoice'!H$2:H$401,$U183)="","",INDEX('Per Invoice'!H$2:H$401,$U183)))</f>
        <v/>
      </c>
      <c r="I183" s="14">
        <f>IF($U183="","",IF(INDEX('Per Invoice'!I$2:I$401,$U183)="","",INDEX('Per Invoice'!I$2:I$401,$U183)))</f>
        <v/>
      </c>
      <c r="J183">
        <f>IF($U183="","",IF(INDEX('Per Invoice'!J$2:J$401,$U183)="","",INDEX('Per Invoice'!J$2:J$401,$U183)))</f>
        <v/>
      </c>
      <c r="K183">
        <f>IF($U183="","",IF(INDEX('Per Invoice'!K$2:K$401,$U183)="","",INDEX('Per Invoice'!K$2:K$401,$U183)))</f>
        <v/>
      </c>
      <c r="L183" s="7">
        <f>IF($U183="","",IF(INDEX('Per Invoice'!L$2:L$401,$U183)="","",INDEX('Per Invoice'!L$2:L$401,$U183)))</f>
        <v/>
      </c>
      <c r="M183" s="7">
        <f>IF($U183="","",IF(INDEX('Per Invoice'!M$2:M$401,$U183)="","",INDEX('Per Invoice'!M$2:M$401,$U183)))</f>
        <v/>
      </c>
      <c r="N183">
        <f>IF($U183="","",IF(INDEX('Per Invoice'!N$2:N$401,$U183)="","",INDEX('Per Invoice'!N$2:N$401,$U183)))</f>
        <v/>
      </c>
      <c r="O183" s="7">
        <f>IF($U183="","",IF(INDEX('Per Invoice'!O$2:O$401,$U183)="","",INDEX('Per Invoice'!O$2:O$401,$U183)))</f>
        <v/>
      </c>
      <c r="P183" s="7">
        <f>IF($U183="","",IF(INDEX('Per Invoice'!P$2:P$401,$U183)="","",INDEX('Per Invoice'!P$2:P$401,$U183)))</f>
        <v/>
      </c>
      <c r="Q183" s="7">
        <f>IF($U183="","",IF(INDEX('Per Invoice'!Q$2:Q$401,$U183)="","",INDEX('Per Invoice'!Q$2:Q$401,$U183)))</f>
        <v/>
      </c>
      <c r="R183" s="7">
        <f>IF($U183="","",IF(INDEX('Per Invoice'!R$2:R$401,$U183)="","",INDEX('Per Invoice'!R$2:R$401,$U183)))</f>
        <v/>
      </c>
      <c r="S183" s="7">
        <f>IF($U183="","",IF(INDEX('Per Invoice'!S$2:S$401,$U183)="","",INDEX('Per Invoice'!S$2:S$401,$U183)))</f>
        <v/>
      </c>
      <c r="T183" s="7">
        <f>IF($U183="","",IF(INDEX('Per Invoice'!T$2:T$401,$U183)="","",INDEX('Per Invoice'!T$2:T$401,$U183)))</f>
        <v/>
      </c>
      <c r="U183" s="16">
        <f>IFERROR(MATCH(Settings!$C$26&amp;"|"&amp;ROWS($U$2:$U183),'Per Invoice'!$V$2:$V$401,0),"")</f>
        <v/>
      </c>
    </row>
    <row r="184">
      <c r="A184">
        <f>IF($U184="","",IF(INDEX('Per Invoice'!A$2:A$401,$U184)="","",INDEX('Per Invoice'!A$2:A$401,$U184)))</f>
        <v/>
      </c>
      <c r="B184">
        <f>IF($U184="","",IF(INDEX('Per Invoice'!B$2:B$401,$U184)="","",INDEX('Per Invoice'!B$2:B$401,$U184)))</f>
        <v/>
      </c>
      <c r="C184">
        <f>IF($U184="","",IF(INDEX('Per Invoice'!C$2:C$401,$U184)="","",INDEX('Per Invoice'!C$2:C$401,$U184)))</f>
        <v/>
      </c>
      <c r="D184">
        <f>IF($U184="","",IF(INDEX('Per Invoice'!D$2:D$401,$U184)="","",INDEX('Per Invoice'!D$2:D$401,$U184)))</f>
        <v/>
      </c>
      <c r="E184">
        <f>IF($U184="","",IF(INDEX('Per Invoice'!E$2:E$401,$U184)="","",INDEX('Per Invoice'!E$2:E$401,$U184)))</f>
        <v/>
      </c>
      <c r="F184">
        <f>IF($U184="","",IF(INDEX('Per Invoice'!F$2:F$401,$U184)="","",INDEX('Per Invoice'!F$2:F$401,$U184)))</f>
        <v/>
      </c>
      <c r="G184">
        <f>IF($U184="","",IF(INDEX('Per Invoice'!G$2:G$401,$U184)="","",INDEX('Per Invoice'!G$2:G$401,$U184)))</f>
        <v/>
      </c>
      <c r="H184" s="7">
        <f>IF($U184="","",IF(INDEX('Per Invoice'!H$2:H$401,$U184)="","",INDEX('Per Invoice'!H$2:H$401,$U184)))</f>
        <v/>
      </c>
      <c r="I184" s="14">
        <f>IF($U184="","",IF(INDEX('Per Invoice'!I$2:I$401,$U184)="","",INDEX('Per Invoice'!I$2:I$401,$U184)))</f>
        <v/>
      </c>
      <c r="J184">
        <f>IF($U184="","",IF(INDEX('Per Invoice'!J$2:J$401,$U184)="","",INDEX('Per Invoice'!J$2:J$401,$U184)))</f>
        <v/>
      </c>
      <c r="K184">
        <f>IF($U184="","",IF(INDEX('Per Invoice'!K$2:K$401,$U184)="","",INDEX('Per Invoice'!K$2:K$401,$U184)))</f>
        <v/>
      </c>
      <c r="L184" s="7">
        <f>IF($U184="","",IF(INDEX('Per Invoice'!L$2:L$401,$U184)="","",INDEX('Per Invoice'!L$2:L$401,$U184)))</f>
        <v/>
      </c>
      <c r="M184" s="7">
        <f>IF($U184="","",IF(INDEX('Per Invoice'!M$2:M$401,$U184)="","",INDEX('Per Invoice'!M$2:M$401,$U184)))</f>
        <v/>
      </c>
      <c r="N184">
        <f>IF($U184="","",IF(INDEX('Per Invoice'!N$2:N$401,$U184)="","",INDEX('Per Invoice'!N$2:N$401,$U184)))</f>
        <v/>
      </c>
      <c r="O184" s="7">
        <f>IF($U184="","",IF(INDEX('Per Invoice'!O$2:O$401,$U184)="","",INDEX('Per Invoice'!O$2:O$401,$U184)))</f>
        <v/>
      </c>
      <c r="P184" s="7">
        <f>IF($U184="","",IF(INDEX('Per Invoice'!P$2:P$401,$U184)="","",INDEX('Per Invoice'!P$2:P$401,$U184)))</f>
        <v/>
      </c>
      <c r="Q184" s="7">
        <f>IF($U184="","",IF(INDEX('Per Invoice'!Q$2:Q$401,$U184)="","",INDEX('Per Invoice'!Q$2:Q$401,$U184)))</f>
        <v/>
      </c>
      <c r="R184" s="7">
        <f>IF($U184="","",IF(INDEX('Per Invoice'!R$2:R$401,$U184)="","",INDEX('Per Invoice'!R$2:R$401,$U184)))</f>
        <v/>
      </c>
      <c r="S184" s="7">
        <f>IF($U184="","",IF(INDEX('Per Invoice'!S$2:S$401,$U184)="","",INDEX('Per Invoice'!S$2:S$401,$U184)))</f>
        <v/>
      </c>
      <c r="T184" s="7">
        <f>IF($U184="","",IF(INDEX('Per Invoice'!T$2:T$401,$U184)="","",INDEX('Per Invoice'!T$2:T$401,$U184)))</f>
        <v/>
      </c>
      <c r="U184" s="16">
        <f>IFERROR(MATCH(Settings!$C$26&amp;"|"&amp;ROWS($U$2:$U184),'Per Invoice'!$V$2:$V$401,0),"")</f>
        <v/>
      </c>
    </row>
    <row r="185">
      <c r="A185">
        <f>IF($U185="","",IF(INDEX('Per Invoice'!A$2:A$401,$U185)="","",INDEX('Per Invoice'!A$2:A$401,$U185)))</f>
        <v/>
      </c>
      <c r="B185">
        <f>IF($U185="","",IF(INDEX('Per Invoice'!B$2:B$401,$U185)="","",INDEX('Per Invoice'!B$2:B$401,$U185)))</f>
        <v/>
      </c>
      <c r="C185">
        <f>IF($U185="","",IF(INDEX('Per Invoice'!C$2:C$401,$U185)="","",INDEX('Per Invoice'!C$2:C$401,$U185)))</f>
        <v/>
      </c>
      <c r="D185">
        <f>IF($U185="","",IF(INDEX('Per Invoice'!D$2:D$401,$U185)="","",INDEX('Per Invoice'!D$2:D$401,$U185)))</f>
        <v/>
      </c>
      <c r="E185">
        <f>IF($U185="","",IF(INDEX('Per Invoice'!E$2:E$401,$U185)="","",INDEX('Per Invoice'!E$2:E$401,$U185)))</f>
        <v/>
      </c>
      <c r="F185">
        <f>IF($U185="","",IF(INDEX('Per Invoice'!F$2:F$401,$U185)="","",INDEX('Per Invoice'!F$2:F$401,$U185)))</f>
        <v/>
      </c>
      <c r="G185">
        <f>IF($U185="","",IF(INDEX('Per Invoice'!G$2:G$401,$U185)="","",INDEX('Per Invoice'!G$2:G$401,$U185)))</f>
        <v/>
      </c>
      <c r="H185" s="7">
        <f>IF($U185="","",IF(INDEX('Per Invoice'!H$2:H$401,$U185)="","",INDEX('Per Invoice'!H$2:H$401,$U185)))</f>
        <v/>
      </c>
      <c r="I185" s="14">
        <f>IF($U185="","",IF(INDEX('Per Invoice'!I$2:I$401,$U185)="","",INDEX('Per Invoice'!I$2:I$401,$U185)))</f>
        <v/>
      </c>
      <c r="J185">
        <f>IF($U185="","",IF(INDEX('Per Invoice'!J$2:J$401,$U185)="","",INDEX('Per Invoice'!J$2:J$401,$U185)))</f>
        <v/>
      </c>
      <c r="K185">
        <f>IF($U185="","",IF(INDEX('Per Invoice'!K$2:K$401,$U185)="","",INDEX('Per Invoice'!K$2:K$401,$U185)))</f>
        <v/>
      </c>
      <c r="L185" s="7">
        <f>IF($U185="","",IF(INDEX('Per Invoice'!L$2:L$401,$U185)="","",INDEX('Per Invoice'!L$2:L$401,$U185)))</f>
        <v/>
      </c>
      <c r="M185" s="7">
        <f>IF($U185="","",IF(INDEX('Per Invoice'!M$2:M$401,$U185)="","",INDEX('Per Invoice'!M$2:M$401,$U185)))</f>
        <v/>
      </c>
      <c r="N185">
        <f>IF($U185="","",IF(INDEX('Per Invoice'!N$2:N$401,$U185)="","",INDEX('Per Invoice'!N$2:N$401,$U185)))</f>
        <v/>
      </c>
      <c r="O185" s="7">
        <f>IF($U185="","",IF(INDEX('Per Invoice'!O$2:O$401,$U185)="","",INDEX('Per Invoice'!O$2:O$401,$U185)))</f>
        <v/>
      </c>
      <c r="P185" s="7">
        <f>IF($U185="","",IF(INDEX('Per Invoice'!P$2:P$401,$U185)="","",INDEX('Per Invoice'!P$2:P$401,$U185)))</f>
        <v/>
      </c>
      <c r="Q185" s="7">
        <f>IF($U185="","",IF(INDEX('Per Invoice'!Q$2:Q$401,$U185)="","",INDEX('Per Invoice'!Q$2:Q$401,$U185)))</f>
        <v/>
      </c>
      <c r="R185" s="7">
        <f>IF($U185="","",IF(INDEX('Per Invoice'!R$2:R$401,$U185)="","",INDEX('Per Invoice'!R$2:R$401,$U185)))</f>
        <v/>
      </c>
      <c r="S185" s="7">
        <f>IF($U185="","",IF(INDEX('Per Invoice'!S$2:S$401,$U185)="","",INDEX('Per Invoice'!S$2:S$401,$U185)))</f>
        <v/>
      </c>
      <c r="T185" s="7">
        <f>IF($U185="","",IF(INDEX('Per Invoice'!T$2:T$401,$U185)="","",INDEX('Per Invoice'!T$2:T$401,$U185)))</f>
        <v/>
      </c>
      <c r="U185" s="16">
        <f>IFERROR(MATCH(Settings!$C$26&amp;"|"&amp;ROWS($U$2:$U185),'Per Invoice'!$V$2:$V$401,0),"")</f>
        <v/>
      </c>
    </row>
    <row r="186">
      <c r="A186">
        <f>IF($U186="","",IF(INDEX('Per Invoice'!A$2:A$401,$U186)="","",INDEX('Per Invoice'!A$2:A$401,$U186)))</f>
        <v/>
      </c>
      <c r="B186">
        <f>IF($U186="","",IF(INDEX('Per Invoice'!B$2:B$401,$U186)="","",INDEX('Per Invoice'!B$2:B$401,$U186)))</f>
        <v/>
      </c>
      <c r="C186">
        <f>IF($U186="","",IF(INDEX('Per Invoice'!C$2:C$401,$U186)="","",INDEX('Per Invoice'!C$2:C$401,$U186)))</f>
        <v/>
      </c>
      <c r="D186">
        <f>IF($U186="","",IF(INDEX('Per Invoice'!D$2:D$401,$U186)="","",INDEX('Per Invoice'!D$2:D$401,$U186)))</f>
        <v/>
      </c>
      <c r="E186">
        <f>IF($U186="","",IF(INDEX('Per Invoice'!E$2:E$401,$U186)="","",INDEX('Per Invoice'!E$2:E$401,$U186)))</f>
        <v/>
      </c>
      <c r="F186">
        <f>IF($U186="","",IF(INDEX('Per Invoice'!F$2:F$401,$U186)="","",INDEX('Per Invoice'!F$2:F$401,$U186)))</f>
        <v/>
      </c>
      <c r="G186">
        <f>IF($U186="","",IF(INDEX('Per Invoice'!G$2:G$401,$U186)="","",INDEX('Per Invoice'!G$2:G$401,$U186)))</f>
        <v/>
      </c>
      <c r="H186" s="7">
        <f>IF($U186="","",IF(INDEX('Per Invoice'!H$2:H$401,$U186)="","",INDEX('Per Invoice'!H$2:H$401,$U186)))</f>
        <v/>
      </c>
      <c r="I186" s="14">
        <f>IF($U186="","",IF(INDEX('Per Invoice'!I$2:I$401,$U186)="","",INDEX('Per Invoice'!I$2:I$401,$U186)))</f>
        <v/>
      </c>
      <c r="J186">
        <f>IF($U186="","",IF(INDEX('Per Invoice'!J$2:J$401,$U186)="","",INDEX('Per Invoice'!J$2:J$401,$U186)))</f>
        <v/>
      </c>
      <c r="K186">
        <f>IF($U186="","",IF(INDEX('Per Invoice'!K$2:K$401,$U186)="","",INDEX('Per Invoice'!K$2:K$401,$U186)))</f>
        <v/>
      </c>
      <c r="L186" s="7">
        <f>IF($U186="","",IF(INDEX('Per Invoice'!L$2:L$401,$U186)="","",INDEX('Per Invoice'!L$2:L$401,$U186)))</f>
        <v/>
      </c>
      <c r="M186" s="7">
        <f>IF($U186="","",IF(INDEX('Per Invoice'!M$2:M$401,$U186)="","",INDEX('Per Invoice'!M$2:M$401,$U186)))</f>
        <v/>
      </c>
      <c r="N186">
        <f>IF($U186="","",IF(INDEX('Per Invoice'!N$2:N$401,$U186)="","",INDEX('Per Invoice'!N$2:N$401,$U186)))</f>
        <v/>
      </c>
      <c r="O186" s="7">
        <f>IF($U186="","",IF(INDEX('Per Invoice'!O$2:O$401,$U186)="","",INDEX('Per Invoice'!O$2:O$401,$U186)))</f>
        <v/>
      </c>
      <c r="P186" s="7">
        <f>IF($U186="","",IF(INDEX('Per Invoice'!P$2:P$401,$U186)="","",INDEX('Per Invoice'!P$2:P$401,$U186)))</f>
        <v/>
      </c>
      <c r="Q186" s="7">
        <f>IF($U186="","",IF(INDEX('Per Invoice'!Q$2:Q$401,$U186)="","",INDEX('Per Invoice'!Q$2:Q$401,$U186)))</f>
        <v/>
      </c>
      <c r="R186" s="7">
        <f>IF($U186="","",IF(INDEX('Per Invoice'!R$2:R$401,$U186)="","",INDEX('Per Invoice'!R$2:R$401,$U186)))</f>
        <v/>
      </c>
      <c r="S186" s="7">
        <f>IF($U186="","",IF(INDEX('Per Invoice'!S$2:S$401,$U186)="","",INDEX('Per Invoice'!S$2:S$401,$U186)))</f>
        <v/>
      </c>
      <c r="T186" s="7">
        <f>IF($U186="","",IF(INDEX('Per Invoice'!T$2:T$401,$U186)="","",INDEX('Per Invoice'!T$2:T$401,$U186)))</f>
        <v/>
      </c>
      <c r="U186" s="16">
        <f>IFERROR(MATCH(Settings!$C$26&amp;"|"&amp;ROWS($U$2:$U186),'Per Invoice'!$V$2:$V$401,0),"")</f>
        <v/>
      </c>
    </row>
    <row r="187">
      <c r="A187">
        <f>IF($U187="","",IF(INDEX('Per Invoice'!A$2:A$401,$U187)="","",INDEX('Per Invoice'!A$2:A$401,$U187)))</f>
        <v/>
      </c>
      <c r="B187">
        <f>IF($U187="","",IF(INDEX('Per Invoice'!B$2:B$401,$U187)="","",INDEX('Per Invoice'!B$2:B$401,$U187)))</f>
        <v/>
      </c>
      <c r="C187">
        <f>IF($U187="","",IF(INDEX('Per Invoice'!C$2:C$401,$U187)="","",INDEX('Per Invoice'!C$2:C$401,$U187)))</f>
        <v/>
      </c>
      <c r="D187">
        <f>IF($U187="","",IF(INDEX('Per Invoice'!D$2:D$401,$U187)="","",INDEX('Per Invoice'!D$2:D$401,$U187)))</f>
        <v/>
      </c>
      <c r="E187">
        <f>IF($U187="","",IF(INDEX('Per Invoice'!E$2:E$401,$U187)="","",INDEX('Per Invoice'!E$2:E$401,$U187)))</f>
        <v/>
      </c>
      <c r="F187">
        <f>IF($U187="","",IF(INDEX('Per Invoice'!F$2:F$401,$U187)="","",INDEX('Per Invoice'!F$2:F$401,$U187)))</f>
        <v/>
      </c>
      <c r="G187">
        <f>IF($U187="","",IF(INDEX('Per Invoice'!G$2:G$401,$U187)="","",INDEX('Per Invoice'!G$2:G$401,$U187)))</f>
        <v/>
      </c>
      <c r="H187" s="7">
        <f>IF($U187="","",IF(INDEX('Per Invoice'!H$2:H$401,$U187)="","",INDEX('Per Invoice'!H$2:H$401,$U187)))</f>
        <v/>
      </c>
      <c r="I187" s="14">
        <f>IF($U187="","",IF(INDEX('Per Invoice'!I$2:I$401,$U187)="","",INDEX('Per Invoice'!I$2:I$401,$U187)))</f>
        <v/>
      </c>
      <c r="J187">
        <f>IF($U187="","",IF(INDEX('Per Invoice'!J$2:J$401,$U187)="","",INDEX('Per Invoice'!J$2:J$401,$U187)))</f>
        <v/>
      </c>
      <c r="K187">
        <f>IF($U187="","",IF(INDEX('Per Invoice'!K$2:K$401,$U187)="","",INDEX('Per Invoice'!K$2:K$401,$U187)))</f>
        <v/>
      </c>
      <c r="L187" s="7">
        <f>IF($U187="","",IF(INDEX('Per Invoice'!L$2:L$401,$U187)="","",INDEX('Per Invoice'!L$2:L$401,$U187)))</f>
        <v/>
      </c>
      <c r="M187" s="7">
        <f>IF($U187="","",IF(INDEX('Per Invoice'!M$2:M$401,$U187)="","",INDEX('Per Invoice'!M$2:M$401,$U187)))</f>
        <v/>
      </c>
      <c r="N187">
        <f>IF($U187="","",IF(INDEX('Per Invoice'!N$2:N$401,$U187)="","",INDEX('Per Invoice'!N$2:N$401,$U187)))</f>
        <v/>
      </c>
      <c r="O187" s="7">
        <f>IF($U187="","",IF(INDEX('Per Invoice'!O$2:O$401,$U187)="","",INDEX('Per Invoice'!O$2:O$401,$U187)))</f>
        <v/>
      </c>
      <c r="P187" s="7">
        <f>IF($U187="","",IF(INDEX('Per Invoice'!P$2:P$401,$U187)="","",INDEX('Per Invoice'!P$2:P$401,$U187)))</f>
        <v/>
      </c>
      <c r="Q187" s="7">
        <f>IF($U187="","",IF(INDEX('Per Invoice'!Q$2:Q$401,$U187)="","",INDEX('Per Invoice'!Q$2:Q$401,$U187)))</f>
        <v/>
      </c>
      <c r="R187" s="7">
        <f>IF($U187="","",IF(INDEX('Per Invoice'!R$2:R$401,$U187)="","",INDEX('Per Invoice'!R$2:R$401,$U187)))</f>
        <v/>
      </c>
      <c r="S187" s="7">
        <f>IF($U187="","",IF(INDEX('Per Invoice'!S$2:S$401,$U187)="","",INDEX('Per Invoice'!S$2:S$401,$U187)))</f>
        <v/>
      </c>
      <c r="T187" s="7">
        <f>IF($U187="","",IF(INDEX('Per Invoice'!T$2:T$401,$U187)="","",INDEX('Per Invoice'!T$2:T$401,$U187)))</f>
        <v/>
      </c>
      <c r="U187" s="16">
        <f>IFERROR(MATCH(Settings!$C$26&amp;"|"&amp;ROWS($U$2:$U187),'Per Invoice'!$V$2:$V$401,0),"")</f>
        <v/>
      </c>
    </row>
    <row r="188">
      <c r="A188">
        <f>IF($U188="","",IF(INDEX('Per Invoice'!A$2:A$401,$U188)="","",INDEX('Per Invoice'!A$2:A$401,$U188)))</f>
        <v/>
      </c>
      <c r="B188">
        <f>IF($U188="","",IF(INDEX('Per Invoice'!B$2:B$401,$U188)="","",INDEX('Per Invoice'!B$2:B$401,$U188)))</f>
        <v/>
      </c>
      <c r="C188">
        <f>IF($U188="","",IF(INDEX('Per Invoice'!C$2:C$401,$U188)="","",INDEX('Per Invoice'!C$2:C$401,$U188)))</f>
        <v/>
      </c>
      <c r="D188">
        <f>IF($U188="","",IF(INDEX('Per Invoice'!D$2:D$401,$U188)="","",INDEX('Per Invoice'!D$2:D$401,$U188)))</f>
        <v/>
      </c>
      <c r="E188">
        <f>IF($U188="","",IF(INDEX('Per Invoice'!E$2:E$401,$U188)="","",INDEX('Per Invoice'!E$2:E$401,$U188)))</f>
        <v/>
      </c>
      <c r="F188">
        <f>IF($U188="","",IF(INDEX('Per Invoice'!F$2:F$401,$U188)="","",INDEX('Per Invoice'!F$2:F$401,$U188)))</f>
        <v/>
      </c>
      <c r="G188">
        <f>IF($U188="","",IF(INDEX('Per Invoice'!G$2:G$401,$U188)="","",INDEX('Per Invoice'!G$2:G$401,$U188)))</f>
        <v/>
      </c>
      <c r="H188" s="7">
        <f>IF($U188="","",IF(INDEX('Per Invoice'!H$2:H$401,$U188)="","",INDEX('Per Invoice'!H$2:H$401,$U188)))</f>
        <v/>
      </c>
      <c r="I188" s="14">
        <f>IF($U188="","",IF(INDEX('Per Invoice'!I$2:I$401,$U188)="","",INDEX('Per Invoice'!I$2:I$401,$U188)))</f>
        <v/>
      </c>
      <c r="J188">
        <f>IF($U188="","",IF(INDEX('Per Invoice'!J$2:J$401,$U188)="","",INDEX('Per Invoice'!J$2:J$401,$U188)))</f>
        <v/>
      </c>
      <c r="K188">
        <f>IF($U188="","",IF(INDEX('Per Invoice'!K$2:K$401,$U188)="","",INDEX('Per Invoice'!K$2:K$401,$U188)))</f>
        <v/>
      </c>
      <c r="L188" s="7">
        <f>IF($U188="","",IF(INDEX('Per Invoice'!L$2:L$401,$U188)="","",INDEX('Per Invoice'!L$2:L$401,$U188)))</f>
        <v/>
      </c>
      <c r="M188" s="7">
        <f>IF($U188="","",IF(INDEX('Per Invoice'!M$2:M$401,$U188)="","",INDEX('Per Invoice'!M$2:M$401,$U188)))</f>
        <v/>
      </c>
      <c r="N188">
        <f>IF($U188="","",IF(INDEX('Per Invoice'!N$2:N$401,$U188)="","",INDEX('Per Invoice'!N$2:N$401,$U188)))</f>
        <v/>
      </c>
      <c r="O188" s="7">
        <f>IF($U188="","",IF(INDEX('Per Invoice'!O$2:O$401,$U188)="","",INDEX('Per Invoice'!O$2:O$401,$U188)))</f>
        <v/>
      </c>
      <c r="P188" s="7">
        <f>IF($U188="","",IF(INDEX('Per Invoice'!P$2:P$401,$U188)="","",INDEX('Per Invoice'!P$2:P$401,$U188)))</f>
        <v/>
      </c>
      <c r="Q188" s="7">
        <f>IF($U188="","",IF(INDEX('Per Invoice'!Q$2:Q$401,$U188)="","",INDEX('Per Invoice'!Q$2:Q$401,$U188)))</f>
        <v/>
      </c>
      <c r="R188" s="7">
        <f>IF($U188="","",IF(INDEX('Per Invoice'!R$2:R$401,$U188)="","",INDEX('Per Invoice'!R$2:R$401,$U188)))</f>
        <v/>
      </c>
      <c r="S188" s="7">
        <f>IF($U188="","",IF(INDEX('Per Invoice'!S$2:S$401,$U188)="","",INDEX('Per Invoice'!S$2:S$401,$U188)))</f>
        <v/>
      </c>
      <c r="T188" s="7">
        <f>IF($U188="","",IF(INDEX('Per Invoice'!T$2:T$401,$U188)="","",INDEX('Per Invoice'!T$2:T$401,$U188)))</f>
        <v/>
      </c>
      <c r="U188" s="16">
        <f>IFERROR(MATCH(Settings!$C$26&amp;"|"&amp;ROWS($U$2:$U188),'Per Invoice'!$V$2:$V$401,0),"")</f>
        <v/>
      </c>
    </row>
    <row r="189">
      <c r="A189">
        <f>IF($U189="","",IF(INDEX('Per Invoice'!A$2:A$401,$U189)="","",INDEX('Per Invoice'!A$2:A$401,$U189)))</f>
        <v/>
      </c>
      <c r="B189">
        <f>IF($U189="","",IF(INDEX('Per Invoice'!B$2:B$401,$U189)="","",INDEX('Per Invoice'!B$2:B$401,$U189)))</f>
        <v/>
      </c>
      <c r="C189">
        <f>IF($U189="","",IF(INDEX('Per Invoice'!C$2:C$401,$U189)="","",INDEX('Per Invoice'!C$2:C$401,$U189)))</f>
        <v/>
      </c>
      <c r="D189">
        <f>IF($U189="","",IF(INDEX('Per Invoice'!D$2:D$401,$U189)="","",INDEX('Per Invoice'!D$2:D$401,$U189)))</f>
        <v/>
      </c>
      <c r="E189">
        <f>IF($U189="","",IF(INDEX('Per Invoice'!E$2:E$401,$U189)="","",INDEX('Per Invoice'!E$2:E$401,$U189)))</f>
        <v/>
      </c>
      <c r="F189">
        <f>IF($U189="","",IF(INDEX('Per Invoice'!F$2:F$401,$U189)="","",INDEX('Per Invoice'!F$2:F$401,$U189)))</f>
        <v/>
      </c>
      <c r="G189">
        <f>IF($U189="","",IF(INDEX('Per Invoice'!G$2:G$401,$U189)="","",INDEX('Per Invoice'!G$2:G$401,$U189)))</f>
        <v/>
      </c>
      <c r="H189" s="7">
        <f>IF($U189="","",IF(INDEX('Per Invoice'!H$2:H$401,$U189)="","",INDEX('Per Invoice'!H$2:H$401,$U189)))</f>
        <v/>
      </c>
      <c r="I189" s="14">
        <f>IF($U189="","",IF(INDEX('Per Invoice'!I$2:I$401,$U189)="","",INDEX('Per Invoice'!I$2:I$401,$U189)))</f>
        <v/>
      </c>
      <c r="J189">
        <f>IF($U189="","",IF(INDEX('Per Invoice'!J$2:J$401,$U189)="","",INDEX('Per Invoice'!J$2:J$401,$U189)))</f>
        <v/>
      </c>
      <c r="K189">
        <f>IF($U189="","",IF(INDEX('Per Invoice'!K$2:K$401,$U189)="","",INDEX('Per Invoice'!K$2:K$401,$U189)))</f>
        <v/>
      </c>
      <c r="L189" s="7">
        <f>IF($U189="","",IF(INDEX('Per Invoice'!L$2:L$401,$U189)="","",INDEX('Per Invoice'!L$2:L$401,$U189)))</f>
        <v/>
      </c>
      <c r="M189" s="7">
        <f>IF($U189="","",IF(INDEX('Per Invoice'!M$2:M$401,$U189)="","",INDEX('Per Invoice'!M$2:M$401,$U189)))</f>
        <v/>
      </c>
      <c r="N189">
        <f>IF($U189="","",IF(INDEX('Per Invoice'!N$2:N$401,$U189)="","",INDEX('Per Invoice'!N$2:N$401,$U189)))</f>
        <v/>
      </c>
      <c r="O189" s="7">
        <f>IF($U189="","",IF(INDEX('Per Invoice'!O$2:O$401,$U189)="","",INDEX('Per Invoice'!O$2:O$401,$U189)))</f>
        <v/>
      </c>
      <c r="P189" s="7">
        <f>IF($U189="","",IF(INDEX('Per Invoice'!P$2:P$401,$U189)="","",INDEX('Per Invoice'!P$2:P$401,$U189)))</f>
        <v/>
      </c>
      <c r="Q189" s="7">
        <f>IF($U189="","",IF(INDEX('Per Invoice'!Q$2:Q$401,$U189)="","",INDEX('Per Invoice'!Q$2:Q$401,$U189)))</f>
        <v/>
      </c>
      <c r="R189" s="7">
        <f>IF($U189="","",IF(INDEX('Per Invoice'!R$2:R$401,$U189)="","",INDEX('Per Invoice'!R$2:R$401,$U189)))</f>
        <v/>
      </c>
      <c r="S189" s="7">
        <f>IF($U189="","",IF(INDEX('Per Invoice'!S$2:S$401,$U189)="","",INDEX('Per Invoice'!S$2:S$401,$U189)))</f>
        <v/>
      </c>
      <c r="T189" s="7">
        <f>IF($U189="","",IF(INDEX('Per Invoice'!T$2:T$401,$U189)="","",INDEX('Per Invoice'!T$2:T$401,$U189)))</f>
        <v/>
      </c>
      <c r="U189" s="16">
        <f>IFERROR(MATCH(Settings!$C$26&amp;"|"&amp;ROWS($U$2:$U189),'Per Invoice'!$V$2:$V$401,0),"")</f>
        <v/>
      </c>
    </row>
    <row r="190">
      <c r="A190">
        <f>IF($U190="","",IF(INDEX('Per Invoice'!A$2:A$401,$U190)="","",INDEX('Per Invoice'!A$2:A$401,$U190)))</f>
        <v/>
      </c>
      <c r="B190">
        <f>IF($U190="","",IF(INDEX('Per Invoice'!B$2:B$401,$U190)="","",INDEX('Per Invoice'!B$2:B$401,$U190)))</f>
        <v/>
      </c>
      <c r="C190">
        <f>IF($U190="","",IF(INDEX('Per Invoice'!C$2:C$401,$U190)="","",INDEX('Per Invoice'!C$2:C$401,$U190)))</f>
        <v/>
      </c>
      <c r="D190">
        <f>IF($U190="","",IF(INDEX('Per Invoice'!D$2:D$401,$U190)="","",INDEX('Per Invoice'!D$2:D$401,$U190)))</f>
        <v/>
      </c>
      <c r="E190">
        <f>IF($U190="","",IF(INDEX('Per Invoice'!E$2:E$401,$U190)="","",INDEX('Per Invoice'!E$2:E$401,$U190)))</f>
        <v/>
      </c>
      <c r="F190">
        <f>IF($U190="","",IF(INDEX('Per Invoice'!F$2:F$401,$U190)="","",INDEX('Per Invoice'!F$2:F$401,$U190)))</f>
        <v/>
      </c>
      <c r="G190">
        <f>IF($U190="","",IF(INDEX('Per Invoice'!G$2:G$401,$U190)="","",INDEX('Per Invoice'!G$2:G$401,$U190)))</f>
        <v/>
      </c>
      <c r="H190" s="7">
        <f>IF($U190="","",IF(INDEX('Per Invoice'!H$2:H$401,$U190)="","",INDEX('Per Invoice'!H$2:H$401,$U190)))</f>
        <v/>
      </c>
      <c r="I190" s="14">
        <f>IF($U190="","",IF(INDEX('Per Invoice'!I$2:I$401,$U190)="","",INDEX('Per Invoice'!I$2:I$401,$U190)))</f>
        <v/>
      </c>
      <c r="J190">
        <f>IF($U190="","",IF(INDEX('Per Invoice'!J$2:J$401,$U190)="","",INDEX('Per Invoice'!J$2:J$401,$U190)))</f>
        <v/>
      </c>
      <c r="K190">
        <f>IF($U190="","",IF(INDEX('Per Invoice'!K$2:K$401,$U190)="","",INDEX('Per Invoice'!K$2:K$401,$U190)))</f>
        <v/>
      </c>
      <c r="L190" s="7">
        <f>IF($U190="","",IF(INDEX('Per Invoice'!L$2:L$401,$U190)="","",INDEX('Per Invoice'!L$2:L$401,$U190)))</f>
        <v/>
      </c>
      <c r="M190" s="7">
        <f>IF($U190="","",IF(INDEX('Per Invoice'!M$2:M$401,$U190)="","",INDEX('Per Invoice'!M$2:M$401,$U190)))</f>
        <v/>
      </c>
      <c r="N190">
        <f>IF($U190="","",IF(INDEX('Per Invoice'!N$2:N$401,$U190)="","",INDEX('Per Invoice'!N$2:N$401,$U190)))</f>
        <v/>
      </c>
      <c r="O190" s="7">
        <f>IF($U190="","",IF(INDEX('Per Invoice'!O$2:O$401,$U190)="","",INDEX('Per Invoice'!O$2:O$401,$U190)))</f>
        <v/>
      </c>
      <c r="P190" s="7">
        <f>IF($U190="","",IF(INDEX('Per Invoice'!P$2:P$401,$U190)="","",INDEX('Per Invoice'!P$2:P$401,$U190)))</f>
        <v/>
      </c>
      <c r="Q190" s="7">
        <f>IF($U190="","",IF(INDEX('Per Invoice'!Q$2:Q$401,$U190)="","",INDEX('Per Invoice'!Q$2:Q$401,$U190)))</f>
        <v/>
      </c>
      <c r="R190" s="7">
        <f>IF($U190="","",IF(INDEX('Per Invoice'!R$2:R$401,$U190)="","",INDEX('Per Invoice'!R$2:R$401,$U190)))</f>
        <v/>
      </c>
      <c r="S190" s="7">
        <f>IF($U190="","",IF(INDEX('Per Invoice'!S$2:S$401,$U190)="","",INDEX('Per Invoice'!S$2:S$401,$U190)))</f>
        <v/>
      </c>
      <c r="T190" s="7">
        <f>IF($U190="","",IF(INDEX('Per Invoice'!T$2:T$401,$U190)="","",INDEX('Per Invoice'!T$2:T$401,$U190)))</f>
        <v/>
      </c>
      <c r="U190" s="16">
        <f>IFERROR(MATCH(Settings!$C$26&amp;"|"&amp;ROWS($U$2:$U190),'Per Invoice'!$V$2:$V$401,0),"")</f>
        <v/>
      </c>
    </row>
    <row r="191">
      <c r="A191">
        <f>IF($U191="","",IF(INDEX('Per Invoice'!A$2:A$401,$U191)="","",INDEX('Per Invoice'!A$2:A$401,$U191)))</f>
        <v/>
      </c>
      <c r="B191">
        <f>IF($U191="","",IF(INDEX('Per Invoice'!B$2:B$401,$U191)="","",INDEX('Per Invoice'!B$2:B$401,$U191)))</f>
        <v/>
      </c>
      <c r="C191">
        <f>IF($U191="","",IF(INDEX('Per Invoice'!C$2:C$401,$U191)="","",INDEX('Per Invoice'!C$2:C$401,$U191)))</f>
        <v/>
      </c>
      <c r="D191">
        <f>IF($U191="","",IF(INDEX('Per Invoice'!D$2:D$401,$U191)="","",INDEX('Per Invoice'!D$2:D$401,$U191)))</f>
        <v/>
      </c>
      <c r="E191">
        <f>IF($U191="","",IF(INDEX('Per Invoice'!E$2:E$401,$U191)="","",INDEX('Per Invoice'!E$2:E$401,$U191)))</f>
        <v/>
      </c>
      <c r="F191">
        <f>IF($U191="","",IF(INDEX('Per Invoice'!F$2:F$401,$U191)="","",INDEX('Per Invoice'!F$2:F$401,$U191)))</f>
        <v/>
      </c>
      <c r="G191">
        <f>IF($U191="","",IF(INDEX('Per Invoice'!G$2:G$401,$U191)="","",INDEX('Per Invoice'!G$2:G$401,$U191)))</f>
        <v/>
      </c>
      <c r="H191" s="7">
        <f>IF($U191="","",IF(INDEX('Per Invoice'!H$2:H$401,$U191)="","",INDEX('Per Invoice'!H$2:H$401,$U191)))</f>
        <v/>
      </c>
      <c r="I191" s="14">
        <f>IF($U191="","",IF(INDEX('Per Invoice'!I$2:I$401,$U191)="","",INDEX('Per Invoice'!I$2:I$401,$U191)))</f>
        <v/>
      </c>
      <c r="J191">
        <f>IF($U191="","",IF(INDEX('Per Invoice'!J$2:J$401,$U191)="","",INDEX('Per Invoice'!J$2:J$401,$U191)))</f>
        <v/>
      </c>
      <c r="K191">
        <f>IF($U191="","",IF(INDEX('Per Invoice'!K$2:K$401,$U191)="","",INDEX('Per Invoice'!K$2:K$401,$U191)))</f>
        <v/>
      </c>
      <c r="L191" s="7">
        <f>IF($U191="","",IF(INDEX('Per Invoice'!L$2:L$401,$U191)="","",INDEX('Per Invoice'!L$2:L$401,$U191)))</f>
        <v/>
      </c>
      <c r="M191" s="7">
        <f>IF($U191="","",IF(INDEX('Per Invoice'!M$2:M$401,$U191)="","",INDEX('Per Invoice'!M$2:M$401,$U191)))</f>
        <v/>
      </c>
      <c r="N191">
        <f>IF($U191="","",IF(INDEX('Per Invoice'!N$2:N$401,$U191)="","",INDEX('Per Invoice'!N$2:N$401,$U191)))</f>
        <v/>
      </c>
      <c r="O191" s="7">
        <f>IF($U191="","",IF(INDEX('Per Invoice'!O$2:O$401,$U191)="","",INDEX('Per Invoice'!O$2:O$401,$U191)))</f>
        <v/>
      </c>
      <c r="P191" s="7">
        <f>IF($U191="","",IF(INDEX('Per Invoice'!P$2:P$401,$U191)="","",INDEX('Per Invoice'!P$2:P$401,$U191)))</f>
        <v/>
      </c>
      <c r="Q191" s="7">
        <f>IF($U191="","",IF(INDEX('Per Invoice'!Q$2:Q$401,$U191)="","",INDEX('Per Invoice'!Q$2:Q$401,$U191)))</f>
        <v/>
      </c>
      <c r="R191" s="7">
        <f>IF($U191="","",IF(INDEX('Per Invoice'!R$2:R$401,$U191)="","",INDEX('Per Invoice'!R$2:R$401,$U191)))</f>
        <v/>
      </c>
      <c r="S191" s="7">
        <f>IF($U191="","",IF(INDEX('Per Invoice'!S$2:S$401,$U191)="","",INDEX('Per Invoice'!S$2:S$401,$U191)))</f>
        <v/>
      </c>
      <c r="T191" s="7">
        <f>IF($U191="","",IF(INDEX('Per Invoice'!T$2:T$401,$U191)="","",INDEX('Per Invoice'!T$2:T$401,$U191)))</f>
        <v/>
      </c>
      <c r="U191" s="16">
        <f>IFERROR(MATCH(Settings!$C$26&amp;"|"&amp;ROWS($U$2:$U191),'Per Invoice'!$V$2:$V$401,0),"")</f>
        <v/>
      </c>
    </row>
    <row r="192">
      <c r="A192">
        <f>IF($U192="","",IF(INDEX('Per Invoice'!A$2:A$401,$U192)="","",INDEX('Per Invoice'!A$2:A$401,$U192)))</f>
        <v/>
      </c>
      <c r="B192">
        <f>IF($U192="","",IF(INDEX('Per Invoice'!B$2:B$401,$U192)="","",INDEX('Per Invoice'!B$2:B$401,$U192)))</f>
        <v/>
      </c>
      <c r="C192">
        <f>IF($U192="","",IF(INDEX('Per Invoice'!C$2:C$401,$U192)="","",INDEX('Per Invoice'!C$2:C$401,$U192)))</f>
        <v/>
      </c>
      <c r="D192">
        <f>IF($U192="","",IF(INDEX('Per Invoice'!D$2:D$401,$U192)="","",INDEX('Per Invoice'!D$2:D$401,$U192)))</f>
        <v/>
      </c>
      <c r="E192">
        <f>IF($U192="","",IF(INDEX('Per Invoice'!E$2:E$401,$U192)="","",INDEX('Per Invoice'!E$2:E$401,$U192)))</f>
        <v/>
      </c>
      <c r="F192">
        <f>IF($U192="","",IF(INDEX('Per Invoice'!F$2:F$401,$U192)="","",INDEX('Per Invoice'!F$2:F$401,$U192)))</f>
        <v/>
      </c>
      <c r="G192">
        <f>IF($U192="","",IF(INDEX('Per Invoice'!G$2:G$401,$U192)="","",INDEX('Per Invoice'!G$2:G$401,$U192)))</f>
        <v/>
      </c>
      <c r="H192" s="7">
        <f>IF($U192="","",IF(INDEX('Per Invoice'!H$2:H$401,$U192)="","",INDEX('Per Invoice'!H$2:H$401,$U192)))</f>
        <v/>
      </c>
      <c r="I192" s="14">
        <f>IF($U192="","",IF(INDEX('Per Invoice'!I$2:I$401,$U192)="","",INDEX('Per Invoice'!I$2:I$401,$U192)))</f>
        <v/>
      </c>
      <c r="J192">
        <f>IF($U192="","",IF(INDEX('Per Invoice'!J$2:J$401,$U192)="","",INDEX('Per Invoice'!J$2:J$401,$U192)))</f>
        <v/>
      </c>
      <c r="K192">
        <f>IF($U192="","",IF(INDEX('Per Invoice'!K$2:K$401,$U192)="","",INDEX('Per Invoice'!K$2:K$401,$U192)))</f>
        <v/>
      </c>
      <c r="L192" s="7">
        <f>IF($U192="","",IF(INDEX('Per Invoice'!L$2:L$401,$U192)="","",INDEX('Per Invoice'!L$2:L$401,$U192)))</f>
        <v/>
      </c>
      <c r="M192" s="7">
        <f>IF($U192="","",IF(INDEX('Per Invoice'!M$2:M$401,$U192)="","",INDEX('Per Invoice'!M$2:M$401,$U192)))</f>
        <v/>
      </c>
      <c r="N192">
        <f>IF($U192="","",IF(INDEX('Per Invoice'!N$2:N$401,$U192)="","",INDEX('Per Invoice'!N$2:N$401,$U192)))</f>
        <v/>
      </c>
      <c r="O192" s="7">
        <f>IF($U192="","",IF(INDEX('Per Invoice'!O$2:O$401,$U192)="","",INDEX('Per Invoice'!O$2:O$401,$U192)))</f>
        <v/>
      </c>
      <c r="P192" s="7">
        <f>IF($U192="","",IF(INDEX('Per Invoice'!P$2:P$401,$U192)="","",INDEX('Per Invoice'!P$2:P$401,$U192)))</f>
        <v/>
      </c>
      <c r="Q192" s="7">
        <f>IF($U192="","",IF(INDEX('Per Invoice'!Q$2:Q$401,$U192)="","",INDEX('Per Invoice'!Q$2:Q$401,$U192)))</f>
        <v/>
      </c>
      <c r="R192" s="7">
        <f>IF($U192="","",IF(INDEX('Per Invoice'!R$2:R$401,$U192)="","",INDEX('Per Invoice'!R$2:R$401,$U192)))</f>
        <v/>
      </c>
      <c r="S192" s="7">
        <f>IF($U192="","",IF(INDEX('Per Invoice'!S$2:S$401,$U192)="","",INDEX('Per Invoice'!S$2:S$401,$U192)))</f>
        <v/>
      </c>
      <c r="T192" s="7">
        <f>IF($U192="","",IF(INDEX('Per Invoice'!T$2:T$401,$U192)="","",INDEX('Per Invoice'!T$2:T$401,$U192)))</f>
        <v/>
      </c>
      <c r="U192" s="16">
        <f>IFERROR(MATCH(Settings!$C$26&amp;"|"&amp;ROWS($U$2:$U192),'Per Invoice'!$V$2:$V$401,0),"")</f>
        <v/>
      </c>
    </row>
    <row r="193">
      <c r="A193">
        <f>IF($U193="","",IF(INDEX('Per Invoice'!A$2:A$401,$U193)="","",INDEX('Per Invoice'!A$2:A$401,$U193)))</f>
        <v/>
      </c>
      <c r="B193">
        <f>IF($U193="","",IF(INDEX('Per Invoice'!B$2:B$401,$U193)="","",INDEX('Per Invoice'!B$2:B$401,$U193)))</f>
        <v/>
      </c>
      <c r="C193">
        <f>IF($U193="","",IF(INDEX('Per Invoice'!C$2:C$401,$U193)="","",INDEX('Per Invoice'!C$2:C$401,$U193)))</f>
        <v/>
      </c>
      <c r="D193">
        <f>IF($U193="","",IF(INDEX('Per Invoice'!D$2:D$401,$U193)="","",INDEX('Per Invoice'!D$2:D$401,$U193)))</f>
        <v/>
      </c>
      <c r="E193">
        <f>IF($U193="","",IF(INDEX('Per Invoice'!E$2:E$401,$U193)="","",INDEX('Per Invoice'!E$2:E$401,$U193)))</f>
        <v/>
      </c>
      <c r="F193">
        <f>IF($U193="","",IF(INDEX('Per Invoice'!F$2:F$401,$U193)="","",INDEX('Per Invoice'!F$2:F$401,$U193)))</f>
        <v/>
      </c>
      <c r="G193">
        <f>IF($U193="","",IF(INDEX('Per Invoice'!G$2:G$401,$U193)="","",INDEX('Per Invoice'!G$2:G$401,$U193)))</f>
        <v/>
      </c>
      <c r="H193" s="7">
        <f>IF($U193="","",IF(INDEX('Per Invoice'!H$2:H$401,$U193)="","",INDEX('Per Invoice'!H$2:H$401,$U193)))</f>
        <v/>
      </c>
      <c r="I193" s="14">
        <f>IF($U193="","",IF(INDEX('Per Invoice'!I$2:I$401,$U193)="","",INDEX('Per Invoice'!I$2:I$401,$U193)))</f>
        <v/>
      </c>
      <c r="J193">
        <f>IF($U193="","",IF(INDEX('Per Invoice'!J$2:J$401,$U193)="","",INDEX('Per Invoice'!J$2:J$401,$U193)))</f>
        <v/>
      </c>
      <c r="K193">
        <f>IF($U193="","",IF(INDEX('Per Invoice'!K$2:K$401,$U193)="","",INDEX('Per Invoice'!K$2:K$401,$U193)))</f>
        <v/>
      </c>
      <c r="L193" s="7">
        <f>IF($U193="","",IF(INDEX('Per Invoice'!L$2:L$401,$U193)="","",INDEX('Per Invoice'!L$2:L$401,$U193)))</f>
        <v/>
      </c>
      <c r="M193" s="7">
        <f>IF($U193="","",IF(INDEX('Per Invoice'!M$2:M$401,$U193)="","",INDEX('Per Invoice'!M$2:M$401,$U193)))</f>
        <v/>
      </c>
      <c r="N193">
        <f>IF($U193="","",IF(INDEX('Per Invoice'!N$2:N$401,$U193)="","",INDEX('Per Invoice'!N$2:N$401,$U193)))</f>
        <v/>
      </c>
      <c r="O193" s="7">
        <f>IF($U193="","",IF(INDEX('Per Invoice'!O$2:O$401,$U193)="","",INDEX('Per Invoice'!O$2:O$401,$U193)))</f>
        <v/>
      </c>
      <c r="P193" s="7">
        <f>IF($U193="","",IF(INDEX('Per Invoice'!P$2:P$401,$U193)="","",INDEX('Per Invoice'!P$2:P$401,$U193)))</f>
        <v/>
      </c>
      <c r="Q193" s="7">
        <f>IF($U193="","",IF(INDEX('Per Invoice'!Q$2:Q$401,$U193)="","",INDEX('Per Invoice'!Q$2:Q$401,$U193)))</f>
        <v/>
      </c>
      <c r="R193" s="7">
        <f>IF($U193="","",IF(INDEX('Per Invoice'!R$2:R$401,$U193)="","",INDEX('Per Invoice'!R$2:R$401,$U193)))</f>
        <v/>
      </c>
      <c r="S193" s="7">
        <f>IF($U193="","",IF(INDEX('Per Invoice'!S$2:S$401,$U193)="","",INDEX('Per Invoice'!S$2:S$401,$U193)))</f>
        <v/>
      </c>
      <c r="T193" s="7">
        <f>IF($U193="","",IF(INDEX('Per Invoice'!T$2:T$401,$U193)="","",INDEX('Per Invoice'!T$2:T$401,$U193)))</f>
        <v/>
      </c>
      <c r="U193" s="16">
        <f>IFERROR(MATCH(Settings!$C$26&amp;"|"&amp;ROWS($U$2:$U193),'Per Invoice'!$V$2:$V$401,0),"")</f>
        <v/>
      </c>
    </row>
    <row r="194">
      <c r="A194">
        <f>IF($U194="","",IF(INDEX('Per Invoice'!A$2:A$401,$U194)="","",INDEX('Per Invoice'!A$2:A$401,$U194)))</f>
        <v/>
      </c>
      <c r="B194">
        <f>IF($U194="","",IF(INDEX('Per Invoice'!B$2:B$401,$U194)="","",INDEX('Per Invoice'!B$2:B$401,$U194)))</f>
        <v/>
      </c>
      <c r="C194">
        <f>IF($U194="","",IF(INDEX('Per Invoice'!C$2:C$401,$U194)="","",INDEX('Per Invoice'!C$2:C$401,$U194)))</f>
        <v/>
      </c>
      <c r="D194">
        <f>IF($U194="","",IF(INDEX('Per Invoice'!D$2:D$401,$U194)="","",INDEX('Per Invoice'!D$2:D$401,$U194)))</f>
        <v/>
      </c>
      <c r="E194">
        <f>IF($U194="","",IF(INDEX('Per Invoice'!E$2:E$401,$U194)="","",INDEX('Per Invoice'!E$2:E$401,$U194)))</f>
        <v/>
      </c>
      <c r="F194">
        <f>IF($U194="","",IF(INDEX('Per Invoice'!F$2:F$401,$U194)="","",INDEX('Per Invoice'!F$2:F$401,$U194)))</f>
        <v/>
      </c>
      <c r="G194">
        <f>IF($U194="","",IF(INDEX('Per Invoice'!G$2:G$401,$U194)="","",INDEX('Per Invoice'!G$2:G$401,$U194)))</f>
        <v/>
      </c>
      <c r="H194" s="7">
        <f>IF($U194="","",IF(INDEX('Per Invoice'!H$2:H$401,$U194)="","",INDEX('Per Invoice'!H$2:H$401,$U194)))</f>
        <v/>
      </c>
      <c r="I194" s="14">
        <f>IF($U194="","",IF(INDEX('Per Invoice'!I$2:I$401,$U194)="","",INDEX('Per Invoice'!I$2:I$401,$U194)))</f>
        <v/>
      </c>
      <c r="J194">
        <f>IF($U194="","",IF(INDEX('Per Invoice'!J$2:J$401,$U194)="","",INDEX('Per Invoice'!J$2:J$401,$U194)))</f>
        <v/>
      </c>
      <c r="K194">
        <f>IF($U194="","",IF(INDEX('Per Invoice'!K$2:K$401,$U194)="","",INDEX('Per Invoice'!K$2:K$401,$U194)))</f>
        <v/>
      </c>
      <c r="L194" s="7">
        <f>IF($U194="","",IF(INDEX('Per Invoice'!L$2:L$401,$U194)="","",INDEX('Per Invoice'!L$2:L$401,$U194)))</f>
        <v/>
      </c>
      <c r="M194" s="7">
        <f>IF($U194="","",IF(INDEX('Per Invoice'!M$2:M$401,$U194)="","",INDEX('Per Invoice'!M$2:M$401,$U194)))</f>
        <v/>
      </c>
      <c r="N194">
        <f>IF($U194="","",IF(INDEX('Per Invoice'!N$2:N$401,$U194)="","",INDEX('Per Invoice'!N$2:N$401,$U194)))</f>
        <v/>
      </c>
      <c r="O194" s="7">
        <f>IF($U194="","",IF(INDEX('Per Invoice'!O$2:O$401,$U194)="","",INDEX('Per Invoice'!O$2:O$401,$U194)))</f>
        <v/>
      </c>
      <c r="P194" s="7">
        <f>IF($U194="","",IF(INDEX('Per Invoice'!P$2:P$401,$U194)="","",INDEX('Per Invoice'!P$2:P$401,$U194)))</f>
        <v/>
      </c>
      <c r="Q194" s="7">
        <f>IF($U194="","",IF(INDEX('Per Invoice'!Q$2:Q$401,$U194)="","",INDEX('Per Invoice'!Q$2:Q$401,$U194)))</f>
        <v/>
      </c>
      <c r="R194" s="7">
        <f>IF($U194="","",IF(INDEX('Per Invoice'!R$2:R$401,$U194)="","",INDEX('Per Invoice'!R$2:R$401,$U194)))</f>
        <v/>
      </c>
      <c r="S194" s="7">
        <f>IF($U194="","",IF(INDEX('Per Invoice'!S$2:S$401,$U194)="","",INDEX('Per Invoice'!S$2:S$401,$U194)))</f>
        <v/>
      </c>
      <c r="T194" s="7">
        <f>IF($U194="","",IF(INDEX('Per Invoice'!T$2:T$401,$U194)="","",INDEX('Per Invoice'!T$2:T$401,$U194)))</f>
        <v/>
      </c>
      <c r="U194" s="16">
        <f>IFERROR(MATCH(Settings!$C$26&amp;"|"&amp;ROWS($U$2:$U194),'Per Invoice'!$V$2:$V$401,0),"")</f>
        <v/>
      </c>
    </row>
    <row r="195">
      <c r="A195">
        <f>IF($U195="","",IF(INDEX('Per Invoice'!A$2:A$401,$U195)="","",INDEX('Per Invoice'!A$2:A$401,$U195)))</f>
        <v/>
      </c>
      <c r="B195">
        <f>IF($U195="","",IF(INDEX('Per Invoice'!B$2:B$401,$U195)="","",INDEX('Per Invoice'!B$2:B$401,$U195)))</f>
        <v/>
      </c>
      <c r="C195">
        <f>IF($U195="","",IF(INDEX('Per Invoice'!C$2:C$401,$U195)="","",INDEX('Per Invoice'!C$2:C$401,$U195)))</f>
        <v/>
      </c>
      <c r="D195">
        <f>IF($U195="","",IF(INDEX('Per Invoice'!D$2:D$401,$U195)="","",INDEX('Per Invoice'!D$2:D$401,$U195)))</f>
        <v/>
      </c>
      <c r="E195">
        <f>IF($U195="","",IF(INDEX('Per Invoice'!E$2:E$401,$U195)="","",INDEX('Per Invoice'!E$2:E$401,$U195)))</f>
        <v/>
      </c>
      <c r="F195">
        <f>IF($U195="","",IF(INDEX('Per Invoice'!F$2:F$401,$U195)="","",INDEX('Per Invoice'!F$2:F$401,$U195)))</f>
        <v/>
      </c>
      <c r="G195">
        <f>IF($U195="","",IF(INDEX('Per Invoice'!G$2:G$401,$U195)="","",INDEX('Per Invoice'!G$2:G$401,$U195)))</f>
        <v/>
      </c>
      <c r="H195" s="7">
        <f>IF($U195="","",IF(INDEX('Per Invoice'!H$2:H$401,$U195)="","",INDEX('Per Invoice'!H$2:H$401,$U195)))</f>
        <v/>
      </c>
      <c r="I195" s="14">
        <f>IF($U195="","",IF(INDEX('Per Invoice'!I$2:I$401,$U195)="","",INDEX('Per Invoice'!I$2:I$401,$U195)))</f>
        <v/>
      </c>
      <c r="J195">
        <f>IF($U195="","",IF(INDEX('Per Invoice'!J$2:J$401,$U195)="","",INDEX('Per Invoice'!J$2:J$401,$U195)))</f>
        <v/>
      </c>
      <c r="K195">
        <f>IF($U195="","",IF(INDEX('Per Invoice'!K$2:K$401,$U195)="","",INDEX('Per Invoice'!K$2:K$401,$U195)))</f>
        <v/>
      </c>
      <c r="L195" s="7">
        <f>IF($U195="","",IF(INDEX('Per Invoice'!L$2:L$401,$U195)="","",INDEX('Per Invoice'!L$2:L$401,$U195)))</f>
        <v/>
      </c>
      <c r="M195" s="7">
        <f>IF($U195="","",IF(INDEX('Per Invoice'!M$2:M$401,$U195)="","",INDEX('Per Invoice'!M$2:M$401,$U195)))</f>
        <v/>
      </c>
      <c r="N195">
        <f>IF($U195="","",IF(INDEX('Per Invoice'!N$2:N$401,$U195)="","",INDEX('Per Invoice'!N$2:N$401,$U195)))</f>
        <v/>
      </c>
      <c r="O195" s="7">
        <f>IF($U195="","",IF(INDEX('Per Invoice'!O$2:O$401,$U195)="","",INDEX('Per Invoice'!O$2:O$401,$U195)))</f>
        <v/>
      </c>
      <c r="P195" s="7">
        <f>IF($U195="","",IF(INDEX('Per Invoice'!P$2:P$401,$U195)="","",INDEX('Per Invoice'!P$2:P$401,$U195)))</f>
        <v/>
      </c>
      <c r="Q195" s="7">
        <f>IF($U195="","",IF(INDEX('Per Invoice'!Q$2:Q$401,$U195)="","",INDEX('Per Invoice'!Q$2:Q$401,$U195)))</f>
        <v/>
      </c>
      <c r="R195" s="7">
        <f>IF($U195="","",IF(INDEX('Per Invoice'!R$2:R$401,$U195)="","",INDEX('Per Invoice'!R$2:R$401,$U195)))</f>
        <v/>
      </c>
      <c r="S195" s="7">
        <f>IF($U195="","",IF(INDEX('Per Invoice'!S$2:S$401,$U195)="","",INDEX('Per Invoice'!S$2:S$401,$U195)))</f>
        <v/>
      </c>
      <c r="T195" s="7">
        <f>IF($U195="","",IF(INDEX('Per Invoice'!T$2:T$401,$U195)="","",INDEX('Per Invoice'!T$2:T$401,$U195)))</f>
        <v/>
      </c>
      <c r="U195" s="16">
        <f>IFERROR(MATCH(Settings!$C$26&amp;"|"&amp;ROWS($U$2:$U195),'Per Invoice'!$V$2:$V$401,0),"")</f>
        <v/>
      </c>
    </row>
    <row r="196">
      <c r="A196">
        <f>IF($U196="","",IF(INDEX('Per Invoice'!A$2:A$401,$U196)="","",INDEX('Per Invoice'!A$2:A$401,$U196)))</f>
        <v/>
      </c>
      <c r="B196">
        <f>IF($U196="","",IF(INDEX('Per Invoice'!B$2:B$401,$U196)="","",INDEX('Per Invoice'!B$2:B$401,$U196)))</f>
        <v/>
      </c>
      <c r="C196">
        <f>IF($U196="","",IF(INDEX('Per Invoice'!C$2:C$401,$U196)="","",INDEX('Per Invoice'!C$2:C$401,$U196)))</f>
        <v/>
      </c>
      <c r="D196">
        <f>IF($U196="","",IF(INDEX('Per Invoice'!D$2:D$401,$U196)="","",INDEX('Per Invoice'!D$2:D$401,$U196)))</f>
        <v/>
      </c>
      <c r="E196">
        <f>IF($U196="","",IF(INDEX('Per Invoice'!E$2:E$401,$U196)="","",INDEX('Per Invoice'!E$2:E$401,$U196)))</f>
        <v/>
      </c>
      <c r="F196">
        <f>IF($U196="","",IF(INDEX('Per Invoice'!F$2:F$401,$U196)="","",INDEX('Per Invoice'!F$2:F$401,$U196)))</f>
        <v/>
      </c>
      <c r="G196">
        <f>IF($U196="","",IF(INDEX('Per Invoice'!G$2:G$401,$U196)="","",INDEX('Per Invoice'!G$2:G$401,$U196)))</f>
        <v/>
      </c>
      <c r="H196" s="7">
        <f>IF($U196="","",IF(INDEX('Per Invoice'!H$2:H$401,$U196)="","",INDEX('Per Invoice'!H$2:H$401,$U196)))</f>
        <v/>
      </c>
      <c r="I196" s="14">
        <f>IF($U196="","",IF(INDEX('Per Invoice'!I$2:I$401,$U196)="","",INDEX('Per Invoice'!I$2:I$401,$U196)))</f>
        <v/>
      </c>
      <c r="J196">
        <f>IF($U196="","",IF(INDEX('Per Invoice'!J$2:J$401,$U196)="","",INDEX('Per Invoice'!J$2:J$401,$U196)))</f>
        <v/>
      </c>
      <c r="K196">
        <f>IF($U196="","",IF(INDEX('Per Invoice'!K$2:K$401,$U196)="","",INDEX('Per Invoice'!K$2:K$401,$U196)))</f>
        <v/>
      </c>
      <c r="L196" s="7">
        <f>IF($U196="","",IF(INDEX('Per Invoice'!L$2:L$401,$U196)="","",INDEX('Per Invoice'!L$2:L$401,$U196)))</f>
        <v/>
      </c>
      <c r="M196" s="7">
        <f>IF($U196="","",IF(INDEX('Per Invoice'!M$2:M$401,$U196)="","",INDEX('Per Invoice'!M$2:M$401,$U196)))</f>
        <v/>
      </c>
      <c r="N196">
        <f>IF($U196="","",IF(INDEX('Per Invoice'!N$2:N$401,$U196)="","",INDEX('Per Invoice'!N$2:N$401,$U196)))</f>
        <v/>
      </c>
      <c r="O196" s="7">
        <f>IF($U196="","",IF(INDEX('Per Invoice'!O$2:O$401,$U196)="","",INDEX('Per Invoice'!O$2:O$401,$U196)))</f>
        <v/>
      </c>
      <c r="P196" s="7">
        <f>IF($U196="","",IF(INDEX('Per Invoice'!P$2:P$401,$U196)="","",INDEX('Per Invoice'!P$2:P$401,$U196)))</f>
        <v/>
      </c>
      <c r="Q196" s="7">
        <f>IF($U196="","",IF(INDEX('Per Invoice'!Q$2:Q$401,$U196)="","",INDEX('Per Invoice'!Q$2:Q$401,$U196)))</f>
        <v/>
      </c>
      <c r="R196" s="7">
        <f>IF($U196="","",IF(INDEX('Per Invoice'!R$2:R$401,$U196)="","",INDEX('Per Invoice'!R$2:R$401,$U196)))</f>
        <v/>
      </c>
      <c r="S196" s="7">
        <f>IF($U196="","",IF(INDEX('Per Invoice'!S$2:S$401,$U196)="","",INDEX('Per Invoice'!S$2:S$401,$U196)))</f>
        <v/>
      </c>
      <c r="T196" s="7">
        <f>IF($U196="","",IF(INDEX('Per Invoice'!T$2:T$401,$U196)="","",INDEX('Per Invoice'!T$2:T$401,$U196)))</f>
        <v/>
      </c>
      <c r="U196" s="16">
        <f>IFERROR(MATCH(Settings!$C$26&amp;"|"&amp;ROWS($U$2:$U196),'Per Invoice'!$V$2:$V$401,0),"")</f>
        <v/>
      </c>
    </row>
    <row r="197">
      <c r="A197">
        <f>IF($U197="","",IF(INDEX('Per Invoice'!A$2:A$401,$U197)="","",INDEX('Per Invoice'!A$2:A$401,$U197)))</f>
        <v/>
      </c>
      <c r="B197">
        <f>IF($U197="","",IF(INDEX('Per Invoice'!B$2:B$401,$U197)="","",INDEX('Per Invoice'!B$2:B$401,$U197)))</f>
        <v/>
      </c>
      <c r="C197">
        <f>IF($U197="","",IF(INDEX('Per Invoice'!C$2:C$401,$U197)="","",INDEX('Per Invoice'!C$2:C$401,$U197)))</f>
        <v/>
      </c>
      <c r="D197">
        <f>IF($U197="","",IF(INDEX('Per Invoice'!D$2:D$401,$U197)="","",INDEX('Per Invoice'!D$2:D$401,$U197)))</f>
        <v/>
      </c>
      <c r="E197">
        <f>IF($U197="","",IF(INDEX('Per Invoice'!E$2:E$401,$U197)="","",INDEX('Per Invoice'!E$2:E$401,$U197)))</f>
        <v/>
      </c>
      <c r="F197">
        <f>IF($U197="","",IF(INDEX('Per Invoice'!F$2:F$401,$U197)="","",INDEX('Per Invoice'!F$2:F$401,$U197)))</f>
        <v/>
      </c>
      <c r="G197">
        <f>IF($U197="","",IF(INDEX('Per Invoice'!G$2:G$401,$U197)="","",INDEX('Per Invoice'!G$2:G$401,$U197)))</f>
        <v/>
      </c>
      <c r="H197" s="7">
        <f>IF($U197="","",IF(INDEX('Per Invoice'!H$2:H$401,$U197)="","",INDEX('Per Invoice'!H$2:H$401,$U197)))</f>
        <v/>
      </c>
      <c r="I197" s="14">
        <f>IF($U197="","",IF(INDEX('Per Invoice'!I$2:I$401,$U197)="","",INDEX('Per Invoice'!I$2:I$401,$U197)))</f>
        <v/>
      </c>
      <c r="J197">
        <f>IF($U197="","",IF(INDEX('Per Invoice'!J$2:J$401,$U197)="","",INDEX('Per Invoice'!J$2:J$401,$U197)))</f>
        <v/>
      </c>
      <c r="K197">
        <f>IF($U197="","",IF(INDEX('Per Invoice'!K$2:K$401,$U197)="","",INDEX('Per Invoice'!K$2:K$401,$U197)))</f>
        <v/>
      </c>
      <c r="L197" s="7">
        <f>IF($U197="","",IF(INDEX('Per Invoice'!L$2:L$401,$U197)="","",INDEX('Per Invoice'!L$2:L$401,$U197)))</f>
        <v/>
      </c>
      <c r="M197" s="7">
        <f>IF($U197="","",IF(INDEX('Per Invoice'!M$2:M$401,$U197)="","",INDEX('Per Invoice'!M$2:M$401,$U197)))</f>
        <v/>
      </c>
      <c r="N197">
        <f>IF($U197="","",IF(INDEX('Per Invoice'!N$2:N$401,$U197)="","",INDEX('Per Invoice'!N$2:N$401,$U197)))</f>
        <v/>
      </c>
      <c r="O197" s="7">
        <f>IF($U197="","",IF(INDEX('Per Invoice'!O$2:O$401,$U197)="","",INDEX('Per Invoice'!O$2:O$401,$U197)))</f>
        <v/>
      </c>
      <c r="P197" s="7">
        <f>IF($U197="","",IF(INDEX('Per Invoice'!P$2:P$401,$U197)="","",INDEX('Per Invoice'!P$2:P$401,$U197)))</f>
        <v/>
      </c>
      <c r="Q197" s="7">
        <f>IF($U197="","",IF(INDEX('Per Invoice'!Q$2:Q$401,$U197)="","",INDEX('Per Invoice'!Q$2:Q$401,$U197)))</f>
        <v/>
      </c>
      <c r="R197" s="7">
        <f>IF($U197="","",IF(INDEX('Per Invoice'!R$2:R$401,$U197)="","",INDEX('Per Invoice'!R$2:R$401,$U197)))</f>
        <v/>
      </c>
      <c r="S197" s="7">
        <f>IF($U197="","",IF(INDEX('Per Invoice'!S$2:S$401,$U197)="","",INDEX('Per Invoice'!S$2:S$401,$U197)))</f>
        <v/>
      </c>
      <c r="T197" s="7">
        <f>IF($U197="","",IF(INDEX('Per Invoice'!T$2:T$401,$U197)="","",INDEX('Per Invoice'!T$2:T$401,$U197)))</f>
        <v/>
      </c>
      <c r="U197" s="16">
        <f>IFERROR(MATCH(Settings!$C$26&amp;"|"&amp;ROWS($U$2:$U197),'Per Invoice'!$V$2:$V$401,0),"")</f>
        <v/>
      </c>
    </row>
    <row r="198">
      <c r="A198">
        <f>IF($U198="","",IF(INDEX('Per Invoice'!A$2:A$401,$U198)="","",INDEX('Per Invoice'!A$2:A$401,$U198)))</f>
        <v/>
      </c>
      <c r="B198">
        <f>IF($U198="","",IF(INDEX('Per Invoice'!B$2:B$401,$U198)="","",INDEX('Per Invoice'!B$2:B$401,$U198)))</f>
        <v/>
      </c>
      <c r="C198">
        <f>IF($U198="","",IF(INDEX('Per Invoice'!C$2:C$401,$U198)="","",INDEX('Per Invoice'!C$2:C$401,$U198)))</f>
        <v/>
      </c>
      <c r="D198">
        <f>IF($U198="","",IF(INDEX('Per Invoice'!D$2:D$401,$U198)="","",INDEX('Per Invoice'!D$2:D$401,$U198)))</f>
        <v/>
      </c>
      <c r="E198">
        <f>IF($U198="","",IF(INDEX('Per Invoice'!E$2:E$401,$U198)="","",INDEX('Per Invoice'!E$2:E$401,$U198)))</f>
        <v/>
      </c>
      <c r="F198">
        <f>IF($U198="","",IF(INDEX('Per Invoice'!F$2:F$401,$U198)="","",INDEX('Per Invoice'!F$2:F$401,$U198)))</f>
        <v/>
      </c>
      <c r="G198">
        <f>IF($U198="","",IF(INDEX('Per Invoice'!G$2:G$401,$U198)="","",INDEX('Per Invoice'!G$2:G$401,$U198)))</f>
        <v/>
      </c>
      <c r="H198" s="7">
        <f>IF($U198="","",IF(INDEX('Per Invoice'!H$2:H$401,$U198)="","",INDEX('Per Invoice'!H$2:H$401,$U198)))</f>
        <v/>
      </c>
      <c r="I198" s="14">
        <f>IF($U198="","",IF(INDEX('Per Invoice'!I$2:I$401,$U198)="","",INDEX('Per Invoice'!I$2:I$401,$U198)))</f>
        <v/>
      </c>
      <c r="J198">
        <f>IF($U198="","",IF(INDEX('Per Invoice'!J$2:J$401,$U198)="","",INDEX('Per Invoice'!J$2:J$401,$U198)))</f>
        <v/>
      </c>
      <c r="K198">
        <f>IF($U198="","",IF(INDEX('Per Invoice'!K$2:K$401,$U198)="","",INDEX('Per Invoice'!K$2:K$401,$U198)))</f>
        <v/>
      </c>
      <c r="L198" s="7">
        <f>IF($U198="","",IF(INDEX('Per Invoice'!L$2:L$401,$U198)="","",INDEX('Per Invoice'!L$2:L$401,$U198)))</f>
        <v/>
      </c>
      <c r="M198" s="7">
        <f>IF($U198="","",IF(INDEX('Per Invoice'!M$2:M$401,$U198)="","",INDEX('Per Invoice'!M$2:M$401,$U198)))</f>
        <v/>
      </c>
      <c r="N198">
        <f>IF($U198="","",IF(INDEX('Per Invoice'!N$2:N$401,$U198)="","",INDEX('Per Invoice'!N$2:N$401,$U198)))</f>
        <v/>
      </c>
      <c r="O198" s="7">
        <f>IF($U198="","",IF(INDEX('Per Invoice'!O$2:O$401,$U198)="","",INDEX('Per Invoice'!O$2:O$401,$U198)))</f>
        <v/>
      </c>
      <c r="P198" s="7">
        <f>IF($U198="","",IF(INDEX('Per Invoice'!P$2:P$401,$U198)="","",INDEX('Per Invoice'!P$2:P$401,$U198)))</f>
        <v/>
      </c>
      <c r="Q198" s="7">
        <f>IF($U198="","",IF(INDEX('Per Invoice'!Q$2:Q$401,$U198)="","",INDEX('Per Invoice'!Q$2:Q$401,$U198)))</f>
        <v/>
      </c>
      <c r="R198" s="7">
        <f>IF($U198="","",IF(INDEX('Per Invoice'!R$2:R$401,$U198)="","",INDEX('Per Invoice'!R$2:R$401,$U198)))</f>
        <v/>
      </c>
      <c r="S198" s="7">
        <f>IF($U198="","",IF(INDEX('Per Invoice'!S$2:S$401,$U198)="","",INDEX('Per Invoice'!S$2:S$401,$U198)))</f>
        <v/>
      </c>
      <c r="T198" s="7">
        <f>IF($U198="","",IF(INDEX('Per Invoice'!T$2:T$401,$U198)="","",INDEX('Per Invoice'!T$2:T$401,$U198)))</f>
        <v/>
      </c>
      <c r="U198" s="16">
        <f>IFERROR(MATCH(Settings!$C$26&amp;"|"&amp;ROWS($U$2:$U198),'Per Invoice'!$V$2:$V$401,0),"")</f>
        <v/>
      </c>
    </row>
    <row r="199">
      <c r="A199">
        <f>IF($U199="","",IF(INDEX('Per Invoice'!A$2:A$401,$U199)="","",INDEX('Per Invoice'!A$2:A$401,$U199)))</f>
        <v/>
      </c>
      <c r="B199">
        <f>IF($U199="","",IF(INDEX('Per Invoice'!B$2:B$401,$U199)="","",INDEX('Per Invoice'!B$2:B$401,$U199)))</f>
        <v/>
      </c>
      <c r="C199">
        <f>IF($U199="","",IF(INDEX('Per Invoice'!C$2:C$401,$U199)="","",INDEX('Per Invoice'!C$2:C$401,$U199)))</f>
        <v/>
      </c>
      <c r="D199">
        <f>IF($U199="","",IF(INDEX('Per Invoice'!D$2:D$401,$U199)="","",INDEX('Per Invoice'!D$2:D$401,$U199)))</f>
        <v/>
      </c>
      <c r="E199">
        <f>IF($U199="","",IF(INDEX('Per Invoice'!E$2:E$401,$U199)="","",INDEX('Per Invoice'!E$2:E$401,$U199)))</f>
        <v/>
      </c>
      <c r="F199">
        <f>IF($U199="","",IF(INDEX('Per Invoice'!F$2:F$401,$U199)="","",INDEX('Per Invoice'!F$2:F$401,$U199)))</f>
        <v/>
      </c>
      <c r="G199">
        <f>IF($U199="","",IF(INDEX('Per Invoice'!G$2:G$401,$U199)="","",INDEX('Per Invoice'!G$2:G$401,$U199)))</f>
        <v/>
      </c>
      <c r="H199" s="7">
        <f>IF($U199="","",IF(INDEX('Per Invoice'!H$2:H$401,$U199)="","",INDEX('Per Invoice'!H$2:H$401,$U199)))</f>
        <v/>
      </c>
      <c r="I199" s="14">
        <f>IF($U199="","",IF(INDEX('Per Invoice'!I$2:I$401,$U199)="","",INDEX('Per Invoice'!I$2:I$401,$U199)))</f>
        <v/>
      </c>
      <c r="J199">
        <f>IF($U199="","",IF(INDEX('Per Invoice'!J$2:J$401,$U199)="","",INDEX('Per Invoice'!J$2:J$401,$U199)))</f>
        <v/>
      </c>
      <c r="K199">
        <f>IF($U199="","",IF(INDEX('Per Invoice'!K$2:K$401,$U199)="","",INDEX('Per Invoice'!K$2:K$401,$U199)))</f>
        <v/>
      </c>
      <c r="L199" s="7">
        <f>IF($U199="","",IF(INDEX('Per Invoice'!L$2:L$401,$U199)="","",INDEX('Per Invoice'!L$2:L$401,$U199)))</f>
        <v/>
      </c>
      <c r="M199" s="7">
        <f>IF($U199="","",IF(INDEX('Per Invoice'!M$2:M$401,$U199)="","",INDEX('Per Invoice'!M$2:M$401,$U199)))</f>
        <v/>
      </c>
      <c r="N199">
        <f>IF($U199="","",IF(INDEX('Per Invoice'!N$2:N$401,$U199)="","",INDEX('Per Invoice'!N$2:N$401,$U199)))</f>
        <v/>
      </c>
      <c r="O199" s="7">
        <f>IF($U199="","",IF(INDEX('Per Invoice'!O$2:O$401,$U199)="","",INDEX('Per Invoice'!O$2:O$401,$U199)))</f>
        <v/>
      </c>
      <c r="P199" s="7">
        <f>IF($U199="","",IF(INDEX('Per Invoice'!P$2:P$401,$U199)="","",INDEX('Per Invoice'!P$2:P$401,$U199)))</f>
        <v/>
      </c>
      <c r="Q199" s="7">
        <f>IF($U199="","",IF(INDEX('Per Invoice'!Q$2:Q$401,$U199)="","",INDEX('Per Invoice'!Q$2:Q$401,$U199)))</f>
        <v/>
      </c>
      <c r="R199" s="7">
        <f>IF($U199="","",IF(INDEX('Per Invoice'!R$2:R$401,$U199)="","",INDEX('Per Invoice'!R$2:R$401,$U199)))</f>
        <v/>
      </c>
      <c r="S199" s="7">
        <f>IF($U199="","",IF(INDEX('Per Invoice'!S$2:S$401,$U199)="","",INDEX('Per Invoice'!S$2:S$401,$U199)))</f>
        <v/>
      </c>
      <c r="T199" s="7">
        <f>IF($U199="","",IF(INDEX('Per Invoice'!T$2:T$401,$U199)="","",INDEX('Per Invoice'!T$2:T$401,$U199)))</f>
        <v/>
      </c>
      <c r="U199" s="16">
        <f>IFERROR(MATCH(Settings!$C$26&amp;"|"&amp;ROWS($U$2:$U199),'Per Invoice'!$V$2:$V$401,0),"")</f>
        <v/>
      </c>
    </row>
    <row r="200">
      <c r="A200">
        <f>IF($U200="","",IF(INDEX('Per Invoice'!A$2:A$401,$U200)="","",INDEX('Per Invoice'!A$2:A$401,$U200)))</f>
        <v/>
      </c>
      <c r="B200">
        <f>IF($U200="","",IF(INDEX('Per Invoice'!B$2:B$401,$U200)="","",INDEX('Per Invoice'!B$2:B$401,$U200)))</f>
        <v/>
      </c>
      <c r="C200">
        <f>IF($U200="","",IF(INDEX('Per Invoice'!C$2:C$401,$U200)="","",INDEX('Per Invoice'!C$2:C$401,$U200)))</f>
        <v/>
      </c>
      <c r="D200">
        <f>IF($U200="","",IF(INDEX('Per Invoice'!D$2:D$401,$U200)="","",INDEX('Per Invoice'!D$2:D$401,$U200)))</f>
        <v/>
      </c>
      <c r="E200">
        <f>IF($U200="","",IF(INDEX('Per Invoice'!E$2:E$401,$U200)="","",INDEX('Per Invoice'!E$2:E$401,$U200)))</f>
        <v/>
      </c>
      <c r="F200">
        <f>IF($U200="","",IF(INDEX('Per Invoice'!F$2:F$401,$U200)="","",INDEX('Per Invoice'!F$2:F$401,$U200)))</f>
        <v/>
      </c>
      <c r="G200">
        <f>IF($U200="","",IF(INDEX('Per Invoice'!G$2:G$401,$U200)="","",INDEX('Per Invoice'!G$2:G$401,$U200)))</f>
        <v/>
      </c>
      <c r="H200" s="7">
        <f>IF($U200="","",IF(INDEX('Per Invoice'!H$2:H$401,$U200)="","",INDEX('Per Invoice'!H$2:H$401,$U200)))</f>
        <v/>
      </c>
      <c r="I200" s="14">
        <f>IF($U200="","",IF(INDEX('Per Invoice'!I$2:I$401,$U200)="","",INDEX('Per Invoice'!I$2:I$401,$U200)))</f>
        <v/>
      </c>
      <c r="J200">
        <f>IF($U200="","",IF(INDEX('Per Invoice'!J$2:J$401,$U200)="","",INDEX('Per Invoice'!J$2:J$401,$U200)))</f>
        <v/>
      </c>
      <c r="K200">
        <f>IF($U200="","",IF(INDEX('Per Invoice'!K$2:K$401,$U200)="","",INDEX('Per Invoice'!K$2:K$401,$U200)))</f>
        <v/>
      </c>
      <c r="L200" s="7">
        <f>IF($U200="","",IF(INDEX('Per Invoice'!L$2:L$401,$U200)="","",INDEX('Per Invoice'!L$2:L$401,$U200)))</f>
        <v/>
      </c>
      <c r="M200" s="7">
        <f>IF($U200="","",IF(INDEX('Per Invoice'!M$2:M$401,$U200)="","",INDEX('Per Invoice'!M$2:M$401,$U200)))</f>
        <v/>
      </c>
      <c r="N200">
        <f>IF($U200="","",IF(INDEX('Per Invoice'!N$2:N$401,$U200)="","",INDEX('Per Invoice'!N$2:N$401,$U200)))</f>
        <v/>
      </c>
      <c r="O200" s="7">
        <f>IF($U200="","",IF(INDEX('Per Invoice'!O$2:O$401,$U200)="","",INDEX('Per Invoice'!O$2:O$401,$U200)))</f>
        <v/>
      </c>
      <c r="P200" s="7">
        <f>IF($U200="","",IF(INDEX('Per Invoice'!P$2:P$401,$U200)="","",INDEX('Per Invoice'!P$2:P$401,$U200)))</f>
        <v/>
      </c>
      <c r="Q200" s="7">
        <f>IF($U200="","",IF(INDEX('Per Invoice'!Q$2:Q$401,$U200)="","",INDEX('Per Invoice'!Q$2:Q$401,$U200)))</f>
        <v/>
      </c>
      <c r="R200" s="7">
        <f>IF($U200="","",IF(INDEX('Per Invoice'!R$2:R$401,$U200)="","",INDEX('Per Invoice'!R$2:R$401,$U200)))</f>
        <v/>
      </c>
      <c r="S200" s="7">
        <f>IF($U200="","",IF(INDEX('Per Invoice'!S$2:S$401,$U200)="","",INDEX('Per Invoice'!S$2:S$401,$U200)))</f>
        <v/>
      </c>
      <c r="T200" s="7">
        <f>IF($U200="","",IF(INDEX('Per Invoice'!T$2:T$401,$U200)="","",INDEX('Per Invoice'!T$2:T$401,$U200)))</f>
        <v/>
      </c>
      <c r="U200" s="16">
        <f>IFERROR(MATCH(Settings!$C$26&amp;"|"&amp;ROWS($U$2:$U200),'Per Invoice'!$V$2:$V$401,0),"")</f>
        <v/>
      </c>
    </row>
    <row r="201">
      <c r="A201">
        <f>IF($U201="","",IF(INDEX('Per Invoice'!A$2:A$401,$U201)="","",INDEX('Per Invoice'!A$2:A$401,$U201)))</f>
        <v/>
      </c>
      <c r="B201">
        <f>IF($U201="","",IF(INDEX('Per Invoice'!B$2:B$401,$U201)="","",INDEX('Per Invoice'!B$2:B$401,$U201)))</f>
        <v/>
      </c>
      <c r="C201">
        <f>IF($U201="","",IF(INDEX('Per Invoice'!C$2:C$401,$U201)="","",INDEX('Per Invoice'!C$2:C$401,$U201)))</f>
        <v/>
      </c>
      <c r="D201">
        <f>IF($U201="","",IF(INDEX('Per Invoice'!D$2:D$401,$U201)="","",INDEX('Per Invoice'!D$2:D$401,$U201)))</f>
        <v/>
      </c>
      <c r="E201">
        <f>IF($U201="","",IF(INDEX('Per Invoice'!E$2:E$401,$U201)="","",INDEX('Per Invoice'!E$2:E$401,$U201)))</f>
        <v/>
      </c>
      <c r="F201">
        <f>IF($U201="","",IF(INDEX('Per Invoice'!F$2:F$401,$U201)="","",INDEX('Per Invoice'!F$2:F$401,$U201)))</f>
        <v/>
      </c>
      <c r="G201">
        <f>IF($U201="","",IF(INDEX('Per Invoice'!G$2:G$401,$U201)="","",INDEX('Per Invoice'!G$2:G$401,$U201)))</f>
        <v/>
      </c>
      <c r="H201" s="7">
        <f>IF($U201="","",IF(INDEX('Per Invoice'!H$2:H$401,$U201)="","",INDEX('Per Invoice'!H$2:H$401,$U201)))</f>
        <v/>
      </c>
      <c r="I201" s="14">
        <f>IF($U201="","",IF(INDEX('Per Invoice'!I$2:I$401,$U201)="","",INDEX('Per Invoice'!I$2:I$401,$U201)))</f>
        <v/>
      </c>
      <c r="J201">
        <f>IF($U201="","",IF(INDEX('Per Invoice'!J$2:J$401,$U201)="","",INDEX('Per Invoice'!J$2:J$401,$U201)))</f>
        <v/>
      </c>
      <c r="K201">
        <f>IF($U201="","",IF(INDEX('Per Invoice'!K$2:K$401,$U201)="","",INDEX('Per Invoice'!K$2:K$401,$U201)))</f>
        <v/>
      </c>
      <c r="L201" s="7">
        <f>IF($U201="","",IF(INDEX('Per Invoice'!L$2:L$401,$U201)="","",INDEX('Per Invoice'!L$2:L$401,$U201)))</f>
        <v/>
      </c>
      <c r="M201" s="7">
        <f>IF($U201="","",IF(INDEX('Per Invoice'!M$2:M$401,$U201)="","",INDEX('Per Invoice'!M$2:M$401,$U201)))</f>
        <v/>
      </c>
      <c r="N201">
        <f>IF($U201="","",IF(INDEX('Per Invoice'!N$2:N$401,$U201)="","",INDEX('Per Invoice'!N$2:N$401,$U201)))</f>
        <v/>
      </c>
      <c r="O201" s="7">
        <f>IF($U201="","",IF(INDEX('Per Invoice'!O$2:O$401,$U201)="","",INDEX('Per Invoice'!O$2:O$401,$U201)))</f>
        <v/>
      </c>
      <c r="P201" s="7">
        <f>IF($U201="","",IF(INDEX('Per Invoice'!P$2:P$401,$U201)="","",INDEX('Per Invoice'!P$2:P$401,$U201)))</f>
        <v/>
      </c>
      <c r="Q201" s="7">
        <f>IF($U201="","",IF(INDEX('Per Invoice'!Q$2:Q$401,$U201)="","",INDEX('Per Invoice'!Q$2:Q$401,$U201)))</f>
        <v/>
      </c>
      <c r="R201" s="7">
        <f>IF($U201="","",IF(INDEX('Per Invoice'!R$2:R$401,$U201)="","",INDEX('Per Invoice'!R$2:R$401,$U201)))</f>
        <v/>
      </c>
      <c r="S201" s="7">
        <f>IF($U201="","",IF(INDEX('Per Invoice'!S$2:S$401,$U201)="","",INDEX('Per Invoice'!S$2:S$401,$U201)))</f>
        <v/>
      </c>
      <c r="T201" s="7">
        <f>IF($U201="","",IF(INDEX('Per Invoice'!T$2:T$401,$U201)="","",INDEX('Per Invoice'!T$2:T$401,$U201)))</f>
        <v/>
      </c>
      <c r="U201" s="16">
        <f>IFERROR(MATCH(Settings!$C$26&amp;"|"&amp;ROWS($U$2:$U201),'Per Invoice'!$V$2:$V$401,0),"")</f>
        <v/>
      </c>
    </row>
    <row r="202">
      <c r="A202">
        <f>IF($U202="","",IF(INDEX('Per Invoice'!A$2:A$401,$U202)="","",INDEX('Per Invoice'!A$2:A$401,$U202)))</f>
        <v/>
      </c>
      <c r="B202">
        <f>IF($U202="","",IF(INDEX('Per Invoice'!B$2:B$401,$U202)="","",INDEX('Per Invoice'!B$2:B$401,$U202)))</f>
        <v/>
      </c>
      <c r="C202">
        <f>IF($U202="","",IF(INDEX('Per Invoice'!C$2:C$401,$U202)="","",INDEX('Per Invoice'!C$2:C$401,$U202)))</f>
        <v/>
      </c>
      <c r="D202">
        <f>IF($U202="","",IF(INDEX('Per Invoice'!D$2:D$401,$U202)="","",INDEX('Per Invoice'!D$2:D$401,$U202)))</f>
        <v/>
      </c>
      <c r="E202">
        <f>IF($U202="","",IF(INDEX('Per Invoice'!E$2:E$401,$U202)="","",INDEX('Per Invoice'!E$2:E$401,$U202)))</f>
        <v/>
      </c>
      <c r="F202">
        <f>IF($U202="","",IF(INDEX('Per Invoice'!F$2:F$401,$U202)="","",INDEX('Per Invoice'!F$2:F$401,$U202)))</f>
        <v/>
      </c>
      <c r="G202">
        <f>IF($U202="","",IF(INDEX('Per Invoice'!G$2:G$401,$U202)="","",INDEX('Per Invoice'!G$2:G$401,$U202)))</f>
        <v/>
      </c>
      <c r="H202" s="7">
        <f>IF($U202="","",IF(INDEX('Per Invoice'!H$2:H$401,$U202)="","",INDEX('Per Invoice'!H$2:H$401,$U202)))</f>
        <v/>
      </c>
      <c r="I202" s="14">
        <f>IF($U202="","",IF(INDEX('Per Invoice'!I$2:I$401,$U202)="","",INDEX('Per Invoice'!I$2:I$401,$U202)))</f>
        <v/>
      </c>
      <c r="J202">
        <f>IF($U202="","",IF(INDEX('Per Invoice'!J$2:J$401,$U202)="","",INDEX('Per Invoice'!J$2:J$401,$U202)))</f>
        <v/>
      </c>
      <c r="K202">
        <f>IF($U202="","",IF(INDEX('Per Invoice'!K$2:K$401,$U202)="","",INDEX('Per Invoice'!K$2:K$401,$U202)))</f>
        <v/>
      </c>
      <c r="L202" s="7">
        <f>IF($U202="","",IF(INDEX('Per Invoice'!L$2:L$401,$U202)="","",INDEX('Per Invoice'!L$2:L$401,$U202)))</f>
        <v/>
      </c>
      <c r="M202" s="7">
        <f>IF($U202="","",IF(INDEX('Per Invoice'!M$2:M$401,$U202)="","",INDEX('Per Invoice'!M$2:M$401,$U202)))</f>
        <v/>
      </c>
      <c r="N202">
        <f>IF($U202="","",IF(INDEX('Per Invoice'!N$2:N$401,$U202)="","",INDEX('Per Invoice'!N$2:N$401,$U202)))</f>
        <v/>
      </c>
      <c r="O202" s="7">
        <f>IF($U202="","",IF(INDEX('Per Invoice'!O$2:O$401,$U202)="","",INDEX('Per Invoice'!O$2:O$401,$U202)))</f>
        <v/>
      </c>
      <c r="P202" s="7">
        <f>IF($U202="","",IF(INDEX('Per Invoice'!P$2:P$401,$U202)="","",INDEX('Per Invoice'!P$2:P$401,$U202)))</f>
        <v/>
      </c>
      <c r="Q202" s="7">
        <f>IF($U202="","",IF(INDEX('Per Invoice'!Q$2:Q$401,$U202)="","",INDEX('Per Invoice'!Q$2:Q$401,$U202)))</f>
        <v/>
      </c>
      <c r="R202" s="7">
        <f>IF($U202="","",IF(INDEX('Per Invoice'!R$2:R$401,$U202)="","",INDEX('Per Invoice'!R$2:R$401,$U202)))</f>
        <v/>
      </c>
      <c r="S202" s="7">
        <f>IF($U202="","",IF(INDEX('Per Invoice'!S$2:S$401,$U202)="","",INDEX('Per Invoice'!S$2:S$401,$U202)))</f>
        <v/>
      </c>
      <c r="T202" s="7">
        <f>IF($U202="","",IF(INDEX('Per Invoice'!T$2:T$401,$U202)="","",INDEX('Per Invoice'!T$2:T$401,$U202)))</f>
        <v/>
      </c>
      <c r="U202" s="16">
        <f>IFERROR(MATCH(Settings!$C$26&amp;"|"&amp;ROWS($U$2:$U202),'Per Invoice'!$V$2:$V$401,0),"")</f>
        <v/>
      </c>
    </row>
    <row r="203">
      <c r="A203">
        <f>IF($U203="","",IF(INDEX('Per Invoice'!A$2:A$401,$U203)="","",INDEX('Per Invoice'!A$2:A$401,$U203)))</f>
        <v/>
      </c>
      <c r="B203">
        <f>IF($U203="","",IF(INDEX('Per Invoice'!B$2:B$401,$U203)="","",INDEX('Per Invoice'!B$2:B$401,$U203)))</f>
        <v/>
      </c>
      <c r="C203">
        <f>IF($U203="","",IF(INDEX('Per Invoice'!C$2:C$401,$U203)="","",INDEX('Per Invoice'!C$2:C$401,$U203)))</f>
        <v/>
      </c>
      <c r="D203">
        <f>IF($U203="","",IF(INDEX('Per Invoice'!D$2:D$401,$U203)="","",INDEX('Per Invoice'!D$2:D$401,$U203)))</f>
        <v/>
      </c>
      <c r="E203">
        <f>IF($U203="","",IF(INDEX('Per Invoice'!E$2:E$401,$U203)="","",INDEX('Per Invoice'!E$2:E$401,$U203)))</f>
        <v/>
      </c>
      <c r="F203">
        <f>IF($U203="","",IF(INDEX('Per Invoice'!F$2:F$401,$U203)="","",INDEX('Per Invoice'!F$2:F$401,$U203)))</f>
        <v/>
      </c>
      <c r="G203">
        <f>IF($U203="","",IF(INDEX('Per Invoice'!G$2:G$401,$U203)="","",INDEX('Per Invoice'!G$2:G$401,$U203)))</f>
        <v/>
      </c>
      <c r="H203" s="7">
        <f>IF($U203="","",IF(INDEX('Per Invoice'!H$2:H$401,$U203)="","",INDEX('Per Invoice'!H$2:H$401,$U203)))</f>
        <v/>
      </c>
      <c r="I203" s="14">
        <f>IF($U203="","",IF(INDEX('Per Invoice'!I$2:I$401,$U203)="","",INDEX('Per Invoice'!I$2:I$401,$U203)))</f>
        <v/>
      </c>
      <c r="J203">
        <f>IF($U203="","",IF(INDEX('Per Invoice'!J$2:J$401,$U203)="","",INDEX('Per Invoice'!J$2:J$401,$U203)))</f>
        <v/>
      </c>
      <c r="K203">
        <f>IF($U203="","",IF(INDEX('Per Invoice'!K$2:K$401,$U203)="","",INDEX('Per Invoice'!K$2:K$401,$U203)))</f>
        <v/>
      </c>
      <c r="L203" s="7">
        <f>IF($U203="","",IF(INDEX('Per Invoice'!L$2:L$401,$U203)="","",INDEX('Per Invoice'!L$2:L$401,$U203)))</f>
        <v/>
      </c>
      <c r="M203" s="7">
        <f>IF($U203="","",IF(INDEX('Per Invoice'!M$2:M$401,$U203)="","",INDEX('Per Invoice'!M$2:M$401,$U203)))</f>
        <v/>
      </c>
      <c r="N203">
        <f>IF($U203="","",IF(INDEX('Per Invoice'!N$2:N$401,$U203)="","",INDEX('Per Invoice'!N$2:N$401,$U203)))</f>
        <v/>
      </c>
      <c r="O203" s="7">
        <f>IF($U203="","",IF(INDEX('Per Invoice'!O$2:O$401,$U203)="","",INDEX('Per Invoice'!O$2:O$401,$U203)))</f>
        <v/>
      </c>
      <c r="P203" s="7">
        <f>IF($U203="","",IF(INDEX('Per Invoice'!P$2:P$401,$U203)="","",INDEX('Per Invoice'!P$2:P$401,$U203)))</f>
        <v/>
      </c>
      <c r="Q203" s="7">
        <f>IF($U203="","",IF(INDEX('Per Invoice'!Q$2:Q$401,$U203)="","",INDEX('Per Invoice'!Q$2:Q$401,$U203)))</f>
        <v/>
      </c>
      <c r="R203" s="7">
        <f>IF($U203="","",IF(INDEX('Per Invoice'!R$2:R$401,$U203)="","",INDEX('Per Invoice'!R$2:R$401,$U203)))</f>
        <v/>
      </c>
      <c r="S203" s="7">
        <f>IF($U203="","",IF(INDEX('Per Invoice'!S$2:S$401,$U203)="","",INDEX('Per Invoice'!S$2:S$401,$U203)))</f>
        <v/>
      </c>
      <c r="T203" s="7">
        <f>IF($U203="","",IF(INDEX('Per Invoice'!T$2:T$401,$U203)="","",INDEX('Per Invoice'!T$2:T$401,$U203)))</f>
        <v/>
      </c>
      <c r="U203" s="16">
        <f>IFERROR(MATCH(Settings!$C$26&amp;"|"&amp;ROWS($U$2:$U203),'Per Invoice'!$V$2:$V$401,0),"")</f>
        <v/>
      </c>
    </row>
    <row r="204">
      <c r="A204">
        <f>IF($U204="","",IF(INDEX('Per Invoice'!A$2:A$401,$U204)="","",INDEX('Per Invoice'!A$2:A$401,$U204)))</f>
        <v/>
      </c>
      <c r="B204">
        <f>IF($U204="","",IF(INDEX('Per Invoice'!B$2:B$401,$U204)="","",INDEX('Per Invoice'!B$2:B$401,$U204)))</f>
        <v/>
      </c>
      <c r="C204">
        <f>IF($U204="","",IF(INDEX('Per Invoice'!C$2:C$401,$U204)="","",INDEX('Per Invoice'!C$2:C$401,$U204)))</f>
        <v/>
      </c>
      <c r="D204">
        <f>IF($U204="","",IF(INDEX('Per Invoice'!D$2:D$401,$U204)="","",INDEX('Per Invoice'!D$2:D$401,$U204)))</f>
        <v/>
      </c>
      <c r="E204">
        <f>IF($U204="","",IF(INDEX('Per Invoice'!E$2:E$401,$U204)="","",INDEX('Per Invoice'!E$2:E$401,$U204)))</f>
        <v/>
      </c>
      <c r="F204">
        <f>IF($U204="","",IF(INDEX('Per Invoice'!F$2:F$401,$U204)="","",INDEX('Per Invoice'!F$2:F$401,$U204)))</f>
        <v/>
      </c>
      <c r="G204">
        <f>IF($U204="","",IF(INDEX('Per Invoice'!G$2:G$401,$U204)="","",INDEX('Per Invoice'!G$2:G$401,$U204)))</f>
        <v/>
      </c>
      <c r="H204" s="7">
        <f>IF($U204="","",IF(INDEX('Per Invoice'!H$2:H$401,$U204)="","",INDEX('Per Invoice'!H$2:H$401,$U204)))</f>
        <v/>
      </c>
      <c r="I204" s="14">
        <f>IF($U204="","",IF(INDEX('Per Invoice'!I$2:I$401,$U204)="","",INDEX('Per Invoice'!I$2:I$401,$U204)))</f>
        <v/>
      </c>
      <c r="J204">
        <f>IF($U204="","",IF(INDEX('Per Invoice'!J$2:J$401,$U204)="","",INDEX('Per Invoice'!J$2:J$401,$U204)))</f>
        <v/>
      </c>
      <c r="K204">
        <f>IF($U204="","",IF(INDEX('Per Invoice'!K$2:K$401,$U204)="","",INDEX('Per Invoice'!K$2:K$401,$U204)))</f>
        <v/>
      </c>
      <c r="L204" s="7">
        <f>IF($U204="","",IF(INDEX('Per Invoice'!L$2:L$401,$U204)="","",INDEX('Per Invoice'!L$2:L$401,$U204)))</f>
        <v/>
      </c>
      <c r="M204" s="7">
        <f>IF($U204="","",IF(INDEX('Per Invoice'!M$2:M$401,$U204)="","",INDEX('Per Invoice'!M$2:M$401,$U204)))</f>
        <v/>
      </c>
      <c r="N204">
        <f>IF($U204="","",IF(INDEX('Per Invoice'!N$2:N$401,$U204)="","",INDEX('Per Invoice'!N$2:N$401,$U204)))</f>
        <v/>
      </c>
      <c r="O204" s="7">
        <f>IF($U204="","",IF(INDEX('Per Invoice'!O$2:O$401,$U204)="","",INDEX('Per Invoice'!O$2:O$401,$U204)))</f>
        <v/>
      </c>
      <c r="P204" s="7">
        <f>IF($U204="","",IF(INDEX('Per Invoice'!P$2:P$401,$U204)="","",INDEX('Per Invoice'!P$2:P$401,$U204)))</f>
        <v/>
      </c>
      <c r="Q204" s="7">
        <f>IF($U204="","",IF(INDEX('Per Invoice'!Q$2:Q$401,$U204)="","",INDEX('Per Invoice'!Q$2:Q$401,$U204)))</f>
        <v/>
      </c>
      <c r="R204" s="7">
        <f>IF($U204="","",IF(INDEX('Per Invoice'!R$2:R$401,$U204)="","",INDEX('Per Invoice'!R$2:R$401,$U204)))</f>
        <v/>
      </c>
      <c r="S204" s="7">
        <f>IF($U204="","",IF(INDEX('Per Invoice'!S$2:S$401,$U204)="","",INDEX('Per Invoice'!S$2:S$401,$U204)))</f>
        <v/>
      </c>
      <c r="T204" s="7">
        <f>IF($U204="","",IF(INDEX('Per Invoice'!T$2:T$401,$U204)="","",INDEX('Per Invoice'!T$2:T$401,$U204)))</f>
        <v/>
      </c>
      <c r="U204" s="16">
        <f>IFERROR(MATCH(Settings!$C$26&amp;"|"&amp;ROWS($U$2:$U204),'Per Invoice'!$V$2:$V$401,0),"")</f>
        <v/>
      </c>
    </row>
    <row r="205">
      <c r="A205">
        <f>IF($U205="","",IF(INDEX('Per Invoice'!A$2:A$401,$U205)="","",INDEX('Per Invoice'!A$2:A$401,$U205)))</f>
        <v/>
      </c>
      <c r="B205">
        <f>IF($U205="","",IF(INDEX('Per Invoice'!B$2:B$401,$U205)="","",INDEX('Per Invoice'!B$2:B$401,$U205)))</f>
        <v/>
      </c>
      <c r="C205">
        <f>IF($U205="","",IF(INDEX('Per Invoice'!C$2:C$401,$U205)="","",INDEX('Per Invoice'!C$2:C$401,$U205)))</f>
        <v/>
      </c>
      <c r="D205">
        <f>IF($U205="","",IF(INDEX('Per Invoice'!D$2:D$401,$U205)="","",INDEX('Per Invoice'!D$2:D$401,$U205)))</f>
        <v/>
      </c>
      <c r="E205">
        <f>IF($U205="","",IF(INDEX('Per Invoice'!E$2:E$401,$U205)="","",INDEX('Per Invoice'!E$2:E$401,$U205)))</f>
        <v/>
      </c>
      <c r="F205">
        <f>IF($U205="","",IF(INDEX('Per Invoice'!F$2:F$401,$U205)="","",INDEX('Per Invoice'!F$2:F$401,$U205)))</f>
        <v/>
      </c>
      <c r="G205">
        <f>IF($U205="","",IF(INDEX('Per Invoice'!G$2:G$401,$U205)="","",INDEX('Per Invoice'!G$2:G$401,$U205)))</f>
        <v/>
      </c>
      <c r="H205" s="7">
        <f>IF($U205="","",IF(INDEX('Per Invoice'!H$2:H$401,$U205)="","",INDEX('Per Invoice'!H$2:H$401,$U205)))</f>
        <v/>
      </c>
      <c r="I205" s="14">
        <f>IF($U205="","",IF(INDEX('Per Invoice'!I$2:I$401,$U205)="","",INDEX('Per Invoice'!I$2:I$401,$U205)))</f>
        <v/>
      </c>
      <c r="J205">
        <f>IF($U205="","",IF(INDEX('Per Invoice'!J$2:J$401,$U205)="","",INDEX('Per Invoice'!J$2:J$401,$U205)))</f>
        <v/>
      </c>
      <c r="K205">
        <f>IF($U205="","",IF(INDEX('Per Invoice'!K$2:K$401,$U205)="","",INDEX('Per Invoice'!K$2:K$401,$U205)))</f>
        <v/>
      </c>
      <c r="L205" s="7">
        <f>IF($U205="","",IF(INDEX('Per Invoice'!L$2:L$401,$U205)="","",INDEX('Per Invoice'!L$2:L$401,$U205)))</f>
        <v/>
      </c>
      <c r="M205" s="7">
        <f>IF($U205="","",IF(INDEX('Per Invoice'!M$2:M$401,$U205)="","",INDEX('Per Invoice'!M$2:M$401,$U205)))</f>
        <v/>
      </c>
      <c r="N205">
        <f>IF($U205="","",IF(INDEX('Per Invoice'!N$2:N$401,$U205)="","",INDEX('Per Invoice'!N$2:N$401,$U205)))</f>
        <v/>
      </c>
      <c r="O205" s="7">
        <f>IF($U205="","",IF(INDEX('Per Invoice'!O$2:O$401,$U205)="","",INDEX('Per Invoice'!O$2:O$401,$U205)))</f>
        <v/>
      </c>
      <c r="P205" s="7">
        <f>IF($U205="","",IF(INDEX('Per Invoice'!P$2:P$401,$U205)="","",INDEX('Per Invoice'!P$2:P$401,$U205)))</f>
        <v/>
      </c>
      <c r="Q205" s="7">
        <f>IF($U205="","",IF(INDEX('Per Invoice'!Q$2:Q$401,$U205)="","",INDEX('Per Invoice'!Q$2:Q$401,$U205)))</f>
        <v/>
      </c>
      <c r="R205" s="7">
        <f>IF($U205="","",IF(INDEX('Per Invoice'!R$2:R$401,$U205)="","",INDEX('Per Invoice'!R$2:R$401,$U205)))</f>
        <v/>
      </c>
      <c r="S205" s="7">
        <f>IF($U205="","",IF(INDEX('Per Invoice'!S$2:S$401,$U205)="","",INDEX('Per Invoice'!S$2:S$401,$U205)))</f>
        <v/>
      </c>
      <c r="T205" s="7">
        <f>IF($U205="","",IF(INDEX('Per Invoice'!T$2:T$401,$U205)="","",INDEX('Per Invoice'!T$2:T$401,$U205)))</f>
        <v/>
      </c>
      <c r="U205" s="16">
        <f>IFERROR(MATCH(Settings!$C$26&amp;"|"&amp;ROWS($U$2:$U205),'Per Invoice'!$V$2:$V$401,0),"")</f>
        <v/>
      </c>
    </row>
    <row r="206">
      <c r="A206">
        <f>IF($U206="","",IF(INDEX('Per Invoice'!A$2:A$401,$U206)="","",INDEX('Per Invoice'!A$2:A$401,$U206)))</f>
        <v/>
      </c>
      <c r="B206">
        <f>IF($U206="","",IF(INDEX('Per Invoice'!B$2:B$401,$U206)="","",INDEX('Per Invoice'!B$2:B$401,$U206)))</f>
        <v/>
      </c>
      <c r="C206">
        <f>IF($U206="","",IF(INDEX('Per Invoice'!C$2:C$401,$U206)="","",INDEX('Per Invoice'!C$2:C$401,$U206)))</f>
        <v/>
      </c>
      <c r="D206">
        <f>IF($U206="","",IF(INDEX('Per Invoice'!D$2:D$401,$U206)="","",INDEX('Per Invoice'!D$2:D$401,$U206)))</f>
        <v/>
      </c>
      <c r="E206">
        <f>IF($U206="","",IF(INDEX('Per Invoice'!E$2:E$401,$U206)="","",INDEX('Per Invoice'!E$2:E$401,$U206)))</f>
        <v/>
      </c>
      <c r="F206">
        <f>IF($U206="","",IF(INDEX('Per Invoice'!F$2:F$401,$U206)="","",INDEX('Per Invoice'!F$2:F$401,$U206)))</f>
        <v/>
      </c>
      <c r="G206">
        <f>IF($U206="","",IF(INDEX('Per Invoice'!G$2:G$401,$U206)="","",INDEX('Per Invoice'!G$2:G$401,$U206)))</f>
        <v/>
      </c>
      <c r="H206" s="7">
        <f>IF($U206="","",IF(INDEX('Per Invoice'!H$2:H$401,$U206)="","",INDEX('Per Invoice'!H$2:H$401,$U206)))</f>
        <v/>
      </c>
      <c r="I206" s="14">
        <f>IF($U206="","",IF(INDEX('Per Invoice'!I$2:I$401,$U206)="","",INDEX('Per Invoice'!I$2:I$401,$U206)))</f>
        <v/>
      </c>
      <c r="J206">
        <f>IF($U206="","",IF(INDEX('Per Invoice'!J$2:J$401,$U206)="","",INDEX('Per Invoice'!J$2:J$401,$U206)))</f>
        <v/>
      </c>
      <c r="K206">
        <f>IF($U206="","",IF(INDEX('Per Invoice'!K$2:K$401,$U206)="","",INDEX('Per Invoice'!K$2:K$401,$U206)))</f>
        <v/>
      </c>
      <c r="L206" s="7">
        <f>IF($U206="","",IF(INDEX('Per Invoice'!L$2:L$401,$U206)="","",INDEX('Per Invoice'!L$2:L$401,$U206)))</f>
        <v/>
      </c>
      <c r="M206" s="7">
        <f>IF($U206="","",IF(INDEX('Per Invoice'!M$2:M$401,$U206)="","",INDEX('Per Invoice'!M$2:M$401,$U206)))</f>
        <v/>
      </c>
      <c r="N206">
        <f>IF($U206="","",IF(INDEX('Per Invoice'!N$2:N$401,$U206)="","",INDEX('Per Invoice'!N$2:N$401,$U206)))</f>
        <v/>
      </c>
      <c r="O206" s="7">
        <f>IF($U206="","",IF(INDEX('Per Invoice'!O$2:O$401,$U206)="","",INDEX('Per Invoice'!O$2:O$401,$U206)))</f>
        <v/>
      </c>
      <c r="P206" s="7">
        <f>IF($U206="","",IF(INDEX('Per Invoice'!P$2:P$401,$U206)="","",INDEX('Per Invoice'!P$2:P$401,$U206)))</f>
        <v/>
      </c>
      <c r="Q206" s="7">
        <f>IF($U206="","",IF(INDEX('Per Invoice'!Q$2:Q$401,$U206)="","",INDEX('Per Invoice'!Q$2:Q$401,$U206)))</f>
        <v/>
      </c>
      <c r="R206" s="7">
        <f>IF($U206="","",IF(INDEX('Per Invoice'!R$2:R$401,$U206)="","",INDEX('Per Invoice'!R$2:R$401,$U206)))</f>
        <v/>
      </c>
      <c r="S206" s="7">
        <f>IF($U206="","",IF(INDEX('Per Invoice'!S$2:S$401,$U206)="","",INDEX('Per Invoice'!S$2:S$401,$U206)))</f>
        <v/>
      </c>
      <c r="T206" s="7">
        <f>IF($U206="","",IF(INDEX('Per Invoice'!T$2:T$401,$U206)="","",INDEX('Per Invoice'!T$2:T$401,$U206)))</f>
        <v/>
      </c>
      <c r="U206" s="16">
        <f>IFERROR(MATCH(Settings!$C$26&amp;"|"&amp;ROWS($U$2:$U206),'Per Invoice'!$V$2:$V$401,0),"")</f>
        <v/>
      </c>
    </row>
    <row r="207">
      <c r="A207">
        <f>IF($U207="","",IF(INDEX('Per Invoice'!A$2:A$401,$U207)="","",INDEX('Per Invoice'!A$2:A$401,$U207)))</f>
        <v/>
      </c>
      <c r="B207">
        <f>IF($U207="","",IF(INDEX('Per Invoice'!B$2:B$401,$U207)="","",INDEX('Per Invoice'!B$2:B$401,$U207)))</f>
        <v/>
      </c>
      <c r="C207">
        <f>IF($U207="","",IF(INDEX('Per Invoice'!C$2:C$401,$U207)="","",INDEX('Per Invoice'!C$2:C$401,$U207)))</f>
        <v/>
      </c>
      <c r="D207">
        <f>IF($U207="","",IF(INDEX('Per Invoice'!D$2:D$401,$U207)="","",INDEX('Per Invoice'!D$2:D$401,$U207)))</f>
        <v/>
      </c>
      <c r="E207">
        <f>IF($U207="","",IF(INDEX('Per Invoice'!E$2:E$401,$U207)="","",INDEX('Per Invoice'!E$2:E$401,$U207)))</f>
        <v/>
      </c>
      <c r="F207">
        <f>IF($U207="","",IF(INDEX('Per Invoice'!F$2:F$401,$U207)="","",INDEX('Per Invoice'!F$2:F$401,$U207)))</f>
        <v/>
      </c>
      <c r="G207">
        <f>IF($U207="","",IF(INDEX('Per Invoice'!G$2:G$401,$U207)="","",INDEX('Per Invoice'!G$2:G$401,$U207)))</f>
        <v/>
      </c>
      <c r="H207" s="7">
        <f>IF($U207="","",IF(INDEX('Per Invoice'!H$2:H$401,$U207)="","",INDEX('Per Invoice'!H$2:H$401,$U207)))</f>
        <v/>
      </c>
      <c r="I207" s="14">
        <f>IF($U207="","",IF(INDEX('Per Invoice'!I$2:I$401,$U207)="","",INDEX('Per Invoice'!I$2:I$401,$U207)))</f>
        <v/>
      </c>
      <c r="J207">
        <f>IF($U207="","",IF(INDEX('Per Invoice'!J$2:J$401,$U207)="","",INDEX('Per Invoice'!J$2:J$401,$U207)))</f>
        <v/>
      </c>
      <c r="K207">
        <f>IF($U207="","",IF(INDEX('Per Invoice'!K$2:K$401,$U207)="","",INDEX('Per Invoice'!K$2:K$401,$U207)))</f>
        <v/>
      </c>
      <c r="L207" s="7">
        <f>IF($U207="","",IF(INDEX('Per Invoice'!L$2:L$401,$U207)="","",INDEX('Per Invoice'!L$2:L$401,$U207)))</f>
        <v/>
      </c>
      <c r="M207" s="7">
        <f>IF($U207="","",IF(INDEX('Per Invoice'!M$2:M$401,$U207)="","",INDEX('Per Invoice'!M$2:M$401,$U207)))</f>
        <v/>
      </c>
      <c r="N207">
        <f>IF($U207="","",IF(INDEX('Per Invoice'!N$2:N$401,$U207)="","",INDEX('Per Invoice'!N$2:N$401,$U207)))</f>
        <v/>
      </c>
      <c r="O207" s="7">
        <f>IF($U207="","",IF(INDEX('Per Invoice'!O$2:O$401,$U207)="","",INDEX('Per Invoice'!O$2:O$401,$U207)))</f>
        <v/>
      </c>
      <c r="P207" s="7">
        <f>IF($U207="","",IF(INDEX('Per Invoice'!P$2:P$401,$U207)="","",INDEX('Per Invoice'!P$2:P$401,$U207)))</f>
        <v/>
      </c>
      <c r="Q207" s="7">
        <f>IF($U207="","",IF(INDEX('Per Invoice'!Q$2:Q$401,$U207)="","",INDEX('Per Invoice'!Q$2:Q$401,$U207)))</f>
        <v/>
      </c>
      <c r="R207" s="7">
        <f>IF($U207="","",IF(INDEX('Per Invoice'!R$2:R$401,$U207)="","",INDEX('Per Invoice'!R$2:R$401,$U207)))</f>
        <v/>
      </c>
      <c r="S207" s="7">
        <f>IF($U207="","",IF(INDEX('Per Invoice'!S$2:S$401,$U207)="","",INDEX('Per Invoice'!S$2:S$401,$U207)))</f>
        <v/>
      </c>
      <c r="T207" s="7">
        <f>IF($U207="","",IF(INDEX('Per Invoice'!T$2:T$401,$U207)="","",INDEX('Per Invoice'!T$2:T$401,$U207)))</f>
        <v/>
      </c>
      <c r="U207" s="16">
        <f>IFERROR(MATCH(Settings!$C$26&amp;"|"&amp;ROWS($U$2:$U207),'Per Invoice'!$V$2:$V$401,0),"")</f>
        <v/>
      </c>
    </row>
    <row r="208">
      <c r="A208">
        <f>IF($U208="","",IF(INDEX('Per Invoice'!A$2:A$401,$U208)="","",INDEX('Per Invoice'!A$2:A$401,$U208)))</f>
        <v/>
      </c>
      <c r="B208">
        <f>IF($U208="","",IF(INDEX('Per Invoice'!B$2:B$401,$U208)="","",INDEX('Per Invoice'!B$2:B$401,$U208)))</f>
        <v/>
      </c>
      <c r="C208">
        <f>IF($U208="","",IF(INDEX('Per Invoice'!C$2:C$401,$U208)="","",INDEX('Per Invoice'!C$2:C$401,$U208)))</f>
        <v/>
      </c>
      <c r="D208">
        <f>IF($U208="","",IF(INDEX('Per Invoice'!D$2:D$401,$U208)="","",INDEX('Per Invoice'!D$2:D$401,$U208)))</f>
        <v/>
      </c>
      <c r="E208">
        <f>IF($U208="","",IF(INDEX('Per Invoice'!E$2:E$401,$U208)="","",INDEX('Per Invoice'!E$2:E$401,$U208)))</f>
        <v/>
      </c>
      <c r="F208">
        <f>IF($U208="","",IF(INDEX('Per Invoice'!F$2:F$401,$U208)="","",INDEX('Per Invoice'!F$2:F$401,$U208)))</f>
        <v/>
      </c>
      <c r="G208">
        <f>IF($U208="","",IF(INDEX('Per Invoice'!G$2:G$401,$U208)="","",INDEX('Per Invoice'!G$2:G$401,$U208)))</f>
        <v/>
      </c>
      <c r="H208" s="7">
        <f>IF($U208="","",IF(INDEX('Per Invoice'!H$2:H$401,$U208)="","",INDEX('Per Invoice'!H$2:H$401,$U208)))</f>
        <v/>
      </c>
      <c r="I208" s="14">
        <f>IF($U208="","",IF(INDEX('Per Invoice'!I$2:I$401,$U208)="","",INDEX('Per Invoice'!I$2:I$401,$U208)))</f>
        <v/>
      </c>
      <c r="J208">
        <f>IF($U208="","",IF(INDEX('Per Invoice'!J$2:J$401,$U208)="","",INDEX('Per Invoice'!J$2:J$401,$U208)))</f>
        <v/>
      </c>
      <c r="K208">
        <f>IF($U208="","",IF(INDEX('Per Invoice'!K$2:K$401,$U208)="","",INDEX('Per Invoice'!K$2:K$401,$U208)))</f>
        <v/>
      </c>
      <c r="L208" s="7">
        <f>IF($U208="","",IF(INDEX('Per Invoice'!L$2:L$401,$U208)="","",INDEX('Per Invoice'!L$2:L$401,$U208)))</f>
        <v/>
      </c>
      <c r="M208" s="7">
        <f>IF($U208="","",IF(INDEX('Per Invoice'!M$2:M$401,$U208)="","",INDEX('Per Invoice'!M$2:M$401,$U208)))</f>
        <v/>
      </c>
      <c r="N208">
        <f>IF($U208="","",IF(INDEX('Per Invoice'!N$2:N$401,$U208)="","",INDEX('Per Invoice'!N$2:N$401,$U208)))</f>
        <v/>
      </c>
      <c r="O208" s="7">
        <f>IF($U208="","",IF(INDEX('Per Invoice'!O$2:O$401,$U208)="","",INDEX('Per Invoice'!O$2:O$401,$U208)))</f>
        <v/>
      </c>
      <c r="P208" s="7">
        <f>IF($U208="","",IF(INDEX('Per Invoice'!P$2:P$401,$U208)="","",INDEX('Per Invoice'!P$2:P$401,$U208)))</f>
        <v/>
      </c>
      <c r="Q208" s="7">
        <f>IF($U208="","",IF(INDEX('Per Invoice'!Q$2:Q$401,$U208)="","",INDEX('Per Invoice'!Q$2:Q$401,$U208)))</f>
        <v/>
      </c>
      <c r="R208" s="7">
        <f>IF($U208="","",IF(INDEX('Per Invoice'!R$2:R$401,$U208)="","",INDEX('Per Invoice'!R$2:R$401,$U208)))</f>
        <v/>
      </c>
      <c r="S208" s="7">
        <f>IF($U208="","",IF(INDEX('Per Invoice'!S$2:S$401,$U208)="","",INDEX('Per Invoice'!S$2:S$401,$U208)))</f>
        <v/>
      </c>
      <c r="T208" s="7">
        <f>IF($U208="","",IF(INDEX('Per Invoice'!T$2:T$401,$U208)="","",INDEX('Per Invoice'!T$2:T$401,$U208)))</f>
        <v/>
      </c>
      <c r="U208" s="16">
        <f>IFERROR(MATCH(Settings!$C$26&amp;"|"&amp;ROWS($U$2:$U208),'Per Invoice'!$V$2:$V$401,0),"")</f>
        <v/>
      </c>
    </row>
    <row r="209">
      <c r="A209">
        <f>IF($U209="","",IF(INDEX('Per Invoice'!A$2:A$401,$U209)="","",INDEX('Per Invoice'!A$2:A$401,$U209)))</f>
        <v/>
      </c>
      <c r="B209">
        <f>IF($U209="","",IF(INDEX('Per Invoice'!B$2:B$401,$U209)="","",INDEX('Per Invoice'!B$2:B$401,$U209)))</f>
        <v/>
      </c>
      <c r="C209">
        <f>IF($U209="","",IF(INDEX('Per Invoice'!C$2:C$401,$U209)="","",INDEX('Per Invoice'!C$2:C$401,$U209)))</f>
        <v/>
      </c>
      <c r="D209">
        <f>IF($U209="","",IF(INDEX('Per Invoice'!D$2:D$401,$U209)="","",INDEX('Per Invoice'!D$2:D$401,$U209)))</f>
        <v/>
      </c>
      <c r="E209">
        <f>IF($U209="","",IF(INDEX('Per Invoice'!E$2:E$401,$U209)="","",INDEX('Per Invoice'!E$2:E$401,$U209)))</f>
        <v/>
      </c>
      <c r="F209">
        <f>IF($U209="","",IF(INDEX('Per Invoice'!F$2:F$401,$U209)="","",INDEX('Per Invoice'!F$2:F$401,$U209)))</f>
        <v/>
      </c>
      <c r="G209">
        <f>IF($U209="","",IF(INDEX('Per Invoice'!G$2:G$401,$U209)="","",INDEX('Per Invoice'!G$2:G$401,$U209)))</f>
        <v/>
      </c>
      <c r="H209" s="7">
        <f>IF($U209="","",IF(INDEX('Per Invoice'!H$2:H$401,$U209)="","",INDEX('Per Invoice'!H$2:H$401,$U209)))</f>
        <v/>
      </c>
      <c r="I209" s="14">
        <f>IF($U209="","",IF(INDEX('Per Invoice'!I$2:I$401,$U209)="","",INDEX('Per Invoice'!I$2:I$401,$U209)))</f>
        <v/>
      </c>
      <c r="J209">
        <f>IF($U209="","",IF(INDEX('Per Invoice'!J$2:J$401,$U209)="","",INDEX('Per Invoice'!J$2:J$401,$U209)))</f>
        <v/>
      </c>
      <c r="K209">
        <f>IF($U209="","",IF(INDEX('Per Invoice'!K$2:K$401,$U209)="","",INDEX('Per Invoice'!K$2:K$401,$U209)))</f>
        <v/>
      </c>
      <c r="L209" s="7">
        <f>IF($U209="","",IF(INDEX('Per Invoice'!L$2:L$401,$U209)="","",INDEX('Per Invoice'!L$2:L$401,$U209)))</f>
        <v/>
      </c>
      <c r="M209" s="7">
        <f>IF($U209="","",IF(INDEX('Per Invoice'!M$2:M$401,$U209)="","",INDEX('Per Invoice'!M$2:M$401,$U209)))</f>
        <v/>
      </c>
      <c r="N209">
        <f>IF($U209="","",IF(INDEX('Per Invoice'!N$2:N$401,$U209)="","",INDEX('Per Invoice'!N$2:N$401,$U209)))</f>
        <v/>
      </c>
      <c r="O209" s="7">
        <f>IF($U209="","",IF(INDEX('Per Invoice'!O$2:O$401,$U209)="","",INDEX('Per Invoice'!O$2:O$401,$U209)))</f>
        <v/>
      </c>
      <c r="P209" s="7">
        <f>IF($U209="","",IF(INDEX('Per Invoice'!P$2:P$401,$U209)="","",INDEX('Per Invoice'!P$2:P$401,$U209)))</f>
        <v/>
      </c>
      <c r="Q209" s="7">
        <f>IF($U209="","",IF(INDEX('Per Invoice'!Q$2:Q$401,$U209)="","",INDEX('Per Invoice'!Q$2:Q$401,$U209)))</f>
        <v/>
      </c>
      <c r="R209" s="7">
        <f>IF($U209="","",IF(INDEX('Per Invoice'!R$2:R$401,$U209)="","",INDEX('Per Invoice'!R$2:R$401,$U209)))</f>
        <v/>
      </c>
      <c r="S209" s="7">
        <f>IF($U209="","",IF(INDEX('Per Invoice'!S$2:S$401,$U209)="","",INDEX('Per Invoice'!S$2:S$401,$U209)))</f>
        <v/>
      </c>
      <c r="T209" s="7">
        <f>IF($U209="","",IF(INDEX('Per Invoice'!T$2:T$401,$U209)="","",INDEX('Per Invoice'!T$2:T$401,$U209)))</f>
        <v/>
      </c>
      <c r="U209" s="16">
        <f>IFERROR(MATCH(Settings!$C$26&amp;"|"&amp;ROWS($U$2:$U209),'Per Invoice'!$V$2:$V$401,0),"")</f>
        <v/>
      </c>
    </row>
    <row r="210">
      <c r="A210">
        <f>IF($U210="","",IF(INDEX('Per Invoice'!A$2:A$401,$U210)="","",INDEX('Per Invoice'!A$2:A$401,$U210)))</f>
        <v/>
      </c>
      <c r="B210">
        <f>IF($U210="","",IF(INDEX('Per Invoice'!B$2:B$401,$U210)="","",INDEX('Per Invoice'!B$2:B$401,$U210)))</f>
        <v/>
      </c>
      <c r="C210">
        <f>IF($U210="","",IF(INDEX('Per Invoice'!C$2:C$401,$U210)="","",INDEX('Per Invoice'!C$2:C$401,$U210)))</f>
        <v/>
      </c>
      <c r="D210">
        <f>IF($U210="","",IF(INDEX('Per Invoice'!D$2:D$401,$U210)="","",INDEX('Per Invoice'!D$2:D$401,$U210)))</f>
        <v/>
      </c>
      <c r="E210">
        <f>IF($U210="","",IF(INDEX('Per Invoice'!E$2:E$401,$U210)="","",INDEX('Per Invoice'!E$2:E$401,$U210)))</f>
        <v/>
      </c>
      <c r="F210">
        <f>IF($U210="","",IF(INDEX('Per Invoice'!F$2:F$401,$U210)="","",INDEX('Per Invoice'!F$2:F$401,$U210)))</f>
        <v/>
      </c>
      <c r="G210">
        <f>IF($U210="","",IF(INDEX('Per Invoice'!G$2:G$401,$U210)="","",INDEX('Per Invoice'!G$2:G$401,$U210)))</f>
        <v/>
      </c>
      <c r="H210" s="7">
        <f>IF($U210="","",IF(INDEX('Per Invoice'!H$2:H$401,$U210)="","",INDEX('Per Invoice'!H$2:H$401,$U210)))</f>
        <v/>
      </c>
      <c r="I210" s="14">
        <f>IF($U210="","",IF(INDEX('Per Invoice'!I$2:I$401,$U210)="","",INDEX('Per Invoice'!I$2:I$401,$U210)))</f>
        <v/>
      </c>
      <c r="J210">
        <f>IF($U210="","",IF(INDEX('Per Invoice'!J$2:J$401,$U210)="","",INDEX('Per Invoice'!J$2:J$401,$U210)))</f>
        <v/>
      </c>
      <c r="K210">
        <f>IF($U210="","",IF(INDEX('Per Invoice'!K$2:K$401,$U210)="","",INDEX('Per Invoice'!K$2:K$401,$U210)))</f>
        <v/>
      </c>
      <c r="L210" s="7">
        <f>IF($U210="","",IF(INDEX('Per Invoice'!L$2:L$401,$U210)="","",INDEX('Per Invoice'!L$2:L$401,$U210)))</f>
        <v/>
      </c>
      <c r="M210" s="7">
        <f>IF($U210="","",IF(INDEX('Per Invoice'!M$2:M$401,$U210)="","",INDEX('Per Invoice'!M$2:M$401,$U210)))</f>
        <v/>
      </c>
      <c r="N210">
        <f>IF($U210="","",IF(INDEX('Per Invoice'!N$2:N$401,$U210)="","",INDEX('Per Invoice'!N$2:N$401,$U210)))</f>
        <v/>
      </c>
      <c r="O210" s="7">
        <f>IF($U210="","",IF(INDEX('Per Invoice'!O$2:O$401,$U210)="","",INDEX('Per Invoice'!O$2:O$401,$U210)))</f>
        <v/>
      </c>
      <c r="P210" s="7">
        <f>IF($U210="","",IF(INDEX('Per Invoice'!P$2:P$401,$U210)="","",INDEX('Per Invoice'!P$2:P$401,$U210)))</f>
        <v/>
      </c>
      <c r="Q210" s="7">
        <f>IF($U210="","",IF(INDEX('Per Invoice'!Q$2:Q$401,$U210)="","",INDEX('Per Invoice'!Q$2:Q$401,$U210)))</f>
        <v/>
      </c>
      <c r="R210" s="7">
        <f>IF($U210="","",IF(INDEX('Per Invoice'!R$2:R$401,$U210)="","",INDEX('Per Invoice'!R$2:R$401,$U210)))</f>
        <v/>
      </c>
      <c r="S210" s="7">
        <f>IF($U210="","",IF(INDEX('Per Invoice'!S$2:S$401,$U210)="","",INDEX('Per Invoice'!S$2:S$401,$U210)))</f>
        <v/>
      </c>
      <c r="T210" s="7">
        <f>IF($U210="","",IF(INDEX('Per Invoice'!T$2:T$401,$U210)="","",INDEX('Per Invoice'!T$2:T$401,$U210)))</f>
        <v/>
      </c>
      <c r="U210" s="16">
        <f>IFERROR(MATCH(Settings!$C$26&amp;"|"&amp;ROWS($U$2:$U210),'Per Invoice'!$V$2:$V$401,0),"")</f>
        <v/>
      </c>
    </row>
    <row r="211">
      <c r="A211">
        <f>IF($U211="","",IF(INDEX('Per Invoice'!A$2:A$401,$U211)="","",INDEX('Per Invoice'!A$2:A$401,$U211)))</f>
        <v/>
      </c>
      <c r="B211">
        <f>IF($U211="","",IF(INDEX('Per Invoice'!B$2:B$401,$U211)="","",INDEX('Per Invoice'!B$2:B$401,$U211)))</f>
        <v/>
      </c>
      <c r="C211">
        <f>IF($U211="","",IF(INDEX('Per Invoice'!C$2:C$401,$U211)="","",INDEX('Per Invoice'!C$2:C$401,$U211)))</f>
        <v/>
      </c>
      <c r="D211">
        <f>IF($U211="","",IF(INDEX('Per Invoice'!D$2:D$401,$U211)="","",INDEX('Per Invoice'!D$2:D$401,$U211)))</f>
        <v/>
      </c>
      <c r="E211">
        <f>IF($U211="","",IF(INDEX('Per Invoice'!E$2:E$401,$U211)="","",INDEX('Per Invoice'!E$2:E$401,$U211)))</f>
        <v/>
      </c>
      <c r="F211">
        <f>IF($U211="","",IF(INDEX('Per Invoice'!F$2:F$401,$U211)="","",INDEX('Per Invoice'!F$2:F$401,$U211)))</f>
        <v/>
      </c>
      <c r="G211">
        <f>IF($U211="","",IF(INDEX('Per Invoice'!G$2:G$401,$U211)="","",INDEX('Per Invoice'!G$2:G$401,$U211)))</f>
        <v/>
      </c>
      <c r="H211" s="7">
        <f>IF($U211="","",IF(INDEX('Per Invoice'!H$2:H$401,$U211)="","",INDEX('Per Invoice'!H$2:H$401,$U211)))</f>
        <v/>
      </c>
      <c r="I211" s="14">
        <f>IF($U211="","",IF(INDEX('Per Invoice'!I$2:I$401,$U211)="","",INDEX('Per Invoice'!I$2:I$401,$U211)))</f>
        <v/>
      </c>
      <c r="J211">
        <f>IF($U211="","",IF(INDEX('Per Invoice'!J$2:J$401,$U211)="","",INDEX('Per Invoice'!J$2:J$401,$U211)))</f>
        <v/>
      </c>
      <c r="K211">
        <f>IF($U211="","",IF(INDEX('Per Invoice'!K$2:K$401,$U211)="","",INDEX('Per Invoice'!K$2:K$401,$U211)))</f>
        <v/>
      </c>
      <c r="L211" s="7">
        <f>IF($U211="","",IF(INDEX('Per Invoice'!L$2:L$401,$U211)="","",INDEX('Per Invoice'!L$2:L$401,$U211)))</f>
        <v/>
      </c>
      <c r="M211" s="7">
        <f>IF($U211="","",IF(INDEX('Per Invoice'!M$2:M$401,$U211)="","",INDEX('Per Invoice'!M$2:M$401,$U211)))</f>
        <v/>
      </c>
      <c r="N211">
        <f>IF($U211="","",IF(INDEX('Per Invoice'!N$2:N$401,$U211)="","",INDEX('Per Invoice'!N$2:N$401,$U211)))</f>
        <v/>
      </c>
      <c r="O211" s="7">
        <f>IF($U211="","",IF(INDEX('Per Invoice'!O$2:O$401,$U211)="","",INDEX('Per Invoice'!O$2:O$401,$U211)))</f>
        <v/>
      </c>
      <c r="P211" s="7">
        <f>IF($U211="","",IF(INDEX('Per Invoice'!P$2:P$401,$U211)="","",INDEX('Per Invoice'!P$2:P$401,$U211)))</f>
        <v/>
      </c>
      <c r="Q211" s="7">
        <f>IF($U211="","",IF(INDEX('Per Invoice'!Q$2:Q$401,$U211)="","",INDEX('Per Invoice'!Q$2:Q$401,$U211)))</f>
        <v/>
      </c>
      <c r="R211" s="7">
        <f>IF($U211="","",IF(INDEX('Per Invoice'!R$2:R$401,$U211)="","",INDEX('Per Invoice'!R$2:R$401,$U211)))</f>
        <v/>
      </c>
      <c r="S211" s="7">
        <f>IF($U211="","",IF(INDEX('Per Invoice'!S$2:S$401,$U211)="","",INDEX('Per Invoice'!S$2:S$401,$U211)))</f>
        <v/>
      </c>
      <c r="T211" s="7">
        <f>IF($U211="","",IF(INDEX('Per Invoice'!T$2:T$401,$U211)="","",INDEX('Per Invoice'!T$2:T$401,$U211)))</f>
        <v/>
      </c>
      <c r="U211" s="16">
        <f>IFERROR(MATCH(Settings!$C$26&amp;"|"&amp;ROWS($U$2:$U211),'Per Invoice'!$V$2:$V$401,0),"")</f>
        <v/>
      </c>
    </row>
    <row r="212">
      <c r="A212">
        <f>IF($U212="","",IF(INDEX('Per Invoice'!A$2:A$401,$U212)="","",INDEX('Per Invoice'!A$2:A$401,$U212)))</f>
        <v/>
      </c>
      <c r="B212">
        <f>IF($U212="","",IF(INDEX('Per Invoice'!B$2:B$401,$U212)="","",INDEX('Per Invoice'!B$2:B$401,$U212)))</f>
        <v/>
      </c>
      <c r="C212">
        <f>IF($U212="","",IF(INDEX('Per Invoice'!C$2:C$401,$U212)="","",INDEX('Per Invoice'!C$2:C$401,$U212)))</f>
        <v/>
      </c>
      <c r="D212">
        <f>IF($U212="","",IF(INDEX('Per Invoice'!D$2:D$401,$U212)="","",INDEX('Per Invoice'!D$2:D$401,$U212)))</f>
        <v/>
      </c>
      <c r="E212">
        <f>IF($U212="","",IF(INDEX('Per Invoice'!E$2:E$401,$U212)="","",INDEX('Per Invoice'!E$2:E$401,$U212)))</f>
        <v/>
      </c>
      <c r="F212">
        <f>IF($U212="","",IF(INDEX('Per Invoice'!F$2:F$401,$U212)="","",INDEX('Per Invoice'!F$2:F$401,$U212)))</f>
        <v/>
      </c>
      <c r="G212">
        <f>IF($U212="","",IF(INDEX('Per Invoice'!G$2:G$401,$U212)="","",INDEX('Per Invoice'!G$2:G$401,$U212)))</f>
        <v/>
      </c>
      <c r="H212" s="7">
        <f>IF($U212="","",IF(INDEX('Per Invoice'!H$2:H$401,$U212)="","",INDEX('Per Invoice'!H$2:H$401,$U212)))</f>
        <v/>
      </c>
      <c r="I212" s="14">
        <f>IF($U212="","",IF(INDEX('Per Invoice'!I$2:I$401,$U212)="","",INDEX('Per Invoice'!I$2:I$401,$U212)))</f>
        <v/>
      </c>
      <c r="J212">
        <f>IF($U212="","",IF(INDEX('Per Invoice'!J$2:J$401,$U212)="","",INDEX('Per Invoice'!J$2:J$401,$U212)))</f>
        <v/>
      </c>
      <c r="K212">
        <f>IF($U212="","",IF(INDEX('Per Invoice'!K$2:K$401,$U212)="","",INDEX('Per Invoice'!K$2:K$401,$U212)))</f>
        <v/>
      </c>
      <c r="L212" s="7">
        <f>IF($U212="","",IF(INDEX('Per Invoice'!L$2:L$401,$U212)="","",INDEX('Per Invoice'!L$2:L$401,$U212)))</f>
        <v/>
      </c>
      <c r="M212" s="7">
        <f>IF($U212="","",IF(INDEX('Per Invoice'!M$2:M$401,$U212)="","",INDEX('Per Invoice'!M$2:M$401,$U212)))</f>
        <v/>
      </c>
      <c r="N212">
        <f>IF($U212="","",IF(INDEX('Per Invoice'!N$2:N$401,$U212)="","",INDEX('Per Invoice'!N$2:N$401,$U212)))</f>
        <v/>
      </c>
      <c r="O212" s="7">
        <f>IF($U212="","",IF(INDEX('Per Invoice'!O$2:O$401,$U212)="","",INDEX('Per Invoice'!O$2:O$401,$U212)))</f>
        <v/>
      </c>
      <c r="P212" s="7">
        <f>IF($U212="","",IF(INDEX('Per Invoice'!P$2:P$401,$U212)="","",INDEX('Per Invoice'!P$2:P$401,$U212)))</f>
        <v/>
      </c>
      <c r="Q212" s="7">
        <f>IF($U212="","",IF(INDEX('Per Invoice'!Q$2:Q$401,$U212)="","",INDEX('Per Invoice'!Q$2:Q$401,$U212)))</f>
        <v/>
      </c>
      <c r="R212" s="7">
        <f>IF($U212="","",IF(INDEX('Per Invoice'!R$2:R$401,$U212)="","",INDEX('Per Invoice'!R$2:R$401,$U212)))</f>
        <v/>
      </c>
      <c r="S212" s="7">
        <f>IF($U212="","",IF(INDEX('Per Invoice'!S$2:S$401,$U212)="","",INDEX('Per Invoice'!S$2:S$401,$U212)))</f>
        <v/>
      </c>
      <c r="T212" s="7">
        <f>IF($U212="","",IF(INDEX('Per Invoice'!T$2:T$401,$U212)="","",INDEX('Per Invoice'!T$2:T$401,$U212)))</f>
        <v/>
      </c>
      <c r="U212" s="16">
        <f>IFERROR(MATCH(Settings!$C$26&amp;"|"&amp;ROWS($U$2:$U212),'Per Invoice'!$V$2:$V$401,0),"")</f>
        <v/>
      </c>
    </row>
    <row r="213">
      <c r="A213">
        <f>IF($U213="","",IF(INDEX('Per Invoice'!A$2:A$401,$U213)="","",INDEX('Per Invoice'!A$2:A$401,$U213)))</f>
        <v/>
      </c>
      <c r="B213">
        <f>IF($U213="","",IF(INDEX('Per Invoice'!B$2:B$401,$U213)="","",INDEX('Per Invoice'!B$2:B$401,$U213)))</f>
        <v/>
      </c>
      <c r="C213">
        <f>IF($U213="","",IF(INDEX('Per Invoice'!C$2:C$401,$U213)="","",INDEX('Per Invoice'!C$2:C$401,$U213)))</f>
        <v/>
      </c>
      <c r="D213">
        <f>IF($U213="","",IF(INDEX('Per Invoice'!D$2:D$401,$U213)="","",INDEX('Per Invoice'!D$2:D$401,$U213)))</f>
        <v/>
      </c>
      <c r="E213">
        <f>IF($U213="","",IF(INDEX('Per Invoice'!E$2:E$401,$U213)="","",INDEX('Per Invoice'!E$2:E$401,$U213)))</f>
        <v/>
      </c>
      <c r="F213">
        <f>IF($U213="","",IF(INDEX('Per Invoice'!F$2:F$401,$U213)="","",INDEX('Per Invoice'!F$2:F$401,$U213)))</f>
        <v/>
      </c>
      <c r="G213">
        <f>IF($U213="","",IF(INDEX('Per Invoice'!G$2:G$401,$U213)="","",INDEX('Per Invoice'!G$2:G$401,$U213)))</f>
        <v/>
      </c>
      <c r="H213" s="7">
        <f>IF($U213="","",IF(INDEX('Per Invoice'!H$2:H$401,$U213)="","",INDEX('Per Invoice'!H$2:H$401,$U213)))</f>
        <v/>
      </c>
      <c r="I213" s="14">
        <f>IF($U213="","",IF(INDEX('Per Invoice'!I$2:I$401,$U213)="","",INDEX('Per Invoice'!I$2:I$401,$U213)))</f>
        <v/>
      </c>
      <c r="J213">
        <f>IF($U213="","",IF(INDEX('Per Invoice'!J$2:J$401,$U213)="","",INDEX('Per Invoice'!J$2:J$401,$U213)))</f>
        <v/>
      </c>
      <c r="K213">
        <f>IF($U213="","",IF(INDEX('Per Invoice'!K$2:K$401,$U213)="","",INDEX('Per Invoice'!K$2:K$401,$U213)))</f>
        <v/>
      </c>
      <c r="L213" s="7">
        <f>IF($U213="","",IF(INDEX('Per Invoice'!L$2:L$401,$U213)="","",INDEX('Per Invoice'!L$2:L$401,$U213)))</f>
        <v/>
      </c>
      <c r="M213" s="7">
        <f>IF($U213="","",IF(INDEX('Per Invoice'!M$2:M$401,$U213)="","",INDEX('Per Invoice'!M$2:M$401,$U213)))</f>
        <v/>
      </c>
      <c r="N213">
        <f>IF($U213="","",IF(INDEX('Per Invoice'!N$2:N$401,$U213)="","",INDEX('Per Invoice'!N$2:N$401,$U213)))</f>
        <v/>
      </c>
      <c r="O213" s="7">
        <f>IF($U213="","",IF(INDEX('Per Invoice'!O$2:O$401,$U213)="","",INDEX('Per Invoice'!O$2:O$401,$U213)))</f>
        <v/>
      </c>
      <c r="P213" s="7">
        <f>IF($U213="","",IF(INDEX('Per Invoice'!P$2:P$401,$U213)="","",INDEX('Per Invoice'!P$2:P$401,$U213)))</f>
        <v/>
      </c>
      <c r="Q213" s="7">
        <f>IF($U213="","",IF(INDEX('Per Invoice'!Q$2:Q$401,$U213)="","",INDEX('Per Invoice'!Q$2:Q$401,$U213)))</f>
        <v/>
      </c>
      <c r="R213" s="7">
        <f>IF($U213="","",IF(INDEX('Per Invoice'!R$2:R$401,$U213)="","",INDEX('Per Invoice'!R$2:R$401,$U213)))</f>
        <v/>
      </c>
      <c r="S213" s="7">
        <f>IF($U213="","",IF(INDEX('Per Invoice'!S$2:S$401,$U213)="","",INDEX('Per Invoice'!S$2:S$401,$U213)))</f>
        <v/>
      </c>
      <c r="T213" s="7">
        <f>IF($U213="","",IF(INDEX('Per Invoice'!T$2:T$401,$U213)="","",INDEX('Per Invoice'!T$2:T$401,$U213)))</f>
        <v/>
      </c>
      <c r="U213" s="16">
        <f>IFERROR(MATCH(Settings!$C$26&amp;"|"&amp;ROWS($U$2:$U213),'Per Invoice'!$V$2:$V$401,0),"")</f>
        <v/>
      </c>
    </row>
    <row r="214">
      <c r="A214">
        <f>IF($U214="","",IF(INDEX('Per Invoice'!A$2:A$401,$U214)="","",INDEX('Per Invoice'!A$2:A$401,$U214)))</f>
        <v/>
      </c>
      <c r="B214">
        <f>IF($U214="","",IF(INDEX('Per Invoice'!B$2:B$401,$U214)="","",INDEX('Per Invoice'!B$2:B$401,$U214)))</f>
        <v/>
      </c>
      <c r="C214">
        <f>IF($U214="","",IF(INDEX('Per Invoice'!C$2:C$401,$U214)="","",INDEX('Per Invoice'!C$2:C$401,$U214)))</f>
        <v/>
      </c>
      <c r="D214">
        <f>IF($U214="","",IF(INDEX('Per Invoice'!D$2:D$401,$U214)="","",INDEX('Per Invoice'!D$2:D$401,$U214)))</f>
        <v/>
      </c>
      <c r="E214">
        <f>IF($U214="","",IF(INDEX('Per Invoice'!E$2:E$401,$U214)="","",INDEX('Per Invoice'!E$2:E$401,$U214)))</f>
        <v/>
      </c>
      <c r="F214">
        <f>IF($U214="","",IF(INDEX('Per Invoice'!F$2:F$401,$U214)="","",INDEX('Per Invoice'!F$2:F$401,$U214)))</f>
        <v/>
      </c>
      <c r="G214">
        <f>IF($U214="","",IF(INDEX('Per Invoice'!G$2:G$401,$U214)="","",INDEX('Per Invoice'!G$2:G$401,$U214)))</f>
        <v/>
      </c>
      <c r="H214" s="7">
        <f>IF($U214="","",IF(INDEX('Per Invoice'!H$2:H$401,$U214)="","",INDEX('Per Invoice'!H$2:H$401,$U214)))</f>
        <v/>
      </c>
      <c r="I214" s="14">
        <f>IF($U214="","",IF(INDEX('Per Invoice'!I$2:I$401,$U214)="","",INDEX('Per Invoice'!I$2:I$401,$U214)))</f>
        <v/>
      </c>
      <c r="J214">
        <f>IF($U214="","",IF(INDEX('Per Invoice'!J$2:J$401,$U214)="","",INDEX('Per Invoice'!J$2:J$401,$U214)))</f>
        <v/>
      </c>
      <c r="K214">
        <f>IF($U214="","",IF(INDEX('Per Invoice'!K$2:K$401,$U214)="","",INDEX('Per Invoice'!K$2:K$401,$U214)))</f>
        <v/>
      </c>
      <c r="L214" s="7">
        <f>IF($U214="","",IF(INDEX('Per Invoice'!L$2:L$401,$U214)="","",INDEX('Per Invoice'!L$2:L$401,$U214)))</f>
        <v/>
      </c>
      <c r="M214" s="7">
        <f>IF($U214="","",IF(INDEX('Per Invoice'!M$2:M$401,$U214)="","",INDEX('Per Invoice'!M$2:M$401,$U214)))</f>
        <v/>
      </c>
      <c r="N214">
        <f>IF($U214="","",IF(INDEX('Per Invoice'!N$2:N$401,$U214)="","",INDEX('Per Invoice'!N$2:N$401,$U214)))</f>
        <v/>
      </c>
      <c r="O214" s="7">
        <f>IF($U214="","",IF(INDEX('Per Invoice'!O$2:O$401,$U214)="","",INDEX('Per Invoice'!O$2:O$401,$U214)))</f>
        <v/>
      </c>
      <c r="P214" s="7">
        <f>IF($U214="","",IF(INDEX('Per Invoice'!P$2:P$401,$U214)="","",INDEX('Per Invoice'!P$2:P$401,$U214)))</f>
        <v/>
      </c>
      <c r="Q214" s="7">
        <f>IF($U214="","",IF(INDEX('Per Invoice'!Q$2:Q$401,$U214)="","",INDEX('Per Invoice'!Q$2:Q$401,$U214)))</f>
        <v/>
      </c>
      <c r="R214" s="7">
        <f>IF($U214="","",IF(INDEX('Per Invoice'!R$2:R$401,$U214)="","",INDEX('Per Invoice'!R$2:R$401,$U214)))</f>
        <v/>
      </c>
      <c r="S214" s="7">
        <f>IF($U214="","",IF(INDEX('Per Invoice'!S$2:S$401,$U214)="","",INDEX('Per Invoice'!S$2:S$401,$U214)))</f>
        <v/>
      </c>
      <c r="T214" s="7">
        <f>IF($U214="","",IF(INDEX('Per Invoice'!T$2:T$401,$U214)="","",INDEX('Per Invoice'!T$2:T$401,$U214)))</f>
        <v/>
      </c>
      <c r="U214" s="16">
        <f>IFERROR(MATCH(Settings!$C$26&amp;"|"&amp;ROWS($U$2:$U214),'Per Invoice'!$V$2:$V$401,0),"")</f>
        <v/>
      </c>
    </row>
    <row r="215">
      <c r="A215">
        <f>IF($U215="","",IF(INDEX('Per Invoice'!A$2:A$401,$U215)="","",INDEX('Per Invoice'!A$2:A$401,$U215)))</f>
        <v/>
      </c>
      <c r="B215">
        <f>IF($U215="","",IF(INDEX('Per Invoice'!B$2:B$401,$U215)="","",INDEX('Per Invoice'!B$2:B$401,$U215)))</f>
        <v/>
      </c>
      <c r="C215">
        <f>IF($U215="","",IF(INDEX('Per Invoice'!C$2:C$401,$U215)="","",INDEX('Per Invoice'!C$2:C$401,$U215)))</f>
        <v/>
      </c>
      <c r="D215">
        <f>IF($U215="","",IF(INDEX('Per Invoice'!D$2:D$401,$U215)="","",INDEX('Per Invoice'!D$2:D$401,$U215)))</f>
        <v/>
      </c>
      <c r="E215">
        <f>IF($U215="","",IF(INDEX('Per Invoice'!E$2:E$401,$U215)="","",INDEX('Per Invoice'!E$2:E$401,$U215)))</f>
        <v/>
      </c>
      <c r="F215">
        <f>IF($U215="","",IF(INDEX('Per Invoice'!F$2:F$401,$U215)="","",INDEX('Per Invoice'!F$2:F$401,$U215)))</f>
        <v/>
      </c>
      <c r="G215">
        <f>IF($U215="","",IF(INDEX('Per Invoice'!G$2:G$401,$U215)="","",INDEX('Per Invoice'!G$2:G$401,$U215)))</f>
        <v/>
      </c>
      <c r="H215" s="7">
        <f>IF($U215="","",IF(INDEX('Per Invoice'!H$2:H$401,$U215)="","",INDEX('Per Invoice'!H$2:H$401,$U215)))</f>
        <v/>
      </c>
      <c r="I215" s="14">
        <f>IF($U215="","",IF(INDEX('Per Invoice'!I$2:I$401,$U215)="","",INDEX('Per Invoice'!I$2:I$401,$U215)))</f>
        <v/>
      </c>
      <c r="J215">
        <f>IF($U215="","",IF(INDEX('Per Invoice'!J$2:J$401,$U215)="","",INDEX('Per Invoice'!J$2:J$401,$U215)))</f>
        <v/>
      </c>
      <c r="K215">
        <f>IF($U215="","",IF(INDEX('Per Invoice'!K$2:K$401,$U215)="","",INDEX('Per Invoice'!K$2:K$401,$U215)))</f>
        <v/>
      </c>
      <c r="L215" s="7">
        <f>IF($U215="","",IF(INDEX('Per Invoice'!L$2:L$401,$U215)="","",INDEX('Per Invoice'!L$2:L$401,$U215)))</f>
        <v/>
      </c>
      <c r="M215" s="7">
        <f>IF($U215="","",IF(INDEX('Per Invoice'!M$2:M$401,$U215)="","",INDEX('Per Invoice'!M$2:M$401,$U215)))</f>
        <v/>
      </c>
      <c r="N215">
        <f>IF($U215="","",IF(INDEX('Per Invoice'!N$2:N$401,$U215)="","",INDEX('Per Invoice'!N$2:N$401,$U215)))</f>
        <v/>
      </c>
      <c r="O215" s="7">
        <f>IF($U215="","",IF(INDEX('Per Invoice'!O$2:O$401,$U215)="","",INDEX('Per Invoice'!O$2:O$401,$U215)))</f>
        <v/>
      </c>
      <c r="P215" s="7">
        <f>IF($U215="","",IF(INDEX('Per Invoice'!P$2:P$401,$U215)="","",INDEX('Per Invoice'!P$2:P$401,$U215)))</f>
        <v/>
      </c>
      <c r="Q215" s="7">
        <f>IF($U215="","",IF(INDEX('Per Invoice'!Q$2:Q$401,$U215)="","",INDEX('Per Invoice'!Q$2:Q$401,$U215)))</f>
        <v/>
      </c>
      <c r="R215" s="7">
        <f>IF($U215="","",IF(INDEX('Per Invoice'!R$2:R$401,$U215)="","",INDEX('Per Invoice'!R$2:R$401,$U215)))</f>
        <v/>
      </c>
      <c r="S215" s="7">
        <f>IF($U215="","",IF(INDEX('Per Invoice'!S$2:S$401,$U215)="","",INDEX('Per Invoice'!S$2:S$401,$U215)))</f>
        <v/>
      </c>
      <c r="T215" s="7">
        <f>IF($U215="","",IF(INDEX('Per Invoice'!T$2:T$401,$U215)="","",INDEX('Per Invoice'!T$2:T$401,$U215)))</f>
        <v/>
      </c>
      <c r="U215" s="16">
        <f>IFERROR(MATCH(Settings!$C$26&amp;"|"&amp;ROWS($U$2:$U215),'Per Invoice'!$V$2:$V$401,0),"")</f>
        <v/>
      </c>
    </row>
    <row r="216">
      <c r="A216">
        <f>IF($U216="","",IF(INDEX('Per Invoice'!A$2:A$401,$U216)="","",INDEX('Per Invoice'!A$2:A$401,$U216)))</f>
        <v/>
      </c>
      <c r="B216">
        <f>IF($U216="","",IF(INDEX('Per Invoice'!B$2:B$401,$U216)="","",INDEX('Per Invoice'!B$2:B$401,$U216)))</f>
        <v/>
      </c>
      <c r="C216">
        <f>IF($U216="","",IF(INDEX('Per Invoice'!C$2:C$401,$U216)="","",INDEX('Per Invoice'!C$2:C$401,$U216)))</f>
        <v/>
      </c>
      <c r="D216">
        <f>IF($U216="","",IF(INDEX('Per Invoice'!D$2:D$401,$U216)="","",INDEX('Per Invoice'!D$2:D$401,$U216)))</f>
        <v/>
      </c>
      <c r="E216">
        <f>IF($U216="","",IF(INDEX('Per Invoice'!E$2:E$401,$U216)="","",INDEX('Per Invoice'!E$2:E$401,$U216)))</f>
        <v/>
      </c>
      <c r="F216">
        <f>IF($U216="","",IF(INDEX('Per Invoice'!F$2:F$401,$U216)="","",INDEX('Per Invoice'!F$2:F$401,$U216)))</f>
        <v/>
      </c>
      <c r="G216">
        <f>IF($U216="","",IF(INDEX('Per Invoice'!G$2:G$401,$U216)="","",INDEX('Per Invoice'!G$2:G$401,$U216)))</f>
        <v/>
      </c>
      <c r="H216" s="7">
        <f>IF($U216="","",IF(INDEX('Per Invoice'!H$2:H$401,$U216)="","",INDEX('Per Invoice'!H$2:H$401,$U216)))</f>
        <v/>
      </c>
      <c r="I216" s="14">
        <f>IF($U216="","",IF(INDEX('Per Invoice'!I$2:I$401,$U216)="","",INDEX('Per Invoice'!I$2:I$401,$U216)))</f>
        <v/>
      </c>
      <c r="J216">
        <f>IF($U216="","",IF(INDEX('Per Invoice'!J$2:J$401,$U216)="","",INDEX('Per Invoice'!J$2:J$401,$U216)))</f>
        <v/>
      </c>
      <c r="K216">
        <f>IF($U216="","",IF(INDEX('Per Invoice'!K$2:K$401,$U216)="","",INDEX('Per Invoice'!K$2:K$401,$U216)))</f>
        <v/>
      </c>
      <c r="L216" s="7">
        <f>IF($U216="","",IF(INDEX('Per Invoice'!L$2:L$401,$U216)="","",INDEX('Per Invoice'!L$2:L$401,$U216)))</f>
        <v/>
      </c>
      <c r="M216" s="7">
        <f>IF($U216="","",IF(INDEX('Per Invoice'!M$2:M$401,$U216)="","",INDEX('Per Invoice'!M$2:M$401,$U216)))</f>
        <v/>
      </c>
      <c r="N216">
        <f>IF($U216="","",IF(INDEX('Per Invoice'!N$2:N$401,$U216)="","",INDEX('Per Invoice'!N$2:N$401,$U216)))</f>
        <v/>
      </c>
      <c r="O216" s="7">
        <f>IF($U216="","",IF(INDEX('Per Invoice'!O$2:O$401,$U216)="","",INDEX('Per Invoice'!O$2:O$401,$U216)))</f>
        <v/>
      </c>
      <c r="P216" s="7">
        <f>IF($U216="","",IF(INDEX('Per Invoice'!P$2:P$401,$U216)="","",INDEX('Per Invoice'!P$2:P$401,$U216)))</f>
        <v/>
      </c>
      <c r="Q216" s="7">
        <f>IF($U216="","",IF(INDEX('Per Invoice'!Q$2:Q$401,$U216)="","",INDEX('Per Invoice'!Q$2:Q$401,$U216)))</f>
        <v/>
      </c>
      <c r="R216" s="7">
        <f>IF($U216="","",IF(INDEX('Per Invoice'!R$2:R$401,$U216)="","",INDEX('Per Invoice'!R$2:R$401,$U216)))</f>
        <v/>
      </c>
      <c r="S216" s="7">
        <f>IF($U216="","",IF(INDEX('Per Invoice'!S$2:S$401,$U216)="","",INDEX('Per Invoice'!S$2:S$401,$U216)))</f>
        <v/>
      </c>
      <c r="T216" s="7">
        <f>IF($U216="","",IF(INDEX('Per Invoice'!T$2:T$401,$U216)="","",INDEX('Per Invoice'!T$2:T$401,$U216)))</f>
        <v/>
      </c>
      <c r="U216" s="16">
        <f>IFERROR(MATCH(Settings!$C$26&amp;"|"&amp;ROWS($U$2:$U216),'Per Invoice'!$V$2:$V$401,0),"")</f>
        <v/>
      </c>
    </row>
    <row r="217">
      <c r="A217">
        <f>IF($U217="","",IF(INDEX('Per Invoice'!A$2:A$401,$U217)="","",INDEX('Per Invoice'!A$2:A$401,$U217)))</f>
        <v/>
      </c>
      <c r="B217">
        <f>IF($U217="","",IF(INDEX('Per Invoice'!B$2:B$401,$U217)="","",INDEX('Per Invoice'!B$2:B$401,$U217)))</f>
        <v/>
      </c>
      <c r="C217">
        <f>IF($U217="","",IF(INDEX('Per Invoice'!C$2:C$401,$U217)="","",INDEX('Per Invoice'!C$2:C$401,$U217)))</f>
        <v/>
      </c>
      <c r="D217">
        <f>IF($U217="","",IF(INDEX('Per Invoice'!D$2:D$401,$U217)="","",INDEX('Per Invoice'!D$2:D$401,$U217)))</f>
        <v/>
      </c>
      <c r="E217">
        <f>IF($U217="","",IF(INDEX('Per Invoice'!E$2:E$401,$U217)="","",INDEX('Per Invoice'!E$2:E$401,$U217)))</f>
        <v/>
      </c>
      <c r="F217">
        <f>IF($U217="","",IF(INDEX('Per Invoice'!F$2:F$401,$U217)="","",INDEX('Per Invoice'!F$2:F$401,$U217)))</f>
        <v/>
      </c>
      <c r="G217">
        <f>IF($U217="","",IF(INDEX('Per Invoice'!G$2:G$401,$U217)="","",INDEX('Per Invoice'!G$2:G$401,$U217)))</f>
        <v/>
      </c>
      <c r="H217" s="7">
        <f>IF($U217="","",IF(INDEX('Per Invoice'!H$2:H$401,$U217)="","",INDEX('Per Invoice'!H$2:H$401,$U217)))</f>
        <v/>
      </c>
      <c r="I217" s="14">
        <f>IF($U217="","",IF(INDEX('Per Invoice'!I$2:I$401,$U217)="","",INDEX('Per Invoice'!I$2:I$401,$U217)))</f>
        <v/>
      </c>
      <c r="J217">
        <f>IF($U217="","",IF(INDEX('Per Invoice'!J$2:J$401,$U217)="","",INDEX('Per Invoice'!J$2:J$401,$U217)))</f>
        <v/>
      </c>
      <c r="K217">
        <f>IF($U217="","",IF(INDEX('Per Invoice'!K$2:K$401,$U217)="","",INDEX('Per Invoice'!K$2:K$401,$U217)))</f>
        <v/>
      </c>
      <c r="L217" s="7">
        <f>IF($U217="","",IF(INDEX('Per Invoice'!L$2:L$401,$U217)="","",INDEX('Per Invoice'!L$2:L$401,$U217)))</f>
        <v/>
      </c>
      <c r="M217" s="7">
        <f>IF($U217="","",IF(INDEX('Per Invoice'!M$2:M$401,$U217)="","",INDEX('Per Invoice'!M$2:M$401,$U217)))</f>
        <v/>
      </c>
      <c r="N217">
        <f>IF($U217="","",IF(INDEX('Per Invoice'!N$2:N$401,$U217)="","",INDEX('Per Invoice'!N$2:N$401,$U217)))</f>
        <v/>
      </c>
      <c r="O217" s="7">
        <f>IF($U217="","",IF(INDEX('Per Invoice'!O$2:O$401,$U217)="","",INDEX('Per Invoice'!O$2:O$401,$U217)))</f>
        <v/>
      </c>
      <c r="P217" s="7">
        <f>IF($U217="","",IF(INDEX('Per Invoice'!P$2:P$401,$U217)="","",INDEX('Per Invoice'!P$2:P$401,$U217)))</f>
        <v/>
      </c>
      <c r="Q217" s="7">
        <f>IF($U217="","",IF(INDEX('Per Invoice'!Q$2:Q$401,$U217)="","",INDEX('Per Invoice'!Q$2:Q$401,$U217)))</f>
        <v/>
      </c>
      <c r="R217" s="7">
        <f>IF($U217="","",IF(INDEX('Per Invoice'!R$2:R$401,$U217)="","",INDEX('Per Invoice'!R$2:R$401,$U217)))</f>
        <v/>
      </c>
      <c r="S217" s="7">
        <f>IF($U217="","",IF(INDEX('Per Invoice'!S$2:S$401,$U217)="","",INDEX('Per Invoice'!S$2:S$401,$U217)))</f>
        <v/>
      </c>
      <c r="T217" s="7">
        <f>IF($U217="","",IF(INDEX('Per Invoice'!T$2:T$401,$U217)="","",INDEX('Per Invoice'!T$2:T$401,$U217)))</f>
        <v/>
      </c>
      <c r="U217" s="16">
        <f>IFERROR(MATCH(Settings!$C$26&amp;"|"&amp;ROWS($U$2:$U217),'Per Invoice'!$V$2:$V$401,0),"")</f>
        <v/>
      </c>
    </row>
    <row r="218">
      <c r="A218">
        <f>IF($U218="","",IF(INDEX('Per Invoice'!A$2:A$401,$U218)="","",INDEX('Per Invoice'!A$2:A$401,$U218)))</f>
        <v/>
      </c>
      <c r="B218">
        <f>IF($U218="","",IF(INDEX('Per Invoice'!B$2:B$401,$U218)="","",INDEX('Per Invoice'!B$2:B$401,$U218)))</f>
        <v/>
      </c>
      <c r="C218">
        <f>IF($U218="","",IF(INDEX('Per Invoice'!C$2:C$401,$U218)="","",INDEX('Per Invoice'!C$2:C$401,$U218)))</f>
        <v/>
      </c>
      <c r="D218">
        <f>IF($U218="","",IF(INDEX('Per Invoice'!D$2:D$401,$U218)="","",INDEX('Per Invoice'!D$2:D$401,$U218)))</f>
        <v/>
      </c>
      <c r="E218">
        <f>IF($U218="","",IF(INDEX('Per Invoice'!E$2:E$401,$U218)="","",INDEX('Per Invoice'!E$2:E$401,$U218)))</f>
        <v/>
      </c>
      <c r="F218">
        <f>IF($U218="","",IF(INDEX('Per Invoice'!F$2:F$401,$U218)="","",INDEX('Per Invoice'!F$2:F$401,$U218)))</f>
        <v/>
      </c>
      <c r="G218">
        <f>IF($U218="","",IF(INDEX('Per Invoice'!G$2:G$401,$U218)="","",INDEX('Per Invoice'!G$2:G$401,$U218)))</f>
        <v/>
      </c>
      <c r="H218" s="7">
        <f>IF($U218="","",IF(INDEX('Per Invoice'!H$2:H$401,$U218)="","",INDEX('Per Invoice'!H$2:H$401,$U218)))</f>
        <v/>
      </c>
      <c r="I218" s="14">
        <f>IF($U218="","",IF(INDEX('Per Invoice'!I$2:I$401,$U218)="","",INDEX('Per Invoice'!I$2:I$401,$U218)))</f>
        <v/>
      </c>
      <c r="J218">
        <f>IF($U218="","",IF(INDEX('Per Invoice'!J$2:J$401,$U218)="","",INDEX('Per Invoice'!J$2:J$401,$U218)))</f>
        <v/>
      </c>
      <c r="K218">
        <f>IF($U218="","",IF(INDEX('Per Invoice'!K$2:K$401,$U218)="","",INDEX('Per Invoice'!K$2:K$401,$U218)))</f>
        <v/>
      </c>
      <c r="L218" s="7">
        <f>IF($U218="","",IF(INDEX('Per Invoice'!L$2:L$401,$U218)="","",INDEX('Per Invoice'!L$2:L$401,$U218)))</f>
        <v/>
      </c>
      <c r="M218" s="7">
        <f>IF($U218="","",IF(INDEX('Per Invoice'!M$2:M$401,$U218)="","",INDEX('Per Invoice'!M$2:M$401,$U218)))</f>
        <v/>
      </c>
      <c r="N218">
        <f>IF($U218="","",IF(INDEX('Per Invoice'!N$2:N$401,$U218)="","",INDEX('Per Invoice'!N$2:N$401,$U218)))</f>
        <v/>
      </c>
      <c r="O218" s="7">
        <f>IF($U218="","",IF(INDEX('Per Invoice'!O$2:O$401,$U218)="","",INDEX('Per Invoice'!O$2:O$401,$U218)))</f>
        <v/>
      </c>
      <c r="P218" s="7">
        <f>IF($U218="","",IF(INDEX('Per Invoice'!P$2:P$401,$U218)="","",INDEX('Per Invoice'!P$2:P$401,$U218)))</f>
        <v/>
      </c>
      <c r="Q218" s="7">
        <f>IF($U218="","",IF(INDEX('Per Invoice'!Q$2:Q$401,$U218)="","",INDEX('Per Invoice'!Q$2:Q$401,$U218)))</f>
        <v/>
      </c>
      <c r="R218" s="7">
        <f>IF($U218="","",IF(INDEX('Per Invoice'!R$2:R$401,$U218)="","",INDEX('Per Invoice'!R$2:R$401,$U218)))</f>
        <v/>
      </c>
      <c r="S218" s="7">
        <f>IF($U218="","",IF(INDEX('Per Invoice'!S$2:S$401,$U218)="","",INDEX('Per Invoice'!S$2:S$401,$U218)))</f>
        <v/>
      </c>
      <c r="T218" s="7">
        <f>IF($U218="","",IF(INDEX('Per Invoice'!T$2:T$401,$U218)="","",INDEX('Per Invoice'!T$2:T$401,$U218)))</f>
        <v/>
      </c>
      <c r="U218" s="16">
        <f>IFERROR(MATCH(Settings!$C$26&amp;"|"&amp;ROWS($U$2:$U218),'Per Invoice'!$V$2:$V$401,0),"")</f>
        <v/>
      </c>
    </row>
    <row r="219">
      <c r="A219">
        <f>IF($U219="","",IF(INDEX('Per Invoice'!A$2:A$401,$U219)="","",INDEX('Per Invoice'!A$2:A$401,$U219)))</f>
        <v/>
      </c>
      <c r="B219">
        <f>IF($U219="","",IF(INDEX('Per Invoice'!B$2:B$401,$U219)="","",INDEX('Per Invoice'!B$2:B$401,$U219)))</f>
        <v/>
      </c>
      <c r="C219">
        <f>IF($U219="","",IF(INDEX('Per Invoice'!C$2:C$401,$U219)="","",INDEX('Per Invoice'!C$2:C$401,$U219)))</f>
        <v/>
      </c>
      <c r="D219">
        <f>IF($U219="","",IF(INDEX('Per Invoice'!D$2:D$401,$U219)="","",INDEX('Per Invoice'!D$2:D$401,$U219)))</f>
        <v/>
      </c>
      <c r="E219">
        <f>IF($U219="","",IF(INDEX('Per Invoice'!E$2:E$401,$U219)="","",INDEX('Per Invoice'!E$2:E$401,$U219)))</f>
        <v/>
      </c>
      <c r="F219">
        <f>IF($U219="","",IF(INDEX('Per Invoice'!F$2:F$401,$U219)="","",INDEX('Per Invoice'!F$2:F$401,$U219)))</f>
        <v/>
      </c>
      <c r="G219">
        <f>IF($U219="","",IF(INDEX('Per Invoice'!G$2:G$401,$U219)="","",INDEX('Per Invoice'!G$2:G$401,$U219)))</f>
        <v/>
      </c>
      <c r="H219" s="7">
        <f>IF($U219="","",IF(INDEX('Per Invoice'!H$2:H$401,$U219)="","",INDEX('Per Invoice'!H$2:H$401,$U219)))</f>
        <v/>
      </c>
      <c r="I219" s="14">
        <f>IF($U219="","",IF(INDEX('Per Invoice'!I$2:I$401,$U219)="","",INDEX('Per Invoice'!I$2:I$401,$U219)))</f>
        <v/>
      </c>
      <c r="J219">
        <f>IF($U219="","",IF(INDEX('Per Invoice'!J$2:J$401,$U219)="","",INDEX('Per Invoice'!J$2:J$401,$U219)))</f>
        <v/>
      </c>
      <c r="K219">
        <f>IF($U219="","",IF(INDEX('Per Invoice'!K$2:K$401,$U219)="","",INDEX('Per Invoice'!K$2:K$401,$U219)))</f>
        <v/>
      </c>
      <c r="L219" s="7">
        <f>IF($U219="","",IF(INDEX('Per Invoice'!L$2:L$401,$U219)="","",INDEX('Per Invoice'!L$2:L$401,$U219)))</f>
        <v/>
      </c>
      <c r="M219" s="7">
        <f>IF($U219="","",IF(INDEX('Per Invoice'!M$2:M$401,$U219)="","",INDEX('Per Invoice'!M$2:M$401,$U219)))</f>
        <v/>
      </c>
      <c r="N219">
        <f>IF($U219="","",IF(INDEX('Per Invoice'!N$2:N$401,$U219)="","",INDEX('Per Invoice'!N$2:N$401,$U219)))</f>
        <v/>
      </c>
      <c r="O219" s="7">
        <f>IF($U219="","",IF(INDEX('Per Invoice'!O$2:O$401,$U219)="","",INDEX('Per Invoice'!O$2:O$401,$U219)))</f>
        <v/>
      </c>
      <c r="P219" s="7">
        <f>IF($U219="","",IF(INDEX('Per Invoice'!P$2:P$401,$U219)="","",INDEX('Per Invoice'!P$2:P$401,$U219)))</f>
        <v/>
      </c>
      <c r="Q219" s="7">
        <f>IF($U219="","",IF(INDEX('Per Invoice'!Q$2:Q$401,$U219)="","",INDEX('Per Invoice'!Q$2:Q$401,$U219)))</f>
        <v/>
      </c>
      <c r="R219" s="7">
        <f>IF($U219="","",IF(INDEX('Per Invoice'!R$2:R$401,$U219)="","",INDEX('Per Invoice'!R$2:R$401,$U219)))</f>
        <v/>
      </c>
      <c r="S219" s="7">
        <f>IF($U219="","",IF(INDEX('Per Invoice'!S$2:S$401,$U219)="","",INDEX('Per Invoice'!S$2:S$401,$U219)))</f>
        <v/>
      </c>
      <c r="T219" s="7">
        <f>IF($U219="","",IF(INDEX('Per Invoice'!T$2:T$401,$U219)="","",INDEX('Per Invoice'!T$2:T$401,$U219)))</f>
        <v/>
      </c>
      <c r="U219" s="16">
        <f>IFERROR(MATCH(Settings!$C$26&amp;"|"&amp;ROWS($U$2:$U219),'Per Invoice'!$V$2:$V$401,0),"")</f>
        <v/>
      </c>
    </row>
    <row r="220">
      <c r="A220">
        <f>IF($U220="","",IF(INDEX('Per Invoice'!A$2:A$401,$U220)="","",INDEX('Per Invoice'!A$2:A$401,$U220)))</f>
        <v/>
      </c>
      <c r="B220">
        <f>IF($U220="","",IF(INDEX('Per Invoice'!B$2:B$401,$U220)="","",INDEX('Per Invoice'!B$2:B$401,$U220)))</f>
        <v/>
      </c>
      <c r="C220">
        <f>IF($U220="","",IF(INDEX('Per Invoice'!C$2:C$401,$U220)="","",INDEX('Per Invoice'!C$2:C$401,$U220)))</f>
        <v/>
      </c>
      <c r="D220">
        <f>IF($U220="","",IF(INDEX('Per Invoice'!D$2:D$401,$U220)="","",INDEX('Per Invoice'!D$2:D$401,$U220)))</f>
        <v/>
      </c>
      <c r="E220">
        <f>IF($U220="","",IF(INDEX('Per Invoice'!E$2:E$401,$U220)="","",INDEX('Per Invoice'!E$2:E$401,$U220)))</f>
        <v/>
      </c>
      <c r="F220">
        <f>IF($U220="","",IF(INDEX('Per Invoice'!F$2:F$401,$U220)="","",INDEX('Per Invoice'!F$2:F$401,$U220)))</f>
        <v/>
      </c>
      <c r="G220">
        <f>IF($U220="","",IF(INDEX('Per Invoice'!G$2:G$401,$U220)="","",INDEX('Per Invoice'!G$2:G$401,$U220)))</f>
        <v/>
      </c>
      <c r="H220" s="7">
        <f>IF($U220="","",IF(INDEX('Per Invoice'!H$2:H$401,$U220)="","",INDEX('Per Invoice'!H$2:H$401,$U220)))</f>
        <v/>
      </c>
      <c r="I220" s="14">
        <f>IF($U220="","",IF(INDEX('Per Invoice'!I$2:I$401,$U220)="","",INDEX('Per Invoice'!I$2:I$401,$U220)))</f>
        <v/>
      </c>
      <c r="J220">
        <f>IF($U220="","",IF(INDEX('Per Invoice'!J$2:J$401,$U220)="","",INDEX('Per Invoice'!J$2:J$401,$U220)))</f>
        <v/>
      </c>
      <c r="K220">
        <f>IF($U220="","",IF(INDEX('Per Invoice'!K$2:K$401,$U220)="","",INDEX('Per Invoice'!K$2:K$401,$U220)))</f>
        <v/>
      </c>
      <c r="L220" s="7">
        <f>IF($U220="","",IF(INDEX('Per Invoice'!L$2:L$401,$U220)="","",INDEX('Per Invoice'!L$2:L$401,$U220)))</f>
        <v/>
      </c>
      <c r="M220" s="7">
        <f>IF($U220="","",IF(INDEX('Per Invoice'!M$2:M$401,$U220)="","",INDEX('Per Invoice'!M$2:M$401,$U220)))</f>
        <v/>
      </c>
      <c r="N220">
        <f>IF($U220="","",IF(INDEX('Per Invoice'!N$2:N$401,$U220)="","",INDEX('Per Invoice'!N$2:N$401,$U220)))</f>
        <v/>
      </c>
      <c r="O220" s="7">
        <f>IF($U220="","",IF(INDEX('Per Invoice'!O$2:O$401,$U220)="","",INDEX('Per Invoice'!O$2:O$401,$U220)))</f>
        <v/>
      </c>
      <c r="P220" s="7">
        <f>IF($U220="","",IF(INDEX('Per Invoice'!P$2:P$401,$U220)="","",INDEX('Per Invoice'!P$2:P$401,$U220)))</f>
        <v/>
      </c>
      <c r="Q220" s="7">
        <f>IF($U220="","",IF(INDEX('Per Invoice'!Q$2:Q$401,$U220)="","",INDEX('Per Invoice'!Q$2:Q$401,$U220)))</f>
        <v/>
      </c>
      <c r="R220" s="7">
        <f>IF($U220="","",IF(INDEX('Per Invoice'!R$2:R$401,$U220)="","",INDEX('Per Invoice'!R$2:R$401,$U220)))</f>
        <v/>
      </c>
      <c r="S220" s="7">
        <f>IF($U220="","",IF(INDEX('Per Invoice'!S$2:S$401,$U220)="","",INDEX('Per Invoice'!S$2:S$401,$U220)))</f>
        <v/>
      </c>
      <c r="T220" s="7">
        <f>IF($U220="","",IF(INDEX('Per Invoice'!T$2:T$401,$U220)="","",INDEX('Per Invoice'!T$2:T$401,$U220)))</f>
        <v/>
      </c>
      <c r="U220" s="16">
        <f>IFERROR(MATCH(Settings!$C$26&amp;"|"&amp;ROWS($U$2:$U220),'Per Invoice'!$V$2:$V$401,0),"")</f>
        <v/>
      </c>
    </row>
    <row r="221">
      <c r="A221">
        <f>IF($U221="","",IF(INDEX('Per Invoice'!A$2:A$401,$U221)="","",INDEX('Per Invoice'!A$2:A$401,$U221)))</f>
        <v/>
      </c>
      <c r="B221">
        <f>IF($U221="","",IF(INDEX('Per Invoice'!B$2:B$401,$U221)="","",INDEX('Per Invoice'!B$2:B$401,$U221)))</f>
        <v/>
      </c>
      <c r="C221">
        <f>IF($U221="","",IF(INDEX('Per Invoice'!C$2:C$401,$U221)="","",INDEX('Per Invoice'!C$2:C$401,$U221)))</f>
        <v/>
      </c>
      <c r="D221">
        <f>IF($U221="","",IF(INDEX('Per Invoice'!D$2:D$401,$U221)="","",INDEX('Per Invoice'!D$2:D$401,$U221)))</f>
        <v/>
      </c>
      <c r="E221">
        <f>IF($U221="","",IF(INDEX('Per Invoice'!E$2:E$401,$U221)="","",INDEX('Per Invoice'!E$2:E$401,$U221)))</f>
        <v/>
      </c>
      <c r="F221">
        <f>IF($U221="","",IF(INDEX('Per Invoice'!F$2:F$401,$U221)="","",INDEX('Per Invoice'!F$2:F$401,$U221)))</f>
        <v/>
      </c>
      <c r="G221">
        <f>IF($U221="","",IF(INDEX('Per Invoice'!G$2:G$401,$U221)="","",INDEX('Per Invoice'!G$2:G$401,$U221)))</f>
        <v/>
      </c>
      <c r="H221" s="7">
        <f>IF($U221="","",IF(INDEX('Per Invoice'!H$2:H$401,$U221)="","",INDEX('Per Invoice'!H$2:H$401,$U221)))</f>
        <v/>
      </c>
      <c r="I221" s="14">
        <f>IF($U221="","",IF(INDEX('Per Invoice'!I$2:I$401,$U221)="","",INDEX('Per Invoice'!I$2:I$401,$U221)))</f>
        <v/>
      </c>
      <c r="J221">
        <f>IF($U221="","",IF(INDEX('Per Invoice'!J$2:J$401,$U221)="","",INDEX('Per Invoice'!J$2:J$401,$U221)))</f>
        <v/>
      </c>
      <c r="K221">
        <f>IF($U221="","",IF(INDEX('Per Invoice'!K$2:K$401,$U221)="","",INDEX('Per Invoice'!K$2:K$401,$U221)))</f>
        <v/>
      </c>
      <c r="L221" s="7">
        <f>IF($U221="","",IF(INDEX('Per Invoice'!L$2:L$401,$U221)="","",INDEX('Per Invoice'!L$2:L$401,$U221)))</f>
        <v/>
      </c>
      <c r="M221" s="7">
        <f>IF($U221="","",IF(INDEX('Per Invoice'!M$2:M$401,$U221)="","",INDEX('Per Invoice'!M$2:M$401,$U221)))</f>
        <v/>
      </c>
      <c r="N221">
        <f>IF($U221="","",IF(INDEX('Per Invoice'!N$2:N$401,$U221)="","",INDEX('Per Invoice'!N$2:N$401,$U221)))</f>
        <v/>
      </c>
      <c r="O221" s="7">
        <f>IF($U221="","",IF(INDEX('Per Invoice'!O$2:O$401,$U221)="","",INDEX('Per Invoice'!O$2:O$401,$U221)))</f>
        <v/>
      </c>
      <c r="P221" s="7">
        <f>IF($U221="","",IF(INDEX('Per Invoice'!P$2:P$401,$U221)="","",INDEX('Per Invoice'!P$2:P$401,$U221)))</f>
        <v/>
      </c>
      <c r="Q221" s="7">
        <f>IF($U221="","",IF(INDEX('Per Invoice'!Q$2:Q$401,$U221)="","",INDEX('Per Invoice'!Q$2:Q$401,$U221)))</f>
        <v/>
      </c>
      <c r="R221" s="7">
        <f>IF($U221="","",IF(INDEX('Per Invoice'!R$2:R$401,$U221)="","",INDEX('Per Invoice'!R$2:R$401,$U221)))</f>
        <v/>
      </c>
      <c r="S221" s="7">
        <f>IF($U221="","",IF(INDEX('Per Invoice'!S$2:S$401,$U221)="","",INDEX('Per Invoice'!S$2:S$401,$U221)))</f>
        <v/>
      </c>
      <c r="T221" s="7">
        <f>IF($U221="","",IF(INDEX('Per Invoice'!T$2:T$401,$U221)="","",INDEX('Per Invoice'!T$2:T$401,$U221)))</f>
        <v/>
      </c>
      <c r="U221" s="16">
        <f>IFERROR(MATCH(Settings!$C$26&amp;"|"&amp;ROWS($U$2:$U221),'Per Invoice'!$V$2:$V$401,0),"")</f>
        <v/>
      </c>
    </row>
    <row r="222">
      <c r="A222">
        <f>IF($U222="","",IF(INDEX('Per Invoice'!A$2:A$401,$U222)="","",INDEX('Per Invoice'!A$2:A$401,$U222)))</f>
        <v/>
      </c>
      <c r="B222">
        <f>IF($U222="","",IF(INDEX('Per Invoice'!B$2:B$401,$U222)="","",INDEX('Per Invoice'!B$2:B$401,$U222)))</f>
        <v/>
      </c>
      <c r="C222">
        <f>IF($U222="","",IF(INDEX('Per Invoice'!C$2:C$401,$U222)="","",INDEX('Per Invoice'!C$2:C$401,$U222)))</f>
        <v/>
      </c>
      <c r="D222">
        <f>IF($U222="","",IF(INDEX('Per Invoice'!D$2:D$401,$U222)="","",INDEX('Per Invoice'!D$2:D$401,$U222)))</f>
        <v/>
      </c>
      <c r="E222">
        <f>IF($U222="","",IF(INDEX('Per Invoice'!E$2:E$401,$U222)="","",INDEX('Per Invoice'!E$2:E$401,$U222)))</f>
        <v/>
      </c>
      <c r="F222">
        <f>IF($U222="","",IF(INDEX('Per Invoice'!F$2:F$401,$U222)="","",INDEX('Per Invoice'!F$2:F$401,$U222)))</f>
        <v/>
      </c>
      <c r="G222">
        <f>IF($U222="","",IF(INDEX('Per Invoice'!G$2:G$401,$U222)="","",INDEX('Per Invoice'!G$2:G$401,$U222)))</f>
        <v/>
      </c>
      <c r="H222" s="7">
        <f>IF($U222="","",IF(INDEX('Per Invoice'!H$2:H$401,$U222)="","",INDEX('Per Invoice'!H$2:H$401,$U222)))</f>
        <v/>
      </c>
      <c r="I222" s="14">
        <f>IF($U222="","",IF(INDEX('Per Invoice'!I$2:I$401,$U222)="","",INDEX('Per Invoice'!I$2:I$401,$U222)))</f>
        <v/>
      </c>
      <c r="J222">
        <f>IF($U222="","",IF(INDEX('Per Invoice'!J$2:J$401,$U222)="","",INDEX('Per Invoice'!J$2:J$401,$U222)))</f>
        <v/>
      </c>
      <c r="K222">
        <f>IF($U222="","",IF(INDEX('Per Invoice'!K$2:K$401,$U222)="","",INDEX('Per Invoice'!K$2:K$401,$U222)))</f>
        <v/>
      </c>
      <c r="L222" s="7">
        <f>IF($U222="","",IF(INDEX('Per Invoice'!L$2:L$401,$U222)="","",INDEX('Per Invoice'!L$2:L$401,$U222)))</f>
        <v/>
      </c>
      <c r="M222" s="7">
        <f>IF($U222="","",IF(INDEX('Per Invoice'!M$2:M$401,$U222)="","",INDEX('Per Invoice'!M$2:M$401,$U222)))</f>
        <v/>
      </c>
      <c r="N222">
        <f>IF($U222="","",IF(INDEX('Per Invoice'!N$2:N$401,$U222)="","",INDEX('Per Invoice'!N$2:N$401,$U222)))</f>
        <v/>
      </c>
      <c r="O222" s="7">
        <f>IF($U222="","",IF(INDEX('Per Invoice'!O$2:O$401,$U222)="","",INDEX('Per Invoice'!O$2:O$401,$U222)))</f>
        <v/>
      </c>
      <c r="P222" s="7">
        <f>IF($U222="","",IF(INDEX('Per Invoice'!P$2:P$401,$U222)="","",INDEX('Per Invoice'!P$2:P$401,$U222)))</f>
        <v/>
      </c>
      <c r="Q222" s="7">
        <f>IF($U222="","",IF(INDEX('Per Invoice'!Q$2:Q$401,$U222)="","",INDEX('Per Invoice'!Q$2:Q$401,$U222)))</f>
        <v/>
      </c>
      <c r="R222" s="7">
        <f>IF($U222="","",IF(INDEX('Per Invoice'!R$2:R$401,$U222)="","",INDEX('Per Invoice'!R$2:R$401,$U222)))</f>
        <v/>
      </c>
      <c r="S222" s="7">
        <f>IF($U222="","",IF(INDEX('Per Invoice'!S$2:S$401,$U222)="","",INDEX('Per Invoice'!S$2:S$401,$U222)))</f>
        <v/>
      </c>
      <c r="T222" s="7">
        <f>IF($U222="","",IF(INDEX('Per Invoice'!T$2:T$401,$U222)="","",INDEX('Per Invoice'!T$2:T$401,$U222)))</f>
        <v/>
      </c>
      <c r="U222" s="16">
        <f>IFERROR(MATCH(Settings!$C$26&amp;"|"&amp;ROWS($U$2:$U222),'Per Invoice'!$V$2:$V$401,0),"")</f>
        <v/>
      </c>
    </row>
    <row r="223">
      <c r="A223">
        <f>IF($U223="","",IF(INDEX('Per Invoice'!A$2:A$401,$U223)="","",INDEX('Per Invoice'!A$2:A$401,$U223)))</f>
        <v/>
      </c>
      <c r="B223">
        <f>IF($U223="","",IF(INDEX('Per Invoice'!B$2:B$401,$U223)="","",INDEX('Per Invoice'!B$2:B$401,$U223)))</f>
        <v/>
      </c>
      <c r="C223">
        <f>IF($U223="","",IF(INDEX('Per Invoice'!C$2:C$401,$U223)="","",INDEX('Per Invoice'!C$2:C$401,$U223)))</f>
        <v/>
      </c>
      <c r="D223">
        <f>IF($U223="","",IF(INDEX('Per Invoice'!D$2:D$401,$U223)="","",INDEX('Per Invoice'!D$2:D$401,$U223)))</f>
        <v/>
      </c>
      <c r="E223">
        <f>IF($U223="","",IF(INDEX('Per Invoice'!E$2:E$401,$U223)="","",INDEX('Per Invoice'!E$2:E$401,$U223)))</f>
        <v/>
      </c>
      <c r="F223">
        <f>IF($U223="","",IF(INDEX('Per Invoice'!F$2:F$401,$U223)="","",INDEX('Per Invoice'!F$2:F$401,$U223)))</f>
        <v/>
      </c>
      <c r="G223">
        <f>IF($U223="","",IF(INDEX('Per Invoice'!G$2:G$401,$U223)="","",INDEX('Per Invoice'!G$2:G$401,$U223)))</f>
        <v/>
      </c>
      <c r="H223" s="7">
        <f>IF($U223="","",IF(INDEX('Per Invoice'!H$2:H$401,$U223)="","",INDEX('Per Invoice'!H$2:H$401,$U223)))</f>
        <v/>
      </c>
      <c r="I223" s="14">
        <f>IF($U223="","",IF(INDEX('Per Invoice'!I$2:I$401,$U223)="","",INDEX('Per Invoice'!I$2:I$401,$U223)))</f>
        <v/>
      </c>
      <c r="J223">
        <f>IF($U223="","",IF(INDEX('Per Invoice'!J$2:J$401,$U223)="","",INDEX('Per Invoice'!J$2:J$401,$U223)))</f>
        <v/>
      </c>
      <c r="K223">
        <f>IF($U223="","",IF(INDEX('Per Invoice'!K$2:K$401,$U223)="","",INDEX('Per Invoice'!K$2:K$401,$U223)))</f>
        <v/>
      </c>
      <c r="L223" s="7">
        <f>IF($U223="","",IF(INDEX('Per Invoice'!L$2:L$401,$U223)="","",INDEX('Per Invoice'!L$2:L$401,$U223)))</f>
        <v/>
      </c>
      <c r="M223" s="7">
        <f>IF($U223="","",IF(INDEX('Per Invoice'!M$2:M$401,$U223)="","",INDEX('Per Invoice'!M$2:M$401,$U223)))</f>
        <v/>
      </c>
      <c r="N223">
        <f>IF($U223="","",IF(INDEX('Per Invoice'!N$2:N$401,$U223)="","",INDEX('Per Invoice'!N$2:N$401,$U223)))</f>
        <v/>
      </c>
      <c r="O223" s="7">
        <f>IF($U223="","",IF(INDEX('Per Invoice'!O$2:O$401,$U223)="","",INDEX('Per Invoice'!O$2:O$401,$U223)))</f>
        <v/>
      </c>
      <c r="P223" s="7">
        <f>IF($U223="","",IF(INDEX('Per Invoice'!P$2:P$401,$U223)="","",INDEX('Per Invoice'!P$2:P$401,$U223)))</f>
        <v/>
      </c>
      <c r="Q223" s="7">
        <f>IF($U223="","",IF(INDEX('Per Invoice'!Q$2:Q$401,$U223)="","",INDEX('Per Invoice'!Q$2:Q$401,$U223)))</f>
        <v/>
      </c>
      <c r="R223" s="7">
        <f>IF($U223="","",IF(INDEX('Per Invoice'!R$2:R$401,$U223)="","",INDEX('Per Invoice'!R$2:R$401,$U223)))</f>
        <v/>
      </c>
      <c r="S223" s="7">
        <f>IF($U223="","",IF(INDEX('Per Invoice'!S$2:S$401,$U223)="","",INDEX('Per Invoice'!S$2:S$401,$U223)))</f>
        <v/>
      </c>
      <c r="T223" s="7">
        <f>IF($U223="","",IF(INDEX('Per Invoice'!T$2:T$401,$U223)="","",INDEX('Per Invoice'!T$2:T$401,$U223)))</f>
        <v/>
      </c>
      <c r="U223" s="16">
        <f>IFERROR(MATCH(Settings!$C$26&amp;"|"&amp;ROWS($U$2:$U223),'Per Invoice'!$V$2:$V$401,0),"")</f>
        <v/>
      </c>
    </row>
    <row r="224">
      <c r="A224">
        <f>IF($U224="","",IF(INDEX('Per Invoice'!A$2:A$401,$U224)="","",INDEX('Per Invoice'!A$2:A$401,$U224)))</f>
        <v/>
      </c>
      <c r="B224">
        <f>IF($U224="","",IF(INDEX('Per Invoice'!B$2:B$401,$U224)="","",INDEX('Per Invoice'!B$2:B$401,$U224)))</f>
        <v/>
      </c>
      <c r="C224">
        <f>IF($U224="","",IF(INDEX('Per Invoice'!C$2:C$401,$U224)="","",INDEX('Per Invoice'!C$2:C$401,$U224)))</f>
        <v/>
      </c>
      <c r="D224">
        <f>IF($U224="","",IF(INDEX('Per Invoice'!D$2:D$401,$U224)="","",INDEX('Per Invoice'!D$2:D$401,$U224)))</f>
        <v/>
      </c>
      <c r="E224">
        <f>IF($U224="","",IF(INDEX('Per Invoice'!E$2:E$401,$U224)="","",INDEX('Per Invoice'!E$2:E$401,$U224)))</f>
        <v/>
      </c>
      <c r="F224">
        <f>IF($U224="","",IF(INDEX('Per Invoice'!F$2:F$401,$U224)="","",INDEX('Per Invoice'!F$2:F$401,$U224)))</f>
        <v/>
      </c>
      <c r="G224">
        <f>IF($U224="","",IF(INDEX('Per Invoice'!G$2:G$401,$U224)="","",INDEX('Per Invoice'!G$2:G$401,$U224)))</f>
        <v/>
      </c>
      <c r="H224" s="7">
        <f>IF($U224="","",IF(INDEX('Per Invoice'!H$2:H$401,$U224)="","",INDEX('Per Invoice'!H$2:H$401,$U224)))</f>
        <v/>
      </c>
      <c r="I224" s="14">
        <f>IF($U224="","",IF(INDEX('Per Invoice'!I$2:I$401,$U224)="","",INDEX('Per Invoice'!I$2:I$401,$U224)))</f>
        <v/>
      </c>
      <c r="J224">
        <f>IF($U224="","",IF(INDEX('Per Invoice'!J$2:J$401,$U224)="","",INDEX('Per Invoice'!J$2:J$401,$U224)))</f>
        <v/>
      </c>
      <c r="K224">
        <f>IF($U224="","",IF(INDEX('Per Invoice'!K$2:K$401,$U224)="","",INDEX('Per Invoice'!K$2:K$401,$U224)))</f>
        <v/>
      </c>
      <c r="L224" s="7">
        <f>IF($U224="","",IF(INDEX('Per Invoice'!L$2:L$401,$U224)="","",INDEX('Per Invoice'!L$2:L$401,$U224)))</f>
        <v/>
      </c>
      <c r="M224" s="7">
        <f>IF($U224="","",IF(INDEX('Per Invoice'!M$2:M$401,$U224)="","",INDEX('Per Invoice'!M$2:M$401,$U224)))</f>
        <v/>
      </c>
      <c r="N224">
        <f>IF($U224="","",IF(INDEX('Per Invoice'!N$2:N$401,$U224)="","",INDEX('Per Invoice'!N$2:N$401,$U224)))</f>
        <v/>
      </c>
      <c r="O224" s="7">
        <f>IF($U224="","",IF(INDEX('Per Invoice'!O$2:O$401,$U224)="","",INDEX('Per Invoice'!O$2:O$401,$U224)))</f>
        <v/>
      </c>
      <c r="P224" s="7">
        <f>IF($U224="","",IF(INDEX('Per Invoice'!P$2:P$401,$U224)="","",INDEX('Per Invoice'!P$2:P$401,$U224)))</f>
        <v/>
      </c>
      <c r="Q224" s="7">
        <f>IF($U224="","",IF(INDEX('Per Invoice'!Q$2:Q$401,$U224)="","",INDEX('Per Invoice'!Q$2:Q$401,$U224)))</f>
        <v/>
      </c>
      <c r="R224" s="7">
        <f>IF($U224="","",IF(INDEX('Per Invoice'!R$2:R$401,$U224)="","",INDEX('Per Invoice'!R$2:R$401,$U224)))</f>
        <v/>
      </c>
      <c r="S224" s="7">
        <f>IF($U224="","",IF(INDEX('Per Invoice'!S$2:S$401,$U224)="","",INDEX('Per Invoice'!S$2:S$401,$U224)))</f>
        <v/>
      </c>
      <c r="T224" s="7">
        <f>IF($U224="","",IF(INDEX('Per Invoice'!T$2:T$401,$U224)="","",INDEX('Per Invoice'!T$2:T$401,$U224)))</f>
        <v/>
      </c>
      <c r="U224" s="16">
        <f>IFERROR(MATCH(Settings!$C$26&amp;"|"&amp;ROWS($U$2:$U224),'Per Invoice'!$V$2:$V$401,0),"")</f>
        <v/>
      </c>
    </row>
    <row r="225">
      <c r="A225">
        <f>IF($U225="","",IF(INDEX('Per Invoice'!A$2:A$401,$U225)="","",INDEX('Per Invoice'!A$2:A$401,$U225)))</f>
        <v/>
      </c>
      <c r="B225">
        <f>IF($U225="","",IF(INDEX('Per Invoice'!B$2:B$401,$U225)="","",INDEX('Per Invoice'!B$2:B$401,$U225)))</f>
        <v/>
      </c>
      <c r="C225">
        <f>IF($U225="","",IF(INDEX('Per Invoice'!C$2:C$401,$U225)="","",INDEX('Per Invoice'!C$2:C$401,$U225)))</f>
        <v/>
      </c>
      <c r="D225">
        <f>IF($U225="","",IF(INDEX('Per Invoice'!D$2:D$401,$U225)="","",INDEX('Per Invoice'!D$2:D$401,$U225)))</f>
        <v/>
      </c>
      <c r="E225">
        <f>IF($U225="","",IF(INDEX('Per Invoice'!E$2:E$401,$U225)="","",INDEX('Per Invoice'!E$2:E$401,$U225)))</f>
        <v/>
      </c>
      <c r="F225">
        <f>IF($U225="","",IF(INDEX('Per Invoice'!F$2:F$401,$U225)="","",INDEX('Per Invoice'!F$2:F$401,$U225)))</f>
        <v/>
      </c>
      <c r="G225">
        <f>IF($U225="","",IF(INDEX('Per Invoice'!G$2:G$401,$U225)="","",INDEX('Per Invoice'!G$2:G$401,$U225)))</f>
        <v/>
      </c>
      <c r="H225" s="7">
        <f>IF($U225="","",IF(INDEX('Per Invoice'!H$2:H$401,$U225)="","",INDEX('Per Invoice'!H$2:H$401,$U225)))</f>
        <v/>
      </c>
      <c r="I225" s="14">
        <f>IF($U225="","",IF(INDEX('Per Invoice'!I$2:I$401,$U225)="","",INDEX('Per Invoice'!I$2:I$401,$U225)))</f>
        <v/>
      </c>
      <c r="J225">
        <f>IF($U225="","",IF(INDEX('Per Invoice'!J$2:J$401,$U225)="","",INDEX('Per Invoice'!J$2:J$401,$U225)))</f>
        <v/>
      </c>
      <c r="K225">
        <f>IF($U225="","",IF(INDEX('Per Invoice'!K$2:K$401,$U225)="","",INDEX('Per Invoice'!K$2:K$401,$U225)))</f>
        <v/>
      </c>
      <c r="L225" s="7">
        <f>IF($U225="","",IF(INDEX('Per Invoice'!L$2:L$401,$U225)="","",INDEX('Per Invoice'!L$2:L$401,$U225)))</f>
        <v/>
      </c>
      <c r="M225" s="7">
        <f>IF($U225="","",IF(INDEX('Per Invoice'!M$2:M$401,$U225)="","",INDEX('Per Invoice'!M$2:M$401,$U225)))</f>
        <v/>
      </c>
      <c r="N225">
        <f>IF($U225="","",IF(INDEX('Per Invoice'!N$2:N$401,$U225)="","",INDEX('Per Invoice'!N$2:N$401,$U225)))</f>
        <v/>
      </c>
      <c r="O225" s="7">
        <f>IF($U225="","",IF(INDEX('Per Invoice'!O$2:O$401,$U225)="","",INDEX('Per Invoice'!O$2:O$401,$U225)))</f>
        <v/>
      </c>
      <c r="P225" s="7">
        <f>IF($U225="","",IF(INDEX('Per Invoice'!P$2:P$401,$U225)="","",INDEX('Per Invoice'!P$2:P$401,$U225)))</f>
        <v/>
      </c>
      <c r="Q225" s="7">
        <f>IF($U225="","",IF(INDEX('Per Invoice'!Q$2:Q$401,$U225)="","",INDEX('Per Invoice'!Q$2:Q$401,$U225)))</f>
        <v/>
      </c>
      <c r="R225" s="7">
        <f>IF($U225="","",IF(INDEX('Per Invoice'!R$2:R$401,$U225)="","",INDEX('Per Invoice'!R$2:R$401,$U225)))</f>
        <v/>
      </c>
      <c r="S225" s="7">
        <f>IF($U225="","",IF(INDEX('Per Invoice'!S$2:S$401,$U225)="","",INDEX('Per Invoice'!S$2:S$401,$U225)))</f>
        <v/>
      </c>
      <c r="T225" s="7">
        <f>IF($U225="","",IF(INDEX('Per Invoice'!T$2:T$401,$U225)="","",INDEX('Per Invoice'!T$2:T$401,$U225)))</f>
        <v/>
      </c>
      <c r="U225" s="16">
        <f>IFERROR(MATCH(Settings!$C$26&amp;"|"&amp;ROWS($U$2:$U225),'Per Invoice'!$V$2:$V$401,0),"")</f>
        <v/>
      </c>
    </row>
    <row r="226">
      <c r="A226">
        <f>IF($U226="","",IF(INDEX('Per Invoice'!A$2:A$401,$U226)="","",INDEX('Per Invoice'!A$2:A$401,$U226)))</f>
        <v/>
      </c>
      <c r="B226">
        <f>IF($U226="","",IF(INDEX('Per Invoice'!B$2:B$401,$U226)="","",INDEX('Per Invoice'!B$2:B$401,$U226)))</f>
        <v/>
      </c>
      <c r="C226">
        <f>IF($U226="","",IF(INDEX('Per Invoice'!C$2:C$401,$U226)="","",INDEX('Per Invoice'!C$2:C$401,$U226)))</f>
        <v/>
      </c>
      <c r="D226">
        <f>IF($U226="","",IF(INDEX('Per Invoice'!D$2:D$401,$U226)="","",INDEX('Per Invoice'!D$2:D$401,$U226)))</f>
        <v/>
      </c>
      <c r="E226">
        <f>IF($U226="","",IF(INDEX('Per Invoice'!E$2:E$401,$U226)="","",INDEX('Per Invoice'!E$2:E$401,$U226)))</f>
        <v/>
      </c>
      <c r="F226">
        <f>IF($U226="","",IF(INDEX('Per Invoice'!F$2:F$401,$U226)="","",INDEX('Per Invoice'!F$2:F$401,$U226)))</f>
        <v/>
      </c>
      <c r="G226">
        <f>IF($U226="","",IF(INDEX('Per Invoice'!G$2:G$401,$U226)="","",INDEX('Per Invoice'!G$2:G$401,$U226)))</f>
        <v/>
      </c>
      <c r="H226" s="7">
        <f>IF($U226="","",IF(INDEX('Per Invoice'!H$2:H$401,$U226)="","",INDEX('Per Invoice'!H$2:H$401,$U226)))</f>
        <v/>
      </c>
      <c r="I226" s="14">
        <f>IF($U226="","",IF(INDEX('Per Invoice'!I$2:I$401,$U226)="","",INDEX('Per Invoice'!I$2:I$401,$U226)))</f>
        <v/>
      </c>
      <c r="J226">
        <f>IF($U226="","",IF(INDEX('Per Invoice'!J$2:J$401,$U226)="","",INDEX('Per Invoice'!J$2:J$401,$U226)))</f>
        <v/>
      </c>
      <c r="K226">
        <f>IF($U226="","",IF(INDEX('Per Invoice'!K$2:K$401,$U226)="","",INDEX('Per Invoice'!K$2:K$401,$U226)))</f>
        <v/>
      </c>
      <c r="L226" s="7">
        <f>IF($U226="","",IF(INDEX('Per Invoice'!L$2:L$401,$U226)="","",INDEX('Per Invoice'!L$2:L$401,$U226)))</f>
        <v/>
      </c>
      <c r="M226" s="7">
        <f>IF($U226="","",IF(INDEX('Per Invoice'!M$2:M$401,$U226)="","",INDEX('Per Invoice'!M$2:M$401,$U226)))</f>
        <v/>
      </c>
      <c r="N226">
        <f>IF($U226="","",IF(INDEX('Per Invoice'!N$2:N$401,$U226)="","",INDEX('Per Invoice'!N$2:N$401,$U226)))</f>
        <v/>
      </c>
      <c r="O226" s="7">
        <f>IF($U226="","",IF(INDEX('Per Invoice'!O$2:O$401,$U226)="","",INDEX('Per Invoice'!O$2:O$401,$U226)))</f>
        <v/>
      </c>
      <c r="P226" s="7">
        <f>IF($U226="","",IF(INDEX('Per Invoice'!P$2:P$401,$U226)="","",INDEX('Per Invoice'!P$2:P$401,$U226)))</f>
        <v/>
      </c>
      <c r="Q226" s="7">
        <f>IF($U226="","",IF(INDEX('Per Invoice'!Q$2:Q$401,$U226)="","",INDEX('Per Invoice'!Q$2:Q$401,$U226)))</f>
        <v/>
      </c>
      <c r="R226" s="7">
        <f>IF($U226="","",IF(INDEX('Per Invoice'!R$2:R$401,$U226)="","",INDEX('Per Invoice'!R$2:R$401,$U226)))</f>
        <v/>
      </c>
      <c r="S226" s="7">
        <f>IF($U226="","",IF(INDEX('Per Invoice'!S$2:S$401,$U226)="","",INDEX('Per Invoice'!S$2:S$401,$U226)))</f>
        <v/>
      </c>
      <c r="T226" s="7">
        <f>IF($U226="","",IF(INDEX('Per Invoice'!T$2:T$401,$U226)="","",INDEX('Per Invoice'!T$2:T$401,$U226)))</f>
        <v/>
      </c>
      <c r="U226" s="16">
        <f>IFERROR(MATCH(Settings!$C$26&amp;"|"&amp;ROWS($U$2:$U226),'Per Invoice'!$V$2:$V$401,0),"")</f>
        <v/>
      </c>
    </row>
    <row r="227">
      <c r="A227">
        <f>IF($U227="","",IF(INDEX('Per Invoice'!A$2:A$401,$U227)="","",INDEX('Per Invoice'!A$2:A$401,$U227)))</f>
        <v/>
      </c>
      <c r="B227">
        <f>IF($U227="","",IF(INDEX('Per Invoice'!B$2:B$401,$U227)="","",INDEX('Per Invoice'!B$2:B$401,$U227)))</f>
        <v/>
      </c>
      <c r="C227">
        <f>IF($U227="","",IF(INDEX('Per Invoice'!C$2:C$401,$U227)="","",INDEX('Per Invoice'!C$2:C$401,$U227)))</f>
        <v/>
      </c>
      <c r="D227">
        <f>IF($U227="","",IF(INDEX('Per Invoice'!D$2:D$401,$U227)="","",INDEX('Per Invoice'!D$2:D$401,$U227)))</f>
        <v/>
      </c>
      <c r="E227">
        <f>IF($U227="","",IF(INDEX('Per Invoice'!E$2:E$401,$U227)="","",INDEX('Per Invoice'!E$2:E$401,$U227)))</f>
        <v/>
      </c>
      <c r="F227">
        <f>IF($U227="","",IF(INDEX('Per Invoice'!F$2:F$401,$U227)="","",INDEX('Per Invoice'!F$2:F$401,$U227)))</f>
        <v/>
      </c>
      <c r="G227">
        <f>IF($U227="","",IF(INDEX('Per Invoice'!G$2:G$401,$U227)="","",INDEX('Per Invoice'!G$2:G$401,$U227)))</f>
        <v/>
      </c>
      <c r="H227" s="7">
        <f>IF($U227="","",IF(INDEX('Per Invoice'!H$2:H$401,$U227)="","",INDEX('Per Invoice'!H$2:H$401,$U227)))</f>
        <v/>
      </c>
      <c r="I227" s="14">
        <f>IF($U227="","",IF(INDEX('Per Invoice'!I$2:I$401,$U227)="","",INDEX('Per Invoice'!I$2:I$401,$U227)))</f>
        <v/>
      </c>
      <c r="J227">
        <f>IF($U227="","",IF(INDEX('Per Invoice'!J$2:J$401,$U227)="","",INDEX('Per Invoice'!J$2:J$401,$U227)))</f>
        <v/>
      </c>
      <c r="K227">
        <f>IF($U227="","",IF(INDEX('Per Invoice'!K$2:K$401,$U227)="","",INDEX('Per Invoice'!K$2:K$401,$U227)))</f>
        <v/>
      </c>
      <c r="L227" s="7">
        <f>IF($U227="","",IF(INDEX('Per Invoice'!L$2:L$401,$U227)="","",INDEX('Per Invoice'!L$2:L$401,$U227)))</f>
        <v/>
      </c>
      <c r="M227" s="7">
        <f>IF($U227="","",IF(INDEX('Per Invoice'!M$2:M$401,$U227)="","",INDEX('Per Invoice'!M$2:M$401,$U227)))</f>
        <v/>
      </c>
      <c r="N227">
        <f>IF($U227="","",IF(INDEX('Per Invoice'!N$2:N$401,$U227)="","",INDEX('Per Invoice'!N$2:N$401,$U227)))</f>
        <v/>
      </c>
      <c r="O227" s="7">
        <f>IF($U227="","",IF(INDEX('Per Invoice'!O$2:O$401,$U227)="","",INDEX('Per Invoice'!O$2:O$401,$U227)))</f>
        <v/>
      </c>
      <c r="P227" s="7">
        <f>IF($U227="","",IF(INDEX('Per Invoice'!P$2:P$401,$U227)="","",INDEX('Per Invoice'!P$2:P$401,$U227)))</f>
        <v/>
      </c>
      <c r="Q227" s="7">
        <f>IF($U227="","",IF(INDEX('Per Invoice'!Q$2:Q$401,$U227)="","",INDEX('Per Invoice'!Q$2:Q$401,$U227)))</f>
        <v/>
      </c>
      <c r="R227" s="7">
        <f>IF($U227="","",IF(INDEX('Per Invoice'!R$2:R$401,$U227)="","",INDEX('Per Invoice'!R$2:R$401,$U227)))</f>
        <v/>
      </c>
      <c r="S227" s="7">
        <f>IF($U227="","",IF(INDEX('Per Invoice'!S$2:S$401,$U227)="","",INDEX('Per Invoice'!S$2:S$401,$U227)))</f>
        <v/>
      </c>
      <c r="T227" s="7">
        <f>IF($U227="","",IF(INDEX('Per Invoice'!T$2:T$401,$U227)="","",INDEX('Per Invoice'!T$2:T$401,$U227)))</f>
        <v/>
      </c>
      <c r="U227" s="16">
        <f>IFERROR(MATCH(Settings!$C$26&amp;"|"&amp;ROWS($U$2:$U227),'Per Invoice'!$V$2:$V$401,0),"")</f>
        <v/>
      </c>
    </row>
    <row r="228">
      <c r="A228">
        <f>IF($U228="","",IF(INDEX('Per Invoice'!A$2:A$401,$U228)="","",INDEX('Per Invoice'!A$2:A$401,$U228)))</f>
        <v/>
      </c>
      <c r="B228">
        <f>IF($U228="","",IF(INDEX('Per Invoice'!B$2:B$401,$U228)="","",INDEX('Per Invoice'!B$2:B$401,$U228)))</f>
        <v/>
      </c>
      <c r="C228">
        <f>IF($U228="","",IF(INDEX('Per Invoice'!C$2:C$401,$U228)="","",INDEX('Per Invoice'!C$2:C$401,$U228)))</f>
        <v/>
      </c>
      <c r="D228">
        <f>IF($U228="","",IF(INDEX('Per Invoice'!D$2:D$401,$U228)="","",INDEX('Per Invoice'!D$2:D$401,$U228)))</f>
        <v/>
      </c>
      <c r="E228">
        <f>IF($U228="","",IF(INDEX('Per Invoice'!E$2:E$401,$U228)="","",INDEX('Per Invoice'!E$2:E$401,$U228)))</f>
        <v/>
      </c>
      <c r="F228">
        <f>IF($U228="","",IF(INDEX('Per Invoice'!F$2:F$401,$U228)="","",INDEX('Per Invoice'!F$2:F$401,$U228)))</f>
        <v/>
      </c>
      <c r="G228">
        <f>IF($U228="","",IF(INDEX('Per Invoice'!G$2:G$401,$U228)="","",INDEX('Per Invoice'!G$2:G$401,$U228)))</f>
        <v/>
      </c>
      <c r="H228" s="7">
        <f>IF($U228="","",IF(INDEX('Per Invoice'!H$2:H$401,$U228)="","",INDEX('Per Invoice'!H$2:H$401,$U228)))</f>
        <v/>
      </c>
      <c r="I228" s="14">
        <f>IF($U228="","",IF(INDEX('Per Invoice'!I$2:I$401,$U228)="","",INDEX('Per Invoice'!I$2:I$401,$U228)))</f>
        <v/>
      </c>
      <c r="J228">
        <f>IF($U228="","",IF(INDEX('Per Invoice'!J$2:J$401,$U228)="","",INDEX('Per Invoice'!J$2:J$401,$U228)))</f>
        <v/>
      </c>
      <c r="K228">
        <f>IF($U228="","",IF(INDEX('Per Invoice'!K$2:K$401,$U228)="","",INDEX('Per Invoice'!K$2:K$401,$U228)))</f>
        <v/>
      </c>
      <c r="L228" s="7">
        <f>IF($U228="","",IF(INDEX('Per Invoice'!L$2:L$401,$U228)="","",INDEX('Per Invoice'!L$2:L$401,$U228)))</f>
        <v/>
      </c>
      <c r="M228" s="7">
        <f>IF($U228="","",IF(INDEX('Per Invoice'!M$2:M$401,$U228)="","",INDEX('Per Invoice'!M$2:M$401,$U228)))</f>
        <v/>
      </c>
      <c r="N228">
        <f>IF($U228="","",IF(INDEX('Per Invoice'!N$2:N$401,$U228)="","",INDEX('Per Invoice'!N$2:N$401,$U228)))</f>
        <v/>
      </c>
      <c r="O228" s="7">
        <f>IF($U228="","",IF(INDEX('Per Invoice'!O$2:O$401,$U228)="","",INDEX('Per Invoice'!O$2:O$401,$U228)))</f>
        <v/>
      </c>
      <c r="P228" s="7">
        <f>IF($U228="","",IF(INDEX('Per Invoice'!P$2:P$401,$U228)="","",INDEX('Per Invoice'!P$2:P$401,$U228)))</f>
        <v/>
      </c>
      <c r="Q228" s="7">
        <f>IF($U228="","",IF(INDEX('Per Invoice'!Q$2:Q$401,$U228)="","",INDEX('Per Invoice'!Q$2:Q$401,$U228)))</f>
        <v/>
      </c>
      <c r="R228" s="7">
        <f>IF($U228="","",IF(INDEX('Per Invoice'!R$2:R$401,$U228)="","",INDEX('Per Invoice'!R$2:R$401,$U228)))</f>
        <v/>
      </c>
      <c r="S228" s="7">
        <f>IF($U228="","",IF(INDEX('Per Invoice'!S$2:S$401,$U228)="","",INDEX('Per Invoice'!S$2:S$401,$U228)))</f>
        <v/>
      </c>
      <c r="T228" s="7">
        <f>IF($U228="","",IF(INDEX('Per Invoice'!T$2:T$401,$U228)="","",INDEX('Per Invoice'!T$2:T$401,$U228)))</f>
        <v/>
      </c>
      <c r="U228" s="16">
        <f>IFERROR(MATCH(Settings!$C$26&amp;"|"&amp;ROWS($U$2:$U228),'Per Invoice'!$V$2:$V$401,0),"")</f>
        <v/>
      </c>
    </row>
    <row r="229">
      <c r="A229">
        <f>IF($U229="","",IF(INDEX('Per Invoice'!A$2:A$401,$U229)="","",INDEX('Per Invoice'!A$2:A$401,$U229)))</f>
        <v/>
      </c>
      <c r="B229">
        <f>IF($U229="","",IF(INDEX('Per Invoice'!B$2:B$401,$U229)="","",INDEX('Per Invoice'!B$2:B$401,$U229)))</f>
        <v/>
      </c>
      <c r="C229">
        <f>IF($U229="","",IF(INDEX('Per Invoice'!C$2:C$401,$U229)="","",INDEX('Per Invoice'!C$2:C$401,$U229)))</f>
        <v/>
      </c>
      <c r="D229">
        <f>IF($U229="","",IF(INDEX('Per Invoice'!D$2:D$401,$U229)="","",INDEX('Per Invoice'!D$2:D$401,$U229)))</f>
        <v/>
      </c>
      <c r="E229">
        <f>IF($U229="","",IF(INDEX('Per Invoice'!E$2:E$401,$U229)="","",INDEX('Per Invoice'!E$2:E$401,$U229)))</f>
        <v/>
      </c>
      <c r="F229">
        <f>IF($U229="","",IF(INDEX('Per Invoice'!F$2:F$401,$U229)="","",INDEX('Per Invoice'!F$2:F$401,$U229)))</f>
        <v/>
      </c>
      <c r="G229">
        <f>IF($U229="","",IF(INDEX('Per Invoice'!G$2:G$401,$U229)="","",INDEX('Per Invoice'!G$2:G$401,$U229)))</f>
        <v/>
      </c>
      <c r="H229" s="7">
        <f>IF($U229="","",IF(INDEX('Per Invoice'!H$2:H$401,$U229)="","",INDEX('Per Invoice'!H$2:H$401,$U229)))</f>
        <v/>
      </c>
      <c r="I229" s="14">
        <f>IF($U229="","",IF(INDEX('Per Invoice'!I$2:I$401,$U229)="","",INDEX('Per Invoice'!I$2:I$401,$U229)))</f>
        <v/>
      </c>
      <c r="J229">
        <f>IF($U229="","",IF(INDEX('Per Invoice'!J$2:J$401,$U229)="","",INDEX('Per Invoice'!J$2:J$401,$U229)))</f>
        <v/>
      </c>
      <c r="K229">
        <f>IF($U229="","",IF(INDEX('Per Invoice'!K$2:K$401,$U229)="","",INDEX('Per Invoice'!K$2:K$401,$U229)))</f>
        <v/>
      </c>
      <c r="L229" s="7">
        <f>IF($U229="","",IF(INDEX('Per Invoice'!L$2:L$401,$U229)="","",INDEX('Per Invoice'!L$2:L$401,$U229)))</f>
        <v/>
      </c>
      <c r="M229" s="7">
        <f>IF($U229="","",IF(INDEX('Per Invoice'!M$2:M$401,$U229)="","",INDEX('Per Invoice'!M$2:M$401,$U229)))</f>
        <v/>
      </c>
      <c r="N229">
        <f>IF($U229="","",IF(INDEX('Per Invoice'!N$2:N$401,$U229)="","",INDEX('Per Invoice'!N$2:N$401,$U229)))</f>
        <v/>
      </c>
      <c r="O229" s="7">
        <f>IF($U229="","",IF(INDEX('Per Invoice'!O$2:O$401,$U229)="","",INDEX('Per Invoice'!O$2:O$401,$U229)))</f>
        <v/>
      </c>
      <c r="P229" s="7">
        <f>IF($U229="","",IF(INDEX('Per Invoice'!P$2:P$401,$U229)="","",INDEX('Per Invoice'!P$2:P$401,$U229)))</f>
        <v/>
      </c>
      <c r="Q229" s="7">
        <f>IF($U229="","",IF(INDEX('Per Invoice'!Q$2:Q$401,$U229)="","",INDEX('Per Invoice'!Q$2:Q$401,$U229)))</f>
        <v/>
      </c>
      <c r="R229" s="7">
        <f>IF($U229="","",IF(INDEX('Per Invoice'!R$2:R$401,$U229)="","",INDEX('Per Invoice'!R$2:R$401,$U229)))</f>
        <v/>
      </c>
      <c r="S229" s="7">
        <f>IF($U229="","",IF(INDEX('Per Invoice'!S$2:S$401,$U229)="","",INDEX('Per Invoice'!S$2:S$401,$U229)))</f>
        <v/>
      </c>
      <c r="T229" s="7">
        <f>IF($U229="","",IF(INDEX('Per Invoice'!T$2:T$401,$U229)="","",INDEX('Per Invoice'!T$2:T$401,$U229)))</f>
        <v/>
      </c>
      <c r="U229" s="16">
        <f>IFERROR(MATCH(Settings!$C$26&amp;"|"&amp;ROWS($U$2:$U229),'Per Invoice'!$V$2:$V$401,0),"")</f>
        <v/>
      </c>
    </row>
    <row r="230">
      <c r="A230">
        <f>IF($U230="","",IF(INDEX('Per Invoice'!A$2:A$401,$U230)="","",INDEX('Per Invoice'!A$2:A$401,$U230)))</f>
        <v/>
      </c>
      <c r="B230">
        <f>IF($U230="","",IF(INDEX('Per Invoice'!B$2:B$401,$U230)="","",INDEX('Per Invoice'!B$2:B$401,$U230)))</f>
        <v/>
      </c>
      <c r="C230">
        <f>IF($U230="","",IF(INDEX('Per Invoice'!C$2:C$401,$U230)="","",INDEX('Per Invoice'!C$2:C$401,$U230)))</f>
        <v/>
      </c>
      <c r="D230">
        <f>IF($U230="","",IF(INDEX('Per Invoice'!D$2:D$401,$U230)="","",INDEX('Per Invoice'!D$2:D$401,$U230)))</f>
        <v/>
      </c>
      <c r="E230">
        <f>IF($U230="","",IF(INDEX('Per Invoice'!E$2:E$401,$U230)="","",INDEX('Per Invoice'!E$2:E$401,$U230)))</f>
        <v/>
      </c>
      <c r="F230">
        <f>IF($U230="","",IF(INDEX('Per Invoice'!F$2:F$401,$U230)="","",INDEX('Per Invoice'!F$2:F$401,$U230)))</f>
        <v/>
      </c>
      <c r="G230">
        <f>IF($U230="","",IF(INDEX('Per Invoice'!G$2:G$401,$U230)="","",INDEX('Per Invoice'!G$2:G$401,$U230)))</f>
        <v/>
      </c>
      <c r="H230" s="7">
        <f>IF($U230="","",IF(INDEX('Per Invoice'!H$2:H$401,$U230)="","",INDEX('Per Invoice'!H$2:H$401,$U230)))</f>
        <v/>
      </c>
      <c r="I230" s="14">
        <f>IF($U230="","",IF(INDEX('Per Invoice'!I$2:I$401,$U230)="","",INDEX('Per Invoice'!I$2:I$401,$U230)))</f>
        <v/>
      </c>
      <c r="J230">
        <f>IF($U230="","",IF(INDEX('Per Invoice'!J$2:J$401,$U230)="","",INDEX('Per Invoice'!J$2:J$401,$U230)))</f>
        <v/>
      </c>
      <c r="K230">
        <f>IF($U230="","",IF(INDEX('Per Invoice'!K$2:K$401,$U230)="","",INDEX('Per Invoice'!K$2:K$401,$U230)))</f>
        <v/>
      </c>
      <c r="L230" s="7">
        <f>IF($U230="","",IF(INDEX('Per Invoice'!L$2:L$401,$U230)="","",INDEX('Per Invoice'!L$2:L$401,$U230)))</f>
        <v/>
      </c>
      <c r="M230" s="7">
        <f>IF($U230="","",IF(INDEX('Per Invoice'!M$2:M$401,$U230)="","",INDEX('Per Invoice'!M$2:M$401,$U230)))</f>
        <v/>
      </c>
      <c r="N230">
        <f>IF($U230="","",IF(INDEX('Per Invoice'!N$2:N$401,$U230)="","",INDEX('Per Invoice'!N$2:N$401,$U230)))</f>
        <v/>
      </c>
      <c r="O230" s="7">
        <f>IF($U230="","",IF(INDEX('Per Invoice'!O$2:O$401,$U230)="","",INDEX('Per Invoice'!O$2:O$401,$U230)))</f>
        <v/>
      </c>
      <c r="P230" s="7">
        <f>IF($U230="","",IF(INDEX('Per Invoice'!P$2:P$401,$U230)="","",INDEX('Per Invoice'!P$2:P$401,$U230)))</f>
        <v/>
      </c>
      <c r="Q230" s="7">
        <f>IF($U230="","",IF(INDEX('Per Invoice'!Q$2:Q$401,$U230)="","",INDEX('Per Invoice'!Q$2:Q$401,$U230)))</f>
        <v/>
      </c>
      <c r="R230" s="7">
        <f>IF($U230="","",IF(INDEX('Per Invoice'!R$2:R$401,$U230)="","",INDEX('Per Invoice'!R$2:R$401,$U230)))</f>
        <v/>
      </c>
      <c r="S230" s="7">
        <f>IF($U230="","",IF(INDEX('Per Invoice'!S$2:S$401,$U230)="","",INDEX('Per Invoice'!S$2:S$401,$U230)))</f>
        <v/>
      </c>
      <c r="T230" s="7">
        <f>IF($U230="","",IF(INDEX('Per Invoice'!T$2:T$401,$U230)="","",INDEX('Per Invoice'!T$2:T$401,$U230)))</f>
        <v/>
      </c>
      <c r="U230" s="16">
        <f>IFERROR(MATCH(Settings!$C$26&amp;"|"&amp;ROWS($U$2:$U230),'Per Invoice'!$V$2:$V$401,0),"")</f>
        <v/>
      </c>
    </row>
    <row r="231">
      <c r="A231">
        <f>IF($U231="","",IF(INDEX('Per Invoice'!A$2:A$401,$U231)="","",INDEX('Per Invoice'!A$2:A$401,$U231)))</f>
        <v/>
      </c>
      <c r="B231">
        <f>IF($U231="","",IF(INDEX('Per Invoice'!B$2:B$401,$U231)="","",INDEX('Per Invoice'!B$2:B$401,$U231)))</f>
        <v/>
      </c>
      <c r="C231">
        <f>IF($U231="","",IF(INDEX('Per Invoice'!C$2:C$401,$U231)="","",INDEX('Per Invoice'!C$2:C$401,$U231)))</f>
        <v/>
      </c>
      <c r="D231">
        <f>IF($U231="","",IF(INDEX('Per Invoice'!D$2:D$401,$U231)="","",INDEX('Per Invoice'!D$2:D$401,$U231)))</f>
        <v/>
      </c>
      <c r="E231">
        <f>IF($U231="","",IF(INDEX('Per Invoice'!E$2:E$401,$U231)="","",INDEX('Per Invoice'!E$2:E$401,$U231)))</f>
        <v/>
      </c>
      <c r="F231">
        <f>IF($U231="","",IF(INDEX('Per Invoice'!F$2:F$401,$U231)="","",INDEX('Per Invoice'!F$2:F$401,$U231)))</f>
        <v/>
      </c>
      <c r="G231">
        <f>IF($U231="","",IF(INDEX('Per Invoice'!G$2:G$401,$U231)="","",INDEX('Per Invoice'!G$2:G$401,$U231)))</f>
        <v/>
      </c>
      <c r="H231" s="7">
        <f>IF($U231="","",IF(INDEX('Per Invoice'!H$2:H$401,$U231)="","",INDEX('Per Invoice'!H$2:H$401,$U231)))</f>
        <v/>
      </c>
      <c r="I231" s="14">
        <f>IF($U231="","",IF(INDEX('Per Invoice'!I$2:I$401,$U231)="","",INDEX('Per Invoice'!I$2:I$401,$U231)))</f>
        <v/>
      </c>
      <c r="J231">
        <f>IF($U231="","",IF(INDEX('Per Invoice'!J$2:J$401,$U231)="","",INDEX('Per Invoice'!J$2:J$401,$U231)))</f>
        <v/>
      </c>
      <c r="K231">
        <f>IF($U231="","",IF(INDEX('Per Invoice'!K$2:K$401,$U231)="","",INDEX('Per Invoice'!K$2:K$401,$U231)))</f>
        <v/>
      </c>
      <c r="L231" s="7">
        <f>IF($U231="","",IF(INDEX('Per Invoice'!L$2:L$401,$U231)="","",INDEX('Per Invoice'!L$2:L$401,$U231)))</f>
        <v/>
      </c>
      <c r="M231" s="7">
        <f>IF($U231="","",IF(INDEX('Per Invoice'!M$2:M$401,$U231)="","",INDEX('Per Invoice'!M$2:M$401,$U231)))</f>
        <v/>
      </c>
      <c r="N231">
        <f>IF($U231="","",IF(INDEX('Per Invoice'!N$2:N$401,$U231)="","",INDEX('Per Invoice'!N$2:N$401,$U231)))</f>
        <v/>
      </c>
      <c r="O231" s="7">
        <f>IF($U231="","",IF(INDEX('Per Invoice'!O$2:O$401,$U231)="","",INDEX('Per Invoice'!O$2:O$401,$U231)))</f>
        <v/>
      </c>
      <c r="P231" s="7">
        <f>IF($U231="","",IF(INDEX('Per Invoice'!P$2:P$401,$U231)="","",INDEX('Per Invoice'!P$2:P$401,$U231)))</f>
        <v/>
      </c>
      <c r="Q231" s="7">
        <f>IF($U231="","",IF(INDEX('Per Invoice'!Q$2:Q$401,$U231)="","",INDEX('Per Invoice'!Q$2:Q$401,$U231)))</f>
        <v/>
      </c>
      <c r="R231" s="7">
        <f>IF($U231="","",IF(INDEX('Per Invoice'!R$2:R$401,$U231)="","",INDEX('Per Invoice'!R$2:R$401,$U231)))</f>
        <v/>
      </c>
      <c r="S231" s="7">
        <f>IF($U231="","",IF(INDEX('Per Invoice'!S$2:S$401,$U231)="","",INDEX('Per Invoice'!S$2:S$401,$U231)))</f>
        <v/>
      </c>
      <c r="T231" s="7">
        <f>IF($U231="","",IF(INDEX('Per Invoice'!T$2:T$401,$U231)="","",INDEX('Per Invoice'!T$2:T$401,$U231)))</f>
        <v/>
      </c>
      <c r="U231" s="16">
        <f>IFERROR(MATCH(Settings!$C$26&amp;"|"&amp;ROWS($U$2:$U231),'Per Invoice'!$V$2:$V$401,0),"")</f>
        <v/>
      </c>
    </row>
    <row r="232">
      <c r="A232">
        <f>IF($U232="","",IF(INDEX('Per Invoice'!A$2:A$401,$U232)="","",INDEX('Per Invoice'!A$2:A$401,$U232)))</f>
        <v/>
      </c>
      <c r="B232">
        <f>IF($U232="","",IF(INDEX('Per Invoice'!B$2:B$401,$U232)="","",INDEX('Per Invoice'!B$2:B$401,$U232)))</f>
        <v/>
      </c>
      <c r="C232">
        <f>IF($U232="","",IF(INDEX('Per Invoice'!C$2:C$401,$U232)="","",INDEX('Per Invoice'!C$2:C$401,$U232)))</f>
        <v/>
      </c>
      <c r="D232">
        <f>IF($U232="","",IF(INDEX('Per Invoice'!D$2:D$401,$U232)="","",INDEX('Per Invoice'!D$2:D$401,$U232)))</f>
        <v/>
      </c>
      <c r="E232">
        <f>IF($U232="","",IF(INDEX('Per Invoice'!E$2:E$401,$U232)="","",INDEX('Per Invoice'!E$2:E$401,$U232)))</f>
        <v/>
      </c>
      <c r="F232">
        <f>IF($U232="","",IF(INDEX('Per Invoice'!F$2:F$401,$U232)="","",INDEX('Per Invoice'!F$2:F$401,$U232)))</f>
        <v/>
      </c>
      <c r="G232">
        <f>IF($U232="","",IF(INDEX('Per Invoice'!G$2:G$401,$U232)="","",INDEX('Per Invoice'!G$2:G$401,$U232)))</f>
        <v/>
      </c>
      <c r="H232" s="7">
        <f>IF($U232="","",IF(INDEX('Per Invoice'!H$2:H$401,$U232)="","",INDEX('Per Invoice'!H$2:H$401,$U232)))</f>
        <v/>
      </c>
      <c r="I232" s="14">
        <f>IF($U232="","",IF(INDEX('Per Invoice'!I$2:I$401,$U232)="","",INDEX('Per Invoice'!I$2:I$401,$U232)))</f>
        <v/>
      </c>
      <c r="J232">
        <f>IF($U232="","",IF(INDEX('Per Invoice'!J$2:J$401,$U232)="","",INDEX('Per Invoice'!J$2:J$401,$U232)))</f>
        <v/>
      </c>
      <c r="K232">
        <f>IF($U232="","",IF(INDEX('Per Invoice'!K$2:K$401,$U232)="","",INDEX('Per Invoice'!K$2:K$401,$U232)))</f>
        <v/>
      </c>
      <c r="L232" s="7">
        <f>IF($U232="","",IF(INDEX('Per Invoice'!L$2:L$401,$U232)="","",INDEX('Per Invoice'!L$2:L$401,$U232)))</f>
        <v/>
      </c>
      <c r="M232" s="7">
        <f>IF($U232="","",IF(INDEX('Per Invoice'!M$2:M$401,$U232)="","",INDEX('Per Invoice'!M$2:M$401,$U232)))</f>
        <v/>
      </c>
      <c r="N232">
        <f>IF($U232="","",IF(INDEX('Per Invoice'!N$2:N$401,$U232)="","",INDEX('Per Invoice'!N$2:N$401,$U232)))</f>
        <v/>
      </c>
      <c r="O232" s="7">
        <f>IF($U232="","",IF(INDEX('Per Invoice'!O$2:O$401,$U232)="","",INDEX('Per Invoice'!O$2:O$401,$U232)))</f>
        <v/>
      </c>
      <c r="P232" s="7">
        <f>IF($U232="","",IF(INDEX('Per Invoice'!P$2:P$401,$U232)="","",INDEX('Per Invoice'!P$2:P$401,$U232)))</f>
        <v/>
      </c>
      <c r="Q232" s="7">
        <f>IF($U232="","",IF(INDEX('Per Invoice'!Q$2:Q$401,$U232)="","",INDEX('Per Invoice'!Q$2:Q$401,$U232)))</f>
        <v/>
      </c>
      <c r="R232" s="7">
        <f>IF($U232="","",IF(INDEX('Per Invoice'!R$2:R$401,$U232)="","",INDEX('Per Invoice'!R$2:R$401,$U232)))</f>
        <v/>
      </c>
      <c r="S232" s="7">
        <f>IF($U232="","",IF(INDEX('Per Invoice'!S$2:S$401,$U232)="","",INDEX('Per Invoice'!S$2:S$401,$U232)))</f>
        <v/>
      </c>
      <c r="T232" s="7">
        <f>IF($U232="","",IF(INDEX('Per Invoice'!T$2:T$401,$U232)="","",INDEX('Per Invoice'!T$2:T$401,$U232)))</f>
        <v/>
      </c>
      <c r="U232" s="16">
        <f>IFERROR(MATCH(Settings!$C$26&amp;"|"&amp;ROWS($U$2:$U232),'Per Invoice'!$V$2:$V$401,0),"")</f>
        <v/>
      </c>
    </row>
    <row r="233">
      <c r="A233">
        <f>IF($U233="","",IF(INDEX('Per Invoice'!A$2:A$401,$U233)="","",INDEX('Per Invoice'!A$2:A$401,$U233)))</f>
        <v/>
      </c>
      <c r="B233">
        <f>IF($U233="","",IF(INDEX('Per Invoice'!B$2:B$401,$U233)="","",INDEX('Per Invoice'!B$2:B$401,$U233)))</f>
        <v/>
      </c>
      <c r="C233">
        <f>IF($U233="","",IF(INDEX('Per Invoice'!C$2:C$401,$U233)="","",INDEX('Per Invoice'!C$2:C$401,$U233)))</f>
        <v/>
      </c>
      <c r="D233">
        <f>IF($U233="","",IF(INDEX('Per Invoice'!D$2:D$401,$U233)="","",INDEX('Per Invoice'!D$2:D$401,$U233)))</f>
        <v/>
      </c>
      <c r="E233">
        <f>IF($U233="","",IF(INDEX('Per Invoice'!E$2:E$401,$U233)="","",INDEX('Per Invoice'!E$2:E$401,$U233)))</f>
        <v/>
      </c>
      <c r="F233">
        <f>IF($U233="","",IF(INDEX('Per Invoice'!F$2:F$401,$U233)="","",INDEX('Per Invoice'!F$2:F$401,$U233)))</f>
        <v/>
      </c>
      <c r="G233">
        <f>IF($U233="","",IF(INDEX('Per Invoice'!G$2:G$401,$U233)="","",INDEX('Per Invoice'!G$2:G$401,$U233)))</f>
        <v/>
      </c>
      <c r="H233" s="7">
        <f>IF($U233="","",IF(INDEX('Per Invoice'!H$2:H$401,$U233)="","",INDEX('Per Invoice'!H$2:H$401,$U233)))</f>
        <v/>
      </c>
      <c r="I233" s="14">
        <f>IF($U233="","",IF(INDEX('Per Invoice'!I$2:I$401,$U233)="","",INDEX('Per Invoice'!I$2:I$401,$U233)))</f>
        <v/>
      </c>
      <c r="J233">
        <f>IF($U233="","",IF(INDEX('Per Invoice'!J$2:J$401,$U233)="","",INDEX('Per Invoice'!J$2:J$401,$U233)))</f>
        <v/>
      </c>
      <c r="K233">
        <f>IF($U233="","",IF(INDEX('Per Invoice'!K$2:K$401,$U233)="","",INDEX('Per Invoice'!K$2:K$401,$U233)))</f>
        <v/>
      </c>
      <c r="L233" s="7">
        <f>IF($U233="","",IF(INDEX('Per Invoice'!L$2:L$401,$U233)="","",INDEX('Per Invoice'!L$2:L$401,$U233)))</f>
        <v/>
      </c>
      <c r="M233" s="7">
        <f>IF($U233="","",IF(INDEX('Per Invoice'!M$2:M$401,$U233)="","",INDEX('Per Invoice'!M$2:M$401,$U233)))</f>
        <v/>
      </c>
      <c r="N233">
        <f>IF($U233="","",IF(INDEX('Per Invoice'!N$2:N$401,$U233)="","",INDEX('Per Invoice'!N$2:N$401,$U233)))</f>
        <v/>
      </c>
      <c r="O233" s="7">
        <f>IF($U233="","",IF(INDEX('Per Invoice'!O$2:O$401,$U233)="","",INDEX('Per Invoice'!O$2:O$401,$U233)))</f>
        <v/>
      </c>
      <c r="P233" s="7">
        <f>IF($U233="","",IF(INDEX('Per Invoice'!P$2:P$401,$U233)="","",INDEX('Per Invoice'!P$2:P$401,$U233)))</f>
        <v/>
      </c>
      <c r="Q233" s="7">
        <f>IF($U233="","",IF(INDEX('Per Invoice'!Q$2:Q$401,$U233)="","",INDEX('Per Invoice'!Q$2:Q$401,$U233)))</f>
        <v/>
      </c>
      <c r="R233" s="7">
        <f>IF($U233="","",IF(INDEX('Per Invoice'!R$2:R$401,$U233)="","",INDEX('Per Invoice'!R$2:R$401,$U233)))</f>
        <v/>
      </c>
      <c r="S233" s="7">
        <f>IF($U233="","",IF(INDEX('Per Invoice'!S$2:S$401,$U233)="","",INDEX('Per Invoice'!S$2:S$401,$U233)))</f>
        <v/>
      </c>
      <c r="T233" s="7">
        <f>IF($U233="","",IF(INDEX('Per Invoice'!T$2:T$401,$U233)="","",INDEX('Per Invoice'!T$2:T$401,$U233)))</f>
        <v/>
      </c>
      <c r="U233" s="16">
        <f>IFERROR(MATCH(Settings!$C$26&amp;"|"&amp;ROWS($U$2:$U233),'Per Invoice'!$V$2:$V$401,0),"")</f>
        <v/>
      </c>
    </row>
    <row r="234">
      <c r="A234">
        <f>IF($U234="","",IF(INDEX('Per Invoice'!A$2:A$401,$U234)="","",INDEX('Per Invoice'!A$2:A$401,$U234)))</f>
        <v/>
      </c>
      <c r="B234">
        <f>IF($U234="","",IF(INDEX('Per Invoice'!B$2:B$401,$U234)="","",INDEX('Per Invoice'!B$2:B$401,$U234)))</f>
        <v/>
      </c>
      <c r="C234">
        <f>IF($U234="","",IF(INDEX('Per Invoice'!C$2:C$401,$U234)="","",INDEX('Per Invoice'!C$2:C$401,$U234)))</f>
        <v/>
      </c>
      <c r="D234">
        <f>IF($U234="","",IF(INDEX('Per Invoice'!D$2:D$401,$U234)="","",INDEX('Per Invoice'!D$2:D$401,$U234)))</f>
        <v/>
      </c>
      <c r="E234">
        <f>IF($U234="","",IF(INDEX('Per Invoice'!E$2:E$401,$U234)="","",INDEX('Per Invoice'!E$2:E$401,$U234)))</f>
        <v/>
      </c>
      <c r="F234">
        <f>IF($U234="","",IF(INDEX('Per Invoice'!F$2:F$401,$U234)="","",INDEX('Per Invoice'!F$2:F$401,$U234)))</f>
        <v/>
      </c>
      <c r="G234">
        <f>IF($U234="","",IF(INDEX('Per Invoice'!G$2:G$401,$U234)="","",INDEX('Per Invoice'!G$2:G$401,$U234)))</f>
        <v/>
      </c>
      <c r="H234" s="7">
        <f>IF($U234="","",IF(INDEX('Per Invoice'!H$2:H$401,$U234)="","",INDEX('Per Invoice'!H$2:H$401,$U234)))</f>
        <v/>
      </c>
      <c r="I234" s="14">
        <f>IF($U234="","",IF(INDEX('Per Invoice'!I$2:I$401,$U234)="","",INDEX('Per Invoice'!I$2:I$401,$U234)))</f>
        <v/>
      </c>
      <c r="J234">
        <f>IF($U234="","",IF(INDEX('Per Invoice'!J$2:J$401,$U234)="","",INDEX('Per Invoice'!J$2:J$401,$U234)))</f>
        <v/>
      </c>
      <c r="K234">
        <f>IF($U234="","",IF(INDEX('Per Invoice'!K$2:K$401,$U234)="","",INDEX('Per Invoice'!K$2:K$401,$U234)))</f>
        <v/>
      </c>
      <c r="L234" s="7">
        <f>IF($U234="","",IF(INDEX('Per Invoice'!L$2:L$401,$U234)="","",INDEX('Per Invoice'!L$2:L$401,$U234)))</f>
        <v/>
      </c>
      <c r="M234" s="7">
        <f>IF($U234="","",IF(INDEX('Per Invoice'!M$2:M$401,$U234)="","",INDEX('Per Invoice'!M$2:M$401,$U234)))</f>
        <v/>
      </c>
      <c r="N234">
        <f>IF($U234="","",IF(INDEX('Per Invoice'!N$2:N$401,$U234)="","",INDEX('Per Invoice'!N$2:N$401,$U234)))</f>
        <v/>
      </c>
      <c r="O234" s="7">
        <f>IF($U234="","",IF(INDEX('Per Invoice'!O$2:O$401,$U234)="","",INDEX('Per Invoice'!O$2:O$401,$U234)))</f>
        <v/>
      </c>
      <c r="P234" s="7">
        <f>IF($U234="","",IF(INDEX('Per Invoice'!P$2:P$401,$U234)="","",INDEX('Per Invoice'!P$2:P$401,$U234)))</f>
        <v/>
      </c>
      <c r="Q234" s="7">
        <f>IF($U234="","",IF(INDEX('Per Invoice'!Q$2:Q$401,$U234)="","",INDEX('Per Invoice'!Q$2:Q$401,$U234)))</f>
        <v/>
      </c>
      <c r="R234" s="7">
        <f>IF($U234="","",IF(INDEX('Per Invoice'!R$2:R$401,$U234)="","",INDEX('Per Invoice'!R$2:R$401,$U234)))</f>
        <v/>
      </c>
      <c r="S234" s="7">
        <f>IF($U234="","",IF(INDEX('Per Invoice'!S$2:S$401,$U234)="","",INDEX('Per Invoice'!S$2:S$401,$U234)))</f>
        <v/>
      </c>
      <c r="T234" s="7">
        <f>IF($U234="","",IF(INDEX('Per Invoice'!T$2:T$401,$U234)="","",INDEX('Per Invoice'!T$2:T$401,$U234)))</f>
        <v/>
      </c>
      <c r="U234" s="16">
        <f>IFERROR(MATCH(Settings!$C$26&amp;"|"&amp;ROWS($U$2:$U234),'Per Invoice'!$V$2:$V$401,0),"")</f>
        <v/>
      </c>
    </row>
    <row r="235">
      <c r="A235">
        <f>IF($U235="","",IF(INDEX('Per Invoice'!A$2:A$401,$U235)="","",INDEX('Per Invoice'!A$2:A$401,$U235)))</f>
        <v/>
      </c>
      <c r="B235">
        <f>IF($U235="","",IF(INDEX('Per Invoice'!B$2:B$401,$U235)="","",INDEX('Per Invoice'!B$2:B$401,$U235)))</f>
        <v/>
      </c>
      <c r="C235">
        <f>IF($U235="","",IF(INDEX('Per Invoice'!C$2:C$401,$U235)="","",INDEX('Per Invoice'!C$2:C$401,$U235)))</f>
        <v/>
      </c>
      <c r="D235">
        <f>IF($U235="","",IF(INDEX('Per Invoice'!D$2:D$401,$U235)="","",INDEX('Per Invoice'!D$2:D$401,$U235)))</f>
        <v/>
      </c>
      <c r="E235">
        <f>IF($U235="","",IF(INDEX('Per Invoice'!E$2:E$401,$U235)="","",INDEX('Per Invoice'!E$2:E$401,$U235)))</f>
        <v/>
      </c>
      <c r="F235">
        <f>IF($U235="","",IF(INDEX('Per Invoice'!F$2:F$401,$U235)="","",INDEX('Per Invoice'!F$2:F$401,$U235)))</f>
        <v/>
      </c>
      <c r="G235">
        <f>IF($U235="","",IF(INDEX('Per Invoice'!G$2:G$401,$U235)="","",INDEX('Per Invoice'!G$2:G$401,$U235)))</f>
        <v/>
      </c>
      <c r="H235" s="7">
        <f>IF($U235="","",IF(INDEX('Per Invoice'!H$2:H$401,$U235)="","",INDEX('Per Invoice'!H$2:H$401,$U235)))</f>
        <v/>
      </c>
      <c r="I235" s="14">
        <f>IF($U235="","",IF(INDEX('Per Invoice'!I$2:I$401,$U235)="","",INDEX('Per Invoice'!I$2:I$401,$U235)))</f>
        <v/>
      </c>
      <c r="J235">
        <f>IF($U235="","",IF(INDEX('Per Invoice'!J$2:J$401,$U235)="","",INDEX('Per Invoice'!J$2:J$401,$U235)))</f>
        <v/>
      </c>
      <c r="K235">
        <f>IF($U235="","",IF(INDEX('Per Invoice'!K$2:K$401,$U235)="","",INDEX('Per Invoice'!K$2:K$401,$U235)))</f>
        <v/>
      </c>
      <c r="L235" s="7">
        <f>IF($U235="","",IF(INDEX('Per Invoice'!L$2:L$401,$U235)="","",INDEX('Per Invoice'!L$2:L$401,$U235)))</f>
        <v/>
      </c>
      <c r="M235" s="7">
        <f>IF($U235="","",IF(INDEX('Per Invoice'!M$2:M$401,$U235)="","",INDEX('Per Invoice'!M$2:M$401,$U235)))</f>
        <v/>
      </c>
      <c r="N235">
        <f>IF($U235="","",IF(INDEX('Per Invoice'!N$2:N$401,$U235)="","",INDEX('Per Invoice'!N$2:N$401,$U235)))</f>
        <v/>
      </c>
      <c r="O235" s="7">
        <f>IF($U235="","",IF(INDEX('Per Invoice'!O$2:O$401,$U235)="","",INDEX('Per Invoice'!O$2:O$401,$U235)))</f>
        <v/>
      </c>
      <c r="P235" s="7">
        <f>IF($U235="","",IF(INDEX('Per Invoice'!P$2:P$401,$U235)="","",INDEX('Per Invoice'!P$2:P$401,$U235)))</f>
        <v/>
      </c>
      <c r="Q235" s="7">
        <f>IF($U235="","",IF(INDEX('Per Invoice'!Q$2:Q$401,$U235)="","",INDEX('Per Invoice'!Q$2:Q$401,$U235)))</f>
        <v/>
      </c>
      <c r="R235" s="7">
        <f>IF($U235="","",IF(INDEX('Per Invoice'!R$2:R$401,$U235)="","",INDEX('Per Invoice'!R$2:R$401,$U235)))</f>
        <v/>
      </c>
      <c r="S235" s="7">
        <f>IF($U235="","",IF(INDEX('Per Invoice'!S$2:S$401,$U235)="","",INDEX('Per Invoice'!S$2:S$401,$U235)))</f>
        <v/>
      </c>
      <c r="T235" s="7">
        <f>IF($U235="","",IF(INDEX('Per Invoice'!T$2:T$401,$U235)="","",INDEX('Per Invoice'!T$2:T$401,$U235)))</f>
        <v/>
      </c>
      <c r="U235" s="16">
        <f>IFERROR(MATCH(Settings!$C$26&amp;"|"&amp;ROWS($U$2:$U235),'Per Invoice'!$V$2:$V$401,0),"")</f>
        <v/>
      </c>
    </row>
    <row r="236">
      <c r="A236">
        <f>IF($U236="","",IF(INDEX('Per Invoice'!A$2:A$401,$U236)="","",INDEX('Per Invoice'!A$2:A$401,$U236)))</f>
        <v/>
      </c>
      <c r="B236">
        <f>IF($U236="","",IF(INDEX('Per Invoice'!B$2:B$401,$U236)="","",INDEX('Per Invoice'!B$2:B$401,$U236)))</f>
        <v/>
      </c>
      <c r="C236">
        <f>IF($U236="","",IF(INDEX('Per Invoice'!C$2:C$401,$U236)="","",INDEX('Per Invoice'!C$2:C$401,$U236)))</f>
        <v/>
      </c>
      <c r="D236">
        <f>IF($U236="","",IF(INDEX('Per Invoice'!D$2:D$401,$U236)="","",INDEX('Per Invoice'!D$2:D$401,$U236)))</f>
        <v/>
      </c>
      <c r="E236">
        <f>IF($U236="","",IF(INDEX('Per Invoice'!E$2:E$401,$U236)="","",INDEX('Per Invoice'!E$2:E$401,$U236)))</f>
        <v/>
      </c>
      <c r="F236">
        <f>IF($U236="","",IF(INDEX('Per Invoice'!F$2:F$401,$U236)="","",INDEX('Per Invoice'!F$2:F$401,$U236)))</f>
        <v/>
      </c>
      <c r="G236">
        <f>IF($U236="","",IF(INDEX('Per Invoice'!G$2:G$401,$U236)="","",INDEX('Per Invoice'!G$2:G$401,$U236)))</f>
        <v/>
      </c>
      <c r="H236" s="7">
        <f>IF($U236="","",IF(INDEX('Per Invoice'!H$2:H$401,$U236)="","",INDEX('Per Invoice'!H$2:H$401,$U236)))</f>
        <v/>
      </c>
      <c r="I236" s="14">
        <f>IF($U236="","",IF(INDEX('Per Invoice'!I$2:I$401,$U236)="","",INDEX('Per Invoice'!I$2:I$401,$U236)))</f>
        <v/>
      </c>
      <c r="J236">
        <f>IF($U236="","",IF(INDEX('Per Invoice'!J$2:J$401,$U236)="","",INDEX('Per Invoice'!J$2:J$401,$U236)))</f>
        <v/>
      </c>
      <c r="K236">
        <f>IF($U236="","",IF(INDEX('Per Invoice'!K$2:K$401,$U236)="","",INDEX('Per Invoice'!K$2:K$401,$U236)))</f>
        <v/>
      </c>
      <c r="L236" s="7">
        <f>IF($U236="","",IF(INDEX('Per Invoice'!L$2:L$401,$U236)="","",INDEX('Per Invoice'!L$2:L$401,$U236)))</f>
        <v/>
      </c>
      <c r="M236" s="7">
        <f>IF($U236="","",IF(INDEX('Per Invoice'!M$2:M$401,$U236)="","",INDEX('Per Invoice'!M$2:M$401,$U236)))</f>
        <v/>
      </c>
      <c r="N236">
        <f>IF($U236="","",IF(INDEX('Per Invoice'!N$2:N$401,$U236)="","",INDEX('Per Invoice'!N$2:N$401,$U236)))</f>
        <v/>
      </c>
      <c r="O236" s="7">
        <f>IF($U236="","",IF(INDEX('Per Invoice'!O$2:O$401,$U236)="","",INDEX('Per Invoice'!O$2:O$401,$U236)))</f>
        <v/>
      </c>
      <c r="P236" s="7">
        <f>IF($U236="","",IF(INDEX('Per Invoice'!P$2:P$401,$U236)="","",INDEX('Per Invoice'!P$2:P$401,$U236)))</f>
        <v/>
      </c>
      <c r="Q236" s="7">
        <f>IF($U236="","",IF(INDEX('Per Invoice'!Q$2:Q$401,$U236)="","",INDEX('Per Invoice'!Q$2:Q$401,$U236)))</f>
        <v/>
      </c>
      <c r="R236" s="7">
        <f>IF($U236="","",IF(INDEX('Per Invoice'!R$2:R$401,$U236)="","",INDEX('Per Invoice'!R$2:R$401,$U236)))</f>
        <v/>
      </c>
      <c r="S236" s="7">
        <f>IF($U236="","",IF(INDEX('Per Invoice'!S$2:S$401,$U236)="","",INDEX('Per Invoice'!S$2:S$401,$U236)))</f>
        <v/>
      </c>
      <c r="T236" s="7">
        <f>IF($U236="","",IF(INDEX('Per Invoice'!T$2:T$401,$U236)="","",INDEX('Per Invoice'!T$2:T$401,$U236)))</f>
        <v/>
      </c>
      <c r="U236" s="16">
        <f>IFERROR(MATCH(Settings!$C$26&amp;"|"&amp;ROWS($U$2:$U236),'Per Invoice'!$V$2:$V$401,0),"")</f>
        <v/>
      </c>
    </row>
    <row r="237">
      <c r="A237">
        <f>IF($U237="","",IF(INDEX('Per Invoice'!A$2:A$401,$U237)="","",INDEX('Per Invoice'!A$2:A$401,$U237)))</f>
        <v/>
      </c>
      <c r="B237">
        <f>IF($U237="","",IF(INDEX('Per Invoice'!B$2:B$401,$U237)="","",INDEX('Per Invoice'!B$2:B$401,$U237)))</f>
        <v/>
      </c>
      <c r="C237">
        <f>IF($U237="","",IF(INDEX('Per Invoice'!C$2:C$401,$U237)="","",INDEX('Per Invoice'!C$2:C$401,$U237)))</f>
        <v/>
      </c>
      <c r="D237">
        <f>IF($U237="","",IF(INDEX('Per Invoice'!D$2:D$401,$U237)="","",INDEX('Per Invoice'!D$2:D$401,$U237)))</f>
        <v/>
      </c>
      <c r="E237">
        <f>IF($U237="","",IF(INDEX('Per Invoice'!E$2:E$401,$U237)="","",INDEX('Per Invoice'!E$2:E$401,$U237)))</f>
        <v/>
      </c>
      <c r="F237">
        <f>IF($U237="","",IF(INDEX('Per Invoice'!F$2:F$401,$U237)="","",INDEX('Per Invoice'!F$2:F$401,$U237)))</f>
        <v/>
      </c>
      <c r="G237">
        <f>IF($U237="","",IF(INDEX('Per Invoice'!G$2:G$401,$U237)="","",INDEX('Per Invoice'!G$2:G$401,$U237)))</f>
        <v/>
      </c>
      <c r="H237" s="7">
        <f>IF($U237="","",IF(INDEX('Per Invoice'!H$2:H$401,$U237)="","",INDEX('Per Invoice'!H$2:H$401,$U237)))</f>
        <v/>
      </c>
      <c r="I237" s="14">
        <f>IF($U237="","",IF(INDEX('Per Invoice'!I$2:I$401,$U237)="","",INDEX('Per Invoice'!I$2:I$401,$U237)))</f>
        <v/>
      </c>
      <c r="J237">
        <f>IF($U237="","",IF(INDEX('Per Invoice'!J$2:J$401,$U237)="","",INDEX('Per Invoice'!J$2:J$401,$U237)))</f>
        <v/>
      </c>
      <c r="K237">
        <f>IF($U237="","",IF(INDEX('Per Invoice'!K$2:K$401,$U237)="","",INDEX('Per Invoice'!K$2:K$401,$U237)))</f>
        <v/>
      </c>
      <c r="L237" s="7">
        <f>IF($U237="","",IF(INDEX('Per Invoice'!L$2:L$401,$U237)="","",INDEX('Per Invoice'!L$2:L$401,$U237)))</f>
        <v/>
      </c>
      <c r="M237" s="7">
        <f>IF($U237="","",IF(INDEX('Per Invoice'!M$2:M$401,$U237)="","",INDEX('Per Invoice'!M$2:M$401,$U237)))</f>
        <v/>
      </c>
      <c r="N237">
        <f>IF($U237="","",IF(INDEX('Per Invoice'!N$2:N$401,$U237)="","",INDEX('Per Invoice'!N$2:N$401,$U237)))</f>
        <v/>
      </c>
      <c r="O237" s="7">
        <f>IF($U237="","",IF(INDEX('Per Invoice'!O$2:O$401,$U237)="","",INDEX('Per Invoice'!O$2:O$401,$U237)))</f>
        <v/>
      </c>
      <c r="P237" s="7">
        <f>IF($U237="","",IF(INDEX('Per Invoice'!P$2:P$401,$U237)="","",INDEX('Per Invoice'!P$2:P$401,$U237)))</f>
        <v/>
      </c>
      <c r="Q237" s="7">
        <f>IF($U237="","",IF(INDEX('Per Invoice'!Q$2:Q$401,$U237)="","",INDEX('Per Invoice'!Q$2:Q$401,$U237)))</f>
        <v/>
      </c>
      <c r="R237" s="7">
        <f>IF($U237="","",IF(INDEX('Per Invoice'!R$2:R$401,$U237)="","",INDEX('Per Invoice'!R$2:R$401,$U237)))</f>
        <v/>
      </c>
      <c r="S237" s="7">
        <f>IF($U237="","",IF(INDEX('Per Invoice'!S$2:S$401,$U237)="","",INDEX('Per Invoice'!S$2:S$401,$U237)))</f>
        <v/>
      </c>
      <c r="T237" s="7">
        <f>IF($U237="","",IF(INDEX('Per Invoice'!T$2:T$401,$U237)="","",INDEX('Per Invoice'!T$2:T$401,$U237)))</f>
        <v/>
      </c>
      <c r="U237" s="16">
        <f>IFERROR(MATCH(Settings!$C$26&amp;"|"&amp;ROWS($U$2:$U237),'Per Invoice'!$V$2:$V$401,0),"")</f>
        <v/>
      </c>
    </row>
    <row r="238">
      <c r="A238">
        <f>IF($U238="","",IF(INDEX('Per Invoice'!A$2:A$401,$U238)="","",INDEX('Per Invoice'!A$2:A$401,$U238)))</f>
        <v/>
      </c>
      <c r="B238">
        <f>IF($U238="","",IF(INDEX('Per Invoice'!B$2:B$401,$U238)="","",INDEX('Per Invoice'!B$2:B$401,$U238)))</f>
        <v/>
      </c>
      <c r="C238">
        <f>IF($U238="","",IF(INDEX('Per Invoice'!C$2:C$401,$U238)="","",INDEX('Per Invoice'!C$2:C$401,$U238)))</f>
        <v/>
      </c>
      <c r="D238">
        <f>IF($U238="","",IF(INDEX('Per Invoice'!D$2:D$401,$U238)="","",INDEX('Per Invoice'!D$2:D$401,$U238)))</f>
        <v/>
      </c>
      <c r="E238">
        <f>IF($U238="","",IF(INDEX('Per Invoice'!E$2:E$401,$U238)="","",INDEX('Per Invoice'!E$2:E$401,$U238)))</f>
        <v/>
      </c>
      <c r="F238">
        <f>IF($U238="","",IF(INDEX('Per Invoice'!F$2:F$401,$U238)="","",INDEX('Per Invoice'!F$2:F$401,$U238)))</f>
        <v/>
      </c>
      <c r="G238">
        <f>IF($U238="","",IF(INDEX('Per Invoice'!G$2:G$401,$U238)="","",INDEX('Per Invoice'!G$2:G$401,$U238)))</f>
        <v/>
      </c>
      <c r="H238" s="7">
        <f>IF($U238="","",IF(INDEX('Per Invoice'!H$2:H$401,$U238)="","",INDEX('Per Invoice'!H$2:H$401,$U238)))</f>
        <v/>
      </c>
      <c r="I238" s="14">
        <f>IF($U238="","",IF(INDEX('Per Invoice'!I$2:I$401,$U238)="","",INDEX('Per Invoice'!I$2:I$401,$U238)))</f>
        <v/>
      </c>
      <c r="J238">
        <f>IF($U238="","",IF(INDEX('Per Invoice'!J$2:J$401,$U238)="","",INDEX('Per Invoice'!J$2:J$401,$U238)))</f>
        <v/>
      </c>
      <c r="K238">
        <f>IF($U238="","",IF(INDEX('Per Invoice'!K$2:K$401,$U238)="","",INDEX('Per Invoice'!K$2:K$401,$U238)))</f>
        <v/>
      </c>
      <c r="L238" s="7">
        <f>IF($U238="","",IF(INDEX('Per Invoice'!L$2:L$401,$U238)="","",INDEX('Per Invoice'!L$2:L$401,$U238)))</f>
        <v/>
      </c>
      <c r="M238" s="7">
        <f>IF($U238="","",IF(INDEX('Per Invoice'!M$2:M$401,$U238)="","",INDEX('Per Invoice'!M$2:M$401,$U238)))</f>
        <v/>
      </c>
      <c r="N238">
        <f>IF($U238="","",IF(INDEX('Per Invoice'!N$2:N$401,$U238)="","",INDEX('Per Invoice'!N$2:N$401,$U238)))</f>
        <v/>
      </c>
      <c r="O238" s="7">
        <f>IF($U238="","",IF(INDEX('Per Invoice'!O$2:O$401,$U238)="","",INDEX('Per Invoice'!O$2:O$401,$U238)))</f>
        <v/>
      </c>
      <c r="P238" s="7">
        <f>IF($U238="","",IF(INDEX('Per Invoice'!P$2:P$401,$U238)="","",INDEX('Per Invoice'!P$2:P$401,$U238)))</f>
        <v/>
      </c>
      <c r="Q238" s="7">
        <f>IF($U238="","",IF(INDEX('Per Invoice'!Q$2:Q$401,$U238)="","",INDEX('Per Invoice'!Q$2:Q$401,$U238)))</f>
        <v/>
      </c>
      <c r="R238" s="7">
        <f>IF($U238="","",IF(INDEX('Per Invoice'!R$2:R$401,$U238)="","",INDEX('Per Invoice'!R$2:R$401,$U238)))</f>
        <v/>
      </c>
      <c r="S238" s="7">
        <f>IF($U238="","",IF(INDEX('Per Invoice'!S$2:S$401,$U238)="","",INDEX('Per Invoice'!S$2:S$401,$U238)))</f>
        <v/>
      </c>
      <c r="T238" s="7">
        <f>IF($U238="","",IF(INDEX('Per Invoice'!T$2:T$401,$U238)="","",INDEX('Per Invoice'!T$2:T$401,$U238)))</f>
        <v/>
      </c>
      <c r="U238" s="16">
        <f>IFERROR(MATCH(Settings!$C$26&amp;"|"&amp;ROWS($U$2:$U238),'Per Invoice'!$V$2:$V$401,0),"")</f>
        <v/>
      </c>
    </row>
    <row r="239">
      <c r="A239">
        <f>IF($U239="","",IF(INDEX('Per Invoice'!A$2:A$401,$U239)="","",INDEX('Per Invoice'!A$2:A$401,$U239)))</f>
        <v/>
      </c>
      <c r="B239">
        <f>IF($U239="","",IF(INDEX('Per Invoice'!B$2:B$401,$U239)="","",INDEX('Per Invoice'!B$2:B$401,$U239)))</f>
        <v/>
      </c>
      <c r="C239">
        <f>IF($U239="","",IF(INDEX('Per Invoice'!C$2:C$401,$U239)="","",INDEX('Per Invoice'!C$2:C$401,$U239)))</f>
        <v/>
      </c>
      <c r="D239">
        <f>IF($U239="","",IF(INDEX('Per Invoice'!D$2:D$401,$U239)="","",INDEX('Per Invoice'!D$2:D$401,$U239)))</f>
        <v/>
      </c>
      <c r="E239">
        <f>IF($U239="","",IF(INDEX('Per Invoice'!E$2:E$401,$U239)="","",INDEX('Per Invoice'!E$2:E$401,$U239)))</f>
        <v/>
      </c>
      <c r="F239">
        <f>IF($U239="","",IF(INDEX('Per Invoice'!F$2:F$401,$U239)="","",INDEX('Per Invoice'!F$2:F$401,$U239)))</f>
        <v/>
      </c>
      <c r="G239">
        <f>IF($U239="","",IF(INDEX('Per Invoice'!G$2:G$401,$U239)="","",INDEX('Per Invoice'!G$2:G$401,$U239)))</f>
        <v/>
      </c>
      <c r="H239" s="7">
        <f>IF($U239="","",IF(INDEX('Per Invoice'!H$2:H$401,$U239)="","",INDEX('Per Invoice'!H$2:H$401,$U239)))</f>
        <v/>
      </c>
      <c r="I239" s="14">
        <f>IF($U239="","",IF(INDEX('Per Invoice'!I$2:I$401,$U239)="","",INDEX('Per Invoice'!I$2:I$401,$U239)))</f>
        <v/>
      </c>
      <c r="J239">
        <f>IF($U239="","",IF(INDEX('Per Invoice'!J$2:J$401,$U239)="","",INDEX('Per Invoice'!J$2:J$401,$U239)))</f>
        <v/>
      </c>
      <c r="K239">
        <f>IF($U239="","",IF(INDEX('Per Invoice'!K$2:K$401,$U239)="","",INDEX('Per Invoice'!K$2:K$401,$U239)))</f>
        <v/>
      </c>
      <c r="L239" s="7">
        <f>IF($U239="","",IF(INDEX('Per Invoice'!L$2:L$401,$U239)="","",INDEX('Per Invoice'!L$2:L$401,$U239)))</f>
        <v/>
      </c>
      <c r="M239" s="7">
        <f>IF($U239="","",IF(INDEX('Per Invoice'!M$2:M$401,$U239)="","",INDEX('Per Invoice'!M$2:M$401,$U239)))</f>
        <v/>
      </c>
      <c r="N239">
        <f>IF($U239="","",IF(INDEX('Per Invoice'!N$2:N$401,$U239)="","",INDEX('Per Invoice'!N$2:N$401,$U239)))</f>
        <v/>
      </c>
      <c r="O239" s="7">
        <f>IF($U239="","",IF(INDEX('Per Invoice'!O$2:O$401,$U239)="","",INDEX('Per Invoice'!O$2:O$401,$U239)))</f>
        <v/>
      </c>
      <c r="P239" s="7">
        <f>IF($U239="","",IF(INDEX('Per Invoice'!P$2:P$401,$U239)="","",INDEX('Per Invoice'!P$2:P$401,$U239)))</f>
        <v/>
      </c>
      <c r="Q239" s="7">
        <f>IF($U239="","",IF(INDEX('Per Invoice'!Q$2:Q$401,$U239)="","",INDEX('Per Invoice'!Q$2:Q$401,$U239)))</f>
        <v/>
      </c>
      <c r="R239" s="7">
        <f>IF($U239="","",IF(INDEX('Per Invoice'!R$2:R$401,$U239)="","",INDEX('Per Invoice'!R$2:R$401,$U239)))</f>
        <v/>
      </c>
      <c r="S239" s="7">
        <f>IF($U239="","",IF(INDEX('Per Invoice'!S$2:S$401,$U239)="","",INDEX('Per Invoice'!S$2:S$401,$U239)))</f>
        <v/>
      </c>
      <c r="T239" s="7">
        <f>IF($U239="","",IF(INDEX('Per Invoice'!T$2:T$401,$U239)="","",INDEX('Per Invoice'!T$2:T$401,$U239)))</f>
        <v/>
      </c>
      <c r="U239" s="16">
        <f>IFERROR(MATCH(Settings!$C$26&amp;"|"&amp;ROWS($U$2:$U239),'Per Invoice'!$V$2:$V$401,0),"")</f>
        <v/>
      </c>
    </row>
    <row r="240">
      <c r="A240">
        <f>IF($U240="","",IF(INDEX('Per Invoice'!A$2:A$401,$U240)="","",INDEX('Per Invoice'!A$2:A$401,$U240)))</f>
        <v/>
      </c>
      <c r="B240">
        <f>IF($U240="","",IF(INDEX('Per Invoice'!B$2:B$401,$U240)="","",INDEX('Per Invoice'!B$2:B$401,$U240)))</f>
        <v/>
      </c>
      <c r="C240">
        <f>IF($U240="","",IF(INDEX('Per Invoice'!C$2:C$401,$U240)="","",INDEX('Per Invoice'!C$2:C$401,$U240)))</f>
        <v/>
      </c>
      <c r="D240">
        <f>IF($U240="","",IF(INDEX('Per Invoice'!D$2:D$401,$U240)="","",INDEX('Per Invoice'!D$2:D$401,$U240)))</f>
        <v/>
      </c>
      <c r="E240">
        <f>IF($U240="","",IF(INDEX('Per Invoice'!E$2:E$401,$U240)="","",INDEX('Per Invoice'!E$2:E$401,$U240)))</f>
        <v/>
      </c>
      <c r="F240">
        <f>IF($U240="","",IF(INDEX('Per Invoice'!F$2:F$401,$U240)="","",INDEX('Per Invoice'!F$2:F$401,$U240)))</f>
        <v/>
      </c>
      <c r="G240">
        <f>IF($U240="","",IF(INDEX('Per Invoice'!G$2:G$401,$U240)="","",INDEX('Per Invoice'!G$2:G$401,$U240)))</f>
        <v/>
      </c>
      <c r="H240" s="7">
        <f>IF($U240="","",IF(INDEX('Per Invoice'!H$2:H$401,$U240)="","",INDEX('Per Invoice'!H$2:H$401,$U240)))</f>
        <v/>
      </c>
      <c r="I240" s="14">
        <f>IF($U240="","",IF(INDEX('Per Invoice'!I$2:I$401,$U240)="","",INDEX('Per Invoice'!I$2:I$401,$U240)))</f>
        <v/>
      </c>
      <c r="J240">
        <f>IF($U240="","",IF(INDEX('Per Invoice'!J$2:J$401,$U240)="","",INDEX('Per Invoice'!J$2:J$401,$U240)))</f>
        <v/>
      </c>
      <c r="K240">
        <f>IF($U240="","",IF(INDEX('Per Invoice'!K$2:K$401,$U240)="","",INDEX('Per Invoice'!K$2:K$401,$U240)))</f>
        <v/>
      </c>
      <c r="L240" s="7">
        <f>IF($U240="","",IF(INDEX('Per Invoice'!L$2:L$401,$U240)="","",INDEX('Per Invoice'!L$2:L$401,$U240)))</f>
        <v/>
      </c>
      <c r="M240" s="7">
        <f>IF($U240="","",IF(INDEX('Per Invoice'!M$2:M$401,$U240)="","",INDEX('Per Invoice'!M$2:M$401,$U240)))</f>
        <v/>
      </c>
      <c r="N240">
        <f>IF($U240="","",IF(INDEX('Per Invoice'!N$2:N$401,$U240)="","",INDEX('Per Invoice'!N$2:N$401,$U240)))</f>
        <v/>
      </c>
      <c r="O240" s="7">
        <f>IF($U240="","",IF(INDEX('Per Invoice'!O$2:O$401,$U240)="","",INDEX('Per Invoice'!O$2:O$401,$U240)))</f>
        <v/>
      </c>
      <c r="P240" s="7">
        <f>IF($U240="","",IF(INDEX('Per Invoice'!P$2:P$401,$U240)="","",INDEX('Per Invoice'!P$2:P$401,$U240)))</f>
        <v/>
      </c>
      <c r="Q240" s="7">
        <f>IF($U240="","",IF(INDEX('Per Invoice'!Q$2:Q$401,$U240)="","",INDEX('Per Invoice'!Q$2:Q$401,$U240)))</f>
        <v/>
      </c>
      <c r="R240" s="7">
        <f>IF($U240="","",IF(INDEX('Per Invoice'!R$2:R$401,$U240)="","",INDEX('Per Invoice'!R$2:R$401,$U240)))</f>
        <v/>
      </c>
      <c r="S240" s="7">
        <f>IF($U240="","",IF(INDEX('Per Invoice'!S$2:S$401,$U240)="","",INDEX('Per Invoice'!S$2:S$401,$U240)))</f>
        <v/>
      </c>
      <c r="T240" s="7">
        <f>IF($U240="","",IF(INDEX('Per Invoice'!T$2:T$401,$U240)="","",INDEX('Per Invoice'!T$2:T$401,$U240)))</f>
        <v/>
      </c>
      <c r="U240" s="16">
        <f>IFERROR(MATCH(Settings!$C$26&amp;"|"&amp;ROWS($U$2:$U240),'Per Invoice'!$V$2:$V$401,0),"")</f>
        <v/>
      </c>
    </row>
    <row r="241">
      <c r="A241">
        <f>IF($U241="","",IF(INDEX('Per Invoice'!A$2:A$401,$U241)="","",INDEX('Per Invoice'!A$2:A$401,$U241)))</f>
        <v/>
      </c>
      <c r="B241">
        <f>IF($U241="","",IF(INDEX('Per Invoice'!B$2:B$401,$U241)="","",INDEX('Per Invoice'!B$2:B$401,$U241)))</f>
        <v/>
      </c>
      <c r="C241">
        <f>IF($U241="","",IF(INDEX('Per Invoice'!C$2:C$401,$U241)="","",INDEX('Per Invoice'!C$2:C$401,$U241)))</f>
        <v/>
      </c>
      <c r="D241">
        <f>IF($U241="","",IF(INDEX('Per Invoice'!D$2:D$401,$U241)="","",INDEX('Per Invoice'!D$2:D$401,$U241)))</f>
        <v/>
      </c>
      <c r="E241">
        <f>IF($U241="","",IF(INDEX('Per Invoice'!E$2:E$401,$U241)="","",INDEX('Per Invoice'!E$2:E$401,$U241)))</f>
        <v/>
      </c>
      <c r="F241">
        <f>IF($U241="","",IF(INDEX('Per Invoice'!F$2:F$401,$U241)="","",INDEX('Per Invoice'!F$2:F$401,$U241)))</f>
        <v/>
      </c>
      <c r="G241">
        <f>IF($U241="","",IF(INDEX('Per Invoice'!G$2:G$401,$U241)="","",INDEX('Per Invoice'!G$2:G$401,$U241)))</f>
        <v/>
      </c>
      <c r="H241" s="7">
        <f>IF($U241="","",IF(INDEX('Per Invoice'!H$2:H$401,$U241)="","",INDEX('Per Invoice'!H$2:H$401,$U241)))</f>
        <v/>
      </c>
      <c r="I241" s="14">
        <f>IF($U241="","",IF(INDEX('Per Invoice'!I$2:I$401,$U241)="","",INDEX('Per Invoice'!I$2:I$401,$U241)))</f>
        <v/>
      </c>
      <c r="J241">
        <f>IF($U241="","",IF(INDEX('Per Invoice'!J$2:J$401,$U241)="","",INDEX('Per Invoice'!J$2:J$401,$U241)))</f>
        <v/>
      </c>
      <c r="K241">
        <f>IF($U241="","",IF(INDEX('Per Invoice'!K$2:K$401,$U241)="","",INDEX('Per Invoice'!K$2:K$401,$U241)))</f>
        <v/>
      </c>
      <c r="L241" s="7">
        <f>IF($U241="","",IF(INDEX('Per Invoice'!L$2:L$401,$U241)="","",INDEX('Per Invoice'!L$2:L$401,$U241)))</f>
        <v/>
      </c>
      <c r="M241" s="7">
        <f>IF($U241="","",IF(INDEX('Per Invoice'!M$2:M$401,$U241)="","",INDEX('Per Invoice'!M$2:M$401,$U241)))</f>
        <v/>
      </c>
      <c r="N241">
        <f>IF($U241="","",IF(INDEX('Per Invoice'!N$2:N$401,$U241)="","",INDEX('Per Invoice'!N$2:N$401,$U241)))</f>
        <v/>
      </c>
      <c r="O241" s="7">
        <f>IF($U241="","",IF(INDEX('Per Invoice'!O$2:O$401,$U241)="","",INDEX('Per Invoice'!O$2:O$401,$U241)))</f>
        <v/>
      </c>
      <c r="P241" s="7">
        <f>IF($U241="","",IF(INDEX('Per Invoice'!P$2:P$401,$U241)="","",INDEX('Per Invoice'!P$2:P$401,$U241)))</f>
        <v/>
      </c>
      <c r="Q241" s="7">
        <f>IF($U241="","",IF(INDEX('Per Invoice'!Q$2:Q$401,$U241)="","",INDEX('Per Invoice'!Q$2:Q$401,$U241)))</f>
        <v/>
      </c>
      <c r="R241" s="7">
        <f>IF($U241="","",IF(INDEX('Per Invoice'!R$2:R$401,$U241)="","",INDEX('Per Invoice'!R$2:R$401,$U241)))</f>
        <v/>
      </c>
      <c r="S241" s="7">
        <f>IF($U241="","",IF(INDEX('Per Invoice'!S$2:S$401,$U241)="","",INDEX('Per Invoice'!S$2:S$401,$U241)))</f>
        <v/>
      </c>
      <c r="T241" s="7">
        <f>IF($U241="","",IF(INDEX('Per Invoice'!T$2:T$401,$U241)="","",INDEX('Per Invoice'!T$2:T$401,$U241)))</f>
        <v/>
      </c>
      <c r="U241" s="16">
        <f>IFERROR(MATCH(Settings!$C$26&amp;"|"&amp;ROWS($U$2:$U241),'Per Invoice'!$V$2:$V$401,0),"")</f>
        <v/>
      </c>
    </row>
    <row r="242">
      <c r="A242">
        <f>IF($U242="","",IF(INDEX('Per Invoice'!A$2:A$401,$U242)="","",INDEX('Per Invoice'!A$2:A$401,$U242)))</f>
        <v/>
      </c>
      <c r="B242">
        <f>IF($U242="","",IF(INDEX('Per Invoice'!B$2:B$401,$U242)="","",INDEX('Per Invoice'!B$2:B$401,$U242)))</f>
        <v/>
      </c>
      <c r="C242">
        <f>IF($U242="","",IF(INDEX('Per Invoice'!C$2:C$401,$U242)="","",INDEX('Per Invoice'!C$2:C$401,$U242)))</f>
        <v/>
      </c>
      <c r="D242">
        <f>IF($U242="","",IF(INDEX('Per Invoice'!D$2:D$401,$U242)="","",INDEX('Per Invoice'!D$2:D$401,$U242)))</f>
        <v/>
      </c>
      <c r="E242">
        <f>IF($U242="","",IF(INDEX('Per Invoice'!E$2:E$401,$U242)="","",INDEX('Per Invoice'!E$2:E$401,$U242)))</f>
        <v/>
      </c>
      <c r="F242">
        <f>IF($U242="","",IF(INDEX('Per Invoice'!F$2:F$401,$U242)="","",INDEX('Per Invoice'!F$2:F$401,$U242)))</f>
        <v/>
      </c>
      <c r="G242">
        <f>IF($U242="","",IF(INDEX('Per Invoice'!G$2:G$401,$U242)="","",INDEX('Per Invoice'!G$2:G$401,$U242)))</f>
        <v/>
      </c>
      <c r="H242" s="7">
        <f>IF($U242="","",IF(INDEX('Per Invoice'!H$2:H$401,$U242)="","",INDEX('Per Invoice'!H$2:H$401,$U242)))</f>
        <v/>
      </c>
      <c r="I242" s="14">
        <f>IF($U242="","",IF(INDEX('Per Invoice'!I$2:I$401,$U242)="","",INDEX('Per Invoice'!I$2:I$401,$U242)))</f>
        <v/>
      </c>
      <c r="J242">
        <f>IF($U242="","",IF(INDEX('Per Invoice'!J$2:J$401,$U242)="","",INDEX('Per Invoice'!J$2:J$401,$U242)))</f>
        <v/>
      </c>
      <c r="K242">
        <f>IF($U242="","",IF(INDEX('Per Invoice'!K$2:K$401,$U242)="","",INDEX('Per Invoice'!K$2:K$401,$U242)))</f>
        <v/>
      </c>
      <c r="L242" s="7">
        <f>IF($U242="","",IF(INDEX('Per Invoice'!L$2:L$401,$U242)="","",INDEX('Per Invoice'!L$2:L$401,$U242)))</f>
        <v/>
      </c>
      <c r="M242" s="7">
        <f>IF($U242="","",IF(INDEX('Per Invoice'!M$2:M$401,$U242)="","",INDEX('Per Invoice'!M$2:M$401,$U242)))</f>
        <v/>
      </c>
      <c r="N242">
        <f>IF($U242="","",IF(INDEX('Per Invoice'!N$2:N$401,$U242)="","",INDEX('Per Invoice'!N$2:N$401,$U242)))</f>
        <v/>
      </c>
      <c r="O242" s="7">
        <f>IF($U242="","",IF(INDEX('Per Invoice'!O$2:O$401,$U242)="","",INDEX('Per Invoice'!O$2:O$401,$U242)))</f>
        <v/>
      </c>
      <c r="P242" s="7">
        <f>IF($U242="","",IF(INDEX('Per Invoice'!P$2:P$401,$U242)="","",INDEX('Per Invoice'!P$2:P$401,$U242)))</f>
        <v/>
      </c>
      <c r="Q242" s="7">
        <f>IF($U242="","",IF(INDEX('Per Invoice'!Q$2:Q$401,$U242)="","",INDEX('Per Invoice'!Q$2:Q$401,$U242)))</f>
        <v/>
      </c>
      <c r="R242" s="7">
        <f>IF($U242="","",IF(INDEX('Per Invoice'!R$2:R$401,$U242)="","",INDEX('Per Invoice'!R$2:R$401,$U242)))</f>
        <v/>
      </c>
      <c r="S242" s="7">
        <f>IF($U242="","",IF(INDEX('Per Invoice'!S$2:S$401,$U242)="","",INDEX('Per Invoice'!S$2:S$401,$U242)))</f>
        <v/>
      </c>
      <c r="T242" s="7">
        <f>IF($U242="","",IF(INDEX('Per Invoice'!T$2:T$401,$U242)="","",INDEX('Per Invoice'!T$2:T$401,$U242)))</f>
        <v/>
      </c>
      <c r="U242" s="16">
        <f>IFERROR(MATCH(Settings!$C$26&amp;"|"&amp;ROWS($U$2:$U242),'Per Invoice'!$V$2:$V$401,0),"")</f>
        <v/>
      </c>
    </row>
    <row r="243">
      <c r="A243">
        <f>IF($U243="","",IF(INDEX('Per Invoice'!A$2:A$401,$U243)="","",INDEX('Per Invoice'!A$2:A$401,$U243)))</f>
        <v/>
      </c>
      <c r="B243">
        <f>IF($U243="","",IF(INDEX('Per Invoice'!B$2:B$401,$U243)="","",INDEX('Per Invoice'!B$2:B$401,$U243)))</f>
        <v/>
      </c>
      <c r="C243">
        <f>IF($U243="","",IF(INDEX('Per Invoice'!C$2:C$401,$U243)="","",INDEX('Per Invoice'!C$2:C$401,$U243)))</f>
        <v/>
      </c>
      <c r="D243">
        <f>IF($U243="","",IF(INDEX('Per Invoice'!D$2:D$401,$U243)="","",INDEX('Per Invoice'!D$2:D$401,$U243)))</f>
        <v/>
      </c>
      <c r="E243">
        <f>IF($U243="","",IF(INDEX('Per Invoice'!E$2:E$401,$U243)="","",INDEX('Per Invoice'!E$2:E$401,$U243)))</f>
        <v/>
      </c>
      <c r="F243">
        <f>IF($U243="","",IF(INDEX('Per Invoice'!F$2:F$401,$U243)="","",INDEX('Per Invoice'!F$2:F$401,$U243)))</f>
        <v/>
      </c>
      <c r="G243">
        <f>IF($U243="","",IF(INDEX('Per Invoice'!G$2:G$401,$U243)="","",INDEX('Per Invoice'!G$2:G$401,$U243)))</f>
        <v/>
      </c>
      <c r="H243" s="7">
        <f>IF($U243="","",IF(INDEX('Per Invoice'!H$2:H$401,$U243)="","",INDEX('Per Invoice'!H$2:H$401,$U243)))</f>
        <v/>
      </c>
      <c r="I243" s="14">
        <f>IF($U243="","",IF(INDEX('Per Invoice'!I$2:I$401,$U243)="","",INDEX('Per Invoice'!I$2:I$401,$U243)))</f>
        <v/>
      </c>
      <c r="J243">
        <f>IF($U243="","",IF(INDEX('Per Invoice'!J$2:J$401,$U243)="","",INDEX('Per Invoice'!J$2:J$401,$U243)))</f>
        <v/>
      </c>
      <c r="K243">
        <f>IF($U243="","",IF(INDEX('Per Invoice'!K$2:K$401,$U243)="","",INDEX('Per Invoice'!K$2:K$401,$U243)))</f>
        <v/>
      </c>
      <c r="L243" s="7">
        <f>IF($U243="","",IF(INDEX('Per Invoice'!L$2:L$401,$U243)="","",INDEX('Per Invoice'!L$2:L$401,$U243)))</f>
        <v/>
      </c>
      <c r="M243" s="7">
        <f>IF($U243="","",IF(INDEX('Per Invoice'!M$2:M$401,$U243)="","",INDEX('Per Invoice'!M$2:M$401,$U243)))</f>
        <v/>
      </c>
      <c r="N243">
        <f>IF($U243="","",IF(INDEX('Per Invoice'!N$2:N$401,$U243)="","",INDEX('Per Invoice'!N$2:N$401,$U243)))</f>
        <v/>
      </c>
      <c r="O243" s="7">
        <f>IF($U243="","",IF(INDEX('Per Invoice'!O$2:O$401,$U243)="","",INDEX('Per Invoice'!O$2:O$401,$U243)))</f>
        <v/>
      </c>
      <c r="P243" s="7">
        <f>IF($U243="","",IF(INDEX('Per Invoice'!P$2:P$401,$U243)="","",INDEX('Per Invoice'!P$2:P$401,$U243)))</f>
        <v/>
      </c>
      <c r="Q243" s="7">
        <f>IF($U243="","",IF(INDEX('Per Invoice'!Q$2:Q$401,$U243)="","",INDEX('Per Invoice'!Q$2:Q$401,$U243)))</f>
        <v/>
      </c>
      <c r="R243" s="7">
        <f>IF($U243="","",IF(INDEX('Per Invoice'!R$2:R$401,$U243)="","",INDEX('Per Invoice'!R$2:R$401,$U243)))</f>
        <v/>
      </c>
      <c r="S243" s="7">
        <f>IF($U243="","",IF(INDEX('Per Invoice'!S$2:S$401,$U243)="","",INDEX('Per Invoice'!S$2:S$401,$U243)))</f>
        <v/>
      </c>
      <c r="T243" s="7">
        <f>IF($U243="","",IF(INDEX('Per Invoice'!T$2:T$401,$U243)="","",INDEX('Per Invoice'!T$2:T$401,$U243)))</f>
        <v/>
      </c>
      <c r="U243" s="16">
        <f>IFERROR(MATCH(Settings!$C$26&amp;"|"&amp;ROWS($U$2:$U243),'Per Invoice'!$V$2:$V$401,0),"")</f>
        <v/>
      </c>
    </row>
    <row r="244">
      <c r="A244">
        <f>IF($U244="","",IF(INDEX('Per Invoice'!A$2:A$401,$U244)="","",INDEX('Per Invoice'!A$2:A$401,$U244)))</f>
        <v/>
      </c>
      <c r="B244">
        <f>IF($U244="","",IF(INDEX('Per Invoice'!B$2:B$401,$U244)="","",INDEX('Per Invoice'!B$2:B$401,$U244)))</f>
        <v/>
      </c>
      <c r="C244">
        <f>IF($U244="","",IF(INDEX('Per Invoice'!C$2:C$401,$U244)="","",INDEX('Per Invoice'!C$2:C$401,$U244)))</f>
        <v/>
      </c>
      <c r="D244">
        <f>IF($U244="","",IF(INDEX('Per Invoice'!D$2:D$401,$U244)="","",INDEX('Per Invoice'!D$2:D$401,$U244)))</f>
        <v/>
      </c>
      <c r="E244">
        <f>IF($U244="","",IF(INDEX('Per Invoice'!E$2:E$401,$U244)="","",INDEX('Per Invoice'!E$2:E$401,$U244)))</f>
        <v/>
      </c>
      <c r="F244">
        <f>IF($U244="","",IF(INDEX('Per Invoice'!F$2:F$401,$U244)="","",INDEX('Per Invoice'!F$2:F$401,$U244)))</f>
        <v/>
      </c>
      <c r="G244">
        <f>IF($U244="","",IF(INDEX('Per Invoice'!G$2:G$401,$U244)="","",INDEX('Per Invoice'!G$2:G$401,$U244)))</f>
        <v/>
      </c>
      <c r="H244" s="7">
        <f>IF($U244="","",IF(INDEX('Per Invoice'!H$2:H$401,$U244)="","",INDEX('Per Invoice'!H$2:H$401,$U244)))</f>
        <v/>
      </c>
      <c r="I244" s="14">
        <f>IF($U244="","",IF(INDEX('Per Invoice'!I$2:I$401,$U244)="","",INDEX('Per Invoice'!I$2:I$401,$U244)))</f>
        <v/>
      </c>
      <c r="J244">
        <f>IF($U244="","",IF(INDEX('Per Invoice'!J$2:J$401,$U244)="","",INDEX('Per Invoice'!J$2:J$401,$U244)))</f>
        <v/>
      </c>
      <c r="K244">
        <f>IF($U244="","",IF(INDEX('Per Invoice'!K$2:K$401,$U244)="","",INDEX('Per Invoice'!K$2:K$401,$U244)))</f>
        <v/>
      </c>
      <c r="L244" s="7">
        <f>IF($U244="","",IF(INDEX('Per Invoice'!L$2:L$401,$U244)="","",INDEX('Per Invoice'!L$2:L$401,$U244)))</f>
        <v/>
      </c>
      <c r="M244" s="7">
        <f>IF($U244="","",IF(INDEX('Per Invoice'!M$2:M$401,$U244)="","",INDEX('Per Invoice'!M$2:M$401,$U244)))</f>
        <v/>
      </c>
      <c r="N244">
        <f>IF($U244="","",IF(INDEX('Per Invoice'!N$2:N$401,$U244)="","",INDEX('Per Invoice'!N$2:N$401,$U244)))</f>
        <v/>
      </c>
      <c r="O244" s="7">
        <f>IF($U244="","",IF(INDEX('Per Invoice'!O$2:O$401,$U244)="","",INDEX('Per Invoice'!O$2:O$401,$U244)))</f>
        <v/>
      </c>
      <c r="P244" s="7">
        <f>IF($U244="","",IF(INDEX('Per Invoice'!P$2:P$401,$U244)="","",INDEX('Per Invoice'!P$2:P$401,$U244)))</f>
        <v/>
      </c>
      <c r="Q244" s="7">
        <f>IF($U244="","",IF(INDEX('Per Invoice'!Q$2:Q$401,$U244)="","",INDEX('Per Invoice'!Q$2:Q$401,$U244)))</f>
        <v/>
      </c>
      <c r="R244" s="7">
        <f>IF($U244="","",IF(INDEX('Per Invoice'!R$2:R$401,$U244)="","",INDEX('Per Invoice'!R$2:R$401,$U244)))</f>
        <v/>
      </c>
      <c r="S244" s="7">
        <f>IF($U244="","",IF(INDEX('Per Invoice'!S$2:S$401,$U244)="","",INDEX('Per Invoice'!S$2:S$401,$U244)))</f>
        <v/>
      </c>
      <c r="T244" s="7">
        <f>IF($U244="","",IF(INDEX('Per Invoice'!T$2:T$401,$U244)="","",INDEX('Per Invoice'!T$2:T$401,$U244)))</f>
        <v/>
      </c>
      <c r="U244" s="16">
        <f>IFERROR(MATCH(Settings!$C$26&amp;"|"&amp;ROWS($U$2:$U244),'Per Invoice'!$V$2:$V$401,0),"")</f>
        <v/>
      </c>
    </row>
    <row r="245">
      <c r="A245">
        <f>IF($U245="","",IF(INDEX('Per Invoice'!A$2:A$401,$U245)="","",INDEX('Per Invoice'!A$2:A$401,$U245)))</f>
        <v/>
      </c>
      <c r="B245">
        <f>IF($U245="","",IF(INDEX('Per Invoice'!B$2:B$401,$U245)="","",INDEX('Per Invoice'!B$2:B$401,$U245)))</f>
        <v/>
      </c>
      <c r="C245">
        <f>IF($U245="","",IF(INDEX('Per Invoice'!C$2:C$401,$U245)="","",INDEX('Per Invoice'!C$2:C$401,$U245)))</f>
        <v/>
      </c>
      <c r="D245">
        <f>IF($U245="","",IF(INDEX('Per Invoice'!D$2:D$401,$U245)="","",INDEX('Per Invoice'!D$2:D$401,$U245)))</f>
        <v/>
      </c>
      <c r="E245">
        <f>IF($U245="","",IF(INDEX('Per Invoice'!E$2:E$401,$U245)="","",INDEX('Per Invoice'!E$2:E$401,$U245)))</f>
        <v/>
      </c>
      <c r="F245">
        <f>IF($U245="","",IF(INDEX('Per Invoice'!F$2:F$401,$U245)="","",INDEX('Per Invoice'!F$2:F$401,$U245)))</f>
        <v/>
      </c>
      <c r="G245">
        <f>IF($U245="","",IF(INDEX('Per Invoice'!G$2:G$401,$U245)="","",INDEX('Per Invoice'!G$2:G$401,$U245)))</f>
        <v/>
      </c>
      <c r="H245" s="7">
        <f>IF($U245="","",IF(INDEX('Per Invoice'!H$2:H$401,$U245)="","",INDEX('Per Invoice'!H$2:H$401,$U245)))</f>
        <v/>
      </c>
      <c r="I245" s="14">
        <f>IF($U245="","",IF(INDEX('Per Invoice'!I$2:I$401,$U245)="","",INDEX('Per Invoice'!I$2:I$401,$U245)))</f>
        <v/>
      </c>
      <c r="J245">
        <f>IF($U245="","",IF(INDEX('Per Invoice'!J$2:J$401,$U245)="","",INDEX('Per Invoice'!J$2:J$401,$U245)))</f>
        <v/>
      </c>
      <c r="K245">
        <f>IF($U245="","",IF(INDEX('Per Invoice'!K$2:K$401,$U245)="","",INDEX('Per Invoice'!K$2:K$401,$U245)))</f>
        <v/>
      </c>
      <c r="L245" s="7">
        <f>IF($U245="","",IF(INDEX('Per Invoice'!L$2:L$401,$U245)="","",INDEX('Per Invoice'!L$2:L$401,$U245)))</f>
        <v/>
      </c>
      <c r="M245" s="7">
        <f>IF($U245="","",IF(INDEX('Per Invoice'!M$2:M$401,$U245)="","",INDEX('Per Invoice'!M$2:M$401,$U245)))</f>
        <v/>
      </c>
      <c r="N245">
        <f>IF($U245="","",IF(INDEX('Per Invoice'!N$2:N$401,$U245)="","",INDEX('Per Invoice'!N$2:N$401,$U245)))</f>
        <v/>
      </c>
      <c r="O245" s="7">
        <f>IF($U245="","",IF(INDEX('Per Invoice'!O$2:O$401,$U245)="","",INDEX('Per Invoice'!O$2:O$401,$U245)))</f>
        <v/>
      </c>
      <c r="P245" s="7">
        <f>IF($U245="","",IF(INDEX('Per Invoice'!P$2:P$401,$U245)="","",INDEX('Per Invoice'!P$2:P$401,$U245)))</f>
        <v/>
      </c>
      <c r="Q245" s="7">
        <f>IF($U245="","",IF(INDEX('Per Invoice'!Q$2:Q$401,$U245)="","",INDEX('Per Invoice'!Q$2:Q$401,$U245)))</f>
        <v/>
      </c>
      <c r="R245" s="7">
        <f>IF($U245="","",IF(INDEX('Per Invoice'!R$2:R$401,$U245)="","",INDEX('Per Invoice'!R$2:R$401,$U245)))</f>
        <v/>
      </c>
      <c r="S245" s="7">
        <f>IF($U245="","",IF(INDEX('Per Invoice'!S$2:S$401,$U245)="","",INDEX('Per Invoice'!S$2:S$401,$U245)))</f>
        <v/>
      </c>
      <c r="T245" s="7">
        <f>IF($U245="","",IF(INDEX('Per Invoice'!T$2:T$401,$U245)="","",INDEX('Per Invoice'!T$2:T$401,$U245)))</f>
        <v/>
      </c>
      <c r="U245" s="16">
        <f>IFERROR(MATCH(Settings!$C$26&amp;"|"&amp;ROWS($U$2:$U245),'Per Invoice'!$V$2:$V$401,0),"")</f>
        <v/>
      </c>
    </row>
    <row r="246">
      <c r="A246">
        <f>IF($U246="","",IF(INDEX('Per Invoice'!A$2:A$401,$U246)="","",INDEX('Per Invoice'!A$2:A$401,$U246)))</f>
        <v/>
      </c>
      <c r="B246">
        <f>IF($U246="","",IF(INDEX('Per Invoice'!B$2:B$401,$U246)="","",INDEX('Per Invoice'!B$2:B$401,$U246)))</f>
        <v/>
      </c>
      <c r="C246">
        <f>IF($U246="","",IF(INDEX('Per Invoice'!C$2:C$401,$U246)="","",INDEX('Per Invoice'!C$2:C$401,$U246)))</f>
        <v/>
      </c>
      <c r="D246">
        <f>IF($U246="","",IF(INDEX('Per Invoice'!D$2:D$401,$U246)="","",INDEX('Per Invoice'!D$2:D$401,$U246)))</f>
        <v/>
      </c>
      <c r="E246">
        <f>IF($U246="","",IF(INDEX('Per Invoice'!E$2:E$401,$U246)="","",INDEX('Per Invoice'!E$2:E$401,$U246)))</f>
        <v/>
      </c>
      <c r="F246">
        <f>IF($U246="","",IF(INDEX('Per Invoice'!F$2:F$401,$U246)="","",INDEX('Per Invoice'!F$2:F$401,$U246)))</f>
        <v/>
      </c>
      <c r="G246">
        <f>IF($U246="","",IF(INDEX('Per Invoice'!G$2:G$401,$U246)="","",INDEX('Per Invoice'!G$2:G$401,$U246)))</f>
        <v/>
      </c>
      <c r="H246" s="7">
        <f>IF($U246="","",IF(INDEX('Per Invoice'!H$2:H$401,$U246)="","",INDEX('Per Invoice'!H$2:H$401,$U246)))</f>
        <v/>
      </c>
      <c r="I246" s="14">
        <f>IF($U246="","",IF(INDEX('Per Invoice'!I$2:I$401,$U246)="","",INDEX('Per Invoice'!I$2:I$401,$U246)))</f>
        <v/>
      </c>
      <c r="J246">
        <f>IF($U246="","",IF(INDEX('Per Invoice'!J$2:J$401,$U246)="","",INDEX('Per Invoice'!J$2:J$401,$U246)))</f>
        <v/>
      </c>
      <c r="K246">
        <f>IF($U246="","",IF(INDEX('Per Invoice'!K$2:K$401,$U246)="","",INDEX('Per Invoice'!K$2:K$401,$U246)))</f>
        <v/>
      </c>
      <c r="L246" s="7">
        <f>IF($U246="","",IF(INDEX('Per Invoice'!L$2:L$401,$U246)="","",INDEX('Per Invoice'!L$2:L$401,$U246)))</f>
        <v/>
      </c>
      <c r="M246" s="7">
        <f>IF($U246="","",IF(INDEX('Per Invoice'!M$2:M$401,$U246)="","",INDEX('Per Invoice'!M$2:M$401,$U246)))</f>
        <v/>
      </c>
      <c r="N246">
        <f>IF($U246="","",IF(INDEX('Per Invoice'!N$2:N$401,$U246)="","",INDEX('Per Invoice'!N$2:N$401,$U246)))</f>
        <v/>
      </c>
      <c r="O246" s="7">
        <f>IF($U246="","",IF(INDEX('Per Invoice'!O$2:O$401,$U246)="","",INDEX('Per Invoice'!O$2:O$401,$U246)))</f>
        <v/>
      </c>
      <c r="P246" s="7">
        <f>IF($U246="","",IF(INDEX('Per Invoice'!P$2:P$401,$U246)="","",INDEX('Per Invoice'!P$2:P$401,$U246)))</f>
        <v/>
      </c>
      <c r="Q246" s="7">
        <f>IF($U246="","",IF(INDEX('Per Invoice'!Q$2:Q$401,$U246)="","",INDEX('Per Invoice'!Q$2:Q$401,$U246)))</f>
        <v/>
      </c>
      <c r="R246" s="7">
        <f>IF($U246="","",IF(INDEX('Per Invoice'!R$2:R$401,$U246)="","",INDEX('Per Invoice'!R$2:R$401,$U246)))</f>
        <v/>
      </c>
      <c r="S246" s="7">
        <f>IF($U246="","",IF(INDEX('Per Invoice'!S$2:S$401,$U246)="","",INDEX('Per Invoice'!S$2:S$401,$U246)))</f>
        <v/>
      </c>
      <c r="T246" s="7">
        <f>IF($U246="","",IF(INDEX('Per Invoice'!T$2:T$401,$U246)="","",INDEX('Per Invoice'!T$2:T$401,$U246)))</f>
        <v/>
      </c>
      <c r="U246" s="16">
        <f>IFERROR(MATCH(Settings!$C$26&amp;"|"&amp;ROWS($U$2:$U246),'Per Invoice'!$V$2:$V$401,0),"")</f>
        <v/>
      </c>
    </row>
    <row r="247">
      <c r="A247">
        <f>IF($U247="","",IF(INDEX('Per Invoice'!A$2:A$401,$U247)="","",INDEX('Per Invoice'!A$2:A$401,$U247)))</f>
        <v/>
      </c>
      <c r="B247">
        <f>IF($U247="","",IF(INDEX('Per Invoice'!B$2:B$401,$U247)="","",INDEX('Per Invoice'!B$2:B$401,$U247)))</f>
        <v/>
      </c>
      <c r="C247">
        <f>IF($U247="","",IF(INDEX('Per Invoice'!C$2:C$401,$U247)="","",INDEX('Per Invoice'!C$2:C$401,$U247)))</f>
        <v/>
      </c>
      <c r="D247">
        <f>IF($U247="","",IF(INDEX('Per Invoice'!D$2:D$401,$U247)="","",INDEX('Per Invoice'!D$2:D$401,$U247)))</f>
        <v/>
      </c>
      <c r="E247">
        <f>IF($U247="","",IF(INDEX('Per Invoice'!E$2:E$401,$U247)="","",INDEX('Per Invoice'!E$2:E$401,$U247)))</f>
        <v/>
      </c>
      <c r="F247">
        <f>IF($U247="","",IF(INDEX('Per Invoice'!F$2:F$401,$U247)="","",INDEX('Per Invoice'!F$2:F$401,$U247)))</f>
        <v/>
      </c>
      <c r="G247">
        <f>IF($U247="","",IF(INDEX('Per Invoice'!G$2:G$401,$U247)="","",INDEX('Per Invoice'!G$2:G$401,$U247)))</f>
        <v/>
      </c>
      <c r="H247" s="7">
        <f>IF($U247="","",IF(INDEX('Per Invoice'!H$2:H$401,$U247)="","",INDEX('Per Invoice'!H$2:H$401,$U247)))</f>
        <v/>
      </c>
      <c r="I247" s="14">
        <f>IF($U247="","",IF(INDEX('Per Invoice'!I$2:I$401,$U247)="","",INDEX('Per Invoice'!I$2:I$401,$U247)))</f>
        <v/>
      </c>
      <c r="J247">
        <f>IF($U247="","",IF(INDEX('Per Invoice'!J$2:J$401,$U247)="","",INDEX('Per Invoice'!J$2:J$401,$U247)))</f>
        <v/>
      </c>
      <c r="K247">
        <f>IF($U247="","",IF(INDEX('Per Invoice'!K$2:K$401,$U247)="","",INDEX('Per Invoice'!K$2:K$401,$U247)))</f>
        <v/>
      </c>
      <c r="L247" s="7">
        <f>IF($U247="","",IF(INDEX('Per Invoice'!L$2:L$401,$U247)="","",INDEX('Per Invoice'!L$2:L$401,$U247)))</f>
        <v/>
      </c>
      <c r="M247" s="7">
        <f>IF($U247="","",IF(INDEX('Per Invoice'!M$2:M$401,$U247)="","",INDEX('Per Invoice'!M$2:M$401,$U247)))</f>
        <v/>
      </c>
      <c r="N247">
        <f>IF($U247="","",IF(INDEX('Per Invoice'!N$2:N$401,$U247)="","",INDEX('Per Invoice'!N$2:N$401,$U247)))</f>
        <v/>
      </c>
      <c r="O247" s="7">
        <f>IF($U247="","",IF(INDEX('Per Invoice'!O$2:O$401,$U247)="","",INDEX('Per Invoice'!O$2:O$401,$U247)))</f>
        <v/>
      </c>
      <c r="P247" s="7">
        <f>IF($U247="","",IF(INDEX('Per Invoice'!P$2:P$401,$U247)="","",INDEX('Per Invoice'!P$2:P$401,$U247)))</f>
        <v/>
      </c>
      <c r="Q247" s="7">
        <f>IF($U247="","",IF(INDEX('Per Invoice'!Q$2:Q$401,$U247)="","",INDEX('Per Invoice'!Q$2:Q$401,$U247)))</f>
        <v/>
      </c>
      <c r="R247" s="7">
        <f>IF($U247="","",IF(INDEX('Per Invoice'!R$2:R$401,$U247)="","",INDEX('Per Invoice'!R$2:R$401,$U247)))</f>
        <v/>
      </c>
      <c r="S247" s="7">
        <f>IF($U247="","",IF(INDEX('Per Invoice'!S$2:S$401,$U247)="","",INDEX('Per Invoice'!S$2:S$401,$U247)))</f>
        <v/>
      </c>
      <c r="T247" s="7">
        <f>IF($U247="","",IF(INDEX('Per Invoice'!T$2:T$401,$U247)="","",INDEX('Per Invoice'!T$2:T$401,$U247)))</f>
        <v/>
      </c>
      <c r="U247" s="16">
        <f>IFERROR(MATCH(Settings!$C$26&amp;"|"&amp;ROWS($U$2:$U247),'Per Invoice'!$V$2:$V$401,0),"")</f>
        <v/>
      </c>
    </row>
    <row r="248">
      <c r="A248">
        <f>IF($U248="","",IF(INDEX('Per Invoice'!A$2:A$401,$U248)="","",INDEX('Per Invoice'!A$2:A$401,$U248)))</f>
        <v/>
      </c>
      <c r="B248">
        <f>IF($U248="","",IF(INDEX('Per Invoice'!B$2:B$401,$U248)="","",INDEX('Per Invoice'!B$2:B$401,$U248)))</f>
        <v/>
      </c>
      <c r="C248">
        <f>IF($U248="","",IF(INDEX('Per Invoice'!C$2:C$401,$U248)="","",INDEX('Per Invoice'!C$2:C$401,$U248)))</f>
        <v/>
      </c>
      <c r="D248">
        <f>IF($U248="","",IF(INDEX('Per Invoice'!D$2:D$401,$U248)="","",INDEX('Per Invoice'!D$2:D$401,$U248)))</f>
        <v/>
      </c>
      <c r="E248">
        <f>IF($U248="","",IF(INDEX('Per Invoice'!E$2:E$401,$U248)="","",INDEX('Per Invoice'!E$2:E$401,$U248)))</f>
        <v/>
      </c>
      <c r="F248">
        <f>IF($U248="","",IF(INDEX('Per Invoice'!F$2:F$401,$U248)="","",INDEX('Per Invoice'!F$2:F$401,$U248)))</f>
        <v/>
      </c>
      <c r="G248">
        <f>IF($U248="","",IF(INDEX('Per Invoice'!G$2:G$401,$U248)="","",INDEX('Per Invoice'!G$2:G$401,$U248)))</f>
        <v/>
      </c>
      <c r="H248" s="7">
        <f>IF($U248="","",IF(INDEX('Per Invoice'!H$2:H$401,$U248)="","",INDEX('Per Invoice'!H$2:H$401,$U248)))</f>
        <v/>
      </c>
      <c r="I248" s="14">
        <f>IF($U248="","",IF(INDEX('Per Invoice'!I$2:I$401,$U248)="","",INDEX('Per Invoice'!I$2:I$401,$U248)))</f>
        <v/>
      </c>
      <c r="J248">
        <f>IF($U248="","",IF(INDEX('Per Invoice'!J$2:J$401,$U248)="","",INDEX('Per Invoice'!J$2:J$401,$U248)))</f>
        <v/>
      </c>
      <c r="K248">
        <f>IF($U248="","",IF(INDEX('Per Invoice'!K$2:K$401,$U248)="","",INDEX('Per Invoice'!K$2:K$401,$U248)))</f>
        <v/>
      </c>
      <c r="L248" s="7">
        <f>IF($U248="","",IF(INDEX('Per Invoice'!L$2:L$401,$U248)="","",INDEX('Per Invoice'!L$2:L$401,$U248)))</f>
        <v/>
      </c>
      <c r="M248" s="7">
        <f>IF($U248="","",IF(INDEX('Per Invoice'!M$2:M$401,$U248)="","",INDEX('Per Invoice'!M$2:M$401,$U248)))</f>
        <v/>
      </c>
      <c r="N248">
        <f>IF($U248="","",IF(INDEX('Per Invoice'!N$2:N$401,$U248)="","",INDEX('Per Invoice'!N$2:N$401,$U248)))</f>
        <v/>
      </c>
      <c r="O248" s="7">
        <f>IF($U248="","",IF(INDEX('Per Invoice'!O$2:O$401,$U248)="","",INDEX('Per Invoice'!O$2:O$401,$U248)))</f>
        <v/>
      </c>
      <c r="P248" s="7">
        <f>IF($U248="","",IF(INDEX('Per Invoice'!P$2:P$401,$U248)="","",INDEX('Per Invoice'!P$2:P$401,$U248)))</f>
        <v/>
      </c>
      <c r="Q248" s="7">
        <f>IF($U248="","",IF(INDEX('Per Invoice'!Q$2:Q$401,$U248)="","",INDEX('Per Invoice'!Q$2:Q$401,$U248)))</f>
        <v/>
      </c>
      <c r="R248" s="7">
        <f>IF($U248="","",IF(INDEX('Per Invoice'!R$2:R$401,$U248)="","",INDEX('Per Invoice'!R$2:R$401,$U248)))</f>
        <v/>
      </c>
      <c r="S248" s="7">
        <f>IF($U248="","",IF(INDEX('Per Invoice'!S$2:S$401,$U248)="","",INDEX('Per Invoice'!S$2:S$401,$U248)))</f>
        <v/>
      </c>
      <c r="T248" s="7">
        <f>IF($U248="","",IF(INDEX('Per Invoice'!T$2:T$401,$U248)="","",INDEX('Per Invoice'!T$2:T$401,$U248)))</f>
        <v/>
      </c>
      <c r="U248" s="16">
        <f>IFERROR(MATCH(Settings!$C$26&amp;"|"&amp;ROWS($U$2:$U248),'Per Invoice'!$V$2:$V$401,0),"")</f>
        <v/>
      </c>
    </row>
    <row r="249">
      <c r="A249">
        <f>IF($U249="","",IF(INDEX('Per Invoice'!A$2:A$401,$U249)="","",INDEX('Per Invoice'!A$2:A$401,$U249)))</f>
        <v/>
      </c>
      <c r="B249">
        <f>IF($U249="","",IF(INDEX('Per Invoice'!B$2:B$401,$U249)="","",INDEX('Per Invoice'!B$2:B$401,$U249)))</f>
        <v/>
      </c>
      <c r="C249">
        <f>IF($U249="","",IF(INDEX('Per Invoice'!C$2:C$401,$U249)="","",INDEX('Per Invoice'!C$2:C$401,$U249)))</f>
        <v/>
      </c>
      <c r="D249">
        <f>IF($U249="","",IF(INDEX('Per Invoice'!D$2:D$401,$U249)="","",INDEX('Per Invoice'!D$2:D$401,$U249)))</f>
        <v/>
      </c>
      <c r="E249">
        <f>IF($U249="","",IF(INDEX('Per Invoice'!E$2:E$401,$U249)="","",INDEX('Per Invoice'!E$2:E$401,$U249)))</f>
        <v/>
      </c>
      <c r="F249">
        <f>IF($U249="","",IF(INDEX('Per Invoice'!F$2:F$401,$U249)="","",INDEX('Per Invoice'!F$2:F$401,$U249)))</f>
        <v/>
      </c>
      <c r="G249">
        <f>IF($U249="","",IF(INDEX('Per Invoice'!G$2:G$401,$U249)="","",INDEX('Per Invoice'!G$2:G$401,$U249)))</f>
        <v/>
      </c>
      <c r="H249" s="7">
        <f>IF($U249="","",IF(INDEX('Per Invoice'!H$2:H$401,$U249)="","",INDEX('Per Invoice'!H$2:H$401,$U249)))</f>
        <v/>
      </c>
      <c r="I249" s="14">
        <f>IF($U249="","",IF(INDEX('Per Invoice'!I$2:I$401,$U249)="","",INDEX('Per Invoice'!I$2:I$401,$U249)))</f>
        <v/>
      </c>
      <c r="J249">
        <f>IF($U249="","",IF(INDEX('Per Invoice'!J$2:J$401,$U249)="","",INDEX('Per Invoice'!J$2:J$401,$U249)))</f>
        <v/>
      </c>
      <c r="K249">
        <f>IF($U249="","",IF(INDEX('Per Invoice'!K$2:K$401,$U249)="","",INDEX('Per Invoice'!K$2:K$401,$U249)))</f>
        <v/>
      </c>
      <c r="L249" s="7">
        <f>IF($U249="","",IF(INDEX('Per Invoice'!L$2:L$401,$U249)="","",INDEX('Per Invoice'!L$2:L$401,$U249)))</f>
        <v/>
      </c>
      <c r="M249" s="7">
        <f>IF($U249="","",IF(INDEX('Per Invoice'!M$2:M$401,$U249)="","",INDEX('Per Invoice'!M$2:M$401,$U249)))</f>
        <v/>
      </c>
      <c r="N249">
        <f>IF($U249="","",IF(INDEX('Per Invoice'!N$2:N$401,$U249)="","",INDEX('Per Invoice'!N$2:N$401,$U249)))</f>
        <v/>
      </c>
      <c r="O249" s="7">
        <f>IF($U249="","",IF(INDEX('Per Invoice'!O$2:O$401,$U249)="","",INDEX('Per Invoice'!O$2:O$401,$U249)))</f>
        <v/>
      </c>
      <c r="P249" s="7">
        <f>IF($U249="","",IF(INDEX('Per Invoice'!P$2:P$401,$U249)="","",INDEX('Per Invoice'!P$2:P$401,$U249)))</f>
        <v/>
      </c>
      <c r="Q249" s="7">
        <f>IF($U249="","",IF(INDEX('Per Invoice'!Q$2:Q$401,$U249)="","",INDEX('Per Invoice'!Q$2:Q$401,$U249)))</f>
        <v/>
      </c>
      <c r="R249" s="7">
        <f>IF($U249="","",IF(INDEX('Per Invoice'!R$2:R$401,$U249)="","",INDEX('Per Invoice'!R$2:R$401,$U249)))</f>
        <v/>
      </c>
      <c r="S249" s="7">
        <f>IF($U249="","",IF(INDEX('Per Invoice'!S$2:S$401,$U249)="","",INDEX('Per Invoice'!S$2:S$401,$U249)))</f>
        <v/>
      </c>
      <c r="T249" s="7">
        <f>IF($U249="","",IF(INDEX('Per Invoice'!T$2:T$401,$U249)="","",INDEX('Per Invoice'!T$2:T$401,$U249)))</f>
        <v/>
      </c>
      <c r="U249" s="16">
        <f>IFERROR(MATCH(Settings!$C$26&amp;"|"&amp;ROWS($U$2:$U249),'Per Invoice'!$V$2:$V$401,0),"")</f>
        <v/>
      </c>
    </row>
    <row r="250">
      <c r="A250">
        <f>IF($U250="","",IF(INDEX('Per Invoice'!A$2:A$401,$U250)="","",INDEX('Per Invoice'!A$2:A$401,$U250)))</f>
        <v/>
      </c>
      <c r="B250">
        <f>IF($U250="","",IF(INDEX('Per Invoice'!B$2:B$401,$U250)="","",INDEX('Per Invoice'!B$2:B$401,$U250)))</f>
        <v/>
      </c>
      <c r="C250">
        <f>IF($U250="","",IF(INDEX('Per Invoice'!C$2:C$401,$U250)="","",INDEX('Per Invoice'!C$2:C$401,$U250)))</f>
        <v/>
      </c>
      <c r="D250">
        <f>IF($U250="","",IF(INDEX('Per Invoice'!D$2:D$401,$U250)="","",INDEX('Per Invoice'!D$2:D$401,$U250)))</f>
        <v/>
      </c>
      <c r="E250">
        <f>IF($U250="","",IF(INDEX('Per Invoice'!E$2:E$401,$U250)="","",INDEX('Per Invoice'!E$2:E$401,$U250)))</f>
        <v/>
      </c>
      <c r="F250">
        <f>IF($U250="","",IF(INDEX('Per Invoice'!F$2:F$401,$U250)="","",INDEX('Per Invoice'!F$2:F$401,$U250)))</f>
        <v/>
      </c>
      <c r="G250">
        <f>IF($U250="","",IF(INDEX('Per Invoice'!G$2:G$401,$U250)="","",INDEX('Per Invoice'!G$2:G$401,$U250)))</f>
        <v/>
      </c>
      <c r="H250" s="7">
        <f>IF($U250="","",IF(INDEX('Per Invoice'!H$2:H$401,$U250)="","",INDEX('Per Invoice'!H$2:H$401,$U250)))</f>
        <v/>
      </c>
      <c r="I250" s="14">
        <f>IF($U250="","",IF(INDEX('Per Invoice'!I$2:I$401,$U250)="","",INDEX('Per Invoice'!I$2:I$401,$U250)))</f>
        <v/>
      </c>
      <c r="J250">
        <f>IF($U250="","",IF(INDEX('Per Invoice'!J$2:J$401,$U250)="","",INDEX('Per Invoice'!J$2:J$401,$U250)))</f>
        <v/>
      </c>
      <c r="K250">
        <f>IF($U250="","",IF(INDEX('Per Invoice'!K$2:K$401,$U250)="","",INDEX('Per Invoice'!K$2:K$401,$U250)))</f>
        <v/>
      </c>
      <c r="L250" s="7">
        <f>IF($U250="","",IF(INDEX('Per Invoice'!L$2:L$401,$U250)="","",INDEX('Per Invoice'!L$2:L$401,$U250)))</f>
        <v/>
      </c>
      <c r="M250" s="7">
        <f>IF($U250="","",IF(INDEX('Per Invoice'!M$2:M$401,$U250)="","",INDEX('Per Invoice'!M$2:M$401,$U250)))</f>
        <v/>
      </c>
      <c r="N250">
        <f>IF($U250="","",IF(INDEX('Per Invoice'!N$2:N$401,$U250)="","",INDEX('Per Invoice'!N$2:N$401,$U250)))</f>
        <v/>
      </c>
      <c r="O250" s="7">
        <f>IF($U250="","",IF(INDEX('Per Invoice'!O$2:O$401,$U250)="","",INDEX('Per Invoice'!O$2:O$401,$U250)))</f>
        <v/>
      </c>
      <c r="P250" s="7">
        <f>IF($U250="","",IF(INDEX('Per Invoice'!P$2:P$401,$U250)="","",INDEX('Per Invoice'!P$2:P$401,$U250)))</f>
        <v/>
      </c>
      <c r="Q250" s="7">
        <f>IF($U250="","",IF(INDEX('Per Invoice'!Q$2:Q$401,$U250)="","",INDEX('Per Invoice'!Q$2:Q$401,$U250)))</f>
        <v/>
      </c>
      <c r="R250" s="7">
        <f>IF($U250="","",IF(INDEX('Per Invoice'!R$2:R$401,$U250)="","",INDEX('Per Invoice'!R$2:R$401,$U250)))</f>
        <v/>
      </c>
      <c r="S250" s="7">
        <f>IF($U250="","",IF(INDEX('Per Invoice'!S$2:S$401,$U250)="","",INDEX('Per Invoice'!S$2:S$401,$U250)))</f>
        <v/>
      </c>
      <c r="T250" s="7">
        <f>IF($U250="","",IF(INDEX('Per Invoice'!T$2:T$401,$U250)="","",INDEX('Per Invoice'!T$2:T$401,$U250)))</f>
        <v/>
      </c>
      <c r="U250" s="16">
        <f>IFERROR(MATCH(Settings!$C$26&amp;"|"&amp;ROWS($U$2:$U250),'Per Invoice'!$V$2:$V$401,0),"")</f>
        <v/>
      </c>
    </row>
    <row r="251">
      <c r="A251">
        <f>IF($U251="","",IF(INDEX('Per Invoice'!A$2:A$401,$U251)="","",INDEX('Per Invoice'!A$2:A$401,$U251)))</f>
        <v/>
      </c>
      <c r="B251">
        <f>IF($U251="","",IF(INDEX('Per Invoice'!B$2:B$401,$U251)="","",INDEX('Per Invoice'!B$2:B$401,$U251)))</f>
        <v/>
      </c>
      <c r="C251">
        <f>IF($U251="","",IF(INDEX('Per Invoice'!C$2:C$401,$U251)="","",INDEX('Per Invoice'!C$2:C$401,$U251)))</f>
        <v/>
      </c>
      <c r="D251">
        <f>IF($U251="","",IF(INDEX('Per Invoice'!D$2:D$401,$U251)="","",INDEX('Per Invoice'!D$2:D$401,$U251)))</f>
        <v/>
      </c>
      <c r="E251">
        <f>IF($U251="","",IF(INDEX('Per Invoice'!E$2:E$401,$U251)="","",INDEX('Per Invoice'!E$2:E$401,$U251)))</f>
        <v/>
      </c>
      <c r="F251">
        <f>IF($U251="","",IF(INDEX('Per Invoice'!F$2:F$401,$U251)="","",INDEX('Per Invoice'!F$2:F$401,$U251)))</f>
        <v/>
      </c>
      <c r="G251">
        <f>IF($U251="","",IF(INDEX('Per Invoice'!G$2:G$401,$U251)="","",INDEX('Per Invoice'!G$2:G$401,$U251)))</f>
        <v/>
      </c>
      <c r="H251" s="7">
        <f>IF($U251="","",IF(INDEX('Per Invoice'!H$2:H$401,$U251)="","",INDEX('Per Invoice'!H$2:H$401,$U251)))</f>
        <v/>
      </c>
      <c r="I251" s="14">
        <f>IF($U251="","",IF(INDEX('Per Invoice'!I$2:I$401,$U251)="","",INDEX('Per Invoice'!I$2:I$401,$U251)))</f>
        <v/>
      </c>
      <c r="J251">
        <f>IF($U251="","",IF(INDEX('Per Invoice'!J$2:J$401,$U251)="","",INDEX('Per Invoice'!J$2:J$401,$U251)))</f>
        <v/>
      </c>
      <c r="K251">
        <f>IF($U251="","",IF(INDEX('Per Invoice'!K$2:K$401,$U251)="","",INDEX('Per Invoice'!K$2:K$401,$U251)))</f>
        <v/>
      </c>
      <c r="L251" s="7">
        <f>IF($U251="","",IF(INDEX('Per Invoice'!L$2:L$401,$U251)="","",INDEX('Per Invoice'!L$2:L$401,$U251)))</f>
        <v/>
      </c>
      <c r="M251" s="7">
        <f>IF($U251="","",IF(INDEX('Per Invoice'!M$2:M$401,$U251)="","",INDEX('Per Invoice'!M$2:M$401,$U251)))</f>
        <v/>
      </c>
      <c r="N251">
        <f>IF($U251="","",IF(INDEX('Per Invoice'!N$2:N$401,$U251)="","",INDEX('Per Invoice'!N$2:N$401,$U251)))</f>
        <v/>
      </c>
      <c r="O251" s="7">
        <f>IF($U251="","",IF(INDEX('Per Invoice'!O$2:O$401,$U251)="","",INDEX('Per Invoice'!O$2:O$401,$U251)))</f>
        <v/>
      </c>
      <c r="P251" s="7">
        <f>IF($U251="","",IF(INDEX('Per Invoice'!P$2:P$401,$U251)="","",INDEX('Per Invoice'!P$2:P$401,$U251)))</f>
        <v/>
      </c>
      <c r="Q251" s="7">
        <f>IF($U251="","",IF(INDEX('Per Invoice'!Q$2:Q$401,$U251)="","",INDEX('Per Invoice'!Q$2:Q$401,$U251)))</f>
        <v/>
      </c>
      <c r="R251" s="7">
        <f>IF($U251="","",IF(INDEX('Per Invoice'!R$2:R$401,$U251)="","",INDEX('Per Invoice'!R$2:R$401,$U251)))</f>
        <v/>
      </c>
      <c r="S251" s="7">
        <f>IF($U251="","",IF(INDEX('Per Invoice'!S$2:S$401,$U251)="","",INDEX('Per Invoice'!S$2:S$401,$U251)))</f>
        <v/>
      </c>
      <c r="T251" s="7">
        <f>IF($U251="","",IF(INDEX('Per Invoice'!T$2:T$401,$U251)="","",INDEX('Per Invoice'!T$2:T$401,$U251)))</f>
        <v/>
      </c>
      <c r="U251" s="16">
        <f>IFERROR(MATCH(Settings!$C$26&amp;"|"&amp;ROWS($U$2:$U251),'Per Invoice'!$V$2:$V$401,0),"")</f>
        <v/>
      </c>
    </row>
    <row r="252">
      <c r="A252">
        <f>IF($U252="","",IF(INDEX('Per Invoice'!A$2:A$401,$U252)="","",INDEX('Per Invoice'!A$2:A$401,$U252)))</f>
        <v/>
      </c>
      <c r="B252">
        <f>IF($U252="","",IF(INDEX('Per Invoice'!B$2:B$401,$U252)="","",INDEX('Per Invoice'!B$2:B$401,$U252)))</f>
        <v/>
      </c>
      <c r="C252">
        <f>IF($U252="","",IF(INDEX('Per Invoice'!C$2:C$401,$U252)="","",INDEX('Per Invoice'!C$2:C$401,$U252)))</f>
        <v/>
      </c>
      <c r="D252">
        <f>IF($U252="","",IF(INDEX('Per Invoice'!D$2:D$401,$U252)="","",INDEX('Per Invoice'!D$2:D$401,$U252)))</f>
        <v/>
      </c>
      <c r="E252">
        <f>IF($U252="","",IF(INDEX('Per Invoice'!E$2:E$401,$U252)="","",INDEX('Per Invoice'!E$2:E$401,$U252)))</f>
        <v/>
      </c>
      <c r="F252">
        <f>IF($U252="","",IF(INDEX('Per Invoice'!F$2:F$401,$U252)="","",INDEX('Per Invoice'!F$2:F$401,$U252)))</f>
        <v/>
      </c>
      <c r="G252">
        <f>IF($U252="","",IF(INDEX('Per Invoice'!G$2:G$401,$U252)="","",INDEX('Per Invoice'!G$2:G$401,$U252)))</f>
        <v/>
      </c>
      <c r="H252" s="7">
        <f>IF($U252="","",IF(INDEX('Per Invoice'!H$2:H$401,$U252)="","",INDEX('Per Invoice'!H$2:H$401,$U252)))</f>
        <v/>
      </c>
      <c r="I252" s="14">
        <f>IF($U252="","",IF(INDEX('Per Invoice'!I$2:I$401,$U252)="","",INDEX('Per Invoice'!I$2:I$401,$U252)))</f>
        <v/>
      </c>
      <c r="J252">
        <f>IF($U252="","",IF(INDEX('Per Invoice'!J$2:J$401,$U252)="","",INDEX('Per Invoice'!J$2:J$401,$U252)))</f>
        <v/>
      </c>
      <c r="K252">
        <f>IF($U252="","",IF(INDEX('Per Invoice'!K$2:K$401,$U252)="","",INDEX('Per Invoice'!K$2:K$401,$U252)))</f>
        <v/>
      </c>
      <c r="L252" s="7">
        <f>IF($U252="","",IF(INDEX('Per Invoice'!L$2:L$401,$U252)="","",INDEX('Per Invoice'!L$2:L$401,$U252)))</f>
        <v/>
      </c>
      <c r="M252" s="7">
        <f>IF($U252="","",IF(INDEX('Per Invoice'!M$2:M$401,$U252)="","",INDEX('Per Invoice'!M$2:M$401,$U252)))</f>
        <v/>
      </c>
      <c r="N252">
        <f>IF($U252="","",IF(INDEX('Per Invoice'!N$2:N$401,$U252)="","",INDEX('Per Invoice'!N$2:N$401,$U252)))</f>
        <v/>
      </c>
      <c r="O252" s="7">
        <f>IF($U252="","",IF(INDEX('Per Invoice'!O$2:O$401,$U252)="","",INDEX('Per Invoice'!O$2:O$401,$U252)))</f>
        <v/>
      </c>
      <c r="P252" s="7">
        <f>IF($U252="","",IF(INDEX('Per Invoice'!P$2:P$401,$U252)="","",INDEX('Per Invoice'!P$2:P$401,$U252)))</f>
        <v/>
      </c>
      <c r="Q252" s="7">
        <f>IF($U252="","",IF(INDEX('Per Invoice'!Q$2:Q$401,$U252)="","",INDEX('Per Invoice'!Q$2:Q$401,$U252)))</f>
        <v/>
      </c>
      <c r="R252" s="7">
        <f>IF($U252="","",IF(INDEX('Per Invoice'!R$2:R$401,$U252)="","",INDEX('Per Invoice'!R$2:R$401,$U252)))</f>
        <v/>
      </c>
      <c r="S252" s="7">
        <f>IF($U252="","",IF(INDEX('Per Invoice'!S$2:S$401,$U252)="","",INDEX('Per Invoice'!S$2:S$401,$U252)))</f>
        <v/>
      </c>
      <c r="T252" s="7">
        <f>IF($U252="","",IF(INDEX('Per Invoice'!T$2:T$401,$U252)="","",INDEX('Per Invoice'!T$2:T$401,$U252)))</f>
        <v/>
      </c>
      <c r="U252" s="16">
        <f>IFERROR(MATCH(Settings!$C$26&amp;"|"&amp;ROWS($U$2:$U252),'Per Invoice'!$V$2:$V$401,0),"")</f>
        <v/>
      </c>
    </row>
    <row r="253">
      <c r="A253">
        <f>IF($U253="","",IF(INDEX('Per Invoice'!A$2:A$401,$U253)="","",INDEX('Per Invoice'!A$2:A$401,$U253)))</f>
        <v/>
      </c>
      <c r="B253">
        <f>IF($U253="","",IF(INDEX('Per Invoice'!B$2:B$401,$U253)="","",INDEX('Per Invoice'!B$2:B$401,$U253)))</f>
        <v/>
      </c>
      <c r="C253">
        <f>IF($U253="","",IF(INDEX('Per Invoice'!C$2:C$401,$U253)="","",INDEX('Per Invoice'!C$2:C$401,$U253)))</f>
        <v/>
      </c>
      <c r="D253">
        <f>IF($U253="","",IF(INDEX('Per Invoice'!D$2:D$401,$U253)="","",INDEX('Per Invoice'!D$2:D$401,$U253)))</f>
        <v/>
      </c>
      <c r="E253">
        <f>IF($U253="","",IF(INDEX('Per Invoice'!E$2:E$401,$U253)="","",INDEX('Per Invoice'!E$2:E$401,$U253)))</f>
        <v/>
      </c>
      <c r="F253">
        <f>IF($U253="","",IF(INDEX('Per Invoice'!F$2:F$401,$U253)="","",INDEX('Per Invoice'!F$2:F$401,$U253)))</f>
        <v/>
      </c>
      <c r="G253">
        <f>IF($U253="","",IF(INDEX('Per Invoice'!G$2:G$401,$U253)="","",INDEX('Per Invoice'!G$2:G$401,$U253)))</f>
        <v/>
      </c>
      <c r="H253" s="7">
        <f>IF($U253="","",IF(INDEX('Per Invoice'!H$2:H$401,$U253)="","",INDEX('Per Invoice'!H$2:H$401,$U253)))</f>
        <v/>
      </c>
      <c r="I253" s="14">
        <f>IF($U253="","",IF(INDEX('Per Invoice'!I$2:I$401,$U253)="","",INDEX('Per Invoice'!I$2:I$401,$U253)))</f>
        <v/>
      </c>
      <c r="J253">
        <f>IF($U253="","",IF(INDEX('Per Invoice'!J$2:J$401,$U253)="","",INDEX('Per Invoice'!J$2:J$401,$U253)))</f>
        <v/>
      </c>
      <c r="K253">
        <f>IF($U253="","",IF(INDEX('Per Invoice'!K$2:K$401,$U253)="","",INDEX('Per Invoice'!K$2:K$401,$U253)))</f>
        <v/>
      </c>
      <c r="L253" s="7">
        <f>IF($U253="","",IF(INDEX('Per Invoice'!L$2:L$401,$U253)="","",INDEX('Per Invoice'!L$2:L$401,$U253)))</f>
        <v/>
      </c>
      <c r="M253" s="7">
        <f>IF($U253="","",IF(INDEX('Per Invoice'!M$2:M$401,$U253)="","",INDEX('Per Invoice'!M$2:M$401,$U253)))</f>
        <v/>
      </c>
      <c r="N253">
        <f>IF($U253="","",IF(INDEX('Per Invoice'!N$2:N$401,$U253)="","",INDEX('Per Invoice'!N$2:N$401,$U253)))</f>
        <v/>
      </c>
      <c r="O253" s="7">
        <f>IF($U253="","",IF(INDEX('Per Invoice'!O$2:O$401,$U253)="","",INDEX('Per Invoice'!O$2:O$401,$U253)))</f>
        <v/>
      </c>
      <c r="P253" s="7">
        <f>IF($U253="","",IF(INDEX('Per Invoice'!P$2:P$401,$U253)="","",INDEX('Per Invoice'!P$2:P$401,$U253)))</f>
        <v/>
      </c>
      <c r="Q253" s="7">
        <f>IF($U253="","",IF(INDEX('Per Invoice'!Q$2:Q$401,$U253)="","",INDEX('Per Invoice'!Q$2:Q$401,$U253)))</f>
        <v/>
      </c>
      <c r="R253" s="7">
        <f>IF($U253="","",IF(INDEX('Per Invoice'!R$2:R$401,$U253)="","",INDEX('Per Invoice'!R$2:R$401,$U253)))</f>
        <v/>
      </c>
      <c r="S253" s="7">
        <f>IF($U253="","",IF(INDEX('Per Invoice'!S$2:S$401,$U253)="","",INDEX('Per Invoice'!S$2:S$401,$U253)))</f>
        <v/>
      </c>
      <c r="T253" s="7">
        <f>IF($U253="","",IF(INDEX('Per Invoice'!T$2:T$401,$U253)="","",INDEX('Per Invoice'!T$2:T$401,$U253)))</f>
        <v/>
      </c>
      <c r="U253" s="16">
        <f>IFERROR(MATCH(Settings!$C$26&amp;"|"&amp;ROWS($U$2:$U253),'Per Invoice'!$V$2:$V$401,0),"")</f>
        <v/>
      </c>
    </row>
    <row r="254">
      <c r="A254">
        <f>IF($U254="","",IF(INDEX('Per Invoice'!A$2:A$401,$U254)="","",INDEX('Per Invoice'!A$2:A$401,$U254)))</f>
        <v/>
      </c>
      <c r="B254">
        <f>IF($U254="","",IF(INDEX('Per Invoice'!B$2:B$401,$U254)="","",INDEX('Per Invoice'!B$2:B$401,$U254)))</f>
        <v/>
      </c>
      <c r="C254">
        <f>IF($U254="","",IF(INDEX('Per Invoice'!C$2:C$401,$U254)="","",INDEX('Per Invoice'!C$2:C$401,$U254)))</f>
        <v/>
      </c>
      <c r="D254">
        <f>IF($U254="","",IF(INDEX('Per Invoice'!D$2:D$401,$U254)="","",INDEX('Per Invoice'!D$2:D$401,$U254)))</f>
        <v/>
      </c>
      <c r="E254">
        <f>IF($U254="","",IF(INDEX('Per Invoice'!E$2:E$401,$U254)="","",INDEX('Per Invoice'!E$2:E$401,$U254)))</f>
        <v/>
      </c>
      <c r="F254">
        <f>IF($U254="","",IF(INDEX('Per Invoice'!F$2:F$401,$U254)="","",INDEX('Per Invoice'!F$2:F$401,$U254)))</f>
        <v/>
      </c>
      <c r="G254">
        <f>IF($U254="","",IF(INDEX('Per Invoice'!G$2:G$401,$U254)="","",INDEX('Per Invoice'!G$2:G$401,$U254)))</f>
        <v/>
      </c>
      <c r="H254" s="7">
        <f>IF($U254="","",IF(INDEX('Per Invoice'!H$2:H$401,$U254)="","",INDEX('Per Invoice'!H$2:H$401,$U254)))</f>
        <v/>
      </c>
      <c r="I254" s="14">
        <f>IF($U254="","",IF(INDEX('Per Invoice'!I$2:I$401,$U254)="","",INDEX('Per Invoice'!I$2:I$401,$U254)))</f>
        <v/>
      </c>
      <c r="J254">
        <f>IF($U254="","",IF(INDEX('Per Invoice'!J$2:J$401,$U254)="","",INDEX('Per Invoice'!J$2:J$401,$U254)))</f>
        <v/>
      </c>
      <c r="K254">
        <f>IF($U254="","",IF(INDEX('Per Invoice'!K$2:K$401,$U254)="","",INDEX('Per Invoice'!K$2:K$401,$U254)))</f>
        <v/>
      </c>
      <c r="L254" s="7">
        <f>IF($U254="","",IF(INDEX('Per Invoice'!L$2:L$401,$U254)="","",INDEX('Per Invoice'!L$2:L$401,$U254)))</f>
        <v/>
      </c>
      <c r="M254" s="7">
        <f>IF($U254="","",IF(INDEX('Per Invoice'!M$2:M$401,$U254)="","",INDEX('Per Invoice'!M$2:M$401,$U254)))</f>
        <v/>
      </c>
      <c r="N254">
        <f>IF($U254="","",IF(INDEX('Per Invoice'!N$2:N$401,$U254)="","",INDEX('Per Invoice'!N$2:N$401,$U254)))</f>
        <v/>
      </c>
      <c r="O254" s="7">
        <f>IF($U254="","",IF(INDEX('Per Invoice'!O$2:O$401,$U254)="","",INDEX('Per Invoice'!O$2:O$401,$U254)))</f>
        <v/>
      </c>
      <c r="P254" s="7">
        <f>IF($U254="","",IF(INDEX('Per Invoice'!P$2:P$401,$U254)="","",INDEX('Per Invoice'!P$2:P$401,$U254)))</f>
        <v/>
      </c>
      <c r="Q254" s="7">
        <f>IF($U254="","",IF(INDEX('Per Invoice'!Q$2:Q$401,$U254)="","",INDEX('Per Invoice'!Q$2:Q$401,$U254)))</f>
        <v/>
      </c>
      <c r="R254" s="7">
        <f>IF($U254="","",IF(INDEX('Per Invoice'!R$2:R$401,$U254)="","",INDEX('Per Invoice'!R$2:R$401,$U254)))</f>
        <v/>
      </c>
      <c r="S254" s="7">
        <f>IF($U254="","",IF(INDEX('Per Invoice'!S$2:S$401,$U254)="","",INDEX('Per Invoice'!S$2:S$401,$U254)))</f>
        <v/>
      </c>
      <c r="T254" s="7">
        <f>IF($U254="","",IF(INDEX('Per Invoice'!T$2:T$401,$U254)="","",INDEX('Per Invoice'!T$2:T$401,$U254)))</f>
        <v/>
      </c>
      <c r="U254" s="16">
        <f>IFERROR(MATCH(Settings!$C$26&amp;"|"&amp;ROWS($U$2:$U254),'Per Invoice'!$V$2:$V$401,0),"")</f>
        <v/>
      </c>
    </row>
    <row r="255">
      <c r="A255">
        <f>IF($U255="","",IF(INDEX('Per Invoice'!A$2:A$401,$U255)="","",INDEX('Per Invoice'!A$2:A$401,$U255)))</f>
        <v/>
      </c>
      <c r="B255">
        <f>IF($U255="","",IF(INDEX('Per Invoice'!B$2:B$401,$U255)="","",INDEX('Per Invoice'!B$2:B$401,$U255)))</f>
        <v/>
      </c>
      <c r="C255">
        <f>IF($U255="","",IF(INDEX('Per Invoice'!C$2:C$401,$U255)="","",INDEX('Per Invoice'!C$2:C$401,$U255)))</f>
        <v/>
      </c>
      <c r="D255">
        <f>IF($U255="","",IF(INDEX('Per Invoice'!D$2:D$401,$U255)="","",INDEX('Per Invoice'!D$2:D$401,$U255)))</f>
        <v/>
      </c>
      <c r="E255">
        <f>IF($U255="","",IF(INDEX('Per Invoice'!E$2:E$401,$U255)="","",INDEX('Per Invoice'!E$2:E$401,$U255)))</f>
        <v/>
      </c>
      <c r="F255">
        <f>IF($U255="","",IF(INDEX('Per Invoice'!F$2:F$401,$U255)="","",INDEX('Per Invoice'!F$2:F$401,$U255)))</f>
        <v/>
      </c>
      <c r="G255">
        <f>IF($U255="","",IF(INDEX('Per Invoice'!G$2:G$401,$U255)="","",INDEX('Per Invoice'!G$2:G$401,$U255)))</f>
        <v/>
      </c>
      <c r="H255" s="7">
        <f>IF($U255="","",IF(INDEX('Per Invoice'!H$2:H$401,$U255)="","",INDEX('Per Invoice'!H$2:H$401,$U255)))</f>
        <v/>
      </c>
      <c r="I255" s="14">
        <f>IF($U255="","",IF(INDEX('Per Invoice'!I$2:I$401,$U255)="","",INDEX('Per Invoice'!I$2:I$401,$U255)))</f>
        <v/>
      </c>
      <c r="J255">
        <f>IF($U255="","",IF(INDEX('Per Invoice'!J$2:J$401,$U255)="","",INDEX('Per Invoice'!J$2:J$401,$U255)))</f>
        <v/>
      </c>
      <c r="K255">
        <f>IF($U255="","",IF(INDEX('Per Invoice'!K$2:K$401,$U255)="","",INDEX('Per Invoice'!K$2:K$401,$U255)))</f>
        <v/>
      </c>
      <c r="L255" s="7">
        <f>IF($U255="","",IF(INDEX('Per Invoice'!L$2:L$401,$U255)="","",INDEX('Per Invoice'!L$2:L$401,$U255)))</f>
        <v/>
      </c>
      <c r="M255" s="7">
        <f>IF($U255="","",IF(INDEX('Per Invoice'!M$2:M$401,$U255)="","",INDEX('Per Invoice'!M$2:M$401,$U255)))</f>
        <v/>
      </c>
      <c r="N255">
        <f>IF($U255="","",IF(INDEX('Per Invoice'!N$2:N$401,$U255)="","",INDEX('Per Invoice'!N$2:N$401,$U255)))</f>
        <v/>
      </c>
      <c r="O255" s="7">
        <f>IF($U255="","",IF(INDEX('Per Invoice'!O$2:O$401,$U255)="","",INDEX('Per Invoice'!O$2:O$401,$U255)))</f>
        <v/>
      </c>
      <c r="P255" s="7">
        <f>IF($U255="","",IF(INDEX('Per Invoice'!P$2:P$401,$U255)="","",INDEX('Per Invoice'!P$2:P$401,$U255)))</f>
        <v/>
      </c>
      <c r="Q255" s="7">
        <f>IF($U255="","",IF(INDEX('Per Invoice'!Q$2:Q$401,$U255)="","",INDEX('Per Invoice'!Q$2:Q$401,$U255)))</f>
        <v/>
      </c>
      <c r="R255" s="7">
        <f>IF($U255="","",IF(INDEX('Per Invoice'!R$2:R$401,$U255)="","",INDEX('Per Invoice'!R$2:R$401,$U255)))</f>
        <v/>
      </c>
      <c r="S255" s="7">
        <f>IF($U255="","",IF(INDEX('Per Invoice'!S$2:S$401,$U255)="","",INDEX('Per Invoice'!S$2:S$401,$U255)))</f>
        <v/>
      </c>
      <c r="T255" s="7">
        <f>IF($U255="","",IF(INDEX('Per Invoice'!T$2:T$401,$U255)="","",INDEX('Per Invoice'!T$2:T$401,$U255)))</f>
        <v/>
      </c>
      <c r="U255" s="16">
        <f>IFERROR(MATCH(Settings!$C$26&amp;"|"&amp;ROWS($U$2:$U255),'Per Invoice'!$V$2:$V$401,0),"")</f>
        <v/>
      </c>
    </row>
    <row r="256">
      <c r="A256">
        <f>IF($U256="","",IF(INDEX('Per Invoice'!A$2:A$401,$U256)="","",INDEX('Per Invoice'!A$2:A$401,$U256)))</f>
        <v/>
      </c>
      <c r="B256">
        <f>IF($U256="","",IF(INDEX('Per Invoice'!B$2:B$401,$U256)="","",INDEX('Per Invoice'!B$2:B$401,$U256)))</f>
        <v/>
      </c>
      <c r="C256">
        <f>IF($U256="","",IF(INDEX('Per Invoice'!C$2:C$401,$U256)="","",INDEX('Per Invoice'!C$2:C$401,$U256)))</f>
        <v/>
      </c>
      <c r="D256">
        <f>IF($U256="","",IF(INDEX('Per Invoice'!D$2:D$401,$U256)="","",INDEX('Per Invoice'!D$2:D$401,$U256)))</f>
        <v/>
      </c>
      <c r="E256">
        <f>IF($U256="","",IF(INDEX('Per Invoice'!E$2:E$401,$U256)="","",INDEX('Per Invoice'!E$2:E$401,$U256)))</f>
        <v/>
      </c>
      <c r="F256">
        <f>IF($U256="","",IF(INDEX('Per Invoice'!F$2:F$401,$U256)="","",INDEX('Per Invoice'!F$2:F$401,$U256)))</f>
        <v/>
      </c>
      <c r="G256">
        <f>IF($U256="","",IF(INDEX('Per Invoice'!G$2:G$401,$U256)="","",INDEX('Per Invoice'!G$2:G$401,$U256)))</f>
        <v/>
      </c>
      <c r="H256" s="7">
        <f>IF($U256="","",IF(INDEX('Per Invoice'!H$2:H$401,$U256)="","",INDEX('Per Invoice'!H$2:H$401,$U256)))</f>
        <v/>
      </c>
      <c r="I256" s="14">
        <f>IF($U256="","",IF(INDEX('Per Invoice'!I$2:I$401,$U256)="","",INDEX('Per Invoice'!I$2:I$401,$U256)))</f>
        <v/>
      </c>
      <c r="J256">
        <f>IF($U256="","",IF(INDEX('Per Invoice'!J$2:J$401,$U256)="","",INDEX('Per Invoice'!J$2:J$401,$U256)))</f>
        <v/>
      </c>
      <c r="K256">
        <f>IF($U256="","",IF(INDEX('Per Invoice'!K$2:K$401,$U256)="","",INDEX('Per Invoice'!K$2:K$401,$U256)))</f>
        <v/>
      </c>
      <c r="L256" s="7">
        <f>IF($U256="","",IF(INDEX('Per Invoice'!L$2:L$401,$U256)="","",INDEX('Per Invoice'!L$2:L$401,$U256)))</f>
        <v/>
      </c>
      <c r="M256" s="7">
        <f>IF($U256="","",IF(INDEX('Per Invoice'!M$2:M$401,$U256)="","",INDEX('Per Invoice'!M$2:M$401,$U256)))</f>
        <v/>
      </c>
      <c r="N256">
        <f>IF($U256="","",IF(INDEX('Per Invoice'!N$2:N$401,$U256)="","",INDEX('Per Invoice'!N$2:N$401,$U256)))</f>
        <v/>
      </c>
      <c r="O256" s="7">
        <f>IF($U256="","",IF(INDEX('Per Invoice'!O$2:O$401,$U256)="","",INDEX('Per Invoice'!O$2:O$401,$U256)))</f>
        <v/>
      </c>
      <c r="P256" s="7">
        <f>IF($U256="","",IF(INDEX('Per Invoice'!P$2:P$401,$U256)="","",INDEX('Per Invoice'!P$2:P$401,$U256)))</f>
        <v/>
      </c>
      <c r="Q256" s="7">
        <f>IF($U256="","",IF(INDEX('Per Invoice'!Q$2:Q$401,$U256)="","",INDEX('Per Invoice'!Q$2:Q$401,$U256)))</f>
        <v/>
      </c>
      <c r="R256" s="7">
        <f>IF($U256="","",IF(INDEX('Per Invoice'!R$2:R$401,$U256)="","",INDEX('Per Invoice'!R$2:R$401,$U256)))</f>
        <v/>
      </c>
      <c r="S256" s="7">
        <f>IF($U256="","",IF(INDEX('Per Invoice'!S$2:S$401,$U256)="","",INDEX('Per Invoice'!S$2:S$401,$U256)))</f>
        <v/>
      </c>
      <c r="T256" s="7">
        <f>IF($U256="","",IF(INDEX('Per Invoice'!T$2:T$401,$U256)="","",INDEX('Per Invoice'!T$2:T$401,$U256)))</f>
        <v/>
      </c>
      <c r="U256" s="16">
        <f>IFERROR(MATCH(Settings!$C$26&amp;"|"&amp;ROWS($U$2:$U256),'Per Invoice'!$V$2:$V$401,0),"")</f>
        <v/>
      </c>
    </row>
    <row r="257">
      <c r="A257">
        <f>IF($U257="","",IF(INDEX('Per Invoice'!A$2:A$401,$U257)="","",INDEX('Per Invoice'!A$2:A$401,$U257)))</f>
        <v/>
      </c>
      <c r="B257">
        <f>IF($U257="","",IF(INDEX('Per Invoice'!B$2:B$401,$U257)="","",INDEX('Per Invoice'!B$2:B$401,$U257)))</f>
        <v/>
      </c>
      <c r="C257">
        <f>IF($U257="","",IF(INDEX('Per Invoice'!C$2:C$401,$U257)="","",INDEX('Per Invoice'!C$2:C$401,$U257)))</f>
        <v/>
      </c>
      <c r="D257">
        <f>IF($U257="","",IF(INDEX('Per Invoice'!D$2:D$401,$U257)="","",INDEX('Per Invoice'!D$2:D$401,$U257)))</f>
        <v/>
      </c>
      <c r="E257">
        <f>IF($U257="","",IF(INDEX('Per Invoice'!E$2:E$401,$U257)="","",INDEX('Per Invoice'!E$2:E$401,$U257)))</f>
        <v/>
      </c>
      <c r="F257">
        <f>IF($U257="","",IF(INDEX('Per Invoice'!F$2:F$401,$U257)="","",INDEX('Per Invoice'!F$2:F$401,$U257)))</f>
        <v/>
      </c>
      <c r="G257">
        <f>IF($U257="","",IF(INDEX('Per Invoice'!G$2:G$401,$U257)="","",INDEX('Per Invoice'!G$2:G$401,$U257)))</f>
        <v/>
      </c>
      <c r="H257" s="7">
        <f>IF($U257="","",IF(INDEX('Per Invoice'!H$2:H$401,$U257)="","",INDEX('Per Invoice'!H$2:H$401,$U257)))</f>
        <v/>
      </c>
      <c r="I257" s="14">
        <f>IF($U257="","",IF(INDEX('Per Invoice'!I$2:I$401,$U257)="","",INDEX('Per Invoice'!I$2:I$401,$U257)))</f>
        <v/>
      </c>
      <c r="J257">
        <f>IF($U257="","",IF(INDEX('Per Invoice'!J$2:J$401,$U257)="","",INDEX('Per Invoice'!J$2:J$401,$U257)))</f>
        <v/>
      </c>
      <c r="K257">
        <f>IF($U257="","",IF(INDEX('Per Invoice'!K$2:K$401,$U257)="","",INDEX('Per Invoice'!K$2:K$401,$U257)))</f>
        <v/>
      </c>
      <c r="L257" s="7">
        <f>IF($U257="","",IF(INDEX('Per Invoice'!L$2:L$401,$U257)="","",INDEX('Per Invoice'!L$2:L$401,$U257)))</f>
        <v/>
      </c>
      <c r="M257" s="7">
        <f>IF($U257="","",IF(INDEX('Per Invoice'!M$2:M$401,$U257)="","",INDEX('Per Invoice'!M$2:M$401,$U257)))</f>
        <v/>
      </c>
      <c r="N257">
        <f>IF($U257="","",IF(INDEX('Per Invoice'!N$2:N$401,$U257)="","",INDEX('Per Invoice'!N$2:N$401,$U257)))</f>
        <v/>
      </c>
      <c r="O257" s="7">
        <f>IF($U257="","",IF(INDEX('Per Invoice'!O$2:O$401,$U257)="","",INDEX('Per Invoice'!O$2:O$401,$U257)))</f>
        <v/>
      </c>
      <c r="P257" s="7">
        <f>IF($U257="","",IF(INDEX('Per Invoice'!P$2:P$401,$U257)="","",INDEX('Per Invoice'!P$2:P$401,$U257)))</f>
        <v/>
      </c>
      <c r="Q257" s="7">
        <f>IF($U257="","",IF(INDEX('Per Invoice'!Q$2:Q$401,$U257)="","",INDEX('Per Invoice'!Q$2:Q$401,$U257)))</f>
        <v/>
      </c>
      <c r="R257" s="7">
        <f>IF($U257="","",IF(INDEX('Per Invoice'!R$2:R$401,$U257)="","",INDEX('Per Invoice'!R$2:R$401,$U257)))</f>
        <v/>
      </c>
      <c r="S257" s="7">
        <f>IF($U257="","",IF(INDEX('Per Invoice'!S$2:S$401,$U257)="","",INDEX('Per Invoice'!S$2:S$401,$U257)))</f>
        <v/>
      </c>
      <c r="T257" s="7">
        <f>IF($U257="","",IF(INDEX('Per Invoice'!T$2:T$401,$U257)="","",INDEX('Per Invoice'!T$2:T$401,$U257)))</f>
        <v/>
      </c>
      <c r="U257" s="16">
        <f>IFERROR(MATCH(Settings!$C$26&amp;"|"&amp;ROWS($U$2:$U257),'Per Invoice'!$V$2:$V$401,0),"")</f>
        <v/>
      </c>
    </row>
    <row r="258">
      <c r="A258">
        <f>IF($U258="","",IF(INDEX('Per Invoice'!A$2:A$401,$U258)="","",INDEX('Per Invoice'!A$2:A$401,$U258)))</f>
        <v/>
      </c>
      <c r="B258">
        <f>IF($U258="","",IF(INDEX('Per Invoice'!B$2:B$401,$U258)="","",INDEX('Per Invoice'!B$2:B$401,$U258)))</f>
        <v/>
      </c>
      <c r="C258">
        <f>IF($U258="","",IF(INDEX('Per Invoice'!C$2:C$401,$U258)="","",INDEX('Per Invoice'!C$2:C$401,$U258)))</f>
        <v/>
      </c>
      <c r="D258">
        <f>IF($U258="","",IF(INDEX('Per Invoice'!D$2:D$401,$U258)="","",INDEX('Per Invoice'!D$2:D$401,$U258)))</f>
        <v/>
      </c>
      <c r="E258">
        <f>IF($U258="","",IF(INDEX('Per Invoice'!E$2:E$401,$U258)="","",INDEX('Per Invoice'!E$2:E$401,$U258)))</f>
        <v/>
      </c>
      <c r="F258">
        <f>IF($U258="","",IF(INDEX('Per Invoice'!F$2:F$401,$U258)="","",INDEX('Per Invoice'!F$2:F$401,$U258)))</f>
        <v/>
      </c>
      <c r="G258">
        <f>IF($U258="","",IF(INDEX('Per Invoice'!G$2:G$401,$U258)="","",INDEX('Per Invoice'!G$2:G$401,$U258)))</f>
        <v/>
      </c>
      <c r="H258" s="7">
        <f>IF($U258="","",IF(INDEX('Per Invoice'!H$2:H$401,$U258)="","",INDEX('Per Invoice'!H$2:H$401,$U258)))</f>
        <v/>
      </c>
      <c r="I258" s="14">
        <f>IF($U258="","",IF(INDEX('Per Invoice'!I$2:I$401,$U258)="","",INDEX('Per Invoice'!I$2:I$401,$U258)))</f>
        <v/>
      </c>
      <c r="J258">
        <f>IF($U258="","",IF(INDEX('Per Invoice'!J$2:J$401,$U258)="","",INDEX('Per Invoice'!J$2:J$401,$U258)))</f>
        <v/>
      </c>
      <c r="K258">
        <f>IF($U258="","",IF(INDEX('Per Invoice'!K$2:K$401,$U258)="","",INDEX('Per Invoice'!K$2:K$401,$U258)))</f>
        <v/>
      </c>
      <c r="L258" s="7">
        <f>IF($U258="","",IF(INDEX('Per Invoice'!L$2:L$401,$U258)="","",INDEX('Per Invoice'!L$2:L$401,$U258)))</f>
        <v/>
      </c>
      <c r="M258" s="7">
        <f>IF($U258="","",IF(INDEX('Per Invoice'!M$2:M$401,$U258)="","",INDEX('Per Invoice'!M$2:M$401,$U258)))</f>
        <v/>
      </c>
      <c r="N258">
        <f>IF($U258="","",IF(INDEX('Per Invoice'!N$2:N$401,$U258)="","",INDEX('Per Invoice'!N$2:N$401,$U258)))</f>
        <v/>
      </c>
      <c r="O258" s="7">
        <f>IF($U258="","",IF(INDEX('Per Invoice'!O$2:O$401,$U258)="","",INDEX('Per Invoice'!O$2:O$401,$U258)))</f>
        <v/>
      </c>
      <c r="P258" s="7">
        <f>IF($U258="","",IF(INDEX('Per Invoice'!P$2:P$401,$U258)="","",INDEX('Per Invoice'!P$2:P$401,$U258)))</f>
        <v/>
      </c>
      <c r="Q258" s="7">
        <f>IF($U258="","",IF(INDEX('Per Invoice'!Q$2:Q$401,$U258)="","",INDEX('Per Invoice'!Q$2:Q$401,$U258)))</f>
        <v/>
      </c>
      <c r="R258" s="7">
        <f>IF($U258="","",IF(INDEX('Per Invoice'!R$2:R$401,$U258)="","",INDEX('Per Invoice'!R$2:R$401,$U258)))</f>
        <v/>
      </c>
      <c r="S258" s="7">
        <f>IF($U258="","",IF(INDEX('Per Invoice'!S$2:S$401,$U258)="","",INDEX('Per Invoice'!S$2:S$401,$U258)))</f>
        <v/>
      </c>
      <c r="T258" s="7">
        <f>IF($U258="","",IF(INDEX('Per Invoice'!T$2:T$401,$U258)="","",INDEX('Per Invoice'!T$2:T$401,$U258)))</f>
        <v/>
      </c>
      <c r="U258" s="16">
        <f>IFERROR(MATCH(Settings!$C$26&amp;"|"&amp;ROWS($U$2:$U258),'Per Invoice'!$V$2:$V$401,0),"")</f>
        <v/>
      </c>
    </row>
    <row r="259">
      <c r="A259">
        <f>IF($U259="","",IF(INDEX('Per Invoice'!A$2:A$401,$U259)="","",INDEX('Per Invoice'!A$2:A$401,$U259)))</f>
        <v/>
      </c>
      <c r="B259">
        <f>IF($U259="","",IF(INDEX('Per Invoice'!B$2:B$401,$U259)="","",INDEX('Per Invoice'!B$2:B$401,$U259)))</f>
        <v/>
      </c>
      <c r="C259">
        <f>IF($U259="","",IF(INDEX('Per Invoice'!C$2:C$401,$U259)="","",INDEX('Per Invoice'!C$2:C$401,$U259)))</f>
        <v/>
      </c>
      <c r="D259">
        <f>IF($U259="","",IF(INDEX('Per Invoice'!D$2:D$401,$U259)="","",INDEX('Per Invoice'!D$2:D$401,$U259)))</f>
        <v/>
      </c>
      <c r="E259">
        <f>IF($U259="","",IF(INDEX('Per Invoice'!E$2:E$401,$U259)="","",INDEX('Per Invoice'!E$2:E$401,$U259)))</f>
        <v/>
      </c>
      <c r="F259">
        <f>IF($U259="","",IF(INDEX('Per Invoice'!F$2:F$401,$U259)="","",INDEX('Per Invoice'!F$2:F$401,$U259)))</f>
        <v/>
      </c>
      <c r="G259">
        <f>IF($U259="","",IF(INDEX('Per Invoice'!G$2:G$401,$U259)="","",INDEX('Per Invoice'!G$2:G$401,$U259)))</f>
        <v/>
      </c>
      <c r="H259" s="7">
        <f>IF($U259="","",IF(INDEX('Per Invoice'!H$2:H$401,$U259)="","",INDEX('Per Invoice'!H$2:H$401,$U259)))</f>
        <v/>
      </c>
      <c r="I259" s="14">
        <f>IF($U259="","",IF(INDEX('Per Invoice'!I$2:I$401,$U259)="","",INDEX('Per Invoice'!I$2:I$401,$U259)))</f>
        <v/>
      </c>
      <c r="J259">
        <f>IF($U259="","",IF(INDEX('Per Invoice'!J$2:J$401,$U259)="","",INDEX('Per Invoice'!J$2:J$401,$U259)))</f>
        <v/>
      </c>
      <c r="K259">
        <f>IF($U259="","",IF(INDEX('Per Invoice'!K$2:K$401,$U259)="","",INDEX('Per Invoice'!K$2:K$401,$U259)))</f>
        <v/>
      </c>
      <c r="L259" s="7">
        <f>IF($U259="","",IF(INDEX('Per Invoice'!L$2:L$401,$U259)="","",INDEX('Per Invoice'!L$2:L$401,$U259)))</f>
        <v/>
      </c>
      <c r="M259" s="7">
        <f>IF($U259="","",IF(INDEX('Per Invoice'!M$2:M$401,$U259)="","",INDEX('Per Invoice'!M$2:M$401,$U259)))</f>
        <v/>
      </c>
      <c r="N259">
        <f>IF($U259="","",IF(INDEX('Per Invoice'!N$2:N$401,$U259)="","",INDEX('Per Invoice'!N$2:N$401,$U259)))</f>
        <v/>
      </c>
      <c r="O259" s="7">
        <f>IF($U259="","",IF(INDEX('Per Invoice'!O$2:O$401,$U259)="","",INDEX('Per Invoice'!O$2:O$401,$U259)))</f>
        <v/>
      </c>
      <c r="P259" s="7">
        <f>IF($U259="","",IF(INDEX('Per Invoice'!P$2:P$401,$U259)="","",INDEX('Per Invoice'!P$2:P$401,$U259)))</f>
        <v/>
      </c>
      <c r="Q259" s="7">
        <f>IF($U259="","",IF(INDEX('Per Invoice'!Q$2:Q$401,$U259)="","",INDEX('Per Invoice'!Q$2:Q$401,$U259)))</f>
        <v/>
      </c>
      <c r="R259" s="7">
        <f>IF($U259="","",IF(INDEX('Per Invoice'!R$2:R$401,$U259)="","",INDEX('Per Invoice'!R$2:R$401,$U259)))</f>
        <v/>
      </c>
      <c r="S259" s="7">
        <f>IF($U259="","",IF(INDEX('Per Invoice'!S$2:S$401,$U259)="","",INDEX('Per Invoice'!S$2:S$401,$U259)))</f>
        <v/>
      </c>
      <c r="T259" s="7">
        <f>IF($U259="","",IF(INDEX('Per Invoice'!T$2:T$401,$U259)="","",INDEX('Per Invoice'!T$2:T$401,$U259)))</f>
        <v/>
      </c>
      <c r="U259" s="16">
        <f>IFERROR(MATCH(Settings!$C$26&amp;"|"&amp;ROWS($U$2:$U259),'Per Invoice'!$V$2:$V$401,0),"")</f>
        <v/>
      </c>
    </row>
    <row r="260">
      <c r="A260">
        <f>IF($U260="","",IF(INDEX('Per Invoice'!A$2:A$401,$U260)="","",INDEX('Per Invoice'!A$2:A$401,$U260)))</f>
        <v/>
      </c>
      <c r="B260">
        <f>IF($U260="","",IF(INDEX('Per Invoice'!B$2:B$401,$U260)="","",INDEX('Per Invoice'!B$2:B$401,$U260)))</f>
        <v/>
      </c>
      <c r="C260">
        <f>IF($U260="","",IF(INDEX('Per Invoice'!C$2:C$401,$U260)="","",INDEX('Per Invoice'!C$2:C$401,$U260)))</f>
        <v/>
      </c>
      <c r="D260">
        <f>IF($U260="","",IF(INDEX('Per Invoice'!D$2:D$401,$U260)="","",INDEX('Per Invoice'!D$2:D$401,$U260)))</f>
        <v/>
      </c>
      <c r="E260">
        <f>IF($U260="","",IF(INDEX('Per Invoice'!E$2:E$401,$U260)="","",INDEX('Per Invoice'!E$2:E$401,$U260)))</f>
        <v/>
      </c>
      <c r="F260">
        <f>IF($U260="","",IF(INDEX('Per Invoice'!F$2:F$401,$U260)="","",INDEX('Per Invoice'!F$2:F$401,$U260)))</f>
        <v/>
      </c>
      <c r="G260">
        <f>IF($U260="","",IF(INDEX('Per Invoice'!G$2:G$401,$U260)="","",INDEX('Per Invoice'!G$2:G$401,$U260)))</f>
        <v/>
      </c>
      <c r="H260" s="7">
        <f>IF($U260="","",IF(INDEX('Per Invoice'!H$2:H$401,$U260)="","",INDEX('Per Invoice'!H$2:H$401,$U260)))</f>
        <v/>
      </c>
      <c r="I260" s="14">
        <f>IF($U260="","",IF(INDEX('Per Invoice'!I$2:I$401,$U260)="","",INDEX('Per Invoice'!I$2:I$401,$U260)))</f>
        <v/>
      </c>
      <c r="J260">
        <f>IF($U260="","",IF(INDEX('Per Invoice'!J$2:J$401,$U260)="","",INDEX('Per Invoice'!J$2:J$401,$U260)))</f>
        <v/>
      </c>
      <c r="K260">
        <f>IF($U260="","",IF(INDEX('Per Invoice'!K$2:K$401,$U260)="","",INDEX('Per Invoice'!K$2:K$401,$U260)))</f>
        <v/>
      </c>
      <c r="L260" s="7">
        <f>IF($U260="","",IF(INDEX('Per Invoice'!L$2:L$401,$U260)="","",INDEX('Per Invoice'!L$2:L$401,$U260)))</f>
        <v/>
      </c>
      <c r="M260" s="7">
        <f>IF($U260="","",IF(INDEX('Per Invoice'!M$2:M$401,$U260)="","",INDEX('Per Invoice'!M$2:M$401,$U260)))</f>
        <v/>
      </c>
      <c r="N260">
        <f>IF($U260="","",IF(INDEX('Per Invoice'!N$2:N$401,$U260)="","",INDEX('Per Invoice'!N$2:N$401,$U260)))</f>
        <v/>
      </c>
      <c r="O260" s="7">
        <f>IF($U260="","",IF(INDEX('Per Invoice'!O$2:O$401,$U260)="","",INDEX('Per Invoice'!O$2:O$401,$U260)))</f>
        <v/>
      </c>
      <c r="P260" s="7">
        <f>IF($U260="","",IF(INDEX('Per Invoice'!P$2:P$401,$U260)="","",INDEX('Per Invoice'!P$2:P$401,$U260)))</f>
        <v/>
      </c>
      <c r="Q260" s="7">
        <f>IF($U260="","",IF(INDEX('Per Invoice'!Q$2:Q$401,$U260)="","",INDEX('Per Invoice'!Q$2:Q$401,$U260)))</f>
        <v/>
      </c>
      <c r="R260" s="7">
        <f>IF($U260="","",IF(INDEX('Per Invoice'!R$2:R$401,$U260)="","",INDEX('Per Invoice'!R$2:R$401,$U260)))</f>
        <v/>
      </c>
      <c r="S260" s="7">
        <f>IF($U260="","",IF(INDEX('Per Invoice'!S$2:S$401,$U260)="","",INDEX('Per Invoice'!S$2:S$401,$U260)))</f>
        <v/>
      </c>
      <c r="T260" s="7">
        <f>IF($U260="","",IF(INDEX('Per Invoice'!T$2:T$401,$U260)="","",INDEX('Per Invoice'!T$2:T$401,$U260)))</f>
        <v/>
      </c>
      <c r="U260" s="16">
        <f>IFERROR(MATCH(Settings!$C$26&amp;"|"&amp;ROWS($U$2:$U260),'Per Invoice'!$V$2:$V$401,0),"")</f>
        <v/>
      </c>
    </row>
    <row r="261">
      <c r="A261">
        <f>IF($U261="","",IF(INDEX('Per Invoice'!A$2:A$401,$U261)="","",INDEX('Per Invoice'!A$2:A$401,$U261)))</f>
        <v/>
      </c>
      <c r="B261">
        <f>IF($U261="","",IF(INDEX('Per Invoice'!B$2:B$401,$U261)="","",INDEX('Per Invoice'!B$2:B$401,$U261)))</f>
        <v/>
      </c>
      <c r="C261">
        <f>IF($U261="","",IF(INDEX('Per Invoice'!C$2:C$401,$U261)="","",INDEX('Per Invoice'!C$2:C$401,$U261)))</f>
        <v/>
      </c>
      <c r="D261">
        <f>IF($U261="","",IF(INDEX('Per Invoice'!D$2:D$401,$U261)="","",INDEX('Per Invoice'!D$2:D$401,$U261)))</f>
        <v/>
      </c>
      <c r="E261">
        <f>IF($U261="","",IF(INDEX('Per Invoice'!E$2:E$401,$U261)="","",INDEX('Per Invoice'!E$2:E$401,$U261)))</f>
        <v/>
      </c>
      <c r="F261">
        <f>IF($U261="","",IF(INDEX('Per Invoice'!F$2:F$401,$U261)="","",INDEX('Per Invoice'!F$2:F$401,$U261)))</f>
        <v/>
      </c>
      <c r="G261">
        <f>IF($U261="","",IF(INDEX('Per Invoice'!G$2:G$401,$U261)="","",INDEX('Per Invoice'!G$2:G$401,$U261)))</f>
        <v/>
      </c>
      <c r="H261" s="7">
        <f>IF($U261="","",IF(INDEX('Per Invoice'!H$2:H$401,$U261)="","",INDEX('Per Invoice'!H$2:H$401,$U261)))</f>
        <v/>
      </c>
      <c r="I261" s="14">
        <f>IF($U261="","",IF(INDEX('Per Invoice'!I$2:I$401,$U261)="","",INDEX('Per Invoice'!I$2:I$401,$U261)))</f>
        <v/>
      </c>
      <c r="J261">
        <f>IF($U261="","",IF(INDEX('Per Invoice'!J$2:J$401,$U261)="","",INDEX('Per Invoice'!J$2:J$401,$U261)))</f>
        <v/>
      </c>
      <c r="K261">
        <f>IF($U261="","",IF(INDEX('Per Invoice'!K$2:K$401,$U261)="","",INDEX('Per Invoice'!K$2:K$401,$U261)))</f>
        <v/>
      </c>
      <c r="L261" s="7">
        <f>IF($U261="","",IF(INDEX('Per Invoice'!L$2:L$401,$U261)="","",INDEX('Per Invoice'!L$2:L$401,$U261)))</f>
        <v/>
      </c>
      <c r="M261" s="7">
        <f>IF($U261="","",IF(INDEX('Per Invoice'!M$2:M$401,$U261)="","",INDEX('Per Invoice'!M$2:M$401,$U261)))</f>
        <v/>
      </c>
      <c r="N261">
        <f>IF($U261="","",IF(INDEX('Per Invoice'!N$2:N$401,$U261)="","",INDEX('Per Invoice'!N$2:N$401,$U261)))</f>
        <v/>
      </c>
      <c r="O261" s="7">
        <f>IF($U261="","",IF(INDEX('Per Invoice'!O$2:O$401,$U261)="","",INDEX('Per Invoice'!O$2:O$401,$U261)))</f>
        <v/>
      </c>
      <c r="P261" s="7">
        <f>IF($U261="","",IF(INDEX('Per Invoice'!P$2:P$401,$U261)="","",INDEX('Per Invoice'!P$2:P$401,$U261)))</f>
        <v/>
      </c>
      <c r="Q261" s="7">
        <f>IF($U261="","",IF(INDEX('Per Invoice'!Q$2:Q$401,$U261)="","",INDEX('Per Invoice'!Q$2:Q$401,$U261)))</f>
        <v/>
      </c>
      <c r="R261" s="7">
        <f>IF($U261="","",IF(INDEX('Per Invoice'!R$2:R$401,$U261)="","",INDEX('Per Invoice'!R$2:R$401,$U261)))</f>
        <v/>
      </c>
      <c r="S261" s="7">
        <f>IF($U261="","",IF(INDEX('Per Invoice'!S$2:S$401,$U261)="","",INDEX('Per Invoice'!S$2:S$401,$U261)))</f>
        <v/>
      </c>
      <c r="T261" s="7">
        <f>IF($U261="","",IF(INDEX('Per Invoice'!T$2:T$401,$U261)="","",INDEX('Per Invoice'!T$2:T$401,$U261)))</f>
        <v/>
      </c>
      <c r="U261" s="16">
        <f>IFERROR(MATCH(Settings!$C$26&amp;"|"&amp;ROWS($U$2:$U261),'Per Invoice'!$V$2:$V$401,0),"")</f>
        <v/>
      </c>
    </row>
    <row r="262">
      <c r="A262">
        <f>IF($U262="","",IF(INDEX('Per Invoice'!A$2:A$401,$U262)="","",INDEX('Per Invoice'!A$2:A$401,$U262)))</f>
        <v/>
      </c>
      <c r="B262">
        <f>IF($U262="","",IF(INDEX('Per Invoice'!B$2:B$401,$U262)="","",INDEX('Per Invoice'!B$2:B$401,$U262)))</f>
        <v/>
      </c>
      <c r="C262">
        <f>IF($U262="","",IF(INDEX('Per Invoice'!C$2:C$401,$U262)="","",INDEX('Per Invoice'!C$2:C$401,$U262)))</f>
        <v/>
      </c>
      <c r="D262">
        <f>IF($U262="","",IF(INDEX('Per Invoice'!D$2:D$401,$U262)="","",INDEX('Per Invoice'!D$2:D$401,$U262)))</f>
        <v/>
      </c>
      <c r="E262">
        <f>IF($U262="","",IF(INDEX('Per Invoice'!E$2:E$401,$U262)="","",INDEX('Per Invoice'!E$2:E$401,$U262)))</f>
        <v/>
      </c>
      <c r="F262">
        <f>IF($U262="","",IF(INDEX('Per Invoice'!F$2:F$401,$U262)="","",INDEX('Per Invoice'!F$2:F$401,$U262)))</f>
        <v/>
      </c>
      <c r="G262">
        <f>IF($U262="","",IF(INDEX('Per Invoice'!G$2:G$401,$U262)="","",INDEX('Per Invoice'!G$2:G$401,$U262)))</f>
        <v/>
      </c>
      <c r="H262" s="7">
        <f>IF($U262="","",IF(INDEX('Per Invoice'!H$2:H$401,$U262)="","",INDEX('Per Invoice'!H$2:H$401,$U262)))</f>
        <v/>
      </c>
      <c r="I262" s="14">
        <f>IF($U262="","",IF(INDEX('Per Invoice'!I$2:I$401,$U262)="","",INDEX('Per Invoice'!I$2:I$401,$U262)))</f>
        <v/>
      </c>
      <c r="J262">
        <f>IF($U262="","",IF(INDEX('Per Invoice'!J$2:J$401,$U262)="","",INDEX('Per Invoice'!J$2:J$401,$U262)))</f>
        <v/>
      </c>
      <c r="K262">
        <f>IF($U262="","",IF(INDEX('Per Invoice'!K$2:K$401,$U262)="","",INDEX('Per Invoice'!K$2:K$401,$U262)))</f>
        <v/>
      </c>
      <c r="L262" s="7">
        <f>IF($U262="","",IF(INDEX('Per Invoice'!L$2:L$401,$U262)="","",INDEX('Per Invoice'!L$2:L$401,$U262)))</f>
        <v/>
      </c>
      <c r="M262" s="7">
        <f>IF($U262="","",IF(INDEX('Per Invoice'!M$2:M$401,$U262)="","",INDEX('Per Invoice'!M$2:M$401,$U262)))</f>
        <v/>
      </c>
      <c r="N262">
        <f>IF($U262="","",IF(INDEX('Per Invoice'!N$2:N$401,$U262)="","",INDEX('Per Invoice'!N$2:N$401,$U262)))</f>
        <v/>
      </c>
      <c r="O262" s="7">
        <f>IF($U262="","",IF(INDEX('Per Invoice'!O$2:O$401,$U262)="","",INDEX('Per Invoice'!O$2:O$401,$U262)))</f>
        <v/>
      </c>
      <c r="P262" s="7">
        <f>IF($U262="","",IF(INDEX('Per Invoice'!P$2:P$401,$U262)="","",INDEX('Per Invoice'!P$2:P$401,$U262)))</f>
        <v/>
      </c>
      <c r="Q262" s="7">
        <f>IF($U262="","",IF(INDEX('Per Invoice'!Q$2:Q$401,$U262)="","",INDEX('Per Invoice'!Q$2:Q$401,$U262)))</f>
        <v/>
      </c>
      <c r="R262" s="7">
        <f>IF($U262="","",IF(INDEX('Per Invoice'!R$2:R$401,$U262)="","",INDEX('Per Invoice'!R$2:R$401,$U262)))</f>
        <v/>
      </c>
      <c r="S262" s="7">
        <f>IF($U262="","",IF(INDEX('Per Invoice'!S$2:S$401,$U262)="","",INDEX('Per Invoice'!S$2:S$401,$U262)))</f>
        <v/>
      </c>
      <c r="T262" s="7">
        <f>IF($U262="","",IF(INDEX('Per Invoice'!T$2:T$401,$U262)="","",INDEX('Per Invoice'!T$2:T$401,$U262)))</f>
        <v/>
      </c>
      <c r="U262" s="16">
        <f>IFERROR(MATCH(Settings!$C$26&amp;"|"&amp;ROWS($U$2:$U262),'Per Invoice'!$V$2:$V$401,0),"")</f>
        <v/>
      </c>
    </row>
    <row r="263">
      <c r="A263">
        <f>IF($U263="","",IF(INDEX('Per Invoice'!A$2:A$401,$U263)="","",INDEX('Per Invoice'!A$2:A$401,$U263)))</f>
        <v/>
      </c>
      <c r="B263">
        <f>IF($U263="","",IF(INDEX('Per Invoice'!B$2:B$401,$U263)="","",INDEX('Per Invoice'!B$2:B$401,$U263)))</f>
        <v/>
      </c>
      <c r="C263">
        <f>IF($U263="","",IF(INDEX('Per Invoice'!C$2:C$401,$U263)="","",INDEX('Per Invoice'!C$2:C$401,$U263)))</f>
        <v/>
      </c>
      <c r="D263">
        <f>IF($U263="","",IF(INDEX('Per Invoice'!D$2:D$401,$U263)="","",INDEX('Per Invoice'!D$2:D$401,$U263)))</f>
        <v/>
      </c>
      <c r="E263">
        <f>IF($U263="","",IF(INDEX('Per Invoice'!E$2:E$401,$U263)="","",INDEX('Per Invoice'!E$2:E$401,$U263)))</f>
        <v/>
      </c>
      <c r="F263">
        <f>IF($U263="","",IF(INDEX('Per Invoice'!F$2:F$401,$U263)="","",INDEX('Per Invoice'!F$2:F$401,$U263)))</f>
        <v/>
      </c>
      <c r="G263">
        <f>IF($U263="","",IF(INDEX('Per Invoice'!G$2:G$401,$U263)="","",INDEX('Per Invoice'!G$2:G$401,$U263)))</f>
        <v/>
      </c>
      <c r="H263" s="7">
        <f>IF($U263="","",IF(INDEX('Per Invoice'!H$2:H$401,$U263)="","",INDEX('Per Invoice'!H$2:H$401,$U263)))</f>
        <v/>
      </c>
      <c r="I263" s="14">
        <f>IF($U263="","",IF(INDEX('Per Invoice'!I$2:I$401,$U263)="","",INDEX('Per Invoice'!I$2:I$401,$U263)))</f>
        <v/>
      </c>
      <c r="J263">
        <f>IF($U263="","",IF(INDEX('Per Invoice'!J$2:J$401,$U263)="","",INDEX('Per Invoice'!J$2:J$401,$U263)))</f>
        <v/>
      </c>
      <c r="K263">
        <f>IF($U263="","",IF(INDEX('Per Invoice'!K$2:K$401,$U263)="","",INDEX('Per Invoice'!K$2:K$401,$U263)))</f>
        <v/>
      </c>
      <c r="L263" s="7">
        <f>IF($U263="","",IF(INDEX('Per Invoice'!L$2:L$401,$U263)="","",INDEX('Per Invoice'!L$2:L$401,$U263)))</f>
        <v/>
      </c>
      <c r="M263" s="7">
        <f>IF($U263="","",IF(INDEX('Per Invoice'!M$2:M$401,$U263)="","",INDEX('Per Invoice'!M$2:M$401,$U263)))</f>
        <v/>
      </c>
      <c r="N263">
        <f>IF($U263="","",IF(INDEX('Per Invoice'!N$2:N$401,$U263)="","",INDEX('Per Invoice'!N$2:N$401,$U263)))</f>
        <v/>
      </c>
      <c r="O263" s="7">
        <f>IF($U263="","",IF(INDEX('Per Invoice'!O$2:O$401,$U263)="","",INDEX('Per Invoice'!O$2:O$401,$U263)))</f>
        <v/>
      </c>
      <c r="P263" s="7">
        <f>IF($U263="","",IF(INDEX('Per Invoice'!P$2:P$401,$U263)="","",INDEX('Per Invoice'!P$2:P$401,$U263)))</f>
        <v/>
      </c>
      <c r="Q263" s="7">
        <f>IF($U263="","",IF(INDEX('Per Invoice'!Q$2:Q$401,$U263)="","",INDEX('Per Invoice'!Q$2:Q$401,$U263)))</f>
        <v/>
      </c>
      <c r="R263" s="7">
        <f>IF($U263="","",IF(INDEX('Per Invoice'!R$2:R$401,$U263)="","",INDEX('Per Invoice'!R$2:R$401,$U263)))</f>
        <v/>
      </c>
      <c r="S263" s="7">
        <f>IF($U263="","",IF(INDEX('Per Invoice'!S$2:S$401,$U263)="","",INDEX('Per Invoice'!S$2:S$401,$U263)))</f>
        <v/>
      </c>
      <c r="T263" s="7">
        <f>IF($U263="","",IF(INDEX('Per Invoice'!T$2:T$401,$U263)="","",INDEX('Per Invoice'!T$2:T$401,$U263)))</f>
        <v/>
      </c>
      <c r="U263" s="16">
        <f>IFERROR(MATCH(Settings!$C$26&amp;"|"&amp;ROWS($U$2:$U263),'Per Invoice'!$V$2:$V$401,0),"")</f>
        <v/>
      </c>
    </row>
    <row r="264">
      <c r="A264">
        <f>IF($U264="","",IF(INDEX('Per Invoice'!A$2:A$401,$U264)="","",INDEX('Per Invoice'!A$2:A$401,$U264)))</f>
        <v/>
      </c>
      <c r="B264">
        <f>IF($U264="","",IF(INDEX('Per Invoice'!B$2:B$401,$U264)="","",INDEX('Per Invoice'!B$2:B$401,$U264)))</f>
        <v/>
      </c>
      <c r="C264">
        <f>IF($U264="","",IF(INDEX('Per Invoice'!C$2:C$401,$U264)="","",INDEX('Per Invoice'!C$2:C$401,$U264)))</f>
        <v/>
      </c>
      <c r="D264">
        <f>IF($U264="","",IF(INDEX('Per Invoice'!D$2:D$401,$U264)="","",INDEX('Per Invoice'!D$2:D$401,$U264)))</f>
        <v/>
      </c>
      <c r="E264">
        <f>IF($U264="","",IF(INDEX('Per Invoice'!E$2:E$401,$U264)="","",INDEX('Per Invoice'!E$2:E$401,$U264)))</f>
        <v/>
      </c>
      <c r="F264">
        <f>IF($U264="","",IF(INDEX('Per Invoice'!F$2:F$401,$U264)="","",INDEX('Per Invoice'!F$2:F$401,$U264)))</f>
        <v/>
      </c>
      <c r="G264">
        <f>IF($U264="","",IF(INDEX('Per Invoice'!G$2:G$401,$U264)="","",INDEX('Per Invoice'!G$2:G$401,$U264)))</f>
        <v/>
      </c>
      <c r="H264" s="7">
        <f>IF($U264="","",IF(INDEX('Per Invoice'!H$2:H$401,$U264)="","",INDEX('Per Invoice'!H$2:H$401,$U264)))</f>
        <v/>
      </c>
      <c r="I264" s="14">
        <f>IF($U264="","",IF(INDEX('Per Invoice'!I$2:I$401,$U264)="","",INDEX('Per Invoice'!I$2:I$401,$U264)))</f>
        <v/>
      </c>
      <c r="J264">
        <f>IF($U264="","",IF(INDEX('Per Invoice'!J$2:J$401,$U264)="","",INDEX('Per Invoice'!J$2:J$401,$U264)))</f>
        <v/>
      </c>
      <c r="K264">
        <f>IF($U264="","",IF(INDEX('Per Invoice'!K$2:K$401,$U264)="","",INDEX('Per Invoice'!K$2:K$401,$U264)))</f>
        <v/>
      </c>
      <c r="L264" s="7">
        <f>IF($U264="","",IF(INDEX('Per Invoice'!L$2:L$401,$U264)="","",INDEX('Per Invoice'!L$2:L$401,$U264)))</f>
        <v/>
      </c>
      <c r="M264" s="7">
        <f>IF($U264="","",IF(INDEX('Per Invoice'!M$2:M$401,$U264)="","",INDEX('Per Invoice'!M$2:M$401,$U264)))</f>
        <v/>
      </c>
      <c r="N264">
        <f>IF($U264="","",IF(INDEX('Per Invoice'!N$2:N$401,$U264)="","",INDEX('Per Invoice'!N$2:N$401,$U264)))</f>
        <v/>
      </c>
      <c r="O264" s="7">
        <f>IF($U264="","",IF(INDEX('Per Invoice'!O$2:O$401,$U264)="","",INDEX('Per Invoice'!O$2:O$401,$U264)))</f>
        <v/>
      </c>
      <c r="P264" s="7">
        <f>IF($U264="","",IF(INDEX('Per Invoice'!P$2:P$401,$U264)="","",INDEX('Per Invoice'!P$2:P$401,$U264)))</f>
        <v/>
      </c>
      <c r="Q264" s="7">
        <f>IF($U264="","",IF(INDEX('Per Invoice'!Q$2:Q$401,$U264)="","",INDEX('Per Invoice'!Q$2:Q$401,$U264)))</f>
        <v/>
      </c>
      <c r="R264" s="7">
        <f>IF($U264="","",IF(INDEX('Per Invoice'!R$2:R$401,$U264)="","",INDEX('Per Invoice'!R$2:R$401,$U264)))</f>
        <v/>
      </c>
      <c r="S264" s="7">
        <f>IF($U264="","",IF(INDEX('Per Invoice'!S$2:S$401,$U264)="","",INDEX('Per Invoice'!S$2:S$401,$U264)))</f>
        <v/>
      </c>
      <c r="T264" s="7">
        <f>IF($U264="","",IF(INDEX('Per Invoice'!T$2:T$401,$U264)="","",INDEX('Per Invoice'!T$2:T$401,$U264)))</f>
        <v/>
      </c>
      <c r="U264" s="16">
        <f>IFERROR(MATCH(Settings!$C$26&amp;"|"&amp;ROWS($U$2:$U264),'Per Invoice'!$V$2:$V$401,0),"")</f>
        <v/>
      </c>
    </row>
    <row r="265">
      <c r="A265">
        <f>IF($U265="","",IF(INDEX('Per Invoice'!A$2:A$401,$U265)="","",INDEX('Per Invoice'!A$2:A$401,$U265)))</f>
        <v/>
      </c>
      <c r="B265">
        <f>IF($U265="","",IF(INDEX('Per Invoice'!B$2:B$401,$U265)="","",INDEX('Per Invoice'!B$2:B$401,$U265)))</f>
        <v/>
      </c>
      <c r="C265">
        <f>IF($U265="","",IF(INDEX('Per Invoice'!C$2:C$401,$U265)="","",INDEX('Per Invoice'!C$2:C$401,$U265)))</f>
        <v/>
      </c>
      <c r="D265">
        <f>IF($U265="","",IF(INDEX('Per Invoice'!D$2:D$401,$U265)="","",INDEX('Per Invoice'!D$2:D$401,$U265)))</f>
        <v/>
      </c>
      <c r="E265">
        <f>IF($U265="","",IF(INDEX('Per Invoice'!E$2:E$401,$U265)="","",INDEX('Per Invoice'!E$2:E$401,$U265)))</f>
        <v/>
      </c>
      <c r="F265">
        <f>IF($U265="","",IF(INDEX('Per Invoice'!F$2:F$401,$U265)="","",INDEX('Per Invoice'!F$2:F$401,$U265)))</f>
        <v/>
      </c>
      <c r="G265">
        <f>IF($U265="","",IF(INDEX('Per Invoice'!G$2:G$401,$U265)="","",INDEX('Per Invoice'!G$2:G$401,$U265)))</f>
        <v/>
      </c>
      <c r="H265" s="7">
        <f>IF($U265="","",IF(INDEX('Per Invoice'!H$2:H$401,$U265)="","",INDEX('Per Invoice'!H$2:H$401,$U265)))</f>
        <v/>
      </c>
      <c r="I265" s="14">
        <f>IF($U265="","",IF(INDEX('Per Invoice'!I$2:I$401,$U265)="","",INDEX('Per Invoice'!I$2:I$401,$U265)))</f>
        <v/>
      </c>
      <c r="J265">
        <f>IF($U265="","",IF(INDEX('Per Invoice'!J$2:J$401,$U265)="","",INDEX('Per Invoice'!J$2:J$401,$U265)))</f>
        <v/>
      </c>
      <c r="K265">
        <f>IF($U265="","",IF(INDEX('Per Invoice'!K$2:K$401,$U265)="","",INDEX('Per Invoice'!K$2:K$401,$U265)))</f>
        <v/>
      </c>
      <c r="L265" s="7">
        <f>IF($U265="","",IF(INDEX('Per Invoice'!L$2:L$401,$U265)="","",INDEX('Per Invoice'!L$2:L$401,$U265)))</f>
        <v/>
      </c>
      <c r="M265" s="7">
        <f>IF($U265="","",IF(INDEX('Per Invoice'!M$2:M$401,$U265)="","",INDEX('Per Invoice'!M$2:M$401,$U265)))</f>
        <v/>
      </c>
      <c r="N265">
        <f>IF($U265="","",IF(INDEX('Per Invoice'!N$2:N$401,$U265)="","",INDEX('Per Invoice'!N$2:N$401,$U265)))</f>
        <v/>
      </c>
      <c r="O265" s="7">
        <f>IF($U265="","",IF(INDEX('Per Invoice'!O$2:O$401,$U265)="","",INDEX('Per Invoice'!O$2:O$401,$U265)))</f>
        <v/>
      </c>
      <c r="P265" s="7">
        <f>IF($U265="","",IF(INDEX('Per Invoice'!P$2:P$401,$U265)="","",INDEX('Per Invoice'!P$2:P$401,$U265)))</f>
        <v/>
      </c>
      <c r="Q265" s="7">
        <f>IF($U265="","",IF(INDEX('Per Invoice'!Q$2:Q$401,$U265)="","",INDEX('Per Invoice'!Q$2:Q$401,$U265)))</f>
        <v/>
      </c>
      <c r="R265" s="7">
        <f>IF($U265="","",IF(INDEX('Per Invoice'!R$2:R$401,$U265)="","",INDEX('Per Invoice'!R$2:R$401,$U265)))</f>
        <v/>
      </c>
      <c r="S265" s="7">
        <f>IF($U265="","",IF(INDEX('Per Invoice'!S$2:S$401,$U265)="","",INDEX('Per Invoice'!S$2:S$401,$U265)))</f>
        <v/>
      </c>
      <c r="T265" s="7">
        <f>IF($U265="","",IF(INDEX('Per Invoice'!T$2:T$401,$U265)="","",INDEX('Per Invoice'!T$2:T$401,$U265)))</f>
        <v/>
      </c>
      <c r="U265" s="16">
        <f>IFERROR(MATCH(Settings!$C$26&amp;"|"&amp;ROWS($U$2:$U265),'Per Invoice'!$V$2:$V$401,0),"")</f>
        <v/>
      </c>
    </row>
    <row r="266">
      <c r="A266">
        <f>IF($U266="","",IF(INDEX('Per Invoice'!A$2:A$401,$U266)="","",INDEX('Per Invoice'!A$2:A$401,$U266)))</f>
        <v/>
      </c>
      <c r="B266">
        <f>IF($U266="","",IF(INDEX('Per Invoice'!B$2:B$401,$U266)="","",INDEX('Per Invoice'!B$2:B$401,$U266)))</f>
        <v/>
      </c>
      <c r="C266">
        <f>IF($U266="","",IF(INDEX('Per Invoice'!C$2:C$401,$U266)="","",INDEX('Per Invoice'!C$2:C$401,$U266)))</f>
        <v/>
      </c>
      <c r="D266">
        <f>IF($U266="","",IF(INDEX('Per Invoice'!D$2:D$401,$U266)="","",INDEX('Per Invoice'!D$2:D$401,$U266)))</f>
        <v/>
      </c>
      <c r="E266">
        <f>IF($U266="","",IF(INDEX('Per Invoice'!E$2:E$401,$U266)="","",INDEX('Per Invoice'!E$2:E$401,$U266)))</f>
        <v/>
      </c>
      <c r="F266">
        <f>IF($U266="","",IF(INDEX('Per Invoice'!F$2:F$401,$U266)="","",INDEX('Per Invoice'!F$2:F$401,$U266)))</f>
        <v/>
      </c>
      <c r="G266">
        <f>IF($U266="","",IF(INDEX('Per Invoice'!G$2:G$401,$U266)="","",INDEX('Per Invoice'!G$2:G$401,$U266)))</f>
        <v/>
      </c>
      <c r="H266" s="7">
        <f>IF($U266="","",IF(INDEX('Per Invoice'!H$2:H$401,$U266)="","",INDEX('Per Invoice'!H$2:H$401,$U266)))</f>
        <v/>
      </c>
      <c r="I266" s="14">
        <f>IF($U266="","",IF(INDEX('Per Invoice'!I$2:I$401,$U266)="","",INDEX('Per Invoice'!I$2:I$401,$U266)))</f>
        <v/>
      </c>
      <c r="J266">
        <f>IF($U266="","",IF(INDEX('Per Invoice'!J$2:J$401,$U266)="","",INDEX('Per Invoice'!J$2:J$401,$U266)))</f>
        <v/>
      </c>
      <c r="K266">
        <f>IF($U266="","",IF(INDEX('Per Invoice'!K$2:K$401,$U266)="","",INDEX('Per Invoice'!K$2:K$401,$U266)))</f>
        <v/>
      </c>
      <c r="L266" s="7">
        <f>IF($U266="","",IF(INDEX('Per Invoice'!L$2:L$401,$U266)="","",INDEX('Per Invoice'!L$2:L$401,$U266)))</f>
        <v/>
      </c>
      <c r="M266" s="7">
        <f>IF($U266="","",IF(INDEX('Per Invoice'!M$2:M$401,$U266)="","",INDEX('Per Invoice'!M$2:M$401,$U266)))</f>
        <v/>
      </c>
      <c r="N266">
        <f>IF($U266="","",IF(INDEX('Per Invoice'!N$2:N$401,$U266)="","",INDEX('Per Invoice'!N$2:N$401,$U266)))</f>
        <v/>
      </c>
      <c r="O266" s="7">
        <f>IF($U266="","",IF(INDEX('Per Invoice'!O$2:O$401,$U266)="","",INDEX('Per Invoice'!O$2:O$401,$U266)))</f>
        <v/>
      </c>
      <c r="P266" s="7">
        <f>IF($U266="","",IF(INDEX('Per Invoice'!P$2:P$401,$U266)="","",INDEX('Per Invoice'!P$2:P$401,$U266)))</f>
        <v/>
      </c>
      <c r="Q266" s="7">
        <f>IF($U266="","",IF(INDEX('Per Invoice'!Q$2:Q$401,$U266)="","",INDEX('Per Invoice'!Q$2:Q$401,$U266)))</f>
        <v/>
      </c>
      <c r="R266" s="7">
        <f>IF($U266="","",IF(INDEX('Per Invoice'!R$2:R$401,$U266)="","",INDEX('Per Invoice'!R$2:R$401,$U266)))</f>
        <v/>
      </c>
      <c r="S266" s="7">
        <f>IF($U266="","",IF(INDEX('Per Invoice'!S$2:S$401,$U266)="","",INDEX('Per Invoice'!S$2:S$401,$U266)))</f>
        <v/>
      </c>
      <c r="T266" s="7">
        <f>IF($U266="","",IF(INDEX('Per Invoice'!T$2:T$401,$U266)="","",INDEX('Per Invoice'!T$2:T$401,$U266)))</f>
        <v/>
      </c>
      <c r="U266" s="16">
        <f>IFERROR(MATCH(Settings!$C$26&amp;"|"&amp;ROWS($U$2:$U266),'Per Invoice'!$V$2:$V$401,0),"")</f>
        <v/>
      </c>
    </row>
    <row r="267">
      <c r="A267">
        <f>IF($U267="","",IF(INDEX('Per Invoice'!A$2:A$401,$U267)="","",INDEX('Per Invoice'!A$2:A$401,$U267)))</f>
        <v/>
      </c>
      <c r="B267">
        <f>IF($U267="","",IF(INDEX('Per Invoice'!B$2:B$401,$U267)="","",INDEX('Per Invoice'!B$2:B$401,$U267)))</f>
        <v/>
      </c>
      <c r="C267">
        <f>IF($U267="","",IF(INDEX('Per Invoice'!C$2:C$401,$U267)="","",INDEX('Per Invoice'!C$2:C$401,$U267)))</f>
        <v/>
      </c>
      <c r="D267">
        <f>IF($U267="","",IF(INDEX('Per Invoice'!D$2:D$401,$U267)="","",INDEX('Per Invoice'!D$2:D$401,$U267)))</f>
        <v/>
      </c>
      <c r="E267">
        <f>IF($U267="","",IF(INDEX('Per Invoice'!E$2:E$401,$U267)="","",INDEX('Per Invoice'!E$2:E$401,$U267)))</f>
        <v/>
      </c>
      <c r="F267">
        <f>IF($U267="","",IF(INDEX('Per Invoice'!F$2:F$401,$U267)="","",INDEX('Per Invoice'!F$2:F$401,$U267)))</f>
        <v/>
      </c>
      <c r="G267">
        <f>IF($U267="","",IF(INDEX('Per Invoice'!G$2:G$401,$U267)="","",INDEX('Per Invoice'!G$2:G$401,$U267)))</f>
        <v/>
      </c>
      <c r="H267" s="7">
        <f>IF($U267="","",IF(INDEX('Per Invoice'!H$2:H$401,$U267)="","",INDEX('Per Invoice'!H$2:H$401,$U267)))</f>
        <v/>
      </c>
      <c r="I267" s="14">
        <f>IF($U267="","",IF(INDEX('Per Invoice'!I$2:I$401,$U267)="","",INDEX('Per Invoice'!I$2:I$401,$U267)))</f>
        <v/>
      </c>
      <c r="J267">
        <f>IF($U267="","",IF(INDEX('Per Invoice'!J$2:J$401,$U267)="","",INDEX('Per Invoice'!J$2:J$401,$U267)))</f>
        <v/>
      </c>
      <c r="K267">
        <f>IF($U267="","",IF(INDEX('Per Invoice'!K$2:K$401,$U267)="","",INDEX('Per Invoice'!K$2:K$401,$U267)))</f>
        <v/>
      </c>
      <c r="L267" s="7">
        <f>IF($U267="","",IF(INDEX('Per Invoice'!L$2:L$401,$U267)="","",INDEX('Per Invoice'!L$2:L$401,$U267)))</f>
        <v/>
      </c>
      <c r="M267" s="7">
        <f>IF($U267="","",IF(INDEX('Per Invoice'!M$2:M$401,$U267)="","",INDEX('Per Invoice'!M$2:M$401,$U267)))</f>
        <v/>
      </c>
      <c r="N267">
        <f>IF($U267="","",IF(INDEX('Per Invoice'!N$2:N$401,$U267)="","",INDEX('Per Invoice'!N$2:N$401,$U267)))</f>
        <v/>
      </c>
      <c r="O267" s="7">
        <f>IF($U267="","",IF(INDEX('Per Invoice'!O$2:O$401,$U267)="","",INDEX('Per Invoice'!O$2:O$401,$U267)))</f>
        <v/>
      </c>
      <c r="P267" s="7">
        <f>IF($U267="","",IF(INDEX('Per Invoice'!P$2:P$401,$U267)="","",INDEX('Per Invoice'!P$2:P$401,$U267)))</f>
        <v/>
      </c>
      <c r="Q267" s="7">
        <f>IF($U267="","",IF(INDEX('Per Invoice'!Q$2:Q$401,$U267)="","",INDEX('Per Invoice'!Q$2:Q$401,$U267)))</f>
        <v/>
      </c>
      <c r="R267" s="7">
        <f>IF($U267="","",IF(INDEX('Per Invoice'!R$2:R$401,$U267)="","",INDEX('Per Invoice'!R$2:R$401,$U267)))</f>
        <v/>
      </c>
      <c r="S267" s="7">
        <f>IF($U267="","",IF(INDEX('Per Invoice'!S$2:S$401,$U267)="","",INDEX('Per Invoice'!S$2:S$401,$U267)))</f>
        <v/>
      </c>
      <c r="T267" s="7">
        <f>IF($U267="","",IF(INDEX('Per Invoice'!T$2:T$401,$U267)="","",INDEX('Per Invoice'!T$2:T$401,$U267)))</f>
        <v/>
      </c>
      <c r="U267" s="16">
        <f>IFERROR(MATCH(Settings!$C$26&amp;"|"&amp;ROWS($U$2:$U267),'Per Invoice'!$V$2:$V$401,0),"")</f>
        <v/>
      </c>
    </row>
    <row r="268">
      <c r="A268">
        <f>IF($U268="","",IF(INDEX('Per Invoice'!A$2:A$401,$U268)="","",INDEX('Per Invoice'!A$2:A$401,$U268)))</f>
        <v/>
      </c>
      <c r="B268">
        <f>IF($U268="","",IF(INDEX('Per Invoice'!B$2:B$401,$U268)="","",INDEX('Per Invoice'!B$2:B$401,$U268)))</f>
        <v/>
      </c>
      <c r="C268">
        <f>IF($U268="","",IF(INDEX('Per Invoice'!C$2:C$401,$U268)="","",INDEX('Per Invoice'!C$2:C$401,$U268)))</f>
        <v/>
      </c>
      <c r="D268">
        <f>IF($U268="","",IF(INDEX('Per Invoice'!D$2:D$401,$U268)="","",INDEX('Per Invoice'!D$2:D$401,$U268)))</f>
        <v/>
      </c>
      <c r="E268">
        <f>IF($U268="","",IF(INDEX('Per Invoice'!E$2:E$401,$U268)="","",INDEX('Per Invoice'!E$2:E$401,$U268)))</f>
        <v/>
      </c>
      <c r="F268">
        <f>IF($U268="","",IF(INDEX('Per Invoice'!F$2:F$401,$U268)="","",INDEX('Per Invoice'!F$2:F$401,$U268)))</f>
        <v/>
      </c>
      <c r="G268">
        <f>IF($U268="","",IF(INDEX('Per Invoice'!G$2:G$401,$U268)="","",INDEX('Per Invoice'!G$2:G$401,$U268)))</f>
        <v/>
      </c>
      <c r="H268" s="7">
        <f>IF($U268="","",IF(INDEX('Per Invoice'!H$2:H$401,$U268)="","",INDEX('Per Invoice'!H$2:H$401,$U268)))</f>
        <v/>
      </c>
      <c r="I268" s="14">
        <f>IF($U268="","",IF(INDEX('Per Invoice'!I$2:I$401,$U268)="","",INDEX('Per Invoice'!I$2:I$401,$U268)))</f>
        <v/>
      </c>
      <c r="J268">
        <f>IF($U268="","",IF(INDEX('Per Invoice'!J$2:J$401,$U268)="","",INDEX('Per Invoice'!J$2:J$401,$U268)))</f>
        <v/>
      </c>
      <c r="K268">
        <f>IF($U268="","",IF(INDEX('Per Invoice'!K$2:K$401,$U268)="","",INDEX('Per Invoice'!K$2:K$401,$U268)))</f>
        <v/>
      </c>
      <c r="L268" s="7">
        <f>IF($U268="","",IF(INDEX('Per Invoice'!L$2:L$401,$U268)="","",INDEX('Per Invoice'!L$2:L$401,$U268)))</f>
        <v/>
      </c>
      <c r="M268" s="7">
        <f>IF($U268="","",IF(INDEX('Per Invoice'!M$2:M$401,$U268)="","",INDEX('Per Invoice'!M$2:M$401,$U268)))</f>
        <v/>
      </c>
      <c r="N268">
        <f>IF($U268="","",IF(INDEX('Per Invoice'!N$2:N$401,$U268)="","",INDEX('Per Invoice'!N$2:N$401,$U268)))</f>
        <v/>
      </c>
      <c r="O268" s="7">
        <f>IF($U268="","",IF(INDEX('Per Invoice'!O$2:O$401,$U268)="","",INDEX('Per Invoice'!O$2:O$401,$U268)))</f>
        <v/>
      </c>
      <c r="P268" s="7">
        <f>IF($U268="","",IF(INDEX('Per Invoice'!P$2:P$401,$U268)="","",INDEX('Per Invoice'!P$2:P$401,$U268)))</f>
        <v/>
      </c>
      <c r="Q268" s="7">
        <f>IF($U268="","",IF(INDEX('Per Invoice'!Q$2:Q$401,$U268)="","",INDEX('Per Invoice'!Q$2:Q$401,$U268)))</f>
        <v/>
      </c>
      <c r="R268" s="7">
        <f>IF($U268="","",IF(INDEX('Per Invoice'!R$2:R$401,$U268)="","",INDEX('Per Invoice'!R$2:R$401,$U268)))</f>
        <v/>
      </c>
      <c r="S268" s="7">
        <f>IF($U268="","",IF(INDEX('Per Invoice'!S$2:S$401,$U268)="","",INDEX('Per Invoice'!S$2:S$401,$U268)))</f>
        <v/>
      </c>
      <c r="T268" s="7">
        <f>IF($U268="","",IF(INDEX('Per Invoice'!T$2:T$401,$U268)="","",INDEX('Per Invoice'!T$2:T$401,$U268)))</f>
        <v/>
      </c>
      <c r="U268" s="16">
        <f>IFERROR(MATCH(Settings!$C$26&amp;"|"&amp;ROWS($U$2:$U268),'Per Invoice'!$V$2:$V$401,0),"")</f>
        <v/>
      </c>
    </row>
    <row r="269">
      <c r="A269">
        <f>IF($U269="","",IF(INDEX('Per Invoice'!A$2:A$401,$U269)="","",INDEX('Per Invoice'!A$2:A$401,$U269)))</f>
        <v/>
      </c>
      <c r="B269">
        <f>IF($U269="","",IF(INDEX('Per Invoice'!B$2:B$401,$U269)="","",INDEX('Per Invoice'!B$2:B$401,$U269)))</f>
        <v/>
      </c>
      <c r="C269">
        <f>IF($U269="","",IF(INDEX('Per Invoice'!C$2:C$401,$U269)="","",INDEX('Per Invoice'!C$2:C$401,$U269)))</f>
        <v/>
      </c>
      <c r="D269">
        <f>IF($U269="","",IF(INDEX('Per Invoice'!D$2:D$401,$U269)="","",INDEX('Per Invoice'!D$2:D$401,$U269)))</f>
        <v/>
      </c>
      <c r="E269">
        <f>IF($U269="","",IF(INDEX('Per Invoice'!E$2:E$401,$U269)="","",INDEX('Per Invoice'!E$2:E$401,$U269)))</f>
        <v/>
      </c>
      <c r="F269">
        <f>IF($U269="","",IF(INDEX('Per Invoice'!F$2:F$401,$U269)="","",INDEX('Per Invoice'!F$2:F$401,$U269)))</f>
        <v/>
      </c>
      <c r="G269">
        <f>IF($U269="","",IF(INDEX('Per Invoice'!G$2:G$401,$U269)="","",INDEX('Per Invoice'!G$2:G$401,$U269)))</f>
        <v/>
      </c>
      <c r="H269" s="7">
        <f>IF($U269="","",IF(INDEX('Per Invoice'!H$2:H$401,$U269)="","",INDEX('Per Invoice'!H$2:H$401,$U269)))</f>
        <v/>
      </c>
      <c r="I269" s="14">
        <f>IF($U269="","",IF(INDEX('Per Invoice'!I$2:I$401,$U269)="","",INDEX('Per Invoice'!I$2:I$401,$U269)))</f>
        <v/>
      </c>
      <c r="J269">
        <f>IF($U269="","",IF(INDEX('Per Invoice'!J$2:J$401,$U269)="","",INDEX('Per Invoice'!J$2:J$401,$U269)))</f>
        <v/>
      </c>
      <c r="K269">
        <f>IF($U269="","",IF(INDEX('Per Invoice'!K$2:K$401,$U269)="","",INDEX('Per Invoice'!K$2:K$401,$U269)))</f>
        <v/>
      </c>
      <c r="L269" s="7">
        <f>IF($U269="","",IF(INDEX('Per Invoice'!L$2:L$401,$U269)="","",INDEX('Per Invoice'!L$2:L$401,$U269)))</f>
        <v/>
      </c>
      <c r="M269" s="7">
        <f>IF($U269="","",IF(INDEX('Per Invoice'!M$2:M$401,$U269)="","",INDEX('Per Invoice'!M$2:M$401,$U269)))</f>
        <v/>
      </c>
      <c r="N269">
        <f>IF($U269="","",IF(INDEX('Per Invoice'!N$2:N$401,$U269)="","",INDEX('Per Invoice'!N$2:N$401,$U269)))</f>
        <v/>
      </c>
      <c r="O269" s="7">
        <f>IF($U269="","",IF(INDEX('Per Invoice'!O$2:O$401,$U269)="","",INDEX('Per Invoice'!O$2:O$401,$U269)))</f>
        <v/>
      </c>
      <c r="P269" s="7">
        <f>IF($U269="","",IF(INDEX('Per Invoice'!P$2:P$401,$U269)="","",INDEX('Per Invoice'!P$2:P$401,$U269)))</f>
        <v/>
      </c>
      <c r="Q269" s="7">
        <f>IF($U269="","",IF(INDEX('Per Invoice'!Q$2:Q$401,$U269)="","",INDEX('Per Invoice'!Q$2:Q$401,$U269)))</f>
        <v/>
      </c>
      <c r="R269" s="7">
        <f>IF($U269="","",IF(INDEX('Per Invoice'!R$2:R$401,$U269)="","",INDEX('Per Invoice'!R$2:R$401,$U269)))</f>
        <v/>
      </c>
      <c r="S269" s="7">
        <f>IF($U269="","",IF(INDEX('Per Invoice'!S$2:S$401,$U269)="","",INDEX('Per Invoice'!S$2:S$401,$U269)))</f>
        <v/>
      </c>
      <c r="T269" s="7">
        <f>IF($U269="","",IF(INDEX('Per Invoice'!T$2:T$401,$U269)="","",INDEX('Per Invoice'!T$2:T$401,$U269)))</f>
        <v/>
      </c>
      <c r="U269" s="16">
        <f>IFERROR(MATCH(Settings!$C$26&amp;"|"&amp;ROWS($U$2:$U269),'Per Invoice'!$V$2:$V$401,0),"")</f>
        <v/>
      </c>
    </row>
    <row r="270">
      <c r="A270">
        <f>IF($U270="","",IF(INDEX('Per Invoice'!A$2:A$401,$U270)="","",INDEX('Per Invoice'!A$2:A$401,$U270)))</f>
        <v/>
      </c>
      <c r="B270">
        <f>IF($U270="","",IF(INDEX('Per Invoice'!B$2:B$401,$U270)="","",INDEX('Per Invoice'!B$2:B$401,$U270)))</f>
        <v/>
      </c>
      <c r="C270">
        <f>IF($U270="","",IF(INDEX('Per Invoice'!C$2:C$401,$U270)="","",INDEX('Per Invoice'!C$2:C$401,$U270)))</f>
        <v/>
      </c>
      <c r="D270">
        <f>IF($U270="","",IF(INDEX('Per Invoice'!D$2:D$401,$U270)="","",INDEX('Per Invoice'!D$2:D$401,$U270)))</f>
        <v/>
      </c>
      <c r="E270">
        <f>IF($U270="","",IF(INDEX('Per Invoice'!E$2:E$401,$U270)="","",INDEX('Per Invoice'!E$2:E$401,$U270)))</f>
        <v/>
      </c>
      <c r="F270">
        <f>IF($U270="","",IF(INDEX('Per Invoice'!F$2:F$401,$U270)="","",INDEX('Per Invoice'!F$2:F$401,$U270)))</f>
        <v/>
      </c>
      <c r="G270">
        <f>IF($U270="","",IF(INDEX('Per Invoice'!G$2:G$401,$U270)="","",INDEX('Per Invoice'!G$2:G$401,$U270)))</f>
        <v/>
      </c>
      <c r="H270" s="7">
        <f>IF($U270="","",IF(INDEX('Per Invoice'!H$2:H$401,$U270)="","",INDEX('Per Invoice'!H$2:H$401,$U270)))</f>
        <v/>
      </c>
      <c r="I270" s="14">
        <f>IF($U270="","",IF(INDEX('Per Invoice'!I$2:I$401,$U270)="","",INDEX('Per Invoice'!I$2:I$401,$U270)))</f>
        <v/>
      </c>
      <c r="J270">
        <f>IF($U270="","",IF(INDEX('Per Invoice'!J$2:J$401,$U270)="","",INDEX('Per Invoice'!J$2:J$401,$U270)))</f>
        <v/>
      </c>
      <c r="K270">
        <f>IF($U270="","",IF(INDEX('Per Invoice'!K$2:K$401,$U270)="","",INDEX('Per Invoice'!K$2:K$401,$U270)))</f>
        <v/>
      </c>
      <c r="L270" s="7">
        <f>IF($U270="","",IF(INDEX('Per Invoice'!L$2:L$401,$U270)="","",INDEX('Per Invoice'!L$2:L$401,$U270)))</f>
        <v/>
      </c>
      <c r="M270" s="7">
        <f>IF($U270="","",IF(INDEX('Per Invoice'!M$2:M$401,$U270)="","",INDEX('Per Invoice'!M$2:M$401,$U270)))</f>
        <v/>
      </c>
      <c r="N270">
        <f>IF($U270="","",IF(INDEX('Per Invoice'!N$2:N$401,$U270)="","",INDEX('Per Invoice'!N$2:N$401,$U270)))</f>
        <v/>
      </c>
      <c r="O270" s="7">
        <f>IF($U270="","",IF(INDEX('Per Invoice'!O$2:O$401,$U270)="","",INDEX('Per Invoice'!O$2:O$401,$U270)))</f>
        <v/>
      </c>
      <c r="P270" s="7">
        <f>IF($U270="","",IF(INDEX('Per Invoice'!P$2:P$401,$U270)="","",INDEX('Per Invoice'!P$2:P$401,$U270)))</f>
        <v/>
      </c>
      <c r="Q270" s="7">
        <f>IF($U270="","",IF(INDEX('Per Invoice'!Q$2:Q$401,$U270)="","",INDEX('Per Invoice'!Q$2:Q$401,$U270)))</f>
        <v/>
      </c>
      <c r="R270" s="7">
        <f>IF($U270="","",IF(INDEX('Per Invoice'!R$2:R$401,$U270)="","",INDEX('Per Invoice'!R$2:R$401,$U270)))</f>
        <v/>
      </c>
      <c r="S270" s="7">
        <f>IF($U270="","",IF(INDEX('Per Invoice'!S$2:S$401,$U270)="","",INDEX('Per Invoice'!S$2:S$401,$U270)))</f>
        <v/>
      </c>
      <c r="T270" s="7">
        <f>IF($U270="","",IF(INDEX('Per Invoice'!T$2:T$401,$U270)="","",INDEX('Per Invoice'!T$2:T$401,$U270)))</f>
        <v/>
      </c>
      <c r="U270" s="16">
        <f>IFERROR(MATCH(Settings!$C$26&amp;"|"&amp;ROWS($U$2:$U270),'Per Invoice'!$V$2:$V$401,0),"")</f>
        <v/>
      </c>
    </row>
    <row r="271">
      <c r="A271">
        <f>IF($U271="","",IF(INDEX('Per Invoice'!A$2:A$401,$U271)="","",INDEX('Per Invoice'!A$2:A$401,$U271)))</f>
        <v/>
      </c>
      <c r="B271">
        <f>IF($U271="","",IF(INDEX('Per Invoice'!B$2:B$401,$U271)="","",INDEX('Per Invoice'!B$2:B$401,$U271)))</f>
        <v/>
      </c>
      <c r="C271">
        <f>IF($U271="","",IF(INDEX('Per Invoice'!C$2:C$401,$U271)="","",INDEX('Per Invoice'!C$2:C$401,$U271)))</f>
        <v/>
      </c>
      <c r="D271">
        <f>IF($U271="","",IF(INDEX('Per Invoice'!D$2:D$401,$U271)="","",INDEX('Per Invoice'!D$2:D$401,$U271)))</f>
        <v/>
      </c>
      <c r="E271">
        <f>IF($U271="","",IF(INDEX('Per Invoice'!E$2:E$401,$U271)="","",INDEX('Per Invoice'!E$2:E$401,$U271)))</f>
        <v/>
      </c>
      <c r="F271">
        <f>IF($U271="","",IF(INDEX('Per Invoice'!F$2:F$401,$U271)="","",INDEX('Per Invoice'!F$2:F$401,$U271)))</f>
        <v/>
      </c>
      <c r="G271">
        <f>IF($U271="","",IF(INDEX('Per Invoice'!G$2:G$401,$U271)="","",INDEX('Per Invoice'!G$2:G$401,$U271)))</f>
        <v/>
      </c>
      <c r="H271" s="7">
        <f>IF($U271="","",IF(INDEX('Per Invoice'!H$2:H$401,$U271)="","",INDEX('Per Invoice'!H$2:H$401,$U271)))</f>
        <v/>
      </c>
      <c r="I271" s="14">
        <f>IF($U271="","",IF(INDEX('Per Invoice'!I$2:I$401,$U271)="","",INDEX('Per Invoice'!I$2:I$401,$U271)))</f>
        <v/>
      </c>
      <c r="J271">
        <f>IF($U271="","",IF(INDEX('Per Invoice'!J$2:J$401,$U271)="","",INDEX('Per Invoice'!J$2:J$401,$U271)))</f>
        <v/>
      </c>
      <c r="K271">
        <f>IF($U271="","",IF(INDEX('Per Invoice'!K$2:K$401,$U271)="","",INDEX('Per Invoice'!K$2:K$401,$U271)))</f>
        <v/>
      </c>
      <c r="L271" s="7">
        <f>IF($U271="","",IF(INDEX('Per Invoice'!L$2:L$401,$U271)="","",INDEX('Per Invoice'!L$2:L$401,$U271)))</f>
        <v/>
      </c>
      <c r="M271" s="7">
        <f>IF($U271="","",IF(INDEX('Per Invoice'!M$2:M$401,$U271)="","",INDEX('Per Invoice'!M$2:M$401,$U271)))</f>
        <v/>
      </c>
      <c r="N271">
        <f>IF($U271="","",IF(INDEX('Per Invoice'!N$2:N$401,$U271)="","",INDEX('Per Invoice'!N$2:N$401,$U271)))</f>
        <v/>
      </c>
      <c r="O271" s="7">
        <f>IF($U271="","",IF(INDEX('Per Invoice'!O$2:O$401,$U271)="","",INDEX('Per Invoice'!O$2:O$401,$U271)))</f>
        <v/>
      </c>
      <c r="P271" s="7">
        <f>IF($U271="","",IF(INDEX('Per Invoice'!P$2:P$401,$U271)="","",INDEX('Per Invoice'!P$2:P$401,$U271)))</f>
        <v/>
      </c>
      <c r="Q271" s="7">
        <f>IF($U271="","",IF(INDEX('Per Invoice'!Q$2:Q$401,$U271)="","",INDEX('Per Invoice'!Q$2:Q$401,$U271)))</f>
        <v/>
      </c>
      <c r="R271" s="7">
        <f>IF($U271="","",IF(INDEX('Per Invoice'!R$2:R$401,$U271)="","",INDEX('Per Invoice'!R$2:R$401,$U271)))</f>
        <v/>
      </c>
      <c r="S271" s="7">
        <f>IF($U271="","",IF(INDEX('Per Invoice'!S$2:S$401,$U271)="","",INDEX('Per Invoice'!S$2:S$401,$U271)))</f>
        <v/>
      </c>
      <c r="T271" s="7">
        <f>IF($U271="","",IF(INDEX('Per Invoice'!T$2:T$401,$U271)="","",INDEX('Per Invoice'!T$2:T$401,$U271)))</f>
        <v/>
      </c>
      <c r="U271" s="16">
        <f>IFERROR(MATCH(Settings!$C$26&amp;"|"&amp;ROWS($U$2:$U271),'Per Invoice'!$V$2:$V$401,0),"")</f>
        <v/>
      </c>
    </row>
    <row r="272">
      <c r="A272">
        <f>IF($U272="","",IF(INDEX('Per Invoice'!A$2:A$401,$U272)="","",INDEX('Per Invoice'!A$2:A$401,$U272)))</f>
        <v/>
      </c>
      <c r="B272">
        <f>IF($U272="","",IF(INDEX('Per Invoice'!B$2:B$401,$U272)="","",INDEX('Per Invoice'!B$2:B$401,$U272)))</f>
        <v/>
      </c>
      <c r="C272">
        <f>IF($U272="","",IF(INDEX('Per Invoice'!C$2:C$401,$U272)="","",INDEX('Per Invoice'!C$2:C$401,$U272)))</f>
        <v/>
      </c>
      <c r="D272">
        <f>IF($U272="","",IF(INDEX('Per Invoice'!D$2:D$401,$U272)="","",INDEX('Per Invoice'!D$2:D$401,$U272)))</f>
        <v/>
      </c>
      <c r="E272">
        <f>IF($U272="","",IF(INDEX('Per Invoice'!E$2:E$401,$U272)="","",INDEX('Per Invoice'!E$2:E$401,$U272)))</f>
        <v/>
      </c>
      <c r="F272">
        <f>IF($U272="","",IF(INDEX('Per Invoice'!F$2:F$401,$U272)="","",INDEX('Per Invoice'!F$2:F$401,$U272)))</f>
        <v/>
      </c>
      <c r="G272">
        <f>IF($U272="","",IF(INDEX('Per Invoice'!G$2:G$401,$U272)="","",INDEX('Per Invoice'!G$2:G$401,$U272)))</f>
        <v/>
      </c>
      <c r="H272" s="7">
        <f>IF($U272="","",IF(INDEX('Per Invoice'!H$2:H$401,$U272)="","",INDEX('Per Invoice'!H$2:H$401,$U272)))</f>
        <v/>
      </c>
      <c r="I272" s="14">
        <f>IF($U272="","",IF(INDEX('Per Invoice'!I$2:I$401,$U272)="","",INDEX('Per Invoice'!I$2:I$401,$U272)))</f>
        <v/>
      </c>
      <c r="J272">
        <f>IF($U272="","",IF(INDEX('Per Invoice'!J$2:J$401,$U272)="","",INDEX('Per Invoice'!J$2:J$401,$U272)))</f>
        <v/>
      </c>
      <c r="K272">
        <f>IF($U272="","",IF(INDEX('Per Invoice'!K$2:K$401,$U272)="","",INDEX('Per Invoice'!K$2:K$401,$U272)))</f>
        <v/>
      </c>
      <c r="L272" s="7">
        <f>IF($U272="","",IF(INDEX('Per Invoice'!L$2:L$401,$U272)="","",INDEX('Per Invoice'!L$2:L$401,$U272)))</f>
        <v/>
      </c>
      <c r="M272" s="7">
        <f>IF($U272="","",IF(INDEX('Per Invoice'!M$2:M$401,$U272)="","",INDEX('Per Invoice'!M$2:M$401,$U272)))</f>
        <v/>
      </c>
      <c r="N272">
        <f>IF($U272="","",IF(INDEX('Per Invoice'!N$2:N$401,$U272)="","",INDEX('Per Invoice'!N$2:N$401,$U272)))</f>
        <v/>
      </c>
      <c r="O272" s="7">
        <f>IF($U272="","",IF(INDEX('Per Invoice'!O$2:O$401,$U272)="","",INDEX('Per Invoice'!O$2:O$401,$U272)))</f>
        <v/>
      </c>
      <c r="P272" s="7">
        <f>IF($U272="","",IF(INDEX('Per Invoice'!P$2:P$401,$U272)="","",INDEX('Per Invoice'!P$2:P$401,$U272)))</f>
        <v/>
      </c>
      <c r="Q272" s="7">
        <f>IF($U272="","",IF(INDEX('Per Invoice'!Q$2:Q$401,$U272)="","",INDEX('Per Invoice'!Q$2:Q$401,$U272)))</f>
        <v/>
      </c>
      <c r="R272" s="7">
        <f>IF($U272="","",IF(INDEX('Per Invoice'!R$2:R$401,$U272)="","",INDEX('Per Invoice'!R$2:R$401,$U272)))</f>
        <v/>
      </c>
      <c r="S272" s="7">
        <f>IF($U272="","",IF(INDEX('Per Invoice'!S$2:S$401,$U272)="","",INDEX('Per Invoice'!S$2:S$401,$U272)))</f>
        <v/>
      </c>
      <c r="T272" s="7">
        <f>IF($U272="","",IF(INDEX('Per Invoice'!T$2:T$401,$U272)="","",INDEX('Per Invoice'!T$2:T$401,$U272)))</f>
        <v/>
      </c>
      <c r="U272" s="16">
        <f>IFERROR(MATCH(Settings!$C$26&amp;"|"&amp;ROWS($U$2:$U272),'Per Invoice'!$V$2:$V$401,0),"")</f>
        <v/>
      </c>
    </row>
    <row r="273">
      <c r="A273">
        <f>IF($U273="","",IF(INDEX('Per Invoice'!A$2:A$401,$U273)="","",INDEX('Per Invoice'!A$2:A$401,$U273)))</f>
        <v/>
      </c>
      <c r="B273">
        <f>IF($U273="","",IF(INDEX('Per Invoice'!B$2:B$401,$U273)="","",INDEX('Per Invoice'!B$2:B$401,$U273)))</f>
        <v/>
      </c>
      <c r="C273">
        <f>IF($U273="","",IF(INDEX('Per Invoice'!C$2:C$401,$U273)="","",INDEX('Per Invoice'!C$2:C$401,$U273)))</f>
        <v/>
      </c>
      <c r="D273">
        <f>IF($U273="","",IF(INDEX('Per Invoice'!D$2:D$401,$U273)="","",INDEX('Per Invoice'!D$2:D$401,$U273)))</f>
        <v/>
      </c>
      <c r="E273">
        <f>IF($U273="","",IF(INDEX('Per Invoice'!E$2:E$401,$U273)="","",INDEX('Per Invoice'!E$2:E$401,$U273)))</f>
        <v/>
      </c>
      <c r="F273">
        <f>IF($U273="","",IF(INDEX('Per Invoice'!F$2:F$401,$U273)="","",INDEX('Per Invoice'!F$2:F$401,$U273)))</f>
        <v/>
      </c>
      <c r="G273">
        <f>IF($U273="","",IF(INDEX('Per Invoice'!G$2:G$401,$U273)="","",INDEX('Per Invoice'!G$2:G$401,$U273)))</f>
        <v/>
      </c>
      <c r="H273" s="7">
        <f>IF($U273="","",IF(INDEX('Per Invoice'!H$2:H$401,$U273)="","",INDEX('Per Invoice'!H$2:H$401,$U273)))</f>
        <v/>
      </c>
      <c r="I273" s="14">
        <f>IF($U273="","",IF(INDEX('Per Invoice'!I$2:I$401,$U273)="","",INDEX('Per Invoice'!I$2:I$401,$U273)))</f>
        <v/>
      </c>
      <c r="J273">
        <f>IF($U273="","",IF(INDEX('Per Invoice'!J$2:J$401,$U273)="","",INDEX('Per Invoice'!J$2:J$401,$U273)))</f>
        <v/>
      </c>
      <c r="K273">
        <f>IF($U273="","",IF(INDEX('Per Invoice'!K$2:K$401,$U273)="","",INDEX('Per Invoice'!K$2:K$401,$U273)))</f>
        <v/>
      </c>
      <c r="L273" s="7">
        <f>IF($U273="","",IF(INDEX('Per Invoice'!L$2:L$401,$U273)="","",INDEX('Per Invoice'!L$2:L$401,$U273)))</f>
        <v/>
      </c>
      <c r="M273" s="7">
        <f>IF($U273="","",IF(INDEX('Per Invoice'!M$2:M$401,$U273)="","",INDEX('Per Invoice'!M$2:M$401,$U273)))</f>
        <v/>
      </c>
      <c r="N273">
        <f>IF($U273="","",IF(INDEX('Per Invoice'!N$2:N$401,$U273)="","",INDEX('Per Invoice'!N$2:N$401,$U273)))</f>
        <v/>
      </c>
      <c r="O273" s="7">
        <f>IF($U273="","",IF(INDEX('Per Invoice'!O$2:O$401,$U273)="","",INDEX('Per Invoice'!O$2:O$401,$U273)))</f>
        <v/>
      </c>
      <c r="P273" s="7">
        <f>IF($U273="","",IF(INDEX('Per Invoice'!P$2:P$401,$U273)="","",INDEX('Per Invoice'!P$2:P$401,$U273)))</f>
        <v/>
      </c>
      <c r="Q273" s="7">
        <f>IF($U273="","",IF(INDEX('Per Invoice'!Q$2:Q$401,$U273)="","",INDEX('Per Invoice'!Q$2:Q$401,$U273)))</f>
        <v/>
      </c>
      <c r="R273" s="7">
        <f>IF($U273="","",IF(INDEX('Per Invoice'!R$2:R$401,$U273)="","",INDEX('Per Invoice'!R$2:R$401,$U273)))</f>
        <v/>
      </c>
      <c r="S273" s="7">
        <f>IF($U273="","",IF(INDEX('Per Invoice'!S$2:S$401,$U273)="","",INDEX('Per Invoice'!S$2:S$401,$U273)))</f>
        <v/>
      </c>
      <c r="T273" s="7">
        <f>IF($U273="","",IF(INDEX('Per Invoice'!T$2:T$401,$U273)="","",INDEX('Per Invoice'!T$2:T$401,$U273)))</f>
        <v/>
      </c>
      <c r="U273" s="16">
        <f>IFERROR(MATCH(Settings!$C$26&amp;"|"&amp;ROWS($U$2:$U273),'Per Invoice'!$V$2:$V$401,0),"")</f>
        <v/>
      </c>
    </row>
    <row r="274">
      <c r="A274">
        <f>IF($U274="","",IF(INDEX('Per Invoice'!A$2:A$401,$U274)="","",INDEX('Per Invoice'!A$2:A$401,$U274)))</f>
        <v/>
      </c>
      <c r="B274">
        <f>IF($U274="","",IF(INDEX('Per Invoice'!B$2:B$401,$U274)="","",INDEX('Per Invoice'!B$2:B$401,$U274)))</f>
        <v/>
      </c>
      <c r="C274">
        <f>IF($U274="","",IF(INDEX('Per Invoice'!C$2:C$401,$U274)="","",INDEX('Per Invoice'!C$2:C$401,$U274)))</f>
        <v/>
      </c>
      <c r="D274">
        <f>IF($U274="","",IF(INDEX('Per Invoice'!D$2:D$401,$U274)="","",INDEX('Per Invoice'!D$2:D$401,$U274)))</f>
        <v/>
      </c>
      <c r="E274">
        <f>IF($U274="","",IF(INDEX('Per Invoice'!E$2:E$401,$U274)="","",INDEX('Per Invoice'!E$2:E$401,$U274)))</f>
        <v/>
      </c>
      <c r="F274">
        <f>IF($U274="","",IF(INDEX('Per Invoice'!F$2:F$401,$U274)="","",INDEX('Per Invoice'!F$2:F$401,$U274)))</f>
        <v/>
      </c>
      <c r="G274">
        <f>IF($U274="","",IF(INDEX('Per Invoice'!G$2:G$401,$U274)="","",INDEX('Per Invoice'!G$2:G$401,$U274)))</f>
        <v/>
      </c>
      <c r="H274" s="7">
        <f>IF($U274="","",IF(INDEX('Per Invoice'!H$2:H$401,$U274)="","",INDEX('Per Invoice'!H$2:H$401,$U274)))</f>
        <v/>
      </c>
      <c r="I274" s="14">
        <f>IF($U274="","",IF(INDEX('Per Invoice'!I$2:I$401,$U274)="","",INDEX('Per Invoice'!I$2:I$401,$U274)))</f>
        <v/>
      </c>
      <c r="J274">
        <f>IF($U274="","",IF(INDEX('Per Invoice'!J$2:J$401,$U274)="","",INDEX('Per Invoice'!J$2:J$401,$U274)))</f>
        <v/>
      </c>
      <c r="K274">
        <f>IF($U274="","",IF(INDEX('Per Invoice'!K$2:K$401,$U274)="","",INDEX('Per Invoice'!K$2:K$401,$U274)))</f>
        <v/>
      </c>
      <c r="L274" s="7">
        <f>IF($U274="","",IF(INDEX('Per Invoice'!L$2:L$401,$U274)="","",INDEX('Per Invoice'!L$2:L$401,$U274)))</f>
        <v/>
      </c>
      <c r="M274" s="7">
        <f>IF($U274="","",IF(INDEX('Per Invoice'!M$2:M$401,$U274)="","",INDEX('Per Invoice'!M$2:M$401,$U274)))</f>
        <v/>
      </c>
      <c r="N274">
        <f>IF($U274="","",IF(INDEX('Per Invoice'!N$2:N$401,$U274)="","",INDEX('Per Invoice'!N$2:N$401,$U274)))</f>
        <v/>
      </c>
      <c r="O274" s="7">
        <f>IF($U274="","",IF(INDEX('Per Invoice'!O$2:O$401,$U274)="","",INDEX('Per Invoice'!O$2:O$401,$U274)))</f>
        <v/>
      </c>
      <c r="P274" s="7">
        <f>IF($U274="","",IF(INDEX('Per Invoice'!P$2:P$401,$U274)="","",INDEX('Per Invoice'!P$2:P$401,$U274)))</f>
        <v/>
      </c>
      <c r="Q274" s="7">
        <f>IF($U274="","",IF(INDEX('Per Invoice'!Q$2:Q$401,$U274)="","",INDEX('Per Invoice'!Q$2:Q$401,$U274)))</f>
        <v/>
      </c>
      <c r="R274" s="7">
        <f>IF($U274="","",IF(INDEX('Per Invoice'!R$2:R$401,$U274)="","",INDEX('Per Invoice'!R$2:R$401,$U274)))</f>
        <v/>
      </c>
      <c r="S274" s="7">
        <f>IF($U274="","",IF(INDEX('Per Invoice'!S$2:S$401,$U274)="","",INDEX('Per Invoice'!S$2:S$401,$U274)))</f>
        <v/>
      </c>
      <c r="T274" s="7">
        <f>IF($U274="","",IF(INDEX('Per Invoice'!T$2:T$401,$U274)="","",INDEX('Per Invoice'!T$2:T$401,$U274)))</f>
        <v/>
      </c>
      <c r="U274" s="16">
        <f>IFERROR(MATCH(Settings!$C$26&amp;"|"&amp;ROWS($U$2:$U274),'Per Invoice'!$V$2:$V$401,0),"")</f>
        <v/>
      </c>
    </row>
    <row r="275">
      <c r="A275">
        <f>IF($U275="","",IF(INDEX('Per Invoice'!A$2:A$401,$U275)="","",INDEX('Per Invoice'!A$2:A$401,$U275)))</f>
        <v/>
      </c>
      <c r="B275">
        <f>IF($U275="","",IF(INDEX('Per Invoice'!B$2:B$401,$U275)="","",INDEX('Per Invoice'!B$2:B$401,$U275)))</f>
        <v/>
      </c>
      <c r="C275">
        <f>IF($U275="","",IF(INDEX('Per Invoice'!C$2:C$401,$U275)="","",INDEX('Per Invoice'!C$2:C$401,$U275)))</f>
        <v/>
      </c>
      <c r="D275">
        <f>IF($U275="","",IF(INDEX('Per Invoice'!D$2:D$401,$U275)="","",INDEX('Per Invoice'!D$2:D$401,$U275)))</f>
        <v/>
      </c>
      <c r="E275">
        <f>IF($U275="","",IF(INDEX('Per Invoice'!E$2:E$401,$U275)="","",INDEX('Per Invoice'!E$2:E$401,$U275)))</f>
        <v/>
      </c>
      <c r="F275">
        <f>IF($U275="","",IF(INDEX('Per Invoice'!F$2:F$401,$U275)="","",INDEX('Per Invoice'!F$2:F$401,$U275)))</f>
        <v/>
      </c>
      <c r="G275">
        <f>IF($U275="","",IF(INDEX('Per Invoice'!G$2:G$401,$U275)="","",INDEX('Per Invoice'!G$2:G$401,$U275)))</f>
        <v/>
      </c>
      <c r="H275" s="7">
        <f>IF($U275="","",IF(INDEX('Per Invoice'!H$2:H$401,$U275)="","",INDEX('Per Invoice'!H$2:H$401,$U275)))</f>
        <v/>
      </c>
      <c r="I275" s="14">
        <f>IF($U275="","",IF(INDEX('Per Invoice'!I$2:I$401,$U275)="","",INDEX('Per Invoice'!I$2:I$401,$U275)))</f>
        <v/>
      </c>
      <c r="J275">
        <f>IF($U275="","",IF(INDEX('Per Invoice'!J$2:J$401,$U275)="","",INDEX('Per Invoice'!J$2:J$401,$U275)))</f>
        <v/>
      </c>
      <c r="K275">
        <f>IF($U275="","",IF(INDEX('Per Invoice'!K$2:K$401,$U275)="","",INDEX('Per Invoice'!K$2:K$401,$U275)))</f>
        <v/>
      </c>
      <c r="L275" s="7">
        <f>IF($U275="","",IF(INDEX('Per Invoice'!L$2:L$401,$U275)="","",INDEX('Per Invoice'!L$2:L$401,$U275)))</f>
        <v/>
      </c>
      <c r="M275" s="7">
        <f>IF($U275="","",IF(INDEX('Per Invoice'!M$2:M$401,$U275)="","",INDEX('Per Invoice'!M$2:M$401,$U275)))</f>
        <v/>
      </c>
      <c r="N275">
        <f>IF($U275="","",IF(INDEX('Per Invoice'!N$2:N$401,$U275)="","",INDEX('Per Invoice'!N$2:N$401,$U275)))</f>
        <v/>
      </c>
      <c r="O275" s="7">
        <f>IF($U275="","",IF(INDEX('Per Invoice'!O$2:O$401,$U275)="","",INDEX('Per Invoice'!O$2:O$401,$U275)))</f>
        <v/>
      </c>
      <c r="P275" s="7">
        <f>IF($U275="","",IF(INDEX('Per Invoice'!P$2:P$401,$U275)="","",INDEX('Per Invoice'!P$2:P$401,$U275)))</f>
        <v/>
      </c>
      <c r="Q275" s="7">
        <f>IF($U275="","",IF(INDEX('Per Invoice'!Q$2:Q$401,$U275)="","",INDEX('Per Invoice'!Q$2:Q$401,$U275)))</f>
        <v/>
      </c>
      <c r="R275" s="7">
        <f>IF($U275="","",IF(INDEX('Per Invoice'!R$2:R$401,$U275)="","",INDEX('Per Invoice'!R$2:R$401,$U275)))</f>
        <v/>
      </c>
      <c r="S275" s="7">
        <f>IF($U275="","",IF(INDEX('Per Invoice'!S$2:S$401,$U275)="","",INDEX('Per Invoice'!S$2:S$401,$U275)))</f>
        <v/>
      </c>
      <c r="T275" s="7">
        <f>IF($U275="","",IF(INDEX('Per Invoice'!T$2:T$401,$U275)="","",INDEX('Per Invoice'!T$2:T$401,$U275)))</f>
        <v/>
      </c>
      <c r="U275" s="16">
        <f>IFERROR(MATCH(Settings!$C$26&amp;"|"&amp;ROWS($U$2:$U275),'Per Invoice'!$V$2:$V$401,0),"")</f>
        <v/>
      </c>
    </row>
    <row r="276">
      <c r="A276">
        <f>IF($U276="","",IF(INDEX('Per Invoice'!A$2:A$401,$U276)="","",INDEX('Per Invoice'!A$2:A$401,$U276)))</f>
        <v/>
      </c>
      <c r="B276">
        <f>IF($U276="","",IF(INDEX('Per Invoice'!B$2:B$401,$U276)="","",INDEX('Per Invoice'!B$2:B$401,$U276)))</f>
        <v/>
      </c>
      <c r="C276">
        <f>IF($U276="","",IF(INDEX('Per Invoice'!C$2:C$401,$U276)="","",INDEX('Per Invoice'!C$2:C$401,$U276)))</f>
        <v/>
      </c>
      <c r="D276">
        <f>IF($U276="","",IF(INDEX('Per Invoice'!D$2:D$401,$U276)="","",INDEX('Per Invoice'!D$2:D$401,$U276)))</f>
        <v/>
      </c>
      <c r="E276">
        <f>IF($U276="","",IF(INDEX('Per Invoice'!E$2:E$401,$U276)="","",INDEX('Per Invoice'!E$2:E$401,$U276)))</f>
        <v/>
      </c>
      <c r="F276">
        <f>IF($U276="","",IF(INDEX('Per Invoice'!F$2:F$401,$U276)="","",INDEX('Per Invoice'!F$2:F$401,$U276)))</f>
        <v/>
      </c>
      <c r="G276">
        <f>IF($U276="","",IF(INDEX('Per Invoice'!G$2:G$401,$U276)="","",INDEX('Per Invoice'!G$2:G$401,$U276)))</f>
        <v/>
      </c>
      <c r="H276" s="7">
        <f>IF($U276="","",IF(INDEX('Per Invoice'!H$2:H$401,$U276)="","",INDEX('Per Invoice'!H$2:H$401,$U276)))</f>
        <v/>
      </c>
      <c r="I276" s="14">
        <f>IF($U276="","",IF(INDEX('Per Invoice'!I$2:I$401,$U276)="","",INDEX('Per Invoice'!I$2:I$401,$U276)))</f>
        <v/>
      </c>
      <c r="J276">
        <f>IF($U276="","",IF(INDEX('Per Invoice'!J$2:J$401,$U276)="","",INDEX('Per Invoice'!J$2:J$401,$U276)))</f>
        <v/>
      </c>
      <c r="K276">
        <f>IF($U276="","",IF(INDEX('Per Invoice'!K$2:K$401,$U276)="","",INDEX('Per Invoice'!K$2:K$401,$U276)))</f>
        <v/>
      </c>
      <c r="L276" s="7">
        <f>IF($U276="","",IF(INDEX('Per Invoice'!L$2:L$401,$U276)="","",INDEX('Per Invoice'!L$2:L$401,$U276)))</f>
        <v/>
      </c>
      <c r="M276" s="7">
        <f>IF($U276="","",IF(INDEX('Per Invoice'!M$2:M$401,$U276)="","",INDEX('Per Invoice'!M$2:M$401,$U276)))</f>
        <v/>
      </c>
      <c r="N276">
        <f>IF($U276="","",IF(INDEX('Per Invoice'!N$2:N$401,$U276)="","",INDEX('Per Invoice'!N$2:N$401,$U276)))</f>
        <v/>
      </c>
      <c r="O276" s="7">
        <f>IF($U276="","",IF(INDEX('Per Invoice'!O$2:O$401,$U276)="","",INDEX('Per Invoice'!O$2:O$401,$U276)))</f>
        <v/>
      </c>
      <c r="P276" s="7">
        <f>IF($U276="","",IF(INDEX('Per Invoice'!P$2:P$401,$U276)="","",INDEX('Per Invoice'!P$2:P$401,$U276)))</f>
        <v/>
      </c>
      <c r="Q276" s="7">
        <f>IF($U276="","",IF(INDEX('Per Invoice'!Q$2:Q$401,$U276)="","",INDEX('Per Invoice'!Q$2:Q$401,$U276)))</f>
        <v/>
      </c>
      <c r="R276" s="7">
        <f>IF($U276="","",IF(INDEX('Per Invoice'!R$2:R$401,$U276)="","",INDEX('Per Invoice'!R$2:R$401,$U276)))</f>
        <v/>
      </c>
      <c r="S276" s="7">
        <f>IF($U276="","",IF(INDEX('Per Invoice'!S$2:S$401,$U276)="","",INDEX('Per Invoice'!S$2:S$401,$U276)))</f>
        <v/>
      </c>
      <c r="T276" s="7">
        <f>IF($U276="","",IF(INDEX('Per Invoice'!T$2:T$401,$U276)="","",INDEX('Per Invoice'!T$2:T$401,$U276)))</f>
        <v/>
      </c>
      <c r="U276" s="16">
        <f>IFERROR(MATCH(Settings!$C$26&amp;"|"&amp;ROWS($U$2:$U276),'Per Invoice'!$V$2:$V$401,0),"")</f>
        <v/>
      </c>
    </row>
    <row r="277">
      <c r="A277">
        <f>IF($U277="","",IF(INDEX('Per Invoice'!A$2:A$401,$U277)="","",INDEX('Per Invoice'!A$2:A$401,$U277)))</f>
        <v/>
      </c>
      <c r="B277">
        <f>IF($U277="","",IF(INDEX('Per Invoice'!B$2:B$401,$U277)="","",INDEX('Per Invoice'!B$2:B$401,$U277)))</f>
        <v/>
      </c>
      <c r="C277">
        <f>IF($U277="","",IF(INDEX('Per Invoice'!C$2:C$401,$U277)="","",INDEX('Per Invoice'!C$2:C$401,$U277)))</f>
        <v/>
      </c>
      <c r="D277">
        <f>IF($U277="","",IF(INDEX('Per Invoice'!D$2:D$401,$U277)="","",INDEX('Per Invoice'!D$2:D$401,$U277)))</f>
        <v/>
      </c>
      <c r="E277">
        <f>IF($U277="","",IF(INDEX('Per Invoice'!E$2:E$401,$U277)="","",INDEX('Per Invoice'!E$2:E$401,$U277)))</f>
        <v/>
      </c>
      <c r="F277">
        <f>IF($U277="","",IF(INDEX('Per Invoice'!F$2:F$401,$U277)="","",INDEX('Per Invoice'!F$2:F$401,$U277)))</f>
        <v/>
      </c>
      <c r="G277">
        <f>IF($U277="","",IF(INDEX('Per Invoice'!G$2:G$401,$U277)="","",INDEX('Per Invoice'!G$2:G$401,$U277)))</f>
        <v/>
      </c>
      <c r="H277" s="7">
        <f>IF($U277="","",IF(INDEX('Per Invoice'!H$2:H$401,$U277)="","",INDEX('Per Invoice'!H$2:H$401,$U277)))</f>
        <v/>
      </c>
      <c r="I277" s="14">
        <f>IF($U277="","",IF(INDEX('Per Invoice'!I$2:I$401,$U277)="","",INDEX('Per Invoice'!I$2:I$401,$U277)))</f>
        <v/>
      </c>
      <c r="J277">
        <f>IF($U277="","",IF(INDEX('Per Invoice'!J$2:J$401,$U277)="","",INDEX('Per Invoice'!J$2:J$401,$U277)))</f>
        <v/>
      </c>
      <c r="K277">
        <f>IF($U277="","",IF(INDEX('Per Invoice'!K$2:K$401,$U277)="","",INDEX('Per Invoice'!K$2:K$401,$U277)))</f>
        <v/>
      </c>
      <c r="L277" s="7">
        <f>IF($U277="","",IF(INDEX('Per Invoice'!L$2:L$401,$U277)="","",INDEX('Per Invoice'!L$2:L$401,$U277)))</f>
        <v/>
      </c>
      <c r="M277" s="7">
        <f>IF($U277="","",IF(INDEX('Per Invoice'!M$2:M$401,$U277)="","",INDEX('Per Invoice'!M$2:M$401,$U277)))</f>
        <v/>
      </c>
      <c r="N277">
        <f>IF($U277="","",IF(INDEX('Per Invoice'!N$2:N$401,$U277)="","",INDEX('Per Invoice'!N$2:N$401,$U277)))</f>
        <v/>
      </c>
      <c r="O277" s="7">
        <f>IF($U277="","",IF(INDEX('Per Invoice'!O$2:O$401,$U277)="","",INDEX('Per Invoice'!O$2:O$401,$U277)))</f>
        <v/>
      </c>
      <c r="P277" s="7">
        <f>IF($U277="","",IF(INDEX('Per Invoice'!P$2:P$401,$U277)="","",INDEX('Per Invoice'!P$2:P$401,$U277)))</f>
        <v/>
      </c>
      <c r="Q277" s="7">
        <f>IF($U277="","",IF(INDEX('Per Invoice'!Q$2:Q$401,$U277)="","",INDEX('Per Invoice'!Q$2:Q$401,$U277)))</f>
        <v/>
      </c>
      <c r="R277" s="7">
        <f>IF($U277="","",IF(INDEX('Per Invoice'!R$2:R$401,$U277)="","",INDEX('Per Invoice'!R$2:R$401,$U277)))</f>
        <v/>
      </c>
      <c r="S277" s="7">
        <f>IF($U277="","",IF(INDEX('Per Invoice'!S$2:S$401,$U277)="","",INDEX('Per Invoice'!S$2:S$401,$U277)))</f>
        <v/>
      </c>
      <c r="T277" s="7">
        <f>IF($U277="","",IF(INDEX('Per Invoice'!T$2:T$401,$U277)="","",INDEX('Per Invoice'!T$2:T$401,$U277)))</f>
        <v/>
      </c>
      <c r="U277" s="16">
        <f>IFERROR(MATCH(Settings!$C$26&amp;"|"&amp;ROWS($U$2:$U277),'Per Invoice'!$V$2:$V$401,0),"")</f>
        <v/>
      </c>
    </row>
    <row r="278">
      <c r="A278">
        <f>IF($U278="","",IF(INDEX('Per Invoice'!A$2:A$401,$U278)="","",INDEX('Per Invoice'!A$2:A$401,$U278)))</f>
        <v/>
      </c>
      <c r="B278">
        <f>IF($U278="","",IF(INDEX('Per Invoice'!B$2:B$401,$U278)="","",INDEX('Per Invoice'!B$2:B$401,$U278)))</f>
        <v/>
      </c>
      <c r="C278">
        <f>IF($U278="","",IF(INDEX('Per Invoice'!C$2:C$401,$U278)="","",INDEX('Per Invoice'!C$2:C$401,$U278)))</f>
        <v/>
      </c>
      <c r="D278">
        <f>IF($U278="","",IF(INDEX('Per Invoice'!D$2:D$401,$U278)="","",INDEX('Per Invoice'!D$2:D$401,$U278)))</f>
        <v/>
      </c>
      <c r="E278">
        <f>IF($U278="","",IF(INDEX('Per Invoice'!E$2:E$401,$U278)="","",INDEX('Per Invoice'!E$2:E$401,$U278)))</f>
        <v/>
      </c>
      <c r="F278">
        <f>IF($U278="","",IF(INDEX('Per Invoice'!F$2:F$401,$U278)="","",INDEX('Per Invoice'!F$2:F$401,$U278)))</f>
        <v/>
      </c>
      <c r="G278">
        <f>IF($U278="","",IF(INDEX('Per Invoice'!G$2:G$401,$U278)="","",INDEX('Per Invoice'!G$2:G$401,$U278)))</f>
        <v/>
      </c>
      <c r="H278" s="7">
        <f>IF($U278="","",IF(INDEX('Per Invoice'!H$2:H$401,$U278)="","",INDEX('Per Invoice'!H$2:H$401,$U278)))</f>
        <v/>
      </c>
      <c r="I278" s="14">
        <f>IF($U278="","",IF(INDEX('Per Invoice'!I$2:I$401,$U278)="","",INDEX('Per Invoice'!I$2:I$401,$U278)))</f>
        <v/>
      </c>
      <c r="J278">
        <f>IF($U278="","",IF(INDEX('Per Invoice'!J$2:J$401,$U278)="","",INDEX('Per Invoice'!J$2:J$401,$U278)))</f>
        <v/>
      </c>
      <c r="K278">
        <f>IF($U278="","",IF(INDEX('Per Invoice'!K$2:K$401,$U278)="","",INDEX('Per Invoice'!K$2:K$401,$U278)))</f>
        <v/>
      </c>
      <c r="L278" s="7">
        <f>IF($U278="","",IF(INDEX('Per Invoice'!L$2:L$401,$U278)="","",INDEX('Per Invoice'!L$2:L$401,$U278)))</f>
        <v/>
      </c>
      <c r="M278" s="7">
        <f>IF($U278="","",IF(INDEX('Per Invoice'!M$2:M$401,$U278)="","",INDEX('Per Invoice'!M$2:M$401,$U278)))</f>
        <v/>
      </c>
      <c r="N278">
        <f>IF($U278="","",IF(INDEX('Per Invoice'!N$2:N$401,$U278)="","",INDEX('Per Invoice'!N$2:N$401,$U278)))</f>
        <v/>
      </c>
      <c r="O278" s="7">
        <f>IF($U278="","",IF(INDEX('Per Invoice'!O$2:O$401,$U278)="","",INDEX('Per Invoice'!O$2:O$401,$U278)))</f>
        <v/>
      </c>
      <c r="P278" s="7">
        <f>IF($U278="","",IF(INDEX('Per Invoice'!P$2:P$401,$U278)="","",INDEX('Per Invoice'!P$2:P$401,$U278)))</f>
        <v/>
      </c>
      <c r="Q278" s="7">
        <f>IF($U278="","",IF(INDEX('Per Invoice'!Q$2:Q$401,$U278)="","",INDEX('Per Invoice'!Q$2:Q$401,$U278)))</f>
        <v/>
      </c>
      <c r="R278" s="7">
        <f>IF($U278="","",IF(INDEX('Per Invoice'!R$2:R$401,$U278)="","",INDEX('Per Invoice'!R$2:R$401,$U278)))</f>
        <v/>
      </c>
      <c r="S278" s="7">
        <f>IF($U278="","",IF(INDEX('Per Invoice'!S$2:S$401,$U278)="","",INDEX('Per Invoice'!S$2:S$401,$U278)))</f>
        <v/>
      </c>
      <c r="T278" s="7">
        <f>IF($U278="","",IF(INDEX('Per Invoice'!T$2:T$401,$U278)="","",INDEX('Per Invoice'!T$2:T$401,$U278)))</f>
        <v/>
      </c>
      <c r="U278" s="16">
        <f>IFERROR(MATCH(Settings!$C$26&amp;"|"&amp;ROWS($U$2:$U278),'Per Invoice'!$V$2:$V$401,0),"")</f>
        <v/>
      </c>
    </row>
    <row r="279">
      <c r="A279">
        <f>IF($U279="","",IF(INDEX('Per Invoice'!A$2:A$401,$U279)="","",INDEX('Per Invoice'!A$2:A$401,$U279)))</f>
        <v/>
      </c>
      <c r="B279">
        <f>IF($U279="","",IF(INDEX('Per Invoice'!B$2:B$401,$U279)="","",INDEX('Per Invoice'!B$2:B$401,$U279)))</f>
        <v/>
      </c>
      <c r="C279">
        <f>IF($U279="","",IF(INDEX('Per Invoice'!C$2:C$401,$U279)="","",INDEX('Per Invoice'!C$2:C$401,$U279)))</f>
        <v/>
      </c>
      <c r="D279">
        <f>IF($U279="","",IF(INDEX('Per Invoice'!D$2:D$401,$U279)="","",INDEX('Per Invoice'!D$2:D$401,$U279)))</f>
        <v/>
      </c>
      <c r="E279">
        <f>IF($U279="","",IF(INDEX('Per Invoice'!E$2:E$401,$U279)="","",INDEX('Per Invoice'!E$2:E$401,$U279)))</f>
        <v/>
      </c>
      <c r="F279">
        <f>IF($U279="","",IF(INDEX('Per Invoice'!F$2:F$401,$U279)="","",INDEX('Per Invoice'!F$2:F$401,$U279)))</f>
        <v/>
      </c>
      <c r="G279">
        <f>IF($U279="","",IF(INDEX('Per Invoice'!G$2:G$401,$U279)="","",INDEX('Per Invoice'!G$2:G$401,$U279)))</f>
        <v/>
      </c>
      <c r="H279" s="7">
        <f>IF($U279="","",IF(INDEX('Per Invoice'!H$2:H$401,$U279)="","",INDEX('Per Invoice'!H$2:H$401,$U279)))</f>
        <v/>
      </c>
      <c r="I279" s="14">
        <f>IF($U279="","",IF(INDEX('Per Invoice'!I$2:I$401,$U279)="","",INDEX('Per Invoice'!I$2:I$401,$U279)))</f>
        <v/>
      </c>
      <c r="J279">
        <f>IF($U279="","",IF(INDEX('Per Invoice'!J$2:J$401,$U279)="","",INDEX('Per Invoice'!J$2:J$401,$U279)))</f>
        <v/>
      </c>
      <c r="K279">
        <f>IF($U279="","",IF(INDEX('Per Invoice'!K$2:K$401,$U279)="","",INDEX('Per Invoice'!K$2:K$401,$U279)))</f>
        <v/>
      </c>
      <c r="L279" s="7">
        <f>IF($U279="","",IF(INDEX('Per Invoice'!L$2:L$401,$U279)="","",INDEX('Per Invoice'!L$2:L$401,$U279)))</f>
        <v/>
      </c>
      <c r="M279" s="7">
        <f>IF($U279="","",IF(INDEX('Per Invoice'!M$2:M$401,$U279)="","",INDEX('Per Invoice'!M$2:M$401,$U279)))</f>
        <v/>
      </c>
      <c r="N279">
        <f>IF($U279="","",IF(INDEX('Per Invoice'!N$2:N$401,$U279)="","",INDEX('Per Invoice'!N$2:N$401,$U279)))</f>
        <v/>
      </c>
      <c r="O279" s="7">
        <f>IF($U279="","",IF(INDEX('Per Invoice'!O$2:O$401,$U279)="","",INDEX('Per Invoice'!O$2:O$401,$U279)))</f>
        <v/>
      </c>
      <c r="P279" s="7">
        <f>IF($U279="","",IF(INDEX('Per Invoice'!P$2:P$401,$U279)="","",INDEX('Per Invoice'!P$2:P$401,$U279)))</f>
        <v/>
      </c>
      <c r="Q279" s="7">
        <f>IF($U279="","",IF(INDEX('Per Invoice'!Q$2:Q$401,$U279)="","",INDEX('Per Invoice'!Q$2:Q$401,$U279)))</f>
        <v/>
      </c>
      <c r="R279" s="7">
        <f>IF($U279="","",IF(INDEX('Per Invoice'!R$2:R$401,$U279)="","",INDEX('Per Invoice'!R$2:R$401,$U279)))</f>
        <v/>
      </c>
      <c r="S279" s="7">
        <f>IF($U279="","",IF(INDEX('Per Invoice'!S$2:S$401,$U279)="","",INDEX('Per Invoice'!S$2:S$401,$U279)))</f>
        <v/>
      </c>
      <c r="T279" s="7">
        <f>IF($U279="","",IF(INDEX('Per Invoice'!T$2:T$401,$U279)="","",INDEX('Per Invoice'!T$2:T$401,$U279)))</f>
        <v/>
      </c>
      <c r="U279" s="16">
        <f>IFERROR(MATCH(Settings!$C$26&amp;"|"&amp;ROWS($U$2:$U279),'Per Invoice'!$V$2:$V$401,0),"")</f>
        <v/>
      </c>
    </row>
    <row r="280">
      <c r="A280">
        <f>IF($U280="","",IF(INDEX('Per Invoice'!A$2:A$401,$U280)="","",INDEX('Per Invoice'!A$2:A$401,$U280)))</f>
        <v/>
      </c>
      <c r="B280">
        <f>IF($U280="","",IF(INDEX('Per Invoice'!B$2:B$401,$U280)="","",INDEX('Per Invoice'!B$2:B$401,$U280)))</f>
        <v/>
      </c>
      <c r="C280">
        <f>IF($U280="","",IF(INDEX('Per Invoice'!C$2:C$401,$U280)="","",INDEX('Per Invoice'!C$2:C$401,$U280)))</f>
        <v/>
      </c>
      <c r="D280">
        <f>IF($U280="","",IF(INDEX('Per Invoice'!D$2:D$401,$U280)="","",INDEX('Per Invoice'!D$2:D$401,$U280)))</f>
        <v/>
      </c>
      <c r="E280">
        <f>IF($U280="","",IF(INDEX('Per Invoice'!E$2:E$401,$U280)="","",INDEX('Per Invoice'!E$2:E$401,$U280)))</f>
        <v/>
      </c>
      <c r="F280">
        <f>IF($U280="","",IF(INDEX('Per Invoice'!F$2:F$401,$U280)="","",INDEX('Per Invoice'!F$2:F$401,$U280)))</f>
        <v/>
      </c>
      <c r="G280">
        <f>IF($U280="","",IF(INDEX('Per Invoice'!G$2:G$401,$U280)="","",INDEX('Per Invoice'!G$2:G$401,$U280)))</f>
        <v/>
      </c>
      <c r="H280" s="7">
        <f>IF($U280="","",IF(INDEX('Per Invoice'!H$2:H$401,$U280)="","",INDEX('Per Invoice'!H$2:H$401,$U280)))</f>
        <v/>
      </c>
      <c r="I280" s="14">
        <f>IF($U280="","",IF(INDEX('Per Invoice'!I$2:I$401,$U280)="","",INDEX('Per Invoice'!I$2:I$401,$U280)))</f>
        <v/>
      </c>
      <c r="J280">
        <f>IF($U280="","",IF(INDEX('Per Invoice'!J$2:J$401,$U280)="","",INDEX('Per Invoice'!J$2:J$401,$U280)))</f>
        <v/>
      </c>
      <c r="K280">
        <f>IF($U280="","",IF(INDEX('Per Invoice'!K$2:K$401,$U280)="","",INDEX('Per Invoice'!K$2:K$401,$U280)))</f>
        <v/>
      </c>
      <c r="L280" s="7">
        <f>IF($U280="","",IF(INDEX('Per Invoice'!L$2:L$401,$U280)="","",INDEX('Per Invoice'!L$2:L$401,$U280)))</f>
        <v/>
      </c>
      <c r="M280" s="7">
        <f>IF($U280="","",IF(INDEX('Per Invoice'!M$2:M$401,$U280)="","",INDEX('Per Invoice'!M$2:M$401,$U280)))</f>
        <v/>
      </c>
      <c r="N280">
        <f>IF($U280="","",IF(INDEX('Per Invoice'!N$2:N$401,$U280)="","",INDEX('Per Invoice'!N$2:N$401,$U280)))</f>
        <v/>
      </c>
      <c r="O280" s="7">
        <f>IF($U280="","",IF(INDEX('Per Invoice'!O$2:O$401,$U280)="","",INDEX('Per Invoice'!O$2:O$401,$U280)))</f>
        <v/>
      </c>
      <c r="P280" s="7">
        <f>IF($U280="","",IF(INDEX('Per Invoice'!P$2:P$401,$U280)="","",INDEX('Per Invoice'!P$2:P$401,$U280)))</f>
        <v/>
      </c>
      <c r="Q280" s="7">
        <f>IF($U280="","",IF(INDEX('Per Invoice'!Q$2:Q$401,$U280)="","",INDEX('Per Invoice'!Q$2:Q$401,$U280)))</f>
        <v/>
      </c>
      <c r="R280" s="7">
        <f>IF($U280="","",IF(INDEX('Per Invoice'!R$2:R$401,$U280)="","",INDEX('Per Invoice'!R$2:R$401,$U280)))</f>
        <v/>
      </c>
      <c r="S280" s="7">
        <f>IF($U280="","",IF(INDEX('Per Invoice'!S$2:S$401,$U280)="","",INDEX('Per Invoice'!S$2:S$401,$U280)))</f>
        <v/>
      </c>
      <c r="T280" s="7">
        <f>IF($U280="","",IF(INDEX('Per Invoice'!T$2:T$401,$U280)="","",INDEX('Per Invoice'!T$2:T$401,$U280)))</f>
        <v/>
      </c>
      <c r="U280" s="16">
        <f>IFERROR(MATCH(Settings!$C$26&amp;"|"&amp;ROWS($U$2:$U280),'Per Invoice'!$V$2:$V$401,0),"")</f>
        <v/>
      </c>
    </row>
    <row r="281">
      <c r="A281">
        <f>IF($U281="","",IF(INDEX('Per Invoice'!A$2:A$401,$U281)="","",INDEX('Per Invoice'!A$2:A$401,$U281)))</f>
        <v/>
      </c>
      <c r="B281">
        <f>IF($U281="","",IF(INDEX('Per Invoice'!B$2:B$401,$U281)="","",INDEX('Per Invoice'!B$2:B$401,$U281)))</f>
        <v/>
      </c>
      <c r="C281">
        <f>IF($U281="","",IF(INDEX('Per Invoice'!C$2:C$401,$U281)="","",INDEX('Per Invoice'!C$2:C$401,$U281)))</f>
        <v/>
      </c>
      <c r="D281">
        <f>IF($U281="","",IF(INDEX('Per Invoice'!D$2:D$401,$U281)="","",INDEX('Per Invoice'!D$2:D$401,$U281)))</f>
        <v/>
      </c>
      <c r="E281">
        <f>IF($U281="","",IF(INDEX('Per Invoice'!E$2:E$401,$U281)="","",INDEX('Per Invoice'!E$2:E$401,$U281)))</f>
        <v/>
      </c>
      <c r="F281">
        <f>IF($U281="","",IF(INDEX('Per Invoice'!F$2:F$401,$U281)="","",INDEX('Per Invoice'!F$2:F$401,$U281)))</f>
        <v/>
      </c>
      <c r="G281">
        <f>IF($U281="","",IF(INDEX('Per Invoice'!G$2:G$401,$U281)="","",INDEX('Per Invoice'!G$2:G$401,$U281)))</f>
        <v/>
      </c>
      <c r="H281" s="7">
        <f>IF($U281="","",IF(INDEX('Per Invoice'!H$2:H$401,$U281)="","",INDEX('Per Invoice'!H$2:H$401,$U281)))</f>
        <v/>
      </c>
      <c r="I281" s="14">
        <f>IF($U281="","",IF(INDEX('Per Invoice'!I$2:I$401,$U281)="","",INDEX('Per Invoice'!I$2:I$401,$U281)))</f>
        <v/>
      </c>
      <c r="J281">
        <f>IF($U281="","",IF(INDEX('Per Invoice'!J$2:J$401,$U281)="","",INDEX('Per Invoice'!J$2:J$401,$U281)))</f>
        <v/>
      </c>
      <c r="K281">
        <f>IF($U281="","",IF(INDEX('Per Invoice'!K$2:K$401,$U281)="","",INDEX('Per Invoice'!K$2:K$401,$U281)))</f>
        <v/>
      </c>
      <c r="L281" s="7">
        <f>IF($U281="","",IF(INDEX('Per Invoice'!L$2:L$401,$U281)="","",INDEX('Per Invoice'!L$2:L$401,$U281)))</f>
        <v/>
      </c>
      <c r="M281" s="7">
        <f>IF($U281="","",IF(INDEX('Per Invoice'!M$2:M$401,$U281)="","",INDEX('Per Invoice'!M$2:M$401,$U281)))</f>
        <v/>
      </c>
      <c r="N281">
        <f>IF($U281="","",IF(INDEX('Per Invoice'!N$2:N$401,$U281)="","",INDEX('Per Invoice'!N$2:N$401,$U281)))</f>
        <v/>
      </c>
      <c r="O281" s="7">
        <f>IF($U281="","",IF(INDEX('Per Invoice'!O$2:O$401,$U281)="","",INDEX('Per Invoice'!O$2:O$401,$U281)))</f>
        <v/>
      </c>
      <c r="P281" s="7">
        <f>IF($U281="","",IF(INDEX('Per Invoice'!P$2:P$401,$U281)="","",INDEX('Per Invoice'!P$2:P$401,$U281)))</f>
        <v/>
      </c>
      <c r="Q281" s="7">
        <f>IF($U281="","",IF(INDEX('Per Invoice'!Q$2:Q$401,$U281)="","",INDEX('Per Invoice'!Q$2:Q$401,$U281)))</f>
        <v/>
      </c>
      <c r="R281" s="7">
        <f>IF($U281="","",IF(INDEX('Per Invoice'!R$2:R$401,$U281)="","",INDEX('Per Invoice'!R$2:R$401,$U281)))</f>
        <v/>
      </c>
      <c r="S281" s="7">
        <f>IF($U281="","",IF(INDEX('Per Invoice'!S$2:S$401,$U281)="","",INDEX('Per Invoice'!S$2:S$401,$U281)))</f>
        <v/>
      </c>
      <c r="T281" s="7">
        <f>IF($U281="","",IF(INDEX('Per Invoice'!T$2:T$401,$U281)="","",INDEX('Per Invoice'!T$2:T$401,$U281)))</f>
        <v/>
      </c>
      <c r="U281" s="16">
        <f>IFERROR(MATCH(Settings!$C$26&amp;"|"&amp;ROWS($U$2:$U281),'Per Invoice'!$V$2:$V$401,0),"")</f>
        <v/>
      </c>
    </row>
    <row r="282">
      <c r="A282">
        <f>IF($U282="","",IF(INDEX('Per Invoice'!A$2:A$401,$U282)="","",INDEX('Per Invoice'!A$2:A$401,$U282)))</f>
        <v/>
      </c>
      <c r="B282">
        <f>IF($U282="","",IF(INDEX('Per Invoice'!B$2:B$401,$U282)="","",INDEX('Per Invoice'!B$2:B$401,$U282)))</f>
        <v/>
      </c>
      <c r="C282">
        <f>IF($U282="","",IF(INDEX('Per Invoice'!C$2:C$401,$U282)="","",INDEX('Per Invoice'!C$2:C$401,$U282)))</f>
        <v/>
      </c>
      <c r="D282">
        <f>IF($U282="","",IF(INDEX('Per Invoice'!D$2:D$401,$U282)="","",INDEX('Per Invoice'!D$2:D$401,$U282)))</f>
        <v/>
      </c>
      <c r="E282">
        <f>IF($U282="","",IF(INDEX('Per Invoice'!E$2:E$401,$U282)="","",INDEX('Per Invoice'!E$2:E$401,$U282)))</f>
        <v/>
      </c>
      <c r="F282">
        <f>IF($U282="","",IF(INDEX('Per Invoice'!F$2:F$401,$U282)="","",INDEX('Per Invoice'!F$2:F$401,$U282)))</f>
        <v/>
      </c>
      <c r="G282">
        <f>IF($U282="","",IF(INDEX('Per Invoice'!G$2:G$401,$U282)="","",INDEX('Per Invoice'!G$2:G$401,$U282)))</f>
        <v/>
      </c>
      <c r="H282" s="7">
        <f>IF($U282="","",IF(INDEX('Per Invoice'!H$2:H$401,$U282)="","",INDEX('Per Invoice'!H$2:H$401,$U282)))</f>
        <v/>
      </c>
      <c r="I282" s="14">
        <f>IF($U282="","",IF(INDEX('Per Invoice'!I$2:I$401,$U282)="","",INDEX('Per Invoice'!I$2:I$401,$U282)))</f>
        <v/>
      </c>
      <c r="J282">
        <f>IF($U282="","",IF(INDEX('Per Invoice'!J$2:J$401,$U282)="","",INDEX('Per Invoice'!J$2:J$401,$U282)))</f>
        <v/>
      </c>
      <c r="K282">
        <f>IF($U282="","",IF(INDEX('Per Invoice'!K$2:K$401,$U282)="","",INDEX('Per Invoice'!K$2:K$401,$U282)))</f>
        <v/>
      </c>
      <c r="L282" s="7">
        <f>IF($U282="","",IF(INDEX('Per Invoice'!L$2:L$401,$U282)="","",INDEX('Per Invoice'!L$2:L$401,$U282)))</f>
        <v/>
      </c>
      <c r="M282" s="7">
        <f>IF($U282="","",IF(INDEX('Per Invoice'!M$2:M$401,$U282)="","",INDEX('Per Invoice'!M$2:M$401,$U282)))</f>
        <v/>
      </c>
      <c r="N282">
        <f>IF($U282="","",IF(INDEX('Per Invoice'!N$2:N$401,$U282)="","",INDEX('Per Invoice'!N$2:N$401,$U282)))</f>
        <v/>
      </c>
      <c r="O282" s="7">
        <f>IF($U282="","",IF(INDEX('Per Invoice'!O$2:O$401,$U282)="","",INDEX('Per Invoice'!O$2:O$401,$U282)))</f>
        <v/>
      </c>
      <c r="P282" s="7">
        <f>IF($U282="","",IF(INDEX('Per Invoice'!P$2:P$401,$U282)="","",INDEX('Per Invoice'!P$2:P$401,$U282)))</f>
        <v/>
      </c>
      <c r="Q282" s="7">
        <f>IF($U282="","",IF(INDEX('Per Invoice'!Q$2:Q$401,$U282)="","",INDEX('Per Invoice'!Q$2:Q$401,$U282)))</f>
        <v/>
      </c>
      <c r="R282" s="7">
        <f>IF($U282="","",IF(INDEX('Per Invoice'!R$2:R$401,$U282)="","",INDEX('Per Invoice'!R$2:R$401,$U282)))</f>
        <v/>
      </c>
      <c r="S282" s="7">
        <f>IF($U282="","",IF(INDEX('Per Invoice'!S$2:S$401,$U282)="","",INDEX('Per Invoice'!S$2:S$401,$U282)))</f>
        <v/>
      </c>
      <c r="T282" s="7">
        <f>IF($U282="","",IF(INDEX('Per Invoice'!T$2:T$401,$U282)="","",INDEX('Per Invoice'!T$2:T$401,$U282)))</f>
        <v/>
      </c>
      <c r="U282" s="16">
        <f>IFERROR(MATCH(Settings!$C$26&amp;"|"&amp;ROWS($U$2:$U282),'Per Invoice'!$V$2:$V$401,0),"")</f>
        <v/>
      </c>
    </row>
    <row r="283">
      <c r="A283">
        <f>IF($U283="","",IF(INDEX('Per Invoice'!A$2:A$401,$U283)="","",INDEX('Per Invoice'!A$2:A$401,$U283)))</f>
        <v/>
      </c>
      <c r="B283">
        <f>IF($U283="","",IF(INDEX('Per Invoice'!B$2:B$401,$U283)="","",INDEX('Per Invoice'!B$2:B$401,$U283)))</f>
        <v/>
      </c>
      <c r="C283">
        <f>IF($U283="","",IF(INDEX('Per Invoice'!C$2:C$401,$U283)="","",INDEX('Per Invoice'!C$2:C$401,$U283)))</f>
        <v/>
      </c>
      <c r="D283">
        <f>IF($U283="","",IF(INDEX('Per Invoice'!D$2:D$401,$U283)="","",INDEX('Per Invoice'!D$2:D$401,$U283)))</f>
        <v/>
      </c>
      <c r="E283">
        <f>IF($U283="","",IF(INDEX('Per Invoice'!E$2:E$401,$U283)="","",INDEX('Per Invoice'!E$2:E$401,$U283)))</f>
        <v/>
      </c>
      <c r="F283">
        <f>IF($U283="","",IF(INDEX('Per Invoice'!F$2:F$401,$U283)="","",INDEX('Per Invoice'!F$2:F$401,$U283)))</f>
        <v/>
      </c>
      <c r="G283">
        <f>IF($U283="","",IF(INDEX('Per Invoice'!G$2:G$401,$U283)="","",INDEX('Per Invoice'!G$2:G$401,$U283)))</f>
        <v/>
      </c>
      <c r="H283" s="7">
        <f>IF($U283="","",IF(INDEX('Per Invoice'!H$2:H$401,$U283)="","",INDEX('Per Invoice'!H$2:H$401,$U283)))</f>
        <v/>
      </c>
      <c r="I283" s="14">
        <f>IF($U283="","",IF(INDEX('Per Invoice'!I$2:I$401,$U283)="","",INDEX('Per Invoice'!I$2:I$401,$U283)))</f>
        <v/>
      </c>
      <c r="J283">
        <f>IF($U283="","",IF(INDEX('Per Invoice'!J$2:J$401,$U283)="","",INDEX('Per Invoice'!J$2:J$401,$U283)))</f>
        <v/>
      </c>
      <c r="K283">
        <f>IF($U283="","",IF(INDEX('Per Invoice'!K$2:K$401,$U283)="","",INDEX('Per Invoice'!K$2:K$401,$U283)))</f>
        <v/>
      </c>
      <c r="L283" s="7">
        <f>IF($U283="","",IF(INDEX('Per Invoice'!L$2:L$401,$U283)="","",INDEX('Per Invoice'!L$2:L$401,$U283)))</f>
        <v/>
      </c>
      <c r="M283" s="7">
        <f>IF($U283="","",IF(INDEX('Per Invoice'!M$2:M$401,$U283)="","",INDEX('Per Invoice'!M$2:M$401,$U283)))</f>
        <v/>
      </c>
      <c r="N283">
        <f>IF($U283="","",IF(INDEX('Per Invoice'!N$2:N$401,$U283)="","",INDEX('Per Invoice'!N$2:N$401,$U283)))</f>
        <v/>
      </c>
      <c r="O283" s="7">
        <f>IF($U283="","",IF(INDEX('Per Invoice'!O$2:O$401,$U283)="","",INDEX('Per Invoice'!O$2:O$401,$U283)))</f>
        <v/>
      </c>
      <c r="P283" s="7">
        <f>IF($U283="","",IF(INDEX('Per Invoice'!P$2:P$401,$U283)="","",INDEX('Per Invoice'!P$2:P$401,$U283)))</f>
        <v/>
      </c>
      <c r="Q283" s="7">
        <f>IF($U283="","",IF(INDEX('Per Invoice'!Q$2:Q$401,$U283)="","",INDEX('Per Invoice'!Q$2:Q$401,$U283)))</f>
        <v/>
      </c>
      <c r="R283" s="7">
        <f>IF($U283="","",IF(INDEX('Per Invoice'!R$2:R$401,$U283)="","",INDEX('Per Invoice'!R$2:R$401,$U283)))</f>
        <v/>
      </c>
      <c r="S283" s="7">
        <f>IF($U283="","",IF(INDEX('Per Invoice'!S$2:S$401,$U283)="","",INDEX('Per Invoice'!S$2:S$401,$U283)))</f>
        <v/>
      </c>
      <c r="T283" s="7">
        <f>IF($U283="","",IF(INDEX('Per Invoice'!T$2:T$401,$U283)="","",INDEX('Per Invoice'!T$2:T$401,$U283)))</f>
        <v/>
      </c>
      <c r="U283" s="16">
        <f>IFERROR(MATCH(Settings!$C$26&amp;"|"&amp;ROWS($U$2:$U283),'Per Invoice'!$V$2:$V$401,0),"")</f>
        <v/>
      </c>
    </row>
    <row r="284">
      <c r="A284">
        <f>IF($U284="","",IF(INDEX('Per Invoice'!A$2:A$401,$U284)="","",INDEX('Per Invoice'!A$2:A$401,$U284)))</f>
        <v/>
      </c>
      <c r="B284">
        <f>IF($U284="","",IF(INDEX('Per Invoice'!B$2:B$401,$U284)="","",INDEX('Per Invoice'!B$2:B$401,$U284)))</f>
        <v/>
      </c>
      <c r="C284">
        <f>IF($U284="","",IF(INDEX('Per Invoice'!C$2:C$401,$U284)="","",INDEX('Per Invoice'!C$2:C$401,$U284)))</f>
        <v/>
      </c>
      <c r="D284">
        <f>IF($U284="","",IF(INDEX('Per Invoice'!D$2:D$401,$U284)="","",INDEX('Per Invoice'!D$2:D$401,$U284)))</f>
        <v/>
      </c>
      <c r="E284">
        <f>IF($U284="","",IF(INDEX('Per Invoice'!E$2:E$401,$U284)="","",INDEX('Per Invoice'!E$2:E$401,$U284)))</f>
        <v/>
      </c>
      <c r="F284">
        <f>IF($U284="","",IF(INDEX('Per Invoice'!F$2:F$401,$U284)="","",INDEX('Per Invoice'!F$2:F$401,$U284)))</f>
        <v/>
      </c>
      <c r="G284">
        <f>IF($U284="","",IF(INDEX('Per Invoice'!G$2:G$401,$U284)="","",INDEX('Per Invoice'!G$2:G$401,$U284)))</f>
        <v/>
      </c>
      <c r="H284" s="7">
        <f>IF($U284="","",IF(INDEX('Per Invoice'!H$2:H$401,$U284)="","",INDEX('Per Invoice'!H$2:H$401,$U284)))</f>
        <v/>
      </c>
      <c r="I284" s="14">
        <f>IF($U284="","",IF(INDEX('Per Invoice'!I$2:I$401,$U284)="","",INDEX('Per Invoice'!I$2:I$401,$U284)))</f>
        <v/>
      </c>
      <c r="J284">
        <f>IF($U284="","",IF(INDEX('Per Invoice'!J$2:J$401,$U284)="","",INDEX('Per Invoice'!J$2:J$401,$U284)))</f>
        <v/>
      </c>
      <c r="K284">
        <f>IF($U284="","",IF(INDEX('Per Invoice'!K$2:K$401,$U284)="","",INDEX('Per Invoice'!K$2:K$401,$U284)))</f>
        <v/>
      </c>
      <c r="L284" s="7">
        <f>IF($U284="","",IF(INDEX('Per Invoice'!L$2:L$401,$U284)="","",INDEX('Per Invoice'!L$2:L$401,$U284)))</f>
        <v/>
      </c>
      <c r="M284" s="7">
        <f>IF($U284="","",IF(INDEX('Per Invoice'!M$2:M$401,$U284)="","",INDEX('Per Invoice'!M$2:M$401,$U284)))</f>
        <v/>
      </c>
      <c r="N284">
        <f>IF($U284="","",IF(INDEX('Per Invoice'!N$2:N$401,$U284)="","",INDEX('Per Invoice'!N$2:N$401,$U284)))</f>
        <v/>
      </c>
      <c r="O284" s="7">
        <f>IF($U284="","",IF(INDEX('Per Invoice'!O$2:O$401,$U284)="","",INDEX('Per Invoice'!O$2:O$401,$U284)))</f>
        <v/>
      </c>
      <c r="P284" s="7">
        <f>IF($U284="","",IF(INDEX('Per Invoice'!P$2:P$401,$U284)="","",INDEX('Per Invoice'!P$2:P$401,$U284)))</f>
        <v/>
      </c>
      <c r="Q284" s="7">
        <f>IF($U284="","",IF(INDEX('Per Invoice'!Q$2:Q$401,$U284)="","",INDEX('Per Invoice'!Q$2:Q$401,$U284)))</f>
        <v/>
      </c>
      <c r="R284" s="7">
        <f>IF($U284="","",IF(INDEX('Per Invoice'!R$2:R$401,$U284)="","",INDEX('Per Invoice'!R$2:R$401,$U284)))</f>
        <v/>
      </c>
      <c r="S284" s="7">
        <f>IF($U284="","",IF(INDEX('Per Invoice'!S$2:S$401,$U284)="","",INDEX('Per Invoice'!S$2:S$401,$U284)))</f>
        <v/>
      </c>
      <c r="T284" s="7">
        <f>IF($U284="","",IF(INDEX('Per Invoice'!T$2:T$401,$U284)="","",INDEX('Per Invoice'!T$2:T$401,$U284)))</f>
        <v/>
      </c>
      <c r="U284" s="16">
        <f>IFERROR(MATCH(Settings!$C$26&amp;"|"&amp;ROWS($U$2:$U284),'Per Invoice'!$V$2:$V$401,0),"")</f>
        <v/>
      </c>
    </row>
    <row r="285">
      <c r="A285">
        <f>IF($U285="","",IF(INDEX('Per Invoice'!A$2:A$401,$U285)="","",INDEX('Per Invoice'!A$2:A$401,$U285)))</f>
        <v/>
      </c>
      <c r="B285">
        <f>IF($U285="","",IF(INDEX('Per Invoice'!B$2:B$401,$U285)="","",INDEX('Per Invoice'!B$2:B$401,$U285)))</f>
        <v/>
      </c>
      <c r="C285">
        <f>IF($U285="","",IF(INDEX('Per Invoice'!C$2:C$401,$U285)="","",INDEX('Per Invoice'!C$2:C$401,$U285)))</f>
        <v/>
      </c>
      <c r="D285">
        <f>IF($U285="","",IF(INDEX('Per Invoice'!D$2:D$401,$U285)="","",INDEX('Per Invoice'!D$2:D$401,$U285)))</f>
        <v/>
      </c>
      <c r="E285">
        <f>IF($U285="","",IF(INDEX('Per Invoice'!E$2:E$401,$U285)="","",INDEX('Per Invoice'!E$2:E$401,$U285)))</f>
        <v/>
      </c>
      <c r="F285">
        <f>IF($U285="","",IF(INDEX('Per Invoice'!F$2:F$401,$U285)="","",INDEX('Per Invoice'!F$2:F$401,$U285)))</f>
        <v/>
      </c>
      <c r="G285">
        <f>IF($U285="","",IF(INDEX('Per Invoice'!G$2:G$401,$U285)="","",INDEX('Per Invoice'!G$2:G$401,$U285)))</f>
        <v/>
      </c>
      <c r="H285" s="7">
        <f>IF($U285="","",IF(INDEX('Per Invoice'!H$2:H$401,$U285)="","",INDEX('Per Invoice'!H$2:H$401,$U285)))</f>
        <v/>
      </c>
      <c r="I285" s="14">
        <f>IF($U285="","",IF(INDEX('Per Invoice'!I$2:I$401,$U285)="","",INDEX('Per Invoice'!I$2:I$401,$U285)))</f>
        <v/>
      </c>
      <c r="J285">
        <f>IF($U285="","",IF(INDEX('Per Invoice'!J$2:J$401,$U285)="","",INDEX('Per Invoice'!J$2:J$401,$U285)))</f>
        <v/>
      </c>
      <c r="K285">
        <f>IF($U285="","",IF(INDEX('Per Invoice'!K$2:K$401,$U285)="","",INDEX('Per Invoice'!K$2:K$401,$U285)))</f>
        <v/>
      </c>
      <c r="L285" s="7">
        <f>IF($U285="","",IF(INDEX('Per Invoice'!L$2:L$401,$U285)="","",INDEX('Per Invoice'!L$2:L$401,$U285)))</f>
        <v/>
      </c>
      <c r="M285" s="7">
        <f>IF($U285="","",IF(INDEX('Per Invoice'!M$2:M$401,$U285)="","",INDEX('Per Invoice'!M$2:M$401,$U285)))</f>
        <v/>
      </c>
      <c r="N285">
        <f>IF($U285="","",IF(INDEX('Per Invoice'!N$2:N$401,$U285)="","",INDEX('Per Invoice'!N$2:N$401,$U285)))</f>
        <v/>
      </c>
      <c r="O285" s="7">
        <f>IF($U285="","",IF(INDEX('Per Invoice'!O$2:O$401,$U285)="","",INDEX('Per Invoice'!O$2:O$401,$U285)))</f>
        <v/>
      </c>
      <c r="P285" s="7">
        <f>IF($U285="","",IF(INDEX('Per Invoice'!P$2:P$401,$U285)="","",INDEX('Per Invoice'!P$2:P$401,$U285)))</f>
        <v/>
      </c>
      <c r="Q285" s="7">
        <f>IF($U285="","",IF(INDEX('Per Invoice'!Q$2:Q$401,$U285)="","",INDEX('Per Invoice'!Q$2:Q$401,$U285)))</f>
        <v/>
      </c>
      <c r="R285" s="7">
        <f>IF($U285="","",IF(INDEX('Per Invoice'!R$2:R$401,$U285)="","",INDEX('Per Invoice'!R$2:R$401,$U285)))</f>
        <v/>
      </c>
      <c r="S285" s="7">
        <f>IF($U285="","",IF(INDEX('Per Invoice'!S$2:S$401,$U285)="","",INDEX('Per Invoice'!S$2:S$401,$U285)))</f>
        <v/>
      </c>
      <c r="T285" s="7">
        <f>IF($U285="","",IF(INDEX('Per Invoice'!T$2:T$401,$U285)="","",INDEX('Per Invoice'!T$2:T$401,$U285)))</f>
        <v/>
      </c>
      <c r="U285" s="16">
        <f>IFERROR(MATCH(Settings!$C$26&amp;"|"&amp;ROWS($U$2:$U285),'Per Invoice'!$V$2:$V$401,0),"")</f>
        <v/>
      </c>
    </row>
    <row r="286">
      <c r="A286">
        <f>IF($U286="","",IF(INDEX('Per Invoice'!A$2:A$401,$U286)="","",INDEX('Per Invoice'!A$2:A$401,$U286)))</f>
        <v/>
      </c>
      <c r="B286">
        <f>IF($U286="","",IF(INDEX('Per Invoice'!B$2:B$401,$U286)="","",INDEX('Per Invoice'!B$2:B$401,$U286)))</f>
        <v/>
      </c>
      <c r="C286">
        <f>IF($U286="","",IF(INDEX('Per Invoice'!C$2:C$401,$U286)="","",INDEX('Per Invoice'!C$2:C$401,$U286)))</f>
        <v/>
      </c>
      <c r="D286">
        <f>IF($U286="","",IF(INDEX('Per Invoice'!D$2:D$401,$U286)="","",INDEX('Per Invoice'!D$2:D$401,$U286)))</f>
        <v/>
      </c>
      <c r="E286">
        <f>IF($U286="","",IF(INDEX('Per Invoice'!E$2:E$401,$U286)="","",INDEX('Per Invoice'!E$2:E$401,$U286)))</f>
        <v/>
      </c>
      <c r="F286">
        <f>IF($U286="","",IF(INDEX('Per Invoice'!F$2:F$401,$U286)="","",INDEX('Per Invoice'!F$2:F$401,$U286)))</f>
        <v/>
      </c>
      <c r="G286">
        <f>IF($U286="","",IF(INDEX('Per Invoice'!G$2:G$401,$U286)="","",INDEX('Per Invoice'!G$2:G$401,$U286)))</f>
        <v/>
      </c>
      <c r="H286" s="7">
        <f>IF($U286="","",IF(INDEX('Per Invoice'!H$2:H$401,$U286)="","",INDEX('Per Invoice'!H$2:H$401,$U286)))</f>
        <v/>
      </c>
      <c r="I286" s="14">
        <f>IF($U286="","",IF(INDEX('Per Invoice'!I$2:I$401,$U286)="","",INDEX('Per Invoice'!I$2:I$401,$U286)))</f>
        <v/>
      </c>
      <c r="J286">
        <f>IF($U286="","",IF(INDEX('Per Invoice'!J$2:J$401,$U286)="","",INDEX('Per Invoice'!J$2:J$401,$U286)))</f>
        <v/>
      </c>
      <c r="K286">
        <f>IF($U286="","",IF(INDEX('Per Invoice'!K$2:K$401,$U286)="","",INDEX('Per Invoice'!K$2:K$401,$U286)))</f>
        <v/>
      </c>
      <c r="L286" s="7">
        <f>IF($U286="","",IF(INDEX('Per Invoice'!L$2:L$401,$U286)="","",INDEX('Per Invoice'!L$2:L$401,$U286)))</f>
        <v/>
      </c>
      <c r="M286" s="7">
        <f>IF($U286="","",IF(INDEX('Per Invoice'!M$2:M$401,$U286)="","",INDEX('Per Invoice'!M$2:M$401,$U286)))</f>
        <v/>
      </c>
      <c r="N286">
        <f>IF($U286="","",IF(INDEX('Per Invoice'!N$2:N$401,$U286)="","",INDEX('Per Invoice'!N$2:N$401,$U286)))</f>
        <v/>
      </c>
      <c r="O286" s="7">
        <f>IF($U286="","",IF(INDEX('Per Invoice'!O$2:O$401,$U286)="","",INDEX('Per Invoice'!O$2:O$401,$U286)))</f>
        <v/>
      </c>
      <c r="P286" s="7">
        <f>IF($U286="","",IF(INDEX('Per Invoice'!P$2:P$401,$U286)="","",INDEX('Per Invoice'!P$2:P$401,$U286)))</f>
        <v/>
      </c>
      <c r="Q286" s="7">
        <f>IF($U286="","",IF(INDEX('Per Invoice'!Q$2:Q$401,$U286)="","",INDEX('Per Invoice'!Q$2:Q$401,$U286)))</f>
        <v/>
      </c>
      <c r="R286" s="7">
        <f>IF($U286="","",IF(INDEX('Per Invoice'!R$2:R$401,$U286)="","",INDEX('Per Invoice'!R$2:R$401,$U286)))</f>
        <v/>
      </c>
      <c r="S286" s="7">
        <f>IF($U286="","",IF(INDEX('Per Invoice'!S$2:S$401,$U286)="","",INDEX('Per Invoice'!S$2:S$401,$U286)))</f>
        <v/>
      </c>
      <c r="T286" s="7">
        <f>IF($U286="","",IF(INDEX('Per Invoice'!T$2:T$401,$U286)="","",INDEX('Per Invoice'!T$2:T$401,$U286)))</f>
        <v/>
      </c>
      <c r="U286" s="16">
        <f>IFERROR(MATCH(Settings!$C$26&amp;"|"&amp;ROWS($U$2:$U286),'Per Invoice'!$V$2:$V$401,0),"")</f>
        <v/>
      </c>
    </row>
    <row r="287">
      <c r="A287">
        <f>IF($U287="","",IF(INDEX('Per Invoice'!A$2:A$401,$U287)="","",INDEX('Per Invoice'!A$2:A$401,$U287)))</f>
        <v/>
      </c>
      <c r="B287">
        <f>IF($U287="","",IF(INDEX('Per Invoice'!B$2:B$401,$U287)="","",INDEX('Per Invoice'!B$2:B$401,$U287)))</f>
        <v/>
      </c>
      <c r="C287">
        <f>IF($U287="","",IF(INDEX('Per Invoice'!C$2:C$401,$U287)="","",INDEX('Per Invoice'!C$2:C$401,$U287)))</f>
        <v/>
      </c>
      <c r="D287">
        <f>IF($U287="","",IF(INDEX('Per Invoice'!D$2:D$401,$U287)="","",INDEX('Per Invoice'!D$2:D$401,$U287)))</f>
        <v/>
      </c>
      <c r="E287">
        <f>IF($U287="","",IF(INDEX('Per Invoice'!E$2:E$401,$U287)="","",INDEX('Per Invoice'!E$2:E$401,$U287)))</f>
        <v/>
      </c>
      <c r="F287">
        <f>IF($U287="","",IF(INDEX('Per Invoice'!F$2:F$401,$U287)="","",INDEX('Per Invoice'!F$2:F$401,$U287)))</f>
        <v/>
      </c>
      <c r="G287">
        <f>IF($U287="","",IF(INDEX('Per Invoice'!G$2:G$401,$U287)="","",INDEX('Per Invoice'!G$2:G$401,$U287)))</f>
        <v/>
      </c>
      <c r="H287" s="7">
        <f>IF($U287="","",IF(INDEX('Per Invoice'!H$2:H$401,$U287)="","",INDEX('Per Invoice'!H$2:H$401,$U287)))</f>
        <v/>
      </c>
      <c r="I287" s="14">
        <f>IF($U287="","",IF(INDEX('Per Invoice'!I$2:I$401,$U287)="","",INDEX('Per Invoice'!I$2:I$401,$U287)))</f>
        <v/>
      </c>
      <c r="J287">
        <f>IF($U287="","",IF(INDEX('Per Invoice'!J$2:J$401,$U287)="","",INDEX('Per Invoice'!J$2:J$401,$U287)))</f>
        <v/>
      </c>
      <c r="K287">
        <f>IF($U287="","",IF(INDEX('Per Invoice'!K$2:K$401,$U287)="","",INDEX('Per Invoice'!K$2:K$401,$U287)))</f>
        <v/>
      </c>
      <c r="L287" s="7">
        <f>IF($U287="","",IF(INDEX('Per Invoice'!L$2:L$401,$U287)="","",INDEX('Per Invoice'!L$2:L$401,$U287)))</f>
        <v/>
      </c>
      <c r="M287" s="7">
        <f>IF($U287="","",IF(INDEX('Per Invoice'!M$2:M$401,$U287)="","",INDEX('Per Invoice'!M$2:M$401,$U287)))</f>
        <v/>
      </c>
      <c r="N287">
        <f>IF($U287="","",IF(INDEX('Per Invoice'!N$2:N$401,$U287)="","",INDEX('Per Invoice'!N$2:N$401,$U287)))</f>
        <v/>
      </c>
      <c r="O287" s="7">
        <f>IF($U287="","",IF(INDEX('Per Invoice'!O$2:O$401,$U287)="","",INDEX('Per Invoice'!O$2:O$401,$U287)))</f>
        <v/>
      </c>
      <c r="P287" s="7">
        <f>IF($U287="","",IF(INDEX('Per Invoice'!P$2:P$401,$U287)="","",INDEX('Per Invoice'!P$2:P$401,$U287)))</f>
        <v/>
      </c>
      <c r="Q287" s="7">
        <f>IF($U287="","",IF(INDEX('Per Invoice'!Q$2:Q$401,$U287)="","",INDEX('Per Invoice'!Q$2:Q$401,$U287)))</f>
        <v/>
      </c>
      <c r="R287" s="7">
        <f>IF($U287="","",IF(INDEX('Per Invoice'!R$2:R$401,$U287)="","",INDEX('Per Invoice'!R$2:R$401,$U287)))</f>
        <v/>
      </c>
      <c r="S287" s="7">
        <f>IF($U287="","",IF(INDEX('Per Invoice'!S$2:S$401,$U287)="","",INDEX('Per Invoice'!S$2:S$401,$U287)))</f>
        <v/>
      </c>
      <c r="T287" s="7">
        <f>IF($U287="","",IF(INDEX('Per Invoice'!T$2:T$401,$U287)="","",INDEX('Per Invoice'!T$2:T$401,$U287)))</f>
        <v/>
      </c>
      <c r="U287" s="16">
        <f>IFERROR(MATCH(Settings!$C$26&amp;"|"&amp;ROWS($U$2:$U287),'Per Invoice'!$V$2:$V$401,0),"")</f>
        <v/>
      </c>
    </row>
    <row r="288">
      <c r="A288">
        <f>IF($U288="","",IF(INDEX('Per Invoice'!A$2:A$401,$U288)="","",INDEX('Per Invoice'!A$2:A$401,$U288)))</f>
        <v/>
      </c>
      <c r="B288">
        <f>IF($U288="","",IF(INDEX('Per Invoice'!B$2:B$401,$U288)="","",INDEX('Per Invoice'!B$2:B$401,$U288)))</f>
        <v/>
      </c>
      <c r="C288">
        <f>IF($U288="","",IF(INDEX('Per Invoice'!C$2:C$401,$U288)="","",INDEX('Per Invoice'!C$2:C$401,$U288)))</f>
        <v/>
      </c>
      <c r="D288">
        <f>IF($U288="","",IF(INDEX('Per Invoice'!D$2:D$401,$U288)="","",INDEX('Per Invoice'!D$2:D$401,$U288)))</f>
        <v/>
      </c>
      <c r="E288">
        <f>IF($U288="","",IF(INDEX('Per Invoice'!E$2:E$401,$U288)="","",INDEX('Per Invoice'!E$2:E$401,$U288)))</f>
        <v/>
      </c>
      <c r="F288">
        <f>IF($U288="","",IF(INDEX('Per Invoice'!F$2:F$401,$U288)="","",INDEX('Per Invoice'!F$2:F$401,$U288)))</f>
        <v/>
      </c>
      <c r="G288">
        <f>IF($U288="","",IF(INDEX('Per Invoice'!G$2:G$401,$U288)="","",INDEX('Per Invoice'!G$2:G$401,$U288)))</f>
        <v/>
      </c>
      <c r="H288" s="7">
        <f>IF($U288="","",IF(INDEX('Per Invoice'!H$2:H$401,$U288)="","",INDEX('Per Invoice'!H$2:H$401,$U288)))</f>
        <v/>
      </c>
      <c r="I288" s="14">
        <f>IF($U288="","",IF(INDEX('Per Invoice'!I$2:I$401,$U288)="","",INDEX('Per Invoice'!I$2:I$401,$U288)))</f>
        <v/>
      </c>
      <c r="J288">
        <f>IF($U288="","",IF(INDEX('Per Invoice'!J$2:J$401,$U288)="","",INDEX('Per Invoice'!J$2:J$401,$U288)))</f>
        <v/>
      </c>
      <c r="K288">
        <f>IF($U288="","",IF(INDEX('Per Invoice'!K$2:K$401,$U288)="","",INDEX('Per Invoice'!K$2:K$401,$U288)))</f>
        <v/>
      </c>
      <c r="L288" s="7">
        <f>IF($U288="","",IF(INDEX('Per Invoice'!L$2:L$401,$U288)="","",INDEX('Per Invoice'!L$2:L$401,$U288)))</f>
        <v/>
      </c>
      <c r="M288" s="7">
        <f>IF($U288="","",IF(INDEX('Per Invoice'!M$2:M$401,$U288)="","",INDEX('Per Invoice'!M$2:M$401,$U288)))</f>
        <v/>
      </c>
      <c r="N288">
        <f>IF($U288="","",IF(INDEX('Per Invoice'!N$2:N$401,$U288)="","",INDEX('Per Invoice'!N$2:N$401,$U288)))</f>
        <v/>
      </c>
      <c r="O288" s="7">
        <f>IF($U288="","",IF(INDEX('Per Invoice'!O$2:O$401,$U288)="","",INDEX('Per Invoice'!O$2:O$401,$U288)))</f>
        <v/>
      </c>
      <c r="P288" s="7">
        <f>IF($U288="","",IF(INDEX('Per Invoice'!P$2:P$401,$U288)="","",INDEX('Per Invoice'!P$2:P$401,$U288)))</f>
        <v/>
      </c>
      <c r="Q288" s="7">
        <f>IF($U288="","",IF(INDEX('Per Invoice'!Q$2:Q$401,$U288)="","",INDEX('Per Invoice'!Q$2:Q$401,$U288)))</f>
        <v/>
      </c>
      <c r="R288" s="7">
        <f>IF($U288="","",IF(INDEX('Per Invoice'!R$2:R$401,$U288)="","",INDEX('Per Invoice'!R$2:R$401,$U288)))</f>
        <v/>
      </c>
      <c r="S288" s="7">
        <f>IF($U288="","",IF(INDEX('Per Invoice'!S$2:S$401,$U288)="","",INDEX('Per Invoice'!S$2:S$401,$U288)))</f>
        <v/>
      </c>
      <c r="T288" s="7">
        <f>IF($U288="","",IF(INDEX('Per Invoice'!T$2:T$401,$U288)="","",INDEX('Per Invoice'!T$2:T$401,$U288)))</f>
        <v/>
      </c>
      <c r="U288" s="16">
        <f>IFERROR(MATCH(Settings!$C$26&amp;"|"&amp;ROWS($U$2:$U288),'Per Invoice'!$V$2:$V$401,0),"")</f>
        <v/>
      </c>
    </row>
    <row r="289">
      <c r="A289">
        <f>IF($U289="","",IF(INDEX('Per Invoice'!A$2:A$401,$U289)="","",INDEX('Per Invoice'!A$2:A$401,$U289)))</f>
        <v/>
      </c>
      <c r="B289">
        <f>IF($U289="","",IF(INDEX('Per Invoice'!B$2:B$401,$U289)="","",INDEX('Per Invoice'!B$2:B$401,$U289)))</f>
        <v/>
      </c>
      <c r="C289">
        <f>IF($U289="","",IF(INDEX('Per Invoice'!C$2:C$401,$U289)="","",INDEX('Per Invoice'!C$2:C$401,$U289)))</f>
        <v/>
      </c>
      <c r="D289">
        <f>IF($U289="","",IF(INDEX('Per Invoice'!D$2:D$401,$U289)="","",INDEX('Per Invoice'!D$2:D$401,$U289)))</f>
        <v/>
      </c>
      <c r="E289">
        <f>IF($U289="","",IF(INDEX('Per Invoice'!E$2:E$401,$U289)="","",INDEX('Per Invoice'!E$2:E$401,$U289)))</f>
        <v/>
      </c>
      <c r="F289">
        <f>IF($U289="","",IF(INDEX('Per Invoice'!F$2:F$401,$U289)="","",INDEX('Per Invoice'!F$2:F$401,$U289)))</f>
        <v/>
      </c>
      <c r="G289">
        <f>IF($U289="","",IF(INDEX('Per Invoice'!G$2:G$401,$U289)="","",INDEX('Per Invoice'!G$2:G$401,$U289)))</f>
        <v/>
      </c>
      <c r="H289" s="7">
        <f>IF($U289="","",IF(INDEX('Per Invoice'!H$2:H$401,$U289)="","",INDEX('Per Invoice'!H$2:H$401,$U289)))</f>
        <v/>
      </c>
      <c r="I289" s="14">
        <f>IF($U289="","",IF(INDEX('Per Invoice'!I$2:I$401,$U289)="","",INDEX('Per Invoice'!I$2:I$401,$U289)))</f>
        <v/>
      </c>
      <c r="J289">
        <f>IF($U289="","",IF(INDEX('Per Invoice'!J$2:J$401,$U289)="","",INDEX('Per Invoice'!J$2:J$401,$U289)))</f>
        <v/>
      </c>
      <c r="K289">
        <f>IF($U289="","",IF(INDEX('Per Invoice'!K$2:K$401,$U289)="","",INDEX('Per Invoice'!K$2:K$401,$U289)))</f>
        <v/>
      </c>
      <c r="L289" s="7">
        <f>IF($U289="","",IF(INDEX('Per Invoice'!L$2:L$401,$U289)="","",INDEX('Per Invoice'!L$2:L$401,$U289)))</f>
        <v/>
      </c>
      <c r="M289" s="7">
        <f>IF($U289="","",IF(INDEX('Per Invoice'!M$2:M$401,$U289)="","",INDEX('Per Invoice'!M$2:M$401,$U289)))</f>
        <v/>
      </c>
      <c r="N289">
        <f>IF($U289="","",IF(INDEX('Per Invoice'!N$2:N$401,$U289)="","",INDEX('Per Invoice'!N$2:N$401,$U289)))</f>
        <v/>
      </c>
      <c r="O289" s="7">
        <f>IF($U289="","",IF(INDEX('Per Invoice'!O$2:O$401,$U289)="","",INDEX('Per Invoice'!O$2:O$401,$U289)))</f>
        <v/>
      </c>
      <c r="P289" s="7">
        <f>IF($U289="","",IF(INDEX('Per Invoice'!P$2:P$401,$U289)="","",INDEX('Per Invoice'!P$2:P$401,$U289)))</f>
        <v/>
      </c>
      <c r="Q289" s="7">
        <f>IF($U289="","",IF(INDEX('Per Invoice'!Q$2:Q$401,$U289)="","",INDEX('Per Invoice'!Q$2:Q$401,$U289)))</f>
        <v/>
      </c>
      <c r="R289" s="7">
        <f>IF($U289="","",IF(INDEX('Per Invoice'!R$2:R$401,$U289)="","",INDEX('Per Invoice'!R$2:R$401,$U289)))</f>
        <v/>
      </c>
      <c r="S289" s="7">
        <f>IF($U289="","",IF(INDEX('Per Invoice'!S$2:S$401,$U289)="","",INDEX('Per Invoice'!S$2:S$401,$U289)))</f>
        <v/>
      </c>
      <c r="T289" s="7">
        <f>IF($U289="","",IF(INDEX('Per Invoice'!T$2:T$401,$U289)="","",INDEX('Per Invoice'!T$2:T$401,$U289)))</f>
        <v/>
      </c>
      <c r="U289" s="16">
        <f>IFERROR(MATCH(Settings!$C$26&amp;"|"&amp;ROWS($U$2:$U289),'Per Invoice'!$V$2:$V$401,0),"")</f>
        <v/>
      </c>
    </row>
    <row r="290">
      <c r="A290">
        <f>IF($U290="","",IF(INDEX('Per Invoice'!A$2:A$401,$U290)="","",INDEX('Per Invoice'!A$2:A$401,$U290)))</f>
        <v/>
      </c>
      <c r="B290">
        <f>IF($U290="","",IF(INDEX('Per Invoice'!B$2:B$401,$U290)="","",INDEX('Per Invoice'!B$2:B$401,$U290)))</f>
        <v/>
      </c>
      <c r="C290">
        <f>IF($U290="","",IF(INDEX('Per Invoice'!C$2:C$401,$U290)="","",INDEX('Per Invoice'!C$2:C$401,$U290)))</f>
        <v/>
      </c>
      <c r="D290">
        <f>IF($U290="","",IF(INDEX('Per Invoice'!D$2:D$401,$U290)="","",INDEX('Per Invoice'!D$2:D$401,$U290)))</f>
        <v/>
      </c>
      <c r="E290">
        <f>IF($U290="","",IF(INDEX('Per Invoice'!E$2:E$401,$U290)="","",INDEX('Per Invoice'!E$2:E$401,$U290)))</f>
        <v/>
      </c>
      <c r="F290">
        <f>IF($U290="","",IF(INDEX('Per Invoice'!F$2:F$401,$U290)="","",INDEX('Per Invoice'!F$2:F$401,$U290)))</f>
        <v/>
      </c>
      <c r="G290">
        <f>IF($U290="","",IF(INDEX('Per Invoice'!G$2:G$401,$U290)="","",INDEX('Per Invoice'!G$2:G$401,$U290)))</f>
        <v/>
      </c>
      <c r="H290" s="7">
        <f>IF($U290="","",IF(INDEX('Per Invoice'!H$2:H$401,$U290)="","",INDEX('Per Invoice'!H$2:H$401,$U290)))</f>
        <v/>
      </c>
      <c r="I290" s="14">
        <f>IF($U290="","",IF(INDEX('Per Invoice'!I$2:I$401,$U290)="","",INDEX('Per Invoice'!I$2:I$401,$U290)))</f>
        <v/>
      </c>
      <c r="J290">
        <f>IF($U290="","",IF(INDEX('Per Invoice'!J$2:J$401,$U290)="","",INDEX('Per Invoice'!J$2:J$401,$U290)))</f>
        <v/>
      </c>
      <c r="K290">
        <f>IF($U290="","",IF(INDEX('Per Invoice'!K$2:K$401,$U290)="","",INDEX('Per Invoice'!K$2:K$401,$U290)))</f>
        <v/>
      </c>
      <c r="L290" s="7">
        <f>IF($U290="","",IF(INDEX('Per Invoice'!L$2:L$401,$U290)="","",INDEX('Per Invoice'!L$2:L$401,$U290)))</f>
        <v/>
      </c>
      <c r="M290" s="7">
        <f>IF($U290="","",IF(INDEX('Per Invoice'!M$2:M$401,$U290)="","",INDEX('Per Invoice'!M$2:M$401,$U290)))</f>
        <v/>
      </c>
      <c r="N290">
        <f>IF($U290="","",IF(INDEX('Per Invoice'!N$2:N$401,$U290)="","",INDEX('Per Invoice'!N$2:N$401,$U290)))</f>
        <v/>
      </c>
      <c r="O290" s="7">
        <f>IF($U290="","",IF(INDEX('Per Invoice'!O$2:O$401,$U290)="","",INDEX('Per Invoice'!O$2:O$401,$U290)))</f>
        <v/>
      </c>
      <c r="P290" s="7">
        <f>IF($U290="","",IF(INDEX('Per Invoice'!P$2:P$401,$U290)="","",INDEX('Per Invoice'!P$2:P$401,$U290)))</f>
        <v/>
      </c>
      <c r="Q290" s="7">
        <f>IF($U290="","",IF(INDEX('Per Invoice'!Q$2:Q$401,$U290)="","",INDEX('Per Invoice'!Q$2:Q$401,$U290)))</f>
        <v/>
      </c>
      <c r="R290" s="7">
        <f>IF($U290="","",IF(INDEX('Per Invoice'!R$2:R$401,$U290)="","",INDEX('Per Invoice'!R$2:R$401,$U290)))</f>
        <v/>
      </c>
      <c r="S290" s="7">
        <f>IF($U290="","",IF(INDEX('Per Invoice'!S$2:S$401,$U290)="","",INDEX('Per Invoice'!S$2:S$401,$U290)))</f>
        <v/>
      </c>
      <c r="T290" s="7">
        <f>IF($U290="","",IF(INDEX('Per Invoice'!T$2:T$401,$U290)="","",INDEX('Per Invoice'!T$2:T$401,$U290)))</f>
        <v/>
      </c>
      <c r="U290" s="16">
        <f>IFERROR(MATCH(Settings!$C$26&amp;"|"&amp;ROWS($U$2:$U290),'Per Invoice'!$V$2:$V$401,0),"")</f>
        <v/>
      </c>
    </row>
    <row r="291">
      <c r="A291">
        <f>IF($U291="","",IF(INDEX('Per Invoice'!A$2:A$401,$U291)="","",INDEX('Per Invoice'!A$2:A$401,$U291)))</f>
        <v/>
      </c>
      <c r="B291">
        <f>IF($U291="","",IF(INDEX('Per Invoice'!B$2:B$401,$U291)="","",INDEX('Per Invoice'!B$2:B$401,$U291)))</f>
        <v/>
      </c>
      <c r="C291">
        <f>IF($U291="","",IF(INDEX('Per Invoice'!C$2:C$401,$U291)="","",INDEX('Per Invoice'!C$2:C$401,$U291)))</f>
        <v/>
      </c>
      <c r="D291">
        <f>IF($U291="","",IF(INDEX('Per Invoice'!D$2:D$401,$U291)="","",INDEX('Per Invoice'!D$2:D$401,$U291)))</f>
        <v/>
      </c>
      <c r="E291">
        <f>IF($U291="","",IF(INDEX('Per Invoice'!E$2:E$401,$U291)="","",INDEX('Per Invoice'!E$2:E$401,$U291)))</f>
        <v/>
      </c>
      <c r="F291">
        <f>IF($U291="","",IF(INDEX('Per Invoice'!F$2:F$401,$U291)="","",INDEX('Per Invoice'!F$2:F$401,$U291)))</f>
        <v/>
      </c>
      <c r="G291">
        <f>IF($U291="","",IF(INDEX('Per Invoice'!G$2:G$401,$U291)="","",INDEX('Per Invoice'!G$2:G$401,$U291)))</f>
        <v/>
      </c>
      <c r="H291" s="7">
        <f>IF($U291="","",IF(INDEX('Per Invoice'!H$2:H$401,$U291)="","",INDEX('Per Invoice'!H$2:H$401,$U291)))</f>
        <v/>
      </c>
      <c r="I291" s="14">
        <f>IF($U291="","",IF(INDEX('Per Invoice'!I$2:I$401,$U291)="","",INDEX('Per Invoice'!I$2:I$401,$U291)))</f>
        <v/>
      </c>
      <c r="J291">
        <f>IF($U291="","",IF(INDEX('Per Invoice'!J$2:J$401,$U291)="","",INDEX('Per Invoice'!J$2:J$401,$U291)))</f>
        <v/>
      </c>
      <c r="K291">
        <f>IF($U291="","",IF(INDEX('Per Invoice'!K$2:K$401,$U291)="","",INDEX('Per Invoice'!K$2:K$401,$U291)))</f>
        <v/>
      </c>
      <c r="L291" s="7">
        <f>IF($U291="","",IF(INDEX('Per Invoice'!L$2:L$401,$U291)="","",INDEX('Per Invoice'!L$2:L$401,$U291)))</f>
        <v/>
      </c>
      <c r="M291" s="7">
        <f>IF($U291="","",IF(INDEX('Per Invoice'!M$2:M$401,$U291)="","",INDEX('Per Invoice'!M$2:M$401,$U291)))</f>
        <v/>
      </c>
      <c r="N291">
        <f>IF($U291="","",IF(INDEX('Per Invoice'!N$2:N$401,$U291)="","",INDEX('Per Invoice'!N$2:N$401,$U291)))</f>
        <v/>
      </c>
      <c r="O291" s="7">
        <f>IF($U291="","",IF(INDEX('Per Invoice'!O$2:O$401,$U291)="","",INDEX('Per Invoice'!O$2:O$401,$U291)))</f>
        <v/>
      </c>
      <c r="P291" s="7">
        <f>IF($U291="","",IF(INDEX('Per Invoice'!P$2:P$401,$U291)="","",INDEX('Per Invoice'!P$2:P$401,$U291)))</f>
        <v/>
      </c>
      <c r="Q291" s="7">
        <f>IF($U291="","",IF(INDEX('Per Invoice'!Q$2:Q$401,$U291)="","",INDEX('Per Invoice'!Q$2:Q$401,$U291)))</f>
        <v/>
      </c>
      <c r="R291" s="7">
        <f>IF($U291="","",IF(INDEX('Per Invoice'!R$2:R$401,$U291)="","",INDEX('Per Invoice'!R$2:R$401,$U291)))</f>
        <v/>
      </c>
      <c r="S291" s="7">
        <f>IF($U291="","",IF(INDEX('Per Invoice'!S$2:S$401,$U291)="","",INDEX('Per Invoice'!S$2:S$401,$U291)))</f>
        <v/>
      </c>
      <c r="T291" s="7">
        <f>IF($U291="","",IF(INDEX('Per Invoice'!T$2:T$401,$U291)="","",INDEX('Per Invoice'!T$2:T$401,$U291)))</f>
        <v/>
      </c>
      <c r="U291" s="16">
        <f>IFERROR(MATCH(Settings!$C$26&amp;"|"&amp;ROWS($U$2:$U291),'Per Invoice'!$V$2:$V$401,0),"")</f>
        <v/>
      </c>
    </row>
    <row r="292">
      <c r="A292">
        <f>IF($U292="","",IF(INDEX('Per Invoice'!A$2:A$401,$U292)="","",INDEX('Per Invoice'!A$2:A$401,$U292)))</f>
        <v/>
      </c>
      <c r="B292">
        <f>IF($U292="","",IF(INDEX('Per Invoice'!B$2:B$401,$U292)="","",INDEX('Per Invoice'!B$2:B$401,$U292)))</f>
        <v/>
      </c>
      <c r="C292">
        <f>IF($U292="","",IF(INDEX('Per Invoice'!C$2:C$401,$U292)="","",INDEX('Per Invoice'!C$2:C$401,$U292)))</f>
        <v/>
      </c>
      <c r="D292">
        <f>IF($U292="","",IF(INDEX('Per Invoice'!D$2:D$401,$U292)="","",INDEX('Per Invoice'!D$2:D$401,$U292)))</f>
        <v/>
      </c>
      <c r="E292">
        <f>IF($U292="","",IF(INDEX('Per Invoice'!E$2:E$401,$U292)="","",INDEX('Per Invoice'!E$2:E$401,$U292)))</f>
        <v/>
      </c>
      <c r="F292">
        <f>IF($U292="","",IF(INDEX('Per Invoice'!F$2:F$401,$U292)="","",INDEX('Per Invoice'!F$2:F$401,$U292)))</f>
        <v/>
      </c>
      <c r="G292">
        <f>IF($U292="","",IF(INDEX('Per Invoice'!G$2:G$401,$U292)="","",INDEX('Per Invoice'!G$2:G$401,$U292)))</f>
        <v/>
      </c>
      <c r="H292" s="7">
        <f>IF($U292="","",IF(INDEX('Per Invoice'!H$2:H$401,$U292)="","",INDEX('Per Invoice'!H$2:H$401,$U292)))</f>
        <v/>
      </c>
      <c r="I292" s="14">
        <f>IF($U292="","",IF(INDEX('Per Invoice'!I$2:I$401,$U292)="","",INDEX('Per Invoice'!I$2:I$401,$U292)))</f>
        <v/>
      </c>
      <c r="J292">
        <f>IF($U292="","",IF(INDEX('Per Invoice'!J$2:J$401,$U292)="","",INDEX('Per Invoice'!J$2:J$401,$U292)))</f>
        <v/>
      </c>
      <c r="K292">
        <f>IF($U292="","",IF(INDEX('Per Invoice'!K$2:K$401,$U292)="","",INDEX('Per Invoice'!K$2:K$401,$U292)))</f>
        <v/>
      </c>
      <c r="L292" s="7">
        <f>IF($U292="","",IF(INDEX('Per Invoice'!L$2:L$401,$U292)="","",INDEX('Per Invoice'!L$2:L$401,$U292)))</f>
        <v/>
      </c>
      <c r="M292" s="7">
        <f>IF($U292="","",IF(INDEX('Per Invoice'!M$2:M$401,$U292)="","",INDEX('Per Invoice'!M$2:M$401,$U292)))</f>
        <v/>
      </c>
      <c r="N292">
        <f>IF($U292="","",IF(INDEX('Per Invoice'!N$2:N$401,$U292)="","",INDEX('Per Invoice'!N$2:N$401,$U292)))</f>
        <v/>
      </c>
      <c r="O292" s="7">
        <f>IF($U292="","",IF(INDEX('Per Invoice'!O$2:O$401,$U292)="","",INDEX('Per Invoice'!O$2:O$401,$U292)))</f>
        <v/>
      </c>
      <c r="P292" s="7">
        <f>IF($U292="","",IF(INDEX('Per Invoice'!P$2:P$401,$U292)="","",INDEX('Per Invoice'!P$2:P$401,$U292)))</f>
        <v/>
      </c>
      <c r="Q292" s="7">
        <f>IF($U292="","",IF(INDEX('Per Invoice'!Q$2:Q$401,$U292)="","",INDEX('Per Invoice'!Q$2:Q$401,$U292)))</f>
        <v/>
      </c>
      <c r="R292" s="7">
        <f>IF($U292="","",IF(INDEX('Per Invoice'!R$2:R$401,$U292)="","",INDEX('Per Invoice'!R$2:R$401,$U292)))</f>
        <v/>
      </c>
      <c r="S292" s="7">
        <f>IF($U292="","",IF(INDEX('Per Invoice'!S$2:S$401,$U292)="","",INDEX('Per Invoice'!S$2:S$401,$U292)))</f>
        <v/>
      </c>
      <c r="T292" s="7">
        <f>IF($U292="","",IF(INDEX('Per Invoice'!T$2:T$401,$U292)="","",INDEX('Per Invoice'!T$2:T$401,$U292)))</f>
        <v/>
      </c>
      <c r="U292" s="16">
        <f>IFERROR(MATCH(Settings!$C$26&amp;"|"&amp;ROWS($U$2:$U292),'Per Invoice'!$V$2:$V$401,0),"")</f>
        <v/>
      </c>
    </row>
    <row r="293">
      <c r="A293">
        <f>IF($U293="","",IF(INDEX('Per Invoice'!A$2:A$401,$U293)="","",INDEX('Per Invoice'!A$2:A$401,$U293)))</f>
        <v/>
      </c>
      <c r="B293">
        <f>IF($U293="","",IF(INDEX('Per Invoice'!B$2:B$401,$U293)="","",INDEX('Per Invoice'!B$2:B$401,$U293)))</f>
        <v/>
      </c>
      <c r="C293">
        <f>IF($U293="","",IF(INDEX('Per Invoice'!C$2:C$401,$U293)="","",INDEX('Per Invoice'!C$2:C$401,$U293)))</f>
        <v/>
      </c>
      <c r="D293">
        <f>IF($U293="","",IF(INDEX('Per Invoice'!D$2:D$401,$U293)="","",INDEX('Per Invoice'!D$2:D$401,$U293)))</f>
        <v/>
      </c>
      <c r="E293">
        <f>IF($U293="","",IF(INDEX('Per Invoice'!E$2:E$401,$U293)="","",INDEX('Per Invoice'!E$2:E$401,$U293)))</f>
        <v/>
      </c>
      <c r="F293">
        <f>IF($U293="","",IF(INDEX('Per Invoice'!F$2:F$401,$U293)="","",INDEX('Per Invoice'!F$2:F$401,$U293)))</f>
        <v/>
      </c>
      <c r="G293">
        <f>IF($U293="","",IF(INDEX('Per Invoice'!G$2:G$401,$U293)="","",INDEX('Per Invoice'!G$2:G$401,$U293)))</f>
        <v/>
      </c>
      <c r="H293" s="7">
        <f>IF($U293="","",IF(INDEX('Per Invoice'!H$2:H$401,$U293)="","",INDEX('Per Invoice'!H$2:H$401,$U293)))</f>
        <v/>
      </c>
      <c r="I293" s="14">
        <f>IF($U293="","",IF(INDEX('Per Invoice'!I$2:I$401,$U293)="","",INDEX('Per Invoice'!I$2:I$401,$U293)))</f>
        <v/>
      </c>
      <c r="J293">
        <f>IF($U293="","",IF(INDEX('Per Invoice'!J$2:J$401,$U293)="","",INDEX('Per Invoice'!J$2:J$401,$U293)))</f>
        <v/>
      </c>
      <c r="K293">
        <f>IF($U293="","",IF(INDEX('Per Invoice'!K$2:K$401,$U293)="","",INDEX('Per Invoice'!K$2:K$401,$U293)))</f>
        <v/>
      </c>
      <c r="L293" s="7">
        <f>IF($U293="","",IF(INDEX('Per Invoice'!L$2:L$401,$U293)="","",INDEX('Per Invoice'!L$2:L$401,$U293)))</f>
        <v/>
      </c>
      <c r="M293" s="7">
        <f>IF($U293="","",IF(INDEX('Per Invoice'!M$2:M$401,$U293)="","",INDEX('Per Invoice'!M$2:M$401,$U293)))</f>
        <v/>
      </c>
      <c r="N293">
        <f>IF($U293="","",IF(INDEX('Per Invoice'!N$2:N$401,$U293)="","",INDEX('Per Invoice'!N$2:N$401,$U293)))</f>
        <v/>
      </c>
      <c r="O293" s="7">
        <f>IF($U293="","",IF(INDEX('Per Invoice'!O$2:O$401,$U293)="","",INDEX('Per Invoice'!O$2:O$401,$U293)))</f>
        <v/>
      </c>
      <c r="P293" s="7">
        <f>IF($U293="","",IF(INDEX('Per Invoice'!P$2:P$401,$U293)="","",INDEX('Per Invoice'!P$2:P$401,$U293)))</f>
        <v/>
      </c>
      <c r="Q293" s="7">
        <f>IF($U293="","",IF(INDEX('Per Invoice'!Q$2:Q$401,$U293)="","",INDEX('Per Invoice'!Q$2:Q$401,$U293)))</f>
        <v/>
      </c>
      <c r="R293" s="7">
        <f>IF($U293="","",IF(INDEX('Per Invoice'!R$2:R$401,$U293)="","",INDEX('Per Invoice'!R$2:R$401,$U293)))</f>
        <v/>
      </c>
      <c r="S293" s="7">
        <f>IF($U293="","",IF(INDEX('Per Invoice'!S$2:S$401,$U293)="","",INDEX('Per Invoice'!S$2:S$401,$U293)))</f>
        <v/>
      </c>
      <c r="T293" s="7">
        <f>IF($U293="","",IF(INDEX('Per Invoice'!T$2:T$401,$U293)="","",INDEX('Per Invoice'!T$2:T$401,$U293)))</f>
        <v/>
      </c>
      <c r="U293" s="16">
        <f>IFERROR(MATCH(Settings!$C$26&amp;"|"&amp;ROWS($U$2:$U293),'Per Invoice'!$V$2:$V$401,0),"")</f>
        <v/>
      </c>
    </row>
    <row r="294">
      <c r="A294">
        <f>IF($U294="","",IF(INDEX('Per Invoice'!A$2:A$401,$U294)="","",INDEX('Per Invoice'!A$2:A$401,$U294)))</f>
        <v/>
      </c>
      <c r="B294">
        <f>IF($U294="","",IF(INDEX('Per Invoice'!B$2:B$401,$U294)="","",INDEX('Per Invoice'!B$2:B$401,$U294)))</f>
        <v/>
      </c>
      <c r="C294">
        <f>IF($U294="","",IF(INDEX('Per Invoice'!C$2:C$401,$U294)="","",INDEX('Per Invoice'!C$2:C$401,$U294)))</f>
        <v/>
      </c>
      <c r="D294">
        <f>IF($U294="","",IF(INDEX('Per Invoice'!D$2:D$401,$U294)="","",INDEX('Per Invoice'!D$2:D$401,$U294)))</f>
        <v/>
      </c>
      <c r="E294">
        <f>IF($U294="","",IF(INDEX('Per Invoice'!E$2:E$401,$U294)="","",INDEX('Per Invoice'!E$2:E$401,$U294)))</f>
        <v/>
      </c>
      <c r="F294">
        <f>IF($U294="","",IF(INDEX('Per Invoice'!F$2:F$401,$U294)="","",INDEX('Per Invoice'!F$2:F$401,$U294)))</f>
        <v/>
      </c>
      <c r="G294">
        <f>IF($U294="","",IF(INDEX('Per Invoice'!G$2:G$401,$U294)="","",INDEX('Per Invoice'!G$2:G$401,$U294)))</f>
        <v/>
      </c>
      <c r="H294" s="7">
        <f>IF($U294="","",IF(INDEX('Per Invoice'!H$2:H$401,$U294)="","",INDEX('Per Invoice'!H$2:H$401,$U294)))</f>
        <v/>
      </c>
      <c r="I294" s="14">
        <f>IF($U294="","",IF(INDEX('Per Invoice'!I$2:I$401,$U294)="","",INDEX('Per Invoice'!I$2:I$401,$U294)))</f>
        <v/>
      </c>
      <c r="J294">
        <f>IF($U294="","",IF(INDEX('Per Invoice'!J$2:J$401,$U294)="","",INDEX('Per Invoice'!J$2:J$401,$U294)))</f>
        <v/>
      </c>
      <c r="K294">
        <f>IF($U294="","",IF(INDEX('Per Invoice'!K$2:K$401,$U294)="","",INDEX('Per Invoice'!K$2:K$401,$U294)))</f>
        <v/>
      </c>
      <c r="L294" s="7">
        <f>IF($U294="","",IF(INDEX('Per Invoice'!L$2:L$401,$U294)="","",INDEX('Per Invoice'!L$2:L$401,$U294)))</f>
        <v/>
      </c>
      <c r="M294" s="7">
        <f>IF($U294="","",IF(INDEX('Per Invoice'!M$2:M$401,$U294)="","",INDEX('Per Invoice'!M$2:M$401,$U294)))</f>
        <v/>
      </c>
      <c r="N294">
        <f>IF($U294="","",IF(INDEX('Per Invoice'!N$2:N$401,$U294)="","",INDEX('Per Invoice'!N$2:N$401,$U294)))</f>
        <v/>
      </c>
      <c r="O294" s="7">
        <f>IF($U294="","",IF(INDEX('Per Invoice'!O$2:O$401,$U294)="","",INDEX('Per Invoice'!O$2:O$401,$U294)))</f>
        <v/>
      </c>
      <c r="P294" s="7">
        <f>IF($U294="","",IF(INDEX('Per Invoice'!P$2:P$401,$U294)="","",INDEX('Per Invoice'!P$2:P$401,$U294)))</f>
        <v/>
      </c>
      <c r="Q294" s="7">
        <f>IF($U294="","",IF(INDEX('Per Invoice'!Q$2:Q$401,$U294)="","",INDEX('Per Invoice'!Q$2:Q$401,$U294)))</f>
        <v/>
      </c>
      <c r="R294" s="7">
        <f>IF($U294="","",IF(INDEX('Per Invoice'!R$2:R$401,$U294)="","",INDEX('Per Invoice'!R$2:R$401,$U294)))</f>
        <v/>
      </c>
      <c r="S294" s="7">
        <f>IF($U294="","",IF(INDEX('Per Invoice'!S$2:S$401,$U294)="","",INDEX('Per Invoice'!S$2:S$401,$U294)))</f>
        <v/>
      </c>
      <c r="T294" s="7">
        <f>IF($U294="","",IF(INDEX('Per Invoice'!T$2:T$401,$U294)="","",INDEX('Per Invoice'!T$2:T$401,$U294)))</f>
        <v/>
      </c>
      <c r="U294" s="16">
        <f>IFERROR(MATCH(Settings!$C$26&amp;"|"&amp;ROWS($U$2:$U294),'Per Invoice'!$V$2:$V$401,0),"")</f>
        <v/>
      </c>
    </row>
    <row r="295">
      <c r="A295">
        <f>IF($U295="","",IF(INDEX('Per Invoice'!A$2:A$401,$U295)="","",INDEX('Per Invoice'!A$2:A$401,$U295)))</f>
        <v/>
      </c>
      <c r="B295">
        <f>IF($U295="","",IF(INDEX('Per Invoice'!B$2:B$401,$U295)="","",INDEX('Per Invoice'!B$2:B$401,$U295)))</f>
        <v/>
      </c>
      <c r="C295">
        <f>IF($U295="","",IF(INDEX('Per Invoice'!C$2:C$401,$U295)="","",INDEX('Per Invoice'!C$2:C$401,$U295)))</f>
        <v/>
      </c>
      <c r="D295">
        <f>IF($U295="","",IF(INDEX('Per Invoice'!D$2:D$401,$U295)="","",INDEX('Per Invoice'!D$2:D$401,$U295)))</f>
        <v/>
      </c>
      <c r="E295">
        <f>IF($U295="","",IF(INDEX('Per Invoice'!E$2:E$401,$U295)="","",INDEX('Per Invoice'!E$2:E$401,$U295)))</f>
        <v/>
      </c>
      <c r="F295">
        <f>IF($U295="","",IF(INDEX('Per Invoice'!F$2:F$401,$U295)="","",INDEX('Per Invoice'!F$2:F$401,$U295)))</f>
        <v/>
      </c>
      <c r="G295">
        <f>IF($U295="","",IF(INDEX('Per Invoice'!G$2:G$401,$U295)="","",INDEX('Per Invoice'!G$2:G$401,$U295)))</f>
        <v/>
      </c>
      <c r="H295" s="7">
        <f>IF($U295="","",IF(INDEX('Per Invoice'!H$2:H$401,$U295)="","",INDEX('Per Invoice'!H$2:H$401,$U295)))</f>
        <v/>
      </c>
      <c r="I295" s="14">
        <f>IF($U295="","",IF(INDEX('Per Invoice'!I$2:I$401,$U295)="","",INDEX('Per Invoice'!I$2:I$401,$U295)))</f>
        <v/>
      </c>
      <c r="J295">
        <f>IF($U295="","",IF(INDEX('Per Invoice'!J$2:J$401,$U295)="","",INDEX('Per Invoice'!J$2:J$401,$U295)))</f>
        <v/>
      </c>
      <c r="K295">
        <f>IF($U295="","",IF(INDEX('Per Invoice'!K$2:K$401,$U295)="","",INDEX('Per Invoice'!K$2:K$401,$U295)))</f>
        <v/>
      </c>
      <c r="L295" s="7">
        <f>IF($U295="","",IF(INDEX('Per Invoice'!L$2:L$401,$U295)="","",INDEX('Per Invoice'!L$2:L$401,$U295)))</f>
        <v/>
      </c>
      <c r="M295" s="7">
        <f>IF($U295="","",IF(INDEX('Per Invoice'!M$2:M$401,$U295)="","",INDEX('Per Invoice'!M$2:M$401,$U295)))</f>
        <v/>
      </c>
      <c r="N295">
        <f>IF($U295="","",IF(INDEX('Per Invoice'!N$2:N$401,$U295)="","",INDEX('Per Invoice'!N$2:N$401,$U295)))</f>
        <v/>
      </c>
      <c r="O295" s="7">
        <f>IF($U295="","",IF(INDEX('Per Invoice'!O$2:O$401,$U295)="","",INDEX('Per Invoice'!O$2:O$401,$U295)))</f>
        <v/>
      </c>
      <c r="P295" s="7">
        <f>IF($U295="","",IF(INDEX('Per Invoice'!P$2:P$401,$U295)="","",INDEX('Per Invoice'!P$2:P$401,$U295)))</f>
        <v/>
      </c>
      <c r="Q295" s="7">
        <f>IF($U295="","",IF(INDEX('Per Invoice'!Q$2:Q$401,$U295)="","",INDEX('Per Invoice'!Q$2:Q$401,$U295)))</f>
        <v/>
      </c>
      <c r="R295" s="7">
        <f>IF($U295="","",IF(INDEX('Per Invoice'!R$2:R$401,$U295)="","",INDEX('Per Invoice'!R$2:R$401,$U295)))</f>
        <v/>
      </c>
      <c r="S295" s="7">
        <f>IF($U295="","",IF(INDEX('Per Invoice'!S$2:S$401,$U295)="","",INDEX('Per Invoice'!S$2:S$401,$U295)))</f>
        <v/>
      </c>
      <c r="T295" s="7">
        <f>IF($U295="","",IF(INDEX('Per Invoice'!T$2:T$401,$U295)="","",INDEX('Per Invoice'!T$2:T$401,$U295)))</f>
        <v/>
      </c>
      <c r="U295" s="16">
        <f>IFERROR(MATCH(Settings!$C$26&amp;"|"&amp;ROWS($U$2:$U295),'Per Invoice'!$V$2:$V$401,0),"")</f>
        <v/>
      </c>
    </row>
    <row r="296">
      <c r="A296">
        <f>IF($U296="","",IF(INDEX('Per Invoice'!A$2:A$401,$U296)="","",INDEX('Per Invoice'!A$2:A$401,$U296)))</f>
        <v/>
      </c>
      <c r="B296">
        <f>IF($U296="","",IF(INDEX('Per Invoice'!B$2:B$401,$U296)="","",INDEX('Per Invoice'!B$2:B$401,$U296)))</f>
        <v/>
      </c>
      <c r="C296">
        <f>IF($U296="","",IF(INDEX('Per Invoice'!C$2:C$401,$U296)="","",INDEX('Per Invoice'!C$2:C$401,$U296)))</f>
        <v/>
      </c>
      <c r="D296">
        <f>IF($U296="","",IF(INDEX('Per Invoice'!D$2:D$401,$U296)="","",INDEX('Per Invoice'!D$2:D$401,$U296)))</f>
        <v/>
      </c>
      <c r="E296">
        <f>IF($U296="","",IF(INDEX('Per Invoice'!E$2:E$401,$U296)="","",INDEX('Per Invoice'!E$2:E$401,$U296)))</f>
        <v/>
      </c>
      <c r="F296">
        <f>IF($U296="","",IF(INDEX('Per Invoice'!F$2:F$401,$U296)="","",INDEX('Per Invoice'!F$2:F$401,$U296)))</f>
        <v/>
      </c>
      <c r="G296">
        <f>IF($U296="","",IF(INDEX('Per Invoice'!G$2:G$401,$U296)="","",INDEX('Per Invoice'!G$2:G$401,$U296)))</f>
        <v/>
      </c>
      <c r="H296" s="7">
        <f>IF($U296="","",IF(INDEX('Per Invoice'!H$2:H$401,$U296)="","",INDEX('Per Invoice'!H$2:H$401,$U296)))</f>
        <v/>
      </c>
      <c r="I296" s="14">
        <f>IF($U296="","",IF(INDEX('Per Invoice'!I$2:I$401,$U296)="","",INDEX('Per Invoice'!I$2:I$401,$U296)))</f>
        <v/>
      </c>
      <c r="J296">
        <f>IF($U296="","",IF(INDEX('Per Invoice'!J$2:J$401,$U296)="","",INDEX('Per Invoice'!J$2:J$401,$U296)))</f>
        <v/>
      </c>
      <c r="K296">
        <f>IF($U296="","",IF(INDEX('Per Invoice'!K$2:K$401,$U296)="","",INDEX('Per Invoice'!K$2:K$401,$U296)))</f>
        <v/>
      </c>
      <c r="L296" s="7">
        <f>IF($U296="","",IF(INDEX('Per Invoice'!L$2:L$401,$U296)="","",INDEX('Per Invoice'!L$2:L$401,$U296)))</f>
        <v/>
      </c>
      <c r="M296" s="7">
        <f>IF($U296="","",IF(INDEX('Per Invoice'!M$2:M$401,$U296)="","",INDEX('Per Invoice'!M$2:M$401,$U296)))</f>
        <v/>
      </c>
      <c r="N296">
        <f>IF($U296="","",IF(INDEX('Per Invoice'!N$2:N$401,$U296)="","",INDEX('Per Invoice'!N$2:N$401,$U296)))</f>
        <v/>
      </c>
      <c r="O296" s="7">
        <f>IF($U296="","",IF(INDEX('Per Invoice'!O$2:O$401,$U296)="","",INDEX('Per Invoice'!O$2:O$401,$U296)))</f>
        <v/>
      </c>
      <c r="P296" s="7">
        <f>IF($U296="","",IF(INDEX('Per Invoice'!P$2:P$401,$U296)="","",INDEX('Per Invoice'!P$2:P$401,$U296)))</f>
        <v/>
      </c>
      <c r="Q296" s="7">
        <f>IF($U296="","",IF(INDEX('Per Invoice'!Q$2:Q$401,$U296)="","",INDEX('Per Invoice'!Q$2:Q$401,$U296)))</f>
        <v/>
      </c>
      <c r="R296" s="7">
        <f>IF($U296="","",IF(INDEX('Per Invoice'!R$2:R$401,$U296)="","",INDEX('Per Invoice'!R$2:R$401,$U296)))</f>
        <v/>
      </c>
      <c r="S296" s="7">
        <f>IF($U296="","",IF(INDEX('Per Invoice'!S$2:S$401,$U296)="","",INDEX('Per Invoice'!S$2:S$401,$U296)))</f>
        <v/>
      </c>
      <c r="T296" s="7">
        <f>IF($U296="","",IF(INDEX('Per Invoice'!T$2:T$401,$U296)="","",INDEX('Per Invoice'!T$2:T$401,$U296)))</f>
        <v/>
      </c>
      <c r="U296" s="16">
        <f>IFERROR(MATCH(Settings!$C$26&amp;"|"&amp;ROWS($U$2:$U296),'Per Invoice'!$V$2:$V$401,0),"")</f>
        <v/>
      </c>
    </row>
    <row r="297">
      <c r="A297">
        <f>IF($U297="","",IF(INDEX('Per Invoice'!A$2:A$401,$U297)="","",INDEX('Per Invoice'!A$2:A$401,$U297)))</f>
        <v/>
      </c>
      <c r="B297">
        <f>IF($U297="","",IF(INDEX('Per Invoice'!B$2:B$401,$U297)="","",INDEX('Per Invoice'!B$2:B$401,$U297)))</f>
        <v/>
      </c>
      <c r="C297">
        <f>IF($U297="","",IF(INDEX('Per Invoice'!C$2:C$401,$U297)="","",INDEX('Per Invoice'!C$2:C$401,$U297)))</f>
        <v/>
      </c>
      <c r="D297">
        <f>IF($U297="","",IF(INDEX('Per Invoice'!D$2:D$401,$U297)="","",INDEX('Per Invoice'!D$2:D$401,$U297)))</f>
        <v/>
      </c>
      <c r="E297">
        <f>IF($U297="","",IF(INDEX('Per Invoice'!E$2:E$401,$U297)="","",INDEX('Per Invoice'!E$2:E$401,$U297)))</f>
        <v/>
      </c>
      <c r="F297">
        <f>IF($U297="","",IF(INDEX('Per Invoice'!F$2:F$401,$U297)="","",INDEX('Per Invoice'!F$2:F$401,$U297)))</f>
        <v/>
      </c>
      <c r="G297">
        <f>IF($U297="","",IF(INDEX('Per Invoice'!G$2:G$401,$U297)="","",INDEX('Per Invoice'!G$2:G$401,$U297)))</f>
        <v/>
      </c>
      <c r="H297" s="7">
        <f>IF($U297="","",IF(INDEX('Per Invoice'!H$2:H$401,$U297)="","",INDEX('Per Invoice'!H$2:H$401,$U297)))</f>
        <v/>
      </c>
      <c r="I297" s="14">
        <f>IF($U297="","",IF(INDEX('Per Invoice'!I$2:I$401,$U297)="","",INDEX('Per Invoice'!I$2:I$401,$U297)))</f>
        <v/>
      </c>
      <c r="J297">
        <f>IF($U297="","",IF(INDEX('Per Invoice'!J$2:J$401,$U297)="","",INDEX('Per Invoice'!J$2:J$401,$U297)))</f>
        <v/>
      </c>
      <c r="K297">
        <f>IF($U297="","",IF(INDEX('Per Invoice'!K$2:K$401,$U297)="","",INDEX('Per Invoice'!K$2:K$401,$U297)))</f>
        <v/>
      </c>
      <c r="L297" s="7">
        <f>IF($U297="","",IF(INDEX('Per Invoice'!L$2:L$401,$U297)="","",INDEX('Per Invoice'!L$2:L$401,$U297)))</f>
        <v/>
      </c>
      <c r="M297" s="7">
        <f>IF($U297="","",IF(INDEX('Per Invoice'!M$2:M$401,$U297)="","",INDEX('Per Invoice'!M$2:M$401,$U297)))</f>
        <v/>
      </c>
      <c r="N297">
        <f>IF($U297="","",IF(INDEX('Per Invoice'!N$2:N$401,$U297)="","",INDEX('Per Invoice'!N$2:N$401,$U297)))</f>
        <v/>
      </c>
      <c r="O297" s="7">
        <f>IF($U297="","",IF(INDEX('Per Invoice'!O$2:O$401,$U297)="","",INDEX('Per Invoice'!O$2:O$401,$U297)))</f>
        <v/>
      </c>
      <c r="P297" s="7">
        <f>IF($U297="","",IF(INDEX('Per Invoice'!P$2:P$401,$U297)="","",INDEX('Per Invoice'!P$2:P$401,$U297)))</f>
        <v/>
      </c>
      <c r="Q297" s="7">
        <f>IF($U297="","",IF(INDEX('Per Invoice'!Q$2:Q$401,$U297)="","",INDEX('Per Invoice'!Q$2:Q$401,$U297)))</f>
        <v/>
      </c>
      <c r="R297" s="7">
        <f>IF($U297="","",IF(INDEX('Per Invoice'!R$2:R$401,$U297)="","",INDEX('Per Invoice'!R$2:R$401,$U297)))</f>
        <v/>
      </c>
      <c r="S297" s="7">
        <f>IF($U297="","",IF(INDEX('Per Invoice'!S$2:S$401,$U297)="","",INDEX('Per Invoice'!S$2:S$401,$U297)))</f>
        <v/>
      </c>
      <c r="T297" s="7">
        <f>IF($U297="","",IF(INDEX('Per Invoice'!T$2:T$401,$U297)="","",INDEX('Per Invoice'!T$2:T$401,$U297)))</f>
        <v/>
      </c>
      <c r="U297" s="16">
        <f>IFERROR(MATCH(Settings!$C$26&amp;"|"&amp;ROWS($U$2:$U297),'Per Invoice'!$V$2:$V$401,0),"")</f>
        <v/>
      </c>
    </row>
    <row r="298">
      <c r="A298">
        <f>IF($U298="","",IF(INDEX('Per Invoice'!A$2:A$401,$U298)="","",INDEX('Per Invoice'!A$2:A$401,$U298)))</f>
        <v/>
      </c>
      <c r="B298">
        <f>IF($U298="","",IF(INDEX('Per Invoice'!B$2:B$401,$U298)="","",INDEX('Per Invoice'!B$2:B$401,$U298)))</f>
        <v/>
      </c>
      <c r="C298">
        <f>IF($U298="","",IF(INDEX('Per Invoice'!C$2:C$401,$U298)="","",INDEX('Per Invoice'!C$2:C$401,$U298)))</f>
        <v/>
      </c>
      <c r="D298">
        <f>IF($U298="","",IF(INDEX('Per Invoice'!D$2:D$401,$U298)="","",INDEX('Per Invoice'!D$2:D$401,$U298)))</f>
        <v/>
      </c>
      <c r="E298">
        <f>IF($U298="","",IF(INDEX('Per Invoice'!E$2:E$401,$U298)="","",INDEX('Per Invoice'!E$2:E$401,$U298)))</f>
        <v/>
      </c>
      <c r="F298">
        <f>IF($U298="","",IF(INDEX('Per Invoice'!F$2:F$401,$U298)="","",INDEX('Per Invoice'!F$2:F$401,$U298)))</f>
        <v/>
      </c>
      <c r="G298">
        <f>IF($U298="","",IF(INDEX('Per Invoice'!G$2:G$401,$U298)="","",INDEX('Per Invoice'!G$2:G$401,$U298)))</f>
        <v/>
      </c>
      <c r="H298" s="7">
        <f>IF($U298="","",IF(INDEX('Per Invoice'!H$2:H$401,$U298)="","",INDEX('Per Invoice'!H$2:H$401,$U298)))</f>
        <v/>
      </c>
      <c r="I298" s="14">
        <f>IF($U298="","",IF(INDEX('Per Invoice'!I$2:I$401,$U298)="","",INDEX('Per Invoice'!I$2:I$401,$U298)))</f>
        <v/>
      </c>
      <c r="J298">
        <f>IF($U298="","",IF(INDEX('Per Invoice'!J$2:J$401,$U298)="","",INDEX('Per Invoice'!J$2:J$401,$U298)))</f>
        <v/>
      </c>
      <c r="K298">
        <f>IF($U298="","",IF(INDEX('Per Invoice'!K$2:K$401,$U298)="","",INDEX('Per Invoice'!K$2:K$401,$U298)))</f>
        <v/>
      </c>
      <c r="L298" s="7">
        <f>IF($U298="","",IF(INDEX('Per Invoice'!L$2:L$401,$U298)="","",INDEX('Per Invoice'!L$2:L$401,$U298)))</f>
        <v/>
      </c>
      <c r="M298" s="7">
        <f>IF($U298="","",IF(INDEX('Per Invoice'!M$2:M$401,$U298)="","",INDEX('Per Invoice'!M$2:M$401,$U298)))</f>
        <v/>
      </c>
      <c r="N298">
        <f>IF($U298="","",IF(INDEX('Per Invoice'!N$2:N$401,$U298)="","",INDEX('Per Invoice'!N$2:N$401,$U298)))</f>
        <v/>
      </c>
      <c r="O298" s="7">
        <f>IF($U298="","",IF(INDEX('Per Invoice'!O$2:O$401,$U298)="","",INDEX('Per Invoice'!O$2:O$401,$U298)))</f>
        <v/>
      </c>
      <c r="P298" s="7">
        <f>IF($U298="","",IF(INDEX('Per Invoice'!P$2:P$401,$U298)="","",INDEX('Per Invoice'!P$2:P$401,$U298)))</f>
        <v/>
      </c>
      <c r="Q298" s="7">
        <f>IF($U298="","",IF(INDEX('Per Invoice'!Q$2:Q$401,$U298)="","",INDEX('Per Invoice'!Q$2:Q$401,$U298)))</f>
        <v/>
      </c>
      <c r="R298" s="7">
        <f>IF($U298="","",IF(INDEX('Per Invoice'!R$2:R$401,$U298)="","",INDEX('Per Invoice'!R$2:R$401,$U298)))</f>
        <v/>
      </c>
      <c r="S298" s="7">
        <f>IF($U298="","",IF(INDEX('Per Invoice'!S$2:S$401,$U298)="","",INDEX('Per Invoice'!S$2:S$401,$U298)))</f>
        <v/>
      </c>
      <c r="T298" s="7">
        <f>IF($U298="","",IF(INDEX('Per Invoice'!T$2:T$401,$U298)="","",INDEX('Per Invoice'!T$2:T$401,$U298)))</f>
        <v/>
      </c>
      <c r="U298" s="16">
        <f>IFERROR(MATCH(Settings!$C$26&amp;"|"&amp;ROWS($U$2:$U298),'Per Invoice'!$V$2:$V$401,0),"")</f>
        <v/>
      </c>
    </row>
    <row r="299">
      <c r="A299">
        <f>IF($U299="","",IF(INDEX('Per Invoice'!A$2:A$401,$U299)="","",INDEX('Per Invoice'!A$2:A$401,$U299)))</f>
        <v/>
      </c>
      <c r="B299">
        <f>IF($U299="","",IF(INDEX('Per Invoice'!B$2:B$401,$U299)="","",INDEX('Per Invoice'!B$2:B$401,$U299)))</f>
        <v/>
      </c>
      <c r="C299">
        <f>IF($U299="","",IF(INDEX('Per Invoice'!C$2:C$401,$U299)="","",INDEX('Per Invoice'!C$2:C$401,$U299)))</f>
        <v/>
      </c>
      <c r="D299">
        <f>IF($U299="","",IF(INDEX('Per Invoice'!D$2:D$401,$U299)="","",INDEX('Per Invoice'!D$2:D$401,$U299)))</f>
        <v/>
      </c>
      <c r="E299">
        <f>IF($U299="","",IF(INDEX('Per Invoice'!E$2:E$401,$U299)="","",INDEX('Per Invoice'!E$2:E$401,$U299)))</f>
        <v/>
      </c>
      <c r="F299">
        <f>IF($U299="","",IF(INDEX('Per Invoice'!F$2:F$401,$U299)="","",INDEX('Per Invoice'!F$2:F$401,$U299)))</f>
        <v/>
      </c>
      <c r="G299">
        <f>IF($U299="","",IF(INDEX('Per Invoice'!G$2:G$401,$U299)="","",INDEX('Per Invoice'!G$2:G$401,$U299)))</f>
        <v/>
      </c>
      <c r="H299" s="7">
        <f>IF($U299="","",IF(INDEX('Per Invoice'!H$2:H$401,$U299)="","",INDEX('Per Invoice'!H$2:H$401,$U299)))</f>
        <v/>
      </c>
      <c r="I299" s="14">
        <f>IF($U299="","",IF(INDEX('Per Invoice'!I$2:I$401,$U299)="","",INDEX('Per Invoice'!I$2:I$401,$U299)))</f>
        <v/>
      </c>
      <c r="J299">
        <f>IF($U299="","",IF(INDEX('Per Invoice'!J$2:J$401,$U299)="","",INDEX('Per Invoice'!J$2:J$401,$U299)))</f>
        <v/>
      </c>
      <c r="K299">
        <f>IF($U299="","",IF(INDEX('Per Invoice'!K$2:K$401,$U299)="","",INDEX('Per Invoice'!K$2:K$401,$U299)))</f>
        <v/>
      </c>
      <c r="L299" s="7">
        <f>IF($U299="","",IF(INDEX('Per Invoice'!L$2:L$401,$U299)="","",INDEX('Per Invoice'!L$2:L$401,$U299)))</f>
        <v/>
      </c>
      <c r="M299" s="7">
        <f>IF($U299="","",IF(INDEX('Per Invoice'!M$2:M$401,$U299)="","",INDEX('Per Invoice'!M$2:M$401,$U299)))</f>
        <v/>
      </c>
      <c r="N299">
        <f>IF($U299="","",IF(INDEX('Per Invoice'!N$2:N$401,$U299)="","",INDEX('Per Invoice'!N$2:N$401,$U299)))</f>
        <v/>
      </c>
      <c r="O299" s="7">
        <f>IF($U299="","",IF(INDEX('Per Invoice'!O$2:O$401,$U299)="","",INDEX('Per Invoice'!O$2:O$401,$U299)))</f>
        <v/>
      </c>
      <c r="P299" s="7">
        <f>IF($U299="","",IF(INDEX('Per Invoice'!P$2:P$401,$U299)="","",INDEX('Per Invoice'!P$2:P$401,$U299)))</f>
        <v/>
      </c>
      <c r="Q299" s="7">
        <f>IF($U299="","",IF(INDEX('Per Invoice'!Q$2:Q$401,$U299)="","",INDEX('Per Invoice'!Q$2:Q$401,$U299)))</f>
        <v/>
      </c>
      <c r="R299" s="7">
        <f>IF($U299="","",IF(INDEX('Per Invoice'!R$2:R$401,$U299)="","",INDEX('Per Invoice'!R$2:R$401,$U299)))</f>
        <v/>
      </c>
      <c r="S299" s="7">
        <f>IF($U299="","",IF(INDEX('Per Invoice'!S$2:S$401,$U299)="","",INDEX('Per Invoice'!S$2:S$401,$U299)))</f>
        <v/>
      </c>
      <c r="T299" s="7">
        <f>IF($U299="","",IF(INDEX('Per Invoice'!T$2:T$401,$U299)="","",INDEX('Per Invoice'!T$2:T$401,$U299)))</f>
        <v/>
      </c>
      <c r="U299" s="16">
        <f>IFERROR(MATCH(Settings!$C$26&amp;"|"&amp;ROWS($U$2:$U299),'Per Invoice'!$V$2:$V$401,0),"")</f>
        <v/>
      </c>
    </row>
    <row r="300">
      <c r="A300">
        <f>IF($U300="","",IF(INDEX('Per Invoice'!A$2:A$401,$U300)="","",INDEX('Per Invoice'!A$2:A$401,$U300)))</f>
        <v/>
      </c>
      <c r="B300">
        <f>IF($U300="","",IF(INDEX('Per Invoice'!B$2:B$401,$U300)="","",INDEX('Per Invoice'!B$2:B$401,$U300)))</f>
        <v/>
      </c>
      <c r="C300">
        <f>IF($U300="","",IF(INDEX('Per Invoice'!C$2:C$401,$U300)="","",INDEX('Per Invoice'!C$2:C$401,$U300)))</f>
        <v/>
      </c>
      <c r="D300">
        <f>IF($U300="","",IF(INDEX('Per Invoice'!D$2:D$401,$U300)="","",INDEX('Per Invoice'!D$2:D$401,$U300)))</f>
        <v/>
      </c>
      <c r="E300">
        <f>IF($U300="","",IF(INDEX('Per Invoice'!E$2:E$401,$U300)="","",INDEX('Per Invoice'!E$2:E$401,$U300)))</f>
        <v/>
      </c>
      <c r="F300">
        <f>IF($U300="","",IF(INDEX('Per Invoice'!F$2:F$401,$U300)="","",INDEX('Per Invoice'!F$2:F$401,$U300)))</f>
        <v/>
      </c>
      <c r="G300">
        <f>IF($U300="","",IF(INDEX('Per Invoice'!G$2:G$401,$U300)="","",INDEX('Per Invoice'!G$2:G$401,$U300)))</f>
        <v/>
      </c>
      <c r="H300" s="7">
        <f>IF($U300="","",IF(INDEX('Per Invoice'!H$2:H$401,$U300)="","",INDEX('Per Invoice'!H$2:H$401,$U300)))</f>
        <v/>
      </c>
      <c r="I300" s="14">
        <f>IF($U300="","",IF(INDEX('Per Invoice'!I$2:I$401,$U300)="","",INDEX('Per Invoice'!I$2:I$401,$U300)))</f>
        <v/>
      </c>
      <c r="J300">
        <f>IF($U300="","",IF(INDEX('Per Invoice'!J$2:J$401,$U300)="","",INDEX('Per Invoice'!J$2:J$401,$U300)))</f>
        <v/>
      </c>
      <c r="K300">
        <f>IF($U300="","",IF(INDEX('Per Invoice'!K$2:K$401,$U300)="","",INDEX('Per Invoice'!K$2:K$401,$U300)))</f>
        <v/>
      </c>
      <c r="L300" s="7">
        <f>IF($U300="","",IF(INDEX('Per Invoice'!L$2:L$401,$U300)="","",INDEX('Per Invoice'!L$2:L$401,$U300)))</f>
        <v/>
      </c>
      <c r="M300" s="7">
        <f>IF($U300="","",IF(INDEX('Per Invoice'!M$2:M$401,$U300)="","",INDEX('Per Invoice'!M$2:M$401,$U300)))</f>
        <v/>
      </c>
      <c r="N300">
        <f>IF($U300="","",IF(INDEX('Per Invoice'!N$2:N$401,$U300)="","",INDEX('Per Invoice'!N$2:N$401,$U300)))</f>
        <v/>
      </c>
      <c r="O300" s="7">
        <f>IF($U300="","",IF(INDEX('Per Invoice'!O$2:O$401,$U300)="","",INDEX('Per Invoice'!O$2:O$401,$U300)))</f>
        <v/>
      </c>
      <c r="P300" s="7">
        <f>IF($U300="","",IF(INDEX('Per Invoice'!P$2:P$401,$U300)="","",INDEX('Per Invoice'!P$2:P$401,$U300)))</f>
        <v/>
      </c>
      <c r="Q300" s="7">
        <f>IF($U300="","",IF(INDEX('Per Invoice'!Q$2:Q$401,$U300)="","",INDEX('Per Invoice'!Q$2:Q$401,$U300)))</f>
        <v/>
      </c>
      <c r="R300" s="7">
        <f>IF($U300="","",IF(INDEX('Per Invoice'!R$2:R$401,$U300)="","",INDEX('Per Invoice'!R$2:R$401,$U300)))</f>
        <v/>
      </c>
      <c r="S300" s="7">
        <f>IF($U300="","",IF(INDEX('Per Invoice'!S$2:S$401,$U300)="","",INDEX('Per Invoice'!S$2:S$401,$U300)))</f>
        <v/>
      </c>
      <c r="T300" s="7">
        <f>IF($U300="","",IF(INDEX('Per Invoice'!T$2:T$401,$U300)="","",INDEX('Per Invoice'!T$2:T$401,$U300)))</f>
        <v/>
      </c>
      <c r="U300" s="16">
        <f>IFERROR(MATCH(Settings!$C$26&amp;"|"&amp;ROWS($U$2:$U300),'Per Invoice'!$V$2:$V$401,0),"")</f>
        <v/>
      </c>
    </row>
    <row r="301">
      <c r="A301">
        <f>IF($U301="","",IF(INDEX('Per Invoice'!A$2:A$401,$U301)="","",INDEX('Per Invoice'!A$2:A$401,$U301)))</f>
        <v/>
      </c>
      <c r="B301">
        <f>IF($U301="","",IF(INDEX('Per Invoice'!B$2:B$401,$U301)="","",INDEX('Per Invoice'!B$2:B$401,$U301)))</f>
        <v/>
      </c>
      <c r="C301">
        <f>IF($U301="","",IF(INDEX('Per Invoice'!C$2:C$401,$U301)="","",INDEX('Per Invoice'!C$2:C$401,$U301)))</f>
        <v/>
      </c>
      <c r="D301">
        <f>IF($U301="","",IF(INDEX('Per Invoice'!D$2:D$401,$U301)="","",INDEX('Per Invoice'!D$2:D$401,$U301)))</f>
        <v/>
      </c>
      <c r="E301">
        <f>IF($U301="","",IF(INDEX('Per Invoice'!E$2:E$401,$U301)="","",INDEX('Per Invoice'!E$2:E$401,$U301)))</f>
        <v/>
      </c>
      <c r="F301">
        <f>IF($U301="","",IF(INDEX('Per Invoice'!F$2:F$401,$U301)="","",INDEX('Per Invoice'!F$2:F$401,$U301)))</f>
        <v/>
      </c>
      <c r="G301">
        <f>IF($U301="","",IF(INDEX('Per Invoice'!G$2:G$401,$U301)="","",INDEX('Per Invoice'!G$2:G$401,$U301)))</f>
        <v/>
      </c>
      <c r="H301" s="7">
        <f>IF($U301="","",IF(INDEX('Per Invoice'!H$2:H$401,$U301)="","",INDEX('Per Invoice'!H$2:H$401,$U301)))</f>
        <v/>
      </c>
      <c r="I301" s="14">
        <f>IF($U301="","",IF(INDEX('Per Invoice'!I$2:I$401,$U301)="","",INDEX('Per Invoice'!I$2:I$401,$U301)))</f>
        <v/>
      </c>
      <c r="J301">
        <f>IF($U301="","",IF(INDEX('Per Invoice'!J$2:J$401,$U301)="","",INDEX('Per Invoice'!J$2:J$401,$U301)))</f>
        <v/>
      </c>
      <c r="K301">
        <f>IF($U301="","",IF(INDEX('Per Invoice'!K$2:K$401,$U301)="","",INDEX('Per Invoice'!K$2:K$401,$U301)))</f>
        <v/>
      </c>
      <c r="L301" s="7">
        <f>IF($U301="","",IF(INDEX('Per Invoice'!L$2:L$401,$U301)="","",INDEX('Per Invoice'!L$2:L$401,$U301)))</f>
        <v/>
      </c>
      <c r="M301" s="7">
        <f>IF($U301="","",IF(INDEX('Per Invoice'!M$2:M$401,$U301)="","",INDEX('Per Invoice'!M$2:M$401,$U301)))</f>
        <v/>
      </c>
      <c r="N301">
        <f>IF($U301="","",IF(INDEX('Per Invoice'!N$2:N$401,$U301)="","",INDEX('Per Invoice'!N$2:N$401,$U301)))</f>
        <v/>
      </c>
      <c r="O301" s="7">
        <f>IF($U301="","",IF(INDEX('Per Invoice'!O$2:O$401,$U301)="","",INDEX('Per Invoice'!O$2:O$401,$U301)))</f>
        <v/>
      </c>
      <c r="P301" s="7">
        <f>IF($U301="","",IF(INDEX('Per Invoice'!P$2:P$401,$U301)="","",INDEX('Per Invoice'!P$2:P$401,$U301)))</f>
        <v/>
      </c>
      <c r="Q301" s="7">
        <f>IF($U301="","",IF(INDEX('Per Invoice'!Q$2:Q$401,$U301)="","",INDEX('Per Invoice'!Q$2:Q$401,$U301)))</f>
        <v/>
      </c>
      <c r="R301" s="7">
        <f>IF($U301="","",IF(INDEX('Per Invoice'!R$2:R$401,$U301)="","",INDEX('Per Invoice'!R$2:R$401,$U301)))</f>
        <v/>
      </c>
      <c r="S301" s="7">
        <f>IF($U301="","",IF(INDEX('Per Invoice'!S$2:S$401,$U301)="","",INDEX('Per Invoice'!S$2:S$401,$U301)))</f>
        <v/>
      </c>
      <c r="T301" s="7">
        <f>IF($U301="","",IF(INDEX('Per Invoice'!T$2:T$401,$U301)="","",INDEX('Per Invoice'!T$2:T$401,$U301)))</f>
        <v/>
      </c>
      <c r="U301" s="16">
        <f>IFERROR(MATCH(Settings!$C$26&amp;"|"&amp;ROWS($U$2:$U301),'Per Invoice'!$V$2:$V$401,0),"")</f>
        <v/>
      </c>
    </row>
  </sheetData>
  <autoFilter ref="A1:U3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10" t="inlineStr">
        <is>
          <t>Pos Reference</t>
        </is>
      </c>
      <c r="B1" s="10" t="inlineStr">
        <is>
          <t>Copay Tab (##)</t>
        </is>
      </c>
      <c r="C1" s="10" t="inlineStr">
        <is>
          <t>Invoice</t>
        </is>
      </c>
      <c r="D1" s="10" t="inlineStr">
        <is>
          <t>Insurance Company</t>
        </is>
      </c>
      <c r="E1" s="10" t="inlineStr">
        <is>
          <t>Name</t>
        </is>
      </c>
      <c r="F1" s="10" t="inlineStr">
        <is>
          <t>Card Number</t>
        </is>
      </c>
      <c r="G1" s="10" t="inlineStr">
        <is>
          <t>Co Payment %</t>
        </is>
      </c>
      <c r="H1" s="10" t="inlineStr">
        <is>
          <t>Co val</t>
        </is>
      </c>
      <c r="I1" s="10" t="inlineStr">
        <is>
          <t>Create Date</t>
        </is>
      </c>
      <c r="J1" s="10" t="inlineStr">
        <is>
          <t>Session</t>
        </is>
      </c>
      <c r="K1" s="10" t="inlineStr">
        <is>
          <t>IMP%</t>
        </is>
      </c>
      <c r="L1" s="10" t="inlineStr">
        <is>
          <t>IMP</t>
        </is>
      </c>
      <c r="M1" s="10" t="inlineStr">
        <is>
          <t>IMP VAL</t>
        </is>
      </c>
      <c r="N1" s="10" t="inlineStr">
        <is>
          <t>LOCAL%</t>
        </is>
      </c>
      <c r="O1" s="10" t="inlineStr">
        <is>
          <t>LOCAL</t>
        </is>
      </c>
      <c r="P1" s="10" t="inlineStr">
        <is>
          <t>LOCAL VAL</t>
        </is>
      </c>
      <c r="Q1" s="10" t="inlineStr">
        <is>
          <t>TOTAL VAL</t>
        </is>
      </c>
      <c r="R1" s="10" t="inlineStr">
        <is>
          <t>SUBTOTAL</t>
        </is>
      </c>
      <c r="S1" s="10" t="inlineStr">
        <is>
          <t>Grand Total</t>
        </is>
      </c>
      <c r="T1" s="10" t="inlineStr">
        <is>
          <t>NET</t>
        </is>
      </c>
      <c r="U1" s="13" t="inlineStr">
        <is>
          <t>Src Row (helper)</t>
        </is>
      </c>
    </row>
    <row r="2">
      <c r="A2">
        <f>IF($U2="","",IF(INDEX('Per Invoice'!A$2:A$401,$U2)="","",INDEX('Per Invoice'!A$2:A$401,$U2)))</f>
        <v/>
      </c>
      <c r="B2">
        <f>IF($U2="","",IF(INDEX('Per Invoice'!B$2:B$401,$U2)="","",INDEX('Per Invoice'!B$2:B$401,$U2)))</f>
        <v/>
      </c>
      <c r="C2">
        <f>IF($U2="","",IF(INDEX('Per Invoice'!C$2:C$401,$U2)="","",INDEX('Per Invoice'!C$2:C$401,$U2)))</f>
        <v/>
      </c>
      <c r="D2">
        <f>IF($U2="","",IF(INDEX('Per Invoice'!D$2:D$401,$U2)="","",INDEX('Per Invoice'!D$2:D$401,$U2)))</f>
        <v/>
      </c>
      <c r="E2">
        <f>IF($U2="","",IF(INDEX('Per Invoice'!E$2:E$401,$U2)="","",INDEX('Per Invoice'!E$2:E$401,$U2)))</f>
        <v/>
      </c>
      <c r="F2">
        <f>IF($U2="","",IF(INDEX('Per Invoice'!F$2:F$401,$U2)="","",INDEX('Per Invoice'!F$2:F$401,$U2)))</f>
        <v/>
      </c>
      <c r="G2">
        <f>IF($U2="","",IF(INDEX('Per Invoice'!G$2:G$401,$U2)="","",INDEX('Per Invoice'!G$2:G$401,$U2)))</f>
        <v/>
      </c>
      <c r="H2" s="7">
        <f>IF($U2="","",IF(INDEX('Per Invoice'!H$2:H$401,$U2)="","",INDEX('Per Invoice'!H$2:H$401,$U2)))</f>
        <v/>
      </c>
      <c r="I2" s="14">
        <f>IF($U2="","",IF(INDEX('Per Invoice'!I$2:I$401,$U2)="","",INDEX('Per Invoice'!I$2:I$401,$U2)))</f>
        <v/>
      </c>
      <c r="J2">
        <f>IF($U2="","",IF(INDEX('Per Invoice'!J$2:J$401,$U2)="","",INDEX('Per Invoice'!J$2:J$401,$U2)))</f>
        <v/>
      </c>
      <c r="K2">
        <f>IF($U2="","",IF(INDEX('Per Invoice'!K$2:K$401,$U2)="","",INDEX('Per Invoice'!K$2:K$401,$U2)))</f>
        <v/>
      </c>
      <c r="L2" s="7">
        <f>IF($U2="","",IF(INDEX('Per Invoice'!L$2:L$401,$U2)="","",INDEX('Per Invoice'!L$2:L$401,$U2)))</f>
        <v/>
      </c>
      <c r="M2" s="7">
        <f>IF($U2="","",IF(INDEX('Per Invoice'!M$2:M$401,$U2)="","",INDEX('Per Invoice'!M$2:M$401,$U2)))</f>
        <v/>
      </c>
      <c r="N2">
        <f>IF($U2="","",IF(INDEX('Per Invoice'!N$2:N$401,$U2)="","",INDEX('Per Invoice'!N$2:N$401,$U2)))</f>
        <v/>
      </c>
      <c r="O2" s="7">
        <f>IF($U2="","",IF(INDEX('Per Invoice'!O$2:O$401,$U2)="","",INDEX('Per Invoice'!O$2:O$401,$U2)))</f>
        <v/>
      </c>
      <c r="P2" s="7">
        <f>IF($U2="","",IF(INDEX('Per Invoice'!P$2:P$401,$U2)="","",INDEX('Per Invoice'!P$2:P$401,$U2)))</f>
        <v/>
      </c>
      <c r="Q2" s="7">
        <f>IF($U2="","",IF(INDEX('Per Invoice'!Q$2:Q$401,$U2)="","",INDEX('Per Invoice'!Q$2:Q$401,$U2)))</f>
        <v/>
      </c>
      <c r="R2" s="7">
        <f>IF($U2="","",IF(INDEX('Per Invoice'!R$2:R$401,$U2)="","",INDEX('Per Invoice'!R$2:R$401,$U2)))</f>
        <v/>
      </c>
      <c r="S2" s="7">
        <f>IF($U2="","",IF(INDEX('Per Invoice'!S$2:S$401,$U2)="","",INDEX('Per Invoice'!S$2:S$401,$U2)))</f>
        <v/>
      </c>
      <c r="T2" s="7">
        <f>IF($U2="","",IF(INDEX('Per Invoice'!T$2:T$401,$U2)="","",INDEX('Per Invoice'!T$2:T$401,$U2)))</f>
        <v/>
      </c>
      <c r="U2" s="16">
        <f>IFERROR(MATCH(Settings!$C$27&amp;"|"&amp;ROWS($U$2:$U2),'Per Invoice'!$V$2:$V$401,0),"")</f>
        <v/>
      </c>
    </row>
    <row r="3">
      <c r="A3">
        <f>IF($U3="","",IF(INDEX('Per Invoice'!A$2:A$401,$U3)="","",INDEX('Per Invoice'!A$2:A$401,$U3)))</f>
        <v/>
      </c>
      <c r="B3">
        <f>IF($U3="","",IF(INDEX('Per Invoice'!B$2:B$401,$U3)="","",INDEX('Per Invoice'!B$2:B$401,$U3)))</f>
        <v/>
      </c>
      <c r="C3">
        <f>IF($U3="","",IF(INDEX('Per Invoice'!C$2:C$401,$U3)="","",INDEX('Per Invoice'!C$2:C$401,$U3)))</f>
        <v/>
      </c>
      <c r="D3">
        <f>IF($U3="","",IF(INDEX('Per Invoice'!D$2:D$401,$U3)="","",INDEX('Per Invoice'!D$2:D$401,$U3)))</f>
        <v/>
      </c>
      <c r="E3">
        <f>IF($U3="","",IF(INDEX('Per Invoice'!E$2:E$401,$U3)="","",INDEX('Per Invoice'!E$2:E$401,$U3)))</f>
        <v/>
      </c>
      <c r="F3">
        <f>IF($U3="","",IF(INDEX('Per Invoice'!F$2:F$401,$U3)="","",INDEX('Per Invoice'!F$2:F$401,$U3)))</f>
        <v/>
      </c>
      <c r="G3">
        <f>IF($U3="","",IF(INDEX('Per Invoice'!G$2:G$401,$U3)="","",INDEX('Per Invoice'!G$2:G$401,$U3)))</f>
        <v/>
      </c>
      <c r="H3" s="7">
        <f>IF($U3="","",IF(INDEX('Per Invoice'!H$2:H$401,$U3)="","",INDEX('Per Invoice'!H$2:H$401,$U3)))</f>
        <v/>
      </c>
      <c r="I3" s="14">
        <f>IF($U3="","",IF(INDEX('Per Invoice'!I$2:I$401,$U3)="","",INDEX('Per Invoice'!I$2:I$401,$U3)))</f>
        <v/>
      </c>
      <c r="J3">
        <f>IF($U3="","",IF(INDEX('Per Invoice'!J$2:J$401,$U3)="","",INDEX('Per Invoice'!J$2:J$401,$U3)))</f>
        <v/>
      </c>
      <c r="K3">
        <f>IF($U3="","",IF(INDEX('Per Invoice'!K$2:K$401,$U3)="","",INDEX('Per Invoice'!K$2:K$401,$U3)))</f>
        <v/>
      </c>
      <c r="L3" s="7">
        <f>IF($U3="","",IF(INDEX('Per Invoice'!L$2:L$401,$U3)="","",INDEX('Per Invoice'!L$2:L$401,$U3)))</f>
        <v/>
      </c>
      <c r="M3" s="7">
        <f>IF($U3="","",IF(INDEX('Per Invoice'!M$2:M$401,$U3)="","",INDEX('Per Invoice'!M$2:M$401,$U3)))</f>
        <v/>
      </c>
      <c r="N3">
        <f>IF($U3="","",IF(INDEX('Per Invoice'!N$2:N$401,$U3)="","",INDEX('Per Invoice'!N$2:N$401,$U3)))</f>
        <v/>
      </c>
      <c r="O3" s="7">
        <f>IF($U3="","",IF(INDEX('Per Invoice'!O$2:O$401,$U3)="","",INDEX('Per Invoice'!O$2:O$401,$U3)))</f>
        <v/>
      </c>
      <c r="P3" s="7">
        <f>IF($U3="","",IF(INDEX('Per Invoice'!P$2:P$401,$U3)="","",INDEX('Per Invoice'!P$2:P$401,$U3)))</f>
        <v/>
      </c>
      <c r="Q3" s="7">
        <f>IF($U3="","",IF(INDEX('Per Invoice'!Q$2:Q$401,$U3)="","",INDEX('Per Invoice'!Q$2:Q$401,$U3)))</f>
        <v/>
      </c>
      <c r="R3" s="7">
        <f>IF($U3="","",IF(INDEX('Per Invoice'!R$2:R$401,$U3)="","",INDEX('Per Invoice'!R$2:R$401,$U3)))</f>
        <v/>
      </c>
      <c r="S3" s="7">
        <f>IF($U3="","",IF(INDEX('Per Invoice'!S$2:S$401,$U3)="","",INDEX('Per Invoice'!S$2:S$401,$U3)))</f>
        <v/>
      </c>
      <c r="T3" s="7">
        <f>IF($U3="","",IF(INDEX('Per Invoice'!T$2:T$401,$U3)="","",INDEX('Per Invoice'!T$2:T$401,$U3)))</f>
        <v/>
      </c>
      <c r="U3" s="16">
        <f>IFERROR(MATCH(Settings!$C$27&amp;"|"&amp;ROWS($U$2:$U3),'Per Invoice'!$V$2:$V$401,0),"")</f>
        <v/>
      </c>
    </row>
    <row r="4">
      <c r="A4">
        <f>IF($U4="","",IF(INDEX('Per Invoice'!A$2:A$401,$U4)="","",INDEX('Per Invoice'!A$2:A$401,$U4)))</f>
        <v/>
      </c>
      <c r="B4">
        <f>IF($U4="","",IF(INDEX('Per Invoice'!B$2:B$401,$U4)="","",INDEX('Per Invoice'!B$2:B$401,$U4)))</f>
        <v/>
      </c>
      <c r="C4">
        <f>IF($U4="","",IF(INDEX('Per Invoice'!C$2:C$401,$U4)="","",INDEX('Per Invoice'!C$2:C$401,$U4)))</f>
        <v/>
      </c>
      <c r="D4">
        <f>IF($U4="","",IF(INDEX('Per Invoice'!D$2:D$401,$U4)="","",INDEX('Per Invoice'!D$2:D$401,$U4)))</f>
        <v/>
      </c>
      <c r="E4">
        <f>IF($U4="","",IF(INDEX('Per Invoice'!E$2:E$401,$U4)="","",INDEX('Per Invoice'!E$2:E$401,$U4)))</f>
        <v/>
      </c>
      <c r="F4">
        <f>IF($U4="","",IF(INDEX('Per Invoice'!F$2:F$401,$U4)="","",INDEX('Per Invoice'!F$2:F$401,$U4)))</f>
        <v/>
      </c>
      <c r="G4">
        <f>IF($U4="","",IF(INDEX('Per Invoice'!G$2:G$401,$U4)="","",INDEX('Per Invoice'!G$2:G$401,$U4)))</f>
        <v/>
      </c>
      <c r="H4" s="7">
        <f>IF($U4="","",IF(INDEX('Per Invoice'!H$2:H$401,$U4)="","",INDEX('Per Invoice'!H$2:H$401,$U4)))</f>
        <v/>
      </c>
      <c r="I4" s="14">
        <f>IF($U4="","",IF(INDEX('Per Invoice'!I$2:I$401,$U4)="","",INDEX('Per Invoice'!I$2:I$401,$U4)))</f>
        <v/>
      </c>
      <c r="J4">
        <f>IF($U4="","",IF(INDEX('Per Invoice'!J$2:J$401,$U4)="","",INDEX('Per Invoice'!J$2:J$401,$U4)))</f>
        <v/>
      </c>
      <c r="K4">
        <f>IF($U4="","",IF(INDEX('Per Invoice'!K$2:K$401,$U4)="","",INDEX('Per Invoice'!K$2:K$401,$U4)))</f>
        <v/>
      </c>
      <c r="L4" s="7">
        <f>IF($U4="","",IF(INDEX('Per Invoice'!L$2:L$401,$U4)="","",INDEX('Per Invoice'!L$2:L$401,$U4)))</f>
        <v/>
      </c>
      <c r="M4" s="7">
        <f>IF($U4="","",IF(INDEX('Per Invoice'!M$2:M$401,$U4)="","",INDEX('Per Invoice'!M$2:M$401,$U4)))</f>
        <v/>
      </c>
      <c r="N4">
        <f>IF($U4="","",IF(INDEX('Per Invoice'!N$2:N$401,$U4)="","",INDEX('Per Invoice'!N$2:N$401,$U4)))</f>
        <v/>
      </c>
      <c r="O4" s="7">
        <f>IF($U4="","",IF(INDEX('Per Invoice'!O$2:O$401,$U4)="","",INDEX('Per Invoice'!O$2:O$401,$U4)))</f>
        <v/>
      </c>
      <c r="P4" s="7">
        <f>IF($U4="","",IF(INDEX('Per Invoice'!P$2:P$401,$U4)="","",INDEX('Per Invoice'!P$2:P$401,$U4)))</f>
        <v/>
      </c>
      <c r="Q4" s="7">
        <f>IF($U4="","",IF(INDEX('Per Invoice'!Q$2:Q$401,$U4)="","",INDEX('Per Invoice'!Q$2:Q$401,$U4)))</f>
        <v/>
      </c>
      <c r="R4" s="7">
        <f>IF($U4="","",IF(INDEX('Per Invoice'!R$2:R$401,$U4)="","",INDEX('Per Invoice'!R$2:R$401,$U4)))</f>
        <v/>
      </c>
      <c r="S4" s="7">
        <f>IF($U4="","",IF(INDEX('Per Invoice'!S$2:S$401,$U4)="","",INDEX('Per Invoice'!S$2:S$401,$U4)))</f>
        <v/>
      </c>
      <c r="T4" s="7">
        <f>IF($U4="","",IF(INDEX('Per Invoice'!T$2:T$401,$U4)="","",INDEX('Per Invoice'!T$2:T$401,$U4)))</f>
        <v/>
      </c>
      <c r="U4" s="16">
        <f>IFERROR(MATCH(Settings!$C$27&amp;"|"&amp;ROWS($U$2:$U4),'Per Invoice'!$V$2:$V$401,0),"")</f>
        <v/>
      </c>
    </row>
    <row r="5">
      <c r="A5">
        <f>IF($U5="","",IF(INDEX('Per Invoice'!A$2:A$401,$U5)="","",INDEX('Per Invoice'!A$2:A$401,$U5)))</f>
        <v/>
      </c>
      <c r="B5">
        <f>IF($U5="","",IF(INDEX('Per Invoice'!B$2:B$401,$U5)="","",INDEX('Per Invoice'!B$2:B$401,$U5)))</f>
        <v/>
      </c>
      <c r="C5">
        <f>IF($U5="","",IF(INDEX('Per Invoice'!C$2:C$401,$U5)="","",INDEX('Per Invoice'!C$2:C$401,$U5)))</f>
        <v/>
      </c>
      <c r="D5">
        <f>IF($U5="","",IF(INDEX('Per Invoice'!D$2:D$401,$U5)="","",INDEX('Per Invoice'!D$2:D$401,$U5)))</f>
        <v/>
      </c>
      <c r="E5">
        <f>IF($U5="","",IF(INDEX('Per Invoice'!E$2:E$401,$U5)="","",INDEX('Per Invoice'!E$2:E$401,$U5)))</f>
        <v/>
      </c>
      <c r="F5">
        <f>IF($U5="","",IF(INDEX('Per Invoice'!F$2:F$401,$U5)="","",INDEX('Per Invoice'!F$2:F$401,$U5)))</f>
        <v/>
      </c>
      <c r="G5">
        <f>IF($U5="","",IF(INDEX('Per Invoice'!G$2:G$401,$U5)="","",INDEX('Per Invoice'!G$2:G$401,$U5)))</f>
        <v/>
      </c>
      <c r="H5" s="7">
        <f>IF($U5="","",IF(INDEX('Per Invoice'!H$2:H$401,$U5)="","",INDEX('Per Invoice'!H$2:H$401,$U5)))</f>
        <v/>
      </c>
      <c r="I5" s="14">
        <f>IF($U5="","",IF(INDEX('Per Invoice'!I$2:I$401,$U5)="","",INDEX('Per Invoice'!I$2:I$401,$U5)))</f>
        <v/>
      </c>
      <c r="J5">
        <f>IF($U5="","",IF(INDEX('Per Invoice'!J$2:J$401,$U5)="","",INDEX('Per Invoice'!J$2:J$401,$U5)))</f>
        <v/>
      </c>
      <c r="K5">
        <f>IF($U5="","",IF(INDEX('Per Invoice'!K$2:K$401,$U5)="","",INDEX('Per Invoice'!K$2:K$401,$U5)))</f>
        <v/>
      </c>
      <c r="L5" s="7">
        <f>IF($U5="","",IF(INDEX('Per Invoice'!L$2:L$401,$U5)="","",INDEX('Per Invoice'!L$2:L$401,$U5)))</f>
        <v/>
      </c>
      <c r="M5" s="7">
        <f>IF($U5="","",IF(INDEX('Per Invoice'!M$2:M$401,$U5)="","",INDEX('Per Invoice'!M$2:M$401,$U5)))</f>
        <v/>
      </c>
      <c r="N5">
        <f>IF($U5="","",IF(INDEX('Per Invoice'!N$2:N$401,$U5)="","",INDEX('Per Invoice'!N$2:N$401,$U5)))</f>
        <v/>
      </c>
      <c r="O5" s="7">
        <f>IF($U5="","",IF(INDEX('Per Invoice'!O$2:O$401,$U5)="","",INDEX('Per Invoice'!O$2:O$401,$U5)))</f>
        <v/>
      </c>
      <c r="P5" s="7">
        <f>IF($U5="","",IF(INDEX('Per Invoice'!P$2:P$401,$U5)="","",INDEX('Per Invoice'!P$2:P$401,$U5)))</f>
        <v/>
      </c>
      <c r="Q5" s="7">
        <f>IF($U5="","",IF(INDEX('Per Invoice'!Q$2:Q$401,$U5)="","",INDEX('Per Invoice'!Q$2:Q$401,$U5)))</f>
        <v/>
      </c>
      <c r="R5" s="7">
        <f>IF($U5="","",IF(INDEX('Per Invoice'!R$2:R$401,$U5)="","",INDEX('Per Invoice'!R$2:R$401,$U5)))</f>
        <v/>
      </c>
      <c r="S5" s="7">
        <f>IF($U5="","",IF(INDEX('Per Invoice'!S$2:S$401,$U5)="","",INDEX('Per Invoice'!S$2:S$401,$U5)))</f>
        <v/>
      </c>
      <c r="T5" s="7">
        <f>IF($U5="","",IF(INDEX('Per Invoice'!T$2:T$401,$U5)="","",INDEX('Per Invoice'!T$2:T$401,$U5)))</f>
        <v/>
      </c>
      <c r="U5" s="16">
        <f>IFERROR(MATCH(Settings!$C$27&amp;"|"&amp;ROWS($U$2:$U5),'Per Invoice'!$V$2:$V$401,0),"")</f>
        <v/>
      </c>
    </row>
    <row r="6">
      <c r="A6">
        <f>IF($U6="","",IF(INDEX('Per Invoice'!A$2:A$401,$U6)="","",INDEX('Per Invoice'!A$2:A$401,$U6)))</f>
        <v/>
      </c>
      <c r="B6">
        <f>IF($U6="","",IF(INDEX('Per Invoice'!B$2:B$401,$U6)="","",INDEX('Per Invoice'!B$2:B$401,$U6)))</f>
        <v/>
      </c>
      <c r="C6">
        <f>IF($U6="","",IF(INDEX('Per Invoice'!C$2:C$401,$U6)="","",INDEX('Per Invoice'!C$2:C$401,$U6)))</f>
        <v/>
      </c>
      <c r="D6">
        <f>IF($U6="","",IF(INDEX('Per Invoice'!D$2:D$401,$U6)="","",INDEX('Per Invoice'!D$2:D$401,$U6)))</f>
        <v/>
      </c>
      <c r="E6">
        <f>IF($U6="","",IF(INDEX('Per Invoice'!E$2:E$401,$U6)="","",INDEX('Per Invoice'!E$2:E$401,$U6)))</f>
        <v/>
      </c>
      <c r="F6">
        <f>IF($U6="","",IF(INDEX('Per Invoice'!F$2:F$401,$U6)="","",INDEX('Per Invoice'!F$2:F$401,$U6)))</f>
        <v/>
      </c>
      <c r="G6">
        <f>IF($U6="","",IF(INDEX('Per Invoice'!G$2:G$401,$U6)="","",INDEX('Per Invoice'!G$2:G$401,$U6)))</f>
        <v/>
      </c>
      <c r="H6" s="7">
        <f>IF($U6="","",IF(INDEX('Per Invoice'!H$2:H$401,$U6)="","",INDEX('Per Invoice'!H$2:H$401,$U6)))</f>
        <v/>
      </c>
      <c r="I6" s="14">
        <f>IF($U6="","",IF(INDEX('Per Invoice'!I$2:I$401,$U6)="","",INDEX('Per Invoice'!I$2:I$401,$U6)))</f>
        <v/>
      </c>
      <c r="J6">
        <f>IF($U6="","",IF(INDEX('Per Invoice'!J$2:J$401,$U6)="","",INDEX('Per Invoice'!J$2:J$401,$U6)))</f>
        <v/>
      </c>
      <c r="K6">
        <f>IF($U6="","",IF(INDEX('Per Invoice'!K$2:K$401,$U6)="","",INDEX('Per Invoice'!K$2:K$401,$U6)))</f>
        <v/>
      </c>
      <c r="L6" s="7">
        <f>IF($U6="","",IF(INDEX('Per Invoice'!L$2:L$401,$U6)="","",INDEX('Per Invoice'!L$2:L$401,$U6)))</f>
        <v/>
      </c>
      <c r="M6" s="7">
        <f>IF($U6="","",IF(INDEX('Per Invoice'!M$2:M$401,$U6)="","",INDEX('Per Invoice'!M$2:M$401,$U6)))</f>
        <v/>
      </c>
      <c r="N6">
        <f>IF($U6="","",IF(INDEX('Per Invoice'!N$2:N$401,$U6)="","",INDEX('Per Invoice'!N$2:N$401,$U6)))</f>
        <v/>
      </c>
      <c r="O6" s="7">
        <f>IF($U6="","",IF(INDEX('Per Invoice'!O$2:O$401,$U6)="","",INDEX('Per Invoice'!O$2:O$401,$U6)))</f>
        <v/>
      </c>
      <c r="P6" s="7">
        <f>IF($U6="","",IF(INDEX('Per Invoice'!P$2:P$401,$U6)="","",INDEX('Per Invoice'!P$2:P$401,$U6)))</f>
        <v/>
      </c>
      <c r="Q6" s="7">
        <f>IF($U6="","",IF(INDEX('Per Invoice'!Q$2:Q$401,$U6)="","",INDEX('Per Invoice'!Q$2:Q$401,$U6)))</f>
        <v/>
      </c>
      <c r="R6" s="7">
        <f>IF($U6="","",IF(INDEX('Per Invoice'!R$2:R$401,$U6)="","",INDEX('Per Invoice'!R$2:R$401,$U6)))</f>
        <v/>
      </c>
      <c r="S6" s="7">
        <f>IF($U6="","",IF(INDEX('Per Invoice'!S$2:S$401,$U6)="","",INDEX('Per Invoice'!S$2:S$401,$U6)))</f>
        <v/>
      </c>
      <c r="T6" s="7">
        <f>IF($U6="","",IF(INDEX('Per Invoice'!T$2:T$401,$U6)="","",INDEX('Per Invoice'!T$2:T$401,$U6)))</f>
        <v/>
      </c>
      <c r="U6" s="16">
        <f>IFERROR(MATCH(Settings!$C$27&amp;"|"&amp;ROWS($U$2:$U6),'Per Invoice'!$V$2:$V$401,0),"")</f>
        <v/>
      </c>
    </row>
    <row r="7">
      <c r="A7">
        <f>IF($U7="","",IF(INDEX('Per Invoice'!A$2:A$401,$U7)="","",INDEX('Per Invoice'!A$2:A$401,$U7)))</f>
        <v/>
      </c>
      <c r="B7">
        <f>IF($U7="","",IF(INDEX('Per Invoice'!B$2:B$401,$U7)="","",INDEX('Per Invoice'!B$2:B$401,$U7)))</f>
        <v/>
      </c>
      <c r="C7">
        <f>IF($U7="","",IF(INDEX('Per Invoice'!C$2:C$401,$U7)="","",INDEX('Per Invoice'!C$2:C$401,$U7)))</f>
        <v/>
      </c>
      <c r="D7">
        <f>IF($U7="","",IF(INDEX('Per Invoice'!D$2:D$401,$U7)="","",INDEX('Per Invoice'!D$2:D$401,$U7)))</f>
        <v/>
      </c>
      <c r="E7">
        <f>IF($U7="","",IF(INDEX('Per Invoice'!E$2:E$401,$U7)="","",INDEX('Per Invoice'!E$2:E$401,$U7)))</f>
        <v/>
      </c>
      <c r="F7">
        <f>IF($U7="","",IF(INDEX('Per Invoice'!F$2:F$401,$U7)="","",INDEX('Per Invoice'!F$2:F$401,$U7)))</f>
        <v/>
      </c>
      <c r="G7">
        <f>IF($U7="","",IF(INDEX('Per Invoice'!G$2:G$401,$U7)="","",INDEX('Per Invoice'!G$2:G$401,$U7)))</f>
        <v/>
      </c>
      <c r="H7" s="7">
        <f>IF($U7="","",IF(INDEX('Per Invoice'!H$2:H$401,$U7)="","",INDEX('Per Invoice'!H$2:H$401,$U7)))</f>
        <v/>
      </c>
      <c r="I7" s="14">
        <f>IF($U7="","",IF(INDEX('Per Invoice'!I$2:I$401,$U7)="","",INDEX('Per Invoice'!I$2:I$401,$U7)))</f>
        <v/>
      </c>
      <c r="J7">
        <f>IF($U7="","",IF(INDEX('Per Invoice'!J$2:J$401,$U7)="","",INDEX('Per Invoice'!J$2:J$401,$U7)))</f>
        <v/>
      </c>
      <c r="K7">
        <f>IF($U7="","",IF(INDEX('Per Invoice'!K$2:K$401,$U7)="","",INDEX('Per Invoice'!K$2:K$401,$U7)))</f>
        <v/>
      </c>
      <c r="L7" s="7">
        <f>IF($U7="","",IF(INDEX('Per Invoice'!L$2:L$401,$U7)="","",INDEX('Per Invoice'!L$2:L$401,$U7)))</f>
        <v/>
      </c>
      <c r="M7" s="7">
        <f>IF($U7="","",IF(INDEX('Per Invoice'!M$2:M$401,$U7)="","",INDEX('Per Invoice'!M$2:M$401,$U7)))</f>
        <v/>
      </c>
      <c r="N7">
        <f>IF($U7="","",IF(INDEX('Per Invoice'!N$2:N$401,$U7)="","",INDEX('Per Invoice'!N$2:N$401,$U7)))</f>
        <v/>
      </c>
      <c r="O7" s="7">
        <f>IF($U7="","",IF(INDEX('Per Invoice'!O$2:O$401,$U7)="","",INDEX('Per Invoice'!O$2:O$401,$U7)))</f>
        <v/>
      </c>
      <c r="P7" s="7">
        <f>IF($U7="","",IF(INDEX('Per Invoice'!P$2:P$401,$U7)="","",INDEX('Per Invoice'!P$2:P$401,$U7)))</f>
        <v/>
      </c>
      <c r="Q7" s="7">
        <f>IF($U7="","",IF(INDEX('Per Invoice'!Q$2:Q$401,$U7)="","",INDEX('Per Invoice'!Q$2:Q$401,$U7)))</f>
        <v/>
      </c>
      <c r="R7" s="7">
        <f>IF($U7="","",IF(INDEX('Per Invoice'!R$2:R$401,$U7)="","",INDEX('Per Invoice'!R$2:R$401,$U7)))</f>
        <v/>
      </c>
      <c r="S7" s="7">
        <f>IF($U7="","",IF(INDEX('Per Invoice'!S$2:S$401,$U7)="","",INDEX('Per Invoice'!S$2:S$401,$U7)))</f>
        <v/>
      </c>
      <c r="T7" s="7">
        <f>IF($U7="","",IF(INDEX('Per Invoice'!T$2:T$401,$U7)="","",INDEX('Per Invoice'!T$2:T$401,$U7)))</f>
        <v/>
      </c>
      <c r="U7" s="16">
        <f>IFERROR(MATCH(Settings!$C$27&amp;"|"&amp;ROWS($U$2:$U7),'Per Invoice'!$V$2:$V$401,0),"")</f>
        <v/>
      </c>
    </row>
    <row r="8">
      <c r="A8">
        <f>IF($U8="","",IF(INDEX('Per Invoice'!A$2:A$401,$U8)="","",INDEX('Per Invoice'!A$2:A$401,$U8)))</f>
        <v/>
      </c>
      <c r="B8">
        <f>IF($U8="","",IF(INDEX('Per Invoice'!B$2:B$401,$U8)="","",INDEX('Per Invoice'!B$2:B$401,$U8)))</f>
        <v/>
      </c>
      <c r="C8">
        <f>IF($U8="","",IF(INDEX('Per Invoice'!C$2:C$401,$U8)="","",INDEX('Per Invoice'!C$2:C$401,$U8)))</f>
        <v/>
      </c>
      <c r="D8">
        <f>IF($U8="","",IF(INDEX('Per Invoice'!D$2:D$401,$U8)="","",INDEX('Per Invoice'!D$2:D$401,$U8)))</f>
        <v/>
      </c>
      <c r="E8">
        <f>IF($U8="","",IF(INDEX('Per Invoice'!E$2:E$401,$U8)="","",INDEX('Per Invoice'!E$2:E$401,$U8)))</f>
        <v/>
      </c>
      <c r="F8">
        <f>IF($U8="","",IF(INDEX('Per Invoice'!F$2:F$401,$U8)="","",INDEX('Per Invoice'!F$2:F$401,$U8)))</f>
        <v/>
      </c>
      <c r="G8">
        <f>IF($U8="","",IF(INDEX('Per Invoice'!G$2:G$401,$U8)="","",INDEX('Per Invoice'!G$2:G$401,$U8)))</f>
        <v/>
      </c>
      <c r="H8" s="7">
        <f>IF($U8="","",IF(INDEX('Per Invoice'!H$2:H$401,$U8)="","",INDEX('Per Invoice'!H$2:H$401,$U8)))</f>
        <v/>
      </c>
      <c r="I8" s="14">
        <f>IF($U8="","",IF(INDEX('Per Invoice'!I$2:I$401,$U8)="","",INDEX('Per Invoice'!I$2:I$401,$U8)))</f>
        <v/>
      </c>
      <c r="J8">
        <f>IF($U8="","",IF(INDEX('Per Invoice'!J$2:J$401,$U8)="","",INDEX('Per Invoice'!J$2:J$401,$U8)))</f>
        <v/>
      </c>
      <c r="K8">
        <f>IF($U8="","",IF(INDEX('Per Invoice'!K$2:K$401,$U8)="","",INDEX('Per Invoice'!K$2:K$401,$U8)))</f>
        <v/>
      </c>
      <c r="L8" s="7">
        <f>IF($U8="","",IF(INDEX('Per Invoice'!L$2:L$401,$U8)="","",INDEX('Per Invoice'!L$2:L$401,$U8)))</f>
        <v/>
      </c>
      <c r="M8" s="7">
        <f>IF($U8="","",IF(INDEX('Per Invoice'!M$2:M$401,$U8)="","",INDEX('Per Invoice'!M$2:M$401,$U8)))</f>
        <v/>
      </c>
      <c r="N8">
        <f>IF($U8="","",IF(INDEX('Per Invoice'!N$2:N$401,$U8)="","",INDEX('Per Invoice'!N$2:N$401,$U8)))</f>
        <v/>
      </c>
      <c r="O8" s="7">
        <f>IF($U8="","",IF(INDEX('Per Invoice'!O$2:O$401,$U8)="","",INDEX('Per Invoice'!O$2:O$401,$U8)))</f>
        <v/>
      </c>
      <c r="P8" s="7">
        <f>IF($U8="","",IF(INDEX('Per Invoice'!P$2:P$401,$U8)="","",INDEX('Per Invoice'!P$2:P$401,$U8)))</f>
        <v/>
      </c>
      <c r="Q8" s="7">
        <f>IF($U8="","",IF(INDEX('Per Invoice'!Q$2:Q$401,$U8)="","",INDEX('Per Invoice'!Q$2:Q$401,$U8)))</f>
        <v/>
      </c>
      <c r="R8" s="7">
        <f>IF($U8="","",IF(INDEX('Per Invoice'!R$2:R$401,$U8)="","",INDEX('Per Invoice'!R$2:R$401,$U8)))</f>
        <v/>
      </c>
      <c r="S8" s="7">
        <f>IF($U8="","",IF(INDEX('Per Invoice'!S$2:S$401,$U8)="","",INDEX('Per Invoice'!S$2:S$401,$U8)))</f>
        <v/>
      </c>
      <c r="T8" s="7">
        <f>IF($U8="","",IF(INDEX('Per Invoice'!T$2:T$401,$U8)="","",INDEX('Per Invoice'!T$2:T$401,$U8)))</f>
        <v/>
      </c>
      <c r="U8" s="16">
        <f>IFERROR(MATCH(Settings!$C$27&amp;"|"&amp;ROWS($U$2:$U8),'Per Invoice'!$V$2:$V$401,0),"")</f>
        <v/>
      </c>
    </row>
    <row r="9">
      <c r="A9">
        <f>IF($U9="","",IF(INDEX('Per Invoice'!A$2:A$401,$U9)="","",INDEX('Per Invoice'!A$2:A$401,$U9)))</f>
        <v/>
      </c>
      <c r="B9">
        <f>IF($U9="","",IF(INDEX('Per Invoice'!B$2:B$401,$U9)="","",INDEX('Per Invoice'!B$2:B$401,$U9)))</f>
        <v/>
      </c>
      <c r="C9">
        <f>IF($U9="","",IF(INDEX('Per Invoice'!C$2:C$401,$U9)="","",INDEX('Per Invoice'!C$2:C$401,$U9)))</f>
        <v/>
      </c>
      <c r="D9">
        <f>IF($U9="","",IF(INDEX('Per Invoice'!D$2:D$401,$U9)="","",INDEX('Per Invoice'!D$2:D$401,$U9)))</f>
        <v/>
      </c>
      <c r="E9">
        <f>IF($U9="","",IF(INDEX('Per Invoice'!E$2:E$401,$U9)="","",INDEX('Per Invoice'!E$2:E$401,$U9)))</f>
        <v/>
      </c>
      <c r="F9">
        <f>IF($U9="","",IF(INDEX('Per Invoice'!F$2:F$401,$U9)="","",INDEX('Per Invoice'!F$2:F$401,$U9)))</f>
        <v/>
      </c>
      <c r="G9">
        <f>IF($U9="","",IF(INDEX('Per Invoice'!G$2:G$401,$U9)="","",INDEX('Per Invoice'!G$2:G$401,$U9)))</f>
        <v/>
      </c>
      <c r="H9" s="7">
        <f>IF($U9="","",IF(INDEX('Per Invoice'!H$2:H$401,$U9)="","",INDEX('Per Invoice'!H$2:H$401,$U9)))</f>
        <v/>
      </c>
      <c r="I9" s="14">
        <f>IF($U9="","",IF(INDEX('Per Invoice'!I$2:I$401,$U9)="","",INDEX('Per Invoice'!I$2:I$401,$U9)))</f>
        <v/>
      </c>
      <c r="J9">
        <f>IF($U9="","",IF(INDEX('Per Invoice'!J$2:J$401,$U9)="","",INDEX('Per Invoice'!J$2:J$401,$U9)))</f>
        <v/>
      </c>
      <c r="K9">
        <f>IF($U9="","",IF(INDEX('Per Invoice'!K$2:K$401,$U9)="","",INDEX('Per Invoice'!K$2:K$401,$U9)))</f>
        <v/>
      </c>
      <c r="L9" s="7">
        <f>IF($U9="","",IF(INDEX('Per Invoice'!L$2:L$401,$U9)="","",INDEX('Per Invoice'!L$2:L$401,$U9)))</f>
        <v/>
      </c>
      <c r="M9" s="7">
        <f>IF($U9="","",IF(INDEX('Per Invoice'!M$2:M$401,$U9)="","",INDEX('Per Invoice'!M$2:M$401,$U9)))</f>
        <v/>
      </c>
      <c r="N9">
        <f>IF($U9="","",IF(INDEX('Per Invoice'!N$2:N$401,$U9)="","",INDEX('Per Invoice'!N$2:N$401,$U9)))</f>
        <v/>
      </c>
      <c r="O9" s="7">
        <f>IF($U9="","",IF(INDEX('Per Invoice'!O$2:O$401,$U9)="","",INDEX('Per Invoice'!O$2:O$401,$U9)))</f>
        <v/>
      </c>
      <c r="P9" s="7">
        <f>IF($U9="","",IF(INDEX('Per Invoice'!P$2:P$401,$U9)="","",INDEX('Per Invoice'!P$2:P$401,$U9)))</f>
        <v/>
      </c>
      <c r="Q9" s="7">
        <f>IF($U9="","",IF(INDEX('Per Invoice'!Q$2:Q$401,$U9)="","",INDEX('Per Invoice'!Q$2:Q$401,$U9)))</f>
        <v/>
      </c>
      <c r="R9" s="7">
        <f>IF($U9="","",IF(INDEX('Per Invoice'!R$2:R$401,$U9)="","",INDEX('Per Invoice'!R$2:R$401,$U9)))</f>
        <v/>
      </c>
      <c r="S9" s="7">
        <f>IF($U9="","",IF(INDEX('Per Invoice'!S$2:S$401,$U9)="","",INDEX('Per Invoice'!S$2:S$401,$U9)))</f>
        <v/>
      </c>
      <c r="T9" s="7">
        <f>IF($U9="","",IF(INDEX('Per Invoice'!T$2:T$401,$U9)="","",INDEX('Per Invoice'!T$2:T$401,$U9)))</f>
        <v/>
      </c>
      <c r="U9" s="16">
        <f>IFERROR(MATCH(Settings!$C$27&amp;"|"&amp;ROWS($U$2:$U9),'Per Invoice'!$V$2:$V$401,0),"")</f>
        <v/>
      </c>
    </row>
    <row r="10">
      <c r="A10">
        <f>IF($U10="","",IF(INDEX('Per Invoice'!A$2:A$401,$U10)="","",INDEX('Per Invoice'!A$2:A$401,$U10)))</f>
        <v/>
      </c>
      <c r="B10">
        <f>IF($U10="","",IF(INDEX('Per Invoice'!B$2:B$401,$U10)="","",INDEX('Per Invoice'!B$2:B$401,$U10)))</f>
        <v/>
      </c>
      <c r="C10">
        <f>IF($U10="","",IF(INDEX('Per Invoice'!C$2:C$401,$U10)="","",INDEX('Per Invoice'!C$2:C$401,$U10)))</f>
        <v/>
      </c>
      <c r="D10">
        <f>IF($U10="","",IF(INDEX('Per Invoice'!D$2:D$401,$U10)="","",INDEX('Per Invoice'!D$2:D$401,$U10)))</f>
        <v/>
      </c>
      <c r="E10">
        <f>IF($U10="","",IF(INDEX('Per Invoice'!E$2:E$401,$U10)="","",INDEX('Per Invoice'!E$2:E$401,$U10)))</f>
        <v/>
      </c>
      <c r="F10">
        <f>IF($U10="","",IF(INDEX('Per Invoice'!F$2:F$401,$U10)="","",INDEX('Per Invoice'!F$2:F$401,$U10)))</f>
        <v/>
      </c>
      <c r="G10">
        <f>IF($U10="","",IF(INDEX('Per Invoice'!G$2:G$401,$U10)="","",INDEX('Per Invoice'!G$2:G$401,$U10)))</f>
        <v/>
      </c>
      <c r="H10" s="7">
        <f>IF($U10="","",IF(INDEX('Per Invoice'!H$2:H$401,$U10)="","",INDEX('Per Invoice'!H$2:H$401,$U10)))</f>
        <v/>
      </c>
      <c r="I10" s="14">
        <f>IF($U10="","",IF(INDEX('Per Invoice'!I$2:I$401,$U10)="","",INDEX('Per Invoice'!I$2:I$401,$U10)))</f>
        <v/>
      </c>
      <c r="J10">
        <f>IF($U10="","",IF(INDEX('Per Invoice'!J$2:J$401,$U10)="","",INDEX('Per Invoice'!J$2:J$401,$U10)))</f>
        <v/>
      </c>
      <c r="K10">
        <f>IF($U10="","",IF(INDEX('Per Invoice'!K$2:K$401,$U10)="","",INDEX('Per Invoice'!K$2:K$401,$U10)))</f>
        <v/>
      </c>
      <c r="L10" s="7">
        <f>IF($U10="","",IF(INDEX('Per Invoice'!L$2:L$401,$U10)="","",INDEX('Per Invoice'!L$2:L$401,$U10)))</f>
        <v/>
      </c>
      <c r="M10" s="7">
        <f>IF($U10="","",IF(INDEX('Per Invoice'!M$2:M$401,$U10)="","",INDEX('Per Invoice'!M$2:M$401,$U10)))</f>
        <v/>
      </c>
      <c r="N10">
        <f>IF($U10="","",IF(INDEX('Per Invoice'!N$2:N$401,$U10)="","",INDEX('Per Invoice'!N$2:N$401,$U10)))</f>
        <v/>
      </c>
      <c r="O10" s="7">
        <f>IF($U10="","",IF(INDEX('Per Invoice'!O$2:O$401,$U10)="","",INDEX('Per Invoice'!O$2:O$401,$U10)))</f>
        <v/>
      </c>
      <c r="P10" s="7">
        <f>IF($U10="","",IF(INDEX('Per Invoice'!P$2:P$401,$U10)="","",INDEX('Per Invoice'!P$2:P$401,$U10)))</f>
        <v/>
      </c>
      <c r="Q10" s="7">
        <f>IF($U10="","",IF(INDEX('Per Invoice'!Q$2:Q$401,$U10)="","",INDEX('Per Invoice'!Q$2:Q$401,$U10)))</f>
        <v/>
      </c>
      <c r="R10" s="7">
        <f>IF($U10="","",IF(INDEX('Per Invoice'!R$2:R$401,$U10)="","",INDEX('Per Invoice'!R$2:R$401,$U10)))</f>
        <v/>
      </c>
      <c r="S10" s="7">
        <f>IF($U10="","",IF(INDEX('Per Invoice'!S$2:S$401,$U10)="","",INDEX('Per Invoice'!S$2:S$401,$U10)))</f>
        <v/>
      </c>
      <c r="T10" s="7">
        <f>IF($U10="","",IF(INDEX('Per Invoice'!T$2:T$401,$U10)="","",INDEX('Per Invoice'!T$2:T$401,$U10)))</f>
        <v/>
      </c>
      <c r="U10" s="16">
        <f>IFERROR(MATCH(Settings!$C$27&amp;"|"&amp;ROWS($U$2:$U10),'Per Invoice'!$V$2:$V$401,0),"")</f>
        <v/>
      </c>
    </row>
    <row r="11">
      <c r="A11">
        <f>IF($U11="","",IF(INDEX('Per Invoice'!A$2:A$401,$U11)="","",INDEX('Per Invoice'!A$2:A$401,$U11)))</f>
        <v/>
      </c>
      <c r="B11">
        <f>IF($U11="","",IF(INDEX('Per Invoice'!B$2:B$401,$U11)="","",INDEX('Per Invoice'!B$2:B$401,$U11)))</f>
        <v/>
      </c>
      <c r="C11">
        <f>IF($U11="","",IF(INDEX('Per Invoice'!C$2:C$401,$U11)="","",INDEX('Per Invoice'!C$2:C$401,$U11)))</f>
        <v/>
      </c>
      <c r="D11">
        <f>IF($U11="","",IF(INDEX('Per Invoice'!D$2:D$401,$U11)="","",INDEX('Per Invoice'!D$2:D$401,$U11)))</f>
        <v/>
      </c>
      <c r="E11">
        <f>IF($U11="","",IF(INDEX('Per Invoice'!E$2:E$401,$U11)="","",INDEX('Per Invoice'!E$2:E$401,$U11)))</f>
        <v/>
      </c>
      <c r="F11">
        <f>IF($U11="","",IF(INDEX('Per Invoice'!F$2:F$401,$U11)="","",INDEX('Per Invoice'!F$2:F$401,$U11)))</f>
        <v/>
      </c>
      <c r="G11">
        <f>IF($U11="","",IF(INDEX('Per Invoice'!G$2:G$401,$U11)="","",INDEX('Per Invoice'!G$2:G$401,$U11)))</f>
        <v/>
      </c>
      <c r="H11" s="7">
        <f>IF($U11="","",IF(INDEX('Per Invoice'!H$2:H$401,$U11)="","",INDEX('Per Invoice'!H$2:H$401,$U11)))</f>
        <v/>
      </c>
      <c r="I11" s="14">
        <f>IF($U11="","",IF(INDEX('Per Invoice'!I$2:I$401,$U11)="","",INDEX('Per Invoice'!I$2:I$401,$U11)))</f>
        <v/>
      </c>
      <c r="J11">
        <f>IF($U11="","",IF(INDEX('Per Invoice'!J$2:J$401,$U11)="","",INDEX('Per Invoice'!J$2:J$401,$U11)))</f>
        <v/>
      </c>
      <c r="K11">
        <f>IF($U11="","",IF(INDEX('Per Invoice'!K$2:K$401,$U11)="","",INDEX('Per Invoice'!K$2:K$401,$U11)))</f>
        <v/>
      </c>
      <c r="L11" s="7">
        <f>IF($U11="","",IF(INDEX('Per Invoice'!L$2:L$401,$U11)="","",INDEX('Per Invoice'!L$2:L$401,$U11)))</f>
        <v/>
      </c>
      <c r="M11" s="7">
        <f>IF($U11="","",IF(INDEX('Per Invoice'!M$2:M$401,$U11)="","",INDEX('Per Invoice'!M$2:M$401,$U11)))</f>
        <v/>
      </c>
      <c r="N11">
        <f>IF($U11="","",IF(INDEX('Per Invoice'!N$2:N$401,$U11)="","",INDEX('Per Invoice'!N$2:N$401,$U11)))</f>
        <v/>
      </c>
      <c r="O11" s="7">
        <f>IF($U11="","",IF(INDEX('Per Invoice'!O$2:O$401,$U11)="","",INDEX('Per Invoice'!O$2:O$401,$U11)))</f>
        <v/>
      </c>
      <c r="P11" s="7">
        <f>IF($U11="","",IF(INDEX('Per Invoice'!P$2:P$401,$U11)="","",INDEX('Per Invoice'!P$2:P$401,$U11)))</f>
        <v/>
      </c>
      <c r="Q11" s="7">
        <f>IF($U11="","",IF(INDEX('Per Invoice'!Q$2:Q$401,$U11)="","",INDEX('Per Invoice'!Q$2:Q$401,$U11)))</f>
        <v/>
      </c>
      <c r="R11" s="7">
        <f>IF($U11="","",IF(INDEX('Per Invoice'!R$2:R$401,$U11)="","",INDEX('Per Invoice'!R$2:R$401,$U11)))</f>
        <v/>
      </c>
      <c r="S11" s="7">
        <f>IF($U11="","",IF(INDEX('Per Invoice'!S$2:S$401,$U11)="","",INDEX('Per Invoice'!S$2:S$401,$U11)))</f>
        <v/>
      </c>
      <c r="T11" s="7">
        <f>IF($U11="","",IF(INDEX('Per Invoice'!T$2:T$401,$U11)="","",INDEX('Per Invoice'!T$2:T$401,$U11)))</f>
        <v/>
      </c>
      <c r="U11" s="16">
        <f>IFERROR(MATCH(Settings!$C$27&amp;"|"&amp;ROWS($U$2:$U11),'Per Invoice'!$V$2:$V$401,0),"")</f>
        <v/>
      </c>
    </row>
    <row r="12">
      <c r="A12">
        <f>IF($U12="","",IF(INDEX('Per Invoice'!A$2:A$401,$U12)="","",INDEX('Per Invoice'!A$2:A$401,$U12)))</f>
        <v/>
      </c>
      <c r="B12">
        <f>IF($U12="","",IF(INDEX('Per Invoice'!B$2:B$401,$U12)="","",INDEX('Per Invoice'!B$2:B$401,$U12)))</f>
        <v/>
      </c>
      <c r="C12">
        <f>IF($U12="","",IF(INDEX('Per Invoice'!C$2:C$401,$U12)="","",INDEX('Per Invoice'!C$2:C$401,$U12)))</f>
        <v/>
      </c>
      <c r="D12">
        <f>IF($U12="","",IF(INDEX('Per Invoice'!D$2:D$401,$U12)="","",INDEX('Per Invoice'!D$2:D$401,$U12)))</f>
        <v/>
      </c>
      <c r="E12">
        <f>IF($U12="","",IF(INDEX('Per Invoice'!E$2:E$401,$U12)="","",INDEX('Per Invoice'!E$2:E$401,$U12)))</f>
        <v/>
      </c>
      <c r="F12">
        <f>IF($U12="","",IF(INDEX('Per Invoice'!F$2:F$401,$U12)="","",INDEX('Per Invoice'!F$2:F$401,$U12)))</f>
        <v/>
      </c>
      <c r="G12">
        <f>IF($U12="","",IF(INDEX('Per Invoice'!G$2:G$401,$U12)="","",INDEX('Per Invoice'!G$2:G$401,$U12)))</f>
        <v/>
      </c>
      <c r="H12" s="7">
        <f>IF($U12="","",IF(INDEX('Per Invoice'!H$2:H$401,$U12)="","",INDEX('Per Invoice'!H$2:H$401,$U12)))</f>
        <v/>
      </c>
      <c r="I12" s="14">
        <f>IF($U12="","",IF(INDEX('Per Invoice'!I$2:I$401,$U12)="","",INDEX('Per Invoice'!I$2:I$401,$U12)))</f>
        <v/>
      </c>
      <c r="J12">
        <f>IF($U12="","",IF(INDEX('Per Invoice'!J$2:J$401,$U12)="","",INDEX('Per Invoice'!J$2:J$401,$U12)))</f>
        <v/>
      </c>
      <c r="K12">
        <f>IF($U12="","",IF(INDEX('Per Invoice'!K$2:K$401,$U12)="","",INDEX('Per Invoice'!K$2:K$401,$U12)))</f>
        <v/>
      </c>
      <c r="L12" s="7">
        <f>IF($U12="","",IF(INDEX('Per Invoice'!L$2:L$401,$U12)="","",INDEX('Per Invoice'!L$2:L$401,$U12)))</f>
        <v/>
      </c>
      <c r="M12" s="7">
        <f>IF($U12="","",IF(INDEX('Per Invoice'!M$2:M$401,$U12)="","",INDEX('Per Invoice'!M$2:M$401,$U12)))</f>
        <v/>
      </c>
      <c r="N12">
        <f>IF($U12="","",IF(INDEX('Per Invoice'!N$2:N$401,$U12)="","",INDEX('Per Invoice'!N$2:N$401,$U12)))</f>
        <v/>
      </c>
      <c r="O12" s="7">
        <f>IF($U12="","",IF(INDEX('Per Invoice'!O$2:O$401,$U12)="","",INDEX('Per Invoice'!O$2:O$401,$U12)))</f>
        <v/>
      </c>
      <c r="P12" s="7">
        <f>IF($U12="","",IF(INDEX('Per Invoice'!P$2:P$401,$U12)="","",INDEX('Per Invoice'!P$2:P$401,$U12)))</f>
        <v/>
      </c>
      <c r="Q12" s="7">
        <f>IF($U12="","",IF(INDEX('Per Invoice'!Q$2:Q$401,$U12)="","",INDEX('Per Invoice'!Q$2:Q$401,$U12)))</f>
        <v/>
      </c>
      <c r="R12" s="7">
        <f>IF($U12="","",IF(INDEX('Per Invoice'!R$2:R$401,$U12)="","",INDEX('Per Invoice'!R$2:R$401,$U12)))</f>
        <v/>
      </c>
      <c r="S12" s="7">
        <f>IF($U12="","",IF(INDEX('Per Invoice'!S$2:S$401,$U12)="","",INDEX('Per Invoice'!S$2:S$401,$U12)))</f>
        <v/>
      </c>
      <c r="T12" s="7">
        <f>IF($U12="","",IF(INDEX('Per Invoice'!T$2:T$401,$U12)="","",INDEX('Per Invoice'!T$2:T$401,$U12)))</f>
        <v/>
      </c>
      <c r="U12" s="16">
        <f>IFERROR(MATCH(Settings!$C$27&amp;"|"&amp;ROWS($U$2:$U12),'Per Invoice'!$V$2:$V$401,0),"")</f>
        <v/>
      </c>
    </row>
    <row r="13">
      <c r="A13">
        <f>IF($U13="","",IF(INDEX('Per Invoice'!A$2:A$401,$U13)="","",INDEX('Per Invoice'!A$2:A$401,$U13)))</f>
        <v/>
      </c>
      <c r="B13">
        <f>IF($U13="","",IF(INDEX('Per Invoice'!B$2:B$401,$U13)="","",INDEX('Per Invoice'!B$2:B$401,$U13)))</f>
        <v/>
      </c>
      <c r="C13">
        <f>IF($U13="","",IF(INDEX('Per Invoice'!C$2:C$401,$U13)="","",INDEX('Per Invoice'!C$2:C$401,$U13)))</f>
        <v/>
      </c>
      <c r="D13">
        <f>IF($U13="","",IF(INDEX('Per Invoice'!D$2:D$401,$U13)="","",INDEX('Per Invoice'!D$2:D$401,$U13)))</f>
        <v/>
      </c>
      <c r="E13">
        <f>IF($U13="","",IF(INDEX('Per Invoice'!E$2:E$401,$U13)="","",INDEX('Per Invoice'!E$2:E$401,$U13)))</f>
        <v/>
      </c>
      <c r="F13">
        <f>IF($U13="","",IF(INDEX('Per Invoice'!F$2:F$401,$U13)="","",INDEX('Per Invoice'!F$2:F$401,$U13)))</f>
        <v/>
      </c>
      <c r="G13">
        <f>IF($U13="","",IF(INDEX('Per Invoice'!G$2:G$401,$U13)="","",INDEX('Per Invoice'!G$2:G$401,$U13)))</f>
        <v/>
      </c>
      <c r="H13" s="7">
        <f>IF($U13="","",IF(INDEX('Per Invoice'!H$2:H$401,$U13)="","",INDEX('Per Invoice'!H$2:H$401,$U13)))</f>
        <v/>
      </c>
      <c r="I13" s="14">
        <f>IF($U13="","",IF(INDEX('Per Invoice'!I$2:I$401,$U13)="","",INDEX('Per Invoice'!I$2:I$401,$U13)))</f>
        <v/>
      </c>
      <c r="J13">
        <f>IF($U13="","",IF(INDEX('Per Invoice'!J$2:J$401,$U13)="","",INDEX('Per Invoice'!J$2:J$401,$U13)))</f>
        <v/>
      </c>
      <c r="K13">
        <f>IF($U13="","",IF(INDEX('Per Invoice'!K$2:K$401,$U13)="","",INDEX('Per Invoice'!K$2:K$401,$U13)))</f>
        <v/>
      </c>
      <c r="L13" s="7">
        <f>IF($U13="","",IF(INDEX('Per Invoice'!L$2:L$401,$U13)="","",INDEX('Per Invoice'!L$2:L$401,$U13)))</f>
        <v/>
      </c>
      <c r="M13" s="7">
        <f>IF($U13="","",IF(INDEX('Per Invoice'!M$2:M$401,$U13)="","",INDEX('Per Invoice'!M$2:M$401,$U13)))</f>
        <v/>
      </c>
      <c r="N13">
        <f>IF($U13="","",IF(INDEX('Per Invoice'!N$2:N$401,$U13)="","",INDEX('Per Invoice'!N$2:N$401,$U13)))</f>
        <v/>
      </c>
      <c r="O13" s="7">
        <f>IF($U13="","",IF(INDEX('Per Invoice'!O$2:O$401,$U13)="","",INDEX('Per Invoice'!O$2:O$401,$U13)))</f>
        <v/>
      </c>
      <c r="P13" s="7">
        <f>IF($U13="","",IF(INDEX('Per Invoice'!P$2:P$401,$U13)="","",INDEX('Per Invoice'!P$2:P$401,$U13)))</f>
        <v/>
      </c>
      <c r="Q13" s="7">
        <f>IF($U13="","",IF(INDEX('Per Invoice'!Q$2:Q$401,$U13)="","",INDEX('Per Invoice'!Q$2:Q$401,$U13)))</f>
        <v/>
      </c>
      <c r="R13" s="7">
        <f>IF($U13="","",IF(INDEX('Per Invoice'!R$2:R$401,$U13)="","",INDEX('Per Invoice'!R$2:R$401,$U13)))</f>
        <v/>
      </c>
      <c r="S13" s="7">
        <f>IF($U13="","",IF(INDEX('Per Invoice'!S$2:S$401,$U13)="","",INDEX('Per Invoice'!S$2:S$401,$U13)))</f>
        <v/>
      </c>
      <c r="T13" s="7">
        <f>IF($U13="","",IF(INDEX('Per Invoice'!T$2:T$401,$U13)="","",INDEX('Per Invoice'!T$2:T$401,$U13)))</f>
        <v/>
      </c>
      <c r="U13" s="16">
        <f>IFERROR(MATCH(Settings!$C$27&amp;"|"&amp;ROWS($U$2:$U13),'Per Invoice'!$V$2:$V$401,0),"")</f>
        <v/>
      </c>
    </row>
    <row r="14">
      <c r="A14">
        <f>IF($U14="","",IF(INDEX('Per Invoice'!A$2:A$401,$U14)="","",INDEX('Per Invoice'!A$2:A$401,$U14)))</f>
        <v/>
      </c>
      <c r="B14">
        <f>IF($U14="","",IF(INDEX('Per Invoice'!B$2:B$401,$U14)="","",INDEX('Per Invoice'!B$2:B$401,$U14)))</f>
        <v/>
      </c>
      <c r="C14">
        <f>IF($U14="","",IF(INDEX('Per Invoice'!C$2:C$401,$U14)="","",INDEX('Per Invoice'!C$2:C$401,$U14)))</f>
        <v/>
      </c>
      <c r="D14">
        <f>IF($U14="","",IF(INDEX('Per Invoice'!D$2:D$401,$U14)="","",INDEX('Per Invoice'!D$2:D$401,$U14)))</f>
        <v/>
      </c>
      <c r="E14">
        <f>IF($U14="","",IF(INDEX('Per Invoice'!E$2:E$401,$U14)="","",INDEX('Per Invoice'!E$2:E$401,$U14)))</f>
        <v/>
      </c>
      <c r="F14">
        <f>IF($U14="","",IF(INDEX('Per Invoice'!F$2:F$401,$U14)="","",INDEX('Per Invoice'!F$2:F$401,$U14)))</f>
        <v/>
      </c>
      <c r="G14">
        <f>IF($U14="","",IF(INDEX('Per Invoice'!G$2:G$401,$U14)="","",INDEX('Per Invoice'!G$2:G$401,$U14)))</f>
        <v/>
      </c>
      <c r="H14" s="7">
        <f>IF($U14="","",IF(INDEX('Per Invoice'!H$2:H$401,$U14)="","",INDEX('Per Invoice'!H$2:H$401,$U14)))</f>
        <v/>
      </c>
      <c r="I14" s="14">
        <f>IF($U14="","",IF(INDEX('Per Invoice'!I$2:I$401,$U14)="","",INDEX('Per Invoice'!I$2:I$401,$U14)))</f>
        <v/>
      </c>
      <c r="J14">
        <f>IF($U14="","",IF(INDEX('Per Invoice'!J$2:J$401,$U14)="","",INDEX('Per Invoice'!J$2:J$401,$U14)))</f>
        <v/>
      </c>
      <c r="K14">
        <f>IF($U14="","",IF(INDEX('Per Invoice'!K$2:K$401,$U14)="","",INDEX('Per Invoice'!K$2:K$401,$U14)))</f>
        <v/>
      </c>
      <c r="L14" s="7">
        <f>IF($U14="","",IF(INDEX('Per Invoice'!L$2:L$401,$U14)="","",INDEX('Per Invoice'!L$2:L$401,$U14)))</f>
        <v/>
      </c>
      <c r="M14" s="7">
        <f>IF($U14="","",IF(INDEX('Per Invoice'!M$2:M$401,$U14)="","",INDEX('Per Invoice'!M$2:M$401,$U14)))</f>
        <v/>
      </c>
      <c r="N14">
        <f>IF($U14="","",IF(INDEX('Per Invoice'!N$2:N$401,$U14)="","",INDEX('Per Invoice'!N$2:N$401,$U14)))</f>
        <v/>
      </c>
      <c r="O14" s="7">
        <f>IF($U14="","",IF(INDEX('Per Invoice'!O$2:O$401,$U14)="","",INDEX('Per Invoice'!O$2:O$401,$U14)))</f>
        <v/>
      </c>
      <c r="P14" s="7">
        <f>IF($U14="","",IF(INDEX('Per Invoice'!P$2:P$401,$U14)="","",INDEX('Per Invoice'!P$2:P$401,$U14)))</f>
        <v/>
      </c>
      <c r="Q14" s="7">
        <f>IF($U14="","",IF(INDEX('Per Invoice'!Q$2:Q$401,$U14)="","",INDEX('Per Invoice'!Q$2:Q$401,$U14)))</f>
        <v/>
      </c>
      <c r="R14" s="7">
        <f>IF($U14="","",IF(INDEX('Per Invoice'!R$2:R$401,$U14)="","",INDEX('Per Invoice'!R$2:R$401,$U14)))</f>
        <v/>
      </c>
      <c r="S14" s="7">
        <f>IF($U14="","",IF(INDEX('Per Invoice'!S$2:S$401,$U14)="","",INDEX('Per Invoice'!S$2:S$401,$U14)))</f>
        <v/>
      </c>
      <c r="T14" s="7">
        <f>IF($U14="","",IF(INDEX('Per Invoice'!T$2:T$401,$U14)="","",INDEX('Per Invoice'!T$2:T$401,$U14)))</f>
        <v/>
      </c>
      <c r="U14" s="16">
        <f>IFERROR(MATCH(Settings!$C$27&amp;"|"&amp;ROWS($U$2:$U14),'Per Invoice'!$V$2:$V$401,0),"")</f>
        <v/>
      </c>
    </row>
    <row r="15">
      <c r="A15">
        <f>IF($U15="","",IF(INDEX('Per Invoice'!A$2:A$401,$U15)="","",INDEX('Per Invoice'!A$2:A$401,$U15)))</f>
        <v/>
      </c>
      <c r="B15">
        <f>IF($U15="","",IF(INDEX('Per Invoice'!B$2:B$401,$U15)="","",INDEX('Per Invoice'!B$2:B$401,$U15)))</f>
        <v/>
      </c>
      <c r="C15">
        <f>IF($U15="","",IF(INDEX('Per Invoice'!C$2:C$401,$U15)="","",INDEX('Per Invoice'!C$2:C$401,$U15)))</f>
        <v/>
      </c>
      <c r="D15">
        <f>IF($U15="","",IF(INDEX('Per Invoice'!D$2:D$401,$U15)="","",INDEX('Per Invoice'!D$2:D$401,$U15)))</f>
        <v/>
      </c>
      <c r="E15">
        <f>IF($U15="","",IF(INDEX('Per Invoice'!E$2:E$401,$U15)="","",INDEX('Per Invoice'!E$2:E$401,$U15)))</f>
        <v/>
      </c>
      <c r="F15">
        <f>IF($U15="","",IF(INDEX('Per Invoice'!F$2:F$401,$U15)="","",INDEX('Per Invoice'!F$2:F$401,$U15)))</f>
        <v/>
      </c>
      <c r="G15">
        <f>IF($U15="","",IF(INDEX('Per Invoice'!G$2:G$401,$U15)="","",INDEX('Per Invoice'!G$2:G$401,$U15)))</f>
        <v/>
      </c>
      <c r="H15" s="7">
        <f>IF($U15="","",IF(INDEX('Per Invoice'!H$2:H$401,$U15)="","",INDEX('Per Invoice'!H$2:H$401,$U15)))</f>
        <v/>
      </c>
      <c r="I15" s="14">
        <f>IF($U15="","",IF(INDEX('Per Invoice'!I$2:I$401,$U15)="","",INDEX('Per Invoice'!I$2:I$401,$U15)))</f>
        <v/>
      </c>
      <c r="J15">
        <f>IF($U15="","",IF(INDEX('Per Invoice'!J$2:J$401,$U15)="","",INDEX('Per Invoice'!J$2:J$401,$U15)))</f>
        <v/>
      </c>
      <c r="K15">
        <f>IF($U15="","",IF(INDEX('Per Invoice'!K$2:K$401,$U15)="","",INDEX('Per Invoice'!K$2:K$401,$U15)))</f>
        <v/>
      </c>
      <c r="L15" s="7">
        <f>IF($U15="","",IF(INDEX('Per Invoice'!L$2:L$401,$U15)="","",INDEX('Per Invoice'!L$2:L$401,$U15)))</f>
        <v/>
      </c>
      <c r="M15" s="7">
        <f>IF($U15="","",IF(INDEX('Per Invoice'!M$2:M$401,$U15)="","",INDEX('Per Invoice'!M$2:M$401,$U15)))</f>
        <v/>
      </c>
      <c r="N15">
        <f>IF($U15="","",IF(INDEX('Per Invoice'!N$2:N$401,$U15)="","",INDEX('Per Invoice'!N$2:N$401,$U15)))</f>
        <v/>
      </c>
      <c r="O15" s="7">
        <f>IF($U15="","",IF(INDEX('Per Invoice'!O$2:O$401,$U15)="","",INDEX('Per Invoice'!O$2:O$401,$U15)))</f>
        <v/>
      </c>
      <c r="P15" s="7">
        <f>IF($U15="","",IF(INDEX('Per Invoice'!P$2:P$401,$U15)="","",INDEX('Per Invoice'!P$2:P$401,$U15)))</f>
        <v/>
      </c>
      <c r="Q15" s="7">
        <f>IF($U15="","",IF(INDEX('Per Invoice'!Q$2:Q$401,$U15)="","",INDEX('Per Invoice'!Q$2:Q$401,$U15)))</f>
        <v/>
      </c>
      <c r="R15" s="7">
        <f>IF($U15="","",IF(INDEX('Per Invoice'!R$2:R$401,$U15)="","",INDEX('Per Invoice'!R$2:R$401,$U15)))</f>
        <v/>
      </c>
      <c r="S15" s="7">
        <f>IF($U15="","",IF(INDEX('Per Invoice'!S$2:S$401,$U15)="","",INDEX('Per Invoice'!S$2:S$401,$U15)))</f>
        <v/>
      </c>
      <c r="T15" s="7">
        <f>IF($U15="","",IF(INDEX('Per Invoice'!T$2:T$401,$U15)="","",INDEX('Per Invoice'!T$2:T$401,$U15)))</f>
        <v/>
      </c>
      <c r="U15" s="16">
        <f>IFERROR(MATCH(Settings!$C$27&amp;"|"&amp;ROWS($U$2:$U15),'Per Invoice'!$V$2:$V$401,0),"")</f>
        <v/>
      </c>
    </row>
    <row r="16">
      <c r="A16">
        <f>IF($U16="","",IF(INDEX('Per Invoice'!A$2:A$401,$U16)="","",INDEX('Per Invoice'!A$2:A$401,$U16)))</f>
        <v/>
      </c>
      <c r="B16">
        <f>IF($U16="","",IF(INDEX('Per Invoice'!B$2:B$401,$U16)="","",INDEX('Per Invoice'!B$2:B$401,$U16)))</f>
        <v/>
      </c>
      <c r="C16">
        <f>IF($U16="","",IF(INDEX('Per Invoice'!C$2:C$401,$U16)="","",INDEX('Per Invoice'!C$2:C$401,$U16)))</f>
        <v/>
      </c>
      <c r="D16">
        <f>IF($U16="","",IF(INDEX('Per Invoice'!D$2:D$401,$U16)="","",INDEX('Per Invoice'!D$2:D$401,$U16)))</f>
        <v/>
      </c>
      <c r="E16">
        <f>IF($U16="","",IF(INDEX('Per Invoice'!E$2:E$401,$U16)="","",INDEX('Per Invoice'!E$2:E$401,$U16)))</f>
        <v/>
      </c>
      <c r="F16">
        <f>IF($U16="","",IF(INDEX('Per Invoice'!F$2:F$401,$U16)="","",INDEX('Per Invoice'!F$2:F$401,$U16)))</f>
        <v/>
      </c>
      <c r="G16">
        <f>IF($U16="","",IF(INDEX('Per Invoice'!G$2:G$401,$U16)="","",INDEX('Per Invoice'!G$2:G$401,$U16)))</f>
        <v/>
      </c>
      <c r="H16" s="7">
        <f>IF($U16="","",IF(INDEX('Per Invoice'!H$2:H$401,$U16)="","",INDEX('Per Invoice'!H$2:H$401,$U16)))</f>
        <v/>
      </c>
      <c r="I16" s="14">
        <f>IF($U16="","",IF(INDEX('Per Invoice'!I$2:I$401,$U16)="","",INDEX('Per Invoice'!I$2:I$401,$U16)))</f>
        <v/>
      </c>
      <c r="J16">
        <f>IF($U16="","",IF(INDEX('Per Invoice'!J$2:J$401,$U16)="","",INDEX('Per Invoice'!J$2:J$401,$U16)))</f>
        <v/>
      </c>
      <c r="K16">
        <f>IF($U16="","",IF(INDEX('Per Invoice'!K$2:K$401,$U16)="","",INDEX('Per Invoice'!K$2:K$401,$U16)))</f>
        <v/>
      </c>
      <c r="L16" s="7">
        <f>IF($U16="","",IF(INDEX('Per Invoice'!L$2:L$401,$U16)="","",INDEX('Per Invoice'!L$2:L$401,$U16)))</f>
        <v/>
      </c>
      <c r="M16" s="7">
        <f>IF($U16="","",IF(INDEX('Per Invoice'!M$2:M$401,$U16)="","",INDEX('Per Invoice'!M$2:M$401,$U16)))</f>
        <v/>
      </c>
      <c r="N16">
        <f>IF($U16="","",IF(INDEX('Per Invoice'!N$2:N$401,$U16)="","",INDEX('Per Invoice'!N$2:N$401,$U16)))</f>
        <v/>
      </c>
      <c r="O16" s="7">
        <f>IF($U16="","",IF(INDEX('Per Invoice'!O$2:O$401,$U16)="","",INDEX('Per Invoice'!O$2:O$401,$U16)))</f>
        <v/>
      </c>
      <c r="P16" s="7">
        <f>IF($U16="","",IF(INDEX('Per Invoice'!P$2:P$401,$U16)="","",INDEX('Per Invoice'!P$2:P$401,$U16)))</f>
        <v/>
      </c>
      <c r="Q16" s="7">
        <f>IF($U16="","",IF(INDEX('Per Invoice'!Q$2:Q$401,$U16)="","",INDEX('Per Invoice'!Q$2:Q$401,$U16)))</f>
        <v/>
      </c>
      <c r="R16" s="7">
        <f>IF($U16="","",IF(INDEX('Per Invoice'!R$2:R$401,$U16)="","",INDEX('Per Invoice'!R$2:R$401,$U16)))</f>
        <v/>
      </c>
      <c r="S16" s="7">
        <f>IF($U16="","",IF(INDEX('Per Invoice'!S$2:S$401,$U16)="","",INDEX('Per Invoice'!S$2:S$401,$U16)))</f>
        <v/>
      </c>
      <c r="T16" s="7">
        <f>IF($U16="","",IF(INDEX('Per Invoice'!T$2:T$401,$U16)="","",INDEX('Per Invoice'!T$2:T$401,$U16)))</f>
        <v/>
      </c>
      <c r="U16" s="16">
        <f>IFERROR(MATCH(Settings!$C$27&amp;"|"&amp;ROWS($U$2:$U16),'Per Invoice'!$V$2:$V$401,0),"")</f>
        <v/>
      </c>
    </row>
    <row r="17">
      <c r="A17">
        <f>IF($U17="","",IF(INDEX('Per Invoice'!A$2:A$401,$U17)="","",INDEX('Per Invoice'!A$2:A$401,$U17)))</f>
        <v/>
      </c>
      <c r="B17">
        <f>IF($U17="","",IF(INDEX('Per Invoice'!B$2:B$401,$U17)="","",INDEX('Per Invoice'!B$2:B$401,$U17)))</f>
        <v/>
      </c>
      <c r="C17">
        <f>IF($U17="","",IF(INDEX('Per Invoice'!C$2:C$401,$U17)="","",INDEX('Per Invoice'!C$2:C$401,$U17)))</f>
        <v/>
      </c>
      <c r="D17">
        <f>IF($U17="","",IF(INDEX('Per Invoice'!D$2:D$401,$U17)="","",INDEX('Per Invoice'!D$2:D$401,$U17)))</f>
        <v/>
      </c>
      <c r="E17">
        <f>IF($U17="","",IF(INDEX('Per Invoice'!E$2:E$401,$U17)="","",INDEX('Per Invoice'!E$2:E$401,$U17)))</f>
        <v/>
      </c>
      <c r="F17">
        <f>IF($U17="","",IF(INDEX('Per Invoice'!F$2:F$401,$U17)="","",INDEX('Per Invoice'!F$2:F$401,$U17)))</f>
        <v/>
      </c>
      <c r="G17">
        <f>IF($U17="","",IF(INDEX('Per Invoice'!G$2:G$401,$U17)="","",INDEX('Per Invoice'!G$2:G$401,$U17)))</f>
        <v/>
      </c>
      <c r="H17" s="7">
        <f>IF($U17="","",IF(INDEX('Per Invoice'!H$2:H$401,$U17)="","",INDEX('Per Invoice'!H$2:H$401,$U17)))</f>
        <v/>
      </c>
      <c r="I17" s="14">
        <f>IF($U17="","",IF(INDEX('Per Invoice'!I$2:I$401,$U17)="","",INDEX('Per Invoice'!I$2:I$401,$U17)))</f>
        <v/>
      </c>
      <c r="J17">
        <f>IF($U17="","",IF(INDEX('Per Invoice'!J$2:J$401,$U17)="","",INDEX('Per Invoice'!J$2:J$401,$U17)))</f>
        <v/>
      </c>
      <c r="K17">
        <f>IF($U17="","",IF(INDEX('Per Invoice'!K$2:K$401,$U17)="","",INDEX('Per Invoice'!K$2:K$401,$U17)))</f>
        <v/>
      </c>
      <c r="L17" s="7">
        <f>IF($U17="","",IF(INDEX('Per Invoice'!L$2:L$401,$U17)="","",INDEX('Per Invoice'!L$2:L$401,$U17)))</f>
        <v/>
      </c>
      <c r="M17" s="7">
        <f>IF($U17="","",IF(INDEX('Per Invoice'!M$2:M$401,$U17)="","",INDEX('Per Invoice'!M$2:M$401,$U17)))</f>
        <v/>
      </c>
      <c r="N17">
        <f>IF($U17="","",IF(INDEX('Per Invoice'!N$2:N$401,$U17)="","",INDEX('Per Invoice'!N$2:N$401,$U17)))</f>
        <v/>
      </c>
      <c r="O17" s="7">
        <f>IF($U17="","",IF(INDEX('Per Invoice'!O$2:O$401,$U17)="","",INDEX('Per Invoice'!O$2:O$401,$U17)))</f>
        <v/>
      </c>
      <c r="P17" s="7">
        <f>IF($U17="","",IF(INDEX('Per Invoice'!P$2:P$401,$U17)="","",INDEX('Per Invoice'!P$2:P$401,$U17)))</f>
        <v/>
      </c>
      <c r="Q17" s="7">
        <f>IF($U17="","",IF(INDEX('Per Invoice'!Q$2:Q$401,$U17)="","",INDEX('Per Invoice'!Q$2:Q$401,$U17)))</f>
        <v/>
      </c>
      <c r="R17" s="7">
        <f>IF($U17="","",IF(INDEX('Per Invoice'!R$2:R$401,$U17)="","",INDEX('Per Invoice'!R$2:R$401,$U17)))</f>
        <v/>
      </c>
      <c r="S17" s="7">
        <f>IF($U17="","",IF(INDEX('Per Invoice'!S$2:S$401,$U17)="","",INDEX('Per Invoice'!S$2:S$401,$U17)))</f>
        <v/>
      </c>
      <c r="T17" s="7">
        <f>IF($U17="","",IF(INDEX('Per Invoice'!T$2:T$401,$U17)="","",INDEX('Per Invoice'!T$2:T$401,$U17)))</f>
        <v/>
      </c>
      <c r="U17" s="16">
        <f>IFERROR(MATCH(Settings!$C$27&amp;"|"&amp;ROWS($U$2:$U17),'Per Invoice'!$V$2:$V$401,0),"")</f>
        <v/>
      </c>
    </row>
    <row r="18">
      <c r="A18">
        <f>IF($U18="","",IF(INDEX('Per Invoice'!A$2:A$401,$U18)="","",INDEX('Per Invoice'!A$2:A$401,$U18)))</f>
        <v/>
      </c>
      <c r="B18">
        <f>IF($U18="","",IF(INDEX('Per Invoice'!B$2:B$401,$U18)="","",INDEX('Per Invoice'!B$2:B$401,$U18)))</f>
        <v/>
      </c>
      <c r="C18">
        <f>IF($U18="","",IF(INDEX('Per Invoice'!C$2:C$401,$U18)="","",INDEX('Per Invoice'!C$2:C$401,$U18)))</f>
        <v/>
      </c>
      <c r="D18">
        <f>IF($U18="","",IF(INDEX('Per Invoice'!D$2:D$401,$U18)="","",INDEX('Per Invoice'!D$2:D$401,$U18)))</f>
        <v/>
      </c>
      <c r="E18">
        <f>IF($U18="","",IF(INDEX('Per Invoice'!E$2:E$401,$U18)="","",INDEX('Per Invoice'!E$2:E$401,$U18)))</f>
        <v/>
      </c>
      <c r="F18">
        <f>IF($U18="","",IF(INDEX('Per Invoice'!F$2:F$401,$U18)="","",INDEX('Per Invoice'!F$2:F$401,$U18)))</f>
        <v/>
      </c>
      <c r="G18">
        <f>IF($U18="","",IF(INDEX('Per Invoice'!G$2:G$401,$U18)="","",INDEX('Per Invoice'!G$2:G$401,$U18)))</f>
        <v/>
      </c>
      <c r="H18" s="7">
        <f>IF($U18="","",IF(INDEX('Per Invoice'!H$2:H$401,$U18)="","",INDEX('Per Invoice'!H$2:H$401,$U18)))</f>
        <v/>
      </c>
      <c r="I18" s="14">
        <f>IF($U18="","",IF(INDEX('Per Invoice'!I$2:I$401,$U18)="","",INDEX('Per Invoice'!I$2:I$401,$U18)))</f>
        <v/>
      </c>
      <c r="J18">
        <f>IF($U18="","",IF(INDEX('Per Invoice'!J$2:J$401,$U18)="","",INDEX('Per Invoice'!J$2:J$401,$U18)))</f>
        <v/>
      </c>
      <c r="K18">
        <f>IF($U18="","",IF(INDEX('Per Invoice'!K$2:K$401,$U18)="","",INDEX('Per Invoice'!K$2:K$401,$U18)))</f>
        <v/>
      </c>
      <c r="L18" s="7">
        <f>IF($U18="","",IF(INDEX('Per Invoice'!L$2:L$401,$U18)="","",INDEX('Per Invoice'!L$2:L$401,$U18)))</f>
        <v/>
      </c>
      <c r="M18" s="7">
        <f>IF($U18="","",IF(INDEX('Per Invoice'!M$2:M$401,$U18)="","",INDEX('Per Invoice'!M$2:M$401,$U18)))</f>
        <v/>
      </c>
      <c r="N18">
        <f>IF($U18="","",IF(INDEX('Per Invoice'!N$2:N$401,$U18)="","",INDEX('Per Invoice'!N$2:N$401,$U18)))</f>
        <v/>
      </c>
      <c r="O18" s="7">
        <f>IF($U18="","",IF(INDEX('Per Invoice'!O$2:O$401,$U18)="","",INDEX('Per Invoice'!O$2:O$401,$U18)))</f>
        <v/>
      </c>
      <c r="P18" s="7">
        <f>IF($U18="","",IF(INDEX('Per Invoice'!P$2:P$401,$U18)="","",INDEX('Per Invoice'!P$2:P$401,$U18)))</f>
        <v/>
      </c>
      <c r="Q18" s="7">
        <f>IF($U18="","",IF(INDEX('Per Invoice'!Q$2:Q$401,$U18)="","",INDEX('Per Invoice'!Q$2:Q$401,$U18)))</f>
        <v/>
      </c>
      <c r="R18" s="7">
        <f>IF($U18="","",IF(INDEX('Per Invoice'!R$2:R$401,$U18)="","",INDEX('Per Invoice'!R$2:R$401,$U18)))</f>
        <v/>
      </c>
      <c r="S18" s="7">
        <f>IF($U18="","",IF(INDEX('Per Invoice'!S$2:S$401,$U18)="","",INDEX('Per Invoice'!S$2:S$401,$U18)))</f>
        <v/>
      </c>
      <c r="T18" s="7">
        <f>IF($U18="","",IF(INDEX('Per Invoice'!T$2:T$401,$U18)="","",INDEX('Per Invoice'!T$2:T$401,$U18)))</f>
        <v/>
      </c>
      <c r="U18" s="16">
        <f>IFERROR(MATCH(Settings!$C$27&amp;"|"&amp;ROWS($U$2:$U18),'Per Invoice'!$V$2:$V$401,0),"")</f>
        <v/>
      </c>
    </row>
    <row r="19">
      <c r="A19">
        <f>IF($U19="","",IF(INDEX('Per Invoice'!A$2:A$401,$U19)="","",INDEX('Per Invoice'!A$2:A$401,$U19)))</f>
        <v/>
      </c>
      <c r="B19">
        <f>IF($U19="","",IF(INDEX('Per Invoice'!B$2:B$401,$U19)="","",INDEX('Per Invoice'!B$2:B$401,$U19)))</f>
        <v/>
      </c>
      <c r="C19">
        <f>IF($U19="","",IF(INDEX('Per Invoice'!C$2:C$401,$U19)="","",INDEX('Per Invoice'!C$2:C$401,$U19)))</f>
        <v/>
      </c>
      <c r="D19">
        <f>IF($U19="","",IF(INDEX('Per Invoice'!D$2:D$401,$U19)="","",INDEX('Per Invoice'!D$2:D$401,$U19)))</f>
        <v/>
      </c>
      <c r="E19">
        <f>IF($U19="","",IF(INDEX('Per Invoice'!E$2:E$401,$U19)="","",INDEX('Per Invoice'!E$2:E$401,$U19)))</f>
        <v/>
      </c>
      <c r="F19">
        <f>IF($U19="","",IF(INDEX('Per Invoice'!F$2:F$401,$U19)="","",INDEX('Per Invoice'!F$2:F$401,$U19)))</f>
        <v/>
      </c>
      <c r="G19">
        <f>IF($U19="","",IF(INDEX('Per Invoice'!G$2:G$401,$U19)="","",INDEX('Per Invoice'!G$2:G$401,$U19)))</f>
        <v/>
      </c>
      <c r="H19" s="7">
        <f>IF($U19="","",IF(INDEX('Per Invoice'!H$2:H$401,$U19)="","",INDEX('Per Invoice'!H$2:H$401,$U19)))</f>
        <v/>
      </c>
      <c r="I19" s="14">
        <f>IF($U19="","",IF(INDEX('Per Invoice'!I$2:I$401,$U19)="","",INDEX('Per Invoice'!I$2:I$401,$U19)))</f>
        <v/>
      </c>
      <c r="J19">
        <f>IF($U19="","",IF(INDEX('Per Invoice'!J$2:J$401,$U19)="","",INDEX('Per Invoice'!J$2:J$401,$U19)))</f>
        <v/>
      </c>
      <c r="K19">
        <f>IF($U19="","",IF(INDEX('Per Invoice'!K$2:K$401,$U19)="","",INDEX('Per Invoice'!K$2:K$401,$U19)))</f>
        <v/>
      </c>
      <c r="L19" s="7">
        <f>IF($U19="","",IF(INDEX('Per Invoice'!L$2:L$401,$U19)="","",INDEX('Per Invoice'!L$2:L$401,$U19)))</f>
        <v/>
      </c>
      <c r="M19" s="7">
        <f>IF($U19="","",IF(INDEX('Per Invoice'!M$2:M$401,$U19)="","",INDEX('Per Invoice'!M$2:M$401,$U19)))</f>
        <v/>
      </c>
      <c r="N19">
        <f>IF($U19="","",IF(INDEX('Per Invoice'!N$2:N$401,$U19)="","",INDEX('Per Invoice'!N$2:N$401,$U19)))</f>
        <v/>
      </c>
      <c r="O19" s="7">
        <f>IF($U19="","",IF(INDEX('Per Invoice'!O$2:O$401,$U19)="","",INDEX('Per Invoice'!O$2:O$401,$U19)))</f>
        <v/>
      </c>
      <c r="P19" s="7">
        <f>IF($U19="","",IF(INDEX('Per Invoice'!P$2:P$401,$U19)="","",INDEX('Per Invoice'!P$2:P$401,$U19)))</f>
        <v/>
      </c>
      <c r="Q19" s="7">
        <f>IF($U19="","",IF(INDEX('Per Invoice'!Q$2:Q$401,$U19)="","",INDEX('Per Invoice'!Q$2:Q$401,$U19)))</f>
        <v/>
      </c>
      <c r="R19" s="7">
        <f>IF($U19="","",IF(INDEX('Per Invoice'!R$2:R$401,$U19)="","",INDEX('Per Invoice'!R$2:R$401,$U19)))</f>
        <v/>
      </c>
      <c r="S19" s="7">
        <f>IF($U19="","",IF(INDEX('Per Invoice'!S$2:S$401,$U19)="","",INDEX('Per Invoice'!S$2:S$401,$U19)))</f>
        <v/>
      </c>
      <c r="T19" s="7">
        <f>IF($U19="","",IF(INDEX('Per Invoice'!T$2:T$401,$U19)="","",INDEX('Per Invoice'!T$2:T$401,$U19)))</f>
        <v/>
      </c>
      <c r="U19" s="16">
        <f>IFERROR(MATCH(Settings!$C$27&amp;"|"&amp;ROWS($U$2:$U19),'Per Invoice'!$V$2:$V$401,0),"")</f>
        <v/>
      </c>
    </row>
    <row r="20">
      <c r="A20">
        <f>IF($U20="","",IF(INDEX('Per Invoice'!A$2:A$401,$U20)="","",INDEX('Per Invoice'!A$2:A$401,$U20)))</f>
        <v/>
      </c>
      <c r="B20">
        <f>IF($U20="","",IF(INDEX('Per Invoice'!B$2:B$401,$U20)="","",INDEX('Per Invoice'!B$2:B$401,$U20)))</f>
        <v/>
      </c>
      <c r="C20">
        <f>IF($U20="","",IF(INDEX('Per Invoice'!C$2:C$401,$U20)="","",INDEX('Per Invoice'!C$2:C$401,$U20)))</f>
        <v/>
      </c>
      <c r="D20">
        <f>IF($U20="","",IF(INDEX('Per Invoice'!D$2:D$401,$U20)="","",INDEX('Per Invoice'!D$2:D$401,$U20)))</f>
        <v/>
      </c>
      <c r="E20">
        <f>IF($U20="","",IF(INDEX('Per Invoice'!E$2:E$401,$U20)="","",INDEX('Per Invoice'!E$2:E$401,$U20)))</f>
        <v/>
      </c>
      <c r="F20">
        <f>IF($U20="","",IF(INDEX('Per Invoice'!F$2:F$401,$U20)="","",INDEX('Per Invoice'!F$2:F$401,$U20)))</f>
        <v/>
      </c>
      <c r="G20">
        <f>IF($U20="","",IF(INDEX('Per Invoice'!G$2:G$401,$U20)="","",INDEX('Per Invoice'!G$2:G$401,$U20)))</f>
        <v/>
      </c>
      <c r="H20" s="7">
        <f>IF($U20="","",IF(INDEX('Per Invoice'!H$2:H$401,$U20)="","",INDEX('Per Invoice'!H$2:H$401,$U20)))</f>
        <v/>
      </c>
      <c r="I20" s="14">
        <f>IF($U20="","",IF(INDEX('Per Invoice'!I$2:I$401,$U20)="","",INDEX('Per Invoice'!I$2:I$401,$U20)))</f>
        <v/>
      </c>
      <c r="J20">
        <f>IF($U20="","",IF(INDEX('Per Invoice'!J$2:J$401,$U20)="","",INDEX('Per Invoice'!J$2:J$401,$U20)))</f>
        <v/>
      </c>
      <c r="K20">
        <f>IF($U20="","",IF(INDEX('Per Invoice'!K$2:K$401,$U20)="","",INDEX('Per Invoice'!K$2:K$401,$U20)))</f>
        <v/>
      </c>
      <c r="L20" s="7">
        <f>IF($U20="","",IF(INDEX('Per Invoice'!L$2:L$401,$U20)="","",INDEX('Per Invoice'!L$2:L$401,$U20)))</f>
        <v/>
      </c>
      <c r="M20" s="7">
        <f>IF($U20="","",IF(INDEX('Per Invoice'!M$2:M$401,$U20)="","",INDEX('Per Invoice'!M$2:M$401,$U20)))</f>
        <v/>
      </c>
      <c r="N20">
        <f>IF($U20="","",IF(INDEX('Per Invoice'!N$2:N$401,$U20)="","",INDEX('Per Invoice'!N$2:N$401,$U20)))</f>
        <v/>
      </c>
      <c r="O20" s="7">
        <f>IF($U20="","",IF(INDEX('Per Invoice'!O$2:O$401,$U20)="","",INDEX('Per Invoice'!O$2:O$401,$U20)))</f>
        <v/>
      </c>
      <c r="P20" s="7">
        <f>IF($U20="","",IF(INDEX('Per Invoice'!P$2:P$401,$U20)="","",INDEX('Per Invoice'!P$2:P$401,$U20)))</f>
        <v/>
      </c>
      <c r="Q20" s="7">
        <f>IF($U20="","",IF(INDEX('Per Invoice'!Q$2:Q$401,$U20)="","",INDEX('Per Invoice'!Q$2:Q$401,$U20)))</f>
        <v/>
      </c>
      <c r="R20" s="7">
        <f>IF($U20="","",IF(INDEX('Per Invoice'!R$2:R$401,$U20)="","",INDEX('Per Invoice'!R$2:R$401,$U20)))</f>
        <v/>
      </c>
      <c r="S20" s="7">
        <f>IF($U20="","",IF(INDEX('Per Invoice'!S$2:S$401,$U20)="","",INDEX('Per Invoice'!S$2:S$401,$U20)))</f>
        <v/>
      </c>
      <c r="T20" s="7">
        <f>IF($U20="","",IF(INDEX('Per Invoice'!T$2:T$401,$U20)="","",INDEX('Per Invoice'!T$2:T$401,$U20)))</f>
        <v/>
      </c>
      <c r="U20" s="16">
        <f>IFERROR(MATCH(Settings!$C$27&amp;"|"&amp;ROWS($U$2:$U20),'Per Invoice'!$V$2:$V$401,0),"")</f>
        <v/>
      </c>
    </row>
    <row r="21">
      <c r="A21">
        <f>IF($U21="","",IF(INDEX('Per Invoice'!A$2:A$401,$U21)="","",INDEX('Per Invoice'!A$2:A$401,$U21)))</f>
        <v/>
      </c>
      <c r="B21">
        <f>IF($U21="","",IF(INDEX('Per Invoice'!B$2:B$401,$U21)="","",INDEX('Per Invoice'!B$2:B$401,$U21)))</f>
        <v/>
      </c>
      <c r="C21">
        <f>IF($U21="","",IF(INDEX('Per Invoice'!C$2:C$401,$U21)="","",INDEX('Per Invoice'!C$2:C$401,$U21)))</f>
        <v/>
      </c>
      <c r="D21">
        <f>IF($U21="","",IF(INDEX('Per Invoice'!D$2:D$401,$U21)="","",INDEX('Per Invoice'!D$2:D$401,$U21)))</f>
        <v/>
      </c>
      <c r="E21">
        <f>IF($U21="","",IF(INDEX('Per Invoice'!E$2:E$401,$U21)="","",INDEX('Per Invoice'!E$2:E$401,$U21)))</f>
        <v/>
      </c>
      <c r="F21">
        <f>IF($U21="","",IF(INDEX('Per Invoice'!F$2:F$401,$U21)="","",INDEX('Per Invoice'!F$2:F$401,$U21)))</f>
        <v/>
      </c>
      <c r="G21">
        <f>IF($U21="","",IF(INDEX('Per Invoice'!G$2:G$401,$U21)="","",INDEX('Per Invoice'!G$2:G$401,$U21)))</f>
        <v/>
      </c>
      <c r="H21" s="7">
        <f>IF($U21="","",IF(INDEX('Per Invoice'!H$2:H$401,$U21)="","",INDEX('Per Invoice'!H$2:H$401,$U21)))</f>
        <v/>
      </c>
      <c r="I21" s="14">
        <f>IF($U21="","",IF(INDEX('Per Invoice'!I$2:I$401,$U21)="","",INDEX('Per Invoice'!I$2:I$401,$U21)))</f>
        <v/>
      </c>
      <c r="J21">
        <f>IF($U21="","",IF(INDEX('Per Invoice'!J$2:J$401,$U21)="","",INDEX('Per Invoice'!J$2:J$401,$U21)))</f>
        <v/>
      </c>
      <c r="K21">
        <f>IF($U21="","",IF(INDEX('Per Invoice'!K$2:K$401,$U21)="","",INDEX('Per Invoice'!K$2:K$401,$U21)))</f>
        <v/>
      </c>
      <c r="L21" s="7">
        <f>IF($U21="","",IF(INDEX('Per Invoice'!L$2:L$401,$U21)="","",INDEX('Per Invoice'!L$2:L$401,$U21)))</f>
        <v/>
      </c>
      <c r="M21" s="7">
        <f>IF($U21="","",IF(INDEX('Per Invoice'!M$2:M$401,$U21)="","",INDEX('Per Invoice'!M$2:M$401,$U21)))</f>
        <v/>
      </c>
      <c r="N21">
        <f>IF($U21="","",IF(INDEX('Per Invoice'!N$2:N$401,$U21)="","",INDEX('Per Invoice'!N$2:N$401,$U21)))</f>
        <v/>
      </c>
      <c r="O21" s="7">
        <f>IF($U21="","",IF(INDEX('Per Invoice'!O$2:O$401,$U21)="","",INDEX('Per Invoice'!O$2:O$401,$U21)))</f>
        <v/>
      </c>
      <c r="P21" s="7">
        <f>IF($U21="","",IF(INDEX('Per Invoice'!P$2:P$401,$U21)="","",INDEX('Per Invoice'!P$2:P$401,$U21)))</f>
        <v/>
      </c>
      <c r="Q21" s="7">
        <f>IF($U21="","",IF(INDEX('Per Invoice'!Q$2:Q$401,$U21)="","",INDEX('Per Invoice'!Q$2:Q$401,$U21)))</f>
        <v/>
      </c>
      <c r="R21" s="7">
        <f>IF($U21="","",IF(INDEX('Per Invoice'!R$2:R$401,$U21)="","",INDEX('Per Invoice'!R$2:R$401,$U21)))</f>
        <v/>
      </c>
      <c r="S21" s="7">
        <f>IF($U21="","",IF(INDEX('Per Invoice'!S$2:S$401,$U21)="","",INDEX('Per Invoice'!S$2:S$401,$U21)))</f>
        <v/>
      </c>
      <c r="T21" s="7">
        <f>IF($U21="","",IF(INDEX('Per Invoice'!T$2:T$401,$U21)="","",INDEX('Per Invoice'!T$2:T$401,$U21)))</f>
        <v/>
      </c>
      <c r="U21" s="16">
        <f>IFERROR(MATCH(Settings!$C$27&amp;"|"&amp;ROWS($U$2:$U21),'Per Invoice'!$V$2:$V$401,0),"")</f>
        <v/>
      </c>
    </row>
    <row r="22">
      <c r="A22">
        <f>IF($U22="","",IF(INDEX('Per Invoice'!A$2:A$401,$U22)="","",INDEX('Per Invoice'!A$2:A$401,$U22)))</f>
        <v/>
      </c>
      <c r="B22">
        <f>IF($U22="","",IF(INDEX('Per Invoice'!B$2:B$401,$U22)="","",INDEX('Per Invoice'!B$2:B$401,$U22)))</f>
        <v/>
      </c>
      <c r="C22">
        <f>IF($U22="","",IF(INDEX('Per Invoice'!C$2:C$401,$U22)="","",INDEX('Per Invoice'!C$2:C$401,$U22)))</f>
        <v/>
      </c>
      <c r="D22">
        <f>IF($U22="","",IF(INDEX('Per Invoice'!D$2:D$401,$U22)="","",INDEX('Per Invoice'!D$2:D$401,$U22)))</f>
        <v/>
      </c>
      <c r="E22">
        <f>IF($U22="","",IF(INDEX('Per Invoice'!E$2:E$401,$U22)="","",INDEX('Per Invoice'!E$2:E$401,$U22)))</f>
        <v/>
      </c>
      <c r="F22">
        <f>IF($U22="","",IF(INDEX('Per Invoice'!F$2:F$401,$U22)="","",INDEX('Per Invoice'!F$2:F$401,$U22)))</f>
        <v/>
      </c>
      <c r="G22">
        <f>IF($U22="","",IF(INDEX('Per Invoice'!G$2:G$401,$U22)="","",INDEX('Per Invoice'!G$2:G$401,$U22)))</f>
        <v/>
      </c>
      <c r="H22" s="7">
        <f>IF($U22="","",IF(INDEX('Per Invoice'!H$2:H$401,$U22)="","",INDEX('Per Invoice'!H$2:H$401,$U22)))</f>
        <v/>
      </c>
      <c r="I22" s="14">
        <f>IF($U22="","",IF(INDEX('Per Invoice'!I$2:I$401,$U22)="","",INDEX('Per Invoice'!I$2:I$401,$U22)))</f>
        <v/>
      </c>
      <c r="J22">
        <f>IF($U22="","",IF(INDEX('Per Invoice'!J$2:J$401,$U22)="","",INDEX('Per Invoice'!J$2:J$401,$U22)))</f>
        <v/>
      </c>
      <c r="K22">
        <f>IF($U22="","",IF(INDEX('Per Invoice'!K$2:K$401,$U22)="","",INDEX('Per Invoice'!K$2:K$401,$U22)))</f>
        <v/>
      </c>
      <c r="L22" s="7">
        <f>IF($U22="","",IF(INDEX('Per Invoice'!L$2:L$401,$U22)="","",INDEX('Per Invoice'!L$2:L$401,$U22)))</f>
        <v/>
      </c>
      <c r="M22" s="7">
        <f>IF($U22="","",IF(INDEX('Per Invoice'!M$2:M$401,$U22)="","",INDEX('Per Invoice'!M$2:M$401,$U22)))</f>
        <v/>
      </c>
      <c r="N22">
        <f>IF($U22="","",IF(INDEX('Per Invoice'!N$2:N$401,$U22)="","",INDEX('Per Invoice'!N$2:N$401,$U22)))</f>
        <v/>
      </c>
      <c r="O22" s="7">
        <f>IF($U22="","",IF(INDEX('Per Invoice'!O$2:O$401,$U22)="","",INDEX('Per Invoice'!O$2:O$401,$U22)))</f>
        <v/>
      </c>
      <c r="P22" s="7">
        <f>IF($U22="","",IF(INDEX('Per Invoice'!P$2:P$401,$U22)="","",INDEX('Per Invoice'!P$2:P$401,$U22)))</f>
        <v/>
      </c>
      <c r="Q22" s="7">
        <f>IF($U22="","",IF(INDEX('Per Invoice'!Q$2:Q$401,$U22)="","",INDEX('Per Invoice'!Q$2:Q$401,$U22)))</f>
        <v/>
      </c>
      <c r="R22" s="7">
        <f>IF($U22="","",IF(INDEX('Per Invoice'!R$2:R$401,$U22)="","",INDEX('Per Invoice'!R$2:R$401,$U22)))</f>
        <v/>
      </c>
      <c r="S22" s="7">
        <f>IF($U22="","",IF(INDEX('Per Invoice'!S$2:S$401,$U22)="","",INDEX('Per Invoice'!S$2:S$401,$U22)))</f>
        <v/>
      </c>
      <c r="T22" s="7">
        <f>IF($U22="","",IF(INDEX('Per Invoice'!T$2:T$401,$U22)="","",INDEX('Per Invoice'!T$2:T$401,$U22)))</f>
        <v/>
      </c>
      <c r="U22" s="16">
        <f>IFERROR(MATCH(Settings!$C$27&amp;"|"&amp;ROWS($U$2:$U22),'Per Invoice'!$V$2:$V$401,0),"")</f>
        <v/>
      </c>
    </row>
    <row r="23">
      <c r="A23">
        <f>IF($U23="","",IF(INDEX('Per Invoice'!A$2:A$401,$U23)="","",INDEX('Per Invoice'!A$2:A$401,$U23)))</f>
        <v/>
      </c>
      <c r="B23">
        <f>IF($U23="","",IF(INDEX('Per Invoice'!B$2:B$401,$U23)="","",INDEX('Per Invoice'!B$2:B$401,$U23)))</f>
        <v/>
      </c>
      <c r="C23">
        <f>IF($U23="","",IF(INDEX('Per Invoice'!C$2:C$401,$U23)="","",INDEX('Per Invoice'!C$2:C$401,$U23)))</f>
        <v/>
      </c>
      <c r="D23">
        <f>IF($U23="","",IF(INDEX('Per Invoice'!D$2:D$401,$U23)="","",INDEX('Per Invoice'!D$2:D$401,$U23)))</f>
        <v/>
      </c>
      <c r="E23">
        <f>IF($U23="","",IF(INDEX('Per Invoice'!E$2:E$401,$U23)="","",INDEX('Per Invoice'!E$2:E$401,$U23)))</f>
        <v/>
      </c>
      <c r="F23">
        <f>IF($U23="","",IF(INDEX('Per Invoice'!F$2:F$401,$U23)="","",INDEX('Per Invoice'!F$2:F$401,$U23)))</f>
        <v/>
      </c>
      <c r="G23">
        <f>IF($U23="","",IF(INDEX('Per Invoice'!G$2:G$401,$U23)="","",INDEX('Per Invoice'!G$2:G$401,$U23)))</f>
        <v/>
      </c>
      <c r="H23" s="7">
        <f>IF($U23="","",IF(INDEX('Per Invoice'!H$2:H$401,$U23)="","",INDEX('Per Invoice'!H$2:H$401,$U23)))</f>
        <v/>
      </c>
      <c r="I23" s="14">
        <f>IF($U23="","",IF(INDEX('Per Invoice'!I$2:I$401,$U23)="","",INDEX('Per Invoice'!I$2:I$401,$U23)))</f>
        <v/>
      </c>
      <c r="J23">
        <f>IF($U23="","",IF(INDEX('Per Invoice'!J$2:J$401,$U23)="","",INDEX('Per Invoice'!J$2:J$401,$U23)))</f>
        <v/>
      </c>
      <c r="K23">
        <f>IF($U23="","",IF(INDEX('Per Invoice'!K$2:K$401,$U23)="","",INDEX('Per Invoice'!K$2:K$401,$U23)))</f>
        <v/>
      </c>
      <c r="L23" s="7">
        <f>IF($U23="","",IF(INDEX('Per Invoice'!L$2:L$401,$U23)="","",INDEX('Per Invoice'!L$2:L$401,$U23)))</f>
        <v/>
      </c>
      <c r="M23" s="7">
        <f>IF($U23="","",IF(INDEX('Per Invoice'!M$2:M$401,$U23)="","",INDEX('Per Invoice'!M$2:M$401,$U23)))</f>
        <v/>
      </c>
      <c r="N23">
        <f>IF($U23="","",IF(INDEX('Per Invoice'!N$2:N$401,$U23)="","",INDEX('Per Invoice'!N$2:N$401,$U23)))</f>
        <v/>
      </c>
      <c r="O23" s="7">
        <f>IF($U23="","",IF(INDEX('Per Invoice'!O$2:O$401,$U23)="","",INDEX('Per Invoice'!O$2:O$401,$U23)))</f>
        <v/>
      </c>
      <c r="P23" s="7">
        <f>IF($U23="","",IF(INDEX('Per Invoice'!P$2:P$401,$U23)="","",INDEX('Per Invoice'!P$2:P$401,$U23)))</f>
        <v/>
      </c>
      <c r="Q23" s="7">
        <f>IF($U23="","",IF(INDEX('Per Invoice'!Q$2:Q$401,$U23)="","",INDEX('Per Invoice'!Q$2:Q$401,$U23)))</f>
        <v/>
      </c>
      <c r="R23" s="7">
        <f>IF($U23="","",IF(INDEX('Per Invoice'!R$2:R$401,$U23)="","",INDEX('Per Invoice'!R$2:R$401,$U23)))</f>
        <v/>
      </c>
      <c r="S23" s="7">
        <f>IF($U23="","",IF(INDEX('Per Invoice'!S$2:S$401,$U23)="","",INDEX('Per Invoice'!S$2:S$401,$U23)))</f>
        <v/>
      </c>
      <c r="T23" s="7">
        <f>IF($U23="","",IF(INDEX('Per Invoice'!T$2:T$401,$U23)="","",INDEX('Per Invoice'!T$2:T$401,$U23)))</f>
        <v/>
      </c>
      <c r="U23" s="16">
        <f>IFERROR(MATCH(Settings!$C$27&amp;"|"&amp;ROWS($U$2:$U23),'Per Invoice'!$V$2:$V$401,0),"")</f>
        <v/>
      </c>
    </row>
    <row r="24">
      <c r="A24">
        <f>IF($U24="","",IF(INDEX('Per Invoice'!A$2:A$401,$U24)="","",INDEX('Per Invoice'!A$2:A$401,$U24)))</f>
        <v/>
      </c>
      <c r="B24">
        <f>IF($U24="","",IF(INDEX('Per Invoice'!B$2:B$401,$U24)="","",INDEX('Per Invoice'!B$2:B$401,$U24)))</f>
        <v/>
      </c>
      <c r="C24">
        <f>IF($U24="","",IF(INDEX('Per Invoice'!C$2:C$401,$U24)="","",INDEX('Per Invoice'!C$2:C$401,$U24)))</f>
        <v/>
      </c>
      <c r="D24">
        <f>IF($U24="","",IF(INDEX('Per Invoice'!D$2:D$401,$U24)="","",INDEX('Per Invoice'!D$2:D$401,$U24)))</f>
        <v/>
      </c>
      <c r="E24">
        <f>IF($U24="","",IF(INDEX('Per Invoice'!E$2:E$401,$U24)="","",INDEX('Per Invoice'!E$2:E$401,$U24)))</f>
        <v/>
      </c>
      <c r="F24">
        <f>IF($U24="","",IF(INDEX('Per Invoice'!F$2:F$401,$U24)="","",INDEX('Per Invoice'!F$2:F$401,$U24)))</f>
        <v/>
      </c>
      <c r="G24">
        <f>IF($U24="","",IF(INDEX('Per Invoice'!G$2:G$401,$U24)="","",INDEX('Per Invoice'!G$2:G$401,$U24)))</f>
        <v/>
      </c>
      <c r="H24" s="7">
        <f>IF($U24="","",IF(INDEX('Per Invoice'!H$2:H$401,$U24)="","",INDEX('Per Invoice'!H$2:H$401,$U24)))</f>
        <v/>
      </c>
      <c r="I24" s="14">
        <f>IF($U24="","",IF(INDEX('Per Invoice'!I$2:I$401,$U24)="","",INDEX('Per Invoice'!I$2:I$401,$U24)))</f>
        <v/>
      </c>
      <c r="J24">
        <f>IF($U24="","",IF(INDEX('Per Invoice'!J$2:J$401,$U24)="","",INDEX('Per Invoice'!J$2:J$401,$U24)))</f>
        <v/>
      </c>
      <c r="K24">
        <f>IF($U24="","",IF(INDEX('Per Invoice'!K$2:K$401,$U24)="","",INDEX('Per Invoice'!K$2:K$401,$U24)))</f>
        <v/>
      </c>
      <c r="L24" s="7">
        <f>IF($U24="","",IF(INDEX('Per Invoice'!L$2:L$401,$U24)="","",INDEX('Per Invoice'!L$2:L$401,$U24)))</f>
        <v/>
      </c>
      <c r="M24" s="7">
        <f>IF($U24="","",IF(INDEX('Per Invoice'!M$2:M$401,$U24)="","",INDEX('Per Invoice'!M$2:M$401,$U24)))</f>
        <v/>
      </c>
      <c r="N24">
        <f>IF($U24="","",IF(INDEX('Per Invoice'!N$2:N$401,$U24)="","",INDEX('Per Invoice'!N$2:N$401,$U24)))</f>
        <v/>
      </c>
      <c r="O24" s="7">
        <f>IF($U24="","",IF(INDEX('Per Invoice'!O$2:O$401,$U24)="","",INDEX('Per Invoice'!O$2:O$401,$U24)))</f>
        <v/>
      </c>
      <c r="P24" s="7">
        <f>IF($U24="","",IF(INDEX('Per Invoice'!P$2:P$401,$U24)="","",INDEX('Per Invoice'!P$2:P$401,$U24)))</f>
        <v/>
      </c>
      <c r="Q24" s="7">
        <f>IF($U24="","",IF(INDEX('Per Invoice'!Q$2:Q$401,$U24)="","",INDEX('Per Invoice'!Q$2:Q$401,$U24)))</f>
        <v/>
      </c>
      <c r="R24" s="7">
        <f>IF($U24="","",IF(INDEX('Per Invoice'!R$2:R$401,$U24)="","",INDEX('Per Invoice'!R$2:R$401,$U24)))</f>
        <v/>
      </c>
      <c r="S24" s="7">
        <f>IF($U24="","",IF(INDEX('Per Invoice'!S$2:S$401,$U24)="","",INDEX('Per Invoice'!S$2:S$401,$U24)))</f>
        <v/>
      </c>
      <c r="T24" s="7">
        <f>IF($U24="","",IF(INDEX('Per Invoice'!T$2:T$401,$U24)="","",INDEX('Per Invoice'!T$2:T$401,$U24)))</f>
        <v/>
      </c>
      <c r="U24" s="16">
        <f>IFERROR(MATCH(Settings!$C$27&amp;"|"&amp;ROWS($U$2:$U24),'Per Invoice'!$V$2:$V$401,0),"")</f>
        <v/>
      </c>
    </row>
    <row r="25">
      <c r="A25">
        <f>IF($U25="","",IF(INDEX('Per Invoice'!A$2:A$401,$U25)="","",INDEX('Per Invoice'!A$2:A$401,$U25)))</f>
        <v/>
      </c>
      <c r="B25">
        <f>IF($U25="","",IF(INDEX('Per Invoice'!B$2:B$401,$U25)="","",INDEX('Per Invoice'!B$2:B$401,$U25)))</f>
        <v/>
      </c>
      <c r="C25">
        <f>IF($U25="","",IF(INDEX('Per Invoice'!C$2:C$401,$U25)="","",INDEX('Per Invoice'!C$2:C$401,$U25)))</f>
        <v/>
      </c>
      <c r="D25">
        <f>IF($U25="","",IF(INDEX('Per Invoice'!D$2:D$401,$U25)="","",INDEX('Per Invoice'!D$2:D$401,$U25)))</f>
        <v/>
      </c>
      <c r="E25">
        <f>IF($U25="","",IF(INDEX('Per Invoice'!E$2:E$401,$U25)="","",INDEX('Per Invoice'!E$2:E$401,$U25)))</f>
        <v/>
      </c>
      <c r="F25">
        <f>IF($U25="","",IF(INDEX('Per Invoice'!F$2:F$401,$U25)="","",INDEX('Per Invoice'!F$2:F$401,$U25)))</f>
        <v/>
      </c>
      <c r="G25">
        <f>IF($U25="","",IF(INDEX('Per Invoice'!G$2:G$401,$U25)="","",INDEX('Per Invoice'!G$2:G$401,$U25)))</f>
        <v/>
      </c>
      <c r="H25" s="7">
        <f>IF($U25="","",IF(INDEX('Per Invoice'!H$2:H$401,$U25)="","",INDEX('Per Invoice'!H$2:H$401,$U25)))</f>
        <v/>
      </c>
      <c r="I25" s="14">
        <f>IF($U25="","",IF(INDEX('Per Invoice'!I$2:I$401,$U25)="","",INDEX('Per Invoice'!I$2:I$401,$U25)))</f>
        <v/>
      </c>
      <c r="J25">
        <f>IF($U25="","",IF(INDEX('Per Invoice'!J$2:J$401,$U25)="","",INDEX('Per Invoice'!J$2:J$401,$U25)))</f>
        <v/>
      </c>
      <c r="K25">
        <f>IF($U25="","",IF(INDEX('Per Invoice'!K$2:K$401,$U25)="","",INDEX('Per Invoice'!K$2:K$401,$U25)))</f>
        <v/>
      </c>
      <c r="L25" s="7">
        <f>IF($U25="","",IF(INDEX('Per Invoice'!L$2:L$401,$U25)="","",INDEX('Per Invoice'!L$2:L$401,$U25)))</f>
        <v/>
      </c>
      <c r="M25" s="7">
        <f>IF($U25="","",IF(INDEX('Per Invoice'!M$2:M$401,$U25)="","",INDEX('Per Invoice'!M$2:M$401,$U25)))</f>
        <v/>
      </c>
      <c r="N25">
        <f>IF($U25="","",IF(INDEX('Per Invoice'!N$2:N$401,$U25)="","",INDEX('Per Invoice'!N$2:N$401,$U25)))</f>
        <v/>
      </c>
      <c r="O25" s="7">
        <f>IF($U25="","",IF(INDEX('Per Invoice'!O$2:O$401,$U25)="","",INDEX('Per Invoice'!O$2:O$401,$U25)))</f>
        <v/>
      </c>
      <c r="P25" s="7">
        <f>IF($U25="","",IF(INDEX('Per Invoice'!P$2:P$401,$U25)="","",INDEX('Per Invoice'!P$2:P$401,$U25)))</f>
        <v/>
      </c>
      <c r="Q25" s="7">
        <f>IF($U25="","",IF(INDEX('Per Invoice'!Q$2:Q$401,$U25)="","",INDEX('Per Invoice'!Q$2:Q$401,$U25)))</f>
        <v/>
      </c>
      <c r="R25" s="7">
        <f>IF($U25="","",IF(INDEX('Per Invoice'!R$2:R$401,$U25)="","",INDEX('Per Invoice'!R$2:R$401,$U25)))</f>
        <v/>
      </c>
      <c r="S25" s="7">
        <f>IF($U25="","",IF(INDEX('Per Invoice'!S$2:S$401,$U25)="","",INDEX('Per Invoice'!S$2:S$401,$U25)))</f>
        <v/>
      </c>
      <c r="T25" s="7">
        <f>IF($U25="","",IF(INDEX('Per Invoice'!T$2:T$401,$U25)="","",INDEX('Per Invoice'!T$2:T$401,$U25)))</f>
        <v/>
      </c>
      <c r="U25" s="16">
        <f>IFERROR(MATCH(Settings!$C$27&amp;"|"&amp;ROWS($U$2:$U25),'Per Invoice'!$V$2:$V$401,0),"")</f>
        <v/>
      </c>
    </row>
    <row r="26">
      <c r="A26">
        <f>IF($U26="","",IF(INDEX('Per Invoice'!A$2:A$401,$U26)="","",INDEX('Per Invoice'!A$2:A$401,$U26)))</f>
        <v/>
      </c>
      <c r="B26">
        <f>IF($U26="","",IF(INDEX('Per Invoice'!B$2:B$401,$U26)="","",INDEX('Per Invoice'!B$2:B$401,$U26)))</f>
        <v/>
      </c>
      <c r="C26">
        <f>IF($U26="","",IF(INDEX('Per Invoice'!C$2:C$401,$U26)="","",INDEX('Per Invoice'!C$2:C$401,$U26)))</f>
        <v/>
      </c>
      <c r="D26">
        <f>IF($U26="","",IF(INDEX('Per Invoice'!D$2:D$401,$U26)="","",INDEX('Per Invoice'!D$2:D$401,$U26)))</f>
        <v/>
      </c>
      <c r="E26">
        <f>IF($U26="","",IF(INDEX('Per Invoice'!E$2:E$401,$U26)="","",INDEX('Per Invoice'!E$2:E$401,$U26)))</f>
        <v/>
      </c>
      <c r="F26">
        <f>IF($U26="","",IF(INDEX('Per Invoice'!F$2:F$401,$U26)="","",INDEX('Per Invoice'!F$2:F$401,$U26)))</f>
        <v/>
      </c>
      <c r="G26">
        <f>IF($U26="","",IF(INDEX('Per Invoice'!G$2:G$401,$U26)="","",INDEX('Per Invoice'!G$2:G$401,$U26)))</f>
        <v/>
      </c>
      <c r="H26" s="7">
        <f>IF($U26="","",IF(INDEX('Per Invoice'!H$2:H$401,$U26)="","",INDEX('Per Invoice'!H$2:H$401,$U26)))</f>
        <v/>
      </c>
      <c r="I26" s="14">
        <f>IF($U26="","",IF(INDEX('Per Invoice'!I$2:I$401,$U26)="","",INDEX('Per Invoice'!I$2:I$401,$U26)))</f>
        <v/>
      </c>
      <c r="J26">
        <f>IF($U26="","",IF(INDEX('Per Invoice'!J$2:J$401,$U26)="","",INDEX('Per Invoice'!J$2:J$401,$U26)))</f>
        <v/>
      </c>
      <c r="K26">
        <f>IF($U26="","",IF(INDEX('Per Invoice'!K$2:K$401,$U26)="","",INDEX('Per Invoice'!K$2:K$401,$U26)))</f>
        <v/>
      </c>
      <c r="L26" s="7">
        <f>IF($U26="","",IF(INDEX('Per Invoice'!L$2:L$401,$U26)="","",INDEX('Per Invoice'!L$2:L$401,$U26)))</f>
        <v/>
      </c>
      <c r="M26" s="7">
        <f>IF($U26="","",IF(INDEX('Per Invoice'!M$2:M$401,$U26)="","",INDEX('Per Invoice'!M$2:M$401,$U26)))</f>
        <v/>
      </c>
      <c r="N26">
        <f>IF($U26="","",IF(INDEX('Per Invoice'!N$2:N$401,$U26)="","",INDEX('Per Invoice'!N$2:N$401,$U26)))</f>
        <v/>
      </c>
      <c r="O26" s="7">
        <f>IF($U26="","",IF(INDEX('Per Invoice'!O$2:O$401,$U26)="","",INDEX('Per Invoice'!O$2:O$401,$U26)))</f>
        <v/>
      </c>
      <c r="P26" s="7">
        <f>IF($U26="","",IF(INDEX('Per Invoice'!P$2:P$401,$U26)="","",INDEX('Per Invoice'!P$2:P$401,$U26)))</f>
        <v/>
      </c>
      <c r="Q26" s="7">
        <f>IF($U26="","",IF(INDEX('Per Invoice'!Q$2:Q$401,$U26)="","",INDEX('Per Invoice'!Q$2:Q$401,$U26)))</f>
        <v/>
      </c>
      <c r="R26" s="7">
        <f>IF($U26="","",IF(INDEX('Per Invoice'!R$2:R$401,$U26)="","",INDEX('Per Invoice'!R$2:R$401,$U26)))</f>
        <v/>
      </c>
      <c r="S26" s="7">
        <f>IF($U26="","",IF(INDEX('Per Invoice'!S$2:S$401,$U26)="","",INDEX('Per Invoice'!S$2:S$401,$U26)))</f>
        <v/>
      </c>
      <c r="T26" s="7">
        <f>IF($U26="","",IF(INDEX('Per Invoice'!T$2:T$401,$U26)="","",INDEX('Per Invoice'!T$2:T$401,$U26)))</f>
        <v/>
      </c>
      <c r="U26" s="16">
        <f>IFERROR(MATCH(Settings!$C$27&amp;"|"&amp;ROWS($U$2:$U26),'Per Invoice'!$V$2:$V$401,0),"")</f>
        <v/>
      </c>
    </row>
    <row r="27">
      <c r="A27">
        <f>IF($U27="","",IF(INDEX('Per Invoice'!A$2:A$401,$U27)="","",INDEX('Per Invoice'!A$2:A$401,$U27)))</f>
        <v/>
      </c>
      <c r="B27">
        <f>IF($U27="","",IF(INDEX('Per Invoice'!B$2:B$401,$U27)="","",INDEX('Per Invoice'!B$2:B$401,$U27)))</f>
        <v/>
      </c>
      <c r="C27">
        <f>IF($U27="","",IF(INDEX('Per Invoice'!C$2:C$401,$U27)="","",INDEX('Per Invoice'!C$2:C$401,$U27)))</f>
        <v/>
      </c>
      <c r="D27">
        <f>IF($U27="","",IF(INDEX('Per Invoice'!D$2:D$401,$U27)="","",INDEX('Per Invoice'!D$2:D$401,$U27)))</f>
        <v/>
      </c>
      <c r="E27">
        <f>IF($U27="","",IF(INDEX('Per Invoice'!E$2:E$401,$U27)="","",INDEX('Per Invoice'!E$2:E$401,$U27)))</f>
        <v/>
      </c>
      <c r="F27">
        <f>IF($U27="","",IF(INDEX('Per Invoice'!F$2:F$401,$U27)="","",INDEX('Per Invoice'!F$2:F$401,$U27)))</f>
        <v/>
      </c>
      <c r="G27">
        <f>IF($U27="","",IF(INDEX('Per Invoice'!G$2:G$401,$U27)="","",INDEX('Per Invoice'!G$2:G$401,$U27)))</f>
        <v/>
      </c>
      <c r="H27" s="7">
        <f>IF($U27="","",IF(INDEX('Per Invoice'!H$2:H$401,$U27)="","",INDEX('Per Invoice'!H$2:H$401,$U27)))</f>
        <v/>
      </c>
      <c r="I27" s="14">
        <f>IF($U27="","",IF(INDEX('Per Invoice'!I$2:I$401,$U27)="","",INDEX('Per Invoice'!I$2:I$401,$U27)))</f>
        <v/>
      </c>
      <c r="J27">
        <f>IF($U27="","",IF(INDEX('Per Invoice'!J$2:J$401,$U27)="","",INDEX('Per Invoice'!J$2:J$401,$U27)))</f>
        <v/>
      </c>
      <c r="K27">
        <f>IF($U27="","",IF(INDEX('Per Invoice'!K$2:K$401,$U27)="","",INDEX('Per Invoice'!K$2:K$401,$U27)))</f>
        <v/>
      </c>
      <c r="L27" s="7">
        <f>IF($U27="","",IF(INDEX('Per Invoice'!L$2:L$401,$U27)="","",INDEX('Per Invoice'!L$2:L$401,$U27)))</f>
        <v/>
      </c>
      <c r="M27" s="7">
        <f>IF($U27="","",IF(INDEX('Per Invoice'!M$2:M$401,$U27)="","",INDEX('Per Invoice'!M$2:M$401,$U27)))</f>
        <v/>
      </c>
      <c r="N27">
        <f>IF($U27="","",IF(INDEX('Per Invoice'!N$2:N$401,$U27)="","",INDEX('Per Invoice'!N$2:N$401,$U27)))</f>
        <v/>
      </c>
      <c r="O27" s="7">
        <f>IF($U27="","",IF(INDEX('Per Invoice'!O$2:O$401,$U27)="","",INDEX('Per Invoice'!O$2:O$401,$U27)))</f>
        <v/>
      </c>
      <c r="P27" s="7">
        <f>IF($U27="","",IF(INDEX('Per Invoice'!P$2:P$401,$U27)="","",INDEX('Per Invoice'!P$2:P$401,$U27)))</f>
        <v/>
      </c>
      <c r="Q27" s="7">
        <f>IF($U27="","",IF(INDEX('Per Invoice'!Q$2:Q$401,$U27)="","",INDEX('Per Invoice'!Q$2:Q$401,$U27)))</f>
        <v/>
      </c>
      <c r="R27" s="7">
        <f>IF($U27="","",IF(INDEX('Per Invoice'!R$2:R$401,$U27)="","",INDEX('Per Invoice'!R$2:R$401,$U27)))</f>
        <v/>
      </c>
      <c r="S27" s="7">
        <f>IF($U27="","",IF(INDEX('Per Invoice'!S$2:S$401,$U27)="","",INDEX('Per Invoice'!S$2:S$401,$U27)))</f>
        <v/>
      </c>
      <c r="T27" s="7">
        <f>IF($U27="","",IF(INDEX('Per Invoice'!T$2:T$401,$U27)="","",INDEX('Per Invoice'!T$2:T$401,$U27)))</f>
        <v/>
      </c>
      <c r="U27" s="16">
        <f>IFERROR(MATCH(Settings!$C$27&amp;"|"&amp;ROWS($U$2:$U27),'Per Invoice'!$V$2:$V$401,0),"")</f>
        <v/>
      </c>
    </row>
    <row r="28">
      <c r="A28">
        <f>IF($U28="","",IF(INDEX('Per Invoice'!A$2:A$401,$U28)="","",INDEX('Per Invoice'!A$2:A$401,$U28)))</f>
        <v/>
      </c>
      <c r="B28">
        <f>IF($U28="","",IF(INDEX('Per Invoice'!B$2:B$401,$U28)="","",INDEX('Per Invoice'!B$2:B$401,$U28)))</f>
        <v/>
      </c>
      <c r="C28">
        <f>IF($U28="","",IF(INDEX('Per Invoice'!C$2:C$401,$U28)="","",INDEX('Per Invoice'!C$2:C$401,$U28)))</f>
        <v/>
      </c>
      <c r="D28">
        <f>IF($U28="","",IF(INDEX('Per Invoice'!D$2:D$401,$U28)="","",INDEX('Per Invoice'!D$2:D$401,$U28)))</f>
        <v/>
      </c>
      <c r="E28">
        <f>IF($U28="","",IF(INDEX('Per Invoice'!E$2:E$401,$U28)="","",INDEX('Per Invoice'!E$2:E$401,$U28)))</f>
        <v/>
      </c>
      <c r="F28">
        <f>IF($U28="","",IF(INDEX('Per Invoice'!F$2:F$401,$U28)="","",INDEX('Per Invoice'!F$2:F$401,$U28)))</f>
        <v/>
      </c>
      <c r="G28">
        <f>IF($U28="","",IF(INDEX('Per Invoice'!G$2:G$401,$U28)="","",INDEX('Per Invoice'!G$2:G$401,$U28)))</f>
        <v/>
      </c>
      <c r="H28" s="7">
        <f>IF($U28="","",IF(INDEX('Per Invoice'!H$2:H$401,$U28)="","",INDEX('Per Invoice'!H$2:H$401,$U28)))</f>
        <v/>
      </c>
      <c r="I28" s="14">
        <f>IF($U28="","",IF(INDEX('Per Invoice'!I$2:I$401,$U28)="","",INDEX('Per Invoice'!I$2:I$401,$U28)))</f>
        <v/>
      </c>
      <c r="J28">
        <f>IF($U28="","",IF(INDEX('Per Invoice'!J$2:J$401,$U28)="","",INDEX('Per Invoice'!J$2:J$401,$U28)))</f>
        <v/>
      </c>
      <c r="K28">
        <f>IF($U28="","",IF(INDEX('Per Invoice'!K$2:K$401,$U28)="","",INDEX('Per Invoice'!K$2:K$401,$U28)))</f>
        <v/>
      </c>
      <c r="L28" s="7">
        <f>IF($U28="","",IF(INDEX('Per Invoice'!L$2:L$401,$U28)="","",INDEX('Per Invoice'!L$2:L$401,$U28)))</f>
        <v/>
      </c>
      <c r="M28" s="7">
        <f>IF($U28="","",IF(INDEX('Per Invoice'!M$2:M$401,$U28)="","",INDEX('Per Invoice'!M$2:M$401,$U28)))</f>
        <v/>
      </c>
      <c r="N28">
        <f>IF($U28="","",IF(INDEX('Per Invoice'!N$2:N$401,$U28)="","",INDEX('Per Invoice'!N$2:N$401,$U28)))</f>
        <v/>
      </c>
      <c r="O28" s="7">
        <f>IF($U28="","",IF(INDEX('Per Invoice'!O$2:O$401,$U28)="","",INDEX('Per Invoice'!O$2:O$401,$U28)))</f>
        <v/>
      </c>
      <c r="P28" s="7">
        <f>IF($U28="","",IF(INDEX('Per Invoice'!P$2:P$401,$U28)="","",INDEX('Per Invoice'!P$2:P$401,$U28)))</f>
        <v/>
      </c>
      <c r="Q28" s="7">
        <f>IF($U28="","",IF(INDEX('Per Invoice'!Q$2:Q$401,$U28)="","",INDEX('Per Invoice'!Q$2:Q$401,$U28)))</f>
        <v/>
      </c>
      <c r="R28" s="7">
        <f>IF($U28="","",IF(INDEX('Per Invoice'!R$2:R$401,$U28)="","",INDEX('Per Invoice'!R$2:R$401,$U28)))</f>
        <v/>
      </c>
      <c r="S28" s="7">
        <f>IF($U28="","",IF(INDEX('Per Invoice'!S$2:S$401,$U28)="","",INDEX('Per Invoice'!S$2:S$401,$U28)))</f>
        <v/>
      </c>
      <c r="T28" s="7">
        <f>IF($U28="","",IF(INDEX('Per Invoice'!T$2:T$401,$U28)="","",INDEX('Per Invoice'!T$2:T$401,$U28)))</f>
        <v/>
      </c>
      <c r="U28" s="16">
        <f>IFERROR(MATCH(Settings!$C$27&amp;"|"&amp;ROWS($U$2:$U28),'Per Invoice'!$V$2:$V$401,0),"")</f>
        <v/>
      </c>
    </row>
    <row r="29">
      <c r="A29">
        <f>IF($U29="","",IF(INDEX('Per Invoice'!A$2:A$401,$U29)="","",INDEX('Per Invoice'!A$2:A$401,$U29)))</f>
        <v/>
      </c>
      <c r="B29">
        <f>IF($U29="","",IF(INDEX('Per Invoice'!B$2:B$401,$U29)="","",INDEX('Per Invoice'!B$2:B$401,$U29)))</f>
        <v/>
      </c>
      <c r="C29">
        <f>IF($U29="","",IF(INDEX('Per Invoice'!C$2:C$401,$U29)="","",INDEX('Per Invoice'!C$2:C$401,$U29)))</f>
        <v/>
      </c>
      <c r="D29">
        <f>IF($U29="","",IF(INDEX('Per Invoice'!D$2:D$401,$U29)="","",INDEX('Per Invoice'!D$2:D$401,$U29)))</f>
        <v/>
      </c>
      <c r="E29">
        <f>IF($U29="","",IF(INDEX('Per Invoice'!E$2:E$401,$U29)="","",INDEX('Per Invoice'!E$2:E$401,$U29)))</f>
        <v/>
      </c>
      <c r="F29">
        <f>IF($U29="","",IF(INDEX('Per Invoice'!F$2:F$401,$U29)="","",INDEX('Per Invoice'!F$2:F$401,$U29)))</f>
        <v/>
      </c>
      <c r="G29">
        <f>IF($U29="","",IF(INDEX('Per Invoice'!G$2:G$401,$U29)="","",INDEX('Per Invoice'!G$2:G$401,$U29)))</f>
        <v/>
      </c>
      <c r="H29" s="7">
        <f>IF($U29="","",IF(INDEX('Per Invoice'!H$2:H$401,$U29)="","",INDEX('Per Invoice'!H$2:H$401,$U29)))</f>
        <v/>
      </c>
      <c r="I29" s="14">
        <f>IF($U29="","",IF(INDEX('Per Invoice'!I$2:I$401,$U29)="","",INDEX('Per Invoice'!I$2:I$401,$U29)))</f>
        <v/>
      </c>
      <c r="J29">
        <f>IF($U29="","",IF(INDEX('Per Invoice'!J$2:J$401,$U29)="","",INDEX('Per Invoice'!J$2:J$401,$U29)))</f>
        <v/>
      </c>
      <c r="K29">
        <f>IF($U29="","",IF(INDEX('Per Invoice'!K$2:K$401,$U29)="","",INDEX('Per Invoice'!K$2:K$401,$U29)))</f>
        <v/>
      </c>
      <c r="L29" s="7">
        <f>IF($U29="","",IF(INDEX('Per Invoice'!L$2:L$401,$U29)="","",INDEX('Per Invoice'!L$2:L$401,$U29)))</f>
        <v/>
      </c>
      <c r="M29" s="7">
        <f>IF($U29="","",IF(INDEX('Per Invoice'!M$2:M$401,$U29)="","",INDEX('Per Invoice'!M$2:M$401,$U29)))</f>
        <v/>
      </c>
      <c r="N29">
        <f>IF($U29="","",IF(INDEX('Per Invoice'!N$2:N$401,$U29)="","",INDEX('Per Invoice'!N$2:N$401,$U29)))</f>
        <v/>
      </c>
      <c r="O29" s="7">
        <f>IF($U29="","",IF(INDEX('Per Invoice'!O$2:O$401,$U29)="","",INDEX('Per Invoice'!O$2:O$401,$U29)))</f>
        <v/>
      </c>
      <c r="P29" s="7">
        <f>IF($U29="","",IF(INDEX('Per Invoice'!P$2:P$401,$U29)="","",INDEX('Per Invoice'!P$2:P$401,$U29)))</f>
        <v/>
      </c>
      <c r="Q29" s="7">
        <f>IF($U29="","",IF(INDEX('Per Invoice'!Q$2:Q$401,$U29)="","",INDEX('Per Invoice'!Q$2:Q$401,$U29)))</f>
        <v/>
      </c>
      <c r="R29" s="7">
        <f>IF($U29="","",IF(INDEX('Per Invoice'!R$2:R$401,$U29)="","",INDEX('Per Invoice'!R$2:R$401,$U29)))</f>
        <v/>
      </c>
      <c r="S29" s="7">
        <f>IF($U29="","",IF(INDEX('Per Invoice'!S$2:S$401,$U29)="","",INDEX('Per Invoice'!S$2:S$401,$U29)))</f>
        <v/>
      </c>
      <c r="T29" s="7">
        <f>IF($U29="","",IF(INDEX('Per Invoice'!T$2:T$401,$U29)="","",INDEX('Per Invoice'!T$2:T$401,$U29)))</f>
        <v/>
      </c>
      <c r="U29" s="16">
        <f>IFERROR(MATCH(Settings!$C$27&amp;"|"&amp;ROWS($U$2:$U29),'Per Invoice'!$V$2:$V$401,0),"")</f>
        <v/>
      </c>
    </row>
    <row r="30">
      <c r="A30">
        <f>IF($U30="","",IF(INDEX('Per Invoice'!A$2:A$401,$U30)="","",INDEX('Per Invoice'!A$2:A$401,$U30)))</f>
        <v/>
      </c>
      <c r="B30">
        <f>IF($U30="","",IF(INDEX('Per Invoice'!B$2:B$401,$U30)="","",INDEX('Per Invoice'!B$2:B$401,$U30)))</f>
        <v/>
      </c>
      <c r="C30">
        <f>IF($U30="","",IF(INDEX('Per Invoice'!C$2:C$401,$U30)="","",INDEX('Per Invoice'!C$2:C$401,$U30)))</f>
        <v/>
      </c>
      <c r="D30">
        <f>IF($U30="","",IF(INDEX('Per Invoice'!D$2:D$401,$U30)="","",INDEX('Per Invoice'!D$2:D$401,$U30)))</f>
        <v/>
      </c>
      <c r="E30">
        <f>IF($U30="","",IF(INDEX('Per Invoice'!E$2:E$401,$U30)="","",INDEX('Per Invoice'!E$2:E$401,$U30)))</f>
        <v/>
      </c>
      <c r="F30">
        <f>IF($U30="","",IF(INDEX('Per Invoice'!F$2:F$401,$U30)="","",INDEX('Per Invoice'!F$2:F$401,$U30)))</f>
        <v/>
      </c>
      <c r="G30">
        <f>IF($U30="","",IF(INDEX('Per Invoice'!G$2:G$401,$U30)="","",INDEX('Per Invoice'!G$2:G$401,$U30)))</f>
        <v/>
      </c>
      <c r="H30" s="7">
        <f>IF($U30="","",IF(INDEX('Per Invoice'!H$2:H$401,$U30)="","",INDEX('Per Invoice'!H$2:H$401,$U30)))</f>
        <v/>
      </c>
      <c r="I30" s="14">
        <f>IF($U30="","",IF(INDEX('Per Invoice'!I$2:I$401,$U30)="","",INDEX('Per Invoice'!I$2:I$401,$U30)))</f>
        <v/>
      </c>
      <c r="J30">
        <f>IF($U30="","",IF(INDEX('Per Invoice'!J$2:J$401,$U30)="","",INDEX('Per Invoice'!J$2:J$401,$U30)))</f>
        <v/>
      </c>
      <c r="K30">
        <f>IF($U30="","",IF(INDEX('Per Invoice'!K$2:K$401,$U30)="","",INDEX('Per Invoice'!K$2:K$401,$U30)))</f>
        <v/>
      </c>
      <c r="L30" s="7">
        <f>IF($U30="","",IF(INDEX('Per Invoice'!L$2:L$401,$U30)="","",INDEX('Per Invoice'!L$2:L$401,$U30)))</f>
        <v/>
      </c>
      <c r="M30" s="7">
        <f>IF($U30="","",IF(INDEX('Per Invoice'!M$2:M$401,$U30)="","",INDEX('Per Invoice'!M$2:M$401,$U30)))</f>
        <v/>
      </c>
      <c r="N30">
        <f>IF($U30="","",IF(INDEX('Per Invoice'!N$2:N$401,$U30)="","",INDEX('Per Invoice'!N$2:N$401,$U30)))</f>
        <v/>
      </c>
      <c r="O30" s="7">
        <f>IF($U30="","",IF(INDEX('Per Invoice'!O$2:O$401,$U30)="","",INDEX('Per Invoice'!O$2:O$401,$U30)))</f>
        <v/>
      </c>
      <c r="P30" s="7">
        <f>IF($U30="","",IF(INDEX('Per Invoice'!P$2:P$401,$U30)="","",INDEX('Per Invoice'!P$2:P$401,$U30)))</f>
        <v/>
      </c>
      <c r="Q30" s="7">
        <f>IF($U30="","",IF(INDEX('Per Invoice'!Q$2:Q$401,$U30)="","",INDEX('Per Invoice'!Q$2:Q$401,$U30)))</f>
        <v/>
      </c>
      <c r="R30" s="7">
        <f>IF($U30="","",IF(INDEX('Per Invoice'!R$2:R$401,$U30)="","",INDEX('Per Invoice'!R$2:R$401,$U30)))</f>
        <v/>
      </c>
      <c r="S30" s="7">
        <f>IF($U30="","",IF(INDEX('Per Invoice'!S$2:S$401,$U30)="","",INDEX('Per Invoice'!S$2:S$401,$U30)))</f>
        <v/>
      </c>
      <c r="T30" s="7">
        <f>IF($U30="","",IF(INDEX('Per Invoice'!T$2:T$401,$U30)="","",INDEX('Per Invoice'!T$2:T$401,$U30)))</f>
        <v/>
      </c>
      <c r="U30" s="16">
        <f>IFERROR(MATCH(Settings!$C$27&amp;"|"&amp;ROWS($U$2:$U30),'Per Invoice'!$V$2:$V$401,0),"")</f>
        <v/>
      </c>
    </row>
    <row r="31">
      <c r="A31">
        <f>IF($U31="","",IF(INDEX('Per Invoice'!A$2:A$401,$U31)="","",INDEX('Per Invoice'!A$2:A$401,$U31)))</f>
        <v/>
      </c>
      <c r="B31">
        <f>IF($U31="","",IF(INDEX('Per Invoice'!B$2:B$401,$U31)="","",INDEX('Per Invoice'!B$2:B$401,$U31)))</f>
        <v/>
      </c>
      <c r="C31">
        <f>IF($U31="","",IF(INDEX('Per Invoice'!C$2:C$401,$U31)="","",INDEX('Per Invoice'!C$2:C$401,$U31)))</f>
        <v/>
      </c>
      <c r="D31">
        <f>IF($U31="","",IF(INDEX('Per Invoice'!D$2:D$401,$U31)="","",INDEX('Per Invoice'!D$2:D$401,$U31)))</f>
        <v/>
      </c>
      <c r="E31">
        <f>IF($U31="","",IF(INDEX('Per Invoice'!E$2:E$401,$U31)="","",INDEX('Per Invoice'!E$2:E$401,$U31)))</f>
        <v/>
      </c>
      <c r="F31">
        <f>IF($U31="","",IF(INDEX('Per Invoice'!F$2:F$401,$U31)="","",INDEX('Per Invoice'!F$2:F$401,$U31)))</f>
        <v/>
      </c>
      <c r="G31">
        <f>IF($U31="","",IF(INDEX('Per Invoice'!G$2:G$401,$U31)="","",INDEX('Per Invoice'!G$2:G$401,$U31)))</f>
        <v/>
      </c>
      <c r="H31" s="7">
        <f>IF($U31="","",IF(INDEX('Per Invoice'!H$2:H$401,$U31)="","",INDEX('Per Invoice'!H$2:H$401,$U31)))</f>
        <v/>
      </c>
      <c r="I31" s="14">
        <f>IF($U31="","",IF(INDEX('Per Invoice'!I$2:I$401,$U31)="","",INDEX('Per Invoice'!I$2:I$401,$U31)))</f>
        <v/>
      </c>
      <c r="J31">
        <f>IF($U31="","",IF(INDEX('Per Invoice'!J$2:J$401,$U31)="","",INDEX('Per Invoice'!J$2:J$401,$U31)))</f>
        <v/>
      </c>
      <c r="K31">
        <f>IF($U31="","",IF(INDEX('Per Invoice'!K$2:K$401,$U31)="","",INDEX('Per Invoice'!K$2:K$401,$U31)))</f>
        <v/>
      </c>
      <c r="L31" s="7">
        <f>IF($U31="","",IF(INDEX('Per Invoice'!L$2:L$401,$U31)="","",INDEX('Per Invoice'!L$2:L$401,$U31)))</f>
        <v/>
      </c>
      <c r="M31" s="7">
        <f>IF($U31="","",IF(INDEX('Per Invoice'!M$2:M$401,$U31)="","",INDEX('Per Invoice'!M$2:M$401,$U31)))</f>
        <v/>
      </c>
      <c r="N31">
        <f>IF($U31="","",IF(INDEX('Per Invoice'!N$2:N$401,$U31)="","",INDEX('Per Invoice'!N$2:N$401,$U31)))</f>
        <v/>
      </c>
      <c r="O31" s="7">
        <f>IF($U31="","",IF(INDEX('Per Invoice'!O$2:O$401,$U31)="","",INDEX('Per Invoice'!O$2:O$401,$U31)))</f>
        <v/>
      </c>
      <c r="P31" s="7">
        <f>IF($U31="","",IF(INDEX('Per Invoice'!P$2:P$401,$U31)="","",INDEX('Per Invoice'!P$2:P$401,$U31)))</f>
        <v/>
      </c>
      <c r="Q31" s="7">
        <f>IF($U31="","",IF(INDEX('Per Invoice'!Q$2:Q$401,$U31)="","",INDEX('Per Invoice'!Q$2:Q$401,$U31)))</f>
        <v/>
      </c>
      <c r="R31" s="7">
        <f>IF($U31="","",IF(INDEX('Per Invoice'!R$2:R$401,$U31)="","",INDEX('Per Invoice'!R$2:R$401,$U31)))</f>
        <v/>
      </c>
      <c r="S31" s="7">
        <f>IF($U31="","",IF(INDEX('Per Invoice'!S$2:S$401,$U31)="","",INDEX('Per Invoice'!S$2:S$401,$U31)))</f>
        <v/>
      </c>
      <c r="T31" s="7">
        <f>IF($U31="","",IF(INDEX('Per Invoice'!T$2:T$401,$U31)="","",INDEX('Per Invoice'!T$2:T$401,$U31)))</f>
        <v/>
      </c>
      <c r="U31" s="16">
        <f>IFERROR(MATCH(Settings!$C$27&amp;"|"&amp;ROWS($U$2:$U31),'Per Invoice'!$V$2:$V$401,0),"")</f>
        <v/>
      </c>
    </row>
    <row r="32">
      <c r="A32">
        <f>IF($U32="","",IF(INDEX('Per Invoice'!A$2:A$401,$U32)="","",INDEX('Per Invoice'!A$2:A$401,$U32)))</f>
        <v/>
      </c>
      <c r="B32">
        <f>IF($U32="","",IF(INDEX('Per Invoice'!B$2:B$401,$U32)="","",INDEX('Per Invoice'!B$2:B$401,$U32)))</f>
        <v/>
      </c>
      <c r="C32">
        <f>IF($U32="","",IF(INDEX('Per Invoice'!C$2:C$401,$U32)="","",INDEX('Per Invoice'!C$2:C$401,$U32)))</f>
        <v/>
      </c>
      <c r="D32">
        <f>IF($U32="","",IF(INDEX('Per Invoice'!D$2:D$401,$U32)="","",INDEX('Per Invoice'!D$2:D$401,$U32)))</f>
        <v/>
      </c>
      <c r="E32">
        <f>IF($U32="","",IF(INDEX('Per Invoice'!E$2:E$401,$U32)="","",INDEX('Per Invoice'!E$2:E$401,$U32)))</f>
        <v/>
      </c>
      <c r="F32">
        <f>IF($U32="","",IF(INDEX('Per Invoice'!F$2:F$401,$U32)="","",INDEX('Per Invoice'!F$2:F$401,$U32)))</f>
        <v/>
      </c>
      <c r="G32">
        <f>IF($U32="","",IF(INDEX('Per Invoice'!G$2:G$401,$U32)="","",INDEX('Per Invoice'!G$2:G$401,$U32)))</f>
        <v/>
      </c>
      <c r="H32" s="7">
        <f>IF($U32="","",IF(INDEX('Per Invoice'!H$2:H$401,$U32)="","",INDEX('Per Invoice'!H$2:H$401,$U32)))</f>
        <v/>
      </c>
      <c r="I32" s="14">
        <f>IF($U32="","",IF(INDEX('Per Invoice'!I$2:I$401,$U32)="","",INDEX('Per Invoice'!I$2:I$401,$U32)))</f>
        <v/>
      </c>
      <c r="J32">
        <f>IF($U32="","",IF(INDEX('Per Invoice'!J$2:J$401,$U32)="","",INDEX('Per Invoice'!J$2:J$401,$U32)))</f>
        <v/>
      </c>
      <c r="K32">
        <f>IF($U32="","",IF(INDEX('Per Invoice'!K$2:K$401,$U32)="","",INDEX('Per Invoice'!K$2:K$401,$U32)))</f>
        <v/>
      </c>
      <c r="L32" s="7">
        <f>IF($U32="","",IF(INDEX('Per Invoice'!L$2:L$401,$U32)="","",INDEX('Per Invoice'!L$2:L$401,$U32)))</f>
        <v/>
      </c>
      <c r="M32" s="7">
        <f>IF($U32="","",IF(INDEX('Per Invoice'!M$2:M$401,$U32)="","",INDEX('Per Invoice'!M$2:M$401,$U32)))</f>
        <v/>
      </c>
      <c r="N32">
        <f>IF($U32="","",IF(INDEX('Per Invoice'!N$2:N$401,$U32)="","",INDEX('Per Invoice'!N$2:N$401,$U32)))</f>
        <v/>
      </c>
      <c r="O32" s="7">
        <f>IF($U32="","",IF(INDEX('Per Invoice'!O$2:O$401,$U32)="","",INDEX('Per Invoice'!O$2:O$401,$U32)))</f>
        <v/>
      </c>
      <c r="P32" s="7">
        <f>IF($U32="","",IF(INDEX('Per Invoice'!P$2:P$401,$U32)="","",INDEX('Per Invoice'!P$2:P$401,$U32)))</f>
        <v/>
      </c>
      <c r="Q32" s="7">
        <f>IF($U32="","",IF(INDEX('Per Invoice'!Q$2:Q$401,$U32)="","",INDEX('Per Invoice'!Q$2:Q$401,$U32)))</f>
        <v/>
      </c>
      <c r="R32" s="7">
        <f>IF($U32="","",IF(INDEX('Per Invoice'!R$2:R$401,$U32)="","",INDEX('Per Invoice'!R$2:R$401,$U32)))</f>
        <v/>
      </c>
      <c r="S32" s="7">
        <f>IF($U32="","",IF(INDEX('Per Invoice'!S$2:S$401,$U32)="","",INDEX('Per Invoice'!S$2:S$401,$U32)))</f>
        <v/>
      </c>
      <c r="T32" s="7">
        <f>IF($U32="","",IF(INDEX('Per Invoice'!T$2:T$401,$U32)="","",INDEX('Per Invoice'!T$2:T$401,$U32)))</f>
        <v/>
      </c>
      <c r="U32" s="16">
        <f>IFERROR(MATCH(Settings!$C$27&amp;"|"&amp;ROWS($U$2:$U32),'Per Invoice'!$V$2:$V$401,0),"")</f>
        <v/>
      </c>
    </row>
    <row r="33">
      <c r="A33">
        <f>IF($U33="","",IF(INDEX('Per Invoice'!A$2:A$401,$U33)="","",INDEX('Per Invoice'!A$2:A$401,$U33)))</f>
        <v/>
      </c>
      <c r="B33">
        <f>IF($U33="","",IF(INDEX('Per Invoice'!B$2:B$401,$U33)="","",INDEX('Per Invoice'!B$2:B$401,$U33)))</f>
        <v/>
      </c>
      <c r="C33">
        <f>IF($U33="","",IF(INDEX('Per Invoice'!C$2:C$401,$U33)="","",INDEX('Per Invoice'!C$2:C$401,$U33)))</f>
        <v/>
      </c>
      <c r="D33">
        <f>IF($U33="","",IF(INDEX('Per Invoice'!D$2:D$401,$U33)="","",INDEX('Per Invoice'!D$2:D$401,$U33)))</f>
        <v/>
      </c>
      <c r="E33">
        <f>IF($U33="","",IF(INDEX('Per Invoice'!E$2:E$401,$U33)="","",INDEX('Per Invoice'!E$2:E$401,$U33)))</f>
        <v/>
      </c>
      <c r="F33">
        <f>IF($U33="","",IF(INDEX('Per Invoice'!F$2:F$401,$U33)="","",INDEX('Per Invoice'!F$2:F$401,$U33)))</f>
        <v/>
      </c>
      <c r="G33">
        <f>IF($U33="","",IF(INDEX('Per Invoice'!G$2:G$401,$U33)="","",INDEX('Per Invoice'!G$2:G$401,$U33)))</f>
        <v/>
      </c>
      <c r="H33" s="7">
        <f>IF($U33="","",IF(INDEX('Per Invoice'!H$2:H$401,$U33)="","",INDEX('Per Invoice'!H$2:H$401,$U33)))</f>
        <v/>
      </c>
      <c r="I33" s="14">
        <f>IF($U33="","",IF(INDEX('Per Invoice'!I$2:I$401,$U33)="","",INDEX('Per Invoice'!I$2:I$401,$U33)))</f>
        <v/>
      </c>
      <c r="J33">
        <f>IF($U33="","",IF(INDEX('Per Invoice'!J$2:J$401,$U33)="","",INDEX('Per Invoice'!J$2:J$401,$U33)))</f>
        <v/>
      </c>
      <c r="K33">
        <f>IF($U33="","",IF(INDEX('Per Invoice'!K$2:K$401,$U33)="","",INDEX('Per Invoice'!K$2:K$401,$U33)))</f>
        <v/>
      </c>
      <c r="L33" s="7">
        <f>IF($U33="","",IF(INDEX('Per Invoice'!L$2:L$401,$U33)="","",INDEX('Per Invoice'!L$2:L$401,$U33)))</f>
        <v/>
      </c>
      <c r="M33" s="7">
        <f>IF($U33="","",IF(INDEX('Per Invoice'!M$2:M$401,$U33)="","",INDEX('Per Invoice'!M$2:M$401,$U33)))</f>
        <v/>
      </c>
      <c r="N33">
        <f>IF($U33="","",IF(INDEX('Per Invoice'!N$2:N$401,$U33)="","",INDEX('Per Invoice'!N$2:N$401,$U33)))</f>
        <v/>
      </c>
      <c r="O33" s="7">
        <f>IF($U33="","",IF(INDEX('Per Invoice'!O$2:O$401,$U33)="","",INDEX('Per Invoice'!O$2:O$401,$U33)))</f>
        <v/>
      </c>
      <c r="P33" s="7">
        <f>IF($U33="","",IF(INDEX('Per Invoice'!P$2:P$401,$U33)="","",INDEX('Per Invoice'!P$2:P$401,$U33)))</f>
        <v/>
      </c>
      <c r="Q33" s="7">
        <f>IF($U33="","",IF(INDEX('Per Invoice'!Q$2:Q$401,$U33)="","",INDEX('Per Invoice'!Q$2:Q$401,$U33)))</f>
        <v/>
      </c>
      <c r="R33" s="7">
        <f>IF($U33="","",IF(INDEX('Per Invoice'!R$2:R$401,$U33)="","",INDEX('Per Invoice'!R$2:R$401,$U33)))</f>
        <v/>
      </c>
      <c r="S33" s="7">
        <f>IF($U33="","",IF(INDEX('Per Invoice'!S$2:S$401,$U33)="","",INDEX('Per Invoice'!S$2:S$401,$U33)))</f>
        <v/>
      </c>
      <c r="T33" s="7">
        <f>IF($U33="","",IF(INDEX('Per Invoice'!T$2:T$401,$U33)="","",INDEX('Per Invoice'!T$2:T$401,$U33)))</f>
        <v/>
      </c>
      <c r="U33" s="16">
        <f>IFERROR(MATCH(Settings!$C$27&amp;"|"&amp;ROWS($U$2:$U33),'Per Invoice'!$V$2:$V$401,0),"")</f>
        <v/>
      </c>
    </row>
    <row r="34">
      <c r="A34">
        <f>IF($U34="","",IF(INDEX('Per Invoice'!A$2:A$401,$U34)="","",INDEX('Per Invoice'!A$2:A$401,$U34)))</f>
        <v/>
      </c>
      <c r="B34">
        <f>IF($U34="","",IF(INDEX('Per Invoice'!B$2:B$401,$U34)="","",INDEX('Per Invoice'!B$2:B$401,$U34)))</f>
        <v/>
      </c>
      <c r="C34">
        <f>IF($U34="","",IF(INDEX('Per Invoice'!C$2:C$401,$U34)="","",INDEX('Per Invoice'!C$2:C$401,$U34)))</f>
        <v/>
      </c>
      <c r="D34">
        <f>IF($U34="","",IF(INDEX('Per Invoice'!D$2:D$401,$U34)="","",INDEX('Per Invoice'!D$2:D$401,$U34)))</f>
        <v/>
      </c>
      <c r="E34">
        <f>IF($U34="","",IF(INDEX('Per Invoice'!E$2:E$401,$U34)="","",INDEX('Per Invoice'!E$2:E$401,$U34)))</f>
        <v/>
      </c>
      <c r="F34">
        <f>IF($U34="","",IF(INDEX('Per Invoice'!F$2:F$401,$U34)="","",INDEX('Per Invoice'!F$2:F$401,$U34)))</f>
        <v/>
      </c>
      <c r="G34">
        <f>IF($U34="","",IF(INDEX('Per Invoice'!G$2:G$401,$U34)="","",INDEX('Per Invoice'!G$2:G$401,$U34)))</f>
        <v/>
      </c>
      <c r="H34" s="7">
        <f>IF($U34="","",IF(INDEX('Per Invoice'!H$2:H$401,$U34)="","",INDEX('Per Invoice'!H$2:H$401,$U34)))</f>
        <v/>
      </c>
      <c r="I34" s="14">
        <f>IF($U34="","",IF(INDEX('Per Invoice'!I$2:I$401,$U34)="","",INDEX('Per Invoice'!I$2:I$401,$U34)))</f>
        <v/>
      </c>
      <c r="J34">
        <f>IF($U34="","",IF(INDEX('Per Invoice'!J$2:J$401,$U34)="","",INDEX('Per Invoice'!J$2:J$401,$U34)))</f>
        <v/>
      </c>
      <c r="K34">
        <f>IF($U34="","",IF(INDEX('Per Invoice'!K$2:K$401,$U34)="","",INDEX('Per Invoice'!K$2:K$401,$U34)))</f>
        <v/>
      </c>
      <c r="L34" s="7">
        <f>IF($U34="","",IF(INDEX('Per Invoice'!L$2:L$401,$U34)="","",INDEX('Per Invoice'!L$2:L$401,$U34)))</f>
        <v/>
      </c>
      <c r="M34" s="7">
        <f>IF($U34="","",IF(INDEX('Per Invoice'!M$2:M$401,$U34)="","",INDEX('Per Invoice'!M$2:M$401,$U34)))</f>
        <v/>
      </c>
      <c r="N34">
        <f>IF($U34="","",IF(INDEX('Per Invoice'!N$2:N$401,$U34)="","",INDEX('Per Invoice'!N$2:N$401,$U34)))</f>
        <v/>
      </c>
      <c r="O34" s="7">
        <f>IF($U34="","",IF(INDEX('Per Invoice'!O$2:O$401,$U34)="","",INDEX('Per Invoice'!O$2:O$401,$U34)))</f>
        <v/>
      </c>
      <c r="P34" s="7">
        <f>IF($U34="","",IF(INDEX('Per Invoice'!P$2:P$401,$U34)="","",INDEX('Per Invoice'!P$2:P$401,$U34)))</f>
        <v/>
      </c>
      <c r="Q34" s="7">
        <f>IF($U34="","",IF(INDEX('Per Invoice'!Q$2:Q$401,$U34)="","",INDEX('Per Invoice'!Q$2:Q$401,$U34)))</f>
        <v/>
      </c>
      <c r="R34" s="7">
        <f>IF($U34="","",IF(INDEX('Per Invoice'!R$2:R$401,$U34)="","",INDEX('Per Invoice'!R$2:R$401,$U34)))</f>
        <v/>
      </c>
      <c r="S34" s="7">
        <f>IF($U34="","",IF(INDEX('Per Invoice'!S$2:S$401,$U34)="","",INDEX('Per Invoice'!S$2:S$401,$U34)))</f>
        <v/>
      </c>
      <c r="T34" s="7">
        <f>IF($U34="","",IF(INDEX('Per Invoice'!T$2:T$401,$U34)="","",INDEX('Per Invoice'!T$2:T$401,$U34)))</f>
        <v/>
      </c>
      <c r="U34" s="16">
        <f>IFERROR(MATCH(Settings!$C$27&amp;"|"&amp;ROWS($U$2:$U34),'Per Invoice'!$V$2:$V$401,0),"")</f>
        <v/>
      </c>
    </row>
    <row r="35">
      <c r="A35">
        <f>IF($U35="","",IF(INDEX('Per Invoice'!A$2:A$401,$U35)="","",INDEX('Per Invoice'!A$2:A$401,$U35)))</f>
        <v/>
      </c>
      <c r="B35">
        <f>IF($U35="","",IF(INDEX('Per Invoice'!B$2:B$401,$U35)="","",INDEX('Per Invoice'!B$2:B$401,$U35)))</f>
        <v/>
      </c>
      <c r="C35">
        <f>IF($U35="","",IF(INDEX('Per Invoice'!C$2:C$401,$U35)="","",INDEX('Per Invoice'!C$2:C$401,$U35)))</f>
        <v/>
      </c>
      <c r="D35">
        <f>IF($U35="","",IF(INDEX('Per Invoice'!D$2:D$401,$U35)="","",INDEX('Per Invoice'!D$2:D$401,$U35)))</f>
        <v/>
      </c>
      <c r="E35">
        <f>IF($U35="","",IF(INDEX('Per Invoice'!E$2:E$401,$U35)="","",INDEX('Per Invoice'!E$2:E$401,$U35)))</f>
        <v/>
      </c>
      <c r="F35">
        <f>IF($U35="","",IF(INDEX('Per Invoice'!F$2:F$401,$U35)="","",INDEX('Per Invoice'!F$2:F$401,$U35)))</f>
        <v/>
      </c>
      <c r="G35">
        <f>IF($U35="","",IF(INDEX('Per Invoice'!G$2:G$401,$U35)="","",INDEX('Per Invoice'!G$2:G$401,$U35)))</f>
        <v/>
      </c>
      <c r="H35" s="7">
        <f>IF($U35="","",IF(INDEX('Per Invoice'!H$2:H$401,$U35)="","",INDEX('Per Invoice'!H$2:H$401,$U35)))</f>
        <v/>
      </c>
      <c r="I35" s="14">
        <f>IF($U35="","",IF(INDEX('Per Invoice'!I$2:I$401,$U35)="","",INDEX('Per Invoice'!I$2:I$401,$U35)))</f>
        <v/>
      </c>
      <c r="J35">
        <f>IF($U35="","",IF(INDEX('Per Invoice'!J$2:J$401,$U35)="","",INDEX('Per Invoice'!J$2:J$401,$U35)))</f>
        <v/>
      </c>
      <c r="K35">
        <f>IF($U35="","",IF(INDEX('Per Invoice'!K$2:K$401,$U35)="","",INDEX('Per Invoice'!K$2:K$401,$U35)))</f>
        <v/>
      </c>
      <c r="L35" s="7">
        <f>IF($U35="","",IF(INDEX('Per Invoice'!L$2:L$401,$U35)="","",INDEX('Per Invoice'!L$2:L$401,$U35)))</f>
        <v/>
      </c>
      <c r="M35" s="7">
        <f>IF($U35="","",IF(INDEX('Per Invoice'!M$2:M$401,$U35)="","",INDEX('Per Invoice'!M$2:M$401,$U35)))</f>
        <v/>
      </c>
      <c r="N35">
        <f>IF($U35="","",IF(INDEX('Per Invoice'!N$2:N$401,$U35)="","",INDEX('Per Invoice'!N$2:N$401,$U35)))</f>
        <v/>
      </c>
      <c r="O35" s="7">
        <f>IF($U35="","",IF(INDEX('Per Invoice'!O$2:O$401,$U35)="","",INDEX('Per Invoice'!O$2:O$401,$U35)))</f>
        <v/>
      </c>
      <c r="P35" s="7">
        <f>IF($U35="","",IF(INDEX('Per Invoice'!P$2:P$401,$U35)="","",INDEX('Per Invoice'!P$2:P$401,$U35)))</f>
        <v/>
      </c>
      <c r="Q35" s="7">
        <f>IF($U35="","",IF(INDEX('Per Invoice'!Q$2:Q$401,$U35)="","",INDEX('Per Invoice'!Q$2:Q$401,$U35)))</f>
        <v/>
      </c>
      <c r="R35" s="7">
        <f>IF($U35="","",IF(INDEX('Per Invoice'!R$2:R$401,$U35)="","",INDEX('Per Invoice'!R$2:R$401,$U35)))</f>
        <v/>
      </c>
      <c r="S35" s="7">
        <f>IF($U35="","",IF(INDEX('Per Invoice'!S$2:S$401,$U35)="","",INDEX('Per Invoice'!S$2:S$401,$U35)))</f>
        <v/>
      </c>
      <c r="T35" s="7">
        <f>IF($U35="","",IF(INDEX('Per Invoice'!T$2:T$401,$U35)="","",INDEX('Per Invoice'!T$2:T$401,$U35)))</f>
        <v/>
      </c>
      <c r="U35" s="16">
        <f>IFERROR(MATCH(Settings!$C$27&amp;"|"&amp;ROWS($U$2:$U35),'Per Invoice'!$V$2:$V$401,0),"")</f>
        <v/>
      </c>
    </row>
    <row r="36">
      <c r="A36">
        <f>IF($U36="","",IF(INDEX('Per Invoice'!A$2:A$401,$U36)="","",INDEX('Per Invoice'!A$2:A$401,$U36)))</f>
        <v/>
      </c>
      <c r="B36">
        <f>IF($U36="","",IF(INDEX('Per Invoice'!B$2:B$401,$U36)="","",INDEX('Per Invoice'!B$2:B$401,$U36)))</f>
        <v/>
      </c>
      <c r="C36">
        <f>IF($U36="","",IF(INDEX('Per Invoice'!C$2:C$401,$U36)="","",INDEX('Per Invoice'!C$2:C$401,$U36)))</f>
        <v/>
      </c>
      <c r="D36">
        <f>IF($U36="","",IF(INDEX('Per Invoice'!D$2:D$401,$U36)="","",INDEX('Per Invoice'!D$2:D$401,$U36)))</f>
        <v/>
      </c>
      <c r="E36">
        <f>IF($U36="","",IF(INDEX('Per Invoice'!E$2:E$401,$U36)="","",INDEX('Per Invoice'!E$2:E$401,$U36)))</f>
        <v/>
      </c>
      <c r="F36">
        <f>IF($U36="","",IF(INDEX('Per Invoice'!F$2:F$401,$U36)="","",INDEX('Per Invoice'!F$2:F$401,$U36)))</f>
        <v/>
      </c>
      <c r="G36">
        <f>IF($U36="","",IF(INDEX('Per Invoice'!G$2:G$401,$U36)="","",INDEX('Per Invoice'!G$2:G$401,$U36)))</f>
        <v/>
      </c>
      <c r="H36" s="7">
        <f>IF($U36="","",IF(INDEX('Per Invoice'!H$2:H$401,$U36)="","",INDEX('Per Invoice'!H$2:H$401,$U36)))</f>
        <v/>
      </c>
      <c r="I36" s="14">
        <f>IF($U36="","",IF(INDEX('Per Invoice'!I$2:I$401,$U36)="","",INDEX('Per Invoice'!I$2:I$401,$U36)))</f>
        <v/>
      </c>
      <c r="J36">
        <f>IF($U36="","",IF(INDEX('Per Invoice'!J$2:J$401,$U36)="","",INDEX('Per Invoice'!J$2:J$401,$U36)))</f>
        <v/>
      </c>
      <c r="K36">
        <f>IF($U36="","",IF(INDEX('Per Invoice'!K$2:K$401,$U36)="","",INDEX('Per Invoice'!K$2:K$401,$U36)))</f>
        <v/>
      </c>
      <c r="L36" s="7">
        <f>IF($U36="","",IF(INDEX('Per Invoice'!L$2:L$401,$U36)="","",INDEX('Per Invoice'!L$2:L$401,$U36)))</f>
        <v/>
      </c>
      <c r="M36" s="7">
        <f>IF($U36="","",IF(INDEX('Per Invoice'!M$2:M$401,$U36)="","",INDEX('Per Invoice'!M$2:M$401,$U36)))</f>
        <v/>
      </c>
      <c r="N36">
        <f>IF($U36="","",IF(INDEX('Per Invoice'!N$2:N$401,$U36)="","",INDEX('Per Invoice'!N$2:N$401,$U36)))</f>
        <v/>
      </c>
      <c r="O36" s="7">
        <f>IF($U36="","",IF(INDEX('Per Invoice'!O$2:O$401,$U36)="","",INDEX('Per Invoice'!O$2:O$401,$U36)))</f>
        <v/>
      </c>
      <c r="P36" s="7">
        <f>IF($U36="","",IF(INDEX('Per Invoice'!P$2:P$401,$U36)="","",INDEX('Per Invoice'!P$2:P$401,$U36)))</f>
        <v/>
      </c>
      <c r="Q36" s="7">
        <f>IF($U36="","",IF(INDEX('Per Invoice'!Q$2:Q$401,$U36)="","",INDEX('Per Invoice'!Q$2:Q$401,$U36)))</f>
        <v/>
      </c>
      <c r="R36" s="7">
        <f>IF($U36="","",IF(INDEX('Per Invoice'!R$2:R$401,$U36)="","",INDEX('Per Invoice'!R$2:R$401,$U36)))</f>
        <v/>
      </c>
      <c r="S36" s="7">
        <f>IF($U36="","",IF(INDEX('Per Invoice'!S$2:S$401,$U36)="","",INDEX('Per Invoice'!S$2:S$401,$U36)))</f>
        <v/>
      </c>
      <c r="T36" s="7">
        <f>IF($U36="","",IF(INDEX('Per Invoice'!T$2:T$401,$U36)="","",INDEX('Per Invoice'!T$2:T$401,$U36)))</f>
        <v/>
      </c>
      <c r="U36" s="16">
        <f>IFERROR(MATCH(Settings!$C$27&amp;"|"&amp;ROWS($U$2:$U36),'Per Invoice'!$V$2:$V$401,0),"")</f>
        <v/>
      </c>
    </row>
    <row r="37">
      <c r="A37">
        <f>IF($U37="","",IF(INDEX('Per Invoice'!A$2:A$401,$U37)="","",INDEX('Per Invoice'!A$2:A$401,$U37)))</f>
        <v/>
      </c>
      <c r="B37">
        <f>IF($U37="","",IF(INDEX('Per Invoice'!B$2:B$401,$U37)="","",INDEX('Per Invoice'!B$2:B$401,$U37)))</f>
        <v/>
      </c>
      <c r="C37">
        <f>IF($U37="","",IF(INDEX('Per Invoice'!C$2:C$401,$U37)="","",INDEX('Per Invoice'!C$2:C$401,$U37)))</f>
        <v/>
      </c>
      <c r="D37">
        <f>IF($U37="","",IF(INDEX('Per Invoice'!D$2:D$401,$U37)="","",INDEX('Per Invoice'!D$2:D$401,$U37)))</f>
        <v/>
      </c>
      <c r="E37">
        <f>IF($U37="","",IF(INDEX('Per Invoice'!E$2:E$401,$U37)="","",INDEX('Per Invoice'!E$2:E$401,$U37)))</f>
        <v/>
      </c>
      <c r="F37">
        <f>IF($U37="","",IF(INDEX('Per Invoice'!F$2:F$401,$U37)="","",INDEX('Per Invoice'!F$2:F$401,$U37)))</f>
        <v/>
      </c>
      <c r="G37">
        <f>IF($U37="","",IF(INDEX('Per Invoice'!G$2:G$401,$U37)="","",INDEX('Per Invoice'!G$2:G$401,$U37)))</f>
        <v/>
      </c>
      <c r="H37" s="7">
        <f>IF($U37="","",IF(INDEX('Per Invoice'!H$2:H$401,$U37)="","",INDEX('Per Invoice'!H$2:H$401,$U37)))</f>
        <v/>
      </c>
      <c r="I37" s="14">
        <f>IF($U37="","",IF(INDEX('Per Invoice'!I$2:I$401,$U37)="","",INDEX('Per Invoice'!I$2:I$401,$U37)))</f>
        <v/>
      </c>
      <c r="J37">
        <f>IF($U37="","",IF(INDEX('Per Invoice'!J$2:J$401,$U37)="","",INDEX('Per Invoice'!J$2:J$401,$U37)))</f>
        <v/>
      </c>
      <c r="K37">
        <f>IF($U37="","",IF(INDEX('Per Invoice'!K$2:K$401,$U37)="","",INDEX('Per Invoice'!K$2:K$401,$U37)))</f>
        <v/>
      </c>
      <c r="L37" s="7">
        <f>IF($U37="","",IF(INDEX('Per Invoice'!L$2:L$401,$U37)="","",INDEX('Per Invoice'!L$2:L$401,$U37)))</f>
        <v/>
      </c>
      <c r="M37" s="7">
        <f>IF($U37="","",IF(INDEX('Per Invoice'!M$2:M$401,$U37)="","",INDEX('Per Invoice'!M$2:M$401,$U37)))</f>
        <v/>
      </c>
      <c r="N37">
        <f>IF($U37="","",IF(INDEX('Per Invoice'!N$2:N$401,$U37)="","",INDEX('Per Invoice'!N$2:N$401,$U37)))</f>
        <v/>
      </c>
      <c r="O37" s="7">
        <f>IF($U37="","",IF(INDEX('Per Invoice'!O$2:O$401,$U37)="","",INDEX('Per Invoice'!O$2:O$401,$U37)))</f>
        <v/>
      </c>
      <c r="P37" s="7">
        <f>IF($U37="","",IF(INDEX('Per Invoice'!P$2:P$401,$U37)="","",INDEX('Per Invoice'!P$2:P$401,$U37)))</f>
        <v/>
      </c>
      <c r="Q37" s="7">
        <f>IF($U37="","",IF(INDEX('Per Invoice'!Q$2:Q$401,$U37)="","",INDEX('Per Invoice'!Q$2:Q$401,$U37)))</f>
        <v/>
      </c>
      <c r="R37" s="7">
        <f>IF($U37="","",IF(INDEX('Per Invoice'!R$2:R$401,$U37)="","",INDEX('Per Invoice'!R$2:R$401,$U37)))</f>
        <v/>
      </c>
      <c r="S37" s="7">
        <f>IF($U37="","",IF(INDEX('Per Invoice'!S$2:S$401,$U37)="","",INDEX('Per Invoice'!S$2:S$401,$U37)))</f>
        <v/>
      </c>
      <c r="T37" s="7">
        <f>IF($U37="","",IF(INDEX('Per Invoice'!T$2:T$401,$U37)="","",INDEX('Per Invoice'!T$2:T$401,$U37)))</f>
        <v/>
      </c>
      <c r="U37" s="16">
        <f>IFERROR(MATCH(Settings!$C$27&amp;"|"&amp;ROWS($U$2:$U37),'Per Invoice'!$V$2:$V$401,0),"")</f>
        <v/>
      </c>
    </row>
    <row r="38">
      <c r="A38">
        <f>IF($U38="","",IF(INDEX('Per Invoice'!A$2:A$401,$U38)="","",INDEX('Per Invoice'!A$2:A$401,$U38)))</f>
        <v/>
      </c>
      <c r="B38">
        <f>IF($U38="","",IF(INDEX('Per Invoice'!B$2:B$401,$U38)="","",INDEX('Per Invoice'!B$2:B$401,$U38)))</f>
        <v/>
      </c>
      <c r="C38">
        <f>IF($U38="","",IF(INDEX('Per Invoice'!C$2:C$401,$U38)="","",INDEX('Per Invoice'!C$2:C$401,$U38)))</f>
        <v/>
      </c>
      <c r="D38">
        <f>IF($U38="","",IF(INDEX('Per Invoice'!D$2:D$401,$U38)="","",INDEX('Per Invoice'!D$2:D$401,$U38)))</f>
        <v/>
      </c>
      <c r="E38">
        <f>IF($U38="","",IF(INDEX('Per Invoice'!E$2:E$401,$U38)="","",INDEX('Per Invoice'!E$2:E$401,$U38)))</f>
        <v/>
      </c>
      <c r="F38">
        <f>IF($U38="","",IF(INDEX('Per Invoice'!F$2:F$401,$U38)="","",INDEX('Per Invoice'!F$2:F$401,$U38)))</f>
        <v/>
      </c>
      <c r="G38">
        <f>IF($U38="","",IF(INDEX('Per Invoice'!G$2:G$401,$U38)="","",INDEX('Per Invoice'!G$2:G$401,$U38)))</f>
        <v/>
      </c>
      <c r="H38" s="7">
        <f>IF($U38="","",IF(INDEX('Per Invoice'!H$2:H$401,$U38)="","",INDEX('Per Invoice'!H$2:H$401,$U38)))</f>
        <v/>
      </c>
      <c r="I38" s="14">
        <f>IF($U38="","",IF(INDEX('Per Invoice'!I$2:I$401,$U38)="","",INDEX('Per Invoice'!I$2:I$401,$U38)))</f>
        <v/>
      </c>
      <c r="J38">
        <f>IF($U38="","",IF(INDEX('Per Invoice'!J$2:J$401,$U38)="","",INDEX('Per Invoice'!J$2:J$401,$U38)))</f>
        <v/>
      </c>
      <c r="K38">
        <f>IF($U38="","",IF(INDEX('Per Invoice'!K$2:K$401,$U38)="","",INDEX('Per Invoice'!K$2:K$401,$U38)))</f>
        <v/>
      </c>
      <c r="L38" s="7">
        <f>IF($U38="","",IF(INDEX('Per Invoice'!L$2:L$401,$U38)="","",INDEX('Per Invoice'!L$2:L$401,$U38)))</f>
        <v/>
      </c>
      <c r="M38" s="7">
        <f>IF($U38="","",IF(INDEX('Per Invoice'!M$2:M$401,$U38)="","",INDEX('Per Invoice'!M$2:M$401,$U38)))</f>
        <v/>
      </c>
      <c r="N38">
        <f>IF($U38="","",IF(INDEX('Per Invoice'!N$2:N$401,$U38)="","",INDEX('Per Invoice'!N$2:N$401,$U38)))</f>
        <v/>
      </c>
      <c r="O38" s="7">
        <f>IF($U38="","",IF(INDEX('Per Invoice'!O$2:O$401,$U38)="","",INDEX('Per Invoice'!O$2:O$401,$U38)))</f>
        <v/>
      </c>
      <c r="P38" s="7">
        <f>IF($U38="","",IF(INDEX('Per Invoice'!P$2:P$401,$U38)="","",INDEX('Per Invoice'!P$2:P$401,$U38)))</f>
        <v/>
      </c>
      <c r="Q38" s="7">
        <f>IF($U38="","",IF(INDEX('Per Invoice'!Q$2:Q$401,$U38)="","",INDEX('Per Invoice'!Q$2:Q$401,$U38)))</f>
        <v/>
      </c>
      <c r="R38" s="7">
        <f>IF($U38="","",IF(INDEX('Per Invoice'!R$2:R$401,$U38)="","",INDEX('Per Invoice'!R$2:R$401,$U38)))</f>
        <v/>
      </c>
      <c r="S38" s="7">
        <f>IF($U38="","",IF(INDEX('Per Invoice'!S$2:S$401,$U38)="","",INDEX('Per Invoice'!S$2:S$401,$U38)))</f>
        <v/>
      </c>
      <c r="T38" s="7">
        <f>IF($U38="","",IF(INDEX('Per Invoice'!T$2:T$401,$U38)="","",INDEX('Per Invoice'!T$2:T$401,$U38)))</f>
        <v/>
      </c>
      <c r="U38" s="16">
        <f>IFERROR(MATCH(Settings!$C$27&amp;"|"&amp;ROWS($U$2:$U38),'Per Invoice'!$V$2:$V$401,0),"")</f>
        <v/>
      </c>
    </row>
    <row r="39">
      <c r="A39">
        <f>IF($U39="","",IF(INDEX('Per Invoice'!A$2:A$401,$U39)="","",INDEX('Per Invoice'!A$2:A$401,$U39)))</f>
        <v/>
      </c>
      <c r="B39">
        <f>IF($U39="","",IF(INDEX('Per Invoice'!B$2:B$401,$U39)="","",INDEX('Per Invoice'!B$2:B$401,$U39)))</f>
        <v/>
      </c>
      <c r="C39">
        <f>IF($U39="","",IF(INDEX('Per Invoice'!C$2:C$401,$U39)="","",INDEX('Per Invoice'!C$2:C$401,$U39)))</f>
        <v/>
      </c>
      <c r="D39">
        <f>IF($U39="","",IF(INDEX('Per Invoice'!D$2:D$401,$U39)="","",INDEX('Per Invoice'!D$2:D$401,$U39)))</f>
        <v/>
      </c>
      <c r="E39">
        <f>IF($U39="","",IF(INDEX('Per Invoice'!E$2:E$401,$U39)="","",INDEX('Per Invoice'!E$2:E$401,$U39)))</f>
        <v/>
      </c>
      <c r="F39">
        <f>IF($U39="","",IF(INDEX('Per Invoice'!F$2:F$401,$U39)="","",INDEX('Per Invoice'!F$2:F$401,$U39)))</f>
        <v/>
      </c>
      <c r="G39">
        <f>IF($U39="","",IF(INDEX('Per Invoice'!G$2:G$401,$U39)="","",INDEX('Per Invoice'!G$2:G$401,$U39)))</f>
        <v/>
      </c>
      <c r="H39" s="7">
        <f>IF($U39="","",IF(INDEX('Per Invoice'!H$2:H$401,$U39)="","",INDEX('Per Invoice'!H$2:H$401,$U39)))</f>
        <v/>
      </c>
      <c r="I39" s="14">
        <f>IF($U39="","",IF(INDEX('Per Invoice'!I$2:I$401,$U39)="","",INDEX('Per Invoice'!I$2:I$401,$U39)))</f>
        <v/>
      </c>
      <c r="J39">
        <f>IF($U39="","",IF(INDEX('Per Invoice'!J$2:J$401,$U39)="","",INDEX('Per Invoice'!J$2:J$401,$U39)))</f>
        <v/>
      </c>
      <c r="K39">
        <f>IF($U39="","",IF(INDEX('Per Invoice'!K$2:K$401,$U39)="","",INDEX('Per Invoice'!K$2:K$401,$U39)))</f>
        <v/>
      </c>
      <c r="L39" s="7">
        <f>IF($U39="","",IF(INDEX('Per Invoice'!L$2:L$401,$U39)="","",INDEX('Per Invoice'!L$2:L$401,$U39)))</f>
        <v/>
      </c>
      <c r="M39" s="7">
        <f>IF($U39="","",IF(INDEX('Per Invoice'!M$2:M$401,$U39)="","",INDEX('Per Invoice'!M$2:M$401,$U39)))</f>
        <v/>
      </c>
      <c r="N39">
        <f>IF($U39="","",IF(INDEX('Per Invoice'!N$2:N$401,$U39)="","",INDEX('Per Invoice'!N$2:N$401,$U39)))</f>
        <v/>
      </c>
      <c r="O39" s="7">
        <f>IF($U39="","",IF(INDEX('Per Invoice'!O$2:O$401,$U39)="","",INDEX('Per Invoice'!O$2:O$401,$U39)))</f>
        <v/>
      </c>
      <c r="P39" s="7">
        <f>IF($U39="","",IF(INDEX('Per Invoice'!P$2:P$401,$U39)="","",INDEX('Per Invoice'!P$2:P$401,$U39)))</f>
        <v/>
      </c>
      <c r="Q39" s="7">
        <f>IF($U39="","",IF(INDEX('Per Invoice'!Q$2:Q$401,$U39)="","",INDEX('Per Invoice'!Q$2:Q$401,$U39)))</f>
        <v/>
      </c>
      <c r="R39" s="7">
        <f>IF($U39="","",IF(INDEX('Per Invoice'!R$2:R$401,$U39)="","",INDEX('Per Invoice'!R$2:R$401,$U39)))</f>
        <v/>
      </c>
      <c r="S39" s="7">
        <f>IF($U39="","",IF(INDEX('Per Invoice'!S$2:S$401,$U39)="","",INDEX('Per Invoice'!S$2:S$401,$U39)))</f>
        <v/>
      </c>
      <c r="T39" s="7">
        <f>IF($U39="","",IF(INDEX('Per Invoice'!T$2:T$401,$U39)="","",INDEX('Per Invoice'!T$2:T$401,$U39)))</f>
        <v/>
      </c>
      <c r="U39" s="16">
        <f>IFERROR(MATCH(Settings!$C$27&amp;"|"&amp;ROWS($U$2:$U39),'Per Invoice'!$V$2:$V$401,0),"")</f>
        <v/>
      </c>
    </row>
    <row r="40">
      <c r="A40">
        <f>IF($U40="","",IF(INDEX('Per Invoice'!A$2:A$401,$U40)="","",INDEX('Per Invoice'!A$2:A$401,$U40)))</f>
        <v/>
      </c>
      <c r="B40">
        <f>IF($U40="","",IF(INDEX('Per Invoice'!B$2:B$401,$U40)="","",INDEX('Per Invoice'!B$2:B$401,$U40)))</f>
        <v/>
      </c>
      <c r="C40">
        <f>IF($U40="","",IF(INDEX('Per Invoice'!C$2:C$401,$U40)="","",INDEX('Per Invoice'!C$2:C$401,$U40)))</f>
        <v/>
      </c>
      <c r="D40">
        <f>IF($U40="","",IF(INDEX('Per Invoice'!D$2:D$401,$U40)="","",INDEX('Per Invoice'!D$2:D$401,$U40)))</f>
        <v/>
      </c>
      <c r="E40">
        <f>IF($U40="","",IF(INDEX('Per Invoice'!E$2:E$401,$U40)="","",INDEX('Per Invoice'!E$2:E$401,$U40)))</f>
        <v/>
      </c>
      <c r="F40">
        <f>IF($U40="","",IF(INDEX('Per Invoice'!F$2:F$401,$U40)="","",INDEX('Per Invoice'!F$2:F$401,$U40)))</f>
        <v/>
      </c>
      <c r="G40">
        <f>IF($U40="","",IF(INDEX('Per Invoice'!G$2:G$401,$U40)="","",INDEX('Per Invoice'!G$2:G$401,$U40)))</f>
        <v/>
      </c>
      <c r="H40" s="7">
        <f>IF($U40="","",IF(INDEX('Per Invoice'!H$2:H$401,$U40)="","",INDEX('Per Invoice'!H$2:H$401,$U40)))</f>
        <v/>
      </c>
      <c r="I40" s="14">
        <f>IF($U40="","",IF(INDEX('Per Invoice'!I$2:I$401,$U40)="","",INDEX('Per Invoice'!I$2:I$401,$U40)))</f>
        <v/>
      </c>
      <c r="J40">
        <f>IF($U40="","",IF(INDEX('Per Invoice'!J$2:J$401,$U40)="","",INDEX('Per Invoice'!J$2:J$401,$U40)))</f>
        <v/>
      </c>
      <c r="K40">
        <f>IF($U40="","",IF(INDEX('Per Invoice'!K$2:K$401,$U40)="","",INDEX('Per Invoice'!K$2:K$401,$U40)))</f>
        <v/>
      </c>
      <c r="L40" s="7">
        <f>IF($U40="","",IF(INDEX('Per Invoice'!L$2:L$401,$U40)="","",INDEX('Per Invoice'!L$2:L$401,$U40)))</f>
        <v/>
      </c>
      <c r="M40" s="7">
        <f>IF($U40="","",IF(INDEX('Per Invoice'!M$2:M$401,$U40)="","",INDEX('Per Invoice'!M$2:M$401,$U40)))</f>
        <v/>
      </c>
      <c r="N40">
        <f>IF($U40="","",IF(INDEX('Per Invoice'!N$2:N$401,$U40)="","",INDEX('Per Invoice'!N$2:N$401,$U40)))</f>
        <v/>
      </c>
      <c r="O40" s="7">
        <f>IF($U40="","",IF(INDEX('Per Invoice'!O$2:O$401,$U40)="","",INDEX('Per Invoice'!O$2:O$401,$U40)))</f>
        <v/>
      </c>
      <c r="P40" s="7">
        <f>IF($U40="","",IF(INDEX('Per Invoice'!P$2:P$401,$U40)="","",INDEX('Per Invoice'!P$2:P$401,$U40)))</f>
        <v/>
      </c>
      <c r="Q40" s="7">
        <f>IF($U40="","",IF(INDEX('Per Invoice'!Q$2:Q$401,$U40)="","",INDEX('Per Invoice'!Q$2:Q$401,$U40)))</f>
        <v/>
      </c>
      <c r="R40" s="7">
        <f>IF($U40="","",IF(INDEX('Per Invoice'!R$2:R$401,$U40)="","",INDEX('Per Invoice'!R$2:R$401,$U40)))</f>
        <v/>
      </c>
      <c r="S40" s="7">
        <f>IF($U40="","",IF(INDEX('Per Invoice'!S$2:S$401,$U40)="","",INDEX('Per Invoice'!S$2:S$401,$U40)))</f>
        <v/>
      </c>
      <c r="T40" s="7">
        <f>IF($U40="","",IF(INDEX('Per Invoice'!T$2:T$401,$U40)="","",INDEX('Per Invoice'!T$2:T$401,$U40)))</f>
        <v/>
      </c>
      <c r="U40" s="16">
        <f>IFERROR(MATCH(Settings!$C$27&amp;"|"&amp;ROWS($U$2:$U40),'Per Invoice'!$V$2:$V$401,0),"")</f>
        <v/>
      </c>
    </row>
    <row r="41">
      <c r="A41">
        <f>IF($U41="","",IF(INDEX('Per Invoice'!A$2:A$401,$U41)="","",INDEX('Per Invoice'!A$2:A$401,$U41)))</f>
        <v/>
      </c>
      <c r="B41">
        <f>IF($U41="","",IF(INDEX('Per Invoice'!B$2:B$401,$U41)="","",INDEX('Per Invoice'!B$2:B$401,$U41)))</f>
        <v/>
      </c>
      <c r="C41">
        <f>IF($U41="","",IF(INDEX('Per Invoice'!C$2:C$401,$U41)="","",INDEX('Per Invoice'!C$2:C$401,$U41)))</f>
        <v/>
      </c>
      <c r="D41">
        <f>IF($U41="","",IF(INDEX('Per Invoice'!D$2:D$401,$U41)="","",INDEX('Per Invoice'!D$2:D$401,$U41)))</f>
        <v/>
      </c>
      <c r="E41">
        <f>IF($U41="","",IF(INDEX('Per Invoice'!E$2:E$401,$U41)="","",INDEX('Per Invoice'!E$2:E$401,$U41)))</f>
        <v/>
      </c>
      <c r="F41">
        <f>IF($U41="","",IF(INDEX('Per Invoice'!F$2:F$401,$U41)="","",INDEX('Per Invoice'!F$2:F$401,$U41)))</f>
        <v/>
      </c>
      <c r="G41">
        <f>IF($U41="","",IF(INDEX('Per Invoice'!G$2:G$401,$U41)="","",INDEX('Per Invoice'!G$2:G$401,$U41)))</f>
        <v/>
      </c>
      <c r="H41" s="7">
        <f>IF($U41="","",IF(INDEX('Per Invoice'!H$2:H$401,$U41)="","",INDEX('Per Invoice'!H$2:H$401,$U41)))</f>
        <v/>
      </c>
      <c r="I41" s="14">
        <f>IF($U41="","",IF(INDEX('Per Invoice'!I$2:I$401,$U41)="","",INDEX('Per Invoice'!I$2:I$401,$U41)))</f>
        <v/>
      </c>
      <c r="J41">
        <f>IF($U41="","",IF(INDEX('Per Invoice'!J$2:J$401,$U41)="","",INDEX('Per Invoice'!J$2:J$401,$U41)))</f>
        <v/>
      </c>
      <c r="K41">
        <f>IF($U41="","",IF(INDEX('Per Invoice'!K$2:K$401,$U41)="","",INDEX('Per Invoice'!K$2:K$401,$U41)))</f>
        <v/>
      </c>
      <c r="L41" s="7">
        <f>IF($U41="","",IF(INDEX('Per Invoice'!L$2:L$401,$U41)="","",INDEX('Per Invoice'!L$2:L$401,$U41)))</f>
        <v/>
      </c>
      <c r="M41" s="7">
        <f>IF($U41="","",IF(INDEX('Per Invoice'!M$2:M$401,$U41)="","",INDEX('Per Invoice'!M$2:M$401,$U41)))</f>
        <v/>
      </c>
      <c r="N41">
        <f>IF($U41="","",IF(INDEX('Per Invoice'!N$2:N$401,$U41)="","",INDEX('Per Invoice'!N$2:N$401,$U41)))</f>
        <v/>
      </c>
      <c r="O41" s="7">
        <f>IF($U41="","",IF(INDEX('Per Invoice'!O$2:O$401,$U41)="","",INDEX('Per Invoice'!O$2:O$401,$U41)))</f>
        <v/>
      </c>
      <c r="P41" s="7">
        <f>IF($U41="","",IF(INDEX('Per Invoice'!P$2:P$401,$U41)="","",INDEX('Per Invoice'!P$2:P$401,$U41)))</f>
        <v/>
      </c>
      <c r="Q41" s="7">
        <f>IF($U41="","",IF(INDEX('Per Invoice'!Q$2:Q$401,$U41)="","",INDEX('Per Invoice'!Q$2:Q$401,$U41)))</f>
        <v/>
      </c>
      <c r="R41" s="7">
        <f>IF($U41="","",IF(INDEX('Per Invoice'!R$2:R$401,$U41)="","",INDEX('Per Invoice'!R$2:R$401,$U41)))</f>
        <v/>
      </c>
      <c r="S41" s="7">
        <f>IF($U41="","",IF(INDEX('Per Invoice'!S$2:S$401,$U41)="","",INDEX('Per Invoice'!S$2:S$401,$U41)))</f>
        <v/>
      </c>
      <c r="T41" s="7">
        <f>IF($U41="","",IF(INDEX('Per Invoice'!T$2:T$401,$U41)="","",INDEX('Per Invoice'!T$2:T$401,$U41)))</f>
        <v/>
      </c>
      <c r="U41" s="16">
        <f>IFERROR(MATCH(Settings!$C$27&amp;"|"&amp;ROWS($U$2:$U41),'Per Invoice'!$V$2:$V$401,0),"")</f>
        <v/>
      </c>
    </row>
    <row r="42">
      <c r="A42">
        <f>IF($U42="","",IF(INDEX('Per Invoice'!A$2:A$401,$U42)="","",INDEX('Per Invoice'!A$2:A$401,$U42)))</f>
        <v/>
      </c>
      <c r="B42">
        <f>IF($U42="","",IF(INDEX('Per Invoice'!B$2:B$401,$U42)="","",INDEX('Per Invoice'!B$2:B$401,$U42)))</f>
        <v/>
      </c>
      <c r="C42">
        <f>IF($U42="","",IF(INDEX('Per Invoice'!C$2:C$401,$U42)="","",INDEX('Per Invoice'!C$2:C$401,$U42)))</f>
        <v/>
      </c>
      <c r="D42">
        <f>IF($U42="","",IF(INDEX('Per Invoice'!D$2:D$401,$U42)="","",INDEX('Per Invoice'!D$2:D$401,$U42)))</f>
        <v/>
      </c>
      <c r="E42">
        <f>IF($U42="","",IF(INDEX('Per Invoice'!E$2:E$401,$U42)="","",INDEX('Per Invoice'!E$2:E$401,$U42)))</f>
        <v/>
      </c>
      <c r="F42">
        <f>IF($U42="","",IF(INDEX('Per Invoice'!F$2:F$401,$U42)="","",INDEX('Per Invoice'!F$2:F$401,$U42)))</f>
        <v/>
      </c>
      <c r="G42">
        <f>IF($U42="","",IF(INDEX('Per Invoice'!G$2:G$401,$U42)="","",INDEX('Per Invoice'!G$2:G$401,$U42)))</f>
        <v/>
      </c>
      <c r="H42" s="7">
        <f>IF($U42="","",IF(INDEX('Per Invoice'!H$2:H$401,$U42)="","",INDEX('Per Invoice'!H$2:H$401,$U42)))</f>
        <v/>
      </c>
      <c r="I42" s="14">
        <f>IF($U42="","",IF(INDEX('Per Invoice'!I$2:I$401,$U42)="","",INDEX('Per Invoice'!I$2:I$401,$U42)))</f>
        <v/>
      </c>
      <c r="J42">
        <f>IF($U42="","",IF(INDEX('Per Invoice'!J$2:J$401,$U42)="","",INDEX('Per Invoice'!J$2:J$401,$U42)))</f>
        <v/>
      </c>
      <c r="K42">
        <f>IF($U42="","",IF(INDEX('Per Invoice'!K$2:K$401,$U42)="","",INDEX('Per Invoice'!K$2:K$401,$U42)))</f>
        <v/>
      </c>
      <c r="L42" s="7">
        <f>IF($U42="","",IF(INDEX('Per Invoice'!L$2:L$401,$U42)="","",INDEX('Per Invoice'!L$2:L$401,$U42)))</f>
        <v/>
      </c>
      <c r="M42" s="7">
        <f>IF($U42="","",IF(INDEX('Per Invoice'!M$2:M$401,$U42)="","",INDEX('Per Invoice'!M$2:M$401,$U42)))</f>
        <v/>
      </c>
      <c r="N42">
        <f>IF($U42="","",IF(INDEX('Per Invoice'!N$2:N$401,$U42)="","",INDEX('Per Invoice'!N$2:N$401,$U42)))</f>
        <v/>
      </c>
      <c r="O42" s="7">
        <f>IF($U42="","",IF(INDEX('Per Invoice'!O$2:O$401,$U42)="","",INDEX('Per Invoice'!O$2:O$401,$U42)))</f>
        <v/>
      </c>
      <c r="P42" s="7">
        <f>IF($U42="","",IF(INDEX('Per Invoice'!P$2:P$401,$U42)="","",INDEX('Per Invoice'!P$2:P$401,$U42)))</f>
        <v/>
      </c>
      <c r="Q42" s="7">
        <f>IF($U42="","",IF(INDEX('Per Invoice'!Q$2:Q$401,$U42)="","",INDEX('Per Invoice'!Q$2:Q$401,$U42)))</f>
        <v/>
      </c>
      <c r="R42" s="7">
        <f>IF($U42="","",IF(INDEX('Per Invoice'!R$2:R$401,$U42)="","",INDEX('Per Invoice'!R$2:R$401,$U42)))</f>
        <v/>
      </c>
      <c r="S42" s="7">
        <f>IF($U42="","",IF(INDEX('Per Invoice'!S$2:S$401,$U42)="","",INDEX('Per Invoice'!S$2:S$401,$U42)))</f>
        <v/>
      </c>
      <c r="T42" s="7">
        <f>IF($U42="","",IF(INDEX('Per Invoice'!T$2:T$401,$U42)="","",INDEX('Per Invoice'!T$2:T$401,$U42)))</f>
        <v/>
      </c>
      <c r="U42" s="16">
        <f>IFERROR(MATCH(Settings!$C$27&amp;"|"&amp;ROWS($U$2:$U42),'Per Invoice'!$V$2:$V$401,0),"")</f>
        <v/>
      </c>
    </row>
    <row r="43">
      <c r="A43">
        <f>IF($U43="","",IF(INDEX('Per Invoice'!A$2:A$401,$U43)="","",INDEX('Per Invoice'!A$2:A$401,$U43)))</f>
        <v/>
      </c>
      <c r="B43">
        <f>IF($U43="","",IF(INDEX('Per Invoice'!B$2:B$401,$U43)="","",INDEX('Per Invoice'!B$2:B$401,$U43)))</f>
        <v/>
      </c>
      <c r="C43">
        <f>IF($U43="","",IF(INDEX('Per Invoice'!C$2:C$401,$U43)="","",INDEX('Per Invoice'!C$2:C$401,$U43)))</f>
        <v/>
      </c>
      <c r="D43">
        <f>IF($U43="","",IF(INDEX('Per Invoice'!D$2:D$401,$U43)="","",INDEX('Per Invoice'!D$2:D$401,$U43)))</f>
        <v/>
      </c>
      <c r="E43">
        <f>IF($U43="","",IF(INDEX('Per Invoice'!E$2:E$401,$U43)="","",INDEX('Per Invoice'!E$2:E$401,$U43)))</f>
        <v/>
      </c>
      <c r="F43">
        <f>IF($U43="","",IF(INDEX('Per Invoice'!F$2:F$401,$U43)="","",INDEX('Per Invoice'!F$2:F$401,$U43)))</f>
        <v/>
      </c>
      <c r="G43">
        <f>IF($U43="","",IF(INDEX('Per Invoice'!G$2:G$401,$U43)="","",INDEX('Per Invoice'!G$2:G$401,$U43)))</f>
        <v/>
      </c>
      <c r="H43" s="7">
        <f>IF($U43="","",IF(INDEX('Per Invoice'!H$2:H$401,$U43)="","",INDEX('Per Invoice'!H$2:H$401,$U43)))</f>
        <v/>
      </c>
      <c r="I43" s="14">
        <f>IF($U43="","",IF(INDEX('Per Invoice'!I$2:I$401,$U43)="","",INDEX('Per Invoice'!I$2:I$401,$U43)))</f>
        <v/>
      </c>
      <c r="J43">
        <f>IF($U43="","",IF(INDEX('Per Invoice'!J$2:J$401,$U43)="","",INDEX('Per Invoice'!J$2:J$401,$U43)))</f>
        <v/>
      </c>
      <c r="K43">
        <f>IF($U43="","",IF(INDEX('Per Invoice'!K$2:K$401,$U43)="","",INDEX('Per Invoice'!K$2:K$401,$U43)))</f>
        <v/>
      </c>
      <c r="L43" s="7">
        <f>IF($U43="","",IF(INDEX('Per Invoice'!L$2:L$401,$U43)="","",INDEX('Per Invoice'!L$2:L$401,$U43)))</f>
        <v/>
      </c>
      <c r="M43" s="7">
        <f>IF($U43="","",IF(INDEX('Per Invoice'!M$2:M$401,$U43)="","",INDEX('Per Invoice'!M$2:M$401,$U43)))</f>
        <v/>
      </c>
      <c r="N43">
        <f>IF($U43="","",IF(INDEX('Per Invoice'!N$2:N$401,$U43)="","",INDEX('Per Invoice'!N$2:N$401,$U43)))</f>
        <v/>
      </c>
      <c r="O43" s="7">
        <f>IF($U43="","",IF(INDEX('Per Invoice'!O$2:O$401,$U43)="","",INDEX('Per Invoice'!O$2:O$401,$U43)))</f>
        <v/>
      </c>
      <c r="P43" s="7">
        <f>IF($U43="","",IF(INDEX('Per Invoice'!P$2:P$401,$U43)="","",INDEX('Per Invoice'!P$2:P$401,$U43)))</f>
        <v/>
      </c>
      <c r="Q43" s="7">
        <f>IF($U43="","",IF(INDEX('Per Invoice'!Q$2:Q$401,$U43)="","",INDEX('Per Invoice'!Q$2:Q$401,$U43)))</f>
        <v/>
      </c>
      <c r="R43" s="7">
        <f>IF($U43="","",IF(INDEX('Per Invoice'!R$2:R$401,$U43)="","",INDEX('Per Invoice'!R$2:R$401,$U43)))</f>
        <v/>
      </c>
      <c r="S43" s="7">
        <f>IF($U43="","",IF(INDEX('Per Invoice'!S$2:S$401,$U43)="","",INDEX('Per Invoice'!S$2:S$401,$U43)))</f>
        <v/>
      </c>
      <c r="T43" s="7">
        <f>IF($U43="","",IF(INDEX('Per Invoice'!T$2:T$401,$U43)="","",INDEX('Per Invoice'!T$2:T$401,$U43)))</f>
        <v/>
      </c>
      <c r="U43" s="16">
        <f>IFERROR(MATCH(Settings!$C$27&amp;"|"&amp;ROWS($U$2:$U43),'Per Invoice'!$V$2:$V$401,0),"")</f>
        <v/>
      </c>
    </row>
    <row r="44">
      <c r="A44">
        <f>IF($U44="","",IF(INDEX('Per Invoice'!A$2:A$401,$U44)="","",INDEX('Per Invoice'!A$2:A$401,$U44)))</f>
        <v/>
      </c>
      <c r="B44">
        <f>IF($U44="","",IF(INDEX('Per Invoice'!B$2:B$401,$U44)="","",INDEX('Per Invoice'!B$2:B$401,$U44)))</f>
        <v/>
      </c>
      <c r="C44">
        <f>IF($U44="","",IF(INDEX('Per Invoice'!C$2:C$401,$U44)="","",INDEX('Per Invoice'!C$2:C$401,$U44)))</f>
        <v/>
      </c>
      <c r="D44">
        <f>IF($U44="","",IF(INDEX('Per Invoice'!D$2:D$401,$U44)="","",INDEX('Per Invoice'!D$2:D$401,$U44)))</f>
        <v/>
      </c>
      <c r="E44">
        <f>IF($U44="","",IF(INDEX('Per Invoice'!E$2:E$401,$U44)="","",INDEX('Per Invoice'!E$2:E$401,$U44)))</f>
        <v/>
      </c>
      <c r="F44">
        <f>IF($U44="","",IF(INDEX('Per Invoice'!F$2:F$401,$U44)="","",INDEX('Per Invoice'!F$2:F$401,$U44)))</f>
        <v/>
      </c>
      <c r="G44">
        <f>IF($U44="","",IF(INDEX('Per Invoice'!G$2:G$401,$U44)="","",INDEX('Per Invoice'!G$2:G$401,$U44)))</f>
        <v/>
      </c>
      <c r="H44" s="7">
        <f>IF($U44="","",IF(INDEX('Per Invoice'!H$2:H$401,$U44)="","",INDEX('Per Invoice'!H$2:H$401,$U44)))</f>
        <v/>
      </c>
      <c r="I44" s="14">
        <f>IF($U44="","",IF(INDEX('Per Invoice'!I$2:I$401,$U44)="","",INDEX('Per Invoice'!I$2:I$401,$U44)))</f>
        <v/>
      </c>
      <c r="J44">
        <f>IF($U44="","",IF(INDEX('Per Invoice'!J$2:J$401,$U44)="","",INDEX('Per Invoice'!J$2:J$401,$U44)))</f>
        <v/>
      </c>
      <c r="K44">
        <f>IF($U44="","",IF(INDEX('Per Invoice'!K$2:K$401,$U44)="","",INDEX('Per Invoice'!K$2:K$401,$U44)))</f>
        <v/>
      </c>
      <c r="L44" s="7">
        <f>IF($U44="","",IF(INDEX('Per Invoice'!L$2:L$401,$U44)="","",INDEX('Per Invoice'!L$2:L$401,$U44)))</f>
        <v/>
      </c>
      <c r="M44" s="7">
        <f>IF($U44="","",IF(INDEX('Per Invoice'!M$2:M$401,$U44)="","",INDEX('Per Invoice'!M$2:M$401,$U44)))</f>
        <v/>
      </c>
      <c r="N44">
        <f>IF($U44="","",IF(INDEX('Per Invoice'!N$2:N$401,$U44)="","",INDEX('Per Invoice'!N$2:N$401,$U44)))</f>
        <v/>
      </c>
      <c r="O44" s="7">
        <f>IF($U44="","",IF(INDEX('Per Invoice'!O$2:O$401,$U44)="","",INDEX('Per Invoice'!O$2:O$401,$U44)))</f>
        <v/>
      </c>
      <c r="P44" s="7">
        <f>IF($U44="","",IF(INDEX('Per Invoice'!P$2:P$401,$U44)="","",INDEX('Per Invoice'!P$2:P$401,$U44)))</f>
        <v/>
      </c>
      <c r="Q44" s="7">
        <f>IF($U44="","",IF(INDEX('Per Invoice'!Q$2:Q$401,$U44)="","",INDEX('Per Invoice'!Q$2:Q$401,$U44)))</f>
        <v/>
      </c>
      <c r="R44" s="7">
        <f>IF($U44="","",IF(INDEX('Per Invoice'!R$2:R$401,$U44)="","",INDEX('Per Invoice'!R$2:R$401,$U44)))</f>
        <v/>
      </c>
      <c r="S44" s="7">
        <f>IF($U44="","",IF(INDEX('Per Invoice'!S$2:S$401,$U44)="","",INDEX('Per Invoice'!S$2:S$401,$U44)))</f>
        <v/>
      </c>
      <c r="T44" s="7">
        <f>IF($U44="","",IF(INDEX('Per Invoice'!T$2:T$401,$U44)="","",INDEX('Per Invoice'!T$2:T$401,$U44)))</f>
        <v/>
      </c>
      <c r="U44" s="16">
        <f>IFERROR(MATCH(Settings!$C$27&amp;"|"&amp;ROWS($U$2:$U44),'Per Invoice'!$V$2:$V$401,0),"")</f>
        <v/>
      </c>
    </row>
    <row r="45">
      <c r="A45">
        <f>IF($U45="","",IF(INDEX('Per Invoice'!A$2:A$401,$U45)="","",INDEX('Per Invoice'!A$2:A$401,$U45)))</f>
        <v/>
      </c>
      <c r="B45">
        <f>IF($U45="","",IF(INDEX('Per Invoice'!B$2:B$401,$U45)="","",INDEX('Per Invoice'!B$2:B$401,$U45)))</f>
        <v/>
      </c>
      <c r="C45">
        <f>IF($U45="","",IF(INDEX('Per Invoice'!C$2:C$401,$U45)="","",INDEX('Per Invoice'!C$2:C$401,$U45)))</f>
        <v/>
      </c>
      <c r="D45">
        <f>IF($U45="","",IF(INDEX('Per Invoice'!D$2:D$401,$U45)="","",INDEX('Per Invoice'!D$2:D$401,$U45)))</f>
        <v/>
      </c>
      <c r="E45">
        <f>IF($U45="","",IF(INDEX('Per Invoice'!E$2:E$401,$U45)="","",INDEX('Per Invoice'!E$2:E$401,$U45)))</f>
        <v/>
      </c>
      <c r="F45">
        <f>IF($U45="","",IF(INDEX('Per Invoice'!F$2:F$401,$U45)="","",INDEX('Per Invoice'!F$2:F$401,$U45)))</f>
        <v/>
      </c>
      <c r="G45">
        <f>IF($U45="","",IF(INDEX('Per Invoice'!G$2:G$401,$U45)="","",INDEX('Per Invoice'!G$2:G$401,$U45)))</f>
        <v/>
      </c>
      <c r="H45" s="7">
        <f>IF($U45="","",IF(INDEX('Per Invoice'!H$2:H$401,$U45)="","",INDEX('Per Invoice'!H$2:H$401,$U45)))</f>
        <v/>
      </c>
      <c r="I45" s="14">
        <f>IF($U45="","",IF(INDEX('Per Invoice'!I$2:I$401,$U45)="","",INDEX('Per Invoice'!I$2:I$401,$U45)))</f>
        <v/>
      </c>
      <c r="J45">
        <f>IF($U45="","",IF(INDEX('Per Invoice'!J$2:J$401,$U45)="","",INDEX('Per Invoice'!J$2:J$401,$U45)))</f>
        <v/>
      </c>
      <c r="K45">
        <f>IF($U45="","",IF(INDEX('Per Invoice'!K$2:K$401,$U45)="","",INDEX('Per Invoice'!K$2:K$401,$U45)))</f>
        <v/>
      </c>
      <c r="L45" s="7">
        <f>IF($U45="","",IF(INDEX('Per Invoice'!L$2:L$401,$U45)="","",INDEX('Per Invoice'!L$2:L$401,$U45)))</f>
        <v/>
      </c>
      <c r="M45" s="7">
        <f>IF($U45="","",IF(INDEX('Per Invoice'!M$2:M$401,$U45)="","",INDEX('Per Invoice'!M$2:M$401,$U45)))</f>
        <v/>
      </c>
      <c r="N45">
        <f>IF($U45="","",IF(INDEX('Per Invoice'!N$2:N$401,$U45)="","",INDEX('Per Invoice'!N$2:N$401,$U45)))</f>
        <v/>
      </c>
      <c r="O45" s="7">
        <f>IF($U45="","",IF(INDEX('Per Invoice'!O$2:O$401,$U45)="","",INDEX('Per Invoice'!O$2:O$401,$U45)))</f>
        <v/>
      </c>
      <c r="P45" s="7">
        <f>IF($U45="","",IF(INDEX('Per Invoice'!P$2:P$401,$U45)="","",INDEX('Per Invoice'!P$2:P$401,$U45)))</f>
        <v/>
      </c>
      <c r="Q45" s="7">
        <f>IF($U45="","",IF(INDEX('Per Invoice'!Q$2:Q$401,$U45)="","",INDEX('Per Invoice'!Q$2:Q$401,$U45)))</f>
        <v/>
      </c>
      <c r="R45" s="7">
        <f>IF($U45="","",IF(INDEX('Per Invoice'!R$2:R$401,$U45)="","",INDEX('Per Invoice'!R$2:R$401,$U45)))</f>
        <v/>
      </c>
      <c r="S45" s="7">
        <f>IF($U45="","",IF(INDEX('Per Invoice'!S$2:S$401,$U45)="","",INDEX('Per Invoice'!S$2:S$401,$U45)))</f>
        <v/>
      </c>
      <c r="T45" s="7">
        <f>IF($U45="","",IF(INDEX('Per Invoice'!T$2:T$401,$U45)="","",INDEX('Per Invoice'!T$2:T$401,$U45)))</f>
        <v/>
      </c>
      <c r="U45" s="16">
        <f>IFERROR(MATCH(Settings!$C$27&amp;"|"&amp;ROWS($U$2:$U45),'Per Invoice'!$V$2:$V$401,0),"")</f>
        <v/>
      </c>
    </row>
    <row r="46">
      <c r="A46">
        <f>IF($U46="","",IF(INDEX('Per Invoice'!A$2:A$401,$U46)="","",INDEX('Per Invoice'!A$2:A$401,$U46)))</f>
        <v/>
      </c>
      <c r="B46">
        <f>IF($U46="","",IF(INDEX('Per Invoice'!B$2:B$401,$U46)="","",INDEX('Per Invoice'!B$2:B$401,$U46)))</f>
        <v/>
      </c>
      <c r="C46">
        <f>IF($U46="","",IF(INDEX('Per Invoice'!C$2:C$401,$U46)="","",INDEX('Per Invoice'!C$2:C$401,$U46)))</f>
        <v/>
      </c>
      <c r="D46">
        <f>IF($U46="","",IF(INDEX('Per Invoice'!D$2:D$401,$U46)="","",INDEX('Per Invoice'!D$2:D$401,$U46)))</f>
        <v/>
      </c>
      <c r="E46">
        <f>IF($U46="","",IF(INDEX('Per Invoice'!E$2:E$401,$U46)="","",INDEX('Per Invoice'!E$2:E$401,$U46)))</f>
        <v/>
      </c>
      <c r="F46">
        <f>IF($U46="","",IF(INDEX('Per Invoice'!F$2:F$401,$U46)="","",INDEX('Per Invoice'!F$2:F$401,$U46)))</f>
        <v/>
      </c>
      <c r="G46">
        <f>IF($U46="","",IF(INDEX('Per Invoice'!G$2:G$401,$U46)="","",INDEX('Per Invoice'!G$2:G$401,$U46)))</f>
        <v/>
      </c>
      <c r="H46" s="7">
        <f>IF($U46="","",IF(INDEX('Per Invoice'!H$2:H$401,$U46)="","",INDEX('Per Invoice'!H$2:H$401,$U46)))</f>
        <v/>
      </c>
      <c r="I46" s="14">
        <f>IF($U46="","",IF(INDEX('Per Invoice'!I$2:I$401,$U46)="","",INDEX('Per Invoice'!I$2:I$401,$U46)))</f>
        <v/>
      </c>
      <c r="J46">
        <f>IF($U46="","",IF(INDEX('Per Invoice'!J$2:J$401,$U46)="","",INDEX('Per Invoice'!J$2:J$401,$U46)))</f>
        <v/>
      </c>
      <c r="K46">
        <f>IF($U46="","",IF(INDEX('Per Invoice'!K$2:K$401,$U46)="","",INDEX('Per Invoice'!K$2:K$401,$U46)))</f>
        <v/>
      </c>
      <c r="L46" s="7">
        <f>IF($U46="","",IF(INDEX('Per Invoice'!L$2:L$401,$U46)="","",INDEX('Per Invoice'!L$2:L$401,$U46)))</f>
        <v/>
      </c>
      <c r="M46" s="7">
        <f>IF($U46="","",IF(INDEX('Per Invoice'!M$2:M$401,$U46)="","",INDEX('Per Invoice'!M$2:M$401,$U46)))</f>
        <v/>
      </c>
      <c r="N46">
        <f>IF($U46="","",IF(INDEX('Per Invoice'!N$2:N$401,$U46)="","",INDEX('Per Invoice'!N$2:N$401,$U46)))</f>
        <v/>
      </c>
      <c r="O46" s="7">
        <f>IF($U46="","",IF(INDEX('Per Invoice'!O$2:O$401,$U46)="","",INDEX('Per Invoice'!O$2:O$401,$U46)))</f>
        <v/>
      </c>
      <c r="P46" s="7">
        <f>IF($U46="","",IF(INDEX('Per Invoice'!P$2:P$401,$U46)="","",INDEX('Per Invoice'!P$2:P$401,$U46)))</f>
        <v/>
      </c>
      <c r="Q46" s="7">
        <f>IF($U46="","",IF(INDEX('Per Invoice'!Q$2:Q$401,$U46)="","",INDEX('Per Invoice'!Q$2:Q$401,$U46)))</f>
        <v/>
      </c>
      <c r="R46" s="7">
        <f>IF($U46="","",IF(INDEX('Per Invoice'!R$2:R$401,$U46)="","",INDEX('Per Invoice'!R$2:R$401,$U46)))</f>
        <v/>
      </c>
      <c r="S46" s="7">
        <f>IF($U46="","",IF(INDEX('Per Invoice'!S$2:S$401,$U46)="","",INDEX('Per Invoice'!S$2:S$401,$U46)))</f>
        <v/>
      </c>
      <c r="T46" s="7">
        <f>IF($U46="","",IF(INDEX('Per Invoice'!T$2:T$401,$U46)="","",INDEX('Per Invoice'!T$2:T$401,$U46)))</f>
        <v/>
      </c>
      <c r="U46" s="16">
        <f>IFERROR(MATCH(Settings!$C$27&amp;"|"&amp;ROWS($U$2:$U46),'Per Invoice'!$V$2:$V$401,0),"")</f>
        <v/>
      </c>
    </row>
    <row r="47">
      <c r="A47">
        <f>IF($U47="","",IF(INDEX('Per Invoice'!A$2:A$401,$U47)="","",INDEX('Per Invoice'!A$2:A$401,$U47)))</f>
        <v/>
      </c>
      <c r="B47">
        <f>IF($U47="","",IF(INDEX('Per Invoice'!B$2:B$401,$U47)="","",INDEX('Per Invoice'!B$2:B$401,$U47)))</f>
        <v/>
      </c>
      <c r="C47">
        <f>IF($U47="","",IF(INDEX('Per Invoice'!C$2:C$401,$U47)="","",INDEX('Per Invoice'!C$2:C$401,$U47)))</f>
        <v/>
      </c>
      <c r="D47">
        <f>IF($U47="","",IF(INDEX('Per Invoice'!D$2:D$401,$U47)="","",INDEX('Per Invoice'!D$2:D$401,$U47)))</f>
        <v/>
      </c>
      <c r="E47">
        <f>IF($U47="","",IF(INDEX('Per Invoice'!E$2:E$401,$U47)="","",INDEX('Per Invoice'!E$2:E$401,$U47)))</f>
        <v/>
      </c>
      <c r="F47">
        <f>IF($U47="","",IF(INDEX('Per Invoice'!F$2:F$401,$U47)="","",INDEX('Per Invoice'!F$2:F$401,$U47)))</f>
        <v/>
      </c>
      <c r="G47">
        <f>IF($U47="","",IF(INDEX('Per Invoice'!G$2:G$401,$U47)="","",INDEX('Per Invoice'!G$2:G$401,$U47)))</f>
        <v/>
      </c>
      <c r="H47" s="7">
        <f>IF($U47="","",IF(INDEX('Per Invoice'!H$2:H$401,$U47)="","",INDEX('Per Invoice'!H$2:H$401,$U47)))</f>
        <v/>
      </c>
      <c r="I47" s="14">
        <f>IF($U47="","",IF(INDEX('Per Invoice'!I$2:I$401,$U47)="","",INDEX('Per Invoice'!I$2:I$401,$U47)))</f>
        <v/>
      </c>
      <c r="J47">
        <f>IF($U47="","",IF(INDEX('Per Invoice'!J$2:J$401,$U47)="","",INDEX('Per Invoice'!J$2:J$401,$U47)))</f>
        <v/>
      </c>
      <c r="K47">
        <f>IF($U47="","",IF(INDEX('Per Invoice'!K$2:K$401,$U47)="","",INDEX('Per Invoice'!K$2:K$401,$U47)))</f>
        <v/>
      </c>
      <c r="L47" s="7">
        <f>IF($U47="","",IF(INDEX('Per Invoice'!L$2:L$401,$U47)="","",INDEX('Per Invoice'!L$2:L$401,$U47)))</f>
        <v/>
      </c>
      <c r="M47" s="7">
        <f>IF($U47="","",IF(INDEX('Per Invoice'!M$2:M$401,$U47)="","",INDEX('Per Invoice'!M$2:M$401,$U47)))</f>
        <v/>
      </c>
      <c r="N47">
        <f>IF($U47="","",IF(INDEX('Per Invoice'!N$2:N$401,$U47)="","",INDEX('Per Invoice'!N$2:N$401,$U47)))</f>
        <v/>
      </c>
      <c r="O47" s="7">
        <f>IF($U47="","",IF(INDEX('Per Invoice'!O$2:O$401,$U47)="","",INDEX('Per Invoice'!O$2:O$401,$U47)))</f>
        <v/>
      </c>
      <c r="P47" s="7">
        <f>IF($U47="","",IF(INDEX('Per Invoice'!P$2:P$401,$U47)="","",INDEX('Per Invoice'!P$2:P$401,$U47)))</f>
        <v/>
      </c>
      <c r="Q47" s="7">
        <f>IF($U47="","",IF(INDEX('Per Invoice'!Q$2:Q$401,$U47)="","",INDEX('Per Invoice'!Q$2:Q$401,$U47)))</f>
        <v/>
      </c>
      <c r="R47" s="7">
        <f>IF($U47="","",IF(INDEX('Per Invoice'!R$2:R$401,$U47)="","",INDEX('Per Invoice'!R$2:R$401,$U47)))</f>
        <v/>
      </c>
      <c r="S47" s="7">
        <f>IF($U47="","",IF(INDEX('Per Invoice'!S$2:S$401,$U47)="","",INDEX('Per Invoice'!S$2:S$401,$U47)))</f>
        <v/>
      </c>
      <c r="T47" s="7">
        <f>IF($U47="","",IF(INDEX('Per Invoice'!T$2:T$401,$U47)="","",INDEX('Per Invoice'!T$2:T$401,$U47)))</f>
        <v/>
      </c>
      <c r="U47" s="16">
        <f>IFERROR(MATCH(Settings!$C$27&amp;"|"&amp;ROWS($U$2:$U47),'Per Invoice'!$V$2:$V$401,0),"")</f>
        <v/>
      </c>
    </row>
    <row r="48">
      <c r="A48">
        <f>IF($U48="","",IF(INDEX('Per Invoice'!A$2:A$401,$U48)="","",INDEX('Per Invoice'!A$2:A$401,$U48)))</f>
        <v/>
      </c>
      <c r="B48">
        <f>IF($U48="","",IF(INDEX('Per Invoice'!B$2:B$401,$U48)="","",INDEX('Per Invoice'!B$2:B$401,$U48)))</f>
        <v/>
      </c>
      <c r="C48">
        <f>IF($U48="","",IF(INDEX('Per Invoice'!C$2:C$401,$U48)="","",INDEX('Per Invoice'!C$2:C$401,$U48)))</f>
        <v/>
      </c>
      <c r="D48">
        <f>IF($U48="","",IF(INDEX('Per Invoice'!D$2:D$401,$U48)="","",INDEX('Per Invoice'!D$2:D$401,$U48)))</f>
        <v/>
      </c>
      <c r="E48">
        <f>IF($U48="","",IF(INDEX('Per Invoice'!E$2:E$401,$U48)="","",INDEX('Per Invoice'!E$2:E$401,$U48)))</f>
        <v/>
      </c>
      <c r="F48">
        <f>IF($U48="","",IF(INDEX('Per Invoice'!F$2:F$401,$U48)="","",INDEX('Per Invoice'!F$2:F$401,$U48)))</f>
        <v/>
      </c>
      <c r="G48">
        <f>IF($U48="","",IF(INDEX('Per Invoice'!G$2:G$401,$U48)="","",INDEX('Per Invoice'!G$2:G$401,$U48)))</f>
        <v/>
      </c>
      <c r="H48" s="7">
        <f>IF($U48="","",IF(INDEX('Per Invoice'!H$2:H$401,$U48)="","",INDEX('Per Invoice'!H$2:H$401,$U48)))</f>
        <v/>
      </c>
      <c r="I48" s="14">
        <f>IF($U48="","",IF(INDEX('Per Invoice'!I$2:I$401,$U48)="","",INDEX('Per Invoice'!I$2:I$401,$U48)))</f>
        <v/>
      </c>
      <c r="J48">
        <f>IF($U48="","",IF(INDEX('Per Invoice'!J$2:J$401,$U48)="","",INDEX('Per Invoice'!J$2:J$401,$U48)))</f>
        <v/>
      </c>
      <c r="K48">
        <f>IF($U48="","",IF(INDEX('Per Invoice'!K$2:K$401,$U48)="","",INDEX('Per Invoice'!K$2:K$401,$U48)))</f>
        <v/>
      </c>
      <c r="L48" s="7">
        <f>IF($U48="","",IF(INDEX('Per Invoice'!L$2:L$401,$U48)="","",INDEX('Per Invoice'!L$2:L$401,$U48)))</f>
        <v/>
      </c>
      <c r="M48" s="7">
        <f>IF($U48="","",IF(INDEX('Per Invoice'!M$2:M$401,$U48)="","",INDEX('Per Invoice'!M$2:M$401,$U48)))</f>
        <v/>
      </c>
      <c r="N48">
        <f>IF($U48="","",IF(INDEX('Per Invoice'!N$2:N$401,$U48)="","",INDEX('Per Invoice'!N$2:N$401,$U48)))</f>
        <v/>
      </c>
      <c r="O48" s="7">
        <f>IF($U48="","",IF(INDEX('Per Invoice'!O$2:O$401,$U48)="","",INDEX('Per Invoice'!O$2:O$401,$U48)))</f>
        <v/>
      </c>
      <c r="P48" s="7">
        <f>IF($U48="","",IF(INDEX('Per Invoice'!P$2:P$401,$U48)="","",INDEX('Per Invoice'!P$2:P$401,$U48)))</f>
        <v/>
      </c>
      <c r="Q48" s="7">
        <f>IF($U48="","",IF(INDEX('Per Invoice'!Q$2:Q$401,$U48)="","",INDEX('Per Invoice'!Q$2:Q$401,$U48)))</f>
        <v/>
      </c>
      <c r="R48" s="7">
        <f>IF($U48="","",IF(INDEX('Per Invoice'!R$2:R$401,$U48)="","",INDEX('Per Invoice'!R$2:R$401,$U48)))</f>
        <v/>
      </c>
      <c r="S48" s="7">
        <f>IF($U48="","",IF(INDEX('Per Invoice'!S$2:S$401,$U48)="","",INDEX('Per Invoice'!S$2:S$401,$U48)))</f>
        <v/>
      </c>
      <c r="T48" s="7">
        <f>IF($U48="","",IF(INDEX('Per Invoice'!T$2:T$401,$U48)="","",INDEX('Per Invoice'!T$2:T$401,$U48)))</f>
        <v/>
      </c>
      <c r="U48" s="16">
        <f>IFERROR(MATCH(Settings!$C$27&amp;"|"&amp;ROWS($U$2:$U48),'Per Invoice'!$V$2:$V$401,0),"")</f>
        <v/>
      </c>
    </row>
    <row r="49">
      <c r="A49">
        <f>IF($U49="","",IF(INDEX('Per Invoice'!A$2:A$401,$U49)="","",INDEX('Per Invoice'!A$2:A$401,$U49)))</f>
        <v/>
      </c>
      <c r="B49">
        <f>IF($U49="","",IF(INDEX('Per Invoice'!B$2:B$401,$U49)="","",INDEX('Per Invoice'!B$2:B$401,$U49)))</f>
        <v/>
      </c>
      <c r="C49">
        <f>IF($U49="","",IF(INDEX('Per Invoice'!C$2:C$401,$U49)="","",INDEX('Per Invoice'!C$2:C$401,$U49)))</f>
        <v/>
      </c>
      <c r="D49">
        <f>IF($U49="","",IF(INDEX('Per Invoice'!D$2:D$401,$U49)="","",INDEX('Per Invoice'!D$2:D$401,$U49)))</f>
        <v/>
      </c>
      <c r="E49">
        <f>IF($U49="","",IF(INDEX('Per Invoice'!E$2:E$401,$U49)="","",INDEX('Per Invoice'!E$2:E$401,$U49)))</f>
        <v/>
      </c>
      <c r="F49">
        <f>IF($U49="","",IF(INDEX('Per Invoice'!F$2:F$401,$U49)="","",INDEX('Per Invoice'!F$2:F$401,$U49)))</f>
        <v/>
      </c>
      <c r="G49">
        <f>IF($U49="","",IF(INDEX('Per Invoice'!G$2:G$401,$U49)="","",INDEX('Per Invoice'!G$2:G$401,$U49)))</f>
        <v/>
      </c>
      <c r="H49" s="7">
        <f>IF($U49="","",IF(INDEX('Per Invoice'!H$2:H$401,$U49)="","",INDEX('Per Invoice'!H$2:H$401,$U49)))</f>
        <v/>
      </c>
      <c r="I49" s="14">
        <f>IF($U49="","",IF(INDEX('Per Invoice'!I$2:I$401,$U49)="","",INDEX('Per Invoice'!I$2:I$401,$U49)))</f>
        <v/>
      </c>
      <c r="J49">
        <f>IF($U49="","",IF(INDEX('Per Invoice'!J$2:J$401,$U49)="","",INDEX('Per Invoice'!J$2:J$401,$U49)))</f>
        <v/>
      </c>
      <c r="K49">
        <f>IF($U49="","",IF(INDEX('Per Invoice'!K$2:K$401,$U49)="","",INDEX('Per Invoice'!K$2:K$401,$U49)))</f>
        <v/>
      </c>
      <c r="L49" s="7">
        <f>IF($U49="","",IF(INDEX('Per Invoice'!L$2:L$401,$U49)="","",INDEX('Per Invoice'!L$2:L$401,$U49)))</f>
        <v/>
      </c>
      <c r="M49" s="7">
        <f>IF($U49="","",IF(INDEX('Per Invoice'!M$2:M$401,$U49)="","",INDEX('Per Invoice'!M$2:M$401,$U49)))</f>
        <v/>
      </c>
      <c r="N49">
        <f>IF($U49="","",IF(INDEX('Per Invoice'!N$2:N$401,$U49)="","",INDEX('Per Invoice'!N$2:N$401,$U49)))</f>
        <v/>
      </c>
      <c r="O49" s="7">
        <f>IF($U49="","",IF(INDEX('Per Invoice'!O$2:O$401,$U49)="","",INDEX('Per Invoice'!O$2:O$401,$U49)))</f>
        <v/>
      </c>
      <c r="P49" s="7">
        <f>IF($U49="","",IF(INDEX('Per Invoice'!P$2:P$401,$U49)="","",INDEX('Per Invoice'!P$2:P$401,$U49)))</f>
        <v/>
      </c>
      <c r="Q49" s="7">
        <f>IF($U49="","",IF(INDEX('Per Invoice'!Q$2:Q$401,$U49)="","",INDEX('Per Invoice'!Q$2:Q$401,$U49)))</f>
        <v/>
      </c>
      <c r="R49" s="7">
        <f>IF($U49="","",IF(INDEX('Per Invoice'!R$2:R$401,$U49)="","",INDEX('Per Invoice'!R$2:R$401,$U49)))</f>
        <v/>
      </c>
      <c r="S49" s="7">
        <f>IF($U49="","",IF(INDEX('Per Invoice'!S$2:S$401,$U49)="","",INDEX('Per Invoice'!S$2:S$401,$U49)))</f>
        <v/>
      </c>
      <c r="T49" s="7">
        <f>IF($U49="","",IF(INDEX('Per Invoice'!T$2:T$401,$U49)="","",INDEX('Per Invoice'!T$2:T$401,$U49)))</f>
        <v/>
      </c>
      <c r="U49" s="16">
        <f>IFERROR(MATCH(Settings!$C$27&amp;"|"&amp;ROWS($U$2:$U49),'Per Invoice'!$V$2:$V$401,0),"")</f>
        <v/>
      </c>
    </row>
    <row r="50">
      <c r="A50">
        <f>IF($U50="","",IF(INDEX('Per Invoice'!A$2:A$401,$U50)="","",INDEX('Per Invoice'!A$2:A$401,$U50)))</f>
        <v/>
      </c>
      <c r="B50">
        <f>IF($U50="","",IF(INDEX('Per Invoice'!B$2:B$401,$U50)="","",INDEX('Per Invoice'!B$2:B$401,$U50)))</f>
        <v/>
      </c>
      <c r="C50">
        <f>IF($U50="","",IF(INDEX('Per Invoice'!C$2:C$401,$U50)="","",INDEX('Per Invoice'!C$2:C$401,$U50)))</f>
        <v/>
      </c>
      <c r="D50">
        <f>IF($U50="","",IF(INDEX('Per Invoice'!D$2:D$401,$U50)="","",INDEX('Per Invoice'!D$2:D$401,$U50)))</f>
        <v/>
      </c>
      <c r="E50">
        <f>IF($U50="","",IF(INDEX('Per Invoice'!E$2:E$401,$U50)="","",INDEX('Per Invoice'!E$2:E$401,$U50)))</f>
        <v/>
      </c>
      <c r="F50">
        <f>IF($U50="","",IF(INDEX('Per Invoice'!F$2:F$401,$U50)="","",INDEX('Per Invoice'!F$2:F$401,$U50)))</f>
        <v/>
      </c>
      <c r="G50">
        <f>IF($U50="","",IF(INDEX('Per Invoice'!G$2:G$401,$U50)="","",INDEX('Per Invoice'!G$2:G$401,$U50)))</f>
        <v/>
      </c>
      <c r="H50" s="7">
        <f>IF($U50="","",IF(INDEX('Per Invoice'!H$2:H$401,$U50)="","",INDEX('Per Invoice'!H$2:H$401,$U50)))</f>
        <v/>
      </c>
      <c r="I50" s="14">
        <f>IF($U50="","",IF(INDEX('Per Invoice'!I$2:I$401,$U50)="","",INDEX('Per Invoice'!I$2:I$401,$U50)))</f>
        <v/>
      </c>
      <c r="J50">
        <f>IF($U50="","",IF(INDEX('Per Invoice'!J$2:J$401,$U50)="","",INDEX('Per Invoice'!J$2:J$401,$U50)))</f>
        <v/>
      </c>
      <c r="K50">
        <f>IF($U50="","",IF(INDEX('Per Invoice'!K$2:K$401,$U50)="","",INDEX('Per Invoice'!K$2:K$401,$U50)))</f>
        <v/>
      </c>
      <c r="L50" s="7">
        <f>IF($U50="","",IF(INDEX('Per Invoice'!L$2:L$401,$U50)="","",INDEX('Per Invoice'!L$2:L$401,$U50)))</f>
        <v/>
      </c>
      <c r="M50" s="7">
        <f>IF($U50="","",IF(INDEX('Per Invoice'!M$2:M$401,$U50)="","",INDEX('Per Invoice'!M$2:M$401,$U50)))</f>
        <v/>
      </c>
      <c r="N50">
        <f>IF($U50="","",IF(INDEX('Per Invoice'!N$2:N$401,$U50)="","",INDEX('Per Invoice'!N$2:N$401,$U50)))</f>
        <v/>
      </c>
      <c r="O50" s="7">
        <f>IF($U50="","",IF(INDEX('Per Invoice'!O$2:O$401,$U50)="","",INDEX('Per Invoice'!O$2:O$401,$U50)))</f>
        <v/>
      </c>
      <c r="P50" s="7">
        <f>IF($U50="","",IF(INDEX('Per Invoice'!P$2:P$401,$U50)="","",INDEX('Per Invoice'!P$2:P$401,$U50)))</f>
        <v/>
      </c>
      <c r="Q50" s="7">
        <f>IF($U50="","",IF(INDEX('Per Invoice'!Q$2:Q$401,$U50)="","",INDEX('Per Invoice'!Q$2:Q$401,$U50)))</f>
        <v/>
      </c>
      <c r="R50" s="7">
        <f>IF($U50="","",IF(INDEX('Per Invoice'!R$2:R$401,$U50)="","",INDEX('Per Invoice'!R$2:R$401,$U50)))</f>
        <v/>
      </c>
      <c r="S50" s="7">
        <f>IF($U50="","",IF(INDEX('Per Invoice'!S$2:S$401,$U50)="","",INDEX('Per Invoice'!S$2:S$401,$U50)))</f>
        <v/>
      </c>
      <c r="T50" s="7">
        <f>IF($U50="","",IF(INDEX('Per Invoice'!T$2:T$401,$U50)="","",INDEX('Per Invoice'!T$2:T$401,$U50)))</f>
        <v/>
      </c>
      <c r="U50" s="16">
        <f>IFERROR(MATCH(Settings!$C$27&amp;"|"&amp;ROWS($U$2:$U50),'Per Invoice'!$V$2:$V$401,0),"")</f>
        <v/>
      </c>
    </row>
    <row r="51">
      <c r="A51">
        <f>IF($U51="","",IF(INDEX('Per Invoice'!A$2:A$401,$U51)="","",INDEX('Per Invoice'!A$2:A$401,$U51)))</f>
        <v/>
      </c>
      <c r="B51">
        <f>IF($U51="","",IF(INDEX('Per Invoice'!B$2:B$401,$U51)="","",INDEX('Per Invoice'!B$2:B$401,$U51)))</f>
        <v/>
      </c>
      <c r="C51">
        <f>IF($U51="","",IF(INDEX('Per Invoice'!C$2:C$401,$U51)="","",INDEX('Per Invoice'!C$2:C$401,$U51)))</f>
        <v/>
      </c>
      <c r="D51">
        <f>IF($U51="","",IF(INDEX('Per Invoice'!D$2:D$401,$U51)="","",INDEX('Per Invoice'!D$2:D$401,$U51)))</f>
        <v/>
      </c>
      <c r="E51">
        <f>IF($U51="","",IF(INDEX('Per Invoice'!E$2:E$401,$U51)="","",INDEX('Per Invoice'!E$2:E$401,$U51)))</f>
        <v/>
      </c>
      <c r="F51">
        <f>IF($U51="","",IF(INDEX('Per Invoice'!F$2:F$401,$U51)="","",INDEX('Per Invoice'!F$2:F$401,$U51)))</f>
        <v/>
      </c>
      <c r="G51">
        <f>IF($U51="","",IF(INDEX('Per Invoice'!G$2:G$401,$U51)="","",INDEX('Per Invoice'!G$2:G$401,$U51)))</f>
        <v/>
      </c>
      <c r="H51" s="7">
        <f>IF($U51="","",IF(INDEX('Per Invoice'!H$2:H$401,$U51)="","",INDEX('Per Invoice'!H$2:H$401,$U51)))</f>
        <v/>
      </c>
      <c r="I51" s="14">
        <f>IF($U51="","",IF(INDEX('Per Invoice'!I$2:I$401,$U51)="","",INDEX('Per Invoice'!I$2:I$401,$U51)))</f>
        <v/>
      </c>
      <c r="J51">
        <f>IF($U51="","",IF(INDEX('Per Invoice'!J$2:J$401,$U51)="","",INDEX('Per Invoice'!J$2:J$401,$U51)))</f>
        <v/>
      </c>
      <c r="K51">
        <f>IF($U51="","",IF(INDEX('Per Invoice'!K$2:K$401,$U51)="","",INDEX('Per Invoice'!K$2:K$401,$U51)))</f>
        <v/>
      </c>
      <c r="L51" s="7">
        <f>IF($U51="","",IF(INDEX('Per Invoice'!L$2:L$401,$U51)="","",INDEX('Per Invoice'!L$2:L$401,$U51)))</f>
        <v/>
      </c>
      <c r="M51" s="7">
        <f>IF($U51="","",IF(INDEX('Per Invoice'!M$2:M$401,$U51)="","",INDEX('Per Invoice'!M$2:M$401,$U51)))</f>
        <v/>
      </c>
      <c r="N51">
        <f>IF($U51="","",IF(INDEX('Per Invoice'!N$2:N$401,$U51)="","",INDEX('Per Invoice'!N$2:N$401,$U51)))</f>
        <v/>
      </c>
      <c r="O51" s="7">
        <f>IF($U51="","",IF(INDEX('Per Invoice'!O$2:O$401,$U51)="","",INDEX('Per Invoice'!O$2:O$401,$U51)))</f>
        <v/>
      </c>
      <c r="P51" s="7">
        <f>IF($U51="","",IF(INDEX('Per Invoice'!P$2:P$401,$U51)="","",INDEX('Per Invoice'!P$2:P$401,$U51)))</f>
        <v/>
      </c>
      <c r="Q51" s="7">
        <f>IF($U51="","",IF(INDEX('Per Invoice'!Q$2:Q$401,$U51)="","",INDEX('Per Invoice'!Q$2:Q$401,$U51)))</f>
        <v/>
      </c>
      <c r="R51" s="7">
        <f>IF($U51="","",IF(INDEX('Per Invoice'!R$2:R$401,$U51)="","",INDEX('Per Invoice'!R$2:R$401,$U51)))</f>
        <v/>
      </c>
      <c r="S51" s="7">
        <f>IF($U51="","",IF(INDEX('Per Invoice'!S$2:S$401,$U51)="","",INDEX('Per Invoice'!S$2:S$401,$U51)))</f>
        <v/>
      </c>
      <c r="T51" s="7">
        <f>IF($U51="","",IF(INDEX('Per Invoice'!T$2:T$401,$U51)="","",INDEX('Per Invoice'!T$2:T$401,$U51)))</f>
        <v/>
      </c>
      <c r="U51" s="16">
        <f>IFERROR(MATCH(Settings!$C$27&amp;"|"&amp;ROWS($U$2:$U51),'Per Invoice'!$V$2:$V$401,0),"")</f>
        <v/>
      </c>
    </row>
    <row r="52">
      <c r="A52">
        <f>IF($U52="","",IF(INDEX('Per Invoice'!A$2:A$401,$U52)="","",INDEX('Per Invoice'!A$2:A$401,$U52)))</f>
        <v/>
      </c>
      <c r="B52">
        <f>IF($U52="","",IF(INDEX('Per Invoice'!B$2:B$401,$U52)="","",INDEX('Per Invoice'!B$2:B$401,$U52)))</f>
        <v/>
      </c>
      <c r="C52">
        <f>IF($U52="","",IF(INDEX('Per Invoice'!C$2:C$401,$U52)="","",INDEX('Per Invoice'!C$2:C$401,$U52)))</f>
        <v/>
      </c>
      <c r="D52">
        <f>IF($U52="","",IF(INDEX('Per Invoice'!D$2:D$401,$U52)="","",INDEX('Per Invoice'!D$2:D$401,$U52)))</f>
        <v/>
      </c>
      <c r="E52">
        <f>IF($U52="","",IF(INDEX('Per Invoice'!E$2:E$401,$U52)="","",INDEX('Per Invoice'!E$2:E$401,$U52)))</f>
        <v/>
      </c>
      <c r="F52">
        <f>IF($U52="","",IF(INDEX('Per Invoice'!F$2:F$401,$U52)="","",INDEX('Per Invoice'!F$2:F$401,$U52)))</f>
        <v/>
      </c>
      <c r="G52">
        <f>IF($U52="","",IF(INDEX('Per Invoice'!G$2:G$401,$U52)="","",INDEX('Per Invoice'!G$2:G$401,$U52)))</f>
        <v/>
      </c>
      <c r="H52" s="7">
        <f>IF($U52="","",IF(INDEX('Per Invoice'!H$2:H$401,$U52)="","",INDEX('Per Invoice'!H$2:H$401,$U52)))</f>
        <v/>
      </c>
      <c r="I52" s="14">
        <f>IF($U52="","",IF(INDEX('Per Invoice'!I$2:I$401,$U52)="","",INDEX('Per Invoice'!I$2:I$401,$U52)))</f>
        <v/>
      </c>
      <c r="J52">
        <f>IF($U52="","",IF(INDEX('Per Invoice'!J$2:J$401,$U52)="","",INDEX('Per Invoice'!J$2:J$401,$U52)))</f>
        <v/>
      </c>
      <c r="K52">
        <f>IF($U52="","",IF(INDEX('Per Invoice'!K$2:K$401,$U52)="","",INDEX('Per Invoice'!K$2:K$401,$U52)))</f>
        <v/>
      </c>
      <c r="L52" s="7">
        <f>IF($U52="","",IF(INDEX('Per Invoice'!L$2:L$401,$U52)="","",INDEX('Per Invoice'!L$2:L$401,$U52)))</f>
        <v/>
      </c>
      <c r="M52" s="7">
        <f>IF($U52="","",IF(INDEX('Per Invoice'!M$2:M$401,$U52)="","",INDEX('Per Invoice'!M$2:M$401,$U52)))</f>
        <v/>
      </c>
      <c r="N52">
        <f>IF($U52="","",IF(INDEX('Per Invoice'!N$2:N$401,$U52)="","",INDEX('Per Invoice'!N$2:N$401,$U52)))</f>
        <v/>
      </c>
      <c r="O52" s="7">
        <f>IF($U52="","",IF(INDEX('Per Invoice'!O$2:O$401,$U52)="","",INDEX('Per Invoice'!O$2:O$401,$U52)))</f>
        <v/>
      </c>
      <c r="P52" s="7">
        <f>IF($U52="","",IF(INDEX('Per Invoice'!P$2:P$401,$U52)="","",INDEX('Per Invoice'!P$2:P$401,$U52)))</f>
        <v/>
      </c>
      <c r="Q52" s="7">
        <f>IF($U52="","",IF(INDEX('Per Invoice'!Q$2:Q$401,$U52)="","",INDEX('Per Invoice'!Q$2:Q$401,$U52)))</f>
        <v/>
      </c>
      <c r="R52" s="7">
        <f>IF($U52="","",IF(INDEX('Per Invoice'!R$2:R$401,$U52)="","",INDEX('Per Invoice'!R$2:R$401,$U52)))</f>
        <v/>
      </c>
      <c r="S52" s="7">
        <f>IF($U52="","",IF(INDEX('Per Invoice'!S$2:S$401,$U52)="","",INDEX('Per Invoice'!S$2:S$401,$U52)))</f>
        <v/>
      </c>
      <c r="T52" s="7">
        <f>IF($U52="","",IF(INDEX('Per Invoice'!T$2:T$401,$U52)="","",INDEX('Per Invoice'!T$2:T$401,$U52)))</f>
        <v/>
      </c>
      <c r="U52" s="16">
        <f>IFERROR(MATCH(Settings!$C$27&amp;"|"&amp;ROWS($U$2:$U52),'Per Invoice'!$V$2:$V$401,0),"")</f>
        <v/>
      </c>
    </row>
    <row r="53">
      <c r="A53">
        <f>IF($U53="","",IF(INDEX('Per Invoice'!A$2:A$401,$U53)="","",INDEX('Per Invoice'!A$2:A$401,$U53)))</f>
        <v/>
      </c>
      <c r="B53">
        <f>IF($U53="","",IF(INDEX('Per Invoice'!B$2:B$401,$U53)="","",INDEX('Per Invoice'!B$2:B$401,$U53)))</f>
        <v/>
      </c>
      <c r="C53">
        <f>IF($U53="","",IF(INDEX('Per Invoice'!C$2:C$401,$U53)="","",INDEX('Per Invoice'!C$2:C$401,$U53)))</f>
        <v/>
      </c>
      <c r="D53">
        <f>IF($U53="","",IF(INDEX('Per Invoice'!D$2:D$401,$U53)="","",INDEX('Per Invoice'!D$2:D$401,$U53)))</f>
        <v/>
      </c>
      <c r="E53">
        <f>IF($U53="","",IF(INDEX('Per Invoice'!E$2:E$401,$U53)="","",INDEX('Per Invoice'!E$2:E$401,$U53)))</f>
        <v/>
      </c>
      <c r="F53">
        <f>IF($U53="","",IF(INDEX('Per Invoice'!F$2:F$401,$U53)="","",INDEX('Per Invoice'!F$2:F$401,$U53)))</f>
        <v/>
      </c>
      <c r="G53">
        <f>IF($U53="","",IF(INDEX('Per Invoice'!G$2:G$401,$U53)="","",INDEX('Per Invoice'!G$2:G$401,$U53)))</f>
        <v/>
      </c>
      <c r="H53" s="7">
        <f>IF($U53="","",IF(INDEX('Per Invoice'!H$2:H$401,$U53)="","",INDEX('Per Invoice'!H$2:H$401,$U53)))</f>
        <v/>
      </c>
      <c r="I53" s="14">
        <f>IF($U53="","",IF(INDEX('Per Invoice'!I$2:I$401,$U53)="","",INDEX('Per Invoice'!I$2:I$401,$U53)))</f>
        <v/>
      </c>
      <c r="J53">
        <f>IF($U53="","",IF(INDEX('Per Invoice'!J$2:J$401,$U53)="","",INDEX('Per Invoice'!J$2:J$401,$U53)))</f>
        <v/>
      </c>
      <c r="K53">
        <f>IF($U53="","",IF(INDEX('Per Invoice'!K$2:K$401,$U53)="","",INDEX('Per Invoice'!K$2:K$401,$U53)))</f>
        <v/>
      </c>
      <c r="L53" s="7">
        <f>IF($U53="","",IF(INDEX('Per Invoice'!L$2:L$401,$U53)="","",INDEX('Per Invoice'!L$2:L$401,$U53)))</f>
        <v/>
      </c>
      <c r="M53" s="7">
        <f>IF($U53="","",IF(INDEX('Per Invoice'!M$2:M$401,$U53)="","",INDEX('Per Invoice'!M$2:M$401,$U53)))</f>
        <v/>
      </c>
      <c r="N53">
        <f>IF($U53="","",IF(INDEX('Per Invoice'!N$2:N$401,$U53)="","",INDEX('Per Invoice'!N$2:N$401,$U53)))</f>
        <v/>
      </c>
      <c r="O53" s="7">
        <f>IF($U53="","",IF(INDEX('Per Invoice'!O$2:O$401,$U53)="","",INDEX('Per Invoice'!O$2:O$401,$U53)))</f>
        <v/>
      </c>
      <c r="P53" s="7">
        <f>IF($U53="","",IF(INDEX('Per Invoice'!P$2:P$401,$U53)="","",INDEX('Per Invoice'!P$2:P$401,$U53)))</f>
        <v/>
      </c>
      <c r="Q53" s="7">
        <f>IF($U53="","",IF(INDEX('Per Invoice'!Q$2:Q$401,$U53)="","",INDEX('Per Invoice'!Q$2:Q$401,$U53)))</f>
        <v/>
      </c>
      <c r="R53" s="7">
        <f>IF($U53="","",IF(INDEX('Per Invoice'!R$2:R$401,$U53)="","",INDEX('Per Invoice'!R$2:R$401,$U53)))</f>
        <v/>
      </c>
      <c r="S53" s="7">
        <f>IF($U53="","",IF(INDEX('Per Invoice'!S$2:S$401,$U53)="","",INDEX('Per Invoice'!S$2:S$401,$U53)))</f>
        <v/>
      </c>
      <c r="T53" s="7">
        <f>IF($U53="","",IF(INDEX('Per Invoice'!T$2:T$401,$U53)="","",INDEX('Per Invoice'!T$2:T$401,$U53)))</f>
        <v/>
      </c>
      <c r="U53" s="16">
        <f>IFERROR(MATCH(Settings!$C$27&amp;"|"&amp;ROWS($U$2:$U53),'Per Invoice'!$V$2:$V$401,0),"")</f>
        <v/>
      </c>
    </row>
    <row r="54">
      <c r="A54">
        <f>IF($U54="","",IF(INDEX('Per Invoice'!A$2:A$401,$U54)="","",INDEX('Per Invoice'!A$2:A$401,$U54)))</f>
        <v/>
      </c>
      <c r="B54">
        <f>IF($U54="","",IF(INDEX('Per Invoice'!B$2:B$401,$U54)="","",INDEX('Per Invoice'!B$2:B$401,$U54)))</f>
        <v/>
      </c>
      <c r="C54">
        <f>IF($U54="","",IF(INDEX('Per Invoice'!C$2:C$401,$U54)="","",INDEX('Per Invoice'!C$2:C$401,$U54)))</f>
        <v/>
      </c>
      <c r="D54">
        <f>IF($U54="","",IF(INDEX('Per Invoice'!D$2:D$401,$U54)="","",INDEX('Per Invoice'!D$2:D$401,$U54)))</f>
        <v/>
      </c>
      <c r="E54">
        <f>IF($U54="","",IF(INDEX('Per Invoice'!E$2:E$401,$U54)="","",INDEX('Per Invoice'!E$2:E$401,$U54)))</f>
        <v/>
      </c>
      <c r="F54">
        <f>IF($U54="","",IF(INDEX('Per Invoice'!F$2:F$401,$U54)="","",INDEX('Per Invoice'!F$2:F$401,$U54)))</f>
        <v/>
      </c>
      <c r="G54">
        <f>IF($U54="","",IF(INDEX('Per Invoice'!G$2:G$401,$U54)="","",INDEX('Per Invoice'!G$2:G$401,$U54)))</f>
        <v/>
      </c>
      <c r="H54" s="7">
        <f>IF($U54="","",IF(INDEX('Per Invoice'!H$2:H$401,$U54)="","",INDEX('Per Invoice'!H$2:H$401,$U54)))</f>
        <v/>
      </c>
      <c r="I54" s="14">
        <f>IF($U54="","",IF(INDEX('Per Invoice'!I$2:I$401,$U54)="","",INDEX('Per Invoice'!I$2:I$401,$U54)))</f>
        <v/>
      </c>
      <c r="J54">
        <f>IF($U54="","",IF(INDEX('Per Invoice'!J$2:J$401,$U54)="","",INDEX('Per Invoice'!J$2:J$401,$U54)))</f>
        <v/>
      </c>
      <c r="K54">
        <f>IF($U54="","",IF(INDEX('Per Invoice'!K$2:K$401,$U54)="","",INDEX('Per Invoice'!K$2:K$401,$U54)))</f>
        <v/>
      </c>
      <c r="L54" s="7">
        <f>IF($U54="","",IF(INDEX('Per Invoice'!L$2:L$401,$U54)="","",INDEX('Per Invoice'!L$2:L$401,$U54)))</f>
        <v/>
      </c>
      <c r="M54" s="7">
        <f>IF($U54="","",IF(INDEX('Per Invoice'!M$2:M$401,$U54)="","",INDEX('Per Invoice'!M$2:M$401,$U54)))</f>
        <v/>
      </c>
      <c r="N54">
        <f>IF($U54="","",IF(INDEX('Per Invoice'!N$2:N$401,$U54)="","",INDEX('Per Invoice'!N$2:N$401,$U54)))</f>
        <v/>
      </c>
      <c r="O54" s="7">
        <f>IF($U54="","",IF(INDEX('Per Invoice'!O$2:O$401,$U54)="","",INDEX('Per Invoice'!O$2:O$401,$U54)))</f>
        <v/>
      </c>
      <c r="P54" s="7">
        <f>IF($U54="","",IF(INDEX('Per Invoice'!P$2:P$401,$U54)="","",INDEX('Per Invoice'!P$2:P$401,$U54)))</f>
        <v/>
      </c>
      <c r="Q54" s="7">
        <f>IF($U54="","",IF(INDEX('Per Invoice'!Q$2:Q$401,$U54)="","",INDEX('Per Invoice'!Q$2:Q$401,$U54)))</f>
        <v/>
      </c>
      <c r="R54" s="7">
        <f>IF($U54="","",IF(INDEX('Per Invoice'!R$2:R$401,$U54)="","",INDEX('Per Invoice'!R$2:R$401,$U54)))</f>
        <v/>
      </c>
      <c r="S54" s="7">
        <f>IF($U54="","",IF(INDEX('Per Invoice'!S$2:S$401,$U54)="","",INDEX('Per Invoice'!S$2:S$401,$U54)))</f>
        <v/>
      </c>
      <c r="T54" s="7">
        <f>IF($U54="","",IF(INDEX('Per Invoice'!T$2:T$401,$U54)="","",INDEX('Per Invoice'!T$2:T$401,$U54)))</f>
        <v/>
      </c>
      <c r="U54" s="16">
        <f>IFERROR(MATCH(Settings!$C$27&amp;"|"&amp;ROWS($U$2:$U54),'Per Invoice'!$V$2:$V$401,0),"")</f>
        <v/>
      </c>
    </row>
    <row r="55">
      <c r="A55">
        <f>IF($U55="","",IF(INDEX('Per Invoice'!A$2:A$401,$U55)="","",INDEX('Per Invoice'!A$2:A$401,$U55)))</f>
        <v/>
      </c>
      <c r="B55">
        <f>IF($U55="","",IF(INDEX('Per Invoice'!B$2:B$401,$U55)="","",INDEX('Per Invoice'!B$2:B$401,$U55)))</f>
        <v/>
      </c>
      <c r="C55">
        <f>IF($U55="","",IF(INDEX('Per Invoice'!C$2:C$401,$U55)="","",INDEX('Per Invoice'!C$2:C$401,$U55)))</f>
        <v/>
      </c>
      <c r="D55">
        <f>IF($U55="","",IF(INDEX('Per Invoice'!D$2:D$401,$U55)="","",INDEX('Per Invoice'!D$2:D$401,$U55)))</f>
        <v/>
      </c>
      <c r="E55">
        <f>IF($U55="","",IF(INDEX('Per Invoice'!E$2:E$401,$U55)="","",INDEX('Per Invoice'!E$2:E$401,$U55)))</f>
        <v/>
      </c>
      <c r="F55">
        <f>IF($U55="","",IF(INDEX('Per Invoice'!F$2:F$401,$U55)="","",INDEX('Per Invoice'!F$2:F$401,$U55)))</f>
        <v/>
      </c>
      <c r="G55">
        <f>IF($U55="","",IF(INDEX('Per Invoice'!G$2:G$401,$U55)="","",INDEX('Per Invoice'!G$2:G$401,$U55)))</f>
        <v/>
      </c>
      <c r="H55" s="7">
        <f>IF($U55="","",IF(INDEX('Per Invoice'!H$2:H$401,$U55)="","",INDEX('Per Invoice'!H$2:H$401,$U55)))</f>
        <v/>
      </c>
      <c r="I55" s="14">
        <f>IF($U55="","",IF(INDEX('Per Invoice'!I$2:I$401,$U55)="","",INDEX('Per Invoice'!I$2:I$401,$U55)))</f>
        <v/>
      </c>
      <c r="J55">
        <f>IF($U55="","",IF(INDEX('Per Invoice'!J$2:J$401,$U55)="","",INDEX('Per Invoice'!J$2:J$401,$U55)))</f>
        <v/>
      </c>
      <c r="K55">
        <f>IF($U55="","",IF(INDEX('Per Invoice'!K$2:K$401,$U55)="","",INDEX('Per Invoice'!K$2:K$401,$U55)))</f>
        <v/>
      </c>
      <c r="L55" s="7">
        <f>IF($U55="","",IF(INDEX('Per Invoice'!L$2:L$401,$U55)="","",INDEX('Per Invoice'!L$2:L$401,$U55)))</f>
        <v/>
      </c>
      <c r="M55" s="7">
        <f>IF($U55="","",IF(INDEX('Per Invoice'!M$2:M$401,$U55)="","",INDEX('Per Invoice'!M$2:M$401,$U55)))</f>
        <v/>
      </c>
      <c r="N55">
        <f>IF($U55="","",IF(INDEX('Per Invoice'!N$2:N$401,$U55)="","",INDEX('Per Invoice'!N$2:N$401,$U55)))</f>
        <v/>
      </c>
      <c r="O55" s="7">
        <f>IF($U55="","",IF(INDEX('Per Invoice'!O$2:O$401,$U55)="","",INDEX('Per Invoice'!O$2:O$401,$U55)))</f>
        <v/>
      </c>
      <c r="P55" s="7">
        <f>IF($U55="","",IF(INDEX('Per Invoice'!P$2:P$401,$U55)="","",INDEX('Per Invoice'!P$2:P$401,$U55)))</f>
        <v/>
      </c>
      <c r="Q55" s="7">
        <f>IF($U55="","",IF(INDEX('Per Invoice'!Q$2:Q$401,$U55)="","",INDEX('Per Invoice'!Q$2:Q$401,$U55)))</f>
        <v/>
      </c>
      <c r="R55" s="7">
        <f>IF($U55="","",IF(INDEX('Per Invoice'!R$2:R$401,$U55)="","",INDEX('Per Invoice'!R$2:R$401,$U55)))</f>
        <v/>
      </c>
      <c r="S55" s="7">
        <f>IF($U55="","",IF(INDEX('Per Invoice'!S$2:S$401,$U55)="","",INDEX('Per Invoice'!S$2:S$401,$U55)))</f>
        <v/>
      </c>
      <c r="T55" s="7">
        <f>IF($U55="","",IF(INDEX('Per Invoice'!T$2:T$401,$U55)="","",INDEX('Per Invoice'!T$2:T$401,$U55)))</f>
        <v/>
      </c>
      <c r="U55" s="16">
        <f>IFERROR(MATCH(Settings!$C$27&amp;"|"&amp;ROWS($U$2:$U55),'Per Invoice'!$V$2:$V$401,0),"")</f>
        <v/>
      </c>
    </row>
    <row r="56">
      <c r="A56">
        <f>IF($U56="","",IF(INDEX('Per Invoice'!A$2:A$401,$U56)="","",INDEX('Per Invoice'!A$2:A$401,$U56)))</f>
        <v/>
      </c>
      <c r="B56">
        <f>IF($U56="","",IF(INDEX('Per Invoice'!B$2:B$401,$U56)="","",INDEX('Per Invoice'!B$2:B$401,$U56)))</f>
        <v/>
      </c>
      <c r="C56">
        <f>IF($U56="","",IF(INDEX('Per Invoice'!C$2:C$401,$U56)="","",INDEX('Per Invoice'!C$2:C$401,$U56)))</f>
        <v/>
      </c>
      <c r="D56">
        <f>IF($U56="","",IF(INDEX('Per Invoice'!D$2:D$401,$U56)="","",INDEX('Per Invoice'!D$2:D$401,$U56)))</f>
        <v/>
      </c>
      <c r="E56">
        <f>IF($U56="","",IF(INDEX('Per Invoice'!E$2:E$401,$U56)="","",INDEX('Per Invoice'!E$2:E$401,$U56)))</f>
        <v/>
      </c>
      <c r="F56">
        <f>IF($U56="","",IF(INDEX('Per Invoice'!F$2:F$401,$U56)="","",INDEX('Per Invoice'!F$2:F$401,$U56)))</f>
        <v/>
      </c>
      <c r="G56">
        <f>IF($U56="","",IF(INDEX('Per Invoice'!G$2:G$401,$U56)="","",INDEX('Per Invoice'!G$2:G$401,$U56)))</f>
        <v/>
      </c>
      <c r="H56" s="7">
        <f>IF($U56="","",IF(INDEX('Per Invoice'!H$2:H$401,$U56)="","",INDEX('Per Invoice'!H$2:H$401,$U56)))</f>
        <v/>
      </c>
      <c r="I56" s="14">
        <f>IF($U56="","",IF(INDEX('Per Invoice'!I$2:I$401,$U56)="","",INDEX('Per Invoice'!I$2:I$401,$U56)))</f>
        <v/>
      </c>
      <c r="J56">
        <f>IF($U56="","",IF(INDEX('Per Invoice'!J$2:J$401,$U56)="","",INDEX('Per Invoice'!J$2:J$401,$U56)))</f>
        <v/>
      </c>
      <c r="K56">
        <f>IF($U56="","",IF(INDEX('Per Invoice'!K$2:K$401,$U56)="","",INDEX('Per Invoice'!K$2:K$401,$U56)))</f>
        <v/>
      </c>
      <c r="L56" s="7">
        <f>IF($U56="","",IF(INDEX('Per Invoice'!L$2:L$401,$U56)="","",INDEX('Per Invoice'!L$2:L$401,$U56)))</f>
        <v/>
      </c>
      <c r="M56" s="7">
        <f>IF($U56="","",IF(INDEX('Per Invoice'!M$2:M$401,$U56)="","",INDEX('Per Invoice'!M$2:M$401,$U56)))</f>
        <v/>
      </c>
      <c r="N56">
        <f>IF($U56="","",IF(INDEX('Per Invoice'!N$2:N$401,$U56)="","",INDEX('Per Invoice'!N$2:N$401,$U56)))</f>
        <v/>
      </c>
      <c r="O56" s="7">
        <f>IF($U56="","",IF(INDEX('Per Invoice'!O$2:O$401,$U56)="","",INDEX('Per Invoice'!O$2:O$401,$U56)))</f>
        <v/>
      </c>
      <c r="P56" s="7">
        <f>IF($U56="","",IF(INDEX('Per Invoice'!P$2:P$401,$U56)="","",INDEX('Per Invoice'!P$2:P$401,$U56)))</f>
        <v/>
      </c>
      <c r="Q56" s="7">
        <f>IF($U56="","",IF(INDEX('Per Invoice'!Q$2:Q$401,$U56)="","",INDEX('Per Invoice'!Q$2:Q$401,$U56)))</f>
        <v/>
      </c>
      <c r="R56" s="7">
        <f>IF($U56="","",IF(INDEX('Per Invoice'!R$2:R$401,$U56)="","",INDEX('Per Invoice'!R$2:R$401,$U56)))</f>
        <v/>
      </c>
      <c r="S56" s="7">
        <f>IF($U56="","",IF(INDEX('Per Invoice'!S$2:S$401,$U56)="","",INDEX('Per Invoice'!S$2:S$401,$U56)))</f>
        <v/>
      </c>
      <c r="T56" s="7">
        <f>IF($U56="","",IF(INDEX('Per Invoice'!T$2:T$401,$U56)="","",INDEX('Per Invoice'!T$2:T$401,$U56)))</f>
        <v/>
      </c>
      <c r="U56" s="16">
        <f>IFERROR(MATCH(Settings!$C$27&amp;"|"&amp;ROWS($U$2:$U56),'Per Invoice'!$V$2:$V$401,0),"")</f>
        <v/>
      </c>
    </row>
    <row r="57">
      <c r="A57">
        <f>IF($U57="","",IF(INDEX('Per Invoice'!A$2:A$401,$U57)="","",INDEX('Per Invoice'!A$2:A$401,$U57)))</f>
        <v/>
      </c>
      <c r="B57">
        <f>IF($U57="","",IF(INDEX('Per Invoice'!B$2:B$401,$U57)="","",INDEX('Per Invoice'!B$2:B$401,$U57)))</f>
        <v/>
      </c>
      <c r="C57">
        <f>IF($U57="","",IF(INDEX('Per Invoice'!C$2:C$401,$U57)="","",INDEX('Per Invoice'!C$2:C$401,$U57)))</f>
        <v/>
      </c>
      <c r="D57">
        <f>IF($U57="","",IF(INDEX('Per Invoice'!D$2:D$401,$U57)="","",INDEX('Per Invoice'!D$2:D$401,$U57)))</f>
        <v/>
      </c>
      <c r="E57">
        <f>IF($U57="","",IF(INDEX('Per Invoice'!E$2:E$401,$U57)="","",INDEX('Per Invoice'!E$2:E$401,$U57)))</f>
        <v/>
      </c>
      <c r="F57">
        <f>IF($U57="","",IF(INDEX('Per Invoice'!F$2:F$401,$U57)="","",INDEX('Per Invoice'!F$2:F$401,$U57)))</f>
        <v/>
      </c>
      <c r="G57">
        <f>IF($U57="","",IF(INDEX('Per Invoice'!G$2:G$401,$U57)="","",INDEX('Per Invoice'!G$2:G$401,$U57)))</f>
        <v/>
      </c>
      <c r="H57" s="7">
        <f>IF($U57="","",IF(INDEX('Per Invoice'!H$2:H$401,$U57)="","",INDEX('Per Invoice'!H$2:H$401,$U57)))</f>
        <v/>
      </c>
      <c r="I57" s="14">
        <f>IF($U57="","",IF(INDEX('Per Invoice'!I$2:I$401,$U57)="","",INDEX('Per Invoice'!I$2:I$401,$U57)))</f>
        <v/>
      </c>
      <c r="J57">
        <f>IF($U57="","",IF(INDEX('Per Invoice'!J$2:J$401,$U57)="","",INDEX('Per Invoice'!J$2:J$401,$U57)))</f>
        <v/>
      </c>
      <c r="K57">
        <f>IF($U57="","",IF(INDEX('Per Invoice'!K$2:K$401,$U57)="","",INDEX('Per Invoice'!K$2:K$401,$U57)))</f>
        <v/>
      </c>
      <c r="L57" s="7">
        <f>IF($U57="","",IF(INDEX('Per Invoice'!L$2:L$401,$U57)="","",INDEX('Per Invoice'!L$2:L$401,$U57)))</f>
        <v/>
      </c>
      <c r="M57" s="7">
        <f>IF($U57="","",IF(INDEX('Per Invoice'!M$2:M$401,$U57)="","",INDEX('Per Invoice'!M$2:M$401,$U57)))</f>
        <v/>
      </c>
      <c r="N57">
        <f>IF($U57="","",IF(INDEX('Per Invoice'!N$2:N$401,$U57)="","",INDEX('Per Invoice'!N$2:N$401,$U57)))</f>
        <v/>
      </c>
      <c r="O57" s="7">
        <f>IF($U57="","",IF(INDEX('Per Invoice'!O$2:O$401,$U57)="","",INDEX('Per Invoice'!O$2:O$401,$U57)))</f>
        <v/>
      </c>
      <c r="P57" s="7">
        <f>IF($U57="","",IF(INDEX('Per Invoice'!P$2:P$401,$U57)="","",INDEX('Per Invoice'!P$2:P$401,$U57)))</f>
        <v/>
      </c>
      <c r="Q57" s="7">
        <f>IF($U57="","",IF(INDEX('Per Invoice'!Q$2:Q$401,$U57)="","",INDEX('Per Invoice'!Q$2:Q$401,$U57)))</f>
        <v/>
      </c>
      <c r="R57" s="7">
        <f>IF($U57="","",IF(INDEX('Per Invoice'!R$2:R$401,$U57)="","",INDEX('Per Invoice'!R$2:R$401,$U57)))</f>
        <v/>
      </c>
      <c r="S57" s="7">
        <f>IF($U57="","",IF(INDEX('Per Invoice'!S$2:S$401,$U57)="","",INDEX('Per Invoice'!S$2:S$401,$U57)))</f>
        <v/>
      </c>
      <c r="T57" s="7">
        <f>IF($U57="","",IF(INDEX('Per Invoice'!T$2:T$401,$U57)="","",INDEX('Per Invoice'!T$2:T$401,$U57)))</f>
        <v/>
      </c>
      <c r="U57" s="16">
        <f>IFERROR(MATCH(Settings!$C$27&amp;"|"&amp;ROWS($U$2:$U57),'Per Invoice'!$V$2:$V$401,0),"")</f>
        <v/>
      </c>
    </row>
    <row r="58">
      <c r="A58">
        <f>IF($U58="","",IF(INDEX('Per Invoice'!A$2:A$401,$U58)="","",INDEX('Per Invoice'!A$2:A$401,$U58)))</f>
        <v/>
      </c>
      <c r="B58">
        <f>IF($U58="","",IF(INDEX('Per Invoice'!B$2:B$401,$U58)="","",INDEX('Per Invoice'!B$2:B$401,$U58)))</f>
        <v/>
      </c>
      <c r="C58">
        <f>IF($U58="","",IF(INDEX('Per Invoice'!C$2:C$401,$U58)="","",INDEX('Per Invoice'!C$2:C$401,$U58)))</f>
        <v/>
      </c>
      <c r="D58">
        <f>IF($U58="","",IF(INDEX('Per Invoice'!D$2:D$401,$U58)="","",INDEX('Per Invoice'!D$2:D$401,$U58)))</f>
        <v/>
      </c>
      <c r="E58">
        <f>IF($U58="","",IF(INDEX('Per Invoice'!E$2:E$401,$U58)="","",INDEX('Per Invoice'!E$2:E$401,$U58)))</f>
        <v/>
      </c>
      <c r="F58">
        <f>IF($U58="","",IF(INDEX('Per Invoice'!F$2:F$401,$U58)="","",INDEX('Per Invoice'!F$2:F$401,$U58)))</f>
        <v/>
      </c>
      <c r="G58">
        <f>IF($U58="","",IF(INDEX('Per Invoice'!G$2:G$401,$U58)="","",INDEX('Per Invoice'!G$2:G$401,$U58)))</f>
        <v/>
      </c>
      <c r="H58" s="7">
        <f>IF($U58="","",IF(INDEX('Per Invoice'!H$2:H$401,$U58)="","",INDEX('Per Invoice'!H$2:H$401,$U58)))</f>
        <v/>
      </c>
      <c r="I58" s="14">
        <f>IF($U58="","",IF(INDEX('Per Invoice'!I$2:I$401,$U58)="","",INDEX('Per Invoice'!I$2:I$401,$U58)))</f>
        <v/>
      </c>
      <c r="J58">
        <f>IF($U58="","",IF(INDEX('Per Invoice'!J$2:J$401,$U58)="","",INDEX('Per Invoice'!J$2:J$401,$U58)))</f>
        <v/>
      </c>
      <c r="K58">
        <f>IF($U58="","",IF(INDEX('Per Invoice'!K$2:K$401,$U58)="","",INDEX('Per Invoice'!K$2:K$401,$U58)))</f>
        <v/>
      </c>
      <c r="L58" s="7">
        <f>IF($U58="","",IF(INDEX('Per Invoice'!L$2:L$401,$U58)="","",INDEX('Per Invoice'!L$2:L$401,$U58)))</f>
        <v/>
      </c>
      <c r="M58" s="7">
        <f>IF($U58="","",IF(INDEX('Per Invoice'!M$2:M$401,$U58)="","",INDEX('Per Invoice'!M$2:M$401,$U58)))</f>
        <v/>
      </c>
      <c r="N58">
        <f>IF($U58="","",IF(INDEX('Per Invoice'!N$2:N$401,$U58)="","",INDEX('Per Invoice'!N$2:N$401,$U58)))</f>
        <v/>
      </c>
      <c r="O58" s="7">
        <f>IF($U58="","",IF(INDEX('Per Invoice'!O$2:O$401,$U58)="","",INDEX('Per Invoice'!O$2:O$401,$U58)))</f>
        <v/>
      </c>
      <c r="P58" s="7">
        <f>IF($U58="","",IF(INDEX('Per Invoice'!P$2:P$401,$U58)="","",INDEX('Per Invoice'!P$2:P$401,$U58)))</f>
        <v/>
      </c>
      <c r="Q58" s="7">
        <f>IF($U58="","",IF(INDEX('Per Invoice'!Q$2:Q$401,$U58)="","",INDEX('Per Invoice'!Q$2:Q$401,$U58)))</f>
        <v/>
      </c>
      <c r="R58" s="7">
        <f>IF($U58="","",IF(INDEX('Per Invoice'!R$2:R$401,$U58)="","",INDEX('Per Invoice'!R$2:R$401,$U58)))</f>
        <v/>
      </c>
      <c r="S58" s="7">
        <f>IF($U58="","",IF(INDEX('Per Invoice'!S$2:S$401,$U58)="","",INDEX('Per Invoice'!S$2:S$401,$U58)))</f>
        <v/>
      </c>
      <c r="T58" s="7">
        <f>IF($U58="","",IF(INDEX('Per Invoice'!T$2:T$401,$U58)="","",INDEX('Per Invoice'!T$2:T$401,$U58)))</f>
        <v/>
      </c>
      <c r="U58" s="16">
        <f>IFERROR(MATCH(Settings!$C$27&amp;"|"&amp;ROWS($U$2:$U58),'Per Invoice'!$V$2:$V$401,0),"")</f>
        <v/>
      </c>
    </row>
    <row r="59">
      <c r="A59">
        <f>IF($U59="","",IF(INDEX('Per Invoice'!A$2:A$401,$U59)="","",INDEX('Per Invoice'!A$2:A$401,$U59)))</f>
        <v/>
      </c>
      <c r="B59">
        <f>IF($U59="","",IF(INDEX('Per Invoice'!B$2:B$401,$U59)="","",INDEX('Per Invoice'!B$2:B$401,$U59)))</f>
        <v/>
      </c>
      <c r="C59">
        <f>IF($U59="","",IF(INDEX('Per Invoice'!C$2:C$401,$U59)="","",INDEX('Per Invoice'!C$2:C$401,$U59)))</f>
        <v/>
      </c>
      <c r="D59">
        <f>IF($U59="","",IF(INDEX('Per Invoice'!D$2:D$401,$U59)="","",INDEX('Per Invoice'!D$2:D$401,$U59)))</f>
        <v/>
      </c>
      <c r="E59">
        <f>IF($U59="","",IF(INDEX('Per Invoice'!E$2:E$401,$U59)="","",INDEX('Per Invoice'!E$2:E$401,$U59)))</f>
        <v/>
      </c>
      <c r="F59">
        <f>IF($U59="","",IF(INDEX('Per Invoice'!F$2:F$401,$U59)="","",INDEX('Per Invoice'!F$2:F$401,$U59)))</f>
        <v/>
      </c>
      <c r="G59">
        <f>IF($U59="","",IF(INDEX('Per Invoice'!G$2:G$401,$U59)="","",INDEX('Per Invoice'!G$2:G$401,$U59)))</f>
        <v/>
      </c>
      <c r="H59" s="7">
        <f>IF($U59="","",IF(INDEX('Per Invoice'!H$2:H$401,$U59)="","",INDEX('Per Invoice'!H$2:H$401,$U59)))</f>
        <v/>
      </c>
      <c r="I59" s="14">
        <f>IF($U59="","",IF(INDEX('Per Invoice'!I$2:I$401,$U59)="","",INDEX('Per Invoice'!I$2:I$401,$U59)))</f>
        <v/>
      </c>
      <c r="J59">
        <f>IF($U59="","",IF(INDEX('Per Invoice'!J$2:J$401,$U59)="","",INDEX('Per Invoice'!J$2:J$401,$U59)))</f>
        <v/>
      </c>
      <c r="K59">
        <f>IF($U59="","",IF(INDEX('Per Invoice'!K$2:K$401,$U59)="","",INDEX('Per Invoice'!K$2:K$401,$U59)))</f>
        <v/>
      </c>
      <c r="L59" s="7">
        <f>IF($U59="","",IF(INDEX('Per Invoice'!L$2:L$401,$U59)="","",INDEX('Per Invoice'!L$2:L$401,$U59)))</f>
        <v/>
      </c>
      <c r="M59" s="7">
        <f>IF($U59="","",IF(INDEX('Per Invoice'!M$2:M$401,$U59)="","",INDEX('Per Invoice'!M$2:M$401,$U59)))</f>
        <v/>
      </c>
      <c r="N59">
        <f>IF($U59="","",IF(INDEX('Per Invoice'!N$2:N$401,$U59)="","",INDEX('Per Invoice'!N$2:N$401,$U59)))</f>
        <v/>
      </c>
      <c r="O59" s="7">
        <f>IF($U59="","",IF(INDEX('Per Invoice'!O$2:O$401,$U59)="","",INDEX('Per Invoice'!O$2:O$401,$U59)))</f>
        <v/>
      </c>
      <c r="P59" s="7">
        <f>IF($U59="","",IF(INDEX('Per Invoice'!P$2:P$401,$U59)="","",INDEX('Per Invoice'!P$2:P$401,$U59)))</f>
        <v/>
      </c>
      <c r="Q59" s="7">
        <f>IF($U59="","",IF(INDEX('Per Invoice'!Q$2:Q$401,$U59)="","",INDEX('Per Invoice'!Q$2:Q$401,$U59)))</f>
        <v/>
      </c>
      <c r="R59" s="7">
        <f>IF($U59="","",IF(INDEX('Per Invoice'!R$2:R$401,$U59)="","",INDEX('Per Invoice'!R$2:R$401,$U59)))</f>
        <v/>
      </c>
      <c r="S59" s="7">
        <f>IF($U59="","",IF(INDEX('Per Invoice'!S$2:S$401,$U59)="","",INDEX('Per Invoice'!S$2:S$401,$U59)))</f>
        <v/>
      </c>
      <c r="T59" s="7">
        <f>IF($U59="","",IF(INDEX('Per Invoice'!T$2:T$401,$U59)="","",INDEX('Per Invoice'!T$2:T$401,$U59)))</f>
        <v/>
      </c>
      <c r="U59" s="16">
        <f>IFERROR(MATCH(Settings!$C$27&amp;"|"&amp;ROWS($U$2:$U59),'Per Invoice'!$V$2:$V$401,0),"")</f>
        <v/>
      </c>
    </row>
    <row r="60">
      <c r="A60">
        <f>IF($U60="","",IF(INDEX('Per Invoice'!A$2:A$401,$U60)="","",INDEX('Per Invoice'!A$2:A$401,$U60)))</f>
        <v/>
      </c>
      <c r="B60">
        <f>IF($U60="","",IF(INDEX('Per Invoice'!B$2:B$401,$U60)="","",INDEX('Per Invoice'!B$2:B$401,$U60)))</f>
        <v/>
      </c>
      <c r="C60">
        <f>IF($U60="","",IF(INDEX('Per Invoice'!C$2:C$401,$U60)="","",INDEX('Per Invoice'!C$2:C$401,$U60)))</f>
        <v/>
      </c>
      <c r="D60">
        <f>IF($U60="","",IF(INDEX('Per Invoice'!D$2:D$401,$U60)="","",INDEX('Per Invoice'!D$2:D$401,$U60)))</f>
        <v/>
      </c>
      <c r="E60">
        <f>IF($U60="","",IF(INDEX('Per Invoice'!E$2:E$401,$U60)="","",INDEX('Per Invoice'!E$2:E$401,$U60)))</f>
        <v/>
      </c>
      <c r="F60">
        <f>IF($U60="","",IF(INDEX('Per Invoice'!F$2:F$401,$U60)="","",INDEX('Per Invoice'!F$2:F$401,$U60)))</f>
        <v/>
      </c>
      <c r="G60">
        <f>IF($U60="","",IF(INDEX('Per Invoice'!G$2:G$401,$U60)="","",INDEX('Per Invoice'!G$2:G$401,$U60)))</f>
        <v/>
      </c>
      <c r="H60" s="7">
        <f>IF($U60="","",IF(INDEX('Per Invoice'!H$2:H$401,$U60)="","",INDEX('Per Invoice'!H$2:H$401,$U60)))</f>
        <v/>
      </c>
      <c r="I60" s="14">
        <f>IF($U60="","",IF(INDEX('Per Invoice'!I$2:I$401,$U60)="","",INDEX('Per Invoice'!I$2:I$401,$U60)))</f>
        <v/>
      </c>
      <c r="J60">
        <f>IF($U60="","",IF(INDEX('Per Invoice'!J$2:J$401,$U60)="","",INDEX('Per Invoice'!J$2:J$401,$U60)))</f>
        <v/>
      </c>
      <c r="K60">
        <f>IF($U60="","",IF(INDEX('Per Invoice'!K$2:K$401,$U60)="","",INDEX('Per Invoice'!K$2:K$401,$U60)))</f>
        <v/>
      </c>
      <c r="L60" s="7">
        <f>IF($U60="","",IF(INDEX('Per Invoice'!L$2:L$401,$U60)="","",INDEX('Per Invoice'!L$2:L$401,$U60)))</f>
        <v/>
      </c>
      <c r="M60" s="7">
        <f>IF($U60="","",IF(INDEX('Per Invoice'!M$2:M$401,$U60)="","",INDEX('Per Invoice'!M$2:M$401,$U60)))</f>
        <v/>
      </c>
      <c r="N60">
        <f>IF($U60="","",IF(INDEX('Per Invoice'!N$2:N$401,$U60)="","",INDEX('Per Invoice'!N$2:N$401,$U60)))</f>
        <v/>
      </c>
      <c r="O60" s="7">
        <f>IF($U60="","",IF(INDEX('Per Invoice'!O$2:O$401,$U60)="","",INDEX('Per Invoice'!O$2:O$401,$U60)))</f>
        <v/>
      </c>
      <c r="P60" s="7">
        <f>IF($U60="","",IF(INDEX('Per Invoice'!P$2:P$401,$U60)="","",INDEX('Per Invoice'!P$2:P$401,$U60)))</f>
        <v/>
      </c>
      <c r="Q60" s="7">
        <f>IF($U60="","",IF(INDEX('Per Invoice'!Q$2:Q$401,$U60)="","",INDEX('Per Invoice'!Q$2:Q$401,$U60)))</f>
        <v/>
      </c>
      <c r="R60" s="7">
        <f>IF($U60="","",IF(INDEX('Per Invoice'!R$2:R$401,$U60)="","",INDEX('Per Invoice'!R$2:R$401,$U60)))</f>
        <v/>
      </c>
      <c r="S60" s="7">
        <f>IF($U60="","",IF(INDEX('Per Invoice'!S$2:S$401,$U60)="","",INDEX('Per Invoice'!S$2:S$401,$U60)))</f>
        <v/>
      </c>
      <c r="T60" s="7">
        <f>IF($U60="","",IF(INDEX('Per Invoice'!T$2:T$401,$U60)="","",INDEX('Per Invoice'!T$2:T$401,$U60)))</f>
        <v/>
      </c>
      <c r="U60" s="16">
        <f>IFERROR(MATCH(Settings!$C$27&amp;"|"&amp;ROWS($U$2:$U60),'Per Invoice'!$V$2:$V$401,0),"")</f>
        <v/>
      </c>
    </row>
    <row r="61">
      <c r="A61">
        <f>IF($U61="","",IF(INDEX('Per Invoice'!A$2:A$401,$U61)="","",INDEX('Per Invoice'!A$2:A$401,$U61)))</f>
        <v/>
      </c>
      <c r="B61">
        <f>IF($U61="","",IF(INDEX('Per Invoice'!B$2:B$401,$U61)="","",INDEX('Per Invoice'!B$2:B$401,$U61)))</f>
        <v/>
      </c>
      <c r="C61">
        <f>IF($U61="","",IF(INDEX('Per Invoice'!C$2:C$401,$U61)="","",INDEX('Per Invoice'!C$2:C$401,$U61)))</f>
        <v/>
      </c>
      <c r="D61">
        <f>IF($U61="","",IF(INDEX('Per Invoice'!D$2:D$401,$U61)="","",INDEX('Per Invoice'!D$2:D$401,$U61)))</f>
        <v/>
      </c>
      <c r="E61">
        <f>IF($U61="","",IF(INDEX('Per Invoice'!E$2:E$401,$U61)="","",INDEX('Per Invoice'!E$2:E$401,$U61)))</f>
        <v/>
      </c>
      <c r="F61">
        <f>IF($U61="","",IF(INDEX('Per Invoice'!F$2:F$401,$U61)="","",INDEX('Per Invoice'!F$2:F$401,$U61)))</f>
        <v/>
      </c>
      <c r="G61">
        <f>IF($U61="","",IF(INDEX('Per Invoice'!G$2:G$401,$U61)="","",INDEX('Per Invoice'!G$2:G$401,$U61)))</f>
        <v/>
      </c>
      <c r="H61" s="7">
        <f>IF($U61="","",IF(INDEX('Per Invoice'!H$2:H$401,$U61)="","",INDEX('Per Invoice'!H$2:H$401,$U61)))</f>
        <v/>
      </c>
      <c r="I61" s="14">
        <f>IF($U61="","",IF(INDEX('Per Invoice'!I$2:I$401,$U61)="","",INDEX('Per Invoice'!I$2:I$401,$U61)))</f>
        <v/>
      </c>
      <c r="J61">
        <f>IF($U61="","",IF(INDEX('Per Invoice'!J$2:J$401,$U61)="","",INDEX('Per Invoice'!J$2:J$401,$U61)))</f>
        <v/>
      </c>
      <c r="K61">
        <f>IF($U61="","",IF(INDEX('Per Invoice'!K$2:K$401,$U61)="","",INDEX('Per Invoice'!K$2:K$401,$U61)))</f>
        <v/>
      </c>
      <c r="L61" s="7">
        <f>IF($U61="","",IF(INDEX('Per Invoice'!L$2:L$401,$U61)="","",INDEX('Per Invoice'!L$2:L$401,$U61)))</f>
        <v/>
      </c>
      <c r="M61" s="7">
        <f>IF($U61="","",IF(INDEX('Per Invoice'!M$2:M$401,$U61)="","",INDEX('Per Invoice'!M$2:M$401,$U61)))</f>
        <v/>
      </c>
      <c r="N61">
        <f>IF($U61="","",IF(INDEX('Per Invoice'!N$2:N$401,$U61)="","",INDEX('Per Invoice'!N$2:N$401,$U61)))</f>
        <v/>
      </c>
      <c r="O61" s="7">
        <f>IF($U61="","",IF(INDEX('Per Invoice'!O$2:O$401,$U61)="","",INDEX('Per Invoice'!O$2:O$401,$U61)))</f>
        <v/>
      </c>
      <c r="P61" s="7">
        <f>IF($U61="","",IF(INDEX('Per Invoice'!P$2:P$401,$U61)="","",INDEX('Per Invoice'!P$2:P$401,$U61)))</f>
        <v/>
      </c>
      <c r="Q61" s="7">
        <f>IF($U61="","",IF(INDEX('Per Invoice'!Q$2:Q$401,$U61)="","",INDEX('Per Invoice'!Q$2:Q$401,$U61)))</f>
        <v/>
      </c>
      <c r="R61" s="7">
        <f>IF($U61="","",IF(INDEX('Per Invoice'!R$2:R$401,$U61)="","",INDEX('Per Invoice'!R$2:R$401,$U61)))</f>
        <v/>
      </c>
      <c r="S61" s="7">
        <f>IF($U61="","",IF(INDEX('Per Invoice'!S$2:S$401,$U61)="","",INDEX('Per Invoice'!S$2:S$401,$U61)))</f>
        <v/>
      </c>
      <c r="T61" s="7">
        <f>IF($U61="","",IF(INDEX('Per Invoice'!T$2:T$401,$U61)="","",INDEX('Per Invoice'!T$2:T$401,$U61)))</f>
        <v/>
      </c>
      <c r="U61" s="16">
        <f>IFERROR(MATCH(Settings!$C$27&amp;"|"&amp;ROWS($U$2:$U61),'Per Invoice'!$V$2:$V$401,0),"")</f>
        <v/>
      </c>
    </row>
    <row r="62">
      <c r="A62">
        <f>IF($U62="","",IF(INDEX('Per Invoice'!A$2:A$401,$U62)="","",INDEX('Per Invoice'!A$2:A$401,$U62)))</f>
        <v/>
      </c>
      <c r="B62">
        <f>IF($U62="","",IF(INDEX('Per Invoice'!B$2:B$401,$U62)="","",INDEX('Per Invoice'!B$2:B$401,$U62)))</f>
        <v/>
      </c>
      <c r="C62">
        <f>IF($U62="","",IF(INDEX('Per Invoice'!C$2:C$401,$U62)="","",INDEX('Per Invoice'!C$2:C$401,$U62)))</f>
        <v/>
      </c>
      <c r="D62">
        <f>IF($U62="","",IF(INDEX('Per Invoice'!D$2:D$401,$U62)="","",INDEX('Per Invoice'!D$2:D$401,$U62)))</f>
        <v/>
      </c>
      <c r="E62">
        <f>IF($U62="","",IF(INDEX('Per Invoice'!E$2:E$401,$U62)="","",INDEX('Per Invoice'!E$2:E$401,$U62)))</f>
        <v/>
      </c>
      <c r="F62">
        <f>IF($U62="","",IF(INDEX('Per Invoice'!F$2:F$401,$U62)="","",INDEX('Per Invoice'!F$2:F$401,$U62)))</f>
        <v/>
      </c>
      <c r="G62">
        <f>IF($U62="","",IF(INDEX('Per Invoice'!G$2:G$401,$U62)="","",INDEX('Per Invoice'!G$2:G$401,$U62)))</f>
        <v/>
      </c>
      <c r="H62" s="7">
        <f>IF($U62="","",IF(INDEX('Per Invoice'!H$2:H$401,$U62)="","",INDEX('Per Invoice'!H$2:H$401,$U62)))</f>
        <v/>
      </c>
      <c r="I62" s="14">
        <f>IF($U62="","",IF(INDEX('Per Invoice'!I$2:I$401,$U62)="","",INDEX('Per Invoice'!I$2:I$401,$U62)))</f>
        <v/>
      </c>
      <c r="J62">
        <f>IF($U62="","",IF(INDEX('Per Invoice'!J$2:J$401,$U62)="","",INDEX('Per Invoice'!J$2:J$401,$U62)))</f>
        <v/>
      </c>
      <c r="K62">
        <f>IF($U62="","",IF(INDEX('Per Invoice'!K$2:K$401,$U62)="","",INDEX('Per Invoice'!K$2:K$401,$U62)))</f>
        <v/>
      </c>
      <c r="L62" s="7">
        <f>IF($U62="","",IF(INDEX('Per Invoice'!L$2:L$401,$U62)="","",INDEX('Per Invoice'!L$2:L$401,$U62)))</f>
        <v/>
      </c>
      <c r="M62" s="7">
        <f>IF($U62="","",IF(INDEX('Per Invoice'!M$2:M$401,$U62)="","",INDEX('Per Invoice'!M$2:M$401,$U62)))</f>
        <v/>
      </c>
      <c r="N62">
        <f>IF($U62="","",IF(INDEX('Per Invoice'!N$2:N$401,$U62)="","",INDEX('Per Invoice'!N$2:N$401,$U62)))</f>
        <v/>
      </c>
      <c r="O62" s="7">
        <f>IF($U62="","",IF(INDEX('Per Invoice'!O$2:O$401,$U62)="","",INDEX('Per Invoice'!O$2:O$401,$U62)))</f>
        <v/>
      </c>
      <c r="P62" s="7">
        <f>IF($U62="","",IF(INDEX('Per Invoice'!P$2:P$401,$U62)="","",INDEX('Per Invoice'!P$2:P$401,$U62)))</f>
        <v/>
      </c>
      <c r="Q62" s="7">
        <f>IF($U62="","",IF(INDEX('Per Invoice'!Q$2:Q$401,$U62)="","",INDEX('Per Invoice'!Q$2:Q$401,$U62)))</f>
        <v/>
      </c>
      <c r="R62" s="7">
        <f>IF($U62="","",IF(INDEX('Per Invoice'!R$2:R$401,$U62)="","",INDEX('Per Invoice'!R$2:R$401,$U62)))</f>
        <v/>
      </c>
      <c r="S62" s="7">
        <f>IF($U62="","",IF(INDEX('Per Invoice'!S$2:S$401,$U62)="","",INDEX('Per Invoice'!S$2:S$401,$U62)))</f>
        <v/>
      </c>
      <c r="T62" s="7">
        <f>IF($U62="","",IF(INDEX('Per Invoice'!T$2:T$401,$U62)="","",INDEX('Per Invoice'!T$2:T$401,$U62)))</f>
        <v/>
      </c>
      <c r="U62" s="16">
        <f>IFERROR(MATCH(Settings!$C$27&amp;"|"&amp;ROWS($U$2:$U62),'Per Invoice'!$V$2:$V$401,0),"")</f>
        <v/>
      </c>
    </row>
    <row r="63">
      <c r="A63">
        <f>IF($U63="","",IF(INDEX('Per Invoice'!A$2:A$401,$U63)="","",INDEX('Per Invoice'!A$2:A$401,$U63)))</f>
        <v/>
      </c>
      <c r="B63">
        <f>IF($U63="","",IF(INDEX('Per Invoice'!B$2:B$401,$U63)="","",INDEX('Per Invoice'!B$2:B$401,$U63)))</f>
        <v/>
      </c>
      <c r="C63">
        <f>IF($U63="","",IF(INDEX('Per Invoice'!C$2:C$401,$U63)="","",INDEX('Per Invoice'!C$2:C$401,$U63)))</f>
        <v/>
      </c>
      <c r="D63">
        <f>IF($U63="","",IF(INDEX('Per Invoice'!D$2:D$401,$U63)="","",INDEX('Per Invoice'!D$2:D$401,$U63)))</f>
        <v/>
      </c>
      <c r="E63">
        <f>IF($U63="","",IF(INDEX('Per Invoice'!E$2:E$401,$U63)="","",INDEX('Per Invoice'!E$2:E$401,$U63)))</f>
        <v/>
      </c>
      <c r="F63">
        <f>IF($U63="","",IF(INDEX('Per Invoice'!F$2:F$401,$U63)="","",INDEX('Per Invoice'!F$2:F$401,$U63)))</f>
        <v/>
      </c>
      <c r="G63">
        <f>IF($U63="","",IF(INDEX('Per Invoice'!G$2:G$401,$U63)="","",INDEX('Per Invoice'!G$2:G$401,$U63)))</f>
        <v/>
      </c>
      <c r="H63" s="7">
        <f>IF($U63="","",IF(INDEX('Per Invoice'!H$2:H$401,$U63)="","",INDEX('Per Invoice'!H$2:H$401,$U63)))</f>
        <v/>
      </c>
      <c r="I63" s="14">
        <f>IF($U63="","",IF(INDEX('Per Invoice'!I$2:I$401,$U63)="","",INDEX('Per Invoice'!I$2:I$401,$U63)))</f>
        <v/>
      </c>
      <c r="J63">
        <f>IF($U63="","",IF(INDEX('Per Invoice'!J$2:J$401,$U63)="","",INDEX('Per Invoice'!J$2:J$401,$U63)))</f>
        <v/>
      </c>
      <c r="K63">
        <f>IF($U63="","",IF(INDEX('Per Invoice'!K$2:K$401,$U63)="","",INDEX('Per Invoice'!K$2:K$401,$U63)))</f>
        <v/>
      </c>
      <c r="L63" s="7">
        <f>IF($U63="","",IF(INDEX('Per Invoice'!L$2:L$401,$U63)="","",INDEX('Per Invoice'!L$2:L$401,$U63)))</f>
        <v/>
      </c>
      <c r="M63" s="7">
        <f>IF($U63="","",IF(INDEX('Per Invoice'!M$2:M$401,$U63)="","",INDEX('Per Invoice'!M$2:M$401,$U63)))</f>
        <v/>
      </c>
      <c r="N63">
        <f>IF($U63="","",IF(INDEX('Per Invoice'!N$2:N$401,$U63)="","",INDEX('Per Invoice'!N$2:N$401,$U63)))</f>
        <v/>
      </c>
      <c r="O63" s="7">
        <f>IF($U63="","",IF(INDEX('Per Invoice'!O$2:O$401,$U63)="","",INDEX('Per Invoice'!O$2:O$401,$U63)))</f>
        <v/>
      </c>
      <c r="P63" s="7">
        <f>IF($U63="","",IF(INDEX('Per Invoice'!P$2:P$401,$U63)="","",INDEX('Per Invoice'!P$2:P$401,$U63)))</f>
        <v/>
      </c>
      <c r="Q63" s="7">
        <f>IF($U63="","",IF(INDEX('Per Invoice'!Q$2:Q$401,$U63)="","",INDEX('Per Invoice'!Q$2:Q$401,$U63)))</f>
        <v/>
      </c>
      <c r="R63" s="7">
        <f>IF($U63="","",IF(INDEX('Per Invoice'!R$2:R$401,$U63)="","",INDEX('Per Invoice'!R$2:R$401,$U63)))</f>
        <v/>
      </c>
      <c r="S63" s="7">
        <f>IF($U63="","",IF(INDEX('Per Invoice'!S$2:S$401,$U63)="","",INDEX('Per Invoice'!S$2:S$401,$U63)))</f>
        <v/>
      </c>
      <c r="T63" s="7">
        <f>IF($U63="","",IF(INDEX('Per Invoice'!T$2:T$401,$U63)="","",INDEX('Per Invoice'!T$2:T$401,$U63)))</f>
        <v/>
      </c>
      <c r="U63" s="16">
        <f>IFERROR(MATCH(Settings!$C$27&amp;"|"&amp;ROWS($U$2:$U63),'Per Invoice'!$V$2:$V$401,0),"")</f>
        <v/>
      </c>
    </row>
    <row r="64">
      <c r="A64">
        <f>IF($U64="","",IF(INDEX('Per Invoice'!A$2:A$401,$U64)="","",INDEX('Per Invoice'!A$2:A$401,$U64)))</f>
        <v/>
      </c>
      <c r="B64">
        <f>IF($U64="","",IF(INDEX('Per Invoice'!B$2:B$401,$U64)="","",INDEX('Per Invoice'!B$2:B$401,$U64)))</f>
        <v/>
      </c>
      <c r="C64">
        <f>IF($U64="","",IF(INDEX('Per Invoice'!C$2:C$401,$U64)="","",INDEX('Per Invoice'!C$2:C$401,$U64)))</f>
        <v/>
      </c>
      <c r="D64">
        <f>IF($U64="","",IF(INDEX('Per Invoice'!D$2:D$401,$U64)="","",INDEX('Per Invoice'!D$2:D$401,$U64)))</f>
        <v/>
      </c>
      <c r="E64">
        <f>IF($U64="","",IF(INDEX('Per Invoice'!E$2:E$401,$U64)="","",INDEX('Per Invoice'!E$2:E$401,$U64)))</f>
        <v/>
      </c>
      <c r="F64">
        <f>IF($U64="","",IF(INDEX('Per Invoice'!F$2:F$401,$U64)="","",INDEX('Per Invoice'!F$2:F$401,$U64)))</f>
        <v/>
      </c>
      <c r="G64">
        <f>IF($U64="","",IF(INDEX('Per Invoice'!G$2:G$401,$U64)="","",INDEX('Per Invoice'!G$2:G$401,$U64)))</f>
        <v/>
      </c>
      <c r="H64" s="7">
        <f>IF($U64="","",IF(INDEX('Per Invoice'!H$2:H$401,$U64)="","",INDEX('Per Invoice'!H$2:H$401,$U64)))</f>
        <v/>
      </c>
      <c r="I64" s="14">
        <f>IF($U64="","",IF(INDEX('Per Invoice'!I$2:I$401,$U64)="","",INDEX('Per Invoice'!I$2:I$401,$U64)))</f>
        <v/>
      </c>
      <c r="J64">
        <f>IF($U64="","",IF(INDEX('Per Invoice'!J$2:J$401,$U64)="","",INDEX('Per Invoice'!J$2:J$401,$U64)))</f>
        <v/>
      </c>
      <c r="K64">
        <f>IF($U64="","",IF(INDEX('Per Invoice'!K$2:K$401,$U64)="","",INDEX('Per Invoice'!K$2:K$401,$U64)))</f>
        <v/>
      </c>
      <c r="L64" s="7">
        <f>IF($U64="","",IF(INDEX('Per Invoice'!L$2:L$401,$U64)="","",INDEX('Per Invoice'!L$2:L$401,$U64)))</f>
        <v/>
      </c>
      <c r="M64" s="7">
        <f>IF($U64="","",IF(INDEX('Per Invoice'!M$2:M$401,$U64)="","",INDEX('Per Invoice'!M$2:M$401,$U64)))</f>
        <v/>
      </c>
      <c r="N64">
        <f>IF($U64="","",IF(INDEX('Per Invoice'!N$2:N$401,$U64)="","",INDEX('Per Invoice'!N$2:N$401,$U64)))</f>
        <v/>
      </c>
      <c r="O64" s="7">
        <f>IF($U64="","",IF(INDEX('Per Invoice'!O$2:O$401,$U64)="","",INDEX('Per Invoice'!O$2:O$401,$U64)))</f>
        <v/>
      </c>
      <c r="P64" s="7">
        <f>IF($U64="","",IF(INDEX('Per Invoice'!P$2:P$401,$U64)="","",INDEX('Per Invoice'!P$2:P$401,$U64)))</f>
        <v/>
      </c>
      <c r="Q64" s="7">
        <f>IF($U64="","",IF(INDEX('Per Invoice'!Q$2:Q$401,$U64)="","",INDEX('Per Invoice'!Q$2:Q$401,$U64)))</f>
        <v/>
      </c>
      <c r="R64" s="7">
        <f>IF($U64="","",IF(INDEX('Per Invoice'!R$2:R$401,$U64)="","",INDEX('Per Invoice'!R$2:R$401,$U64)))</f>
        <v/>
      </c>
      <c r="S64" s="7">
        <f>IF($U64="","",IF(INDEX('Per Invoice'!S$2:S$401,$U64)="","",INDEX('Per Invoice'!S$2:S$401,$U64)))</f>
        <v/>
      </c>
      <c r="T64" s="7">
        <f>IF($U64="","",IF(INDEX('Per Invoice'!T$2:T$401,$U64)="","",INDEX('Per Invoice'!T$2:T$401,$U64)))</f>
        <v/>
      </c>
      <c r="U64" s="16">
        <f>IFERROR(MATCH(Settings!$C$27&amp;"|"&amp;ROWS($U$2:$U64),'Per Invoice'!$V$2:$V$401,0),"")</f>
        <v/>
      </c>
    </row>
    <row r="65">
      <c r="A65">
        <f>IF($U65="","",IF(INDEX('Per Invoice'!A$2:A$401,$U65)="","",INDEX('Per Invoice'!A$2:A$401,$U65)))</f>
        <v/>
      </c>
      <c r="B65">
        <f>IF($U65="","",IF(INDEX('Per Invoice'!B$2:B$401,$U65)="","",INDEX('Per Invoice'!B$2:B$401,$U65)))</f>
        <v/>
      </c>
      <c r="C65">
        <f>IF($U65="","",IF(INDEX('Per Invoice'!C$2:C$401,$U65)="","",INDEX('Per Invoice'!C$2:C$401,$U65)))</f>
        <v/>
      </c>
      <c r="D65">
        <f>IF($U65="","",IF(INDEX('Per Invoice'!D$2:D$401,$U65)="","",INDEX('Per Invoice'!D$2:D$401,$U65)))</f>
        <v/>
      </c>
      <c r="E65">
        <f>IF($U65="","",IF(INDEX('Per Invoice'!E$2:E$401,$U65)="","",INDEX('Per Invoice'!E$2:E$401,$U65)))</f>
        <v/>
      </c>
      <c r="F65">
        <f>IF($U65="","",IF(INDEX('Per Invoice'!F$2:F$401,$U65)="","",INDEX('Per Invoice'!F$2:F$401,$U65)))</f>
        <v/>
      </c>
      <c r="G65">
        <f>IF($U65="","",IF(INDEX('Per Invoice'!G$2:G$401,$U65)="","",INDEX('Per Invoice'!G$2:G$401,$U65)))</f>
        <v/>
      </c>
      <c r="H65" s="7">
        <f>IF($U65="","",IF(INDEX('Per Invoice'!H$2:H$401,$U65)="","",INDEX('Per Invoice'!H$2:H$401,$U65)))</f>
        <v/>
      </c>
      <c r="I65" s="14">
        <f>IF($U65="","",IF(INDEX('Per Invoice'!I$2:I$401,$U65)="","",INDEX('Per Invoice'!I$2:I$401,$U65)))</f>
        <v/>
      </c>
      <c r="J65">
        <f>IF($U65="","",IF(INDEX('Per Invoice'!J$2:J$401,$U65)="","",INDEX('Per Invoice'!J$2:J$401,$U65)))</f>
        <v/>
      </c>
      <c r="K65">
        <f>IF($U65="","",IF(INDEX('Per Invoice'!K$2:K$401,$U65)="","",INDEX('Per Invoice'!K$2:K$401,$U65)))</f>
        <v/>
      </c>
      <c r="L65" s="7">
        <f>IF($U65="","",IF(INDEX('Per Invoice'!L$2:L$401,$U65)="","",INDEX('Per Invoice'!L$2:L$401,$U65)))</f>
        <v/>
      </c>
      <c r="M65" s="7">
        <f>IF($U65="","",IF(INDEX('Per Invoice'!M$2:M$401,$U65)="","",INDEX('Per Invoice'!M$2:M$401,$U65)))</f>
        <v/>
      </c>
      <c r="N65">
        <f>IF($U65="","",IF(INDEX('Per Invoice'!N$2:N$401,$U65)="","",INDEX('Per Invoice'!N$2:N$401,$U65)))</f>
        <v/>
      </c>
      <c r="O65" s="7">
        <f>IF($U65="","",IF(INDEX('Per Invoice'!O$2:O$401,$U65)="","",INDEX('Per Invoice'!O$2:O$401,$U65)))</f>
        <v/>
      </c>
      <c r="P65" s="7">
        <f>IF($U65="","",IF(INDEX('Per Invoice'!P$2:P$401,$U65)="","",INDEX('Per Invoice'!P$2:P$401,$U65)))</f>
        <v/>
      </c>
      <c r="Q65" s="7">
        <f>IF($U65="","",IF(INDEX('Per Invoice'!Q$2:Q$401,$U65)="","",INDEX('Per Invoice'!Q$2:Q$401,$U65)))</f>
        <v/>
      </c>
      <c r="R65" s="7">
        <f>IF($U65="","",IF(INDEX('Per Invoice'!R$2:R$401,$U65)="","",INDEX('Per Invoice'!R$2:R$401,$U65)))</f>
        <v/>
      </c>
      <c r="S65" s="7">
        <f>IF($U65="","",IF(INDEX('Per Invoice'!S$2:S$401,$U65)="","",INDEX('Per Invoice'!S$2:S$401,$U65)))</f>
        <v/>
      </c>
      <c r="T65" s="7">
        <f>IF($U65="","",IF(INDEX('Per Invoice'!T$2:T$401,$U65)="","",INDEX('Per Invoice'!T$2:T$401,$U65)))</f>
        <v/>
      </c>
      <c r="U65" s="16">
        <f>IFERROR(MATCH(Settings!$C$27&amp;"|"&amp;ROWS($U$2:$U65),'Per Invoice'!$V$2:$V$401,0),"")</f>
        <v/>
      </c>
    </row>
    <row r="66">
      <c r="A66">
        <f>IF($U66="","",IF(INDEX('Per Invoice'!A$2:A$401,$U66)="","",INDEX('Per Invoice'!A$2:A$401,$U66)))</f>
        <v/>
      </c>
      <c r="B66">
        <f>IF($U66="","",IF(INDEX('Per Invoice'!B$2:B$401,$U66)="","",INDEX('Per Invoice'!B$2:B$401,$U66)))</f>
        <v/>
      </c>
      <c r="C66">
        <f>IF($U66="","",IF(INDEX('Per Invoice'!C$2:C$401,$U66)="","",INDEX('Per Invoice'!C$2:C$401,$U66)))</f>
        <v/>
      </c>
      <c r="D66">
        <f>IF($U66="","",IF(INDEX('Per Invoice'!D$2:D$401,$U66)="","",INDEX('Per Invoice'!D$2:D$401,$U66)))</f>
        <v/>
      </c>
      <c r="E66">
        <f>IF($U66="","",IF(INDEX('Per Invoice'!E$2:E$401,$U66)="","",INDEX('Per Invoice'!E$2:E$401,$U66)))</f>
        <v/>
      </c>
      <c r="F66">
        <f>IF($U66="","",IF(INDEX('Per Invoice'!F$2:F$401,$U66)="","",INDEX('Per Invoice'!F$2:F$401,$U66)))</f>
        <v/>
      </c>
      <c r="G66">
        <f>IF($U66="","",IF(INDEX('Per Invoice'!G$2:G$401,$U66)="","",INDEX('Per Invoice'!G$2:G$401,$U66)))</f>
        <v/>
      </c>
      <c r="H66" s="7">
        <f>IF($U66="","",IF(INDEX('Per Invoice'!H$2:H$401,$U66)="","",INDEX('Per Invoice'!H$2:H$401,$U66)))</f>
        <v/>
      </c>
      <c r="I66" s="14">
        <f>IF($U66="","",IF(INDEX('Per Invoice'!I$2:I$401,$U66)="","",INDEX('Per Invoice'!I$2:I$401,$U66)))</f>
        <v/>
      </c>
      <c r="J66">
        <f>IF($U66="","",IF(INDEX('Per Invoice'!J$2:J$401,$U66)="","",INDEX('Per Invoice'!J$2:J$401,$U66)))</f>
        <v/>
      </c>
      <c r="K66">
        <f>IF($U66="","",IF(INDEX('Per Invoice'!K$2:K$401,$U66)="","",INDEX('Per Invoice'!K$2:K$401,$U66)))</f>
        <v/>
      </c>
      <c r="L66" s="7">
        <f>IF($U66="","",IF(INDEX('Per Invoice'!L$2:L$401,$U66)="","",INDEX('Per Invoice'!L$2:L$401,$U66)))</f>
        <v/>
      </c>
      <c r="M66" s="7">
        <f>IF($U66="","",IF(INDEX('Per Invoice'!M$2:M$401,$U66)="","",INDEX('Per Invoice'!M$2:M$401,$U66)))</f>
        <v/>
      </c>
      <c r="N66">
        <f>IF($U66="","",IF(INDEX('Per Invoice'!N$2:N$401,$U66)="","",INDEX('Per Invoice'!N$2:N$401,$U66)))</f>
        <v/>
      </c>
      <c r="O66" s="7">
        <f>IF($U66="","",IF(INDEX('Per Invoice'!O$2:O$401,$U66)="","",INDEX('Per Invoice'!O$2:O$401,$U66)))</f>
        <v/>
      </c>
      <c r="P66" s="7">
        <f>IF($U66="","",IF(INDEX('Per Invoice'!P$2:P$401,$U66)="","",INDEX('Per Invoice'!P$2:P$401,$U66)))</f>
        <v/>
      </c>
      <c r="Q66" s="7">
        <f>IF($U66="","",IF(INDEX('Per Invoice'!Q$2:Q$401,$U66)="","",INDEX('Per Invoice'!Q$2:Q$401,$U66)))</f>
        <v/>
      </c>
      <c r="R66" s="7">
        <f>IF($U66="","",IF(INDEX('Per Invoice'!R$2:R$401,$U66)="","",INDEX('Per Invoice'!R$2:R$401,$U66)))</f>
        <v/>
      </c>
      <c r="S66" s="7">
        <f>IF($U66="","",IF(INDEX('Per Invoice'!S$2:S$401,$U66)="","",INDEX('Per Invoice'!S$2:S$401,$U66)))</f>
        <v/>
      </c>
      <c r="T66" s="7">
        <f>IF($U66="","",IF(INDEX('Per Invoice'!T$2:T$401,$U66)="","",INDEX('Per Invoice'!T$2:T$401,$U66)))</f>
        <v/>
      </c>
      <c r="U66" s="16">
        <f>IFERROR(MATCH(Settings!$C$27&amp;"|"&amp;ROWS($U$2:$U66),'Per Invoice'!$V$2:$V$401,0),"")</f>
        <v/>
      </c>
    </row>
    <row r="67">
      <c r="A67">
        <f>IF($U67="","",IF(INDEX('Per Invoice'!A$2:A$401,$U67)="","",INDEX('Per Invoice'!A$2:A$401,$U67)))</f>
        <v/>
      </c>
      <c r="B67">
        <f>IF($U67="","",IF(INDEX('Per Invoice'!B$2:B$401,$U67)="","",INDEX('Per Invoice'!B$2:B$401,$U67)))</f>
        <v/>
      </c>
      <c r="C67">
        <f>IF($U67="","",IF(INDEX('Per Invoice'!C$2:C$401,$U67)="","",INDEX('Per Invoice'!C$2:C$401,$U67)))</f>
        <v/>
      </c>
      <c r="D67">
        <f>IF($U67="","",IF(INDEX('Per Invoice'!D$2:D$401,$U67)="","",INDEX('Per Invoice'!D$2:D$401,$U67)))</f>
        <v/>
      </c>
      <c r="E67">
        <f>IF($U67="","",IF(INDEX('Per Invoice'!E$2:E$401,$U67)="","",INDEX('Per Invoice'!E$2:E$401,$U67)))</f>
        <v/>
      </c>
      <c r="F67">
        <f>IF($U67="","",IF(INDEX('Per Invoice'!F$2:F$401,$U67)="","",INDEX('Per Invoice'!F$2:F$401,$U67)))</f>
        <v/>
      </c>
      <c r="G67">
        <f>IF($U67="","",IF(INDEX('Per Invoice'!G$2:G$401,$U67)="","",INDEX('Per Invoice'!G$2:G$401,$U67)))</f>
        <v/>
      </c>
      <c r="H67" s="7">
        <f>IF($U67="","",IF(INDEX('Per Invoice'!H$2:H$401,$U67)="","",INDEX('Per Invoice'!H$2:H$401,$U67)))</f>
        <v/>
      </c>
      <c r="I67" s="14">
        <f>IF($U67="","",IF(INDEX('Per Invoice'!I$2:I$401,$U67)="","",INDEX('Per Invoice'!I$2:I$401,$U67)))</f>
        <v/>
      </c>
      <c r="J67">
        <f>IF($U67="","",IF(INDEX('Per Invoice'!J$2:J$401,$U67)="","",INDEX('Per Invoice'!J$2:J$401,$U67)))</f>
        <v/>
      </c>
      <c r="K67">
        <f>IF($U67="","",IF(INDEX('Per Invoice'!K$2:K$401,$U67)="","",INDEX('Per Invoice'!K$2:K$401,$U67)))</f>
        <v/>
      </c>
      <c r="L67" s="7">
        <f>IF($U67="","",IF(INDEX('Per Invoice'!L$2:L$401,$U67)="","",INDEX('Per Invoice'!L$2:L$401,$U67)))</f>
        <v/>
      </c>
      <c r="M67" s="7">
        <f>IF($U67="","",IF(INDEX('Per Invoice'!M$2:M$401,$U67)="","",INDEX('Per Invoice'!M$2:M$401,$U67)))</f>
        <v/>
      </c>
      <c r="N67">
        <f>IF($U67="","",IF(INDEX('Per Invoice'!N$2:N$401,$U67)="","",INDEX('Per Invoice'!N$2:N$401,$U67)))</f>
        <v/>
      </c>
      <c r="O67" s="7">
        <f>IF($U67="","",IF(INDEX('Per Invoice'!O$2:O$401,$U67)="","",INDEX('Per Invoice'!O$2:O$401,$U67)))</f>
        <v/>
      </c>
      <c r="P67" s="7">
        <f>IF($U67="","",IF(INDEX('Per Invoice'!P$2:P$401,$U67)="","",INDEX('Per Invoice'!P$2:P$401,$U67)))</f>
        <v/>
      </c>
      <c r="Q67" s="7">
        <f>IF($U67="","",IF(INDEX('Per Invoice'!Q$2:Q$401,$U67)="","",INDEX('Per Invoice'!Q$2:Q$401,$U67)))</f>
        <v/>
      </c>
      <c r="R67" s="7">
        <f>IF($U67="","",IF(INDEX('Per Invoice'!R$2:R$401,$U67)="","",INDEX('Per Invoice'!R$2:R$401,$U67)))</f>
        <v/>
      </c>
      <c r="S67" s="7">
        <f>IF($U67="","",IF(INDEX('Per Invoice'!S$2:S$401,$U67)="","",INDEX('Per Invoice'!S$2:S$401,$U67)))</f>
        <v/>
      </c>
      <c r="T67" s="7">
        <f>IF($U67="","",IF(INDEX('Per Invoice'!T$2:T$401,$U67)="","",INDEX('Per Invoice'!T$2:T$401,$U67)))</f>
        <v/>
      </c>
      <c r="U67" s="16">
        <f>IFERROR(MATCH(Settings!$C$27&amp;"|"&amp;ROWS($U$2:$U67),'Per Invoice'!$V$2:$V$401,0),"")</f>
        <v/>
      </c>
    </row>
    <row r="68">
      <c r="A68">
        <f>IF($U68="","",IF(INDEX('Per Invoice'!A$2:A$401,$U68)="","",INDEX('Per Invoice'!A$2:A$401,$U68)))</f>
        <v/>
      </c>
      <c r="B68">
        <f>IF($U68="","",IF(INDEX('Per Invoice'!B$2:B$401,$U68)="","",INDEX('Per Invoice'!B$2:B$401,$U68)))</f>
        <v/>
      </c>
      <c r="C68">
        <f>IF($U68="","",IF(INDEX('Per Invoice'!C$2:C$401,$U68)="","",INDEX('Per Invoice'!C$2:C$401,$U68)))</f>
        <v/>
      </c>
      <c r="D68">
        <f>IF($U68="","",IF(INDEX('Per Invoice'!D$2:D$401,$U68)="","",INDEX('Per Invoice'!D$2:D$401,$U68)))</f>
        <v/>
      </c>
      <c r="E68">
        <f>IF($U68="","",IF(INDEX('Per Invoice'!E$2:E$401,$U68)="","",INDEX('Per Invoice'!E$2:E$401,$U68)))</f>
        <v/>
      </c>
      <c r="F68">
        <f>IF($U68="","",IF(INDEX('Per Invoice'!F$2:F$401,$U68)="","",INDEX('Per Invoice'!F$2:F$401,$U68)))</f>
        <v/>
      </c>
      <c r="G68">
        <f>IF($U68="","",IF(INDEX('Per Invoice'!G$2:G$401,$U68)="","",INDEX('Per Invoice'!G$2:G$401,$U68)))</f>
        <v/>
      </c>
      <c r="H68" s="7">
        <f>IF($U68="","",IF(INDEX('Per Invoice'!H$2:H$401,$U68)="","",INDEX('Per Invoice'!H$2:H$401,$U68)))</f>
        <v/>
      </c>
      <c r="I68" s="14">
        <f>IF($U68="","",IF(INDEX('Per Invoice'!I$2:I$401,$U68)="","",INDEX('Per Invoice'!I$2:I$401,$U68)))</f>
        <v/>
      </c>
      <c r="J68">
        <f>IF($U68="","",IF(INDEX('Per Invoice'!J$2:J$401,$U68)="","",INDEX('Per Invoice'!J$2:J$401,$U68)))</f>
        <v/>
      </c>
      <c r="K68">
        <f>IF($U68="","",IF(INDEX('Per Invoice'!K$2:K$401,$U68)="","",INDEX('Per Invoice'!K$2:K$401,$U68)))</f>
        <v/>
      </c>
      <c r="L68" s="7">
        <f>IF($U68="","",IF(INDEX('Per Invoice'!L$2:L$401,$U68)="","",INDEX('Per Invoice'!L$2:L$401,$U68)))</f>
        <v/>
      </c>
      <c r="M68" s="7">
        <f>IF($U68="","",IF(INDEX('Per Invoice'!M$2:M$401,$U68)="","",INDEX('Per Invoice'!M$2:M$401,$U68)))</f>
        <v/>
      </c>
      <c r="N68">
        <f>IF($U68="","",IF(INDEX('Per Invoice'!N$2:N$401,$U68)="","",INDEX('Per Invoice'!N$2:N$401,$U68)))</f>
        <v/>
      </c>
      <c r="O68" s="7">
        <f>IF($U68="","",IF(INDEX('Per Invoice'!O$2:O$401,$U68)="","",INDEX('Per Invoice'!O$2:O$401,$U68)))</f>
        <v/>
      </c>
      <c r="P68" s="7">
        <f>IF($U68="","",IF(INDEX('Per Invoice'!P$2:P$401,$U68)="","",INDEX('Per Invoice'!P$2:P$401,$U68)))</f>
        <v/>
      </c>
      <c r="Q68" s="7">
        <f>IF($U68="","",IF(INDEX('Per Invoice'!Q$2:Q$401,$U68)="","",INDEX('Per Invoice'!Q$2:Q$401,$U68)))</f>
        <v/>
      </c>
      <c r="R68" s="7">
        <f>IF($U68="","",IF(INDEX('Per Invoice'!R$2:R$401,$U68)="","",INDEX('Per Invoice'!R$2:R$401,$U68)))</f>
        <v/>
      </c>
      <c r="S68" s="7">
        <f>IF($U68="","",IF(INDEX('Per Invoice'!S$2:S$401,$U68)="","",INDEX('Per Invoice'!S$2:S$401,$U68)))</f>
        <v/>
      </c>
      <c r="T68" s="7">
        <f>IF($U68="","",IF(INDEX('Per Invoice'!T$2:T$401,$U68)="","",INDEX('Per Invoice'!T$2:T$401,$U68)))</f>
        <v/>
      </c>
      <c r="U68" s="16">
        <f>IFERROR(MATCH(Settings!$C$27&amp;"|"&amp;ROWS($U$2:$U68),'Per Invoice'!$V$2:$V$401,0),"")</f>
        <v/>
      </c>
    </row>
    <row r="69">
      <c r="A69">
        <f>IF($U69="","",IF(INDEX('Per Invoice'!A$2:A$401,$U69)="","",INDEX('Per Invoice'!A$2:A$401,$U69)))</f>
        <v/>
      </c>
      <c r="B69">
        <f>IF($U69="","",IF(INDEX('Per Invoice'!B$2:B$401,$U69)="","",INDEX('Per Invoice'!B$2:B$401,$U69)))</f>
        <v/>
      </c>
      <c r="C69">
        <f>IF($U69="","",IF(INDEX('Per Invoice'!C$2:C$401,$U69)="","",INDEX('Per Invoice'!C$2:C$401,$U69)))</f>
        <v/>
      </c>
      <c r="D69">
        <f>IF($U69="","",IF(INDEX('Per Invoice'!D$2:D$401,$U69)="","",INDEX('Per Invoice'!D$2:D$401,$U69)))</f>
        <v/>
      </c>
      <c r="E69">
        <f>IF($U69="","",IF(INDEX('Per Invoice'!E$2:E$401,$U69)="","",INDEX('Per Invoice'!E$2:E$401,$U69)))</f>
        <v/>
      </c>
      <c r="F69">
        <f>IF($U69="","",IF(INDEX('Per Invoice'!F$2:F$401,$U69)="","",INDEX('Per Invoice'!F$2:F$401,$U69)))</f>
        <v/>
      </c>
      <c r="G69">
        <f>IF($U69="","",IF(INDEX('Per Invoice'!G$2:G$401,$U69)="","",INDEX('Per Invoice'!G$2:G$401,$U69)))</f>
        <v/>
      </c>
      <c r="H69" s="7">
        <f>IF($U69="","",IF(INDEX('Per Invoice'!H$2:H$401,$U69)="","",INDEX('Per Invoice'!H$2:H$401,$U69)))</f>
        <v/>
      </c>
      <c r="I69" s="14">
        <f>IF($U69="","",IF(INDEX('Per Invoice'!I$2:I$401,$U69)="","",INDEX('Per Invoice'!I$2:I$401,$U69)))</f>
        <v/>
      </c>
      <c r="J69">
        <f>IF($U69="","",IF(INDEX('Per Invoice'!J$2:J$401,$U69)="","",INDEX('Per Invoice'!J$2:J$401,$U69)))</f>
        <v/>
      </c>
      <c r="K69">
        <f>IF($U69="","",IF(INDEX('Per Invoice'!K$2:K$401,$U69)="","",INDEX('Per Invoice'!K$2:K$401,$U69)))</f>
        <v/>
      </c>
      <c r="L69" s="7">
        <f>IF($U69="","",IF(INDEX('Per Invoice'!L$2:L$401,$U69)="","",INDEX('Per Invoice'!L$2:L$401,$U69)))</f>
        <v/>
      </c>
      <c r="M69" s="7">
        <f>IF($U69="","",IF(INDEX('Per Invoice'!M$2:M$401,$U69)="","",INDEX('Per Invoice'!M$2:M$401,$U69)))</f>
        <v/>
      </c>
      <c r="N69">
        <f>IF($U69="","",IF(INDEX('Per Invoice'!N$2:N$401,$U69)="","",INDEX('Per Invoice'!N$2:N$401,$U69)))</f>
        <v/>
      </c>
      <c r="O69" s="7">
        <f>IF($U69="","",IF(INDEX('Per Invoice'!O$2:O$401,$U69)="","",INDEX('Per Invoice'!O$2:O$401,$U69)))</f>
        <v/>
      </c>
      <c r="P69" s="7">
        <f>IF($U69="","",IF(INDEX('Per Invoice'!P$2:P$401,$U69)="","",INDEX('Per Invoice'!P$2:P$401,$U69)))</f>
        <v/>
      </c>
      <c r="Q69" s="7">
        <f>IF($U69="","",IF(INDEX('Per Invoice'!Q$2:Q$401,$U69)="","",INDEX('Per Invoice'!Q$2:Q$401,$U69)))</f>
        <v/>
      </c>
      <c r="R69" s="7">
        <f>IF($U69="","",IF(INDEX('Per Invoice'!R$2:R$401,$U69)="","",INDEX('Per Invoice'!R$2:R$401,$U69)))</f>
        <v/>
      </c>
      <c r="S69" s="7">
        <f>IF($U69="","",IF(INDEX('Per Invoice'!S$2:S$401,$U69)="","",INDEX('Per Invoice'!S$2:S$401,$U69)))</f>
        <v/>
      </c>
      <c r="T69" s="7">
        <f>IF($U69="","",IF(INDEX('Per Invoice'!T$2:T$401,$U69)="","",INDEX('Per Invoice'!T$2:T$401,$U69)))</f>
        <v/>
      </c>
      <c r="U69" s="16">
        <f>IFERROR(MATCH(Settings!$C$27&amp;"|"&amp;ROWS($U$2:$U69),'Per Invoice'!$V$2:$V$401,0),"")</f>
        <v/>
      </c>
    </row>
    <row r="70">
      <c r="A70">
        <f>IF($U70="","",IF(INDEX('Per Invoice'!A$2:A$401,$U70)="","",INDEX('Per Invoice'!A$2:A$401,$U70)))</f>
        <v/>
      </c>
      <c r="B70">
        <f>IF($U70="","",IF(INDEX('Per Invoice'!B$2:B$401,$U70)="","",INDEX('Per Invoice'!B$2:B$401,$U70)))</f>
        <v/>
      </c>
      <c r="C70">
        <f>IF($U70="","",IF(INDEX('Per Invoice'!C$2:C$401,$U70)="","",INDEX('Per Invoice'!C$2:C$401,$U70)))</f>
        <v/>
      </c>
      <c r="D70">
        <f>IF($U70="","",IF(INDEX('Per Invoice'!D$2:D$401,$U70)="","",INDEX('Per Invoice'!D$2:D$401,$U70)))</f>
        <v/>
      </c>
      <c r="E70">
        <f>IF($U70="","",IF(INDEX('Per Invoice'!E$2:E$401,$U70)="","",INDEX('Per Invoice'!E$2:E$401,$U70)))</f>
        <v/>
      </c>
      <c r="F70">
        <f>IF($U70="","",IF(INDEX('Per Invoice'!F$2:F$401,$U70)="","",INDEX('Per Invoice'!F$2:F$401,$U70)))</f>
        <v/>
      </c>
      <c r="G70">
        <f>IF($U70="","",IF(INDEX('Per Invoice'!G$2:G$401,$U70)="","",INDEX('Per Invoice'!G$2:G$401,$U70)))</f>
        <v/>
      </c>
      <c r="H70" s="7">
        <f>IF($U70="","",IF(INDEX('Per Invoice'!H$2:H$401,$U70)="","",INDEX('Per Invoice'!H$2:H$401,$U70)))</f>
        <v/>
      </c>
      <c r="I70" s="14">
        <f>IF($U70="","",IF(INDEX('Per Invoice'!I$2:I$401,$U70)="","",INDEX('Per Invoice'!I$2:I$401,$U70)))</f>
        <v/>
      </c>
      <c r="J70">
        <f>IF($U70="","",IF(INDEX('Per Invoice'!J$2:J$401,$U70)="","",INDEX('Per Invoice'!J$2:J$401,$U70)))</f>
        <v/>
      </c>
      <c r="K70">
        <f>IF($U70="","",IF(INDEX('Per Invoice'!K$2:K$401,$U70)="","",INDEX('Per Invoice'!K$2:K$401,$U70)))</f>
        <v/>
      </c>
      <c r="L70" s="7">
        <f>IF($U70="","",IF(INDEX('Per Invoice'!L$2:L$401,$U70)="","",INDEX('Per Invoice'!L$2:L$401,$U70)))</f>
        <v/>
      </c>
      <c r="M70" s="7">
        <f>IF($U70="","",IF(INDEX('Per Invoice'!M$2:M$401,$U70)="","",INDEX('Per Invoice'!M$2:M$401,$U70)))</f>
        <v/>
      </c>
      <c r="N70">
        <f>IF($U70="","",IF(INDEX('Per Invoice'!N$2:N$401,$U70)="","",INDEX('Per Invoice'!N$2:N$401,$U70)))</f>
        <v/>
      </c>
      <c r="O70" s="7">
        <f>IF($U70="","",IF(INDEX('Per Invoice'!O$2:O$401,$U70)="","",INDEX('Per Invoice'!O$2:O$401,$U70)))</f>
        <v/>
      </c>
      <c r="P70" s="7">
        <f>IF($U70="","",IF(INDEX('Per Invoice'!P$2:P$401,$U70)="","",INDEX('Per Invoice'!P$2:P$401,$U70)))</f>
        <v/>
      </c>
      <c r="Q70" s="7">
        <f>IF($U70="","",IF(INDEX('Per Invoice'!Q$2:Q$401,$U70)="","",INDEX('Per Invoice'!Q$2:Q$401,$U70)))</f>
        <v/>
      </c>
      <c r="R70" s="7">
        <f>IF($U70="","",IF(INDEX('Per Invoice'!R$2:R$401,$U70)="","",INDEX('Per Invoice'!R$2:R$401,$U70)))</f>
        <v/>
      </c>
      <c r="S70" s="7">
        <f>IF($U70="","",IF(INDEX('Per Invoice'!S$2:S$401,$U70)="","",INDEX('Per Invoice'!S$2:S$401,$U70)))</f>
        <v/>
      </c>
      <c r="T70" s="7">
        <f>IF($U70="","",IF(INDEX('Per Invoice'!T$2:T$401,$U70)="","",INDEX('Per Invoice'!T$2:T$401,$U70)))</f>
        <v/>
      </c>
      <c r="U70" s="16">
        <f>IFERROR(MATCH(Settings!$C$27&amp;"|"&amp;ROWS($U$2:$U70),'Per Invoice'!$V$2:$V$401,0),"")</f>
        <v/>
      </c>
    </row>
    <row r="71">
      <c r="A71">
        <f>IF($U71="","",IF(INDEX('Per Invoice'!A$2:A$401,$U71)="","",INDEX('Per Invoice'!A$2:A$401,$U71)))</f>
        <v/>
      </c>
      <c r="B71">
        <f>IF($U71="","",IF(INDEX('Per Invoice'!B$2:B$401,$U71)="","",INDEX('Per Invoice'!B$2:B$401,$U71)))</f>
        <v/>
      </c>
      <c r="C71">
        <f>IF($U71="","",IF(INDEX('Per Invoice'!C$2:C$401,$U71)="","",INDEX('Per Invoice'!C$2:C$401,$U71)))</f>
        <v/>
      </c>
      <c r="D71">
        <f>IF($U71="","",IF(INDEX('Per Invoice'!D$2:D$401,$U71)="","",INDEX('Per Invoice'!D$2:D$401,$U71)))</f>
        <v/>
      </c>
      <c r="E71">
        <f>IF($U71="","",IF(INDEX('Per Invoice'!E$2:E$401,$U71)="","",INDEX('Per Invoice'!E$2:E$401,$U71)))</f>
        <v/>
      </c>
      <c r="F71">
        <f>IF($U71="","",IF(INDEX('Per Invoice'!F$2:F$401,$U71)="","",INDEX('Per Invoice'!F$2:F$401,$U71)))</f>
        <v/>
      </c>
      <c r="G71">
        <f>IF($U71="","",IF(INDEX('Per Invoice'!G$2:G$401,$U71)="","",INDEX('Per Invoice'!G$2:G$401,$U71)))</f>
        <v/>
      </c>
      <c r="H71" s="7">
        <f>IF($U71="","",IF(INDEX('Per Invoice'!H$2:H$401,$U71)="","",INDEX('Per Invoice'!H$2:H$401,$U71)))</f>
        <v/>
      </c>
      <c r="I71" s="14">
        <f>IF($U71="","",IF(INDEX('Per Invoice'!I$2:I$401,$U71)="","",INDEX('Per Invoice'!I$2:I$401,$U71)))</f>
        <v/>
      </c>
      <c r="J71">
        <f>IF($U71="","",IF(INDEX('Per Invoice'!J$2:J$401,$U71)="","",INDEX('Per Invoice'!J$2:J$401,$U71)))</f>
        <v/>
      </c>
      <c r="K71">
        <f>IF($U71="","",IF(INDEX('Per Invoice'!K$2:K$401,$U71)="","",INDEX('Per Invoice'!K$2:K$401,$U71)))</f>
        <v/>
      </c>
      <c r="L71" s="7">
        <f>IF($U71="","",IF(INDEX('Per Invoice'!L$2:L$401,$U71)="","",INDEX('Per Invoice'!L$2:L$401,$U71)))</f>
        <v/>
      </c>
      <c r="M71" s="7">
        <f>IF($U71="","",IF(INDEX('Per Invoice'!M$2:M$401,$U71)="","",INDEX('Per Invoice'!M$2:M$401,$U71)))</f>
        <v/>
      </c>
      <c r="N71">
        <f>IF($U71="","",IF(INDEX('Per Invoice'!N$2:N$401,$U71)="","",INDEX('Per Invoice'!N$2:N$401,$U71)))</f>
        <v/>
      </c>
      <c r="O71" s="7">
        <f>IF($U71="","",IF(INDEX('Per Invoice'!O$2:O$401,$U71)="","",INDEX('Per Invoice'!O$2:O$401,$U71)))</f>
        <v/>
      </c>
      <c r="P71" s="7">
        <f>IF($U71="","",IF(INDEX('Per Invoice'!P$2:P$401,$U71)="","",INDEX('Per Invoice'!P$2:P$401,$U71)))</f>
        <v/>
      </c>
      <c r="Q71" s="7">
        <f>IF($U71="","",IF(INDEX('Per Invoice'!Q$2:Q$401,$U71)="","",INDEX('Per Invoice'!Q$2:Q$401,$U71)))</f>
        <v/>
      </c>
      <c r="R71" s="7">
        <f>IF($U71="","",IF(INDEX('Per Invoice'!R$2:R$401,$U71)="","",INDEX('Per Invoice'!R$2:R$401,$U71)))</f>
        <v/>
      </c>
      <c r="S71" s="7">
        <f>IF($U71="","",IF(INDEX('Per Invoice'!S$2:S$401,$U71)="","",INDEX('Per Invoice'!S$2:S$401,$U71)))</f>
        <v/>
      </c>
      <c r="T71" s="7">
        <f>IF($U71="","",IF(INDEX('Per Invoice'!T$2:T$401,$U71)="","",INDEX('Per Invoice'!T$2:T$401,$U71)))</f>
        <v/>
      </c>
      <c r="U71" s="16">
        <f>IFERROR(MATCH(Settings!$C$27&amp;"|"&amp;ROWS($U$2:$U71),'Per Invoice'!$V$2:$V$401,0),"")</f>
        <v/>
      </c>
    </row>
    <row r="72">
      <c r="A72">
        <f>IF($U72="","",IF(INDEX('Per Invoice'!A$2:A$401,$U72)="","",INDEX('Per Invoice'!A$2:A$401,$U72)))</f>
        <v/>
      </c>
      <c r="B72">
        <f>IF($U72="","",IF(INDEX('Per Invoice'!B$2:B$401,$U72)="","",INDEX('Per Invoice'!B$2:B$401,$U72)))</f>
        <v/>
      </c>
      <c r="C72">
        <f>IF($U72="","",IF(INDEX('Per Invoice'!C$2:C$401,$U72)="","",INDEX('Per Invoice'!C$2:C$401,$U72)))</f>
        <v/>
      </c>
      <c r="D72">
        <f>IF($U72="","",IF(INDEX('Per Invoice'!D$2:D$401,$U72)="","",INDEX('Per Invoice'!D$2:D$401,$U72)))</f>
        <v/>
      </c>
      <c r="E72">
        <f>IF($U72="","",IF(INDEX('Per Invoice'!E$2:E$401,$U72)="","",INDEX('Per Invoice'!E$2:E$401,$U72)))</f>
        <v/>
      </c>
      <c r="F72">
        <f>IF($U72="","",IF(INDEX('Per Invoice'!F$2:F$401,$U72)="","",INDEX('Per Invoice'!F$2:F$401,$U72)))</f>
        <v/>
      </c>
      <c r="G72">
        <f>IF($U72="","",IF(INDEX('Per Invoice'!G$2:G$401,$U72)="","",INDEX('Per Invoice'!G$2:G$401,$U72)))</f>
        <v/>
      </c>
      <c r="H72" s="7">
        <f>IF($U72="","",IF(INDEX('Per Invoice'!H$2:H$401,$U72)="","",INDEX('Per Invoice'!H$2:H$401,$U72)))</f>
        <v/>
      </c>
      <c r="I72" s="14">
        <f>IF($U72="","",IF(INDEX('Per Invoice'!I$2:I$401,$U72)="","",INDEX('Per Invoice'!I$2:I$401,$U72)))</f>
        <v/>
      </c>
      <c r="J72">
        <f>IF($U72="","",IF(INDEX('Per Invoice'!J$2:J$401,$U72)="","",INDEX('Per Invoice'!J$2:J$401,$U72)))</f>
        <v/>
      </c>
      <c r="K72">
        <f>IF($U72="","",IF(INDEX('Per Invoice'!K$2:K$401,$U72)="","",INDEX('Per Invoice'!K$2:K$401,$U72)))</f>
        <v/>
      </c>
      <c r="L72" s="7">
        <f>IF($U72="","",IF(INDEX('Per Invoice'!L$2:L$401,$U72)="","",INDEX('Per Invoice'!L$2:L$401,$U72)))</f>
        <v/>
      </c>
      <c r="M72" s="7">
        <f>IF($U72="","",IF(INDEX('Per Invoice'!M$2:M$401,$U72)="","",INDEX('Per Invoice'!M$2:M$401,$U72)))</f>
        <v/>
      </c>
      <c r="N72">
        <f>IF($U72="","",IF(INDEX('Per Invoice'!N$2:N$401,$U72)="","",INDEX('Per Invoice'!N$2:N$401,$U72)))</f>
        <v/>
      </c>
      <c r="O72" s="7">
        <f>IF($U72="","",IF(INDEX('Per Invoice'!O$2:O$401,$U72)="","",INDEX('Per Invoice'!O$2:O$401,$U72)))</f>
        <v/>
      </c>
      <c r="P72" s="7">
        <f>IF($U72="","",IF(INDEX('Per Invoice'!P$2:P$401,$U72)="","",INDEX('Per Invoice'!P$2:P$401,$U72)))</f>
        <v/>
      </c>
      <c r="Q72" s="7">
        <f>IF($U72="","",IF(INDEX('Per Invoice'!Q$2:Q$401,$U72)="","",INDEX('Per Invoice'!Q$2:Q$401,$U72)))</f>
        <v/>
      </c>
      <c r="R72" s="7">
        <f>IF($U72="","",IF(INDEX('Per Invoice'!R$2:R$401,$U72)="","",INDEX('Per Invoice'!R$2:R$401,$U72)))</f>
        <v/>
      </c>
      <c r="S72" s="7">
        <f>IF($U72="","",IF(INDEX('Per Invoice'!S$2:S$401,$U72)="","",INDEX('Per Invoice'!S$2:S$401,$U72)))</f>
        <v/>
      </c>
      <c r="T72" s="7">
        <f>IF($U72="","",IF(INDEX('Per Invoice'!T$2:T$401,$U72)="","",INDEX('Per Invoice'!T$2:T$401,$U72)))</f>
        <v/>
      </c>
      <c r="U72" s="16">
        <f>IFERROR(MATCH(Settings!$C$27&amp;"|"&amp;ROWS($U$2:$U72),'Per Invoice'!$V$2:$V$401,0),"")</f>
        <v/>
      </c>
    </row>
    <row r="73">
      <c r="A73">
        <f>IF($U73="","",IF(INDEX('Per Invoice'!A$2:A$401,$U73)="","",INDEX('Per Invoice'!A$2:A$401,$U73)))</f>
        <v/>
      </c>
      <c r="B73">
        <f>IF($U73="","",IF(INDEX('Per Invoice'!B$2:B$401,$U73)="","",INDEX('Per Invoice'!B$2:B$401,$U73)))</f>
        <v/>
      </c>
      <c r="C73">
        <f>IF($U73="","",IF(INDEX('Per Invoice'!C$2:C$401,$U73)="","",INDEX('Per Invoice'!C$2:C$401,$U73)))</f>
        <v/>
      </c>
      <c r="D73">
        <f>IF($U73="","",IF(INDEX('Per Invoice'!D$2:D$401,$U73)="","",INDEX('Per Invoice'!D$2:D$401,$U73)))</f>
        <v/>
      </c>
      <c r="E73">
        <f>IF($U73="","",IF(INDEX('Per Invoice'!E$2:E$401,$U73)="","",INDEX('Per Invoice'!E$2:E$401,$U73)))</f>
        <v/>
      </c>
      <c r="F73">
        <f>IF($U73="","",IF(INDEX('Per Invoice'!F$2:F$401,$U73)="","",INDEX('Per Invoice'!F$2:F$401,$U73)))</f>
        <v/>
      </c>
      <c r="G73">
        <f>IF($U73="","",IF(INDEX('Per Invoice'!G$2:G$401,$U73)="","",INDEX('Per Invoice'!G$2:G$401,$U73)))</f>
        <v/>
      </c>
      <c r="H73" s="7">
        <f>IF($U73="","",IF(INDEX('Per Invoice'!H$2:H$401,$U73)="","",INDEX('Per Invoice'!H$2:H$401,$U73)))</f>
        <v/>
      </c>
      <c r="I73" s="14">
        <f>IF($U73="","",IF(INDEX('Per Invoice'!I$2:I$401,$U73)="","",INDEX('Per Invoice'!I$2:I$401,$U73)))</f>
        <v/>
      </c>
      <c r="J73">
        <f>IF($U73="","",IF(INDEX('Per Invoice'!J$2:J$401,$U73)="","",INDEX('Per Invoice'!J$2:J$401,$U73)))</f>
        <v/>
      </c>
      <c r="K73">
        <f>IF($U73="","",IF(INDEX('Per Invoice'!K$2:K$401,$U73)="","",INDEX('Per Invoice'!K$2:K$401,$U73)))</f>
        <v/>
      </c>
      <c r="L73" s="7">
        <f>IF($U73="","",IF(INDEX('Per Invoice'!L$2:L$401,$U73)="","",INDEX('Per Invoice'!L$2:L$401,$U73)))</f>
        <v/>
      </c>
      <c r="M73" s="7">
        <f>IF($U73="","",IF(INDEX('Per Invoice'!M$2:M$401,$U73)="","",INDEX('Per Invoice'!M$2:M$401,$U73)))</f>
        <v/>
      </c>
      <c r="N73">
        <f>IF($U73="","",IF(INDEX('Per Invoice'!N$2:N$401,$U73)="","",INDEX('Per Invoice'!N$2:N$401,$U73)))</f>
        <v/>
      </c>
      <c r="O73" s="7">
        <f>IF($U73="","",IF(INDEX('Per Invoice'!O$2:O$401,$U73)="","",INDEX('Per Invoice'!O$2:O$401,$U73)))</f>
        <v/>
      </c>
      <c r="P73" s="7">
        <f>IF($U73="","",IF(INDEX('Per Invoice'!P$2:P$401,$U73)="","",INDEX('Per Invoice'!P$2:P$401,$U73)))</f>
        <v/>
      </c>
      <c r="Q73" s="7">
        <f>IF($U73="","",IF(INDEX('Per Invoice'!Q$2:Q$401,$U73)="","",INDEX('Per Invoice'!Q$2:Q$401,$U73)))</f>
        <v/>
      </c>
      <c r="R73" s="7">
        <f>IF($U73="","",IF(INDEX('Per Invoice'!R$2:R$401,$U73)="","",INDEX('Per Invoice'!R$2:R$401,$U73)))</f>
        <v/>
      </c>
      <c r="S73" s="7">
        <f>IF($U73="","",IF(INDEX('Per Invoice'!S$2:S$401,$U73)="","",INDEX('Per Invoice'!S$2:S$401,$U73)))</f>
        <v/>
      </c>
      <c r="T73" s="7">
        <f>IF($U73="","",IF(INDEX('Per Invoice'!T$2:T$401,$U73)="","",INDEX('Per Invoice'!T$2:T$401,$U73)))</f>
        <v/>
      </c>
      <c r="U73" s="16">
        <f>IFERROR(MATCH(Settings!$C$27&amp;"|"&amp;ROWS($U$2:$U73),'Per Invoice'!$V$2:$V$401,0),"")</f>
        <v/>
      </c>
    </row>
    <row r="74">
      <c r="A74">
        <f>IF($U74="","",IF(INDEX('Per Invoice'!A$2:A$401,$U74)="","",INDEX('Per Invoice'!A$2:A$401,$U74)))</f>
        <v/>
      </c>
      <c r="B74">
        <f>IF($U74="","",IF(INDEX('Per Invoice'!B$2:B$401,$U74)="","",INDEX('Per Invoice'!B$2:B$401,$U74)))</f>
        <v/>
      </c>
      <c r="C74">
        <f>IF($U74="","",IF(INDEX('Per Invoice'!C$2:C$401,$U74)="","",INDEX('Per Invoice'!C$2:C$401,$U74)))</f>
        <v/>
      </c>
      <c r="D74">
        <f>IF($U74="","",IF(INDEX('Per Invoice'!D$2:D$401,$U74)="","",INDEX('Per Invoice'!D$2:D$401,$U74)))</f>
        <v/>
      </c>
      <c r="E74">
        <f>IF($U74="","",IF(INDEX('Per Invoice'!E$2:E$401,$U74)="","",INDEX('Per Invoice'!E$2:E$401,$U74)))</f>
        <v/>
      </c>
      <c r="F74">
        <f>IF($U74="","",IF(INDEX('Per Invoice'!F$2:F$401,$U74)="","",INDEX('Per Invoice'!F$2:F$401,$U74)))</f>
        <v/>
      </c>
      <c r="G74">
        <f>IF($U74="","",IF(INDEX('Per Invoice'!G$2:G$401,$U74)="","",INDEX('Per Invoice'!G$2:G$401,$U74)))</f>
        <v/>
      </c>
      <c r="H74" s="7">
        <f>IF($U74="","",IF(INDEX('Per Invoice'!H$2:H$401,$U74)="","",INDEX('Per Invoice'!H$2:H$401,$U74)))</f>
        <v/>
      </c>
      <c r="I74" s="14">
        <f>IF($U74="","",IF(INDEX('Per Invoice'!I$2:I$401,$U74)="","",INDEX('Per Invoice'!I$2:I$401,$U74)))</f>
        <v/>
      </c>
      <c r="J74">
        <f>IF($U74="","",IF(INDEX('Per Invoice'!J$2:J$401,$U74)="","",INDEX('Per Invoice'!J$2:J$401,$U74)))</f>
        <v/>
      </c>
      <c r="K74">
        <f>IF($U74="","",IF(INDEX('Per Invoice'!K$2:K$401,$U74)="","",INDEX('Per Invoice'!K$2:K$401,$U74)))</f>
        <v/>
      </c>
      <c r="L74" s="7">
        <f>IF($U74="","",IF(INDEX('Per Invoice'!L$2:L$401,$U74)="","",INDEX('Per Invoice'!L$2:L$401,$U74)))</f>
        <v/>
      </c>
      <c r="M74" s="7">
        <f>IF($U74="","",IF(INDEX('Per Invoice'!M$2:M$401,$U74)="","",INDEX('Per Invoice'!M$2:M$401,$U74)))</f>
        <v/>
      </c>
      <c r="N74">
        <f>IF($U74="","",IF(INDEX('Per Invoice'!N$2:N$401,$U74)="","",INDEX('Per Invoice'!N$2:N$401,$U74)))</f>
        <v/>
      </c>
      <c r="O74" s="7">
        <f>IF($U74="","",IF(INDEX('Per Invoice'!O$2:O$401,$U74)="","",INDEX('Per Invoice'!O$2:O$401,$U74)))</f>
        <v/>
      </c>
      <c r="P74" s="7">
        <f>IF($U74="","",IF(INDEX('Per Invoice'!P$2:P$401,$U74)="","",INDEX('Per Invoice'!P$2:P$401,$U74)))</f>
        <v/>
      </c>
      <c r="Q74" s="7">
        <f>IF($U74="","",IF(INDEX('Per Invoice'!Q$2:Q$401,$U74)="","",INDEX('Per Invoice'!Q$2:Q$401,$U74)))</f>
        <v/>
      </c>
      <c r="R74" s="7">
        <f>IF($U74="","",IF(INDEX('Per Invoice'!R$2:R$401,$U74)="","",INDEX('Per Invoice'!R$2:R$401,$U74)))</f>
        <v/>
      </c>
      <c r="S74" s="7">
        <f>IF($U74="","",IF(INDEX('Per Invoice'!S$2:S$401,$U74)="","",INDEX('Per Invoice'!S$2:S$401,$U74)))</f>
        <v/>
      </c>
      <c r="T74" s="7">
        <f>IF($U74="","",IF(INDEX('Per Invoice'!T$2:T$401,$U74)="","",INDEX('Per Invoice'!T$2:T$401,$U74)))</f>
        <v/>
      </c>
      <c r="U74" s="16">
        <f>IFERROR(MATCH(Settings!$C$27&amp;"|"&amp;ROWS($U$2:$U74),'Per Invoice'!$V$2:$V$401,0),"")</f>
        <v/>
      </c>
    </row>
    <row r="75">
      <c r="A75">
        <f>IF($U75="","",IF(INDEX('Per Invoice'!A$2:A$401,$U75)="","",INDEX('Per Invoice'!A$2:A$401,$U75)))</f>
        <v/>
      </c>
      <c r="B75">
        <f>IF($U75="","",IF(INDEX('Per Invoice'!B$2:B$401,$U75)="","",INDEX('Per Invoice'!B$2:B$401,$U75)))</f>
        <v/>
      </c>
      <c r="C75">
        <f>IF($U75="","",IF(INDEX('Per Invoice'!C$2:C$401,$U75)="","",INDEX('Per Invoice'!C$2:C$401,$U75)))</f>
        <v/>
      </c>
      <c r="D75">
        <f>IF($U75="","",IF(INDEX('Per Invoice'!D$2:D$401,$U75)="","",INDEX('Per Invoice'!D$2:D$401,$U75)))</f>
        <v/>
      </c>
      <c r="E75">
        <f>IF($U75="","",IF(INDEX('Per Invoice'!E$2:E$401,$U75)="","",INDEX('Per Invoice'!E$2:E$401,$U75)))</f>
        <v/>
      </c>
      <c r="F75">
        <f>IF($U75="","",IF(INDEX('Per Invoice'!F$2:F$401,$U75)="","",INDEX('Per Invoice'!F$2:F$401,$U75)))</f>
        <v/>
      </c>
      <c r="G75">
        <f>IF($U75="","",IF(INDEX('Per Invoice'!G$2:G$401,$U75)="","",INDEX('Per Invoice'!G$2:G$401,$U75)))</f>
        <v/>
      </c>
      <c r="H75" s="7">
        <f>IF($U75="","",IF(INDEX('Per Invoice'!H$2:H$401,$U75)="","",INDEX('Per Invoice'!H$2:H$401,$U75)))</f>
        <v/>
      </c>
      <c r="I75" s="14">
        <f>IF($U75="","",IF(INDEX('Per Invoice'!I$2:I$401,$U75)="","",INDEX('Per Invoice'!I$2:I$401,$U75)))</f>
        <v/>
      </c>
      <c r="J75">
        <f>IF($U75="","",IF(INDEX('Per Invoice'!J$2:J$401,$U75)="","",INDEX('Per Invoice'!J$2:J$401,$U75)))</f>
        <v/>
      </c>
      <c r="K75">
        <f>IF($U75="","",IF(INDEX('Per Invoice'!K$2:K$401,$U75)="","",INDEX('Per Invoice'!K$2:K$401,$U75)))</f>
        <v/>
      </c>
      <c r="L75" s="7">
        <f>IF($U75="","",IF(INDEX('Per Invoice'!L$2:L$401,$U75)="","",INDEX('Per Invoice'!L$2:L$401,$U75)))</f>
        <v/>
      </c>
      <c r="M75" s="7">
        <f>IF($U75="","",IF(INDEX('Per Invoice'!M$2:M$401,$U75)="","",INDEX('Per Invoice'!M$2:M$401,$U75)))</f>
        <v/>
      </c>
      <c r="N75">
        <f>IF($U75="","",IF(INDEX('Per Invoice'!N$2:N$401,$U75)="","",INDEX('Per Invoice'!N$2:N$401,$U75)))</f>
        <v/>
      </c>
      <c r="O75" s="7">
        <f>IF($U75="","",IF(INDEX('Per Invoice'!O$2:O$401,$U75)="","",INDEX('Per Invoice'!O$2:O$401,$U75)))</f>
        <v/>
      </c>
      <c r="P75" s="7">
        <f>IF($U75="","",IF(INDEX('Per Invoice'!P$2:P$401,$U75)="","",INDEX('Per Invoice'!P$2:P$401,$U75)))</f>
        <v/>
      </c>
      <c r="Q75" s="7">
        <f>IF($U75="","",IF(INDEX('Per Invoice'!Q$2:Q$401,$U75)="","",INDEX('Per Invoice'!Q$2:Q$401,$U75)))</f>
        <v/>
      </c>
      <c r="R75" s="7">
        <f>IF($U75="","",IF(INDEX('Per Invoice'!R$2:R$401,$U75)="","",INDEX('Per Invoice'!R$2:R$401,$U75)))</f>
        <v/>
      </c>
      <c r="S75" s="7">
        <f>IF($U75="","",IF(INDEX('Per Invoice'!S$2:S$401,$U75)="","",INDEX('Per Invoice'!S$2:S$401,$U75)))</f>
        <v/>
      </c>
      <c r="T75" s="7">
        <f>IF($U75="","",IF(INDEX('Per Invoice'!T$2:T$401,$U75)="","",INDEX('Per Invoice'!T$2:T$401,$U75)))</f>
        <v/>
      </c>
      <c r="U75" s="16">
        <f>IFERROR(MATCH(Settings!$C$27&amp;"|"&amp;ROWS($U$2:$U75),'Per Invoice'!$V$2:$V$401,0),"")</f>
        <v/>
      </c>
    </row>
    <row r="76">
      <c r="A76">
        <f>IF($U76="","",IF(INDEX('Per Invoice'!A$2:A$401,$U76)="","",INDEX('Per Invoice'!A$2:A$401,$U76)))</f>
        <v/>
      </c>
      <c r="B76">
        <f>IF($U76="","",IF(INDEX('Per Invoice'!B$2:B$401,$U76)="","",INDEX('Per Invoice'!B$2:B$401,$U76)))</f>
        <v/>
      </c>
      <c r="C76">
        <f>IF($U76="","",IF(INDEX('Per Invoice'!C$2:C$401,$U76)="","",INDEX('Per Invoice'!C$2:C$401,$U76)))</f>
        <v/>
      </c>
      <c r="D76">
        <f>IF($U76="","",IF(INDEX('Per Invoice'!D$2:D$401,$U76)="","",INDEX('Per Invoice'!D$2:D$401,$U76)))</f>
        <v/>
      </c>
      <c r="E76">
        <f>IF($U76="","",IF(INDEX('Per Invoice'!E$2:E$401,$U76)="","",INDEX('Per Invoice'!E$2:E$401,$U76)))</f>
        <v/>
      </c>
      <c r="F76">
        <f>IF($U76="","",IF(INDEX('Per Invoice'!F$2:F$401,$U76)="","",INDEX('Per Invoice'!F$2:F$401,$U76)))</f>
        <v/>
      </c>
      <c r="G76">
        <f>IF($U76="","",IF(INDEX('Per Invoice'!G$2:G$401,$U76)="","",INDEX('Per Invoice'!G$2:G$401,$U76)))</f>
        <v/>
      </c>
      <c r="H76" s="7">
        <f>IF($U76="","",IF(INDEX('Per Invoice'!H$2:H$401,$U76)="","",INDEX('Per Invoice'!H$2:H$401,$U76)))</f>
        <v/>
      </c>
      <c r="I76" s="14">
        <f>IF($U76="","",IF(INDEX('Per Invoice'!I$2:I$401,$U76)="","",INDEX('Per Invoice'!I$2:I$401,$U76)))</f>
        <v/>
      </c>
      <c r="J76">
        <f>IF($U76="","",IF(INDEX('Per Invoice'!J$2:J$401,$U76)="","",INDEX('Per Invoice'!J$2:J$401,$U76)))</f>
        <v/>
      </c>
      <c r="K76">
        <f>IF($U76="","",IF(INDEX('Per Invoice'!K$2:K$401,$U76)="","",INDEX('Per Invoice'!K$2:K$401,$U76)))</f>
        <v/>
      </c>
      <c r="L76" s="7">
        <f>IF($U76="","",IF(INDEX('Per Invoice'!L$2:L$401,$U76)="","",INDEX('Per Invoice'!L$2:L$401,$U76)))</f>
        <v/>
      </c>
      <c r="M76" s="7">
        <f>IF($U76="","",IF(INDEX('Per Invoice'!M$2:M$401,$U76)="","",INDEX('Per Invoice'!M$2:M$401,$U76)))</f>
        <v/>
      </c>
      <c r="N76">
        <f>IF($U76="","",IF(INDEX('Per Invoice'!N$2:N$401,$U76)="","",INDEX('Per Invoice'!N$2:N$401,$U76)))</f>
        <v/>
      </c>
      <c r="O76" s="7">
        <f>IF($U76="","",IF(INDEX('Per Invoice'!O$2:O$401,$U76)="","",INDEX('Per Invoice'!O$2:O$401,$U76)))</f>
        <v/>
      </c>
      <c r="P76" s="7">
        <f>IF($U76="","",IF(INDEX('Per Invoice'!P$2:P$401,$U76)="","",INDEX('Per Invoice'!P$2:P$401,$U76)))</f>
        <v/>
      </c>
      <c r="Q76" s="7">
        <f>IF($U76="","",IF(INDEX('Per Invoice'!Q$2:Q$401,$U76)="","",INDEX('Per Invoice'!Q$2:Q$401,$U76)))</f>
        <v/>
      </c>
      <c r="R76" s="7">
        <f>IF($U76="","",IF(INDEX('Per Invoice'!R$2:R$401,$U76)="","",INDEX('Per Invoice'!R$2:R$401,$U76)))</f>
        <v/>
      </c>
      <c r="S76" s="7">
        <f>IF($U76="","",IF(INDEX('Per Invoice'!S$2:S$401,$U76)="","",INDEX('Per Invoice'!S$2:S$401,$U76)))</f>
        <v/>
      </c>
      <c r="T76" s="7">
        <f>IF($U76="","",IF(INDEX('Per Invoice'!T$2:T$401,$U76)="","",INDEX('Per Invoice'!T$2:T$401,$U76)))</f>
        <v/>
      </c>
      <c r="U76" s="16">
        <f>IFERROR(MATCH(Settings!$C$27&amp;"|"&amp;ROWS($U$2:$U76),'Per Invoice'!$V$2:$V$401,0),"")</f>
        <v/>
      </c>
    </row>
    <row r="77">
      <c r="A77">
        <f>IF($U77="","",IF(INDEX('Per Invoice'!A$2:A$401,$U77)="","",INDEX('Per Invoice'!A$2:A$401,$U77)))</f>
        <v/>
      </c>
      <c r="B77">
        <f>IF($U77="","",IF(INDEX('Per Invoice'!B$2:B$401,$U77)="","",INDEX('Per Invoice'!B$2:B$401,$U77)))</f>
        <v/>
      </c>
      <c r="C77">
        <f>IF($U77="","",IF(INDEX('Per Invoice'!C$2:C$401,$U77)="","",INDEX('Per Invoice'!C$2:C$401,$U77)))</f>
        <v/>
      </c>
      <c r="D77">
        <f>IF($U77="","",IF(INDEX('Per Invoice'!D$2:D$401,$U77)="","",INDEX('Per Invoice'!D$2:D$401,$U77)))</f>
        <v/>
      </c>
      <c r="E77">
        <f>IF($U77="","",IF(INDEX('Per Invoice'!E$2:E$401,$U77)="","",INDEX('Per Invoice'!E$2:E$401,$U77)))</f>
        <v/>
      </c>
      <c r="F77">
        <f>IF($U77="","",IF(INDEX('Per Invoice'!F$2:F$401,$U77)="","",INDEX('Per Invoice'!F$2:F$401,$U77)))</f>
        <v/>
      </c>
      <c r="G77">
        <f>IF($U77="","",IF(INDEX('Per Invoice'!G$2:G$401,$U77)="","",INDEX('Per Invoice'!G$2:G$401,$U77)))</f>
        <v/>
      </c>
      <c r="H77" s="7">
        <f>IF($U77="","",IF(INDEX('Per Invoice'!H$2:H$401,$U77)="","",INDEX('Per Invoice'!H$2:H$401,$U77)))</f>
        <v/>
      </c>
      <c r="I77" s="14">
        <f>IF($U77="","",IF(INDEX('Per Invoice'!I$2:I$401,$U77)="","",INDEX('Per Invoice'!I$2:I$401,$U77)))</f>
        <v/>
      </c>
      <c r="J77">
        <f>IF($U77="","",IF(INDEX('Per Invoice'!J$2:J$401,$U77)="","",INDEX('Per Invoice'!J$2:J$401,$U77)))</f>
        <v/>
      </c>
      <c r="K77">
        <f>IF($U77="","",IF(INDEX('Per Invoice'!K$2:K$401,$U77)="","",INDEX('Per Invoice'!K$2:K$401,$U77)))</f>
        <v/>
      </c>
      <c r="L77" s="7">
        <f>IF($U77="","",IF(INDEX('Per Invoice'!L$2:L$401,$U77)="","",INDEX('Per Invoice'!L$2:L$401,$U77)))</f>
        <v/>
      </c>
      <c r="M77" s="7">
        <f>IF($U77="","",IF(INDEX('Per Invoice'!M$2:M$401,$U77)="","",INDEX('Per Invoice'!M$2:M$401,$U77)))</f>
        <v/>
      </c>
      <c r="N77">
        <f>IF($U77="","",IF(INDEX('Per Invoice'!N$2:N$401,$U77)="","",INDEX('Per Invoice'!N$2:N$401,$U77)))</f>
        <v/>
      </c>
      <c r="O77" s="7">
        <f>IF($U77="","",IF(INDEX('Per Invoice'!O$2:O$401,$U77)="","",INDEX('Per Invoice'!O$2:O$401,$U77)))</f>
        <v/>
      </c>
      <c r="P77" s="7">
        <f>IF($U77="","",IF(INDEX('Per Invoice'!P$2:P$401,$U77)="","",INDEX('Per Invoice'!P$2:P$401,$U77)))</f>
        <v/>
      </c>
      <c r="Q77" s="7">
        <f>IF($U77="","",IF(INDEX('Per Invoice'!Q$2:Q$401,$U77)="","",INDEX('Per Invoice'!Q$2:Q$401,$U77)))</f>
        <v/>
      </c>
      <c r="R77" s="7">
        <f>IF($U77="","",IF(INDEX('Per Invoice'!R$2:R$401,$U77)="","",INDEX('Per Invoice'!R$2:R$401,$U77)))</f>
        <v/>
      </c>
      <c r="S77" s="7">
        <f>IF($U77="","",IF(INDEX('Per Invoice'!S$2:S$401,$U77)="","",INDEX('Per Invoice'!S$2:S$401,$U77)))</f>
        <v/>
      </c>
      <c r="T77" s="7">
        <f>IF($U77="","",IF(INDEX('Per Invoice'!T$2:T$401,$U77)="","",INDEX('Per Invoice'!T$2:T$401,$U77)))</f>
        <v/>
      </c>
      <c r="U77" s="16">
        <f>IFERROR(MATCH(Settings!$C$27&amp;"|"&amp;ROWS($U$2:$U77),'Per Invoice'!$V$2:$V$401,0),"")</f>
        <v/>
      </c>
    </row>
    <row r="78">
      <c r="A78">
        <f>IF($U78="","",IF(INDEX('Per Invoice'!A$2:A$401,$U78)="","",INDEX('Per Invoice'!A$2:A$401,$U78)))</f>
        <v/>
      </c>
      <c r="B78">
        <f>IF($U78="","",IF(INDEX('Per Invoice'!B$2:B$401,$U78)="","",INDEX('Per Invoice'!B$2:B$401,$U78)))</f>
        <v/>
      </c>
      <c r="C78">
        <f>IF($U78="","",IF(INDEX('Per Invoice'!C$2:C$401,$U78)="","",INDEX('Per Invoice'!C$2:C$401,$U78)))</f>
        <v/>
      </c>
      <c r="D78">
        <f>IF($U78="","",IF(INDEX('Per Invoice'!D$2:D$401,$U78)="","",INDEX('Per Invoice'!D$2:D$401,$U78)))</f>
        <v/>
      </c>
      <c r="E78">
        <f>IF($U78="","",IF(INDEX('Per Invoice'!E$2:E$401,$U78)="","",INDEX('Per Invoice'!E$2:E$401,$U78)))</f>
        <v/>
      </c>
      <c r="F78">
        <f>IF($U78="","",IF(INDEX('Per Invoice'!F$2:F$401,$U78)="","",INDEX('Per Invoice'!F$2:F$401,$U78)))</f>
        <v/>
      </c>
      <c r="G78">
        <f>IF($U78="","",IF(INDEX('Per Invoice'!G$2:G$401,$U78)="","",INDEX('Per Invoice'!G$2:G$401,$U78)))</f>
        <v/>
      </c>
      <c r="H78" s="7">
        <f>IF($U78="","",IF(INDEX('Per Invoice'!H$2:H$401,$U78)="","",INDEX('Per Invoice'!H$2:H$401,$U78)))</f>
        <v/>
      </c>
      <c r="I78" s="14">
        <f>IF($U78="","",IF(INDEX('Per Invoice'!I$2:I$401,$U78)="","",INDEX('Per Invoice'!I$2:I$401,$U78)))</f>
        <v/>
      </c>
      <c r="J78">
        <f>IF($U78="","",IF(INDEX('Per Invoice'!J$2:J$401,$U78)="","",INDEX('Per Invoice'!J$2:J$401,$U78)))</f>
        <v/>
      </c>
      <c r="K78">
        <f>IF($U78="","",IF(INDEX('Per Invoice'!K$2:K$401,$U78)="","",INDEX('Per Invoice'!K$2:K$401,$U78)))</f>
        <v/>
      </c>
      <c r="L78" s="7">
        <f>IF($U78="","",IF(INDEX('Per Invoice'!L$2:L$401,$U78)="","",INDEX('Per Invoice'!L$2:L$401,$U78)))</f>
        <v/>
      </c>
      <c r="M78" s="7">
        <f>IF($U78="","",IF(INDEX('Per Invoice'!M$2:M$401,$U78)="","",INDEX('Per Invoice'!M$2:M$401,$U78)))</f>
        <v/>
      </c>
      <c r="N78">
        <f>IF($U78="","",IF(INDEX('Per Invoice'!N$2:N$401,$U78)="","",INDEX('Per Invoice'!N$2:N$401,$U78)))</f>
        <v/>
      </c>
      <c r="O78" s="7">
        <f>IF($U78="","",IF(INDEX('Per Invoice'!O$2:O$401,$U78)="","",INDEX('Per Invoice'!O$2:O$401,$U78)))</f>
        <v/>
      </c>
      <c r="P78" s="7">
        <f>IF($U78="","",IF(INDEX('Per Invoice'!P$2:P$401,$U78)="","",INDEX('Per Invoice'!P$2:P$401,$U78)))</f>
        <v/>
      </c>
      <c r="Q78" s="7">
        <f>IF($U78="","",IF(INDEX('Per Invoice'!Q$2:Q$401,$U78)="","",INDEX('Per Invoice'!Q$2:Q$401,$U78)))</f>
        <v/>
      </c>
      <c r="R78" s="7">
        <f>IF($U78="","",IF(INDEX('Per Invoice'!R$2:R$401,$U78)="","",INDEX('Per Invoice'!R$2:R$401,$U78)))</f>
        <v/>
      </c>
      <c r="S78" s="7">
        <f>IF($U78="","",IF(INDEX('Per Invoice'!S$2:S$401,$U78)="","",INDEX('Per Invoice'!S$2:S$401,$U78)))</f>
        <v/>
      </c>
      <c r="T78" s="7">
        <f>IF($U78="","",IF(INDEX('Per Invoice'!T$2:T$401,$U78)="","",INDEX('Per Invoice'!T$2:T$401,$U78)))</f>
        <v/>
      </c>
      <c r="U78" s="16">
        <f>IFERROR(MATCH(Settings!$C$27&amp;"|"&amp;ROWS($U$2:$U78),'Per Invoice'!$V$2:$V$401,0),"")</f>
        <v/>
      </c>
    </row>
    <row r="79">
      <c r="A79">
        <f>IF($U79="","",IF(INDEX('Per Invoice'!A$2:A$401,$U79)="","",INDEX('Per Invoice'!A$2:A$401,$U79)))</f>
        <v/>
      </c>
      <c r="B79">
        <f>IF($U79="","",IF(INDEX('Per Invoice'!B$2:B$401,$U79)="","",INDEX('Per Invoice'!B$2:B$401,$U79)))</f>
        <v/>
      </c>
      <c r="C79">
        <f>IF($U79="","",IF(INDEX('Per Invoice'!C$2:C$401,$U79)="","",INDEX('Per Invoice'!C$2:C$401,$U79)))</f>
        <v/>
      </c>
      <c r="D79">
        <f>IF($U79="","",IF(INDEX('Per Invoice'!D$2:D$401,$U79)="","",INDEX('Per Invoice'!D$2:D$401,$U79)))</f>
        <v/>
      </c>
      <c r="E79">
        <f>IF($U79="","",IF(INDEX('Per Invoice'!E$2:E$401,$U79)="","",INDEX('Per Invoice'!E$2:E$401,$U79)))</f>
        <v/>
      </c>
      <c r="F79">
        <f>IF($U79="","",IF(INDEX('Per Invoice'!F$2:F$401,$U79)="","",INDEX('Per Invoice'!F$2:F$401,$U79)))</f>
        <v/>
      </c>
      <c r="G79">
        <f>IF($U79="","",IF(INDEX('Per Invoice'!G$2:G$401,$U79)="","",INDEX('Per Invoice'!G$2:G$401,$U79)))</f>
        <v/>
      </c>
      <c r="H79" s="7">
        <f>IF($U79="","",IF(INDEX('Per Invoice'!H$2:H$401,$U79)="","",INDEX('Per Invoice'!H$2:H$401,$U79)))</f>
        <v/>
      </c>
      <c r="I79" s="14">
        <f>IF($U79="","",IF(INDEX('Per Invoice'!I$2:I$401,$U79)="","",INDEX('Per Invoice'!I$2:I$401,$U79)))</f>
        <v/>
      </c>
      <c r="J79">
        <f>IF($U79="","",IF(INDEX('Per Invoice'!J$2:J$401,$U79)="","",INDEX('Per Invoice'!J$2:J$401,$U79)))</f>
        <v/>
      </c>
      <c r="K79">
        <f>IF($U79="","",IF(INDEX('Per Invoice'!K$2:K$401,$U79)="","",INDEX('Per Invoice'!K$2:K$401,$U79)))</f>
        <v/>
      </c>
      <c r="L79" s="7">
        <f>IF($U79="","",IF(INDEX('Per Invoice'!L$2:L$401,$U79)="","",INDEX('Per Invoice'!L$2:L$401,$U79)))</f>
        <v/>
      </c>
      <c r="M79" s="7">
        <f>IF($U79="","",IF(INDEX('Per Invoice'!M$2:M$401,$U79)="","",INDEX('Per Invoice'!M$2:M$401,$U79)))</f>
        <v/>
      </c>
      <c r="N79">
        <f>IF($U79="","",IF(INDEX('Per Invoice'!N$2:N$401,$U79)="","",INDEX('Per Invoice'!N$2:N$401,$U79)))</f>
        <v/>
      </c>
      <c r="O79" s="7">
        <f>IF($U79="","",IF(INDEX('Per Invoice'!O$2:O$401,$U79)="","",INDEX('Per Invoice'!O$2:O$401,$U79)))</f>
        <v/>
      </c>
      <c r="P79" s="7">
        <f>IF($U79="","",IF(INDEX('Per Invoice'!P$2:P$401,$U79)="","",INDEX('Per Invoice'!P$2:P$401,$U79)))</f>
        <v/>
      </c>
      <c r="Q79" s="7">
        <f>IF($U79="","",IF(INDEX('Per Invoice'!Q$2:Q$401,$U79)="","",INDEX('Per Invoice'!Q$2:Q$401,$U79)))</f>
        <v/>
      </c>
      <c r="R79" s="7">
        <f>IF($U79="","",IF(INDEX('Per Invoice'!R$2:R$401,$U79)="","",INDEX('Per Invoice'!R$2:R$401,$U79)))</f>
        <v/>
      </c>
      <c r="S79" s="7">
        <f>IF($U79="","",IF(INDEX('Per Invoice'!S$2:S$401,$U79)="","",INDEX('Per Invoice'!S$2:S$401,$U79)))</f>
        <v/>
      </c>
      <c r="T79" s="7">
        <f>IF($U79="","",IF(INDEX('Per Invoice'!T$2:T$401,$U79)="","",INDEX('Per Invoice'!T$2:T$401,$U79)))</f>
        <v/>
      </c>
      <c r="U79" s="16">
        <f>IFERROR(MATCH(Settings!$C$27&amp;"|"&amp;ROWS($U$2:$U79),'Per Invoice'!$V$2:$V$401,0),"")</f>
        <v/>
      </c>
    </row>
    <row r="80">
      <c r="A80">
        <f>IF($U80="","",IF(INDEX('Per Invoice'!A$2:A$401,$U80)="","",INDEX('Per Invoice'!A$2:A$401,$U80)))</f>
        <v/>
      </c>
      <c r="B80">
        <f>IF($U80="","",IF(INDEX('Per Invoice'!B$2:B$401,$U80)="","",INDEX('Per Invoice'!B$2:B$401,$U80)))</f>
        <v/>
      </c>
      <c r="C80">
        <f>IF($U80="","",IF(INDEX('Per Invoice'!C$2:C$401,$U80)="","",INDEX('Per Invoice'!C$2:C$401,$U80)))</f>
        <v/>
      </c>
      <c r="D80">
        <f>IF($U80="","",IF(INDEX('Per Invoice'!D$2:D$401,$U80)="","",INDEX('Per Invoice'!D$2:D$401,$U80)))</f>
        <v/>
      </c>
      <c r="E80">
        <f>IF($U80="","",IF(INDEX('Per Invoice'!E$2:E$401,$U80)="","",INDEX('Per Invoice'!E$2:E$401,$U80)))</f>
        <v/>
      </c>
      <c r="F80">
        <f>IF($U80="","",IF(INDEX('Per Invoice'!F$2:F$401,$U80)="","",INDEX('Per Invoice'!F$2:F$401,$U80)))</f>
        <v/>
      </c>
      <c r="G80">
        <f>IF($U80="","",IF(INDEX('Per Invoice'!G$2:G$401,$U80)="","",INDEX('Per Invoice'!G$2:G$401,$U80)))</f>
        <v/>
      </c>
      <c r="H80" s="7">
        <f>IF($U80="","",IF(INDEX('Per Invoice'!H$2:H$401,$U80)="","",INDEX('Per Invoice'!H$2:H$401,$U80)))</f>
        <v/>
      </c>
      <c r="I80" s="14">
        <f>IF($U80="","",IF(INDEX('Per Invoice'!I$2:I$401,$U80)="","",INDEX('Per Invoice'!I$2:I$401,$U80)))</f>
        <v/>
      </c>
      <c r="J80">
        <f>IF($U80="","",IF(INDEX('Per Invoice'!J$2:J$401,$U80)="","",INDEX('Per Invoice'!J$2:J$401,$U80)))</f>
        <v/>
      </c>
      <c r="K80">
        <f>IF($U80="","",IF(INDEX('Per Invoice'!K$2:K$401,$U80)="","",INDEX('Per Invoice'!K$2:K$401,$U80)))</f>
        <v/>
      </c>
      <c r="L80" s="7">
        <f>IF($U80="","",IF(INDEX('Per Invoice'!L$2:L$401,$U80)="","",INDEX('Per Invoice'!L$2:L$401,$U80)))</f>
        <v/>
      </c>
      <c r="M80" s="7">
        <f>IF($U80="","",IF(INDEX('Per Invoice'!M$2:M$401,$U80)="","",INDEX('Per Invoice'!M$2:M$401,$U80)))</f>
        <v/>
      </c>
      <c r="N80">
        <f>IF($U80="","",IF(INDEX('Per Invoice'!N$2:N$401,$U80)="","",INDEX('Per Invoice'!N$2:N$401,$U80)))</f>
        <v/>
      </c>
      <c r="O80" s="7">
        <f>IF($U80="","",IF(INDEX('Per Invoice'!O$2:O$401,$U80)="","",INDEX('Per Invoice'!O$2:O$401,$U80)))</f>
        <v/>
      </c>
      <c r="P80" s="7">
        <f>IF($U80="","",IF(INDEX('Per Invoice'!P$2:P$401,$U80)="","",INDEX('Per Invoice'!P$2:P$401,$U80)))</f>
        <v/>
      </c>
      <c r="Q80" s="7">
        <f>IF($U80="","",IF(INDEX('Per Invoice'!Q$2:Q$401,$U80)="","",INDEX('Per Invoice'!Q$2:Q$401,$U80)))</f>
        <v/>
      </c>
      <c r="R80" s="7">
        <f>IF($U80="","",IF(INDEX('Per Invoice'!R$2:R$401,$U80)="","",INDEX('Per Invoice'!R$2:R$401,$U80)))</f>
        <v/>
      </c>
      <c r="S80" s="7">
        <f>IF($U80="","",IF(INDEX('Per Invoice'!S$2:S$401,$U80)="","",INDEX('Per Invoice'!S$2:S$401,$U80)))</f>
        <v/>
      </c>
      <c r="T80" s="7">
        <f>IF($U80="","",IF(INDEX('Per Invoice'!T$2:T$401,$U80)="","",INDEX('Per Invoice'!T$2:T$401,$U80)))</f>
        <v/>
      </c>
      <c r="U80" s="16">
        <f>IFERROR(MATCH(Settings!$C$27&amp;"|"&amp;ROWS($U$2:$U80),'Per Invoice'!$V$2:$V$401,0),"")</f>
        <v/>
      </c>
    </row>
    <row r="81">
      <c r="A81">
        <f>IF($U81="","",IF(INDEX('Per Invoice'!A$2:A$401,$U81)="","",INDEX('Per Invoice'!A$2:A$401,$U81)))</f>
        <v/>
      </c>
      <c r="B81">
        <f>IF($U81="","",IF(INDEX('Per Invoice'!B$2:B$401,$U81)="","",INDEX('Per Invoice'!B$2:B$401,$U81)))</f>
        <v/>
      </c>
      <c r="C81">
        <f>IF($U81="","",IF(INDEX('Per Invoice'!C$2:C$401,$U81)="","",INDEX('Per Invoice'!C$2:C$401,$U81)))</f>
        <v/>
      </c>
      <c r="D81">
        <f>IF($U81="","",IF(INDEX('Per Invoice'!D$2:D$401,$U81)="","",INDEX('Per Invoice'!D$2:D$401,$U81)))</f>
        <v/>
      </c>
      <c r="E81">
        <f>IF($U81="","",IF(INDEX('Per Invoice'!E$2:E$401,$U81)="","",INDEX('Per Invoice'!E$2:E$401,$U81)))</f>
        <v/>
      </c>
      <c r="F81">
        <f>IF($U81="","",IF(INDEX('Per Invoice'!F$2:F$401,$U81)="","",INDEX('Per Invoice'!F$2:F$401,$U81)))</f>
        <v/>
      </c>
      <c r="G81">
        <f>IF($U81="","",IF(INDEX('Per Invoice'!G$2:G$401,$U81)="","",INDEX('Per Invoice'!G$2:G$401,$U81)))</f>
        <v/>
      </c>
      <c r="H81" s="7">
        <f>IF($U81="","",IF(INDEX('Per Invoice'!H$2:H$401,$U81)="","",INDEX('Per Invoice'!H$2:H$401,$U81)))</f>
        <v/>
      </c>
      <c r="I81" s="14">
        <f>IF($U81="","",IF(INDEX('Per Invoice'!I$2:I$401,$U81)="","",INDEX('Per Invoice'!I$2:I$401,$U81)))</f>
        <v/>
      </c>
      <c r="J81">
        <f>IF($U81="","",IF(INDEX('Per Invoice'!J$2:J$401,$U81)="","",INDEX('Per Invoice'!J$2:J$401,$U81)))</f>
        <v/>
      </c>
      <c r="K81">
        <f>IF($U81="","",IF(INDEX('Per Invoice'!K$2:K$401,$U81)="","",INDEX('Per Invoice'!K$2:K$401,$U81)))</f>
        <v/>
      </c>
      <c r="L81" s="7">
        <f>IF($U81="","",IF(INDEX('Per Invoice'!L$2:L$401,$U81)="","",INDEX('Per Invoice'!L$2:L$401,$U81)))</f>
        <v/>
      </c>
      <c r="M81" s="7">
        <f>IF($U81="","",IF(INDEX('Per Invoice'!M$2:M$401,$U81)="","",INDEX('Per Invoice'!M$2:M$401,$U81)))</f>
        <v/>
      </c>
      <c r="N81">
        <f>IF($U81="","",IF(INDEX('Per Invoice'!N$2:N$401,$U81)="","",INDEX('Per Invoice'!N$2:N$401,$U81)))</f>
        <v/>
      </c>
      <c r="O81" s="7">
        <f>IF($U81="","",IF(INDEX('Per Invoice'!O$2:O$401,$U81)="","",INDEX('Per Invoice'!O$2:O$401,$U81)))</f>
        <v/>
      </c>
      <c r="P81" s="7">
        <f>IF($U81="","",IF(INDEX('Per Invoice'!P$2:P$401,$U81)="","",INDEX('Per Invoice'!P$2:P$401,$U81)))</f>
        <v/>
      </c>
      <c r="Q81" s="7">
        <f>IF($U81="","",IF(INDEX('Per Invoice'!Q$2:Q$401,$U81)="","",INDEX('Per Invoice'!Q$2:Q$401,$U81)))</f>
        <v/>
      </c>
      <c r="R81" s="7">
        <f>IF($U81="","",IF(INDEX('Per Invoice'!R$2:R$401,$U81)="","",INDEX('Per Invoice'!R$2:R$401,$U81)))</f>
        <v/>
      </c>
      <c r="S81" s="7">
        <f>IF($U81="","",IF(INDEX('Per Invoice'!S$2:S$401,$U81)="","",INDEX('Per Invoice'!S$2:S$401,$U81)))</f>
        <v/>
      </c>
      <c r="T81" s="7">
        <f>IF($U81="","",IF(INDEX('Per Invoice'!T$2:T$401,$U81)="","",INDEX('Per Invoice'!T$2:T$401,$U81)))</f>
        <v/>
      </c>
      <c r="U81" s="16">
        <f>IFERROR(MATCH(Settings!$C$27&amp;"|"&amp;ROWS($U$2:$U81),'Per Invoice'!$V$2:$V$401,0),"")</f>
        <v/>
      </c>
    </row>
    <row r="82">
      <c r="A82">
        <f>IF($U82="","",IF(INDEX('Per Invoice'!A$2:A$401,$U82)="","",INDEX('Per Invoice'!A$2:A$401,$U82)))</f>
        <v/>
      </c>
      <c r="B82">
        <f>IF($U82="","",IF(INDEX('Per Invoice'!B$2:B$401,$U82)="","",INDEX('Per Invoice'!B$2:B$401,$U82)))</f>
        <v/>
      </c>
      <c r="C82">
        <f>IF($U82="","",IF(INDEX('Per Invoice'!C$2:C$401,$U82)="","",INDEX('Per Invoice'!C$2:C$401,$U82)))</f>
        <v/>
      </c>
      <c r="D82">
        <f>IF($U82="","",IF(INDEX('Per Invoice'!D$2:D$401,$U82)="","",INDEX('Per Invoice'!D$2:D$401,$U82)))</f>
        <v/>
      </c>
      <c r="E82">
        <f>IF($U82="","",IF(INDEX('Per Invoice'!E$2:E$401,$U82)="","",INDEX('Per Invoice'!E$2:E$401,$U82)))</f>
        <v/>
      </c>
      <c r="F82">
        <f>IF($U82="","",IF(INDEX('Per Invoice'!F$2:F$401,$U82)="","",INDEX('Per Invoice'!F$2:F$401,$U82)))</f>
        <v/>
      </c>
      <c r="G82">
        <f>IF($U82="","",IF(INDEX('Per Invoice'!G$2:G$401,$U82)="","",INDEX('Per Invoice'!G$2:G$401,$U82)))</f>
        <v/>
      </c>
      <c r="H82" s="7">
        <f>IF($U82="","",IF(INDEX('Per Invoice'!H$2:H$401,$U82)="","",INDEX('Per Invoice'!H$2:H$401,$U82)))</f>
        <v/>
      </c>
      <c r="I82" s="14">
        <f>IF($U82="","",IF(INDEX('Per Invoice'!I$2:I$401,$U82)="","",INDEX('Per Invoice'!I$2:I$401,$U82)))</f>
        <v/>
      </c>
      <c r="J82">
        <f>IF($U82="","",IF(INDEX('Per Invoice'!J$2:J$401,$U82)="","",INDEX('Per Invoice'!J$2:J$401,$U82)))</f>
        <v/>
      </c>
      <c r="K82">
        <f>IF($U82="","",IF(INDEX('Per Invoice'!K$2:K$401,$U82)="","",INDEX('Per Invoice'!K$2:K$401,$U82)))</f>
        <v/>
      </c>
      <c r="L82" s="7">
        <f>IF($U82="","",IF(INDEX('Per Invoice'!L$2:L$401,$U82)="","",INDEX('Per Invoice'!L$2:L$401,$U82)))</f>
        <v/>
      </c>
      <c r="M82" s="7">
        <f>IF($U82="","",IF(INDEX('Per Invoice'!M$2:M$401,$U82)="","",INDEX('Per Invoice'!M$2:M$401,$U82)))</f>
        <v/>
      </c>
      <c r="N82">
        <f>IF($U82="","",IF(INDEX('Per Invoice'!N$2:N$401,$U82)="","",INDEX('Per Invoice'!N$2:N$401,$U82)))</f>
        <v/>
      </c>
      <c r="O82" s="7">
        <f>IF($U82="","",IF(INDEX('Per Invoice'!O$2:O$401,$U82)="","",INDEX('Per Invoice'!O$2:O$401,$U82)))</f>
        <v/>
      </c>
      <c r="P82" s="7">
        <f>IF($U82="","",IF(INDEX('Per Invoice'!P$2:P$401,$U82)="","",INDEX('Per Invoice'!P$2:P$401,$U82)))</f>
        <v/>
      </c>
      <c r="Q82" s="7">
        <f>IF($U82="","",IF(INDEX('Per Invoice'!Q$2:Q$401,$U82)="","",INDEX('Per Invoice'!Q$2:Q$401,$U82)))</f>
        <v/>
      </c>
      <c r="R82" s="7">
        <f>IF($U82="","",IF(INDEX('Per Invoice'!R$2:R$401,$U82)="","",INDEX('Per Invoice'!R$2:R$401,$U82)))</f>
        <v/>
      </c>
      <c r="S82" s="7">
        <f>IF($U82="","",IF(INDEX('Per Invoice'!S$2:S$401,$U82)="","",INDEX('Per Invoice'!S$2:S$401,$U82)))</f>
        <v/>
      </c>
      <c r="T82" s="7">
        <f>IF($U82="","",IF(INDEX('Per Invoice'!T$2:T$401,$U82)="","",INDEX('Per Invoice'!T$2:T$401,$U82)))</f>
        <v/>
      </c>
      <c r="U82" s="16">
        <f>IFERROR(MATCH(Settings!$C$27&amp;"|"&amp;ROWS($U$2:$U82),'Per Invoice'!$V$2:$V$401,0),"")</f>
        <v/>
      </c>
    </row>
    <row r="83">
      <c r="A83">
        <f>IF($U83="","",IF(INDEX('Per Invoice'!A$2:A$401,$U83)="","",INDEX('Per Invoice'!A$2:A$401,$U83)))</f>
        <v/>
      </c>
      <c r="B83">
        <f>IF($U83="","",IF(INDEX('Per Invoice'!B$2:B$401,$U83)="","",INDEX('Per Invoice'!B$2:B$401,$U83)))</f>
        <v/>
      </c>
      <c r="C83">
        <f>IF($U83="","",IF(INDEX('Per Invoice'!C$2:C$401,$U83)="","",INDEX('Per Invoice'!C$2:C$401,$U83)))</f>
        <v/>
      </c>
      <c r="D83">
        <f>IF($U83="","",IF(INDEX('Per Invoice'!D$2:D$401,$U83)="","",INDEX('Per Invoice'!D$2:D$401,$U83)))</f>
        <v/>
      </c>
      <c r="E83">
        <f>IF($U83="","",IF(INDEX('Per Invoice'!E$2:E$401,$U83)="","",INDEX('Per Invoice'!E$2:E$401,$U83)))</f>
        <v/>
      </c>
      <c r="F83">
        <f>IF($U83="","",IF(INDEX('Per Invoice'!F$2:F$401,$U83)="","",INDEX('Per Invoice'!F$2:F$401,$U83)))</f>
        <v/>
      </c>
      <c r="G83">
        <f>IF($U83="","",IF(INDEX('Per Invoice'!G$2:G$401,$U83)="","",INDEX('Per Invoice'!G$2:G$401,$U83)))</f>
        <v/>
      </c>
      <c r="H83" s="7">
        <f>IF($U83="","",IF(INDEX('Per Invoice'!H$2:H$401,$U83)="","",INDEX('Per Invoice'!H$2:H$401,$U83)))</f>
        <v/>
      </c>
      <c r="I83" s="14">
        <f>IF($U83="","",IF(INDEX('Per Invoice'!I$2:I$401,$U83)="","",INDEX('Per Invoice'!I$2:I$401,$U83)))</f>
        <v/>
      </c>
      <c r="J83">
        <f>IF($U83="","",IF(INDEX('Per Invoice'!J$2:J$401,$U83)="","",INDEX('Per Invoice'!J$2:J$401,$U83)))</f>
        <v/>
      </c>
      <c r="K83">
        <f>IF($U83="","",IF(INDEX('Per Invoice'!K$2:K$401,$U83)="","",INDEX('Per Invoice'!K$2:K$401,$U83)))</f>
        <v/>
      </c>
      <c r="L83" s="7">
        <f>IF($U83="","",IF(INDEX('Per Invoice'!L$2:L$401,$U83)="","",INDEX('Per Invoice'!L$2:L$401,$U83)))</f>
        <v/>
      </c>
      <c r="M83" s="7">
        <f>IF($U83="","",IF(INDEX('Per Invoice'!M$2:M$401,$U83)="","",INDEX('Per Invoice'!M$2:M$401,$U83)))</f>
        <v/>
      </c>
      <c r="N83">
        <f>IF($U83="","",IF(INDEX('Per Invoice'!N$2:N$401,$U83)="","",INDEX('Per Invoice'!N$2:N$401,$U83)))</f>
        <v/>
      </c>
      <c r="O83" s="7">
        <f>IF($U83="","",IF(INDEX('Per Invoice'!O$2:O$401,$U83)="","",INDEX('Per Invoice'!O$2:O$401,$U83)))</f>
        <v/>
      </c>
      <c r="P83" s="7">
        <f>IF($U83="","",IF(INDEX('Per Invoice'!P$2:P$401,$U83)="","",INDEX('Per Invoice'!P$2:P$401,$U83)))</f>
        <v/>
      </c>
      <c r="Q83" s="7">
        <f>IF($U83="","",IF(INDEX('Per Invoice'!Q$2:Q$401,$U83)="","",INDEX('Per Invoice'!Q$2:Q$401,$U83)))</f>
        <v/>
      </c>
      <c r="R83" s="7">
        <f>IF($U83="","",IF(INDEX('Per Invoice'!R$2:R$401,$U83)="","",INDEX('Per Invoice'!R$2:R$401,$U83)))</f>
        <v/>
      </c>
      <c r="S83" s="7">
        <f>IF($U83="","",IF(INDEX('Per Invoice'!S$2:S$401,$U83)="","",INDEX('Per Invoice'!S$2:S$401,$U83)))</f>
        <v/>
      </c>
      <c r="T83" s="7">
        <f>IF($U83="","",IF(INDEX('Per Invoice'!T$2:T$401,$U83)="","",INDEX('Per Invoice'!T$2:T$401,$U83)))</f>
        <v/>
      </c>
      <c r="U83" s="16">
        <f>IFERROR(MATCH(Settings!$C$27&amp;"|"&amp;ROWS($U$2:$U83),'Per Invoice'!$V$2:$V$401,0),"")</f>
        <v/>
      </c>
    </row>
    <row r="84">
      <c r="A84">
        <f>IF($U84="","",IF(INDEX('Per Invoice'!A$2:A$401,$U84)="","",INDEX('Per Invoice'!A$2:A$401,$U84)))</f>
        <v/>
      </c>
      <c r="B84">
        <f>IF($U84="","",IF(INDEX('Per Invoice'!B$2:B$401,$U84)="","",INDEX('Per Invoice'!B$2:B$401,$U84)))</f>
        <v/>
      </c>
      <c r="C84">
        <f>IF($U84="","",IF(INDEX('Per Invoice'!C$2:C$401,$U84)="","",INDEX('Per Invoice'!C$2:C$401,$U84)))</f>
        <v/>
      </c>
      <c r="D84">
        <f>IF($U84="","",IF(INDEX('Per Invoice'!D$2:D$401,$U84)="","",INDEX('Per Invoice'!D$2:D$401,$U84)))</f>
        <v/>
      </c>
      <c r="E84">
        <f>IF($U84="","",IF(INDEX('Per Invoice'!E$2:E$401,$U84)="","",INDEX('Per Invoice'!E$2:E$401,$U84)))</f>
        <v/>
      </c>
      <c r="F84">
        <f>IF($U84="","",IF(INDEX('Per Invoice'!F$2:F$401,$U84)="","",INDEX('Per Invoice'!F$2:F$401,$U84)))</f>
        <v/>
      </c>
      <c r="G84">
        <f>IF($U84="","",IF(INDEX('Per Invoice'!G$2:G$401,$U84)="","",INDEX('Per Invoice'!G$2:G$401,$U84)))</f>
        <v/>
      </c>
      <c r="H84" s="7">
        <f>IF($U84="","",IF(INDEX('Per Invoice'!H$2:H$401,$U84)="","",INDEX('Per Invoice'!H$2:H$401,$U84)))</f>
        <v/>
      </c>
      <c r="I84" s="14">
        <f>IF($U84="","",IF(INDEX('Per Invoice'!I$2:I$401,$U84)="","",INDEX('Per Invoice'!I$2:I$401,$U84)))</f>
        <v/>
      </c>
      <c r="J84">
        <f>IF($U84="","",IF(INDEX('Per Invoice'!J$2:J$401,$U84)="","",INDEX('Per Invoice'!J$2:J$401,$U84)))</f>
        <v/>
      </c>
      <c r="K84">
        <f>IF($U84="","",IF(INDEX('Per Invoice'!K$2:K$401,$U84)="","",INDEX('Per Invoice'!K$2:K$401,$U84)))</f>
        <v/>
      </c>
      <c r="L84" s="7">
        <f>IF($U84="","",IF(INDEX('Per Invoice'!L$2:L$401,$U84)="","",INDEX('Per Invoice'!L$2:L$401,$U84)))</f>
        <v/>
      </c>
      <c r="M84" s="7">
        <f>IF($U84="","",IF(INDEX('Per Invoice'!M$2:M$401,$U84)="","",INDEX('Per Invoice'!M$2:M$401,$U84)))</f>
        <v/>
      </c>
      <c r="N84">
        <f>IF($U84="","",IF(INDEX('Per Invoice'!N$2:N$401,$U84)="","",INDEX('Per Invoice'!N$2:N$401,$U84)))</f>
        <v/>
      </c>
      <c r="O84" s="7">
        <f>IF($U84="","",IF(INDEX('Per Invoice'!O$2:O$401,$U84)="","",INDEX('Per Invoice'!O$2:O$401,$U84)))</f>
        <v/>
      </c>
      <c r="P84" s="7">
        <f>IF($U84="","",IF(INDEX('Per Invoice'!P$2:P$401,$U84)="","",INDEX('Per Invoice'!P$2:P$401,$U84)))</f>
        <v/>
      </c>
      <c r="Q84" s="7">
        <f>IF($U84="","",IF(INDEX('Per Invoice'!Q$2:Q$401,$U84)="","",INDEX('Per Invoice'!Q$2:Q$401,$U84)))</f>
        <v/>
      </c>
      <c r="R84" s="7">
        <f>IF($U84="","",IF(INDEX('Per Invoice'!R$2:R$401,$U84)="","",INDEX('Per Invoice'!R$2:R$401,$U84)))</f>
        <v/>
      </c>
      <c r="S84" s="7">
        <f>IF($U84="","",IF(INDEX('Per Invoice'!S$2:S$401,$U84)="","",INDEX('Per Invoice'!S$2:S$401,$U84)))</f>
        <v/>
      </c>
      <c r="T84" s="7">
        <f>IF($U84="","",IF(INDEX('Per Invoice'!T$2:T$401,$U84)="","",INDEX('Per Invoice'!T$2:T$401,$U84)))</f>
        <v/>
      </c>
      <c r="U84" s="16">
        <f>IFERROR(MATCH(Settings!$C$27&amp;"|"&amp;ROWS($U$2:$U84),'Per Invoice'!$V$2:$V$401,0),"")</f>
        <v/>
      </c>
    </row>
    <row r="85">
      <c r="A85">
        <f>IF($U85="","",IF(INDEX('Per Invoice'!A$2:A$401,$U85)="","",INDEX('Per Invoice'!A$2:A$401,$U85)))</f>
        <v/>
      </c>
      <c r="B85">
        <f>IF($U85="","",IF(INDEX('Per Invoice'!B$2:B$401,$U85)="","",INDEX('Per Invoice'!B$2:B$401,$U85)))</f>
        <v/>
      </c>
      <c r="C85">
        <f>IF($U85="","",IF(INDEX('Per Invoice'!C$2:C$401,$U85)="","",INDEX('Per Invoice'!C$2:C$401,$U85)))</f>
        <v/>
      </c>
      <c r="D85">
        <f>IF($U85="","",IF(INDEX('Per Invoice'!D$2:D$401,$U85)="","",INDEX('Per Invoice'!D$2:D$401,$U85)))</f>
        <v/>
      </c>
      <c r="E85">
        <f>IF($U85="","",IF(INDEX('Per Invoice'!E$2:E$401,$U85)="","",INDEX('Per Invoice'!E$2:E$401,$U85)))</f>
        <v/>
      </c>
      <c r="F85">
        <f>IF($U85="","",IF(INDEX('Per Invoice'!F$2:F$401,$U85)="","",INDEX('Per Invoice'!F$2:F$401,$U85)))</f>
        <v/>
      </c>
      <c r="G85">
        <f>IF($U85="","",IF(INDEX('Per Invoice'!G$2:G$401,$U85)="","",INDEX('Per Invoice'!G$2:G$401,$U85)))</f>
        <v/>
      </c>
      <c r="H85" s="7">
        <f>IF($U85="","",IF(INDEX('Per Invoice'!H$2:H$401,$U85)="","",INDEX('Per Invoice'!H$2:H$401,$U85)))</f>
        <v/>
      </c>
      <c r="I85" s="14">
        <f>IF($U85="","",IF(INDEX('Per Invoice'!I$2:I$401,$U85)="","",INDEX('Per Invoice'!I$2:I$401,$U85)))</f>
        <v/>
      </c>
      <c r="J85">
        <f>IF($U85="","",IF(INDEX('Per Invoice'!J$2:J$401,$U85)="","",INDEX('Per Invoice'!J$2:J$401,$U85)))</f>
        <v/>
      </c>
      <c r="K85">
        <f>IF($U85="","",IF(INDEX('Per Invoice'!K$2:K$401,$U85)="","",INDEX('Per Invoice'!K$2:K$401,$U85)))</f>
        <v/>
      </c>
      <c r="L85" s="7">
        <f>IF($U85="","",IF(INDEX('Per Invoice'!L$2:L$401,$U85)="","",INDEX('Per Invoice'!L$2:L$401,$U85)))</f>
        <v/>
      </c>
      <c r="M85" s="7">
        <f>IF($U85="","",IF(INDEX('Per Invoice'!M$2:M$401,$U85)="","",INDEX('Per Invoice'!M$2:M$401,$U85)))</f>
        <v/>
      </c>
      <c r="N85">
        <f>IF($U85="","",IF(INDEX('Per Invoice'!N$2:N$401,$U85)="","",INDEX('Per Invoice'!N$2:N$401,$U85)))</f>
        <v/>
      </c>
      <c r="O85" s="7">
        <f>IF($U85="","",IF(INDEX('Per Invoice'!O$2:O$401,$U85)="","",INDEX('Per Invoice'!O$2:O$401,$U85)))</f>
        <v/>
      </c>
      <c r="P85" s="7">
        <f>IF($U85="","",IF(INDEX('Per Invoice'!P$2:P$401,$U85)="","",INDEX('Per Invoice'!P$2:P$401,$U85)))</f>
        <v/>
      </c>
      <c r="Q85" s="7">
        <f>IF($U85="","",IF(INDEX('Per Invoice'!Q$2:Q$401,$U85)="","",INDEX('Per Invoice'!Q$2:Q$401,$U85)))</f>
        <v/>
      </c>
      <c r="R85" s="7">
        <f>IF($U85="","",IF(INDEX('Per Invoice'!R$2:R$401,$U85)="","",INDEX('Per Invoice'!R$2:R$401,$U85)))</f>
        <v/>
      </c>
      <c r="S85" s="7">
        <f>IF($U85="","",IF(INDEX('Per Invoice'!S$2:S$401,$U85)="","",INDEX('Per Invoice'!S$2:S$401,$U85)))</f>
        <v/>
      </c>
      <c r="T85" s="7">
        <f>IF($U85="","",IF(INDEX('Per Invoice'!T$2:T$401,$U85)="","",INDEX('Per Invoice'!T$2:T$401,$U85)))</f>
        <v/>
      </c>
      <c r="U85" s="16">
        <f>IFERROR(MATCH(Settings!$C$27&amp;"|"&amp;ROWS($U$2:$U85),'Per Invoice'!$V$2:$V$401,0),"")</f>
        <v/>
      </c>
    </row>
    <row r="86">
      <c r="A86">
        <f>IF($U86="","",IF(INDEX('Per Invoice'!A$2:A$401,$U86)="","",INDEX('Per Invoice'!A$2:A$401,$U86)))</f>
        <v/>
      </c>
      <c r="B86">
        <f>IF($U86="","",IF(INDEX('Per Invoice'!B$2:B$401,$U86)="","",INDEX('Per Invoice'!B$2:B$401,$U86)))</f>
        <v/>
      </c>
      <c r="C86">
        <f>IF($U86="","",IF(INDEX('Per Invoice'!C$2:C$401,$U86)="","",INDEX('Per Invoice'!C$2:C$401,$U86)))</f>
        <v/>
      </c>
      <c r="D86">
        <f>IF($U86="","",IF(INDEX('Per Invoice'!D$2:D$401,$U86)="","",INDEX('Per Invoice'!D$2:D$401,$U86)))</f>
        <v/>
      </c>
      <c r="E86">
        <f>IF($U86="","",IF(INDEX('Per Invoice'!E$2:E$401,$U86)="","",INDEX('Per Invoice'!E$2:E$401,$U86)))</f>
        <v/>
      </c>
      <c r="F86">
        <f>IF($U86="","",IF(INDEX('Per Invoice'!F$2:F$401,$U86)="","",INDEX('Per Invoice'!F$2:F$401,$U86)))</f>
        <v/>
      </c>
      <c r="G86">
        <f>IF($U86="","",IF(INDEX('Per Invoice'!G$2:G$401,$U86)="","",INDEX('Per Invoice'!G$2:G$401,$U86)))</f>
        <v/>
      </c>
      <c r="H86" s="7">
        <f>IF($U86="","",IF(INDEX('Per Invoice'!H$2:H$401,$U86)="","",INDEX('Per Invoice'!H$2:H$401,$U86)))</f>
        <v/>
      </c>
      <c r="I86" s="14">
        <f>IF($U86="","",IF(INDEX('Per Invoice'!I$2:I$401,$U86)="","",INDEX('Per Invoice'!I$2:I$401,$U86)))</f>
        <v/>
      </c>
      <c r="J86">
        <f>IF($U86="","",IF(INDEX('Per Invoice'!J$2:J$401,$U86)="","",INDEX('Per Invoice'!J$2:J$401,$U86)))</f>
        <v/>
      </c>
      <c r="K86">
        <f>IF($U86="","",IF(INDEX('Per Invoice'!K$2:K$401,$U86)="","",INDEX('Per Invoice'!K$2:K$401,$U86)))</f>
        <v/>
      </c>
      <c r="L86" s="7">
        <f>IF($U86="","",IF(INDEX('Per Invoice'!L$2:L$401,$U86)="","",INDEX('Per Invoice'!L$2:L$401,$U86)))</f>
        <v/>
      </c>
      <c r="M86" s="7">
        <f>IF($U86="","",IF(INDEX('Per Invoice'!M$2:M$401,$U86)="","",INDEX('Per Invoice'!M$2:M$401,$U86)))</f>
        <v/>
      </c>
      <c r="N86">
        <f>IF($U86="","",IF(INDEX('Per Invoice'!N$2:N$401,$U86)="","",INDEX('Per Invoice'!N$2:N$401,$U86)))</f>
        <v/>
      </c>
      <c r="O86" s="7">
        <f>IF($U86="","",IF(INDEX('Per Invoice'!O$2:O$401,$U86)="","",INDEX('Per Invoice'!O$2:O$401,$U86)))</f>
        <v/>
      </c>
      <c r="P86" s="7">
        <f>IF($U86="","",IF(INDEX('Per Invoice'!P$2:P$401,$U86)="","",INDEX('Per Invoice'!P$2:P$401,$U86)))</f>
        <v/>
      </c>
      <c r="Q86" s="7">
        <f>IF($U86="","",IF(INDEX('Per Invoice'!Q$2:Q$401,$U86)="","",INDEX('Per Invoice'!Q$2:Q$401,$U86)))</f>
        <v/>
      </c>
      <c r="R86" s="7">
        <f>IF($U86="","",IF(INDEX('Per Invoice'!R$2:R$401,$U86)="","",INDEX('Per Invoice'!R$2:R$401,$U86)))</f>
        <v/>
      </c>
      <c r="S86" s="7">
        <f>IF($U86="","",IF(INDEX('Per Invoice'!S$2:S$401,$U86)="","",INDEX('Per Invoice'!S$2:S$401,$U86)))</f>
        <v/>
      </c>
      <c r="T86" s="7">
        <f>IF($U86="","",IF(INDEX('Per Invoice'!T$2:T$401,$U86)="","",INDEX('Per Invoice'!T$2:T$401,$U86)))</f>
        <v/>
      </c>
      <c r="U86" s="16">
        <f>IFERROR(MATCH(Settings!$C$27&amp;"|"&amp;ROWS($U$2:$U86),'Per Invoice'!$V$2:$V$401,0),"")</f>
        <v/>
      </c>
    </row>
    <row r="87">
      <c r="A87">
        <f>IF($U87="","",IF(INDEX('Per Invoice'!A$2:A$401,$U87)="","",INDEX('Per Invoice'!A$2:A$401,$U87)))</f>
        <v/>
      </c>
      <c r="B87">
        <f>IF($U87="","",IF(INDEX('Per Invoice'!B$2:B$401,$U87)="","",INDEX('Per Invoice'!B$2:B$401,$U87)))</f>
        <v/>
      </c>
      <c r="C87">
        <f>IF($U87="","",IF(INDEX('Per Invoice'!C$2:C$401,$U87)="","",INDEX('Per Invoice'!C$2:C$401,$U87)))</f>
        <v/>
      </c>
      <c r="D87">
        <f>IF($U87="","",IF(INDEX('Per Invoice'!D$2:D$401,$U87)="","",INDEX('Per Invoice'!D$2:D$401,$U87)))</f>
        <v/>
      </c>
      <c r="E87">
        <f>IF($U87="","",IF(INDEX('Per Invoice'!E$2:E$401,$U87)="","",INDEX('Per Invoice'!E$2:E$401,$U87)))</f>
        <v/>
      </c>
      <c r="F87">
        <f>IF($U87="","",IF(INDEX('Per Invoice'!F$2:F$401,$U87)="","",INDEX('Per Invoice'!F$2:F$401,$U87)))</f>
        <v/>
      </c>
      <c r="G87">
        <f>IF($U87="","",IF(INDEX('Per Invoice'!G$2:G$401,$U87)="","",INDEX('Per Invoice'!G$2:G$401,$U87)))</f>
        <v/>
      </c>
      <c r="H87" s="7">
        <f>IF($U87="","",IF(INDEX('Per Invoice'!H$2:H$401,$U87)="","",INDEX('Per Invoice'!H$2:H$401,$U87)))</f>
        <v/>
      </c>
      <c r="I87" s="14">
        <f>IF($U87="","",IF(INDEX('Per Invoice'!I$2:I$401,$U87)="","",INDEX('Per Invoice'!I$2:I$401,$U87)))</f>
        <v/>
      </c>
      <c r="J87">
        <f>IF($U87="","",IF(INDEX('Per Invoice'!J$2:J$401,$U87)="","",INDEX('Per Invoice'!J$2:J$401,$U87)))</f>
        <v/>
      </c>
      <c r="K87">
        <f>IF($U87="","",IF(INDEX('Per Invoice'!K$2:K$401,$U87)="","",INDEX('Per Invoice'!K$2:K$401,$U87)))</f>
        <v/>
      </c>
      <c r="L87" s="7">
        <f>IF($U87="","",IF(INDEX('Per Invoice'!L$2:L$401,$U87)="","",INDEX('Per Invoice'!L$2:L$401,$U87)))</f>
        <v/>
      </c>
      <c r="M87" s="7">
        <f>IF($U87="","",IF(INDEX('Per Invoice'!M$2:M$401,$U87)="","",INDEX('Per Invoice'!M$2:M$401,$U87)))</f>
        <v/>
      </c>
      <c r="N87">
        <f>IF($U87="","",IF(INDEX('Per Invoice'!N$2:N$401,$U87)="","",INDEX('Per Invoice'!N$2:N$401,$U87)))</f>
        <v/>
      </c>
      <c r="O87" s="7">
        <f>IF($U87="","",IF(INDEX('Per Invoice'!O$2:O$401,$U87)="","",INDEX('Per Invoice'!O$2:O$401,$U87)))</f>
        <v/>
      </c>
      <c r="P87" s="7">
        <f>IF($U87="","",IF(INDEX('Per Invoice'!P$2:P$401,$U87)="","",INDEX('Per Invoice'!P$2:P$401,$U87)))</f>
        <v/>
      </c>
      <c r="Q87" s="7">
        <f>IF($U87="","",IF(INDEX('Per Invoice'!Q$2:Q$401,$U87)="","",INDEX('Per Invoice'!Q$2:Q$401,$U87)))</f>
        <v/>
      </c>
      <c r="R87" s="7">
        <f>IF($U87="","",IF(INDEX('Per Invoice'!R$2:R$401,$U87)="","",INDEX('Per Invoice'!R$2:R$401,$U87)))</f>
        <v/>
      </c>
      <c r="S87" s="7">
        <f>IF($U87="","",IF(INDEX('Per Invoice'!S$2:S$401,$U87)="","",INDEX('Per Invoice'!S$2:S$401,$U87)))</f>
        <v/>
      </c>
      <c r="T87" s="7">
        <f>IF($U87="","",IF(INDEX('Per Invoice'!T$2:T$401,$U87)="","",INDEX('Per Invoice'!T$2:T$401,$U87)))</f>
        <v/>
      </c>
      <c r="U87" s="16">
        <f>IFERROR(MATCH(Settings!$C$27&amp;"|"&amp;ROWS($U$2:$U87),'Per Invoice'!$V$2:$V$401,0),"")</f>
        <v/>
      </c>
    </row>
    <row r="88">
      <c r="A88">
        <f>IF($U88="","",IF(INDEX('Per Invoice'!A$2:A$401,$U88)="","",INDEX('Per Invoice'!A$2:A$401,$U88)))</f>
        <v/>
      </c>
      <c r="B88">
        <f>IF($U88="","",IF(INDEX('Per Invoice'!B$2:B$401,$U88)="","",INDEX('Per Invoice'!B$2:B$401,$U88)))</f>
        <v/>
      </c>
      <c r="C88">
        <f>IF($U88="","",IF(INDEX('Per Invoice'!C$2:C$401,$U88)="","",INDEX('Per Invoice'!C$2:C$401,$U88)))</f>
        <v/>
      </c>
      <c r="D88">
        <f>IF($U88="","",IF(INDEX('Per Invoice'!D$2:D$401,$U88)="","",INDEX('Per Invoice'!D$2:D$401,$U88)))</f>
        <v/>
      </c>
      <c r="E88">
        <f>IF($U88="","",IF(INDEX('Per Invoice'!E$2:E$401,$U88)="","",INDEX('Per Invoice'!E$2:E$401,$U88)))</f>
        <v/>
      </c>
      <c r="F88">
        <f>IF($U88="","",IF(INDEX('Per Invoice'!F$2:F$401,$U88)="","",INDEX('Per Invoice'!F$2:F$401,$U88)))</f>
        <v/>
      </c>
      <c r="G88">
        <f>IF($U88="","",IF(INDEX('Per Invoice'!G$2:G$401,$U88)="","",INDEX('Per Invoice'!G$2:G$401,$U88)))</f>
        <v/>
      </c>
      <c r="H88" s="7">
        <f>IF($U88="","",IF(INDEX('Per Invoice'!H$2:H$401,$U88)="","",INDEX('Per Invoice'!H$2:H$401,$U88)))</f>
        <v/>
      </c>
      <c r="I88" s="14">
        <f>IF($U88="","",IF(INDEX('Per Invoice'!I$2:I$401,$U88)="","",INDEX('Per Invoice'!I$2:I$401,$U88)))</f>
        <v/>
      </c>
      <c r="J88">
        <f>IF($U88="","",IF(INDEX('Per Invoice'!J$2:J$401,$U88)="","",INDEX('Per Invoice'!J$2:J$401,$U88)))</f>
        <v/>
      </c>
      <c r="K88">
        <f>IF($U88="","",IF(INDEX('Per Invoice'!K$2:K$401,$U88)="","",INDEX('Per Invoice'!K$2:K$401,$U88)))</f>
        <v/>
      </c>
      <c r="L88" s="7">
        <f>IF($U88="","",IF(INDEX('Per Invoice'!L$2:L$401,$U88)="","",INDEX('Per Invoice'!L$2:L$401,$U88)))</f>
        <v/>
      </c>
      <c r="M88" s="7">
        <f>IF($U88="","",IF(INDEX('Per Invoice'!M$2:M$401,$U88)="","",INDEX('Per Invoice'!M$2:M$401,$U88)))</f>
        <v/>
      </c>
      <c r="N88">
        <f>IF($U88="","",IF(INDEX('Per Invoice'!N$2:N$401,$U88)="","",INDEX('Per Invoice'!N$2:N$401,$U88)))</f>
        <v/>
      </c>
      <c r="O88" s="7">
        <f>IF($U88="","",IF(INDEX('Per Invoice'!O$2:O$401,$U88)="","",INDEX('Per Invoice'!O$2:O$401,$U88)))</f>
        <v/>
      </c>
      <c r="P88" s="7">
        <f>IF($U88="","",IF(INDEX('Per Invoice'!P$2:P$401,$U88)="","",INDEX('Per Invoice'!P$2:P$401,$U88)))</f>
        <v/>
      </c>
      <c r="Q88" s="7">
        <f>IF($U88="","",IF(INDEX('Per Invoice'!Q$2:Q$401,$U88)="","",INDEX('Per Invoice'!Q$2:Q$401,$U88)))</f>
        <v/>
      </c>
      <c r="R88" s="7">
        <f>IF($U88="","",IF(INDEX('Per Invoice'!R$2:R$401,$U88)="","",INDEX('Per Invoice'!R$2:R$401,$U88)))</f>
        <v/>
      </c>
      <c r="S88" s="7">
        <f>IF($U88="","",IF(INDEX('Per Invoice'!S$2:S$401,$U88)="","",INDEX('Per Invoice'!S$2:S$401,$U88)))</f>
        <v/>
      </c>
      <c r="T88" s="7">
        <f>IF($U88="","",IF(INDEX('Per Invoice'!T$2:T$401,$U88)="","",INDEX('Per Invoice'!T$2:T$401,$U88)))</f>
        <v/>
      </c>
      <c r="U88" s="16">
        <f>IFERROR(MATCH(Settings!$C$27&amp;"|"&amp;ROWS($U$2:$U88),'Per Invoice'!$V$2:$V$401,0),"")</f>
        <v/>
      </c>
    </row>
    <row r="89">
      <c r="A89">
        <f>IF($U89="","",IF(INDEX('Per Invoice'!A$2:A$401,$U89)="","",INDEX('Per Invoice'!A$2:A$401,$U89)))</f>
        <v/>
      </c>
      <c r="B89">
        <f>IF($U89="","",IF(INDEX('Per Invoice'!B$2:B$401,$U89)="","",INDEX('Per Invoice'!B$2:B$401,$U89)))</f>
        <v/>
      </c>
      <c r="C89">
        <f>IF($U89="","",IF(INDEX('Per Invoice'!C$2:C$401,$U89)="","",INDEX('Per Invoice'!C$2:C$401,$U89)))</f>
        <v/>
      </c>
      <c r="D89">
        <f>IF($U89="","",IF(INDEX('Per Invoice'!D$2:D$401,$U89)="","",INDEX('Per Invoice'!D$2:D$401,$U89)))</f>
        <v/>
      </c>
      <c r="E89">
        <f>IF($U89="","",IF(INDEX('Per Invoice'!E$2:E$401,$U89)="","",INDEX('Per Invoice'!E$2:E$401,$U89)))</f>
        <v/>
      </c>
      <c r="F89">
        <f>IF($U89="","",IF(INDEX('Per Invoice'!F$2:F$401,$U89)="","",INDEX('Per Invoice'!F$2:F$401,$U89)))</f>
        <v/>
      </c>
      <c r="G89">
        <f>IF($U89="","",IF(INDEX('Per Invoice'!G$2:G$401,$U89)="","",INDEX('Per Invoice'!G$2:G$401,$U89)))</f>
        <v/>
      </c>
      <c r="H89" s="7">
        <f>IF($U89="","",IF(INDEX('Per Invoice'!H$2:H$401,$U89)="","",INDEX('Per Invoice'!H$2:H$401,$U89)))</f>
        <v/>
      </c>
      <c r="I89" s="14">
        <f>IF($U89="","",IF(INDEX('Per Invoice'!I$2:I$401,$U89)="","",INDEX('Per Invoice'!I$2:I$401,$U89)))</f>
        <v/>
      </c>
      <c r="J89">
        <f>IF($U89="","",IF(INDEX('Per Invoice'!J$2:J$401,$U89)="","",INDEX('Per Invoice'!J$2:J$401,$U89)))</f>
        <v/>
      </c>
      <c r="K89">
        <f>IF($U89="","",IF(INDEX('Per Invoice'!K$2:K$401,$U89)="","",INDEX('Per Invoice'!K$2:K$401,$U89)))</f>
        <v/>
      </c>
      <c r="L89" s="7">
        <f>IF($U89="","",IF(INDEX('Per Invoice'!L$2:L$401,$U89)="","",INDEX('Per Invoice'!L$2:L$401,$U89)))</f>
        <v/>
      </c>
      <c r="M89" s="7">
        <f>IF($U89="","",IF(INDEX('Per Invoice'!M$2:M$401,$U89)="","",INDEX('Per Invoice'!M$2:M$401,$U89)))</f>
        <v/>
      </c>
      <c r="N89">
        <f>IF($U89="","",IF(INDEX('Per Invoice'!N$2:N$401,$U89)="","",INDEX('Per Invoice'!N$2:N$401,$U89)))</f>
        <v/>
      </c>
      <c r="O89" s="7">
        <f>IF($U89="","",IF(INDEX('Per Invoice'!O$2:O$401,$U89)="","",INDEX('Per Invoice'!O$2:O$401,$U89)))</f>
        <v/>
      </c>
      <c r="P89" s="7">
        <f>IF($U89="","",IF(INDEX('Per Invoice'!P$2:P$401,$U89)="","",INDEX('Per Invoice'!P$2:P$401,$U89)))</f>
        <v/>
      </c>
      <c r="Q89" s="7">
        <f>IF($U89="","",IF(INDEX('Per Invoice'!Q$2:Q$401,$U89)="","",INDEX('Per Invoice'!Q$2:Q$401,$U89)))</f>
        <v/>
      </c>
      <c r="R89" s="7">
        <f>IF($U89="","",IF(INDEX('Per Invoice'!R$2:R$401,$U89)="","",INDEX('Per Invoice'!R$2:R$401,$U89)))</f>
        <v/>
      </c>
      <c r="S89" s="7">
        <f>IF($U89="","",IF(INDEX('Per Invoice'!S$2:S$401,$U89)="","",INDEX('Per Invoice'!S$2:S$401,$U89)))</f>
        <v/>
      </c>
      <c r="T89" s="7">
        <f>IF($U89="","",IF(INDEX('Per Invoice'!T$2:T$401,$U89)="","",INDEX('Per Invoice'!T$2:T$401,$U89)))</f>
        <v/>
      </c>
      <c r="U89" s="16">
        <f>IFERROR(MATCH(Settings!$C$27&amp;"|"&amp;ROWS($U$2:$U89),'Per Invoice'!$V$2:$V$401,0),"")</f>
        <v/>
      </c>
    </row>
    <row r="90">
      <c r="A90">
        <f>IF($U90="","",IF(INDEX('Per Invoice'!A$2:A$401,$U90)="","",INDEX('Per Invoice'!A$2:A$401,$U90)))</f>
        <v/>
      </c>
      <c r="B90">
        <f>IF($U90="","",IF(INDEX('Per Invoice'!B$2:B$401,$U90)="","",INDEX('Per Invoice'!B$2:B$401,$U90)))</f>
        <v/>
      </c>
      <c r="C90">
        <f>IF($U90="","",IF(INDEX('Per Invoice'!C$2:C$401,$U90)="","",INDEX('Per Invoice'!C$2:C$401,$U90)))</f>
        <v/>
      </c>
      <c r="D90">
        <f>IF($U90="","",IF(INDEX('Per Invoice'!D$2:D$401,$U90)="","",INDEX('Per Invoice'!D$2:D$401,$U90)))</f>
        <v/>
      </c>
      <c r="E90">
        <f>IF($U90="","",IF(INDEX('Per Invoice'!E$2:E$401,$U90)="","",INDEX('Per Invoice'!E$2:E$401,$U90)))</f>
        <v/>
      </c>
      <c r="F90">
        <f>IF($U90="","",IF(INDEX('Per Invoice'!F$2:F$401,$U90)="","",INDEX('Per Invoice'!F$2:F$401,$U90)))</f>
        <v/>
      </c>
      <c r="G90">
        <f>IF($U90="","",IF(INDEX('Per Invoice'!G$2:G$401,$U90)="","",INDEX('Per Invoice'!G$2:G$401,$U90)))</f>
        <v/>
      </c>
      <c r="H90" s="7">
        <f>IF($U90="","",IF(INDEX('Per Invoice'!H$2:H$401,$U90)="","",INDEX('Per Invoice'!H$2:H$401,$U90)))</f>
        <v/>
      </c>
      <c r="I90" s="14">
        <f>IF($U90="","",IF(INDEX('Per Invoice'!I$2:I$401,$U90)="","",INDEX('Per Invoice'!I$2:I$401,$U90)))</f>
        <v/>
      </c>
      <c r="J90">
        <f>IF($U90="","",IF(INDEX('Per Invoice'!J$2:J$401,$U90)="","",INDEX('Per Invoice'!J$2:J$401,$U90)))</f>
        <v/>
      </c>
      <c r="K90">
        <f>IF($U90="","",IF(INDEX('Per Invoice'!K$2:K$401,$U90)="","",INDEX('Per Invoice'!K$2:K$401,$U90)))</f>
        <v/>
      </c>
      <c r="L90" s="7">
        <f>IF($U90="","",IF(INDEX('Per Invoice'!L$2:L$401,$U90)="","",INDEX('Per Invoice'!L$2:L$401,$U90)))</f>
        <v/>
      </c>
      <c r="M90" s="7">
        <f>IF($U90="","",IF(INDEX('Per Invoice'!M$2:M$401,$U90)="","",INDEX('Per Invoice'!M$2:M$401,$U90)))</f>
        <v/>
      </c>
      <c r="N90">
        <f>IF($U90="","",IF(INDEX('Per Invoice'!N$2:N$401,$U90)="","",INDEX('Per Invoice'!N$2:N$401,$U90)))</f>
        <v/>
      </c>
      <c r="O90" s="7">
        <f>IF($U90="","",IF(INDEX('Per Invoice'!O$2:O$401,$U90)="","",INDEX('Per Invoice'!O$2:O$401,$U90)))</f>
        <v/>
      </c>
      <c r="P90" s="7">
        <f>IF($U90="","",IF(INDEX('Per Invoice'!P$2:P$401,$U90)="","",INDEX('Per Invoice'!P$2:P$401,$U90)))</f>
        <v/>
      </c>
      <c r="Q90" s="7">
        <f>IF($U90="","",IF(INDEX('Per Invoice'!Q$2:Q$401,$U90)="","",INDEX('Per Invoice'!Q$2:Q$401,$U90)))</f>
        <v/>
      </c>
      <c r="R90" s="7">
        <f>IF($U90="","",IF(INDEX('Per Invoice'!R$2:R$401,$U90)="","",INDEX('Per Invoice'!R$2:R$401,$U90)))</f>
        <v/>
      </c>
      <c r="S90" s="7">
        <f>IF($U90="","",IF(INDEX('Per Invoice'!S$2:S$401,$U90)="","",INDEX('Per Invoice'!S$2:S$401,$U90)))</f>
        <v/>
      </c>
      <c r="T90" s="7">
        <f>IF($U90="","",IF(INDEX('Per Invoice'!T$2:T$401,$U90)="","",INDEX('Per Invoice'!T$2:T$401,$U90)))</f>
        <v/>
      </c>
      <c r="U90" s="16">
        <f>IFERROR(MATCH(Settings!$C$27&amp;"|"&amp;ROWS($U$2:$U90),'Per Invoice'!$V$2:$V$401,0),"")</f>
        <v/>
      </c>
    </row>
    <row r="91">
      <c r="A91">
        <f>IF($U91="","",IF(INDEX('Per Invoice'!A$2:A$401,$U91)="","",INDEX('Per Invoice'!A$2:A$401,$U91)))</f>
        <v/>
      </c>
      <c r="B91">
        <f>IF($U91="","",IF(INDEX('Per Invoice'!B$2:B$401,$U91)="","",INDEX('Per Invoice'!B$2:B$401,$U91)))</f>
        <v/>
      </c>
      <c r="C91">
        <f>IF($U91="","",IF(INDEX('Per Invoice'!C$2:C$401,$U91)="","",INDEX('Per Invoice'!C$2:C$401,$U91)))</f>
        <v/>
      </c>
      <c r="D91">
        <f>IF($U91="","",IF(INDEX('Per Invoice'!D$2:D$401,$U91)="","",INDEX('Per Invoice'!D$2:D$401,$U91)))</f>
        <v/>
      </c>
      <c r="E91">
        <f>IF($U91="","",IF(INDEX('Per Invoice'!E$2:E$401,$U91)="","",INDEX('Per Invoice'!E$2:E$401,$U91)))</f>
        <v/>
      </c>
      <c r="F91">
        <f>IF($U91="","",IF(INDEX('Per Invoice'!F$2:F$401,$U91)="","",INDEX('Per Invoice'!F$2:F$401,$U91)))</f>
        <v/>
      </c>
      <c r="G91">
        <f>IF($U91="","",IF(INDEX('Per Invoice'!G$2:G$401,$U91)="","",INDEX('Per Invoice'!G$2:G$401,$U91)))</f>
        <v/>
      </c>
      <c r="H91" s="7">
        <f>IF($U91="","",IF(INDEX('Per Invoice'!H$2:H$401,$U91)="","",INDEX('Per Invoice'!H$2:H$401,$U91)))</f>
        <v/>
      </c>
      <c r="I91" s="14">
        <f>IF($U91="","",IF(INDEX('Per Invoice'!I$2:I$401,$U91)="","",INDEX('Per Invoice'!I$2:I$401,$U91)))</f>
        <v/>
      </c>
      <c r="J91">
        <f>IF($U91="","",IF(INDEX('Per Invoice'!J$2:J$401,$U91)="","",INDEX('Per Invoice'!J$2:J$401,$U91)))</f>
        <v/>
      </c>
      <c r="K91">
        <f>IF($U91="","",IF(INDEX('Per Invoice'!K$2:K$401,$U91)="","",INDEX('Per Invoice'!K$2:K$401,$U91)))</f>
        <v/>
      </c>
      <c r="L91" s="7">
        <f>IF($U91="","",IF(INDEX('Per Invoice'!L$2:L$401,$U91)="","",INDEX('Per Invoice'!L$2:L$401,$U91)))</f>
        <v/>
      </c>
      <c r="M91" s="7">
        <f>IF($U91="","",IF(INDEX('Per Invoice'!M$2:M$401,$U91)="","",INDEX('Per Invoice'!M$2:M$401,$U91)))</f>
        <v/>
      </c>
      <c r="N91">
        <f>IF($U91="","",IF(INDEX('Per Invoice'!N$2:N$401,$U91)="","",INDEX('Per Invoice'!N$2:N$401,$U91)))</f>
        <v/>
      </c>
      <c r="O91" s="7">
        <f>IF($U91="","",IF(INDEX('Per Invoice'!O$2:O$401,$U91)="","",INDEX('Per Invoice'!O$2:O$401,$U91)))</f>
        <v/>
      </c>
      <c r="P91" s="7">
        <f>IF($U91="","",IF(INDEX('Per Invoice'!P$2:P$401,$U91)="","",INDEX('Per Invoice'!P$2:P$401,$U91)))</f>
        <v/>
      </c>
      <c r="Q91" s="7">
        <f>IF($U91="","",IF(INDEX('Per Invoice'!Q$2:Q$401,$U91)="","",INDEX('Per Invoice'!Q$2:Q$401,$U91)))</f>
        <v/>
      </c>
      <c r="R91" s="7">
        <f>IF($U91="","",IF(INDEX('Per Invoice'!R$2:R$401,$U91)="","",INDEX('Per Invoice'!R$2:R$401,$U91)))</f>
        <v/>
      </c>
      <c r="S91" s="7">
        <f>IF($U91="","",IF(INDEX('Per Invoice'!S$2:S$401,$U91)="","",INDEX('Per Invoice'!S$2:S$401,$U91)))</f>
        <v/>
      </c>
      <c r="T91" s="7">
        <f>IF($U91="","",IF(INDEX('Per Invoice'!T$2:T$401,$U91)="","",INDEX('Per Invoice'!T$2:T$401,$U91)))</f>
        <v/>
      </c>
      <c r="U91" s="16">
        <f>IFERROR(MATCH(Settings!$C$27&amp;"|"&amp;ROWS($U$2:$U91),'Per Invoice'!$V$2:$V$401,0),"")</f>
        <v/>
      </c>
    </row>
    <row r="92">
      <c r="A92">
        <f>IF($U92="","",IF(INDEX('Per Invoice'!A$2:A$401,$U92)="","",INDEX('Per Invoice'!A$2:A$401,$U92)))</f>
        <v/>
      </c>
      <c r="B92">
        <f>IF($U92="","",IF(INDEX('Per Invoice'!B$2:B$401,$U92)="","",INDEX('Per Invoice'!B$2:B$401,$U92)))</f>
        <v/>
      </c>
      <c r="C92">
        <f>IF($U92="","",IF(INDEX('Per Invoice'!C$2:C$401,$U92)="","",INDEX('Per Invoice'!C$2:C$401,$U92)))</f>
        <v/>
      </c>
      <c r="D92">
        <f>IF($U92="","",IF(INDEX('Per Invoice'!D$2:D$401,$U92)="","",INDEX('Per Invoice'!D$2:D$401,$U92)))</f>
        <v/>
      </c>
      <c r="E92">
        <f>IF($U92="","",IF(INDEX('Per Invoice'!E$2:E$401,$U92)="","",INDEX('Per Invoice'!E$2:E$401,$U92)))</f>
        <v/>
      </c>
      <c r="F92">
        <f>IF($U92="","",IF(INDEX('Per Invoice'!F$2:F$401,$U92)="","",INDEX('Per Invoice'!F$2:F$401,$U92)))</f>
        <v/>
      </c>
      <c r="G92">
        <f>IF($U92="","",IF(INDEX('Per Invoice'!G$2:G$401,$U92)="","",INDEX('Per Invoice'!G$2:G$401,$U92)))</f>
        <v/>
      </c>
      <c r="H92" s="7">
        <f>IF($U92="","",IF(INDEX('Per Invoice'!H$2:H$401,$U92)="","",INDEX('Per Invoice'!H$2:H$401,$U92)))</f>
        <v/>
      </c>
      <c r="I92" s="14">
        <f>IF($U92="","",IF(INDEX('Per Invoice'!I$2:I$401,$U92)="","",INDEX('Per Invoice'!I$2:I$401,$U92)))</f>
        <v/>
      </c>
      <c r="J92">
        <f>IF($U92="","",IF(INDEX('Per Invoice'!J$2:J$401,$U92)="","",INDEX('Per Invoice'!J$2:J$401,$U92)))</f>
        <v/>
      </c>
      <c r="K92">
        <f>IF($U92="","",IF(INDEX('Per Invoice'!K$2:K$401,$U92)="","",INDEX('Per Invoice'!K$2:K$401,$U92)))</f>
        <v/>
      </c>
      <c r="L92" s="7">
        <f>IF($U92="","",IF(INDEX('Per Invoice'!L$2:L$401,$U92)="","",INDEX('Per Invoice'!L$2:L$401,$U92)))</f>
        <v/>
      </c>
      <c r="M92" s="7">
        <f>IF($U92="","",IF(INDEX('Per Invoice'!M$2:M$401,$U92)="","",INDEX('Per Invoice'!M$2:M$401,$U92)))</f>
        <v/>
      </c>
      <c r="N92">
        <f>IF($U92="","",IF(INDEX('Per Invoice'!N$2:N$401,$U92)="","",INDEX('Per Invoice'!N$2:N$401,$U92)))</f>
        <v/>
      </c>
      <c r="O92" s="7">
        <f>IF($U92="","",IF(INDEX('Per Invoice'!O$2:O$401,$U92)="","",INDEX('Per Invoice'!O$2:O$401,$U92)))</f>
        <v/>
      </c>
      <c r="P92" s="7">
        <f>IF($U92="","",IF(INDEX('Per Invoice'!P$2:P$401,$U92)="","",INDEX('Per Invoice'!P$2:P$401,$U92)))</f>
        <v/>
      </c>
      <c r="Q92" s="7">
        <f>IF($U92="","",IF(INDEX('Per Invoice'!Q$2:Q$401,$U92)="","",INDEX('Per Invoice'!Q$2:Q$401,$U92)))</f>
        <v/>
      </c>
      <c r="R92" s="7">
        <f>IF($U92="","",IF(INDEX('Per Invoice'!R$2:R$401,$U92)="","",INDEX('Per Invoice'!R$2:R$401,$U92)))</f>
        <v/>
      </c>
      <c r="S92" s="7">
        <f>IF($U92="","",IF(INDEX('Per Invoice'!S$2:S$401,$U92)="","",INDEX('Per Invoice'!S$2:S$401,$U92)))</f>
        <v/>
      </c>
      <c r="T92" s="7">
        <f>IF($U92="","",IF(INDEX('Per Invoice'!T$2:T$401,$U92)="","",INDEX('Per Invoice'!T$2:T$401,$U92)))</f>
        <v/>
      </c>
      <c r="U92" s="16">
        <f>IFERROR(MATCH(Settings!$C$27&amp;"|"&amp;ROWS($U$2:$U92),'Per Invoice'!$V$2:$V$401,0),"")</f>
        <v/>
      </c>
    </row>
    <row r="93">
      <c r="A93">
        <f>IF($U93="","",IF(INDEX('Per Invoice'!A$2:A$401,$U93)="","",INDEX('Per Invoice'!A$2:A$401,$U93)))</f>
        <v/>
      </c>
      <c r="B93">
        <f>IF($U93="","",IF(INDEX('Per Invoice'!B$2:B$401,$U93)="","",INDEX('Per Invoice'!B$2:B$401,$U93)))</f>
        <v/>
      </c>
      <c r="C93">
        <f>IF($U93="","",IF(INDEX('Per Invoice'!C$2:C$401,$U93)="","",INDEX('Per Invoice'!C$2:C$401,$U93)))</f>
        <v/>
      </c>
      <c r="D93">
        <f>IF($U93="","",IF(INDEX('Per Invoice'!D$2:D$401,$U93)="","",INDEX('Per Invoice'!D$2:D$401,$U93)))</f>
        <v/>
      </c>
      <c r="E93">
        <f>IF($U93="","",IF(INDEX('Per Invoice'!E$2:E$401,$U93)="","",INDEX('Per Invoice'!E$2:E$401,$U93)))</f>
        <v/>
      </c>
      <c r="F93">
        <f>IF($U93="","",IF(INDEX('Per Invoice'!F$2:F$401,$U93)="","",INDEX('Per Invoice'!F$2:F$401,$U93)))</f>
        <v/>
      </c>
      <c r="G93">
        <f>IF($U93="","",IF(INDEX('Per Invoice'!G$2:G$401,$U93)="","",INDEX('Per Invoice'!G$2:G$401,$U93)))</f>
        <v/>
      </c>
      <c r="H93" s="7">
        <f>IF($U93="","",IF(INDEX('Per Invoice'!H$2:H$401,$U93)="","",INDEX('Per Invoice'!H$2:H$401,$U93)))</f>
        <v/>
      </c>
      <c r="I93" s="14">
        <f>IF($U93="","",IF(INDEX('Per Invoice'!I$2:I$401,$U93)="","",INDEX('Per Invoice'!I$2:I$401,$U93)))</f>
        <v/>
      </c>
      <c r="J93">
        <f>IF($U93="","",IF(INDEX('Per Invoice'!J$2:J$401,$U93)="","",INDEX('Per Invoice'!J$2:J$401,$U93)))</f>
        <v/>
      </c>
      <c r="K93">
        <f>IF($U93="","",IF(INDEX('Per Invoice'!K$2:K$401,$U93)="","",INDEX('Per Invoice'!K$2:K$401,$U93)))</f>
        <v/>
      </c>
      <c r="L93" s="7">
        <f>IF($U93="","",IF(INDEX('Per Invoice'!L$2:L$401,$U93)="","",INDEX('Per Invoice'!L$2:L$401,$U93)))</f>
        <v/>
      </c>
      <c r="M93" s="7">
        <f>IF($U93="","",IF(INDEX('Per Invoice'!M$2:M$401,$U93)="","",INDEX('Per Invoice'!M$2:M$401,$U93)))</f>
        <v/>
      </c>
      <c r="N93">
        <f>IF($U93="","",IF(INDEX('Per Invoice'!N$2:N$401,$U93)="","",INDEX('Per Invoice'!N$2:N$401,$U93)))</f>
        <v/>
      </c>
      <c r="O93" s="7">
        <f>IF($U93="","",IF(INDEX('Per Invoice'!O$2:O$401,$U93)="","",INDEX('Per Invoice'!O$2:O$401,$U93)))</f>
        <v/>
      </c>
      <c r="P93" s="7">
        <f>IF($U93="","",IF(INDEX('Per Invoice'!P$2:P$401,$U93)="","",INDEX('Per Invoice'!P$2:P$401,$U93)))</f>
        <v/>
      </c>
      <c r="Q93" s="7">
        <f>IF($U93="","",IF(INDEX('Per Invoice'!Q$2:Q$401,$U93)="","",INDEX('Per Invoice'!Q$2:Q$401,$U93)))</f>
        <v/>
      </c>
      <c r="R93" s="7">
        <f>IF($U93="","",IF(INDEX('Per Invoice'!R$2:R$401,$U93)="","",INDEX('Per Invoice'!R$2:R$401,$U93)))</f>
        <v/>
      </c>
      <c r="S93" s="7">
        <f>IF($U93="","",IF(INDEX('Per Invoice'!S$2:S$401,$U93)="","",INDEX('Per Invoice'!S$2:S$401,$U93)))</f>
        <v/>
      </c>
      <c r="T93" s="7">
        <f>IF($U93="","",IF(INDEX('Per Invoice'!T$2:T$401,$U93)="","",INDEX('Per Invoice'!T$2:T$401,$U93)))</f>
        <v/>
      </c>
      <c r="U93" s="16">
        <f>IFERROR(MATCH(Settings!$C$27&amp;"|"&amp;ROWS($U$2:$U93),'Per Invoice'!$V$2:$V$401,0),"")</f>
        <v/>
      </c>
    </row>
    <row r="94">
      <c r="A94">
        <f>IF($U94="","",IF(INDEX('Per Invoice'!A$2:A$401,$U94)="","",INDEX('Per Invoice'!A$2:A$401,$U94)))</f>
        <v/>
      </c>
      <c r="B94">
        <f>IF($U94="","",IF(INDEX('Per Invoice'!B$2:B$401,$U94)="","",INDEX('Per Invoice'!B$2:B$401,$U94)))</f>
        <v/>
      </c>
      <c r="C94">
        <f>IF($U94="","",IF(INDEX('Per Invoice'!C$2:C$401,$U94)="","",INDEX('Per Invoice'!C$2:C$401,$U94)))</f>
        <v/>
      </c>
      <c r="D94">
        <f>IF($U94="","",IF(INDEX('Per Invoice'!D$2:D$401,$U94)="","",INDEX('Per Invoice'!D$2:D$401,$U94)))</f>
        <v/>
      </c>
      <c r="E94">
        <f>IF($U94="","",IF(INDEX('Per Invoice'!E$2:E$401,$U94)="","",INDEX('Per Invoice'!E$2:E$401,$U94)))</f>
        <v/>
      </c>
      <c r="F94">
        <f>IF($U94="","",IF(INDEX('Per Invoice'!F$2:F$401,$U94)="","",INDEX('Per Invoice'!F$2:F$401,$U94)))</f>
        <v/>
      </c>
      <c r="G94">
        <f>IF($U94="","",IF(INDEX('Per Invoice'!G$2:G$401,$U94)="","",INDEX('Per Invoice'!G$2:G$401,$U94)))</f>
        <v/>
      </c>
      <c r="H94" s="7">
        <f>IF($U94="","",IF(INDEX('Per Invoice'!H$2:H$401,$U94)="","",INDEX('Per Invoice'!H$2:H$401,$U94)))</f>
        <v/>
      </c>
      <c r="I94" s="14">
        <f>IF($U94="","",IF(INDEX('Per Invoice'!I$2:I$401,$U94)="","",INDEX('Per Invoice'!I$2:I$401,$U94)))</f>
        <v/>
      </c>
      <c r="J94">
        <f>IF($U94="","",IF(INDEX('Per Invoice'!J$2:J$401,$U94)="","",INDEX('Per Invoice'!J$2:J$401,$U94)))</f>
        <v/>
      </c>
      <c r="K94">
        <f>IF($U94="","",IF(INDEX('Per Invoice'!K$2:K$401,$U94)="","",INDEX('Per Invoice'!K$2:K$401,$U94)))</f>
        <v/>
      </c>
      <c r="L94" s="7">
        <f>IF($U94="","",IF(INDEX('Per Invoice'!L$2:L$401,$U94)="","",INDEX('Per Invoice'!L$2:L$401,$U94)))</f>
        <v/>
      </c>
      <c r="M94" s="7">
        <f>IF($U94="","",IF(INDEX('Per Invoice'!M$2:M$401,$U94)="","",INDEX('Per Invoice'!M$2:M$401,$U94)))</f>
        <v/>
      </c>
      <c r="N94">
        <f>IF($U94="","",IF(INDEX('Per Invoice'!N$2:N$401,$U94)="","",INDEX('Per Invoice'!N$2:N$401,$U94)))</f>
        <v/>
      </c>
      <c r="O94" s="7">
        <f>IF($U94="","",IF(INDEX('Per Invoice'!O$2:O$401,$U94)="","",INDEX('Per Invoice'!O$2:O$401,$U94)))</f>
        <v/>
      </c>
      <c r="P94" s="7">
        <f>IF($U94="","",IF(INDEX('Per Invoice'!P$2:P$401,$U94)="","",INDEX('Per Invoice'!P$2:P$401,$U94)))</f>
        <v/>
      </c>
      <c r="Q94" s="7">
        <f>IF($U94="","",IF(INDEX('Per Invoice'!Q$2:Q$401,$U94)="","",INDEX('Per Invoice'!Q$2:Q$401,$U94)))</f>
        <v/>
      </c>
      <c r="R94" s="7">
        <f>IF($U94="","",IF(INDEX('Per Invoice'!R$2:R$401,$U94)="","",INDEX('Per Invoice'!R$2:R$401,$U94)))</f>
        <v/>
      </c>
      <c r="S94" s="7">
        <f>IF($U94="","",IF(INDEX('Per Invoice'!S$2:S$401,$U94)="","",INDEX('Per Invoice'!S$2:S$401,$U94)))</f>
        <v/>
      </c>
      <c r="T94" s="7">
        <f>IF($U94="","",IF(INDEX('Per Invoice'!T$2:T$401,$U94)="","",INDEX('Per Invoice'!T$2:T$401,$U94)))</f>
        <v/>
      </c>
      <c r="U94" s="16">
        <f>IFERROR(MATCH(Settings!$C$27&amp;"|"&amp;ROWS($U$2:$U94),'Per Invoice'!$V$2:$V$401,0),"")</f>
        <v/>
      </c>
    </row>
    <row r="95">
      <c r="A95">
        <f>IF($U95="","",IF(INDEX('Per Invoice'!A$2:A$401,$U95)="","",INDEX('Per Invoice'!A$2:A$401,$U95)))</f>
        <v/>
      </c>
      <c r="B95">
        <f>IF($U95="","",IF(INDEX('Per Invoice'!B$2:B$401,$U95)="","",INDEX('Per Invoice'!B$2:B$401,$U95)))</f>
        <v/>
      </c>
      <c r="C95">
        <f>IF($U95="","",IF(INDEX('Per Invoice'!C$2:C$401,$U95)="","",INDEX('Per Invoice'!C$2:C$401,$U95)))</f>
        <v/>
      </c>
      <c r="D95">
        <f>IF($U95="","",IF(INDEX('Per Invoice'!D$2:D$401,$U95)="","",INDEX('Per Invoice'!D$2:D$401,$U95)))</f>
        <v/>
      </c>
      <c r="E95">
        <f>IF($U95="","",IF(INDEX('Per Invoice'!E$2:E$401,$U95)="","",INDEX('Per Invoice'!E$2:E$401,$U95)))</f>
        <v/>
      </c>
      <c r="F95">
        <f>IF($U95="","",IF(INDEX('Per Invoice'!F$2:F$401,$U95)="","",INDEX('Per Invoice'!F$2:F$401,$U95)))</f>
        <v/>
      </c>
      <c r="G95">
        <f>IF($U95="","",IF(INDEX('Per Invoice'!G$2:G$401,$U95)="","",INDEX('Per Invoice'!G$2:G$401,$U95)))</f>
        <v/>
      </c>
      <c r="H95" s="7">
        <f>IF($U95="","",IF(INDEX('Per Invoice'!H$2:H$401,$U95)="","",INDEX('Per Invoice'!H$2:H$401,$U95)))</f>
        <v/>
      </c>
      <c r="I95" s="14">
        <f>IF($U95="","",IF(INDEX('Per Invoice'!I$2:I$401,$U95)="","",INDEX('Per Invoice'!I$2:I$401,$U95)))</f>
        <v/>
      </c>
      <c r="J95">
        <f>IF($U95="","",IF(INDEX('Per Invoice'!J$2:J$401,$U95)="","",INDEX('Per Invoice'!J$2:J$401,$U95)))</f>
        <v/>
      </c>
      <c r="K95">
        <f>IF($U95="","",IF(INDEX('Per Invoice'!K$2:K$401,$U95)="","",INDEX('Per Invoice'!K$2:K$401,$U95)))</f>
        <v/>
      </c>
      <c r="L95" s="7">
        <f>IF($U95="","",IF(INDEX('Per Invoice'!L$2:L$401,$U95)="","",INDEX('Per Invoice'!L$2:L$401,$U95)))</f>
        <v/>
      </c>
      <c r="M95" s="7">
        <f>IF($U95="","",IF(INDEX('Per Invoice'!M$2:M$401,$U95)="","",INDEX('Per Invoice'!M$2:M$401,$U95)))</f>
        <v/>
      </c>
      <c r="N95">
        <f>IF($U95="","",IF(INDEX('Per Invoice'!N$2:N$401,$U95)="","",INDEX('Per Invoice'!N$2:N$401,$U95)))</f>
        <v/>
      </c>
      <c r="O95" s="7">
        <f>IF($U95="","",IF(INDEX('Per Invoice'!O$2:O$401,$U95)="","",INDEX('Per Invoice'!O$2:O$401,$U95)))</f>
        <v/>
      </c>
      <c r="P95" s="7">
        <f>IF($U95="","",IF(INDEX('Per Invoice'!P$2:P$401,$U95)="","",INDEX('Per Invoice'!P$2:P$401,$U95)))</f>
        <v/>
      </c>
      <c r="Q95" s="7">
        <f>IF($U95="","",IF(INDEX('Per Invoice'!Q$2:Q$401,$U95)="","",INDEX('Per Invoice'!Q$2:Q$401,$U95)))</f>
        <v/>
      </c>
      <c r="R95" s="7">
        <f>IF($U95="","",IF(INDEX('Per Invoice'!R$2:R$401,$U95)="","",INDEX('Per Invoice'!R$2:R$401,$U95)))</f>
        <v/>
      </c>
      <c r="S95" s="7">
        <f>IF($U95="","",IF(INDEX('Per Invoice'!S$2:S$401,$U95)="","",INDEX('Per Invoice'!S$2:S$401,$U95)))</f>
        <v/>
      </c>
      <c r="T95" s="7">
        <f>IF($U95="","",IF(INDEX('Per Invoice'!T$2:T$401,$U95)="","",INDEX('Per Invoice'!T$2:T$401,$U95)))</f>
        <v/>
      </c>
      <c r="U95" s="16">
        <f>IFERROR(MATCH(Settings!$C$27&amp;"|"&amp;ROWS($U$2:$U95),'Per Invoice'!$V$2:$V$401,0),"")</f>
        <v/>
      </c>
    </row>
    <row r="96">
      <c r="A96">
        <f>IF($U96="","",IF(INDEX('Per Invoice'!A$2:A$401,$U96)="","",INDEX('Per Invoice'!A$2:A$401,$U96)))</f>
        <v/>
      </c>
      <c r="B96">
        <f>IF($U96="","",IF(INDEX('Per Invoice'!B$2:B$401,$U96)="","",INDEX('Per Invoice'!B$2:B$401,$U96)))</f>
        <v/>
      </c>
      <c r="C96">
        <f>IF($U96="","",IF(INDEX('Per Invoice'!C$2:C$401,$U96)="","",INDEX('Per Invoice'!C$2:C$401,$U96)))</f>
        <v/>
      </c>
      <c r="D96">
        <f>IF($U96="","",IF(INDEX('Per Invoice'!D$2:D$401,$U96)="","",INDEX('Per Invoice'!D$2:D$401,$U96)))</f>
        <v/>
      </c>
      <c r="E96">
        <f>IF($U96="","",IF(INDEX('Per Invoice'!E$2:E$401,$U96)="","",INDEX('Per Invoice'!E$2:E$401,$U96)))</f>
        <v/>
      </c>
      <c r="F96">
        <f>IF($U96="","",IF(INDEX('Per Invoice'!F$2:F$401,$U96)="","",INDEX('Per Invoice'!F$2:F$401,$U96)))</f>
        <v/>
      </c>
      <c r="G96">
        <f>IF($U96="","",IF(INDEX('Per Invoice'!G$2:G$401,$U96)="","",INDEX('Per Invoice'!G$2:G$401,$U96)))</f>
        <v/>
      </c>
      <c r="H96" s="7">
        <f>IF($U96="","",IF(INDEX('Per Invoice'!H$2:H$401,$U96)="","",INDEX('Per Invoice'!H$2:H$401,$U96)))</f>
        <v/>
      </c>
      <c r="I96" s="14">
        <f>IF($U96="","",IF(INDEX('Per Invoice'!I$2:I$401,$U96)="","",INDEX('Per Invoice'!I$2:I$401,$U96)))</f>
        <v/>
      </c>
      <c r="J96">
        <f>IF($U96="","",IF(INDEX('Per Invoice'!J$2:J$401,$U96)="","",INDEX('Per Invoice'!J$2:J$401,$U96)))</f>
        <v/>
      </c>
      <c r="K96">
        <f>IF($U96="","",IF(INDEX('Per Invoice'!K$2:K$401,$U96)="","",INDEX('Per Invoice'!K$2:K$401,$U96)))</f>
        <v/>
      </c>
      <c r="L96" s="7">
        <f>IF($U96="","",IF(INDEX('Per Invoice'!L$2:L$401,$U96)="","",INDEX('Per Invoice'!L$2:L$401,$U96)))</f>
        <v/>
      </c>
      <c r="M96" s="7">
        <f>IF($U96="","",IF(INDEX('Per Invoice'!M$2:M$401,$U96)="","",INDEX('Per Invoice'!M$2:M$401,$U96)))</f>
        <v/>
      </c>
      <c r="N96">
        <f>IF($U96="","",IF(INDEX('Per Invoice'!N$2:N$401,$U96)="","",INDEX('Per Invoice'!N$2:N$401,$U96)))</f>
        <v/>
      </c>
      <c r="O96" s="7">
        <f>IF($U96="","",IF(INDEX('Per Invoice'!O$2:O$401,$U96)="","",INDEX('Per Invoice'!O$2:O$401,$U96)))</f>
        <v/>
      </c>
      <c r="P96" s="7">
        <f>IF($U96="","",IF(INDEX('Per Invoice'!P$2:P$401,$U96)="","",INDEX('Per Invoice'!P$2:P$401,$U96)))</f>
        <v/>
      </c>
      <c r="Q96" s="7">
        <f>IF($U96="","",IF(INDEX('Per Invoice'!Q$2:Q$401,$U96)="","",INDEX('Per Invoice'!Q$2:Q$401,$U96)))</f>
        <v/>
      </c>
      <c r="R96" s="7">
        <f>IF($U96="","",IF(INDEX('Per Invoice'!R$2:R$401,$U96)="","",INDEX('Per Invoice'!R$2:R$401,$U96)))</f>
        <v/>
      </c>
      <c r="S96" s="7">
        <f>IF($U96="","",IF(INDEX('Per Invoice'!S$2:S$401,$U96)="","",INDEX('Per Invoice'!S$2:S$401,$U96)))</f>
        <v/>
      </c>
      <c r="T96" s="7">
        <f>IF($U96="","",IF(INDEX('Per Invoice'!T$2:T$401,$U96)="","",INDEX('Per Invoice'!T$2:T$401,$U96)))</f>
        <v/>
      </c>
      <c r="U96" s="16">
        <f>IFERROR(MATCH(Settings!$C$27&amp;"|"&amp;ROWS($U$2:$U96),'Per Invoice'!$V$2:$V$401,0),"")</f>
        <v/>
      </c>
    </row>
    <row r="97">
      <c r="A97">
        <f>IF($U97="","",IF(INDEX('Per Invoice'!A$2:A$401,$U97)="","",INDEX('Per Invoice'!A$2:A$401,$U97)))</f>
        <v/>
      </c>
      <c r="B97">
        <f>IF($U97="","",IF(INDEX('Per Invoice'!B$2:B$401,$U97)="","",INDEX('Per Invoice'!B$2:B$401,$U97)))</f>
        <v/>
      </c>
      <c r="C97">
        <f>IF($U97="","",IF(INDEX('Per Invoice'!C$2:C$401,$U97)="","",INDEX('Per Invoice'!C$2:C$401,$U97)))</f>
        <v/>
      </c>
      <c r="D97">
        <f>IF($U97="","",IF(INDEX('Per Invoice'!D$2:D$401,$U97)="","",INDEX('Per Invoice'!D$2:D$401,$U97)))</f>
        <v/>
      </c>
      <c r="E97">
        <f>IF($U97="","",IF(INDEX('Per Invoice'!E$2:E$401,$U97)="","",INDEX('Per Invoice'!E$2:E$401,$U97)))</f>
        <v/>
      </c>
      <c r="F97">
        <f>IF($U97="","",IF(INDEX('Per Invoice'!F$2:F$401,$U97)="","",INDEX('Per Invoice'!F$2:F$401,$U97)))</f>
        <v/>
      </c>
      <c r="G97">
        <f>IF($U97="","",IF(INDEX('Per Invoice'!G$2:G$401,$U97)="","",INDEX('Per Invoice'!G$2:G$401,$U97)))</f>
        <v/>
      </c>
      <c r="H97" s="7">
        <f>IF($U97="","",IF(INDEX('Per Invoice'!H$2:H$401,$U97)="","",INDEX('Per Invoice'!H$2:H$401,$U97)))</f>
        <v/>
      </c>
      <c r="I97" s="14">
        <f>IF($U97="","",IF(INDEX('Per Invoice'!I$2:I$401,$U97)="","",INDEX('Per Invoice'!I$2:I$401,$U97)))</f>
        <v/>
      </c>
      <c r="J97">
        <f>IF($U97="","",IF(INDEX('Per Invoice'!J$2:J$401,$U97)="","",INDEX('Per Invoice'!J$2:J$401,$U97)))</f>
        <v/>
      </c>
      <c r="K97">
        <f>IF($U97="","",IF(INDEX('Per Invoice'!K$2:K$401,$U97)="","",INDEX('Per Invoice'!K$2:K$401,$U97)))</f>
        <v/>
      </c>
      <c r="L97" s="7">
        <f>IF($U97="","",IF(INDEX('Per Invoice'!L$2:L$401,$U97)="","",INDEX('Per Invoice'!L$2:L$401,$U97)))</f>
        <v/>
      </c>
      <c r="M97" s="7">
        <f>IF($U97="","",IF(INDEX('Per Invoice'!M$2:M$401,$U97)="","",INDEX('Per Invoice'!M$2:M$401,$U97)))</f>
        <v/>
      </c>
      <c r="N97">
        <f>IF($U97="","",IF(INDEX('Per Invoice'!N$2:N$401,$U97)="","",INDEX('Per Invoice'!N$2:N$401,$U97)))</f>
        <v/>
      </c>
      <c r="O97" s="7">
        <f>IF($U97="","",IF(INDEX('Per Invoice'!O$2:O$401,$U97)="","",INDEX('Per Invoice'!O$2:O$401,$U97)))</f>
        <v/>
      </c>
      <c r="P97" s="7">
        <f>IF($U97="","",IF(INDEX('Per Invoice'!P$2:P$401,$U97)="","",INDEX('Per Invoice'!P$2:P$401,$U97)))</f>
        <v/>
      </c>
      <c r="Q97" s="7">
        <f>IF($U97="","",IF(INDEX('Per Invoice'!Q$2:Q$401,$U97)="","",INDEX('Per Invoice'!Q$2:Q$401,$U97)))</f>
        <v/>
      </c>
      <c r="R97" s="7">
        <f>IF($U97="","",IF(INDEX('Per Invoice'!R$2:R$401,$U97)="","",INDEX('Per Invoice'!R$2:R$401,$U97)))</f>
        <v/>
      </c>
      <c r="S97" s="7">
        <f>IF($U97="","",IF(INDEX('Per Invoice'!S$2:S$401,$U97)="","",INDEX('Per Invoice'!S$2:S$401,$U97)))</f>
        <v/>
      </c>
      <c r="T97" s="7">
        <f>IF($U97="","",IF(INDEX('Per Invoice'!T$2:T$401,$U97)="","",INDEX('Per Invoice'!T$2:T$401,$U97)))</f>
        <v/>
      </c>
      <c r="U97" s="16">
        <f>IFERROR(MATCH(Settings!$C$27&amp;"|"&amp;ROWS($U$2:$U97),'Per Invoice'!$V$2:$V$401,0),"")</f>
        <v/>
      </c>
    </row>
    <row r="98">
      <c r="A98">
        <f>IF($U98="","",IF(INDEX('Per Invoice'!A$2:A$401,$U98)="","",INDEX('Per Invoice'!A$2:A$401,$U98)))</f>
        <v/>
      </c>
      <c r="B98">
        <f>IF($U98="","",IF(INDEX('Per Invoice'!B$2:B$401,$U98)="","",INDEX('Per Invoice'!B$2:B$401,$U98)))</f>
        <v/>
      </c>
      <c r="C98">
        <f>IF($U98="","",IF(INDEX('Per Invoice'!C$2:C$401,$U98)="","",INDEX('Per Invoice'!C$2:C$401,$U98)))</f>
        <v/>
      </c>
      <c r="D98">
        <f>IF($U98="","",IF(INDEX('Per Invoice'!D$2:D$401,$U98)="","",INDEX('Per Invoice'!D$2:D$401,$U98)))</f>
        <v/>
      </c>
      <c r="E98">
        <f>IF($U98="","",IF(INDEX('Per Invoice'!E$2:E$401,$U98)="","",INDEX('Per Invoice'!E$2:E$401,$U98)))</f>
        <v/>
      </c>
      <c r="F98">
        <f>IF($U98="","",IF(INDEX('Per Invoice'!F$2:F$401,$U98)="","",INDEX('Per Invoice'!F$2:F$401,$U98)))</f>
        <v/>
      </c>
      <c r="G98">
        <f>IF($U98="","",IF(INDEX('Per Invoice'!G$2:G$401,$U98)="","",INDEX('Per Invoice'!G$2:G$401,$U98)))</f>
        <v/>
      </c>
      <c r="H98" s="7">
        <f>IF($U98="","",IF(INDEX('Per Invoice'!H$2:H$401,$U98)="","",INDEX('Per Invoice'!H$2:H$401,$U98)))</f>
        <v/>
      </c>
      <c r="I98" s="14">
        <f>IF($U98="","",IF(INDEX('Per Invoice'!I$2:I$401,$U98)="","",INDEX('Per Invoice'!I$2:I$401,$U98)))</f>
        <v/>
      </c>
      <c r="J98">
        <f>IF($U98="","",IF(INDEX('Per Invoice'!J$2:J$401,$U98)="","",INDEX('Per Invoice'!J$2:J$401,$U98)))</f>
        <v/>
      </c>
      <c r="K98">
        <f>IF($U98="","",IF(INDEX('Per Invoice'!K$2:K$401,$U98)="","",INDEX('Per Invoice'!K$2:K$401,$U98)))</f>
        <v/>
      </c>
      <c r="L98" s="7">
        <f>IF($U98="","",IF(INDEX('Per Invoice'!L$2:L$401,$U98)="","",INDEX('Per Invoice'!L$2:L$401,$U98)))</f>
        <v/>
      </c>
      <c r="M98" s="7">
        <f>IF($U98="","",IF(INDEX('Per Invoice'!M$2:M$401,$U98)="","",INDEX('Per Invoice'!M$2:M$401,$U98)))</f>
        <v/>
      </c>
      <c r="N98">
        <f>IF($U98="","",IF(INDEX('Per Invoice'!N$2:N$401,$U98)="","",INDEX('Per Invoice'!N$2:N$401,$U98)))</f>
        <v/>
      </c>
      <c r="O98" s="7">
        <f>IF($U98="","",IF(INDEX('Per Invoice'!O$2:O$401,$U98)="","",INDEX('Per Invoice'!O$2:O$401,$U98)))</f>
        <v/>
      </c>
      <c r="P98" s="7">
        <f>IF($U98="","",IF(INDEX('Per Invoice'!P$2:P$401,$U98)="","",INDEX('Per Invoice'!P$2:P$401,$U98)))</f>
        <v/>
      </c>
      <c r="Q98" s="7">
        <f>IF($U98="","",IF(INDEX('Per Invoice'!Q$2:Q$401,$U98)="","",INDEX('Per Invoice'!Q$2:Q$401,$U98)))</f>
        <v/>
      </c>
      <c r="R98" s="7">
        <f>IF($U98="","",IF(INDEX('Per Invoice'!R$2:R$401,$U98)="","",INDEX('Per Invoice'!R$2:R$401,$U98)))</f>
        <v/>
      </c>
      <c r="S98" s="7">
        <f>IF($U98="","",IF(INDEX('Per Invoice'!S$2:S$401,$U98)="","",INDEX('Per Invoice'!S$2:S$401,$U98)))</f>
        <v/>
      </c>
      <c r="T98" s="7">
        <f>IF($U98="","",IF(INDEX('Per Invoice'!T$2:T$401,$U98)="","",INDEX('Per Invoice'!T$2:T$401,$U98)))</f>
        <v/>
      </c>
      <c r="U98" s="16">
        <f>IFERROR(MATCH(Settings!$C$27&amp;"|"&amp;ROWS($U$2:$U98),'Per Invoice'!$V$2:$V$401,0),"")</f>
        <v/>
      </c>
    </row>
    <row r="99">
      <c r="A99">
        <f>IF($U99="","",IF(INDEX('Per Invoice'!A$2:A$401,$U99)="","",INDEX('Per Invoice'!A$2:A$401,$U99)))</f>
        <v/>
      </c>
      <c r="B99">
        <f>IF($U99="","",IF(INDEX('Per Invoice'!B$2:B$401,$U99)="","",INDEX('Per Invoice'!B$2:B$401,$U99)))</f>
        <v/>
      </c>
      <c r="C99">
        <f>IF($U99="","",IF(INDEX('Per Invoice'!C$2:C$401,$U99)="","",INDEX('Per Invoice'!C$2:C$401,$U99)))</f>
        <v/>
      </c>
      <c r="D99">
        <f>IF($U99="","",IF(INDEX('Per Invoice'!D$2:D$401,$U99)="","",INDEX('Per Invoice'!D$2:D$401,$U99)))</f>
        <v/>
      </c>
      <c r="E99">
        <f>IF($U99="","",IF(INDEX('Per Invoice'!E$2:E$401,$U99)="","",INDEX('Per Invoice'!E$2:E$401,$U99)))</f>
        <v/>
      </c>
      <c r="F99">
        <f>IF($U99="","",IF(INDEX('Per Invoice'!F$2:F$401,$U99)="","",INDEX('Per Invoice'!F$2:F$401,$U99)))</f>
        <v/>
      </c>
      <c r="G99">
        <f>IF($U99="","",IF(INDEX('Per Invoice'!G$2:G$401,$U99)="","",INDEX('Per Invoice'!G$2:G$401,$U99)))</f>
        <v/>
      </c>
      <c r="H99" s="7">
        <f>IF($U99="","",IF(INDEX('Per Invoice'!H$2:H$401,$U99)="","",INDEX('Per Invoice'!H$2:H$401,$U99)))</f>
        <v/>
      </c>
      <c r="I99" s="14">
        <f>IF($U99="","",IF(INDEX('Per Invoice'!I$2:I$401,$U99)="","",INDEX('Per Invoice'!I$2:I$401,$U99)))</f>
        <v/>
      </c>
      <c r="J99">
        <f>IF($U99="","",IF(INDEX('Per Invoice'!J$2:J$401,$U99)="","",INDEX('Per Invoice'!J$2:J$401,$U99)))</f>
        <v/>
      </c>
      <c r="K99">
        <f>IF($U99="","",IF(INDEX('Per Invoice'!K$2:K$401,$U99)="","",INDEX('Per Invoice'!K$2:K$401,$U99)))</f>
        <v/>
      </c>
      <c r="L99" s="7">
        <f>IF($U99="","",IF(INDEX('Per Invoice'!L$2:L$401,$U99)="","",INDEX('Per Invoice'!L$2:L$401,$U99)))</f>
        <v/>
      </c>
      <c r="M99" s="7">
        <f>IF($U99="","",IF(INDEX('Per Invoice'!M$2:M$401,$U99)="","",INDEX('Per Invoice'!M$2:M$401,$U99)))</f>
        <v/>
      </c>
      <c r="N99">
        <f>IF($U99="","",IF(INDEX('Per Invoice'!N$2:N$401,$U99)="","",INDEX('Per Invoice'!N$2:N$401,$U99)))</f>
        <v/>
      </c>
      <c r="O99" s="7">
        <f>IF($U99="","",IF(INDEX('Per Invoice'!O$2:O$401,$U99)="","",INDEX('Per Invoice'!O$2:O$401,$U99)))</f>
        <v/>
      </c>
      <c r="P99" s="7">
        <f>IF($U99="","",IF(INDEX('Per Invoice'!P$2:P$401,$U99)="","",INDEX('Per Invoice'!P$2:P$401,$U99)))</f>
        <v/>
      </c>
      <c r="Q99" s="7">
        <f>IF($U99="","",IF(INDEX('Per Invoice'!Q$2:Q$401,$U99)="","",INDEX('Per Invoice'!Q$2:Q$401,$U99)))</f>
        <v/>
      </c>
      <c r="R99" s="7">
        <f>IF($U99="","",IF(INDEX('Per Invoice'!R$2:R$401,$U99)="","",INDEX('Per Invoice'!R$2:R$401,$U99)))</f>
        <v/>
      </c>
      <c r="S99" s="7">
        <f>IF($U99="","",IF(INDEX('Per Invoice'!S$2:S$401,$U99)="","",INDEX('Per Invoice'!S$2:S$401,$U99)))</f>
        <v/>
      </c>
      <c r="T99" s="7">
        <f>IF($U99="","",IF(INDEX('Per Invoice'!T$2:T$401,$U99)="","",INDEX('Per Invoice'!T$2:T$401,$U99)))</f>
        <v/>
      </c>
      <c r="U99" s="16">
        <f>IFERROR(MATCH(Settings!$C$27&amp;"|"&amp;ROWS($U$2:$U99),'Per Invoice'!$V$2:$V$401,0),"")</f>
        <v/>
      </c>
    </row>
    <row r="100">
      <c r="A100">
        <f>IF($U100="","",IF(INDEX('Per Invoice'!A$2:A$401,$U100)="","",INDEX('Per Invoice'!A$2:A$401,$U100)))</f>
        <v/>
      </c>
      <c r="B100">
        <f>IF($U100="","",IF(INDEX('Per Invoice'!B$2:B$401,$U100)="","",INDEX('Per Invoice'!B$2:B$401,$U100)))</f>
        <v/>
      </c>
      <c r="C100">
        <f>IF($U100="","",IF(INDEX('Per Invoice'!C$2:C$401,$U100)="","",INDEX('Per Invoice'!C$2:C$401,$U100)))</f>
        <v/>
      </c>
      <c r="D100">
        <f>IF($U100="","",IF(INDEX('Per Invoice'!D$2:D$401,$U100)="","",INDEX('Per Invoice'!D$2:D$401,$U100)))</f>
        <v/>
      </c>
      <c r="E100">
        <f>IF($U100="","",IF(INDEX('Per Invoice'!E$2:E$401,$U100)="","",INDEX('Per Invoice'!E$2:E$401,$U100)))</f>
        <v/>
      </c>
      <c r="F100">
        <f>IF($U100="","",IF(INDEX('Per Invoice'!F$2:F$401,$U100)="","",INDEX('Per Invoice'!F$2:F$401,$U100)))</f>
        <v/>
      </c>
      <c r="G100">
        <f>IF($U100="","",IF(INDEX('Per Invoice'!G$2:G$401,$U100)="","",INDEX('Per Invoice'!G$2:G$401,$U100)))</f>
        <v/>
      </c>
      <c r="H100" s="7">
        <f>IF($U100="","",IF(INDEX('Per Invoice'!H$2:H$401,$U100)="","",INDEX('Per Invoice'!H$2:H$401,$U100)))</f>
        <v/>
      </c>
      <c r="I100" s="14">
        <f>IF($U100="","",IF(INDEX('Per Invoice'!I$2:I$401,$U100)="","",INDEX('Per Invoice'!I$2:I$401,$U100)))</f>
        <v/>
      </c>
      <c r="J100">
        <f>IF($U100="","",IF(INDEX('Per Invoice'!J$2:J$401,$U100)="","",INDEX('Per Invoice'!J$2:J$401,$U100)))</f>
        <v/>
      </c>
      <c r="K100">
        <f>IF($U100="","",IF(INDEX('Per Invoice'!K$2:K$401,$U100)="","",INDEX('Per Invoice'!K$2:K$401,$U100)))</f>
        <v/>
      </c>
      <c r="L100" s="7">
        <f>IF($U100="","",IF(INDEX('Per Invoice'!L$2:L$401,$U100)="","",INDEX('Per Invoice'!L$2:L$401,$U100)))</f>
        <v/>
      </c>
      <c r="M100" s="7">
        <f>IF($U100="","",IF(INDEX('Per Invoice'!M$2:M$401,$U100)="","",INDEX('Per Invoice'!M$2:M$401,$U100)))</f>
        <v/>
      </c>
      <c r="N100">
        <f>IF($U100="","",IF(INDEX('Per Invoice'!N$2:N$401,$U100)="","",INDEX('Per Invoice'!N$2:N$401,$U100)))</f>
        <v/>
      </c>
      <c r="O100" s="7">
        <f>IF($U100="","",IF(INDEX('Per Invoice'!O$2:O$401,$U100)="","",INDEX('Per Invoice'!O$2:O$401,$U100)))</f>
        <v/>
      </c>
      <c r="P100" s="7">
        <f>IF($U100="","",IF(INDEX('Per Invoice'!P$2:P$401,$U100)="","",INDEX('Per Invoice'!P$2:P$401,$U100)))</f>
        <v/>
      </c>
      <c r="Q100" s="7">
        <f>IF($U100="","",IF(INDEX('Per Invoice'!Q$2:Q$401,$U100)="","",INDEX('Per Invoice'!Q$2:Q$401,$U100)))</f>
        <v/>
      </c>
      <c r="R100" s="7">
        <f>IF($U100="","",IF(INDEX('Per Invoice'!R$2:R$401,$U100)="","",INDEX('Per Invoice'!R$2:R$401,$U100)))</f>
        <v/>
      </c>
      <c r="S100" s="7">
        <f>IF($U100="","",IF(INDEX('Per Invoice'!S$2:S$401,$U100)="","",INDEX('Per Invoice'!S$2:S$401,$U100)))</f>
        <v/>
      </c>
      <c r="T100" s="7">
        <f>IF($U100="","",IF(INDEX('Per Invoice'!T$2:T$401,$U100)="","",INDEX('Per Invoice'!T$2:T$401,$U100)))</f>
        <v/>
      </c>
      <c r="U100" s="16">
        <f>IFERROR(MATCH(Settings!$C$27&amp;"|"&amp;ROWS($U$2:$U100),'Per Invoice'!$V$2:$V$401,0),"")</f>
        <v/>
      </c>
    </row>
    <row r="101">
      <c r="A101">
        <f>IF($U101="","",IF(INDEX('Per Invoice'!A$2:A$401,$U101)="","",INDEX('Per Invoice'!A$2:A$401,$U101)))</f>
        <v/>
      </c>
      <c r="B101">
        <f>IF($U101="","",IF(INDEX('Per Invoice'!B$2:B$401,$U101)="","",INDEX('Per Invoice'!B$2:B$401,$U101)))</f>
        <v/>
      </c>
      <c r="C101">
        <f>IF($U101="","",IF(INDEX('Per Invoice'!C$2:C$401,$U101)="","",INDEX('Per Invoice'!C$2:C$401,$U101)))</f>
        <v/>
      </c>
      <c r="D101">
        <f>IF($U101="","",IF(INDEX('Per Invoice'!D$2:D$401,$U101)="","",INDEX('Per Invoice'!D$2:D$401,$U101)))</f>
        <v/>
      </c>
      <c r="E101">
        <f>IF($U101="","",IF(INDEX('Per Invoice'!E$2:E$401,$U101)="","",INDEX('Per Invoice'!E$2:E$401,$U101)))</f>
        <v/>
      </c>
      <c r="F101">
        <f>IF($U101="","",IF(INDEX('Per Invoice'!F$2:F$401,$U101)="","",INDEX('Per Invoice'!F$2:F$401,$U101)))</f>
        <v/>
      </c>
      <c r="G101">
        <f>IF($U101="","",IF(INDEX('Per Invoice'!G$2:G$401,$U101)="","",INDEX('Per Invoice'!G$2:G$401,$U101)))</f>
        <v/>
      </c>
      <c r="H101" s="7">
        <f>IF($U101="","",IF(INDEX('Per Invoice'!H$2:H$401,$U101)="","",INDEX('Per Invoice'!H$2:H$401,$U101)))</f>
        <v/>
      </c>
      <c r="I101" s="14">
        <f>IF($U101="","",IF(INDEX('Per Invoice'!I$2:I$401,$U101)="","",INDEX('Per Invoice'!I$2:I$401,$U101)))</f>
        <v/>
      </c>
      <c r="J101">
        <f>IF($U101="","",IF(INDEX('Per Invoice'!J$2:J$401,$U101)="","",INDEX('Per Invoice'!J$2:J$401,$U101)))</f>
        <v/>
      </c>
      <c r="K101">
        <f>IF($U101="","",IF(INDEX('Per Invoice'!K$2:K$401,$U101)="","",INDEX('Per Invoice'!K$2:K$401,$U101)))</f>
        <v/>
      </c>
      <c r="L101" s="7">
        <f>IF($U101="","",IF(INDEX('Per Invoice'!L$2:L$401,$U101)="","",INDEX('Per Invoice'!L$2:L$401,$U101)))</f>
        <v/>
      </c>
      <c r="M101" s="7">
        <f>IF($U101="","",IF(INDEX('Per Invoice'!M$2:M$401,$U101)="","",INDEX('Per Invoice'!M$2:M$401,$U101)))</f>
        <v/>
      </c>
      <c r="N101">
        <f>IF($U101="","",IF(INDEX('Per Invoice'!N$2:N$401,$U101)="","",INDEX('Per Invoice'!N$2:N$401,$U101)))</f>
        <v/>
      </c>
      <c r="O101" s="7">
        <f>IF($U101="","",IF(INDEX('Per Invoice'!O$2:O$401,$U101)="","",INDEX('Per Invoice'!O$2:O$401,$U101)))</f>
        <v/>
      </c>
      <c r="P101" s="7">
        <f>IF($U101="","",IF(INDEX('Per Invoice'!P$2:P$401,$U101)="","",INDEX('Per Invoice'!P$2:P$401,$U101)))</f>
        <v/>
      </c>
      <c r="Q101" s="7">
        <f>IF($U101="","",IF(INDEX('Per Invoice'!Q$2:Q$401,$U101)="","",INDEX('Per Invoice'!Q$2:Q$401,$U101)))</f>
        <v/>
      </c>
      <c r="R101" s="7">
        <f>IF($U101="","",IF(INDEX('Per Invoice'!R$2:R$401,$U101)="","",INDEX('Per Invoice'!R$2:R$401,$U101)))</f>
        <v/>
      </c>
      <c r="S101" s="7">
        <f>IF($U101="","",IF(INDEX('Per Invoice'!S$2:S$401,$U101)="","",INDEX('Per Invoice'!S$2:S$401,$U101)))</f>
        <v/>
      </c>
      <c r="T101" s="7">
        <f>IF($U101="","",IF(INDEX('Per Invoice'!T$2:T$401,$U101)="","",INDEX('Per Invoice'!T$2:T$401,$U101)))</f>
        <v/>
      </c>
      <c r="U101" s="16">
        <f>IFERROR(MATCH(Settings!$C$27&amp;"|"&amp;ROWS($U$2:$U101),'Per Invoice'!$V$2:$V$401,0),"")</f>
        <v/>
      </c>
    </row>
    <row r="102">
      <c r="A102">
        <f>IF($U102="","",IF(INDEX('Per Invoice'!A$2:A$401,$U102)="","",INDEX('Per Invoice'!A$2:A$401,$U102)))</f>
        <v/>
      </c>
      <c r="B102">
        <f>IF($U102="","",IF(INDEX('Per Invoice'!B$2:B$401,$U102)="","",INDEX('Per Invoice'!B$2:B$401,$U102)))</f>
        <v/>
      </c>
      <c r="C102">
        <f>IF($U102="","",IF(INDEX('Per Invoice'!C$2:C$401,$U102)="","",INDEX('Per Invoice'!C$2:C$401,$U102)))</f>
        <v/>
      </c>
      <c r="D102">
        <f>IF($U102="","",IF(INDEX('Per Invoice'!D$2:D$401,$U102)="","",INDEX('Per Invoice'!D$2:D$401,$U102)))</f>
        <v/>
      </c>
      <c r="E102">
        <f>IF($U102="","",IF(INDEX('Per Invoice'!E$2:E$401,$U102)="","",INDEX('Per Invoice'!E$2:E$401,$U102)))</f>
        <v/>
      </c>
      <c r="F102">
        <f>IF($U102="","",IF(INDEX('Per Invoice'!F$2:F$401,$U102)="","",INDEX('Per Invoice'!F$2:F$401,$U102)))</f>
        <v/>
      </c>
      <c r="G102">
        <f>IF($U102="","",IF(INDEX('Per Invoice'!G$2:G$401,$U102)="","",INDEX('Per Invoice'!G$2:G$401,$U102)))</f>
        <v/>
      </c>
      <c r="H102" s="7">
        <f>IF($U102="","",IF(INDEX('Per Invoice'!H$2:H$401,$U102)="","",INDEX('Per Invoice'!H$2:H$401,$U102)))</f>
        <v/>
      </c>
      <c r="I102" s="14">
        <f>IF($U102="","",IF(INDEX('Per Invoice'!I$2:I$401,$U102)="","",INDEX('Per Invoice'!I$2:I$401,$U102)))</f>
        <v/>
      </c>
      <c r="J102">
        <f>IF($U102="","",IF(INDEX('Per Invoice'!J$2:J$401,$U102)="","",INDEX('Per Invoice'!J$2:J$401,$U102)))</f>
        <v/>
      </c>
      <c r="K102">
        <f>IF($U102="","",IF(INDEX('Per Invoice'!K$2:K$401,$U102)="","",INDEX('Per Invoice'!K$2:K$401,$U102)))</f>
        <v/>
      </c>
      <c r="L102" s="7">
        <f>IF($U102="","",IF(INDEX('Per Invoice'!L$2:L$401,$U102)="","",INDEX('Per Invoice'!L$2:L$401,$U102)))</f>
        <v/>
      </c>
      <c r="M102" s="7">
        <f>IF($U102="","",IF(INDEX('Per Invoice'!M$2:M$401,$U102)="","",INDEX('Per Invoice'!M$2:M$401,$U102)))</f>
        <v/>
      </c>
      <c r="N102">
        <f>IF($U102="","",IF(INDEX('Per Invoice'!N$2:N$401,$U102)="","",INDEX('Per Invoice'!N$2:N$401,$U102)))</f>
        <v/>
      </c>
      <c r="O102" s="7">
        <f>IF($U102="","",IF(INDEX('Per Invoice'!O$2:O$401,$U102)="","",INDEX('Per Invoice'!O$2:O$401,$U102)))</f>
        <v/>
      </c>
      <c r="P102" s="7">
        <f>IF($U102="","",IF(INDEX('Per Invoice'!P$2:P$401,$U102)="","",INDEX('Per Invoice'!P$2:P$401,$U102)))</f>
        <v/>
      </c>
      <c r="Q102" s="7">
        <f>IF($U102="","",IF(INDEX('Per Invoice'!Q$2:Q$401,$U102)="","",INDEX('Per Invoice'!Q$2:Q$401,$U102)))</f>
        <v/>
      </c>
      <c r="R102" s="7">
        <f>IF($U102="","",IF(INDEX('Per Invoice'!R$2:R$401,$U102)="","",INDEX('Per Invoice'!R$2:R$401,$U102)))</f>
        <v/>
      </c>
      <c r="S102" s="7">
        <f>IF($U102="","",IF(INDEX('Per Invoice'!S$2:S$401,$U102)="","",INDEX('Per Invoice'!S$2:S$401,$U102)))</f>
        <v/>
      </c>
      <c r="T102" s="7">
        <f>IF($U102="","",IF(INDEX('Per Invoice'!T$2:T$401,$U102)="","",INDEX('Per Invoice'!T$2:T$401,$U102)))</f>
        <v/>
      </c>
      <c r="U102" s="16">
        <f>IFERROR(MATCH(Settings!$C$27&amp;"|"&amp;ROWS($U$2:$U102),'Per Invoice'!$V$2:$V$401,0),"")</f>
        <v/>
      </c>
    </row>
    <row r="103">
      <c r="A103">
        <f>IF($U103="","",IF(INDEX('Per Invoice'!A$2:A$401,$U103)="","",INDEX('Per Invoice'!A$2:A$401,$U103)))</f>
        <v/>
      </c>
      <c r="B103">
        <f>IF($U103="","",IF(INDEX('Per Invoice'!B$2:B$401,$U103)="","",INDEX('Per Invoice'!B$2:B$401,$U103)))</f>
        <v/>
      </c>
      <c r="C103">
        <f>IF($U103="","",IF(INDEX('Per Invoice'!C$2:C$401,$U103)="","",INDEX('Per Invoice'!C$2:C$401,$U103)))</f>
        <v/>
      </c>
      <c r="D103">
        <f>IF($U103="","",IF(INDEX('Per Invoice'!D$2:D$401,$U103)="","",INDEX('Per Invoice'!D$2:D$401,$U103)))</f>
        <v/>
      </c>
      <c r="E103">
        <f>IF($U103="","",IF(INDEX('Per Invoice'!E$2:E$401,$U103)="","",INDEX('Per Invoice'!E$2:E$401,$U103)))</f>
        <v/>
      </c>
      <c r="F103">
        <f>IF($U103="","",IF(INDEX('Per Invoice'!F$2:F$401,$U103)="","",INDEX('Per Invoice'!F$2:F$401,$U103)))</f>
        <v/>
      </c>
      <c r="G103">
        <f>IF($U103="","",IF(INDEX('Per Invoice'!G$2:G$401,$U103)="","",INDEX('Per Invoice'!G$2:G$401,$U103)))</f>
        <v/>
      </c>
      <c r="H103" s="7">
        <f>IF($U103="","",IF(INDEX('Per Invoice'!H$2:H$401,$U103)="","",INDEX('Per Invoice'!H$2:H$401,$U103)))</f>
        <v/>
      </c>
      <c r="I103" s="14">
        <f>IF($U103="","",IF(INDEX('Per Invoice'!I$2:I$401,$U103)="","",INDEX('Per Invoice'!I$2:I$401,$U103)))</f>
        <v/>
      </c>
      <c r="J103">
        <f>IF($U103="","",IF(INDEX('Per Invoice'!J$2:J$401,$U103)="","",INDEX('Per Invoice'!J$2:J$401,$U103)))</f>
        <v/>
      </c>
      <c r="K103">
        <f>IF($U103="","",IF(INDEX('Per Invoice'!K$2:K$401,$U103)="","",INDEX('Per Invoice'!K$2:K$401,$U103)))</f>
        <v/>
      </c>
      <c r="L103" s="7">
        <f>IF($U103="","",IF(INDEX('Per Invoice'!L$2:L$401,$U103)="","",INDEX('Per Invoice'!L$2:L$401,$U103)))</f>
        <v/>
      </c>
      <c r="M103" s="7">
        <f>IF($U103="","",IF(INDEX('Per Invoice'!M$2:M$401,$U103)="","",INDEX('Per Invoice'!M$2:M$401,$U103)))</f>
        <v/>
      </c>
      <c r="N103">
        <f>IF($U103="","",IF(INDEX('Per Invoice'!N$2:N$401,$U103)="","",INDEX('Per Invoice'!N$2:N$401,$U103)))</f>
        <v/>
      </c>
      <c r="O103" s="7">
        <f>IF($U103="","",IF(INDEX('Per Invoice'!O$2:O$401,$U103)="","",INDEX('Per Invoice'!O$2:O$401,$U103)))</f>
        <v/>
      </c>
      <c r="P103" s="7">
        <f>IF($U103="","",IF(INDEX('Per Invoice'!P$2:P$401,$U103)="","",INDEX('Per Invoice'!P$2:P$401,$U103)))</f>
        <v/>
      </c>
      <c r="Q103" s="7">
        <f>IF($U103="","",IF(INDEX('Per Invoice'!Q$2:Q$401,$U103)="","",INDEX('Per Invoice'!Q$2:Q$401,$U103)))</f>
        <v/>
      </c>
      <c r="R103" s="7">
        <f>IF($U103="","",IF(INDEX('Per Invoice'!R$2:R$401,$U103)="","",INDEX('Per Invoice'!R$2:R$401,$U103)))</f>
        <v/>
      </c>
      <c r="S103" s="7">
        <f>IF($U103="","",IF(INDEX('Per Invoice'!S$2:S$401,$U103)="","",INDEX('Per Invoice'!S$2:S$401,$U103)))</f>
        <v/>
      </c>
      <c r="T103" s="7">
        <f>IF($U103="","",IF(INDEX('Per Invoice'!T$2:T$401,$U103)="","",INDEX('Per Invoice'!T$2:T$401,$U103)))</f>
        <v/>
      </c>
      <c r="U103" s="16">
        <f>IFERROR(MATCH(Settings!$C$27&amp;"|"&amp;ROWS($U$2:$U103),'Per Invoice'!$V$2:$V$401,0),"")</f>
        <v/>
      </c>
    </row>
    <row r="104">
      <c r="A104">
        <f>IF($U104="","",IF(INDEX('Per Invoice'!A$2:A$401,$U104)="","",INDEX('Per Invoice'!A$2:A$401,$U104)))</f>
        <v/>
      </c>
      <c r="B104">
        <f>IF($U104="","",IF(INDEX('Per Invoice'!B$2:B$401,$U104)="","",INDEX('Per Invoice'!B$2:B$401,$U104)))</f>
        <v/>
      </c>
      <c r="C104">
        <f>IF($U104="","",IF(INDEX('Per Invoice'!C$2:C$401,$U104)="","",INDEX('Per Invoice'!C$2:C$401,$U104)))</f>
        <v/>
      </c>
      <c r="D104">
        <f>IF($U104="","",IF(INDEX('Per Invoice'!D$2:D$401,$U104)="","",INDEX('Per Invoice'!D$2:D$401,$U104)))</f>
        <v/>
      </c>
      <c r="E104">
        <f>IF($U104="","",IF(INDEX('Per Invoice'!E$2:E$401,$U104)="","",INDEX('Per Invoice'!E$2:E$401,$U104)))</f>
        <v/>
      </c>
      <c r="F104">
        <f>IF($U104="","",IF(INDEX('Per Invoice'!F$2:F$401,$U104)="","",INDEX('Per Invoice'!F$2:F$401,$U104)))</f>
        <v/>
      </c>
      <c r="G104">
        <f>IF($U104="","",IF(INDEX('Per Invoice'!G$2:G$401,$U104)="","",INDEX('Per Invoice'!G$2:G$401,$U104)))</f>
        <v/>
      </c>
      <c r="H104" s="7">
        <f>IF($U104="","",IF(INDEX('Per Invoice'!H$2:H$401,$U104)="","",INDEX('Per Invoice'!H$2:H$401,$U104)))</f>
        <v/>
      </c>
      <c r="I104" s="14">
        <f>IF($U104="","",IF(INDEX('Per Invoice'!I$2:I$401,$U104)="","",INDEX('Per Invoice'!I$2:I$401,$U104)))</f>
        <v/>
      </c>
      <c r="J104">
        <f>IF($U104="","",IF(INDEX('Per Invoice'!J$2:J$401,$U104)="","",INDEX('Per Invoice'!J$2:J$401,$U104)))</f>
        <v/>
      </c>
      <c r="K104">
        <f>IF($U104="","",IF(INDEX('Per Invoice'!K$2:K$401,$U104)="","",INDEX('Per Invoice'!K$2:K$401,$U104)))</f>
        <v/>
      </c>
      <c r="L104" s="7">
        <f>IF($U104="","",IF(INDEX('Per Invoice'!L$2:L$401,$U104)="","",INDEX('Per Invoice'!L$2:L$401,$U104)))</f>
        <v/>
      </c>
      <c r="M104" s="7">
        <f>IF($U104="","",IF(INDEX('Per Invoice'!M$2:M$401,$U104)="","",INDEX('Per Invoice'!M$2:M$401,$U104)))</f>
        <v/>
      </c>
      <c r="N104">
        <f>IF($U104="","",IF(INDEX('Per Invoice'!N$2:N$401,$U104)="","",INDEX('Per Invoice'!N$2:N$401,$U104)))</f>
        <v/>
      </c>
      <c r="O104" s="7">
        <f>IF($U104="","",IF(INDEX('Per Invoice'!O$2:O$401,$U104)="","",INDEX('Per Invoice'!O$2:O$401,$U104)))</f>
        <v/>
      </c>
      <c r="P104" s="7">
        <f>IF($U104="","",IF(INDEX('Per Invoice'!P$2:P$401,$U104)="","",INDEX('Per Invoice'!P$2:P$401,$U104)))</f>
        <v/>
      </c>
      <c r="Q104" s="7">
        <f>IF($U104="","",IF(INDEX('Per Invoice'!Q$2:Q$401,$U104)="","",INDEX('Per Invoice'!Q$2:Q$401,$U104)))</f>
        <v/>
      </c>
      <c r="R104" s="7">
        <f>IF($U104="","",IF(INDEX('Per Invoice'!R$2:R$401,$U104)="","",INDEX('Per Invoice'!R$2:R$401,$U104)))</f>
        <v/>
      </c>
      <c r="S104" s="7">
        <f>IF($U104="","",IF(INDEX('Per Invoice'!S$2:S$401,$U104)="","",INDEX('Per Invoice'!S$2:S$401,$U104)))</f>
        <v/>
      </c>
      <c r="T104" s="7">
        <f>IF($U104="","",IF(INDEX('Per Invoice'!T$2:T$401,$U104)="","",INDEX('Per Invoice'!T$2:T$401,$U104)))</f>
        <v/>
      </c>
      <c r="U104" s="16">
        <f>IFERROR(MATCH(Settings!$C$27&amp;"|"&amp;ROWS($U$2:$U104),'Per Invoice'!$V$2:$V$401,0),"")</f>
        <v/>
      </c>
    </row>
    <row r="105">
      <c r="A105">
        <f>IF($U105="","",IF(INDEX('Per Invoice'!A$2:A$401,$U105)="","",INDEX('Per Invoice'!A$2:A$401,$U105)))</f>
        <v/>
      </c>
      <c r="B105">
        <f>IF($U105="","",IF(INDEX('Per Invoice'!B$2:B$401,$U105)="","",INDEX('Per Invoice'!B$2:B$401,$U105)))</f>
        <v/>
      </c>
      <c r="C105">
        <f>IF($U105="","",IF(INDEX('Per Invoice'!C$2:C$401,$U105)="","",INDEX('Per Invoice'!C$2:C$401,$U105)))</f>
        <v/>
      </c>
      <c r="D105">
        <f>IF($U105="","",IF(INDEX('Per Invoice'!D$2:D$401,$U105)="","",INDEX('Per Invoice'!D$2:D$401,$U105)))</f>
        <v/>
      </c>
      <c r="E105">
        <f>IF($U105="","",IF(INDEX('Per Invoice'!E$2:E$401,$U105)="","",INDEX('Per Invoice'!E$2:E$401,$U105)))</f>
        <v/>
      </c>
      <c r="F105">
        <f>IF($U105="","",IF(INDEX('Per Invoice'!F$2:F$401,$U105)="","",INDEX('Per Invoice'!F$2:F$401,$U105)))</f>
        <v/>
      </c>
      <c r="G105">
        <f>IF($U105="","",IF(INDEX('Per Invoice'!G$2:G$401,$U105)="","",INDEX('Per Invoice'!G$2:G$401,$U105)))</f>
        <v/>
      </c>
      <c r="H105" s="7">
        <f>IF($U105="","",IF(INDEX('Per Invoice'!H$2:H$401,$U105)="","",INDEX('Per Invoice'!H$2:H$401,$U105)))</f>
        <v/>
      </c>
      <c r="I105" s="14">
        <f>IF($U105="","",IF(INDEX('Per Invoice'!I$2:I$401,$U105)="","",INDEX('Per Invoice'!I$2:I$401,$U105)))</f>
        <v/>
      </c>
      <c r="J105">
        <f>IF($U105="","",IF(INDEX('Per Invoice'!J$2:J$401,$U105)="","",INDEX('Per Invoice'!J$2:J$401,$U105)))</f>
        <v/>
      </c>
      <c r="K105">
        <f>IF($U105="","",IF(INDEX('Per Invoice'!K$2:K$401,$U105)="","",INDEX('Per Invoice'!K$2:K$401,$U105)))</f>
        <v/>
      </c>
      <c r="L105" s="7">
        <f>IF($U105="","",IF(INDEX('Per Invoice'!L$2:L$401,$U105)="","",INDEX('Per Invoice'!L$2:L$401,$U105)))</f>
        <v/>
      </c>
      <c r="M105" s="7">
        <f>IF($U105="","",IF(INDEX('Per Invoice'!M$2:M$401,$U105)="","",INDEX('Per Invoice'!M$2:M$401,$U105)))</f>
        <v/>
      </c>
      <c r="N105">
        <f>IF($U105="","",IF(INDEX('Per Invoice'!N$2:N$401,$U105)="","",INDEX('Per Invoice'!N$2:N$401,$U105)))</f>
        <v/>
      </c>
      <c r="O105" s="7">
        <f>IF($U105="","",IF(INDEX('Per Invoice'!O$2:O$401,$U105)="","",INDEX('Per Invoice'!O$2:O$401,$U105)))</f>
        <v/>
      </c>
      <c r="P105" s="7">
        <f>IF($U105="","",IF(INDEX('Per Invoice'!P$2:P$401,$U105)="","",INDEX('Per Invoice'!P$2:P$401,$U105)))</f>
        <v/>
      </c>
      <c r="Q105" s="7">
        <f>IF($U105="","",IF(INDEX('Per Invoice'!Q$2:Q$401,$U105)="","",INDEX('Per Invoice'!Q$2:Q$401,$U105)))</f>
        <v/>
      </c>
      <c r="R105" s="7">
        <f>IF($U105="","",IF(INDEX('Per Invoice'!R$2:R$401,$U105)="","",INDEX('Per Invoice'!R$2:R$401,$U105)))</f>
        <v/>
      </c>
      <c r="S105" s="7">
        <f>IF($U105="","",IF(INDEX('Per Invoice'!S$2:S$401,$U105)="","",INDEX('Per Invoice'!S$2:S$401,$U105)))</f>
        <v/>
      </c>
      <c r="T105" s="7">
        <f>IF($U105="","",IF(INDEX('Per Invoice'!T$2:T$401,$U105)="","",INDEX('Per Invoice'!T$2:T$401,$U105)))</f>
        <v/>
      </c>
      <c r="U105" s="16">
        <f>IFERROR(MATCH(Settings!$C$27&amp;"|"&amp;ROWS($U$2:$U105),'Per Invoice'!$V$2:$V$401,0),"")</f>
        <v/>
      </c>
    </row>
    <row r="106">
      <c r="A106">
        <f>IF($U106="","",IF(INDEX('Per Invoice'!A$2:A$401,$U106)="","",INDEX('Per Invoice'!A$2:A$401,$U106)))</f>
        <v/>
      </c>
      <c r="B106">
        <f>IF($U106="","",IF(INDEX('Per Invoice'!B$2:B$401,$U106)="","",INDEX('Per Invoice'!B$2:B$401,$U106)))</f>
        <v/>
      </c>
      <c r="C106">
        <f>IF($U106="","",IF(INDEX('Per Invoice'!C$2:C$401,$U106)="","",INDEX('Per Invoice'!C$2:C$401,$U106)))</f>
        <v/>
      </c>
      <c r="D106">
        <f>IF($U106="","",IF(INDEX('Per Invoice'!D$2:D$401,$U106)="","",INDEX('Per Invoice'!D$2:D$401,$U106)))</f>
        <v/>
      </c>
      <c r="E106">
        <f>IF($U106="","",IF(INDEX('Per Invoice'!E$2:E$401,$U106)="","",INDEX('Per Invoice'!E$2:E$401,$U106)))</f>
        <v/>
      </c>
      <c r="F106">
        <f>IF($U106="","",IF(INDEX('Per Invoice'!F$2:F$401,$U106)="","",INDEX('Per Invoice'!F$2:F$401,$U106)))</f>
        <v/>
      </c>
      <c r="G106">
        <f>IF($U106="","",IF(INDEX('Per Invoice'!G$2:G$401,$U106)="","",INDEX('Per Invoice'!G$2:G$401,$U106)))</f>
        <v/>
      </c>
      <c r="H106" s="7">
        <f>IF($U106="","",IF(INDEX('Per Invoice'!H$2:H$401,$U106)="","",INDEX('Per Invoice'!H$2:H$401,$U106)))</f>
        <v/>
      </c>
      <c r="I106" s="14">
        <f>IF($U106="","",IF(INDEX('Per Invoice'!I$2:I$401,$U106)="","",INDEX('Per Invoice'!I$2:I$401,$U106)))</f>
        <v/>
      </c>
      <c r="J106">
        <f>IF($U106="","",IF(INDEX('Per Invoice'!J$2:J$401,$U106)="","",INDEX('Per Invoice'!J$2:J$401,$U106)))</f>
        <v/>
      </c>
      <c r="K106">
        <f>IF($U106="","",IF(INDEX('Per Invoice'!K$2:K$401,$U106)="","",INDEX('Per Invoice'!K$2:K$401,$U106)))</f>
        <v/>
      </c>
      <c r="L106" s="7">
        <f>IF($U106="","",IF(INDEX('Per Invoice'!L$2:L$401,$U106)="","",INDEX('Per Invoice'!L$2:L$401,$U106)))</f>
        <v/>
      </c>
      <c r="M106" s="7">
        <f>IF($U106="","",IF(INDEX('Per Invoice'!M$2:M$401,$U106)="","",INDEX('Per Invoice'!M$2:M$401,$U106)))</f>
        <v/>
      </c>
      <c r="N106">
        <f>IF($U106="","",IF(INDEX('Per Invoice'!N$2:N$401,$U106)="","",INDEX('Per Invoice'!N$2:N$401,$U106)))</f>
        <v/>
      </c>
      <c r="O106" s="7">
        <f>IF($U106="","",IF(INDEX('Per Invoice'!O$2:O$401,$U106)="","",INDEX('Per Invoice'!O$2:O$401,$U106)))</f>
        <v/>
      </c>
      <c r="P106" s="7">
        <f>IF($U106="","",IF(INDEX('Per Invoice'!P$2:P$401,$U106)="","",INDEX('Per Invoice'!P$2:P$401,$U106)))</f>
        <v/>
      </c>
      <c r="Q106" s="7">
        <f>IF($U106="","",IF(INDEX('Per Invoice'!Q$2:Q$401,$U106)="","",INDEX('Per Invoice'!Q$2:Q$401,$U106)))</f>
        <v/>
      </c>
      <c r="R106" s="7">
        <f>IF($U106="","",IF(INDEX('Per Invoice'!R$2:R$401,$U106)="","",INDEX('Per Invoice'!R$2:R$401,$U106)))</f>
        <v/>
      </c>
      <c r="S106" s="7">
        <f>IF($U106="","",IF(INDEX('Per Invoice'!S$2:S$401,$U106)="","",INDEX('Per Invoice'!S$2:S$401,$U106)))</f>
        <v/>
      </c>
      <c r="T106" s="7">
        <f>IF($U106="","",IF(INDEX('Per Invoice'!T$2:T$401,$U106)="","",INDEX('Per Invoice'!T$2:T$401,$U106)))</f>
        <v/>
      </c>
      <c r="U106" s="16">
        <f>IFERROR(MATCH(Settings!$C$27&amp;"|"&amp;ROWS($U$2:$U106),'Per Invoice'!$V$2:$V$401,0),"")</f>
        <v/>
      </c>
    </row>
    <row r="107">
      <c r="A107">
        <f>IF($U107="","",IF(INDEX('Per Invoice'!A$2:A$401,$U107)="","",INDEX('Per Invoice'!A$2:A$401,$U107)))</f>
        <v/>
      </c>
      <c r="B107">
        <f>IF($U107="","",IF(INDEX('Per Invoice'!B$2:B$401,$U107)="","",INDEX('Per Invoice'!B$2:B$401,$U107)))</f>
        <v/>
      </c>
      <c r="C107">
        <f>IF($U107="","",IF(INDEX('Per Invoice'!C$2:C$401,$U107)="","",INDEX('Per Invoice'!C$2:C$401,$U107)))</f>
        <v/>
      </c>
      <c r="D107">
        <f>IF($U107="","",IF(INDEX('Per Invoice'!D$2:D$401,$U107)="","",INDEX('Per Invoice'!D$2:D$401,$U107)))</f>
        <v/>
      </c>
      <c r="E107">
        <f>IF($U107="","",IF(INDEX('Per Invoice'!E$2:E$401,$U107)="","",INDEX('Per Invoice'!E$2:E$401,$U107)))</f>
        <v/>
      </c>
      <c r="F107">
        <f>IF($U107="","",IF(INDEX('Per Invoice'!F$2:F$401,$U107)="","",INDEX('Per Invoice'!F$2:F$401,$U107)))</f>
        <v/>
      </c>
      <c r="G107">
        <f>IF($U107="","",IF(INDEX('Per Invoice'!G$2:G$401,$U107)="","",INDEX('Per Invoice'!G$2:G$401,$U107)))</f>
        <v/>
      </c>
      <c r="H107" s="7">
        <f>IF($U107="","",IF(INDEX('Per Invoice'!H$2:H$401,$U107)="","",INDEX('Per Invoice'!H$2:H$401,$U107)))</f>
        <v/>
      </c>
      <c r="I107" s="14">
        <f>IF($U107="","",IF(INDEX('Per Invoice'!I$2:I$401,$U107)="","",INDEX('Per Invoice'!I$2:I$401,$U107)))</f>
        <v/>
      </c>
      <c r="J107">
        <f>IF($U107="","",IF(INDEX('Per Invoice'!J$2:J$401,$U107)="","",INDEX('Per Invoice'!J$2:J$401,$U107)))</f>
        <v/>
      </c>
      <c r="K107">
        <f>IF($U107="","",IF(INDEX('Per Invoice'!K$2:K$401,$U107)="","",INDEX('Per Invoice'!K$2:K$401,$U107)))</f>
        <v/>
      </c>
      <c r="L107" s="7">
        <f>IF($U107="","",IF(INDEX('Per Invoice'!L$2:L$401,$U107)="","",INDEX('Per Invoice'!L$2:L$401,$U107)))</f>
        <v/>
      </c>
      <c r="M107" s="7">
        <f>IF($U107="","",IF(INDEX('Per Invoice'!M$2:M$401,$U107)="","",INDEX('Per Invoice'!M$2:M$401,$U107)))</f>
        <v/>
      </c>
      <c r="N107">
        <f>IF($U107="","",IF(INDEX('Per Invoice'!N$2:N$401,$U107)="","",INDEX('Per Invoice'!N$2:N$401,$U107)))</f>
        <v/>
      </c>
      <c r="O107" s="7">
        <f>IF($U107="","",IF(INDEX('Per Invoice'!O$2:O$401,$U107)="","",INDEX('Per Invoice'!O$2:O$401,$U107)))</f>
        <v/>
      </c>
      <c r="P107" s="7">
        <f>IF($U107="","",IF(INDEX('Per Invoice'!P$2:P$401,$U107)="","",INDEX('Per Invoice'!P$2:P$401,$U107)))</f>
        <v/>
      </c>
      <c r="Q107" s="7">
        <f>IF($U107="","",IF(INDEX('Per Invoice'!Q$2:Q$401,$U107)="","",INDEX('Per Invoice'!Q$2:Q$401,$U107)))</f>
        <v/>
      </c>
      <c r="R107" s="7">
        <f>IF($U107="","",IF(INDEX('Per Invoice'!R$2:R$401,$U107)="","",INDEX('Per Invoice'!R$2:R$401,$U107)))</f>
        <v/>
      </c>
      <c r="S107" s="7">
        <f>IF($U107="","",IF(INDEX('Per Invoice'!S$2:S$401,$U107)="","",INDEX('Per Invoice'!S$2:S$401,$U107)))</f>
        <v/>
      </c>
      <c r="T107" s="7">
        <f>IF($U107="","",IF(INDEX('Per Invoice'!T$2:T$401,$U107)="","",INDEX('Per Invoice'!T$2:T$401,$U107)))</f>
        <v/>
      </c>
      <c r="U107" s="16">
        <f>IFERROR(MATCH(Settings!$C$27&amp;"|"&amp;ROWS($U$2:$U107),'Per Invoice'!$V$2:$V$401,0),"")</f>
        <v/>
      </c>
    </row>
    <row r="108">
      <c r="A108">
        <f>IF($U108="","",IF(INDEX('Per Invoice'!A$2:A$401,$U108)="","",INDEX('Per Invoice'!A$2:A$401,$U108)))</f>
        <v/>
      </c>
      <c r="B108">
        <f>IF($U108="","",IF(INDEX('Per Invoice'!B$2:B$401,$U108)="","",INDEX('Per Invoice'!B$2:B$401,$U108)))</f>
        <v/>
      </c>
      <c r="C108">
        <f>IF($U108="","",IF(INDEX('Per Invoice'!C$2:C$401,$U108)="","",INDEX('Per Invoice'!C$2:C$401,$U108)))</f>
        <v/>
      </c>
      <c r="D108">
        <f>IF($U108="","",IF(INDEX('Per Invoice'!D$2:D$401,$U108)="","",INDEX('Per Invoice'!D$2:D$401,$U108)))</f>
        <v/>
      </c>
      <c r="E108">
        <f>IF($U108="","",IF(INDEX('Per Invoice'!E$2:E$401,$U108)="","",INDEX('Per Invoice'!E$2:E$401,$U108)))</f>
        <v/>
      </c>
      <c r="F108">
        <f>IF($U108="","",IF(INDEX('Per Invoice'!F$2:F$401,$U108)="","",INDEX('Per Invoice'!F$2:F$401,$U108)))</f>
        <v/>
      </c>
      <c r="G108">
        <f>IF($U108="","",IF(INDEX('Per Invoice'!G$2:G$401,$U108)="","",INDEX('Per Invoice'!G$2:G$401,$U108)))</f>
        <v/>
      </c>
      <c r="H108" s="7">
        <f>IF($U108="","",IF(INDEX('Per Invoice'!H$2:H$401,$U108)="","",INDEX('Per Invoice'!H$2:H$401,$U108)))</f>
        <v/>
      </c>
      <c r="I108" s="14">
        <f>IF($U108="","",IF(INDEX('Per Invoice'!I$2:I$401,$U108)="","",INDEX('Per Invoice'!I$2:I$401,$U108)))</f>
        <v/>
      </c>
      <c r="J108">
        <f>IF($U108="","",IF(INDEX('Per Invoice'!J$2:J$401,$U108)="","",INDEX('Per Invoice'!J$2:J$401,$U108)))</f>
        <v/>
      </c>
      <c r="K108">
        <f>IF($U108="","",IF(INDEX('Per Invoice'!K$2:K$401,$U108)="","",INDEX('Per Invoice'!K$2:K$401,$U108)))</f>
        <v/>
      </c>
      <c r="L108" s="7">
        <f>IF($U108="","",IF(INDEX('Per Invoice'!L$2:L$401,$U108)="","",INDEX('Per Invoice'!L$2:L$401,$U108)))</f>
        <v/>
      </c>
      <c r="M108" s="7">
        <f>IF($U108="","",IF(INDEX('Per Invoice'!M$2:M$401,$U108)="","",INDEX('Per Invoice'!M$2:M$401,$U108)))</f>
        <v/>
      </c>
      <c r="N108">
        <f>IF($U108="","",IF(INDEX('Per Invoice'!N$2:N$401,$U108)="","",INDEX('Per Invoice'!N$2:N$401,$U108)))</f>
        <v/>
      </c>
      <c r="O108" s="7">
        <f>IF($U108="","",IF(INDEX('Per Invoice'!O$2:O$401,$U108)="","",INDEX('Per Invoice'!O$2:O$401,$U108)))</f>
        <v/>
      </c>
      <c r="P108" s="7">
        <f>IF($U108="","",IF(INDEX('Per Invoice'!P$2:P$401,$U108)="","",INDEX('Per Invoice'!P$2:P$401,$U108)))</f>
        <v/>
      </c>
      <c r="Q108" s="7">
        <f>IF($U108="","",IF(INDEX('Per Invoice'!Q$2:Q$401,$U108)="","",INDEX('Per Invoice'!Q$2:Q$401,$U108)))</f>
        <v/>
      </c>
      <c r="R108" s="7">
        <f>IF($U108="","",IF(INDEX('Per Invoice'!R$2:R$401,$U108)="","",INDEX('Per Invoice'!R$2:R$401,$U108)))</f>
        <v/>
      </c>
      <c r="S108" s="7">
        <f>IF($U108="","",IF(INDEX('Per Invoice'!S$2:S$401,$U108)="","",INDEX('Per Invoice'!S$2:S$401,$U108)))</f>
        <v/>
      </c>
      <c r="T108" s="7">
        <f>IF($U108="","",IF(INDEX('Per Invoice'!T$2:T$401,$U108)="","",INDEX('Per Invoice'!T$2:T$401,$U108)))</f>
        <v/>
      </c>
      <c r="U108" s="16">
        <f>IFERROR(MATCH(Settings!$C$27&amp;"|"&amp;ROWS($U$2:$U108),'Per Invoice'!$V$2:$V$401,0),"")</f>
        <v/>
      </c>
    </row>
    <row r="109">
      <c r="A109">
        <f>IF($U109="","",IF(INDEX('Per Invoice'!A$2:A$401,$U109)="","",INDEX('Per Invoice'!A$2:A$401,$U109)))</f>
        <v/>
      </c>
      <c r="B109">
        <f>IF($U109="","",IF(INDEX('Per Invoice'!B$2:B$401,$U109)="","",INDEX('Per Invoice'!B$2:B$401,$U109)))</f>
        <v/>
      </c>
      <c r="C109">
        <f>IF($U109="","",IF(INDEX('Per Invoice'!C$2:C$401,$U109)="","",INDEX('Per Invoice'!C$2:C$401,$U109)))</f>
        <v/>
      </c>
      <c r="D109">
        <f>IF($U109="","",IF(INDEX('Per Invoice'!D$2:D$401,$U109)="","",INDEX('Per Invoice'!D$2:D$401,$U109)))</f>
        <v/>
      </c>
      <c r="E109">
        <f>IF($U109="","",IF(INDEX('Per Invoice'!E$2:E$401,$U109)="","",INDEX('Per Invoice'!E$2:E$401,$U109)))</f>
        <v/>
      </c>
      <c r="F109">
        <f>IF($U109="","",IF(INDEX('Per Invoice'!F$2:F$401,$U109)="","",INDEX('Per Invoice'!F$2:F$401,$U109)))</f>
        <v/>
      </c>
      <c r="G109">
        <f>IF($U109="","",IF(INDEX('Per Invoice'!G$2:G$401,$U109)="","",INDEX('Per Invoice'!G$2:G$401,$U109)))</f>
        <v/>
      </c>
      <c r="H109" s="7">
        <f>IF($U109="","",IF(INDEX('Per Invoice'!H$2:H$401,$U109)="","",INDEX('Per Invoice'!H$2:H$401,$U109)))</f>
        <v/>
      </c>
      <c r="I109" s="14">
        <f>IF($U109="","",IF(INDEX('Per Invoice'!I$2:I$401,$U109)="","",INDEX('Per Invoice'!I$2:I$401,$U109)))</f>
        <v/>
      </c>
      <c r="J109">
        <f>IF($U109="","",IF(INDEX('Per Invoice'!J$2:J$401,$U109)="","",INDEX('Per Invoice'!J$2:J$401,$U109)))</f>
        <v/>
      </c>
      <c r="K109">
        <f>IF($U109="","",IF(INDEX('Per Invoice'!K$2:K$401,$U109)="","",INDEX('Per Invoice'!K$2:K$401,$U109)))</f>
        <v/>
      </c>
      <c r="L109" s="7">
        <f>IF($U109="","",IF(INDEX('Per Invoice'!L$2:L$401,$U109)="","",INDEX('Per Invoice'!L$2:L$401,$U109)))</f>
        <v/>
      </c>
      <c r="M109" s="7">
        <f>IF($U109="","",IF(INDEX('Per Invoice'!M$2:M$401,$U109)="","",INDEX('Per Invoice'!M$2:M$401,$U109)))</f>
        <v/>
      </c>
      <c r="N109">
        <f>IF($U109="","",IF(INDEX('Per Invoice'!N$2:N$401,$U109)="","",INDEX('Per Invoice'!N$2:N$401,$U109)))</f>
        <v/>
      </c>
      <c r="O109" s="7">
        <f>IF($U109="","",IF(INDEX('Per Invoice'!O$2:O$401,$U109)="","",INDEX('Per Invoice'!O$2:O$401,$U109)))</f>
        <v/>
      </c>
      <c r="P109" s="7">
        <f>IF($U109="","",IF(INDEX('Per Invoice'!P$2:P$401,$U109)="","",INDEX('Per Invoice'!P$2:P$401,$U109)))</f>
        <v/>
      </c>
      <c r="Q109" s="7">
        <f>IF($U109="","",IF(INDEX('Per Invoice'!Q$2:Q$401,$U109)="","",INDEX('Per Invoice'!Q$2:Q$401,$U109)))</f>
        <v/>
      </c>
      <c r="R109" s="7">
        <f>IF($U109="","",IF(INDEX('Per Invoice'!R$2:R$401,$U109)="","",INDEX('Per Invoice'!R$2:R$401,$U109)))</f>
        <v/>
      </c>
      <c r="S109" s="7">
        <f>IF($U109="","",IF(INDEX('Per Invoice'!S$2:S$401,$U109)="","",INDEX('Per Invoice'!S$2:S$401,$U109)))</f>
        <v/>
      </c>
      <c r="T109" s="7">
        <f>IF($U109="","",IF(INDEX('Per Invoice'!T$2:T$401,$U109)="","",INDEX('Per Invoice'!T$2:T$401,$U109)))</f>
        <v/>
      </c>
      <c r="U109" s="16">
        <f>IFERROR(MATCH(Settings!$C$27&amp;"|"&amp;ROWS($U$2:$U109),'Per Invoice'!$V$2:$V$401,0),"")</f>
        <v/>
      </c>
    </row>
    <row r="110">
      <c r="A110">
        <f>IF($U110="","",IF(INDEX('Per Invoice'!A$2:A$401,$U110)="","",INDEX('Per Invoice'!A$2:A$401,$U110)))</f>
        <v/>
      </c>
      <c r="B110">
        <f>IF($U110="","",IF(INDEX('Per Invoice'!B$2:B$401,$U110)="","",INDEX('Per Invoice'!B$2:B$401,$U110)))</f>
        <v/>
      </c>
      <c r="C110">
        <f>IF($U110="","",IF(INDEX('Per Invoice'!C$2:C$401,$U110)="","",INDEX('Per Invoice'!C$2:C$401,$U110)))</f>
        <v/>
      </c>
      <c r="D110">
        <f>IF($U110="","",IF(INDEX('Per Invoice'!D$2:D$401,$U110)="","",INDEX('Per Invoice'!D$2:D$401,$U110)))</f>
        <v/>
      </c>
      <c r="E110">
        <f>IF($U110="","",IF(INDEX('Per Invoice'!E$2:E$401,$U110)="","",INDEX('Per Invoice'!E$2:E$401,$U110)))</f>
        <v/>
      </c>
      <c r="F110">
        <f>IF($U110="","",IF(INDEX('Per Invoice'!F$2:F$401,$U110)="","",INDEX('Per Invoice'!F$2:F$401,$U110)))</f>
        <v/>
      </c>
      <c r="G110">
        <f>IF($U110="","",IF(INDEX('Per Invoice'!G$2:G$401,$U110)="","",INDEX('Per Invoice'!G$2:G$401,$U110)))</f>
        <v/>
      </c>
      <c r="H110" s="7">
        <f>IF($U110="","",IF(INDEX('Per Invoice'!H$2:H$401,$U110)="","",INDEX('Per Invoice'!H$2:H$401,$U110)))</f>
        <v/>
      </c>
      <c r="I110" s="14">
        <f>IF($U110="","",IF(INDEX('Per Invoice'!I$2:I$401,$U110)="","",INDEX('Per Invoice'!I$2:I$401,$U110)))</f>
        <v/>
      </c>
      <c r="J110">
        <f>IF($U110="","",IF(INDEX('Per Invoice'!J$2:J$401,$U110)="","",INDEX('Per Invoice'!J$2:J$401,$U110)))</f>
        <v/>
      </c>
      <c r="K110">
        <f>IF($U110="","",IF(INDEX('Per Invoice'!K$2:K$401,$U110)="","",INDEX('Per Invoice'!K$2:K$401,$U110)))</f>
        <v/>
      </c>
      <c r="L110" s="7">
        <f>IF($U110="","",IF(INDEX('Per Invoice'!L$2:L$401,$U110)="","",INDEX('Per Invoice'!L$2:L$401,$U110)))</f>
        <v/>
      </c>
      <c r="M110" s="7">
        <f>IF($U110="","",IF(INDEX('Per Invoice'!M$2:M$401,$U110)="","",INDEX('Per Invoice'!M$2:M$401,$U110)))</f>
        <v/>
      </c>
      <c r="N110">
        <f>IF($U110="","",IF(INDEX('Per Invoice'!N$2:N$401,$U110)="","",INDEX('Per Invoice'!N$2:N$401,$U110)))</f>
        <v/>
      </c>
      <c r="O110" s="7">
        <f>IF($U110="","",IF(INDEX('Per Invoice'!O$2:O$401,$U110)="","",INDEX('Per Invoice'!O$2:O$401,$U110)))</f>
        <v/>
      </c>
      <c r="P110" s="7">
        <f>IF($U110="","",IF(INDEX('Per Invoice'!P$2:P$401,$U110)="","",INDEX('Per Invoice'!P$2:P$401,$U110)))</f>
        <v/>
      </c>
      <c r="Q110" s="7">
        <f>IF($U110="","",IF(INDEX('Per Invoice'!Q$2:Q$401,$U110)="","",INDEX('Per Invoice'!Q$2:Q$401,$U110)))</f>
        <v/>
      </c>
      <c r="R110" s="7">
        <f>IF($U110="","",IF(INDEX('Per Invoice'!R$2:R$401,$U110)="","",INDEX('Per Invoice'!R$2:R$401,$U110)))</f>
        <v/>
      </c>
      <c r="S110" s="7">
        <f>IF($U110="","",IF(INDEX('Per Invoice'!S$2:S$401,$U110)="","",INDEX('Per Invoice'!S$2:S$401,$U110)))</f>
        <v/>
      </c>
      <c r="T110" s="7">
        <f>IF($U110="","",IF(INDEX('Per Invoice'!T$2:T$401,$U110)="","",INDEX('Per Invoice'!T$2:T$401,$U110)))</f>
        <v/>
      </c>
      <c r="U110" s="16">
        <f>IFERROR(MATCH(Settings!$C$27&amp;"|"&amp;ROWS($U$2:$U110),'Per Invoice'!$V$2:$V$401,0),"")</f>
        <v/>
      </c>
    </row>
    <row r="111">
      <c r="A111">
        <f>IF($U111="","",IF(INDEX('Per Invoice'!A$2:A$401,$U111)="","",INDEX('Per Invoice'!A$2:A$401,$U111)))</f>
        <v/>
      </c>
      <c r="B111">
        <f>IF($U111="","",IF(INDEX('Per Invoice'!B$2:B$401,$U111)="","",INDEX('Per Invoice'!B$2:B$401,$U111)))</f>
        <v/>
      </c>
      <c r="C111">
        <f>IF($U111="","",IF(INDEX('Per Invoice'!C$2:C$401,$U111)="","",INDEX('Per Invoice'!C$2:C$401,$U111)))</f>
        <v/>
      </c>
      <c r="D111">
        <f>IF($U111="","",IF(INDEX('Per Invoice'!D$2:D$401,$U111)="","",INDEX('Per Invoice'!D$2:D$401,$U111)))</f>
        <v/>
      </c>
      <c r="E111">
        <f>IF($U111="","",IF(INDEX('Per Invoice'!E$2:E$401,$U111)="","",INDEX('Per Invoice'!E$2:E$401,$U111)))</f>
        <v/>
      </c>
      <c r="F111">
        <f>IF($U111="","",IF(INDEX('Per Invoice'!F$2:F$401,$U111)="","",INDEX('Per Invoice'!F$2:F$401,$U111)))</f>
        <v/>
      </c>
      <c r="G111">
        <f>IF($U111="","",IF(INDEX('Per Invoice'!G$2:G$401,$U111)="","",INDEX('Per Invoice'!G$2:G$401,$U111)))</f>
        <v/>
      </c>
      <c r="H111" s="7">
        <f>IF($U111="","",IF(INDEX('Per Invoice'!H$2:H$401,$U111)="","",INDEX('Per Invoice'!H$2:H$401,$U111)))</f>
        <v/>
      </c>
      <c r="I111" s="14">
        <f>IF($U111="","",IF(INDEX('Per Invoice'!I$2:I$401,$U111)="","",INDEX('Per Invoice'!I$2:I$401,$U111)))</f>
        <v/>
      </c>
      <c r="J111">
        <f>IF($U111="","",IF(INDEX('Per Invoice'!J$2:J$401,$U111)="","",INDEX('Per Invoice'!J$2:J$401,$U111)))</f>
        <v/>
      </c>
      <c r="K111">
        <f>IF($U111="","",IF(INDEX('Per Invoice'!K$2:K$401,$U111)="","",INDEX('Per Invoice'!K$2:K$401,$U111)))</f>
        <v/>
      </c>
      <c r="L111" s="7">
        <f>IF($U111="","",IF(INDEX('Per Invoice'!L$2:L$401,$U111)="","",INDEX('Per Invoice'!L$2:L$401,$U111)))</f>
        <v/>
      </c>
      <c r="M111" s="7">
        <f>IF($U111="","",IF(INDEX('Per Invoice'!M$2:M$401,$U111)="","",INDEX('Per Invoice'!M$2:M$401,$U111)))</f>
        <v/>
      </c>
      <c r="N111">
        <f>IF($U111="","",IF(INDEX('Per Invoice'!N$2:N$401,$U111)="","",INDEX('Per Invoice'!N$2:N$401,$U111)))</f>
        <v/>
      </c>
      <c r="O111" s="7">
        <f>IF($U111="","",IF(INDEX('Per Invoice'!O$2:O$401,$U111)="","",INDEX('Per Invoice'!O$2:O$401,$U111)))</f>
        <v/>
      </c>
      <c r="P111" s="7">
        <f>IF($U111="","",IF(INDEX('Per Invoice'!P$2:P$401,$U111)="","",INDEX('Per Invoice'!P$2:P$401,$U111)))</f>
        <v/>
      </c>
      <c r="Q111" s="7">
        <f>IF($U111="","",IF(INDEX('Per Invoice'!Q$2:Q$401,$U111)="","",INDEX('Per Invoice'!Q$2:Q$401,$U111)))</f>
        <v/>
      </c>
      <c r="R111" s="7">
        <f>IF($U111="","",IF(INDEX('Per Invoice'!R$2:R$401,$U111)="","",INDEX('Per Invoice'!R$2:R$401,$U111)))</f>
        <v/>
      </c>
      <c r="S111" s="7">
        <f>IF($U111="","",IF(INDEX('Per Invoice'!S$2:S$401,$U111)="","",INDEX('Per Invoice'!S$2:S$401,$U111)))</f>
        <v/>
      </c>
      <c r="T111" s="7">
        <f>IF($U111="","",IF(INDEX('Per Invoice'!T$2:T$401,$U111)="","",INDEX('Per Invoice'!T$2:T$401,$U111)))</f>
        <v/>
      </c>
      <c r="U111" s="16">
        <f>IFERROR(MATCH(Settings!$C$27&amp;"|"&amp;ROWS($U$2:$U111),'Per Invoice'!$V$2:$V$401,0),"")</f>
        <v/>
      </c>
    </row>
    <row r="112">
      <c r="A112">
        <f>IF($U112="","",IF(INDEX('Per Invoice'!A$2:A$401,$U112)="","",INDEX('Per Invoice'!A$2:A$401,$U112)))</f>
        <v/>
      </c>
      <c r="B112">
        <f>IF($U112="","",IF(INDEX('Per Invoice'!B$2:B$401,$U112)="","",INDEX('Per Invoice'!B$2:B$401,$U112)))</f>
        <v/>
      </c>
      <c r="C112">
        <f>IF($U112="","",IF(INDEX('Per Invoice'!C$2:C$401,$U112)="","",INDEX('Per Invoice'!C$2:C$401,$U112)))</f>
        <v/>
      </c>
      <c r="D112">
        <f>IF($U112="","",IF(INDEX('Per Invoice'!D$2:D$401,$U112)="","",INDEX('Per Invoice'!D$2:D$401,$U112)))</f>
        <v/>
      </c>
      <c r="E112">
        <f>IF($U112="","",IF(INDEX('Per Invoice'!E$2:E$401,$U112)="","",INDEX('Per Invoice'!E$2:E$401,$U112)))</f>
        <v/>
      </c>
      <c r="F112">
        <f>IF($U112="","",IF(INDEX('Per Invoice'!F$2:F$401,$U112)="","",INDEX('Per Invoice'!F$2:F$401,$U112)))</f>
        <v/>
      </c>
      <c r="G112">
        <f>IF($U112="","",IF(INDEX('Per Invoice'!G$2:G$401,$U112)="","",INDEX('Per Invoice'!G$2:G$401,$U112)))</f>
        <v/>
      </c>
      <c r="H112" s="7">
        <f>IF($U112="","",IF(INDEX('Per Invoice'!H$2:H$401,$U112)="","",INDEX('Per Invoice'!H$2:H$401,$U112)))</f>
        <v/>
      </c>
      <c r="I112" s="14">
        <f>IF($U112="","",IF(INDEX('Per Invoice'!I$2:I$401,$U112)="","",INDEX('Per Invoice'!I$2:I$401,$U112)))</f>
        <v/>
      </c>
      <c r="J112">
        <f>IF($U112="","",IF(INDEX('Per Invoice'!J$2:J$401,$U112)="","",INDEX('Per Invoice'!J$2:J$401,$U112)))</f>
        <v/>
      </c>
      <c r="K112">
        <f>IF($U112="","",IF(INDEX('Per Invoice'!K$2:K$401,$U112)="","",INDEX('Per Invoice'!K$2:K$401,$U112)))</f>
        <v/>
      </c>
      <c r="L112" s="7">
        <f>IF($U112="","",IF(INDEX('Per Invoice'!L$2:L$401,$U112)="","",INDEX('Per Invoice'!L$2:L$401,$U112)))</f>
        <v/>
      </c>
      <c r="M112" s="7">
        <f>IF($U112="","",IF(INDEX('Per Invoice'!M$2:M$401,$U112)="","",INDEX('Per Invoice'!M$2:M$401,$U112)))</f>
        <v/>
      </c>
      <c r="N112">
        <f>IF($U112="","",IF(INDEX('Per Invoice'!N$2:N$401,$U112)="","",INDEX('Per Invoice'!N$2:N$401,$U112)))</f>
        <v/>
      </c>
      <c r="O112" s="7">
        <f>IF($U112="","",IF(INDEX('Per Invoice'!O$2:O$401,$U112)="","",INDEX('Per Invoice'!O$2:O$401,$U112)))</f>
        <v/>
      </c>
      <c r="P112" s="7">
        <f>IF($U112="","",IF(INDEX('Per Invoice'!P$2:P$401,$U112)="","",INDEX('Per Invoice'!P$2:P$401,$U112)))</f>
        <v/>
      </c>
      <c r="Q112" s="7">
        <f>IF($U112="","",IF(INDEX('Per Invoice'!Q$2:Q$401,$U112)="","",INDEX('Per Invoice'!Q$2:Q$401,$U112)))</f>
        <v/>
      </c>
      <c r="R112" s="7">
        <f>IF($U112="","",IF(INDEX('Per Invoice'!R$2:R$401,$U112)="","",INDEX('Per Invoice'!R$2:R$401,$U112)))</f>
        <v/>
      </c>
      <c r="S112" s="7">
        <f>IF($U112="","",IF(INDEX('Per Invoice'!S$2:S$401,$U112)="","",INDEX('Per Invoice'!S$2:S$401,$U112)))</f>
        <v/>
      </c>
      <c r="T112" s="7">
        <f>IF($U112="","",IF(INDEX('Per Invoice'!T$2:T$401,$U112)="","",INDEX('Per Invoice'!T$2:T$401,$U112)))</f>
        <v/>
      </c>
      <c r="U112" s="16">
        <f>IFERROR(MATCH(Settings!$C$27&amp;"|"&amp;ROWS($U$2:$U112),'Per Invoice'!$V$2:$V$401,0),"")</f>
        <v/>
      </c>
    </row>
    <row r="113">
      <c r="A113">
        <f>IF($U113="","",IF(INDEX('Per Invoice'!A$2:A$401,$U113)="","",INDEX('Per Invoice'!A$2:A$401,$U113)))</f>
        <v/>
      </c>
      <c r="B113">
        <f>IF($U113="","",IF(INDEX('Per Invoice'!B$2:B$401,$U113)="","",INDEX('Per Invoice'!B$2:B$401,$U113)))</f>
        <v/>
      </c>
      <c r="C113">
        <f>IF($U113="","",IF(INDEX('Per Invoice'!C$2:C$401,$U113)="","",INDEX('Per Invoice'!C$2:C$401,$U113)))</f>
        <v/>
      </c>
      <c r="D113">
        <f>IF($U113="","",IF(INDEX('Per Invoice'!D$2:D$401,$U113)="","",INDEX('Per Invoice'!D$2:D$401,$U113)))</f>
        <v/>
      </c>
      <c r="E113">
        <f>IF($U113="","",IF(INDEX('Per Invoice'!E$2:E$401,$U113)="","",INDEX('Per Invoice'!E$2:E$401,$U113)))</f>
        <v/>
      </c>
      <c r="F113">
        <f>IF($U113="","",IF(INDEX('Per Invoice'!F$2:F$401,$U113)="","",INDEX('Per Invoice'!F$2:F$401,$U113)))</f>
        <v/>
      </c>
      <c r="G113">
        <f>IF($U113="","",IF(INDEX('Per Invoice'!G$2:G$401,$U113)="","",INDEX('Per Invoice'!G$2:G$401,$U113)))</f>
        <v/>
      </c>
      <c r="H113" s="7">
        <f>IF($U113="","",IF(INDEX('Per Invoice'!H$2:H$401,$U113)="","",INDEX('Per Invoice'!H$2:H$401,$U113)))</f>
        <v/>
      </c>
      <c r="I113" s="14">
        <f>IF($U113="","",IF(INDEX('Per Invoice'!I$2:I$401,$U113)="","",INDEX('Per Invoice'!I$2:I$401,$U113)))</f>
        <v/>
      </c>
      <c r="J113">
        <f>IF($U113="","",IF(INDEX('Per Invoice'!J$2:J$401,$U113)="","",INDEX('Per Invoice'!J$2:J$401,$U113)))</f>
        <v/>
      </c>
      <c r="K113">
        <f>IF($U113="","",IF(INDEX('Per Invoice'!K$2:K$401,$U113)="","",INDEX('Per Invoice'!K$2:K$401,$U113)))</f>
        <v/>
      </c>
      <c r="L113" s="7">
        <f>IF($U113="","",IF(INDEX('Per Invoice'!L$2:L$401,$U113)="","",INDEX('Per Invoice'!L$2:L$401,$U113)))</f>
        <v/>
      </c>
      <c r="M113" s="7">
        <f>IF($U113="","",IF(INDEX('Per Invoice'!M$2:M$401,$U113)="","",INDEX('Per Invoice'!M$2:M$401,$U113)))</f>
        <v/>
      </c>
      <c r="N113">
        <f>IF($U113="","",IF(INDEX('Per Invoice'!N$2:N$401,$U113)="","",INDEX('Per Invoice'!N$2:N$401,$U113)))</f>
        <v/>
      </c>
      <c r="O113" s="7">
        <f>IF($U113="","",IF(INDEX('Per Invoice'!O$2:O$401,$U113)="","",INDEX('Per Invoice'!O$2:O$401,$U113)))</f>
        <v/>
      </c>
      <c r="P113" s="7">
        <f>IF($U113="","",IF(INDEX('Per Invoice'!P$2:P$401,$U113)="","",INDEX('Per Invoice'!P$2:P$401,$U113)))</f>
        <v/>
      </c>
      <c r="Q113" s="7">
        <f>IF($U113="","",IF(INDEX('Per Invoice'!Q$2:Q$401,$U113)="","",INDEX('Per Invoice'!Q$2:Q$401,$U113)))</f>
        <v/>
      </c>
      <c r="R113" s="7">
        <f>IF($U113="","",IF(INDEX('Per Invoice'!R$2:R$401,$U113)="","",INDEX('Per Invoice'!R$2:R$401,$U113)))</f>
        <v/>
      </c>
      <c r="S113" s="7">
        <f>IF($U113="","",IF(INDEX('Per Invoice'!S$2:S$401,$U113)="","",INDEX('Per Invoice'!S$2:S$401,$U113)))</f>
        <v/>
      </c>
      <c r="T113" s="7">
        <f>IF($U113="","",IF(INDEX('Per Invoice'!T$2:T$401,$U113)="","",INDEX('Per Invoice'!T$2:T$401,$U113)))</f>
        <v/>
      </c>
      <c r="U113" s="16">
        <f>IFERROR(MATCH(Settings!$C$27&amp;"|"&amp;ROWS($U$2:$U113),'Per Invoice'!$V$2:$V$401,0),"")</f>
        <v/>
      </c>
    </row>
    <row r="114">
      <c r="A114">
        <f>IF($U114="","",IF(INDEX('Per Invoice'!A$2:A$401,$U114)="","",INDEX('Per Invoice'!A$2:A$401,$U114)))</f>
        <v/>
      </c>
      <c r="B114">
        <f>IF($U114="","",IF(INDEX('Per Invoice'!B$2:B$401,$U114)="","",INDEX('Per Invoice'!B$2:B$401,$U114)))</f>
        <v/>
      </c>
      <c r="C114">
        <f>IF($U114="","",IF(INDEX('Per Invoice'!C$2:C$401,$U114)="","",INDEX('Per Invoice'!C$2:C$401,$U114)))</f>
        <v/>
      </c>
      <c r="D114">
        <f>IF($U114="","",IF(INDEX('Per Invoice'!D$2:D$401,$U114)="","",INDEX('Per Invoice'!D$2:D$401,$U114)))</f>
        <v/>
      </c>
      <c r="E114">
        <f>IF($U114="","",IF(INDEX('Per Invoice'!E$2:E$401,$U114)="","",INDEX('Per Invoice'!E$2:E$401,$U114)))</f>
        <v/>
      </c>
      <c r="F114">
        <f>IF($U114="","",IF(INDEX('Per Invoice'!F$2:F$401,$U114)="","",INDEX('Per Invoice'!F$2:F$401,$U114)))</f>
        <v/>
      </c>
      <c r="G114">
        <f>IF($U114="","",IF(INDEX('Per Invoice'!G$2:G$401,$U114)="","",INDEX('Per Invoice'!G$2:G$401,$U114)))</f>
        <v/>
      </c>
      <c r="H114" s="7">
        <f>IF($U114="","",IF(INDEX('Per Invoice'!H$2:H$401,$U114)="","",INDEX('Per Invoice'!H$2:H$401,$U114)))</f>
        <v/>
      </c>
      <c r="I114" s="14">
        <f>IF($U114="","",IF(INDEX('Per Invoice'!I$2:I$401,$U114)="","",INDEX('Per Invoice'!I$2:I$401,$U114)))</f>
        <v/>
      </c>
      <c r="J114">
        <f>IF($U114="","",IF(INDEX('Per Invoice'!J$2:J$401,$U114)="","",INDEX('Per Invoice'!J$2:J$401,$U114)))</f>
        <v/>
      </c>
      <c r="K114">
        <f>IF($U114="","",IF(INDEX('Per Invoice'!K$2:K$401,$U114)="","",INDEX('Per Invoice'!K$2:K$401,$U114)))</f>
        <v/>
      </c>
      <c r="L114" s="7">
        <f>IF($U114="","",IF(INDEX('Per Invoice'!L$2:L$401,$U114)="","",INDEX('Per Invoice'!L$2:L$401,$U114)))</f>
        <v/>
      </c>
      <c r="M114" s="7">
        <f>IF($U114="","",IF(INDEX('Per Invoice'!M$2:M$401,$U114)="","",INDEX('Per Invoice'!M$2:M$401,$U114)))</f>
        <v/>
      </c>
      <c r="N114">
        <f>IF($U114="","",IF(INDEX('Per Invoice'!N$2:N$401,$U114)="","",INDEX('Per Invoice'!N$2:N$401,$U114)))</f>
        <v/>
      </c>
      <c r="O114" s="7">
        <f>IF($U114="","",IF(INDEX('Per Invoice'!O$2:O$401,$U114)="","",INDEX('Per Invoice'!O$2:O$401,$U114)))</f>
        <v/>
      </c>
      <c r="P114" s="7">
        <f>IF($U114="","",IF(INDEX('Per Invoice'!P$2:P$401,$U114)="","",INDEX('Per Invoice'!P$2:P$401,$U114)))</f>
        <v/>
      </c>
      <c r="Q114" s="7">
        <f>IF($U114="","",IF(INDEX('Per Invoice'!Q$2:Q$401,$U114)="","",INDEX('Per Invoice'!Q$2:Q$401,$U114)))</f>
        <v/>
      </c>
      <c r="R114" s="7">
        <f>IF($U114="","",IF(INDEX('Per Invoice'!R$2:R$401,$U114)="","",INDEX('Per Invoice'!R$2:R$401,$U114)))</f>
        <v/>
      </c>
      <c r="S114" s="7">
        <f>IF($U114="","",IF(INDEX('Per Invoice'!S$2:S$401,$U114)="","",INDEX('Per Invoice'!S$2:S$401,$U114)))</f>
        <v/>
      </c>
      <c r="T114" s="7">
        <f>IF($U114="","",IF(INDEX('Per Invoice'!T$2:T$401,$U114)="","",INDEX('Per Invoice'!T$2:T$401,$U114)))</f>
        <v/>
      </c>
      <c r="U114" s="16">
        <f>IFERROR(MATCH(Settings!$C$27&amp;"|"&amp;ROWS($U$2:$U114),'Per Invoice'!$V$2:$V$401,0),"")</f>
        <v/>
      </c>
    </row>
    <row r="115">
      <c r="A115">
        <f>IF($U115="","",IF(INDEX('Per Invoice'!A$2:A$401,$U115)="","",INDEX('Per Invoice'!A$2:A$401,$U115)))</f>
        <v/>
      </c>
      <c r="B115">
        <f>IF($U115="","",IF(INDEX('Per Invoice'!B$2:B$401,$U115)="","",INDEX('Per Invoice'!B$2:B$401,$U115)))</f>
        <v/>
      </c>
      <c r="C115">
        <f>IF($U115="","",IF(INDEX('Per Invoice'!C$2:C$401,$U115)="","",INDEX('Per Invoice'!C$2:C$401,$U115)))</f>
        <v/>
      </c>
      <c r="D115">
        <f>IF($U115="","",IF(INDEX('Per Invoice'!D$2:D$401,$U115)="","",INDEX('Per Invoice'!D$2:D$401,$U115)))</f>
        <v/>
      </c>
      <c r="E115">
        <f>IF($U115="","",IF(INDEX('Per Invoice'!E$2:E$401,$U115)="","",INDEX('Per Invoice'!E$2:E$401,$U115)))</f>
        <v/>
      </c>
      <c r="F115">
        <f>IF($U115="","",IF(INDEX('Per Invoice'!F$2:F$401,$U115)="","",INDEX('Per Invoice'!F$2:F$401,$U115)))</f>
        <v/>
      </c>
      <c r="G115">
        <f>IF($U115="","",IF(INDEX('Per Invoice'!G$2:G$401,$U115)="","",INDEX('Per Invoice'!G$2:G$401,$U115)))</f>
        <v/>
      </c>
      <c r="H115" s="7">
        <f>IF($U115="","",IF(INDEX('Per Invoice'!H$2:H$401,$U115)="","",INDEX('Per Invoice'!H$2:H$401,$U115)))</f>
        <v/>
      </c>
      <c r="I115" s="14">
        <f>IF($U115="","",IF(INDEX('Per Invoice'!I$2:I$401,$U115)="","",INDEX('Per Invoice'!I$2:I$401,$U115)))</f>
        <v/>
      </c>
      <c r="J115">
        <f>IF($U115="","",IF(INDEX('Per Invoice'!J$2:J$401,$U115)="","",INDEX('Per Invoice'!J$2:J$401,$U115)))</f>
        <v/>
      </c>
      <c r="K115">
        <f>IF($U115="","",IF(INDEX('Per Invoice'!K$2:K$401,$U115)="","",INDEX('Per Invoice'!K$2:K$401,$U115)))</f>
        <v/>
      </c>
      <c r="L115" s="7">
        <f>IF($U115="","",IF(INDEX('Per Invoice'!L$2:L$401,$U115)="","",INDEX('Per Invoice'!L$2:L$401,$U115)))</f>
        <v/>
      </c>
      <c r="M115" s="7">
        <f>IF($U115="","",IF(INDEX('Per Invoice'!M$2:M$401,$U115)="","",INDEX('Per Invoice'!M$2:M$401,$U115)))</f>
        <v/>
      </c>
      <c r="N115">
        <f>IF($U115="","",IF(INDEX('Per Invoice'!N$2:N$401,$U115)="","",INDEX('Per Invoice'!N$2:N$401,$U115)))</f>
        <v/>
      </c>
      <c r="O115" s="7">
        <f>IF($U115="","",IF(INDEX('Per Invoice'!O$2:O$401,$U115)="","",INDEX('Per Invoice'!O$2:O$401,$U115)))</f>
        <v/>
      </c>
      <c r="P115" s="7">
        <f>IF($U115="","",IF(INDEX('Per Invoice'!P$2:P$401,$U115)="","",INDEX('Per Invoice'!P$2:P$401,$U115)))</f>
        <v/>
      </c>
      <c r="Q115" s="7">
        <f>IF($U115="","",IF(INDEX('Per Invoice'!Q$2:Q$401,$U115)="","",INDEX('Per Invoice'!Q$2:Q$401,$U115)))</f>
        <v/>
      </c>
      <c r="R115" s="7">
        <f>IF($U115="","",IF(INDEX('Per Invoice'!R$2:R$401,$U115)="","",INDEX('Per Invoice'!R$2:R$401,$U115)))</f>
        <v/>
      </c>
      <c r="S115" s="7">
        <f>IF($U115="","",IF(INDEX('Per Invoice'!S$2:S$401,$U115)="","",INDEX('Per Invoice'!S$2:S$401,$U115)))</f>
        <v/>
      </c>
      <c r="T115" s="7">
        <f>IF($U115="","",IF(INDEX('Per Invoice'!T$2:T$401,$U115)="","",INDEX('Per Invoice'!T$2:T$401,$U115)))</f>
        <v/>
      </c>
      <c r="U115" s="16">
        <f>IFERROR(MATCH(Settings!$C$27&amp;"|"&amp;ROWS($U$2:$U115),'Per Invoice'!$V$2:$V$401,0),"")</f>
        <v/>
      </c>
    </row>
    <row r="116">
      <c r="A116">
        <f>IF($U116="","",IF(INDEX('Per Invoice'!A$2:A$401,$U116)="","",INDEX('Per Invoice'!A$2:A$401,$U116)))</f>
        <v/>
      </c>
      <c r="B116">
        <f>IF($U116="","",IF(INDEX('Per Invoice'!B$2:B$401,$U116)="","",INDEX('Per Invoice'!B$2:B$401,$U116)))</f>
        <v/>
      </c>
      <c r="C116">
        <f>IF($U116="","",IF(INDEX('Per Invoice'!C$2:C$401,$U116)="","",INDEX('Per Invoice'!C$2:C$401,$U116)))</f>
        <v/>
      </c>
      <c r="D116">
        <f>IF($U116="","",IF(INDEX('Per Invoice'!D$2:D$401,$U116)="","",INDEX('Per Invoice'!D$2:D$401,$U116)))</f>
        <v/>
      </c>
      <c r="E116">
        <f>IF($U116="","",IF(INDEX('Per Invoice'!E$2:E$401,$U116)="","",INDEX('Per Invoice'!E$2:E$401,$U116)))</f>
        <v/>
      </c>
      <c r="F116">
        <f>IF($U116="","",IF(INDEX('Per Invoice'!F$2:F$401,$U116)="","",INDEX('Per Invoice'!F$2:F$401,$U116)))</f>
        <v/>
      </c>
      <c r="G116">
        <f>IF($U116="","",IF(INDEX('Per Invoice'!G$2:G$401,$U116)="","",INDEX('Per Invoice'!G$2:G$401,$U116)))</f>
        <v/>
      </c>
      <c r="H116" s="7">
        <f>IF($U116="","",IF(INDEX('Per Invoice'!H$2:H$401,$U116)="","",INDEX('Per Invoice'!H$2:H$401,$U116)))</f>
        <v/>
      </c>
      <c r="I116" s="14">
        <f>IF($U116="","",IF(INDEX('Per Invoice'!I$2:I$401,$U116)="","",INDEX('Per Invoice'!I$2:I$401,$U116)))</f>
        <v/>
      </c>
      <c r="J116">
        <f>IF($U116="","",IF(INDEX('Per Invoice'!J$2:J$401,$U116)="","",INDEX('Per Invoice'!J$2:J$401,$U116)))</f>
        <v/>
      </c>
      <c r="K116">
        <f>IF($U116="","",IF(INDEX('Per Invoice'!K$2:K$401,$U116)="","",INDEX('Per Invoice'!K$2:K$401,$U116)))</f>
        <v/>
      </c>
      <c r="L116" s="7">
        <f>IF($U116="","",IF(INDEX('Per Invoice'!L$2:L$401,$U116)="","",INDEX('Per Invoice'!L$2:L$401,$U116)))</f>
        <v/>
      </c>
      <c r="M116" s="7">
        <f>IF($U116="","",IF(INDEX('Per Invoice'!M$2:M$401,$U116)="","",INDEX('Per Invoice'!M$2:M$401,$U116)))</f>
        <v/>
      </c>
      <c r="N116">
        <f>IF($U116="","",IF(INDEX('Per Invoice'!N$2:N$401,$U116)="","",INDEX('Per Invoice'!N$2:N$401,$U116)))</f>
        <v/>
      </c>
      <c r="O116" s="7">
        <f>IF($U116="","",IF(INDEX('Per Invoice'!O$2:O$401,$U116)="","",INDEX('Per Invoice'!O$2:O$401,$U116)))</f>
        <v/>
      </c>
      <c r="P116" s="7">
        <f>IF($U116="","",IF(INDEX('Per Invoice'!P$2:P$401,$U116)="","",INDEX('Per Invoice'!P$2:P$401,$U116)))</f>
        <v/>
      </c>
      <c r="Q116" s="7">
        <f>IF($U116="","",IF(INDEX('Per Invoice'!Q$2:Q$401,$U116)="","",INDEX('Per Invoice'!Q$2:Q$401,$U116)))</f>
        <v/>
      </c>
      <c r="R116" s="7">
        <f>IF($U116="","",IF(INDEX('Per Invoice'!R$2:R$401,$U116)="","",INDEX('Per Invoice'!R$2:R$401,$U116)))</f>
        <v/>
      </c>
      <c r="S116" s="7">
        <f>IF($U116="","",IF(INDEX('Per Invoice'!S$2:S$401,$U116)="","",INDEX('Per Invoice'!S$2:S$401,$U116)))</f>
        <v/>
      </c>
      <c r="T116" s="7">
        <f>IF($U116="","",IF(INDEX('Per Invoice'!T$2:T$401,$U116)="","",INDEX('Per Invoice'!T$2:T$401,$U116)))</f>
        <v/>
      </c>
      <c r="U116" s="16">
        <f>IFERROR(MATCH(Settings!$C$27&amp;"|"&amp;ROWS($U$2:$U116),'Per Invoice'!$V$2:$V$401,0),"")</f>
        <v/>
      </c>
    </row>
    <row r="117">
      <c r="A117">
        <f>IF($U117="","",IF(INDEX('Per Invoice'!A$2:A$401,$U117)="","",INDEX('Per Invoice'!A$2:A$401,$U117)))</f>
        <v/>
      </c>
      <c r="B117">
        <f>IF($U117="","",IF(INDEX('Per Invoice'!B$2:B$401,$U117)="","",INDEX('Per Invoice'!B$2:B$401,$U117)))</f>
        <v/>
      </c>
      <c r="C117">
        <f>IF($U117="","",IF(INDEX('Per Invoice'!C$2:C$401,$U117)="","",INDEX('Per Invoice'!C$2:C$401,$U117)))</f>
        <v/>
      </c>
      <c r="D117">
        <f>IF($U117="","",IF(INDEX('Per Invoice'!D$2:D$401,$U117)="","",INDEX('Per Invoice'!D$2:D$401,$U117)))</f>
        <v/>
      </c>
      <c r="E117">
        <f>IF($U117="","",IF(INDEX('Per Invoice'!E$2:E$401,$U117)="","",INDEX('Per Invoice'!E$2:E$401,$U117)))</f>
        <v/>
      </c>
      <c r="F117">
        <f>IF($U117="","",IF(INDEX('Per Invoice'!F$2:F$401,$U117)="","",INDEX('Per Invoice'!F$2:F$401,$U117)))</f>
        <v/>
      </c>
      <c r="G117">
        <f>IF($U117="","",IF(INDEX('Per Invoice'!G$2:G$401,$U117)="","",INDEX('Per Invoice'!G$2:G$401,$U117)))</f>
        <v/>
      </c>
      <c r="H117" s="7">
        <f>IF($U117="","",IF(INDEX('Per Invoice'!H$2:H$401,$U117)="","",INDEX('Per Invoice'!H$2:H$401,$U117)))</f>
        <v/>
      </c>
      <c r="I117" s="14">
        <f>IF($U117="","",IF(INDEX('Per Invoice'!I$2:I$401,$U117)="","",INDEX('Per Invoice'!I$2:I$401,$U117)))</f>
        <v/>
      </c>
      <c r="J117">
        <f>IF($U117="","",IF(INDEX('Per Invoice'!J$2:J$401,$U117)="","",INDEX('Per Invoice'!J$2:J$401,$U117)))</f>
        <v/>
      </c>
      <c r="K117">
        <f>IF($U117="","",IF(INDEX('Per Invoice'!K$2:K$401,$U117)="","",INDEX('Per Invoice'!K$2:K$401,$U117)))</f>
        <v/>
      </c>
      <c r="L117" s="7">
        <f>IF($U117="","",IF(INDEX('Per Invoice'!L$2:L$401,$U117)="","",INDEX('Per Invoice'!L$2:L$401,$U117)))</f>
        <v/>
      </c>
      <c r="M117" s="7">
        <f>IF($U117="","",IF(INDEX('Per Invoice'!M$2:M$401,$U117)="","",INDEX('Per Invoice'!M$2:M$401,$U117)))</f>
        <v/>
      </c>
      <c r="N117">
        <f>IF($U117="","",IF(INDEX('Per Invoice'!N$2:N$401,$U117)="","",INDEX('Per Invoice'!N$2:N$401,$U117)))</f>
        <v/>
      </c>
      <c r="O117" s="7">
        <f>IF($U117="","",IF(INDEX('Per Invoice'!O$2:O$401,$U117)="","",INDEX('Per Invoice'!O$2:O$401,$U117)))</f>
        <v/>
      </c>
      <c r="P117" s="7">
        <f>IF($U117="","",IF(INDEX('Per Invoice'!P$2:P$401,$U117)="","",INDEX('Per Invoice'!P$2:P$401,$U117)))</f>
        <v/>
      </c>
      <c r="Q117" s="7">
        <f>IF($U117="","",IF(INDEX('Per Invoice'!Q$2:Q$401,$U117)="","",INDEX('Per Invoice'!Q$2:Q$401,$U117)))</f>
        <v/>
      </c>
      <c r="R117" s="7">
        <f>IF($U117="","",IF(INDEX('Per Invoice'!R$2:R$401,$U117)="","",INDEX('Per Invoice'!R$2:R$401,$U117)))</f>
        <v/>
      </c>
      <c r="S117" s="7">
        <f>IF($U117="","",IF(INDEX('Per Invoice'!S$2:S$401,$U117)="","",INDEX('Per Invoice'!S$2:S$401,$U117)))</f>
        <v/>
      </c>
      <c r="T117" s="7">
        <f>IF($U117="","",IF(INDEX('Per Invoice'!T$2:T$401,$U117)="","",INDEX('Per Invoice'!T$2:T$401,$U117)))</f>
        <v/>
      </c>
      <c r="U117" s="16">
        <f>IFERROR(MATCH(Settings!$C$27&amp;"|"&amp;ROWS($U$2:$U117),'Per Invoice'!$V$2:$V$401,0),"")</f>
        <v/>
      </c>
    </row>
    <row r="118">
      <c r="A118">
        <f>IF($U118="","",IF(INDEX('Per Invoice'!A$2:A$401,$U118)="","",INDEX('Per Invoice'!A$2:A$401,$U118)))</f>
        <v/>
      </c>
      <c r="B118">
        <f>IF($U118="","",IF(INDEX('Per Invoice'!B$2:B$401,$U118)="","",INDEX('Per Invoice'!B$2:B$401,$U118)))</f>
        <v/>
      </c>
      <c r="C118">
        <f>IF($U118="","",IF(INDEX('Per Invoice'!C$2:C$401,$U118)="","",INDEX('Per Invoice'!C$2:C$401,$U118)))</f>
        <v/>
      </c>
      <c r="D118">
        <f>IF($U118="","",IF(INDEX('Per Invoice'!D$2:D$401,$U118)="","",INDEX('Per Invoice'!D$2:D$401,$U118)))</f>
        <v/>
      </c>
      <c r="E118">
        <f>IF($U118="","",IF(INDEX('Per Invoice'!E$2:E$401,$U118)="","",INDEX('Per Invoice'!E$2:E$401,$U118)))</f>
        <v/>
      </c>
      <c r="F118">
        <f>IF($U118="","",IF(INDEX('Per Invoice'!F$2:F$401,$U118)="","",INDEX('Per Invoice'!F$2:F$401,$U118)))</f>
        <v/>
      </c>
      <c r="G118">
        <f>IF($U118="","",IF(INDEX('Per Invoice'!G$2:G$401,$U118)="","",INDEX('Per Invoice'!G$2:G$401,$U118)))</f>
        <v/>
      </c>
      <c r="H118" s="7">
        <f>IF($U118="","",IF(INDEX('Per Invoice'!H$2:H$401,$U118)="","",INDEX('Per Invoice'!H$2:H$401,$U118)))</f>
        <v/>
      </c>
      <c r="I118" s="14">
        <f>IF($U118="","",IF(INDEX('Per Invoice'!I$2:I$401,$U118)="","",INDEX('Per Invoice'!I$2:I$401,$U118)))</f>
        <v/>
      </c>
      <c r="J118">
        <f>IF($U118="","",IF(INDEX('Per Invoice'!J$2:J$401,$U118)="","",INDEX('Per Invoice'!J$2:J$401,$U118)))</f>
        <v/>
      </c>
      <c r="K118">
        <f>IF($U118="","",IF(INDEX('Per Invoice'!K$2:K$401,$U118)="","",INDEX('Per Invoice'!K$2:K$401,$U118)))</f>
        <v/>
      </c>
      <c r="L118" s="7">
        <f>IF($U118="","",IF(INDEX('Per Invoice'!L$2:L$401,$U118)="","",INDEX('Per Invoice'!L$2:L$401,$U118)))</f>
        <v/>
      </c>
      <c r="M118" s="7">
        <f>IF($U118="","",IF(INDEX('Per Invoice'!M$2:M$401,$U118)="","",INDEX('Per Invoice'!M$2:M$401,$U118)))</f>
        <v/>
      </c>
      <c r="N118">
        <f>IF($U118="","",IF(INDEX('Per Invoice'!N$2:N$401,$U118)="","",INDEX('Per Invoice'!N$2:N$401,$U118)))</f>
        <v/>
      </c>
      <c r="O118" s="7">
        <f>IF($U118="","",IF(INDEX('Per Invoice'!O$2:O$401,$U118)="","",INDEX('Per Invoice'!O$2:O$401,$U118)))</f>
        <v/>
      </c>
      <c r="P118" s="7">
        <f>IF($U118="","",IF(INDEX('Per Invoice'!P$2:P$401,$U118)="","",INDEX('Per Invoice'!P$2:P$401,$U118)))</f>
        <v/>
      </c>
      <c r="Q118" s="7">
        <f>IF($U118="","",IF(INDEX('Per Invoice'!Q$2:Q$401,$U118)="","",INDEX('Per Invoice'!Q$2:Q$401,$U118)))</f>
        <v/>
      </c>
      <c r="R118" s="7">
        <f>IF($U118="","",IF(INDEX('Per Invoice'!R$2:R$401,$U118)="","",INDEX('Per Invoice'!R$2:R$401,$U118)))</f>
        <v/>
      </c>
      <c r="S118" s="7">
        <f>IF($U118="","",IF(INDEX('Per Invoice'!S$2:S$401,$U118)="","",INDEX('Per Invoice'!S$2:S$401,$U118)))</f>
        <v/>
      </c>
      <c r="T118" s="7">
        <f>IF($U118="","",IF(INDEX('Per Invoice'!T$2:T$401,$U118)="","",INDEX('Per Invoice'!T$2:T$401,$U118)))</f>
        <v/>
      </c>
      <c r="U118" s="16">
        <f>IFERROR(MATCH(Settings!$C$27&amp;"|"&amp;ROWS($U$2:$U118),'Per Invoice'!$V$2:$V$401,0),"")</f>
        <v/>
      </c>
    </row>
    <row r="119">
      <c r="A119">
        <f>IF($U119="","",IF(INDEX('Per Invoice'!A$2:A$401,$U119)="","",INDEX('Per Invoice'!A$2:A$401,$U119)))</f>
        <v/>
      </c>
      <c r="B119">
        <f>IF($U119="","",IF(INDEX('Per Invoice'!B$2:B$401,$U119)="","",INDEX('Per Invoice'!B$2:B$401,$U119)))</f>
        <v/>
      </c>
      <c r="C119">
        <f>IF($U119="","",IF(INDEX('Per Invoice'!C$2:C$401,$U119)="","",INDEX('Per Invoice'!C$2:C$401,$U119)))</f>
        <v/>
      </c>
      <c r="D119">
        <f>IF($U119="","",IF(INDEX('Per Invoice'!D$2:D$401,$U119)="","",INDEX('Per Invoice'!D$2:D$401,$U119)))</f>
        <v/>
      </c>
      <c r="E119">
        <f>IF($U119="","",IF(INDEX('Per Invoice'!E$2:E$401,$U119)="","",INDEX('Per Invoice'!E$2:E$401,$U119)))</f>
        <v/>
      </c>
      <c r="F119">
        <f>IF($U119="","",IF(INDEX('Per Invoice'!F$2:F$401,$U119)="","",INDEX('Per Invoice'!F$2:F$401,$U119)))</f>
        <v/>
      </c>
      <c r="G119">
        <f>IF($U119="","",IF(INDEX('Per Invoice'!G$2:G$401,$U119)="","",INDEX('Per Invoice'!G$2:G$401,$U119)))</f>
        <v/>
      </c>
      <c r="H119" s="7">
        <f>IF($U119="","",IF(INDEX('Per Invoice'!H$2:H$401,$U119)="","",INDEX('Per Invoice'!H$2:H$401,$U119)))</f>
        <v/>
      </c>
      <c r="I119" s="14">
        <f>IF($U119="","",IF(INDEX('Per Invoice'!I$2:I$401,$U119)="","",INDEX('Per Invoice'!I$2:I$401,$U119)))</f>
        <v/>
      </c>
      <c r="J119">
        <f>IF($U119="","",IF(INDEX('Per Invoice'!J$2:J$401,$U119)="","",INDEX('Per Invoice'!J$2:J$401,$U119)))</f>
        <v/>
      </c>
      <c r="K119">
        <f>IF($U119="","",IF(INDEX('Per Invoice'!K$2:K$401,$U119)="","",INDEX('Per Invoice'!K$2:K$401,$U119)))</f>
        <v/>
      </c>
      <c r="L119" s="7">
        <f>IF($U119="","",IF(INDEX('Per Invoice'!L$2:L$401,$U119)="","",INDEX('Per Invoice'!L$2:L$401,$U119)))</f>
        <v/>
      </c>
      <c r="M119" s="7">
        <f>IF($U119="","",IF(INDEX('Per Invoice'!M$2:M$401,$U119)="","",INDEX('Per Invoice'!M$2:M$401,$U119)))</f>
        <v/>
      </c>
      <c r="N119">
        <f>IF($U119="","",IF(INDEX('Per Invoice'!N$2:N$401,$U119)="","",INDEX('Per Invoice'!N$2:N$401,$U119)))</f>
        <v/>
      </c>
      <c r="O119" s="7">
        <f>IF($U119="","",IF(INDEX('Per Invoice'!O$2:O$401,$U119)="","",INDEX('Per Invoice'!O$2:O$401,$U119)))</f>
        <v/>
      </c>
      <c r="P119" s="7">
        <f>IF($U119="","",IF(INDEX('Per Invoice'!P$2:P$401,$U119)="","",INDEX('Per Invoice'!P$2:P$401,$U119)))</f>
        <v/>
      </c>
      <c r="Q119" s="7">
        <f>IF($U119="","",IF(INDEX('Per Invoice'!Q$2:Q$401,$U119)="","",INDEX('Per Invoice'!Q$2:Q$401,$U119)))</f>
        <v/>
      </c>
      <c r="R119" s="7">
        <f>IF($U119="","",IF(INDEX('Per Invoice'!R$2:R$401,$U119)="","",INDEX('Per Invoice'!R$2:R$401,$U119)))</f>
        <v/>
      </c>
      <c r="S119" s="7">
        <f>IF($U119="","",IF(INDEX('Per Invoice'!S$2:S$401,$U119)="","",INDEX('Per Invoice'!S$2:S$401,$U119)))</f>
        <v/>
      </c>
      <c r="T119" s="7">
        <f>IF($U119="","",IF(INDEX('Per Invoice'!T$2:T$401,$U119)="","",INDEX('Per Invoice'!T$2:T$401,$U119)))</f>
        <v/>
      </c>
      <c r="U119" s="16">
        <f>IFERROR(MATCH(Settings!$C$27&amp;"|"&amp;ROWS($U$2:$U119),'Per Invoice'!$V$2:$V$401,0),"")</f>
        <v/>
      </c>
    </row>
    <row r="120">
      <c r="A120">
        <f>IF($U120="","",IF(INDEX('Per Invoice'!A$2:A$401,$U120)="","",INDEX('Per Invoice'!A$2:A$401,$U120)))</f>
        <v/>
      </c>
      <c r="B120">
        <f>IF($U120="","",IF(INDEX('Per Invoice'!B$2:B$401,$U120)="","",INDEX('Per Invoice'!B$2:B$401,$U120)))</f>
        <v/>
      </c>
      <c r="C120">
        <f>IF($U120="","",IF(INDEX('Per Invoice'!C$2:C$401,$U120)="","",INDEX('Per Invoice'!C$2:C$401,$U120)))</f>
        <v/>
      </c>
      <c r="D120">
        <f>IF($U120="","",IF(INDEX('Per Invoice'!D$2:D$401,$U120)="","",INDEX('Per Invoice'!D$2:D$401,$U120)))</f>
        <v/>
      </c>
      <c r="E120">
        <f>IF($U120="","",IF(INDEX('Per Invoice'!E$2:E$401,$U120)="","",INDEX('Per Invoice'!E$2:E$401,$U120)))</f>
        <v/>
      </c>
      <c r="F120">
        <f>IF($U120="","",IF(INDEX('Per Invoice'!F$2:F$401,$U120)="","",INDEX('Per Invoice'!F$2:F$401,$U120)))</f>
        <v/>
      </c>
      <c r="G120">
        <f>IF($U120="","",IF(INDEX('Per Invoice'!G$2:G$401,$U120)="","",INDEX('Per Invoice'!G$2:G$401,$U120)))</f>
        <v/>
      </c>
      <c r="H120" s="7">
        <f>IF($U120="","",IF(INDEX('Per Invoice'!H$2:H$401,$U120)="","",INDEX('Per Invoice'!H$2:H$401,$U120)))</f>
        <v/>
      </c>
      <c r="I120" s="14">
        <f>IF($U120="","",IF(INDEX('Per Invoice'!I$2:I$401,$U120)="","",INDEX('Per Invoice'!I$2:I$401,$U120)))</f>
        <v/>
      </c>
      <c r="J120">
        <f>IF($U120="","",IF(INDEX('Per Invoice'!J$2:J$401,$U120)="","",INDEX('Per Invoice'!J$2:J$401,$U120)))</f>
        <v/>
      </c>
      <c r="K120">
        <f>IF($U120="","",IF(INDEX('Per Invoice'!K$2:K$401,$U120)="","",INDEX('Per Invoice'!K$2:K$401,$U120)))</f>
        <v/>
      </c>
      <c r="L120" s="7">
        <f>IF($U120="","",IF(INDEX('Per Invoice'!L$2:L$401,$U120)="","",INDEX('Per Invoice'!L$2:L$401,$U120)))</f>
        <v/>
      </c>
      <c r="M120" s="7">
        <f>IF($U120="","",IF(INDEX('Per Invoice'!M$2:M$401,$U120)="","",INDEX('Per Invoice'!M$2:M$401,$U120)))</f>
        <v/>
      </c>
      <c r="N120">
        <f>IF($U120="","",IF(INDEX('Per Invoice'!N$2:N$401,$U120)="","",INDEX('Per Invoice'!N$2:N$401,$U120)))</f>
        <v/>
      </c>
      <c r="O120" s="7">
        <f>IF($U120="","",IF(INDEX('Per Invoice'!O$2:O$401,$U120)="","",INDEX('Per Invoice'!O$2:O$401,$U120)))</f>
        <v/>
      </c>
      <c r="P120" s="7">
        <f>IF($U120="","",IF(INDEX('Per Invoice'!P$2:P$401,$U120)="","",INDEX('Per Invoice'!P$2:P$401,$U120)))</f>
        <v/>
      </c>
      <c r="Q120" s="7">
        <f>IF($U120="","",IF(INDEX('Per Invoice'!Q$2:Q$401,$U120)="","",INDEX('Per Invoice'!Q$2:Q$401,$U120)))</f>
        <v/>
      </c>
      <c r="R120" s="7">
        <f>IF($U120="","",IF(INDEX('Per Invoice'!R$2:R$401,$U120)="","",INDEX('Per Invoice'!R$2:R$401,$U120)))</f>
        <v/>
      </c>
      <c r="S120" s="7">
        <f>IF($U120="","",IF(INDEX('Per Invoice'!S$2:S$401,$U120)="","",INDEX('Per Invoice'!S$2:S$401,$U120)))</f>
        <v/>
      </c>
      <c r="T120" s="7">
        <f>IF($U120="","",IF(INDEX('Per Invoice'!T$2:T$401,$U120)="","",INDEX('Per Invoice'!T$2:T$401,$U120)))</f>
        <v/>
      </c>
      <c r="U120" s="16">
        <f>IFERROR(MATCH(Settings!$C$27&amp;"|"&amp;ROWS($U$2:$U120),'Per Invoice'!$V$2:$V$401,0),"")</f>
        <v/>
      </c>
    </row>
    <row r="121">
      <c r="A121">
        <f>IF($U121="","",IF(INDEX('Per Invoice'!A$2:A$401,$U121)="","",INDEX('Per Invoice'!A$2:A$401,$U121)))</f>
        <v/>
      </c>
      <c r="B121">
        <f>IF($U121="","",IF(INDEX('Per Invoice'!B$2:B$401,$U121)="","",INDEX('Per Invoice'!B$2:B$401,$U121)))</f>
        <v/>
      </c>
      <c r="C121">
        <f>IF($U121="","",IF(INDEX('Per Invoice'!C$2:C$401,$U121)="","",INDEX('Per Invoice'!C$2:C$401,$U121)))</f>
        <v/>
      </c>
      <c r="D121">
        <f>IF($U121="","",IF(INDEX('Per Invoice'!D$2:D$401,$U121)="","",INDEX('Per Invoice'!D$2:D$401,$U121)))</f>
        <v/>
      </c>
      <c r="E121">
        <f>IF($U121="","",IF(INDEX('Per Invoice'!E$2:E$401,$U121)="","",INDEX('Per Invoice'!E$2:E$401,$U121)))</f>
        <v/>
      </c>
      <c r="F121">
        <f>IF($U121="","",IF(INDEX('Per Invoice'!F$2:F$401,$U121)="","",INDEX('Per Invoice'!F$2:F$401,$U121)))</f>
        <v/>
      </c>
      <c r="G121">
        <f>IF($U121="","",IF(INDEX('Per Invoice'!G$2:G$401,$U121)="","",INDEX('Per Invoice'!G$2:G$401,$U121)))</f>
        <v/>
      </c>
      <c r="H121" s="7">
        <f>IF($U121="","",IF(INDEX('Per Invoice'!H$2:H$401,$U121)="","",INDEX('Per Invoice'!H$2:H$401,$U121)))</f>
        <v/>
      </c>
      <c r="I121" s="14">
        <f>IF($U121="","",IF(INDEX('Per Invoice'!I$2:I$401,$U121)="","",INDEX('Per Invoice'!I$2:I$401,$U121)))</f>
        <v/>
      </c>
      <c r="J121">
        <f>IF($U121="","",IF(INDEX('Per Invoice'!J$2:J$401,$U121)="","",INDEX('Per Invoice'!J$2:J$401,$U121)))</f>
        <v/>
      </c>
      <c r="K121">
        <f>IF($U121="","",IF(INDEX('Per Invoice'!K$2:K$401,$U121)="","",INDEX('Per Invoice'!K$2:K$401,$U121)))</f>
        <v/>
      </c>
      <c r="L121" s="7">
        <f>IF($U121="","",IF(INDEX('Per Invoice'!L$2:L$401,$U121)="","",INDEX('Per Invoice'!L$2:L$401,$U121)))</f>
        <v/>
      </c>
      <c r="M121" s="7">
        <f>IF($U121="","",IF(INDEX('Per Invoice'!M$2:M$401,$U121)="","",INDEX('Per Invoice'!M$2:M$401,$U121)))</f>
        <v/>
      </c>
      <c r="N121">
        <f>IF($U121="","",IF(INDEX('Per Invoice'!N$2:N$401,$U121)="","",INDEX('Per Invoice'!N$2:N$401,$U121)))</f>
        <v/>
      </c>
      <c r="O121" s="7">
        <f>IF($U121="","",IF(INDEX('Per Invoice'!O$2:O$401,$U121)="","",INDEX('Per Invoice'!O$2:O$401,$U121)))</f>
        <v/>
      </c>
      <c r="P121" s="7">
        <f>IF($U121="","",IF(INDEX('Per Invoice'!P$2:P$401,$U121)="","",INDEX('Per Invoice'!P$2:P$401,$U121)))</f>
        <v/>
      </c>
      <c r="Q121" s="7">
        <f>IF($U121="","",IF(INDEX('Per Invoice'!Q$2:Q$401,$U121)="","",INDEX('Per Invoice'!Q$2:Q$401,$U121)))</f>
        <v/>
      </c>
      <c r="R121" s="7">
        <f>IF($U121="","",IF(INDEX('Per Invoice'!R$2:R$401,$U121)="","",INDEX('Per Invoice'!R$2:R$401,$U121)))</f>
        <v/>
      </c>
      <c r="S121" s="7">
        <f>IF($U121="","",IF(INDEX('Per Invoice'!S$2:S$401,$U121)="","",INDEX('Per Invoice'!S$2:S$401,$U121)))</f>
        <v/>
      </c>
      <c r="T121" s="7">
        <f>IF($U121="","",IF(INDEX('Per Invoice'!T$2:T$401,$U121)="","",INDEX('Per Invoice'!T$2:T$401,$U121)))</f>
        <v/>
      </c>
      <c r="U121" s="16">
        <f>IFERROR(MATCH(Settings!$C$27&amp;"|"&amp;ROWS($U$2:$U121),'Per Invoice'!$V$2:$V$401,0),"")</f>
        <v/>
      </c>
    </row>
    <row r="122">
      <c r="A122">
        <f>IF($U122="","",IF(INDEX('Per Invoice'!A$2:A$401,$U122)="","",INDEX('Per Invoice'!A$2:A$401,$U122)))</f>
        <v/>
      </c>
      <c r="B122">
        <f>IF($U122="","",IF(INDEX('Per Invoice'!B$2:B$401,$U122)="","",INDEX('Per Invoice'!B$2:B$401,$U122)))</f>
        <v/>
      </c>
      <c r="C122">
        <f>IF($U122="","",IF(INDEX('Per Invoice'!C$2:C$401,$U122)="","",INDEX('Per Invoice'!C$2:C$401,$U122)))</f>
        <v/>
      </c>
      <c r="D122">
        <f>IF($U122="","",IF(INDEX('Per Invoice'!D$2:D$401,$U122)="","",INDEX('Per Invoice'!D$2:D$401,$U122)))</f>
        <v/>
      </c>
      <c r="E122">
        <f>IF($U122="","",IF(INDEX('Per Invoice'!E$2:E$401,$U122)="","",INDEX('Per Invoice'!E$2:E$401,$U122)))</f>
        <v/>
      </c>
      <c r="F122">
        <f>IF($U122="","",IF(INDEX('Per Invoice'!F$2:F$401,$U122)="","",INDEX('Per Invoice'!F$2:F$401,$U122)))</f>
        <v/>
      </c>
      <c r="G122">
        <f>IF($U122="","",IF(INDEX('Per Invoice'!G$2:G$401,$U122)="","",INDEX('Per Invoice'!G$2:G$401,$U122)))</f>
        <v/>
      </c>
      <c r="H122" s="7">
        <f>IF($U122="","",IF(INDEX('Per Invoice'!H$2:H$401,$U122)="","",INDEX('Per Invoice'!H$2:H$401,$U122)))</f>
        <v/>
      </c>
      <c r="I122" s="14">
        <f>IF($U122="","",IF(INDEX('Per Invoice'!I$2:I$401,$U122)="","",INDEX('Per Invoice'!I$2:I$401,$U122)))</f>
        <v/>
      </c>
      <c r="J122">
        <f>IF($U122="","",IF(INDEX('Per Invoice'!J$2:J$401,$U122)="","",INDEX('Per Invoice'!J$2:J$401,$U122)))</f>
        <v/>
      </c>
      <c r="K122">
        <f>IF($U122="","",IF(INDEX('Per Invoice'!K$2:K$401,$U122)="","",INDEX('Per Invoice'!K$2:K$401,$U122)))</f>
        <v/>
      </c>
      <c r="L122" s="7">
        <f>IF($U122="","",IF(INDEX('Per Invoice'!L$2:L$401,$U122)="","",INDEX('Per Invoice'!L$2:L$401,$U122)))</f>
        <v/>
      </c>
      <c r="M122" s="7">
        <f>IF($U122="","",IF(INDEX('Per Invoice'!M$2:M$401,$U122)="","",INDEX('Per Invoice'!M$2:M$401,$U122)))</f>
        <v/>
      </c>
      <c r="N122">
        <f>IF($U122="","",IF(INDEX('Per Invoice'!N$2:N$401,$U122)="","",INDEX('Per Invoice'!N$2:N$401,$U122)))</f>
        <v/>
      </c>
      <c r="O122" s="7">
        <f>IF($U122="","",IF(INDEX('Per Invoice'!O$2:O$401,$U122)="","",INDEX('Per Invoice'!O$2:O$401,$U122)))</f>
        <v/>
      </c>
      <c r="P122" s="7">
        <f>IF($U122="","",IF(INDEX('Per Invoice'!P$2:P$401,$U122)="","",INDEX('Per Invoice'!P$2:P$401,$U122)))</f>
        <v/>
      </c>
      <c r="Q122" s="7">
        <f>IF($U122="","",IF(INDEX('Per Invoice'!Q$2:Q$401,$U122)="","",INDEX('Per Invoice'!Q$2:Q$401,$U122)))</f>
        <v/>
      </c>
      <c r="R122" s="7">
        <f>IF($U122="","",IF(INDEX('Per Invoice'!R$2:R$401,$U122)="","",INDEX('Per Invoice'!R$2:R$401,$U122)))</f>
        <v/>
      </c>
      <c r="S122" s="7">
        <f>IF($U122="","",IF(INDEX('Per Invoice'!S$2:S$401,$U122)="","",INDEX('Per Invoice'!S$2:S$401,$U122)))</f>
        <v/>
      </c>
      <c r="T122" s="7">
        <f>IF($U122="","",IF(INDEX('Per Invoice'!T$2:T$401,$U122)="","",INDEX('Per Invoice'!T$2:T$401,$U122)))</f>
        <v/>
      </c>
      <c r="U122" s="16">
        <f>IFERROR(MATCH(Settings!$C$27&amp;"|"&amp;ROWS($U$2:$U122),'Per Invoice'!$V$2:$V$401,0),"")</f>
        <v/>
      </c>
    </row>
    <row r="123">
      <c r="A123">
        <f>IF($U123="","",IF(INDEX('Per Invoice'!A$2:A$401,$U123)="","",INDEX('Per Invoice'!A$2:A$401,$U123)))</f>
        <v/>
      </c>
      <c r="B123">
        <f>IF($U123="","",IF(INDEX('Per Invoice'!B$2:B$401,$U123)="","",INDEX('Per Invoice'!B$2:B$401,$U123)))</f>
        <v/>
      </c>
      <c r="C123">
        <f>IF($U123="","",IF(INDEX('Per Invoice'!C$2:C$401,$U123)="","",INDEX('Per Invoice'!C$2:C$401,$U123)))</f>
        <v/>
      </c>
      <c r="D123">
        <f>IF($U123="","",IF(INDEX('Per Invoice'!D$2:D$401,$U123)="","",INDEX('Per Invoice'!D$2:D$401,$U123)))</f>
        <v/>
      </c>
      <c r="E123">
        <f>IF($U123="","",IF(INDEX('Per Invoice'!E$2:E$401,$U123)="","",INDEX('Per Invoice'!E$2:E$401,$U123)))</f>
        <v/>
      </c>
      <c r="F123">
        <f>IF($U123="","",IF(INDEX('Per Invoice'!F$2:F$401,$U123)="","",INDEX('Per Invoice'!F$2:F$401,$U123)))</f>
        <v/>
      </c>
      <c r="G123">
        <f>IF($U123="","",IF(INDEX('Per Invoice'!G$2:G$401,$U123)="","",INDEX('Per Invoice'!G$2:G$401,$U123)))</f>
        <v/>
      </c>
      <c r="H123" s="7">
        <f>IF($U123="","",IF(INDEX('Per Invoice'!H$2:H$401,$U123)="","",INDEX('Per Invoice'!H$2:H$401,$U123)))</f>
        <v/>
      </c>
      <c r="I123" s="14">
        <f>IF($U123="","",IF(INDEX('Per Invoice'!I$2:I$401,$U123)="","",INDEX('Per Invoice'!I$2:I$401,$U123)))</f>
        <v/>
      </c>
      <c r="J123">
        <f>IF($U123="","",IF(INDEX('Per Invoice'!J$2:J$401,$U123)="","",INDEX('Per Invoice'!J$2:J$401,$U123)))</f>
        <v/>
      </c>
      <c r="K123">
        <f>IF($U123="","",IF(INDEX('Per Invoice'!K$2:K$401,$U123)="","",INDEX('Per Invoice'!K$2:K$401,$U123)))</f>
        <v/>
      </c>
      <c r="L123" s="7">
        <f>IF($U123="","",IF(INDEX('Per Invoice'!L$2:L$401,$U123)="","",INDEX('Per Invoice'!L$2:L$401,$U123)))</f>
        <v/>
      </c>
      <c r="M123" s="7">
        <f>IF($U123="","",IF(INDEX('Per Invoice'!M$2:M$401,$U123)="","",INDEX('Per Invoice'!M$2:M$401,$U123)))</f>
        <v/>
      </c>
      <c r="N123">
        <f>IF($U123="","",IF(INDEX('Per Invoice'!N$2:N$401,$U123)="","",INDEX('Per Invoice'!N$2:N$401,$U123)))</f>
        <v/>
      </c>
      <c r="O123" s="7">
        <f>IF($U123="","",IF(INDEX('Per Invoice'!O$2:O$401,$U123)="","",INDEX('Per Invoice'!O$2:O$401,$U123)))</f>
        <v/>
      </c>
      <c r="P123" s="7">
        <f>IF($U123="","",IF(INDEX('Per Invoice'!P$2:P$401,$U123)="","",INDEX('Per Invoice'!P$2:P$401,$U123)))</f>
        <v/>
      </c>
      <c r="Q123" s="7">
        <f>IF($U123="","",IF(INDEX('Per Invoice'!Q$2:Q$401,$U123)="","",INDEX('Per Invoice'!Q$2:Q$401,$U123)))</f>
        <v/>
      </c>
      <c r="R123" s="7">
        <f>IF($U123="","",IF(INDEX('Per Invoice'!R$2:R$401,$U123)="","",INDEX('Per Invoice'!R$2:R$401,$U123)))</f>
        <v/>
      </c>
      <c r="S123" s="7">
        <f>IF($U123="","",IF(INDEX('Per Invoice'!S$2:S$401,$U123)="","",INDEX('Per Invoice'!S$2:S$401,$U123)))</f>
        <v/>
      </c>
      <c r="T123" s="7">
        <f>IF($U123="","",IF(INDEX('Per Invoice'!T$2:T$401,$U123)="","",INDEX('Per Invoice'!T$2:T$401,$U123)))</f>
        <v/>
      </c>
      <c r="U123" s="16">
        <f>IFERROR(MATCH(Settings!$C$27&amp;"|"&amp;ROWS($U$2:$U123),'Per Invoice'!$V$2:$V$401,0),"")</f>
        <v/>
      </c>
    </row>
    <row r="124">
      <c r="A124">
        <f>IF($U124="","",IF(INDEX('Per Invoice'!A$2:A$401,$U124)="","",INDEX('Per Invoice'!A$2:A$401,$U124)))</f>
        <v/>
      </c>
      <c r="B124">
        <f>IF($U124="","",IF(INDEX('Per Invoice'!B$2:B$401,$U124)="","",INDEX('Per Invoice'!B$2:B$401,$U124)))</f>
        <v/>
      </c>
      <c r="C124">
        <f>IF($U124="","",IF(INDEX('Per Invoice'!C$2:C$401,$U124)="","",INDEX('Per Invoice'!C$2:C$401,$U124)))</f>
        <v/>
      </c>
      <c r="D124">
        <f>IF($U124="","",IF(INDEX('Per Invoice'!D$2:D$401,$U124)="","",INDEX('Per Invoice'!D$2:D$401,$U124)))</f>
        <v/>
      </c>
      <c r="E124">
        <f>IF($U124="","",IF(INDEX('Per Invoice'!E$2:E$401,$U124)="","",INDEX('Per Invoice'!E$2:E$401,$U124)))</f>
        <v/>
      </c>
      <c r="F124">
        <f>IF($U124="","",IF(INDEX('Per Invoice'!F$2:F$401,$U124)="","",INDEX('Per Invoice'!F$2:F$401,$U124)))</f>
        <v/>
      </c>
      <c r="G124">
        <f>IF($U124="","",IF(INDEX('Per Invoice'!G$2:G$401,$U124)="","",INDEX('Per Invoice'!G$2:G$401,$U124)))</f>
        <v/>
      </c>
      <c r="H124" s="7">
        <f>IF($U124="","",IF(INDEX('Per Invoice'!H$2:H$401,$U124)="","",INDEX('Per Invoice'!H$2:H$401,$U124)))</f>
        <v/>
      </c>
      <c r="I124" s="14">
        <f>IF($U124="","",IF(INDEX('Per Invoice'!I$2:I$401,$U124)="","",INDEX('Per Invoice'!I$2:I$401,$U124)))</f>
        <v/>
      </c>
      <c r="J124">
        <f>IF($U124="","",IF(INDEX('Per Invoice'!J$2:J$401,$U124)="","",INDEX('Per Invoice'!J$2:J$401,$U124)))</f>
        <v/>
      </c>
      <c r="K124">
        <f>IF($U124="","",IF(INDEX('Per Invoice'!K$2:K$401,$U124)="","",INDEX('Per Invoice'!K$2:K$401,$U124)))</f>
        <v/>
      </c>
      <c r="L124" s="7">
        <f>IF($U124="","",IF(INDEX('Per Invoice'!L$2:L$401,$U124)="","",INDEX('Per Invoice'!L$2:L$401,$U124)))</f>
        <v/>
      </c>
      <c r="M124" s="7">
        <f>IF($U124="","",IF(INDEX('Per Invoice'!M$2:M$401,$U124)="","",INDEX('Per Invoice'!M$2:M$401,$U124)))</f>
        <v/>
      </c>
      <c r="N124">
        <f>IF($U124="","",IF(INDEX('Per Invoice'!N$2:N$401,$U124)="","",INDEX('Per Invoice'!N$2:N$401,$U124)))</f>
        <v/>
      </c>
      <c r="O124" s="7">
        <f>IF($U124="","",IF(INDEX('Per Invoice'!O$2:O$401,$U124)="","",INDEX('Per Invoice'!O$2:O$401,$U124)))</f>
        <v/>
      </c>
      <c r="P124" s="7">
        <f>IF($U124="","",IF(INDEX('Per Invoice'!P$2:P$401,$U124)="","",INDEX('Per Invoice'!P$2:P$401,$U124)))</f>
        <v/>
      </c>
      <c r="Q124" s="7">
        <f>IF($U124="","",IF(INDEX('Per Invoice'!Q$2:Q$401,$U124)="","",INDEX('Per Invoice'!Q$2:Q$401,$U124)))</f>
        <v/>
      </c>
      <c r="R124" s="7">
        <f>IF($U124="","",IF(INDEX('Per Invoice'!R$2:R$401,$U124)="","",INDEX('Per Invoice'!R$2:R$401,$U124)))</f>
        <v/>
      </c>
      <c r="S124" s="7">
        <f>IF($U124="","",IF(INDEX('Per Invoice'!S$2:S$401,$U124)="","",INDEX('Per Invoice'!S$2:S$401,$U124)))</f>
        <v/>
      </c>
      <c r="T124" s="7">
        <f>IF($U124="","",IF(INDEX('Per Invoice'!T$2:T$401,$U124)="","",INDEX('Per Invoice'!T$2:T$401,$U124)))</f>
        <v/>
      </c>
      <c r="U124" s="16">
        <f>IFERROR(MATCH(Settings!$C$27&amp;"|"&amp;ROWS($U$2:$U124),'Per Invoice'!$V$2:$V$401,0),"")</f>
        <v/>
      </c>
    </row>
    <row r="125">
      <c r="A125">
        <f>IF($U125="","",IF(INDEX('Per Invoice'!A$2:A$401,$U125)="","",INDEX('Per Invoice'!A$2:A$401,$U125)))</f>
        <v/>
      </c>
      <c r="B125">
        <f>IF($U125="","",IF(INDEX('Per Invoice'!B$2:B$401,$U125)="","",INDEX('Per Invoice'!B$2:B$401,$U125)))</f>
        <v/>
      </c>
      <c r="C125">
        <f>IF($U125="","",IF(INDEX('Per Invoice'!C$2:C$401,$U125)="","",INDEX('Per Invoice'!C$2:C$401,$U125)))</f>
        <v/>
      </c>
      <c r="D125">
        <f>IF($U125="","",IF(INDEX('Per Invoice'!D$2:D$401,$U125)="","",INDEX('Per Invoice'!D$2:D$401,$U125)))</f>
        <v/>
      </c>
      <c r="E125">
        <f>IF($U125="","",IF(INDEX('Per Invoice'!E$2:E$401,$U125)="","",INDEX('Per Invoice'!E$2:E$401,$U125)))</f>
        <v/>
      </c>
      <c r="F125">
        <f>IF($U125="","",IF(INDEX('Per Invoice'!F$2:F$401,$U125)="","",INDEX('Per Invoice'!F$2:F$401,$U125)))</f>
        <v/>
      </c>
      <c r="G125">
        <f>IF($U125="","",IF(INDEX('Per Invoice'!G$2:G$401,$U125)="","",INDEX('Per Invoice'!G$2:G$401,$U125)))</f>
        <v/>
      </c>
      <c r="H125" s="7">
        <f>IF($U125="","",IF(INDEX('Per Invoice'!H$2:H$401,$U125)="","",INDEX('Per Invoice'!H$2:H$401,$U125)))</f>
        <v/>
      </c>
      <c r="I125" s="14">
        <f>IF($U125="","",IF(INDEX('Per Invoice'!I$2:I$401,$U125)="","",INDEX('Per Invoice'!I$2:I$401,$U125)))</f>
        <v/>
      </c>
      <c r="J125">
        <f>IF($U125="","",IF(INDEX('Per Invoice'!J$2:J$401,$U125)="","",INDEX('Per Invoice'!J$2:J$401,$U125)))</f>
        <v/>
      </c>
      <c r="K125">
        <f>IF($U125="","",IF(INDEX('Per Invoice'!K$2:K$401,$U125)="","",INDEX('Per Invoice'!K$2:K$401,$U125)))</f>
        <v/>
      </c>
      <c r="L125" s="7">
        <f>IF($U125="","",IF(INDEX('Per Invoice'!L$2:L$401,$U125)="","",INDEX('Per Invoice'!L$2:L$401,$U125)))</f>
        <v/>
      </c>
      <c r="M125" s="7">
        <f>IF($U125="","",IF(INDEX('Per Invoice'!M$2:M$401,$U125)="","",INDEX('Per Invoice'!M$2:M$401,$U125)))</f>
        <v/>
      </c>
      <c r="N125">
        <f>IF($U125="","",IF(INDEX('Per Invoice'!N$2:N$401,$U125)="","",INDEX('Per Invoice'!N$2:N$401,$U125)))</f>
        <v/>
      </c>
      <c r="O125" s="7">
        <f>IF($U125="","",IF(INDEX('Per Invoice'!O$2:O$401,$U125)="","",INDEX('Per Invoice'!O$2:O$401,$U125)))</f>
        <v/>
      </c>
      <c r="P125" s="7">
        <f>IF($U125="","",IF(INDEX('Per Invoice'!P$2:P$401,$U125)="","",INDEX('Per Invoice'!P$2:P$401,$U125)))</f>
        <v/>
      </c>
      <c r="Q125" s="7">
        <f>IF($U125="","",IF(INDEX('Per Invoice'!Q$2:Q$401,$U125)="","",INDEX('Per Invoice'!Q$2:Q$401,$U125)))</f>
        <v/>
      </c>
      <c r="R125" s="7">
        <f>IF($U125="","",IF(INDEX('Per Invoice'!R$2:R$401,$U125)="","",INDEX('Per Invoice'!R$2:R$401,$U125)))</f>
        <v/>
      </c>
      <c r="S125" s="7">
        <f>IF($U125="","",IF(INDEX('Per Invoice'!S$2:S$401,$U125)="","",INDEX('Per Invoice'!S$2:S$401,$U125)))</f>
        <v/>
      </c>
      <c r="T125" s="7">
        <f>IF($U125="","",IF(INDEX('Per Invoice'!T$2:T$401,$U125)="","",INDEX('Per Invoice'!T$2:T$401,$U125)))</f>
        <v/>
      </c>
      <c r="U125" s="16">
        <f>IFERROR(MATCH(Settings!$C$27&amp;"|"&amp;ROWS($U$2:$U125),'Per Invoice'!$V$2:$V$401,0),"")</f>
        <v/>
      </c>
    </row>
    <row r="126">
      <c r="A126">
        <f>IF($U126="","",IF(INDEX('Per Invoice'!A$2:A$401,$U126)="","",INDEX('Per Invoice'!A$2:A$401,$U126)))</f>
        <v/>
      </c>
      <c r="B126">
        <f>IF($U126="","",IF(INDEX('Per Invoice'!B$2:B$401,$U126)="","",INDEX('Per Invoice'!B$2:B$401,$U126)))</f>
        <v/>
      </c>
      <c r="C126">
        <f>IF($U126="","",IF(INDEX('Per Invoice'!C$2:C$401,$U126)="","",INDEX('Per Invoice'!C$2:C$401,$U126)))</f>
        <v/>
      </c>
      <c r="D126">
        <f>IF($U126="","",IF(INDEX('Per Invoice'!D$2:D$401,$U126)="","",INDEX('Per Invoice'!D$2:D$401,$U126)))</f>
        <v/>
      </c>
      <c r="E126">
        <f>IF($U126="","",IF(INDEX('Per Invoice'!E$2:E$401,$U126)="","",INDEX('Per Invoice'!E$2:E$401,$U126)))</f>
        <v/>
      </c>
      <c r="F126">
        <f>IF($U126="","",IF(INDEX('Per Invoice'!F$2:F$401,$U126)="","",INDEX('Per Invoice'!F$2:F$401,$U126)))</f>
        <v/>
      </c>
      <c r="G126">
        <f>IF($U126="","",IF(INDEX('Per Invoice'!G$2:G$401,$U126)="","",INDEX('Per Invoice'!G$2:G$401,$U126)))</f>
        <v/>
      </c>
      <c r="H126" s="7">
        <f>IF($U126="","",IF(INDEX('Per Invoice'!H$2:H$401,$U126)="","",INDEX('Per Invoice'!H$2:H$401,$U126)))</f>
        <v/>
      </c>
      <c r="I126" s="14">
        <f>IF($U126="","",IF(INDEX('Per Invoice'!I$2:I$401,$U126)="","",INDEX('Per Invoice'!I$2:I$401,$U126)))</f>
        <v/>
      </c>
      <c r="J126">
        <f>IF($U126="","",IF(INDEX('Per Invoice'!J$2:J$401,$U126)="","",INDEX('Per Invoice'!J$2:J$401,$U126)))</f>
        <v/>
      </c>
      <c r="K126">
        <f>IF($U126="","",IF(INDEX('Per Invoice'!K$2:K$401,$U126)="","",INDEX('Per Invoice'!K$2:K$401,$U126)))</f>
        <v/>
      </c>
      <c r="L126" s="7">
        <f>IF($U126="","",IF(INDEX('Per Invoice'!L$2:L$401,$U126)="","",INDEX('Per Invoice'!L$2:L$401,$U126)))</f>
        <v/>
      </c>
      <c r="M126" s="7">
        <f>IF($U126="","",IF(INDEX('Per Invoice'!M$2:M$401,$U126)="","",INDEX('Per Invoice'!M$2:M$401,$U126)))</f>
        <v/>
      </c>
      <c r="N126">
        <f>IF($U126="","",IF(INDEX('Per Invoice'!N$2:N$401,$U126)="","",INDEX('Per Invoice'!N$2:N$401,$U126)))</f>
        <v/>
      </c>
      <c r="O126" s="7">
        <f>IF($U126="","",IF(INDEX('Per Invoice'!O$2:O$401,$U126)="","",INDEX('Per Invoice'!O$2:O$401,$U126)))</f>
        <v/>
      </c>
      <c r="P126" s="7">
        <f>IF($U126="","",IF(INDEX('Per Invoice'!P$2:P$401,$U126)="","",INDEX('Per Invoice'!P$2:P$401,$U126)))</f>
        <v/>
      </c>
      <c r="Q126" s="7">
        <f>IF($U126="","",IF(INDEX('Per Invoice'!Q$2:Q$401,$U126)="","",INDEX('Per Invoice'!Q$2:Q$401,$U126)))</f>
        <v/>
      </c>
      <c r="R126" s="7">
        <f>IF($U126="","",IF(INDEX('Per Invoice'!R$2:R$401,$U126)="","",INDEX('Per Invoice'!R$2:R$401,$U126)))</f>
        <v/>
      </c>
      <c r="S126" s="7">
        <f>IF($U126="","",IF(INDEX('Per Invoice'!S$2:S$401,$U126)="","",INDEX('Per Invoice'!S$2:S$401,$U126)))</f>
        <v/>
      </c>
      <c r="T126" s="7">
        <f>IF($U126="","",IF(INDEX('Per Invoice'!T$2:T$401,$U126)="","",INDEX('Per Invoice'!T$2:T$401,$U126)))</f>
        <v/>
      </c>
      <c r="U126" s="16">
        <f>IFERROR(MATCH(Settings!$C$27&amp;"|"&amp;ROWS($U$2:$U126),'Per Invoice'!$V$2:$V$401,0),"")</f>
        <v/>
      </c>
    </row>
    <row r="127">
      <c r="A127">
        <f>IF($U127="","",IF(INDEX('Per Invoice'!A$2:A$401,$U127)="","",INDEX('Per Invoice'!A$2:A$401,$U127)))</f>
        <v/>
      </c>
      <c r="B127">
        <f>IF($U127="","",IF(INDEX('Per Invoice'!B$2:B$401,$U127)="","",INDEX('Per Invoice'!B$2:B$401,$U127)))</f>
        <v/>
      </c>
      <c r="C127">
        <f>IF($U127="","",IF(INDEX('Per Invoice'!C$2:C$401,$U127)="","",INDEX('Per Invoice'!C$2:C$401,$U127)))</f>
        <v/>
      </c>
      <c r="D127">
        <f>IF($U127="","",IF(INDEX('Per Invoice'!D$2:D$401,$U127)="","",INDEX('Per Invoice'!D$2:D$401,$U127)))</f>
        <v/>
      </c>
      <c r="E127">
        <f>IF($U127="","",IF(INDEX('Per Invoice'!E$2:E$401,$U127)="","",INDEX('Per Invoice'!E$2:E$401,$U127)))</f>
        <v/>
      </c>
      <c r="F127">
        <f>IF($U127="","",IF(INDEX('Per Invoice'!F$2:F$401,$U127)="","",INDEX('Per Invoice'!F$2:F$401,$U127)))</f>
        <v/>
      </c>
      <c r="G127">
        <f>IF($U127="","",IF(INDEX('Per Invoice'!G$2:G$401,$U127)="","",INDEX('Per Invoice'!G$2:G$401,$U127)))</f>
        <v/>
      </c>
      <c r="H127" s="7">
        <f>IF($U127="","",IF(INDEX('Per Invoice'!H$2:H$401,$U127)="","",INDEX('Per Invoice'!H$2:H$401,$U127)))</f>
        <v/>
      </c>
      <c r="I127" s="14">
        <f>IF($U127="","",IF(INDEX('Per Invoice'!I$2:I$401,$U127)="","",INDEX('Per Invoice'!I$2:I$401,$U127)))</f>
        <v/>
      </c>
      <c r="J127">
        <f>IF($U127="","",IF(INDEX('Per Invoice'!J$2:J$401,$U127)="","",INDEX('Per Invoice'!J$2:J$401,$U127)))</f>
        <v/>
      </c>
      <c r="K127">
        <f>IF($U127="","",IF(INDEX('Per Invoice'!K$2:K$401,$U127)="","",INDEX('Per Invoice'!K$2:K$401,$U127)))</f>
        <v/>
      </c>
      <c r="L127" s="7">
        <f>IF($U127="","",IF(INDEX('Per Invoice'!L$2:L$401,$U127)="","",INDEX('Per Invoice'!L$2:L$401,$U127)))</f>
        <v/>
      </c>
      <c r="M127" s="7">
        <f>IF($U127="","",IF(INDEX('Per Invoice'!M$2:M$401,$U127)="","",INDEX('Per Invoice'!M$2:M$401,$U127)))</f>
        <v/>
      </c>
      <c r="N127">
        <f>IF($U127="","",IF(INDEX('Per Invoice'!N$2:N$401,$U127)="","",INDEX('Per Invoice'!N$2:N$401,$U127)))</f>
        <v/>
      </c>
      <c r="O127" s="7">
        <f>IF($U127="","",IF(INDEX('Per Invoice'!O$2:O$401,$U127)="","",INDEX('Per Invoice'!O$2:O$401,$U127)))</f>
        <v/>
      </c>
      <c r="P127" s="7">
        <f>IF($U127="","",IF(INDEX('Per Invoice'!P$2:P$401,$U127)="","",INDEX('Per Invoice'!P$2:P$401,$U127)))</f>
        <v/>
      </c>
      <c r="Q127" s="7">
        <f>IF($U127="","",IF(INDEX('Per Invoice'!Q$2:Q$401,$U127)="","",INDEX('Per Invoice'!Q$2:Q$401,$U127)))</f>
        <v/>
      </c>
      <c r="R127" s="7">
        <f>IF($U127="","",IF(INDEX('Per Invoice'!R$2:R$401,$U127)="","",INDEX('Per Invoice'!R$2:R$401,$U127)))</f>
        <v/>
      </c>
      <c r="S127" s="7">
        <f>IF($U127="","",IF(INDEX('Per Invoice'!S$2:S$401,$U127)="","",INDEX('Per Invoice'!S$2:S$401,$U127)))</f>
        <v/>
      </c>
      <c r="T127" s="7">
        <f>IF($U127="","",IF(INDEX('Per Invoice'!T$2:T$401,$U127)="","",INDEX('Per Invoice'!T$2:T$401,$U127)))</f>
        <v/>
      </c>
      <c r="U127" s="16">
        <f>IFERROR(MATCH(Settings!$C$27&amp;"|"&amp;ROWS($U$2:$U127),'Per Invoice'!$V$2:$V$401,0),"")</f>
        <v/>
      </c>
    </row>
    <row r="128">
      <c r="A128">
        <f>IF($U128="","",IF(INDEX('Per Invoice'!A$2:A$401,$U128)="","",INDEX('Per Invoice'!A$2:A$401,$U128)))</f>
        <v/>
      </c>
      <c r="B128">
        <f>IF($U128="","",IF(INDEX('Per Invoice'!B$2:B$401,$U128)="","",INDEX('Per Invoice'!B$2:B$401,$U128)))</f>
        <v/>
      </c>
      <c r="C128">
        <f>IF($U128="","",IF(INDEX('Per Invoice'!C$2:C$401,$U128)="","",INDEX('Per Invoice'!C$2:C$401,$U128)))</f>
        <v/>
      </c>
      <c r="D128">
        <f>IF($U128="","",IF(INDEX('Per Invoice'!D$2:D$401,$U128)="","",INDEX('Per Invoice'!D$2:D$401,$U128)))</f>
        <v/>
      </c>
      <c r="E128">
        <f>IF($U128="","",IF(INDEX('Per Invoice'!E$2:E$401,$U128)="","",INDEX('Per Invoice'!E$2:E$401,$U128)))</f>
        <v/>
      </c>
      <c r="F128">
        <f>IF($U128="","",IF(INDEX('Per Invoice'!F$2:F$401,$U128)="","",INDEX('Per Invoice'!F$2:F$401,$U128)))</f>
        <v/>
      </c>
      <c r="G128">
        <f>IF($U128="","",IF(INDEX('Per Invoice'!G$2:G$401,$U128)="","",INDEX('Per Invoice'!G$2:G$401,$U128)))</f>
        <v/>
      </c>
      <c r="H128" s="7">
        <f>IF($U128="","",IF(INDEX('Per Invoice'!H$2:H$401,$U128)="","",INDEX('Per Invoice'!H$2:H$401,$U128)))</f>
        <v/>
      </c>
      <c r="I128" s="14">
        <f>IF($U128="","",IF(INDEX('Per Invoice'!I$2:I$401,$U128)="","",INDEX('Per Invoice'!I$2:I$401,$U128)))</f>
        <v/>
      </c>
      <c r="J128">
        <f>IF($U128="","",IF(INDEX('Per Invoice'!J$2:J$401,$U128)="","",INDEX('Per Invoice'!J$2:J$401,$U128)))</f>
        <v/>
      </c>
      <c r="K128">
        <f>IF($U128="","",IF(INDEX('Per Invoice'!K$2:K$401,$U128)="","",INDEX('Per Invoice'!K$2:K$401,$U128)))</f>
        <v/>
      </c>
      <c r="L128" s="7">
        <f>IF($U128="","",IF(INDEX('Per Invoice'!L$2:L$401,$U128)="","",INDEX('Per Invoice'!L$2:L$401,$U128)))</f>
        <v/>
      </c>
      <c r="M128" s="7">
        <f>IF($U128="","",IF(INDEX('Per Invoice'!M$2:M$401,$U128)="","",INDEX('Per Invoice'!M$2:M$401,$U128)))</f>
        <v/>
      </c>
      <c r="N128">
        <f>IF($U128="","",IF(INDEX('Per Invoice'!N$2:N$401,$U128)="","",INDEX('Per Invoice'!N$2:N$401,$U128)))</f>
        <v/>
      </c>
      <c r="O128" s="7">
        <f>IF($U128="","",IF(INDEX('Per Invoice'!O$2:O$401,$U128)="","",INDEX('Per Invoice'!O$2:O$401,$U128)))</f>
        <v/>
      </c>
      <c r="P128" s="7">
        <f>IF($U128="","",IF(INDEX('Per Invoice'!P$2:P$401,$U128)="","",INDEX('Per Invoice'!P$2:P$401,$U128)))</f>
        <v/>
      </c>
      <c r="Q128" s="7">
        <f>IF($U128="","",IF(INDEX('Per Invoice'!Q$2:Q$401,$U128)="","",INDEX('Per Invoice'!Q$2:Q$401,$U128)))</f>
        <v/>
      </c>
      <c r="R128" s="7">
        <f>IF($U128="","",IF(INDEX('Per Invoice'!R$2:R$401,$U128)="","",INDEX('Per Invoice'!R$2:R$401,$U128)))</f>
        <v/>
      </c>
      <c r="S128" s="7">
        <f>IF($U128="","",IF(INDEX('Per Invoice'!S$2:S$401,$U128)="","",INDEX('Per Invoice'!S$2:S$401,$U128)))</f>
        <v/>
      </c>
      <c r="T128" s="7">
        <f>IF($U128="","",IF(INDEX('Per Invoice'!T$2:T$401,$U128)="","",INDEX('Per Invoice'!T$2:T$401,$U128)))</f>
        <v/>
      </c>
      <c r="U128" s="16">
        <f>IFERROR(MATCH(Settings!$C$27&amp;"|"&amp;ROWS($U$2:$U128),'Per Invoice'!$V$2:$V$401,0),"")</f>
        <v/>
      </c>
    </row>
    <row r="129">
      <c r="A129">
        <f>IF($U129="","",IF(INDEX('Per Invoice'!A$2:A$401,$U129)="","",INDEX('Per Invoice'!A$2:A$401,$U129)))</f>
        <v/>
      </c>
      <c r="B129">
        <f>IF($U129="","",IF(INDEX('Per Invoice'!B$2:B$401,$U129)="","",INDEX('Per Invoice'!B$2:B$401,$U129)))</f>
        <v/>
      </c>
      <c r="C129">
        <f>IF($U129="","",IF(INDEX('Per Invoice'!C$2:C$401,$U129)="","",INDEX('Per Invoice'!C$2:C$401,$U129)))</f>
        <v/>
      </c>
      <c r="D129">
        <f>IF($U129="","",IF(INDEX('Per Invoice'!D$2:D$401,$U129)="","",INDEX('Per Invoice'!D$2:D$401,$U129)))</f>
        <v/>
      </c>
      <c r="E129">
        <f>IF($U129="","",IF(INDEX('Per Invoice'!E$2:E$401,$U129)="","",INDEX('Per Invoice'!E$2:E$401,$U129)))</f>
        <v/>
      </c>
      <c r="F129">
        <f>IF($U129="","",IF(INDEX('Per Invoice'!F$2:F$401,$U129)="","",INDEX('Per Invoice'!F$2:F$401,$U129)))</f>
        <v/>
      </c>
      <c r="G129">
        <f>IF($U129="","",IF(INDEX('Per Invoice'!G$2:G$401,$U129)="","",INDEX('Per Invoice'!G$2:G$401,$U129)))</f>
        <v/>
      </c>
      <c r="H129" s="7">
        <f>IF($U129="","",IF(INDEX('Per Invoice'!H$2:H$401,$U129)="","",INDEX('Per Invoice'!H$2:H$401,$U129)))</f>
        <v/>
      </c>
      <c r="I129" s="14">
        <f>IF($U129="","",IF(INDEX('Per Invoice'!I$2:I$401,$U129)="","",INDEX('Per Invoice'!I$2:I$401,$U129)))</f>
        <v/>
      </c>
      <c r="J129">
        <f>IF($U129="","",IF(INDEX('Per Invoice'!J$2:J$401,$U129)="","",INDEX('Per Invoice'!J$2:J$401,$U129)))</f>
        <v/>
      </c>
      <c r="K129">
        <f>IF($U129="","",IF(INDEX('Per Invoice'!K$2:K$401,$U129)="","",INDEX('Per Invoice'!K$2:K$401,$U129)))</f>
        <v/>
      </c>
      <c r="L129" s="7">
        <f>IF($U129="","",IF(INDEX('Per Invoice'!L$2:L$401,$U129)="","",INDEX('Per Invoice'!L$2:L$401,$U129)))</f>
        <v/>
      </c>
      <c r="M129" s="7">
        <f>IF($U129="","",IF(INDEX('Per Invoice'!M$2:M$401,$U129)="","",INDEX('Per Invoice'!M$2:M$401,$U129)))</f>
        <v/>
      </c>
      <c r="N129">
        <f>IF($U129="","",IF(INDEX('Per Invoice'!N$2:N$401,$U129)="","",INDEX('Per Invoice'!N$2:N$401,$U129)))</f>
        <v/>
      </c>
      <c r="O129" s="7">
        <f>IF($U129="","",IF(INDEX('Per Invoice'!O$2:O$401,$U129)="","",INDEX('Per Invoice'!O$2:O$401,$U129)))</f>
        <v/>
      </c>
      <c r="P129" s="7">
        <f>IF($U129="","",IF(INDEX('Per Invoice'!P$2:P$401,$U129)="","",INDEX('Per Invoice'!P$2:P$401,$U129)))</f>
        <v/>
      </c>
      <c r="Q129" s="7">
        <f>IF($U129="","",IF(INDEX('Per Invoice'!Q$2:Q$401,$U129)="","",INDEX('Per Invoice'!Q$2:Q$401,$U129)))</f>
        <v/>
      </c>
      <c r="R129" s="7">
        <f>IF($U129="","",IF(INDEX('Per Invoice'!R$2:R$401,$U129)="","",INDEX('Per Invoice'!R$2:R$401,$U129)))</f>
        <v/>
      </c>
      <c r="S129" s="7">
        <f>IF($U129="","",IF(INDEX('Per Invoice'!S$2:S$401,$U129)="","",INDEX('Per Invoice'!S$2:S$401,$U129)))</f>
        <v/>
      </c>
      <c r="T129" s="7">
        <f>IF($U129="","",IF(INDEX('Per Invoice'!T$2:T$401,$U129)="","",INDEX('Per Invoice'!T$2:T$401,$U129)))</f>
        <v/>
      </c>
      <c r="U129" s="16">
        <f>IFERROR(MATCH(Settings!$C$27&amp;"|"&amp;ROWS($U$2:$U129),'Per Invoice'!$V$2:$V$401,0),"")</f>
        <v/>
      </c>
    </row>
    <row r="130">
      <c r="A130">
        <f>IF($U130="","",IF(INDEX('Per Invoice'!A$2:A$401,$U130)="","",INDEX('Per Invoice'!A$2:A$401,$U130)))</f>
        <v/>
      </c>
      <c r="B130">
        <f>IF($U130="","",IF(INDEX('Per Invoice'!B$2:B$401,$U130)="","",INDEX('Per Invoice'!B$2:B$401,$U130)))</f>
        <v/>
      </c>
      <c r="C130">
        <f>IF($U130="","",IF(INDEX('Per Invoice'!C$2:C$401,$U130)="","",INDEX('Per Invoice'!C$2:C$401,$U130)))</f>
        <v/>
      </c>
      <c r="D130">
        <f>IF($U130="","",IF(INDEX('Per Invoice'!D$2:D$401,$U130)="","",INDEX('Per Invoice'!D$2:D$401,$U130)))</f>
        <v/>
      </c>
      <c r="E130">
        <f>IF($U130="","",IF(INDEX('Per Invoice'!E$2:E$401,$U130)="","",INDEX('Per Invoice'!E$2:E$401,$U130)))</f>
        <v/>
      </c>
      <c r="F130">
        <f>IF($U130="","",IF(INDEX('Per Invoice'!F$2:F$401,$U130)="","",INDEX('Per Invoice'!F$2:F$401,$U130)))</f>
        <v/>
      </c>
      <c r="G130">
        <f>IF($U130="","",IF(INDEX('Per Invoice'!G$2:G$401,$U130)="","",INDEX('Per Invoice'!G$2:G$401,$U130)))</f>
        <v/>
      </c>
      <c r="H130" s="7">
        <f>IF($U130="","",IF(INDEX('Per Invoice'!H$2:H$401,$U130)="","",INDEX('Per Invoice'!H$2:H$401,$U130)))</f>
        <v/>
      </c>
      <c r="I130" s="14">
        <f>IF($U130="","",IF(INDEX('Per Invoice'!I$2:I$401,$U130)="","",INDEX('Per Invoice'!I$2:I$401,$U130)))</f>
        <v/>
      </c>
      <c r="J130">
        <f>IF($U130="","",IF(INDEX('Per Invoice'!J$2:J$401,$U130)="","",INDEX('Per Invoice'!J$2:J$401,$U130)))</f>
        <v/>
      </c>
      <c r="K130">
        <f>IF($U130="","",IF(INDEX('Per Invoice'!K$2:K$401,$U130)="","",INDEX('Per Invoice'!K$2:K$401,$U130)))</f>
        <v/>
      </c>
      <c r="L130" s="7">
        <f>IF($U130="","",IF(INDEX('Per Invoice'!L$2:L$401,$U130)="","",INDEX('Per Invoice'!L$2:L$401,$U130)))</f>
        <v/>
      </c>
      <c r="M130" s="7">
        <f>IF($U130="","",IF(INDEX('Per Invoice'!M$2:M$401,$U130)="","",INDEX('Per Invoice'!M$2:M$401,$U130)))</f>
        <v/>
      </c>
      <c r="N130">
        <f>IF($U130="","",IF(INDEX('Per Invoice'!N$2:N$401,$U130)="","",INDEX('Per Invoice'!N$2:N$401,$U130)))</f>
        <v/>
      </c>
      <c r="O130" s="7">
        <f>IF($U130="","",IF(INDEX('Per Invoice'!O$2:O$401,$U130)="","",INDEX('Per Invoice'!O$2:O$401,$U130)))</f>
        <v/>
      </c>
      <c r="P130" s="7">
        <f>IF($U130="","",IF(INDEX('Per Invoice'!P$2:P$401,$U130)="","",INDEX('Per Invoice'!P$2:P$401,$U130)))</f>
        <v/>
      </c>
      <c r="Q130" s="7">
        <f>IF($U130="","",IF(INDEX('Per Invoice'!Q$2:Q$401,$U130)="","",INDEX('Per Invoice'!Q$2:Q$401,$U130)))</f>
        <v/>
      </c>
      <c r="R130" s="7">
        <f>IF($U130="","",IF(INDEX('Per Invoice'!R$2:R$401,$U130)="","",INDEX('Per Invoice'!R$2:R$401,$U130)))</f>
        <v/>
      </c>
      <c r="S130" s="7">
        <f>IF($U130="","",IF(INDEX('Per Invoice'!S$2:S$401,$U130)="","",INDEX('Per Invoice'!S$2:S$401,$U130)))</f>
        <v/>
      </c>
      <c r="T130" s="7">
        <f>IF($U130="","",IF(INDEX('Per Invoice'!T$2:T$401,$U130)="","",INDEX('Per Invoice'!T$2:T$401,$U130)))</f>
        <v/>
      </c>
      <c r="U130" s="16">
        <f>IFERROR(MATCH(Settings!$C$27&amp;"|"&amp;ROWS($U$2:$U130),'Per Invoice'!$V$2:$V$401,0),"")</f>
        <v/>
      </c>
    </row>
    <row r="131">
      <c r="A131">
        <f>IF($U131="","",IF(INDEX('Per Invoice'!A$2:A$401,$U131)="","",INDEX('Per Invoice'!A$2:A$401,$U131)))</f>
        <v/>
      </c>
      <c r="B131">
        <f>IF($U131="","",IF(INDEX('Per Invoice'!B$2:B$401,$U131)="","",INDEX('Per Invoice'!B$2:B$401,$U131)))</f>
        <v/>
      </c>
      <c r="C131">
        <f>IF($U131="","",IF(INDEX('Per Invoice'!C$2:C$401,$U131)="","",INDEX('Per Invoice'!C$2:C$401,$U131)))</f>
        <v/>
      </c>
      <c r="D131">
        <f>IF($U131="","",IF(INDEX('Per Invoice'!D$2:D$401,$U131)="","",INDEX('Per Invoice'!D$2:D$401,$U131)))</f>
        <v/>
      </c>
      <c r="E131">
        <f>IF($U131="","",IF(INDEX('Per Invoice'!E$2:E$401,$U131)="","",INDEX('Per Invoice'!E$2:E$401,$U131)))</f>
        <v/>
      </c>
      <c r="F131">
        <f>IF($U131="","",IF(INDEX('Per Invoice'!F$2:F$401,$U131)="","",INDEX('Per Invoice'!F$2:F$401,$U131)))</f>
        <v/>
      </c>
      <c r="G131">
        <f>IF($U131="","",IF(INDEX('Per Invoice'!G$2:G$401,$U131)="","",INDEX('Per Invoice'!G$2:G$401,$U131)))</f>
        <v/>
      </c>
      <c r="H131" s="7">
        <f>IF($U131="","",IF(INDEX('Per Invoice'!H$2:H$401,$U131)="","",INDEX('Per Invoice'!H$2:H$401,$U131)))</f>
        <v/>
      </c>
      <c r="I131" s="14">
        <f>IF($U131="","",IF(INDEX('Per Invoice'!I$2:I$401,$U131)="","",INDEX('Per Invoice'!I$2:I$401,$U131)))</f>
        <v/>
      </c>
      <c r="J131">
        <f>IF($U131="","",IF(INDEX('Per Invoice'!J$2:J$401,$U131)="","",INDEX('Per Invoice'!J$2:J$401,$U131)))</f>
        <v/>
      </c>
      <c r="K131">
        <f>IF($U131="","",IF(INDEX('Per Invoice'!K$2:K$401,$U131)="","",INDEX('Per Invoice'!K$2:K$401,$U131)))</f>
        <v/>
      </c>
      <c r="L131" s="7">
        <f>IF($U131="","",IF(INDEX('Per Invoice'!L$2:L$401,$U131)="","",INDEX('Per Invoice'!L$2:L$401,$U131)))</f>
        <v/>
      </c>
      <c r="M131" s="7">
        <f>IF($U131="","",IF(INDEX('Per Invoice'!M$2:M$401,$U131)="","",INDEX('Per Invoice'!M$2:M$401,$U131)))</f>
        <v/>
      </c>
      <c r="N131">
        <f>IF($U131="","",IF(INDEX('Per Invoice'!N$2:N$401,$U131)="","",INDEX('Per Invoice'!N$2:N$401,$U131)))</f>
        <v/>
      </c>
      <c r="O131" s="7">
        <f>IF($U131="","",IF(INDEX('Per Invoice'!O$2:O$401,$U131)="","",INDEX('Per Invoice'!O$2:O$401,$U131)))</f>
        <v/>
      </c>
      <c r="P131" s="7">
        <f>IF($U131="","",IF(INDEX('Per Invoice'!P$2:P$401,$U131)="","",INDEX('Per Invoice'!P$2:P$401,$U131)))</f>
        <v/>
      </c>
      <c r="Q131" s="7">
        <f>IF($U131="","",IF(INDEX('Per Invoice'!Q$2:Q$401,$U131)="","",INDEX('Per Invoice'!Q$2:Q$401,$U131)))</f>
        <v/>
      </c>
      <c r="R131" s="7">
        <f>IF($U131="","",IF(INDEX('Per Invoice'!R$2:R$401,$U131)="","",INDEX('Per Invoice'!R$2:R$401,$U131)))</f>
        <v/>
      </c>
      <c r="S131" s="7">
        <f>IF($U131="","",IF(INDEX('Per Invoice'!S$2:S$401,$U131)="","",INDEX('Per Invoice'!S$2:S$401,$U131)))</f>
        <v/>
      </c>
      <c r="T131" s="7">
        <f>IF($U131="","",IF(INDEX('Per Invoice'!T$2:T$401,$U131)="","",INDEX('Per Invoice'!T$2:T$401,$U131)))</f>
        <v/>
      </c>
      <c r="U131" s="16">
        <f>IFERROR(MATCH(Settings!$C$27&amp;"|"&amp;ROWS($U$2:$U131),'Per Invoice'!$V$2:$V$401,0),"")</f>
        <v/>
      </c>
    </row>
    <row r="132">
      <c r="A132">
        <f>IF($U132="","",IF(INDEX('Per Invoice'!A$2:A$401,$U132)="","",INDEX('Per Invoice'!A$2:A$401,$U132)))</f>
        <v/>
      </c>
      <c r="B132">
        <f>IF($U132="","",IF(INDEX('Per Invoice'!B$2:B$401,$U132)="","",INDEX('Per Invoice'!B$2:B$401,$U132)))</f>
        <v/>
      </c>
      <c r="C132">
        <f>IF($U132="","",IF(INDEX('Per Invoice'!C$2:C$401,$U132)="","",INDEX('Per Invoice'!C$2:C$401,$U132)))</f>
        <v/>
      </c>
      <c r="D132">
        <f>IF($U132="","",IF(INDEX('Per Invoice'!D$2:D$401,$U132)="","",INDEX('Per Invoice'!D$2:D$401,$U132)))</f>
        <v/>
      </c>
      <c r="E132">
        <f>IF($U132="","",IF(INDEX('Per Invoice'!E$2:E$401,$U132)="","",INDEX('Per Invoice'!E$2:E$401,$U132)))</f>
        <v/>
      </c>
      <c r="F132">
        <f>IF($U132="","",IF(INDEX('Per Invoice'!F$2:F$401,$U132)="","",INDEX('Per Invoice'!F$2:F$401,$U132)))</f>
        <v/>
      </c>
      <c r="G132">
        <f>IF($U132="","",IF(INDEX('Per Invoice'!G$2:G$401,$U132)="","",INDEX('Per Invoice'!G$2:G$401,$U132)))</f>
        <v/>
      </c>
      <c r="H132" s="7">
        <f>IF($U132="","",IF(INDEX('Per Invoice'!H$2:H$401,$U132)="","",INDEX('Per Invoice'!H$2:H$401,$U132)))</f>
        <v/>
      </c>
      <c r="I132" s="14">
        <f>IF($U132="","",IF(INDEX('Per Invoice'!I$2:I$401,$U132)="","",INDEX('Per Invoice'!I$2:I$401,$U132)))</f>
        <v/>
      </c>
      <c r="J132">
        <f>IF($U132="","",IF(INDEX('Per Invoice'!J$2:J$401,$U132)="","",INDEX('Per Invoice'!J$2:J$401,$U132)))</f>
        <v/>
      </c>
      <c r="K132">
        <f>IF($U132="","",IF(INDEX('Per Invoice'!K$2:K$401,$U132)="","",INDEX('Per Invoice'!K$2:K$401,$U132)))</f>
        <v/>
      </c>
      <c r="L132" s="7">
        <f>IF($U132="","",IF(INDEX('Per Invoice'!L$2:L$401,$U132)="","",INDEX('Per Invoice'!L$2:L$401,$U132)))</f>
        <v/>
      </c>
      <c r="M132" s="7">
        <f>IF($U132="","",IF(INDEX('Per Invoice'!M$2:M$401,$U132)="","",INDEX('Per Invoice'!M$2:M$401,$U132)))</f>
        <v/>
      </c>
      <c r="N132">
        <f>IF($U132="","",IF(INDEX('Per Invoice'!N$2:N$401,$U132)="","",INDEX('Per Invoice'!N$2:N$401,$U132)))</f>
        <v/>
      </c>
      <c r="O132" s="7">
        <f>IF($U132="","",IF(INDEX('Per Invoice'!O$2:O$401,$U132)="","",INDEX('Per Invoice'!O$2:O$401,$U132)))</f>
        <v/>
      </c>
      <c r="P132" s="7">
        <f>IF($U132="","",IF(INDEX('Per Invoice'!P$2:P$401,$U132)="","",INDEX('Per Invoice'!P$2:P$401,$U132)))</f>
        <v/>
      </c>
      <c r="Q132" s="7">
        <f>IF($U132="","",IF(INDEX('Per Invoice'!Q$2:Q$401,$U132)="","",INDEX('Per Invoice'!Q$2:Q$401,$U132)))</f>
        <v/>
      </c>
      <c r="R132" s="7">
        <f>IF($U132="","",IF(INDEX('Per Invoice'!R$2:R$401,$U132)="","",INDEX('Per Invoice'!R$2:R$401,$U132)))</f>
        <v/>
      </c>
      <c r="S132" s="7">
        <f>IF($U132="","",IF(INDEX('Per Invoice'!S$2:S$401,$U132)="","",INDEX('Per Invoice'!S$2:S$401,$U132)))</f>
        <v/>
      </c>
      <c r="T132" s="7">
        <f>IF($U132="","",IF(INDEX('Per Invoice'!T$2:T$401,$U132)="","",INDEX('Per Invoice'!T$2:T$401,$U132)))</f>
        <v/>
      </c>
      <c r="U132" s="16">
        <f>IFERROR(MATCH(Settings!$C$27&amp;"|"&amp;ROWS($U$2:$U132),'Per Invoice'!$V$2:$V$401,0),"")</f>
        <v/>
      </c>
    </row>
    <row r="133">
      <c r="A133">
        <f>IF($U133="","",IF(INDEX('Per Invoice'!A$2:A$401,$U133)="","",INDEX('Per Invoice'!A$2:A$401,$U133)))</f>
        <v/>
      </c>
      <c r="B133">
        <f>IF($U133="","",IF(INDEX('Per Invoice'!B$2:B$401,$U133)="","",INDEX('Per Invoice'!B$2:B$401,$U133)))</f>
        <v/>
      </c>
      <c r="C133">
        <f>IF($U133="","",IF(INDEX('Per Invoice'!C$2:C$401,$U133)="","",INDEX('Per Invoice'!C$2:C$401,$U133)))</f>
        <v/>
      </c>
      <c r="D133">
        <f>IF($U133="","",IF(INDEX('Per Invoice'!D$2:D$401,$U133)="","",INDEX('Per Invoice'!D$2:D$401,$U133)))</f>
        <v/>
      </c>
      <c r="E133">
        <f>IF($U133="","",IF(INDEX('Per Invoice'!E$2:E$401,$U133)="","",INDEX('Per Invoice'!E$2:E$401,$U133)))</f>
        <v/>
      </c>
      <c r="F133">
        <f>IF($U133="","",IF(INDEX('Per Invoice'!F$2:F$401,$U133)="","",INDEX('Per Invoice'!F$2:F$401,$U133)))</f>
        <v/>
      </c>
      <c r="G133">
        <f>IF($U133="","",IF(INDEX('Per Invoice'!G$2:G$401,$U133)="","",INDEX('Per Invoice'!G$2:G$401,$U133)))</f>
        <v/>
      </c>
      <c r="H133" s="7">
        <f>IF($U133="","",IF(INDEX('Per Invoice'!H$2:H$401,$U133)="","",INDEX('Per Invoice'!H$2:H$401,$U133)))</f>
        <v/>
      </c>
      <c r="I133" s="14">
        <f>IF($U133="","",IF(INDEX('Per Invoice'!I$2:I$401,$U133)="","",INDEX('Per Invoice'!I$2:I$401,$U133)))</f>
        <v/>
      </c>
      <c r="J133">
        <f>IF($U133="","",IF(INDEX('Per Invoice'!J$2:J$401,$U133)="","",INDEX('Per Invoice'!J$2:J$401,$U133)))</f>
        <v/>
      </c>
      <c r="K133">
        <f>IF($U133="","",IF(INDEX('Per Invoice'!K$2:K$401,$U133)="","",INDEX('Per Invoice'!K$2:K$401,$U133)))</f>
        <v/>
      </c>
      <c r="L133" s="7">
        <f>IF($U133="","",IF(INDEX('Per Invoice'!L$2:L$401,$U133)="","",INDEX('Per Invoice'!L$2:L$401,$U133)))</f>
        <v/>
      </c>
      <c r="M133" s="7">
        <f>IF($U133="","",IF(INDEX('Per Invoice'!M$2:M$401,$U133)="","",INDEX('Per Invoice'!M$2:M$401,$U133)))</f>
        <v/>
      </c>
      <c r="N133">
        <f>IF($U133="","",IF(INDEX('Per Invoice'!N$2:N$401,$U133)="","",INDEX('Per Invoice'!N$2:N$401,$U133)))</f>
        <v/>
      </c>
      <c r="O133" s="7">
        <f>IF($U133="","",IF(INDEX('Per Invoice'!O$2:O$401,$U133)="","",INDEX('Per Invoice'!O$2:O$401,$U133)))</f>
        <v/>
      </c>
      <c r="P133" s="7">
        <f>IF($U133="","",IF(INDEX('Per Invoice'!P$2:P$401,$U133)="","",INDEX('Per Invoice'!P$2:P$401,$U133)))</f>
        <v/>
      </c>
      <c r="Q133" s="7">
        <f>IF($U133="","",IF(INDEX('Per Invoice'!Q$2:Q$401,$U133)="","",INDEX('Per Invoice'!Q$2:Q$401,$U133)))</f>
        <v/>
      </c>
      <c r="R133" s="7">
        <f>IF($U133="","",IF(INDEX('Per Invoice'!R$2:R$401,$U133)="","",INDEX('Per Invoice'!R$2:R$401,$U133)))</f>
        <v/>
      </c>
      <c r="S133" s="7">
        <f>IF($U133="","",IF(INDEX('Per Invoice'!S$2:S$401,$U133)="","",INDEX('Per Invoice'!S$2:S$401,$U133)))</f>
        <v/>
      </c>
      <c r="T133" s="7">
        <f>IF($U133="","",IF(INDEX('Per Invoice'!T$2:T$401,$U133)="","",INDEX('Per Invoice'!T$2:T$401,$U133)))</f>
        <v/>
      </c>
      <c r="U133" s="16">
        <f>IFERROR(MATCH(Settings!$C$27&amp;"|"&amp;ROWS($U$2:$U133),'Per Invoice'!$V$2:$V$401,0),"")</f>
        <v/>
      </c>
    </row>
    <row r="134">
      <c r="A134">
        <f>IF($U134="","",IF(INDEX('Per Invoice'!A$2:A$401,$U134)="","",INDEX('Per Invoice'!A$2:A$401,$U134)))</f>
        <v/>
      </c>
      <c r="B134">
        <f>IF($U134="","",IF(INDEX('Per Invoice'!B$2:B$401,$U134)="","",INDEX('Per Invoice'!B$2:B$401,$U134)))</f>
        <v/>
      </c>
      <c r="C134">
        <f>IF($U134="","",IF(INDEX('Per Invoice'!C$2:C$401,$U134)="","",INDEX('Per Invoice'!C$2:C$401,$U134)))</f>
        <v/>
      </c>
      <c r="D134">
        <f>IF($U134="","",IF(INDEX('Per Invoice'!D$2:D$401,$U134)="","",INDEX('Per Invoice'!D$2:D$401,$U134)))</f>
        <v/>
      </c>
      <c r="E134">
        <f>IF($U134="","",IF(INDEX('Per Invoice'!E$2:E$401,$U134)="","",INDEX('Per Invoice'!E$2:E$401,$U134)))</f>
        <v/>
      </c>
      <c r="F134">
        <f>IF($U134="","",IF(INDEX('Per Invoice'!F$2:F$401,$U134)="","",INDEX('Per Invoice'!F$2:F$401,$U134)))</f>
        <v/>
      </c>
      <c r="G134">
        <f>IF($U134="","",IF(INDEX('Per Invoice'!G$2:G$401,$U134)="","",INDEX('Per Invoice'!G$2:G$401,$U134)))</f>
        <v/>
      </c>
      <c r="H134" s="7">
        <f>IF($U134="","",IF(INDEX('Per Invoice'!H$2:H$401,$U134)="","",INDEX('Per Invoice'!H$2:H$401,$U134)))</f>
        <v/>
      </c>
      <c r="I134" s="14">
        <f>IF($U134="","",IF(INDEX('Per Invoice'!I$2:I$401,$U134)="","",INDEX('Per Invoice'!I$2:I$401,$U134)))</f>
        <v/>
      </c>
      <c r="J134">
        <f>IF($U134="","",IF(INDEX('Per Invoice'!J$2:J$401,$U134)="","",INDEX('Per Invoice'!J$2:J$401,$U134)))</f>
        <v/>
      </c>
      <c r="K134">
        <f>IF($U134="","",IF(INDEX('Per Invoice'!K$2:K$401,$U134)="","",INDEX('Per Invoice'!K$2:K$401,$U134)))</f>
        <v/>
      </c>
      <c r="L134" s="7">
        <f>IF($U134="","",IF(INDEX('Per Invoice'!L$2:L$401,$U134)="","",INDEX('Per Invoice'!L$2:L$401,$U134)))</f>
        <v/>
      </c>
      <c r="M134" s="7">
        <f>IF($U134="","",IF(INDEX('Per Invoice'!M$2:M$401,$U134)="","",INDEX('Per Invoice'!M$2:M$401,$U134)))</f>
        <v/>
      </c>
      <c r="N134">
        <f>IF($U134="","",IF(INDEX('Per Invoice'!N$2:N$401,$U134)="","",INDEX('Per Invoice'!N$2:N$401,$U134)))</f>
        <v/>
      </c>
      <c r="O134" s="7">
        <f>IF($U134="","",IF(INDEX('Per Invoice'!O$2:O$401,$U134)="","",INDEX('Per Invoice'!O$2:O$401,$U134)))</f>
        <v/>
      </c>
      <c r="P134" s="7">
        <f>IF($U134="","",IF(INDEX('Per Invoice'!P$2:P$401,$U134)="","",INDEX('Per Invoice'!P$2:P$401,$U134)))</f>
        <v/>
      </c>
      <c r="Q134" s="7">
        <f>IF($U134="","",IF(INDEX('Per Invoice'!Q$2:Q$401,$U134)="","",INDEX('Per Invoice'!Q$2:Q$401,$U134)))</f>
        <v/>
      </c>
      <c r="R134" s="7">
        <f>IF($U134="","",IF(INDEX('Per Invoice'!R$2:R$401,$U134)="","",INDEX('Per Invoice'!R$2:R$401,$U134)))</f>
        <v/>
      </c>
      <c r="S134" s="7">
        <f>IF($U134="","",IF(INDEX('Per Invoice'!S$2:S$401,$U134)="","",INDEX('Per Invoice'!S$2:S$401,$U134)))</f>
        <v/>
      </c>
      <c r="T134" s="7">
        <f>IF($U134="","",IF(INDEX('Per Invoice'!T$2:T$401,$U134)="","",INDEX('Per Invoice'!T$2:T$401,$U134)))</f>
        <v/>
      </c>
      <c r="U134" s="16">
        <f>IFERROR(MATCH(Settings!$C$27&amp;"|"&amp;ROWS($U$2:$U134),'Per Invoice'!$V$2:$V$401,0),"")</f>
        <v/>
      </c>
    </row>
    <row r="135">
      <c r="A135">
        <f>IF($U135="","",IF(INDEX('Per Invoice'!A$2:A$401,$U135)="","",INDEX('Per Invoice'!A$2:A$401,$U135)))</f>
        <v/>
      </c>
      <c r="B135">
        <f>IF($U135="","",IF(INDEX('Per Invoice'!B$2:B$401,$U135)="","",INDEX('Per Invoice'!B$2:B$401,$U135)))</f>
        <v/>
      </c>
      <c r="C135">
        <f>IF($U135="","",IF(INDEX('Per Invoice'!C$2:C$401,$U135)="","",INDEX('Per Invoice'!C$2:C$401,$U135)))</f>
        <v/>
      </c>
      <c r="D135">
        <f>IF($U135="","",IF(INDEX('Per Invoice'!D$2:D$401,$U135)="","",INDEX('Per Invoice'!D$2:D$401,$U135)))</f>
        <v/>
      </c>
      <c r="E135">
        <f>IF($U135="","",IF(INDEX('Per Invoice'!E$2:E$401,$U135)="","",INDEX('Per Invoice'!E$2:E$401,$U135)))</f>
        <v/>
      </c>
      <c r="F135">
        <f>IF($U135="","",IF(INDEX('Per Invoice'!F$2:F$401,$U135)="","",INDEX('Per Invoice'!F$2:F$401,$U135)))</f>
        <v/>
      </c>
      <c r="G135">
        <f>IF($U135="","",IF(INDEX('Per Invoice'!G$2:G$401,$U135)="","",INDEX('Per Invoice'!G$2:G$401,$U135)))</f>
        <v/>
      </c>
      <c r="H135" s="7">
        <f>IF($U135="","",IF(INDEX('Per Invoice'!H$2:H$401,$U135)="","",INDEX('Per Invoice'!H$2:H$401,$U135)))</f>
        <v/>
      </c>
      <c r="I135" s="14">
        <f>IF($U135="","",IF(INDEX('Per Invoice'!I$2:I$401,$U135)="","",INDEX('Per Invoice'!I$2:I$401,$U135)))</f>
        <v/>
      </c>
      <c r="J135">
        <f>IF($U135="","",IF(INDEX('Per Invoice'!J$2:J$401,$U135)="","",INDEX('Per Invoice'!J$2:J$401,$U135)))</f>
        <v/>
      </c>
      <c r="K135">
        <f>IF($U135="","",IF(INDEX('Per Invoice'!K$2:K$401,$U135)="","",INDEX('Per Invoice'!K$2:K$401,$U135)))</f>
        <v/>
      </c>
      <c r="L135" s="7">
        <f>IF($U135="","",IF(INDEX('Per Invoice'!L$2:L$401,$U135)="","",INDEX('Per Invoice'!L$2:L$401,$U135)))</f>
        <v/>
      </c>
      <c r="M135" s="7">
        <f>IF($U135="","",IF(INDEX('Per Invoice'!M$2:M$401,$U135)="","",INDEX('Per Invoice'!M$2:M$401,$U135)))</f>
        <v/>
      </c>
      <c r="N135">
        <f>IF($U135="","",IF(INDEX('Per Invoice'!N$2:N$401,$U135)="","",INDEX('Per Invoice'!N$2:N$401,$U135)))</f>
        <v/>
      </c>
      <c r="O135" s="7">
        <f>IF($U135="","",IF(INDEX('Per Invoice'!O$2:O$401,$U135)="","",INDEX('Per Invoice'!O$2:O$401,$U135)))</f>
        <v/>
      </c>
      <c r="P135" s="7">
        <f>IF($U135="","",IF(INDEX('Per Invoice'!P$2:P$401,$U135)="","",INDEX('Per Invoice'!P$2:P$401,$U135)))</f>
        <v/>
      </c>
      <c r="Q135" s="7">
        <f>IF($U135="","",IF(INDEX('Per Invoice'!Q$2:Q$401,$U135)="","",INDEX('Per Invoice'!Q$2:Q$401,$U135)))</f>
        <v/>
      </c>
      <c r="R135" s="7">
        <f>IF($U135="","",IF(INDEX('Per Invoice'!R$2:R$401,$U135)="","",INDEX('Per Invoice'!R$2:R$401,$U135)))</f>
        <v/>
      </c>
      <c r="S135" s="7">
        <f>IF($U135="","",IF(INDEX('Per Invoice'!S$2:S$401,$U135)="","",INDEX('Per Invoice'!S$2:S$401,$U135)))</f>
        <v/>
      </c>
      <c r="T135" s="7">
        <f>IF($U135="","",IF(INDEX('Per Invoice'!T$2:T$401,$U135)="","",INDEX('Per Invoice'!T$2:T$401,$U135)))</f>
        <v/>
      </c>
      <c r="U135" s="16">
        <f>IFERROR(MATCH(Settings!$C$27&amp;"|"&amp;ROWS($U$2:$U135),'Per Invoice'!$V$2:$V$401,0),"")</f>
        <v/>
      </c>
    </row>
    <row r="136">
      <c r="A136">
        <f>IF($U136="","",IF(INDEX('Per Invoice'!A$2:A$401,$U136)="","",INDEX('Per Invoice'!A$2:A$401,$U136)))</f>
        <v/>
      </c>
      <c r="B136">
        <f>IF($U136="","",IF(INDEX('Per Invoice'!B$2:B$401,$U136)="","",INDEX('Per Invoice'!B$2:B$401,$U136)))</f>
        <v/>
      </c>
      <c r="C136">
        <f>IF($U136="","",IF(INDEX('Per Invoice'!C$2:C$401,$U136)="","",INDEX('Per Invoice'!C$2:C$401,$U136)))</f>
        <v/>
      </c>
      <c r="D136">
        <f>IF($U136="","",IF(INDEX('Per Invoice'!D$2:D$401,$U136)="","",INDEX('Per Invoice'!D$2:D$401,$U136)))</f>
        <v/>
      </c>
      <c r="E136">
        <f>IF($U136="","",IF(INDEX('Per Invoice'!E$2:E$401,$U136)="","",INDEX('Per Invoice'!E$2:E$401,$U136)))</f>
        <v/>
      </c>
      <c r="F136">
        <f>IF($U136="","",IF(INDEX('Per Invoice'!F$2:F$401,$U136)="","",INDEX('Per Invoice'!F$2:F$401,$U136)))</f>
        <v/>
      </c>
      <c r="G136">
        <f>IF($U136="","",IF(INDEX('Per Invoice'!G$2:G$401,$U136)="","",INDEX('Per Invoice'!G$2:G$401,$U136)))</f>
        <v/>
      </c>
      <c r="H136" s="7">
        <f>IF($U136="","",IF(INDEX('Per Invoice'!H$2:H$401,$U136)="","",INDEX('Per Invoice'!H$2:H$401,$U136)))</f>
        <v/>
      </c>
      <c r="I136" s="14">
        <f>IF($U136="","",IF(INDEX('Per Invoice'!I$2:I$401,$U136)="","",INDEX('Per Invoice'!I$2:I$401,$U136)))</f>
        <v/>
      </c>
      <c r="J136">
        <f>IF($U136="","",IF(INDEX('Per Invoice'!J$2:J$401,$U136)="","",INDEX('Per Invoice'!J$2:J$401,$U136)))</f>
        <v/>
      </c>
      <c r="K136">
        <f>IF($U136="","",IF(INDEX('Per Invoice'!K$2:K$401,$U136)="","",INDEX('Per Invoice'!K$2:K$401,$U136)))</f>
        <v/>
      </c>
      <c r="L136" s="7">
        <f>IF($U136="","",IF(INDEX('Per Invoice'!L$2:L$401,$U136)="","",INDEX('Per Invoice'!L$2:L$401,$U136)))</f>
        <v/>
      </c>
      <c r="M136" s="7">
        <f>IF($U136="","",IF(INDEX('Per Invoice'!M$2:M$401,$U136)="","",INDEX('Per Invoice'!M$2:M$401,$U136)))</f>
        <v/>
      </c>
      <c r="N136">
        <f>IF($U136="","",IF(INDEX('Per Invoice'!N$2:N$401,$U136)="","",INDEX('Per Invoice'!N$2:N$401,$U136)))</f>
        <v/>
      </c>
      <c r="O136" s="7">
        <f>IF($U136="","",IF(INDEX('Per Invoice'!O$2:O$401,$U136)="","",INDEX('Per Invoice'!O$2:O$401,$U136)))</f>
        <v/>
      </c>
      <c r="P136" s="7">
        <f>IF($U136="","",IF(INDEX('Per Invoice'!P$2:P$401,$U136)="","",INDEX('Per Invoice'!P$2:P$401,$U136)))</f>
        <v/>
      </c>
      <c r="Q136" s="7">
        <f>IF($U136="","",IF(INDEX('Per Invoice'!Q$2:Q$401,$U136)="","",INDEX('Per Invoice'!Q$2:Q$401,$U136)))</f>
        <v/>
      </c>
      <c r="R136" s="7">
        <f>IF($U136="","",IF(INDEX('Per Invoice'!R$2:R$401,$U136)="","",INDEX('Per Invoice'!R$2:R$401,$U136)))</f>
        <v/>
      </c>
      <c r="S136" s="7">
        <f>IF($U136="","",IF(INDEX('Per Invoice'!S$2:S$401,$U136)="","",INDEX('Per Invoice'!S$2:S$401,$U136)))</f>
        <v/>
      </c>
      <c r="T136" s="7">
        <f>IF($U136="","",IF(INDEX('Per Invoice'!T$2:T$401,$U136)="","",INDEX('Per Invoice'!T$2:T$401,$U136)))</f>
        <v/>
      </c>
      <c r="U136" s="16">
        <f>IFERROR(MATCH(Settings!$C$27&amp;"|"&amp;ROWS($U$2:$U136),'Per Invoice'!$V$2:$V$401,0),"")</f>
        <v/>
      </c>
    </row>
    <row r="137">
      <c r="A137">
        <f>IF($U137="","",IF(INDEX('Per Invoice'!A$2:A$401,$U137)="","",INDEX('Per Invoice'!A$2:A$401,$U137)))</f>
        <v/>
      </c>
      <c r="B137">
        <f>IF($U137="","",IF(INDEX('Per Invoice'!B$2:B$401,$U137)="","",INDEX('Per Invoice'!B$2:B$401,$U137)))</f>
        <v/>
      </c>
      <c r="C137">
        <f>IF($U137="","",IF(INDEX('Per Invoice'!C$2:C$401,$U137)="","",INDEX('Per Invoice'!C$2:C$401,$U137)))</f>
        <v/>
      </c>
      <c r="D137">
        <f>IF($U137="","",IF(INDEX('Per Invoice'!D$2:D$401,$U137)="","",INDEX('Per Invoice'!D$2:D$401,$U137)))</f>
        <v/>
      </c>
      <c r="E137">
        <f>IF($U137="","",IF(INDEX('Per Invoice'!E$2:E$401,$U137)="","",INDEX('Per Invoice'!E$2:E$401,$U137)))</f>
        <v/>
      </c>
      <c r="F137">
        <f>IF($U137="","",IF(INDEX('Per Invoice'!F$2:F$401,$U137)="","",INDEX('Per Invoice'!F$2:F$401,$U137)))</f>
        <v/>
      </c>
      <c r="G137">
        <f>IF($U137="","",IF(INDEX('Per Invoice'!G$2:G$401,$U137)="","",INDEX('Per Invoice'!G$2:G$401,$U137)))</f>
        <v/>
      </c>
      <c r="H137" s="7">
        <f>IF($U137="","",IF(INDEX('Per Invoice'!H$2:H$401,$U137)="","",INDEX('Per Invoice'!H$2:H$401,$U137)))</f>
        <v/>
      </c>
      <c r="I137" s="14">
        <f>IF($U137="","",IF(INDEX('Per Invoice'!I$2:I$401,$U137)="","",INDEX('Per Invoice'!I$2:I$401,$U137)))</f>
        <v/>
      </c>
      <c r="J137">
        <f>IF($U137="","",IF(INDEX('Per Invoice'!J$2:J$401,$U137)="","",INDEX('Per Invoice'!J$2:J$401,$U137)))</f>
        <v/>
      </c>
      <c r="K137">
        <f>IF($U137="","",IF(INDEX('Per Invoice'!K$2:K$401,$U137)="","",INDEX('Per Invoice'!K$2:K$401,$U137)))</f>
        <v/>
      </c>
      <c r="L137" s="7">
        <f>IF($U137="","",IF(INDEX('Per Invoice'!L$2:L$401,$U137)="","",INDEX('Per Invoice'!L$2:L$401,$U137)))</f>
        <v/>
      </c>
      <c r="M137" s="7">
        <f>IF($U137="","",IF(INDEX('Per Invoice'!M$2:M$401,$U137)="","",INDEX('Per Invoice'!M$2:M$401,$U137)))</f>
        <v/>
      </c>
      <c r="N137">
        <f>IF($U137="","",IF(INDEX('Per Invoice'!N$2:N$401,$U137)="","",INDEX('Per Invoice'!N$2:N$401,$U137)))</f>
        <v/>
      </c>
      <c r="O137" s="7">
        <f>IF($U137="","",IF(INDEX('Per Invoice'!O$2:O$401,$U137)="","",INDEX('Per Invoice'!O$2:O$401,$U137)))</f>
        <v/>
      </c>
      <c r="P137" s="7">
        <f>IF($U137="","",IF(INDEX('Per Invoice'!P$2:P$401,$U137)="","",INDEX('Per Invoice'!P$2:P$401,$U137)))</f>
        <v/>
      </c>
      <c r="Q137" s="7">
        <f>IF($U137="","",IF(INDEX('Per Invoice'!Q$2:Q$401,$U137)="","",INDEX('Per Invoice'!Q$2:Q$401,$U137)))</f>
        <v/>
      </c>
      <c r="R137" s="7">
        <f>IF($U137="","",IF(INDEX('Per Invoice'!R$2:R$401,$U137)="","",INDEX('Per Invoice'!R$2:R$401,$U137)))</f>
        <v/>
      </c>
      <c r="S137" s="7">
        <f>IF($U137="","",IF(INDEX('Per Invoice'!S$2:S$401,$U137)="","",INDEX('Per Invoice'!S$2:S$401,$U137)))</f>
        <v/>
      </c>
      <c r="T137" s="7">
        <f>IF($U137="","",IF(INDEX('Per Invoice'!T$2:T$401,$U137)="","",INDEX('Per Invoice'!T$2:T$401,$U137)))</f>
        <v/>
      </c>
      <c r="U137" s="16">
        <f>IFERROR(MATCH(Settings!$C$27&amp;"|"&amp;ROWS($U$2:$U137),'Per Invoice'!$V$2:$V$401,0),"")</f>
        <v/>
      </c>
    </row>
    <row r="138">
      <c r="A138">
        <f>IF($U138="","",IF(INDEX('Per Invoice'!A$2:A$401,$U138)="","",INDEX('Per Invoice'!A$2:A$401,$U138)))</f>
        <v/>
      </c>
      <c r="B138">
        <f>IF($U138="","",IF(INDEX('Per Invoice'!B$2:B$401,$U138)="","",INDEX('Per Invoice'!B$2:B$401,$U138)))</f>
        <v/>
      </c>
      <c r="C138">
        <f>IF($U138="","",IF(INDEX('Per Invoice'!C$2:C$401,$U138)="","",INDEX('Per Invoice'!C$2:C$401,$U138)))</f>
        <v/>
      </c>
      <c r="D138">
        <f>IF($U138="","",IF(INDEX('Per Invoice'!D$2:D$401,$U138)="","",INDEX('Per Invoice'!D$2:D$401,$U138)))</f>
        <v/>
      </c>
      <c r="E138">
        <f>IF($U138="","",IF(INDEX('Per Invoice'!E$2:E$401,$U138)="","",INDEX('Per Invoice'!E$2:E$401,$U138)))</f>
        <v/>
      </c>
      <c r="F138">
        <f>IF($U138="","",IF(INDEX('Per Invoice'!F$2:F$401,$U138)="","",INDEX('Per Invoice'!F$2:F$401,$U138)))</f>
        <v/>
      </c>
      <c r="G138">
        <f>IF($U138="","",IF(INDEX('Per Invoice'!G$2:G$401,$U138)="","",INDEX('Per Invoice'!G$2:G$401,$U138)))</f>
        <v/>
      </c>
      <c r="H138" s="7">
        <f>IF($U138="","",IF(INDEX('Per Invoice'!H$2:H$401,$U138)="","",INDEX('Per Invoice'!H$2:H$401,$U138)))</f>
        <v/>
      </c>
      <c r="I138" s="14">
        <f>IF($U138="","",IF(INDEX('Per Invoice'!I$2:I$401,$U138)="","",INDEX('Per Invoice'!I$2:I$401,$U138)))</f>
        <v/>
      </c>
      <c r="J138">
        <f>IF($U138="","",IF(INDEX('Per Invoice'!J$2:J$401,$U138)="","",INDEX('Per Invoice'!J$2:J$401,$U138)))</f>
        <v/>
      </c>
      <c r="K138">
        <f>IF($U138="","",IF(INDEX('Per Invoice'!K$2:K$401,$U138)="","",INDEX('Per Invoice'!K$2:K$401,$U138)))</f>
        <v/>
      </c>
      <c r="L138" s="7">
        <f>IF($U138="","",IF(INDEX('Per Invoice'!L$2:L$401,$U138)="","",INDEX('Per Invoice'!L$2:L$401,$U138)))</f>
        <v/>
      </c>
      <c r="M138" s="7">
        <f>IF($U138="","",IF(INDEX('Per Invoice'!M$2:M$401,$U138)="","",INDEX('Per Invoice'!M$2:M$401,$U138)))</f>
        <v/>
      </c>
      <c r="N138">
        <f>IF($U138="","",IF(INDEX('Per Invoice'!N$2:N$401,$U138)="","",INDEX('Per Invoice'!N$2:N$401,$U138)))</f>
        <v/>
      </c>
      <c r="O138" s="7">
        <f>IF($U138="","",IF(INDEX('Per Invoice'!O$2:O$401,$U138)="","",INDEX('Per Invoice'!O$2:O$401,$U138)))</f>
        <v/>
      </c>
      <c r="P138" s="7">
        <f>IF($U138="","",IF(INDEX('Per Invoice'!P$2:P$401,$U138)="","",INDEX('Per Invoice'!P$2:P$401,$U138)))</f>
        <v/>
      </c>
      <c r="Q138" s="7">
        <f>IF($U138="","",IF(INDEX('Per Invoice'!Q$2:Q$401,$U138)="","",INDEX('Per Invoice'!Q$2:Q$401,$U138)))</f>
        <v/>
      </c>
      <c r="R138" s="7">
        <f>IF($U138="","",IF(INDEX('Per Invoice'!R$2:R$401,$U138)="","",INDEX('Per Invoice'!R$2:R$401,$U138)))</f>
        <v/>
      </c>
      <c r="S138" s="7">
        <f>IF($U138="","",IF(INDEX('Per Invoice'!S$2:S$401,$U138)="","",INDEX('Per Invoice'!S$2:S$401,$U138)))</f>
        <v/>
      </c>
      <c r="T138" s="7">
        <f>IF($U138="","",IF(INDEX('Per Invoice'!T$2:T$401,$U138)="","",INDEX('Per Invoice'!T$2:T$401,$U138)))</f>
        <v/>
      </c>
      <c r="U138" s="16">
        <f>IFERROR(MATCH(Settings!$C$27&amp;"|"&amp;ROWS($U$2:$U138),'Per Invoice'!$V$2:$V$401,0),"")</f>
        <v/>
      </c>
    </row>
    <row r="139">
      <c r="A139">
        <f>IF($U139="","",IF(INDEX('Per Invoice'!A$2:A$401,$U139)="","",INDEX('Per Invoice'!A$2:A$401,$U139)))</f>
        <v/>
      </c>
      <c r="B139">
        <f>IF($U139="","",IF(INDEX('Per Invoice'!B$2:B$401,$U139)="","",INDEX('Per Invoice'!B$2:B$401,$U139)))</f>
        <v/>
      </c>
      <c r="C139">
        <f>IF($U139="","",IF(INDEX('Per Invoice'!C$2:C$401,$U139)="","",INDEX('Per Invoice'!C$2:C$401,$U139)))</f>
        <v/>
      </c>
      <c r="D139">
        <f>IF($U139="","",IF(INDEX('Per Invoice'!D$2:D$401,$U139)="","",INDEX('Per Invoice'!D$2:D$401,$U139)))</f>
        <v/>
      </c>
      <c r="E139">
        <f>IF($U139="","",IF(INDEX('Per Invoice'!E$2:E$401,$U139)="","",INDEX('Per Invoice'!E$2:E$401,$U139)))</f>
        <v/>
      </c>
      <c r="F139">
        <f>IF($U139="","",IF(INDEX('Per Invoice'!F$2:F$401,$U139)="","",INDEX('Per Invoice'!F$2:F$401,$U139)))</f>
        <v/>
      </c>
      <c r="G139">
        <f>IF($U139="","",IF(INDEX('Per Invoice'!G$2:G$401,$U139)="","",INDEX('Per Invoice'!G$2:G$401,$U139)))</f>
        <v/>
      </c>
      <c r="H139" s="7">
        <f>IF($U139="","",IF(INDEX('Per Invoice'!H$2:H$401,$U139)="","",INDEX('Per Invoice'!H$2:H$401,$U139)))</f>
        <v/>
      </c>
      <c r="I139" s="14">
        <f>IF($U139="","",IF(INDEX('Per Invoice'!I$2:I$401,$U139)="","",INDEX('Per Invoice'!I$2:I$401,$U139)))</f>
        <v/>
      </c>
      <c r="J139">
        <f>IF($U139="","",IF(INDEX('Per Invoice'!J$2:J$401,$U139)="","",INDEX('Per Invoice'!J$2:J$401,$U139)))</f>
        <v/>
      </c>
      <c r="K139">
        <f>IF($U139="","",IF(INDEX('Per Invoice'!K$2:K$401,$U139)="","",INDEX('Per Invoice'!K$2:K$401,$U139)))</f>
        <v/>
      </c>
      <c r="L139" s="7">
        <f>IF($U139="","",IF(INDEX('Per Invoice'!L$2:L$401,$U139)="","",INDEX('Per Invoice'!L$2:L$401,$U139)))</f>
        <v/>
      </c>
      <c r="M139" s="7">
        <f>IF($U139="","",IF(INDEX('Per Invoice'!M$2:M$401,$U139)="","",INDEX('Per Invoice'!M$2:M$401,$U139)))</f>
        <v/>
      </c>
      <c r="N139">
        <f>IF($U139="","",IF(INDEX('Per Invoice'!N$2:N$401,$U139)="","",INDEX('Per Invoice'!N$2:N$401,$U139)))</f>
        <v/>
      </c>
      <c r="O139" s="7">
        <f>IF($U139="","",IF(INDEX('Per Invoice'!O$2:O$401,$U139)="","",INDEX('Per Invoice'!O$2:O$401,$U139)))</f>
        <v/>
      </c>
      <c r="P139" s="7">
        <f>IF($U139="","",IF(INDEX('Per Invoice'!P$2:P$401,$U139)="","",INDEX('Per Invoice'!P$2:P$401,$U139)))</f>
        <v/>
      </c>
      <c r="Q139" s="7">
        <f>IF($U139="","",IF(INDEX('Per Invoice'!Q$2:Q$401,$U139)="","",INDEX('Per Invoice'!Q$2:Q$401,$U139)))</f>
        <v/>
      </c>
      <c r="R139" s="7">
        <f>IF($U139="","",IF(INDEX('Per Invoice'!R$2:R$401,$U139)="","",INDEX('Per Invoice'!R$2:R$401,$U139)))</f>
        <v/>
      </c>
      <c r="S139" s="7">
        <f>IF($U139="","",IF(INDEX('Per Invoice'!S$2:S$401,$U139)="","",INDEX('Per Invoice'!S$2:S$401,$U139)))</f>
        <v/>
      </c>
      <c r="T139" s="7">
        <f>IF($U139="","",IF(INDEX('Per Invoice'!T$2:T$401,$U139)="","",INDEX('Per Invoice'!T$2:T$401,$U139)))</f>
        <v/>
      </c>
      <c r="U139" s="16">
        <f>IFERROR(MATCH(Settings!$C$27&amp;"|"&amp;ROWS($U$2:$U139),'Per Invoice'!$V$2:$V$401,0),"")</f>
        <v/>
      </c>
    </row>
    <row r="140">
      <c r="A140">
        <f>IF($U140="","",IF(INDEX('Per Invoice'!A$2:A$401,$U140)="","",INDEX('Per Invoice'!A$2:A$401,$U140)))</f>
        <v/>
      </c>
      <c r="B140">
        <f>IF($U140="","",IF(INDEX('Per Invoice'!B$2:B$401,$U140)="","",INDEX('Per Invoice'!B$2:B$401,$U140)))</f>
        <v/>
      </c>
      <c r="C140">
        <f>IF($U140="","",IF(INDEX('Per Invoice'!C$2:C$401,$U140)="","",INDEX('Per Invoice'!C$2:C$401,$U140)))</f>
        <v/>
      </c>
      <c r="D140">
        <f>IF($U140="","",IF(INDEX('Per Invoice'!D$2:D$401,$U140)="","",INDEX('Per Invoice'!D$2:D$401,$U140)))</f>
        <v/>
      </c>
      <c r="E140">
        <f>IF($U140="","",IF(INDEX('Per Invoice'!E$2:E$401,$U140)="","",INDEX('Per Invoice'!E$2:E$401,$U140)))</f>
        <v/>
      </c>
      <c r="F140">
        <f>IF($U140="","",IF(INDEX('Per Invoice'!F$2:F$401,$U140)="","",INDEX('Per Invoice'!F$2:F$401,$U140)))</f>
        <v/>
      </c>
      <c r="G140">
        <f>IF($U140="","",IF(INDEX('Per Invoice'!G$2:G$401,$U140)="","",INDEX('Per Invoice'!G$2:G$401,$U140)))</f>
        <v/>
      </c>
      <c r="H140" s="7">
        <f>IF($U140="","",IF(INDEX('Per Invoice'!H$2:H$401,$U140)="","",INDEX('Per Invoice'!H$2:H$401,$U140)))</f>
        <v/>
      </c>
      <c r="I140" s="14">
        <f>IF($U140="","",IF(INDEX('Per Invoice'!I$2:I$401,$U140)="","",INDEX('Per Invoice'!I$2:I$401,$U140)))</f>
        <v/>
      </c>
      <c r="J140">
        <f>IF($U140="","",IF(INDEX('Per Invoice'!J$2:J$401,$U140)="","",INDEX('Per Invoice'!J$2:J$401,$U140)))</f>
        <v/>
      </c>
      <c r="K140">
        <f>IF($U140="","",IF(INDEX('Per Invoice'!K$2:K$401,$U140)="","",INDEX('Per Invoice'!K$2:K$401,$U140)))</f>
        <v/>
      </c>
      <c r="L140" s="7">
        <f>IF($U140="","",IF(INDEX('Per Invoice'!L$2:L$401,$U140)="","",INDEX('Per Invoice'!L$2:L$401,$U140)))</f>
        <v/>
      </c>
      <c r="M140" s="7">
        <f>IF($U140="","",IF(INDEX('Per Invoice'!M$2:M$401,$U140)="","",INDEX('Per Invoice'!M$2:M$401,$U140)))</f>
        <v/>
      </c>
      <c r="N140">
        <f>IF($U140="","",IF(INDEX('Per Invoice'!N$2:N$401,$U140)="","",INDEX('Per Invoice'!N$2:N$401,$U140)))</f>
        <v/>
      </c>
      <c r="O140" s="7">
        <f>IF($U140="","",IF(INDEX('Per Invoice'!O$2:O$401,$U140)="","",INDEX('Per Invoice'!O$2:O$401,$U140)))</f>
        <v/>
      </c>
      <c r="P140" s="7">
        <f>IF($U140="","",IF(INDEX('Per Invoice'!P$2:P$401,$U140)="","",INDEX('Per Invoice'!P$2:P$401,$U140)))</f>
        <v/>
      </c>
      <c r="Q140" s="7">
        <f>IF($U140="","",IF(INDEX('Per Invoice'!Q$2:Q$401,$U140)="","",INDEX('Per Invoice'!Q$2:Q$401,$U140)))</f>
        <v/>
      </c>
      <c r="R140" s="7">
        <f>IF($U140="","",IF(INDEX('Per Invoice'!R$2:R$401,$U140)="","",INDEX('Per Invoice'!R$2:R$401,$U140)))</f>
        <v/>
      </c>
      <c r="S140" s="7">
        <f>IF($U140="","",IF(INDEX('Per Invoice'!S$2:S$401,$U140)="","",INDEX('Per Invoice'!S$2:S$401,$U140)))</f>
        <v/>
      </c>
      <c r="T140" s="7">
        <f>IF($U140="","",IF(INDEX('Per Invoice'!T$2:T$401,$U140)="","",INDEX('Per Invoice'!T$2:T$401,$U140)))</f>
        <v/>
      </c>
      <c r="U140" s="16">
        <f>IFERROR(MATCH(Settings!$C$27&amp;"|"&amp;ROWS($U$2:$U140),'Per Invoice'!$V$2:$V$401,0),"")</f>
        <v/>
      </c>
    </row>
    <row r="141">
      <c r="A141">
        <f>IF($U141="","",IF(INDEX('Per Invoice'!A$2:A$401,$U141)="","",INDEX('Per Invoice'!A$2:A$401,$U141)))</f>
        <v/>
      </c>
      <c r="B141">
        <f>IF($U141="","",IF(INDEX('Per Invoice'!B$2:B$401,$U141)="","",INDEX('Per Invoice'!B$2:B$401,$U141)))</f>
        <v/>
      </c>
      <c r="C141">
        <f>IF($U141="","",IF(INDEX('Per Invoice'!C$2:C$401,$U141)="","",INDEX('Per Invoice'!C$2:C$401,$U141)))</f>
        <v/>
      </c>
      <c r="D141">
        <f>IF($U141="","",IF(INDEX('Per Invoice'!D$2:D$401,$U141)="","",INDEX('Per Invoice'!D$2:D$401,$U141)))</f>
        <v/>
      </c>
      <c r="E141">
        <f>IF($U141="","",IF(INDEX('Per Invoice'!E$2:E$401,$U141)="","",INDEX('Per Invoice'!E$2:E$401,$U141)))</f>
        <v/>
      </c>
      <c r="F141">
        <f>IF($U141="","",IF(INDEX('Per Invoice'!F$2:F$401,$U141)="","",INDEX('Per Invoice'!F$2:F$401,$U141)))</f>
        <v/>
      </c>
      <c r="G141">
        <f>IF($U141="","",IF(INDEX('Per Invoice'!G$2:G$401,$U141)="","",INDEX('Per Invoice'!G$2:G$401,$U141)))</f>
        <v/>
      </c>
      <c r="H141" s="7">
        <f>IF($U141="","",IF(INDEX('Per Invoice'!H$2:H$401,$U141)="","",INDEX('Per Invoice'!H$2:H$401,$U141)))</f>
        <v/>
      </c>
      <c r="I141" s="14">
        <f>IF($U141="","",IF(INDEX('Per Invoice'!I$2:I$401,$U141)="","",INDEX('Per Invoice'!I$2:I$401,$U141)))</f>
        <v/>
      </c>
      <c r="J141">
        <f>IF($U141="","",IF(INDEX('Per Invoice'!J$2:J$401,$U141)="","",INDEX('Per Invoice'!J$2:J$401,$U141)))</f>
        <v/>
      </c>
      <c r="K141">
        <f>IF($U141="","",IF(INDEX('Per Invoice'!K$2:K$401,$U141)="","",INDEX('Per Invoice'!K$2:K$401,$U141)))</f>
        <v/>
      </c>
      <c r="L141" s="7">
        <f>IF($U141="","",IF(INDEX('Per Invoice'!L$2:L$401,$U141)="","",INDEX('Per Invoice'!L$2:L$401,$U141)))</f>
        <v/>
      </c>
      <c r="M141" s="7">
        <f>IF($U141="","",IF(INDEX('Per Invoice'!M$2:M$401,$U141)="","",INDEX('Per Invoice'!M$2:M$401,$U141)))</f>
        <v/>
      </c>
      <c r="N141">
        <f>IF($U141="","",IF(INDEX('Per Invoice'!N$2:N$401,$U141)="","",INDEX('Per Invoice'!N$2:N$401,$U141)))</f>
        <v/>
      </c>
      <c r="O141" s="7">
        <f>IF($U141="","",IF(INDEX('Per Invoice'!O$2:O$401,$U141)="","",INDEX('Per Invoice'!O$2:O$401,$U141)))</f>
        <v/>
      </c>
      <c r="P141" s="7">
        <f>IF($U141="","",IF(INDEX('Per Invoice'!P$2:P$401,$U141)="","",INDEX('Per Invoice'!P$2:P$401,$U141)))</f>
        <v/>
      </c>
      <c r="Q141" s="7">
        <f>IF($U141="","",IF(INDEX('Per Invoice'!Q$2:Q$401,$U141)="","",INDEX('Per Invoice'!Q$2:Q$401,$U141)))</f>
        <v/>
      </c>
      <c r="R141" s="7">
        <f>IF($U141="","",IF(INDEX('Per Invoice'!R$2:R$401,$U141)="","",INDEX('Per Invoice'!R$2:R$401,$U141)))</f>
        <v/>
      </c>
      <c r="S141" s="7">
        <f>IF($U141="","",IF(INDEX('Per Invoice'!S$2:S$401,$U141)="","",INDEX('Per Invoice'!S$2:S$401,$U141)))</f>
        <v/>
      </c>
      <c r="T141" s="7">
        <f>IF($U141="","",IF(INDEX('Per Invoice'!T$2:T$401,$U141)="","",INDEX('Per Invoice'!T$2:T$401,$U141)))</f>
        <v/>
      </c>
      <c r="U141" s="16">
        <f>IFERROR(MATCH(Settings!$C$27&amp;"|"&amp;ROWS($U$2:$U141),'Per Invoice'!$V$2:$V$401,0),"")</f>
        <v/>
      </c>
    </row>
    <row r="142">
      <c r="A142">
        <f>IF($U142="","",IF(INDEX('Per Invoice'!A$2:A$401,$U142)="","",INDEX('Per Invoice'!A$2:A$401,$U142)))</f>
        <v/>
      </c>
      <c r="B142">
        <f>IF($U142="","",IF(INDEX('Per Invoice'!B$2:B$401,$U142)="","",INDEX('Per Invoice'!B$2:B$401,$U142)))</f>
        <v/>
      </c>
      <c r="C142">
        <f>IF($U142="","",IF(INDEX('Per Invoice'!C$2:C$401,$U142)="","",INDEX('Per Invoice'!C$2:C$401,$U142)))</f>
        <v/>
      </c>
      <c r="D142">
        <f>IF($U142="","",IF(INDEX('Per Invoice'!D$2:D$401,$U142)="","",INDEX('Per Invoice'!D$2:D$401,$U142)))</f>
        <v/>
      </c>
      <c r="E142">
        <f>IF($U142="","",IF(INDEX('Per Invoice'!E$2:E$401,$U142)="","",INDEX('Per Invoice'!E$2:E$401,$U142)))</f>
        <v/>
      </c>
      <c r="F142">
        <f>IF($U142="","",IF(INDEX('Per Invoice'!F$2:F$401,$U142)="","",INDEX('Per Invoice'!F$2:F$401,$U142)))</f>
        <v/>
      </c>
      <c r="G142">
        <f>IF($U142="","",IF(INDEX('Per Invoice'!G$2:G$401,$U142)="","",INDEX('Per Invoice'!G$2:G$401,$U142)))</f>
        <v/>
      </c>
      <c r="H142" s="7">
        <f>IF($U142="","",IF(INDEX('Per Invoice'!H$2:H$401,$U142)="","",INDEX('Per Invoice'!H$2:H$401,$U142)))</f>
        <v/>
      </c>
      <c r="I142" s="14">
        <f>IF($U142="","",IF(INDEX('Per Invoice'!I$2:I$401,$U142)="","",INDEX('Per Invoice'!I$2:I$401,$U142)))</f>
        <v/>
      </c>
      <c r="J142">
        <f>IF($U142="","",IF(INDEX('Per Invoice'!J$2:J$401,$U142)="","",INDEX('Per Invoice'!J$2:J$401,$U142)))</f>
        <v/>
      </c>
      <c r="K142">
        <f>IF($U142="","",IF(INDEX('Per Invoice'!K$2:K$401,$U142)="","",INDEX('Per Invoice'!K$2:K$401,$U142)))</f>
        <v/>
      </c>
      <c r="L142" s="7">
        <f>IF($U142="","",IF(INDEX('Per Invoice'!L$2:L$401,$U142)="","",INDEX('Per Invoice'!L$2:L$401,$U142)))</f>
        <v/>
      </c>
      <c r="M142" s="7">
        <f>IF($U142="","",IF(INDEX('Per Invoice'!M$2:M$401,$U142)="","",INDEX('Per Invoice'!M$2:M$401,$U142)))</f>
        <v/>
      </c>
      <c r="N142">
        <f>IF($U142="","",IF(INDEX('Per Invoice'!N$2:N$401,$U142)="","",INDEX('Per Invoice'!N$2:N$401,$U142)))</f>
        <v/>
      </c>
      <c r="O142" s="7">
        <f>IF($U142="","",IF(INDEX('Per Invoice'!O$2:O$401,$U142)="","",INDEX('Per Invoice'!O$2:O$401,$U142)))</f>
        <v/>
      </c>
      <c r="P142" s="7">
        <f>IF($U142="","",IF(INDEX('Per Invoice'!P$2:P$401,$U142)="","",INDEX('Per Invoice'!P$2:P$401,$U142)))</f>
        <v/>
      </c>
      <c r="Q142" s="7">
        <f>IF($U142="","",IF(INDEX('Per Invoice'!Q$2:Q$401,$U142)="","",INDEX('Per Invoice'!Q$2:Q$401,$U142)))</f>
        <v/>
      </c>
      <c r="R142" s="7">
        <f>IF($U142="","",IF(INDEX('Per Invoice'!R$2:R$401,$U142)="","",INDEX('Per Invoice'!R$2:R$401,$U142)))</f>
        <v/>
      </c>
      <c r="S142" s="7">
        <f>IF($U142="","",IF(INDEX('Per Invoice'!S$2:S$401,$U142)="","",INDEX('Per Invoice'!S$2:S$401,$U142)))</f>
        <v/>
      </c>
      <c r="T142" s="7">
        <f>IF($U142="","",IF(INDEX('Per Invoice'!T$2:T$401,$U142)="","",INDEX('Per Invoice'!T$2:T$401,$U142)))</f>
        <v/>
      </c>
      <c r="U142" s="16">
        <f>IFERROR(MATCH(Settings!$C$27&amp;"|"&amp;ROWS($U$2:$U142),'Per Invoice'!$V$2:$V$401,0),"")</f>
        <v/>
      </c>
    </row>
    <row r="143">
      <c r="A143">
        <f>IF($U143="","",IF(INDEX('Per Invoice'!A$2:A$401,$U143)="","",INDEX('Per Invoice'!A$2:A$401,$U143)))</f>
        <v/>
      </c>
      <c r="B143">
        <f>IF($U143="","",IF(INDEX('Per Invoice'!B$2:B$401,$U143)="","",INDEX('Per Invoice'!B$2:B$401,$U143)))</f>
        <v/>
      </c>
      <c r="C143">
        <f>IF($U143="","",IF(INDEX('Per Invoice'!C$2:C$401,$U143)="","",INDEX('Per Invoice'!C$2:C$401,$U143)))</f>
        <v/>
      </c>
      <c r="D143">
        <f>IF($U143="","",IF(INDEX('Per Invoice'!D$2:D$401,$U143)="","",INDEX('Per Invoice'!D$2:D$401,$U143)))</f>
        <v/>
      </c>
      <c r="E143">
        <f>IF($U143="","",IF(INDEX('Per Invoice'!E$2:E$401,$U143)="","",INDEX('Per Invoice'!E$2:E$401,$U143)))</f>
        <v/>
      </c>
      <c r="F143">
        <f>IF($U143="","",IF(INDEX('Per Invoice'!F$2:F$401,$U143)="","",INDEX('Per Invoice'!F$2:F$401,$U143)))</f>
        <v/>
      </c>
      <c r="G143">
        <f>IF($U143="","",IF(INDEX('Per Invoice'!G$2:G$401,$U143)="","",INDEX('Per Invoice'!G$2:G$401,$U143)))</f>
        <v/>
      </c>
      <c r="H143" s="7">
        <f>IF($U143="","",IF(INDEX('Per Invoice'!H$2:H$401,$U143)="","",INDEX('Per Invoice'!H$2:H$401,$U143)))</f>
        <v/>
      </c>
      <c r="I143" s="14">
        <f>IF($U143="","",IF(INDEX('Per Invoice'!I$2:I$401,$U143)="","",INDEX('Per Invoice'!I$2:I$401,$U143)))</f>
        <v/>
      </c>
      <c r="J143">
        <f>IF($U143="","",IF(INDEX('Per Invoice'!J$2:J$401,$U143)="","",INDEX('Per Invoice'!J$2:J$401,$U143)))</f>
        <v/>
      </c>
      <c r="K143">
        <f>IF($U143="","",IF(INDEX('Per Invoice'!K$2:K$401,$U143)="","",INDEX('Per Invoice'!K$2:K$401,$U143)))</f>
        <v/>
      </c>
      <c r="L143" s="7">
        <f>IF($U143="","",IF(INDEX('Per Invoice'!L$2:L$401,$U143)="","",INDEX('Per Invoice'!L$2:L$401,$U143)))</f>
        <v/>
      </c>
      <c r="M143" s="7">
        <f>IF($U143="","",IF(INDEX('Per Invoice'!M$2:M$401,$U143)="","",INDEX('Per Invoice'!M$2:M$401,$U143)))</f>
        <v/>
      </c>
      <c r="N143">
        <f>IF($U143="","",IF(INDEX('Per Invoice'!N$2:N$401,$U143)="","",INDEX('Per Invoice'!N$2:N$401,$U143)))</f>
        <v/>
      </c>
      <c r="O143" s="7">
        <f>IF($U143="","",IF(INDEX('Per Invoice'!O$2:O$401,$U143)="","",INDEX('Per Invoice'!O$2:O$401,$U143)))</f>
        <v/>
      </c>
      <c r="P143" s="7">
        <f>IF($U143="","",IF(INDEX('Per Invoice'!P$2:P$401,$U143)="","",INDEX('Per Invoice'!P$2:P$401,$U143)))</f>
        <v/>
      </c>
      <c r="Q143" s="7">
        <f>IF($U143="","",IF(INDEX('Per Invoice'!Q$2:Q$401,$U143)="","",INDEX('Per Invoice'!Q$2:Q$401,$U143)))</f>
        <v/>
      </c>
      <c r="R143" s="7">
        <f>IF($U143="","",IF(INDEX('Per Invoice'!R$2:R$401,$U143)="","",INDEX('Per Invoice'!R$2:R$401,$U143)))</f>
        <v/>
      </c>
      <c r="S143" s="7">
        <f>IF($U143="","",IF(INDEX('Per Invoice'!S$2:S$401,$U143)="","",INDEX('Per Invoice'!S$2:S$401,$U143)))</f>
        <v/>
      </c>
      <c r="T143" s="7">
        <f>IF($U143="","",IF(INDEX('Per Invoice'!T$2:T$401,$U143)="","",INDEX('Per Invoice'!T$2:T$401,$U143)))</f>
        <v/>
      </c>
      <c r="U143" s="16">
        <f>IFERROR(MATCH(Settings!$C$27&amp;"|"&amp;ROWS($U$2:$U143),'Per Invoice'!$V$2:$V$401,0),"")</f>
        <v/>
      </c>
    </row>
    <row r="144">
      <c r="A144">
        <f>IF($U144="","",IF(INDEX('Per Invoice'!A$2:A$401,$U144)="","",INDEX('Per Invoice'!A$2:A$401,$U144)))</f>
        <v/>
      </c>
      <c r="B144">
        <f>IF($U144="","",IF(INDEX('Per Invoice'!B$2:B$401,$U144)="","",INDEX('Per Invoice'!B$2:B$401,$U144)))</f>
        <v/>
      </c>
      <c r="C144">
        <f>IF($U144="","",IF(INDEX('Per Invoice'!C$2:C$401,$U144)="","",INDEX('Per Invoice'!C$2:C$401,$U144)))</f>
        <v/>
      </c>
      <c r="D144">
        <f>IF($U144="","",IF(INDEX('Per Invoice'!D$2:D$401,$U144)="","",INDEX('Per Invoice'!D$2:D$401,$U144)))</f>
        <v/>
      </c>
      <c r="E144">
        <f>IF($U144="","",IF(INDEX('Per Invoice'!E$2:E$401,$U144)="","",INDEX('Per Invoice'!E$2:E$401,$U144)))</f>
        <v/>
      </c>
      <c r="F144">
        <f>IF($U144="","",IF(INDEX('Per Invoice'!F$2:F$401,$U144)="","",INDEX('Per Invoice'!F$2:F$401,$U144)))</f>
        <v/>
      </c>
      <c r="G144">
        <f>IF($U144="","",IF(INDEX('Per Invoice'!G$2:G$401,$U144)="","",INDEX('Per Invoice'!G$2:G$401,$U144)))</f>
        <v/>
      </c>
      <c r="H144" s="7">
        <f>IF($U144="","",IF(INDEX('Per Invoice'!H$2:H$401,$U144)="","",INDEX('Per Invoice'!H$2:H$401,$U144)))</f>
        <v/>
      </c>
      <c r="I144" s="14">
        <f>IF($U144="","",IF(INDEX('Per Invoice'!I$2:I$401,$U144)="","",INDEX('Per Invoice'!I$2:I$401,$U144)))</f>
        <v/>
      </c>
      <c r="J144">
        <f>IF($U144="","",IF(INDEX('Per Invoice'!J$2:J$401,$U144)="","",INDEX('Per Invoice'!J$2:J$401,$U144)))</f>
        <v/>
      </c>
      <c r="K144">
        <f>IF($U144="","",IF(INDEX('Per Invoice'!K$2:K$401,$U144)="","",INDEX('Per Invoice'!K$2:K$401,$U144)))</f>
        <v/>
      </c>
      <c r="L144" s="7">
        <f>IF($U144="","",IF(INDEX('Per Invoice'!L$2:L$401,$U144)="","",INDEX('Per Invoice'!L$2:L$401,$U144)))</f>
        <v/>
      </c>
      <c r="M144" s="7">
        <f>IF($U144="","",IF(INDEX('Per Invoice'!M$2:M$401,$U144)="","",INDEX('Per Invoice'!M$2:M$401,$U144)))</f>
        <v/>
      </c>
      <c r="N144">
        <f>IF($U144="","",IF(INDEX('Per Invoice'!N$2:N$401,$U144)="","",INDEX('Per Invoice'!N$2:N$401,$U144)))</f>
        <v/>
      </c>
      <c r="O144" s="7">
        <f>IF($U144="","",IF(INDEX('Per Invoice'!O$2:O$401,$U144)="","",INDEX('Per Invoice'!O$2:O$401,$U144)))</f>
        <v/>
      </c>
      <c r="P144" s="7">
        <f>IF($U144="","",IF(INDEX('Per Invoice'!P$2:P$401,$U144)="","",INDEX('Per Invoice'!P$2:P$401,$U144)))</f>
        <v/>
      </c>
      <c r="Q144" s="7">
        <f>IF($U144="","",IF(INDEX('Per Invoice'!Q$2:Q$401,$U144)="","",INDEX('Per Invoice'!Q$2:Q$401,$U144)))</f>
        <v/>
      </c>
      <c r="R144" s="7">
        <f>IF($U144="","",IF(INDEX('Per Invoice'!R$2:R$401,$U144)="","",INDEX('Per Invoice'!R$2:R$401,$U144)))</f>
        <v/>
      </c>
      <c r="S144" s="7">
        <f>IF($U144="","",IF(INDEX('Per Invoice'!S$2:S$401,$U144)="","",INDEX('Per Invoice'!S$2:S$401,$U144)))</f>
        <v/>
      </c>
      <c r="T144" s="7">
        <f>IF($U144="","",IF(INDEX('Per Invoice'!T$2:T$401,$U144)="","",INDEX('Per Invoice'!T$2:T$401,$U144)))</f>
        <v/>
      </c>
      <c r="U144" s="16">
        <f>IFERROR(MATCH(Settings!$C$27&amp;"|"&amp;ROWS($U$2:$U144),'Per Invoice'!$V$2:$V$401,0),"")</f>
        <v/>
      </c>
    </row>
    <row r="145">
      <c r="A145">
        <f>IF($U145="","",IF(INDEX('Per Invoice'!A$2:A$401,$U145)="","",INDEX('Per Invoice'!A$2:A$401,$U145)))</f>
        <v/>
      </c>
      <c r="B145">
        <f>IF($U145="","",IF(INDEX('Per Invoice'!B$2:B$401,$U145)="","",INDEX('Per Invoice'!B$2:B$401,$U145)))</f>
        <v/>
      </c>
      <c r="C145">
        <f>IF($U145="","",IF(INDEX('Per Invoice'!C$2:C$401,$U145)="","",INDEX('Per Invoice'!C$2:C$401,$U145)))</f>
        <v/>
      </c>
      <c r="D145">
        <f>IF($U145="","",IF(INDEX('Per Invoice'!D$2:D$401,$U145)="","",INDEX('Per Invoice'!D$2:D$401,$U145)))</f>
        <v/>
      </c>
      <c r="E145">
        <f>IF($U145="","",IF(INDEX('Per Invoice'!E$2:E$401,$U145)="","",INDEX('Per Invoice'!E$2:E$401,$U145)))</f>
        <v/>
      </c>
      <c r="F145">
        <f>IF($U145="","",IF(INDEX('Per Invoice'!F$2:F$401,$U145)="","",INDEX('Per Invoice'!F$2:F$401,$U145)))</f>
        <v/>
      </c>
      <c r="G145">
        <f>IF($U145="","",IF(INDEX('Per Invoice'!G$2:G$401,$U145)="","",INDEX('Per Invoice'!G$2:G$401,$U145)))</f>
        <v/>
      </c>
      <c r="H145" s="7">
        <f>IF($U145="","",IF(INDEX('Per Invoice'!H$2:H$401,$U145)="","",INDEX('Per Invoice'!H$2:H$401,$U145)))</f>
        <v/>
      </c>
      <c r="I145" s="14">
        <f>IF($U145="","",IF(INDEX('Per Invoice'!I$2:I$401,$U145)="","",INDEX('Per Invoice'!I$2:I$401,$U145)))</f>
        <v/>
      </c>
      <c r="J145">
        <f>IF($U145="","",IF(INDEX('Per Invoice'!J$2:J$401,$U145)="","",INDEX('Per Invoice'!J$2:J$401,$U145)))</f>
        <v/>
      </c>
      <c r="K145">
        <f>IF($U145="","",IF(INDEX('Per Invoice'!K$2:K$401,$U145)="","",INDEX('Per Invoice'!K$2:K$401,$U145)))</f>
        <v/>
      </c>
      <c r="L145" s="7">
        <f>IF($U145="","",IF(INDEX('Per Invoice'!L$2:L$401,$U145)="","",INDEX('Per Invoice'!L$2:L$401,$U145)))</f>
        <v/>
      </c>
      <c r="M145" s="7">
        <f>IF($U145="","",IF(INDEX('Per Invoice'!M$2:M$401,$U145)="","",INDEX('Per Invoice'!M$2:M$401,$U145)))</f>
        <v/>
      </c>
      <c r="N145">
        <f>IF($U145="","",IF(INDEX('Per Invoice'!N$2:N$401,$U145)="","",INDEX('Per Invoice'!N$2:N$401,$U145)))</f>
        <v/>
      </c>
      <c r="O145" s="7">
        <f>IF($U145="","",IF(INDEX('Per Invoice'!O$2:O$401,$U145)="","",INDEX('Per Invoice'!O$2:O$401,$U145)))</f>
        <v/>
      </c>
      <c r="P145" s="7">
        <f>IF($U145="","",IF(INDEX('Per Invoice'!P$2:P$401,$U145)="","",INDEX('Per Invoice'!P$2:P$401,$U145)))</f>
        <v/>
      </c>
      <c r="Q145" s="7">
        <f>IF($U145="","",IF(INDEX('Per Invoice'!Q$2:Q$401,$U145)="","",INDEX('Per Invoice'!Q$2:Q$401,$U145)))</f>
        <v/>
      </c>
      <c r="R145" s="7">
        <f>IF($U145="","",IF(INDEX('Per Invoice'!R$2:R$401,$U145)="","",INDEX('Per Invoice'!R$2:R$401,$U145)))</f>
        <v/>
      </c>
      <c r="S145" s="7">
        <f>IF($U145="","",IF(INDEX('Per Invoice'!S$2:S$401,$U145)="","",INDEX('Per Invoice'!S$2:S$401,$U145)))</f>
        <v/>
      </c>
      <c r="T145" s="7">
        <f>IF($U145="","",IF(INDEX('Per Invoice'!T$2:T$401,$U145)="","",INDEX('Per Invoice'!T$2:T$401,$U145)))</f>
        <v/>
      </c>
      <c r="U145" s="16">
        <f>IFERROR(MATCH(Settings!$C$27&amp;"|"&amp;ROWS($U$2:$U145),'Per Invoice'!$V$2:$V$401,0),"")</f>
        <v/>
      </c>
    </row>
    <row r="146">
      <c r="A146">
        <f>IF($U146="","",IF(INDEX('Per Invoice'!A$2:A$401,$U146)="","",INDEX('Per Invoice'!A$2:A$401,$U146)))</f>
        <v/>
      </c>
      <c r="B146">
        <f>IF($U146="","",IF(INDEX('Per Invoice'!B$2:B$401,$U146)="","",INDEX('Per Invoice'!B$2:B$401,$U146)))</f>
        <v/>
      </c>
      <c r="C146">
        <f>IF($U146="","",IF(INDEX('Per Invoice'!C$2:C$401,$U146)="","",INDEX('Per Invoice'!C$2:C$401,$U146)))</f>
        <v/>
      </c>
      <c r="D146">
        <f>IF($U146="","",IF(INDEX('Per Invoice'!D$2:D$401,$U146)="","",INDEX('Per Invoice'!D$2:D$401,$U146)))</f>
        <v/>
      </c>
      <c r="E146">
        <f>IF($U146="","",IF(INDEX('Per Invoice'!E$2:E$401,$U146)="","",INDEX('Per Invoice'!E$2:E$401,$U146)))</f>
        <v/>
      </c>
      <c r="F146">
        <f>IF($U146="","",IF(INDEX('Per Invoice'!F$2:F$401,$U146)="","",INDEX('Per Invoice'!F$2:F$401,$U146)))</f>
        <v/>
      </c>
      <c r="G146">
        <f>IF($U146="","",IF(INDEX('Per Invoice'!G$2:G$401,$U146)="","",INDEX('Per Invoice'!G$2:G$401,$U146)))</f>
        <v/>
      </c>
      <c r="H146" s="7">
        <f>IF($U146="","",IF(INDEX('Per Invoice'!H$2:H$401,$U146)="","",INDEX('Per Invoice'!H$2:H$401,$U146)))</f>
        <v/>
      </c>
      <c r="I146" s="14">
        <f>IF($U146="","",IF(INDEX('Per Invoice'!I$2:I$401,$U146)="","",INDEX('Per Invoice'!I$2:I$401,$U146)))</f>
        <v/>
      </c>
      <c r="J146">
        <f>IF($U146="","",IF(INDEX('Per Invoice'!J$2:J$401,$U146)="","",INDEX('Per Invoice'!J$2:J$401,$U146)))</f>
        <v/>
      </c>
      <c r="K146">
        <f>IF($U146="","",IF(INDEX('Per Invoice'!K$2:K$401,$U146)="","",INDEX('Per Invoice'!K$2:K$401,$U146)))</f>
        <v/>
      </c>
      <c r="L146" s="7">
        <f>IF($U146="","",IF(INDEX('Per Invoice'!L$2:L$401,$U146)="","",INDEX('Per Invoice'!L$2:L$401,$U146)))</f>
        <v/>
      </c>
      <c r="M146" s="7">
        <f>IF($U146="","",IF(INDEX('Per Invoice'!M$2:M$401,$U146)="","",INDEX('Per Invoice'!M$2:M$401,$U146)))</f>
        <v/>
      </c>
      <c r="N146">
        <f>IF($U146="","",IF(INDEX('Per Invoice'!N$2:N$401,$U146)="","",INDEX('Per Invoice'!N$2:N$401,$U146)))</f>
        <v/>
      </c>
      <c r="O146" s="7">
        <f>IF($U146="","",IF(INDEX('Per Invoice'!O$2:O$401,$U146)="","",INDEX('Per Invoice'!O$2:O$401,$U146)))</f>
        <v/>
      </c>
      <c r="P146" s="7">
        <f>IF($U146="","",IF(INDEX('Per Invoice'!P$2:P$401,$U146)="","",INDEX('Per Invoice'!P$2:P$401,$U146)))</f>
        <v/>
      </c>
      <c r="Q146" s="7">
        <f>IF($U146="","",IF(INDEX('Per Invoice'!Q$2:Q$401,$U146)="","",INDEX('Per Invoice'!Q$2:Q$401,$U146)))</f>
        <v/>
      </c>
      <c r="R146" s="7">
        <f>IF($U146="","",IF(INDEX('Per Invoice'!R$2:R$401,$U146)="","",INDEX('Per Invoice'!R$2:R$401,$U146)))</f>
        <v/>
      </c>
      <c r="S146" s="7">
        <f>IF($U146="","",IF(INDEX('Per Invoice'!S$2:S$401,$U146)="","",INDEX('Per Invoice'!S$2:S$401,$U146)))</f>
        <v/>
      </c>
      <c r="T146" s="7">
        <f>IF($U146="","",IF(INDEX('Per Invoice'!T$2:T$401,$U146)="","",INDEX('Per Invoice'!T$2:T$401,$U146)))</f>
        <v/>
      </c>
      <c r="U146" s="16">
        <f>IFERROR(MATCH(Settings!$C$27&amp;"|"&amp;ROWS($U$2:$U146),'Per Invoice'!$V$2:$V$401,0),"")</f>
        <v/>
      </c>
    </row>
    <row r="147">
      <c r="A147">
        <f>IF($U147="","",IF(INDEX('Per Invoice'!A$2:A$401,$U147)="","",INDEX('Per Invoice'!A$2:A$401,$U147)))</f>
        <v/>
      </c>
      <c r="B147">
        <f>IF($U147="","",IF(INDEX('Per Invoice'!B$2:B$401,$U147)="","",INDEX('Per Invoice'!B$2:B$401,$U147)))</f>
        <v/>
      </c>
      <c r="C147">
        <f>IF($U147="","",IF(INDEX('Per Invoice'!C$2:C$401,$U147)="","",INDEX('Per Invoice'!C$2:C$401,$U147)))</f>
        <v/>
      </c>
      <c r="D147">
        <f>IF($U147="","",IF(INDEX('Per Invoice'!D$2:D$401,$U147)="","",INDEX('Per Invoice'!D$2:D$401,$U147)))</f>
        <v/>
      </c>
      <c r="E147">
        <f>IF($U147="","",IF(INDEX('Per Invoice'!E$2:E$401,$U147)="","",INDEX('Per Invoice'!E$2:E$401,$U147)))</f>
        <v/>
      </c>
      <c r="F147">
        <f>IF($U147="","",IF(INDEX('Per Invoice'!F$2:F$401,$U147)="","",INDEX('Per Invoice'!F$2:F$401,$U147)))</f>
        <v/>
      </c>
      <c r="G147">
        <f>IF($U147="","",IF(INDEX('Per Invoice'!G$2:G$401,$U147)="","",INDEX('Per Invoice'!G$2:G$401,$U147)))</f>
        <v/>
      </c>
      <c r="H147" s="7">
        <f>IF($U147="","",IF(INDEX('Per Invoice'!H$2:H$401,$U147)="","",INDEX('Per Invoice'!H$2:H$401,$U147)))</f>
        <v/>
      </c>
      <c r="I147" s="14">
        <f>IF($U147="","",IF(INDEX('Per Invoice'!I$2:I$401,$U147)="","",INDEX('Per Invoice'!I$2:I$401,$U147)))</f>
        <v/>
      </c>
      <c r="J147">
        <f>IF($U147="","",IF(INDEX('Per Invoice'!J$2:J$401,$U147)="","",INDEX('Per Invoice'!J$2:J$401,$U147)))</f>
        <v/>
      </c>
      <c r="K147">
        <f>IF($U147="","",IF(INDEX('Per Invoice'!K$2:K$401,$U147)="","",INDEX('Per Invoice'!K$2:K$401,$U147)))</f>
        <v/>
      </c>
      <c r="L147" s="7">
        <f>IF($U147="","",IF(INDEX('Per Invoice'!L$2:L$401,$U147)="","",INDEX('Per Invoice'!L$2:L$401,$U147)))</f>
        <v/>
      </c>
      <c r="M147" s="7">
        <f>IF($U147="","",IF(INDEX('Per Invoice'!M$2:M$401,$U147)="","",INDEX('Per Invoice'!M$2:M$401,$U147)))</f>
        <v/>
      </c>
      <c r="N147">
        <f>IF($U147="","",IF(INDEX('Per Invoice'!N$2:N$401,$U147)="","",INDEX('Per Invoice'!N$2:N$401,$U147)))</f>
        <v/>
      </c>
      <c r="O147" s="7">
        <f>IF($U147="","",IF(INDEX('Per Invoice'!O$2:O$401,$U147)="","",INDEX('Per Invoice'!O$2:O$401,$U147)))</f>
        <v/>
      </c>
      <c r="P147" s="7">
        <f>IF($U147="","",IF(INDEX('Per Invoice'!P$2:P$401,$U147)="","",INDEX('Per Invoice'!P$2:P$401,$U147)))</f>
        <v/>
      </c>
      <c r="Q147" s="7">
        <f>IF($U147="","",IF(INDEX('Per Invoice'!Q$2:Q$401,$U147)="","",INDEX('Per Invoice'!Q$2:Q$401,$U147)))</f>
        <v/>
      </c>
      <c r="R147" s="7">
        <f>IF($U147="","",IF(INDEX('Per Invoice'!R$2:R$401,$U147)="","",INDEX('Per Invoice'!R$2:R$401,$U147)))</f>
        <v/>
      </c>
      <c r="S147" s="7">
        <f>IF($U147="","",IF(INDEX('Per Invoice'!S$2:S$401,$U147)="","",INDEX('Per Invoice'!S$2:S$401,$U147)))</f>
        <v/>
      </c>
      <c r="T147" s="7">
        <f>IF($U147="","",IF(INDEX('Per Invoice'!T$2:T$401,$U147)="","",INDEX('Per Invoice'!T$2:T$401,$U147)))</f>
        <v/>
      </c>
      <c r="U147" s="16">
        <f>IFERROR(MATCH(Settings!$C$27&amp;"|"&amp;ROWS($U$2:$U147),'Per Invoice'!$V$2:$V$401,0),"")</f>
        <v/>
      </c>
    </row>
    <row r="148">
      <c r="A148">
        <f>IF($U148="","",IF(INDEX('Per Invoice'!A$2:A$401,$U148)="","",INDEX('Per Invoice'!A$2:A$401,$U148)))</f>
        <v/>
      </c>
      <c r="B148">
        <f>IF($U148="","",IF(INDEX('Per Invoice'!B$2:B$401,$U148)="","",INDEX('Per Invoice'!B$2:B$401,$U148)))</f>
        <v/>
      </c>
      <c r="C148">
        <f>IF($U148="","",IF(INDEX('Per Invoice'!C$2:C$401,$U148)="","",INDEX('Per Invoice'!C$2:C$401,$U148)))</f>
        <v/>
      </c>
      <c r="D148">
        <f>IF($U148="","",IF(INDEX('Per Invoice'!D$2:D$401,$U148)="","",INDEX('Per Invoice'!D$2:D$401,$U148)))</f>
        <v/>
      </c>
      <c r="E148">
        <f>IF($U148="","",IF(INDEX('Per Invoice'!E$2:E$401,$U148)="","",INDEX('Per Invoice'!E$2:E$401,$U148)))</f>
        <v/>
      </c>
      <c r="F148">
        <f>IF($U148="","",IF(INDEX('Per Invoice'!F$2:F$401,$U148)="","",INDEX('Per Invoice'!F$2:F$401,$U148)))</f>
        <v/>
      </c>
      <c r="G148">
        <f>IF($U148="","",IF(INDEX('Per Invoice'!G$2:G$401,$U148)="","",INDEX('Per Invoice'!G$2:G$401,$U148)))</f>
        <v/>
      </c>
      <c r="H148" s="7">
        <f>IF($U148="","",IF(INDEX('Per Invoice'!H$2:H$401,$U148)="","",INDEX('Per Invoice'!H$2:H$401,$U148)))</f>
        <v/>
      </c>
      <c r="I148" s="14">
        <f>IF($U148="","",IF(INDEX('Per Invoice'!I$2:I$401,$U148)="","",INDEX('Per Invoice'!I$2:I$401,$U148)))</f>
        <v/>
      </c>
      <c r="J148">
        <f>IF($U148="","",IF(INDEX('Per Invoice'!J$2:J$401,$U148)="","",INDEX('Per Invoice'!J$2:J$401,$U148)))</f>
        <v/>
      </c>
      <c r="K148">
        <f>IF($U148="","",IF(INDEX('Per Invoice'!K$2:K$401,$U148)="","",INDEX('Per Invoice'!K$2:K$401,$U148)))</f>
        <v/>
      </c>
      <c r="L148" s="7">
        <f>IF($U148="","",IF(INDEX('Per Invoice'!L$2:L$401,$U148)="","",INDEX('Per Invoice'!L$2:L$401,$U148)))</f>
        <v/>
      </c>
      <c r="M148" s="7">
        <f>IF($U148="","",IF(INDEX('Per Invoice'!M$2:M$401,$U148)="","",INDEX('Per Invoice'!M$2:M$401,$U148)))</f>
        <v/>
      </c>
      <c r="N148">
        <f>IF($U148="","",IF(INDEX('Per Invoice'!N$2:N$401,$U148)="","",INDEX('Per Invoice'!N$2:N$401,$U148)))</f>
        <v/>
      </c>
      <c r="O148" s="7">
        <f>IF($U148="","",IF(INDEX('Per Invoice'!O$2:O$401,$U148)="","",INDEX('Per Invoice'!O$2:O$401,$U148)))</f>
        <v/>
      </c>
      <c r="P148" s="7">
        <f>IF($U148="","",IF(INDEX('Per Invoice'!P$2:P$401,$U148)="","",INDEX('Per Invoice'!P$2:P$401,$U148)))</f>
        <v/>
      </c>
      <c r="Q148" s="7">
        <f>IF($U148="","",IF(INDEX('Per Invoice'!Q$2:Q$401,$U148)="","",INDEX('Per Invoice'!Q$2:Q$401,$U148)))</f>
        <v/>
      </c>
      <c r="R148" s="7">
        <f>IF($U148="","",IF(INDEX('Per Invoice'!R$2:R$401,$U148)="","",INDEX('Per Invoice'!R$2:R$401,$U148)))</f>
        <v/>
      </c>
      <c r="S148" s="7">
        <f>IF($U148="","",IF(INDEX('Per Invoice'!S$2:S$401,$U148)="","",INDEX('Per Invoice'!S$2:S$401,$U148)))</f>
        <v/>
      </c>
      <c r="T148" s="7">
        <f>IF($U148="","",IF(INDEX('Per Invoice'!T$2:T$401,$U148)="","",INDEX('Per Invoice'!T$2:T$401,$U148)))</f>
        <v/>
      </c>
      <c r="U148" s="16">
        <f>IFERROR(MATCH(Settings!$C$27&amp;"|"&amp;ROWS($U$2:$U148),'Per Invoice'!$V$2:$V$401,0),"")</f>
        <v/>
      </c>
    </row>
    <row r="149">
      <c r="A149">
        <f>IF($U149="","",IF(INDEX('Per Invoice'!A$2:A$401,$U149)="","",INDEX('Per Invoice'!A$2:A$401,$U149)))</f>
        <v/>
      </c>
      <c r="B149">
        <f>IF($U149="","",IF(INDEX('Per Invoice'!B$2:B$401,$U149)="","",INDEX('Per Invoice'!B$2:B$401,$U149)))</f>
        <v/>
      </c>
      <c r="C149">
        <f>IF($U149="","",IF(INDEX('Per Invoice'!C$2:C$401,$U149)="","",INDEX('Per Invoice'!C$2:C$401,$U149)))</f>
        <v/>
      </c>
      <c r="D149">
        <f>IF($U149="","",IF(INDEX('Per Invoice'!D$2:D$401,$U149)="","",INDEX('Per Invoice'!D$2:D$401,$U149)))</f>
        <v/>
      </c>
      <c r="E149">
        <f>IF($U149="","",IF(INDEX('Per Invoice'!E$2:E$401,$U149)="","",INDEX('Per Invoice'!E$2:E$401,$U149)))</f>
        <v/>
      </c>
      <c r="F149">
        <f>IF($U149="","",IF(INDEX('Per Invoice'!F$2:F$401,$U149)="","",INDEX('Per Invoice'!F$2:F$401,$U149)))</f>
        <v/>
      </c>
      <c r="G149">
        <f>IF($U149="","",IF(INDEX('Per Invoice'!G$2:G$401,$U149)="","",INDEX('Per Invoice'!G$2:G$401,$U149)))</f>
        <v/>
      </c>
      <c r="H149" s="7">
        <f>IF($U149="","",IF(INDEX('Per Invoice'!H$2:H$401,$U149)="","",INDEX('Per Invoice'!H$2:H$401,$U149)))</f>
        <v/>
      </c>
      <c r="I149" s="14">
        <f>IF($U149="","",IF(INDEX('Per Invoice'!I$2:I$401,$U149)="","",INDEX('Per Invoice'!I$2:I$401,$U149)))</f>
        <v/>
      </c>
      <c r="J149">
        <f>IF($U149="","",IF(INDEX('Per Invoice'!J$2:J$401,$U149)="","",INDEX('Per Invoice'!J$2:J$401,$U149)))</f>
        <v/>
      </c>
      <c r="K149">
        <f>IF($U149="","",IF(INDEX('Per Invoice'!K$2:K$401,$U149)="","",INDEX('Per Invoice'!K$2:K$401,$U149)))</f>
        <v/>
      </c>
      <c r="L149" s="7">
        <f>IF($U149="","",IF(INDEX('Per Invoice'!L$2:L$401,$U149)="","",INDEX('Per Invoice'!L$2:L$401,$U149)))</f>
        <v/>
      </c>
      <c r="M149" s="7">
        <f>IF($U149="","",IF(INDEX('Per Invoice'!M$2:M$401,$U149)="","",INDEX('Per Invoice'!M$2:M$401,$U149)))</f>
        <v/>
      </c>
      <c r="N149">
        <f>IF($U149="","",IF(INDEX('Per Invoice'!N$2:N$401,$U149)="","",INDEX('Per Invoice'!N$2:N$401,$U149)))</f>
        <v/>
      </c>
      <c r="O149" s="7">
        <f>IF($U149="","",IF(INDEX('Per Invoice'!O$2:O$401,$U149)="","",INDEX('Per Invoice'!O$2:O$401,$U149)))</f>
        <v/>
      </c>
      <c r="P149" s="7">
        <f>IF($U149="","",IF(INDEX('Per Invoice'!P$2:P$401,$U149)="","",INDEX('Per Invoice'!P$2:P$401,$U149)))</f>
        <v/>
      </c>
      <c r="Q149" s="7">
        <f>IF($U149="","",IF(INDEX('Per Invoice'!Q$2:Q$401,$U149)="","",INDEX('Per Invoice'!Q$2:Q$401,$U149)))</f>
        <v/>
      </c>
      <c r="R149" s="7">
        <f>IF($U149="","",IF(INDEX('Per Invoice'!R$2:R$401,$U149)="","",INDEX('Per Invoice'!R$2:R$401,$U149)))</f>
        <v/>
      </c>
      <c r="S149" s="7">
        <f>IF($U149="","",IF(INDEX('Per Invoice'!S$2:S$401,$U149)="","",INDEX('Per Invoice'!S$2:S$401,$U149)))</f>
        <v/>
      </c>
      <c r="T149" s="7">
        <f>IF($U149="","",IF(INDEX('Per Invoice'!T$2:T$401,$U149)="","",INDEX('Per Invoice'!T$2:T$401,$U149)))</f>
        <v/>
      </c>
      <c r="U149" s="16">
        <f>IFERROR(MATCH(Settings!$C$27&amp;"|"&amp;ROWS($U$2:$U149),'Per Invoice'!$V$2:$V$401,0),"")</f>
        <v/>
      </c>
    </row>
    <row r="150">
      <c r="A150">
        <f>IF($U150="","",IF(INDEX('Per Invoice'!A$2:A$401,$U150)="","",INDEX('Per Invoice'!A$2:A$401,$U150)))</f>
        <v/>
      </c>
      <c r="B150">
        <f>IF($U150="","",IF(INDEX('Per Invoice'!B$2:B$401,$U150)="","",INDEX('Per Invoice'!B$2:B$401,$U150)))</f>
        <v/>
      </c>
      <c r="C150">
        <f>IF($U150="","",IF(INDEX('Per Invoice'!C$2:C$401,$U150)="","",INDEX('Per Invoice'!C$2:C$401,$U150)))</f>
        <v/>
      </c>
      <c r="D150">
        <f>IF($U150="","",IF(INDEX('Per Invoice'!D$2:D$401,$U150)="","",INDEX('Per Invoice'!D$2:D$401,$U150)))</f>
        <v/>
      </c>
      <c r="E150">
        <f>IF($U150="","",IF(INDEX('Per Invoice'!E$2:E$401,$U150)="","",INDEX('Per Invoice'!E$2:E$401,$U150)))</f>
        <v/>
      </c>
      <c r="F150">
        <f>IF($U150="","",IF(INDEX('Per Invoice'!F$2:F$401,$U150)="","",INDEX('Per Invoice'!F$2:F$401,$U150)))</f>
        <v/>
      </c>
      <c r="G150">
        <f>IF($U150="","",IF(INDEX('Per Invoice'!G$2:G$401,$U150)="","",INDEX('Per Invoice'!G$2:G$401,$U150)))</f>
        <v/>
      </c>
      <c r="H150" s="7">
        <f>IF($U150="","",IF(INDEX('Per Invoice'!H$2:H$401,$U150)="","",INDEX('Per Invoice'!H$2:H$401,$U150)))</f>
        <v/>
      </c>
      <c r="I150" s="14">
        <f>IF($U150="","",IF(INDEX('Per Invoice'!I$2:I$401,$U150)="","",INDEX('Per Invoice'!I$2:I$401,$U150)))</f>
        <v/>
      </c>
      <c r="J150">
        <f>IF($U150="","",IF(INDEX('Per Invoice'!J$2:J$401,$U150)="","",INDEX('Per Invoice'!J$2:J$401,$U150)))</f>
        <v/>
      </c>
      <c r="K150">
        <f>IF($U150="","",IF(INDEX('Per Invoice'!K$2:K$401,$U150)="","",INDEX('Per Invoice'!K$2:K$401,$U150)))</f>
        <v/>
      </c>
      <c r="L150" s="7">
        <f>IF($U150="","",IF(INDEX('Per Invoice'!L$2:L$401,$U150)="","",INDEX('Per Invoice'!L$2:L$401,$U150)))</f>
        <v/>
      </c>
      <c r="M150" s="7">
        <f>IF($U150="","",IF(INDEX('Per Invoice'!M$2:M$401,$U150)="","",INDEX('Per Invoice'!M$2:M$401,$U150)))</f>
        <v/>
      </c>
      <c r="N150">
        <f>IF($U150="","",IF(INDEX('Per Invoice'!N$2:N$401,$U150)="","",INDEX('Per Invoice'!N$2:N$401,$U150)))</f>
        <v/>
      </c>
      <c r="O150" s="7">
        <f>IF($U150="","",IF(INDEX('Per Invoice'!O$2:O$401,$U150)="","",INDEX('Per Invoice'!O$2:O$401,$U150)))</f>
        <v/>
      </c>
      <c r="P150" s="7">
        <f>IF($U150="","",IF(INDEX('Per Invoice'!P$2:P$401,$U150)="","",INDEX('Per Invoice'!P$2:P$401,$U150)))</f>
        <v/>
      </c>
      <c r="Q150" s="7">
        <f>IF($U150="","",IF(INDEX('Per Invoice'!Q$2:Q$401,$U150)="","",INDEX('Per Invoice'!Q$2:Q$401,$U150)))</f>
        <v/>
      </c>
      <c r="R150" s="7">
        <f>IF($U150="","",IF(INDEX('Per Invoice'!R$2:R$401,$U150)="","",INDEX('Per Invoice'!R$2:R$401,$U150)))</f>
        <v/>
      </c>
      <c r="S150" s="7">
        <f>IF($U150="","",IF(INDEX('Per Invoice'!S$2:S$401,$U150)="","",INDEX('Per Invoice'!S$2:S$401,$U150)))</f>
        <v/>
      </c>
      <c r="T150" s="7">
        <f>IF($U150="","",IF(INDEX('Per Invoice'!T$2:T$401,$U150)="","",INDEX('Per Invoice'!T$2:T$401,$U150)))</f>
        <v/>
      </c>
      <c r="U150" s="16">
        <f>IFERROR(MATCH(Settings!$C$27&amp;"|"&amp;ROWS($U$2:$U150),'Per Invoice'!$V$2:$V$401,0),"")</f>
        <v/>
      </c>
    </row>
    <row r="151">
      <c r="A151">
        <f>IF($U151="","",IF(INDEX('Per Invoice'!A$2:A$401,$U151)="","",INDEX('Per Invoice'!A$2:A$401,$U151)))</f>
        <v/>
      </c>
      <c r="B151">
        <f>IF($U151="","",IF(INDEX('Per Invoice'!B$2:B$401,$U151)="","",INDEX('Per Invoice'!B$2:B$401,$U151)))</f>
        <v/>
      </c>
      <c r="C151">
        <f>IF($U151="","",IF(INDEX('Per Invoice'!C$2:C$401,$U151)="","",INDEX('Per Invoice'!C$2:C$401,$U151)))</f>
        <v/>
      </c>
      <c r="D151">
        <f>IF($U151="","",IF(INDEX('Per Invoice'!D$2:D$401,$U151)="","",INDEX('Per Invoice'!D$2:D$401,$U151)))</f>
        <v/>
      </c>
      <c r="E151">
        <f>IF($U151="","",IF(INDEX('Per Invoice'!E$2:E$401,$U151)="","",INDEX('Per Invoice'!E$2:E$401,$U151)))</f>
        <v/>
      </c>
      <c r="F151">
        <f>IF($U151="","",IF(INDEX('Per Invoice'!F$2:F$401,$U151)="","",INDEX('Per Invoice'!F$2:F$401,$U151)))</f>
        <v/>
      </c>
      <c r="G151">
        <f>IF($U151="","",IF(INDEX('Per Invoice'!G$2:G$401,$U151)="","",INDEX('Per Invoice'!G$2:G$401,$U151)))</f>
        <v/>
      </c>
      <c r="H151" s="7">
        <f>IF($U151="","",IF(INDEX('Per Invoice'!H$2:H$401,$U151)="","",INDEX('Per Invoice'!H$2:H$401,$U151)))</f>
        <v/>
      </c>
      <c r="I151" s="14">
        <f>IF($U151="","",IF(INDEX('Per Invoice'!I$2:I$401,$U151)="","",INDEX('Per Invoice'!I$2:I$401,$U151)))</f>
        <v/>
      </c>
      <c r="J151">
        <f>IF($U151="","",IF(INDEX('Per Invoice'!J$2:J$401,$U151)="","",INDEX('Per Invoice'!J$2:J$401,$U151)))</f>
        <v/>
      </c>
      <c r="K151">
        <f>IF($U151="","",IF(INDEX('Per Invoice'!K$2:K$401,$U151)="","",INDEX('Per Invoice'!K$2:K$401,$U151)))</f>
        <v/>
      </c>
      <c r="L151" s="7">
        <f>IF($U151="","",IF(INDEX('Per Invoice'!L$2:L$401,$U151)="","",INDEX('Per Invoice'!L$2:L$401,$U151)))</f>
        <v/>
      </c>
      <c r="M151" s="7">
        <f>IF($U151="","",IF(INDEX('Per Invoice'!M$2:M$401,$U151)="","",INDEX('Per Invoice'!M$2:M$401,$U151)))</f>
        <v/>
      </c>
      <c r="N151">
        <f>IF($U151="","",IF(INDEX('Per Invoice'!N$2:N$401,$U151)="","",INDEX('Per Invoice'!N$2:N$401,$U151)))</f>
        <v/>
      </c>
      <c r="O151" s="7">
        <f>IF($U151="","",IF(INDEX('Per Invoice'!O$2:O$401,$U151)="","",INDEX('Per Invoice'!O$2:O$401,$U151)))</f>
        <v/>
      </c>
      <c r="P151" s="7">
        <f>IF($U151="","",IF(INDEX('Per Invoice'!P$2:P$401,$U151)="","",INDEX('Per Invoice'!P$2:P$401,$U151)))</f>
        <v/>
      </c>
      <c r="Q151" s="7">
        <f>IF($U151="","",IF(INDEX('Per Invoice'!Q$2:Q$401,$U151)="","",INDEX('Per Invoice'!Q$2:Q$401,$U151)))</f>
        <v/>
      </c>
      <c r="R151" s="7">
        <f>IF($U151="","",IF(INDEX('Per Invoice'!R$2:R$401,$U151)="","",INDEX('Per Invoice'!R$2:R$401,$U151)))</f>
        <v/>
      </c>
      <c r="S151" s="7">
        <f>IF($U151="","",IF(INDEX('Per Invoice'!S$2:S$401,$U151)="","",INDEX('Per Invoice'!S$2:S$401,$U151)))</f>
        <v/>
      </c>
      <c r="T151" s="7">
        <f>IF($U151="","",IF(INDEX('Per Invoice'!T$2:T$401,$U151)="","",INDEX('Per Invoice'!T$2:T$401,$U151)))</f>
        <v/>
      </c>
      <c r="U151" s="16">
        <f>IFERROR(MATCH(Settings!$C$27&amp;"|"&amp;ROWS($U$2:$U151),'Per Invoice'!$V$2:$V$401,0),"")</f>
        <v/>
      </c>
    </row>
    <row r="152">
      <c r="A152">
        <f>IF($U152="","",IF(INDEX('Per Invoice'!A$2:A$401,$U152)="","",INDEX('Per Invoice'!A$2:A$401,$U152)))</f>
        <v/>
      </c>
      <c r="B152">
        <f>IF($U152="","",IF(INDEX('Per Invoice'!B$2:B$401,$U152)="","",INDEX('Per Invoice'!B$2:B$401,$U152)))</f>
        <v/>
      </c>
      <c r="C152">
        <f>IF($U152="","",IF(INDEX('Per Invoice'!C$2:C$401,$U152)="","",INDEX('Per Invoice'!C$2:C$401,$U152)))</f>
        <v/>
      </c>
      <c r="D152">
        <f>IF($U152="","",IF(INDEX('Per Invoice'!D$2:D$401,$U152)="","",INDEX('Per Invoice'!D$2:D$401,$U152)))</f>
        <v/>
      </c>
      <c r="E152">
        <f>IF($U152="","",IF(INDEX('Per Invoice'!E$2:E$401,$U152)="","",INDEX('Per Invoice'!E$2:E$401,$U152)))</f>
        <v/>
      </c>
      <c r="F152">
        <f>IF($U152="","",IF(INDEX('Per Invoice'!F$2:F$401,$U152)="","",INDEX('Per Invoice'!F$2:F$401,$U152)))</f>
        <v/>
      </c>
      <c r="G152">
        <f>IF($U152="","",IF(INDEX('Per Invoice'!G$2:G$401,$U152)="","",INDEX('Per Invoice'!G$2:G$401,$U152)))</f>
        <v/>
      </c>
      <c r="H152" s="7">
        <f>IF($U152="","",IF(INDEX('Per Invoice'!H$2:H$401,$U152)="","",INDEX('Per Invoice'!H$2:H$401,$U152)))</f>
        <v/>
      </c>
      <c r="I152" s="14">
        <f>IF($U152="","",IF(INDEX('Per Invoice'!I$2:I$401,$U152)="","",INDEX('Per Invoice'!I$2:I$401,$U152)))</f>
        <v/>
      </c>
      <c r="J152">
        <f>IF($U152="","",IF(INDEX('Per Invoice'!J$2:J$401,$U152)="","",INDEX('Per Invoice'!J$2:J$401,$U152)))</f>
        <v/>
      </c>
      <c r="K152">
        <f>IF($U152="","",IF(INDEX('Per Invoice'!K$2:K$401,$U152)="","",INDEX('Per Invoice'!K$2:K$401,$U152)))</f>
        <v/>
      </c>
      <c r="L152" s="7">
        <f>IF($U152="","",IF(INDEX('Per Invoice'!L$2:L$401,$U152)="","",INDEX('Per Invoice'!L$2:L$401,$U152)))</f>
        <v/>
      </c>
      <c r="M152" s="7">
        <f>IF($U152="","",IF(INDEX('Per Invoice'!M$2:M$401,$U152)="","",INDEX('Per Invoice'!M$2:M$401,$U152)))</f>
        <v/>
      </c>
      <c r="N152">
        <f>IF($U152="","",IF(INDEX('Per Invoice'!N$2:N$401,$U152)="","",INDEX('Per Invoice'!N$2:N$401,$U152)))</f>
        <v/>
      </c>
      <c r="O152" s="7">
        <f>IF($U152="","",IF(INDEX('Per Invoice'!O$2:O$401,$U152)="","",INDEX('Per Invoice'!O$2:O$401,$U152)))</f>
        <v/>
      </c>
      <c r="P152" s="7">
        <f>IF($U152="","",IF(INDEX('Per Invoice'!P$2:P$401,$U152)="","",INDEX('Per Invoice'!P$2:P$401,$U152)))</f>
        <v/>
      </c>
      <c r="Q152" s="7">
        <f>IF($U152="","",IF(INDEX('Per Invoice'!Q$2:Q$401,$U152)="","",INDEX('Per Invoice'!Q$2:Q$401,$U152)))</f>
        <v/>
      </c>
      <c r="R152" s="7">
        <f>IF($U152="","",IF(INDEX('Per Invoice'!R$2:R$401,$U152)="","",INDEX('Per Invoice'!R$2:R$401,$U152)))</f>
        <v/>
      </c>
      <c r="S152" s="7">
        <f>IF($U152="","",IF(INDEX('Per Invoice'!S$2:S$401,$U152)="","",INDEX('Per Invoice'!S$2:S$401,$U152)))</f>
        <v/>
      </c>
      <c r="T152" s="7">
        <f>IF($U152="","",IF(INDEX('Per Invoice'!T$2:T$401,$U152)="","",INDEX('Per Invoice'!T$2:T$401,$U152)))</f>
        <v/>
      </c>
      <c r="U152" s="16">
        <f>IFERROR(MATCH(Settings!$C$27&amp;"|"&amp;ROWS($U$2:$U152),'Per Invoice'!$V$2:$V$401,0),"")</f>
        <v/>
      </c>
    </row>
    <row r="153">
      <c r="A153">
        <f>IF($U153="","",IF(INDEX('Per Invoice'!A$2:A$401,$U153)="","",INDEX('Per Invoice'!A$2:A$401,$U153)))</f>
        <v/>
      </c>
      <c r="B153">
        <f>IF($U153="","",IF(INDEX('Per Invoice'!B$2:B$401,$U153)="","",INDEX('Per Invoice'!B$2:B$401,$U153)))</f>
        <v/>
      </c>
      <c r="C153">
        <f>IF($U153="","",IF(INDEX('Per Invoice'!C$2:C$401,$U153)="","",INDEX('Per Invoice'!C$2:C$401,$U153)))</f>
        <v/>
      </c>
      <c r="D153">
        <f>IF($U153="","",IF(INDEX('Per Invoice'!D$2:D$401,$U153)="","",INDEX('Per Invoice'!D$2:D$401,$U153)))</f>
        <v/>
      </c>
      <c r="E153">
        <f>IF($U153="","",IF(INDEX('Per Invoice'!E$2:E$401,$U153)="","",INDEX('Per Invoice'!E$2:E$401,$U153)))</f>
        <v/>
      </c>
      <c r="F153">
        <f>IF($U153="","",IF(INDEX('Per Invoice'!F$2:F$401,$U153)="","",INDEX('Per Invoice'!F$2:F$401,$U153)))</f>
        <v/>
      </c>
      <c r="G153">
        <f>IF($U153="","",IF(INDEX('Per Invoice'!G$2:G$401,$U153)="","",INDEX('Per Invoice'!G$2:G$401,$U153)))</f>
        <v/>
      </c>
      <c r="H153" s="7">
        <f>IF($U153="","",IF(INDEX('Per Invoice'!H$2:H$401,$U153)="","",INDEX('Per Invoice'!H$2:H$401,$U153)))</f>
        <v/>
      </c>
      <c r="I153" s="14">
        <f>IF($U153="","",IF(INDEX('Per Invoice'!I$2:I$401,$U153)="","",INDEX('Per Invoice'!I$2:I$401,$U153)))</f>
        <v/>
      </c>
      <c r="J153">
        <f>IF($U153="","",IF(INDEX('Per Invoice'!J$2:J$401,$U153)="","",INDEX('Per Invoice'!J$2:J$401,$U153)))</f>
        <v/>
      </c>
      <c r="K153">
        <f>IF($U153="","",IF(INDEX('Per Invoice'!K$2:K$401,$U153)="","",INDEX('Per Invoice'!K$2:K$401,$U153)))</f>
        <v/>
      </c>
      <c r="L153" s="7">
        <f>IF($U153="","",IF(INDEX('Per Invoice'!L$2:L$401,$U153)="","",INDEX('Per Invoice'!L$2:L$401,$U153)))</f>
        <v/>
      </c>
      <c r="M153" s="7">
        <f>IF($U153="","",IF(INDEX('Per Invoice'!M$2:M$401,$U153)="","",INDEX('Per Invoice'!M$2:M$401,$U153)))</f>
        <v/>
      </c>
      <c r="N153">
        <f>IF($U153="","",IF(INDEX('Per Invoice'!N$2:N$401,$U153)="","",INDEX('Per Invoice'!N$2:N$401,$U153)))</f>
        <v/>
      </c>
      <c r="O153" s="7">
        <f>IF($U153="","",IF(INDEX('Per Invoice'!O$2:O$401,$U153)="","",INDEX('Per Invoice'!O$2:O$401,$U153)))</f>
        <v/>
      </c>
      <c r="P153" s="7">
        <f>IF($U153="","",IF(INDEX('Per Invoice'!P$2:P$401,$U153)="","",INDEX('Per Invoice'!P$2:P$401,$U153)))</f>
        <v/>
      </c>
      <c r="Q153" s="7">
        <f>IF($U153="","",IF(INDEX('Per Invoice'!Q$2:Q$401,$U153)="","",INDEX('Per Invoice'!Q$2:Q$401,$U153)))</f>
        <v/>
      </c>
      <c r="R153" s="7">
        <f>IF($U153="","",IF(INDEX('Per Invoice'!R$2:R$401,$U153)="","",INDEX('Per Invoice'!R$2:R$401,$U153)))</f>
        <v/>
      </c>
      <c r="S153" s="7">
        <f>IF($U153="","",IF(INDEX('Per Invoice'!S$2:S$401,$U153)="","",INDEX('Per Invoice'!S$2:S$401,$U153)))</f>
        <v/>
      </c>
      <c r="T153" s="7">
        <f>IF($U153="","",IF(INDEX('Per Invoice'!T$2:T$401,$U153)="","",INDEX('Per Invoice'!T$2:T$401,$U153)))</f>
        <v/>
      </c>
      <c r="U153" s="16">
        <f>IFERROR(MATCH(Settings!$C$27&amp;"|"&amp;ROWS($U$2:$U153),'Per Invoice'!$V$2:$V$401,0),"")</f>
        <v/>
      </c>
    </row>
    <row r="154">
      <c r="A154">
        <f>IF($U154="","",IF(INDEX('Per Invoice'!A$2:A$401,$U154)="","",INDEX('Per Invoice'!A$2:A$401,$U154)))</f>
        <v/>
      </c>
      <c r="B154">
        <f>IF($U154="","",IF(INDEX('Per Invoice'!B$2:B$401,$U154)="","",INDEX('Per Invoice'!B$2:B$401,$U154)))</f>
        <v/>
      </c>
      <c r="C154">
        <f>IF($U154="","",IF(INDEX('Per Invoice'!C$2:C$401,$U154)="","",INDEX('Per Invoice'!C$2:C$401,$U154)))</f>
        <v/>
      </c>
      <c r="D154">
        <f>IF($U154="","",IF(INDEX('Per Invoice'!D$2:D$401,$U154)="","",INDEX('Per Invoice'!D$2:D$401,$U154)))</f>
        <v/>
      </c>
      <c r="E154">
        <f>IF($U154="","",IF(INDEX('Per Invoice'!E$2:E$401,$U154)="","",INDEX('Per Invoice'!E$2:E$401,$U154)))</f>
        <v/>
      </c>
      <c r="F154">
        <f>IF($U154="","",IF(INDEX('Per Invoice'!F$2:F$401,$U154)="","",INDEX('Per Invoice'!F$2:F$401,$U154)))</f>
        <v/>
      </c>
      <c r="G154">
        <f>IF($U154="","",IF(INDEX('Per Invoice'!G$2:G$401,$U154)="","",INDEX('Per Invoice'!G$2:G$401,$U154)))</f>
        <v/>
      </c>
      <c r="H154" s="7">
        <f>IF($U154="","",IF(INDEX('Per Invoice'!H$2:H$401,$U154)="","",INDEX('Per Invoice'!H$2:H$401,$U154)))</f>
        <v/>
      </c>
      <c r="I154" s="14">
        <f>IF($U154="","",IF(INDEX('Per Invoice'!I$2:I$401,$U154)="","",INDEX('Per Invoice'!I$2:I$401,$U154)))</f>
        <v/>
      </c>
      <c r="J154">
        <f>IF($U154="","",IF(INDEX('Per Invoice'!J$2:J$401,$U154)="","",INDEX('Per Invoice'!J$2:J$401,$U154)))</f>
        <v/>
      </c>
      <c r="K154">
        <f>IF($U154="","",IF(INDEX('Per Invoice'!K$2:K$401,$U154)="","",INDEX('Per Invoice'!K$2:K$401,$U154)))</f>
        <v/>
      </c>
      <c r="L154" s="7">
        <f>IF($U154="","",IF(INDEX('Per Invoice'!L$2:L$401,$U154)="","",INDEX('Per Invoice'!L$2:L$401,$U154)))</f>
        <v/>
      </c>
      <c r="M154" s="7">
        <f>IF($U154="","",IF(INDEX('Per Invoice'!M$2:M$401,$U154)="","",INDEX('Per Invoice'!M$2:M$401,$U154)))</f>
        <v/>
      </c>
      <c r="N154">
        <f>IF($U154="","",IF(INDEX('Per Invoice'!N$2:N$401,$U154)="","",INDEX('Per Invoice'!N$2:N$401,$U154)))</f>
        <v/>
      </c>
      <c r="O154" s="7">
        <f>IF($U154="","",IF(INDEX('Per Invoice'!O$2:O$401,$U154)="","",INDEX('Per Invoice'!O$2:O$401,$U154)))</f>
        <v/>
      </c>
      <c r="P154" s="7">
        <f>IF($U154="","",IF(INDEX('Per Invoice'!P$2:P$401,$U154)="","",INDEX('Per Invoice'!P$2:P$401,$U154)))</f>
        <v/>
      </c>
      <c r="Q154" s="7">
        <f>IF($U154="","",IF(INDEX('Per Invoice'!Q$2:Q$401,$U154)="","",INDEX('Per Invoice'!Q$2:Q$401,$U154)))</f>
        <v/>
      </c>
      <c r="R154" s="7">
        <f>IF($U154="","",IF(INDEX('Per Invoice'!R$2:R$401,$U154)="","",INDEX('Per Invoice'!R$2:R$401,$U154)))</f>
        <v/>
      </c>
      <c r="S154" s="7">
        <f>IF($U154="","",IF(INDEX('Per Invoice'!S$2:S$401,$U154)="","",INDEX('Per Invoice'!S$2:S$401,$U154)))</f>
        <v/>
      </c>
      <c r="T154" s="7">
        <f>IF($U154="","",IF(INDEX('Per Invoice'!T$2:T$401,$U154)="","",INDEX('Per Invoice'!T$2:T$401,$U154)))</f>
        <v/>
      </c>
      <c r="U154" s="16">
        <f>IFERROR(MATCH(Settings!$C$27&amp;"|"&amp;ROWS($U$2:$U154),'Per Invoice'!$V$2:$V$401,0),"")</f>
        <v/>
      </c>
    </row>
    <row r="155">
      <c r="A155">
        <f>IF($U155="","",IF(INDEX('Per Invoice'!A$2:A$401,$U155)="","",INDEX('Per Invoice'!A$2:A$401,$U155)))</f>
        <v/>
      </c>
      <c r="B155">
        <f>IF($U155="","",IF(INDEX('Per Invoice'!B$2:B$401,$U155)="","",INDEX('Per Invoice'!B$2:B$401,$U155)))</f>
        <v/>
      </c>
      <c r="C155">
        <f>IF($U155="","",IF(INDEX('Per Invoice'!C$2:C$401,$U155)="","",INDEX('Per Invoice'!C$2:C$401,$U155)))</f>
        <v/>
      </c>
      <c r="D155">
        <f>IF($U155="","",IF(INDEX('Per Invoice'!D$2:D$401,$U155)="","",INDEX('Per Invoice'!D$2:D$401,$U155)))</f>
        <v/>
      </c>
      <c r="E155">
        <f>IF($U155="","",IF(INDEX('Per Invoice'!E$2:E$401,$U155)="","",INDEX('Per Invoice'!E$2:E$401,$U155)))</f>
        <v/>
      </c>
      <c r="F155">
        <f>IF($U155="","",IF(INDEX('Per Invoice'!F$2:F$401,$U155)="","",INDEX('Per Invoice'!F$2:F$401,$U155)))</f>
        <v/>
      </c>
      <c r="G155">
        <f>IF($U155="","",IF(INDEX('Per Invoice'!G$2:G$401,$U155)="","",INDEX('Per Invoice'!G$2:G$401,$U155)))</f>
        <v/>
      </c>
      <c r="H155" s="7">
        <f>IF($U155="","",IF(INDEX('Per Invoice'!H$2:H$401,$U155)="","",INDEX('Per Invoice'!H$2:H$401,$U155)))</f>
        <v/>
      </c>
      <c r="I155" s="14">
        <f>IF($U155="","",IF(INDEX('Per Invoice'!I$2:I$401,$U155)="","",INDEX('Per Invoice'!I$2:I$401,$U155)))</f>
        <v/>
      </c>
      <c r="J155">
        <f>IF($U155="","",IF(INDEX('Per Invoice'!J$2:J$401,$U155)="","",INDEX('Per Invoice'!J$2:J$401,$U155)))</f>
        <v/>
      </c>
      <c r="K155">
        <f>IF($U155="","",IF(INDEX('Per Invoice'!K$2:K$401,$U155)="","",INDEX('Per Invoice'!K$2:K$401,$U155)))</f>
        <v/>
      </c>
      <c r="L155" s="7">
        <f>IF($U155="","",IF(INDEX('Per Invoice'!L$2:L$401,$U155)="","",INDEX('Per Invoice'!L$2:L$401,$U155)))</f>
        <v/>
      </c>
      <c r="M155" s="7">
        <f>IF($U155="","",IF(INDEX('Per Invoice'!M$2:M$401,$U155)="","",INDEX('Per Invoice'!M$2:M$401,$U155)))</f>
        <v/>
      </c>
      <c r="N155">
        <f>IF($U155="","",IF(INDEX('Per Invoice'!N$2:N$401,$U155)="","",INDEX('Per Invoice'!N$2:N$401,$U155)))</f>
        <v/>
      </c>
      <c r="O155" s="7">
        <f>IF($U155="","",IF(INDEX('Per Invoice'!O$2:O$401,$U155)="","",INDEX('Per Invoice'!O$2:O$401,$U155)))</f>
        <v/>
      </c>
      <c r="P155" s="7">
        <f>IF($U155="","",IF(INDEX('Per Invoice'!P$2:P$401,$U155)="","",INDEX('Per Invoice'!P$2:P$401,$U155)))</f>
        <v/>
      </c>
      <c r="Q155" s="7">
        <f>IF($U155="","",IF(INDEX('Per Invoice'!Q$2:Q$401,$U155)="","",INDEX('Per Invoice'!Q$2:Q$401,$U155)))</f>
        <v/>
      </c>
      <c r="R155" s="7">
        <f>IF($U155="","",IF(INDEX('Per Invoice'!R$2:R$401,$U155)="","",INDEX('Per Invoice'!R$2:R$401,$U155)))</f>
        <v/>
      </c>
      <c r="S155" s="7">
        <f>IF($U155="","",IF(INDEX('Per Invoice'!S$2:S$401,$U155)="","",INDEX('Per Invoice'!S$2:S$401,$U155)))</f>
        <v/>
      </c>
      <c r="T155" s="7">
        <f>IF($U155="","",IF(INDEX('Per Invoice'!T$2:T$401,$U155)="","",INDEX('Per Invoice'!T$2:T$401,$U155)))</f>
        <v/>
      </c>
      <c r="U155" s="16">
        <f>IFERROR(MATCH(Settings!$C$27&amp;"|"&amp;ROWS($U$2:$U155),'Per Invoice'!$V$2:$V$401,0),"")</f>
        <v/>
      </c>
    </row>
    <row r="156">
      <c r="A156">
        <f>IF($U156="","",IF(INDEX('Per Invoice'!A$2:A$401,$U156)="","",INDEX('Per Invoice'!A$2:A$401,$U156)))</f>
        <v/>
      </c>
      <c r="B156">
        <f>IF($U156="","",IF(INDEX('Per Invoice'!B$2:B$401,$U156)="","",INDEX('Per Invoice'!B$2:B$401,$U156)))</f>
        <v/>
      </c>
      <c r="C156">
        <f>IF($U156="","",IF(INDEX('Per Invoice'!C$2:C$401,$U156)="","",INDEX('Per Invoice'!C$2:C$401,$U156)))</f>
        <v/>
      </c>
      <c r="D156">
        <f>IF($U156="","",IF(INDEX('Per Invoice'!D$2:D$401,$U156)="","",INDEX('Per Invoice'!D$2:D$401,$U156)))</f>
        <v/>
      </c>
      <c r="E156">
        <f>IF($U156="","",IF(INDEX('Per Invoice'!E$2:E$401,$U156)="","",INDEX('Per Invoice'!E$2:E$401,$U156)))</f>
        <v/>
      </c>
      <c r="F156">
        <f>IF($U156="","",IF(INDEX('Per Invoice'!F$2:F$401,$U156)="","",INDEX('Per Invoice'!F$2:F$401,$U156)))</f>
        <v/>
      </c>
      <c r="G156">
        <f>IF($U156="","",IF(INDEX('Per Invoice'!G$2:G$401,$U156)="","",INDEX('Per Invoice'!G$2:G$401,$U156)))</f>
        <v/>
      </c>
      <c r="H156" s="7">
        <f>IF($U156="","",IF(INDEX('Per Invoice'!H$2:H$401,$U156)="","",INDEX('Per Invoice'!H$2:H$401,$U156)))</f>
        <v/>
      </c>
      <c r="I156" s="14">
        <f>IF($U156="","",IF(INDEX('Per Invoice'!I$2:I$401,$U156)="","",INDEX('Per Invoice'!I$2:I$401,$U156)))</f>
        <v/>
      </c>
      <c r="J156">
        <f>IF($U156="","",IF(INDEX('Per Invoice'!J$2:J$401,$U156)="","",INDEX('Per Invoice'!J$2:J$401,$U156)))</f>
        <v/>
      </c>
      <c r="K156">
        <f>IF($U156="","",IF(INDEX('Per Invoice'!K$2:K$401,$U156)="","",INDEX('Per Invoice'!K$2:K$401,$U156)))</f>
        <v/>
      </c>
      <c r="L156" s="7">
        <f>IF($U156="","",IF(INDEX('Per Invoice'!L$2:L$401,$U156)="","",INDEX('Per Invoice'!L$2:L$401,$U156)))</f>
        <v/>
      </c>
      <c r="M156" s="7">
        <f>IF($U156="","",IF(INDEX('Per Invoice'!M$2:M$401,$U156)="","",INDEX('Per Invoice'!M$2:M$401,$U156)))</f>
        <v/>
      </c>
      <c r="N156">
        <f>IF($U156="","",IF(INDEX('Per Invoice'!N$2:N$401,$U156)="","",INDEX('Per Invoice'!N$2:N$401,$U156)))</f>
        <v/>
      </c>
      <c r="O156" s="7">
        <f>IF($U156="","",IF(INDEX('Per Invoice'!O$2:O$401,$U156)="","",INDEX('Per Invoice'!O$2:O$401,$U156)))</f>
        <v/>
      </c>
      <c r="P156" s="7">
        <f>IF($U156="","",IF(INDEX('Per Invoice'!P$2:P$401,$U156)="","",INDEX('Per Invoice'!P$2:P$401,$U156)))</f>
        <v/>
      </c>
      <c r="Q156" s="7">
        <f>IF($U156="","",IF(INDEX('Per Invoice'!Q$2:Q$401,$U156)="","",INDEX('Per Invoice'!Q$2:Q$401,$U156)))</f>
        <v/>
      </c>
      <c r="R156" s="7">
        <f>IF($U156="","",IF(INDEX('Per Invoice'!R$2:R$401,$U156)="","",INDEX('Per Invoice'!R$2:R$401,$U156)))</f>
        <v/>
      </c>
      <c r="S156" s="7">
        <f>IF($U156="","",IF(INDEX('Per Invoice'!S$2:S$401,$U156)="","",INDEX('Per Invoice'!S$2:S$401,$U156)))</f>
        <v/>
      </c>
      <c r="T156" s="7">
        <f>IF($U156="","",IF(INDEX('Per Invoice'!T$2:T$401,$U156)="","",INDEX('Per Invoice'!T$2:T$401,$U156)))</f>
        <v/>
      </c>
      <c r="U156" s="16">
        <f>IFERROR(MATCH(Settings!$C$27&amp;"|"&amp;ROWS($U$2:$U156),'Per Invoice'!$V$2:$V$401,0),"")</f>
        <v/>
      </c>
    </row>
    <row r="157">
      <c r="A157">
        <f>IF($U157="","",IF(INDEX('Per Invoice'!A$2:A$401,$U157)="","",INDEX('Per Invoice'!A$2:A$401,$U157)))</f>
        <v/>
      </c>
      <c r="B157">
        <f>IF($U157="","",IF(INDEX('Per Invoice'!B$2:B$401,$U157)="","",INDEX('Per Invoice'!B$2:B$401,$U157)))</f>
        <v/>
      </c>
      <c r="C157">
        <f>IF($U157="","",IF(INDEX('Per Invoice'!C$2:C$401,$U157)="","",INDEX('Per Invoice'!C$2:C$401,$U157)))</f>
        <v/>
      </c>
      <c r="D157">
        <f>IF($U157="","",IF(INDEX('Per Invoice'!D$2:D$401,$U157)="","",INDEX('Per Invoice'!D$2:D$401,$U157)))</f>
        <v/>
      </c>
      <c r="E157">
        <f>IF($U157="","",IF(INDEX('Per Invoice'!E$2:E$401,$U157)="","",INDEX('Per Invoice'!E$2:E$401,$U157)))</f>
        <v/>
      </c>
      <c r="F157">
        <f>IF($U157="","",IF(INDEX('Per Invoice'!F$2:F$401,$U157)="","",INDEX('Per Invoice'!F$2:F$401,$U157)))</f>
        <v/>
      </c>
      <c r="G157">
        <f>IF($U157="","",IF(INDEX('Per Invoice'!G$2:G$401,$U157)="","",INDEX('Per Invoice'!G$2:G$401,$U157)))</f>
        <v/>
      </c>
      <c r="H157" s="7">
        <f>IF($U157="","",IF(INDEX('Per Invoice'!H$2:H$401,$U157)="","",INDEX('Per Invoice'!H$2:H$401,$U157)))</f>
        <v/>
      </c>
      <c r="I157" s="14">
        <f>IF($U157="","",IF(INDEX('Per Invoice'!I$2:I$401,$U157)="","",INDEX('Per Invoice'!I$2:I$401,$U157)))</f>
        <v/>
      </c>
      <c r="J157">
        <f>IF($U157="","",IF(INDEX('Per Invoice'!J$2:J$401,$U157)="","",INDEX('Per Invoice'!J$2:J$401,$U157)))</f>
        <v/>
      </c>
      <c r="K157">
        <f>IF($U157="","",IF(INDEX('Per Invoice'!K$2:K$401,$U157)="","",INDEX('Per Invoice'!K$2:K$401,$U157)))</f>
        <v/>
      </c>
      <c r="L157" s="7">
        <f>IF($U157="","",IF(INDEX('Per Invoice'!L$2:L$401,$U157)="","",INDEX('Per Invoice'!L$2:L$401,$U157)))</f>
        <v/>
      </c>
      <c r="M157" s="7">
        <f>IF($U157="","",IF(INDEX('Per Invoice'!M$2:M$401,$U157)="","",INDEX('Per Invoice'!M$2:M$401,$U157)))</f>
        <v/>
      </c>
      <c r="N157">
        <f>IF($U157="","",IF(INDEX('Per Invoice'!N$2:N$401,$U157)="","",INDEX('Per Invoice'!N$2:N$401,$U157)))</f>
        <v/>
      </c>
      <c r="O157" s="7">
        <f>IF($U157="","",IF(INDEX('Per Invoice'!O$2:O$401,$U157)="","",INDEX('Per Invoice'!O$2:O$401,$U157)))</f>
        <v/>
      </c>
      <c r="P157" s="7">
        <f>IF($U157="","",IF(INDEX('Per Invoice'!P$2:P$401,$U157)="","",INDEX('Per Invoice'!P$2:P$401,$U157)))</f>
        <v/>
      </c>
      <c r="Q157" s="7">
        <f>IF($U157="","",IF(INDEX('Per Invoice'!Q$2:Q$401,$U157)="","",INDEX('Per Invoice'!Q$2:Q$401,$U157)))</f>
        <v/>
      </c>
      <c r="R157" s="7">
        <f>IF($U157="","",IF(INDEX('Per Invoice'!R$2:R$401,$U157)="","",INDEX('Per Invoice'!R$2:R$401,$U157)))</f>
        <v/>
      </c>
      <c r="S157" s="7">
        <f>IF($U157="","",IF(INDEX('Per Invoice'!S$2:S$401,$U157)="","",INDEX('Per Invoice'!S$2:S$401,$U157)))</f>
        <v/>
      </c>
      <c r="T157" s="7">
        <f>IF($U157="","",IF(INDEX('Per Invoice'!T$2:T$401,$U157)="","",INDEX('Per Invoice'!T$2:T$401,$U157)))</f>
        <v/>
      </c>
      <c r="U157" s="16">
        <f>IFERROR(MATCH(Settings!$C$27&amp;"|"&amp;ROWS($U$2:$U157),'Per Invoice'!$V$2:$V$401,0),"")</f>
        <v/>
      </c>
    </row>
    <row r="158">
      <c r="A158">
        <f>IF($U158="","",IF(INDEX('Per Invoice'!A$2:A$401,$U158)="","",INDEX('Per Invoice'!A$2:A$401,$U158)))</f>
        <v/>
      </c>
      <c r="B158">
        <f>IF($U158="","",IF(INDEX('Per Invoice'!B$2:B$401,$U158)="","",INDEX('Per Invoice'!B$2:B$401,$U158)))</f>
        <v/>
      </c>
      <c r="C158">
        <f>IF($U158="","",IF(INDEX('Per Invoice'!C$2:C$401,$U158)="","",INDEX('Per Invoice'!C$2:C$401,$U158)))</f>
        <v/>
      </c>
      <c r="D158">
        <f>IF($U158="","",IF(INDEX('Per Invoice'!D$2:D$401,$U158)="","",INDEX('Per Invoice'!D$2:D$401,$U158)))</f>
        <v/>
      </c>
      <c r="E158">
        <f>IF($U158="","",IF(INDEX('Per Invoice'!E$2:E$401,$U158)="","",INDEX('Per Invoice'!E$2:E$401,$U158)))</f>
        <v/>
      </c>
      <c r="F158">
        <f>IF($U158="","",IF(INDEX('Per Invoice'!F$2:F$401,$U158)="","",INDEX('Per Invoice'!F$2:F$401,$U158)))</f>
        <v/>
      </c>
      <c r="G158">
        <f>IF($U158="","",IF(INDEX('Per Invoice'!G$2:G$401,$U158)="","",INDEX('Per Invoice'!G$2:G$401,$U158)))</f>
        <v/>
      </c>
      <c r="H158" s="7">
        <f>IF($U158="","",IF(INDEX('Per Invoice'!H$2:H$401,$U158)="","",INDEX('Per Invoice'!H$2:H$401,$U158)))</f>
        <v/>
      </c>
      <c r="I158" s="14">
        <f>IF($U158="","",IF(INDEX('Per Invoice'!I$2:I$401,$U158)="","",INDEX('Per Invoice'!I$2:I$401,$U158)))</f>
        <v/>
      </c>
      <c r="J158">
        <f>IF($U158="","",IF(INDEX('Per Invoice'!J$2:J$401,$U158)="","",INDEX('Per Invoice'!J$2:J$401,$U158)))</f>
        <v/>
      </c>
      <c r="K158">
        <f>IF($U158="","",IF(INDEX('Per Invoice'!K$2:K$401,$U158)="","",INDEX('Per Invoice'!K$2:K$401,$U158)))</f>
        <v/>
      </c>
      <c r="L158" s="7">
        <f>IF($U158="","",IF(INDEX('Per Invoice'!L$2:L$401,$U158)="","",INDEX('Per Invoice'!L$2:L$401,$U158)))</f>
        <v/>
      </c>
      <c r="M158" s="7">
        <f>IF($U158="","",IF(INDEX('Per Invoice'!M$2:M$401,$U158)="","",INDEX('Per Invoice'!M$2:M$401,$U158)))</f>
        <v/>
      </c>
      <c r="N158">
        <f>IF($U158="","",IF(INDEX('Per Invoice'!N$2:N$401,$U158)="","",INDEX('Per Invoice'!N$2:N$401,$U158)))</f>
        <v/>
      </c>
      <c r="O158" s="7">
        <f>IF($U158="","",IF(INDEX('Per Invoice'!O$2:O$401,$U158)="","",INDEX('Per Invoice'!O$2:O$401,$U158)))</f>
        <v/>
      </c>
      <c r="P158" s="7">
        <f>IF($U158="","",IF(INDEX('Per Invoice'!P$2:P$401,$U158)="","",INDEX('Per Invoice'!P$2:P$401,$U158)))</f>
        <v/>
      </c>
      <c r="Q158" s="7">
        <f>IF($U158="","",IF(INDEX('Per Invoice'!Q$2:Q$401,$U158)="","",INDEX('Per Invoice'!Q$2:Q$401,$U158)))</f>
        <v/>
      </c>
      <c r="R158" s="7">
        <f>IF($U158="","",IF(INDEX('Per Invoice'!R$2:R$401,$U158)="","",INDEX('Per Invoice'!R$2:R$401,$U158)))</f>
        <v/>
      </c>
      <c r="S158" s="7">
        <f>IF($U158="","",IF(INDEX('Per Invoice'!S$2:S$401,$U158)="","",INDEX('Per Invoice'!S$2:S$401,$U158)))</f>
        <v/>
      </c>
      <c r="T158" s="7">
        <f>IF($U158="","",IF(INDEX('Per Invoice'!T$2:T$401,$U158)="","",INDEX('Per Invoice'!T$2:T$401,$U158)))</f>
        <v/>
      </c>
      <c r="U158" s="16">
        <f>IFERROR(MATCH(Settings!$C$27&amp;"|"&amp;ROWS($U$2:$U158),'Per Invoice'!$V$2:$V$401,0),"")</f>
        <v/>
      </c>
    </row>
    <row r="159">
      <c r="A159">
        <f>IF($U159="","",IF(INDEX('Per Invoice'!A$2:A$401,$U159)="","",INDEX('Per Invoice'!A$2:A$401,$U159)))</f>
        <v/>
      </c>
      <c r="B159">
        <f>IF($U159="","",IF(INDEX('Per Invoice'!B$2:B$401,$U159)="","",INDEX('Per Invoice'!B$2:B$401,$U159)))</f>
        <v/>
      </c>
      <c r="C159">
        <f>IF($U159="","",IF(INDEX('Per Invoice'!C$2:C$401,$U159)="","",INDEX('Per Invoice'!C$2:C$401,$U159)))</f>
        <v/>
      </c>
      <c r="D159">
        <f>IF($U159="","",IF(INDEX('Per Invoice'!D$2:D$401,$U159)="","",INDEX('Per Invoice'!D$2:D$401,$U159)))</f>
        <v/>
      </c>
      <c r="E159">
        <f>IF($U159="","",IF(INDEX('Per Invoice'!E$2:E$401,$U159)="","",INDEX('Per Invoice'!E$2:E$401,$U159)))</f>
        <v/>
      </c>
      <c r="F159">
        <f>IF($U159="","",IF(INDEX('Per Invoice'!F$2:F$401,$U159)="","",INDEX('Per Invoice'!F$2:F$401,$U159)))</f>
        <v/>
      </c>
      <c r="G159">
        <f>IF($U159="","",IF(INDEX('Per Invoice'!G$2:G$401,$U159)="","",INDEX('Per Invoice'!G$2:G$401,$U159)))</f>
        <v/>
      </c>
      <c r="H159" s="7">
        <f>IF($U159="","",IF(INDEX('Per Invoice'!H$2:H$401,$U159)="","",INDEX('Per Invoice'!H$2:H$401,$U159)))</f>
        <v/>
      </c>
      <c r="I159" s="14">
        <f>IF($U159="","",IF(INDEX('Per Invoice'!I$2:I$401,$U159)="","",INDEX('Per Invoice'!I$2:I$401,$U159)))</f>
        <v/>
      </c>
      <c r="J159">
        <f>IF($U159="","",IF(INDEX('Per Invoice'!J$2:J$401,$U159)="","",INDEX('Per Invoice'!J$2:J$401,$U159)))</f>
        <v/>
      </c>
      <c r="K159">
        <f>IF($U159="","",IF(INDEX('Per Invoice'!K$2:K$401,$U159)="","",INDEX('Per Invoice'!K$2:K$401,$U159)))</f>
        <v/>
      </c>
      <c r="L159" s="7">
        <f>IF($U159="","",IF(INDEX('Per Invoice'!L$2:L$401,$U159)="","",INDEX('Per Invoice'!L$2:L$401,$U159)))</f>
        <v/>
      </c>
      <c r="M159" s="7">
        <f>IF($U159="","",IF(INDEX('Per Invoice'!M$2:M$401,$U159)="","",INDEX('Per Invoice'!M$2:M$401,$U159)))</f>
        <v/>
      </c>
      <c r="N159">
        <f>IF($U159="","",IF(INDEX('Per Invoice'!N$2:N$401,$U159)="","",INDEX('Per Invoice'!N$2:N$401,$U159)))</f>
        <v/>
      </c>
      <c r="O159" s="7">
        <f>IF($U159="","",IF(INDEX('Per Invoice'!O$2:O$401,$U159)="","",INDEX('Per Invoice'!O$2:O$401,$U159)))</f>
        <v/>
      </c>
      <c r="P159" s="7">
        <f>IF($U159="","",IF(INDEX('Per Invoice'!P$2:P$401,$U159)="","",INDEX('Per Invoice'!P$2:P$401,$U159)))</f>
        <v/>
      </c>
      <c r="Q159" s="7">
        <f>IF($U159="","",IF(INDEX('Per Invoice'!Q$2:Q$401,$U159)="","",INDEX('Per Invoice'!Q$2:Q$401,$U159)))</f>
        <v/>
      </c>
      <c r="R159" s="7">
        <f>IF($U159="","",IF(INDEX('Per Invoice'!R$2:R$401,$U159)="","",INDEX('Per Invoice'!R$2:R$401,$U159)))</f>
        <v/>
      </c>
      <c r="S159" s="7">
        <f>IF($U159="","",IF(INDEX('Per Invoice'!S$2:S$401,$U159)="","",INDEX('Per Invoice'!S$2:S$401,$U159)))</f>
        <v/>
      </c>
      <c r="T159" s="7">
        <f>IF($U159="","",IF(INDEX('Per Invoice'!T$2:T$401,$U159)="","",INDEX('Per Invoice'!T$2:T$401,$U159)))</f>
        <v/>
      </c>
      <c r="U159" s="16">
        <f>IFERROR(MATCH(Settings!$C$27&amp;"|"&amp;ROWS($U$2:$U159),'Per Invoice'!$V$2:$V$401,0),"")</f>
        <v/>
      </c>
    </row>
    <row r="160">
      <c r="A160">
        <f>IF($U160="","",IF(INDEX('Per Invoice'!A$2:A$401,$U160)="","",INDEX('Per Invoice'!A$2:A$401,$U160)))</f>
        <v/>
      </c>
      <c r="B160">
        <f>IF($U160="","",IF(INDEX('Per Invoice'!B$2:B$401,$U160)="","",INDEX('Per Invoice'!B$2:B$401,$U160)))</f>
        <v/>
      </c>
      <c r="C160">
        <f>IF($U160="","",IF(INDEX('Per Invoice'!C$2:C$401,$U160)="","",INDEX('Per Invoice'!C$2:C$401,$U160)))</f>
        <v/>
      </c>
      <c r="D160">
        <f>IF($U160="","",IF(INDEX('Per Invoice'!D$2:D$401,$U160)="","",INDEX('Per Invoice'!D$2:D$401,$U160)))</f>
        <v/>
      </c>
      <c r="E160">
        <f>IF($U160="","",IF(INDEX('Per Invoice'!E$2:E$401,$U160)="","",INDEX('Per Invoice'!E$2:E$401,$U160)))</f>
        <v/>
      </c>
      <c r="F160">
        <f>IF($U160="","",IF(INDEX('Per Invoice'!F$2:F$401,$U160)="","",INDEX('Per Invoice'!F$2:F$401,$U160)))</f>
        <v/>
      </c>
      <c r="G160">
        <f>IF($U160="","",IF(INDEX('Per Invoice'!G$2:G$401,$U160)="","",INDEX('Per Invoice'!G$2:G$401,$U160)))</f>
        <v/>
      </c>
      <c r="H160" s="7">
        <f>IF($U160="","",IF(INDEX('Per Invoice'!H$2:H$401,$U160)="","",INDEX('Per Invoice'!H$2:H$401,$U160)))</f>
        <v/>
      </c>
      <c r="I160" s="14">
        <f>IF($U160="","",IF(INDEX('Per Invoice'!I$2:I$401,$U160)="","",INDEX('Per Invoice'!I$2:I$401,$U160)))</f>
        <v/>
      </c>
      <c r="J160">
        <f>IF($U160="","",IF(INDEX('Per Invoice'!J$2:J$401,$U160)="","",INDEX('Per Invoice'!J$2:J$401,$U160)))</f>
        <v/>
      </c>
      <c r="K160">
        <f>IF($U160="","",IF(INDEX('Per Invoice'!K$2:K$401,$U160)="","",INDEX('Per Invoice'!K$2:K$401,$U160)))</f>
        <v/>
      </c>
      <c r="L160" s="7">
        <f>IF($U160="","",IF(INDEX('Per Invoice'!L$2:L$401,$U160)="","",INDEX('Per Invoice'!L$2:L$401,$U160)))</f>
        <v/>
      </c>
      <c r="M160" s="7">
        <f>IF($U160="","",IF(INDEX('Per Invoice'!M$2:M$401,$U160)="","",INDEX('Per Invoice'!M$2:M$401,$U160)))</f>
        <v/>
      </c>
      <c r="N160">
        <f>IF($U160="","",IF(INDEX('Per Invoice'!N$2:N$401,$U160)="","",INDEX('Per Invoice'!N$2:N$401,$U160)))</f>
        <v/>
      </c>
      <c r="O160" s="7">
        <f>IF($U160="","",IF(INDEX('Per Invoice'!O$2:O$401,$U160)="","",INDEX('Per Invoice'!O$2:O$401,$U160)))</f>
        <v/>
      </c>
      <c r="P160" s="7">
        <f>IF($U160="","",IF(INDEX('Per Invoice'!P$2:P$401,$U160)="","",INDEX('Per Invoice'!P$2:P$401,$U160)))</f>
        <v/>
      </c>
      <c r="Q160" s="7">
        <f>IF($U160="","",IF(INDEX('Per Invoice'!Q$2:Q$401,$U160)="","",INDEX('Per Invoice'!Q$2:Q$401,$U160)))</f>
        <v/>
      </c>
      <c r="R160" s="7">
        <f>IF($U160="","",IF(INDEX('Per Invoice'!R$2:R$401,$U160)="","",INDEX('Per Invoice'!R$2:R$401,$U160)))</f>
        <v/>
      </c>
      <c r="S160" s="7">
        <f>IF($U160="","",IF(INDEX('Per Invoice'!S$2:S$401,$U160)="","",INDEX('Per Invoice'!S$2:S$401,$U160)))</f>
        <v/>
      </c>
      <c r="T160" s="7">
        <f>IF($U160="","",IF(INDEX('Per Invoice'!T$2:T$401,$U160)="","",INDEX('Per Invoice'!T$2:T$401,$U160)))</f>
        <v/>
      </c>
      <c r="U160" s="16">
        <f>IFERROR(MATCH(Settings!$C$27&amp;"|"&amp;ROWS($U$2:$U160),'Per Invoice'!$V$2:$V$401,0),"")</f>
        <v/>
      </c>
    </row>
    <row r="161">
      <c r="A161">
        <f>IF($U161="","",IF(INDEX('Per Invoice'!A$2:A$401,$U161)="","",INDEX('Per Invoice'!A$2:A$401,$U161)))</f>
        <v/>
      </c>
      <c r="B161">
        <f>IF($U161="","",IF(INDEX('Per Invoice'!B$2:B$401,$U161)="","",INDEX('Per Invoice'!B$2:B$401,$U161)))</f>
        <v/>
      </c>
      <c r="C161">
        <f>IF($U161="","",IF(INDEX('Per Invoice'!C$2:C$401,$U161)="","",INDEX('Per Invoice'!C$2:C$401,$U161)))</f>
        <v/>
      </c>
      <c r="D161">
        <f>IF($U161="","",IF(INDEX('Per Invoice'!D$2:D$401,$U161)="","",INDEX('Per Invoice'!D$2:D$401,$U161)))</f>
        <v/>
      </c>
      <c r="E161">
        <f>IF($U161="","",IF(INDEX('Per Invoice'!E$2:E$401,$U161)="","",INDEX('Per Invoice'!E$2:E$401,$U161)))</f>
        <v/>
      </c>
      <c r="F161">
        <f>IF($U161="","",IF(INDEX('Per Invoice'!F$2:F$401,$U161)="","",INDEX('Per Invoice'!F$2:F$401,$U161)))</f>
        <v/>
      </c>
      <c r="G161">
        <f>IF($U161="","",IF(INDEX('Per Invoice'!G$2:G$401,$U161)="","",INDEX('Per Invoice'!G$2:G$401,$U161)))</f>
        <v/>
      </c>
      <c r="H161" s="7">
        <f>IF($U161="","",IF(INDEX('Per Invoice'!H$2:H$401,$U161)="","",INDEX('Per Invoice'!H$2:H$401,$U161)))</f>
        <v/>
      </c>
      <c r="I161" s="14">
        <f>IF($U161="","",IF(INDEX('Per Invoice'!I$2:I$401,$U161)="","",INDEX('Per Invoice'!I$2:I$401,$U161)))</f>
        <v/>
      </c>
      <c r="J161">
        <f>IF($U161="","",IF(INDEX('Per Invoice'!J$2:J$401,$U161)="","",INDEX('Per Invoice'!J$2:J$401,$U161)))</f>
        <v/>
      </c>
      <c r="K161">
        <f>IF($U161="","",IF(INDEX('Per Invoice'!K$2:K$401,$U161)="","",INDEX('Per Invoice'!K$2:K$401,$U161)))</f>
        <v/>
      </c>
      <c r="L161" s="7">
        <f>IF($U161="","",IF(INDEX('Per Invoice'!L$2:L$401,$U161)="","",INDEX('Per Invoice'!L$2:L$401,$U161)))</f>
        <v/>
      </c>
      <c r="M161" s="7">
        <f>IF($U161="","",IF(INDEX('Per Invoice'!M$2:M$401,$U161)="","",INDEX('Per Invoice'!M$2:M$401,$U161)))</f>
        <v/>
      </c>
      <c r="N161">
        <f>IF($U161="","",IF(INDEX('Per Invoice'!N$2:N$401,$U161)="","",INDEX('Per Invoice'!N$2:N$401,$U161)))</f>
        <v/>
      </c>
      <c r="O161" s="7">
        <f>IF($U161="","",IF(INDEX('Per Invoice'!O$2:O$401,$U161)="","",INDEX('Per Invoice'!O$2:O$401,$U161)))</f>
        <v/>
      </c>
      <c r="P161" s="7">
        <f>IF($U161="","",IF(INDEX('Per Invoice'!P$2:P$401,$U161)="","",INDEX('Per Invoice'!P$2:P$401,$U161)))</f>
        <v/>
      </c>
      <c r="Q161" s="7">
        <f>IF($U161="","",IF(INDEX('Per Invoice'!Q$2:Q$401,$U161)="","",INDEX('Per Invoice'!Q$2:Q$401,$U161)))</f>
        <v/>
      </c>
      <c r="R161" s="7">
        <f>IF($U161="","",IF(INDEX('Per Invoice'!R$2:R$401,$U161)="","",INDEX('Per Invoice'!R$2:R$401,$U161)))</f>
        <v/>
      </c>
      <c r="S161" s="7">
        <f>IF($U161="","",IF(INDEX('Per Invoice'!S$2:S$401,$U161)="","",INDEX('Per Invoice'!S$2:S$401,$U161)))</f>
        <v/>
      </c>
      <c r="T161" s="7">
        <f>IF($U161="","",IF(INDEX('Per Invoice'!T$2:T$401,$U161)="","",INDEX('Per Invoice'!T$2:T$401,$U161)))</f>
        <v/>
      </c>
      <c r="U161" s="16">
        <f>IFERROR(MATCH(Settings!$C$27&amp;"|"&amp;ROWS($U$2:$U161),'Per Invoice'!$V$2:$V$401,0),"")</f>
        <v/>
      </c>
    </row>
    <row r="162">
      <c r="A162">
        <f>IF($U162="","",IF(INDEX('Per Invoice'!A$2:A$401,$U162)="","",INDEX('Per Invoice'!A$2:A$401,$U162)))</f>
        <v/>
      </c>
      <c r="B162">
        <f>IF($U162="","",IF(INDEX('Per Invoice'!B$2:B$401,$U162)="","",INDEX('Per Invoice'!B$2:B$401,$U162)))</f>
        <v/>
      </c>
      <c r="C162">
        <f>IF($U162="","",IF(INDEX('Per Invoice'!C$2:C$401,$U162)="","",INDEX('Per Invoice'!C$2:C$401,$U162)))</f>
        <v/>
      </c>
      <c r="D162">
        <f>IF($U162="","",IF(INDEX('Per Invoice'!D$2:D$401,$U162)="","",INDEX('Per Invoice'!D$2:D$401,$U162)))</f>
        <v/>
      </c>
      <c r="E162">
        <f>IF($U162="","",IF(INDEX('Per Invoice'!E$2:E$401,$U162)="","",INDEX('Per Invoice'!E$2:E$401,$U162)))</f>
        <v/>
      </c>
      <c r="F162">
        <f>IF($U162="","",IF(INDEX('Per Invoice'!F$2:F$401,$U162)="","",INDEX('Per Invoice'!F$2:F$401,$U162)))</f>
        <v/>
      </c>
      <c r="G162">
        <f>IF($U162="","",IF(INDEX('Per Invoice'!G$2:G$401,$U162)="","",INDEX('Per Invoice'!G$2:G$401,$U162)))</f>
        <v/>
      </c>
      <c r="H162" s="7">
        <f>IF($U162="","",IF(INDEX('Per Invoice'!H$2:H$401,$U162)="","",INDEX('Per Invoice'!H$2:H$401,$U162)))</f>
        <v/>
      </c>
      <c r="I162" s="14">
        <f>IF($U162="","",IF(INDEX('Per Invoice'!I$2:I$401,$U162)="","",INDEX('Per Invoice'!I$2:I$401,$U162)))</f>
        <v/>
      </c>
      <c r="J162">
        <f>IF($U162="","",IF(INDEX('Per Invoice'!J$2:J$401,$U162)="","",INDEX('Per Invoice'!J$2:J$401,$U162)))</f>
        <v/>
      </c>
      <c r="K162">
        <f>IF($U162="","",IF(INDEX('Per Invoice'!K$2:K$401,$U162)="","",INDEX('Per Invoice'!K$2:K$401,$U162)))</f>
        <v/>
      </c>
      <c r="L162" s="7">
        <f>IF($U162="","",IF(INDEX('Per Invoice'!L$2:L$401,$U162)="","",INDEX('Per Invoice'!L$2:L$401,$U162)))</f>
        <v/>
      </c>
      <c r="M162" s="7">
        <f>IF($U162="","",IF(INDEX('Per Invoice'!M$2:M$401,$U162)="","",INDEX('Per Invoice'!M$2:M$401,$U162)))</f>
        <v/>
      </c>
      <c r="N162">
        <f>IF($U162="","",IF(INDEX('Per Invoice'!N$2:N$401,$U162)="","",INDEX('Per Invoice'!N$2:N$401,$U162)))</f>
        <v/>
      </c>
      <c r="O162" s="7">
        <f>IF($U162="","",IF(INDEX('Per Invoice'!O$2:O$401,$U162)="","",INDEX('Per Invoice'!O$2:O$401,$U162)))</f>
        <v/>
      </c>
      <c r="P162" s="7">
        <f>IF($U162="","",IF(INDEX('Per Invoice'!P$2:P$401,$U162)="","",INDEX('Per Invoice'!P$2:P$401,$U162)))</f>
        <v/>
      </c>
      <c r="Q162" s="7">
        <f>IF($U162="","",IF(INDEX('Per Invoice'!Q$2:Q$401,$U162)="","",INDEX('Per Invoice'!Q$2:Q$401,$U162)))</f>
        <v/>
      </c>
      <c r="R162" s="7">
        <f>IF($U162="","",IF(INDEX('Per Invoice'!R$2:R$401,$U162)="","",INDEX('Per Invoice'!R$2:R$401,$U162)))</f>
        <v/>
      </c>
      <c r="S162" s="7">
        <f>IF($U162="","",IF(INDEX('Per Invoice'!S$2:S$401,$U162)="","",INDEX('Per Invoice'!S$2:S$401,$U162)))</f>
        <v/>
      </c>
      <c r="T162" s="7">
        <f>IF($U162="","",IF(INDEX('Per Invoice'!T$2:T$401,$U162)="","",INDEX('Per Invoice'!T$2:T$401,$U162)))</f>
        <v/>
      </c>
      <c r="U162" s="16">
        <f>IFERROR(MATCH(Settings!$C$27&amp;"|"&amp;ROWS($U$2:$U162),'Per Invoice'!$V$2:$V$401,0),"")</f>
        <v/>
      </c>
    </row>
    <row r="163">
      <c r="A163">
        <f>IF($U163="","",IF(INDEX('Per Invoice'!A$2:A$401,$U163)="","",INDEX('Per Invoice'!A$2:A$401,$U163)))</f>
        <v/>
      </c>
      <c r="B163">
        <f>IF($U163="","",IF(INDEX('Per Invoice'!B$2:B$401,$U163)="","",INDEX('Per Invoice'!B$2:B$401,$U163)))</f>
        <v/>
      </c>
      <c r="C163">
        <f>IF($U163="","",IF(INDEX('Per Invoice'!C$2:C$401,$U163)="","",INDEX('Per Invoice'!C$2:C$401,$U163)))</f>
        <v/>
      </c>
      <c r="D163">
        <f>IF($U163="","",IF(INDEX('Per Invoice'!D$2:D$401,$U163)="","",INDEX('Per Invoice'!D$2:D$401,$U163)))</f>
        <v/>
      </c>
      <c r="E163">
        <f>IF($U163="","",IF(INDEX('Per Invoice'!E$2:E$401,$U163)="","",INDEX('Per Invoice'!E$2:E$401,$U163)))</f>
        <v/>
      </c>
      <c r="F163">
        <f>IF($U163="","",IF(INDEX('Per Invoice'!F$2:F$401,$U163)="","",INDEX('Per Invoice'!F$2:F$401,$U163)))</f>
        <v/>
      </c>
      <c r="G163">
        <f>IF($U163="","",IF(INDEX('Per Invoice'!G$2:G$401,$U163)="","",INDEX('Per Invoice'!G$2:G$401,$U163)))</f>
        <v/>
      </c>
      <c r="H163" s="7">
        <f>IF($U163="","",IF(INDEX('Per Invoice'!H$2:H$401,$U163)="","",INDEX('Per Invoice'!H$2:H$401,$U163)))</f>
        <v/>
      </c>
      <c r="I163" s="14">
        <f>IF($U163="","",IF(INDEX('Per Invoice'!I$2:I$401,$U163)="","",INDEX('Per Invoice'!I$2:I$401,$U163)))</f>
        <v/>
      </c>
      <c r="J163">
        <f>IF($U163="","",IF(INDEX('Per Invoice'!J$2:J$401,$U163)="","",INDEX('Per Invoice'!J$2:J$401,$U163)))</f>
        <v/>
      </c>
      <c r="K163">
        <f>IF($U163="","",IF(INDEX('Per Invoice'!K$2:K$401,$U163)="","",INDEX('Per Invoice'!K$2:K$401,$U163)))</f>
        <v/>
      </c>
      <c r="L163" s="7">
        <f>IF($U163="","",IF(INDEX('Per Invoice'!L$2:L$401,$U163)="","",INDEX('Per Invoice'!L$2:L$401,$U163)))</f>
        <v/>
      </c>
      <c r="M163" s="7">
        <f>IF($U163="","",IF(INDEX('Per Invoice'!M$2:M$401,$U163)="","",INDEX('Per Invoice'!M$2:M$401,$U163)))</f>
        <v/>
      </c>
      <c r="N163">
        <f>IF($U163="","",IF(INDEX('Per Invoice'!N$2:N$401,$U163)="","",INDEX('Per Invoice'!N$2:N$401,$U163)))</f>
        <v/>
      </c>
      <c r="O163" s="7">
        <f>IF($U163="","",IF(INDEX('Per Invoice'!O$2:O$401,$U163)="","",INDEX('Per Invoice'!O$2:O$401,$U163)))</f>
        <v/>
      </c>
      <c r="P163" s="7">
        <f>IF($U163="","",IF(INDEX('Per Invoice'!P$2:P$401,$U163)="","",INDEX('Per Invoice'!P$2:P$401,$U163)))</f>
        <v/>
      </c>
      <c r="Q163" s="7">
        <f>IF($U163="","",IF(INDEX('Per Invoice'!Q$2:Q$401,$U163)="","",INDEX('Per Invoice'!Q$2:Q$401,$U163)))</f>
        <v/>
      </c>
      <c r="R163" s="7">
        <f>IF($U163="","",IF(INDEX('Per Invoice'!R$2:R$401,$U163)="","",INDEX('Per Invoice'!R$2:R$401,$U163)))</f>
        <v/>
      </c>
      <c r="S163" s="7">
        <f>IF($U163="","",IF(INDEX('Per Invoice'!S$2:S$401,$U163)="","",INDEX('Per Invoice'!S$2:S$401,$U163)))</f>
        <v/>
      </c>
      <c r="T163" s="7">
        <f>IF($U163="","",IF(INDEX('Per Invoice'!T$2:T$401,$U163)="","",INDEX('Per Invoice'!T$2:T$401,$U163)))</f>
        <v/>
      </c>
      <c r="U163" s="16">
        <f>IFERROR(MATCH(Settings!$C$27&amp;"|"&amp;ROWS($U$2:$U163),'Per Invoice'!$V$2:$V$401,0),"")</f>
        <v/>
      </c>
    </row>
    <row r="164">
      <c r="A164">
        <f>IF($U164="","",IF(INDEX('Per Invoice'!A$2:A$401,$U164)="","",INDEX('Per Invoice'!A$2:A$401,$U164)))</f>
        <v/>
      </c>
      <c r="B164">
        <f>IF($U164="","",IF(INDEX('Per Invoice'!B$2:B$401,$U164)="","",INDEX('Per Invoice'!B$2:B$401,$U164)))</f>
        <v/>
      </c>
      <c r="C164">
        <f>IF($U164="","",IF(INDEX('Per Invoice'!C$2:C$401,$U164)="","",INDEX('Per Invoice'!C$2:C$401,$U164)))</f>
        <v/>
      </c>
      <c r="D164">
        <f>IF($U164="","",IF(INDEX('Per Invoice'!D$2:D$401,$U164)="","",INDEX('Per Invoice'!D$2:D$401,$U164)))</f>
        <v/>
      </c>
      <c r="E164">
        <f>IF($U164="","",IF(INDEX('Per Invoice'!E$2:E$401,$U164)="","",INDEX('Per Invoice'!E$2:E$401,$U164)))</f>
        <v/>
      </c>
      <c r="F164">
        <f>IF($U164="","",IF(INDEX('Per Invoice'!F$2:F$401,$U164)="","",INDEX('Per Invoice'!F$2:F$401,$U164)))</f>
        <v/>
      </c>
      <c r="G164">
        <f>IF($U164="","",IF(INDEX('Per Invoice'!G$2:G$401,$U164)="","",INDEX('Per Invoice'!G$2:G$401,$U164)))</f>
        <v/>
      </c>
      <c r="H164" s="7">
        <f>IF($U164="","",IF(INDEX('Per Invoice'!H$2:H$401,$U164)="","",INDEX('Per Invoice'!H$2:H$401,$U164)))</f>
        <v/>
      </c>
      <c r="I164" s="14">
        <f>IF($U164="","",IF(INDEX('Per Invoice'!I$2:I$401,$U164)="","",INDEX('Per Invoice'!I$2:I$401,$U164)))</f>
        <v/>
      </c>
      <c r="J164">
        <f>IF($U164="","",IF(INDEX('Per Invoice'!J$2:J$401,$U164)="","",INDEX('Per Invoice'!J$2:J$401,$U164)))</f>
        <v/>
      </c>
      <c r="K164">
        <f>IF($U164="","",IF(INDEX('Per Invoice'!K$2:K$401,$U164)="","",INDEX('Per Invoice'!K$2:K$401,$U164)))</f>
        <v/>
      </c>
      <c r="L164" s="7">
        <f>IF($U164="","",IF(INDEX('Per Invoice'!L$2:L$401,$U164)="","",INDEX('Per Invoice'!L$2:L$401,$U164)))</f>
        <v/>
      </c>
      <c r="M164" s="7">
        <f>IF($U164="","",IF(INDEX('Per Invoice'!M$2:M$401,$U164)="","",INDEX('Per Invoice'!M$2:M$401,$U164)))</f>
        <v/>
      </c>
      <c r="N164">
        <f>IF($U164="","",IF(INDEX('Per Invoice'!N$2:N$401,$U164)="","",INDEX('Per Invoice'!N$2:N$401,$U164)))</f>
        <v/>
      </c>
      <c r="O164" s="7">
        <f>IF($U164="","",IF(INDEX('Per Invoice'!O$2:O$401,$U164)="","",INDEX('Per Invoice'!O$2:O$401,$U164)))</f>
        <v/>
      </c>
      <c r="P164" s="7">
        <f>IF($U164="","",IF(INDEX('Per Invoice'!P$2:P$401,$U164)="","",INDEX('Per Invoice'!P$2:P$401,$U164)))</f>
        <v/>
      </c>
      <c r="Q164" s="7">
        <f>IF($U164="","",IF(INDEX('Per Invoice'!Q$2:Q$401,$U164)="","",INDEX('Per Invoice'!Q$2:Q$401,$U164)))</f>
        <v/>
      </c>
      <c r="R164" s="7">
        <f>IF($U164="","",IF(INDEX('Per Invoice'!R$2:R$401,$U164)="","",INDEX('Per Invoice'!R$2:R$401,$U164)))</f>
        <v/>
      </c>
      <c r="S164" s="7">
        <f>IF($U164="","",IF(INDEX('Per Invoice'!S$2:S$401,$U164)="","",INDEX('Per Invoice'!S$2:S$401,$U164)))</f>
        <v/>
      </c>
      <c r="T164" s="7">
        <f>IF($U164="","",IF(INDEX('Per Invoice'!T$2:T$401,$U164)="","",INDEX('Per Invoice'!T$2:T$401,$U164)))</f>
        <v/>
      </c>
      <c r="U164" s="16">
        <f>IFERROR(MATCH(Settings!$C$27&amp;"|"&amp;ROWS($U$2:$U164),'Per Invoice'!$V$2:$V$401,0),"")</f>
        <v/>
      </c>
    </row>
    <row r="165">
      <c r="A165">
        <f>IF($U165="","",IF(INDEX('Per Invoice'!A$2:A$401,$U165)="","",INDEX('Per Invoice'!A$2:A$401,$U165)))</f>
        <v/>
      </c>
      <c r="B165">
        <f>IF($U165="","",IF(INDEX('Per Invoice'!B$2:B$401,$U165)="","",INDEX('Per Invoice'!B$2:B$401,$U165)))</f>
        <v/>
      </c>
      <c r="C165">
        <f>IF($U165="","",IF(INDEX('Per Invoice'!C$2:C$401,$U165)="","",INDEX('Per Invoice'!C$2:C$401,$U165)))</f>
        <v/>
      </c>
      <c r="D165">
        <f>IF($U165="","",IF(INDEX('Per Invoice'!D$2:D$401,$U165)="","",INDEX('Per Invoice'!D$2:D$401,$U165)))</f>
        <v/>
      </c>
      <c r="E165">
        <f>IF($U165="","",IF(INDEX('Per Invoice'!E$2:E$401,$U165)="","",INDEX('Per Invoice'!E$2:E$401,$U165)))</f>
        <v/>
      </c>
      <c r="F165">
        <f>IF($U165="","",IF(INDEX('Per Invoice'!F$2:F$401,$U165)="","",INDEX('Per Invoice'!F$2:F$401,$U165)))</f>
        <v/>
      </c>
      <c r="G165">
        <f>IF($U165="","",IF(INDEX('Per Invoice'!G$2:G$401,$U165)="","",INDEX('Per Invoice'!G$2:G$401,$U165)))</f>
        <v/>
      </c>
      <c r="H165" s="7">
        <f>IF($U165="","",IF(INDEX('Per Invoice'!H$2:H$401,$U165)="","",INDEX('Per Invoice'!H$2:H$401,$U165)))</f>
        <v/>
      </c>
      <c r="I165" s="14">
        <f>IF($U165="","",IF(INDEX('Per Invoice'!I$2:I$401,$U165)="","",INDEX('Per Invoice'!I$2:I$401,$U165)))</f>
        <v/>
      </c>
      <c r="J165">
        <f>IF($U165="","",IF(INDEX('Per Invoice'!J$2:J$401,$U165)="","",INDEX('Per Invoice'!J$2:J$401,$U165)))</f>
        <v/>
      </c>
      <c r="K165">
        <f>IF($U165="","",IF(INDEX('Per Invoice'!K$2:K$401,$U165)="","",INDEX('Per Invoice'!K$2:K$401,$U165)))</f>
        <v/>
      </c>
      <c r="L165" s="7">
        <f>IF($U165="","",IF(INDEX('Per Invoice'!L$2:L$401,$U165)="","",INDEX('Per Invoice'!L$2:L$401,$U165)))</f>
        <v/>
      </c>
      <c r="M165" s="7">
        <f>IF($U165="","",IF(INDEX('Per Invoice'!M$2:M$401,$U165)="","",INDEX('Per Invoice'!M$2:M$401,$U165)))</f>
        <v/>
      </c>
      <c r="N165">
        <f>IF($U165="","",IF(INDEX('Per Invoice'!N$2:N$401,$U165)="","",INDEX('Per Invoice'!N$2:N$401,$U165)))</f>
        <v/>
      </c>
      <c r="O165" s="7">
        <f>IF($U165="","",IF(INDEX('Per Invoice'!O$2:O$401,$U165)="","",INDEX('Per Invoice'!O$2:O$401,$U165)))</f>
        <v/>
      </c>
      <c r="P165" s="7">
        <f>IF($U165="","",IF(INDEX('Per Invoice'!P$2:P$401,$U165)="","",INDEX('Per Invoice'!P$2:P$401,$U165)))</f>
        <v/>
      </c>
      <c r="Q165" s="7">
        <f>IF($U165="","",IF(INDEX('Per Invoice'!Q$2:Q$401,$U165)="","",INDEX('Per Invoice'!Q$2:Q$401,$U165)))</f>
        <v/>
      </c>
      <c r="R165" s="7">
        <f>IF($U165="","",IF(INDEX('Per Invoice'!R$2:R$401,$U165)="","",INDEX('Per Invoice'!R$2:R$401,$U165)))</f>
        <v/>
      </c>
      <c r="S165" s="7">
        <f>IF($U165="","",IF(INDEX('Per Invoice'!S$2:S$401,$U165)="","",INDEX('Per Invoice'!S$2:S$401,$U165)))</f>
        <v/>
      </c>
      <c r="T165" s="7">
        <f>IF($U165="","",IF(INDEX('Per Invoice'!T$2:T$401,$U165)="","",INDEX('Per Invoice'!T$2:T$401,$U165)))</f>
        <v/>
      </c>
      <c r="U165" s="16">
        <f>IFERROR(MATCH(Settings!$C$27&amp;"|"&amp;ROWS($U$2:$U165),'Per Invoice'!$V$2:$V$401,0),"")</f>
        <v/>
      </c>
    </row>
    <row r="166">
      <c r="A166">
        <f>IF($U166="","",IF(INDEX('Per Invoice'!A$2:A$401,$U166)="","",INDEX('Per Invoice'!A$2:A$401,$U166)))</f>
        <v/>
      </c>
      <c r="B166">
        <f>IF($U166="","",IF(INDEX('Per Invoice'!B$2:B$401,$U166)="","",INDEX('Per Invoice'!B$2:B$401,$U166)))</f>
        <v/>
      </c>
      <c r="C166">
        <f>IF($U166="","",IF(INDEX('Per Invoice'!C$2:C$401,$U166)="","",INDEX('Per Invoice'!C$2:C$401,$U166)))</f>
        <v/>
      </c>
      <c r="D166">
        <f>IF($U166="","",IF(INDEX('Per Invoice'!D$2:D$401,$U166)="","",INDEX('Per Invoice'!D$2:D$401,$U166)))</f>
        <v/>
      </c>
      <c r="E166">
        <f>IF($U166="","",IF(INDEX('Per Invoice'!E$2:E$401,$U166)="","",INDEX('Per Invoice'!E$2:E$401,$U166)))</f>
        <v/>
      </c>
      <c r="F166">
        <f>IF($U166="","",IF(INDEX('Per Invoice'!F$2:F$401,$U166)="","",INDEX('Per Invoice'!F$2:F$401,$U166)))</f>
        <v/>
      </c>
      <c r="G166">
        <f>IF($U166="","",IF(INDEX('Per Invoice'!G$2:G$401,$U166)="","",INDEX('Per Invoice'!G$2:G$401,$U166)))</f>
        <v/>
      </c>
      <c r="H166" s="7">
        <f>IF($U166="","",IF(INDEX('Per Invoice'!H$2:H$401,$U166)="","",INDEX('Per Invoice'!H$2:H$401,$U166)))</f>
        <v/>
      </c>
      <c r="I166" s="14">
        <f>IF($U166="","",IF(INDEX('Per Invoice'!I$2:I$401,$U166)="","",INDEX('Per Invoice'!I$2:I$401,$U166)))</f>
        <v/>
      </c>
      <c r="J166">
        <f>IF($U166="","",IF(INDEX('Per Invoice'!J$2:J$401,$U166)="","",INDEX('Per Invoice'!J$2:J$401,$U166)))</f>
        <v/>
      </c>
      <c r="K166">
        <f>IF($U166="","",IF(INDEX('Per Invoice'!K$2:K$401,$U166)="","",INDEX('Per Invoice'!K$2:K$401,$U166)))</f>
        <v/>
      </c>
      <c r="L166" s="7">
        <f>IF($U166="","",IF(INDEX('Per Invoice'!L$2:L$401,$U166)="","",INDEX('Per Invoice'!L$2:L$401,$U166)))</f>
        <v/>
      </c>
      <c r="M166" s="7">
        <f>IF($U166="","",IF(INDEX('Per Invoice'!M$2:M$401,$U166)="","",INDEX('Per Invoice'!M$2:M$401,$U166)))</f>
        <v/>
      </c>
      <c r="N166">
        <f>IF($U166="","",IF(INDEX('Per Invoice'!N$2:N$401,$U166)="","",INDEX('Per Invoice'!N$2:N$401,$U166)))</f>
        <v/>
      </c>
      <c r="O166" s="7">
        <f>IF($U166="","",IF(INDEX('Per Invoice'!O$2:O$401,$U166)="","",INDEX('Per Invoice'!O$2:O$401,$U166)))</f>
        <v/>
      </c>
      <c r="P166" s="7">
        <f>IF($U166="","",IF(INDEX('Per Invoice'!P$2:P$401,$U166)="","",INDEX('Per Invoice'!P$2:P$401,$U166)))</f>
        <v/>
      </c>
      <c r="Q166" s="7">
        <f>IF($U166="","",IF(INDEX('Per Invoice'!Q$2:Q$401,$U166)="","",INDEX('Per Invoice'!Q$2:Q$401,$U166)))</f>
        <v/>
      </c>
      <c r="R166" s="7">
        <f>IF($U166="","",IF(INDEX('Per Invoice'!R$2:R$401,$U166)="","",INDEX('Per Invoice'!R$2:R$401,$U166)))</f>
        <v/>
      </c>
      <c r="S166" s="7">
        <f>IF($U166="","",IF(INDEX('Per Invoice'!S$2:S$401,$U166)="","",INDEX('Per Invoice'!S$2:S$401,$U166)))</f>
        <v/>
      </c>
      <c r="T166" s="7">
        <f>IF($U166="","",IF(INDEX('Per Invoice'!T$2:T$401,$U166)="","",INDEX('Per Invoice'!T$2:T$401,$U166)))</f>
        <v/>
      </c>
      <c r="U166" s="16">
        <f>IFERROR(MATCH(Settings!$C$27&amp;"|"&amp;ROWS($U$2:$U166),'Per Invoice'!$V$2:$V$401,0),"")</f>
        <v/>
      </c>
    </row>
    <row r="167">
      <c r="A167">
        <f>IF($U167="","",IF(INDEX('Per Invoice'!A$2:A$401,$U167)="","",INDEX('Per Invoice'!A$2:A$401,$U167)))</f>
        <v/>
      </c>
      <c r="B167">
        <f>IF($U167="","",IF(INDEX('Per Invoice'!B$2:B$401,$U167)="","",INDEX('Per Invoice'!B$2:B$401,$U167)))</f>
        <v/>
      </c>
      <c r="C167">
        <f>IF($U167="","",IF(INDEX('Per Invoice'!C$2:C$401,$U167)="","",INDEX('Per Invoice'!C$2:C$401,$U167)))</f>
        <v/>
      </c>
      <c r="D167">
        <f>IF($U167="","",IF(INDEX('Per Invoice'!D$2:D$401,$U167)="","",INDEX('Per Invoice'!D$2:D$401,$U167)))</f>
        <v/>
      </c>
      <c r="E167">
        <f>IF($U167="","",IF(INDEX('Per Invoice'!E$2:E$401,$U167)="","",INDEX('Per Invoice'!E$2:E$401,$U167)))</f>
        <v/>
      </c>
      <c r="F167">
        <f>IF($U167="","",IF(INDEX('Per Invoice'!F$2:F$401,$U167)="","",INDEX('Per Invoice'!F$2:F$401,$U167)))</f>
        <v/>
      </c>
      <c r="G167">
        <f>IF($U167="","",IF(INDEX('Per Invoice'!G$2:G$401,$U167)="","",INDEX('Per Invoice'!G$2:G$401,$U167)))</f>
        <v/>
      </c>
      <c r="H167" s="7">
        <f>IF($U167="","",IF(INDEX('Per Invoice'!H$2:H$401,$U167)="","",INDEX('Per Invoice'!H$2:H$401,$U167)))</f>
        <v/>
      </c>
      <c r="I167" s="14">
        <f>IF($U167="","",IF(INDEX('Per Invoice'!I$2:I$401,$U167)="","",INDEX('Per Invoice'!I$2:I$401,$U167)))</f>
        <v/>
      </c>
      <c r="J167">
        <f>IF($U167="","",IF(INDEX('Per Invoice'!J$2:J$401,$U167)="","",INDEX('Per Invoice'!J$2:J$401,$U167)))</f>
        <v/>
      </c>
      <c r="K167">
        <f>IF($U167="","",IF(INDEX('Per Invoice'!K$2:K$401,$U167)="","",INDEX('Per Invoice'!K$2:K$401,$U167)))</f>
        <v/>
      </c>
      <c r="L167" s="7">
        <f>IF($U167="","",IF(INDEX('Per Invoice'!L$2:L$401,$U167)="","",INDEX('Per Invoice'!L$2:L$401,$U167)))</f>
        <v/>
      </c>
      <c r="M167" s="7">
        <f>IF($U167="","",IF(INDEX('Per Invoice'!M$2:M$401,$U167)="","",INDEX('Per Invoice'!M$2:M$401,$U167)))</f>
        <v/>
      </c>
      <c r="N167">
        <f>IF($U167="","",IF(INDEX('Per Invoice'!N$2:N$401,$U167)="","",INDEX('Per Invoice'!N$2:N$401,$U167)))</f>
        <v/>
      </c>
      <c r="O167" s="7">
        <f>IF($U167="","",IF(INDEX('Per Invoice'!O$2:O$401,$U167)="","",INDEX('Per Invoice'!O$2:O$401,$U167)))</f>
        <v/>
      </c>
      <c r="P167" s="7">
        <f>IF($U167="","",IF(INDEX('Per Invoice'!P$2:P$401,$U167)="","",INDEX('Per Invoice'!P$2:P$401,$U167)))</f>
        <v/>
      </c>
      <c r="Q167" s="7">
        <f>IF($U167="","",IF(INDEX('Per Invoice'!Q$2:Q$401,$U167)="","",INDEX('Per Invoice'!Q$2:Q$401,$U167)))</f>
        <v/>
      </c>
      <c r="R167" s="7">
        <f>IF($U167="","",IF(INDEX('Per Invoice'!R$2:R$401,$U167)="","",INDEX('Per Invoice'!R$2:R$401,$U167)))</f>
        <v/>
      </c>
      <c r="S167" s="7">
        <f>IF($U167="","",IF(INDEX('Per Invoice'!S$2:S$401,$U167)="","",INDEX('Per Invoice'!S$2:S$401,$U167)))</f>
        <v/>
      </c>
      <c r="T167" s="7">
        <f>IF($U167="","",IF(INDEX('Per Invoice'!T$2:T$401,$U167)="","",INDEX('Per Invoice'!T$2:T$401,$U167)))</f>
        <v/>
      </c>
      <c r="U167" s="16">
        <f>IFERROR(MATCH(Settings!$C$27&amp;"|"&amp;ROWS($U$2:$U167),'Per Invoice'!$V$2:$V$401,0),"")</f>
        <v/>
      </c>
    </row>
    <row r="168">
      <c r="A168">
        <f>IF($U168="","",IF(INDEX('Per Invoice'!A$2:A$401,$U168)="","",INDEX('Per Invoice'!A$2:A$401,$U168)))</f>
        <v/>
      </c>
      <c r="B168">
        <f>IF($U168="","",IF(INDEX('Per Invoice'!B$2:B$401,$U168)="","",INDEX('Per Invoice'!B$2:B$401,$U168)))</f>
        <v/>
      </c>
      <c r="C168">
        <f>IF($U168="","",IF(INDEX('Per Invoice'!C$2:C$401,$U168)="","",INDEX('Per Invoice'!C$2:C$401,$U168)))</f>
        <v/>
      </c>
      <c r="D168">
        <f>IF($U168="","",IF(INDEX('Per Invoice'!D$2:D$401,$U168)="","",INDEX('Per Invoice'!D$2:D$401,$U168)))</f>
        <v/>
      </c>
      <c r="E168">
        <f>IF($U168="","",IF(INDEX('Per Invoice'!E$2:E$401,$U168)="","",INDEX('Per Invoice'!E$2:E$401,$U168)))</f>
        <v/>
      </c>
      <c r="F168">
        <f>IF($U168="","",IF(INDEX('Per Invoice'!F$2:F$401,$U168)="","",INDEX('Per Invoice'!F$2:F$401,$U168)))</f>
        <v/>
      </c>
      <c r="G168">
        <f>IF($U168="","",IF(INDEX('Per Invoice'!G$2:G$401,$U168)="","",INDEX('Per Invoice'!G$2:G$401,$U168)))</f>
        <v/>
      </c>
      <c r="H168" s="7">
        <f>IF($U168="","",IF(INDEX('Per Invoice'!H$2:H$401,$U168)="","",INDEX('Per Invoice'!H$2:H$401,$U168)))</f>
        <v/>
      </c>
      <c r="I168" s="14">
        <f>IF($U168="","",IF(INDEX('Per Invoice'!I$2:I$401,$U168)="","",INDEX('Per Invoice'!I$2:I$401,$U168)))</f>
        <v/>
      </c>
      <c r="J168">
        <f>IF($U168="","",IF(INDEX('Per Invoice'!J$2:J$401,$U168)="","",INDEX('Per Invoice'!J$2:J$401,$U168)))</f>
        <v/>
      </c>
      <c r="K168">
        <f>IF($U168="","",IF(INDEX('Per Invoice'!K$2:K$401,$U168)="","",INDEX('Per Invoice'!K$2:K$401,$U168)))</f>
        <v/>
      </c>
      <c r="L168" s="7">
        <f>IF($U168="","",IF(INDEX('Per Invoice'!L$2:L$401,$U168)="","",INDEX('Per Invoice'!L$2:L$401,$U168)))</f>
        <v/>
      </c>
      <c r="M168" s="7">
        <f>IF($U168="","",IF(INDEX('Per Invoice'!M$2:M$401,$U168)="","",INDEX('Per Invoice'!M$2:M$401,$U168)))</f>
        <v/>
      </c>
      <c r="N168">
        <f>IF($U168="","",IF(INDEX('Per Invoice'!N$2:N$401,$U168)="","",INDEX('Per Invoice'!N$2:N$401,$U168)))</f>
        <v/>
      </c>
      <c r="O168" s="7">
        <f>IF($U168="","",IF(INDEX('Per Invoice'!O$2:O$401,$U168)="","",INDEX('Per Invoice'!O$2:O$401,$U168)))</f>
        <v/>
      </c>
      <c r="P168" s="7">
        <f>IF($U168="","",IF(INDEX('Per Invoice'!P$2:P$401,$U168)="","",INDEX('Per Invoice'!P$2:P$401,$U168)))</f>
        <v/>
      </c>
      <c r="Q168" s="7">
        <f>IF($U168="","",IF(INDEX('Per Invoice'!Q$2:Q$401,$U168)="","",INDEX('Per Invoice'!Q$2:Q$401,$U168)))</f>
        <v/>
      </c>
      <c r="R168" s="7">
        <f>IF($U168="","",IF(INDEX('Per Invoice'!R$2:R$401,$U168)="","",INDEX('Per Invoice'!R$2:R$401,$U168)))</f>
        <v/>
      </c>
      <c r="S168" s="7">
        <f>IF($U168="","",IF(INDEX('Per Invoice'!S$2:S$401,$U168)="","",INDEX('Per Invoice'!S$2:S$401,$U168)))</f>
        <v/>
      </c>
      <c r="T168" s="7">
        <f>IF($U168="","",IF(INDEX('Per Invoice'!T$2:T$401,$U168)="","",INDEX('Per Invoice'!T$2:T$401,$U168)))</f>
        <v/>
      </c>
      <c r="U168" s="16">
        <f>IFERROR(MATCH(Settings!$C$27&amp;"|"&amp;ROWS($U$2:$U168),'Per Invoice'!$V$2:$V$401,0),"")</f>
        <v/>
      </c>
    </row>
    <row r="169">
      <c r="A169">
        <f>IF($U169="","",IF(INDEX('Per Invoice'!A$2:A$401,$U169)="","",INDEX('Per Invoice'!A$2:A$401,$U169)))</f>
        <v/>
      </c>
      <c r="B169">
        <f>IF($U169="","",IF(INDEX('Per Invoice'!B$2:B$401,$U169)="","",INDEX('Per Invoice'!B$2:B$401,$U169)))</f>
        <v/>
      </c>
      <c r="C169">
        <f>IF($U169="","",IF(INDEX('Per Invoice'!C$2:C$401,$U169)="","",INDEX('Per Invoice'!C$2:C$401,$U169)))</f>
        <v/>
      </c>
      <c r="D169">
        <f>IF($U169="","",IF(INDEX('Per Invoice'!D$2:D$401,$U169)="","",INDEX('Per Invoice'!D$2:D$401,$U169)))</f>
        <v/>
      </c>
      <c r="E169">
        <f>IF($U169="","",IF(INDEX('Per Invoice'!E$2:E$401,$U169)="","",INDEX('Per Invoice'!E$2:E$401,$U169)))</f>
        <v/>
      </c>
      <c r="F169">
        <f>IF($U169="","",IF(INDEX('Per Invoice'!F$2:F$401,$U169)="","",INDEX('Per Invoice'!F$2:F$401,$U169)))</f>
        <v/>
      </c>
      <c r="G169">
        <f>IF($U169="","",IF(INDEX('Per Invoice'!G$2:G$401,$U169)="","",INDEX('Per Invoice'!G$2:G$401,$U169)))</f>
        <v/>
      </c>
      <c r="H169" s="7">
        <f>IF($U169="","",IF(INDEX('Per Invoice'!H$2:H$401,$U169)="","",INDEX('Per Invoice'!H$2:H$401,$U169)))</f>
        <v/>
      </c>
      <c r="I169" s="14">
        <f>IF($U169="","",IF(INDEX('Per Invoice'!I$2:I$401,$U169)="","",INDEX('Per Invoice'!I$2:I$401,$U169)))</f>
        <v/>
      </c>
      <c r="J169">
        <f>IF($U169="","",IF(INDEX('Per Invoice'!J$2:J$401,$U169)="","",INDEX('Per Invoice'!J$2:J$401,$U169)))</f>
        <v/>
      </c>
      <c r="K169">
        <f>IF($U169="","",IF(INDEX('Per Invoice'!K$2:K$401,$U169)="","",INDEX('Per Invoice'!K$2:K$401,$U169)))</f>
        <v/>
      </c>
      <c r="L169" s="7">
        <f>IF($U169="","",IF(INDEX('Per Invoice'!L$2:L$401,$U169)="","",INDEX('Per Invoice'!L$2:L$401,$U169)))</f>
        <v/>
      </c>
      <c r="M169" s="7">
        <f>IF($U169="","",IF(INDEX('Per Invoice'!M$2:M$401,$U169)="","",INDEX('Per Invoice'!M$2:M$401,$U169)))</f>
        <v/>
      </c>
      <c r="N169">
        <f>IF($U169="","",IF(INDEX('Per Invoice'!N$2:N$401,$U169)="","",INDEX('Per Invoice'!N$2:N$401,$U169)))</f>
        <v/>
      </c>
      <c r="O169" s="7">
        <f>IF($U169="","",IF(INDEX('Per Invoice'!O$2:O$401,$U169)="","",INDEX('Per Invoice'!O$2:O$401,$U169)))</f>
        <v/>
      </c>
      <c r="P169" s="7">
        <f>IF($U169="","",IF(INDEX('Per Invoice'!P$2:P$401,$U169)="","",INDEX('Per Invoice'!P$2:P$401,$U169)))</f>
        <v/>
      </c>
      <c r="Q169" s="7">
        <f>IF($U169="","",IF(INDEX('Per Invoice'!Q$2:Q$401,$U169)="","",INDEX('Per Invoice'!Q$2:Q$401,$U169)))</f>
        <v/>
      </c>
      <c r="R169" s="7">
        <f>IF($U169="","",IF(INDEX('Per Invoice'!R$2:R$401,$U169)="","",INDEX('Per Invoice'!R$2:R$401,$U169)))</f>
        <v/>
      </c>
      <c r="S169" s="7">
        <f>IF($U169="","",IF(INDEX('Per Invoice'!S$2:S$401,$U169)="","",INDEX('Per Invoice'!S$2:S$401,$U169)))</f>
        <v/>
      </c>
      <c r="T169" s="7">
        <f>IF($U169="","",IF(INDEX('Per Invoice'!T$2:T$401,$U169)="","",INDEX('Per Invoice'!T$2:T$401,$U169)))</f>
        <v/>
      </c>
      <c r="U169" s="16">
        <f>IFERROR(MATCH(Settings!$C$27&amp;"|"&amp;ROWS($U$2:$U169),'Per Invoice'!$V$2:$V$401,0),"")</f>
        <v/>
      </c>
    </row>
    <row r="170">
      <c r="A170">
        <f>IF($U170="","",IF(INDEX('Per Invoice'!A$2:A$401,$U170)="","",INDEX('Per Invoice'!A$2:A$401,$U170)))</f>
        <v/>
      </c>
      <c r="B170">
        <f>IF($U170="","",IF(INDEX('Per Invoice'!B$2:B$401,$U170)="","",INDEX('Per Invoice'!B$2:B$401,$U170)))</f>
        <v/>
      </c>
      <c r="C170">
        <f>IF($U170="","",IF(INDEX('Per Invoice'!C$2:C$401,$U170)="","",INDEX('Per Invoice'!C$2:C$401,$U170)))</f>
        <v/>
      </c>
      <c r="D170">
        <f>IF($U170="","",IF(INDEX('Per Invoice'!D$2:D$401,$U170)="","",INDEX('Per Invoice'!D$2:D$401,$U170)))</f>
        <v/>
      </c>
      <c r="E170">
        <f>IF($U170="","",IF(INDEX('Per Invoice'!E$2:E$401,$U170)="","",INDEX('Per Invoice'!E$2:E$401,$U170)))</f>
        <v/>
      </c>
      <c r="F170">
        <f>IF($U170="","",IF(INDEX('Per Invoice'!F$2:F$401,$U170)="","",INDEX('Per Invoice'!F$2:F$401,$U170)))</f>
        <v/>
      </c>
      <c r="G170">
        <f>IF($U170="","",IF(INDEX('Per Invoice'!G$2:G$401,$U170)="","",INDEX('Per Invoice'!G$2:G$401,$U170)))</f>
        <v/>
      </c>
      <c r="H170" s="7">
        <f>IF($U170="","",IF(INDEX('Per Invoice'!H$2:H$401,$U170)="","",INDEX('Per Invoice'!H$2:H$401,$U170)))</f>
        <v/>
      </c>
      <c r="I170" s="14">
        <f>IF($U170="","",IF(INDEX('Per Invoice'!I$2:I$401,$U170)="","",INDEX('Per Invoice'!I$2:I$401,$U170)))</f>
        <v/>
      </c>
      <c r="J170">
        <f>IF($U170="","",IF(INDEX('Per Invoice'!J$2:J$401,$U170)="","",INDEX('Per Invoice'!J$2:J$401,$U170)))</f>
        <v/>
      </c>
      <c r="K170">
        <f>IF($U170="","",IF(INDEX('Per Invoice'!K$2:K$401,$U170)="","",INDEX('Per Invoice'!K$2:K$401,$U170)))</f>
        <v/>
      </c>
      <c r="L170" s="7">
        <f>IF($U170="","",IF(INDEX('Per Invoice'!L$2:L$401,$U170)="","",INDEX('Per Invoice'!L$2:L$401,$U170)))</f>
        <v/>
      </c>
      <c r="M170" s="7">
        <f>IF($U170="","",IF(INDEX('Per Invoice'!M$2:M$401,$U170)="","",INDEX('Per Invoice'!M$2:M$401,$U170)))</f>
        <v/>
      </c>
      <c r="N170">
        <f>IF($U170="","",IF(INDEX('Per Invoice'!N$2:N$401,$U170)="","",INDEX('Per Invoice'!N$2:N$401,$U170)))</f>
        <v/>
      </c>
      <c r="O170" s="7">
        <f>IF($U170="","",IF(INDEX('Per Invoice'!O$2:O$401,$U170)="","",INDEX('Per Invoice'!O$2:O$401,$U170)))</f>
        <v/>
      </c>
      <c r="P170" s="7">
        <f>IF($U170="","",IF(INDEX('Per Invoice'!P$2:P$401,$U170)="","",INDEX('Per Invoice'!P$2:P$401,$U170)))</f>
        <v/>
      </c>
      <c r="Q170" s="7">
        <f>IF($U170="","",IF(INDEX('Per Invoice'!Q$2:Q$401,$U170)="","",INDEX('Per Invoice'!Q$2:Q$401,$U170)))</f>
        <v/>
      </c>
      <c r="R170" s="7">
        <f>IF($U170="","",IF(INDEX('Per Invoice'!R$2:R$401,$U170)="","",INDEX('Per Invoice'!R$2:R$401,$U170)))</f>
        <v/>
      </c>
      <c r="S170" s="7">
        <f>IF($U170="","",IF(INDEX('Per Invoice'!S$2:S$401,$U170)="","",INDEX('Per Invoice'!S$2:S$401,$U170)))</f>
        <v/>
      </c>
      <c r="T170" s="7">
        <f>IF($U170="","",IF(INDEX('Per Invoice'!T$2:T$401,$U170)="","",INDEX('Per Invoice'!T$2:T$401,$U170)))</f>
        <v/>
      </c>
      <c r="U170" s="16">
        <f>IFERROR(MATCH(Settings!$C$27&amp;"|"&amp;ROWS($U$2:$U170),'Per Invoice'!$V$2:$V$401,0),"")</f>
        <v/>
      </c>
    </row>
    <row r="171">
      <c r="A171">
        <f>IF($U171="","",IF(INDEX('Per Invoice'!A$2:A$401,$U171)="","",INDEX('Per Invoice'!A$2:A$401,$U171)))</f>
        <v/>
      </c>
      <c r="B171">
        <f>IF($U171="","",IF(INDEX('Per Invoice'!B$2:B$401,$U171)="","",INDEX('Per Invoice'!B$2:B$401,$U171)))</f>
        <v/>
      </c>
      <c r="C171">
        <f>IF($U171="","",IF(INDEX('Per Invoice'!C$2:C$401,$U171)="","",INDEX('Per Invoice'!C$2:C$401,$U171)))</f>
        <v/>
      </c>
      <c r="D171">
        <f>IF($U171="","",IF(INDEX('Per Invoice'!D$2:D$401,$U171)="","",INDEX('Per Invoice'!D$2:D$401,$U171)))</f>
        <v/>
      </c>
      <c r="E171">
        <f>IF($U171="","",IF(INDEX('Per Invoice'!E$2:E$401,$U171)="","",INDEX('Per Invoice'!E$2:E$401,$U171)))</f>
        <v/>
      </c>
      <c r="F171">
        <f>IF($U171="","",IF(INDEX('Per Invoice'!F$2:F$401,$U171)="","",INDEX('Per Invoice'!F$2:F$401,$U171)))</f>
        <v/>
      </c>
      <c r="G171">
        <f>IF($U171="","",IF(INDEX('Per Invoice'!G$2:G$401,$U171)="","",INDEX('Per Invoice'!G$2:G$401,$U171)))</f>
        <v/>
      </c>
      <c r="H171" s="7">
        <f>IF($U171="","",IF(INDEX('Per Invoice'!H$2:H$401,$U171)="","",INDEX('Per Invoice'!H$2:H$401,$U171)))</f>
        <v/>
      </c>
      <c r="I171" s="14">
        <f>IF($U171="","",IF(INDEX('Per Invoice'!I$2:I$401,$U171)="","",INDEX('Per Invoice'!I$2:I$401,$U171)))</f>
        <v/>
      </c>
      <c r="J171">
        <f>IF($U171="","",IF(INDEX('Per Invoice'!J$2:J$401,$U171)="","",INDEX('Per Invoice'!J$2:J$401,$U171)))</f>
        <v/>
      </c>
      <c r="K171">
        <f>IF($U171="","",IF(INDEX('Per Invoice'!K$2:K$401,$U171)="","",INDEX('Per Invoice'!K$2:K$401,$U171)))</f>
        <v/>
      </c>
      <c r="L171" s="7">
        <f>IF($U171="","",IF(INDEX('Per Invoice'!L$2:L$401,$U171)="","",INDEX('Per Invoice'!L$2:L$401,$U171)))</f>
        <v/>
      </c>
      <c r="M171" s="7">
        <f>IF($U171="","",IF(INDEX('Per Invoice'!M$2:M$401,$U171)="","",INDEX('Per Invoice'!M$2:M$401,$U171)))</f>
        <v/>
      </c>
      <c r="N171">
        <f>IF($U171="","",IF(INDEX('Per Invoice'!N$2:N$401,$U171)="","",INDEX('Per Invoice'!N$2:N$401,$U171)))</f>
        <v/>
      </c>
      <c r="O171" s="7">
        <f>IF($U171="","",IF(INDEX('Per Invoice'!O$2:O$401,$U171)="","",INDEX('Per Invoice'!O$2:O$401,$U171)))</f>
        <v/>
      </c>
      <c r="P171" s="7">
        <f>IF($U171="","",IF(INDEX('Per Invoice'!P$2:P$401,$U171)="","",INDEX('Per Invoice'!P$2:P$401,$U171)))</f>
        <v/>
      </c>
      <c r="Q171" s="7">
        <f>IF($U171="","",IF(INDEX('Per Invoice'!Q$2:Q$401,$U171)="","",INDEX('Per Invoice'!Q$2:Q$401,$U171)))</f>
        <v/>
      </c>
      <c r="R171" s="7">
        <f>IF($U171="","",IF(INDEX('Per Invoice'!R$2:R$401,$U171)="","",INDEX('Per Invoice'!R$2:R$401,$U171)))</f>
        <v/>
      </c>
      <c r="S171" s="7">
        <f>IF($U171="","",IF(INDEX('Per Invoice'!S$2:S$401,$U171)="","",INDEX('Per Invoice'!S$2:S$401,$U171)))</f>
        <v/>
      </c>
      <c r="T171" s="7">
        <f>IF($U171="","",IF(INDEX('Per Invoice'!T$2:T$401,$U171)="","",INDEX('Per Invoice'!T$2:T$401,$U171)))</f>
        <v/>
      </c>
      <c r="U171" s="16">
        <f>IFERROR(MATCH(Settings!$C$27&amp;"|"&amp;ROWS($U$2:$U171),'Per Invoice'!$V$2:$V$401,0),"")</f>
        <v/>
      </c>
    </row>
    <row r="172">
      <c r="A172">
        <f>IF($U172="","",IF(INDEX('Per Invoice'!A$2:A$401,$U172)="","",INDEX('Per Invoice'!A$2:A$401,$U172)))</f>
        <v/>
      </c>
      <c r="B172">
        <f>IF($U172="","",IF(INDEX('Per Invoice'!B$2:B$401,$U172)="","",INDEX('Per Invoice'!B$2:B$401,$U172)))</f>
        <v/>
      </c>
      <c r="C172">
        <f>IF($U172="","",IF(INDEX('Per Invoice'!C$2:C$401,$U172)="","",INDEX('Per Invoice'!C$2:C$401,$U172)))</f>
        <v/>
      </c>
      <c r="D172">
        <f>IF($U172="","",IF(INDEX('Per Invoice'!D$2:D$401,$U172)="","",INDEX('Per Invoice'!D$2:D$401,$U172)))</f>
        <v/>
      </c>
      <c r="E172">
        <f>IF($U172="","",IF(INDEX('Per Invoice'!E$2:E$401,$U172)="","",INDEX('Per Invoice'!E$2:E$401,$U172)))</f>
        <v/>
      </c>
      <c r="F172">
        <f>IF($U172="","",IF(INDEX('Per Invoice'!F$2:F$401,$U172)="","",INDEX('Per Invoice'!F$2:F$401,$U172)))</f>
        <v/>
      </c>
      <c r="G172">
        <f>IF($U172="","",IF(INDEX('Per Invoice'!G$2:G$401,$U172)="","",INDEX('Per Invoice'!G$2:G$401,$U172)))</f>
        <v/>
      </c>
      <c r="H172" s="7">
        <f>IF($U172="","",IF(INDEX('Per Invoice'!H$2:H$401,$U172)="","",INDEX('Per Invoice'!H$2:H$401,$U172)))</f>
        <v/>
      </c>
      <c r="I172" s="14">
        <f>IF($U172="","",IF(INDEX('Per Invoice'!I$2:I$401,$U172)="","",INDEX('Per Invoice'!I$2:I$401,$U172)))</f>
        <v/>
      </c>
      <c r="J172">
        <f>IF($U172="","",IF(INDEX('Per Invoice'!J$2:J$401,$U172)="","",INDEX('Per Invoice'!J$2:J$401,$U172)))</f>
        <v/>
      </c>
      <c r="K172">
        <f>IF($U172="","",IF(INDEX('Per Invoice'!K$2:K$401,$U172)="","",INDEX('Per Invoice'!K$2:K$401,$U172)))</f>
        <v/>
      </c>
      <c r="L172" s="7">
        <f>IF($U172="","",IF(INDEX('Per Invoice'!L$2:L$401,$U172)="","",INDEX('Per Invoice'!L$2:L$401,$U172)))</f>
        <v/>
      </c>
      <c r="M172" s="7">
        <f>IF($U172="","",IF(INDEX('Per Invoice'!M$2:M$401,$U172)="","",INDEX('Per Invoice'!M$2:M$401,$U172)))</f>
        <v/>
      </c>
      <c r="N172">
        <f>IF($U172="","",IF(INDEX('Per Invoice'!N$2:N$401,$U172)="","",INDEX('Per Invoice'!N$2:N$401,$U172)))</f>
        <v/>
      </c>
      <c r="O172" s="7">
        <f>IF($U172="","",IF(INDEX('Per Invoice'!O$2:O$401,$U172)="","",INDEX('Per Invoice'!O$2:O$401,$U172)))</f>
        <v/>
      </c>
      <c r="P172" s="7">
        <f>IF($U172="","",IF(INDEX('Per Invoice'!P$2:P$401,$U172)="","",INDEX('Per Invoice'!P$2:P$401,$U172)))</f>
        <v/>
      </c>
      <c r="Q172" s="7">
        <f>IF($U172="","",IF(INDEX('Per Invoice'!Q$2:Q$401,$U172)="","",INDEX('Per Invoice'!Q$2:Q$401,$U172)))</f>
        <v/>
      </c>
      <c r="R172" s="7">
        <f>IF($U172="","",IF(INDEX('Per Invoice'!R$2:R$401,$U172)="","",INDEX('Per Invoice'!R$2:R$401,$U172)))</f>
        <v/>
      </c>
      <c r="S172" s="7">
        <f>IF($U172="","",IF(INDEX('Per Invoice'!S$2:S$401,$U172)="","",INDEX('Per Invoice'!S$2:S$401,$U172)))</f>
        <v/>
      </c>
      <c r="T172" s="7">
        <f>IF($U172="","",IF(INDEX('Per Invoice'!T$2:T$401,$U172)="","",INDEX('Per Invoice'!T$2:T$401,$U172)))</f>
        <v/>
      </c>
      <c r="U172" s="16">
        <f>IFERROR(MATCH(Settings!$C$27&amp;"|"&amp;ROWS($U$2:$U172),'Per Invoice'!$V$2:$V$401,0),"")</f>
        <v/>
      </c>
    </row>
    <row r="173">
      <c r="A173">
        <f>IF($U173="","",IF(INDEX('Per Invoice'!A$2:A$401,$U173)="","",INDEX('Per Invoice'!A$2:A$401,$U173)))</f>
        <v/>
      </c>
      <c r="B173">
        <f>IF($U173="","",IF(INDEX('Per Invoice'!B$2:B$401,$U173)="","",INDEX('Per Invoice'!B$2:B$401,$U173)))</f>
        <v/>
      </c>
      <c r="C173">
        <f>IF($U173="","",IF(INDEX('Per Invoice'!C$2:C$401,$U173)="","",INDEX('Per Invoice'!C$2:C$401,$U173)))</f>
        <v/>
      </c>
      <c r="D173">
        <f>IF($U173="","",IF(INDEX('Per Invoice'!D$2:D$401,$U173)="","",INDEX('Per Invoice'!D$2:D$401,$U173)))</f>
        <v/>
      </c>
      <c r="E173">
        <f>IF($U173="","",IF(INDEX('Per Invoice'!E$2:E$401,$U173)="","",INDEX('Per Invoice'!E$2:E$401,$U173)))</f>
        <v/>
      </c>
      <c r="F173">
        <f>IF($U173="","",IF(INDEX('Per Invoice'!F$2:F$401,$U173)="","",INDEX('Per Invoice'!F$2:F$401,$U173)))</f>
        <v/>
      </c>
      <c r="G173">
        <f>IF($U173="","",IF(INDEX('Per Invoice'!G$2:G$401,$U173)="","",INDEX('Per Invoice'!G$2:G$401,$U173)))</f>
        <v/>
      </c>
      <c r="H173" s="7">
        <f>IF($U173="","",IF(INDEX('Per Invoice'!H$2:H$401,$U173)="","",INDEX('Per Invoice'!H$2:H$401,$U173)))</f>
        <v/>
      </c>
      <c r="I173" s="14">
        <f>IF($U173="","",IF(INDEX('Per Invoice'!I$2:I$401,$U173)="","",INDEX('Per Invoice'!I$2:I$401,$U173)))</f>
        <v/>
      </c>
      <c r="J173">
        <f>IF($U173="","",IF(INDEX('Per Invoice'!J$2:J$401,$U173)="","",INDEX('Per Invoice'!J$2:J$401,$U173)))</f>
        <v/>
      </c>
      <c r="K173">
        <f>IF($U173="","",IF(INDEX('Per Invoice'!K$2:K$401,$U173)="","",INDEX('Per Invoice'!K$2:K$401,$U173)))</f>
        <v/>
      </c>
      <c r="L173" s="7">
        <f>IF($U173="","",IF(INDEX('Per Invoice'!L$2:L$401,$U173)="","",INDEX('Per Invoice'!L$2:L$401,$U173)))</f>
        <v/>
      </c>
      <c r="M173" s="7">
        <f>IF($U173="","",IF(INDEX('Per Invoice'!M$2:M$401,$U173)="","",INDEX('Per Invoice'!M$2:M$401,$U173)))</f>
        <v/>
      </c>
      <c r="N173">
        <f>IF($U173="","",IF(INDEX('Per Invoice'!N$2:N$401,$U173)="","",INDEX('Per Invoice'!N$2:N$401,$U173)))</f>
        <v/>
      </c>
      <c r="O173" s="7">
        <f>IF($U173="","",IF(INDEX('Per Invoice'!O$2:O$401,$U173)="","",INDEX('Per Invoice'!O$2:O$401,$U173)))</f>
        <v/>
      </c>
      <c r="P173" s="7">
        <f>IF($U173="","",IF(INDEX('Per Invoice'!P$2:P$401,$U173)="","",INDEX('Per Invoice'!P$2:P$401,$U173)))</f>
        <v/>
      </c>
      <c r="Q173" s="7">
        <f>IF($U173="","",IF(INDEX('Per Invoice'!Q$2:Q$401,$U173)="","",INDEX('Per Invoice'!Q$2:Q$401,$U173)))</f>
        <v/>
      </c>
      <c r="R173" s="7">
        <f>IF($U173="","",IF(INDEX('Per Invoice'!R$2:R$401,$U173)="","",INDEX('Per Invoice'!R$2:R$401,$U173)))</f>
        <v/>
      </c>
      <c r="S173" s="7">
        <f>IF($U173="","",IF(INDEX('Per Invoice'!S$2:S$401,$U173)="","",INDEX('Per Invoice'!S$2:S$401,$U173)))</f>
        <v/>
      </c>
      <c r="T173" s="7">
        <f>IF($U173="","",IF(INDEX('Per Invoice'!T$2:T$401,$U173)="","",INDEX('Per Invoice'!T$2:T$401,$U173)))</f>
        <v/>
      </c>
      <c r="U173" s="16">
        <f>IFERROR(MATCH(Settings!$C$27&amp;"|"&amp;ROWS($U$2:$U173),'Per Invoice'!$V$2:$V$401,0),"")</f>
        <v/>
      </c>
    </row>
    <row r="174">
      <c r="A174">
        <f>IF($U174="","",IF(INDEX('Per Invoice'!A$2:A$401,$U174)="","",INDEX('Per Invoice'!A$2:A$401,$U174)))</f>
        <v/>
      </c>
      <c r="B174">
        <f>IF($U174="","",IF(INDEX('Per Invoice'!B$2:B$401,$U174)="","",INDEX('Per Invoice'!B$2:B$401,$U174)))</f>
        <v/>
      </c>
      <c r="C174">
        <f>IF($U174="","",IF(INDEX('Per Invoice'!C$2:C$401,$U174)="","",INDEX('Per Invoice'!C$2:C$401,$U174)))</f>
        <v/>
      </c>
      <c r="D174">
        <f>IF($U174="","",IF(INDEX('Per Invoice'!D$2:D$401,$U174)="","",INDEX('Per Invoice'!D$2:D$401,$U174)))</f>
        <v/>
      </c>
      <c r="E174">
        <f>IF($U174="","",IF(INDEX('Per Invoice'!E$2:E$401,$U174)="","",INDEX('Per Invoice'!E$2:E$401,$U174)))</f>
        <v/>
      </c>
      <c r="F174">
        <f>IF($U174="","",IF(INDEX('Per Invoice'!F$2:F$401,$U174)="","",INDEX('Per Invoice'!F$2:F$401,$U174)))</f>
        <v/>
      </c>
      <c r="G174">
        <f>IF($U174="","",IF(INDEX('Per Invoice'!G$2:G$401,$U174)="","",INDEX('Per Invoice'!G$2:G$401,$U174)))</f>
        <v/>
      </c>
      <c r="H174" s="7">
        <f>IF($U174="","",IF(INDEX('Per Invoice'!H$2:H$401,$U174)="","",INDEX('Per Invoice'!H$2:H$401,$U174)))</f>
        <v/>
      </c>
      <c r="I174" s="14">
        <f>IF($U174="","",IF(INDEX('Per Invoice'!I$2:I$401,$U174)="","",INDEX('Per Invoice'!I$2:I$401,$U174)))</f>
        <v/>
      </c>
      <c r="J174">
        <f>IF($U174="","",IF(INDEX('Per Invoice'!J$2:J$401,$U174)="","",INDEX('Per Invoice'!J$2:J$401,$U174)))</f>
        <v/>
      </c>
      <c r="K174">
        <f>IF($U174="","",IF(INDEX('Per Invoice'!K$2:K$401,$U174)="","",INDEX('Per Invoice'!K$2:K$401,$U174)))</f>
        <v/>
      </c>
      <c r="L174" s="7">
        <f>IF($U174="","",IF(INDEX('Per Invoice'!L$2:L$401,$U174)="","",INDEX('Per Invoice'!L$2:L$401,$U174)))</f>
        <v/>
      </c>
      <c r="M174" s="7">
        <f>IF($U174="","",IF(INDEX('Per Invoice'!M$2:M$401,$U174)="","",INDEX('Per Invoice'!M$2:M$401,$U174)))</f>
        <v/>
      </c>
      <c r="N174">
        <f>IF($U174="","",IF(INDEX('Per Invoice'!N$2:N$401,$U174)="","",INDEX('Per Invoice'!N$2:N$401,$U174)))</f>
        <v/>
      </c>
      <c r="O174" s="7">
        <f>IF($U174="","",IF(INDEX('Per Invoice'!O$2:O$401,$U174)="","",INDEX('Per Invoice'!O$2:O$401,$U174)))</f>
        <v/>
      </c>
      <c r="P174" s="7">
        <f>IF($U174="","",IF(INDEX('Per Invoice'!P$2:P$401,$U174)="","",INDEX('Per Invoice'!P$2:P$401,$U174)))</f>
        <v/>
      </c>
      <c r="Q174" s="7">
        <f>IF($U174="","",IF(INDEX('Per Invoice'!Q$2:Q$401,$U174)="","",INDEX('Per Invoice'!Q$2:Q$401,$U174)))</f>
        <v/>
      </c>
      <c r="R174" s="7">
        <f>IF($U174="","",IF(INDEX('Per Invoice'!R$2:R$401,$U174)="","",INDEX('Per Invoice'!R$2:R$401,$U174)))</f>
        <v/>
      </c>
      <c r="S174" s="7">
        <f>IF($U174="","",IF(INDEX('Per Invoice'!S$2:S$401,$U174)="","",INDEX('Per Invoice'!S$2:S$401,$U174)))</f>
        <v/>
      </c>
      <c r="T174" s="7">
        <f>IF($U174="","",IF(INDEX('Per Invoice'!T$2:T$401,$U174)="","",INDEX('Per Invoice'!T$2:T$401,$U174)))</f>
        <v/>
      </c>
      <c r="U174" s="16">
        <f>IFERROR(MATCH(Settings!$C$27&amp;"|"&amp;ROWS($U$2:$U174),'Per Invoice'!$V$2:$V$401,0),"")</f>
        <v/>
      </c>
    </row>
    <row r="175">
      <c r="A175">
        <f>IF($U175="","",IF(INDEX('Per Invoice'!A$2:A$401,$U175)="","",INDEX('Per Invoice'!A$2:A$401,$U175)))</f>
        <v/>
      </c>
      <c r="B175">
        <f>IF($U175="","",IF(INDEX('Per Invoice'!B$2:B$401,$U175)="","",INDEX('Per Invoice'!B$2:B$401,$U175)))</f>
        <v/>
      </c>
      <c r="C175">
        <f>IF($U175="","",IF(INDEX('Per Invoice'!C$2:C$401,$U175)="","",INDEX('Per Invoice'!C$2:C$401,$U175)))</f>
        <v/>
      </c>
      <c r="D175">
        <f>IF($U175="","",IF(INDEX('Per Invoice'!D$2:D$401,$U175)="","",INDEX('Per Invoice'!D$2:D$401,$U175)))</f>
        <v/>
      </c>
      <c r="E175">
        <f>IF($U175="","",IF(INDEX('Per Invoice'!E$2:E$401,$U175)="","",INDEX('Per Invoice'!E$2:E$401,$U175)))</f>
        <v/>
      </c>
      <c r="F175">
        <f>IF($U175="","",IF(INDEX('Per Invoice'!F$2:F$401,$U175)="","",INDEX('Per Invoice'!F$2:F$401,$U175)))</f>
        <v/>
      </c>
      <c r="G175">
        <f>IF($U175="","",IF(INDEX('Per Invoice'!G$2:G$401,$U175)="","",INDEX('Per Invoice'!G$2:G$401,$U175)))</f>
        <v/>
      </c>
      <c r="H175" s="7">
        <f>IF($U175="","",IF(INDEX('Per Invoice'!H$2:H$401,$U175)="","",INDEX('Per Invoice'!H$2:H$401,$U175)))</f>
        <v/>
      </c>
      <c r="I175" s="14">
        <f>IF($U175="","",IF(INDEX('Per Invoice'!I$2:I$401,$U175)="","",INDEX('Per Invoice'!I$2:I$401,$U175)))</f>
        <v/>
      </c>
      <c r="J175">
        <f>IF($U175="","",IF(INDEX('Per Invoice'!J$2:J$401,$U175)="","",INDEX('Per Invoice'!J$2:J$401,$U175)))</f>
        <v/>
      </c>
      <c r="K175">
        <f>IF($U175="","",IF(INDEX('Per Invoice'!K$2:K$401,$U175)="","",INDEX('Per Invoice'!K$2:K$401,$U175)))</f>
        <v/>
      </c>
      <c r="L175" s="7">
        <f>IF($U175="","",IF(INDEX('Per Invoice'!L$2:L$401,$U175)="","",INDEX('Per Invoice'!L$2:L$401,$U175)))</f>
        <v/>
      </c>
      <c r="M175" s="7">
        <f>IF($U175="","",IF(INDEX('Per Invoice'!M$2:M$401,$U175)="","",INDEX('Per Invoice'!M$2:M$401,$U175)))</f>
        <v/>
      </c>
      <c r="N175">
        <f>IF($U175="","",IF(INDEX('Per Invoice'!N$2:N$401,$U175)="","",INDEX('Per Invoice'!N$2:N$401,$U175)))</f>
        <v/>
      </c>
      <c r="O175" s="7">
        <f>IF($U175="","",IF(INDEX('Per Invoice'!O$2:O$401,$U175)="","",INDEX('Per Invoice'!O$2:O$401,$U175)))</f>
        <v/>
      </c>
      <c r="P175" s="7">
        <f>IF($U175="","",IF(INDEX('Per Invoice'!P$2:P$401,$U175)="","",INDEX('Per Invoice'!P$2:P$401,$U175)))</f>
        <v/>
      </c>
      <c r="Q175" s="7">
        <f>IF($U175="","",IF(INDEX('Per Invoice'!Q$2:Q$401,$U175)="","",INDEX('Per Invoice'!Q$2:Q$401,$U175)))</f>
        <v/>
      </c>
      <c r="R175" s="7">
        <f>IF($U175="","",IF(INDEX('Per Invoice'!R$2:R$401,$U175)="","",INDEX('Per Invoice'!R$2:R$401,$U175)))</f>
        <v/>
      </c>
      <c r="S175" s="7">
        <f>IF($U175="","",IF(INDEX('Per Invoice'!S$2:S$401,$U175)="","",INDEX('Per Invoice'!S$2:S$401,$U175)))</f>
        <v/>
      </c>
      <c r="T175" s="7">
        <f>IF($U175="","",IF(INDEX('Per Invoice'!T$2:T$401,$U175)="","",INDEX('Per Invoice'!T$2:T$401,$U175)))</f>
        <v/>
      </c>
      <c r="U175" s="16">
        <f>IFERROR(MATCH(Settings!$C$27&amp;"|"&amp;ROWS($U$2:$U175),'Per Invoice'!$V$2:$V$401,0),"")</f>
        <v/>
      </c>
    </row>
    <row r="176">
      <c r="A176">
        <f>IF($U176="","",IF(INDEX('Per Invoice'!A$2:A$401,$U176)="","",INDEX('Per Invoice'!A$2:A$401,$U176)))</f>
        <v/>
      </c>
      <c r="B176">
        <f>IF($U176="","",IF(INDEX('Per Invoice'!B$2:B$401,$U176)="","",INDEX('Per Invoice'!B$2:B$401,$U176)))</f>
        <v/>
      </c>
      <c r="C176">
        <f>IF($U176="","",IF(INDEX('Per Invoice'!C$2:C$401,$U176)="","",INDEX('Per Invoice'!C$2:C$401,$U176)))</f>
        <v/>
      </c>
      <c r="D176">
        <f>IF($U176="","",IF(INDEX('Per Invoice'!D$2:D$401,$U176)="","",INDEX('Per Invoice'!D$2:D$401,$U176)))</f>
        <v/>
      </c>
      <c r="E176">
        <f>IF($U176="","",IF(INDEX('Per Invoice'!E$2:E$401,$U176)="","",INDEX('Per Invoice'!E$2:E$401,$U176)))</f>
        <v/>
      </c>
      <c r="F176">
        <f>IF($U176="","",IF(INDEX('Per Invoice'!F$2:F$401,$U176)="","",INDEX('Per Invoice'!F$2:F$401,$U176)))</f>
        <v/>
      </c>
      <c r="G176">
        <f>IF($U176="","",IF(INDEX('Per Invoice'!G$2:G$401,$U176)="","",INDEX('Per Invoice'!G$2:G$401,$U176)))</f>
        <v/>
      </c>
      <c r="H176" s="7">
        <f>IF($U176="","",IF(INDEX('Per Invoice'!H$2:H$401,$U176)="","",INDEX('Per Invoice'!H$2:H$401,$U176)))</f>
        <v/>
      </c>
      <c r="I176" s="14">
        <f>IF($U176="","",IF(INDEX('Per Invoice'!I$2:I$401,$U176)="","",INDEX('Per Invoice'!I$2:I$401,$U176)))</f>
        <v/>
      </c>
      <c r="J176">
        <f>IF($U176="","",IF(INDEX('Per Invoice'!J$2:J$401,$U176)="","",INDEX('Per Invoice'!J$2:J$401,$U176)))</f>
        <v/>
      </c>
      <c r="K176">
        <f>IF($U176="","",IF(INDEX('Per Invoice'!K$2:K$401,$U176)="","",INDEX('Per Invoice'!K$2:K$401,$U176)))</f>
        <v/>
      </c>
      <c r="L176" s="7">
        <f>IF($U176="","",IF(INDEX('Per Invoice'!L$2:L$401,$U176)="","",INDEX('Per Invoice'!L$2:L$401,$U176)))</f>
        <v/>
      </c>
      <c r="M176" s="7">
        <f>IF($U176="","",IF(INDEX('Per Invoice'!M$2:M$401,$U176)="","",INDEX('Per Invoice'!M$2:M$401,$U176)))</f>
        <v/>
      </c>
      <c r="N176">
        <f>IF($U176="","",IF(INDEX('Per Invoice'!N$2:N$401,$U176)="","",INDEX('Per Invoice'!N$2:N$401,$U176)))</f>
        <v/>
      </c>
      <c r="O176" s="7">
        <f>IF($U176="","",IF(INDEX('Per Invoice'!O$2:O$401,$U176)="","",INDEX('Per Invoice'!O$2:O$401,$U176)))</f>
        <v/>
      </c>
      <c r="P176" s="7">
        <f>IF($U176="","",IF(INDEX('Per Invoice'!P$2:P$401,$U176)="","",INDEX('Per Invoice'!P$2:P$401,$U176)))</f>
        <v/>
      </c>
      <c r="Q176" s="7">
        <f>IF($U176="","",IF(INDEX('Per Invoice'!Q$2:Q$401,$U176)="","",INDEX('Per Invoice'!Q$2:Q$401,$U176)))</f>
        <v/>
      </c>
      <c r="R176" s="7">
        <f>IF($U176="","",IF(INDEX('Per Invoice'!R$2:R$401,$U176)="","",INDEX('Per Invoice'!R$2:R$401,$U176)))</f>
        <v/>
      </c>
      <c r="S176" s="7">
        <f>IF($U176="","",IF(INDEX('Per Invoice'!S$2:S$401,$U176)="","",INDEX('Per Invoice'!S$2:S$401,$U176)))</f>
        <v/>
      </c>
      <c r="T176" s="7">
        <f>IF($U176="","",IF(INDEX('Per Invoice'!T$2:T$401,$U176)="","",INDEX('Per Invoice'!T$2:T$401,$U176)))</f>
        <v/>
      </c>
      <c r="U176" s="16">
        <f>IFERROR(MATCH(Settings!$C$27&amp;"|"&amp;ROWS($U$2:$U176),'Per Invoice'!$V$2:$V$401,0),"")</f>
        <v/>
      </c>
    </row>
    <row r="177">
      <c r="A177">
        <f>IF($U177="","",IF(INDEX('Per Invoice'!A$2:A$401,$U177)="","",INDEX('Per Invoice'!A$2:A$401,$U177)))</f>
        <v/>
      </c>
      <c r="B177">
        <f>IF($U177="","",IF(INDEX('Per Invoice'!B$2:B$401,$U177)="","",INDEX('Per Invoice'!B$2:B$401,$U177)))</f>
        <v/>
      </c>
      <c r="C177">
        <f>IF($U177="","",IF(INDEX('Per Invoice'!C$2:C$401,$U177)="","",INDEX('Per Invoice'!C$2:C$401,$U177)))</f>
        <v/>
      </c>
      <c r="D177">
        <f>IF($U177="","",IF(INDEX('Per Invoice'!D$2:D$401,$U177)="","",INDEX('Per Invoice'!D$2:D$401,$U177)))</f>
        <v/>
      </c>
      <c r="E177">
        <f>IF($U177="","",IF(INDEX('Per Invoice'!E$2:E$401,$U177)="","",INDEX('Per Invoice'!E$2:E$401,$U177)))</f>
        <v/>
      </c>
      <c r="F177">
        <f>IF($U177="","",IF(INDEX('Per Invoice'!F$2:F$401,$U177)="","",INDEX('Per Invoice'!F$2:F$401,$U177)))</f>
        <v/>
      </c>
      <c r="G177">
        <f>IF($U177="","",IF(INDEX('Per Invoice'!G$2:G$401,$U177)="","",INDEX('Per Invoice'!G$2:G$401,$U177)))</f>
        <v/>
      </c>
      <c r="H177" s="7">
        <f>IF($U177="","",IF(INDEX('Per Invoice'!H$2:H$401,$U177)="","",INDEX('Per Invoice'!H$2:H$401,$U177)))</f>
        <v/>
      </c>
      <c r="I177" s="14">
        <f>IF($U177="","",IF(INDEX('Per Invoice'!I$2:I$401,$U177)="","",INDEX('Per Invoice'!I$2:I$401,$U177)))</f>
        <v/>
      </c>
      <c r="J177">
        <f>IF($U177="","",IF(INDEX('Per Invoice'!J$2:J$401,$U177)="","",INDEX('Per Invoice'!J$2:J$401,$U177)))</f>
        <v/>
      </c>
      <c r="K177">
        <f>IF($U177="","",IF(INDEX('Per Invoice'!K$2:K$401,$U177)="","",INDEX('Per Invoice'!K$2:K$401,$U177)))</f>
        <v/>
      </c>
      <c r="L177" s="7">
        <f>IF($U177="","",IF(INDEX('Per Invoice'!L$2:L$401,$U177)="","",INDEX('Per Invoice'!L$2:L$401,$U177)))</f>
        <v/>
      </c>
      <c r="M177" s="7">
        <f>IF($U177="","",IF(INDEX('Per Invoice'!M$2:M$401,$U177)="","",INDEX('Per Invoice'!M$2:M$401,$U177)))</f>
        <v/>
      </c>
      <c r="N177">
        <f>IF($U177="","",IF(INDEX('Per Invoice'!N$2:N$401,$U177)="","",INDEX('Per Invoice'!N$2:N$401,$U177)))</f>
        <v/>
      </c>
      <c r="O177" s="7">
        <f>IF($U177="","",IF(INDEX('Per Invoice'!O$2:O$401,$U177)="","",INDEX('Per Invoice'!O$2:O$401,$U177)))</f>
        <v/>
      </c>
      <c r="P177" s="7">
        <f>IF($U177="","",IF(INDEX('Per Invoice'!P$2:P$401,$U177)="","",INDEX('Per Invoice'!P$2:P$401,$U177)))</f>
        <v/>
      </c>
      <c r="Q177" s="7">
        <f>IF($U177="","",IF(INDEX('Per Invoice'!Q$2:Q$401,$U177)="","",INDEX('Per Invoice'!Q$2:Q$401,$U177)))</f>
        <v/>
      </c>
      <c r="R177" s="7">
        <f>IF($U177="","",IF(INDEX('Per Invoice'!R$2:R$401,$U177)="","",INDEX('Per Invoice'!R$2:R$401,$U177)))</f>
        <v/>
      </c>
      <c r="S177" s="7">
        <f>IF($U177="","",IF(INDEX('Per Invoice'!S$2:S$401,$U177)="","",INDEX('Per Invoice'!S$2:S$401,$U177)))</f>
        <v/>
      </c>
      <c r="T177" s="7">
        <f>IF($U177="","",IF(INDEX('Per Invoice'!T$2:T$401,$U177)="","",INDEX('Per Invoice'!T$2:T$401,$U177)))</f>
        <v/>
      </c>
      <c r="U177" s="16">
        <f>IFERROR(MATCH(Settings!$C$27&amp;"|"&amp;ROWS($U$2:$U177),'Per Invoice'!$V$2:$V$401,0),"")</f>
        <v/>
      </c>
    </row>
    <row r="178">
      <c r="A178">
        <f>IF($U178="","",IF(INDEX('Per Invoice'!A$2:A$401,$U178)="","",INDEX('Per Invoice'!A$2:A$401,$U178)))</f>
        <v/>
      </c>
      <c r="B178">
        <f>IF($U178="","",IF(INDEX('Per Invoice'!B$2:B$401,$U178)="","",INDEX('Per Invoice'!B$2:B$401,$U178)))</f>
        <v/>
      </c>
      <c r="C178">
        <f>IF($U178="","",IF(INDEX('Per Invoice'!C$2:C$401,$U178)="","",INDEX('Per Invoice'!C$2:C$401,$U178)))</f>
        <v/>
      </c>
      <c r="D178">
        <f>IF($U178="","",IF(INDEX('Per Invoice'!D$2:D$401,$U178)="","",INDEX('Per Invoice'!D$2:D$401,$U178)))</f>
        <v/>
      </c>
      <c r="E178">
        <f>IF($U178="","",IF(INDEX('Per Invoice'!E$2:E$401,$U178)="","",INDEX('Per Invoice'!E$2:E$401,$U178)))</f>
        <v/>
      </c>
      <c r="F178">
        <f>IF($U178="","",IF(INDEX('Per Invoice'!F$2:F$401,$U178)="","",INDEX('Per Invoice'!F$2:F$401,$U178)))</f>
        <v/>
      </c>
      <c r="G178">
        <f>IF($U178="","",IF(INDEX('Per Invoice'!G$2:G$401,$U178)="","",INDEX('Per Invoice'!G$2:G$401,$U178)))</f>
        <v/>
      </c>
      <c r="H178" s="7">
        <f>IF($U178="","",IF(INDEX('Per Invoice'!H$2:H$401,$U178)="","",INDEX('Per Invoice'!H$2:H$401,$U178)))</f>
        <v/>
      </c>
      <c r="I178" s="14">
        <f>IF($U178="","",IF(INDEX('Per Invoice'!I$2:I$401,$U178)="","",INDEX('Per Invoice'!I$2:I$401,$U178)))</f>
        <v/>
      </c>
      <c r="J178">
        <f>IF($U178="","",IF(INDEX('Per Invoice'!J$2:J$401,$U178)="","",INDEX('Per Invoice'!J$2:J$401,$U178)))</f>
        <v/>
      </c>
      <c r="K178">
        <f>IF($U178="","",IF(INDEX('Per Invoice'!K$2:K$401,$U178)="","",INDEX('Per Invoice'!K$2:K$401,$U178)))</f>
        <v/>
      </c>
      <c r="L178" s="7">
        <f>IF($U178="","",IF(INDEX('Per Invoice'!L$2:L$401,$U178)="","",INDEX('Per Invoice'!L$2:L$401,$U178)))</f>
        <v/>
      </c>
      <c r="M178" s="7">
        <f>IF($U178="","",IF(INDEX('Per Invoice'!M$2:M$401,$U178)="","",INDEX('Per Invoice'!M$2:M$401,$U178)))</f>
        <v/>
      </c>
      <c r="N178">
        <f>IF($U178="","",IF(INDEX('Per Invoice'!N$2:N$401,$U178)="","",INDEX('Per Invoice'!N$2:N$401,$U178)))</f>
        <v/>
      </c>
      <c r="O178" s="7">
        <f>IF($U178="","",IF(INDEX('Per Invoice'!O$2:O$401,$U178)="","",INDEX('Per Invoice'!O$2:O$401,$U178)))</f>
        <v/>
      </c>
      <c r="P178" s="7">
        <f>IF($U178="","",IF(INDEX('Per Invoice'!P$2:P$401,$U178)="","",INDEX('Per Invoice'!P$2:P$401,$U178)))</f>
        <v/>
      </c>
      <c r="Q178" s="7">
        <f>IF($U178="","",IF(INDEX('Per Invoice'!Q$2:Q$401,$U178)="","",INDEX('Per Invoice'!Q$2:Q$401,$U178)))</f>
        <v/>
      </c>
      <c r="R178" s="7">
        <f>IF($U178="","",IF(INDEX('Per Invoice'!R$2:R$401,$U178)="","",INDEX('Per Invoice'!R$2:R$401,$U178)))</f>
        <v/>
      </c>
      <c r="S178" s="7">
        <f>IF($U178="","",IF(INDEX('Per Invoice'!S$2:S$401,$U178)="","",INDEX('Per Invoice'!S$2:S$401,$U178)))</f>
        <v/>
      </c>
      <c r="T178" s="7">
        <f>IF($U178="","",IF(INDEX('Per Invoice'!T$2:T$401,$U178)="","",INDEX('Per Invoice'!T$2:T$401,$U178)))</f>
        <v/>
      </c>
      <c r="U178" s="16">
        <f>IFERROR(MATCH(Settings!$C$27&amp;"|"&amp;ROWS($U$2:$U178),'Per Invoice'!$V$2:$V$401,0),"")</f>
        <v/>
      </c>
    </row>
    <row r="179">
      <c r="A179">
        <f>IF($U179="","",IF(INDEX('Per Invoice'!A$2:A$401,$U179)="","",INDEX('Per Invoice'!A$2:A$401,$U179)))</f>
        <v/>
      </c>
      <c r="B179">
        <f>IF($U179="","",IF(INDEX('Per Invoice'!B$2:B$401,$U179)="","",INDEX('Per Invoice'!B$2:B$401,$U179)))</f>
        <v/>
      </c>
      <c r="C179">
        <f>IF($U179="","",IF(INDEX('Per Invoice'!C$2:C$401,$U179)="","",INDEX('Per Invoice'!C$2:C$401,$U179)))</f>
        <v/>
      </c>
      <c r="D179">
        <f>IF($U179="","",IF(INDEX('Per Invoice'!D$2:D$401,$U179)="","",INDEX('Per Invoice'!D$2:D$401,$U179)))</f>
        <v/>
      </c>
      <c r="E179">
        <f>IF($U179="","",IF(INDEX('Per Invoice'!E$2:E$401,$U179)="","",INDEX('Per Invoice'!E$2:E$401,$U179)))</f>
        <v/>
      </c>
      <c r="F179">
        <f>IF($U179="","",IF(INDEX('Per Invoice'!F$2:F$401,$U179)="","",INDEX('Per Invoice'!F$2:F$401,$U179)))</f>
        <v/>
      </c>
      <c r="G179">
        <f>IF($U179="","",IF(INDEX('Per Invoice'!G$2:G$401,$U179)="","",INDEX('Per Invoice'!G$2:G$401,$U179)))</f>
        <v/>
      </c>
      <c r="H179" s="7">
        <f>IF($U179="","",IF(INDEX('Per Invoice'!H$2:H$401,$U179)="","",INDEX('Per Invoice'!H$2:H$401,$U179)))</f>
        <v/>
      </c>
      <c r="I179" s="14">
        <f>IF($U179="","",IF(INDEX('Per Invoice'!I$2:I$401,$U179)="","",INDEX('Per Invoice'!I$2:I$401,$U179)))</f>
        <v/>
      </c>
      <c r="J179">
        <f>IF($U179="","",IF(INDEX('Per Invoice'!J$2:J$401,$U179)="","",INDEX('Per Invoice'!J$2:J$401,$U179)))</f>
        <v/>
      </c>
      <c r="K179">
        <f>IF($U179="","",IF(INDEX('Per Invoice'!K$2:K$401,$U179)="","",INDEX('Per Invoice'!K$2:K$401,$U179)))</f>
        <v/>
      </c>
      <c r="L179" s="7">
        <f>IF($U179="","",IF(INDEX('Per Invoice'!L$2:L$401,$U179)="","",INDEX('Per Invoice'!L$2:L$401,$U179)))</f>
        <v/>
      </c>
      <c r="M179" s="7">
        <f>IF($U179="","",IF(INDEX('Per Invoice'!M$2:M$401,$U179)="","",INDEX('Per Invoice'!M$2:M$401,$U179)))</f>
        <v/>
      </c>
      <c r="N179">
        <f>IF($U179="","",IF(INDEX('Per Invoice'!N$2:N$401,$U179)="","",INDEX('Per Invoice'!N$2:N$401,$U179)))</f>
        <v/>
      </c>
      <c r="O179" s="7">
        <f>IF($U179="","",IF(INDEX('Per Invoice'!O$2:O$401,$U179)="","",INDEX('Per Invoice'!O$2:O$401,$U179)))</f>
        <v/>
      </c>
      <c r="P179" s="7">
        <f>IF($U179="","",IF(INDEX('Per Invoice'!P$2:P$401,$U179)="","",INDEX('Per Invoice'!P$2:P$401,$U179)))</f>
        <v/>
      </c>
      <c r="Q179" s="7">
        <f>IF($U179="","",IF(INDEX('Per Invoice'!Q$2:Q$401,$U179)="","",INDEX('Per Invoice'!Q$2:Q$401,$U179)))</f>
        <v/>
      </c>
      <c r="R179" s="7">
        <f>IF($U179="","",IF(INDEX('Per Invoice'!R$2:R$401,$U179)="","",INDEX('Per Invoice'!R$2:R$401,$U179)))</f>
        <v/>
      </c>
      <c r="S179" s="7">
        <f>IF($U179="","",IF(INDEX('Per Invoice'!S$2:S$401,$U179)="","",INDEX('Per Invoice'!S$2:S$401,$U179)))</f>
        <v/>
      </c>
      <c r="T179" s="7">
        <f>IF($U179="","",IF(INDEX('Per Invoice'!T$2:T$401,$U179)="","",INDEX('Per Invoice'!T$2:T$401,$U179)))</f>
        <v/>
      </c>
      <c r="U179" s="16">
        <f>IFERROR(MATCH(Settings!$C$27&amp;"|"&amp;ROWS($U$2:$U179),'Per Invoice'!$V$2:$V$401,0),"")</f>
        <v/>
      </c>
    </row>
    <row r="180">
      <c r="A180">
        <f>IF($U180="","",IF(INDEX('Per Invoice'!A$2:A$401,$U180)="","",INDEX('Per Invoice'!A$2:A$401,$U180)))</f>
        <v/>
      </c>
      <c r="B180">
        <f>IF($U180="","",IF(INDEX('Per Invoice'!B$2:B$401,$U180)="","",INDEX('Per Invoice'!B$2:B$401,$U180)))</f>
        <v/>
      </c>
      <c r="C180">
        <f>IF($U180="","",IF(INDEX('Per Invoice'!C$2:C$401,$U180)="","",INDEX('Per Invoice'!C$2:C$401,$U180)))</f>
        <v/>
      </c>
      <c r="D180">
        <f>IF($U180="","",IF(INDEX('Per Invoice'!D$2:D$401,$U180)="","",INDEX('Per Invoice'!D$2:D$401,$U180)))</f>
        <v/>
      </c>
      <c r="E180">
        <f>IF($U180="","",IF(INDEX('Per Invoice'!E$2:E$401,$U180)="","",INDEX('Per Invoice'!E$2:E$401,$U180)))</f>
        <v/>
      </c>
      <c r="F180">
        <f>IF($U180="","",IF(INDEX('Per Invoice'!F$2:F$401,$U180)="","",INDEX('Per Invoice'!F$2:F$401,$U180)))</f>
        <v/>
      </c>
      <c r="G180">
        <f>IF($U180="","",IF(INDEX('Per Invoice'!G$2:G$401,$U180)="","",INDEX('Per Invoice'!G$2:G$401,$U180)))</f>
        <v/>
      </c>
      <c r="H180" s="7">
        <f>IF($U180="","",IF(INDEX('Per Invoice'!H$2:H$401,$U180)="","",INDEX('Per Invoice'!H$2:H$401,$U180)))</f>
        <v/>
      </c>
      <c r="I180" s="14">
        <f>IF($U180="","",IF(INDEX('Per Invoice'!I$2:I$401,$U180)="","",INDEX('Per Invoice'!I$2:I$401,$U180)))</f>
        <v/>
      </c>
      <c r="J180">
        <f>IF($U180="","",IF(INDEX('Per Invoice'!J$2:J$401,$U180)="","",INDEX('Per Invoice'!J$2:J$401,$U180)))</f>
        <v/>
      </c>
      <c r="K180">
        <f>IF($U180="","",IF(INDEX('Per Invoice'!K$2:K$401,$U180)="","",INDEX('Per Invoice'!K$2:K$401,$U180)))</f>
        <v/>
      </c>
      <c r="L180" s="7">
        <f>IF($U180="","",IF(INDEX('Per Invoice'!L$2:L$401,$U180)="","",INDEX('Per Invoice'!L$2:L$401,$U180)))</f>
        <v/>
      </c>
      <c r="M180" s="7">
        <f>IF($U180="","",IF(INDEX('Per Invoice'!M$2:M$401,$U180)="","",INDEX('Per Invoice'!M$2:M$401,$U180)))</f>
        <v/>
      </c>
      <c r="N180">
        <f>IF($U180="","",IF(INDEX('Per Invoice'!N$2:N$401,$U180)="","",INDEX('Per Invoice'!N$2:N$401,$U180)))</f>
        <v/>
      </c>
      <c r="O180" s="7">
        <f>IF($U180="","",IF(INDEX('Per Invoice'!O$2:O$401,$U180)="","",INDEX('Per Invoice'!O$2:O$401,$U180)))</f>
        <v/>
      </c>
      <c r="P180" s="7">
        <f>IF($U180="","",IF(INDEX('Per Invoice'!P$2:P$401,$U180)="","",INDEX('Per Invoice'!P$2:P$401,$U180)))</f>
        <v/>
      </c>
      <c r="Q180" s="7">
        <f>IF($U180="","",IF(INDEX('Per Invoice'!Q$2:Q$401,$U180)="","",INDEX('Per Invoice'!Q$2:Q$401,$U180)))</f>
        <v/>
      </c>
      <c r="R180" s="7">
        <f>IF($U180="","",IF(INDEX('Per Invoice'!R$2:R$401,$U180)="","",INDEX('Per Invoice'!R$2:R$401,$U180)))</f>
        <v/>
      </c>
      <c r="S180" s="7">
        <f>IF($U180="","",IF(INDEX('Per Invoice'!S$2:S$401,$U180)="","",INDEX('Per Invoice'!S$2:S$401,$U180)))</f>
        <v/>
      </c>
      <c r="T180" s="7">
        <f>IF($U180="","",IF(INDEX('Per Invoice'!T$2:T$401,$U180)="","",INDEX('Per Invoice'!T$2:T$401,$U180)))</f>
        <v/>
      </c>
      <c r="U180" s="16">
        <f>IFERROR(MATCH(Settings!$C$27&amp;"|"&amp;ROWS($U$2:$U180),'Per Invoice'!$V$2:$V$401,0),"")</f>
        <v/>
      </c>
    </row>
    <row r="181">
      <c r="A181">
        <f>IF($U181="","",IF(INDEX('Per Invoice'!A$2:A$401,$U181)="","",INDEX('Per Invoice'!A$2:A$401,$U181)))</f>
        <v/>
      </c>
      <c r="B181">
        <f>IF($U181="","",IF(INDEX('Per Invoice'!B$2:B$401,$U181)="","",INDEX('Per Invoice'!B$2:B$401,$U181)))</f>
        <v/>
      </c>
      <c r="C181">
        <f>IF($U181="","",IF(INDEX('Per Invoice'!C$2:C$401,$U181)="","",INDEX('Per Invoice'!C$2:C$401,$U181)))</f>
        <v/>
      </c>
      <c r="D181">
        <f>IF($U181="","",IF(INDEX('Per Invoice'!D$2:D$401,$U181)="","",INDEX('Per Invoice'!D$2:D$401,$U181)))</f>
        <v/>
      </c>
      <c r="E181">
        <f>IF($U181="","",IF(INDEX('Per Invoice'!E$2:E$401,$U181)="","",INDEX('Per Invoice'!E$2:E$401,$U181)))</f>
        <v/>
      </c>
      <c r="F181">
        <f>IF($U181="","",IF(INDEX('Per Invoice'!F$2:F$401,$U181)="","",INDEX('Per Invoice'!F$2:F$401,$U181)))</f>
        <v/>
      </c>
      <c r="G181">
        <f>IF($U181="","",IF(INDEX('Per Invoice'!G$2:G$401,$U181)="","",INDEX('Per Invoice'!G$2:G$401,$U181)))</f>
        <v/>
      </c>
      <c r="H181" s="7">
        <f>IF($U181="","",IF(INDEX('Per Invoice'!H$2:H$401,$U181)="","",INDEX('Per Invoice'!H$2:H$401,$U181)))</f>
        <v/>
      </c>
      <c r="I181" s="14">
        <f>IF($U181="","",IF(INDEX('Per Invoice'!I$2:I$401,$U181)="","",INDEX('Per Invoice'!I$2:I$401,$U181)))</f>
        <v/>
      </c>
      <c r="J181">
        <f>IF($U181="","",IF(INDEX('Per Invoice'!J$2:J$401,$U181)="","",INDEX('Per Invoice'!J$2:J$401,$U181)))</f>
        <v/>
      </c>
      <c r="K181">
        <f>IF($U181="","",IF(INDEX('Per Invoice'!K$2:K$401,$U181)="","",INDEX('Per Invoice'!K$2:K$401,$U181)))</f>
        <v/>
      </c>
      <c r="L181" s="7">
        <f>IF($U181="","",IF(INDEX('Per Invoice'!L$2:L$401,$U181)="","",INDEX('Per Invoice'!L$2:L$401,$U181)))</f>
        <v/>
      </c>
      <c r="M181" s="7">
        <f>IF($U181="","",IF(INDEX('Per Invoice'!M$2:M$401,$U181)="","",INDEX('Per Invoice'!M$2:M$401,$U181)))</f>
        <v/>
      </c>
      <c r="N181">
        <f>IF($U181="","",IF(INDEX('Per Invoice'!N$2:N$401,$U181)="","",INDEX('Per Invoice'!N$2:N$401,$U181)))</f>
        <v/>
      </c>
      <c r="O181" s="7">
        <f>IF($U181="","",IF(INDEX('Per Invoice'!O$2:O$401,$U181)="","",INDEX('Per Invoice'!O$2:O$401,$U181)))</f>
        <v/>
      </c>
      <c r="P181" s="7">
        <f>IF($U181="","",IF(INDEX('Per Invoice'!P$2:P$401,$U181)="","",INDEX('Per Invoice'!P$2:P$401,$U181)))</f>
        <v/>
      </c>
      <c r="Q181" s="7">
        <f>IF($U181="","",IF(INDEX('Per Invoice'!Q$2:Q$401,$U181)="","",INDEX('Per Invoice'!Q$2:Q$401,$U181)))</f>
        <v/>
      </c>
      <c r="R181" s="7">
        <f>IF($U181="","",IF(INDEX('Per Invoice'!R$2:R$401,$U181)="","",INDEX('Per Invoice'!R$2:R$401,$U181)))</f>
        <v/>
      </c>
      <c r="S181" s="7">
        <f>IF($U181="","",IF(INDEX('Per Invoice'!S$2:S$401,$U181)="","",INDEX('Per Invoice'!S$2:S$401,$U181)))</f>
        <v/>
      </c>
      <c r="T181" s="7">
        <f>IF($U181="","",IF(INDEX('Per Invoice'!T$2:T$401,$U181)="","",INDEX('Per Invoice'!T$2:T$401,$U181)))</f>
        <v/>
      </c>
      <c r="U181" s="16">
        <f>IFERROR(MATCH(Settings!$C$27&amp;"|"&amp;ROWS($U$2:$U181),'Per Invoice'!$V$2:$V$401,0),"")</f>
        <v/>
      </c>
    </row>
    <row r="182">
      <c r="A182">
        <f>IF($U182="","",IF(INDEX('Per Invoice'!A$2:A$401,$U182)="","",INDEX('Per Invoice'!A$2:A$401,$U182)))</f>
        <v/>
      </c>
      <c r="B182">
        <f>IF($U182="","",IF(INDEX('Per Invoice'!B$2:B$401,$U182)="","",INDEX('Per Invoice'!B$2:B$401,$U182)))</f>
        <v/>
      </c>
      <c r="C182">
        <f>IF($U182="","",IF(INDEX('Per Invoice'!C$2:C$401,$U182)="","",INDEX('Per Invoice'!C$2:C$401,$U182)))</f>
        <v/>
      </c>
      <c r="D182">
        <f>IF($U182="","",IF(INDEX('Per Invoice'!D$2:D$401,$U182)="","",INDEX('Per Invoice'!D$2:D$401,$U182)))</f>
        <v/>
      </c>
      <c r="E182">
        <f>IF($U182="","",IF(INDEX('Per Invoice'!E$2:E$401,$U182)="","",INDEX('Per Invoice'!E$2:E$401,$U182)))</f>
        <v/>
      </c>
      <c r="F182">
        <f>IF($U182="","",IF(INDEX('Per Invoice'!F$2:F$401,$U182)="","",INDEX('Per Invoice'!F$2:F$401,$U182)))</f>
        <v/>
      </c>
      <c r="G182">
        <f>IF($U182="","",IF(INDEX('Per Invoice'!G$2:G$401,$U182)="","",INDEX('Per Invoice'!G$2:G$401,$U182)))</f>
        <v/>
      </c>
      <c r="H182" s="7">
        <f>IF($U182="","",IF(INDEX('Per Invoice'!H$2:H$401,$U182)="","",INDEX('Per Invoice'!H$2:H$401,$U182)))</f>
        <v/>
      </c>
      <c r="I182" s="14">
        <f>IF($U182="","",IF(INDEX('Per Invoice'!I$2:I$401,$U182)="","",INDEX('Per Invoice'!I$2:I$401,$U182)))</f>
        <v/>
      </c>
      <c r="J182">
        <f>IF($U182="","",IF(INDEX('Per Invoice'!J$2:J$401,$U182)="","",INDEX('Per Invoice'!J$2:J$401,$U182)))</f>
        <v/>
      </c>
      <c r="K182">
        <f>IF($U182="","",IF(INDEX('Per Invoice'!K$2:K$401,$U182)="","",INDEX('Per Invoice'!K$2:K$401,$U182)))</f>
        <v/>
      </c>
      <c r="L182" s="7">
        <f>IF($U182="","",IF(INDEX('Per Invoice'!L$2:L$401,$U182)="","",INDEX('Per Invoice'!L$2:L$401,$U182)))</f>
        <v/>
      </c>
      <c r="M182" s="7">
        <f>IF($U182="","",IF(INDEX('Per Invoice'!M$2:M$401,$U182)="","",INDEX('Per Invoice'!M$2:M$401,$U182)))</f>
        <v/>
      </c>
      <c r="N182">
        <f>IF($U182="","",IF(INDEX('Per Invoice'!N$2:N$401,$U182)="","",INDEX('Per Invoice'!N$2:N$401,$U182)))</f>
        <v/>
      </c>
      <c r="O182" s="7">
        <f>IF($U182="","",IF(INDEX('Per Invoice'!O$2:O$401,$U182)="","",INDEX('Per Invoice'!O$2:O$401,$U182)))</f>
        <v/>
      </c>
      <c r="P182" s="7">
        <f>IF($U182="","",IF(INDEX('Per Invoice'!P$2:P$401,$U182)="","",INDEX('Per Invoice'!P$2:P$401,$U182)))</f>
        <v/>
      </c>
      <c r="Q182" s="7">
        <f>IF($U182="","",IF(INDEX('Per Invoice'!Q$2:Q$401,$U182)="","",INDEX('Per Invoice'!Q$2:Q$401,$U182)))</f>
        <v/>
      </c>
      <c r="R182" s="7">
        <f>IF($U182="","",IF(INDEX('Per Invoice'!R$2:R$401,$U182)="","",INDEX('Per Invoice'!R$2:R$401,$U182)))</f>
        <v/>
      </c>
      <c r="S182" s="7">
        <f>IF($U182="","",IF(INDEX('Per Invoice'!S$2:S$401,$U182)="","",INDEX('Per Invoice'!S$2:S$401,$U182)))</f>
        <v/>
      </c>
      <c r="T182" s="7">
        <f>IF($U182="","",IF(INDEX('Per Invoice'!T$2:T$401,$U182)="","",INDEX('Per Invoice'!T$2:T$401,$U182)))</f>
        <v/>
      </c>
      <c r="U182" s="16">
        <f>IFERROR(MATCH(Settings!$C$27&amp;"|"&amp;ROWS($U$2:$U182),'Per Invoice'!$V$2:$V$401,0),"")</f>
        <v/>
      </c>
    </row>
    <row r="183">
      <c r="A183">
        <f>IF($U183="","",IF(INDEX('Per Invoice'!A$2:A$401,$U183)="","",INDEX('Per Invoice'!A$2:A$401,$U183)))</f>
        <v/>
      </c>
      <c r="B183">
        <f>IF($U183="","",IF(INDEX('Per Invoice'!B$2:B$401,$U183)="","",INDEX('Per Invoice'!B$2:B$401,$U183)))</f>
        <v/>
      </c>
      <c r="C183">
        <f>IF($U183="","",IF(INDEX('Per Invoice'!C$2:C$401,$U183)="","",INDEX('Per Invoice'!C$2:C$401,$U183)))</f>
        <v/>
      </c>
      <c r="D183">
        <f>IF($U183="","",IF(INDEX('Per Invoice'!D$2:D$401,$U183)="","",INDEX('Per Invoice'!D$2:D$401,$U183)))</f>
        <v/>
      </c>
      <c r="E183">
        <f>IF($U183="","",IF(INDEX('Per Invoice'!E$2:E$401,$U183)="","",INDEX('Per Invoice'!E$2:E$401,$U183)))</f>
        <v/>
      </c>
      <c r="F183">
        <f>IF($U183="","",IF(INDEX('Per Invoice'!F$2:F$401,$U183)="","",INDEX('Per Invoice'!F$2:F$401,$U183)))</f>
        <v/>
      </c>
      <c r="G183">
        <f>IF($U183="","",IF(INDEX('Per Invoice'!G$2:G$401,$U183)="","",INDEX('Per Invoice'!G$2:G$401,$U183)))</f>
        <v/>
      </c>
      <c r="H183" s="7">
        <f>IF($U183="","",IF(INDEX('Per Invoice'!H$2:H$401,$U183)="","",INDEX('Per Invoice'!H$2:H$401,$U183)))</f>
        <v/>
      </c>
      <c r="I183" s="14">
        <f>IF($U183="","",IF(INDEX('Per Invoice'!I$2:I$401,$U183)="","",INDEX('Per Invoice'!I$2:I$401,$U183)))</f>
        <v/>
      </c>
      <c r="J183">
        <f>IF($U183="","",IF(INDEX('Per Invoice'!J$2:J$401,$U183)="","",INDEX('Per Invoice'!J$2:J$401,$U183)))</f>
        <v/>
      </c>
      <c r="K183">
        <f>IF($U183="","",IF(INDEX('Per Invoice'!K$2:K$401,$U183)="","",INDEX('Per Invoice'!K$2:K$401,$U183)))</f>
        <v/>
      </c>
      <c r="L183" s="7">
        <f>IF($U183="","",IF(INDEX('Per Invoice'!L$2:L$401,$U183)="","",INDEX('Per Invoice'!L$2:L$401,$U183)))</f>
        <v/>
      </c>
      <c r="M183" s="7">
        <f>IF($U183="","",IF(INDEX('Per Invoice'!M$2:M$401,$U183)="","",INDEX('Per Invoice'!M$2:M$401,$U183)))</f>
        <v/>
      </c>
      <c r="N183">
        <f>IF($U183="","",IF(INDEX('Per Invoice'!N$2:N$401,$U183)="","",INDEX('Per Invoice'!N$2:N$401,$U183)))</f>
        <v/>
      </c>
      <c r="O183" s="7">
        <f>IF($U183="","",IF(INDEX('Per Invoice'!O$2:O$401,$U183)="","",INDEX('Per Invoice'!O$2:O$401,$U183)))</f>
        <v/>
      </c>
      <c r="P183" s="7">
        <f>IF($U183="","",IF(INDEX('Per Invoice'!P$2:P$401,$U183)="","",INDEX('Per Invoice'!P$2:P$401,$U183)))</f>
        <v/>
      </c>
      <c r="Q183" s="7">
        <f>IF($U183="","",IF(INDEX('Per Invoice'!Q$2:Q$401,$U183)="","",INDEX('Per Invoice'!Q$2:Q$401,$U183)))</f>
        <v/>
      </c>
      <c r="R183" s="7">
        <f>IF($U183="","",IF(INDEX('Per Invoice'!R$2:R$401,$U183)="","",INDEX('Per Invoice'!R$2:R$401,$U183)))</f>
        <v/>
      </c>
      <c r="S183" s="7">
        <f>IF($U183="","",IF(INDEX('Per Invoice'!S$2:S$401,$U183)="","",INDEX('Per Invoice'!S$2:S$401,$U183)))</f>
        <v/>
      </c>
      <c r="T183" s="7">
        <f>IF($U183="","",IF(INDEX('Per Invoice'!T$2:T$401,$U183)="","",INDEX('Per Invoice'!T$2:T$401,$U183)))</f>
        <v/>
      </c>
      <c r="U183" s="16">
        <f>IFERROR(MATCH(Settings!$C$27&amp;"|"&amp;ROWS($U$2:$U183),'Per Invoice'!$V$2:$V$401,0),"")</f>
        <v/>
      </c>
    </row>
    <row r="184">
      <c r="A184">
        <f>IF($U184="","",IF(INDEX('Per Invoice'!A$2:A$401,$U184)="","",INDEX('Per Invoice'!A$2:A$401,$U184)))</f>
        <v/>
      </c>
      <c r="B184">
        <f>IF($U184="","",IF(INDEX('Per Invoice'!B$2:B$401,$U184)="","",INDEX('Per Invoice'!B$2:B$401,$U184)))</f>
        <v/>
      </c>
      <c r="C184">
        <f>IF($U184="","",IF(INDEX('Per Invoice'!C$2:C$401,$U184)="","",INDEX('Per Invoice'!C$2:C$401,$U184)))</f>
        <v/>
      </c>
      <c r="D184">
        <f>IF($U184="","",IF(INDEX('Per Invoice'!D$2:D$401,$U184)="","",INDEX('Per Invoice'!D$2:D$401,$U184)))</f>
        <v/>
      </c>
      <c r="E184">
        <f>IF($U184="","",IF(INDEX('Per Invoice'!E$2:E$401,$U184)="","",INDEX('Per Invoice'!E$2:E$401,$U184)))</f>
        <v/>
      </c>
      <c r="F184">
        <f>IF($U184="","",IF(INDEX('Per Invoice'!F$2:F$401,$U184)="","",INDEX('Per Invoice'!F$2:F$401,$U184)))</f>
        <v/>
      </c>
      <c r="G184">
        <f>IF($U184="","",IF(INDEX('Per Invoice'!G$2:G$401,$U184)="","",INDEX('Per Invoice'!G$2:G$401,$U184)))</f>
        <v/>
      </c>
      <c r="H184" s="7">
        <f>IF($U184="","",IF(INDEX('Per Invoice'!H$2:H$401,$U184)="","",INDEX('Per Invoice'!H$2:H$401,$U184)))</f>
        <v/>
      </c>
      <c r="I184" s="14">
        <f>IF($U184="","",IF(INDEX('Per Invoice'!I$2:I$401,$U184)="","",INDEX('Per Invoice'!I$2:I$401,$U184)))</f>
        <v/>
      </c>
      <c r="J184">
        <f>IF($U184="","",IF(INDEX('Per Invoice'!J$2:J$401,$U184)="","",INDEX('Per Invoice'!J$2:J$401,$U184)))</f>
        <v/>
      </c>
      <c r="K184">
        <f>IF($U184="","",IF(INDEX('Per Invoice'!K$2:K$401,$U184)="","",INDEX('Per Invoice'!K$2:K$401,$U184)))</f>
        <v/>
      </c>
      <c r="L184" s="7">
        <f>IF($U184="","",IF(INDEX('Per Invoice'!L$2:L$401,$U184)="","",INDEX('Per Invoice'!L$2:L$401,$U184)))</f>
        <v/>
      </c>
      <c r="M184" s="7">
        <f>IF($U184="","",IF(INDEX('Per Invoice'!M$2:M$401,$U184)="","",INDEX('Per Invoice'!M$2:M$401,$U184)))</f>
        <v/>
      </c>
      <c r="N184">
        <f>IF($U184="","",IF(INDEX('Per Invoice'!N$2:N$401,$U184)="","",INDEX('Per Invoice'!N$2:N$401,$U184)))</f>
        <v/>
      </c>
      <c r="O184" s="7">
        <f>IF($U184="","",IF(INDEX('Per Invoice'!O$2:O$401,$U184)="","",INDEX('Per Invoice'!O$2:O$401,$U184)))</f>
        <v/>
      </c>
      <c r="P184" s="7">
        <f>IF($U184="","",IF(INDEX('Per Invoice'!P$2:P$401,$U184)="","",INDEX('Per Invoice'!P$2:P$401,$U184)))</f>
        <v/>
      </c>
      <c r="Q184" s="7">
        <f>IF($U184="","",IF(INDEX('Per Invoice'!Q$2:Q$401,$U184)="","",INDEX('Per Invoice'!Q$2:Q$401,$U184)))</f>
        <v/>
      </c>
      <c r="R184" s="7">
        <f>IF($U184="","",IF(INDEX('Per Invoice'!R$2:R$401,$U184)="","",INDEX('Per Invoice'!R$2:R$401,$U184)))</f>
        <v/>
      </c>
      <c r="S184" s="7">
        <f>IF($U184="","",IF(INDEX('Per Invoice'!S$2:S$401,$U184)="","",INDEX('Per Invoice'!S$2:S$401,$U184)))</f>
        <v/>
      </c>
      <c r="T184" s="7">
        <f>IF($U184="","",IF(INDEX('Per Invoice'!T$2:T$401,$U184)="","",INDEX('Per Invoice'!T$2:T$401,$U184)))</f>
        <v/>
      </c>
      <c r="U184" s="16">
        <f>IFERROR(MATCH(Settings!$C$27&amp;"|"&amp;ROWS($U$2:$U184),'Per Invoice'!$V$2:$V$401,0),"")</f>
        <v/>
      </c>
    </row>
    <row r="185">
      <c r="A185">
        <f>IF($U185="","",IF(INDEX('Per Invoice'!A$2:A$401,$U185)="","",INDEX('Per Invoice'!A$2:A$401,$U185)))</f>
        <v/>
      </c>
      <c r="B185">
        <f>IF($U185="","",IF(INDEX('Per Invoice'!B$2:B$401,$U185)="","",INDEX('Per Invoice'!B$2:B$401,$U185)))</f>
        <v/>
      </c>
      <c r="C185">
        <f>IF($U185="","",IF(INDEX('Per Invoice'!C$2:C$401,$U185)="","",INDEX('Per Invoice'!C$2:C$401,$U185)))</f>
        <v/>
      </c>
      <c r="D185">
        <f>IF($U185="","",IF(INDEX('Per Invoice'!D$2:D$401,$U185)="","",INDEX('Per Invoice'!D$2:D$401,$U185)))</f>
        <v/>
      </c>
      <c r="E185">
        <f>IF($U185="","",IF(INDEX('Per Invoice'!E$2:E$401,$U185)="","",INDEX('Per Invoice'!E$2:E$401,$U185)))</f>
        <v/>
      </c>
      <c r="F185">
        <f>IF($U185="","",IF(INDEX('Per Invoice'!F$2:F$401,$U185)="","",INDEX('Per Invoice'!F$2:F$401,$U185)))</f>
        <v/>
      </c>
      <c r="G185">
        <f>IF($U185="","",IF(INDEX('Per Invoice'!G$2:G$401,$U185)="","",INDEX('Per Invoice'!G$2:G$401,$U185)))</f>
        <v/>
      </c>
      <c r="H185" s="7">
        <f>IF($U185="","",IF(INDEX('Per Invoice'!H$2:H$401,$U185)="","",INDEX('Per Invoice'!H$2:H$401,$U185)))</f>
        <v/>
      </c>
      <c r="I185" s="14">
        <f>IF($U185="","",IF(INDEX('Per Invoice'!I$2:I$401,$U185)="","",INDEX('Per Invoice'!I$2:I$401,$U185)))</f>
        <v/>
      </c>
      <c r="J185">
        <f>IF($U185="","",IF(INDEX('Per Invoice'!J$2:J$401,$U185)="","",INDEX('Per Invoice'!J$2:J$401,$U185)))</f>
        <v/>
      </c>
      <c r="K185">
        <f>IF($U185="","",IF(INDEX('Per Invoice'!K$2:K$401,$U185)="","",INDEX('Per Invoice'!K$2:K$401,$U185)))</f>
        <v/>
      </c>
      <c r="L185" s="7">
        <f>IF($U185="","",IF(INDEX('Per Invoice'!L$2:L$401,$U185)="","",INDEX('Per Invoice'!L$2:L$401,$U185)))</f>
        <v/>
      </c>
      <c r="M185" s="7">
        <f>IF($U185="","",IF(INDEX('Per Invoice'!M$2:M$401,$U185)="","",INDEX('Per Invoice'!M$2:M$401,$U185)))</f>
        <v/>
      </c>
      <c r="N185">
        <f>IF($U185="","",IF(INDEX('Per Invoice'!N$2:N$401,$U185)="","",INDEX('Per Invoice'!N$2:N$401,$U185)))</f>
        <v/>
      </c>
      <c r="O185" s="7">
        <f>IF($U185="","",IF(INDEX('Per Invoice'!O$2:O$401,$U185)="","",INDEX('Per Invoice'!O$2:O$401,$U185)))</f>
        <v/>
      </c>
      <c r="P185" s="7">
        <f>IF($U185="","",IF(INDEX('Per Invoice'!P$2:P$401,$U185)="","",INDEX('Per Invoice'!P$2:P$401,$U185)))</f>
        <v/>
      </c>
      <c r="Q185" s="7">
        <f>IF($U185="","",IF(INDEX('Per Invoice'!Q$2:Q$401,$U185)="","",INDEX('Per Invoice'!Q$2:Q$401,$U185)))</f>
        <v/>
      </c>
      <c r="R185" s="7">
        <f>IF($U185="","",IF(INDEX('Per Invoice'!R$2:R$401,$U185)="","",INDEX('Per Invoice'!R$2:R$401,$U185)))</f>
        <v/>
      </c>
      <c r="S185" s="7">
        <f>IF($U185="","",IF(INDEX('Per Invoice'!S$2:S$401,$U185)="","",INDEX('Per Invoice'!S$2:S$401,$U185)))</f>
        <v/>
      </c>
      <c r="T185" s="7">
        <f>IF($U185="","",IF(INDEX('Per Invoice'!T$2:T$401,$U185)="","",INDEX('Per Invoice'!T$2:T$401,$U185)))</f>
        <v/>
      </c>
      <c r="U185" s="16">
        <f>IFERROR(MATCH(Settings!$C$27&amp;"|"&amp;ROWS($U$2:$U185),'Per Invoice'!$V$2:$V$401,0),"")</f>
        <v/>
      </c>
    </row>
    <row r="186">
      <c r="A186">
        <f>IF($U186="","",IF(INDEX('Per Invoice'!A$2:A$401,$U186)="","",INDEX('Per Invoice'!A$2:A$401,$U186)))</f>
        <v/>
      </c>
      <c r="B186">
        <f>IF($U186="","",IF(INDEX('Per Invoice'!B$2:B$401,$U186)="","",INDEX('Per Invoice'!B$2:B$401,$U186)))</f>
        <v/>
      </c>
      <c r="C186">
        <f>IF($U186="","",IF(INDEX('Per Invoice'!C$2:C$401,$U186)="","",INDEX('Per Invoice'!C$2:C$401,$U186)))</f>
        <v/>
      </c>
      <c r="D186">
        <f>IF($U186="","",IF(INDEX('Per Invoice'!D$2:D$401,$U186)="","",INDEX('Per Invoice'!D$2:D$401,$U186)))</f>
        <v/>
      </c>
      <c r="E186">
        <f>IF($U186="","",IF(INDEX('Per Invoice'!E$2:E$401,$U186)="","",INDEX('Per Invoice'!E$2:E$401,$U186)))</f>
        <v/>
      </c>
      <c r="F186">
        <f>IF($U186="","",IF(INDEX('Per Invoice'!F$2:F$401,$U186)="","",INDEX('Per Invoice'!F$2:F$401,$U186)))</f>
        <v/>
      </c>
      <c r="G186">
        <f>IF($U186="","",IF(INDEX('Per Invoice'!G$2:G$401,$U186)="","",INDEX('Per Invoice'!G$2:G$401,$U186)))</f>
        <v/>
      </c>
      <c r="H186" s="7">
        <f>IF($U186="","",IF(INDEX('Per Invoice'!H$2:H$401,$U186)="","",INDEX('Per Invoice'!H$2:H$401,$U186)))</f>
        <v/>
      </c>
      <c r="I186" s="14">
        <f>IF($U186="","",IF(INDEX('Per Invoice'!I$2:I$401,$U186)="","",INDEX('Per Invoice'!I$2:I$401,$U186)))</f>
        <v/>
      </c>
      <c r="J186">
        <f>IF($U186="","",IF(INDEX('Per Invoice'!J$2:J$401,$U186)="","",INDEX('Per Invoice'!J$2:J$401,$U186)))</f>
        <v/>
      </c>
      <c r="K186">
        <f>IF($U186="","",IF(INDEX('Per Invoice'!K$2:K$401,$U186)="","",INDEX('Per Invoice'!K$2:K$401,$U186)))</f>
        <v/>
      </c>
      <c r="L186" s="7">
        <f>IF($U186="","",IF(INDEX('Per Invoice'!L$2:L$401,$U186)="","",INDEX('Per Invoice'!L$2:L$401,$U186)))</f>
        <v/>
      </c>
      <c r="M186" s="7">
        <f>IF($U186="","",IF(INDEX('Per Invoice'!M$2:M$401,$U186)="","",INDEX('Per Invoice'!M$2:M$401,$U186)))</f>
        <v/>
      </c>
      <c r="N186">
        <f>IF($U186="","",IF(INDEX('Per Invoice'!N$2:N$401,$U186)="","",INDEX('Per Invoice'!N$2:N$401,$U186)))</f>
        <v/>
      </c>
      <c r="O186" s="7">
        <f>IF($U186="","",IF(INDEX('Per Invoice'!O$2:O$401,$U186)="","",INDEX('Per Invoice'!O$2:O$401,$U186)))</f>
        <v/>
      </c>
      <c r="P186" s="7">
        <f>IF($U186="","",IF(INDEX('Per Invoice'!P$2:P$401,$U186)="","",INDEX('Per Invoice'!P$2:P$401,$U186)))</f>
        <v/>
      </c>
      <c r="Q186" s="7">
        <f>IF($U186="","",IF(INDEX('Per Invoice'!Q$2:Q$401,$U186)="","",INDEX('Per Invoice'!Q$2:Q$401,$U186)))</f>
        <v/>
      </c>
      <c r="R186" s="7">
        <f>IF($U186="","",IF(INDEX('Per Invoice'!R$2:R$401,$U186)="","",INDEX('Per Invoice'!R$2:R$401,$U186)))</f>
        <v/>
      </c>
      <c r="S186" s="7">
        <f>IF($U186="","",IF(INDEX('Per Invoice'!S$2:S$401,$U186)="","",INDEX('Per Invoice'!S$2:S$401,$U186)))</f>
        <v/>
      </c>
      <c r="T186" s="7">
        <f>IF($U186="","",IF(INDEX('Per Invoice'!T$2:T$401,$U186)="","",INDEX('Per Invoice'!T$2:T$401,$U186)))</f>
        <v/>
      </c>
      <c r="U186" s="16">
        <f>IFERROR(MATCH(Settings!$C$27&amp;"|"&amp;ROWS($U$2:$U186),'Per Invoice'!$V$2:$V$401,0),"")</f>
        <v/>
      </c>
    </row>
    <row r="187">
      <c r="A187">
        <f>IF($U187="","",IF(INDEX('Per Invoice'!A$2:A$401,$U187)="","",INDEX('Per Invoice'!A$2:A$401,$U187)))</f>
        <v/>
      </c>
      <c r="B187">
        <f>IF($U187="","",IF(INDEX('Per Invoice'!B$2:B$401,$U187)="","",INDEX('Per Invoice'!B$2:B$401,$U187)))</f>
        <v/>
      </c>
      <c r="C187">
        <f>IF($U187="","",IF(INDEX('Per Invoice'!C$2:C$401,$U187)="","",INDEX('Per Invoice'!C$2:C$401,$U187)))</f>
        <v/>
      </c>
      <c r="D187">
        <f>IF($U187="","",IF(INDEX('Per Invoice'!D$2:D$401,$U187)="","",INDEX('Per Invoice'!D$2:D$401,$U187)))</f>
        <v/>
      </c>
      <c r="E187">
        <f>IF($U187="","",IF(INDEX('Per Invoice'!E$2:E$401,$U187)="","",INDEX('Per Invoice'!E$2:E$401,$U187)))</f>
        <v/>
      </c>
      <c r="F187">
        <f>IF($U187="","",IF(INDEX('Per Invoice'!F$2:F$401,$U187)="","",INDEX('Per Invoice'!F$2:F$401,$U187)))</f>
        <v/>
      </c>
      <c r="G187">
        <f>IF($U187="","",IF(INDEX('Per Invoice'!G$2:G$401,$U187)="","",INDEX('Per Invoice'!G$2:G$401,$U187)))</f>
        <v/>
      </c>
      <c r="H187" s="7">
        <f>IF($U187="","",IF(INDEX('Per Invoice'!H$2:H$401,$U187)="","",INDEX('Per Invoice'!H$2:H$401,$U187)))</f>
        <v/>
      </c>
      <c r="I187" s="14">
        <f>IF($U187="","",IF(INDEX('Per Invoice'!I$2:I$401,$U187)="","",INDEX('Per Invoice'!I$2:I$401,$U187)))</f>
        <v/>
      </c>
      <c r="J187">
        <f>IF($U187="","",IF(INDEX('Per Invoice'!J$2:J$401,$U187)="","",INDEX('Per Invoice'!J$2:J$401,$U187)))</f>
        <v/>
      </c>
      <c r="K187">
        <f>IF($U187="","",IF(INDEX('Per Invoice'!K$2:K$401,$U187)="","",INDEX('Per Invoice'!K$2:K$401,$U187)))</f>
        <v/>
      </c>
      <c r="L187" s="7">
        <f>IF($U187="","",IF(INDEX('Per Invoice'!L$2:L$401,$U187)="","",INDEX('Per Invoice'!L$2:L$401,$U187)))</f>
        <v/>
      </c>
      <c r="M187" s="7">
        <f>IF($U187="","",IF(INDEX('Per Invoice'!M$2:M$401,$U187)="","",INDEX('Per Invoice'!M$2:M$401,$U187)))</f>
        <v/>
      </c>
      <c r="N187">
        <f>IF($U187="","",IF(INDEX('Per Invoice'!N$2:N$401,$U187)="","",INDEX('Per Invoice'!N$2:N$401,$U187)))</f>
        <v/>
      </c>
      <c r="O187" s="7">
        <f>IF($U187="","",IF(INDEX('Per Invoice'!O$2:O$401,$U187)="","",INDEX('Per Invoice'!O$2:O$401,$U187)))</f>
        <v/>
      </c>
      <c r="P187" s="7">
        <f>IF($U187="","",IF(INDEX('Per Invoice'!P$2:P$401,$U187)="","",INDEX('Per Invoice'!P$2:P$401,$U187)))</f>
        <v/>
      </c>
      <c r="Q187" s="7">
        <f>IF($U187="","",IF(INDEX('Per Invoice'!Q$2:Q$401,$U187)="","",INDEX('Per Invoice'!Q$2:Q$401,$U187)))</f>
        <v/>
      </c>
      <c r="R187" s="7">
        <f>IF($U187="","",IF(INDEX('Per Invoice'!R$2:R$401,$U187)="","",INDEX('Per Invoice'!R$2:R$401,$U187)))</f>
        <v/>
      </c>
      <c r="S187" s="7">
        <f>IF($U187="","",IF(INDEX('Per Invoice'!S$2:S$401,$U187)="","",INDEX('Per Invoice'!S$2:S$401,$U187)))</f>
        <v/>
      </c>
      <c r="T187" s="7">
        <f>IF($U187="","",IF(INDEX('Per Invoice'!T$2:T$401,$U187)="","",INDEX('Per Invoice'!T$2:T$401,$U187)))</f>
        <v/>
      </c>
      <c r="U187" s="16">
        <f>IFERROR(MATCH(Settings!$C$27&amp;"|"&amp;ROWS($U$2:$U187),'Per Invoice'!$V$2:$V$401,0),"")</f>
        <v/>
      </c>
    </row>
    <row r="188">
      <c r="A188">
        <f>IF($U188="","",IF(INDEX('Per Invoice'!A$2:A$401,$U188)="","",INDEX('Per Invoice'!A$2:A$401,$U188)))</f>
        <v/>
      </c>
      <c r="B188">
        <f>IF($U188="","",IF(INDEX('Per Invoice'!B$2:B$401,$U188)="","",INDEX('Per Invoice'!B$2:B$401,$U188)))</f>
        <v/>
      </c>
      <c r="C188">
        <f>IF($U188="","",IF(INDEX('Per Invoice'!C$2:C$401,$U188)="","",INDEX('Per Invoice'!C$2:C$401,$U188)))</f>
        <v/>
      </c>
      <c r="D188">
        <f>IF($U188="","",IF(INDEX('Per Invoice'!D$2:D$401,$U188)="","",INDEX('Per Invoice'!D$2:D$401,$U188)))</f>
        <v/>
      </c>
      <c r="E188">
        <f>IF($U188="","",IF(INDEX('Per Invoice'!E$2:E$401,$U188)="","",INDEX('Per Invoice'!E$2:E$401,$U188)))</f>
        <v/>
      </c>
      <c r="F188">
        <f>IF($U188="","",IF(INDEX('Per Invoice'!F$2:F$401,$U188)="","",INDEX('Per Invoice'!F$2:F$401,$U188)))</f>
        <v/>
      </c>
      <c r="G188">
        <f>IF($U188="","",IF(INDEX('Per Invoice'!G$2:G$401,$U188)="","",INDEX('Per Invoice'!G$2:G$401,$U188)))</f>
        <v/>
      </c>
      <c r="H188" s="7">
        <f>IF($U188="","",IF(INDEX('Per Invoice'!H$2:H$401,$U188)="","",INDEX('Per Invoice'!H$2:H$401,$U188)))</f>
        <v/>
      </c>
      <c r="I188" s="14">
        <f>IF($U188="","",IF(INDEX('Per Invoice'!I$2:I$401,$U188)="","",INDEX('Per Invoice'!I$2:I$401,$U188)))</f>
        <v/>
      </c>
      <c r="J188">
        <f>IF($U188="","",IF(INDEX('Per Invoice'!J$2:J$401,$U188)="","",INDEX('Per Invoice'!J$2:J$401,$U188)))</f>
        <v/>
      </c>
      <c r="K188">
        <f>IF($U188="","",IF(INDEX('Per Invoice'!K$2:K$401,$U188)="","",INDEX('Per Invoice'!K$2:K$401,$U188)))</f>
        <v/>
      </c>
      <c r="L188" s="7">
        <f>IF($U188="","",IF(INDEX('Per Invoice'!L$2:L$401,$U188)="","",INDEX('Per Invoice'!L$2:L$401,$U188)))</f>
        <v/>
      </c>
      <c r="M188" s="7">
        <f>IF($U188="","",IF(INDEX('Per Invoice'!M$2:M$401,$U188)="","",INDEX('Per Invoice'!M$2:M$401,$U188)))</f>
        <v/>
      </c>
      <c r="N188">
        <f>IF($U188="","",IF(INDEX('Per Invoice'!N$2:N$401,$U188)="","",INDEX('Per Invoice'!N$2:N$401,$U188)))</f>
        <v/>
      </c>
      <c r="O188" s="7">
        <f>IF($U188="","",IF(INDEX('Per Invoice'!O$2:O$401,$U188)="","",INDEX('Per Invoice'!O$2:O$401,$U188)))</f>
        <v/>
      </c>
      <c r="P188" s="7">
        <f>IF($U188="","",IF(INDEX('Per Invoice'!P$2:P$401,$U188)="","",INDEX('Per Invoice'!P$2:P$401,$U188)))</f>
        <v/>
      </c>
      <c r="Q188" s="7">
        <f>IF($U188="","",IF(INDEX('Per Invoice'!Q$2:Q$401,$U188)="","",INDEX('Per Invoice'!Q$2:Q$401,$U188)))</f>
        <v/>
      </c>
      <c r="R188" s="7">
        <f>IF($U188="","",IF(INDEX('Per Invoice'!R$2:R$401,$U188)="","",INDEX('Per Invoice'!R$2:R$401,$U188)))</f>
        <v/>
      </c>
      <c r="S188" s="7">
        <f>IF($U188="","",IF(INDEX('Per Invoice'!S$2:S$401,$U188)="","",INDEX('Per Invoice'!S$2:S$401,$U188)))</f>
        <v/>
      </c>
      <c r="T188" s="7">
        <f>IF($U188="","",IF(INDEX('Per Invoice'!T$2:T$401,$U188)="","",INDEX('Per Invoice'!T$2:T$401,$U188)))</f>
        <v/>
      </c>
      <c r="U188" s="16">
        <f>IFERROR(MATCH(Settings!$C$27&amp;"|"&amp;ROWS($U$2:$U188),'Per Invoice'!$V$2:$V$401,0),"")</f>
        <v/>
      </c>
    </row>
    <row r="189">
      <c r="A189">
        <f>IF($U189="","",IF(INDEX('Per Invoice'!A$2:A$401,$U189)="","",INDEX('Per Invoice'!A$2:A$401,$U189)))</f>
        <v/>
      </c>
      <c r="B189">
        <f>IF($U189="","",IF(INDEX('Per Invoice'!B$2:B$401,$U189)="","",INDEX('Per Invoice'!B$2:B$401,$U189)))</f>
        <v/>
      </c>
      <c r="C189">
        <f>IF($U189="","",IF(INDEX('Per Invoice'!C$2:C$401,$U189)="","",INDEX('Per Invoice'!C$2:C$401,$U189)))</f>
        <v/>
      </c>
      <c r="D189">
        <f>IF($U189="","",IF(INDEX('Per Invoice'!D$2:D$401,$U189)="","",INDEX('Per Invoice'!D$2:D$401,$U189)))</f>
        <v/>
      </c>
      <c r="E189">
        <f>IF($U189="","",IF(INDEX('Per Invoice'!E$2:E$401,$U189)="","",INDEX('Per Invoice'!E$2:E$401,$U189)))</f>
        <v/>
      </c>
      <c r="F189">
        <f>IF($U189="","",IF(INDEX('Per Invoice'!F$2:F$401,$U189)="","",INDEX('Per Invoice'!F$2:F$401,$U189)))</f>
        <v/>
      </c>
      <c r="G189">
        <f>IF($U189="","",IF(INDEX('Per Invoice'!G$2:G$401,$U189)="","",INDEX('Per Invoice'!G$2:G$401,$U189)))</f>
        <v/>
      </c>
      <c r="H189" s="7">
        <f>IF($U189="","",IF(INDEX('Per Invoice'!H$2:H$401,$U189)="","",INDEX('Per Invoice'!H$2:H$401,$U189)))</f>
        <v/>
      </c>
      <c r="I189" s="14">
        <f>IF($U189="","",IF(INDEX('Per Invoice'!I$2:I$401,$U189)="","",INDEX('Per Invoice'!I$2:I$401,$U189)))</f>
        <v/>
      </c>
      <c r="J189">
        <f>IF($U189="","",IF(INDEX('Per Invoice'!J$2:J$401,$U189)="","",INDEX('Per Invoice'!J$2:J$401,$U189)))</f>
        <v/>
      </c>
      <c r="K189">
        <f>IF($U189="","",IF(INDEX('Per Invoice'!K$2:K$401,$U189)="","",INDEX('Per Invoice'!K$2:K$401,$U189)))</f>
        <v/>
      </c>
      <c r="L189" s="7">
        <f>IF($U189="","",IF(INDEX('Per Invoice'!L$2:L$401,$U189)="","",INDEX('Per Invoice'!L$2:L$401,$U189)))</f>
        <v/>
      </c>
      <c r="M189" s="7">
        <f>IF($U189="","",IF(INDEX('Per Invoice'!M$2:M$401,$U189)="","",INDEX('Per Invoice'!M$2:M$401,$U189)))</f>
        <v/>
      </c>
      <c r="N189">
        <f>IF($U189="","",IF(INDEX('Per Invoice'!N$2:N$401,$U189)="","",INDEX('Per Invoice'!N$2:N$401,$U189)))</f>
        <v/>
      </c>
      <c r="O189" s="7">
        <f>IF($U189="","",IF(INDEX('Per Invoice'!O$2:O$401,$U189)="","",INDEX('Per Invoice'!O$2:O$401,$U189)))</f>
        <v/>
      </c>
      <c r="P189" s="7">
        <f>IF($U189="","",IF(INDEX('Per Invoice'!P$2:P$401,$U189)="","",INDEX('Per Invoice'!P$2:P$401,$U189)))</f>
        <v/>
      </c>
      <c r="Q189" s="7">
        <f>IF($U189="","",IF(INDEX('Per Invoice'!Q$2:Q$401,$U189)="","",INDEX('Per Invoice'!Q$2:Q$401,$U189)))</f>
        <v/>
      </c>
      <c r="R189" s="7">
        <f>IF($U189="","",IF(INDEX('Per Invoice'!R$2:R$401,$U189)="","",INDEX('Per Invoice'!R$2:R$401,$U189)))</f>
        <v/>
      </c>
      <c r="S189" s="7">
        <f>IF($U189="","",IF(INDEX('Per Invoice'!S$2:S$401,$U189)="","",INDEX('Per Invoice'!S$2:S$401,$U189)))</f>
        <v/>
      </c>
      <c r="T189" s="7">
        <f>IF($U189="","",IF(INDEX('Per Invoice'!T$2:T$401,$U189)="","",INDEX('Per Invoice'!T$2:T$401,$U189)))</f>
        <v/>
      </c>
      <c r="U189" s="16">
        <f>IFERROR(MATCH(Settings!$C$27&amp;"|"&amp;ROWS($U$2:$U189),'Per Invoice'!$V$2:$V$401,0),"")</f>
        <v/>
      </c>
    </row>
    <row r="190">
      <c r="A190">
        <f>IF($U190="","",IF(INDEX('Per Invoice'!A$2:A$401,$U190)="","",INDEX('Per Invoice'!A$2:A$401,$U190)))</f>
        <v/>
      </c>
      <c r="B190">
        <f>IF($U190="","",IF(INDEX('Per Invoice'!B$2:B$401,$U190)="","",INDEX('Per Invoice'!B$2:B$401,$U190)))</f>
        <v/>
      </c>
      <c r="C190">
        <f>IF($U190="","",IF(INDEX('Per Invoice'!C$2:C$401,$U190)="","",INDEX('Per Invoice'!C$2:C$401,$U190)))</f>
        <v/>
      </c>
      <c r="D190">
        <f>IF($U190="","",IF(INDEX('Per Invoice'!D$2:D$401,$U190)="","",INDEX('Per Invoice'!D$2:D$401,$U190)))</f>
        <v/>
      </c>
      <c r="E190">
        <f>IF($U190="","",IF(INDEX('Per Invoice'!E$2:E$401,$U190)="","",INDEX('Per Invoice'!E$2:E$401,$U190)))</f>
        <v/>
      </c>
      <c r="F190">
        <f>IF($U190="","",IF(INDEX('Per Invoice'!F$2:F$401,$U190)="","",INDEX('Per Invoice'!F$2:F$401,$U190)))</f>
        <v/>
      </c>
      <c r="G190">
        <f>IF($U190="","",IF(INDEX('Per Invoice'!G$2:G$401,$U190)="","",INDEX('Per Invoice'!G$2:G$401,$U190)))</f>
        <v/>
      </c>
      <c r="H190" s="7">
        <f>IF($U190="","",IF(INDEX('Per Invoice'!H$2:H$401,$U190)="","",INDEX('Per Invoice'!H$2:H$401,$U190)))</f>
        <v/>
      </c>
      <c r="I190" s="14">
        <f>IF($U190="","",IF(INDEX('Per Invoice'!I$2:I$401,$U190)="","",INDEX('Per Invoice'!I$2:I$401,$U190)))</f>
        <v/>
      </c>
      <c r="J190">
        <f>IF($U190="","",IF(INDEX('Per Invoice'!J$2:J$401,$U190)="","",INDEX('Per Invoice'!J$2:J$401,$U190)))</f>
        <v/>
      </c>
      <c r="K190">
        <f>IF($U190="","",IF(INDEX('Per Invoice'!K$2:K$401,$U190)="","",INDEX('Per Invoice'!K$2:K$401,$U190)))</f>
        <v/>
      </c>
      <c r="L190" s="7">
        <f>IF($U190="","",IF(INDEX('Per Invoice'!L$2:L$401,$U190)="","",INDEX('Per Invoice'!L$2:L$401,$U190)))</f>
        <v/>
      </c>
      <c r="M190" s="7">
        <f>IF($U190="","",IF(INDEX('Per Invoice'!M$2:M$401,$U190)="","",INDEX('Per Invoice'!M$2:M$401,$U190)))</f>
        <v/>
      </c>
      <c r="N190">
        <f>IF($U190="","",IF(INDEX('Per Invoice'!N$2:N$401,$U190)="","",INDEX('Per Invoice'!N$2:N$401,$U190)))</f>
        <v/>
      </c>
      <c r="O190" s="7">
        <f>IF($U190="","",IF(INDEX('Per Invoice'!O$2:O$401,$U190)="","",INDEX('Per Invoice'!O$2:O$401,$U190)))</f>
        <v/>
      </c>
      <c r="P190" s="7">
        <f>IF($U190="","",IF(INDEX('Per Invoice'!P$2:P$401,$U190)="","",INDEX('Per Invoice'!P$2:P$401,$U190)))</f>
        <v/>
      </c>
      <c r="Q190" s="7">
        <f>IF($U190="","",IF(INDEX('Per Invoice'!Q$2:Q$401,$U190)="","",INDEX('Per Invoice'!Q$2:Q$401,$U190)))</f>
        <v/>
      </c>
      <c r="R190" s="7">
        <f>IF($U190="","",IF(INDEX('Per Invoice'!R$2:R$401,$U190)="","",INDEX('Per Invoice'!R$2:R$401,$U190)))</f>
        <v/>
      </c>
      <c r="S190" s="7">
        <f>IF($U190="","",IF(INDEX('Per Invoice'!S$2:S$401,$U190)="","",INDEX('Per Invoice'!S$2:S$401,$U190)))</f>
        <v/>
      </c>
      <c r="T190" s="7">
        <f>IF($U190="","",IF(INDEX('Per Invoice'!T$2:T$401,$U190)="","",INDEX('Per Invoice'!T$2:T$401,$U190)))</f>
        <v/>
      </c>
      <c r="U190" s="16">
        <f>IFERROR(MATCH(Settings!$C$27&amp;"|"&amp;ROWS($U$2:$U190),'Per Invoice'!$V$2:$V$401,0),"")</f>
        <v/>
      </c>
    </row>
    <row r="191">
      <c r="A191">
        <f>IF($U191="","",IF(INDEX('Per Invoice'!A$2:A$401,$U191)="","",INDEX('Per Invoice'!A$2:A$401,$U191)))</f>
        <v/>
      </c>
      <c r="B191">
        <f>IF($U191="","",IF(INDEX('Per Invoice'!B$2:B$401,$U191)="","",INDEX('Per Invoice'!B$2:B$401,$U191)))</f>
        <v/>
      </c>
      <c r="C191">
        <f>IF($U191="","",IF(INDEX('Per Invoice'!C$2:C$401,$U191)="","",INDEX('Per Invoice'!C$2:C$401,$U191)))</f>
        <v/>
      </c>
      <c r="D191">
        <f>IF($U191="","",IF(INDEX('Per Invoice'!D$2:D$401,$U191)="","",INDEX('Per Invoice'!D$2:D$401,$U191)))</f>
        <v/>
      </c>
      <c r="E191">
        <f>IF($U191="","",IF(INDEX('Per Invoice'!E$2:E$401,$U191)="","",INDEX('Per Invoice'!E$2:E$401,$U191)))</f>
        <v/>
      </c>
      <c r="F191">
        <f>IF($U191="","",IF(INDEX('Per Invoice'!F$2:F$401,$U191)="","",INDEX('Per Invoice'!F$2:F$401,$U191)))</f>
        <v/>
      </c>
      <c r="G191">
        <f>IF($U191="","",IF(INDEX('Per Invoice'!G$2:G$401,$U191)="","",INDEX('Per Invoice'!G$2:G$401,$U191)))</f>
        <v/>
      </c>
      <c r="H191" s="7">
        <f>IF($U191="","",IF(INDEX('Per Invoice'!H$2:H$401,$U191)="","",INDEX('Per Invoice'!H$2:H$401,$U191)))</f>
        <v/>
      </c>
      <c r="I191" s="14">
        <f>IF($U191="","",IF(INDEX('Per Invoice'!I$2:I$401,$U191)="","",INDEX('Per Invoice'!I$2:I$401,$U191)))</f>
        <v/>
      </c>
      <c r="J191">
        <f>IF($U191="","",IF(INDEX('Per Invoice'!J$2:J$401,$U191)="","",INDEX('Per Invoice'!J$2:J$401,$U191)))</f>
        <v/>
      </c>
      <c r="K191">
        <f>IF($U191="","",IF(INDEX('Per Invoice'!K$2:K$401,$U191)="","",INDEX('Per Invoice'!K$2:K$401,$U191)))</f>
        <v/>
      </c>
      <c r="L191" s="7">
        <f>IF($U191="","",IF(INDEX('Per Invoice'!L$2:L$401,$U191)="","",INDEX('Per Invoice'!L$2:L$401,$U191)))</f>
        <v/>
      </c>
      <c r="M191" s="7">
        <f>IF($U191="","",IF(INDEX('Per Invoice'!M$2:M$401,$U191)="","",INDEX('Per Invoice'!M$2:M$401,$U191)))</f>
        <v/>
      </c>
      <c r="N191">
        <f>IF($U191="","",IF(INDEX('Per Invoice'!N$2:N$401,$U191)="","",INDEX('Per Invoice'!N$2:N$401,$U191)))</f>
        <v/>
      </c>
      <c r="O191" s="7">
        <f>IF($U191="","",IF(INDEX('Per Invoice'!O$2:O$401,$U191)="","",INDEX('Per Invoice'!O$2:O$401,$U191)))</f>
        <v/>
      </c>
      <c r="P191" s="7">
        <f>IF($U191="","",IF(INDEX('Per Invoice'!P$2:P$401,$U191)="","",INDEX('Per Invoice'!P$2:P$401,$U191)))</f>
        <v/>
      </c>
      <c r="Q191" s="7">
        <f>IF($U191="","",IF(INDEX('Per Invoice'!Q$2:Q$401,$U191)="","",INDEX('Per Invoice'!Q$2:Q$401,$U191)))</f>
        <v/>
      </c>
      <c r="R191" s="7">
        <f>IF($U191="","",IF(INDEX('Per Invoice'!R$2:R$401,$U191)="","",INDEX('Per Invoice'!R$2:R$401,$U191)))</f>
        <v/>
      </c>
      <c r="S191" s="7">
        <f>IF($U191="","",IF(INDEX('Per Invoice'!S$2:S$401,$U191)="","",INDEX('Per Invoice'!S$2:S$401,$U191)))</f>
        <v/>
      </c>
      <c r="T191" s="7">
        <f>IF($U191="","",IF(INDEX('Per Invoice'!T$2:T$401,$U191)="","",INDEX('Per Invoice'!T$2:T$401,$U191)))</f>
        <v/>
      </c>
      <c r="U191" s="16">
        <f>IFERROR(MATCH(Settings!$C$27&amp;"|"&amp;ROWS($U$2:$U191),'Per Invoice'!$V$2:$V$401,0),"")</f>
        <v/>
      </c>
    </row>
    <row r="192">
      <c r="A192">
        <f>IF($U192="","",IF(INDEX('Per Invoice'!A$2:A$401,$U192)="","",INDEX('Per Invoice'!A$2:A$401,$U192)))</f>
        <v/>
      </c>
      <c r="B192">
        <f>IF($U192="","",IF(INDEX('Per Invoice'!B$2:B$401,$U192)="","",INDEX('Per Invoice'!B$2:B$401,$U192)))</f>
        <v/>
      </c>
      <c r="C192">
        <f>IF($U192="","",IF(INDEX('Per Invoice'!C$2:C$401,$U192)="","",INDEX('Per Invoice'!C$2:C$401,$U192)))</f>
        <v/>
      </c>
      <c r="D192">
        <f>IF($U192="","",IF(INDEX('Per Invoice'!D$2:D$401,$U192)="","",INDEX('Per Invoice'!D$2:D$401,$U192)))</f>
        <v/>
      </c>
      <c r="E192">
        <f>IF($U192="","",IF(INDEX('Per Invoice'!E$2:E$401,$U192)="","",INDEX('Per Invoice'!E$2:E$401,$U192)))</f>
        <v/>
      </c>
      <c r="F192">
        <f>IF($U192="","",IF(INDEX('Per Invoice'!F$2:F$401,$U192)="","",INDEX('Per Invoice'!F$2:F$401,$U192)))</f>
        <v/>
      </c>
      <c r="G192">
        <f>IF($U192="","",IF(INDEX('Per Invoice'!G$2:G$401,$U192)="","",INDEX('Per Invoice'!G$2:G$401,$U192)))</f>
        <v/>
      </c>
      <c r="H192" s="7">
        <f>IF($U192="","",IF(INDEX('Per Invoice'!H$2:H$401,$U192)="","",INDEX('Per Invoice'!H$2:H$401,$U192)))</f>
        <v/>
      </c>
      <c r="I192" s="14">
        <f>IF($U192="","",IF(INDEX('Per Invoice'!I$2:I$401,$U192)="","",INDEX('Per Invoice'!I$2:I$401,$U192)))</f>
        <v/>
      </c>
      <c r="J192">
        <f>IF($U192="","",IF(INDEX('Per Invoice'!J$2:J$401,$U192)="","",INDEX('Per Invoice'!J$2:J$401,$U192)))</f>
        <v/>
      </c>
      <c r="K192">
        <f>IF($U192="","",IF(INDEX('Per Invoice'!K$2:K$401,$U192)="","",INDEX('Per Invoice'!K$2:K$401,$U192)))</f>
        <v/>
      </c>
      <c r="L192" s="7">
        <f>IF($U192="","",IF(INDEX('Per Invoice'!L$2:L$401,$U192)="","",INDEX('Per Invoice'!L$2:L$401,$U192)))</f>
        <v/>
      </c>
      <c r="M192" s="7">
        <f>IF($U192="","",IF(INDEX('Per Invoice'!M$2:M$401,$U192)="","",INDEX('Per Invoice'!M$2:M$401,$U192)))</f>
        <v/>
      </c>
      <c r="N192">
        <f>IF($U192="","",IF(INDEX('Per Invoice'!N$2:N$401,$U192)="","",INDEX('Per Invoice'!N$2:N$401,$U192)))</f>
        <v/>
      </c>
      <c r="O192" s="7">
        <f>IF($U192="","",IF(INDEX('Per Invoice'!O$2:O$401,$U192)="","",INDEX('Per Invoice'!O$2:O$401,$U192)))</f>
        <v/>
      </c>
      <c r="P192" s="7">
        <f>IF($U192="","",IF(INDEX('Per Invoice'!P$2:P$401,$U192)="","",INDEX('Per Invoice'!P$2:P$401,$U192)))</f>
        <v/>
      </c>
      <c r="Q192" s="7">
        <f>IF($U192="","",IF(INDEX('Per Invoice'!Q$2:Q$401,$U192)="","",INDEX('Per Invoice'!Q$2:Q$401,$U192)))</f>
        <v/>
      </c>
      <c r="R192" s="7">
        <f>IF($U192="","",IF(INDEX('Per Invoice'!R$2:R$401,$U192)="","",INDEX('Per Invoice'!R$2:R$401,$U192)))</f>
        <v/>
      </c>
      <c r="S192" s="7">
        <f>IF($U192="","",IF(INDEX('Per Invoice'!S$2:S$401,$U192)="","",INDEX('Per Invoice'!S$2:S$401,$U192)))</f>
        <v/>
      </c>
      <c r="T192" s="7">
        <f>IF($U192="","",IF(INDEX('Per Invoice'!T$2:T$401,$U192)="","",INDEX('Per Invoice'!T$2:T$401,$U192)))</f>
        <v/>
      </c>
      <c r="U192" s="16">
        <f>IFERROR(MATCH(Settings!$C$27&amp;"|"&amp;ROWS($U$2:$U192),'Per Invoice'!$V$2:$V$401,0),"")</f>
        <v/>
      </c>
    </row>
    <row r="193">
      <c r="A193">
        <f>IF($U193="","",IF(INDEX('Per Invoice'!A$2:A$401,$U193)="","",INDEX('Per Invoice'!A$2:A$401,$U193)))</f>
        <v/>
      </c>
      <c r="B193">
        <f>IF($U193="","",IF(INDEX('Per Invoice'!B$2:B$401,$U193)="","",INDEX('Per Invoice'!B$2:B$401,$U193)))</f>
        <v/>
      </c>
      <c r="C193">
        <f>IF($U193="","",IF(INDEX('Per Invoice'!C$2:C$401,$U193)="","",INDEX('Per Invoice'!C$2:C$401,$U193)))</f>
        <v/>
      </c>
      <c r="D193">
        <f>IF($U193="","",IF(INDEX('Per Invoice'!D$2:D$401,$U193)="","",INDEX('Per Invoice'!D$2:D$401,$U193)))</f>
        <v/>
      </c>
      <c r="E193">
        <f>IF($U193="","",IF(INDEX('Per Invoice'!E$2:E$401,$U193)="","",INDEX('Per Invoice'!E$2:E$401,$U193)))</f>
        <v/>
      </c>
      <c r="F193">
        <f>IF($U193="","",IF(INDEX('Per Invoice'!F$2:F$401,$U193)="","",INDEX('Per Invoice'!F$2:F$401,$U193)))</f>
        <v/>
      </c>
      <c r="G193">
        <f>IF($U193="","",IF(INDEX('Per Invoice'!G$2:G$401,$U193)="","",INDEX('Per Invoice'!G$2:G$401,$U193)))</f>
        <v/>
      </c>
      <c r="H193" s="7">
        <f>IF($U193="","",IF(INDEX('Per Invoice'!H$2:H$401,$U193)="","",INDEX('Per Invoice'!H$2:H$401,$U193)))</f>
        <v/>
      </c>
      <c r="I193" s="14">
        <f>IF($U193="","",IF(INDEX('Per Invoice'!I$2:I$401,$U193)="","",INDEX('Per Invoice'!I$2:I$401,$U193)))</f>
        <v/>
      </c>
      <c r="J193">
        <f>IF($U193="","",IF(INDEX('Per Invoice'!J$2:J$401,$U193)="","",INDEX('Per Invoice'!J$2:J$401,$U193)))</f>
        <v/>
      </c>
      <c r="K193">
        <f>IF($U193="","",IF(INDEX('Per Invoice'!K$2:K$401,$U193)="","",INDEX('Per Invoice'!K$2:K$401,$U193)))</f>
        <v/>
      </c>
      <c r="L193" s="7">
        <f>IF($U193="","",IF(INDEX('Per Invoice'!L$2:L$401,$U193)="","",INDEX('Per Invoice'!L$2:L$401,$U193)))</f>
        <v/>
      </c>
      <c r="M193" s="7">
        <f>IF($U193="","",IF(INDEX('Per Invoice'!M$2:M$401,$U193)="","",INDEX('Per Invoice'!M$2:M$401,$U193)))</f>
        <v/>
      </c>
      <c r="N193">
        <f>IF($U193="","",IF(INDEX('Per Invoice'!N$2:N$401,$U193)="","",INDEX('Per Invoice'!N$2:N$401,$U193)))</f>
        <v/>
      </c>
      <c r="O193" s="7">
        <f>IF($U193="","",IF(INDEX('Per Invoice'!O$2:O$401,$U193)="","",INDEX('Per Invoice'!O$2:O$401,$U193)))</f>
        <v/>
      </c>
      <c r="P193" s="7">
        <f>IF($U193="","",IF(INDEX('Per Invoice'!P$2:P$401,$U193)="","",INDEX('Per Invoice'!P$2:P$401,$U193)))</f>
        <v/>
      </c>
      <c r="Q193" s="7">
        <f>IF($U193="","",IF(INDEX('Per Invoice'!Q$2:Q$401,$U193)="","",INDEX('Per Invoice'!Q$2:Q$401,$U193)))</f>
        <v/>
      </c>
      <c r="R193" s="7">
        <f>IF($U193="","",IF(INDEX('Per Invoice'!R$2:R$401,$U193)="","",INDEX('Per Invoice'!R$2:R$401,$U193)))</f>
        <v/>
      </c>
      <c r="S193" s="7">
        <f>IF($U193="","",IF(INDEX('Per Invoice'!S$2:S$401,$U193)="","",INDEX('Per Invoice'!S$2:S$401,$U193)))</f>
        <v/>
      </c>
      <c r="T193" s="7">
        <f>IF($U193="","",IF(INDEX('Per Invoice'!T$2:T$401,$U193)="","",INDEX('Per Invoice'!T$2:T$401,$U193)))</f>
        <v/>
      </c>
      <c r="U193" s="16">
        <f>IFERROR(MATCH(Settings!$C$27&amp;"|"&amp;ROWS($U$2:$U193),'Per Invoice'!$V$2:$V$401,0),"")</f>
        <v/>
      </c>
    </row>
    <row r="194">
      <c r="A194">
        <f>IF($U194="","",IF(INDEX('Per Invoice'!A$2:A$401,$U194)="","",INDEX('Per Invoice'!A$2:A$401,$U194)))</f>
        <v/>
      </c>
      <c r="B194">
        <f>IF($U194="","",IF(INDEX('Per Invoice'!B$2:B$401,$U194)="","",INDEX('Per Invoice'!B$2:B$401,$U194)))</f>
        <v/>
      </c>
      <c r="C194">
        <f>IF($U194="","",IF(INDEX('Per Invoice'!C$2:C$401,$U194)="","",INDEX('Per Invoice'!C$2:C$401,$U194)))</f>
        <v/>
      </c>
      <c r="D194">
        <f>IF($U194="","",IF(INDEX('Per Invoice'!D$2:D$401,$U194)="","",INDEX('Per Invoice'!D$2:D$401,$U194)))</f>
        <v/>
      </c>
      <c r="E194">
        <f>IF($U194="","",IF(INDEX('Per Invoice'!E$2:E$401,$U194)="","",INDEX('Per Invoice'!E$2:E$401,$U194)))</f>
        <v/>
      </c>
      <c r="F194">
        <f>IF($U194="","",IF(INDEX('Per Invoice'!F$2:F$401,$U194)="","",INDEX('Per Invoice'!F$2:F$401,$U194)))</f>
        <v/>
      </c>
      <c r="G194">
        <f>IF($U194="","",IF(INDEX('Per Invoice'!G$2:G$401,$U194)="","",INDEX('Per Invoice'!G$2:G$401,$U194)))</f>
        <v/>
      </c>
      <c r="H194" s="7">
        <f>IF($U194="","",IF(INDEX('Per Invoice'!H$2:H$401,$U194)="","",INDEX('Per Invoice'!H$2:H$401,$U194)))</f>
        <v/>
      </c>
      <c r="I194" s="14">
        <f>IF($U194="","",IF(INDEX('Per Invoice'!I$2:I$401,$U194)="","",INDEX('Per Invoice'!I$2:I$401,$U194)))</f>
        <v/>
      </c>
      <c r="J194">
        <f>IF($U194="","",IF(INDEX('Per Invoice'!J$2:J$401,$U194)="","",INDEX('Per Invoice'!J$2:J$401,$U194)))</f>
        <v/>
      </c>
      <c r="K194">
        <f>IF($U194="","",IF(INDEX('Per Invoice'!K$2:K$401,$U194)="","",INDEX('Per Invoice'!K$2:K$401,$U194)))</f>
        <v/>
      </c>
      <c r="L194" s="7">
        <f>IF($U194="","",IF(INDEX('Per Invoice'!L$2:L$401,$U194)="","",INDEX('Per Invoice'!L$2:L$401,$U194)))</f>
        <v/>
      </c>
      <c r="M194" s="7">
        <f>IF($U194="","",IF(INDEX('Per Invoice'!M$2:M$401,$U194)="","",INDEX('Per Invoice'!M$2:M$401,$U194)))</f>
        <v/>
      </c>
      <c r="N194">
        <f>IF($U194="","",IF(INDEX('Per Invoice'!N$2:N$401,$U194)="","",INDEX('Per Invoice'!N$2:N$401,$U194)))</f>
        <v/>
      </c>
      <c r="O194" s="7">
        <f>IF($U194="","",IF(INDEX('Per Invoice'!O$2:O$401,$U194)="","",INDEX('Per Invoice'!O$2:O$401,$U194)))</f>
        <v/>
      </c>
      <c r="P194" s="7">
        <f>IF($U194="","",IF(INDEX('Per Invoice'!P$2:P$401,$U194)="","",INDEX('Per Invoice'!P$2:P$401,$U194)))</f>
        <v/>
      </c>
      <c r="Q194" s="7">
        <f>IF($U194="","",IF(INDEX('Per Invoice'!Q$2:Q$401,$U194)="","",INDEX('Per Invoice'!Q$2:Q$401,$U194)))</f>
        <v/>
      </c>
      <c r="R194" s="7">
        <f>IF($U194="","",IF(INDEX('Per Invoice'!R$2:R$401,$U194)="","",INDEX('Per Invoice'!R$2:R$401,$U194)))</f>
        <v/>
      </c>
      <c r="S194" s="7">
        <f>IF($U194="","",IF(INDEX('Per Invoice'!S$2:S$401,$U194)="","",INDEX('Per Invoice'!S$2:S$401,$U194)))</f>
        <v/>
      </c>
      <c r="T194" s="7">
        <f>IF($U194="","",IF(INDEX('Per Invoice'!T$2:T$401,$U194)="","",INDEX('Per Invoice'!T$2:T$401,$U194)))</f>
        <v/>
      </c>
      <c r="U194" s="16">
        <f>IFERROR(MATCH(Settings!$C$27&amp;"|"&amp;ROWS($U$2:$U194),'Per Invoice'!$V$2:$V$401,0),"")</f>
        <v/>
      </c>
    </row>
    <row r="195">
      <c r="A195">
        <f>IF($U195="","",IF(INDEX('Per Invoice'!A$2:A$401,$U195)="","",INDEX('Per Invoice'!A$2:A$401,$U195)))</f>
        <v/>
      </c>
      <c r="B195">
        <f>IF($U195="","",IF(INDEX('Per Invoice'!B$2:B$401,$U195)="","",INDEX('Per Invoice'!B$2:B$401,$U195)))</f>
        <v/>
      </c>
      <c r="C195">
        <f>IF($U195="","",IF(INDEX('Per Invoice'!C$2:C$401,$U195)="","",INDEX('Per Invoice'!C$2:C$401,$U195)))</f>
        <v/>
      </c>
      <c r="D195">
        <f>IF($U195="","",IF(INDEX('Per Invoice'!D$2:D$401,$U195)="","",INDEX('Per Invoice'!D$2:D$401,$U195)))</f>
        <v/>
      </c>
      <c r="E195">
        <f>IF($U195="","",IF(INDEX('Per Invoice'!E$2:E$401,$U195)="","",INDEX('Per Invoice'!E$2:E$401,$U195)))</f>
        <v/>
      </c>
      <c r="F195">
        <f>IF($U195="","",IF(INDEX('Per Invoice'!F$2:F$401,$U195)="","",INDEX('Per Invoice'!F$2:F$401,$U195)))</f>
        <v/>
      </c>
      <c r="G195">
        <f>IF($U195="","",IF(INDEX('Per Invoice'!G$2:G$401,$U195)="","",INDEX('Per Invoice'!G$2:G$401,$U195)))</f>
        <v/>
      </c>
      <c r="H195" s="7">
        <f>IF($U195="","",IF(INDEX('Per Invoice'!H$2:H$401,$U195)="","",INDEX('Per Invoice'!H$2:H$401,$U195)))</f>
        <v/>
      </c>
      <c r="I195" s="14">
        <f>IF($U195="","",IF(INDEX('Per Invoice'!I$2:I$401,$U195)="","",INDEX('Per Invoice'!I$2:I$401,$U195)))</f>
        <v/>
      </c>
      <c r="J195">
        <f>IF($U195="","",IF(INDEX('Per Invoice'!J$2:J$401,$U195)="","",INDEX('Per Invoice'!J$2:J$401,$U195)))</f>
        <v/>
      </c>
      <c r="K195">
        <f>IF($U195="","",IF(INDEX('Per Invoice'!K$2:K$401,$U195)="","",INDEX('Per Invoice'!K$2:K$401,$U195)))</f>
        <v/>
      </c>
      <c r="L195" s="7">
        <f>IF($U195="","",IF(INDEX('Per Invoice'!L$2:L$401,$U195)="","",INDEX('Per Invoice'!L$2:L$401,$U195)))</f>
        <v/>
      </c>
      <c r="M195" s="7">
        <f>IF($U195="","",IF(INDEX('Per Invoice'!M$2:M$401,$U195)="","",INDEX('Per Invoice'!M$2:M$401,$U195)))</f>
        <v/>
      </c>
      <c r="N195">
        <f>IF($U195="","",IF(INDEX('Per Invoice'!N$2:N$401,$U195)="","",INDEX('Per Invoice'!N$2:N$401,$U195)))</f>
        <v/>
      </c>
      <c r="O195" s="7">
        <f>IF($U195="","",IF(INDEX('Per Invoice'!O$2:O$401,$U195)="","",INDEX('Per Invoice'!O$2:O$401,$U195)))</f>
        <v/>
      </c>
      <c r="P195" s="7">
        <f>IF($U195="","",IF(INDEX('Per Invoice'!P$2:P$401,$U195)="","",INDEX('Per Invoice'!P$2:P$401,$U195)))</f>
        <v/>
      </c>
      <c r="Q195" s="7">
        <f>IF($U195="","",IF(INDEX('Per Invoice'!Q$2:Q$401,$U195)="","",INDEX('Per Invoice'!Q$2:Q$401,$U195)))</f>
        <v/>
      </c>
      <c r="R195" s="7">
        <f>IF($U195="","",IF(INDEX('Per Invoice'!R$2:R$401,$U195)="","",INDEX('Per Invoice'!R$2:R$401,$U195)))</f>
        <v/>
      </c>
      <c r="S195" s="7">
        <f>IF($U195="","",IF(INDEX('Per Invoice'!S$2:S$401,$U195)="","",INDEX('Per Invoice'!S$2:S$401,$U195)))</f>
        <v/>
      </c>
      <c r="T195" s="7">
        <f>IF($U195="","",IF(INDEX('Per Invoice'!T$2:T$401,$U195)="","",INDEX('Per Invoice'!T$2:T$401,$U195)))</f>
        <v/>
      </c>
      <c r="U195" s="16">
        <f>IFERROR(MATCH(Settings!$C$27&amp;"|"&amp;ROWS($U$2:$U195),'Per Invoice'!$V$2:$V$401,0),"")</f>
        <v/>
      </c>
    </row>
    <row r="196">
      <c r="A196">
        <f>IF($U196="","",IF(INDEX('Per Invoice'!A$2:A$401,$U196)="","",INDEX('Per Invoice'!A$2:A$401,$U196)))</f>
        <v/>
      </c>
      <c r="B196">
        <f>IF($U196="","",IF(INDEX('Per Invoice'!B$2:B$401,$U196)="","",INDEX('Per Invoice'!B$2:B$401,$U196)))</f>
        <v/>
      </c>
      <c r="C196">
        <f>IF($U196="","",IF(INDEX('Per Invoice'!C$2:C$401,$U196)="","",INDEX('Per Invoice'!C$2:C$401,$U196)))</f>
        <v/>
      </c>
      <c r="D196">
        <f>IF($U196="","",IF(INDEX('Per Invoice'!D$2:D$401,$U196)="","",INDEX('Per Invoice'!D$2:D$401,$U196)))</f>
        <v/>
      </c>
      <c r="E196">
        <f>IF($U196="","",IF(INDEX('Per Invoice'!E$2:E$401,$U196)="","",INDEX('Per Invoice'!E$2:E$401,$U196)))</f>
        <v/>
      </c>
      <c r="F196">
        <f>IF($U196="","",IF(INDEX('Per Invoice'!F$2:F$401,$U196)="","",INDEX('Per Invoice'!F$2:F$401,$U196)))</f>
        <v/>
      </c>
      <c r="G196">
        <f>IF($U196="","",IF(INDEX('Per Invoice'!G$2:G$401,$U196)="","",INDEX('Per Invoice'!G$2:G$401,$U196)))</f>
        <v/>
      </c>
      <c r="H196" s="7">
        <f>IF($U196="","",IF(INDEX('Per Invoice'!H$2:H$401,$U196)="","",INDEX('Per Invoice'!H$2:H$401,$U196)))</f>
        <v/>
      </c>
      <c r="I196" s="14">
        <f>IF($U196="","",IF(INDEX('Per Invoice'!I$2:I$401,$U196)="","",INDEX('Per Invoice'!I$2:I$401,$U196)))</f>
        <v/>
      </c>
      <c r="J196">
        <f>IF($U196="","",IF(INDEX('Per Invoice'!J$2:J$401,$U196)="","",INDEX('Per Invoice'!J$2:J$401,$U196)))</f>
        <v/>
      </c>
      <c r="K196">
        <f>IF($U196="","",IF(INDEX('Per Invoice'!K$2:K$401,$U196)="","",INDEX('Per Invoice'!K$2:K$401,$U196)))</f>
        <v/>
      </c>
      <c r="L196" s="7">
        <f>IF($U196="","",IF(INDEX('Per Invoice'!L$2:L$401,$U196)="","",INDEX('Per Invoice'!L$2:L$401,$U196)))</f>
        <v/>
      </c>
      <c r="M196" s="7">
        <f>IF($U196="","",IF(INDEX('Per Invoice'!M$2:M$401,$U196)="","",INDEX('Per Invoice'!M$2:M$401,$U196)))</f>
        <v/>
      </c>
      <c r="N196">
        <f>IF($U196="","",IF(INDEX('Per Invoice'!N$2:N$401,$U196)="","",INDEX('Per Invoice'!N$2:N$401,$U196)))</f>
        <v/>
      </c>
      <c r="O196" s="7">
        <f>IF($U196="","",IF(INDEX('Per Invoice'!O$2:O$401,$U196)="","",INDEX('Per Invoice'!O$2:O$401,$U196)))</f>
        <v/>
      </c>
      <c r="P196" s="7">
        <f>IF($U196="","",IF(INDEX('Per Invoice'!P$2:P$401,$U196)="","",INDEX('Per Invoice'!P$2:P$401,$U196)))</f>
        <v/>
      </c>
      <c r="Q196" s="7">
        <f>IF($U196="","",IF(INDEX('Per Invoice'!Q$2:Q$401,$U196)="","",INDEX('Per Invoice'!Q$2:Q$401,$U196)))</f>
        <v/>
      </c>
      <c r="R196" s="7">
        <f>IF($U196="","",IF(INDEX('Per Invoice'!R$2:R$401,$U196)="","",INDEX('Per Invoice'!R$2:R$401,$U196)))</f>
        <v/>
      </c>
      <c r="S196" s="7">
        <f>IF($U196="","",IF(INDEX('Per Invoice'!S$2:S$401,$U196)="","",INDEX('Per Invoice'!S$2:S$401,$U196)))</f>
        <v/>
      </c>
      <c r="T196" s="7">
        <f>IF($U196="","",IF(INDEX('Per Invoice'!T$2:T$401,$U196)="","",INDEX('Per Invoice'!T$2:T$401,$U196)))</f>
        <v/>
      </c>
      <c r="U196" s="16">
        <f>IFERROR(MATCH(Settings!$C$27&amp;"|"&amp;ROWS($U$2:$U196),'Per Invoice'!$V$2:$V$401,0),"")</f>
        <v/>
      </c>
    </row>
    <row r="197">
      <c r="A197">
        <f>IF($U197="","",IF(INDEX('Per Invoice'!A$2:A$401,$U197)="","",INDEX('Per Invoice'!A$2:A$401,$U197)))</f>
        <v/>
      </c>
      <c r="B197">
        <f>IF($U197="","",IF(INDEX('Per Invoice'!B$2:B$401,$U197)="","",INDEX('Per Invoice'!B$2:B$401,$U197)))</f>
        <v/>
      </c>
      <c r="C197">
        <f>IF($U197="","",IF(INDEX('Per Invoice'!C$2:C$401,$U197)="","",INDEX('Per Invoice'!C$2:C$401,$U197)))</f>
        <v/>
      </c>
      <c r="D197">
        <f>IF($U197="","",IF(INDEX('Per Invoice'!D$2:D$401,$U197)="","",INDEX('Per Invoice'!D$2:D$401,$U197)))</f>
        <v/>
      </c>
      <c r="E197">
        <f>IF($U197="","",IF(INDEX('Per Invoice'!E$2:E$401,$U197)="","",INDEX('Per Invoice'!E$2:E$401,$U197)))</f>
        <v/>
      </c>
      <c r="F197">
        <f>IF($U197="","",IF(INDEX('Per Invoice'!F$2:F$401,$U197)="","",INDEX('Per Invoice'!F$2:F$401,$U197)))</f>
        <v/>
      </c>
      <c r="G197">
        <f>IF($U197="","",IF(INDEX('Per Invoice'!G$2:G$401,$U197)="","",INDEX('Per Invoice'!G$2:G$401,$U197)))</f>
        <v/>
      </c>
      <c r="H197" s="7">
        <f>IF($U197="","",IF(INDEX('Per Invoice'!H$2:H$401,$U197)="","",INDEX('Per Invoice'!H$2:H$401,$U197)))</f>
        <v/>
      </c>
      <c r="I197" s="14">
        <f>IF($U197="","",IF(INDEX('Per Invoice'!I$2:I$401,$U197)="","",INDEX('Per Invoice'!I$2:I$401,$U197)))</f>
        <v/>
      </c>
      <c r="J197">
        <f>IF($U197="","",IF(INDEX('Per Invoice'!J$2:J$401,$U197)="","",INDEX('Per Invoice'!J$2:J$401,$U197)))</f>
        <v/>
      </c>
      <c r="K197">
        <f>IF($U197="","",IF(INDEX('Per Invoice'!K$2:K$401,$U197)="","",INDEX('Per Invoice'!K$2:K$401,$U197)))</f>
        <v/>
      </c>
      <c r="L197" s="7">
        <f>IF($U197="","",IF(INDEX('Per Invoice'!L$2:L$401,$U197)="","",INDEX('Per Invoice'!L$2:L$401,$U197)))</f>
        <v/>
      </c>
      <c r="M197" s="7">
        <f>IF($U197="","",IF(INDEX('Per Invoice'!M$2:M$401,$U197)="","",INDEX('Per Invoice'!M$2:M$401,$U197)))</f>
        <v/>
      </c>
      <c r="N197">
        <f>IF($U197="","",IF(INDEX('Per Invoice'!N$2:N$401,$U197)="","",INDEX('Per Invoice'!N$2:N$401,$U197)))</f>
        <v/>
      </c>
      <c r="O197" s="7">
        <f>IF($U197="","",IF(INDEX('Per Invoice'!O$2:O$401,$U197)="","",INDEX('Per Invoice'!O$2:O$401,$U197)))</f>
        <v/>
      </c>
      <c r="P197" s="7">
        <f>IF($U197="","",IF(INDEX('Per Invoice'!P$2:P$401,$U197)="","",INDEX('Per Invoice'!P$2:P$401,$U197)))</f>
        <v/>
      </c>
      <c r="Q197" s="7">
        <f>IF($U197="","",IF(INDEX('Per Invoice'!Q$2:Q$401,$U197)="","",INDEX('Per Invoice'!Q$2:Q$401,$U197)))</f>
        <v/>
      </c>
      <c r="R197" s="7">
        <f>IF($U197="","",IF(INDEX('Per Invoice'!R$2:R$401,$U197)="","",INDEX('Per Invoice'!R$2:R$401,$U197)))</f>
        <v/>
      </c>
      <c r="S197" s="7">
        <f>IF($U197="","",IF(INDEX('Per Invoice'!S$2:S$401,$U197)="","",INDEX('Per Invoice'!S$2:S$401,$U197)))</f>
        <v/>
      </c>
      <c r="T197" s="7">
        <f>IF($U197="","",IF(INDEX('Per Invoice'!T$2:T$401,$U197)="","",INDEX('Per Invoice'!T$2:T$401,$U197)))</f>
        <v/>
      </c>
      <c r="U197" s="16">
        <f>IFERROR(MATCH(Settings!$C$27&amp;"|"&amp;ROWS($U$2:$U197),'Per Invoice'!$V$2:$V$401,0),"")</f>
        <v/>
      </c>
    </row>
    <row r="198">
      <c r="A198">
        <f>IF($U198="","",IF(INDEX('Per Invoice'!A$2:A$401,$U198)="","",INDEX('Per Invoice'!A$2:A$401,$U198)))</f>
        <v/>
      </c>
      <c r="B198">
        <f>IF($U198="","",IF(INDEX('Per Invoice'!B$2:B$401,$U198)="","",INDEX('Per Invoice'!B$2:B$401,$U198)))</f>
        <v/>
      </c>
      <c r="C198">
        <f>IF($U198="","",IF(INDEX('Per Invoice'!C$2:C$401,$U198)="","",INDEX('Per Invoice'!C$2:C$401,$U198)))</f>
        <v/>
      </c>
      <c r="D198">
        <f>IF($U198="","",IF(INDEX('Per Invoice'!D$2:D$401,$U198)="","",INDEX('Per Invoice'!D$2:D$401,$U198)))</f>
        <v/>
      </c>
      <c r="E198">
        <f>IF($U198="","",IF(INDEX('Per Invoice'!E$2:E$401,$U198)="","",INDEX('Per Invoice'!E$2:E$401,$U198)))</f>
        <v/>
      </c>
      <c r="F198">
        <f>IF($U198="","",IF(INDEX('Per Invoice'!F$2:F$401,$U198)="","",INDEX('Per Invoice'!F$2:F$401,$U198)))</f>
        <v/>
      </c>
      <c r="G198">
        <f>IF($U198="","",IF(INDEX('Per Invoice'!G$2:G$401,$U198)="","",INDEX('Per Invoice'!G$2:G$401,$U198)))</f>
        <v/>
      </c>
      <c r="H198" s="7">
        <f>IF($U198="","",IF(INDEX('Per Invoice'!H$2:H$401,$U198)="","",INDEX('Per Invoice'!H$2:H$401,$U198)))</f>
        <v/>
      </c>
      <c r="I198" s="14">
        <f>IF($U198="","",IF(INDEX('Per Invoice'!I$2:I$401,$U198)="","",INDEX('Per Invoice'!I$2:I$401,$U198)))</f>
        <v/>
      </c>
      <c r="J198">
        <f>IF($U198="","",IF(INDEX('Per Invoice'!J$2:J$401,$U198)="","",INDEX('Per Invoice'!J$2:J$401,$U198)))</f>
        <v/>
      </c>
      <c r="K198">
        <f>IF($U198="","",IF(INDEX('Per Invoice'!K$2:K$401,$U198)="","",INDEX('Per Invoice'!K$2:K$401,$U198)))</f>
        <v/>
      </c>
      <c r="L198" s="7">
        <f>IF($U198="","",IF(INDEX('Per Invoice'!L$2:L$401,$U198)="","",INDEX('Per Invoice'!L$2:L$401,$U198)))</f>
        <v/>
      </c>
      <c r="M198" s="7">
        <f>IF($U198="","",IF(INDEX('Per Invoice'!M$2:M$401,$U198)="","",INDEX('Per Invoice'!M$2:M$401,$U198)))</f>
        <v/>
      </c>
      <c r="N198">
        <f>IF($U198="","",IF(INDEX('Per Invoice'!N$2:N$401,$U198)="","",INDEX('Per Invoice'!N$2:N$401,$U198)))</f>
        <v/>
      </c>
      <c r="O198" s="7">
        <f>IF($U198="","",IF(INDEX('Per Invoice'!O$2:O$401,$U198)="","",INDEX('Per Invoice'!O$2:O$401,$U198)))</f>
        <v/>
      </c>
      <c r="P198" s="7">
        <f>IF($U198="","",IF(INDEX('Per Invoice'!P$2:P$401,$U198)="","",INDEX('Per Invoice'!P$2:P$401,$U198)))</f>
        <v/>
      </c>
      <c r="Q198" s="7">
        <f>IF($U198="","",IF(INDEX('Per Invoice'!Q$2:Q$401,$U198)="","",INDEX('Per Invoice'!Q$2:Q$401,$U198)))</f>
        <v/>
      </c>
      <c r="R198" s="7">
        <f>IF($U198="","",IF(INDEX('Per Invoice'!R$2:R$401,$U198)="","",INDEX('Per Invoice'!R$2:R$401,$U198)))</f>
        <v/>
      </c>
      <c r="S198" s="7">
        <f>IF($U198="","",IF(INDEX('Per Invoice'!S$2:S$401,$U198)="","",INDEX('Per Invoice'!S$2:S$401,$U198)))</f>
        <v/>
      </c>
      <c r="T198" s="7">
        <f>IF($U198="","",IF(INDEX('Per Invoice'!T$2:T$401,$U198)="","",INDEX('Per Invoice'!T$2:T$401,$U198)))</f>
        <v/>
      </c>
      <c r="U198" s="16">
        <f>IFERROR(MATCH(Settings!$C$27&amp;"|"&amp;ROWS($U$2:$U198),'Per Invoice'!$V$2:$V$401,0),"")</f>
        <v/>
      </c>
    </row>
    <row r="199">
      <c r="A199">
        <f>IF($U199="","",IF(INDEX('Per Invoice'!A$2:A$401,$U199)="","",INDEX('Per Invoice'!A$2:A$401,$U199)))</f>
        <v/>
      </c>
      <c r="B199">
        <f>IF($U199="","",IF(INDEX('Per Invoice'!B$2:B$401,$U199)="","",INDEX('Per Invoice'!B$2:B$401,$U199)))</f>
        <v/>
      </c>
      <c r="C199">
        <f>IF($U199="","",IF(INDEX('Per Invoice'!C$2:C$401,$U199)="","",INDEX('Per Invoice'!C$2:C$401,$U199)))</f>
        <v/>
      </c>
      <c r="D199">
        <f>IF($U199="","",IF(INDEX('Per Invoice'!D$2:D$401,$U199)="","",INDEX('Per Invoice'!D$2:D$401,$U199)))</f>
        <v/>
      </c>
      <c r="E199">
        <f>IF($U199="","",IF(INDEX('Per Invoice'!E$2:E$401,$U199)="","",INDEX('Per Invoice'!E$2:E$401,$U199)))</f>
        <v/>
      </c>
      <c r="F199">
        <f>IF($U199="","",IF(INDEX('Per Invoice'!F$2:F$401,$U199)="","",INDEX('Per Invoice'!F$2:F$401,$U199)))</f>
        <v/>
      </c>
      <c r="G199">
        <f>IF($U199="","",IF(INDEX('Per Invoice'!G$2:G$401,$U199)="","",INDEX('Per Invoice'!G$2:G$401,$U199)))</f>
        <v/>
      </c>
      <c r="H199" s="7">
        <f>IF($U199="","",IF(INDEX('Per Invoice'!H$2:H$401,$U199)="","",INDEX('Per Invoice'!H$2:H$401,$U199)))</f>
        <v/>
      </c>
      <c r="I199" s="14">
        <f>IF($U199="","",IF(INDEX('Per Invoice'!I$2:I$401,$U199)="","",INDEX('Per Invoice'!I$2:I$401,$U199)))</f>
        <v/>
      </c>
      <c r="J199">
        <f>IF($U199="","",IF(INDEX('Per Invoice'!J$2:J$401,$U199)="","",INDEX('Per Invoice'!J$2:J$401,$U199)))</f>
        <v/>
      </c>
      <c r="K199">
        <f>IF($U199="","",IF(INDEX('Per Invoice'!K$2:K$401,$U199)="","",INDEX('Per Invoice'!K$2:K$401,$U199)))</f>
        <v/>
      </c>
      <c r="L199" s="7">
        <f>IF($U199="","",IF(INDEX('Per Invoice'!L$2:L$401,$U199)="","",INDEX('Per Invoice'!L$2:L$401,$U199)))</f>
        <v/>
      </c>
      <c r="M199" s="7">
        <f>IF($U199="","",IF(INDEX('Per Invoice'!M$2:M$401,$U199)="","",INDEX('Per Invoice'!M$2:M$401,$U199)))</f>
        <v/>
      </c>
      <c r="N199">
        <f>IF($U199="","",IF(INDEX('Per Invoice'!N$2:N$401,$U199)="","",INDEX('Per Invoice'!N$2:N$401,$U199)))</f>
        <v/>
      </c>
      <c r="O199" s="7">
        <f>IF($U199="","",IF(INDEX('Per Invoice'!O$2:O$401,$U199)="","",INDEX('Per Invoice'!O$2:O$401,$U199)))</f>
        <v/>
      </c>
      <c r="P199" s="7">
        <f>IF($U199="","",IF(INDEX('Per Invoice'!P$2:P$401,$U199)="","",INDEX('Per Invoice'!P$2:P$401,$U199)))</f>
        <v/>
      </c>
      <c r="Q199" s="7">
        <f>IF($U199="","",IF(INDEX('Per Invoice'!Q$2:Q$401,$U199)="","",INDEX('Per Invoice'!Q$2:Q$401,$U199)))</f>
        <v/>
      </c>
      <c r="R199" s="7">
        <f>IF($U199="","",IF(INDEX('Per Invoice'!R$2:R$401,$U199)="","",INDEX('Per Invoice'!R$2:R$401,$U199)))</f>
        <v/>
      </c>
      <c r="S199" s="7">
        <f>IF($U199="","",IF(INDEX('Per Invoice'!S$2:S$401,$U199)="","",INDEX('Per Invoice'!S$2:S$401,$U199)))</f>
        <v/>
      </c>
      <c r="T199" s="7">
        <f>IF($U199="","",IF(INDEX('Per Invoice'!T$2:T$401,$U199)="","",INDEX('Per Invoice'!T$2:T$401,$U199)))</f>
        <v/>
      </c>
      <c r="U199" s="16">
        <f>IFERROR(MATCH(Settings!$C$27&amp;"|"&amp;ROWS($U$2:$U199),'Per Invoice'!$V$2:$V$401,0),"")</f>
        <v/>
      </c>
    </row>
    <row r="200">
      <c r="A200">
        <f>IF($U200="","",IF(INDEX('Per Invoice'!A$2:A$401,$U200)="","",INDEX('Per Invoice'!A$2:A$401,$U200)))</f>
        <v/>
      </c>
      <c r="B200">
        <f>IF($U200="","",IF(INDEX('Per Invoice'!B$2:B$401,$U200)="","",INDEX('Per Invoice'!B$2:B$401,$U200)))</f>
        <v/>
      </c>
      <c r="C200">
        <f>IF($U200="","",IF(INDEX('Per Invoice'!C$2:C$401,$U200)="","",INDEX('Per Invoice'!C$2:C$401,$U200)))</f>
        <v/>
      </c>
      <c r="D200">
        <f>IF($U200="","",IF(INDEX('Per Invoice'!D$2:D$401,$U200)="","",INDEX('Per Invoice'!D$2:D$401,$U200)))</f>
        <v/>
      </c>
      <c r="E200">
        <f>IF($U200="","",IF(INDEX('Per Invoice'!E$2:E$401,$U200)="","",INDEX('Per Invoice'!E$2:E$401,$U200)))</f>
        <v/>
      </c>
      <c r="F200">
        <f>IF($U200="","",IF(INDEX('Per Invoice'!F$2:F$401,$U200)="","",INDEX('Per Invoice'!F$2:F$401,$U200)))</f>
        <v/>
      </c>
      <c r="G200">
        <f>IF($U200="","",IF(INDEX('Per Invoice'!G$2:G$401,$U200)="","",INDEX('Per Invoice'!G$2:G$401,$U200)))</f>
        <v/>
      </c>
      <c r="H200" s="7">
        <f>IF($U200="","",IF(INDEX('Per Invoice'!H$2:H$401,$U200)="","",INDEX('Per Invoice'!H$2:H$401,$U200)))</f>
        <v/>
      </c>
      <c r="I200" s="14">
        <f>IF($U200="","",IF(INDEX('Per Invoice'!I$2:I$401,$U200)="","",INDEX('Per Invoice'!I$2:I$401,$U200)))</f>
        <v/>
      </c>
      <c r="J200">
        <f>IF($U200="","",IF(INDEX('Per Invoice'!J$2:J$401,$U200)="","",INDEX('Per Invoice'!J$2:J$401,$U200)))</f>
        <v/>
      </c>
      <c r="K200">
        <f>IF($U200="","",IF(INDEX('Per Invoice'!K$2:K$401,$U200)="","",INDEX('Per Invoice'!K$2:K$401,$U200)))</f>
        <v/>
      </c>
      <c r="L200" s="7">
        <f>IF($U200="","",IF(INDEX('Per Invoice'!L$2:L$401,$U200)="","",INDEX('Per Invoice'!L$2:L$401,$U200)))</f>
        <v/>
      </c>
      <c r="M200" s="7">
        <f>IF($U200="","",IF(INDEX('Per Invoice'!M$2:M$401,$U200)="","",INDEX('Per Invoice'!M$2:M$401,$U200)))</f>
        <v/>
      </c>
      <c r="N200">
        <f>IF($U200="","",IF(INDEX('Per Invoice'!N$2:N$401,$U200)="","",INDEX('Per Invoice'!N$2:N$401,$U200)))</f>
        <v/>
      </c>
      <c r="O200" s="7">
        <f>IF($U200="","",IF(INDEX('Per Invoice'!O$2:O$401,$U200)="","",INDEX('Per Invoice'!O$2:O$401,$U200)))</f>
        <v/>
      </c>
      <c r="P200" s="7">
        <f>IF($U200="","",IF(INDEX('Per Invoice'!P$2:P$401,$U200)="","",INDEX('Per Invoice'!P$2:P$401,$U200)))</f>
        <v/>
      </c>
      <c r="Q200" s="7">
        <f>IF($U200="","",IF(INDEX('Per Invoice'!Q$2:Q$401,$U200)="","",INDEX('Per Invoice'!Q$2:Q$401,$U200)))</f>
        <v/>
      </c>
      <c r="R200" s="7">
        <f>IF($U200="","",IF(INDEX('Per Invoice'!R$2:R$401,$U200)="","",INDEX('Per Invoice'!R$2:R$401,$U200)))</f>
        <v/>
      </c>
      <c r="S200" s="7">
        <f>IF($U200="","",IF(INDEX('Per Invoice'!S$2:S$401,$U200)="","",INDEX('Per Invoice'!S$2:S$401,$U200)))</f>
        <v/>
      </c>
      <c r="T200" s="7">
        <f>IF($U200="","",IF(INDEX('Per Invoice'!T$2:T$401,$U200)="","",INDEX('Per Invoice'!T$2:T$401,$U200)))</f>
        <v/>
      </c>
      <c r="U200" s="16">
        <f>IFERROR(MATCH(Settings!$C$27&amp;"|"&amp;ROWS($U$2:$U200),'Per Invoice'!$V$2:$V$401,0),"")</f>
        <v/>
      </c>
    </row>
    <row r="201">
      <c r="A201">
        <f>IF($U201="","",IF(INDEX('Per Invoice'!A$2:A$401,$U201)="","",INDEX('Per Invoice'!A$2:A$401,$U201)))</f>
        <v/>
      </c>
      <c r="B201">
        <f>IF($U201="","",IF(INDEX('Per Invoice'!B$2:B$401,$U201)="","",INDEX('Per Invoice'!B$2:B$401,$U201)))</f>
        <v/>
      </c>
      <c r="C201">
        <f>IF($U201="","",IF(INDEX('Per Invoice'!C$2:C$401,$U201)="","",INDEX('Per Invoice'!C$2:C$401,$U201)))</f>
        <v/>
      </c>
      <c r="D201">
        <f>IF($U201="","",IF(INDEX('Per Invoice'!D$2:D$401,$U201)="","",INDEX('Per Invoice'!D$2:D$401,$U201)))</f>
        <v/>
      </c>
      <c r="E201">
        <f>IF($U201="","",IF(INDEX('Per Invoice'!E$2:E$401,$U201)="","",INDEX('Per Invoice'!E$2:E$401,$U201)))</f>
        <v/>
      </c>
      <c r="F201">
        <f>IF($U201="","",IF(INDEX('Per Invoice'!F$2:F$401,$U201)="","",INDEX('Per Invoice'!F$2:F$401,$U201)))</f>
        <v/>
      </c>
      <c r="G201">
        <f>IF($U201="","",IF(INDEX('Per Invoice'!G$2:G$401,$U201)="","",INDEX('Per Invoice'!G$2:G$401,$U201)))</f>
        <v/>
      </c>
      <c r="H201" s="7">
        <f>IF($U201="","",IF(INDEX('Per Invoice'!H$2:H$401,$U201)="","",INDEX('Per Invoice'!H$2:H$401,$U201)))</f>
        <v/>
      </c>
      <c r="I201" s="14">
        <f>IF($U201="","",IF(INDEX('Per Invoice'!I$2:I$401,$U201)="","",INDEX('Per Invoice'!I$2:I$401,$U201)))</f>
        <v/>
      </c>
      <c r="J201">
        <f>IF($U201="","",IF(INDEX('Per Invoice'!J$2:J$401,$U201)="","",INDEX('Per Invoice'!J$2:J$401,$U201)))</f>
        <v/>
      </c>
      <c r="K201">
        <f>IF($U201="","",IF(INDEX('Per Invoice'!K$2:K$401,$U201)="","",INDEX('Per Invoice'!K$2:K$401,$U201)))</f>
        <v/>
      </c>
      <c r="L201" s="7">
        <f>IF($U201="","",IF(INDEX('Per Invoice'!L$2:L$401,$U201)="","",INDEX('Per Invoice'!L$2:L$401,$U201)))</f>
        <v/>
      </c>
      <c r="M201" s="7">
        <f>IF($U201="","",IF(INDEX('Per Invoice'!M$2:M$401,$U201)="","",INDEX('Per Invoice'!M$2:M$401,$U201)))</f>
        <v/>
      </c>
      <c r="N201">
        <f>IF($U201="","",IF(INDEX('Per Invoice'!N$2:N$401,$U201)="","",INDEX('Per Invoice'!N$2:N$401,$U201)))</f>
        <v/>
      </c>
      <c r="O201" s="7">
        <f>IF($U201="","",IF(INDEX('Per Invoice'!O$2:O$401,$U201)="","",INDEX('Per Invoice'!O$2:O$401,$U201)))</f>
        <v/>
      </c>
      <c r="P201" s="7">
        <f>IF($U201="","",IF(INDEX('Per Invoice'!P$2:P$401,$U201)="","",INDEX('Per Invoice'!P$2:P$401,$U201)))</f>
        <v/>
      </c>
      <c r="Q201" s="7">
        <f>IF($U201="","",IF(INDEX('Per Invoice'!Q$2:Q$401,$U201)="","",INDEX('Per Invoice'!Q$2:Q$401,$U201)))</f>
        <v/>
      </c>
      <c r="R201" s="7">
        <f>IF($U201="","",IF(INDEX('Per Invoice'!R$2:R$401,$U201)="","",INDEX('Per Invoice'!R$2:R$401,$U201)))</f>
        <v/>
      </c>
      <c r="S201" s="7">
        <f>IF($U201="","",IF(INDEX('Per Invoice'!S$2:S$401,$U201)="","",INDEX('Per Invoice'!S$2:S$401,$U201)))</f>
        <v/>
      </c>
      <c r="T201" s="7">
        <f>IF($U201="","",IF(INDEX('Per Invoice'!T$2:T$401,$U201)="","",INDEX('Per Invoice'!T$2:T$401,$U201)))</f>
        <v/>
      </c>
      <c r="U201" s="16">
        <f>IFERROR(MATCH(Settings!$C$27&amp;"|"&amp;ROWS($U$2:$U201),'Per Invoice'!$V$2:$V$401,0),"")</f>
        <v/>
      </c>
    </row>
    <row r="202">
      <c r="A202">
        <f>IF($U202="","",IF(INDEX('Per Invoice'!A$2:A$401,$U202)="","",INDEX('Per Invoice'!A$2:A$401,$U202)))</f>
        <v/>
      </c>
      <c r="B202">
        <f>IF($U202="","",IF(INDEX('Per Invoice'!B$2:B$401,$U202)="","",INDEX('Per Invoice'!B$2:B$401,$U202)))</f>
        <v/>
      </c>
      <c r="C202">
        <f>IF($U202="","",IF(INDEX('Per Invoice'!C$2:C$401,$U202)="","",INDEX('Per Invoice'!C$2:C$401,$U202)))</f>
        <v/>
      </c>
      <c r="D202">
        <f>IF($U202="","",IF(INDEX('Per Invoice'!D$2:D$401,$U202)="","",INDEX('Per Invoice'!D$2:D$401,$U202)))</f>
        <v/>
      </c>
      <c r="E202">
        <f>IF($U202="","",IF(INDEX('Per Invoice'!E$2:E$401,$U202)="","",INDEX('Per Invoice'!E$2:E$401,$U202)))</f>
        <v/>
      </c>
      <c r="F202">
        <f>IF($U202="","",IF(INDEX('Per Invoice'!F$2:F$401,$U202)="","",INDEX('Per Invoice'!F$2:F$401,$U202)))</f>
        <v/>
      </c>
      <c r="G202">
        <f>IF($U202="","",IF(INDEX('Per Invoice'!G$2:G$401,$U202)="","",INDEX('Per Invoice'!G$2:G$401,$U202)))</f>
        <v/>
      </c>
      <c r="H202" s="7">
        <f>IF($U202="","",IF(INDEX('Per Invoice'!H$2:H$401,$U202)="","",INDEX('Per Invoice'!H$2:H$401,$U202)))</f>
        <v/>
      </c>
      <c r="I202" s="14">
        <f>IF($U202="","",IF(INDEX('Per Invoice'!I$2:I$401,$U202)="","",INDEX('Per Invoice'!I$2:I$401,$U202)))</f>
        <v/>
      </c>
      <c r="J202">
        <f>IF($U202="","",IF(INDEX('Per Invoice'!J$2:J$401,$U202)="","",INDEX('Per Invoice'!J$2:J$401,$U202)))</f>
        <v/>
      </c>
      <c r="K202">
        <f>IF($U202="","",IF(INDEX('Per Invoice'!K$2:K$401,$U202)="","",INDEX('Per Invoice'!K$2:K$401,$U202)))</f>
        <v/>
      </c>
      <c r="L202" s="7">
        <f>IF($U202="","",IF(INDEX('Per Invoice'!L$2:L$401,$U202)="","",INDEX('Per Invoice'!L$2:L$401,$U202)))</f>
        <v/>
      </c>
      <c r="M202" s="7">
        <f>IF($U202="","",IF(INDEX('Per Invoice'!M$2:M$401,$U202)="","",INDEX('Per Invoice'!M$2:M$401,$U202)))</f>
        <v/>
      </c>
      <c r="N202">
        <f>IF($U202="","",IF(INDEX('Per Invoice'!N$2:N$401,$U202)="","",INDEX('Per Invoice'!N$2:N$401,$U202)))</f>
        <v/>
      </c>
      <c r="O202" s="7">
        <f>IF($U202="","",IF(INDEX('Per Invoice'!O$2:O$401,$U202)="","",INDEX('Per Invoice'!O$2:O$401,$U202)))</f>
        <v/>
      </c>
      <c r="P202" s="7">
        <f>IF($U202="","",IF(INDEX('Per Invoice'!P$2:P$401,$U202)="","",INDEX('Per Invoice'!P$2:P$401,$U202)))</f>
        <v/>
      </c>
      <c r="Q202" s="7">
        <f>IF($U202="","",IF(INDEX('Per Invoice'!Q$2:Q$401,$U202)="","",INDEX('Per Invoice'!Q$2:Q$401,$U202)))</f>
        <v/>
      </c>
      <c r="R202" s="7">
        <f>IF($U202="","",IF(INDEX('Per Invoice'!R$2:R$401,$U202)="","",INDEX('Per Invoice'!R$2:R$401,$U202)))</f>
        <v/>
      </c>
      <c r="S202" s="7">
        <f>IF($U202="","",IF(INDEX('Per Invoice'!S$2:S$401,$U202)="","",INDEX('Per Invoice'!S$2:S$401,$U202)))</f>
        <v/>
      </c>
      <c r="T202" s="7">
        <f>IF($U202="","",IF(INDEX('Per Invoice'!T$2:T$401,$U202)="","",INDEX('Per Invoice'!T$2:T$401,$U202)))</f>
        <v/>
      </c>
      <c r="U202" s="16">
        <f>IFERROR(MATCH(Settings!$C$27&amp;"|"&amp;ROWS($U$2:$U202),'Per Invoice'!$V$2:$V$401,0),"")</f>
        <v/>
      </c>
    </row>
    <row r="203">
      <c r="A203">
        <f>IF($U203="","",IF(INDEX('Per Invoice'!A$2:A$401,$U203)="","",INDEX('Per Invoice'!A$2:A$401,$U203)))</f>
        <v/>
      </c>
      <c r="B203">
        <f>IF($U203="","",IF(INDEX('Per Invoice'!B$2:B$401,$U203)="","",INDEX('Per Invoice'!B$2:B$401,$U203)))</f>
        <v/>
      </c>
      <c r="C203">
        <f>IF($U203="","",IF(INDEX('Per Invoice'!C$2:C$401,$U203)="","",INDEX('Per Invoice'!C$2:C$401,$U203)))</f>
        <v/>
      </c>
      <c r="D203">
        <f>IF($U203="","",IF(INDEX('Per Invoice'!D$2:D$401,$U203)="","",INDEX('Per Invoice'!D$2:D$401,$U203)))</f>
        <v/>
      </c>
      <c r="E203">
        <f>IF($U203="","",IF(INDEX('Per Invoice'!E$2:E$401,$U203)="","",INDEX('Per Invoice'!E$2:E$401,$U203)))</f>
        <v/>
      </c>
      <c r="F203">
        <f>IF($U203="","",IF(INDEX('Per Invoice'!F$2:F$401,$U203)="","",INDEX('Per Invoice'!F$2:F$401,$U203)))</f>
        <v/>
      </c>
      <c r="G203">
        <f>IF($U203="","",IF(INDEX('Per Invoice'!G$2:G$401,$U203)="","",INDEX('Per Invoice'!G$2:G$401,$U203)))</f>
        <v/>
      </c>
      <c r="H203" s="7">
        <f>IF($U203="","",IF(INDEX('Per Invoice'!H$2:H$401,$U203)="","",INDEX('Per Invoice'!H$2:H$401,$U203)))</f>
        <v/>
      </c>
      <c r="I203" s="14">
        <f>IF($U203="","",IF(INDEX('Per Invoice'!I$2:I$401,$U203)="","",INDEX('Per Invoice'!I$2:I$401,$U203)))</f>
        <v/>
      </c>
      <c r="J203">
        <f>IF($U203="","",IF(INDEX('Per Invoice'!J$2:J$401,$U203)="","",INDEX('Per Invoice'!J$2:J$401,$U203)))</f>
        <v/>
      </c>
      <c r="K203">
        <f>IF($U203="","",IF(INDEX('Per Invoice'!K$2:K$401,$U203)="","",INDEX('Per Invoice'!K$2:K$401,$U203)))</f>
        <v/>
      </c>
      <c r="L203" s="7">
        <f>IF($U203="","",IF(INDEX('Per Invoice'!L$2:L$401,$U203)="","",INDEX('Per Invoice'!L$2:L$401,$U203)))</f>
        <v/>
      </c>
      <c r="M203" s="7">
        <f>IF($U203="","",IF(INDEX('Per Invoice'!M$2:M$401,$U203)="","",INDEX('Per Invoice'!M$2:M$401,$U203)))</f>
        <v/>
      </c>
      <c r="N203">
        <f>IF($U203="","",IF(INDEX('Per Invoice'!N$2:N$401,$U203)="","",INDEX('Per Invoice'!N$2:N$401,$U203)))</f>
        <v/>
      </c>
      <c r="O203" s="7">
        <f>IF($U203="","",IF(INDEX('Per Invoice'!O$2:O$401,$U203)="","",INDEX('Per Invoice'!O$2:O$401,$U203)))</f>
        <v/>
      </c>
      <c r="P203" s="7">
        <f>IF($U203="","",IF(INDEX('Per Invoice'!P$2:P$401,$U203)="","",INDEX('Per Invoice'!P$2:P$401,$U203)))</f>
        <v/>
      </c>
      <c r="Q203" s="7">
        <f>IF($U203="","",IF(INDEX('Per Invoice'!Q$2:Q$401,$U203)="","",INDEX('Per Invoice'!Q$2:Q$401,$U203)))</f>
        <v/>
      </c>
      <c r="R203" s="7">
        <f>IF($U203="","",IF(INDEX('Per Invoice'!R$2:R$401,$U203)="","",INDEX('Per Invoice'!R$2:R$401,$U203)))</f>
        <v/>
      </c>
      <c r="S203" s="7">
        <f>IF($U203="","",IF(INDEX('Per Invoice'!S$2:S$401,$U203)="","",INDEX('Per Invoice'!S$2:S$401,$U203)))</f>
        <v/>
      </c>
      <c r="T203" s="7">
        <f>IF($U203="","",IF(INDEX('Per Invoice'!T$2:T$401,$U203)="","",INDEX('Per Invoice'!T$2:T$401,$U203)))</f>
        <v/>
      </c>
      <c r="U203" s="16">
        <f>IFERROR(MATCH(Settings!$C$27&amp;"|"&amp;ROWS($U$2:$U203),'Per Invoice'!$V$2:$V$401,0),"")</f>
        <v/>
      </c>
    </row>
    <row r="204">
      <c r="A204">
        <f>IF($U204="","",IF(INDEX('Per Invoice'!A$2:A$401,$U204)="","",INDEX('Per Invoice'!A$2:A$401,$U204)))</f>
        <v/>
      </c>
      <c r="B204">
        <f>IF($U204="","",IF(INDEX('Per Invoice'!B$2:B$401,$U204)="","",INDEX('Per Invoice'!B$2:B$401,$U204)))</f>
        <v/>
      </c>
      <c r="C204">
        <f>IF($U204="","",IF(INDEX('Per Invoice'!C$2:C$401,$U204)="","",INDEX('Per Invoice'!C$2:C$401,$U204)))</f>
        <v/>
      </c>
      <c r="D204">
        <f>IF($U204="","",IF(INDEX('Per Invoice'!D$2:D$401,$U204)="","",INDEX('Per Invoice'!D$2:D$401,$U204)))</f>
        <v/>
      </c>
      <c r="E204">
        <f>IF($U204="","",IF(INDEX('Per Invoice'!E$2:E$401,$U204)="","",INDEX('Per Invoice'!E$2:E$401,$U204)))</f>
        <v/>
      </c>
      <c r="F204">
        <f>IF($U204="","",IF(INDEX('Per Invoice'!F$2:F$401,$U204)="","",INDEX('Per Invoice'!F$2:F$401,$U204)))</f>
        <v/>
      </c>
      <c r="G204">
        <f>IF($U204="","",IF(INDEX('Per Invoice'!G$2:G$401,$U204)="","",INDEX('Per Invoice'!G$2:G$401,$U204)))</f>
        <v/>
      </c>
      <c r="H204" s="7">
        <f>IF($U204="","",IF(INDEX('Per Invoice'!H$2:H$401,$U204)="","",INDEX('Per Invoice'!H$2:H$401,$U204)))</f>
        <v/>
      </c>
      <c r="I204" s="14">
        <f>IF($U204="","",IF(INDEX('Per Invoice'!I$2:I$401,$U204)="","",INDEX('Per Invoice'!I$2:I$401,$U204)))</f>
        <v/>
      </c>
      <c r="J204">
        <f>IF($U204="","",IF(INDEX('Per Invoice'!J$2:J$401,$U204)="","",INDEX('Per Invoice'!J$2:J$401,$U204)))</f>
        <v/>
      </c>
      <c r="K204">
        <f>IF($U204="","",IF(INDEX('Per Invoice'!K$2:K$401,$U204)="","",INDEX('Per Invoice'!K$2:K$401,$U204)))</f>
        <v/>
      </c>
      <c r="L204" s="7">
        <f>IF($U204="","",IF(INDEX('Per Invoice'!L$2:L$401,$U204)="","",INDEX('Per Invoice'!L$2:L$401,$U204)))</f>
        <v/>
      </c>
      <c r="M204" s="7">
        <f>IF($U204="","",IF(INDEX('Per Invoice'!M$2:M$401,$U204)="","",INDEX('Per Invoice'!M$2:M$401,$U204)))</f>
        <v/>
      </c>
      <c r="N204">
        <f>IF($U204="","",IF(INDEX('Per Invoice'!N$2:N$401,$U204)="","",INDEX('Per Invoice'!N$2:N$401,$U204)))</f>
        <v/>
      </c>
      <c r="O204" s="7">
        <f>IF($U204="","",IF(INDEX('Per Invoice'!O$2:O$401,$U204)="","",INDEX('Per Invoice'!O$2:O$401,$U204)))</f>
        <v/>
      </c>
      <c r="P204" s="7">
        <f>IF($U204="","",IF(INDEX('Per Invoice'!P$2:P$401,$U204)="","",INDEX('Per Invoice'!P$2:P$401,$U204)))</f>
        <v/>
      </c>
      <c r="Q204" s="7">
        <f>IF($U204="","",IF(INDEX('Per Invoice'!Q$2:Q$401,$U204)="","",INDEX('Per Invoice'!Q$2:Q$401,$U204)))</f>
        <v/>
      </c>
      <c r="R204" s="7">
        <f>IF($U204="","",IF(INDEX('Per Invoice'!R$2:R$401,$U204)="","",INDEX('Per Invoice'!R$2:R$401,$U204)))</f>
        <v/>
      </c>
      <c r="S204" s="7">
        <f>IF($U204="","",IF(INDEX('Per Invoice'!S$2:S$401,$U204)="","",INDEX('Per Invoice'!S$2:S$401,$U204)))</f>
        <v/>
      </c>
      <c r="T204" s="7">
        <f>IF($U204="","",IF(INDEX('Per Invoice'!T$2:T$401,$U204)="","",INDEX('Per Invoice'!T$2:T$401,$U204)))</f>
        <v/>
      </c>
      <c r="U204" s="16">
        <f>IFERROR(MATCH(Settings!$C$27&amp;"|"&amp;ROWS($U$2:$U204),'Per Invoice'!$V$2:$V$401,0),"")</f>
        <v/>
      </c>
    </row>
    <row r="205">
      <c r="A205">
        <f>IF($U205="","",IF(INDEX('Per Invoice'!A$2:A$401,$U205)="","",INDEX('Per Invoice'!A$2:A$401,$U205)))</f>
        <v/>
      </c>
      <c r="B205">
        <f>IF($U205="","",IF(INDEX('Per Invoice'!B$2:B$401,$U205)="","",INDEX('Per Invoice'!B$2:B$401,$U205)))</f>
        <v/>
      </c>
      <c r="C205">
        <f>IF($U205="","",IF(INDEX('Per Invoice'!C$2:C$401,$U205)="","",INDEX('Per Invoice'!C$2:C$401,$U205)))</f>
        <v/>
      </c>
      <c r="D205">
        <f>IF($U205="","",IF(INDEX('Per Invoice'!D$2:D$401,$U205)="","",INDEX('Per Invoice'!D$2:D$401,$U205)))</f>
        <v/>
      </c>
      <c r="E205">
        <f>IF($U205="","",IF(INDEX('Per Invoice'!E$2:E$401,$U205)="","",INDEX('Per Invoice'!E$2:E$401,$U205)))</f>
        <v/>
      </c>
      <c r="F205">
        <f>IF($U205="","",IF(INDEX('Per Invoice'!F$2:F$401,$U205)="","",INDEX('Per Invoice'!F$2:F$401,$U205)))</f>
        <v/>
      </c>
      <c r="G205">
        <f>IF($U205="","",IF(INDEX('Per Invoice'!G$2:G$401,$U205)="","",INDEX('Per Invoice'!G$2:G$401,$U205)))</f>
        <v/>
      </c>
      <c r="H205" s="7">
        <f>IF($U205="","",IF(INDEX('Per Invoice'!H$2:H$401,$U205)="","",INDEX('Per Invoice'!H$2:H$401,$U205)))</f>
        <v/>
      </c>
      <c r="I205" s="14">
        <f>IF($U205="","",IF(INDEX('Per Invoice'!I$2:I$401,$U205)="","",INDEX('Per Invoice'!I$2:I$401,$U205)))</f>
        <v/>
      </c>
      <c r="J205">
        <f>IF($U205="","",IF(INDEX('Per Invoice'!J$2:J$401,$U205)="","",INDEX('Per Invoice'!J$2:J$401,$U205)))</f>
        <v/>
      </c>
      <c r="K205">
        <f>IF($U205="","",IF(INDEX('Per Invoice'!K$2:K$401,$U205)="","",INDEX('Per Invoice'!K$2:K$401,$U205)))</f>
        <v/>
      </c>
      <c r="L205" s="7">
        <f>IF($U205="","",IF(INDEX('Per Invoice'!L$2:L$401,$U205)="","",INDEX('Per Invoice'!L$2:L$401,$U205)))</f>
        <v/>
      </c>
      <c r="M205" s="7">
        <f>IF($U205="","",IF(INDEX('Per Invoice'!M$2:M$401,$U205)="","",INDEX('Per Invoice'!M$2:M$401,$U205)))</f>
        <v/>
      </c>
      <c r="N205">
        <f>IF($U205="","",IF(INDEX('Per Invoice'!N$2:N$401,$U205)="","",INDEX('Per Invoice'!N$2:N$401,$U205)))</f>
        <v/>
      </c>
      <c r="O205" s="7">
        <f>IF($U205="","",IF(INDEX('Per Invoice'!O$2:O$401,$U205)="","",INDEX('Per Invoice'!O$2:O$401,$U205)))</f>
        <v/>
      </c>
      <c r="P205" s="7">
        <f>IF($U205="","",IF(INDEX('Per Invoice'!P$2:P$401,$U205)="","",INDEX('Per Invoice'!P$2:P$401,$U205)))</f>
        <v/>
      </c>
      <c r="Q205" s="7">
        <f>IF($U205="","",IF(INDEX('Per Invoice'!Q$2:Q$401,$U205)="","",INDEX('Per Invoice'!Q$2:Q$401,$U205)))</f>
        <v/>
      </c>
      <c r="R205" s="7">
        <f>IF($U205="","",IF(INDEX('Per Invoice'!R$2:R$401,$U205)="","",INDEX('Per Invoice'!R$2:R$401,$U205)))</f>
        <v/>
      </c>
      <c r="S205" s="7">
        <f>IF($U205="","",IF(INDEX('Per Invoice'!S$2:S$401,$U205)="","",INDEX('Per Invoice'!S$2:S$401,$U205)))</f>
        <v/>
      </c>
      <c r="T205" s="7">
        <f>IF($U205="","",IF(INDEX('Per Invoice'!T$2:T$401,$U205)="","",INDEX('Per Invoice'!T$2:T$401,$U205)))</f>
        <v/>
      </c>
      <c r="U205" s="16">
        <f>IFERROR(MATCH(Settings!$C$27&amp;"|"&amp;ROWS($U$2:$U205),'Per Invoice'!$V$2:$V$401,0),"")</f>
        <v/>
      </c>
    </row>
    <row r="206">
      <c r="A206">
        <f>IF($U206="","",IF(INDEX('Per Invoice'!A$2:A$401,$U206)="","",INDEX('Per Invoice'!A$2:A$401,$U206)))</f>
        <v/>
      </c>
      <c r="B206">
        <f>IF($U206="","",IF(INDEX('Per Invoice'!B$2:B$401,$U206)="","",INDEX('Per Invoice'!B$2:B$401,$U206)))</f>
        <v/>
      </c>
      <c r="C206">
        <f>IF($U206="","",IF(INDEX('Per Invoice'!C$2:C$401,$U206)="","",INDEX('Per Invoice'!C$2:C$401,$U206)))</f>
        <v/>
      </c>
      <c r="D206">
        <f>IF($U206="","",IF(INDEX('Per Invoice'!D$2:D$401,$U206)="","",INDEX('Per Invoice'!D$2:D$401,$U206)))</f>
        <v/>
      </c>
      <c r="E206">
        <f>IF($U206="","",IF(INDEX('Per Invoice'!E$2:E$401,$U206)="","",INDEX('Per Invoice'!E$2:E$401,$U206)))</f>
        <v/>
      </c>
      <c r="F206">
        <f>IF($U206="","",IF(INDEX('Per Invoice'!F$2:F$401,$U206)="","",INDEX('Per Invoice'!F$2:F$401,$U206)))</f>
        <v/>
      </c>
      <c r="G206">
        <f>IF($U206="","",IF(INDEX('Per Invoice'!G$2:G$401,$U206)="","",INDEX('Per Invoice'!G$2:G$401,$U206)))</f>
        <v/>
      </c>
      <c r="H206" s="7">
        <f>IF($U206="","",IF(INDEX('Per Invoice'!H$2:H$401,$U206)="","",INDEX('Per Invoice'!H$2:H$401,$U206)))</f>
        <v/>
      </c>
      <c r="I206" s="14">
        <f>IF($U206="","",IF(INDEX('Per Invoice'!I$2:I$401,$U206)="","",INDEX('Per Invoice'!I$2:I$401,$U206)))</f>
        <v/>
      </c>
      <c r="J206">
        <f>IF($U206="","",IF(INDEX('Per Invoice'!J$2:J$401,$U206)="","",INDEX('Per Invoice'!J$2:J$401,$U206)))</f>
        <v/>
      </c>
      <c r="K206">
        <f>IF($U206="","",IF(INDEX('Per Invoice'!K$2:K$401,$U206)="","",INDEX('Per Invoice'!K$2:K$401,$U206)))</f>
        <v/>
      </c>
      <c r="L206" s="7">
        <f>IF($U206="","",IF(INDEX('Per Invoice'!L$2:L$401,$U206)="","",INDEX('Per Invoice'!L$2:L$401,$U206)))</f>
        <v/>
      </c>
      <c r="M206" s="7">
        <f>IF($U206="","",IF(INDEX('Per Invoice'!M$2:M$401,$U206)="","",INDEX('Per Invoice'!M$2:M$401,$U206)))</f>
        <v/>
      </c>
      <c r="N206">
        <f>IF($U206="","",IF(INDEX('Per Invoice'!N$2:N$401,$U206)="","",INDEX('Per Invoice'!N$2:N$401,$U206)))</f>
        <v/>
      </c>
      <c r="O206" s="7">
        <f>IF($U206="","",IF(INDEX('Per Invoice'!O$2:O$401,$U206)="","",INDEX('Per Invoice'!O$2:O$401,$U206)))</f>
        <v/>
      </c>
      <c r="P206" s="7">
        <f>IF($U206="","",IF(INDEX('Per Invoice'!P$2:P$401,$U206)="","",INDEX('Per Invoice'!P$2:P$401,$U206)))</f>
        <v/>
      </c>
      <c r="Q206" s="7">
        <f>IF($U206="","",IF(INDEX('Per Invoice'!Q$2:Q$401,$U206)="","",INDEX('Per Invoice'!Q$2:Q$401,$U206)))</f>
        <v/>
      </c>
      <c r="R206" s="7">
        <f>IF($U206="","",IF(INDEX('Per Invoice'!R$2:R$401,$U206)="","",INDEX('Per Invoice'!R$2:R$401,$U206)))</f>
        <v/>
      </c>
      <c r="S206" s="7">
        <f>IF($U206="","",IF(INDEX('Per Invoice'!S$2:S$401,$U206)="","",INDEX('Per Invoice'!S$2:S$401,$U206)))</f>
        <v/>
      </c>
      <c r="T206" s="7">
        <f>IF($U206="","",IF(INDEX('Per Invoice'!T$2:T$401,$U206)="","",INDEX('Per Invoice'!T$2:T$401,$U206)))</f>
        <v/>
      </c>
      <c r="U206" s="16">
        <f>IFERROR(MATCH(Settings!$C$27&amp;"|"&amp;ROWS($U$2:$U206),'Per Invoice'!$V$2:$V$401,0),"")</f>
        <v/>
      </c>
    </row>
    <row r="207">
      <c r="A207">
        <f>IF($U207="","",IF(INDEX('Per Invoice'!A$2:A$401,$U207)="","",INDEX('Per Invoice'!A$2:A$401,$U207)))</f>
        <v/>
      </c>
      <c r="B207">
        <f>IF($U207="","",IF(INDEX('Per Invoice'!B$2:B$401,$U207)="","",INDEX('Per Invoice'!B$2:B$401,$U207)))</f>
        <v/>
      </c>
      <c r="C207">
        <f>IF($U207="","",IF(INDEX('Per Invoice'!C$2:C$401,$U207)="","",INDEX('Per Invoice'!C$2:C$401,$U207)))</f>
        <v/>
      </c>
      <c r="D207">
        <f>IF($U207="","",IF(INDEX('Per Invoice'!D$2:D$401,$U207)="","",INDEX('Per Invoice'!D$2:D$401,$U207)))</f>
        <v/>
      </c>
      <c r="E207">
        <f>IF($U207="","",IF(INDEX('Per Invoice'!E$2:E$401,$U207)="","",INDEX('Per Invoice'!E$2:E$401,$U207)))</f>
        <v/>
      </c>
      <c r="F207">
        <f>IF($U207="","",IF(INDEX('Per Invoice'!F$2:F$401,$U207)="","",INDEX('Per Invoice'!F$2:F$401,$U207)))</f>
        <v/>
      </c>
      <c r="G207">
        <f>IF($U207="","",IF(INDEX('Per Invoice'!G$2:G$401,$U207)="","",INDEX('Per Invoice'!G$2:G$401,$U207)))</f>
        <v/>
      </c>
      <c r="H207" s="7">
        <f>IF($U207="","",IF(INDEX('Per Invoice'!H$2:H$401,$U207)="","",INDEX('Per Invoice'!H$2:H$401,$U207)))</f>
        <v/>
      </c>
      <c r="I207" s="14">
        <f>IF($U207="","",IF(INDEX('Per Invoice'!I$2:I$401,$U207)="","",INDEX('Per Invoice'!I$2:I$401,$U207)))</f>
        <v/>
      </c>
      <c r="J207">
        <f>IF($U207="","",IF(INDEX('Per Invoice'!J$2:J$401,$U207)="","",INDEX('Per Invoice'!J$2:J$401,$U207)))</f>
        <v/>
      </c>
      <c r="K207">
        <f>IF($U207="","",IF(INDEX('Per Invoice'!K$2:K$401,$U207)="","",INDEX('Per Invoice'!K$2:K$401,$U207)))</f>
        <v/>
      </c>
      <c r="L207" s="7">
        <f>IF($U207="","",IF(INDEX('Per Invoice'!L$2:L$401,$U207)="","",INDEX('Per Invoice'!L$2:L$401,$U207)))</f>
        <v/>
      </c>
      <c r="M207" s="7">
        <f>IF($U207="","",IF(INDEX('Per Invoice'!M$2:M$401,$U207)="","",INDEX('Per Invoice'!M$2:M$401,$U207)))</f>
        <v/>
      </c>
      <c r="N207">
        <f>IF($U207="","",IF(INDEX('Per Invoice'!N$2:N$401,$U207)="","",INDEX('Per Invoice'!N$2:N$401,$U207)))</f>
        <v/>
      </c>
      <c r="O207" s="7">
        <f>IF($U207="","",IF(INDEX('Per Invoice'!O$2:O$401,$U207)="","",INDEX('Per Invoice'!O$2:O$401,$U207)))</f>
        <v/>
      </c>
      <c r="P207" s="7">
        <f>IF($U207="","",IF(INDEX('Per Invoice'!P$2:P$401,$U207)="","",INDEX('Per Invoice'!P$2:P$401,$U207)))</f>
        <v/>
      </c>
      <c r="Q207" s="7">
        <f>IF($U207="","",IF(INDEX('Per Invoice'!Q$2:Q$401,$U207)="","",INDEX('Per Invoice'!Q$2:Q$401,$U207)))</f>
        <v/>
      </c>
      <c r="R207" s="7">
        <f>IF($U207="","",IF(INDEX('Per Invoice'!R$2:R$401,$U207)="","",INDEX('Per Invoice'!R$2:R$401,$U207)))</f>
        <v/>
      </c>
      <c r="S207" s="7">
        <f>IF($U207="","",IF(INDEX('Per Invoice'!S$2:S$401,$U207)="","",INDEX('Per Invoice'!S$2:S$401,$U207)))</f>
        <v/>
      </c>
      <c r="T207" s="7">
        <f>IF($U207="","",IF(INDEX('Per Invoice'!T$2:T$401,$U207)="","",INDEX('Per Invoice'!T$2:T$401,$U207)))</f>
        <v/>
      </c>
      <c r="U207" s="16">
        <f>IFERROR(MATCH(Settings!$C$27&amp;"|"&amp;ROWS($U$2:$U207),'Per Invoice'!$V$2:$V$401,0),"")</f>
        <v/>
      </c>
    </row>
    <row r="208">
      <c r="A208">
        <f>IF($U208="","",IF(INDEX('Per Invoice'!A$2:A$401,$U208)="","",INDEX('Per Invoice'!A$2:A$401,$U208)))</f>
        <v/>
      </c>
      <c r="B208">
        <f>IF($U208="","",IF(INDEX('Per Invoice'!B$2:B$401,$U208)="","",INDEX('Per Invoice'!B$2:B$401,$U208)))</f>
        <v/>
      </c>
      <c r="C208">
        <f>IF($U208="","",IF(INDEX('Per Invoice'!C$2:C$401,$U208)="","",INDEX('Per Invoice'!C$2:C$401,$U208)))</f>
        <v/>
      </c>
      <c r="D208">
        <f>IF($U208="","",IF(INDEX('Per Invoice'!D$2:D$401,$U208)="","",INDEX('Per Invoice'!D$2:D$401,$U208)))</f>
        <v/>
      </c>
      <c r="E208">
        <f>IF($U208="","",IF(INDEX('Per Invoice'!E$2:E$401,$U208)="","",INDEX('Per Invoice'!E$2:E$401,$U208)))</f>
        <v/>
      </c>
      <c r="F208">
        <f>IF($U208="","",IF(INDEX('Per Invoice'!F$2:F$401,$U208)="","",INDEX('Per Invoice'!F$2:F$401,$U208)))</f>
        <v/>
      </c>
      <c r="G208">
        <f>IF($U208="","",IF(INDEX('Per Invoice'!G$2:G$401,$U208)="","",INDEX('Per Invoice'!G$2:G$401,$U208)))</f>
        <v/>
      </c>
      <c r="H208" s="7">
        <f>IF($U208="","",IF(INDEX('Per Invoice'!H$2:H$401,$U208)="","",INDEX('Per Invoice'!H$2:H$401,$U208)))</f>
        <v/>
      </c>
      <c r="I208" s="14">
        <f>IF($U208="","",IF(INDEX('Per Invoice'!I$2:I$401,$U208)="","",INDEX('Per Invoice'!I$2:I$401,$U208)))</f>
        <v/>
      </c>
      <c r="J208">
        <f>IF($U208="","",IF(INDEX('Per Invoice'!J$2:J$401,$U208)="","",INDEX('Per Invoice'!J$2:J$401,$U208)))</f>
        <v/>
      </c>
      <c r="K208">
        <f>IF($U208="","",IF(INDEX('Per Invoice'!K$2:K$401,$U208)="","",INDEX('Per Invoice'!K$2:K$401,$U208)))</f>
        <v/>
      </c>
      <c r="L208" s="7">
        <f>IF($U208="","",IF(INDEX('Per Invoice'!L$2:L$401,$U208)="","",INDEX('Per Invoice'!L$2:L$401,$U208)))</f>
        <v/>
      </c>
      <c r="M208" s="7">
        <f>IF($U208="","",IF(INDEX('Per Invoice'!M$2:M$401,$U208)="","",INDEX('Per Invoice'!M$2:M$401,$U208)))</f>
        <v/>
      </c>
      <c r="N208">
        <f>IF($U208="","",IF(INDEX('Per Invoice'!N$2:N$401,$U208)="","",INDEX('Per Invoice'!N$2:N$401,$U208)))</f>
        <v/>
      </c>
      <c r="O208" s="7">
        <f>IF($U208="","",IF(INDEX('Per Invoice'!O$2:O$401,$U208)="","",INDEX('Per Invoice'!O$2:O$401,$U208)))</f>
        <v/>
      </c>
      <c r="P208" s="7">
        <f>IF($U208="","",IF(INDEX('Per Invoice'!P$2:P$401,$U208)="","",INDEX('Per Invoice'!P$2:P$401,$U208)))</f>
        <v/>
      </c>
      <c r="Q208" s="7">
        <f>IF($U208="","",IF(INDEX('Per Invoice'!Q$2:Q$401,$U208)="","",INDEX('Per Invoice'!Q$2:Q$401,$U208)))</f>
        <v/>
      </c>
      <c r="R208" s="7">
        <f>IF($U208="","",IF(INDEX('Per Invoice'!R$2:R$401,$U208)="","",INDEX('Per Invoice'!R$2:R$401,$U208)))</f>
        <v/>
      </c>
      <c r="S208" s="7">
        <f>IF($U208="","",IF(INDEX('Per Invoice'!S$2:S$401,$U208)="","",INDEX('Per Invoice'!S$2:S$401,$U208)))</f>
        <v/>
      </c>
      <c r="T208" s="7">
        <f>IF($U208="","",IF(INDEX('Per Invoice'!T$2:T$401,$U208)="","",INDEX('Per Invoice'!T$2:T$401,$U208)))</f>
        <v/>
      </c>
      <c r="U208" s="16">
        <f>IFERROR(MATCH(Settings!$C$27&amp;"|"&amp;ROWS($U$2:$U208),'Per Invoice'!$V$2:$V$401,0),"")</f>
        <v/>
      </c>
    </row>
    <row r="209">
      <c r="A209">
        <f>IF($U209="","",IF(INDEX('Per Invoice'!A$2:A$401,$U209)="","",INDEX('Per Invoice'!A$2:A$401,$U209)))</f>
        <v/>
      </c>
      <c r="B209">
        <f>IF($U209="","",IF(INDEX('Per Invoice'!B$2:B$401,$U209)="","",INDEX('Per Invoice'!B$2:B$401,$U209)))</f>
        <v/>
      </c>
      <c r="C209">
        <f>IF($U209="","",IF(INDEX('Per Invoice'!C$2:C$401,$U209)="","",INDEX('Per Invoice'!C$2:C$401,$U209)))</f>
        <v/>
      </c>
      <c r="D209">
        <f>IF($U209="","",IF(INDEX('Per Invoice'!D$2:D$401,$U209)="","",INDEX('Per Invoice'!D$2:D$401,$U209)))</f>
        <v/>
      </c>
      <c r="E209">
        <f>IF($U209="","",IF(INDEX('Per Invoice'!E$2:E$401,$U209)="","",INDEX('Per Invoice'!E$2:E$401,$U209)))</f>
        <v/>
      </c>
      <c r="F209">
        <f>IF($U209="","",IF(INDEX('Per Invoice'!F$2:F$401,$U209)="","",INDEX('Per Invoice'!F$2:F$401,$U209)))</f>
        <v/>
      </c>
      <c r="G209">
        <f>IF($U209="","",IF(INDEX('Per Invoice'!G$2:G$401,$U209)="","",INDEX('Per Invoice'!G$2:G$401,$U209)))</f>
        <v/>
      </c>
      <c r="H209" s="7">
        <f>IF($U209="","",IF(INDEX('Per Invoice'!H$2:H$401,$U209)="","",INDEX('Per Invoice'!H$2:H$401,$U209)))</f>
        <v/>
      </c>
      <c r="I209" s="14">
        <f>IF($U209="","",IF(INDEX('Per Invoice'!I$2:I$401,$U209)="","",INDEX('Per Invoice'!I$2:I$401,$U209)))</f>
        <v/>
      </c>
      <c r="J209">
        <f>IF($U209="","",IF(INDEX('Per Invoice'!J$2:J$401,$U209)="","",INDEX('Per Invoice'!J$2:J$401,$U209)))</f>
        <v/>
      </c>
      <c r="K209">
        <f>IF($U209="","",IF(INDEX('Per Invoice'!K$2:K$401,$U209)="","",INDEX('Per Invoice'!K$2:K$401,$U209)))</f>
        <v/>
      </c>
      <c r="L209" s="7">
        <f>IF($U209="","",IF(INDEX('Per Invoice'!L$2:L$401,$U209)="","",INDEX('Per Invoice'!L$2:L$401,$U209)))</f>
        <v/>
      </c>
      <c r="M209" s="7">
        <f>IF($U209="","",IF(INDEX('Per Invoice'!M$2:M$401,$U209)="","",INDEX('Per Invoice'!M$2:M$401,$U209)))</f>
        <v/>
      </c>
      <c r="N209">
        <f>IF($U209="","",IF(INDEX('Per Invoice'!N$2:N$401,$U209)="","",INDEX('Per Invoice'!N$2:N$401,$U209)))</f>
        <v/>
      </c>
      <c r="O209" s="7">
        <f>IF($U209="","",IF(INDEX('Per Invoice'!O$2:O$401,$U209)="","",INDEX('Per Invoice'!O$2:O$401,$U209)))</f>
        <v/>
      </c>
      <c r="P209" s="7">
        <f>IF($U209="","",IF(INDEX('Per Invoice'!P$2:P$401,$U209)="","",INDEX('Per Invoice'!P$2:P$401,$U209)))</f>
        <v/>
      </c>
      <c r="Q209" s="7">
        <f>IF($U209="","",IF(INDEX('Per Invoice'!Q$2:Q$401,$U209)="","",INDEX('Per Invoice'!Q$2:Q$401,$U209)))</f>
        <v/>
      </c>
      <c r="R209" s="7">
        <f>IF($U209="","",IF(INDEX('Per Invoice'!R$2:R$401,$U209)="","",INDEX('Per Invoice'!R$2:R$401,$U209)))</f>
        <v/>
      </c>
      <c r="S209" s="7">
        <f>IF($U209="","",IF(INDEX('Per Invoice'!S$2:S$401,$U209)="","",INDEX('Per Invoice'!S$2:S$401,$U209)))</f>
        <v/>
      </c>
      <c r="T209" s="7">
        <f>IF($U209="","",IF(INDEX('Per Invoice'!T$2:T$401,$U209)="","",INDEX('Per Invoice'!T$2:T$401,$U209)))</f>
        <v/>
      </c>
      <c r="U209" s="16">
        <f>IFERROR(MATCH(Settings!$C$27&amp;"|"&amp;ROWS($U$2:$U209),'Per Invoice'!$V$2:$V$401,0),"")</f>
        <v/>
      </c>
    </row>
    <row r="210">
      <c r="A210">
        <f>IF($U210="","",IF(INDEX('Per Invoice'!A$2:A$401,$U210)="","",INDEX('Per Invoice'!A$2:A$401,$U210)))</f>
        <v/>
      </c>
      <c r="B210">
        <f>IF($U210="","",IF(INDEX('Per Invoice'!B$2:B$401,$U210)="","",INDEX('Per Invoice'!B$2:B$401,$U210)))</f>
        <v/>
      </c>
      <c r="C210">
        <f>IF($U210="","",IF(INDEX('Per Invoice'!C$2:C$401,$U210)="","",INDEX('Per Invoice'!C$2:C$401,$U210)))</f>
        <v/>
      </c>
      <c r="D210">
        <f>IF($U210="","",IF(INDEX('Per Invoice'!D$2:D$401,$U210)="","",INDEX('Per Invoice'!D$2:D$401,$U210)))</f>
        <v/>
      </c>
      <c r="E210">
        <f>IF($U210="","",IF(INDEX('Per Invoice'!E$2:E$401,$U210)="","",INDEX('Per Invoice'!E$2:E$401,$U210)))</f>
        <v/>
      </c>
      <c r="F210">
        <f>IF($U210="","",IF(INDEX('Per Invoice'!F$2:F$401,$U210)="","",INDEX('Per Invoice'!F$2:F$401,$U210)))</f>
        <v/>
      </c>
      <c r="G210">
        <f>IF($U210="","",IF(INDEX('Per Invoice'!G$2:G$401,$U210)="","",INDEX('Per Invoice'!G$2:G$401,$U210)))</f>
        <v/>
      </c>
      <c r="H210" s="7">
        <f>IF($U210="","",IF(INDEX('Per Invoice'!H$2:H$401,$U210)="","",INDEX('Per Invoice'!H$2:H$401,$U210)))</f>
        <v/>
      </c>
      <c r="I210" s="14">
        <f>IF($U210="","",IF(INDEX('Per Invoice'!I$2:I$401,$U210)="","",INDEX('Per Invoice'!I$2:I$401,$U210)))</f>
        <v/>
      </c>
      <c r="J210">
        <f>IF($U210="","",IF(INDEX('Per Invoice'!J$2:J$401,$U210)="","",INDEX('Per Invoice'!J$2:J$401,$U210)))</f>
        <v/>
      </c>
      <c r="K210">
        <f>IF($U210="","",IF(INDEX('Per Invoice'!K$2:K$401,$U210)="","",INDEX('Per Invoice'!K$2:K$401,$U210)))</f>
        <v/>
      </c>
      <c r="L210" s="7">
        <f>IF($U210="","",IF(INDEX('Per Invoice'!L$2:L$401,$U210)="","",INDEX('Per Invoice'!L$2:L$401,$U210)))</f>
        <v/>
      </c>
      <c r="M210" s="7">
        <f>IF($U210="","",IF(INDEX('Per Invoice'!M$2:M$401,$U210)="","",INDEX('Per Invoice'!M$2:M$401,$U210)))</f>
        <v/>
      </c>
      <c r="N210">
        <f>IF($U210="","",IF(INDEX('Per Invoice'!N$2:N$401,$U210)="","",INDEX('Per Invoice'!N$2:N$401,$U210)))</f>
        <v/>
      </c>
      <c r="O210" s="7">
        <f>IF($U210="","",IF(INDEX('Per Invoice'!O$2:O$401,$U210)="","",INDEX('Per Invoice'!O$2:O$401,$U210)))</f>
        <v/>
      </c>
      <c r="P210" s="7">
        <f>IF($U210="","",IF(INDEX('Per Invoice'!P$2:P$401,$U210)="","",INDEX('Per Invoice'!P$2:P$401,$U210)))</f>
        <v/>
      </c>
      <c r="Q210" s="7">
        <f>IF($U210="","",IF(INDEX('Per Invoice'!Q$2:Q$401,$U210)="","",INDEX('Per Invoice'!Q$2:Q$401,$U210)))</f>
        <v/>
      </c>
      <c r="R210" s="7">
        <f>IF($U210="","",IF(INDEX('Per Invoice'!R$2:R$401,$U210)="","",INDEX('Per Invoice'!R$2:R$401,$U210)))</f>
        <v/>
      </c>
      <c r="S210" s="7">
        <f>IF($U210="","",IF(INDEX('Per Invoice'!S$2:S$401,$U210)="","",INDEX('Per Invoice'!S$2:S$401,$U210)))</f>
        <v/>
      </c>
      <c r="T210" s="7">
        <f>IF($U210="","",IF(INDEX('Per Invoice'!T$2:T$401,$U210)="","",INDEX('Per Invoice'!T$2:T$401,$U210)))</f>
        <v/>
      </c>
      <c r="U210" s="16">
        <f>IFERROR(MATCH(Settings!$C$27&amp;"|"&amp;ROWS($U$2:$U210),'Per Invoice'!$V$2:$V$401,0),"")</f>
        <v/>
      </c>
    </row>
    <row r="211">
      <c r="A211">
        <f>IF($U211="","",IF(INDEX('Per Invoice'!A$2:A$401,$U211)="","",INDEX('Per Invoice'!A$2:A$401,$U211)))</f>
        <v/>
      </c>
      <c r="B211">
        <f>IF($U211="","",IF(INDEX('Per Invoice'!B$2:B$401,$U211)="","",INDEX('Per Invoice'!B$2:B$401,$U211)))</f>
        <v/>
      </c>
      <c r="C211">
        <f>IF($U211="","",IF(INDEX('Per Invoice'!C$2:C$401,$U211)="","",INDEX('Per Invoice'!C$2:C$401,$U211)))</f>
        <v/>
      </c>
      <c r="D211">
        <f>IF($U211="","",IF(INDEX('Per Invoice'!D$2:D$401,$U211)="","",INDEX('Per Invoice'!D$2:D$401,$U211)))</f>
        <v/>
      </c>
      <c r="E211">
        <f>IF($U211="","",IF(INDEX('Per Invoice'!E$2:E$401,$U211)="","",INDEX('Per Invoice'!E$2:E$401,$U211)))</f>
        <v/>
      </c>
      <c r="F211">
        <f>IF($U211="","",IF(INDEX('Per Invoice'!F$2:F$401,$U211)="","",INDEX('Per Invoice'!F$2:F$401,$U211)))</f>
        <v/>
      </c>
      <c r="G211">
        <f>IF($U211="","",IF(INDEX('Per Invoice'!G$2:G$401,$U211)="","",INDEX('Per Invoice'!G$2:G$401,$U211)))</f>
        <v/>
      </c>
      <c r="H211" s="7">
        <f>IF($U211="","",IF(INDEX('Per Invoice'!H$2:H$401,$U211)="","",INDEX('Per Invoice'!H$2:H$401,$U211)))</f>
        <v/>
      </c>
      <c r="I211" s="14">
        <f>IF($U211="","",IF(INDEX('Per Invoice'!I$2:I$401,$U211)="","",INDEX('Per Invoice'!I$2:I$401,$U211)))</f>
        <v/>
      </c>
      <c r="J211">
        <f>IF($U211="","",IF(INDEX('Per Invoice'!J$2:J$401,$U211)="","",INDEX('Per Invoice'!J$2:J$401,$U211)))</f>
        <v/>
      </c>
      <c r="K211">
        <f>IF($U211="","",IF(INDEX('Per Invoice'!K$2:K$401,$U211)="","",INDEX('Per Invoice'!K$2:K$401,$U211)))</f>
        <v/>
      </c>
      <c r="L211" s="7">
        <f>IF($U211="","",IF(INDEX('Per Invoice'!L$2:L$401,$U211)="","",INDEX('Per Invoice'!L$2:L$401,$U211)))</f>
        <v/>
      </c>
      <c r="M211" s="7">
        <f>IF($U211="","",IF(INDEX('Per Invoice'!M$2:M$401,$U211)="","",INDEX('Per Invoice'!M$2:M$401,$U211)))</f>
        <v/>
      </c>
      <c r="N211">
        <f>IF($U211="","",IF(INDEX('Per Invoice'!N$2:N$401,$U211)="","",INDEX('Per Invoice'!N$2:N$401,$U211)))</f>
        <v/>
      </c>
      <c r="O211" s="7">
        <f>IF($U211="","",IF(INDEX('Per Invoice'!O$2:O$401,$U211)="","",INDEX('Per Invoice'!O$2:O$401,$U211)))</f>
        <v/>
      </c>
      <c r="P211" s="7">
        <f>IF($U211="","",IF(INDEX('Per Invoice'!P$2:P$401,$U211)="","",INDEX('Per Invoice'!P$2:P$401,$U211)))</f>
        <v/>
      </c>
      <c r="Q211" s="7">
        <f>IF($U211="","",IF(INDEX('Per Invoice'!Q$2:Q$401,$U211)="","",INDEX('Per Invoice'!Q$2:Q$401,$U211)))</f>
        <v/>
      </c>
      <c r="R211" s="7">
        <f>IF($U211="","",IF(INDEX('Per Invoice'!R$2:R$401,$U211)="","",INDEX('Per Invoice'!R$2:R$401,$U211)))</f>
        <v/>
      </c>
      <c r="S211" s="7">
        <f>IF($U211="","",IF(INDEX('Per Invoice'!S$2:S$401,$U211)="","",INDEX('Per Invoice'!S$2:S$401,$U211)))</f>
        <v/>
      </c>
      <c r="T211" s="7">
        <f>IF($U211="","",IF(INDEX('Per Invoice'!T$2:T$401,$U211)="","",INDEX('Per Invoice'!T$2:T$401,$U211)))</f>
        <v/>
      </c>
      <c r="U211" s="16">
        <f>IFERROR(MATCH(Settings!$C$27&amp;"|"&amp;ROWS($U$2:$U211),'Per Invoice'!$V$2:$V$401,0),"")</f>
        <v/>
      </c>
    </row>
    <row r="212">
      <c r="A212">
        <f>IF($U212="","",IF(INDEX('Per Invoice'!A$2:A$401,$U212)="","",INDEX('Per Invoice'!A$2:A$401,$U212)))</f>
        <v/>
      </c>
      <c r="B212">
        <f>IF($U212="","",IF(INDEX('Per Invoice'!B$2:B$401,$U212)="","",INDEX('Per Invoice'!B$2:B$401,$U212)))</f>
        <v/>
      </c>
      <c r="C212">
        <f>IF($U212="","",IF(INDEX('Per Invoice'!C$2:C$401,$U212)="","",INDEX('Per Invoice'!C$2:C$401,$U212)))</f>
        <v/>
      </c>
      <c r="D212">
        <f>IF($U212="","",IF(INDEX('Per Invoice'!D$2:D$401,$U212)="","",INDEX('Per Invoice'!D$2:D$401,$U212)))</f>
        <v/>
      </c>
      <c r="E212">
        <f>IF($U212="","",IF(INDEX('Per Invoice'!E$2:E$401,$U212)="","",INDEX('Per Invoice'!E$2:E$401,$U212)))</f>
        <v/>
      </c>
      <c r="F212">
        <f>IF($U212="","",IF(INDEX('Per Invoice'!F$2:F$401,$U212)="","",INDEX('Per Invoice'!F$2:F$401,$U212)))</f>
        <v/>
      </c>
      <c r="G212">
        <f>IF($U212="","",IF(INDEX('Per Invoice'!G$2:G$401,$U212)="","",INDEX('Per Invoice'!G$2:G$401,$U212)))</f>
        <v/>
      </c>
      <c r="H212" s="7">
        <f>IF($U212="","",IF(INDEX('Per Invoice'!H$2:H$401,$U212)="","",INDEX('Per Invoice'!H$2:H$401,$U212)))</f>
        <v/>
      </c>
      <c r="I212" s="14">
        <f>IF($U212="","",IF(INDEX('Per Invoice'!I$2:I$401,$U212)="","",INDEX('Per Invoice'!I$2:I$401,$U212)))</f>
        <v/>
      </c>
      <c r="J212">
        <f>IF($U212="","",IF(INDEX('Per Invoice'!J$2:J$401,$U212)="","",INDEX('Per Invoice'!J$2:J$401,$U212)))</f>
        <v/>
      </c>
      <c r="K212">
        <f>IF($U212="","",IF(INDEX('Per Invoice'!K$2:K$401,$U212)="","",INDEX('Per Invoice'!K$2:K$401,$U212)))</f>
        <v/>
      </c>
      <c r="L212" s="7">
        <f>IF($U212="","",IF(INDEX('Per Invoice'!L$2:L$401,$U212)="","",INDEX('Per Invoice'!L$2:L$401,$U212)))</f>
        <v/>
      </c>
      <c r="M212" s="7">
        <f>IF($U212="","",IF(INDEX('Per Invoice'!M$2:M$401,$U212)="","",INDEX('Per Invoice'!M$2:M$401,$U212)))</f>
        <v/>
      </c>
      <c r="N212">
        <f>IF($U212="","",IF(INDEX('Per Invoice'!N$2:N$401,$U212)="","",INDEX('Per Invoice'!N$2:N$401,$U212)))</f>
        <v/>
      </c>
      <c r="O212" s="7">
        <f>IF($U212="","",IF(INDEX('Per Invoice'!O$2:O$401,$U212)="","",INDEX('Per Invoice'!O$2:O$401,$U212)))</f>
        <v/>
      </c>
      <c r="P212" s="7">
        <f>IF($U212="","",IF(INDEX('Per Invoice'!P$2:P$401,$U212)="","",INDEX('Per Invoice'!P$2:P$401,$U212)))</f>
        <v/>
      </c>
      <c r="Q212" s="7">
        <f>IF($U212="","",IF(INDEX('Per Invoice'!Q$2:Q$401,$U212)="","",INDEX('Per Invoice'!Q$2:Q$401,$U212)))</f>
        <v/>
      </c>
      <c r="R212" s="7">
        <f>IF($U212="","",IF(INDEX('Per Invoice'!R$2:R$401,$U212)="","",INDEX('Per Invoice'!R$2:R$401,$U212)))</f>
        <v/>
      </c>
      <c r="S212" s="7">
        <f>IF($U212="","",IF(INDEX('Per Invoice'!S$2:S$401,$U212)="","",INDEX('Per Invoice'!S$2:S$401,$U212)))</f>
        <v/>
      </c>
      <c r="T212" s="7">
        <f>IF($U212="","",IF(INDEX('Per Invoice'!T$2:T$401,$U212)="","",INDEX('Per Invoice'!T$2:T$401,$U212)))</f>
        <v/>
      </c>
      <c r="U212" s="16">
        <f>IFERROR(MATCH(Settings!$C$27&amp;"|"&amp;ROWS($U$2:$U212),'Per Invoice'!$V$2:$V$401,0),"")</f>
        <v/>
      </c>
    </row>
    <row r="213">
      <c r="A213">
        <f>IF($U213="","",IF(INDEX('Per Invoice'!A$2:A$401,$U213)="","",INDEX('Per Invoice'!A$2:A$401,$U213)))</f>
        <v/>
      </c>
      <c r="B213">
        <f>IF($U213="","",IF(INDEX('Per Invoice'!B$2:B$401,$U213)="","",INDEX('Per Invoice'!B$2:B$401,$U213)))</f>
        <v/>
      </c>
      <c r="C213">
        <f>IF($U213="","",IF(INDEX('Per Invoice'!C$2:C$401,$U213)="","",INDEX('Per Invoice'!C$2:C$401,$U213)))</f>
        <v/>
      </c>
      <c r="D213">
        <f>IF($U213="","",IF(INDEX('Per Invoice'!D$2:D$401,$U213)="","",INDEX('Per Invoice'!D$2:D$401,$U213)))</f>
        <v/>
      </c>
      <c r="E213">
        <f>IF($U213="","",IF(INDEX('Per Invoice'!E$2:E$401,$U213)="","",INDEX('Per Invoice'!E$2:E$401,$U213)))</f>
        <v/>
      </c>
      <c r="F213">
        <f>IF($U213="","",IF(INDEX('Per Invoice'!F$2:F$401,$U213)="","",INDEX('Per Invoice'!F$2:F$401,$U213)))</f>
        <v/>
      </c>
      <c r="G213">
        <f>IF($U213="","",IF(INDEX('Per Invoice'!G$2:G$401,$U213)="","",INDEX('Per Invoice'!G$2:G$401,$U213)))</f>
        <v/>
      </c>
      <c r="H213" s="7">
        <f>IF($U213="","",IF(INDEX('Per Invoice'!H$2:H$401,$U213)="","",INDEX('Per Invoice'!H$2:H$401,$U213)))</f>
        <v/>
      </c>
      <c r="I213" s="14">
        <f>IF($U213="","",IF(INDEX('Per Invoice'!I$2:I$401,$U213)="","",INDEX('Per Invoice'!I$2:I$401,$U213)))</f>
        <v/>
      </c>
      <c r="J213">
        <f>IF($U213="","",IF(INDEX('Per Invoice'!J$2:J$401,$U213)="","",INDEX('Per Invoice'!J$2:J$401,$U213)))</f>
        <v/>
      </c>
      <c r="K213">
        <f>IF($U213="","",IF(INDEX('Per Invoice'!K$2:K$401,$U213)="","",INDEX('Per Invoice'!K$2:K$401,$U213)))</f>
        <v/>
      </c>
      <c r="L213" s="7">
        <f>IF($U213="","",IF(INDEX('Per Invoice'!L$2:L$401,$U213)="","",INDEX('Per Invoice'!L$2:L$401,$U213)))</f>
        <v/>
      </c>
      <c r="M213" s="7">
        <f>IF($U213="","",IF(INDEX('Per Invoice'!M$2:M$401,$U213)="","",INDEX('Per Invoice'!M$2:M$401,$U213)))</f>
        <v/>
      </c>
      <c r="N213">
        <f>IF($U213="","",IF(INDEX('Per Invoice'!N$2:N$401,$U213)="","",INDEX('Per Invoice'!N$2:N$401,$U213)))</f>
        <v/>
      </c>
      <c r="O213" s="7">
        <f>IF($U213="","",IF(INDEX('Per Invoice'!O$2:O$401,$U213)="","",INDEX('Per Invoice'!O$2:O$401,$U213)))</f>
        <v/>
      </c>
      <c r="P213" s="7">
        <f>IF($U213="","",IF(INDEX('Per Invoice'!P$2:P$401,$U213)="","",INDEX('Per Invoice'!P$2:P$401,$U213)))</f>
        <v/>
      </c>
      <c r="Q213" s="7">
        <f>IF($U213="","",IF(INDEX('Per Invoice'!Q$2:Q$401,$U213)="","",INDEX('Per Invoice'!Q$2:Q$401,$U213)))</f>
        <v/>
      </c>
      <c r="R213" s="7">
        <f>IF($U213="","",IF(INDEX('Per Invoice'!R$2:R$401,$U213)="","",INDEX('Per Invoice'!R$2:R$401,$U213)))</f>
        <v/>
      </c>
      <c r="S213" s="7">
        <f>IF($U213="","",IF(INDEX('Per Invoice'!S$2:S$401,$U213)="","",INDEX('Per Invoice'!S$2:S$401,$U213)))</f>
        <v/>
      </c>
      <c r="T213" s="7">
        <f>IF($U213="","",IF(INDEX('Per Invoice'!T$2:T$401,$U213)="","",INDEX('Per Invoice'!T$2:T$401,$U213)))</f>
        <v/>
      </c>
      <c r="U213" s="16">
        <f>IFERROR(MATCH(Settings!$C$27&amp;"|"&amp;ROWS($U$2:$U213),'Per Invoice'!$V$2:$V$401,0),"")</f>
        <v/>
      </c>
    </row>
    <row r="214">
      <c r="A214">
        <f>IF($U214="","",IF(INDEX('Per Invoice'!A$2:A$401,$U214)="","",INDEX('Per Invoice'!A$2:A$401,$U214)))</f>
        <v/>
      </c>
      <c r="B214">
        <f>IF($U214="","",IF(INDEX('Per Invoice'!B$2:B$401,$U214)="","",INDEX('Per Invoice'!B$2:B$401,$U214)))</f>
        <v/>
      </c>
      <c r="C214">
        <f>IF($U214="","",IF(INDEX('Per Invoice'!C$2:C$401,$U214)="","",INDEX('Per Invoice'!C$2:C$401,$U214)))</f>
        <v/>
      </c>
      <c r="D214">
        <f>IF($U214="","",IF(INDEX('Per Invoice'!D$2:D$401,$U214)="","",INDEX('Per Invoice'!D$2:D$401,$U214)))</f>
        <v/>
      </c>
      <c r="E214">
        <f>IF($U214="","",IF(INDEX('Per Invoice'!E$2:E$401,$U214)="","",INDEX('Per Invoice'!E$2:E$401,$U214)))</f>
        <v/>
      </c>
      <c r="F214">
        <f>IF($U214="","",IF(INDEX('Per Invoice'!F$2:F$401,$U214)="","",INDEX('Per Invoice'!F$2:F$401,$U214)))</f>
        <v/>
      </c>
      <c r="G214">
        <f>IF($U214="","",IF(INDEX('Per Invoice'!G$2:G$401,$U214)="","",INDEX('Per Invoice'!G$2:G$401,$U214)))</f>
        <v/>
      </c>
      <c r="H214" s="7">
        <f>IF($U214="","",IF(INDEX('Per Invoice'!H$2:H$401,$U214)="","",INDEX('Per Invoice'!H$2:H$401,$U214)))</f>
        <v/>
      </c>
      <c r="I214" s="14">
        <f>IF($U214="","",IF(INDEX('Per Invoice'!I$2:I$401,$U214)="","",INDEX('Per Invoice'!I$2:I$401,$U214)))</f>
        <v/>
      </c>
      <c r="J214">
        <f>IF($U214="","",IF(INDEX('Per Invoice'!J$2:J$401,$U214)="","",INDEX('Per Invoice'!J$2:J$401,$U214)))</f>
        <v/>
      </c>
      <c r="K214">
        <f>IF($U214="","",IF(INDEX('Per Invoice'!K$2:K$401,$U214)="","",INDEX('Per Invoice'!K$2:K$401,$U214)))</f>
        <v/>
      </c>
      <c r="L214" s="7">
        <f>IF($U214="","",IF(INDEX('Per Invoice'!L$2:L$401,$U214)="","",INDEX('Per Invoice'!L$2:L$401,$U214)))</f>
        <v/>
      </c>
      <c r="M214" s="7">
        <f>IF($U214="","",IF(INDEX('Per Invoice'!M$2:M$401,$U214)="","",INDEX('Per Invoice'!M$2:M$401,$U214)))</f>
        <v/>
      </c>
      <c r="N214">
        <f>IF($U214="","",IF(INDEX('Per Invoice'!N$2:N$401,$U214)="","",INDEX('Per Invoice'!N$2:N$401,$U214)))</f>
        <v/>
      </c>
      <c r="O214" s="7">
        <f>IF($U214="","",IF(INDEX('Per Invoice'!O$2:O$401,$U214)="","",INDEX('Per Invoice'!O$2:O$401,$U214)))</f>
        <v/>
      </c>
      <c r="P214" s="7">
        <f>IF($U214="","",IF(INDEX('Per Invoice'!P$2:P$401,$U214)="","",INDEX('Per Invoice'!P$2:P$401,$U214)))</f>
        <v/>
      </c>
      <c r="Q214" s="7">
        <f>IF($U214="","",IF(INDEX('Per Invoice'!Q$2:Q$401,$U214)="","",INDEX('Per Invoice'!Q$2:Q$401,$U214)))</f>
        <v/>
      </c>
      <c r="R214" s="7">
        <f>IF($U214="","",IF(INDEX('Per Invoice'!R$2:R$401,$U214)="","",INDEX('Per Invoice'!R$2:R$401,$U214)))</f>
        <v/>
      </c>
      <c r="S214" s="7">
        <f>IF($U214="","",IF(INDEX('Per Invoice'!S$2:S$401,$U214)="","",INDEX('Per Invoice'!S$2:S$401,$U214)))</f>
        <v/>
      </c>
      <c r="T214" s="7">
        <f>IF($U214="","",IF(INDEX('Per Invoice'!T$2:T$401,$U214)="","",INDEX('Per Invoice'!T$2:T$401,$U214)))</f>
        <v/>
      </c>
      <c r="U214" s="16">
        <f>IFERROR(MATCH(Settings!$C$27&amp;"|"&amp;ROWS($U$2:$U214),'Per Invoice'!$V$2:$V$401,0),"")</f>
        <v/>
      </c>
    </row>
    <row r="215">
      <c r="A215">
        <f>IF($U215="","",IF(INDEX('Per Invoice'!A$2:A$401,$U215)="","",INDEX('Per Invoice'!A$2:A$401,$U215)))</f>
        <v/>
      </c>
      <c r="B215">
        <f>IF($U215="","",IF(INDEX('Per Invoice'!B$2:B$401,$U215)="","",INDEX('Per Invoice'!B$2:B$401,$U215)))</f>
        <v/>
      </c>
      <c r="C215">
        <f>IF($U215="","",IF(INDEX('Per Invoice'!C$2:C$401,$U215)="","",INDEX('Per Invoice'!C$2:C$401,$U215)))</f>
        <v/>
      </c>
      <c r="D215">
        <f>IF($U215="","",IF(INDEX('Per Invoice'!D$2:D$401,$U215)="","",INDEX('Per Invoice'!D$2:D$401,$U215)))</f>
        <v/>
      </c>
      <c r="E215">
        <f>IF($U215="","",IF(INDEX('Per Invoice'!E$2:E$401,$U215)="","",INDEX('Per Invoice'!E$2:E$401,$U215)))</f>
        <v/>
      </c>
      <c r="F215">
        <f>IF($U215="","",IF(INDEX('Per Invoice'!F$2:F$401,$U215)="","",INDEX('Per Invoice'!F$2:F$401,$U215)))</f>
        <v/>
      </c>
      <c r="G215">
        <f>IF($U215="","",IF(INDEX('Per Invoice'!G$2:G$401,$U215)="","",INDEX('Per Invoice'!G$2:G$401,$U215)))</f>
        <v/>
      </c>
      <c r="H215" s="7">
        <f>IF($U215="","",IF(INDEX('Per Invoice'!H$2:H$401,$U215)="","",INDEX('Per Invoice'!H$2:H$401,$U215)))</f>
        <v/>
      </c>
      <c r="I215" s="14">
        <f>IF($U215="","",IF(INDEX('Per Invoice'!I$2:I$401,$U215)="","",INDEX('Per Invoice'!I$2:I$401,$U215)))</f>
        <v/>
      </c>
      <c r="J215">
        <f>IF($U215="","",IF(INDEX('Per Invoice'!J$2:J$401,$U215)="","",INDEX('Per Invoice'!J$2:J$401,$U215)))</f>
        <v/>
      </c>
      <c r="K215">
        <f>IF($U215="","",IF(INDEX('Per Invoice'!K$2:K$401,$U215)="","",INDEX('Per Invoice'!K$2:K$401,$U215)))</f>
        <v/>
      </c>
      <c r="L215" s="7">
        <f>IF($U215="","",IF(INDEX('Per Invoice'!L$2:L$401,$U215)="","",INDEX('Per Invoice'!L$2:L$401,$U215)))</f>
        <v/>
      </c>
      <c r="M215" s="7">
        <f>IF($U215="","",IF(INDEX('Per Invoice'!M$2:M$401,$U215)="","",INDEX('Per Invoice'!M$2:M$401,$U215)))</f>
        <v/>
      </c>
      <c r="N215">
        <f>IF($U215="","",IF(INDEX('Per Invoice'!N$2:N$401,$U215)="","",INDEX('Per Invoice'!N$2:N$401,$U215)))</f>
        <v/>
      </c>
      <c r="O215" s="7">
        <f>IF($U215="","",IF(INDEX('Per Invoice'!O$2:O$401,$U215)="","",INDEX('Per Invoice'!O$2:O$401,$U215)))</f>
        <v/>
      </c>
      <c r="P215" s="7">
        <f>IF($U215="","",IF(INDEX('Per Invoice'!P$2:P$401,$U215)="","",INDEX('Per Invoice'!P$2:P$401,$U215)))</f>
        <v/>
      </c>
      <c r="Q215" s="7">
        <f>IF($U215="","",IF(INDEX('Per Invoice'!Q$2:Q$401,$U215)="","",INDEX('Per Invoice'!Q$2:Q$401,$U215)))</f>
        <v/>
      </c>
      <c r="R215" s="7">
        <f>IF($U215="","",IF(INDEX('Per Invoice'!R$2:R$401,$U215)="","",INDEX('Per Invoice'!R$2:R$401,$U215)))</f>
        <v/>
      </c>
      <c r="S215" s="7">
        <f>IF($U215="","",IF(INDEX('Per Invoice'!S$2:S$401,$U215)="","",INDEX('Per Invoice'!S$2:S$401,$U215)))</f>
        <v/>
      </c>
      <c r="T215" s="7">
        <f>IF($U215="","",IF(INDEX('Per Invoice'!T$2:T$401,$U215)="","",INDEX('Per Invoice'!T$2:T$401,$U215)))</f>
        <v/>
      </c>
      <c r="U215" s="16">
        <f>IFERROR(MATCH(Settings!$C$27&amp;"|"&amp;ROWS($U$2:$U215),'Per Invoice'!$V$2:$V$401,0),"")</f>
        <v/>
      </c>
    </row>
    <row r="216">
      <c r="A216">
        <f>IF($U216="","",IF(INDEX('Per Invoice'!A$2:A$401,$U216)="","",INDEX('Per Invoice'!A$2:A$401,$U216)))</f>
        <v/>
      </c>
      <c r="B216">
        <f>IF($U216="","",IF(INDEX('Per Invoice'!B$2:B$401,$U216)="","",INDEX('Per Invoice'!B$2:B$401,$U216)))</f>
        <v/>
      </c>
      <c r="C216">
        <f>IF($U216="","",IF(INDEX('Per Invoice'!C$2:C$401,$U216)="","",INDEX('Per Invoice'!C$2:C$401,$U216)))</f>
        <v/>
      </c>
      <c r="D216">
        <f>IF($U216="","",IF(INDEX('Per Invoice'!D$2:D$401,$U216)="","",INDEX('Per Invoice'!D$2:D$401,$U216)))</f>
        <v/>
      </c>
      <c r="E216">
        <f>IF($U216="","",IF(INDEX('Per Invoice'!E$2:E$401,$U216)="","",INDEX('Per Invoice'!E$2:E$401,$U216)))</f>
        <v/>
      </c>
      <c r="F216">
        <f>IF($U216="","",IF(INDEX('Per Invoice'!F$2:F$401,$U216)="","",INDEX('Per Invoice'!F$2:F$401,$U216)))</f>
        <v/>
      </c>
      <c r="G216">
        <f>IF($U216="","",IF(INDEX('Per Invoice'!G$2:G$401,$U216)="","",INDEX('Per Invoice'!G$2:G$401,$U216)))</f>
        <v/>
      </c>
      <c r="H216" s="7">
        <f>IF($U216="","",IF(INDEX('Per Invoice'!H$2:H$401,$U216)="","",INDEX('Per Invoice'!H$2:H$401,$U216)))</f>
        <v/>
      </c>
      <c r="I216" s="14">
        <f>IF($U216="","",IF(INDEX('Per Invoice'!I$2:I$401,$U216)="","",INDEX('Per Invoice'!I$2:I$401,$U216)))</f>
        <v/>
      </c>
      <c r="J216">
        <f>IF($U216="","",IF(INDEX('Per Invoice'!J$2:J$401,$U216)="","",INDEX('Per Invoice'!J$2:J$401,$U216)))</f>
        <v/>
      </c>
      <c r="K216">
        <f>IF($U216="","",IF(INDEX('Per Invoice'!K$2:K$401,$U216)="","",INDEX('Per Invoice'!K$2:K$401,$U216)))</f>
        <v/>
      </c>
      <c r="L216" s="7">
        <f>IF($U216="","",IF(INDEX('Per Invoice'!L$2:L$401,$U216)="","",INDEX('Per Invoice'!L$2:L$401,$U216)))</f>
        <v/>
      </c>
      <c r="M216" s="7">
        <f>IF($U216="","",IF(INDEX('Per Invoice'!M$2:M$401,$U216)="","",INDEX('Per Invoice'!M$2:M$401,$U216)))</f>
        <v/>
      </c>
      <c r="N216">
        <f>IF($U216="","",IF(INDEX('Per Invoice'!N$2:N$401,$U216)="","",INDEX('Per Invoice'!N$2:N$401,$U216)))</f>
        <v/>
      </c>
      <c r="O216" s="7">
        <f>IF($U216="","",IF(INDEX('Per Invoice'!O$2:O$401,$U216)="","",INDEX('Per Invoice'!O$2:O$401,$U216)))</f>
        <v/>
      </c>
      <c r="P216" s="7">
        <f>IF($U216="","",IF(INDEX('Per Invoice'!P$2:P$401,$U216)="","",INDEX('Per Invoice'!P$2:P$401,$U216)))</f>
        <v/>
      </c>
      <c r="Q216" s="7">
        <f>IF($U216="","",IF(INDEX('Per Invoice'!Q$2:Q$401,$U216)="","",INDEX('Per Invoice'!Q$2:Q$401,$U216)))</f>
        <v/>
      </c>
      <c r="R216" s="7">
        <f>IF($U216="","",IF(INDEX('Per Invoice'!R$2:R$401,$U216)="","",INDEX('Per Invoice'!R$2:R$401,$U216)))</f>
        <v/>
      </c>
      <c r="S216" s="7">
        <f>IF($U216="","",IF(INDEX('Per Invoice'!S$2:S$401,$U216)="","",INDEX('Per Invoice'!S$2:S$401,$U216)))</f>
        <v/>
      </c>
      <c r="T216" s="7">
        <f>IF($U216="","",IF(INDEX('Per Invoice'!T$2:T$401,$U216)="","",INDEX('Per Invoice'!T$2:T$401,$U216)))</f>
        <v/>
      </c>
      <c r="U216" s="16">
        <f>IFERROR(MATCH(Settings!$C$27&amp;"|"&amp;ROWS($U$2:$U216),'Per Invoice'!$V$2:$V$401,0),"")</f>
        <v/>
      </c>
    </row>
    <row r="217">
      <c r="A217">
        <f>IF($U217="","",IF(INDEX('Per Invoice'!A$2:A$401,$U217)="","",INDEX('Per Invoice'!A$2:A$401,$U217)))</f>
        <v/>
      </c>
      <c r="B217">
        <f>IF($U217="","",IF(INDEX('Per Invoice'!B$2:B$401,$U217)="","",INDEX('Per Invoice'!B$2:B$401,$U217)))</f>
        <v/>
      </c>
      <c r="C217">
        <f>IF($U217="","",IF(INDEX('Per Invoice'!C$2:C$401,$U217)="","",INDEX('Per Invoice'!C$2:C$401,$U217)))</f>
        <v/>
      </c>
      <c r="D217">
        <f>IF($U217="","",IF(INDEX('Per Invoice'!D$2:D$401,$U217)="","",INDEX('Per Invoice'!D$2:D$401,$U217)))</f>
        <v/>
      </c>
      <c r="E217">
        <f>IF($U217="","",IF(INDEX('Per Invoice'!E$2:E$401,$U217)="","",INDEX('Per Invoice'!E$2:E$401,$U217)))</f>
        <v/>
      </c>
      <c r="F217">
        <f>IF($U217="","",IF(INDEX('Per Invoice'!F$2:F$401,$U217)="","",INDEX('Per Invoice'!F$2:F$401,$U217)))</f>
        <v/>
      </c>
      <c r="G217">
        <f>IF($U217="","",IF(INDEX('Per Invoice'!G$2:G$401,$U217)="","",INDEX('Per Invoice'!G$2:G$401,$U217)))</f>
        <v/>
      </c>
      <c r="H217" s="7">
        <f>IF($U217="","",IF(INDEX('Per Invoice'!H$2:H$401,$U217)="","",INDEX('Per Invoice'!H$2:H$401,$U217)))</f>
        <v/>
      </c>
      <c r="I217" s="14">
        <f>IF($U217="","",IF(INDEX('Per Invoice'!I$2:I$401,$U217)="","",INDEX('Per Invoice'!I$2:I$401,$U217)))</f>
        <v/>
      </c>
      <c r="J217">
        <f>IF($U217="","",IF(INDEX('Per Invoice'!J$2:J$401,$U217)="","",INDEX('Per Invoice'!J$2:J$401,$U217)))</f>
        <v/>
      </c>
      <c r="K217">
        <f>IF($U217="","",IF(INDEX('Per Invoice'!K$2:K$401,$U217)="","",INDEX('Per Invoice'!K$2:K$401,$U217)))</f>
        <v/>
      </c>
      <c r="L217" s="7">
        <f>IF($U217="","",IF(INDEX('Per Invoice'!L$2:L$401,$U217)="","",INDEX('Per Invoice'!L$2:L$401,$U217)))</f>
        <v/>
      </c>
      <c r="M217" s="7">
        <f>IF($U217="","",IF(INDEX('Per Invoice'!M$2:M$401,$U217)="","",INDEX('Per Invoice'!M$2:M$401,$U217)))</f>
        <v/>
      </c>
      <c r="N217">
        <f>IF($U217="","",IF(INDEX('Per Invoice'!N$2:N$401,$U217)="","",INDEX('Per Invoice'!N$2:N$401,$U217)))</f>
        <v/>
      </c>
      <c r="O217" s="7">
        <f>IF($U217="","",IF(INDEX('Per Invoice'!O$2:O$401,$U217)="","",INDEX('Per Invoice'!O$2:O$401,$U217)))</f>
        <v/>
      </c>
      <c r="P217" s="7">
        <f>IF($U217="","",IF(INDEX('Per Invoice'!P$2:P$401,$U217)="","",INDEX('Per Invoice'!P$2:P$401,$U217)))</f>
        <v/>
      </c>
      <c r="Q217" s="7">
        <f>IF($U217="","",IF(INDEX('Per Invoice'!Q$2:Q$401,$U217)="","",INDEX('Per Invoice'!Q$2:Q$401,$U217)))</f>
        <v/>
      </c>
      <c r="R217" s="7">
        <f>IF($U217="","",IF(INDEX('Per Invoice'!R$2:R$401,$U217)="","",INDEX('Per Invoice'!R$2:R$401,$U217)))</f>
        <v/>
      </c>
      <c r="S217" s="7">
        <f>IF($U217="","",IF(INDEX('Per Invoice'!S$2:S$401,$U217)="","",INDEX('Per Invoice'!S$2:S$401,$U217)))</f>
        <v/>
      </c>
      <c r="T217" s="7">
        <f>IF($U217="","",IF(INDEX('Per Invoice'!T$2:T$401,$U217)="","",INDEX('Per Invoice'!T$2:T$401,$U217)))</f>
        <v/>
      </c>
      <c r="U217" s="16">
        <f>IFERROR(MATCH(Settings!$C$27&amp;"|"&amp;ROWS($U$2:$U217),'Per Invoice'!$V$2:$V$401,0),"")</f>
        <v/>
      </c>
    </row>
    <row r="218">
      <c r="A218">
        <f>IF($U218="","",IF(INDEX('Per Invoice'!A$2:A$401,$U218)="","",INDEX('Per Invoice'!A$2:A$401,$U218)))</f>
        <v/>
      </c>
      <c r="B218">
        <f>IF($U218="","",IF(INDEX('Per Invoice'!B$2:B$401,$U218)="","",INDEX('Per Invoice'!B$2:B$401,$U218)))</f>
        <v/>
      </c>
      <c r="C218">
        <f>IF($U218="","",IF(INDEX('Per Invoice'!C$2:C$401,$U218)="","",INDEX('Per Invoice'!C$2:C$401,$U218)))</f>
        <v/>
      </c>
      <c r="D218">
        <f>IF($U218="","",IF(INDEX('Per Invoice'!D$2:D$401,$U218)="","",INDEX('Per Invoice'!D$2:D$401,$U218)))</f>
        <v/>
      </c>
      <c r="E218">
        <f>IF($U218="","",IF(INDEX('Per Invoice'!E$2:E$401,$U218)="","",INDEX('Per Invoice'!E$2:E$401,$U218)))</f>
        <v/>
      </c>
      <c r="F218">
        <f>IF($U218="","",IF(INDEX('Per Invoice'!F$2:F$401,$U218)="","",INDEX('Per Invoice'!F$2:F$401,$U218)))</f>
        <v/>
      </c>
      <c r="G218">
        <f>IF($U218="","",IF(INDEX('Per Invoice'!G$2:G$401,$U218)="","",INDEX('Per Invoice'!G$2:G$401,$U218)))</f>
        <v/>
      </c>
      <c r="H218" s="7">
        <f>IF($U218="","",IF(INDEX('Per Invoice'!H$2:H$401,$U218)="","",INDEX('Per Invoice'!H$2:H$401,$U218)))</f>
        <v/>
      </c>
      <c r="I218" s="14">
        <f>IF($U218="","",IF(INDEX('Per Invoice'!I$2:I$401,$U218)="","",INDEX('Per Invoice'!I$2:I$401,$U218)))</f>
        <v/>
      </c>
      <c r="J218">
        <f>IF($U218="","",IF(INDEX('Per Invoice'!J$2:J$401,$U218)="","",INDEX('Per Invoice'!J$2:J$401,$U218)))</f>
        <v/>
      </c>
      <c r="K218">
        <f>IF($U218="","",IF(INDEX('Per Invoice'!K$2:K$401,$U218)="","",INDEX('Per Invoice'!K$2:K$401,$U218)))</f>
        <v/>
      </c>
      <c r="L218" s="7">
        <f>IF($U218="","",IF(INDEX('Per Invoice'!L$2:L$401,$U218)="","",INDEX('Per Invoice'!L$2:L$401,$U218)))</f>
        <v/>
      </c>
      <c r="M218" s="7">
        <f>IF($U218="","",IF(INDEX('Per Invoice'!M$2:M$401,$U218)="","",INDEX('Per Invoice'!M$2:M$401,$U218)))</f>
        <v/>
      </c>
      <c r="N218">
        <f>IF($U218="","",IF(INDEX('Per Invoice'!N$2:N$401,$U218)="","",INDEX('Per Invoice'!N$2:N$401,$U218)))</f>
        <v/>
      </c>
      <c r="O218" s="7">
        <f>IF($U218="","",IF(INDEX('Per Invoice'!O$2:O$401,$U218)="","",INDEX('Per Invoice'!O$2:O$401,$U218)))</f>
        <v/>
      </c>
      <c r="P218" s="7">
        <f>IF($U218="","",IF(INDEX('Per Invoice'!P$2:P$401,$U218)="","",INDEX('Per Invoice'!P$2:P$401,$U218)))</f>
        <v/>
      </c>
      <c r="Q218" s="7">
        <f>IF($U218="","",IF(INDEX('Per Invoice'!Q$2:Q$401,$U218)="","",INDEX('Per Invoice'!Q$2:Q$401,$U218)))</f>
        <v/>
      </c>
      <c r="R218" s="7">
        <f>IF($U218="","",IF(INDEX('Per Invoice'!R$2:R$401,$U218)="","",INDEX('Per Invoice'!R$2:R$401,$U218)))</f>
        <v/>
      </c>
      <c r="S218" s="7">
        <f>IF($U218="","",IF(INDEX('Per Invoice'!S$2:S$401,$U218)="","",INDEX('Per Invoice'!S$2:S$401,$U218)))</f>
        <v/>
      </c>
      <c r="T218" s="7">
        <f>IF($U218="","",IF(INDEX('Per Invoice'!T$2:T$401,$U218)="","",INDEX('Per Invoice'!T$2:T$401,$U218)))</f>
        <v/>
      </c>
      <c r="U218" s="16">
        <f>IFERROR(MATCH(Settings!$C$27&amp;"|"&amp;ROWS($U$2:$U218),'Per Invoice'!$V$2:$V$401,0),"")</f>
        <v/>
      </c>
    </row>
    <row r="219">
      <c r="A219">
        <f>IF($U219="","",IF(INDEX('Per Invoice'!A$2:A$401,$U219)="","",INDEX('Per Invoice'!A$2:A$401,$U219)))</f>
        <v/>
      </c>
      <c r="B219">
        <f>IF($U219="","",IF(INDEX('Per Invoice'!B$2:B$401,$U219)="","",INDEX('Per Invoice'!B$2:B$401,$U219)))</f>
        <v/>
      </c>
      <c r="C219">
        <f>IF($U219="","",IF(INDEX('Per Invoice'!C$2:C$401,$U219)="","",INDEX('Per Invoice'!C$2:C$401,$U219)))</f>
        <v/>
      </c>
      <c r="D219">
        <f>IF($U219="","",IF(INDEX('Per Invoice'!D$2:D$401,$U219)="","",INDEX('Per Invoice'!D$2:D$401,$U219)))</f>
        <v/>
      </c>
      <c r="E219">
        <f>IF($U219="","",IF(INDEX('Per Invoice'!E$2:E$401,$U219)="","",INDEX('Per Invoice'!E$2:E$401,$U219)))</f>
        <v/>
      </c>
      <c r="F219">
        <f>IF($U219="","",IF(INDEX('Per Invoice'!F$2:F$401,$U219)="","",INDEX('Per Invoice'!F$2:F$401,$U219)))</f>
        <v/>
      </c>
      <c r="G219">
        <f>IF($U219="","",IF(INDEX('Per Invoice'!G$2:G$401,$U219)="","",INDEX('Per Invoice'!G$2:G$401,$U219)))</f>
        <v/>
      </c>
      <c r="H219" s="7">
        <f>IF($U219="","",IF(INDEX('Per Invoice'!H$2:H$401,$U219)="","",INDEX('Per Invoice'!H$2:H$401,$U219)))</f>
        <v/>
      </c>
      <c r="I219" s="14">
        <f>IF($U219="","",IF(INDEX('Per Invoice'!I$2:I$401,$U219)="","",INDEX('Per Invoice'!I$2:I$401,$U219)))</f>
        <v/>
      </c>
      <c r="J219">
        <f>IF($U219="","",IF(INDEX('Per Invoice'!J$2:J$401,$U219)="","",INDEX('Per Invoice'!J$2:J$401,$U219)))</f>
        <v/>
      </c>
      <c r="K219">
        <f>IF($U219="","",IF(INDEX('Per Invoice'!K$2:K$401,$U219)="","",INDEX('Per Invoice'!K$2:K$401,$U219)))</f>
        <v/>
      </c>
      <c r="L219" s="7">
        <f>IF($U219="","",IF(INDEX('Per Invoice'!L$2:L$401,$U219)="","",INDEX('Per Invoice'!L$2:L$401,$U219)))</f>
        <v/>
      </c>
      <c r="M219" s="7">
        <f>IF($U219="","",IF(INDEX('Per Invoice'!M$2:M$401,$U219)="","",INDEX('Per Invoice'!M$2:M$401,$U219)))</f>
        <v/>
      </c>
      <c r="N219">
        <f>IF($U219="","",IF(INDEX('Per Invoice'!N$2:N$401,$U219)="","",INDEX('Per Invoice'!N$2:N$401,$U219)))</f>
        <v/>
      </c>
      <c r="O219" s="7">
        <f>IF($U219="","",IF(INDEX('Per Invoice'!O$2:O$401,$U219)="","",INDEX('Per Invoice'!O$2:O$401,$U219)))</f>
        <v/>
      </c>
      <c r="P219" s="7">
        <f>IF($U219="","",IF(INDEX('Per Invoice'!P$2:P$401,$U219)="","",INDEX('Per Invoice'!P$2:P$401,$U219)))</f>
        <v/>
      </c>
      <c r="Q219" s="7">
        <f>IF($U219="","",IF(INDEX('Per Invoice'!Q$2:Q$401,$U219)="","",INDEX('Per Invoice'!Q$2:Q$401,$U219)))</f>
        <v/>
      </c>
      <c r="R219" s="7">
        <f>IF($U219="","",IF(INDEX('Per Invoice'!R$2:R$401,$U219)="","",INDEX('Per Invoice'!R$2:R$401,$U219)))</f>
        <v/>
      </c>
      <c r="S219" s="7">
        <f>IF($U219="","",IF(INDEX('Per Invoice'!S$2:S$401,$U219)="","",INDEX('Per Invoice'!S$2:S$401,$U219)))</f>
        <v/>
      </c>
      <c r="T219" s="7">
        <f>IF($U219="","",IF(INDEX('Per Invoice'!T$2:T$401,$U219)="","",INDEX('Per Invoice'!T$2:T$401,$U219)))</f>
        <v/>
      </c>
      <c r="U219" s="16">
        <f>IFERROR(MATCH(Settings!$C$27&amp;"|"&amp;ROWS($U$2:$U219),'Per Invoice'!$V$2:$V$401,0),"")</f>
        <v/>
      </c>
    </row>
    <row r="220">
      <c r="A220">
        <f>IF($U220="","",IF(INDEX('Per Invoice'!A$2:A$401,$U220)="","",INDEX('Per Invoice'!A$2:A$401,$U220)))</f>
        <v/>
      </c>
      <c r="B220">
        <f>IF($U220="","",IF(INDEX('Per Invoice'!B$2:B$401,$U220)="","",INDEX('Per Invoice'!B$2:B$401,$U220)))</f>
        <v/>
      </c>
      <c r="C220">
        <f>IF($U220="","",IF(INDEX('Per Invoice'!C$2:C$401,$U220)="","",INDEX('Per Invoice'!C$2:C$401,$U220)))</f>
        <v/>
      </c>
      <c r="D220">
        <f>IF($U220="","",IF(INDEX('Per Invoice'!D$2:D$401,$U220)="","",INDEX('Per Invoice'!D$2:D$401,$U220)))</f>
        <v/>
      </c>
      <c r="E220">
        <f>IF($U220="","",IF(INDEX('Per Invoice'!E$2:E$401,$U220)="","",INDEX('Per Invoice'!E$2:E$401,$U220)))</f>
        <v/>
      </c>
      <c r="F220">
        <f>IF($U220="","",IF(INDEX('Per Invoice'!F$2:F$401,$U220)="","",INDEX('Per Invoice'!F$2:F$401,$U220)))</f>
        <v/>
      </c>
      <c r="G220">
        <f>IF($U220="","",IF(INDEX('Per Invoice'!G$2:G$401,$U220)="","",INDEX('Per Invoice'!G$2:G$401,$U220)))</f>
        <v/>
      </c>
      <c r="H220" s="7">
        <f>IF($U220="","",IF(INDEX('Per Invoice'!H$2:H$401,$U220)="","",INDEX('Per Invoice'!H$2:H$401,$U220)))</f>
        <v/>
      </c>
      <c r="I220" s="14">
        <f>IF($U220="","",IF(INDEX('Per Invoice'!I$2:I$401,$U220)="","",INDEX('Per Invoice'!I$2:I$401,$U220)))</f>
        <v/>
      </c>
      <c r="J220">
        <f>IF($U220="","",IF(INDEX('Per Invoice'!J$2:J$401,$U220)="","",INDEX('Per Invoice'!J$2:J$401,$U220)))</f>
        <v/>
      </c>
      <c r="K220">
        <f>IF($U220="","",IF(INDEX('Per Invoice'!K$2:K$401,$U220)="","",INDEX('Per Invoice'!K$2:K$401,$U220)))</f>
        <v/>
      </c>
      <c r="L220" s="7">
        <f>IF($U220="","",IF(INDEX('Per Invoice'!L$2:L$401,$U220)="","",INDEX('Per Invoice'!L$2:L$401,$U220)))</f>
        <v/>
      </c>
      <c r="M220" s="7">
        <f>IF($U220="","",IF(INDEX('Per Invoice'!M$2:M$401,$U220)="","",INDEX('Per Invoice'!M$2:M$401,$U220)))</f>
        <v/>
      </c>
      <c r="N220">
        <f>IF($U220="","",IF(INDEX('Per Invoice'!N$2:N$401,$U220)="","",INDEX('Per Invoice'!N$2:N$401,$U220)))</f>
        <v/>
      </c>
      <c r="O220" s="7">
        <f>IF($U220="","",IF(INDEX('Per Invoice'!O$2:O$401,$U220)="","",INDEX('Per Invoice'!O$2:O$401,$U220)))</f>
        <v/>
      </c>
      <c r="P220" s="7">
        <f>IF($U220="","",IF(INDEX('Per Invoice'!P$2:P$401,$U220)="","",INDEX('Per Invoice'!P$2:P$401,$U220)))</f>
        <v/>
      </c>
      <c r="Q220" s="7">
        <f>IF($U220="","",IF(INDEX('Per Invoice'!Q$2:Q$401,$U220)="","",INDEX('Per Invoice'!Q$2:Q$401,$U220)))</f>
        <v/>
      </c>
      <c r="R220" s="7">
        <f>IF($U220="","",IF(INDEX('Per Invoice'!R$2:R$401,$U220)="","",INDEX('Per Invoice'!R$2:R$401,$U220)))</f>
        <v/>
      </c>
      <c r="S220" s="7">
        <f>IF($U220="","",IF(INDEX('Per Invoice'!S$2:S$401,$U220)="","",INDEX('Per Invoice'!S$2:S$401,$U220)))</f>
        <v/>
      </c>
      <c r="T220" s="7">
        <f>IF($U220="","",IF(INDEX('Per Invoice'!T$2:T$401,$U220)="","",INDEX('Per Invoice'!T$2:T$401,$U220)))</f>
        <v/>
      </c>
      <c r="U220" s="16">
        <f>IFERROR(MATCH(Settings!$C$27&amp;"|"&amp;ROWS($U$2:$U220),'Per Invoice'!$V$2:$V$401,0),"")</f>
        <v/>
      </c>
    </row>
    <row r="221">
      <c r="A221">
        <f>IF($U221="","",IF(INDEX('Per Invoice'!A$2:A$401,$U221)="","",INDEX('Per Invoice'!A$2:A$401,$U221)))</f>
        <v/>
      </c>
      <c r="B221">
        <f>IF($U221="","",IF(INDEX('Per Invoice'!B$2:B$401,$U221)="","",INDEX('Per Invoice'!B$2:B$401,$U221)))</f>
        <v/>
      </c>
      <c r="C221">
        <f>IF($U221="","",IF(INDEX('Per Invoice'!C$2:C$401,$U221)="","",INDEX('Per Invoice'!C$2:C$401,$U221)))</f>
        <v/>
      </c>
      <c r="D221">
        <f>IF($U221="","",IF(INDEX('Per Invoice'!D$2:D$401,$U221)="","",INDEX('Per Invoice'!D$2:D$401,$U221)))</f>
        <v/>
      </c>
      <c r="E221">
        <f>IF($U221="","",IF(INDEX('Per Invoice'!E$2:E$401,$U221)="","",INDEX('Per Invoice'!E$2:E$401,$U221)))</f>
        <v/>
      </c>
      <c r="F221">
        <f>IF($U221="","",IF(INDEX('Per Invoice'!F$2:F$401,$U221)="","",INDEX('Per Invoice'!F$2:F$401,$U221)))</f>
        <v/>
      </c>
      <c r="G221">
        <f>IF($U221="","",IF(INDEX('Per Invoice'!G$2:G$401,$U221)="","",INDEX('Per Invoice'!G$2:G$401,$U221)))</f>
        <v/>
      </c>
      <c r="H221" s="7">
        <f>IF($U221="","",IF(INDEX('Per Invoice'!H$2:H$401,$U221)="","",INDEX('Per Invoice'!H$2:H$401,$U221)))</f>
        <v/>
      </c>
      <c r="I221" s="14">
        <f>IF($U221="","",IF(INDEX('Per Invoice'!I$2:I$401,$U221)="","",INDEX('Per Invoice'!I$2:I$401,$U221)))</f>
        <v/>
      </c>
      <c r="J221">
        <f>IF($U221="","",IF(INDEX('Per Invoice'!J$2:J$401,$U221)="","",INDEX('Per Invoice'!J$2:J$401,$U221)))</f>
        <v/>
      </c>
      <c r="K221">
        <f>IF($U221="","",IF(INDEX('Per Invoice'!K$2:K$401,$U221)="","",INDEX('Per Invoice'!K$2:K$401,$U221)))</f>
        <v/>
      </c>
      <c r="L221" s="7">
        <f>IF($U221="","",IF(INDEX('Per Invoice'!L$2:L$401,$U221)="","",INDEX('Per Invoice'!L$2:L$401,$U221)))</f>
        <v/>
      </c>
      <c r="M221" s="7">
        <f>IF($U221="","",IF(INDEX('Per Invoice'!M$2:M$401,$U221)="","",INDEX('Per Invoice'!M$2:M$401,$U221)))</f>
        <v/>
      </c>
      <c r="N221">
        <f>IF($U221="","",IF(INDEX('Per Invoice'!N$2:N$401,$U221)="","",INDEX('Per Invoice'!N$2:N$401,$U221)))</f>
        <v/>
      </c>
      <c r="O221" s="7">
        <f>IF($U221="","",IF(INDEX('Per Invoice'!O$2:O$401,$U221)="","",INDEX('Per Invoice'!O$2:O$401,$U221)))</f>
        <v/>
      </c>
      <c r="P221" s="7">
        <f>IF($U221="","",IF(INDEX('Per Invoice'!P$2:P$401,$U221)="","",INDEX('Per Invoice'!P$2:P$401,$U221)))</f>
        <v/>
      </c>
      <c r="Q221" s="7">
        <f>IF($U221="","",IF(INDEX('Per Invoice'!Q$2:Q$401,$U221)="","",INDEX('Per Invoice'!Q$2:Q$401,$U221)))</f>
        <v/>
      </c>
      <c r="R221" s="7">
        <f>IF($U221="","",IF(INDEX('Per Invoice'!R$2:R$401,$U221)="","",INDEX('Per Invoice'!R$2:R$401,$U221)))</f>
        <v/>
      </c>
      <c r="S221" s="7">
        <f>IF($U221="","",IF(INDEX('Per Invoice'!S$2:S$401,$U221)="","",INDEX('Per Invoice'!S$2:S$401,$U221)))</f>
        <v/>
      </c>
      <c r="T221" s="7">
        <f>IF($U221="","",IF(INDEX('Per Invoice'!T$2:T$401,$U221)="","",INDEX('Per Invoice'!T$2:T$401,$U221)))</f>
        <v/>
      </c>
      <c r="U221" s="16">
        <f>IFERROR(MATCH(Settings!$C$27&amp;"|"&amp;ROWS($U$2:$U221),'Per Invoice'!$V$2:$V$401,0),"")</f>
        <v/>
      </c>
    </row>
    <row r="222">
      <c r="A222">
        <f>IF($U222="","",IF(INDEX('Per Invoice'!A$2:A$401,$U222)="","",INDEX('Per Invoice'!A$2:A$401,$U222)))</f>
        <v/>
      </c>
      <c r="B222">
        <f>IF($U222="","",IF(INDEX('Per Invoice'!B$2:B$401,$U222)="","",INDEX('Per Invoice'!B$2:B$401,$U222)))</f>
        <v/>
      </c>
      <c r="C222">
        <f>IF($U222="","",IF(INDEX('Per Invoice'!C$2:C$401,$U222)="","",INDEX('Per Invoice'!C$2:C$401,$U222)))</f>
        <v/>
      </c>
      <c r="D222">
        <f>IF($U222="","",IF(INDEX('Per Invoice'!D$2:D$401,$U222)="","",INDEX('Per Invoice'!D$2:D$401,$U222)))</f>
        <v/>
      </c>
      <c r="E222">
        <f>IF($U222="","",IF(INDEX('Per Invoice'!E$2:E$401,$U222)="","",INDEX('Per Invoice'!E$2:E$401,$U222)))</f>
        <v/>
      </c>
      <c r="F222">
        <f>IF($U222="","",IF(INDEX('Per Invoice'!F$2:F$401,$U222)="","",INDEX('Per Invoice'!F$2:F$401,$U222)))</f>
        <v/>
      </c>
      <c r="G222">
        <f>IF($U222="","",IF(INDEX('Per Invoice'!G$2:G$401,$U222)="","",INDEX('Per Invoice'!G$2:G$401,$U222)))</f>
        <v/>
      </c>
      <c r="H222" s="7">
        <f>IF($U222="","",IF(INDEX('Per Invoice'!H$2:H$401,$U222)="","",INDEX('Per Invoice'!H$2:H$401,$U222)))</f>
        <v/>
      </c>
      <c r="I222" s="14">
        <f>IF($U222="","",IF(INDEX('Per Invoice'!I$2:I$401,$U222)="","",INDEX('Per Invoice'!I$2:I$401,$U222)))</f>
        <v/>
      </c>
      <c r="J222">
        <f>IF($U222="","",IF(INDEX('Per Invoice'!J$2:J$401,$U222)="","",INDEX('Per Invoice'!J$2:J$401,$U222)))</f>
        <v/>
      </c>
      <c r="K222">
        <f>IF($U222="","",IF(INDEX('Per Invoice'!K$2:K$401,$U222)="","",INDEX('Per Invoice'!K$2:K$401,$U222)))</f>
        <v/>
      </c>
      <c r="L222" s="7">
        <f>IF($U222="","",IF(INDEX('Per Invoice'!L$2:L$401,$U222)="","",INDEX('Per Invoice'!L$2:L$401,$U222)))</f>
        <v/>
      </c>
      <c r="M222" s="7">
        <f>IF($U222="","",IF(INDEX('Per Invoice'!M$2:M$401,$U222)="","",INDEX('Per Invoice'!M$2:M$401,$U222)))</f>
        <v/>
      </c>
      <c r="N222">
        <f>IF($U222="","",IF(INDEX('Per Invoice'!N$2:N$401,$U222)="","",INDEX('Per Invoice'!N$2:N$401,$U222)))</f>
        <v/>
      </c>
      <c r="O222" s="7">
        <f>IF($U222="","",IF(INDEX('Per Invoice'!O$2:O$401,$U222)="","",INDEX('Per Invoice'!O$2:O$401,$U222)))</f>
        <v/>
      </c>
      <c r="P222" s="7">
        <f>IF($U222="","",IF(INDEX('Per Invoice'!P$2:P$401,$U222)="","",INDEX('Per Invoice'!P$2:P$401,$U222)))</f>
        <v/>
      </c>
      <c r="Q222" s="7">
        <f>IF($U222="","",IF(INDEX('Per Invoice'!Q$2:Q$401,$U222)="","",INDEX('Per Invoice'!Q$2:Q$401,$U222)))</f>
        <v/>
      </c>
      <c r="R222" s="7">
        <f>IF($U222="","",IF(INDEX('Per Invoice'!R$2:R$401,$U222)="","",INDEX('Per Invoice'!R$2:R$401,$U222)))</f>
        <v/>
      </c>
      <c r="S222" s="7">
        <f>IF($U222="","",IF(INDEX('Per Invoice'!S$2:S$401,$U222)="","",INDEX('Per Invoice'!S$2:S$401,$U222)))</f>
        <v/>
      </c>
      <c r="T222" s="7">
        <f>IF($U222="","",IF(INDEX('Per Invoice'!T$2:T$401,$U222)="","",INDEX('Per Invoice'!T$2:T$401,$U222)))</f>
        <v/>
      </c>
      <c r="U222" s="16">
        <f>IFERROR(MATCH(Settings!$C$27&amp;"|"&amp;ROWS($U$2:$U222),'Per Invoice'!$V$2:$V$401,0),"")</f>
        <v/>
      </c>
    </row>
    <row r="223">
      <c r="A223">
        <f>IF($U223="","",IF(INDEX('Per Invoice'!A$2:A$401,$U223)="","",INDEX('Per Invoice'!A$2:A$401,$U223)))</f>
        <v/>
      </c>
      <c r="B223">
        <f>IF($U223="","",IF(INDEX('Per Invoice'!B$2:B$401,$U223)="","",INDEX('Per Invoice'!B$2:B$401,$U223)))</f>
        <v/>
      </c>
      <c r="C223">
        <f>IF($U223="","",IF(INDEX('Per Invoice'!C$2:C$401,$U223)="","",INDEX('Per Invoice'!C$2:C$401,$U223)))</f>
        <v/>
      </c>
      <c r="D223">
        <f>IF($U223="","",IF(INDEX('Per Invoice'!D$2:D$401,$U223)="","",INDEX('Per Invoice'!D$2:D$401,$U223)))</f>
        <v/>
      </c>
      <c r="E223">
        <f>IF($U223="","",IF(INDEX('Per Invoice'!E$2:E$401,$U223)="","",INDEX('Per Invoice'!E$2:E$401,$U223)))</f>
        <v/>
      </c>
      <c r="F223">
        <f>IF($U223="","",IF(INDEX('Per Invoice'!F$2:F$401,$U223)="","",INDEX('Per Invoice'!F$2:F$401,$U223)))</f>
        <v/>
      </c>
      <c r="G223">
        <f>IF($U223="","",IF(INDEX('Per Invoice'!G$2:G$401,$U223)="","",INDEX('Per Invoice'!G$2:G$401,$U223)))</f>
        <v/>
      </c>
      <c r="H223" s="7">
        <f>IF($U223="","",IF(INDEX('Per Invoice'!H$2:H$401,$U223)="","",INDEX('Per Invoice'!H$2:H$401,$U223)))</f>
        <v/>
      </c>
      <c r="I223" s="14">
        <f>IF($U223="","",IF(INDEX('Per Invoice'!I$2:I$401,$U223)="","",INDEX('Per Invoice'!I$2:I$401,$U223)))</f>
        <v/>
      </c>
      <c r="J223">
        <f>IF($U223="","",IF(INDEX('Per Invoice'!J$2:J$401,$U223)="","",INDEX('Per Invoice'!J$2:J$401,$U223)))</f>
        <v/>
      </c>
      <c r="K223">
        <f>IF($U223="","",IF(INDEX('Per Invoice'!K$2:K$401,$U223)="","",INDEX('Per Invoice'!K$2:K$401,$U223)))</f>
        <v/>
      </c>
      <c r="L223" s="7">
        <f>IF($U223="","",IF(INDEX('Per Invoice'!L$2:L$401,$U223)="","",INDEX('Per Invoice'!L$2:L$401,$U223)))</f>
        <v/>
      </c>
      <c r="M223" s="7">
        <f>IF($U223="","",IF(INDEX('Per Invoice'!M$2:M$401,$U223)="","",INDEX('Per Invoice'!M$2:M$401,$U223)))</f>
        <v/>
      </c>
      <c r="N223">
        <f>IF($U223="","",IF(INDEX('Per Invoice'!N$2:N$401,$U223)="","",INDEX('Per Invoice'!N$2:N$401,$U223)))</f>
        <v/>
      </c>
      <c r="O223" s="7">
        <f>IF($U223="","",IF(INDEX('Per Invoice'!O$2:O$401,$U223)="","",INDEX('Per Invoice'!O$2:O$401,$U223)))</f>
        <v/>
      </c>
      <c r="P223" s="7">
        <f>IF($U223="","",IF(INDEX('Per Invoice'!P$2:P$401,$U223)="","",INDEX('Per Invoice'!P$2:P$401,$U223)))</f>
        <v/>
      </c>
      <c r="Q223" s="7">
        <f>IF($U223="","",IF(INDEX('Per Invoice'!Q$2:Q$401,$U223)="","",INDEX('Per Invoice'!Q$2:Q$401,$U223)))</f>
        <v/>
      </c>
      <c r="R223" s="7">
        <f>IF($U223="","",IF(INDEX('Per Invoice'!R$2:R$401,$U223)="","",INDEX('Per Invoice'!R$2:R$401,$U223)))</f>
        <v/>
      </c>
      <c r="S223" s="7">
        <f>IF($U223="","",IF(INDEX('Per Invoice'!S$2:S$401,$U223)="","",INDEX('Per Invoice'!S$2:S$401,$U223)))</f>
        <v/>
      </c>
      <c r="T223" s="7">
        <f>IF($U223="","",IF(INDEX('Per Invoice'!T$2:T$401,$U223)="","",INDEX('Per Invoice'!T$2:T$401,$U223)))</f>
        <v/>
      </c>
      <c r="U223" s="16">
        <f>IFERROR(MATCH(Settings!$C$27&amp;"|"&amp;ROWS($U$2:$U223),'Per Invoice'!$V$2:$V$401,0),"")</f>
        <v/>
      </c>
    </row>
    <row r="224">
      <c r="A224">
        <f>IF($U224="","",IF(INDEX('Per Invoice'!A$2:A$401,$U224)="","",INDEX('Per Invoice'!A$2:A$401,$U224)))</f>
        <v/>
      </c>
      <c r="B224">
        <f>IF($U224="","",IF(INDEX('Per Invoice'!B$2:B$401,$U224)="","",INDEX('Per Invoice'!B$2:B$401,$U224)))</f>
        <v/>
      </c>
      <c r="C224">
        <f>IF($U224="","",IF(INDEX('Per Invoice'!C$2:C$401,$U224)="","",INDEX('Per Invoice'!C$2:C$401,$U224)))</f>
        <v/>
      </c>
      <c r="D224">
        <f>IF($U224="","",IF(INDEX('Per Invoice'!D$2:D$401,$U224)="","",INDEX('Per Invoice'!D$2:D$401,$U224)))</f>
        <v/>
      </c>
      <c r="E224">
        <f>IF($U224="","",IF(INDEX('Per Invoice'!E$2:E$401,$U224)="","",INDEX('Per Invoice'!E$2:E$401,$U224)))</f>
        <v/>
      </c>
      <c r="F224">
        <f>IF($U224="","",IF(INDEX('Per Invoice'!F$2:F$401,$U224)="","",INDEX('Per Invoice'!F$2:F$401,$U224)))</f>
        <v/>
      </c>
      <c r="G224">
        <f>IF($U224="","",IF(INDEX('Per Invoice'!G$2:G$401,$U224)="","",INDEX('Per Invoice'!G$2:G$401,$U224)))</f>
        <v/>
      </c>
      <c r="H224" s="7">
        <f>IF($U224="","",IF(INDEX('Per Invoice'!H$2:H$401,$U224)="","",INDEX('Per Invoice'!H$2:H$401,$U224)))</f>
        <v/>
      </c>
      <c r="I224" s="14">
        <f>IF($U224="","",IF(INDEX('Per Invoice'!I$2:I$401,$U224)="","",INDEX('Per Invoice'!I$2:I$401,$U224)))</f>
        <v/>
      </c>
      <c r="J224">
        <f>IF($U224="","",IF(INDEX('Per Invoice'!J$2:J$401,$U224)="","",INDEX('Per Invoice'!J$2:J$401,$U224)))</f>
        <v/>
      </c>
      <c r="K224">
        <f>IF($U224="","",IF(INDEX('Per Invoice'!K$2:K$401,$U224)="","",INDEX('Per Invoice'!K$2:K$401,$U224)))</f>
        <v/>
      </c>
      <c r="L224" s="7">
        <f>IF($U224="","",IF(INDEX('Per Invoice'!L$2:L$401,$U224)="","",INDEX('Per Invoice'!L$2:L$401,$U224)))</f>
        <v/>
      </c>
      <c r="M224" s="7">
        <f>IF($U224="","",IF(INDEX('Per Invoice'!M$2:M$401,$U224)="","",INDEX('Per Invoice'!M$2:M$401,$U224)))</f>
        <v/>
      </c>
      <c r="N224">
        <f>IF($U224="","",IF(INDEX('Per Invoice'!N$2:N$401,$U224)="","",INDEX('Per Invoice'!N$2:N$401,$U224)))</f>
        <v/>
      </c>
      <c r="O224" s="7">
        <f>IF($U224="","",IF(INDEX('Per Invoice'!O$2:O$401,$U224)="","",INDEX('Per Invoice'!O$2:O$401,$U224)))</f>
        <v/>
      </c>
      <c r="P224" s="7">
        <f>IF($U224="","",IF(INDEX('Per Invoice'!P$2:P$401,$U224)="","",INDEX('Per Invoice'!P$2:P$401,$U224)))</f>
        <v/>
      </c>
      <c r="Q224" s="7">
        <f>IF($U224="","",IF(INDEX('Per Invoice'!Q$2:Q$401,$U224)="","",INDEX('Per Invoice'!Q$2:Q$401,$U224)))</f>
        <v/>
      </c>
      <c r="R224" s="7">
        <f>IF($U224="","",IF(INDEX('Per Invoice'!R$2:R$401,$U224)="","",INDEX('Per Invoice'!R$2:R$401,$U224)))</f>
        <v/>
      </c>
      <c r="S224" s="7">
        <f>IF($U224="","",IF(INDEX('Per Invoice'!S$2:S$401,$U224)="","",INDEX('Per Invoice'!S$2:S$401,$U224)))</f>
        <v/>
      </c>
      <c r="T224" s="7">
        <f>IF($U224="","",IF(INDEX('Per Invoice'!T$2:T$401,$U224)="","",INDEX('Per Invoice'!T$2:T$401,$U224)))</f>
        <v/>
      </c>
      <c r="U224" s="16">
        <f>IFERROR(MATCH(Settings!$C$27&amp;"|"&amp;ROWS($U$2:$U224),'Per Invoice'!$V$2:$V$401,0),"")</f>
        <v/>
      </c>
    </row>
    <row r="225">
      <c r="A225">
        <f>IF($U225="","",IF(INDEX('Per Invoice'!A$2:A$401,$U225)="","",INDEX('Per Invoice'!A$2:A$401,$U225)))</f>
        <v/>
      </c>
      <c r="B225">
        <f>IF($U225="","",IF(INDEX('Per Invoice'!B$2:B$401,$U225)="","",INDEX('Per Invoice'!B$2:B$401,$U225)))</f>
        <v/>
      </c>
      <c r="C225">
        <f>IF($U225="","",IF(INDEX('Per Invoice'!C$2:C$401,$U225)="","",INDEX('Per Invoice'!C$2:C$401,$U225)))</f>
        <v/>
      </c>
      <c r="D225">
        <f>IF($U225="","",IF(INDEX('Per Invoice'!D$2:D$401,$U225)="","",INDEX('Per Invoice'!D$2:D$401,$U225)))</f>
        <v/>
      </c>
      <c r="E225">
        <f>IF($U225="","",IF(INDEX('Per Invoice'!E$2:E$401,$U225)="","",INDEX('Per Invoice'!E$2:E$401,$U225)))</f>
        <v/>
      </c>
      <c r="F225">
        <f>IF($U225="","",IF(INDEX('Per Invoice'!F$2:F$401,$U225)="","",INDEX('Per Invoice'!F$2:F$401,$U225)))</f>
        <v/>
      </c>
      <c r="G225">
        <f>IF($U225="","",IF(INDEX('Per Invoice'!G$2:G$401,$U225)="","",INDEX('Per Invoice'!G$2:G$401,$U225)))</f>
        <v/>
      </c>
      <c r="H225" s="7">
        <f>IF($U225="","",IF(INDEX('Per Invoice'!H$2:H$401,$U225)="","",INDEX('Per Invoice'!H$2:H$401,$U225)))</f>
        <v/>
      </c>
      <c r="I225" s="14">
        <f>IF($U225="","",IF(INDEX('Per Invoice'!I$2:I$401,$U225)="","",INDEX('Per Invoice'!I$2:I$401,$U225)))</f>
        <v/>
      </c>
      <c r="J225">
        <f>IF($U225="","",IF(INDEX('Per Invoice'!J$2:J$401,$U225)="","",INDEX('Per Invoice'!J$2:J$401,$U225)))</f>
        <v/>
      </c>
      <c r="K225">
        <f>IF($U225="","",IF(INDEX('Per Invoice'!K$2:K$401,$U225)="","",INDEX('Per Invoice'!K$2:K$401,$U225)))</f>
        <v/>
      </c>
      <c r="L225" s="7">
        <f>IF($U225="","",IF(INDEX('Per Invoice'!L$2:L$401,$U225)="","",INDEX('Per Invoice'!L$2:L$401,$U225)))</f>
        <v/>
      </c>
      <c r="M225" s="7">
        <f>IF($U225="","",IF(INDEX('Per Invoice'!M$2:M$401,$U225)="","",INDEX('Per Invoice'!M$2:M$401,$U225)))</f>
        <v/>
      </c>
      <c r="N225">
        <f>IF($U225="","",IF(INDEX('Per Invoice'!N$2:N$401,$U225)="","",INDEX('Per Invoice'!N$2:N$401,$U225)))</f>
        <v/>
      </c>
      <c r="O225" s="7">
        <f>IF($U225="","",IF(INDEX('Per Invoice'!O$2:O$401,$U225)="","",INDEX('Per Invoice'!O$2:O$401,$U225)))</f>
        <v/>
      </c>
      <c r="P225" s="7">
        <f>IF($U225="","",IF(INDEX('Per Invoice'!P$2:P$401,$U225)="","",INDEX('Per Invoice'!P$2:P$401,$U225)))</f>
        <v/>
      </c>
      <c r="Q225" s="7">
        <f>IF($U225="","",IF(INDEX('Per Invoice'!Q$2:Q$401,$U225)="","",INDEX('Per Invoice'!Q$2:Q$401,$U225)))</f>
        <v/>
      </c>
      <c r="R225" s="7">
        <f>IF($U225="","",IF(INDEX('Per Invoice'!R$2:R$401,$U225)="","",INDEX('Per Invoice'!R$2:R$401,$U225)))</f>
        <v/>
      </c>
      <c r="S225" s="7">
        <f>IF($U225="","",IF(INDEX('Per Invoice'!S$2:S$401,$U225)="","",INDEX('Per Invoice'!S$2:S$401,$U225)))</f>
        <v/>
      </c>
      <c r="T225" s="7">
        <f>IF($U225="","",IF(INDEX('Per Invoice'!T$2:T$401,$U225)="","",INDEX('Per Invoice'!T$2:T$401,$U225)))</f>
        <v/>
      </c>
      <c r="U225" s="16">
        <f>IFERROR(MATCH(Settings!$C$27&amp;"|"&amp;ROWS($U$2:$U225),'Per Invoice'!$V$2:$V$401,0),"")</f>
        <v/>
      </c>
    </row>
    <row r="226">
      <c r="A226">
        <f>IF($U226="","",IF(INDEX('Per Invoice'!A$2:A$401,$U226)="","",INDEX('Per Invoice'!A$2:A$401,$U226)))</f>
        <v/>
      </c>
      <c r="B226">
        <f>IF($U226="","",IF(INDEX('Per Invoice'!B$2:B$401,$U226)="","",INDEX('Per Invoice'!B$2:B$401,$U226)))</f>
        <v/>
      </c>
      <c r="C226">
        <f>IF($U226="","",IF(INDEX('Per Invoice'!C$2:C$401,$U226)="","",INDEX('Per Invoice'!C$2:C$401,$U226)))</f>
        <v/>
      </c>
      <c r="D226">
        <f>IF($U226="","",IF(INDEX('Per Invoice'!D$2:D$401,$U226)="","",INDEX('Per Invoice'!D$2:D$401,$U226)))</f>
        <v/>
      </c>
      <c r="E226">
        <f>IF($U226="","",IF(INDEX('Per Invoice'!E$2:E$401,$U226)="","",INDEX('Per Invoice'!E$2:E$401,$U226)))</f>
        <v/>
      </c>
      <c r="F226">
        <f>IF($U226="","",IF(INDEX('Per Invoice'!F$2:F$401,$U226)="","",INDEX('Per Invoice'!F$2:F$401,$U226)))</f>
        <v/>
      </c>
      <c r="G226">
        <f>IF($U226="","",IF(INDEX('Per Invoice'!G$2:G$401,$U226)="","",INDEX('Per Invoice'!G$2:G$401,$U226)))</f>
        <v/>
      </c>
      <c r="H226" s="7">
        <f>IF($U226="","",IF(INDEX('Per Invoice'!H$2:H$401,$U226)="","",INDEX('Per Invoice'!H$2:H$401,$U226)))</f>
        <v/>
      </c>
      <c r="I226" s="14">
        <f>IF($U226="","",IF(INDEX('Per Invoice'!I$2:I$401,$U226)="","",INDEX('Per Invoice'!I$2:I$401,$U226)))</f>
        <v/>
      </c>
      <c r="J226">
        <f>IF($U226="","",IF(INDEX('Per Invoice'!J$2:J$401,$U226)="","",INDEX('Per Invoice'!J$2:J$401,$U226)))</f>
        <v/>
      </c>
      <c r="K226">
        <f>IF($U226="","",IF(INDEX('Per Invoice'!K$2:K$401,$U226)="","",INDEX('Per Invoice'!K$2:K$401,$U226)))</f>
        <v/>
      </c>
      <c r="L226" s="7">
        <f>IF($U226="","",IF(INDEX('Per Invoice'!L$2:L$401,$U226)="","",INDEX('Per Invoice'!L$2:L$401,$U226)))</f>
        <v/>
      </c>
      <c r="M226" s="7">
        <f>IF($U226="","",IF(INDEX('Per Invoice'!M$2:M$401,$U226)="","",INDEX('Per Invoice'!M$2:M$401,$U226)))</f>
        <v/>
      </c>
      <c r="N226">
        <f>IF($U226="","",IF(INDEX('Per Invoice'!N$2:N$401,$U226)="","",INDEX('Per Invoice'!N$2:N$401,$U226)))</f>
        <v/>
      </c>
      <c r="O226" s="7">
        <f>IF($U226="","",IF(INDEX('Per Invoice'!O$2:O$401,$U226)="","",INDEX('Per Invoice'!O$2:O$401,$U226)))</f>
        <v/>
      </c>
      <c r="P226" s="7">
        <f>IF($U226="","",IF(INDEX('Per Invoice'!P$2:P$401,$U226)="","",INDEX('Per Invoice'!P$2:P$401,$U226)))</f>
        <v/>
      </c>
      <c r="Q226" s="7">
        <f>IF($U226="","",IF(INDEX('Per Invoice'!Q$2:Q$401,$U226)="","",INDEX('Per Invoice'!Q$2:Q$401,$U226)))</f>
        <v/>
      </c>
      <c r="R226" s="7">
        <f>IF($U226="","",IF(INDEX('Per Invoice'!R$2:R$401,$U226)="","",INDEX('Per Invoice'!R$2:R$401,$U226)))</f>
        <v/>
      </c>
      <c r="S226" s="7">
        <f>IF($U226="","",IF(INDEX('Per Invoice'!S$2:S$401,$U226)="","",INDEX('Per Invoice'!S$2:S$401,$U226)))</f>
        <v/>
      </c>
      <c r="T226" s="7">
        <f>IF($U226="","",IF(INDEX('Per Invoice'!T$2:T$401,$U226)="","",INDEX('Per Invoice'!T$2:T$401,$U226)))</f>
        <v/>
      </c>
      <c r="U226" s="16">
        <f>IFERROR(MATCH(Settings!$C$27&amp;"|"&amp;ROWS($U$2:$U226),'Per Invoice'!$V$2:$V$401,0),"")</f>
        <v/>
      </c>
    </row>
    <row r="227">
      <c r="A227">
        <f>IF($U227="","",IF(INDEX('Per Invoice'!A$2:A$401,$U227)="","",INDEX('Per Invoice'!A$2:A$401,$U227)))</f>
        <v/>
      </c>
      <c r="B227">
        <f>IF($U227="","",IF(INDEX('Per Invoice'!B$2:B$401,$U227)="","",INDEX('Per Invoice'!B$2:B$401,$U227)))</f>
        <v/>
      </c>
      <c r="C227">
        <f>IF($U227="","",IF(INDEX('Per Invoice'!C$2:C$401,$U227)="","",INDEX('Per Invoice'!C$2:C$401,$U227)))</f>
        <v/>
      </c>
      <c r="D227">
        <f>IF($U227="","",IF(INDEX('Per Invoice'!D$2:D$401,$U227)="","",INDEX('Per Invoice'!D$2:D$401,$U227)))</f>
        <v/>
      </c>
      <c r="E227">
        <f>IF($U227="","",IF(INDEX('Per Invoice'!E$2:E$401,$U227)="","",INDEX('Per Invoice'!E$2:E$401,$U227)))</f>
        <v/>
      </c>
      <c r="F227">
        <f>IF($U227="","",IF(INDEX('Per Invoice'!F$2:F$401,$U227)="","",INDEX('Per Invoice'!F$2:F$401,$U227)))</f>
        <v/>
      </c>
      <c r="G227">
        <f>IF($U227="","",IF(INDEX('Per Invoice'!G$2:G$401,$U227)="","",INDEX('Per Invoice'!G$2:G$401,$U227)))</f>
        <v/>
      </c>
      <c r="H227" s="7">
        <f>IF($U227="","",IF(INDEX('Per Invoice'!H$2:H$401,$U227)="","",INDEX('Per Invoice'!H$2:H$401,$U227)))</f>
        <v/>
      </c>
      <c r="I227" s="14">
        <f>IF($U227="","",IF(INDEX('Per Invoice'!I$2:I$401,$U227)="","",INDEX('Per Invoice'!I$2:I$401,$U227)))</f>
        <v/>
      </c>
      <c r="J227">
        <f>IF($U227="","",IF(INDEX('Per Invoice'!J$2:J$401,$U227)="","",INDEX('Per Invoice'!J$2:J$401,$U227)))</f>
        <v/>
      </c>
      <c r="K227">
        <f>IF($U227="","",IF(INDEX('Per Invoice'!K$2:K$401,$U227)="","",INDEX('Per Invoice'!K$2:K$401,$U227)))</f>
        <v/>
      </c>
      <c r="L227" s="7">
        <f>IF($U227="","",IF(INDEX('Per Invoice'!L$2:L$401,$U227)="","",INDEX('Per Invoice'!L$2:L$401,$U227)))</f>
        <v/>
      </c>
      <c r="M227" s="7">
        <f>IF($U227="","",IF(INDEX('Per Invoice'!M$2:M$401,$U227)="","",INDEX('Per Invoice'!M$2:M$401,$U227)))</f>
        <v/>
      </c>
      <c r="N227">
        <f>IF($U227="","",IF(INDEX('Per Invoice'!N$2:N$401,$U227)="","",INDEX('Per Invoice'!N$2:N$401,$U227)))</f>
        <v/>
      </c>
      <c r="O227" s="7">
        <f>IF($U227="","",IF(INDEX('Per Invoice'!O$2:O$401,$U227)="","",INDEX('Per Invoice'!O$2:O$401,$U227)))</f>
        <v/>
      </c>
      <c r="P227" s="7">
        <f>IF($U227="","",IF(INDEX('Per Invoice'!P$2:P$401,$U227)="","",INDEX('Per Invoice'!P$2:P$401,$U227)))</f>
        <v/>
      </c>
      <c r="Q227" s="7">
        <f>IF($U227="","",IF(INDEX('Per Invoice'!Q$2:Q$401,$U227)="","",INDEX('Per Invoice'!Q$2:Q$401,$U227)))</f>
        <v/>
      </c>
      <c r="R227" s="7">
        <f>IF($U227="","",IF(INDEX('Per Invoice'!R$2:R$401,$U227)="","",INDEX('Per Invoice'!R$2:R$401,$U227)))</f>
        <v/>
      </c>
      <c r="S227" s="7">
        <f>IF($U227="","",IF(INDEX('Per Invoice'!S$2:S$401,$U227)="","",INDEX('Per Invoice'!S$2:S$401,$U227)))</f>
        <v/>
      </c>
      <c r="T227" s="7">
        <f>IF($U227="","",IF(INDEX('Per Invoice'!T$2:T$401,$U227)="","",INDEX('Per Invoice'!T$2:T$401,$U227)))</f>
        <v/>
      </c>
      <c r="U227" s="16">
        <f>IFERROR(MATCH(Settings!$C$27&amp;"|"&amp;ROWS($U$2:$U227),'Per Invoice'!$V$2:$V$401,0),"")</f>
        <v/>
      </c>
    </row>
    <row r="228">
      <c r="A228">
        <f>IF($U228="","",IF(INDEX('Per Invoice'!A$2:A$401,$U228)="","",INDEX('Per Invoice'!A$2:A$401,$U228)))</f>
        <v/>
      </c>
      <c r="B228">
        <f>IF($U228="","",IF(INDEX('Per Invoice'!B$2:B$401,$U228)="","",INDEX('Per Invoice'!B$2:B$401,$U228)))</f>
        <v/>
      </c>
      <c r="C228">
        <f>IF($U228="","",IF(INDEX('Per Invoice'!C$2:C$401,$U228)="","",INDEX('Per Invoice'!C$2:C$401,$U228)))</f>
        <v/>
      </c>
      <c r="D228">
        <f>IF($U228="","",IF(INDEX('Per Invoice'!D$2:D$401,$U228)="","",INDEX('Per Invoice'!D$2:D$401,$U228)))</f>
        <v/>
      </c>
      <c r="E228">
        <f>IF($U228="","",IF(INDEX('Per Invoice'!E$2:E$401,$U228)="","",INDEX('Per Invoice'!E$2:E$401,$U228)))</f>
        <v/>
      </c>
      <c r="F228">
        <f>IF($U228="","",IF(INDEX('Per Invoice'!F$2:F$401,$U228)="","",INDEX('Per Invoice'!F$2:F$401,$U228)))</f>
        <v/>
      </c>
      <c r="G228">
        <f>IF($U228="","",IF(INDEX('Per Invoice'!G$2:G$401,$U228)="","",INDEX('Per Invoice'!G$2:G$401,$U228)))</f>
        <v/>
      </c>
      <c r="H228" s="7">
        <f>IF($U228="","",IF(INDEX('Per Invoice'!H$2:H$401,$U228)="","",INDEX('Per Invoice'!H$2:H$401,$U228)))</f>
        <v/>
      </c>
      <c r="I228" s="14">
        <f>IF($U228="","",IF(INDEX('Per Invoice'!I$2:I$401,$U228)="","",INDEX('Per Invoice'!I$2:I$401,$U228)))</f>
        <v/>
      </c>
      <c r="J228">
        <f>IF($U228="","",IF(INDEX('Per Invoice'!J$2:J$401,$U228)="","",INDEX('Per Invoice'!J$2:J$401,$U228)))</f>
        <v/>
      </c>
      <c r="K228">
        <f>IF($U228="","",IF(INDEX('Per Invoice'!K$2:K$401,$U228)="","",INDEX('Per Invoice'!K$2:K$401,$U228)))</f>
        <v/>
      </c>
      <c r="L228" s="7">
        <f>IF($U228="","",IF(INDEX('Per Invoice'!L$2:L$401,$U228)="","",INDEX('Per Invoice'!L$2:L$401,$U228)))</f>
        <v/>
      </c>
      <c r="M228" s="7">
        <f>IF($U228="","",IF(INDEX('Per Invoice'!M$2:M$401,$U228)="","",INDEX('Per Invoice'!M$2:M$401,$U228)))</f>
        <v/>
      </c>
      <c r="N228">
        <f>IF($U228="","",IF(INDEX('Per Invoice'!N$2:N$401,$U228)="","",INDEX('Per Invoice'!N$2:N$401,$U228)))</f>
        <v/>
      </c>
      <c r="O228" s="7">
        <f>IF($U228="","",IF(INDEX('Per Invoice'!O$2:O$401,$U228)="","",INDEX('Per Invoice'!O$2:O$401,$U228)))</f>
        <v/>
      </c>
      <c r="P228" s="7">
        <f>IF($U228="","",IF(INDEX('Per Invoice'!P$2:P$401,$U228)="","",INDEX('Per Invoice'!P$2:P$401,$U228)))</f>
        <v/>
      </c>
      <c r="Q228" s="7">
        <f>IF($U228="","",IF(INDEX('Per Invoice'!Q$2:Q$401,$U228)="","",INDEX('Per Invoice'!Q$2:Q$401,$U228)))</f>
        <v/>
      </c>
      <c r="R228" s="7">
        <f>IF($U228="","",IF(INDEX('Per Invoice'!R$2:R$401,$U228)="","",INDEX('Per Invoice'!R$2:R$401,$U228)))</f>
        <v/>
      </c>
      <c r="S228" s="7">
        <f>IF($U228="","",IF(INDEX('Per Invoice'!S$2:S$401,$U228)="","",INDEX('Per Invoice'!S$2:S$401,$U228)))</f>
        <v/>
      </c>
      <c r="T228" s="7">
        <f>IF($U228="","",IF(INDEX('Per Invoice'!T$2:T$401,$U228)="","",INDEX('Per Invoice'!T$2:T$401,$U228)))</f>
        <v/>
      </c>
      <c r="U228" s="16">
        <f>IFERROR(MATCH(Settings!$C$27&amp;"|"&amp;ROWS($U$2:$U228),'Per Invoice'!$V$2:$V$401,0),"")</f>
        <v/>
      </c>
    </row>
    <row r="229">
      <c r="A229">
        <f>IF($U229="","",IF(INDEX('Per Invoice'!A$2:A$401,$U229)="","",INDEX('Per Invoice'!A$2:A$401,$U229)))</f>
        <v/>
      </c>
      <c r="B229">
        <f>IF($U229="","",IF(INDEX('Per Invoice'!B$2:B$401,$U229)="","",INDEX('Per Invoice'!B$2:B$401,$U229)))</f>
        <v/>
      </c>
      <c r="C229">
        <f>IF($U229="","",IF(INDEX('Per Invoice'!C$2:C$401,$U229)="","",INDEX('Per Invoice'!C$2:C$401,$U229)))</f>
        <v/>
      </c>
      <c r="D229">
        <f>IF($U229="","",IF(INDEX('Per Invoice'!D$2:D$401,$U229)="","",INDEX('Per Invoice'!D$2:D$401,$U229)))</f>
        <v/>
      </c>
      <c r="E229">
        <f>IF($U229="","",IF(INDEX('Per Invoice'!E$2:E$401,$U229)="","",INDEX('Per Invoice'!E$2:E$401,$U229)))</f>
        <v/>
      </c>
      <c r="F229">
        <f>IF($U229="","",IF(INDEX('Per Invoice'!F$2:F$401,$U229)="","",INDEX('Per Invoice'!F$2:F$401,$U229)))</f>
        <v/>
      </c>
      <c r="G229">
        <f>IF($U229="","",IF(INDEX('Per Invoice'!G$2:G$401,$U229)="","",INDEX('Per Invoice'!G$2:G$401,$U229)))</f>
        <v/>
      </c>
      <c r="H229" s="7">
        <f>IF($U229="","",IF(INDEX('Per Invoice'!H$2:H$401,$U229)="","",INDEX('Per Invoice'!H$2:H$401,$U229)))</f>
        <v/>
      </c>
      <c r="I229" s="14">
        <f>IF($U229="","",IF(INDEX('Per Invoice'!I$2:I$401,$U229)="","",INDEX('Per Invoice'!I$2:I$401,$U229)))</f>
        <v/>
      </c>
      <c r="J229">
        <f>IF($U229="","",IF(INDEX('Per Invoice'!J$2:J$401,$U229)="","",INDEX('Per Invoice'!J$2:J$401,$U229)))</f>
        <v/>
      </c>
      <c r="K229">
        <f>IF($U229="","",IF(INDEX('Per Invoice'!K$2:K$401,$U229)="","",INDEX('Per Invoice'!K$2:K$401,$U229)))</f>
        <v/>
      </c>
      <c r="L229" s="7">
        <f>IF($U229="","",IF(INDEX('Per Invoice'!L$2:L$401,$U229)="","",INDEX('Per Invoice'!L$2:L$401,$U229)))</f>
        <v/>
      </c>
      <c r="M229" s="7">
        <f>IF($U229="","",IF(INDEX('Per Invoice'!M$2:M$401,$U229)="","",INDEX('Per Invoice'!M$2:M$401,$U229)))</f>
        <v/>
      </c>
      <c r="N229">
        <f>IF($U229="","",IF(INDEX('Per Invoice'!N$2:N$401,$U229)="","",INDEX('Per Invoice'!N$2:N$401,$U229)))</f>
        <v/>
      </c>
      <c r="O229" s="7">
        <f>IF($U229="","",IF(INDEX('Per Invoice'!O$2:O$401,$U229)="","",INDEX('Per Invoice'!O$2:O$401,$U229)))</f>
        <v/>
      </c>
      <c r="P229" s="7">
        <f>IF($U229="","",IF(INDEX('Per Invoice'!P$2:P$401,$U229)="","",INDEX('Per Invoice'!P$2:P$401,$U229)))</f>
        <v/>
      </c>
      <c r="Q229" s="7">
        <f>IF($U229="","",IF(INDEX('Per Invoice'!Q$2:Q$401,$U229)="","",INDEX('Per Invoice'!Q$2:Q$401,$U229)))</f>
        <v/>
      </c>
      <c r="R229" s="7">
        <f>IF($U229="","",IF(INDEX('Per Invoice'!R$2:R$401,$U229)="","",INDEX('Per Invoice'!R$2:R$401,$U229)))</f>
        <v/>
      </c>
      <c r="S229" s="7">
        <f>IF($U229="","",IF(INDEX('Per Invoice'!S$2:S$401,$U229)="","",INDEX('Per Invoice'!S$2:S$401,$U229)))</f>
        <v/>
      </c>
      <c r="T229" s="7">
        <f>IF($U229="","",IF(INDEX('Per Invoice'!T$2:T$401,$U229)="","",INDEX('Per Invoice'!T$2:T$401,$U229)))</f>
        <v/>
      </c>
      <c r="U229" s="16">
        <f>IFERROR(MATCH(Settings!$C$27&amp;"|"&amp;ROWS($U$2:$U229),'Per Invoice'!$V$2:$V$401,0),"")</f>
        <v/>
      </c>
    </row>
    <row r="230">
      <c r="A230">
        <f>IF($U230="","",IF(INDEX('Per Invoice'!A$2:A$401,$U230)="","",INDEX('Per Invoice'!A$2:A$401,$U230)))</f>
        <v/>
      </c>
      <c r="B230">
        <f>IF($U230="","",IF(INDEX('Per Invoice'!B$2:B$401,$U230)="","",INDEX('Per Invoice'!B$2:B$401,$U230)))</f>
        <v/>
      </c>
      <c r="C230">
        <f>IF($U230="","",IF(INDEX('Per Invoice'!C$2:C$401,$U230)="","",INDEX('Per Invoice'!C$2:C$401,$U230)))</f>
        <v/>
      </c>
      <c r="D230">
        <f>IF($U230="","",IF(INDEX('Per Invoice'!D$2:D$401,$U230)="","",INDEX('Per Invoice'!D$2:D$401,$U230)))</f>
        <v/>
      </c>
      <c r="E230">
        <f>IF($U230="","",IF(INDEX('Per Invoice'!E$2:E$401,$U230)="","",INDEX('Per Invoice'!E$2:E$401,$U230)))</f>
        <v/>
      </c>
      <c r="F230">
        <f>IF($U230="","",IF(INDEX('Per Invoice'!F$2:F$401,$U230)="","",INDEX('Per Invoice'!F$2:F$401,$U230)))</f>
        <v/>
      </c>
      <c r="G230">
        <f>IF($U230="","",IF(INDEX('Per Invoice'!G$2:G$401,$U230)="","",INDEX('Per Invoice'!G$2:G$401,$U230)))</f>
        <v/>
      </c>
      <c r="H230" s="7">
        <f>IF($U230="","",IF(INDEX('Per Invoice'!H$2:H$401,$U230)="","",INDEX('Per Invoice'!H$2:H$401,$U230)))</f>
        <v/>
      </c>
      <c r="I230" s="14">
        <f>IF($U230="","",IF(INDEX('Per Invoice'!I$2:I$401,$U230)="","",INDEX('Per Invoice'!I$2:I$401,$U230)))</f>
        <v/>
      </c>
      <c r="J230">
        <f>IF($U230="","",IF(INDEX('Per Invoice'!J$2:J$401,$U230)="","",INDEX('Per Invoice'!J$2:J$401,$U230)))</f>
        <v/>
      </c>
      <c r="K230">
        <f>IF($U230="","",IF(INDEX('Per Invoice'!K$2:K$401,$U230)="","",INDEX('Per Invoice'!K$2:K$401,$U230)))</f>
        <v/>
      </c>
      <c r="L230" s="7">
        <f>IF($U230="","",IF(INDEX('Per Invoice'!L$2:L$401,$U230)="","",INDEX('Per Invoice'!L$2:L$401,$U230)))</f>
        <v/>
      </c>
      <c r="M230" s="7">
        <f>IF($U230="","",IF(INDEX('Per Invoice'!M$2:M$401,$U230)="","",INDEX('Per Invoice'!M$2:M$401,$U230)))</f>
        <v/>
      </c>
      <c r="N230">
        <f>IF($U230="","",IF(INDEX('Per Invoice'!N$2:N$401,$U230)="","",INDEX('Per Invoice'!N$2:N$401,$U230)))</f>
        <v/>
      </c>
      <c r="O230" s="7">
        <f>IF($U230="","",IF(INDEX('Per Invoice'!O$2:O$401,$U230)="","",INDEX('Per Invoice'!O$2:O$401,$U230)))</f>
        <v/>
      </c>
      <c r="P230" s="7">
        <f>IF($U230="","",IF(INDEX('Per Invoice'!P$2:P$401,$U230)="","",INDEX('Per Invoice'!P$2:P$401,$U230)))</f>
        <v/>
      </c>
      <c r="Q230" s="7">
        <f>IF($U230="","",IF(INDEX('Per Invoice'!Q$2:Q$401,$U230)="","",INDEX('Per Invoice'!Q$2:Q$401,$U230)))</f>
        <v/>
      </c>
      <c r="R230" s="7">
        <f>IF($U230="","",IF(INDEX('Per Invoice'!R$2:R$401,$U230)="","",INDEX('Per Invoice'!R$2:R$401,$U230)))</f>
        <v/>
      </c>
      <c r="S230" s="7">
        <f>IF($U230="","",IF(INDEX('Per Invoice'!S$2:S$401,$U230)="","",INDEX('Per Invoice'!S$2:S$401,$U230)))</f>
        <v/>
      </c>
      <c r="T230" s="7">
        <f>IF($U230="","",IF(INDEX('Per Invoice'!T$2:T$401,$U230)="","",INDEX('Per Invoice'!T$2:T$401,$U230)))</f>
        <v/>
      </c>
      <c r="U230" s="16">
        <f>IFERROR(MATCH(Settings!$C$27&amp;"|"&amp;ROWS($U$2:$U230),'Per Invoice'!$V$2:$V$401,0),"")</f>
        <v/>
      </c>
    </row>
    <row r="231">
      <c r="A231">
        <f>IF($U231="","",IF(INDEX('Per Invoice'!A$2:A$401,$U231)="","",INDEX('Per Invoice'!A$2:A$401,$U231)))</f>
        <v/>
      </c>
      <c r="B231">
        <f>IF($U231="","",IF(INDEX('Per Invoice'!B$2:B$401,$U231)="","",INDEX('Per Invoice'!B$2:B$401,$U231)))</f>
        <v/>
      </c>
      <c r="C231">
        <f>IF($U231="","",IF(INDEX('Per Invoice'!C$2:C$401,$U231)="","",INDEX('Per Invoice'!C$2:C$401,$U231)))</f>
        <v/>
      </c>
      <c r="D231">
        <f>IF($U231="","",IF(INDEX('Per Invoice'!D$2:D$401,$U231)="","",INDEX('Per Invoice'!D$2:D$401,$U231)))</f>
        <v/>
      </c>
      <c r="E231">
        <f>IF($U231="","",IF(INDEX('Per Invoice'!E$2:E$401,$U231)="","",INDEX('Per Invoice'!E$2:E$401,$U231)))</f>
        <v/>
      </c>
      <c r="F231">
        <f>IF($U231="","",IF(INDEX('Per Invoice'!F$2:F$401,$U231)="","",INDEX('Per Invoice'!F$2:F$401,$U231)))</f>
        <v/>
      </c>
      <c r="G231">
        <f>IF($U231="","",IF(INDEX('Per Invoice'!G$2:G$401,$U231)="","",INDEX('Per Invoice'!G$2:G$401,$U231)))</f>
        <v/>
      </c>
      <c r="H231" s="7">
        <f>IF($U231="","",IF(INDEX('Per Invoice'!H$2:H$401,$U231)="","",INDEX('Per Invoice'!H$2:H$401,$U231)))</f>
        <v/>
      </c>
      <c r="I231" s="14">
        <f>IF($U231="","",IF(INDEX('Per Invoice'!I$2:I$401,$U231)="","",INDEX('Per Invoice'!I$2:I$401,$U231)))</f>
        <v/>
      </c>
      <c r="J231">
        <f>IF($U231="","",IF(INDEX('Per Invoice'!J$2:J$401,$U231)="","",INDEX('Per Invoice'!J$2:J$401,$U231)))</f>
        <v/>
      </c>
      <c r="K231">
        <f>IF($U231="","",IF(INDEX('Per Invoice'!K$2:K$401,$U231)="","",INDEX('Per Invoice'!K$2:K$401,$U231)))</f>
        <v/>
      </c>
      <c r="L231" s="7">
        <f>IF($U231="","",IF(INDEX('Per Invoice'!L$2:L$401,$U231)="","",INDEX('Per Invoice'!L$2:L$401,$U231)))</f>
        <v/>
      </c>
      <c r="M231" s="7">
        <f>IF($U231="","",IF(INDEX('Per Invoice'!M$2:M$401,$U231)="","",INDEX('Per Invoice'!M$2:M$401,$U231)))</f>
        <v/>
      </c>
      <c r="N231">
        <f>IF($U231="","",IF(INDEX('Per Invoice'!N$2:N$401,$U231)="","",INDEX('Per Invoice'!N$2:N$401,$U231)))</f>
        <v/>
      </c>
      <c r="O231" s="7">
        <f>IF($U231="","",IF(INDEX('Per Invoice'!O$2:O$401,$U231)="","",INDEX('Per Invoice'!O$2:O$401,$U231)))</f>
        <v/>
      </c>
      <c r="P231" s="7">
        <f>IF($U231="","",IF(INDEX('Per Invoice'!P$2:P$401,$U231)="","",INDEX('Per Invoice'!P$2:P$401,$U231)))</f>
        <v/>
      </c>
      <c r="Q231" s="7">
        <f>IF($U231="","",IF(INDEX('Per Invoice'!Q$2:Q$401,$U231)="","",INDEX('Per Invoice'!Q$2:Q$401,$U231)))</f>
        <v/>
      </c>
      <c r="R231" s="7">
        <f>IF($U231="","",IF(INDEX('Per Invoice'!R$2:R$401,$U231)="","",INDEX('Per Invoice'!R$2:R$401,$U231)))</f>
        <v/>
      </c>
      <c r="S231" s="7">
        <f>IF($U231="","",IF(INDEX('Per Invoice'!S$2:S$401,$U231)="","",INDEX('Per Invoice'!S$2:S$401,$U231)))</f>
        <v/>
      </c>
      <c r="T231" s="7">
        <f>IF($U231="","",IF(INDEX('Per Invoice'!T$2:T$401,$U231)="","",INDEX('Per Invoice'!T$2:T$401,$U231)))</f>
        <v/>
      </c>
      <c r="U231" s="16">
        <f>IFERROR(MATCH(Settings!$C$27&amp;"|"&amp;ROWS($U$2:$U231),'Per Invoice'!$V$2:$V$401,0),"")</f>
        <v/>
      </c>
    </row>
    <row r="232">
      <c r="A232">
        <f>IF($U232="","",IF(INDEX('Per Invoice'!A$2:A$401,$U232)="","",INDEX('Per Invoice'!A$2:A$401,$U232)))</f>
        <v/>
      </c>
      <c r="B232">
        <f>IF($U232="","",IF(INDEX('Per Invoice'!B$2:B$401,$U232)="","",INDEX('Per Invoice'!B$2:B$401,$U232)))</f>
        <v/>
      </c>
      <c r="C232">
        <f>IF($U232="","",IF(INDEX('Per Invoice'!C$2:C$401,$U232)="","",INDEX('Per Invoice'!C$2:C$401,$U232)))</f>
        <v/>
      </c>
      <c r="D232">
        <f>IF($U232="","",IF(INDEX('Per Invoice'!D$2:D$401,$U232)="","",INDEX('Per Invoice'!D$2:D$401,$U232)))</f>
        <v/>
      </c>
      <c r="E232">
        <f>IF($U232="","",IF(INDEX('Per Invoice'!E$2:E$401,$U232)="","",INDEX('Per Invoice'!E$2:E$401,$U232)))</f>
        <v/>
      </c>
      <c r="F232">
        <f>IF($U232="","",IF(INDEX('Per Invoice'!F$2:F$401,$U232)="","",INDEX('Per Invoice'!F$2:F$401,$U232)))</f>
        <v/>
      </c>
      <c r="G232">
        <f>IF($U232="","",IF(INDEX('Per Invoice'!G$2:G$401,$U232)="","",INDEX('Per Invoice'!G$2:G$401,$U232)))</f>
        <v/>
      </c>
      <c r="H232" s="7">
        <f>IF($U232="","",IF(INDEX('Per Invoice'!H$2:H$401,$U232)="","",INDEX('Per Invoice'!H$2:H$401,$U232)))</f>
        <v/>
      </c>
      <c r="I232" s="14">
        <f>IF($U232="","",IF(INDEX('Per Invoice'!I$2:I$401,$U232)="","",INDEX('Per Invoice'!I$2:I$401,$U232)))</f>
        <v/>
      </c>
      <c r="J232">
        <f>IF($U232="","",IF(INDEX('Per Invoice'!J$2:J$401,$U232)="","",INDEX('Per Invoice'!J$2:J$401,$U232)))</f>
        <v/>
      </c>
      <c r="K232">
        <f>IF($U232="","",IF(INDEX('Per Invoice'!K$2:K$401,$U232)="","",INDEX('Per Invoice'!K$2:K$401,$U232)))</f>
        <v/>
      </c>
      <c r="L232" s="7">
        <f>IF($U232="","",IF(INDEX('Per Invoice'!L$2:L$401,$U232)="","",INDEX('Per Invoice'!L$2:L$401,$U232)))</f>
        <v/>
      </c>
      <c r="M232" s="7">
        <f>IF($U232="","",IF(INDEX('Per Invoice'!M$2:M$401,$U232)="","",INDEX('Per Invoice'!M$2:M$401,$U232)))</f>
        <v/>
      </c>
      <c r="N232">
        <f>IF($U232="","",IF(INDEX('Per Invoice'!N$2:N$401,$U232)="","",INDEX('Per Invoice'!N$2:N$401,$U232)))</f>
        <v/>
      </c>
      <c r="O232" s="7">
        <f>IF($U232="","",IF(INDEX('Per Invoice'!O$2:O$401,$U232)="","",INDEX('Per Invoice'!O$2:O$401,$U232)))</f>
        <v/>
      </c>
      <c r="P232" s="7">
        <f>IF($U232="","",IF(INDEX('Per Invoice'!P$2:P$401,$U232)="","",INDEX('Per Invoice'!P$2:P$401,$U232)))</f>
        <v/>
      </c>
      <c r="Q232" s="7">
        <f>IF($U232="","",IF(INDEX('Per Invoice'!Q$2:Q$401,$U232)="","",INDEX('Per Invoice'!Q$2:Q$401,$U232)))</f>
        <v/>
      </c>
      <c r="R232" s="7">
        <f>IF($U232="","",IF(INDEX('Per Invoice'!R$2:R$401,$U232)="","",INDEX('Per Invoice'!R$2:R$401,$U232)))</f>
        <v/>
      </c>
      <c r="S232" s="7">
        <f>IF($U232="","",IF(INDEX('Per Invoice'!S$2:S$401,$U232)="","",INDEX('Per Invoice'!S$2:S$401,$U232)))</f>
        <v/>
      </c>
      <c r="T232" s="7">
        <f>IF($U232="","",IF(INDEX('Per Invoice'!T$2:T$401,$U232)="","",INDEX('Per Invoice'!T$2:T$401,$U232)))</f>
        <v/>
      </c>
      <c r="U232" s="16">
        <f>IFERROR(MATCH(Settings!$C$27&amp;"|"&amp;ROWS($U$2:$U232),'Per Invoice'!$V$2:$V$401,0),"")</f>
        <v/>
      </c>
    </row>
    <row r="233">
      <c r="A233">
        <f>IF($U233="","",IF(INDEX('Per Invoice'!A$2:A$401,$U233)="","",INDEX('Per Invoice'!A$2:A$401,$U233)))</f>
        <v/>
      </c>
      <c r="B233">
        <f>IF($U233="","",IF(INDEX('Per Invoice'!B$2:B$401,$U233)="","",INDEX('Per Invoice'!B$2:B$401,$U233)))</f>
        <v/>
      </c>
      <c r="C233">
        <f>IF($U233="","",IF(INDEX('Per Invoice'!C$2:C$401,$U233)="","",INDEX('Per Invoice'!C$2:C$401,$U233)))</f>
        <v/>
      </c>
      <c r="D233">
        <f>IF($U233="","",IF(INDEX('Per Invoice'!D$2:D$401,$U233)="","",INDEX('Per Invoice'!D$2:D$401,$U233)))</f>
        <v/>
      </c>
      <c r="E233">
        <f>IF($U233="","",IF(INDEX('Per Invoice'!E$2:E$401,$U233)="","",INDEX('Per Invoice'!E$2:E$401,$U233)))</f>
        <v/>
      </c>
      <c r="F233">
        <f>IF($U233="","",IF(INDEX('Per Invoice'!F$2:F$401,$U233)="","",INDEX('Per Invoice'!F$2:F$401,$U233)))</f>
        <v/>
      </c>
      <c r="G233">
        <f>IF($U233="","",IF(INDEX('Per Invoice'!G$2:G$401,$U233)="","",INDEX('Per Invoice'!G$2:G$401,$U233)))</f>
        <v/>
      </c>
      <c r="H233" s="7">
        <f>IF($U233="","",IF(INDEX('Per Invoice'!H$2:H$401,$U233)="","",INDEX('Per Invoice'!H$2:H$401,$U233)))</f>
        <v/>
      </c>
      <c r="I233" s="14">
        <f>IF($U233="","",IF(INDEX('Per Invoice'!I$2:I$401,$U233)="","",INDEX('Per Invoice'!I$2:I$401,$U233)))</f>
        <v/>
      </c>
      <c r="J233">
        <f>IF($U233="","",IF(INDEX('Per Invoice'!J$2:J$401,$U233)="","",INDEX('Per Invoice'!J$2:J$401,$U233)))</f>
        <v/>
      </c>
      <c r="K233">
        <f>IF($U233="","",IF(INDEX('Per Invoice'!K$2:K$401,$U233)="","",INDEX('Per Invoice'!K$2:K$401,$U233)))</f>
        <v/>
      </c>
      <c r="L233" s="7">
        <f>IF($U233="","",IF(INDEX('Per Invoice'!L$2:L$401,$U233)="","",INDEX('Per Invoice'!L$2:L$401,$U233)))</f>
        <v/>
      </c>
      <c r="M233" s="7">
        <f>IF($U233="","",IF(INDEX('Per Invoice'!M$2:M$401,$U233)="","",INDEX('Per Invoice'!M$2:M$401,$U233)))</f>
        <v/>
      </c>
      <c r="N233">
        <f>IF($U233="","",IF(INDEX('Per Invoice'!N$2:N$401,$U233)="","",INDEX('Per Invoice'!N$2:N$401,$U233)))</f>
        <v/>
      </c>
      <c r="O233" s="7">
        <f>IF($U233="","",IF(INDEX('Per Invoice'!O$2:O$401,$U233)="","",INDEX('Per Invoice'!O$2:O$401,$U233)))</f>
        <v/>
      </c>
      <c r="P233" s="7">
        <f>IF($U233="","",IF(INDEX('Per Invoice'!P$2:P$401,$U233)="","",INDEX('Per Invoice'!P$2:P$401,$U233)))</f>
        <v/>
      </c>
      <c r="Q233" s="7">
        <f>IF($U233="","",IF(INDEX('Per Invoice'!Q$2:Q$401,$U233)="","",INDEX('Per Invoice'!Q$2:Q$401,$U233)))</f>
        <v/>
      </c>
      <c r="R233" s="7">
        <f>IF($U233="","",IF(INDEX('Per Invoice'!R$2:R$401,$U233)="","",INDEX('Per Invoice'!R$2:R$401,$U233)))</f>
        <v/>
      </c>
      <c r="S233" s="7">
        <f>IF($U233="","",IF(INDEX('Per Invoice'!S$2:S$401,$U233)="","",INDEX('Per Invoice'!S$2:S$401,$U233)))</f>
        <v/>
      </c>
      <c r="T233" s="7">
        <f>IF($U233="","",IF(INDEX('Per Invoice'!T$2:T$401,$U233)="","",INDEX('Per Invoice'!T$2:T$401,$U233)))</f>
        <v/>
      </c>
      <c r="U233" s="16">
        <f>IFERROR(MATCH(Settings!$C$27&amp;"|"&amp;ROWS($U$2:$U233),'Per Invoice'!$V$2:$V$401,0),"")</f>
        <v/>
      </c>
    </row>
    <row r="234">
      <c r="A234">
        <f>IF($U234="","",IF(INDEX('Per Invoice'!A$2:A$401,$U234)="","",INDEX('Per Invoice'!A$2:A$401,$U234)))</f>
        <v/>
      </c>
      <c r="B234">
        <f>IF($U234="","",IF(INDEX('Per Invoice'!B$2:B$401,$U234)="","",INDEX('Per Invoice'!B$2:B$401,$U234)))</f>
        <v/>
      </c>
      <c r="C234">
        <f>IF($U234="","",IF(INDEX('Per Invoice'!C$2:C$401,$U234)="","",INDEX('Per Invoice'!C$2:C$401,$U234)))</f>
        <v/>
      </c>
      <c r="D234">
        <f>IF($U234="","",IF(INDEX('Per Invoice'!D$2:D$401,$U234)="","",INDEX('Per Invoice'!D$2:D$401,$U234)))</f>
        <v/>
      </c>
      <c r="E234">
        <f>IF($U234="","",IF(INDEX('Per Invoice'!E$2:E$401,$U234)="","",INDEX('Per Invoice'!E$2:E$401,$U234)))</f>
        <v/>
      </c>
      <c r="F234">
        <f>IF($U234="","",IF(INDEX('Per Invoice'!F$2:F$401,$U234)="","",INDEX('Per Invoice'!F$2:F$401,$U234)))</f>
        <v/>
      </c>
      <c r="G234">
        <f>IF($U234="","",IF(INDEX('Per Invoice'!G$2:G$401,$U234)="","",INDEX('Per Invoice'!G$2:G$401,$U234)))</f>
        <v/>
      </c>
      <c r="H234" s="7">
        <f>IF($U234="","",IF(INDEX('Per Invoice'!H$2:H$401,$U234)="","",INDEX('Per Invoice'!H$2:H$401,$U234)))</f>
        <v/>
      </c>
      <c r="I234" s="14">
        <f>IF($U234="","",IF(INDEX('Per Invoice'!I$2:I$401,$U234)="","",INDEX('Per Invoice'!I$2:I$401,$U234)))</f>
        <v/>
      </c>
      <c r="J234">
        <f>IF($U234="","",IF(INDEX('Per Invoice'!J$2:J$401,$U234)="","",INDEX('Per Invoice'!J$2:J$401,$U234)))</f>
        <v/>
      </c>
      <c r="K234">
        <f>IF($U234="","",IF(INDEX('Per Invoice'!K$2:K$401,$U234)="","",INDEX('Per Invoice'!K$2:K$401,$U234)))</f>
        <v/>
      </c>
      <c r="L234" s="7">
        <f>IF($U234="","",IF(INDEX('Per Invoice'!L$2:L$401,$U234)="","",INDEX('Per Invoice'!L$2:L$401,$U234)))</f>
        <v/>
      </c>
      <c r="M234" s="7">
        <f>IF($U234="","",IF(INDEX('Per Invoice'!M$2:M$401,$U234)="","",INDEX('Per Invoice'!M$2:M$401,$U234)))</f>
        <v/>
      </c>
      <c r="N234">
        <f>IF($U234="","",IF(INDEX('Per Invoice'!N$2:N$401,$U234)="","",INDEX('Per Invoice'!N$2:N$401,$U234)))</f>
        <v/>
      </c>
      <c r="O234" s="7">
        <f>IF($U234="","",IF(INDEX('Per Invoice'!O$2:O$401,$U234)="","",INDEX('Per Invoice'!O$2:O$401,$U234)))</f>
        <v/>
      </c>
      <c r="P234" s="7">
        <f>IF($U234="","",IF(INDEX('Per Invoice'!P$2:P$401,$U234)="","",INDEX('Per Invoice'!P$2:P$401,$U234)))</f>
        <v/>
      </c>
      <c r="Q234" s="7">
        <f>IF($U234="","",IF(INDEX('Per Invoice'!Q$2:Q$401,$U234)="","",INDEX('Per Invoice'!Q$2:Q$401,$U234)))</f>
        <v/>
      </c>
      <c r="R234" s="7">
        <f>IF($U234="","",IF(INDEX('Per Invoice'!R$2:R$401,$U234)="","",INDEX('Per Invoice'!R$2:R$401,$U234)))</f>
        <v/>
      </c>
      <c r="S234" s="7">
        <f>IF($U234="","",IF(INDEX('Per Invoice'!S$2:S$401,$U234)="","",INDEX('Per Invoice'!S$2:S$401,$U234)))</f>
        <v/>
      </c>
      <c r="T234" s="7">
        <f>IF($U234="","",IF(INDEX('Per Invoice'!T$2:T$401,$U234)="","",INDEX('Per Invoice'!T$2:T$401,$U234)))</f>
        <v/>
      </c>
      <c r="U234" s="16">
        <f>IFERROR(MATCH(Settings!$C$27&amp;"|"&amp;ROWS($U$2:$U234),'Per Invoice'!$V$2:$V$401,0),"")</f>
        <v/>
      </c>
    </row>
    <row r="235">
      <c r="A235">
        <f>IF($U235="","",IF(INDEX('Per Invoice'!A$2:A$401,$U235)="","",INDEX('Per Invoice'!A$2:A$401,$U235)))</f>
        <v/>
      </c>
      <c r="B235">
        <f>IF($U235="","",IF(INDEX('Per Invoice'!B$2:B$401,$U235)="","",INDEX('Per Invoice'!B$2:B$401,$U235)))</f>
        <v/>
      </c>
      <c r="C235">
        <f>IF($U235="","",IF(INDEX('Per Invoice'!C$2:C$401,$U235)="","",INDEX('Per Invoice'!C$2:C$401,$U235)))</f>
        <v/>
      </c>
      <c r="D235">
        <f>IF($U235="","",IF(INDEX('Per Invoice'!D$2:D$401,$U235)="","",INDEX('Per Invoice'!D$2:D$401,$U235)))</f>
        <v/>
      </c>
      <c r="E235">
        <f>IF($U235="","",IF(INDEX('Per Invoice'!E$2:E$401,$U235)="","",INDEX('Per Invoice'!E$2:E$401,$U235)))</f>
        <v/>
      </c>
      <c r="F235">
        <f>IF($U235="","",IF(INDEX('Per Invoice'!F$2:F$401,$U235)="","",INDEX('Per Invoice'!F$2:F$401,$U235)))</f>
        <v/>
      </c>
      <c r="G235">
        <f>IF($U235="","",IF(INDEX('Per Invoice'!G$2:G$401,$U235)="","",INDEX('Per Invoice'!G$2:G$401,$U235)))</f>
        <v/>
      </c>
      <c r="H235" s="7">
        <f>IF($U235="","",IF(INDEX('Per Invoice'!H$2:H$401,$U235)="","",INDEX('Per Invoice'!H$2:H$401,$U235)))</f>
        <v/>
      </c>
      <c r="I235" s="14">
        <f>IF($U235="","",IF(INDEX('Per Invoice'!I$2:I$401,$U235)="","",INDEX('Per Invoice'!I$2:I$401,$U235)))</f>
        <v/>
      </c>
      <c r="J235">
        <f>IF($U235="","",IF(INDEX('Per Invoice'!J$2:J$401,$U235)="","",INDEX('Per Invoice'!J$2:J$401,$U235)))</f>
        <v/>
      </c>
      <c r="K235">
        <f>IF($U235="","",IF(INDEX('Per Invoice'!K$2:K$401,$U235)="","",INDEX('Per Invoice'!K$2:K$401,$U235)))</f>
        <v/>
      </c>
      <c r="L235" s="7">
        <f>IF($U235="","",IF(INDEX('Per Invoice'!L$2:L$401,$U235)="","",INDEX('Per Invoice'!L$2:L$401,$U235)))</f>
        <v/>
      </c>
      <c r="M235" s="7">
        <f>IF($U235="","",IF(INDEX('Per Invoice'!M$2:M$401,$U235)="","",INDEX('Per Invoice'!M$2:M$401,$U235)))</f>
        <v/>
      </c>
      <c r="N235">
        <f>IF($U235="","",IF(INDEX('Per Invoice'!N$2:N$401,$U235)="","",INDEX('Per Invoice'!N$2:N$401,$U235)))</f>
        <v/>
      </c>
      <c r="O235" s="7">
        <f>IF($U235="","",IF(INDEX('Per Invoice'!O$2:O$401,$U235)="","",INDEX('Per Invoice'!O$2:O$401,$U235)))</f>
        <v/>
      </c>
      <c r="P235" s="7">
        <f>IF($U235="","",IF(INDEX('Per Invoice'!P$2:P$401,$U235)="","",INDEX('Per Invoice'!P$2:P$401,$U235)))</f>
        <v/>
      </c>
      <c r="Q235" s="7">
        <f>IF($U235="","",IF(INDEX('Per Invoice'!Q$2:Q$401,$U235)="","",INDEX('Per Invoice'!Q$2:Q$401,$U235)))</f>
        <v/>
      </c>
      <c r="R235" s="7">
        <f>IF($U235="","",IF(INDEX('Per Invoice'!R$2:R$401,$U235)="","",INDEX('Per Invoice'!R$2:R$401,$U235)))</f>
        <v/>
      </c>
      <c r="S235" s="7">
        <f>IF($U235="","",IF(INDEX('Per Invoice'!S$2:S$401,$U235)="","",INDEX('Per Invoice'!S$2:S$401,$U235)))</f>
        <v/>
      </c>
      <c r="T235" s="7">
        <f>IF($U235="","",IF(INDEX('Per Invoice'!T$2:T$401,$U235)="","",INDEX('Per Invoice'!T$2:T$401,$U235)))</f>
        <v/>
      </c>
      <c r="U235" s="16">
        <f>IFERROR(MATCH(Settings!$C$27&amp;"|"&amp;ROWS($U$2:$U235),'Per Invoice'!$V$2:$V$401,0),"")</f>
        <v/>
      </c>
    </row>
    <row r="236">
      <c r="A236">
        <f>IF($U236="","",IF(INDEX('Per Invoice'!A$2:A$401,$U236)="","",INDEX('Per Invoice'!A$2:A$401,$U236)))</f>
        <v/>
      </c>
      <c r="B236">
        <f>IF($U236="","",IF(INDEX('Per Invoice'!B$2:B$401,$U236)="","",INDEX('Per Invoice'!B$2:B$401,$U236)))</f>
        <v/>
      </c>
      <c r="C236">
        <f>IF($U236="","",IF(INDEX('Per Invoice'!C$2:C$401,$U236)="","",INDEX('Per Invoice'!C$2:C$401,$U236)))</f>
        <v/>
      </c>
      <c r="D236">
        <f>IF($U236="","",IF(INDEX('Per Invoice'!D$2:D$401,$U236)="","",INDEX('Per Invoice'!D$2:D$401,$U236)))</f>
        <v/>
      </c>
      <c r="E236">
        <f>IF($U236="","",IF(INDEX('Per Invoice'!E$2:E$401,$U236)="","",INDEX('Per Invoice'!E$2:E$401,$U236)))</f>
        <v/>
      </c>
      <c r="F236">
        <f>IF($U236="","",IF(INDEX('Per Invoice'!F$2:F$401,$U236)="","",INDEX('Per Invoice'!F$2:F$401,$U236)))</f>
        <v/>
      </c>
      <c r="G236">
        <f>IF($U236="","",IF(INDEX('Per Invoice'!G$2:G$401,$U236)="","",INDEX('Per Invoice'!G$2:G$401,$U236)))</f>
        <v/>
      </c>
      <c r="H236" s="7">
        <f>IF($U236="","",IF(INDEX('Per Invoice'!H$2:H$401,$U236)="","",INDEX('Per Invoice'!H$2:H$401,$U236)))</f>
        <v/>
      </c>
      <c r="I236" s="14">
        <f>IF($U236="","",IF(INDEX('Per Invoice'!I$2:I$401,$U236)="","",INDEX('Per Invoice'!I$2:I$401,$U236)))</f>
        <v/>
      </c>
      <c r="J236">
        <f>IF($U236="","",IF(INDEX('Per Invoice'!J$2:J$401,$U236)="","",INDEX('Per Invoice'!J$2:J$401,$U236)))</f>
        <v/>
      </c>
      <c r="K236">
        <f>IF($U236="","",IF(INDEX('Per Invoice'!K$2:K$401,$U236)="","",INDEX('Per Invoice'!K$2:K$401,$U236)))</f>
        <v/>
      </c>
      <c r="L236" s="7">
        <f>IF($U236="","",IF(INDEX('Per Invoice'!L$2:L$401,$U236)="","",INDEX('Per Invoice'!L$2:L$401,$U236)))</f>
        <v/>
      </c>
      <c r="M236" s="7">
        <f>IF($U236="","",IF(INDEX('Per Invoice'!M$2:M$401,$U236)="","",INDEX('Per Invoice'!M$2:M$401,$U236)))</f>
        <v/>
      </c>
      <c r="N236">
        <f>IF($U236="","",IF(INDEX('Per Invoice'!N$2:N$401,$U236)="","",INDEX('Per Invoice'!N$2:N$401,$U236)))</f>
        <v/>
      </c>
      <c r="O236" s="7">
        <f>IF($U236="","",IF(INDEX('Per Invoice'!O$2:O$401,$U236)="","",INDEX('Per Invoice'!O$2:O$401,$U236)))</f>
        <v/>
      </c>
      <c r="P236" s="7">
        <f>IF($U236="","",IF(INDEX('Per Invoice'!P$2:P$401,$U236)="","",INDEX('Per Invoice'!P$2:P$401,$U236)))</f>
        <v/>
      </c>
      <c r="Q236" s="7">
        <f>IF($U236="","",IF(INDEX('Per Invoice'!Q$2:Q$401,$U236)="","",INDEX('Per Invoice'!Q$2:Q$401,$U236)))</f>
        <v/>
      </c>
      <c r="R236" s="7">
        <f>IF($U236="","",IF(INDEX('Per Invoice'!R$2:R$401,$U236)="","",INDEX('Per Invoice'!R$2:R$401,$U236)))</f>
        <v/>
      </c>
      <c r="S236" s="7">
        <f>IF($U236="","",IF(INDEX('Per Invoice'!S$2:S$401,$U236)="","",INDEX('Per Invoice'!S$2:S$401,$U236)))</f>
        <v/>
      </c>
      <c r="T236" s="7">
        <f>IF($U236="","",IF(INDEX('Per Invoice'!T$2:T$401,$U236)="","",INDEX('Per Invoice'!T$2:T$401,$U236)))</f>
        <v/>
      </c>
      <c r="U236" s="16">
        <f>IFERROR(MATCH(Settings!$C$27&amp;"|"&amp;ROWS($U$2:$U236),'Per Invoice'!$V$2:$V$401,0),"")</f>
        <v/>
      </c>
    </row>
    <row r="237">
      <c r="A237">
        <f>IF($U237="","",IF(INDEX('Per Invoice'!A$2:A$401,$U237)="","",INDEX('Per Invoice'!A$2:A$401,$U237)))</f>
        <v/>
      </c>
      <c r="B237">
        <f>IF($U237="","",IF(INDEX('Per Invoice'!B$2:B$401,$U237)="","",INDEX('Per Invoice'!B$2:B$401,$U237)))</f>
        <v/>
      </c>
      <c r="C237">
        <f>IF($U237="","",IF(INDEX('Per Invoice'!C$2:C$401,$U237)="","",INDEX('Per Invoice'!C$2:C$401,$U237)))</f>
        <v/>
      </c>
      <c r="D237">
        <f>IF($U237="","",IF(INDEX('Per Invoice'!D$2:D$401,$U237)="","",INDEX('Per Invoice'!D$2:D$401,$U237)))</f>
        <v/>
      </c>
      <c r="E237">
        <f>IF($U237="","",IF(INDEX('Per Invoice'!E$2:E$401,$U237)="","",INDEX('Per Invoice'!E$2:E$401,$U237)))</f>
        <v/>
      </c>
      <c r="F237">
        <f>IF($U237="","",IF(INDEX('Per Invoice'!F$2:F$401,$U237)="","",INDEX('Per Invoice'!F$2:F$401,$U237)))</f>
        <v/>
      </c>
      <c r="G237">
        <f>IF($U237="","",IF(INDEX('Per Invoice'!G$2:G$401,$U237)="","",INDEX('Per Invoice'!G$2:G$401,$U237)))</f>
        <v/>
      </c>
      <c r="H237" s="7">
        <f>IF($U237="","",IF(INDEX('Per Invoice'!H$2:H$401,$U237)="","",INDEX('Per Invoice'!H$2:H$401,$U237)))</f>
        <v/>
      </c>
      <c r="I237" s="14">
        <f>IF($U237="","",IF(INDEX('Per Invoice'!I$2:I$401,$U237)="","",INDEX('Per Invoice'!I$2:I$401,$U237)))</f>
        <v/>
      </c>
      <c r="J237">
        <f>IF($U237="","",IF(INDEX('Per Invoice'!J$2:J$401,$U237)="","",INDEX('Per Invoice'!J$2:J$401,$U237)))</f>
        <v/>
      </c>
      <c r="K237">
        <f>IF($U237="","",IF(INDEX('Per Invoice'!K$2:K$401,$U237)="","",INDEX('Per Invoice'!K$2:K$401,$U237)))</f>
        <v/>
      </c>
      <c r="L237" s="7">
        <f>IF($U237="","",IF(INDEX('Per Invoice'!L$2:L$401,$U237)="","",INDEX('Per Invoice'!L$2:L$401,$U237)))</f>
        <v/>
      </c>
      <c r="M237" s="7">
        <f>IF($U237="","",IF(INDEX('Per Invoice'!M$2:M$401,$U237)="","",INDEX('Per Invoice'!M$2:M$401,$U237)))</f>
        <v/>
      </c>
      <c r="N237">
        <f>IF($U237="","",IF(INDEX('Per Invoice'!N$2:N$401,$U237)="","",INDEX('Per Invoice'!N$2:N$401,$U237)))</f>
        <v/>
      </c>
      <c r="O237" s="7">
        <f>IF($U237="","",IF(INDEX('Per Invoice'!O$2:O$401,$U237)="","",INDEX('Per Invoice'!O$2:O$401,$U237)))</f>
        <v/>
      </c>
      <c r="P237" s="7">
        <f>IF($U237="","",IF(INDEX('Per Invoice'!P$2:P$401,$U237)="","",INDEX('Per Invoice'!P$2:P$401,$U237)))</f>
        <v/>
      </c>
      <c r="Q237" s="7">
        <f>IF($U237="","",IF(INDEX('Per Invoice'!Q$2:Q$401,$U237)="","",INDEX('Per Invoice'!Q$2:Q$401,$U237)))</f>
        <v/>
      </c>
      <c r="R237" s="7">
        <f>IF($U237="","",IF(INDEX('Per Invoice'!R$2:R$401,$U237)="","",INDEX('Per Invoice'!R$2:R$401,$U237)))</f>
        <v/>
      </c>
      <c r="S237" s="7">
        <f>IF($U237="","",IF(INDEX('Per Invoice'!S$2:S$401,$U237)="","",INDEX('Per Invoice'!S$2:S$401,$U237)))</f>
        <v/>
      </c>
      <c r="T237" s="7">
        <f>IF($U237="","",IF(INDEX('Per Invoice'!T$2:T$401,$U237)="","",INDEX('Per Invoice'!T$2:T$401,$U237)))</f>
        <v/>
      </c>
      <c r="U237" s="16">
        <f>IFERROR(MATCH(Settings!$C$27&amp;"|"&amp;ROWS($U$2:$U237),'Per Invoice'!$V$2:$V$401,0),"")</f>
        <v/>
      </c>
    </row>
    <row r="238">
      <c r="A238">
        <f>IF($U238="","",IF(INDEX('Per Invoice'!A$2:A$401,$U238)="","",INDEX('Per Invoice'!A$2:A$401,$U238)))</f>
        <v/>
      </c>
      <c r="B238">
        <f>IF($U238="","",IF(INDEX('Per Invoice'!B$2:B$401,$U238)="","",INDEX('Per Invoice'!B$2:B$401,$U238)))</f>
        <v/>
      </c>
      <c r="C238">
        <f>IF($U238="","",IF(INDEX('Per Invoice'!C$2:C$401,$U238)="","",INDEX('Per Invoice'!C$2:C$401,$U238)))</f>
        <v/>
      </c>
      <c r="D238">
        <f>IF($U238="","",IF(INDEX('Per Invoice'!D$2:D$401,$U238)="","",INDEX('Per Invoice'!D$2:D$401,$U238)))</f>
        <v/>
      </c>
      <c r="E238">
        <f>IF($U238="","",IF(INDEX('Per Invoice'!E$2:E$401,$U238)="","",INDEX('Per Invoice'!E$2:E$401,$U238)))</f>
        <v/>
      </c>
      <c r="F238">
        <f>IF($U238="","",IF(INDEX('Per Invoice'!F$2:F$401,$U238)="","",INDEX('Per Invoice'!F$2:F$401,$U238)))</f>
        <v/>
      </c>
      <c r="G238">
        <f>IF($U238="","",IF(INDEX('Per Invoice'!G$2:G$401,$U238)="","",INDEX('Per Invoice'!G$2:G$401,$U238)))</f>
        <v/>
      </c>
      <c r="H238" s="7">
        <f>IF($U238="","",IF(INDEX('Per Invoice'!H$2:H$401,$U238)="","",INDEX('Per Invoice'!H$2:H$401,$U238)))</f>
        <v/>
      </c>
      <c r="I238" s="14">
        <f>IF($U238="","",IF(INDEX('Per Invoice'!I$2:I$401,$U238)="","",INDEX('Per Invoice'!I$2:I$401,$U238)))</f>
        <v/>
      </c>
      <c r="J238">
        <f>IF($U238="","",IF(INDEX('Per Invoice'!J$2:J$401,$U238)="","",INDEX('Per Invoice'!J$2:J$401,$U238)))</f>
        <v/>
      </c>
      <c r="K238">
        <f>IF($U238="","",IF(INDEX('Per Invoice'!K$2:K$401,$U238)="","",INDEX('Per Invoice'!K$2:K$401,$U238)))</f>
        <v/>
      </c>
      <c r="L238" s="7">
        <f>IF($U238="","",IF(INDEX('Per Invoice'!L$2:L$401,$U238)="","",INDEX('Per Invoice'!L$2:L$401,$U238)))</f>
        <v/>
      </c>
      <c r="M238" s="7">
        <f>IF($U238="","",IF(INDEX('Per Invoice'!M$2:M$401,$U238)="","",INDEX('Per Invoice'!M$2:M$401,$U238)))</f>
        <v/>
      </c>
      <c r="N238">
        <f>IF($U238="","",IF(INDEX('Per Invoice'!N$2:N$401,$U238)="","",INDEX('Per Invoice'!N$2:N$401,$U238)))</f>
        <v/>
      </c>
      <c r="O238" s="7">
        <f>IF($U238="","",IF(INDEX('Per Invoice'!O$2:O$401,$U238)="","",INDEX('Per Invoice'!O$2:O$401,$U238)))</f>
        <v/>
      </c>
      <c r="P238" s="7">
        <f>IF($U238="","",IF(INDEX('Per Invoice'!P$2:P$401,$U238)="","",INDEX('Per Invoice'!P$2:P$401,$U238)))</f>
        <v/>
      </c>
      <c r="Q238" s="7">
        <f>IF($U238="","",IF(INDEX('Per Invoice'!Q$2:Q$401,$U238)="","",INDEX('Per Invoice'!Q$2:Q$401,$U238)))</f>
        <v/>
      </c>
      <c r="R238" s="7">
        <f>IF($U238="","",IF(INDEX('Per Invoice'!R$2:R$401,$U238)="","",INDEX('Per Invoice'!R$2:R$401,$U238)))</f>
        <v/>
      </c>
      <c r="S238" s="7">
        <f>IF($U238="","",IF(INDEX('Per Invoice'!S$2:S$401,$U238)="","",INDEX('Per Invoice'!S$2:S$401,$U238)))</f>
        <v/>
      </c>
      <c r="T238" s="7">
        <f>IF($U238="","",IF(INDEX('Per Invoice'!T$2:T$401,$U238)="","",INDEX('Per Invoice'!T$2:T$401,$U238)))</f>
        <v/>
      </c>
      <c r="U238" s="16">
        <f>IFERROR(MATCH(Settings!$C$27&amp;"|"&amp;ROWS($U$2:$U238),'Per Invoice'!$V$2:$V$401,0),"")</f>
        <v/>
      </c>
    </row>
    <row r="239">
      <c r="A239">
        <f>IF($U239="","",IF(INDEX('Per Invoice'!A$2:A$401,$U239)="","",INDEX('Per Invoice'!A$2:A$401,$U239)))</f>
        <v/>
      </c>
      <c r="B239">
        <f>IF($U239="","",IF(INDEX('Per Invoice'!B$2:B$401,$U239)="","",INDEX('Per Invoice'!B$2:B$401,$U239)))</f>
        <v/>
      </c>
      <c r="C239">
        <f>IF($U239="","",IF(INDEX('Per Invoice'!C$2:C$401,$U239)="","",INDEX('Per Invoice'!C$2:C$401,$U239)))</f>
        <v/>
      </c>
      <c r="D239">
        <f>IF($U239="","",IF(INDEX('Per Invoice'!D$2:D$401,$U239)="","",INDEX('Per Invoice'!D$2:D$401,$U239)))</f>
        <v/>
      </c>
      <c r="E239">
        <f>IF($U239="","",IF(INDEX('Per Invoice'!E$2:E$401,$U239)="","",INDEX('Per Invoice'!E$2:E$401,$U239)))</f>
        <v/>
      </c>
      <c r="F239">
        <f>IF($U239="","",IF(INDEX('Per Invoice'!F$2:F$401,$U239)="","",INDEX('Per Invoice'!F$2:F$401,$U239)))</f>
        <v/>
      </c>
      <c r="G239">
        <f>IF($U239="","",IF(INDEX('Per Invoice'!G$2:G$401,$U239)="","",INDEX('Per Invoice'!G$2:G$401,$U239)))</f>
        <v/>
      </c>
      <c r="H239" s="7">
        <f>IF($U239="","",IF(INDEX('Per Invoice'!H$2:H$401,$U239)="","",INDEX('Per Invoice'!H$2:H$401,$U239)))</f>
        <v/>
      </c>
      <c r="I239" s="14">
        <f>IF($U239="","",IF(INDEX('Per Invoice'!I$2:I$401,$U239)="","",INDEX('Per Invoice'!I$2:I$401,$U239)))</f>
        <v/>
      </c>
      <c r="J239">
        <f>IF($U239="","",IF(INDEX('Per Invoice'!J$2:J$401,$U239)="","",INDEX('Per Invoice'!J$2:J$401,$U239)))</f>
        <v/>
      </c>
      <c r="K239">
        <f>IF($U239="","",IF(INDEX('Per Invoice'!K$2:K$401,$U239)="","",INDEX('Per Invoice'!K$2:K$401,$U239)))</f>
        <v/>
      </c>
      <c r="L239" s="7">
        <f>IF($U239="","",IF(INDEX('Per Invoice'!L$2:L$401,$U239)="","",INDEX('Per Invoice'!L$2:L$401,$U239)))</f>
        <v/>
      </c>
      <c r="M239" s="7">
        <f>IF($U239="","",IF(INDEX('Per Invoice'!M$2:M$401,$U239)="","",INDEX('Per Invoice'!M$2:M$401,$U239)))</f>
        <v/>
      </c>
      <c r="N239">
        <f>IF($U239="","",IF(INDEX('Per Invoice'!N$2:N$401,$U239)="","",INDEX('Per Invoice'!N$2:N$401,$U239)))</f>
        <v/>
      </c>
      <c r="O239" s="7">
        <f>IF($U239="","",IF(INDEX('Per Invoice'!O$2:O$401,$U239)="","",INDEX('Per Invoice'!O$2:O$401,$U239)))</f>
        <v/>
      </c>
      <c r="P239" s="7">
        <f>IF($U239="","",IF(INDEX('Per Invoice'!P$2:P$401,$U239)="","",INDEX('Per Invoice'!P$2:P$401,$U239)))</f>
        <v/>
      </c>
      <c r="Q239" s="7">
        <f>IF($U239="","",IF(INDEX('Per Invoice'!Q$2:Q$401,$U239)="","",INDEX('Per Invoice'!Q$2:Q$401,$U239)))</f>
        <v/>
      </c>
      <c r="R239" s="7">
        <f>IF($U239="","",IF(INDEX('Per Invoice'!R$2:R$401,$U239)="","",INDEX('Per Invoice'!R$2:R$401,$U239)))</f>
        <v/>
      </c>
      <c r="S239" s="7">
        <f>IF($U239="","",IF(INDEX('Per Invoice'!S$2:S$401,$U239)="","",INDEX('Per Invoice'!S$2:S$401,$U239)))</f>
        <v/>
      </c>
      <c r="T239" s="7">
        <f>IF($U239="","",IF(INDEX('Per Invoice'!T$2:T$401,$U239)="","",INDEX('Per Invoice'!T$2:T$401,$U239)))</f>
        <v/>
      </c>
      <c r="U239" s="16">
        <f>IFERROR(MATCH(Settings!$C$27&amp;"|"&amp;ROWS($U$2:$U239),'Per Invoice'!$V$2:$V$401,0),"")</f>
        <v/>
      </c>
    </row>
    <row r="240">
      <c r="A240">
        <f>IF($U240="","",IF(INDEX('Per Invoice'!A$2:A$401,$U240)="","",INDEX('Per Invoice'!A$2:A$401,$U240)))</f>
        <v/>
      </c>
      <c r="B240">
        <f>IF($U240="","",IF(INDEX('Per Invoice'!B$2:B$401,$U240)="","",INDEX('Per Invoice'!B$2:B$401,$U240)))</f>
        <v/>
      </c>
      <c r="C240">
        <f>IF($U240="","",IF(INDEX('Per Invoice'!C$2:C$401,$U240)="","",INDEX('Per Invoice'!C$2:C$401,$U240)))</f>
        <v/>
      </c>
      <c r="D240">
        <f>IF($U240="","",IF(INDEX('Per Invoice'!D$2:D$401,$U240)="","",INDEX('Per Invoice'!D$2:D$401,$U240)))</f>
        <v/>
      </c>
      <c r="E240">
        <f>IF($U240="","",IF(INDEX('Per Invoice'!E$2:E$401,$U240)="","",INDEX('Per Invoice'!E$2:E$401,$U240)))</f>
        <v/>
      </c>
      <c r="F240">
        <f>IF($U240="","",IF(INDEX('Per Invoice'!F$2:F$401,$U240)="","",INDEX('Per Invoice'!F$2:F$401,$U240)))</f>
        <v/>
      </c>
      <c r="G240">
        <f>IF($U240="","",IF(INDEX('Per Invoice'!G$2:G$401,$U240)="","",INDEX('Per Invoice'!G$2:G$401,$U240)))</f>
        <v/>
      </c>
      <c r="H240" s="7">
        <f>IF($U240="","",IF(INDEX('Per Invoice'!H$2:H$401,$U240)="","",INDEX('Per Invoice'!H$2:H$401,$U240)))</f>
        <v/>
      </c>
      <c r="I240" s="14">
        <f>IF($U240="","",IF(INDEX('Per Invoice'!I$2:I$401,$U240)="","",INDEX('Per Invoice'!I$2:I$401,$U240)))</f>
        <v/>
      </c>
      <c r="J240">
        <f>IF($U240="","",IF(INDEX('Per Invoice'!J$2:J$401,$U240)="","",INDEX('Per Invoice'!J$2:J$401,$U240)))</f>
        <v/>
      </c>
      <c r="K240">
        <f>IF($U240="","",IF(INDEX('Per Invoice'!K$2:K$401,$U240)="","",INDEX('Per Invoice'!K$2:K$401,$U240)))</f>
        <v/>
      </c>
      <c r="L240" s="7">
        <f>IF($U240="","",IF(INDEX('Per Invoice'!L$2:L$401,$U240)="","",INDEX('Per Invoice'!L$2:L$401,$U240)))</f>
        <v/>
      </c>
      <c r="M240" s="7">
        <f>IF($U240="","",IF(INDEX('Per Invoice'!M$2:M$401,$U240)="","",INDEX('Per Invoice'!M$2:M$401,$U240)))</f>
        <v/>
      </c>
      <c r="N240">
        <f>IF($U240="","",IF(INDEX('Per Invoice'!N$2:N$401,$U240)="","",INDEX('Per Invoice'!N$2:N$401,$U240)))</f>
        <v/>
      </c>
      <c r="O240" s="7">
        <f>IF($U240="","",IF(INDEX('Per Invoice'!O$2:O$401,$U240)="","",INDEX('Per Invoice'!O$2:O$401,$U240)))</f>
        <v/>
      </c>
      <c r="P240" s="7">
        <f>IF($U240="","",IF(INDEX('Per Invoice'!P$2:P$401,$U240)="","",INDEX('Per Invoice'!P$2:P$401,$U240)))</f>
        <v/>
      </c>
      <c r="Q240" s="7">
        <f>IF($U240="","",IF(INDEX('Per Invoice'!Q$2:Q$401,$U240)="","",INDEX('Per Invoice'!Q$2:Q$401,$U240)))</f>
        <v/>
      </c>
      <c r="R240" s="7">
        <f>IF($U240="","",IF(INDEX('Per Invoice'!R$2:R$401,$U240)="","",INDEX('Per Invoice'!R$2:R$401,$U240)))</f>
        <v/>
      </c>
      <c r="S240" s="7">
        <f>IF($U240="","",IF(INDEX('Per Invoice'!S$2:S$401,$U240)="","",INDEX('Per Invoice'!S$2:S$401,$U240)))</f>
        <v/>
      </c>
      <c r="T240" s="7">
        <f>IF($U240="","",IF(INDEX('Per Invoice'!T$2:T$401,$U240)="","",INDEX('Per Invoice'!T$2:T$401,$U240)))</f>
        <v/>
      </c>
      <c r="U240" s="16">
        <f>IFERROR(MATCH(Settings!$C$27&amp;"|"&amp;ROWS($U$2:$U240),'Per Invoice'!$V$2:$V$401,0),"")</f>
        <v/>
      </c>
    </row>
    <row r="241">
      <c r="A241">
        <f>IF($U241="","",IF(INDEX('Per Invoice'!A$2:A$401,$U241)="","",INDEX('Per Invoice'!A$2:A$401,$U241)))</f>
        <v/>
      </c>
      <c r="B241">
        <f>IF($U241="","",IF(INDEX('Per Invoice'!B$2:B$401,$U241)="","",INDEX('Per Invoice'!B$2:B$401,$U241)))</f>
        <v/>
      </c>
      <c r="C241">
        <f>IF($U241="","",IF(INDEX('Per Invoice'!C$2:C$401,$U241)="","",INDEX('Per Invoice'!C$2:C$401,$U241)))</f>
        <v/>
      </c>
      <c r="D241">
        <f>IF($U241="","",IF(INDEX('Per Invoice'!D$2:D$401,$U241)="","",INDEX('Per Invoice'!D$2:D$401,$U241)))</f>
        <v/>
      </c>
      <c r="E241">
        <f>IF($U241="","",IF(INDEX('Per Invoice'!E$2:E$401,$U241)="","",INDEX('Per Invoice'!E$2:E$401,$U241)))</f>
        <v/>
      </c>
      <c r="F241">
        <f>IF($U241="","",IF(INDEX('Per Invoice'!F$2:F$401,$U241)="","",INDEX('Per Invoice'!F$2:F$401,$U241)))</f>
        <v/>
      </c>
      <c r="G241">
        <f>IF($U241="","",IF(INDEX('Per Invoice'!G$2:G$401,$U241)="","",INDEX('Per Invoice'!G$2:G$401,$U241)))</f>
        <v/>
      </c>
      <c r="H241" s="7">
        <f>IF($U241="","",IF(INDEX('Per Invoice'!H$2:H$401,$U241)="","",INDEX('Per Invoice'!H$2:H$401,$U241)))</f>
        <v/>
      </c>
      <c r="I241" s="14">
        <f>IF($U241="","",IF(INDEX('Per Invoice'!I$2:I$401,$U241)="","",INDEX('Per Invoice'!I$2:I$401,$U241)))</f>
        <v/>
      </c>
      <c r="J241">
        <f>IF($U241="","",IF(INDEX('Per Invoice'!J$2:J$401,$U241)="","",INDEX('Per Invoice'!J$2:J$401,$U241)))</f>
        <v/>
      </c>
      <c r="K241">
        <f>IF($U241="","",IF(INDEX('Per Invoice'!K$2:K$401,$U241)="","",INDEX('Per Invoice'!K$2:K$401,$U241)))</f>
        <v/>
      </c>
      <c r="L241" s="7">
        <f>IF($U241="","",IF(INDEX('Per Invoice'!L$2:L$401,$U241)="","",INDEX('Per Invoice'!L$2:L$401,$U241)))</f>
        <v/>
      </c>
      <c r="M241" s="7">
        <f>IF($U241="","",IF(INDEX('Per Invoice'!M$2:M$401,$U241)="","",INDEX('Per Invoice'!M$2:M$401,$U241)))</f>
        <v/>
      </c>
      <c r="N241">
        <f>IF($U241="","",IF(INDEX('Per Invoice'!N$2:N$401,$U241)="","",INDEX('Per Invoice'!N$2:N$401,$U241)))</f>
        <v/>
      </c>
      <c r="O241" s="7">
        <f>IF($U241="","",IF(INDEX('Per Invoice'!O$2:O$401,$U241)="","",INDEX('Per Invoice'!O$2:O$401,$U241)))</f>
        <v/>
      </c>
      <c r="P241" s="7">
        <f>IF($U241="","",IF(INDEX('Per Invoice'!P$2:P$401,$U241)="","",INDEX('Per Invoice'!P$2:P$401,$U241)))</f>
        <v/>
      </c>
      <c r="Q241" s="7">
        <f>IF($U241="","",IF(INDEX('Per Invoice'!Q$2:Q$401,$U241)="","",INDEX('Per Invoice'!Q$2:Q$401,$U241)))</f>
        <v/>
      </c>
      <c r="R241" s="7">
        <f>IF($U241="","",IF(INDEX('Per Invoice'!R$2:R$401,$U241)="","",INDEX('Per Invoice'!R$2:R$401,$U241)))</f>
        <v/>
      </c>
      <c r="S241" s="7">
        <f>IF($U241="","",IF(INDEX('Per Invoice'!S$2:S$401,$U241)="","",INDEX('Per Invoice'!S$2:S$401,$U241)))</f>
        <v/>
      </c>
      <c r="T241" s="7">
        <f>IF($U241="","",IF(INDEX('Per Invoice'!T$2:T$401,$U241)="","",INDEX('Per Invoice'!T$2:T$401,$U241)))</f>
        <v/>
      </c>
      <c r="U241" s="16">
        <f>IFERROR(MATCH(Settings!$C$27&amp;"|"&amp;ROWS($U$2:$U241),'Per Invoice'!$V$2:$V$401,0),"")</f>
        <v/>
      </c>
    </row>
    <row r="242">
      <c r="A242">
        <f>IF($U242="","",IF(INDEX('Per Invoice'!A$2:A$401,$U242)="","",INDEX('Per Invoice'!A$2:A$401,$U242)))</f>
        <v/>
      </c>
      <c r="B242">
        <f>IF($U242="","",IF(INDEX('Per Invoice'!B$2:B$401,$U242)="","",INDEX('Per Invoice'!B$2:B$401,$U242)))</f>
        <v/>
      </c>
      <c r="C242">
        <f>IF($U242="","",IF(INDEX('Per Invoice'!C$2:C$401,$U242)="","",INDEX('Per Invoice'!C$2:C$401,$U242)))</f>
        <v/>
      </c>
      <c r="D242">
        <f>IF($U242="","",IF(INDEX('Per Invoice'!D$2:D$401,$U242)="","",INDEX('Per Invoice'!D$2:D$401,$U242)))</f>
        <v/>
      </c>
      <c r="E242">
        <f>IF($U242="","",IF(INDEX('Per Invoice'!E$2:E$401,$U242)="","",INDEX('Per Invoice'!E$2:E$401,$U242)))</f>
        <v/>
      </c>
      <c r="F242">
        <f>IF($U242="","",IF(INDEX('Per Invoice'!F$2:F$401,$U242)="","",INDEX('Per Invoice'!F$2:F$401,$U242)))</f>
        <v/>
      </c>
      <c r="G242">
        <f>IF($U242="","",IF(INDEX('Per Invoice'!G$2:G$401,$U242)="","",INDEX('Per Invoice'!G$2:G$401,$U242)))</f>
        <v/>
      </c>
      <c r="H242" s="7">
        <f>IF($U242="","",IF(INDEX('Per Invoice'!H$2:H$401,$U242)="","",INDEX('Per Invoice'!H$2:H$401,$U242)))</f>
        <v/>
      </c>
      <c r="I242" s="14">
        <f>IF($U242="","",IF(INDEX('Per Invoice'!I$2:I$401,$U242)="","",INDEX('Per Invoice'!I$2:I$401,$U242)))</f>
        <v/>
      </c>
      <c r="J242">
        <f>IF($U242="","",IF(INDEX('Per Invoice'!J$2:J$401,$U242)="","",INDEX('Per Invoice'!J$2:J$401,$U242)))</f>
        <v/>
      </c>
      <c r="K242">
        <f>IF($U242="","",IF(INDEX('Per Invoice'!K$2:K$401,$U242)="","",INDEX('Per Invoice'!K$2:K$401,$U242)))</f>
        <v/>
      </c>
      <c r="L242" s="7">
        <f>IF($U242="","",IF(INDEX('Per Invoice'!L$2:L$401,$U242)="","",INDEX('Per Invoice'!L$2:L$401,$U242)))</f>
        <v/>
      </c>
      <c r="M242" s="7">
        <f>IF($U242="","",IF(INDEX('Per Invoice'!M$2:M$401,$U242)="","",INDEX('Per Invoice'!M$2:M$401,$U242)))</f>
        <v/>
      </c>
      <c r="N242">
        <f>IF($U242="","",IF(INDEX('Per Invoice'!N$2:N$401,$U242)="","",INDEX('Per Invoice'!N$2:N$401,$U242)))</f>
        <v/>
      </c>
      <c r="O242" s="7">
        <f>IF($U242="","",IF(INDEX('Per Invoice'!O$2:O$401,$U242)="","",INDEX('Per Invoice'!O$2:O$401,$U242)))</f>
        <v/>
      </c>
      <c r="P242" s="7">
        <f>IF($U242="","",IF(INDEX('Per Invoice'!P$2:P$401,$U242)="","",INDEX('Per Invoice'!P$2:P$401,$U242)))</f>
        <v/>
      </c>
      <c r="Q242" s="7">
        <f>IF($U242="","",IF(INDEX('Per Invoice'!Q$2:Q$401,$U242)="","",INDEX('Per Invoice'!Q$2:Q$401,$U242)))</f>
        <v/>
      </c>
      <c r="R242" s="7">
        <f>IF($U242="","",IF(INDEX('Per Invoice'!R$2:R$401,$U242)="","",INDEX('Per Invoice'!R$2:R$401,$U242)))</f>
        <v/>
      </c>
      <c r="S242" s="7">
        <f>IF($U242="","",IF(INDEX('Per Invoice'!S$2:S$401,$U242)="","",INDEX('Per Invoice'!S$2:S$401,$U242)))</f>
        <v/>
      </c>
      <c r="T242" s="7">
        <f>IF($U242="","",IF(INDEX('Per Invoice'!T$2:T$401,$U242)="","",INDEX('Per Invoice'!T$2:T$401,$U242)))</f>
        <v/>
      </c>
      <c r="U242" s="16">
        <f>IFERROR(MATCH(Settings!$C$27&amp;"|"&amp;ROWS($U$2:$U242),'Per Invoice'!$V$2:$V$401,0),"")</f>
        <v/>
      </c>
    </row>
    <row r="243">
      <c r="A243">
        <f>IF($U243="","",IF(INDEX('Per Invoice'!A$2:A$401,$U243)="","",INDEX('Per Invoice'!A$2:A$401,$U243)))</f>
        <v/>
      </c>
      <c r="B243">
        <f>IF($U243="","",IF(INDEX('Per Invoice'!B$2:B$401,$U243)="","",INDEX('Per Invoice'!B$2:B$401,$U243)))</f>
        <v/>
      </c>
      <c r="C243">
        <f>IF($U243="","",IF(INDEX('Per Invoice'!C$2:C$401,$U243)="","",INDEX('Per Invoice'!C$2:C$401,$U243)))</f>
        <v/>
      </c>
      <c r="D243">
        <f>IF($U243="","",IF(INDEX('Per Invoice'!D$2:D$401,$U243)="","",INDEX('Per Invoice'!D$2:D$401,$U243)))</f>
        <v/>
      </c>
      <c r="E243">
        <f>IF($U243="","",IF(INDEX('Per Invoice'!E$2:E$401,$U243)="","",INDEX('Per Invoice'!E$2:E$401,$U243)))</f>
        <v/>
      </c>
      <c r="F243">
        <f>IF($U243="","",IF(INDEX('Per Invoice'!F$2:F$401,$U243)="","",INDEX('Per Invoice'!F$2:F$401,$U243)))</f>
        <v/>
      </c>
      <c r="G243">
        <f>IF($U243="","",IF(INDEX('Per Invoice'!G$2:G$401,$U243)="","",INDEX('Per Invoice'!G$2:G$401,$U243)))</f>
        <v/>
      </c>
      <c r="H243" s="7">
        <f>IF($U243="","",IF(INDEX('Per Invoice'!H$2:H$401,$U243)="","",INDEX('Per Invoice'!H$2:H$401,$U243)))</f>
        <v/>
      </c>
      <c r="I243" s="14">
        <f>IF($U243="","",IF(INDEX('Per Invoice'!I$2:I$401,$U243)="","",INDEX('Per Invoice'!I$2:I$401,$U243)))</f>
        <v/>
      </c>
      <c r="J243">
        <f>IF($U243="","",IF(INDEX('Per Invoice'!J$2:J$401,$U243)="","",INDEX('Per Invoice'!J$2:J$401,$U243)))</f>
        <v/>
      </c>
      <c r="K243">
        <f>IF($U243="","",IF(INDEX('Per Invoice'!K$2:K$401,$U243)="","",INDEX('Per Invoice'!K$2:K$401,$U243)))</f>
        <v/>
      </c>
      <c r="L243" s="7">
        <f>IF($U243="","",IF(INDEX('Per Invoice'!L$2:L$401,$U243)="","",INDEX('Per Invoice'!L$2:L$401,$U243)))</f>
        <v/>
      </c>
      <c r="M243" s="7">
        <f>IF($U243="","",IF(INDEX('Per Invoice'!M$2:M$401,$U243)="","",INDEX('Per Invoice'!M$2:M$401,$U243)))</f>
        <v/>
      </c>
      <c r="N243">
        <f>IF($U243="","",IF(INDEX('Per Invoice'!N$2:N$401,$U243)="","",INDEX('Per Invoice'!N$2:N$401,$U243)))</f>
        <v/>
      </c>
      <c r="O243" s="7">
        <f>IF($U243="","",IF(INDEX('Per Invoice'!O$2:O$401,$U243)="","",INDEX('Per Invoice'!O$2:O$401,$U243)))</f>
        <v/>
      </c>
      <c r="P243" s="7">
        <f>IF($U243="","",IF(INDEX('Per Invoice'!P$2:P$401,$U243)="","",INDEX('Per Invoice'!P$2:P$401,$U243)))</f>
        <v/>
      </c>
      <c r="Q243" s="7">
        <f>IF($U243="","",IF(INDEX('Per Invoice'!Q$2:Q$401,$U243)="","",INDEX('Per Invoice'!Q$2:Q$401,$U243)))</f>
        <v/>
      </c>
      <c r="R243" s="7">
        <f>IF($U243="","",IF(INDEX('Per Invoice'!R$2:R$401,$U243)="","",INDEX('Per Invoice'!R$2:R$401,$U243)))</f>
        <v/>
      </c>
      <c r="S243" s="7">
        <f>IF($U243="","",IF(INDEX('Per Invoice'!S$2:S$401,$U243)="","",INDEX('Per Invoice'!S$2:S$401,$U243)))</f>
        <v/>
      </c>
      <c r="T243" s="7">
        <f>IF($U243="","",IF(INDEX('Per Invoice'!T$2:T$401,$U243)="","",INDEX('Per Invoice'!T$2:T$401,$U243)))</f>
        <v/>
      </c>
      <c r="U243" s="16">
        <f>IFERROR(MATCH(Settings!$C$27&amp;"|"&amp;ROWS($U$2:$U243),'Per Invoice'!$V$2:$V$401,0),"")</f>
        <v/>
      </c>
    </row>
    <row r="244">
      <c r="A244">
        <f>IF($U244="","",IF(INDEX('Per Invoice'!A$2:A$401,$U244)="","",INDEX('Per Invoice'!A$2:A$401,$U244)))</f>
        <v/>
      </c>
      <c r="B244">
        <f>IF($U244="","",IF(INDEX('Per Invoice'!B$2:B$401,$U244)="","",INDEX('Per Invoice'!B$2:B$401,$U244)))</f>
        <v/>
      </c>
      <c r="C244">
        <f>IF($U244="","",IF(INDEX('Per Invoice'!C$2:C$401,$U244)="","",INDEX('Per Invoice'!C$2:C$401,$U244)))</f>
        <v/>
      </c>
      <c r="D244">
        <f>IF($U244="","",IF(INDEX('Per Invoice'!D$2:D$401,$U244)="","",INDEX('Per Invoice'!D$2:D$401,$U244)))</f>
        <v/>
      </c>
      <c r="E244">
        <f>IF($U244="","",IF(INDEX('Per Invoice'!E$2:E$401,$U244)="","",INDEX('Per Invoice'!E$2:E$401,$U244)))</f>
        <v/>
      </c>
      <c r="F244">
        <f>IF($U244="","",IF(INDEX('Per Invoice'!F$2:F$401,$U244)="","",INDEX('Per Invoice'!F$2:F$401,$U244)))</f>
        <v/>
      </c>
      <c r="G244">
        <f>IF($U244="","",IF(INDEX('Per Invoice'!G$2:G$401,$U244)="","",INDEX('Per Invoice'!G$2:G$401,$U244)))</f>
        <v/>
      </c>
      <c r="H244" s="7">
        <f>IF($U244="","",IF(INDEX('Per Invoice'!H$2:H$401,$U244)="","",INDEX('Per Invoice'!H$2:H$401,$U244)))</f>
        <v/>
      </c>
      <c r="I244" s="14">
        <f>IF($U244="","",IF(INDEX('Per Invoice'!I$2:I$401,$U244)="","",INDEX('Per Invoice'!I$2:I$401,$U244)))</f>
        <v/>
      </c>
      <c r="J244">
        <f>IF($U244="","",IF(INDEX('Per Invoice'!J$2:J$401,$U244)="","",INDEX('Per Invoice'!J$2:J$401,$U244)))</f>
        <v/>
      </c>
      <c r="K244">
        <f>IF($U244="","",IF(INDEX('Per Invoice'!K$2:K$401,$U244)="","",INDEX('Per Invoice'!K$2:K$401,$U244)))</f>
        <v/>
      </c>
      <c r="L244" s="7">
        <f>IF($U244="","",IF(INDEX('Per Invoice'!L$2:L$401,$U244)="","",INDEX('Per Invoice'!L$2:L$401,$U244)))</f>
        <v/>
      </c>
      <c r="M244" s="7">
        <f>IF($U244="","",IF(INDEX('Per Invoice'!M$2:M$401,$U244)="","",INDEX('Per Invoice'!M$2:M$401,$U244)))</f>
        <v/>
      </c>
      <c r="N244">
        <f>IF($U244="","",IF(INDEX('Per Invoice'!N$2:N$401,$U244)="","",INDEX('Per Invoice'!N$2:N$401,$U244)))</f>
        <v/>
      </c>
      <c r="O244" s="7">
        <f>IF($U244="","",IF(INDEX('Per Invoice'!O$2:O$401,$U244)="","",INDEX('Per Invoice'!O$2:O$401,$U244)))</f>
        <v/>
      </c>
      <c r="P244" s="7">
        <f>IF($U244="","",IF(INDEX('Per Invoice'!P$2:P$401,$U244)="","",INDEX('Per Invoice'!P$2:P$401,$U244)))</f>
        <v/>
      </c>
      <c r="Q244" s="7">
        <f>IF($U244="","",IF(INDEX('Per Invoice'!Q$2:Q$401,$U244)="","",INDEX('Per Invoice'!Q$2:Q$401,$U244)))</f>
        <v/>
      </c>
      <c r="R244" s="7">
        <f>IF($U244="","",IF(INDEX('Per Invoice'!R$2:R$401,$U244)="","",INDEX('Per Invoice'!R$2:R$401,$U244)))</f>
        <v/>
      </c>
      <c r="S244" s="7">
        <f>IF($U244="","",IF(INDEX('Per Invoice'!S$2:S$401,$U244)="","",INDEX('Per Invoice'!S$2:S$401,$U244)))</f>
        <v/>
      </c>
      <c r="T244" s="7">
        <f>IF($U244="","",IF(INDEX('Per Invoice'!T$2:T$401,$U244)="","",INDEX('Per Invoice'!T$2:T$401,$U244)))</f>
        <v/>
      </c>
      <c r="U244" s="16">
        <f>IFERROR(MATCH(Settings!$C$27&amp;"|"&amp;ROWS($U$2:$U244),'Per Invoice'!$V$2:$V$401,0),"")</f>
        <v/>
      </c>
    </row>
    <row r="245">
      <c r="A245">
        <f>IF($U245="","",IF(INDEX('Per Invoice'!A$2:A$401,$U245)="","",INDEX('Per Invoice'!A$2:A$401,$U245)))</f>
        <v/>
      </c>
      <c r="B245">
        <f>IF($U245="","",IF(INDEX('Per Invoice'!B$2:B$401,$U245)="","",INDEX('Per Invoice'!B$2:B$401,$U245)))</f>
        <v/>
      </c>
      <c r="C245">
        <f>IF($U245="","",IF(INDEX('Per Invoice'!C$2:C$401,$U245)="","",INDEX('Per Invoice'!C$2:C$401,$U245)))</f>
        <v/>
      </c>
      <c r="D245">
        <f>IF($U245="","",IF(INDEX('Per Invoice'!D$2:D$401,$U245)="","",INDEX('Per Invoice'!D$2:D$401,$U245)))</f>
        <v/>
      </c>
      <c r="E245">
        <f>IF($U245="","",IF(INDEX('Per Invoice'!E$2:E$401,$U245)="","",INDEX('Per Invoice'!E$2:E$401,$U245)))</f>
        <v/>
      </c>
      <c r="F245">
        <f>IF($U245="","",IF(INDEX('Per Invoice'!F$2:F$401,$U245)="","",INDEX('Per Invoice'!F$2:F$401,$U245)))</f>
        <v/>
      </c>
      <c r="G245">
        <f>IF($U245="","",IF(INDEX('Per Invoice'!G$2:G$401,$U245)="","",INDEX('Per Invoice'!G$2:G$401,$U245)))</f>
        <v/>
      </c>
      <c r="H245" s="7">
        <f>IF($U245="","",IF(INDEX('Per Invoice'!H$2:H$401,$U245)="","",INDEX('Per Invoice'!H$2:H$401,$U245)))</f>
        <v/>
      </c>
      <c r="I245" s="14">
        <f>IF($U245="","",IF(INDEX('Per Invoice'!I$2:I$401,$U245)="","",INDEX('Per Invoice'!I$2:I$401,$U245)))</f>
        <v/>
      </c>
      <c r="J245">
        <f>IF($U245="","",IF(INDEX('Per Invoice'!J$2:J$401,$U245)="","",INDEX('Per Invoice'!J$2:J$401,$U245)))</f>
        <v/>
      </c>
      <c r="K245">
        <f>IF($U245="","",IF(INDEX('Per Invoice'!K$2:K$401,$U245)="","",INDEX('Per Invoice'!K$2:K$401,$U245)))</f>
        <v/>
      </c>
      <c r="L245" s="7">
        <f>IF($U245="","",IF(INDEX('Per Invoice'!L$2:L$401,$U245)="","",INDEX('Per Invoice'!L$2:L$401,$U245)))</f>
        <v/>
      </c>
      <c r="M245" s="7">
        <f>IF($U245="","",IF(INDEX('Per Invoice'!M$2:M$401,$U245)="","",INDEX('Per Invoice'!M$2:M$401,$U245)))</f>
        <v/>
      </c>
      <c r="N245">
        <f>IF($U245="","",IF(INDEX('Per Invoice'!N$2:N$401,$U245)="","",INDEX('Per Invoice'!N$2:N$401,$U245)))</f>
        <v/>
      </c>
      <c r="O245" s="7">
        <f>IF($U245="","",IF(INDEX('Per Invoice'!O$2:O$401,$U245)="","",INDEX('Per Invoice'!O$2:O$401,$U245)))</f>
        <v/>
      </c>
      <c r="P245" s="7">
        <f>IF($U245="","",IF(INDEX('Per Invoice'!P$2:P$401,$U245)="","",INDEX('Per Invoice'!P$2:P$401,$U245)))</f>
        <v/>
      </c>
      <c r="Q245" s="7">
        <f>IF($U245="","",IF(INDEX('Per Invoice'!Q$2:Q$401,$U245)="","",INDEX('Per Invoice'!Q$2:Q$401,$U245)))</f>
        <v/>
      </c>
      <c r="R245" s="7">
        <f>IF($U245="","",IF(INDEX('Per Invoice'!R$2:R$401,$U245)="","",INDEX('Per Invoice'!R$2:R$401,$U245)))</f>
        <v/>
      </c>
      <c r="S245" s="7">
        <f>IF($U245="","",IF(INDEX('Per Invoice'!S$2:S$401,$U245)="","",INDEX('Per Invoice'!S$2:S$401,$U245)))</f>
        <v/>
      </c>
      <c r="T245" s="7">
        <f>IF($U245="","",IF(INDEX('Per Invoice'!T$2:T$401,$U245)="","",INDEX('Per Invoice'!T$2:T$401,$U245)))</f>
        <v/>
      </c>
      <c r="U245" s="16">
        <f>IFERROR(MATCH(Settings!$C$27&amp;"|"&amp;ROWS($U$2:$U245),'Per Invoice'!$V$2:$V$401,0),"")</f>
        <v/>
      </c>
    </row>
    <row r="246">
      <c r="A246">
        <f>IF($U246="","",IF(INDEX('Per Invoice'!A$2:A$401,$U246)="","",INDEX('Per Invoice'!A$2:A$401,$U246)))</f>
        <v/>
      </c>
      <c r="B246">
        <f>IF($U246="","",IF(INDEX('Per Invoice'!B$2:B$401,$U246)="","",INDEX('Per Invoice'!B$2:B$401,$U246)))</f>
        <v/>
      </c>
      <c r="C246">
        <f>IF($U246="","",IF(INDEX('Per Invoice'!C$2:C$401,$U246)="","",INDEX('Per Invoice'!C$2:C$401,$U246)))</f>
        <v/>
      </c>
      <c r="D246">
        <f>IF($U246="","",IF(INDEX('Per Invoice'!D$2:D$401,$U246)="","",INDEX('Per Invoice'!D$2:D$401,$U246)))</f>
        <v/>
      </c>
      <c r="E246">
        <f>IF($U246="","",IF(INDEX('Per Invoice'!E$2:E$401,$U246)="","",INDEX('Per Invoice'!E$2:E$401,$U246)))</f>
        <v/>
      </c>
      <c r="F246">
        <f>IF($U246="","",IF(INDEX('Per Invoice'!F$2:F$401,$U246)="","",INDEX('Per Invoice'!F$2:F$401,$U246)))</f>
        <v/>
      </c>
      <c r="G246">
        <f>IF($U246="","",IF(INDEX('Per Invoice'!G$2:G$401,$U246)="","",INDEX('Per Invoice'!G$2:G$401,$U246)))</f>
        <v/>
      </c>
      <c r="H246" s="7">
        <f>IF($U246="","",IF(INDEX('Per Invoice'!H$2:H$401,$U246)="","",INDEX('Per Invoice'!H$2:H$401,$U246)))</f>
        <v/>
      </c>
      <c r="I246" s="14">
        <f>IF($U246="","",IF(INDEX('Per Invoice'!I$2:I$401,$U246)="","",INDEX('Per Invoice'!I$2:I$401,$U246)))</f>
        <v/>
      </c>
      <c r="J246">
        <f>IF($U246="","",IF(INDEX('Per Invoice'!J$2:J$401,$U246)="","",INDEX('Per Invoice'!J$2:J$401,$U246)))</f>
        <v/>
      </c>
      <c r="K246">
        <f>IF($U246="","",IF(INDEX('Per Invoice'!K$2:K$401,$U246)="","",INDEX('Per Invoice'!K$2:K$401,$U246)))</f>
        <v/>
      </c>
      <c r="L246" s="7">
        <f>IF($U246="","",IF(INDEX('Per Invoice'!L$2:L$401,$U246)="","",INDEX('Per Invoice'!L$2:L$401,$U246)))</f>
        <v/>
      </c>
      <c r="M246" s="7">
        <f>IF($U246="","",IF(INDEX('Per Invoice'!M$2:M$401,$U246)="","",INDEX('Per Invoice'!M$2:M$401,$U246)))</f>
        <v/>
      </c>
      <c r="N246">
        <f>IF($U246="","",IF(INDEX('Per Invoice'!N$2:N$401,$U246)="","",INDEX('Per Invoice'!N$2:N$401,$U246)))</f>
        <v/>
      </c>
      <c r="O246" s="7">
        <f>IF($U246="","",IF(INDEX('Per Invoice'!O$2:O$401,$U246)="","",INDEX('Per Invoice'!O$2:O$401,$U246)))</f>
        <v/>
      </c>
      <c r="P246" s="7">
        <f>IF($U246="","",IF(INDEX('Per Invoice'!P$2:P$401,$U246)="","",INDEX('Per Invoice'!P$2:P$401,$U246)))</f>
        <v/>
      </c>
      <c r="Q246" s="7">
        <f>IF($U246="","",IF(INDEX('Per Invoice'!Q$2:Q$401,$U246)="","",INDEX('Per Invoice'!Q$2:Q$401,$U246)))</f>
        <v/>
      </c>
      <c r="R246" s="7">
        <f>IF($U246="","",IF(INDEX('Per Invoice'!R$2:R$401,$U246)="","",INDEX('Per Invoice'!R$2:R$401,$U246)))</f>
        <v/>
      </c>
      <c r="S246" s="7">
        <f>IF($U246="","",IF(INDEX('Per Invoice'!S$2:S$401,$U246)="","",INDEX('Per Invoice'!S$2:S$401,$U246)))</f>
        <v/>
      </c>
      <c r="T246" s="7">
        <f>IF($U246="","",IF(INDEX('Per Invoice'!T$2:T$401,$U246)="","",INDEX('Per Invoice'!T$2:T$401,$U246)))</f>
        <v/>
      </c>
      <c r="U246" s="16">
        <f>IFERROR(MATCH(Settings!$C$27&amp;"|"&amp;ROWS($U$2:$U246),'Per Invoice'!$V$2:$V$401,0),"")</f>
        <v/>
      </c>
    </row>
    <row r="247">
      <c r="A247">
        <f>IF($U247="","",IF(INDEX('Per Invoice'!A$2:A$401,$U247)="","",INDEX('Per Invoice'!A$2:A$401,$U247)))</f>
        <v/>
      </c>
      <c r="B247">
        <f>IF($U247="","",IF(INDEX('Per Invoice'!B$2:B$401,$U247)="","",INDEX('Per Invoice'!B$2:B$401,$U247)))</f>
        <v/>
      </c>
      <c r="C247">
        <f>IF($U247="","",IF(INDEX('Per Invoice'!C$2:C$401,$U247)="","",INDEX('Per Invoice'!C$2:C$401,$U247)))</f>
        <v/>
      </c>
      <c r="D247">
        <f>IF($U247="","",IF(INDEX('Per Invoice'!D$2:D$401,$U247)="","",INDEX('Per Invoice'!D$2:D$401,$U247)))</f>
        <v/>
      </c>
      <c r="E247">
        <f>IF($U247="","",IF(INDEX('Per Invoice'!E$2:E$401,$U247)="","",INDEX('Per Invoice'!E$2:E$401,$U247)))</f>
        <v/>
      </c>
      <c r="F247">
        <f>IF($U247="","",IF(INDEX('Per Invoice'!F$2:F$401,$U247)="","",INDEX('Per Invoice'!F$2:F$401,$U247)))</f>
        <v/>
      </c>
      <c r="G247">
        <f>IF($U247="","",IF(INDEX('Per Invoice'!G$2:G$401,$U247)="","",INDEX('Per Invoice'!G$2:G$401,$U247)))</f>
        <v/>
      </c>
      <c r="H247" s="7">
        <f>IF($U247="","",IF(INDEX('Per Invoice'!H$2:H$401,$U247)="","",INDEX('Per Invoice'!H$2:H$401,$U247)))</f>
        <v/>
      </c>
      <c r="I247" s="14">
        <f>IF($U247="","",IF(INDEX('Per Invoice'!I$2:I$401,$U247)="","",INDEX('Per Invoice'!I$2:I$401,$U247)))</f>
        <v/>
      </c>
      <c r="J247">
        <f>IF($U247="","",IF(INDEX('Per Invoice'!J$2:J$401,$U247)="","",INDEX('Per Invoice'!J$2:J$401,$U247)))</f>
        <v/>
      </c>
      <c r="K247">
        <f>IF($U247="","",IF(INDEX('Per Invoice'!K$2:K$401,$U247)="","",INDEX('Per Invoice'!K$2:K$401,$U247)))</f>
        <v/>
      </c>
      <c r="L247" s="7">
        <f>IF($U247="","",IF(INDEX('Per Invoice'!L$2:L$401,$U247)="","",INDEX('Per Invoice'!L$2:L$401,$U247)))</f>
        <v/>
      </c>
      <c r="M247" s="7">
        <f>IF($U247="","",IF(INDEX('Per Invoice'!M$2:M$401,$U247)="","",INDEX('Per Invoice'!M$2:M$401,$U247)))</f>
        <v/>
      </c>
      <c r="N247">
        <f>IF($U247="","",IF(INDEX('Per Invoice'!N$2:N$401,$U247)="","",INDEX('Per Invoice'!N$2:N$401,$U247)))</f>
        <v/>
      </c>
      <c r="O247" s="7">
        <f>IF($U247="","",IF(INDEX('Per Invoice'!O$2:O$401,$U247)="","",INDEX('Per Invoice'!O$2:O$401,$U247)))</f>
        <v/>
      </c>
      <c r="P247" s="7">
        <f>IF($U247="","",IF(INDEX('Per Invoice'!P$2:P$401,$U247)="","",INDEX('Per Invoice'!P$2:P$401,$U247)))</f>
        <v/>
      </c>
      <c r="Q247" s="7">
        <f>IF($U247="","",IF(INDEX('Per Invoice'!Q$2:Q$401,$U247)="","",INDEX('Per Invoice'!Q$2:Q$401,$U247)))</f>
        <v/>
      </c>
      <c r="R247" s="7">
        <f>IF($U247="","",IF(INDEX('Per Invoice'!R$2:R$401,$U247)="","",INDEX('Per Invoice'!R$2:R$401,$U247)))</f>
        <v/>
      </c>
      <c r="S247" s="7">
        <f>IF($U247="","",IF(INDEX('Per Invoice'!S$2:S$401,$U247)="","",INDEX('Per Invoice'!S$2:S$401,$U247)))</f>
        <v/>
      </c>
      <c r="T247" s="7">
        <f>IF($U247="","",IF(INDEX('Per Invoice'!T$2:T$401,$U247)="","",INDEX('Per Invoice'!T$2:T$401,$U247)))</f>
        <v/>
      </c>
      <c r="U247" s="16">
        <f>IFERROR(MATCH(Settings!$C$27&amp;"|"&amp;ROWS($U$2:$U247),'Per Invoice'!$V$2:$V$401,0),"")</f>
        <v/>
      </c>
    </row>
    <row r="248">
      <c r="A248">
        <f>IF($U248="","",IF(INDEX('Per Invoice'!A$2:A$401,$U248)="","",INDEX('Per Invoice'!A$2:A$401,$U248)))</f>
        <v/>
      </c>
      <c r="B248">
        <f>IF($U248="","",IF(INDEX('Per Invoice'!B$2:B$401,$U248)="","",INDEX('Per Invoice'!B$2:B$401,$U248)))</f>
        <v/>
      </c>
      <c r="C248">
        <f>IF($U248="","",IF(INDEX('Per Invoice'!C$2:C$401,$U248)="","",INDEX('Per Invoice'!C$2:C$401,$U248)))</f>
        <v/>
      </c>
      <c r="D248">
        <f>IF($U248="","",IF(INDEX('Per Invoice'!D$2:D$401,$U248)="","",INDEX('Per Invoice'!D$2:D$401,$U248)))</f>
        <v/>
      </c>
      <c r="E248">
        <f>IF($U248="","",IF(INDEX('Per Invoice'!E$2:E$401,$U248)="","",INDEX('Per Invoice'!E$2:E$401,$U248)))</f>
        <v/>
      </c>
      <c r="F248">
        <f>IF($U248="","",IF(INDEX('Per Invoice'!F$2:F$401,$U248)="","",INDEX('Per Invoice'!F$2:F$401,$U248)))</f>
        <v/>
      </c>
      <c r="G248">
        <f>IF($U248="","",IF(INDEX('Per Invoice'!G$2:G$401,$U248)="","",INDEX('Per Invoice'!G$2:G$401,$U248)))</f>
        <v/>
      </c>
      <c r="H248" s="7">
        <f>IF($U248="","",IF(INDEX('Per Invoice'!H$2:H$401,$U248)="","",INDEX('Per Invoice'!H$2:H$401,$U248)))</f>
        <v/>
      </c>
      <c r="I248" s="14">
        <f>IF($U248="","",IF(INDEX('Per Invoice'!I$2:I$401,$U248)="","",INDEX('Per Invoice'!I$2:I$401,$U248)))</f>
        <v/>
      </c>
      <c r="J248">
        <f>IF($U248="","",IF(INDEX('Per Invoice'!J$2:J$401,$U248)="","",INDEX('Per Invoice'!J$2:J$401,$U248)))</f>
        <v/>
      </c>
      <c r="K248">
        <f>IF($U248="","",IF(INDEX('Per Invoice'!K$2:K$401,$U248)="","",INDEX('Per Invoice'!K$2:K$401,$U248)))</f>
        <v/>
      </c>
      <c r="L248" s="7">
        <f>IF($U248="","",IF(INDEX('Per Invoice'!L$2:L$401,$U248)="","",INDEX('Per Invoice'!L$2:L$401,$U248)))</f>
        <v/>
      </c>
      <c r="M248" s="7">
        <f>IF($U248="","",IF(INDEX('Per Invoice'!M$2:M$401,$U248)="","",INDEX('Per Invoice'!M$2:M$401,$U248)))</f>
        <v/>
      </c>
      <c r="N248">
        <f>IF($U248="","",IF(INDEX('Per Invoice'!N$2:N$401,$U248)="","",INDEX('Per Invoice'!N$2:N$401,$U248)))</f>
        <v/>
      </c>
      <c r="O248" s="7">
        <f>IF($U248="","",IF(INDEX('Per Invoice'!O$2:O$401,$U248)="","",INDEX('Per Invoice'!O$2:O$401,$U248)))</f>
        <v/>
      </c>
      <c r="P248" s="7">
        <f>IF($U248="","",IF(INDEX('Per Invoice'!P$2:P$401,$U248)="","",INDEX('Per Invoice'!P$2:P$401,$U248)))</f>
        <v/>
      </c>
      <c r="Q248" s="7">
        <f>IF($U248="","",IF(INDEX('Per Invoice'!Q$2:Q$401,$U248)="","",INDEX('Per Invoice'!Q$2:Q$401,$U248)))</f>
        <v/>
      </c>
      <c r="R248" s="7">
        <f>IF($U248="","",IF(INDEX('Per Invoice'!R$2:R$401,$U248)="","",INDEX('Per Invoice'!R$2:R$401,$U248)))</f>
        <v/>
      </c>
      <c r="S248" s="7">
        <f>IF($U248="","",IF(INDEX('Per Invoice'!S$2:S$401,$U248)="","",INDEX('Per Invoice'!S$2:S$401,$U248)))</f>
        <v/>
      </c>
      <c r="T248" s="7">
        <f>IF($U248="","",IF(INDEX('Per Invoice'!T$2:T$401,$U248)="","",INDEX('Per Invoice'!T$2:T$401,$U248)))</f>
        <v/>
      </c>
      <c r="U248" s="16">
        <f>IFERROR(MATCH(Settings!$C$27&amp;"|"&amp;ROWS($U$2:$U248),'Per Invoice'!$V$2:$V$401,0),"")</f>
        <v/>
      </c>
    </row>
    <row r="249">
      <c r="A249">
        <f>IF($U249="","",IF(INDEX('Per Invoice'!A$2:A$401,$U249)="","",INDEX('Per Invoice'!A$2:A$401,$U249)))</f>
        <v/>
      </c>
      <c r="B249">
        <f>IF($U249="","",IF(INDEX('Per Invoice'!B$2:B$401,$U249)="","",INDEX('Per Invoice'!B$2:B$401,$U249)))</f>
        <v/>
      </c>
      <c r="C249">
        <f>IF($U249="","",IF(INDEX('Per Invoice'!C$2:C$401,$U249)="","",INDEX('Per Invoice'!C$2:C$401,$U249)))</f>
        <v/>
      </c>
      <c r="D249">
        <f>IF($U249="","",IF(INDEX('Per Invoice'!D$2:D$401,$U249)="","",INDEX('Per Invoice'!D$2:D$401,$U249)))</f>
        <v/>
      </c>
      <c r="E249">
        <f>IF($U249="","",IF(INDEX('Per Invoice'!E$2:E$401,$U249)="","",INDEX('Per Invoice'!E$2:E$401,$U249)))</f>
        <v/>
      </c>
      <c r="F249">
        <f>IF($U249="","",IF(INDEX('Per Invoice'!F$2:F$401,$U249)="","",INDEX('Per Invoice'!F$2:F$401,$U249)))</f>
        <v/>
      </c>
      <c r="G249">
        <f>IF($U249="","",IF(INDEX('Per Invoice'!G$2:G$401,$U249)="","",INDEX('Per Invoice'!G$2:G$401,$U249)))</f>
        <v/>
      </c>
      <c r="H249" s="7">
        <f>IF($U249="","",IF(INDEX('Per Invoice'!H$2:H$401,$U249)="","",INDEX('Per Invoice'!H$2:H$401,$U249)))</f>
        <v/>
      </c>
      <c r="I249" s="14">
        <f>IF($U249="","",IF(INDEX('Per Invoice'!I$2:I$401,$U249)="","",INDEX('Per Invoice'!I$2:I$401,$U249)))</f>
        <v/>
      </c>
      <c r="J249">
        <f>IF($U249="","",IF(INDEX('Per Invoice'!J$2:J$401,$U249)="","",INDEX('Per Invoice'!J$2:J$401,$U249)))</f>
        <v/>
      </c>
      <c r="K249">
        <f>IF($U249="","",IF(INDEX('Per Invoice'!K$2:K$401,$U249)="","",INDEX('Per Invoice'!K$2:K$401,$U249)))</f>
        <v/>
      </c>
      <c r="L249" s="7">
        <f>IF($U249="","",IF(INDEX('Per Invoice'!L$2:L$401,$U249)="","",INDEX('Per Invoice'!L$2:L$401,$U249)))</f>
        <v/>
      </c>
      <c r="M249" s="7">
        <f>IF($U249="","",IF(INDEX('Per Invoice'!M$2:M$401,$U249)="","",INDEX('Per Invoice'!M$2:M$401,$U249)))</f>
        <v/>
      </c>
      <c r="N249">
        <f>IF($U249="","",IF(INDEX('Per Invoice'!N$2:N$401,$U249)="","",INDEX('Per Invoice'!N$2:N$401,$U249)))</f>
        <v/>
      </c>
      <c r="O249" s="7">
        <f>IF($U249="","",IF(INDEX('Per Invoice'!O$2:O$401,$U249)="","",INDEX('Per Invoice'!O$2:O$401,$U249)))</f>
        <v/>
      </c>
      <c r="P249" s="7">
        <f>IF($U249="","",IF(INDEX('Per Invoice'!P$2:P$401,$U249)="","",INDEX('Per Invoice'!P$2:P$401,$U249)))</f>
        <v/>
      </c>
      <c r="Q249" s="7">
        <f>IF($U249="","",IF(INDEX('Per Invoice'!Q$2:Q$401,$U249)="","",INDEX('Per Invoice'!Q$2:Q$401,$U249)))</f>
        <v/>
      </c>
      <c r="R249" s="7">
        <f>IF($U249="","",IF(INDEX('Per Invoice'!R$2:R$401,$U249)="","",INDEX('Per Invoice'!R$2:R$401,$U249)))</f>
        <v/>
      </c>
      <c r="S249" s="7">
        <f>IF($U249="","",IF(INDEX('Per Invoice'!S$2:S$401,$U249)="","",INDEX('Per Invoice'!S$2:S$401,$U249)))</f>
        <v/>
      </c>
      <c r="T249" s="7">
        <f>IF($U249="","",IF(INDEX('Per Invoice'!T$2:T$401,$U249)="","",INDEX('Per Invoice'!T$2:T$401,$U249)))</f>
        <v/>
      </c>
      <c r="U249" s="16">
        <f>IFERROR(MATCH(Settings!$C$27&amp;"|"&amp;ROWS($U$2:$U249),'Per Invoice'!$V$2:$V$401,0),"")</f>
        <v/>
      </c>
    </row>
    <row r="250">
      <c r="A250">
        <f>IF($U250="","",IF(INDEX('Per Invoice'!A$2:A$401,$U250)="","",INDEX('Per Invoice'!A$2:A$401,$U250)))</f>
        <v/>
      </c>
      <c r="B250">
        <f>IF($U250="","",IF(INDEX('Per Invoice'!B$2:B$401,$U250)="","",INDEX('Per Invoice'!B$2:B$401,$U250)))</f>
        <v/>
      </c>
      <c r="C250">
        <f>IF($U250="","",IF(INDEX('Per Invoice'!C$2:C$401,$U250)="","",INDEX('Per Invoice'!C$2:C$401,$U250)))</f>
        <v/>
      </c>
      <c r="D250">
        <f>IF($U250="","",IF(INDEX('Per Invoice'!D$2:D$401,$U250)="","",INDEX('Per Invoice'!D$2:D$401,$U250)))</f>
        <v/>
      </c>
      <c r="E250">
        <f>IF($U250="","",IF(INDEX('Per Invoice'!E$2:E$401,$U250)="","",INDEX('Per Invoice'!E$2:E$401,$U250)))</f>
        <v/>
      </c>
      <c r="F250">
        <f>IF($U250="","",IF(INDEX('Per Invoice'!F$2:F$401,$U250)="","",INDEX('Per Invoice'!F$2:F$401,$U250)))</f>
        <v/>
      </c>
      <c r="G250">
        <f>IF($U250="","",IF(INDEX('Per Invoice'!G$2:G$401,$U250)="","",INDEX('Per Invoice'!G$2:G$401,$U250)))</f>
        <v/>
      </c>
      <c r="H250" s="7">
        <f>IF($U250="","",IF(INDEX('Per Invoice'!H$2:H$401,$U250)="","",INDEX('Per Invoice'!H$2:H$401,$U250)))</f>
        <v/>
      </c>
      <c r="I250" s="14">
        <f>IF($U250="","",IF(INDEX('Per Invoice'!I$2:I$401,$U250)="","",INDEX('Per Invoice'!I$2:I$401,$U250)))</f>
        <v/>
      </c>
      <c r="J250">
        <f>IF($U250="","",IF(INDEX('Per Invoice'!J$2:J$401,$U250)="","",INDEX('Per Invoice'!J$2:J$401,$U250)))</f>
        <v/>
      </c>
      <c r="K250">
        <f>IF($U250="","",IF(INDEX('Per Invoice'!K$2:K$401,$U250)="","",INDEX('Per Invoice'!K$2:K$401,$U250)))</f>
        <v/>
      </c>
      <c r="L250" s="7">
        <f>IF($U250="","",IF(INDEX('Per Invoice'!L$2:L$401,$U250)="","",INDEX('Per Invoice'!L$2:L$401,$U250)))</f>
        <v/>
      </c>
      <c r="M250" s="7">
        <f>IF($U250="","",IF(INDEX('Per Invoice'!M$2:M$401,$U250)="","",INDEX('Per Invoice'!M$2:M$401,$U250)))</f>
        <v/>
      </c>
      <c r="N250">
        <f>IF($U250="","",IF(INDEX('Per Invoice'!N$2:N$401,$U250)="","",INDEX('Per Invoice'!N$2:N$401,$U250)))</f>
        <v/>
      </c>
      <c r="O250" s="7">
        <f>IF($U250="","",IF(INDEX('Per Invoice'!O$2:O$401,$U250)="","",INDEX('Per Invoice'!O$2:O$401,$U250)))</f>
        <v/>
      </c>
      <c r="P250" s="7">
        <f>IF($U250="","",IF(INDEX('Per Invoice'!P$2:P$401,$U250)="","",INDEX('Per Invoice'!P$2:P$401,$U250)))</f>
        <v/>
      </c>
      <c r="Q250" s="7">
        <f>IF($U250="","",IF(INDEX('Per Invoice'!Q$2:Q$401,$U250)="","",INDEX('Per Invoice'!Q$2:Q$401,$U250)))</f>
        <v/>
      </c>
      <c r="R250" s="7">
        <f>IF($U250="","",IF(INDEX('Per Invoice'!R$2:R$401,$U250)="","",INDEX('Per Invoice'!R$2:R$401,$U250)))</f>
        <v/>
      </c>
      <c r="S250" s="7">
        <f>IF($U250="","",IF(INDEX('Per Invoice'!S$2:S$401,$U250)="","",INDEX('Per Invoice'!S$2:S$401,$U250)))</f>
        <v/>
      </c>
      <c r="T250" s="7">
        <f>IF($U250="","",IF(INDEX('Per Invoice'!T$2:T$401,$U250)="","",INDEX('Per Invoice'!T$2:T$401,$U250)))</f>
        <v/>
      </c>
      <c r="U250" s="16">
        <f>IFERROR(MATCH(Settings!$C$27&amp;"|"&amp;ROWS($U$2:$U250),'Per Invoice'!$V$2:$V$401,0),"")</f>
        <v/>
      </c>
    </row>
    <row r="251">
      <c r="A251">
        <f>IF($U251="","",IF(INDEX('Per Invoice'!A$2:A$401,$U251)="","",INDEX('Per Invoice'!A$2:A$401,$U251)))</f>
        <v/>
      </c>
      <c r="B251">
        <f>IF($U251="","",IF(INDEX('Per Invoice'!B$2:B$401,$U251)="","",INDEX('Per Invoice'!B$2:B$401,$U251)))</f>
        <v/>
      </c>
      <c r="C251">
        <f>IF($U251="","",IF(INDEX('Per Invoice'!C$2:C$401,$U251)="","",INDEX('Per Invoice'!C$2:C$401,$U251)))</f>
        <v/>
      </c>
      <c r="D251">
        <f>IF($U251="","",IF(INDEX('Per Invoice'!D$2:D$401,$U251)="","",INDEX('Per Invoice'!D$2:D$401,$U251)))</f>
        <v/>
      </c>
      <c r="E251">
        <f>IF($U251="","",IF(INDEX('Per Invoice'!E$2:E$401,$U251)="","",INDEX('Per Invoice'!E$2:E$401,$U251)))</f>
        <v/>
      </c>
      <c r="F251">
        <f>IF($U251="","",IF(INDEX('Per Invoice'!F$2:F$401,$U251)="","",INDEX('Per Invoice'!F$2:F$401,$U251)))</f>
        <v/>
      </c>
      <c r="G251">
        <f>IF($U251="","",IF(INDEX('Per Invoice'!G$2:G$401,$U251)="","",INDEX('Per Invoice'!G$2:G$401,$U251)))</f>
        <v/>
      </c>
      <c r="H251" s="7">
        <f>IF($U251="","",IF(INDEX('Per Invoice'!H$2:H$401,$U251)="","",INDEX('Per Invoice'!H$2:H$401,$U251)))</f>
        <v/>
      </c>
      <c r="I251" s="14">
        <f>IF($U251="","",IF(INDEX('Per Invoice'!I$2:I$401,$U251)="","",INDEX('Per Invoice'!I$2:I$401,$U251)))</f>
        <v/>
      </c>
      <c r="J251">
        <f>IF($U251="","",IF(INDEX('Per Invoice'!J$2:J$401,$U251)="","",INDEX('Per Invoice'!J$2:J$401,$U251)))</f>
        <v/>
      </c>
      <c r="K251">
        <f>IF($U251="","",IF(INDEX('Per Invoice'!K$2:K$401,$U251)="","",INDEX('Per Invoice'!K$2:K$401,$U251)))</f>
        <v/>
      </c>
      <c r="L251" s="7">
        <f>IF($U251="","",IF(INDEX('Per Invoice'!L$2:L$401,$U251)="","",INDEX('Per Invoice'!L$2:L$401,$U251)))</f>
        <v/>
      </c>
      <c r="M251" s="7">
        <f>IF($U251="","",IF(INDEX('Per Invoice'!M$2:M$401,$U251)="","",INDEX('Per Invoice'!M$2:M$401,$U251)))</f>
        <v/>
      </c>
      <c r="N251">
        <f>IF($U251="","",IF(INDEX('Per Invoice'!N$2:N$401,$U251)="","",INDEX('Per Invoice'!N$2:N$401,$U251)))</f>
        <v/>
      </c>
      <c r="O251" s="7">
        <f>IF($U251="","",IF(INDEX('Per Invoice'!O$2:O$401,$U251)="","",INDEX('Per Invoice'!O$2:O$401,$U251)))</f>
        <v/>
      </c>
      <c r="P251" s="7">
        <f>IF($U251="","",IF(INDEX('Per Invoice'!P$2:P$401,$U251)="","",INDEX('Per Invoice'!P$2:P$401,$U251)))</f>
        <v/>
      </c>
      <c r="Q251" s="7">
        <f>IF($U251="","",IF(INDEX('Per Invoice'!Q$2:Q$401,$U251)="","",INDEX('Per Invoice'!Q$2:Q$401,$U251)))</f>
        <v/>
      </c>
      <c r="R251" s="7">
        <f>IF($U251="","",IF(INDEX('Per Invoice'!R$2:R$401,$U251)="","",INDEX('Per Invoice'!R$2:R$401,$U251)))</f>
        <v/>
      </c>
      <c r="S251" s="7">
        <f>IF($U251="","",IF(INDEX('Per Invoice'!S$2:S$401,$U251)="","",INDEX('Per Invoice'!S$2:S$401,$U251)))</f>
        <v/>
      </c>
      <c r="T251" s="7">
        <f>IF($U251="","",IF(INDEX('Per Invoice'!T$2:T$401,$U251)="","",INDEX('Per Invoice'!T$2:T$401,$U251)))</f>
        <v/>
      </c>
      <c r="U251" s="16">
        <f>IFERROR(MATCH(Settings!$C$27&amp;"|"&amp;ROWS($U$2:$U251),'Per Invoice'!$V$2:$V$401,0),"")</f>
        <v/>
      </c>
    </row>
    <row r="252">
      <c r="A252">
        <f>IF($U252="","",IF(INDEX('Per Invoice'!A$2:A$401,$U252)="","",INDEX('Per Invoice'!A$2:A$401,$U252)))</f>
        <v/>
      </c>
      <c r="B252">
        <f>IF($U252="","",IF(INDEX('Per Invoice'!B$2:B$401,$U252)="","",INDEX('Per Invoice'!B$2:B$401,$U252)))</f>
        <v/>
      </c>
      <c r="C252">
        <f>IF($U252="","",IF(INDEX('Per Invoice'!C$2:C$401,$U252)="","",INDEX('Per Invoice'!C$2:C$401,$U252)))</f>
        <v/>
      </c>
      <c r="D252">
        <f>IF($U252="","",IF(INDEX('Per Invoice'!D$2:D$401,$U252)="","",INDEX('Per Invoice'!D$2:D$401,$U252)))</f>
        <v/>
      </c>
      <c r="E252">
        <f>IF($U252="","",IF(INDEX('Per Invoice'!E$2:E$401,$U252)="","",INDEX('Per Invoice'!E$2:E$401,$U252)))</f>
        <v/>
      </c>
      <c r="F252">
        <f>IF($U252="","",IF(INDEX('Per Invoice'!F$2:F$401,$U252)="","",INDEX('Per Invoice'!F$2:F$401,$U252)))</f>
        <v/>
      </c>
      <c r="G252">
        <f>IF($U252="","",IF(INDEX('Per Invoice'!G$2:G$401,$U252)="","",INDEX('Per Invoice'!G$2:G$401,$U252)))</f>
        <v/>
      </c>
      <c r="H252" s="7">
        <f>IF($U252="","",IF(INDEX('Per Invoice'!H$2:H$401,$U252)="","",INDEX('Per Invoice'!H$2:H$401,$U252)))</f>
        <v/>
      </c>
      <c r="I252" s="14">
        <f>IF($U252="","",IF(INDEX('Per Invoice'!I$2:I$401,$U252)="","",INDEX('Per Invoice'!I$2:I$401,$U252)))</f>
        <v/>
      </c>
      <c r="J252">
        <f>IF($U252="","",IF(INDEX('Per Invoice'!J$2:J$401,$U252)="","",INDEX('Per Invoice'!J$2:J$401,$U252)))</f>
        <v/>
      </c>
      <c r="K252">
        <f>IF($U252="","",IF(INDEX('Per Invoice'!K$2:K$401,$U252)="","",INDEX('Per Invoice'!K$2:K$401,$U252)))</f>
        <v/>
      </c>
      <c r="L252" s="7">
        <f>IF($U252="","",IF(INDEX('Per Invoice'!L$2:L$401,$U252)="","",INDEX('Per Invoice'!L$2:L$401,$U252)))</f>
        <v/>
      </c>
      <c r="M252" s="7">
        <f>IF($U252="","",IF(INDEX('Per Invoice'!M$2:M$401,$U252)="","",INDEX('Per Invoice'!M$2:M$401,$U252)))</f>
        <v/>
      </c>
      <c r="N252">
        <f>IF($U252="","",IF(INDEX('Per Invoice'!N$2:N$401,$U252)="","",INDEX('Per Invoice'!N$2:N$401,$U252)))</f>
        <v/>
      </c>
      <c r="O252" s="7">
        <f>IF($U252="","",IF(INDEX('Per Invoice'!O$2:O$401,$U252)="","",INDEX('Per Invoice'!O$2:O$401,$U252)))</f>
        <v/>
      </c>
      <c r="P252" s="7">
        <f>IF($U252="","",IF(INDEX('Per Invoice'!P$2:P$401,$U252)="","",INDEX('Per Invoice'!P$2:P$401,$U252)))</f>
        <v/>
      </c>
      <c r="Q252" s="7">
        <f>IF($U252="","",IF(INDEX('Per Invoice'!Q$2:Q$401,$U252)="","",INDEX('Per Invoice'!Q$2:Q$401,$U252)))</f>
        <v/>
      </c>
      <c r="R252" s="7">
        <f>IF($U252="","",IF(INDEX('Per Invoice'!R$2:R$401,$U252)="","",INDEX('Per Invoice'!R$2:R$401,$U252)))</f>
        <v/>
      </c>
      <c r="S252" s="7">
        <f>IF($U252="","",IF(INDEX('Per Invoice'!S$2:S$401,$U252)="","",INDEX('Per Invoice'!S$2:S$401,$U252)))</f>
        <v/>
      </c>
      <c r="T252" s="7">
        <f>IF($U252="","",IF(INDEX('Per Invoice'!T$2:T$401,$U252)="","",INDEX('Per Invoice'!T$2:T$401,$U252)))</f>
        <v/>
      </c>
      <c r="U252" s="16">
        <f>IFERROR(MATCH(Settings!$C$27&amp;"|"&amp;ROWS($U$2:$U252),'Per Invoice'!$V$2:$V$401,0),"")</f>
        <v/>
      </c>
    </row>
    <row r="253">
      <c r="A253">
        <f>IF($U253="","",IF(INDEX('Per Invoice'!A$2:A$401,$U253)="","",INDEX('Per Invoice'!A$2:A$401,$U253)))</f>
        <v/>
      </c>
      <c r="B253">
        <f>IF($U253="","",IF(INDEX('Per Invoice'!B$2:B$401,$U253)="","",INDEX('Per Invoice'!B$2:B$401,$U253)))</f>
        <v/>
      </c>
      <c r="C253">
        <f>IF($U253="","",IF(INDEX('Per Invoice'!C$2:C$401,$U253)="","",INDEX('Per Invoice'!C$2:C$401,$U253)))</f>
        <v/>
      </c>
      <c r="D253">
        <f>IF($U253="","",IF(INDEX('Per Invoice'!D$2:D$401,$U253)="","",INDEX('Per Invoice'!D$2:D$401,$U253)))</f>
        <v/>
      </c>
      <c r="E253">
        <f>IF($U253="","",IF(INDEX('Per Invoice'!E$2:E$401,$U253)="","",INDEX('Per Invoice'!E$2:E$401,$U253)))</f>
        <v/>
      </c>
      <c r="F253">
        <f>IF($U253="","",IF(INDEX('Per Invoice'!F$2:F$401,$U253)="","",INDEX('Per Invoice'!F$2:F$401,$U253)))</f>
        <v/>
      </c>
      <c r="G253">
        <f>IF($U253="","",IF(INDEX('Per Invoice'!G$2:G$401,$U253)="","",INDEX('Per Invoice'!G$2:G$401,$U253)))</f>
        <v/>
      </c>
      <c r="H253" s="7">
        <f>IF($U253="","",IF(INDEX('Per Invoice'!H$2:H$401,$U253)="","",INDEX('Per Invoice'!H$2:H$401,$U253)))</f>
        <v/>
      </c>
      <c r="I253" s="14">
        <f>IF($U253="","",IF(INDEX('Per Invoice'!I$2:I$401,$U253)="","",INDEX('Per Invoice'!I$2:I$401,$U253)))</f>
        <v/>
      </c>
      <c r="J253">
        <f>IF($U253="","",IF(INDEX('Per Invoice'!J$2:J$401,$U253)="","",INDEX('Per Invoice'!J$2:J$401,$U253)))</f>
        <v/>
      </c>
      <c r="K253">
        <f>IF($U253="","",IF(INDEX('Per Invoice'!K$2:K$401,$U253)="","",INDEX('Per Invoice'!K$2:K$401,$U253)))</f>
        <v/>
      </c>
      <c r="L253" s="7">
        <f>IF($U253="","",IF(INDEX('Per Invoice'!L$2:L$401,$U253)="","",INDEX('Per Invoice'!L$2:L$401,$U253)))</f>
        <v/>
      </c>
      <c r="M253" s="7">
        <f>IF($U253="","",IF(INDEX('Per Invoice'!M$2:M$401,$U253)="","",INDEX('Per Invoice'!M$2:M$401,$U253)))</f>
        <v/>
      </c>
      <c r="N253">
        <f>IF($U253="","",IF(INDEX('Per Invoice'!N$2:N$401,$U253)="","",INDEX('Per Invoice'!N$2:N$401,$U253)))</f>
        <v/>
      </c>
      <c r="O253" s="7">
        <f>IF($U253="","",IF(INDEX('Per Invoice'!O$2:O$401,$U253)="","",INDEX('Per Invoice'!O$2:O$401,$U253)))</f>
        <v/>
      </c>
      <c r="P253" s="7">
        <f>IF($U253="","",IF(INDEX('Per Invoice'!P$2:P$401,$U253)="","",INDEX('Per Invoice'!P$2:P$401,$U253)))</f>
        <v/>
      </c>
      <c r="Q253" s="7">
        <f>IF($U253="","",IF(INDEX('Per Invoice'!Q$2:Q$401,$U253)="","",INDEX('Per Invoice'!Q$2:Q$401,$U253)))</f>
        <v/>
      </c>
      <c r="R253" s="7">
        <f>IF($U253="","",IF(INDEX('Per Invoice'!R$2:R$401,$U253)="","",INDEX('Per Invoice'!R$2:R$401,$U253)))</f>
        <v/>
      </c>
      <c r="S253" s="7">
        <f>IF($U253="","",IF(INDEX('Per Invoice'!S$2:S$401,$U253)="","",INDEX('Per Invoice'!S$2:S$401,$U253)))</f>
        <v/>
      </c>
      <c r="T253" s="7">
        <f>IF($U253="","",IF(INDEX('Per Invoice'!T$2:T$401,$U253)="","",INDEX('Per Invoice'!T$2:T$401,$U253)))</f>
        <v/>
      </c>
      <c r="U253" s="16">
        <f>IFERROR(MATCH(Settings!$C$27&amp;"|"&amp;ROWS($U$2:$U253),'Per Invoice'!$V$2:$V$401,0),"")</f>
        <v/>
      </c>
    </row>
    <row r="254">
      <c r="A254">
        <f>IF($U254="","",IF(INDEX('Per Invoice'!A$2:A$401,$U254)="","",INDEX('Per Invoice'!A$2:A$401,$U254)))</f>
        <v/>
      </c>
      <c r="B254">
        <f>IF($U254="","",IF(INDEX('Per Invoice'!B$2:B$401,$U254)="","",INDEX('Per Invoice'!B$2:B$401,$U254)))</f>
        <v/>
      </c>
      <c r="C254">
        <f>IF($U254="","",IF(INDEX('Per Invoice'!C$2:C$401,$U254)="","",INDEX('Per Invoice'!C$2:C$401,$U254)))</f>
        <v/>
      </c>
      <c r="D254">
        <f>IF($U254="","",IF(INDEX('Per Invoice'!D$2:D$401,$U254)="","",INDEX('Per Invoice'!D$2:D$401,$U254)))</f>
        <v/>
      </c>
      <c r="E254">
        <f>IF($U254="","",IF(INDEX('Per Invoice'!E$2:E$401,$U254)="","",INDEX('Per Invoice'!E$2:E$401,$U254)))</f>
        <v/>
      </c>
      <c r="F254">
        <f>IF($U254="","",IF(INDEX('Per Invoice'!F$2:F$401,$U254)="","",INDEX('Per Invoice'!F$2:F$401,$U254)))</f>
        <v/>
      </c>
      <c r="G254">
        <f>IF($U254="","",IF(INDEX('Per Invoice'!G$2:G$401,$U254)="","",INDEX('Per Invoice'!G$2:G$401,$U254)))</f>
        <v/>
      </c>
      <c r="H254" s="7">
        <f>IF($U254="","",IF(INDEX('Per Invoice'!H$2:H$401,$U254)="","",INDEX('Per Invoice'!H$2:H$401,$U254)))</f>
        <v/>
      </c>
      <c r="I254" s="14">
        <f>IF($U254="","",IF(INDEX('Per Invoice'!I$2:I$401,$U254)="","",INDEX('Per Invoice'!I$2:I$401,$U254)))</f>
        <v/>
      </c>
      <c r="J254">
        <f>IF($U254="","",IF(INDEX('Per Invoice'!J$2:J$401,$U254)="","",INDEX('Per Invoice'!J$2:J$401,$U254)))</f>
        <v/>
      </c>
      <c r="K254">
        <f>IF($U254="","",IF(INDEX('Per Invoice'!K$2:K$401,$U254)="","",INDEX('Per Invoice'!K$2:K$401,$U254)))</f>
        <v/>
      </c>
      <c r="L254" s="7">
        <f>IF($U254="","",IF(INDEX('Per Invoice'!L$2:L$401,$U254)="","",INDEX('Per Invoice'!L$2:L$401,$U254)))</f>
        <v/>
      </c>
      <c r="M254" s="7">
        <f>IF($U254="","",IF(INDEX('Per Invoice'!M$2:M$401,$U254)="","",INDEX('Per Invoice'!M$2:M$401,$U254)))</f>
        <v/>
      </c>
      <c r="N254">
        <f>IF($U254="","",IF(INDEX('Per Invoice'!N$2:N$401,$U254)="","",INDEX('Per Invoice'!N$2:N$401,$U254)))</f>
        <v/>
      </c>
      <c r="O254" s="7">
        <f>IF($U254="","",IF(INDEX('Per Invoice'!O$2:O$401,$U254)="","",INDEX('Per Invoice'!O$2:O$401,$U254)))</f>
        <v/>
      </c>
      <c r="P254" s="7">
        <f>IF($U254="","",IF(INDEX('Per Invoice'!P$2:P$401,$U254)="","",INDEX('Per Invoice'!P$2:P$401,$U254)))</f>
        <v/>
      </c>
      <c r="Q254" s="7">
        <f>IF($U254="","",IF(INDEX('Per Invoice'!Q$2:Q$401,$U254)="","",INDEX('Per Invoice'!Q$2:Q$401,$U254)))</f>
        <v/>
      </c>
      <c r="R254" s="7">
        <f>IF($U254="","",IF(INDEX('Per Invoice'!R$2:R$401,$U254)="","",INDEX('Per Invoice'!R$2:R$401,$U254)))</f>
        <v/>
      </c>
      <c r="S254" s="7">
        <f>IF($U254="","",IF(INDEX('Per Invoice'!S$2:S$401,$U254)="","",INDEX('Per Invoice'!S$2:S$401,$U254)))</f>
        <v/>
      </c>
      <c r="T254" s="7">
        <f>IF($U254="","",IF(INDEX('Per Invoice'!T$2:T$401,$U254)="","",INDEX('Per Invoice'!T$2:T$401,$U254)))</f>
        <v/>
      </c>
      <c r="U254" s="16">
        <f>IFERROR(MATCH(Settings!$C$27&amp;"|"&amp;ROWS($U$2:$U254),'Per Invoice'!$V$2:$V$401,0),"")</f>
        <v/>
      </c>
    </row>
    <row r="255">
      <c r="A255">
        <f>IF($U255="","",IF(INDEX('Per Invoice'!A$2:A$401,$U255)="","",INDEX('Per Invoice'!A$2:A$401,$U255)))</f>
        <v/>
      </c>
      <c r="B255">
        <f>IF($U255="","",IF(INDEX('Per Invoice'!B$2:B$401,$U255)="","",INDEX('Per Invoice'!B$2:B$401,$U255)))</f>
        <v/>
      </c>
      <c r="C255">
        <f>IF($U255="","",IF(INDEX('Per Invoice'!C$2:C$401,$U255)="","",INDEX('Per Invoice'!C$2:C$401,$U255)))</f>
        <v/>
      </c>
      <c r="D255">
        <f>IF($U255="","",IF(INDEX('Per Invoice'!D$2:D$401,$U255)="","",INDEX('Per Invoice'!D$2:D$401,$U255)))</f>
        <v/>
      </c>
      <c r="E255">
        <f>IF($U255="","",IF(INDEX('Per Invoice'!E$2:E$401,$U255)="","",INDEX('Per Invoice'!E$2:E$401,$U255)))</f>
        <v/>
      </c>
      <c r="F255">
        <f>IF($U255="","",IF(INDEX('Per Invoice'!F$2:F$401,$U255)="","",INDEX('Per Invoice'!F$2:F$401,$U255)))</f>
        <v/>
      </c>
      <c r="G255">
        <f>IF($U255="","",IF(INDEX('Per Invoice'!G$2:G$401,$U255)="","",INDEX('Per Invoice'!G$2:G$401,$U255)))</f>
        <v/>
      </c>
      <c r="H255" s="7">
        <f>IF($U255="","",IF(INDEX('Per Invoice'!H$2:H$401,$U255)="","",INDEX('Per Invoice'!H$2:H$401,$U255)))</f>
        <v/>
      </c>
      <c r="I255" s="14">
        <f>IF($U255="","",IF(INDEX('Per Invoice'!I$2:I$401,$U255)="","",INDEX('Per Invoice'!I$2:I$401,$U255)))</f>
        <v/>
      </c>
      <c r="J255">
        <f>IF($U255="","",IF(INDEX('Per Invoice'!J$2:J$401,$U255)="","",INDEX('Per Invoice'!J$2:J$401,$U255)))</f>
        <v/>
      </c>
      <c r="K255">
        <f>IF($U255="","",IF(INDEX('Per Invoice'!K$2:K$401,$U255)="","",INDEX('Per Invoice'!K$2:K$401,$U255)))</f>
        <v/>
      </c>
      <c r="L255" s="7">
        <f>IF($U255="","",IF(INDEX('Per Invoice'!L$2:L$401,$U255)="","",INDEX('Per Invoice'!L$2:L$401,$U255)))</f>
        <v/>
      </c>
      <c r="M255" s="7">
        <f>IF($U255="","",IF(INDEX('Per Invoice'!M$2:M$401,$U255)="","",INDEX('Per Invoice'!M$2:M$401,$U255)))</f>
        <v/>
      </c>
      <c r="N255">
        <f>IF($U255="","",IF(INDEX('Per Invoice'!N$2:N$401,$U255)="","",INDEX('Per Invoice'!N$2:N$401,$U255)))</f>
        <v/>
      </c>
      <c r="O255" s="7">
        <f>IF($U255="","",IF(INDEX('Per Invoice'!O$2:O$401,$U255)="","",INDEX('Per Invoice'!O$2:O$401,$U255)))</f>
        <v/>
      </c>
      <c r="P255" s="7">
        <f>IF($U255="","",IF(INDEX('Per Invoice'!P$2:P$401,$U255)="","",INDEX('Per Invoice'!P$2:P$401,$U255)))</f>
        <v/>
      </c>
      <c r="Q255" s="7">
        <f>IF($U255="","",IF(INDEX('Per Invoice'!Q$2:Q$401,$U255)="","",INDEX('Per Invoice'!Q$2:Q$401,$U255)))</f>
        <v/>
      </c>
      <c r="R255" s="7">
        <f>IF($U255="","",IF(INDEX('Per Invoice'!R$2:R$401,$U255)="","",INDEX('Per Invoice'!R$2:R$401,$U255)))</f>
        <v/>
      </c>
      <c r="S255" s="7">
        <f>IF($U255="","",IF(INDEX('Per Invoice'!S$2:S$401,$U255)="","",INDEX('Per Invoice'!S$2:S$401,$U255)))</f>
        <v/>
      </c>
      <c r="T255" s="7">
        <f>IF($U255="","",IF(INDEX('Per Invoice'!T$2:T$401,$U255)="","",INDEX('Per Invoice'!T$2:T$401,$U255)))</f>
        <v/>
      </c>
      <c r="U255" s="16">
        <f>IFERROR(MATCH(Settings!$C$27&amp;"|"&amp;ROWS($U$2:$U255),'Per Invoice'!$V$2:$V$401,0),"")</f>
        <v/>
      </c>
    </row>
    <row r="256">
      <c r="A256">
        <f>IF($U256="","",IF(INDEX('Per Invoice'!A$2:A$401,$U256)="","",INDEX('Per Invoice'!A$2:A$401,$U256)))</f>
        <v/>
      </c>
      <c r="B256">
        <f>IF($U256="","",IF(INDEX('Per Invoice'!B$2:B$401,$U256)="","",INDEX('Per Invoice'!B$2:B$401,$U256)))</f>
        <v/>
      </c>
      <c r="C256">
        <f>IF($U256="","",IF(INDEX('Per Invoice'!C$2:C$401,$U256)="","",INDEX('Per Invoice'!C$2:C$401,$U256)))</f>
        <v/>
      </c>
      <c r="D256">
        <f>IF($U256="","",IF(INDEX('Per Invoice'!D$2:D$401,$U256)="","",INDEX('Per Invoice'!D$2:D$401,$U256)))</f>
        <v/>
      </c>
      <c r="E256">
        <f>IF($U256="","",IF(INDEX('Per Invoice'!E$2:E$401,$U256)="","",INDEX('Per Invoice'!E$2:E$401,$U256)))</f>
        <v/>
      </c>
      <c r="F256">
        <f>IF($U256="","",IF(INDEX('Per Invoice'!F$2:F$401,$U256)="","",INDEX('Per Invoice'!F$2:F$401,$U256)))</f>
        <v/>
      </c>
      <c r="G256">
        <f>IF($U256="","",IF(INDEX('Per Invoice'!G$2:G$401,$U256)="","",INDEX('Per Invoice'!G$2:G$401,$U256)))</f>
        <v/>
      </c>
      <c r="H256" s="7">
        <f>IF($U256="","",IF(INDEX('Per Invoice'!H$2:H$401,$U256)="","",INDEX('Per Invoice'!H$2:H$401,$U256)))</f>
        <v/>
      </c>
      <c r="I256" s="14">
        <f>IF($U256="","",IF(INDEX('Per Invoice'!I$2:I$401,$U256)="","",INDEX('Per Invoice'!I$2:I$401,$U256)))</f>
        <v/>
      </c>
      <c r="J256">
        <f>IF($U256="","",IF(INDEX('Per Invoice'!J$2:J$401,$U256)="","",INDEX('Per Invoice'!J$2:J$401,$U256)))</f>
        <v/>
      </c>
      <c r="K256">
        <f>IF($U256="","",IF(INDEX('Per Invoice'!K$2:K$401,$U256)="","",INDEX('Per Invoice'!K$2:K$401,$U256)))</f>
        <v/>
      </c>
      <c r="L256" s="7">
        <f>IF($U256="","",IF(INDEX('Per Invoice'!L$2:L$401,$U256)="","",INDEX('Per Invoice'!L$2:L$401,$U256)))</f>
        <v/>
      </c>
      <c r="M256" s="7">
        <f>IF($U256="","",IF(INDEX('Per Invoice'!M$2:M$401,$U256)="","",INDEX('Per Invoice'!M$2:M$401,$U256)))</f>
        <v/>
      </c>
      <c r="N256">
        <f>IF($U256="","",IF(INDEX('Per Invoice'!N$2:N$401,$U256)="","",INDEX('Per Invoice'!N$2:N$401,$U256)))</f>
        <v/>
      </c>
      <c r="O256" s="7">
        <f>IF($U256="","",IF(INDEX('Per Invoice'!O$2:O$401,$U256)="","",INDEX('Per Invoice'!O$2:O$401,$U256)))</f>
        <v/>
      </c>
      <c r="P256" s="7">
        <f>IF($U256="","",IF(INDEX('Per Invoice'!P$2:P$401,$U256)="","",INDEX('Per Invoice'!P$2:P$401,$U256)))</f>
        <v/>
      </c>
      <c r="Q256" s="7">
        <f>IF($U256="","",IF(INDEX('Per Invoice'!Q$2:Q$401,$U256)="","",INDEX('Per Invoice'!Q$2:Q$401,$U256)))</f>
        <v/>
      </c>
      <c r="R256" s="7">
        <f>IF($U256="","",IF(INDEX('Per Invoice'!R$2:R$401,$U256)="","",INDEX('Per Invoice'!R$2:R$401,$U256)))</f>
        <v/>
      </c>
      <c r="S256" s="7">
        <f>IF($U256="","",IF(INDEX('Per Invoice'!S$2:S$401,$U256)="","",INDEX('Per Invoice'!S$2:S$401,$U256)))</f>
        <v/>
      </c>
      <c r="T256" s="7">
        <f>IF($U256="","",IF(INDEX('Per Invoice'!T$2:T$401,$U256)="","",INDEX('Per Invoice'!T$2:T$401,$U256)))</f>
        <v/>
      </c>
      <c r="U256" s="16">
        <f>IFERROR(MATCH(Settings!$C$27&amp;"|"&amp;ROWS($U$2:$U256),'Per Invoice'!$V$2:$V$401,0),"")</f>
        <v/>
      </c>
    </row>
    <row r="257">
      <c r="A257">
        <f>IF($U257="","",IF(INDEX('Per Invoice'!A$2:A$401,$U257)="","",INDEX('Per Invoice'!A$2:A$401,$U257)))</f>
        <v/>
      </c>
      <c r="B257">
        <f>IF($U257="","",IF(INDEX('Per Invoice'!B$2:B$401,$U257)="","",INDEX('Per Invoice'!B$2:B$401,$U257)))</f>
        <v/>
      </c>
      <c r="C257">
        <f>IF($U257="","",IF(INDEX('Per Invoice'!C$2:C$401,$U257)="","",INDEX('Per Invoice'!C$2:C$401,$U257)))</f>
        <v/>
      </c>
      <c r="D257">
        <f>IF($U257="","",IF(INDEX('Per Invoice'!D$2:D$401,$U257)="","",INDEX('Per Invoice'!D$2:D$401,$U257)))</f>
        <v/>
      </c>
      <c r="E257">
        <f>IF($U257="","",IF(INDEX('Per Invoice'!E$2:E$401,$U257)="","",INDEX('Per Invoice'!E$2:E$401,$U257)))</f>
        <v/>
      </c>
      <c r="F257">
        <f>IF($U257="","",IF(INDEX('Per Invoice'!F$2:F$401,$U257)="","",INDEX('Per Invoice'!F$2:F$401,$U257)))</f>
        <v/>
      </c>
      <c r="G257">
        <f>IF($U257="","",IF(INDEX('Per Invoice'!G$2:G$401,$U257)="","",INDEX('Per Invoice'!G$2:G$401,$U257)))</f>
        <v/>
      </c>
      <c r="H257" s="7">
        <f>IF($U257="","",IF(INDEX('Per Invoice'!H$2:H$401,$U257)="","",INDEX('Per Invoice'!H$2:H$401,$U257)))</f>
        <v/>
      </c>
      <c r="I257" s="14">
        <f>IF($U257="","",IF(INDEX('Per Invoice'!I$2:I$401,$U257)="","",INDEX('Per Invoice'!I$2:I$401,$U257)))</f>
        <v/>
      </c>
      <c r="J257">
        <f>IF($U257="","",IF(INDEX('Per Invoice'!J$2:J$401,$U257)="","",INDEX('Per Invoice'!J$2:J$401,$U257)))</f>
        <v/>
      </c>
      <c r="K257">
        <f>IF($U257="","",IF(INDEX('Per Invoice'!K$2:K$401,$U257)="","",INDEX('Per Invoice'!K$2:K$401,$U257)))</f>
        <v/>
      </c>
      <c r="L257" s="7">
        <f>IF($U257="","",IF(INDEX('Per Invoice'!L$2:L$401,$U257)="","",INDEX('Per Invoice'!L$2:L$401,$U257)))</f>
        <v/>
      </c>
      <c r="M257" s="7">
        <f>IF($U257="","",IF(INDEX('Per Invoice'!M$2:M$401,$U257)="","",INDEX('Per Invoice'!M$2:M$401,$U257)))</f>
        <v/>
      </c>
      <c r="N257">
        <f>IF($U257="","",IF(INDEX('Per Invoice'!N$2:N$401,$U257)="","",INDEX('Per Invoice'!N$2:N$401,$U257)))</f>
        <v/>
      </c>
      <c r="O257" s="7">
        <f>IF($U257="","",IF(INDEX('Per Invoice'!O$2:O$401,$U257)="","",INDEX('Per Invoice'!O$2:O$401,$U257)))</f>
        <v/>
      </c>
      <c r="P257" s="7">
        <f>IF($U257="","",IF(INDEX('Per Invoice'!P$2:P$401,$U257)="","",INDEX('Per Invoice'!P$2:P$401,$U257)))</f>
        <v/>
      </c>
      <c r="Q257" s="7">
        <f>IF($U257="","",IF(INDEX('Per Invoice'!Q$2:Q$401,$U257)="","",INDEX('Per Invoice'!Q$2:Q$401,$U257)))</f>
        <v/>
      </c>
      <c r="R257" s="7">
        <f>IF($U257="","",IF(INDEX('Per Invoice'!R$2:R$401,$U257)="","",INDEX('Per Invoice'!R$2:R$401,$U257)))</f>
        <v/>
      </c>
      <c r="S257" s="7">
        <f>IF($U257="","",IF(INDEX('Per Invoice'!S$2:S$401,$U257)="","",INDEX('Per Invoice'!S$2:S$401,$U257)))</f>
        <v/>
      </c>
      <c r="T257" s="7">
        <f>IF($U257="","",IF(INDEX('Per Invoice'!T$2:T$401,$U257)="","",INDEX('Per Invoice'!T$2:T$401,$U257)))</f>
        <v/>
      </c>
      <c r="U257" s="16">
        <f>IFERROR(MATCH(Settings!$C$27&amp;"|"&amp;ROWS($U$2:$U257),'Per Invoice'!$V$2:$V$401,0),"")</f>
        <v/>
      </c>
    </row>
    <row r="258">
      <c r="A258">
        <f>IF($U258="","",IF(INDEX('Per Invoice'!A$2:A$401,$U258)="","",INDEX('Per Invoice'!A$2:A$401,$U258)))</f>
        <v/>
      </c>
      <c r="B258">
        <f>IF($U258="","",IF(INDEX('Per Invoice'!B$2:B$401,$U258)="","",INDEX('Per Invoice'!B$2:B$401,$U258)))</f>
        <v/>
      </c>
      <c r="C258">
        <f>IF($U258="","",IF(INDEX('Per Invoice'!C$2:C$401,$U258)="","",INDEX('Per Invoice'!C$2:C$401,$U258)))</f>
        <v/>
      </c>
      <c r="D258">
        <f>IF($U258="","",IF(INDEX('Per Invoice'!D$2:D$401,$U258)="","",INDEX('Per Invoice'!D$2:D$401,$U258)))</f>
        <v/>
      </c>
      <c r="E258">
        <f>IF($U258="","",IF(INDEX('Per Invoice'!E$2:E$401,$U258)="","",INDEX('Per Invoice'!E$2:E$401,$U258)))</f>
        <v/>
      </c>
      <c r="F258">
        <f>IF($U258="","",IF(INDEX('Per Invoice'!F$2:F$401,$U258)="","",INDEX('Per Invoice'!F$2:F$401,$U258)))</f>
        <v/>
      </c>
      <c r="G258">
        <f>IF($U258="","",IF(INDEX('Per Invoice'!G$2:G$401,$U258)="","",INDEX('Per Invoice'!G$2:G$401,$U258)))</f>
        <v/>
      </c>
      <c r="H258" s="7">
        <f>IF($U258="","",IF(INDEX('Per Invoice'!H$2:H$401,$U258)="","",INDEX('Per Invoice'!H$2:H$401,$U258)))</f>
        <v/>
      </c>
      <c r="I258" s="14">
        <f>IF($U258="","",IF(INDEX('Per Invoice'!I$2:I$401,$U258)="","",INDEX('Per Invoice'!I$2:I$401,$U258)))</f>
        <v/>
      </c>
      <c r="J258">
        <f>IF($U258="","",IF(INDEX('Per Invoice'!J$2:J$401,$U258)="","",INDEX('Per Invoice'!J$2:J$401,$U258)))</f>
        <v/>
      </c>
      <c r="K258">
        <f>IF($U258="","",IF(INDEX('Per Invoice'!K$2:K$401,$U258)="","",INDEX('Per Invoice'!K$2:K$401,$U258)))</f>
        <v/>
      </c>
      <c r="L258" s="7">
        <f>IF($U258="","",IF(INDEX('Per Invoice'!L$2:L$401,$U258)="","",INDEX('Per Invoice'!L$2:L$401,$U258)))</f>
        <v/>
      </c>
      <c r="M258" s="7">
        <f>IF($U258="","",IF(INDEX('Per Invoice'!M$2:M$401,$U258)="","",INDEX('Per Invoice'!M$2:M$401,$U258)))</f>
        <v/>
      </c>
      <c r="N258">
        <f>IF($U258="","",IF(INDEX('Per Invoice'!N$2:N$401,$U258)="","",INDEX('Per Invoice'!N$2:N$401,$U258)))</f>
        <v/>
      </c>
      <c r="O258" s="7">
        <f>IF($U258="","",IF(INDEX('Per Invoice'!O$2:O$401,$U258)="","",INDEX('Per Invoice'!O$2:O$401,$U258)))</f>
        <v/>
      </c>
      <c r="P258" s="7">
        <f>IF($U258="","",IF(INDEX('Per Invoice'!P$2:P$401,$U258)="","",INDEX('Per Invoice'!P$2:P$401,$U258)))</f>
        <v/>
      </c>
      <c r="Q258" s="7">
        <f>IF($U258="","",IF(INDEX('Per Invoice'!Q$2:Q$401,$U258)="","",INDEX('Per Invoice'!Q$2:Q$401,$U258)))</f>
        <v/>
      </c>
      <c r="R258" s="7">
        <f>IF($U258="","",IF(INDEX('Per Invoice'!R$2:R$401,$U258)="","",INDEX('Per Invoice'!R$2:R$401,$U258)))</f>
        <v/>
      </c>
      <c r="S258" s="7">
        <f>IF($U258="","",IF(INDEX('Per Invoice'!S$2:S$401,$U258)="","",INDEX('Per Invoice'!S$2:S$401,$U258)))</f>
        <v/>
      </c>
      <c r="T258" s="7">
        <f>IF($U258="","",IF(INDEX('Per Invoice'!T$2:T$401,$U258)="","",INDEX('Per Invoice'!T$2:T$401,$U258)))</f>
        <v/>
      </c>
      <c r="U258" s="16">
        <f>IFERROR(MATCH(Settings!$C$27&amp;"|"&amp;ROWS($U$2:$U258),'Per Invoice'!$V$2:$V$401,0),"")</f>
        <v/>
      </c>
    </row>
    <row r="259">
      <c r="A259">
        <f>IF($U259="","",IF(INDEX('Per Invoice'!A$2:A$401,$U259)="","",INDEX('Per Invoice'!A$2:A$401,$U259)))</f>
        <v/>
      </c>
      <c r="B259">
        <f>IF($U259="","",IF(INDEX('Per Invoice'!B$2:B$401,$U259)="","",INDEX('Per Invoice'!B$2:B$401,$U259)))</f>
        <v/>
      </c>
      <c r="C259">
        <f>IF($U259="","",IF(INDEX('Per Invoice'!C$2:C$401,$U259)="","",INDEX('Per Invoice'!C$2:C$401,$U259)))</f>
        <v/>
      </c>
      <c r="D259">
        <f>IF($U259="","",IF(INDEX('Per Invoice'!D$2:D$401,$U259)="","",INDEX('Per Invoice'!D$2:D$401,$U259)))</f>
        <v/>
      </c>
      <c r="E259">
        <f>IF($U259="","",IF(INDEX('Per Invoice'!E$2:E$401,$U259)="","",INDEX('Per Invoice'!E$2:E$401,$U259)))</f>
        <v/>
      </c>
      <c r="F259">
        <f>IF($U259="","",IF(INDEX('Per Invoice'!F$2:F$401,$U259)="","",INDEX('Per Invoice'!F$2:F$401,$U259)))</f>
        <v/>
      </c>
      <c r="G259">
        <f>IF($U259="","",IF(INDEX('Per Invoice'!G$2:G$401,$U259)="","",INDEX('Per Invoice'!G$2:G$401,$U259)))</f>
        <v/>
      </c>
      <c r="H259" s="7">
        <f>IF($U259="","",IF(INDEX('Per Invoice'!H$2:H$401,$U259)="","",INDEX('Per Invoice'!H$2:H$401,$U259)))</f>
        <v/>
      </c>
      <c r="I259" s="14">
        <f>IF($U259="","",IF(INDEX('Per Invoice'!I$2:I$401,$U259)="","",INDEX('Per Invoice'!I$2:I$401,$U259)))</f>
        <v/>
      </c>
      <c r="J259">
        <f>IF($U259="","",IF(INDEX('Per Invoice'!J$2:J$401,$U259)="","",INDEX('Per Invoice'!J$2:J$401,$U259)))</f>
        <v/>
      </c>
      <c r="K259">
        <f>IF($U259="","",IF(INDEX('Per Invoice'!K$2:K$401,$U259)="","",INDEX('Per Invoice'!K$2:K$401,$U259)))</f>
        <v/>
      </c>
      <c r="L259" s="7">
        <f>IF($U259="","",IF(INDEX('Per Invoice'!L$2:L$401,$U259)="","",INDEX('Per Invoice'!L$2:L$401,$U259)))</f>
        <v/>
      </c>
      <c r="M259" s="7">
        <f>IF($U259="","",IF(INDEX('Per Invoice'!M$2:M$401,$U259)="","",INDEX('Per Invoice'!M$2:M$401,$U259)))</f>
        <v/>
      </c>
      <c r="N259">
        <f>IF($U259="","",IF(INDEX('Per Invoice'!N$2:N$401,$U259)="","",INDEX('Per Invoice'!N$2:N$401,$U259)))</f>
        <v/>
      </c>
      <c r="O259" s="7">
        <f>IF($U259="","",IF(INDEX('Per Invoice'!O$2:O$401,$U259)="","",INDEX('Per Invoice'!O$2:O$401,$U259)))</f>
        <v/>
      </c>
      <c r="P259" s="7">
        <f>IF($U259="","",IF(INDEX('Per Invoice'!P$2:P$401,$U259)="","",INDEX('Per Invoice'!P$2:P$401,$U259)))</f>
        <v/>
      </c>
      <c r="Q259" s="7">
        <f>IF($U259="","",IF(INDEX('Per Invoice'!Q$2:Q$401,$U259)="","",INDEX('Per Invoice'!Q$2:Q$401,$U259)))</f>
        <v/>
      </c>
      <c r="R259" s="7">
        <f>IF($U259="","",IF(INDEX('Per Invoice'!R$2:R$401,$U259)="","",INDEX('Per Invoice'!R$2:R$401,$U259)))</f>
        <v/>
      </c>
      <c r="S259" s="7">
        <f>IF($U259="","",IF(INDEX('Per Invoice'!S$2:S$401,$U259)="","",INDEX('Per Invoice'!S$2:S$401,$U259)))</f>
        <v/>
      </c>
      <c r="T259" s="7">
        <f>IF($U259="","",IF(INDEX('Per Invoice'!T$2:T$401,$U259)="","",INDEX('Per Invoice'!T$2:T$401,$U259)))</f>
        <v/>
      </c>
      <c r="U259" s="16">
        <f>IFERROR(MATCH(Settings!$C$27&amp;"|"&amp;ROWS($U$2:$U259),'Per Invoice'!$V$2:$V$401,0),"")</f>
        <v/>
      </c>
    </row>
    <row r="260">
      <c r="A260">
        <f>IF($U260="","",IF(INDEX('Per Invoice'!A$2:A$401,$U260)="","",INDEX('Per Invoice'!A$2:A$401,$U260)))</f>
        <v/>
      </c>
      <c r="B260">
        <f>IF($U260="","",IF(INDEX('Per Invoice'!B$2:B$401,$U260)="","",INDEX('Per Invoice'!B$2:B$401,$U260)))</f>
        <v/>
      </c>
      <c r="C260">
        <f>IF($U260="","",IF(INDEX('Per Invoice'!C$2:C$401,$U260)="","",INDEX('Per Invoice'!C$2:C$401,$U260)))</f>
        <v/>
      </c>
      <c r="D260">
        <f>IF($U260="","",IF(INDEX('Per Invoice'!D$2:D$401,$U260)="","",INDEX('Per Invoice'!D$2:D$401,$U260)))</f>
        <v/>
      </c>
      <c r="E260">
        <f>IF($U260="","",IF(INDEX('Per Invoice'!E$2:E$401,$U260)="","",INDEX('Per Invoice'!E$2:E$401,$U260)))</f>
        <v/>
      </c>
      <c r="F260">
        <f>IF($U260="","",IF(INDEX('Per Invoice'!F$2:F$401,$U260)="","",INDEX('Per Invoice'!F$2:F$401,$U260)))</f>
        <v/>
      </c>
      <c r="G260">
        <f>IF($U260="","",IF(INDEX('Per Invoice'!G$2:G$401,$U260)="","",INDEX('Per Invoice'!G$2:G$401,$U260)))</f>
        <v/>
      </c>
      <c r="H260" s="7">
        <f>IF($U260="","",IF(INDEX('Per Invoice'!H$2:H$401,$U260)="","",INDEX('Per Invoice'!H$2:H$401,$U260)))</f>
        <v/>
      </c>
      <c r="I260" s="14">
        <f>IF($U260="","",IF(INDEX('Per Invoice'!I$2:I$401,$U260)="","",INDEX('Per Invoice'!I$2:I$401,$U260)))</f>
        <v/>
      </c>
      <c r="J260">
        <f>IF($U260="","",IF(INDEX('Per Invoice'!J$2:J$401,$U260)="","",INDEX('Per Invoice'!J$2:J$401,$U260)))</f>
        <v/>
      </c>
      <c r="K260">
        <f>IF($U260="","",IF(INDEX('Per Invoice'!K$2:K$401,$U260)="","",INDEX('Per Invoice'!K$2:K$401,$U260)))</f>
        <v/>
      </c>
      <c r="L260" s="7">
        <f>IF($U260="","",IF(INDEX('Per Invoice'!L$2:L$401,$U260)="","",INDEX('Per Invoice'!L$2:L$401,$U260)))</f>
        <v/>
      </c>
      <c r="M260" s="7">
        <f>IF($U260="","",IF(INDEX('Per Invoice'!M$2:M$401,$U260)="","",INDEX('Per Invoice'!M$2:M$401,$U260)))</f>
        <v/>
      </c>
      <c r="N260">
        <f>IF($U260="","",IF(INDEX('Per Invoice'!N$2:N$401,$U260)="","",INDEX('Per Invoice'!N$2:N$401,$U260)))</f>
        <v/>
      </c>
      <c r="O260" s="7">
        <f>IF($U260="","",IF(INDEX('Per Invoice'!O$2:O$401,$U260)="","",INDEX('Per Invoice'!O$2:O$401,$U260)))</f>
        <v/>
      </c>
      <c r="P260" s="7">
        <f>IF($U260="","",IF(INDEX('Per Invoice'!P$2:P$401,$U260)="","",INDEX('Per Invoice'!P$2:P$401,$U260)))</f>
        <v/>
      </c>
      <c r="Q260" s="7">
        <f>IF($U260="","",IF(INDEX('Per Invoice'!Q$2:Q$401,$U260)="","",INDEX('Per Invoice'!Q$2:Q$401,$U260)))</f>
        <v/>
      </c>
      <c r="R260" s="7">
        <f>IF($U260="","",IF(INDEX('Per Invoice'!R$2:R$401,$U260)="","",INDEX('Per Invoice'!R$2:R$401,$U260)))</f>
        <v/>
      </c>
      <c r="S260" s="7">
        <f>IF($U260="","",IF(INDEX('Per Invoice'!S$2:S$401,$U260)="","",INDEX('Per Invoice'!S$2:S$401,$U260)))</f>
        <v/>
      </c>
      <c r="T260" s="7">
        <f>IF($U260="","",IF(INDEX('Per Invoice'!T$2:T$401,$U260)="","",INDEX('Per Invoice'!T$2:T$401,$U260)))</f>
        <v/>
      </c>
      <c r="U260" s="16">
        <f>IFERROR(MATCH(Settings!$C$27&amp;"|"&amp;ROWS($U$2:$U260),'Per Invoice'!$V$2:$V$401,0),"")</f>
        <v/>
      </c>
    </row>
    <row r="261">
      <c r="A261">
        <f>IF($U261="","",IF(INDEX('Per Invoice'!A$2:A$401,$U261)="","",INDEX('Per Invoice'!A$2:A$401,$U261)))</f>
        <v/>
      </c>
      <c r="B261">
        <f>IF($U261="","",IF(INDEX('Per Invoice'!B$2:B$401,$U261)="","",INDEX('Per Invoice'!B$2:B$401,$U261)))</f>
        <v/>
      </c>
      <c r="C261">
        <f>IF($U261="","",IF(INDEX('Per Invoice'!C$2:C$401,$U261)="","",INDEX('Per Invoice'!C$2:C$401,$U261)))</f>
        <v/>
      </c>
      <c r="D261">
        <f>IF($U261="","",IF(INDEX('Per Invoice'!D$2:D$401,$U261)="","",INDEX('Per Invoice'!D$2:D$401,$U261)))</f>
        <v/>
      </c>
      <c r="E261">
        <f>IF($U261="","",IF(INDEX('Per Invoice'!E$2:E$401,$U261)="","",INDEX('Per Invoice'!E$2:E$401,$U261)))</f>
        <v/>
      </c>
      <c r="F261">
        <f>IF($U261="","",IF(INDEX('Per Invoice'!F$2:F$401,$U261)="","",INDEX('Per Invoice'!F$2:F$401,$U261)))</f>
        <v/>
      </c>
      <c r="G261">
        <f>IF($U261="","",IF(INDEX('Per Invoice'!G$2:G$401,$U261)="","",INDEX('Per Invoice'!G$2:G$401,$U261)))</f>
        <v/>
      </c>
      <c r="H261" s="7">
        <f>IF($U261="","",IF(INDEX('Per Invoice'!H$2:H$401,$U261)="","",INDEX('Per Invoice'!H$2:H$401,$U261)))</f>
        <v/>
      </c>
      <c r="I261" s="14">
        <f>IF($U261="","",IF(INDEX('Per Invoice'!I$2:I$401,$U261)="","",INDEX('Per Invoice'!I$2:I$401,$U261)))</f>
        <v/>
      </c>
      <c r="J261">
        <f>IF($U261="","",IF(INDEX('Per Invoice'!J$2:J$401,$U261)="","",INDEX('Per Invoice'!J$2:J$401,$U261)))</f>
        <v/>
      </c>
      <c r="K261">
        <f>IF($U261="","",IF(INDEX('Per Invoice'!K$2:K$401,$U261)="","",INDEX('Per Invoice'!K$2:K$401,$U261)))</f>
        <v/>
      </c>
      <c r="L261" s="7">
        <f>IF($U261="","",IF(INDEX('Per Invoice'!L$2:L$401,$U261)="","",INDEX('Per Invoice'!L$2:L$401,$U261)))</f>
        <v/>
      </c>
      <c r="M261" s="7">
        <f>IF($U261="","",IF(INDEX('Per Invoice'!M$2:M$401,$U261)="","",INDEX('Per Invoice'!M$2:M$401,$U261)))</f>
        <v/>
      </c>
      <c r="N261">
        <f>IF($U261="","",IF(INDEX('Per Invoice'!N$2:N$401,$U261)="","",INDEX('Per Invoice'!N$2:N$401,$U261)))</f>
        <v/>
      </c>
      <c r="O261" s="7">
        <f>IF($U261="","",IF(INDEX('Per Invoice'!O$2:O$401,$U261)="","",INDEX('Per Invoice'!O$2:O$401,$U261)))</f>
        <v/>
      </c>
      <c r="P261" s="7">
        <f>IF($U261="","",IF(INDEX('Per Invoice'!P$2:P$401,$U261)="","",INDEX('Per Invoice'!P$2:P$401,$U261)))</f>
        <v/>
      </c>
      <c r="Q261" s="7">
        <f>IF($U261="","",IF(INDEX('Per Invoice'!Q$2:Q$401,$U261)="","",INDEX('Per Invoice'!Q$2:Q$401,$U261)))</f>
        <v/>
      </c>
      <c r="R261" s="7">
        <f>IF($U261="","",IF(INDEX('Per Invoice'!R$2:R$401,$U261)="","",INDEX('Per Invoice'!R$2:R$401,$U261)))</f>
        <v/>
      </c>
      <c r="S261" s="7">
        <f>IF($U261="","",IF(INDEX('Per Invoice'!S$2:S$401,$U261)="","",INDEX('Per Invoice'!S$2:S$401,$U261)))</f>
        <v/>
      </c>
      <c r="T261" s="7">
        <f>IF($U261="","",IF(INDEX('Per Invoice'!T$2:T$401,$U261)="","",INDEX('Per Invoice'!T$2:T$401,$U261)))</f>
        <v/>
      </c>
      <c r="U261" s="16">
        <f>IFERROR(MATCH(Settings!$C$27&amp;"|"&amp;ROWS($U$2:$U261),'Per Invoice'!$V$2:$V$401,0),"")</f>
        <v/>
      </c>
    </row>
    <row r="262">
      <c r="A262">
        <f>IF($U262="","",IF(INDEX('Per Invoice'!A$2:A$401,$U262)="","",INDEX('Per Invoice'!A$2:A$401,$U262)))</f>
        <v/>
      </c>
      <c r="B262">
        <f>IF($U262="","",IF(INDEX('Per Invoice'!B$2:B$401,$U262)="","",INDEX('Per Invoice'!B$2:B$401,$U262)))</f>
        <v/>
      </c>
      <c r="C262">
        <f>IF($U262="","",IF(INDEX('Per Invoice'!C$2:C$401,$U262)="","",INDEX('Per Invoice'!C$2:C$401,$U262)))</f>
        <v/>
      </c>
      <c r="D262">
        <f>IF($U262="","",IF(INDEX('Per Invoice'!D$2:D$401,$U262)="","",INDEX('Per Invoice'!D$2:D$401,$U262)))</f>
        <v/>
      </c>
      <c r="E262">
        <f>IF($U262="","",IF(INDEX('Per Invoice'!E$2:E$401,$U262)="","",INDEX('Per Invoice'!E$2:E$401,$U262)))</f>
        <v/>
      </c>
      <c r="F262">
        <f>IF($U262="","",IF(INDEX('Per Invoice'!F$2:F$401,$U262)="","",INDEX('Per Invoice'!F$2:F$401,$U262)))</f>
        <v/>
      </c>
      <c r="G262">
        <f>IF($U262="","",IF(INDEX('Per Invoice'!G$2:G$401,$U262)="","",INDEX('Per Invoice'!G$2:G$401,$U262)))</f>
        <v/>
      </c>
      <c r="H262" s="7">
        <f>IF($U262="","",IF(INDEX('Per Invoice'!H$2:H$401,$U262)="","",INDEX('Per Invoice'!H$2:H$401,$U262)))</f>
        <v/>
      </c>
      <c r="I262" s="14">
        <f>IF($U262="","",IF(INDEX('Per Invoice'!I$2:I$401,$U262)="","",INDEX('Per Invoice'!I$2:I$401,$U262)))</f>
        <v/>
      </c>
      <c r="J262">
        <f>IF($U262="","",IF(INDEX('Per Invoice'!J$2:J$401,$U262)="","",INDEX('Per Invoice'!J$2:J$401,$U262)))</f>
        <v/>
      </c>
      <c r="K262">
        <f>IF($U262="","",IF(INDEX('Per Invoice'!K$2:K$401,$U262)="","",INDEX('Per Invoice'!K$2:K$401,$U262)))</f>
        <v/>
      </c>
      <c r="L262" s="7">
        <f>IF($U262="","",IF(INDEX('Per Invoice'!L$2:L$401,$U262)="","",INDEX('Per Invoice'!L$2:L$401,$U262)))</f>
        <v/>
      </c>
      <c r="M262" s="7">
        <f>IF($U262="","",IF(INDEX('Per Invoice'!M$2:M$401,$U262)="","",INDEX('Per Invoice'!M$2:M$401,$U262)))</f>
        <v/>
      </c>
      <c r="N262">
        <f>IF($U262="","",IF(INDEX('Per Invoice'!N$2:N$401,$U262)="","",INDEX('Per Invoice'!N$2:N$401,$U262)))</f>
        <v/>
      </c>
      <c r="O262" s="7">
        <f>IF($U262="","",IF(INDEX('Per Invoice'!O$2:O$401,$U262)="","",INDEX('Per Invoice'!O$2:O$401,$U262)))</f>
        <v/>
      </c>
      <c r="P262" s="7">
        <f>IF($U262="","",IF(INDEX('Per Invoice'!P$2:P$401,$U262)="","",INDEX('Per Invoice'!P$2:P$401,$U262)))</f>
        <v/>
      </c>
      <c r="Q262" s="7">
        <f>IF($U262="","",IF(INDEX('Per Invoice'!Q$2:Q$401,$U262)="","",INDEX('Per Invoice'!Q$2:Q$401,$U262)))</f>
        <v/>
      </c>
      <c r="R262" s="7">
        <f>IF($U262="","",IF(INDEX('Per Invoice'!R$2:R$401,$U262)="","",INDEX('Per Invoice'!R$2:R$401,$U262)))</f>
        <v/>
      </c>
      <c r="S262" s="7">
        <f>IF($U262="","",IF(INDEX('Per Invoice'!S$2:S$401,$U262)="","",INDEX('Per Invoice'!S$2:S$401,$U262)))</f>
        <v/>
      </c>
      <c r="T262" s="7">
        <f>IF($U262="","",IF(INDEX('Per Invoice'!T$2:T$401,$U262)="","",INDEX('Per Invoice'!T$2:T$401,$U262)))</f>
        <v/>
      </c>
      <c r="U262" s="16">
        <f>IFERROR(MATCH(Settings!$C$27&amp;"|"&amp;ROWS($U$2:$U262),'Per Invoice'!$V$2:$V$401,0),"")</f>
        <v/>
      </c>
    </row>
    <row r="263">
      <c r="A263">
        <f>IF($U263="","",IF(INDEX('Per Invoice'!A$2:A$401,$U263)="","",INDEX('Per Invoice'!A$2:A$401,$U263)))</f>
        <v/>
      </c>
      <c r="B263">
        <f>IF($U263="","",IF(INDEX('Per Invoice'!B$2:B$401,$U263)="","",INDEX('Per Invoice'!B$2:B$401,$U263)))</f>
        <v/>
      </c>
      <c r="C263">
        <f>IF($U263="","",IF(INDEX('Per Invoice'!C$2:C$401,$U263)="","",INDEX('Per Invoice'!C$2:C$401,$U263)))</f>
        <v/>
      </c>
      <c r="D263">
        <f>IF($U263="","",IF(INDEX('Per Invoice'!D$2:D$401,$U263)="","",INDEX('Per Invoice'!D$2:D$401,$U263)))</f>
        <v/>
      </c>
      <c r="E263">
        <f>IF($U263="","",IF(INDEX('Per Invoice'!E$2:E$401,$U263)="","",INDEX('Per Invoice'!E$2:E$401,$U263)))</f>
        <v/>
      </c>
      <c r="F263">
        <f>IF($U263="","",IF(INDEX('Per Invoice'!F$2:F$401,$U263)="","",INDEX('Per Invoice'!F$2:F$401,$U263)))</f>
        <v/>
      </c>
      <c r="G263">
        <f>IF($U263="","",IF(INDEX('Per Invoice'!G$2:G$401,$U263)="","",INDEX('Per Invoice'!G$2:G$401,$U263)))</f>
        <v/>
      </c>
      <c r="H263" s="7">
        <f>IF($U263="","",IF(INDEX('Per Invoice'!H$2:H$401,$U263)="","",INDEX('Per Invoice'!H$2:H$401,$U263)))</f>
        <v/>
      </c>
      <c r="I263" s="14">
        <f>IF($U263="","",IF(INDEX('Per Invoice'!I$2:I$401,$U263)="","",INDEX('Per Invoice'!I$2:I$401,$U263)))</f>
        <v/>
      </c>
      <c r="J263">
        <f>IF($U263="","",IF(INDEX('Per Invoice'!J$2:J$401,$U263)="","",INDEX('Per Invoice'!J$2:J$401,$U263)))</f>
        <v/>
      </c>
      <c r="K263">
        <f>IF($U263="","",IF(INDEX('Per Invoice'!K$2:K$401,$U263)="","",INDEX('Per Invoice'!K$2:K$401,$U263)))</f>
        <v/>
      </c>
      <c r="L263" s="7">
        <f>IF($U263="","",IF(INDEX('Per Invoice'!L$2:L$401,$U263)="","",INDEX('Per Invoice'!L$2:L$401,$U263)))</f>
        <v/>
      </c>
      <c r="M263" s="7">
        <f>IF($U263="","",IF(INDEX('Per Invoice'!M$2:M$401,$U263)="","",INDEX('Per Invoice'!M$2:M$401,$U263)))</f>
        <v/>
      </c>
      <c r="N263">
        <f>IF($U263="","",IF(INDEX('Per Invoice'!N$2:N$401,$U263)="","",INDEX('Per Invoice'!N$2:N$401,$U263)))</f>
        <v/>
      </c>
      <c r="O263" s="7">
        <f>IF($U263="","",IF(INDEX('Per Invoice'!O$2:O$401,$U263)="","",INDEX('Per Invoice'!O$2:O$401,$U263)))</f>
        <v/>
      </c>
      <c r="P263" s="7">
        <f>IF($U263="","",IF(INDEX('Per Invoice'!P$2:P$401,$U263)="","",INDEX('Per Invoice'!P$2:P$401,$U263)))</f>
        <v/>
      </c>
      <c r="Q263" s="7">
        <f>IF($U263="","",IF(INDEX('Per Invoice'!Q$2:Q$401,$U263)="","",INDEX('Per Invoice'!Q$2:Q$401,$U263)))</f>
        <v/>
      </c>
      <c r="R263" s="7">
        <f>IF($U263="","",IF(INDEX('Per Invoice'!R$2:R$401,$U263)="","",INDEX('Per Invoice'!R$2:R$401,$U263)))</f>
        <v/>
      </c>
      <c r="S263" s="7">
        <f>IF($U263="","",IF(INDEX('Per Invoice'!S$2:S$401,$U263)="","",INDEX('Per Invoice'!S$2:S$401,$U263)))</f>
        <v/>
      </c>
      <c r="T263" s="7">
        <f>IF($U263="","",IF(INDEX('Per Invoice'!T$2:T$401,$U263)="","",INDEX('Per Invoice'!T$2:T$401,$U263)))</f>
        <v/>
      </c>
      <c r="U263" s="16">
        <f>IFERROR(MATCH(Settings!$C$27&amp;"|"&amp;ROWS($U$2:$U263),'Per Invoice'!$V$2:$V$401,0),"")</f>
        <v/>
      </c>
    </row>
    <row r="264">
      <c r="A264">
        <f>IF($U264="","",IF(INDEX('Per Invoice'!A$2:A$401,$U264)="","",INDEX('Per Invoice'!A$2:A$401,$U264)))</f>
        <v/>
      </c>
      <c r="B264">
        <f>IF($U264="","",IF(INDEX('Per Invoice'!B$2:B$401,$U264)="","",INDEX('Per Invoice'!B$2:B$401,$U264)))</f>
        <v/>
      </c>
      <c r="C264">
        <f>IF($U264="","",IF(INDEX('Per Invoice'!C$2:C$401,$U264)="","",INDEX('Per Invoice'!C$2:C$401,$U264)))</f>
        <v/>
      </c>
      <c r="D264">
        <f>IF($U264="","",IF(INDEX('Per Invoice'!D$2:D$401,$U264)="","",INDEX('Per Invoice'!D$2:D$401,$U264)))</f>
        <v/>
      </c>
      <c r="E264">
        <f>IF($U264="","",IF(INDEX('Per Invoice'!E$2:E$401,$U264)="","",INDEX('Per Invoice'!E$2:E$401,$U264)))</f>
        <v/>
      </c>
      <c r="F264">
        <f>IF($U264="","",IF(INDEX('Per Invoice'!F$2:F$401,$U264)="","",INDEX('Per Invoice'!F$2:F$401,$U264)))</f>
        <v/>
      </c>
      <c r="G264">
        <f>IF($U264="","",IF(INDEX('Per Invoice'!G$2:G$401,$U264)="","",INDEX('Per Invoice'!G$2:G$401,$U264)))</f>
        <v/>
      </c>
      <c r="H264" s="7">
        <f>IF($U264="","",IF(INDEX('Per Invoice'!H$2:H$401,$U264)="","",INDEX('Per Invoice'!H$2:H$401,$U264)))</f>
        <v/>
      </c>
      <c r="I264" s="14">
        <f>IF($U264="","",IF(INDEX('Per Invoice'!I$2:I$401,$U264)="","",INDEX('Per Invoice'!I$2:I$401,$U264)))</f>
        <v/>
      </c>
      <c r="J264">
        <f>IF($U264="","",IF(INDEX('Per Invoice'!J$2:J$401,$U264)="","",INDEX('Per Invoice'!J$2:J$401,$U264)))</f>
        <v/>
      </c>
      <c r="K264">
        <f>IF($U264="","",IF(INDEX('Per Invoice'!K$2:K$401,$U264)="","",INDEX('Per Invoice'!K$2:K$401,$U264)))</f>
        <v/>
      </c>
      <c r="L264" s="7">
        <f>IF($U264="","",IF(INDEX('Per Invoice'!L$2:L$401,$U264)="","",INDEX('Per Invoice'!L$2:L$401,$U264)))</f>
        <v/>
      </c>
      <c r="M264" s="7">
        <f>IF($U264="","",IF(INDEX('Per Invoice'!M$2:M$401,$U264)="","",INDEX('Per Invoice'!M$2:M$401,$U264)))</f>
        <v/>
      </c>
      <c r="N264">
        <f>IF($U264="","",IF(INDEX('Per Invoice'!N$2:N$401,$U264)="","",INDEX('Per Invoice'!N$2:N$401,$U264)))</f>
        <v/>
      </c>
      <c r="O264" s="7">
        <f>IF($U264="","",IF(INDEX('Per Invoice'!O$2:O$401,$U264)="","",INDEX('Per Invoice'!O$2:O$401,$U264)))</f>
        <v/>
      </c>
      <c r="P264" s="7">
        <f>IF($U264="","",IF(INDEX('Per Invoice'!P$2:P$401,$U264)="","",INDEX('Per Invoice'!P$2:P$401,$U264)))</f>
        <v/>
      </c>
      <c r="Q264" s="7">
        <f>IF($U264="","",IF(INDEX('Per Invoice'!Q$2:Q$401,$U264)="","",INDEX('Per Invoice'!Q$2:Q$401,$U264)))</f>
        <v/>
      </c>
      <c r="R264" s="7">
        <f>IF($U264="","",IF(INDEX('Per Invoice'!R$2:R$401,$U264)="","",INDEX('Per Invoice'!R$2:R$401,$U264)))</f>
        <v/>
      </c>
      <c r="S264" s="7">
        <f>IF($U264="","",IF(INDEX('Per Invoice'!S$2:S$401,$U264)="","",INDEX('Per Invoice'!S$2:S$401,$U264)))</f>
        <v/>
      </c>
      <c r="T264" s="7">
        <f>IF($U264="","",IF(INDEX('Per Invoice'!T$2:T$401,$U264)="","",INDEX('Per Invoice'!T$2:T$401,$U264)))</f>
        <v/>
      </c>
      <c r="U264" s="16">
        <f>IFERROR(MATCH(Settings!$C$27&amp;"|"&amp;ROWS($U$2:$U264),'Per Invoice'!$V$2:$V$401,0),"")</f>
        <v/>
      </c>
    </row>
    <row r="265">
      <c r="A265">
        <f>IF($U265="","",IF(INDEX('Per Invoice'!A$2:A$401,$U265)="","",INDEX('Per Invoice'!A$2:A$401,$U265)))</f>
        <v/>
      </c>
      <c r="B265">
        <f>IF($U265="","",IF(INDEX('Per Invoice'!B$2:B$401,$U265)="","",INDEX('Per Invoice'!B$2:B$401,$U265)))</f>
        <v/>
      </c>
      <c r="C265">
        <f>IF($U265="","",IF(INDEX('Per Invoice'!C$2:C$401,$U265)="","",INDEX('Per Invoice'!C$2:C$401,$U265)))</f>
        <v/>
      </c>
      <c r="D265">
        <f>IF($U265="","",IF(INDEX('Per Invoice'!D$2:D$401,$U265)="","",INDEX('Per Invoice'!D$2:D$401,$U265)))</f>
        <v/>
      </c>
      <c r="E265">
        <f>IF($U265="","",IF(INDEX('Per Invoice'!E$2:E$401,$U265)="","",INDEX('Per Invoice'!E$2:E$401,$U265)))</f>
        <v/>
      </c>
      <c r="F265">
        <f>IF($U265="","",IF(INDEX('Per Invoice'!F$2:F$401,$U265)="","",INDEX('Per Invoice'!F$2:F$401,$U265)))</f>
        <v/>
      </c>
      <c r="G265">
        <f>IF($U265="","",IF(INDEX('Per Invoice'!G$2:G$401,$U265)="","",INDEX('Per Invoice'!G$2:G$401,$U265)))</f>
        <v/>
      </c>
      <c r="H265" s="7">
        <f>IF($U265="","",IF(INDEX('Per Invoice'!H$2:H$401,$U265)="","",INDEX('Per Invoice'!H$2:H$401,$U265)))</f>
        <v/>
      </c>
      <c r="I265" s="14">
        <f>IF($U265="","",IF(INDEX('Per Invoice'!I$2:I$401,$U265)="","",INDEX('Per Invoice'!I$2:I$401,$U265)))</f>
        <v/>
      </c>
      <c r="J265">
        <f>IF($U265="","",IF(INDEX('Per Invoice'!J$2:J$401,$U265)="","",INDEX('Per Invoice'!J$2:J$401,$U265)))</f>
        <v/>
      </c>
      <c r="K265">
        <f>IF($U265="","",IF(INDEX('Per Invoice'!K$2:K$401,$U265)="","",INDEX('Per Invoice'!K$2:K$401,$U265)))</f>
        <v/>
      </c>
      <c r="L265" s="7">
        <f>IF($U265="","",IF(INDEX('Per Invoice'!L$2:L$401,$U265)="","",INDEX('Per Invoice'!L$2:L$401,$U265)))</f>
        <v/>
      </c>
      <c r="M265" s="7">
        <f>IF($U265="","",IF(INDEX('Per Invoice'!M$2:M$401,$U265)="","",INDEX('Per Invoice'!M$2:M$401,$U265)))</f>
        <v/>
      </c>
      <c r="N265">
        <f>IF($U265="","",IF(INDEX('Per Invoice'!N$2:N$401,$U265)="","",INDEX('Per Invoice'!N$2:N$401,$U265)))</f>
        <v/>
      </c>
      <c r="O265" s="7">
        <f>IF($U265="","",IF(INDEX('Per Invoice'!O$2:O$401,$U265)="","",INDEX('Per Invoice'!O$2:O$401,$U265)))</f>
        <v/>
      </c>
      <c r="P265" s="7">
        <f>IF($U265="","",IF(INDEX('Per Invoice'!P$2:P$401,$U265)="","",INDEX('Per Invoice'!P$2:P$401,$U265)))</f>
        <v/>
      </c>
      <c r="Q265" s="7">
        <f>IF($U265="","",IF(INDEX('Per Invoice'!Q$2:Q$401,$U265)="","",INDEX('Per Invoice'!Q$2:Q$401,$U265)))</f>
        <v/>
      </c>
      <c r="R265" s="7">
        <f>IF($U265="","",IF(INDEX('Per Invoice'!R$2:R$401,$U265)="","",INDEX('Per Invoice'!R$2:R$401,$U265)))</f>
        <v/>
      </c>
      <c r="S265" s="7">
        <f>IF($U265="","",IF(INDEX('Per Invoice'!S$2:S$401,$U265)="","",INDEX('Per Invoice'!S$2:S$401,$U265)))</f>
        <v/>
      </c>
      <c r="T265" s="7">
        <f>IF($U265="","",IF(INDEX('Per Invoice'!T$2:T$401,$U265)="","",INDEX('Per Invoice'!T$2:T$401,$U265)))</f>
        <v/>
      </c>
      <c r="U265" s="16">
        <f>IFERROR(MATCH(Settings!$C$27&amp;"|"&amp;ROWS($U$2:$U265),'Per Invoice'!$V$2:$V$401,0),"")</f>
        <v/>
      </c>
    </row>
    <row r="266">
      <c r="A266">
        <f>IF($U266="","",IF(INDEX('Per Invoice'!A$2:A$401,$U266)="","",INDEX('Per Invoice'!A$2:A$401,$U266)))</f>
        <v/>
      </c>
      <c r="B266">
        <f>IF($U266="","",IF(INDEX('Per Invoice'!B$2:B$401,$U266)="","",INDEX('Per Invoice'!B$2:B$401,$U266)))</f>
        <v/>
      </c>
      <c r="C266">
        <f>IF($U266="","",IF(INDEX('Per Invoice'!C$2:C$401,$U266)="","",INDEX('Per Invoice'!C$2:C$401,$U266)))</f>
        <v/>
      </c>
      <c r="D266">
        <f>IF($U266="","",IF(INDEX('Per Invoice'!D$2:D$401,$U266)="","",INDEX('Per Invoice'!D$2:D$401,$U266)))</f>
        <v/>
      </c>
      <c r="E266">
        <f>IF($U266="","",IF(INDEX('Per Invoice'!E$2:E$401,$U266)="","",INDEX('Per Invoice'!E$2:E$401,$U266)))</f>
        <v/>
      </c>
      <c r="F266">
        <f>IF($U266="","",IF(INDEX('Per Invoice'!F$2:F$401,$U266)="","",INDEX('Per Invoice'!F$2:F$401,$U266)))</f>
        <v/>
      </c>
      <c r="G266">
        <f>IF($U266="","",IF(INDEX('Per Invoice'!G$2:G$401,$U266)="","",INDEX('Per Invoice'!G$2:G$401,$U266)))</f>
        <v/>
      </c>
      <c r="H266" s="7">
        <f>IF($U266="","",IF(INDEX('Per Invoice'!H$2:H$401,$U266)="","",INDEX('Per Invoice'!H$2:H$401,$U266)))</f>
        <v/>
      </c>
      <c r="I266" s="14">
        <f>IF($U266="","",IF(INDEX('Per Invoice'!I$2:I$401,$U266)="","",INDEX('Per Invoice'!I$2:I$401,$U266)))</f>
        <v/>
      </c>
      <c r="J266">
        <f>IF($U266="","",IF(INDEX('Per Invoice'!J$2:J$401,$U266)="","",INDEX('Per Invoice'!J$2:J$401,$U266)))</f>
        <v/>
      </c>
      <c r="K266">
        <f>IF($U266="","",IF(INDEX('Per Invoice'!K$2:K$401,$U266)="","",INDEX('Per Invoice'!K$2:K$401,$U266)))</f>
        <v/>
      </c>
      <c r="L266" s="7">
        <f>IF($U266="","",IF(INDEX('Per Invoice'!L$2:L$401,$U266)="","",INDEX('Per Invoice'!L$2:L$401,$U266)))</f>
        <v/>
      </c>
      <c r="M266" s="7">
        <f>IF($U266="","",IF(INDEX('Per Invoice'!M$2:M$401,$U266)="","",INDEX('Per Invoice'!M$2:M$401,$U266)))</f>
        <v/>
      </c>
      <c r="N266">
        <f>IF($U266="","",IF(INDEX('Per Invoice'!N$2:N$401,$U266)="","",INDEX('Per Invoice'!N$2:N$401,$U266)))</f>
        <v/>
      </c>
      <c r="O266" s="7">
        <f>IF($U266="","",IF(INDEX('Per Invoice'!O$2:O$401,$U266)="","",INDEX('Per Invoice'!O$2:O$401,$U266)))</f>
        <v/>
      </c>
      <c r="P266" s="7">
        <f>IF($U266="","",IF(INDEX('Per Invoice'!P$2:P$401,$U266)="","",INDEX('Per Invoice'!P$2:P$401,$U266)))</f>
        <v/>
      </c>
      <c r="Q266" s="7">
        <f>IF($U266="","",IF(INDEX('Per Invoice'!Q$2:Q$401,$U266)="","",INDEX('Per Invoice'!Q$2:Q$401,$U266)))</f>
        <v/>
      </c>
      <c r="R266" s="7">
        <f>IF($U266="","",IF(INDEX('Per Invoice'!R$2:R$401,$U266)="","",INDEX('Per Invoice'!R$2:R$401,$U266)))</f>
        <v/>
      </c>
      <c r="S266" s="7">
        <f>IF($U266="","",IF(INDEX('Per Invoice'!S$2:S$401,$U266)="","",INDEX('Per Invoice'!S$2:S$401,$U266)))</f>
        <v/>
      </c>
      <c r="T266" s="7">
        <f>IF($U266="","",IF(INDEX('Per Invoice'!T$2:T$401,$U266)="","",INDEX('Per Invoice'!T$2:T$401,$U266)))</f>
        <v/>
      </c>
      <c r="U266" s="16">
        <f>IFERROR(MATCH(Settings!$C$27&amp;"|"&amp;ROWS($U$2:$U266),'Per Invoice'!$V$2:$V$401,0),"")</f>
        <v/>
      </c>
    </row>
    <row r="267">
      <c r="A267">
        <f>IF($U267="","",IF(INDEX('Per Invoice'!A$2:A$401,$U267)="","",INDEX('Per Invoice'!A$2:A$401,$U267)))</f>
        <v/>
      </c>
      <c r="B267">
        <f>IF($U267="","",IF(INDEX('Per Invoice'!B$2:B$401,$U267)="","",INDEX('Per Invoice'!B$2:B$401,$U267)))</f>
        <v/>
      </c>
      <c r="C267">
        <f>IF($U267="","",IF(INDEX('Per Invoice'!C$2:C$401,$U267)="","",INDEX('Per Invoice'!C$2:C$401,$U267)))</f>
        <v/>
      </c>
      <c r="D267">
        <f>IF($U267="","",IF(INDEX('Per Invoice'!D$2:D$401,$U267)="","",INDEX('Per Invoice'!D$2:D$401,$U267)))</f>
        <v/>
      </c>
      <c r="E267">
        <f>IF($U267="","",IF(INDEX('Per Invoice'!E$2:E$401,$U267)="","",INDEX('Per Invoice'!E$2:E$401,$U267)))</f>
        <v/>
      </c>
      <c r="F267">
        <f>IF($U267="","",IF(INDEX('Per Invoice'!F$2:F$401,$U267)="","",INDEX('Per Invoice'!F$2:F$401,$U267)))</f>
        <v/>
      </c>
      <c r="G267">
        <f>IF($U267="","",IF(INDEX('Per Invoice'!G$2:G$401,$U267)="","",INDEX('Per Invoice'!G$2:G$401,$U267)))</f>
        <v/>
      </c>
      <c r="H267" s="7">
        <f>IF($U267="","",IF(INDEX('Per Invoice'!H$2:H$401,$U267)="","",INDEX('Per Invoice'!H$2:H$401,$U267)))</f>
        <v/>
      </c>
      <c r="I267" s="14">
        <f>IF($U267="","",IF(INDEX('Per Invoice'!I$2:I$401,$U267)="","",INDEX('Per Invoice'!I$2:I$401,$U267)))</f>
        <v/>
      </c>
      <c r="J267">
        <f>IF($U267="","",IF(INDEX('Per Invoice'!J$2:J$401,$U267)="","",INDEX('Per Invoice'!J$2:J$401,$U267)))</f>
        <v/>
      </c>
      <c r="K267">
        <f>IF($U267="","",IF(INDEX('Per Invoice'!K$2:K$401,$U267)="","",INDEX('Per Invoice'!K$2:K$401,$U267)))</f>
        <v/>
      </c>
      <c r="L267" s="7">
        <f>IF($U267="","",IF(INDEX('Per Invoice'!L$2:L$401,$U267)="","",INDEX('Per Invoice'!L$2:L$401,$U267)))</f>
        <v/>
      </c>
      <c r="M267" s="7">
        <f>IF($U267="","",IF(INDEX('Per Invoice'!M$2:M$401,$U267)="","",INDEX('Per Invoice'!M$2:M$401,$U267)))</f>
        <v/>
      </c>
      <c r="N267">
        <f>IF($U267="","",IF(INDEX('Per Invoice'!N$2:N$401,$U267)="","",INDEX('Per Invoice'!N$2:N$401,$U267)))</f>
        <v/>
      </c>
      <c r="O267" s="7">
        <f>IF($U267="","",IF(INDEX('Per Invoice'!O$2:O$401,$U267)="","",INDEX('Per Invoice'!O$2:O$401,$U267)))</f>
        <v/>
      </c>
      <c r="P267" s="7">
        <f>IF($U267="","",IF(INDEX('Per Invoice'!P$2:P$401,$U267)="","",INDEX('Per Invoice'!P$2:P$401,$U267)))</f>
        <v/>
      </c>
      <c r="Q267" s="7">
        <f>IF($U267="","",IF(INDEX('Per Invoice'!Q$2:Q$401,$U267)="","",INDEX('Per Invoice'!Q$2:Q$401,$U267)))</f>
        <v/>
      </c>
      <c r="R267" s="7">
        <f>IF($U267="","",IF(INDEX('Per Invoice'!R$2:R$401,$U267)="","",INDEX('Per Invoice'!R$2:R$401,$U267)))</f>
        <v/>
      </c>
      <c r="S267" s="7">
        <f>IF($U267="","",IF(INDEX('Per Invoice'!S$2:S$401,$U267)="","",INDEX('Per Invoice'!S$2:S$401,$U267)))</f>
        <v/>
      </c>
      <c r="T267" s="7">
        <f>IF($U267="","",IF(INDEX('Per Invoice'!T$2:T$401,$U267)="","",INDEX('Per Invoice'!T$2:T$401,$U267)))</f>
        <v/>
      </c>
      <c r="U267" s="16">
        <f>IFERROR(MATCH(Settings!$C$27&amp;"|"&amp;ROWS($U$2:$U267),'Per Invoice'!$V$2:$V$401,0),"")</f>
        <v/>
      </c>
    </row>
    <row r="268">
      <c r="A268">
        <f>IF($U268="","",IF(INDEX('Per Invoice'!A$2:A$401,$U268)="","",INDEX('Per Invoice'!A$2:A$401,$U268)))</f>
        <v/>
      </c>
      <c r="B268">
        <f>IF($U268="","",IF(INDEX('Per Invoice'!B$2:B$401,$U268)="","",INDEX('Per Invoice'!B$2:B$401,$U268)))</f>
        <v/>
      </c>
      <c r="C268">
        <f>IF($U268="","",IF(INDEX('Per Invoice'!C$2:C$401,$U268)="","",INDEX('Per Invoice'!C$2:C$401,$U268)))</f>
        <v/>
      </c>
      <c r="D268">
        <f>IF($U268="","",IF(INDEX('Per Invoice'!D$2:D$401,$U268)="","",INDEX('Per Invoice'!D$2:D$401,$U268)))</f>
        <v/>
      </c>
      <c r="E268">
        <f>IF($U268="","",IF(INDEX('Per Invoice'!E$2:E$401,$U268)="","",INDEX('Per Invoice'!E$2:E$401,$U268)))</f>
        <v/>
      </c>
      <c r="F268">
        <f>IF($U268="","",IF(INDEX('Per Invoice'!F$2:F$401,$U268)="","",INDEX('Per Invoice'!F$2:F$401,$U268)))</f>
        <v/>
      </c>
      <c r="G268">
        <f>IF($U268="","",IF(INDEX('Per Invoice'!G$2:G$401,$U268)="","",INDEX('Per Invoice'!G$2:G$401,$U268)))</f>
        <v/>
      </c>
      <c r="H268" s="7">
        <f>IF($U268="","",IF(INDEX('Per Invoice'!H$2:H$401,$U268)="","",INDEX('Per Invoice'!H$2:H$401,$U268)))</f>
        <v/>
      </c>
      <c r="I268" s="14">
        <f>IF($U268="","",IF(INDEX('Per Invoice'!I$2:I$401,$U268)="","",INDEX('Per Invoice'!I$2:I$401,$U268)))</f>
        <v/>
      </c>
      <c r="J268">
        <f>IF($U268="","",IF(INDEX('Per Invoice'!J$2:J$401,$U268)="","",INDEX('Per Invoice'!J$2:J$401,$U268)))</f>
        <v/>
      </c>
      <c r="K268">
        <f>IF($U268="","",IF(INDEX('Per Invoice'!K$2:K$401,$U268)="","",INDEX('Per Invoice'!K$2:K$401,$U268)))</f>
        <v/>
      </c>
      <c r="L268" s="7">
        <f>IF($U268="","",IF(INDEX('Per Invoice'!L$2:L$401,$U268)="","",INDEX('Per Invoice'!L$2:L$401,$U268)))</f>
        <v/>
      </c>
      <c r="M268" s="7">
        <f>IF($U268="","",IF(INDEX('Per Invoice'!M$2:M$401,$U268)="","",INDEX('Per Invoice'!M$2:M$401,$U268)))</f>
        <v/>
      </c>
      <c r="N268">
        <f>IF($U268="","",IF(INDEX('Per Invoice'!N$2:N$401,$U268)="","",INDEX('Per Invoice'!N$2:N$401,$U268)))</f>
        <v/>
      </c>
      <c r="O268" s="7">
        <f>IF($U268="","",IF(INDEX('Per Invoice'!O$2:O$401,$U268)="","",INDEX('Per Invoice'!O$2:O$401,$U268)))</f>
        <v/>
      </c>
      <c r="P268" s="7">
        <f>IF($U268="","",IF(INDEX('Per Invoice'!P$2:P$401,$U268)="","",INDEX('Per Invoice'!P$2:P$401,$U268)))</f>
        <v/>
      </c>
      <c r="Q268" s="7">
        <f>IF($U268="","",IF(INDEX('Per Invoice'!Q$2:Q$401,$U268)="","",INDEX('Per Invoice'!Q$2:Q$401,$U268)))</f>
        <v/>
      </c>
      <c r="R268" s="7">
        <f>IF($U268="","",IF(INDEX('Per Invoice'!R$2:R$401,$U268)="","",INDEX('Per Invoice'!R$2:R$401,$U268)))</f>
        <v/>
      </c>
      <c r="S268" s="7">
        <f>IF($U268="","",IF(INDEX('Per Invoice'!S$2:S$401,$U268)="","",INDEX('Per Invoice'!S$2:S$401,$U268)))</f>
        <v/>
      </c>
      <c r="T268" s="7">
        <f>IF($U268="","",IF(INDEX('Per Invoice'!T$2:T$401,$U268)="","",INDEX('Per Invoice'!T$2:T$401,$U268)))</f>
        <v/>
      </c>
      <c r="U268" s="16">
        <f>IFERROR(MATCH(Settings!$C$27&amp;"|"&amp;ROWS($U$2:$U268),'Per Invoice'!$V$2:$V$401,0),"")</f>
        <v/>
      </c>
    </row>
    <row r="269">
      <c r="A269">
        <f>IF($U269="","",IF(INDEX('Per Invoice'!A$2:A$401,$U269)="","",INDEX('Per Invoice'!A$2:A$401,$U269)))</f>
        <v/>
      </c>
      <c r="B269">
        <f>IF($U269="","",IF(INDEX('Per Invoice'!B$2:B$401,$U269)="","",INDEX('Per Invoice'!B$2:B$401,$U269)))</f>
        <v/>
      </c>
      <c r="C269">
        <f>IF($U269="","",IF(INDEX('Per Invoice'!C$2:C$401,$U269)="","",INDEX('Per Invoice'!C$2:C$401,$U269)))</f>
        <v/>
      </c>
      <c r="D269">
        <f>IF($U269="","",IF(INDEX('Per Invoice'!D$2:D$401,$U269)="","",INDEX('Per Invoice'!D$2:D$401,$U269)))</f>
        <v/>
      </c>
      <c r="E269">
        <f>IF($U269="","",IF(INDEX('Per Invoice'!E$2:E$401,$U269)="","",INDEX('Per Invoice'!E$2:E$401,$U269)))</f>
        <v/>
      </c>
      <c r="F269">
        <f>IF($U269="","",IF(INDEX('Per Invoice'!F$2:F$401,$U269)="","",INDEX('Per Invoice'!F$2:F$401,$U269)))</f>
        <v/>
      </c>
      <c r="G269">
        <f>IF($U269="","",IF(INDEX('Per Invoice'!G$2:G$401,$U269)="","",INDEX('Per Invoice'!G$2:G$401,$U269)))</f>
        <v/>
      </c>
      <c r="H269" s="7">
        <f>IF($U269="","",IF(INDEX('Per Invoice'!H$2:H$401,$U269)="","",INDEX('Per Invoice'!H$2:H$401,$U269)))</f>
        <v/>
      </c>
      <c r="I269" s="14">
        <f>IF($U269="","",IF(INDEX('Per Invoice'!I$2:I$401,$U269)="","",INDEX('Per Invoice'!I$2:I$401,$U269)))</f>
        <v/>
      </c>
      <c r="J269">
        <f>IF($U269="","",IF(INDEX('Per Invoice'!J$2:J$401,$U269)="","",INDEX('Per Invoice'!J$2:J$401,$U269)))</f>
        <v/>
      </c>
      <c r="K269">
        <f>IF($U269="","",IF(INDEX('Per Invoice'!K$2:K$401,$U269)="","",INDEX('Per Invoice'!K$2:K$401,$U269)))</f>
        <v/>
      </c>
      <c r="L269" s="7">
        <f>IF($U269="","",IF(INDEX('Per Invoice'!L$2:L$401,$U269)="","",INDEX('Per Invoice'!L$2:L$401,$U269)))</f>
        <v/>
      </c>
      <c r="M269" s="7">
        <f>IF($U269="","",IF(INDEX('Per Invoice'!M$2:M$401,$U269)="","",INDEX('Per Invoice'!M$2:M$401,$U269)))</f>
        <v/>
      </c>
      <c r="N269">
        <f>IF($U269="","",IF(INDEX('Per Invoice'!N$2:N$401,$U269)="","",INDEX('Per Invoice'!N$2:N$401,$U269)))</f>
        <v/>
      </c>
      <c r="O269" s="7">
        <f>IF($U269="","",IF(INDEX('Per Invoice'!O$2:O$401,$U269)="","",INDEX('Per Invoice'!O$2:O$401,$U269)))</f>
        <v/>
      </c>
      <c r="P269" s="7">
        <f>IF($U269="","",IF(INDEX('Per Invoice'!P$2:P$401,$U269)="","",INDEX('Per Invoice'!P$2:P$401,$U269)))</f>
        <v/>
      </c>
      <c r="Q269" s="7">
        <f>IF($U269="","",IF(INDEX('Per Invoice'!Q$2:Q$401,$U269)="","",INDEX('Per Invoice'!Q$2:Q$401,$U269)))</f>
        <v/>
      </c>
      <c r="R269" s="7">
        <f>IF($U269="","",IF(INDEX('Per Invoice'!R$2:R$401,$U269)="","",INDEX('Per Invoice'!R$2:R$401,$U269)))</f>
        <v/>
      </c>
      <c r="S269" s="7">
        <f>IF($U269="","",IF(INDEX('Per Invoice'!S$2:S$401,$U269)="","",INDEX('Per Invoice'!S$2:S$401,$U269)))</f>
        <v/>
      </c>
      <c r="T269" s="7">
        <f>IF($U269="","",IF(INDEX('Per Invoice'!T$2:T$401,$U269)="","",INDEX('Per Invoice'!T$2:T$401,$U269)))</f>
        <v/>
      </c>
      <c r="U269" s="16">
        <f>IFERROR(MATCH(Settings!$C$27&amp;"|"&amp;ROWS($U$2:$U269),'Per Invoice'!$V$2:$V$401,0),"")</f>
        <v/>
      </c>
    </row>
    <row r="270">
      <c r="A270">
        <f>IF($U270="","",IF(INDEX('Per Invoice'!A$2:A$401,$U270)="","",INDEX('Per Invoice'!A$2:A$401,$U270)))</f>
        <v/>
      </c>
      <c r="B270">
        <f>IF($U270="","",IF(INDEX('Per Invoice'!B$2:B$401,$U270)="","",INDEX('Per Invoice'!B$2:B$401,$U270)))</f>
        <v/>
      </c>
      <c r="C270">
        <f>IF($U270="","",IF(INDEX('Per Invoice'!C$2:C$401,$U270)="","",INDEX('Per Invoice'!C$2:C$401,$U270)))</f>
        <v/>
      </c>
      <c r="D270">
        <f>IF($U270="","",IF(INDEX('Per Invoice'!D$2:D$401,$U270)="","",INDEX('Per Invoice'!D$2:D$401,$U270)))</f>
        <v/>
      </c>
      <c r="E270">
        <f>IF($U270="","",IF(INDEX('Per Invoice'!E$2:E$401,$U270)="","",INDEX('Per Invoice'!E$2:E$401,$U270)))</f>
        <v/>
      </c>
      <c r="F270">
        <f>IF($U270="","",IF(INDEX('Per Invoice'!F$2:F$401,$U270)="","",INDEX('Per Invoice'!F$2:F$401,$U270)))</f>
        <v/>
      </c>
      <c r="G270">
        <f>IF($U270="","",IF(INDEX('Per Invoice'!G$2:G$401,$U270)="","",INDEX('Per Invoice'!G$2:G$401,$U270)))</f>
        <v/>
      </c>
      <c r="H270" s="7">
        <f>IF($U270="","",IF(INDEX('Per Invoice'!H$2:H$401,$U270)="","",INDEX('Per Invoice'!H$2:H$401,$U270)))</f>
        <v/>
      </c>
      <c r="I270" s="14">
        <f>IF($U270="","",IF(INDEX('Per Invoice'!I$2:I$401,$U270)="","",INDEX('Per Invoice'!I$2:I$401,$U270)))</f>
        <v/>
      </c>
      <c r="J270">
        <f>IF($U270="","",IF(INDEX('Per Invoice'!J$2:J$401,$U270)="","",INDEX('Per Invoice'!J$2:J$401,$U270)))</f>
        <v/>
      </c>
      <c r="K270">
        <f>IF($U270="","",IF(INDEX('Per Invoice'!K$2:K$401,$U270)="","",INDEX('Per Invoice'!K$2:K$401,$U270)))</f>
        <v/>
      </c>
      <c r="L270" s="7">
        <f>IF($U270="","",IF(INDEX('Per Invoice'!L$2:L$401,$U270)="","",INDEX('Per Invoice'!L$2:L$401,$U270)))</f>
        <v/>
      </c>
      <c r="M270" s="7">
        <f>IF($U270="","",IF(INDEX('Per Invoice'!M$2:M$401,$U270)="","",INDEX('Per Invoice'!M$2:M$401,$U270)))</f>
        <v/>
      </c>
      <c r="N270">
        <f>IF($U270="","",IF(INDEX('Per Invoice'!N$2:N$401,$U270)="","",INDEX('Per Invoice'!N$2:N$401,$U270)))</f>
        <v/>
      </c>
      <c r="O270" s="7">
        <f>IF($U270="","",IF(INDEX('Per Invoice'!O$2:O$401,$U270)="","",INDEX('Per Invoice'!O$2:O$401,$U270)))</f>
        <v/>
      </c>
      <c r="P270" s="7">
        <f>IF($U270="","",IF(INDEX('Per Invoice'!P$2:P$401,$U270)="","",INDEX('Per Invoice'!P$2:P$401,$U270)))</f>
        <v/>
      </c>
      <c r="Q270" s="7">
        <f>IF($U270="","",IF(INDEX('Per Invoice'!Q$2:Q$401,$U270)="","",INDEX('Per Invoice'!Q$2:Q$401,$U270)))</f>
        <v/>
      </c>
      <c r="R270" s="7">
        <f>IF($U270="","",IF(INDEX('Per Invoice'!R$2:R$401,$U270)="","",INDEX('Per Invoice'!R$2:R$401,$U270)))</f>
        <v/>
      </c>
      <c r="S270" s="7">
        <f>IF($U270="","",IF(INDEX('Per Invoice'!S$2:S$401,$U270)="","",INDEX('Per Invoice'!S$2:S$401,$U270)))</f>
        <v/>
      </c>
      <c r="T270" s="7">
        <f>IF($U270="","",IF(INDEX('Per Invoice'!T$2:T$401,$U270)="","",INDEX('Per Invoice'!T$2:T$401,$U270)))</f>
        <v/>
      </c>
      <c r="U270" s="16">
        <f>IFERROR(MATCH(Settings!$C$27&amp;"|"&amp;ROWS($U$2:$U270),'Per Invoice'!$V$2:$V$401,0),"")</f>
        <v/>
      </c>
    </row>
    <row r="271">
      <c r="A271">
        <f>IF($U271="","",IF(INDEX('Per Invoice'!A$2:A$401,$U271)="","",INDEX('Per Invoice'!A$2:A$401,$U271)))</f>
        <v/>
      </c>
      <c r="B271">
        <f>IF($U271="","",IF(INDEX('Per Invoice'!B$2:B$401,$U271)="","",INDEX('Per Invoice'!B$2:B$401,$U271)))</f>
        <v/>
      </c>
      <c r="C271">
        <f>IF($U271="","",IF(INDEX('Per Invoice'!C$2:C$401,$U271)="","",INDEX('Per Invoice'!C$2:C$401,$U271)))</f>
        <v/>
      </c>
      <c r="D271">
        <f>IF($U271="","",IF(INDEX('Per Invoice'!D$2:D$401,$U271)="","",INDEX('Per Invoice'!D$2:D$401,$U271)))</f>
        <v/>
      </c>
      <c r="E271">
        <f>IF($U271="","",IF(INDEX('Per Invoice'!E$2:E$401,$U271)="","",INDEX('Per Invoice'!E$2:E$401,$U271)))</f>
        <v/>
      </c>
      <c r="F271">
        <f>IF($U271="","",IF(INDEX('Per Invoice'!F$2:F$401,$U271)="","",INDEX('Per Invoice'!F$2:F$401,$U271)))</f>
        <v/>
      </c>
      <c r="G271">
        <f>IF($U271="","",IF(INDEX('Per Invoice'!G$2:G$401,$U271)="","",INDEX('Per Invoice'!G$2:G$401,$U271)))</f>
        <v/>
      </c>
      <c r="H271" s="7">
        <f>IF($U271="","",IF(INDEX('Per Invoice'!H$2:H$401,$U271)="","",INDEX('Per Invoice'!H$2:H$401,$U271)))</f>
        <v/>
      </c>
      <c r="I271" s="14">
        <f>IF($U271="","",IF(INDEX('Per Invoice'!I$2:I$401,$U271)="","",INDEX('Per Invoice'!I$2:I$401,$U271)))</f>
        <v/>
      </c>
      <c r="J271">
        <f>IF($U271="","",IF(INDEX('Per Invoice'!J$2:J$401,$U271)="","",INDEX('Per Invoice'!J$2:J$401,$U271)))</f>
        <v/>
      </c>
      <c r="K271">
        <f>IF($U271="","",IF(INDEX('Per Invoice'!K$2:K$401,$U271)="","",INDEX('Per Invoice'!K$2:K$401,$U271)))</f>
        <v/>
      </c>
      <c r="L271" s="7">
        <f>IF($U271="","",IF(INDEX('Per Invoice'!L$2:L$401,$U271)="","",INDEX('Per Invoice'!L$2:L$401,$U271)))</f>
        <v/>
      </c>
      <c r="M271" s="7">
        <f>IF($U271="","",IF(INDEX('Per Invoice'!M$2:M$401,$U271)="","",INDEX('Per Invoice'!M$2:M$401,$U271)))</f>
        <v/>
      </c>
      <c r="N271">
        <f>IF($U271="","",IF(INDEX('Per Invoice'!N$2:N$401,$U271)="","",INDEX('Per Invoice'!N$2:N$401,$U271)))</f>
        <v/>
      </c>
      <c r="O271" s="7">
        <f>IF($U271="","",IF(INDEX('Per Invoice'!O$2:O$401,$U271)="","",INDEX('Per Invoice'!O$2:O$401,$U271)))</f>
        <v/>
      </c>
      <c r="P271" s="7">
        <f>IF($U271="","",IF(INDEX('Per Invoice'!P$2:P$401,$U271)="","",INDEX('Per Invoice'!P$2:P$401,$U271)))</f>
        <v/>
      </c>
      <c r="Q271" s="7">
        <f>IF($U271="","",IF(INDEX('Per Invoice'!Q$2:Q$401,$U271)="","",INDEX('Per Invoice'!Q$2:Q$401,$U271)))</f>
        <v/>
      </c>
      <c r="R271" s="7">
        <f>IF($U271="","",IF(INDEX('Per Invoice'!R$2:R$401,$U271)="","",INDEX('Per Invoice'!R$2:R$401,$U271)))</f>
        <v/>
      </c>
      <c r="S271" s="7">
        <f>IF($U271="","",IF(INDEX('Per Invoice'!S$2:S$401,$U271)="","",INDEX('Per Invoice'!S$2:S$401,$U271)))</f>
        <v/>
      </c>
      <c r="T271" s="7">
        <f>IF($U271="","",IF(INDEX('Per Invoice'!T$2:T$401,$U271)="","",INDEX('Per Invoice'!T$2:T$401,$U271)))</f>
        <v/>
      </c>
      <c r="U271" s="16">
        <f>IFERROR(MATCH(Settings!$C$27&amp;"|"&amp;ROWS($U$2:$U271),'Per Invoice'!$V$2:$V$401,0),"")</f>
        <v/>
      </c>
    </row>
    <row r="272">
      <c r="A272">
        <f>IF($U272="","",IF(INDEX('Per Invoice'!A$2:A$401,$U272)="","",INDEX('Per Invoice'!A$2:A$401,$U272)))</f>
        <v/>
      </c>
      <c r="B272">
        <f>IF($U272="","",IF(INDEX('Per Invoice'!B$2:B$401,$U272)="","",INDEX('Per Invoice'!B$2:B$401,$U272)))</f>
        <v/>
      </c>
      <c r="C272">
        <f>IF($U272="","",IF(INDEX('Per Invoice'!C$2:C$401,$U272)="","",INDEX('Per Invoice'!C$2:C$401,$U272)))</f>
        <v/>
      </c>
      <c r="D272">
        <f>IF($U272="","",IF(INDEX('Per Invoice'!D$2:D$401,$U272)="","",INDEX('Per Invoice'!D$2:D$401,$U272)))</f>
        <v/>
      </c>
      <c r="E272">
        <f>IF($U272="","",IF(INDEX('Per Invoice'!E$2:E$401,$U272)="","",INDEX('Per Invoice'!E$2:E$401,$U272)))</f>
        <v/>
      </c>
      <c r="F272">
        <f>IF($U272="","",IF(INDEX('Per Invoice'!F$2:F$401,$U272)="","",INDEX('Per Invoice'!F$2:F$401,$U272)))</f>
        <v/>
      </c>
      <c r="G272">
        <f>IF($U272="","",IF(INDEX('Per Invoice'!G$2:G$401,$U272)="","",INDEX('Per Invoice'!G$2:G$401,$U272)))</f>
        <v/>
      </c>
      <c r="H272" s="7">
        <f>IF($U272="","",IF(INDEX('Per Invoice'!H$2:H$401,$U272)="","",INDEX('Per Invoice'!H$2:H$401,$U272)))</f>
        <v/>
      </c>
      <c r="I272" s="14">
        <f>IF($U272="","",IF(INDEX('Per Invoice'!I$2:I$401,$U272)="","",INDEX('Per Invoice'!I$2:I$401,$U272)))</f>
        <v/>
      </c>
      <c r="J272">
        <f>IF($U272="","",IF(INDEX('Per Invoice'!J$2:J$401,$U272)="","",INDEX('Per Invoice'!J$2:J$401,$U272)))</f>
        <v/>
      </c>
      <c r="K272">
        <f>IF($U272="","",IF(INDEX('Per Invoice'!K$2:K$401,$U272)="","",INDEX('Per Invoice'!K$2:K$401,$U272)))</f>
        <v/>
      </c>
      <c r="L272" s="7">
        <f>IF($U272="","",IF(INDEX('Per Invoice'!L$2:L$401,$U272)="","",INDEX('Per Invoice'!L$2:L$401,$U272)))</f>
        <v/>
      </c>
      <c r="M272" s="7">
        <f>IF($U272="","",IF(INDEX('Per Invoice'!M$2:M$401,$U272)="","",INDEX('Per Invoice'!M$2:M$401,$U272)))</f>
        <v/>
      </c>
      <c r="N272">
        <f>IF($U272="","",IF(INDEX('Per Invoice'!N$2:N$401,$U272)="","",INDEX('Per Invoice'!N$2:N$401,$U272)))</f>
        <v/>
      </c>
      <c r="O272" s="7">
        <f>IF($U272="","",IF(INDEX('Per Invoice'!O$2:O$401,$U272)="","",INDEX('Per Invoice'!O$2:O$401,$U272)))</f>
        <v/>
      </c>
      <c r="P272" s="7">
        <f>IF($U272="","",IF(INDEX('Per Invoice'!P$2:P$401,$U272)="","",INDEX('Per Invoice'!P$2:P$401,$U272)))</f>
        <v/>
      </c>
      <c r="Q272" s="7">
        <f>IF($U272="","",IF(INDEX('Per Invoice'!Q$2:Q$401,$U272)="","",INDEX('Per Invoice'!Q$2:Q$401,$U272)))</f>
        <v/>
      </c>
      <c r="R272" s="7">
        <f>IF($U272="","",IF(INDEX('Per Invoice'!R$2:R$401,$U272)="","",INDEX('Per Invoice'!R$2:R$401,$U272)))</f>
        <v/>
      </c>
      <c r="S272" s="7">
        <f>IF($U272="","",IF(INDEX('Per Invoice'!S$2:S$401,$U272)="","",INDEX('Per Invoice'!S$2:S$401,$U272)))</f>
        <v/>
      </c>
      <c r="T272" s="7">
        <f>IF($U272="","",IF(INDEX('Per Invoice'!T$2:T$401,$U272)="","",INDEX('Per Invoice'!T$2:T$401,$U272)))</f>
        <v/>
      </c>
      <c r="U272" s="16">
        <f>IFERROR(MATCH(Settings!$C$27&amp;"|"&amp;ROWS($U$2:$U272),'Per Invoice'!$V$2:$V$401,0),"")</f>
        <v/>
      </c>
    </row>
    <row r="273">
      <c r="A273">
        <f>IF($U273="","",IF(INDEX('Per Invoice'!A$2:A$401,$U273)="","",INDEX('Per Invoice'!A$2:A$401,$U273)))</f>
        <v/>
      </c>
      <c r="B273">
        <f>IF($U273="","",IF(INDEX('Per Invoice'!B$2:B$401,$U273)="","",INDEX('Per Invoice'!B$2:B$401,$U273)))</f>
        <v/>
      </c>
      <c r="C273">
        <f>IF($U273="","",IF(INDEX('Per Invoice'!C$2:C$401,$U273)="","",INDEX('Per Invoice'!C$2:C$401,$U273)))</f>
        <v/>
      </c>
      <c r="D273">
        <f>IF($U273="","",IF(INDEX('Per Invoice'!D$2:D$401,$U273)="","",INDEX('Per Invoice'!D$2:D$401,$U273)))</f>
        <v/>
      </c>
      <c r="E273">
        <f>IF($U273="","",IF(INDEX('Per Invoice'!E$2:E$401,$U273)="","",INDEX('Per Invoice'!E$2:E$401,$U273)))</f>
        <v/>
      </c>
      <c r="F273">
        <f>IF($U273="","",IF(INDEX('Per Invoice'!F$2:F$401,$U273)="","",INDEX('Per Invoice'!F$2:F$401,$U273)))</f>
        <v/>
      </c>
      <c r="G273">
        <f>IF($U273="","",IF(INDEX('Per Invoice'!G$2:G$401,$U273)="","",INDEX('Per Invoice'!G$2:G$401,$U273)))</f>
        <v/>
      </c>
      <c r="H273" s="7">
        <f>IF($U273="","",IF(INDEX('Per Invoice'!H$2:H$401,$U273)="","",INDEX('Per Invoice'!H$2:H$401,$U273)))</f>
        <v/>
      </c>
      <c r="I273" s="14">
        <f>IF($U273="","",IF(INDEX('Per Invoice'!I$2:I$401,$U273)="","",INDEX('Per Invoice'!I$2:I$401,$U273)))</f>
        <v/>
      </c>
      <c r="J273">
        <f>IF($U273="","",IF(INDEX('Per Invoice'!J$2:J$401,$U273)="","",INDEX('Per Invoice'!J$2:J$401,$U273)))</f>
        <v/>
      </c>
      <c r="K273">
        <f>IF($U273="","",IF(INDEX('Per Invoice'!K$2:K$401,$U273)="","",INDEX('Per Invoice'!K$2:K$401,$U273)))</f>
        <v/>
      </c>
      <c r="L273" s="7">
        <f>IF($U273="","",IF(INDEX('Per Invoice'!L$2:L$401,$U273)="","",INDEX('Per Invoice'!L$2:L$401,$U273)))</f>
        <v/>
      </c>
      <c r="M273" s="7">
        <f>IF($U273="","",IF(INDEX('Per Invoice'!M$2:M$401,$U273)="","",INDEX('Per Invoice'!M$2:M$401,$U273)))</f>
        <v/>
      </c>
      <c r="N273">
        <f>IF($U273="","",IF(INDEX('Per Invoice'!N$2:N$401,$U273)="","",INDEX('Per Invoice'!N$2:N$401,$U273)))</f>
        <v/>
      </c>
      <c r="O273" s="7">
        <f>IF($U273="","",IF(INDEX('Per Invoice'!O$2:O$401,$U273)="","",INDEX('Per Invoice'!O$2:O$401,$U273)))</f>
        <v/>
      </c>
      <c r="P273" s="7">
        <f>IF($U273="","",IF(INDEX('Per Invoice'!P$2:P$401,$U273)="","",INDEX('Per Invoice'!P$2:P$401,$U273)))</f>
        <v/>
      </c>
      <c r="Q273" s="7">
        <f>IF($U273="","",IF(INDEX('Per Invoice'!Q$2:Q$401,$U273)="","",INDEX('Per Invoice'!Q$2:Q$401,$U273)))</f>
        <v/>
      </c>
      <c r="R273" s="7">
        <f>IF($U273="","",IF(INDEX('Per Invoice'!R$2:R$401,$U273)="","",INDEX('Per Invoice'!R$2:R$401,$U273)))</f>
        <v/>
      </c>
      <c r="S273" s="7">
        <f>IF($U273="","",IF(INDEX('Per Invoice'!S$2:S$401,$U273)="","",INDEX('Per Invoice'!S$2:S$401,$U273)))</f>
        <v/>
      </c>
      <c r="T273" s="7">
        <f>IF($U273="","",IF(INDEX('Per Invoice'!T$2:T$401,$U273)="","",INDEX('Per Invoice'!T$2:T$401,$U273)))</f>
        <v/>
      </c>
      <c r="U273" s="16">
        <f>IFERROR(MATCH(Settings!$C$27&amp;"|"&amp;ROWS($U$2:$U273),'Per Invoice'!$V$2:$V$401,0),"")</f>
        <v/>
      </c>
    </row>
    <row r="274">
      <c r="A274">
        <f>IF($U274="","",IF(INDEX('Per Invoice'!A$2:A$401,$U274)="","",INDEX('Per Invoice'!A$2:A$401,$U274)))</f>
        <v/>
      </c>
      <c r="B274">
        <f>IF($U274="","",IF(INDEX('Per Invoice'!B$2:B$401,$U274)="","",INDEX('Per Invoice'!B$2:B$401,$U274)))</f>
        <v/>
      </c>
      <c r="C274">
        <f>IF($U274="","",IF(INDEX('Per Invoice'!C$2:C$401,$U274)="","",INDEX('Per Invoice'!C$2:C$401,$U274)))</f>
        <v/>
      </c>
      <c r="D274">
        <f>IF($U274="","",IF(INDEX('Per Invoice'!D$2:D$401,$U274)="","",INDEX('Per Invoice'!D$2:D$401,$U274)))</f>
        <v/>
      </c>
      <c r="E274">
        <f>IF($U274="","",IF(INDEX('Per Invoice'!E$2:E$401,$U274)="","",INDEX('Per Invoice'!E$2:E$401,$U274)))</f>
        <v/>
      </c>
      <c r="F274">
        <f>IF($U274="","",IF(INDEX('Per Invoice'!F$2:F$401,$U274)="","",INDEX('Per Invoice'!F$2:F$401,$U274)))</f>
        <v/>
      </c>
      <c r="G274">
        <f>IF($U274="","",IF(INDEX('Per Invoice'!G$2:G$401,$U274)="","",INDEX('Per Invoice'!G$2:G$401,$U274)))</f>
        <v/>
      </c>
      <c r="H274" s="7">
        <f>IF($U274="","",IF(INDEX('Per Invoice'!H$2:H$401,$U274)="","",INDEX('Per Invoice'!H$2:H$401,$U274)))</f>
        <v/>
      </c>
      <c r="I274" s="14">
        <f>IF($U274="","",IF(INDEX('Per Invoice'!I$2:I$401,$U274)="","",INDEX('Per Invoice'!I$2:I$401,$U274)))</f>
        <v/>
      </c>
      <c r="J274">
        <f>IF($U274="","",IF(INDEX('Per Invoice'!J$2:J$401,$U274)="","",INDEX('Per Invoice'!J$2:J$401,$U274)))</f>
        <v/>
      </c>
      <c r="K274">
        <f>IF($U274="","",IF(INDEX('Per Invoice'!K$2:K$401,$U274)="","",INDEX('Per Invoice'!K$2:K$401,$U274)))</f>
        <v/>
      </c>
      <c r="L274" s="7">
        <f>IF($U274="","",IF(INDEX('Per Invoice'!L$2:L$401,$U274)="","",INDEX('Per Invoice'!L$2:L$401,$U274)))</f>
        <v/>
      </c>
      <c r="M274" s="7">
        <f>IF($U274="","",IF(INDEX('Per Invoice'!M$2:M$401,$U274)="","",INDEX('Per Invoice'!M$2:M$401,$U274)))</f>
        <v/>
      </c>
      <c r="N274">
        <f>IF($U274="","",IF(INDEX('Per Invoice'!N$2:N$401,$U274)="","",INDEX('Per Invoice'!N$2:N$401,$U274)))</f>
        <v/>
      </c>
      <c r="O274" s="7">
        <f>IF($U274="","",IF(INDEX('Per Invoice'!O$2:O$401,$U274)="","",INDEX('Per Invoice'!O$2:O$401,$U274)))</f>
        <v/>
      </c>
      <c r="P274" s="7">
        <f>IF($U274="","",IF(INDEX('Per Invoice'!P$2:P$401,$U274)="","",INDEX('Per Invoice'!P$2:P$401,$U274)))</f>
        <v/>
      </c>
      <c r="Q274" s="7">
        <f>IF($U274="","",IF(INDEX('Per Invoice'!Q$2:Q$401,$U274)="","",INDEX('Per Invoice'!Q$2:Q$401,$U274)))</f>
        <v/>
      </c>
      <c r="R274" s="7">
        <f>IF($U274="","",IF(INDEX('Per Invoice'!R$2:R$401,$U274)="","",INDEX('Per Invoice'!R$2:R$401,$U274)))</f>
        <v/>
      </c>
      <c r="S274" s="7">
        <f>IF($U274="","",IF(INDEX('Per Invoice'!S$2:S$401,$U274)="","",INDEX('Per Invoice'!S$2:S$401,$U274)))</f>
        <v/>
      </c>
      <c r="T274" s="7">
        <f>IF($U274="","",IF(INDEX('Per Invoice'!T$2:T$401,$U274)="","",INDEX('Per Invoice'!T$2:T$401,$U274)))</f>
        <v/>
      </c>
      <c r="U274" s="16">
        <f>IFERROR(MATCH(Settings!$C$27&amp;"|"&amp;ROWS($U$2:$U274),'Per Invoice'!$V$2:$V$401,0),"")</f>
        <v/>
      </c>
    </row>
    <row r="275">
      <c r="A275">
        <f>IF($U275="","",IF(INDEX('Per Invoice'!A$2:A$401,$U275)="","",INDEX('Per Invoice'!A$2:A$401,$U275)))</f>
        <v/>
      </c>
      <c r="B275">
        <f>IF($U275="","",IF(INDEX('Per Invoice'!B$2:B$401,$U275)="","",INDEX('Per Invoice'!B$2:B$401,$U275)))</f>
        <v/>
      </c>
      <c r="C275">
        <f>IF($U275="","",IF(INDEX('Per Invoice'!C$2:C$401,$U275)="","",INDEX('Per Invoice'!C$2:C$401,$U275)))</f>
        <v/>
      </c>
      <c r="D275">
        <f>IF($U275="","",IF(INDEX('Per Invoice'!D$2:D$401,$U275)="","",INDEX('Per Invoice'!D$2:D$401,$U275)))</f>
        <v/>
      </c>
      <c r="E275">
        <f>IF($U275="","",IF(INDEX('Per Invoice'!E$2:E$401,$U275)="","",INDEX('Per Invoice'!E$2:E$401,$U275)))</f>
        <v/>
      </c>
      <c r="F275">
        <f>IF($U275="","",IF(INDEX('Per Invoice'!F$2:F$401,$U275)="","",INDEX('Per Invoice'!F$2:F$401,$U275)))</f>
        <v/>
      </c>
      <c r="G275">
        <f>IF($U275="","",IF(INDEX('Per Invoice'!G$2:G$401,$U275)="","",INDEX('Per Invoice'!G$2:G$401,$U275)))</f>
        <v/>
      </c>
      <c r="H275" s="7">
        <f>IF($U275="","",IF(INDEX('Per Invoice'!H$2:H$401,$U275)="","",INDEX('Per Invoice'!H$2:H$401,$U275)))</f>
        <v/>
      </c>
      <c r="I275" s="14">
        <f>IF($U275="","",IF(INDEX('Per Invoice'!I$2:I$401,$U275)="","",INDEX('Per Invoice'!I$2:I$401,$U275)))</f>
        <v/>
      </c>
      <c r="J275">
        <f>IF($U275="","",IF(INDEX('Per Invoice'!J$2:J$401,$U275)="","",INDEX('Per Invoice'!J$2:J$401,$U275)))</f>
        <v/>
      </c>
      <c r="K275">
        <f>IF($U275="","",IF(INDEX('Per Invoice'!K$2:K$401,$U275)="","",INDEX('Per Invoice'!K$2:K$401,$U275)))</f>
        <v/>
      </c>
      <c r="L275" s="7">
        <f>IF($U275="","",IF(INDEX('Per Invoice'!L$2:L$401,$U275)="","",INDEX('Per Invoice'!L$2:L$401,$U275)))</f>
        <v/>
      </c>
      <c r="M275" s="7">
        <f>IF($U275="","",IF(INDEX('Per Invoice'!M$2:M$401,$U275)="","",INDEX('Per Invoice'!M$2:M$401,$U275)))</f>
        <v/>
      </c>
      <c r="N275">
        <f>IF($U275="","",IF(INDEX('Per Invoice'!N$2:N$401,$U275)="","",INDEX('Per Invoice'!N$2:N$401,$U275)))</f>
        <v/>
      </c>
      <c r="O275" s="7">
        <f>IF($U275="","",IF(INDEX('Per Invoice'!O$2:O$401,$U275)="","",INDEX('Per Invoice'!O$2:O$401,$U275)))</f>
        <v/>
      </c>
      <c r="P275" s="7">
        <f>IF($U275="","",IF(INDEX('Per Invoice'!P$2:P$401,$U275)="","",INDEX('Per Invoice'!P$2:P$401,$U275)))</f>
        <v/>
      </c>
      <c r="Q275" s="7">
        <f>IF($U275="","",IF(INDEX('Per Invoice'!Q$2:Q$401,$U275)="","",INDEX('Per Invoice'!Q$2:Q$401,$U275)))</f>
        <v/>
      </c>
      <c r="R275" s="7">
        <f>IF($U275="","",IF(INDEX('Per Invoice'!R$2:R$401,$U275)="","",INDEX('Per Invoice'!R$2:R$401,$U275)))</f>
        <v/>
      </c>
      <c r="S275" s="7">
        <f>IF($U275="","",IF(INDEX('Per Invoice'!S$2:S$401,$U275)="","",INDEX('Per Invoice'!S$2:S$401,$U275)))</f>
        <v/>
      </c>
      <c r="T275" s="7">
        <f>IF($U275="","",IF(INDEX('Per Invoice'!T$2:T$401,$U275)="","",INDEX('Per Invoice'!T$2:T$401,$U275)))</f>
        <v/>
      </c>
      <c r="U275" s="16">
        <f>IFERROR(MATCH(Settings!$C$27&amp;"|"&amp;ROWS($U$2:$U275),'Per Invoice'!$V$2:$V$401,0),"")</f>
        <v/>
      </c>
    </row>
    <row r="276">
      <c r="A276">
        <f>IF($U276="","",IF(INDEX('Per Invoice'!A$2:A$401,$U276)="","",INDEX('Per Invoice'!A$2:A$401,$U276)))</f>
        <v/>
      </c>
      <c r="B276">
        <f>IF($U276="","",IF(INDEX('Per Invoice'!B$2:B$401,$U276)="","",INDEX('Per Invoice'!B$2:B$401,$U276)))</f>
        <v/>
      </c>
      <c r="C276">
        <f>IF($U276="","",IF(INDEX('Per Invoice'!C$2:C$401,$U276)="","",INDEX('Per Invoice'!C$2:C$401,$U276)))</f>
        <v/>
      </c>
      <c r="D276">
        <f>IF($U276="","",IF(INDEX('Per Invoice'!D$2:D$401,$U276)="","",INDEX('Per Invoice'!D$2:D$401,$U276)))</f>
        <v/>
      </c>
      <c r="E276">
        <f>IF($U276="","",IF(INDEX('Per Invoice'!E$2:E$401,$U276)="","",INDEX('Per Invoice'!E$2:E$401,$U276)))</f>
        <v/>
      </c>
      <c r="F276">
        <f>IF($U276="","",IF(INDEX('Per Invoice'!F$2:F$401,$U276)="","",INDEX('Per Invoice'!F$2:F$401,$U276)))</f>
        <v/>
      </c>
      <c r="G276">
        <f>IF($U276="","",IF(INDEX('Per Invoice'!G$2:G$401,$U276)="","",INDEX('Per Invoice'!G$2:G$401,$U276)))</f>
        <v/>
      </c>
      <c r="H276" s="7">
        <f>IF($U276="","",IF(INDEX('Per Invoice'!H$2:H$401,$U276)="","",INDEX('Per Invoice'!H$2:H$401,$U276)))</f>
        <v/>
      </c>
      <c r="I276" s="14">
        <f>IF($U276="","",IF(INDEX('Per Invoice'!I$2:I$401,$U276)="","",INDEX('Per Invoice'!I$2:I$401,$U276)))</f>
        <v/>
      </c>
      <c r="J276">
        <f>IF($U276="","",IF(INDEX('Per Invoice'!J$2:J$401,$U276)="","",INDEX('Per Invoice'!J$2:J$401,$U276)))</f>
        <v/>
      </c>
      <c r="K276">
        <f>IF($U276="","",IF(INDEX('Per Invoice'!K$2:K$401,$U276)="","",INDEX('Per Invoice'!K$2:K$401,$U276)))</f>
        <v/>
      </c>
      <c r="L276" s="7">
        <f>IF($U276="","",IF(INDEX('Per Invoice'!L$2:L$401,$U276)="","",INDEX('Per Invoice'!L$2:L$401,$U276)))</f>
        <v/>
      </c>
      <c r="M276" s="7">
        <f>IF($U276="","",IF(INDEX('Per Invoice'!M$2:M$401,$U276)="","",INDEX('Per Invoice'!M$2:M$401,$U276)))</f>
        <v/>
      </c>
      <c r="N276">
        <f>IF($U276="","",IF(INDEX('Per Invoice'!N$2:N$401,$U276)="","",INDEX('Per Invoice'!N$2:N$401,$U276)))</f>
        <v/>
      </c>
      <c r="O276" s="7">
        <f>IF($U276="","",IF(INDEX('Per Invoice'!O$2:O$401,$U276)="","",INDEX('Per Invoice'!O$2:O$401,$U276)))</f>
        <v/>
      </c>
      <c r="P276" s="7">
        <f>IF($U276="","",IF(INDEX('Per Invoice'!P$2:P$401,$U276)="","",INDEX('Per Invoice'!P$2:P$401,$U276)))</f>
        <v/>
      </c>
      <c r="Q276" s="7">
        <f>IF($U276="","",IF(INDEX('Per Invoice'!Q$2:Q$401,$U276)="","",INDEX('Per Invoice'!Q$2:Q$401,$U276)))</f>
        <v/>
      </c>
      <c r="R276" s="7">
        <f>IF($U276="","",IF(INDEX('Per Invoice'!R$2:R$401,$U276)="","",INDEX('Per Invoice'!R$2:R$401,$U276)))</f>
        <v/>
      </c>
      <c r="S276" s="7">
        <f>IF($U276="","",IF(INDEX('Per Invoice'!S$2:S$401,$U276)="","",INDEX('Per Invoice'!S$2:S$401,$U276)))</f>
        <v/>
      </c>
      <c r="T276" s="7">
        <f>IF($U276="","",IF(INDEX('Per Invoice'!T$2:T$401,$U276)="","",INDEX('Per Invoice'!T$2:T$401,$U276)))</f>
        <v/>
      </c>
      <c r="U276" s="16">
        <f>IFERROR(MATCH(Settings!$C$27&amp;"|"&amp;ROWS($U$2:$U276),'Per Invoice'!$V$2:$V$401,0),"")</f>
        <v/>
      </c>
    </row>
    <row r="277">
      <c r="A277">
        <f>IF($U277="","",IF(INDEX('Per Invoice'!A$2:A$401,$U277)="","",INDEX('Per Invoice'!A$2:A$401,$U277)))</f>
        <v/>
      </c>
      <c r="B277">
        <f>IF($U277="","",IF(INDEX('Per Invoice'!B$2:B$401,$U277)="","",INDEX('Per Invoice'!B$2:B$401,$U277)))</f>
        <v/>
      </c>
      <c r="C277">
        <f>IF($U277="","",IF(INDEX('Per Invoice'!C$2:C$401,$U277)="","",INDEX('Per Invoice'!C$2:C$401,$U277)))</f>
        <v/>
      </c>
      <c r="D277">
        <f>IF($U277="","",IF(INDEX('Per Invoice'!D$2:D$401,$U277)="","",INDEX('Per Invoice'!D$2:D$401,$U277)))</f>
        <v/>
      </c>
      <c r="E277">
        <f>IF($U277="","",IF(INDEX('Per Invoice'!E$2:E$401,$U277)="","",INDEX('Per Invoice'!E$2:E$401,$U277)))</f>
        <v/>
      </c>
      <c r="F277">
        <f>IF($U277="","",IF(INDEX('Per Invoice'!F$2:F$401,$U277)="","",INDEX('Per Invoice'!F$2:F$401,$U277)))</f>
        <v/>
      </c>
      <c r="G277">
        <f>IF($U277="","",IF(INDEX('Per Invoice'!G$2:G$401,$U277)="","",INDEX('Per Invoice'!G$2:G$401,$U277)))</f>
        <v/>
      </c>
      <c r="H277" s="7">
        <f>IF($U277="","",IF(INDEX('Per Invoice'!H$2:H$401,$U277)="","",INDEX('Per Invoice'!H$2:H$401,$U277)))</f>
        <v/>
      </c>
      <c r="I277" s="14">
        <f>IF($U277="","",IF(INDEX('Per Invoice'!I$2:I$401,$U277)="","",INDEX('Per Invoice'!I$2:I$401,$U277)))</f>
        <v/>
      </c>
      <c r="J277">
        <f>IF($U277="","",IF(INDEX('Per Invoice'!J$2:J$401,$U277)="","",INDEX('Per Invoice'!J$2:J$401,$U277)))</f>
        <v/>
      </c>
      <c r="K277">
        <f>IF($U277="","",IF(INDEX('Per Invoice'!K$2:K$401,$U277)="","",INDEX('Per Invoice'!K$2:K$401,$U277)))</f>
        <v/>
      </c>
      <c r="L277" s="7">
        <f>IF($U277="","",IF(INDEX('Per Invoice'!L$2:L$401,$U277)="","",INDEX('Per Invoice'!L$2:L$401,$U277)))</f>
        <v/>
      </c>
      <c r="M277" s="7">
        <f>IF($U277="","",IF(INDEX('Per Invoice'!M$2:M$401,$U277)="","",INDEX('Per Invoice'!M$2:M$401,$U277)))</f>
        <v/>
      </c>
      <c r="N277">
        <f>IF($U277="","",IF(INDEX('Per Invoice'!N$2:N$401,$U277)="","",INDEX('Per Invoice'!N$2:N$401,$U277)))</f>
        <v/>
      </c>
      <c r="O277" s="7">
        <f>IF($U277="","",IF(INDEX('Per Invoice'!O$2:O$401,$U277)="","",INDEX('Per Invoice'!O$2:O$401,$U277)))</f>
        <v/>
      </c>
      <c r="P277" s="7">
        <f>IF($U277="","",IF(INDEX('Per Invoice'!P$2:P$401,$U277)="","",INDEX('Per Invoice'!P$2:P$401,$U277)))</f>
        <v/>
      </c>
      <c r="Q277" s="7">
        <f>IF($U277="","",IF(INDEX('Per Invoice'!Q$2:Q$401,$U277)="","",INDEX('Per Invoice'!Q$2:Q$401,$U277)))</f>
        <v/>
      </c>
      <c r="R277" s="7">
        <f>IF($U277="","",IF(INDEX('Per Invoice'!R$2:R$401,$U277)="","",INDEX('Per Invoice'!R$2:R$401,$U277)))</f>
        <v/>
      </c>
      <c r="S277" s="7">
        <f>IF($U277="","",IF(INDEX('Per Invoice'!S$2:S$401,$U277)="","",INDEX('Per Invoice'!S$2:S$401,$U277)))</f>
        <v/>
      </c>
      <c r="T277" s="7">
        <f>IF($U277="","",IF(INDEX('Per Invoice'!T$2:T$401,$U277)="","",INDEX('Per Invoice'!T$2:T$401,$U277)))</f>
        <v/>
      </c>
      <c r="U277" s="16">
        <f>IFERROR(MATCH(Settings!$C$27&amp;"|"&amp;ROWS($U$2:$U277),'Per Invoice'!$V$2:$V$401,0),"")</f>
        <v/>
      </c>
    </row>
    <row r="278">
      <c r="A278">
        <f>IF($U278="","",IF(INDEX('Per Invoice'!A$2:A$401,$U278)="","",INDEX('Per Invoice'!A$2:A$401,$U278)))</f>
        <v/>
      </c>
      <c r="B278">
        <f>IF($U278="","",IF(INDEX('Per Invoice'!B$2:B$401,$U278)="","",INDEX('Per Invoice'!B$2:B$401,$U278)))</f>
        <v/>
      </c>
      <c r="C278">
        <f>IF($U278="","",IF(INDEX('Per Invoice'!C$2:C$401,$U278)="","",INDEX('Per Invoice'!C$2:C$401,$U278)))</f>
        <v/>
      </c>
      <c r="D278">
        <f>IF($U278="","",IF(INDEX('Per Invoice'!D$2:D$401,$U278)="","",INDEX('Per Invoice'!D$2:D$401,$U278)))</f>
        <v/>
      </c>
      <c r="E278">
        <f>IF($U278="","",IF(INDEX('Per Invoice'!E$2:E$401,$U278)="","",INDEX('Per Invoice'!E$2:E$401,$U278)))</f>
        <v/>
      </c>
      <c r="F278">
        <f>IF($U278="","",IF(INDEX('Per Invoice'!F$2:F$401,$U278)="","",INDEX('Per Invoice'!F$2:F$401,$U278)))</f>
        <v/>
      </c>
      <c r="G278">
        <f>IF($U278="","",IF(INDEX('Per Invoice'!G$2:G$401,$U278)="","",INDEX('Per Invoice'!G$2:G$401,$U278)))</f>
        <v/>
      </c>
      <c r="H278" s="7">
        <f>IF($U278="","",IF(INDEX('Per Invoice'!H$2:H$401,$U278)="","",INDEX('Per Invoice'!H$2:H$401,$U278)))</f>
        <v/>
      </c>
      <c r="I278" s="14">
        <f>IF($U278="","",IF(INDEX('Per Invoice'!I$2:I$401,$U278)="","",INDEX('Per Invoice'!I$2:I$401,$U278)))</f>
        <v/>
      </c>
      <c r="J278">
        <f>IF($U278="","",IF(INDEX('Per Invoice'!J$2:J$401,$U278)="","",INDEX('Per Invoice'!J$2:J$401,$U278)))</f>
        <v/>
      </c>
      <c r="K278">
        <f>IF($U278="","",IF(INDEX('Per Invoice'!K$2:K$401,$U278)="","",INDEX('Per Invoice'!K$2:K$401,$U278)))</f>
        <v/>
      </c>
      <c r="L278" s="7">
        <f>IF($U278="","",IF(INDEX('Per Invoice'!L$2:L$401,$U278)="","",INDEX('Per Invoice'!L$2:L$401,$U278)))</f>
        <v/>
      </c>
      <c r="M278" s="7">
        <f>IF($U278="","",IF(INDEX('Per Invoice'!M$2:M$401,$U278)="","",INDEX('Per Invoice'!M$2:M$401,$U278)))</f>
        <v/>
      </c>
      <c r="N278">
        <f>IF($U278="","",IF(INDEX('Per Invoice'!N$2:N$401,$U278)="","",INDEX('Per Invoice'!N$2:N$401,$U278)))</f>
        <v/>
      </c>
      <c r="O278" s="7">
        <f>IF($U278="","",IF(INDEX('Per Invoice'!O$2:O$401,$U278)="","",INDEX('Per Invoice'!O$2:O$401,$U278)))</f>
        <v/>
      </c>
      <c r="P278" s="7">
        <f>IF($U278="","",IF(INDEX('Per Invoice'!P$2:P$401,$U278)="","",INDEX('Per Invoice'!P$2:P$401,$U278)))</f>
        <v/>
      </c>
      <c r="Q278" s="7">
        <f>IF($U278="","",IF(INDEX('Per Invoice'!Q$2:Q$401,$U278)="","",INDEX('Per Invoice'!Q$2:Q$401,$U278)))</f>
        <v/>
      </c>
      <c r="R278" s="7">
        <f>IF($U278="","",IF(INDEX('Per Invoice'!R$2:R$401,$U278)="","",INDEX('Per Invoice'!R$2:R$401,$U278)))</f>
        <v/>
      </c>
      <c r="S278" s="7">
        <f>IF($U278="","",IF(INDEX('Per Invoice'!S$2:S$401,$U278)="","",INDEX('Per Invoice'!S$2:S$401,$U278)))</f>
        <v/>
      </c>
      <c r="T278" s="7">
        <f>IF($U278="","",IF(INDEX('Per Invoice'!T$2:T$401,$U278)="","",INDEX('Per Invoice'!T$2:T$401,$U278)))</f>
        <v/>
      </c>
      <c r="U278" s="16">
        <f>IFERROR(MATCH(Settings!$C$27&amp;"|"&amp;ROWS($U$2:$U278),'Per Invoice'!$V$2:$V$401,0),"")</f>
        <v/>
      </c>
    </row>
    <row r="279">
      <c r="A279">
        <f>IF($U279="","",IF(INDEX('Per Invoice'!A$2:A$401,$U279)="","",INDEX('Per Invoice'!A$2:A$401,$U279)))</f>
        <v/>
      </c>
      <c r="B279">
        <f>IF($U279="","",IF(INDEX('Per Invoice'!B$2:B$401,$U279)="","",INDEX('Per Invoice'!B$2:B$401,$U279)))</f>
        <v/>
      </c>
      <c r="C279">
        <f>IF($U279="","",IF(INDEX('Per Invoice'!C$2:C$401,$U279)="","",INDEX('Per Invoice'!C$2:C$401,$U279)))</f>
        <v/>
      </c>
      <c r="D279">
        <f>IF($U279="","",IF(INDEX('Per Invoice'!D$2:D$401,$U279)="","",INDEX('Per Invoice'!D$2:D$401,$U279)))</f>
        <v/>
      </c>
      <c r="E279">
        <f>IF($U279="","",IF(INDEX('Per Invoice'!E$2:E$401,$U279)="","",INDEX('Per Invoice'!E$2:E$401,$U279)))</f>
        <v/>
      </c>
      <c r="F279">
        <f>IF($U279="","",IF(INDEX('Per Invoice'!F$2:F$401,$U279)="","",INDEX('Per Invoice'!F$2:F$401,$U279)))</f>
        <v/>
      </c>
      <c r="G279">
        <f>IF($U279="","",IF(INDEX('Per Invoice'!G$2:G$401,$U279)="","",INDEX('Per Invoice'!G$2:G$401,$U279)))</f>
        <v/>
      </c>
      <c r="H279" s="7">
        <f>IF($U279="","",IF(INDEX('Per Invoice'!H$2:H$401,$U279)="","",INDEX('Per Invoice'!H$2:H$401,$U279)))</f>
        <v/>
      </c>
      <c r="I279" s="14">
        <f>IF($U279="","",IF(INDEX('Per Invoice'!I$2:I$401,$U279)="","",INDEX('Per Invoice'!I$2:I$401,$U279)))</f>
        <v/>
      </c>
      <c r="J279">
        <f>IF($U279="","",IF(INDEX('Per Invoice'!J$2:J$401,$U279)="","",INDEX('Per Invoice'!J$2:J$401,$U279)))</f>
        <v/>
      </c>
      <c r="K279">
        <f>IF($U279="","",IF(INDEX('Per Invoice'!K$2:K$401,$U279)="","",INDEX('Per Invoice'!K$2:K$401,$U279)))</f>
        <v/>
      </c>
      <c r="L279" s="7">
        <f>IF($U279="","",IF(INDEX('Per Invoice'!L$2:L$401,$U279)="","",INDEX('Per Invoice'!L$2:L$401,$U279)))</f>
        <v/>
      </c>
      <c r="M279" s="7">
        <f>IF($U279="","",IF(INDEX('Per Invoice'!M$2:M$401,$U279)="","",INDEX('Per Invoice'!M$2:M$401,$U279)))</f>
        <v/>
      </c>
      <c r="N279">
        <f>IF($U279="","",IF(INDEX('Per Invoice'!N$2:N$401,$U279)="","",INDEX('Per Invoice'!N$2:N$401,$U279)))</f>
        <v/>
      </c>
      <c r="O279" s="7">
        <f>IF($U279="","",IF(INDEX('Per Invoice'!O$2:O$401,$U279)="","",INDEX('Per Invoice'!O$2:O$401,$U279)))</f>
        <v/>
      </c>
      <c r="P279" s="7">
        <f>IF($U279="","",IF(INDEX('Per Invoice'!P$2:P$401,$U279)="","",INDEX('Per Invoice'!P$2:P$401,$U279)))</f>
        <v/>
      </c>
      <c r="Q279" s="7">
        <f>IF($U279="","",IF(INDEX('Per Invoice'!Q$2:Q$401,$U279)="","",INDEX('Per Invoice'!Q$2:Q$401,$U279)))</f>
        <v/>
      </c>
      <c r="R279" s="7">
        <f>IF($U279="","",IF(INDEX('Per Invoice'!R$2:R$401,$U279)="","",INDEX('Per Invoice'!R$2:R$401,$U279)))</f>
        <v/>
      </c>
      <c r="S279" s="7">
        <f>IF($U279="","",IF(INDEX('Per Invoice'!S$2:S$401,$U279)="","",INDEX('Per Invoice'!S$2:S$401,$U279)))</f>
        <v/>
      </c>
      <c r="T279" s="7">
        <f>IF($U279="","",IF(INDEX('Per Invoice'!T$2:T$401,$U279)="","",INDEX('Per Invoice'!T$2:T$401,$U279)))</f>
        <v/>
      </c>
      <c r="U279" s="16">
        <f>IFERROR(MATCH(Settings!$C$27&amp;"|"&amp;ROWS($U$2:$U279),'Per Invoice'!$V$2:$V$401,0),"")</f>
        <v/>
      </c>
    </row>
    <row r="280">
      <c r="A280">
        <f>IF($U280="","",IF(INDEX('Per Invoice'!A$2:A$401,$U280)="","",INDEX('Per Invoice'!A$2:A$401,$U280)))</f>
        <v/>
      </c>
      <c r="B280">
        <f>IF($U280="","",IF(INDEX('Per Invoice'!B$2:B$401,$U280)="","",INDEX('Per Invoice'!B$2:B$401,$U280)))</f>
        <v/>
      </c>
      <c r="C280">
        <f>IF($U280="","",IF(INDEX('Per Invoice'!C$2:C$401,$U280)="","",INDEX('Per Invoice'!C$2:C$401,$U280)))</f>
        <v/>
      </c>
      <c r="D280">
        <f>IF($U280="","",IF(INDEX('Per Invoice'!D$2:D$401,$U280)="","",INDEX('Per Invoice'!D$2:D$401,$U280)))</f>
        <v/>
      </c>
      <c r="E280">
        <f>IF($U280="","",IF(INDEX('Per Invoice'!E$2:E$401,$U280)="","",INDEX('Per Invoice'!E$2:E$401,$U280)))</f>
        <v/>
      </c>
      <c r="F280">
        <f>IF($U280="","",IF(INDEX('Per Invoice'!F$2:F$401,$U280)="","",INDEX('Per Invoice'!F$2:F$401,$U280)))</f>
        <v/>
      </c>
      <c r="G280">
        <f>IF($U280="","",IF(INDEX('Per Invoice'!G$2:G$401,$U280)="","",INDEX('Per Invoice'!G$2:G$401,$U280)))</f>
        <v/>
      </c>
      <c r="H280" s="7">
        <f>IF($U280="","",IF(INDEX('Per Invoice'!H$2:H$401,$U280)="","",INDEX('Per Invoice'!H$2:H$401,$U280)))</f>
        <v/>
      </c>
      <c r="I280" s="14">
        <f>IF($U280="","",IF(INDEX('Per Invoice'!I$2:I$401,$U280)="","",INDEX('Per Invoice'!I$2:I$401,$U280)))</f>
        <v/>
      </c>
      <c r="J280">
        <f>IF($U280="","",IF(INDEX('Per Invoice'!J$2:J$401,$U280)="","",INDEX('Per Invoice'!J$2:J$401,$U280)))</f>
        <v/>
      </c>
      <c r="K280">
        <f>IF($U280="","",IF(INDEX('Per Invoice'!K$2:K$401,$U280)="","",INDEX('Per Invoice'!K$2:K$401,$U280)))</f>
        <v/>
      </c>
      <c r="L280" s="7">
        <f>IF($U280="","",IF(INDEX('Per Invoice'!L$2:L$401,$U280)="","",INDEX('Per Invoice'!L$2:L$401,$U280)))</f>
        <v/>
      </c>
      <c r="M280" s="7">
        <f>IF($U280="","",IF(INDEX('Per Invoice'!M$2:M$401,$U280)="","",INDEX('Per Invoice'!M$2:M$401,$U280)))</f>
        <v/>
      </c>
      <c r="N280">
        <f>IF($U280="","",IF(INDEX('Per Invoice'!N$2:N$401,$U280)="","",INDEX('Per Invoice'!N$2:N$401,$U280)))</f>
        <v/>
      </c>
      <c r="O280" s="7">
        <f>IF($U280="","",IF(INDEX('Per Invoice'!O$2:O$401,$U280)="","",INDEX('Per Invoice'!O$2:O$401,$U280)))</f>
        <v/>
      </c>
      <c r="P280" s="7">
        <f>IF($U280="","",IF(INDEX('Per Invoice'!P$2:P$401,$U280)="","",INDEX('Per Invoice'!P$2:P$401,$U280)))</f>
        <v/>
      </c>
      <c r="Q280" s="7">
        <f>IF($U280="","",IF(INDEX('Per Invoice'!Q$2:Q$401,$U280)="","",INDEX('Per Invoice'!Q$2:Q$401,$U280)))</f>
        <v/>
      </c>
      <c r="R280" s="7">
        <f>IF($U280="","",IF(INDEX('Per Invoice'!R$2:R$401,$U280)="","",INDEX('Per Invoice'!R$2:R$401,$U280)))</f>
        <v/>
      </c>
      <c r="S280" s="7">
        <f>IF($U280="","",IF(INDEX('Per Invoice'!S$2:S$401,$U280)="","",INDEX('Per Invoice'!S$2:S$401,$U280)))</f>
        <v/>
      </c>
      <c r="T280" s="7">
        <f>IF($U280="","",IF(INDEX('Per Invoice'!T$2:T$401,$U280)="","",INDEX('Per Invoice'!T$2:T$401,$U280)))</f>
        <v/>
      </c>
      <c r="U280" s="16">
        <f>IFERROR(MATCH(Settings!$C$27&amp;"|"&amp;ROWS($U$2:$U280),'Per Invoice'!$V$2:$V$401,0),"")</f>
        <v/>
      </c>
    </row>
    <row r="281">
      <c r="A281">
        <f>IF($U281="","",IF(INDEX('Per Invoice'!A$2:A$401,$U281)="","",INDEX('Per Invoice'!A$2:A$401,$U281)))</f>
        <v/>
      </c>
      <c r="B281">
        <f>IF($U281="","",IF(INDEX('Per Invoice'!B$2:B$401,$U281)="","",INDEX('Per Invoice'!B$2:B$401,$U281)))</f>
        <v/>
      </c>
      <c r="C281">
        <f>IF($U281="","",IF(INDEX('Per Invoice'!C$2:C$401,$U281)="","",INDEX('Per Invoice'!C$2:C$401,$U281)))</f>
        <v/>
      </c>
      <c r="D281">
        <f>IF($U281="","",IF(INDEX('Per Invoice'!D$2:D$401,$U281)="","",INDEX('Per Invoice'!D$2:D$401,$U281)))</f>
        <v/>
      </c>
      <c r="E281">
        <f>IF($U281="","",IF(INDEX('Per Invoice'!E$2:E$401,$U281)="","",INDEX('Per Invoice'!E$2:E$401,$U281)))</f>
        <v/>
      </c>
      <c r="F281">
        <f>IF($U281="","",IF(INDEX('Per Invoice'!F$2:F$401,$U281)="","",INDEX('Per Invoice'!F$2:F$401,$U281)))</f>
        <v/>
      </c>
      <c r="G281">
        <f>IF($U281="","",IF(INDEX('Per Invoice'!G$2:G$401,$U281)="","",INDEX('Per Invoice'!G$2:G$401,$U281)))</f>
        <v/>
      </c>
      <c r="H281" s="7">
        <f>IF($U281="","",IF(INDEX('Per Invoice'!H$2:H$401,$U281)="","",INDEX('Per Invoice'!H$2:H$401,$U281)))</f>
        <v/>
      </c>
      <c r="I281" s="14">
        <f>IF($U281="","",IF(INDEX('Per Invoice'!I$2:I$401,$U281)="","",INDEX('Per Invoice'!I$2:I$401,$U281)))</f>
        <v/>
      </c>
      <c r="J281">
        <f>IF($U281="","",IF(INDEX('Per Invoice'!J$2:J$401,$U281)="","",INDEX('Per Invoice'!J$2:J$401,$U281)))</f>
        <v/>
      </c>
      <c r="K281">
        <f>IF($U281="","",IF(INDEX('Per Invoice'!K$2:K$401,$U281)="","",INDEX('Per Invoice'!K$2:K$401,$U281)))</f>
        <v/>
      </c>
      <c r="L281" s="7">
        <f>IF($U281="","",IF(INDEX('Per Invoice'!L$2:L$401,$U281)="","",INDEX('Per Invoice'!L$2:L$401,$U281)))</f>
        <v/>
      </c>
      <c r="M281" s="7">
        <f>IF($U281="","",IF(INDEX('Per Invoice'!M$2:M$401,$U281)="","",INDEX('Per Invoice'!M$2:M$401,$U281)))</f>
        <v/>
      </c>
      <c r="N281">
        <f>IF($U281="","",IF(INDEX('Per Invoice'!N$2:N$401,$U281)="","",INDEX('Per Invoice'!N$2:N$401,$U281)))</f>
        <v/>
      </c>
      <c r="O281" s="7">
        <f>IF($U281="","",IF(INDEX('Per Invoice'!O$2:O$401,$U281)="","",INDEX('Per Invoice'!O$2:O$401,$U281)))</f>
        <v/>
      </c>
      <c r="P281" s="7">
        <f>IF($U281="","",IF(INDEX('Per Invoice'!P$2:P$401,$U281)="","",INDEX('Per Invoice'!P$2:P$401,$U281)))</f>
        <v/>
      </c>
      <c r="Q281" s="7">
        <f>IF($U281="","",IF(INDEX('Per Invoice'!Q$2:Q$401,$U281)="","",INDEX('Per Invoice'!Q$2:Q$401,$U281)))</f>
        <v/>
      </c>
      <c r="R281" s="7">
        <f>IF($U281="","",IF(INDEX('Per Invoice'!R$2:R$401,$U281)="","",INDEX('Per Invoice'!R$2:R$401,$U281)))</f>
        <v/>
      </c>
      <c r="S281" s="7">
        <f>IF($U281="","",IF(INDEX('Per Invoice'!S$2:S$401,$U281)="","",INDEX('Per Invoice'!S$2:S$401,$U281)))</f>
        <v/>
      </c>
      <c r="T281" s="7">
        <f>IF($U281="","",IF(INDEX('Per Invoice'!T$2:T$401,$U281)="","",INDEX('Per Invoice'!T$2:T$401,$U281)))</f>
        <v/>
      </c>
      <c r="U281" s="16">
        <f>IFERROR(MATCH(Settings!$C$27&amp;"|"&amp;ROWS($U$2:$U281),'Per Invoice'!$V$2:$V$401,0),"")</f>
        <v/>
      </c>
    </row>
    <row r="282">
      <c r="A282">
        <f>IF($U282="","",IF(INDEX('Per Invoice'!A$2:A$401,$U282)="","",INDEX('Per Invoice'!A$2:A$401,$U282)))</f>
        <v/>
      </c>
      <c r="B282">
        <f>IF($U282="","",IF(INDEX('Per Invoice'!B$2:B$401,$U282)="","",INDEX('Per Invoice'!B$2:B$401,$U282)))</f>
        <v/>
      </c>
      <c r="C282">
        <f>IF($U282="","",IF(INDEX('Per Invoice'!C$2:C$401,$U282)="","",INDEX('Per Invoice'!C$2:C$401,$U282)))</f>
        <v/>
      </c>
      <c r="D282">
        <f>IF($U282="","",IF(INDEX('Per Invoice'!D$2:D$401,$U282)="","",INDEX('Per Invoice'!D$2:D$401,$U282)))</f>
        <v/>
      </c>
      <c r="E282">
        <f>IF($U282="","",IF(INDEX('Per Invoice'!E$2:E$401,$U282)="","",INDEX('Per Invoice'!E$2:E$401,$U282)))</f>
        <v/>
      </c>
      <c r="F282">
        <f>IF($U282="","",IF(INDEX('Per Invoice'!F$2:F$401,$U282)="","",INDEX('Per Invoice'!F$2:F$401,$U282)))</f>
        <v/>
      </c>
      <c r="G282">
        <f>IF($U282="","",IF(INDEX('Per Invoice'!G$2:G$401,$U282)="","",INDEX('Per Invoice'!G$2:G$401,$U282)))</f>
        <v/>
      </c>
      <c r="H282" s="7">
        <f>IF($U282="","",IF(INDEX('Per Invoice'!H$2:H$401,$U282)="","",INDEX('Per Invoice'!H$2:H$401,$U282)))</f>
        <v/>
      </c>
      <c r="I282" s="14">
        <f>IF($U282="","",IF(INDEX('Per Invoice'!I$2:I$401,$U282)="","",INDEX('Per Invoice'!I$2:I$401,$U282)))</f>
        <v/>
      </c>
      <c r="J282">
        <f>IF($U282="","",IF(INDEX('Per Invoice'!J$2:J$401,$U282)="","",INDEX('Per Invoice'!J$2:J$401,$U282)))</f>
        <v/>
      </c>
      <c r="K282">
        <f>IF($U282="","",IF(INDEX('Per Invoice'!K$2:K$401,$U282)="","",INDEX('Per Invoice'!K$2:K$401,$U282)))</f>
        <v/>
      </c>
      <c r="L282" s="7">
        <f>IF($U282="","",IF(INDEX('Per Invoice'!L$2:L$401,$U282)="","",INDEX('Per Invoice'!L$2:L$401,$U282)))</f>
        <v/>
      </c>
      <c r="M282" s="7">
        <f>IF($U282="","",IF(INDEX('Per Invoice'!M$2:M$401,$U282)="","",INDEX('Per Invoice'!M$2:M$401,$U282)))</f>
        <v/>
      </c>
      <c r="N282">
        <f>IF($U282="","",IF(INDEX('Per Invoice'!N$2:N$401,$U282)="","",INDEX('Per Invoice'!N$2:N$401,$U282)))</f>
        <v/>
      </c>
      <c r="O282" s="7">
        <f>IF($U282="","",IF(INDEX('Per Invoice'!O$2:O$401,$U282)="","",INDEX('Per Invoice'!O$2:O$401,$U282)))</f>
        <v/>
      </c>
      <c r="P282" s="7">
        <f>IF($U282="","",IF(INDEX('Per Invoice'!P$2:P$401,$U282)="","",INDEX('Per Invoice'!P$2:P$401,$U282)))</f>
        <v/>
      </c>
      <c r="Q282" s="7">
        <f>IF($U282="","",IF(INDEX('Per Invoice'!Q$2:Q$401,$U282)="","",INDEX('Per Invoice'!Q$2:Q$401,$U282)))</f>
        <v/>
      </c>
      <c r="R282" s="7">
        <f>IF($U282="","",IF(INDEX('Per Invoice'!R$2:R$401,$U282)="","",INDEX('Per Invoice'!R$2:R$401,$U282)))</f>
        <v/>
      </c>
      <c r="S282" s="7">
        <f>IF($U282="","",IF(INDEX('Per Invoice'!S$2:S$401,$U282)="","",INDEX('Per Invoice'!S$2:S$401,$U282)))</f>
        <v/>
      </c>
      <c r="T282" s="7">
        <f>IF($U282="","",IF(INDEX('Per Invoice'!T$2:T$401,$U282)="","",INDEX('Per Invoice'!T$2:T$401,$U282)))</f>
        <v/>
      </c>
      <c r="U282" s="16">
        <f>IFERROR(MATCH(Settings!$C$27&amp;"|"&amp;ROWS($U$2:$U282),'Per Invoice'!$V$2:$V$401,0),"")</f>
        <v/>
      </c>
    </row>
    <row r="283">
      <c r="A283">
        <f>IF($U283="","",IF(INDEX('Per Invoice'!A$2:A$401,$U283)="","",INDEX('Per Invoice'!A$2:A$401,$U283)))</f>
        <v/>
      </c>
      <c r="B283">
        <f>IF($U283="","",IF(INDEX('Per Invoice'!B$2:B$401,$U283)="","",INDEX('Per Invoice'!B$2:B$401,$U283)))</f>
        <v/>
      </c>
      <c r="C283">
        <f>IF($U283="","",IF(INDEX('Per Invoice'!C$2:C$401,$U283)="","",INDEX('Per Invoice'!C$2:C$401,$U283)))</f>
        <v/>
      </c>
      <c r="D283">
        <f>IF($U283="","",IF(INDEX('Per Invoice'!D$2:D$401,$U283)="","",INDEX('Per Invoice'!D$2:D$401,$U283)))</f>
        <v/>
      </c>
      <c r="E283">
        <f>IF($U283="","",IF(INDEX('Per Invoice'!E$2:E$401,$U283)="","",INDEX('Per Invoice'!E$2:E$401,$U283)))</f>
        <v/>
      </c>
      <c r="F283">
        <f>IF($U283="","",IF(INDEX('Per Invoice'!F$2:F$401,$U283)="","",INDEX('Per Invoice'!F$2:F$401,$U283)))</f>
        <v/>
      </c>
      <c r="G283">
        <f>IF($U283="","",IF(INDEX('Per Invoice'!G$2:G$401,$U283)="","",INDEX('Per Invoice'!G$2:G$401,$U283)))</f>
        <v/>
      </c>
      <c r="H283" s="7">
        <f>IF($U283="","",IF(INDEX('Per Invoice'!H$2:H$401,$U283)="","",INDEX('Per Invoice'!H$2:H$401,$U283)))</f>
        <v/>
      </c>
      <c r="I283" s="14">
        <f>IF($U283="","",IF(INDEX('Per Invoice'!I$2:I$401,$U283)="","",INDEX('Per Invoice'!I$2:I$401,$U283)))</f>
        <v/>
      </c>
      <c r="J283">
        <f>IF($U283="","",IF(INDEX('Per Invoice'!J$2:J$401,$U283)="","",INDEX('Per Invoice'!J$2:J$401,$U283)))</f>
        <v/>
      </c>
      <c r="K283">
        <f>IF($U283="","",IF(INDEX('Per Invoice'!K$2:K$401,$U283)="","",INDEX('Per Invoice'!K$2:K$401,$U283)))</f>
        <v/>
      </c>
      <c r="L283" s="7">
        <f>IF($U283="","",IF(INDEX('Per Invoice'!L$2:L$401,$U283)="","",INDEX('Per Invoice'!L$2:L$401,$U283)))</f>
        <v/>
      </c>
      <c r="M283" s="7">
        <f>IF($U283="","",IF(INDEX('Per Invoice'!M$2:M$401,$U283)="","",INDEX('Per Invoice'!M$2:M$401,$U283)))</f>
        <v/>
      </c>
      <c r="N283">
        <f>IF($U283="","",IF(INDEX('Per Invoice'!N$2:N$401,$U283)="","",INDEX('Per Invoice'!N$2:N$401,$U283)))</f>
        <v/>
      </c>
      <c r="O283" s="7">
        <f>IF($U283="","",IF(INDEX('Per Invoice'!O$2:O$401,$U283)="","",INDEX('Per Invoice'!O$2:O$401,$U283)))</f>
        <v/>
      </c>
      <c r="P283" s="7">
        <f>IF($U283="","",IF(INDEX('Per Invoice'!P$2:P$401,$U283)="","",INDEX('Per Invoice'!P$2:P$401,$U283)))</f>
        <v/>
      </c>
      <c r="Q283" s="7">
        <f>IF($U283="","",IF(INDEX('Per Invoice'!Q$2:Q$401,$U283)="","",INDEX('Per Invoice'!Q$2:Q$401,$U283)))</f>
        <v/>
      </c>
      <c r="R283" s="7">
        <f>IF($U283="","",IF(INDEX('Per Invoice'!R$2:R$401,$U283)="","",INDEX('Per Invoice'!R$2:R$401,$U283)))</f>
        <v/>
      </c>
      <c r="S283" s="7">
        <f>IF($U283="","",IF(INDEX('Per Invoice'!S$2:S$401,$U283)="","",INDEX('Per Invoice'!S$2:S$401,$U283)))</f>
        <v/>
      </c>
      <c r="T283" s="7">
        <f>IF($U283="","",IF(INDEX('Per Invoice'!T$2:T$401,$U283)="","",INDEX('Per Invoice'!T$2:T$401,$U283)))</f>
        <v/>
      </c>
      <c r="U283" s="16">
        <f>IFERROR(MATCH(Settings!$C$27&amp;"|"&amp;ROWS($U$2:$U283),'Per Invoice'!$V$2:$V$401,0),"")</f>
        <v/>
      </c>
    </row>
    <row r="284">
      <c r="A284">
        <f>IF($U284="","",IF(INDEX('Per Invoice'!A$2:A$401,$U284)="","",INDEX('Per Invoice'!A$2:A$401,$U284)))</f>
        <v/>
      </c>
      <c r="B284">
        <f>IF($U284="","",IF(INDEX('Per Invoice'!B$2:B$401,$U284)="","",INDEX('Per Invoice'!B$2:B$401,$U284)))</f>
        <v/>
      </c>
      <c r="C284">
        <f>IF($U284="","",IF(INDEX('Per Invoice'!C$2:C$401,$U284)="","",INDEX('Per Invoice'!C$2:C$401,$U284)))</f>
        <v/>
      </c>
      <c r="D284">
        <f>IF($U284="","",IF(INDEX('Per Invoice'!D$2:D$401,$U284)="","",INDEX('Per Invoice'!D$2:D$401,$U284)))</f>
        <v/>
      </c>
      <c r="E284">
        <f>IF($U284="","",IF(INDEX('Per Invoice'!E$2:E$401,$U284)="","",INDEX('Per Invoice'!E$2:E$401,$U284)))</f>
        <v/>
      </c>
      <c r="F284">
        <f>IF($U284="","",IF(INDEX('Per Invoice'!F$2:F$401,$U284)="","",INDEX('Per Invoice'!F$2:F$401,$U284)))</f>
        <v/>
      </c>
      <c r="G284">
        <f>IF($U284="","",IF(INDEX('Per Invoice'!G$2:G$401,$U284)="","",INDEX('Per Invoice'!G$2:G$401,$U284)))</f>
        <v/>
      </c>
      <c r="H284" s="7">
        <f>IF($U284="","",IF(INDEX('Per Invoice'!H$2:H$401,$U284)="","",INDEX('Per Invoice'!H$2:H$401,$U284)))</f>
        <v/>
      </c>
      <c r="I284" s="14">
        <f>IF($U284="","",IF(INDEX('Per Invoice'!I$2:I$401,$U284)="","",INDEX('Per Invoice'!I$2:I$401,$U284)))</f>
        <v/>
      </c>
      <c r="J284">
        <f>IF($U284="","",IF(INDEX('Per Invoice'!J$2:J$401,$U284)="","",INDEX('Per Invoice'!J$2:J$401,$U284)))</f>
        <v/>
      </c>
      <c r="K284">
        <f>IF($U284="","",IF(INDEX('Per Invoice'!K$2:K$401,$U284)="","",INDEX('Per Invoice'!K$2:K$401,$U284)))</f>
        <v/>
      </c>
      <c r="L284" s="7">
        <f>IF($U284="","",IF(INDEX('Per Invoice'!L$2:L$401,$U284)="","",INDEX('Per Invoice'!L$2:L$401,$U284)))</f>
        <v/>
      </c>
      <c r="M284" s="7">
        <f>IF($U284="","",IF(INDEX('Per Invoice'!M$2:M$401,$U284)="","",INDEX('Per Invoice'!M$2:M$401,$U284)))</f>
        <v/>
      </c>
      <c r="N284">
        <f>IF($U284="","",IF(INDEX('Per Invoice'!N$2:N$401,$U284)="","",INDEX('Per Invoice'!N$2:N$401,$U284)))</f>
        <v/>
      </c>
      <c r="O284" s="7">
        <f>IF($U284="","",IF(INDEX('Per Invoice'!O$2:O$401,$U284)="","",INDEX('Per Invoice'!O$2:O$401,$U284)))</f>
        <v/>
      </c>
      <c r="P284" s="7">
        <f>IF($U284="","",IF(INDEX('Per Invoice'!P$2:P$401,$U284)="","",INDEX('Per Invoice'!P$2:P$401,$U284)))</f>
        <v/>
      </c>
      <c r="Q284" s="7">
        <f>IF($U284="","",IF(INDEX('Per Invoice'!Q$2:Q$401,$U284)="","",INDEX('Per Invoice'!Q$2:Q$401,$U284)))</f>
        <v/>
      </c>
      <c r="R284" s="7">
        <f>IF($U284="","",IF(INDEX('Per Invoice'!R$2:R$401,$U284)="","",INDEX('Per Invoice'!R$2:R$401,$U284)))</f>
        <v/>
      </c>
      <c r="S284" s="7">
        <f>IF($U284="","",IF(INDEX('Per Invoice'!S$2:S$401,$U284)="","",INDEX('Per Invoice'!S$2:S$401,$U284)))</f>
        <v/>
      </c>
      <c r="T284" s="7">
        <f>IF($U284="","",IF(INDEX('Per Invoice'!T$2:T$401,$U284)="","",INDEX('Per Invoice'!T$2:T$401,$U284)))</f>
        <v/>
      </c>
      <c r="U284" s="16">
        <f>IFERROR(MATCH(Settings!$C$27&amp;"|"&amp;ROWS($U$2:$U284),'Per Invoice'!$V$2:$V$401,0),"")</f>
        <v/>
      </c>
    </row>
    <row r="285">
      <c r="A285">
        <f>IF($U285="","",IF(INDEX('Per Invoice'!A$2:A$401,$U285)="","",INDEX('Per Invoice'!A$2:A$401,$U285)))</f>
        <v/>
      </c>
      <c r="B285">
        <f>IF($U285="","",IF(INDEX('Per Invoice'!B$2:B$401,$U285)="","",INDEX('Per Invoice'!B$2:B$401,$U285)))</f>
        <v/>
      </c>
      <c r="C285">
        <f>IF($U285="","",IF(INDEX('Per Invoice'!C$2:C$401,$U285)="","",INDEX('Per Invoice'!C$2:C$401,$U285)))</f>
        <v/>
      </c>
      <c r="D285">
        <f>IF($U285="","",IF(INDEX('Per Invoice'!D$2:D$401,$U285)="","",INDEX('Per Invoice'!D$2:D$401,$U285)))</f>
        <v/>
      </c>
      <c r="E285">
        <f>IF($U285="","",IF(INDEX('Per Invoice'!E$2:E$401,$U285)="","",INDEX('Per Invoice'!E$2:E$401,$U285)))</f>
        <v/>
      </c>
      <c r="F285">
        <f>IF($U285="","",IF(INDEX('Per Invoice'!F$2:F$401,$U285)="","",INDEX('Per Invoice'!F$2:F$401,$U285)))</f>
        <v/>
      </c>
      <c r="G285">
        <f>IF($U285="","",IF(INDEX('Per Invoice'!G$2:G$401,$U285)="","",INDEX('Per Invoice'!G$2:G$401,$U285)))</f>
        <v/>
      </c>
      <c r="H285" s="7">
        <f>IF($U285="","",IF(INDEX('Per Invoice'!H$2:H$401,$U285)="","",INDEX('Per Invoice'!H$2:H$401,$U285)))</f>
        <v/>
      </c>
      <c r="I285" s="14">
        <f>IF($U285="","",IF(INDEX('Per Invoice'!I$2:I$401,$U285)="","",INDEX('Per Invoice'!I$2:I$401,$U285)))</f>
        <v/>
      </c>
      <c r="J285">
        <f>IF($U285="","",IF(INDEX('Per Invoice'!J$2:J$401,$U285)="","",INDEX('Per Invoice'!J$2:J$401,$U285)))</f>
        <v/>
      </c>
      <c r="K285">
        <f>IF($U285="","",IF(INDEX('Per Invoice'!K$2:K$401,$U285)="","",INDEX('Per Invoice'!K$2:K$401,$U285)))</f>
        <v/>
      </c>
      <c r="L285" s="7">
        <f>IF($U285="","",IF(INDEX('Per Invoice'!L$2:L$401,$U285)="","",INDEX('Per Invoice'!L$2:L$401,$U285)))</f>
        <v/>
      </c>
      <c r="M285" s="7">
        <f>IF($U285="","",IF(INDEX('Per Invoice'!M$2:M$401,$U285)="","",INDEX('Per Invoice'!M$2:M$401,$U285)))</f>
        <v/>
      </c>
      <c r="N285">
        <f>IF($U285="","",IF(INDEX('Per Invoice'!N$2:N$401,$U285)="","",INDEX('Per Invoice'!N$2:N$401,$U285)))</f>
        <v/>
      </c>
      <c r="O285" s="7">
        <f>IF($U285="","",IF(INDEX('Per Invoice'!O$2:O$401,$U285)="","",INDEX('Per Invoice'!O$2:O$401,$U285)))</f>
        <v/>
      </c>
      <c r="P285" s="7">
        <f>IF($U285="","",IF(INDEX('Per Invoice'!P$2:P$401,$U285)="","",INDEX('Per Invoice'!P$2:P$401,$U285)))</f>
        <v/>
      </c>
      <c r="Q285" s="7">
        <f>IF($U285="","",IF(INDEX('Per Invoice'!Q$2:Q$401,$U285)="","",INDEX('Per Invoice'!Q$2:Q$401,$U285)))</f>
        <v/>
      </c>
      <c r="R285" s="7">
        <f>IF($U285="","",IF(INDEX('Per Invoice'!R$2:R$401,$U285)="","",INDEX('Per Invoice'!R$2:R$401,$U285)))</f>
        <v/>
      </c>
      <c r="S285" s="7">
        <f>IF($U285="","",IF(INDEX('Per Invoice'!S$2:S$401,$U285)="","",INDEX('Per Invoice'!S$2:S$401,$U285)))</f>
        <v/>
      </c>
      <c r="T285" s="7">
        <f>IF($U285="","",IF(INDEX('Per Invoice'!T$2:T$401,$U285)="","",INDEX('Per Invoice'!T$2:T$401,$U285)))</f>
        <v/>
      </c>
      <c r="U285" s="16">
        <f>IFERROR(MATCH(Settings!$C$27&amp;"|"&amp;ROWS($U$2:$U285),'Per Invoice'!$V$2:$V$401,0),"")</f>
        <v/>
      </c>
    </row>
    <row r="286">
      <c r="A286">
        <f>IF($U286="","",IF(INDEX('Per Invoice'!A$2:A$401,$U286)="","",INDEX('Per Invoice'!A$2:A$401,$U286)))</f>
        <v/>
      </c>
      <c r="B286">
        <f>IF($U286="","",IF(INDEX('Per Invoice'!B$2:B$401,$U286)="","",INDEX('Per Invoice'!B$2:B$401,$U286)))</f>
        <v/>
      </c>
      <c r="C286">
        <f>IF($U286="","",IF(INDEX('Per Invoice'!C$2:C$401,$U286)="","",INDEX('Per Invoice'!C$2:C$401,$U286)))</f>
        <v/>
      </c>
      <c r="D286">
        <f>IF($U286="","",IF(INDEX('Per Invoice'!D$2:D$401,$U286)="","",INDEX('Per Invoice'!D$2:D$401,$U286)))</f>
        <v/>
      </c>
      <c r="E286">
        <f>IF($U286="","",IF(INDEX('Per Invoice'!E$2:E$401,$U286)="","",INDEX('Per Invoice'!E$2:E$401,$U286)))</f>
        <v/>
      </c>
      <c r="F286">
        <f>IF($U286="","",IF(INDEX('Per Invoice'!F$2:F$401,$U286)="","",INDEX('Per Invoice'!F$2:F$401,$U286)))</f>
        <v/>
      </c>
      <c r="G286">
        <f>IF($U286="","",IF(INDEX('Per Invoice'!G$2:G$401,$U286)="","",INDEX('Per Invoice'!G$2:G$401,$U286)))</f>
        <v/>
      </c>
      <c r="H286" s="7">
        <f>IF($U286="","",IF(INDEX('Per Invoice'!H$2:H$401,$U286)="","",INDEX('Per Invoice'!H$2:H$401,$U286)))</f>
        <v/>
      </c>
      <c r="I286" s="14">
        <f>IF($U286="","",IF(INDEX('Per Invoice'!I$2:I$401,$U286)="","",INDEX('Per Invoice'!I$2:I$401,$U286)))</f>
        <v/>
      </c>
      <c r="J286">
        <f>IF($U286="","",IF(INDEX('Per Invoice'!J$2:J$401,$U286)="","",INDEX('Per Invoice'!J$2:J$401,$U286)))</f>
        <v/>
      </c>
      <c r="K286">
        <f>IF($U286="","",IF(INDEX('Per Invoice'!K$2:K$401,$U286)="","",INDEX('Per Invoice'!K$2:K$401,$U286)))</f>
        <v/>
      </c>
      <c r="L286" s="7">
        <f>IF($U286="","",IF(INDEX('Per Invoice'!L$2:L$401,$U286)="","",INDEX('Per Invoice'!L$2:L$401,$U286)))</f>
        <v/>
      </c>
      <c r="M286" s="7">
        <f>IF($U286="","",IF(INDEX('Per Invoice'!M$2:M$401,$U286)="","",INDEX('Per Invoice'!M$2:M$401,$U286)))</f>
        <v/>
      </c>
      <c r="N286">
        <f>IF($U286="","",IF(INDEX('Per Invoice'!N$2:N$401,$U286)="","",INDEX('Per Invoice'!N$2:N$401,$U286)))</f>
        <v/>
      </c>
      <c r="O286" s="7">
        <f>IF($U286="","",IF(INDEX('Per Invoice'!O$2:O$401,$U286)="","",INDEX('Per Invoice'!O$2:O$401,$U286)))</f>
        <v/>
      </c>
      <c r="P286" s="7">
        <f>IF($U286="","",IF(INDEX('Per Invoice'!P$2:P$401,$U286)="","",INDEX('Per Invoice'!P$2:P$401,$U286)))</f>
        <v/>
      </c>
      <c r="Q286" s="7">
        <f>IF($U286="","",IF(INDEX('Per Invoice'!Q$2:Q$401,$U286)="","",INDEX('Per Invoice'!Q$2:Q$401,$U286)))</f>
        <v/>
      </c>
      <c r="R286" s="7">
        <f>IF($U286="","",IF(INDEX('Per Invoice'!R$2:R$401,$U286)="","",INDEX('Per Invoice'!R$2:R$401,$U286)))</f>
        <v/>
      </c>
      <c r="S286" s="7">
        <f>IF($U286="","",IF(INDEX('Per Invoice'!S$2:S$401,$U286)="","",INDEX('Per Invoice'!S$2:S$401,$U286)))</f>
        <v/>
      </c>
      <c r="T286" s="7">
        <f>IF($U286="","",IF(INDEX('Per Invoice'!T$2:T$401,$U286)="","",INDEX('Per Invoice'!T$2:T$401,$U286)))</f>
        <v/>
      </c>
      <c r="U286" s="16">
        <f>IFERROR(MATCH(Settings!$C$27&amp;"|"&amp;ROWS($U$2:$U286),'Per Invoice'!$V$2:$V$401,0),"")</f>
        <v/>
      </c>
    </row>
    <row r="287">
      <c r="A287">
        <f>IF($U287="","",IF(INDEX('Per Invoice'!A$2:A$401,$U287)="","",INDEX('Per Invoice'!A$2:A$401,$U287)))</f>
        <v/>
      </c>
      <c r="B287">
        <f>IF($U287="","",IF(INDEX('Per Invoice'!B$2:B$401,$U287)="","",INDEX('Per Invoice'!B$2:B$401,$U287)))</f>
        <v/>
      </c>
      <c r="C287">
        <f>IF($U287="","",IF(INDEX('Per Invoice'!C$2:C$401,$U287)="","",INDEX('Per Invoice'!C$2:C$401,$U287)))</f>
        <v/>
      </c>
      <c r="D287">
        <f>IF($U287="","",IF(INDEX('Per Invoice'!D$2:D$401,$U287)="","",INDEX('Per Invoice'!D$2:D$401,$U287)))</f>
        <v/>
      </c>
      <c r="E287">
        <f>IF($U287="","",IF(INDEX('Per Invoice'!E$2:E$401,$U287)="","",INDEX('Per Invoice'!E$2:E$401,$U287)))</f>
        <v/>
      </c>
      <c r="F287">
        <f>IF($U287="","",IF(INDEX('Per Invoice'!F$2:F$401,$U287)="","",INDEX('Per Invoice'!F$2:F$401,$U287)))</f>
        <v/>
      </c>
      <c r="G287">
        <f>IF($U287="","",IF(INDEX('Per Invoice'!G$2:G$401,$U287)="","",INDEX('Per Invoice'!G$2:G$401,$U287)))</f>
        <v/>
      </c>
      <c r="H287" s="7">
        <f>IF($U287="","",IF(INDEX('Per Invoice'!H$2:H$401,$U287)="","",INDEX('Per Invoice'!H$2:H$401,$U287)))</f>
        <v/>
      </c>
      <c r="I287" s="14">
        <f>IF($U287="","",IF(INDEX('Per Invoice'!I$2:I$401,$U287)="","",INDEX('Per Invoice'!I$2:I$401,$U287)))</f>
        <v/>
      </c>
      <c r="J287">
        <f>IF($U287="","",IF(INDEX('Per Invoice'!J$2:J$401,$U287)="","",INDEX('Per Invoice'!J$2:J$401,$U287)))</f>
        <v/>
      </c>
      <c r="K287">
        <f>IF($U287="","",IF(INDEX('Per Invoice'!K$2:K$401,$U287)="","",INDEX('Per Invoice'!K$2:K$401,$U287)))</f>
        <v/>
      </c>
      <c r="L287" s="7">
        <f>IF($U287="","",IF(INDEX('Per Invoice'!L$2:L$401,$U287)="","",INDEX('Per Invoice'!L$2:L$401,$U287)))</f>
        <v/>
      </c>
      <c r="M287" s="7">
        <f>IF($U287="","",IF(INDEX('Per Invoice'!M$2:M$401,$U287)="","",INDEX('Per Invoice'!M$2:M$401,$U287)))</f>
        <v/>
      </c>
      <c r="N287">
        <f>IF($U287="","",IF(INDEX('Per Invoice'!N$2:N$401,$U287)="","",INDEX('Per Invoice'!N$2:N$401,$U287)))</f>
        <v/>
      </c>
      <c r="O287" s="7">
        <f>IF($U287="","",IF(INDEX('Per Invoice'!O$2:O$401,$U287)="","",INDEX('Per Invoice'!O$2:O$401,$U287)))</f>
        <v/>
      </c>
      <c r="P287" s="7">
        <f>IF($U287="","",IF(INDEX('Per Invoice'!P$2:P$401,$U287)="","",INDEX('Per Invoice'!P$2:P$401,$U287)))</f>
        <v/>
      </c>
      <c r="Q287" s="7">
        <f>IF($U287="","",IF(INDEX('Per Invoice'!Q$2:Q$401,$U287)="","",INDEX('Per Invoice'!Q$2:Q$401,$U287)))</f>
        <v/>
      </c>
      <c r="R287" s="7">
        <f>IF($U287="","",IF(INDEX('Per Invoice'!R$2:R$401,$U287)="","",INDEX('Per Invoice'!R$2:R$401,$U287)))</f>
        <v/>
      </c>
      <c r="S287" s="7">
        <f>IF($U287="","",IF(INDEX('Per Invoice'!S$2:S$401,$U287)="","",INDEX('Per Invoice'!S$2:S$401,$U287)))</f>
        <v/>
      </c>
      <c r="T287" s="7">
        <f>IF($U287="","",IF(INDEX('Per Invoice'!T$2:T$401,$U287)="","",INDEX('Per Invoice'!T$2:T$401,$U287)))</f>
        <v/>
      </c>
      <c r="U287" s="16">
        <f>IFERROR(MATCH(Settings!$C$27&amp;"|"&amp;ROWS($U$2:$U287),'Per Invoice'!$V$2:$V$401,0),"")</f>
        <v/>
      </c>
    </row>
    <row r="288">
      <c r="A288">
        <f>IF($U288="","",IF(INDEX('Per Invoice'!A$2:A$401,$U288)="","",INDEX('Per Invoice'!A$2:A$401,$U288)))</f>
        <v/>
      </c>
      <c r="B288">
        <f>IF($U288="","",IF(INDEX('Per Invoice'!B$2:B$401,$U288)="","",INDEX('Per Invoice'!B$2:B$401,$U288)))</f>
        <v/>
      </c>
      <c r="C288">
        <f>IF($U288="","",IF(INDEX('Per Invoice'!C$2:C$401,$U288)="","",INDEX('Per Invoice'!C$2:C$401,$U288)))</f>
        <v/>
      </c>
      <c r="D288">
        <f>IF($U288="","",IF(INDEX('Per Invoice'!D$2:D$401,$U288)="","",INDEX('Per Invoice'!D$2:D$401,$U288)))</f>
        <v/>
      </c>
      <c r="E288">
        <f>IF($U288="","",IF(INDEX('Per Invoice'!E$2:E$401,$U288)="","",INDEX('Per Invoice'!E$2:E$401,$U288)))</f>
        <v/>
      </c>
      <c r="F288">
        <f>IF($U288="","",IF(INDEX('Per Invoice'!F$2:F$401,$U288)="","",INDEX('Per Invoice'!F$2:F$401,$U288)))</f>
        <v/>
      </c>
      <c r="G288">
        <f>IF($U288="","",IF(INDEX('Per Invoice'!G$2:G$401,$U288)="","",INDEX('Per Invoice'!G$2:G$401,$U288)))</f>
        <v/>
      </c>
      <c r="H288" s="7">
        <f>IF($U288="","",IF(INDEX('Per Invoice'!H$2:H$401,$U288)="","",INDEX('Per Invoice'!H$2:H$401,$U288)))</f>
        <v/>
      </c>
      <c r="I288" s="14">
        <f>IF($U288="","",IF(INDEX('Per Invoice'!I$2:I$401,$U288)="","",INDEX('Per Invoice'!I$2:I$401,$U288)))</f>
        <v/>
      </c>
      <c r="J288">
        <f>IF($U288="","",IF(INDEX('Per Invoice'!J$2:J$401,$U288)="","",INDEX('Per Invoice'!J$2:J$401,$U288)))</f>
        <v/>
      </c>
      <c r="K288">
        <f>IF($U288="","",IF(INDEX('Per Invoice'!K$2:K$401,$U288)="","",INDEX('Per Invoice'!K$2:K$401,$U288)))</f>
        <v/>
      </c>
      <c r="L288" s="7">
        <f>IF($U288="","",IF(INDEX('Per Invoice'!L$2:L$401,$U288)="","",INDEX('Per Invoice'!L$2:L$401,$U288)))</f>
        <v/>
      </c>
      <c r="M288" s="7">
        <f>IF($U288="","",IF(INDEX('Per Invoice'!M$2:M$401,$U288)="","",INDEX('Per Invoice'!M$2:M$401,$U288)))</f>
        <v/>
      </c>
      <c r="N288">
        <f>IF($U288="","",IF(INDEX('Per Invoice'!N$2:N$401,$U288)="","",INDEX('Per Invoice'!N$2:N$401,$U288)))</f>
        <v/>
      </c>
      <c r="O288" s="7">
        <f>IF($U288="","",IF(INDEX('Per Invoice'!O$2:O$401,$U288)="","",INDEX('Per Invoice'!O$2:O$401,$U288)))</f>
        <v/>
      </c>
      <c r="P288" s="7">
        <f>IF($U288="","",IF(INDEX('Per Invoice'!P$2:P$401,$U288)="","",INDEX('Per Invoice'!P$2:P$401,$U288)))</f>
        <v/>
      </c>
      <c r="Q288" s="7">
        <f>IF($U288="","",IF(INDEX('Per Invoice'!Q$2:Q$401,$U288)="","",INDEX('Per Invoice'!Q$2:Q$401,$U288)))</f>
        <v/>
      </c>
      <c r="R288" s="7">
        <f>IF($U288="","",IF(INDEX('Per Invoice'!R$2:R$401,$U288)="","",INDEX('Per Invoice'!R$2:R$401,$U288)))</f>
        <v/>
      </c>
      <c r="S288" s="7">
        <f>IF($U288="","",IF(INDEX('Per Invoice'!S$2:S$401,$U288)="","",INDEX('Per Invoice'!S$2:S$401,$U288)))</f>
        <v/>
      </c>
      <c r="T288" s="7">
        <f>IF($U288="","",IF(INDEX('Per Invoice'!T$2:T$401,$U288)="","",INDEX('Per Invoice'!T$2:T$401,$U288)))</f>
        <v/>
      </c>
      <c r="U288" s="16">
        <f>IFERROR(MATCH(Settings!$C$27&amp;"|"&amp;ROWS($U$2:$U288),'Per Invoice'!$V$2:$V$401,0),"")</f>
        <v/>
      </c>
    </row>
    <row r="289">
      <c r="A289">
        <f>IF($U289="","",IF(INDEX('Per Invoice'!A$2:A$401,$U289)="","",INDEX('Per Invoice'!A$2:A$401,$U289)))</f>
        <v/>
      </c>
      <c r="B289">
        <f>IF($U289="","",IF(INDEX('Per Invoice'!B$2:B$401,$U289)="","",INDEX('Per Invoice'!B$2:B$401,$U289)))</f>
        <v/>
      </c>
      <c r="C289">
        <f>IF($U289="","",IF(INDEX('Per Invoice'!C$2:C$401,$U289)="","",INDEX('Per Invoice'!C$2:C$401,$U289)))</f>
        <v/>
      </c>
      <c r="D289">
        <f>IF($U289="","",IF(INDEX('Per Invoice'!D$2:D$401,$U289)="","",INDEX('Per Invoice'!D$2:D$401,$U289)))</f>
        <v/>
      </c>
      <c r="E289">
        <f>IF($U289="","",IF(INDEX('Per Invoice'!E$2:E$401,$U289)="","",INDEX('Per Invoice'!E$2:E$401,$U289)))</f>
        <v/>
      </c>
      <c r="F289">
        <f>IF($U289="","",IF(INDEX('Per Invoice'!F$2:F$401,$U289)="","",INDEX('Per Invoice'!F$2:F$401,$U289)))</f>
        <v/>
      </c>
      <c r="G289">
        <f>IF($U289="","",IF(INDEX('Per Invoice'!G$2:G$401,$U289)="","",INDEX('Per Invoice'!G$2:G$401,$U289)))</f>
        <v/>
      </c>
      <c r="H289" s="7">
        <f>IF($U289="","",IF(INDEX('Per Invoice'!H$2:H$401,$U289)="","",INDEX('Per Invoice'!H$2:H$401,$U289)))</f>
        <v/>
      </c>
      <c r="I289" s="14">
        <f>IF($U289="","",IF(INDEX('Per Invoice'!I$2:I$401,$U289)="","",INDEX('Per Invoice'!I$2:I$401,$U289)))</f>
        <v/>
      </c>
      <c r="J289">
        <f>IF($U289="","",IF(INDEX('Per Invoice'!J$2:J$401,$U289)="","",INDEX('Per Invoice'!J$2:J$401,$U289)))</f>
        <v/>
      </c>
      <c r="K289">
        <f>IF($U289="","",IF(INDEX('Per Invoice'!K$2:K$401,$U289)="","",INDEX('Per Invoice'!K$2:K$401,$U289)))</f>
        <v/>
      </c>
      <c r="L289" s="7">
        <f>IF($U289="","",IF(INDEX('Per Invoice'!L$2:L$401,$U289)="","",INDEX('Per Invoice'!L$2:L$401,$U289)))</f>
        <v/>
      </c>
      <c r="M289" s="7">
        <f>IF($U289="","",IF(INDEX('Per Invoice'!M$2:M$401,$U289)="","",INDEX('Per Invoice'!M$2:M$401,$U289)))</f>
        <v/>
      </c>
      <c r="N289">
        <f>IF($U289="","",IF(INDEX('Per Invoice'!N$2:N$401,$U289)="","",INDEX('Per Invoice'!N$2:N$401,$U289)))</f>
        <v/>
      </c>
      <c r="O289" s="7">
        <f>IF($U289="","",IF(INDEX('Per Invoice'!O$2:O$401,$U289)="","",INDEX('Per Invoice'!O$2:O$401,$U289)))</f>
        <v/>
      </c>
      <c r="P289" s="7">
        <f>IF($U289="","",IF(INDEX('Per Invoice'!P$2:P$401,$U289)="","",INDEX('Per Invoice'!P$2:P$401,$U289)))</f>
        <v/>
      </c>
      <c r="Q289" s="7">
        <f>IF($U289="","",IF(INDEX('Per Invoice'!Q$2:Q$401,$U289)="","",INDEX('Per Invoice'!Q$2:Q$401,$U289)))</f>
        <v/>
      </c>
      <c r="R289" s="7">
        <f>IF($U289="","",IF(INDEX('Per Invoice'!R$2:R$401,$U289)="","",INDEX('Per Invoice'!R$2:R$401,$U289)))</f>
        <v/>
      </c>
      <c r="S289" s="7">
        <f>IF($U289="","",IF(INDEX('Per Invoice'!S$2:S$401,$U289)="","",INDEX('Per Invoice'!S$2:S$401,$U289)))</f>
        <v/>
      </c>
      <c r="T289" s="7">
        <f>IF($U289="","",IF(INDEX('Per Invoice'!T$2:T$401,$U289)="","",INDEX('Per Invoice'!T$2:T$401,$U289)))</f>
        <v/>
      </c>
      <c r="U289" s="16">
        <f>IFERROR(MATCH(Settings!$C$27&amp;"|"&amp;ROWS($U$2:$U289),'Per Invoice'!$V$2:$V$401,0),"")</f>
        <v/>
      </c>
    </row>
    <row r="290">
      <c r="A290">
        <f>IF($U290="","",IF(INDEX('Per Invoice'!A$2:A$401,$U290)="","",INDEX('Per Invoice'!A$2:A$401,$U290)))</f>
        <v/>
      </c>
      <c r="B290">
        <f>IF($U290="","",IF(INDEX('Per Invoice'!B$2:B$401,$U290)="","",INDEX('Per Invoice'!B$2:B$401,$U290)))</f>
        <v/>
      </c>
      <c r="C290">
        <f>IF($U290="","",IF(INDEX('Per Invoice'!C$2:C$401,$U290)="","",INDEX('Per Invoice'!C$2:C$401,$U290)))</f>
        <v/>
      </c>
      <c r="D290">
        <f>IF($U290="","",IF(INDEX('Per Invoice'!D$2:D$401,$U290)="","",INDEX('Per Invoice'!D$2:D$401,$U290)))</f>
        <v/>
      </c>
      <c r="E290">
        <f>IF($U290="","",IF(INDEX('Per Invoice'!E$2:E$401,$U290)="","",INDEX('Per Invoice'!E$2:E$401,$U290)))</f>
        <v/>
      </c>
      <c r="F290">
        <f>IF($U290="","",IF(INDEX('Per Invoice'!F$2:F$401,$U290)="","",INDEX('Per Invoice'!F$2:F$401,$U290)))</f>
        <v/>
      </c>
      <c r="G290">
        <f>IF($U290="","",IF(INDEX('Per Invoice'!G$2:G$401,$U290)="","",INDEX('Per Invoice'!G$2:G$401,$U290)))</f>
        <v/>
      </c>
      <c r="H290" s="7">
        <f>IF($U290="","",IF(INDEX('Per Invoice'!H$2:H$401,$U290)="","",INDEX('Per Invoice'!H$2:H$401,$U290)))</f>
        <v/>
      </c>
      <c r="I290" s="14">
        <f>IF($U290="","",IF(INDEX('Per Invoice'!I$2:I$401,$U290)="","",INDEX('Per Invoice'!I$2:I$401,$U290)))</f>
        <v/>
      </c>
      <c r="J290">
        <f>IF($U290="","",IF(INDEX('Per Invoice'!J$2:J$401,$U290)="","",INDEX('Per Invoice'!J$2:J$401,$U290)))</f>
        <v/>
      </c>
      <c r="K290">
        <f>IF($U290="","",IF(INDEX('Per Invoice'!K$2:K$401,$U290)="","",INDEX('Per Invoice'!K$2:K$401,$U290)))</f>
        <v/>
      </c>
      <c r="L290" s="7">
        <f>IF($U290="","",IF(INDEX('Per Invoice'!L$2:L$401,$U290)="","",INDEX('Per Invoice'!L$2:L$401,$U290)))</f>
        <v/>
      </c>
      <c r="M290" s="7">
        <f>IF($U290="","",IF(INDEX('Per Invoice'!M$2:M$401,$U290)="","",INDEX('Per Invoice'!M$2:M$401,$U290)))</f>
        <v/>
      </c>
      <c r="N290">
        <f>IF($U290="","",IF(INDEX('Per Invoice'!N$2:N$401,$U290)="","",INDEX('Per Invoice'!N$2:N$401,$U290)))</f>
        <v/>
      </c>
      <c r="O290" s="7">
        <f>IF($U290="","",IF(INDEX('Per Invoice'!O$2:O$401,$U290)="","",INDEX('Per Invoice'!O$2:O$401,$U290)))</f>
        <v/>
      </c>
      <c r="P290" s="7">
        <f>IF($U290="","",IF(INDEX('Per Invoice'!P$2:P$401,$U290)="","",INDEX('Per Invoice'!P$2:P$401,$U290)))</f>
        <v/>
      </c>
      <c r="Q290" s="7">
        <f>IF($U290="","",IF(INDEX('Per Invoice'!Q$2:Q$401,$U290)="","",INDEX('Per Invoice'!Q$2:Q$401,$U290)))</f>
        <v/>
      </c>
      <c r="R290" s="7">
        <f>IF($U290="","",IF(INDEX('Per Invoice'!R$2:R$401,$U290)="","",INDEX('Per Invoice'!R$2:R$401,$U290)))</f>
        <v/>
      </c>
      <c r="S290" s="7">
        <f>IF($U290="","",IF(INDEX('Per Invoice'!S$2:S$401,$U290)="","",INDEX('Per Invoice'!S$2:S$401,$U290)))</f>
        <v/>
      </c>
      <c r="T290" s="7">
        <f>IF($U290="","",IF(INDEX('Per Invoice'!T$2:T$401,$U290)="","",INDEX('Per Invoice'!T$2:T$401,$U290)))</f>
        <v/>
      </c>
      <c r="U290" s="16">
        <f>IFERROR(MATCH(Settings!$C$27&amp;"|"&amp;ROWS($U$2:$U290),'Per Invoice'!$V$2:$V$401,0),"")</f>
        <v/>
      </c>
    </row>
    <row r="291">
      <c r="A291">
        <f>IF($U291="","",IF(INDEX('Per Invoice'!A$2:A$401,$U291)="","",INDEX('Per Invoice'!A$2:A$401,$U291)))</f>
        <v/>
      </c>
      <c r="B291">
        <f>IF($U291="","",IF(INDEX('Per Invoice'!B$2:B$401,$U291)="","",INDEX('Per Invoice'!B$2:B$401,$U291)))</f>
        <v/>
      </c>
      <c r="C291">
        <f>IF($U291="","",IF(INDEX('Per Invoice'!C$2:C$401,$U291)="","",INDEX('Per Invoice'!C$2:C$401,$U291)))</f>
        <v/>
      </c>
      <c r="D291">
        <f>IF($U291="","",IF(INDEX('Per Invoice'!D$2:D$401,$U291)="","",INDEX('Per Invoice'!D$2:D$401,$U291)))</f>
        <v/>
      </c>
      <c r="E291">
        <f>IF($U291="","",IF(INDEX('Per Invoice'!E$2:E$401,$U291)="","",INDEX('Per Invoice'!E$2:E$401,$U291)))</f>
        <v/>
      </c>
      <c r="F291">
        <f>IF($U291="","",IF(INDEX('Per Invoice'!F$2:F$401,$U291)="","",INDEX('Per Invoice'!F$2:F$401,$U291)))</f>
        <v/>
      </c>
      <c r="G291">
        <f>IF($U291="","",IF(INDEX('Per Invoice'!G$2:G$401,$U291)="","",INDEX('Per Invoice'!G$2:G$401,$U291)))</f>
        <v/>
      </c>
      <c r="H291" s="7">
        <f>IF($U291="","",IF(INDEX('Per Invoice'!H$2:H$401,$U291)="","",INDEX('Per Invoice'!H$2:H$401,$U291)))</f>
        <v/>
      </c>
      <c r="I291" s="14">
        <f>IF($U291="","",IF(INDEX('Per Invoice'!I$2:I$401,$U291)="","",INDEX('Per Invoice'!I$2:I$401,$U291)))</f>
        <v/>
      </c>
      <c r="J291">
        <f>IF($U291="","",IF(INDEX('Per Invoice'!J$2:J$401,$U291)="","",INDEX('Per Invoice'!J$2:J$401,$U291)))</f>
        <v/>
      </c>
      <c r="K291">
        <f>IF($U291="","",IF(INDEX('Per Invoice'!K$2:K$401,$U291)="","",INDEX('Per Invoice'!K$2:K$401,$U291)))</f>
        <v/>
      </c>
      <c r="L291" s="7">
        <f>IF($U291="","",IF(INDEX('Per Invoice'!L$2:L$401,$U291)="","",INDEX('Per Invoice'!L$2:L$401,$U291)))</f>
        <v/>
      </c>
      <c r="M291" s="7">
        <f>IF($U291="","",IF(INDEX('Per Invoice'!M$2:M$401,$U291)="","",INDEX('Per Invoice'!M$2:M$401,$U291)))</f>
        <v/>
      </c>
      <c r="N291">
        <f>IF($U291="","",IF(INDEX('Per Invoice'!N$2:N$401,$U291)="","",INDEX('Per Invoice'!N$2:N$401,$U291)))</f>
        <v/>
      </c>
      <c r="O291" s="7">
        <f>IF($U291="","",IF(INDEX('Per Invoice'!O$2:O$401,$U291)="","",INDEX('Per Invoice'!O$2:O$401,$U291)))</f>
        <v/>
      </c>
      <c r="P291" s="7">
        <f>IF($U291="","",IF(INDEX('Per Invoice'!P$2:P$401,$U291)="","",INDEX('Per Invoice'!P$2:P$401,$U291)))</f>
        <v/>
      </c>
      <c r="Q291" s="7">
        <f>IF($U291="","",IF(INDEX('Per Invoice'!Q$2:Q$401,$U291)="","",INDEX('Per Invoice'!Q$2:Q$401,$U291)))</f>
        <v/>
      </c>
      <c r="R291" s="7">
        <f>IF($U291="","",IF(INDEX('Per Invoice'!R$2:R$401,$U291)="","",INDEX('Per Invoice'!R$2:R$401,$U291)))</f>
        <v/>
      </c>
      <c r="S291" s="7">
        <f>IF($U291="","",IF(INDEX('Per Invoice'!S$2:S$401,$U291)="","",INDEX('Per Invoice'!S$2:S$401,$U291)))</f>
        <v/>
      </c>
      <c r="T291" s="7">
        <f>IF($U291="","",IF(INDEX('Per Invoice'!T$2:T$401,$U291)="","",INDEX('Per Invoice'!T$2:T$401,$U291)))</f>
        <v/>
      </c>
      <c r="U291" s="16">
        <f>IFERROR(MATCH(Settings!$C$27&amp;"|"&amp;ROWS($U$2:$U291),'Per Invoice'!$V$2:$V$401,0),"")</f>
        <v/>
      </c>
    </row>
    <row r="292">
      <c r="A292">
        <f>IF($U292="","",IF(INDEX('Per Invoice'!A$2:A$401,$U292)="","",INDEX('Per Invoice'!A$2:A$401,$U292)))</f>
        <v/>
      </c>
      <c r="B292">
        <f>IF($U292="","",IF(INDEX('Per Invoice'!B$2:B$401,$U292)="","",INDEX('Per Invoice'!B$2:B$401,$U292)))</f>
        <v/>
      </c>
      <c r="C292">
        <f>IF($U292="","",IF(INDEX('Per Invoice'!C$2:C$401,$U292)="","",INDEX('Per Invoice'!C$2:C$401,$U292)))</f>
        <v/>
      </c>
      <c r="D292">
        <f>IF($U292="","",IF(INDEX('Per Invoice'!D$2:D$401,$U292)="","",INDEX('Per Invoice'!D$2:D$401,$U292)))</f>
        <v/>
      </c>
      <c r="E292">
        <f>IF($U292="","",IF(INDEX('Per Invoice'!E$2:E$401,$U292)="","",INDEX('Per Invoice'!E$2:E$401,$U292)))</f>
        <v/>
      </c>
      <c r="F292">
        <f>IF($U292="","",IF(INDEX('Per Invoice'!F$2:F$401,$U292)="","",INDEX('Per Invoice'!F$2:F$401,$U292)))</f>
        <v/>
      </c>
      <c r="G292">
        <f>IF($U292="","",IF(INDEX('Per Invoice'!G$2:G$401,$U292)="","",INDEX('Per Invoice'!G$2:G$401,$U292)))</f>
        <v/>
      </c>
      <c r="H292" s="7">
        <f>IF($U292="","",IF(INDEX('Per Invoice'!H$2:H$401,$U292)="","",INDEX('Per Invoice'!H$2:H$401,$U292)))</f>
        <v/>
      </c>
      <c r="I292" s="14">
        <f>IF($U292="","",IF(INDEX('Per Invoice'!I$2:I$401,$U292)="","",INDEX('Per Invoice'!I$2:I$401,$U292)))</f>
        <v/>
      </c>
      <c r="J292">
        <f>IF($U292="","",IF(INDEX('Per Invoice'!J$2:J$401,$U292)="","",INDEX('Per Invoice'!J$2:J$401,$U292)))</f>
        <v/>
      </c>
      <c r="K292">
        <f>IF($U292="","",IF(INDEX('Per Invoice'!K$2:K$401,$U292)="","",INDEX('Per Invoice'!K$2:K$401,$U292)))</f>
        <v/>
      </c>
      <c r="L292" s="7">
        <f>IF($U292="","",IF(INDEX('Per Invoice'!L$2:L$401,$U292)="","",INDEX('Per Invoice'!L$2:L$401,$U292)))</f>
        <v/>
      </c>
      <c r="M292" s="7">
        <f>IF($U292="","",IF(INDEX('Per Invoice'!M$2:M$401,$U292)="","",INDEX('Per Invoice'!M$2:M$401,$U292)))</f>
        <v/>
      </c>
      <c r="N292">
        <f>IF($U292="","",IF(INDEX('Per Invoice'!N$2:N$401,$U292)="","",INDEX('Per Invoice'!N$2:N$401,$U292)))</f>
        <v/>
      </c>
      <c r="O292" s="7">
        <f>IF($U292="","",IF(INDEX('Per Invoice'!O$2:O$401,$U292)="","",INDEX('Per Invoice'!O$2:O$401,$U292)))</f>
        <v/>
      </c>
      <c r="P292" s="7">
        <f>IF($U292="","",IF(INDEX('Per Invoice'!P$2:P$401,$U292)="","",INDEX('Per Invoice'!P$2:P$401,$U292)))</f>
        <v/>
      </c>
      <c r="Q292" s="7">
        <f>IF($U292="","",IF(INDEX('Per Invoice'!Q$2:Q$401,$U292)="","",INDEX('Per Invoice'!Q$2:Q$401,$U292)))</f>
        <v/>
      </c>
      <c r="R292" s="7">
        <f>IF($U292="","",IF(INDEX('Per Invoice'!R$2:R$401,$U292)="","",INDEX('Per Invoice'!R$2:R$401,$U292)))</f>
        <v/>
      </c>
      <c r="S292" s="7">
        <f>IF($U292="","",IF(INDEX('Per Invoice'!S$2:S$401,$U292)="","",INDEX('Per Invoice'!S$2:S$401,$U292)))</f>
        <v/>
      </c>
      <c r="T292" s="7">
        <f>IF($U292="","",IF(INDEX('Per Invoice'!T$2:T$401,$U292)="","",INDEX('Per Invoice'!T$2:T$401,$U292)))</f>
        <v/>
      </c>
      <c r="U292" s="16">
        <f>IFERROR(MATCH(Settings!$C$27&amp;"|"&amp;ROWS($U$2:$U292),'Per Invoice'!$V$2:$V$401,0),"")</f>
        <v/>
      </c>
    </row>
    <row r="293">
      <c r="A293">
        <f>IF($U293="","",IF(INDEX('Per Invoice'!A$2:A$401,$U293)="","",INDEX('Per Invoice'!A$2:A$401,$U293)))</f>
        <v/>
      </c>
      <c r="B293">
        <f>IF($U293="","",IF(INDEX('Per Invoice'!B$2:B$401,$U293)="","",INDEX('Per Invoice'!B$2:B$401,$U293)))</f>
        <v/>
      </c>
      <c r="C293">
        <f>IF($U293="","",IF(INDEX('Per Invoice'!C$2:C$401,$U293)="","",INDEX('Per Invoice'!C$2:C$401,$U293)))</f>
        <v/>
      </c>
      <c r="D293">
        <f>IF($U293="","",IF(INDEX('Per Invoice'!D$2:D$401,$U293)="","",INDEX('Per Invoice'!D$2:D$401,$U293)))</f>
        <v/>
      </c>
      <c r="E293">
        <f>IF($U293="","",IF(INDEX('Per Invoice'!E$2:E$401,$U293)="","",INDEX('Per Invoice'!E$2:E$401,$U293)))</f>
        <v/>
      </c>
      <c r="F293">
        <f>IF($U293="","",IF(INDEX('Per Invoice'!F$2:F$401,$U293)="","",INDEX('Per Invoice'!F$2:F$401,$U293)))</f>
        <v/>
      </c>
      <c r="G293">
        <f>IF($U293="","",IF(INDEX('Per Invoice'!G$2:G$401,$U293)="","",INDEX('Per Invoice'!G$2:G$401,$U293)))</f>
        <v/>
      </c>
      <c r="H293" s="7">
        <f>IF($U293="","",IF(INDEX('Per Invoice'!H$2:H$401,$U293)="","",INDEX('Per Invoice'!H$2:H$401,$U293)))</f>
        <v/>
      </c>
      <c r="I293" s="14">
        <f>IF($U293="","",IF(INDEX('Per Invoice'!I$2:I$401,$U293)="","",INDEX('Per Invoice'!I$2:I$401,$U293)))</f>
        <v/>
      </c>
      <c r="J293">
        <f>IF($U293="","",IF(INDEX('Per Invoice'!J$2:J$401,$U293)="","",INDEX('Per Invoice'!J$2:J$401,$U293)))</f>
        <v/>
      </c>
      <c r="K293">
        <f>IF($U293="","",IF(INDEX('Per Invoice'!K$2:K$401,$U293)="","",INDEX('Per Invoice'!K$2:K$401,$U293)))</f>
        <v/>
      </c>
      <c r="L293" s="7">
        <f>IF($U293="","",IF(INDEX('Per Invoice'!L$2:L$401,$U293)="","",INDEX('Per Invoice'!L$2:L$401,$U293)))</f>
        <v/>
      </c>
      <c r="M293" s="7">
        <f>IF($U293="","",IF(INDEX('Per Invoice'!M$2:M$401,$U293)="","",INDEX('Per Invoice'!M$2:M$401,$U293)))</f>
        <v/>
      </c>
      <c r="N293">
        <f>IF($U293="","",IF(INDEX('Per Invoice'!N$2:N$401,$U293)="","",INDEX('Per Invoice'!N$2:N$401,$U293)))</f>
        <v/>
      </c>
      <c r="O293" s="7">
        <f>IF($U293="","",IF(INDEX('Per Invoice'!O$2:O$401,$U293)="","",INDEX('Per Invoice'!O$2:O$401,$U293)))</f>
        <v/>
      </c>
      <c r="P293" s="7">
        <f>IF($U293="","",IF(INDEX('Per Invoice'!P$2:P$401,$U293)="","",INDEX('Per Invoice'!P$2:P$401,$U293)))</f>
        <v/>
      </c>
      <c r="Q293" s="7">
        <f>IF($U293="","",IF(INDEX('Per Invoice'!Q$2:Q$401,$U293)="","",INDEX('Per Invoice'!Q$2:Q$401,$U293)))</f>
        <v/>
      </c>
      <c r="R293" s="7">
        <f>IF($U293="","",IF(INDEX('Per Invoice'!R$2:R$401,$U293)="","",INDEX('Per Invoice'!R$2:R$401,$U293)))</f>
        <v/>
      </c>
      <c r="S293" s="7">
        <f>IF($U293="","",IF(INDEX('Per Invoice'!S$2:S$401,$U293)="","",INDEX('Per Invoice'!S$2:S$401,$U293)))</f>
        <v/>
      </c>
      <c r="T293" s="7">
        <f>IF($U293="","",IF(INDEX('Per Invoice'!T$2:T$401,$U293)="","",INDEX('Per Invoice'!T$2:T$401,$U293)))</f>
        <v/>
      </c>
      <c r="U293" s="16">
        <f>IFERROR(MATCH(Settings!$C$27&amp;"|"&amp;ROWS($U$2:$U293),'Per Invoice'!$V$2:$V$401,0),"")</f>
        <v/>
      </c>
    </row>
    <row r="294">
      <c r="A294">
        <f>IF($U294="","",IF(INDEX('Per Invoice'!A$2:A$401,$U294)="","",INDEX('Per Invoice'!A$2:A$401,$U294)))</f>
        <v/>
      </c>
      <c r="B294">
        <f>IF($U294="","",IF(INDEX('Per Invoice'!B$2:B$401,$U294)="","",INDEX('Per Invoice'!B$2:B$401,$U294)))</f>
        <v/>
      </c>
      <c r="C294">
        <f>IF($U294="","",IF(INDEX('Per Invoice'!C$2:C$401,$U294)="","",INDEX('Per Invoice'!C$2:C$401,$U294)))</f>
        <v/>
      </c>
      <c r="D294">
        <f>IF($U294="","",IF(INDEX('Per Invoice'!D$2:D$401,$U294)="","",INDEX('Per Invoice'!D$2:D$401,$U294)))</f>
        <v/>
      </c>
      <c r="E294">
        <f>IF($U294="","",IF(INDEX('Per Invoice'!E$2:E$401,$U294)="","",INDEX('Per Invoice'!E$2:E$401,$U294)))</f>
        <v/>
      </c>
      <c r="F294">
        <f>IF($U294="","",IF(INDEX('Per Invoice'!F$2:F$401,$U294)="","",INDEX('Per Invoice'!F$2:F$401,$U294)))</f>
        <v/>
      </c>
      <c r="G294">
        <f>IF($U294="","",IF(INDEX('Per Invoice'!G$2:G$401,$U294)="","",INDEX('Per Invoice'!G$2:G$401,$U294)))</f>
        <v/>
      </c>
      <c r="H294" s="7">
        <f>IF($U294="","",IF(INDEX('Per Invoice'!H$2:H$401,$U294)="","",INDEX('Per Invoice'!H$2:H$401,$U294)))</f>
        <v/>
      </c>
      <c r="I294" s="14">
        <f>IF($U294="","",IF(INDEX('Per Invoice'!I$2:I$401,$U294)="","",INDEX('Per Invoice'!I$2:I$401,$U294)))</f>
        <v/>
      </c>
      <c r="J294">
        <f>IF($U294="","",IF(INDEX('Per Invoice'!J$2:J$401,$U294)="","",INDEX('Per Invoice'!J$2:J$401,$U294)))</f>
        <v/>
      </c>
      <c r="K294">
        <f>IF($U294="","",IF(INDEX('Per Invoice'!K$2:K$401,$U294)="","",INDEX('Per Invoice'!K$2:K$401,$U294)))</f>
        <v/>
      </c>
      <c r="L294" s="7">
        <f>IF($U294="","",IF(INDEX('Per Invoice'!L$2:L$401,$U294)="","",INDEX('Per Invoice'!L$2:L$401,$U294)))</f>
        <v/>
      </c>
      <c r="M294" s="7">
        <f>IF($U294="","",IF(INDEX('Per Invoice'!M$2:M$401,$U294)="","",INDEX('Per Invoice'!M$2:M$401,$U294)))</f>
        <v/>
      </c>
      <c r="N294">
        <f>IF($U294="","",IF(INDEX('Per Invoice'!N$2:N$401,$U294)="","",INDEX('Per Invoice'!N$2:N$401,$U294)))</f>
        <v/>
      </c>
      <c r="O294" s="7">
        <f>IF($U294="","",IF(INDEX('Per Invoice'!O$2:O$401,$U294)="","",INDEX('Per Invoice'!O$2:O$401,$U294)))</f>
        <v/>
      </c>
      <c r="P294" s="7">
        <f>IF($U294="","",IF(INDEX('Per Invoice'!P$2:P$401,$U294)="","",INDEX('Per Invoice'!P$2:P$401,$U294)))</f>
        <v/>
      </c>
      <c r="Q294" s="7">
        <f>IF($U294="","",IF(INDEX('Per Invoice'!Q$2:Q$401,$U294)="","",INDEX('Per Invoice'!Q$2:Q$401,$U294)))</f>
        <v/>
      </c>
      <c r="R294" s="7">
        <f>IF($U294="","",IF(INDEX('Per Invoice'!R$2:R$401,$U294)="","",INDEX('Per Invoice'!R$2:R$401,$U294)))</f>
        <v/>
      </c>
      <c r="S294" s="7">
        <f>IF($U294="","",IF(INDEX('Per Invoice'!S$2:S$401,$U294)="","",INDEX('Per Invoice'!S$2:S$401,$U294)))</f>
        <v/>
      </c>
      <c r="T294" s="7">
        <f>IF($U294="","",IF(INDEX('Per Invoice'!T$2:T$401,$U294)="","",INDEX('Per Invoice'!T$2:T$401,$U294)))</f>
        <v/>
      </c>
      <c r="U294" s="16">
        <f>IFERROR(MATCH(Settings!$C$27&amp;"|"&amp;ROWS($U$2:$U294),'Per Invoice'!$V$2:$V$401,0),"")</f>
        <v/>
      </c>
    </row>
    <row r="295">
      <c r="A295">
        <f>IF($U295="","",IF(INDEX('Per Invoice'!A$2:A$401,$U295)="","",INDEX('Per Invoice'!A$2:A$401,$U295)))</f>
        <v/>
      </c>
      <c r="B295">
        <f>IF($U295="","",IF(INDEX('Per Invoice'!B$2:B$401,$U295)="","",INDEX('Per Invoice'!B$2:B$401,$U295)))</f>
        <v/>
      </c>
      <c r="C295">
        <f>IF($U295="","",IF(INDEX('Per Invoice'!C$2:C$401,$U295)="","",INDEX('Per Invoice'!C$2:C$401,$U295)))</f>
        <v/>
      </c>
      <c r="D295">
        <f>IF($U295="","",IF(INDEX('Per Invoice'!D$2:D$401,$U295)="","",INDEX('Per Invoice'!D$2:D$401,$U295)))</f>
        <v/>
      </c>
      <c r="E295">
        <f>IF($U295="","",IF(INDEX('Per Invoice'!E$2:E$401,$U295)="","",INDEX('Per Invoice'!E$2:E$401,$U295)))</f>
        <v/>
      </c>
      <c r="F295">
        <f>IF($U295="","",IF(INDEX('Per Invoice'!F$2:F$401,$U295)="","",INDEX('Per Invoice'!F$2:F$401,$U295)))</f>
        <v/>
      </c>
      <c r="G295">
        <f>IF($U295="","",IF(INDEX('Per Invoice'!G$2:G$401,$U295)="","",INDEX('Per Invoice'!G$2:G$401,$U295)))</f>
        <v/>
      </c>
      <c r="H295" s="7">
        <f>IF($U295="","",IF(INDEX('Per Invoice'!H$2:H$401,$U295)="","",INDEX('Per Invoice'!H$2:H$401,$U295)))</f>
        <v/>
      </c>
      <c r="I295" s="14">
        <f>IF($U295="","",IF(INDEX('Per Invoice'!I$2:I$401,$U295)="","",INDEX('Per Invoice'!I$2:I$401,$U295)))</f>
        <v/>
      </c>
      <c r="J295">
        <f>IF($U295="","",IF(INDEX('Per Invoice'!J$2:J$401,$U295)="","",INDEX('Per Invoice'!J$2:J$401,$U295)))</f>
        <v/>
      </c>
      <c r="K295">
        <f>IF($U295="","",IF(INDEX('Per Invoice'!K$2:K$401,$U295)="","",INDEX('Per Invoice'!K$2:K$401,$U295)))</f>
        <v/>
      </c>
      <c r="L295" s="7">
        <f>IF($U295="","",IF(INDEX('Per Invoice'!L$2:L$401,$U295)="","",INDEX('Per Invoice'!L$2:L$401,$U295)))</f>
        <v/>
      </c>
      <c r="M295" s="7">
        <f>IF($U295="","",IF(INDEX('Per Invoice'!M$2:M$401,$U295)="","",INDEX('Per Invoice'!M$2:M$401,$U295)))</f>
        <v/>
      </c>
      <c r="N295">
        <f>IF($U295="","",IF(INDEX('Per Invoice'!N$2:N$401,$U295)="","",INDEX('Per Invoice'!N$2:N$401,$U295)))</f>
        <v/>
      </c>
      <c r="O295" s="7">
        <f>IF($U295="","",IF(INDEX('Per Invoice'!O$2:O$401,$U295)="","",INDEX('Per Invoice'!O$2:O$401,$U295)))</f>
        <v/>
      </c>
      <c r="P295" s="7">
        <f>IF($U295="","",IF(INDEX('Per Invoice'!P$2:P$401,$U295)="","",INDEX('Per Invoice'!P$2:P$401,$U295)))</f>
        <v/>
      </c>
      <c r="Q295" s="7">
        <f>IF($U295="","",IF(INDEX('Per Invoice'!Q$2:Q$401,$U295)="","",INDEX('Per Invoice'!Q$2:Q$401,$U295)))</f>
        <v/>
      </c>
      <c r="R295" s="7">
        <f>IF($U295="","",IF(INDEX('Per Invoice'!R$2:R$401,$U295)="","",INDEX('Per Invoice'!R$2:R$401,$U295)))</f>
        <v/>
      </c>
      <c r="S295" s="7">
        <f>IF($U295="","",IF(INDEX('Per Invoice'!S$2:S$401,$U295)="","",INDEX('Per Invoice'!S$2:S$401,$U295)))</f>
        <v/>
      </c>
      <c r="T295" s="7">
        <f>IF($U295="","",IF(INDEX('Per Invoice'!T$2:T$401,$U295)="","",INDEX('Per Invoice'!T$2:T$401,$U295)))</f>
        <v/>
      </c>
      <c r="U295" s="16">
        <f>IFERROR(MATCH(Settings!$C$27&amp;"|"&amp;ROWS($U$2:$U295),'Per Invoice'!$V$2:$V$401,0),"")</f>
        <v/>
      </c>
    </row>
    <row r="296">
      <c r="A296">
        <f>IF($U296="","",IF(INDEX('Per Invoice'!A$2:A$401,$U296)="","",INDEX('Per Invoice'!A$2:A$401,$U296)))</f>
        <v/>
      </c>
      <c r="B296">
        <f>IF($U296="","",IF(INDEX('Per Invoice'!B$2:B$401,$U296)="","",INDEX('Per Invoice'!B$2:B$401,$U296)))</f>
        <v/>
      </c>
      <c r="C296">
        <f>IF($U296="","",IF(INDEX('Per Invoice'!C$2:C$401,$U296)="","",INDEX('Per Invoice'!C$2:C$401,$U296)))</f>
        <v/>
      </c>
      <c r="D296">
        <f>IF($U296="","",IF(INDEX('Per Invoice'!D$2:D$401,$U296)="","",INDEX('Per Invoice'!D$2:D$401,$U296)))</f>
        <v/>
      </c>
      <c r="E296">
        <f>IF($U296="","",IF(INDEX('Per Invoice'!E$2:E$401,$U296)="","",INDEX('Per Invoice'!E$2:E$401,$U296)))</f>
        <v/>
      </c>
      <c r="F296">
        <f>IF($U296="","",IF(INDEX('Per Invoice'!F$2:F$401,$U296)="","",INDEX('Per Invoice'!F$2:F$401,$U296)))</f>
        <v/>
      </c>
      <c r="G296">
        <f>IF($U296="","",IF(INDEX('Per Invoice'!G$2:G$401,$U296)="","",INDEX('Per Invoice'!G$2:G$401,$U296)))</f>
        <v/>
      </c>
      <c r="H296" s="7">
        <f>IF($U296="","",IF(INDEX('Per Invoice'!H$2:H$401,$U296)="","",INDEX('Per Invoice'!H$2:H$401,$U296)))</f>
        <v/>
      </c>
      <c r="I296" s="14">
        <f>IF($U296="","",IF(INDEX('Per Invoice'!I$2:I$401,$U296)="","",INDEX('Per Invoice'!I$2:I$401,$U296)))</f>
        <v/>
      </c>
      <c r="J296">
        <f>IF($U296="","",IF(INDEX('Per Invoice'!J$2:J$401,$U296)="","",INDEX('Per Invoice'!J$2:J$401,$U296)))</f>
        <v/>
      </c>
      <c r="K296">
        <f>IF($U296="","",IF(INDEX('Per Invoice'!K$2:K$401,$U296)="","",INDEX('Per Invoice'!K$2:K$401,$U296)))</f>
        <v/>
      </c>
      <c r="L296" s="7">
        <f>IF($U296="","",IF(INDEX('Per Invoice'!L$2:L$401,$U296)="","",INDEX('Per Invoice'!L$2:L$401,$U296)))</f>
        <v/>
      </c>
      <c r="M296" s="7">
        <f>IF($U296="","",IF(INDEX('Per Invoice'!M$2:M$401,$U296)="","",INDEX('Per Invoice'!M$2:M$401,$U296)))</f>
        <v/>
      </c>
      <c r="N296">
        <f>IF($U296="","",IF(INDEX('Per Invoice'!N$2:N$401,$U296)="","",INDEX('Per Invoice'!N$2:N$401,$U296)))</f>
        <v/>
      </c>
      <c r="O296" s="7">
        <f>IF($U296="","",IF(INDEX('Per Invoice'!O$2:O$401,$U296)="","",INDEX('Per Invoice'!O$2:O$401,$U296)))</f>
        <v/>
      </c>
      <c r="P296" s="7">
        <f>IF($U296="","",IF(INDEX('Per Invoice'!P$2:P$401,$U296)="","",INDEX('Per Invoice'!P$2:P$401,$U296)))</f>
        <v/>
      </c>
      <c r="Q296" s="7">
        <f>IF($U296="","",IF(INDEX('Per Invoice'!Q$2:Q$401,$U296)="","",INDEX('Per Invoice'!Q$2:Q$401,$U296)))</f>
        <v/>
      </c>
      <c r="R296" s="7">
        <f>IF($U296="","",IF(INDEX('Per Invoice'!R$2:R$401,$U296)="","",INDEX('Per Invoice'!R$2:R$401,$U296)))</f>
        <v/>
      </c>
      <c r="S296" s="7">
        <f>IF($U296="","",IF(INDEX('Per Invoice'!S$2:S$401,$U296)="","",INDEX('Per Invoice'!S$2:S$401,$U296)))</f>
        <v/>
      </c>
      <c r="T296" s="7">
        <f>IF($U296="","",IF(INDEX('Per Invoice'!T$2:T$401,$U296)="","",INDEX('Per Invoice'!T$2:T$401,$U296)))</f>
        <v/>
      </c>
      <c r="U296" s="16">
        <f>IFERROR(MATCH(Settings!$C$27&amp;"|"&amp;ROWS($U$2:$U296),'Per Invoice'!$V$2:$V$401,0),"")</f>
        <v/>
      </c>
    </row>
    <row r="297">
      <c r="A297">
        <f>IF($U297="","",IF(INDEX('Per Invoice'!A$2:A$401,$U297)="","",INDEX('Per Invoice'!A$2:A$401,$U297)))</f>
        <v/>
      </c>
      <c r="B297">
        <f>IF($U297="","",IF(INDEX('Per Invoice'!B$2:B$401,$U297)="","",INDEX('Per Invoice'!B$2:B$401,$U297)))</f>
        <v/>
      </c>
      <c r="C297">
        <f>IF($U297="","",IF(INDEX('Per Invoice'!C$2:C$401,$U297)="","",INDEX('Per Invoice'!C$2:C$401,$U297)))</f>
        <v/>
      </c>
      <c r="D297">
        <f>IF($U297="","",IF(INDEX('Per Invoice'!D$2:D$401,$U297)="","",INDEX('Per Invoice'!D$2:D$401,$U297)))</f>
        <v/>
      </c>
      <c r="E297">
        <f>IF($U297="","",IF(INDEX('Per Invoice'!E$2:E$401,$U297)="","",INDEX('Per Invoice'!E$2:E$401,$U297)))</f>
        <v/>
      </c>
      <c r="F297">
        <f>IF($U297="","",IF(INDEX('Per Invoice'!F$2:F$401,$U297)="","",INDEX('Per Invoice'!F$2:F$401,$U297)))</f>
        <v/>
      </c>
      <c r="G297">
        <f>IF($U297="","",IF(INDEX('Per Invoice'!G$2:G$401,$U297)="","",INDEX('Per Invoice'!G$2:G$401,$U297)))</f>
        <v/>
      </c>
      <c r="H297" s="7">
        <f>IF($U297="","",IF(INDEX('Per Invoice'!H$2:H$401,$U297)="","",INDEX('Per Invoice'!H$2:H$401,$U297)))</f>
        <v/>
      </c>
      <c r="I297" s="14">
        <f>IF($U297="","",IF(INDEX('Per Invoice'!I$2:I$401,$U297)="","",INDEX('Per Invoice'!I$2:I$401,$U297)))</f>
        <v/>
      </c>
      <c r="J297">
        <f>IF($U297="","",IF(INDEX('Per Invoice'!J$2:J$401,$U297)="","",INDEX('Per Invoice'!J$2:J$401,$U297)))</f>
        <v/>
      </c>
      <c r="K297">
        <f>IF($U297="","",IF(INDEX('Per Invoice'!K$2:K$401,$U297)="","",INDEX('Per Invoice'!K$2:K$401,$U297)))</f>
        <v/>
      </c>
      <c r="L297" s="7">
        <f>IF($U297="","",IF(INDEX('Per Invoice'!L$2:L$401,$U297)="","",INDEX('Per Invoice'!L$2:L$401,$U297)))</f>
        <v/>
      </c>
      <c r="M297" s="7">
        <f>IF($U297="","",IF(INDEX('Per Invoice'!M$2:M$401,$U297)="","",INDEX('Per Invoice'!M$2:M$401,$U297)))</f>
        <v/>
      </c>
      <c r="N297">
        <f>IF($U297="","",IF(INDEX('Per Invoice'!N$2:N$401,$U297)="","",INDEX('Per Invoice'!N$2:N$401,$U297)))</f>
        <v/>
      </c>
      <c r="O297" s="7">
        <f>IF($U297="","",IF(INDEX('Per Invoice'!O$2:O$401,$U297)="","",INDEX('Per Invoice'!O$2:O$401,$U297)))</f>
        <v/>
      </c>
      <c r="P297" s="7">
        <f>IF($U297="","",IF(INDEX('Per Invoice'!P$2:P$401,$U297)="","",INDEX('Per Invoice'!P$2:P$401,$U297)))</f>
        <v/>
      </c>
      <c r="Q297" s="7">
        <f>IF($U297="","",IF(INDEX('Per Invoice'!Q$2:Q$401,$U297)="","",INDEX('Per Invoice'!Q$2:Q$401,$U297)))</f>
        <v/>
      </c>
      <c r="R297" s="7">
        <f>IF($U297="","",IF(INDEX('Per Invoice'!R$2:R$401,$U297)="","",INDEX('Per Invoice'!R$2:R$401,$U297)))</f>
        <v/>
      </c>
      <c r="S297" s="7">
        <f>IF($U297="","",IF(INDEX('Per Invoice'!S$2:S$401,$U297)="","",INDEX('Per Invoice'!S$2:S$401,$U297)))</f>
        <v/>
      </c>
      <c r="T297" s="7">
        <f>IF($U297="","",IF(INDEX('Per Invoice'!T$2:T$401,$U297)="","",INDEX('Per Invoice'!T$2:T$401,$U297)))</f>
        <v/>
      </c>
      <c r="U297" s="16">
        <f>IFERROR(MATCH(Settings!$C$27&amp;"|"&amp;ROWS($U$2:$U297),'Per Invoice'!$V$2:$V$401,0),"")</f>
        <v/>
      </c>
    </row>
    <row r="298">
      <c r="A298">
        <f>IF($U298="","",IF(INDEX('Per Invoice'!A$2:A$401,$U298)="","",INDEX('Per Invoice'!A$2:A$401,$U298)))</f>
        <v/>
      </c>
      <c r="B298">
        <f>IF($U298="","",IF(INDEX('Per Invoice'!B$2:B$401,$U298)="","",INDEX('Per Invoice'!B$2:B$401,$U298)))</f>
        <v/>
      </c>
      <c r="C298">
        <f>IF($U298="","",IF(INDEX('Per Invoice'!C$2:C$401,$U298)="","",INDEX('Per Invoice'!C$2:C$401,$U298)))</f>
        <v/>
      </c>
      <c r="D298">
        <f>IF($U298="","",IF(INDEX('Per Invoice'!D$2:D$401,$U298)="","",INDEX('Per Invoice'!D$2:D$401,$U298)))</f>
        <v/>
      </c>
      <c r="E298">
        <f>IF($U298="","",IF(INDEX('Per Invoice'!E$2:E$401,$U298)="","",INDEX('Per Invoice'!E$2:E$401,$U298)))</f>
        <v/>
      </c>
      <c r="F298">
        <f>IF($U298="","",IF(INDEX('Per Invoice'!F$2:F$401,$U298)="","",INDEX('Per Invoice'!F$2:F$401,$U298)))</f>
        <v/>
      </c>
      <c r="G298">
        <f>IF($U298="","",IF(INDEX('Per Invoice'!G$2:G$401,$U298)="","",INDEX('Per Invoice'!G$2:G$401,$U298)))</f>
        <v/>
      </c>
      <c r="H298" s="7">
        <f>IF($U298="","",IF(INDEX('Per Invoice'!H$2:H$401,$U298)="","",INDEX('Per Invoice'!H$2:H$401,$U298)))</f>
        <v/>
      </c>
      <c r="I298" s="14">
        <f>IF($U298="","",IF(INDEX('Per Invoice'!I$2:I$401,$U298)="","",INDEX('Per Invoice'!I$2:I$401,$U298)))</f>
        <v/>
      </c>
      <c r="J298">
        <f>IF($U298="","",IF(INDEX('Per Invoice'!J$2:J$401,$U298)="","",INDEX('Per Invoice'!J$2:J$401,$U298)))</f>
        <v/>
      </c>
      <c r="K298">
        <f>IF($U298="","",IF(INDEX('Per Invoice'!K$2:K$401,$U298)="","",INDEX('Per Invoice'!K$2:K$401,$U298)))</f>
        <v/>
      </c>
      <c r="L298" s="7">
        <f>IF($U298="","",IF(INDEX('Per Invoice'!L$2:L$401,$U298)="","",INDEX('Per Invoice'!L$2:L$401,$U298)))</f>
        <v/>
      </c>
      <c r="M298" s="7">
        <f>IF($U298="","",IF(INDEX('Per Invoice'!M$2:M$401,$U298)="","",INDEX('Per Invoice'!M$2:M$401,$U298)))</f>
        <v/>
      </c>
      <c r="N298">
        <f>IF($U298="","",IF(INDEX('Per Invoice'!N$2:N$401,$U298)="","",INDEX('Per Invoice'!N$2:N$401,$U298)))</f>
        <v/>
      </c>
      <c r="O298" s="7">
        <f>IF($U298="","",IF(INDEX('Per Invoice'!O$2:O$401,$U298)="","",INDEX('Per Invoice'!O$2:O$401,$U298)))</f>
        <v/>
      </c>
      <c r="P298" s="7">
        <f>IF($U298="","",IF(INDEX('Per Invoice'!P$2:P$401,$U298)="","",INDEX('Per Invoice'!P$2:P$401,$U298)))</f>
        <v/>
      </c>
      <c r="Q298" s="7">
        <f>IF($U298="","",IF(INDEX('Per Invoice'!Q$2:Q$401,$U298)="","",INDEX('Per Invoice'!Q$2:Q$401,$U298)))</f>
        <v/>
      </c>
      <c r="R298" s="7">
        <f>IF($U298="","",IF(INDEX('Per Invoice'!R$2:R$401,$U298)="","",INDEX('Per Invoice'!R$2:R$401,$U298)))</f>
        <v/>
      </c>
      <c r="S298" s="7">
        <f>IF($U298="","",IF(INDEX('Per Invoice'!S$2:S$401,$U298)="","",INDEX('Per Invoice'!S$2:S$401,$U298)))</f>
        <v/>
      </c>
      <c r="T298" s="7">
        <f>IF($U298="","",IF(INDEX('Per Invoice'!T$2:T$401,$U298)="","",INDEX('Per Invoice'!T$2:T$401,$U298)))</f>
        <v/>
      </c>
      <c r="U298" s="16">
        <f>IFERROR(MATCH(Settings!$C$27&amp;"|"&amp;ROWS($U$2:$U298),'Per Invoice'!$V$2:$V$401,0),"")</f>
        <v/>
      </c>
    </row>
    <row r="299">
      <c r="A299">
        <f>IF($U299="","",IF(INDEX('Per Invoice'!A$2:A$401,$U299)="","",INDEX('Per Invoice'!A$2:A$401,$U299)))</f>
        <v/>
      </c>
      <c r="B299">
        <f>IF($U299="","",IF(INDEX('Per Invoice'!B$2:B$401,$U299)="","",INDEX('Per Invoice'!B$2:B$401,$U299)))</f>
        <v/>
      </c>
      <c r="C299">
        <f>IF($U299="","",IF(INDEX('Per Invoice'!C$2:C$401,$U299)="","",INDEX('Per Invoice'!C$2:C$401,$U299)))</f>
        <v/>
      </c>
      <c r="D299">
        <f>IF($U299="","",IF(INDEX('Per Invoice'!D$2:D$401,$U299)="","",INDEX('Per Invoice'!D$2:D$401,$U299)))</f>
        <v/>
      </c>
      <c r="E299">
        <f>IF($U299="","",IF(INDEX('Per Invoice'!E$2:E$401,$U299)="","",INDEX('Per Invoice'!E$2:E$401,$U299)))</f>
        <v/>
      </c>
      <c r="F299">
        <f>IF($U299="","",IF(INDEX('Per Invoice'!F$2:F$401,$U299)="","",INDEX('Per Invoice'!F$2:F$401,$U299)))</f>
        <v/>
      </c>
      <c r="G299">
        <f>IF($U299="","",IF(INDEX('Per Invoice'!G$2:G$401,$U299)="","",INDEX('Per Invoice'!G$2:G$401,$U299)))</f>
        <v/>
      </c>
      <c r="H299" s="7">
        <f>IF($U299="","",IF(INDEX('Per Invoice'!H$2:H$401,$U299)="","",INDEX('Per Invoice'!H$2:H$401,$U299)))</f>
        <v/>
      </c>
      <c r="I299" s="14">
        <f>IF($U299="","",IF(INDEX('Per Invoice'!I$2:I$401,$U299)="","",INDEX('Per Invoice'!I$2:I$401,$U299)))</f>
        <v/>
      </c>
      <c r="J299">
        <f>IF($U299="","",IF(INDEX('Per Invoice'!J$2:J$401,$U299)="","",INDEX('Per Invoice'!J$2:J$401,$U299)))</f>
        <v/>
      </c>
      <c r="K299">
        <f>IF($U299="","",IF(INDEX('Per Invoice'!K$2:K$401,$U299)="","",INDEX('Per Invoice'!K$2:K$401,$U299)))</f>
        <v/>
      </c>
      <c r="L299" s="7">
        <f>IF($U299="","",IF(INDEX('Per Invoice'!L$2:L$401,$U299)="","",INDEX('Per Invoice'!L$2:L$401,$U299)))</f>
        <v/>
      </c>
      <c r="M299" s="7">
        <f>IF($U299="","",IF(INDEX('Per Invoice'!M$2:M$401,$U299)="","",INDEX('Per Invoice'!M$2:M$401,$U299)))</f>
        <v/>
      </c>
      <c r="N299">
        <f>IF($U299="","",IF(INDEX('Per Invoice'!N$2:N$401,$U299)="","",INDEX('Per Invoice'!N$2:N$401,$U299)))</f>
        <v/>
      </c>
      <c r="O299" s="7">
        <f>IF($U299="","",IF(INDEX('Per Invoice'!O$2:O$401,$U299)="","",INDEX('Per Invoice'!O$2:O$401,$U299)))</f>
        <v/>
      </c>
      <c r="P299" s="7">
        <f>IF($U299="","",IF(INDEX('Per Invoice'!P$2:P$401,$U299)="","",INDEX('Per Invoice'!P$2:P$401,$U299)))</f>
        <v/>
      </c>
      <c r="Q299" s="7">
        <f>IF($U299="","",IF(INDEX('Per Invoice'!Q$2:Q$401,$U299)="","",INDEX('Per Invoice'!Q$2:Q$401,$U299)))</f>
        <v/>
      </c>
      <c r="R299" s="7">
        <f>IF($U299="","",IF(INDEX('Per Invoice'!R$2:R$401,$U299)="","",INDEX('Per Invoice'!R$2:R$401,$U299)))</f>
        <v/>
      </c>
      <c r="S299" s="7">
        <f>IF($U299="","",IF(INDEX('Per Invoice'!S$2:S$401,$U299)="","",INDEX('Per Invoice'!S$2:S$401,$U299)))</f>
        <v/>
      </c>
      <c r="T299" s="7">
        <f>IF($U299="","",IF(INDEX('Per Invoice'!T$2:T$401,$U299)="","",INDEX('Per Invoice'!T$2:T$401,$U299)))</f>
        <v/>
      </c>
      <c r="U299" s="16">
        <f>IFERROR(MATCH(Settings!$C$27&amp;"|"&amp;ROWS($U$2:$U299),'Per Invoice'!$V$2:$V$401,0),"")</f>
        <v/>
      </c>
    </row>
    <row r="300">
      <c r="A300">
        <f>IF($U300="","",IF(INDEX('Per Invoice'!A$2:A$401,$U300)="","",INDEX('Per Invoice'!A$2:A$401,$U300)))</f>
        <v/>
      </c>
      <c r="B300">
        <f>IF($U300="","",IF(INDEX('Per Invoice'!B$2:B$401,$U300)="","",INDEX('Per Invoice'!B$2:B$401,$U300)))</f>
        <v/>
      </c>
      <c r="C300">
        <f>IF($U300="","",IF(INDEX('Per Invoice'!C$2:C$401,$U300)="","",INDEX('Per Invoice'!C$2:C$401,$U300)))</f>
        <v/>
      </c>
      <c r="D300">
        <f>IF($U300="","",IF(INDEX('Per Invoice'!D$2:D$401,$U300)="","",INDEX('Per Invoice'!D$2:D$401,$U300)))</f>
        <v/>
      </c>
      <c r="E300">
        <f>IF($U300="","",IF(INDEX('Per Invoice'!E$2:E$401,$U300)="","",INDEX('Per Invoice'!E$2:E$401,$U300)))</f>
        <v/>
      </c>
      <c r="F300">
        <f>IF($U300="","",IF(INDEX('Per Invoice'!F$2:F$401,$U300)="","",INDEX('Per Invoice'!F$2:F$401,$U300)))</f>
        <v/>
      </c>
      <c r="G300">
        <f>IF($U300="","",IF(INDEX('Per Invoice'!G$2:G$401,$U300)="","",INDEX('Per Invoice'!G$2:G$401,$U300)))</f>
        <v/>
      </c>
      <c r="H300" s="7">
        <f>IF($U300="","",IF(INDEX('Per Invoice'!H$2:H$401,$U300)="","",INDEX('Per Invoice'!H$2:H$401,$U300)))</f>
        <v/>
      </c>
      <c r="I300" s="14">
        <f>IF($U300="","",IF(INDEX('Per Invoice'!I$2:I$401,$U300)="","",INDEX('Per Invoice'!I$2:I$401,$U300)))</f>
        <v/>
      </c>
      <c r="J300">
        <f>IF($U300="","",IF(INDEX('Per Invoice'!J$2:J$401,$U300)="","",INDEX('Per Invoice'!J$2:J$401,$U300)))</f>
        <v/>
      </c>
      <c r="K300">
        <f>IF($U300="","",IF(INDEX('Per Invoice'!K$2:K$401,$U300)="","",INDEX('Per Invoice'!K$2:K$401,$U300)))</f>
        <v/>
      </c>
      <c r="L300" s="7">
        <f>IF($U300="","",IF(INDEX('Per Invoice'!L$2:L$401,$U300)="","",INDEX('Per Invoice'!L$2:L$401,$U300)))</f>
        <v/>
      </c>
      <c r="M300" s="7">
        <f>IF($U300="","",IF(INDEX('Per Invoice'!M$2:M$401,$U300)="","",INDEX('Per Invoice'!M$2:M$401,$U300)))</f>
        <v/>
      </c>
      <c r="N300">
        <f>IF($U300="","",IF(INDEX('Per Invoice'!N$2:N$401,$U300)="","",INDEX('Per Invoice'!N$2:N$401,$U300)))</f>
        <v/>
      </c>
      <c r="O300" s="7">
        <f>IF($U300="","",IF(INDEX('Per Invoice'!O$2:O$401,$U300)="","",INDEX('Per Invoice'!O$2:O$401,$U300)))</f>
        <v/>
      </c>
      <c r="P300" s="7">
        <f>IF($U300="","",IF(INDEX('Per Invoice'!P$2:P$401,$U300)="","",INDEX('Per Invoice'!P$2:P$401,$U300)))</f>
        <v/>
      </c>
      <c r="Q300" s="7">
        <f>IF($U300="","",IF(INDEX('Per Invoice'!Q$2:Q$401,$U300)="","",INDEX('Per Invoice'!Q$2:Q$401,$U300)))</f>
        <v/>
      </c>
      <c r="R300" s="7">
        <f>IF($U300="","",IF(INDEX('Per Invoice'!R$2:R$401,$U300)="","",INDEX('Per Invoice'!R$2:R$401,$U300)))</f>
        <v/>
      </c>
      <c r="S300" s="7">
        <f>IF($U300="","",IF(INDEX('Per Invoice'!S$2:S$401,$U300)="","",INDEX('Per Invoice'!S$2:S$401,$U300)))</f>
        <v/>
      </c>
      <c r="T300" s="7">
        <f>IF($U300="","",IF(INDEX('Per Invoice'!T$2:T$401,$U300)="","",INDEX('Per Invoice'!T$2:T$401,$U300)))</f>
        <v/>
      </c>
      <c r="U300" s="16">
        <f>IFERROR(MATCH(Settings!$C$27&amp;"|"&amp;ROWS($U$2:$U300),'Per Invoice'!$V$2:$V$401,0),"")</f>
        <v/>
      </c>
    </row>
    <row r="301">
      <c r="A301">
        <f>IF($U301="","",IF(INDEX('Per Invoice'!A$2:A$401,$U301)="","",INDEX('Per Invoice'!A$2:A$401,$U301)))</f>
        <v/>
      </c>
      <c r="B301">
        <f>IF($U301="","",IF(INDEX('Per Invoice'!B$2:B$401,$U301)="","",INDEX('Per Invoice'!B$2:B$401,$U301)))</f>
        <v/>
      </c>
      <c r="C301">
        <f>IF($U301="","",IF(INDEX('Per Invoice'!C$2:C$401,$U301)="","",INDEX('Per Invoice'!C$2:C$401,$U301)))</f>
        <v/>
      </c>
      <c r="D301">
        <f>IF($U301="","",IF(INDEX('Per Invoice'!D$2:D$401,$U301)="","",INDEX('Per Invoice'!D$2:D$401,$U301)))</f>
        <v/>
      </c>
      <c r="E301">
        <f>IF($U301="","",IF(INDEX('Per Invoice'!E$2:E$401,$U301)="","",INDEX('Per Invoice'!E$2:E$401,$U301)))</f>
        <v/>
      </c>
      <c r="F301">
        <f>IF($U301="","",IF(INDEX('Per Invoice'!F$2:F$401,$U301)="","",INDEX('Per Invoice'!F$2:F$401,$U301)))</f>
        <v/>
      </c>
      <c r="G301">
        <f>IF($U301="","",IF(INDEX('Per Invoice'!G$2:G$401,$U301)="","",INDEX('Per Invoice'!G$2:G$401,$U301)))</f>
        <v/>
      </c>
      <c r="H301" s="7">
        <f>IF($U301="","",IF(INDEX('Per Invoice'!H$2:H$401,$U301)="","",INDEX('Per Invoice'!H$2:H$401,$U301)))</f>
        <v/>
      </c>
      <c r="I301" s="14">
        <f>IF($U301="","",IF(INDEX('Per Invoice'!I$2:I$401,$U301)="","",INDEX('Per Invoice'!I$2:I$401,$U301)))</f>
        <v/>
      </c>
      <c r="J301">
        <f>IF($U301="","",IF(INDEX('Per Invoice'!J$2:J$401,$U301)="","",INDEX('Per Invoice'!J$2:J$401,$U301)))</f>
        <v/>
      </c>
      <c r="K301">
        <f>IF($U301="","",IF(INDEX('Per Invoice'!K$2:K$401,$U301)="","",INDEX('Per Invoice'!K$2:K$401,$U301)))</f>
        <v/>
      </c>
      <c r="L301" s="7">
        <f>IF($U301="","",IF(INDEX('Per Invoice'!L$2:L$401,$U301)="","",INDEX('Per Invoice'!L$2:L$401,$U301)))</f>
        <v/>
      </c>
      <c r="M301" s="7">
        <f>IF($U301="","",IF(INDEX('Per Invoice'!M$2:M$401,$U301)="","",INDEX('Per Invoice'!M$2:M$401,$U301)))</f>
        <v/>
      </c>
      <c r="N301">
        <f>IF($U301="","",IF(INDEX('Per Invoice'!N$2:N$401,$U301)="","",INDEX('Per Invoice'!N$2:N$401,$U301)))</f>
        <v/>
      </c>
      <c r="O301" s="7">
        <f>IF($U301="","",IF(INDEX('Per Invoice'!O$2:O$401,$U301)="","",INDEX('Per Invoice'!O$2:O$401,$U301)))</f>
        <v/>
      </c>
      <c r="P301" s="7">
        <f>IF($U301="","",IF(INDEX('Per Invoice'!P$2:P$401,$U301)="","",INDEX('Per Invoice'!P$2:P$401,$U301)))</f>
        <v/>
      </c>
      <c r="Q301" s="7">
        <f>IF($U301="","",IF(INDEX('Per Invoice'!Q$2:Q$401,$U301)="","",INDEX('Per Invoice'!Q$2:Q$401,$U301)))</f>
        <v/>
      </c>
      <c r="R301" s="7">
        <f>IF($U301="","",IF(INDEX('Per Invoice'!R$2:R$401,$U301)="","",INDEX('Per Invoice'!R$2:R$401,$U301)))</f>
        <v/>
      </c>
      <c r="S301" s="7">
        <f>IF($U301="","",IF(INDEX('Per Invoice'!S$2:S$401,$U301)="","",INDEX('Per Invoice'!S$2:S$401,$U301)))</f>
        <v/>
      </c>
      <c r="T301" s="7">
        <f>IF($U301="","",IF(INDEX('Per Invoice'!T$2:T$401,$U301)="","",INDEX('Per Invoice'!T$2:T$401,$U301)))</f>
        <v/>
      </c>
      <c r="U301" s="16">
        <f>IFERROR(MATCH(Settings!$C$27&amp;"|"&amp;ROWS($U$2:$U301),'Per Invoice'!$V$2:$V$401,0),"")</f>
        <v/>
      </c>
    </row>
  </sheetData>
  <autoFilter ref="A1:U30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10" t="inlineStr">
        <is>
          <t>Pos Reference</t>
        </is>
      </c>
      <c r="B1" s="10" t="inlineStr">
        <is>
          <t>Copay Tab (##)</t>
        </is>
      </c>
      <c r="C1" s="10" t="inlineStr">
        <is>
          <t>Invoice</t>
        </is>
      </c>
      <c r="D1" s="10" t="inlineStr">
        <is>
          <t>Insurance Company</t>
        </is>
      </c>
      <c r="E1" s="10" t="inlineStr">
        <is>
          <t>Name</t>
        </is>
      </c>
      <c r="F1" s="10" t="inlineStr">
        <is>
          <t>Card Number</t>
        </is>
      </c>
      <c r="G1" s="10" t="inlineStr">
        <is>
          <t>Co Payment %</t>
        </is>
      </c>
      <c r="H1" s="10" t="inlineStr">
        <is>
          <t>Co val</t>
        </is>
      </c>
      <c r="I1" s="10" t="inlineStr">
        <is>
          <t>Create Date</t>
        </is>
      </c>
      <c r="J1" s="10" t="inlineStr">
        <is>
          <t>Session</t>
        </is>
      </c>
      <c r="K1" s="10" t="inlineStr">
        <is>
          <t>IMP%</t>
        </is>
      </c>
      <c r="L1" s="10" t="inlineStr">
        <is>
          <t>IMP</t>
        </is>
      </c>
      <c r="M1" s="10" t="inlineStr">
        <is>
          <t>IMP VAL</t>
        </is>
      </c>
      <c r="N1" s="10" t="inlineStr">
        <is>
          <t>LOCAL%</t>
        </is>
      </c>
      <c r="O1" s="10" t="inlineStr">
        <is>
          <t>LOCAL</t>
        </is>
      </c>
      <c r="P1" s="10" t="inlineStr">
        <is>
          <t>LOCAL VAL</t>
        </is>
      </c>
      <c r="Q1" s="10" t="inlineStr">
        <is>
          <t>TOTAL VAL</t>
        </is>
      </c>
      <c r="R1" s="10" t="inlineStr">
        <is>
          <t>SUBTOTAL</t>
        </is>
      </c>
      <c r="S1" s="10" t="inlineStr">
        <is>
          <t>Grand Total</t>
        </is>
      </c>
      <c r="T1" s="10" t="inlineStr">
        <is>
          <t>NET</t>
        </is>
      </c>
      <c r="U1" s="13" t="inlineStr">
        <is>
          <t>Src Row (helper)</t>
        </is>
      </c>
    </row>
    <row r="2">
      <c r="A2">
        <f>IF($U2="","",IF(INDEX('Per Invoice'!A$2:A$401,$U2)="","",INDEX('Per Invoice'!A$2:A$401,$U2)))</f>
        <v/>
      </c>
      <c r="B2">
        <f>IF($U2="","",IF(INDEX('Per Invoice'!B$2:B$401,$U2)="","",INDEX('Per Invoice'!B$2:B$401,$U2)))</f>
        <v/>
      </c>
      <c r="C2">
        <f>IF($U2="","",IF(INDEX('Per Invoice'!C$2:C$401,$U2)="","",INDEX('Per Invoice'!C$2:C$401,$U2)))</f>
        <v/>
      </c>
      <c r="D2">
        <f>IF($U2="","",IF(INDEX('Per Invoice'!D$2:D$401,$U2)="","",INDEX('Per Invoice'!D$2:D$401,$U2)))</f>
        <v/>
      </c>
      <c r="E2">
        <f>IF($U2="","",IF(INDEX('Per Invoice'!E$2:E$401,$U2)="","",INDEX('Per Invoice'!E$2:E$401,$U2)))</f>
        <v/>
      </c>
      <c r="F2">
        <f>IF($U2="","",IF(INDEX('Per Invoice'!F$2:F$401,$U2)="","",INDEX('Per Invoice'!F$2:F$401,$U2)))</f>
        <v/>
      </c>
      <c r="G2">
        <f>IF($U2="","",IF(INDEX('Per Invoice'!G$2:G$401,$U2)="","",INDEX('Per Invoice'!G$2:G$401,$U2)))</f>
        <v/>
      </c>
      <c r="H2" s="7">
        <f>IF($U2="","",IF(INDEX('Per Invoice'!H$2:H$401,$U2)="","",INDEX('Per Invoice'!H$2:H$401,$U2)))</f>
        <v/>
      </c>
      <c r="I2" s="14">
        <f>IF($U2="","",IF(INDEX('Per Invoice'!I$2:I$401,$U2)="","",INDEX('Per Invoice'!I$2:I$401,$U2)))</f>
        <v/>
      </c>
      <c r="J2">
        <f>IF($U2="","",IF(INDEX('Per Invoice'!J$2:J$401,$U2)="","",INDEX('Per Invoice'!J$2:J$401,$U2)))</f>
        <v/>
      </c>
      <c r="K2">
        <f>IF($U2="","",IF(INDEX('Per Invoice'!K$2:K$401,$U2)="","",INDEX('Per Invoice'!K$2:K$401,$U2)))</f>
        <v/>
      </c>
      <c r="L2" s="7">
        <f>IF($U2="","",IF(INDEX('Per Invoice'!L$2:L$401,$U2)="","",INDEX('Per Invoice'!L$2:L$401,$U2)))</f>
        <v/>
      </c>
      <c r="M2" s="7">
        <f>IF($U2="","",IF(INDEX('Per Invoice'!M$2:M$401,$U2)="","",INDEX('Per Invoice'!M$2:M$401,$U2)))</f>
        <v/>
      </c>
      <c r="N2">
        <f>IF($U2="","",IF(INDEX('Per Invoice'!N$2:N$401,$U2)="","",INDEX('Per Invoice'!N$2:N$401,$U2)))</f>
        <v/>
      </c>
      <c r="O2" s="7">
        <f>IF($U2="","",IF(INDEX('Per Invoice'!O$2:O$401,$U2)="","",INDEX('Per Invoice'!O$2:O$401,$U2)))</f>
        <v/>
      </c>
      <c r="P2" s="7">
        <f>IF($U2="","",IF(INDEX('Per Invoice'!P$2:P$401,$U2)="","",INDEX('Per Invoice'!P$2:P$401,$U2)))</f>
        <v/>
      </c>
      <c r="Q2" s="7">
        <f>IF($U2="","",IF(INDEX('Per Invoice'!Q$2:Q$401,$U2)="","",INDEX('Per Invoice'!Q$2:Q$401,$U2)))</f>
        <v/>
      </c>
      <c r="R2" s="7">
        <f>IF($U2="","",IF(INDEX('Per Invoice'!R$2:R$401,$U2)="","",INDEX('Per Invoice'!R$2:R$401,$U2)))</f>
        <v/>
      </c>
      <c r="S2" s="7">
        <f>IF($U2="","",IF(INDEX('Per Invoice'!S$2:S$401,$U2)="","",INDEX('Per Invoice'!S$2:S$401,$U2)))</f>
        <v/>
      </c>
      <c r="T2" s="7">
        <f>IF($U2="","",IF(INDEX('Per Invoice'!T$2:T$401,$U2)="","",INDEX('Per Invoice'!T$2:T$401,$U2)))</f>
        <v/>
      </c>
      <c r="U2" s="16">
        <f>IFERROR(MATCH(Settings!$C$28&amp;"|"&amp;ROWS($U$2:$U2),'Per Invoice'!$V$2:$V$401,0),"")</f>
        <v/>
      </c>
    </row>
    <row r="3">
      <c r="A3">
        <f>IF($U3="","",IF(INDEX('Per Invoice'!A$2:A$401,$U3)="","",INDEX('Per Invoice'!A$2:A$401,$U3)))</f>
        <v/>
      </c>
      <c r="B3">
        <f>IF($U3="","",IF(INDEX('Per Invoice'!B$2:B$401,$U3)="","",INDEX('Per Invoice'!B$2:B$401,$U3)))</f>
        <v/>
      </c>
      <c r="C3">
        <f>IF($U3="","",IF(INDEX('Per Invoice'!C$2:C$401,$U3)="","",INDEX('Per Invoice'!C$2:C$401,$U3)))</f>
        <v/>
      </c>
      <c r="D3">
        <f>IF($U3="","",IF(INDEX('Per Invoice'!D$2:D$401,$U3)="","",INDEX('Per Invoice'!D$2:D$401,$U3)))</f>
        <v/>
      </c>
      <c r="E3">
        <f>IF($U3="","",IF(INDEX('Per Invoice'!E$2:E$401,$U3)="","",INDEX('Per Invoice'!E$2:E$401,$U3)))</f>
        <v/>
      </c>
      <c r="F3">
        <f>IF($U3="","",IF(INDEX('Per Invoice'!F$2:F$401,$U3)="","",INDEX('Per Invoice'!F$2:F$401,$U3)))</f>
        <v/>
      </c>
      <c r="G3">
        <f>IF($U3="","",IF(INDEX('Per Invoice'!G$2:G$401,$U3)="","",INDEX('Per Invoice'!G$2:G$401,$U3)))</f>
        <v/>
      </c>
      <c r="H3" s="7">
        <f>IF($U3="","",IF(INDEX('Per Invoice'!H$2:H$401,$U3)="","",INDEX('Per Invoice'!H$2:H$401,$U3)))</f>
        <v/>
      </c>
      <c r="I3" s="14">
        <f>IF($U3="","",IF(INDEX('Per Invoice'!I$2:I$401,$U3)="","",INDEX('Per Invoice'!I$2:I$401,$U3)))</f>
        <v/>
      </c>
      <c r="J3">
        <f>IF($U3="","",IF(INDEX('Per Invoice'!J$2:J$401,$U3)="","",INDEX('Per Invoice'!J$2:J$401,$U3)))</f>
        <v/>
      </c>
      <c r="K3">
        <f>IF($U3="","",IF(INDEX('Per Invoice'!K$2:K$401,$U3)="","",INDEX('Per Invoice'!K$2:K$401,$U3)))</f>
        <v/>
      </c>
      <c r="L3" s="7">
        <f>IF($U3="","",IF(INDEX('Per Invoice'!L$2:L$401,$U3)="","",INDEX('Per Invoice'!L$2:L$401,$U3)))</f>
        <v/>
      </c>
      <c r="M3" s="7">
        <f>IF($U3="","",IF(INDEX('Per Invoice'!M$2:M$401,$U3)="","",INDEX('Per Invoice'!M$2:M$401,$U3)))</f>
        <v/>
      </c>
      <c r="N3">
        <f>IF($U3="","",IF(INDEX('Per Invoice'!N$2:N$401,$U3)="","",INDEX('Per Invoice'!N$2:N$401,$U3)))</f>
        <v/>
      </c>
      <c r="O3" s="7">
        <f>IF($U3="","",IF(INDEX('Per Invoice'!O$2:O$401,$U3)="","",INDEX('Per Invoice'!O$2:O$401,$U3)))</f>
        <v/>
      </c>
      <c r="P3" s="7">
        <f>IF($U3="","",IF(INDEX('Per Invoice'!P$2:P$401,$U3)="","",INDEX('Per Invoice'!P$2:P$401,$U3)))</f>
        <v/>
      </c>
      <c r="Q3" s="7">
        <f>IF($U3="","",IF(INDEX('Per Invoice'!Q$2:Q$401,$U3)="","",INDEX('Per Invoice'!Q$2:Q$401,$U3)))</f>
        <v/>
      </c>
      <c r="R3" s="7">
        <f>IF($U3="","",IF(INDEX('Per Invoice'!R$2:R$401,$U3)="","",INDEX('Per Invoice'!R$2:R$401,$U3)))</f>
        <v/>
      </c>
      <c r="S3" s="7">
        <f>IF($U3="","",IF(INDEX('Per Invoice'!S$2:S$401,$U3)="","",INDEX('Per Invoice'!S$2:S$401,$U3)))</f>
        <v/>
      </c>
      <c r="T3" s="7">
        <f>IF($U3="","",IF(INDEX('Per Invoice'!T$2:T$401,$U3)="","",INDEX('Per Invoice'!T$2:T$401,$U3)))</f>
        <v/>
      </c>
      <c r="U3" s="16">
        <f>IFERROR(MATCH(Settings!$C$28&amp;"|"&amp;ROWS($U$2:$U3),'Per Invoice'!$V$2:$V$401,0),"")</f>
        <v/>
      </c>
    </row>
    <row r="4">
      <c r="A4">
        <f>IF($U4="","",IF(INDEX('Per Invoice'!A$2:A$401,$U4)="","",INDEX('Per Invoice'!A$2:A$401,$U4)))</f>
        <v/>
      </c>
      <c r="B4">
        <f>IF($U4="","",IF(INDEX('Per Invoice'!B$2:B$401,$U4)="","",INDEX('Per Invoice'!B$2:B$401,$U4)))</f>
        <v/>
      </c>
      <c r="C4">
        <f>IF($U4="","",IF(INDEX('Per Invoice'!C$2:C$401,$U4)="","",INDEX('Per Invoice'!C$2:C$401,$U4)))</f>
        <v/>
      </c>
      <c r="D4">
        <f>IF($U4="","",IF(INDEX('Per Invoice'!D$2:D$401,$U4)="","",INDEX('Per Invoice'!D$2:D$401,$U4)))</f>
        <v/>
      </c>
      <c r="E4">
        <f>IF($U4="","",IF(INDEX('Per Invoice'!E$2:E$401,$U4)="","",INDEX('Per Invoice'!E$2:E$401,$U4)))</f>
        <v/>
      </c>
      <c r="F4">
        <f>IF($U4="","",IF(INDEX('Per Invoice'!F$2:F$401,$U4)="","",INDEX('Per Invoice'!F$2:F$401,$U4)))</f>
        <v/>
      </c>
      <c r="G4">
        <f>IF($U4="","",IF(INDEX('Per Invoice'!G$2:G$401,$U4)="","",INDEX('Per Invoice'!G$2:G$401,$U4)))</f>
        <v/>
      </c>
      <c r="H4" s="7">
        <f>IF($U4="","",IF(INDEX('Per Invoice'!H$2:H$401,$U4)="","",INDEX('Per Invoice'!H$2:H$401,$U4)))</f>
        <v/>
      </c>
      <c r="I4" s="14">
        <f>IF($U4="","",IF(INDEX('Per Invoice'!I$2:I$401,$U4)="","",INDEX('Per Invoice'!I$2:I$401,$U4)))</f>
        <v/>
      </c>
      <c r="J4">
        <f>IF($U4="","",IF(INDEX('Per Invoice'!J$2:J$401,$U4)="","",INDEX('Per Invoice'!J$2:J$401,$U4)))</f>
        <v/>
      </c>
      <c r="K4">
        <f>IF($U4="","",IF(INDEX('Per Invoice'!K$2:K$401,$U4)="","",INDEX('Per Invoice'!K$2:K$401,$U4)))</f>
        <v/>
      </c>
      <c r="L4" s="7">
        <f>IF($U4="","",IF(INDEX('Per Invoice'!L$2:L$401,$U4)="","",INDEX('Per Invoice'!L$2:L$401,$U4)))</f>
        <v/>
      </c>
      <c r="M4" s="7">
        <f>IF($U4="","",IF(INDEX('Per Invoice'!M$2:M$401,$U4)="","",INDEX('Per Invoice'!M$2:M$401,$U4)))</f>
        <v/>
      </c>
      <c r="N4">
        <f>IF($U4="","",IF(INDEX('Per Invoice'!N$2:N$401,$U4)="","",INDEX('Per Invoice'!N$2:N$401,$U4)))</f>
        <v/>
      </c>
      <c r="O4" s="7">
        <f>IF($U4="","",IF(INDEX('Per Invoice'!O$2:O$401,$U4)="","",INDEX('Per Invoice'!O$2:O$401,$U4)))</f>
        <v/>
      </c>
      <c r="P4" s="7">
        <f>IF($U4="","",IF(INDEX('Per Invoice'!P$2:P$401,$U4)="","",INDEX('Per Invoice'!P$2:P$401,$U4)))</f>
        <v/>
      </c>
      <c r="Q4" s="7">
        <f>IF($U4="","",IF(INDEX('Per Invoice'!Q$2:Q$401,$U4)="","",INDEX('Per Invoice'!Q$2:Q$401,$U4)))</f>
        <v/>
      </c>
      <c r="R4" s="7">
        <f>IF($U4="","",IF(INDEX('Per Invoice'!R$2:R$401,$U4)="","",INDEX('Per Invoice'!R$2:R$401,$U4)))</f>
        <v/>
      </c>
      <c r="S4" s="7">
        <f>IF($U4="","",IF(INDEX('Per Invoice'!S$2:S$401,$U4)="","",INDEX('Per Invoice'!S$2:S$401,$U4)))</f>
        <v/>
      </c>
      <c r="T4" s="7">
        <f>IF($U4="","",IF(INDEX('Per Invoice'!T$2:T$401,$U4)="","",INDEX('Per Invoice'!T$2:T$401,$U4)))</f>
        <v/>
      </c>
      <c r="U4" s="16">
        <f>IFERROR(MATCH(Settings!$C$28&amp;"|"&amp;ROWS($U$2:$U4),'Per Invoice'!$V$2:$V$401,0),"")</f>
        <v/>
      </c>
    </row>
    <row r="5">
      <c r="A5">
        <f>IF($U5="","",IF(INDEX('Per Invoice'!A$2:A$401,$U5)="","",INDEX('Per Invoice'!A$2:A$401,$U5)))</f>
        <v/>
      </c>
      <c r="B5">
        <f>IF($U5="","",IF(INDEX('Per Invoice'!B$2:B$401,$U5)="","",INDEX('Per Invoice'!B$2:B$401,$U5)))</f>
        <v/>
      </c>
      <c r="C5">
        <f>IF($U5="","",IF(INDEX('Per Invoice'!C$2:C$401,$U5)="","",INDEX('Per Invoice'!C$2:C$401,$U5)))</f>
        <v/>
      </c>
      <c r="D5">
        <f>IF($U5="","",IF(INDEX('Per Invoice'!D$2:D$401,$U5)="","",INDEX('Per Invoice'!D$2:D$401,$U5)))</f>
        <v/>
      </c>
      <c r="E5">
        <f>IF($U5="","",IF(INDEX('Per Invoice'!E$2:E$401,$U5)="","",INDEX('Per Invoice'!E$2:E$401,$U5)))</f>
        <v/>
      </c>
      <c r="F5">
        <f>IF($U5="","",IF(INDEX('Per Invoice'!F$2:F$401,$U5)="","",INDEX('Per Invoice'!F$2:F$401,$U5)))</f>
        <v/>
      </c>
      <c r="G5">
        <f>IF($U5="","",IF(INDEX('Per Invoice'!G$2:G$401,$U5)="","",INDEX('Per Invoice'!G$2:G$401,$U5)))</f>
        <v/>
      </c>
      <c r="H5" s="7">
        <f>IF($U5="","",IF(INDEX('Per Invoice'!H$2:H$401,$U5)="","",INDEX('Per Invoice'!H$2:H$401,$U5)))</f>
        <v/>
      </c>
      <c r="I5" s="14">
        <f>IF($U5="","",IF(INDEX('Per Invoice'!I$2:I$401,$U5)="","",INDEX('Per Invoice'!I$2:I$401,$U5)))</f>
        <v/>
      </c>
      <c r="J5">
        <f>IF($U5="","",IF(INDEX('Per Invoice'!J$2:J$401,$U5)="","",INDEX('Per Invoice'!J$2:J$401,$U5)))</f>
        <v/>
      </c>
      <c r="K5">
        <f>IF($U5="","",IF(INDEX('Per Invoice'!K$2:K$401,$U5)="","",INDEX('Per Invoice'!K$2:K$401,$U5)))</f>
        <v/>
      </c>
      <c r="L5" s="7">
        <f>IF($U5="","",IF(INDEX('Per Invoice'!L$2:L$401,$U5)="","",INDEX('Per Invoice'!L$2:L$401,$U5)))</f>
        <v/>
      </c>
      <c r="M5" s="7">
        <f>IF($U5="","",IF(INDEX('Per Invoice'!M$2:M$401,$U5)="","",INDEX('Per Invoice'!M$2:M$401,$U5)))</f>
        <v/>
      </c>
      <c r="N5">
        <f>IF($U5="","",IF(INDEX('Per Invoice'!N$2:N$401,$U5)="","",INDEX('Per Invoice'!N$2:N$401,$U5)))</f>
        <v/>
      </c>
      <c r="O5" s="7">
        <f>IF($U5="","",IF(INDEX('Per Invoice'!O$2:O$401,$U5)="","",INDEX('Per Invoice'!O$2:O$401,$U5)))</f>
        <v/>
      </c>
      <c r="P5" s="7">
        <f>IF($U5="","",IF(INDEX('Per Invoice'!P$2:P$401,$U5)="","",INDEX('Per Invoice'!P$2:P$401,$U5)))</f>
        <v/>
      </c>
      <c r="Q5" s="7">
        <f>IF($U5="","",IF(INDEX('Per Invoice'!Q$2:Q$401,$U5)="","",INDEX('Per Invoice'!Q$2:Q$401,$U5)))</f>
        <v/>
      </c>
      <c r="R5" s="7">
        <f>IF($U5="","",IF(INDEX('Per Invoice'!R$2:R$401,$U5)="","",INDEX('Per Invoice'!R$2:R$401,$U5)))</f>
        <v/>
      </c>
      <c r="S5" s="7">
        <f>IF($U5="","",IF(INDEX('Per Invoice'!S$2:S$401,$U5)="","",INDEX('Per Invoice'!S$2:S$401,$U5)))</f>
        <v/>
      </c>
      <c r="T5" s="7">
        <f>IF($U5="","",IF(INDEX('Per Invoice'!T$2:T$401,$U5)="","",INDEX('Per Invoice'!T$2:T$401,$U5)))</f>
        <v/>
      </c>
      <c r="U5" s="16">
        <f>IFERROR(MATCH(Settings!$C$28&amp;"|"&amp;ROWS($U$2:$U5),'Per Invoice'!$V$2:$V$401,0),"")</f>
        <v/>
      </c>
    </row>
    <row r="6">
      <c r="A6">
        <f>IF($U6="","",IF(INDEX('Per Invoice'!A$2:A$401,$U6)="","",INDEX('Per Invoice'!A$2:A$401,$U6)))</f>
        <v/>
      </c>
      <c r="B6">
        <f>IF($U6="","",IF(INDEX('Per Invoice'!B$2:B$401,$U6)="","",INDEX('Per Invoice'!B$2:B$401,$U6)))</f>
        <v/>
      </c>
      <c r="C6">
        <f>IF($U6="","",IF(INDEX('Per Invoice'!C$2:C$401,$U6)="","",INDEX('Per Invoice'!C$2:C$401,$U6)))</f>
        <v/>
      </c>
      <c r="D6">
        <f>IF($U6="","",IF(INDEX('Per Invoice'!D$2:D$401,$U6)="","",INDEX('Per Invoice'!D$2:D$401,$U6)))</f>
        <v/>
      </c>
      <c r="E6">
        <f>IF($U6="","",IF(INDEX('Per Invoice'!E$2:E$401,$U6)="","",INDEX('Per Invoice'!E$2:E$401,$U6)))</f>
        <v/>
      </c>
      <c r="F6">
        <f>IF($U6="","",IF(INDEX('Per Invoice'!F$2:F$401,$U6)="","",INDEX('Per Invoice'!F$2:F$401,$U6)))</f>
        <v/>
      </c>
      <c r="G6">
        <f>IF($U6="","",IF(INDEX('Per Invoice'!G$2:G$401,$U6)="","",INDEX('Per Invoice'!G$2:G$401,$U6)))</f>
        <v/>
      </c>
      <c r="H6" s="7">
        <f>IF($U6="","",IF(INDEX('Per Invoice'!H$2:H$401,$U6)="","",INDEX('Per Invoice'!H$2:H$401,$U6)))</f>
        <v/>
      </c>
      <c r="I6" s="14">
        <f>IF($U6="","",IF(INDEX('Per Invoice'!I$2:I$401,$U6)="","",INDEX('Per Invoice'!I$2:I$401,$U6)))</f>
        <v/>
      </c>
      <c r="J6">
        <f>IF($U6="","",IF(INDEX('Per Invoice'!J$2:J$401,$U6)="","",INDEX('Per Invoice'!J$2:J$401,$U6)))</f>
        <v/>
      </c>
      <c r="K6">
        <f>IF($U6="","",IF(INDEX('Per Invoice'!K$2:K$401,$U6)="","",INDEX('Per Invoice'!K$2:K$401,$U6)))</f>
        <v/>
      </c>
      <c r="L6" s="7">
        <f>IF($U6="","",IF(INDEX('Per Invoice'!L$2:L$401,$U6)="","",INDEX('Per Invoice'!L$2:L$401,$U6)))</f>
        <v/>
      </c>
      <c r="M6" s="7">
        <f>IF($U6="","",IF(INDEX('Per Invoice'!M$2:M$401,$U6)="","",INDEX('Per Invoice'!M$2:M$401,$U6)))</f>
        <v/>
      </c>
      <c r="N6">
        <f>IF($U6="","",IF(INDEX('Per Invoice'!N$2:N$401,$U6)="","",INDEX('Per Invoice'!N$2:N$401,$U6)))</f>
        <v/>
      </c>
      <c r="O6" s="7">
        <f>IF($U6="","",IF(INDEX('Per Invoice'!O$2:O$401,$U6)="","",INDEX('Per Invoice'!O$2:O$401,$U6)))</f>
        <v/>
      </c>
      <c r="P6" s="7">
        <f>IF($U6="","",IF(INDEX('Per Invoice'!P$2:P$401,$U6)="","",INDEX('Per Invoice'!P$2:P$401,$U6)))</f>
        <v/>
      </c>
      <c r="Q6" s="7">
        <f>IF($U6="","",IF(INDEX('Per Invoice'!Q$2:Q$401,$U6)="","",INDEX('Per Invoice'!Q$2:Q$401,$U6)))</f>
        <v/>
      </c>
      <c r="R6" s="7">
        <f>IF($U6="","",IF(INDEX('Per Invoice'!R$2:R$401,$U6)="","",INDEX('Per Invoice'!R$2:R$401,$U6)))</f>
        <v/>
      </c>
      <c r="S6" s="7">
        <f>IF($U6="","",IF(INDEX('Per Invoice'!S$2:S$401,$U6)="","",INDEX('Per Invoice'!S$2:S$401,$U6)))</f>
        <v/>
      </c>
      <c r="T6" s="7">
        <f>IF($U6="","",IF(INDEX('Per Invoice'!T$2:T$401,$U6)="","",INDEX('Per Invoice'!T$2:T$401,$U6)))</f>
        <v/>
      </c>
      <c r="U6" s="16">
        <f>IFERROR(MATCH(Settings!$C$28&amp;"|"&amp;ROWS($U$2:$U6),'Per Invoice'!$V$2:$V$401,0),"")</f>
        <v/>
      </c>
    </row>
    <row r="7">
      <c r="A7">
        <f>IF($U7="","",IF(INDEX('Per Invoice'!A$2:A$401,$U7)="","",INDEX('Per Invoice'!A$2:A$401,$U7)))</f>
        <v/>
      </c>
      <c r="B7">
        <f>IF($U7="","",IF(INDEX('Per Invoice'!B$2:B$401,$U7)="","",INDEX('Per Invoice'!B$2:B$401,$U7)))</f>
        <v/>
      </c>
      <c r="C7">
        <f>IF($U7="","",IF(INDEX('Per Invoice'!C$2:C$401,$U7)="","",INDEX('Per Invoice'!C$2:C$401,$U7)))</f>
        <v/>
      </c>
      <c r="D7">
        <f>IF($U7="","",IF(INDEX('Per Invoice'!D$2:D$401,$U7)="","",INDEX('Per Invoice'!D$2:D$401,$U7)))</f>
        <v/>
      </c>
      <c r="E7">
        <f>IF($U7="","",IF(INDEX('Per Invoice'!E$2:E$401,$U7)="","",INDEX('Per Invoice'!E$2:E$401,$U7)))</f>
        <v/>
      </c>
      <c r="F7">
        <f>IF($U7="","",IF(INDEX('Per Invoice'!F$2:F$401,$U7)="","",INDEX('Per Invoice'!F$2:F$401,$U7)))</f>
        <v/>
      </c>
      <c r="G7">
        <f>IF($U7="","",IF(INDEX('Per Invoice'!G$2:G$401,$U7)="","",INDEX('Per Invoice'!G$2:G$401,$U7)))</f>
        <v/>
      </c>
      <c r="H7" s="7">
        <f>IF($U7="","",IF(INDEX('Per Invoice'!H$2:H$401,$U7)="","",INDEX('Per Invoice'!H$2:H$401,$U7)))</f>
        <v/>
      </c>
      <c r="I7" s="14">
        <f>IF($U7="","",IF(INDEX('Per Invoice'!I$2:I$401,$U7)="","",INDEX('Per Invoice'!I$2:I$401,$U7)))</f>
        <v/>
      </c>
      <c r="J7">
        <f>IF($U7="","",IF(INDEX('Per Invoice'!J$2:J$401,$U7)="","",INDEX('Per Invoice'!J$2:J$401,$U7)))</f>
        <v/>
      </c>
      <c r="K7">
        <f>IF($U7="","",IF(INDEX('Per Invoice'!K$2:K$401,$U7)="","",INDEX('Per Invoice'!K$2:K$401,$U7)))</f>
        <v/>
      </c>
      <c r="L7" s="7">
        <f>IF($U7="","",IF(INDEX('Per Invoice'!L$2:L$401,$U7)="","",INDEX('Per Invoice'!L$2:L$401,$U7)))</f>
        <v/>
      </c>
      <c r="M7" s="7">
        <f>IF($U7="","",IF(INDEX('Per Invoice'!M$2:M$401,$U7)="","",INDEX('Per Invoice'!M$2:M$401,$U7)))</f>
        <v/>
      </c>
      <c r="N7">
        <f>IF($U7="","",IF(INDEX('Per Invoice'!N$2:N$401,$U7)="","",INDEX('Per Invoice'!N$2:N$401,$U7)))</f>
        <v/>
      </c>
      <c r="O7" s="7">
        <f>IF($U7="","",IF(INDEX('Per Invoice'!O$2:O$401,$U7)="","",INDEX('Per Invoice'!O$2:O$401,$U7)))</f>
        <v/>
      </c>
      <c r="P7" s="7">
        <f>IF($U7="","",IF(INDEX('Per Invoice'!P$2:P$401,$U7)="","",INDEX('Per Invoice'!P$2:P$401,$U7)))</f>
        <v/>
      </c>
      <c r="Q7" s="7">
        <f>IF($U7="","",IF(INDEX('Per Invoice'!Q$2:Q$401,$U7)="","",INDEX('Per Invoice'!Q$2:Q$401,$U7)))</f>
        <v/>
      </c>
      <c r="R7" s="7">
        <f>IF($U7="","",IF(INDEX('Per Invoice'!R$2:R$401,$U7)="","",INDEX('Per Invoice'!R$2:R$401,$U7)))</f>
        <v/>
      </c>
      <c r="S7" s="7">
        <f>IF($U7="","",IF(INDEX('Per Invoice'!S$2:S$401,$U7)="","",INDEX('Per Invoice'!S$2:S$401,$U7)))</f>
        <v/>
      </c>
      <c r="T7" s="7">
        <f>IF($U7="","",IF(INDEX('Per Invoice'!T$2:T$401,$U7)="","",INDEX('Per Invoice'!T$2:T$401,$U7)))</f>
        <v/>
      </c>
      <c r="U7" s="16">
        <f>IFERROR(MATCH(Settings!$C$28&amp;"|"&amp;ROWS($U$2:$U7),'Per Invoice'!$V$2:$V$401,0),"")</f>
        <v/>
      </c>
    </row>
    <row r="8">
      <c r="A8">
        <f>IF($U8="","",IF(INDEX('Per Invoice'!A$2:A$401,$U8)="","",INDEX('Per Invoice'!A$2:A$401,$U8)))</f>
        <v/>
      </c>
      <c r="B8">
        <f>IF($U8="","",IF(INDEX('Per Invoice'!B$2:B$401,$U8)="","",INDEX('Per Invoice'!B$2:B$401,$U8)))</f>
        <v/>
      </c>
      <c r="C8">
        <f>IF($U8="","",IF(INDEX('Per Invoice'!C$2:C$401,$U8)="","",INDEX('Per Invoice'!C$2:C$401,$U8)))</f>
        <v/>
      </c>
      <c r="D8">
        <f>IF($U8="","",IF(INDEX('Per Invoice'!D$2:D$401,$U8)="","",INDEX('Per Invoice'!D$2:D$401,$U8)))</f>
        <v/>
      </c>
      <c r="E8">
        <f>IF($U8="","",IF(INDEX('Per Invoice'!E$2:E$401,$U8)="","",INDEX('Per Invoice'!E$2:E$401,$U8)))</f>
        <v/>
      </c>
      <c r="F8">
        <f>IF($U8="","",IF(INDEX('Per Invoice'!F$2:F$401,$U8)="","",INDEX('Per Invoice'!F$2:F$401,$U8)))</f>
        <v/>
      </c>
      <c r="G8">
        <f>IF($U8="","",IF(INDEX('Per Invoice'!G$2:G$401,$U8)="","",INDEX('Per Invoice'!G$2:G$401,$U8)))</f>
        <v/>
      </c>
      <c r="H8" s="7">
        <f>IF($U8="","",IF(INDEX('Per Invoice'!H$2:H$401,$U8)="","",INDEX('Per Invoice'!H$2:H$401,$U8)))</f>
        <v/>
      </c>
      <c r="I8" s="14">
        <f>IF($U8="","",IF(INDEX('Per Invoice'!I$2:I$401,$U8)="","",INDEX('Per Invoice'!I$2:I$401,$U8)))</f>
        <v/>
      </c>
      <c r="J8">
        <f>IF($U8="","",IF(INDEX('Per Invoice'!J$2:J$401,$U8)="","",INDEX('Per Invoice'!J$2:J$401,$U8)))</f>
        <v/>
      </c>
      <c r="K8">
        <f>IF($U8="","",IF(INDEX('Per Invoice'!K$2:K$401,$U8)="","",INDEX('Per Invoice'!K$2:K$401,$U8)))</f>
        <v/>
      </c>
      <c r="L8" s="7">
        <f>IF($U8="","",IF(INDEX('Per Invoice'!L$2:L$401,$U8)="","",INDEX('Per Invoice'!L$2:L$401,$U8)))</f>
        <v/>
      </c>
      <c r="M8" s="7">
        <f>IF($U8="","",IF(INDEX('Per Invoice'!M$2:M$401,$U8)="","",INDEX('Per Invoice'!M$2:M$401,$U8)))</f>
        <v/>
      </c>
      <c r="N8">
        <f>IF($U8="","",IF(INDEX('Per Invoice'!N$2:N$401,$U8)="","",INDEX('Per Invoice'!N$2:N$401,$U8)))</f>
        <v/>
      </c>
      <c r="O8" s="7">
        <f>IF($U8="","",IF(INDEX('Per Invoice'!O$2:O$401,$U8)="","",INDEX('Per Invoice'!O$2:O$401,$U8)))</f>
        <v/>
      </c>
      <c r="P8" s="7">
        <f>IF($U8="","",IF(INDEX('Per Invoice'!P$2:P$401,$U8)="","",INDEX('Per Invoice'!P$2:P$401,$U8)))</f>
        <v/>
      </c>
      <c r="Q8" s="7">
        <f>IF($U8="","",IF(INDEX('Per Invoice'!Q$2:Q$401,$U8)="","",INDEX('Per Invoice'!Q$2:Q$401,$U8)))</f>
        <v/>
      </c>
      <c r="R8" s="7">
        <f>IF($U8="","",IF(INDEX('Per Invoice'!R$2:R$401,$U8)="","",INDEX('Per Invoice'!R$2:R$401,$U8)))</f>
        <v/>
      </c>
      <c r="S8" s="7">
        <f>IF($U8="","",IF(INDEX('Per Invoice'!S$2:S$401,$U8)="","",INDEX('Per Invoice'!S$2:S$401,$U8)))</f>
        <v/>
      </c>
      <c r="T8" s="7">
        <f>IF($U8="","",IF(INDEX('Per Invoice'!T$2:T$401,$U8)="","",INDEX('Per Invoice'!T$2:T$401,$U8)))</f>
        <v/>
      </c>
      <c r="U8" s="16">
        <f>IFERROR(MATCH(Settings!$C$28&amp;"|"&amp;ROWS($U$2:$U8),'Per Invoice'!$V$2:$V$401,0),"")</f>
        <v/>
      </c>
    </row>
    <row r="9">
      <c r="A9">
        <f>IF($U9="","",IF(INDEX('Per Invoice'!A$2:A$401,$U9)="","",INDEX('Per Invoice'!A$2:A$401,$U9)))</f>
        <v/>
      </c>
      <c r="B9">
        <f>IF($U9="","",IF(INDEX('Per Invoice'!B$2:B$401,$U9)="","",INDEX('Per Invoice'!B$2:B$401,$U9)))</f>
        <v/>
      </c>
      <c r="C9">
        <f>IF($U9="","",IF(INDEX('Per Invoice'!C$2:C$401,$U9)="","",INDEX('Per Invoice'!C$2:C$401,$U9)))</f>
        <v/>
      </c>
      <c r="D9">
        <f>IF($U9="","",IF(INDEX('Per Invoice'!D$2:D$401,$U9)="","",INDEX('Per Invoice'!D$2:D$401,$U9)))</f>
        <v/>
      </c>
      <c r="E9">
        <f>IF($U9="","",IF(INDEX('Per Invoice'!E$2:E$401,$U9)="","",INDEX('Per Invoice'!E$2:E$401,$U9)))</f>
        <v/>
      </c>
      <c r="F9">
        <f>IF($U9="","",IF(INDEX('Per Invoice'!F$2:F$401,$U9)="","",INDEX('Per Invoice'!F$2:F$401,$U9)))</f>
        <v/>
      </c>
      <c r="G9">
        <f>IF($U9="","",IF(INDEX('Per Invoice'!G$2:G$401,$U9)="","",INDEX('Per Invoice'!G$2:G$401,$U9)))</f>
        <v/>
      </c>
      <c r="H9" s="7">
        <f>IF($U9="","",IF(INDEX('Per Invoice'!H$2:H$401,$U9)="","",INDEX('Per Invoice'!H$2:H$401,$U9)))</f>
        <v/>
      </c>
      <c r="I9" s="14">
        <f>IF($U9="","",IF(INDEX('Per Invoice'!I$2:I$401,$U9)="","",INDEX('Per Invoice'!I$2:I$401,$U9)))</f>
        <v/>
      </c>
      <c r="J9">
        <f>IF($U9="","",IF(INDEX('Per Invoice'!J$2:J$401,$U9)="","",INDEX('Per Invoice'!J$2:J$401,$U9)))</f>
        <v/>
      </c>
      <c r="K9">
        <f>IF($U9="","",IF(INDEX('Per Invoice'!K$2:K$401,$U9)="","",INDEX('Per Invoice'!K$2:K$401,$U9)))</f>
        <v/>
      </c>
      <c r="L9" s="7">
        <f>IF($U9="","",IF(INDEX('Per Invoice'!L$2:L$401,$U9)="","",INDEX('Per Invoice'!L$2:L$401,$U9)))</f>
        <v/>
      </c>
      <c r="M9" s="7">
        <f>IF($U9="","",IF(INDEX('Per Invoice'!M$2:M$401,$U9)="","",INDEX('Per Invoice'!M$2:M$401,$U9)))</f>
        <v/>
      </c>
      <c r="N9">
        <f>IF($U9="","",IF(INDEX('Per Invoice'!N$2:N$401,$U9)="","",INDEX('Per Invoice'!N$2:N$401,$U9)))</f>
        <v/>
      </c>
      <c r="O9" s="7">
        <f>IF($U9="","",IF(INDEX('Per Invoice'!O$2:O$401,$U9)="","",INDEX('Per Invoice'!O$2:O$401,$U9)))</f>
        <v/>
      </c>
      <c r="P9" s="7">
        <f>IF($U9="","",IF(INDEX('Per Invoice'!P$2:P$401,$U9)="","",INDEX('Per Invoice'!P$2:P$401,$U9)))</f>
        <v/>
      </c>
      <c r="Q9" s="7">
        <f>IF($U9="","",IF(INDEX('Per Invoice'!Q$2:Q$401,$U9)="","",INDEX('Per Invoice'!Q$2:Q$401,$U9)))</f>
        <v/>
      </c>
      <c r="R9" s="7">
        <f>IF($U9="","",IF(INDEX('Per Invoice'!R$2:R$401,$U9)="","",INDEX('Per Invoice'!R$2:R$401,$U9)))</f>
        <v/>
      </c>
      <c r="S9" s="7">
        <f>IF($U9="","",IF(INDEX('Per Invoice'!S$2:S$401,$U9)="","",INDEX('Per Invoice'!S$2:S$401,$U9)))</f>
        <v/>
      </c>
      <c r="T9" s="7">
        <f>IF($U9="","",IF(INDEX('Per Invoice'!T$2:T$401,$U9)="","",INDEX('Per Invoice'!T$2:T$401,$U9)))</f>
        <v/>
      </c>
      <c r="U9" s="16">
        <f>IFERROR(MATCH(Settings!$C$28&amp;"|"&amp;ROWS($U$2:$U9),'Per Invoice'!$V$2:$V$401,0),"")</f>
        <v/>
      </c>
    </row>
    <row r="10">
      <c r="A10">
        <f>IF($U10="","",IF(INDEX('Per Invoice'!A$2:A$401,$U10)="","",INDEX('Per Invoice'!A$2:A$401,$U10)))</f>
        <v/>
      </c>
      <c r="B10">
        <f>IF($U10="","",IF(INDEX('Per Invoice'!B$2:B$401,$U10)="","",INDEX('Per Invoice'!B$2:B$401,$U10)))</f>
        <v/>
      </c>
      <c r="C10">
        <f>IF($U10="","",IF(INDEX('Per Invoice'!C$2:C$401,$U10)="","",INDEX('Per Invoice'!C$2:C$401,$U10)))</f>
        <v/>
      </c>
      <c r="D10">
        <f>IF($U10="","",IF(INDEX('Per Invoice'!D$2:D$401,$U10)="","",INDEX('Per Invoice'!D$2:D$401,$U10)))</f>
        <v/>
      </c>
      <c r="E10">
        <f>IF($U10="","",IF(INDEX('Per Invoice'!E$2:E$401,$U10)="","",INDEX('Per Invoice'!E$2:E$401,$U10)))</f>
        <v/>
      </c>
      <c r="F10">
        <f>IF($U10="","",IF(INDEX('Per Invoice'!F$2:F$401,$U10)="","",INDEX('Per Invoice'!F$2:F$401,$U10)))</f>
        <v/>
      </c>
      <c r="G10">
        <f>IF($U10="","",IF(INDEX('Per Invoice'!G$2:G$401,$U10)="","",INDEX('Per Invoice'!G$2:G$401,$U10)))</f>
        <v/>
      </c>
      <c r="H10" s="7">
        <f>IF($U10="","",IF(INDEX('Per Invoice'!H$2:H$401,$U10)="","",INDEX('Per Invoice'!H$2:H$401,$U10)))</f>
        <v/>
      </c>
      <c r="I10" s="14">
        <f>IF($U10="","",IF(INDEX('Per Invoice'!I$2:I$401,$U10)="","",INDEX('Per Invoice'!I$2:I$401,$U10)))</f>
        <v/>
      </c>
      <c r="J10">
        <f>IF($U10="","",IF(INDEX('Per Invoice'!J$2:J$401,$U10)="","",INDEX('Per Invoice'!J$2:J$401,$U10)))</f>
        <v/>
      </c>
      <c r="K10">
        <f>IF($U10="","",IF(INDEX('Per Invoice'!K$2:K$401,$U10)="","",INDEX('Per Invoice'!K$2:K$401,$U10)))</f>
        <v/>
      </c>
      <c r="L10" s="7">
        <f>IF($U10="","",IF(INDEX('Per Invoice'!L$2:L$401,$U10)="","",INDEX('Per Invoice'!L$2:L$401,$U10)))</f>
        <v/>
      </c>
      <c r="M10" s="7">
        <f>IF($U10="","",IF(INDEX('Per Invoice'!M$2:M$401,$U10)="","",INDEX('Per Invoice'!M$2:M$401,$U10)))</f>
        <v/>
      </c>
      <c r="N10">
        <f>IF($U10="","",IF(INDEX('Per Invoice'!N$2:N$401,$U10)="","",INDEX('Per Invoice'!N$2:N$401,$U10)))</f>
        <v/>
      </c>
      <c r="O10" s="7">
        <f>IF($U10="","",IF(INDEX('Per Invoice'!O$2:O$401,$U10)="","",INDEX('Per Invoice'!O$2:O$401,$U10)))</f>
        <v/>
      </c>
      <c r="P10" s="7">
        <f>IF($U10="","",IF(INDEX('Per Invoice'!P$2:P$401,$U10)="","",INDEX('Per Invoice'!P$2:P$401,$U10)))</f>
        <v/>
      </c>
      <c r="Q10" s="7">
        <f>IF($U10="","",IF(INDEX('Per Invoice'!Q$2:Q$401,$U10)="","",INDEX('Per Invoice'!Q$2:Q$401,$U10)))</f>
        <v/>
      </c>
      <c r="R10" s="7">
        <f>IF($U10="","",IF(INDEX('Per Invoice'!R$2:R$401,$U10)="","",INDEX('Per Invoice'!R$2:R$401,$U10)))</f>
        <v/>
      </c>
      <c r="S10" s="7">
        <f>IF($U10="","",IF(INDEX('Per Invoice'!S$2:S$401,$U10)="","",INDEX('Per Invoice'!S$2:S$401,$U10)))</f>
        <v/>
      </c>
      <c r="T10" s="7">
        <f>IF($U10="","",IF(INDEX('Per Invoice'!T$2:T$401,$U10)="","",INDEX('Per Invoice'!T$2:T$401,$U10)))</f>
        <v/>
      </c>
      <c r="U10" s="16">
        <f>IFERROR(MATCH(Settings!$C$28&amp;"|"&amp;ROWS($U$2:$U10),'Per Invoice'!$V$2:$V$401,0),"")</f>
        <v/>
      </c>
    </row>
    <row r="11">
      <c r="A11">
        <f>IF($U11="","",IF(INDEX('Per Invoice'!A$2:A$401,$U11)="","",INDEX('Per Invoice'!A$2:A$401,$U11)))</f>
        <v/>
      </c>
      <c r="B11">
        <f>IF($U11="","",IF(INDEX('Per Invoice'!B$2:B$401,$U11)="","",INDEX('Per Invoice'!B$2:B$401,$U11)))</f>
        <v/>
      </c>
      <c r="C11">
        <f>IF($U11="","",IF(INDEX('Per Invoice'!C$2:C$401,$U11)="","",INDEX('Per Invoice'!C$2:C$401,$U11)))</f>
        <v/>
      </c>
      <c r="D11">
        <f>IF($U11="","",IF(INDEX('Per Invoice'!D$2:D$401,$U11)="","",INDEX('Per Invoice'!D$2:D$401,$U11)))</f>
        <v/>
      </c>
      <c r="E11">
        <f>IF($U11="","",IF(INDEX('Per Invoice'!E$2:E$401,$U11)="","",INDEX('Per Invoice'!E$2:E$401,$U11)))</f>
        <v/>
      </c>
      <c r="F11">
        <f>IF($U11="","",IF(INDEX('Per Invoice'!F$2:F$401,$U11)="","",INDEX('Per Invoice'!F$2:F$401,$U11)))</f>
        <v/>
      </c>
      <c r="G11">
        <f>IF($U11="","",IF(INDEX('Per Invoice'!G$2:G$401,$U11)="","",INDEX('Per Invoice'!G$2:G$401,$U11)))</f>
        <v/>
      </c>
      <c r="H11" s="7">
        <f>IF($U11="","",IF(INDEX('Per Invoice'!H$2:H$401,$U11)="","",INDEX('Per Invoice'!H$2:H$401,$U11)))</f>
        <v/>
      </c>
      <c r="I11" s="14">
        <f>IF($U11="","",IF(INDEX('Per Invoice'!I$2:I$401,$U11)="","",INDEX('Per Invoice'!I$2:I$401,$U11)))</f>
        <v/>
      </c>
      <c r="J11">
        <f>IF($U11="","",IF(INDEX('Per Invoice'!J$2:J$401,$U11)="","",INDEX('Per Invoice'!J$2:J$401,$U11)))</f>
        <v/>
      </c>
      <c r="K11">
        <f>IF($U11="","",IF(INDEX('Per Invoice'!K$2:K$401,$U11)="","",INDEX('Per Invoice'!K$2:K$401,$U11)))</f>
        <v/>
      </c>
      <c r="L11" s="7">
        <f>IF($U11="","",IF(INDEX('Per Invoice'!L$2:L$401,$U11)="","",INDEX('Per Invoice'!L$2:L$401,$U11)))</f>
        <v/>
      </c>
      <c r="M11" s="7">
        <f>IF($U11="","",IF(INDEX('Per Invoice'!M$2:M$401,$U11)="","",INDEX('Per Invoice'!M$2:M$401,$U11)))</f>
        <v/>
      </c>
      <c r="N11">
        <f>IF($U11="","",IF(INDEX('Per Invoice'!N$2:N$401,$U11)="","",INDEX('Per Invoice'!N$2:N$401,$U11)))</f>
        <v/>
      </c>
      <c r="O11" s="7">
        <f>IF($U11="","",IF(INDEX('Per Invoice'!O$2:O$401,$U11)="","",INDEX('Per Invoice'!O$2:O$401,$U11)))</f>
        <v/>
      </c>
      <c r="P11" s="7">
        <f>IF($U11="","",IF(INDEX('Per Invoice'!P$2:P$401,$U11)="","",INDEX('Per Invoice'!P$2:P$401,$U11)))</f>
        <v/>
      </c>
      <c r="Q11" s="7">
        <f>IF($U11="","",IF(INDEX('Per Invoice'!Q$2:Q$401,$U11)="","",INDEX('Per Invoice'!Q$2:Q$401,$U11)))</f>
        <v/>
      </c>
      <c r="R11" s="7">
        <f>IF($U11="","",IF(INDEX('Per Invoice'!R$2:R$401,$U11)="","",INDEX('Per Invoice'!R$2:R$401,$U11)))</f>
        <v/>
      </c>
      <c r="S11" s="7">
        <f>IF($U11="","",IF(INDEX('Per Invoice'!S$2:S$401,$U11)="","",INDEX('Per Invoice'!S$2:S$401,$U11)))</f>
        <v/>
      </c>
      <c r="T11" s="7">
        <f>IF($U11="","",IF(INDEX('Per Invoice'!T$2:T$401,$U11)="","",INDEX('Per Invoice'!T$2:T$401,$U11)))</f>
        <v/>
      </c>
      <c r="U11" s="16">
        <f>IFERROR(MATCH(Settings!$C$28&amp;"|"&amp;ROWS($U$2:$U11),'Per Invoice'!$V$2:$V$401,0),"")</f>
        <v/>
      </c>
    </row>
    <row r="12">
      <c r="A12">
        <f>IF($U12="","",IF(INDEX('Per Invoice'!A$2:A$401,$U12)="","",INDEX('Per Invoice'!A$2:A$401,$U12)))</f>
        <v/>
      </c>
      <c r="B12">
        <f>IF($U12="","",IF(INDEX('Per Invoice'!B$2:B$401,$U12)="","",INDEX('Per Invoice'!B$2:B$401,$U12)))</f>
        <v/>
      </c>
      <c r="C12">
        <f>IF($U12="","",IF(INDEX('Per Invoice'!C$2:C$401,$U12)="","",INDEX('Per Invoice'!C$2:C$401,$U12)))</f>
        <v/>
      </c>
      <c r="D12">
        <f>IF($U12="","",IF(INDEX('Per Invoice'!D$2:D$401,$U12)="","",INDEX('Per Invoice'!D$2:D$401,$U12)))</f>
        <v/>
      </c>
      <c r="E12">
        <f>IF($U12="","",IF(INDEX('Per Invoice'!E$2:E$401,$U12)="","",INDEX('Per Invoice'!E$2:E$401,$U12)))</f>
        <v/>
      </c>
      <c r="F12">
        <f>IF($U12="","",IF(INDEX('Per Invoice'!F$2:F$401,$U12)="","",INDEX('Per Invoice'!F$2:F$401,$U12)))</f>
        <v/>
      </c>
      <c r="G12">
        <f>IF($U12="","",IF(INDEX('Per Invoice'!G$2:G$401,$U12)="","",INDEX('Per Invoice'!G$2:G$401,$U12)))</f>
        <v/>
      </c>
      <c r="H12" s="7">
        <f>IF($U12="","",IF(INDEX('Per Invoice'!H$2:H$401,$U12)="","",INDEX('Per Invoice'!H$2:H$401,$U12)))</f>
        <v/>
      </c>
      <c r="I12" s="14">
        <f>IF($U12="","",IF(INDEX('Per Invoice'!I$2:I$401,$U12)="","",INDEX('Per Invoice'!I$2:I$401,$U12)))</f>
        <v/>
      </c>
      <c r="J12">
        <f>IF($U12="","",IF(INDEX('Per Invoice'!J$2:J$401,$U12)="","",INDEX('Per Invoice'!J$2:J$401,$U12)))</f>
        <v/>
      </c>
      <c r="K12">
        <f>IF($U12="","",IF(INDEX('Per Invoice'!K$2:K$401,$U12)="","",INDEX('Per Invoice'!K$2:K$401,$U12)))</f>
        <v/>
      </c>
      <c r="L12" s="7">
        <f>IF($U12="","",IF(INDEX('Per Invoice'!L$2:L$401,$U12)="","",INDEX('Per Invoice'!L$2:L$401,$U12)))</f>
        <v/>
      </c>
      <c r="M12" s="7">
        <f>IF($U12="","",IF(INDEX('Per Invoice'!M$2:M$401,$U12)="","",INDEX('Per Invoice'!M$2:M$401,$U12)))</f>
        <v/>
      </c>
      <c r="N12">
        <f>IF($U12="","",IF(INDEX('Per Invoice'!N$2:N$401,$U12)="","",INDEX('Per Invoice'!N$2:N$401,$U12)))</f>
        <v/>
      </c>
      <c r="O12" s="7">
        <f>IF($U12="","",IF(INDEX('Per Invoice'!O$2:O$401,$U12)="","",INDEX('Per Invoice'!O$2:O$401,$U12)))</f>
        <v/>
      </c>
      <c r="P12" s="7">
        <f>IF($U12="","",IF(INDEX('Per Invoice'!P$2:P$401,$U12)="","",INDEX('Per Invoice'!P$2:P$401,$U12)))</f>
        <v/>
      </c>
      <c r="Q12" s="7">
        <f>IF($U12="","",IF(INDEX('Per Invoice'!Q$2:Q$401,$U12)="","",INDEX('Per Invoice'!Q$2:Q$401,$U12)))</f>
        <v/>
      </c>
      <c r="R12" s="7">
        <f>IF($U12="","",IF(INDEX('Per Invoice'!R$2:R$401,$U12)="","",INDEX('Per Invoice'!R$2:R$401,$U12)))</f>
        <v/>
      </c>
      <c r="S12" s="7">
        <f>IF($U12="","",IF(INDEX('Per Invoice'!S$2:S$401,$U12)="","",INDEX('Per Invoice'!S$2:S$401,$U12)))</f>
        <v/>
      </c>
      <c r="T12" s="7">
        <f>IF($U12="","",IF(INDEX('Per Invoice'!T$2:T$401,$U12)="","",INDEX('Per Invoice'!T$2:T$401,$U12)))</f>
        <v/>
      </c>
      <c r="U12" s="16">
        <f>IFERROR(MATCH(Settings!$C$28&amp;"|"&amp;ROWS($U$2:$U12),'Per Invoice'!$V$2:$V$401,0),"")</f>
        <v/>
      </c>
    </row>
    <row r="13">
      <c r="A13">
        <f>IF($U13="","",IF(INDEX('Per Invoice'!A$2:A$401,$U13)="","",INDEX('Per Invoice'!A$2:A$401,$U13)))</f>
        <v/>
      </c>
      <c r="B13">
        <f>IF($U13="","",IF(INDEX('Per Invoice'!B$2:B$401,$U13)="","",INDEX('Per Invoice'!B$2:B$401,$U13)))</f>
        <v/>
      </c>
      <c r="C13">
        <f>IF($U13="","",IF(INDEX('Per Invoice'!C$2:C$401,$U13)="","",INDEX('Per Invoice'!C$2:C$401,$U13)))</f>
        <v/>
      </c>
      <c r="D13">
        <f>IF($U13="","",IF(INDEX('Per Invoice'!D$2:D$401,$U13)="","",INDEX('Per Invoice'!D$2:D$401,$U13)))</f>
        <v/>
      </c>
      <c r="E13">
        <f>IF($U13="","",IF(INDEX('Per Invoice'!E$2:E$401,$U13)="","",INDEX('Per Invoice'!E$2:E$401,$U13)))</f>
        <v/>
      </c>
      <c r="F13">
        <f>IF($U13="","",IF(INDEX('Per Invoice'!F$2:F$401,$U13)="","",INDEX('Per Invoice'!F$2:F$401,$U13)))</f>
        <v/>
      </c>
      <c r="G13">
        <f>IF($U13="","",IF(INDEX('Per Invoice'!G$2:G$401,$U13)="","",INDEX('Per Invoice'!G$2:G$401,$U13)))</f>
        <v/>
      </c>
      <c r="H13" s="7">
        <f>IF($U13="","",IF(INDEX('Per Invoice'!H$2:H$401,$U13)="","",INDEX('Per Invoice'!H$2:H$401,$U13)))</f>
        <v/>
      </c>
      <c r="I13" s="14">
        <f>IF($U13="","",IF(INDEX('Per Invoice'!I$2:I$401,$U13)="","",INDEX('Per Invoice'!I$2:I$401,$U13)))</f>
        <v/>
      </c>
      <c r="J13">
        <f>IF($U13="","",IF(INDEX('Per Invoice'!J$2:J$401,$U13)="","",INDEX('Per Invoice'!J$2:J$401,$U13)))</f>
        <v/>
      </c>
      <c r="K13">
        <f>IF($U13="","",IF(INDEX('Per Invoice'!K$2:K$401,$U13)="","",INDEX('Per Invoice'!K$2:K$401,$U13)))</f>
        <v/>
      </c>
      <c r="L13" s="7">
        <f>IF($U13="","",IF(INDEX('Per Invoice'!L$2:L$401,$U13)="","",INDEX('Per Invoice'!L$2:L$401,$U13)))</f>
        <v/>
      </c>
      <c r="M13" s="7">
        <f>IF($U13="","",IF(INDEX('Per Invoice'!M$2:M$401,$U13)="","",INDEX('Per Invoice'!M$2:M$401,$U13)))</f>
        <v/>
      </c>
      <c r="N13">
        <f>IF($U13="","",IF(INDEX('Per Invoice'!N$2:N$401,$U13)="","",INDEX('Per Invoice'!N$2:N$401,$U13)))</f>
        <v/>
      </c>
      <c r="O13" s="7">
        <f>IF($U13="","",IF(INDEX('Per Invoice'!O$2:O$401,$U13)="","",INDEX('Per Invoice'!O$2:O$401,$U13)))</f>
        <v/>
      </c>
      <c r="P13" s="7">
        <f>IF($U13="","",IF(INDEX('Per Invoice'!P$2:P$401,$U13)="","",INDEX('Per Invoice'!P$2:P$401,$U13)))</f>
        <v/>
      </c>
      <c r="Q13" s="7">
        <f>IF($U13="","",IF(INDEX('Per Invoice'!Q$2:Q$401,$U13)="","",INDEX('Per Invoice'!Q$2:Q$401,$U13)))</f>
        <v/>
      </c>
      <c r="R13" s="7">
        <f>IF($U13="","",IF(INDEX('Per Invoice'!R$2:R$401,$U13)="","",INDEX('Per Invoice'!R$2:R$401,$U13)))</f>
        <v/>
      </c>
      <c r="S13" s="7">
        <f>IF($U13="","",IF(INDEX('Per Invoice'!S$2:S$401,$U13)="","",INDEX('Per Invoice'!S$2:S$401,$U13)))</f>
        <v/>
      </c>
      <c r="T13" s="7">
        <f>IF($U13="","",IF(INDEX('Per Invoice'!T$2:T$401,$U13)="","",INDEX('Per Invoice'!T$2:T$401,$U13)))</f>
        <v/>
      </c>
      <c r="U13" s="16">
        <f>IFERROR(MATCH(Settings!$C$28&amp;"|"&amp;ROWS($U$2:$U13),'Per Invoice'!$V$2:$V$401,0),"")</f>
        <v/>
      </c>
    </row>
    <row r="14">
      <c r="A14">
        <f>IF($U14="","",IF(INDEX('Per Invoice'!A$2:A$401,$U14)="","",INDEX('Per Invoice'!A$2:A$401,$U14)))</f>
        <v/>
      </c>
      <c r="B14">
        <f>IF($U14="","",IF(INDEX('Per Invoice'!B$2:B$401,$U14)="","",INDEX('Per Invoice'!B$2:B$401,$U14)))</f>
        <v/>
      </c>
      <c r="C14">
        <f>IF($U14="","",IF(INDEX('Per Invoice'!C$2:C$401,$U14)="","",INDEX('Per Invoice'!C$2:C$401,$U14)))</f>
        <v/>
      </c>
      <c r="D14">
        <f>IF($U14="","",IF(INDEX('Per Invoice'!D$2:D$401,$U14)="","",INDEX('Per Invoice'!D$2:D$401,$U14)))</f>
        <v/>
      </c>
      <c r="E14">
        <f>IF($U14="","",IF(INDEX('Per Invoice'!E$2:E$401,$U14)="","",INDEX('Per Invoice'!E$2:E$401,$U14)))</f>
        <v/>
      </c>
      <c r="F14">
        <f>IF($U14="","",IF(INDEX('Per Invoice'!F$2:F$401,$U14)="","",INDEX('Per Invoice'!F$2:F$401,$U14)))</f>
        <v/>
      </c>
      <c r="G14">
        <f>IF($U14="","",IF(INDEX('Per Invoice'!G$2:G$401,$U14)="","",INDEX('Per Invoice'!G$2:G$401,$U14)))</f>
        <v/>
      </c>
      <c r="H14" s="7">
        <f>IF($U14="","",IF(INDEX('Per Invoice'!H$2:H$401,$U14)="","",INDEX('Per Invoice'!H$2:H$401,$U14)))</f>
        <v/>
      </c>
      <c r="I14" s="14">
        <f>IF($U14="","",IF(INDEX('Per Invoice'!I$2:I$401,$U14)="","",INDEX('Per Invoice'!I$2:I$401,$U14)))</f>
        <v/>
      </c>
      <c r="J14">
        <f>IF($U14="","",IF(INDEX('Per Invoice'!J$2:J$401,$U14)="","",INDEX('Per Invoice'!J$2:J$401,$U14)))</f>
        <v/>
      </c>
      <c r="K14">
        <f>IF($U14="","",IF(INDEX('Per Invoice'!K$2:K$401,$U14)="","",INDEX('Per Invoice'!K$2:K$401,$U14)))</f>
        <v/>
      </c>
      <c r="L14" s="7">
        <f>IF($U14="","",IF(INDEX('Per Invoice'!L$2:L$401,$U14)="","",INDEX('Per Invoice'!L$2:L$401,$U14)))</f>
        <v/>
      </c>
      <c r="M14" s="7">
        <f>IF($U14="","",IF(INDEX('Per Invoice'!M$2:M$401,$U14)="","",INDEX('Per Invoice'!M$2:M$401,$U14)))</f>
        <v/>
      </c>
      <c r="N14">
        <f>IF($U14="","",IF(INDEX('Per Invoice'!N$2:N$401,$U14)="","",INDEX('Per Invoice'!N$2:N$401,$U14)))</f>
        <v/>
      </c>
      <c r="O14" s="7">
        <f>IF($U14="","",IF(INDEX('Per Invoice'!O$2:O$401,$U14)="","",INDEX('Per Invoice'!O$2:O$401,$U14)))</f>
        <v/>
      </c>
      <c r="P14" s="7">
        <f>IF($U14="","",IF(INDEX('Per Invoice'!P$2:P$401,$U14)="","",INDEX('Per Invoice'!P$2:P$401,$U14)))</f>
        <v/>
      </c>
      <c r="Q14" s="7">
        <f>IF($U14="","",IF(INDEX('Per Invoice'!Q$2:Q$401,$U14)="","",INDEX('Per Invoice'!Q$2:Q$401,$U14)))</f>
        <v/>
      </c>
      <c r="R14" s="7">
        <f>IF($U14="","",IF(INDEX('Per Invoice'!R$2:R$401,$U14)="","",INDEX('Per Invoice'!R$2:R$401,$U14)))</f>
        <v/>
      </c>
      <c r="S14" s="7">
        <f>IF($U14="","",IF(INDEX('Per Invoice'!S$2:S$401,$U14)="","",INDEX('Per Invoice'!S$2:S$401,$U14)))</f>
        <v/>
      </c>
      <c r="T14" s="7">
        <f>IF($U14="","",IF(INDEX('Per Invoice'!T$2:T$401,$U14)="","",INDEX('Per Invoice'!T$2:T$401,$U14)))</f>
        <v/>
      </c>
      <c r="U14" s="16">
        <f>IFERROR(MATCH(Settings!$C$28&amp;"|"&amp;ROWS($U$2:$U14),'Per Invoice'!$V$2:$V$401,0),"")</f>
        <v/>
      </c>
    </row>
    <row r="15">
      <c r="A15">
        <f>IF($U15="","",IF(INDEX('Per Invoice'!A$2:A$401,$U15)="","",INDEX('Per Invoice'!A$2:A$401,$U15)))</f>
        <v/>
      </c>
      <c r="B15">
        <f>IF($U15="","",IF(INDEX('Per Invoice'!B$2:B$401,$U15)="","",INDEX('Per Invoice'!B$2:B$401,$U15)))</f>
        <v/>
      </c>
      <c r="C15">
        <f>IF($U15="","",IF(INDEX('Per Invoice'!C$2:C$401,$U15)="","",INDEX('Per Invoice'!C$2:C$401,$U15)))</f>
        <v/>
      </c>
      <c r="D15">
        <f>IF($U15="","",IF(INDEX('Per Invoice'!D$2:D$401,$U15)="","",INDEX('Per Invoice'!D$2:D$401,$U15)))</f>
        <v/>
      </c>
      <c r="E15">
        <f>IF($U15="","",IF(INDEX('Per Invoice'!E$2:E$401,$U15)="","",INDEX('Per Invoice'!E$2:E$401,$U15)))</f>
        <v/>
      </c>
      <c r="F15">
        <f>IF($U15="","",IF(INDEX('Per Invoice'!F$2:F$401,$U15)="","",INDEX('Per Invoice'!F$2:F$401,$U15)))</f>
        <v/>
      </c>
      <c r="G15">
        <f>IF($U15="","",IF(INDEX('Per Invoice'!G$2:G$401,$U15)="","",INDEX('Per Invoice'!G$2:G$401,$U15)))</f>
        <v/>
      </c>
      <c r="H15" s="7">
        <f>IF($U15="","",IF(INDEX('Per Invoice'!H$2:H$401,$U15)="","",INDEX('Per Invoice'!H$2:H$401,$U15)))</f>
        <v/>
      </c>
      <c r="I15" s="14">
        <f>IF($U15="","",IF(INDEX('Per Invoice'!I$2:I$401,$U15)="","",INDEX('Per Invoice'!I$2:I$401,$U15)))</f>
        <v/>
      </c>
      <c r="J15">
        <f>IF($U15="","",IF(INDEX('Per Invoice'!J$2:J$401,$U15)="","",INDEX('Per Invoice'!J$2:J$401,$U15)))</f>
        <v/>
      </c>
      <c r="K15">
        <f>IF($U15="","",IF(INDEX('Per Invoice'!K$2:K$401,$U15)="","",INDEX('Per Invoice'!K$2:K$401,$U15)))</f>
        <v/>
      </c>
      <c r="L15" s="7">
        <f>IF($U15="","",IF(INDEX('Per Invoice'!L$2:L$401,$U15)="","",INDEX('Per Invoice'!L$2:L$401,$U15)))</f>
        <v/>
      </c>
      <c r="M15" s="7">
        <f>IF($U15="","",IF(INDEX('Per Invoice'!M$2:M$401,$U15)="","",INDEX('Per Invoice'!M$2:M$401,$U15)))</f>
        <v/>
      </c>
      <c r="N15">
        <f>IF($U15="","",IF(INDEX('Per Invoice'!N$2:N$401,$U15)="","",INDEX('Per Invoice'!N$2:N$401,$U15)))</f>
        <v/>
      </c>
      <c r="O15" s="7">
        <f>IF($U15="","",IF(INDEX('Per Invoice'!O$2:O$401,$U15)="","",INDEX('Per Invoice'!O$2:O$401,$U15)))</f>
        <v/>
      </c>
      <c r="P15" s="7">
        <f>IF($U15="","",IF(INDEX('Per Invoice'!P$2:P$401,$U15)="","",INDEX('Per Invoice'!P$2:P$401,$U15)))</f>
        <v/>
      </c>
      <c r="Q15" s="7">
        <f>IF($U15="","",IF(INDEX('Per Invoice'!Q$2:Q$401,$U15)="","",INDEX('Per Invoice'!Q$2:Q$401,$U15)))</f>
        <v/>
      </c>
      <c r="R15" s="7">
        <f>IF($U15="","",IF(INDEX('Per Invoice'!R$2:R$401,$U15)="","",INDEX('Per Invoice'!R$2:R$401,$U15)))</f>
        <v/>
      </c>
      <c r="S15" s="7">
        <f>IF($U15="","",IF(INDEX('Per Invoice'!S$2:S$401,$U15)="","",INDEX('Per Invoice'!S$2:S$401,$U15)))</f>
        <v/>
      </c>
      <c r="T15" s="7">
        <f>IF($U15="","",IF(INDEX('Per Invoice'!T$2:T$401,$U15)="","",INDEX('Per Invoice'!T$2:T$401,$U15)))</f>
        <v/>
      </c>
      <c r="U15" s="16">
        <f>IFERROR(MATCH(Settings!$C$28&amp;"|"&amp;ROWS($U$2:$U15),'Per Invoice'!$V$2:$V$401,0),"")</f>
        <v/>
      </c>
    </row>
    <row r="16">
      <c r="A16">
        <f>IF($U16="","",IF(INDEX('Per Invoice'!A$2:A$401,$U16)="","",INDEX('Per Invoice'!A$2:A$401,$U16)))</f>
        <v/>
      </c>
      <c r="B16">
        <f>IF($U16="","",IF(INDEX('Per Invoice'!B$2:B$401,$U16)="","",INDEX('Per Invoice'!B$2:B$401,$U16)))</f>
        <v/>
      </c>
      <c r="C16">
        <f>IF($U16="","",IF(INDEX('Per Invoice'!C$2:C$401,$U16)="","",INDEX('Per Invoice'!C$2:C$401,$U16)))</f>
        <v/>
      </c>
      <c r="D16">
        <f>IF($U16="","",IF(INDEX('Per Invoice'!D$2:D$401,$U16)="","",INDEX('Per Invoice'!D$2:D$401,$U16)))</f>
        <v/>
      </c>
      <c r="E16">
        <f>IF($U16="","",IF(INDEX('Per Invoice'!E$2:E$401,$U16)="","",INDEX('Per Invoice'!E$2:E$401,$U16)))</f>
        <v/>
      </c>
      <c r="F16">
        <f>IF($U16="","",IF(INDEX('Per Invoice'!F$2:F$401,$U16)="","",INDEX('Per Invoice'!F$2:F$401,$U16)))</f>
        <v/>
      </c>
      <c r="G16">
        <f>IF($U16="","",IF(INDEX('Per Invoice'!G$2:G$401,$U16)="","",INDEX('Per Invoice'!G$2:G$401,$U16)))</f>
        <v/>
      </c>
      <c r="H16" s="7">
        <f>IF($U16="","",IF(INDEX('Per Invoice'!H$2:H$401,$U16)="","",INDEX('Per Invoice'!H$2:H$401,$U16)))</f>
        <v/>
      </c>
      <c r="I16" s="14">
        <f>IF($U16="","",IF(INDEX('Per Invoice'!I$2:I$401,$U16)="","",INDEX('Per Invoice'!I$2:I$401,$U16)))</f>
        <v/>
      </c>
      <c r="J16">
        <f>IF($U16="","",IF(INDEX('Per Invoice'!J$2:J$401,$U16)="","",INDEX('Per Invoice'!J$2:J$401,$U16)))</f>
        <v/>
      </c>
      <c r="K16">
        <f>IF($U16="","",IF(INDEX('Per Invoice'!K$2:K$401,$U16)="","",INDEX('Per Invoice'!K$2:K$401,$U16)))</f>
        <v/>
      </c>
      <c r="L16" s="7">
        <f>IF($U16="","",IF(INDEX('Per Invoice'!L$2:L$401,$U16)="","",INDEX('Per Invoice'!L$2:L$401,$U16)))</f>
        <v/>
      </c>
      <c r="M16" s="7">
        <f>IF($U16="","",IF(INDEX('Per Invoice'!M$2:M$401,$U16)="","",INDEX('Per Invoice'!M$2:M$401,$U16)))</f>
        <v/>
      </c>
      <c r="N16">
        <f>IF($U16="","",IF(INDEX('Per Invoice'!N$2:N$401,$U16)="","",INDEX('Per Invoice'!N$2:N$401,$U16)))</f>
        <v/>
      </c>
      <c r="O16" s="7">
        <f>IF($U16="","",IF(INDEX('Per Invoice'!O$2:O$401,$U16)="","",INDEX('Per Invoice'!O$2:O$401,$U16)))</f>
        <v/>
      </c>
      <c r="P16" s="7">
        <f>IF($U16="","",IF(INDEX('Per Invoice'!P$2:P$401,$U16)="","",INDEX('Per Invoice'!P$2:P$401,$U16)))</f>
        <v/>
      </c>
      <c r="Q16" s="7">
        <f>IF($U16="","",IF(INDEX('Per Invoice'!Q$2:Q$401,$U16)="","",INDEX('Per Invoice'!Q$2:Q$401,$U16)))</f>
        <v/>
      </c>
      <c r="R16" s="7">
        <f>IF($U16="","",IF(INDEX('Per Invoice'!R$2:R$401,$U16)="","",INDEX('Per Invoice'!R$2:R$401,$U16)))</f>
        <v/>
      </c>
      <c r="S16" s="7">
        <f>IF($U16="","",IF(INDEX('Per Invoice'!S$2:S$401,$U16)="","",INDEX('Per Invoice'!S$2:S$401,$U16)))</f>
        <v/>
      </c>
      <c r="T16" s="7">
        <f>IF($U16="","",IF(INDEX('Per Invoice'!T$2:T$401,$U16)="","",INDEX('Per Invoice'!T$2:T$401,$U16)))</f>
        <v/>
      </c>
      <c r="U16" s="16">
        <f>IFERROR(MATCH(Settings!$C$28&amp;"|"&amp;ROWS($U$2:$U16),'Per Invoice'!$V$2:$V$401,0),"")</f>
        <v/>
      </c>
    </row>
    <row r="17">
      <c r="A17">
        <f>IF($U17="","",IF(INDEX('Per Invoice'!A$2:A$401,$U17)="","",INDEX('Per Invoice'!A$2:A$401,$U17)))</f>
        <v/>
      </c>
      <c r="B17">
        <f>IF($U17="","",IF(INDEX('Per Invoice'!B$2:B$401,$U17)="","",INDEX('Per Invoice'!B$2:B$401,$U17)))</f>
        <v/>
      </c>
      <c r="C17">
        <f>IF($U17="","",IF(INDEX('Per Invoice'!C$2:C$401,$U17)="","",INDEX('Per Invoice'!C$2:C$401,$U17)))</f>
        <v/>
      </c>
      <c r="D17">
        <f>IF($U17="","",IF(INDEX('Per Invoice'!D$2:D$401,$U17)="","",INDEX('Per Invoice'!D$2:D$401,$U17)))</f>
        <v/>
      </c>
      <c r="E17">
        <f>IF($U17="","",IF(INDEX('Per Invoice'!E$2:E$401,$U17)="","",INDEX('Per Invoice'!E$2:E$401,$U17)))</f>
        <v/>
      </c>
      <c r="F17">
        <f>IF($U17="","",IF(INDEX('Per Invoice'!F$2:F$401,$U17)="","",INDEX('Per Invoice'!F$2:F$401,$U17)))</f>
        <v/>
      </c>
      <c r="G17">
        <f>IF($U17="","",IF(INDEX('Per Invoice'!G$2:G$401,$U17)="","",INDEX('Per Invoice'!G$2:G$401,$U17)))</f>
        <v/>
      </c>
      <c r="H17" s="7">
        <f>IF($U17="","",IF(INDEX('Per Invoice'!H$2:H$401,$U17)="","",INDEX('Per Invoice'!H$2:H$401,$U17)))</f>
        <v/>
      </c>
      <c r="I17" s="14">
        <f>IF($U17="","",IF(INDEX('Per Invoice'!I$2:I$401,$U17)="","",INDEX('Per Invoice'!I$2:I$401,$U17)))</f>
        <v/>
      </c>
      <c r="J17">
        <f>IF($U17="","",IF(INDEX('Per Invoice'!J$2:J$401,$U17)="","",INDEX('Per Invoice'!J$2:J$401,$U17)))</f>
        <v/>
      </c>
      <c r="K17">
        <f>IF($U17="","",IF(INDEX('Per Invoice'!K$2:K$401,$U17)="","",INDEX('Per Invoice'!K$2:K$401,$U17)))</f>
        <v/>
      </c>
      <c r="L17" s="7">
        <f>IF($U17="","",IF(INDEX('Per Invoice'!L$2:L$401,$U17)="","",INDEX('Per Invoice'!L$2:L$401,$U17)))</f>
        <v/>
      </c>
      <c r="M17" s="7">
        <f>IF($U17="","",IF(INDEX('Per Invoice'!M$2:M$401,$U17)="","",INDEX('Per Invoice'!M$2:M$401,$U17)))</f>
        <v/>
      </c>
      <c r="N17">
        <f>IF($U17="","",IF(INDEX('Per Invoice'!N$2:N$401,$U17)="","",INDEX('Per Invoice'!N$2:N$401,$U17)))</f>
        <v/>
      </c>
      <c r="O17" s="7">
        <f>IF($U17="","",IF(INDEX('Per Invoice'!O$2:O$401,$U17)="","",INDEX('Per Invoice'!O$2:O$401,$U17)))</f>
        <v/>
      </c>
      <c r="P17" s="7">
        <f>IF($U17="","",IF(INDEX('Per Invoice'!P$2:P$401,$U17)="","",INDEX('Per Invoice'!P$2:P$401,$U17)))</f>
        <v/>
      </c>
      <c r="Q17" s="7">
        <f>IF($U17="","",IF(INDEX('Per Invoice'!Q$2:Q$401,$U17)="","",INDEX('Per Invoice'!Q$2:Q$401,$U17)))</f>
        <v/>
      </c>
      <c r="R17" s="7">
        <f>IF($U17="","",IF(INDEX('Per Invoice'!R$2:R$401,$U17)="","",INDEX('Per Invoice'!R$2:R$401,$U17)))</f>
        <v/>
      </c>
      <c r="S17" s="7">
        <f>IF($U17="","",IF(INDEX('Per Invoice'!S$2:S$401,$U17)="","",INDEX('Per Invoice'!S$2:S$401,$U17)))</f>
        <v/>
      </c>
      <c r="T17" s="7">
        <f>IF($U17="","",IF(INDEX('Per Invoice'!T$2:T$401,$U17)="","",INDEX('Per Invoice'!T$2:T$401,$U17)))</f>
        <v/>
      </c>
      <c r="U17" s="16">
        <f>IFERROR(MATCH(Settings!$C$28&amp;"|"&amp;ROWS($U$2:$U17),'Per Invoice'!$V$2:$V$401,0),"")</f>
        <v/>
      </c>
    </row>
    <row r="18">
      <c r="A18">
        <f>IF($U18="","",IF(INDEX('Per Invoice'!A$2:A$401,$U18)="","",INDEX('Per Invoice'!A$2:A$401,$U18)))</f>
        <v/>
      </c>
      <c r="B18">
        <f>IF($U18="","",IF(INDEX('Per Invoice'!B$2:B$401,$U18)="","",INDEX('Per Invoice'!B$2:B$401,$U18)))</f>
        <v/>
      </c>
      <c r="C18">
        <f>IF($U18="","",IF(INDEX('Per Invoice'!C$2:C$401,$U18)="","",INDEX('Per Invoice'!C$2:C$401,$U18)))</f>
        <v/>
      </c>
      <c r="D18">
        <f>IF($U18="","",IF(INDEX('Per Invoice'!D$2:D$401,$U18)="","",INDEX('Per Invoice'!D$2:D$401,$U18)))</f>
        <v/>
      </c>
      <c r="E18">
        <f>IF($U18="","",IF(INDEX('Per Invoice'!E$2:E$401,$U18)="","",INDEX('Per Invoice'!E$2:E$401,$U18)))</f>
        <v/>
      </c>
      <c r="F18">
        <f>IF($U18="","",IF(INDEX('Per Invoice'!F$2:F$401,$U18)="","",INDEX('Per Invoice'!F$2:F$401,$U18)))</f>
        <v/>
      </c>
      <c r="G18">
        <f>IF($U18="","",IF(INDEX('Per Invoice'!G$2:G$401,$U18)="","",INDEX('Per Invoice'!G$2:G$401,$U18)))</f>
        <v/>
      </c>
      <c r="H18" s="7">
        <f>IF($U18="","",IF(INDEX('Per Invoice'!H$2:H$401,$U18)="","",INDEX('Per Invoice'!H$2:H$401,$U18)))</f>
        <v/>
      </c>
      <c r="I18" s="14">
        <f>IF($U18="","",IF(INDEX('Per Invoice'!I$2:I$401,$U18)="","",INDEX('Per Invoice'!I$2:I$401,$U18)))</f>
        <v/>
      </c>
      <c r="J18">
        <f>IF($U18="","",IF(INDEX('Per Invoice'!J$2:J$401,$U18)="","",INDEX('Per Invoice'!J$2:J$401,$U18)))</f>
        <v/>
      </c>
      <c r="K18">
        <f>IF($U18="","",IF(INDEX('Per Invoice'!K$2:K$401,$U18)="","",INDEX('Per Invoice'!K$2:K$401,$U18)))</f>
        <v/>
      </c>
      <c r="L18" s="7">
        <f>IF($U18="","",IF(INDEX('Per Invoice'!L$2:L$401,$U18)="","",INDEX('Per Invoice'!L$2:L$401,$U18)))</f>
        <v/>
      </c>
      <c r="M18" s="7">
        <f>IF($U18="","",IF(INDEX('Per Invoice'!M$2:M$401,$U18)="","",INDEX('Per Invoice'!M$2:M$401,$U18)))</f>
        <v/>
      </c>
      <c r="N18">
        <f>IF($U18="","",IF(INDEX('Per Invoice'!N$2:N$401,$U18)="","",INDEX('Per Invoice'!N$2:N$401,$U18)))</f>
        <v/>
      </c>
      <c r="O18" s="7">
        <f>IF($U18="","",IF(INDEX('Per Invoice'!O$2:O$401,$U18)="","",INDEX('Per Invoice'!O$2:O$401,$U18)))</f>
        <v/>
      </c>
      <c r="P18" s="7">
        <f>IF($U18="","",IF(INDEX('Per Invoice'!P$2:P$401,$U18)="","",INDEX('Per Invoice'!P$2:P$401,$U18)))</f>
        <v/>
      </c>
      <c r="Q18" s="7">
        <f>IF($U18="","",IF(INDEX('Per Invoice'!Q$2:Q$401,$U18)="","",INDEX('Per Invoice'!Q$2:Q$401,$U18)))</f>
        <v/>
      </c>
      <c r="R18" s="7">
        <f>IF($U18="","",IF(INDEX('Per Invoice'!R$2:R$401,$U18)="","",INDEX('Per Invoice'!R$2:R$401,$U18)))</f>
        <v/>
      </c>
      <c r="S18" s="7">
        <f>IF($U18="","",IF(INDEX('Per Invoice'!S$2:S$401,$U18)="","",INDEX('Per Invoice'!S$2:S$401,$U18)))</f>
        <v/>
      </c>
      <c r="T18" s="7">
        <f>IF($U18="","",IF(INDEX('Per Invoice'!T$2:T$401,$U18)="","",INDEX('Per Invoice'!T$2:T$401,$U18)))</f>
        <v/>
      </c>
      <c r="U18" s="16">
        <f>IFERROR(MATCH(Settings!$C$28&amp;"|"&amp;ROWS($U$2:$U18),'Per Invoice'!$V$2:$V$401,0),"")</f>
        <v/>
      </c>
    </row>
    <row r="19">
      <c r="A19">
        <f>IF($U19="","",IF(INDEX('Per Invoice'!A$2:A$401,$U19)="","",INDEX('Per Invoice'!A$2:A$401,$U19)))</f>
        <v/>
      </c>
      <c r="B19">
        <f>IF($U19="","",IF(INDEX('Per Invoice'!B$2:B$401,$U19)="","",INDEX('Per Invoice'!B$2:B$401,$U19)))</f>
        <v/>
      </c>
      <c r="C19">
        <f>IF($U19="","",IF(INDEX('Per Invoice'!C$2:C$401,$U19)="","",INDEX('Per Invoice'!C$2:C$401,$U19)))</f>
        <v/>
      </c>
      <c r="D19">
        <f>IF($U19="","",IF(INDEX('Per Invoice'!D$2:D$401,$U19)="","",INDEX('Per Invoice'!D$2:D$401,$U19)))</f>
        <v/>
      </c>
      <c r="E19">
        <f>IF($U19="","",IF(INDEX('Per Invoice'!E$2:E$401,$U19)="","",INDEX('Per Invoice'!E$2:E$401,$U19)))</f>
        <v/>
      </c>
      <c r="F19">
        <f>IF($U19="","",IF(INDEX('Per Invoice'!F$2:F$401,$U19)="","",INDEX('Per Invoice'!F$2:F$401,$U19)))</f>
        <v/>
      </c>
      <c r="G19">
        <f>IF($U19="","",IF(INDEX('Per Invoice'!G$2:G$401,$U19)="","",INDEX('Per Invoice'!G$2:G$401,$U19)))</f>
        <v/>
      </c>
      <c r="H19" s="7">
        <f>IF($U19="","",IF(INDEX('Per Invoice'!H$2:H$401,$U19)="","",INDEX('Per Invoice'!H$2:H$401,$U19)))</f>
        <v/>
      </c>
      <c r="I19" s="14">
        <f>IF($U19="","",IF(INDEX('Per Invoice'!I$2:I$401,$U19)="","",INDEX('Per Invoice'!I$2:I$401,$U19)))</f>
        <v/>
      </c>
      <c r="J19">
        <f>IF($U19="","",IF(INDEX('Per Invoice'!J$2:J$401,$U19)="","",INDEX('Per Invoice'!J$2:J$401,$U19)))</f>
        <v/>
      </c>
      <c r="K19">
        <f>IF($U19="","",IF(INDEX('Per Invoice'!K$2:K$401,$U19)="","",INDEX('Per Invoice'!K$2:K$401,$U19)))</f>
        <v/>
      </c>
      <c r="L19" s="7">
        <f>IF($U19="","",IF(INDEX('Per Invoice'!L$2:L$401,$U19)="","",INDEX('Per Invoice'!L$2:L$401,$U19)))</f>
        <v/>
      </c>
      <c r="M19" s="7">
        <f>IF($U19="","",IF(INDEX('Per Invoice'!M$2:M$401,$U19)="","",INDEX('Per Invoice'!M$2:M$401,$U19)))</f>
        <v/>
      </c>
      <c r="N19">
        <f>IF($U19="","",IF(INDEX('Per Invoice'!N$2:N$401,$U19)="","",INDEX('Per Invoice'!N$2:N$401,$U19)))</f>
        <v/>
      </c>
      <c r="O19" s="7">
        <f>IF($U19="","",IF(INDEX('Per Invoice'!O$2:O$401,$U19)="","",INDEX('Per Invoice'!O$2:O$401,$U19)))</f>
        <v/>
      </c>
      <c r="P19" s="7">
        <f>IF($U19="","",IF(INDEX('Per Invoice'!P$2:P$401,$U19)="","",INDEX('Per Invoice'!P$2:P$401,$U19)))</f>
        <v/>
      </c>
      <c r="Q19" s="7">
        <f>IF($U19="","",IF(INDEX('Per Invoice'!Q$2:Q$401,$U19)="","",INDEX('Per Invoice'!Q$2:Q$401,$U19)))</f>
        <v/>
      </c>
      <c r="R19" s="7">
        <f>IF($U19="","",IF(INDEX('Per Invoice'!R$2:R$401,$U19)="","",INDEX('Per Invoice'!R$2:R$401,$U19)))</f>
        <v/>
      </c>
      <c r="S19" s="7">
        <f>IF($U19="","",IF(INDEX('Per Invoice'!S$2:S$401,$U19)="","",INDEX('Per Invoice'!S$2:S$401,$U19)))</f>
        <v/>
      </c>
      <c r="T19" s="7">
        <f>IF($U19="","",IF(INDEX('Per Invoice'!T$2:T$401,$U19)="","",INDEX('Per Invoice'!T$2:T$401,$U19)))</f>
        <v/>
      </c>
      <c r="U19" s="16">
        <f>IFERROR(MATCH(Settings!$C$28&amp;"|"&amp;ROWS($U$2:$U19),'Per Invoice'!$V$2:$V$401,0),"")</f>
        <v/>
      </c>
    </row>
    <row r="20">
      <c r="A20">
        <f>IF($U20="","",IF(INDEX('Per Invoice'!A$2:A$401,$U20)="","",INDEX('Per Invoice'!A$2:A$401,$U20)))</f>
        <v/>
      </c>
      <c r="B20">
        <f>IF($U20="","",IF(INDEX('Per Invoice'!B$2:B$401,$U20)="","",INDEX('Per Invoice'!B$2:B$401,$U20)))</f>
        <v/>
      </c>
      <c r="C20">
        <f>IF($U20="","",IF(INDEX('Per Invoice'!C$2:C$401,$U20)="","",INDEX('Per Invoice'!C$2:C$401,$U20)))</f>
        <v/>
      </c>
      <c r="D20">
        <f>IF($U20="","",IF(INDEX('Per Invoice'!D$2:D$401,$U20)="","",INDEX('Per Invoice'!D$2:D$401,$U20)))</f>
        <v/>
      </c>
      <c r="E20">
        <f>IF($U20="","",IF(INDEX('Per Invoice'!E$2:E$401,$U20)="","",INDEX('Per Invoice'!E$2:E$401,$U20)))</f>
        <v/>
      </c>
      <c r="F20">
        <f>IF($U20="","",IF(INDEX('Per Invoice'!F$2:F$401,$U20)="","",INDEX('Per Invoice'!F$2:F$401,$U20)))</f>
        <v/>
      </c>
      <c r="G20">
        <f>IF($U20="","",IF(INDEX('Per Invoice'!G$2:G$401,$U20)="","",INDEX('Per Invoice'!G$2:G$401,$U20)))</f>
        <v/>
      </c>
      <c r="H20" s="7">
        <f>IF($U20="","",IF(INDEX('Per Invoice'!H$2:H$401,$U20)="","",INDEX('Per Invoice'!H$2:H$401,$U20)))</f>
        <v/>
      </c>
      <c r="I20" s="14">
        <f>IF($U20="","",IF(INDEX('Per Invoice'!I$2:I$401,$U20)="","",INDEX('Per Invoice'!I$2:I$401,$U20)))</f>
        <v/>
      </c>
      <c r="J20">
        <f>IF($U20="","",IF(INDEX('Per Invoice'!J$2:J$401,$U20)="","",INDEX('Per Invoice'!J$2:J$401,$U20)))</f>
        <v/>
      </c>
      <c r="K20">
        <f>IF($U20="","",IF(INDEX('Per Invoice'!K$2:K$401,$U20)="","",INDEX('Per Invoice'!K$2:K$401,$U20)))</f>
        <v/>
      </c>
      <c r="L20" s="7">
        <f>IF($U20="","",IF(INDEX('Per Invoice'!L$2:L$401,$U20)="","",INDEX('Per Invoice'!L$2:L$401,$U20)))</f>
        <v/>
      </c>
      <c r="M20" s="7">
        <f>IF($U20="","",IF(INDEX('Per Invoice'!M$2:M$401,$U20)="","",INDEX('Per Invoice'!M$2:M$401,$U20)))</f>
        <v/>
      </c>
      <c r="N20">
        <f>IF($U20="","",IF(INDEX('Per Invoice'!N$2:N$401,$U20)="","",INDEX('Per Invoice'!N$2:N$401,$U20)))</f>
        <v/>
      </c>
      <c r="O20" s="7">
        <f>IF($U20="","",IF(INDEX('Per Invoice'!O$2:O$401,$U20)="","",INDEX('Per Invoice'!O$2:O$401,$U20)))</f>
        <v/>
      </c>
      <c r="P20" s="7">
        <f>IF($U20="","",IF(INDEX('Per Invoice'!P$2:P$401,$U20)="","",INDEX('Per Invoice'!P$2:P$401,$U20)))</f>
        <v/>
      </c>
      <c r="Q20" s="7">
        <f>IF($U20="","",IF(INDEX('Per Invoice'!Q$2:Q$401,$U20)="","",INDEX('Per Invoice'!Q$2:Q$401,$U20)))</f>
        <v/>
      </c>
      <c r="R20" s="7">
        <f>IF($U20="","",IF(INDEX('Per Invoice'!R$2:R$401,$U20)="","",INDEX('Per Invoice'!R$2:R$401,$U20)))</f>
        <v/>
      </c>
      <c r="S20" s="7">
        <f>IF($U20="","",IF(INDEX('Per Invoice'!S$2:S$401,$U20)="","",INDEX('Per Invoice'!S$2:S$401,$U20)))</f>
        <v/>
      </c>
      <c r="T20" s="7">
        <f>IF($U20="","",IF(INDEX('Per Invoice'!T$2:T$401,$U20)="","",INDEX('Per Invoice'!T$2:T$401,$U20)))</f>
        <v/>
      </c>
      <c r="U20" s="16">
        <f>IFERROR(MATCH(Settings!$C$28&amp;"|"&amp;ROWS($U$2:$U20),'Per Invoice'!$V$2:$V$401,0),"")</f>
        <v/>
      </c>
    </row>
    <row r="21">
      <c r="A21">
        <f>IF($U21="","",IF(INDEX('Per Invoice'!A$2:A$401,$U21)="","",INDEX('Per Invoice'!A$2:A$401,$U21)))</f>
        <v/>
      </c>
      <c r="B21">
        <f>IF($U21="","",IF(INDEX('Per Invoice'!B$2:B$401,$U21)="","",INDEX('Per Invoice'!B$2:B$401,$U21)))</f>
        <v/>
      </c>
      <c r="C21">
        <f>IF($U21="","",IF(INDEX('Per Invoice'!C$2:C$401,$U21)="","",INDEX('Per Invoice'!C$2:C$401,$U21)))</f>
        <v/>
      </c>
      <c r="D21">
        <f>IF($U21="","",IF(INDEX('Per Invoice'!D$2:D$401,$U21)="","",INDEX('Per Invoice'!D$2:D$401,$U21)))</f>
        <v/>
      </c>
      <c r="E21">
        <f>IF($U21="","",IF(INDEX('Per Invoice'!E$2:E$401,$U21)="","",INDEX('Per Invoice'!E$2:E$401,$U21)))</f>
        <v/>
      </c>
      <c r="F21">
        <f>IF($U21="","",IF(INDEX('Per Invoice'!F$2:F$401,$U21)="","",INDEX('Per Invoice'!F$2:F$401,$U21)))</f>
        <v/>
      </c>
      <c r="G21">
        <f>IF($U21="","",IF(INDEX('Per Invoice'!G$2:G$401,$U21)="","",INDEX('Per Invoice'!G$2:G$401,$U21)))</f>
        <v/>
      </c>
      <c r="H21" s="7">
        <f>IF($U21="","",IF(INDEX('Per Invoice'!H$2:H$401,$U21)="","",INDEX('Per Invoice'!H$2:H$401,$U21)))</f>
        <v/>
      </c>
      <c r="I21" s="14">
        <f>IF($U21="","",IF(INDEX('Per Invoice'!I$2:I$401,$U21)="","",INDEX('Per Invoice'!I$2:I$401,$U21)))</f>
        <v/>
      </c>
      <c r="J21">
        <f>IF($U21="","",IF(INDEX('Per Invoice'!J$2:J$401,$U21)="","",INDEX('Per Invoice'!J$2:J$401,$U21)))</f>
        <v/>
      </c>
      <c r="K21">
        <f>IF($U21="","",IF(INDEX('Per Invoice'!K$2:K$401,$U21)="","",INDEX('Per Invoice'!K$2:K$401,$U21)))</f>
        <v/>
      </c>
      <c r="L21" s="7">
        <f>IF($U21="","",IF(INDEX('Per Invoice'!L$2:L$401,$U21)="","",INDEX('Per Invoice'!L$2:L$401,$U21)))</f>
        <v/>
      </c>
      <c r="M21" s="7">
        <f>IF($U21="","",IF(INDEX('Per Invoice'!M$2:M$401,$U21)="","",INDEX('Per Invoice'!M$2:M$401,$U21)))</f>
        <v/>
      </c>
      <c r="N21">
        <f>IF($U21="","",IF(INDEX('Per Invoice'!N$2:N$401,$U21)="","",INDEX('Per Invoice'!N$2:N$401,$U21)))</f>
        <v/>
      </c>
      <c r="O21" s="7">
        <f>IF($U21="","",IF(INDEX('Per Invoice'!O$2:O$401,$U21)="","",INDEX('Per Invoice'!O$2:O$401,$U21)))</f>
        <v/>
      </c>
      <c r="P21" s="7">
        <f>IF($U21="","",IF(INDEX('Per Invoice'!P$2:P$401,$U21)="","",INDEX('Per Invoice'!P$2:P$401,$U21)))</f>
        <v/>
      </c>
      <c r="Q21" s="7">
        <f>IF($U21="","",IF(INDEX('Per Invoice'!Q$2:Q$401,$U21)="","",INDEX('Per Invoice'!Q$2:Q$401,$U21)))</f>
        <v/>
      </c>
      <c r="R21" s="7">
        <f>IF($U21="","",IF(INDEX('Per Invoice'!R$2:R$401,$U21)="","",INDEX('Per Invoice'!R$2:R$401,$U21)))</f>
        <v/>
      </c>
      <c r="S21" s="7">
        <f>IF($U21="","",IF(INDEX('Per Invoice'!S$2:S$401,$U21)="","",INDEX('Per Invoice'!S$2:S$401,$U21)))</f>
        <v/>
      </c>
      <c r="T21" s="7">
        <f>IF($U21="","",IF(INDEX('Per Invoice'!T$2:T$401,$U21)="","",INDEX('Per Invoice'!T$2:T$401,$U21)))</f>
        <v/>
      </c>
      <c r="U21" s="16">
        <f>IFERROR(MATCH(Settings!$C$28&amp;"|"&amp;ROWS($U$2:$U21),'Per Invoice'!$V$2:$V$401,0),"")</f>
        <v/>
      </c>
    </row>
    <row r="22">
      <c r="A22">
        <f>IF($U22="","",IF(INDEX('Per Invoice'!A$2:A$401,$U22)="","",INDEX('Per Invoice'!A$2:A$401,$U22)))</f>
        <v/>
      </c>
      <c r="B22">
        <f>IF($U22="","",IF(INDEX('Per Invoice'!B$2:B$401,$U22)="","",INDEX('Per Invoice'!B$2:B$401,$U22)))</f>
        <v/>
      </c>
      <c r="C22">
        <f>IF($U22="","",IF(INDEX('Per Invoice'!C$2:C$401,$U22)="","",INDEX('Per Invoice'!C$2:C$401,$U22)))</f>
        <v/>
      </c>
      <c r="D22">
        <f>IF($U22="","",IF(INDEX('Per Invoice'!D$2:D$401,$U22)="","",INDEX('Per Invoice'!D$2:D$401,$U22)))</f>
        <v/>
      </c>
      <c r="E22">
        <f>IF($U22="","",IF(INDEX('Per Invoice'!E$2:E$401,$U22)="","",INDEX('Per Invoice'!E$2:E$401,$U22)))</f>
        <v/>
      </c>
      <c r="F22">
        <f>IF($U22="","",IF(INDEX('Per Invoice'!F$2:F$401,$U22)="","",INDEX('Per Invoice'!F$2:F$401,$U22)))</f>
        <v/>
      </c>
      <c r="G22">
        <f>IF($U22="","",IF(INDEX('Per Invoice'!G$2:G$401,$U22)="","",INDEX('Per Invoice'!G$2:G$401,$U22)))</f>
        <v/>
      </c>
      <c r="H22" s="7">
        <f>IF($U22="","",IF(INDEX('Per Invoice'!H$2:H$401,$U22)="","",INDEX('Per Invoice'!H$2:H$401,$U22)))</f>
        <v/>
      </c>
      <c r="I22" s="14">
        <f>IF($U22="","",IF(INDEX('Per Invoice'!I$2:I$401,$U22)="","",INDEX('Per Invoice'!I$2:I$401,$U22)))</f>
        <v/>
      </c>
      <c r="J22">
        <f>IF($U22="","",IF(INDEX('Per Invoice'!J$2:J$401,$U22)="","",INDEX('Per Invoice'!J$2:J$401,$U22)))</f>
        <v/>
      </c>
      <c r="K22">
        <f>IF($U22="","",IF(INDEX('Per Invoice'!K$2:K$401,$U22)="","",INDEX('Per Invoice'!K$2:K$401,$U22)))</f>
        <v/>
      </c>
      <c r="L22" s="7">
        <f>IF($U22="","",IF(INDEX('Per Invoice'!L$2:L$401,$U22)="","",INDEX('Per Invoice'!L$2:L$401,$U22)))</f>
        <v/>
      </c>
      <c r="M22" s="7">
        <f>IF($U22="","",IF(INDEX('Per Invoice'!M$2:M$401,$U22)="","",INDEX('Per Invoice'!M$2:M$401,$U22)))</f>
        <v/>
      </c>
      <c r="N22">
        <f>IF($U22="","",IF(INDEX('Per Invoice'!N$2:N$401,$U22)="","",INDEX('Per Invoice'!N$2:N$401,$U22)))</f>
        <v/>
      </c>
      <c r="O22" s="7">
        <f>IF($U22="","",IF(INDEX('Per Invoice'!O$2:O$401,$U22)="","",INDEX('Per Invoice'!O$2:O$401,$U22)))</f>
        <v/>
      </c>
      <c r="P22" s="7">
        <f>IF($U22="","",IF(INDEX('Per Invoice'!P$2:P$401,$U22)="","",INDEX('Per Invoice'!P$2:P$401,$U22)))</f>
        <v/>
      </c>
      <c r="Q22" s="7">
        <f>IF($U22="","",IF(INDEX('Per Invoice'!Q$2:Q$401,$U22)="","",INDEX('Per Invoice'!Q$2:Q$401,$U22)))</f>
        <v/>
      </c>
      <c r="R22" s="7">
        <f>IF($U22="","",IF(INDEX('Per Invoice'!R$2:R$401,$U22)="","",INDEX('Per Invoice'!R$2:R$401,$U22)))</f>
        <v/>
      </c>
      <c r="S22" s="7">
        <f>IF($U22="","",IF(INDEX('Per Invoice'!S$2:S$401,$U22)="","",INDEX('Per Invoice'!S$2:S$401,$U22)))</f>
        <v/>
      </c>
      <c r="T22" s="7">
        <f>IF($U22="","",IF(INDEX('Per Invoice'!T$2:T$401,$U22)="","",INDEX('Per Invoice'!T$2:T$401,$U22)))</f>
        <v/>
      </c>
      <c r="U22" s="16">
        <f>IFERROR(MATCH(Settings!$C$28&amp;"|"&amp;ROWS($U$2:$U22),'Per Invoice'!$V$2:$V$401,0),"")</f>
        <v/>
      </c>
    </row>
    <row r="23">
      <c r="A23">
        <f>IF($U23="","",IF(INDEX('Per Invoice'!A$2:A$401,$U23)="","",INDEX('Per Invoice'!A$2:A$401,$U23)))</f>
        <v/>
      </c>
      <c r="B23">
        <f>IF($U23="","",IF(INDEX('Per Invoice'!B$2:B$401,$U23)="","",INDEX('Per Invoice'!B$2:B$401,$U23)))</f>
        <v/>
      </c>
      <c r="C23">
        <f>IF($U23="","",IF(INDEX('Per Invoice'!C$2:C$401,$U23)="","",INDEX('Per Invoice'!C$2:C$401,$U23)))</f>
        <v/>
      </c>
      <c r="D23">
        <f>IF($U23="","",IF(INDEX('Per Invoice'!D$2:D$401,$U23)="","",INDEX('Per Invoice'!D$2:D$401,$U23)))</f>
        <v/>
      </c>
      <c r="E23">
        <f>IF($U23="","",IF(INDEX('Per Invoice'!E$2:E$401,$U23)="","",INDEX('Per Invoice'!E$2:E$401,$U23)))</f>
        <v/>
      </c>
      <c r="F23">
        <f>IF($U23="","",IF(INDEX('Per Invoice'!F$2:F$401,$U23)="","",INDEX('Per Invoice'!F$2:F$401,$U23)))</f>
        <v/>
      </c>
      <c r="G23">
        <f>IF($U23="","",IF(INDEX('Per Invoice'!G$2:G$401,$U23)="","",INDEX('Per Invoice'!G$2:G$401,$U23)))</f>
        <v/>
      </c>
      <c r="H23" s="7">
        <f>IF($U23="","",IF(INDEX('Per Invoice'!H$2:H$401,$U23)="","",INDEX('Per Invoice'!H$2:H$401,$U23)))</f>
        <v/>
      </c>
      <c r="I23" s="14">
        <f>IF($U23="","",IF(INDEX('Per Invoice'!I$2:I$401,$U23)="","",INDEX('Per Invoice'!I$2:I$401,$U23)))</f>
        <v/>
      </c>
      <c r="J23">
        <f>IF($U23="","",IF(INDEX('Per Invoice'!J$2:J$401,$U23)="","",INDEX('Per Invoice'!J$2:J$401,$U23)))</f>
        <v/>
      </c>
      <c r="K23">
        <f>IF($U23="","",IF(INDEX('Per Invoice'!K$2:K$401,$U23)="","",INDEX('Per Invoice'!K$2:K$401,$U23)))</f>
        <v/>
      </c>
      <c r="L23" s="7">
        <f>IF($U23="","",IF(INDEX('Per Invoice'!L$2:L$401,$U23)="","",INDEX('Per Invoice'!L$2:L$401,$U23)))</f>
        <v/>
      </c>
      <c r="M23" s="7">
        <f>IF($U23="","",IF(INDEX('Per Invoice'!M$2:M$401,$U23)="","",INDEX('Per Invoice'!M$2:M$401,$U23)))</f>
        <v/>
      </c>
      <c r="N23">
        <f>IF($U23="","",IF(INDEX('Per Invoice'!N$2:N$401,$U23)="","",INDEX('Per Invoice'!N$2:N$401,$U23)))</f>
        <v/>
      </c>
      <c r="O23" s="7">
        <f>IF($U23="","",IF(INDEX('Per Invoice'!O$2:O$401,$U23)="","",INDEX('Per Invoice'!O$2:O$401,$U23)))</f>
        <v/>
      </c>
      <c r="P23" s="7">
        <f>IF($U23="","",IF(INDEX('Per Invoice'!P$2:P$401,$U23)="","",INDEX('Per Invoice'!P$2:P$401,$U23)))</f>
        <v/>
      </c>
      <c r="Q23" s="7">
        <f>IF($U23="","",IF(INDEX('Per Invoice'!Q$2:Q$401,$U23)="","",INDEX('Per Invoice'!Q$2:Q$401,$U23)))</f>
        <v/>
      </c>
      <c r="R23" s="7">
        <f>IF($U23="","",IF(INDEX('Per Invoice'!R$2:R$401,$U23)="","",INDEX('Per Invoice'!R$2:R$401,$U23)))</f>
        <v/>
      </c>
      <c r="S23" s="7">
        <f>IF($U23="","",IF(INDEX('Per Invoice'!S$2:S$401,$U23)="","",INDEX('Per Invoice'!S$2:S$401,$U23)))</f>
        <v/>
      </c>
      <c r="T23" s="7">
        <f>IF($U23="","",IF(INDEX('Per Invoice'!T$2:T$401,$U23)="","",INDEX('Per Invoice'!T$2:T$401,$U23)))</f>
        <v/>
      </c>
      <c r="U23" s="16">
        <f>IFERROR(MATCH(Settings!$C$28&amp;"|"&amp;ROWS($U$2:$U23),'Per Invoice'!$V$2:$V$401,0),"")</f>
        <v/>
      </c>
    </row>
    <row r="24">
      <c r="A24">
        <f>IF($U24="","",IF(INDEX('Per Invoice'!A$2:A$401,$U24)="","",INDEX('Per Invoice'!A$2:A$401,$U24)))</f>
        <v/>
      </c>
      <c r="B24">
        <f>IF($U24="","",IF(INDEX('Per Invoice'!B$2:B$401,$U24)="","",INDEX('Per Invoice'!B$2:B$401,$U24)))</f>
        <v/>
      </c>
      <c r="C24">
        <f>IF($U24="","",IF(INDEX('Per Invoice'!C$2:C$401,$U24)="","",INDEX('Per Invoice'!C$2:C$401,$U24)))</f>
        <v/>
      </c>
      <c r="D24">
        <f>IF($U24="","",IF(INDEX('Per Invoice'!D$2:D$401,$U24)="","",INDEX('Per Invoice'!D$2:D$401,$U24)))</f>
        <v/>
      </c>
      <c r="E24">
        <f>IF($U24="","",IF(INDEX('Per Invoice'!E$2:E$401,$U24)="","",INDEX('Per Invoice'!E$2:E$401,$U24)))</f>
        <v/>
      </c>
      <c r="F24">
        <f>IF($U24="","",IF(INDEX('Per Invoice'!F$2:F$401,$U24)="","",INDEX('Per Invoice'!F$2:F$401,$U24)))</f>
        <v/>
      </c>
      <c r="G24">
        <f>IF($U24="","",IF(INDEX('Per Invoice'!G$2:G$401,$U24)="","",INDEX('Per Invoice'!G$2:G$401,$U24)))</f>
        <v/>
      </c>
      <c r="H24" s="7">
        <f>IF($U24="","",IF(INDEX('Per Invoice'!H$2:H$401,$U24)="","",INDEX('Per Invoice'!H$2:H$401,$U24)))</f>
        <v/>
      </c>
      <c r="I24" s="14">
        <f>IF($U24="","",IF(INDEX('Per Invoice'!I$2:I$401,$U24)="","",INDEX('Per Invoice'!I$2:I$401,$U24)))</f>
        <v/>
      </c>
      <c r="J24">
        <f>IF($U24="","",IF(INDEX('Per Invoice'!J$2:J$401,$U24)="","",INDEX('Per Invoice'!J$2:J$401,$U24)))</f>
        <v/>
      </c>
      <c r="K24">
        <f>IF($U24="","",IF(INDEX('Per Invoice'!K$2:K$401,$U24)="","",INDEX('Per Invoice'!K$2:K$401,$U24)))</f>
        <v/>
      </c>
      <c r="L24" s="7">
        <f>IF($U24="","",IF(INDEX('Per Invoice'!L$2:L$401,$U24)="","",INDEX('Per Invoice'!L$2:L$401,$U24)))</f>
        <v/>
      </c>
      <c r="M24" s="7">
        <f>IF($U24="","",IF(INDEX('Per Invoice'!M$2:M$401,$U24)="","",INDEX('Per Invoice'!M$2:M$401,$U24)))</f>
        <v/>
      </c>
      <c r="N24">
        <f>IF($U24="","",IF(INDEX('Per Invoice'!N$2:N$401,$U24)="","",INDEX('Per Invoice'!N$2:N$401,$U24)))</f>
        <v/>
      </c>
      <c r="O24" s="7">
        <f>IF($U24="","",IF(INDEX('Per Invoice'!O$2:O$401,$U24)="","",INDEX('Per Invoice'!O$2:O$401,$U24)))</f>
        <v/>
      </c>
      <c r="P24" s="7">
        <f>IF($U24="","",IF(INDEX('Per Invoice'!P$2:P$401,$U24)="","",INDEX('Per Invoice'!P$2:P$401,$U24)))</f>
        <v/>
      </c>
      <c r="Q24" s="7">
        <f>IF($U24="","",IF(INDEX('Per Invoice'!Q$2:Q$401,$U24)="","",INDEX('Per Invoice'!Q$2:Q$401,$U24)))</f>
        <v/>
      </c>
      <c r="R24" s="7">
        <f>IF($U24="","",IF(INDEX('Per Invoice'!R$2:R$401,$U24)="","",INDEX('Per Invoice'!R$2:R$401,$U24)))</f>
        <v/>
      </c>
      <c r="S24" s="7">
        <f>IF($U24="","",IF(INDEX('Per Invoice'!S$2:S$401,$U24)="","",INDEX('Per Invoice'!S$2:S$401,$U24)))</f>
        <v/>
      </c>
      <c r="T24" s="7">
        <f>IF($U24="","",IF(INDEX('Per Invoice'!T$2:T$401,$U24)="","",INDEX('Per Invoice'!T$2:T$401,$U24)))</f>
        <v/>
      </c>
      <c r="U24" s="16">
        <f>IFERROR(MATCH(Settings!$C$28&amp;"|"&amp;ROWS($U$2:$U24),'Per Invoice'!$V$2:$V$401,0),"")</f>
        <v/>
      </c>
    </row>
    <row r="25">
      <c r="A25">
        <f>IF($U25="","",IF(INDEX('Per Invoice'!A$2:A$401,$U25)="","",INDEX('Per Invoice'!A$2:A$401,$U25)))</f>
        <v/>
      </c>
      <c r="B25">
        <f>IF($U25="","",IF(INDEX('Per Invoice'!B$2:B$401,$U25)="","",INDEX('Per Invoice'!B$2:B$401,$U25)))</f>
        <v/>
      </c>
      <c r="C25">
        <f>IF($U25="","",IF(INDEX('Per Invoice'!C$2:C$401,$U25)="","",INDEX('Per Invoice'!C$2:C$401,$U25)))</f>
        <v/>
      </c>
      <c r="D25">
        <f>IF($U25="","",IF(INDEX('Per Invoice'!D$2:D$401,$U25)="","",INDEX('Per Invoice'!D$2:D$401,$U25)))</f>
        <v/>
      </c>
      <c r="E25">
        <f>IF($U25="","",IF(INDEX('Per Invoice'!E$2:E$401,$U25)="","",INDEX('Per Invoice'!E$2:E$401,$U25)))</f>
        <v/>
      </c>
      <c r="F25">
        <f>IF($U25="","",IF(INDEX('Per Invoice'!F$2:F$401,$U25)="","",INDEX('Per Invoice'!F$2:F$401,$U25)))</f>
        <v/>
      </c>
      <c r="G25">
        <f>IF($U25="","",IF(INDEX('Per Invoice'!G$2:G$401,$U25)="","",INDEX('Per Invoice'!G$2:G$401,$U25)))</f>
        <v/>
      </c>
      <c r="H25" s="7">
        <f>IF($U25="","",IF(INDEX('Per Invoice'!H$2:H$401,$U25)="","",INDEX('Per Invoice'!H$2:H$401,$U25)))</f>
        <v/>
      </c>
      <c r="I25" s="14">
        <f>IF($U25="","",IF(INDEX('Per Invoice'!I$2:I$401,$U25)="","",INDEX('Per Invoice'!I$2:I$401,$U25)))</f>
        <v/>
      </c>
      <c r="J25">
        <f>IF($U25="","",IF(INDEX('Per Invoice'!J$2:J$401,$U25)="","",INDEX('Per Invoice'!J$2:J$401,$U25)))</f>
        <v/>
      </c>
      <c r="K25">
        <f>IF($U25="","",IF(INDEX('Per Invoice'!K$2:K$401,$U25)="","",INDEX('Per Invoice'!K$2:K$401,$U25)))</f>
        <v/>
      </c>
      <c r="L25" s="7">
        <f>IF($U25="","",IF(INDEX('Per Invoice'!L$2:L$401,$U25)="","",INDEX('Per Invoice'!L$2:L$401,$U25)))</f>
        <v/>
      </c>
      <c r="M25" s="7">
        <f>IF($U25="","",IF(INDEX('Per Invoice'!M$2:M$401,$U25)="","",INDEX('Per Invoice'!M$2:M$401,$U25)))</f>
        <v/>
      </c>
      <c r="N25">
        <f>IF($U25="","",IF(INDEX('Per Invoice'!N$2:N$401,$U25)="","",INDEX('Per Invoice'!N$2:N$401,$U25)))</f>
        <v/>
      </c>
      <c r="O25" s="7">
        <f>IF($U25="","",IF(INDEX('Per Invoice'!O$2:O$401,$U25)="","",INDEX('Per Invoice'!O$2:O$401,$U25)))</f>
        <v/>
      </c>
      <c r="P25" s="7">
        <f>IF($U25="","",IF(INDEX('Per Invoice'!P$2:P$401,$U25)="","",INDEX('Per Invoice'!P$2:P$401,$U25)))</f>
        <v/>
      </c>
      <c r="Q25" s="7">
        <f>IF($U25="","",IF(INDEX('Per Invoice'!Q$2:Q$401,$U25)="","",INDEX('Per Invoice'!Q$2:Q$401,$U25)))</f>
        <v/>
      </c>
      <c r="R25" s="7">
        <f>IF($U25="","",IF(INDEX('Per Invoice'!R$2:R$401,$U25)="","",INDEX('Per Invoice'!R$2:R$401,$U25)))</f>
        <v/>
      </c>
      <c r="S25" s="7">
        <f>IF($U25="","",IF(INDEX('Per Invoice'!S$2:S$401,$U25)="","",INDEX('Per Invoice'!S$2:S$401,$U25)))</f>
        <v/>
      </c>
      <c r="T25" s="7">
        <f>IF($U25="","",IF(INDEX('Per Invoice'!T$2:T$401,$U25)="","",INDEX('Per Invoice'!T$2:T$401,$U25)))</f>
        <v/>
      </c>
      <c r="U25" s="16">
        <f>IFERROR(MATCH(Settings!$C$28&amp;"|"&amp;ROWS($U$2:$U25),'Per Invoice'!$V$2:$V$401,0),"")</f>
        <v/>
      </c>
    </row>
    <row r="26">
      <c r="A26">
        <f>IF($U26="","",IF(INDEX('Per Invoice'!A$2:A$401,$U26)="","",INDEX('Per Invoice'!A$2:A$401,$U26)))</f>
        <v/>
      </c>
      <c r="B26">
        <f>IF($U26="","",IF(INDEX('Per Invoice'!B$2:B$401,$U26)="","",INDEX('Per Invoice'!B$2:B$401,$U26)))</f>
        <v/>
      </c>
      <c r="C26">
        <f>IF($U26="","",IF(INDEX('Per Invoice'!C$2:C$401,$U26)="","",INDEX('Per Invoice'!C$2:C$401,$U26)))</f>
        <v/>
      </c>
      <c r="D26">
        <f>IF($U26="","",IF(INDEX('Per Invoice'!D$2:D$401,$U26)="","",INDEX('Per Invoice'!D$2:D$401,$U26)))</f>
        <v/>
      </c>
      <c r="E26">
        <f>IF($U26="","",IF(INDEX('Per Invoice'!E$2:E$401,$U26)="","",INDEX('Per Invoice'!E$2:E$401,$U26)))</f>
        <v/>
      </c>
      <c r="F26">
        <f>IF($U26="","",IF(INDEX('Per Invoice'!F$2:F$401,$U26)="","",INDEX('Per Invoice'!F$2:F$401,$U26)))</f>
        <v/>
      </c>
      <c r="G26">
        <f>IF($U26="","",IF(INDEX('Per Invoice'!G$2:G$401,$U26)="","",INDEX('Per Invoice'!G$2:G$401,$U26)))</f>
        <v/>
      </c>
      <c r="H26" s="7">
        <f>IF($U26="","",IF(INDEX('Per Invoice'!H$2:H$401,$U26)="","",INDEX('Per Invoice'!H$2:H$401,$U26)))</f>
        <v/>
      </c>
      <c r="I26" s="14">
        <f>IF($U26="","",IF(INDEX('Per Invoice'!I$2:I$401,$U26)="","",INDEX('Per Invoice'!I$2:I$401,$U26)))</f>
        <v/>
      </c>
      <c r="J26">
        <f>IF($U26="","",IF(INDEX('Per Invoice'!J$2:J$401,$U26)="","",INDEX('Per Invoice'!J$2:J$401,$U26)))</f>
        <v/>
      </c>
      <c r="K26">
        <f>IF($U26="","",IF(INDEX('Per Invoice'!K$2:K$401,$U26)="","",INDEX('Per Invoice'!K$2:K$401,$U26)))</f>
        <v/>
      </c>
      <c r="L26" s="7">
        <f>IF($U26="","",IF(INDEX('Per Invoice'!L$2:L$401,$U26)="","",INDEX('Per Invoice'!L$2:L$401,$U26)))</f>
        <v/>
      </c>
      <c r="M26" s="7">
        <f>IF($U26="","",IF(INDEX('Per Invoice'!M$2:M$401,$U26)="","",INDEX('Per Invoice'!M$2:M$401,$U26)))</f>
        <v/>
      </c>
      <c r="N26">
        <f>IF($U26="","",IF(INDEX('Per Invoice'!N$2:N$401,$U26)="","",INDEX('Per Invoice'!N$2:N$401,$U26)))</f>
        <v/>
      </c>
      <c r="O26" s="7">
        <f>IF($U26="","",IF(INDEX('Per Invoice'!O$2:O$401,$U26)="","",INDEX('Per Invoice'!O$2:O$401,$U26)))</f>
        <v/>
      </c>
      <c r="P26" s="7">
        <f>IF($U26="","",IF(INDEX('Per Invoice'!P$2:P$401,$U26)="","",INDEX('Per Invoice'!P$2:P$401,$U26)))</f>
        <v/>
      </c>
      <c r="Q26" s="7">
        <f>IF($U26="","",IF(INDEX('Per Invoice'!Q$2:Q$401,$U26)="","",INDEX('Per Invoice'!Q$2:Q$401,$U26)))</f>
        <v/>
      </c>
      <c r="R26" s="7">
        <f>IF($U26="","",IF(INDEX('Per Invoice'!R$2:R$401,$U26)="","",INDEX('Per Invoice'!R$2:R$401,$U26)))</f>
        <v/>
      </c>
      <c r="S26" s="7">
        <f>IF($U26="","",IF(INDEX('Per Invoice'!S$2:S$401,$U26)="","",INDEX('Per Invoice'!S$2:S$401,$U26)))</f>
        <v/>
      </c>
      <c r="T26" s="7">
        <f>IF($U26="","",IF(INDEX('Per Invoice'!T$2:T$401,$U26)="","",INDEX('Per Invoice'!T$2:T$401,$U26)))</f>
        <v/>
      </c>
      <c r="U26" s="16">
        <f>IFERROR(MATCH(Settings!$C$28&amp;"|"&amp;ROWS($U$2:$U26),'Per Invoice'!$V$2:$V$401,0),"")</f>
        <v/>
      </c>
    </row>
    <row r="27">
      <c r="A27">
        <f>IF($U27="","",IF(INDEX('Per Invoice'!A$2:A$401,$U27)="","",INDEX('Per Invoice'!A$2:A$401,$U27)))</f>
        <v/>
      </c>
      <c r="B27">
        <f>IF($U27="","",IF(INDEX('Per Invoice'!B$2:B$401,$U27)="","",INDEX('Per Invoice'!B$2:B$401,$U27)))</f>
        <v/>
      </c>
      <c r="C27">
        <f>IF($U27="","",IF(INDEX('Per Invoice'!C$2:C$401,$U27)="","",INDEX('Per Invoice'!C$2:C$401,$U27)))</f>
        <v/>
      </c>
      <c r="D27">
        <f>IF($U27="","",IF(INDEX('Per Invoice'!D$2:D$401,$U27)="","",INDEX('Per Invoice'!D$2:D$401,$U27)))</f>
        <v/>
      </c>
      <c r="E27">
        <f>IF($U27="","",IF(INDEX('Per Invoice'!E$2:E$401,$U27)="","",INDEX('Per Invoice'!E$2:E$401,$U27)))</f>
        <v/>
      </c>
      <c r="F27">
        <f>IF($U27="","",IF(INDEX('Per Invoice'!F$2:F$401,$U27)="","",INDEX('Per Invoice'!F$2:F$401,$U27)))</f>
        <v/>
      </c>
      <c r="G27">
        <f>IF($U27="","",IF(INDEX('Per Invoice'!G$2:G$401,$U27)="","",INDEX('Per Invoice'!G$2:G$401,$U27)))</f>
        <v/>
      </c>
      <c r="H27" s="7">
        <f>IF($U27="","",IF(INDEX('Per Invoice'!H$2:H$401,$U27)="","",INDEX('Per Invoice'!H$2:H$401,$U27)))</f>
        <v/>
      </c>
      <c r="I27" s="14">
        <f>IF($U27="","",IF(INDEX('Per Invoice'!I$2:I$401,$U27)="","",INDEX('Per Invoice'!I$2:I$401,$U27)))</f>
        <v/>
      </c>
      <c r="J27">
        <f>IF($U27="","",IF(INDEX('Per Invoice'!J$2:J$401,$U27)="","",INDEX('Per Invoice'!J$2:J$401,$U27)))</f>
        <v/>
      </c>
      <c r="K27">
        <f>IF($U27="","",IF(INDEX('Per Invoice'!K$2:K$401,$U27)="","",INDEX('Per Invoice'!K$2:K$401,$U27)))</f>
        <v/>
      </c>
      <c r="L27" s="7">
        <f>IF($U27="","",IF(INDEX('Per Invoice'!L$2:L$401,$U27)="","",INDEX('Per Invoice'!L$2:L$401,$U27)))</f>
        <v/>
      </c>
      <c r="M27" s="7">
        <f>IF($U27="","",IF(INDEX('Per Invoice'!M$2:M$401,$U27)="","",INDEX('Per Invoice'!M$2:M$401,$U27)))</f>
        <v/>
      </c>
      <c r="N27">
        <f>IF($U27="","",IF(INDEX('Per Invoice'!N$2:N$401,$U27)="","",INDEX('Per Invoice'!N$2:N$401,$U27)))</f>
        <v/>
      </c>
      <c r="O27" s="7">
        <f>IF($U27="","",IF(INDEX('Per Invoice'!O$2:O$401,$U27)="","",INDEX('Per Invoice'!O$2:O$401,$U27)))</f>
        <v/>
      </c>
      <c r="P27" s="7">
        <f>IF($U27="","",IF(INDEX('Per Invoice'!P$2:P$401,$U27)="","",INDEX('Per Invoice'!P$2:P$401,$U27)))</f>
        <v/>
      </c>
      <c r="Q27" s="7">
        <f>IF($U27="","",IF(INDEX('Per Invoice'!Q$2:Q$401,$U27)="","",INDEX('Per Invoice'!Q$2:Q$401,$U27)))</f>
        <v/>
      </c>
      <c r="R27" s="7">
        <f>IF($U27="","",IF(INDEX('Per Invoice'!R$2:R$401,$U27)="","",INDEX('Per Invoice'!R$2:R$401,$U27)))</f>
        <v/>
      </c>
      <c r="S27" s="7">
        <f>IF($U27="","",IF(INDEX('Per Invoice'!S$2:S$401,$U27)="","",INDEX('Per Invoice'!S$2:S$401,$U27)))</f>
        <v/>
      </c>
      <c r="T27" s="7">
        <f>IF($U27="","",IF(INDEX('Per Invoice'!T$2:T$401,$U27)="","",INDEX('Per Invoice'!T$2:T$401,$U27)))</f>
        <v/>
      </c>
      <c r="U27" s="16">
        <f>IFERROR(MATCH(Settings!$C$28&amp;"|"&amp;ROWS($U$2:$U27),'Per Invoice'!$V$2:$V$401,0),"")</f>
        <v/>
      </c>
    </row>
    <row r="28">
      <c r="A28">
        <f>IF($U28="","",IF(INDEX('Per Invoice'!A$2:A$401,$U28)="","",INDEX('Per Invoice'!A$2:A$401,$U28)))</f>
        <v/>
      </c>
      <c r="B28">
        <f>IF($U28="","",IF(INDEX('Per Invoice'!B$2:B$401,$U28)="","",INDEX('Per Invoice'!B$2:B$401,$U28)))</f>
        <v/>
      </c>
      <c r="C28">
        <f>IF($U28="","",IF(INDEX('Per Invoice'!C$2:C$401,$U28)="","",INDEX('Per Invoice'!C$2:C$401,$U28)))</f>
        <v/>
      </c>
      <c r="D28">
        <f>IF($U28="","",IF(INDEX('Per Invoice'!D$2:D$401,$U28)="","",INDEX('Per Invoice'!D$2:D$401,$U28)))</f>
        <v/>
      </c>
      <c r="E28">
        <f>IF($U28="","",IF(INDEX('Per Invoice'!E$2:E$401,$U28)="","",INDEX('Per Invoice'!E$2:E$401,$U28)))</f>
        <v/>
      </c>
      <c r="F28">
        <f>IF($U28="","",IF(INDEX('Per Invoice'!F$2:F$401,$U28)="","",INDEX('Per Invoice'!F$2:F$401,$U28)))</f>
        <v/>
      </c>
      <c r="G28">
        <f>IF($U28="","",IF(INDEX('Per Invoice'!G$2:G$401,$U28)="","",INDEX('Per Invoice'!G$2:G$401,$U28)))</f>
        <v/>
      </c>
      <c r="H28" s="7">
        <f>IF($U28="","",IF(INDEX('Per Invoice'!H$2:H$401,$U28)="","",INDEX('Per Invoice'!H$2:H$401,$U28)))</f>
        <v/>
      </c>
      <c r="I28" s="14">
        <f>IF($U28="","",IF(INDEX('Per Invoice'!I$2:I$401,$U28)="","",INDEX('Per Invoice'!I$2:I$401,$U28)))</f>
        <v/>
      </c>
      <c r="J28">
        <f>IF($U28="","",IF(INDEX('Per Invoice'!J$2:J$401,$U28)="","",INDEX('Per Invoice'!J$2:J$401,$U28)))</f>
        <v/>
      </c>
      <c r="K28">
        <f>IF($U28="","",IF(INDEX('Per Invoice'!K$2:K$401,$U28)="","",INDEX('Per Invoice'!K$2:K$401,$U28)))</f>
        <v/>
      </c>
      <c r="L28" s="7">
        <f>IF($U28="","",IF(INDEX('Per Invoice'!L$2:L$401,$U28)="","",INDEX('Per Invoice'!L$2:L$401,$U28)))</f>
        <v/>
      </c>
      <c r="M28" s="7">
        <f>IF($U28="","",IF(INDEX('Per Invoice'!M$2:M$401,$U28)="","",INDEX('Per Invoice'!M$2:M$401,$U28)))</f>
        <v/>
      </c>
      <c r="N28">
        <f>IF($U28="","",IF(INDEX('Per Invoice'!N$2:N$401,$U28)="","",INDEX('Per Invoice'!N$2:N$401,$U28)))</f>
        <v/>
      </c>
      <c r="O28" s="7">
        <f>IF($U28="","",IF(INDEX('Per Invoice'!O$2:O$401,$U28)="","",INDEX('Per Invoice'!O$2:O$401,$U28)))</f>
        <v/>
      </c>
      <c r="P28" s="7">
        <f>IF($U28="","",IF(INDEX('Per Invoice'!P$2:P$401,$U28)="","",INDEX('Per Invoice'!P$2:P$401,$U28)))</f>
        <v/>
      </c>
      <c r="Q28" s="7">
        <f>IF($U28="","",IF(INDEX('Per Invoice'!Q$2:Q$401,$U28)="","",INDEX('Per Invoice'!Q$2:Q$401,$U28)))</f>
        <v/>
      </c>
      <c r="R28" s="7">
        <f>IF($U28="","",IF(INDEX('Per Invoice'!R$2:R$401,$U28)="","",INDEX('Per Invoice'!R$2:R$401,$U28)))</f>
        <v/>
      </c>
      <c r="S28" s="7">
        <f>IF($U28="","",IF(INDEX('Per Invoice'!S$2:S$401,$U28)="","",INDEX('Per Invoice'!S$2:S$401,$U28)))</f>
        <v/>
      </c>
      <c r="T28" s="7">
        <f>IF($U28="","",IF(INDEX('Per Invoice'!T$2:T$401,$U28)="","",INDEX('Per Invoice'!T$2:T$401,$U28)))</f>
        <v/>
      </c>
      <c r="U28" s="16">
        <f>IFERROR(MATCH(Settings!$C$28&amp;"|"&amp;ROWS($U$2:$U28),'Per Invoice'!$V$2:$V$401,0),"")</f>
        <v/>
      </c>
    </row>
    <row r="29">
      <c r="A29">
        <f>IF($U29="","",IF(INDEX('Per Invoice'!A$2:A$401,$U29)="","",INDEX('Per Invoice'!A$2:A$401,$U29)))</f>
        <v/>
      </c>
      <c r="B29">
        <f>IF($U29="","",IF(INDEX('Per Invoice'!B$2:B$401,$U29)="","",INDEX('Per Invoice'!B$2:B$401,$U29)))</f>
        <v/>
      </c>
      <c r="C29">
        <f>IF($U29="","",IF(INDEX('Per Invoice'!C$2:C$401,$U29)="","",INDEX('Per Invoice'!C$2:C$401,$U29)))</f>
        <v/>
      </c>
      <c r="D29">
        <f>IF($U29="","",IF(INDEX('Per Invoice'!D$2:D$401,$U29)="","",INDEX('Per Invoice'!D$2:D$401,$U29)))</f>
        <v/>
      </c>
      <c r="E29">
        <f>IF($U29="","",IF(INDEX('Per Invoice'!E$2:E$401,$U29)="","",INDEX('Per Invoice'!E$2:E$401,$U29)))</f>
        <v/>
      </c>
      <c r="F29">
        <f>IF($U29="","",IF(INDEX('Per Invoice'!F$2:F$401,$U29)="","",INDEX('Per Invoice'!F$2:F$401,$U29)))</f>
        <v/>
      </c>
      <c r="G29">
        <f>IF($U29="","",IF(INDEX('Per Invoice'!G$2:G$401,$U29)="","",INDEX('Per Invoice'!G$2:G$401,$U29)))</f>
        <v/>
      </c>
      <c r="H29" s="7">
        <f>IF($U29="","",IF(INDEX('Per Invoice'!H$2:H$401,$U29)="","",INDEX('Per Invoice'!H$2:H$401,$U29)))</f>
        <v/>
      </c>
      <c r="I29" s="14">
        <f>IF($U29="","",IF(INDEX('Per Invoice'!I$2:I$401,$U29)="","",INDEX('Per Invoice'!I$2:I$401,$U29)))</f>
        <v/>
      </c>
      <c r="J29">
        <f>IF($U29="","",IF(INDEX('Per Invoice'!J$2:J$401,$U29)="","",INDEX('Per Invoice'!J$2:J$401,$U29)))</f>
        <v/>
      </c>
      <c r="K29">
        <f>IF($U29="","",IF(INDEX('Per Invoice'!K$2:K$401,$U29)="","",INDEX('Per Invoice'!K$2:K$401,$U29)))</f>
        <v/>
      </c>
      <c r="L29" s="7">
        <f>IF($U29="","",IF(INDEX('Per Invoice'!L$2:L$401,$U29)="","",INDEX('Per Invoice'!L$2:L$401,$U29)))</f>
        <v/>
      </c>
      <c r="M29" s="7">
        <f>IF($U29="","",IF(INDEX('Per Invoice'!M$2:M$401,$U29)="","",INDEX('Per Invoice'!M$2:M$401,$U29)))</f>
        <v/>
      </c>
      <c r="N29">
        <f>IF($U29="","",IF(INDEX('Per Invoice'!N$2:N$401,$U29)="","",INDEX('Per Invoice'!N$2:N$401,$U29)))</f>
        <v/>
      </c>
      <c r="O29" s="7">
        <f>IF($U29="","",IF(INDEX('Per Invoice'!O$2:O$401,$U29)="","",INDEX('Per Invoice'!O$2:O$401,$U29)))</f>
        <v/>
      </c>
      <c r="P29" s="7">
        <f>IF($U29="","",IF(INDEX('Per Invoice'!P$2:P$401,$U29)="","",INDEX('Per Invoice'!P$2:P$401,$U29)))</f>
        <v/>
      </c>
      <c r="Q29" s="7">
        <f>IF($U29="","",IF(INDEX('Per Invoice'!Q$2:Q$401,$U29)="","",INDEX('Per Invoice'!Q$2:Q$401,$U29)))</f>
        <v/>
      </c>
      <c r="R29" s="7">
        <f>IF($U29="","",IF(INDEX('Per Invoice'!R$2:R$401,$U29)="","",INDEX('Per Invoice'!R$2:R$401,$U29)))</f>
        <v/>
      </c>
      <c r="S29" s="7">
        <f>IF($U29="","",IF(INDEX('Per Invoice'!S$2:S$401,$U29)="","",INDEX('Per Invoice'!S$2:S$401,$U29)))</f>
        <v/>
      </c>
      <c r="T29" s="7">
        <f>IF($U29="","",IF(INDEX('Per Invoice'!T$2:T$401,$U29)="","",INDEX('Per Invoice'!T$2:T$401,$U29)))</f>
        <v/>
      </c>
      <c r="U29" s="16">
        <f>IFERROR(MATCH(Settings!$C$28&amp;"|"&amp;ROWS($U$2:$U29),'Per Invoice'!$V$2:$V$401,0),"")</f>
        <v/>
      </c>
    </row>
    <row r="30">
      <c r="A30">
        <f>IF($U30="","",IF(INDEX('Per Invoice'!A$2:A$401,$U30)="","",INDEX('Per Invoice'!A$2:A$401,$U30)))</f>
        <v/>
      </c>
      <c r="B30">
        <f>IF($U30="","",IF(INDEX('Per Invoice'!B$2:B$401,$U30)="","",INDEX('Per Invoice'!B$2:B$401,$U30)))</f>
        <v/>
      </c>
      <c r="C30">
        <f>IF($U30="","",IF(INDEX('Per Invoice'!C$2:C$401,$U30)="","",INDEX('Per Invoice'!C$2:C$401,$U30)))</f>
        <v/>
      </c>
      <c r="D30">
        <f>IF($U30="","",IF(INDEX('Per Invoice'!D$2:D$401,$U30)="","",INDEX('Per Invoice'!D$2:D$401,$U30)))</f>
        <v/>
      </c>
      <c r="E30">
        <f>IF($U30="","",IF(INDEX('Per Invoice'!E$2:E$401,$U30)="","",INDEX('Per Invoice'!E$2:E$401,$U30)))</f>
        <v/>
      </c>
      <c r="F30">
        <f>IF($U30="","",IF(INDEX('Per Invoice'!F$2:F$401,$U30)="","",INDEX('Per Invoice'!F$2:F$401,$U30)))</f>
        <v/>
      </c>
      <c r="G30">
        <f>IF($U30="","",IF(INDEX('Per Invoice'!G$2:G$401,$U30)="","",INDEX('Per Invoice'!G$2:G$401,$U30)))</f>
        <v/>
      </c>
      <c r="H30" s="7">
        <f>IF($U30="","",IF(INDEX('Per Invoice'!H$2:H$401,$U30)="","",INDEX('Per Invoice'!H$2:H$401,$U30)))</f>
        <v/>
      </c>
      <c r="I30" s="14">
        <f>IF($U30="","",IF(INDEX('Per Invoice'!I$2:I$401,$U30)="","",INDEX('Per Invoice'!I$2:I$401,$U30)))</f>
        <v/>
      </c>
      <c r="J30">
        <f>IF($U30="","",IF(INDEX('Per Invoice'!J$2:J$401,$U30)="","",INDEX('Per Invoice'!J$2:J$401,$U30)))</f>
        <v/>
      </c>
      <c r="K30">
        <f>IF($U30="","",IF(INDEX('Per Invoice'!K$2:K$401,$U30)="","",INDEX('Per Invoice'!K$2:K$401,$U30)))</f>
        <v/>
      </c>
      <c r="L30" s="7">
        <f>IF($U30="","",IF(INDEX('Per Invoice'!L$2:L$401,$U30)="","",INDEX('Per Invoice'!L$2:L$401,$U30)))</f>
        <v/>
      </c>
      <c r="M30" s="7">
        <f>IF($U30="","",IF(INDEX('Per Invoice'!M$2:M$401,$U30)="","",INDEX('Per Invoice'!M$2:M$401,$U30)))</f>
        <v/>
      </c>
      <c r="N30">
        <f>IF($U30="","",IF(INDEX('Per Invoice'!N$2:N$401,$U30)="","",INDEX('Per Invoice'!N$2:N$401,$U30)))</f>
        <v/>
      </c>
      <c r="O30" s="7">
        <f>IF($U30="","",IF(INDEX('Per Invoice'!O$2:O$401,$U30)="","",INDEX('Per Invoice'!O$2:O$401,$U30)))</f>
        <v/>
      </c>
      <c r="P30" s="7">
        <f>IF($U30="","",IF(INDEX('Per Invoice'!P$2:P$401,$U30)="","",INDEX('Per Invoice'!P$2:P$401,$U30)))</f>
        <v/>
      </c>
      <c r="Q30" s="7">
        <f>IF($U30="","",IF(INDEX('Per Invoice'!Q$2:Q$401,$U30)="","",INDEX('Per Invoice'!Q$2:Q$401,$U30)))</f>
        <v/>
      </c>
      <c r="R30" s="7">
        <f>IF($U30="","",IF(INDEX('Per Invoice'!R$2:R$401,$U30)="","",INDEX('Per Invoice'!R$2:R$401,$U30)))</f>
        <v/>
      </c>
      <c r="S30" s="7">
        <f>IF($U30="","",IF(INDEX('Per Invoice'!S$2:S$401,$U30)="","",INDEX('Per Invoice'!S$2:S$401,$U30)))</f>
        <v/>
      </c>
      <c r="T30" s="7">
        <f>IF($U30="","",IF(INDEX('Per Invoice'!T$2:T$401,$U30)="","",INDEX('Per Invoice'!T$2:T$401,$U30)))</f>
        <v/>
      </c>
      <c r="U30" s="16">
        <f>IFERROR(MATCH(Settings!$C$28&amp;"|"&amp;ROWS($U$2:$U30),'Per Invoice'!$V$2:$V$401,0),"")</f>
        <v/>
      </c>
    </row>
    <row r="31">
      <c r="A31">
        <f>IF($U31="","",IF(INDEX('Per Invoice'!A$2:A$401,$U31)="","",INDEX('Per Invoice'!A$2:A$401,$U31)))</f>
        <v/>
      </c>
      <c r="B31">
        <f>IF($U31="","",IF(INDEX('Per Invoice'!B$2:B$401,$U31)="","",INDEX('Per Invoice'!B$2:B$401,$U31)))</f>
        <v/>
      </c>
      <c r="C31">
        <f>IF($U31="","",IF(INDEX('Per Invoice'!C$2:C$401,$U31)="","",INDEX('Per Invoice'!C$2:C$401,$U31)))</f>
        <v/>
      </c>
      <c r="D31">
        <f>IF($U31="","",IF(INDEX('Per Invoice'!D$2:D$401,$U31)="","",INDEX('Per Invoice'!D$2:D$401,$U31)))</f>
        <v/>
      </c>
      <c r="E31">
        <f>IF($U31="","",IF(INDEX('Per Invoice'!E$2:E$401,$U31)="","",INDEX('Per Invoice'!E$2:E$401,$U31)))</f>
        <v/>
      </c>
      <c r="F31">
        <f>IF($U31="","",IF(INDEX('Per Invoice'!F$2:F$401,$U31)="","",INDEX('Per Invoice'!F$2:F$401,$U31)))</f>
        <v/>
      </c>
      <c r="G31">
        <f>IF($U31="","",IF(INDEX('Per Invoice'!G$2:G$401,$U31)="","",INDEX('Per Invoice'!G$2:G$401,$U31)))</f>
        <v/>
      </c>
      <c r="H31" s="7">
        <f>IF($U31="","",IF(INDEX('Per Invoice'!H$2:H$401,$U31)="","",INDEX('Per Invoice'!H$2:H$401,$U31)))</f>
        <v/>
      </c>
      <c r="I31" s="14">
        <f>IF($U31="","",IF(INDEX('Per Invoice'!I$2:I$401,$U31)="","",INDEX('Per Invoice'!I$2:I$401,$U31)))</f>
        <v/>
      </c>
      <c r="J31">
        <f>IF($U31="","",IF(INDEX('Per Invoice'!J$2:J$401,$U31)="","",INDEX('Per Invoice'!J$2:J$401,$U31)))</f>
        <v/>
      </c>
      <c r="K31">
        <f>IF($U31="","",IF(INDEX('Per Invoice'!K$2:K$401,$U31)="","",INDEX('Per Invoice'!K$2:K$401,$U31)))</f>
        <v/>
      </c>
      <c r="L31" s="7">
        <f>IF($U31="","",IF(INDEX('Per Invoice'!L$2:L$401,$U31)="","",INDEX('Per Invoice'!L$2:L$401,$U31)))</f>
        <v/>
      </c>
      <c r="M31" s="7">
        <f>IF($U31="","",IF(INDEX('Per Invoice'!M$2:M$401,$U31)="","",INDEX('Per Invoice'!M$2:M$401,$U31)))</f>
        <v/>
      </c>
      <c r="N31">
        <f>IF($U31="","",IF(INDEX('Per Invoice'!N$2:N$401,$U31)="","",INDEX('Per Invoice'!N$2:N$401,$U31)))</f>
        <v/>
      </c>
      <c r="O31" s="7">
        <f>IF($U31="","",IF(INDEX('Per Invoice'!O$2:O$401,$U31)="","",INDEX('Per Invoice'!O$2:O$401,$U31)))</f>
        <v/>
      </c>
      <c r="P31" s="7">
        <f>IF($U31="","",IF(INDEX('Per Invoice'!P$2:P$401,$U31)="","",INDEX('Per Invoice'!P$2:P$401,$U31)))</f>
        <v/>
      </c>
      <c r="Q31" s="7">
        <f>IF($U31="","",IF(INDEX('Per Invoice'!Q$2:Q$401,$U31)="","",INDEX('Per Invoice'!Q$2:Q$401,$U31)))</f>
        <v/>
      </c>
      <c r="R31" s="7">
        <f>IF($U31="","",IF(INDEX('Per Invoice'!R$2:R$401,$U31)="","",INDEX('Per Invoice'!R$2:R$401,$U31)))</f>
        <v/>
      </c>
      <c r="S31" s="7">
        <f>IF($U31="","",IF(INDEX('Per Invoice'!S$2:S$401,$U31)="","",INDEX('Per Invoice'!S$2:S$401,$U31)))</f>
        <v/>
      </c>
      <c r="T31" s="7">
        <f>IF($U31="","",IF(INDEX('Per Invoice'!T$2:T$401,$U31)="","",INDEX('Per Invoice'!T$2:T$401,$U31)))</f>
        <v/>
      </c>
      <c r="U31" s="16">
        <f>IFERROR(MATCH(Settings!$C$28&amp;"|"&amp;ROWS($U$2:$U31),'Per Invoice'!$V$2:$V$401,0),"")</f>
        <v/>
      </c>
    </row>
    <row r="32">
      <c r="A32">
        <f>IF($U32="","",IF(INDEX('Per Invoice'!A$2:A$401,$U32)="","",INDEX('Per Invoice'!A$2:A$401,$U32)))</f>
        <v/>
      </c>
      <c r="B32">
        <f>IF($U32="","",IF(INDEX('Per Invoice'!B$2:B$401,$U32)="","",INDEX('Per Invoice'!B$2:B$401,$U32)))</f>
        <v/>
      </c>
      <c r="C32">
        <f>IF($U32="","",IF(INDEX('Per Invoice'!C$2:C$401,$U32)="","",INDEX('Per Invoice'!C$2:C$401,$U32)))</f>
        <v/>
      </c>
      <c r="D32">
        <f>IF($U32="","",IF(INDEX('Per Invoice'!D$2:D$401,$U32)="","",INDEX('Per Invoice'!D$2:D$401,$U32)))</f>
        <v/>
      </c>
      <c r="E32">
        <f>IF($U32="","",IF(INDEX('Per Invoice'!E$2:E$401,$U32)="","",INDEX('Per Invoice'!E$2:E$401,$U32)))</f>
        <v/>
      </c>
      <c r="F32">
        <f>IF($U32="","",IF(INDEX('Per Invoice'!F$2:F$401,$U32)="","",INDEX('Per Invoice'!F$2:F$401,$U32)))</f>
        <v/>
      </c>
      <c r="G32">
        <f>IF($U32="","",IF(INDEX('Per Invoice'!G$2:G$401,$U32)="","",INDEX('Per Invoice'!G$2:G$401,$U32)))</f>
        <v/>
      </c>
      <c r="H32" s="7">
        <f>IF($U32="","",IF(INDEX('Per Invoice'!H$2:H$401,$U32)="","",INDEX('Per Invoice'!H$2:H$401,$U32)))</f>
        <v/>
      </c>
      <c r="I32" s="14">
        <f>IF($U32="","",IF(INDEX('Per Invoice'!I$2:I$401,$U32)="","",INDEX('Per Invoice'!I$2:I$401,$U32)))</f>
        <v/>
      </c>
      <c r="J32">
        <f>IF($U32="","",IF(INDEX('Per Invoice'!J$2:J$401,$U32)="","",INDEX('Per Invoice'!J$2:J$401,$U32)))</f>
        <v/>
      </c>
      <c r="K32">
        <f>IF($U32="","",IF(INDEX('Per Invoice'!K$2:K$401,$U32)="","",INDEX('Per Invoice'!K$2:K$401,$U32)))</f>
        <v/>
      </c>
      <c r="L32" s="7">
        <f>IF($U32="","",IF(INDEX('Per Invoice'!L$2:L$401,$U32)="","",INDEX('Per Invoice'!L$2:L$401,$U32)))</f>
        <v/>
      </c>
      <c r="M32" s="7">
        <f>IF($U32="","",IF(INDEX('Per Invoice'!M$2:M$401,$U32)="","",INDEX('Per Invoice'!M$2:M$401,$U32)))</f>
        <v/>
      </c>
      <c r="N32">
        <f>IF($U32="","",IF(INDEX('Per Invoice'!N$2:N$401,$U32)="","",INDEX('Per Invoice'!N$2:N$401,$U32)))</f>
        <v/>
      </c>
      <c r="O32" s="7">
        <f>IF($U32="","",IF(INDEX('Per Invoice'!O$2:O$401,$U32)="","",INDEX('Per Invoice'!O$2:O$401,$U32)))</f>
        <v/>
      </c>
      <c r="P32" s="7">
        <f>IF($U32="","",IF(INDEX('Per Invoice'!P$2:P$401,$U32)="","",INDEX('Per Invoice'!P$2:P$401,$U32)))</f>
        <v/>
      </c>
      <c r="Q32" s="7">
        <f>IF($U32="","",IF(INDEX('Per Invoice'!Q$2:Q$401,$U32)="","",INDEX('Per Invoice'!Q$2:Q$401,$U32)))</f>
        <v/>
      </c>
      <c r="R32" s="7">
        <f>IF($U32="","",IF(INDEX('Per Invoice'!R$2:R$401,$U32)="","",INDEX('Per Invoice'!R$2:R$401,$U32)))</f>
        <v/>
      </c>
      <c r="S32" s="7">
        <f>IF($U32="","",IF(INDEX('Per Invoice'!S$2:S$401,$U32)="","",INDEX('Per Invoice'!S$2:S$401,$U32)))</f>
        <v/>
      </c>
      <c r="T32" s="7">
        <f>IF($U32="","",IF(INDEX('Per Invoice'!T$2:T$401,$U32)="","",INDEX('Per Invoice'!T$2:T$401,$U32)))</f>
        <v/>
      </c>
      <c r="U32" s="16">
        <f>IFERROR(MATCH(Settings!$C$28&amp;"|"&amp;ROWS($U$2:$U32),'Per Invoice'!$V$2:$V$401,0),"")</f>
        <v/>
      </c>
    </row>
    <row r="33">
      <c r="A33">
        <f>IF($U33="","",IF(INDEX('Per Invoice'!A$2:A$401,$U33)="","",INDEX('Per Invoice'!A$2:A$401,$U33)))</f>
        <v/>
      </c>
      <c r="B33">
        <f>IF($U33="","",IF(INDEX('Per Invoice'!B$2:B$401,$U33)="","",INDEX('Per Invoice'!B$2:B$401,$U33)))</f>
        <v/>
      </c>
      <c r="C33">
        <f>IF($U33="","",IF(INDEX('Per Invoice'!C$2:C$401,$U33)="","",INDEX('Per Invoice'!C$2:C$401,$U33)))</f>
        <v/>
      </c>
      <c r="D33">
        <f>IF($U33="","",IF(INDEX('Per Invoice'!D$2:D$401,$U33)="","",INDEX('Per Invoice'!D$2:D$401,$U33)))</f>
        <v/>
      </c>
      <c r="E33">
        <f>IF($U33="","",IF(INDEX('Per Invoice'!E$2:E$401,$U33)="","",INDEX('Per Invoice'!E$2:E$401,$U33)))</f>
        <v/>
      </c>
      <c r="F33">
        <f>IF($U33="","",IF(INDEX('Per Invoice'!F$2:F$401,$U33)="","",INDEX('Per Invoice'!F$2:F$401,$U33)))</f>
        <v/>
      </c>
      <c r="G33">
        <f>IF($U33="","",IF(INDEX('Per Invoice'!G$2:G$401,$U33)="","",INDEX('Per Invoice'!G$2:G$401,$U33)))</f>
        <v/>
      </c>
      <c r="H33" s="7">
        <f>IF($U33="","",IF(INDEX('Per Invoice'!H$2:H$401,$U33)="","",INDEX('Per Invoice'!H$2:H$401,$U33)))</f>
        <v/>
      </c>
      <c r="I33" s="14">
        <f>IF($U33="","",IF(INDEX('Per Invoice'!I$2:I$401,$U33)="","",INDEX('Per Invoice'!I$2:I$401,$U33)))</f>
        <v/>
      </c>
      <c r="J33">
        <f>IF($U33="","",IF(INDEX('Per Invoice'!J$2:J$401,$U33)="","",INDEX('Per Invoice'!J$2:J$401,$U33)))</f>
        <v/>
      </c>
      <c r="K33">
        <f>IF($U33="","",IF(INDEX('Per Invoice'!K$2:K$401,$U33)="","",INDEX('Per Invoice'!K$2:K$401,$U33)))</f>
        <v/>
      </c>
      <c r="L33" s="7">
        <f>IF($U33="","",IF(INDEX('Per Invoice'!L$2:L$401,$U33)="","",INDEX('Per Invoice'!L$2:L$401,$U33)))</f>
        <v/>
      </c>
      <c r="M33" s="7">
        <f>IF($U33="","",IF(INDEX('Per Invoice'!M$2:M$401,$U33)="","",INDEX('Per Invoice'!M$2:M$401,$U33)))</f>
        <v/>
      </c>
      <c r="N33">
        <f>IF($U33="","",IF(INDEX('Per Invoice'!N$2:N$401,$U33)="","",INDEX('Per Invoice'!N$2:N$401,$U33)))</f>
        <v/>
      </c>
      <c r="O33" s="7">
        <f>IF($U33="","",IF(INDEX('Per Invoice'!O$2:O$401,$U33)="","",INDEX('Per Invoice'!O$2:O$401,$U33)))</f>
        <v/>
      </c>
      <c r="P33" s="7">
        <f>IF($U33="","",IF(INDEX('Per Invoice'!P$2:P$401,$U33)="","",INDEX('Per Invoice'!P$2:P$401,$U33)))</f>
        <v/>
      </c>
      <c r="Q33" s="7">
        <f>IF($U33="","",IF(INDEX('Per Invoice'!Q$2:Q$401,$U33)="","",INDEX('Per Invoice'!Q$2:Q$401,$U33)))</f>
        <v/>
      </c>
      <c r="R33" s="7">
        <f>IF($U33="","",IF(INDEX('Per Invoice'!R$2:R$401,$U33)="","",INDEX('Per Invoice'!R$2:R$401,$U33)))</f>
        <v/>
      </c>
      <c r="S33" s="7">
        <f>IF($U33="","",IF(INDEX('Per Invoice'!S$2:S$401,$U33)="","",INDEX('Per Invoice'!S$2:S$401,$U33)))</f>
        <v/>
      </c>
      <c r="T33" s="7">
        <f>IF($U33="","",IF(INDEX('Per Invoice'!T$2:T$401,$U33)="","",INDEX('Per Invoice'!T$2:T$401,$U33)))</f>
        <v/>
      </c>
      <c r="U33" s="16">
        <f>IFERROR(MATCH(Settings!$C$28&amp;"|"&amp;ROWS($U$2:$U33),'Per Invoice'!$V$2:$V$401,0),"")</f>
        <v/>
      </c>
    </row>
    <row r="34">
      <c r="A34">
        <f>IF($U34="","",IF(INDEX('Per Invoice'!A$2:A$401,$U34)="","",INDEX('Per Invoice'!A$2:A$401,$U34)))</f>
        <v/>
      </c>
      <c r="B34">
        <f>IF($U34="","",IF(INDEX('Per Invoice'!B$2:B$401,$U34)="","",INDEX('Per Invoice'!B$2:B$401,$U34)))</f>
        <v/>
      </c>
      <c r="C34">
        <f>IF($U34="","",IF(INDEX('Per Invoice'!C$2:C$401,$U34)="","",INDEX('Per Invoice'!C$2:C$401,$U34)))</f>
        <v/>
      </c>
      <c r="D34">
        <f>IF($U34="","",IF(INDEX('Per Invoice'!D$2:D$401,$U34)="","",INDEX('Per Invoice'!D$2:D$401,$U34)))</f>
        <v/>
      </c>
      <c r="E34">
        <f>IF($U34="","",IF(INDEX('Per Invoice'!E$2:E$401,$U34)="","",INDEX('Per Invoice'!E$2:E$401,$U34)))</f>
        <v/>
      </c>
      <c r="F34">
        <f>IF($U34="","",IF(INDEX('Per Invoice'!F$2:F$401,$U34)="","",INDEX('Per Invoice'!F$2:F$401,$U34)))</f>
        <v/>
      </c>
      <c r="G34">
        <f>IF($U34="","",IF(INDEX('Per Invoice'!G$2:G$401,$U34)="","",INDEX('Per Invoice'!G$2:G$401,$U34)))</f>
        <v/>
      </c>
      <c r="H34" s="7">
        <f>IF($U34="","",IF(INDEX('Per Invoice'!H$2:H$401,$U34)="","",INDEX('Per Invoice'!H$2:H$401,$U34)))</f>
        <v/>
      </c>
      <c r="I34" s="14">
        <f>IF($U34="","",IF(INDEX('Per Invoice'!I$2:I$401,$U34)="","",INDEX('Per Invoice'!I$2:I$401,$U34)))</f>
        <v/>
      </c>
      <c r="J34">
        <f>IF($U34="","",IF(INDEX('Per Invoice'!J$2:J$401,$U34)="","",INDEX('Per Invoice'!J$2:J$401,$U34)))</f>
        <v/>
      </c>
      <c r="K34">
        <f>IF($U34="","",IF(INDEX('Per Invoice'!K$2:K$401,$U34)="","",INDEX('Per Invoice'!K$2:K$401,$U34)))</f>
        <v/>
      </c>
      <c r="L34" s="7">
        <f>IF($U34="","",IF(INDEX('Per Invoice'!L$2:L$401,$U34)="","",INDEX('Per Invoice'!L$2:L$401,$U34)))</f>
        <v/>
      </c>
      <c r="M34" s="7">
        <f>IF($U34="","",IF(INDEX('Per Invoice'!M$2:M$401,$U34)="","",INDEX('Per Invoice'!M$2:M$401,$U34)))</f>
        <v/>
      </c>
      <c r="N34">
        <f>IF($U34="","",IF(INDEX('Per Invoice'!N$2:N$401,$U34)="","",INDEX('Per Invoice'!N$2:N$401,$U34)))</f>
        <v/>
      </c>
      <c r="O34" s="7">
        <f>IF($U34="","",IF(INDEX('Per Invoice'!O$2:O$401,$U34)="","",INDEX('Per Invoice'!O$2:O$401,$U34)))</f>
        <v/>
      </c>
      <c r="P34" s="7">
        <f>IF($U34="","",IF(INDEX('Per Invoice'!P$2:P$401,$U34)="","",INDEX('Per Invoice'!P$2:P$401,$U34)))</f>
        <v/>
      </c>
      <c r="Q34" s="7">
        <f>IF($U34="","",IF(INDEX('Per Invoice'!Q$2:Q$401,$U34)="","",INDEX('Per Invoice'!Q$2:Q$401,$U34)))</f>
        <v/>
      </c>
      <c r="R34" s="7">
        <f>IF($U34="","",IF(INDEX('Per Invoice'!R$2:R$401,$U34)="","",INDEX('Per Invoice'!R$2:R$401,$U34)))</f>
        <v/>
      </c>
      <c r="S34" s="7">
        <f>IF($U34="","",IF(INDEX('Per Invoice'!S$2:S$401,$U34)="","",INDEX('Per Invoice'!S$2:S$401,$U34)))</f>
        <v/>
      </c>
      <c r="T34" s="7">
        <f>IF($U34="","",IF(INDEX('Per Invoice'!T$2:T$401,$U34)="","",INDEX('Per Invoice'!T$2:T$401,$U34)))</f>
        <v/>
      </c>
      <c r="U34" s="16">
        <f>IFERROR(MATCH(Settings!$C$28&amp;"|"&amp;ROWS($U$2:$U34),'Per Invoice'!$V$2:$V$401,0),"")</f>
        <v/>
      </c>
    </row>
    <row r="35">
      <c r="A35">
        <f>IF($U35="","",IF(INDEX('Per Invoice'!A$2:A$401,$U35)="","",INDEX('Per Invoice'!A$2:A$401,$U35)))</f>
        <v/>
      </c>
      <c r="B35">
        <f>IF($U35="","",IF(INDEX('Per Invoice'!B$2:B$401,$U35)="","",INDEX('Per Invoice'!B$2:B$401,$U35)))</f>
        <v/>
      </c>
      <c r="C35">
        <f>IF($U35="","",IF(INDEX('Per Invoice'!C$2:C$401,$U35)="","",INDEX('Per Invoice'!C$2:C$401,$U35)))</f>
        <v/>
      </c>
      <c r="D35">
        <f>IF($U35="","",IF(INDEX('Per Invoice'!D$2:D$401,$U35)="","",INDEX('Per Invoice'!D$2:D$401,$U35)))</f>
        <v/>
      </c>
      <c r="E35">
        <f>IF($U35="","",IF(INDEX('Per Invoice'!E$2:E$401,$U35)="","",INDEX('Per Invoice'!E$2:E$401,$U35)))</f>
        <v/>
      </c>
      <c r="F35">
        <f>IF($U35="","",IF(INDEX('Per Invoice'!F$2:F$401,$U35)="","",INDEX('Per Invoice'!F$2:F$401,$U35)))</f>
        <v/>
      </c>
      <c r="G35">
        <f>IF($U35="","",IF(INDEX('Per Invoice'!G$2:G$401,$U35)="","",INDEX('Per Invoice'!G$2:G$401,$U35)))</f>
        <v/>
      </c>
      <c r="H35" s="7">
        <f>IF($U35="","",IF(INDEX('Per Invoice'!H$2:H$401,$U35)="","",INDEX('Per Invoice'!H$2:H$401,$U35)))</f>
        <v/>
      </c>
      <c r="I35" s="14">
        <f>IF($U35="","",IF(INDEX('Per Invoice'!I$2:I$401,$U35)="","",INDEX('Per Invoice'!I$2:I$401,$U35)))</f>
        <v/>
      </c>
      <c r="J35">
        <f>IF($U35="","",IF(INDEX('Per Invoice'!J$2:J$401,$U35)="","",INDEX('Per Invoice'!J$2:J$401,$U35)))</f>
        <v/>
      </c>
      <c r="K35">
        <f>IF($U35="","",IF(INDEX('Per Invoice'!K$2:K$401,$U35)="","",INDEX('Per Invoice'!K$2:K$401,$U35)))</f>
        <v/>
      </c>
      <c r="L35" s="7">
        <f>IF($U35="","",IF(INDEX('Per Invoice'!L$2:L$401,$U35)="","",INDEX('Per Invoice'!L$2:L$401,$U35)))</f>
        <v/>
      </c>
      <c r="M35" s="7">
        <f>IF($U35="","",IF(INDEX('Per Invoice'!M$2:M$401,$U35)="","",INDEX('Per Invoice'!M$2:M$401,$U35)))</f>
        <v/>
      </c>
      <c r="N35">
        <f>IF($U35="","",IF(INDEX('Per Invoice'!N$2:N$401,$U35)="","",INDEX('Per Invoice'!N$2:N$401,$U35)))</f>
        <v/>
      </c>
      <c r="O35" s="7">
        <f>IF($U35="","",IF(INDEX('Per Invoice'!O$2:O$401,$U35)="","",INDEX('Per Invoice'!O$2:O$401,$U35)))</f>
        <v/>
      </c>
      <c r="P35" s="7">
        <f>IF($U35="","",IF(INDEX('Per Invoice'!P$2:P$401,$U35)="","",INDEX('Per Invoice'!P$2:P$401,$U35)))</f>
        <v/>
      </c>
      <c r="Q35" s="7">
        <f>IF($U35="","",IF(INDEX('Per Invoice'!Q$2:Q$401,$U35)="","",INDEX('Per Invoice'!Q$2:Q$401,$U35)))</f>
        <v/>
      </c>
      <c r="R35" s="7">
        <f>IF($U35="","",IF(INDEX('Per Invoice'!R$2:R$401,$U35)="","",INDEX('Per Invoice'!R$2:R$401,$U35)))</f>
        <v/>
      </c>
      <c r="S35" s="7">
        <f>IF($U35="","",IF(INDEX('Per Invoice'!S$2:S$401,$U35)="","",INDEX('Per Invoice'!S$2:S$401,$U35)))</f>
        <v/>
      </c>
      <c r="T35" s="7">
        <f>IF($U35="","",IF(INDEX('Per Invoice'!T$2:T$401,$U35)="","",INDEX('Per Invoice'!T$2:T$401,$U35)))</f>
        <v/>
      </c>
      <c r="U35" s="16">
        <f>IFERROR(MATCH(Settings!$C$28&amp;"|"&amp;ROWS($U$2:$U35),'Per Invoice'!$V$2:$V$401,0),"")</f>
        <v/>
      </c>
    </row>
    <row r="36">
      <c r="A36">
        <f>IF($U36="","",IF(INDEX('Per Invoice'!A$2:A$401,$U36)="","",INDEX('Per Invoice'!A$2:A$401,$U36)))</f>
        <v/>
      </c>
      <c r="B36">
        <f>IF($U36="","",IF(INDEX('Per Invoice'!B$2:B$401,$U36)="","",INDEX('Per Invoice'!B$2:B$401,$U36)))</f>
        <v/>
      </c>
      <c r="C36">
        <f>IF($U36="","",IF(INDEX('Per Invoice'!C$2:C$401,$U36)="","",INDEX('Per Invoice'!C$2:C$401,$U36)))</f>
        <v/>
      </c>
      <c r="D36">
        <f>IF($U36="","",IF(INDEX('Per Invoice'!D$2:D$401,$U36)="","",INDEX('Per Invoice'!D$2:D$401,$U36)))</f>
        <v/>
      </c>
      <c r="E36">
        <f>IF($U36="","",IF(INDEX('Per Invoice'!E$2:E$401,$U36)="","",INDEX('Per Invoice'!E$2:E$401,$U36)))</f>
        <v/>
      </c>
      <c r="F36">
        <f>IF($U36="","",IF(INDEX('Per Invoice'!F$2:F$401,$U36)="","",INDEX('Per Invoice'!F$2:F$401,$U36)))</f>
        <v/>
      </c>
      <c r="G36">
        <f>IF($U36="","",IF(INDEX('Per Invoice'!G$2:G$401,$U36)="","",INDEX('Per Invoice'!G$2:G$401,$U36)))</f>
        <v/>
      </c>
      <c r="H36" s="7">
        <f>IF($U36="","",IF(INDEX('Per Invoice'!H$2:H$401,$U36)="","",INDEX('Per Invoice'!H$2:H$401,$U36)))</f>
        <v/>
      </c>
      <c r="I36" s="14">
        <f>IF($U36="","",IF(INDEX('Per Invoice'!I$2:I$401,$U36)="","",INDEX('Per Invoice'!I$2:I$401,$U36)))</f>
        <v/>
      </c>
      <c r="J36">
        <f>IF($U36="","",IF(INDEX('Per Invoice'!J$2:J$401,$U36)="","",INDEX('Per Invoice'!J$2:J$401,$U36)))</f>
        <v/>
      </c>
      <c r="K36">
        <f>IF($U36="","",IF(INDEX('Per Invoice'!K$2:K$401,$U36)="","",INDEX('Per Invoice'!K$2:K$401,$U36)))</f>
        <v/>
      </c>
      <c r="L36" s="7">
        <f>IF($U36="","",IF(INDEX('Per Invoice'!L$2:L$401,$U36)="","",INDEX('Per Invoice'!L$2:L$401,$U36)))</f>
        <v/>
      </c>
      <c r="M36" s="7">
        <f>IF($U36="","",IF(INDEX('Per Invoice'!M$2:M$401,$U36)="","",INDEX('Per Invoice'!M$2:M$401,$U36)))</f>
        <v/>
      </c>
      <c r="N36">
        <f>IF($U36="","",IF(INDEX('Per Invoice'!N$2:N$401,$U36)="","",INDEX('Per Invoice'!N$2:N$401,$U36)))</f>
        <v/>
      </c>
      <c r="O36" s="7">
        <f>IF($U36="","",IF(INDEX('Per Invoice'!O$2:O$401,$U36)="","",INDEX('Per Invoice'!O$2:O$401,$U36)))</f>
        <v/>
      </c>
      <c r="P36" s="7">
        <f>IF($U36="","",IF(INDEX('Per Invoice'!P$2:P$401,$U36)="","",INDEX('Per Invoice'!P$2:P$401,$U36)))</f>
        <v/>
      </c>
      <c r="Q36" s="7">
        <f>IF($U36="","",IF(INDEX('Per Invoice'!Q$2:Q$401,$U36)="","",INDEX('Per Invoice'!Q$2:Q$401,$U36)))</f>
        <v/>
      </c>
      <c r="R36" s="7">
        <f>IF($U36="","",IF(INDEX('Per Invoice'!R$2:R$401,$U36)="","",INDEX('Per Invoice'!R$2:R$401,$U36)))</f>
        <v/>
      </c>
      <c r="S36" s="7">
        <f>IF($U36="","",IF(INDEX('Per Invoice'!S$2:S$401,$U36)="","",INDEX('Per Invoice'!S$2:S$401,$U36)))</f>
        <v/>
      </c>
      <c r="T36" s="7">
        <f>IF($U36="","",IF(INDEX('Per Invoice'!T$2:T$401,$U36)="","",INDEX('Per Invoice'!T$2:T$401,$U36)))</f>
        <v/>
      </c>
      <c r="U36" s="16">
        <f>IFERROR(MATCH(Settings!$C$28&amp;"|"&amp;ROWS($U$2:$U36),'Per Invoice'!$V$2:$V$401,0),"")</f>
        <v/>
      </c>
    </row>
    <row r="37">
      <c r="A37">
        <f>IF($U37="","",IF(INDEX('Per Invoice'!A$2:A$401,$U37)="","",INDEX('Per Invoice'!A$2:A$401,$U37)))</f>
        <v/>
      </c>
      <c r="B37">
        <f>IF($U37="","",IF(INDEX('Per Invoice'!B$2:B$401,$U37)="","",INDEX('Per Invoice'!B$2:B$401,$U37)))</f>
        <v/>
      </c>
      <c r="C37">
        <f>IF($U37="","",IF(INDEX('Per Invoice'!C$2:C$401,$U37)="","",INDEX('Per Invoice'!C$2:C$401,$U37)))</f>
        <v/>
      </c>
      <c r="D37">
        <f>IF($U37="","",IF(INDEX('Per Invoice'!D$2:D$401,$U37)="","",INDEX('Per Invoice'!D$2:D$401,$U37)))</f>
        <v/>
      </c>
      <c r="E37">
        <f>IF($U37="","",IF(INDEX('Per Invoice'!E$2:E$401,$U37)="","",INDEX('Per Invoice'!E$2:E$401,$U37)))</f>
        <v/>
      </c>
      <c r="F37">
        <f>IF($U37="","",IF(INDEX('Per Invoice'!F$2:F$401,$U37)="","",INDEX('Per Invoice'!F$2:F$401,$U37)))</f>
        <v/>
      </c>
      <c r="G37">
        <f>IF($U37="","",IF(INDEX('Per Invoice'!G$2:G$401,$U37)="","",INDEX('Per Invoice'!G$2:G$401,$U37)))</f>
        <v/>
      </c>
      <c r="H37" s="7">
        <f>IF($U37="","",IF(INDEX('Per Invoice'!H$2:H$401,$U37)="","",INDEX('Per Invoice'!H$2:H$401,$U37)))</f>
        <v/>
      </c>
      <c r="I37" s="14">
        <f>IF($U37="","",IF(INDEX('Per Invoice'!I$2:I$401,$U37)="","",INDEX('Per Invoice'!I$2:I$401,$U37)))</f>
        <v/>
      </c>
      <c r="J37">
        <f>IF($U37="","",IF(INDEX('Per Invoice'!J$2:J$401,$U37)="","",INDEX('Per Invoice'!J$2:J$401,$U37)))</f>
        <v/>
      </c>
      <c r="K37">
        <f>IF($U37="","",IF(INDEX('Per Invoice'!K$2:K$401,$U37)="","",INDEX('Per Invoice'!K$2:K$401,$U37)))</f>
        <v/>
      </c>
      <c r="L37" s="7">
        <f>IF($U37="","",IF(INDEX('Per Invoice'!L$2:L$401,$U37)="","",INDEX('Per Invoice'!L$2:L$401,$U37)))</f>
        <v/>
      </c>
      <c r="M37" s="7">
        <f>IF($U37="","",IF(INDEX('Per Invoice'!M$2:M$401,$U37)="","",INDEX('Per Invoice'!M$2:M$401,$U37)))</f>
        <v/>
      </c>
      <c r="N37">
        <f>IF($U37="","",IF(INDEX('Per Invoice'!N$2:N$401,$U37)="","",INDEX('Per Invoice'!N$2:N$401,$U37)))</f>
        <v/>
      </c>
      <c r="O37" s="7">
        <f>IF($U37="","",IF(INDEX('Per Invoice'!O$2:O$401,$U37)="","",INDEX('Per Invoice'!O$2:O$401,$U37)))</f>
        <v/>
      </c>
      <c r="P37" s="7">
        <f>IF($U37="","",IF(INDEX('Per Invoice'!P$2:P$401,$U37)="","",INDEX('Per Invoice'!P$2:P$401,$U37)))</f>
        <v/>
      </c>
      <c r="Q37" s="7">
        <f>IF($U37="","",IF(INDEX('Per Invoice'!Q$2:Q$401,$U37)="","",INDEX('Per Invoice'!Q$2:Q$401,$U37)))</f>
        <v/>
      </c>
      <c r="R37" s="7">
        <f>IF($U37="","",IF(INDEX('Per Invoice'!R$2:R$401,$U37)="","",INDEX('Per Invoice'!R$2:R$401,$U37)))</f>
        <v/>
      </c>
      <c r="S37" s="7">
        <f>IF($U37="","",IF(INDEX('Per Invoice'!S$2:S$401,$U37)="","",INDEX('Per Invoice'!S$2:S$401,$U37)))</f>
        <v/>
      </c>
      <c r="T37" s="7">
        <f>IF($U37="","",IF(INDEX('Per Invoice'!T$2:T$401,$U37)="","",INDEX('Per Invoice'!T$2:T$401,$U37)))</f>
        <v/>
      </c>
      <c r="U37" s="16">
        <f>IFERROR(MATCH(Settings!$C$28&amp;"|"&amp;ROWS($U$2:$U37),'Per Invoice'!$V$2:$V$401,0),"")</f>
        <v/>
      </c>
    </row>
    <row r="38">
      <c r="A38">
        <f>IF($U38="","",IF(INDEX('Per Invoice'!A$2:A$401,$U38)="","",INDEX('Per Invoice'!A$2:A$401,$U38)))</f>
        <v/>
      </c>
      <c r="B38">
        <f>IF($U38="","",IF(INDEX('Per Invoice'!B$2:B$401,$U38)="","",INDEX('Per Invoice'!B$2:B$401,$U38)))</f>
        <v/>
      </c>
      <c r="C38">
        <f>IF($U38="","",IF(INDEX('Per Invoice'!C$2:C$401,$U38)="","",INDEX('Per Invoice'!C$2:C$401,$U38)))</f>
        <v/>
      </c>
      <c r="D38">
        <f>IF($U38="","",IF(INDEX('Per Invoice'!D$2:D$401,$U38)="","",INDEX('Per Invoice'!D$2:D$401,$U38)))</f>
        <v/>
      </c>
      <c r="E38">
        <f>IF($U38="","",IF(INDEX('Per Invoice'!E$2:E$401,$U38)="","",INDEX('Per Invoice'!E$2:E$401,$U38)))</f>
        <v/>
      </c>
      <c r="F38">
        <f>IF($U38="","",IF(INDEX('Per Invoice'!F$2:F$401,$U38)="","",INDEX('Per Invoice'!F$2:F$401,$U38)))</f>
        <v/>
      </c>
      <c r="G38">
        <f>IF($U38="","",IF(INDEX('Per Invoice'!G$2:G$401,$U38)="","",INDEX('Per Invoice'!G$2:G$401,$U38)))</f>
        <v/>
      </c>
      <c r="H38" s="7">
        <f>IF($U38="","",IF(INDEX('Per Invoice'!H$2:H$401,$U38)="","",INDEX('Per Invoice'!H$2:H$401,$U38)))</f>
        <v/>
      </c>
      <c r="I38" s="14">
        <f>IF($U38="","",IF(INDEX('Per Invoice'!I$2:I$401,$U38)="","",INDEX('Per Invoice'!I$2:I$401,$U38)))</f>
        <v/>
      </c>
      <c r="J38">
        <f>IF($U38="","",IF(INDEX('Per Invoice'!J$2:J$401,$U38)="","",INDEX('Per Invoice'!J$2:J$401,$U38)))</f>
        <v/>
      </c>
      <c r="K38">
        <f>IF($U38="","",IF(INDEX('Per Invoice'!K$2:K$401,$U38)="","",INDEX('Per Invoice'!K$2:K$401,$U38)))</f>
        <v/>
      </c>
      <c r="L38" s="7">
        <f>IF($U38="","",IF(INDEX('Per Invoice'!L$2:L$401,$U38)="","",INDEX('Per Invoice'!L$2:L$401,$U38)))</f>
        <v/>
      </c>
      <c r="M38" s="7">
        <f>IF($U38="","",IF(INDEX('Per Invoice'!M$2:M$401,$U38)="","",INDEX('Per Invoice'!M$2:M$401,$U38)))</f>
        <v/>
      </c>
      <c r="N38">
        <f>IF($U38="","",IF(INDEX('Per Invoice'!N$2:N$401,$U38)="","",INDEX('Per Invoice'!N$2:N$401,$U38)))</f>
        <v/>
      </c>
      <c r="O38" s="7">
        <f>IF($U38="","",IF(INDEX('Per Invoice'!O$2:O$401,$U38)="","",INDEX('Per Invoice'!O$2:O$401,$U38)))</f>
        <v/>
      </c>
      <c r="P38" s="7">
        <f>IF($U38="","",IF(INDEX('Per Invoice'!P$2:P$401,$U38)="","",INDEX('Per Invoice'!P$2:P$401,$U38)))</f>
        <v/>
      </c>
      <c r="Q38" s="7">
        <f>IF($U38="","",IF(INDEX('Per Invoice'!Q$2:Q$401,$U38)="","",INDEX('Per Invoice'!Q$2:Q$401,$U38)))</f>
        <v/>
      </c>
      <c r="R38" s="7">
        <f>IF($U38="","",IF(INDEX('Per Invoice'!R$2:R$401,$U38)="","",INDEX('Per Invoice'!R$2:R$401,$U38)))</f>
        <v/>
      </c>
      <c r="S38" s="7">
        <f>IF($U38="","",IF(INDEX('Per Invoice'!S$2:S$401,$U38)="","",INDEX('Per Invoice'!S$2:S$401,$U38)))</f>
        <v/>
      </c>
      <c r="T38" s="7">
        <f>IF($U38="","",IF(INDEX('Per Invoice'!T$2:T$401,$U38)="","",INDEX('Per Invoice'!T$2:T$401,$U38)))</f>
        <v/>
      </c>
      <c r="U38" s="16">
        <f>IFERROR(MATCH(Settings!$C$28&amp;"|"&amp;ROWS($U$2:$U38),'Per Invoice'!$V$2:$V$401,0),"")</f>
        <v/>
      </c>
    </row>
    <row r="39">
      <c r="A39">
        <f>IF($U39="","",IF(INDEX('Per Invoice'!A$2:A$401,$U39)="","",INDEX('Per Invoice'!A$2:A$401,$U39)))</f>
        <v/>
      </c>
      <c r="B39">
        <f>IF($U39="","",IF(INDEX('Per Invoice'!B$2:B$401,$U39)="","",INDEX('Per Invoice'!B$2:B$401,$U39)))</f>
        <v/>
      </c>
      <c r="C39">
        <f>IF($U39="","",IF(INDEX('Per Invoice'!C$2:C$401,$U39)="","",INDEX('Per Invoice'!C$2:C$401,$U39)))</f>
        <v/>
      </c>
      <c r="D39">
        <f>IF($U39="","",IF(INDEX('Per Invoice'!D$2:D$401,$U39)="","",INDEX('Per Invoice'!D$2:D$401,$U39)))</f>
        <v/>
      </c>
      <c r="E39">
        <f>IF($U39="","",IF(INDEX('Per Invoice'!E$2:E$401,$U39)="","",INDEX('Per Invoice'!E$2:E$401,$U39)))</f>
        <v/>
      </c>
      <c r="F39">
        <f>IF($U39="","",IF(INDEX('Per Invoice'!F$2:F$401,$U39)="","",INDEX('Per Invoice'!F$2:F$401,$U39)))</f>
        <v/>
      </c>
      <c r="G39">
        <f>IF($U39="","",IF(INDEX('Per Invoice'!G$2:G$401,$U39)="","",INDEX('Per Invoice'!G$2:G$401,$U39)))</f>
        <v/>
      </c>
      <c r="H39" s="7">
        <f>IF($U39="","",IF(INDEX('Per Invoice'!H$2:H$401,$U39)="","",INDEX('Per Invoice'!H$2:H$401,$U39)))</f>
        <v/>
      </c>
      <c r="I39" s="14">
        <f>IF($U39="","",IF(INDEX('Per Invoice'!I$2:I$401,$U39)="","",INDEX('Per Invoice'!I$2:I$401,$U39)))</f>
        <v/>
      </c>
      <c r="J39">
        <f>IF($U39="","",IF(INDEX('Per Invoice'!J$2:J$401,$U39)="","",INDEX('Per Invoice'!J$2:J$401,$U39)))</f>
        <v/>
      </c>
      <c r="K39">
        <f>IF($U39="","",IF(INDEX('Per Invoice'!K$2:K$401,$U39)="","",INDEX('Per Invoice'!K$2:K$401,$U39)))</f>
        <v/>
      </c>
      <c r="L39" s="7">
        <f>IF($U39="","",IF(INDEX('Per Invoice'!L$2:L$401,$U39)="","",INDEX('Per Invoice'!L$2:L$401,$U39)))</f>
        <v/>
      </c>
      <c r="M39" s="7">
        <f>IF($U39="","",IF(INDEX('Per Invoice'!M$2:M$401,$U39)="","",INDEX('Per Invoice'!M$2:M$401,$U39)))</f>
        <v/>
      </c>
      <c r="N39">
        <f>IF($U39="","",IF(INDEX('Per Invoice'!N$2:N$401,$U39)="","",INDEX('Per Invoice'!N$2:N$401,$U39)))</f>
        <v/>
      </c>
      <c r="O39" s="7">
        <f>IF($U39="","",IF(INDEX('Per Invoice'!O$2:O$401,$U39)="","",INDEX('Per Invoice'!O$2:O$401,$U39)))</f>
        <v/>
      </c>
      <c r="P39" s="7">
        <f>IF($U39="","",IF(INDEX('Per Invoice'!P$2:P$401,$U39)="","",INDEX('Per Invoice'!P$2:P$401,$U39)))</f>
        <v/>
      </c>
      <c r="Q39" s="7">
        <f>IF($U39="","",IF(INDEX('Per Invoice'!Q$2:Q$401,$U39)="","",INDEX('Per Invoice'!Q$2:Q$401,$U39)))</f>
        <v/>
      </c>
      <c r="R39" s="7">
        <f>IF($U39="","",IF(INDEX('Per Invoice'!R$2:R$401,$U39)="","",INDEX('Per Invoice'!R$2:R$401,$U39)))</f>
        <v/>
      </c>
      <c r="S39" s="7">
        <f>IF($U39="","",IF(INDEX('Per Invoice'!S$2:S$401,$U39)="","",INDEX('Per Invoice'!S$2:S$401,$U39)))</f>
        <v/>
      </c>
      <c r="T39" s="7">
        <f>IF($U39="","",IF(INDEX('Per Invoice'!T$2:T$401,$U39)="","",INDEX('Per Invoice'!T$2:T$401,$U39)))</f>
        <v/>
      </c>
      <c r="U39" s="16">
        <f>IFERROR(MATCH(Settings!$C$28&amp;"|"&amp;ROWS($U$2:$U39),'Per Invoice'!$V$2:$V$401,0),"")</f>
        <v/>
      </c>
    </row>
    <row r="40">
      <c r="A40">
        <f>IF($U40="","",IF(INDEX('Per Invoice'!A$2:A$401,$U40)="","",INDEX('Per Invoice'!A$2:A$401,$U40)))</f>
        <v/>
      </c>
      <c r="B40">
        <f>IF($U40="","",IF(INDEX('Per Invoice'!B$2:B$401,$U40)="","",INDEX('Per Invoice'!B$2:B$401,$U40)))</f>
        <v/>
      </c>
      <c r="C40">
        <f>IF($U40="","",IF(INDEX('Per Invoice'!C$2:C$401,$U40)="","",INDEX('Per Invoice'!C$2:C$401,$U40)))</f>
        <v/>
      </c>
      <c r="D40">
        <f>IF($U40="","",IF(INDEX('Per Invoice'!D$2:D$401,$U40)="","",INDEX('Per Invoice'!D$2:D$401,$U40)))</f>
        <v/>
      </c>
      <c r="E40">
        <f>IF($U40="","",IF(INDEX('Per Invoice'!E$2:E$401,$U40)="","",INDEX('Per Invoice'!E$2:E$401,$U40)))</f>
        <v/>
      </c>
      <c r="F40">
        <f>IF($U40="","",IF(INDEX('Per Invoice'!F$2:F$401,$U40)="","",INDEX('Per Invoice'!F$2:F$401,$U40)))</f>
        <v/>
      </c>
      <c r="G40">
        <f>IF($U40="","",IF(INDEX('Per Invoice'!G$2:G$401,$U40)="","",INDEX('Per Invoice'!G$2:G$401,$U40)))</f>
        <v/>
      </c>
      <c r="H40" s="7">
        <f>IF($U40="","",IF(INDEX('Per Invoice'!H$2:H$401,$U40)="","",INDEX('Per Invoice'!H$2:H$401,$U40)))</f>
        <v/>
      </c>
      <c r="I40" s="14">
        <f>IF($U40="","",IF(INDEX('Per Invoice'!I$2:I$401,$U40)="","",INDEX('Per Invoice'!I$2:I$401,$U40)))</f>
        <v/>
      </c>
      <c r="J40">
        <f>IF($U40="","",IF(INDEX('Per Invoice'!J$2:J$401,$U40)="","",INDEX('Per Invoice'!J$2:J$401,$U40)))</f>
        <v/>
      </c>
      <c r="K40">
        <f>IF($U40="","",IF(INDEX('Per Invoice'!K$2:K$401,$U40)="","",INDEX('Per Invoice'!K$2:K$401,$U40)))</f>
        <v/>
      </c>
      <c r="L40" s="7">
        <f>IF($U40="","",IF(INDEX('Per Invoice'!L$2:L$401,$U40)="","",INDEX('Per Invoice'!L$2:L$401,$U40)))</f>
        <v/>
      </c>
      <c r="M40" s="7">
        <f>IF($U40="","",IF(INDEX('Per Invoice'!M$2:M$401,$U40)="","",INDEX('Per Invoice'!M$2:M$401,$U40)))</f>
        <v/>
      </c>
      <c r="N40">
        <f>IF($U40="","",IF(INDEX('Per Invoice'!N$2:N$401,$U40)="","",INDEX('Per Invoice'!N$2:N$401,$U40)))</f>
        <v/>
      </c>
      <c r="O40" s="7">
        <f>IF($U40="","",IF(INDEX('Per Invoice'!O$2:O$401,$U40)="","",INDEX('Per Invoice'!O$2:O$401,$U40)))</f>
        <v/>
      </c>
      <c r="P40" s="7">
        <f>IF($U40="","",IF(INDEX('Per Invoice'!P$2:P$401,$U40)="","",INDEX('Per Invoice'!P$2:P$401,$U40)))</f>
        <v/>
      </c>
      <c r="Q40" s="7">
        <f>IF($U40="","",IF(INDEX('Per Invoice'!Q$2:Q$401,$U40)="","",INDEX('Per Invoice'!Q$2:Q$401,$U40)))</f>
        <v/>
      </c>
      <c r="R40" s="7">
        <f>IF($U40="","",IF(INDEX('Per Invoice'!R$2:R$401,$U40)="","",INDEX('Per Invoice'!R$2:R$401,$U40)))</f>
        <v/>
      </c>
      <c r="S40" s="7">
        <f>IF($U40="","",IF(INDEX('Per Invoice'!S$2:S$401,$U40)="","",INDEX('Per Invoice'!S$2:S$401,$U40)))</f>
        <v/>
      </c>
      <c r="T40" s="7">
        <f>IF($U40="","",IF(INDEX('Per Invoice'!T$2:T$401,$U40)="","",INDEX('Per Invoice'!T$2:T$401,$U40)))</f>
        <v/>
      </c>
      <c r="U40" s="16">
        <f>IFERROR(MATCH(Settings!$C$28&amp;"|"&amp;ROWS($U$2:$U40),'Per Invoice'!$V$2:$V$401,0),"")</f>
        <v/>
      </c>
    </row>
    <row r="41">
      <c r="A41">
        <f>IF($U41="","",IF(INDEX('Per Invoice'!A$2:A$401,$U41)="","",INDEX('Per Invoice'!A$2:A$401,$U41)))</f>
        <v/>
      </c>
      <c r="B41">
        <f>IF($U41="","",IF(INDEX('Per Invoice'!B$2:B$401,$U41)="","",INDEX('Per Invoice'!B$2:B$401,$U41)))</f>
        <v/>
      </c>
      <c r="C41">
        <f>IF($U41="","",IF(INDEX('Per Invoice'!C$2:C$401,$U41)="","",INDEX('Per Invoice'!C$2:C$401,$U41)))</f>
        <v/>
      </c>
      <c r="D41">
        <f>IF($U41="","",IF(INDEX('Per Invoice'!D$2:D$401,$U41)="","",INDEX('Per Invoice'!D$2:D$401,$U41)))</f>
        <v/>
      </c>
      <c r="E41">
        <f>IF($U41="","",IF(INDEX('Per Invoice'!E$2:E$401,$U41)="","",INDEX('Per Invoice'!E$2:E$401,$U41)))</f>
        <v/>
      </c>
      <c r="F41">
        <f>IF($U41="","",IF(INDEX('Per Invoice'!F$2:F$401,$U41)="","",INDEX('Per Invoice'!F$2:F$401,$U41)))</f>
        <v/>
      </c>
      <c r="G41">
        <f>IF($U41="","",IF(INDEX('Per Invoice'!G$2:G$401,$U41)="","",INDEX('Per Invoice'!G$2:G$401,$U41)))</f>
        <v/>
      </c>
      <c r="H41" s="7">
        <f>IF($U41="","",IF(INDEX('Per Invoice'!H$2:H$401,$U41)="","",INDEX('Per Invoice'!H$2:H$401,$U41)))</f>
        <v/>
      </c>
      <c r="I41" s="14">
        <f>IF($U41="","",IF(INDEX('Per Invoice'!I$2:I$401,$U41)="","",INDEX('Per Invoice'!I$2:I$401,$U41)))</f>
        <v/>
      </c>
      <c r="J41">
        <f>IF($U41="","",IF(INDEX('Per Invoice'!J$2:J$401,$U41)="","",INDEX('Per Invoice'!J$2:J$401,$U41)))</f>
        <v/>
      </c>
      <c r="K41">
        <f>IF($U41="","",IF(INDEX('Per Invoice'!K$2:K$401,$U41)="","",INDEX('Per Invoice'!K$2:K$401,$U41)))</f>
        <v/>
      </c>
      <c r="L41" s="7">
        <f>IF($U41="","",IF(INDEX('Per Invoice'!L$2:L$401,$U41)="","",INDEX('Per Invoice'!L$2:L$401,$U41)))</f>
        <v/>
      </c>
      <c r="M41" s="7">
        <f>IF($U41="","",IF(INDEX('Per Invoice'!M$2:M$401,$U41)="","",INDEX('Per Invoice'!M$2:M$401,$U41)))</f>
        <v/>
      </c>
      <c r="N41">
        <f>IF($U41="","",IF(INDEX('Per Invoice'!N$2:N$401,$U41)="","",INDEX('Per Invoice'!N$2:N$401,$U41)))</f>
        <v/>
      </c>
      <c r="O41" s="7">
        <f>IF($U41="","",IF(INDEX('Per Invoice'!O$2:O$401,$U41)="","",INDEX('Per Invoice'!O$2:O$401,$U41)))</f>
        <v/>
      </c>
      <c r="P41" s="7">
        <f>IF($U41="","",IF(INDEX('Per Invoice'!P$2:P$401,$U41)="","",INDEX('Per Invoice'!P$2:P$401,$U41)))</f>
        <v/>
      </c>
      <c r="Q41" s="7">
        <f>IF($U41="","",IF(INDEX('Per Invoice'!Q$2:Q$401,$U41)="","",INDEX('Per Invoice'!Q$2:Q$401,$U41)))</f>
        <v/>
      </c>
      <c r="R41" s="7">
        <f>IF($U41="","",IF(INDEX('Per Invoice'!R$2:R$401,$U41)="","",INDEX('Per Invoice'!R$2:R$401,$U41)))</f>
        <v/>
      </c>
      <c r="S41" s="7">
        <f>IF($U41="","",IF(INDEX('Per Invoice'!S$2:S$401,$U41)="","",INDEX('Per Invoice'!S$2:S$401,$U41)))</f>
        <v/>
      </c>
      <c r="T41" s="7">
        <f>IF($U41="","",IF(INDEX('Per Invoice'!T$2:T$401,$U41)="","",INDEX('Per Invoice'!T$2:T$401,$U41)))</f>
        <v/>
      </c>
      <c r="U41" s="16">
        <f>IFERROR(MATCH(Settings!$C$28&amp;"|"&amp;ROWS($U$2:$U41),'Per Invoice'!$V$2:$V$401,0),"")</f>
        <v/>
      </c>
    </row>
    <row r="42">
      <c r="A42">
        <f>IF($U42="","",IF(INDEX('Per Invoice'!A$2:A$401,$U42)="","",INDEX('Per Invoice'!A$2:A$401,$U42)))</f>
        <v/>
      </c>
      <c r="B42">
        <f>IF($U42="","",IF(INDEX('Per Invoice'!B$2:B$401,$U42)="","",INDEX('Per Invoice'!B$2:B$401,$U42)))</f>
        <v/>
      </c>
      <c r="C42">
        <f>IF($U42="","",IF(INDEX('Per Invoice'!C$2:C$401,$U42)="","",INDEX('Per Invoice'!C$2:C$401,$U42)))</f>
        <v/>
      </c>
      <c r="D42">
        <f>IF($U42="","",IF(INDEX('Per Invoice'!D$2:D$401,$U42)="","",INDEX('Per Invoice'!D$2:D$401,$U42)))</f>
        <v/>
      </c>
      <c r="E42">
        <f>IF($U42="","",IF(INDEX('Per Invoice'!E$2:E$401,$U42)="","",INDEX('Per Invoice'!E$2:E$401,$U42)))</f>
        <v/>
      </c>
      <c r="F42">
        <f>IF($U42="","",IF(INDEX('Per Invoice'!F$2:F$401,$U42)="","",INDEX('Per Invoice'!F$2:F$401,$U42)))</f>
        <v/>
      </c>
      <c r="G42">
        <f>IF($U42="","",IF(INDEX('Per Invoice'!G$2:G$401,$U42)="","",INDEX('Per Invoice'!G$2:G$401,$U42)))</f>
        <v/>
      </c>
      <c r="H42" s="7">
        <f>IF($U42="","",IF(INDEX('Per Invoice'!H$2:H$401,$U42)="","",INDEX('Per Invoice'!H$2:H$401,$U42)))</f>
        <v/>
      </c>
      <c r="I42" s="14">
        <f>IF($U42="","",IF(INDEX('Per Invoice'!I$2:I$401,$U42)="","",INDEX('Per Invoice'!I$2:I$401,$U42)))</f>
        <v/>
      </c>
      <c r="J42">
        <f>IF($U42="","",IF(INDEX('Per Invoice'!J$2:J$401,$U42)="","",INDEX('Per Invoice'!J$2:J$401,$U42)))</f>
        <v/>
      </c>
      <c r="K42">
        <f>IF($U42="","",IF(INDEX('Per Invoice'!K$2:K$401,$U42)="","",INDEX('Per Invoice'!K$2:K$401,$U42)))</f>
        <v/>
      </c>
      <c r="L42" s="7">
        <f>IF($U42="","",IF(INDEX('Per Invoice'!L$2:L$401,$U42)="","",INDEX('Per Invoice'!L$2:L$401,$U42)))</f>
        <v/>
      </c>
      <c r="M42" s="7">
        <f>IF($U42="","",IF(INDEX('Per Invoice'!M$2:M$401,$U42)="","",INDEX('Per Invoice'!M$2:M$401,$U42)))</f>
        <v/>
      </c>
      <c r="N42">
        <f>IF($U42="","",IF(INDEX('Per Invoice'!N$2:N$401,$U42)="","",INDEX('Per Invoice'!N$2:N$401,$U42)))</f>
        <v/>
      </c>
      <c r="O42" s="7">
        <f>IF($U42="","",IF(INDEX('Per Invoice'!O$2:O$401,$U42)="","",INDEX('Per Invoice'!O$2:O$401,$U42)))</f>
        <v/>
      </c>
      <c r="P42" s="7">
        <f>IF($U42="","",IF(INDEX('Per Invoice'!P$2:P$401,$U42)="","",INDEX('Per Invoice'!P$2:P$401,$U42)))</f>
        <v/>
      </c>
      <c r="Q42" s="7">
        <f>IF($U42="","",IF(INDEX('Per Invoice'!Q$2:Q$401,$U42)="","",INDEX('Per Invoice'!Q$2:Q$401,$U42)))</f>
        <v/>
      </c>
      <c r="R42" s="7">
        <f>IF($U42="","",IF(INDEX('Per Invoice'!R$2:R$401,$U42)="","",INDEX('Per Invoice'!R$2:R$401,$U42)))</f>
        <v/>
      </c>
      <c r="S42" s="7">
        <f>IF($U42="","",IF(INDEX('Per Invoice'!S$2:S$401,$U42)="","",INDEX('Per Invoice'!S$2:S$401,$U42)))</f>
        <v/>
      </c>
      <c r="T42" s="7">
        <f>IF($U42="","",IF(INDEX('Per Invoice'!T$2:T$401,$U42)="","",INDEX('Per Invoice'!T$2:T$401,$U42)))</f>
        <v/>
      </c>
      <c r="U42" s="16">
        <f>IFERROR(MATCH(Settings!$C$28&amp;"|"&amp;ROWS($U$2:$U42),'Per Invoice'!$V$2:$V$401,0),"")</f>
        <v/>
      </c>
    </row>
    <row r="43">
      <c r="A43">
        <f>IF($U43="","",IF(INDEX('Per Invoice'!A$2:A$401,$U43)="","",INDEX('Per Invoice'!A$2:A$401,$U43)))</f>
        <v/>
      </c>
      <c r="B43">
        <f>IF($U43="","",IF(INDEX('Per Invoice'!B$2:B$401,$U43)="","",INDEX('Per Invoice'!B$2:B$401,$U43)))</f>
        <v/>
      </c>
      <c r="C43">
        <f>IF($U43="","",IF(INDEX('Per Invoice'!C$2:C$401,$U43)="","",INDEX('Per Invoice'!C$2:C$401,$U43)))</f>
        <v/>
      </c>
      <c r="D43">
        <f>IF($U43="","",IF(INDEX('Per Invoice'!D$2:D$401,$U43)="","",INDEX('Per Invoice'!D$2:D$401,$U43)))</f>
        <v/>
      </c>
      <c r="E43">
        <f>IF($U43="","",IF(INDEX('Per Invoice'!E$2:E$401,$U43)="","",INDEX('Per Invoice'!E$2:E$401,$U43)))</f>
        <v/>
      </c>
      <c r="F43">
        <f>IF($U43="","",IF(INDEX('Per Invoice'!F$2:F$401,$U43)="","",INDEX('Per Invoice'!F$2:F$401,$U43)))</f>
        <v/>
      </c>
      <c r="G43">
        <f>IF($U43="","",IF(INDEX('Per Invoice'!G$2:G$401,$U43)="","",INDEX('Per Invoice'!G$2:G$401,$U43)))</f>
        <v/>
      </c>
      <c r="H43" s="7">
        <f>IF($U43="","",IF(INDEX('Per Invoice'!H$2:H$401,$U43)="","",INDEX('Per Invoice'!H$2:H$401,$U43)))</f>
        <v/>
      </c>
      <c r="I43" s="14">
        <f>IF($U43="","",IF(INDEX('Per Invoice'!I$2:I$401,$U43)="","",INDEX('Per Invoice'!I$2:I$401,$U43)))</f>
        <v/>
      </c>
      <c r="J43">
        <f>IF($U43="","",IF(INDEX('Per Invoice'!J$2:J$401,$U43)="","",INDEX('Per Invoice'!J$2:J$401,$U43)))</f>
        <v/>
      </c>
      <c r="K43">
        <f>IF($U43="","",IF(INDEX('Per Invoice'!K$2:K$401,$U43)="","",INDEX('Per Invoice'!K$2:K$401,$U43)))</f>
        <v/>
      </c>
      <c r="L43" s="7">
        <f>IF($U43="","",IF(INDEX('Per Invoice'!L$2:L$401,$U43)="","",INDEX('Per Invoice'!L$2:L$401,$U43)))</f>
        <v/>
      </c>
      <c r="M43" s="7">
        <f>IF($U43="","",IF(INDEX('Per Invoice'!M$2:M$401,$U43)="","",INDEX('Per Invoice'!M$2:M$401,$U43)))</f>
        <v/>
      </c>
      <c r="N43">
        <f>IF($U43="","",IF(INDEX('Per Invoice'!N$2:N$401,$U43)="","",INDEX('Per Invoice'!N$2:N$401,$U43)))</f>
        <v/>
      </c>
      <c r="O43" s="7">
        <f>IF($U43="","",IF(INDEX('Per Invoice'!O$2:O$401,$U43)="","",INDEX('Per Invoice'!O$2:O$401,$U43)))</f>
        <v/>
      </c>
      <c r="P43" s="7">
        <f>IF($U43="","",IF(INDEX('Per Invoice'!P$2:P$401,$U43)="","",INDEX('Per Invoice'!P$2:P$401,$U43)))</f>
        <v/>
      </c>
      <c r="Q43" s="7">
        <f>IF($U43="","",IF(INDEX('Per Invoice'!Q$2:Q$401,$U43)="","",INDEX('Per Invoice'!Q$2:Q$401,$U43)))</f>
        <v/>
      </c>
      <c r="R43" s="7">
        <f>IF($U43="","",IF(INDEX('Per Invoice'!R$2:R$401,$U43)="","",INDEX('Per Invoice'!R$2:R$401,$U43)))</f>
        <v/>
      </c>
      <c r="S43" s="7">
        <f>IF($U43="","",IF(INDEX('Per Invoice'!S$2:S$401,$U43)="","",INDEX('Per Invoice'!S$2:S$401,$U43)))</f>
        <v/>
      </c>
      <c r="T43" s="7">
        <f>IF($U43="","",IF(INDEX('Per Invoice'!T$2:T$401,$U43)="","",INDEX('Per Invoice'!T$2:T$401,$U43)))</f>
        <v/>
      </c>
      <c r="U43" s="16">
        <f>IFERROR(MATCH(Settings!$C$28&amp;"|"&amp;ROWS($U$2:$U43),'Per Invoice'!$V$2:$V$401,0),"")</f>
        <v/>
      </c>
    </row>
    <row r="44">
      <c r="A44">
        <f>IF($U44="","",IF(INDEX('Per Invoice'!A$2:A$401,$U44)="","",INDEX('Per Invoice'!A$2:A$401,$U44)))</f>
        <v/>
      </c>
      <c r="B44">
        <f>IF($U44="","",IF(INDEX('Per Invoice'!B$2:B$401,$U44)="","",INDEX('Per Invoice'!B$2:B$401,$U44)))</f>
        <v/>
      </c>
      <c r="C44">
        <f>IF($U44="","",IF(INDEX('Per Invoice'!C$2:C$401,$U44)="","",INDEX('Per Invoice'!C$2:C$401,$U44)))</f>
        <v/>
      </c>
      <c r="D44">
        <f>IF($U44="","",IF(INDEX('Per Invoice'!D$2:D$401,$U44)="","",INDEX('Per Invoice'!D$2:D$401,$U44)))</f>
        <v/>
      </c>
      <c r="E44">
        <f>IF($U44="","",IF(INDEX('Per Invoice'!E$2:E$401,$U44)="","",INDEX('Per Invoice'!E$2:E$401,$U44)))</f>
        <v/>
      </c>
      <c r="F44">
        <f>IF($U44="","",IF(INDEX('Per Invoice'!F$2:F$401,$U44)="","",INDEX('Per Invoice'!F$2:F$401,$U44)))</f>
        <v/>
      </c>
      <c r="G44">
        <f>IF($U44="","",IF(INDEX('Per Invoice'!G$2:G$401,$U44)="","",INDEX('Per Invoice'!G$2:G$401,$U44)))</f>
        <v/>
      </c>
      <c r="H44" s="7">
        <f>IF($U44="","",IF(INDEX('Per Invoice'!H$2:H$401,$U44)="","",INDEX('Per Invoice'!H$2:H$401,$U44)))</f>
        <v/>
      </c>
      <c r="I44" s="14">
        <f>IF($U44="","",IF(INDEX('Per Invoice'!I$2:I$401,$U44)="","",INDEX('Per Invoice'!I$2:I$401,$U44)))</f>
        <v/>
      </c>
      <c r="J44">
        <f>IF($U44="","",IF(INDEX('Per Invoice'!J$2:J$401,$U44)="","",INDEX('Per Invoice'!J$2:J$401,$U44)))</f>
        <v/>
      </c>
      <c r="K44">
        <f>IF($U44="","",IF(INDEX('Per Invoice'!K$2:K$401,$U44)="","",INDEX('Per Invoice'!K$2:K$401,$U44)))</f>
        <v/>
      </c>
      <c r="L44" s="7">
        <f>IF($U44="","",IF(INDEX('Per Invoice'!L$2:L$401,$U44)="","",INDEX('Per Invoice'!L$2:L$401,$U44)))</f>
        <v/>
      </c>
      <c r="M44" s="7">
        <f>IF($U44="","",IF(INDEX('Per Invoice'!M$2:M$401,$U44)="","",INDEX('Per Invoice'!M$2:M$401,$U44)))</f>
        <v/>
      </c>
      <c r="N44">
        <f>IF($U44="","",IF(INDEX('Per Invoice'!N$2:N$401,$U44)="","",INDEX('Per Invoice'!N$2:N$401,$U44)))</f>
        <v/>
      </c>
      <c r="O44" s="7">
        <f>IF($U44="","",IF(INDEX('Per Invoice'!O$2:O$401,$U44)="","",INDEX('Per Invoice'!O$2:O$401,$U44)))</f>
        <v/>
      </c>
      <c r="P44" s="7">
        <f>IF($U44="","",IF(INDEX('Per Invoice'!P$2:P$401,$U44)="","",INDEX('Per Invoice'!P$2:P$401,$U44)))</f>
        <v/>
      </c>
      <c r="Q44" s="7">
        <f>IF($U44="","",IF(INDEX('Per Invoice'!Q$2:Q$401,$U44)="","",INDEX('Per Invoice'!Q$2:Q$401,$U44)))</f>
        <v/>
      </c>
      <c r="R44" s="7">
        <f>IF($U44="","",IF(INDEX('Per Invoice'!R$2:R$401,$U44)="","",INDEX('Per Invoice'!R$2:R$401,$U44)))</f>
        <v/>
      </c>
      <c r="S44" s="7">
        <f>IF($U44="","",IF(INDEX('Per Invoice'!S$2:S$401,$U44)="","",INDEX('Per Invoice'!S$2:S$401,$U44)))</f>
        <v/>
      </c>
      <c r="T44" s="7">
        <f>IF($U44="","",IF(INDEX('Per Invoice'!T$2:T$401,$U44)="","",INDEX('Per Invoice'!T$2:T$401,$U44)))</f>
        <v/>
      </c>
      <c r="U44" s="16">
        <f>IFERROR(MATCH(Settings!$C$28&amp;"|"&amp;ROWS($U$2:$U44),'Per Invoice'!$V$2:$V$401,0),"")</f>
        <v/>
      </c>
    </row>
    <row r="45">
      <c r="A45">
        <f>IF($U45="","",IF(INDEX('Per Invoice'!A$2:A$401,$U45)="","",INDEX('Per Invoice'!A$2:A$401,$U45)))</f>
        <v/>
      </c>
      <c r="B45">
        <f>IF($U45="","",IF(INDEX('Per Invoice'!B$2:B$401,$U45)="","",INDEX('Per Invoice'!B$2:B$401,$U45)))</f>
        <v/>
      </c>
      <c r="C45">
        <f>IF($U45="","",IF(INDEX('Per Invoice'!C$2:C$401,$U45)="","",INDEX('Per Invoice'!C$2:C$401,$U45)))</f>
        <v/>
      </c>
      <c r="D45">
        <f>IF($U45="","",IF(INDEX('Per Invoice'!D$2:D$401,$U45)="","",INDEX('Per Invoice'!D$2:D$401,$U45)))</f>
        <v/>
      </c>
      <c r="E45">
        <f>IF($U45="","",IF(INDEX('Per Invoice'!E$2:E$401,$U45)="","",INDEX('Per Invoice'!E$2:E$401,$U45)))</f>
        <v/>
      </c>
      <c r="F45">
        <f>IF($U45="","",IF(INDEX('Per Invoice'!F$2:F$401,$U45)="","",INDEX('Per Invoice'!F$2:F$401,$U45)))</f>
        <v/>
      </c>
      <c r="G45">
        <f>IF($U45="","",IF(INDEX('Per Invoice'!G$2:G$401,$U45)="","",INDEX('Per Invoice'!G$2:G$401,$U45)))</f>
        <v/>
      </c>
      <c r="H45" s="7">
        <f>IF($U45="","",IF(INDEX('Per Invoice'!H$2:H$401,$U45)="","",INDEX('Per Invoice'!H$2:H$401,$U45)))</f>
        <v/>
      </c>
      <c r="I45" s="14">
        <f>IF($U45="","",IF(INDEX('Per Invoice'!I$2:I$401,$U45)="","",INDEX('Per Invoice'!I$2:I$401,$U45)))</f>
        <v/>
      </c>
      <c r="J45">
        <f>IF($U45="","",IF(INDEX('Per Invoice'!J$2:J$401,$U45)="","",INDEX('Per Invoice'!J$2:J$401,$U45)))</f>
        <v/>
      </c>
      <c r="K45">
        <f>IF($U45="","",IF(INDEX('Per Invoice'!K$2:K$401,$U45)="","",INDEX('Per Invoice'!K$2:K$401,$U45)))</f>
        <v/>
      </c>
      <c r="L45" s="7">
        <f>IF($U45="","",IF(INDEX('Per Invoice'!L$2:L$401,$U45)="","",INDEX('Per Invoice'!L$2:L$401,$U45)))</f>
        <v/>
      </c>
      <c r="M45" s="7">
        <f>IF($U45="","",IF(INDEX('Per Invoice'!M$2:M$401,$U45)="","",INDEX('Per Invoice'!M$2:M$401,$U45)))</f>
        <v/>
      </c>
      <c r="N45">
        <f>IF($U45="","",IF(INDEX('Per Invoice'!N$2:N$401,$U45)="","",INDEX('Per Invoice'!N$2:N$401,$U45)))</f>
        <v/>
      </c>
      <c r="O45" s="7">
        <f>IF($U45="","",IF(INDEX('Per Invoice'!O$2:O$401,$U45)="","",INDEX('Per Invoice'!O$2:O$401,$U45)))</f>
        <v/>
      </c>
      <c r="P45" s="7">
        <f>IF($U45="","",IF(INDEX('Per Invoice'!P$2:P$401,$U45)="","",INDEX('Per Invoice'!P$2:P$401,$U45)))</f>
        <v/>
      </c>
      <c r="Q45" s="7">
        <f>IF($U45="","",IF(INDEX('Per Invoice'!Q$2:Q$401,$U45)="","",INDEX('Per Invoice'!Q$2:Q$401,$U45)))</f>
        <v/>
      </c>
      <c r="R45" s="7">
        <f>IF($U45="","",IF(INDEX('Per Invoice'!R$2:R$401,$U45)="","",INDEX('Per Invoice'!R$2:R$401,$U45)))</f>
        <v/>
      </c>
      <c r="S45" s="7">
        <f>IF($U45="","",IF(INDEX('Per Invoice'!S$2:S$401,$U45)="","",INDEX('Per Invoice'!S$2:S$401,$U45)))</f>
        <v/>
      </c>
      <c r="T45" s="7">
        <f>IF($U45="","",IF(INDEX('Per Invoice'!T$2:T$401,$U45)="","",INDEX('Per Invoice'!T$2:T$401,$U45)))</f>
        <v/>
      </c>
      <c r="U45" s="16">
        <f>IFERROR(MATCH(Settings!$C$28&amp;"|"&amp;ROWS($U$2:$U45),'Per Invoice'!$V$2:$V$401,0),"")</f>
        <v/>
      </c>
    </row>
    <row r="46">
      <c r="A46">
        <f>IF($U46="","",IF(INDEX('Per Invoice'!A$2:A$401,$U46)="","",INDEX('Per Invoice'!A$2:A$401,$U46)))</f>
        <v/>
      </c>
      <c r="B46">
        <f>IF($U46="","",IF(INDEX('Per Invoice'!B$2:B$401,$U46)="","",INDEX('Per Invoice'!B$2:B$401,$U46)))</f>
        <v/>
      </c>
      <c r="C46">
        <f>IF($U46="","",IF(INDEX('Per Invoice'!C$2:C$401,$U46)="","",INDEX('Per Invoice'!C$2:C$401,$U46)))</f>
        <v/>
      </c>
      <c r="D46">
        <f>IF($U46="","",IF(INDEX('Per Invoice'!D$2:D$401,$U46)="","",INDEX('Per Invoice'!D$2:D$401,$U46)))</f>
        <v/>
      </c>
      <c r="E46">
        <f>IF($U46="","",IF(INDEX('Per Invoice'!E$2:E$401,$U46)="","",INDEX('Per Invoice'!E$2:E$401,$U46)))</f>
        <v/>
      </c>
      <c r="F46">
        <f>IF($U46="","",IF(INDEX('Per Invoice'!F$2:F$401,$U46)="","",INDEX('Per Invoice'!F$2:F$401,$U46)))</f>
        <v/>
      </c>
      <c r="G46">
        <f>IF($U46="","",IF(INDEX('Per Invoice'!G$2:G$401,$U46)="","",INDEX('Per Invoice'!G$2:G$401,$U46)))</f>
        <v/>
      </c>
      <c r="H46" s="7">
        <f>IF($U46="","",IF(INDEX('Per Invoice'!H$2:H$401,$U46)="","",INDEX('Per Invoice'!H$2:H$401,$U46)))</f>
        <v/>
      </c>
      <c r="I46" s="14">
        <f>IF($U46="","",IF(INDEX('Per Invoice'!I$2:I$401,$U46)="","",INDEX('Per Invoice'!I$2:I$401,$U46)))</f>
        <v/>
      </c>
      <c r="J46">
        <f>IF($U46="","",IF(INDEX('Per Invoice'!J$2:J$401,$U46)="","",INDEX('Per Invoice'!J$2:J$401,$U46)))</f>
        <v/>
      </c>
      <c r="K46">
        <f>IF($U46="","",IF(INDEX('Per Invoice'!K$2:K$401,$U46)="","",INDEX('Per Invoice'!K$2:K$401,$U46)))</f>
        <v/>
      </c>
      <c r="L46" s="7">
        <f>IF($U46="","",IF(INDEX('Per Invoice'!L$2:L$401,$U46)="","",INDEX('Per Invoice'!L$2:L$401,$U46)))</f>
        <v/>
      </c>
      <c r="M46" s="7">
        <f>IF($U46="","",IF(INDEX('Per Invoice'!M$2:M$401,$U46)="","",INDEX('Per Invoice'!M$2:M$401,$U46)))</f>
        <v/>
      </c>
      <c r="N46">
        <f>IF($U46="","",IF(INDEX('Per Invoice'!N$2:N$401,$U46)="","",INDEX('Per Invoice'!N$2:N$401,$U46)))</f>
        <v/>
      </c>
      <c r="O46" s="7">
        <f>IF($U46="","",IF(INDEX('Per Invoice'!O$2:O$401,$U46)="","",INDEX('Per Invoice'!O$2:O$401,$U46)))</f>
        <v/>
      </c>
      <c r="P46" s="7">
        <f>IF($U46="","",IF(INDEX('Per Invoice'!P$2:P$401,$U46)="","",INDEX('Per Invoice'!P$2:P$401,$U46)))</f>
        <v/>
      </c>
      <c r="Q46" s="7">
        <f>IF($U46="","",IF(INDEX('Per Invoice'!Q$2:Q$401,$U46)="","",INDEX('Per Invoice'!Q$2:Q$401,$U46)))</f>
        <v/>
      </c>
      <c r="R46" s="7">
        <f>IF($U46="","",IF(INDEX('Per Invoice'!R$2:R$401,$U46)="","",INDEX('Per Invoice'!R$2:R$401,$U46)))</f>
        <v/>
      </c>
      <c r="S46" s="7">
        <f>IF($U46="","",IF(INDEX('Per Invoice'!S$2:S$401,$U46)="","",INDEX('Per Invoice'!S$2:S$401,$U46)))</f>
        <v/>
      </c>
      <c r="T46" s="7">
        <f>IF($U46="","",IF(INDEX('Per Invoice'!T$2:T$401,$U46)="","",INDEX('Per Invoice'!T$2:T$401,$U46)))</f>
        <v/>
      </c>
      <c r="U46" s="16">
        <f>IFERROR(MATCH(Settings!$C$28&amp;"|"&amp;ROWS($U$2:$U46),'Per Invoice'!$V$2:$V$401,0),"")</f>
        <v/>
      </c>
    </row>
    <row r="47">
      <c r="A47">
        <f>IF($U47="","",IF(INDEX('Per Invoice'!A$2:A$401,$U47)="","",INDEX('Per Invoice'!A$2:A$401,$U47)))</f>
        <v/>
      </c>
      <c r="B47">
        <f>IF($U47="","",IF(INDEX('Per Invoice'!B$2:B$401,$U47)="","",INDEX('Per Invoice'!B$2:B$401,$U47)))</f>
        <v/>
      </c>
      <c r="C47">
        <f>IF($U47="","",IF(INDEX('Per Invoice'!C$2:C$401,$U47)="","",INDEX('Per Invoice'!C$2:C$401,$U47)))</f>
        <v/>
      </c>
      <c r="D47">
        <f>IF($U47="","",IF(INDEX('Per Invoice'!D$2:D$401,$U47)="","",INDEX('Per Invoice'!D$2:D$401,$U47)))</f>
        <v/>
      </c>
      <c r="E47">
        <f>IF($U47="","",IF(INDEX('Per Invoice'!E$2:E$401,$U47)="","",INDEX('Per Invoice'!E$2:E$401,$U47)))</f>
        <v/>
      </c>
      <c r="F47">
        <f>IF($U47="","",IF(INDEX('Per Invoice'!F$2:F$401,$U47)="","",INDEX('Per Invoice'!F$2:F$401,$U47)))</f>
        <v/>
      </c>
      <c r="G47">
        <f>IF($U47="","",IF(INDEX('Per Invoice'!G$2:G$401,$U47)="","",INDEX('Per Invoice'!G$2:G$401,$U47)))</f>
        <v/>
      </c>
      <c r="H47" s="7">
        <f>IF($U47="","",IF(INDEX('Per Invoice'!H$2:H$401,$U47)="","",INDEX('Per Invoice'!H$2:H$401,$U47)))</f>
        <v/>
      </c>
      <c r="I47" s="14">
        <f>IF($U47="","",IF(INDEX('Per Invoice'!I$2:I$401,$U47)="","",INDEX('Per Invoice'!I$2:I$401,$U47)))</f>
        <v/>
      </c>
      <c r="J47">
        <f>IF($U47="","",IF(INDEX('Per Invoice'!J$2:J$401,$U47)="","",INDEX('Per Invoice'!J$2:J$401,$U47)))</f>
        <v/>
      </c>
      <c r="K47">
        <f>IF($U47="","",IF(INDEX('Per Invoice'!K$2:K$401,$U47)="","",INDEX('Per Invoice'!K$2:K$401,$U47)))</f>
        <v/>
      </c>
      <c r="L47" s="7">
        <f>IF($U47="","",IF(INDEX('Per Invoice'!L$2:L$401,$U47)="","",INDEX('Per Invoice'!L$2:L$401,$U47)))</f>
        <v/>
      </c>
      <c r="M47" s="7">
        <f>IF($U47="","",IF(INDEX('Per Invoice'!M$2:M$401,$U47)="","",INDEX('Per Invoice'!M$2:M$401,$U47)))</f>
        <v/>
      </c>
      <c r="N47">
        <f>IF($U47="","",IF(INDEX('Per Invoice'!N$2:N$401,$U47)="","",INDEX('Per Invoice'!N$2:N$401,$U47)))</f>
        <v/>
      </c>
      <c r="O47" s="7">
        <f>IF($U47="","",IF(INDEX('Per Invoice'!O$2:O$401,$U47)="","",INDEX('Per Invoice'!O$2:O$401,$U47)))</f>
        <v/>
      </c>
      <c r="P47" s="7">
        <f>IF($U47="","",IF(INDEX('Per Invoice'!P$2:P$401,$U47)="","",INDEX('Per Invoice'!P$2:P$401,$U47)))</f>
        <v/>
      </c>
      <c r="Q47" s="7">
        <f>IF($U47="","",IF(INDEX('Per Invoice'!Q$2:Q$401,$U47)="","",INDEX('Per Invoice'!Q$2:Q$401,$U47)))</f>
        <v/>
      </c>
      <c r="R47" s="7">
        <f>IF($U47="","",IF(INDEX('Per Invoice'!R$2:R$401,$U47)="","",INDEX('Per Invoice'!R$2:R$401,$U47)))</f>
        <v/>
      </c>
      <c r="S47" s="7">
        <f>IF($U47="","",IF(INDEX('Per Invoice'!S$2:S$401,$U47)="","",INDEX('Per Invoice'!S$2:S$401,$U47)))</f>
        <v/>
      </c>
      <c r="T47" s="7">
        <f>IF($U47="","",IF(INDEX('Per Invoice'!T$2:T$401,$U47)="","",INDEX('Per Invoice'!T$2:T$401,$U47)))</f>
        <v/>
      </c>
      <c r="U47" s="16">
        <f>IFERROR(MATCH(Settings!$C$28&amp;"|"&amp;ROWS($U$2:$U47),'Per Invoice'!$V$2:$V$401,0),"")</f>
        <v/>
      </c>
    </row>
    <row r="48">
      <c r="A48">
        <f>IF($U48="","",IF(INDEX('Per Invoice'!A$2:A$401,$U48)="","",INDEX('Per Invoice'!A$2:A$401,$U48)))</f>
        <v/>
      </c>
      <c r="B48">
        <f>IF($U48="","",IF(INDEX('Per Invoice'!B$2:B$401,$U48)="","",INDEX('Per Invoice'!B$2:B$401,$U48)))</f>
        <v/>
      </c>
      <c r="C48">
        <f>IF($U48="","",IF(INDEX('Per Invoice'!C$2:C$401,$U48)="","",INDEX('Per Invoice'!C$2:C$401,$U48)))</f>
        <v/>
      </c>
      <c r="D48">
        <f>IF($U48="","",IF(INDEX('Per Invoice'!D$2:D$401,$U48)="","",INDEX('Per Invoice'!D$2:D$401,$U48)))</f>
        <v/>
      </c>
      <c r="E48">
        <f>IF($U48="","",IF(INDEX('Per Invoice'!E$2:E$401,$U48)="","",INDEX('Per Invoice'!E$2:E$401,$U48)))</f>
        <v/>
      </c>
      <c r="F48">
        <f>IF($U48="","",IF(INDEX('Per Invoice'!F$2:F$401,$U48)="","",INDEX('Per Invoice'!F$2:F$401,$U48)))</f>
        <v/>
      </c>
      <c r="G48">
        <f>IF($U48="","",IF(INDEX('Per Invoice'!G$2:G$401,$U48)="","",INDEX('Per Invoice'!G$2:G$401,$U48)))</f>
        <v/>
      </c>
      <c r="H48" s="7">
        <f>IF($U48="","",IF(INDEX('Per Invoice'!H$2:H$401,$U48)="","",INDEX('Per Invoice'!H$2:H$401,$U48)))</f>
        <v/>
      </c>
      <c r="I48" s="14">
        <f>IF($U48="","",IF(INDEX('Per Invoice'!I$2:I$401,$U48)="","",INDEX('Per Invoice'!I$2:I$401,$U48)))</f>
        <v/>
      </c>
      <c r="J48">
        <f>IF($U48="","",IF(INDEX('Per Invoice'!J$2:J$401,$U48)="","",INDEX('Per Invoice'!J$2:J$401,$U48)))</f>
        <v/>
      </c>
      <c r="K48">
        <f>IF($U48="","",IF(INDEX('Per Invoice'!K$2:K$401,$U48)="","",INDEX('Per Invoice'!K$2:K$401,$U48)))</f>
        <v/>
      </c>
      <c r="L48" s="7">
        <f>IF($U48="","",IF(INDEX('Per Invoice'!L$2:L$401,$U48)="","",INDEX('Per Invoice'!L$2:L$401,$U48)))</f>
        <v/>
      </c>
      <c r="M48" s="7">
        <f>IF($U48="","",IF(INDEX('Per Invoice'!M$2:M$401,$U48)="","",INDEX('Per Invoice'!M$2:M$401,$U48)))</f>
        <v/>
      </c>
      <c r="N48">
        <f>IF($U48="","",IF(INDEX('Per Invoice'!N$2:N$401,$U48)="","",INDEX('Per Invoice'!N$2:N$401,$U48)))</f>
        <v/>
      </c>
      <c r="O48" s="7">
        <f>IF($U48="","",IF(INDEX('Per Invoice'!O$2:O$401,$U48)="","",INDEX('Per Invoice'!O$2:O$401,$U48)))</f>
        <v/>
      </c>
      <c r="P48" s="7">
        <f>IF($U48="","",IF(INDEX('Per Invoice'!P$2:P$401,$U48)="","",INDEX('Per Invoice'!P$2:P$401,$U48)))</f>
        <v/>
      </c>
      <c r="Q48" s="7">
        <f>IF($U48="","",IF(INDEX('Per Invoice'!Q$2:Q$401,$U48)="","",INDEX('Per Invoice'!Q$2:Q$401,$U48)))</f>
        <v/>
      </c>
      <c r="R48" s="7">
        <f>IF($U48="","",IF(INDEX('Per Invoice'!R$2:R$401,$U48)="","",INDEX('Per Invoice'!R$2:R$401,$U48)))</f>
        <v/>
      </c>
      <c r="S48" s="7">
        <f>IF($U48="","",IF(INDEX('Per Invoice'!S$2:S$401,$U48)="","",INDEX('Per Invoice'!S$2:S$401,$U48)))</f>
        <v/>
      </c>
      <c r="T48" s="7">
        <f>IF($U48="","",IF(INDEX('Per Invoice'!T$2:T$401,$U48)="","",INDEX('Per Invoice'!T$2:T$401,$U48)))</f>
        <v/>
      </c>
      <c r="U48" s="16">
        <f>IFERROR(MATCH(Settings!$C$28&amp;"|"&amp;ROWS($U$2:$U48),'Per Invoice'!$V$2:$V$401,0),"")</f>
        <v/>
      </c>
    </row>
    <row r="49">
      <c r="A49">
        <f>IF($U49="","",IF(INDEX('Per Invoice'!A$2:A$401,$U49)="","",INDEX('Per Invoice'!A$2:A$401,$U49)))</f>
        <v/>
      </c>
      <c r="B49">
        <f>IF($U49="","",IF(INDEX('Per Invoice'!B$2:B$401,$U49)="","",INDEX('Per Invoice'!B$2:B$401,$U49)))</f>
        <v/>
      </c>
      <c r="C49">
        <f>IF($U49="","",IF(INDEX('Per Invoice'!C$2:C$401,$U49)="","",INDEX('Per Invoice'!C$2:C$401,$U49)))</f>
        <v/>
      </c>
      <c r="D49">
        <f>IF($U49="","",IF(INDEX('Per Invoice'!D$2:D$401,$U49)="","",INDEX('Per Invoice'!D$2:D$401,$U49)))</f>
        <v/>
      </c>
      <c r="E49">
        <f>IF($U49="","",IF(INDEX('Per Invoice'!E$2:E$401,$U49)="","",INDEX('Per Invoice'!E$2:E$401,$U49)))</f>
        <v/>
      </c>
      <c r="F49">
        <f>IF($U49="","",IF(INDEX('Per Invoice'!F$2:F$401,$U49)="","",INDEX('Per Invoice'!F$2:F$401,$U49)))</f>
        <v/>
      </c>
      <c r="G49">
        <f>IF($U49="","",IF(INDEX('Per Invoice'!G$2:G$401,$U49)="","",INDEX('Per Invoice'!G$2:G$401,$U49)))</f>
        <v/>
      </c>
      <c r="H49" s="7">
        <f>IF($U49="","",IF(INDEX('Per Invoice'!H$2:H$401,$U49)="","",INDEX('Per Invoice'!H$2:H$401,$U49)))</f>
        <v/>
      </c>
      <c r="I49" s="14">
        <f>IF($U49="","",IF(INDEX('Per Invoice'!I$2:I$401,$U49)="","",INDEX('Per Invoice'!I$2:I$401,$U49)))</f>
        <v/>
      </c>
      <c r="J49">
        <f>IF($U49="","",IF(INDEX('Per Invoice'!J$2:J$401,$U49)="","",INDEX('Per Invoice'!J$2:J$401,$U49)))</f>
        <v/>
      </c>
      <c r="K49">
        <f>IF($U49="","",IF(INDEX('Per Invoice'!K$2:K$401,$U49)="","",INDEX('Per Invoice'!K$2:K$401,$U49)))</f>
        <v/>
      </c>
      <c r="L49" s="7">
        <f>IF($U49="","",IF(INDEX('Per Invoice'!L$2:L$401,$U49)="","",INDEX('Per Invoice'!L$2:L$401,$U49)))</f>
        <v/>
      </c>
      <c r="M49" s="7">
        <f>IF($U49="","",IF(INDEX('Per Invoice'!M$2:M$401,$U49)="","",INDEX('Per Invoice'!M$2:M$401,$U49)))</f>
        <v/>
      </c>
      <c r="N49">
        <f>IF($U49="","",IF(INDEX('Per Invoice'!N$2:N$401,$U49)="","",INDEX('Per Invoice'!N$2:N$401,$U49)))</f>
        <v/>
      </c>
      <c r="O49" s="7">
        <f>IF($U49="","",IF(INDEX('Per Invoice'!O$2:O$401,$U49)="","",INDEX('Per Invoice'!O$2:O$401,$U49)))</f>
        <v/>
      </c>
      <c r="P49" s="7">
        <f>IF($U49="","",IF(INDEX('Per Invoice'!P$2:P$401,$U49)="","",INDEX('Per Invoice'!P$2:P$401,$U49)))</f>
        <v/>
      </c>
      <c r="Q49" s="7">
        <f>IF($U49="","",IF(INDEX('Per Invoice'!Q$2:Q$401,$U49)="","",INDEX('Per Invoice'!Q$2:Q$401,$U49)))</f>
        <v/>
      </c>
      <c r="R49" s="7">
        <f>IF($U49="","",IF(INDEX('Per Invoice'!R$2:R$401,$U49)="","",INDEX('Per Invoice'!R$2:R$401,$U49)))</f>
        <v/>
      </c>
      <c r="S49" s="7">
        <f>IF($U49="","",IF(INDEX('Per Invoice'!S$2:S$401,$U49)="","",INDEX('Per Invoice'!S$2:S$401,$U49)))</f>
        <v/>
      </c>
      <c r="T49" s="7">
        <f>IF($U49="","",IF(INDEX('Per Invoice'!T$2:T$401,$U49)="","",INDEX('Per Invoice'!T$2:T$401,$U49)))</f>
        <v/>
      </c>
      <c r="U49" s="16">
        <f>IFERROR(MATCH(Settings!$C$28&amp;"|"&amp;ROWS($U$2:$U49),'Per Invoice'!$V$2:$V$401,0),"")</f>
        <v/>
      </c>
    </row>
    <row r="50">
      <c r="A50">
        <f>IF($U50="","",IF(INDEX('Per Invoice'!A$2:A$401,$U50)="","",INDEX('Per Invoice'!A$2:A$401,$U50)))</f>
        <v/>
      </c>
      <c r="B50">
        <f>IF($U50="","",IF(INDEX('Per Invoice'!B$2:B$401,$U50)="","",INDEX('Per Invoice'!B$2:B$401,$U50)))</f>
        <v/>
      </c>
      <c r="C50">
        <f>IF($U50="","",IF(INDEX('Per Invoice'!C$2:C$401,$U50)="","",INDEX('Per Invoice'!C$2:C$401,$U50)))</f>
        <v/>
      </c>
      <c r="D50">
        <f>IF($U50="","",IF(INDEX('Per Invoice'!D$2:D$401,$U50)="","",INDEX('Per Invoice'!D$2:D$401,$U50)))</f>
        <v/>
      </c>
      <c r="E50">
        <f>IF($U50="","",IF(INDEX('Per Invoice'!E$2:E$401,$U50)="","",INDEX('Per Invoice'!E$2:E$401,$U50)))</f>
        <v/>
      </c>
      <c r="F50">
        <f>IF($U50="","",IF(INDEX('Per Invoice'!F$2:F$401,$U50)="","",INDEX('Per Invoice'!F$2:F$401,$U50)))</f>
        <v/>
      </c>
      <c r="G50">
        <f>IF($U50="","",IF(INDEX('Per Invoice'!G$2:G$401,$U50)="","",INDEX('Per Invoice'!G$2:G$401,$U50)))</f>
        <v/>
      </c>
      <c r="H50" s="7">
        <f>IF($U50="","",IF(INDEX('Per Invoice'!H$2:H$401,$U50)="","",INDEX('Per Invoice'!H$2:H$401,$U50)))</f>
        <v/>
      </c>
      <c r="I50" s="14">
        <f>IF($U50="","",IF(INDEX('Per Invoice'!I$2:I$401,$U50)="","",INDEX('Per Invoice'!I$2:I$401,$U50)))</f>
        <v/>
      </c>
      <c r="J50">
        <f>IF($U50="","",IF(INDEX('Per Invoice'!J$2:J$401,$U50)="","",INDEX('Per Invoice'!J$2:J$401,$U50)))</f>
        <v/>
      </c>
      <c r="K50">
        <f>IF($U50="","",IF(INDEX('Per Invoice'!K$2:K$401,$U50)="","",INDEX('Per Invoice'!K$2:K$401,$U50)))</f>
        <v/>
      </c>
      <c r="L50" s="7">
        <f>IF($U50="","",IF(INDEX('Per Invoice'!L$2:L$401,$U50)="","",INDEX('Per Invoice'!L$2:L$401,$U50)))</f>
        <v/>
      </c>
      <c r="M50" s="7">
        <f>IF($U50="","",IF(INDEX('Per Invoice'!M$2:M$401,$U50)="","",INDEX('Per Invoice'!M$2:M$401,$U50)))</f>
        <v/>
      </c>
      <c r="N50">
        <f>IF($U50="","",IF(INDEX('Per Invoice'!N$2:N$401,$U50)="","",INDEX('Per Invoice'!N$2:N$401,$U50)))</f>
        <v/>
      </c>
      <c r="O50" s="7">
        <f>IF($U50="","",IF(INDEX('Per Invoice'!O$2:O$401,$U50)="","",INDEX('Per Invoice'!O$2:O$401,$U50)))</f>
        <v/>
      </c>
      <c r="P50" s="7">
        <f>IF($U50="","",IF(INDEX('Per Invoice'!P$2:P$401,$U50)="","",INDEX('Per Invoice'!P$2:P$401,$U50)))</f>
        <v/>
      </c>
      <c r="Q50" s="7">
        <f>IF($U50="","",IF(INDEX('Per Invoice'!Q$2:Q$401,$U50)="","",INDEX('Per Invoice'!Q$2:Q$401,$U50)))</f>
        <v/>
      </c>
      <c r="R50" s="7">
        <f>IF($U50="","",IF(INDEX('Per Invoice'!R$2:R$401,$U50)="","",INDEX('Per Invoice'!R$2:R$401,$U50)))</f>
        <v/>
      </c>
      <c r="S50" s="7">
        <f>IF($U50="","",IF(INDEX('Per Invoice'!S$2:S$401,$U50)="","",INDEX('Per Invoice'!S$2:S$401,$U50)))</f>
        <v/>
      </c>
      <c r="T50" s="7">
        <f>IF($U50="","",IF(INDEX('Per Invoice'!T$2:T$401,$U50)="","",INDEX('Per Invoice'!T$2:T$401,$U50)))</f>
        <v/>
      </c>
      <c r="U50" s="16">
        <f>IFERROR(MATCH(Settings!$C$28&amp;"|"&amp;ROWS($U$2:$U50),'Per Invoice'!$V$2:$V$401,0),"")</f>
        <v/>
      </c>
    </row>
    <row r="51">
      <c r="A51">
        <f>IF($U51="","",IF(INDEX('Per Invoice'!A$2:A$401,$U51)="","",INDEX('Per Invoice'!A$2:A$401,$U51)))</f>
        <v/>
      </c>
      <c r="B51">
        <f>IF($U51="","",IF(INDEX('Per Invoice'!B$2:B$401,$U51)="","",INDEX('Per Invoice'!B$2:B$401,$U51)))</f>
        <v/>
      </c>
      <c r="C51">
        <f>IF($U51="","",IF(INDEX('Per Invoice'!C$2:C$401,$U51)="","",INDEX('Per Invoice'!C$2:C$401,$U51)))</f>
        <v/>
      </c>
      <c r="D51">
        <f>IF($U51="","",IF(INDEX('Per Invoice'!D$2:D$401,$U51)="","",INDEX('Per Invoice'!D$2:D$401,$U51)))</f>
        <v/>
      </c>
      <c r="E51">
        <f>IF($U51="","",IF(INDEX('Per Invoice'!E$2:E$401,$U51)="","",INDEX('Per Invoice'!E$2:E$401,$U51)))</f>
        <v/>
      </c>
      <c r="F51">
        <f>IF($U51="","",IF(INDEX('Per Invoice'!F$2:F$401,$U51)="","",INDEX('Per Invoice'!F$2:F$401,$U51)))</f>
        <v/>
      </c>
      <c r="G51">
        <f>IF($U51="","",IF(INDEX('Per Invoice'!G$2:G$401,$U51)="","",INDEX('Per Invoice'!G$2:G$401,$U51)))</f>
        <v/>
      </c>
      <c r="H51" s="7">
        <f>IF($U51="","",IF(INDEX('Per Invoice'!H$2:H$401,$U51)="","",INDEX('Per Invoice'!H$2:H$401,$U51)))</f>
        <v/>
      </c>
      <c r="I51" s="14">
        <f>IF($U51="","",IF(INDEX('Per Invoice'!I$2:I$401,$U51)="","",INDEX('Per Invoice'!I$2:I$401,$U51)))</f>
        <v/>
      </c>
      <c r="J51">
        <f>IF($U51="","",IF(INDEX('Per Invoice'!J$2:J$401,$U51)="","",INDEX('Per Invoice'!J$2:J$401,$U51)))</f>
        <v/>
      </c>
      <c r="K51">
        <f>IF($U51="","",IF(INDEX('Per Invoice'!K$2:K$401,$U51)="","",INDEX('Per Invoice'!K$2:K$401,$U51)))</f>
        <v/>
      </c>
      <c r="L51" s="7">
        <f>IF($U51="","",IF(INDEX('Per Invoice'!L$2:L$401,$U51)="","",INDEX('Per Invoice'!L$2:L$401,$U51)))</f>
        <v/>
      </c>
      <c r="M51" s="7">
        <f>IF($U51="","",IF(INDEX('Per Invoice'!M$2:M$401,$U51)="","",INDEX('Per Invoice'!M$2:M$401,$U51)))</f>
        <v/>
      </c>
      <c r="N51">
        <f>IF($U51="","",IF(INDEX('Per Invoice'!N$2:N$401,$U51)="","",INDEX('Per Invoice'!N$2:N$401,$U51)))</f>
        <v/>
      </c>
      <c r="O51" s="7">
        <f>IF($U51="","",IF(INDEX('Per Invoice'!O$2:O$401,$U51)="","",INDEX('Per Invoice'!O$2:O$401,$U51)))</f>
        <v/>
      </c>
      <c r="P51" s="7">
        <f>IF($U51="","",IF(INDEX('Per Invoice'!P$2:P$401,$U51)="","",INDEX('Per Invoice'!P$2:P$401,$U51)))</f>
        <v/>
      </c>
      <c r="Q51" s="7">
        <f>IF($U51="","",IF(INDEX('Per Invoice'!Q$2:Q$401,$U51)="","",INDEX('Per Invoice'!Q$2:Q$401,$U51)))</f>
        <v/>
      </c>
      <c r="R51" s="7">
        <f>IF($U51="","",IF(INDEX('Per Invoice'!R$2:R$401,$U51)="","",INDEX('Per Invoice'!R$2:R$401,$U51)))</f>
        <v/>
      </c>
      <c r="S51" s="7">
        <f>IF($U51="","",IF(INDEX('Per Invoice'!S$2:S$401,$U51)="","",INDEX('Per Invoice'!S$2:S$401,$U51)))</f>
        <v/>
      </c>
      <c r="T51" s="7">
        <f>IF($U51="","",IF(INDEX('Per Invoice'!T$2:T$401,$U51)="","",INDEX('Per Invoice'!T$2:T$401,$U51)))</f>
        <v/>
      </c>
      <c r="U51" s="16">
        <f>IFERROR(MATCH(Settings!$C$28&amp;"|"&amp;ROWS($U$2:$U51),'Per Invoice'!$V$2:$V$401,0),"")</f>
        <v/>
      </c>
    </row>
    <row r="52">
      <c r="A52">
        <f>IF($U52="","",IF(INDEX('Per Invoice'!A$2:A$401,$U52)="","",INDEX('Per Invoice'!A$2:A$401,$U52)))</f>
        <v/>
      </c>
      <c r="B52">
        <f>IF($U52="","",IF(INDEX('Per Invoice'!B$2:B$401,$U52)="","",INDEX('Per Invoice'!B$2:B$401,$U52)))</f>
        <v/>
      </c>
      <c r="C52">
        <f>IF($U52="","",IF(INDEX('Per Invoice'!C$2:C$401,$U52)="","",INDEX('Per Invoice'!C$2:C$401,$U52)))</f>
        <v/>
      </c>
      <c r="D52">
        <f>IF($U52="","",IF(INDEX('Per Invoice'!D$2:D$401,$U52)="","",INDEX('Per Invoice'!D$2:D$401,$U52)))</f>
        <v/>
      </c>
      <c r="E52">
        <f>IF($U52="","",IF(INDEX('Per Invoice'!E$2:E$401,$U52)="","",INDEX('Per Invoice'!E$2:E$401,$U52)))</f>
        <v/>
      </c>
      <c r="F52">
        <f>IF($U52="","",IF(INDEX('Per Invoice'!F$2:F$401,$U52)="","",INDEX('Per Invoice'!F$2:F$401,$U52)))</f>
        <v/>
      </c>
      <c r="G52">
        <f>IF($U52="","",IF(INDEX('Per Invoice'!G$2:G$401,$U52)="","",INDEX('Per Invoice'!G$2:G$401,$U52)))</f>
        <v/>
      </c>
      <c r="H52" s="7">
        <f>IF($U52="","",IF(INDEX('Per Invoice'!H$2:H$401,$U52)="","",INDEX('Per Invoice'!H$2:H$401,$U52)))</f>
        <v/>
      </c>
      <c r="I52" s="14">
        <f>IF($U52="","",IF(INDEX('Per Invoice'!I$2:I$401,$U52)="","",INDEX('Per Invoice'!I$2:I$401,$U52)))</f>
        <v/>
      </c>
      <c r="J52">
        <f>IF($U52="","",IF(INDEX('Per Invoice'!J$2:J$401,$U52)="","",INDEX('Per Invoice'!J$2:J$401,$U52)))</f>
        <v/>
      </c>
      <c r="K52">
        <f>IF($U52="","",IF(INDEX('Per Invoice'!K$2:K$401,$U52)="","",INDEX('Per Invoice'!K$2:K$401,$U52)))</f>
        <v/>
      </c>
      <c r="L52" s="7">
        <f>IF($U52="","",IF(INDEX('Per Invoice'!L$2:L$401,$U52)="","",INDEX('Per Invoice'!L$2:L$401,$U52)))</f>
        <v/>
      </c>
      <c r="M52" s="7">
        <f>IF($U52="","",IF(INDEX('Per Invoice'!M$2:M$401,$U52)="","",INDEX('Per Invoice'!M$2:M$401,$U52)))</f>
        <v/>
      </c>
      <c r="N52">
        <f>IF($U52="","",IF(INDEX('Per Invoice'!N$2:N$401,$U52)="","",INDEX('Per Invoice'!N$2:N$401,$U52)))</f>
        <v/>
      </c>
      <c r="O52" s="7">
        <f>IF($U52="","",IF(INDEX('Per Invoice'!O$2:O$401,$U52)="","",INDEX('Per Invoice'!O$2:O$401,$U52)))</f>
        <v/>
      </c>
      <c r="P52" s="7">
        <f>IF($U52="","",IF(INDEX('Per Invoice'!P$2:P$401,$U52)="","",INDEX('Per Invoice'!P$2:P$401,$U52)))</f>
        <v/>
      </c>
      <c r="Q52" s="7">
        <f>IF($U52="","",IF(INDEX('Per Invoice'!Q$2:Q$401,$U52)="","",INDEX('Per Invoice'!Q$2:Q$401,$U52)))</f>
        <v/>
      </c>
      <c r="R52" s="7">
        <f>IF($U52="","",IF(INDEX('Per Invoice'!R$2:R$401,$U52)="","",INDEX('Per Invoice'!R$2:R$401,$U52)))</f>
        <v/>
      </c>
      <c r="S52" s="7">
        <f>IF($U52="","",IF(INDEX('Per Invoice'!S$2:S$401,$U52)="","",INDEX('Per Invoice'!S$2:S$401,$U52)))</f>
        <v/>
      </c>
      <c r="T52" s="7">
        <f>IF($U52="","",IF(INDEX('Per Invoice'!T$2:T$401,$U52)="","",INDEX('Per Invoice'!T$2:T$401,$U52)))</f>
        <v/>
      </c>
      <c r="U52" s="16">
        <f>IFERROR(MATCH(Settings!$C$28&amp;"|"&amp;ROWS($U$2:$U52),'Per Invoice'!$V$2:$V$401,0),"")</f>
        <v/>
      </c>
    </row>
    <row r="53">
      <c r="A53">
        <f>IF($U53="","",IF(INDEX('Per Invoice'!A$2:A$401,$U53)="","",INDEX('Per Invoice'!A$2:A$401,$U53)))</f>
        <v/>
      </c>
      <c r="B53">
        <f>IF($U53="","",IF(INDEX('Per Invoice'!B$2:B$401,$U53)="","",INDEX('Per Invoice'!B$2:B$401,$U53)))</f>
        <v/>
      </c>
      <c r="C53">
        <f>IF($U53="","",IF(INDEX('Per Invoice'!C$2:C$401,$U53)="","",INDEX('Per Invoice'!C$2:C$401,$U53)))</f>
        <v/>
      </c>
      <c r="D53">
        <f>IF($U53="","",IF(INDEX('Per Invoice'!D$2:D$401,$U53)="","",INDEX('Per Invoice'!D$2:D$401,$U53)))</f>
        <v/>
      </c>
      <c r="E53">
        <f>IF($U53="","",IF(INDEX('Per Invoice'!E$2:E$401,$U53)="","",INDEX('Per Invoice'!E$2:E$401,$U53)))</f>
        <v/>
      </c>
      <c r="F53">
        <f>IF($U53="","",IF(INDEX('Per Invoice'!F$2:F$401,$U53)="","",INDEX('Per Invoice'!F$2:F$401,$U53)))</f>
        <v/>
      </c>
      <c r="G53">
        <f>IF($U53="","",IF(INDEX('Per Invoice'!G$2:G$401,$U53)="","",INDEX('Per Invoice'!G$2:G$401,$U53)))</f>
        <v/>
      </c>
      <c r="H53" s="7">
        <f>IF($U53="","",IF(INDEX('Per Invoice'!H$2:H$401,$U53)="","",INDEX('Per Invoice'!H$2:H$401,$U53)))</f>
        <v/>
      </c>
      <c r="I53" s="14">
        <f>IF($U53="","",IF(INDEX('Per Invoice'!I$2:I$401,$U53)="","",INDEX('Per Invoice'!I$2:I$401,$U53)))</f>
        <v/>
      </c>
      <c r="J53">
        <f>IF($U53="","",IF(INDEX('Per Invoice'!J$2:J$401,$U53)="","",INDEX('Per Invoice'!J$2:J$401,$U53)))</f>
        <v/>
      </c>
      <c r="K53">
        <f>IF($U53="","",IF(INDEX('Per Invoice'!K$2:K$401,$U53)="","",INDEX('Per Invoice'!K$2:K$401,$U53)))</f>
        <v/>
      </c>
      <c r="L53" s="7">
        <f>IF($U53="","",IF(INDEX('Per Invoice'!L$2:L$401,$U53)="","",INDEX('Per Invoice'!L$2:L$401,$U53)))</f>
        <v/>
      </c>
      <c r="M53" s="7">
        <f>IF($U53="","",IF(INDEX('Per Invoice'!M$2:M$401,$U53)="","",INDEX('Per Invoice'!M$2:M$401,$U53)))</f>
        <v/>
      </c>
      <c r="N53">
        <f>IF($U53="","",IF(INDEX('Per Invoice'!N$2:N$401,$U53)="","",INDEX('Per Invoice'!N$2:N$401,$U53)))</f>
        <v/>
      </c>
      <c r="O53" s="7">
        <f>IF($U53="","",IF(INDEX('Per Invoice'!O$2:O$401,$U53)="","",INDEX('Per Invoice'!O$2:O$401,$U53)))</f>
        <v/>
      </c>
      <c r="P53" s="7">
        <f>IF($U53="","",IF(INDEX('Per Invoice'!P$2:P$401,$U53)="","",INDEX('Per Invoice'!P$2:P$401,$U53)))</f>
        <v/>
      </c>
      <c r="Q53" s="7">
        <f>IF($U53="","",IF(INDEX('Per Invoice'!Q$2:Q$401,$U53)="","",INDEX('Per Invoice'!Q$2:Q$401,$U53)))</f>
        <v/>
      </c>
      <c r="R53" s="7">
        <f>IF($U53="","",IF(INDEX('Per Invoice'!R$2:R$401,$U53)="","",INDEX('Per Invoice'!R$2:R$401,$U53)))</f>
        <v/>
      </c>
      <c r="S53" s="7">
        <f>IF($U53="","",IF(INDEX('Per Invoice'!S$2:S$401,$U53)="","",INDEX('Per Invoice'!S$2:S$401,$U53)))</f>
        <v/>
      </c>
      <c r="T53" s="7">
        <f>IF($U53="","",IF(INDEX('Per Invoice'!T$2:T$401,$U53)="","",INDEX('Per Invoice'!T$2:T$401,$U53)))</f>
        <v/>
      </c>
      <c r="U53" s="16">
        <f>IFERROR(MATCH(Settings!$C$28&amp;"|"&amp;ROWS($U$2:$U53),'Per Invoice'!$V$2:$V$401,0),"")</f>
        <v/>
      </c>
    </row>
    <row r="54">
      <c r="A54">
        <f>IF($U54="","",IF(INDEX('Per Invoice'!A$2:A$401,$U54)="","",INDEX('Per Invoice'!A$2:A$401,$U54)))</f>
        <v/>
      </c>
      <c r="B54">
        <f>IF($U54="","",IF(INDEX('Per Invoice'!B$2:B$401,$U54)="","",INDEX('Per Invoice'!B$2:B$401,$U54)))</f>
        <v/>
      </c>
      <c r="C54">
        <f>IF($U54="","",IF(INDEX('Per Invoice'!C$2:C$401,$U54)="","",INDEX('Per Invoice'!C$2:C$401,$U54)))</f>
        <v/>
      </c>
      <c r="D54">
        <f>IF($U54="","",IF(INDEX('Per Invoice'!D$2:D$401,$U54)="","",INDEX('Per Invoice'!D$2:D$401,$U54)))</f>
        <v/>
      </c>
      <c r="E54">
        <f>IF($U54="","",IF(INDEX('Per Invoice'!E$2:E$401,$U54)="","",INDEX('Per Invoice'!E$2:E$401,$U54)))</f>
        <v/>
      </c>
      <c r="F54">
        <f>IF($U54="","",IF(INDEX('Per Invoice'!F$2:F$401,$U54)="","",INDEX('Per Invoice'!F$2:F$401,$U54)))</f>
        <v/>
      </c>
      <c r="G54">
        <f>IF($U54="","",IF(INDEX('Per Invoice'!G$2:G$401,$U54)="","",INDEX('Per Invoice'!G$2:G$401,$U54)))</f>
        <v/>
      </c>
      <c r="H54" s="7">
        <f>IF($U54="","",IF(INDEX('Per Invoice'!H$2:H$401,$U54)="","",INDEX('Per Invoice'!H$2:H$401,$U54)))</f>
        <v/>
      </c>
      <c r="I54" s="14">
        <f>IF($U54="","",IF(INDEX('Per Invoice'!I$2:I$401,$U54)="","",INDEX('Per Invoice'!I$2:I$401,$U54)))</f>
        <v/>
      </c>
      <c r="J54">
        <f>IF($U54="","",IF(INDEX('Per Invoice'!J$2:J$401,$U54)="","",INDEX('Per Invoice'!J$2:J$401,$U54)))</f>
        <v/>
      </c>
      <c r="K54">
        <f>IF($U54="","",IF(INDEX('Per Invoice'!K$2:K$401,$U54)="","",INDEX('Per Invoice'!K$2:K$401,$U54)))</f>
        <v/>
      </c>
      <c r="L54" s="7">
        <f>IF($U54="","",IF(INDEX('Per Invoice'!L$2:L$401,$U54)="","",INDEX('Per Invoice'!L$2:L$401,$U54)))</f>
        <v/>
      </c>
      <c r="M54" s="7">
        <f>IF($U54="","",IF(INDEX('Per Invoice'!M$2:M$401,$U54)="","",INDEX('Per Invoice'!M$2:M$401,$U54)))</f>
        <v/>
      </c>
      <c r="N54">
        <f>IF($U54="","",IF(INDEX('Per Invoice'!N$2:N$401,$U54)="","",INDEX('Per Invoice'!N$2:N$401,$U54)))</f>
        <v/>
      </c>
      <c r="O54" s="7">
        <f>IF($U54="","",IF(INDEX('Per Invoice'!O$2:O$401,$U54)="","",INDEX('Per Invoice'!O$2:O$401,$U54)))</f>
        <v/>
      </c>
      <c r="P54" s="7">
        <f>IF($U54="","",IF(INDEX('Per Invoice'!P$2:P$401,$U54)="","",INDEX('Per Invoice'!P$2:P$401,$U54)))</f>
        <v/>
      </c>
      <c r="Q54" s="7">
        <f>IF($U54="","",IF(INDEX('Per Invoice'!Q$2:Q$401,$U54)="","",INDEX('Per Invoice'!Q$2:Q$401,$U54)))</f>
        <v/>
      </c>
      <c r="R54" s="7">
        <f>IF($U54="","",IF(INDEX('Per Invoice'!R$2:R$401,$U54)="","",INDEX('Per Invoice'!R$2:R$401,$U54)))</f>
        <v/>
      </c>
      <c r="S54" s="7">
        <f>IF($U54="","",IF(INDEX('Per Invoice'!S$2:S$401,$U54)="","",INDEX('Per Invoice'!S$2:S$401,$U54)))</f>
        <v/>
      </c>
      <c r="T54" s="7">
        <f>IF($U54="","",IF(INDEX('Per Invoice'!T$2:T$401,$U54)="","",INDEX('Per Invoice'!T$2:T$401,$U54)))</f>
        <v/>
      </c>
      <c r="U54" s="16">
        <f>IFERROR(MATCH(Settings!$C$28&amp;"|"&amp;ROWS($U$2:$U54),'Per Invoice'!$V$2:$V$401,0),"")</f>
        <v/>
      </c>
    </row>
    <row r="55">
      <c r="A55">
        <f>IF($U55="","",IF(INDEX('Per Invoice'!A$2:A$401,$U55)="","",INDEX('Per Invoice'!A$2:A$401,$U55)))</f>
        <v/>
      </c>
      <c r="B55">
        <f>IF($U55="","",IF(INDEX('Per Invoice'!B$2:B$401,$U55)="","",INDEX('Per Invoice'!B$2:B$401,$U55)))</f>
        <v/>
      </c>
      <c r="C55">
        <f>IF($U55="","",IF(INDEX('Per Invoice'!C$2:C$401,$U55)="","",INDEX('Per Invoice'!C$2:C$401,$U55)))</f>
        <v/>
      </c>
      <c r="D55">
        <f>IF($U55="","",IF(INDEX('Per Invoice'!D$2:D$401,$U55)="","",INDEX('Per Invoice'!D$2:D$401,$U55)))</f>
        <v/>
      </c>
      <c r="E55">
        <f>IF($U55="","",IF(INDEX('Per Invoice'!E$2:E$401,$U55)="","",INDEX('Per Invoice'!E$2:E$401,$U55)))</f>
        <v/>
      </c>
      <c r="F55">
        <f>IF($U55="","",IF(INDEX('Per Invoice'!F$2:F$401,$U55)="","",INDEX('Per Invoice'!F$2:F$401,$U55)))</f>
        <v/>
      </c>
      <c r="G55">
        <f>IF($U55="","",IF(INDEX('Per Invoice'!G$2:G$401,$U55)="","",INDEX('Per Invoice'!G$2:G$401,$U55)))</f>
        <v/>
      </c>
      <c r="H55" s="7">
        <f>IF($U55="","",IF(INDEX('Per Invoice'!H$2:H$401,$U55)="","",INDEX('Per Invoice'!H$2:H$401,$U55)))</f>
        <v/>
      </c>
      <c r="I55" s="14">
        <f>IF($U55="","",IF(INDEX('Per Invoice'!I$2:I$401,$U55)="","",INDEX('Per Invoice'!I$2:I$401,$U55)))</f>
        <v/>
      </c>
      <c r="J55">
        <f>IF($U55="","",IF(INDEX('Per Invoice'!J$2:J$401,$U55)="","",INDEX('Per Invoice'!J$2:J$401,$U55)))</f>
        <v/>
      </c>
      <c r="K55">
        <f>IF($U55="","",IF(INDEX('Per Invoice'!K$2:K$401,$U55)="","",INDEX('Per Invoice'!K$2:K$401,$U55)))</f>
        <v/>
      </c>
      <c r="L55" s="7">
        <f>IF($U55="","",IF(INDEX('Per Invoice'!L$2:L$401,$U55)="","",INDEX('Per Invoice'!L$2:L$401,$U55)))</f>
        <v/>
      </c>
      <c r="M55" s="7">
        <f>IF($U55="","",IF(INDEX('Per Invoice'!M$2:M$401,$U55)="","",INDEX('Per Invoice'!M$2:M$401,$U55)))</f>
        <v/>
      </c>
      <c r="N55">
        <f>IF($U55="","",IF(INDEX('Per Invoice'!N$2:N$401,$U55)="","",INDEX('Per Invoice'!N$2:N$401,$U55)))</f>
        <v/>
      </c>
      <c r="O55" s="7">
        <f>IF($U55="","",IF(INDEX('Per Invoice'!O$2:O$401,$U55)="","",INDEX('Per Invoice'!O$2:O$401,$U55)))</f>
        <v/>
      </c>
      <c r="P55" s="7">
        <f>IF($U55="","",IF(INDEX('Per Invoice'!P$2:P$401,$U55)="","",INDEX('Per Invoice'!P$2:P$401,$U55)))</f>
        <v/>
      </c>
      <c r="Q55" s="7">
        <f>IF($U55="","",IF(INDEX('Per Invoice'!Q$2:Q$401,$U55)="","",INDEX('Per Invoice'!Q$2:Q$401,$U55)))</f>
        <v/>
      </c>
      <c r="R55" s="7">
        <f>IF($U55="","",IF(INDEX('Per Invoice'!R$2:R$401,$U55)="","",INDEX('Per Invoice'!R$2:R$401,$U55)))</f>
        <v/>
      </c>
      <c r="S55" s="7">
        <f>IF($U55="","",IF(INDEX('Per Invoice'!S$2:S$401,$U55)="","",INDEX('Per Invoice'!S$2:S$401,$U55)))</f>
        <v/>
      </c>
      <c r="T55" s="7">
        <f>IF($U55="","",IF(INDEX('Per Invoice'!T$2:T$401,$U55)="","",INDEX('Per Invoice'!T$2:T$401,$U55)))</f>
        <v/>
      </c>
      <c r="U55" s="16">
        <f>IFERROR(MATCH(Settings!$C$28&amp;"|"&amp;ROWS($U$2:$U55),'Per Invoice'!$V$2:$V$401,0),"")</f>
        <v/>
      </c>
    </row>
    <row r="56">
      <c r="A56">
        <f>IF($U56="","",IF(INDEX('Per Invoice'!A$2:A$401,$U56)="","",INDEX('Per Invoice'!A$2:A$401,$U56)))</f>
        <v/>
      </c>
      <c r="B56">
        <f>IF($U56="","",IF(INDEX('Per Invoice'!B$2:B$401,$U56)="","",INDEX('Per Invoice'!B$2:B$401,$U56)))</f>
        <v/>
      </c>
      <c r="C56">
        <f>IF($U56="","",IF(INDEX('Per Invoice'!C$2:C$401,$U56)="","",INDEX('Per Invoice'!C$2:C$401,$U56)))</f>
        <v/>
      </c>
      <c r="D56">
        <f>IF($U56="","",IF(INDEX('Per Invoice'!D$2:D$401,$U56)="","",INDEX('Per Invoice'!D$2:D$401,$U56)))</f>
        <v/>
      </c>
      <c r="E56">
        <f>IF($U56="","",IF(INDEX('Per Invoice'!E$2:E$401,$U56)="","",INDEX('Per Invoice'!E$2:E$401,$U56)))</f>
        <v/>
      </c>
      <c r="F56">
        <f>IF($U56="","",IF(INDEX('Per Invoice'!F$2:F$401,$U56)="","",INDEX('Per Invoice'!F$2:F$401,$U56)))</f>
        <v/>
      </c>
      <c r="G56">
        <f>IF($U56="","",IF(INDEX('Per Invoice'!G$2:G$401,$U56)="","",INDEX('Per Invoice'!G$2:G$401,$U56)))</f>
        <v/>
      </c>
      <c r="H56" s="7">
        <f>IF($U56="","",IF(INDEX('Per Invoice'!H$2:H$401,$U56)="","",INDEX('Per Invoice'!H$2:H$401,$U56)))</f>
        <v/>
      </c>
      <c r="I56" s="14">
        <f>IF($U56="","",IF(INDEX('Per Invoice'!I$2:I$401,$U56)="","",INDEX('Per Invoice'!I$2:I$401,$U56)))</f>
        <v/>
      </c>
      <c r="J56">
        <f>IF($U56="","",IF(INDEX('Per Invoice'!J$2:J$401,$U56)="","",INDEX('Per Invoice'!J$2:J$401,$U56)))</f>
        <v/>
      </c>
      <c r="K56">
        <f>IF($U56="","",IF(INDEX('Per Invoice'!K$2:K$401,$U56)="","",INDEX('Per Invoice'!K$2:K$401,$U56)))</f>
        <v/>
      </c>
      <c r="L56" s="7">
        <f>IF($U56="","",IF(INDEX('Per Invoice'!L$2:L$401,$U56)="","",INDEX('Per Invoice'!L$2:L$401,$U56)))</f>
        <v/>
      </c>
      <c r="M56" s="7">
        <f>IF($U56="","",IF(INDEX('Per Invoice'!M$2:M$401,$U56)="","",INDEX('Per Invoice'!M$2:M$401,$U56)))</f>
        <v/>
      </c>
      <c r="N56">
        <f>IF($U56="","",IF(INDEX('Per Invoice'!N$2:N$401,$U56)="","",INDEX('Per Invoice'!N$2:N$401,$U56)))</f>
        <v/>
      </c>
      <c r="O56" s="7">
        <f>IF($U56="","",IF(INDEX('Per Invoice'!O$2:O$401,$U56)="","",INDEX('Per Invoice'!O$2:O$401,$U56)))</f>
        <v/>
      </c>
      <c r="P56" s="7">
        <f>IF($U56="","",IF(INDEX('Per Invoice'!P$2:P$401,$U56)="","",INDEX('Per Invoice'!P$2:P$401,$U56)))</f>
        <v/>
      </c>
      <c r="Q56" s="7">
        <f>IF($U56="","",IF(INDEX('Per Invoice'!Q$2:Q$401,$U56)="","",INDEX('Per Invoice'!Q$2:Q$401,$U56)))</f>
        <v/>
      </c>
      <c r="R56" s="7">
        <f>IF($U56="","",IF(INDEX('Per Invoice'!R$2:R$401,$U56)="","",INDEX('Per Invoice'!R$2:R$401,$U56)))</f>
        <v/>
      </c>
      <c r="S56" s="7">
        <f>IF($U56="","",IF(INDEX('Per Invoice'!S$2:S$401,$U56)="","",INDEX('Per Invoice'!S$2:S$401,$U56)))</f>
        <v/>
      </c>
      <c r="T56" s="7">
        <f>IF($U56="","",IF(INDEX('Per Invoice'!T$2:T$401,$U56)="","",INDEX('Per Invoice'!T$2:T$401,$U56)))</f>
        <v/>
      </c>
      <c r="U56" s="16">
        <f>IFERROR(MATCH(Settings!$C$28&amp;"|"&amp;ROWS($U$2:$U56),'Per Invoice'!$V$2:$V$401,0),"")</f>
        <v/>
      </c>
    </row>
    <row r="57">
      <c r="A57">
        <f>IF($U57="","",IF(INDEX('Per Invoice'!A$2:A$401,$U57)="","",INDEX('Per Invoice'!A$2:A$401,$U57)))</f>
        <v/>
      </c>
      <c r="B57">
        <f>IF($U57="","",IF(INDEX('Per Invoice'!B$2:B$401,$U57)="","",INDEX('Per Invoice'!B$2:B$401,$U57)))</f>
        <v/>
      </c>
      <c r="C57">
        <f>IF($U57="","",IF(INDEX('Per Invoice'!C$2:C$401,$U57)="","",INDEX('Per Invoice'!C$2:C$401,$U57)))</f>
        <v/>
      </c>
      <c r="D57">
        <f>IF($U57="","",IF(INDEX('Per Invoice'!D$2:D$401,$U57)="","",INDEX('Per Invoice'!D$2:D$401,$U57)))</f>
        <v/>
      </c>
      <c r="E57">
        <f>IF($U57="","",IF(INDEX('Per Invoice'!E$2:E$401,$U57)="","",INDEX('Per Invoice'!E$2:E$401,$U57)))</f>
        <v/>
      </c>
      <c r="F57">
        <f>IF($U57="","",IF(INDEX('Per Invoice'!F$2:F$401,$U57)="","",INDEX('Per Invoice'!F$2:F$401,$U57)))</f>
        <v/>
      </c>
      <c r="G57">
        <f>IF($U57="","",IF(INDEX('Per Invoice'!G$2:G$401,$U57)="","",INDEX('Per Invoice'!G$2:G$401,$U57)))</f>
        <v/>
      </c>
      <c r="H57" s="7">
        <f>IF($U57="","",IF(INDEX('Per Invoice'!H$2:H$401,$U57)="","",INDEX('Per Invoice'!H$2:H$401,$U57)))</f>
        <v/>
      </c>
      <c r="I57" s="14">
        <f>IF($U57="","",IF(INDEX('Per Invoice'!I$2:I$401,$U57)="","",INDEX('Per Invoice'!I$2:I$401,$U57)))</f>
        <v/>
      </c>
      <c r="J57">
        <f>IF($U57="","",IF(INDEX('Per Invoice'!J$2:J$401,$U57)="","",INDEX('Per Invoice'!J$2:J$401,$U57)))</f>
        <v/>
      </c>
      <c r="K57">
        <f>IF($U57="","",IF(INDEX('Per Invoice'!K$2:K$401,$U57)="","",INDEX('Per Invoice'!K$2:K$401,$U57)))</f>
        <v/>
      </c>
      <c r="L57" s="7">
        <f>IF($U57="","",IF(INDEX('Per Invoice'!L$2:L$401,$U57)="","",INDEX('Per Invoice'!L$2:L$401,$U57)))</f>
        <v/>
      </c>
      <c r="M57" s="7">
        <f>IF($U57="","",IF(INDEX('Per Invoice'!M$2:M$401,$U57)="","",INDEX('Per Invoice'!M$2:M$401,$U57)))</f>
        <v/>
      </c>
      <c r="N57">
        <f>IF($U57="","",IF(INDEX('Per Invoice'!N$2:N$401,$U57)="","",INDEX('Per Invoice'!N$2:N$401,$U57)))</f>
        <v/>
      </c>
      <c r="O57" s="7">
        <f>IF($U57="","",IF(INDEX('Per Invoice'!O$2:O$401,$U57)="","",INDEX('Per Invoice'!O$2:O$401,$U57)))</f>
        <v/>
      </c>
      <c r="P57" s="7">
        <f>IF($U57="","",IF(INDEX('Per Invoice'!P$2:P$401,$U57)="","",INDEX('Per Invoice'!P$2:P$401,$U57)))</f>
        <v/>
      </c>
      <c r="Q57" s="7">
        <f>IF($U57="","",IF(INDEX('Per Invoice'!Q$2:Q$401,$U57)="","",INDEX('Per Invoice'!Q$2:Q$401,$U57)))</f>
        <v/>
      </c>
      <c r="R57" s="7">
        <f>IF($U57="","",IF(INDEX('Per Invoice'!R$2:R$401,$U57)="","",INDEX('Per Invoice'!R$2:R$401,$U57)))</f>
        <v/>
      </c>
      <c r="S57" s="7">
        <f>IF($U57="","",IF(INDEX('Per Invoice'!S$2:S$401,$U57)="","",INDEX('Per Invoice'!S$2:S$401,$U57)))</f>
        <v/>
      </c>
      <c r="T57" s="7">
        <f>IF($U57="","",IF(INDEX('Per Invoice'!T$2:T$401,$U57)="","",INDEX('Per Invoice'!T$2:T$401,$U57)))</f>
        <v/>
      </c>
      <c r="U57" s="16">
        <f>IFERROR(MATCH(Settings!$C$28&amp;"|"&amp;ROWS($U$2:$U57),'Per Invoice'!$V$2:$V$401,0),"")</f>
        <v/>
      </c>
    </row>
    <row r="58">
      <c r="A58">
        <f>IF($U58="","",IF(INDEX('Per Invoice'!A$2:A$401,$U58)="","",INDEX('Per Invoice'!A$2:A$401,$U58)))</f>
        <v/>
      </c>
      <c r="B58">
        <f>IF($U58="","",IF(INDEX('Per Invoice'!B$2:B$401,$U58)="","",INDEX('Per Invoice'!B$2:B$401,$U58)))</f>
        <v/>
      </c>
      <c r="C58">
        <f>IF($U58="","",IF(INDEX('Per Invoice'!C$2:C$401,$U58)="","",INDEX('Per Invoice'!C$2:C$401,$U58)))</f>
        <v/>
      </c>
      <c r="D58">
        <f>IF($U58="","",IF(INDEX('Per Invoice'!D$2:D$401,$U58)="","",INDEX('Per Invoice'!D$2:D$401,$U58)))</f>
        <v/>
      </c>
      <c r="E58">
        <f>IF($U58="","",IF(INDEX('Per Invoice'!E$2:E$401,$U58)="","",INDEX('Per Invoice'!E$2:E$401,$U58)))</f>
        <v/>
      </c>
      <c r="F58">
        <f>IF($U58="","",IF(INDEX('Per Invoice'!F$2:F$401,$U58)="","",INDEX('Per Invoice'!F$2:F$401,$U58)))</f>
        <v/>
      </c>
      <c r="G58">
        <f>IF($U58="","",IF(INDEX('Per Invoice'!G$2:G$401,$U58)="","",INDEX('Per Invoice'!G$2:G$401,$U58)))</f>
        <v/>
      </c>
      <c r="H58" s="7">
        <f>IF($U58="","",IF(INDEX('Per Invoice'!H$2:H$401,$U58)="","",INDEX('Per Invoice'!H$2:H$401,$U58)))</f>
        <v/>
      </c>
      <c r="I58" s="14">
        <f>IF($U58="","",IF(INDEX('Per Invoice'!I$2:I$401,$U58)="","",INDEX('Per Invoice'!I$2:I$401,$U58)))</f>
        <v/>
      </c>
      <c r="J58">
        <f>IF($U58="","",IF(INDEX('Per Invoice'!J$2:J$401,$U58)="","",INDEX('Per Invoice'!J$2:J$401,$U58)))</f>
        <v/>
      </c>
      <c r="K58">
        <f>IF($U58="","",IF(INDEX('Per Invoice'!K$2:K$401,$U58)="","",INDEX('Per Invoice'!K$2:K$401,$U58)))</f>
        <v/>
      </c>
      <c r="L58" s="7">
        <f>IF($U58="","",IF(INDEX('Per Invoice'!L$2:L$401,$U58)="","",INDEX('Per Invoice'!L$2:L$401,$U58)))</f>
        <v/>
      </c>
      <c r="M58" s="7">
        <f>IF($U58="","",IF(INDEX('Per Invoice'!M$2:M$401,$U58)="","",INDEX('Per Invoice'!M$2:M$401,$U58)))</f>
        <v/>
      </c>
      <c r="N58">
        <f>IF($U58="","",IF(INDEX('Per Invoice'!N$2:N$401,$U58)="","",INDEX('Per Invoice'!N$2:N$401,$U58)))</f>
        <v/>
      </c>
      <c r="O58" s="7">
        <f>IF($U58="","",IF(INDEX('Per Invoice'!O$2:O$401,$U58)="","",INDEX('Per Invoice'!O$2:O$401,$U58)))</f>
        <v/>
      </c>
      <c r="P58" s="7">
        <f>IF($U58="","",IF(INDEX('Per Invoice'!P$2:P$401,$U58)="","",INDEX('Per Invoice'!P$2:P$401,$U58)))</f>
        <v/>
      </c>
      <c r="Q58" s="7">
        <f>IF($U58="","",IF(INDEX('Per Invoice'!Q$2:Q$401,$U58)="","",INDEX('Per Invoice'!Q$2:Q$401,$U58)))</f>
        <v/>
      </c>
      <c r="R58" s="7">
        <f>IF($U58="","",IF(INDEX('Per Invoice'!R$2:R$401,$U58)="","",INDEX('Per Invoice'!R$2:R$401,$U58)))</f>
        <v/>
      </c>
      <c r="S58" s="7">
        <f>IF($U58="","",IF(INDEX('Per Invoice'!S$2:S$401,$U58)="","",INDEX('Per Invoice'!S$2:S$401,$U58)))</f>
        <v/>
      </c>
      <c r="T58" s="7">
        <f>IF($U58="","",IF(INDEX('Per Invoice'!T$2:T$401,$U58)="","",INDEX('Per Invoice'!T$2:T$401,$U58)))</f>
        <v/>
      </c>
      <c r="U58" s="16">
        <f>IFERROR(MATCH(Settings!$C$28&amp;"|"&amp;ROWS($U$2:$U58),'Per Invoice'!$V$2:$V$401,0),"")</f>
        <v/>
      </c>
    </row>
    <row r="59">
      <c r="A59">
        <f>IF($U59="","",IF(INDEX('Per Invoice'!A$2:A$401,$U59)="","",INDEX('Per Invoice'!A$2:A$401,$U59)))</f>
        <v/>
      </c>
      <c r="B59">
        <f>IF($U59="","",IF(INDEX('Per Invoice'!B$2:B$401,$U59)="","",INDEX('Per Invoice'!B$2:B$401,$U59)))</f>
        <v/>
      </c>
      <c r="C59">
        <f>IF($U59="","",IF(INDEX('Per Invoice'!C$2:C$401,$U59)="","",INDEX('Per Invoice'!C$2:C$401,$U59)))</f>
        <v/>
      </c>
      <c r="D59">
        <f>IF($U59="","",IF(INDEX('Per Invoice'!D$2:D$401,$U59)="","",INDEX('Per Invoice'!D$2:D$401,$U59)))</f>
        <v/>
      </c>
      <c r="E59">
        <f>IF($U59="","",IF(INDEX('Per Invoice'!E$2:E$401,$U59)="","",INDEX('Per Invoice'!E$2:E$401,$U59)))</f>
        <v/>
      </c>
      <c r="F59">
        <f>IF($U59="","",IF(INDEX('Per Invoice'!F$2:F$401,$U59)="","",INDEX('Per Invoice'!F$2:F$401,$U59)))</f>
        <v/>
      </c>
      <c r="G59">
        <f>IF($U59="","",IF(INDEX('Per Invoice'!G$2:G$401,$U59)="","",INDEX('Per Invoice'!G$2:G$401,$U59)))</f>
        <v/>
      </c>
      <c r="H59" s="7">
        <f>IF($U59="","",IF(INDEX('Per Invoice'!H$2:H$401,$U59)="","",INDEX('Per Invoice'!H$2:H$401,$U59)))</f>
        <v/>
      </c>
      <c r="I59" s="14">
        <f>IF($U59="","",IF(INDEX('Per Invoice'!I$2:I$401,$U59)="","",INDEX('Per Invoice'!I$2:I$401,$U59)))</f>
        <v/>
      </c>
      <c r="J59">
        <f>IF($U59="","",IF(INDEX('Per Invoice'!J$2:J$401,$U59)="","",INDEX('Per Invoice'!J$2:J$401,$U59)))</f>
        <v/>
      </c>
      <c r="K59">
        <f>IF($U59="","",IF(INDEX('Per Invoice'!K$2:K$401,$U59)="","",INDEX('Per Invoice'!K$2:K$401,$U59)))</f>
        <v/>
      </c>
      <c r="L59" s="7">
        <f>IF($U59="","",IF(INDEX('Per Invoice'!L$2:L$401,$U59)="","",INDEX('Per Invoice'!L$2:L$401,$U59)))</f>
        <v/>
      </c>
      <c r="M59" s="7">
        <f>IF($U59="","",IF(INDEX('Per Invoice'!M$2:M$401,$U59)="","",INDEX('Per Invoice'!M$2:M$401,$U59)))</f>
        <v/>
      </c>
      <c r="N59">
        <f>IF($U59="","",IF(INDEX('Per Invoice'!N$2:N$401,$U59)="","",INDEX('Per Invoice'!N$2:N$401,$U59)))</f>
        <v/>
      </c>
      <c r="O59" s="7">
        <f>IF($U59="","",IF(INDEX('Per Invoice'!O$2:O$401,$U59)="","",INDEX('Per Invoice'!O$2:O$401,$U59)))</f>
        <v/>
      </c>
      <c r="P59" s="7">
        <f>IF($U59="","",IF(INDEX('Per Invoice'!P$2:P$401,$U59)="","",INDEX('Per Invoice'!P$2:P$401,$U59)))</f>
        <v/>
      </c>
      <c r="Q59" s="7">
        <f>IF($U59="","",IF(INDEX('Per Invoice'!Q$2:Q$401,$U59)="","",INDEX('Per Invoice'!Q$2:Q$401,$U59)))</f>
        <v/>
      </c>
      <c r="R59" s="7">
        <f>IF($U59="","",IF(INDEX('Per Invoice'!R$2:R$401,$U59)="","",INDEX('Per Invoice'!R$2:R$401,$U59)))</f>
        <v/>
      </c>
      <c r="S59" s="7">
        <f>IF($U59="","",IF(INDEX('Per Invoice'!S$2:S$401,$U59)="","",INDEX('Per Invoice'!S$2:S$401,$U59)))</f>
        <v/>
      </c>
      <c r="T59" s="7">
        <f>IF($U59="","",IF(INDEX('Per Invoice'!T$2:T$401,$U59)="","",INDEX('Per Invoice'!T$2:T$401,$U59)))</f>
        <v/>
      </c>
      <c r="U59" s="16">
        <f>IFERROR(MATCH(Settings!$C$28&amp;"|"&amp;ROWS($U$2:$U59),'Per Invoice'!$V$2:$V$401,0),"")</f>
        <v/>
      </c>
    </row>
    <row r="60">
      <c r="A60">
        <f>IF($U60="","",IF(INDEX('Per Invoice'!A$2:A$401,$U60)="","",INDEX('Per Invoice'!A$2:A$401,$U60)))</f>
        <v/>
      </c>
      <c r="B60">
        <f>IF($U60="","",IF(INDEX('Per Invoice'!B$2:B$401,$U60)="","",INDEX('Per Invoice'!B$2:B$401,$U60)))</f>
        <v/>
      </c>
      <c r="C60">
        <f>IF($U60="","",IF(INDEX('Per Invoice'!C$2:C$401,$U60)="","",INDEX('Per Invoice'!C$2:C$401,$U60)))</f>
        <v/>
      </c>
      <c r="D60">
        <f>IF($U60="","",IF(INDEX('Per Invoice'!D$2:D$401,$U60)="","",INDEX('Per Invoice'!D$2:D$401,$U60)))</f>
        <v/>
      </c>
      <c r="E60">
        <f>IF($U60="","",IF(INDEX('Per Invoice'!E$2:E$401,$U60)="","",INDEX('Per Invoice'!E$2:E$401,$U60)))</f>
        <v/>
      </c>
      <c r="F60">
        <f>IF($U60="","",IF(INDEX('Per Invoice'!F$2:F$401,$U60)="","",INDEX('Per Invoice'!F$2:F$401,$U60)))</f>
        <v/>
      </c>
      <c r="G60">
        <f>IF($U60="","",IF(INDEX('Per Invoice'!G$2:G$401,$U60)="","",INDEX('Per Invoice'!G$2:G$401,$U60)))</f>
        <v/>
      </c>
      <c r="H60" s="7">
        <f>IF($U60="","",IF(INDEX('Per Invoice'!H$2:H$401,$U60)="","",INDEX('Per Invoice'!H$2:H$401,$U60)))</f>
        <v/>
      </c>
      <c r="I60" s="14">
        <f>IF($U60="","",IF(INDEX('Per Invoice'!I$2:I$401,$U60)="","",INDEX('Per Invoice'!I$2:I$401,$U60)))</f>
        <v/>
      </c>
      <c r="J60">
        <f>IF($U60="","",IF(INDEX('Per Invoice'!J$2:J$401,$U60)="","",INDEX('Per Invoice'!J$2:J$401,$U60)))</f>
        <v/>
      </c>
      <c r="K60">
        <f>IF($U60="","",IF(INDEX('Per Invoice'!K$2:K$401,$U60)="","",INDEX('Per Invoice'!K$2:K$401,$U60)))</f>
        <v/>
      </c>
      <c r="L60" s="7">
        <f>IF($U60="","",IF(INDEX('Per Invoice'!L$2:L$401,$U60)="","",INDEX('Per Invoice'!L$2:L$401,$U60)))</f>
        <v/>
      </c>
      <c r="M60" s="7">
        <f>IF($U60="","",IF(INDEX('Per Invoice'!M$2:M$401,$U60)="","",INDEX('Per Invoice'!M$2:M$401,$U60)))</f>
        <v/>
      </c>
      <c r="N60">
        <f>IF($U60="","",IF(INDEX('Per Invoice'!N$2:N$401,$U60)="","",INDEX('Per Invoice'!N$2:N$401,$U60)))</f>
        <v/>
      </c>
      <c r="O60" s="7">
        <f>IF($U60="","",IF(INDEX('Per Invoice'!O$2:O$401,$U60)="","",INDEX('Per Invoice'!O$2:O$401,$U60)))</f>
        <v/>
      </c>
      <c r="P60" s="7">
        <f>IF($U60="","",IF(INDEX('Per Invoice'!P$2:P$401,$U60)="","",INDEX('Per Invoice'!P$2:P$401,$U60)))</f>
        <v/>
      </c>
      <c r="Q60" s="7">
        <f>IF($U60="","",IF(INDEX('Per Invoice'!Q$2:Q$401,$U60)="","",INDEX('Per Invoice'!Q$2:Q$401,$U60)))</f>
        <v/>
      </c>
      <c r="R60" s="7">
        <f>IF($U60="","",IF(INDEX('Per Invoice'!R$2:R$401,$U60)="","",INDEX('Per Invoice'!R$2:R$401,$U60)))</f>
        <v/>
      </c>
      <c r="S60" s="7">
        <f>IF($U60="","",IF(INDEX('Per Invoice'!S$2:S$401,$U60)="","",INDEX('Per Invoice'!S$2:S$401,$U60)))</f>
        <v/>
      </c>
      <c r="T60" s="7">
        <f>IF($U60="","",IF(INDEX('Per Invoice'!T$2:T$401,$U60)="","",INDEX('Per Invoice'!T$2:T$401,$U60)))</f>
        <v/>
      </c>
      <c r="U60" s="16">
        <f>IFERROR(MATCH(Settings!$C$28&amp;"|"&amp;ROWS($U$2:$U60),'Per Invoice'!$V$2:$V$401,0),"")</f>
        <v/>
      </c>
    </row>
    <row r="61">
      <c r="A61">
        <f>IF($U61="","",IF(INDEX('Per Invoice'!A$2:A$401,$U61)="","",INDEX('Per Invoice'!A$2:A$401,$U61)))</f>
        <v/>
      </c>
      <c r="B61">
        <f>IF($U61="","",IF(INDEX('Per Invoice'!B$2:B$401,$U61)="","",INDEX('Per Invoice'!B$2:B$401,$U61)))</f>
        <v/>
      </c>
      <c r="C61">
        <f>IF($U61="","",IF(INDEX('Per Invoice'!C$2:C$401,$U61)="","",INDEX('Per Invoice'!C$2:C$401,$U61)))</f>
        <v/>
      </c>
      <c r="D61">
        <f>IF($U61="","",IF(INDEX('Per Invoice'!D$2:D$401,$U61)="","",INDEX('Per Invoice'!D$2:D$401,$U61)))</f>
        <v/>
      </c>
      <c r="E61">
        <f>IF($U61="","",IF(INDEX('Per Invoice'!E$2:E$401,$U61)="","",INDEX('Per Invoice'!E$2:E$401,$U61)))</f>
        <v/>
      </c>
      <c r="F61">
        <f>IF($U61="","",IF(INDEX('Per Invoice'!F$2:F$401,$U61)="","",INDEX('Per Invoice'!F$2:F$401,$U61)))</f>
        <v/>
      </c>
      <c r="G61">
        <f>IF($U61="","",IF(INDEX('Per Invoice'!G$2:G$401,$U61)="","",INDEX('Per Invoice'!G$2:G$401,$U61)))</f>
        <v/>
      </c>
      <c r="H61" s="7">
        <f>IF($U61="","",IF(INDEX('Per Invoice'!H$2:H$401,$U61)="","",INDEX('Per Invoice'!H$2:H$401,$U61)))</f>
        <v/>
      </c>
      <c r="I61" s="14">
        <f>IF($U61="","",IF(INDEX('Per Invoice'!I$2:I$401,$U61)="","",INDEX('Per Invoice'!I$2:I$401,$U61)))</f>
        <v/>
      </c>
      <c r="J61">
        <f>IF($U61="","",IF(INDEX('Per Invoice'!J$2:J$401,$U61)="","",INDEX('Per Invoice'!J$2:J$401,$U61)))</f>
        <v/>
      </c>
      <c r="K61">
        <f>IF($U61="","",IF(INDEX('Per Invoice'!K$2:K$401,$U61)="","",INDEX('Per Invoice'!K$2:K$401,$U61)))</f>
        <v/>
      </c>
      <c r="L61" s="7">
        <f>IF($U61="","",IF(INDEX('Per Invoice'!L$2:L$401,$U61)="","",INDEX('Per Invoice'!L$2:L$401,$U61)))</f>
        <v/>
      </c>
      <c r="M61" s="7">
        <f>IF($U61="","",IF(INDEX('Per Invoice'!M$2:M$401,$U61)="","",INDEX('Per Invoice'!M$2:M$401,$U61)))</f>
        <v/>
      </c>
      <c r="N61">
        <f>IF($U61="","",IF(INDEX('Per Invoice'!N$2:N$401,$U61)="","",INDEX('Per Invoice'!N$2:N$401,$U61)))</f>
        <v/>
      </c>
      <c r="O61" s="7">
        <f>IF($U61="","",IF(INDEX('Per Invoice'!O$2:O$401,$U61)="","",INDEX('Per Invoice'!O$2:O$401,$U61)))</f>
        <v/>
      </c>
      <c r="P61" s="7">
        <f>IF($U61="","",IF(INDEX('Per Invoice'!P$2:P$401,$U61)="","",INDEX('Per Invoice'!P$2:P$401,$U61)))</f>
        <v/>
      </c>
      <c r="Q61" s="7">
        <f>IF($U61="","",IF(INDEX('Per Invoice'!Q$2:Q$401,$U61)="","",INDEX('Per Invoice'!Q$2:Q$401,$U61)))</f>
        <v/>
      </c>
      <c r="R61" s="7">
        <f>IF($U61="","",IF(INDEX('Per Invoice'!R$2:R$401,$U61)="","",INDEX('Per Invoice'!R$2:R$401,$U61)))</f>
        <v/>
      </c>
      <c r="S61" s="7">
        <f>IF($U61="","",IF(INDEX('Per Invoice'!S$2:S$401,$U61)="","",INDEX('Per Invoice'!S$2:S$401,$U61)))</f>
        <v/>
      </c>
      <c r="T61" s="7">
        <f>IF($U61="","",IF(INDEX('Per Invoice'!T$2:T$401,$U61)="","",INDEX('Per Invoice'!T$2:T$401,$U61)))</f>
        <v/>
      </c>
      <c r="U61" s="16">
        <f>IFERROR(MATCH(Settings!$C$28&amp;"|"&amp;ROWS($U$2:$U61),'Per Invoice'!$V$2:$V$401,0),"")</f>
        <v/>
      </c>
    </row>
    <row r="62">
      <c r="A62">
        <f>IF($U62="","",IF(INDEX('Per Invoice'!A$2:A$401,$U62)="","",INDEX('Per Invoice'!A$2:A$401,$U62)))</f>
        <v/>
      </c>
      <c r="B62">
        <f>IF($U62="","",IF(INDEX('Per Invoice'!B$2:B$401,$U62)="","",INDEX('Per Invoice'!B$2:B$401,$U62)))</f>
        <v/>
      </c>
      <c r="C62">
        <f>IF($U62="","",IF(INDEX('Per Invoice'!C$2:C$401,$U62)="","",INDEX('Per Invoice'!C$2:C$401,$U62)))</f>
        <v/>
      </c>
      <c r="D62">
        <f>IF($U62="","",IF(INDEX('Per Invoice'!D$2:D$401,$U62)="","",INDEX('Per Invoice'!D$2:D$401,$U62)))</f>
        <v/>
      </c>
      <c r="E62">
        <f>IF($U62="","",IF(INDEX('Per Invoice'!E$2:E$401,$U62)="","",INDEX('Per Invoice'!E$2:E$401,$U62)))</f>
        <v/>
      </c>
      <c r="F62">
        <f>IF($U62="","",IF(INDEX('Per Invoice'!F$2:F$401,$U62)="","",INDEX('Per Invoice'!F$2:F$401,$U62)))</f>
        <v/>
      </c>
      <c r="G62">
        <f>IF($U62="","",IF(INDEX('Per Invoice'!G$2:G$401,$U62)="","",INDEX('Per Invoice'!G$2:G$401,$U62)))</f>
        <v/>
      </c>
      <c r="H62" s="7">
        <f>IF($U62="","",IF(INDEX('Per Invoice'!H$2:H$401,$U62)="","",INDEX('Per Invoice'!H$2:H$401,$U62)))</f>
        <v/>
      </c>
      <c r="I62" s="14">
        <f>IF($U62="","",IF(INDEX('Per Invoice'!I$2:I$401,$U62)="","",INDEX('Per Invoice'!I$2:I$401,$U62)))</f>
        <v/>
      </c>
      <c r="J62">
        <f>IF($U62="","",IF(INDEX('Per Invoice'!J$2:J$401,$U62)="","",INDEX('Per Invoice'!J$2:J$401,$U62)))</f>
        <v/>
      </c>
      <c r="K62">
        <f>IF($U62="","",IF(INDEX('Per Invoice'!K$2:K$401,$U62)="","",INDEX('Per Invoice'!K$2:K$401,$U62)))</f>
        <v/>
      </c>
      <c r="L62" s="7">
        <f>IF($U62="","",IF(INDEX('Per Invoice'!L$2:L$401,$U62)="","",INDEX('Per Invoice'!L$2:L$401,$U62)))</f>
        <v/>
      </c>
      <c r="M62" s="7">
        <f>IF($U62="","",IF(INDEX('Per Invoice'!M$2:M$401,$U62)="","",INDEX('Per Invoice'!M$2:M$401,$U62)))</f>
        <v/>
      </c>
      <c r="N62">
        <f>IF($U62="","",IF(INDEX('Per Invoice'!N$2:N$401,$U62)="","",INDEX('Per Invoice'!N$2:N$401,$U62)))</f>
        <v/>
      </c>
      <c r="O62" s="7">
        <f>IF($U62="","",IF(INDEX('Per Invoice'!O$2:O$401,$U62)="","",INDEX('Per Invoice'!O$2:O$401,$U62)))</f>
        <v/>
      </c>
      <c r="P62" s="7">
        <f>IF($U62="","",IF(INDEX('Per Invoice'!P$2:P$401,$U62)="","",INDEX('Per Invoice'!P$2:P$401,$U62)))</f>
        <v/>
      </c>
      <c r="Q62" s="7">
        <f>IF($U62="","",IF(INDEX('Per Invoice'!Q$2:Q$401,$U62)="","",INDEX('Per Invoice'!Q$2:Q$401,$U62)))</f>
        <v/>
      </c>
      <c r="R62" s="7">
        <f>IF($U62="","",IF(INDEX('Per Invoice'!R$2:R$401,$U62)="","",INDEX('Per Invoice'!R$2:R$401,$U62)))</f>
        <v/>
      </c>
      <c r="S62" s="7">
        <f>IF($U62="","",IF(INDEX('Per Invoice'!S$2:S$401,$U62)="","",INDEX('Per Invoice'!S$2:S$401,$U62)))</f>
        <v/>
      </c>
      <c r="T62" s="7">
        <f>IF($U62="","",IF(INDEX('Per Invoice'!T$2:T$401,$U62)="","",INDEX('Per Invoice'!T$2:T$401,$U62)))</f>
        <v/>
      </c>
      <c r="U62" s="16">
        <f>IFERROR(MATCH(Settings!$C$28&amp;"|"&amp;ROWS($U$2:$U62),'Per Invoice'!$V$2:$V$401,0),"")</f>
        <v/>
      </c>
    </row>
    <row r="63">
      <c r="A63">
        <f>IF($U63="","",IF(INDEX('Per Invoice'!A$2:A$401,$U63)="","",INDEX('Per Invoice'!A$2:A$401,$U63)))</f>
        <v/>
      </c>
      <c r="B63">
        <f>IF($U63="","",IF(INDEX('Per Invoice'!B$2:B$401,$U63)="","",INDEX('Per Invoice'!B$2:B$401,$U63)))</f>
        <v/>
      </c>
      <c r="C63">
        <f>IF($U63="","",IF(INDEX('Per Invoice'!C$2:C$401,$U63)="","",INDEX('Per Invoice'!C$2:C$401,$U63)))</f>
        <v/>
      </c>
      <c r="D63">
        <f>IF($U63="","",IF(INDEX('Per Invoice'!D$2:D$401,$U63)="","",INDEX('Per Invoice'!D$2:D$401,$U63)))</f>
        <v/>
      </c>
      <c r="E63">
        <f>IF($U63="","",IF(INDEX('Per Invoice'!E$2:E$401,$U63)="","",INDEX('Per Invoice'!E$2:E$401,$U63)))</f>
        <v/>
      </c>
      <c r="F63">
        <f>IF($U63="","",IF(INDEX('Per Invoice'!F$2:F$401,$U63)="","",INDEX('Per Invoice'!F$2:F$401,$U63)))</f>
        <v/>
      </c>
      <c r="G63">
        <f>IF($U63="","",IF(INDEX('Per Invoice'!G$2:G$401,$U63)="","",INDEX('Per Invoice'!G$2:G$401,$U63)))</f>
        <v/>
      </c>
      <c r="H63" s="7">
        <f>IF($U63="","",IF(INDEX('Per Invoice'!H$2:H$401,$U63)="","",INDEX('Per Invoice'!H$2:H$401,$U63)))</f>
        <v/>
      </c>
      <c r="I63" s="14">
        <f>IF($U63="","",IF(INDEX('Per Invoice'!I$2:I$401,$U63)="","",INDEX('Per Invoice'!I$2:I$401,$U63)))</f>
        <v/>
      </c>
      <c r="J63">
        <f>IF($U63="","",IF(INDEX('Per Invoice'!J$2:J$401,$U63)="","",INDEX('Per Invoice'!J$2:J$401,$U63)))</f>
        <v/>
      </c>
      <c r="K63">
        <f>IF($U63="","",IF(INDEX('Per Invoice'!K$2:K$401,$U63)="","",INDEX('Per Invoice'!K$2:K$401,$U63)))</f>
        <v/>
      </c>
      <c r="L63" s="7">
        <f>IF($U63="","",IF(INDEX('Per Invoice'!L$2:L$401,$U63)="","",INDEX('Per Invoice'!L$2:L$401,$U63)))</f>
        <v/>
      </c>
      <c r="M63" s="7">
        <f>IF($U63="","",IF(INDEX('Per Invoice'!M$2:M$401,$U63)="","",INDEX('Per Invoice'!M$2:M$401,$U63)))</f>
        <v/>
      </c>
      <c r="N63">
        <f>IF($U63="","",IF(INDEX('Per Invoice'!N$2:N$401,$U63)="","",INDEX('Per Invoice'!N$2:N$401,$U63)))</f>
        <v/>
      </c>
      <c r="O63" s="7">
        <f>IF($U63="","",IF(INDEX('Per Invoice'!O$2:O$401,$U63)="","",INDEX('Per Invoice'!O$2:O$401,$U63)))</f>
        <v/>
      </c>
      <c r="P63" s="7">
        <f>IF($U63="","",IF(INDEX('Per Invoice'!P$2:P$401,$U63)="","",INDEX('Per Invoice'!P$2:P$401,$U63)))</f>
        <v/>
      </c>
      <c r="Q63" s="7">
        <f>IF($U63="","",IF(INDEX('Per Invoice'!Q$2:Q$401,$U63)="","",INDEX('Per Invoice'!Q$2:Q$401,$U63)))</f>
        <v/>
      </c>
      <c r="R63" s="7">
        <f>IF($U63="","",IF(INDEX('Per Invoice'!R$2:R$401,$U63)="","",INDEX('Per Invoice'!R$2:R$401,$U63)))</f>
        <v/>
      </c>
      <c r="S63" s="7">
        <f>IF($U63="","",IF(INDEX('Per Invoice'!S$2:S$401,$U63)="","",INDEX('Per Invoice'!S$2:S$401,$U63)))</f>
        <v/>
      </c>
      <c r="T63" s="7">
        <f>IF($U63="","",IF(INDEX('Per Invoice'!T$2:T$401,$U63)="","",INDEX('Per Invoice'!T$2:T$401,$U63)))</f>
        <v/>
      </c>
      <c r="U63" s="16">
        <f>IFERROR(MATCH(Settings!$C$28&amp;"|"&amp;ROWS($U$2:$U63),'Per Invoice'!$V$2:$V$401,0),"")</f>
        <v/>
      </c>
    </row>
    <row r="64">
      <c r="A64">
        <f>IF($U64="","",IF(INDEX('Per Invoice'!A$2:A$401,$U64)="","",INDEX('Per Invoice'!A$2:A$401,$U64)))</f>
        <v/>
      </c>
      <c r="B64">
        <f>IF($U64="","",IF(INDEX('Per Invoice'!B$2:B$401,$U64)="","",INDEX('Per Invoice'!B$2:B$401,$U64)))</f>
        <v/>
      </c>
      <c r="C64">
        <f>IF($U64="","",IF(INDEX('Per Invoice'!C$2:C$401,$U64)="","",INDEX('Per Invoice'!C$2:C$401,$U64)))</f>
        <v/>
      </c>
      <c r="D64">
        <f>IF($U64="","",IF(INDEX('Per Invoice'!D$2:D$401,$U64)="","",INDEX('Per Invoice'!D$2:D$401,$U64)))</f>
        <v/>
      </c>
      <c r="E64">
        <f>IF($U64="","",IF(INDEX('Per Invoice'!E$2:E$401,$U64)="","",INDEX('Per Invoice'!E$2:E$401,$U64)))</f>
        <v/>
      </c>
      <c r="F64">
        <f>IF($U64="","",IF(INDEX('Per Invoice'!F$2:F$401,$U64)="","",INDEX('Per Invoice'!F$2:F$401,$U64)))</f>
        <v/>
      </c>
      <c r="G64">
        <f>IF($U64="","",IF(INDEX('Per Invoice'!G$2:G$401,$U64)="","",INDEX('Per Invoice'!G$2:G$401,$U64)))</f>
        <v/>
      </c>
      <c r="H64" s="7">
        <f>IF($U64="","",IF(INDEX('Per Invoice'!H$2:H$401,$U64)="","",INDEX('Per Invoice'!H$2:H$401,$U64)))</f>
        <v/>
      </c>
      <c r="I64" s="14">
        <f>IF($U64="","",IF(INDEX('Per Invoice'!I$2:I$401,$U64)="","",INDEX('Per Invoice'!I$2:I$401,$U64)))</f>
        <v/>
      </c>
      <c r="J64">
        <f>IF($U64="","",IF(INDEX('Per Invoice'!J$2:J$401,$U64)="","",INDEX('Per Invoice'!J$2:J$401,$U64)))</f>
        <v/>
      </c>
      <c r="K64">
        <f>IF($U64="","",IF(INDEX('Per Invoice'!K$2:K$401,$U64)="","",INDEX('Per Invoice'!K$2:K$401,$U64)))</f>
        <v/>
      </c>
      <c r="L64" s="7">
        <f>IF($U64="","",IF(INDEX('Per Invoice'!L$2:L$401,$U64)="","",INDEX('Per Invoice'!L$2:L$401,$U64)))</f>
        <v/>
      </c>
      <c r="M64" s="7">
        <f>IF($U64="","",IF(INDEX('Per Invoice'!M$2:M$401,$U64)="","",INDEX('Per Invoice'!M$2:M$401,$U64)))</f>
        <v/>
      </c>
      <c r="N64">
        <f>IF($U64="","",IF(INDEX('Per Invoice'!N$2:N$401,$U64)="","",INDEX('Per Invoice'!N$2:N$401,$U64)))</f>
        <v/>
      </c>
      <c r="O64" s="7">
        <f>IF($U64="","",IF(INDEX('Per Invoice'!O$2:O$401,$U64)="","",INDEX('Per Invoice'!O$2:O$401,$U64)))</f>
        <v/>
      </c>
      <c r="P64" s="7">
        <f>IF($U64="","",IF(INDEX('Per Invoice'!P$2:P$401,$U64)="","",INDEX('Per Invoice'!P$2:P$401,$U64)))</f>
        <v/>
      </c>
      <c r="Q64" s="7">
        <f>IF($U64="","",IF(INDEX('Per Invoice'!Q$2:Q$401,$U64)="","",INDEX('Per Invoice'!Q$2:Q$401,$U64)))</f>
        <v/>
      </c>
      <c r="R64" s="7">
        <f>IF($U64="","",IF(INDEX('Per Invoice'!R$2:R$401,$U64)="","",INDEX('Per Invoice'!R$2:R$401,$U64)))</f>
        <v/>
      </c>
      <c r="S64" s="7">
        <f>IF($U64="","",IF(INDEX('Per Invoice'!S$2:S$401,$U64)="","",INDEX('Per Invoice'!S$2:S$401,$U64)))</f>
        <v/>
      </c>
      <c r="T64" s="7">
        <f>IF($U64="","",IF(INDEX('Per Invoice'!T$2:T$401,$U64)="","",INDEX('Per Invoice'!T$2:T$401,$U64)))</f>
        <v/>
      </c>
      <c r="U64" s="16">
        <f>IFERROR(MATCH(Settings!$C$28&amp;"|"&amp;ROWS($U$2:$U64),'Per Invoice'!$V$2:$V$401,0),"")</f>
        <v/>
      </c>
    </row>
    <row r="65">
      <c r="A65">
        <f>IF($U65="","",IF(INDEX('Per Invoice'!A$2:A$401,$U65)="","",INDEX('Per Invoice'!A$2:A$401,$U65)))</f>
        <v/>
      </c>
      <c r="B65">
        <f>IF($U65="","",IF(INDEX('Per Invoice'!B$2:B$401,$U65)="","",INDEX('Per Invoice'!B$2:B$401,$U65)))</f>
        <v/>
      </c>
      <c r="C65">
        <f>IF($U65="","",IF(INDEX('Per Invoice'!C$2:C$401,$U65)="","",INDEX('Per Invoice'!C$2:C$401,$U65)))</f>
        <v/>
      </c>
      <c r="D65">
        <f>IF($U65="","",IF(INDEX('Per Invoice'!D$2:D$401,$U65)="","",INDEX('Per Invoice'!D$2:D$401,$U65)))</f>
        <v/>
      </c>
      <c r="E65">
        <f>IF($U65="","",IF(INDEX('Per Invoice'!E$2:E$401,$U65)="","",INDEX('Per Invoice'!E$2:E$401,$U65)))</f>
        <v/>
      </c>
      <c r="F65">
        <f>IF($U65="","",IF(INDEX('Per Invoice'!F$2:F$401,$U65)="","",INDEX('Per Invoice'!F$2:F$401,$U65)))</f>
        <v/>
      </c>
      <c r="G65">
        <f>IF($U65="","",IF(INDEX('Per Invoice'!G$2:G$401,$U65)="","",INDEX('Per Invoice'!G$2:G$401,$U65)))</f>
        <v/>
      </c>
      <c r="H65" s="7">
        <f>IF($U65="","",IF(INDEX('Per Invoice'!H$2:H$401,$U65)="","",INDEX('Per Invoice'!H$2:H$401,$U65)))</f>
        <v/>
      </c>
      <c r="I65" s="14">
        <f>IF($U65="","",IF(INDEX('Per Invoice'!I$2:I$401,$U65)="","",INDEX('Per Invoice'!I$2:I$401,$U65)))</f>
        <v/>
      </c>
      <c r="J65">
        <f>IF($U65="","",IF(INDEX('Per Invoice'!J$2:J$401,$U65)="","",INDEX('Per Invoice'!J$2:J$401,$U65)))</f>
        <v/>
      </c>
      <c r="K65">
        <f>IF($U65="","",IF(INDEX('Per Invoice'!K$2:K$401,$U65)="","",INDEX('Per Invoice'!K$2:K$401,$U65)))</f>
        <v/>
      </c>
      <c r="L65" s="7">
        <f>IF($U65="","",IF(INDEX('Per Invoice'!L$2:L$401,$U65)="","",INDEX('Per Invoice'!L$2:L$401,$U65)))</f>
        <v/>
      </c>
      <c r="M65" s="7">
        <f>IF($U65="","",IF(INDEX('Per Invoice'!M$2:M$401,$U65)="","",INDEX('Per Invoice'!M$2:M$401,$U65)))</f>
        <v/>
      </c>
      <c r="N65">
        <f>IF($U65="","",IF(INDEX('Per Invoice'!N$2:N$401,$U65)="","",INDEX('Per Invoice'!N$2:N$401,$U65)))</f>
        <v/>
      </c>
      <c r="O65" s="7">
        <f>IF($U65="","",IF(INDEX('Per Invoice'!O$2:O$401,$U65)="","",INDEX('Per Invoice'!O$2:O$401,$U65)))</f>
        <v/>
      </c>
      <c r="P65" s="7">
        <f>IF($U65="","",IF(INDEX('Per Invoice'!P$2:P$401,$U65)="","",INDEX('Per Invoice'!P$2:P$401,$U65)))</f>
        <v/>
      </c>
      <c r="Q65" s="7">
        <f>IF($U65="","",IF(INDEX('Per Invoice'!Q$2:Q$401,$U65)="","",INDEX('Per Invoice'!Q$2:Q$401,$U65)))</f>
        <v/>
      </c>
      <c r="R65" s="7">
        <f>IF($U65="","",IF(INDEX('Per Invoice'!R$2:R$401,$U65)="","",INDEX('Per Invoice'!R$2:R$401,$U65)))</f>
        <v/>
      </c>
      <c r="S65" s="7">
        <f>IF($U65="","",IF(INDEX('Per Invoice'!S$2:S$401,$U65)="","",INDEX('Per Invoice'!S$2:S$401,$U65)))</f>
        <v/>
      </c>
      <c r="T65" s="7">
        <f>IF($U65="","",IF(INDEX('Per Invoice'!T$2:T$401,$U65)="","",INDEX('Per Invoice'!T$2:T$401,$U65)))</f>
        <v/>
      </c>
      <c r="U65" s="16">
        <f>IFERROR(MATCH(Settings!$C$28&amp;"|"&amp;ROWS($U$2:$U65),'Per Invoice'!$V$2:$V$401,0),"")</f>
        <v/>
      </c>
    </row>
    <row r="66">
      <c r="A66">
        <f>IF($U66="","",IF(INDEX('Per Invoice'!A$2:A$401,$U66)="","",INDEX('Per Invoice'!A$2:A$401,$U66)))</f>
        <v/>
      </c>
      <c r="B66">
        <f>IF($U66="","",IF(INDEX('Per Invoice'!B$2:B$401,$U66)="","",INDEX('Per Invoice'!B$2:B$401,$U66)))</f>
        <v/>
      </c>
      <c r="C66">
        <f>IF($U66="","",IF(INDEX('Per Invoice'!C$2:C$401,$U66)="","",INDEX('Per Invoice'!C$2:C$401,$U66)))</f>
        <v/>
      </c>
      <c r="D66">
        <f>IF($U66="","",IF(INDEX('Per Invoice'!D$2:D$401,$U66)="","",INDEX('Per Invoice'!D$2:D$401,$U66)))</f>
        <v/>
      </c>
      <c r="E66">
        <f>IF($U66="","",IF(INDEX('Per Invoice'!E$2:E$401,$U66)="","",INDEX('Per Invoice'!E$2:E$401,$U66)))</f>
        <v/>
      </c>
      <c r="F66">
        <f>IF($U66="","",IF(INDEX('Per Invoice'!F$2:F$401,$U66)="","",INDEX('Per Invoice'!F$2:F$401,$U66)))</f>
        <v/>
      </c>
      <c r="G66">
        <f>IF($U66="","",IF(INDEX('Per Invoice'!G$2:G$401,$U66)="","",INDEX('Per Invoice'!G$2:G$401,$U66)))</f>
        <v/>
      </c>
      <c r="H66" s="7">
        <f>IF($U66="","",IF(INDEX('Per Invoice'!H$2:H$401,$U66)="","",INDEX('Per Invoice'!H$2:H$401,$U66)))</f>
        <v/>
      </c>
      <c r="I66" s="14">
        <f>IF($U66="","",IF(INDEX('Per Invoice'!I$2:I$401,$U66)="","",INDEX('Per Invoice'!I$2:I$401,$U66)))</f>
        <v/>
      </c>
      <c r="J66">
        <f>IF($U66="","",IF(INDEX('Per Invoice'!J$2:J$401,$U66)="","",INDEX('Per Invoice'!J$2:J$401,$U66)))</f>
        <v/>
      </c>
      <c r="K66">
        <f>IF($U66="","",IF(INDEX('Per Invoice'!K$2:K$401,$U66)="","",INDEX('Per Invoice'!K$2:K$401,$U66)))</f>
        <v/>
      </c>
      <c r="L66" s="7">
        <f>IF($U66="","",IF(INDEX('Per Invoice'!L$2:L$401,$U66)="","",INDEX('Per Invoice'!L$2:L$401,$U66)))</f>
        <v/>
      </c>
      <c r="M66" s="7">
        <f>IF($U66="","",IF(INDEX('Per Invoice'!M$2:M$401,$U66)="","",INDEX('Per Invoice'!M$2:M$401,$U66)))</f>
        <v/>
      </c>
      <c r="N66">
        <f>IF($U66="","",IF(INDEX('Per Invoice'!N$2:N$401,$U66)="","",INDEX('Per Invoice'!N$2:N$401,$U66)))</f>
        <v/>
      </c>
      <c r="O66" s="7">
        <f>IF($U66="","",IF(INDEX('Per Invoice'!O$2:O$401,$U66)="","",INDEX('Per Invoice'!O$2:O$401,$U66)))</f>
        <v/>
      </c>
      <c r="P66" s="7">
        <f>IF($U66="","",IF(INDEX('Per Invoice'!P$2:P$401,$U66)="","",INDEX('Per Invoice'!P$2:P$401,$U66)))</f>
        <v/>
      </c>
      <c r="Q66" s="7">
        <f>IF($U66="","",IF(INDEX('Per Invoice'!Q$2:Q$401,$U66)="","",INDEX('Per Invoice'!Q$2:Q$401,$U66)))</f>
        <v/>
      </c>
      <c r="R66" s="7">
        <f>IF($U66="","",IF(INDEX('Per Invoice'!R$2:R$401,$U66)="","",INDEX('Per Invoice'!R$2:R$401,$U66)))</f>
        <v/>
      </c>
      <c r="S66" s="7">
        <f>IF($U66="","",IF(INDEX('Per Invoice'!S$2:S$401,$U66)="","",INDEX('Per Invoice'!S$2:S$401,$U66)))</f>
        <v/>
      </c>
      <c r="T66" s="7">
        <f>IF($U66="","",IF(INDEX('Per Invoice'!T$2:T$401,$U66)="","",INDEX('Per Invoice'!T$2:T$401,$U66)))</f>
        <v/>
      </c>
      <c r="U66" s="16">
        <f>IFERROR(MATCH(Settings!$C$28&amp;"|"&amp;ROWS($U$2:$U66),'Per Invoice'!$V$2:$V$401,0),"")</f>
        <v/>
      </c>
    </row>
    <row r="67">
      <c r="A67">
        <f>IF($U67="","",IF(INDEX('Per Invoice'!A$2:A$401,$U67)="","",INDEX('Per Invoice'!A$2:A$401,$U67)))</f>
        <v/>
      </c>
      <c r="B67">
        <f>IF($U67="","",IF(INDEX('Per Invoice'!B$2:B$401,$U67)="","",INDEX('Per Invoice'!B$2:B$401,$U67)))</f>
        <v/>
      </c>
      <c r="C67">
        <f>IF($U67="","",IF(INDEX('Per Invoice'!C$2:C$401,$U67)="","",INDEX('Per Invoice'!C$2:C$401,$U67)))</f>
        <v/>
      </c>
      <c r="D67">
        <f>IF($U67="","",IF(INDEX('Per Invoice'!D$2:D$401,$U67)="","",INDEX('Per Invoice'!D$2:D$401,$U67)))</f>
        <v/>
      </c>
      <c r="E67">
        <f>IF($U67="","",IF(INDEX('Per Invoice'!E$2:E$401,$U67)="","",INDEX('Per Invoice'!E$2:E$401,$U67)))</f>
        <v/>
      </c>
      <c r="F67">
        <f>IF($U67="","",IF(INDEX('Per Invoice'!F$2:F$401,$U67)="","",INDEX('Per Invoice'!F$2:F$401,$U67)))</f>
        <v/>
      </c>
      <c r="G67">
        <f>IF($U67="","",IF(INDEX('Per Invoice'!G$2:G$401,$U67)="","",INDEX('Per Invoice'!G$2:G$401,$U67)))</f>
        <v/>
      </c>
      <c r="H67" s="7">
        <f>IF($U67="","",IF(INDEX('Per Invoice'!H$2:H$401,$U67)="","",INDEX('Per Invoice'!H$2:H$401,$U67)))</f>
        <v/>
      </c>
      <c r="I67" s="14">
        <f>IF($U67="","",IF(INDEX('Per Invoice'!I$2:I$401,$U67)="","",INDEX('Per Invoice'!I$2:I$401,$U67)))</f>
        <v/>
      </c>
      <c r="J67">
        <f>IF($U67="","",IF(INDEX('Per Invoice'!J$2:J$401,$U67)="","",INDEX('Per Invoice'!J$2:J$401,$U67)))</f>
        <v/>
      </c>
      <c r="K67">
        <f>IF($U67="","",IF(INDEX('Per Invoice'!K$2:K$401,$U67)="","",INDEX('Per Invoice'!K$2:K$401,$U67)))</f>
        <v/>
      </c>
      <c r="L67" s="7">
        <f>IF($U67="","",IF(INDEX('Per Invoice'!L$2:L$401,$U67)="","",INDEX('Per Invoice'!L$2:L$401,$U67)))</f>
        <v/>
      </c>
      <c r="M67" s="7">
        <f>IF($U67="","",IF(INDEX('Per Invoice'!M$2:M$401,$U67)="","",INDEX('Per Invoice'!M$2:M$401,$U67)))</f>
        <v/>
      </c>
      <c r="N67">
        <f>IF($U67="","",IF(INDEX('Per Invoice'!N$2:N$401,$U67)="","",INDEX('Per Invoice'!N$2:N$401,$U67)))</f>
        <v/>
      </c>
      <c r="O67" s="7">
        <f>IF($U67="","",IF(INDEX('Per Invoice'!O$2:O$401,$U67)="","",INDEX('Per Invoice'!O$2:O$401,$U67)))</f>
        <v/>
      </c>
      <c r="P67" s="7">
        <f>IF($U67="","",IF(INDEX('Per Invoice'!P$2:P$401,$U67)="","",INDEX('Per Invoice'!P$2:P$401,$U67)))</f>
        <v/>
      </c>
      <c r="Q67" s="7">
        <f>IF($U67="","",IF(INDEX('Per Invoice'!Q$2:Q$401,$U67)="","",INDEX('Per Invoice'!Q$2:Q$401,$U67)))</f>
        <v/>
      </c>
      <c r="R67" s="7">
        <f>IF($U67="","",IF(INDEX('Per Invoice'!R$2:R$401,$U67)="","",INDEX('Per Invoice'!R$2:R$401,$U67)))</f>
        <v/>
      </c>
      <c r="S67" s="7">
        <f>IF($U67="","",IF(INDEX('Per Invoice'!S$2:S$401,$U67)="","",INDEX('Per Invoice'!S$2:S$401,$U67)))</f>
        <v/>
      </c>
      <c r="T67" s="7">
        <f>IF($U67="","",IF(INDEX('Per Invoice'!T$2:T$401,$U67)="","",INDEX('Per Invoice'!T$2:T$401,$U67)))</f>
        <v/>
      </c>
      <c r="U67" s="16">
        <f>IFERROR(MATCH(Settings!$C$28&amp;"|"&amp;ROWS($U$2:$U67),'Per Invoice'!$V$2:$V$401,0),"")</f>
        <v/>
      </c>
    </row>
    <row r="68">
      <c r="A68">
        <f>IF($U68="","",IF(INDEX('Per Invoice'!A$2:A$401,$U68)="","",INDEX('Per Invoice'!A$2:A$401,$U68)))</f>
        <v/>
      </c>
      <c r="B68">
        <f>IF($U68="","",IF(INDEX('Per Invoice'!B$2:B$401,$U68)="","",INDEX('Per Invoice'!B$2:B$401,$U68)))</f>
        <v/>
      </c>
      <c r="C68">
        <f>IF($U68="","",IF(INDEX('Per Invoice'!C$2:C$401,$U68)="","",INDEX('Per Invoice'!C$2:C$401,$U68)))</f>
        <v/>
      </c>
      <c r="D68">
        <f>IF($U68="","",IF(INDEX('Per Invoice'!D$2:D$401,$U68)="","",INDEX('Per Invoice'!D$2:D$401,$U68)))</f>
        <v/>
      </c>
      <c r="E68">
        <f>IF($U68="","",IF(INDEX('Per Invoice'!E$2:E$401,$U68)="","",INDEX('Per Invoice'!E$2:E$401,$U68)))</f>
        <v/>
      </c>
      <c r="F68">
        <f>IF($U68="","",IF(INDEX('Per Invoice'!F$2:F$401,$U68)="","",INDEX('Per Invoice'!F$2:F$401,$U68)))</f>
        <v/>
      </c>
      <c r="G68">
        <f>IF($U68="","",IF(INDEX('Per Invoice'!G$2:G$401,$U68)="","",INDEX('Per Invoice'!G$2:G$401,$U68)))</f>
        <v/>
      </c>
      <c r="H68" s="7">
        <f>IF($U68="","",IF(INDEX('Per Invoice'!H$2:H$401,$U68)="","",INDEX('Per Invoice'!H$2:H$401,$U68)))</f>
        <v/>
      </c>
      <c r="I68" s="14">
        <f>IF($U68="","",IF(INDEX('Per Invoice'!I$2:I$401,$U68)="","",INDEX('Per Invoice'!I$2:I$401,$U68)))</f>
        <v/>
      </c>
      <c r="J68">
        <f>IF($U68="","",IF(INDEX('Per Invoice'!J$2:J$401,$U68)="","",INDEX('Per Invoice'!J$2:J$401,$U68)))</f>
        <v/>
      </c>
      <c r="K68">
        <f>IF($U68="","",IF(INDEX('Per Invoice'!K$2:K$401,$U68)="","",INDEX('Per Invoice'!K$2:K$401,$U68)))</f>
        <v/>
      </c>
      <c r="L68" s="7">
        <f>IF($U68="","",IF(INDEX('Per Invoice'!L$2:L$401,$U68)="","",INDEX('Per Invoice'!L$2:L$401,$U68)))</f>
        <v/>
      </c>
      <c r="M68" s="7">
        <f>IF($U68="","",IF(INDEX('Per Invoice'!M$2:M$401,$U68)="","",INDEX('Per Invoice'!M$2:M$401,$U68)))</f>
        <v/>
      </c>
      <c r="N68">
        <f>IF($U68="","",IF(INDEX('Per Invoice'!N$2:N$401,$U68)="","",INDEX('Per Invoice'!N$2:N$401,$U68)))</f>
        <v/>
      </c>
      <c r="O68" s="7">
        <f>IF($U68="","",IF(INDEX('Per Invoice'!O$2:O$401,$U68)="","",INDEX('Per Invoice'!O$2:O$401,$U68)))</f>
        <v/>
      </c>
      <c r="P68" s="7">
        <f>IF($U68="","",IF(INDEX('Per Invoice'!P$2:P$401,$U68)="","",INDEX('Per Invoice'!P$2:P$401,$U68)))</f>
        <v/>
      </c>
      <c r="Q68" s="7">
        <f>IF($U68="","",IF(INDEX('Per Invoice'!Q$2:Q$401,$U68)="","",INDEX('Per Invoice'!Q$2:Q$401,$U68)))</f>
        <v/>
      </c>
      <c r="R68" s="7">
        <f>IF($U68="","",IF(INDEX('Per Invoice'!R$2:R$401,$U68)="","",INDEX('Per Invoice'!R$2:R$401,$U68)))</f>
        <v/>
      </c>
      <c r="S68" s="7">
        <f>IF($U68="","",IF(INDEX('Per Invoice'!S$2:S$401,$U68)="","",INDEX('Per Invoice'!S$2:S$401,$U68)))</f>
        <v/>
      </c>
      <c r="T68" s="7">
        <f>IF($U68="","",IF(INDEX('Per Invoice'!T$2:T$401,$U68)="","",INDEX('Per Invoice'!T$2:T$401,$U68)))</f>
        <v/>
      </c>
      <c r="U68" s="16">
        <f>IFERROR(MATCH(Settings!$C$28&amp;"|"&amp;ROWS($U$2:$U68),'Per Invoice'!$V$2:$V$401,0),"")</f>
        <v/>
      </c>
    </row>
    <row r="69">
      <c r="A69">
        <f>IF($U69="","",IF(INDEX('Per Invoice'!A$2:A$401,$U69)="","",INDEX('Per Invoice'!A$2:A$401,$U69)))</f>
        <v/>
      </c>
      <c r="B69">
        <f>IF($U69="","",IF(INDEX('Per Invoice'!B$2:B$401,$U69)="","",INDEX('Per Invoice'!B$2:B$401,$U69)))</f>
        <v/>
      </c>
      <c r="C69">
        <f>IF($U69="","",IF(INDEX('Per Invoice'!C$2:C$401,$U69)="","",INDEX('Per Invoice'!C$2:C$401,$U69)))</f>
        <v/>
      </c>
      <c r="D69">
        <f>IF($U69="","",IF(INDEX('Per Invoice'!D$2:D$401,$U69)="","",INDEX('Per Invoice'!D$2:D$401,$U69)))</f>
        <v/>
      </c>
      <c r="E69">
        <f>IF($U69="","",IF(INDEX('Per Invoice'!E$2:E$401,$U69)="","",INDEX('Per Invoice'!E$2:E$401,$U69)))</f>
        <v/>
      </c>
      <c r="F69">
        <f>IF($U69="","",IF(INDEX('Per Invoice'!F$2:F$401,$U69)="","",INDEX('Per Invoice'!F$2:F$401,$U69)))</f>
        <v/>
      </c>
      <c r="G69">
        <f>IF($U69="","",IF(INDEX('Per Invoice'!G$2:G$401,$U69)="","",INDEX('Per Invoice'!G$2:G$401,$U69)))</f>
        <v/>
      </c>
      <c r="H69" s="7">
        <f>IF($U69="","",IF(INDEX('Per Invoice'!H$2:H$401,$U69)="","",INDEX('Per Invoice'!H$2:H$401,$U69)))</f>
        <v/>
      </c>
      <c r="I69" s="14">
        <f>IF($U69="","",IF(INDEX('Per Invoice'!I$2:I$401,$U69)="","",INDEX('Per Invoice'!I$2:I$401,$U69)))</f>
        <v/>
      </c>
      <c r="J69">
        <f>IF($U69="","",IF(INDEX('Per Invoice'!J$2:J$401,$U69)="","",INDEX('Per Invoice'!J$2:J$401,$U69)))</f>
        <v/>
      </c>
      <c r="K69">
        <f>IF($U69="","",IF(INDEX('Per Invoice'!K$2:K$401,$U69)="","",INDEX('Per Invoice'!K$2:K$401,$U69)))</f>
        <v/>
      </c>
      <c r="L69" s="7">
        <f>IF($U69="","",IF(INDEX('Per Invoice'!L$2:L$401,$U69)="","",INDEX('Per Invoice'!L$2:L$401,$U69)))</f>
        <v/>
      </c>
      <c r="M69" s="7">
        <f>IF($U69="","",IF(INDEX('Per Invoice'!M$2:M$401,$U69)="","",INDEX('Per Invoice'!M$2:M$401,$U69)))</f>
        <v/>
      </c>
      <c r="N69">
        <f>IF($U69="","",IF(INDEX('Per Invoice'!N$2:N$401,$U69)="","",INDEX('Per Invoice'!N$2:N$401,$U69)))</f>
        <v/>
      </c>
      <c r="O69" s="7">
        <f>IF($U69="","",IF(INDEX('Per Invoice'!O$2:O$401,$U69)="","",INDEX('Per Invoice'!O$2:O$401,$U69)))</f>
        <v/>
      </c>
      <c r="P69" s="7">
        <f>IF($U69="","",IF(INDEX('Per Invoice'!P$2:P$401,$U69)="","",INDEX('Per Invoice'!P$2:P$401,$U69)))</f>
        <v/>
      </c>
      <c r="Q69" s="7">
        <f>IF($U69="","",IF(INDEX('Per Invoice'!Q$2:Q$401,$U69)="","",INDEX('Per Invoice'!Q$2:Q$401,$U69)))</f>
        <v/>
      </c>
      <c r="R69" s="7">
        <f>IF($U69="","",IF(INDEX('Per Invoice'!R$2:R$401,$U69)="","",INDEX('Per Invoice'!R$2:R$401,$U69)))</f>
        <v/>
      </c>
      <c r="S69" s="7">
        <f>IF($U69="","",IF(INDEX('Per Invoice'!S$2:S$401,$U69)="","",INDEX('Per Invoice'!S$2:S$401,$U69)))</f>
        <v/>
      </c>
      <c r="T69" s="7">
        <f>IF($U69="","",IF(INDEX('Per Invoice'!T$2:T$401,$U69)="","",INDEX('Per Invoice'!T$2:T$401,$U69)))</f>
        <v/>
      </c>
      <c r="U69" s="16">
        <f>IFERROR(MATCH(Settings!$C$28&amp;"|"&amp;ROWS($U$2:$U69),'Per Invoice'!$V$2:$V$401,0),"")</f>
        <v/>
      </c>
    </row>
    <row r="70">
      <c r="A70">
        <f>IF($U70="","",IF(INDEX('Per Invoice'!A$2:A$401,$U70)="","",INDEX('Per Invoice'!A$2:A$401,$U70)))</f>
        <v/>
      </c>
      <c r="B70">
        <f>IF($U70="","",IF(INDEX('Per Invoice'!B$2:B$401,$U70)="","",INDEX('Per Invoice'!B$2:B$401,$U70)))</f>
        <v/>
      </c>
      <c r="C70">
        <f>IF($U70="","",IF(INDEX('Per Invoice'!C$2:C$401,$U70)="","",INDEX('Per Invoice'!C$2:C$401,$U70)))</f>
        <v/>
      </c>
      <c r="D70">
        <f>IF($U70="","",IF(INDEX('Per Invoice'!D$2:D$401,$U70)="","",INDEX('Per Invoice'!D$2:D$401,$U70)))</f>
        <v/>
      </c>
      <c r="E70">
        <f>IF($U70="","",IF(INDEX('Per Invoice'!E$2:E$401,$U70)="","",INDEX('Per Invoice'!E$2:E$401,$U70)))</f>
        <v/>
      </c>
      <c r="F70">
        <f>IF($U70="","",IF(INDEX('Per Invoice'!F$2:F$401,$U70)="","",INDEX('Per Invoice'!F$2:F$401,$U70)))</f>
        <v/>
      </c>
      <c r="G70">
        <f>IF($U70="","",IF(INDEX('Per Invoice'!G$2:G$401,$U70)="","",INDEX('Per Invoice'!G$2:G$401,$U70)))</f>
        <v/>
      </c>
      <c r="H70" s="7">
        <f>IF($U70="","",IF(INDEX('Per Invoice'!H$2:H$401,$U70)="","",INDEX('Per Invoice'!H$2:H$401,$U70)))</f>
        <v/>
      </c>
      <c r="I70" s="14">
        <f>IF($U70="","",IF(INDEX('Per Invoice'!I$2:I$401,$U70)="","",INDEX('Per Invoice'!I$2:I$401,$U70)))</f>
        <v/>
      </c>
      <c r="J70">
        <f>IF($U70="","",IF(INDEX('Per Invoice'!J$2:J$401,$U70)="","",INDEX('Per Invoice'!J$2:J$401,$U70)))</f>
        <v/>
      </c>
      <c r="K70">
        <f>IF($U70="","",IF(INDEX('Per Invoice'!K$2:K$401,$U70)="","",INDEX('Per Invoice'!K$2:K$401,$U70)))</f>
        <v/>
      </c>
      <c r="L70" s="7">
        <f>IF($U70="","",IF(INDEX('Per Invoice'!L$2:L$401,$U70)="","",INDEX('Per Invoice'!L$2:L$401,$U70)))</f>
        <v/>
      </c>
      <c r="M70" s="7">
        <f>IF($U70="","",IF(INDEX('Per Invoice'!M$2:M$401,$U70)="","",INDEX('Per Invoice'!M$2:M$401,$U70)))</f>
        <v/>
      </c>
      <c r="N70">
        <f>IF($U70="","",IF(INDEX('Per Invoice'!N$2:N$401,$U70)="","",INDEX('Per Invoice'!N$2:N$401,$U70)))</f>
        <v/>
      </c>
      <c r="O70" s="7">
        <f>IF($U70="","",IF(INDEX('Per Invoice'!O$2:O$401,$U70)="","",INDEX('Per Invoice'!O$2:O$401,$U70)))</f>
        <v/>
      </c>
      <c r="P70" s="7">
        <f>IF($U70="","",IF(INDEX('Per Invoice'!P$2:P$401,$U70)="","",INDEX('Per Invoice'!P$2:P$401,$U70)))</f>
        <v/>
      </c>
      <c r="Q70" s="7">
        <f>IF($U70="","",IF(INDEX('Per Invoice'!Q$2:Q$401,$U70)="","",INDEX('Per Invoice'!Q$2:Q$401,$U70)))</f>
        <v/>
      </c>
      <c r="R70" s="7">
        <f>IF($U70="","",IF(INDEX('Per Invoice'!R$2:R$401,$U70)="","",INDEX('Per Invoice'!R$2:R$401,$U70)))</f>
        <v/>
      </c>
      <c r="S70" s="7">
        <f>IF($U70="","",IF(INDEX('Per Invoice'!S$2:S$401,$U70)="","",INDEX('Per Invoice'!S$2:S$401,$U70)))</f>
        <v/>
      </c>
      <c r="T70" s="7">
        <f>IF($U70="","",IF(INDEX('Per Invoice'!T$2:T$401,$U70)="","",INDEX('Per Invoice'!T$2:T$401,$U70)))</f>
        <v/>
      </c>
      <c r="U70" s="16">
        <f>IFERROR(MATCH(Settings!$C$28&amp;"|"&amp;ROWS($U$2:$U70),'Per Invoice'!$V$2:$V$401,0),"")</f>
        <v/>
      </c>
    </row>
    <row r="71">
      <c r="A71">
        <f>IF($U71="","",IF(INDEX('Per Invoice'!A$2:A$401,$U71)="","",INDEX('Per Invoice'!A$2:A$401,$U71)))</f>
        <v/>
      </c>
      <c r="B71">
        <f>IF($U71="","",IF(INDEX('Per Invoice'!B$2:B$401,$U71)="","",INDEX('Per Invoice'!B$2:B$401,$U71)))</f>
        <v/>
      </c>
      <c r="C71">
        <f>IF($U71="","",IF(INDEX('Per Invoice'!C$2:C$401,$U71)="","",INDEX('Per Invoice'!C$2:C$401,$U71)))</f>
        <v/>
      </c>
      <c r="D71">
        <f>IF($U71="","",IF(INDEX('Per Invoice'!D$2:D$401,$U71)="","",INDEX('Per Invoice'!D$2:D$401,$U71)))</f>
        <v/>
      </c>
      <c r="E71">
        <f>IF($U71="","",IF(INDEX('Per Invoice'!E$2:E$401,$U71)="","",INDEX('Per Invoice'!E$2:E$401,$U71)))</f>
        <v/>
      </c>
      <c r="F71">
        <f>IF($U71="","",IF(INDEX('Per Invoice'!F$2:F$401,$U71)="","",INDEX('Per Invoice'!F$2:F$401,$U71)))</f>
        <v/>
      </c>
      <c r="G71">
        <f>IF($U71="","",IF(INDEX('Per Invoice'!G$2:G$401,$U71)="","",INDEX('Per Invoice'!G$2:G$401,$U71)))</f>
        <v/>
      </c>
      <c r="H71" s="7">
        <f>IF($U71="","",IF(INDEX('Per Invoice'!H$2:H$401,$U71)="","",INDEX('Per Invoice'!H$2:H$401,$U71)))</f>
        <v/>
      </c>
      <c r="I71" s="14">
        <f>IF($U71="","",IF(INDEX('Per Invoice'!I$2:I$401,$U71)="","",INDEX('Per Invoice'!I$2:I$401,$U71)))</f>
        <v/>
      </c>
      <c r="J71">
        <f>IF($U71="","",IF(INDEX('Per Invoice'!J$2:J$401,$U71)="","",INDEX('Per Invoice'!J$2:J$401,$U71)))</f>
        <v/>
      </c>
      <c r="K71">
        <f>IF($U71="","",IF(INDEX('Per Invoice'!K$2:K$401,$U71)="","",INDEX('Per Invoice'!K$2:K$401,$U71)))</f>
        <v/>
      </c>
      <c r="L71" s="7">
        <f>IF($U71="","",IF(INDEX('Per Invoice'!L$2:L$401,$U71)="","",INDEX('Per Invoice'!L$2:L$401,$U71)))</f>
        <v/>
      </c>
      <c r="M71" s="7">
        <f>IF($U71="","",IF(INDEX('Per Invoice'!M$2:M$401,$U71)="","",INDEX('Per Invoice'!M$2:M$401,$U71)))</f>
        <v/>
      </c>
      <c r="N71">
        <f>IF($U71="","",IF(INDEX('Per Invoice'!N$2:N$401,$U71)="","",INDEX('Per Invoice'!N$2:N$401,$U71)))</f>
        <v/>
      </c>
      <c r="O71" s="7">
        <f>IF($U71="","",IF(INDEX('Per Invoice'!O$2:O$401,$U71)="","",INDEX('Per Invoice'!O$2:O$401,$U71)))</f>
        <v/>
      </c>
      <c r="P71" s="7">
        <f>IF($U71="","",IF(INDEX('Per Invoice'!P$2:P$401,$U71)="","",INDEX('Per Invoice'!P$2:P$401,$U71)))</f>
        <v/>
      </c>
      <c r="Q71" s="7">
        <f>IF($U71="","",IF(INDEX('Per Invoice'!Q$2:Q$401,$U71)="","",INDEX('Per Invoice'!Q$2:Q$401,$U71)))</f>
        <v/>
      </c>
      <c r="R71" s="7">
        <f>IF($U71="","",IF(INDEX('Per Invoice'!R$2:R$401,$U71)="","",INDEX('Per Invoice'!R$2:R$401,$U71)))</f>
        <v/>
      </c>
      <c r="S71" s="7">
        <f>IF($U71="","",IF(INDEX('Per Invoice'!S$2:S$401,$U71)="","",INDEX('Per Invoice'!S$2:S$401,$U71)))</f>
        <v/>
      </c>
      <c r="T71" s="7">
        <f>IF($U71="","",IF(INDEX('Per Invoice'!T$2:T$401,$U71)="","",INDEX('Per Invoice'!T$2:T$401,$U71)))</f>
        <v/>
      </c>
      <c r="U71" s="16">
        <f>IFERROR(MATCH(Settings!$C$28&amp;"|"&amp;ROWS($U$2:$U71),'Per Invoice'!$V$2:$V$401,0),"")</f>
        <v/>
      </c>
    </row>
    <row r="72">
      <c r="A72">
        <f>IF($U72="","",IF(INDEX('Per Invoice'!A$2:A$401,$U72)="","",INDEX('Per Invoice'!A$2:A$401,$U72)))</f>
        <v/>
      </c>
      <c r="B72">
        <f>IF($U72="","",IF(INDEX('Per Invoice'!B$2:B$401,$U72)="","",INDEX('Per Invoice'!B$2:B$401,$U72)))</f>
        <v/>
      </c>
      <c r="C72">
        <f>IF($U72="","",IF(INDEX('Per Invoice'!C$2:C$401,$U72)="","",INDEX('Per Invoice'!C$2:C$401,$U72)))</f>
        <v/>
      </c>
      <c r="D72">
        <f>IF($U72="","",IF(INDEX('Per Invoice'!D$2:D$401,$U72)="","",INDEX('Per Invoice'!D$2:D$401,$U72)))</f>
        <v/>
      </c>
      <c r="E72">
        <f>IF($U72="","",IF(INDEX('Per Invoice'!E$2:E$401,$U72)="","",INDEX('Per Invoice'!E$2:E$401,$U72)))</f>
        <v/>
      </c>
      <c r="F72">
        <f>IF($U72="","",IF(INDEX('Per Invoice'!F$2:F$401,$U72)="","",INDEX('Per Invoice'!F$2:F$401,$U72)))</f>
        <v/>
      </c>
      <c r="G72">
        <f>IF($U72="","",IF(INDEX('Per Invoice'!G$2:G$401,$U72)="","",INDEX('Per Invoice'!G$2:G$401,$U72)))</f>
        <v/>
      </c>
      <c r="H72" s="7">
        <f>IF($U72="","",IF(INDEX('Per Invoice'!H$2:H$401,$U72)="","",INDEX('Per Invoice'!H$2:H$401,$U72)))</f>
        <v/>
      </c>
      <c r="I72" s="14">
        <f>IF($U72="","",IF(INDEX('Per Invoice'!I$2:I$401,$U72)="","",INDEX('Per Invoice'!I$2:I$401,$U72)))</f>
        <v/>
      </c>
      <c r="J72">
        <f>IF($U72="","",IF(INDEX('Per Invoice'!J$2:J$401,$U72)="","",INDEX('Per Invoice'!J$2:J$401,$U72)))</f>
        <v/>
      </c>
      <c r="K72">
        <f>IF($U72="","",IF(INDEX('Per Invoice'!K$2:K$401,$U72)="","",INDEX('Per Invoice'!K$2:K$401,$U72)))</f>
        <v/>
      </c>
      <c r="L72" s="7">
        <f>IF($U72="","",IF(INDEX('Per Invoice'!L$2:L$401,$U72)="","",INDEX('Per Invoice'!L$2:L$401,$U72)))</f>
        <v/>
      </c>
      <c r="M72" s="7">
        <f>IF($U72="","",IF(INDEX('Per Invoice'!M$2:M$401,$U72)="","",INDEX('Per Invoice'!M$2:M$401,$U72)))</f>
        <v/>
      </c>
      <c r="N72">
        <f>IF($U72="","",IF(INDEX('Per Invoice'!N$2:N$401,$U72)="","",INDEX('Per Invoice'!N$2:N$401,$U72)))</f>
        <v/>
      </c>
      <c r="O72" s="7">
        <f>IF($U72="","",IF(INDEX('Per Invoice'!O$2:O$401,$U72)="","",INDEX('Per Invoice'!O$2:O$401,$U72)))</f>
        <v/>
      </c>
      <c r="P72" s="7">
        <f>IF($U72="","",IF(INDEX('Per Invoice'!P$2:P$401,$U72)="","",INDEX('Per Invoice'!P$2:P$401,$U72)))</f>
        <v/>
      </c>
      <c r="Q72" s="7">
        <f>IF($U72="","",IF(INDEX('Per Invoice'!Q$2:Q$401,$U72)="","",INDEX('Per Invoice'!Q$2:Q$401,$U72)))</f>
        <v/>
      </c>
      <c r="R72" s="7">
        <f>IF($U72="","",IF(INDEX('Per Invoice'!R$2:R$401,$U72)="","",INDEX('Per Invoice'!R$2:R$401,$U72)))</f>
        <v/>
      </c>
      <c r="S72" s="7">
        <f>IF($U72="","",IF(INDEX('Per Invoice'!S$2:S$401,$U72)="","",INDEX('Per Invoice'!S$2:S$401,$U72)))</f>
        <v/>
      </c>
      <c r="T72" s="7">
        <f>IF($U72="","",IF(INDEX('Per Invoice'!T$2:T$401,$U72)="","",INDEX('Per Invoice'!T$2:T$401,$U72)))</f>
        <v/>
      </c>
      <c r="U72" s="16">
        <f>IFERROR(MATCH(Settings!$C$28&amp;"|"&amp;ROWS($U$2:$U72),'Per Invoice'!$V$2:$V$401,0),"")</f>
        <v/>
      </c>
    </row>
    <row r="73">
      <c r="A73">
        <f>IF($U73="","",IF(INDEX('Per Invoice'!A$2:A$401,$U73)="","",INDEX('Per Invoice'!A$2:A$401,$U73)))</f>
        <v/>
      </c>
      <c r="B73">
        <f>IF($U73="","",IF(INDEX('Per Invoice'!B$2:B$401,$U73)="","",INDEX('Per Invoice'!B$2:B$401,$U73)))</f>
        <v/>
      </c>
      <c r="C73">
        <f>IF($U73="","",IF(INDEX('Per Invoice'!C$2:C$401,$U73)="","",INDEX('Per Invoice'!C$2:C$401,$U73)))</f>
        <v/>
      </c>
      <c r="D73">
        <f>IF($U73="","",IF(INDEX('Per Invoice'!D$2:D$401,$U73)="","",INDEX('Per Invoice'!D$2:D$401,$U73)))</f>
        <v/>
      </c>
      <c r="E73">
        <f>IF($U73="","",IF(INDEX('Per Invoice'!E$2:E$401,$U73)="","",INDEX('Per Invoice'!E$2:E$401,$U73)))</f>
        <v/>
      </c>
      <c r="F73">
        <f>IF($U73="","",IF(INDEX('Per Invoice'!F$2:F$401,$U73)="","",INDEX('Per Invoice'!F$2:F$401,$U73)))</f>
        <v/>
      </c>
      <c r="G73">
        <f>IF($U73="","",IF(INDEX('Per Invoice'!G$2:G$401,$U73)="","",INDEX('Per Invoice'!G$2:G$401,$U73)))</f>
        <v/>
      </c>
      <c r="H73" s="7">
        <f>IF($U73="","",IF(INDEX('Per Invoice'!H$2:H$401,$U73)="","",INDEX('Per Invoice'!H$2:H$401,$U73)))</f>
        <v/>
      </c>
      <c r="I73" s="14">
        <f>IF($U73="","",IF(INDEX('Per Invoice'!I$2:I$401,$U73)="","",INDEX('Per Invoice'!I$2:I$401,$U73)))</f>
        <v/>
      </c>
      <c r="J73">
        <f>IF($U73="","",IF(INDEX('Per Invoice'!J$2:J$401,$U73)="","",INDEX('Per Invoice'!J$2:J$401,$U73)))</f>
        <v/>
      </c>
      <c r="K73">
        <f>IF($U73="","",IF(INDEX('Per Invoice'!K$2:K$401,$U73)="","",INDEX('Per Invoice'!K$2:K$401,$U73)))</f>
        <v/>
      </c>
      <c r="L73" s="7">
        <f>IF($U73="","",IF(INDEX('Per Invoice'!L$2:L$401,$U73)="","",INDEX('Per Invoice'!L$2:L$401,$U73)))</f>
        <v/>
      </c>
      <c r="M73" s="7">
        <f>IF($U73="","",IF(INDEX('Per Invoice'!M$2:M$401,$U73)="","",INDEX('Per Invoice'!M$2:M$401,$U73)))</f>
        <v/>
      </c>
      <c r="N73">
        <f>IF($U73="","",IF(INDEX('Per Invoice'!N$2:N$401,$U73)="","",INDEX('Per Invoice'!N$2:N$401,$U73)))</f>
        <v/>
      </c>
      <c r="O73" s="7">
        <f>IF($U73="","",IF(INDEX('Per Invoice'!O$2:O$401,$U73)="","",INDEX('Per Invoice'!O$2:O$401,$U73)))</f>
        <v/>
      </c>
      <c r="P73" s="7">
        <f>IF($U73="","",IF(INDEX('Per Invoice'!P$2:P$401,$U73)="","",INDEX('Per Invoice'!P$2:P$401,$U73)))</f>
        <v/>
      </c>
      <c r="Q73" s="7">
        <f>IF($U73="","",IF(INDEX('Per Invoice'!Q$2:Q$401,$U73)="","",INDEX('Per Invoice'!Q$2:Q$401,$U73)))</f>
        <v/>
      </c>
      <c r="R73" s="7">
        <f>IF($U73="","",IF(INDEX('Per Invoice'!R$2:R$401,$U73)="","",INDEX('Per Invoice'!R$2:R$401,$U73)))</f>
        <v/>
      </c>
      <c r="S73" s="7">
        <f>IF($U73="","",IF(INDEX('Per Invoice'!S$2:S$401,$U73)="","",INDEX('Per Invoice'!S$2:S$401,$U73)))</f>
        <v/>
      </c>
      <c r="T73" s="7">
        <f>IF($U73="","",IF(INDEX('Per Invoice'!T$2:T$401,$U73)="","",INDEX('Per Invoice'!T$2:T$401,$U73)))</f>
        <v/>
      </c>
      <c r="U73" s="16">
        <f>IFERROR(MATCH(Settings!$C$28&amp;"|"&amp;ROWS($U$2:$U73),'Per Invoice'!$V$2:$V$401,0),"")</f>
        <v/>
      </c>
    </row>
    <row r="74">
      <c r="A74">
        <f>IF($U74="","",IF(INDEX('Per Invoice'!A$2:A$401,$U74)="","",INDEX('Per Invoice'!A$2:A$401,$U74)))</f>
        <v/>
      </c>
      <c r="B74">
        <f>IF($U74="","",IF(INDEX('Per Invoice'!B$2:B$401,$U74)="","",INDEX('Per Invoice'!B$2:B$401,$U74)))</f>
        <v/>
      </c>
      <c r="C74">
        <f>IF($U74="","",IF(INDEX('Per Invoice'!C$2:C$401,$U74)="","",INDEX('Per Invoice'!C$2:C$401,$U74)))</f>
        <v/>
      </c>
      <c r="D74">
        <f>IF($U74="","",IF(INDEX('Per Invoice'!D$2:D$401,$U74)="","",INDEX('Per Invoice'!D$2:D$401,$U74)))</f>
        <v/>
      </c>
      <c r="E74">
        <f>IF($U74="","",IF(INDEX('Per Invoice'!E$2:E$401,$U74)="","",INDEX('Per Invoice'!E$2:E$401,$U74)))</f>
        <v/>
      </c>
      <c r="F74">
        <f>IF($U74="","",IF(INDEX('Per Invoice'!F$2:F$401,$U74)="","",INDEX('Per Invoice'!F$2:F$401,$U74)))</f>
        <v/>
      </c>
      <c r="G74">
        <f>IF($U74="","",IF(INDEX('Per Invoice'!G$2:G$401,$U74)="","",INDEX('Per Invoice'!G$2:G$401,$U74)))</f>
        <v/>
      </c>
      <c r="H74" s="7">
        <f>IF($U74="","",IF(INDEX('Per Invoice'!H$2:H$401,$U74)="","",INDEX('Per Invoice'!H$2:H$401,$U74)))</f>
        <v/>
      </c>
      <c r="I74" s="14">
        <f>IF($U74="","",IF(INDEX('Per Invoice'!I$2:I$401,$U74)="","",INDEX('Per Invoice'!I$2:I$401,$U74)))</f>
        <v/>
      </c>
      <c r="J74">
        <f>IF($U74="","",IF(INDEX('Per Invoice'!J$2:J$401,$U74)="","",INDEX('Per Invoice'!J$2:J$401,$U74)))</f>
        <v/>
      </c>
      <c r="K74">
        <f>IF($U74="","",IF(INDEX('Per Invoice'!K$2:K$401,$U74)="","",INDEX('Per Invoice'!K$2:K$401,$U74)))</f>
        <v/>
      </c>
      <c r="L74" s="7">
        <f>IF($U74="","",IF(INDEX('Per Invoice'!L$2:L$401,$U74)="","",INDEX('Per Invoice'!L$2:L$401,$U74)))</f>
        <v/>
      </c>
      <c r="M74" s="7">
        <f>IF($U74="","",IF(INDEX('Per Invoice'!M$2:M$401,$U74)="","",INDEX('Per Invoice'!M$2:M$401,$U74)))</f>
        <v/>
      </c>
      <c r="N74">
        <f>IF($U74="","",IF(INDEX('Per Invoice'!N$2:N$401,$U74)="","",INDEX('Per Invoice'!N$2:N$401,$U74)))</f>
        <v/>
      </c>
      <c r="O74" s="7">
        <f>IF($U74="","",IF(INDEX('Per Invoice'!O$2:O$401,$U74)="","",INDEX('Per Invoice'!O$2:O$401,$U74)))</f>
        <v/>
      </c>
      <c r="P74" s="7">
        <f>IF($U74="","",IF(INDEX('Per Invoice'!P$2:P$401,$U74)="","",INDEX('Per Invoice'!P$2:P$401,$U74)))</f>
        <v/>
      </c>
      <c r="Q74" s="7">
        <f>IF($U74="","",IF(INDEX('Per Invoice'!Q$2:Q$401,$U74)="","",INDEX('Per Invoice'!Q$2:Q$401,$U74)))</f>
        <v/>
      </c>
      <c r="R74" s="7">
        <f>IF($U74="","",IF(INDEX('Per Invoice'!R$2:R$401,$U74)="","",INDEX('Per Invoice'!R$2:R$401,$U74)))</f>
        <v/>
      </c>
      <c r="S74" s="7">
        <f>IF($U74="","",IF(INDEX('Per Invoice'!S$2:S$401,$U74)="","",INDEX('Per Invoice'!S$2:S$401,$U74)))</f>
        <v/>
      </c>
      <c r="T74" s="7">
        <f>IF($U74="","",IF(INDEX('Per Invoice'!T$2:T$401,$U74)="","",INDEX('Per Invoice'!T$2:T$401,$U74)))</f>
        <v/>
      </c>
      <c r="U74" s="16">
        <f>IFERROR(MATCH(Settings!$C$28&amp;"|"&amp;ROWS($U$2:$U74),'Per Invoice'!$V$2:$V$401,0),"")</f>
        <v/>
      </c>
    </row>
    <row r="75">
      <c r="A75">
        <f>IF($U75="","",IF(INDEX('Per Invoice'!A$2:A$401,$U75)="","",INDEX('Per Invoice'!A$2:A$401,$U75)))</f>
        <v/>
      </c>
      <c r="B75">
        <f>IF($U75="","",IF(INDEX('Per Invoice'!B$2:B$401,$U75)="","",INDEX('Per Invoice'!B$2:B$401,$U75)))</f>
        <v/>
      </c>
      <c r="C75">
        <f>IF($U75="","",IF(INDEX('Per Invoice'!C$2:C$401,$U75)="","",INDEX('Per Invoice'!C$2:C$401,$U75)))</f>
        <v/>
      </c>
      <c r="D75">
        <f>IF($U75="","",IF(INDEX('Per Invoice'!D$2:D$401,$U75)="","",INDEX('Per Invoice'!D$2:D$401,$U75)))</f>
        <v/>
      </c>
      <c r="E75">
        <f>IF($U75="","",IF(INDEX('Per Invoice'!E$2:E$401,$U75)="","",INDEX('Per Invoice'!E$2:E$401,$U75)))</f>
        <v/>
      </c>
      <c r="F75">
        <f>IF($U75="","",IF(INDEX('Per Invoice'!F$2:F$401,$U75)="","",INDEX('Per Invoice'!F$2:F$401,$U75)))</f>
        <v/>
      </c>
      <c r="G75">
        <f>IF($U75="","",IF(INDEX('Per Invoice'!G$2:G$401,$U75)="","",INDEX('Per Invoice'!G$2:G$401,$U75)))</f>
        <v/>
      </c>
      <c r="H75" s="7">
        <f>IF($U75="","",IF(INDEX('Per Invoice'!H$2:H$401,$U75)="","",INDEX('Per Invoice'!H$2:H$401,$U75)))</f>
        <v/>
      </c>
      <c r="I75" s="14">
        <f>IF($U75="","",IF(INDEX('Per Invoice'!I$2:I$401,$U75)="","",INDEX('Per Invoice'!I$2:I$401,$U75)))</f>
        <v/>
      </c>
      <c r="J75">
        <f>IF($U75="","",IF(INDEX('Per Invoice'!J$2:J$401,$U75)="","",INDEX('Per Invoice'!J$2:J$401,$U75)))</f>
        <v/>
      </c>
      <c r="K75">
        <f>IF($U75="","",IF(INDEX('Per Invoice'!K$2:K$401,$U75)="","",INDEX('Per Invoice'!K$2:K$401,$U75)))</f>
        <v/>
      </c>
      <c r="L75" s="7">
        <f>IF($U75="","",IF(INDEX('Per Invoice'!L$2:L$401,$U75)="","",INDEX('Per Invoice'!L$2:L$401,$U75)))</f>
        <v/>
      </c>
      <c r="M75" s="7">
        <f>IF($U75="","",IF(INDEX('Per Invoice'!M$2:M$401,$U75)="","",INDEX('Per Invoice'!M$2:M$401,$U75)))</f>
        <v/>
      </c>
      <c r="N75">
        <f>IF($U75="","",IF(INDEX('Per Invoice'!N$2:N$401,$U75)="","",INDEX('Per Invoice'!N$2:N$401,$U75)))</f>
        <v/>
      </c>
      <c r="O75" s="7">
        <f>IF($U75="","",IF(INDEX('Per Invoice'!O$2:O$401,$U75)="","",INDEX('Per Invoice'!O$2:O$401,$U75)))</f>
        <v/>
      </c>
      <c r="P75" s="7">
        <f>IF($U75="","",IF(INDEX('Per Invoice'!P$2:P$401,$U75)="","",INDEX('Per Invoice'!P$2:P$401,$U75)))</f>
        <v/>
      </c>
      <c r="Q75" s="7">
        <f>IF($U75="","",IF(INDEX('Per Invoice'!Q$2:Q$401,$U75)="","",INDEX('Per Invoice'!Q$2:Q$401,$U75)))</f>
        <v/>
      </c>
      <c r="R75" s="7">
        <f>IF($U75="","",IF(INDEX('Per Invoice'!R$2:R$401,$U75)="","",INDEX('Per Invoice'!R$2:R$401,$U75)))</f>
        <v/>
      </c>
      <c r="S75" s="7">
        <f>IF($U75="","",IF(INDEX('Per Invoice'!S$2:S$401,$U75)="","",INDEX('Per Invoice'!S$2:S$401,$U75)))</f>
        <v/>
      </c>
      <c r="T75" s="7">
        <f>IF($U75="","",IF(INDEX('Per Invoice'!T$2:T$401,$U75)="","",INDEX('Per Invoice'!T$2:T$401,$U75)))</f>
        <v/>
      </c>
      <c r="U75" s="16">
        <f>IFERROR(MATCH(Settings!$C$28&amp;"|"&amp;ROWS($U$2:$U75),'Per Invoice'!$V$2:$V$401,0),"")</f>
        <v/>
      </c>
    </row>
    <row r="76">
      <c r="A76">
        <f>IF($U76="","",IF(INDEX('Per Invoice'!A$2:A$401,$U76)="","",INDEX('Per Invoice'!A$2:A$401,$U76)))</f>
        <v/>
      </c>
      <c r="B76">
        <f>IF($U76="","",IF(INDEX('Per Invoice'!B$2:B$401,$U76)="","",INDEX('Per Invoice'!B$2:B$401,$U76)))</f>
        <v/>
      </c>
      <c r="C76">
        <f>IF($U76="","",IF(INDEX('Per Invoice'!C$2:C$401,$U76)="","",INDEX('Per Invoice'!C$2:C$401,$U76)))</f>
        <v/>
      </c>
      <c r="D76">
        <f>IF($U76="","",IF(INDEX('Per Invoice'!D$2:D$401,$U76)="","",INDEX('Per Invoice'!D$2:D$401,$U76)))</f>
        <v/>
      </c>
      <c r="E76">
        <f>IF($U76="","",IF(INDEX('Per Invoice'!E$2:E$401,$U76)="","",INDEX('Per Invoice'!E$2:E$401,$U76)))</f>
        <v/>
      </c>
      <c r="F76">
        <f>IF($U76="","",IF(INDEX('Per Invoice'!F$2:F$401,$U76)="","",INDEX('Per Invoice'!F$2:F$401,$U76)))</f>
        <v/>
      </c>
      <c r="G76">
        <f>IF($U76="","",IF(INDEX('Per Invoice'!G$2:G$401,$U76)="","",INDEX('Per Invoice'!G$2:G$401,$U76)))</f>
        <v/>
      </c>
      <c r="H76" s="7">
        <f>IF($U76="","",IF(INDEX('Per Invoice'!H$2:H$401,$U76)="","",INDEX('Per Invoice'!H$2:H$401,$U76)))</f>
        <v/>
      </c>
      <c r="I76" s="14">
        <f>IF($U76="","",IF(INDEX('Per Invoice'!I$2:I$401,$U76)="","",INDEX('Per Invoice'!I$2:I$401,$U76)))</f>
        <v/>
      </c>
      <c r="J76">
        <f>IF($U76="","",IF(INDEX('Per Invoice'!J$2:J$401,$U76)="","",INDEX('Per Invoice'!J$2:J$401,$U76)))</f>
        <v/>
      </c>
      <c r="K76">
        <f>IF($U76="","",IF(INDEX('Per Invoice'!K$2:K$401,$U76)="","",INDEX('Per Invoice'!K$2:K$401,$U76)))</f>
        <v/>
      </c>
      <c r="L76" s="7">
        <f>IF($U76="","",IF(INDEX('Per Invoice'!L$2:L$401,$U76)="","",INDEX('Per Invoice'!L$2:L$401,$U76)))</f>
        <v/>
      </c>
      <c r="M76" s="7">
        <f>IF($U76="","",IF(INDEX('Per Invoice'!M$2:M$401,$U76)="","",INDEX('Per Invoice'!M$2:M$401,$U76)))</f>
        <v/>
      </c>
      <c r="N76">
        <f>IF($U76="","",IF(INDEX('Per Invoice'!N$2:N$401,$U76)="","",INDEX('Per Invoice'!N$2:N$401,$U76)))</f>
        <v/>
      </c>
      <c r="O76" s="7">
        <f>IF($U76="","",IF(INDEX('Per Invoice'!O$2:O$401,$U76)="","",INDEX('Per Invoice'!O$2:O$401,$U76)))</f>
        <v/>
      </c>
      <c r="P76" s="7">
        <f>IF($U76="","",IF(INDEX('Per Invoice'!P$2:P$401,$U76)="","",INDEX('Per Invoice'!P$2:P$401,$U76)))</f>
        <v/>
      </c>
      <c r="Q76" s="7">
        <f>IF($U76="","",IF(INDEX('Per Invoice'!Q$2:Q$401,$U76)="","",INDEX('Per Invoice'!Q$2:Q$401,$U76)))</f>
        <v/>
      </c>
      <c r="R76" s="7">
        <f>IF($U76="","",IF(INDEX('Per Invoice'!R$2:R$401,$U76)="","",INDEX('Per Invoice'!R$2:R$401,$U76)))</f>
        <v/>
      </c>
      <c r="S76" s="7">
        <f>IF($U76="","",IF(INDEX('Per Invoice'!S$2:S$401,$U76)="","",INDEX('Per Invoice'!S$2:S$401,$U76)))</f>
        <v/>
      </c>
      <c r="T76" s="7">
        <f>IF($U76="","",IF(INDEX('Per Invoice'!T$2:T$401,$U76)="","",INDEX('Per Invoice'!T$2:T$401,$U76)))</f>
        <v/>
      </c>
      <c r="U76" s="16">
        <f>IFERROR(MATCH(Settings!$C$28&amp;"|"&amp;ROWS($U$2:$U76),'Per Invoice'!$V$2:$V$401,0),"")</f>
        <v/>
      </c>
    </row>
    <row r="77">
      <c r="A77">
        <f>IF($U77="","",IF(INDEX('Per Invoice'!A$2:A$401,$U77)="","",INDEX('Per Invoice'!A$2:A$401,$U77)))</f>
        <v/>
      </c>
      <c r="B77">
        <f>IF($U77="","",IF(INDEX('Per Invoice'!B$2:B$401,$U77)="","",INDEX('Per Invoice'!B$2:B$401,$U77)))</f>
        <v/>
      </c>
      <c r="C77">
        <f>IF($U77="","",IF(INDEX('Per Invoice'!C$2:C$401,$U77)="","",INDEX('Per Invoice'!C$2:C$401,$U77)))</f>
        <v/>
      </c>
      <c r="D77">
        <f>IF($U77="","",IF(INDEX('Per Invoice'!D$2:D$401,$U77)="","",INDEX('Per Invoice'!D$2:D$401,$U77)))</f>
        <v/>
      </c>
      <c r="E77">
        <f>IF($U77="","",IF(INDEX('Per Invoice'!E$2:E$401,$U77)="","",INDEX('Per Invoice'!E$2:E$401,$U77)))</f>
        <v/>
      </c>
      <c r="F77">
        <f>IF($U77="","",IF(INDEX('Per Invoice'!F$2:F$401,$U77)="","",INDEX('Per Invoice'!F$2:F$401,$U77)))</f>
        <v/>
      </c>
      <c r="G77">
        <f>IF($U77="","",IF(INDEX('Per Invoice'!G$2:G$401,$U77)="","",INDEX('Per Invoice'!G$2:G$401,$U77)))</f>
        <v/>
      </c>
      <c r="H77" s="7">
        <f>IF($U77="","",IF(INDEX('Per Invoice'!H$2:H$401,$U77)="","",INDEX('Per Invoice'!H$2:H$401,$U77)))</f>
        <v/>
      </c>
      <c r="I77" s="14">
        <f>IF($U77="","",IF(INDEX('Per Invoice'!I$2:I$401,$U77)="","",INDEX('Per Invoice'!I$2:I$401,$U77)))</f>
        <v/>
      </c>
      <c r="J77">
        <f>IF($U77="","",IF(INDEX('Per Invoice'!J$2:J$401,$U77)="","",INDEX('Per Invoice'!J$2:J$401,$U77)))</f>
        <v/>
      </c>
      <c r="K77">
        <f>IF($U77="","",IF(INDEX('Per Invoice'!K$2:K$401,$U77)="","",INDEX('Per Invoice'!K$2:K$401,$U77)))</f>
        <v/>
      </c>
      <c r="L77" s="7">
        <f>IF($U77="","",IF(INDEX('Per Invoice'!L$2:L$401,$U77)="","",INDEX('Per Invoice'!L$2:L$401,$U77)))</f>
        <v/>
      </c>
      <c r="M77" s="7">
        <f>IF($U77="","",IF(INDEX('Per Invoice'!M$2:M$401,$U77)="","",INDEX('Per Invoice'!M$2:M$401,$U77)))</f>
        <v/>
      </c>
      <c r="N77">
        <f>IF($U77="","",IF(INDEX('Per Invoice'!N$2:N$401,$U77)="","",INDEX('Per Invoice'!N$2:N$401,$U77)))</f>
        <v/>
      </c>
      <c r="O77" s="7">
        <f>IF($U77="","",IF(INDEX('Per Invoice'!O$2:O$401,$U77)="","",INDEX('Per Invoice'!O$2:O$401,$U77)))</f>
        <v/>
      </c>
      <c r="P77" s="7">
        <f>IF($U77="","",IF(INDEX('Per Invoice'!P$2:P$401,$U77)="","",INDEX('Per Invoice'!P$2:P$401,$U77)))</f>
        <v/>
      </c>
      <c r="Q77" s="7">
        <f>IF($U77="","",IF(INDEX('Per Invoice'!Q$2:Q$401,$U77)="","",INDEX('Per Invoice'!Q$2:Q$401,$U77)))</f>
        <v/>
      </c>
      <c r="R77" s="7">
        <f>IF($U77="","",IF(INDEX('Per Invoice'!R$2:R$401,$U77)="","",INDEX('Per Invoice'!R$2:R$401,$U77)))</f>
        <v/>
      </c>
      <c r="S77" s="7">
        <f>IF($U77="","",IF(INDEX('Per Invoice'!S$2:S$401,$U77)="","",INDEX('Per Invoice'!S$2:S$401,$U77)))</f>
        <v/>
      </c>
      <c r="T77" s="7">
        <f>IF($U77="","",IF(INDEX('Per Invoice'!T$2:T$401,$U77)="","",INDEX('Per Invoice'!T$2:T$401,$U77)))</f>
        <v/>
      </c>
      <c r="U77" s="16">
        <f>IFERROR(MATCH(Settings!$C$28&amp;"|"&amp;ROWS($U$2:$U77),'Per Invoice'!$V$2:$V$401,0),"")</f>
        <v/>
      </c>
    </row>
    <row r="78">
      <c r="A78">
        <f>IF($U78="","",IF(INDEX('Per Invoice'!A$2:A$401,$U78)="","",INDEX('Per Invoice'!A$2:A$401,$U78)))</f>
        <v/>
      </c>
      <c r="B78">
        <f>IF($U78="","",IF(INDEX('Per Invoice'!B$2:B$401,$U78)="","",INDEX('Per Invoice'!B$2:B$401,$U78)))</f>
        <v/>
      </c>
      <c r="C78">
        <f>IF($U78="","",IF(INDEX('Per Invoice'!C$2:C$401,$U78)="","",INDEX('Per Invoice'!C$2:C$401,$U78)))</f>
        <v/>
      </c>
      <c r="D78">
        <f>IF($U78="","",IF(INDEX('Per Invoice'!D$2:D$401,$U78)="","",INDEX('Per Invoice'!D$2:D$401,$U78)))</f>
        <v/>
      </c>
      <c r="E78">
        <f>IF($U78="","",IF(INDEX('Per Invoice'!E$2:E$401,$U78)="","",INDEX('Per Invoice'!E$2:E$401,$U78)))</f>
        <v/>
      </c>
      <c r="F78">
        <f>IF($U78="","",IF(INDEX('Per Invoice'!F$2:F$401,$U78)="","",INDEX('Per Invoice'!F$2:F$401,$U78)))</f>
        <v/>
      </c>
      <c r="G78">
        <f>IF($U78="","",IF(INDEX('Per Invoice'!G$2:G$401,$U78)="","",INDEX('Per Invoice'!G$2:G$401,$U78)))</f>
        <v/>
      </c>
      <c r="H78" s="7">
        <f>IF($U78="","",IF(INDEX('Per Invoice'!H$2:H$401,$U78)="","",INDEX('Per Invoice'!H$2:H$401,$U78)))</f>
        <v/>
      </c>
      <c r="I78" s="14">
        <f>IF($U78="","",IF(INDEX('Per Invoice'!I$2:I$401,$U78)="","",INDEX('Per Invoice'!I$2:I$401,$U78)))</f>
        <v/>
      </c>
      <c r="J78">
        <f>IF($U78="","",IF(INDEX('Per Invoice'!J$2:J$401,$U78)="","",INDEX('Per Invoice'!J$2:J$401,$U78)))</f>
        <v/>
      </c>
      <c r="K78">
        <f>IF($U78="","",IF(INDEX('Per Invoice'!K$2:K$401,$U78)="","",INDEX('Per Invoice'!K$2:K$401,$U78)))</f>
        <v/>
      </c>
      <c r="L78" s="7">
        <f>IF($U78="","",IF(INDEX('Per Invoice'!L$2:L$401,$U78)="","",INDEX('Per Invoice'!L$2:L$401,$U78)))</f>
        <v/>
      </c>
      <c r="M78" s="7">
        <f>IF($U78="","",IF(INDEX('Per Invoice'!M$2:M$401,$U78)="","",INDEX('Per Invoice'!M$2:M$401,$U78)))</f>
        <v/>
      </c>
      <c r="N78">
        <f>IF($U78="","",IF(INDEX('Per Invoice'!N$2:N$401,$U78)="","",INDEX('Per Invoice'!N$2:N$401,$U78)))</f>
        <v/>
      </c>
      <c r="O78" s="7">
        <f>IF($U78="","",IF(INDEX('Per Invoice'!O$2:O$401,$U78)="","",INDEX('Per Invoice'!O$2:O$401,$U78)))</f>
        <v/>
      </c>
      <c r="P78" s="7">
        <f>IF($U78="","",IF(INDEX('Per Invoice'!P$2:P$401,$U78)="","",INDEX('Per Invoice'!P$2:P$401,$U78)))</f>
        <v/>
      </c>
      <c r="Q78" s="7">
        <f>IF($U78="","",IF(INDEX('Per Invoice'!Q$2:Q$401,$U78)="","",INDEX('Per Invoice'!Q$2:Q$401,$U78)))</f>
        <v/>
      </c>
      <c r="R78" s="7">
        <f>IF($U78="","",IF(INDEX('Per Invoice'!R$2:R$401,$U78)="","",INDEX('Per Invoice'!R$2:R$401,$U78)))</f>
        <v/>
      </c>
      <c r="S78" s="7">
        <f>IF($U78="","",IF(INDEX('Per Invoice'!S$2:S$401,$U78)="","",INDEX('Per Invoice'!S$2:S$401,$U78)))</f>
        <v/>
      </c>
      <c r="T78" s="7">
        <f>IF($U78="","",IF(INDEX('Per Invoice'!T$2:T$401,$U78)="","",INDEX('Per Invoice'!T$2:T$401,$U78)))</f>
        <v/>
      </c>
      <c r="U78" s="16">
        <f>IFERROR(MATCH(Settings!$C$28&amp;"|"&amp;ROWS($U$2:$U78),'Per Invoice'!$V$2:$V$401,0),"")</f>
        <v/>
      </c>
    </row>
    <row r="79">
      <c r="A79">
        <f>IF($U79="","",IF(INDEX('Per Invoice'!A$2:A$401,$U79)="","",INDEX('Per Invoice'!A$2:A$401,$U79)))</f>
        <v/>
      </c>
      <c r="B79">
        <f>IF($U79="","",IF(INDEX('Per Invoice'!B$2:B$401,$U79)="","",INDEX('Per Invoice'!B$2:B$401,$U79)))</f>
        <v/>
      </c>
      <c r="C79">
        <f>IF($U79="","",IF(INDEX('Per Invoice'!C$2:C$401,$U79)="","",INDEX('Per Invoice'!C$2:C$401,$U79)))</f>
        <v/>
      </c>
      <c r="D79">
        <f>IF($U79="","",IF(INDEX('Per Invoice'!D$2:D$401,$U79)="","",INDEX('Per Invoice'!D$2:D$401,$U79)))</f>
        <v/>
      </c>
      <c r="E79">
        <f>IF($U79="","",IF(INDEX('Per Invoice'!E$2:E$401,$U79)="","",INDEX('Per Invoice'!E$2:E$401,$U79)))</f>
        <v/>
      </c>
      <c r="F79">
        <f>IF($U79="","",IF(INDEX('Per Invoice'!F$2:F$401,$U79)="","",INDEX('Per Invoice'!F$2:F$401,$U79)))</f>
        <v/>
      </c>
      <c r="G79">
        <f>IF($U79="","",IF(INDEX('Per Invoice'!G$2:G$401,$U79)="","",INDEX('Per Invoice'!G$2:G$401,$U79)))</f>
        <v/>
      </c>
      <c r="H79" s="7">
        <f>IF($U79="","",IF(INDEX('Per Invoice'!H$2:H$401,$U79)="","",INDEX('Per Invoice'!H$2:H$401,$U79)))</f>
        <v/>
      </c>
      <c r="I79" s="14">
        <f>IF($U79="","",IF(INDEX('Per Invoice'!I$2:I$401,$U79)="","",INDEX('Per Invoice'!I$2:I$401,$U79)))</f>
        <v/>
      </c>
      <c r="J79">
        <f>IF($U79="","",IF(INDEX('Per Invoice'!J$2:J$401,$U79)="","",INDEX('Per Invoice'!J$2:J$401,$U79)))</f>
        <v/>
      </c>
      <c r="K79">
        <f>IF($U79="","",IF(INDEX('Per Invoice'!K$2:K$401,$U79)="","",INDEX('Per Invoice'!K$2:K$401,$U79)))</f>
        <v/>
      </c>
      <c r="L79" s="7">
        <f>IF($U79="","",IF(INDEX('Per Invoice'!L$2:L$401,$U79)="","",INDEX('Per Invoice'!L$2:L$401,$U79)))</f>
        <v/>
      </c>
      <c r="M79" s="7">
        <f>IF($U79="","",IF(INDEX('Per Invoice'!M$2:M$401,$U79)="","",INDEX('Per Invoice'!M$2:M$401,$U79)))</f>
        <v/>
      </c>
      <c r="N79">
        <f>IF($U79="","",IF(INDEX('Per Invoice'!N$2:N$401,$U79)="","",INDEX('Per Invoice'!N$2:N$401,$U79)))</f>
        <v/>
      </c>
      <c r="O79" s="7">
        <f>IF($U79="","",IF(INDEX('Per Invoice'!O$2:O$401,$U79)="","",INDEX('Per Invoice'!O$2:O$401,$U79)))</f>
        <v/>
      </c>
      <c r="P79" s="7">
        <f>IF($U79="","",IF(INDEX('Per Invoice'!P$2:P$401,$U79)="","",INDEX('Per Invoice'!P$2:P$401,$U79)))</f>
        <v/>
      </c>
      <c r="Q79" s="7">
        <f>IF($U79="","",IF(INDEX('Per Invoice'!Q$2:Q$401,$U79)="","",INDEX('Per Invoice'!Q$2:Q$401,$U79)))</f>
        <v/>
      </c>
      <c r="R79" s="7">
        <f>IF($U79="","",IF(INDEX('Per Invoice'!R$2:R$401,$U79)="","",INDEX('Per Invoice'!R$2:R$401,$U79)))</f>
        <v/>
      </c>
      <c r="S79" s="7">
        <f>IF($U79="","",IF(INDEX('Per Invoice'!S$2:S$401,$U79)="","",INDEX('Per Invoice'!S$2:S$401,$U79)))</f>
        <v/>
      </c>
      <c r="T79" s="7">
        <f>IF($U79="","",IF(INDEX('Per Invoice'!T$2:T$401,$U79)="","",INDEX('Per Invoice'!T$2:T$401,$U79)))</f>
        <v/>
      </c>
      <c r="U79" s="16">
        <f>IFERROR(MATCH(Settings!$C$28&amp;"|"&amp;ROWS($U$2:$U79),'Per Invoice'!$V$2:$V$401,0),"")</f>
        <v/>
      </c>
    </row>
    <row r="80">
      <c r="A80">
        <f>IF($U80="","",IF(INDEX('Per Invoice'!A$2:A$401,$U80)="","",INDEX('Per Invoice'!A$2:A$401,$U80)))</f>
        <v/>
      </c>
      <c r="B80">
        <f>IF($U80="","",IF(INDEX('Per Invoice'!B$2:B$401,$U80)="","",INDEX('Per Invoice'!B$2:B$401,$U80)))</f>
        <v/>
      </c>
      <c r="C80">
        <f>IF($U80="","",IF(INDEX('Per Invoice'!C$2:C$401,$U80)="","",INDEX('Per Invoice'!C$2:C$401,$U80)))</f>
        <v/>
      </c>
      <c r="D80">
        <f>IF($U80="","",IF(INDEX('Per Invoice'!D$2:D$401,$U80)="","",INDEX('Per Invoice'!D$2:D$401,$U80)))</f>
        <v/>
      </c>
      <c r="E80">
        <f>IF($U80="","",IF(INDEX('Per Invoice'!E$2:E$401,$U80)="","",INDEX('Per Invoice'!E$2:E$401,$U80)))</f>
        <v/>
      </c>
      <c r="F80">
        <f>IF($U80="","",IF(INDEX('Per Invoice'!F$2:F$401,$U80)="","",INDEX('Per Invoice'!F$2:F$401,$U80)))</f>
        <v/>
      </c>
      <c r="G80">
        <f>IF($U80="","",IF(INDEX('Per Invoice'!G$2:G$401,$U80)="","",INDEX('Per Invoice'!G$2:G$401,$U80)))</f>
        <v/>
      </c>
      <c r="H80" s="7">
        <f>IF($U80="","",IF(INDEX('Per Invoice'!H$2:H$401,$U80)="","",INDEX('Per Invoice'!H$2:H$401,$U80)))</f>
        <v/>
      </c>
      <c r="I80" s="14">
        <f>IF($U80="","",IF(INDEX('Per Invoice'!I$2:I$401,$U80)="","",INDEX('Per Invoice'!I$2:I$401,$U80)))</f>
        <v/>
      </c>
      <c r="J80">
        <f>IF($U80="","",IF(INDEX('Per Invoice'!J$2:J$401,$U80)="","",INDEX('Per Invoice'!J$2:J$401,$U80)))</f>
        <v/>
      </c>
      <c r="K80">
        <f>IF($U80="","",IF(INDEX('Per Invoice'!K$2:K$401,$U80)="","",INDEX('Per Invoice'!K$2:K$401,$U80)))</f>
        <v/>
      </c>
      <c r="L80" s="7">
        <f>IF($U80="","",IF(INDEX('Per Invoice'!L$2:L$401,$U80)="","",INDEX('Per Invoice'!L$2:L$401,$U80)))</f>
        <v/>
      </c>
      <c r="M80" s="7">
        <f>IF($U80="","",IF(INDEX('Per Invoice'!M$2:M$401,$U80)="","",INDEX('Per Invoice'!M$2:M$401,$U80)))</f>
        <v/>
      </c>
      <c r="N80">
        <f>IF($U80="","",IF(INDEX('Per Invoice'!N$2:N$401,$U80)="","",INDEX('Per Invoice'!N$2:N$401,$U80)))</f>
        <v/>
      </c>
      <c r="O80" s="7">
        <f>IF($U80="","",IF(INDEX('Per Invoice'!O$2:O$401,$U80)="","",INDEX('Per Invoice'!O$2:O$401,$U80)))</f>
        <v/>
      </c>
      <c r="P80" s="7">
        <f>IF($U80="","",IF(INDEX('Per Invoice'!P$2:P$401,$U80)="","",INDEX('Per Invoice'!P$2:P$401,$U80)))</f>
        <v/>
      </c>
      <c r="Q80" s="7">
        <f>IF($U80="","",IF(INDEX('Per Invoice'!Q$2:Q$401,$U80)="","",INDEX('Per Invoice'!Q$2:Q$401,$U80)))</f>
        <v/>
      </c>
      <c r="R80" s="7">
        <f>IF($U80="","",IF(INDEX('Per Invoice'!R$2:R$401,$U80)="","",INDEX('Per Invoice'!R$2:R$401,$U80)))</f>
        <v/>
      </c>
      <c r="S80" s="7">
        <f>IF($U80="","",IF(INDEX('Per Invoice'!S$2:S$401,$U80)="","",INDEX('Per Invoice'!S$2:S$401,$U80)))</f>
        <v/>
      </c>
      <c r="T80" s="7">
        <f>IF($U80="","",IF(INDEX('Per Invoice'!T$2:T$401,$U80)="","",INDEX('Per Invoice'!T$2:T$401,$U80)))</f>
        <v/>
      </c>
      <c r="U80" s="16">
        <f>IFERROR(MATCH(Settings!$C$28&amp;"|"&amp;ROWS($U$2:$U80),'Per Invoice'!$V$2:$V$401,0),"")</f>
        <v/>
      </c>
    </row>
    <row r="81">
      <c r="A81">
        <f>IF($U81="","",IF(INDEX('Per Invoice'!A$2:A$401,$U81)="","",INDEX('Per Invoice'!A$2:A$401,$U81)))</f>
        <v/>
      </c>
      <c r="B81">
        <f>IF($U81="","",IF(INDEX('Per Invoice'!B$2:B$401,$U81)="","",INDEX('Per Invoice'!B$2:B$401,$U81)))</f>
        <v/>
      </c>
      <c r="C81">
        <f>IF($U81="","",IF(INDEX('Per Invoice'!C$2:C$401,$U81)="","",INDEX('Per Invoice'!C$2:C$401,$U81)))</f>
        <v/>
      </c>
      <c r="D81">
        <f>IF($U81="","",IF(INDEX('Per Invoice'!D$2:D$401,$U81)="","",INDEX('Per Invoice'!D$2:D$401,$U81)))</f>
        <v/>
      </c>
      <c r="E81">
        <f>IF($U81="","",IF(INDEX('Per Invoice'!E$2:E$401,$U81)="","",INDEX('Per Invoice'!E$2:E$401,$U81)))</f>
        <v/>
      </c>
      <c r="F81">
        <f>IF($U81="","",IF(INDEX('Per Invoice'!F$2:F$401,$U81)="","",INDEX('Per Invoice'!F$2:F$401,$U81)))</f>
        <v/>
      </c>
      <c r="G81">
        <f>IF($U81="","",IF(INDEX('Per Invoice'!G$2:G$401,$U81)="","",INDEX('Per Invoice'!G$2:G$401,$U81)))</f>
        <v/>
      </c>
      <c r="H81" s="7">
        <f>IF($U81="","",IF(INDEX('Per Invoice'!H$2:H$401,$U81)="","",INDEX('Per Invoice'!H$2:H$401,$U81)))</f>
        <v/>
      </c>
      <c r="I81" s="14">
        <f>IF($U81="","",IF(INDEX('Per Invoice'!I$2:I$401,$U81)="","",INDEX('Per Invoice'!I$2:I$401,$U81)))</f>
        <v/>
      </c>
      <c r="J81">
        <f>IF($U81="","",IF(INDEX('Per Invoice'!J$2:J$401,$U81)="","",INDEX('Per Invoice'!J$2:J$401,$U81)))</f>
        <v/>
      </c>
      <c r="K81">
        <f>IF($U81="","",IF(INDEX('Per Invoice'!K$2:K$401,$U81)="","",INDEX('Per Invoice'!K$2:K$401,$U81)))</f>
        <v/>
      </c>
      <c r="L81" s="7">
        <f>IF($U81="","",IF(INDEX('Per Invoice'!L$2:L$401,$U81)="","",INDEX('Per Invoice'!L$2:L$401,$U81)))</f>
        <v/>
      </c>
      <c r="M81" s="7">
        <f>IF($U81="","",IF(INDEX('Per Invoice'!M$2:M$401,$U81)="","",INDEX('Per Invoice'!M$2:M$401,$U81)))</f>
        <v/>
      </c>
      <c r="N81">
        <f>IF($U81="","",IF(INDEX('Per Invoice'!N$2:N$401,$U81)="","",INDEX('Per Invoice'!N$2:N$401,$U81)))</f>
        <v/>
      </c>
      <c r="O81" s="7">
        <f>IF($U81="","",IF(INDEX('Per Invoice'!O$2:O$401,$U81)="","",INDEX('Per Invoice'!O$2:O$401,$U81)))</f>
        <v/>
      </c>
      <c r="P81" s="7">
        <f>IF($U81="","",IF(INDEX('Per Invoice'!P$2:P$401,$U81)="","",INDEX('Per Invoice'!P$2:P$401,$U81)))</f>
        <v/>
      </c>
      <c r="Q81" s="7">
        <f>IF($U81="","",IF(INDEX('Per Invoice'!Q$2:Q$401,$U81)="","",INDEX('Per Invoice'!Q$2:Q$401,$U81)))</f>
        <v/>
      </c>
      <c r="R81" s="7">
        <f>IF($U81="","",IF(INDEX('Per Invoice'!R$2:R$401,$U81)="","",INDEX('Per Invoice'!R$2:R$401,$U81)))</f>
        <v/>
      </c>
      <c r="S81" s="7">
        <f>IF($U81="","",IF(INDEX('Per Invoice'!S$2:S$401,$U81)="","",INDEX('Per Invoice'!S$2:S$401,$U81)))</f>
        <v/>
      </c>
      <c r="T81" s="7">
        <f>IF($U81="","",IF(INDEX('Per Invoice'!T$2:T$401,$U81)="","",INDEX('Per Invoice'!T$2:T$401,$U81)))</f>
        <v/>
      </c>
      <c r="U81" s="16">
        <f>IFERROR(MATCH(Settings!$C$28&amp;"|"&amp;ROWS($U$2:$U81),'Per Invoice'!$V$2:$V$401,0),"")</f>
        <v/>
      </c>
    </row>
    <row r="82">
      <c r="A82">
        <f>IF($U82="","",IF(INDEX('Per Invoice'!A$2:A$401,$U82)="","",INDEX('Per Invoice'!A$2:A$401,$U82)))</f>
        <v/>
      </c>
      <c r="B82">
        <f>IF($U82="","",IF(INDEX('Per Invoice'!B$2:B$401,$U82)="","",INDEX('Per Invoice'!B$2:B$401,$U82)))</f>
        <v/>
      </c>
      <c r="C82">
        <f>IF($U82="","",IF(INDEX('Per Invoice'!C$2:C$401,$U82)="","",INDEX('Per Invoice'!C$2:C$401,$U82)))</f>
        <v/>
      </c>
      <c r="D82">
        <f>IF($U82="","",IF(INDEX('Per Invoice'!D$2:D$401,$U82)="","",INDEX('Per Invoice'!D$2:D$401,$U82)))</f>
        <v/>
      </c>
      <c r="E82">
        <f>IF($U82="","",IF(INDEX('Per Invoice'!E$2:E$401,$U82)="","",INDEX('Per Invoice'!E$2:E$401,$U82)))</f>
        <v/>
      </c>
      <c r="F82">
        <f>IF($U82="","",IF(INDEX('Per Invoice'!F$2:F$401,$U82)="","",INDEX('Per Invoice'!F$2:F$401,$U82)))</f>
        <v/>
      </c>
      <c r="G82">
        <f>IF($U82="","",IF(INDEX('Per Invoice'!G$2:G$401,$U82)="","",INDEX('Per Invoice'!G$2:G$401,$U82)))</f>
        <v/>
      </c>
      <c r="H82" s="7">
        <f>IF($U82="","",IF(INDEX('Per Invoice'!H$2:H$401,$U82)="","",INDEX('Per Invoice'!H$2:H$401,$U82)))</f>
        <v/>
      </c>
      <c r="I82" s="14">
        <f>IF($U82="","",IF(INDEX('Per Invoice'!I$2:I$401,$U82)="","",INDEX('Per Invoice'!I$2:I$401,$U82)))</f>
        <v/>
      </c>
      <c r="J82">
        <f>IF($U82="","",IF(INDEX('Per Invoice'!J$2:J$401,$U82)="","",INDEX('Per Invoice'!J$2:J$401,$U82)))</f>
        <v/>
      </c>
      <c r="K82">
        <f>IF($U82="","",IF(INDEX('Per Invoice'!K$2:K$401,$U82)="","",INDEX('Per Invoice'!K$2:K$401,$U82)))</f>
        <v/>
      </c>
      <c r="L82" s="7">
        <f>IF($U82="","",IF(INDEX('Per Invoice'!L$2:L$401,$U82)="","",INDEX('Per Invoice'!L$2:L$401,$U82)))</f>
        <v/>
      </c>
      <c r="M82" s="7">
        <f>IF($U82="","",IF(INDEX('Per Invoice'!M$2:M$401,$U82)="","",INDEX('Per Invoice'!M$2:M$401,$U82)))</f>
        <v/>
      </c>
      <c r="N82">
        <f>IF($U82="","",IF(INDEX('Per Invoice'!N$2:N$401,$U82)="","",INDEX('Per Invoice'!N$2:N$401,$U82)))</f>
        <v/>
      </c>
      <c r="O82" s="7">
        <f>IF($U82="","",IF(INDEX('Per Invoice'!O$2:O$401,$U82)="","",INDEX('Per Invoice'!O$2:O$401,$U82)))</f>
        <v/>
      </c>
      <c r="P82" s="7">
        <f>IF($U82="","",IF(INDEX('Per Invoice'!P$2:P$401,$U82)="","",INDEX('Per Invoice'!P$2:P$401,$U82)))</f>
        <v/>
      </c>
      <c r="Q82" s="7">
        <f>IF($U82="","",IF(INDEX('Per Invoice'!Q$2:Q$401,$U82)="","",INDEX('Per Invoice'!Q$2:Q$401,$U82)))</f>
        <v/>
      </c>
      <c r="R82" s="7">
        <f>IF($U82="","",IF(INDEX('Per Invoice'!R$2:R$401,$U82)="","",INDEX('Per Invoice'!R$2:R$401,$U82)))</f>
        <v/>
      </c>
      <c r="S82" s="7">
        <f>IF($U82="","",IF(INDEX('Per Invoice'!S$2:S$401,$U82)="","",INDEX('Per Invoice'!S$2:S$401,$U82)))</f>
        <v/>
      </c>
      <c r="T82" s="7">
        <f>IF($U82="","",IF(INDEX('Per Invoice'!T$2:T$401,$U82)="","",INDEX('Per Invoice'!T$2:T$401,$U82)))</f>
        <v/>
      </c>
      <c r="U82" s="16">
        <f>IFERROR(MATCH(Settings!$C$28&amp;"|"&amp;ROWS($U$2:$U82),'Per Invoice'!$V$2:$V$401,0),"")</f>
        <v/>
      </c>
    </row>
    <row r="83">
      <c r="A83">
        <f>IF($U83="","",IF(INDEX('Per Invoice'!A$2:A$401,$U83)="","",INDEX('Per Invoice'!A$2:A$401,$U83)))</f>
        <v/>
      </c>
      <c r="B83">
        <f>IF($U83="","",IF(INDEX('Per Invoice'!B$2:B$401,$U83)="","",INDEX('Per Invoice'!B$2:B$401,$U83)))</f>
        <v/>
      </c>
      <c r="C83">
        <f>IF($U83="","",IF(INDEX('Per Invoice'!C$2:C$401,$U83)="","",INDEX('Per Invoice'!C$2:C$401,$U83)))</f>
        <v/>
      </c>
      <c r="D83">
        <f>IF($U83="","",IF(INDEX('Per Invoice'!D$2:D$401,$U83)="","",INDEX('Per Invoice'!D$2:D$401,$U83)))</f>
        <v/>
      </c>
      <c r="E83">
        <f>IF($U83="","",IF(INDEX('Per Invoice'!E$2:E$401,$U83)="","",INDEX('Per Invoice'!E$2:E$401,$U83)))</f>
        <v/>
      </c>
      <c r="F83">
        <f>IF($U83="","",IF(INDEX('Per Invoice'!F$2:F$401,$U83)="","",INDEX('Per Invoice'!F$2:F$401,$U83)))</f>
        <v/>
      </c>
      <c r="G83">
        <f>IF($U83="","",IF(INDEX('Per Invoice'!G$2:G$401,$U83)="","",INDEX('Per Invoice'!G$2:G$401,$U83)))</f>
        <v/>
      </c>
      <c r="H83" s="7">
        <f>IF($U83="","",IF(INDEX('Per Invoice'!H$2:H$401,$U83)="","",INDEX('Per Invoice'!H$2:H$401,$U83)))</f>
        <v/>
      </c>
      <c r="I83" s="14">
        <f>IF($U83="","",IF(INDEX('Per Invoice'!I$2:I$401,$U83)="","",INDEX('Per Invoice'!I$2:I$401,$U83)))</f>
        <v/>
      </c>
      <c r="J83">
        <f>IF($U83="","",IF(INDEX('Per Invoice'!J$2:J$401,$U83)="","",INDEX('Per Invoice'!J$2:J$401,$U83)))</f>
        <v/>
      </c>
      <c r="K83">
        <f>IF($U83="","",IF(INDEX('Per Invoice'!K$2:K$401,$U83)="","",INDEX('Per Invoice'!K$2:K$401,$U83)))</f>
        <v/>
      </c>
      <c r="L83" s="7">
        <f>IF($U83="","",IF(INDEX('Per Invoice'!L$2:L$401,$U83)="","",INDEX('Per Invoice'!L$2:L$401,$U83)))</f>
        <v/>
      </c>
      <c r="M83" s="7">
        <f>IF($U83="","",IF(INDEX('Per Invoice'!M$2:M$401,$U83)="","",INDEX('Per Invoice'!M$2:M$401,$U83)))</f>
        <v/>
      </c>
      <c r="N83">
        <f>IF($U83="","",IF(INDEX('Per Invoice'!N$2:N$401,$U83)="","",INDEX('Per Invoice'!N$2:N$401,$U83)))</f>
        <v/>
      </c>
      <c r="O83" s="7">
        <f>IF($U83="","",IF(INDEX('Per Invoice'!O$2:O$401,$U83)="","",INDEX('Per Invoice'!O$2:O$401,$U83)))</f>
        <v/>
      </c>
      <c r="P83" s="7">
        <f>IF($U83="","",IF(INDEX('Per Invoice'!P$2:P$401,$U83)="","",INDEX('Per Invoice'!P$2:P$401,$U83)))</f>
        <v/>
      </c>
      <c r="Q83" s="7">
        <f>IF($U83="","",IF(INDEX('Per Invoice'!Q$2:Q$401,$U83)="","",INDEX('Per Invoice'!Q$2:Q$401,$U83)))</f>
        <v/>
      </c>
      <c r="R83" s="7">
        <f>IF($U83="","",IF(INDEX('Per Invoice'!R$2:R$401,$U83)="","",INDEX('Per Invoice'!R$2:R$401,$U83)))</f>
        <v/>
      </c>
      <c r="S83" s="7">
        <f>IF($U83="","",IF(INDEX('Per Invoice'!S$2:S$401,$U83)="","",INDEX('Per Invoice'!S$2:S$401,$U83)))</f>
        <v/>
      </c>
      <c r="T83" s="7">
        <f>IF($U83="","",IF(INDEX('Per Invoice'!T$2:T$401,$U83)="","",INDEX('Per Invoice'!T$2:T$401,$U83)))</f>
        <v/>
      </c>
      <c r="U83" s="16">
        <f>IFERROR(MATCH(Settings!$C$28&amp;"|"&amp;ROWS($U$2:$U83),'Per Invoice'!$V$2:$V$401,0),"")</f>
        <v/>
      </c>
    </row>
    <row r="84">
      <c r="A84">
        <f>IF($U84="","",IF(INDEX('Per Invoice'!A$2:A$401,$U84)="","",INDEX('Per Invoice'!A$2:A$401,$U84)))</f>
        <v/>
      </c>
      <c r="B84">
        <f>IF($U84="","",IF(INDEX('Per Invoice'!B$2:B$401,$U84)="","",INDEX('Per Invoice'!B$2:B$401,$U84)))</f>
        <v/>
      </c>
      <c r="C84">
        <f>IF($U84="","",IF(INDEX('Per Invoice'!C$2:C$401,$U84)="","",INDEX('Per Invoice'!C$2:C$401,$U84)))</f>
        <v/>
      </c>
      <c r="D84">
        <f>IF($U84="","",IF(INDEX('Per Invoice'!D$2:D$401,$U84)="","",INDEX('Per Invoice'!D$2:D$401,$U84)))</f>
        <v/>
      </c>
      <c r="E84">
        <f>IF($U84="","",IF(INDEX('Per Invoice'!E$2:E$401,$U84)="","",INDEX('Per Invoice'!E$2:E$401,$U84)))</f>
        <v/>
      </c>
      <c r="F84">
        <f>IF($U84="","",IF(INDEX('Per Invoice'!F$2:F$401,$U84)="","",INDEX('Per Invoice'!F$2:F$401,$U84)))</f>
        <v/>
      </c>
      <c r="G84">
        <f>IF($U84="","",IF(INDEX('Per Invoice'!G$2:G$401,$U84)="","",INDEX('Per Invoice'!G$2:G$401,$U84)))</f>
        <v/>
      </c>
      <c r="H84" s="7">
        <f>IF($U84="","",IF(INDEX('Per Invoice'!H$2:H$401,$U84)="","",INDEX('Per Invoice'!H$2:H$401,$U84)))</f>
        <v/>
      </c>
      <c r="I84" s="14">
        <f>IF($U84="","",IF(INDEX('Per Invoice'!I$2:I$401,$U84)="","",INDEX('Per Invoice'!I$2:I$401,$U84)))</f>
        <v/>
      </c>
      <c r="J84">
        <f>IF($U84="","",IF(INDEX('Per Invoice'!J$2:J$401,$U84)="","",INDEX('Per Invoice'!J$2:J$401,$U84)))</f>
        <v/>
      </c>
      <c r="K84">
        <f>IF($U84="","",IF(INDEX('Per Invoice'!K$2:K$401,$U84)="","",INDEX('Per Invoice'!K$2:K$401,$U84)))</f>
        <v/>
      </c>
      <c r="L84" s="7">
        <f>IF($U84="","",IF(INDEX('Per Invoice'!L$2:L$401,$U84)="","",INDEX('Per Invoice'!L$2:L$401,$U84)))</f>
        <v/>
      </c>
      <c r="M84" s="7">
        <f>IF($U84="","",IF(INDEX('Per Invoice'!M$2:M$401,$U84)="","",INDEX('Per Invoice'!M$2:M$401,$U84)))</f>
        <v/>
      </c>
      <c r="N84">
        <f>IF($U84="","",IF(INDEX('Per Invoice'!N$2:N$401,$U84)="","",INDEX('Per Invoice'!N$2:N$401,$U84)))</f>
        <v/>
      </c>
      <c r="O84" s="7">
        <f>IF($U84="","",IF(INDEX('Per Invoice'!O$2:O$401,$U84)="","",INDEX('Per Invoice'!O$2:O$401,$U84)))</f>
        <v/>
      </c>
      <c r="P84" s="7">
        <f>IF($U84="","",IF(INDEX('Per Invoice'!P$2:P$401,$U84)="","",INDEX('Per Invoice'!P$2:P$401,$U84)))</f>
        <v/>
      </c>
      <c r="Q84" s="7">
        <f>IF($U84="","",IF(INDEX('Per Invoice'!Q$2:Q$401,$U84)="","",INDEX('Per Invoice'!Q$2:Q$401,$U84)))</f>
        <v/>
      </c>
      <c r="R84" s="7">
        <f>IF($U84="","",IF(INDEX('Per Invoice'!R$2:R$401,$U84)="","",INDEX('Per Invoice'!R$2:R$401,$U84)))</f>
        <v/>
      </c>
      <c r="S84" s="7">
        <f>IF($U84="","",IF(INDEX('Per Invoice'!S$2:S$401,$U84)="","",INDEX('Per Invoice'!S$2:S$401,$U84)))</f>
        <v/>
      </c>
      <c r="T84" s="7">
        <f>IF($U84="","",IF(INDEX('Per Invoice'!T$2:T$401,$U84)="","",INDEX('Per Invoice'!T$2:T$401,$U84)))</f>
        <v/>
      </c>
      <c r="U84" s="16">
        <f>IFERROR(MATCH(Settings!$C$28&amp;"|"&amp;ROWS($U$2:$U84),'Per Invoice'!$V$2:$V$401,0),"")</f>
        <v/>
      </c>
    </row>
    <row r="85">
      <c r="A85">
        <f>IF($U85="","",IF(INDEX('Per Invoice'!A$2:A$401,$U85)="","",INDEX('Per Invoice'!A$2:A$401,$U85)))</f>
        <v/>
      </c>
      <c r="B85">
        <f>IF($U85="","",IF(INDEX('Per Invoice'!B$2:B$401,$U85)="","",INDEX('Per Invoice'!B$2:B$401,$U85)))</f>
        <v/>
      </c>
      <c r="C85">
        <f>IF($U85="","",IF(INDEX('Per Invoice'!C$2:C$401,$U85)="","",INDEX('Per Invoice'!C$2:C$401,$U85)))</f>
        <v/>
      </c>
      <c r="D85">
        <f>IF($U85="","",IF(INDEX('Per Invoice'!D$2:D$401,$U85)="","",INDEX('Per Invoice'!D$2:D$401,$U85)))</f>
        <v/>
      </c>
      <c r="E85">
        <f>IF($U85="","",IF(INDEX('Per Invoice'!E$2:E$401,$U85)="","",INDEX('Per Invoice'!E$2:E$401,$U85)))</f>
        <v/>
      </c>
      <c r="F85">
        <f>IF($U85="","",IF(INDEX('Per Invoice'!F$2:F$401,$U85)="","",INDEX('Per Invoice'!F$2:F$401,$U85)))</f>
        <v/>
      </c>
      <c r="G85">
        <f>IF($U85="","",IF(INDEX('Per Invoice'!G$2:G$401,$U85)="","",INDEX('Per Invoice'!G$2:G$401,$U85)))</f>
        <v/>
      </c>
      <c r="H85" s="7">
        <f>IF($U85="","",IF(INDEX('Per Invoice'!H$2:H$401,$U85)="","",INDEX('Per Invoice'!H$2:H$401,$U85)))</f>
        <v/>
      </c>
      <c r="I85" s="14">
        <f>IF($U85="","",IF(INDEX('Per Invoice'!I$2:I$401,$U85)="","",INDEX('Per Invoice'!I$2:I$401,$U85)))</f>
        <v/>
      </c>
      <c r="J85">
        <f>IF($U85="","",IF(INDEX('Per Invoice'!J$2:J$401,$U85)="","",INDEX('Per Invoice'!J$2:J$401,$U85)))</f>
        <v/>
      </c>
      <c r="K85">
        <f>IF($U85="","",IF(INDEX('Per Invoice'!K$2:K$401,$U85)="","",INDEX('Per Invoice'!K$2:K$401,$U85)))</f>
        <v/>
      </c>
      <c r="L85" s="7">
        <f>IF($U85="","",IF(INDEX('Per Invoice'!L$2:L$401,$U85)="","",INDEX('Per Invoice'!L$2:L$401,$U85)))</f>
        <v/>
      </c>
      <c r="M85" s="7">
        <f>IF($U85="","",IF(INDEX('Per Invoice'!M$2:M$401,$U85)="","",INDEX('Per Invoice'!M$2:M$401,$U85)))</f>
        <v/>
      </c>
      <c r="N85">
        <f>IF($U85="","",IF(INDEX('Per Invoice'!N$2:N$401,$U85)="","",INDEX('Per Invoice'!N$2:N$401,$U85)))</f>
        <v/>
      </c>
      <c r="O85" s="7">
        <f>IF($U85="","",IF(INDEX('Per Invoice'!O$2:O$401,$U85)="","",INDEX('Per Invoice'!O$2:O$401,$U85)))</f>
        <v/>
      </c>
      <c r="P85" s="7">
        <f>IF($U85="","",IF(INDEX('Per Invoice'!P$2:P$401,$U85)="","",INDEX('Per Invoice'!P$2:P$401,$U85)))</f>
        <v/>
      </c>
      <c r="Q85" s="7">
        <f>IF($U85="","",IF(INDEX('Per Invoice'!Q$2:Q$401,$U85)="","",INDEX('Per Invoice'!Q$2:Q$401,$U85)))</f>
        <v/>
      </c>
      <c r="R85" s="7">
        <f>IF($U85="","",IF(INDEX('Per Invoice'!R$2:R$401,$U85)="","",INDEX('Per Invoice'!R$2:R$401,$U85)))</f>
        <v/>
      </c>
      <c r="S85" s="7">
        <f>IF($U85="","",IF(INDEX('Per Invoice'!S$2:S$401,$U85)="","",INDEX('Per Invoice'!S$2:S$401,$U85)))</f>
        <v/>
      </c>
      <c r="T85" s="7">
        <f>IF($U85="","",IF(INDEX('Per Invoice'!T$2:T$401,$U85)="","",INDEX('Per Invoice'!T$2:T$401,$U85)))</f>
        <v/>
      </c>
      <c r="U85" s="16">
        <f>IFERROR(MATCH(Settings!$C$28&amp;"|"&amp;ROWS($U$2:$U85),'Per Invoice'!$V$2:$V$401,0),"")</f>
        <v/>
      </c>
    </row>
    <row r="86">
      <c r="A86">
        <f>IF($U86="","",IF(INDEX('Per Invoice'!A$2:A$401,$U86)="","",INDEX('Per Invoice'!A$2:A$401,$U86)))</f>
        <v/>
      </c>
      <c r="B86">
        <f>IF($U86="","",IF(INDEX('Per Invoice'!B$2:B$401,$U86)="","",INDEX('Per Invoice'!B$2:B$401,$U86)))</f>
        <v/>
      </c>
      <c r="C86">
        <f>IF($U86="","",IF(INDEX('Per Invoice'!C$2:C$401,$U86)="","",INDEX('Per Invoice'!C$2:C$401,$U86)))</f>
        <v/>
      </c>
      <c r="D86">
        <f>IF($U86="","",IF(INDEX('Per Invoice'!D$2:D$401,$U86)="","",INDEX('Per Invoice'!D$2:D$401,$U86)))</f>
        <v/>
      </c>
      <c r="E86">
        <f>IF($U86="","",IF(INDEX('Per Invoice'!E$2:E$401,$U86)="","",INDEX('Per Invoice'!E$2:E$401,$U86)))</f>
        <v/>
      </c>
      <c r="F86">
        <f>IF($U86="","",IF(INDEX('Per Invoice'!F$2:F$401,$U86)="","",INDEX('Per Invoice'!F$2:F$401,$U86)))</f>
        <v/>
      </c>
      <c r="G86">
        <f>IF($U86="","",IF(INDEX('Per Invoice'!G$2:G$401,$U86)="","",INDEX('Per Invoice'!G$2:G$401,$U86)))</f>
        <v/>
      </c>
      <c r="H86" s="7">
        <f>IF($U86="","",IF(INDEX('Per Invoice'!H$2:H$401,$U86)="","",INDEX('Per Invoice'!H$2:H$401,$U86)))</f>
        <v/>
      </c>
      <c r="I86" s="14">
        <f>IF($U86="","",IF(INDEX('Per Invoice'!I$2:I$401,$U86)="","",INDEX('Per Invoice'!I$2:I$401,$U86)))</f>
        <v/>
      </c>
      <c r="J86">
        <f>IF($U86="","",IF(INDEX('Per Invoice'!J$2:J$401,$U86)="","",INDEX('Per Invoice'!J$2:J$401,$U86)))</f>
        <v/>
      </c>
      <c r="K86">
        <f>IF($U86="","",IF(INDEX('Per Invoice'!K$2:K$401,$U86)="","",INDEX('Per Invoice'!K$2:K$401,$U86)))</f>
        <v/>
      </c>
      <c r="L86" s="7">
        <f>IF($U86="","",IF(INDEX('Per Invoice'!L$2:L$401,$U86)="","",INDEX('Per Invoice'!L$2:L$401,$U86)))</f>
        <v/>
      </c>
      <c r="M86" s="7">
        <f>IF($U86="","",IF(INDEX('Per Invoice'!M$2:M$401,$U86)="","",INDEX('Per Invoice'!M$2:M$401,$U86)))</f>
        <v/>
      </c>
      <c r="N86">
        <f>IF($U86="","",IF(INDEX('Per Invoice'!N$2:N$401,$U86)="","",INDEX('Per Invoice'!N$2:N$401,$U86)))</f>
        <v/>
      </c>
      <c r="O86" s="7">
        <f>IF($U86="","",IF(INDEX('Per Invoice'!O$2:O$401,$U86)="","",INDEX('Per Invoice'!O$2:O$401,$U86)))</f>
        <v/>
      </c>
      <c r="P86" s="7">
        <f>IF($U86="","",IF(INDEX('Per Invoice'!P$2:P$401,$U86)="","",INDEX('Per Invoice'!P$2:P$401,$U86)))</f>
        <v/>
      </c>
      <c r="Q86" s="7">
        <f>IF($U86="","",IF(INDEX('Per Invoice'!Q$2:Q$401,$U86)="","",INDEX('Per Invoice'!Q$2:Q$401,$U86)))</f>
        <v/>
      </c>
      <c r="R86" s="7">
        <f>IF($U86="","",IF(INDEX('Per Invoice'!R$2:R$401,$U86)="","",INDEX('Per Invoice'!R$2:R$401,$U86)))</f>
        <v/>
      </c>
      <c r="S86" s="7">
        <f>IF($U86="","",IF(INDEX('Per Invoice'!S$2:S$401,$U86)="","",INDEX('Per Invoice'!S$2:S$401,$U86)))</f>
        <v/>
      </c>
      <c r="T86" s="7">
        <f>IF($U86="","",IF(INDEX('Per Invoice'!T$2:T$401,$U86)="","",INDEX('Per Invoice'!T$2:T$401,$U86)))</f>
        <v/>
      </c>
      <c r="U86" s="16">
        <f>IFERROR(MATCH(Settings!$C$28&amp;"|"&amp;ROWS($U$2:$U86),'Per Invoice'!$V$2:$V$401,0),"")</f>
        <v/>
      </c>
    </row>
    <row r="87">
      <c r="A87">
        <f>IF($U87="","",IF(INDEX('Per Invoice'!A$2:A$401,$U87)="","",INDEX('Per Invoice'!A$2:A$401,$U87)))</f>
        <v/>
      </c>
      <c r="B87">
        <f>IF($U87="","",IF(INDEX('Per Invoice'!B$2:B$401,$U87)="","",INDEX('Per Invoice'!B$2:B$401,$U87)))</f>
        <v/>
      </c>
      <c r="C87">
        <f>IF($U87="","",IF(INDEX('Per Invoice'!C$2:C$401,$U87)="","",INDEX('Per Invoice'!C$2:C$401,$U87)))</f>
        <v/>
      </c>
      <c r="D87">
        <f>IF($U87="","",IF(INDEX('Per Invoice'!D$2:D$401,$U87)="","",INDEX('Per Invoice'!D$2:D$401,$U87)))</f>
        <v/>
      </c>
      <c r="E87">
        <f>IF($U87="","",IF(INDEX('Per Invoice'!E$2:E$401,$U87)="","",INDEX('Per Invoice'!E$2:E$401,$U87)))</f>
        <v/>
      </c>
      <c r="F87">
        <f>IF($U87="","",IF(INDEX('Per Invoice'!F$2:F$401,$U87)="","",INDEX('Per Invoice'!F$2:F$401,$U87)))</f>
        <v/>
      </c>
      <c r="G87">
        <f>IF($U87="","",IF(INDEX('Per Invoice'!G$2:G$401,$U87)="","",INDEX('Per Invoice'!G$2:G$401,$U87)))</f>
        <v/>
      </c>
      <c r="H87" s="7">
        <f>IF($U87="","",IF(INDEX('Per Invoice'!H$2:H$401,$U87)="","",INDEX('Per Invoice'!H$2:H$401,$U87)))</f>
        <v/>
      </c>
      <c r="I87" s="14">
        <f>IF($U87="","",IF(INDEX('Per Invoice'!I$2:I$401,$U87)="","",INDEX('Per Invoice'!I$2:I$401,$U87)))</f>
        <v/>
      </c>
      <c r="J87">
        <f>IF($U87="","",IF(INDEX('Per Invoice'!J$2:J$401,$U87)="","",INDEX('Per Invoice'!J$2:J$401,$U87)))</f>
        <v/>
      </c>
      <c r="K87">
        <f>IF($U87="","",IF(INDEX('Per Invoice'!K$2:K$401,$U87)="","",INDEX('Per Invoice'!K$2:K$401,$U87)))</f>
        <v/>
      </c>
      <c r="L87" s="7">
        <f>IF($U87="","",IF(INDEX('Per Invoice'!L$2:L$401,$U87)="","",INDEX('Per Invoice'!L$2:L$401,$U87)))</f>
        <v/>
      </c>
      <c r="M87" s="7">
        <f>IF($U87="","",IF(INDEX('Per Invoice'!M$2:M$401,$U87)="","",INDEX('Per Invoice'!M$2:M$401,$U87)))</f>
        <v/>
      </c>
      <c r="N87">
        <f>IF($U87="","",IF(INDEX('Per Invoice'!N$2:N$401,$U87)="","",INDEX('Per Invoice'!N$2:N$401,$U87)))</f>
        <v/>
      </c>
      <c r="O87" s="7">
        <f>IF($U87="","",IF(INDEX('Per Invoice'!O$2:O$401,$U87)="","",INDEX('Per Invoice'!O$2:O$401,$U87)))</f>
        <v/>
      </c>
      <c r="P87" s="7">
        <f>IF($U87="","",IF(INDEX('Per Invoice'!P$2:P$401,$U87)="","",INDEX('Per Invoice'!P$2:P$401,$U87)))</f>
        <v/>
      </c>
      <c r="Q87" s="7">
        <f>IF($U87="","",IF(INDEX('Per Invoice'!Q$2:Q$401,$U87)="","",INDEX('Per Invoice'!Q$2:Q$401,$U87)))</f>
        <v/>
      </c>
      <c r="R87" s="7">
        <f>IF($U87="","",IF(INDEX('Per Invoice'!R$2:R$401,$U87)="","",INDEX('Per Invoice'!R$2:R$401,$U87)))</f>
        <v/>
      </c>
      <c r="S87" s="7">
        <f>IF($U87="","",IF(INDEX('Per Invoice'!S$2:S$401,$U87)="","",INDEX('Per Invoice'!S$2:S$401,$U87)))</f>
        <v/>
      </c>
      <c r="T87" s="7">
        <f>IF($U87="","",IF(INDEX('Per Invoice'!T$2:T$401,$U87)="","",INDEX('Per Invoice'!T$2:T$401,$U87)))</f>
        <v/>
      </c>
      <c r="U87" s="16">
        <f>IFERROR(MATCH(Settings!$C$28&amp;"|"&amp;ROWS($U$2:$U87),'Per Invoice'!$V$2:$V$401,0),"")</f>
        <v/>
      </c>
    </row>
    <row r="88">
      <c r="A88">
        <f>IF($U88="","",IF(INDEX('Per Invoice'!A$2:A$401,$U88)="","",INDEX('Per Invoice'!A$2:A$401,$U88)))</f>
        <v/>
      </c>
      <c r="B88">
        <f>IF($U88="","",IF(INDEX('Per Invoice'!B$2:B$401,$U88)="","",INDEX('Per Invoice'!B$2:B$401,$U88)))</f>
        <v/>
      </c>
      <c r="C88">
        <f>IF($U88="","",IF(INDEX('Per Invoice'!C$2:C$401,$U88)="","",INDEX('Per Invoice'!C$2:C$401,$U88)))</f>
        <v/>
      </c>
      <c r="D88">
        <f>IF($U88="","",IF(INDEX('Per Invoice'!D$2:D$401,$U88)="","",INDEX('Per Invoice'!D$2:D$401,$U88)))</f>
        <v/>
      </c>
      <c r="E88">
        <f>IF($U88="","",IF(INDEX('Per Invoice'!E$2:E$401,$U88)="","",INDEX('Per Invoice'!E$2:E$401,$U88)))</f>
        <v/>
      </c>
      <c r="F88">
        <f>IF($U88="","",IF(INDEX('Per Invoice'!F$2:F$401,$U88)="","",INDEX('Per Invoice'!F$2:F$401,$U88)))</f>
        <v/>
      </c>
      <c r="G88">
        <f>IF($U88="","",IF(INDEX('Per Invoice'!G$2:G$401,$U88)="","",INDEX('Per Invoice'!G$2:G$401,$U88)))</f>
        <v/>
      </c>
      <c r="H88" s="7">
        <f>IF($U88="","",IF(INDEX('Per Invoice'!H$2:H$401,$U88)="","",INDEX('Per Invoice'!H$2:H$401,$U88)))</f>
        <v/>
      </c>
      <c r="I88" s="14">
        <f>IF($U88="","",IF(INDEX('Per Invoice'!I$2:I$401,$U88)="","",INDEX('Per Invoice'!I$2:I$401,$U88)))</f>
        <v/>
      </c>
      <c r="J88">
        <f>IF($U88="","",IF(INDEX('Per Invoice'!J$2:J$401,$U88)="","",INDEX('Per Invoice'!J$2:J$401,$U88)))</f>
        <v/>
      </c>
      <c r="K88">
        <f>IF($U88="","",IF(INDEX('Per Invoice'!K$2:K$401,$U88)="","",INDEX('Per Invoice'!K$2:K$401,$U88)))</f>
        <v/>
      </c>
      <c r="L88" s="7">
        <f>IF($U88="","",IF(INDEX('Per Invoice'!L$2:L$401,$U88)="","",INDEX('Per Invoice'!L$2:L$401,$U88)))</f>
        <v/>
      </c>
      <c r="M88" s="7">
        <f>IF($U88="","",IF(INDEX('Per Invoice'!M$2:M$401,$U88)="","",INDEX('Per Invoice'!M$2:M$401,$U88)))</f>
        <v/>
      </c>
      <c r="N88">
        <f>IF($U88="","",IF(INDEX('Per Invoice'!N$2:N$401,$U88)="","",INDEX('Per Invoice'!N$2:N$401,$U88)))</f>
        <v/>
      </c>
      <c r="O88" s="7">
        <f>IF($U88="","",IF(INDEX('Per Invoice'!O$2:O$401,$U88)="","",INDEX('Per Invoice'!O$2:O$401,$U88)))</f>
        <v/>
      </c>
      <c r="P88" s="7">
        <f>IF($U88="","",IF(INDEX('Per Invoice'!P$2:P$401,$U88)="","",INDEX('Per Invoice'!P$2:P$401,$U88)))</f>
        <v/>
      </c>
      <c r="Q88" s="7">
        <f>IF($U88="","",IF(INDEX('Per Invoice'!Q$2:Q$401,$U88)="","",INDEX('Per Invoice'!Q$2:Q$401,$U88)))</f>
        <v/>
      </c>
      <c r="R88" s="7">
        <f>IF($U88="","",IF(INDEX('Per Invoice'!R$2:R$401,$U88)="","",INDEX('Per Invoice'!R$2:R$401,$U88)))</f>
        <v/>
      </c>
      <c r="S88" s="7">
        <f>IF($U88="","",IF(INDEX('Per Invoice'!S$2:S$401,$U88)="","",INDEX('Per Invoice'!S$2:S$401,$U88)))</f>
        <v/>
      </c>
      <c r="T88" s="7">
        <f>IF($U88="","",IF(INDEX('Per Invoice'!T$2:T$401,$U88)="","",INDEX('Per Invoice'!T$2:T$401,$U88)))</f>
        <v/>
      </c>
      <c r="U88" s="16">
        <f>IFERROR(MATCH(Settings!$C$28&amp;"|"&amp;ROWS($U$2:$U88),'Per Invoice'!$V$2:$V$401,0),"")</f>
        <v/>
      </c>
    </row>
    <row r="89">
      <c r="A89">
        <f>IF($U89="","",IF(INDEX('Per Invoice'!A$2:A$401,$U89)="","",INDEX('Per Invoice'!A$2:A$401,$U89)))</f>
        <v/>
      </c>
      <c r="B89">
        <f>IF($U89="","",IF(INDEX('Per Invoice'!B$2:B$401,$U89)="","",INDEX('Per Invoice'!B$2:B$401,$U89)))</f>
        <v/>
      </c>
      <c r="C89">
        <f>IF($U89="","",IF(INDEX('Per Invoice'!C$2:C$401,$U89)="","",INDEX('Per Invoice'!C$2:C$401,$U89)))</f>
        <v/>
      </c>
      <c r="D89">
        <f>IF($U89="","",IF(INDEX('Per Invoice'!D$2:D$401,$U89)="","",INDEX('Per Invoice'!D$2:D$401,$U89)))</f>
        <v/>
      </c>
      <c r="E89">
        <f>IF($U89="","",IF(INDEX('Per Invoice'!E$2:E$401,$U89)="","",INDEX('Per Invoice'!E$2:E$401,$U89)))</f>
        <v/>
      </c>
      <c r="F89">
        <f>IF($U89="","",IF(INDEX('Per Invoice'!F$2:F$401,$U89)="","",INDEX('Per Invoice'!F$2:F$401,$U89)))</f>
        <v/>
      </c>
      <c r="G89">
        <f>IF($U89="","",IF(INDEX('Per Invoice'!G$2:G$401,$U89)="","",INDEX('Per Invoice'!G$2:G$401,$U89)))</f>
        <v/>
      </c>
      <c r="H89" s="7">
        <f>IF($U89="","",IF(INDEX('Per Invoice'!H$2:H$401,$U89)="","",INDEX('Per Invoice'!H$2:H$401,$U89)))</f>
        <v/>
      </c>
      <c r="I89" s="14">
        <f>IF($U89="","",IF(INDEX('Per Invoice'!I$2:I$401,$U89)="","",INDEX('Per Invoice'!I$2:I$401,$U89)))</f>
        <v/>
      </c>
      <c r="J89">
        <f>IF($U89="","",IF(INDEX('Per Invoice'!J$2:J$401,$U89)="","",INDEX('Per Invoice'!J$2:J$401,$U89)))</f>
        <v/>
      </c>
      <c r="K89">
        <f>IF($U89="","",IF(INDEX('Per Invoice'!K$2:K$401,$U89)="","",INDEX('Per Invoice'!K$2:K$401,$U89)))</f>
        <v/>
      </c>
      <c r="L89" s="7">
        <f>IF($U89="","",IF(INDEX('Per Invoice'!L$2:L$401,$U89)="","",INDEX('Per Invoice'!L$2:L$401,$U89)))</f>
        <v/>
      </c>
      <c r="M89" s="7">
        <f>IF($U89="","",IF(INDEX('Per Invoice'!M$2:M$401,$U89)="","",INDEX('Per Invoice'!M$2:M$401,$U89)))</f>
        <v/>
      </c>
      <c r="N89">
        <f>IF($U89="","",IF(INDEX('Per Invoice'!N$2:N$401,$U89)="","",INDEX('Per Invoice'!N$2:N$401,$U89)))</f>
        <v/>
      </c>
      <c r="O89" s="7">
        <f>IF($U89="","",IF(INDEX('Per Invoice'!O$2:O$401,$U89)="","",INDEX('Per Invoice'!O$2:O$401,$U89)))</f>
        <v/>
      </c>
      <c r="P89" s="7">
        <f>IF($U89="","",IF(INDEX('Per Invoice'!P$2:P$401,$U89)="","",INDEX('Per Invoice'!P$2:P$401,$U89)))</f>
        <v/>
      </c>
      <c r="Q89" s="7">
        <f>IF($U89="","",IF(INDEX('Per Invoice'!Q$2:Q$401,$U89)="","",INDEX('Per Invoice'!Q$2:Q$401,$U89)))</f>
        <v/>
      </c>
      <c r="R89" s="7">
        <f>IF($U89="","",IF(INDEX('Per Invoice'!R$2:R$401,$U89)="","",INDEX('Per Invoice'!R$2:R$401,$U89)))</f>
        <v/>
      </c>
      <c r="S89" s="7">
        <f>IF($U89="","",IF(INDEX('Per Invoice'!S$2:S$401,$U89)="","",INDEX('Per Invoice'!S$2:S$401,$U89)))</f>
        <v/>
      </c>
      <c r="T89" s="7">
        <f>IF($U89="","",IF(INDEX('Per Invoice'!T$2:T$401,$U89)="","",INDEX('Per Invoice'!T$2:T$401,$U89)))</f>
        <v/>
      </c>
      <c r="U89" s="16">
        <f>IFERROR(MATCH(Settings!$C$28&amp;"|"&amp;ROWS($U$2:$U89),'Per Invoice'!$V$2:$V$401,0),"")</f>
        <v/>
      </c>
    </row>
    <row r="90">
      <c r="A90">
        <f>IF($U90="","",IF(INDEX('Per Invoice'!A$2:A$401,$U90)="","",INDEX('Per Invoice'!A$2:A$401,$U90)))</f>
        <v/>
      </c>
      <c r="B90">
        <f>IF($U90="","",IF(INDEX('Per Invoice'!B$2:B$401,$U90)="","",INDEX('Per Invoice'!B$2:B$401,$U90)))</f>
        <v/>
      </c>
      <c r="C90">
        <f>IF($U90="","",IF(INDEX('Per Invoice'!C$2:C$401,$U90)="","",INDEX('Per Invoice'!C$2:C$401,$U90)))</f>
        <v/>
      </c>
      <c r="D90">
        <f>IF($U90="","",IF(INDEX('Per Invoice'!D$2:D$401,$U90)="","",INDEX('Per Invoice'!D$2:D$401,$U90)))</f>
        <v/>
      </c>
      <c r="E90">
        <f>IF($U90="","",IF(INDEX('Per Invoice'!E$2:E$401,$U90)="","",INDEX('Per Invoice'!E$2:E$401,$U90)))</f>
        <v/>
      </c>
      <c r="F90">
        <f>IF($U90="","",IF(INDEX('Per Invoice'!F$2:F$401,$U90)="","",INDEX('Per Invoice'!F$2:F$401,$U90)))</f>
        <v/>
      </c>
      <c r="G90">
        <f>IF($U90="","",IF(INDEX('Per Invoice'!G$2:G$401,$U90)="","",INDEX('Per Invoice'!G$2:G$401,$U90)))</f>
        <v/>
      </c>
      <c r="H90" s="7">
        <f>IF($U90="","",IF(INDEX('Per Invoice'!H$2:H$401,$U90)="","",INDEX('Per Invoice'!H$2:H$401,$U90)))</f>
        <v/>
      </c>
      <c r="I90" s="14">
        <f>IF($U90="","",IF(INDEX('Per Invoice'!I$2:I$401,$U90)="","",INDEX('Per Invoice'!I$2:I$401,$U90)))</f>
        <v/>
      </c>
      <c r="J90">
        <f>IF($U90="","",IF(INDEX('Per Invoice'!J$2:J$401,$U90)="","",INDEX('Per Invoice'!J$2:J$401,$U90)))</f>
        <v/>
      </c>
      <c r="K90">
        <f>IF($U90="","",IF(INDEX('Per Invoice'!K$2:K$401,$U90)="","",INDEX('Per Invoice'!K$2:K$401,$U90)))</f>
        <v/>
      </c>
      <c r="L90" s="7">
        <f>IF($U90="","",IF(INDEX('Per Invoice'!L$2:L$401,$U90)="","",INDEX('Per Invoice'!L$2:L$401,$U90)))</f>
        <v/>
      </c>
      <c r="M90" s="7">
        <f>IF($U90="","",IF(INDEX('Per Invoice'!M$2:M$401,$U90)="","",INDEX('Per Invoice'!M$2:M$401,$U90)))</f>
        <v/>
      </c>
      <c r="N90">
        <f>IF($U90="","",IF(INDEX('Per Invoice'!N$2:N$401,$U90)="","",INDEX('Per Invoice'!N$2:N$401,$U90)))</f>
        <v/>
      </c>
      <c r="O90" s="7">
        <f>IF($U90="","",IF(INDEX('Per Invoice'!O$2:O$401,$U90)="","",INDEX('Per Invoice'!O$2:O$401,$U90)))</f>
        <v/>
      </c>
      <c r="P90" s="7">
        <f>IF($U90="","",IF(INDEX('Per Invoice'!P$2:P$401,$U90)="","",INDEX('Per Invoice'!P$2:P$401,$U90)))</f>
        <v/>
      </c>
      <c r="Q90" s="7">
        <f>IF($U90="","",IF(INDEX('Per Invoice'!Q$2:Q$401,$U90)="","",INDEX('Per Invoice'!Q$2:Q$401,$U90)))</f>
        <v/>
      </c>
      <c r="R90" s="7">
        <f>IF($U90="","",IF(INDEX('Per Invoice'!R$2:R$401,$U90)="","",INDEX('Per Invoice'!R$2:R$401,$U90)))</f>
        <v/>
      </c>
      <c r="S90" s="7">
        <f>IF($U90="","",IF(INDEX('Per Invoice'!S$2:S$401,$U90)="","",INDEX('Per Invoice'!S$2:S$401,$U90)))</f>
        <v/>
      </c>
      <c r="T90" s="7">
        <f>IF($U90="","",IF(INDEX('Per Invoice'!T$2:T$401,$U90)="","",INDEX('Per Invoice'!T$2:T$401,$U90)))</f>
        <v/>
      </c>
      <c r="U90" s="16">
        <f>IFERROR(MATCH(Settings!$C$28&amp;"|"&amp;ROWS($U$2:$U90),'Per Invoice'!$V$2:$V$401,0),"")</f>
        <v/>
      </c>
    </row>
    <row r="91">
      <c r="A91">
        <f>IF($U91="","",IF(INDEX('Per Invoice'!A$2:A$401,$U91)="","",INDEX('Per Invoice'!A$2:A$401,$U91)))</f>
        <v/>
      </c>
      <c r="B91">
        <f>IF($U91="","",IF(INDEX('Per Invoice'!B$2:B$401,$U91)="","",INDEX('Per Invoice'!B$2:B$401,$U91)))</f>
        <v/>
      </c>
      <c r="C91">
        <f>IF($U91="","",IF(INDEX('Per Invoice'!C$2:C$401,$U91)="","",INDEX('Per Invoice'!C$2:C$401,$U91)))</f>
        <v/>
      </c>
      <c r="D91">
        <f>IF($U91="","",IF(INDEX('Per Invoice'!D$2:D$401,$U91)="","",INDEX('Per Invoice'!D$2:D$401,$U91)))</f>
        <v/>
      </c>
      <c r="E91">
        <f>IF($U91="","",IF(INDEX('Per Invoice'!E$2:E$401,$U91)="","",INDEX('Per Invoice'!E$2:E$401,$U91)))</f>
        <v/>
      </c>
      <c r="F91">
        <f>IF($U91="","",IF(INDEX('Per Invoice'!F$2:F$401,$U91)="","",INDEX('Per Invoice'!F$2:F$401,$U91)))</f>
        <v/>
      </c>
      <c r="G91">
        <f>IF($U91="","",IF(INDEX('Per Invoice'!G$2:G$401,$U91)="","",INDEX('Per Invoice'!G$2:G$401,$U91)))</f>
        <v/>
      </c>
      <c r="H91" s="7">
        <f>IF($U91="","",IF(INDEX('Per Invoice'!H$2:H$401,$U91)="","",INDEX('Per Invoice'!H$2:H$401,$U91)))</f>
        <v/>
      </c>
      <c r="I91" s="14">
        <f>IF($U91="","",IF(INDEX('Per Invoice'!I$2:I$401,$U91)="","",INDEX('Per Invoice'!I$2:I$401,$U91)))</f>
        <v/>
      </c>
      <c r="J91">
        <f>IF($U91="","",IF(INDEX('Per Invoice'!J$2:J$401,$U91)="","",INDEX('Per Invoice'!J$2:J$401,$U91)))</f>
        <v/>
      </c>
      <c r="K91">
        <f>IF($U91="","",IF(INDEX('Per Invoice'!K$2:K$401,$U91)="","",INDEX('Per Invoice'!K$2:K$401,$U91)))</f>
        <v/>
      </c>
      <c r="L91" s="7">
        <f>IF($U91="","",IF(INDEX('Per Invoice'!L$2:L$401,$U91)="","",INDEX('Per Invoice'!L$2:L$401,$U91)))</f>
        <v/>
      </c>
      <c r="M91" s="7">
        <f>IF($U91="","",IF(INDEX('Per Invoice'!M$2:M$401,$U91)="","",INDEX('Per Invoice'!M$2:M$401,$U91)))</f>
        <v/>
      </c>
      <c r="N91">
        <f>IF($U91="","",IF(INDEX('Per Invoice'!N$2:N$401,$U91)="","",INDEX('Per Invoice'!N$2:N$401,$U91)))</f>
        <v/>
      </c>
      <c r="O91" s="7">
        <f>IF($U91="","",IF(INDEX('Per Invoice'!O$2:O$401,$U91)="","",INDEX('Per Invoice'!O$2:O$401,$U91)))</f>
        <v/>
      </c>
      <c r="P91" s="7">
        <f>IF($U91="","",IF(INDEX('Per Invoice'!P$2:P$401,$U91)="","",INDEX('Per Invoice'!P$2:P$401,$U91)))</f>
        <v/>
      </c>
      <c r="Q91" s="7">
        <f>IF($U91="","",IF(INDEX('Per Invoice'!Q$2:Q$401,$U91)="","",INDEX('Per Invoice'!Q$2:Q$401,$U91)))</f>
        <v/>
      </c>
      <c r="R91" s="7">
        <f>IF($U91="","",IF(INDEX('Per Invoice'!R$2:R$401,$U91)="","",INDEX('Per Invoice'!R$2:R$401,$U91)))</f>
        <v/>
      </c>
      <c r="S91" s="7">
        <f>IF($U91="","",IF(INDEX('Per Invoice'!S$2:S$401,$U91)="","",INDEX('Per Invoice'!S$2:S$401,$U91)))</f>
        <v/>
      </c>
      <c r="T91" s="7">
        <f>IF($U91="","",IF(INDEX('Per Invoice'!T$2:T$401,$U91)="","",INDEX('Per Invoice'!T$2:T$401,$U91)))</f>
        <v/>
      </c>
      <c r="U91" s="16">
        <f>IFERROR(MATCH(Settings!$C$28&amp;"|"&amp;ROWS($U$2:$U91),'Per Invoice'!$V$2:$V$401,0),"")</f>
        <v/>
      </c>
    </row>
    <row r="92">
      <c r="A92">
        <f>IF($U92="","",IF(INDEX('Per Invoice'!A$2:A$401,$U92)="","",INDEX('Per Invoice'!A$2:A$401,$U92)))</f>
        <v/>
      </c>
      <c r="B92">
        <f>IF($U92="","",IF(INDEX('Per Invoice'!B$2:B$401,$U92)="","",INDEX('Per Invoice'!B$2:B$401,$U92)))</f>
        <v/>
      </c>
      <c r="C92">
        <f>IF($U92="","",IF(INDEX('Per Invoice'!C$2:C$401,$U92)="","",INDEX('Per Invoice'!C$2:C$401,$U92)))</f>
        <v/>
      </c>
      <c r="D92">
        <f>IF($U92="","",IF(INDEX('Per Invoice'!D$2:D$401,$U92)="","",INDEX('Per Invoice'!D$2:D$401,$U92)))</f>
        <v/>
      </c>
      <c r="E92">
        <f>IF($U92="","",IF(INDEX('Per Invoice'!E$2:E$401,$U92)="","",INDEX('Per Invoice'!E$2:E$401,$U92)))</f>
        <v/>
      </c>
      <c r="F92">
        <f>IF($U92="","",IF(INDEX('Per Invoice'!F$2:F$401,$U92)="","",INDEX('Per Invoice'!F$2:F$401,$U92)))</f>
        <v/>
      </c>
      <c r="G92">
        <f>IF($U92="","",IF(INDEX('Per Invoice'!G$2:G$401,$U92)="","",INDEX('Per Invoice'!G$2:G$401,$U92)))</f>
        <v/>
      </c>
      <c r="H92" s="7">
        <f>IF($U92="","",IF(INDEX('Per Invoice'!H$2:H$401,$U92)="","",INDEX('Per Invoice'!H$2:H$401,$U92)))</f>
        <v/>
      </c>
      <c r="I92" s="14">
        <f>IF($U92="","",IF(INDEX('Per Invoice'!I$2:I$401,$U92)="","",INDEX('Per Invoice'!I$2:I$401,$U92)))</f>
        <v/>
      </c>
      <c r="J92">
        <f>IF($U92="","",IF(INDEX('Per Invoice'!J$2:J$401,$U92)="","",INDEX('Per Invoice'!J$2:J$401,$U92)))</f>
        <v/>
      </c>
      <c r="K92">
        <f>IF($U92="","",IF(INDEX('Per Invoice'!K$2:K$401,$U92)="","",INDEX('Per Invoice'!K$2:K$401,$U92)))</f>
        <v/>
      </c>
      <c r="L92" s="7">
        <f>IF($U92="","",IF(INDEX('Per Invoice'!L$2:L$401,$U92)="","",INDEX('Per Invoice'!L$2:L$401,$U92)))</f>
        <v/>
      </c>
      <c r="M92" s="7">
        <f>IF($U92="","",IF(INDEX('Per Invoice'!M$2:M$401,$U92)="","",INDEX('Per Invoice'!M$2:M$401,$U92)))</f>
        <v/>
      </c>
      <c r="N92">
        <f>IF($U92="","",IF(INDEX('Per Invoice'!N$2:N$401,$U92)="","",INDEX('Per Invoice'!N$2:N$401,$U92)))</f>
        <v/>
      </c>
      <c r="O92" s="7">
        <f>IF($U92="","",IF(INDEX('Per Invoice'!O$2:O$401,$U92)="","",INDEX('Per Invoice'!O$2:O$401,$U92)))</f>
        <v/>
      </c>
      <c r="P92" s="7">
        <f>IF($U92="","",IF(INDEX('Per Invoice'!P$2:P$401,$U92)="","",INDEX('Per Invoice'!P$2:P$401,$U92)))</f>
        <v/>
      </c>
      <c r="Q92" s="7">
        <f>IF($U92="","",IF(INDEX('Per Invoice'!Q$2:Q$401,$U92)="","",INDEX('Per Invoice'!Q$2:Q$401,$U92)))</f>
        <v/>
      </c>
      <c r="R92" s="7">
        <f>IF($U92="","",IF(INDEX('Per Invoice'!R$2:R$401,$U92)="","",INDEX('Per Invoice'!R$2:R$401,$U92)))</f>
        <v/>
      </c>
      <c r="S92" s="7">
        <f>IF($U92="","",IF(INDEX('Per Invoice'!S$2:S$401,$U92)="","",INDEX('Per Invoice'!S$2:S$401,$U92)))</f>
        <v/>
      </c>
      <c r="T92" s="7">
        <f>IF($U92="","",IF(INDEX('Per Invoice'!T$2:T$401,$U92)="","",INDEX('Per Invoice'!T$2:T$401,$U92)))</f>
        <v/>
      </c>
      <c r="U92" s="16">
        <f>IFERROR(MATCH(Settings!$C$28&amp;"|"&amp;ROWS($U$2:$U92),'Per Invoice'!$V$2:$V$401,0),"")</f>
        <v/>
      </c>
    </row>
    <row r="93">
      <c r="A93">
        <f>IF($U93="","",IF(INDEX('Per Invoice'!A$2:A$401,$U93)="","",INDEX('Per Invoice'!A$2:A$401,$U93)))</f>
        <v/>
      </c>
      <c r="B93">
        <f>IF($U93="","",IF(INDEX('Per Invoice'!B$2:B$401,$U93)="","",INDEX('Per Invoice'!B$2:B$401,$U93)))</f>
        <v/>
      </c>
      <c r="C93">
        <f>IF($U93="","",IF(INDEX('Per Invoice'!C$2:C$401,$U93)="","",INDEX('Per Invoice'!C$2:C$401,$U93)))</f>
        <v/>
      </c>
      <c r="D93">
        <f>IF($U93="","",IF(INDEX('Per Invoice'!D$2:D$401,$U93)="","",INDEX('Per Invoice'!D$2:D$401,$U93)))</f>
        <v/>
      </c>
      <c r="E93">
        <f>IF($U93="","",IF(INDEX('Per Invoice'!E$2:E$401,$U93)="","",INDEX('Per Invoice'!E$2:E$401,$U93)))</f>
        <v/>
      </c>
      <c r="F93">
        <f>IF($U93="","",IF(INDEX('Per Invoice'!F$2:F$401,$U93)="","",INDEX('Per Invoice'!F$2:F$401,$U93)))</f>
        <v/>
      </c>
      <c r="G93">
        <f>IF($U93="","",IF(INDEX('Per Invoice'!G$2:G$401,$U93)="","",INDEX('Per Invoice'!G$2:G$401,$U93)))</f>
        <v/>
      </c>
      <c r="H93" s="7">
        <f>IF($U93="","",IF(INDEX('Per Invoice'!H$2:H$401,$U93)="","",INDEX('Per Invoice'!H$2:H$401,$U93)))</f>
        <v/>
      </c>
      <c r="I93" s="14">
        <f>IF($U93="","",IF(INDEX('Per Invoice'!I$2:I$401,$U93)="","",INDEX('Per Invoice'!I$2:I$401,$U93)))</f>
        <v/>
      </c>
      <c r="J93">
        <f>IF($U93="","",IF(INDEX('Per Invoice'!J$2:J$401,$U93)="","",INDEX('Per Invoice'!J$2:J$401,$U93)))</f>
        <v/>
      </c>
      <c r="K93">
        <f>IF($U93="","",IF(INDEX('Per Invoice'!K$2:K$401,$U93)="","",INDEX('Per Invoice'!K$2:K$401,$U93)))</f>
        <v/>
      </c>
      <c r="L93" s="7">
        <f>IF($U93="","",IF(INDEX('Per Invoice'!L$2:L$401,$U93)="","",INDEX('Per Invoice'!L$2:L$401,$U93)))</f>
        <v/>
      </c>
      <c r="M93" s="7">
        <f>IF($U93="","",IF(INDEX('Per Invoice'!M$2:M$401,$U93)="","",INDEX('Per Invoice'!M$2:M$401,$U93)))</f>
        <v/>
      </c>
      <c r="N93">
        <f>IF($U93="","",IF(INDEX('Per Invoice'!N$2:N$401,$U93)="","",INDEX('Per Invoice'!N$2:N$401,$U93)))</f>
        <v/>
      </c>
      <c r="O93" s="7">
        <f>IF($U93="","",IF(INDEX('Per Invoice'!O$2:O$401,$U93)="","",INDEX('Per Invoice'!O$2:O$401,$U93)))</f>
        <v/>
      </c>
      <c r="P93" s="7">
        <f>IF($U93="","",IF(INDEX('Per Invoice'!P$2:P$401,$U93)="","",INDEX('Per Invoice'!P$2:P$401,$U93)))</f>
        <v/>
      </c>
      <c r="Q93" s="7">
        <f>IF($U93="","",IF(INDEX('Per Invoice'!Q$2:Q$401,$U93)="","",INDEX('Per Invoice'!Q$2:Q$401,$U93)))</f>
        <v/>
      </c>
      <c r="R93" s="7">
        <f>IF($U93="","",IF(INDEX('Per Invoice'!R$2:R$401,$U93)="","",INDEX('Per Invoice'!R$2:R$401,$U93)))</f>
        <v/>
      </c>
      <c r="S93" s="7">
        <f>IF($U93="","",IF(INDEX('Per Invoice'!S$2:S$401,$U93)="","",INDEX('Per Invoice'!S$2:S$401,$U93)))</f>
        <v/>
      </c>
      <c r="T93" s="7">
        <f>IF($U93="","",IF(INDEX('Per Invoice'!T$2:T$401,$U93)="","",INDEX('Per Invoice'!T$2:T$401,$U93)))</f>
        <v/>
      </c>
      <c r="U93" s="16">
        <f>IFERROR(MATCH(Settings!$C$28&amp;"|"&amp;ROWS($U$2:$U93),'Per Invoice'!$V$2:$V$401,0),"")</f>
        <v/>
      </c>
    </row>
    <row r="94">
      <c r="A94">
        <f>IF($U94="","",IF(INDEX('Per Invoice'!A$2:A$401,$U94)="","",INDEX('Per Invoice'!A$2:A$401,$U94)))</f>
        <v/>
      </c>
      <c r="B94">
        <f>IF($U94="","",IF(INDEX('Per Invoice'!B$2:B$401,$U94)="","",INDEX('Per Invoice'!B$2:B$401,$U94)))</f>
        <v/>
      </c>
      <c r="C94">
        <f>IF($U94="","",IF(INDEX('Per Invoice'!C$2:C$401,$U94)="","",INDEX('Per Invoice'!C$2:C$401,$U94)))</f>
        <v/>
      </c>
      <c r="D94">
        <f>IF($U94="","",IF(INDEX('Per Invoice'!D$2:D$401,$U94)="","",INDEX('Per Invoice'!D$2:D$401,$U94)))</f>
        <v/>
      </c>
      <c r="E94">
        <f>IF($U94="","",IF(INDEX('Per Invoice'!E$2:E$401,$U94)="","",INDEX('Per Invoice'!E$2:E$401,$U94)))</f>
        <v/>
      </c>
      <c r="F94">
        <f>IF($U94="","",IF(INDEX('Per Invoice'!F$2:F$401,$U94)="","",INDEX('Per Invoice'!F$2:F$401,$U94)))</f>
        <v/>
      </c>
      <c r="G94">
        <f>IF($U94="","",IF(INDEX('Per Invoice'!G$2:G$401,$U94)="","",INDEX('Per Invoice'!G$2:G$401,$U94)))</f>
        <v/>
      </c>
      <c r="H94" s="7">
        <f>IF($U94="","",IF(INDEX('Per Invoice'!H$2:H$401,$U94)="","",INDEX('Per Invoice'!H$2:H$401,$U94)))</f>
        <v/>
      </c>
      <c r="I94" s="14">
        <f>IF($U94="","",IF(INDEX('Per Invoice'!I$2:I$401,$U94)="","",INDEX('Per Invoice'!I$2:I$401,$U94)))</f>
        <v/>
      </c>
      <c r="J94">
        <f>IF($U94="","",IF(INDEX('Per Invoice'!J$2:J$401,$U94)="","",INDEX('Per Invoice'!J$2:J$401,$U94)))</f>
        <v/>
      </c>
      <c r="K94">
        <f>IF($U94="","",IF(INDEX('Per Invoice'!K$2:K$401,$U94)="","",INDEX('Per Invoice'!K$2:K$401,$U94)))</f>
        <v/>
      </c>
      <c r="L94" s="7">
        <f>IF($U94="","",IF(INDEX('Per Invoice'!L$2:L$401,$U94)="","",INDEX('Per Invoice'!L$2:L$401,$U94)))</f>
        <v/>
      </c>
      <c r="M94" s="7">
        <f>IF($U94="","",IF(INDEX('Per Invoice'!M$2:M$401,$U94)="","",INDEX('Per Invoice'!M$2:M$401,$U94)))</f>
        <v/>
      </c>
      <c r="N94">
        <f>IF($U94="","",IF(INDEX('Per Invoice'!N$2:N$401,$U94)="","",INDEX('Per Invoice'!N$2:N$401,$U94)))</f>
        <v/>
      </c>
      <c r="O94" s="7">
        <f>IF($U94="","",IF(INDEX('Per Invoice'!O$2:O$401,$U94)="","",INDEX('Per Invoice'!O$2:O$401,$U94)))</f>
        <v/>
      </c>
      <c r="P94" s="7">
        <f>IF($U94="","",IF(INDEX('Per Invoice'!P$2:P$401,$U94)="","",INDEX('Per Invoice'!P$2:P$401,$U94)))</f>
        <v/>
      </c>
      <c r="Q94" s="7">
        <f>IF($U94="","",IF(INDEX('Per Invoice'!Q$2:Q$401,$U94)="","",INDEX('Per Invoice'!Q$2:Q$401,$U94)))</f>
        <v/>
      </c>
      <c r="R94" s="7">
        <f>IF($U94="","",IF(INDEX('Per Invoice'!R$2:R$401,$U94)="","",INDEX('Per Invoice'!R$2:R$401,$U94)))</f>
        <v/>
      </c>
      <c r="S94" s="7">
        <f>IF($U94="","",IF(INDEX('Per Invoice'!S$2:S$401,$U94)="","",INDEX('Per Invoice'!S$2:S$401,$U94)))</f>
        <v/>
      </c>
      <c r="T94" s="7">
        <f>IF($U94="","",IF(INDEX('Per Invoice'!T$2:T$401,$U94)="","",INDEX('Per Invoice'!T$2:T$401,$U94)))</f>
        <v/>
      </c>
      <c r="U94" s="16">
        <f>IFERROR(MATCH(Settings!$C$28&amp;"|"&amp;ROWS($U$2:$U94),'Per Invoice'!$V$2:$V$401,0),"")</f>
        <v/>
      </c>
    </row>
    <row r="95">
      <c r="A95">
        <f>IF($U95="","",IF(INDEX('Per Invoice'!A$2:A$401,$U95)="","",INDEX('Per Invoice'!A$2:A$401,$U95)))</f>
        <v/>
      </c>
      <c r="B95">
        <f>IF($U95="","",IF(INDEX('Per Invoice'!B$2:B$401,$U95)="","",INDEX('Per Invoice'!B$2:B$401,$U95)))</f>
        <v/>
      </c>
      <c r="C95">
        <f>IF($U95="","",IF(INDEX('Per Invoice'!C$2:C$401,$U95)="","",INDEX('Per Invoice'!C$2:C$401,$U95)))</f>
        <v/>
      </c>
      <c r="D95">
        <f>IF($U95="","",IF(INDEX('Per Invoice'!D$2:D$401,$U95)="","",INDEX('Per Invoice'!D$2:D$401,$U95)))</f>
        <v/>
      </c>
      <c r="E95">
        <f>IF($U95="","",IF(INDEX('Per Invoice'!E$2:E$401,$U95)="","",INDEX('Per Invoice'!E$2:E$401,$U95)))</f>
        <v/>
      </c>
      <c r="F95">
        <f>IF($U95="","",IF(INDEX('Per Invoice'!F$2:F$401,$U95)="","",INDEX('Per Invoice'!F$2:F$401,$U95)))</f>
        <v/>
      </c>
      <c r="G95">
        <f>IF($U95="","",IF(INDEX('Per Invoice'!G$2:G$401,$U95)="","",INDEX('Per Invoice'!G$2:G$401,$U95)))</f>
        <v/>
      </c>
      <c r="H95" s="7">
        <f>IF($U95="","",IF(INDEX('Per Invoice'!H$2:H$401,$U95)="","",INDEX('Per Invoice'!H$2:H$401,$U95)))</f>
        <v/>
      </c>
      <c r="I95" s="14">
        <f>IF($U95="","",IF(INDEX('Per Invoice'!I$2:I$401,$U95)="","",INDEX('Per Invoice'!I$2:I$401,$U95)))</f>
        <v/>
      </c>
      <c r="J95">
        <f>IF($U95="","",IF(INDEX('Per Invoice'!J$2:J$401,$U95)="","",INDEX('Per Invoice'!J$2:J$401,$U95)))</f>
        <v/>
      </c>
      <c r="K95">
        <f>IF($U95="","",IF(INDEX('Per Invoice'!K$2:K$401,$U95)="","",INDEX('Per Invoice'!K$2:K$401,$U95)))</f>
        <v/>
      </c>
      <c r="L95" s="7">
        <f>IF($U95="","",IF(INDEX('Per Invoice'!L$2:L$401,$U95)="","",INDEX('Per Invoice'!L$2:L$401,$U95)))</f>
        <v/>
      </c>
      <c r="M95" s="7">
        <f>IF($U95="","",IF(INDEX('Per Invoice'!M$2:M$401,$U95)="","",INDEX('Per Invoice'!M$2:M$401,$U95)))</f>
        <v/>
      </c>
      <c r="N95">
        <f>IF($U95="","",IF(INDEX('Per Invoice'!N$2:N$401,$U95)="","",INDEX('Per Invoice'!N$2:N$401,$U95)))</f>
        <v/>
      </c>
      <c r="O95" s="7">
        <f>IF($U95="","",IF(INDEX('Per Invoice'!O$2:O$401,$U95)="","",INDEX('Per Invoice'!O$2:O$401,$U95)))</f>
        <v/>
      </c>
      <c r="P95" s="7">
        <f>IF($U95="","",IF(INDEX('Per Invoice'!P$2:P$401,$U95)="","",INDEX('Per Invoice'!P$2:P$401,$U95)))</f>
        <v/>
      </c>
      <c r="Q95" s="7">
        <f>IF($U95="","",IF(INDEX('Per Invoice'!Q$2:Q$401,$U95)="","",INDEX('Per Invoice'!Q$2:Q$401,$U95)))</f>
        <v/>
      </c>
      <c r="R95" s="7">
        <f>IF($U95="","",IF(INDEX('Per Invoice'!R$2:R$401,$U95)="","",INDEX('Per Invoice'!R$2:R$401,$U95)))</f>
        <v/>
      </c>
      <c r="S95" s="7">
        <f>IF($U95="","",IF(INDEX('Per Invoice'!S$2:S$401,$U95)="","",INDEX('Per Invoice'!S$2:S$401,$U95)))</f>
        <v/>
      </c>
      <c r="T95" s="7">
        <f>IF($U95="","",IF(INDEX('Per Invoice'!T$2:T$401,$U95)="","",INDEX('Per Invoice'!T$2:T$401,$U95)))</f>
        <v/>
      </c>
      <c r="U95" s="16">
        <f>IFERROR(MATCH(Settings!$C$28&amp;"|"&amp;ROWS($U$2:$U95),'Per Invoice'!$V$2:$V$401,0),"")</f>
        <v/>
      </c>
    </row>
    <row r="96">
      <c r="A96">
        <f>IF($U96="","",IF(INDEX('Per Invoice'!A$2:A$401,$U96)="","",INDEX('Per Invoice'!A$2:A$401,$U96)))</f>
        <v/>
      </c>
      <c r="B96">
        <f>IF($U96="","",IF(INDEX('Per Invoice'!B$2:B$401,$U96)="","",INDEX('Per Invoice'!B$2:B$401,$U96)))</f>
        <v/>
      </c>
      <c r="C96">
        <f>IF($U96="","",IF(INDEX('Per Invoice'!C$2:C$401,$U96)="","",INDEX('Per Invoice'!C$2:C$401,$U96)))</f>
        <v/>
      </c>
      <c r="D96">
        <f>IF($U96="","",IF(INDEX('Per Invoice'!D$2:D$401,$U96)="","",INDEX('Per Invoice'!D$2:D$401,$U96)))</f>
        <v/>
      </c>
      <c r="E96">
        <f>IF($U96="","",IF(INDEX('Per Invoice'!E$2:E$401,$U96)="","",INDEX('Per Invoice'!E$2:E$401,$U96)))</f>
        <v/>
      </c>
      <c r="F96">
        <f>IF($U96="","",IF(INDEX('Per Invoice'!F$2:F$401,$U96)="","",INDEX('Per Invoice'!F$2:F$401,$U96)))</f>
        <v/>
      </c>
      <c r="G96">
        <f>IF($U96="","",IF(INDEX('Per Invoice'!G$2:G$401,$U96)="","",INDEX('Per Invoice'!G$2:G$401,$U96)))</f>
        <v/>
      </c>
      <c r="H96" s="7">
        <f>IF($U96="","",IF(INDEX('Per Invoice'!H$2:H$401,$U96)="","",INDEX('Per Invoice'!H$2:H$401,$U96)))</f>
        <v/>
      </c>
      <c r="I96" s="14">
        <f>IF($U96="","",IF(INDEX('Per Invoice'!I$2:I$401,$U96)="","",INDEX('Per Invoice'!I$2:I$401,$U96)))</f>
        <v/>
      </c>
      <c r="J96">
        <f>IF($U96="","",IF(INDEX('Per Invoice'!J$2:J$401,$U96)="","",INDEX('Per Invoice'!J$2:J$401,$U96)))</f>
        <v/>
      </c>
      <c r="K96">
        <f>IF($U96="","",IF(INDEX('Per Invoice'!K$2:K$401,$U96)="","",INDEX('Per Invoice'!K$2:K$401,$U96)))</f>
        <v/>
      </c>
      <c r="L96" s="7">
        <f>IF($U96="","",IF(INDEX('Per Invoice'!L$2:L$401,$U96)="","",INDEX('Per Invoice'!L$2:L$401,$U96)))</f>
        <v/>
      </c>
      <c r="M96" s="7">
        <f>IF($U96="","",IF(INDEX('Per Invoice'!M$2:M$401,$U96)="","",INDEX('Per Invoice'!M$2:M$401,$U96)))</f>
        <v/>
      </c>
      <c r="N96">
        <f>IF($U96="","",IF(INDEX('Per Invoice'!N$2:N$401,$U96)="","",INDEX('Per Invoice'!N$2:N$401,$U96)))</f>
        <v/>
      </c>
      <c r="O96" s="7">
        <f>IF($U96="","",IF(INDEX('Per Invoice'!O$2:O$401,$U96)="","",INDEX('Per Invoice'!O$2:O$401,$U96)))</f>
        <v/>
      </c>
      <c r="P96" s="7">
        <f>IF($U96="","",IF(INDEX('Per Invoice'!P$2:P$401,$U96)="","",INDEX('Per Invoice'!P$2:P$401,$U96)))</f>
        <v/>
      </c>
      <c r="Q96" s="7">
        <f>IF($U96="","",IF(INDEX('Per Invoice'!Q$2:Q$401,$U96)="","",INDEX('Per Invoice'!Q$2:Q$401,$U96)))</f>
        <v/>
      </c>
      <c r="R96" s="7">
        <f>IF($U96="","",IF(INDEX('Per Invoice'!R$2:R$401,$U96)="","",INDEX('Per Invoice'!R$2:R$401,$U96)))</f>
        <v/>
      </c>
      <c r="S96" s="7">
        <f>IF($U96="","",IF(INDEX('Per Invoice'!S$2:S$401,$U96)="","",INDEX('Per Invoice'!S$2:S$401,$U96)))</f>
        <v/>
      </c>
      <c r="T96" s="7">
        <f>IF($U96="","",IF(INDEX('Per Invoice'!T$2:T$401,$U96)="","",INDEX('Per Invoice'!T$2:T$401,$U96)))</f>
        <v/>
      </c>
      <c r="U96" s="16">
        <f>IFERROR(MATCH(Settings!$C$28&amp;"|"&amp;ROWS($U$2:$U96),'Per Invoice'!$V$2:$V$401,0),"")</f>
        <v/>
      </c>
    </row>
    <row r="97">
      <c r="A97">
        <f>IF($U97="","",IF(INDEX('Per Invoice'!A$2:A$401,$U97)="","",INDEX('Per Invoice'!A$2:A$401,$U97)))</f>
        <v/>
      </c>
      <c r="B97">
        <f>IF($U97="","",IF(INDEX('Per Invoice'!B$2:B$401,$U97)="","",INDEX('Per Invoice'!B$2:B$401,$U97)))</f>
        <v/>
      </c>
      <c r="C97">
        <f>IF($U97="","",IF(INDEX('Per Invoice'!C$2:C$401,$U97)="","",INDEX('Per Invoice'!C$2:C$401,$U97)))</f>
        <v/>
      </c>
      <c r="D97">
        <f>IF($U97="","",IF(INDEX('Per Invoice'!D$2:D$401,$U97)="","",INDEX('Per Invoice'!D$2:D$401,$U97)))</f>
        <v/>
      </c>
      <c r="E97">
        <f>IF($U97="","",IF(INDEX('Per Invoice'!E$2:E$401,$U97)="","",INDEX('Per Invoice'!E$2:E$401,$U97)))</f>
        <v/>
      </c>
      <c r="F97">
        <f>IF($U97="","",IF(INDEX('Per Invoice'!F$2:F$401,$U97)="","",INDEX('Per Invoice'!F$2:F$401,$U97)))</f>
        <v/>
      </c>
      <c r="G97">
        <f>IF($U97="","",IF(INDEX('Per Invoice'!G$2:G$401,$U97)="","",INDEX('Per Invoice'!G$2:G$401,$U97)))</f>
        <v/>
      </c>
      <c r="H97" s="7">
        <f>IF($U97="","",IF(INDEX('Per Invoice'!H$2:H$401,$U97)="","",INDEX('Per Invoice'!H$2:H$401,$U97)))</f>
        <v/>
      </c>
      <c r="I97" s="14">
        <f>IF($U97="","",IF(INDEX('Per Invoice'!I$2:I$401,$U97)="","",INDEX('Per Invoice'!I$2:I$401,$U97)))</f>
        <v/>
      </c>
      <c r="J97">
        <f>IF($U97="","",IF(INDEX('Per Invoice'!J$2:J$401,$U97)="","",INDEX('Per Invoice'!J$2:J$401,$U97)))</f>
        <v/>
      </c>
      <c r="K97">
        <f>IF($U97="","",IF(INDEX('Per Invoice'!K$2:K$401,$U97)="","",INDEX('Per Invoice'!K$2:K$401,$U97)))</f>
        <v/>
      </c>
      <c r="L97" s="7">
        <f>IF($U97="","",IF(INDEX('Per Invoice'!L$2:L$401,$U97)="","",INDEX('Per Invoice'!L$2:L$401,$U97)))</f>
        <v/>
      </c>
      <c r="M97" s="7">
        <f>IF($U97="","",IF(INDEX('Per Invoice'!M$2:M$401,$U97)="","",INDEX('Per Invoice'!M$2:M$401,$U97)))</f>
        <v/>
      </c>
      <c r="N97">
        <f>IF($U97="","",IF(INDEX('Per Invoice'!N$2:N$401,$U97)="","",INDEX('Per Invoice'!N$2:N$401,$U97)))</f>
        <v/>
      </c>
      <c r="O97" s="7">
        <f>IF($U97="","",IF(INDEX('Per Invoice'!O$2:O$401,$U97)="","",INDEX('Per Invoice'!O$2:O$401,$U97)))</f>
        <v/>
      </c>
      <c r="P97" s="7">
        <f>IF($U97="","",IF(INDEX('Per Invoice'!P$2:P$401,$U97)="","",INDEX('Per Invoice'!P$2:P$401,$U97)))</f>
        <v/>
      </c>
      <c r="Q97" s="7">
        <f>IF($U97="","",IF(INDEX('Per Invoice'!Q$2:Q$401,$U97)="","",INDEX('Per Invoice'!Q$2:Q$401,$U97)))</f>
        <v/>
      </c>
      <c r="R97" s="7">
        <f>IF($U97="","",IF(INDEX('Per Invoice'!R$2:R$401,$U97)="","",INDEX('Per Invoice'!R$2:R$401,$U97)))</f>
        <v/>
      </c>
      <c r="S97" s="7">
        <f>IF($U97="","",IF(INDEX('Per Invoice'!S$2:S$401,$U97)="","",INDEX('Per Invoice'!S$2:S$401,$U97)))</f>
        <v/>
      </c>
      <c r="T97" s="7">
        <f>IF($U97="","",IF(INDEX('Per Invoice'!T$2:T$401,$U97)="","",INDEX('Per Invoice'!T$2:T$401,$U97)))</f>
        <v/>
      </c>
      <c r="U97" s="16">
        <f>IFERROR(MATCH(Settings!$C$28&amp;"|"&amp;ROWS($U$2:$U97),'Per Invoice'!$V$2:$V$401,0),"")</f>
        <v/>
      </c>
    </row>
    <row r="98">
      <c r="A98">
        <f>IF($U98="","",IF(INDEX('Per Invoice'!A$2:A$401,$U98)="","",INDEX('Per Invoice'!A$2:A$401,$U98)))</f>
        <v/>
      </c>
      <c r="B98">
        <f>IF($U98="","",IF(INDEX('Per Invoice'!B$2:B$401,$U98)="","",INDEX('Per Invoice'!B$2:B$401,$U98)))</f>
        <v/>
      </c>
      <c r="C98">
        <f>IF($U98="","",IF(INDEX('Per Invoice'!C$2:C$401,$U98)="","",INDEX('Per Invoice'!C$2:C$401,$U98)))</f>
        <v/>
      </c>
      <c r="D98">
        <f>IF($U98="","",IF(INDEX('Per Invoice'!D$2:D$401,$U98)="","",INDEX('Per Invoice'!D$2:D$401,$U98)))</f>
        <v/>
      </c>
      <c r="E98">
        <f>IF($U98="","",IF(INDEX('Per Invoice'!E$2:E$401,$U98)="","",INDEX('Per Invoice'!E$2:E$401,$U98)))</f>
        <v/>
      </c>
      <c r="F98">
        <f>IF($U98="","",IF(INDEX('Per Invoice'!F$2:F$401,$U98)="","",INDEX('Per Invoice'!F$2:F$401,$U98)))</f>
        <v/>
      </c>
      <c r="G98">
        <f>IF($U98="","",IF(INDEX('Per Invoice'!G$2:G$401,$U98)="","",INDEX('Per Invoice'!G$2:G$401,$U98)))</f>
        <v/>
      </c>
      <c r="H98" s="7">
        <f>IF($U98="","",IF(INDEX('Per Invoice'!H$2:H$401,$U98)="","",INDEX('Per Invoice'!H$2:H$401,$U98)))</f>
        <v/>
      </c>
      <c r="I98" s="14">
        <f>IF($U98="","",IF(INDEX('Per Invoice'!I$2:I$401,$U98)="","",INDEX('Per Invoice'!I$2:I$401,$U98)))</f>
        <v/>
      </c>
      <c r="J98">
        <f>IF($U98="","",IF(INDEX('Per Invoice'!J$2:J$401,$U98)="","",INDEX('Per Invoice'!J$2:J$401,$U98)))</f>
        <v/>
      </c>
      <c r="K98">
        <f>IF($U98="","",IF(INDEX('Per Invoice'!K$2:K$401,$U98)="","",INDEX('Per Invoice'!K$2:K$401,$U98)))</f>
        <v/>
      </c>
      <c r="L98" s="7">
        <f>IF($U98="","",IF(INDEX('Per Invoice'!L$2:L$401,$U98)="","",INDEX('Per Invoice'!L$2:L$401,$U98)))</f>
        <v/>
      </c>
      <c r="M98" s="7">
        <f>IF($U98="","",IF(INDEX('Per Invoice'!M$2:M$401,$U98)="","",INDEX('Per Invoice'!M$2:M$401,$U98)))</f>
        <v/>
      </c>
      <c r="N98">
        <f>IF($U98="","",IF(INDEX('Per Invoice'!N$2:N$401,$U98)="","",INDEX('Per Invoice'!N$2:N$401,$U98)))</f>
        <v/>
      </c>
      <c r="O98" s="7">
        <f>IF($U98="","",IF(INDEX('Per Invoice'!O$2:O$401,$U98)="","",INDEX('Per Invoice'!O$2:O$401,$U98)))</f>
        <v/>
      </c>
      <c r="P98" s="7">
        <f>IF($U98="","",IF(INDEX('Per Invoice'!P$2:P$401,$U98)="","",INDEX('Per Invoice'!P$2:P$401,$U98)))</f>
        <v/>
      </c>
      <c r="Q98" s="7">
        <f>IF($U98="","",IF(INDEX('Per Invoice'!Q$2:Q$401,$U98)="","",INDEX('Per Invoice'!Q$2:Q$401,$U98)))</f>
        <v/>
      </c>
      <c r="R98" s="7">
        <f>IF($U98="","",IF(INDEX('Per Invoice'!R$2:R$401,$U98)="","",INDEX('Per Invoice'!R$2:R$401,$U98)))</f>
        <v/>
      </c>
      <c r="S98" s="7">
        <f>IF($U98="","",IF(INDEX('Per Invoice'!S$2:S$401,$U98)="","",INDEX('Per Invoice'!S$2:S$401,$U98)))</f>
        <v/>
      </c>
      <c r="T98" s="7">
        <f>IF($U98="","",IF(INDEX('Per Invoice'!T$2:T$401,$U98)="","",INDEX('Per Invoice'!T$2:T$401,$U98)))</f>
        <v/>
      </c>
      <c r="U98" s="16">
        <f>IFERROR(MATCH(Settings!$C$28&amp;"|"&amp;ROWS($U$2:$U98),'Per Invoice'!$V$2:$V$401,0),"")</f>
        <v/>
      </c>
    </row>
    <row r="99">
      <c r="A99">
        <f>IF($U99="","",IF(INDEX('Per Invoice'!A$2:A$401,$U99)="","",INDEX('Per Invoice'!A$2:A$401,$U99)))</f>
        <v/>
      </c>
      <c r="B99">
        <f>IF($U99="","",IF(INDEX('Per Invoice'!B$2:B$401,$U99)="","",INDEX('Per Invoice'!B$2:B$401,$U99)))</f>
        <v/>
      </c>
      <c r="C99">
        <f>IF($U99="","",IF(INDEX('Per Invoice'!C$2:C$401,$U99)="","",INDEX('Per Invoice'!C$2:C$401,$U99)))</f>
        <v/>
      </c>
      <c r="D99">
        <f>IF($U99="","",IF(INDEX('Per Invoice'!D$2:D$401,$U99)="","",INDEX('Per Invoice'!D$2:D$401,$U99)))</f>
        <v/>
      </c>
      <c r="E99">
        <f>IF($U99="","",IF(INDEX('Per Invoice'!E$2:E$401,$U99)="","",INDEX('Per Invoice'!E$2:E$401,$U99)))</f>
        <v/>
      </c>
      <c r="F99">
        <f>IF($U99="","",IF(INDEX('Per Invoice'!F$2:F$401,$U99)="","",INDEX('Per Invoice'!F$2:F$401,$U99)))</f>
        <v/>
      </c>
      <c r="G99">
        <f>IF($U99="","",IF(INDEX('Per Invoice'!G$2:G$401,$U99)="","",INDEX('Per Invoice'!G$2:G$401,$U99)))</f>
        <v/>
      </c>
      <c r="H99" s="7">
        <f>IF($U99="","",IF(INDEX('Per Invoice'!H$2:H$401,$U99)="","",INDEX('Per Invoice'!H$2:H$401,$U99)))</f>
        <v/>
      </c>
      <c r="I99" s="14">
        <f>IF($U99="","",IF(INDEX('Per Invoice'!I$2:I$401,$U99)="","",INDEX('Per Invoice'!I$2:I$401,$U99)))</f>
        <v/>
      </c>
      <c r="J99">
        <f>IF($U99="","",IF(INDEX('Per Invoice'!J$2:J$401,$U99)="","",INDEX('Per Invoice'!J$2:J$401,$U99)))</f>
        <v/>
      </c>
      <c r="K99">
        <f>IF($U99="","",IF(INDEX('Per Invoice'!K$2:K$401,$U99)="","",INDEX('Per Invoice'!K$2:K$401,$U99)))</f>
        <v/>
      </c>
      <c r="L99" s="7">
        <f>IF($U99="","",IF(INDEX('Per Invoice'!L$2:L$401,$U99)="","",INDEX('Per Invoice'!L$2:L$401,$U99)))</f>
        <v/>
      </c>
      <c r="M99" s="7">
        <f>IF($U99="","",IF(INDEX('Per Invoice'!M$2:M$401,$U99)="","",INDEX('Per Invoice'!M$2:M$401,$U99)))</f>
        <v/>
      </c>
      <c r="N99">
        <f>IF($U99="","",IF(INDEX('Per Invoice'!N$2:N$401,$U99)="","",INDEX('Per Invoice'!N$2:N$401,$U99)))</f>
        <v/>
      </c>
      <c r="O99" s="7">
        <f>IF($U99="","",IF(INDEX('Per Invoice'!O$2:O$401,$U99)="","",INDEX('Per Invoice'!O$2:O$401,$U99)))</f>
        <v/>
      </c>
      <c r="P99" s="7">
        <f>IF($U99="","",IF(INDEX('Per Invoice'!P$2:P$401,$U99)="","",INDEX('Per Invoice'!P$2:P$401,$U99)))</f>
        <v/>
      </c>
      <c r="Q99" s="7">
        <f>IF($U99="","",IF(INDEX('Per Invoice'!Q$2:Q$401,$U99)="","",INDEX('Per Invoice'!Q$2:Q$401,$U99)))</f>
        <v/>
      </c>
      <c r="R99" s="7">
        <f>IF($U99="","",IF(INDEX('Per Invoice'!R$2:R$401,$U99)="","",INDEX('Per Invoice'!R$2:R$401,$U99)))</f>
        <v/>
      </c>
      <c r="S99" s="7">
        <f>IF($U99="","",IF(INDEX('Per Invoice'!S$2:S$401,$U99)="","",INDEX('Per Invoice'!S$2:S$401,$U99)))</f>
        <v/>
      </c>
      <c r="T99" s="7">
        <f>IF($U99="","",IF(INDEX('Per Invoice'!T$2:T$401,$U99)="","",INDEX('Per Invoice'!T$2:T$401,$U99)))</f>
        <v/>
      </c>
      <c r="U99" s="16">
        <f>IFERROR(MATCH(Settings!$C$28&amp;"|"&amp;ROWS($U$2:$U99),'Per Invoice'!$V$2:$V$401,0),"")</f>
        <v/>
      </c>
    </row>
    <row r="100">
      <c r="A100">
        <f>IF($U100="","",IF(INDEX('Per Invoice'!A$2:A$401,$U100)="","",INDEX('Per Invoice'!A$2:A$401,$U100)))</f>
        <v/>
      </c>
      <c r="B100">
        <f>IF($U100="","",IF(INDEX('Per Invoice'!B$2:B$401,$U100)="","",INDEX('Per Invoice'!B$2:B$401,$U100)))</f>
        <v/>
      </c>
      <c r="C100">
        <f>IF($U100="","",IF(INDEX('Per Invoice'!C$2:C$401,$U100)="","",INDEX('Per Invoice'!C$2:C$401,$U100)))</f>
        <v/>
      </c>
      <c r="D100">
        <f>IF($U100="","",IF(INDEX('Per Invoice'!D$2:D$401,$U100)="","",INDEX('Per Invoice'!D$2:D$401,$U100)))</f>
        <v/>
      </c>
      <c r="E100">
        <f>IF($U100="","",IF(INDEX('Per Invoice'!E$2:E$401,$U100)="","",INDEX('Per Invoice'!E$2:E$401,$U100)))</f>
        <v/>
      </c>
      <c r="F100">
        <f>IF($U100="","",IF(INDEX('Per Invoice'!F$2:F$401,$U100)="","",INDEX('Per Invoice'!F$2:F$401,$U100)))</f>
        <v/>
      </c>
      <c r="G100">
        <f>IF($U100="","",IF(INDEX('Per Invoice'!G$2:G$401,$U100)="","",INDEX('Per Invoice'!G$2:G$401,$U100)))</f>
        <v/>
      </c>
      <c r="H100" s="7">
        <f>IF($U100="","",IF(INDEX('Per Invoice'!H$2:H$401,$U100)="","",INDEX('Per Invoice'!H$2:H$401,$U100)))</f>
        <v/>
      </c>
      <c r="I100" s="14">
        <f>IF($U100="","",IF(INDEX('Per Invoice'!I$2:I$401,$U100)="","",INDEX('Per Invoice'!I$2:I$401,$U100)))</f>
        <v/>
      </c>
      <c r="J100">
        <f>IF($U100="","",IF(INDEX('Per Invoice'!J$2:J$401,$U100)="","",INDEX('Per Invoice'!J$2:J$401,$U100)))</f>
        <v/>
      </c>
      <c r="K100">
        <f>IF($U100="","",IF(INDEX('Per Invoice'!K$2:K$401,$U100)="","",INDEX('Per Invoice'!K$2:K$401,$U100)))</f>
        <v/>
      </c>
      <c r="L100" s="7">
        <f>IF($U100="","",IF(INDEX('Per Invoice'!L$2:L$401,$U100)="","",INDEX('Per Invoice'!L$2:L$401,$U100)))</f>
        <v/>
      </c>
      <c r="M100" s="7">
        <f>IF($U100="","",IF(INDEX('Per Invoice'!M$2:M$401,$U100)="","",INDEX('Per Invoice'!M$2:M$401,$U100)))</f>
        <v/>
      </c>
      <c r="N100">
        <f>IF($U100="","",IF(INDEX('Per Invoice'!N$2:N$401,$U100)="","",INDEX('Per Invoice'!N$2:N$401,$U100)))</f>
        <v/>
      </c>
      <c r="O100" s="7">
        <f>IF($U100="","",IF(INDEX('Per Invoice'!O$2:O$401,$U100)="","",INDEX('Per Invoice'!O$2:O$401,$U100)))</f>
        <v/>
      </c>
      <c r="P100" s="7">
        <f>IF($U100="","",IF(INDEX('Per Invoice'!P$2:P$401,$U100)="","",INDEX('Per Invoice'!P$2:P$401,$U100)))</f>
        <v/>
      </c>
      <c r="Q100" s="7">
        <f>IF($U100="","",IF(INDEX('Per Invoice'!Q$2:Q$401,$U100)="","",INDEX('Per Invoice'!Q$2:Q$401,$U100)))</f>
        <v/>
      </c>
      <c r="R100" s="7">
        <f>IF($U100="","",IF(INDEX('Per Invoice'!R$2:R$401,$U100)="","",INDEX('Per Invoice'!R$2:R$401,$U100)))</f>
        <v/>
      </c>
      <c r="S100" s="7">
        <f>IF($U100="","",IF(INDEX('Per Invoice'!S$2:S$401,$U100)="","",INDEX('Per Invoice'!S$2:S$401,$U100)))</f>
        <v/>
      </c>
      <c r="T100" s="7">
        <f>IF($U100="","",IF(INDEX('Per Invoice'!T$2:T$401,$U100)="","",INDEX('Per Invoice'!T$2:T$401,$U100)))</f>
        <v/>
      </c>
      <c r="U100" s="16">
        <f>IFERROR(MATCH(Settings!$C$28&amp;"|"&amp;ROWS($U$2:$U100),'Per Invoice'!$V$2:$V$401,0),"")</f>
        <v/>
      </c>
    </row>
    <row r="101">
      <c r="A101">
        <f>IF($U101="","",IF(INDEX('Per Invoice'!A$2:A$401,$U101)="","",INDEX('Per Invoice'!A$2:A$401,$U101)))</f>
        <v/>
      </c>
      <c r="B101">
        <f>IF($U101="","",IF(INDEX('Per Invoice'!B$2:B$401,$U101)="","",INDEX('Per Invoice'!B$2:B$401,$U101)))</f>
        <v/>
      </c>
      <c r="C101">
        <f>IF($U101="","",IF(INDEX('Per Invoice'!C$2:C$401,$U101)="","",INDEX('Per Invoice'!C$2:C$401,$U101)))</f>
        <v/>
      </c>
      <c r="D101">
        <f>IF($U101="","",IF(INDEX('Per Invoice'!D$2:D$401,$U101)="","",INDEX('Per Invoice'!D$2:D$401,$U101)))</f>
        <v/>
      </c>
      <c r="E101">
        <f>IF($U101="","",IF(INDEX('Per Invoice'!E$2:E$401,$U101)="","",INDEX('Per Invoice'!E$2:E$401,$U101)))</f>
        <v/>
      </c>
      <c r="F101">
        <f>IF($U101="","",IF(INDEX('Per Invoice'!F$2:F$401,$U101)="","",INDEX('Per Invoice'!F$2:F$401,$U101)))</f>
        <v/>
      </c>
      <c r="G101">
        <f>IF($U101="","",IF(INDEX('Per Invoice'!G$2:G$401,$U101)="","",INDEX('Per Invoice'!G$2:G$401,$U101)))</f>
        <v/>
      </c>
      <c r="H101" s="7">
        <f>IF($U101="","",IF(INDEX('Per Invoice'!H$2:H$401,$U101)="","",INDEX('Per Invoice'!H$2:H$401,$U101)))</f>
        <v/>
      </c>
      <c r="I101" s="14">
        <f>IF($U101="","",IF(INDEX('Per Invoice'!I$2:I$401,$U101)="","",INDEX('Per Invoice'!I$2:I$401,$U101)))</f>
        <v/>
      </c>
      <c r="J101">
        <f>IF($U101="","",IF(INDEX('Per Invoice'!J$2:J$401,$U101)="","",INDEX('Per Invoice'!J$2:J$401,$U101)))</f>
        <v/>
      </c>
      <c r="K101">
        <f>IF($U101="","",IF(INDEX('Per Invoice'!K$2:K$401,$U101)="","",INDEX('Per Invoice'!K$2:K$401,$U101)))</f>
        <v/>
      </c>
      <c r="L101" s="7">
        <f>IF($U101="","",IF(INDEX('Per Invoice'!L$2:L$401,$U101)="","",INDEX('Per Invoice'!L$2:L$401,$U101)))</f>
        <v/>
      </c>
      <c r="M101" s="7">
        <f>IF($U101="","",IF(INDEX('Per Invoice'!M$2:M$401,$U101)="","",INDEX('Per Invoice'!M$2:M$401,$U101)))</f>
        <v/>
      </c>
      <c r="N101">
        <f>IF($U101="","",IF(INDEX('Per Invoice'!N$2:N$401,$U101)="","",INDEX('Per Invoice'!N$2:N$401,$U101)))</f>
        <v/>
      </c>
      <c r="O101" s="7">
        <f>IF($U101="","",IF(INDEX('Per Invoice'!O$2:O$401,$U101)="","",INDEX('Per Invoice'!O$2:O$401,$U101)))</f>
        <v/>
      </c>
      <c r="P101" s="7">
        <f>IF($U101="","",IF(INDEX('Per Invoice'!P$2:P$401,$U101)="","",INDEX('Per Invoice'!P$2:P$401,$U101)))</f>
        <v/>
      </c>
      <c r="Q101" s="7">
        <f>IF($U101="","",IF(INDEX('Per Invoice'!Q$2:Q$401,$U101)="","",INDEX('Per Invoice'!Q$2:Q$401,$U101)))</f>
        <v/>
      </c>
      <c r="R101" s="7">
        <f>IF($U101="","",IF(INDEX('Per Invoice'!R$2:R$401,$U101)="","",INDEX('Per Invoice'!R$2:R$401,$U101)))</f>
        <v/>
      </c>
      <c r="S101" s="7">
        <f>IF($U101="","",IF(INDEX('Per Invoice'!S$2:S$401,$U101)="","",INDEX('Per Invoice'!S$2:S$401,$U101)))</f>
        <v/>
      </c>
      <c r="T101" s="7">
        <f>IF($U101="","",IF(INDEX('Per Invoice'!T$2:T$401,$U101)="","",INDEX('Per Invoice'!T$2:T$401,$U101)))</f>
        <v/>
      </c>
      <c r="U101" s="16">
        <f>IFERROR(MATCH(Settings!$C$28&amp;"|"&amp;ROWS($U$2:$U101),'Per Invoice'!$V$2:$V$401,0),"")</f>
        <v/>
      </c>
    </row>
    <row r="102">
      <c r="A102">
        <f>IF($U102="","",IF(INDEX('Per Invoice'!A$2:A$401,$U102)="","",INDEX('Per Invoice'!A$2:A$401,$U102)))</f>
        <v/>
      </c>
      <c r="B102">
        <f>IF($U102="","",IF(INDEX('Per Invoice'!B$2:B$401,$U102)="","",INDEX('Per Invoice'!B$2:B$401,$U102)))</f>
        <v/>
      </c>
      <c r="C102">
        <f>IF($U102="","",IF(INDEX('Per Invoice'!C$2:C$401,$U102)="","",INDEX('Per Invoice'!C$2:C$401,$U102)))</f>
        <v/>
      </c>
      <c r="D102">
        <f>IF($U102="","",IF(INDEX('Per Invoice'!D$2:D$401,$U102)="","",INDEX('Per Invoice'!D$2:D$401,$U102)))</f>
        <v/>
      </c>
      <c r="E102">
        <f>IF($U102="","",IF(INDEX('Per Invoice'!E$2:E$401,$U102)="","",INDEX('Per Invoice'!E$2:E$401,$U102)))</f>
        <v/>
      </c>
      <c r="F102">
        <f>IF($U102="","",IF(INDEX('Per Invoice'!F$2:F$401,$U102)="","",INDEX('Per Invoice'!F$2:F$401,$U102)))</f>
        <v/>
      </c>
      <c r="G102">
        <f>IF($U102="","",IF(INDEX('Per Invoice'!G$2:G$401,$U102)="","",INDEX('Per Invoice'!G$2:G$401,$U102)))</f>
        <v/>
      </c>
      <c r="H102" s="7">
        <f>IF($U102="","",IF(INDEX('Per Invoice'!H$2:H$401,$U102)="","",INDEX('Per Invoice'!H$2:H$401,$U102)))</f>
        <v/>
      </c>
      <c r="I102" s="14">
        <f>IF($U102="","",IF(INDEX('Per Invoice'!I$2:I$401,$U102)="","",INDEX('Per Invoice'!I$2:I$401,$U102)))</f>
        <v/>
      </c>
      <c r="J102">
        <f>IF($U102="","",IF(INDEX('Per Invoice'!J$2:J$401,$U102)="","",INDEX('Per Invoice'!J$2:J$401,$U102)))</f>
        <v/>
      </c>
      <c r="K102">
        <f>IF($U102="","",IF(INDEX('Per Invoice'!K$2:K$401,$U102)="","",INDEX('Per Invoice'!K$2:K$401,$U102)))</f>
        <v/>
      </c>
      <c r="L102" s="7">
        <f>IF($U102="","",IF(INDEX('Per Invoice'!L$2:L$401,$U102)="","",INDEX('Per Invoice'!L$2:L$401,$U102)))</f>
        <v/>
      </c>
      <c r="M102" s="7">
        <f>IF($U102="","",IF(INDEX('Per Invoice'!M$2:M$401,$U102)="","",INDEX('Per Invoice'!M$2:M$401,$U102)))</f>
        <v/>
      </c>
      <c r="N102">
        <f>IF($U102="","",IF(INDEX('Per Invoice'!N$2:N$401,$U102)="","",INDEX('Per Invoice'!N$2:N$401,$U102)))</f>
        <v/>
      </c>
      <c r="O102" s="7">
        <f>IF($U102="","",IF(INDEX('Per Invoice'!O$2:O$401,$U102)="","",INDEX('Per Invoice'!O$2:O$401,$U102)))</f>
        <v/>
      </c>
      <c r="P102" s="7">
        <f>IF($U102="","",IF(INDEX('Per Invoice'!P$2:P$401,$U102)="","",INDEX('Per Invoice'!P$2:P$401,$U102)))</f>
        <v/>
      </c>
      <c r="Q102" s="7">
        <f>IF($U102="","",IF(INDEX('Per Invoice'!Q$2:Q$401,$U102)="","",INDEX('Per Invoice'!Q$2:Q$401,$U102)))</f>
        <v/>
      </c>
      <c r="R102" s="7">
        <f>IF($U102="","",IF(INDEX('Per Invoice'!R$2:R$401,$U102)="","",INDEX('Per Invoice'!R$2:R$401,$U102)))</f>
        <v/>
      </c>
      <c r="S102" s="7">
        <f>IF($U102="","",IF(INDEX('Per Invoice'!S$2:S$401,$U102)="","",INDEX('Per Invoice'!S$2:S$401,$U102)))</f>
        <v/>
      </c>
      <c r="T102" s="7">
        <f>IF($U102="","",IF(INDEX('Per Invoice'!T$2:T$401,$U102)="","",INDEX('Per Invoice'!T$2:T$401,$U102)))</f>
        <v/>
      </c>
      <c r="U102" s="16">
        <f>IFERROR(MATCH(Settings!$C$28&amp;"|"&amp;ROWS($U$2:$U102),'Per Invoice'!$V$2:$V$401,0),"")</f>
        <v/>
      </c>
    </row>
    <row r="103">
      <c r="A103">
        <f>IF($U103="","",IF(INDEX('Per Invoice'!A$2:A$401,$U103)="","",INDEX('Per Invoice'!A$2:A$401,$U103)))</f>
        <v/>
      </c>
      <c r="B103">
        <f>IF($U103="","",IF(INDEX('Per Invoice'!B$2:B$401,$U103)="","",INDEX('Per Invoice'!B$2:B$401,$U103)))</f>
        <v/>
      </c>
      <c r="C103">
        <f>IF($U103="","",IF(INDEX('Per Invoice'!C$2:C$401,$U103)="","",INDEX('Per Invoice'!C$2:C$401,$U103)))</f>
        <v/>
      </c>
      <c r="D103">
        <f>IF($U103="","",IF(INDEX('Per Invoice'!D$2:D$401,$U103)="","",INDEX('Per Invoice'!D$2:D$401,$U103)))</f>
        <v/>
      </c>
      <c r="E103">
        <f>IF($U103="","",IF(INDEX('Per Invoice'!E$2:E$401,$U103)="","",INDEX('Per Invoice'!E$2:E$401,$U103)))</f>
        <v/>
      </c>
      <c r="F103">
        <f>IF($U103="","",IF(INDEX('Per Invoice'!F$2:F$401,$U103)="","",INDEX('Per Invoice'!F$2:F$401,$U103)))</f>
        <v/>
      </c>
      <c r="G103">
        <f>IF($U103="","",IF(INDEX('Per Invoice'!G$2:G$401,$U103)="","",INDEX('Per Invoice'!G$2:G$401,$U103)))</f>
        <v/>
      </c>
      <c r="H103" s="7">
        <f>IF($U103="","",IF(INDEX('Per Invoice'!H$2:H$401,$U103)="","",INDEX('Per Invoice'!H$2:H$401,$U103)))</f>
        <v/>
      </c>
      <c r="I103" s="14">
        <f>IF($U103="","",IF(INDEX('Per Invoice'!I$2:I$401,$U103)="","",INDEX('Per Invoice'!I$2:I$401,$U103)))</f>
        <v/>
      </c>
      <c r="J103">
        <f>IF($U103="","",IF(INDEX('Per Invoice'!J$2:J$401,$U103)="","",INDEX('Per Invoice'!J$2:J$401,$U103)))</f>
        <v/>
      </c>
      <c r="K103">
        <f>IF($U103="","",IF(INDEX('Per Invoice'!K$2:K$401,$U103)="","",INDEX('Per Invoice'!K$2:K$401,$U103)))</f>
        <v/>
      </c>
      <c r="L103" s="7">
        <f>IF($U103="","",IF(INDEX('Per Invoice'!L$2:L$401,$U103)="","",INDEX('Per Invoice'!L$2:L$401,$U103)))</f>
        <v/>
      </c>
      <c r="M103" s="7">
        <f>IF($U103="","",IF(INDEX('Per Invoice'!M$2:M$401,$U103)="","",INDEX('Per Invoice'!M$2:M$401,$U103)))</f>
        <v/>
      </c>
      <c r="N103">
        <f>IF($U103="","",IF(INDEX('Per Invoice'!N$2:N$401,$U103)="","",INDEX('Per Invoice'!N$2:N$401,$U103)))</f>
        <v/>
      </c>
      <c r="O103" s="7">
        <f>IF($U103="","",IF(INDEX('Per Invoice'!O$2:O$401,$U103)="","",INDEX('Per Invoice'!O$2:O$401,$U103)))</f>
        <v/>
      </c>
      <c r="P103" s="7">
        <f>IF($U103="","",IF(INDEX('Per Invoice'!P$2:P$401,$U103)="","",INDEX('Per Invoice'!P$2:P$401,$U103)))</f>
        <v/>
      </c>
      <c r="Q103" s="7">
        <f>IF($U103="","",IF(INDEX('Per Invoice'!Q$2:Q$401,$U103)="","",INDEX('Per Invoice'!Q$2:Q$401,$U103)))</f>
        <v/>
      </c>
      <c r="R103" s="7">
        <f>IF($U103="","",IF(INDEX('Per Invoice'!R$2:R$401,$U103)="","",INDEX('Per Invoice'!R$2:R$401,$U103)))</f>
        <v/>
      </c>
      <c r="S103" s="7">
        <f>IF($U103="","",IF(INDEX('Per Invoice'!S$2:S$401,$U103)="","",INDEX('Per Invoice'!S$2:S$401,$U103)))</f>
        <v/>
      </c>
      <c r="T103" s="7">
        <f>IF($U103="","",IF(INDEX('Per Invoice'!T$2:T$401,$U103)="","",INDEX('Per Invoice'!T$2:T$401,$U103)))</f>
        <v/>
      </c>
      <c r="U103" s="16">
        <f>IFERROR(MATCH(Settings!$C$28&amp;"|"&amp;ROWS($U$2:$U103),'Per Invoice'!$V$2:$V$401,0),"")</f>
        <v/>
      </c>
    </row>
    <row r="104">
      <c r="A104">
        <f>IF($U104="","",IF(INDEX('Per Invoice'!A$2:A$401,$U104)="","",INDEX('Per Invoice'!A$2:A$401,$U104)))</f>
        <v/>
      </c>
      <c r="B104">
        <f>IF($U104="","",IF(INDEX('Per Invoice'!B$2:B$401,$U104)="","",INDEX('Per Invoice'!B$2:B$401,$U104)))</f>
        <v/>
      </c>
      <c r="C104">
        <f>IF($U104="","",IF(INDEX('Per Invoice'!C$2:C$401,$U104)="","",INDEX('Per Invoice'!C$2:C$401,$U104)))</f>
        <v/>
      </c>
      <c r="D104">
        <f>IF($U104="","",IF(INDEX('Per Invoice'!D$2:D$401,$U104)="","",INDEX('Per Invoice'!D$2:D$401,$U104)))</f>
        <v/>
      </c>
      <c r="E104">
        <f>IF($U104="","",IF(INDEX('Per Invoice'!E$2:E$401,$U104)="","",INDEX('Per Invoice'!E$2:E$401,$U104)))</f>
        <v/>
      </c>
      <c r="F104">
        <f>IF($U104="","",IF(INDEX('Per Invoice'!F$2:F$401,$U104)="","",INDEX('Per Invoice'!F$2:F$401,$U104)))</f>
        <v/>
      </c>
      <c r="G104">
        <f>IF($U104="","",IF(INDEX('Per Invoice'!G$2:G$401,$U104)="","",INDEX('Per Invoice'!G$2:G$401,$U104)))</f>
        <v/>
      </c>
      <c r="H104" s="7">
        <f>IF($U104="","",IF(INDEX('Per Invoice'!H$2:H$401,$U104)="","",INDEX('Per Invoice'!H$2:H$401,$U104)))</f>
        <v/>
      </c>
      <c r="I104" s="14">
        <f>IF($U104="","",IF(INDEX('Per Invoice'!I$2:I$401,$U104)="","",INDEX('Per Invoice'!I$2:I$401,$U104)))</f>
        <v/>
      </c>
      <c r="J104">
        <f>IF($U104="","",IF(INDEX('Per Invoice'!J$2:J$401,$U104)="","",INDEX('Per Invoice'!J$2:J$401,$U104)))</f>
        <v/>
      </c>
      <c r="K104">
        <f>IF($U104="","",IF(INDEX('Per Invoice'!K$2:K$401,$U104)="","",INDEX('Per Invoice'!K$2:K$401,$U104)))</f>
        <v/>
      </c>
      <c r="L104" s="7">
        <f>IF($U104="","",IF(INDEX('Per Invoice'!L$2:L$401,$U104)="","",INDEX('Per Invoice'!L$2:L$401,$U104)))</f>
        <v/>
      </c>
      <c r="M104" s="7">
        <f>IF($U104="","",IF(INDEX('Per Invoice'!M$2:M$401,$U104)="","",INDEX('Per Invoice'!M$2:M$401,$U104)))</f>
        <v/>
      </c>
      <c r="N104">
        <f>IF($U104="","",IF(INDEX('Per Invoice'!N$2:N$401,$U104)="","",INDEX('Per Invoice'!N$2:N$401,$U104)))</f>
        <v/>
      </c>
      <c r="O104" s="7">
        <f>IF($U104="","",IF(INDEX('Per Invoice'!O$2:O$401,$U104)="","",INDEX('Per Invoice'!O$2:O$401,$U104)))</f>
        <v/>
      </c>
      <c r="P104" s="7">
        <f>IF($U104="","",IF(INDEX('Per Invoice'!P$2:P$401,$U104)="","",INDEX('Per Invoice'!P$2:P$401,$U104)))</f>
        <v/>
      </c>
      <c r="Q104" s="7">
        <f>IF($U104="","",IF(INDEX('Per Invoice'!Q$2:Q$401,$U104)="","",INDEX('Per Invoice'!Q$2:Q$401,$U104)))</f>
        <v/>
      </c>
      <c r="R104" s="7">
        <f>IF($U104="","",IF(INDEX('Per Invoice'!R$2:R$401,$U104)="","",INDEX('Per Invoice'!R$2:R$401,$U104)))</f>
        <v/>
      </c>
      <c r="S104" s="7">
        <f>IF($U104="","",IF(INDEX('Per Invoice'!S$2:S$401,$U104)="","",INDEX('Per Invoice'!S$2:S$401,$U104)))</f>
        <v/>
      </c>
      <c r="T104" s="7">
        <f>IF($U104="","",IF(INDEX('Per Invoice'!T$2:T$401,$U104)="","",INDEX('Per Invoice'!T$2:T$401,$U104)))</f>
        <v/>
      </c>
      <c r="U104" s="16">
        <f>IFERROR(MATCH(Settings!$C$28&amp;"|"&amp;ROWS($U$2:$U104),'Per Invoice'!$V$2:$V$401,0),"")</f>
        <v/>
      </c>
    </row>
    <row r="105">
      <c r="A105">
        <f>IF($U105="","",IF(INDEX('Per Invoice'!A$2:A$401,$U105)="","",INDEX('Per Invoice'!A$2:A$401,$U105)))</f>
        <v/>
      </c>
      <c r="B105">
        <f>IF($U105="","",IF(INDEX('Per Invoice'!B$2:B$401,$U105)="","",INDEX('Per Invoice'!B$2:B$401,$U105)))</f>
        <v/>
      </c>
      <c r="C105">
        <f>IF($U105="","",IF(INDEX('Per Invoice'!C$2:C$401,$U105)="","",INDEX('Per Invoice'!C$2:C$401,$U105)))</f>
        <v/>
      </c>
      <c r="D105">
        <f>IF($U105="","",IF(INDEX('Per Invoice'!D$2:D$401,$U105)="","",INDEX('Per Invoice'!D$2:D$401,$U105)))</f>
        <v/>
      </c>
      <c r="E105">
        <f>IF($U105="","",IF(INDEX('Per Invoice'!E$2:E$401,$U105)="","",INDEX('Per Invoice'!E$2:E$401,$U105)))</f>
        <v/>
      </c>
      <c r="F105">
        <f>IF($U105="","",IF(INDEX('Per Invoice'!F$2:F$401,$U105)="","",INDEX('Per Invoice'!F$2:F$401,$U105)))</f>
        <v/>
      </c>
      <c r="G105">
        <f>IF($U105="","",IF(INDEX('Per Invoice'!G$2:G$401,$U105)="","",INDEX('Per Invoice'!G$2:G$401,$U105)))</f>
        <v/>
      </c>
      <c r="H105" s="7">
        <f>IF($U105="","",IF(INDEX('Per Invoice'!H$2:H$401,$U105)="","",INDEX('Per Invoice'!H$2:H$401,$U105)))</f>
        <v/>
      </c>
      <c r="I105" s="14">
        <f>IF($U105="","",IF(INDEX('Per Invoice'!I$2:I$401,$U105)="","",INDEX('Per Invoice'!I$2:I$401,$U105)))</f>
        <v/>
      </c>
      <c r="J105">
        <f>IF($U105="","",IF(INDEX('Per Invoice'!J$2:J$401,$U105)="","",INDEX('Per Invoice'!J$2:J$401,$U105)))</f>
        <v/>
      </c>
      <c r="K105">
        <f>IF($U105="","",IF(INDEX('Per Invoice'!K$2:K$401,$U105)="","",INDEX('Per Invoice'!K$2:K$401,$U105)))</f>
        <v/>
      </c>
      <c r="L105" s="7">
        <f>IF($U105="","",IF(INDEX('Per Invoice'!L$2:L$401,$U105)="","",INDEX('Per Invoice'!L$2:L$401,$U105)))</f>
        <v/>
      </c>
      <c r="M105" s="7">
        <f>IF($U105="","",IF(INDEX('Per Invoice'!M$2:M$401,$U105)="","",INDEX('Per Invoice'!M$2:M$401,$U105)))</f>
        <v/>
      </c>
      <c r="N105">
        <f>IF($U105="","",IF(INDEX('Per Invoice'!N$2:N$401,$U105)="","",INDEX('Per Invoice'!N$2:N$401,$U105)))</f>
        <v/>
      </c>
      <c r="O105" s="7">
        <f>IF($U105="","",IF(INDEX('Per Invoice'!O$2:O$401,$U105)="","",INDEX('Per Invoice'!O$2:O$401,$U105)))</f>
        <v/>
      </c>
      <c r="P105" s="7">
        <f>IF($U105="","",IF(INDEX('Per Invoice'!P$2:P$401,$U105)="","",INDEX('Per Invoice'!P$2:P$401,$U105)))</f>
        <v/>
      </c>
      <c r="Q105" s="7">
        <f>IF($U105="","",IF(INDEX('Per Invoice'!Q$2:Q$401,$U105)="","",INDEX('Per Invoice'!Q$2:Q$401,$U105)))</f>
        <v/>
      </c>
      <c r="R105" s="7">
        <f>IF($U105="","",IF(INDEX('Per Invoice'!R$2:R$401,$U105)="","",INDEX('Per Invoice'!R$2:R$401,$U105)))</f>
        <v/>
      </c>
      <c r="S105" s="7">
        <f>IF($U105="","",IF(INDEX('Per Invoice'!S$2:S$401,$U105)="","",INDEX('Per Invoice'!S$2:S$401,$U105)))</f>
        <v/>
      </c>
      <c r="T105" s="7">
        <f>IF($U105="","",IF(INDEX('Per Invoice'!T$2:T$401,$U105)="","",INDEX('Per Invoice'!T$2:T$401,$U105)))</f>
        <v/>
      </c>
      <c r="U105" s="16">
        <f>IFERROR(MATCH(Settings!$C$28&amp;"|"&amp;ROWS($U$2:$U105),'Per Invoice'!$V$2:$V$401,0),"")</f>
        <v/>
      </c>
    </row>
    <row r="106">
      <c r="A106">
        <f>IF($U106="","",IF(INDEX('Per Invoice'!A$2:A$401,$U106)="","",INDEX('Per Invoice'!A$2:A$401,$U106)))</f>
        <v/>
      </c>
      <c r="B106">
        <f>IF($U106="","",IF(INDEX('Per Invoice'!B$2:B$401,$U106)="","",INDEX('Per Invoice'!B$2:B$401,$U106)))</f>
        <v/>
      </c>
      <c r="C106">
        <f>IF($U106="","",IF(INDEX('Per Invoice'!C$2:C$401,$U106)="","",INDEX('Per Invoice'!C$2:C$401,$U106)))</f>
        <v/>
      </c>
      <c r="D106">
        <f>IF($U106="","",IF(INDEX('Per Invoice'!D$2:D$401,$U106)="","",INDEX('Per Invoice'!D$2:D$401,$U106)))</f>
        <v/>
      </c>
      <c r="E106">
        <f>IF($U106="","",IF(INDEX('Per Invoice'!E$2:E$401,$U106)="","",INDEX('Per Invoice'!E$2:E$401,$U106)))</f>
        <v/>
      </c>
      <c r="F106">
        <f>IF($U106="","",IF(INDEX('Per Invoice'!F$2:F$401,$U106)="","",INDEX('Per Invoice'!F$2:F$401,$U106)))</f>
        <v/>
      </c>
      <c r="G106">
        <f>IF($U106="","",IF(INDEX('Per Invoice'!G$2:G$401,$U106)="","",INDEX('Per Invoice'!G$2:G$401,$U106)))</f>
        <v/>
      </c>
      <c r="H106" s="7">
        <f>IF($U106="","",IF(INDEX('Per Invoice'!H$2:H$401,$U106)="","",INDEX('Per Invoice'!H$2:H$401,$U106)))</f>
        <v/>
      </c>
      <c r="I106" s="14">
        <f>IF($U106="","",IF(INDEX('Per Invoice'!I$2:I$401,$U106)="","",INDEX('Per Invoice'!I$2:I$401,$U106)))</f>
        <v/>
      </c>
      <c r="J106">
        <f>IF($U106="","",IF(INDEX('Per Invoice'!J$2:J$401,$U106)="","",INDEX('Per Invoice'!J$2:J$401,$U106)))</f>
        <v/>
      </c>
      <c r="K106">
        <f>IF($U106="","",IF(INDEX('Per Invoice'!K$2:K$401,$U106)="","",INDEX('Per Invoice'!K$2:K$401,$U106)))</f>
        <v/>
      </c>
      <c r="L106" s="7">
        <f>IF($U106="","",IF(INDEX('Per Invoice'!L$2:L$401,$U106)="","",INDEX('Per Invoice'!L$2:L$401,$U106)))</f>
        <v/>
      </c>
      <c r="M106" s="7">
        <f>IF($U106="","",IF(INDEX('Per Invoice'!M$2:M$401,$U106)="","",INDEX('Per Invoice'!M$2:M$401,$U106)))</f>
        <v/>
      </c>
      <c r="N106">
        <f>IF($U106="","",IF(INDEX('Per Invoice'!N$2:N$401,$U106)="","",INDEX('Per Invoice'!N$2:N$401,$U106)))</f>
        <v/>
      </c>
      <c r="O106" s="7">
        <f>IF($U106="","",IF(INDEX('Per Invoice'!O$2:O$401,$U106)="","",INDEX('Per Invoice'!O$2:O$401,$U106)))</f>
        <v/>
      </c>
      <c r="P106" s="7">
        <f>IF($U106="","",IF(INDEX('Per Invoice'!P$2:P$401,$U106)="","",INDEX('Per Invoice'!P$2:P$401,$U106)))</f>
        <v/>
      </c>
      <c r="Q106" s="7">
        <f>IF($U106="","",IF(INDEX('Per Invoice'!Q$2:Q$401,$U106)="","",INDEX('Per Invoice'!Q$2:Q$401,$U106)))</f>
        <v/>
      </c>
      <c r="R106" s="7">
        <f>IF($U106="","",IF(INDEX('Per Invoice'!R$2:R$401,$U106)="","",INDEX('Per Invoice'!R$2:R$401,$U106)))</f>
        <v/>
      </c>
      <c r="S106" s="7">
        <f>IF($U106="","",IF(INDEX('Per Invoice'!S$2:S$401,$U106)="","",INDEX('Per Invoice'!S$2:S$401,$U106)))</f>
        <v/>
      </c>
      <c r="T106" s="7">
        <f>IF($U106="","",IF(INDEX('Per Invoice'!T$2:T$401,$U106)="","",INDEX('Per Invoice'!T$2:T$401,$U106)))</f>
        <v/>
      </c>
      <c r="U106" s="16">
        <f>IFERROR(MATCH(Settings!$C$28&amp;"|"&amp;ROWS($U$2:$U106),'Per Invoice'!$V$2:$V$401,0),"")</f>
        <v/>
      </c>
    </row>
    <row r="107">
      <c r="A107">
        <f>IF($U107="","",IF(INDEX('Per Invoice'!A$2:A$401,$U107)="","",INDEX('Per Invoice'!A$2:A$401,$U107)))</f>
        <v/>
      </c>
      <c r="B107">
        <f>IF($U107="","",IF(INDEX('Per Invoice'!B$2:B$401,$U107)="","",INDEX('Per Invoice'!B$2:B$401,$U107)))</f>
        <v/>
      </c>
      <c r="C107">
        <f>IF($U107="","",IF(INDEX('Per Invoice'!C$2:C$401,$U107)="","",INDEX('Per Invoice'!C$2:C$401,$U107)))</f>
        <v/>
      </c>
      <c r="D107">
        <f>IF($U107="","",IF(INDEX('Per Invoice'!D$2:D$401,$U107)="","",INDEX('Per Invoice'!D$2:D$401,$U107)))</f>
        <v/>
      </c>
      <c r="E107">
        <f>IF($U107="","",IF(INDEX('Per Invoice'!E$2:E$401,$U107)="","",INDEX('Per Invoice'!E$2:E$401,$U107)))</f>
        <v/>
      </c>
      <c r="F107">
        <f>IF($U107="","",IF(INDEX('Per Invoice'!F$2:F$401,$U107)="","",INDEX('Per Invoice'!F$2:F$401,$U107)))</f>
        <v/>
      </c>
      <c r="G107">
        <f>IF($U107="","",IF(INDEX('Per Invoice'!G$2:G$401,$U107)="","",INDEX('Per Invoice'!G$2:G$401,$U107)))</f>
        <v/>
      </c>
      <c r="H107" s="7">
        <f>IF($U107="","",IF(INDEX('Per Invoice'!H$2:H$401,$U107)="","",INDEX('Per Invoice'!H$2:H$401,$U107)))</f>
        <v/>
      </c>
      <c r="I107" s="14">
        <f>IF($U107="","",IF(INDEX('Per Invoice'!I$2:I$401,$U107)="","",INDEX('Per Invoice'!I$2:I$401,$U107)))</f>
        <v/>
      </c>
      <c r="J107">
        <f>IF($U107="","",IF(INDEX('Per Invoice'!J$2:J$401,$U107)="","",INDEX('Per Invoice'!J$2:J$401,$U107)))</f>
        <v/>
      </c>
      <c r="K107">
        <f>IF($U107="","",IF(INDEX('Per Invoice'!K$2:K$401,$U107)="","",INDEX('Per Invoice'!K$2:K$401,$U107)))</f>
        <v/>
      </c>
      <c r="L107" s="7">
        <f>IF($U107="","",IF(INDEX('Per Invoice'!L$2:L$401,$U107)="","",INDEX('Per Invoice'!L$2:L$401,$U107)))</f>
        <v/>
      </c>
      <c r="M107" s="7">
        <f>IF($U107="","",IF(INDEX('Per Invoice'!M$2:M$401,$U107)="","",INDEX('Per Invoice'!M$2:M$401,$U107)))</f>
        <v/>
      </c>
      <c r="N107">
        <f>IF($U107="","",IF(INDEX('Per Invoice'!N$2:N$401,$U107)="","",INDEX('Per Invoice'!N$2:N$401,$U107)))</f>
        <v/>
      </c>
      <c r="O107" s="7">
        <f>IF($U107="","",IF(INDEX('Per Invoice'!O$2:O$401,$U107)="","",INDEX('Per Invoice'!O$2:O$401,$U107)))</f>
        <v/>
      </c>
      <c r="P107" s="7">
        <f>IF($U107="","",IF(INDEX('Per Invoice'!P$2:P$401,$U107)="","",INDEX('Per Invoice'!P$2:P$401,$U107)))</f>
        <v/>
      </c>
      <c r="Q107" s="7">
        <f>IF($U107="","",IF(INDEX('Per Invoice'!Q$2:Q$401,$U107)="","",INDEX('Per Invoice'!Q$2:Q$401,$U107)))</f>
        <v/>
      </c>
      <c r="R107" s="7">
        <f>IF($U107="","",IF(INDEX('Per Invoice'!R$2:R$401,$U107)="","",INDEX('Per Invoice'!R$2:R$401,$U107)))</f>
        <v/>
      </c>
      <c r="S107" s="7">
        <f>IF($U107="","",IF(INDEX('Per Invoice'!S$2:S$401,$U107)="","",INDEX('Per Invoice'!S$2:S$401,$U107)))</f>
        <v/>
      </c>
      <c r="T107" s="7">
        <f>IF($U107="","",IF(INDEX('Per Invoice'!T$2:T$401,$U107)="","",INDEX('Per Invoice'!T$2:T$401,$U107)))</f>
        <v/>
      </c>
      <c r="U107" s="16">
        <f>IFERROR(MATCH(Settings!$C$28&amp;"|"&amp;ROWS($U$2:$U107),'Per Invoice'!$V$2:$V$401,0),"")</f>
        <v/>
      </c>
    </row>
    <row r="108">
      <c r="A108">
        <f>IF($U108="","",IF(INDEX('Per Invoice'!A$2:A$401,$U108)="","",INDEX('Per Invoice'!A$2:A$401,$U108)))</f>
        <v/>
      </c>
      <c r="B108">
        <f>IF($U108="","",IF(INDEX('Per Invoice'!B$2:B$401,$U108)="","",INDEX('Per Invoice'!B$2:B$401,$U108)))</f>
        <v/>
      </c>
      <c r="C108">
        <f>IF($U108="","",IF(INDEX('Per Invoice'!C$2:C$401,$U108)="","",INDEX('Per Invoice'!C$2:C$401,$U108)))</f>
        <v/>
      </c>
      <c r="D108">
        <f>IF($U108="","",IF(INDEX('Per Invoice'!D$2:D$401,$U108)="","",INDEX('Per Invoice'!D$2:D$401,$U108)))</f>
        <v/>
      </c>
      <c r="E108">
        <f>IF($U108="","",IF(INDEX('Per Invoice'!E$2:E$401,$U108)="","",INDEX('Per Invoice'!E$2:E$401,$U108)))</f>
        <v/>
      </c>
      <c r="F108">
        <f>IF($U108="","",IF(INDEX('Per Invoice'!F$2:F$401,$U108)="","",INDEX('Per Invoice'!F$2:F$401,$U108)))</f>
        <v/>
      </c>
      <c r="G108">
        <f>IF($U108="","",IF(INDEX('Per Invoice'!G$2:G$401,$U108)="","",INDEX('Per Invoice'!G$2:G$401,$U108)))</f>
        <v/>
      </c>
      <c r="H108" s="7">
        <f>IF($U108="","",IF(INDEX('Per Invoice'!H$2:H$401,$U108)="","",INDEX('Per Invoice'!H$2:H$401,$U108)))</f>
        <v/>
      </c>
      <c r="I108" s="14">
        <f>IF($U108="","",IF(INDEX('Per Invoice'!I$2:I$401,$U108)="","",INDEX('Per Invoice'!I$2:I$401,$U108)))</f>
        <v/>
      </c>
      <c r="J108">
        <f>IF($U108="","",IF(INDEX('Per Invoice'!J$2:J$401,$U108)="","",INDEX('Per Invoice'!J$2:J$401,$U108)))</f>
        <v/>
      </c>
      <c r="K108">
        <f>IF($U108="","",IF(INDEX('Per Invoice'!K$2:K$401,$U108)="","",INDEX('Per Invoice'!K$2:K$401,$U108)))</f>
        <v/>
      </c>
      <c r="L108" s="7">
        <f>IF($U108="","",IF(INDEX('Per Invoice'!L$2:L$401,$U108)="","",INDEX('Per Invoice'!L$2:L$401,$U108)))</f>
        <v/>
      </c>
      <c r="M108" s="7">
        <f>IF($U108="","",IF(INDEX('Per Invoice'!M$2:M$401,$U108)="","",INDEX('Per Invoice'!M$2:M$401,$U108)))</f>
        <v/>
      </c>
      <c r="N108">
        <f>IF($U108="","",IF(INDEX('Per Invoice'!N$2:N$401,$U108)="","",INDEX('Per Invoice'!N$2:N$401,$U108)))</f>
        <v/>
      </c>
      <c r="O108" s="7">
        <f>IF($U108="","",IF(INDEX('Per Invoice'!O$2:O$401,$U108)="","",INDEX('Per Invoice'!O$2:O$401,$U108)))</f>
        <v/>
      </c>
      <c r="P108" s="7">
        <f>IF($U108="","",IF(INDEX('Per Invoice'!P$2:P$401,$U108)="","",INDEX('Per Invoice'!P$2:P$401,$U108)))</f>
        <v/>
      </c>
      <c r="Q108" s="7">
        <f>IF($U108="","",IF(INDEX('Per Invoice'!Q$2:Q$401,$U108)="","",INDEX('Per Invoice'!Q$2:Q$401,$U108)))</f>
        <v/>
      </c>
      <c r="R108" s="7">
        <f>IF($U108="","",IF(INDEX('Per Invoice'!R$2:R$401,$U108)="","",INDEX('Per Invoice'!R$2:R$401,$U108)))</f>
        <v/>
      </c>
      <c r="S108" s="7">
        <f>IF($U108="","",IF(INDEX('Per Invoice'!S$2:S$401,$U108)="","",INDEX('Per Invoice'!S$2:S$401,$U108)))</f>
        <v/>
      </c>
      <c r="T108" s="7">
        <f>IF($U108="","",IF(INDEX('Per Invoice'!T$2:T$401,$U108)="","",INDEX('Per Invoice'!T$2:T$401,$U108)))</f>
        <v/>
      </c>
      <c r="U108" s="16">
        <f>IFERROR(MATCH(Settings!$C$28&amp;"|"&amp;ROWS($U$2:$U108),'Per Invoice'!$V$2:$V$401,0),"")</f>
        <v/>
      </c>
    </row>
    <row r="109">
      <c r="A109">
        <f>IF($U109="","",IF(INDEX('Per Invoice'!A$2:A$401,$U109)="","",INDEX('Per Invoice'!A$2:A$401,$U109)))</f>
        <v/>
      </c>
      <c r="B109">
        <f>IF($U109="","",IF(INDEX('Per Invoice'!B$2:B$401,$U109)="","",INDEX('Per Invoice'!B$2:B$401,$U109)))</f>
        <v/>
      </c>
      <c r="C109">
        <f>IF($U109="","",IF(INDEX('Per Invoice'!C$2:C$401,$U109)="","",INDEX('Per Invoice'!C$2:C$401,$U109)))</f>
        <v/>
      </c>
      <c r="D109">
        <f>IF($U109="","",IF(INDEX('Per Invoice'!D$2:D$401,$U109)="","",INDEX('Per Invoice'!D$2:D$401,$U109)))</f>
        <v/>
      </c>
      <c r="E109">
        <f>IF($U109="","",IF(INDEX('Per Invoice'!E$2:E$401,$U109)="","",INDEX('Per Invoice'!E$2:E$401,$U109)))</f>
        <v/>
      </c>
      <c r="F109">
        <f>IF($U109="","",IF(INDEX('Per Invoice'!F$2:F$401,$U109)="","",INDEX('Per Invoice'!F$2:F$401,$U109)))</f>
        <v/>
      </c>
      <c r="G109">
        <f>IF($U109="","",IF(INDEX('Per Invoice'!G$2:G$401,$U109)="","",INDEX('Per Invoice'!G$2:G$401,$U109)))</f>
        <v/>
      </c>
      <c r="H109" s="7">
        <f>IF($U109="","",IF(INDEX('Per Invoice'!H$2:H$401,$U109)="","",INDEX('Per Invoice'!H$2:H$401,$U109)))</f>
        <v/>
      </c>
      <c r="I109" s="14">
        <f>IF($U109="","",IF(INDEX('Per Invoice'!I$2:I$401,$U109)="","",INDEX('Per Invoice'!I$2:I$401,$U109)))</f>
        <v/>
      </c>
      <c r="J109">
        <f>IF($U109="","",IF(INDEX('Per Invoice'!J$2:J$401,$U109)="","",INDEX('Per Invoice'!J$2:J$401,$U109)))</f>
        <v/>
      </c>
      <c r="K109">
        <f>IF($U109="","",IF(INDEX('Per Invoice'!K$2:K$401,$U109)="","",INDEX('Per Invoice'!K$2:K$401,$U109)))</f>
        <v/>
      </c>
      <c r="L109" s="7">
        <f>IF($U109="","",IF(INDEX('Per Invoice'!L$2:L$401,$U109)="","",INDEX('Per Invoice'!L$2:L$401,$U109)))</f>
        <v/>
      </c>
      <c r="M109" s="7">
        <f>IF($U109="","",IF(INDEX('Per Invoice'!M$2:M$401,$U109)="","",INDEX('Per Invoice'!M$2:M$401,$U109)))</f>
        <v/>
      </c>
      <c r="N109">
        <f>IF($U109="","",IF(INDEX('Per Invoice'!N$2:N$401,$U109)="","",INDEX('Per Invoice'!N$2:N$401,$U109)))</f>
        <v/>
      </c>
      <c r="O109" s="7">
        <f>IF($U109="","",IF(INDEX('Per Invoice'!O$2:O$401,$U109)="","",INDEX('Per Invoice'!O$2:O$401,$U109)))</f>
        <v/>
      </c>
      <c r="P109" s="7">
        <f>IF($U109="","",IF(INDEX('Per Invoice'!P$2:P$401,$U109)="","",INDEX('Per Invoice'!P$2:P$401,$U109)))</f>
        <v/>
      </c>
      <c r="Q109" s="7">
        <f>IF($U109="","",IF(INDEX('Per Invoice'!Q$2:Q$401,$U109)="","",INDEX('Per Invoice'!Q$2:Q$401,$U109)))</f>
        <v/>
      </c>
      <c r="R109" s="7">
        <f>IF($U109="","",IF(INDEX('Per Invoice'!R$2:R$401,$U109)="","",INDEX('Per Invoice'!R$2:R$401,$U109)))</f>
        <v/>
      </c>
      <c r="S109" s="7">
        <f>IF($U109="","",IF(INDEX('Per Invoice'!S$2:S$401,$U109)="","",INDEX('Per Invoice'!S$2:S$401,$U109)))</f>
        <v/>
      </c>
      <c r="T109" s="7">
        <f>IF($U109="","",IF(INDEX('Per Invoice'!T$2:T$401,$U109)="","",INDEX('Per Invoice'!T$2:T$401,$U109)))</f>
        <v/>
      </c>
      <c r="U109" s="16">
        <f>IFERROR(MATCH(Settings!$C$28&amp;"|"&amp;ROWS($U$2:$U109),'Per Invoice'!$V$2:$V$401,0),"")</f>
        <v/>
      </c>
    </row>
    <row r="110">
      <c r="A110">
        <f>IF($U110="","",IF(INDEX('Per Invoice'!A$2:A$401,$U110)="","",INDEX('Per Invoice'!A$2:A$401,$U110)))</f>
        <v/>
      </c>
      <c r="B110">
        <f>IF($U110="","",IF(INDEX('Per Invoice'!B$2:B$401,$U110)="","",INDEX('Per Invoice'!B$2:B$401,$U110)))</f>
        <v/>
      </c>
      <c r="C110">
        <f>IF($U110="","",IF(INDEX('Per Invoice'!C$2:C$401,$U110)="","",INDEX('Per Invoice'!C$2:C$401,$U110)))</f>
        <v/>
      </c>
      <c r="D110">
        <f>IF($U110="","",IF(INDEX('Per Invoice'!D$2:D$401,$U110)="","",INDEX('Per Invoice'!D$2:D$401,$U110)))</f>
        <v/>
      </c>
      <c r="E110">
        <f>IF($U110="","",IF(INDEX('Per Invoice'!E$2:E$401,$U110)="","",INDEX('Per Invoice'!E$2:E$401,$U110)))</f>
        <v/>
      </c>
      <c r="F110">
        <f>IF($U110="","",IF(INDEX('Per Invoice'!F$2:F$401,$U110)="","",INDEX('Per Invoice'!F$2:F$401,$U110)))</f>
        <v/>
      </c>
      <c r="G110">
        <f>IF($U110="","",IF(INDEX('Per Invoice'!G$2:G$401,$U110)="","",INDEX('Per Invoice'!G$2:G$401,$U110)))</f>
        <v/>
      </c>
      <c r="H110" s="7">
        <f>IF($U110="","",IF(INDEX('Per Invoice'!H$2:H$401,$U110)="","",INDEX('Per Invoice'!H$2:H$401,$U110)))</f>
        <v/>
      </c>
      <c r="I110" s="14">
        <f>IF($U110="","",IF(INDEX('Per Invoice'!I$2:I$401,$U110)="","",INDEX('Per Invoice'!I$2:I$401,$U110)))</f>
        <v/>
      </c>
      <c r="J110">
        <f>IF($U110="","",IF(INDEX('Per Invoice'!J$2:J$401,$U110)="","",INDEX('Per Invoice'!J$2:J$401,$U110)))</f>
        <v/>
      </c>
      <c r="K110">
        <f>IF($U110="","",IF(INDEX('Per Invoice'!K$2:K$401,$U110)="","",INDEX('Per Invoice'!K$2:K$401,$U110)))</f>
        <v/>
      </c>
      <c r="L110" s="7">
        <f>IF($U110="","",IF(INDEX('Per Invoice'!L$2:L$401,$U110)="","",INDEX('Per Invoice'!L$2:L$401,$U110)))</f>
        <v/>
      </c>
      <c r="M110" s="7">
        <f>IF($U110="","",IF(INDEX('Per Invoice'!M$2:M$401,$U110)="","",INDEX('Per Invoice'!M$2:M$401,$U110)))</f>
        <v/>
      </c>
      <c r="N110">
        <f>IF($U110="","",IF(INDEX('Per Invoice'!N$2:N$401,$U110)="","",INDEX('Per Invoice'!N$2:N$401,$U110)))</f>
        <v/>
      </c>
      <c r="O110" s="7">
        <f>IF($U110="","",IF(INDEX('Per Invoice'!O$2:O$401,$U110)="","",INDEX('Per Invoice'!O$2:O$401,$U110)))</f>
        <v/>
      </c>
      <c r="P110" s="7">
        <f>IF($U110="","",IF(INDEX('Per Invoice'!P$2:P$401,$U110)="","",INDEX('Per Invoice'!P$2:P$401,$U110)))</f>
        <v/>
      </c>
      <c r="Q110" s="7">
        <f>IF($U110="","",IF(INDEX('Per Invoice'!Q$2:Q$401,$U110)="","",INDEX('Per Invoice'!Q$2:Q$401,$U110)))</f>
        <v/>
      </c>
      <c r="R110" s="7">
        <f>IF($U110="","",IF(INDEX('Per Invoice'!R$2:R$401,$U110)="","",INDEX('Per Invoice'!R$2:R$401,$U110)))</f>
        <v/>
      </c>
      <c r="S110" s="7">
        <f>IF($U110="","",IF(INDEX('Per Invoice'!S$2:S$401,$U110)="","",INDEX('Per Invoice'!S$2:S$401,$U110)))</f>
        <v/>
      </c>
      <c r="T110" s="7">
        <f>IF($U110="","",IF(INDEX('Per Invoice'!T$2:T$401,$U110)="","",INDEX('Per Invoice'!T$2:T$401,$U110)))</f>
        <v/>
      </c>
      <c r="U110" s="16">
        <f>IFERROR(MATCH(Settings!$C$28&amp;"|"&amp;ROWS($U$2:$U110),'Per Invoice'!$V$2:$V$401,0),"")</f>
        <v/>
      </c>
    </row>
    <row r="111">
      <c r="A111">
        <f>IF($U111="","",IF(INDEX('Per Invoice'!A$2:A$401,$U111)="","",INDEX('Per Invoice'!A$2:A$401,$U111)))</f>
        <v/>
      </c>
      <c r="B111">
        <f>IF($U111="","",IF(INDEX('Per Invoice'!B$2:B$401,$U111)="","",INDEX('Per Invoice'!B$2:B$401,$U111)))</f>
        <v/>
      </c>
      <c r="C111">
        <f>IF($U111="","",IF(INDEX('Per Invoice'!C$2:C$401,$U111)="","",INDEX('Per Invoice'!C$2:C$401,$U111)))</f>
        <v/>
      </c>
      <c r="D111">
        <f>IF($U111="","",IF(INDEX('Per Invoice'!D$2:D$401,$U111)="","",INDEX('Per Invoice'!D$2:D$401,$U111)))</f>
        <v/>
      </c>
      <c r="E111">
        <f>IF($U111="","",IF(INDEX('Per Invoice'!E$2:E$401,$U111)="","",INDEX('Per Invoice'!E$2:E$401,$U111)))</f>
        <v/>
      </c>
      <c r="F111">
        <f>IF($U111="","",IF(INDEX('Per Invoice'!F$2:F$401,$U111)="","",INDEX('Per Invoice'!F$2:F$401,$U111)))</f>
        <v/>
      </c>
      <c r="G111">
        <f>IF($U111="","",IF(INDEX('Per Invoice'!G$2:G$401,$U111)="","",INDEX('Per Invoice'!G$2:G$401,$U111)))</f>
        <v/>
      </c>
      <c r="H111" s="7">
        <f>IF($U111="","",IF(INDEX('Per Invoice'!H$2:H$401,$U111)="","",INDEX('Per Invoice'!H$2:H$401,$U111)))</f>
        <v/>
      </c>
      <c r="I111" s="14">
        <f>IF($U111="","",IF(INDEX('Per Invoice'!I$2:I$401,$U111)="","",INDEX('Per Invoice'!I$2:I$401,$U111)))</f>
        <v/>
      </c>
      <c r="J111">
        <f>IF($U111="","",IF(INDEX('Per Invoice'!J$2:J$401,$U111)="","",INDEX('Per Invoice'!J$2:J$401,$U111)))</f>
        <v/>
      </c>
      <c r="K111">
        <f>IF($U111="","",IF(INDEX('Per Invoice'!K$2:K$401,$U111)="","",INDEX('Per Invoice'!K$2:K$401,$U111)))</f>
        <v/>
      </c>
      <c r="L111" s="7">
        <f>IF($U111="","",IF(INDEX('Per Invoice'!L$2:L$401,$U111)="","",INDEX('Per Invoice'!L$2:L$401,$U111)))</f>
        <v/>
      </c>
      <c r="M111" s="7">
        <f>IF($U111="","",IF(INDEX('Per Invoice'!M$2:M$401,$U111)="","",INDEX('Per Invoice'!M$2:M$401,$U111)))</f>
        <v/>
      </c>
      <c r="N111">
        <f>IF($U111="","",IF(INDEX('Per Invoice'!N$2:N$401,$U111)="","",INDEX('Per Invoice'!N$2:N$401,$U111)))</f>
        <v/>
      </c>
      <c r="O111" s="7">
        <f>IF($U111="","",IF(INDEX('Per Invoice'!O$2:O$401,$U111)="","",INDEX('Per Invoice'!O$2:O$401,$U111)))</f>
        <v/>
      </c>
      <c r="P111" s="7">
        <f>IF($U111="","",IF(INDEX('Per Invoice'!P$2:P$401,$U111)="","",INDEX('Per Invoice'!P$2:P$401,$U111)))</f>
        <v/>
      </c>
      <c r="Q111" s="7">
        <f>IF($U111="","",IF(INDEX('Per Invoice'!Q$2:Q$401,$U111)="","",INDEX('Per Invoice'!Q$2:Q$401,$U111)))</f>
        <v/>
      </c>
      <c r="R111" s="7">
        <f>IF($U111="","",IF(INDEX('Per Invoice'!R$2:R$401,$U111)="","",INDEX('Per Invoice'!R$2:R$401,$U111)))</f>
        <v/>
      </c>
      <c r="S111" s="7">
        <f>IF($U111="","",IF(INDEX('Per Invoice'!S$2:S$401,$U111)="","",INDEX('Per Invoice'!S$2:S$401,$U111)))</f>
        <v/>
      </c>
      <c r="T111" s="7">
        <f>IF($U111="","",IF(INDEX('Per Invoice'!T$2:T$401,$U111)="","",INDEX('Per Invoice'!T$2:T$401,$U111)))</f>
        <v/>
      </c>
      <c r="U111" s="16">
        <f>IFERROR(MATCH(Settings!$C$28&amp;"|"&amp;ROWS($U$2:$U111),'Per Invoice'!$V$2:$V$401,0),"")</f>
        <v/>
      </c>
    </row>
    <row r="112">
      <c r="A112">
        <f>IF($U112="","",IF(INDEX('Per Invoice'!A$2:A$401,$U112)="","",INDEX('Per Invoice'!A$2:A$401,$U112)))</f>
        <v/>
      </c>
      <c r="B112">
        <f>IF($U112="","",IF(INDEX('Per Invoice'!B$2:B$401,$U112)="","",INDEX('Per Invoice'!B$2:B$401,$U112)))</f>
        <v/>
      </c>
      <c r="C112">
        <f>IF($U112="","",IF(INDEX('Per Invoice'!C$2:C$401,$U112)="","",INDEX('Per Invoice'!C$2:C$401,$U112)))</f>
        <v/>
      </c>
      <c r="D112">
        <f>IF($U112="","",IF(INDEX('Per Invoice'!D$2:D$401,$U112)="","",INDEX('Per Invoice'!D$2:D$401,$U112)))</f>
        <v/>
      </c>
      <c r="E112">
        <f>IF($U112="","",IF(INDEX('Per Invoice'!E$2:E$401,$U112)="","",INDEX('Per Invoice'!E$2:E$401,$U112)))</f>
        <v/>
      </c>
      <c r="F112">
        <f>IF($U112="","",IF(INDEX('Per Invoice'!F$2:F$401,$U112)="","",INDEX('Per Invoice'!F$2:F$401,$U112)))</f>
        <v/>
      </c>
      <c r="G112">
        <f>IF($U112="","",IF(INDEX('Per Invoice'!G$2:G$401,$U112)="","",INDEX('Per Invoice'!G$2:G$401,$U112)))</f>
        <v/>
      </c>
      <c r="H112" s="7">
        <f>IF($U112="","",IF(INDEX('Per Invoice'!H$2:H$401,$U112)="","",INDEX('Per Invoice'!H$2:H$401,$U112)))</f>
        <v/>
      </c>
      <c r="I112" s="14">
        <f>IF($U112="","",IF(INDEX('Per Invoice'!I$2:I$401,$U112)="","",INDEX('Per Invoice'!I$2:I$401,$U112)))</f>
        <v/>
      </c>
      <c r="J112">
        <f>IF($U112="","",IF(INDEX('Per Invoice'!J$2:J$401,$U112)="","",INDEX('Per Invoice'!J$2:J$401,$U112)))</f>
        <v/>
      </c>
      <c r="K112">
        <f>IF($U112="","",IF(INDEX('Per Invoice'!K$2:K$401,$U112)="","",INDEX('Per Invoice'!K$2:K$401,$U112)))</f>
        <v/>
      </c>
      <c r="L112" s="7">
        <f>IF($U112="","",IF(INDEX('Per Invoice'!L$2:L$401,$U112)="","",INDEX('Per Invoice'!L$2:L$401,$U112)))</f>
        <v/>
      </c>
      <c r="M112" s="7">
        <f>IF($U112="","",IF(INDEX('Per Invoice'!M$2:M$401,$U112)="","",INDEX('Per Invoice'!M$2:M$401,$U112)))</f>
        <v/>
      </c>
      <c r="N112">
        <f>IF($U112="","",IF(INDEX('Per Invoice'!N$2:N$401,$U112)="","",INDEX('Per Invoice'!N$2:N$401,$U112)))</f>
        <v/>
      </c>
      <c r="O112" s="7">
        <f>IF($U112="","",IF(INDEX('Per Invoice'!O$2:O$401,$U112)="","",INDEX('Per Invoice'!O$2:O$401,$U112)))</f>
        <v/>
      </c>
      <c r="P112" s="7">
        <f>IF($U112="","",IF(INDEX('Per Invoice'!P$2:P$401,$U112)="","",INDEX('Per Invoice'!P$2:P$401,$U112)))</f>
        <v/>
      </c>
      <c r="Q112" s="7">
        <f>IF($U112="","",IF(INDEX('Per Invoice'!Q$2:Q$401,$U112)="","",INDEX('Per Invoice'!Q$2:Q$401,$U112)))</f>
        <v/>
      </c>
      <c r="R112" s="7">
        <f>IF($U112="","",IF(INDEX('Per Invoice'!R$2:R$401,$U112)="","",INDEX('Per Invoice'!R$2:R$401,$U112)))</f>
        <v/>
      </c>
      <c r="S112" s="7">
        <f>IF($U112="","",IF(INDEX('Per Invoice'!S$2:S$401,$U112)="","",INDEX('Per Invoice'!S$2:S$401,$U112)))</f>
        <v/>
      </c>
      <c r="T112" s="7">
        <f>IF($U112="","",IF(INDEX('Per Invoice'!T$2:T$401,$U112)="","",INDEX('Per Invoice'!T$2:T$401,$U112)))</f>
        <v/>
      </c>
      <c r="U112" s="16">
        <f>IFERROR(MATCH(Settings!$C$28&amp;"|"&amp;ROWS($U$2:$U112),'Per Invoice'!$V$2:$V$401,0),"")</f>
        <v/>
      </c>
    </row>
    <row r="113">
      <c r="A113">
        <f>IF($U113="","",IF(INDEX('Per Invoice'!A$2:A$401,$U113)="","",INDEX('Per Invoice'!A$2:A$401,$U113)))</f>
        <v/>
      </c>
      <c r="B113">
        <f>IF($U113="","",IF(INDEX('Per Invoice'!B$2:B$401,$U113)="","",INDEX('Per Invoice'!B$2:B$401,$U113)))</f>
        <v/>
      </c>
      <c r="C113">
        <f>IF($U113="","",IF(INDEX('Per Invoice'!C$2:C$401,$U113)="","",INDEX('Per Invoice'!C$2:C$401,$U113)))</f>
        <v/>
      </c>
      <c r="D113">
        <f>IF($U113="","",IF(INDEX('Per Invoice'!D$2:D$401,$U113)="","",INDEX('Per Invoice'!D$2:D$401,$U113)))</f>
        <v/>
      </c>
      <c r="E113">
        <f>IF($U113="","",IF(INDEX('Per Invoice'!E$2:E$401,$U113)="","",INDEX('Per Invoice'!E$2:E$401,$U113)))</f>
        <v/>
      </c>
      <c r="F113">
        <f>IF($U113="","",IF(INDEX('Per Invoice'!F$2:F$401,$U113)="","",INDEX('Per Invoice'!F$2:F$401,$U113)))</f>
        <v/>
      </c>
      <c r="G113">
        <f>IF($U113="","",IF(INDEX('Per Invoice'!G$2:G$401,$U113)="","",INDEX('Per Invoice'!G$2:G$401,$U113)))</f>
        <v/>
      </c>
      <c r="H113" s="7">
        <f>IF($U113="","",IF(INDEX('Per Invoice'!H$2:H$401,$U113)="","",INDEX('Per Invoice'!H$2:H$401,$U113)))</f>
        <v/>
      </c>
      <c r="I113" s="14">
        <f>IF($U113="","",IF(INDEX('Per Invoice'!I$2:I$401,$U113)="","",INDEX('Per Invoice'!I$2:I$401,$U113)))</f>
        <v/>
      </c>
      <c r="J113">
        <f>IF($U113="","",IF(INDEX('Per Invoice'!J$2:J$401,$U113)="","",INDEX('Per Invoice'!J$2:J$401,$U113)))</f>
        <v/>
      </c>
      <c r="K113">
        <f>IF($U113="","",IF(INDEX('Per Invoice'!K$2:K$401,$U113)="","",INDEX('Per Invoice'!K$2:K$401,$U113)))</f>
        <v/>
      </c>
      <c r="L113" s="7">
        <f>IF($U113="","",IF(INDEX('Per Invoice'!L$2:L$401,$U113)="","",INDEX('Per Invoice'!L$2:L$401,$U113)))</f>
        <v/>
      </c>
      <c r="M113" s="7">
        <f>IF($U113="","",IF(INDEX('Per Invoice'!M$2:M$401,$U113)="","",INDEX('Per Invoice'!M$2:M$401,$U113)))</f>
        <v/>
      </c>
      <c r="N113">
        <f>IF($U113="","",IF(INDEX('Per Invoice'!N$2:N$401,$U113)="","",INDEX('Per Invoice'!N$2:N$401,$U113)))</f>
        <v/>
      </c>
      <c r="O113" s="7">
        <f>IF($U113="","",IF(INDEX('Per Invoice'!O$2:O$401,$U113)="","",INDEX('Per Invoice'!O$2:O$401,$U113)))</f>
        <v/>
      </c>
      <c r="P113" s="7">
        <f>IF($U113="","",IF(INDEX('Per Invoice'!P$2:P$401,$U113)="","",INDEX('Per Invoice'!P$2:P$401,$U113)))</f>
        <v/>
      </c>
      <c r="Q113" s="7">
        <f>IF($U113="","",IF(INDEX('Per Invoice'!Q$2:Q$401,$U113)="","",INDEX('Per Invoice'!Q$2:Q$401,$U113)))</f>
        <v/>
      </c>
      <c r="R113" s="7">
        <f>IF($U113="","",IF(INDEX('Per Invoice'!R$2:R$401,$U113)="","",INDEX('Per Invoice'!R$2:R$401,$U113)))</f>
        <v/>
      </c>
      <c r="S113" s="7">
        <f>IF($U113="","",IF(INDEX('Per Invoice'!S$2:S$401,$U113)="","",INDEX('Per Invoice'!S$2:S$401,$U113)))</f>
        <v/>
      </c>
      <c r="T113" s="7">
        <f>IF($U113="","",IF(INDEX('Per Invoice'!T$2:T$401,$U113)="","",INDEX('Per Invoice'!T$2:T$401,$U113)))</f>
        <v/>
      </c>
      <c r="U113" s="16">
        <f>IFERROR(MATCH(Settings!$C$28&amp;"|"&amp;ROWS($U$2:$U113),'Per Invoice'!$V$2:$V$401,0),"")</f>
        <v/>
      </c>
    </row>
    <row r="114">
      <c r="A114">
        <f>IF($U114="","",IF(INDEX('Per Invoice'!A$2:A$401,$U114)="","",INDEX('Per Invoice'!A$2:A$401,$U114)))</f>
        <v/>
      </c>
      <c r="B114">
        <f>IF($U114="","",IF(INDEX('Per Invoice'!B$2:B$401,$U114)="","",INDEX('Per Invoice'!B$2:B$401,$U114)))</f>
        <v/>
      </c>
      <c r="C114">
        <f>IF($U114="","",IF(INDEX('Per Invoice'!C$2:C$401,$U114)="","",INDEX('Per Invoice'!C$2:C$401,$U114)))</f>
        <v/>
      </c>
      <c r="D114">
        <f>IF($U114="","",IF(INDEX('Per Invoice'!D$2:D$401,$U114)="","",INDEX('Per Invoice'!D$2:D$401,$U114)))</f>
        <v/>
      </c>
      <c r="E114">
        <f>IF($U114="","",IF(INDEX('Per Invoice'!E$2:E$401,$U114)="","",INDEX('Per Invoice'!E$2:E$401,$U114)))</f>
        <v/>
      </c>
      <c r="F114">
        <f>IF($U114="","",IF(INDEX('Per Invoice'!F$2:F$401,$U114)="","",INDEX('Per Invoice'!F$2:F$401,$U114)))</f>
        <v/>
      </c>
      <c r="G114">
        <f>IF($U114="","",IF(INDEX('Per Invoice'!G$2:G$401,$U114)="","",INDEX('Per Invoice'!G$2:G$401,$U114)))</f>
        <v/>
      </c>
      <c r="H114" s="7">
        <f>IF($U114="","",IF(INDEX('Per Invoice'!H$2:H$401,$U114)="","",INDEX('Per Invoice'!H$2:H$401,$U114)))</f>
        <v/>
      </c>
      <c r="I114" s="14">
        <f>IF($U114="","",IF(INDEX('Per Invoice'!I$2:I$401,$U114)="","",INDEX('Per Invoice'!I$2:I$401,$U114)))</f>
        <v/>
      </c>
      <c r="J114">
        <f>IF($U114="","",IF(INDEX('Per Invoice'!J$2:J$401,$U114)="","",INDEX('Per Invoice'!J$2:J$401,$U114)))</f>
        <v/>
      </c>
      <c r="K114">
        <f>IF($U114="","",IF(INDEX('Per Invoice'!K$2:K$401,$U114)="","",INDEX('Per Invoice'!K$2:K$401,$U114)))</f>
        <v/>
      </c>
      <c r="L114" s="7">
        <f>IF($U114="","",IF(INDEX('Per Invoice'!L$2:L$401,$U114)="","",INDEX('Per Invoice'!L$2:L$401,$U114)))</f>
        <v/>
      </c>
      <c r="M114" s="7">
        <f>IF($U114="","",IF(INDEX('Per Invoice'!M$2:M$401,$U114)="","",INDEX('Per Invoice'!M$2:M$401,$U114)))</f>
        <v/>
      </c>
      <c r="N114">
        <f>IF($U114="","",IF(INDEX('Per Invoice'!N$2:N$401,$U114)="","",INDEX('Per Invoice'!N$2:N$401,$U114)))</f>
        <v/>
      </c>
      <c r="O114" s="7">
        <f>IF($U114="","",IF(INDEX('Per Invoice'!O$2:O$401,$U114)="","",INDEX('Per Invoice'!O$2:O$401,$U114)))</f>
        <v/>
      </c>
      <c r="P114" s="7">
        <f>IF($U114="","",IF(INDEX('Per Invoice'!P$2:P$401,$U114)="","",INDEX('Per Invoice'!P$2:P$401,$U114)))</f>
        <v/>
      </c>
      <c r="Q114" s="7">
        <f>IF($U114="","",IF(INDEX('Per Invoice'!Q$2:Q$401,$U114)="","",INDEX('Per Invoice'!Q$2:Q$401,$U114)))</f>
        <v/>
      </c>
      <c r="R114" s="7">
        <f>IF($U114="","",IF(INDEX('Per Invoice'!R$2:R$401,$U114)="","",INDEX('Per Invoice'!R$2:R$401,$U114)))</f>
        <v/>
      </c>
      <c r="S114" s="7">
        <f>IF($U114="","",IF(INDEX('Per Invoice'!S$2:S$401,$U114)="","",INDEX('Per Invoice'!S$2:S$401,$U114)))</f>
        <v/>
      </c>
      <c r="T114" s="7">
        <f>IF($U114="","",IF(INDEX('Per Invoice'!T$2:T$401,$U114)="","",INDEX('Per Invoice'!T$2:T$401,$U114)))</f>
        <v/>
      </c>
      <c r="U114" s="16">
        <f>IFERROR(MATCH(Settings!$C$28&amp;"|"&amp;ROWS($U$2:$U114),'Per Invoice'!$V$2:$V$401,0),"")</f>
        <v/>
      </c>
    </row>
    <row r="115">
      <c r="A115">
        <f>IF($U115="","",IF(INDEX('Per Invoice'!A$2:A$401,$U115)="","",INDEX('Per Invoice'!A$2:A$401,$U115)))</f>
        <v/>
      </c>
      <c r="B115">
        <f>IF($U115="","",IF(INDEX('Per Invoice'!B$2:B$401,$U115)="","",INDEX('Per Invoice'!B$2:B$401,$U115)))</f>
        <v/>
      </c>
      <c r="C115">
        <f>IF($U115="","",IF(INDEX('Per Invoice'!C$2:C$401,$U115)="","",INDEX('Per Invoice'!C$2:C$401,$U115)))</f>
        <v/>
      </c>
      <c r="D115">
        <f>IF($U115="","",IF(INDEX('Per Invoice'!D$2:D$401,$U115)="","",INDEX('Per Invoice'!D$2:D$401,$U115)))</f>
        <v/>
      </c>
      <c r="E115">
        <f>IF($U115="","",IF(INDEX('Per Invoice'!E$2:E$401,$U115)="","",INDEX('Per Invoice'!E$2:E$401,$U115)))</f>
        <v/>
      </c>
      <c r="F115">
        <f>IF($U115="","",IF(INDEX('Per Invoice'!F$2:F$401,$U115)="","",INDEX('Per Invoice'!F$2:F$401,$U115)))</f>
        <v/>
      </c>
      <c r="G115">
        <f>IF($U115="","",IF(INDEX('Per Invoice'!G$2:G$401,$U115)="","",INDEX('Per Invoice'!G$2:G$401,$U115)))</f>
        <v/>
      </c>
      <c r="H115" s="7">
        <f>IF($U115="","",IF(INDEX('Per Invoice'!H$2:H$401,$U115)="","",INDEX('Per Invoice'!H$2:H$401,$U115)))</f>
        <v/>
      </c>
      <c r="I115" s="14">
        <f>IF($U115="","",IF(INDEX('Per Invoice'!I$2:I$401,$U115)="","",INDEX('Per Invoice'!I$2:I$401,$U115)))</f>
        <v/>
      </c>
      <c r="J115">
        <f>IF($U115="","",IF(INDEX('Per Invoice'!J$2:J$401,$U115)="","",INDEX('Per Invoice'!J$2:J$401,$U115)))</f>
        <v/>
      </c>
      <c r="K115">
        <f>IF($U115="","",IF(INDEX('Per Invoice'!K$2:K$401,$U115)="","",INDEX('Per Invoice'!K$2:K$401,$U115)))</f>
        <v/>
      </c>
      <c r="L115" s="7">
        <f>IF($U115="","",IF(INDEX('Per Invoice'!L$2:L$401,$U115)="","",INDEX('Per Invoice'!L$2:L$401,$U115)))</f>
        <v/>
      </c>
      <c r="M115" s="7">
        <f>IF($U115="","",IF(INDEX('Per Invoice'!M$2:M$401,$U115)="","",INDEX('Per Invoice'!M$2:M$401,$U115)))</f>
        <v/>
      </c>
      <c r="N115">
        <f>IF($U115="","",IF(INDEX('Per Invoice'!N$2:N$401,$U115)="","",INDEX('Per Invoice'!N$2:N$401,$U115)))</f>
        <v/>
      </c>
      <c r="O115" s="7">
        <f>IF($U115="","",IF(INDEX('Per Invoice'!O$2:O$401,$U115)="","",INDEX('Per Invoice'!O$2:O$401,$U115)))</f>
        <v/>
      </c>
      <c r="P115" s="7">
        <f>IF($U115="","",IF(INDEX('Per Invoice'!P$2:P$401,$U115)="","",INDEX('Per Invoice'!P$2:P$401,$U115)))</f>
        <v/>
      </c>
      <c r="Q115" s="7">
        <f>IF($U115="","",IF(INDEX('Per Invoice'!Q$2:Q$401,$U115)="","",INDEX('Per Invoice'!Q$2:Q$401,$U115)))</f>
        <v/>
      </c>
      <c r="R115" s="7">
        <f>IF($U115="","",IF(INDEX('Per Invoice'!R$2:R$401,$U115)="","",INDEX('Per Invoice'!R$2:R$401,$U115)))</f>
        <v/>
      </c>
      <c r="S115" s="7">
        <f>IF($U115="","",IF(INDEX('Per Invoice'!S$2:S$401,$U115)="","",INDEX('Per Invoice'!S$2:S$401,$U115)))</f>
        <v/>
      </c>
      <c r="T115" s="7">
        <f>IF($U115="","",IF(INDEX('Per Invoice'!T$2:T$401,$U115)="","",INDEX('Per Invoice'!T$2:T$401,$U115)))</f>
        <v/>
      </c>
      <c r="U115" s="16">
        <f>IFERROR(MATCH(Settings!$C$28&amp;"|"&amp;ROWS($U$2:$U115),'Per Invoice'!$V$2:$V$401,0),"")</f>
        <v/>
      </c>
    </row>
    <row r="116">
      <c r="A116">
        <f>IF($U116="","",IF(INDEX('Per Invoice'!A$2:A$401,$U116)="","",INDEX('Per Invoice'!A$2:A$401,$U116)))</f>
        <v/>
      </c>
      <c r="B116">
        <f>IF($U116="","",IF(INDEX('Per Invoice'!B$2:B$401,$U116)="","",INDEX('Per Invoice'!B$2:B$401,$U116)))</f>
        <v/>
      </c>
      <c r="C116">
        <f>IF($U116="","",IF(INDEX('Per Invoice'!C$2:C$401,$U116)="","",INDEX('Per Invoice'!C$2:C$401,$U116)))</f>
        <v/>
      </c>
      <c r="D116">
        <f>IF($U116="","",IF(INDEX('Per Invoice'!D$2:D$401,$U116)="","",INDEX('Per Invoice'!D$2:D$401,$U116)))</f>
        <v/>
      </c>
      <c r="E116">
        <f>IF($U116="","",IF(INDEX('Per Invoice'!E$2:E$401,$U116)="","",INDEX('Per Invoice'!E$2:E$401,$U116)))</f>
        <v/>
      </c>
      <c r="F116">
        <f>IF($U116="","",IF(INDEX('Per Invoice'!F$2:F$401,$U116)="","",INDEX('Per Invoice'!F$2:F$401,$U116)))</f>
        <v/>
      </c>
      <c r="G116">
        <f>IF($U116="","",IF(INDEX('Per Invoice'!G$2:G$401,$U116)="","",INDEX('Per Invoice'!G$2:G$401,$U116)))</f>
        <v/>
      </c>
      <c r="H116" s="7">
        <f>IF($U116="","",IF(INDEX('Per Invoice'!H$2:H$401,$U116)="","",INDEX('Per Invoice'!H$2:H$401,$U116)))</f>
        <v/>
      </c>
      <c r="I116" s="14">
        <f>IF($U116="","",IF(INDEX('Per Invoice'!I$2:I$401,$U116)="","",INDEX('Per Invoice'!I$2:I$401,$U116)))</f>
        <v/>
      </c>
      <c r="J116">
        <f>IF($U116="","",IF(INDEX('Per Invoice'!J$2:J$401,$U116)="","",INDEX('Per Invoice'!J$2:J$401,$U116)))</f>
        <v/>
      </c>
      <c r="K116">
        <f>IF($U116="","",IF(INDEX('Per Invoice'!K$2:K$401,$U116)="","",INDEX('Per Invoice'!K$2:K$401,$U116)))</f>
        <v/>
      </c>
      <c r="L116" s="7">
        <f>IF($U116="","",IF(INDEX('Per Invoice'!L$2:L$401,$U116)="","",INDEX('Per Invoice'!L$2:L$401,$U116)))</f>
        <v/>
      </c>
      <c r="M116" s="7">
        <f>IF($U116="","",IF(INDEX('Per Invoice'!M$2:M$401,$U116)="","",INDEX('Per Invoice'!M$2:M$401,$U116)))</f>
        <v/>
      </c>
      <c r="N116">
        <f>IF($U116="","",IF(INDEX('Per Invoice'!N$2:N$401,$U116)="","",INDEX('Per Invoice'!N$2:N$401,$U116)))</f>
        <v/>
      </c>
      <c r="O116" s="7">
        <f>IF($U116="","",IF(INDEX('Per Invoice'!O$2:O$401,$U116)="","",INDEX('Per Invoice'!O$2:O$401,$U116)))</f>
        <v/>
      </c>
      <c r="P116" s="7">
        <f>IF($U116="","",IF(INDEX('Per Invoice'!P$2:P$401,$U116)="","",INDEX('Per Invoice'!P$2:P$401,$U116)))</f>
        <v/>
      </c>
      <c r="Q116" s="7">
        <f>IF($U116="","",IF(INDEX('Per Invoice'!Q$2:Q$401,$U116)="","",INDEX('Per Invoice'!Q$2:Q$401,$U116)))</f>
        <v/>
      </c>
      <c r="R116" s="7">
        <f>IF($U116="","",IF(INDEX('Per Invoice'!R$2:R$401,$U116)="","",INDEX('Per Invoice'!R$2:R$401,$U116)))</f>
        <v/>
      </c>
      <c r="S116" s="7">
        <f>IF($U116="","",IF(INDEX('Per Invoice'!S$2:S$401,$U116)="","",INDEX('Per Invoice'!S$2:S$401,$U116)))</f>
        <v/>
      </c>
      <c r="T116" s="7">
        <f>IF($U116="","",IF(INDEX('Per Invoice'!T$2:T$401,$U116)="","",INDEX('Per Invoice'!T$2:T$401,$U116)))</f>
        <v/>
      </c>
      <c r="U116" s="16">
        <f>IFERROR(MATCH(Settings!$C$28&amp;"|"&amp;ROWS($U$2:$U116),'Per Invoice'!$V$2:$V$401,0),"")</f>
        <v/>
      </c>
    </row>
    <row r="117">
      <c r="A117">
        <f>IF($U117="","",IF(INDEX('Per Invoice'!A$2:A$401,$U117)="","",INDEX('Per Invoice'!A$2:A$401,$U117)))</f>
        <v/>
      </c>
      <c r="B117">
        <f>IF($U117="","",IF(INDEX('Per Invoice'!B$2:B$401,$U117)="","",INDEX('Per Invoice'!B$2:B$401,$U117)))</f>
        <v/>
      </c>
      <c r="C117">
        <f>IF($U117="","",IF(INDEX('Per Invoice'!C$2:C$401,$U117)="","",INDEX('Per Invoice'!C$2:C$401,$U117)))</f>
        <v/>
      </c>
      <c r="D117">
        <f>IF($U117="","",IF(INDEX('Per Invoice'!D$2:D$401,$U117)="","",INDEX('Per Invoice'!D$2:D$401,$U117)))</f>
        <v/>
      </c>
      <c r="E117">
        <f>IF($U117="","",IF(INDEX('Per Invoice'!E$2:E$401,$U117)="","",INDEX('Per Invoice'!E$2:E$401,$U117)))</f>
        <v/>
      </c>
      <c r="F117">
        <f>IF($U117="","",IF(INDEX('Per Invoice'!F$2:F$401,$U117)="","",INDEX('Per Invoice'!F$2:F$401,$U117)))</f>
        <v/>
      </c>
      <c r="G117">
        <f>IF($U117="","",IF(INDEX('Per Invoice'!G$2:G$401,$U117)="","",INDEX('Per Invoice'!G$2:G$401,$U117)))</f>
        <v/>
      </c>
      <c r="H117" s="7">
        <f>IF($U117="","",IF(INDEX('Per Invoice'!H$2:H$401,$U117)="","",INDEX('Per Invoice'!H$2:H$401,$U117)))</f>
        <v/>
      </c>
      <c r="I117" s="14">
        <f>IF($U117="","",IF(INDEX('Per Invoice'!I$2:I$401,$U117)="","",INDEX('Per Invoice'!I$2:I$401,$U117)))</f>
        <v/>
      </c>
      <c r="J117">
        <f>IF($U117="","",IF(INDEX('Per Invoice'!J$2:J$401,$U117)="","",INDEX('Per Invoice'!J$2:J$401,$U117)))</f>
        <v/>
      </c>
      <c r="K117">
        <f>IF($U117="","",IF(INDEX('Per Invoice'!K$2:K$401,$U117)="","",INDEX('Per Invoice'!K$2:K$401,$U117)))</f>
        <v/>
      </c>
      <c r="L117" s="7">
        <f>IF($U117="","",IF(INDEX('Per Invoice'!L$2:L$401,$U117)="","",INDEX('Per Invoice'!L$2:L$401,$U117)))</f>
        <v/>
      </c>
      <c r="M117" s="7">
        <f>IF($U117="","",IF(INDEX('Per Invoice'!M$2:M$401,$U117)="","",INDEX('Per Invoice'!M$2:M$401,$U117)))</f>
        <v/>
      </c>
      <c r="N117">
        <f>IF($U117="","",IF(INDEX('Per Invoice'!N$2:N$401,$U117)="","",INDEX('Per Invoice'!N$2:N$401,$U117)))</f>
        <v/>
      </c>
      <c r="O117" s="7">
        <f>IF($U117="","",IF(INDEX('Per Invoice'!O$2:O$401,$U117)="","",INDEX('Per Invoice'!O$2:O$401,$U117)))</f>
        <v/>
      </c>
      <c r="P117" s="7">
        <f>IF($U117="","",IF(INDEX('Per Invoice'!P$2:P$401,$U117)="","",INDEX('Per Invoice'!P$2:P$401,$U117)))</f>
        <v/>
      </c>
      <c r="Q117" s="7">
        <f>IF($U117="","",IF(INDEX('Per Invoice'!Q$2:Q$401,$U117)="","",INDEX('Per Invoice'!Q$2:Q$401,$U117)))</f>
        <v/>
      </c>
      <c r="R117" s="7">
        <f>IF($U117="","",IF(INDEX('Per Invoice'!R$2:R$401,$U117)="","",INDEX('Per Invoice'!R$2:R$401,$U117)))</f>
        <v/>
      </c>
      <c r="S117" s="7">
        <f>IF($U117="","",IF(INDEX('Per Invoice'!S$2:S$401,$U117)="","",INDEX('Per Invoice'!S$2:S$401,$U117)))</f>
        <v/>
      </c>
      <c r="T117" s="7">
        <f>IF($U117="","",IF(INDEX('Per Invoice'!T$2:T$401,$U117)="","",INDEX('Per Invoice'!T$2:T$401,$U117)))</f>
        <v/>
      </c>
      <c r="U117" s="16">
        <f>IFERROR(MATCH(Settings!$C$28&amp;"|"&amp;ROWS($U$2:$U117),'Per Invoice'!$V$2:$V$401,0),"")</f>
        <v/>
      </c>
    </row>
    <row r="118">
      <c r="A118">
        <f>IF($U118="","",IF(INDEX('Per Invoice'!A$2:A$401,$U118)="","",INDEX('Per Invoice'!A$2:A$401,$U118)))</f>
        <v/>
      </c>
      <c r="B118">
        <f>IF($U118="","",IF(INDEX('Per Invoice'!B$2:B$401,$U118)="","",INDEX('Per Invoice'!B$2:B$401,$U118)))</f>
        <v/>
      </c>
      <c r="C118">
        <f>IF($U118="","",IF(INDEX('Per Invoice'!C$2:C$401,$U118)="","",INDEX('Per Invoice'!C$2:C$401,$U118)))</f>
        <v/>
      </c>
      <c r="D118">
        <f>IF($U118="","",IF(INDEX('Per Invoice'!D$2:D$401,$U118)="","",INDEX('Per Invoice'!D$2:D$401,$U118)))</f>
        <v/>
      </c>
      <c r="E118">
        <f>IF($U118="","",IF(INDEX('Per Invoice'!E$2:E$401,$U118)="","",INDEX('Per Invoice'!E$2:E$401,$U118)))</f>
        <v/>
      </c>
      <c r="F118">
        <f>IF($U118="","",IF(INDEX('Per Invoice'!F$2:F$401,$U118)="","",INDEX('Per Invoice'!F$2:F$401,$U118)))</f>
        <v/>
      </c>
      <c r="G118">
        <f>IF($U118="","",IF(INDEX('Per Invoice'!G$2:G$401,$U118)="","",INDEX('Per Invoice'!G$2:G$401,$U118)))</f>
        <v/>
      </c>
      <c r="H118" s="7">
        <f>IF($U118="","",IF(INDEX('Per Invoice'!H$2:H$401,$U118)="","",INDEX('Per Invoice'!H$2:H$401,$U118)))</f>
        <v/>
      </c>
      <c r="I118" s="14">
        <f>IF($U118="","",IF(INDEX('Per Invoice'!I$2:I$401,$U118)="","",INDEX('Per Invoice'!I$2:I$401,$U118)))</f>
        <v/>
      </c>
      <c r="J118">
        <f>IF($U118="","",IF(INDEX('Per Invoice'!J$2:J$401,$U118)="","",INDEX('Per Invoice'!J$2:J$401,$U118)))</f>
        <v/>
      </c>
      <c r="K118">
        <f>IF($U118="","",IF(INDEX('Per Invoice'!K$2:K$401,$U118)="","",INDEX('Per Invoice'!K$2:K$401,$U118)))</f>
        <v/>
      </c>
      <c r="L118" s="7">
        <f>IF($U118="","",IF(INDEX('Per Invoice'!L$2:L$401,$U118)="","",INDEX('Per Invoice'!L$2:L$401,$U118)))</f>
        <v/>
      </c>
      <c r="M118" s="7">
        <f>IF($U118="","",IF(INDEX('Per Invoice'!M$2:M$401,$U118)="","",INDEX('Per Invoice'!M$2:M$401,$U118)))</f>
        <v/>
      </c>
      <c r="N118">
        <f>IF($U118="","",IF(INDEX('Per Invoice'!N$2:N$401,$U118)="","",INDEX('Per Invoice'!N$2:N$401,$U118)))</f>
        <v/>
      </c>
      <c r="O118" s="7">
        <f>IF($U118="","",IF(INDEX('Per Invoice'!O$2:O$401,$U118)="","",INDEX('Per Invoice'!O$2:O$401,$U118)))</f>
        <v/>
      </c>
      <c r="P118" s="7">
        <f>IF($U118="","",IF(INDEX('Per Invoice'!P$2:P$401,$U118)="","",INDEX('Per Invoice'!P$2:P$401,$U118)))</f>
        <v/>
      </c>
      <c r="Q118" s="7">
        <f>IF($U118="","",IF(INDEX('Per Invoice'!Q$2:Q$401,$U118)="","",INDEX('Per Invoice'!Q$2:Q$401,$U118)))</f>
        <v/>
      </c>
      <c r="R118" s="7">
        <f>IF($U118="","",IF(INDEX('Per Invoice'!R$2:R$401,$U118)="","",INDEX('Per Invoice'!R$2:R$401,$U118)))</f>
        <v/>
      </c>
      <c r="S118" s="7">
        <f>IF($U118="","",IF(INDEX('Per Invoice'!S$2:S$401,$U118)="","",INDEX('Per Invoice'!S$2:S$401,$U118)))</f>
        <v/>
      </c>
      <c r="T118" s="7">
        <f>IF($U118="","",IF(INDEX('Per Invoice'!T$2:T$401,$U118)="","",INDEX('Per Invoice'!T$2:T$401,$U118)))</f>
        <v/>
      </c>
      <c r="U118" s="16">
        <f>IFERROR(MATCH(Settings!$C$28&amp;"|"&amp;ROWS($U$2:$U118),'Per Invoice'!$V$2:$V$401,0),"")</f>
        <v/>
      </c>
    </row>
    <row r="119">
      <c r="A119">
        <f>IF($U119="","",IF(INDEX('Per Invoice'!A$2:A$401,$U119)="","",INDEX('Per Invoice'!A$2:A$401,$U119)))</f>
        <v/>
      </c>
      <c r="B119">
        <f>IF($U119="","",IF(INDEX('Per Invoice'!B$2:B$401,$U119)="","",INDEX('Per Invoice'!B$2:B$401,$U119)))</f>
        <v/>
      </c>
      <c r="C119">
        <f>IF($U119="","",IF(INDEX('Per Invoice'!C$2:C$401,$U119)="","",INDEX('Per Invoice'!C$2:C$401,$U119)))</f>
        <v/>
      </c>
      <c r="D119">
        <f>IF($U119="","",IF(INDEX('Per Invoice'!D$2:D$401,$U119)="","",INDEX('Per Invoice'!D$2:D$401,$U119)))</f>
        <v/>
      </c>
      <c r="E119">
        <f>IF($U119="","",IF(INDEX('Per Invoice'!E$2:E$401,$U119)="","",INDEX('Per Invoice'!E$2:E$401,$U119)))</f>
        <v/>
      </c>
      <c r="F119">
        <f>IF($U119="","",IF(INDEX('Per Invoice'!F$2:F$401,$U119)="","",INDEX('Per Invoice'!F$2:F$401,$U119)))</f>
        <v/>
      </c>
      <c r="G119">
        <f>IF($U119="","",IF(INDEX('Per Invoice'!G$2:G$401,$U119)="","",INDEX('Per Invoice'!G$2:G$401,$U119)))</f>
        <v/>
      </c>
      <c r="H119" s="7">
        <f>IF($U119="","",IF(INDEX('Per Invoice'!H$2:H$401,$U119)="","",INDEX('Per Invoice'!H$2:H$401,$U119)))</f>
        <v/>
      </c>
      <c r="I119" s="14">
        <f>IF($U119="","",IF(INDEX('Per Invoice'!I$2:I$401,$U119)="","",INDEX('Per Invoice'!I$2:I$401,$U119)))</f>
        <v/>
      </c>
      <c r="J119">
        <f>IF($U119="","",IF(INDEX('Per Invoice'!J$2:J$401,$U119)="","",INDEX('Per Invoice'!J$2:J$401,$U119)))</f>
        <v/>
      </c>
      <c r="K119">
        <f>IF($U119="","",IF(INDEX('Per Invoice'!K$2:K$401,$U119)="","",INDEX('Per Invoice'!K$2:K$401,$U119)))</f>
        <v/>
      </c>
      <c r="L119" s="7">
        <f>IF($U119="","",IF(INDEX('Per Invoice'!L$2:L$401,$U119)="","",INDEX('Per Invoice'!L$2:L$401,$U119)))</f>
        <v/>
      </c>
      <c r="M119" s="7">
        <f>IF($U119="","",IF(INDEX('Per Invoice'!M$2:M$401,$U119)="","",INDEX('Per Invoice'!M$2:M$401,$U119)))</f>
        <v/>
      </c>
      <c r="N119">
        <f>IF($U119="","",IF(INDEX('Per Invoice'!N$2:N$401,$U119)="","",INDEX('Per Invoice'!N$2:N$401,$U119)))</f>
        <v/>
      </c>
      <c r="O119" s="7">
        <f>IF($U119="","",IF(INDEX('Per Invoice'!O$2:O$401,$U119)="","",INDEX('Per Invoice'!O$2:O$401,$U119)))</f>
        <v/>
      </c>
      <c r="P119" s="7">
        <f>IF($U119="","",IF(INDEX('Per Invoice'!P$2:P$401,$U119)="","",INDEX('Per Invoice'!P$2:P$401,$U119)))</f>
        <v/>
      </c>
      <c r="Q119" s="7">
        <f>IF($U119="","",IF(INDEX('Per Invoice'!Q$2:Q$401,$U119)="","",INDEX('Per Invoice'!Q$2:Q$401,$U119)))</f>
        <v/>
      </c>
      <c r="R119" s="7">
        <f>IF($U119="","",IF(INDEX('Per Invoice'!R$2:R$401,$U119)="","",INDEX('Per Invoice'!R$2:R$401,$U119)))</f>
        <v/>
      </c>
      <c r="S119" s="7">
        <f>IF($U119="","",IF(INDEX('Per Invoice'!S$2:S$401,$U119)="","",INDEX('Per Invoice'!S$2:S$401,$U119)))</f>
        <v/>
      </c>
      <c r="T119" s="7">
        <f>IF($U119="","",IF(INDEX('Per Invoice'!T$2:T$401,$U119)="","",INDEX('Per Invoice'!T$2:T$401,$U119)))</f>
        <v/>
      </c>
      <c r="U119" s="16">
        <f>IFERROR(MATCH(Settings!$C$28&amp;"|"&amp;ROWS($U$2:$U119),'Per Invoice'!$V$2:$V$401,0),"")</f>
        <v/>
      </c>
    </row>
    <row r="120">
      <c r="A120">
        <f>IF($U120="","",IF(INDEX('Per Invoice'!A$2:A$401,$U120)="","",INDEX('Per Invoice'!A$2:A$401,$U120)))</f>
        <v/>
      </c>
      <c r="B120">
        <f>IF($U120="","",IF(INDEX('Per Invoice'!B$2:B$401,$U120)="","",INDEX('Per Invoice'!B$2:B$401,$U120)))</f>
        <v/>
      </c>
      <c r="C120">
        <f>IF($U120="","",IF(INDEX('Per Invoice'!C$2:C$401,$U120)="","",INDEX('Per Invoice'!C$2:C$401,$U120)))</f>
        <v/>
      </c>
      <c r="D120">
        <f>IF($U120="","",IF(INDEX('Per Invoice'!D$2:D$401,$U120)="","",INDEX('Per Invoice'!D$2:D$401,$U120)))</f>
        <v/>
      </c>
      <c r="E120">
        <f>IF($U120="","",IF(INDEX('Per Invoice'!E$2:E$401,$U120)="","",INDEX('Per Invoice'!E$2:E$401,$U120)))</f>
        <v/>
      </c>
      <c r="F120">
        <f>IF($U120="","",IF(INDEX('Per Invoice'!F$2:F$401,$U120)="","",INDEX('Per Invoice'!F$2:F$401,$U120)))</f>
        <v/>
      </c>
      <c r="G120">
        <f>IF($U120="","",IF(INDEX('Per Invoice'!G$2:G$401,$U120)="","",INDEX('Per Invoice'!G$2:G$401,$U120)))</f>
        <v/>
      </c>
      <c r="H120" s="7">
        <f>IF($U120="","",IF(INDEX('Per Invoice'!H$2:H$401,$U120)="","",INDEX('Per Invoice'!H$2:H$401,$U120)))</f>
        <v/>
      </c>
      <c r="I120" s="14">
        <f>IF($U120="","",IF(INDEX('Per Invoice'!I$2:I$401,$U120)="","",INDEX('Per Invoice'!I$2:I$401,$U120)))</f>
        <v/>
      </c>
      <c r="J120">
        <f>IF($U120="","",IF(INDEX('Per Invoice'!J$2:J$401,$U120)="","",INDEX('Per Invoice'!J$2:J$401,$U120)))</f>
        <v/>
      </c>
      <c r="K120">
        <f>IF($U120="","",IF(INDEX('Per Invoice'!K$2:K$401,$U120)="","",INDEX('Per Invoice'!K$2:K$401,$U120)))</f>
        <v/>
      </c>
      <c r="L120" s="7">
        <f>IF($U120="","",IF(INDEX('Per Invoice'!L$2:L$401,$U120)="","",INDEX('Per Invoice'!L$2:L$401,$U120)))</f>
        <v/>
      </c>
      <c r="M120" s="7">
        <f>IF($U120="","",IF(INDEX('Per Invoice'!M$2:M$401,$U120)="","",INDEX('Per Invoice'!M$2:M$401,$U120)))</f>
        <v/>
      </c>
      <c r="N120">
        <f>IF($U120="","",IF(INDEX('Per Invoice'!N$2:N$401,$U120)="","",INDEX('Per Invoice'!N$2:N$401,$U120)))</f>
        <v/>
      </c>
      <c r="O120" s="7">
        <f>IF($U120="","",IF(INDEX('Per Invoice'!O$2:O$401,$U120)="","",INDEX('Per Invoice'!O$2:O$401,$U120)))</f>
        <v/>
      </c>
      <c r="P120" s="7">
        <f>IF($U120="","",IF(INDEX('Per Invoice'!P$2:P$401,$U120)="","",INDEX('Per Invoice'!P$2:P$401,$U120)))</f>
        <v/>
      </c>
      <c r="Q120" s="7">
        <f>IF($U120="","",IF(INDEX('Per Invoice'!Q$2:Q$401,$U120)="","",INDEX('Per Invoice'!Q$2:Q$401,$U120)))</f>
        <v/>
      </c>
      <c r="R120" s="7">
        <f>IF($U120="","",IF(INDEX('Per Invoice'!R$2:R$401,$U120)="","",INDEX('Per Invoice'!R$2:R$401,$U120)))</f>
        <v/>
      </c>
      <c r="S120" s="7">
        <f>IF($U120="","",IF(INDEX('Per Invoice'!S$2:S$401,$U120)="","",INDEX('Per Invoice'!S$2:S$401,$U120)))</f>
        <v/>
      </c>
      <c r="T120" s="7">
        <f>IF($U120="","",IF(INDEX('Per Invoice'!T$2:T$401,$U120)="","",INDEX('Per Invoice'!T$2:T$401,$U120)))</f>
        <v/>
      </c>
      <c r="U120" s="16">
        <f>IFERROR(MATCH(Settings!$C$28&amp;"|"&amp;ROWS($U$2:$U120),'Per Invoice'!$V$2:$V$401,0),"")</f>
        <v/>
      </c>
    </row>
    <row r="121">
      <c r="A121">
        <f>IF($U121="","",IF(INDEX('Per Invoice'!A$2:A$401,$U121)="","",INDEX('Per Invoice'!A$2:A$401,$U121)))</f>
        <v/>
      </c>
      <c r="B121">
        <f>IF($U121="","",IF(INDEX('Per Invoice'!B$2:B$401,$U121)="","",INDEX('Per Invoice'!B$2:B$401,$U121)))</f>
        <v/>
      </c>
      <c r="C121">
        <f>IF($U121="","",IF(INDEX('Per Invoice'!C$2:C$401,$U121)="","",INDEX('Per Invoice'!C$2:C$401,$U121)))</f>
        <v/>
      </c>
      <c r="D121">
        <f>IF($U121="","",IF(INDEX('Per Invoice'!D$2:D$401,$U121)="","",INDEX('Per Invoice'!D$2:D$401,$U121)))</f>
        <v/>
      </c>
      <c r="E121">
        <f>IF($U121="","",IF(INDEX('Per Invoice'!E$2:E$401,$U121)="","",INDEX('Per Invoice'!E$2:E$401,$U121)))</f>
        <v/>
      </c>
      <c r="F121">
        <f>IF($U121="","",IF(INDEX('Per Invoice'!F$2:F$401,$U121)="","",INDEX('Per Invoice'!F$2:F$401,$U121)))</f>
        <v/>
      </c>
      <c r="G121">
        <f>IF($U121="","",IF(INDEX('Per Invoice'!G$2:G$401,$U121)="","",INDEX('Per Invoice'!G$2:G$401,$U121)))</f>
        <v/>
      </c>
      <c r="H121" s="7">
        <f>IF($U121="","",IF(INDEX('Per Invoice'!H$2:H$401,$U121)="","",INDEX('Per Invoice'!H$2:H$401,$U121)))</f>
        <v/>
      </c>
      <c r="I121" s="14">
        <f>IF($U121="","",IF(INDEX('Per Invoice'!I$2:I$401,$U121)="","",INDEX('Per Invoice'!I$2:I$401,$U121)))</f>
        <v/>
      </c>
      <c r="J121">
        <f>IF($U121="","",IF(INDEX('Per Invoice'!J$2:J$401,$U121)="","",INDEX('Per Invoice'!J$2:J$401,$U121)))</f>
        <v/>
      </c>
      <c r="K121">
        <f>IF($U121="","",IF(INDEX('Per Invoice'!K$2:K$401,$U121)="","",INDEX('Per Invoice'!K$2:K$401,$U121)))</f>
        <v/>
      </c>
      <c r="L121" s="7">
        <f>IF($U121="","",IF(INDEX('Per Invoice'!L$2:L$401,$U121)="","",INDEX('Per Invoice'!L$2:L$401,$U121)))</f>
        <v/>
      </c>
      <c r="M121" s="7">
        <f>IF($U121="","",IF(INDEX('Per Invoice'!M$2:M$401,$U121)="","",INDEX('Per Invoice'!M$2:M$401,$U121)))</f>
        <v/>
      </c>
      <c r="N121">
        <f>IF($U121="","",IF(INDEX('Per Invoice'!N$2:N$401,$U121)="","",INDEX('Per Invoice'!N$2:N$401,$U121)))</f>
        <v/>
      </c>
      <c r="O121" s="7">
        <f>IF($U121="","",IF(INDEX('Per Invoice'!O$2:O$401,$U121)="","",INDEX('Per Invoice'!O$2:O$401,$U121)))</f>
        <v/>
      </c>
      <c r="P121" s="7">
        <f>IF($U121="","",IF(INDEX('Per Invoice'!P$2:P$401,$U121)="","",INDEX('Per Invoice'!P$2:P$401,$U121)))</f>
        <v/>
      </c>
      <c r="Q121" s="7">
        <f>IF($U121="","",IF(INDEX('Per Invoice'!Q$2:Q$401,$U121)="","",INDEX('Per Invoice'!Q$2:Q$401,$U121)))</f>
        <v/>
      </c>
      <c r="R121" s="7">
        <f>IF($U121="","",IF(INDEX('Per Invoice'!R$2:R$401,$U121)="","",INDEX('Per Invoice'!R$2:R$401,$U121)))</f>
        <v/>
      </c>
      <c r="S121" s="7">
        <f>IF($U121="","",IF(INDEX('Per Invoice'!S$2:S$401,$U121)="","",INDEX('Per Invoice'!S$2:S$401,$U121)))</f>
        <v/>
      </c>
      <c r="T121" s="7">
        <f>IF($U121="","",IF(INDEX('Per Invoice'!T$2:T$401,$U121)="","",INDEX('Per Invoice'!T$2:T$401,$U121)))</f>
        <v/>
      </c>
      <c r="U121" s="16">
        <f>IFERROR(MATCH(Settings!$C$28&amp;"|"&amp;ROWS($U$2:$U121),'Per Invoice'!$V$2:$V$401,0),"")</f>
        <v/>
      </c>
    </row>
    <row r="122">
      <c r="A122">
        <f>IF($U122="","",IF(INDEX('Per Invoice'!A$2:A$401,$U122)="","",INDEX('Per Invoice'!A$2:A$401,$U122)))</f>
        <v/>
      </c>
      <c r="B122">
        <f>IF($U122="","",IF(INDEX('Per Invoice'!B$2:B$401,$U122)="","",INDEX('Per Invoice'!B$2:B$401,$U122)))</f>
        <v/>
      </c>
      <c r="C122">
        <f>IF($U122="","",IF(INDEX('Per Invoice'!C$2:C$401,$U122)="","",INDEX('Per Invoice'!C$2:C$401,$U122)))</f>
        <v/>
      </c>
      <c r="D122">
        <f>IF($U122="","",IF(INDEX('Per Invoice'!D$2:D$401,$U122)="","",INDEX('Per Invoice'!D$2:D$401,$U122)))</f>
        <v/>
      </c>
      <c r="E122">
        <f>IF($U122="","",IF(INDEX('Per Invoice'!E$2:E$401,$U122)="","",INDEX('Per Invoice'!E$2:E$401,$U122)))</f>
        <v/>
      </c>
      <c r="F122">
        <f>IF($U122="","",IF(INDEX('Per Invoice'!F$2:F$401,$U122)="","",INDEX('Per Invoice'!F$2:F$401,$U122)))</f>
        <v/>
      </c>
      <c r="G122">
        <f>IF($U122="","",IF(INDEX('Per Invoice'!G$2:G$401,$U122)="","",INDEX('Per Invoice'!G$2:G$401,$U122)))</f>
        <v/>
      </c>
      <c r="H122" s="7">
        <f>IF($U122="","",IF(INDEX('Per Invoice'!H$2:H$401,$U122)="","",INDEX('Per Invoice'!H$2:H$401,$U122)))</f>
        <v/>
      </c>
      <c r="I122" s="14">
        <f>IF($U122="","",IF(INDEX('Per Invoice'!I$2:I$401,$U122)="","",INDEX('Per Invoice'!I$2:I$401,$U122)))</f>
        <v/>
      </c>
      <c r="J122">
        <f>IF($U122="","",IF(INDEX('Per Invoice'!J$2:J$401,$U122)="","",INDEX('Per Invoice'!J$2:J$401,$U122)))</f>
        <v/>
      </c>
      <c r="K122">
        <f>IF($U122="","",IF(INDEX('Per Invoice'!K$2:K$401,$U122)="","",INDEX('Per Invoice'!K$2:K$401,$U122)))</f>
        <v/>
      </c>
      <c r="L122" s="7">
        <f>IF($U122="","",IF(INDEX('Per Invoice'!L$2:L$401,$U122)="","",INDEX('Per Invoice'!L$2:L$401,$U122)))</f>
        <v/>
      </c>
      <c r="M122" s="7">
        <f>IF($U122="","",IF(INDEX('Per Invoice'!M$2:M$401,$U122)="","",INDEX('Per Invoice'!M$2:M$401,$U122)))</f>
        <v/>
      </c>
      <c r="N122">
        <f>IF($U122="","",IF(INDEX('Per Invoice'!N$2:N$401,$U122)="","",INDEX('Per Invoice'!N$2:N$401,$U122)))</f>
        <v/>
      </c>
      <c r="O122" s="7">
        <f>IF($U122="","",IF(INDEX('Per Invoice'!O$2:O$401,$U122)="","",INDEX('Per Invoice'!O$2:O$401,$U122)))</f>
        <v/>
      </c>
      <c r="P122" s="7">
        <f>IF($U122="","",IF(INDEX('Per Invoice'!P$2:P$401,$U122)="","",INDEX('Per Invoice'!P$2:P$401,$U122)))</f>
        <v/>
      </c>
      <c r="Q122" s="7">
        <f>IF($U122="","",IF(INDEX('Per Invoice'!Q$2:Q$401,$U122)="","",INDEX('Per Invoice'!Q$2:Q$401,$U122)))</f>
        <v/>
      </c>
      <c r="R122" s="7">
        <f>IF($U122="","",IF(INDEX('Per Invoice'!R$2:R$401,$U122)="","",INDEX('Per Invoice'!R$2:R$401,$U122)))</f>
        <v/>
      </c>
      <c r="S122" s="7">
        <f>IF($U122="","",IF(INDEX('Per Invoice'!S$2:S$401,$U122)="","",INDEX('Per Invoice'!S$2:S$401,$U122)))</f>
        <v/>
      </c>
      <c r="T122" s="7">
        <f>IF($U122="","",IF(INDEX('Per Invoice'!T$2:T$401,$U122)="","",INDEX('Per Invoice'!T$2:T$401,$U122)))</f>
        <v/>
      </c>
      <c r="U122" s="16">
        <f>IFERROR(MATCH(Settings!$C$28&amp;"|"&amp;ROWS($U$2:$U122),'Per Invoice'!$V$2:$V$401,0),"")</f>
        <v/>
      </c>
    </row>
    <row r="123">
      <c r="A123">
        <f>IF($U123="","",IF(INDEX('Per Invoice'!A$2:A$401,$U123)="","",INDEX('Per Invoice'!A$2:A$401,$U123)))</f>
        <v/>
      </c>
      <c r="B123">
        <f>IF($U123="","",IF(INDEX('Per Invoice'!B$2:B$401,$U123)="","",INDEX('Per Invoice'!B$2:B$401,$U123)))</f>
        <v/>
      </c>
      <c r="C123">
        <f>IF($U123="","",IF(INDEX('Per Invoice'!C$2:C$401,$U123)="","",INDEX('Per Invoice'!C$2:C$401,$U123)))</f>
        <v/>
      </c>
      <c r="D123">
        <f>IF($U123="","",IF(INDEX('Per Invoice'!D$2:D$401,$U123)="","",INDEX('Per Invoice'!D$2:D$401,$U123)))</f>
        <v/>
      </c>
      <c r="E123">
        <f>IF($U123="","",IF(INDEX('Per Invoice'!E$2:E$401,$U123)="","",INDEX('Per Invoice'!E$2:E$401,$U123)))</f>
        <v/>
      </c>
      <c r="F123">
        <f>IF($U123="","",IF(INDEX('Per Invoice'!F$2:F$401,$U123)="","",INDEX('Per Invoice'!F$2:F$401,$U123)))</f>
        <v/>
      </c>
      <c r="G123">
        <f>IF($U123="","",IF(INDEX('Per Invoice'!G$2:G$401,$U123)="","",INDEX('Per Invoice'!G$2:G$401,$U123)))</f>
        <v/>
      </c>
      <c r="H123" s="7">
        <f>IF($U123="","",IF(INDEX('Per Invoice'!H$2:H$401,$U123)="","",INDEX('Per Invoice'!H$2:H$401,$U123)))</f>
        <v/>
      </c>
      <c r="I123" s="14">
        <f>IF($U123="","",IF(INDEX('Per Invoice'!I$2:I$401,$U123)="","",INDEX('Per Invoice'!I$2:I$401,$U123)))</f>
        <v/>
      </c>
      <c r="J123">
        <f>IF($U123="","",IF(INDEX('Per Invoice'!J$2:J$401,$U123)="","",INDEX('Per Invoice'!J$2:J$401,$U123)))</f>
        <v/>
      </c>
      <c r="K123">
        <f>IF($U123="","",IF(INDEX('Per Invoice'!K$2:K$401,$U123)="","",INDEX('Per Invoice'!K$2:K$401,$U123)))</f>
        <v/>
      </c>
      <c r="L123" s="7">
        <f>IF($U123="","",IF(INDEX('Per Invoice'!L$2:L$401,$U123)="","",INDEX('Per Invoice'!L$2:L$401,$U123)))</f>
        <v/>
      </c>
      <c r="M123" s="7">
        <f>IF($U123="","",IF(INDEX('Per Invoice'!M$2:M$401,$U123)="","",INDEX('Per Invoice'!M$2:M$401,$U123)))</f>
        <v/>
      </c>
      <c r="N123">
        <f>IF($U123="","",IF(INDEX('Per Invoice'!N$2:N$401,$U123)="","",INDEX('Per Invoice'!N$2:N$401,$U123)))</f>
        <v/>
      </c>
      <c r="O123" s="7">
        <f>IF($U123="","",IF(INDEX('Per Invoice'!O$2:O$401,$U123)="","",INDEX('Per Invoice'!O$2:O$401,$U123)))</f>
        <v/>
      </c>
      <c r="P123" s="7">
        <f>IF($U123="","",IF(INDEX('Per Invoice'!P$2:P$401,$U123)="","",INDEX('Per Invoice'!P$2:P$401,$U123)))</f>
        <v/>
      </c>
      <c r="Q123" s="7">
        <f>IF($U123="","",IF(INDEX('Per Invoice'!Q$2:Q$401,$U123)="","",INDEX('Per Invoice'!Q$2:Q$401,$U123)))</f>
        <v/>
      </c>
      <c r="R123" s="7">
        <f>IF($U123="","",IF(INDEX('Per Invoice'!R$2:R$401,$U123)="","",INDEX('Per Invoice'!R$2:R$401,$U123)))</f>
        <v/>
      </c>
      <c r="S123" s="7">
        <f>IF($U123="","",IF(INDEX('Per Invoice'!S$2:S$401,$U123)="","",INDEX('Per Invoice'!S$2:S$401,$U123)))</f>
        <v/>
      </c>
      <c r="T123" s="7">
        <f>IF($U123="","",IF(INDEX('Per Invoice'!T$2:T$401,$U123)="","",INDEX('Per Invoice'!T$2:T$401,$U123)))</f>
        <v/>
      </c>
      <c r="U123" s="16">
        <f>IFERROR(MATCH(Settings!$C$28&amp;"|"&amp;ROWS($U$2:$U123),'Per Invoice'!$V$2:$V$401,0),"")</f>
        <v/>
      </c>
    </row>
    <row r="124">
      <c r="A124">
        <f>IF($U124="","",IF(INDEX('Per Invoice'!A$2:A$401,$U124)="","",INDEX('Per Invoice'!A$2:A$401,$U124)))</f>
        <v/>
      </c>
      <c r="B124">
        <f>IF($U124="","",IF(INDEX('Per Invoice'!B$2:B$401,$U124)="","",INDEX('Per Invoice'!B$2:B$401,$U124)))</f>
        <v/>
      </c>
      <c r="C124">
        <f>IF($U124="","",IF(INDEX('Per Invoice'!C$2:C$401,$U124)="","",INDEX('Per Invoice'!C$2:C$401,$U124)))</f>
        <v/>
      </c>
      <c r="D124">
        <f>IF($U124="","",IF(INDEX('Per Invoice'!D$2:D$401,$U124)="","",INDEX('Per Invoice'!D$2:D$401,$U124)))</f>
        <v/>
      </c>
      <c r="E124">
        <f>IF($U124="","",IF(INDEX('Per Invoice'!E$2:E$401,$U124)="","",INDEX('Per Invoice'!E$2:E$401,$U124)))</f>
        <v/>
      </c>
      <c r="F124">
        <f>IF($U124="","",IF(INDEX('Per Invoice'!F$2:F$401,$U124)="","",INDEX('Per Invoice'!F$2:F$401,$U124)))</f>
        <v/>
      </c>
      <c r="G124">
        <f>IF($U124="","",IF(INDEX('Per Invoice'!G$2:G$401,$U124)="","",INDEX('Per Invoice'!G$2:G$401,$U124)))</f>
        <v/>
      </c>
      <c r="H124" s="7">
        <f>IF($U124="","",IF(INDEX('Per Invoice'!H$2:H$401,$U124)="","",INDEX('Per Invoice'!H$2:H$401,$U124)))</f>
        <v/>
      </c>
      <c r="I124" s="14">
        <f>IF($U124="","",IF(INDEX('Per Invoice'!I$2:I$401,$U124)="","",INDEX('Per Invoice'!I$2:I$401,$U124)))</f>
        <v/>
      </c>
      <c r="J124">
        <f>IF($U124="","",IF(INDEX('Per Invoice'!J$2:J$401,$U124)="","",INDEX('Per Invoice'!J$2:J$401,$U124)))</f>
        <v/>
      </c>
      <c r="K124">
        <f>IF($U124="","",IF(INDEX('Per Invoice'!K$2:K$401,$U124)="","",INDEX('Per Invoice'!K$2:K$401,$U124)))</f>
        <v/>
      </c>
      <c r="L124" s="7">
        <f>IF($U124="","",IF(INDEX('Per Invoice'!L$2:L$401,$U124)="","",INDEX('Per Invoice'!L$2:L$401,$U124)))</f>
        <v/>
      </c>
      <c r="M124" s="7">
        <f>IF($U124="","",IF(INDEX('Per Invoice'!M$2:M$401,$U124)="","",INDEX('Per Invoice'!M$2:M$401,$U124)))</f>
        <v/>
      </c>
      <c r="N124">
        <f>IF($U124="","",IF(INDEX('Per Invoice'!N$2:N$401,$U124)="","",INDEX('Per Invoice'!N$2:N$401,$U124)))</f>
        <v/>
      </c>
      <c r="O124" s="7">
        <f>IF($U124="","",IF(INDEX('Per Invoice'!O$2:O$401,$U124)="","",INDEX('Per Invoice'!O$2:O$401,$U124)))</f>
        <v/>
      </c>
      <c r="P124" s="7">
        <f>IF($U124="","",IF(INDEX('Per Invoice'!P$2:P$401,$U124)="","",INDEX('Per Invoice'!P$2:P$401,$U124)))</f>
        <v/>
      </c>
      <c r="Q124" s="7">
        <f>IF($U124="","",IF(INDEX('Per Invoice'!Q$2:Q$401,$U124)="","",INDEX('Per Invoice'!Q$2:Q$401,$U124)))</f>
        <v/>
      </c>
      <c r="R124" s="7">
        <f>IF($U124="","",IF(INDEX('Per Invoice'!R$2:R$401,$U124)="","",INDEX('Per Invoice'!R$2:R$401,$U124)))</f>
        <v/>
      </c>
      <c r="S124" s="7">
        <f>IF($U124="","",IF(INDEX('Per Invoice'!S$2:S$401,$U124)="","",INDEX('Per Invoice'!S$2:S$401,$U124)))</f>
        <v/>
      </c>
      <c r="T124" s="7">
        <f>IF($U124="","",IF(INDEX('Per Invoice'!T$2:T$401,$U124)="","",INDEX('Per Invoice'!T$2:T$401,$U124)))</f>
        <v/>
      </c>
      <c r="U124" s="16">
        <f>IFERROR(MATCH(Settings!$C$28&amp;"|"&amp;ROWS($U$2:$U124),'Per Invoice'!$V$2:$V$401,0),"")</f>
        <v/>
      </c>
    </row>
    <row r="125">
      <c r="A125">
        <f>IF($U125="","",IF(INDEX('Per Invoice'!A$2:A$401,$U125)="","",INDEX('Per Invoice'!A$2:A$401,$U125)))</f>
        <v/>
      </c>
      <c r="B125">
        <f>IF($U125="","",IF(INDEX('Per Invoice'!B$2:B$401,$U125)="","",INDEX('Per Invoice'!B$2:B$401,$U125)))</f>
        <v/>
      </c>
      <c r="C125">
        <f>IF($U125="","",IF(INDEX('Per Invoice'!C$2:C$401,$U125)="","",INDEX('Per Invoice'!C$2:C$401,$U125)))</f>
        <v/>
      </c>
      <c r="D125">
        <f>IF($U125="","",IF(INDEX('Per Invoice'!D$2:D$401,$U125)="","",INDEX('Per Invoice'!D$2:D$401,$U125)))</f>
        <v/>
      </c>
      <c r="E125">
        <f>IF($U125="","",IF(INDEX('Per Invoice'!E$2:E$401,$U125)="","",INDEX('Per Invoice'!E$2:E$401,$U125)))</f>
        <v/>
      </c>
      <c r="F125">
        <f>IF($U125="","",IF(INDEX('Per Invoice'!F$2:F$401,$U125)="","",INDEX('Per Invoice'!F$2:F$401,$U125)))</f>
        <v/>
      </c>
      <c r="G125">
        <f>IF($U125="","",IF(INDEX('Per Invoice'!G$2:G$401,$U125)="","",INDEX('Per Invoice'!G$2:G$401,$U125)))</f>
        <v/>
      </c>
      <c r="H125" s="7">
        <f>IF($U125="","",IF(INDEX('Per Invoice'!H$2:H$401,$U125)="","",INDEX('Per Invoice'!H$2:H$401,$U125)))</f>
        <v/>
      </c>
      <c r="I125" s="14">
        <f>IF($U125="","",IF(INDEX('Per Invoice'!I$2:I$401,$U125)="","",INDEX('Per Invoice'!I$2:I$401,$U125)))</f>
        <v/>
      </c>
      <c r="J125">
        <f>IF($U125="","",IF(INDEX('Per Invoice'!J$2:J$401,$U125)="","",INDEX('Per Invoice'!J$2:J$401,$U125)))</f>
        <v/>
      </c>
      <c r="K125">
        <f>IF($U125="","",IF(INDEX('Per Invoice'!K$2:K$401,$U125)="","",INDEX('Per Invoice'!K$2:K$401,$U125)))</f>
        <v/>
      </c>
      <c r="L125" s="7">
        <f>IF($U125="","",IF(INDEX('Per Invoice'!L$2:L$401,$U125)="","",INDEX('Per Invoice'!L$2:L$401,$U125)))</f>
        <v/>
      </c>
      <c r="M125" s="7">
        <f>IF($U125="","",IF(INDEX('Per Invoice'!M$2:M$401,$U125)="","",INDEX('Per Invoice'!M$2:M$401,$U125)))</f>
        <v/>
      </c>
      <c r="N125">
        <f>IF($U125="","",IF(INDEX('Per Invoice'!N$2:N$401,$U125)="","",INDEX('Per Invoice'!N$2:N$401,$U125)))</f>
        <v/>
      </c>
      <c r="O125" s="7">
        <f>IF($U125="","",IF(INDEX('Per Invoice'!O$2:O$401,$U125)="","",INDEX('Per Invoice'!O$2:O$401,$U125)))</f>
        <v/>
      </c>
      <c r="P125" s="7">
        <f>IF($U125="","",IF(INDEX('Per Invoice'!P$2:P$401,$U125)="","",INDEX('Per Invoice'!P$2:P$401,$U125)))</f>
        <v/>
      </c>
      <c r="Q125" s="7">
        <f>IF($U125="","",IF(INDEX('Per Invoice'!Q$2:Q$401,$U125)="","",INDEX('Per Invoice'!Q$2:Q$401,$U125)))</f>
        <v/>
      </c>
      <c r="R125" s="7">
        <f>IF($U125="","",IF(INDEX('Per Invoice'!R$2:R$401,$U125)="","",INDEX('Per Invoice'!R$2:R$401,$U125)))</f>
        <v/>
      </c>
      <c r="S125" s="7">
        <f>IF($U125="","",IF(INDEX('Per Invoice'!S$2:S$401,$U125)="","",INDEX('Per Invoice'!S$2:S$401,$U125)))</f>
        <v/>
      </c>
      <c r="T125" s="7">
        <f>IF($U125="","",IF(INDEX('Per Invoice'!T$2:T$401,$U125)="","",INDEX('Per Invoice'!T$2:T$401,$U125)))</f>
        <v/>
      </c>
      <c r="U125" s="16">
        <f>IFERROR(MATCH(Settings!$C$28&amp;"|"&amp;ROWS($U$2:$U125),'Per Invoice'!$V$2:$V$401,0),"")</f>
        <v/>
      </c>
    </row>
    <row r="126">
      <c r="A126">
        <f>IF($U126="","",IF(INDEX('Per Invoice'!A$2:A$401,$U126)="","",INDEX('Per Invoice'!A$2:A$401,$U126)))</f>
        <v/>
      </c>
      <c r="B126">
        <f>IF($U126="","",IF(INDEX('Per Invoice'!B$2:B$401,$U126)="","",INDEX('Per Invoice'!B$2:B$401,$U126)))</f>
        <v/>
      </c>
      <c r="C126">
        <f>IF($U126="","",IF(INDEX('Per Invoice'!C$2:C$401,$U126)="","",INDEX('Per Invoice'!C$2:C$401,$U126)))</f>
        <v/>
      </c>
      <c r="D126">
        <f>IF($U126="","",IF(INDEX('Per Invoice'!D$2:D$401,$U126)="","",INDEX('Per Invoice'!D$2:D$401,$U126)))</f>
        <v/>
      </c>
      <c r="E126">
        <f>IF($U126="","",IF(INDEX('Per Invoice'!E$2:E$401,$U126)="","",INDEX('Per Invoice'!E$2:E$401,$U126)))</f>
        <v/>
      </c>
      <c r="F126">
        <f>IF($U126="","",IF(INDEX('Per Invoice'!F$2:F$401,$U126)="","",INDEX('Per Invoice'!F$2:F$401,$U126)))</f>
        <v/>
      </c>
      <c r="G126">
        <f>IF($U126="","",IF(INDEX('Per Invoice'!G$2:G$401,$U126)="","",INDEX('Per Invoice'!G$2:G$401,$U126)))</f>
        <v/>
      </c>
      <c r="H126" s="7">
        <f>IF($U126="","",IF(INDEX('Per Invoice'!H$2:H$401,$U126)="","",INDEX('Per Invoice'!H$2:H$401,$U126)))</f>
        <v/>
      </c>
      <c r="I126" s="14">
        <f>IF($U126="","",IF(INDEX('Per Invoice'!I$2:I$401,$U126)="","",INDEX('Per Invoice'!I$2:I$401,$U126)))</f>
        <v/>
      </c>
      <c r="J126">
        <f>IF($U126="","",IF(INDEX('Per Invoice'!J$2:J$401,$U126)="","",INDEX('Per Invoice'!J$2:J$401,$U126)))</f>
        <v/>
      </c>
      <c r="K126">
        <f>IF($U126="","",IF(INDEX('Per Invoice'!K$2:K$401,$U126)="","",INDEX('Per Invoice'!K$2:K$401,$U126)))</f>
        <v/>
      </c>
      <c r="L126" s="7">
        <f>IF($U126="","",IF(INDEX('Per Invoice'!L$2:L$401,$U126)="","",INDEX('Per Invoice'!L$2:L$401,$U126)))</f>
        <v/>
      </c>
      <c r="M126" s="7">
        <f>IF($U126="","",IF(INDEX('Per Invoice'!M$2:M$401,$U126)="","",INDEX('Per Invoice'!M$2:M$401,$U126)))</f>
        <v/>
      </c>
      <c r="N126">
        <f>IF($U126="","",IF(INDEX('Per Invoice'!N$2:N$401,$U126)="","",INDEX('Per Invoice'!N$2:N$401,$U126)))</f>
        <v/>
      </c>
      <c r="O126" s="7">
        <f>IF($U126="","",IF(INDEX('Per Invoice'!O$2:O$401,$U126)="","",INDEX('Per Invoice'!O$2:O$401,$U126)))</f>
        <v/>
      </c>
      <c r="P126" s="7">
        <f>IF($U126="","",IF(INDEX('Per Invoice'!P$2:P$401,$U126)="","",INDEX('Per Invoice'!P$2:P$401,$U126)))</f>
        <v/>
      </c>
      <c r="Q126" s="7">
        <f>IF($U126="","",IF(INDEX('Per Invoice'!Q$2:Q$401,$U126)="","",INDEX('Per Invoice'!Q$2:Q$401,$U126)))</f>
        <v/>
      </c>
      <c r="R126" s="7">
        <f>IF($U126="","",IF(INDEX('Per Invoice'!R$2:R$401,$U126)="","",INDEX('Per Invoice'!R$2:R$401,$U126)))</f>
        <v/>
      </c>
      <c r="S126" s="7">
        <f>IF($U126="","",IF(INDEX('Per Invoice'!S$2:S$401,$U126)="","",INDEX('Per Invoice'!S$2:S$401,$U126)))</f>
        <v/>
      </c>
      <c r="T126" s="7">
        <f>IF($U126="","",IF(INDEX('Per Invoice'!T$2:T$401,$U126)="","",INDEX('Per Invoice'!T$2:T$401,$U126)))</f>
        <v/>
      </c>
      <c r="U126" s="16">
        <f>IFERROR(MATCH(Settings!$C$28&amp;"|"&amp;ROWS($U$2:$U126),'Per Invoice'!$V$2:$V$401,0),"")</f>
        <v/>
      </c>
    </row>
    <row r="127">
      <c r="A127">
        <f>IF($U127="","",IF(INDEX('Per Invoice'!A$2:A$401,$U127)="","",INDEX('Per Invoice'!A$2:A$401,$U127)))</f>
        <v/>
      </c>
      <c r="B127">
        <f>IF($U127="","",IF(INDEX('Per Invoice'!B$2:B$401,$U127)="","",INDEX('Per Invoice'!B$2:B$401,$U127)))</f>
        <v/>
      </c>
      <c r="C127">
        <f>IF($U127="","",IF(INDEX('Per Invoice'!C$2:C$401,$U127)="","",INDEX('Per Invoice'!C$2:C$401,$U127)))</f>
        <v/>
      </c>
      <c r="D127">
        <f>IF($U127="","",IF(INDEX('Per Invoice'!D$2:D$401,$U127)="","",INDEX('Per Invoice'!D$2:D$401,$U127)))</f>
        <v/>
      </c>
      <c r="E127">
        <f>IF($U127="","",IF(INDEX('Per Invoice'!E$2:E$401,$U127)="","",INDEX('Per Invoice'!E$2:E$401,$U127)))</f>
        <v/>
      </c>
      <c r="F127">
        <f>IF($U127="","",IF(INDEX('Per Invoice'!F$2:F$401,$U127)="","",INDEX('Per Invoice'!F$2:F$401,$U127)))</f>
        <v/>
      </c>
      <c r="G127">
        <f>IF($U127="","",IF(INDEX('Per Invoice'!G$2:G$401,$U127)="","",INDEX('Per Invoice'!G$2:G$401,$U127)))</f>
        <v/>
      </c>
      <c r="H127" s="7">
        <f>IF($U127="","",IF(INDEX('Per Invoice'!H$2:H$401,$U127)="","",INDEX('Per Invoice'!H$2:H$401,$U127)))</f>
        <v/>
      </c>
      <c r="I127" s="14">
        <f>IF($U127="","",IF(INDEX('Per Invoice'!I$2:I$401,$U127)="","",INDEX('Per Invoice'!I$2:I$401,$U127)))</f>
        <v/>
      </c>
      <c r="J127">
        <f>IF($U127="","",IF(INDEX('Per Invoice'!J$2:J$401,$U127)="","",INDEX('Per Invoice'!J$2:J$401,$U127)))</f>
        <v/>
      </c>
      <c r="K127">
        <f>IF($U127="","",IF(INDEX('Per Invoice'!K$2:K$401,$U127)="","",INDEX('Per Invoice'!K$2:K$401,$U127)))</f>
        <v/>
      </c>
      <c r="L127" s="7">
        <f>IF($U127="","",IF(INDEX('Per Invoice'!L$2:L$401,$U127)="","",INDEX('Per Invoice'!L$2:L$401,$U127)))</f>
        <v/>
      </c>
      <c r="M127" s="7">
        <f>IF($U127="","",IF(INDEX('Per Invoice'!M$2:M$401,$U127)="","",INDEX('Per Invoice'!M$2:M$401,$U127)))</f>
        <v/>
      </c>
      <c r="N127">
        <f>IF($U127="","",IF(INDEX('Per Invoice'!N$2:N$401,$U127)="","",INDEX('Per Invoice'!N$2:N$401,$U127)))</f>
        <v/>
      </c>
      <c r="O127" s="7">
        <f>IF($U127="","",IF(INDEX('Per Invoice'!O$2:O$401,$U127)="","",INDEX('Per Invoice'!O$2:O$401,$U127)))</f>
        <v/>
      </c>
      <c r="P127" s="7">
        <f>IF($U127="","",IF(INDEX('Per Invoice'!P$2:P$401,$U127)="","",INDEX('Per Invoice'!P$2:P$401,$U127)))</f>
        <v/>
      </c>
      <c r="Q127" s="7">
        <f>IF($U127="","",IF(INDEX('Per Invoice'!Q$2:Q$401,$U127)="","",INDEX('Per Invoice'!Q$2:Q$401,$U127)))</f>
        <v/>
      </c>
      <c r="R127" s="7">
        <f>IF($U127="","",IF(INDEX('Per Invoice'!R$2:R$401,$U127)="","",INDEX('Per Invoice'!R$2:R$401,$U127)))</f>
        <v/>
      </c>
      <c r="S127" s="7">
        <f>IF($U127="","",IF(INDEX('Per Invoice'!S$2:S$401,$U127)="","",INDEX('Per Invoice'!S$2:S$401,$U127)))</f>
        <v/>
      </c>
      <c r="T127" s="7">
        <f>IF($U127="","",IF(INDEX('Per Invoice'!T$2:T$401,$U127)="","",INDEX('Per Invoice'!T$2:T$401,$U127)))</f>
        <v/>
      </c>
      <c r="U127" s="16">
        <f>IFERROR(MATCH(Settings!$C$28&amp;"|"&amp;ROWS($U$2:$U127),'Per Invoice'!$V$2:$V$401,0),"")</f>
        <v/>
      </c>
    </row>
    <row r="128">
      <c r="A128">
        <f>IF($U128="","",IF(INDEX('Per Invoice'!A$2:A$401,$U128)="","",INDEX('Per Invoice'!A$2:A$401,$U128)))</f>
        <v/>
      </c>
      <c r="B128">
        <f>IF($U128="","",IF(INDEX('Per Invoice'!B$2:B$401,$U128)="","",INDEX('Per Invoice'!B$2:B$401,$U128)))</f>
        <v/>
      </c>
      <c r="C128">
        <f>IF($U128="","",IF(INDEX('Per Invoice'!C$2:C$401,$U128)="","",INDEX('Per Invoice'!C$2:C$401,$U128)))</f>
        <v/>
      </c>
      <c r="D128">
        <f>IF($U128="","",IF(INDEX('Per Invoice'!D$2:D$401,$U128)="","",INDEX('Per Invoice'!D$2:D$401,$U128)))</f>
        <v/>
      </c>
      <c r="E128">
        <f>IF($U128="","",IF(INDEX('Per Invoice'!E$2:E$401,$U128)="","",INDEX('Per Invoice'!E$2:E$401,$U128)))</f>
        <v/>
      </c>
      <c r="F128">
        <f>IF($U128="","",IF(INDEX('Per Invoice'!F$2:F$401,$U128)="","",INDEX('Per Invoice'!F$2:F$401,$U128)))</f>
        <v/>
      </c>
      <c r="G128">
        <f>IF($U128="","",IF(INDEX('Per Invoice'!G$2:G$401,$U128)="","",INDEX('Per Invoice'!G$2:G$401,$U128)))</f>
        <v/>
      </c>
      <c r="H128" s="7">
        <f>IF($U128="","",IF(INDEX('Per Invoice'!H$2:H$401,$U128)="","",INDEX('Per Invoice'!H$2:H$401,$U128)))</f>
        <v/>
      </c>
      <c r="I128" s="14">
        <f>IF($U128="","",IF(INDEX('Per Invoice'!I$2:I$401,$U128)="","",INDEX('Per Invoice'!I$2:I$401,$U128)))</f>
        <v/>
      </c>
      <c r="J128">
        <f>IF($U128="","",IF(INDEX('Per Invoice'!J$2:J$401,$U128)="","",INDEX('Per Invoice'!J$2:J$401,$U128)))</f>
        <v/>
      </c>
      <c r="K128">
        <f>IF($U128="","",IF(INDEX('Per Invoice'!K$2:K$401,$U128)="","",INDEX('Per Invoice'!K$2:K$401,$U128)))</f>
        <v/>
      </c>
      <c r="L128" s="7">
        <f>IF($U128="","",IF(INDEX('Per Invoice'!L$2:L$401,$U128)="","",INDEX('Per Invoice'!L$2:L$401,$U128)))</f>
        <v/>
      </c>
      <c r="M128" s="7">
        <f>IF($U128="","",IF(INDEX('Per Invoice'!M$2:M$401,$U128)="","",INDEX('Per Invoice'!M$2:M$401,$U128)))</f>
        <v/>
      </c>
      <c r="N128">
        <f>IF($U128="","",IF(INDEX('Per Invoice'!N$2:N$401,$U128)="","",INDEX('Per Invoice'!N$2:N$401,$U128)))</f>
        <v/>
      </c>
      <c r="O128" s="7">
        <f>IF($U128="","",IF(INDEX('Per Invoice'!O$2:O$401,$U128)="","",INDEX('Per Invoice'!O$2:O$401,$U128)))</f>
        <v/>
      </c>
      <c r="P128" s="7">
        <f>IF($U128="","",IF(INDEX('Per Invoice'!P$2:P$401,$U128)="","",INDEX('Per Invoice'!P$2:P$401,$U128)))</f>
        <v/>
      </c>
      <c r="Q128" s="7">
        <f>IF($U128="","",IF(INDEX('Per Invoice'!Q$2:Q$401,$U128)="","",INDEX('Per Invoice'!Q$2:Q$401,$U128)))</f>
        <v/>
      </c>
      <c r="R128" s="7">
        <f>IF($U128="","",IF(INDEX('Per Invoice'!R$2:R$401,$U128)="","",INDEX('Per Invoice'!R$2:R$401,$U128)))</f>
        <v/>
      </c>
      <c r="S128" s="7">
        <f>IF($U128="","",IF(INDEX('Per Invoice'!S$2:S$401,$U128)="","",INDEX('Per Invoice'!S$2:S$401,$U128)))</f>
        <v/>
      </c>
      <c r="T128" s="7">
        <f>IF($U128="","",IF(INDEX('Per Invoice'!T$2:T$401,$U128)="","",INDEX('Per Invoice'!T$2:T$401,$U128)))</f>
        <v/>
      </c>
      <c r="U128" s="16">
        <f>IFERROR(MATCH(Settings!$C$28&amp;"|"&amp;ROWS($U$2:$U128),'Per Invoice'!$V$2:$V$401,0),"")</f>
        <v/>
      </c>
    </row>
    <row r="129">
      <c r="A129">
        <f>IF($U129="","",IF(INDEX('Per Invoice'!A$2:A$401,$U129)="","",INDEX('Per Invoice'!A$2:A$401,$U129)))</f>
        <v/>
      </c>
      <c r="B129">
        <f>IF($U129="","",IF(INDEX('Per Invoice'!B$2:B$401,$U129)="","",INDEX('Per Invoice'!B$2:B$401,$U129)))</f>
        <v/>
      </c>
      <c r="C129">
        <f>IF($U129="","",IF(INDEX('Per Invoice'!C$2:C$401,$U129)="","",INDEX('Per Invoice'!C$2:C$401,$U129)))</f>
        <v/>
      </c>
      <c r="D129">
        <f>IF($U129="","",IF(INDEX('Per Invoice'!D$2:D$401,$U129)="","",INDEX('Per Invoice'!D$2:D$401,$U129)))</f>
        <v/>
      </c>
      <c r="E129">
        <f>IF($U129="","",IF(INDEX('Per Invoice'!E$2:E$401,$U129)="","",INDEX('Per Invoice'!E$2:E$401,$U129)))</f>
        <v/>
      </c>
      <c r="F129">
        <f>IF($U129="","",IF(INDEX('Per Invoice'!F$2:F$401,$U129)="","",INDEX('Per Invoice'!F$2:F$401,$U129)))</f>
        <v/>
      </c>
      <c r="G129">
        <f>IF($U129="","",IF(INDEX('Per Invoice'!G$2:G$401,$U129)="","",INDEX('Per Invoice'!G$2:G$401,$U129)))</f>
        <v/>
      </c>
      <c r="H129" s="7">
        <f>IF($U129="","",IF(INDEX('Per Invoice'!H$2:H$401,$U129)="","",INDEX('Per Invoice'!H$2:H$401,$U129)))</f>
        <v/>
      </c>
      <c r="I129" s="14">
        <f>IF($U129="","",IF(INDEX('Per Invoice'!I$2:I$401,$U129)="","",INDEX('Per Invoice'!I$2:I$401,$U129)))</f>
        <v/>
      </c>
      <c r="J129">
        <f>IF($U129="","",IF(INDEX('Per Invoice'!J$2:J$401,$U129)="","",INDEX('Per Invoice'!J$2:J$401,$U129)))</f>
        <v/>
      </c>
      <c r="K129">
        <f>IF($U129="","",IF(INDEX('Per Invoice'!K$2:K$401,$U129)="","",INDEX('Per Invoice'!K$2:K$401,$U129)))</f>
        <v/>
      </c>
      <c r="L129" s="7">
        <f>IF($U129="","",IF(INDEX('Per Invoice'!L$2:L$401,$U129)="","",INDEX('Per Invoice'!L$2:L$401,$U129)))</f>
        <v/>
      </c>
      <c r="M129" s="7">
        <f>IF($U129="","",IF(INDEX('Per Invoice'!M$2:M$401,$U129)="","",INDEX('Per Invoice'!M$2:M$401,$U129)))</f>
        <v/>
      </c>
      <c r="N129">
        <f>IF($U129="","",IF(INDEX('Per Invoice'!N$2:N$401,$U129)="","",INDEX('Per Invoice'!N$2:N$401,$U129)))</f>
        <v/>
      </c>
      <c r="O129" s="7">
        <f>IF($U129="","",IF(INDEX('Per Invoice'!O$2:O$401,$U129)="","",INDEX('Per Invoice'!O$2:O$401,$U129)))</f>
        <v/>
      </c>
      <c r="P129" s="7">
        <f>IF($U129="","",IF(INDEX('Per Invoice'!P$2:P$401,$U129)="","",INDEX('Per Invoice'!P$2:P$401,$U129)))</f>
        <v/>
      </c>
      <c r="Q129" s="7">
        <f>IF($U129="","",IF(INDEX('Per Invoice'!Q$2:Q$401,$U129)="","",INDEX('Per Invoice'!Q$2:Q$401,$U129)))</f>
        <v/>
      </c>
      <c r="R129" s="7">
        <f>IF($U129="","",IF(INDEX('Per Invoice'!R$2:R$401,$U129)="","",INDEX('Per Invoice'!R$2:R$401,$U129)))</f>
        <v/>
      </c>
      <c r="S129" s="7">
        <f>IF($U129="","",IF(INDEX('Per Invoice'!S$2:S$401,$U129)="","",INDEX('Per Invoice'!S$2:S$401,$U129)))</f>
        <v/>
      </c>
      <c r="T129" s="7">
        <f>IF($U129="","",IF(INDEX('Per Invoice'!T$2:T$401,$U129)="","",INDEX('Per Invoice'!T$2:T$401,$U129)))</f>
        <v/>
      </c>
      <c r="U129" s="16">
        <f>IFERROR(MATCH(Settings!$C$28&amp;"|"&amp;ROWS($U$2:$U129),'Per Invoice'!$V$2:$V$401,0),"")</f>
        <v/>
      </c>
    </row>
    <row r="130">
      <c r="A130">
        <f>IF($U130="","",IF(INDEX('Per Invoice'!A$2:A$401,$U130)="","",INDEX('Per Invoice'!A$2:A$401,$U130)))</f>
        <v/>
      </c>
      <c r="B130">
        <f>IF($U130="","",IF(INDEX('Per Invoice'!B$2:B$401,$U130)="","",INDEX('Per Invoice'!B$2:B$401,$U130)))</f>
        <v/>
      </c>
      <c r="C130">
        <f>IF($U130="","",IF(INDEX('Per Invoice'!C$2:C$401,$U130)="","",INDEX('Per Invoice'!C$2:C$401,$U130)))</f>
        <v/>
      </c>
      <c r="D130">
        <f>IF($U130="","",IF(INDEX('Per Invoice'!D$2:D$401,$U130)="","",INDEX('Per Invoice'!D$2:D$401,$U130)))</f>
        <v/>
      </c>
      <c r="E130">
        <f>IF($U130="","",IF(INDEX('Per Invoice'!E$2:E$401,$U130)="","",INDEX('Per Invoice'!E$2:E$401,$U130)))</f>
        <v/>
      </c>
      <c r="F130">
        <f>IF($U130="","",IF(INDEX('Per Invoice'!F$2:F$401,$U130)="","",INDEX('Per Invoice'!F$2:F$401,$U130)))</f>
        <v/>
      </c>
      <c r="G130">
        <f>IF($U130="","",IF(INDEX('Per Invoice'!G$2:G$401,$U130)="","",INDEX('Per Invoice'!G$2:G$401,$U130)))</f>
        <v/>
      </c>
      <c r="H130" s="7">
        <f>IF($U130="","",IF(INDEX('Per Invoice'!H$2:H$401,$U130)="","",INDEX('Per Invoice'!H$2:H$401,$U130)))</f>
        <v/>
      </c>
      <c r="I130" s="14">
        <f>IF($U130="","",IF(INDEX('Per Invoice'!I$2:I$401,$U130)="","",INDEX('Per Invoice'!I$2:I$401,$U130)))</f>
        <v/>
      </c>
      <c r="J130">
        <f>IF($U130="","",IF(INDEX('Per Invoice'!J$2:J$401,$U130)="","",INDEX('Per Invoice'!J$2:J$401,$U130)))</f>
        <v/>
      </c>
      <c r="K130">
        <f>IF($U130="","",IF(INDEX('Per Invoice'!K$2:K$401,$U130)="","",INDEX('Per Invoice'!K$2:K$401,$U130)))</f>
        <v/>
      </c>
      <c r="L130" s="7">
        <f>IF($U130="","",IF(INDEX('Per Invoice'!L$2:L$401,$U130)="","",INDEX('Per Invoice'!L$2:L$401,$U130)))</f>
        <v/>
      </c>
      <c r="M130" s="7">
        <f>IF($U130="","",IF(INDEX('Per Invoice'!M$2:M$401,$U130)="","",INDEX('Per Invoice'!M$2:M$401,$U130)))</f>
        <v/>
      </c>
      <c r="N130">
        <f>IF($U130="","",IF(INDEX('Per Invoice'!N$2:N$401,$U130)="","",INDEX('Per Invoice'!N$2:N$401,$U130)))</f>
        <v/>
      </c>
      <c r="O130" s="7">
        <f>IF($U130="","",IF(INDEX('Per Invoice'!O$2:O$401,$U130)="","",INDEX('Per Invoice'!O$2:O$401,$U130)))</f>
        <v/>
      </c>
      <c r="P130" s="7">
        <f>IF($U130="","",IF(INDEX('Per Invoice'!P$2:P$401,$U130)="","",INDEX('Per Invoice'!P$2:P$401,$U130)))</f>
        <v/>
      </c>
      <c r="Q130" s="7">
        <f>IF($U130="","",IF(INDEX('Per Invoice'!Q$2:Q$401,$U130)="","",INDEX('Per Invoice'!Q$2:Q$401,$U130)))</f>
        <v/>
      </c>
      <c r="R130" s="7">
        <f>IF($U130="","",IF(INDEX('Per Invoice'!R$2:R$401,$U130)="","",INDEX('Per Invoice'!R$2:R$401,$U130)))</f>
        <v/>
      </c>
      <c r="S130" s="7">
        <f>IF($U130="","",IF(INDEX('Per Invoice'!S$2:S$401,$U130)="","",INDEX('Per Invoice'!S$2:S$401,$U130)))</f>
        <v/>
      </c>
      <c r="T130" s="7">
        <f>IF($U130="","",IF(INDEX('Per Invoice'!T$2:T$401,$U130)="","",INDEX('Per Invoice'!T$2:T$401,$U130)))</f>
        <v/>
      </c>
      <c r="U130" s="16">
        <f>IFERROR(MATCH(Settings!$C$28&amp;"|"&amp;ROWS($U$2:$U130),'Per Invoice'!$V$2:$V$401,0),"")</f>
        <v/>
      </c>
    </row>
    <row r="131">
      <c r="A131">
        <f>IF($U131="","",IF(INDEX('Per Invoice'!A$2:A$401,$U131)="","",INDEX('Per Invoice'!A$2:A$401,$U131)))</f>
        <v/>
      </c>
      <c r="B131">
        <f>IF($U131="","",IF(INDEX('Per Invoice'!B$2:B$401,$U131)="","",INDEX('Per Invoice'!B$2:B$401,$U131)))</f>
        <v/>
      </c>
      <c r="C131">
        <f>IF($U131="","",IF(INDEX('Per Invoice'!C$2:C$401,$U131)="","",INDEX('Per Invoice'!C$2:C$401,$U131)))</f>
        <v/>
      </c>
      <c r="D131">
        <f>IF($U131="","",IF(INDEX('Per Invoice'!D$2:D$401,$U131)="","",INDEX('Per Invoice'!D$2:D$401,$U131)))</f>
        <v/>
      </c>
      <c r="E131">
        <f>IF($U131="","",IF(INDEX('Per Invoice'!E$2:E$401,$U131)="","",INDEX('Per Invoice'!E$2:E$401,$U131)))</f>
        <v/>
      </c>
      <c r="F131">
        <f>IF($U131="","",IF(INDEX('Per Invoice'!F$2:F$401,$U131)="","",INDEX('Per Invoice'!F$2:F$401,$U131)))</f>
        <v/>
      </c>
      <c r="G131">
        <f>IF($U131="","",IF(INDEX('Per Invoice'!G$2:G$401,$U131)="","",INDEX('Per Invoice'!G$2:G$401,$U131)))</f>
        <v/>
      </c>
      <c r="H131" s="7">
        <f>IF($U131="","",IF(INDEX('Per Invoice'!H$2:H$401,$U131)="","",INDEX('Per Invoice'!H$2:H$401,$U131)))</f>
        <v/>
      </c>
      <c r="I131" s="14">
        <f>IF($U131="","",IF(INDEX('Per Invoice'!I$2:I$401,$U131)="","",INDEX('Per Invoice'!I$2:I$401,$U131)))</f>
        <v/>
      </c>
      <c r="J131">
        <f>IF($U131="","",IF(INDEX('Per Invoice'!J$2:J$401,$U131)="","",INDEX('Per Invoice'!J$2:J$401,$U131)))</f>
        <v/>
      </c>
      <c r="K131">
        <f>IF($U131="","",IF(INDEX('Per Invoice'!K$2:K$401,$U131)="","",INDEX('Per Invoice'!K$2:K$401,$U131)))</f>
        <v/>
      </c>
      <c r="L131" s="7">
        <f>IF($U131="","",IF(INDEX('Per Invoice'!L$2:L$401,$U131)="","",INDEX('Per Invoice'!L$2:L$401,$U131)))</f>
        <v/>
      </c>
      <c r="M131" s="7">
        <f>IF($U131="","",IF(INDEX('Per Invoice'!M$2:M$401,$U131)="","",INDEX('Per Invoice'!M$2:M$401,$U131)))</f>
        <v/>
      </c>
      <c r="N131">
        <f>IF($U131="","",IF(INDEX('Per Invoice'!N$2:N$401,$U131)="","",INDEX('Per Invoice'!N$2:N$401,$U131)))</f>
        <v/>
      </c>
      <c r="O131" s="7">
        <f>IF($U131="","",IF(INDEX('Per Invoice'!O$2:O$401,$U131)="","",INDEX('Per Invoice'!O$2:O$401,$U131)))</f>
        <v/>
      </c>
      <c r="P131" s="7">
        <f>IF($U131="","",IF(INDEX('Per Invoice'!P$2:P$401,$U131)="","",INDEX('Per Invoice'!P$2:P$401,$U131)))</f>
        <v/>
      </c>
      <c r="Q131" s="7">
        <f>IF($U131="","",IF(INDEX('Per Invoice'!Q$2:Q$401,$U131)="","",INDEX('Per Invoice'!Q$2:Q$401,$U131)))</f>
        <v/>
      </c>
      <c r="R131" s="7">
        <f>IF($U131="","",IF(INDEX('Per Invoice'!R$2:R$401,$U131)="","",INDEX('Per Invoice'!R$2:R$401,$U131)))</f>
        <v/>
      </c>
      <c r="S131" s="7">
        <f>IF($U131="","",IF(INDEX('Per Invoice'!S$2:S$401,$U131)="","",INDEX('Per Invoice'!S$2:S$401,$U131)))</f>
        <v/>
      </c>
      <c r="T131" s="7">
        <f>IF($U131="","",IF(INDEX('Per Invoice'!T$2:T$401,$U131)="","",INDEX('Per Invoice'!T$2:T$401,$U131)))</f>
        <v/>
      </c>
      <c r="U131" s="16">
        <f>IFERROR(MATCH(Settings!$C$28&amp;"|"&amp;ROWS($U$2:$U131),'Per Invoice'!$V$2:$V$401,0),"")</f>
        <v/>
      </c>
    </row>
    <row r="132">
      <c r="A132">
        <f>IF($U132="","",IF(INDEX('Per Invoice'!A$2:A$401,$U132)="","",INDEX('Per Invoice'!A$2:A$401,$U132)))</f>
        <v/>
      </c>
      <c r="B132">
        <f>IF($U132="","",IF(INDEX('Per Invoice'!B$2:B$401,$U132)="","",INDEX('Per Invoice'!B$2:B$401,$U132)))</f>
        <v/>
      </c>
      <c r="C132">
        <f>IF($U132="","",IF(INDEX('Per Invoice'!C$2:C$401,$U132)="","",INDEX('Per Invoice'!C$2:C$401,$U132)))</f>
        <v/>
      </c>
      <c r="D132">
        <f>IF($U132="","",IF(INDEX('Per Invoice'!D$2:D$401,$U132)="","",INDEX('Per Invoice'!D$2:D$401,$U132)))</f>
        <v/>
      </c>
      <c r="E132">
        <f>IF($U132="","",IF(INDEX('Per Invoice'!E$2:E$401,$U132)="","",INDEX('Per Invoice'!E$2:E$401,$U132)))</f>
        <v/>
      </c>
      <c r="F132">
        <f>IF($U132="","",IF(INDEX('Per Invoice'!F$2:F$401,$U132)="","",INDEX('Per Invoice'!F$2:F$401,$U132)))</f>
        <v/>
      </c>
      <c r="G132">
        <f>IF($U132="","",IF(INDEX('Per Invoice'!G$2:G$401,$U132)="","",INDEX('Per Invoice'!G$2:G$401,$U132)))</f>
        <v/>
      </c>
      <c r="H132" s="7">
        <f>IF($U132="","",IF(INDEX('Per Invoice'!H$2:H$401,$U132)="","",INDEX('Per Invoice'!H$2:H$401,$U132)))</f>
        <v/>
      </c>
      <c r="I132" s="14">
        <f>IF($U132="","",IF(INDEX('Per Invoice'!I$2:I$401,$U132)="","",INDEX('Per Invoice'!I$2:I$401,$U132)))</f>
        <v/>
      </c>
      <c r="J132">
        <f>IF($U132="","",IF(INDEX('Per Invoice'!J$2:J$401,$U132)="","",INDEX('Per Invoice'!J$2:J$401,$U132)))</f>
        <v/>
      </c>
      <c r="K132">
        <f>IF($U132="","",IF(INDEX('Per Invoice'!K$2:K$401,$U132)="","",INDEX('Per Invoice'!K$2:K$401,$U132)))</f>
        <v/>
      </c>
      <c r="L132" s="7">
        <f>IF($U132="","",IF(INDEX('Per Invoice'!L$2:L$401,$U132)="","",INDEX('Per Invoice'!L$2:L$401,$U132)))</f>
        <v/>
      </c>
      <c r="M132" s="7">
        <f>IF($U132="","",IF(INDEX('Per Invoice'!M$2:M$401,$U132)="","",INDEX('Per Invoice'!M$2:M$401,$U132)))</f>
        <v/>
      </c>
      <c r="N132">
        <f>IF($U132="","",IF(INDEX('Per Invoice'!N$2:N$401,$U132)="","",INDEX('Per Invoice'!N$2:N$401,$U132)))</f>
        <v/>
      </c>
      <c r="O132" s="7">
        <f>IF($U132="","",IF(INDEX('Per Invoice'!O$2:O$401,$U132)="","",INDEX('Per Invoice'!O$2:O$401,$U132)))</f>
        <v/>
      </c>
      <c r="P132" s="7">
        <f>IF($U132="","",IF(INDEX('Per Invoice'!P$2:P$401,$U132)="","",INDEX('Per Invoice'!P$2:P$401,$U132)))</f>
        <v/>
      </c>
      <c r="Q132" s="7">
        <f>IF($U132="","",IF(INDEX('Per Invoice'!Q$2:Q$401,$U132)="","",INDEX('Per Invoice'!Q$2:Q$401,$U132)))</f>
        <v/>
      </c>
      <c r="R132" s="7">
        <f>IF($U132="","",IF(INDEX('Per Invoice'!R$2:R$401,$U132)="","",INDEX('Per Invoice'!R$2:R$401,$U132)))</f>
        <v/>
      </c>
      <c r="S132" s="7">
        <f>IF($U132="","",IF(INDEX('Per Invoice'!S$2:S$401,$U132)="","",INDEX('Per Invoice'!S$2:S$401,$U132)))</f>
        <v/>
      </c>
      <c r="T132" s="7">
        <f>IF($U132="","",IF(INDEX('Per Invoice'!T$2:T$401,$U132)="","",INDEX('Per Invoice'!T$2:T$401,$U132)))</f>
        <v/>
      </c>
      <c r="U132" s="16">
        <f>IFERROR(MATCH(Settings!$C$28&amp;"|"&amp;ROWS($U$2:$U132),'Per Invoice'!$V$2:$V$401,0),"")</f>
        <v/>
      </c>
    </row>
    <row r="133">
      <c r="A133">
        <f>IF($U133="","",IF(INDEX('Per Invoice'!A$2:A$401,$U133)="","",INDEX('Per Invoice'!A$2:A$401,$U133)))</f>
        <v/>
      </c>
      <c r="B133">
        <f>IF($U133="","",IF(INDEX('Per Invoice'!B$2:B$401,$U133)="","",INDEX('Per Invoice'!B$2:B$401,$U133)))</f>
        <v/>
      </c>
      <c r="C133">
        <f>IF($U133="","",IF(INDEX('Per Invoice'!C$2:C$401,$U133)="","",INDEX('Per Invoice'!C$2:C$401,$U133)))</f>
        <v/>
      </c>
      <c r="D133">
        <f>IF($U133="","",IF(INDEX('Per Invoice'!D$2:D$401,$U133)="","",INDEX('Per Invoice'!D$2:D$401,$U133)))</f>
        <v/>
      </c>
      <c r="E133">
        <f>IF($U133="","",IF(INDEX('Per Invoice'!E$2:E$401,$U133)="","",INDEX('Per Invoice'!E$2:E$401,$U133)))</f>
        <v/>
      </c>
      <c r="F133">
        <f>IF($U133="","",IF(INDEX('Per Invoice'!F$2:F$401,$U133)="","",INDEX('Per Invoice'!F$2:F$401,$U133)))</f>
        <v/>
      </c>
      <c r="G133">
        <f>IF($U133="","",IF(INDEX('Per Invoice'!G$2:G$401,$U133)="","",INDEX('Per Invoice'!G$2:G$401,$U133)))</f>
        <v/>
      </c>
      <c r="H133" s="7">
        <f>IF($U133="","",IF(INDEX('Per Invoice'!H$2:H$401,$U133)="","",INDEX('Per Invoice'!H$2:H$401,$U133)))</f>
        <v/>
      </c>
      <c r="I133" s="14">
        <f>IF($U133="","",IF(INDEX('Per Invoice'!I$2:I$401,$U133)="","",INDEX('Per Invoice'!I$2:I$401,$U133)))</f>
        <v/>
      </c>
      <c r="J133">
        <f>IF($U133="","",IF(INDEX('Per Invoice'!J$2:J$401,$U133)="","",INDEX('Per Invoice'!J$2:J$401,$U133)))</f>
        <v/>
      </c>
      <c r="K133">
        <f>IF($U133="","",IF(INDEX('Per Invoice'!K$2:K$401,$U133)="","",INDEX('Per Invoice'!K$2:K$401,$U133)))</f>
        <v/>
      </c>
      <c r="L133" s="7">
        <f>IF($U133="","",IF(INDEX('Per Invoice'!L$2:L$401,$U133)="","",INDEX('Per Invoice'!L$2:L$401,$U133)))</f>
        <v/>
      </c>
      <c r="M133" s="7">
        <f>IF($U133="","",IF(INDEX('Per Invoice'!M$2:M$401,$U133)="","",INDEX('Per Invoice'!M$2:M$401,$U133)))</f>
        <v/>
      </c>
      <c r="N133">
        <f>IF($U133="","",IF(INDEX('Per Invoice'!N$2:N$401,$U133)="","",INDEX('Per Invoice'!N$2:N$401,$U133)))</f>
        <v/>
      </c>
      <c r="O133" s="7">
        <f>IF($U133="","",IF(INDEX('Per Invoice'!O$2:O$401,$U133)="","",INDEX('Per Invoice'!O$2:O$401,$U133)))</f>
        <v/>
      </c>
      <c r="P133" s="7">
        <f>IF($U133="","",IF(INDEX('Per Invoice'!P$2:P$401,$U133)="","",INDEX('Per Invoice'!P$2:P$401,$U133)))</f>
        <v/>
      </c>
      <c r="Q133" s="7">
        <f>IF($U133="","",IF(INDEX('Per Invoice'!Q$2:Q$401,$U133)="","",INDEX('Per Invoice'!Q$2:Q$401,$U133)))</f>
        <v/>
      </c>
      <c r="R133" s="7">
        <f>IF($U133="","",IF(INDEX('Per Invoice'!R$2:R$401,$U133)="","",INDEX('Per Invoice'!R$2:R$401,$U133)))</f>
        <v/>
      </c>
      <c r="S133" s="7">
        <f>IF($U133="","",IF(INDEX('Per Invoice'!S$2:S$401,$U133)="","",INDEX('Per Invoice'!S$2:S$401,$U133)))</f>
        <v/>
      </c>
      <c r="T133" s="7">
        <f>IF($U133="","",IF(INDEX('Per Invoice'!T$2:T$401,$U133)="","",INDEX('Per Invoice'!T$2:T$401,$U133)))</f>
        <v/>
      </c>
      <c r="U133" s="16">
        <f>IFERROR(MATCH(Settings!$C$28&amp;"|"&amp;ROWS($U$2:$U133),'Per Invoice'!$V$2:$V$401,0),"")</f>
        <v/>
      </c>
    </row>
    <row r="134">
      <c r="A134">
        <f>IF($U134="","",IF(INDEX('Per Invoice'!A$2:A$401,$U134)="","",INDEX('Per Invoice'!A$2:A$401,$U134)))</f>
        <v/>
      </c>
      <c r="B134">
        <f>IF($U134="","",IF(INDEX('Per Invoice'!B$2:B$401,$U134)="","",INDEX('Per Invoice'!B$2:B$401,$U134)))</f>
        <v/>
      </c>
      <c r="C134">
        <f>IF($U134="","",IF(INDEX('Per Invoice'!C$2:C$401,$U134)="","",INDEX('Per Invoice'!C$2:C$401,$U134)))</f>
        <v/>
      </c>
      <c r="D134">
        <f>IF($U134="","",IF(INDEX('Per Invoice'!D$2:D$401,$U134)="","",INDEX('Per Invoice'!D$2:D$401,$U134)))</f>
        <v/>
      </c>
      <c r="E134">
        <f>IF($U134="","",IF(INDEX('Per Invoice'!E$2:E$401,$U134)="","",INDEX('Per Invoice'!E$2:E$401,$U134)))</f>
        <v/>
      </c>
      <c r="F134">
        <f>IF($U134="","",IF(INDEX('Per Invoice'!F$2:F$401,$U134)="","",INDEX('Per Invoice'!F$2:F$401,$U134)))</f>
        <v/>
      </c>
      <c r="G134">
        <f>IF($U134="","",IF(INDEX('Per Invoice'!G$2:G$401,$U134)="","",INDEX('Per Invoice'!G$2:G$401,$U134)))</f>
        <v/>
      </c>
      <c r="H134" s="7">
        <f>IF($U134="","",IF(INDEX('Per Invoice'!H$2:H$401,$U134)="","",INDEX('Per Invoice'!H$2:H$401,$U134)))</f>
        <v/>
      </c>
      <c r="I134" s="14">
        <f>IF($U134="","",IF(INDEX('Per Invoice'!I$2:I$401,$U134)="","",INDEX('Per Invoice'!I$2:I$401,$U134)))</f>
        <v/>
      </c>
      <c r="J134">
        <f>IF($U134="","",IF(INDEX('Per Invoice'!J$2:J$401,$U134)="","",INDEX('Per Invoice'!J$2:J$401,$U134)))</f>
        <v/>
      </c>
      <c r="K134">
        <f>IF($U134="","",IF(INDEX('Per Invoice'!K$2:K$401,$U134)="","",INDEX('Per Invoice'!K$2:K$401,$U134)))</f>
        <v/>
      </c>
      <c r="L134" s="7">
        <f>IF($U134="","",IF(INDEX('Per Invoice'!L$2:L$401,$U134)="","",INDEX('Per Invoice'!L$2:L$401,$U134)))</f>
        <v/>
      </c>
      <c r="M134" s="7">
        <f>IF($U134="","",IF(INDEX('Per Invoice'!M$2:M$401,$U134)="","",INDEX('Per Invoice'!M$2:M$401,$U134)))</f>
        <v/>
      </c>
      <c r="N134">
        <f>IF($U134="","",IF(INDEX('Per Invoice'!N$2:N$401,$U134)="","",INDEX('Per Invoice'!N$2:N$401,$U134)))</f>
        <v/>
      </c>
      <c r="O134" s="7">
        <f>IF($U134="","",IF(INDEX('Per Invoice'!O$2:O$401,$U134)="","",INDEX('Per Invoice'!O$2:O$401,$U134)))</f>
        <v/>
      </c>
      <c r="P134" s="7">
        <f>IF($U134="","",IF(INDEX('Per Invoice'!P$2:P$401,$U134)="","",INDEX('Per Invoice'!P$2:P$401,$U134)))</f>
        <v/>
      </c>
      <c r="Q134" s="7">
        <f>IF($U134="","",IF(INDEX('Per Invoice'!Q$2:Q$401,$U134)="","",INDEX('Per Invoice'!Q$2:Q$401,$U134)))</f>
        <v/>
      </c>
      <c r="R134" s="7">
        <f>IF($U134="","",IF(INDEX('Per Invoice'!R$2:R$401,$U134)="","",INDEX('Per Invoice'!R$2:R$401,$U134)))</f>
        <v/>
      </c>
      <c r="S134" s="7">
        <f>IF($U134="","",IF(INDEX('Per Invoice'!S$2:S$401,$U134)="","",INDEX('Per Invoice'!S$2:S$401,$U134)))</f>
        <v/>
      </c>
      <c r="T134" s="7">
        <f>IF($U134="","",IF(INDEX('Per Invoice'!T$2:T$401,$U134)="","",INDEX('Per Invoice'!T$2:T$401,$U134)))</f>
        <v/>
      </c>
      <c r="U134" s="16">
        <f>IFERROR(MATCH(Settings!$C$28&amp;"|"&amp;ROWS($U$2:$U134),'Per Invoice'!$V$2:$V$401,0),"")</f>
        <v/>
      </c>
    </row>
    <row r="135">
      <c r="A135">
        <f>IF($U135="","",IF(INDEX('Per Invoice'!A$2:A$401,$U135)="","",INDEX('Per Invoice'!A$2:A$401,$U135)))</f>
        <v/>
      </c>
      <c r="B135">
        <f>IF($U135="","",IF(INDEX('Per Invoice'!B$2:B$401,$U135)="","",INDEX('Per Invoice'!B$2:B$401,$U135)))</f>
        <v/>
      </c>
      <c r="C135">
        <f>IF($U135="","",IF(INDEX('Per Invoice'!C$2:C$401,$U135)="","",INDEX('Per Invoice'!C$2:C$401,$U135)))</f>
        <v/>
      </c>
      <c r="D135">
        <f>IF($U135="","",IF(INDEX('Per Invoice'!D$2:D$401,$U135)="","",INDEX('Per Invoice'!D$2:D$401,$U135)))</f>
        <v/>
      </c>
      <c r="E135">
        <f>IF($U135="","",IF(INDEX('Per Invoice'!E$2:E$401,$U135)="","",INDEX('Per Invoice'!E$2:E$401,$U135)))</f>
        <v/>
      </c>
      <c r="F135">
        <f>IF($U135="","",IF(INDEX('Per Invoice'!F$2:F$401,$U135)="","",INDEX('Per Invoice'!F$2:F$401,$U135)))</f>
        <v/>
      </c>
      <c r="G135">
        <f>IF($U135="","",IF(INDEX('Per Invoice'!G$2:G$401,$U135)="","",INDEX('Per Invoice'!G$2:G$401,$U135)))</f>
        <v/>
      </c>
      <c r="H135" s="7">
        <f>IF($U135="","",IF(INDEX('Per Invoice'!H$2:H$401,$U135)="","",INDEX('Per Invoice'!H$2:H$401,$U135)))</f>
        <v/>
      </c>
      <c r="I135" s="14">
        <f>IF($U135="","",IF(INDEX('Per Invoice'!I$2:I$401,$U135)="","",INDEX('Per Invoice'!I$2:I$401,$U135)))</f>
        <v/>
      </c>
      <c r="J135">
        <f>IF($U135="","",IF(INDEX('Per Invoice'!J$2:J$401,$U135)="","",INDEX('Per Invoice'!J$2:J$401,$U135)))</f>
        <v/>
      </c>
      <c r="K135">
        <f>IF($U135="","",IF(INDEX('Per Invoice'!K$2:K$401,$U135)="","",INDEX('Per Invoice'!K$2:K$401,$U135)))</f>
        <v/>
      </c>
      <c r="L135" s="7">
        <f>IF($U135="","",IF(INDEX('Per Invoice'!L$2:L$401,$U135)="","",INDEX('Per Invoice'!L$2:L$401,$U135)))</f>
        <v/>
      </c>
      <c r="M135" s="7">
        <f>IF($U135="","",IF(INDEX('Per Invoice'!M$2:M$401,$U135)="","",INDEX('Per Invoice'!M$2:M$401,$U135)))</f>
        <v/>
      </c>
      <c r="N135">
        <f>IF($U135="","",IF(INDEX('Per Invoice'!N$2:N$401,$U135)="","",INDEX('Per Invoice'!N$2:N$401,$U135)))</f>
        <v/>
      </c>
      <c r="O135" s="7">
        <f>IF($U135="","",IF(INDEX('Per Invoice'!O$2:O$401,$U135)="","",INDEX('Per Invoice'!O$2:O$401,$U135)))</f>
        <v/>
      </c>
      <c r="P135" s="7">
        <f>IF($U135="","",IF(INDEX('Per Invoice'!P$2:P$401,$U135)="","",INDEX('Per Invoice'!P$2:P$401,$U135)))</f>
        <v/>
      </c>
      <c r="Q135" s="7">
        <f>IF($U135="","",IF(INDEX('Per Invoice'!Q$2:Q$401,$U135)="","",INDEX('Per Invoice'!Q$2:Q$401,$U135)))</f>
        <v/>
      </c>
      <c r="R135" s="7">
        <f>IF($U135="","",IF(INDEX('Per Invoice'!R$2:R$401,$U135)="","",INDEX('Per Invoice'!R$2:R$401,$U135)))</f>
        <v/>
      </c>
      <c r="S135" s="7">
        <f>IF($U135="","",IF(INDEX('Per Invoice'!S$2:S$401,$U135)="","",INDEX('Per Invoice'!S$2:S$401,$U135)))</f>
        <v/>
      </c>
      <c r="T135" s="7">
        <f>IF($U135="","",IF(INDEX('Per Invoice'!T$2:T$401,$U135)="","",INDEX('Per Invoice'!T$2:T$401,$U135)))</f>
        <v/>
      </c>
      <c r="U135" s="16">
        <f>IFERROR(MATCH(Settings!$C$28&amp;"|"&amp;ROWS($U$2:$U135),'Per Invoice'!$V$2:$V$401,0),"")</f>
        <v/>
      </c>
    </row>
    <row r="136">
      <c r="A136">
        <f>IF($U136="","",IF(INDEX('Per Invoice'!A$2:A$401,$U136)="","",INDEX('Per Invoice'!A$2:A$401,$U136)))</f>
        <v/>
      </c>
      <c r="B136">
        <f>IF($U136="","",IF(INDEX('Per Invoice'!B$2:B$401,$U136)="","",INDEX('Per Invoice'!B$2:B$401,$U136)))</f>
        <v/>
      </c>
      <c r="C136">
        <f>IF($U136="","",IF(INDEX('Per Invoice'!C$2:C$401,$U136)="","",INDEX('Per Invoice'!C$2:C$401,$U136)))</f>
        <v/>
      </c>
      <c r="D136">
        <f>IF($U136="","",IF(INDEX('Per Invoice'!D$2:D$401,$U136)="","",INDEX('Per Invoice'!D$2:D$401,$U136)))</f>
        <v/>
      </c>
      <c r="E136">
        <f>IF($U136="","",IF(INDEX('Per Invoice'!E$2:E$401,$U136)="","",INDEX('Per Invoice'!E$2:E$401,$U136)))</f>
        <v/>
      </c>
      <c r="F136">
        <f>IF($U136="","",IF(INDEX('Per Invoice'!F$2:F$401,$U136)="","",INDEX('Per Invoice'!F$2:F$401,$U136)))</f>
        <v/>
      </c>
      <c r="G136">
        <f>IF($U136="","",IF(INDEX('Per Invoice'!G$2:G$401,$U136)="","",INDEX('Per Invoice'!G$2:G$401,$U136)))</f>
        <v/>
      </c>
      <c r="H136" s="7">
        <f>IF($U136="","",IF(INDEX('Per Invoice'!H$2:H$401,$U136)="","",INDEX('Per Invoice'!H$2:H$401,$U136)))</f>
        <v/>
      </c>
      <c r="I136" s="14">
        <f>IF($U136="","",IF(INDEX('Per Invoice'!I$2:I$401,$U136)="","",INDEX('Per Invoice'!I$2:I$401,$U136)))</f>
        <v/>
      </c>
      <c r="J136">
        <f>IF($U136="","",IF(INDEX('Per Invoice'!J$2:J$401,$U136)="","",INDEX('Per Invoice'!J$2:J$401,$U136)))</f>
        <v/>
      </c>
      <c r="K136">
        <f>IF($U136="","",IF(INDEX('Per Invoice'!K$2:K$401,$U136)="","",INDEX('Per Invoice'!K$2:K$401,$U136)))</f>
        <v/>
      </c>
      <c r="L136" s="7">
        <f>IF($U136="","",IF(INDEX('Per Invoice'!L$2:L$401,$U136)="","",INDEX('Per Invoice'!L$2:L$401,$U136)))</f>
        <v/>
      </c>
      <c r="M136" s="7">
        <f>IF($U136="","",IF(INDEX('Per Invoice'!M$2:M$401,$U136)="","",INDEX('Per Invoice'!M$2:M$401,$U136)))</f>
        <v/>
      </c>
      <c r="N136">
        <f>IF($U136="","",IF(INDEX('Per Invoice'!N$2:N$401,$U136)="","",INDEX('Per Invoice'!N$2:N$401,$U136)))</f>
        <v/>
      </c>
      <c r="O136" s="7">
        <f>IF($U136="","",IF(INDEX('Per Invoice'!O$2:O$401,$U136)="","",INDEX('Per Invoice'!O$2:O$401,$U136)))</f>
        <v/>
      </c>
      <c r="P136" s="7">
        <f>IF($U136="","",IF(INDEX('Per Invoice'!P$2:P$401,$U136)="","",INDEX('Per Invoice'!P$2:P$401,$U136)))</f>
        <v/>
      </c>
      <c r="Q136" s="7">
        <f>IF($U136="","",IF(INDEX('Per Invoice'!Q$2:Q$401,$U136)="","",INDEX('Per Invoice'!Q$2:Q$401,$U136)))</f>
        <v/>
      </c>
      <c r="R136" s="7">
        <f>IF($U136="","",IF(INDEX('Per Invoice'!R$2:R$401,$U136)="","",INDEX('Per Invoice'!R$2:R$401,$U136)))</f>
        <v/>
      </c>
      <c r="S136" s="7">
        <f>IF($U136="","",IF(INDEX('Per Invoice'!S$2:S$401,$U136)="","",INDEX('Per Invoice'!S$2:S$401,$U136)))</f>
        <v/>
      </c>
      <c r="T136" s="7">
        <f>IF($U136="","",IF(INDEX('Per Invoice'!T$2:T$401,$U136)="","",INDEX('Per Invoice'!T$2:T$401,$U136)))</f>
        <v/>
      </c>
      <c r="U136" s="16">
        <f>IFERROR(MATCH(Settings!$C$28&amp;"|"&amp;ROWS($U$2:$U136),'Per Invoice'!$V$2:$V$401,0),"")</f>
        <v/>
      </c>
    </row>
    <row r="137">
      <c r="A137">
        <f>IF($U137="","",IF(INDEX('Per Invoice'!A$2:A$401,$U137)="","",INDEX('Per Invoice'!A$2:A$401,$U137)))</f>
        <v/>
      </c>
      <c r="B137">
        <f>IF($U137="","",IF(INDEX('Per Invoice'!B$2:B$401,$U137)="","",INDEX('Per Invoice'!B$2:B$401,$U137)))</f>
        <v/>
      </c>
      <c r="C137">
        <f>IF($U137="","",IF(INDEX('Per Invoice'!C$2:C$401,$U137)="","",INDEX('Per Invoice'!C$2:C$401,$U137)))</f>
        <v/>
      </c>
      <c r="D137">
        <f>IF($U137="","",IF(INDEX('Per Invoice'!D$2:D$401,$U137)="","",INDEX('Per Invoice'!D$2:D$401,$U137)))</f>
        <v/>
      </c>
      <c r="E137">
        <f>IF($U137="","",IF(INDEX('Per Invoice'!E$2:E$401,$U137)="","",INDEX('Per Invoice'!E$2:E$401,$U137)))</f>
        <v/>
      </c>
      <c r="F137">
        <f>IF($U137="","",IF(INDEX('Per Invoice'!F$2:F$401,$U137)="","",INDEX('Per Invoice'!F$2:F$401,$U137)))</f>
        <v/>
      </c>
      <c r="G137">
        <f>IF($U137="","",IF(INDEX('Per Invoice'!G$2:G$401,$U137)="","",INDEX('Per Invoice'!G$2:G$401,$U137)))</f>
        <v/>
      </c>
      <c r="H137" s="7">
        <f>IF($U137="","",IF(INDEX('Per Invoice'!H$2:H$401,$U137)="","",INDEX('Per Invoice'!H$2:H$401,$U137)))</f>
        <v/>
      </c>
      <c r="I137" s="14">
        <f>IF($U137="","",IF(INDEX('Per Invoice'!I$2:I$401,$U137)="","",INDEX('Per Invoice'!I$2:I$401,$U137)))</f>
        <v/>
      </c>
      <c r="J137">
        <f>IF($U137="","",IF(INDEX('Per Invoice'!J$2:J$401,$U137)="","",INDEX('Per Invoice'!J$2:J$401,$U137)))</f>
        <v/>
      </c>
      <c r="K137">
        <f>IF($U137="","",IF(INDEX('Per Invoice'!K$2:K$401,$U137)="","",INDEX('Per Invoice'!K$2:K$401,$U137)))</f>
        <v/>
      </c>
      <c r="L137" s="7">
        <f>IF($U137="","",IF(INDEX('Per Invoice'!L$2:L$401,$U137)="","",INDEX('Per Invoice'!L$2:L$401,$U137)))</f>
        <v/>
      </c>
      <c r="M137" s="7">
        <f>IF($U137="","",IF(INDEX('Per Invoice'!M$2:M$401,$U137)="","",INDEX('Per Invoice'!M$2:M$401,$U137)))</f>
        <v/>
      </c>
      <c r="N137">
        <f>IF($U137="","",IF(INDEX('Per Invoice'!N$2:N$401,$U137)="","",INDEX('Per Invoice'!N$2:N$401,$U137)))</f>
        <v/>
      </c>
      <c r="O137" s="7">
        <f>IF($U137="","",IF(INDEX('Per Invoice'!O$2:O$401,$U137)="","",INDEX('Per Invoice'!O$2:O$401,$U137)))</f>
        <v/>
      </c>
      <c r="P137" s="7">
        <f>IF($U137="","",IF(INDEX('Per Invoice'!P$2:P$401,$U137)="","",INDEX('Per Invoice'!P$2:P$401,$U137)))</f>
        <v/>
      </c>
      <c r="Q137" s="7">
        <f>IF($U137="","",IF(INDEX('Per Invoice'!Q$2:Q$401,$U137)="","",INDEX('Per Invoice'!Q$2:Q$401,$U137)))</f>
        <v/>
      </c>
      <c r="R137" s="7">
        <f>IF($U137="","",IF(INDEX('Per Invoice'!R$2:R$401,$U137)="","",INDEX('Per Invoice'!R$2:R$401,$U137)))</f>
        <v/>
      </c>
      <c r="S137" s="7">
        <f>IF($U137="","",IF(INDEX('Per Invoice'!S$2:S$401,$U137)="","",INDEX('Per Invoice'!S$2:S$401,$U137)))</f>
        <v/>
      </c>
      <c r="T137" s="7">
        <f>IF($U137="","",IF(INDEX('Per Invoice'!T$2:T$401,$U137)="","",INDEX('Per Invoice'!T$2:T$401,$U137)))</f>
        <v/>
      </c>
      <c r="U137" s="16">
        <f>IFERROR(MATCH(Settings!$C$28&amp;"|"&amp;ROWS($U$2:$U137),'Per Invoice'!$V$2:$V$401,0),"")</f>
        <v/>
      </c>
    </row>
    <row r="138">
      <c r="A138">
        <f>IF($U138="","",IF(INDEX('Per Invoice'!A$2:A$401,$U138)="","",INDEX('Per Invoice'!A$2:A$401,$U138)))</f>
        <v/>
      </c>
      <c r="B138">
        <f>IF($U138="","",IF(INDEX('Per Invoice'!B$2:B$401,$U138)="","",INDEX('Per Invoice'!B$2:B$401,$U138)))</f>
        <v/>
      </c>
      <c r="C138">
        <f>IF($U138="","",IF(INDEX('Per Invoice'!C$2:C$401,$U138)="","",INDEX('Per Invoice'!C$2:C$401,$U138)))</f>
        <v/>
      </c>
      <c r="D138">
        <f>IF($U138="","",IF(INDEX('Per Invoice'!D$2:D$401,$U138)="","",INDEX('Per Invoice'!D$2:D$401,$U138)))</f>
        <v/>
      </c>
      <c r="E138">
        <f>IF($U138="","",IF(INDEX('Per Invoice'!E$2:E$401,$U138)="","",INDEX('Per Invoice'!E$2:E$401,$U138)))</f>
        <v/>
      </c>
      <c r="F138">
        <f>IF($U138="","",IF(INDEX('Per Invoice'!F$2:F$401,$U138)="","",INDEX('Per Invoice'!F$2:F$401,$U138)))</f>
        <v/>
      </c>
      <c r="G138">
        <f>IF($U138="","",IF(INDEX('Per Invoice'!G$2:G$401,$U138)="","",INDEX('Per Invoice'!G$2:G$401,$U138)))</f>
        <v/>
      </c>
      <c r="H138" s="7">
        <f>IF($U138="","",IF(INDEX('Per Invoice'!H$2:H$401,$U138)="","",INDEX('Per Invoice'!H$2:H$401,$U138)))</f>
        <v/>
      </c>
      <c r="I138" s="14">
        <f>IF($U138="","",IF(INDEX('Per Invoice'!I$2:I$401,$U138)="","",INDEX('Per Invoice'!I$2:I$401,$U138)))</f>
        <v/>
      </c>
      <c r="J138">
        <f>IF($U138="","",IF(INDEX('Per Invoice'!J$2:J$401,$U138)="","",INDEX('Per Invoice'!J$2:J$401,$U138)))</f>
        <v/>
      </c>
      <c r="K138">
        <f>IF($U138="","",IF(INDEX('Per Invoice'!K$2:K$401,$U138)="","",INDEX('Per Invoice'!K$2:K$401,$U138)))</f>
        <v/>
      </c>
      <c r="L138" s="7">
        <f>IF($U138="","",IF(INDEX('Per Invoice'!L$2:L$401,$U138)="","",INDEX('Per Invoice'!L$2:L$401,$U138)))</f>
        <v/>
      </c>
      <c r="M138" s="7">
        <f>IF($U138="","",IF(INDEX('Per Invoice'!M$2:M$401,$U138)="","",INDEX('Per Invoice'!M$2:M$401,$U138)))</f>
        <v/>
      </c>
      <c r="N138">
        <f>IF($U138="","",IF(INDEX('Per Invoice'!N$2:N$401,$U138)="","",INDEX('Per Invoice'!N$2:N$401,$U138)))</f>
        <v/>
      </c>
      <c r="O138" s="7">
        <f>IF($U138="","",IF(INDEX('Per Invoice'!O$2:O$401,$U138)="","",INDEX('Per Invoice'!O$2:O$401,$U138)))</f>
        <v/>
      </c>
      <c r="P138" s="7">
        <f>IF($U138="","",IF(INDEX('Per Invoice'!P$2:P$401,$U138)="","",INDEX('Per Invoice'!P$2:P$401,$U138)))</f>
        <v/>
      </c>
      <c r="Q138" s="7">
        <f>IF($U138="","",IF(INDEX('Per Invoice'!Q$2:Q$401,$U138)="","",INDEX('Per Invoice'!Q$2:Q$401,$U138)))</f>
        <v/>
      </c>
      <c r="R138" s="7">
        <f>IF($U138="","",IF(INDEX('Per Invoice'!R$2:R$401,$U138)="","",INDEX('Per Invoice'!R$2:R$401,$U138)))</f>
        <v/>
      </c>
      <c r="S138" s="7">
        <f>IF($U138="","",IF(INDEX('Per Invoice'!S$2:S$401,$U138)="","",INDEX('Per Invoice'!S$2:S$401,$U138)))</f>
        <v/>
      </c>
      <c r="T138" s="7">
        <f>IF($U138="","",IF(INDEX('Per Invoice'!T$2:T$401,$U138)="","",INDEX('Per Invoice'!T$2:T$401,$U138)))</f>
        <v/>
      </c>
      <c r="U138" s="16">
        <f>IFERROR(MATCH(Settings!$C$28&amp;"|"&amp;ROWS($U$2:$U138),'Per Invoice'!$V$2:$V$401,0),"")</f>
        <v/>
      </c>
    </row>
    <row r="139">
      <c r="A139">
        <f>IF($U139="","",IF(INDEX('Per Invoice'!A$2:A$401,$U139)="","",INDEX('Per Invoice'!A$2:A$401,$U139)))</f>
        <v/>
      </c>
      <c r="B139">
        <f>IF($U139="","",IF(INDEX('Per Invoice'!B$2:B$401,$U139)="","",INDEX('Per Invoice'!B$2:B$401,$U139)))</f>
        <v/>
      </c>
      <c r="C139">
        <f>IF($U139="","",IF(INDEX('Per Invoice'!C$2:C$401,$U139)="","",INDEX('Per Invoice'!C$2:C$401,$U139)))</f>
        <v/>
      </c>
      <c r="D139">
        <f>IF($U139="","",IF(INDEX('Per Invoice'!D$2:D$401,$U139)="","",INDEX('Per Invoice'!D$2:D$401,$U139)))</f>
        <v/>
      </c>
      <c r="E139">
        <f>IF($U139="","",IF(INDEX('Per Invoice'!E$2:E$401,$U139)="","",INDEX('Per Invoice'!E$2:E$401,$U139)))</f>
        <v/>
      </c>
      <c r="F139">
        <f>IF($U139="","",IF(INDEX('Per Invoice'!F$2:F$401,$U139)="","",INDEX('Per Invoice'!F$2:F$401,$U139)))</f>
        <v/>
      </c>
      <c r="G139">
        <f>IF($U139="","",IF(INDEX('Per Invoice'!G$2:G$401,$U139)="","",INDEX('Per Invoice'!G$2:G$401,$U139)))</f>
        <v/>
      </c>
      <c r="H139" s="7">
        <f>IF($U139="","",IF(INDEX('Per Invoice'!H$2:H$401,$U139)="","",INDEX('Per Invoice'!H$2:H$401,$U139)))</f>
        <v/>
      </c>
      <c r="I139" s="14">
        <f>IF($U139="","",IF(INDEX('Per Invoice'!I$2:I$401,$U139)="","",INDEX('Per Invoice'!I$2:I$401,$U139)))</f>
        <v/>
      </c>
      <c r="J139">
        <f>IF($U139="","",IF(INDEX('Per Invoice'!J$2:J$401,$U139)="","",INDEX('Per Invoice'!J$2:J$401,$U139)))</f>
        <v/>
      </c>
      <c r="K139">
        <f>IF($U139="","",IF(INDEX('Per Invoice'!K$2:K$401,$U139)="","",INDEX('Per Invoice'!K$2:K$401,$U139)))</f>
        <v/>
      </c>
      <c r="L139" s="7">
        <f>IF($U139="","",IF(INDEX('Per Invoice'!L$2:L$401,$U139)="","",INDEX('Per Invoice'!L$2:L$401,$U139)))</f>
        <v/>
      </c>
      <c r="M139" s="7">
        <f>IF($U139="","",IF(INDEX('Per Invoice'!M$2:M$401,$U139)="","",INDEX('Per Invoice'!M$2:M$401,$U139)))</f>
        <v/>
      </c>
      <c r="N139">
        <f>IF($U139="","",IF(INDEX('Per Invoice'!N$2:N$401,$U139)="","",INDEX('Per Invoice'!N$2:N$401,$U139)))</f>
        <v/>
      </c>
      <c r="O139" s="7">
        <f>IF($U139="","",IF(INDEX('Per Invoice'!O$2:O$401,$U139)="","",INDEX('Per Invoice'!O$2:O$401,$U139)))</f>
        <v/>
      </c>
      <c r="P139" s="7">
        <f>IF($U139="","",IF(INDEX('Per Invoice'!P$2:P$401,$U139)="","",INDEX('Per Invoice'!P$2:P$401,$U139)))</f>
        <v/>
      </c>
      <c r="Q139" s="7">
        <f>IF($U139="","",IF(INDEX('Per Invoice'!Q$2:Q$401,$U139)="","",INDEX('Per Invoice'!Q$2:Q$401,$U139)))</f>
        <v/>
      </c>
      <c r="R139" s="7">
        <f>IF($U139="","",IF(INDEX('Per Invoice'!R$2:R$401,$U139)="","",INDEX('Per Invoice'!R$2:R$401,$U139)))</f>
        <v/>
      </c>
      <c r="S139" s="7">
        <f>IF($U139="","",IF(INDEX('Per Invoice'!S$2:S$401,$U139)="","",INDEX('Per Invoice'!S$2:S$401,$U139)))</f>
        <v/>
      </c>
      <c r="T139" s="7">
        <f>IF($U139="","",IF(INDEX('Per Invoice'!T$2:T$401,$U139)="","",INDEX('Per Invoice'!T$2:T$401,$U139)))</f>
        <v/>
      </c>
      <c r="U139" s="16">
        <f>IFERROR(MATCH(Settings!$C$28&amp;"|"&amp;ROWS($U$2:$U139),'Per Invoice'!$V$2:$V$401,0),"")</f>
        <v/>
      </c>
    </row>
    <row r="140">
      <c r="A140">
        <f>IF($U140="","",IF(INDEX('Per Invoice'!A$2:A$401,$U140)="","",INDEX('Per Invoice'!A$2:A$401,$U140)))</f>
        <v/>
      </c>
      <c r="B140">
        <f>IF($U140="","",IF(INDEX('Per Invoice'!B$2:B$401,$U140)="","",INDEX('Per Invoice'!B$2:B$401,$U140)))</f>
        <v/>
      </c>
      <c r="C140">
        <f>IF($U140="","",IF(INDEX('Per Invoice'!C$2:C$401,$U140)="","",INDEX('Per Invoice'!C$2:C$401,$U140)))</f>
        <v/>
      </c>
      <c r="D140">
        <f>IF($U140="","",IF(INDEX('Per Invoice'!D$2:D$401,$U140)="","",INDEX('Per Invoice'!D$2:D$401,$U140)))</f>
        <v/>
      </c>
      <c r="E140">
        <f>IF($U140="","",IF(INDEX('Per Invoice'!E$2:E$401,$U140)="","",INDEX('Per Invoice'!E$2:E$401,$U140)))</f>
        <v/>
      </c>
      <c r="F140">
        <f>IF($U140="","",IF(INDEX('Per Invoice'!F$2:F$401,$U140)="","",INDEX('Per Invoice'!F$2:F$401,$U140)))</f>
        <v/>
      </c>
      <c r="G140">
        <f>IF($U140="","",IF(INDEX('Per Invoice'!G$2:G$401,$U140)="","",INDEX('Per Invoice'!G$2:G$401,$U140)))</f>
        <v/>
      </c>
      <c r="H140" s="7">
        <f>IF($U140="","",IF(INDEX('Per Invoice'!H$2:H$401,$U140)="","",INDEX('Per Invoice'!H$2:H$401,$U140)))</f>
        <v/>
      </c>
      <c r="I140" s="14">
        <f>IF($U140="","",IF(INDEX('Per Invoice'!I$2:I$401,$U140)="","",INDEX('Per Invoice'!I$2:I$401,$U140)))</f>
        <v/>
      </c>
      <c r="J140">
        <f>IF($U140="","",IF(INDEX('Per Invoice'!J$2:J$401,$U140)="","",INDEX('Per Invoice'!J$2:J$401,$U140)))</f>
        <v/>
      </c>
      <c r="K140">
        <f>IF($U140="","",IF(INDEX('Per Invoice'!K$2:K$401,$U140)="","",INDEX('Per Invoice'!K$2:K$401,$U140)))</f>
        <v/>
      </c>
      <c r="L140" s="7">
        <f>IF($U140="","",IF(INDEX('Per Invoice'!L$2:L$401,$U140)="","",INDEX('Per Invoice'!L$2:L$401,$U140)))</f>
        <v/>
      </c>
      <c r="M140" s="7">
        <f>IF($U140="","",IF(INDEX('Per Invoice'!M$2:M$401,$U140)="","",INDEX('Per Invoice'!M$2:M$401,$U140)))</f>
        <v/>
      </c>
      <c r="N140">
        <f>IF($U140="","",IF(INDEX('Per Invoice'!N$2:N$401,$U140)="","",INDEX('Per Invoice'!N$2:N$401,$U140)))</f>
        <v/>
      </c>
      <c r="O140" s="7">
        <f>IF($U140="","",IF(INDEX('Per Invoice'!O$2:O$401,$U140)="","",INDEX('Per Invoice'!O$2:O$401,$U140)))</f>
        <v/>
      </c>
      <c r="P140" s="7">
        <f>IF($U140="","",IF(INDEX('Per Invoice'!P$2:P$401,$U140)="","",INDEX('Per Invoice'!P$2:P$401,$U140)))</f>
        <v/>
      </c>
      <c r="Q140" s="7">
        <f>IF($U140="","",IF(INDEX('Per Invoice'!Q$2:Q$401,$U140)="","",INDEX('Per Invoice'!Q$2:Q$401,$U140)))</f>
        <v/>
      </c>
      <c r="R140" s="7">
        <f>IF($U140="","",IF(INDEX('Per Invoice'!R$2:R$401,$U140)="","",INDEX('Per Invoice'!R$2:R$401,$U140)))</f>
        <v/>
      </c>
      <c r="S140" s="7">
        <f>IF($U140="","",IF(INDEX('Per Invoice'!S$2:S$401,$U140)="","",INDEX('Per Invoice'!S$2:S$401,$U140)))</f>
        <v/>
      </c>
      <c r="T140" s="7">
        <f>IF($U140="","",IF(INDEX('Per Invoice'!T$2:T$401,$U140)="","",INDEX('Per Invoice'!T$2:T$401,$U140)))</f>
        <v/>
      </c>
      <c r="U140" s="16">
        <f>IFERROR(MATCH(Settings!$C$28&amp;"|"&amp;ROWS($U$2:$U140),'Per Invoice'!$V$2:$V$401,0),"")</f>
        <v/>
      </c>
    </row>
    <row r="141">
      <c r="A141">
        <f>IF($U141="","",IF(INDEX('Per Invoice'!A$2:A$401,$U141)="","",INDEX('Per Invoice'!A$2:A$401,$U141)))</f>
        <v/>
      </c>
      <c r="B141">
        <f>IF($U141="","",IF(INDEX('Per Invoice'!B$2:B$401,$U141)="","",INDEX('Per Invoice'!B$2:B$401,$U141)))</f>
        <v/>
      </c>
      <c r="C141">
        <f>IF($U141="","",IF(INDEX('Per Invoice'!C$2:C$401,$U141)="","",INDEX('Per Invoice'!C$2:C$401,$U141)))</f>
        <v/>
      </c>
      <c r="D141">
        <f>IF($U141="","",IF(INDEX('Per Invoice'!D$2:D$401,$U141)="","",INDEX('Per Invoice'!D$2:D$401,$U141)))</f>
        <v/>
      </c>
      <c r="E141">
        <f>IF($U141="","",IF(INDEX('Per Invoice'!E$2:E$401,$U141)="","",INDEX('Per Invoice'!E$2:E$401,$U141)))</f>
        <v/>
      </c>
      <c r="F141">
        <f>IF($U141="","",IF(INDEX('Per Invoice'!F$2:F$401,$U141)="","",INDEX('Per Invoice'!F$2:F$401,$U141)))</f>
        <v/>
      </c>
      <c r="G141">
        <f>IF($U141="","",IF(INDEX('Per Invoice'!G$2:G$401,$U141)="","",INDEX('Per Invoice'!G$2:G$401,$U141)))</f>
        <v/>
      </c>
      <c r="H141" s="7">
        <f>IF($U141="","",IF(INDEX('Per Invoice'!H$2:H$401,$U141)="","",INDEX('Per Invoice'!H$2:H$401,$U141)))</f>
        <v/>
      </c>
      <c r="I141" s="14">
        <f>IF($U141="","",IF(INDEX('Per Invoice'!I$2:I$401,$U141)="","",INDEX('Per Invoice'!I$2:I$401,$U141)))</f>
        <v/>
      </c>
      <c r="J141">
        <f>IF($U141="","",IF(INDEX('Per Invoice'!J$2:J$401,$U141)="","",INDEX('Per Invoice'!J$2:J$401,$U141)))</f>
        <v/>
      </c>
      <c r="K141">
        <f>IF($U141="","",IF(INDEX('Per Invoice'!K$2:K$401,$U141)="","",INDEX('Per Invoice'!K$2:K$401,$U141)))</f>
        <v/>
      </c>
      <c r="L141" s="7">
        <f>IF($U141="","",IF(INDEX('Per Invoice'!L$2:L$401,$U141)="","",INDEX('Per Invoice'!L$2:L$401,$U141)))</f>
        <v/>
      </c>
      <c r="M141" s="7">
        <f>IF($U141="","",IF(INDEX('Per Invoice'!M$2:M$401,$U141)="","",INDEX('Per Invoice'!M$2:M$401,$U141)))</f>
        <v/>
      </c>
      <c r="N141">
        <f>IF($U141="","",IF(INDEX('Per Invoice'!N$2:N$401,$U141)="","",INDEX('Per Invoice'!N$2:N$401,$U141)))</f>
        <v/>
      </c>
      <c r="O141" s="7">
        <f>IF($U141="","",IF(INDEX('Per Invoice'!O$2:O$401,$U141)="","",INDEX('Per Invoice'!O$2:O$401,$U141)))</f>
        <v/>
      </c>
      <c r="P141" s="7">
        <f>IF($U141="","",IF(INDEX('Per Invoice'!P$2:P$401,$U141)="","",INDEX('Per Invoice'!P$2:P$401,$U141)))</f>
        <v/>
      </c>
      <c r="Q141" s="7">
        <f>IF($U141="","",IF(INDEX('Per Invoice'!Q$2:Q$401,$U141)="","",INDEX('Per Invoice'!Q$2:Q$401,$U141)))</f>
        <v/>
      </c>
      <c r="R141" s="7">
        <f>IF($U141="","",IF(INDEX('Per Invoice'!R$2:R$401,$U141)="","",INDEX('Per Invoice'!R$2:R$401,$U141)))</f>
        <v/>
      </c>
      <c r="S141" s="7">
        <f>IF($U141="","",IF(INDEX('Per Invoice'!S$2:S$401,$U141)="","",INDEX('Per Invoice'!S$2:S$401,$U141)))</f>
        <v/>
      </c>
      <c r="T141" s="7">
        <f>IF($U141="","",IF(INDEX('Per Invoice'!T$2:T$401,$U141)="","",INDEX('Per Invoice'!T$2:T$401,$U141)))</f>
        <v/>
      </c>
      <c r="U141" s="16">
        <f>IFERROR(MATCH(Settings!$C$28&amp;"|"&amp;ROWS($U$2:$U141),'Per Invoice'!$V$2:$V$401,0),"")</f>
        <v/>
      </c>
    </row>
    <row r="142">
      <c r="A142">
        <f>IF($U142="","",IF(INDEX('Per Invoice'!A$2:A$401,$U142)="","",INDEX('Per Invoice'!A$2:A$401,$U142)))</f>
        <v/>
      </c>
      <c r="B142">
        <f>IF($U142="","",IF(INDEX('Per Invoice'!B$2:B$401,$U142)="","",INDEX('Per Invoice'!B$2:B$401,$U142)))</f>
        <v/>
      </c>
      <c r="C142">
        <f>IF($U142="","",IF(INDEX('Per Invoice'!C$2:C$401,$U142)="","",INDEX('Per Invoice'!C$2:C$401,$U142)))</f>
        <v/>
      </c>
      <c r="D142">
        <f>IF($U142="","",IF(INDEX('Per Invoice'!D$2:D$401,$U142)="","",INDEX('Per Invoice'!D$2:D$401,$U142)))</f>
        <v/>
      </c>
      <c r="E142">
        <f>IF($U142="","",IF(INDEX('Per Invoice'!E$2:E$401,$U142)="","",INDEX('Per Invoice'!E$2:E$401,$U142)))</f>
        <v/>
      </c>
      <c r="F142">
        <f>IF($U142="","",IF(INDEX('Per Invoice'!F$2:F$401,$U142)="","",INDEX('Per Invoice'!F$2:F$401,$U142)))</f>
        <v/>
      </c>
      <c r="G142">
        <f>IF($U142="","",IF(INDEX('Per Invoice'!G$2:G$401,$U142)="","",INDEX('Per Invoice'!G$2:G$401,$U142)))</f>
        <v/>
      </c>
      <c r="H142" s="7">
        <f>IF($U142="","",IF(INDEX('Per Invoice'!H$2:H$401,$U142)="","",INDEX('Per Invoice'!H$2:H$401,$U142)))</f>
        <v/>
      </c>
      <c r="I142" s="14">
        <f>IF($U142="","",IF(INDEX('Per Invoice'!I$2:I$401,$U142)="","",INDEX('Per Invoice'!I$2:I$401,$U142)))</f>
        <v/>
      </c>
      <c r="J142">
        <f>IF($U142="","",IF(INDEX('Per Invoice'!J$2:J$401,$U142)="","",INDEX('Per Invoice'!J$2:J$401,$U142)))</f>
        <v/>
      </c>
      <c r="K142">
        <f>IF($U142="","",IF(INDEX('Per Invoice'!K$2:K$401,$U142)="","",INDEX('Per Invoice'!K$2:K$401,$U142)))</f>
        <v/>
      </c>
      <c r="L142" s="7">
        <f>IF($U142="","",IF(INDEX('Per Invoice'!L$2:L$401,$U142)="","",INDEX('Per Invoice'!L$2:L$401,$U142)))</f>
        <v/>
      </c>
      <c r="M142" s="7">
        <f>IF($U142="","",IF(INDEX('Per Invoice'!M$2:M$401,$U142)="","",INDEX('Per Invoice'!M$2:M$401,$U142)))</f>
        <v/>
      </c>
      <c r="N142">
        <f>IF($U142="","",IF(INDEX('Per Invoice'!N$2:N$401,$U142)="","",INDEX('Per Invoice'!N$2:N$401,$U142)))</f>
        <v/>
      </c>
      <c r="O142" s="7">
        <f>IF($U142="","",IF(INDEX('Per Invoice'!O$2:O$401,$U142)="","",INDEX('Per Invoice'!O$2:O$401,$U142)))</f>
        <v/>
      </c>
      <c r="P142" s="7">
        <f>IF($U142="","",IF(INDEX('Per Invoice'!P$2:P$401,$U142)="","",INDEX('Per Invoice'!P$2:P$401,$U142)))</f>
        <v/>
      </c>
      <c r="Q142" s="7">
        <f>IF($U142="","",IF(INDEX('Per Invoice'!Q$2:Q$401,$U142)="","",INDEX('Per Invoice'!Q$2:Q$401,$U142)))</f>
        <v/>
      </c>
      <c r="R142" s="7">
        <f>IF($U142="","",IF(INDEX('Per Invoice'!R$2:R$401,$U142)="","",INDEX('Per Invoice'!R$2:R$401,$U142)))</f>
        <v/>
      </c>
      <c r="S142" s="7">
        <f>IF($U142="","",IF(INDEX('Per Invoice'!S$2:S$401,$U142)="","",INDEX('Per Invoice'!S$2:S$401,$U142)))</f>
        <v/>
      </c>
      <c r="T142" s="7">
        <f>IF($U142="","",IF(INDEX('Per Invoice'!T$2:T$401,$U142)="","",INDEX('Per Invoice'!T$2:T$401,$U142)))</f>
        <v/>
      </c>
      <c r="U142" s="16">
        <f>IFERROR(MATCH(Settings!$C$28&amp;"|"&amp;ROWS($U$2:$U142),'Per Invoice'!$V$2:$V$401,0),"")</f>
        <v/>
      </c>
    </row>
    <row r="143">
      <c r="A143">
        <f>IF($U143="","",IF(INDEX('Per Invoice'!A$2:A$401,$U143)="","",INDEX('Per Invoice'!A$2:A$401,$U143)))</f>
        <v/>
      </c>
      <c r="B143">
        <f>IF($U143="","",IF(INDEX('Per Invoice'!B$2:B$401,$U143)="","",INDEX('Per Invoice'!B$2:B$401,$U143)))</f>
        <v/>
      </c>
      <c r="C143">
        <f>IF($U143="","",IF(INDEX('Per Invoice'!C$2:C$401,$U143)="","",INDEX('Per Invoice'!C$2:C$401,$U143)))</f>
        <v/>
      </c>
      <c r="D143">
        <f>IF($U143="","",IF(INDEX('Per Invoice'!D$2:D$401,$U143)="","",INDEX('Per Invoice'!D$2:D$401,$U143)))</f>
        <v/>
      </c>
      <c r="E143">
        <f>IF($U143="","",IF(INDEX('Per Invoice'!E$2:E$401,$U143)="","",INDEX('Per Invoice'!E$2:E$401,$U143)))</f>
        <v/>
      </c>
      <c r="F143">
        <f>IF($U143="","",IF(INDEX('Per Invoice'!F$2:F$401,$U143)="","",INDEX('Per Invoice'!F$2:F$401,$U143)))</f>
        <v/>
      </c>
      <c r="G143">
        <f>IF($U143="","",IF(INDEX('Per Invoice'!G$2:G$401,$U143)="","",INDEX('Per Invoice'!G$2:G$401,$U143)))</f>
        <v/>
      </c>
      <c r="H143" s="7">
        <f>IF($U143="","",IF(INDEX('Per Invoice'!H$2:H$401,$U143)="","",INDEX('Per Invoice'!H$2:H$401,$U143)))</f>
        <v/>
      </c>
      <c r="I143" s="14">
        <f>IF($U143="","",IF(INDEX('Per Invoice'!I$2:I$401,$U143)="","",INDEX('Per Invoice'!I$2:I$401,$U143)))</f>
        <v/>
      </c>
      <c r="J143">
        <f>IF($U143="","",IF(INDEX('Per Invoice'!J$2:J$401,$U143)="","",INDEX('Per Invoice'!J$2:J$401,$U143)))</f>
        <v/>
      </c>
      <c r="K143">
        <f>IF($U143="","",IF(INDEX('Per Invoice'!K$2:K$401,$U143)="","",INDEX('Per Invoice'!K$2:K$401,$U143)))</f>
        <v/>
      </c>
      <c r="L143" s="7">
        <f>IF($U143="","",IF(INDEX('Per Invoice'!L$2:L$401,$U143)="","",INDEX('Per Invoice'!L$2:L$401,$U143)))</f>
        <v/>
      </c>
      <c r="M143" s="7">
        <f>IF($U143="","",IF(INDEX('Per Invoice'!M$2:M$401,$U143)="","",INDEX('Per Invoice'!M$2:M$401,$U143)))</f>
        <v/>
      </c>
      <c r="N143">
        <f>IF($U143="","",IF(INDEX('Per Invoice'!N$2:N$401,$U143)="","",INDEX('Per Invoice'!N$2:N$401,$U143)))</f>
        <v/>
      </c>
      <c r="O143" s="7">
        <f>IF($U143="","",IF(INDEX('Per Invoice'!O$2:O$401,$U143)="","",INDEX('Per Invoice'!O$2:O$401,$U143)))</f>
        <v/>
      </c>
      <c r="P143" s="7">
        <f>IF($U143="","",IF(INDEX('Per Invoice'!P$2:P$401,$U143)="","",INDEX('Per Invoice'!P$2:P$401,$U143)))</f>
        <v/>
      </c>
      <c r="Q143" s="7">
        <f>IF($U143="","",IF(INDEX('Per Invoice'!Q$2:Q$401,$U143)="","",INDEX('Per Invoice'!Q$2:Q$401,$U143)))</f>
        <v/>
      </c>
      <c r="R143" s="7">
        <f>IF($U143="","",IF(INDEX('Per Invoice'!R$2:R$401,$U143)="","",INDEX('Per Invoice'!R$2:R$401,$U143)))</f>
        <v/>
      </c>
      <c r="S143" s="7">
        <f>IF($U143="","",IF(INDEX('Per Invoice'!S$2:S$401,$U143)="","",INDEX('Per Invoice'!S$2:S$401,$U143)))</f>
        <v/>
      </c>
      <c r="T143" s="7">
        <f>IF($U143="","",IF(INDEX('Per Invoice'!T$2:T$401,$U143)="","",INDEX('Per Invoice'!T$2:T$401,$U143)))</f>
        <v/>
      </c>
      <c r="U143" s="16">
        <f>IFERROR(MATCH(Settings!$C$28&amp;"|"&amp;ROWS($U$2:$U143),'Per Invoice'!$V$2:$V$401,0),"")</f>
        <v/>
      </c>
    </row>
    <row r="144">
      <c r="A144">
        <f>IF($U144="","",IF(INDEX('Per Invoice'!A$2:A$401,$U144)="","",INDEX('Per Invoice'!A$2:A$401,$U144)))</f>
        <v/>
      </c>
      <c r="B144">
        <f>IF($U144="","",IF(INDEX('Per Invoice'!B$2:B$401,$U144)="","",INDEX('Per Invoice'!B$2:B$401,$U144)))</f>
        <v/>
      </c>
      <c r="C144">
        <f>IF($U144="","",IF(INDEX('Per Invoice'!C$2:C$401,$U144)="","",INDEX('Per Invoice'!C$2:C$401,$U144)))</f>
        <v/>
      </c>
      <c r="D144">
        <f>IF($U144="","",IF(INDEX('Per Invoice'!D$2:D$401,$U144)="","",INDEX('Per Invoice'!D$2:D$401,$U144)))</f>
        <v/>
      </c>
      <c r="E144">
        <f>IF($U144="","",IF(INDEX('Per Invoice'!E$2:E$401,$U144)="","",INDEX('Per Invoice'!E$2:E$401,$U144)))</f>
        <v/>
      </c>
      <c r="F144">
        <f>IF($U144="","",IF(INDEX('Per Invoice'!F$2:F$401,$U144)="","",INDEX('Per Invoice'!F$2:F$401,$U144)))</f>
        <v/>
      </c>
      <c r="G144">
        <f>IF($U144="","",IF(INDEX('Per Invoice'!G$2:G$401,$U144)="","",INDEX('Per Invoice'!G$2:G$401,$U144)))</f>
        <v/>
      </c>
      <c r="H144" s="7">
        <f>IF($U144="","",IF(INDEX('Per Invoice'!H$2:H$401,$U144)="","",INDEX('Per Invoice'!H$2:H$401,$U144)))</f>
        <v/>
      </c>
      <c r="I144" s="14">
        <f>IF($U144="","",IF(INDEX('Per Invoice'!I$2:I$401,$U144)="","",INDEX('Per Invoice'!I$2:I$401,$U144)))</f>
        <v/>
      </c>
      <c r="J144">
        <f>IF($U144="","",IF(INDEX('Per Invoice'!J$2:J$401,$U144)="","",INDEX('Per Invoice'!J$2:J$401,$U144)))</f>
        <v/>
      </c>
      <c r="K144">
        <f>IF($U144="","",IF(INDEX('Per Invoice'!K$2:K$401,$U144)="","",INDEX('Per Invoice'!K$2:K$401,$U144)))</f>
        <v/>
      </c>
      <c r="L144" s="7">
        <f>IF($U144="","",IF(INDEX('Per Invoice'!L$2:L$401,$U144)="","",INDEX('Per Invoice'!L$2:L$401,$U144)))</f>
        <v/>
      </c>
      <c r="M144" s="7">
        <f>IF($U144="","",IF(INDEX('Per Invoice'!M$2:M$401,$U144)="","",INDEX('Per Invoice'!M$2:M$401,$U144)))</f>
        <v/>
      </c>
      <c r="N144">
        <f>IF($U144="","",IF(INDEX('Per Invoice'!N$2:N$401,$U144)="","",INDEX('Per Invoice'!N$2:N$401,$U144)))</f>
        <v/>
      </c>
      <c r="O144" s="7">
        <f>IF($U144="","",IF(INDEX('Per Invoice'!O$2:O$401,$U144)="","",INDEX('Per Invoice'!O$2:O$401,$U144)))</f>
        <v/>
      </c>
      <c r="P144" s="7">
        <f>IF($U144="","",IF(INDEX('Per Invoice'!P$2:P$401,$U144)="","",INDEX('Per Invoice'!P$2:P$401,$U144)))</f>
        <v/>
      </c>
      <c r="Q144" s="7">
        <f>IF($U144="","",IF(INDEX('Per Invoice'!Q$2:Q$401,$U144)="","",INDEX('Per Invoice'!Q$2:Q$401,$U144)))</f>
        <v/>
      </c>
      <c r="R144" s="7">
        <f>IF($U144="","",IF(INDEX('Per Invoice'!R$2:R$401,$U144)="","",INDEX('Per Invoice'!R$2:R$401,$U144)))</f>
        <v/>
      </c>
      <c r="S144" s="7">
        <f>IF($U144="","",IF(INDEX('Per Invoice'!S$2:S$401,$U144)="","",INDEX('Per Invoice'!S$2:S$401,$U144)))</f>
        <v/>
      </c>
      <c r="T144" s="7">
        <f>IF($U144="","",IF(INDEX('Per Invoice'!T$2:T$401,$U144)="","",INDEX('Per Invoice'!T$2:T$401,$U144)))</f>
        <v/>
      </c>
      <c r="U144" s="16">
        <f>IFERROR(MATCH(Settings!$C$28&amp;"|"&amp;ROWS($U$2:$U144),'Per Invoice'!$V$2:$V$401,0),"")</f>
        <v/>
      </c>
    </row>
    <row r="145">
      <c r="A145">
        <f>IF($U145="","",IF(INDEX('Per Invoice'!A$2:A$401,$U145)="","",INDEX('Per Invoice'!A$2:A$401,$U145)))</f>
        <v/>
      </c>
      <c r="B145">
        <f>IF($U145="","",IF(INDEX('Per Invoice'!B$2:B$401,$U145)="","",INDEX('Per Invoice'!B$2:B$401,$U145)))</f>
        <v/>
      </c>
      <c r="C145">
        <f>IF($U145="","",IF(INDEX('Per Invoice'!C$2:C$401,$U145)="","",INDEX('Per Invoice'!C$2:C$401,$U145)))</f>
        <v/>
      </c>
      <c r="D145">
        <f>IF($U145="","",IF(INDEX('Per Invoice'!D$2:D$401,$U145)="","",INDEX('Per Invoice'!D$2:D$401,$U145)))</f>
        <v/>
      </c>
      <c r="E145">
        <f>IF($U145="","",IF(INDEX('Per Invoice'!E$2:E$401,$U145)="","",INDEX('Per Invoice'!E$2:E$401,$U145)))</f>
        <v/>
      </c>
      <c r="F145">
        <f>IF($U145="","",IF(INDEX('Per Invoice'!F$2:F$401,$U145)="","",INDEX('Per Invoice'!F$2:F$401,$U145)))</f>
        <v/>
      </c>
      <c r="G145">
        <f>IF($U145="","",IF(INDEX('Per Invoice'!G$2:G$401,$U145)="","",INDEX('Per Invoice'!G$2:G$401,$U145)))</f>
        <v/>
      </c>
      <c r="H145" s="7">
        <f>IF($U145="","",IF(INDEX('Per Invoice'!H$2:H$401,$U145)="","",INDEX('Per Invoice'!H$2:H$401,$U145)))</f>
        <v/>
      </c>
      <c r="I145" s="14">
        <f>IF($U145="","",IF(INDEX('Per Invoice'!I$2:I$401,$U145)="","",INDEX('Per Invoice'!I$2:I$401,$U145)))</f>
        <v/>
      </c>
      <c r="J145">
        <f>IF($U145="","",IF(INDEX('Per Invoice'!J$2:J$401,$U145)="","",INDEX('Per Invoice'!J$2:J$401,$U145)))</f>
        <v/>
      </c>
      <c r="K145">
        <f>IF($U145="","",IF(INDEX('Per Invoice'!K$2:K$401,$U145)="","",INDEX('Per Invoice'!K$2:K$401,$U145)))</f>
        <v/>
      </c>
      <c r="L145" s="7">
        <f>IF($U145="","",IF(INDEX('Per Invoice'!L$2:L$401,$U145)="","",INDEX('Per Invoice'!L$2:L$401,$U145)))</f>
        <v/>
      </c>
      <c r="M145" s="7">
        <f>IF($U145="","",IF(INDEX('Per Invoice'!M$2:M$401,$U145)="","",INDEX('Per Invoice'!M$2:M$401,$U145)))</f>
        <v/>
      </c>
      <c r="N145">
        <f>IF($U145="","",IF(INDEX('Per Invoice'!N$2:N$401,$U145)="","",INDEX('Per Invoice'!N$2:N$401,$U145)))</f>
        <v/>
      </c>
      <c r="O145" s="7">
        <f>IF($U145="","",IF(INDEX('Per Invoice'!O$2:O$401,$U145)="","",INDEX('Per Invoice'!O$2:O$401,$U145)))</f>
        <v/>
      </c>
      <c r="P145" s="7">
        <f>IF($U145="","",IF(INDEX('Per Invoice'!P$2:P$401,$U145)="","",INDEX('Per Invoice'!P$2:P$401,$U145)))</f>
        <v/>
      </c>
      <c r="Q145" s="7">
        <f>IF($U145="","",IF(INDEX('Per Invoice'!Q$2:Q$401,$U145)="","",INDEX('Per Invoice'!Q$2:Q$401,$U145)))</f>
        <v/>
      </c>
      <c r="R145" s="7">
        <f>IF($U145="","",IF(INDEX('Per Invoice'!R$2:R$401,$U145)="","",INDEX('Per Invoice'!R$2:R$401,$U145)))</f>
        <v/>
      </c>
      <c r="S145" s="7">
        <f>IF($U145="","",IF(INDEX('Per Invoice'!S$2:S$401,$U145)="","",INDEX('Per Invoice'!S$2:S$401,$U145)))</f>
        <v/>
      </c>
      <c r="T145" s="7">
        <f>IF($U145="","",IF(INDEX('Per Invoice'!T$2:T$401,$U145)="","",INDEX('Per Invoice'!T$2:T$401,$U145)))</f>
        <v/>
      </c>
      <c r="U145" s="16">
        <f>IFERROR(MATCH(Settings!$C$28&amp;"|"&amp;ROWS($U$2:$U145),'Per Invoice'!$V$2:$V$401,0),"")</f>
        <v/>
      </c>
    </row>
    <row r="146">
      <c r="A146">
        <f>IF($U146="","",IF(INDEX('Per Invoice'!A$2:A$401,$U146)="","",INDEX('Per Invoice'!A$2:A$401,$U146)))</f>
        <v/>
      </c>
      <c r="B146">
        <f>IF($U146="","",IF(INDEX('Per Invoice'!B$2:B$401,$U146)="","",INDEX('Per Invoice'!B$2:B$401,$U146)))</f>
        <v/>
      </c>
      <c r="C146">
        <f>IF($U146="","",IF(INDEX('Per Invoice'!C$2:C$401,$U146)="","",INDEX('Per Invoice'!C$2:C$401,$U146)))</f>
        <v/>
      </c>
      <c r="D146">
        <f>IF($U146="","",IF(INDEX('Per Invoice'!D$2:D$401,$U146)="","",INDEX('Per Invoice'!D$2:D$401,$U146)))</f>
        <v/>
      </c>
      <c r="E146">
        <f>IF($U146="","",IF(INDEX('Per Invoice'!E$2:E$401,$U146)="","",INDEX('Per Invoice'!E$2:E$401,$U146)))</f>
        <v/>
      </c>
      <c r="F146">
        <f>IF($U146="","",IF(INDEX('Per Invoice'!F$2:F$401,$U146)="","",INDEX('Per Invoice'!F$2:F$401,$U146)))</f>
        <v/>
      </c>
      <c r="G146">
        <f>IF($U146="","",IF(INDEX('Per Invoice'!G$2:G$401,$U146)="","",INDEX('Per Invoice'!G$2:G$401,$U146)))</f>
        <v/>
      </c>
      <c r="H146" s="7">
        <f>IF($U146="","",IF(INDEX('Per Invoice'!H$2:H$401,$U146)="","",INDEX('Per Invoice'!H$2:H$401,$U146)))</f>
        <v/>
      </c>
      <c r="I146" s="14">
        <f>IF($U146="","",IF(INDEX('Per Invoice'!I$2:I$401,$U146)="","",INDEX('Per Invoice'!I$2:I$401,$U146)))</f>
        <v/>
      </c>
      <c r="J146">
        <f>IF($U146="","",IF(INDEX('Per Invoice'!J$2:J$401,$U146)="","",INDEX('Per Invoice'!J$2:J$401,$U146)))</f>
        <v/>
      </c>
      <c r="K146">
        <f>IF($U146="","",IF(INDEX('Per Invoice'!K$2:K$401,$U146)="","",INDEX('Per Invoice'!K$2:K$401,$U146)))</f>
        <v/>
      </c>
      <c r="L146" s="7">
        <f>IF($U146="","",IF(INDEX('Per Invoice'!L$2:L$401,$U146)="","",INDEX('Per Invoice'!L$2:L$401,$U146)))</f>
        <v/>
      </c>
      <c r="M146" s="7">
        <f>IF($U146="","",IF(INDEX('Per Invoice'!M$2:M$401,$U146)="","",INDEX('Per Invoice'!M$2:M$401,$U146)))</f>
        <v/>
      </c>
      <c r="N146">
        <f>IF($U146="","",IF(INDEX('Per Invoice'!N$2:N$401,$U146)="","",INDEX('Per Invoice'!N$2:N$401,$U146)))</f>
        <v/>
      </c>
      <c r="O146" s="7">
        <f>IF($U146="","",IF(INDEX('Per Invoice'!O$2:O$401,$U146)="","",INDEX('Per Invoice'!O$2:O$401,$U146)))</f>
        <v/>
      </c>
      <c r="P146" s="7">
        <f>IF($U146="","",IF(INDEX('Per Invoice'!P$2:P$401,$U146)="","",INDEX('Per Invoice'!P$2:P$401,$U146)))</f>
        <v/>
      </c>
      <c r="Q146" s="7">
        <f>IF($U146="","",IF(INDEX('Per Invoice'!Q$2:Q$401,$U146)="","",INDEX('Per Invoice'!Q$2:Q$401,$U146)))</f>
        <v/>
      </c>
      <c r="R146" s="7">
        <f>IF($U146="","",IF(INDEX('Per Invoice'!R$2:R$401,$U146)="","",INDEX('Per Invoice'!R$2:R$401,$U146)))</f>
        <v/>
      </c>
      <c r="S146" s="7">
        <f>IF($U146="","",IF(INDEX('Per Invoice'!S$2:S$401,$U146)="","",INDEX('Per Invoice'!S$2:S$401,$U146)))</f>
        <v/>
      </c>
      <c r="T146" s="7">
        <f>IF($U146="","",IF(INDEX('Per Invoice'!T$2:T$401,$U146)="","",INDEX('Per Invoice'!T$2:T$401,$U146)))</f>
        <v/>
      </c>
      <c r="U146" s="16">
        <f>IFERROR(MATCH(Settings!$C$28&amp;"|"&amp;ROWS($U$2:$U146),'Per Invoice'!$V$2:$V$401,0),"")</f>
        <v/>
      </c>
    </row>
    <row r="147">
      <c r="A147">
        <f>IF($U147="","",IF(INDEX('Per Invoice'!A$2:A$401,$U147)="","",INDEX('Per Invoice'!A$2:A$401,$U147)))</f>
        <v/>
      </c>
      <c r="B147">
        <f>IF($U147="","",IF(INDEX('Per Invoice'!B$2:B$401,$U147)="","",INDEX('Per Invoice'!B$2:B$401,$U147)))</f>
        <v/>
      </c>
      <c r="C147">
        <f>IF($U147="","",IF(INDEX('Per Invoice'!C$2:C$401,$U147)="","",INDEX('Per Invoice'!C$2:C$401,$U147)))</f>
        <v/>
      </c>
      <c r="D147">
        <f>IF($U147="","",IF(INDEX('Per Invoice'!D$2:D$401,$U147)="","",INDEX('Per Invoice'!D$2:D$401,$U147)))</f>
        <v/>
      </c>
      <c r="E147">
        <f>IF($U147="","",IF(INDEX('Per Invoice'!E$2:E$401,$U147)="","",INDEX('Per Invoice'!E$2:E$401,$U147)))</f>
        <v/>
      </c>
      <c r="F147">
        <f>IF($U147="","",IF(INDEX('Per Invoice'!F$2:F$401,$U147)="","",INDEX('Per Invoice'!F$2:F$401,$U147)))</f>
        <v/>
      </c>
      <c r="G147">
        <f>IF($U147="","",IF(INDEX('Per Invoice'!G$2:G$401,$U147)="","",INDEX('Per Invoice'!G$2:G$401,$U147)))</f>
        <v/>
      </c>
      <c r="H147" s="7">
        <f>IF($U147="","",IF(INDEX('Per Invoice'!H$2:H$401,$U147)="","",INDEX('Per Invoice'!H$2:H$401,$U147)))</f>
        <v/>
      </c>
      <c r="I147" s="14">
        <f>IF($U147="","",IF(INDEX('Per Invoice'!I$2:I$401,$U147)="","",INDEX('Per Invoice'!I$2:I$401,$U147)))</f>
        <v/>
      </c>
      <c r="J147">
        <f>IF($U147="","",IF(INDEX('Per Invoice'!J$2:J$401,$U147)="","",INDEX('Per Invoice'!J$2:J$401,$U147)))</f>
        <v/>
      </c>
      <c r="K147">
        <f>IF($U147="","",IF(INDEX('Per Invoice'!K$2:K$401,$U147)="","",INDEX('Per Invoice'!K$2:K$401,$U147)))</f>
        <v/>
      </c>
      <c r="L147" s="7">
        <f>IF($U147="","",IF(INDEX('Per Invoice'!L$2:L$401,$U147)="","",INDEX('Per Invoice'!L$2:L$401,$U147)))</f>
        <v/>
      </c>
      <c r="M147" s="7">
        <f>IF($U147="","",IF(INDEX('Per Invoice'!M$2:M$401,$U147)="","",INDEX('Per Invoice'!M$2:M$401,$U147)))</f>
        <v/>
      </c>
      <c r="N147">
        <f>IF($U147="","",IF(INDEX('Per Invoice'!N$2:N$401,$U147)="","",INDEX('Per Invoice'!N$2:N$401,$U147)))</f>
        <v/>
      </c>
      <c r="O147" s="7">
        <f>IF($U147="","",IF(INDEX('Per Invoice'!O$2:O$401,$U147)="","",INDEX('Per Invoice'!O$2:O$401,$U147)))</f>
        <v/>
      </c>
      <c r="P147" s="7">
        <f>IF($U147="","",IF(INDEX('Per Invoice'!P$2:P$401,$U147)="","",INDEX('Per Invoice'!P$2:P$401,$U147)))</f>
        <v/>
      </c>
      <c r="Q147" s="7">
        <f>IF($U147="","",IF(INDEX('Per Invoice'!Q$2:Q$401,$U147)="","",INDEX('Per Invoice'!Q$2:Q$401,$U147)))</f>
        <v/>
      </c>
      <c r="R147" s="7">
        <f>IF($U147="","",IF(INDEX('Per Invoice'!R$2:R$401,$U147)="","",INDEX('Per Invoice'!R$2:R$401,$U147)))</f>
        <v/>
      </c>
      <c r="S147" s="7">
        <f>IF($U147="","",IF(INDEX('Per Invoice'!S$2:S$401,$U147)="","",INDEX('Per Invoice'!S$2:S$401,$U147)))</f>
        <v/>
      </c>
      <c r="T147" s="7">
        <f>IF($U147="","",IF(INDEX('Per Invoice'!T$2:T$401,$U147)="","",INDEX('Per Invoice'!T$2:T$401,$U147)))</f>
        <v/>
      </c>
      <c r="U147" s="16">
        <f>IFERROR(MATCH(Settings!$C$28&amp;"|"&amp;ROWS($U$2:$U147),'Per Invoice'!$V$2:$V$401,0),"")</f>
        <v/>
      </c>
    </row>
    <row r="148">
      <c r="A148">
        <f>IF($U148="","",IF(INDEX('Per Invoice'!A$2:A$401,$U148)="","",INDEX('Per Invoice'!A$2:A$401,$U148)))</f>
        <v/>
      </c>
      <c r="B148">
        <f>IF($U148="","",IF(INDEX('Per Invoice'!B$2:B$401,$U148)="","",INDEX('Per Invoice'!B$2:B$401,$U148)))</f>
        <v/>
      </c>
      <c r="C148">
        <f>IF($U148="","",IF(INDEX('Per Invoice'!C$2:C$401,$U148)="","",INDEX('Per Invoice'!C$2:C$401,$U148)))</f>
        <v/>
      </c>
      <c r="D148">
        <f>IF($U148="","",IF(INDEX('Per Invoice'!D$2:D$401,$U148)="","",INDEX('Per Invoice'!D$2:D$401,$U148)))</f>
        <v/>
      </c>
      <c r="E148">
        <f>IF($U148="","",IF(INDEX('Per Invoice'!E$2:E$401,$U148)="","",INDEX('Per Invoice'!E$2:E$401,$U148)))</f>
        <v/>
      </c>
      <c r="F148">
        <f>IF($U148="","",IF(INDEX('Per Invoice'!F$2:F$401,$U148)="","",INDEX('Per Invoice'!F$2:F$401,$U148)))</f>
        <v/>
      </c>
      <c r="G148">
        <f>IF($U148="","",IF(INDEX('Per Invoice'!G$2:G$401,$U148)="","",INDEX('Per Invoice'!G$2:G$401,$U148)))</f>
        <v/>
      </c>
      <c r="H148" s="7">
        <f>IF($U148="","",IF(INDEX('Per Invoice'!H$2:H$401,$U148)="","",INDEX('Per Invoice'!H$2:H$401,$U148)))</f>
        <v/>
      </c>
      <c r="I148" s="14">
        <f>IF($U148="","",IF(INDEX('Per Invoice'!I$2:I$401,$U148)="","",INDEX('Per Invoice'!I$2:I$401,$U148)))</f>
        <v/>
      </c>
      <c r="J148">
        <f>IF($U148="","",IF(INDEX('Per Invoice'!J$2:J$401,$U148)="","",INDEX('Per Invoice'!J$2:J$401,$U148)))</f>
        <v/>
      </c>
      <c r="K148">
        <f>IF($U148="","",IF(INDEX('Per Invoice'!K$2:K$401,$U148)="","",INDEX('Per Invoice'!K$2:K$401,$U148)))</f>
        <v/>
      </c>
      <c r="L148" s="7">
        <f>IF($U148="","",IF(INDEX('Per Invoice'!L$2:L$401,$U148)="","",INDEX('Per Invoice'!L$2:L$401,$U148)))</f>
        <v/>
      </c>
      <c r="M148" s="7">
        <f>IF($U148="","",IF(INDEX('Per Invoice'!M$2:M$401,$U148)="","",INDEX('Per Invoice'!M$2:M$401,$U148)))</f>
        <v/>
      </c>
      <c r="N148">
        <f>IF($U148="","",IF(INDEX('Per Invoice'!N$2:N$401,$U148)="","",INDEX('Per Invoice'!N$2:N$401,$U148)))</f>
        <v/>
      </c>
      <c r="O148" s="7">
        <f>IF($U148="","",IF(INDEX('Per Invoice'!O$2:O$401,$U148)="","",INDEX('Per Invoice'!O$2:O$401,$U148)))</f>
        <v/>
      </c>
      <c r="P148" s="7">
        <f>IF($U148="","",IF(INDEX('Per Invoice'!P$2:P$401,$U148)="","",INDEX('Per Invoice'!P$2:P$401,$U148)))</f>
        <v/>
      </c>
      <c r="Q148" s="7">
        <f>IF($U148="","",IF(INDEX('Per Invoice'!Q$2:Q$401,$U148)="","",INDEX('Per Invoice'!Q$2:Q$401,$U148)))</f>
        <v/>
      </c>
      <c r="R148" s="7">
        <f>IF($U148="","",IF(INDEX('Per Invoice'!R$2:R$401,$U148)="","",INDEX('Per Invoice'!R$2:R$401,$U148)))</f>
        <v/>
      </c>
      <c r="S148" s="7">
        <f>IF($U148="","",IF(INDEX('Per Invoice'!S$2:S$401,$U148)="","",INDEX('Per Invoice'!S$2:S$401,$U148)))</f>
        <v/>
      </c>
      <c r="T148" s="7">
        <f>IF($U148="","",IF(INDEX('Per Invoice'!T$2:T$401,$U148)="","",INDEX('Per Invoice'!T$2:T$401,$U148)))</f>
        <v/>
      </c>
      <c r="U148" s="16">
        <f>IFERROR(MATCH(Settings!$C$28&amp;"|"&amp;ROWS($U$2:$U148),'Per Invoice'!$V$2:$V$401,0),"")</f>
        <v/>
      </c>
    </row>
    <row r="149">
      <c r="A149">
        <f>IF($U149="","",IF(INDEX('Per Invoice'!A$2:A$401,$U149)="","",INDEX('Per Invoice'!A$2:A$401,$U149)))</f>
        <v/>
      </c>
      <c r="B149">
        <f>IF($U149="","",IF(INDEX('Per Invoice'!B$2:B$401,$U149)="","",INDEX('Per Invoice'!B$2:B$401,$U149)))</f>
        <v/>
      </c>
      <c r="C149">
        <f>IF($U149="","",IF(INDEX('Per Invoice'!C$2:C$401,$U149)="","",INDEX('Per Invoice'!C$2:C$401,$U149)))</f>
        <v/>
      </c>
      <c r="D149">
        <f>IF($U149="","",IF(INDEX('Per Invoice'!D$2:D$401,$U149)="","",INDEX('Per Invoice'!D$2:D$401,$U149)))</f>
        <v/>
      </c>
      <c r="E149">
        <f>IF($U149="","",IF(INDEX('Per Invoice'!E$2:E$401,$U149)="","",INDEX('Per Invoice'!E$2:E$401,$U149)))</f>
        <v/>
      </c>
      <c r="F149">
        <f>IF($U149="","",IF(INDEX('Per Invoice'!F$2:F$401,$U149)="","",INDEX('Per Invoice'!F$2:F$401,$U149)))</f>
        <v/>
      </c>
      <c r="G149">
        <f>IF($U149="","",IF(INDEX('Per Invoice'!G$2:G$401,$U149)="","",INDEX('Per Invoice'!G$2:G$401,$U149)))</f>
        <v/>
      </c>
      <c r="H149" s="7">
        <f>IF($U149="","",IF(INDEX('Per Invoice'!H$2:H$401,$U149)="","",INDEX('Per Invoice'!H$2:H$401,$U149)))</f>
        <v/>
      </c>
      <c r="I149" s="14">
        <f>IF($U149="","",IF(INDEX('Per Invoice'!I$2:I$401,$U149)="","",INDEX('Per Invoice'!I$2:I$401,$U149)))</f>
        <v/>
      </c>
      <c r="J149">
        <f>IF($U149="","",IF(INDEX('Per Invoice'!J$2:J$401,$U149)="","",INDEX('Per Invoice'!J$2:J$401,$U149)))</f>
        <v/>
      </c>
      <c r="K149">
        <f>IF($U149="","",IF(INDEX('Per Invoice'!K$2:K$401,$U149)="","",INDEX('Per Invoice'!K$2:K$401,$U149)))</f>
        <v/>
      </c>
      <c r="L149" s="7">
        <f>IF($U149="","",IF(INDEX('Per Invoice'!L$2:L$401,$U149)="","",INDEX('Per Invoice'!L$2:L$401,$U149)))</f>
        <v/>
      </c>
      <c r="M149" s="7">
        <f>IF($U149="","",IF(INDEX('Per Invoice'!M$2:M$401,$U149)="","",INDEX('Per Invoice'!M$2:M$401,$U149)))</f>
        <v/>
      </c>
      <c r="N149">
        <f>IF($U149="","",IF(INDEX('Per Invoice'!N$2:N$401,$U149)="","",INDEX('Per Invoice'!N$2:N$401,$U149)))</f>
        <v/>
      </c>
      <c r="O149" s="7">
        <f>IF($U149="","",IF(INDEX('Per Invoice'!O$2:O$401,$U149)="","",INDEX('Per Invoice'!O$2:O$401,$U149)))</f>
        <v/>
      </c>
      <c r="P149" s="7">
        <f>IF($U149="","",IF(INDEX('Per Invoice'!P$2:P$401,$U149)="","",INDEX('Per Invoice'!P$2:P$401,$U149)))</f>
        <v/>
      </c>
      <c r="Q149" s="7">
        <f>IF($U149="","",IF(INDEX('Per Invoice'!Q$2:Q$401,$U149)="","",INDEX('Per Invoice'!Q$2:Q$401,$U149)))</f>
        <v/>
      </c>
      <c r="R149" s="7">
        <f>IF($U149="","",IF(INDEX('Per Invoice'!R$2:R$401,$U149)="","",INDEX('Per Invoice'!R$2:R$401,$U149)))</f>
        <v/>
      </c>
      <c r="S149" s="7">
        <f>IF($U149="","",IF(INDEX('Per Invoice'!S$2:S$401,$U149)="","",INDEX('Per Invoice'!S$2:S$401,$U149)))</f>
        <v/>
      </c>
      <c r="T149" s="7">
        <f>IF($U149="","",IF(INDEX('Per Invoice'!T$2:T$401,$U149)="","",INDEX('Per Invoice'!T$2:T$401,$U149)))</f>
        <v/>
      </c>
      <c r="U149" s="16">
        <f>IFERROR(MATCH(Settings!$C$28&amp;"|"&amp;ROWS($U$2:$U149),'Per Invoice'!$V$2:$V$401,0),"")</f>
        <v/>
      </c>
    </row>
    <row r="150">
      <c r="A150">
        <f>IF($U150="","",IF(INDEX('Per Invoice'!A$2:A$401,$U150)="","",INDEX('Per Invoice'!A$2:A$401,$U150)))</f>
        <v/>
      </c>
      <c r="B150">
        <f>IF($U150="","",IF(INDEX('Per Invoice'!B$2:B$401,$U150)="","",INDEX('Per Invoice'!B$2:B$401,$U150)))</f>
        <v/>
      </c>
      <c r="C150">
        <f>IF($U150="","",IF(INDEX('Per Invoice'!C$2:C$401,$U150)="","",INDEX('Per Invoice'!C$2:C$401,$U150)))</f>
        <v/>
      </c>
      <c r="D150">
        <f>IF($U150="","",IF(INDEX('Per Invoice'!D$2:D$401,$U150)="","",INDEX('Per Invoice'!D$2:D$401,$U150)))</f>
        <v/>
      </c>
      <c r="E150">
        <f>IF($U150="","",IF(INDEX('Per Invoice'!E$2:E$401,$U150)="","",INDEX('Per Invoice'!E$2:E$401,$U150)))</f>
        <v/>
      </c>
      <c r="F150">
        <f>IF($U150="","",IF(INDEX('Per Invoice'!F$2:F$401,$U150)="","",INDEX('Per Invoice'!F$2:F$401,$U150)))</f>
        <v/>
      </c>
      <c r="G150">
        <f>IF($U150="","",IF(INDEX('Per Invoice'!G$2:G$401,$U150)="","",INDEX('Per Invoice'!G$2:G$401,$U150)))</f>
        <v/>
      </c>
      <c r="H150" s="7">
        <f>IF($U150="","",IF(INDEX('Per Invoice'!H$2:H$401,$U150)="","",INDEX('Per Invoice'!H$2:H$401,$U150)))</f>
        <v/>
      </c>
      <c r="I150" s="14">
        <f>IF($U150="","",IF(INDEX('Per Invoice'!I$2:I$401,$U150)="","",INDEX('Per Invoice'!I$2:I$401,$U150)))</f>
        <v/>
      </c>
      <c r="J150">
        <f>IF($U150="","",IF(INDEX('Per Invoice'!J$2:J$401,$U150)="","",INDEX('Per Invoice'!J$2:J$401,$U150)))</f>
        <v/>
      </c>
      <c r="K150">
        <f>IF($U150="","",IF(INDEX('Per Invoice'!K$2:K$401,$U150)="","",INDEX('Per Invoice'!K$2:K$401,$U150)))</f>
        <v/>
      </c>
      <c r="L150" s="7">
        <f>IF($U150="","",IF(INDEX('Per Invoice'!L$2:L$401,$U150)="","",INDEX('Per Invoice'!L$2:L$401,$U150)))</f>
        <v/>
      </c>
      <c r="M150" s="7">
        <f>IF($U150="","",IF(INDEX('Per Invoice'!M$2:M$401,$U150)="","",INDEX('Per Invoice'!M$2:M$401,$U150)))</f>
        <v/>
      </c>
      <c r="N150">
        <f>IF($U150="","",IF(INDEX('Per Invoice'!N$2:N$401,$U150)="","",INDEX('Per Invoice'!N$2:N$401,$U150)))</f>
        <v/>
      </c>
      <c r="O150" s="7">
        <f>IF($U150="","",IF(INDEX('Per Invoice'!O$2:O$401,$U150)="","",INDEX('Per Invoice'!O$2:O$401,$U150)))</f>
        <v/>
      </c>
      <c r="P150" s="7">
        <f>IF($U150="","",IF(INDEX('Per Invoice'!P$2:P$401,$U150)="","",INDEX('Per Invoice'!P$2:P$401,$U150)))</f>
        <v/>
      </c>
      <c r="Q150" s="7">
        <f>IF($U150="","",IF(INDEX('Per Invoice'!Q$2:Q$401,$U150)="","",INDEX('Per Invoice'!Q$2:Q$401,$U150)))</f>
        <v/>
      </c>
      <c r="R150" s="7">
        <f>IF($U150="","",IF(INDEX('Per Invoice'!R$2:R$401,$U150)="","",INDEX('Per Invoice'!R$2:R$401,$U150)))</f>
        <v/>
      </c>
      <c r="S150" s="7">
        <f>IF($U150="","",IF(INDEX('Per Invoice'!S$2:S$401,$U150)="","",INDEX('Per Invoice'!S$2:S$401,$U150)))</f>
        <v/>
      </c>
      <c r="T150" s="7">
        <f>IF($U150="","",IF(INDEX('Per Invoice'!T$2:T$401,$U150)="","",INDEX('Per Invoice'!T$2:T$401,$U150)))</f>
        <v/>
      </c>
      <c r="U150" s="16">
        <f>IFERROR(MATCH(Settings!$C$28&amp;"|"&amp;ROWS($U$2:$U150),'Per Invoice'!$V$2:$V$401,0),"")</f>
        <v/>
      </c>
    </row>
    <row r="151">
      <c r="A151">
        <f>IF($U151="","",IF(INDEX('Per Invoice'!A$2:A$401,$U151)="","",INDEX('Per Invoice'!A$2:A$401,$U151)))</f>
        <v/>
      </c>
      <c r="B151">
        <f>IF($U151="","",IF(INDEX('Per Invoice'!B$2:B$401,$U151)="","",INDEX('Per Invoice'!B$2:B$401,$U151)))</f>
        <v/>
      </c>
      <c r="C151">
        <f>IF($U151="","",IF(INDEX('Per Invoice'!C$2:C$401,$U151)="","",INDEX('Per Invoice'!C$2:C$401,$U151)))</f>
        <v/>
      </c>
      <c r="D151">
        <f>IF($U151="","",IF(INDEX('Per Invoice'!D$2:D$401,$U151)="","",INDEX('Per Invoice'!D$2:D$401,$U151)))</f>
        <v/>
      </c>
      <c r="E151">
        <f>IF($U151="","",IF(INDEX('Per Invoice'!E$2:E$401,$U151)="","",INDEX('Per Invoice'!E$2:E$401,$U151)))</f>
        <v/>
      </c>
      <c r="F151">
        <f>IF($U151="","",IF(INDEX('Per Invoice'!F$2:F$401,$U151)="","",INDEX('Per Invoice'!F$2:F$401,$U151)))</f>
        <v/>
      </c>
      <c r="G151">
        <f>IF($U151="","",IF(INDEX('Per Invoice'!G$2:G$401,$U151)="","",INDEX('Per Invoice'!G$2:G$401,$U151)))</f>
        <v/>
      </c>
      <c r="H151" s="7">
        <f>IF($U151="","",IF(INDEX('Per Invoice'!H$2:H$401,$U151)="","",INDEX('Per Invoice'!H$2:H$401,$U151)))</f>
        <v/>
      </c>
      <c r="I151" s="14">
        <f>IF($U151="","",IF(INDEX('Per Invoice'!I$2:I$401,$U151)="","",INDEX('Per Invoice'!I$2:I$401,$U151)))</f>
        <v/>
      </c>
      <c r="J151">
        <f>IF($U151="","",IF(INDEX('Per Invoice'!J$2:J$401,$U151)="","",INDEX('Per Invoice'!J$2:J$401,$U151)))</f>
        <v/>
      </c>
      <c r="K151">
        <f>IF($U151="","",IF(INDEX('Per Invoice'!K$2:K$401,$U151)="","",INDEX('Per Invoice'!K$2:K$401,$U151)))</f>
        <v/>
      </c>
      <c r="L151" s="7">
        <f>IF($U151="","",IF(INDEX('Per Invoice'!L$2:L$401,$U151)="","",INDEX('Per Invoice'!L$2:L$401,$U151)))</f>
        <v/>
      </c>
      <c r="M151" s="7">
        <f>IF($U151="","",IF(INDEX('Per Invoice'!M$2:M$401,$U151)="","",INDEX('Per Invoice'!M$2:M$401,$U151)))</f>
        <v/>
      </c>
      <c r="N151">
        <f>IF($U151="","",IF(INDEX('Per Invoice'!N$2:N$401,$U151)="","",INDEX('Per Invoice'!N$2:N$401,$U151)))</f>
        <v/>
      </c>
      <c r="O151" s="7">
        <f>IF($U151="","",IF(INDEX('Per Invoice'!O$2:O$401,$U151)="","",INDEX('Per Invoice'!O$2:O$401,$U151)))</f>
        <v/>
      </c>
      <c r="P151" s="7">
        <f>IF($U151="","",IF(INDEX('Per Invoice'!P$2:P$401,$U151)="","",INDEX('Per Invoice'!P$2:P$401,$U151)))</f>
        <v/>
      </c>
      <c r="Q151" s="7">
        <f>IF($U151="","",IF(INDEX('Per Invoice'!Q$2:Q$401,$U151)="","",INDEX('Per Invoice'!Q$2:Q$401,$U151)))</f>
        <v/>
      </c>
      <c r="R151" s="7">
        <f>IF($U151="","",IF(INDEX('Per Invoice'!R$2:R$401,$U151)="","",INDEX('Per Invoice'!R$2:R$401,$U151)))</f>
        <v/>
      </c>
      <c r="S151" s="7">
        <f>IF($U151="","",IF(INDEX('Per Invoice'!S$2:S$401,$U151)="","",INDEX('Per Invoice'!S$2:S$401,$U151)))</f>
        <v/>
      </c>
      <c r="T151" s="7">
        <f>IF($U151="","",IF(INDEX('Per Invoice'!T$2:T$401,$U151)="","",INDEX('Per Invoice'!T$2:T$401,$U151)))</f>
        <v/>
      </c>
      <c r="U151" s="16">
        <f>IFERROR(MATCH(Settings!$C$28&amp;"|"&amp;ROWS($U$2:$U151),'Per Invoice'!$V$2:$V$401,0),"")</f>
        <v/>
      </c>
    </row>
    <row r="152">
      <c r="A152">
        <f>IF($U152="","",IF(INDEX('Per Invoice'!A$2:A$401,$U152)="","",INDEX('Per Invoice'!A$2:A$401,$U152)))</f>
        <v/>
      </c>
      <c r="B152">
        <f>IF($U152="","",IF(INDEX('Per Invoice'!B$2:B$401,$U152)="","",INDEX('Per Invoice'!B$2:B$401,$U152)))</f>
        <v/>
      </c>
      <c r="C152">
        <f>IF($U152="","",IF(INDEX('Per Invoice'!C$2:C$401,$U152)="","",INDEX('Per Invoice'!C$2:C$401,$U152)))</f>
        <v/>
      </c>
      <c r="D152">
        <f>IF($U152="","",IF(INDEX('Per Invoice'!D$2:D$401,$U152)="","",INDEX('Per Invoice'!D$2:D$401,$U152)))</f>
        <v/>
      </c>
      <c r="E152">
        <f>IF($U152="","",IF(INDEX('Per Invoice'!E$2:E$401,$U152)="","",INDEX('Per Invoice'!E$2:E$401,$U152)))</f>
        <v/>
      </c>
      <c r="F152">
        <f>IF($U152="","",IF(INDEX('Per Invoice'!F$2:F$401,$U152)="","",INDEX('Per Invoice'!F$2:F$401,$U152)))</f>
        <v/>
      </c>
      <c r="G152">
        <f>IF($U152="","",IF(INDEX('Per Invoice'!G$2:G$401,$U152)="","",INDEX('Per Invoice'!G$2:G$401,$U152)))</f>
        <v/>
      </c>
      <c r="H152" s="7">
        <f>IF($U152="","",IF(INDEX('Per Invoice'!H$2:H$401,$U152)="","",INDEX('Per Invoice'!H$2:H$401,$U152)))</f>
        <v/>
      </c>
      <c r="I152" s="14">
        <f>IF($U152="","",IF(INDEX('Per Invoice'!I$2:I$401,$U152)="","",INDEX('Per Invoice'!I$2:I$401,$U152)))</f>
        <v/>
      </c>
      <c r="J152">
        <f>IF($U152="","",IF(INDEX('Per Invoice'!J$2:J$401,$U152)="","",INDEX('Per Invoice'!J$2:J$401,$U152)))</f>
        <v/>
      </c>
      <c r="K152">
        <f>IF($U152="","",IF(INDEX('Per Invoice'!K$2:K$401,$U152)="","",INDEX('Per Invoice'!K$2:K$401,$U152)))</f>
        <v/>
      </c>
      <c r="L152" s="7">
        <f>IF($U152="","",IF(INDEX('Per Invoice'!L$2:L$401,$U152)="","",INDEX('Per Invoice'!L$2:L$401,$U152)))</f>
        <v/>
      </c>
      <c r="M152" s="7">
        <f>IF($U152="","",IF(INDEX('Per Invoice'!M$2:M$401,$U152)="","",INDEX('Per Invoice'!M$2:M$401,$U152)))</f>
        <v/>
      </c>
      <c r="N152">
        <f>IF($U152="","",IF(INDEX('Per Invoice'!N$2:N$401,$U152)="","",INDEX('Per Invoice'!N$2:N$401,$U152)))</f>
        <v/>
      </c>
      <c r="O152" s="7">
        <f>IF($U152="","",IF(INDEX('Per Invoice'!O$2:O$401,$U152)="","",INDEX('Per Invoice'!O$2:O$401,$U152)))</f>
        <v/>
      </c>
      <c r="P152" s="7">
        <f>IF($U152="","",IF(INDEX('Per Invoice'!P$2:P$401,$U152)="","",INDEX('Per Invoice'!P$2:P$401,$U152)))</f>
        <v/>
      </c>
      <c r="Q152" s="7">
        <f>IF($U152="","",IF(INDEX('Per Invoice'!Q$2:Q$401,$U152)="","",INDEX('Per Invoice'!Q$2:Q$401,$U152)))</f>
        <v/>
      </c>
      <c r="R152" s="7">
        <f>IF($U152="","",IF(INDEX('Per Invoice'!R$2:R$401,$U152)="","",INDEX('Per Invoice'!R$2:R$401,$U152)))</f>
        <v/>
      </c>
      <c r="S152" s="7">
        <f>IF($U152="","",IF(INDEX('Per Invoice'!S$2:S$401,$U152)="","",INDEX('Per Invoice'!S$2:S$401,$U152)))</f>
        <v/>
      </c>
      <c r="T152" s="7">
        <f>IF($U152="","",IF(INDEX('Per Invoice'!T$2:T$401,$U152)="","",INDEX('Per Invoice'!T$2:T$401,$U152)))</f>
        <v/>
      </c>
      <c r="U152" s="16">
        <f>IFERROR(MATCH(Settings!$C$28&amp;"|"&amp;ROWS($U$2:$U152),'Per Invoice'!$V$2:$V$401,0),"")</f>
        <v/>
      </c>
    </row>
    <row r="153">
      <c r="A153">
        <f>IF($U153="","",IF(INDEX('Per Invoice'!A$2:A$401,$U153)="","",INDEX('Per Invoice'!A$2:A$401,$U153)))</f>
        <v/>
      </c>
      <c r="B153">
        <f>IF($U153="","",IF(INDEX('Per Invoice'!B$2:B$401,$U153)="","",INDEX('Per Invoice'!B$2:B$401,$U153)))</f>
        <v/>
      </c>
      <c r="C153">
        <f>IF($U153="","",IF(INDEX('Per Invoice'!C$2:C$401,$U153)="","",INDEX('Per Invoice'!C$2:C$401,$U153)))</f>
        <v/>
      </c>
      <c r="D153">
        <f>IF($U153="","",IF(INDEX('Per Invoice'!D$2:D$401,$U153)="","",INDEX('Per Invoice'!D$2:D$401,$U153)))</f>
        <v/>
      </c>
      <c r="E153">
        <f>IF($U153="","",IF(INDEX('Per Invoice'!E$2:E$401,$U153)="","",INDEX('Per Invoice'!E$2:E$401,$U153)))</f>
        <v/>
      </c>
      <c r="F153">
        <f>IF($U153="","",IF(INDEX('Per Invoice'!F$2:F$401,$U153)="","",INDEX('Per Invoice'!F$2:F$401,$U153)))</f>
        <v/>
      </c>
      <c r="G153">
        <f>IF($U153="","",IF(INDEX('Per Invoice'!G$2:G$401,$U153)="","",INDEX('Per Invoice'!G$2:G$401,$U153)))</f>
        <v/>
      </c>
      <c r="H153" s="7">
        <f>IF($U153="","",IF(INDEX('Per Invoice'!H$2:H$401,$U153)="","",INDEX('Per Invoice'!H$2:H$401,$U153)))</f>
        <v/>
      </c>
      <c r="I153" s="14">
        <f>IF($U153="","",IF(INDEX('Per Invoice'!I$2:I$401,$U153)="","",INDEX('Per Invoice'!I$2:I$401,$U153)))</f>
        <v/>
      </c>
      <c r="J153">
        <f>IF($U153="","",IF(INDEX('Per Invoice'!J$2:J$401,$U153)="","",INDEX('Per Invoice'!J$2:J$401,$U153)))</f>
        <v/>
      </c>
      <c r="K153">
        <f>IF($U153="","",IF(INDEX('Per Invoice'!K$2:K$401,$U153)="","",INDEX('Per Invoice'!K$2:K$401,$U153)))</f>
        <v/>
      </c>
      <c r="L153" s="7">
        <f>IF($U153="","",IF(INDEX('Per Invoice'!L$2:L$401,$U153)="","",INDEX('Per Invoice'!L$2:L$401,$U153)))</f>
        <v/>
      </c>
      <c r="M153" s="7">
        <f>IF($U153="","",IF(INDEX('Per Invoice'!M$2:M$401,$U153)="","",INDEX('Per Invoice'!M$2:M$401,$U153)))</f>
        <v/>
      </c>
      <c r="N153">
        <f>IF($U153="","",IF(INDEX('Per Invoice'!N$2:N$401,$U153)="","",INDEX('Per Invoice'!N$2:N$401,$U153)))</f>
        <v/>
      </c>
      <c r="O153" s="7">
        <f>IF($U153="","",IF(INDEX('Per Invoice'!O$2:O$401,$U153)="","",INDEX('Per Invoice'!O$2:O$401,$U153)))</f>
        <v/>
      </c>
      <c r="P153" s="7">
        <f>IF($U153="","",IF(INDEX('Per Invoice'!P$2:P$401,$U153)="","",INDEX('Per Invoice'!P$2:P$401,$U153)))</f>
        <v/>
      </c>
      <c r="Q153" s="7">
        <f>IF($U153="","",IF(INDEX('Per Invoice'!Q$2:Q$401,$U153)="","",INDEX('Per Invoice'!Q$2:Q$401,$U153)))</f>
        <v/>
      </c>
      <c r="R153" s="7">
        <f>IF($U153="","",IF(INDEX('Per Invoice'!R$2:R$401,$U153)="","",INDEX('Per Invoice'!R$2:R$401,$U153)))</f>
        <v/>
      </c>
      <c r="S153" s="7">
        <f>IF($U153="","",IF(INDEX('Per Invoice'!S$2:S$401,$U153)="","",INDEX('Per Invoice'!S$2:S$401,$U153)))</f>
        <v/>
      </c>
      <c r="T153" s="7">
        <f>IF($U153="","",IF(INDEX('Per Invoice'!T$2:T$401,$U153)="","",INDEX('Per Invoice'!T$2:T$401,$U153)))</f>
        <v/>
      </c>
      <c r="U153" s="16">
        <f>IFERROR(MATCH(Settings!$C$28&amp;"|"&amp;ROWS($U$2:$U153),'Per Invoice'!$V$2:$V$401,0),"")</f>
        <v/>
      </c>
    </row>
    <row r="154">
      <c r="A154">
        <f>IF($U154="","",IF(INDEX('Per Invoice'!A$2:A$401,$U154)="","",INDEX('Per Invoice'!A$2:A$401,$U154)))</f>
        <v/>
      </c>
      <c r="B154">
        <f>IF($U154="","",IF(INDEX('Per Invoice'!B$2:B$401,$U154)="","",INDEX('Per Invoice'!B$2:B$401,$U154)))</f>
        <v/>
      </c>
      <c r="C154">
        <f>IF($U154="","",IF(INDEX('Per Invoice'!C$2:C$401,$U154)="","",INDEX('Per Invoice'!C$2:C$401,$U154)))</f>
        <v/>
      </c>
      <c r="D154">
        <f>IF($U154="","",IF(INDEX('Per Invoice'!D$2:D$401,$U154)="","",INDEX('Per Invoice'!D$2:D$401,$U154)))</f>
        <v/>
      </c>
      <c r="E154">
        <f>IF($U154="","",IF(INDEX('Per Invoice'!E$2:E$401,$U154)="","",INDEX('Per Invoice'!E$2:E$401,$U154)))</f>
        <v/>
      </c>
      <c r="F154">
        <f>IF($U154="","",IF(INDEX('Per Invoice'!F$2:F$401,$U154)="","",INDEX('Per Invoice'!F$2:F$401,$U154)))</f>
        <v/>
      </c>
      <c r="G154">
        <f>IF($U154="","",IF(INDEX('Per Invoice'!G$2:G$401,$U154)="","",INDEX('Per Invoice'!G$2:G$401,$U154)))</f>
        <v/>
      </c>
      <c r="H154" s="7">
        <f>IF($U154="","",IF(INDEX('Per Invoice'!H$2:H$401,$U154)="","",INDEX('Per Invoice'!H$2:H$401,$U154)))</f>
        <v/>
      </c>
      <c r="I154" s="14">
        <f>IF($U154="","",IF(INDEX('Per Invoice'!I$2:I$401,$U154)="","",INDEX('Per Invoice'!I$2:I$401,$U154)))</f>
        <v/>
      </c>
      <c r="J154">
        <f>IF($U154="","",IF(INDEX('Per Invoice'!J$2:J$401,$U154)="","",INDEX('Per Invoice'!J$2:J$401,$U154)))</f>
        <v/>
      </c>
      <c r="K154">
        <f>IF($U154="","",IF(INDEX('Per Invoice'!K$2:K$401,$U154)="","",INDEX('Per Invoice'!K$2:K$401,$U154)))</f>
        <v/>
      </c>
      <c r="L154" s="7">
        <f>IF($U154="","",IF(INDEX('Per Invoice'!L$2:L$401,$U154)="","",INDEX('Per Invoice'!L$2:L$401,$U154)))</f>
        <v/>
      </c>
      <c r="M154" s="7">
        <f>IF($U154="","",IF(INDEX('Per Invoice'!M$2:M$401,$U154)="","",INDEX('Per Invoice'!M$2:M$401,$U154)))</f>
        <v/>
      </c>
      <c r="N154">
        <f>IF($U154="","",IF(INDEX('Per Invoice'!N$2:N$401,$U154)="","",INDEX('Per Invoice'!N$2:N$401,$U154)))</f>
        <v/>
      </c>
      <c r="O154" s="7">
        <f>IF($U154="","",IF(INDEX('Per Invoice'!O$2:O$401,$U154)="","",INDEX('Per Invoice'!O$2:O$401,$U154)))</f>
        <v/>
      </c>
      <c r="P154" s="7">
        <f>IF($U154="","",IF(INDEX('Per Invoice'!P$2:P$401,$U154)="","",INDEX('Per Invoice'!P$2:P$401,$U154)))</f>
        <v/>
      </c>
      <c r="Q154" s="7">
        <f>IF($U154="","",IF(INDEX('Per Invoice'!Q$2:Q$401,$U154)="","",INDEX('Per Invoice'!Q$2:Q$401,$U154)))</f>
        <v/>
      </c>
      <c r="R154" s="7">
        <f>IF($U154="","",IF(INDEX('Per Invoice'!R$2:R$401,$U154)="","",INDEX('Per Invoice'!R$2:R$401,$U154)))</f>
        <v/>
      </c>
      <c r="S154" s="7">
        <f>IF($U154="","",IF(INDEX('Per Invoice'!S$2:S$401,$U154)="","",INDEX('Per Invoice'!S$2:S$401,$U154)))</f>
        <v/>
      </c>
      <c r="T154" s="7">
        <f>IF($U154="","",IF(INDEX('Per Invoice'!T$2:T$401,$U154)="","",INDEX('Per Invoice'!T$2:T$401,$U154)))</f>
        <v/>
      </c>
      <c r="U154" s="16">
        <f>IFERROR(MATCH(Settings!$C$28&amp;"|"&amp;ROWS($U$2:$U154),'Per Invoice'!$V$2:$V$401,0),"")</f>
        <v/>
      </c>
    </row>
    <row r="155">
      <c r="A155">
        <f>IF($U155="","",IF(INDEX('Per Invoice'!A$2:A$401,$U155)="","",INDEX('Per Invoice'!A$2:A$401,$U155)))</f>
        <v/>
      </c>
      <c r="B155">
        <f>IF($U155="","",IF(INDEX('Per Invoice'!B$2:B$401,$U155)="","",INDEX('Per Invoice'!B$2:B$401,$U155)))</f>
        <v/>
      </c>
      <c r="C155">
        <f>IF($U155="","",IF(INDEX('Per Invoice'!C$2:C$401,$U155)="","",INDEX('Per Invoice'!C$2:C$401,$U155)))</f>
        <v/>
      </c>
      <c r="D155">
        <f>IF($U155="","",IF(INDEX('Per Invoice'!D$2:D$401,$U155)="","",INDEX('Per Invoice'!D$2:D$401,$U155)))</f>
        <v/>
      </c>
      <c r="E155">
        <f>IF($U155="","",IF(INDEX('Per Invoice'!E$2:E$401,$U155)="","",INDEX('Per Invoice'!E$2:E$401,$U155)))</f>
        <v/>
      </c>
      <c r="F155">
        <f>IF($U155="","",IF(INDEX('Per Invoice'!F$2:F$401,$U155)="","",INDEX('Per Invoice'!F$2:F$401,$U155)))</f>
        <v/>
      </c>
      <c r="G155">
        <f>IF($U155="","",IF(INDEX('Per Invoice'!G$2:G$401,$U155)="","",INDEX('Per Invoice'!G$2:G$401,$U155)))</f>
        <v/>
      </c>
      <c r="H155" s="7">
        <f>IF($U155="","",IF(INDEX('Per Invoice'!H$2:H$401,$U155)="","",INDEX('Per Invoice'!H$2:H$401,$U155)))</f>
        <v/>
      </c>
      <c r="I155" s="14">
        <f>IF($U155="","",IF(INDEX('Per Invoice'!I$2:I$401,$U155)="","",INDEX('Per Invoice'!I$2:I$401,$U155)))</f>
        <v/>
      </c>
      <c r="J155">
        <f>IF($U155="","",IF(INDEX('Per Invoice'!J$2:J$401,$U155)="","",INDEX('Per Invoice'!J$2:J$401,$U155)))</f>
        <v/>
      </c>
      <c r="K155">
        <f>IF($U155="","",IF(INDEX('Per Invoice'!K$2:K$401,$U155)="","",INDEX('Per Invoice'!K$2:K$401,$U155)))</f>
        <v/>
      </c>
      <c r="L155" s="7">
        <f>IF($U155="","",IF(INDEX('Per Invoice'!L$2:L$401,$U155)="","",INDEX('Per Invoice'!L$2:L$401,$U155)))</f>
        <v/>
      </c>
      <c r="M155" s="7">
        <f>IF($U155="","",IF(INDEX('Per Invoice'!M$2:M$401,$U155)="","",INDEX('Per Invoice'!M$2:M$401,$U155)))</f>
        <v/>
      </c>
      <c r="N155">
        <f>IF($U155="","",IF(INDEX('Per Invoice'!N$2:N$401,$U155)="","",INDEX('Per Invoice'!N$2:N$401,$U155)))</f>
        <v/>
      </c>
      <c r="O155" s="7">
        <f>IF($U155="","",IF(INDEX('Per Invoice'!O$2:O$401,$U155)="","",INDEX('Per Invoice'!O$2:O$401,$U155)))</f>
        <v/>
      </c>
      <c r="P155" s="7">
        <f>IF($U155="","",IF(INDEX('Per Invoice'!P$2:P$401,$U155)="","",INDEX('Per Invoice'!P$2:P$401,$U155)))</f>
        <v/>
      </c>
      <c r="Q155" s="7">
        <f>IF($U155="","",IF(INDEX('Per Invoice'!Q$2:Q$401,$U155)="","",INDEX('Per Invoice'!Q$2:Q$401,$U155)))</f>
        <v/>
      </c>
      <c r="R155" s="7">
        <f>IF($U155="","",IF(INDEX('Per Invoice'!R$2:R$401,$U155)="","",INDEX('Per Invoice'!R$2:R$401,$U155)))</f>
        <v/>
      </c>
      <c r="S155" s="7">
        <f>IF($U155="","",IF(INDEX('Per Invoice'!S$2:S$401,$U155)="","",INDEX('Per Invoice'!S$2:S$401,$U155)))</f>
        <v/>
      </c>
      <c r="T155" s="7">
        <f>IF($U155="","",IF(INDEX('Per Invoice'!T$2:T$401,$U155)="","",INDEX('Per Invoice'!T$2:T$401,$U155)))</f>
        <v/>
      </c>
      <c r="U155" s="16">
        <f>IFERROR(MATCH(Settings!$C$28&amp;"|"&amp;ROWS($U$2:$U155),'Per Invoice'!$V$2:$V$401,0),"")</f>
        <v/>
      </c>
    </row>
    <row r="156">
      <c r="A156">
        <f>IF($U156="","",IF(INDEX('Per Invoice'!A$2:A$401,$U156)="","",INDEX('Per Invoice'!A$2:A$401,$U156)))</f>
        <v/>
      </c>
      <c r="B156">
        <f>IF($U156="","",IF(INDEX('Per Invoice'!B$2:B$401,$U156)="","",INDEX('Per Invoice'!B$2:B$401,$U156)))</f>
        <v/>
      </c>
      <c r="C156">
        <f>IF($U156="","",IF(INDEX('Per Invoice'!C$2:C$401,$U156)="","",INDEX('Per Invoice'!C$2:C$401,$U156)))</f>
        <v/>
      </c>
      <c r="D156">
        <f>IF($U156="","",IF(INDEX('Per Invoice'!D$2:D$401,$U156)="","",INDEX('Per Invoice'!D$2:D$401,$U156)))</f>
        <v/>
      </c>
      <c r="E156">
        <f>IF($U156="","",IF(INDEX('Per Invoice'!E$2:E$401,$U156)="","",INDEX('Per Invoice'!E$2:E$401,$U156)))</f>
        <v/>
      </c>
      <c r="F156">
        <f>IF($U156="","",IF(INDEX('Per Invoice'!F$2:F$401,$U156)="","",INDEX('Per Invoice'!F$2:F$401,$U156)))</f>
        <v/>
      </c>
      <c r="G156">
        <f>IF($U156="","",IF(INDEX('Per Invoice'!G$2:G$401,$U156)="","",INDEX('Per Invoice'!G$2:G$401,$U156)))</f>
        <v/>
      </c>
      <c r="H156" s="7">
        <f>IF($U156="","",IF(INDEX('Per Invoice'!H$2:H$401,$U156)="","",INDEX('Per Invoice'!H$2:H$401,$U156)))</f>
        <v/>
      </c>
      <c r="I156" s="14">
        <f>IF($U156="","",IF(INDEX('Per Invoice'!I$2:I$401,$U156)="","",INDEX('Per Invoice'!I$2:I$401,$U156)))</f>
        <v/>
      </c>
      <c r="J156">
        <f>IF($U156="","",IF(INDEX('Per Invoice'!J$2:J$401,$U156)="","",INDEX('Per Invoice'!J$2:J$401,$U156)))</f>
        <v/>
      </c>
      <c r="K156">
        <f>IF($U156="","",IF(INDEX('Per Invoice'!K$2:K$401,$U156)="","",INDEX('Per Invoice'!K$2:K$401,$U156)))</f>
        <v/>
      </c>
      <c r="L156" s="7">
        <f>IF($U156="","",IF(INDEX('Per Invoice'!L$2:L$401,$U156)="","",INDEX('Per Invoice'!L$2:L$401,$U156)))</f>
        <v/>
      </c>
      <c r="M156" s="7">
        <f>IF($U156="","",IF(INDEX('Per Invoice'!M$2:M$401,$U156)="","",INDEX('Per Invoice'!M$2:M$401,$U156)))</f>
        <v/>
      </c>
      <c r="N156">
        <f>IF($U156="","",IF(INDEX('Per Invoice'!N$2:N$401,$U156)="","",INDEX('Per Invoice'!N$2:N$401,$U156)))</f>
        <v/>
      </c>
      <c r="O156" s="7">
        <f>IF($U156="","",IF(INDEX('Per Invoice'!O$2:O$401,$U156)="","",INDEX('Per Invoice'!O$2:O$401,$U156)))</f>
        <v/>
      </c>
      <c r="P156" s="7">
        <f>IF($U156="","",IF(INDEX('Per Invoice'!P$2:P$401,$U156)="","",INDEX('Per Invoice'!P$2:P$401,$U156)))</f>
        <v/>
      </c>
      <c r="Q156" s="7">
        <f>IF($U156="","",IF(INDEX('Per Invoice'!Q$2:Q$401,$U156)="","",INDEX('Per Invoice'!Q$2:Q$401,$U156)))</f>
        <v/>
      </c>
      <c r="R156" s="7">
        <f>IF($U156="","",IF(INDEX('Per Invoice'!R$2:R$401,$U156)="","",INDEX('Per Invoice'!R$2:R$401,$U156)))</f>
        <v/>
      </c>
      <c r="S156" s="7">
        <f>IF($U156="","",IF(INDEX('Per Invoice'!S$2:S$401,$U156)="","",INDEX('Per Invoice'!S$2:S$401,$U156)))</f>
        <v/>
      </c>
      <c r="T156" s="7">
        <f>IF($U156="","",IF(INDEX('Per Invoice'!T$2:T$401,$U156)="","",INDEX('Per Invoice'!T$2:T$401,$U156)))</f>
        <v/>
      </c>
      <c r="U156" s="16">
        <f>IFERROR(MATCH(Settings!$C$28&amp;"|"&amp;ROWS($U$2:$U156),'Per Invoice'!$V$2:$V$401,0),"")</f>
        <v/>
      </c>
    </row>
    <row r="157">
      <c r="A157">
        <f>IF($U157="","",IF(INDEX('Per Invoice'!A$2:A$401,$U157)="","",INDEX('Per Invoice'!A$2:A$401,$U157)))</f>
        <v/>
      </c>
      <c r="B157">
        <f>IF($U157="","",IF(INDEX('Per Invoice'!B$2:B$401,$U157)="","",INDEX('Per Invoice'!B$2:B$401,$U157)))</f>
        <v/>
      </c>
      <c r="C157">
        <f>IF($U157="","",IF(INDEX('Per Invoice'!C$2:C$401,$U157)="","",INDEX('Per Invoice'!C$2:C$401,$U157)))</f>
        <v/>
      </c>
      <c r="D157">
        <f>IF($U157="","",IF(INDEX('Per Invoice'!D$2:D$401,$U157)="","",INDEX('Per Invoice'!D$2:D$401,$U157)))</f>
        <v/>
      </c>
      <c r="E157">
        <f>IF($U157="","",IF(INDEX('Per Invoice'!E$2:E$401,$U157)="","",INDEX('Per Invoice'!E$2:E$401,$U157)))</f>
        <v/>
      </c>
      <c r="F157">
        <f>IF($U157="","",IF(INDEX('Per Invoice'!F$2:F$401,$U157)="","",INDEX('Per Invoice'!F$2:F$401,$U157)))</f>
        <v/>
      </c>
      <c r="G157">
        <f>IF($U157="","",IF(INDEX('Per Invoice'!G$2:G$401,$U157)="","",INDEX('Per Invoice'!G$2:G$401,$U157)))</f>
        <v/>
      </c>
      <c r="H157" s="7">
        <f>IF($U157="","",IF(INDEX('Per Invoice'!H$2:H$401,$U157)="","",INDEX('Per Invoice'!H$2:H$401,$U157)))</f>
        <v/>
      </c>
      <c r="I157" s="14">
        <f>IF($U157="","",IF(INDEX('Per Invoice'!I$2:I$401,$U157)="","",INDEX('Per Invoice'!I$2:I$401,$U157)))</f>
        <v/>
      </c>
      <c r="J157">
        <f>IF($U157="","",IF(INDEX('Per Invoice'!J$2:J$401,$U157)="","",INDEX('Per Invoice'!J$2:J$401,$U157)))</f>
        <v/>
      </c>
      <c r="K157">
        <f>IF($U157="","",IF(INDEX('Per Invoice'!K$2:K$401,$U157)="","",INDEX('Per Invoice'!K$2:K$401,$U157)))</f>
        <v/>
      </c>
      <c r="L157" s="7">
        <f>IF($U157="","",IF(INDEX('Per Invoice'!L$2:L$401,$U157)="","",INDEX('Per Invoice'!L$2:L$401,$U157)))</f>
        <v/>
      </c>
      <c r="M157" s="7">
        <f>IF($U157="","",IF(INDEX('Per Invoice'!M$2:M$401,$U157)="","",INDEX('Per Invoice'!M$2:M$401,$U157)))</f>
        <v/>
      </c>
      <c r="N157">
        <f>IF($U157="","",IF(INDEX('Per Invoice'!N$2:N$401,$U157)="","",INDEX('Per Invoice'!N$2:N$401,$U157)))</f>
        <v/>
      </c>
      <c r="O157" s="7">
        <f>IF($U157="","",IF(INDEX('Per Invoice'!O$2:O$401,$U157)="","",INDEX('Per Invoice'!O$2:O$401,$U157)))</f>
        <v/>
      </c>
      <c r="P157" s="7">
        <f>IF($U157="","",IF(INDEX('Per Invoice'!P$2:P$401,$U157)="","",INDEX('Per Invoice'!P$2:P$401,$U157)))</f>
        <v/>
      </c>
      <c r="Q157" s="7">
        <f>IF($U157="","",IF(INDEX('Per Invoice'!Q$2:Q$401,$U157)="","",INDEX('Per Invoice'!Q$2:Q$401,$U157)))</f>
        <v/>
      </c>
      <c r="R157" s="7">
        <f>IF($U157="","",IF(INDEX('Per Invoice'!R$2:R$401,$U157)="","",INDEX('Per Invoice'!R$2:R$401,$U157)))</f>
        <v/>
      </c>
      <c r="S157" s="7">
        <f>IF($U157="","",IF(INDEX('Per Invoice'!S$2:S$401,$U157)="","",INDEX('Per Invoice'!S$2:S$401,$U157)))</f>
        <v/>
      </c>
      <c r="T157" s="7">
        <f>IF($U157="","",IF(INDEX('Per Invoice'!T$2:T$401,$U157)="","",INDEX('Per Invoice'!T$2:T$401,$U157)))</f>
        <v/>
      </c>
      <c r="U157" s="16">
        <f>IFERROR(MATCH(Settings!$C$28&amp;"|"&amp;ROWS($U$2:$U157),'Per Invoice'!$V$2:$V$401,0),"")</f>
        <v/>
      </c>
    </row>
    <row r="158">
      <c r="A158">
        <f>IF($U158="","",IF(INDEX('Per Invoice'!A$2:A$401,$U158)="","",INDEX('Per Invoice'!A$2:A$401,$U158)))</f>
        <v/>
      </c>
      <c r="B158">
        <f>IF($U158="","",IF(INDEX('Per Invoice'!B$2:B$401,$U158)="","",INDEX('Per Invoice'!B$2:B$401,$U158)))</f>
        <v/>
      </c>
      <c r="C158">
        <f>IF($U158="","",IF(INDEX('Per Invoice'!C$2:C$401,$U158)="","",INDEX('Per Invoice'!C$2:C$401,$U158)))</f>
        <v/>
      </c>
      <c r="D158">
        <f>IF($U158="","",IF(INDEX('Per Invoice'!D$2:D$401,$U158)="","",INDEX('Per Invoice'!D$2:D$401,$U158)))</f>
        <v/>
      </c>
      <c r="E158">
        <f>IF($U158="","",IF(INDEX('Per Invoice'!E$2:E$401,$U158)="","",INDEX('Per Invoice'!E$2:E$401,$U158)))</f>
        <v/>
      </c>
      <c r="F158">
        <f>IF($U158="","",IF(INDEX('Per Invoice'!F$2:F$401,$U158)="","",INDEX('Per Invoice'!F$2:F$401,$U158)))</f>
        <v/>
      </c>
      <c r="G158">
        <f>IF($U158="","",IF(INDEX('Per Invoice'!G$2:G$401,$U158)="","",INDEX('Per Invoice'!G$2:G$401,$U158)))</f>
        <v/>
      </c>
      <c r="H158" s="7">
        <f>IF($U158="","",IF(INDEX('Per Invoice'!H$2:H$401,$U158)="","",INDEX('Per Invoice'!H$2:H$401,$U158)))</f>
        <v/>
      </c>
      <c r="I158" s="14">
        <f>IF($U158="","",IF(INDEX('Per Invoice'!I$2:I$401,$U158)="","",INDEX('Per Invoice'!I$2:I$401,$U158)))</f>
        <v/>
      </c>
      <c r="J158">
        <f>IF($U158="","",IF(INDEX('Per Invoice'!J$2:J$401,$U158)="","",INDEX('Per Invoice'!J$2:J$401,$U158)))</f>
        <v/>
      </c>
      <c r="K158">
        <f>IF($U158="","",IF(INDEX('Per Invoice'!K$2:K$401,$U158)="","",INDEX('Per Invoice'!K$2:K$401,$U158)))</f>
        <v/>
      </c>
      <c r="L158" s="7">
        <f>IF($U158="","",IF(INDEX('Per Invoice'!L$2:L$401,$U158)="","",INDEX('Per Invoice'!L$2:L$401,$U158)))</f>
        <v/>
      </c>
      <c r="M158" s="7">
        <f>IF($U158="","",IF(INDEX('Per Invoice'!M$2:M$401,$U158)="","",INDEX('Per Invoice'!M$2:M$401,$U158)))</f>
        <v/>
      </c>
      <c r="N158">
        <f>IF($U158="","",IF(INDEX('Per Invoice'!N$2:N$401,$U158)="","",INDEX('Per Invoice'!N$2:N$401,$U158)))</f>
        <v/>
      </c>
      <c r="O158" s="7">
        <f>IF($U158="","",IF(INDEX('Per Invoice'!O$2:O$401,$U158)="","",INDEX('Per Invoice'!O$2:O$401,$U158)))</f>
        <v/>
      </c>
      <c r="P158" s="7">
        <f>IF($U158="","",IF(INDEX('Per Invoice'!P$2:P$401,$U158)="","",INDEX('Per Invoice'!P$2:P$401,$U158)))</f>
        <v/>
      </c>
      <c r="Q158" s="7">
        <f>IF($U158="","",IF(INDEX('Per Invoice'!Q$2:Q$401,$U158)="","",INDEX('Per Invoice'!Q$2:Q$401,$U158)))</f>
        <v/>
      </c>
      <c r="R158" s="7">
        <f>IF($U158="","",IF(INDEX('Per Invoice'!R$2:R$401,$U158)="","",INDEX('Per Invoice'!R$2:R$401,$U158)))</f>
        <v/>
      </c>
      <c r="S158" s="7">
        <f>IF($U158="","",IF(INDEX('Per Invoice'!S$2:S$401,$U158)="","",INDEX('Per Invoice'!S$2:S$401,$U158)))</f>
        <v/>
      </c>
      <c r="T158" s="7">
        <f>IF($U158="","",IF(INDEX('Per Invoice'!T$2:T$401,$U158)="","",INDEX('Per Invoice'!T$2:T$401,$U158)))</f>
        <v/>
      </c>
      <c r="U158" s="16">
        <f>IFERROR(MATCH(Settings!$C$28&amp;"|"&amp;ROWS($U$2:$U158),'Per Invoice'!$V$2:$V$401,0),"")</f>
        <v/>
      </c>
    </row>
    <row r="159">
      <c r="A159">
        <f>IF($U159="","",IF(INDEX('Per Invoice'!A$2:A$401,$U159)="","",INDEX('Per Invoice'!A$2:A$401,$U159)))</f>
        <v/>
      </c>
      <c r="B159">
        <f>IF($U159="","",IF(INDEX('Per Invoice'!B$2:B$401,$U159)="","",INDEX('Per Invoice'!B$2:B$401,$U159)))</f>
        <v/>
      </c>
      <c r="C159">
        <f>IF($U159="","",IF(INDEX('Per Invoice'!C$2:C$401,$U159)="","",INDEX('Per Invoice'!C$2:C$401,$U159)))</f>
        <v/>
      </c>
      <c r="D159">
        <f>IF($U159="","",IF(INDEX('Per Invoice'!D$2:D$401,$U159)="","",INDEX('Per Invoice'!D$2:D$401,$U159)))</f>
        <v/>
      </c>
      <c r="E159">
        <f>IF($U159="","",IF(INDEX('Per Invoice'!E$2:E$401,$U159)="","",INDEX('Per Invoice'!E$2:E$401,$U159)))</f>
        <v/>
      </c>
      <c r="F159">
        <f>IF($U159="","",IF(INDEX('Per Invoice'!F$2:F$401,$U159)="","",INDEX('Per Invoice'!F$2:F$401,$U159)))</f>
        <v/>
      </c>
      <c r="G159">
        <f>IF($U159="","",IF(INDEX('Per Invoice'!G$2:G$401,$U159)="","",INDEX('Per Invoice'!G$2:G$401,$U159)))</f>
        <v/>
      </c>
      <c r="H159" s="7">
        <f>IF($U159="","",IF(INDEX('Per Invoice'!H$2:H$401,$U159)="","",INDEX('Per Invoice'!H$2:H$401,$U159)))</f>
        <v/>
      </c>
      <c r="I159" s="14">
        <f>IF($U159="","",IF(INDEX('Per Invoice'!I$2:I$401,$U159)="","",INDEX('Per Invoice'!I$2:I$401,$U159)))</f>
        <v/>
      </c>
      <c r="J159">
        <f>IF($U159="","",IF(INDEX('Per Invoice'!J$2:J$401,$U159)="","",INDEX('Per Invoice'!J$2:J$401,$U159)))</f>
        <v/>
      </c>
      <c r="K159">
        <f>IF($U159="","",IF(INDEX('Per Invoice'!K$2:K$401,$U159)="","",INDEX('Per Invoice'!K$2:K$401,$U159)))</f>
        <v/>
      </c>
      <c r="L159" s="7">
        <f>IF($U159="","",IF(INDEX('Per Invoice'!L$2:L$401,$U159)="","",INDEX('Per Invoice'!L$2:L$401,$U159)))</f>
        <v/>
      </c>
      <c r="M159" s="7">
        <f>IF($U159="","",IF(INDEX('Per Invoice'!M$2:M$401,$U159)="","",INDEX('Per Invoice'!M$2:M$401,$U159)))</f>
        <v/>
      </c>
      <c r="N159">
        <f>IF($U159="","",IF(INDEX('Per Invoice'!N$2:N$401,$U159)="","",INDEX('Per Invoice'!N$2:N$401,$U159)))</f>
        <v/>
      </c>
      <c r="O159" s="7">
        <f>IF($U159="","",IF(INDEX('Per Invoice'!O$2:O$401,$U159)="","",INDEX('Per Invoice'!O$2:O$401,$U159)))</f>
        <v/>
      </c>
      <c r="P159" s="7">
        <f>IF($U159="","",IF(INDEX('Per Invoice'!P$2:P$401,$U159)="","",INDEX('Per Invoice'!P$2:P$401,$U159)))</f>
        <v/>
      </c>
      <c r="Q159" s="7">
        <f>IF($U159="","",IF(INDEX('Per Invoice'!Q$2:Q$401,$U159)="","",INDEX('Per Invoice'!Q$2:Q$401,$U159)))</f>
        <v/>
      </c>
      <c r="R159" s="7">
        <f>IF($U159="","",IF(INDEX('Per Invoice'!R$2:R$401,$U159)="","",INDEX('Per Invoice'!R$2:R$401,$U159)))</f>
        <v/>
      </c>
      <c r="S159" s="7">
        <f>IF($U159="","",IF(INDEX('Per Invoice'!S$2:S$401,$U159)="","",INDEX('Per Invoice'!S$2:S$401,$U159)))</f>
        <v/>
      </c>
      <c r="T159" s="7">
        <f>IF($U159="","",IF(INDEX('Per Invoice'!T$2:T$401,$U159)="","",INDEX('Per Invoice'!T$2:T$401,$U159)))</f>
        <v/>
      </c>
      <c r="U159" s="16">
        <f>IFERROR(MATCH(Settings!$C$28&amp;"|"&amp;ROWS($U$2:$U159),'Per Invoice'!$V$2:$V$401,0),"")</f>
        <v/>
      </c>
    </row>
    <row r="160">
      <c r="A160">
        <f>IF($U160="","",IF(INDEX('Per Invoice'!A$2:A$401,$U160)="","",INDEX('Per Invoice'!A$2:A$401,$U160)))</f>
        <v/>
      </c>
      <c r="B160">
        <f>IF($U160="","",IF(INDEX('Per Invoice'!B$2:B$401,$U160)="","",INDEX('Per Invoice'!B$2:B$401,$U160)))</f>
        <v/>
      </c>
      <c r="C160">
        <f>IF($U160="","",IF(INDEX('Per Invoice'!C$2:C$401,$U160)="","",INDEX('Per Invoice'!C$2:C$401,$U160)))</f>
        <v/>
      </c>
      <c r="D160">
        <f>IF($U160="","",IF(INDEX('Per Invoice'!D$2:D$401,$U160)="","",INDEX('Per Invoice'!D$2:D$401,$U160)))</f>
        <v/>
      </c>
      <c r="E160">
        <f>IF($U160="","",IF(INDEX('Per Invoice'!E$2:E$401,$U160)="","",INDEX('Per Invoice'!E$2:E$401,$U160)))</f>
        <v/>
      </c>
      <c r="F160">
        <f>IF($U160="","",IF(INDEX('Per Invoice'!F$2:F$401,$U160)="","",INDEX('Per Invoice'!F$2:F$401,$U160)))</f>
        <v/>
      </c>
      <c r="G160">
        <f>IF($U160="","",IF(INDEX('Per Invoice'!G$2:G$401,$U160)="","",INDEX('Per Invoice'!G$2:G$401,$U160)))</f>
        <v/>
      </c>
      <c r="H160" s="7">
        <f>IF($U160="","",IF(INDEX('Per Invoice'!H$2:H$401,$U160)="","",INDEX('Per Invoice'!H$2:H$401,$U160)))</f>
        <v/>
      </c>
      <c r="I160" s="14">
        <f>IF($U160="","",IF(INDEX('Per Invoice'!I$2:I$401,$U160)="","",INDEX('Per Invoice'!I$2:I$401,$U160)))</f>
        <v/>
      </c>
      <c r="J160">
        <f>IF($U160="","",IF(INDEX('Per Invoice'!J$2:J$401,$U160)="","",INDEX('Per Invoice'!J$2:J$401,$U160)))</f>
        <v/>
      </c>
      <c r="K160">
        <f>IF($U160="","",IF(INDEX('Per Invoice'!K$2:K$401,$U160)="","",INDEX('Per Invoice'!K$2:K$401,$U160)))</f>
        <v/>
      </c>
      <c r="L160" s="7">
        <f>IF($U160="","",IF(INDEX('Per Invoice'!L$2:L$401,$U160)="","",INDEX('Per Invoice'!L$2:L$401,$U160)))</f>
        <v/>
      </c>
      <c r="M160" s="7">
        <f>IF($U160="","",IF(INDEX('Per Invoice'!M$2:M$401,$U160)="","",INDEX('Per Invoice'!M$2:M$401,$U160)))</f>
        <v/>
      </c>
      <c r="N160">
        <f>IF($U160="","",IF(INDEX('Per Invoice'!N$2:N$401,$U160)="","",INDEX('Per Invoice'!N$2:N$401,$U160)))</f>
        <v/>
      </c>
      <c r="O160" s="7">
        <f>IF($U160="","",IF(INDEX('Per Invoice'!O$2:O$401,$U160)="","",INDEX('Per Invoice'!O$2:O$401,$U160)))</f>
        <v/>
      </c>
      <c r="P160" s="7">
        <f>IF($U160="","",IF(INDEX('Per Invoice'!P$2:P$401,$U160)="","",INDEX('Per Invoice'!P$2:P$401,$U160)))</f>
        <v/>
      </c>
      <c r="Q160" s="7">
        <f>IF($U160="","",IF(INDEX('Per Invoice'!Q$2:Q$401,$U160)="","",INDEX('Per Invoice'!Q$2:Q$401,$U160)))</f>
        <v/>
      </c>
      <c r="R160" s="7">
        <f>IF($U160="","",IF(INDEX('Per Invoice'!R$2:R$401,$U160)="","",INDEX('Per Invoice'!R$2:R$401,$U160)))</f>
        <v/>
      </c>
      <c r="S160" s="7">
        <f>IF($U160="","",IF(INDEX('Per Invoice'!S$2:S$401,$U160)="","",INDEX('Per Invoice'!S$2:S$401,$U160)))</f>
        <v/>
      </c>
      <c r="T160" s="7">
        <f>IF($U160="","",IF(INDEX('Per Invoice'!T$2:T$401,$U160)="","",INDEX('Per Invoice'!T$2:T$401,$U160)))</f>
        <v/>
      </c>
      <c r="U160" s="16">
        <f>IFERROR(MATCH(Settings!$C$28&amp;"|"&amp;ROWS($U$2:$U160),'Per Invoice'!$V$2:$V$401,0),"")</f>
        <v/>
      </c>
    </row>
    <row r="161">
      <c r="A161">
        <f>IF($U161="","",IF(INDEX('Per Invoice'!A$2:A$401,$U161)="","",INDEX('Per Invoice'!A$2:A$401,$U161)))</f>
        <v/>
      </c>
      <c r="B161">
        <f>IF($U161="","",IF(INDEX('Per Invoice'!B$2:B$401,$U161)="","",INDEX('Per Invoice'!B$2:B$401,$U161)))</f>
        <v/>
      </c>
      <c r="C161">
        <f>IF($U161="","",IF(INDEX('Per Invoice'!C$2:C$401,$U161)="","",INDEX('Per Invoice'!C$2:C$401,$U161)))</f>
        <v/>
      </c>
      <c r="D161">
        <f>IF($U161="","",IF(INDEX('Per Invoice'!D$2:D$401,$U161)="","",INDEX('Per Invoice'!D$2:D$401,$U161)))</f>
        <v/>
      </c>
      <c r="E161">
        <f>IF($U161="","",IF(INDEX('Per Invoice'!E$2:E$401,$U161)="","",INDEX('Per Invoice'!E$2:E$401,$U161)))</f>
        <v/>
      </c>
      <c r="F161">
        <f>IF($U161="","",IF(INDEX('Per Invoice'!F$2:F$401,$U161)="","",INDEX('Per Invoice'!F$2:F$401,$U161)))</f>
        <v/>
      </c>
      <c r="G161">
        <f>IF($U161="","",IF(INDEX('Per Invoice'!G$2:G$401,$U161)="","",INDEX('Per Invoice'!G$2:G$401,$U161)))</f>
        <v/>
      </c>
      <c r="H161" s="7">
        <f>IF($U161="","",IF(INDEX('Per Invoice'!H$2:H$401,$U161)="","",INDEX('Per Invoice'!H$2:H$401,$U161)))</f>
        <v/>
      </c>
      <c r="I161" s="14">
        <f>IF($U161="","",IF(INDEX('Per Invoice'!I$2:I$401,$U161)="","",INDEX('Per Invoice'!I$2:I$401,$U161)))</f>
        <v/>
      </c>
      <c r="J161">
        <f>IF($U161="","",IF(INDEX('Per Invoice'!J$2:J$401,$U161)="","",INDEX('Per Invoice'!J$2:J$401,$U161)))</f>
        <v/>
      </c>
      <c r="K161">
        <f>IF($U161="","",IF(INDEX('Per Invoice'!K$2:K$401,$U161)="","",INDEX('Per Invoice'!K$2:K$401,$U161)))</f>
        <v/>
      </c>
      <c r="L161" s="7">
        <f>IF($U161="","",IF(INDEX('Per Invoice'!L$2:L$401,$U161)="","",INDEX('Per Invoice'!L$2:L$401,$U161)))</f>
        <v/>
      </c>
      <c r="M161" s="7">
        <f>IF($U161="","",IF(INDEX('Per Invoice'!M$2:M$401,$U161)="","",INDEX('Per Invoice'!M$2:M$401,$U161)))</f>
        <v/>
      </c>
      <c r="N161">
        <f>IF($U161="","",IF(INDEX('Per Invoice'!N$2:N$401,$U161)="","",INDEX('Per Invoice'!N$2:N$401,$U161)))</f>
        <v/>
      </c>
      <c r="O161" s="7">
        <f>IF($U161="","",IF(INDEX('Per Invoice'!O$2:O$401,$U161)="","",INDEX('Per Invoice'!O$2:O$401,$U161)))</f>
        <v/>
      </c>
      <c r="P161" s="7">
        <f>IF($U161="","",IF(INDEX('Per Invoice'!P$2:P$401,$U161)="","",INDEX('Per Invoice'!P$2:P$401,$U161)))</f>
        <v/>
      </c>
      <c r="Q161" s="7">
        <f>IF($U161="","",IF(INDEX('Per Invoice'!Q$2:Q$401,$U161)="","",INDEX('Per Invoice'!Q$2:Q$401,$U161)))</f>
        <v/>
      </c>
      <c r="R161" s="7">
        <f>IF($U161="","",IF(INDEX('Per Invoice'!R$2:R$401,$U161)="","",INDEX('Per Invoice'!R$2:R$401,$U161)))</f>
        <v/>
      </c>
      <c r="S161" s="7">
        <f>IF($U161="","",IF(INDEX('Per Invoice'!S$2:S$401,$U161)="","",INDEX('Per Invoice'!S$2:S$401,$U161)))</f>
        <v/>
      </c>
      <c r="T161" s="7">
        <f>IF($U161="","",IF(INDEX('Per Invoice'!T$2:T$401,$U161)="","",INDEX('Per Invoice'!T$2:T$401,$U161)))</f>
        <v/>
      </c>
      <c r="U161" s="16">
        <f>IFERROR(MATCH(Settings!$C$28&amp;"|"&amp;ROWS($U$2:$U161),'Per Invoice'!$V$2:$V$401,0),"")</f>
        <v/>
      </c>
    </row>
    <row r="162">
      <c r="A162">
        <f>IF($U162="","",IF(INDEX('Per Invoice'!A$2:A$401,$U162)="","",INDEX('Per Invoice'!A$2:A$401,$U162)))</f>
        <v/>
      </c>
      <c r="B162">
        <f>IF($U162="","",IF(INDEX('Per Invoice'!B$2:B$401,$U162)="","",INDEX('Per Invoice'!B$2:B$401,$U162)))</f>
        <v/>
      </c>
      <c r="C162">
        <f>IF($U162="","",IF(INDEX('Per Invoice'!C$2:C$401,$U162)="","",INDEX('Per Invoice'!C$2:C$401,$U162)))</f>
        <v/>
      </c>
      <c r="D162">
        <f>IF($U162="","",IF(INDEX('Per Invoice'!D$2:D$401,$U162)="","",INDEX('Per Invoice'!D$2:D$401,$U162)))</f>
        <v/>
      </c>
      <c r="E162">
        <f>IF($U162="","",IF(INDEX('Per Invoice'!E$2:E$401,$U162)="","",INDEX('Per Invoice'!E$2:E$401,$U162)))</f>
        <v/>
      </c>
      <c r="F162">
        <f>IF($U162="","",IF(INDEX('Per Invoice'!F$2:F$401,$U162)="","",INDEX('Per Invoice'!F$2:F$401,$U162)))</f>
        <v/>
      </c>
      <c r="G162">
        <f>IF($U162="","",IF(INDEX('Per Invoice'!G$2:G$401,$U162)="","",INDEX('Per Invoice'!G$2:G$401,$U162)))</f>
        <v/>
      </c>
      <c r="H162" s="7">
        <f>IF($U162="","",IF(INDEX('Per Invoice'!H$2:H$401,$U162)="","",INDEX('Per Invoice'!H$2:H$401,$U162)))</f>
        <v/>
      </c>
      <c r="I162" s="14">
        <f>IF($U162="","",IF(INDEX('Per Invoice'!I$2:I$401,$U162)="","",INDEX('Per Invoice'!I$2:I$401,$U162)))</f>
        <v/>
      </c>
      <c r="J162">
        <f>IF($U162="","",IF(INDEX('Per Invoice'!J$2:J$401,$U162)="","",INDEX('Per Invoice'!J$2:J$401,$U162)))</f>
        <v/>
      </c>
      <c r="K162">
        <f>IF($U162="","",IF(INDEX('Per Invoice'!K$2:K$401,$U162)="","",INDEX('Per Invoice'!K$2:K$401,$U162)))</f>
        <v/>
      </c>
      <c r="L162" s="7">
        <f>IF($U162="","",IF(INDEX('Per Invoice'!L$2:L$401,$U162)="","",INDEX('Per Invoice'!L$2:L$401,$U162)))</f>
        <v/>
      </c>
      <c r="M162" s="7">
        <f>IF($U162="","",IF(INDEX('Per Invoice'!M$2:M$401,$U162)="","",INDEX('Per Invoice'!M$2:M$401,$U162)))</f>
        <v/>
      </c>
      <c r="N162">
        <f>IF($U162="","",IF(INDEX('Per Invoice'!N$2:N$401,$U162)="","",INDEX('Per Invoice'!N$2:N$401,$U162)))</f>
        <v/>
      </c>
      <c r="O162" s="7">
        <f>IF($U162="","",IF(INDEX('Per Invoice'!O$2:O$401,$U162)="","",INDEX('Per Invoice'!O$2:O$401,$U162)))</f>
        <v/>
      </c>
      <c r="P162" s="7">
        <f>IF($U162="","",IF(INDEX('Per Invoice'!P$2:P$401,$U162)="","",INDEX('Per Invoice'!P$2:P$401,$U162)))</f>
        <v/>
      </c>
      <c r="Q162" s="7">
        <f>IF($U162="","",IF(INDEX('Per Invoice'!Q$2:Q$401,$U162)="","",INDEX('Per Invoice'!Q$2:Q$401,$U162)))</f>
        <v/>
      </c>
      <c r="R162" s="7">
        <f>IF($U162="","",IF(INDEX('Per Invoice'!R$2:R$401,$U162)="","",INDEX('Per Invoice'!R$2:R$401,$U162)))</f>
        <v/>
      </c>
      <c r="S162" s="7">
        <f>IF($U162="","",IF(INDEX('Per Invoice'!S$2:S$401,$U162)="","",INDEX('Per Invoice'!S$2:S$401,$U162)))</f>
        <v/>
      </c>
      <c r="T162" s="7">
        <f>IF($U162="","",IF(INDEX('Per Invoice'!T$2:T$401,$U162)="","",INDEX('Per Invoice'!T$2:T$401,$U162)))</f>
        <v/>
      </c>
      <c r="U162" s="16">
        <f>IFERROR(MATCH(Settings!$C$28&amp;"|"&amp;ROWS($U$2:$U162),'Per Invoice'!$V$2:$V$401,0),"")</f>
        <v/>
      </c>
    </row>
    <row r="163">
      <c r="A163">
        <f>IF($U163="","",IF(INDEX('Per Invoice'!A$2:A$401,$U163)="","",INDEX('Per Invoice'!A$2:A$401,$U163)))</f>
        <v/>
      </c>
      <c r="B163">
        <f>IF($U163="","",IF(INDEX('Per Invoice'!B$2:B$401,$U163)="","",INDEX('Per Invoice'!B$2:B$401,$U163)))</f>
        <v/>
      </c>
      <c r="C163">
        <f>IF($U163="","",IF(INDEX('Per Invoice'!C$2:C$401,$U163)="","",INDEX('Per Invoice'!C$2:C$401,$U163)))</f>
        <v/>
      </c>
      <c r="D163">
        <f>IF($U163="","",IF(INDEX('Per Invoice'!D$2:D$401,$U163)="","",INDEX('Per Invoice'!D$2:D$401,$U163)))</f>
        <v/>
      </c>
      <c r="E163">
        <f>IF($U163="","",IF(INDEX('Per Invoice'!E$2:E$401,$U163)="","",INDEX('Per Invoice'!E$2:E$401,$U163)))</f>
        <v/>
      </c>
      <c r="F163">
        <f>IF($U163="","",IF(INDEX('Per Invoice'!F$2:F$401,$U163)="","",INDEX('Per Invoice'!F$2:F$401,$U163)))</f>
        <v/>
      </c>
      <c r="G163">
        <f>IF($U163="","",IF(INDEX('Per Invoice'!G$2:G$401,$U163)="","",INDEX('Per Invoice'!G$2:G$401,$U163)))</f>
        <v/>
      </c>
      <c r="H163" s="7">
        <f>IF($U163="","",IF(INDEX('Per Invoice'!H$2:H$401,$U163)="","",INDEX('Per Invoice'!H$2:H$401,$U163)))</f>
        <v/>
      </c>
      <c r="I163" s="14">
        <f>IF($U163="","",IF(INDEX('Per Invoice'!I$2:I$401,$U163)="","",INDEX('Per Invoice'!I$2:I$401,$U163)))</f>
        <v/>
      </c>
      <c r="J163">
        <f>IF($U163="","",IF(INDEX('Per Invoice'!J$2:J$401,$U163)="","",INDEX('Per Invoice'!J$2:J$401,$U163)))</f>
        <v/>
      </c>
      <c r="K163">
        <f>IF($U163="","",IF(INDEX('Per Invoice'!K$2:K$401,$U163)="","",INDEX('Per Invoice'!K$2:K$401,$U163)))</f>
        <v/>
      </c>
      <c r="L163" s="7">
        <f>IF($U163="","",IF(INDEX('Per Invoice'!L$2:L$401,$U163)="","",INDEX('Per Invoice'!L$2:L$401,$U163)))</f>
        <v/>
      </c>
      <c r="M163" s="7">
        <f>IF($U163="","",IF(INDEX('Per Invoice'!M$2:M$401,$U163)="","",INDEX('Per Invoice'!M$2:M$401,$U163)))</f>
        <v/>
      </c>
      <c r="N163">
        <f>IF($U163="","",IF(INDEX('Per Invoice'!N$2:N$401,$U163)="","",INDEX('Per Invoice'!N$2:N$401,$U163)))</f>
        <v/>
      </c>
      <c r="O163" s="7">
        <f>IF($U163="","",IF(INDEX('Per Invoice'!O$2:O$401,$U163)="","",INDEX('Per Invoice'!O$2:O$401,$U163)))</f>
        <v/>
      </c>
      <c r="P163" s="7">
        <f>IF($U163="","",IF(INDEX('Per Invoice'!P$2:P$401,$U163)="","",INDEX('Per Invoice'!P$2:P$401,$U163)))</f>
        <v/>
      </c>
      <c r="Q163" s="7">
        <f>IF($U163="","",IF(INDEX('Per Invoice'!Q$2:Q$401,$U163)="","",INDEX('Per Invoice'!Q$2:Q$401,$U163)))</f>
        <v/>
      </c>
      <c r="R163" s="7">
        <f>IF($U163="","",IF(INDEX('Per Invoice'!R$2:R$401,$U163)="","",INDEX('Per Invoice'!R$2:R$401,$U163)))</f>
        <v/>
      </c>
      <c r="S163" s="7">
        <f>IF($U163="","",IF(INDEX('Per Invoice'!S$2:S$401,$U163)="","",INDEX('Per Invoice'!S$2:S$401,$U163)))</f>
        <v/>
      </c>
      <c r="T163" s="7">
        <f>IF($U163="","",IF(INDEX('Per Invoice'!T$2:T$401,$U163)="","",INDEX('Per Invoice'!T$2:T$401,$U163)))</f>
        <v/>
      </c>
      <c r="U163" s="16">
        <f>IFERROR(MATCH(Settings!$C$28&amp;"|"&amp;ROWS($U$2:$U163),'Per Invoice'!$V$2:$V$401,0),"")</f>
        <v/>
      </c>
    </row>
    <row r="164">
      <c r="A164">
        <f>IF($U164="","",IF(INDEX('Per Invoice'!A$2:A$401,$U164)="","",INDEX('Per Invoice'!A$2:A$401,$U164)))</f>
        <v/>
      </c>
      <c r="B164">
        <f>IF($U164="","",IF(INDEX('Per Invoice'!B$2:B$401,$U164)="","",INDEX('Per Invoice'!B$2:B$401,$U164)))</f>
        <v/>
      </c>
      <c r="C164">
        <f>IF($U164="","",IF(INDEX('Per Invoice'!C$2:C$401,$U164)="","",INDEX('Per Invoice'!C$2:C$401,$U164)))</f>
        <v/>
      </c>
      <c r="D164">
        <f>IF($U164="","",IF(INDEX('Per Invoice'!D$2:D$401,$U164)="","",INDEX('Per Invoice'!D$2:D$401,$U164)))</f>
        <v/>
      </c>
      <c r="E164">
        <f>IF($U164="","",IF(INDEX('Per Invoice'!E$2:E$401,$U164)="","",INDEX('Per Invoice'!E$2:E$401,$U164)))</f>
        <v/>
      </c>
      <c r="F164">
        <f>IF($U164="","",IF(INDEX('Per Invoice'!F$2:F$401,$U164)="","",INDEX('Per Invoice'!F$2:F$401,$U164)))</f>
        <v/>
      </c>
      <c r="G164">
        <f>IF($U164="","",IF(INDEX('Per Invoice'!G$2:G$401,$U164)="","",INDEX('Per Invoice'!G$2:G$401,$U164)))</f>
        <v/>
      </c>
      <c r="H164" s="7">
        <f>IF($U164="","",IF(INDEX('Per Invoice'!H$2:H$401,$U164)="","",INDEX('Per Invoice'!H$2:H$401,$U164)))</f>
        <v/>
      </c>
      <c r="I164" s="14">
        <f>IF($U164="","",IF(INDEX('Per Invoice'!I$2:I$401,$U164)="","",INDEX('Per Invoice'!I$2:I$401,$U164)))</f>
        <v/>
      </c>
      <c r="J164">
        <f>IF($U164="","",IF(INDEX('Per Invoice'!J$2:J$401,$U164)="","",INDEX('Per Invoice'!J$2:J$401,$U164)))</f>
        <v/>
      </c>
      <c r="K164">
        <f>IF($U164="","",IF(INDEX('Per Invoice'!K$2:K$401,$U164)="","",INDEX('Per Invoice'!K$2:K$401,$U164)))</f>
        <v/>
      </c>
      <c r="L164" s="7">
        <f>IF($U164="","",IF(INDEX('Per Invoice'!L$2:L$401,$U164)="","",INDEX('Per Invoice'!L$2:L$401,$U164)))</f>
        <v/>
      </c>
      <c r="M164" s="7">
        <f>IF($U164="","",IF(INDEX('Per Invoice'!M$2:M$401,$U164)="","",INDEX('Per Invoice'!M$2:M$401,$U164)))</f>
        <v/>
      </c>
      <c r="N164">
        <f>IF($U164="","",IF(INDEX('Per Invoice'!N$2:N$401,$U164)="","",INDEX('Per Invoice'!N$2:N$401,$U164)))</f>
        <v/>
      </c>
      <c r="O164" s="7">
        <f>IF($U164="","",IF(INDEX('Per Invoice'!O$2:O$401,$U164)="","",INDEX('Per Invoice'!O$2:O$401,$U164)))</f>
        <v/>
      </c>
      <c r="P164" s="7">
        <f>IF($U164="","",IF(INDEX('Per Invoice'!P$2:P$401,$U164)="","",INDEX('Per Invoice'!P$2:P$401,$U164)))</f>
        <v/>
      </c>
      <c r="Q164" s="7">
        <f>IF($U164="","",IF(INDEX('Per Invoice'!Q$2:Q$401,$U164)="","",INDEX('Per Invoice'!Q$2:Q$401,$U164)))</f>
        <v/>
      </c>
      <c r="R164" s="7">
        <f>IF($U164="","",IF(INDEX('Per Invoice'!R$2:R$401,$U164)="","",INDEX('Per Invoice'!R$2:R$401,$U164)))</f>
        <v/>
      </c>
      <c r="S164" s="7">
        <f>IF($U164="","",IF(INDEX('Per Invoice'!S$2:S$401,$U164)="","",INDEX('Per Invoice'!S$2:S$401,$U164)))</f>
        <v/>
      </c>
      <c r="T164" s="7">
        <f>IF($U164="","",IF(INDEX('Per Invoice'!T$2:T$401,$U164)="","",INDEX('Per Invoice'!T$2:T$401,$U164)))</f>
        <v/>
      </c>
      <c r="U164" s="16">
        <f>IFERROR(MATCH(Settings!$C$28&amp;"|"&amp;ROWS($U$2:$U164),'Per Invoice'!$V$2:$V$401,0),"")</f>
        <v/>
      </c>
    </row>
    <row r="165">
      <c r="A165">
        <f>IF($U165="","",IF(INDEX('Per Invoice'!A$2:A$401,$U165)="","",INDEX('Per Invoice'!A$2:A$401,$U165)))</f>
        <v/>
      </c>
      <c r="B165">
        <f>IF($U165="","",IF(INDEX('Per Invoice'!B$2:B$401,$U165)="","",INDEX('Per Invoice'!B$2:B$401,$U165)))</f>
        <v/>
      </c>
      <c r="C165">
        <f>IF($U165="","",IF(INDEX('Per Invoice'!C$2:C$401,$U165)="","",INDEX('Per Invoice'!C$2:C$401,$U165)))</f>
        <v/>
      </c>
      <c r="D165">
        <f>IF($U165="","",IF(INDEX('Per Invoice'!D$2:D$401,$U165)="","",INDEX('Per Invoice'!D$2:D$401,$U165)))</f>
        <v/>
      </c>
      <c r="E165">
        <f>IF($U165="","",IF(INDEX('Per Invoice'!E$2:E$401,$U165)="","",INDEX('Per Invoice'!E$2:E$401,$U165)))</f>
        <v/>
      </c>
      <c r="F165">
        <f>IF($U165="","",IF(INDEX('Per Invoice'!F$2:F$401,$U165)="","",INDEX('Per Invoice'!F$2:F$401,$U165)))</f>
        <v/>
      </c>
      <c r="G165">
        <f>IF($U165="","",IF(INDEX('Per Invoice'!G$2:G$401,$U165)="","",INDEX('Per Invoice'!G$2:G$401,$U165)))</f>
        <v/>
      </c>
      <c r="H165" s="7">
        <f>IF($U165="","",IF(INDEX('Per Invoice'!H$2:H$401,$U165)="","",INDEX('Per Invoice'!H$2:H$401,$U165)))</f>
        <v/>
      </c>
      <c r="I165" s="14">
        <f>IF($U165="","",IF(INDEX('Per Invoice'!I$2:I$401,$U165)="","",INDEX('Per Invoice'!I$2:I$401,$U165)))</f>
        <v/>
      </c>
      <c r="J165">
        <f>IF($U165="","",IF(INDEX('Per Invoice'!J$2:J$401,$U165)="","",INDEX('Per Invoice'!J$2:J$401,$U165)))</f>
        <v/>
      </c>
      <c r="K165">
        <f>IF($U165="","",IF(INDEX('Per Invoice'!K$2:K$401,$U165)="","",INDEX('Per Invoice'!K$2:K$401,$U165)))</f>
        <v/>
      </c>
      <c r="L165" s="7">
        <f>IF($U165="","",IF(INDEX('Per Invoice'!L$2:L$401,$U165)="","",INDEX('Per Invoice'!L$2:L$401,$U165)))</f>
        <v/>
      </c>
      <c r="M165" s="7">
        <f>IF($U165="","",IF(INDEX('Per Invoice'!M$2:M$401,$U165)="","",INDEX('Per Invoice'!M$2:M$401,$U165)))</f>
        <v/>
      </c>
      <c r="N165">
        <f>IF($U165="","",IF(INDEX('Per Invoice'!N$2:N$401,$U165)="","",INDEX('Per Invoice'!N$2:N$401,$U165)))</f>
        <v/>
      </c>
      <c r="O165" s="7">
        <f>IF($U165="","",IF(INDEX('Per Invoice'!O$2:O$401,$U165)="","",INDEX('Per Invoice'!O$2:O$401,$U165)))</f>
        <v/>
      </c>
      <c r="P165" s="7">
        <f>IF($U165="","",IF(INDEX('Per Invoice'!P$2:P$401,$U165)="","",INDEX('Per Invoice'!P$2:P$401,$U165)))</f>
        <v/>
      </c>
      <c r="Q165" s="7">
        <f>IF($U165="","",IF(INDEX('Per Invoice'!Q$2:Q$401,$U165)="","",INDEX('Per Invoice'!Q$2:Q$401,$U165)))</f>
        <v/>
      </c>
      <c r="R165" s="7">
        <f>IF($U165="","",IF(INDEX('Per Invoice'!R$2:R$401,$U165)="","",INDEX('Per Invoice'!R$2:R$401,$U165)))</f>
        <v/>
      </c>
      <c r="S165" s="7">
        <f>IF($U165="","",IF(INDEX('Per Invoice'!S$2:S$401,$U165)="","",INDEX('Per Invoice'!S$2:S$401,$U165)))</f>
        <v/>
      </c>
      <c r="T165" s="7">
        <f>IF($U165="","",IF(INDEX('Per Invoice'!T$2:T$401,$U165)="","",INDEX('Per Invoice'!T$2:T$401,$U165)))</f>
        <v/>
      </c>
      <c r="U165" s="16">
        <f>IFERROR(MATCH(Settings!$C$28&amp;"|"&amp;ROWS($U$2:$U165),'Per Invoice'!$V$2:$V$401,0),"")</f>
        <v/>
      </c>
    </row>
    <row r="166">
      <c r="A166">
        <f>IF($U166="","",IF(INDEX('Per Invoice'!A$2:A$401,$U166)="","",INDEX('Per Invoice'!A$2:A$401,$U166)))</f>
        <v/>
      </c>
      <c r="B166">
        <f>IF($U166="","",IF(INDEX('Per Invoice'!B$2:B$401,$U166)="","",INDEX('Per Invoice'!B$2:B$401,$U166)))</f>
        <v/>
      </c>
      <c r="C166">
        <f>IF($U166="","",IF(INDEX('Per Invoice'!C$2:C$401,$U166)="","",INDEX('Per Invoice'!C$2:C$401,$U166)))</f>
        <v/>
      </c>
      <c r="D166">
        <f>IF($U166="","",IF(INDEX('Per Invoice'!D$2:D$401,$U166)="","",INDEX('Per Invoice'!D$2:D$401,$U166)))</f>
        <v/>
      </c>
      <c r="E166">
        <f>IF($U166="","",IF(INDEX('Per Invoice'!E$2:E$401,$U166)="","",INDEX('Per Invoice'!E$2:E$401,$U166)))</f>
        <v/>
      </c>
      <c r="F166">
        <f>IF($U166="","",IF(INDEX('Per Invoice'!F$2:F$401,$U166)="","",INDEX('Per Invoice'!F$2:F$401,$U166)))</f>
        <v/>
      </c>
      <c r="G166">
        <f>IF($U166="","",IF(INDEX('Per Invoice'!G$2:G$401,$U166)="","",INDEX('Per Invoice'!G$2:G$401,$U166)))</f>
        <v/>
      </c>
      <c r="H166" s="7">
        <f>IF($U166="","",IF(INDEX('Per Invoice'!H$2:H$401,$U166)="","",INDEX('Per Invoice'!H$2:H$401,$U166)))</f>
        <v/>
      </c>
      <c r="I166" s="14">
        <f>IF($U166="","",IF(INDEX('Per Invoice'!I$2:I$401,$U166)="","",INDEX('Per Invoice'!I$2:I$401,$U166)))</f>
        <v/>
      </c>
      <c r="J166">
        <f>IF($U166="","",IF(INDEX('Per Invoice'!J$2:J$401,$U166)="","",INDEX('Per Invoice'!J$2:J$401,$U166)))</f>
        <v/>
      </c>
      <c r="K166">
        <f>IF($U166="","",IF(INDEX('Per Invoice'!K$2:K$401,$U166)="","",INDEX('Per Invoice'!K$2:K$401,$U166)))</f>
        <v/>
      </c>
      <c r="L166" s="7">
        <f>IF($U166="","",IF(INDEX('Per Invoice'!L$2:L$401,$U166)="","",INDEX('Per Invoice'!L$2:L$401,$U166)))</f>
        <v/>
      </c>
      <c r="M166" s="7">
        <f>IF($U166="","",IF(INDEX('Per Invoice'!M$2:M$401,$U166)="","",INDEX('Per Invoice'!M$2:M$401,$U166)))</f>
        <v/>
      </c>
      <c r="N166">
        <f>IF($U166="","",IF(INDEX('Per Invoice'!N$2:N$401,$U166)="","",INDEX('Per Invoice'!N$2:N$401,$U166)))</f>
        <v/>
      </c>
      <c r="O166" s="7">
        <f>IF($U166="","",IF(INDEX('Per Invoice'!O$2:O$401,$U166)="","",INDEX('Per Invoice'!O$2:O$401,$U166)))</f>
        <v/>
      </c>
      <c r="P166" s="7">
        <f>IF($U166="","",IF(INDEX('Per Invoice'!P$2:P$401,$U166)="","",INDEX('Per Invoice'!P$2:P$401,$U166)))</f>
        <v/>
      </c>
      <c r="Q166" s="7">
        <f>IF($U166="","",IF(INDEX('Per Invoice'!Q$2:Q$401,$U166)="","",INDEX('Per Invoice'!Q$2:Q$401,$U166)))</f>
        <v/>
      </c>
      <c r="R166" s="7">
        <f>IF($U166="","",IF(INDEX('Per Invoice'!R$2:R$401,$U166)="","",INDEX('Per Invoice'!R$2:R$401,$U166)))</f>
        <v/>
      </c>
      <c r="S166" s="7">
        <f>IF($U166="","",IF(INDEX('Per Invoice'!S$2:S$401,$U166)="","",INDEX('Per Invoice'!S$2:S$401,$U166)))</f>
        <v/>
      </c>
      <c r="T166" s="7">
        <f>IF($U166="","",IF(INDEX('Per Invoice'!T$2:T$401,$U166)="","",INDEX('Per Invoice'!T$2:T$401,$U166)))</f>
        <v/>
      </c>
      <c r="U166" s="16">
        <f>IFERROR(MATCH(Settings!$C$28&amp;"|"&amp;ROWS($U$2:$U166),'Per Invoice'!$V$2:$V$401,0),"")</f>
        <v/>
      </c>
    </row>
    <row r="167">
      <c r="A167">
        <f>IF($U167="","",IF(INDEX('Per Invoice'!A$2:A$401,$U167)="","",INDEX('Per Invoice'!A$2:A$401,$U167)))</f>
        <v/>
      </c>
      <c r="B167">
        <f>IF($U167="","",IF(INDEX('Per Invoice'!B$2:B$401,$U167)="","",INDEX('Per Invoice'!B$2:B$401,$U167)))</f>
        <v/>
      </c>
      <c r="C167">
        <f>IF($U167="","",IF(INDEX('Per Invoice'!C$2:C$401,$U167)="","",INDEX('Per Invoice'!C$2:C$401,$U167)))</f>
        <v/>
      </c>
      <c r="D167">
        <f>IF($U167="","",IF(INDEX('Per Invoice'!D$2:D$401,$U167)="","",INDEX('Per Invoice'!D$2:D$401,$U167)))</f>
        <v/>
      </c>
      <c r="E167">
        <f>IF($U167="","",IF(INDEX('Per Invoice'!E$2:E$401,$U167)="","",INDEX('Per Invoice'!E$2:E$401,$U167)))</f>
        <v/>
      </c>
      <c r="F167">
        <f>IF($U167="","",IF(INDEX('Per Invoice'!F$2:F$401,$U167)="","",INDEX('Per Invoice'!F$2:F$401,$U167)))</f>
        <v/>
      </c>
      <c r="G167">
        <f>IF($U167="","",IF(INDEX('Per Invoice'!G$2:G$401,$U167)="","",INDEX('Per Invoice'!G$2:G$401,$U167)))</f>
        <v/>
      </c>
      <c r="H167" s="7">
        <f>IF($U167="","",IF(INDEX('Per Invoice'!H$2:H$401,$U167)="","",INDEX('Per Invoice'!H$2:H$401,$U167)))</f>
        <v/>
      </c>
      <c r="I167" s="14">
        <f>IF($U167="","",IF(INDEX('Per Invoice'!I$2:I$401,$U167)="","",INDEX('Per Invoice'!I$2:I$401,$U167)))</f>
        <v/>
      </c>
      <c r="J167">
        <f>IF($U167="","",IF(INDEX('Per Invoice'!J$2:J$401,$U167)="","",INDEX('Per Invoice'!J$2:J$401,$U167)))</f>
        <v/>
      </c>
      <c r="K167">
        <f>IF($U167="","",IF(INDEX('Per Invoice'!K$2:K$401,$U167)="","",INDEX('Per Invoice'!K$2:K$401,$U167)))</f>
        <v/>
      </c>
      <c r="L167" s="7">
        <f>IF($U167="","",IF(INDEX('Per Invoice'!L$2:L$401,$U167)="","",INDEX('Per Invoice'!L$2:L$401,$U167)))</f>
        <v/>
      </c>
      <c r="M167" s="7">
        <f>IF($U167="","",IF(INDEX('Per Invoice'!M$2:M$401,$U167)="","",INDEX('Per Invoice'!M$2:M$401,$U167)))</f>
        <v/>
      </c>
      <c r="N167">
        <f>IF($U167="","",IF(INDEX('Per Invoice'!N$2:N$401,$U167)="","",INDEX('Per Invoice'!N$2:N$401,$U167)))</f>
        <v/>
      </c>
      <c r="O167" s="7">
        <f>IF($U167="","",IF(INDEX('Per Invoice'!O$2:O$401,$U167)="","",INDEX('Per Invoice'!O$2:O$401,$U167)))</f>
        <v/>
      </c>
      <c r="P167" s="7">
        <f>IF($U167="","",IF(INDEX('Per Invoice'!P$2:P$401,$U167)="","",INDEX('Per Invoice'!P$2:P$401,$U167)))</f>
        <v/>
      </c>
      <c r="Q167" s="7">
        <f>IF($U167="","",IF(INDEX('Per Invoice'!Q$2:Q$401,$U167)="","",INDEX('Per Invoice'!Q$2:Q$401,$U167)))</f>
        <v/>
      </c>
      <c r="R167" s="7">
        <f>IF($U167="","",IF(INDEX('Per Invoice'!R$2:R$401,$U167)="","",INDEX('Per Invoice'!R$2:R$401,$U167)))</f>
        <v/>
      </c>
      <c r="S167" s="7">
        <f>IF($U167="","",IF(INDEX('Per Invoice'!S$2:S$401,$U167)="","",INDEX('Per Invoice'!S$2:S$401,$U167)))</f>
        <v/>
      </c>
      <c r="T167" s="7">
        <f>IF($U167="","",IF(INDEX('Per Invoice'!T$2:T$401,$U167)="","",INDEX('Per Invoice'!T$2:T$401,$U167)))</f>
        <v/>
      </c>
      <c r="U167" s="16">
        <f>IFERROR(MATCH(Settings!$C$28&amp;"|"&amp;ROWS($U$2:$U167),'Per Invoice'!$V$2:$V$401,0),"")</f>
        <v/>
      </c>
    </row>
    <row r="168">
      <c r="A168">
        <f>IF($U168="","",IF(INDEX('Per Invoice'!A$2:A$401,$U168)="","",INDEX('Per Invoice'!A$2:A$401,$U168)))</f>
        <v/>
      </c>
      <c r="B168">
        <f>IF($U168="","",IF(INDEX('Per Invoice'!B$2:B$401,$U168)="","",INDEX('Per Invoice'!B$2:B$401,$U168)))</f>
        <v/>
      </c>
      <c r="C168">
        <f>IF($U168="","",IF(INDEX('Per Invoice'!C$2:C$401,$U168)="","",INDEX('Per Invoice'!C$2:C$401,$U168)))</f>
        <v/>
      </c>
      <c r="D168">
        <f>IF($U168="","",IF(INDEX('Per Invoice'!D$2:D$401,$U168)="","",INDEX('Per Invoice'!D$2:D$401,$U168)))</f>
        <v/>
      </c>
      <c r="E168">
        <f>IF($U168="","",IF(INDEX('Per Invoice'!E$2:E$401,$U168)="","",INDEX('Per Invoice'!E$2:E$401,$U168)))</f>
        <v/>
      </c>
      <c r="F168">
        <f>IF($U168="","",IF(INDEX('Per Invoice'!F$2:F$401,$U168)="","",INDEX('Per Invoice'!F$2:F$401,$U168)))</f>
        <v/>
      </c>
      <c r="G168">
        <f>IF($U168="","",IF(INDEX('Per Invoice'!G$2:G$401,$U168)="","",INDEX('Per Invoice'!G$2:G$401,$U168)))</f>
        <v/>
      </c>
      <c r="H168" s="7">
        <f>IF($U168="","",IF(INDEX('Per Invoice'!H$2:H$401,$U168)="","",INDEX('Per Invoice'!H$2:H$401,$U168)))</f>
        <v/>
      </c>
      <c r="I168" s="14">
        <f>IF($U168="","",IF(INDEX('Per Invoice'!I$2:I$401,$U168)="","",INDEX('Per Invoice'!I$2:I$401,$U168)))</f>
        <v/>
      </c>
      <c r="J168">
        <f>IF($U168="","",IF(INDEX('Per Invoice'!J$2:J$401,$U168)="","",INDEX('Per Invoice'!J$2:J$401,$U168)))</f>
        <v/>
      </c>
      <c r="K168">
        <f>IF($U168="","",IF(INDEX('Per Invoice'!K$2:K$401,$U168)="","",INDEX('Per Invoice'!K$2:K$401,$U168)))</f>
        <v/>
      </c>
      <c r="L168" s="7">
        <f>IF($U168="","",IF(INDEX('Per Invoice'!L$2:L$401,$U168)="","",INDEX('Per Invoice'!L$2:L$401,$U168)))</f>
        <v/>
      </c>
      <c r="M168" s="7">
        <f>IF($U168="","",IF(INDEX('Per Invoice'!M$2:M$401,$U168)="","",INDEX('Per Invoice'!M$2:M$401,$U168)))</f>
        <v/>
      </c>
      <c r="N168">
        <f>IF($U168="","",IF(INDEX('Per Invoice'!N$2:N$401,$U168)="","",INDEX('Per Invoice'!N$2:N$401,$U168)))</f>
        <v/>
      </c>
      <c r="O168" s="7">
        <f>IF($U168="","",IF(INDEX('Per Invoice'!O$2:O$401,$U168)="","",INDEX('Per Invoice'!O$2:O$401,$U168)))</f>
        <v/>
      </c>
      <c r="P168" s="7">
        <f>IF($U168="","",IF(INDEX('Per Invoice'!P$2:P$401,$U168)="","",INDEX('Per Invoice'!P$2:P$401,$U168)))</f>
        <v/>
      </c>
      <c r="Q168" s="7">
        <f>IF($U168="","",IF(INDEX('Per Invoice'!Q$2:Q$401,$U168)="","",INDEX('Per Invoice'!Q$2:Q$401,$U168)))</f>
        <v/>
      </c>
      <c r="R168" s="7">
        <f>IF($U168="","",IF(INDEX('Per Invoice'!R$2:R$401,$U168)="","",INDEX('Per Invoice'!R$2:R$401,$U168)))</f>
        <v/>
      </c>
      <c r="S168" s="7">
        <f>IF($U168="","",IF(INDEX('Per Invoice'!S$2:S$401,$U168)="","",INDEX('Per Invoice'!S$2:S$401,$U168)))</f>
        <v/>
      </c>
      <c r="T168" s="7">
        <f>IF($U168="","",IF(INDEX('Per Invoice'!T$2:T$401,$U168)="","",INDEX('Per Invoice'!T$2:T$401,$U168)))</f>
        <v/>
      </c>
      <c r="U168" s="16">
        <f>IFERROR(MATCH(Settings!$C$28&amp;"|"&amp;ROWS($U$2:$U168),'Per Invoice'!$V$2:$V$401,0),"")</f>
        <v/>
      </c>
    </row>
    <row r="169">
      <c r="A169">
        <f>IF($U169="","",IF(INDEX('Per Invoice'!A$2:A$401,$U169)="","",INDEX('Per Invoice'!A$2:A$401,$U169)))</f>
        <v/>
      </c>
      <c r="B169">
        <f>IF($U169="","",IF(INDEX('Per Invoice'!B$2:B$401,$U169)="","",INDEX('Per Invoice'!B$2:B$401,$U169)))</f>
        <v/>
      </c>
      <c r="C169">
        <f>IF($U169="","",IF(INDEX('Per Invoice'!C$2:C$401,$U169)="","",INDEX('Per Invoice'!C$2:C$401,$U169)))</f>
        <v/>
      </c>
      <c r="D169">
        <f>IF($U169="","",IF(INDEX('Per Invoice'!D$2:D$401,$U169)="","",INDEX('Per Invoice'!D$2:D$401,$U169)))</f>
        <v/>
      </c>
      <c r="E169">
        <f>IF($U169="","",IF(INDEX('Per Invoice'!E$2:E$401,$U169)="","",INDEX('Per Invoice'!E$2:E$401,$U169)))</f>
        <v/>
      </c>
      <c r="F169">
        <f>IF($U169="","",IF(INDEX('Per Invoice'!F$2:F$401,$U169)="","",INDEX('Per Invoice'!F$2:F$401,$U169)))</f>
        <v/>
      </c>
      <c r="G169">
        <f>IF($U169="","",IF(INDEX('Per Invoice'!G$2:G$401,$U169)="","",INDEX('Per Invoice'!G$2:G$401,$U169)))</f>
        <v/>
      </c>
      <c r="H169" s="7">
        <f>IF($U169="","",IF(INDEX('Per Invoice'!H$2:H$401,$U169)="","",INDEX('Per Invoice'!H$2:H$401,$U169)))</f>
        <v/>
      </c>
      <c r="I169" s="14">
        <f>IF($U169="","",IF(INDEX('Per Invoice'!I$2:I$401,$U169)="","",INDEX('Per Invoice'!I$2:I$401,$U169)))</f>
        <v/>
      </c>
      <c r="J169">
        <f>IF($U169="","",IF(INDEX('Per Invoice'!J$2:J$401,$U169)="","",INDEX('Per Invoice'!J$2:J$401,$U169)))</f>
        <v/>
      </c>
      <c r="K169">
        <f>IF($U169="","",IF(INDEX('Per Invoice'!K$2:K$401,$U169)="","",INDEX('Per Invoice'!K$2:K$401,$U169)))</f>
        <v/>
      </c>
      <c r="L169" s="7">
        <f>IF($U169="","",IF(INDEX('Per Invoice'!L$2:L$401,$U169)="","",INDEX('Per Invoice'!L$2:L$401,$U169)))</f>
        <v/>
      </c>
      <c r="M169" s="7">
        <f>IF($U169="","",IF(INDEX('Per Invoice'!M$2:M$401,$U169)="","",INDEX('Per Invoice'!M$2:M$401,$U169)))</f>
        <v/>
      </c>
      <c r="N169">
        <f>IF($U169="","",IF(INDEX('Per Invoice'!N$2:N$401,$U169)="","",INDEX('Per Invoice'!N$2:N$401,$U169)))</f>
        <v/>
      </c>
      <c r="O169" s="7">
        <f>IF($U169="","",IF(INDEX('Per Invoice'!O$2:O$401,$U169)="","",INDEX('Per Invoice'!O$2:O$401,$U169)))</f>
        <v/>
      </c>
      <c r="P169" s="7">
        <f>IF($U169="","",IF(INDEX('Per Invoice'!P$2:P$401,$U169)="","",INDEX('Per Invoice'!P$2:P$401,$U169)))</f>
        <v/>
      </c>
      <c r="Q169" s="7">
        <f>IF($U169="","",IF(INDEX('Per Invoice'!Q$2:Q$401,$U169)="","",INDEX('Per Invoice'!Q$2:Q$401,$U169)))</f>
        <v/>
      </c>
      <c r="R169" s="7">
        <f>IF($U169="","",IF(INDEX('Per Invoice'!R$2:R$401,$U169)="","",INDEX('Per Invoice'!R$2:R$401,$U169)))</f>
        <v/>
      </c>
      <c r="S169" s="7">
        <f>IF($U169="","",IF(INDEX('Per Invoice'!S$2:S$401,$U169)="","",INDEX('Per Invoice'!S$2:S$401,$U169)))</f>
        <v/>
      </c>
      <c r="T169" s="7">
        <f>IF($U169="","",IF(INDEX('Per Invoice'!T$2:T$401,$U169)="","",INDEX('Per Invoice'!T$2:T$401,$U169)))</f>
        <v/>
      </c>
      <c r="U169" s="16">
        <f>IFERROR(MATCH(Settings!$C$28&amp;"|"&amp;ROWS($U$2:$U169),'Per Invoice'!$V$2:$V$401,0),"")</f>
        <v/>
      </c>
    </row>
    <row r="170">
      <c r="A170">
        <f>IF($U170="","",IF(INDEX('Per Invoice'!A$2:A$401,$U170)="","",INDEX('Per Invoice'!A$2:A$401,$U170)))</f>
        <v/>
      </c>
      <c r="B170">
        <f>IF($U170="","",IF(INDEX('Per Invoice'!B$2:B$401,$U170)="","",INDEX('Per Invoice'!B$2:B$401,$U170)))</f>
        <v/>
      </c>
      <c r="C170">
        <f>IF($U170="","",IF(INDEX('Per Invoice'!C$2:C$401,$U170)="","",INDEX('Per Invoice'!C$2:C$401,$U170)))</f>
        <v/>
      </c>
      <c r="D170">
        <f>IF($U170="","",IF(INDEX('Per Invoice'!D$2:D$401,$U170)="","",INDEX('Per Invoice'!D$2:D$401,$U170)))</f>
        <v/>
      </c>
      <c r="E170">
        <f>IF($U170="","",IF(INDEX('Per Invoice'!E$2:E$401,$U170)="","",INDEX('Per Invoice'!E$2:E$401,$U170)))</f>
        <v/>
      </c>
      <c r="F170">
        <f>IF($U170="","",IF(INDEX('Per Invoice'!F$2:F$401,$U170)="","",INDEX('Per Invoice'!F$2:F$401,$U170)))</f>
        <v/>
      </c>
      <c r="G170">
        <f>IF($U170="","",IF(INDEX('Per Invoice'!G$2:G$401,$U170)="","",INDEX('Per Invoice'!G$2:G$401,$U170)))</f>
        <v/>
      </c>
      <c r="H170" s="7">
        <f>IF($U170="","",IF(INDEX('Per Invoice'!H$2:H$401,$U170)="","",INDEX('Per Invoice'!H$2:H$401,$U170)))</f>
        <v/>
      </c>
      <c r="I170" s="14">
        <f>IF($U170="","",IF(INDEX('Per Invoice'!I$2:I$401,$U170)="","",INDEX('Per Invoice'!I$2:I$401,$U170)))</f>
        <v/>
      </c>
      <c r="J170">
        <f>IF($U170="","",IF(INDEX('Per Invoice'!J$2:J$401,$U170)="","",INDEX('Per Invoice'!J$2:J$401,$U170)))</f>
        <v/>
      </c>
      <c r="K170">
        <f>IF($U170="","",IF(INDEX('Per Invoice'!K$2:K$401,$U170)="","",INDEX('Per Invoice'!K$2:K$401,$U170)))</f>
        <v/>
      </c>
      <c r="L170" s="7">
        <f>IF($U170="","",IF(INDEX('Per Invoice'!L$2:L$401,$U170)="","",INDEX('Per Invoice'!L$2:L$401,$U170)))</f>
        <v/>
      </c>
      <c r="M170" s="7">
        <f>IF($U170="","",IF(INDEX('Per Invoice'!M$2:M$401,$U170)="","",INDEX('Per Invoice'!M$2:M$401,$U170)))</f>
        <v/>
      </c>
      <c r="N170">
        <f>IF($U170="","",IF(INDEX('Per Invoice'!N$2:N$401,$U170)="","",INDEX('Per Invoice'!N$2:N$401,$U170)))</f>
        <v/>
      </c>
      <c r="O170" s="7">
        <f>IF($U170="","",IF(INDEX('Per Invoice'!O$2:O$401,$U170)="","",INDEX('Per Invoice'!O$2:O$401,$U170)))</f>
        <v/>
      </c>
      <c r="P170" s="7">
        <f>IF($U170="","",IF(INDEX('Per Invoice'!P$2:P$401,$U170)="","",INDEX('Per Invoice'!P$2:P$401,$U170)))</f>
        <v/>
      </c>
      <c r="Q170" s="7">
        <f>IF($U170="","",IF(INDEX('Per Invoice'!Q$2:Q$401,$U170)="","",INDEX('Per Invoice'!Q$2:Q$401,$U170)))</f>
        <v/>
      </c>
      <c r="R170" s="7">
        <f>IF($U170="","",IF(INDEX('Per Invoice'!R$2:R$401,$U170)="","",INDEX('Per Invoice'!R$2:R$401,$U170)))</f>
        <v/>
      </c>
      <c r="S170" s="7">
        <f>IF($U170="","",IF(INDEX('Per Invoice'!S$2:S$401,$U170)="","",INDEX('Per Invoice'!S$2:S$401,$U170)))</f>
        <v/>
      </c>
      <c r="T170" s="7">
        <f>IF($U170="","",IF(INDEX('Per Invoice'!T$2:T$401,$U170)="","",INDEX('Per Invoice'!T$2:T$401,$U170)))</f>
        <v/>
      </c>
      <c r="U170" s="16">
        <f>IFERROR(MATCH(Settings!$C$28&amp;"|"&amp;ROWS($U$2:$U170),'Per Invoice'!$V$2:$V$401,0),"")</f>
        <v/>
      </c>
    </row>
    <row r="171">
      <c r="A171">
        <f>IF($U171="","",IF(INDEX('Per Invoice'!A$2:A$401,$U171)="","",INDEX('Per Invoice'!A$2:A$401,$U171)))</f>
        <v/>
      </c>
      <c r="B171">
        <f>IF($U171="","",IF(INDEX('Per Invoice'!B$2:B$401,$U171)="","",INDEX('Per Invoice'!B$2:B$401,$U171)))</f>
        <v/>
      </c>
      <c r="C171">
        <f>IF($U171="","",IF(INDEX('Per Invoice'!C$2:C$401,$U171)="","",INDEX('Per Invoice'!C$2:C$401,$U171)))</f>
        <v/>
      </c>
      <c r="D171">
        <f>IF($U171="","",IF(INDEX('Per Invoice'!D$2:D$401,$U171)="","",INDEX('Per Invoice'!D$2:D$401,$U171)))</f>
        <v/>
      </c>
      <c r="E171">
        <f>IF($U171="","",IF(INDEX('Per Invoice'!E$2:E$401,$U171)="","",INDEX('Per Invoice'!E$2:E$401,$U171)))</f>
        <v/>
      </c>
      <c r="F171">
        <f>IF($U171="","",IF(INDEX('Per Invoice'!F$2:F$401,$U171)="","",INDEX('Per Invoice'!F$2:F$401,$U171)))</f>
        <v/>
      </c>
      <c r="G171">
        <f>IF($U171="","",IF(INDEX('Per Invoice'!G$2:G$401,$U171)="","",INDEX('Per Invoice'!G$2:G$401,$U171)))</f>
        <v/>
      </c>
      <c r="H171" s="7">
        <f>IF($U171="","",IF(INDEX('Per Invoice'!H$2:H$401,$U171)="","",INDEX('Per Invoice'!H$2:H$401,$U171)))</f>
        <v/>
      </c>
      <c r="I171" s="14">
        <f>IF($U171="","",IF(INDEX('Per Invoice'!I$2:I$401,$U171)="","",INDEX('Per Invoice'!I$2:I$401,$U171)))</f>
        <v/>
      </c>
      <c r="J171">
        <f>IF($U171="","",IF(INDEX('Per Invoice'!J$2:J$401,$U171)="","",INDEX('Per Invoice'!J$2:J$401,$U171)))</f>
        <v/>
      </c>
      <c r="K171">
        <f>IF($U171="","",IF(INDEX('Per Invoice'!K$2:K$401,$U171)="","",INDEX('Per Invoice'!K$2:K$401,$U171)))</f>
        <v/>
      </c>
      <c r="L171" s="7">
        <f>IF($U171="","",IF(INDEX('Per Invoice'!L$2:L$401,$U171)="","",INDEX('Per Invoice'!L$2:L$401,$U171)))</f>
        <v/>
      </c>
      <c r="M171" s="7">
        <f>IF($U171="","",IF(INDEX('Per Invoice'!M$2:M$401,$U171)="","",INDEX('Per Invoice'!M$2:M$401,$U171)))</f>
        <v/>
      </c>
      <c r="N171">
        <f>IF($U171="","",IF(INDEX('Per Invoice'!N$2:N$401,$U171)="","",INDEX('Per Invoice'!N$2:N$401,$U171)))</f>
        <v/>
      </c>
      <c r="O171" s="7">
        <f>IF($U171="","",IF(INDEX('Per Invoice'!O$2:O$401,$U171)="","",INDEX('Per Invoice'!O$2:O$401,$U171)))</f>
        <v/>
      </c>
      <c r="P171" s="7">
        <f>IF($U171="","",IF(INDEX('Per Invoice'!P$2:P$401,$U171)="","",INDEX('Per Invoice'!P$2:P$401,$U171)))</f>
        <v/>
      </c>
      <c r="Q171" s="7">
        <f>IF($U171="","",IF(INDEX('Per Invoice'!Q$2:Q$401,$U171)="","",INDEX('Per Invoice'!Q$2:Q$401,$U171)))</f>
        <v/>
      </c>
      <c r="R171" s="7">
        <f>IF($U171="","",IF(INDEX('Per Invoice'!R$2:R$401,$U171)="","",INDEX('Per Invoice'!R$2:R$401,$U171)))</f>
        <v/>
      </c>
      <c r="S171" s="7">
        <f>IF($U171="","",IF(INDEX('Per Invoice'!S$2:S$401,$U171)="","",INDEX('Per Invoice'!S$2:S$401,$U171)))</f>
        <v/>
      </c>
      <c r="T171" s="7">
        <f>IF($U171="","",IF(INDEX('Per Invoice'!T$2:T$401,$U171)="","",INDEX('Per Invoice'!T$2:T$401,$U171)))</f>
        <v/>
      </c>
      <c r="U171" s="16">
        <f>IFERROR(MATCH(Settings!$C$28&amp;"|"&amp;ROWS($U$2:$U171),'Per Invoice'!$V$2:$V$401,0),"")</f>
        <v/>
      </c>
    </row>
    <row r="172">
      <c r="A172">
        <f>IF($U172="","",IF(INDEX('Per Invoice'!A$2:A$401,$U172)="","",INDEX('Per Invoice'!A$2:A$401,$U172)))</f>
        <v/>
      </c>
      <c r="B172">
        <f>IF($U172="","",IF(INDEX('Per Invoice'!B$2:B$401,$U172)="","",INDEX('Per Invoice'!B$2:B$401,$U172)))</f>
        <v/>
      </c>
      <c r="C172">
        <f>IF($U172="","",IF(INDEX('Per Invoice'!C$2:C$401,$U172)="","",INDEX('Per Invoice'!C$2:C$401,$U172)))</f>
        <v/>
      </c>
      <c r="D172">
        <f>IF($U172="","",IF(INDEX('Per Invoice'!D$2:D$401,$U172)="","",INDEX('Per Invoice'!D$2:D$401,$U172)))</f>
        <v/>
      </c>
      <c r="E172">
        <f>IF($U172="","",IF(INDEX('Per Invoice'!E$2:E$401,$U172)="","",INDEX('Per Invoice'!E$2:E$401,$U172)))</f>
        <v/>
      </c>
      <c r="F172">
        <f>IF($U172="","",IF(INDEX('Per Invoice'!F$2:F$401,$U172)="","",INDEX('Per Invoice'!F$2:F$401,$U172)))</f>
        <v/>
      </c>
      <c r="G172">
        <f>IF($U172="","",IF(INDEX('Per Invoice'!G$2:G$401,$U172)="","",INDEX('Per Invoice'!G$2:G$401,$U172)))</f>
        <v/>
      </c>
      <c r="H172" s="7">
        <f>IF($U172="","",IF(INDEX('Per Invoice'!H$2:H$401,$U172)="","",INDEX('Per Invoice'!H$2:H$401,$U172)))</f>
        <v/>
      </c>
      <c r="I172" s="14">
        <f>IF($U172="","",IF(INDEX('Per Invoice'!I$2:I$401,$U172)="","",INDEX('Per Invoice'!I$2:I$401,$U172)))</f>
        <v/>
      </c>
      <c r="J172">
        <f>IF($U172="","",IF(INDEX('Per Invoice'!J$2:J$401,$U172)="","",INDEX('Per Invoice'!J$2:J$401,$U172)))</f>
        <v/>
      </c>
      <c r="K172">
        <f>IF($U172="","",IF(INDEX('Per Invoice'!K$2:K$401,$U172)="","",INDEX('Per Invoice'!K$2:K$401,$U172)))</f>
        <v/>
      </c>
      <c r="L172" s="7">
        <f>IF($U172="","",IF(INDEX('Per Invoice'!L$2:L$401,$U172)="","",INDEX('Per Invoice'!L$2:L$401,$U172)))</f>
        <v/>
      </c>
      <c r="M172" s="7">
        <f>IF($U172="","",IF(INDEX('Per Invoice'!M$2:M$401,$U172)="","",INDEX('Per Invoice'!M$2:M$401,$U172)))</f>
        <v/>
      </c>
      <c r="N172">
        <f>IF($U172="","",IF(INDEX('Per Invoice'!N$2:N$401,$U172)="","",INDEX('Per Invoice'!N$2:N$401,$U172)))</f>
        <v/>
      </c>
      <c r="O172" s="7">
        <f>IF($U172="","",IF(INDEX('Per Invoice'!O$2:O$401,$U172)="","",INDEX('Per Invoice'!O$2:O$401,$U172)))</f>
        <v/>
      </c>
      <c r="P172" s="7">
        <f>IF($U172="","",IF(INDEX('Per Invoice'!P$2:P$401,$U172)="","",INDEX('Per Invoice'!P$2:P$401,$U172)))</f>
        <v/>
      </c>
      <c r="Q172" s="7">
        <f>IF($U172="","",IF(INDEX('Per Invoice'!Q$2:Q$401,$U172)="","",INDEX('Per Invoice'!Q$2:Q$401,$U172)))</f>
        <v/>
      </c>
      <c r="R172" s="7">
        <f>IF($U172="","",IF(INDEX('Per Invoice'!R$2:R$401,$U172)="","",INDEX('Per Invoice'!R$2:R$401,$U172)))</f>
        <v/>
      </c>
      <c r="S172" s="7">
        <f>IF($U172="","",IF(INDEX('Per Invoice'!S$2:S$401,$U172)="","",INDEX('Per Invoice'!S$2:S$401,$U172)))</f>
        <v/>
      </c>
      <c r="T172" s="7">
        <f>IF($U172="","",IF(INDEX('Per Invoice'!T$2:T$401,$U172)="","",INDEX('Per Invoice'!T$2:T$401,$U172)))</f>
        <v/>
      </c>
      <c r="U172" s="16">
        <f>IFERROR(MATCH(Settings!$C$28&amp;"|"&amp;ROWS($U$2:$U172),'Per Invoice'!$V$2:$V$401,0),"")</f>
        <v/>
      </c>
    </row>
    <row r="173">
      <c r="A173">
        <f>IF($U173="","",IF(INDEX('Per Invoice'!A$2:A$401,$U173)="","",INDEX('Per Invoice'!A$2:A$401,$U173)))</f>
        <v/>
      </c>
      <c r="B173">
        <f>IF($U173="","",IF(INDEX('Per Invoice'!B$2:B$401,$U173)="","",INDEX('Per Invoice'!B$2:B$401,$U173)))</f>
        <v/>
      </c>
      <c r="C173">
        <f>IF($U173="","",IF(INDEX('Per Invoice'!C$2:C$401,$U173)="","",INDEX('Per Invoice'!C$2:C$401,$U173)))</f>
        <v/>
      </c>
      <c r="D173">
        <f>IF($U173="","",IF(INDEX('Per Invoice'!D$2:D$401,$U173)="","",INDEX('Per Invoice'!D$2:D$401,$U173)))</f>
        <v/>
      </c>
      <c r="E173">
        <f>IF($U173="","",IF(INDEX('Per Invoice'!E$2:E$401,$U173)="","",INDEX('Per Invoice'!E$2:E$401,$U173)))</f>
        <v/>
      </c>
      <c r="F173">
        <f>IF($U173="","",IF(INDEX('Per Invoice'!F$2:F$401,$U173)="","",INDEX('Per Invoice'!F$2:F$401,$U173)))</f>
        <v/>
      </c>
      <c r="G173">
        <f>IF($U173="","",IF(INDEX('Per Invoice'!G$2:G$401,$U173)="","",INDEX('Per Invoice'!G$2:G$401,$U173)))</f>
        <v/>
      </c>
      <c r="H173" s="7">
        <f>IF($U173="","",IF(INDEX('Per Invoice'!H$2:H$401,$U173)="","",INDEX('Per Invoice'!H$2:H$401,$U173)))</f>
        <v/>
      </c>
      <c r="I173" s="14">
        <f>IF($U173="","",IF(INDEX('Per Invoice'!I$2:I$401,$U173)="","",INDEX('Per Invoice'!I$2:I$401,$U173)))</f>
        <v/>
      </c>
      <c r="J173">
        <f>IF($U173="","",IF(INDEX('Per Invoice'!J$2:J$401,$U173)="","",INDEX('Per Invoice'!J$2:J$401,$U173)))</f>
        <v/>
      </c>
      <c r="K173">
        <f>IF($U173="","",IF(INDEX('Per Invoice'!K$2:K$401,$U173)="","",INDEX('Per Invoice'!K$2:K$401,$U173)))</f>
        <v/>
      </c>
      <c r="L173" s="7">
        <f>IF($U173="","",IF(INDEX('Per Invoice'!L$2:L$401,$U173)="","",INDEX('Per Invoice'!L$2:L$401,$U173)))</f>
        <v/>
      </c>
      <c r="M173" s="7">
        <f>IF($U173="","",IF(INDEX('Per Invoice'!M$2:M$401,$U173)="","",INDEX('Per Invoice'!M$2:M$401,$U173)))</f>
        <v/>
      </c>
      <c r="N173">
        <f>IF($U173="","",IF(INDEX('Per Invoice'!N$2:N$401,$U173)="","",INDEX('Per Invoice'!N$2:N$401,$U173)))</f>
        <v/>
      </c>
      <c r="O173" s="7">
        <f>IF($U173="","",IF(INDEX('Per Invoice'!O$2:O$401,$U173)="","",INDEX('Per Invoice'!O$2:O$401,$U173)))</f>
        <v/>
      </c>
      <c r="P173" s="7">
        <f>IF($U173="","",IF(INDEX('Per Invoice'!P$2:P$401,$U173)="","",INDEX('Per Invoice'!P$2:P$401,$U173)))</f>
        <v/>
      </c>
      <c r="Q173" s="7">
        <f>IF($U173="","",IF(INDEX('Per Invoice'!Q$2:Q$401,$U173)="","",INDEX('Per Invoice'!Q$2:Q$401,$U173)))</f>
        <v/>
      </c>
      <c r="R173" s="7">
        <f>IF($U173="","",IF(INDEX('Per Invoice'!R$2:R$401,$U173)="","",INDEX('Per Invoice'!R$2:R$401,$U173)))</f>
        <v/>
      </c>
      <c r="S173" s="7">
        <f>IF($U173="","",IF(INDEX('Per Invoice'!S$2:S$401,$U173)="","",INDEX('Per Invoice'!S$2:S$401,$U173)))</f>
        <v/>
      </c>
      <c r="T173" s="7">
        <f>IF($U173="","",IF(INDEX('Per Invoice'!T$2:T$401,$U173)="","",INDEX('Per Invoice'!T$2:T$401,$U173)))</f>
        <v/>
      </c>
      <c r="U173" s="16">
        <f>IFERROR(MATCH(Settings!$C$28&amp;"|"&amp;ROWS($U$2:$U173),'Per Invoice'!$V$2:$V$401,0),"")</f>
        <v/>
      </c>
    </row>
    <row r="174">
      <c r="A174">
        <f>IF($U174="","",IF(INDEX('Per Invoice'!A$2:A$401,$U174)="","",INDEX('Per Invoice'!A$2:A$401,$U174)))</f>
        <v/>
      </c>
      <c r="B174">
        <f>IF($U174="","",IF(INDEX('Per Invoice'!B$2:B$401,$U174)="","",INDEX('Per Invoice'!B$2:B$401,$U174)))</f>
        <v/>
      </c>
      <c r="C174">
        <f>IF($U174="","",IF(INDEX('Per Invoice'!C$2:C$401,$U174)="","",INDEX('Per Invoice'!C$2:C$401,$U174)))</f>
        <v/>
      </c>
      <c r="D174">
        <f>IF($U174="","",IF(INDEX('Per Invoice'!D$2:D$401,$U174)="","",INDEX('Per Invoice'!D$2:D$401,$U174)))</f>
        <v/>
      </c>
      <c r="E174">
        <f>IF($U174="","",IF(INDEX('Per Invoice'!E$2:E$401,$U174)="","",INDEX('Per Invoice'!E$2:E$401,$U174)))</f>
        <v/>
      </c>
      <c r="F174">
        <f>IF($U174="","",IF(INDEX('Per Invoice'!F$2:F$401,$U174)="","",INDEX('Per Invoice'!F$2:F$401,$U174)))</f>
        <v/>
      </c>
      <c r="G174">
        <f>IF($U174="","",IF(INDEX('Per Invoice'!G$2:G$401,$U174)="","",INDEX('Per Invoice'!G$2:G$401,$U174)))</f>
        <v/>
      </c>
      <c r="H174" s="7">
        <f>IF($U174="","",IF(INDEX('Per Invoice'!H$2:H$401,$U174)="","",INDEX('Per Invoice'!H$2:H$401,$U174)))</f>
        <v/>
      </c>
      <c r="I174" s="14">
        <f>IF($U174="","",IF(INDEX('Per Invoice'!I$2:I$401,$U174)="","",INDEX('Per Invoice'!I$2:I$401,$U174)))</f>
        <v/>
      </c>
      <c r="J174">
        <f>IF($U174="","",IF(INDEX('Per Invoice'!J$2:J$401,$U174)="","",INDEX('Per Invoice'!J$2:J$401,$U174)))</f>
        <v/>
      </c>
      <c r="K174">
        <f>IF($U174="","",IF(INDEX('Per Invoice'!K$2:K$401,$U174)="","",INDEX('Per Invoice'!K$2:K$401,$U174)))</f>
        <v/>
      </c>
      <c r="L174" s="7">
        <f>IF($U174="","",IF(INDEX('Per Invoice'!L$2:L$401,$U174)="","",INDEX('Per Invoice'!L$2:L$401,$U174)))</f>
        <v/>
      </c>
      <c r="M174" s="7">
        <f>IF($U174="","",IF(INDEX('Per Invoice'!M$2:M$401,$U174)="","",INDEX('Per Invoice'!M$2:M$401,$U174)))</f>
        <v/>
      </c>
      <c r="N174">
        <f>IF($U174="","",IF(INDEX('Per Invoice'!N$2:N$401,$U174)="","",INDEX('Per Invoice'!N$2:N$401,$U174)))</f>
        <v/>
      </c>
      <c r="O174" s="7">
        <f>IF($U174="","",IF(INDEX('Per Invoice'!O$2:O$401,$U174)="","",INDEX('Per Invoice'!O$2:O$401,$U174)))</f>
        <v/>
      </c>
      <c r="P174" s="7">
        <f>IF($U174="","",IF(INDEX('Per Invoice'!P$2:P$401,$U174)="","",INDEX('Per Invoice'!P$2:P$401,$U174)))</f>
        <v/>
      </c>
      <c r="Q174" s="7">
        <f>IF($U174="","",IF(INDEX('Per Invoice'!Q$2:Q$401,$U174)="","",INDEX('Per Invoice'!Q$2:Q$401,$U174)))</f>
        <v/>
      </c>
      <c r="R174" s="7">
        <f>IF($U174="","",IF(INDEX('Per Invoice'!R$2:R$401,$U174)="","",INDEX('Per Invoice'!R$2:R$401,$U174)))</f>
        <v/>
      </c>
      <c r="S174" s="7">
        <f>IF($U174="","",IF(INDEX('Per Invoice'!S$2:S$401,$U174)="","",INDEX('Per Invoice'!S$2:S$401,$U174)))</f>
        <v/>
      </c>
      <c r="T174" s="7">
        <f>IF($U174="","",IF(INDEX('Per Invoice'!T$2:T$401,$U174)="","",INDEX('Per Invoice'!T$2:T$401,$U174)))</f>
        <v/>
      </c>
      <c r="U174" s="16">
        <f>IFERROR(MATCH(Settings!$C$28&amp;"|"&amp;ROWS($U$2:$U174),'Per Invoice'!$V$2:$V$401,0),"")</f>
        <v/>
      </c>
    </row>
    <row r="175">
      <c r="A175">
        <f>IF($U175="","",IF(INDEX('Per Invoice'!A$2:A$401,$U175)="","",INDEX('Per Invoice'!A$2:A$401,$U175)))</f>
        <v/>
      </c>
      <c r="B175">
        <f>IF($U175="","",IF(INDEX('Per Invoice'!B$2:B$401,$U175)="","",INDEX('Per Invoice'!B$2:B$401,$U175)))</f>
        <v/>
      </c>
      <c r="C175">
        <f>IF($U175="","",IF(INDEX('Per Invoice'!C$2:C$401,$U175)="","",INDEX('Per Invoice'!C$2:C$401,$U175)))</f>
        <v/>
      </c>
      <c r="D175">
        <f>IF($U175="","",IF(INDEX('Per Invoice'!D$2:D$401,$U175)="","",INDEX('Per Invoice'!D$2:D$401,$U175)))</f>
        <v/>
      </c>
      <c r="E175">
        <f>IF($U175="","",IF(INDEX('Per Invoice'!E$2:E$401,$U175)="","",INDEX('Per Invoice'!E$2:E$401,$U175)))</f>
        <v/>
      </c>
      <c r="F175">
        <f>IF($U175="","",IF(INDEX('Per Invoice'!F$2:F$401,$U175)="","",INDEX('Per Invoice'!F$2:F$401,$U175)))</f>
        <v/>
      </c>
      <c r="G175">
        <f>IF($U175="","",IF(INDEX('Per Invoice'!G$2:G$401,$U175)="","",INDEX('Per Invoice'!G$2:G$401,$U175)))</f>
        <v/>
      </c>
      <c r="H175" s="7">
        <f>IF($U175="","",IF(INDEX('Per Invoice'!H$2:H$401,$U175)="","",INDEX('Per Invoice'!H$2:H$401,$U175)))</f>
        <v/>
      </c>
      <c r="I175" s="14">
        <f>IF($U175="","",IF(INDEX('Per Invoice'!I$2:I$401,$U175)="","",INDEX('Per Invoice'!I$2:I$401,$U175)))</f>
        <v/>
      </c>
      <c r="J175">
        <f>IF($U175="","",IF(INDEX('Per Invoice'!J$2:J$401,$U175)="","",INDEX('Per Invoice'!J$2:J$401,$U175)))</f>
        <v/>
      </c>
      <c r="K175">
        <f>IF($U175="","",IF(INDEX('Per Invoice'!K$2:K$401,$U175)="","",INDEX('Per Invoice'!K$2:K$401,$U175)))</f>
        <v/>
      </c>
      <c r="L175" s="7">
        <f>IF($U175="","",IF(INDEX('Per Invoice'!L$2:L$401,$U175)="","",INDEX('Per Invoice'!L$2:L$401,$U175)))</f>
        <v/>
      </c>
      <c r="M175" s="7">
        <f>IF($U175="","",IF(INDEX('Per Invoice'!M$2:M$401,$U175)="","",INDEX('Per Invoice'!M$2:M$401,$U175)))</f>
        <v/>
      </c>
      <c r="N175">
        <f>IF($U175="","",IF(INDEX('Per Invoice'!N$2:N$401,$U175)="","",INDEX('Per Invoice'!N$2:N$401,$U175)))</f>
        <v/>
      </c>
      <c r="O175" s="7">
        <f>IF($U175="","",IF(INDEX('Per Invoice'!O$2:O$401,$U175)="","",INDEX('Per Invoice'!O$2:O$401,$U175)))</f>
        <v/>
      </c>
      <c r="P175" s="7">
        <f>IF($U175="","",IF(INDEX('Per Invoice'!P$2:P$401,$U175)="","",INDEX('Per Invoice'!P$2:P$401,$U175)))</f>
        <v/>
      </c>
      <c r="Q175" s="7">
        <f>IF($U175="","",IF(INDEX('Per Invoice'!Q$2:Q$401,$U175)="","",INDEX('Per Invoice'!Q$2:Q$401,$U175)))</f>
        <v/>
      </c>
      <c r="R175" s="7">
        <f>IF($U175="","",IF(INDEX('Per Invoice'!R$2:R$401,$U175)="","",INDEX('Per Invoice'!R$2:R$401,$U175)))</f>
        <v/>
      </c>
      <c r="S175" s="7">
        <f>IF($U175="","",IF(INDEX('Per Invoice'!S$2:S$401,$U175)="","",INDEX('Per Invoice'!S$2:S$401,$U175)))</f>
        <v/>
      </c>
      <c r="T175" s="7">
        <f>IF($U175="","",IF(INDEX('Per Invoice'!T$2:T$401,$U175)="","",INDEX('Per Invoice'!T$2:T$401,$U175)))</f>
        <v/>
      </c>
      <c r="U175" s="16">
        <f>IFERROR(MATCH(Settings!$C$28&amp;"|"&amp;ROWS($U$2:$U175),'Per Invoice'!$V$2:$V$401,0),"")</f>
        <v/>
      </c>
    </row>
    <row r="176">
      <c r="A176">
        <f>IF($U176="","",IF(INDEX('Per Invoice'!A$2:A$401,$U176)="","",INDEX('Per Invoice'!A$2:A$401,$U176)))</f>
        <v/>
      </c>
      <c r="B176">
        <f>IF($U176="","",IF(INDEX('Per Invoice'!B$2:B$401,$U176)="","",INDEX('Per Invoice'!B$2:B$401,$U176)))</f>
        <v/>
      </c>
      <c r="C176">
        <f>IF($U176="","",IF(INDEX('Per Invoice'!C$2:C$401,$U176)="","",INDEX('Per Invoice'!C$2:C$401,$U176)))</f>
        <v/>
      </c>
      <c r="D176">
        <f>IF($U176="","",IF(INDEX('Per Invoice'!D$2:D$401,$U176)="","",INDEX('Per Invoice'!D$2:D$401,$U176)))</f>
        <v/>
      </c>
      <c r="E176">
        <f>IF($U176="","",IF(INDEX('Per Invoice'!E$2:E$401,$U176)="","",INDEX('Per Invoice'!E$2:E$401,$U176)))</f>
        <v/>
      </c>
      <c r="F176">
        <f>IF($U176="","",IF(INDEX('Per Invoice'!F$2:F$401,$U176)="","",INDEX('Per Invoice'!F$2:F$401,$U176)))</f>
        <v/>
      </c>
      <c r="G176">
        <f>IF($U176="","",IF(INDEX('Per Invoice'!G$2:G$401,$U176)="","",INDEX('Per Invoice'!G$2:G$401,$U176)))</f>
        <v/>
      </c>
      <c r="H176" s="7">
        <f>IF($U176="","",IF(INDEX('Per Invoice'!H$2:H$401,$U176)="","",INDEX('Per Invoice'!H$2:H$401,$U176)))</f>
        <v/>
      </c>
      <c r="I176" s="14">
        <f>IF($U176="","",IF(INDEX('Per Invoice'!I$2:I$401,$U176)="","",INDEX('Per Invoice'!I$2:I$401,$U176)))</f>
        <v/>
      </c>
      <c r="J176">
        <f>IF($U176="","",IF(INDEX('Per Invoice'!J$2:J$401,$U176)="","",INDEX('Per Invoice'!J$2:J$401,$U176)))</f>
        <v/>
      </c>
      <c r="K176">
        <f>IF($U176="","",IF(INDEX('Per Invoice'!K$2:K$401,$U176)="","",INDEX('Per Invoice'!K$2:K$401,$U176)))</f>
        <v/>
      </c>
      <c r="L176" s="7">
        <f>IF($U176="","",IF(INDEX('Per Invoice'!L$2:L$401,$U176)="","",INDEX('Per Invoice'!L$2:L$401,$U176)))</f>
        <v/>
      </c>
      <c r="M176" s="7">
        <f>IF($U176="","",IF(INDEX('Per Invoice'!M$2:M$401,$U176)="","",INDEX('Per Invoice'!M$2:M$401,$U176)))</f>
        <v/>
      </c>
      <c r="N176">
        <f>IF($U176="","",IF(INDEX('Per Invoice'!N$2:N$401,$U176)="","",INDEX('Per Invoice'!N$2:N$401,$U176)))</f>
        <v/>
      </c>
      <c r="O176" s="7">
        <f>IF($U176="","",IF(INDEX('Per Invoice'!O$2:O$401,$U176)="","",INDEX('Per Invoice'!O$2:O$401,$U176)))</f>
        <v/>
      </c>
      <c r="P176" s="7">
        <f>IF($U176="","",IF(INDEX('Per Invoice'!P$2:P$401,$U176)="","",INDEX('Per Invoice'!P$2:P$401,$U176)))</f>
        <v/>
      </c>
      <c r="Q176" s="7">
        <f>IF($U176="","",IF(INDEX('Per Invoice'!Q$2:Q$401,$U176)="","",INDEX('Per Invoice'!Q$2:Q$401,$U176)))</f>
        <v/>
      </c>
      <c r="R176" s="7">
        <f>IF($U176="","",IF(INDEX('Per Invoice'!R$2:R$401,$U176)="","",INDEX('Per Invoice'!R$2:R$401,$U176)))</f>
        <v/>
      </c>
      <c r="S176" s="7">
        <f>IF($U176="","",IF(INDEX('Per Invoice'!S$2:S$401,$U176)="","",INDEX('Per Invoice'!S$2:S$401,$U176)))</f>
        <v/>
      </c>
      <c r="T176" s="7">
        <f>IF($U176="","",IF(INDEX('Per Invoice'!T$2:T$401,$U176)="","",INDEX('Per Invoice'!T$2:T$401,$U176)))</f>
        <v/>
      </c>
      <c r="U176" s="16">
        <f>IFERROR(MATCH(Settings!$C$28&amp;"|"&amp;ROWS($U$2:$U176),'Per Invoice'!$V$2:$V$401,0),"")</f>
        <v/>
      </c>
    </row>
    <row r="177">
      <c r="A177">
        <f>IF($U177="","",IF(INDEX('Per Invoice'!A$2:A$401,$U177)="","",INDEX('Per Invoice'!A$2:A$401,$U177)))</f>
        <v/>
      </c>
      <c r="B177">
        <f>IF($U177="","",IF(INDEX('Per Invoice'!B$2:B$401,$U177)="","",INDEX('Per Invoice'!B$2:B$401,$U177)))</f>
        <v/>
      </c>
      <c r="C177">
        <f>IF($U177="","",IF(INDEX('Per Invoice'!C$2:C$401,$U177)="","",INDEX('Per Invoice'!C$2:C$401,$U177)))</f>
        <v/>
      </c>
      <c r="D177">
        <f>IF($U177="","",IF(INDEX('Per Invoice'!D$2:D$401,$U177)="","",INDEX('Per Invoice'!D$2:D$401,$U177)))</f>
        <v/>
      </c>
      <c r="E177">
        <f>IF($U177="","",IF(INDEX('Per Invoice'!E$2:E$401,$U177)="","",INDEX('Per Invoice'!E$2:E$401,$U177)))</f>
        <v/>
      </c>
      <c r="F177">
        <f>IF($U177="","",IF(INDEX('Per Invoice'!F$2:F$401,$U177)="","",INDEX('Per Invoice'!F$2:F$401,$U177)))</f>
        <v/>
      </c>
      <c r="G177">
        <f>IF($U177="","",IF(INDEX('Per Invoice'!G$2:G$401,$U177)="","",INDEX('Per Invoice'!G$2:G$401,$U177)))</f>
        <v/>
      </c>
      <c r="H177" s="7">
        <f>IF($U177="","",IF(INDEX('Per Invoice'!H$2:H$401,$U177)="","",INDEX('Per Invoice'!H$2:H$401,$U177)))</f>
        <v/>
      </c>
      <c r="I177" s="14">
        <f>IF($U177="","",IF(INDEX('Per Invoice'!I$2:I$401,$U177)="","",INDEX('Per Invoice'!I$2:I$401,$U177)))</f>
        <v/>
      </c>
      <c r="J177">
        <f>IF($U177="","",IF(INDEX('Per Invoice'!J$2:J$401,$U177)="","",INDEX('Per Invoice'!J$2:J$401,$U177)))</f>
        <v/>
      </c>
      <c r="K177">
        <f>IF($U177="","",IF(INDEX('Per Invoice'!K$2:K$401,$U177)="","",INDEX('Per Invoice'!K$2:K$401,$U177)))</f>
        <v/>
      </c>
      <c r="L177" s="7">
        <f>IF($U177="","",IF(INDEX('Per Invoice'!L$2:L$401,$U177)="","",INDEX('Per Invoice'!L$2:L$401,$U177)))</f>
        <v/>
      </c>
      <c r="M177" s="7">
        <f>IF($U177="","",IF(INDEX('Per Invoice'!M$2:M$401,$U177)="","",INDEX('Per Invoice'!M$2:M$401,$U177)))</f>
        <v/>
      </c>
      <c r="N177">
        <f>IF($U177="","",IF(INDEX('Per Invoice'!N$2:N$401,$U177)="","",INDEX('Per Invoice'!N$2:N$401,$U177)))</f>
        <v/>
      </c>
      <c r="O177" s="7">
        <f>IF($U177="","",IF(INDEX('Per Invoice'!O$2:O$401,$U177)="","",INDEX('Per Invoice'!O$2:O$401,$U177)))</f>
        <v/>
      </c>
      <c r="P177" s="7">
        <f>IF($U177="","",IF(INDEX('Per Invoice'!P$2:P$401,$U177)="","",INDEX('Per Invoice'!P$2:P$401,$U177)))</f>
        <v/>
      </c>
      <c r="Q177" s="7">
        <f>IF($U177="","",IF(INDEX('Per Invoice'!Q$2:Q$401,$U177)="","",INDEX('Per Invoice'!Q$2:Q$401,$U177)))</f>
        <v/>
      </c>
      <c r="R177" s="7">
        <f>IF($U177="","",IF(INDEX('Per Invoice'!R$2:R$401,$U177)="","",INDEX('Per Invoice'!R$2:R$401,$U177)))</f>
        <v/>
      </c>
      <c r="S177" s="7">
        <f>IF($U177="","",IF(INDEX('Per Invoice'!S$2:S$401,$U177)="","",INDEX('Per Invoice'!S$2:S$401,$U177)))</f>
        <v/>
      </c>
      <c r="T177" s="7">
        <f>IF($U177="","",IF(INDEX('Per Invoice'!T$2:T$401,$U177)="","",INDEX('Per Invoice'!T$2:T$401,$U177)))</f>
        <v/>
      </c>
      <c r="U177" s="16">
        <f>IFERROR(MATCH(Settings!$C$28&amp;"|"&amp;ROWS($U$2:$U177),'Per Invoice'!$V$2:$V$401,0),"")</f>
        <v/>
      </c>
    </row>
    <row r="178">
      <c r="A178">
        <f>IF($U178="","",IF(INDEX('Per Invoice'!A$2:A$401,$U178)="","",INDEX('Per Invoice'!A$2:A$401,$U178)))</f>
        <v/>
      </c>
      <c r="B178">
        <f>IF($U178="","",IF(INDEX('Per Invoice'!B$2:B$401,$U178)="","",INDEX('Per Invoice'!B$2:B$401,$U178)))</f>
        <v/>
      </c>
      <c r="C178">
        <f>IF($U178="","",IF(INDEX('Per Invoice'!C$2:C$401,$U178)="","",INDEX('Per Invoice'!C$2:C$401,$U178)))</f>
        <v/>
      </c>
      <c r="D178">
        <f>IF($U178="","",IF(INDEX('Per Invoice'!D$2:D$401,$U178)="","",INDEX('Per Invoice'!D$2:D$401,$U178)))</f>
        <v/>
      </c>
      <c r="E178">
        <f>IF($U178="","",IF(INDEX('Per Invoice'!E$2:E$401,$U178)="","",INDEX('Per Invoice'!E$2:E$401,$U178)))</f>
        <v/>
      </c>
      <c r="F178">
        <f>IF($U178="","",IF(INDEX('Per Invoice'!F$2:F$401,$U178)="","",INDEX('Per Invoice'!F$2:F$401,$U178)))</f>
        <v/>
      </c>
      <c r="G178">
        <f>IF($U178="","",IF(INDEX('Per Invoice'!G$2:G$401,$U178)="","",INDEX('Per Invoice'!G$2:G$401,$U178)))</f>
        <v/>
      </c>
      <c r="H178" s="7">
        <f>IF($U178="","",IF(INDEX('Per Invoice'!H$2:H$401,$U178)="","",INDEX('Per Invoice'!H$2:H$401,$U178)))</f>
        <v/>
      </c>
      <c r="I178" s="14">
        <f>IF($U178="","",IF(INDEX('Per Invoice'!I$2:I$401,$U178)="","",INDEX('Per Invoice'!I$2:I$401,$U178)))</f>
        <v/>
      </c>
      <c r="J178">
        <f>IF($U178="","",IF(INDEX('Per Invoice'!J$2:J$401,$U178)="","",INDEX('Per Invoice'!J$2:J$401,$U178)))</f>
        <v/>
      </c>
      <c r="K178">
        <f>IF($U178="","",IF(INDEX('Per Invoice'!K$2:K$401,$U178)="","",INDEX('Per Invoice'!K$2:K$401,$U178)))</f>
        <v/>
      </c>
      <c r="L178" s="7">
        <f>IF($U178="","",IF(INDEX('Per Invoice'!L$2:L$401,$U178)="","",INDEX('Per Invoice'!L$2:L$401,$U178)))</f>
        <v/>
      </c>
      <c r="M178" s="7">
        <f>IF($U178="","",IF(INDEX('Per Invoice'!M$2:M$401,$U178)="","",INDEX('Per Invoice'!M$2:M$401,$U178)))</f>
        <v/>
      </c>
      <c r="N178">
        <f>IF($U178="","",IF(INDEX('Per Invoice'!N$2:N$401,$U178)="","",INDEX('Per Invoice'!N$2:N$401,$U178)))</f>
        <v/>
      </c>
      <c r="O178" s="7">
        <f>IF($U178="","",IF(INDEX('Per Invoice'!O$2:O$401,$U178)="","",INDEX('Per Invoice'!O$2:O$401,$U178)))</f>
        <v/>
      </c>
      <c r="P178" s="7">
        <f>IF($U178="","",IF(INDEX('Per Invoice'!P$2:P$401,$U178)="","",INDEX('Per Invoice'!P$2:P$401,$U178)))</f>
        <v/>
      </c>
      <c r="Q178" s="7">
        <f>IF($U178="","",IF(INDEX('Per Invoice'!Q$2:Q$401,$U178)="","",INDEX('Per Invoice'!Q$2:Q$401,$U178)))</f>
        <v/>
      </c>
      <c r="R178" s="7">
        <f>IF($U178="","",IF(INDEX('Per Invoice'!R$2:R$401,$U178)="","",INDEX('Per Invoice'!R$2:R$401,$U178)))</f>
        <v/>
      </c>
      <c r="S178" s="7">
        <f>IF($U178="","",IF(INDEX('Per Invoice'!S$2:S$401,$U178)="","",INDEX('Per Invoice'!S$2:S$401,$U178)))</f>
        <v/>
      </c>
      <c r="T178" s="7">
        <f>IF($U178="","",IF(INDEX('Per Invoice'!T$2:T$401,$U178)="","",INDEX('Per Invoice'!T$2:T$401,$U178)))</f>
        <v/>
      </c>
      <c r="U178" s="16">
        <f>IFERROR(MATCH(Settings!$C$28&amp;"|"&amp;ROWS($U$2:$U178),'Per Invoice'!$V$2:$V$401,0),"")</f>
        <v/>
      </c>
    </row>
    <row r="179">
      <c r="A179">
        <f>IF($U179="","",IF(INDEX('Per Invoice'!A$2:A$401,$U179)="","",INDEX('Per Invoice'!A$2:A$401,$U179)))</f>
        <v/>
      </c>
      <c r="B179">
        <f>IF($U179="","",IF(INDEX('Per Invoice'!B$2:B$401,$U179)="","",INDEX('Per Invoice'!B$2:B$401,$U179)))</f>
        <v/>
      </c>
      <c r="C179">
        <f>IF($U179="","",IF(INDEX('Per Invoice'!C$2:C$401,$U179)="","",INDEX('Per Invoice'!C$2:C$401,$U179)))</f>
        <v/>
      </c>
      <c r="D179">
        <f>IF($U179="","",IF(INDEX('Per Invoice'!D$2:D$401,$U179)="","",INDEX('Per Invoice'!D$2:D$401,$U179)))</f>
        <v/>
      </c>
      <c r="E179">
        <f>IF($U179="","",IF(INDEX('Per Invoice'!E$2:E$401,$U179)="","",INDEX('Per Invoice'!E$2:E$401,$U179)))</f>
        <v/>
      </c>
      <c r="F179">
        <f>IF($U179="","",IF(INDEX('Per Invoice'!F$2:F$401,$U179)="","",INDEX('Per Invoice'!F$2:F$401,$U179)))</f>
        <v/>
      </c>
      <c r="G179">
        <f>IF($U179="","",IF(INDEX('Per Invoice'!G$2:G$401,$U179)="","",INDEX('Per Invoice'!G$2:G$401,$U179)))</f>
        <v/>
      </c>
      <c r="H179" s="7">
        <f>IF($U179="","",IF(INDEX('Per Invoice'!H$2:H$401,$U179)="","",INDEX('Per Invoice'!H$2:H$401,$U179)))</f>
        <v/>
      </c>
      <c r="I179" s="14">
        <f>IF($U179="","",IF(INDEX('Per Invoice'!I$2:I$401,$U179)="","",INDEX('Per Invoice'!I$2:I$401,$U179)))</f>
        <v/>
      </c>
      <c r="J179">
        <f>IF($U179="","",IF(INDEX('Per Invoice'!J$2:J$401,$U179)="","",INDEX('Per Invoice'!J$2:J$401,$U179)))</f>
        <v/>
      </c>
      <c r="K179">
        <f>IF($U179="","",IF(INDEX('Per Invoice'!K$2:K$401,$U179)="","",INDEX('Per Invoice'!K$2:K$401,$U179)))</f>
        <v/>
      </c>
      <c r="L179" s="7">
        <f>IF($U179="","",IF(INDEX('Per Invoice'!L$2:L$401,$U179)="","",INDEX('Per Invoice'!L$2:L$401,$U179)))</f>
        <v/>
      </c>
      <c r="M179" s="7">
        <f>IF($U179="","",IF(INDEX('Per Invoice'!M$2:M$401,$U179)="","",INDEX('Per Invoice'!M$2:M$401,$U179)))</f>
        <v/>
      </c>
      <c r="N179">
        <f>IF($U179="","",IF(INDEX('Per Invoice'!N$2:N$401,$U179)="","",INDEX('Per Invoice'!N$2:N$401,$U179)))</f>
        <v/>
      </c>
      <c r="O179" s="7">
        <f>IF($U179="","",IF(INDEX('Per Invoice'!O$2:O$401,$U179)="","",INDEX('Per Invoice'!O$2:O$401,$U179)))</f>
        <v/>
      </c>
      <c r="P179" s="7">
        <f>IF($U179="","",IF(INDEX('Per Invoice'!P$2:P$401,$U179)="","",INDEX('Per Invoice'!P$2:P$401,$U179)))</f>
        <v/>
      </c>
      <c r="Q179" s="7">
        <f>IF($U179="","",IF(INDEX('Per Invoice'!Q$2:Q$401,$U179)="","",INDEX('Per Invoice'!Q$2:Q$401,$U179)))</f>
        <v/>
      </c>
      <c r="R179" s="7">
        <f>IF($U179="","",IF(INDEX('Per Invoice'!R$2:R$401,$U179)="","",INDEX('Per Invoice'!R$2:R$401,$U179)))</f>
        <v/>
      </c>
      <c r="S179" s="7">
        <f>IF($U179="","",IF(INDEX('Per Invoice'!S$2:S$401,$U179)="","",INDEX('Per Invoice'!S$2:S$401,$U179)))</f>
        <v/>
      </c>
      <c r="T179" s="7">
        <f>IF($U179="","",IF(INDEX('Per Invoice'!T$2:T$401,$U179)="","",INDEX('Per Invoice'!T$2:T$401,$U179)))</f>
        <v/>
      </c>
      <c r="U179" s="16">
        <f>IFERROR(MATCH(Settings!$C$28&amp;"|"&amp;ROWS($U$2:$U179),'Per Invoice'!$V$2:$V$401,0),"")</f>
        <v/>
      </c>
    </row>
    <row r="180">
      <c r="A180">
        <f>IF($U180="","",IF(INDEX('Per Invoice'!A$2:A$401,$U180)="","",INDEX('Per Invoice'!A$2:A$401,$U180)))</f>
        <v/>
      </c>
      <c r="B180">
        <f>IF($U180="","",IF(INDEX('Per Invoice'!B$2:B$401,$U180)="","",INDEX('Per Invoice'!B$2:B$401,$U180)))</f>
        <v/>
      </c>
      <c r="C180">
        <f>IF($U180="","",IF(INDEX('Per Invoice'!C$2:C$401,$U180)="","",INDEX('Per Invoice'!C$2:C$401,$U180)))</f>
        <v/>
      </c>
      <c r="D180">
        <f>IF($U180="","",IF(INDEX('Per Invoice'!D$2:D$401,$U180)="","",INDEX('Per Invoice'!D$2:D$401,$U180)))</f>
        <v/>
      </c>
      <c r="E180">
        <f>IF($U180="","",IF(INDEX('Per Invoice'!E$2:E$401,$U180)="","",INDEX('Per Invoice'!E$2:E$401,$U180)))</f>
        <v/>
      </c>
      <c r="F180">
        <f>IF($U180="","",IF(INDEX('Per Invoice'!F$2:F$401,$U180)="","",INDEX('Per Invoice'!F$2:F$401,$U180)))</f>
        <v/>
      </c>
      <c r="G180">
        <f>IF($U180="","",IF(INDEX('Per Invoice'!G$2:G$401,$U180)="","",INDEX('Per Invoice'!G$2:G$401,$U180)))</f>
        <v/>
      </c>
      <c r="H180" s="7">
        <f>IF($U180="","",IF(INDEX('Per Invoice'!H$2:H$401,$U180)="","",INDEX('Per Invoice'!H$2:H$401,$U180)))</f>
        <v/>
      </c>
      <c r="I180" s="14">
        <f>IF($U180="","",IF(INDEX('Per Invoice'!I$2:I$401,$U180)="","",INDEX('Per Invoice'!I$2:I$401,$U180)))</f>
        <v/>
      </c>
      <c r="J180">
        <f>IF($U180="","",IF(INDEX('Per Invoice'!J$2:J$401,$U180)="","",INDEX('Per Invoice'!J$2:J$401,$U180)))</f>
        <v/>
      </c>
      <c r="K180">
        <f>IF($U180="","",IF(INDEX('Per Invoice'!K$2:K$401,$U180)="","",INDEX('Per Invoice'!K$2:K$401,$U180)))</f>
        <v/>
      </c>
      <c r="L180" s="7">
        <f>IF($U180="","",IF(INDEX('Per Invoice'!L$2:L$401,$U180)="","",INDEX('Per Invoice'!L$2:L$401,$U180)))</f>
        <v/>
      </c>
      <c r="M180" s="7">
        <f>IF($U180="","",IF(INDEX('Per Invoice'!M$2:M$401,$U180)="","",INDEX('Per Invoice'!M$2:M$401,$U180)))</f>
        <v/>
      </c>
      <c r="N180">
        <f>IF($U180="","",IF(INDEX('Per Invoice'!N$2:N$401,$U180)="","",INDEX('Per Invoice'!N$2:N$401,$U180)))</f>
        <v/>
      </c>
      <c r="O180" s="7">
        <f>IF($U180="","",IF(INDEX('Per Invoice'!O$2:O$401,$U180)="","",INDEX('Per Invoice'!O$2:O$401,$U180)))</f>
        <v/>
      </c>
      <c r="P180" s="7">
        <f>IF($U180="","",IF(INDEX('Per Invoice'!P$2:P$401,$U180)="","",INDEX('Per Invoice'!P$2:P$401,$U180)))</f>
        <v/>
      </c>
      <c r="Q180" s="7">
        <f>IF($U180="","",IF(INDEX('Per Invoice'!Q$2:Q$401,$U180)="","",INDEX('Per Invoice'!Q$2:Q$401,$U180)))</f>
        <v/>
      </c>
      <c r="R180" s="7">
        <f>IF($U180="","",IF(INDEX('Per Invoice'!R$2:R$401,$U180)="","",INDEX('Per Invoice'!R$2:R$401,$U180)))</f>
        <v/>
      </c>
      <c r="S180" s="7">
        <f>IF($U180="","",IF(INDEX('Per Invoice'!S$2:S$401,$U180)="","",INDEX('Per Invoice'!S$2:S$401,$U180)))</f>
        <v/>
      </c>
      <c r="T180" s="7">
        <f>IF($U180="","",IF(INDEX('Per Invoice'!T$2:T$401,$U180)="","",INDEX('Per Invoice'!T$2:T$401,$U180)))</f>
        <v/>
      </c>
      <c r="U180" s="16">
        <f>IFERROR(MATCH(Settings!$C$28&amp;"|"&amp;ROWS($U$2:$U180),'Per Invoice'!$V$2:$V$401,0),"")</f>
        <v/>
      </c>
    </row>
    <row r="181">
      <c r="A181">
        <f>IF($U181="","",IF(INDEX('Per Invoice'!A$2:A$401,$U181)="","",INDEX('Per Invoice'!A$2:A$401,$U181)))</f>
        <v/>
      </c>
      <c r="B181">
        <f>IF($U181="","",IF(INDEX('Per Invoice'!B$2:B$401,$U181)="","",INDEX('Per Invoice'!B$2:B$401,$U181)))</f>
        <v/>
      </c>
      <c r="C181">
        <f>IF($U181="","",IF(INDEX('Per Invoice'!C$2:C$401,$U181)="","",INDEX('Per Invoice'!C$2:C$401,$U181)))</f>
        <v/>
      </c>
      <c r="D181">
        <f>IF($U181="","",IF(INDEX('Per Invoice'!D$2:D$401,$U181)="","",INDEX('Per Invoice'!D$2:D$401,$U181)))</f>
        <v/>
      </c>
      <c r="E181">
        <f>IF($U181="","",IF(INDEX('Per Invoice'!E$2:E$401,$U181)="","",INDEX('Per Invoice'!E$2:E$401,$U181)))</f>
        <v/>
      </c>
      <c r="F181">
        <f>IF($U181="","",IF(INDEX('Per Invoice'!F$2:F$401,$U181)="","",INDEX('Per Invoice'!F$2:F$401,$U181)))</f>
        <v/>
      </c>
      <c r="G181">
        <f>IF($U181="","",IF(INDEX('Per Invoice'!G$2:G$401,$U181)="","",INDEX('Per Invoice'!G$2:G$401,$U181)))</f>
        <v/>
      </c>
      <c r="H181" s="7">
        <f>IF($U181="","",IF(INDEX('Per Invoice'!H$2:H$401,$U181)="","",INDEX('Per Invoice'!H$2:H$401,$U181)))</f>
        <v/>
      </c>
      <c r="I181" s="14">
        <f>IF($U181="","",IF(INDEX('Per Invoice'!I$2:I$401,$U181)="","",INDEX('Per Invoice'!I$2:I$401,$U181)))</f>
        <v/>
      </c>
      <c r="J181">
        <f>IF($U181="","",IF(INDEX('Per Invoice'!J$2:J$401,$U181)="","",INDEX('Per Invoice'!J$2:J$401,$U181)))</f>
        <v/>
      </c>
      <c r="K181">
        <f>IF($U181="","",IF(INDEX('Per Invoice'!K$2:K$401,$U181)="","",INDEX('Per Invoice'!K$2:K$401,$U181)))</f>
        <v/>
      </c>
      <c r="L181" s="7">
        <f>IF($U181="","",IF(INDEX('Per Invoice'!L$2:L$401,$U181)="","",INDEX('Per Invoice'!L$2:L$401,$U181)))</f>
        <v/>
      </c>
      <c r="M181" s="7">
        <f>IF($U181="","",IF(INDEX('Per Invoice'!M$2:M$401,$U181)="","",INDEX('Per Invoice'!M$2:M$401,$U181)))</f>
        <v/>
      </c>
      <c r="N181">
        <f>IF($U181="","",IF(INDEX('Per Invoice'!N$2:N$401,$U181)="","",INDEX('Per Invoice'!N$2:N$401,$U181)))</f>
        <v/>
      </c>
      <c r="O181" s="7">
        <f>IF($U181="","",IF(INDEX('Per Invoice'!O$2:O$401,$U181)="","",INDEX('Per Invoice'!O$2:O$401,$U181)))</f>
        <v/>
      </c>
      <c r="P181" s="7">
        <f>IF($U181="","",IF(INDEX('Per Invoice'!P$2:P$401,$U181)="","",INDEX('Per Invoice'!P$2:P$401,$U181)))</f>
        <v/>
      </c>
      <c r="Q181" s="7">
        <f>IF($U181="","",IF(INDEX('Per Invoice'!Q$2:Q$401,$U181)="","",INDEX('Per Invoice'!Q$2:Q$401,$U181)))</f>
        <v/>
      </c>
      <c r="R181" s="7">
        <f>IF($U181="","",IF(INDEX('Per Invoice'!R$2:R$401,$U181)="","",INDEX('Per Invoice'!R$2:R$401,$U181)))</f>
        <v/>
      </c>
      <c r="S181" s="7">
        <f>IF($U181="","",IF(INDEX('Per Invoice'!S$2:S$401,$U181)="","",INDEX('Per Invoice'!S$2:S$401,$U181)))</f>
        <v/>
      </c>
      <c r="T181" s="7">
        <f>IF($U181="","",IF(INDEX('Per Invoice'!T$2:T$401,$U181)="","",INDEX('Per Invoice'!T$2:T$401,$U181)))</f>
        <v/>
      </c>
      <c r="U181" s="16">
        <f>IFERROR(MATCH(Settings!$C$28&amp;"|"&amp;ROWS($U$2:$U181),'Per Invoice'!$V$2:$V$401,0),"")</f>
        <v/>
      </c>
    </row>
    <row r="182">
      <c r="A182">
        <f>IF($U182="","",IF(INDEX('Per Invoice'!A$2:A$401,$U182)="","",INDEX('Per Invoice'!A$2:A$401,$U182)))</f>
        <v/>
      </c>
      <c r="B182">
        <f>IF($U182="","",IF(INDEX('Per Invoice'!B$2:B$401,$U182)="","",INDEX('Per Invoice'!B$2:B$401,$U182)))</f>
        <v/>
      </c>
      <c r="C182">
        <f>IF($U182="","",IF(INDEX('Per Invoice'!C$2:C$401,$U182)="","",INDEX('Per Invoice'!C$2:C$401,$U182)))</f>
        <v/>
      </c>
      <c r="D182">
        <f>IF($U182="","",IF(INDEX('Per Invoice'!D$2:D$401,$U182)="","",INDEX('Per Invoice'!D$2:D$401,$U182)))</f>
        <v/>
      </c>
      <c r="E182">
        <f>IF($U182="","",IF(INDEX('Per Invoice'!E$2:E$401,$U182)="","",INDEX('Per Invoice'!E$2:E$401,$U182)))</f>
        <v/>
      </c>
      <c r="F182">
        <f>IF($U182="","",IF(INDEX('Per Invoice'!F$2:F$401,$U182)="","",INDEX('Per Invoice'!F$2:F$401,$U182)))</f>
        <v/>
      </c>
      <c r="G182">
        <f>IF($U182="","",IF(INDEX('Per Invoice'!G$2:G$401,$U182)="","",INDEX('Per Invoice'!G$2:G$401,$U182)))</f>
        <v/>
      </c>
      <c r="H182" s="7">
        <f>IF($U182="","",IF(INDEX('Per Invoice'!H$2:H$401,$U182)="","",INDEX('Per Invoice'!H$2:H$401,$U182)))</f>
        <v/>
      </c>
      <c r="I182" s="14">
        <f>IF($U182="","",IF(INDEX('Per Invoice'!I$2:I$401,$U182)="","",INDEX('Per Invoice'!I$2:I$401,$U182)))</f>
        <v/>
      </c>
      <c r="J182">
        <f>IF($U182="","",IF(INDEX('Per Invoice'!J$2:J$401,$U182)="","",INDEX('Per Invoice'!J$2:J$401,$U182)))</f>
        <v/>
      </c>
      <c r="K182">
        <f>IF($U182="","",IF(INDEX('Per Invoice'!K$2:K$401,$U182)="","",INDEX('Per Invoice'!K$2:K$401,$U182)))</f>
        <v/>
      </c>
      <c r="L182" s="7">
        <f>IF($U182="","",IF(INDEX('Per Invoice'!L$2:L$401,$U182)="","",INDEX('Per Invoice'!L$2:L$401,$U182)))</f>
        <v/>
      </c>
      <c r="M182" s="7">
        <f>IF($U182="","",IF(INDEX('Per Invoice'!M$2:M$401,$U182)="","",INDEX('Per Invoice'!M$2:M$401,$U182)))</f>
        <v/>
      </c>
      <c r="N182">
        <f>IF($U182="","",IF(INDEX('Per Invoice'!N$2:N$401,$U182)="","",INDEX('Per Invoice'!N$2:N$401,$U182)))</f>
        <v/>
      </c>
      <c r="O182" s="7">
        <f>IF($U182="","",IF(INDEX('Per Invoice'!O$2:O$401,$U182)="","",INDEX('Per Invoice'!O$2:O$401,$U182)))</f>
        <v/>
      </c>
      <c r="P182" s="7">
        <f>IF($U182="","",IF(INDEX('Per Invoice'!P$2:P$401,$U182)="","",INDEX('Per Invoice'!P$2:P$401,$U182)))</f>
        <v/>
      </c>
      <c r="Q182" s="7">
        <f>IF($U182="","",IF(INDEX('Per Invoice'!Q$2:Q$401,$U182)="","",INDEX('Per Invoice'!Q$2:Q$401,$U182)))</f>
        <v/>
      </c>
      <c r="R182" s="7">
        <f>IF($U182="","",IF(INDEX('Per Invoice'!R$2:R$401,$U182)="","",INDEX('Per Invoice'!R$2:R$401,$U182)))</f>
        <v/>
      </c>
      <c r="S182" s="7">
        <f>IF($U182="","",IF(INDEX('Per Invoice'!S$2:S$401,$U182)="","",INDEX('Per Invoice'!S$2:S$401,$U182)))</f>
        <v/>
      </c>
      <c r="T182" s="7">
        <f>IF($U182="","",IF(INDEX('Per Invoice'!T$2:T$401,$U182)="","",INDEX('Per Invoice'!T$2:T$401,$U182)))</f>
        <v/>
      </c>
      <c r="U182" s="16">
        <f>IFERROR(MATCH(Settings!$C$28&amp;"|"&amp;ROWS($U$2:$U182),'Per Invoice'!$V$2:$V$401,0),"")</f>
        <v/>
      </c>
    </row>
    <row r="183">
      <c r="A183">
        <f>IF($U183="","",IF(INDEX('Per Invoice'!A$2:A$401,$U183)="","",INDEX('Per Invoice'!A$2:A$401,$U183)))</f>
        <v/>
      </c>
      <c r="B183">
        <f>IF($U183="","",IF(INDEX('Per Invoice'!B$2:B$401,$U183)="","",INDEX('Per Invoice'!B$2:B$401,$U183)))</f>
        <v/>
      </c>
      <c r="C183">
        <f>IF($U183="","",IF(INDEX('Per Invoice'!C$2:C$401,$U183)="","",INDEX('Per Invoice'!C$2:C$401,$U183)))</f>
        <v/>
      </c>
      <c r="D183">
        <f>IF($U183="","",IF(INDEX('Per Invoice'!D$2:D$401,$U183)="","",INDEX('Per Invoice'!D$2:D$401,$U183)))</f>
        <v/>
      </c>
      <c r="E183">
        <f>IF($U183="","",IF(INDEX('Per Invoice'!E$2:E$401,$U183)="","",INDEX('Per Invoice'!E$2:E$401,$U183)))</f>
        <v/>
      </c>
      <c r="F183">
        <f>IF($U183="","",IF(INDEX('Per Invoice'!F$2:F$401,$U183)="","",INDEX('Per Invoice'!F$2:F$401,$U183)))</f>
        <v/>
      </c>
      <c r="G183">
        <f>IF($U183="","",IF(INDEX('Per Invoice'!G$2:G$401,$U183)="","",INDEX('Per Invoice'!G$2:G$401,$U183)))</f>
        <v/>
      </c>
      <c r="H183" s="7">
        <f>IF($U183="","",IF(INDEX('Per Invoice'!H$2:H$401,$U183)="","",INDEX('Per Invoice'!H$2:H$401,$U183)))</f>
        <v/>
      </c>
      <c r="I183" s="14">
        <f>IF($U183="","",IF(INDEX('Per Invoice'!I$2:I$401,$U183)="","",INDEX('Per Invoice'!I$2:I$401,$U183)))</f>
        <v/>
      </c>
      <c r="J183">
        <f>IF($U183="","",IF(INDEX('Per Invoice'!J$2:J$401,$U183)="","",INDEX('Per Invoice'!J$2:J$401,$U183)))</f>
        <v/>
      </c>
      <c r="K183">
        <f>IF($U183="","",IF(INDEX('Per Invoice'!K$2:K$401,$U183)="","",INDEX('Per Invoice'!K$2:K$401,$U183)))</f>
        <v/>
      </c>
      <c r="L183" s="7">
        <f>IF($U183="","",IF(INDEX('Per Invoice'!L$2:L$401,$U183)="","",INDEX('Per Invoice'!L$2:L$401,$U183)))</f>
        <v/>
      </c>
      <c r="M183" s="7">
        <f>IF($U183="","",IF(INDEX('Per Invoice'!M$2:M$401,$U183)="","",INDEX('Per Invoice'!M$2:M$401,$U183)))</f>
        <v/>
      </c>
      <c r="N183">
        <f>IF($U183="","",IF(INDEX('Per Invoice'!N$2:N$401,$U183)="","",INDEX('Per Invoice'!N$2:N$401,$U183)))</f>
        <v/>
      </c>
      <c r="O183" s="7">
        <f>IF($U183="","",IF(INDEX('Per Invoice'!O$2:O$401,$U183)="","",INDEX('Per Invoice'!O$2:O$401,$U183)))</f>
        <v/>
      </c>
      <c r="P183" s="7">
        <f>IF($U183="","",IF(INDEX('Per Invoice'!P$2:P$401,$U183)="","",INDEX('Per Invoice'!P$2:P$401,$U183)))</f>
        <v/>
      </c>
      <c r="Q183" s="7">
        <f>IF($U183="","",IF(INDEX('Per Invoice'!Q$2:Q$401,$U183)="","",INDEX('Per Invoice'!Q$2:Q$401,$U183)))</f>
        <v/>
      </c>
      <c r="R183" s="7">
        <f>IF($U183="","",IF(INDEX('Per Invoice'!R$2:R$401,$U183)="","",INDEX('Per Invoice'!R$2:R$401,$U183)))</f>
        <v/>
      </c>
      <c r="S183" s="7">
        <f>IF($U183="","",IF(INDEX('Per Invoice'!S$2:S$401,$U183)="","",INDEX('Per Invoice'!S$2:S$401,$U183)))</f>
        <v/>
      </c>
      <c r="T183" s="7">
        <f>IF($U183="","",IF(INDEX('Per Invoice'!T$2:T$401,$U183)="","",INDEX('Per Invoice'!T$2:T$401,$U183)))</f>
        <v/>
      </c>
      <c r="U183" s="16">
        <f>IFERROR(MATCH(Settings!$C$28&amp;"|"&amp;ROWS($U$2:$U183),'Per Invoice'!$V$2:$V$401,0),"")</f>
        <v/>
      </c>
    </row>
    <row r="184">
      <c r="A184">
        <f>IF($U184="","",IF(INDEX('Per Invoice'!A$2:A$401,$U184)="","",INDEX('Per Invoice'!A$2:A$401,$U184)))</f>
        <v/>
      </c>
      <c r="B184">
        <f>IF($U184="","",IF(INDEX('Per Invoice'!B$2:B$401,$U184)="","",INDEX('Per Invoice'!B$2:B$401,$U184)))</f>
        <v/>
      </c>
      <c r="C184">
        <f>IF($U184="","",IF(INDEX('Per Invoice'!C$2:C$401,$U184)="","",INDEX('Per Invoice'!C$2:C$401,$U184)))</f>
        <v/>
      </c>
      <c r="D184">
        <f>IF($U184="","",IF(INDEX('Per Invoice'!D$2:D$401,$U184)="","",INDEX('Per Invoice'!D$2:D$401,$U184)))</f>
        <v/>
      </c>
      <c r="E184">
        <f>IF($U184="","",IF(INDEX('Per Invoice'!E$2:E$401,$U184)="","",INDEX('Per Invoice'!E$2:E$401,$U184)))</f>
        <v/>
      </c>
      <c r="F184">
        <f>IF($U184="","",IF(INDEX('Per Invoice'!F$2:F$401,$U184)="","",INDEX('Per Invoice'!F$2:F$401,$U184)))</f>
        <v/>
      </c>
      <c r="G184">
        <f>IF($U184="","",IF(INDEX('Per Invoice'!G$2:G$401,$U184)="","",INDEX('Per Invoice'!G$2:G$401,$U184)))</f>
        <v/>
      </c>
      <c r="H184" s="7">
        <f>IF($U184="","",IF(INDEX('Per Invoice'!H$2:H$401,$U184)="","",INDEX('Per Invoice'!H$2:H$401,$U184)))</f>
        <v/>
      </c>
      <c r="I184" s="14">
        <f>IF($U184="","",IF(INDEX('Per Invoice'!I$2:I$401,$U184)="","",INDEX('Per Invoice'!I$2:I$401,$U184)))</f>
        <v/>
      </c>
      <c r="J184">
        <f>IF($U184="","",IF(INDEX('Per Invoice'!J$2:J$401,$U184)="","",INDEX('Per Invoice'!J$2:J$401,$U184)))</f>
        <v/>
      </c>
      <c r="K184">
        <f>IF($U184="","",IF(INDEX('Per Invoice'!K$2:K$401,$U184)="","",INDEX('Per Invoice'!K$2:K$401,$U184)))</f>
        <v/>
      </c>
      <c r="L184" s="7">
        <f>IF($U184="","",IF(INDEX('Per Invoice'!L$2:L$401,$U184)="","",INDEX('Per Invoice'!L$2:L$401,$U184)))</f>
        <v/>
      </c>
      <c r="M184" s="7">
        <f>IF($U184="","",IF(INDEX('Per Invoice'!M$2:M$401,$U184)="","",INDEX('Per Invoice'!M$2:M$401,$U184)))</f>
        <v/>
      </c>
      <c r="N184">
        <f>IF($U184="","",IF(INDEX('Per Invoice'!N$2:N$401,$U184)="","",INDEX('Per Invoice'!N$2:N$401,$U184)))</f>
        <v/>
      </c>
      <c r="O184" s="7">
        <f>IF($U184="","",IF(INDEX('Per Invoice'!O$2:O$401,$U184)="","",INDEX('Per Invoice'!O$2:O$401,$U184)))</f>
        <v/>
      </c>
      <c r="P184" s="7">
        <f>IF($U184="","",IF(INDEX('Per Invoice'!P$2:P$401,$U184)="","",INDEX('Per Invoice'!P$2:P$401,$U184)))</f>
        <v/>
      </c>
      <c r="Q184" s="7">
        <f>IF($U184="","",IF(INDEX('Per Invoice'!Q$2:Q$401,$U184)="","",INDEX('Per Invoice'!Q$2:Q$401,$U184)))</f>
        <v/>
      </c>
      <c r="R184" s="7">
        <f>IF($U184="","",IF(INDEX('Per Invoice'!R$2:R$401,$U184)="","",INDEX('Per Invoice'!R$2:R$401,$U184)))</f>
        <v/>
      </c>
      <c r="S184" s="7">
        <f>IF($U184="","",IF(INDEX('Per Invoice'!S$2:S$401,$U184)="","",INDEX('Per Invoice'!S$2:S$401,$U184)))</f>
        <v/>
      </c>
      <c r="T184" s="7">
        <f>IF($U184="","",IF(INDEX('Per Invoice'!T$2:T$401,$U184)="","",INDEX('Per Invoice'!T$2:T$401,$U184)))</f>
        <v/>
      </c>
      <c r="U184" s="16">
        <f>IFERROR(MATCH(Settings!$C$28&amp;"|"&amp;ROWS($U$2:$U184),'Per Invoice'!$V$2:$V$401,0),"")</f>
        <v/>
      </c>
    </row>
    <row r="185">
      <c r="A185">
        <f>IF($U185="","",IF(INDEX('Per Invoice'!A$2:A$401,$U185)="","",INDEX('Per Invoice'!A$2:A$401,$U185)))</f>
        <v/>
      </c>
      <c r="B185">
        <f>IF($U185="","",IF(INDEX('Per Invoice'!B$2:B$401,$U185)="","",INDEX('Per Invoice'!B$2:B$401,$U185)))</f>
        <v/>
      </c>
      <c r="C185">
        <f>IF($U185="","",IF(INDEX('Per Invoice'!C$2:C$401,$U185)="","",INDEX('Per Invoice'!C$2:C$401,$U185)))</f>
        <v/>
      </c>
      <c r="D185">
        <f>IF($U185="","",IF(INDEX('Per Invoice'!D$2:D$401,$U185)="","",INDEX('Per Invoice'!D$2:D$401,$U185)))</f>
        <v/>
      </c>
      <c r="E185">
        <f>IF($U185="","",IF(INDEX('Per Invoice'!E$2:E$401,$U185)="","",INDEX('Per Invoice'!E$2:E$401,$U185)))</f>
        <v/>
      </c>
      <c r="F185">
        <f>IF($U185="","",IF(INDEX('Per Invoice'!F$2:F$401,$U185)="","",INDEX('Per Invoice'!F$2:F$401,$U185)))</f>
        <v/>
      </c>
      <c r="G185">
        <f>IF($U185="","",IF(INDEX('Per Invoice'!G$2:G$401,$U185)="","",INDEX('Per Invoice'!G$2:G$401,$U185)))</f>
        <v/>
      </c>
      <c r="H185" s="7">
        <f>IF($U185="","",IF(INDEX('Per Invoice'!H$2:H$401,$U185)="","",INDEX('Per Invoice'!H$2:H$401,$U185)))</f>
        <v/>
      </c>
      <c r="I185" s="14">
        <f>IF($U185="","",IF(INDEX('Per Invoice'!I$2:I$401,$U185)="","",INDEX('Per Invoice'!I$2:I$401,$U185)))</f>
        <v/>
      </c>
      <c r="J185">
        <f>IF($U185="","",IF(INDEX('Per Invoice'!J$2:J$401,$U185)="","",INDEX('Per Invoice'!J$2:J$401,$U185)))</f>
        <v/>
      </c>
      <c r="K185">
        <f>IF($U185="","",IF(INDEX('Per Invoice'!K$2:K$401,$U185)="","",INDEX('Per Invoice'!K$2:K$401,$U185)))</f>
        <v/>
      </c>
      <c r="L185" s="7">
        <f>IF($U185="","",IF(INDEX('Per Invoice'!L$2:L$401,$U185)="","",INDEX('Per Invoice'!L$2:L$401,$U185)))</f>
        <v/>
      </c>
      <c r="M185" s="7">
        <f>IF($U185="","",IF(INDEX('Per Invoice'!M$2:M$401,$U185)="","",INDEX('Per Invoice'!M$2:M$401,$U185)))</f>
        <v/>
      </c>
      <c r="N185">
        <f>IF($U185="","",IF(INDEX('Per Invoice'!N$2:N$401,$U185)="","",INDEX('Per Invoice'!N$2:N$401,$U185)))</f>
        <v/>
      </c>
      <c r="O185" s="7">
        <f>IF($U185="","",IF(INDEX('Per Invoice'!O$2:O$401,$U185)="","",INDEX('Per Invoice'!O$2:O$401,$U185)))</f>
        <v/>
      </c>
      <c r="P185" s="7">
        <f>IF($U185="","",IF(INDEX('Per Invoice'!P$2:P$401,$U185)="","",INDEX('Per Invoice'!P$2:P$401,$U185)))</f>
        <v/>
      </c>
      <c r="Q185" s="7">
        <f>IF($U185="","",IF(INDEX('Per Invoice'!Q$2:Q$401,$U185)="","",INDEX('Per Invoice'!Q$2:Q$401,$U185)))</f>
        <v/>
      </c>
      <c r="R185" s="7">
        <f>IF($U185="","",IF(INDEX('Per Invoice'!R$2:R$401,$U185)="","",INDEX('Per Invoice'!R$2:R$401,$U185)))</f>
        <v/>
      </c>
      <c r="S185" s="7">
        <f>IF($U185="","",IF(INDEX('Per Invoice'!S$2:S$401,$U185)="","",INDEX('Per Invoice'!S$2:S$401,$U185)))</f>
        <v/>
      </c>
      <c r="T185" s="7">
        <f>IF($U185="","",IF(INDEX('Per Invoice'!T$2:T$401,$U185)="","",INDEX('Per Invoice'!T$2:T$401,$U185)))</f>
        <v/>
      </c>
      <c r="U185" s="16">
        <f>IFERROR(MATCH(Settings!$C$28&amp;"|"&amp;ROWS($U$2:$U185),'Per Invoice'!$V$2:$V$401,0),"")</f>
        <v/>
      </c>
    </row>
    <row r="186">
      <c r="A186">
        <f>IF($U186="","",IF(INDEX('Per Invoice'!A$2:A$401,$U186)="","",INDEX('Per Invoice'!A$2:A$401,$U186)))</f>
        <v/>
      </c>
      <c r="B186">
        <f>IF($U186="","",IF(INDEX('Per Invoice'!B$2:B$401,$U186)="","",INDEX('Per Invoice'!B$2:B$401,$U186)))</f>
        <v/>
      </c>
      <c r="C186">
        <f>IF($U186="","",IF(INDEX('Per Invoice'!C$2:C$401,$U186)="","",INDEX('Per Invoice'!C$2:C$401,$U186)))</f>
        <v/>
      </c>
      <c r="D186">
        <f>IF($U186="","",IF(INDEX('Per Invoice'!D$2:D$401,$U186)="","",INDEX('Per Invoice'!D$2:D$401,$U186)))</f>
        <v/>
      </c>
      <c r="E186">
        <f>IF($U186="","",IF(INDEX('Per Invoice'!E$2:E$401,$U186)="","",INDEX('Per Invoice'!E$2:E$401,$U186)))</f>
        <v/>
      </c>
      <c r="F186">
        <f>IF($U186="","",IF(INDEX('Per Invoice'!F$2:F$401,$U186)="","",INDEX('Per Invoice'!F$2:F$401,$U186)))</f>
        <v/>
      </c>
      <c r="G186">
        <f>IF($U186="","",IF(INDEX('Per Invoice'!G$2:G$401,$U186)="","",INDEX('Per Invoice'!G$2:G$401,$U186)))</f>
        <v/>
      </c>
      <c r="H186" s="7">
        <f>IF($U186="","",IF(INDEX('Per Invoice'!H$2:H$401,$U186)="","",INDEX('Per Invoice'!H$2:H$401,$U186)))</f>
        <v/>
      </c>
      <c r="I186" s="14">
        <f>IF($U186="","",IF(INDEX('Per Invoice'!I$2:I$401,$U186)="","",INDEX('Per Invoice'!I$2:I$401,$U186)))</f>
        <v/>
      </c>
      <c r="J186">
        <f>IF($U186="","",IF(INDEX('Per Invoice'!J$2:J$401,$U186)="","",INDEX('Per Invoice'!J$2:J$401,$U186)))</f>
        <v/>
      </c>
      <c r="K186">
        <f>IF($U186="","",IF(INDEX('Per Invoice'!K$2:K$401,$U186)="","",INDEX('Per Invoice'!K$2:K$401,$U186)))</f>
        <v/>
      </c>
      <c r="L186" s="7">
        <f>IF($U186="","",IF(INDEX('Per Invoice'!L$2:L$401,$U186)="","",INDEX('Per Invoice'!L$2:L$401,$U186)))</f>
        <v/>
      </c>
      <c r="M186" s="7">
        <f>IF($U186="","",IF(INDEX('Per Invoice'!M$2:M$401,$U186)="","",INDEX('Per Invoice'!M$2:M$401,$U186)))</f>
        <v/>
      </c>
      <c r="N186">
        <f>IF($U186="","",IF(INDEX('Per Invoice'!N$2:N$401,$U186)="","",INDEX('Per Invoice'!N$2:N$401,$U186)))</f>
        <v/>
      </c>
      <c r="O186" s="7">
        <f>IF($U186="","",IF(INDEX('Per Invoice'!O$2:O$401,$U186)="","",INDEX('Per Invoice'!O$2:O$401,$U186)))</f>
        <v/>
      </c>
      <c r="P186" s="7">
        <f>IF($U186="","",IF(INDEX('Per Invoice'!P$2:P$401,$U186)="","",INDEX('Per Invoice'!P$2:P$401,$U186)))</f>
        <v/>
      </c>
      <c r="Q186" s="7">
        <f>IF($U186="","",IF(INDEX('Per Invoice'!Q$2:Q$401,$U186)="","",INDEX('Per Invoice'!Q$2:Q$401,$U186)))</f>
        <v/>
      </c>
      <c r="R186" s="7">
        <f>IF($U186="","",IF(INDEX('Per Invoice'!R$2:R$401,$U186)="","",INDEX('Per Invoice'!R$2:R$401,$U186)))</f>
        <v/>
      </c>
      <c r="S186" s="7">
        <f>IF($U186="","",IF(INDEX('Per Invoice'!S$2:S$401,$U186)="","",INDEX('Per Invoice'!S$2:S$401,$U186)))</f>
        <v/>
      </c>
      <c r="T186" s="7">
        <f>IF($U186="","",IF(INDEX('Per Invoice'!T$2:T$401,$U186)="","",INDEX('Per Invoice'!T$2:T$401,$U186)))</f>
        <v/>
      </c>
      <c r="U186" s="16">
        <f>IFERROR(MATCH(Settings!$C$28&amp;"|"&amp;ROWS($U$2:$U186),'Per Invoice'!$V$2:$V$401,0),"")</f>
        <v/>
      </c>
    </row>
    <row r="187">
      <c r="A187">
        <f>IF($U187="","",IF(INDEX('Per Invoice'!A$2:A$401,$U187)="","",INDEX('Per Invoice'!A$2:A$401,$U187)))</f>
        <v/>
      </c>
      <c r="B187">
        <f>IF($U187="","",IF(INDEX('Per Invoice'!B$2:B$401,$U187)="","",INDEX('Per Invoice'!B$2:B$401,$U187)))</f>
        <v/>
      </c>
      <c r="C187">
        <f>IF($U187="","",IF(INDEX('Per Invoice'!C$2:C$401,$U187)="","",INDEX('Per Invoice'!C$2:C$401,$U187)))</f>
        <v/>
      </c>
      <c r="D187">
        <f>IF($U187="","",IF(INDEX('Per Invoice'!D$2:D$401,$U187)="","",INDEX('Per Invoice'!D$2:D$401,$U187)))</f>
        <v/>
      </c>
      <c r="E187">
        <f>IF($U187="","",IF(INDEX('Per Invoice'!E$2:E$401,$U187)="","",INDEX('Per Invoice'!E$2:E$401,$U187)))</f>
        <v/>
      </c>
      <c r="F187">
        <f>IF($U187="","",IF(INDEX('Per Invoice'!F$2:F$401,$U187)="","",INDEX('Per Invoice'!F$2:F$401,$U187)))</f>
        <v/>
      </c>
      <c r="G187">
        <f>IF($U187="","",IF(INDEX('Per Invoice'!G$2:G$401,$U187)="","",INDEX('Per Invoice'!G$2:G$401,$U187)))</f>
        <v/>
      </c>
      <c r="H187" s="7">
        <f>IF($U187="","",IF(INDEX('Per Invoice'!H$2:H$401,$U187)="","",INDEX('Per Invoice'!H$2:H$401,$U187)))</f>
        <v/>
      </c>
      <c r="I187" s="14">
        <f>IF($U187="","",IF(INDEX('Per Invoice'!I$2:I$401,$U187)="","",INDEX('Per Invoice'!I$2:I$401,$U187)))</f>
        <v/>
      </c>
      <c r="J187">
        <f>IF($U187="","",IF(INDEX('Per Invoice'!J$2:J$401,$U187)="","",INDEX('Per Invoice'!J$2:J$401,$U187)))</f>
        <v/>
      </c>
      <c r="K187">
        <f>IF($U187="","",IF(INDEX('Per Invoice'!K$2:K$401,$U187)="","",INDEX('Per Invoice'!K$2:K$401,$U187)))</f>
        <v/>
      </c>
      <c r="L187" s="7">
        <f>IF($U187="","",IF(INDEX('Per Invoice'!L$2:L$401,$U187)="","",INDEX('Per Invoice'!L$2:L$401,$U187)))</f>
        <v/>
      </c>
      <c r="M187" s="7">
        <f>IF($U187="","",IF(INDEX('Per Invoice'!M$2:M$401,$U187)="","",INDEX('Per Invoice'!M$2:M$401,$U187)))</f>
        <v/>
      </c>
      <c r="N187">
        <f>IF($U187="","",IF(INDEX('Per Invoice'!N$2:N$401,$U187)="","",INDEX('Per Invoice'!N$2:N$401,$U187)))</f>
        <v/>
      </c>
      <c r="O187" s="7">
        <f>IF($U187="","",IF(INDEX('Per Invoice'!O$2:O$401,$U187)="","",INDEX('Per Invoice'!O$2:O$401,$U187)))</f>
        <v/>
      </c>
      <c r="P187" s="7">
        <f>IF($U187="","",IF(INDEX('Per Invoice'!P$2:P$401,$U187)="","",INDEX('Per Invoice'!P$2:P$401,$U187)))</f>
        <v/>
      </c>
      <c r="Q187" s="7">
        <f>IF($U187="","",IF(INDEX('Per Invoice'!Q$2:Q$401,$U187)="","",INDEX('Per Invoice'!Q$2:Q$401,$U187)))</f>
        <v/>
      </c>
      <c r="R187" s="7">
        <f>IF($U187="","",IF(INDEX('Per Invoice'!R$2:R$401,$U187)="","",INDEX('Per Invoice'!R$2:R$401,$U187)))</f>
        <v/>
      </c>
      <c r="S187" s="7">
        <f>IF($U187="","",IF(INDEX('Per Invoice'!S$2:S$401,$U187)="","",INDEX('Per Invoice'!S$2:S$401,$U187)))</f>
        <v/>
      </c>
      <c r="T187" s="7">
        <f>IF($U187="","",IF(INDEX('Per Invoice'!T$2:T$401,$U187)="","",INDEX('Per Invoice'!T$2:T$401,$U187)))</f>
        <v/>
      </c>
      <c r="U187" s="16">
        <f>IFERROR(MATCH(Settings!$C$28&amp;"|"&amp;ROWS($U$2:$U187),'Per Invoice'!$V$2:$V$401,0),"")</f>
        <v/>
      </c>
    </row>
    <row r="188">
      <c r="A188">
        <f>IF($U188="","",IF(INDEX('Per Invoice'!A$2:A$401,$U188)="","",INDEX('Per Invoice'!A$2:A$401,$U188)))</f>
        <v/>
      </c>
      <c r="B188">
        <f>IF($U188="","",IF(INDEX('Per Invoice'!B$2:B$401,$U188)="","",INDEX('Per Invoice'!B$2:B$401,$U188)))</f>
        <v/>
      </c>
      <c r="C188">
        <f>IF($U188="","",IF(INDEX('Per Invoice'!C$2:C$401,$U188)="","",INDEX('Per Invoice'!C$2:C$401,$U188)))</f>
        <v/>
      </c>
      <c r="D188">
        <f>IF($U188="","",IF(INDEX('Per Invoice'!D$2:D$401,$U188)="","",INDEX('Per Invoice'!D$2:D$401,$U188)))</f>
        <v/>
      </c>
      <c r="E188">
        <f>IF($U188="","",IF(INDEX('Per Invoice'!E$2:E$401,$U188)="","",INDEX('Per Invoice'!E$2:E$401,$U188)))</f>
        <v/>
      </c>
      <c r="F188">
        <f>IF($U188="","",IF(INDEX('Per Invoice'!F$2:F$401,$U188)="","",INDEX('Per Invoice'!F$2:F$401,$U188)))</f>
        <v/>
      </c>
      <c r="G188">
        <f>IF($U188="","",IF(INDEX('Per Invoice'!G$2:G$401,$U188)="","",INDEX('Per Invoice'!G$2:G$401,$U188)))</f>
        <v/>
      </c>
      <c r="H188" s="7">
        <f>IF($U188="","",IF(INDEX('Per Invoice'!H$2:H$401,$U188)="","",INDEX('Per Invoice'!H$2:H$401,$U188)))</f>
        <v/>
      </c>
      <c r="I188" s="14">
        <f>IF($U188="","",IF(INDEX('Per Invoice'!I$2:I$401,$U188)="","",INDEX('Per Invoice'!I$2:I$401,$U188)))</f>
        <v/>
      </c>
      <c r="J188">
        <f>IF($U188="","",IF(INDEX('Per Invoice'!J$2:J$401,$U188)="","",INDEX('Per Invoice'!J$2:J$401,$U188)))</f>
        <v/>
      </c>
      <c r="K188">
        <f>IF($U188="","",IF(INDEX('Per Invoice'!K$2:K$401,$U188)="","",INDEX('Per Invoice'!K$2:K$401,$U188)))</f>
        <v/>
      </c>
      <c r="L188" s="7">
        <f>IF($U188="","",IF(INDEX('Per Invoice'!L$2:L$401,$U188)="","",INDEX('Per Invoice'!L$2:L$401,$U188)))</f>
        <v/>
      </c>
      <c r="M188" s="7">
        <f>IF($U188="","",IF(INDEX('Per Invoice'!M$2:M$401,$U188)="","",INDEX('Per Invoice'!M$2:M$401,$U188)))</f>
        <v/>
      </c>
      <c r="N188">
        <f>IF($U188="","",IF(INDEX('Per Invoice'!N$2:N$401,$U188)="","",INDEX('Per Invoice'!N$2:N$401,$U188)))</f>
        <v/>
      </c>
      <c r="O188" s="7">
        <f>IF($U188="","",IF(INDEX('Per Invoice'!O$2:O$401,$U188)="","",INDEX('Per Invoice'!O$2:O$401,$U188)))</f>
        <v/>
      </c>
      <c r="P188" s="7">
        <f>IF($U188="","",IF(INDEX('Per Invoice'!P$2:P$401,$U188)="","",INDEX('Per Invoice'!P$2:P$401,$U188)))</f>
        <v/>
      </c>
      <c r="Q188" s="7">
        <f>IF($U188="","",IF(INDEX('Per Invoice'!Q$2:Q$401,$U188)="","",INDEX('Per Invoice'!Q$2:Q$401,$U188)))</f>
        <v/>
      </c>
      <c r="R188" s="7">
        <f>IF($U188="","",IF(INDEX('Per Invoice'!R$2:R$401,$U188)="","",INDEX('Per Invoice'!R$2:R$401,$U188)))</f>
        <v/>
      </c>
      <c r="S188" s="7">
        <f>IF($U188="","",IF(INDEX('Per Invoice'!S$2:S$401,$U188)="","",INDEX('Per Invoice'!S$2:S$401,$U188)))</f>
        <v/>
      </c>
      <c r="T188" s="7">
        <f>IF($U188="","",IF(INDEX('Per Invoice'!T$2:T$401,$U188)="","",INDEX('Per Invoice'!T$2:T$401,$U188)))</f>
        <v/>
      </c>
      <c r="U188" s="16">
        <f>IFERROR(MATCH(Settings!$C$28&amp;"|"&amp;ROWS($U$2:$U188),'Per Invoice'!$V$2:$V$401,0),"")</f>
        <v/>
      </c>
    </row>
    <row r="189">
      <c r="A189">
        <f>IF($U189="","",IF(INDEX('Per Invoice'!A$2:A$401,$U189)="","",INDEX('Per Invoice'!A$2:A$401,$U189)))</f>
        <v/>
      </c>
      <c r="B189">
        <f>IF($U189="","",IF(INDEX('Per Invoice'!B$2:B$401,$U189)="","",INDEX('Per Invoice'!B$2:B$401,$U189)))</f>
        <v/>
      </c>
      <c r="C189">
        <f>IF($U189="","",IF(INDEX('Per Invoice'!C$2:C$401,$U189)="","",INDEX('Per Invoice'!C$2:C$401,$U189)))</f>
        <v/>
      </c>
      <c r="D189">
        <f>IF($U189="","",IF(INDEX('Per Invoice'!D$2:D$401,$U189)="","",INDEX('Per Invoice'!D$2:D$401,$U189)))</f>
        <v/>
      </c>
      <c r="E189">
        <f>IF($U189="","",IF(INDEX('Per Invoice'!E$2:E$401,$U189)="","",INDEX('Per Invoice'!E$2:E$401,$U189)))</f>
        <v/>
      </c>
      <c r="F189">
        <f>IF($U189="","",IF(INDEX('Per Invoice'!F$2:F$401,$U189)="","",INDEX('Per Invoice'!F$2:F$401,$U189)))</f>
        <v/>
      </c>
      <c r="G189">
        <f>IF($U189="","",IF(INDEX('Per Invoice'!G$2:G$401,$U189)="","",INDEX('Per Invoice'!G$2:G$401,$U189)))</f>
        <v/>
      </c>
      <c r="H189" s="7">
        <f>IF($U189="","",IF(INDEX('Per Invoice'!H$2:H$401,$U189)="","",INDEX('Per Invoice'!H$2:H$401,$U189)))</f>
        <v/>
      </c>
      <c r="I189" s="14">
        <f>IF($U189="","",IF(INDEX('Per Invoice'!I$2:I$401,$U189)="","",INDEX('Per Invoice'!I$2:I$401,$U189)))</f>
        <v/>
      </c>
      <c r="J189">
        <f>IF($U189="","",IF(INDEX('Per Invoice'!J$2:J$401,$U189)="","",INDEX('Per Invoice'!J$2:J$401,$U189)))</f>
        <v/>
      </c>
      <c r="K189">
        <f>IF($U189="","",IF(INDEX('Per Invoice'!K$2:K$401,$U189)="","",INDEX('Per Invoice'!K$2:K$401,$U189)))</f>
        <v/>
      </c>
      <c r="L189" s="7">
        <f>IF($U189="","",IF(INDEX('Per Invoice'!L$2:L$401,$U189)="","",INDEX('Per Invoice'!L$2:L$401,$U189)))</f>
        <v/>
      </c>
      <c r="M189" s="7">
        <f>IF($U189="","",IF(INDEX('Per Invoice'!M$2:M$401,$U189)="","",INDEX('Per Invoice'!M$2:M$401,$U189)))</f>
        <v/>
      </c>
      <c r="N189">
        <f>IF($U189="","",IF(INDEX('Per Invoice'!N$2:N$401,$U189)="","",INDEX('Per Invoice'!N$2:N$401,$U189)))</f>
        <v/>
      </c>
      <c r="O189" s="7">
        <f>IF($U189="","",IF(INDEX('Per Invoice'!O$2:O$401,$U189)="","",INDEX('Per Invoice'!O$2:O$401,$U189)))</f>
        <v/>
      </c>
      <c r="P189" s="7">
        <f>IF($U189="","",IF(INDEX('Per Invoice'!P$2:P$401,$U189)="","",INDEX('Per Invoice'!P$2:P$401,$U189)))</f>
        <v/>
      </c>
      <c r="Q189" s="7">
        <f>IF($U189="","",IF(INDEX('Per Invoice'!Q$2:Q$401,$U189)="","",INDEX('Per Invoice'!Q$2:Q$401,$U189)))</f>
        <v/>
      </c>
      <c r="R189" s="7">
        <f>IF($U189="","",IF(INDEX('Per Invoice'!R$2:R$401,$U189)="","",INDEX('Per Invoice'!R$2:R$401,$U189)))</f>
        <v/>
      </c>
      <c r="S189" s="7">
        <f>IF($U189="","",IF(INDEX('Per Invoice'!S$2:S$401,$U189)="","",INDEX('Per Invoice'!S$2:S$401,$U189)))</f>
        <v/>
      </c>
      <c r="T189" s="7">
        <f>IF($U189="","",IF(INDEX('Per Invoice'!T$2:T$401,$U189)="","",INDEX('Per Invoice'!T$2:T$401,$U189)))</f>
        <v/>
      </c>
      <c r="U189" s="16">
        <f>IFERROR(MATCH(Settings!$C$28&amp;"|"&amp;ROWS($U$2:$U189),'Per Invoice'!$V$2:$V$401,0),"")</f>
        <v/>
      </c>
    </row>
    <row r="190">
      <c r="A190">
        <f>IF($U190="","",IF(INDEX('Per Invoice'!A$2:A$401,$U190)="","",INDEX('Per Invoice'!A$2:A$401,$U190)))</f>
        <v/>
      </c>
      <c r="B190">
        <f>IF($U190="","",IF(INDEX('Per Invoice'!B$2:B$401,$U190)="","",INDEX('Per Invoice'!B$2:B$401,$U190)))</f>
        <v/>
      </c>
      <c r="C190">
        <f>IF($U190="","",IF(INDEX('Per Invoice'!C$2:C$401,$U190)="","",INDEX('Per Invoice'!C$2:C$401,$U190)))</f>
        <v/>
      </c>
      <c r="D190">
        <f>IF($U190="","",IF(INDEX('Per Invoice'!D$2:D$401,$U190)="","",INDEX('Per Invoice'!D$2:D$401,$U190)))</f>
        <v/>
      </c>
      <c r="E190">
        <f>IF($U190="","",IF(INDEX('Per Invoice'!E$2:E$401,$U190)="","",INDEX('Per Invoice'!E$2:E$401,$U190)))</f>
        <v/>
      </c>
      <c r="F190">
        <f>IF($U190="","",IF(INDEX('Per Invoice'!F$2:F$401,$U190)="","",INDEX('Per Invoice'!F$2:F$401,$U190)))</f>
        <v/>
      </c>
      <c r="G190">
        <f>IF($U190="","",IF(INDEX('Per Invoice'!G$2:G$401,$U190)="","",INDEX('Per Invoice'!G$2:G$401,$U190)))</f>
        <v/>
      </c>
      <c r="H190" s="7">
        <f>IF($U190="","",IF(INDEX('Per Invoice'!H$2:H$401,$U190)="","",INDEX('Per Invoice'!H$2:H$401,$U190)))</f>
        <v/>
      </c>
      <c r="I190" s="14">
        <f>IF($U190="","",IF(INDEX('Per Invoice'!I$2:I$401,$U190)="","",INDEX('Per Invoice'!I$2:I$401,$U190)))</f>
        <v/>
      </c>
      <c r="J190">
        <f>IF($U190="","",IF(INDEX('Per Invoice'!J$2:J$401,$U190)="","",INDEX('Per Invoice'!J$2:J$401,$U190)))</f>
        <v/>
      </c>
      <c r="K190">
        <f>IF($U190="","",IF(INDEX('Per Invoice'!K$2:K$401,$U190)="","",INDEX('Per Invoice'!K$2:K$401,$U190)))</f>
        <v/>
      </c>
      <c r="L190" s="7">
        <f>IF($U190="","",IF(INDEX('Per Invoice'!L$2:L$401,$U190)="","",INDEX('Per Invoice'!L$2:L$401,$U190)))</f>
        <v/>
      </c>
      <c r="M190" s="7">
        <f>IF($U190="","",IF(INDEX('Per Invoice'!M$2:M$401,$U190)="","",INDEX('Per Invoice'!M$2:M$401,$U190)))</f>
        <v/>
      </c>
      <c r="N190">
        <f>IF($U190="","",IF(INDEX('Per Invoice'!N$2:N$401,$U190)="","",INDEX('Per Invoice'!N$2:N$401,$U190)))</f>
        <v/>
      </c>
      <c r="O190" s="7">
        <f>IF($U190="","",IF(INDEX('Per Invoice'!O$2:O$401,$U190)="","",INDEX('Per Invoice'!O$2:O$401,$U190)))</f>
        <v/>
      </c>
      <c r="P190" s="7">
        <f>IF($U190="","",IF(INDEX('Per Invoice'!P$2:P$401,$U190)="","",INDEX('Per Invoice'!P$2:P$401,$U190)))</f>
        <v/>
      </c>
      <c r="Q190" s="7">
        <f>IF($U190="","",IF(INDEX('Per Invoice'!Q$2:Q$401,$U190)="","",INDEX('Per Invoice'!Q$2:Q$401,$U190)))</f>
        <v/>
      </c>
      <c r="R190" s="7">
        <f>IF($U190="","",IF(INDEX('Per Invoice'!R$2:R$401,$U190)="","",INDEX('Per Invoice'!R$2:R$401,$U190)))</f>
        <v/>
      </c>
      <c r="S190" s="7">
        <f>IF($U190="","",IF(INDEX('Per Invoice'!S$2:S$401,$U190)="","",INDEX('Per Invoice'!S$2:S$401,$U190)))</f>
        <v/>
      </c>
      <c r="T190" s="7">
        <f>IF($U190="","",IF(INDEX('Per Invoice'!T$2:T$401,$U190)="","",INDEX('Per Invoice'!T$2:T$401,$U190)))</f>
        <v/>
      </c>
      <c r="U190" s="16">
        <f>IFERROR(MATCH(Settings!$C$28&amp;"|"&amp;ROWS($U$2:$U190),'Per Invoice'!$V$2:$V$401,0),"")</f>
        <v/>
      </c>
    </row>
    <row r="191">
      <c r="A191">
        <f>IF($U191="","",IF(INDEX('Per Invoice'!A$2:A$401,$U191)="","",INDEX('Per Invoice'!A$2:A$401,$U191)))</f>
        <v/>
      </c>
      <c r="B191">
        <f>IF($U191="","",IF(INDEX('Per Invoice'!B$2:B$401,$U191)="","",INDEX('Per Invoice'!B$2:B$401,$U191)))</f>
        <v/>
      </c>
      <c r="C191">
        <f>IF($U191="","",IF(INDEX('Per Invoice'!C$2:C$401,$U191)="","",INDEX('Per Invoice'!C$2:C$401,$U191)))</f>
        <v/>
      </c>
      <c r="D191">
        <f>IF($U191="","",IF(INDEX('Per Invoice'!D$2:D$401,$U191)="","",INDEX('Per Invoice'!D$2:D$401,$U191)))</f>
        <v/>
      </c>
      <c r="E191">
        <f>IF($U191="","",IF(INDEX('Per Invoice'!E$2:E$401,$U191)="","",INDEX('Per Invoice'!E$2:E$401,$U191)))</f>
        <v/>
      </c>
      <c r="F191">
        <f>IF($U191="","",IF(INDEX('Per Invoice'!F$2:F$401,$U191)="","",INDEX('Per Invoice'!F$2:F$401,$U191)))</f>
        <v/>
      </c>
      <c r="G191">
        <f>IF($U191="","",IF(INDEX('Per Invoice'!G$2:G$401,$U191)="","",INDEX('Per Invoice'!G$2:G$401,$U191)))</f>
        <v/>
      </c>
      <c r="H191" s="7">
        <f>IF($U191="","",IF(INDEX('Per Invoice'!H$2:H$401,$U191)="","",INDEX('Per Invoice'!H$2:H$401,$U191)))</f>
        <v/>
      </c>
      <c r="I191" s="14">
        <f>IF($U191="","",IF(INDEX('Per Invoice'!I$2:I$401,$U191)="","",INDEX('Per Invoice'!I$2:I$401,$U191)))</f>
        <v/>
      </c>
      <c r="J191">
        <f>IF($U191="","",IF(INDEX('Per Invoice'!J$2:J$401,$U191)="","",INDEX('Per Invoice'!J$2:J$401,$U191)))</f>
        <v/>
      </c>
      <c r="K191">
        <f>IF($U191="","",IF(INDEX('Per Invoice'!K$2:K$401,$U191)="","",INDEX('Per Invoice'!K$2:K$401,$U191)))</f>
        <v/>
      </c>
      <c r="L191" s="7">
        <f>IF($U191="","",IF(INDEX('Per Invoice'!L$2:L$401,$U191)="","",INDEX('Per Invoice'!L$2:L$401,$U191)))</f>
        <v/>
      </c>
      <c r="M191" s="7">
        <f>IF($U191="","",IF(INDEX('Per Invoice'!M$2:M$401,$U191)="","",INDEX('Per Invoice'!M$2:M$401,$U191)))</f>
        <v/>
      </c>
      <c r="N191">
        <f>IF($U191="","",IF(INDEX('Per Invoice'!N$2:N$401,$U191)="","",INDEX('Per Invoice'!N$2:N$401,$U191)))</f>
        <v/>
      </c>
      <c r="O191" s="7">
        <f>IF($U191="","",IF(INDEX('Per Invoice'!O$2:O$401,$U191)="","",INDEX('Per Invoice'!O$2:O$401,$U191)))</f>
        <v/>
      </c>
      <c r="P191" s="7">
        <f>IF($U191="","",IF(INDEX('Per Invoice'!P$2:P$401,$U191)="","",INDEX('Per Invoice'!P$2:P$401,$U191)))</f>
        <v/>
      </c>
      <c r="Q191" s="7">
        <f>IF($U191="","",IF(INDEX('Per Invoice'!Q$2:Q$401,$U191)="","",INDEX('Per Invoice'!Q$2:Q$401,$U191)))</f>
        <v/>
      </c>
      <c r="R191" s="7">
        <f>IF($U191="","",IF(INDEX('Per Invoice'!R$2:R$401,$U191)="","",INDEX('Per Invoice'!R$2:R$401,$U191)))</f>
        <v/>
      </c>
      <c r="S191" s="7">
        <f>IF($U191="","",IF(INDEX('Per Invoice'!S$2:S$401,$U191)="","",INDEX('Per Invoice'!S$2:S$401,$U191)))</f>
        <v/>
      </c>
      <c r="T191" s="7">
        <f>IF($U191="","",IF(INDEX('Per Invoice'!T$2:T$401,$U191)="","",INDEX('Per Invoice'!T$2:T$401,$U191)))</f>
        <v/>
      </c>
      <c r="U191" s="16">
        <f>IFERROR(MATCH(Settings!$C$28&amp;"|"&amp;ROWS($U$2:$U191),'Per Invoice'!$V$2:$V$401,0),"")</f>
        <v/>
      </c>
    </row>
    <row r="192">
      <c r="A192">
        <f>IF($U192="","",IF(INDEX('Per Invoice'!A$2:A$401,$U192)="","",INDEX('Per Invoice'!A$2:A$401,$U192)))</f>
        <v/>
      </c>
      <c r="B192">
        <f>IF($U192="","",IF(INDEX('Per Invoice'!B$2:B$401,$U192)="","",INDEX('Per Invoice'!B$2:B$401,$U192)))</f>
        <v/>
      </c>
      <c r="C192">
        <f>IF($U192="","",IF(INDEX('Per Invoice'!C$2:C$401,$U192)="","",INDEX('Per Invoice'!C$2:C$401,$U192)))</f>
        <v/>
      </c>
      <c r="D192">
        <f>IF($U192="","",IF(INDEX('Per Invoice'!D$2:D$401,$U192)="","",INDEX('Per Invoice'!D$2:D$401,$U192)))</f>
        <v/>
      </c>
      <c r="E192">
        <f>IF($U192="","",IF(INDEX('Per Invoice'!E$2:E$401,$U192)="","",INDEX('Per Invoice'!E$2:E$401,$U192)))</f>
        <v/>
      </c>
      <c r="F192">
        <f>IF($U192="","",IF(INDEX('Per Invoice'!F$2:F$401,$U192)="","",INDEX('Per Invoice'!F$2:F$401,$U192)))</f>
        <v/>
      </c>
      <c r="G192">
        <f>IF($U192="","",IF(INDEX('Per Invoice'!G$2:G$401,$U192)="","",INDEX('Per Invoice'!G$2:G$401,$U192)))</f>
        <v/>
      </c>
      <c r="H192" s="7">
        <f>IF($U192="","",IF(INDEX('Per Invoice'!H$2:H$401,$U192)="","",INDEX('Per Invoice'!H$2:H$401,$U192)))</f>
        <v/>
      </c>
      <c r="I192" s="14">
        <f>IF($U192="","",IF(INDEX('Per Invoice'!I$2:I$401,$U192)="","",INDEX('Per Invoice'!I$2:I$401,$U192)))</f>
        <v/>
      </c>
      <c r="J192">
        <f>IF($U192="","",IF(INDEX('Per Invoice'!J$2:J$401,$U192)="","",INDEX('Per Invoice'!J$2:J$401,$U192)))</f>
        <v/>
      </c>
      <c r="K192">
        <f>IF($U192="","",IF(INDEX('Per Invoice'!K$2:K$401,$U192)="","",INDEX('Per Invoice'!K$2:K$401,$U192)))</f>
        <v/>
      </c>
      <c r="L192" s="7">
        <f>IF($U192="","",IF(INDEX('Per Invoice'!L$2:L$401,$U192)="","",INDEX('Per Invoice'!L$2:L$401,$U192)))</f>
        <v/>
      </c>
      <c r="M192" s="7">
        <f>IF($U192="","",IF(INDEX('Per Invoice'!M$2:M$401,$U192)="","",INDEX('Per Invoice'!M$2:M$401,$U192)))</f>
        <v/>
      </c>
      <c r="N192">
        <f>IF($U192="","",IF(INDEX('Per Invoice'!N$2:N$401,$U192)="","",INDEX('Per Invoice'!N$2:N$401,$U192)))</f>
        <v/>
      </c>
      <c r="O192" s="7">
        <f>IF($U192="","",IF(INDEX('Per Invoice'!O$2:O$401,$U192)="","",INDEX('Per Invoice'!O$2:O$401,$U192)))</f>
        <v/>
      </c>
      <c r="P192" s="7">
        <f>IF($U192="","",IF(INDEX('Per Invoice'!P$2:P$401,$U192)="","",INDEX('Per Invoice'!P$2:P$401,$U192)))</f>
        <v/>
      </c>
      <c r="Q192" s="7">
        <f>IF($U192="","",IF(INDEX('Per Invoice'!Q$2:Q$401,$U192)="","",INDEX('Per Invoice'!Q$2:Q$401,$U192)))</f>
        <v/>
      </c>
      <c r="R192" s="7">
        <f>IF($U192="","",IF(INDEX('Per Invoice'!R$2:R$401,$U192)="","",INDEX('Per Invoice'!R$2:R$401,$U192)))</f>
        <v/>
      </c>
      <c r="S192" s="7">
        <f>IF($U192="","",IF(INDEX('Per Invoice'!S$2:S$401,$U192)="","",INDEX('Per Invoice'!S$2:S$401,$U192)))</f>
        <v/>
      </c>
      <c r="T192" s="7">
        <f>IF($U192="","",IF(INDEX('Per Invoice'!T$2:T$401,$U192)="","",INDEX('Per Invoice'!T$2:T$401,$U192)))</f>
        <v/>
      </c>
      <c r="U192" s="16">
        <f>IFERROR(MATCH(Settings!$C$28&amp;"|"&amp;ROWS($U$2:$U192),'Per Invoice'!$V$2:$V$401,0),"")</f>
        <v/>
      </c>
    </row>
    <row r="193">
      <c r="A193">
        <f>IF($U193="","",IF(INDEX('Per Invoice'!A$2:A$401,$U193)="","",INDEX('Per Invoice'!A$2:A$401,$U193)))</f>
        <v/>
      </c>
      <c r="B193">
        <f>IF($U193="","",IF(INDEX('Per Invoice'!B$2:B$401,$U193)="","",INDEX('Per Invoice'!B$2:B$401,$U193)))</f>
        <v/>
      </c>
      <c r="C193">
        <f>IF($U193="","",IF(INDEX('Per Invoice'!C$2:C$401,$U193)="","",INDEX('Per Invoice'!C$2:C$401,$U193)))</f>
        <v/>
      </c>
      <c r="D193">
        <f>IF($U193="","",IF(INDEX('Per Invoice'!D$2:D$401,$U193)="","",INDEX('Per Invoice'!D$2:D$401,$U193)))</f>
        <v/>
      </c>
      <c r="E193">
        <f>IF($U193="","",IF(INDEX('Per Invoice'!E$2:E$401,$U193)="","",INDEX('Per Invoice'!E$2:E$401,$U193)))</f>
        <v/>
      </c>
      <c r="F193">
        <f>IF($U193="","",IF(INDEX('Per Invoice'!F$2:F$401,$U193)="","",INDEX('Per Invoice'!F$2:F$401,$U193)))</f>
        <v/>
      </c>
      <c r="G193">
        <f>IF($U193="","",IF(INDEX('Per Invoice'!G$2:G$401,$U193)="","",INDEX('Per Invoice'!G$2:G$401,$U193)))</f>
        <v/>
      </c>
      <c r="H193" s="7">
        <f>IF($U193="","",IF(INDEX('Per Invoice'!H$2:H$401,$U193)="","",INDEX('Per Invoice'!H$2:H$401,$U193)))</f>
        <v/>
      </c>
      <c r="I193" s="14">
        <f>IF($U193="","",IF(INDEX('Per Invoice'!I$2:I$401,$U193)="","",INDEX('Per Invoice'!I$2:I$401,$U193)))</f>
        <v/>
      </c>
      <c r="J193">
        <f>IF($U193="","",IF(INDEX('Per Invoice'!J$2:J$401,$U193)="","",INDEX('Per Invoice'!J$2:J$401,$U193)))</f>
        <v/>
      </c>
      <c r="K193">
        <f>IF($U193="","",IF(INDEX('Per Invoice'!K$2:K$401,$U193)="","",INDEX('Per Invoice'!K$2:K$401,$U193)))</f>
        <v/>
      </c>
      <c r="L193" s="7">
        <f>IF($U193="","",IF(INDEX('Per Invoice'!L$2:L$401,$U193)="","",INDEX('Per Invoice'!L$2:L$401,$U193)))</f>
        <v/>
      </c>
      <c r="M193" s="7">
        <f>IF($U193="","",IF(INDEX('Per Invoice'!M$2:M$401,$U193)="","",INDEX('Per Invoice'!M$2:M$401,$U193)))</f>
        <v/>
      </c>
      <c r="N193">
        <f>IF($U193="","",IF(INDEX('Per Invoice'!N$2:N$401,$U193)="","",INDEX('Per Invoice'!N$2:N$401,$U193)))</f>
        <v/>
      </c>
      <c r="O193" s="7">
        <f>IF($U193="","",IF(INDEX('Per Invoice'!O$2:O$401,$U193)="","",INDEX('Per Invoice'!O$2:O$401,$U193)))</f>
        <v/>
      </c>
      <c r="P193" s="7">
        <f>IF($U193="","",IF(INDEX('Per Invoice'!P$2:P$401,$U193)="","",INDEX('Per Invoice'!P$2:P$401,$U193)))</f>
        <v/>
      </c>
      <c r="Q193" s="7">
        <f>IF($U193="","",IF(INDEX('Per Invoice'!Q$2:Q$401,$U193)="","",INDEX('Per Invoice'!Q$2:Q$401,$U193)))</f>
        <v/>
      </c>
      <c r="R193" s="7">
        <f>IF($U193="","",IF(INDEX('Per Invoice'!R$2:R$401,$U193)="","",INDEX('Per Invoice'!R$2:R$401,$U193)))</f>
        <v/>
      </c>
      <c r="S193" s="7">
        <f>IF($U193="","",IF(INDEX('Per Invoice'!S$2:S$401,$U193)="","",INDEX('Per Invoice'!S$2:S$401,$U193)))</f>
        <v/>
      </c>
      <c r="T193" s="7">
        <f>IF($U193="","",IF(INDEX('Per Invoice'!T$2:T$401,$U193)="","",INDEX('Per Invoice'!T$2:T$401,$U193)))</f>
        <v/>
      </c>
      <c r="U193" s="16">
        <f>IFERROR(MATCH(Settings!$C$28&amp;"|"&amp;ROWS($U$2:$U193),'Per Invoice'!$V$2:$V$401,0),"")</f>
        <v/>
      </c>
    </row>
    <row r="194">
      <c r="A194">
        <f>IF($U194="","",IF(INDEX('Per Invoice'!A$2:A$401,$U194)="","",INDEX('Per Invoice'!A$2:A$401,$U194)))</f>
        <v/>
      </c>
      <c r="B194">
        <f>IF($U194="","",IF(INDEX('Per Invoice'!B$2:B$401,$U194)="","",INDEX('Per Invoice'!B$2:B$401,$U194)))</f>
        <v/>
      </c>
      <c r="C194">
        <f>IF($U194="","",IF(INDEX('Per Invoice'!C$2:C$401,$U194)="","",INDEX('Per Invoice'!C$2:C$401,$U194)))</f>
        <v/>
      </c>
      <c r="D194">
        <f>IF($U194="","",IF(INDEX('Per Invoice'!D$2:D$401,$U194)="","",INDEX('Per Invoice'!D$2:D$401,$U194)))</f>
        <v/>
      </c>
      <c r="E194">
        <f>IF($U194="","",IF(INDEX('Per Invoice'!E$2:E$401,$U194)="","",INDEX('Per Invoice'!E$2:E$401,$U194)))</f>
        <v/>
      </c>
      <c r="F194">
        <f>IF($U194="","",IF(INDEX('Per Invoice'!F$2:F$401,$U194)="","",INDEX('Per Invoice'!F$2:F$401,$U194)))</f>
        <v/>
      </c>
      <c r="G194">
        <f>IF($U194="","",IF(INDEX('Per Invoice'!G$2:G$401,$U194)="","",INDEX('Per Invoice'!G$2:G$401,$U194)))</f>
        <v/>
      </c>
      <c r="H194" s="7">
        <f>IF($U194="","",IF(INDEX('Per Invoice'!H$2:H$401,$U194)="","",INDEX('Per Invoice'!H$2:H$401,$U194)))</f>
        <v/>
      </c>
      <c r="I194" s="14">
        <f>IF($U194="","",IF(INDEX('Per Invoice'!I$2:I$401,$U194)="","",INDEX('Per Invoice'!I$2:I$401,$U194)))</f>
        <v/>
      </c>
      <c r="J194">
        <f>IF($U194="","",IF(INDEX('Per Invoice'!J$2:J$401,$U194)="","",INDEX('Per Invoice'!J$2:J$401,$U194)))</f>
        <v/>
      </c>
      <c r="K194">
        <f>IF($U194="","",IF(INDEX('Per Invoice'!K$2:K$401,$U194)="","",INDEX('Per Invoice'!K$2:K$401,$U194)))</f>
        <v/>
      </c>
      <c r="L194" s="7">
        <f>IF($U194="","",IF(INDEX('Per Invoice'!L$2:L$401,$U194)="","",INDEX('Per Invoice'!L$2:L$401,$U194)))</f>
        <v/>
      </c>
      <c r="M194" s="7">
        <f>IF($U194="","",IF(INDEX('Per Invoice'!M$2:M$401,$U194)="","",INDEX('Per Invoice'!M$2:M$401,$U194)))</f>
        <v/>
      </c>
      <c r="N194">
        <f>IF($U194="","",IF(INDEX('Per Invoice'!N$2:N$401,$U194)="","",INDEX('Per Invoice'!N$2:N$401,$U194)))</f>
        <v/>
      </c>
      <c r="O194" s="7">
        <f>IF($U194="","",IF(INDEX('Per Invoice'!O$2:O$401,$U194)="","",INDEX('Per Invoice'!O$2:O$401,$U194)))</f>
        <v/>
      </c>
      <c r="P194" s="7">
        <f>IF($U194="","",IF(INDEX('Per Invoice'!P$2:P$401,$U194)="","",INDEX('Per Invoice'!P$2:P$401,$U194)))</f>
        <v/>
      </c>
      <c r="Q194" s="7">
        <f>IF($U194="","",IF(INDEX('Per Invoice'!Q$2:Q$401,$U194)="","",INDEX('Per Invoice'!Q$2:Q$401,$U194)))</f>
        <v/>
      </c>
      <c r="R194" s="7">
        <f>IF($U194="","",IF(INDEX('Per Invoice'!R$2:R$401,$U194)="","",INDEX('Per Invoice'!R$2:R$401,$U194)))</f>
        <v/>
      </c>
      <c r="S194" s="7">
        <f>IF($U194="","",IF(INDEX('Per Invoice'!S$2:S$401,$U194)="","",INDEX('Per Invoice'!S$2:S$401,$U194)))</f>
        <v/>
      </c>
      <c r="T194" s="7">
        <f>IF($U194="","",IF(INDEX('Per Invoice'!T$2:T$401,$U194)="","",INDEX('Per Invoice'!T$2:T$401,$U194)))</f>
        <v/>
      </c>
      <c r="U194" s="16">
        <f>IFERROR(MATCH(Settings!$C$28&amp;"|"&amp;ROWS($U$2:$U194),'Per Invoice'!$V$2:$V$401,0),"")</f>
        <v/>
      </c>
    </row>
    <row r="195">
      <c r="A195">
        <f>IF($U195="","",IF(INDEX('Per Invoice'!A$2:A$401,$U195)="","",INDEX('Per Invoice'!A$2:A$401,$U195)))</f>
        <v/>
      </c>
      <c r="B195">
        <f>IF($U195="","",IF(INDEX('Per Invoice'!B$2:B$401,$U195)="","",INDEX('Per Invoice'!B$2:B$401,$U195)))</f>
        <v/>
      </c>
      <c r="C195">
        <f>IF($U195="","",IF(INDEX('Per Invoice'!C$2:C$401,$U195)="","",INDEX('Per Invoice'!C$2:C$401,$U195)))</f>
        <v/>
      </c>
      <c r="D195">
        <f>IF($U195="","",IF(INDEX('Per Invoice'!D$2:D$401,$U195)="","",INDEX('Per Invoice'!D$2:D$401,$U195)))</f>
        <v/>
      </c>
      <c r="E195">
        <f>IF($U195="","",IF(INDEX('Per Invoice'!E$2:E$401,$U195)="","",INDEX('Per Invoice'!E$2:E$401,$U195)))</f>
        <v/>
      </c>
      <c r="F195">
        <f>IF($U195="","",IF(INDEX('Per Invoice'!F$2:F$401,$U195)="","",INDEX('Per Invoice'!F$2:F$401,$U195)))</f>
        <v/>
      </c>
      <c r="G195">
        <f>IF($U195="","",IF(INDEX('Per Invoice'!G$2:G$401,$U195)="","",INDEX('Per Invoice'!G$2:G$401,$U195)))</f>
        <v/>
      </c>
      <c r="H195" s="7">
        <f>IF($U195="","",IF(INDEX('Per Invoice'!H$2:H$401,$U195)="","",INDEX('Per Invoice'!H$2:H$401,$U195)))</f>
        <v/>
      </c>
      <c r="I195" s="14">
        <f>IF($U195="","",IF(INDEX('Per Invoice'!I$2:I$401,$U195)="","",INDEX('Per Invoice'!I$2:I$401,$U195)))</f>
        <v/>
      </c>
      <c r="J195">
        <f>IF($U195="","",IF(INDEX('Per Invoice'!J$2:J$401,$U195)="","",INDEX('Per Invoice'!J$2:J$401,$U195)))</f>
        <v/>
      </c>
      <c r="K195">
        <f>IF($U195="","",IF(INDEX('Per Invoice'!K$2:K$401,$U195)="","",INDEX('Per Invoice'!K$2:K$401,$U195)))</f>
        <v/>
      </c>
      <c r="L195" s="7">
        <f>IF($U195="","",IF(INDEX('Per Invoice'!L$2:L$401,$U195)="","",INDEX('Per Invoice'!L$2:L$401,$U195)))</f>
        <v/>
      </c>
      <c r="M195" s="7">
        <f>IF($U195="","",IF(INDEX('Per Invoice'!M$2:M$401,$U195)="","",INDEX('Per Invoice'!M$2:M$401,$U195)))</f>
        <v/>
      </c>
      <c r="N195">
        <f>IF($U195="","",IF(INDEX('Per Invoice'!N$2:N$401,$U195)="","",INDEX('Per Invoice'!N$2:N$401,$U195)))</f>
        <v/>
      </c>
      <c r="O195" s="7">
        <f>IF($U195="","",IF(INDEX('Per Invoice'!O$2:O$401,$U195)="","",INDEX('Per Invoice'!O$2:O$401,$U195)))</f>
        <v/>
      </c>
      <c r="P195" s="7">
        <f>IF($U195="","",IF(INDEX('Per Invoice'!P$2:P$401,$U195)="","",INDEX('Per Invoice'!P$2:P$401,$U195)))</f>
        <v/>
      </c>
      <c r="Q195" s="7">
        <f>IF($U195="","",IF(INDEX('Per Invoice'!Q$2:Q$401,$U195)="","",INDEX('Per Invoice'!Q$2:Q$401,$U195)))</f>
        <v/>
      </c>
      <c r="R195" s="7">
        <f>IF($U195="","",IF(INDEX('Per Invoice'!R$2:R$401,$U195)="","",INDEX('Per Invoice'!R$2:R$401,$U195)))</f>
        <v/>
      </c>
      <c r="S195" s="7">
        <f>IF($U195="","",IF(INDEX('Per Invoice'!S$2:S$401,$U195)="","",INDEX('Per Invoice'!S$2:S$401,$U195)))</f>
        <v/>
      </c>
      <c r="T195" s="7">
        <f>IF($U195="","",IF(INDEX('Per Invoice'!T$2:T$401,$U195)="","",INDEX('Per Invoice'!T$2:T$401,$U195)))</f>
        <v/>
      </c>
      <c r="U195" s="16">
        <f>IFERROR(MATCH(Settings!$C$28&amp;"|"&amp;ROWS($U$2:$U195),'Per Invoice'!$V$2:$V$401,0),"")</f>
        <v/>
      </c>
    </row>
    <row r="196">
      <c r="A196">
        <f>IF($U196="","",IF(INDEX('Per Invoice'!A$2:A$401,$U196)="","",INDEX('Per Invoice'!A$2:A$401,$U196)))</f>
        <v/>
      </c>
      <c r="B196">
        <f>IF($U196="","",IF(INDEX('Per Invoice'!B$2:B$401,$U196)="","",INDEX('Per Invoice'!B$2:B$401,$U196)))</f>
        <v/>
      </c>
      <c r="C196">
        <f>IF($U196="","",IF(INDEX('Per Invoice'!C$2:C$401,$U196)="","",INDEX('Per Invoice'!C$2:C$401,$U196)))</f>
        <v/>
      </c>
      <c r="D196">
        <f>IF($U196="","",IF(INDEX('Per Invoice'!D$2:D$401,$U196)="","",INDEX('Per Invoice'!D$2:D$401,$U196)))</f>
        <v/>
      </c>
      <c r="E196">
        <f>IF($U196="","",IF(INDEX('Per Invoice'!E$2:E$401,$U196)="","",INDEX('Per Invoice'!E$2:E$401,$U196)))</f>
        <v/>
      </c>
      <c r="F196">
        <f>IF($U196="","",IF(INDEX('Per Invoice'!F$2:F$401,$U196)="","",INDEX('Per Invoice'!F$2:F$401,$U196)))</f>
        <v/>
      </c>
      <c r="G196">
        <f>IF($U196="","",IF(INDEX('Per Invoice'!G$2:G$401,$U196)="","",INDEX('Per Invoice'!G$2:G$401,$U196)))</f>
        <v/>
      </c>
      <c r="H196" s="7">
        <f>IF($U196="","",IF(INDEX('Per Invoice'!H$2:H$401,$U196)="","",INDEX('Per Invoice'!H$2:H$401,$U196)))</f>
        <v/>
      </c>
      <c r="I196" s="14">
        <f>IF($U196="","",IF(INDEX('Per Invoice'!I$2:I$401,$U196)="","",INDEX('Per Invoice'!I$2:I$401,$U196)))</f>
        <v/>
      </c>
      <c r="J196">
        <f>IF($U196="","",IF(INDEX('Per Invoice'!J$2:J$401,$U196)="","",INDEX('Per Invoice'!J$2:J$401,$U196)))</f>
        <v/>
      </c>
      <c r="K196">
        <f>IF($U196="","",IF(INDEX('Per Invoice'!K$2:K$401,$U196)="","",INDEX('Per Invoice'!K$2:K$401,$U196)))</f>
        <v/>
      </c>
      <c r="L196" s="7">
        <f>IF($U196="","",IF(INDEX('Per Invoice'!L$2:L$401,$U196)="","",INDEX('Per Invoice'!L$2:L$401,$U196)))</f>
        <v/>
      </c>
      <c r="M196" s="7">
        <f>IF($U196="","",IF(INDEX('Per Invoice'!M$2:M$401,$U196)="","",INDEX('Per Invoice'!M$2:M$401,$U196)))</f>
        <v/>
      </c>
      <c r="N196">
        <f>IF($U196="","",IF(INDEX('Per Invoice'!N$2:N$401,$U196)="","",INDEX('Per Invoice'!N$2:N$401,$U196)))</f>
        <v/>
      </c>
      <c r="O196" s="7">
        <f>IF($U196="","",IF(INDEX('Per Invoice'!O$2:O$401,$U196)="","",INDEX('Per Invoice'!O$2:O$401,$U196)))</f>
        <v/>
      </c>
      <c r="P196" s="7">
        <f>IF($U196="","",IF(INDEX('Per Invoice'!P$2:P$401,$U196)="","",INDEX('Per Invoice'!P$2:P$401,$U196)))</f>
        <v/>
      </c>
      <c r="Q196" s="7">
        <f>IF($U196="","",IF(INDEX('Per Invoice'!Q$2:Q$401,$U196)="","",INDEX('Per Invoice'!Q$2:Q$401,$U196)))</f>
        <v/>
      </c>
      <c r="R196" s="7">
        <f>IF($U196="","",IF(INDEX('Per Invoice'!R$2:R$401,$U196)="","",INDEX('Per Invoice'!R$2:R$401,$U196)))</f>
        <v/>
      </c>
      <c r="S196" s="7">
        <f>IF($U196="","",IF(INDEX('Per Invoice'!S$2:S$401,$U196)="","",INDEX('Per Invoice'!S$2:S$401,$U196)))</f>
        <v/>
      </c>
      <c r="T196" s="7">
        <f>IF($U196="","",IF(INDEX('Per Invoice'!T$2:T$401,$U196)="","",INDEX('Per Invoice'!T$2:T$401,$U196)))</f>
        <v/>
      </c>
      <c r="U196" s="16">
        <f>IFERROR(MATCH(Settings!$C$28&amp;"|"&amp;ROWS($U$2:$U196),'Per Invoice'!$V$2:$V$401,0),"")</f>
        <v/>
      </c>
    </row>
    <row r="197">
      <c r="A197">
        <f>IF($U197="","",IF(INDEX('Per Invoice'!A$2:A$401,$U197)="","",INDEX('Per Invoice'!A$2:A$401,$U197)))</f>
        <v/>
      </c>
      <c r="B197">
        <f>IF($U197="","",IF(INDEX('Per Invoice'!B$2:B$401,$U197)="","",INDEX('Per Invoice'!B$2:B$401,$U197)))</f>
        <v/>
      </c>
      <c r="C197">
        <f>IF($U197="","",IF(INDEX('Per Invoice'!C$2:C$401,$U197)="","",INDEX('Per Invoice'!C$2:C$401,$U197)))</f>
        <v/>
      </c>
      <c r="D197">
        <f>IF($U197="","",IF(INDEX('Per Invoice'!D$2:D$401,$U197)="","",INDEX('Per Invoice'!D$2:D$401,$U197)))</f>
        <v/>
      </c>
      <c r="E197">
        <f>IF($U197="","",IF(INDEX('Per Invoice'!E$2:E$401,$U197)="","",INDEX('Per Invoice'!E$2:E$401,$U197)))</f>
        <v/>
      </c>
      <c r="F197">
        <f>IF($U197="","",IF(INDEX('Per Invoice'!F$2:F$401,$U197)="","",INDEX('Per Invoice'!F$2:F$401,$U197)))</f>
        <v/>
      </c>
      <c r="G197">
        <f>IF($U197="","",IF(INDEX('Per Invoice'!G$2:G$401,$U197)="","",INDEX('Per Invoice'!G$2:G$401,$U197)))</f>
        <v/>
      </c>
      <c r="H197" s="7">
        <f>IF($U197="","",IF(INDEX('Per Invoice'!H$2:H$401,$U197)="","",INDEX('Per Invoice'!H$2:H$401,$U197)))</f>
        <v/>
      </c>
      <c r="I197" s="14">
        <f>IF($U197="","",IF(INDEX('Per Invoice'!I$2:I$401,$U197)="","",INDEX('Per Invoice'!I$2:I$401,$U197)))</f>
        <v/>
      </c>
      <c r="J197">
        <f>IF($U197="","",IF(INDEX('Per Invoice'!J$2:J$401,$U197)="","",INDEX('Per Invoice'!J$2:J$401,$U197)))</f>
        <v/>
      </c>
      <c r="K197">
        <f>IF($U197="","",IF(INDEX('Per Invoice'!K$2:K$401,$U197)="","",INDEX('Per Invoice'!K$2:K$401,$U197)))</f>
        <v/>
      </c>
      <c r="L197" s="7">
        <f>IF($U197="","",IF(INDEX('Per Invoice'!L$2:L$401,$U197)="","",INDEX('Per Invoice'!L$2:L$401,$U197)))</f>
        <v/>
      </c>
      <c r="M197" s="7">
        <f>IF($U197="","",IF(INDEX('Per Invoice'!M$2:M$401,$U197)="","",INDEX('Per Invoice'!M$2:M$401,$U197)))</f>
        <v/>
      </c>
      <c r="N197">
        <f>IF($U197="","",IF(INDEX('Per Invoice'!N$2:N$401,$U197)="","",INDEX('Per Invoice'!N$2:N$401,$U197)))</f>
        <v/>
      </c>
      <c r="O197" s="7">
        <f>IF($U197="","",IF(INDEX('Per Invoice'!O$2:O$401,$U197)="","",INDEX('Per Invoice'!O$2:O$401,$U197)))</f>
        <v/>
      </c>
      <c r="P197" s="7">
        <f>IF($U197="","",IF(INDEX('Per Invoice'!P$2:P$401,$U197)="","",INDEX('Per Invoice'!P$2:P$401,$U197)))</f>
        <v/>
      </c>
      <c r="Q197" s="7">
        <f>IF($U197="","",IF(INDEX('Per Invoice'!Q$2:Q$401,$U197)="","",INDEX('Per Invoice'!Q$2:Q$401,$U197)))</f>
        <v/>
      </c>
      <c r="R197" s="7">
        <f>IF($U197="","",IF(INDEX('Per Invoice'!R$2:R$401,$U197)="","",INDEX('Per Invoice'!R$2:R$401,$U197)))</f>
        <v/>
      </c>
      <c r="S197" s="7">
        <f>IF($U197="","",IF(INDEX('Per Invoice'!S$2:S$401,$U197)="","",INDEX('Per Invoice'!S$2:S$401,$U197)))</f>
        <v/>
      </c>
      <c r="T197" s="7">
        <f>IF($U197="","",IF(INDEX('Per Invoice'!T$2:T$401,$U197)="","",INDEX('Per Invoice'!T$2:T$401,$U197)))</f>
        <v/>
      </c>
      <c r="U197" s="16">
        <f>IFERROR(MATCH(Settings!$C$28&amp;"|"&amp;ROWS($U$2:$U197),'Per Invoice'!$V$2:$V$401,0),"")</f>
        <v/>
      </c>
    </row>
    <row r="198">
      <c r="A198">
        <f>IF($U198="","",IF(INDEX('Per Invoice'!A$2:A$401,$U198)="","",INDEX('Per Invoice'!A$2:A$401,$U198)))</f>
        <v/>
      </c>
      <c r="B198">
        <f>IF($U198="","",IF(INDEX('Per Invoice'!B$2:B$401,$U198)="","",INDEX('Per Invoice'!B$2:B$401,$U198)))</f>
        <v/>
      </c>
      <c r="C198">
        <f>IF($U198="","",IF(INDEX('Per Invoice'!C$2:C$401,$U198)="","",INDEX('Per Invoice'!C$2:C$401,$U198)))</f>
        <v/>
      </c>
      <c r="D198">
        <f>IF($U198="","",IF(INDEX('Per Invoice'!D$2:D$401,$U198)="","",INDEX('Per Invoice'!D$2:D$401,$U198)))</f>
        <v/>
      </c>
      <c r="E198">
        <f>IF($U198="","",IF(INDEX('Per Invoice'!E$2:E$401,$U198)="","",INDEX('Per Invoice'!E$2:E$401,$U198)))</f>
        <v/>
      </c>
      <c r="F198">
        <f>IF($U198="","",IF(INDEX('Per Invoice'!F$2:F$401,$U198)="","",INDEX('Per Invoice'!F$2:F$401,$U198)))</f>
        <v/>
      </c>
      <c r="G198">
        <f>IF($U198="","",IF(INDEX('Per Invoice'!G$2:G$401,$U198)="","",INDEX('Per Invoice'!G$2:G$401,$U198)))</f>
        <v/>
      </c>
      <c r="H198" s="7">
        <f>IF($U198="","",IF(INDEX('Per Invoice'!H$2:H$401,$U198)="","",INDEX('Per Invoice'!H$2:H$401,$U198)))</f>
        <v/>
      </c>
      <c r="I198" s="14">
        <f>IF($U198="","",IF(INDEX('Per Invoice'!I$2:I$401,$U198)="","",INDEX('Per Invoice'!I$2:I$401,$U198)))</f>
        <v/>
      </c>
      <c r="J198">
        <f>IF($U198="","",IF(INDEX('Per Invoice'!J$2:J$401,$U198)="","",INDEX('Per Invoice'!J$2:J$401,$U198)))</f>
        <v/>
      </c>
      <c r="K198">
        <f>IF($U198="","",IF(INDEX('Per Invoice'!K$2:K$401,$U198)="","",INDEX('Per Invoice'!K$2:K$401,$U198)))</f>
        <v/>
      </c>
      <c r="L198" s="7">
        <f>IF($U198="","",IF(INDEX('Per Invoice'!L$2:L$401,$U198)="","",INDEX('Per Invoice'!L$2:L$401,$U198)))</f>
        <v/>
      </c>
      <c r="M198" s="7">
        <f>IF($U198="","",IF(INDEX('Per Invoice'!M$2:M$401,$U198)="","",INDEX('Per Invoice'!M$2:M$401,$U198)))</f>
        <v/>
      </c>
      <c r="N198">
        <f>IF($U198="","",IF(INDEX('Per Invoice'!N$2:N$401,$U198)="","",INDEX('Per Invoice'!N$2:N$401,$U198)))</f>
        <v/>
      </c>
      <c r="O198" s="7">
        <f>IF($U198="","",IF(INDEX('Per Invoice'!O$2:O$401,$U198)="","",INDEX('Per Invoice'!O$2:O$401,$U198)))</f>
        <v/>
      </c>
      <c r="P198" s="7">
        <f>IF($U198="","",IF(INDEX('Per Invoice'!P$2:P$401,$U198)="","",INDEX('Per Invoice'!P$2:P$401,$U198)))</f>
        <v/>
      </c>
      <c r="Q198" s="7">
        <f>IF($U198="","",IF(INDEX('Per Invoice'!Q$2:Q$401,$U198)="","",INDEX('Per Invoice'!Q$2:Q$401,$U198)))</f>
        <v/>
      </c>
      <c r="R198" s="7">
        <f>IF($U198="","",IF(INDEX('Per Invoice'!R$2:R$401,$U198)="","",INDEX('Per Invoice'!R$2:R$401,$U198)))</f>
        <v/>
      </c>
      <c r="S198" s="7">
        <f>IF($U198="","",IF(INDEX('Per Invoice'!S$2:S$401,$U198)="","",INDEX('Per Invoice'!S$2:S$401,$U198)))</f>
        <v/>
      </c>
      <c r="T198" s="7">
        <f>IF($U198="","",IF(INDEX('Per Invoice'!T$2:T$401,$U198)="","",INDEX('Per Invoice'!T$2:T$401,$U198)))</f>
        <v/>
      </c>
      <c r="U198" s="16">
        <f>IFERROR(MATCH(Settings!$C$28&amp;"|"&amp;ROWS($U$2:$U198),'Per Invoice'!$V$2:$V$401,0),"")</f>
        <v/>
      </c>
    </row>
    <row r="199">
      <c r="A199">
        <f>IF($U199="","",IF(INDEX('Per Invoice'!A$2:A$401,$U199)="","",INDEX('Per Invoice'!A$2:A$401,$U199)))</f>
        <v/>
      </c>
      <c r="B199">
        <f>IF($U199="","",IF(INDEX('Per Invoice'!B$2:B$401,$U199)="","",INDEX('Per Invoice'!B$2:B$401,$U199)))</f>
        <v/>
      </c>
      <c r="C199">
        <f>IF($U199="","",IF(INDEX('Per Invoice'!C$2:C$401,$U199)="","",INDEX('Per Invoice'!C$2:C$401,$U199)))</f>
        <v/>
      </c>
      <c r="D199">
        <f>IF($U199="","",IF(INDEX('Per Invoice'!D$2:D$401,$U199)="","",INDEX('Per Invoice'!D$2:D$401,$U199)))</f>
        <v/>
      </c>
      <c r="E199">
        <f>IF($U199="","",IF(INDEX('Per Invoice'!E$2:E$401,$U199)="","",INDEX('Per Invoice'!E$2:E$401,$U199)))</f>
        <v/>
      </c>
      <c r="F199">
        <f>IF($U199="","",IF(INDEX('Per Invoice'!F$2:F$401,$U199)="","",INDEX('Per Invoice'!F$2:F$401,$U199)))</f>
        <v/>
      </c>
      <c r="G199">
        <f>IF($U199="","",IF(INDEX('Per Invoice'!G$2:G$401,$U199)="","",INDEX('Per Invoice'!G$2:G$401,$U199)))</f>
        <v/>
      </c>
      <c r="H199" s="7">
        <f>IF($U199="","",IF(INDEX('Per Invoice'!H$2:H$401,$U199)="","",INDEX('Per Invoice'!H$2:H$401,$U199)))</f>
        <v/>
      </c>
      <c r="I199" s="14">
        <f>IF($U199="","",IF(INDEX('Per Invoice'!I$2:I$401,$U199)="","",INDEX('Per Invoice'!I$2:I$401,$U199)))</f>
        <v/>
      </c>
      <c r="J199">
        <f>IF($U199="","",IF(INDEX('Per Invoice'!J$2:J$401,$U199)="","",INDEX('Per Invoice'!J$2:J$401,$U199)))</f>
        <v/>
      </c>
      <c r="K199">
        <f>IF($U199="","",IF(INDEX('Per Invoice'!K$2:K$401,$U199)="","",INDEX('Per Invoice'!K$2:K$401,$U199)))</f>
        <v/>
      </c>
      <c r="L199" s="7">
        <f>IF($U199="","",IF(INDEX('Per Invoice'!L$2:L$401,$U199)="","",INDEX('Per Invoice'!L$2:L$401,$U199)))</f>
        <v/>
      </c>
      <c r="M199" s="7">
        <f>IF($U199="","",IF(INDEX('Per Invoice'!M$2:M$401,$U199)="","",INDEX('Per Invoice'!M$2:M$401,$U199)))</f>
        <v/>
      </c>
      <c r="N199">
        <f>IF($U199="","",IF(INDEX('Per Invoice'!N$2:N$401,$U199)="","",INDEX('Per Invoice'!N$2:N$401,$U199)))</f>
        <v/>
      </c>
      <c r="O199" s="7">
        <f>IF($U199="","",IF(INDEX('Per Invoice'!O$2:O$401,$U199)="","",INDEX('Per Invoice'!O$2:O$401,$U199)))</f>
        <v/>
      </c>
      <c r="P199" s="7">
        <f>IF($U199="","",IF(INDEX('Per Invoice'!P$2:P$401,$U199)="","",INDEX('Per Invoice'!P$2:P$401,$U199)))</f>
        <v/>
      </c>
      <c r="Q199" s="7">
        <f>IF($U199="","",IF(INDEX('Per Invoice'!Q$2:Q$401,$U199)="","",INDEX('Per Invoice'!Q$2:Q$401,$U199)))</f>
        <v/>
      </c>
      <c r="R199" s="7">
        <f>IF($U199="","",IF(INDEX('Per Invoice'!R$2:R$401,$U199)="","",INDEX('Per Invoice'!R$2:R$401,$U199)))</f>
        <v/>
      </c>
      <c r="S199" s="7">
        <f>IF($U199="","",IF(INDEX('Per Invoice'!S$2:S$401,$U199)="","",INDEX('Per Invoice'!S$2:S$401,$U199)))</f>
        <v/>
      </c>
      <c r="T199" s="7">
        <f>IF($U199="","",IF(INDEX('Per Invoice'!T$2:T$401,$U199)="","",INDEX('Per Invoice'!T$2:T$401,$U199)))</f>
        <v/>
      </c>
      <c r="U199" s="16">
        <f>IFERROR(MATCH(Settings!$C$28&amp;"|"&amp;ROWS($U$2:$U199),'Per Invoice'!$V$2:$V$401,0),"")</f>
        <v/>
      </c>
    </row>
    <row r="200">
      <c r="A200">
        <f>IF($U200="","",IF(INDEX('Per Invoice'!A$2:A$401,$U200)="","",INDEX('Per Invoice'!A$2:A$401,$U200)))</f>
        <v/>
      </c>
      <c r="B200">
        <f>IF($U200="","",IF(INDEX('Per Invoice'!B$2:B$401,$U200)="","",INDEX('Per Invoice'!B$2:B$401,$U200)))</f>
        <v/>
      </c>
      <c r="C200">
        <f>IF($U200="","",IF(INDEX('Per Invoice'!C$2:C$401,$U200)="","",INDEX('Per Invoice'!C$2:C$401,$U200)))</f>
        <v/>
      </c>
      <c r="D200">
        <f>IF($U200="","",IF(INDEX('Per Invoice'!D$2:D$401,$U200)="","",INDEX('Per Invoice'!D$2:D$401,$U200)))</f>
        <v/>
      </c>
      <c r="E200">
        <f>IF($U200="","",IF(INDEX('Per Invoice'!E$2:E$401,$U200)="","",INDEX('Per Invoice'!E$2:E$401,$U200)))</f>
        <v/>
      </c>
      <c r="F200">
        <f>IF($U200="","",IF(INDEX('Per Invoice'!F$2:F$401,$U200)="","",INDEX('Per Invoice'!F$2:F$401,$U200)))</f>
        <v/>
      </c>
      <c r="G200">
        <f>IF($U200="","",IF(INDEX('Per Invoice'!G$2:G$401,$U200)="","",INDEX('Per Invoice'!G$2:G$401,$U200)))</f>
        <v/>
      </c>
      <c r="H200" s="7">
        <f>IF($U200="","",IF(INDEX('Per Invoice'!H$2:H$401,$U200)="","",INDEX('Per Invoice'!H$2:H$401,$U200)))</f>
        <v/>
      </c>
      <c r="I200" s="14">
        <f>IF($U200="","",IF(INDEX('Per Invoice'!I$2:I$401,$U200)="","",INDEX('Per Invoice'!I$2:I$401,$U200)))</f>
        <v/>
      </c>
      <c r="J200">
        <f>IF($U200="","",IF(INDEX('Per Invoice'!J$2:J$401,$U200)="","",INDEX('Per Invoice'!J$2:J$401,$U200)))</f>
        <v/>
      </c>
      <c r="K200">
        <f>IF($U200="","",IF(INDEX('Per Invoice'!K$2:K$401,$U200)="","",INDEX('Per Invoice'!K$2:K$401,$U200)))</f>
        <v/>
      </c>
      <c r="L200" s="7">
        <f>IF($U200="","",IF(INDEX('Per Invoice'!L$2:L$401,$U200)="","",INDEX('Per Invoice'!L$2:L$401,$U200)))</f>
        <v/>
      </c>
      <c r="M200" s="7">
        <f>IF($U200="","",IF(INDEX('Per Invoice'!M$2:M$401,$U200)="","",INDEX('Per Invoice'!M$2:M$401,$U200)))</f>
        <v/>
      </c>
      <c r="N200">
        <f>IF($U200="","",IF(INDEX('Per Invoice'!N$2:N$401,$U200)="","",INDEX('Per Invoice'!N$2:N$401,$U200)))</f>
        <v/>
      </c>
      <c r="O200" s="7">
        <f>IF($U200="","",IF(INDEX('Per Invoice'!O$2:O$401,$U200)="","",INDEX('Per Invoice'!O$2:O$401,$U200)))</f>
        <v/>
      </c>
      <c r="P200" s="7">
        <f>IF($U200="","",IF(INDEX('Per Invoice'!P$2:P$401,$U200)="","",INDEX('Per Invoice'!P$2:P$401,$U200)))</f>
        <v/>
      </c>
      <c r="Q200" s="7">
        <f>IF($U200="","",IF(INDEX('Per Invoice'!Q$2:Q$401,$U200)="","",INDEX('Per Invoice'!Q$2:Q$401,$U200)))</f>
        <v/>
      </c>
      <c r="R200" s="7">
        <f>IF($U200="","",IF(INDEX('Per Invoice'!R$2:R$401,$U200)="","",INDEX('Per Invoice'!R$2:R$401,$U200)))</f>
        <v/>
      </c>
      <c r="S200" s="7">
        <f>IF($U200="","",IF(INDEX('Per Invoice'!S$2:S$401,$U200)="","",INDEX('Per Invoice'!S$2:S$401,$U200)))</f>
        <v/>
      </c>
      <c r="T200" s="7">
        <f>IF($U200="","",IF(INDEX('Per Invoice'!T$2:T$401,$U200)="","",INDEX('Per Invoice'!T$2:T$401,$U200)))</f>
        <v/>
      </c>
      <c r="U200" s="16">
        <f>IFERROR(MATCH(Settings!$C$28&amp;"|"&amp;ROWS($U$2:$U200),'Per Invoice'!$V$2:$V$401,0),"")</f>
        <v/>
      </c>
    </row>
    <row r="201">
      <c r="A201">
        <f>IF($U201="","",IF(INDEX('Per Invoice'!A$2:A$401,$U201)="","",INDEX('Per Invoice'!A$2:A$401,$U201)))</f>
        <v/>
      </c>
      <c r="B201">
        <f>IF($U201="","",IF(INDEX('Per Invoice'!B$2:B$401,$U201)="","",INDEX('Per Invoice'!B$2:B$401,$U201)))</f>
        <v/>
      </c>
      <c r="C201">
        <f>IF($U201="","",IF(INDEX('Per Invoice'!C$2:C$401,$U201)="","",INDEX('Per Invoice'!C$2:C$401,$U201)))</f>
        <v/>
      </c>
      <c r="D201">
        <f>IF($U201="","",IF(INDEX('Per Invoice'!D$2:D$401,$U201)="","",INDEX('Per Invoice'!D$2:D$401,$U201)))</f>
        <v/>
      </c>
      <c r="E201">
        <f>IF($U201="","",IF(INDEX('Per Invoice'!E$2:E$401,$U201)="","",INDEX('Per Invoice'!E$2:E$401,$U201)))</f>
        <v/>
      </c>
      <c r="F201">
        <f>IF($U201="","",IF(INDEX('Per Invoice'!F$2:F$401,$U201)="","",INDEX('Per Invoice'!F$2:F$401,$U201)))</f>
        <v/>
      </c>
      <c r="G201">
        <f>IF($U201="","",IF(INDEX('Per Invoice'!G$2:G$401,$U201)="","",INDEX('Per Invoice'!G$2:G$401,$U201)))</f>
        <v/>
      </c>
      <c r="H201" s="7">
        <f>IF($U201="","",IF(INDEX('Per Invoice'!H$2:H$401,$U201)="","",INDEX('Per Invoice'!H$2:H$401,$U201)))</f>
        <v/>
      </c>
      <c r="I201" s="14">
        <f>IF($U201="","",IF(INDEX('Per Invoice'!I$2:I$401,$U201)="","",INDEX('Per Invoice'!I$2:I$401,$U201)))</f>
        <v/>
      </c>
      <c r="J201">
        <f>IF($U201="","",IF(INDEX('Per Invoice'!J$2:J$401,$U201)="","",INDEX('Per Invoice'!J$2:J$401,$U201)))</f>
        <v/>
      </c>
      <c r="K201">
        <f>IF($U201="","",IF(INDEX('Per Invoice'!K$2:K$401,$U201)="","",INDEX('Per Invoice'!K$2:K$401,$U201)))</f>
        <v/>
      </c>
      <c r="L201" s="7">
        <f>IF($U201="","",IF(INDEX('Per Invoice'!L$2:L$401,$U201)="","",INDEX('Per Invoice'!L$2:L$401,$U201)))</f>
        <v/>
      </c>
      <c r="M201" s="7">
        <f>IF($U201="","",IF(INDEX('Per Invoice'!M$2:M$401,$U201)="","",INDEX('Per Invoice'!M$2:M$401,$U201)))</f>
        <v/>
      </c>
      <c r="N201">
        <f>IF($U201="","",IF(INDEX('Per Invoice'!N$2:N$401,$U201)="","",INDEX('Per Invoice'!N$2:N$401,$U201)))</f>
        <v/>
      </c>
      <c r="O201" s="7">
        <f>IF($U201="","",IF(INDEX('Per Invoice'!O$2:O$401,$U201)="","",INDEX('Per Invoice'!O$2:O$401,$U201)))</f>
        <v/>
      </c>
      <c r="P201" s="7">
        <f>IF($U201="","",IF(INDEX('Per Invoice'!P$2:P$401,$U201)="","",INDEX('Per Invoice'!P$2:P$401,$U201)))</f>
        <v/>
      </c>
      <c r="Q201" s="7">
        <f>IF($U201="","",IF(INDEX('Per Invoice'!Q$2:Q$401,$U201)="","",INDEX('Per Invoice'!Q$2:Q$401,$U201)))</f>
        <v/>
      </c>
      <c r="R201" s="7">
        <f>IF($U201="","",IF(INDEX('Per Invoice'!R$2:R$401,$U201)="","",INDEX('Per Invoice'!R$2:R$401,$U201)))</f>
        <v/>
      </c>
      <c r="S201" s="7">
        <f>IF($U201="","",IF(INDEX('Per Invoice'!S$2:S$401,$U201)="","",INDEX('Per Invoice'!S$2:S$401,$U201)))</f>
        <v/>
      </c>
      <c r="T201" s="7">
        <f>IF($U201="","",IF(INDEX('Per Invoice'!T$2:T$401,$U201)="","",INDEX('Per Invoice'!T$2:T$401,$U201)))</f>
        <v/>
      </c>
      <c r="U201" s="16">
        <f>IFERROR(MATCH(Settings!$C$28&amp;"|"&amp;ROWS($U$2:$U201),'Per Invoice'!$V$2:$V$401,0),"")</f>
        <v/>
      </c>
    </row>
    <row r="202">
      <c r="A202">
        <f>IF($U202="","",IF(INDEX('Per Invoice'!A$2:A$401,$U202)="","",INDEX('Per Invoice'!A$2:A$401,$U202)))</f>
        <v/>
      </c>
      <c r="B202">
        <f>IF($U202="","",IF(INDEX('Per Invoice'!B$2:B$401,$U202)="","",INDEX('Per Invoice'!B$2:B$401,$U202)))</f>
        <v/>
      </c>
      <c r="C202">
        <f>IF($U202="","",IF(INDEX('Per Invoice'!C$2:C$401,$U202)="","",INDEX('Per Invoice'!C$2:C$401,$U202)))</f>
        <v/>
      </c>
      <c r="D202">
        <f>IF($U202="","",IF(INDEX('Per Invoice'!D$2:D$401,$U202)="","",INDEX('Per Invoice'!D$2:D$401,$U202)))</f>
        <v/>
      </c>
      <c r="E202">
        <f>IF($U202="","",IF(INDEX('Per Invoice'!E$2:E$401,$U202)="","",INDEX('Per Invoice'!E$2:E$401,$U202)))</f>
        <v/>
      </c>
      <c r="F202">
        <f>IF($U202="","",IF(INDEX('Per Invoice'!F$2:F$401,$U202)="","",INDEX('Per Invoice'!F$2:F$401,$U202)))</f>
        <v/>
      </c>
      <c r="G202">
        <f>IF($U202="","",IF(INDEX('Per Invoice'!G$2:G$401,$U202)="","",INDEX('Per Invoice'!G$2:G$401,$U202)))</f>
        <v/>
      </c>
      <c r="H202" s="7">
        <f>IF($U202="","",IF(INDEX('Per Invoice'!H$2:H$401,$U202)="","",INDEX('Per Invoice'!H$2:H$401,$U202)))</f>
        <v/>
      </c>
      <c r="I202" s="14">
        <f>IF($U202="","",IF(INDEX('Per Invoice'!I$2:I$401,$U202)="","",INDEX('Per Invoice'!I$2:I$401,$U202)))</f>
        <v/>
      </c>
      <c r="J202">
        <f>IF($U202="","",IF(INDEX('Per Invoice'!J$2:J$401,$U202)="","",INDEX('Per Invoice'!J$2:J$401,$U202)))</f>
        <v/>
      </c>
      <c r="K202">
        <f>IF($U202="","",IF(INDEX('Per Invoice'!K$2:K$401,$U202)="","",INDEX('Per Invoice'!K$2:K$401,$U202)))</f>
        <v/>
      </c>
      <c r="L202" s="7">
        <f>IF($U202="","",IF(INDEX('Per Invoice'!L$2:L$401,$U202)="","",INDEX('Per Invoice'!L$2:L$401,$U202)))</f>
        <v/>
      </c>
      <c r="M202" s="7">
        <f>IF($U202="","",IF(INDEX('Per Invoice'!M$2:M$401,$U202)="","",INDEX('Per Invoice'!M$2:M$401,$U202)))</f>
        <v/>
      </c>
      <c r="N202">
        <f>IF($U202="","",IF(INDEX('Per Invoice'!N$2:N$401,$U202)="","",INDEX('Per Invoice'!N$2:N$401,$U202)))</f>
        <v/>
      </c>
      <c r="O202" s="7">
        <f>IF($U202="","",IF(INDEX('Per Invoice'!O$2:O$401,$U202)="","",INDEX('Per Invoice'!O$2:O$401,$U202)))</f>
        <v/>
      </c>
      <c r="P202" s="7">
        <f>IF($U202="","",IF(INDEX('Per Invoice'!P$2:P$401,$U202)="","",INDEX('Per Invoice'!P$2:P$401,$U202)))</f>
        <v/>
      </c>
      <c r="Q202" s="7">
        <f>IF($U202="","",IF(INDEX('Per Invoice'!Q$2:Q$401,$U202)="","",INDEX('Per Invoice'!Q$2:Q$401,$U202)))</f>
        <v/>
      </c>
      <c r="R202" s="7">
        <f>IF($U202="","",IF(INDEX('Per Invoice'!R$2:R$401,$U202)="","",INDEX('Per Invoice'!R$2:R$401,$U202)))</f>
        <v/>
      </c>
      <c r="S202" s="7">
        <f>IF($U202="","",IF(INDEX('Per Invoice'!S$2:S$401,$U202)="","",INDEX('Per Invoice'!S$2:S$401,$U202)))</f>
        <v/>
      </c>
      <c r="T202" s="7">
        <f>IF($U202="","",IF(INDEX('Per Invoice'!T$2:T$401,$U202)="","",INDEX('Per Invoice'!T$2:T$401,$U202)))</f>
        <v/>
      </c>
      <c r="U202" s="16">
        <f>IFERROR(MATCH(Settings!$C$28&amp;"|"&amp;ROWS($U$2:$U202),'Per Invoice'!$V$2:$V$401,0),"")</f>
        <v/>
      </c>
    </row>
    <row r="203">
      <c r="A203">
        <f>IF($U203="","",IF(INDEX('Per Invoice'!A$2:A$401,$U203)="","",INDEX('Per Invoice'!A$2:A$401,$U203)))</f>
        <v/>
      </c>
      <c r="B203">
        <f>IF($U203="","",IF(INDEX('Per Invoice'!B$2:B$401,$U203)="","",INDEX('Per Invoice'!B$2:B$401,$U203)))</f>
        <v/>
      </c>
      <c r="C203">
        <f>IF($U203="","",IF(INDEX('Per Invoice'!C$2:C$401,$U203)="","",INDEX('Per Invoice'!C$2:C$401,$U203)))</f>
        <v/>
      </c>
      <c r="D203">
        <f>IF($U203="","",IF(INDEX('Per Invoice'!D$2:D$401,$U203)="","",INDEX('Per Invoice'!D$2:D$401,$U203)))</f>
        <v/>
      </c>
      <c r="E203">
        <f>IF($U203="","",IF(INDEX('Per Invoice'!E$2:E$401,$U203)="","",INDEX('Per Invoice'!E$2:E$401,$U203)))</f>
        <v/>
      </c>
      <c r="F203">
        <f>IF($U203="","",IF(INDEX('Per Invoice'!F$2:F$401,$U203)="","",INDEX('Per Invoice'!F$2:F$401,$U203)))</f>
        <v/>
      </c>
      <c r="G203">
        <f>IF($U203="","",IF(INDEX('Per Invoice'!G$2:G$401,$U203)="","",INDEX('Per Invoice'!G$2:G$401,$U203)))</f>
        <v/>
      </c>
      <c r="H203" s="7">
        <f>IF($U203="","",IF(INDEX('Per Invoice'!H$2:H$401,$U203)="","",INDEX('Per Invoice'!H$2:H$401,$U203)))</f>
        <v/>
      </c>
      <c r="I203" s="14">
        <f>IF($U203="","",IF(INDEX('Per Invoice'!I$2:I$401,$U203)="","",INDEX('Per Invoice'!I$2:I$401,$U203)))</f>
        <v/>
      </c>
      <c r="J203">
        <f>IF($U203="","",IF(INDEX('Per Invoice'!J$2:J$401,$U203)="","",INDEX('Per Invoice'!J$2:J$401,$U203)))</f>
        <v/>
      </c>
      <c r="K203">
        <f>IF($U203="","",IF(INDEX('Per Invoice'!K$2:K$401,$U203)="","",INDEX('Per Invoice'!K$2:K$401,$U203)))</f>
        <v/>
      </c>
      <c r="L203" s="7">
        <f>IF($U203="","",IF(INDEX('Per Invoice'!L$2:L$401,$U203)="","",INDEX('Per Invoice'!L$2:L$401,$U203)))</f>
        <v/>
      </c>
      <c r="M203" s="7">
        <f>IF($U203="","",IF(INDEX('Per Invoice'!M$2:M$401,$U203)="","",INDEX('Per Invoice'!M$2:M$401,$U203)))</f>
        <v/>
      </c>
      <c r="N203">
        <f>IF($U203="","",IF(INDEX('Per Invoice'!N$2:N$401,$U203)="","",INDEX('Per Invoice'!N$2:N$401,$U203)))</f>
        <v/>
      </c>
      <c r="O203" s="7">
        <f>IF($U203="","",IF(INDEX('Per Invoice'!O$2:O$401,$U203)="","",INDEX('Per Invoice'!O$2:O$401,$U203)))</f>
        <v/>
      </c>
      <c r="P203" s="7">
        <f>IF($U203="","",IF(INDEX('Per Invoice'!P$2:P$401,$U203)="","",INDEX('Per Invoice'!P$2:P$401,$U203)))</f>
        <v/>
      </c>
      <c r="Q203" s="7">
        <f>IF($U203="","",IF(INDEX('Per Invoice'!Q$2:Q$401,$U203)="","",INDEX('Per Invoice'!Q$2:Q$401,$U203)))</f>
        <v/>
      </c>
      <c r="R203" s="7">
        <f>IF($U203="","",IF(INDEX('Per Invoice'!R$2:R$401,$U203)="","",INDEX('Per Invoice'!R$2:R$401,$U203)))</f>
        <v/>
      </c>
      <c r="S203" s="7">
        <f>IF($U203="","",IF(INDEX('Per Invoice'!S$2:S$401,$U203)="","",INDEX('Per Invoice'!S$2:S$401,$U203)))</f>
        <v/>
      </c>
      <c r="T203" s="7">
        <f>IF($U203="","",IF(INDEX('Per Invoice'!T$2:T$401,$U203)="","",INDEX('Per Invoice'!T$2:T$401,$U203)))</f>
        <v/>
      </c>
      <c r="U203" s="16">
        <f>IFERROR(MATCH(Settings!$C$28&amp;"|"&amp;ROWS($U$2:$U203),'Per Invoice'!$V$2:$V$401,0),"")</f>
        <v/>
      </c>
    </row>
    <row r="204">
      <c r="A204">
        <f>IF($U204="","",IF(INDEX('Per Invoice'!A$2:A$401,$U204)="","",INDEX('Per Invoice'!A$2:A$401,$U204)))</f>
        <v/>
      </c>
      <c r="B204">
        <f>IF($U204="","",IF(INDEX('Per Invoice'!B$2:B$401,$U204)="","",INDEX('Per Invoice'!B$2:B$401,$U204)))</f>
        <v/>
      </c>
      <c r="C204">
        <f>IF($U204="","",IF(INDEX('Per Invoice'!C$2:C$401,$U204)="","",INDEX('Per Invoice'!C$2:C$401,$U204)))</f>
        <v/>
      </c>
      <c r="D204">
        <f>IF($U204="","",IF(INDEX('Per Invoice'!D$2:D$401,$U204)="","",INDEX('Per Invoice'!D$2:D$401,$U204)))</f>
        <v/>
      </c>
      <c r="E204">
        <f>IF($U204="","",IF(INDEX('Per Invoice'!E$2:E$401,$U204)="","",INDEX('Per Invoice'!E$2:E$401,$U204)))</f>
        <v/>
      </c>
      <c r="F204">
        <f>IF($U204="","",IF(INDEX('Per Invoice'!F$2:F$401,$U204)="","",INDEX('Per Invoice'!F$2:F$401,$U204)))</f>
        <v/>
      </c>
      <c r="G204">
        <f>IF($U204="","",IF(INDEX('Per Invoice'!G$2:G$401,$U204)="","",INDEX('Per Invoice'!G$2:G$401,$U204)))</f>
        <v/>
      </c>
      <c r="H204" s="7">
        <f>IF($U204="","",IF(INDEX('Per Invoice'!H$2:H$401,$U204)="","",INDEX('Per Invoice'!H$2:H$401,$U204)))</f>
        <v/>
      </c>
      <c r="I204" s="14">
        <f>IF($U204="","",IF(INDEX('Per Invoice'!I$2:I$401,$U204)="","",INDEX('Per Invoice'!I$2:I$401,$U204)))</f>
        <v/>
      </c>
      <c r="J204">
        <f>IF($U204="","",IF(INDEX('Per Invoice'!J$2:J$401,$U204)="","",INDEX('Per Invoice'!J$2:J$401,$U204)))</f>
        <v/>
      </c>
      <c r="K204">
        <f>IF($U204="","",IF(INDEX('Per Invoice'!K$2:K$401,$U204)="","",INDEX('Per Invoice'!K$2:K$401,$U204)))</f>
        <v/>
      </c>
      <c r="L204" s="7">
        <f>IF($U204="","",IF(INDEX('Per Invoice'!L$2:L$401,$U204)="","",INDEX('Per Invoice'!L$2:L$401,$U204)))</f>
        <v/>
      </c>
      <c r="M204" s="7">
        <f>IF($U204="","",IF(INDEX('Per Invoice'!M$2:M$401,$U204)="","",INDEX('Per Invoice'!M$2:M$401,$U204)))</f>
        <v/>
      </c>
      <c r="N204">
        <f>IF($U204="","",IF(INDEX('Per Invoice'!N$2:N$401,$U204)="","",INDEX('Per Invoice'!N$2:N$401,$U204)))</f>
        <v/>
      </c>
      <c r="O204" s="7">
        <f>IF($U204="","",IF(INDEX('Per Invoice'!O$2:O$401,$U204)="","",INDEX('Per Invoice'!O$2:O$401,$U204)))</f>
        <v/>
      </c>
      <c r="P204" s="7">
        <f>IF($U204="","",IF(INDEX('Per Invoice'!P$2:P$401,$U204)="","",INDEX('Per Invoice'!P$2:P$401,$U204)))</f>
        <v/>
      </c>
      <c r="Q204" s="7">
        <f>IF($U204="","",IF(INDEX('Per Invoice'!Q$2:Q$401,$U204)="","",INDEX('Per Invoice'!Q$2:Q$401,$U204)))</f>
        <v/>
      </c>
      <c r="R204" s="7">
        <f>IF($U204="","",IF(INDEX('Per Invoice'!R$2:R$401,$U204)="","",INDEX('Per Invoice'!R$2:R$401,$U204)))</f>
        <v/>
      </c>
      <c r="S204" s="7">
        <f>IF($U204="","",IF(INDEX('Per Invoice'!S$2:S$401,$U204)="","",INDEX('Per Invoice'!S$2:S$401,$U204)))</f>
        <v/>
      </c>
      <c r="T204" s="7">
        <f>IF($U204="","",IF(INDEX('Per Invoice'!T$2:T$401,$U204)="","",INDEX('Per Invoice'!T$2:T$401,$U204)))</f>
        <v/>
      </c>
      <c r="U204" s="16">
        <f>IFERROR(MATCH(Settings!$C$28&amp;"|"&amp;ROWS($U$2:$U204),'Per Invoice'!$V$2:$V$401,0),"")</f>
        <v/>
      </c>
    </row>
    <row r="205">
      <c r="A205">
        <f>IF($U205="","",IF(INDEX('Per Invoice'!A$2:A$401,$U205)="","",INDEX('Per Invoice'!A$2:A$401,$U205)))</f>
        <v/>
      </c>
      <c r="B205">
        <f>IF($U205="","",IF(INDEX('Per Invoice'!B$2:B$401,$U205)="","",INDEX('Per Invoice'!B$2:B$401,$U205)))</f>
        <v/>
      </c>
      <c r="C205">
        <f>IF($U205="","",IF(INDEX('Per Invoice'!C$2:C$401,$U205)="","",INDEX('Per Invoice'!C$2:C$401,$U205)))</f>
        <v/>
      </c>
      <c r="D205">
        <f>IF($U205="","",IF(INDEX('Per Invoice'!D$2:D$401,$U205)="","",INDEX('Per Invoice'!D$2:D$401,$U205)))</f>
        <v/>
      </c>
      <c r="E205">
        <f>IF($U205="","",IF(INDEX('Per Invoice'!E$2:E$401,$U205)="","",INDEX('Per Invoice'!E$2:E$401,$U205)))</f>
        <v/>
      </c>
      <c r="F205">
        <f>IF($U205="","",IF(INDEX('Per Invoice'!F$2:F$401,$U205)="","",INDEX('Per Invoice'!F$2:F$401,$U205)))</f>
        <v/>
      </c>
      <c r="G205">
        <f>IF($U205="","",IF(INDEX('Per Invoice'!G$2:G$401,$U205)="","",INDEX('Per Invoice'!G$2:G$401,$U205)))</f>
        <v/>
      </c>
      <c r="H205" s="7">
        <f>IF($U205="","",IF(INDEX('Per Invoice'!H$2:H$401,$U205)="","",INDEX('Per Invoice'!H$2:H$401,$U205)))</f>
        <v/>
      </c>
      <c r="I205" s="14">
        <f>IF($U205="","",IF(INDEX('Per Invoice'!I$2:I$401,$U205)="","",INDEX('Per Invoice'!I$2:I$401,$U205)))</f>
        <v/>
      </c>
      <c r="J205">
        <f>IF($U205="","",IF(INDEX('Per Invoice'!J$2:J$401,$U205)="","",INDEX('Per Invoice'!J$2:J$401,$U205)))</f>
        <v/>
      </c>
      <c r="K205">
        <f>IF($U205="","",IF(INDEX('Per Invoice'!K$2:K$401,$U205)="","",INDEX('Per Invoice'!K$2:K$401,$U205)))</f>
        <v/>
      </c>
      <c r="L205" s="7">
        <f>IF($U205="","",IF(INDEX('Per Invoice'!L$2:L$401,$U205)="","",INDEX('Per Invoice'!L$2:L$401,$U205)))</f>
        <v/>
      </c>
      <c r="M205" s="7">
        <f>IF($U205="","",IF(INDEX('Per Invoice'!M$2:M$401,$U205)="","",INDEX('Per Invoice'!M$2:M$401,$U205)))</f>
        <v/>
      </c>
      <c r="N205">
        <f>IF($U205="","",IF(INDEX('Per Invoice'!N$2:N$401,$U205)="","",INDEX('Per Invoice'!N$2:N$401,$U205)))</f>
        <v/>
      </c>
      <c r="O205" s="7">
        <f>IF($U205="","",IF(INDEX('Per Invoice'!O$2:O$401,$U205)="","",INDEX('Per Invoice'!O$2:O$401,$U205)))</f>
        <v/>
      </c>
      <c r="P205" s="7">
        <f>IF($U205="","",IF(INDEX('Per Invoice'!P$2:P$401,$U205)="","",INDEX('Per Invoice'!P$2:P$401,$U205)))</f>
        <v/>
      </c>
      <c r="Q205" s="7">
        <f>IF($U205="","",IF(INDEX('Per Invoice'!Q$2:Q$401,$U205)="","",INDEX('Per Invoice'!Q$2:Q$401,$U205)))</f>
        <v/>
      </c>
      <c r="R205" s="7">
        <f>IF($U205="","",IF(INDEX('Per Invoice'!R$2:R$401,$U205)="","",INDEX('Per Invoice'!R$2:R$401,$U205)))</f>
        <v/>
      </c>
      <c r="S205" s="7">
        <f>IF($U205="","",IF(INDEX('Per Invoice'!S$2:S$401,$U205)="","",INDEX('Per Invoice'!S$2:S$401,$U205)))</f>
        <v/>
      </c>
      <c r="T205" s="7">
        <f>IF($U205="","",IF(INDEX('Per Invoice'!T$2:T$401,$U205)="","",INDEX('Per Invoice'!T$2:T$401,$U205)))</f>
        <v/>
      </c>
      <c r="U205" s="16">
        <f>IFERROR(MATCH(Settings!$C$28&amp;"|"&amp;ROWS($U$2:$U205),'Per Invoice'!$V$2:$V$401,0),"")</f>
        <v/>
      </c>
    </row>
    <row r="206">
      <c r="A206">
        <f>IF($U206="","",IF(INDEX('Per Invoice'!A$2:A$401,$U206)="","",INDEX('Per Invoice'!A$2:A$401,$U206)))</f>
        <v/>
      </c>
      <c r="B206">
        <f>IF($U206="","",IF(INDEX('Per Invoice'!B$2:B$401,$U206)="","",INDEX('Per Invoice'!B$2:B$401,$U206)))</f>
        <v/>
      </c>
      <c r="C206">
        <f>IF($U206="","",IF(INDEX('Per Invoice'!C$2:C$401,$U206)="","",INDEX('Per Invoice'!C$2:C$401,$U206)))</f>
        <v/>
      </c>
      <c r="D206">
        <f>IF($U206="","",IF(INDEX('Per Invoice'!D$2:D$401,$U206)="","",INDEX('Per Invoice'!D$2:D$401,$U206)))</f>
        <v/>
      </c>
      <c r="E206">
        <f>IF($U206="","",IF(INDEX('Per Invoice'!E$2:E$401,$U206)="","",INDEX('Per Invoice'!E$2:E$401,$U206)))</f>
        <v/>
      </c>
      <c r="F206">
        <f>IF($U206="","",IF(INDEX('Per Invoice'!F$2:F$401,$U206)="","",INDEX('Per Invoice'!F$2:F$401,$U206)))</f>
        <v/>
      </c>
      <c r="G206">
        <f>IF($U206="","",IF(INDEX('Per Invoice'!G$2:G$401,$U206)="","",INDEX('Per Invoice'!G$2:G$401,$U206)))</f>
        <v/>
      </c>
      <c r="H206" s="7">
        <f>IF($U206="","",IF(INDEX('Per Invoice'!H$2:H$401,$U206)="","",INDEX('Per Invoice'!H$2:H$401,$U206)))</f>
        <v/>
      </c>
      <c r="I206" s="14">
        <f>IF($U206="","",IF(INDEX('Per Invoice'!I$2:I$401,$U206)="","",INDEX('Per Invoice'!I$2:I$401,$U206)))</f>
        <v/>
      </c>
      <c r="J206">
        <f>IF($U206="","",IF(INDEX('Per Invoice'!J$2:J$401,$U206)="","",INDEX('Per Invoice'!J$2:J$401,$U206)))</f>
        <v/>
      </c>
      <c r="K206">
        <f>IF($U206="","",IF(INDEX('Per Invoice'!K$2:K$401,$U206)="","",INDEX('Per Invoice'!K$2:K$401,$U206)))</f>
        <v/>
      </c>
      <c r="L206" s="7">
        <f>IF($U206="","",IF(INDEX('Per Invoice'!L$2:L$401,$U206)="","",INDEX('Per Invoice'!L$2:L$401,$U206)))</f>
        <v/>
      </c>
      <c r="M206" s="7">
        <f>IF($U206="","",IF(INDEX('Per Invoice'!M$2:M$401,$U206)="","",INDEX('Per Invoice'!M$2:M$401,$U206)))</f>
        <v/>
      </c>
      <c r="N206">
        <f>IF($U206="","",IF(INDEX('Per Invoice'!N$2:N$401,$U206)="","",INDEX('Per Invoice'!N$2:N$401,$U206)))</f>
        <v/>
      </c>
      <c r="O206" s="7">
        <f>IF($U206="","",IF(INDEX('Per Invoice'!O$2:O$401,$U206)="","",INDEX('Per Invoice'!O$2:O$401,$U206)))</f>
        <v/>
      </c>
      <c r="P206" s="7">
        <f>IF($U206="","",IF(INDEX('Per Invoice'!P$2:P$401,$U206)="","",INDEX('Per Invoice'!P$2:P$401,$U206)))</f>
        <v/>
      </c>
      <c r="Q206" s="7">
        <f>IF($U206="","",IF(INDEX('Per Invoice'!Q$2:Q$401,$U206)="","",INDEX('Per Invoice'!Q$2:Q$401,$U206)))</f>
        <v/>
      </c>
      <c r="R206" s="7">
        <f>IF($U206="","",IF(INDEX('Per Invoice'!R$2:R$401,$U206)="","",INDEX('Per Invoice'!R$2:R$401,$U206)))</f>
        <v/>
      </c>
      <c r="S206" s="7">
        <f>IF($U206="","",IF(INDEX('Per Invoice'!S$2:S$401,$U206)="","",INDEX('Per Invoice'!S$2:S$401,$U206)))</f>
        <v/>
      </c>
      <c r="T206" s="7">
        <f>IF($U206="","",IF(INDEX('Per Invoice'!T$2:T$401,$U206)="","",INDEX('Per Invoice'!T$2:T$401,$U206)))</f>
        <v/>
      </c>
      <c r="U206" s="16">
        <f>IFERROR(MATCH(Settings!$C$28&amp;"|"&amp;ROWS($U$2:$U206),'Per Invoice'!$V$2:$V$401,0),"")</f>
        <v/>
      </c>
    </row>
    <row r="207">
      <c r="A207">
        <f>IF($U207="","",IF(INDEX('Per Invoice'!A$2:A$401,$U207)="","",INDEX('Per Invoice'!A$2:A$401,$U207)))</f>
        <v/>
      </c>
      <c r="B207">
        <f>IF($U207="","",IF(INDEX('Per Invoice'!B$2:B$401,$U207)="","",INDEX('Per Invoice'!B$2:B$401,$U207)))</f>
        <v/>
      </c>
      <c r="C207">
        <f>IF($U207="","",IF(INDEX('Per Invoice'!C$2:C$401,$U207)="","",INDEX('Per Invoice'!C$2:C$401,$U207)))</f>
        <v/>
      </c>
      <c r="D207">
        <f>IF($U207="","",IF(INDEX('Per Invoice'!D$2:D$401,$U207)="","",INDEX('Per Invoice'!D$2:D$401,$U207)))</f>
        <v/>
      </c>
      <c r="E207">
        <f>IF($U207="","",IF(INDEX('Per Invoice'!E$2:E$401,$U207)="","",INDEX('Per Invoice'!E$2:E$401,$U207)))</f>
        <v/>
      </c>
      <c r="F207">
        <f>IF($U207="","",IF(INDEX('Per Invoice'!F$2:F$401,$U207)="","",INDEX('Per Invoice'!F$2:F$401,$U207)))</f>
        <v/>
      </c>
      <c r="G207">
        <f>IF($U207="","",IF(INDEX('Per Invoice'!G$2:G$401,$U207)="","",INDEX('Per Invoice'!G$2:G$401,$U207)))</f>
        <v/>
      </c>
      <c r="H207" s="7">
        <f>IF($U207="","",IF(INDEX('Per Invoice'!H$2:H$401,$U207)="","",INDEX('Per Invoice'!H$2:H$401,$U207)))</f>
        <v/>
      </c>
      <c r="I207" s="14">
        <f>IF($U207="","",IF(INDEX('Per Invoice'!I$2:I$401,$U207)="","",INDEX('Per Invoice'!I$2:I$401,$U207)))</f>
        <v/>
      </c>
      <c r="J207">
        <f>IF($U207="","",IF(INDEX('Per Invoice'!J$2:J$401,$U207)="","",INDEX('Per Invoice'!J$2:J$401,$U207)))</f>
        <v/>
      </c>
      <c r="K207">
        <f>IF($U207="","",IF(INDEX('Per Invoice'!K$2:K$401,$U207)="","",INDEX('Per Invoice'!K$2:K$401,$U207)))</f>
        <v/>
      </c>
      <c r="L207" s="7">
        <f>IF($U207="","",IF(INDEX('Per Invoice'!L$2:L$401,$U207)="","",INDEX('Per Invoice'!L$2:L$401,$U207)))</f>
        <v/>
      </c>
      <c r="M207" s="7">
        <f>IF($U207="","",IF(INDEX('Per Invoice'!M$2:M$401,$U207)="","",INDEX('Per Invoice'!M$2:M$401,$U207)))</f>
        <v/>
      </c>
      <c r="N207">
        <f>IF($U207="","",IF(INDEX('Per Invoice'!N$2:N$401,$U207)="","",INDEX('Per Invoice'!N$2:N$401,$U207)))</f>
        <v/>
      </c>
      <c r="O207" s="7">
        <f>IF($U207="","",IF(INDEX('Per Invoice'!O$2:O$401,$U207)="","",INDEX('Per Invoice'!O$2:O$401,$U207)))</f>
        <v/>
      </c>
      <c r="P207" s="7">
        <f>IF($U207="","",IF(INDEX('Per Invoice'!P$2:P$401,$U207)="","",INDEX('Per Invoice'!P$2:P$401,$U207)))</f>
        <v/>
      </c>
      <c r="Q207" s="7">
        <f>IF($U207="","",IF(INDEX('Per Invoice'!Q$2:Q$401,$U207)="","",INDEX('Per Invoice'!Q$2:Q$401,$U207)))</f>
        <v/>
      </c>
      <c r="R207" s="7">
        <f>IF($U207="","",IF(INDEX('Per Invoice'!R$2:R$401,$U207)="","",INDEX('Per Invoice'!R$2:R$401,$U207)))</f>
        <v/>
      </c>
      <c r="S207" s="7">
        <f>IF($U207="","",IF(INDEX('Per Invoice'!S$2:S$401,$U207)="","",INDEX('Per Invoice'!S$2:S$401,$U207)))</f>
        <v/>
      </c>
      <c r="T207" s="7">
        <f>IF($U207="","",IF(INDEX('Per Invoice'!T$2:T$401,$U207)="","",INDEX('Per Invoice'!T$2:T$401,$U207)))</f>
        <v/>
      </c>
      <c r="U207" s="16">
        <f>IFERROR(MATCH(Settings!$C$28&amp;"|"&amp;ROWS($U$2:$U207),'Per Invoice'!$V$2:$V$401,0),"")</f>
        <v/>
      </c>
    </row>
    <row r="208">
      <c r="A208">
        <f>IF($U208="","",IF(INDEX('Per Invoice'!A$2:A$401,$U208)="","",INDEX('Per Invoice'!A$2:A$401,$U208)))</f>
        <v/>
      </c>
      <c r="B208">
        <f>IF($U208="","",IF(INDEX('Per Invoice'!B$2:B$401,$U208)="","",INDEX('Per Invoice'!B$2:B$401,$U208)))</f>
        <v/>
      </c>
      <c r="C208">
        <f>IF($U208="","",IF(INDEX('Per Invoice'!C$2:C$401,$U208)="","",INDEX('Per Invoice'!C$2:C$401,$U208)))</f>
        <v/>
      </c>
      <c r="D208">
        <f>IF($U208="","",IF(INDEX('Per Invoice'!D$2:D$401,$U208)="","",INDEX('Per Invoice'!D$2:D$401,$U208)))</f>
        <v/>
      </c>
      <c r="E208">
        <f>IF($U208="","",IF(INDEX('Per Invoice'!E$2:E$401,$U208)="","",INDEX('Per Invoice'!E$2:E$401,$U208)))</f>
        <v/>
      </c>
      <c r="F208">
        <f>IF($U208="","",IF(INDEX('Per Invoice'!F$2:F$401,$U208)="","",INDEX('Per Invoice'!F$2:F$401,$U208)))</f>
        <v/>
      </c>
      <c r="G208">
        <f>IF($U208="","",IF(INDEX('Per Invoice'!G$2:G$401,$U208)="","",INDEX('Per Invoice'!G$2:G$401,$U208)))</f>
        <v/>
      </c>
      <c r="H208" s="7">
        <f>IF($U208="","",IF(INDEX('Per Invoice'!H$2:H$401,$U208)="","",INDEX('Per Invoice'!H$2:H$401,$U208)))</f>
        <v/>
      </c>
      <c r="I208" s="14">
        <f>IF($U208="","",IF(INDEX('Per Invoice'!I$2:I$401,$U208)="","",INDEX('Per Invoice'!I$2:I$401,$U208)))</f>
        <v/>
      </c>
      <c r="J208">
        <f>IF($U208="","",IF(INDEX('Per Invoice'!J$2:J$401,$U208)="","",INDEX('Per Invoice'!J$2:J$401,$U208)))</f>
        <v/>
      </c>
      <c r="K208">
        <f>IF($U208="","",IF(INDEX('Per Invoice'!K$2:K$401,$U208)="","",INDEX('Per Invoice'!K$2:K$401,$U208)))</f>
        <v/>
      </c>
      <c r="L208" s="7">
        <f>IF($U208="","",IF(INDEX('Per Invoice'!L$2:L$401,$U208)="","",INDEX('Per Invoice'!L$2:L$401,$U208)))</f>
        <v/>
      </c>
      <c r="M208" s="7">
        <f>IF($U208="","",IF(INDEX('Per Invoice'!M$2:M$401,$U208)="","",INDEX('Per Invoice'!M$2:M$401,$U208)))</f>
        <v/>
      </c>
      <c r="N208">
        <f>IF($U208="","",IF(INDEX('Per Invoice'!N$2:N$401,$U208)="","",INDEX('Per Invoice'!N$2:N$401,$U208)))</f>
        <v/>
      </c>
      <c r="O208" s="7">
        <f>IF($U208="","",IF(INDEX('Per Invoice'!O$2:O$401,$U208)="","",INDEX('Per Invoice'!O$2:O$401,$U208)))</f>
        <v/>
      </c>
      <c r="P208" s="7">
        <f>IF($U208="","",IF(INDEX('Per Invoice'!P$2:P$401,$U208)="","",INDEX('Per Invoice'!P$2:P$401,$U208)))</f>
        <v/>
      </c>
      <c r="Q208" s="7">
        <f>IF($U208="","",IF(INDEX('Per Invoice'!Q$2:Q$401,$U208)="","",INDEX('Per Invoice'!Q$2:Q$401,$U208)))</f>
        <v/>
      </c>
      <c r="R208" s="7">
        <f>IF($U208="","",IF(INDEX('Per Invoice'!R$2:R$401,$U208)="","",INDEX('Per Invoice'!R$2:R$401,$U208)))</f>
        <v/>
      </c>
      <c r="S208" s="7">
        <f>IF($U208="","",IF(INDEX('Per Invoice'!S$2:S$401,$U208)="","",INDEX('Per Invoice'!S$2:S$401,$U208)))</f>
        <v/>
      </c>
      <c r="T208" s="7">
        <f>IF($U208="","",IF(INDEX('Per Invoice'!T$2:T$401,$U208)="","",INDEX('Per Invoice'!T$2:T$401,$U208)))</f>
        <v/>
      </c>
      <c r="U208" s="16">
        <f>IFERROR(MATCH(Settings!$C$28&amp;"|"&amp;ROWS($U$2:$U208),'Per Invoice'!$V$2:$V$401,0),"")</f>
        <v/>
      </c>
    </row>
    <row r="209">
      <c r="A209">
        <f>IF($U209="","",IF(INDEX('Per Invoice'!A$2:A$401,$U209)="","",INDEX('Per Invoice'!A$2:A$401,$U209)))</f>
        <v/>
      </c>
      <c r="B209">
        <f>IF($U209="","",IF(INDEX('Per Invoice'!B$2:B$401,$U209)="","",INDEX('Per Invoice'!B$2:B$401,$U209)))</f>
        <v/>
      </c>
      <c r="C209">
        <f>IF($U209="","",IF(INDEX('Per Invoice'!C$2:C$401,$U209)="","",INDEX('Per Invoice'!C$2:C$401,$U209)))</f>
        <v/>
      </c>
      <c r="D209">
        <f>IF($U209="","",IF(INDEX('Per Invoice'!D$2:D$401,$U209)="","",INDEX('Per Invoice'!D$2:D$401,$U209)))</f>
        <v/>
      </c>
      <c r="E209">
        <f>IF($U209="","",IF(INDEX('Per Invoice'!E$2:E$401,$U209)="","",INDEX('Per Invoice'!E$2:E$401,$U209)))</f>
        <v/>
      </c>
      <c r="F209">
        <f>IF($U209="","",IF(INDEX('Per Invoice'!F$2:F$401,$U209)="","",INDEX('Per Invoice'!F$2:F$401,$U209)))</f>
        <v/>
      </c>
      <c r="G209">
        <f>IF($U209="","",IF(INDEX('Per Invoice'!G$2:G$401,$U209)="","",INDEX('Per Invoice'!G$2:G$401,$U209)))</f>
        <v/>
      </c>
      <c r="H209" s="7">
        <f>IF($U209="","",IF(INDEX('Per Invoice'!H$2:H$401,$U209)="","",INDEX('Per Invoice'!H$2:H$401,$U209)))</f>
        <v/>
      </c>
      <c r="I209" s="14">
        <f>IF($U209="","",IF(INDEX('Per Invoice'!I$2:I$401,$U209)="","",INDEX('Per Invoice'!I$2:I$401,$U209)))</f>
        <v/>
      </c>
      <c r="J209">
        <f>IF($U209="","",IF(INDEX('Per Invoice'!J$2:J$401,$U209)="","",INDEX('Per Invoice'!J$2:J$401,$U209)))</f>
        <v/>
      </c>
      <c r="K209">
        <f>IF($U209="","",IF(INDEX('Per Invoice'!K$2:K$401,$U209)="","",INDEX('Per Invoice'!K$2:K$401,$U209)))</f>
        <v/>
      </c>
      <c r="L209" s="7">
        <f>IF($U209="","",IF(INDEX('Per Invoice'!L$2:L$401,$U209)="","",INDEX('Per Invoice'!L$2:L$401,$U209)))</f>
        <v/>
      </c>
      <c r="M209" s="7">
        <f>IF($U209="","",IF(INDEX('Per Invoice'!M$2:M$401,$U209)="","",INDEX('Per Invoice'!M$2:M$401,$U209)))</f>
        <v/>
      </c>
      <c r="N209">
        <f>IF($U209="","",IF(INDEX('Per Invoice'!N$2:N$401,$U209)="","",INDEX('Per Invoice'!N$2:N$401,$U209)))</f>
        <v/>
      </c>
      <c r="O209" s="7">
        <f>IF($U209="","",IF(INDEX('Per Invoice'!O$2:O$401,$U209)="","",INDEX('Per Invoice'!O$2:O$401,$U209)))</f>
        <v/>
      </c>
      <c r="P209" s="7">
        <f>IF($U209="","",IF(INDEX('Per Invoice'!P$2:P$401,$U209)="","",INDEX('Per Invoice'!P$2:P$401,$U209)))</f>
        <v/>
      </c>
      <c r="Q209" s="7">
        <f>IF($U209="","",IF(INDEX('Per Invoice'!Q$2:Q$401,$U209)="","",INDEX('Per Invoice'!Q$2:Q$401,$U209)))</f>
        <v/>
      </c>
      <c r="R209" s="7">
        <f>IF($U209="","",IF(INDEX('Per Invoice'!R$2:R$401,$U209)="","",INDEX('Per Invoice'!R$2:R$401,$U209)))</f>
        <v/>
      </c>
      <c r="S209" s="7">
        <f>IF($U209="","",IF(INDEX('Per Invoice'!S$2:S$401,$U209)="","",INDEX('Per Invoice'!S$2:S$401,$U209)))</f>
        <v/>
      </c>
      <c r="T209" s="7">
        <f>IF($U209="","",IF(INDEX('Per Invoice'!T$2:T$401,$U209)="","",INDEX('Per Invoice'!T$2:T$401,$U209)))</f>
        <v/>
      </c>
      <c r="U209" s="16">
        <f>IFERROR(MATCH(Settings!$C$28&amp;"|"&amp;ROWS($U$2:$U209),'Per Invoice'!$V$2:$V$401,0),"")</f>
        <v/>
      </c>
    </row>
    <row r="210">
      <c r="A210">
        <f>IF($U210="","",IF(INDEX('Per Invoice'!A$2:A$401,$U210)="","",INDEX('Per Invoice'!A$2:A$401,$U210)))</f>
        <v/>
      </c>
      <c r="B210">
        <f>IF($U210="","",IF(INDEX('Per Invoice'!B$2:B$401,$U210)="","",INDEX('Per Invoice'!B$2:B$401,$U210)))</f>
        <v/>
      </c>
      <c r="C210">
        <f>IF($U210="","",IF(INDEX('Per Invoice'!C$2:C$401,$U210)="","",INDEX('Per Invoice'!C$2:C$401,$U210)))</f>
        <v/>
      </c>
      <c r="D210">
        <f>IF($U210="","",IF(INDEX('Per Invoice'!D$2:D$401,$U210)="","",INDEX('Per Invoice'!D$2:D$401,$U210)))</f>
        <v/>
      </c>
      <c r="E210">
        <f>IF($U210="","",IF(INDEX('Per Invoice'!E$2:E$401,$U210)="","",INDEX('Per Invoice'!E$2:E$401,$U210)))</f>
        <v/>
      </c>
      <c r="F210">
        <f>IF($U210="","",IF(INDEX('Per Invoice'!F$2:F$401,$U210)="","",INDEX('Per Invoice'!F$2:F$401,$U210)))</f>
        <v/>
      </c>
      <c r="G210">
        <f>IF($U210="","",IF(INDEX('Per Invoice'!G$2:G$401,$U210)="","",INDEX('Per Invoice'!G$2:G$401,$U210)))</f>
        <v/>
      </c>
      <c r="H210" s="7">
        <f>IF($U210="","",IF(INDEX('Per Invoice'!H$2:H$401,$U210)="","",INDEX('Per Invoice'!H$2:H$401,$U210)))</f>
        <v/>
      </c>
      <c r="I210" s="14">
        <f>IF($U210="","",IF(INDEX('Per Invoice'!I$2:I$401,$U210)="","",INDEX('Per Invoice'!I$2:I$401,$U210)))</f>
        <v/>
      </c>
      <c r="J210">
        <f>IF($U210="","",IF(INDEX('Per Invoice'!J$2:J$401,$U210)="","",INDEX('Per Invoice'!J$2:J$401,$U210)))</f>
        <v/>
      </c>
      <c r="K210">
        <f>IF($U210="","",IF(INDEX('Per Invoice'!K$2:K$401,$U210)="","",INDEX('Per Invoice'!K$2:K$401,$U210)))</f>
        <v/>
      </c>
      <c r="L210" s="7">
        <f>IF($U210="","",IF(INDEX('Per Invoice'!L$2:L$401,$U210)="","",INDEX('Per Invoice'!L$2:L$401,$U210)))</f>
        <v/>
      </c>
      <c r="M210" s="7">
        <f>IF($U210="","",IF(INDEX('Per Invoice'!M$2:M$401,$U210)="","",INDEX('Per Invoice'!M$2:M$401,$U210)))</f>
        <v/>
      </c>
      <c r="N210">
        <f>IF($U210="","",IF(INDEX('Per Invoice'!N$2:N$401,$U210)="","",INDEX('Per Invoice'!N$2:N$401,$U210)))</f>
        <v/>
      </c>
      <c r="O210" s="7">
        <f>IF($U210="","",IF(INDEX('Per Invoice'!O$2:O$401,$U210)="","",INDEX('Per Invoice'!O$2:O$401,$U210)))</f>
        <v/>
      </c>
      <c r="P210" s="7">
        <f>IF($U210="","",IF(INDEX('Per Invoice'!P$2:P$401,$U210)="","",INDEX('Per Invoice'!P$2:P$401,$U210)))</f>
        <v/>
      </c>
      <c r="Q210" s="7">
        <f>IF($U210="","",IF(INDEX('Per Invoice'!Q$2:Q$401,$U210)="","",INDEX('Per Invoice'!Q$2:Q$401,$U210)))</f>
        <v/>
      </c>
      <c r="R210" s="7">
        <f>IF($U210="","",IF(INDEX('Per Invoice'!R$2:R$401,$U210)="","",INDEX('Per Invoice'!R$2:R$401,$U210)))</f>
        <v/>
      </c>
      <c r="S210" s="7">
        <f>IF($U210="","",IF(INDEX('Per Invoice'!S$2:S$401,$U210)="","",INDEX('Per Invoice'!S$2:S$401,$U210)))</f>
        <v/>
      </c>
      <c r="T210" s="7">
        <f>IF($U210="","",IF(INDEX('Per Invoice'!T$2:T$401,$U210)="","",INDEX('Per Invoice'!T$2:T$401,$U210)))</f>
        <v/>
      </c>
      <c r="U210" s="16">
        <f>IFERROR(MATCH(Settings!$C$28&amp;"|"&amp;ROWS($U$2:$U210),'Per Invoice'!$V$2:$V$401,0),"")</f>
        <v/>
      </c>
    </row>
    <row r="211">
      <c r="A211">
        <f>IF($U211="","",IF(INDEX('Per Invoice'!A$2:A$401,$U211)="","",INDEX('Per Invoice'!A$2:A$401,$U211)))</f>
        <v/>
      </c>
      <c r="B211">
        <f>IF($U211="","",IF(INDEX('Per Invoice'!B$2:B$401,$U211)="","",INDEX('Per Invoice'!B$2:B$401,$U211)))</f>
        <v/>
      </c>
      <c r="C211">
        <f>IF($U211="","",IF(INDEX('Per Invoice'!C$2:C$401,$U211)="","",INDEX('Per Invoice'!C$2:C$401,$U211)))</f>
        <v/>
      </c>
      <c r="D211">
        <f>IF($U211="","",IF(INDEX('Per Invoice'!D$2:D$401,$U211)="","",INDEX('Per Invoice'!D$2:D$401,$U211)))</f>
        <v/>
      </c>
      <c r="E211">
        <f>IF($U211="","",IF(INDEX('Per Invoice'!E$2:E$401,$U211)="","",INDEX('Per Invoice'!E$2:E$401,$U211)))</f>
        <v/>
      </c>
      <c r="F211">
        <f>IF($U211="","",IF(INDEX('Per Invoice'!F$2:F$401,$U211)="","",INDEX('Per Invoice'!F$2:F$401,$U211)))</f>
        <v/>
      </c>
      <c r="G211">
        <f>IF($U211="","",IF(INDEX('Per Invoice'!G$2:G$401,$U211)="","",INDEX('Per Invoice'!G$2:G$401,$U211)))</f>
        <v/>
      </c>
      <c r="H211" s="7">
        <f>IF($U211="","",IF(INDEX('Per Invoice'!H$2:H$401,$U211)="","",INDEX('Per Invoice'!H$2:H$401,$U211)))</f>
        <v/>
      </c>
      <c r="I211" s="14">
        <f>IF($U211="","",IF(INDEX('Per Invoice'!I$2:I$401,$U211)="","",INDEX('Per Invoice'!I$2:I$401,$U211)))</f>
        <v/>
      </c>
      <c r="J211">
        <f>IF($U211="","",IF(INDEX('Per Invoice'!J$2:J$401,$U211)="","",INDEX('Per Invoice'!J$2:J$401,$U211)))</f>
        <v/>
      </c>
      <c r="K211">
        <f>IF($U211="","",IF(INDEX('Per Invoice'!K$2:K$401,$U211)="","",INDEX('Per Invoice'!K$2:K$401,$U211)))</f>
        <v/>
      </c>
      <c r="L211" s="7">
        <f>IF($U211="","",IF(INDEX('Per Invoice'!L$2:L$401,$U211)="","",INDEX('Per Invoice'!L$2:L$401,$U211)))</f>
        <v/>
      </c>
      <c r="M211" s="7">
        <f>IF($U211="","",IF(INDEX('Per Invoice'!M$2:M$401,$U211)="","",INDEX('Per Invoice'!M$2:M$401,$U211)))</f>
        <v/>
      </c>
      <c r="N211">
        <f>IF($U211="","",IF(INDEX('Per Invoice'!N$2:N$401,$U211)="","",INDEX('Per Invoice'!N$2:N$401,$U211)))</f>
        <v/>
      </c>
      <c r="O211" s="7">
        <f>IF($U211="","",IF(INDEX('Per Invoice'!O$2:O$401,$U211)="","",INDEX('Per Invoice'!O$2:O$401,$U211)))</f>
        <v/>
      </c>
      <c r="P211" s="7">
        <f>IF($U211="","",IF(INDEX('Per Invoice'!P$2:P$401,$U211)="","",INDEX('Per Invoice'!P$2:P$401,$U211)))</f>
        <v/>
      </c>
      <c r="Q211" s="7">
        <f>IF($U211="","",IF(INDEX('Per Invoice'!Q$2:Q$401,$U211)="","",INDEX('Per Invoice'!Q$2:Q$401,$U211)))</f>
        <v/>
      </c>
      <c r="R211" s="7">
        <f>IF($U211="","",IF(INDEX('Per Invoice'!R$2:R$401,$U211)="","",INDEX('Per Invoice'!R$2:R$401,$U211)))</f>
        <v/>
      </c>
      <c r="S211" s="7">
        <f>IF($U211="","",IF(INDEX('Per Invoice'!S$2:S$401,$U211)="","",INDEX('Per Invoice'!S$2:S$401,$U211)))</f>
        <v/>
      </c>
      <c r="T211" s="7">
        <f>IF($U211="","",IF(INDEX('Per Invoice'!T$2:T$401,$U211)="","",INDEX('Per Invoice'!T$2:T$401,$U211)))</f>
        <v/>
      </c>
      <c r="U211" s="16">
        <f>IFERROR(MATCH(Settings!$C$28&amp;"|"&amp;ROWS($U$2:$U211),'Per Invoice'!$V$2:$V$401,0),"")</f>
        <v/>
      </c>
    </row>
    <row r="212">
      <c r="A212">
        <f>IF($U212="","",IF(INDEX('Per Invoice'!A$2:A$401,$U212)="","",INDEX('Per Invoice'!A$2:A$401,$U212)))</f>
        <v/>
      </c>
      <c r="B212">
        <f>IF($U212="","",IF(INDEX('Per Invoice'!B$2:B$401,$U212)="","",INDEX('Per Invoice'!B$2:B$401,$U212)))</f>
        <v/>
      </c>
      <c r="C212">
        <f>IF($U212="","",IF(INDEX('Per Invoice'!C$2:C$401,$U212)="","",INDEX('Per Invoice'!C$2:C$401,$U212)))</f>
        <v/>
      </c>
      <c r="D212">
        <f>IF($U212="","",IF(INDEX('Per Invoice'!D$2:D$401,$U212)="","",INDEX('Per Invoice'!D$2:D$401,$U212)))</f>
        <v/>
      </c>
      <c r="E212">
        <f>IF($U212="","",IF(INDEX('Per Invoice'!E$2:E$401,$U212)="","",INDEX('Per Invoice'!E$2:E$401,$U212)))</f>
        <v/>
      </c>
      <c r="F212">
        <f>IF($U212="","",IF(INDEX('Per Invoice'!F$2:F$401,$U212)="","",INDEX('Per Invoice'!F$2:F$401,$U212)))</f>
        <v/>
      </c>
      <c r="G212">
        <f>IF($U212="","",IF(INDEX('Per Invoice'!G$2:G$401,$U212)="","",INDEX('Per Invoice'!G$2:G$401,$U212)))</f>
        <v/>
      </c>
      <c r="H212" s="7">
        <f>IF($U212="","",IF(INDEX('Per Invoice'!H$2:H$401,$U212)="","",INDEX('Per Invoice'!H$2:H$401,$U212)))</f>
        <v/>
      </c>
      <c r="I212" s="14">
        <f>IF($U212="","",IF(INDEX('Per Invoice'!I$2:I$401,$U212)="","",INDEX('Per Invoice'!I$2:I$401,$U212)))</f>
        <v/>
      </c>
      <c r="J212">
        <f>IF($U212="","",IF(INDEX('Per Invoice'!J$2:J$401,$U212)="","",INDEX('Per Invoice'!J$2:J$401,$U212)))</f>
        <v/>
      </c>
      <c r="K212">
        <f>IF($U212="","",IF(INDEX('Per Invoice'!K$2:K$401,$U212)="","",INDEX('Per Invoice'!K$2:K$401,$U212)))</f>
        <v/>
      </c>
      <c r="L212" s="7">
        <f>IF($U212="","",IF(INDEX('Per Invoice'!L$2:L$401,$U212)="","",INDEX('Per Invoice'!L$2:L$401,$U212)))</f>
        <v/>
      </c>
      <c r="M212" s="7">
        <f>IF($U212="","",IF(INDEX('Per Invoice'!M$2:M$401,$U212)="","",INDEX('Per Invoice'!M$2:M$401,$U212)))</f>
        <v/>
      </c>
      <c r="N212">
        <f>IF($U212="","",IF(INDEX('Per Invoice'!N$2:N$401,$U212)="","",INDEX('Per Invoice'!N$2:N$401,$U212)))</f>
        <v/>
      </c>
      <c r="O212" s="7">
        <f>IF($U212="","",IF(INDEX('Per Invoice'!O$2:O$401,$U212)="","",INDEX('Per Invoice'!O$2:O$401,$U212)))</f>
        <v/>
      </c>
      <c r="P212" s="7">
        <f>IF($U212="","",IF(INDEX('Per Invoice'!P$2:P$401,$U212)="","",INDEX('Per Invoice'!P$2:P$401,$U212)))</f>
        <v/>
      </c>
      <c r="Q212" s="7">
        <f>IF($U212="","",IF(INDEX('Per Invoice'!Q$2:Q$401,$U212)="","",INDEX('Per Invoice'!Q$2:Q$401,$U212)))</f>
        <v/>
      </c>
      <c r="R212" s="7">
        <f>IF($U212="","",IF(INDEX('Per Invoice'!R$2:R$401,$U212)="","",INDEX('Per Invoice'!R$2:R$401,$U212)))</f>
        <v/>
      </c>
      <c r="S212" s="7">
        <f>IF($U212="","",IF(INDEX('Per Invoice'!S$2:S$401,$U212)="","",INDEX('Per Invoice'!S$2:S$401,$U212)))</f>
        <v/>
      </c>
      <c r="T212" s="7">
        <f>IF($U212="","",IF(INDEX('Per Invoice'!T$2:T$401,$U212)="","",INDEX('Per Invoice'!T$2:T$401,$U212)))</f>
        <v/>
      </c>
      <c r="U212" s="16">
        <f>IFERROR(MATCH(Settings!$C$28&amp;"|"&amp;ROWS($U$2:$U212),'Per Invoice'!$V$2:$V$401,0),"")</f>
        <v/>
      </c>
    </row>
    <row r="213">
      <c r="A213">
        <f>IF($U213="","",IF(INDEX('Per Invoice'!A$2:A$401,$U213)="","",INDEX('Per Invoice'!A$2:A$401,$U213)))</f>
        <v/>
      </c>
      <c r="B213">
        <f>IF($U213="","",IF(INDEX('Per Invoice'!B$2:B$401,$U213)="","",INDEX('Per Invoice'!B$2:B$401,$U213)))</f>
        <v/>
      </c>
      <c r="C213">
        <f>IF($U213="","",IF(INDEX('Per Invoice'!C$2:C$401,$U213)="","",INDEX('Per Invoice'!C$2:C$401,$U213)))</f>
        <v/>
      </c>
      <c r="D213">
        <f>IF($U213="","",IF(INDEX('Per Invoice'!D$2:D$401,$U213)="","",INDEX('Per Invoice'!D$2:D$401,$U213)))</f>
        <v/>
      </c>
      <c r="E213">
        <f>IF($U213="","",IF(INDEX('Per Invoice'!E$2:E$401,$U213)="","",INDEX('Per Invoice'!E$2:E$401,$U213)))</f>
        <v/>
      </c>
      <c r="F213">
        <f>IF($U213="","",IF(INDEX('Per Invoice'!F$2:F$401,$U213)="","",INDEX('Per Invoice'!F$2:F$401,$U213)))</f>
        <v/>
      </c>
      <c r="G213">
        <f>IF($U213="","",IF(INDEX('Per Invoice'!G$2:G$401,$U213)="","",INDEX('Per Invoice'!G$2:G$401,$U213)))</f>
        <v/>
      </c>
      <c r="H213" s="7">
        <f>IF($U213="","",IF(INDEX('Per Invoice'!H$2:H$401,$U213)="","",INDEX('Per Invoice'!H$2:H$401,$U213)))</f>
        <v/>
      </c>
      <c r="I213" s="14">
        <f>IF($U213="","",IF(INDEX('Per Invoice'!I$2:I$401,$U213)="","",INDEX('Per Invoice'!I$2:I$401,$U213)))</f>
        <v/>
      </c>
      <c r="J213">
        <f>IF($U213="","",IF(INDEX('Per Invoice'!J$2:J$401,$U213)="","",INDEX('Per Invoice'!J$2:J$401,$U213)))</f>
        <v/>
      </c>
      <c r="K213">
        <f>IF($U213="","",IF(INDEX('Per Invoice'!K$2:K$401,$U213)="","",INDEX('Per Invoice'!K$2:K$401,$U213)))</f>
        <v/>
      </c>
      <c r="L213" s="7">
        <f>IF($U213="","",IF(INDEX('Per Invoice'!L$2:L$401,$U213)="","",INDEX('Per Invoice'!L$2:L$401,$U213)))</f>
        <v/>
      </c>
      <c r="M213" s="7">
        <f>IF($U213="","",IF(INDEX('Per Invoice'!M$2:M$401,$U213)="","",INDEX('Per Invoice'!M$2:M$401,$U213)))</f>
        <v/>
      </c>
      <c r="N213">
        <f>IF($U213="","",IF(INDEX('Per Invoice'!N$2:N$401,$U213)="","",INDEX('Per Invoice'!N$2:N$401,$U213)))</f>
        <v/>
      </c>
      <c r="O213" s="7">
        <f>IF($U213="","",IF(INDEX('Per Invoice'!O$2:O$401,$U213)="","",INDEX('Per Invoice'!O$2:O$401,$U213)))</f>
        <v/>
      </c>
      <c r="P213" s="7">
        <f>IF($U213="","",IF(INDEX('Per Invoice'!P$2:P$401,$U213)="","",INDEX('Per Invoice'!P$2:P$401,$U213)))</f>
        <v/>
      </c>
      <c r="Q213" s="7">
        <f>IF($U213="","",IF(INDEX('Per Invoice'!Q$2:Q$401,$U213)="","",INDEX('Per Invoice'!Q$2:Q$401,$U213)))</f>
        <v/>
      </c>
      <c r="R213" s="7">
        <f>IF($U213="","",IF(INDEX('Per Invoice'!R$2:R$401,$U213)="","",INDEX('Per Invoice'!R$2:R$401,$U213)))</f>
        <v/>
      </c>
      <c r="S213" s="7">
        <f>IF($U213="","",IF(INDEX('Per Invoice'!S$2:S$401,$U213)="","",INDEX('Per Invoice'!S$2:S$401,$U213)))</f>
        <v/>
      </c>
      <c r="T213" s="7">
        <f>IF($U213="","",IF(INDEX('Per Invoice'!T$2:T$401,$U213)="","",INDEX('Per Invoice'!T$2:T$401,$U213)))</f>
        <v/>
      </c>
      <c r="U213" s="16">
        <f>IFERROR(MATCH(Settings!$C$28&amp;"|"&amp;ROWS($U$2:$U213),'Per Invoice'!$V$2:$V$401,0),"")</f>
        <v/>
      </c>
    </row>
    <row r="214">
      <c r="A214">
        <f>IF($U214="","",IF(INDEX('Per Invoice'!A$2:A$401,$U214)="","",INDEX('Per Invoice'!A$2:A$401,$U214)))</f>
        <v/>
      </c>
      <c r="B214">
        <f>IF($U214="","",IF(INDEX('Per Invoice'!B$2:B$401,$U214)="","",INDEX('Per Invoice'!B$2:B$401,$U214)))</f>
        <v/>
      </c>
      <c r="C214">
        <f>IF($U214="","",IF(INDEX('Per Invoice'!C$2:C$401,$U214)="","",INDEX('Per Invoice'!C$2:C$401,$U214)))</f>
        <v/>
      </c>
      <c r="D214">
        <f>IF($U214="","",IF(INDEX('Per Invoice'!D$2:D$401,$U214)="","",INDEX('Per Invoice'!D$2:D$401,$U214)))</f>
        <v/>
      </c>
      <c r="E214">
        <f>IF($U214="","",IF(INDEX('Per Invoice'!E$2:E$401,$U214)="","",INDEX('Per Invoice'!E$2:E$401,$U214)))</f>
        <v/>
      </c>
      <c r="F214">
        <f>IF($U214="","",IF(INDEX('Per Invoice'!F$2:F$401,$U214)="","",INDEX('Per Invoice'!F$2:F$401,$U214)))</f>
        <v/>
      </c>
      <c r="G214">
        <f>IF($U214="","",IF(INDEX('Per Invoice'!G$2:G$401,$U214)="","",INDEX('Per Invoice'!G$2:G$401,$U214)))</f>
        <v/>
      </c>
      <c r="H214" s="7">
        <f>IF($U214="","",IF(INDEX('Per Invoice'!H$2:H$401,$U214)="","",INDEX('Per Invoice'!H$2:H$401,$U214)))</f>
        <v/>
      </c>
      <c r="I214" s="14">
        <f>IF($U214="","",IF(INDEX('Per Invoice'!I$2:I$401,$U214)="","",INDEX('Per Invoice'!I$2:I$401,$U214)))</f>
        <v/>
      </c>
      <c r="J214">
        <f>IF($U214="","",IF(INDEX('Per Invoice'!J$2:J$401,$U214)="","",INDEX('Per Invoice'!J$2:J$401,$U214)))</f>
        <v/>
      </c>
      <c r="K214">
        <f>IF($U214="","",IF(INDEX('Per Invoice'!K$2:K$401,$U214)="","",INDEX('Per Invoice'!K$2:K$401,$U214)))</f>
        <v/>
      </c>
      <c r="L214" s="7">
        <f>IF($U214="","",IF(INDEX('Per Invoice'!L$2:L$401,$U214)="","",INDEX('Per Invoice'!L$2:L$401,$U214)))</f>
        <v/>
      </c>
      <c r="M214" s="7">
        <f>IF($U214="","",IF(INDEX('Per Invoice'!M$2:M$401,$U214)="","",INDEX('Per Invoice'!M$2:M$401,$U214)))</f>
        <v/>
      </c>
      <c r="N214">
        <f>IF($U214="","",IF(INDEX('Per Invoice'!N$2:N$401,$U214)="","",INDEX('Per Invoice'!N$2:N$401,$U214)))</f>
        <v/>
      </c>
      <c r="O214" s="7">
        <f>IF($U214="","",IF(INDEX('Per Invoice'!O$2:O$401,$U214)="","",INDEX('Per Invoice'!O$2:O$401,$U214)))</f>
        <v/>
      </c>
      <c r="P214" s="7">
        <f>IF($U214="","",IF(INDEX('Per Invoice'!P$2:P$401,$U214)="","",INDEX('Per Invoice'!P$2:P$401,$U214)))</f>
        <v/>
      </c>
      <c r="Q214" s="7">
        <f>IF($U214="","",IF(INDEX('Per Invoice'!Q$2:Q$401,$U214)="","",INDEX('Per Invoice'!Q$2:Q$401,$U214)))</f>
        <v/>
      </c>
      <c r="R214" s="7">
        <f>IF($U214="","",IF(INDEX('Per Invoice'!R$2:R$401,$U214)="","",INDEX('Per Invoice'!R$2:R$401,$U214)))</f>
        <v/>
      </c>
      <c r="S214" s="7">
        <f>IF($U214="","",IF(INDEX('Per Invoice'!S$2:S$401,$U214)="","",INDEX('Per Invoice'!S$2:S$401,$U214)))</f>
        <v/>
      </c>
      <c r="T214" s="7">
        <f>IF($U214="","",IF(INDEX('Per Invoice'!T$2:T$401,$U214)="","",INDEX('Per Invoice'!T$2:T$401,$U214)))</f>
        <v/>
      </c>
      <c r="U214" s="16">
        <f>IFERROR(MATCH(Settings!$C$28&amp;"|"&amp;ROWS($U$2:$U214),'Per Invoice'!$V$2:$V$401,0),"")</f>
        <v/>
      </c>
    </row>
    <row r="215">
      <c r="A215">
        <f>IF($U215="","",IF(INDEX('Per Invoice'!A$2:A$401,$U215)="","",INDEX('Per Invoice'!A$2:A$401,$U215)))</f>
        <v/>
      </c>
      <c r="B215">
        <f>IF($U215="","",IF(INDEX('Per Invoice'!B$2:B$401,$U215)="","",INDEX('Per Invoice'!B$2:B$401,$U215)))</f>
        <v/>
      </c>
      <c r="C215">
        <f>IF($U215="","",IF(INDEX('Per Invoice'!C$2:C$401,$U215)="","",INDEX('Per Invoice'!C$2:C$401,$U215)))</f>
        <v/>
      </c>
      <c r="D215">
        <f>IF($U215="","",IF(INDEX('Per Invoice'!D$2:D$401,$U215)="","",INDEX('Per Invoice'!D$2:D$401,$U215)))</f>
        <v/>
      </c>
      <c r="E215">
        <f>IF($U215="","",IF(INDEX('Per Invoice'!E$2:E$401,$U215)="","",INDEX('Per Invoice'!E$2:E$401,$U215)))</f>
        <v/>
      </c>
      <c r="F215">
        <f>IF($U215="","",IF(INDEX('Per Invoice'!F$2:F$401,$U215)="","",INDEX('Per Invoice'!F$2:F$401,$U215)))</f>
        <v/>
      </c>
      <c r="G215">
        <f>IF($U215="","",IF(INDEX('Per Invoice'!G$2:G$401,$U215)="","",INDEX('Per Invoice'!G$2:G$401,$U215)))</f>
        <v/>
      </c>
      <c r="H215" s="7">
        <f>IF($U215="","",IF(INDEX('Per Invoice'!H$2:H$401,$U215)="","",INDEX('Per Invoice'!H$2:H$401,$U215)))</f>
        <v/>
      </c>
      <c r="I215" s="14">
        <f>IF($U215="","",IF(INDEX('Per Invoice'!I$2:I$401,$U215)="","",INDEX('Per Invoice'!I$2:I$401,$U215)))</f>
        <v/>
      </c>
      <c r="J215">
        <f>IF($U215="","",IF(INDEX('Per Invoice'!J$2:J$401,$U215)="","",INDEX('Per Invoice'!J$2:J$401,$U215)))</f>
        <v/>
      </c>
      <c r="K215">
        <f>IF($U215="","",IF(INDEX('Per Invoice'!K$2:K$401,$U215)="","",INDEX('Per Invoice'!K$2:K$401,$U215)))</f>
        <v/>
      </c>
      <c r="L215" s="7">
        <f>IF($U215="","",IF(INDEX('Per Invoice'!L$2:L$401,$U215)="","",INDEX('Per Invoice'!L$2:L$401,$U215)))</f>
        <v/>
      </c>
      <c r="M215" s="7">
        <f>IF($U215="","",IF(INDEX('Per Invoice'!M$2:M$401,$U215)="","",INDEX('Per Invoice'!M$2:M$401,$U215)))</f>
        <v/>
      </c>
      <c r="N215">
        <f>IF($U215="","",IF(INDEX('Per Invoice'!N$2:N$401,$U215)="","",INDEX('Per Invoice'!N$2:N$401,$U215)))</f>
        <v/>
      </c>
      <c r="O215" s="7">
        <f>IF($U215="","",IF(INDEX('Per Invoice'!O$2:O$401,$U215)="","",INDEX('Per Invoice'!O$2:O$401,$U215)))</f>
        <v/>
      </c>
      <c r="P215" s="7">
        <f>IF($U215="","",IF(INDEX('Per Invoice'!P$2:P$401,$U215)="","",INDEX('Per Invoice'!P$2:P$401,$U215)))</f>
        <v/>
      </c>
      <c r="Q215" s="7">
        <f>IF($U215="","",IF(INDEX('Per Invoice'!Q$2:Q$401,$U215)="","",INDEX('Per Invoice'!Q$2:Q$401,$U215)))</f>
        <v/>
      </c>
      <c r="R215" s="7">
        <f>IF($U215="","",IF(INDEX('Per Invoice'!R$2:R$401,$U215)="","",INDEX('Per Invoice'!R$2:R$401,$U215)))</f>
        <v/>
      </c>
      <c r="S215" s="7">
        <f>IF($U215="","",IF(INDEX('Per Invoice'!S$2:S$401,$U215)="","",INDEX('Per Invoice'!S$2:S$401,$U215)))</f>
        <v/>
      </c>
      <c r="T215" s="7">
        <f>IF($U215="","",IF(INDEX('Per Invoice'!T$2:T$401,$U215)="","",INDEX('Per Invoice'!T$2:T$401,$U215)))</f>
        <v/>
      </c>
      <c r="U215" s="16">
        <f>IFERROR(MATCH(Settings!$C$28&amp;"|"&amp;ROWS($U$2:$U215),'Per Invoice'!$V$2:$V$401,0),"")</f>
        <v/>
      </c>
    </row>
    <row r="216">
      <c r="A216">
        <f>IF($U216="","",IF(INDEX('Per Invoice'!A$2:A$401,$U216)="","",INDEX('Per Invoice'!A$2:A$401,$U216)))</f>
        <v/>
      </c>
      <c r="B216">
        <f>IF($U216="","",IF(INDEX('Per Invoice'!B$2:B$401,$U216)="","",INDEX('Per Invoice'!B$2:B$401,$U216)))</f>
        <v/>
      </c>
      <c r="C216">
        <f>IF($U216="","",IF(INDEX('Per Invoice'!C$2:C$401,$U216)="","",INDEX('Per Invoice'!C$2:C$401,$U216)))</f>
        <v/>
      </c>
      <c r="D216">
        <f>IF($U216="","",IF(INDEX('Per Invoice'!D$2:D$401,$U216)="","",INDEX('Per Invoice'!D$2:D$401,$U216)))</f>
        <v/>
      </c>
      <c r="E216">
        <f>IF($U216="","",IF(INDEX('Per Invoice'!E$2:E$401,$U216)="","",INDEX('Per Invoice'!E$2:E$401,$U216)))</f>
        <v/>
      </c>
      <c r="F216">
        <f>IF($U216="","",IF(INDEX('Per Invoice'!F$2:F$401,$U216)="","",INDEX('Per Invoice'!F$2:F$401,$U216)))</f>
        <v/>
      </c>
      <c r="G216">
        <f>IF($U216="","",IF(INDEX('Per Invoice'!G$2:G$401,$U216)="","",INDEX('Per Invoice'!G$2:G$401,$U216)))</f>
        <v/>
      </c>
      <c r="H216" s="7">
        <f>IF($U216="","",IF(INDEX('Per Invoice'!H$2:H$401,$U216)="","",INDEX('Per Invoice'!H$2:H$401,$U216)))</f>
        <v/>
      </c>
      <c r="I216" s="14">
        <f>IF($U216="","",IF(INDEX('Per Invoice'!I$2:I$401,$U216)="","",INDEX('Per Invoice'!I$2:I$401,$U216)))</f>
        <v/>
      </c>
      <c r="J216">
        <f>IF($U216="","",IF(INDEX('Per Invoice'!J$2:J$401,$U216)="","",INDEX('Per Invoice'!J$2:J$401,$U216)))</f>
        <v/>
      </c>
      <c r="K216">
        <f>IF($U216="","",IF(INDEX('Per Invoice'!K$2:K$401,$U216)="","",INDEX('Per Invoice'!K$2:K$401,$U216)))</f>
        <v/>
      </c>
      <c r="L216" s="7">
        <f>IF($U216="","",IF(INDEX('Per Invoice'!L$2:L$401,$U216)="","",INDEX('Per Invoice'!L$2:L$401,$U216)))</f>
        <v/>
      </c>
      <c r="M216" s="7">
        <f>IF($U216="","",IF(INDEX('Per Invoice'!M$2:M$401,$U216)="","",INDEX('Per Invoice'!M$2:M$401,$U216)))</f>
        <v/>
      </c>
      <c r="N216">
        <f>IF($U216="","",IF(INDEX('Per Invoice'!N$2:N$401,$U216)="","",INDEX('Per Invoice'!N$2:N$401,$U216)))</f>
        <v/>
      </c>
      <c r="O216" s="7">
        <f>IF($U216="","",IF(INDEX('Per Invoice'!O$2:O$401,$U216)="","",INDEX('Per Invoice'!O$2:O$401,$U216)))</f>
        <v/>
      </c>
      <c r="P216" s="7">
        <f>IF($U216="","",IF(INDEX('Per Invoice'!P$2:P$401,$U216)="","",INDEX('Per Invoice'!P$2:P$401,$U216)))</f>
        <v/>
      </c>
      <c r="Q216" s="7">
        <f>IF($U216="","",IF(INDEX('Per Invoice'!Q$2:Q$401,$U216)="","",INDEX('Per Invoice'!Q$2:Q$401,$U216)))</f>
        <v/>
      </c>
      <c r="R216" s="7">
        <f>IF($U216="","",IF(INDEX('Per Invoice'!R$2:R$401,$U216)="","",INDEX('Per Invoice'!R$2:R$401,$U216)))</f>
        <v/>
      </c>
      <c r="S216" s="7">
        <f>IF($U216="","",IF(INDEX('Per Invoice'!S$2:S$401,$U216)="","",INDEX('Per Invoice'!S$2:S$401,$U216)))</f>
        <v/>
      </c>
      <c r="T216" s="7">
        <f>IF($U216="","",IF(INDEX('Per Invoice'!T$2:T$401,$U216)="","",INDEX('Per Invoice'!T$2:T$401,$U216)))</f>
        <v/>
      </c>
      <c r="U216" s="16">
        <f>IFERROR(MATCH(Settings!$C$28&amp;"|"&amp;ROWS($U$2:$U216),'Per Invoice'!$V$2:$V$401,0),"")</f>
        <v/>
      </c>
    </row>
    <row r="217">
      <c r="A217">
        <f>IF($U217="","",IF(INDEX('Per Invoice'!A$2:A$401,$U217)="","",INDEX('Per Invoice'!A$2:A$401,$U217)))</f>
        <v/>
      </c>
      <c r="B217">
        <f>IF($U217="","",IF(INDEX('Per Invoice'!B$2:B$401,$U217)="","",INDEX('Per Invoice'!B$2:B$401,$U217)))</f>
        <v/>
      </c>
      <c r="C217">
        <f>IF($U217="","",IF(INDEX('Per Invoice'!C$2:C$401,$U217)="","",INDEX('Per Invoice'!C$2:C$401,$U217)))</f>
        <v/>
      </c>
      <c r="D217">
        <f>IF($U217="","",IF(INDEX('Per Invoice'!D$2:D$401,$U217)="","",INDEX('Per Invoice'!D$2:D$401,$U217)))</f>
        <v/>
      </c>
      <c r="E217">
        <f>IF($U217="","",IF(INDEX('Per Invoice'!E$2:E$401,$U217)="","",INDEX('Per Invoice'!E$2:E$401,$U217)))</f>
        <v/>
      </c>
      <c r="F217">
        <f>IF($U217="","",IF(INDEX('Per Invoice'!F$2:F$401,$U217)="","",INDEX('Per Invoice'!F$2:F$401,$U217)))</f>
        <v/>
      </c>
      <c r="G217">
        <f>IF($U217="","",IF(INDEX('Per Invoice'!G$2:G$401,$U217)="","",INDEX('Per Invoice'!G$2:G$401,$U217)))</f>
        <v/>
      </c>
      <c r="H217" s="7">
        <f>IF($U217="","",IF(INDEX('Per Invoice'!H$2:H$401,$U217)="","",INDEX('Per Invoice'!H$2:H$401,$U217)))</f>
        <v/>
      </c>
      <c r="I217" s="14">
        <f>IF($U217="","",IF(INDEX('Per Invoice'!I$2:I$401,$U217)="","",INDEX('Per Invoice'!I$2:I$401,$U217)))</f>
        <v/>
      </c>
      <c r="J217">
        <f>IF($U217="","",IF(INDEX('Per Invoice'!J$2:J$401,$U217)="","",INDEX('Per Invoice'!J$2:J$401,$U217)))</f>
        <v/>
      </c>
      <c r="K217">
        <f>IF($U217="","",IF(INDEX('Per Invoice'!K$2:K$401,$U217)="","",INDEX('Per Invoice'!K$2:K$401,$U217)))</f>
        <v/>
      </c>
      <c r="L217" s="7">
        <f>IF($U217="","",IF(INDEX('Per Invoice'!L$2:L$401,$U217)="","",INDEX('Per Invoice'!L$2:L$401,$U217)))</f>
        <v/>
      </c>
      <c r="M217" s="7">
        <f>IF($U217="","",IF(INDEX('Per Invoice'!M$2:M$401,$U217)="","",INDEX('Per Invoice'!M$2:M$401,$U217)))</f>
        <v/>
      </c>
      <c r="N217">
        <f>IF($U217="","",IF(INDEX('Per Invoice'!N$2:N$401,$U217)="","",INDEX('Per Invoice'!N$2:N$401,$U217)))</f>
        <v/>
      </c>
      <c r="O217" s="7">
        <f>IF($U217="","",IF(INDEX('Per Invoice'!O$2:O$401,$U217)="","",INDEX('Per Invoice'!O$2:O$401,$U217)))</f>
        <v/>
      </c>
      <c r="P217" s="7">
        <f>IF($U217="","",IF(INDEX('Per Invoice'!P$2:P$401,$U217)="","",INDEX('Per Invoice'!P$2:P$401,$U217)))</f>
        <v/>
      </c>
      <c r="Q217" s="7">
        <f>IF($U217="","",IF(INDEX('Per Invoice'!Q$2:Q$401,$U217)="","",INDEX('Per Invoice'!Q$2:Q$401,$U217)))</f>
        <v/>
      </c>
      <c r="R217" s="7">
        <f>IF($U217="","",IF(INDEX('Per Invoice'!R$2:R$401,$U217)="","",INDEX('Per Invoice'!R$2:R$401,$U217)))</f>
        <v/>
      </c>
      <c r="S217" s="7">
        <f>IF($U217="","",IF(INDEX('Per Invoice'!S$2:S$401,$U217)="","",INDEX('Per Invoice'!S$2:S$401,$U217)))</f>
        <v/>
      </c>
      <c r="T217" s="7">
        <f>IF($U217="","",IF(INDEX('Per Invoice'!T$2:T$401,$U217)="","",INDEX('Per Invoice'!T$2:T$401,$U217)))</f>
        <v/>
      </c>
      <c r="U217" s="16">
        <f>IFERROR(MATCH(Settings!$C$28&amp;"|"&amp;ROWS($U$2:$U217),'Per Invoice'!$V$2:$V$401,0),"")</f>
        <v/>
      </c>
    </row>
    <row r="218">
      <c r="A218">
        <f>IF($U218="","",IF(INDEX('Per Invoice'!A$2:A$401,$U218)="","",INDEX('Per Invoice'!A$2:A$401,$U218)))</f>
        <v/>
      </c>
      <c r="B218">
        <f>IF($U218="","",IF(INDEX('Per Invoice'!B$2:B$401,$U218)="","",INDEX('Per Invoice'!B$2:B$401,$U218)))</f>
        <v/>
      </c>
      <c r="C218">
        <f>IF($U218="","",IF(INDEX('Per Invoice'!C$2:C$401,$U218)="","",INDEX('Per Invoice'!C$2:C$401,$U218)))</f>
        <v/>
      </c>
      <c r="D218">
        <f>IF($U218="","",IF(INDEX('Per Invoice'!D$2:D$401,$U218)="","",INDEX('Per Invoice'!D$2:D$401,$U218)))</f>
        <v/>
      </c>
      <c r="E218">
        <f>IF($U218="","",IF(INDEX('Per Invoice'!E$2:E$401,$U218)="","",INDEX('Per Invoice'!E$2:E$401,$U218)))</f>
        <v/>
      </c>
      <c r="F218">
        <f>IF($U218="","",IF(INDEX('Per Invoice'!F$2:F$401,$U218)="","",INDEX('Per Invoice'!F$2:F$401,$U218)))</f>
        <v/>
      </c>
      <c r="G218">
        <f>IF($U218="","",IF(INDEX('Per Invoice'!G$2:G$401,$U218)="","",INDEX('Per Invoice'!G$2:G$401,$U218)))</f>
        <v/>
      </c>
      <c r="H218" s="7">
        <f>IF($U218="","",IF(INDEX('Per Invoice'!H$2:H$401,$U218)="","",INDEX('Per Invoice'!H$2:H$401,$U218)))</f>
        <v/>
      </c>
      <c r="I218" s="14">
        <f>IF($U218="","",IF(INDEX('Per Invoice'!I$2:I$401,$U218)="","",INDEX('Per Invoice'!I$2:I$401,$U218)))</f>
        <v/>
      </c>
      <c r="J218">
        <f>IF($U218="","",IF(INDEX('Per Invoice'!J$2:J$401,$U218)="","",INDEX('Per Invoice'!J$2:J$401,$U218)))</f>
        <v/>
      </c>
      <c r="K218">
        <f>IF($U218="","",IF(INDEX('Per Invoice'!K$2:K$401,$U218)="","",INDEX('Per Invoice'!K$2:K$401,$U218)))</f>
        <v/>
      </c>
      <c r="L218" s="7">
        <f>IF($U218="","",IF(INDEX('Per Invoice'!L$2:L$401,$U218)="","",INDEX('Per Invoice'!L$2:L$401,$U218)))</f>
        <v/>
      </c>
      <c r="M218" s="7">
        <f>IF($U218="","",IF(INDEX('Per Invoice'!M$2:M$401,$U218)="","",INDEX('Per Invoice'!M$2:M$401,$U218)))</f>
        <v/>
      </c>
      <c r="N218">
        <f>IF($U218="","",IF(INDEX('Per Invoice'!N$2:N$401,$U218)="","",INDEX('Per Invoice'!N$2:N$401,$U218)))</f>
        <v/>
      </c>
      <c r="O218" s="7">
        <f>IF($U218="","",IF(INDEX('Per Invoice'!O$2:O$401,$U218)="","",INDEX('Per Invoice'!O$2:O$401,$U218)))</f>
        <v/>
      </c>
      <c r="P218" s="7">
        <f>IF($U218="","",IF(INDEX('Per Invoice'!P$2:P$401,$U218)="","",INDEX('Per Invoice'!P$2:P$401,$U218)))</f>
        <v/>
      </c>
      <c r="Q218" s="7">
        <f>IF($U218="","",IF(INDEX('Per Invoice'!Q$2:Q$401,$U218)="","",INDEX('Per Invoice'!Q$2:Q$401,$U218)))</f>
        <v/>
      </c>
      <c r="R218" s="7">
        <f>IF($U218="","",IF(INDEX('Per Invoice'!R$2:R$401,$U218)="","",INDEX('Per Invoice'!R$2:R$401,$U218)))</f>
        <v/>
      </c>
      <c r="S218" s="7">
        <f>IF($U218="","",IF(INDEX('Per Invoice'!S$2:S$401,$U218)="","",INDEX('Per Invoice'!S$2:S$401,$U218)))</f>
        <v/>
      </c>
      <c r="T218" s="7">
        <f>IF($U218="","",IF(INDEX('Per Invoice'!T$2:T$401,$U218)="","",INDEX('Per Invoice'!T$2:T$401,$U218)))</f>
        <v/>
      </c>
      <c r="U218" s="16">
        <f>IFERROR(MATCH(Settings!$C$28&amp;"|"&amp;ROWS($U$2:$U218),'Per Invoice'!$V$2:$V$401,0),"")</f>
        <v/>
      </c>
    </row>
    <row r="219">
      <c r="A219">
        <f>IF($U219="","",IF(INDEX('Per Invoice'!A$2:A$401,$U219)="","",INDEX('Per Invoice'!A$2:A$401,$U219)))</f>
        <v/>
      </c>
      <c r="B219">
        <f>IF($U219="","",IF(INDEX('Per Invoice'!B$2:B$401,$U219)="","",INDEX('Per Invoice'!B$2:B$401,$U219)))</f>
        <v/>
      </c>
      <c r="C219">
        <f>IF($U219="","",IF(INDEX('Per Invoice'!C$2:C$401,$U219)="","",INDEX('Per Invoice'!C$2:C$401,$U219)))</f>
        <v/>
      </c>
      <c r="D219">
        <f>IF($U219="","",IF(INDEX('Per Invoice'!D$2:D$401,$U219)="","",INDEX('Per Invoice'!D$2:D$401,$U219)))</f>
        <v/>
      </c>
      <c r="E219">
        <f>IF($U219="","",IF(INDEX('Per Invoice'!E$2:E$401,$U219)="","",INDEX('Per Invoice'!E$2:E$401,$U219)))</f>
        <v/>
      </c>
      <c r="F219">
        <f>IF($U219="","",IF(INDEX('Per Invoice'!F$2:F$401,$U219)="","",INDEX('Per Invoice'!F$2:F$401,$U219)))</f>
        <v/>
      </c>
      <c r="G219">
        <f>IF($U219="","",IF(INDEX('Per Invoice'!G$2:G$401,$U219)="","",INDEX('Per Invoice'!G$2:G$401,$U219)))</f>
        <v/>
      </c>
      <c r="H219" s="7">
        <f>IF($U219="","",IF(INDEX('Per Invoice'!H$2:H$401,$U219)="","",INDEX('Per Invoice'!H$2:H$401,$U219)))</f>
        <v/>
      </c>
      <c r="I219" s="14">
        <f>IF($U219="","",IF(INDEX('Per Invoice'!I$2:I$401,$U219)="","",INDEX('Per Invoice'!I$2:I$401,$U219)))</f>
        <v/>
      </c>
      <c r="J219">
        <f>IF($U219="","",IF(INDEX('Per Invoice'!J$2:J$401,$U219)="","",INDEX('Per Invoice'!J$2:J$401,$U219)))</f>
        <v/>
      </c>
      <c r="K219">
        <f>IF($U219="","",IF(INDEX('Per Invoice'!K$2:K$401,$U219)="","",INDEX('Per Invoice'!K$2:K$401,$U219)))</f>
        <v/>
      </c>
      <c r="L219" s="7">
        <f>IF($U219="","",IF(INDEX('Per Invoice'!L$2:L$401,$U219)="","",INDEX('Per Invoice'!L$2:L$401,$U219)))</f>
        <v/>
      </c>
      <c r="M219" s="7">
        <f>IF($U219="","",IF(INDEX('Per Invoice'!M$2:M$401,$U219)="","",INDEX('Per Invoice'!M$2:M$401,$U219)))</f>
        <v/>
      </c>
      <c r="N219">
        <f>IF($U219="","",IF(INDEX('Per Invoice'!N$2:N$401,$U219)="","",INDEX('Per Invoice'!N$2:N$401,$U219)))</f>
        <v/>
      </c>
      <c r="O219" s="7">
        <f>IF($U219="","",IF(INDEX('Per Invoice'!O$2:O$401,$U219)="","",INDEX('Per Invoice'!O$2:O$401,$U219)))</f>
        <v/>
      </c>
      <c r="P219" s="7">
        <f>IF($U219="","",IF(INDEX('Per Invoice'!P$2:P$401,$U219)="","",INDEX('Per Invoice'!P$2:P$401,$U219)))</f>
        <v/>
      </c>
      <c r="Q219" s="7">
        <f>IF($U219="","",IF(INDEX('Per Invoice'!Q$2:Q$401,$U219)="","",INDEX('Per Invoice'!Q$2:Q$401,$U219)))</f>
        <v/>
      </c>
      <c r="R219" s="7">
        <f>IF($U219="","",IF(INDEX('Per Invoice'!R$2:R$401,$U219)="","",INDEX('Per Invoice'!R$2:R$401,$U219)))</f>
        <v/>
      </c>
      <c r="S219" s="7">
        <f>IF($U219="","",IF(INDEX('Per Invoice'!S$2:S$401,$U219)="","",INDEX('Per Invoice'!S$2:S$401,$U219)))</f>
        <v/>
      </c>
      <c r="T219" s="7">
        <f>IF($U219="","",IF(INDEX('Per Invoice'!T$2:T$401,$U219)="","",INDEX('Per Invoice'!T$2:T$401,$U219)))</f>
        <v/>
      </c>
      <c r="U219" s="16">
        <f>IFERROR(MATCH(Settings!$C$28&amp;"|"&amp;ROWS($U$2:$U219),'Per Invoice'!$V$2:$V$401,0),"")</f>
        <v/>
      </c>
    </row>
    <row r="220">
      <c r="A220">
        <f>IF($U220="","",IF(INDEX('Per Invoice'!A$2:A$401,$U220)="","",INDEX('Per Invoice'!A$2:A$401,$U220)))</f>
        <v/>
      </c>
      <c r="B220">
        <f>IF($U220="","",IF(INDEX('Per Invoice'!B$2:B$401,$U220)="","",INDEX('Per Invoice'!B$2:B$401,$U220)))</f>
        <v/>
      </c>
      <c r="C220">
        <f>IF($U220="","",IF(INDEX('Per Invoice'!C$2:C$401,$U220)="","",INDEX('Per Invoice'!C$2:C$401,$U220)))</f>
        <v/>
      </c>
      <c r="D220">
        <f>IF($U220="","",IF(INDEX('Per Invoice'!D$2:D$401,$U220)="","",INDEX('Per Invoice'!D$2:D$401,$U220)))</f>
        <v/>
      </c>
      <c r="E220">
        <f>IF($U220="","",IF(INDEX('Per Invoice'!E$2:E$401,$U220)="","",INDEX('Per Invoice'!E$2:E$401,$U220)))</f>
        <v/>
      </c>
      <c r="F220">
        <f>IF($U220="","",IF(INDEX('Per Invoice'!F$2:F$401,$U220)="","",INDEX('Per Invoice'!F$2:F$401,$U220)))</f>
        <v/>
      </c>
      <c r="G220">
        <f>IF($U220="","",IF(INDEX('Per Invoice'!G$2:G$401,$U220)="","",INDEX('Per Invoice'!G$2:G$401,$U220)))</f>
        <v/>
      </c>
      <c r="H220" s="7">
        <f>IF($U220="","",IF(INDEX('Per Invoice'!H$2:H$401,$U220)="","",INDEX('Per Invoice'!H$2:H$401,$U220)))</f>
        <v/>
      </c>
      <c r="I220" s="14">
        <f>IF($U220="","",IF(INDEX('Per Invoice'!I$2:I$401,$U220)="","",INDEX('Per Invoice'!I$2:I$401,$U220)))</f>
        <v/>
      </c>
      <c r="J220">
        <f>IF($U220="","",IF(INDEX('Per Invoice'!J$2:J$401,$U220)="","",INDEX('Per Invoice'!J$2:J$401,$U220)))</f>
        <v/>
      </c>
      <c r="K220">
        <f>IF($U220="","",IF(INDEX('Per Invoice'!K$2:K$401,$U220)="","",INDEX('Per Invoice'!K$2:K$401,$U220)))</f>
        <v/>
      </c>
      <c r="L220" s="7">
        <f>IF($U220="","",IF(INDEX('Per Invoice'!L$2:L$401,$U220)="","",INDEX('Per Invoice'!L$2:L$401,$U220)))</f>
        <v/>
      </c>
      <c r="M220" s="7">
        <f>IF($U220="","",IF(INDEX('Per Invoice'!M$2:M$401,$U220)="","",INDEX('Per Invoice'!M$2:M$401,$U220)))</f>
        <v/>
      </c>
      <c r="N220">
        <f>IF($U220="","",IF(INDEX('Per Invoice'!N$2:N$401,$U220)="","",INDEX('Per Invoice'!N$2:N$401,$U220)))</f>
        <v/>
      </c>
      <c r="O220" s="7">
        <f>IF($U220="","",IF(INDEX('Per Invoice'!O$2:O$401,$U220)="","",INDEX('Per Invoice'!O$2:O$401,$U220)))</f>
        <v/>
      </c>
      <c r="P220" s="7">
        <f>IF($U220="","",IF(INDEX('Per Invoice'!P$2:P$401,$U220)="","",INDEX('Per Invoice'!P$2:P$401,$U220)))</f>
        <v/>
      </c>
      <c r="Q220" s="7">
        <f>IF($U220="","",IF(INDEX('Per Invoice'!Q$2:Q$401,$U220)="","",INDEX('Per Invoice'!Q$2:Q$401,$U220)))</f>
        <v/>
      </c>
      <c r="R220" s="7">
        <f>IF($U220="","",IF(INDEX('Per Invoice'!R$2:R$401,$U220)="","",INDEX('Per Invoice'!R$2:R$401,$U220)))</f>
        <v/>
      </c>
      <c r="S220" s="7">
        <f>IF($U220="","",IF(INDEX('Per Invoice'!S$2:S$401,$U220)="","",INDEX('Per Invoice'!S$2:S$401,$U220)))</f>
        <v/>
      </c>
      <c r="T220" s="7">
        <f>IF($U220="","",IF(INDEX('Per Invoice'!T$2:T$401,$U220)="","",INDEX('Per Invoice'!T$2:T$401,$U220)))</f>
        <v/>
      </c>
      <c r="U220" s="16">
        <f>IFERROR(MATCH(Settings!$C$28&amp;"|"&amp;ROWS($U$2:$U220),'Per Invoice'!$V$2:$V$401,0),"")</f>
        <v/>
      </c>
    </row>
    <row r="221">
      <c r="A221">
        <f>IF($U221="","",IF(INDEX('Per Invoice'!A$2:A$401,$U221)="","",INDEX('Per Invoice'!A$2:A$401,$U221)))</f>
        <v/>
      </c>
      <c r="B221">
        <f>IF($U221="","",IF(INDEX('Per Invoice'!B$2:B$401,$U221)="","",INDEX('Per Invoice'!B$2:B$401,$U221)))</f>
        <v/>
      </c>
      <c r="C221">
        <f>IF($U221="","",IF(INDEX('Per Invoice'!C$2:C$401,$U221)="","",INDEX('Per Invoice'!C$2:C$401,$U221)))</f>
        <v/>
      </c>
      <c r="D221">
        <f>IF($U221="","",IF(INDEX('Per Invoice'!D$2:D$401,$U221)="","",INDEX('Per Invoice'!D$2:D$401,$U221)))</f>
        <v/>
      </c>
      <c r="E221">
        <f>IF($U221="","",IF(INDEX('Per Invoice'!E$2:E$401,$U221)="","",INDEX('Per Invoice'!E$2:E$401,$U221)))</f>
        <v/>
      </c>
      <c r="F221">
        <f>IF($U221="","",IF(INDEX('Per Invoice'!F$2:F$401,$U221)="","",INDEX('Per Invoice'!F$2:F$401,$U221)))</f>
        <v/>
      </c>
      <c r="G221">
        <f>IF($U221="","",IF(INDEX('Per Invoice'!G$2:G$401,$U221)="","",INDEX('Per Invoice'!G$2:G$401,$U221)))</f>
        <v/>
      </c>
      <c r="H221" s="7">
        <f>IF($U221="","",IF(INDEX('Per Invoice'!H$2:H$401,$U221)="","",INDEX('Per Invoice'!H$2:H$401,$U221)))</f>
        <v/>
      </c>
      <c r="I221" s="14">
        <f>IF($U221="","",IF(INDEX('Per Invoice'!I$2:I$401,$U221)="","",INDEX('Per Invoice'!I$2:I$401,$U221)))</f>
        <v/>
      </c>
      <c r="J221">
        <f>IF($U221="","",IF(INDEX('Per Invoice'!J$2:J$401,$U221)="","",INDEX('Per Invoice'!J$2:J$401,$U221)))</f>
        <v/>
      </c>
      <c r="K221">
        <f>IF($U221="","",IF(INDEX('Per Invoice'!K$2:K$401,$U221)="","",INDEX('Per Invoice'!K$2:K$401,$U221)))</f>
        <v/>
      </c>
      <c r="L221" s="7">
        <f>IF($U221="","",IF(INDEX('Per Invoice'!L$2:L$401,$U221)="","",INDEX('Per Invoice'!L$2:L$401,$U221)))</f>
        <v/>
      </c>
      <c r="M221" s="7">
        <f>IF($U221="","",IF(INDEX('Per Invoice'!M$2:M$401,$U221)="","",INDEX('Per Invoice'!M$2:M$401,$U221)))</f>
        <v/>
      </c>
      <c r="N221">
        <f>IF($U221="","",IF(INDEX('Per Invoice'!N$2:N$401,$U221)="","",INDEX('Per Invoice'!N$2:N$401,$U221)))</f>
        <v/>
      </c>
      <c r="O221" s="7">
        <f>IF($U221="","",IF(INDEX('Per Invoice'!O$2:O$401,$U221)="","",INDEX('Per Invoice'!O$2:O$401,$U221)))</f>
        <v/>
      </c>
      <c r="P221" s="7">
        <f>IF($U221="","",IF(INDEX('Per Invoice'!P$2:P$401,$U221)="","",INDEX('Per Invoice'!P$2:P$401,$U221)))</f>
        <v/>
      </c>
      <c r="Q221" s="7">
        <f>IF($U221="","",IF(INDEX('Per Invoice'!Q$2:Q$401,$U221)="","",INDEX('Per Invoice'!Q$2:Q$401,$U221)))</f>
        <v/>
      </c>
      <c r="R221" s="7">
        <f>IF($U221="","",IF(INDEX('Per Invoice'!R$2:R$401,$U221)="","",INDEX('Per Invoice'!R$2:R$401,$U221)))</f>
        <v/>
      </c>
      <c r="S221" s="7">
        <f>IF($U221="","",IF(INDEX('Per Invoice'!S$2:S$401,$U221)="","",INDEX('Per Invoice'!S$2:S$401,$U221)))</f>
        <v/>
      </c>
      <c r="T221" s="7">
        <f>IF($U221="","",IF(INDEX('Per Invoice'!T$2:T$401,$U221)="","",INDEX('Per Invoice'!T$2:T$401,$U221)))</f>
        <v/>
      </c>
      <c r="U221" s="16">
        <f>IFERROR(MATCH(Settings!$C$28&amp;"|"&amp;ROWS($U$2:$U221),'Per Invoice'!$V$2:$V$401,0),"")</f>
        <v/>
      </c>
    </row>
    <row r="222">
      <c r="A222">
        <f>IF($U222="","",IF(INDEX('Per Invoice'!A$2:A$401,$U222)="","",INDEX('Per Invoice'!A$2:A$401,$U222)))</f>
        <v/>
      </c>
      <c r="B222">
        <f>IF($U222="","",IF(INDEX('Per Invoice'!B$2:B$401,$U222)="","",INDEX('Per Invoice'!B$2:B$401,$U222)))</f>
        <v/>
      </c>
      <c r="C222">
        <f>IF($U222="","",IF(INDEX('Per Invoice'!C$2:C$401,$U222)="","",INDEX('Per Invoice'!C$2:C$401,$U222)))</f>
        <v/>
      </c>
      <c r="D222">
        <f>IF($U222="","",IF(INDEX('Per Invoice'!D$2:D$401,$U222)="","",INDEX('Per Invoice'!D$2:D$401,$U222)))</f>
        <v/>
      </c>
      <c r="E222">
        <f>IF($U222="","",IF(INDEX('Per Invoice'!E$2:E$401,$U222)="","",INDEX('Per Invoice'!E$2:E$401,$U222)))</f>
        <v/>
      </c>
      <c r="F222">
        <f>IF($U222="","",IF(INDEX('Per Invoice'!F$2:F$401,$U222)="","",INDEX('Per Invoice'!F$2:F$401,$U222)))</f>
        <v/>
      </c>
      <c r="G222">
        <f>IF($U222="","",IF(INDEX('Per Invoice'!G$2:G$401,$U222)="","",INDEX('Per Invoice'!G$2:G$401,$U222)))</f>
        <v/>
      </c>
      <c r="H222" s="7">
        <f>IF($U222="","",IF(INDEX('Per Invoice'!H$2:H$401,$U222)="","",INDEX('Per Invoice'!H$2:H$401,$U222)))</f>
        <v/>
      </c>
      <c r="I222" s="14">
        <f>IF($U222="","",IF(INDEX('Per Invoice'!I$2:I$401,$U222)="","",INDEX('Per Invoice'!I$2:I$401,$U222)))</f>
        <v/>
      </c>
      <c r="J222">
        <f>IF($U222="","",IF(INDEX('Per Invoice'!J$2:J$401,$U222)="","",INDEX('Per Invoice'!J$2:J$401,$U222)))</f>
        <v/>
      </c>
      <c r="K222">
        <f>IF($U222="","",IF(INDEX('Per Invoice'!K$2:K$401,$U222)="","",INDEX('Per Invoice'!K$2:K$401,$U222)))</f>
        <v/>
      </c>
      <c r="L222" s="7">
        <f>IF($U222="","",IF(INDEX('Per Invoice'!L$2:L$401,$U222)="","",INDEX('Per Invoice'!L$2:L$401,$U222)))</f>
        <v/>
      </c>
      <c r="M222" s="7">
        <f>IF($U222="","",IF(INDEX('Per Invoice'!M$2:M$401,$U222)="","",INDEX('Per Invoice'!M$2:M$401,$U222)))</f>
        <v/>
      </c>
      <c r="N222">
        <f>IF($U222="","",IF(INDEX('Per Invoice'!N$2:N$401,$U222)="","",INDEX('Per Invoice'!N$2:N$401,$U222)))</f>
        <v/>
      </c>
      <c r="O222" s="7">
        <f>IF($U222="","",IF(INDEX('Per Invoice'!O$2:O$401,$U222)="","",INDEX('Per Invoice'!O$2:O$401,$U222)))</f>
        <v/>
      </c>
      <c r="P222" s="7">
        <f>IF($U222="","",IF(INDEX('Per Invoice'!P$2:P$401,$U222)="","",INDEX('Per Invoice'!P$2:P$401,$U222)))</f>
        <v/>
      </c>
      <c r="Q222" s="7">
        <f>IF($U222="","",IF(INDEX('Per Invoice'!Q$2:Q$401,$U222)="","",INDEX('Per Invoice'!Q$2:Q$401,$U222)))</f>
        <v/>
      </c>
      <c r="R222" s="7">
        <f>IF($U222="","",IF(INDEX('Per Invoice'!R$2:R$401,$U222)="","",INDEX('Per Invoice'!R$2:R$401,$U222)))</f>
        <v/>
      </c>
      <c r="S222" s="7">
        <f>IF($U222="","",IF(INDEX('Per Invoice'!S$2:S$401,$U222)="","",INDEX('Per Invoice'!S$2:S$401,$U222)))</f>
        <v/>
      </c>
      <c r="T222" s="7">
        <f>IF($U222="","",IF(INDEX('Per Invoice'!T$2:T$401,$U222)="","",INDEX('Per Invoice'!T$2:T$401,$U222)))</f>
        <v/>
      </c>
      <c r="U222" s="16">
        <f>IFERROR(MATCH(Settings!$C$28&amp;"|"&amp;ROWS($U$2:$U222),'Per Invoice'!$V$2:$V$401,0),"")</f>
        <v/>
      </c>
    </row>
    <row r="223">
      <c r="A223">
        <f>IF($U223="","",IF(INDEX('Per Invoice'!A$2:A$401,$U223)="","",INDEX('Per Invoice'!A$2:A$401,$U223)))</f>
        <v/>
      </c>
      <c r="B223">
        <f>IF($U223="","",IF(INDEX('Per Invoice'!B$2:B$401,$U223)="","",INDEX('Per Invoice'!B$2:B$401,$U223)))</f>
        <v/>
      </c>
      <c r="C223">
        <f>IF($U223="","",IF(INDEX('Per Invoice'!C$2:C$401,$U223)="","",INDEX('Per Invoice'!C$2:C$401,$U223)))</f>
        <v/>
      </c>
      <c r="D223">
        <f>IF($U223="","",IF(INDEX('Per Invoice'!D$2:D$401,$U223)="","",INDEX('Per Invoice'!D$2:D$401,$U223)))</f>
        <v/>
      </c>
      <c r="E223">
        <f>IF($U223="","",IF(INDEX('Per Invoice'!E$2:E$401,$U223)="","",INDEX('Per Invoice'!E$2:E$401,$U223)))</f>
        <v/>
      </c>
      <c r="F223">
        <f>IF($U223="","",IF(INDEX('Per Invoice'!F$2:F$401,$U223)="","",INDEX('Per Invoice'!F$2:F$401,$U223)))</f>
        <v/>
      </c>
      <c r="G223">
        <f>IF($U223="","",IF(INDEX('Per Invoice'!G$2:G$401,$U223)="","",INDEX('Per Invoice'!G$2:G$401,$U223)))</f>
        <v/>
      </c>
      <c r="H223" s="7">
        <f>IF($U223="","",IF(INDEX('Per Invoice'!H$2:H$401,$U223)="","",INDEX('Per Invoice'!H$2:H$401,$U223)))</f>
        <v/>
      </c>
      <c r="I223" s="14">
        <f>IF($U223="","",IF(INDEX('Per Invoice'!I$2:I$401,$U223)="","",INDEX('Per Invoice'!I$2:I$401,$U223)))</f>
        <v/>
      </c>
      <c r="J223">
        <f>IF($U223="","",IF(INDEX('Per Invoice'!J$2:J$401,$U223)="","",INDEX('Per Invoice'!J$2:J$401,$U223)))</f>
        <v/>
      </c>
      <c r="K223">
        <f>IF($U223="","",IF(INDEX('Per Invoice'!K$2:K$401,$U223)="","",INDEX('Per Invoice'!K$2:K$401,$U223)))</f>
        <v/>
      </c>
      <c r="L223" s="7">
        <f>IF($U223="","",IF(INDEX('Per Invoice'!L$2:L$401,$U223)="","",INDEX('Per Invoice'!L$2:L$401,$U223)))</f>
        <v/>
      </c>
      <c r="M223" s="7">
        <f>IF($U223="","",IF(INDEX('Per Invoice'!M$2:M$401,$U223)="","",INDEX('Per Invoice'!M$2:M$401,$U223)))</f>
        <v/>
      </c>
      <c r="N223">
        <f>IF($U223="","",IF(INDEX('Per Invoice'!N$2:N$401,$U223)="","",INDEX('Per Invoice'!N$2:N$401,$U223)))</f>
        <v/>
      </c>
      <c r="O223" s="7">
        <f>IF($U223="","",IF(INDEX('Per Invoice'!O$2:O$401,$U223)="","",INDEX('Per Invoice'!O$2:O$401,$U223)))</f>
        <v/>
      </c>
      <c r="P223" s="7">
        <f>IF($U223="","",IF(INDEX('Per Invoice'!P$2:P$401,$U223)="","",INDEX('Per Invoice'!P$2:P$401,$U223)))</f>
        <v/>
      </c>
      <c r="Q223" s="7">
        <f>IF($U223="","",IF(INDEX('Per Invoice'!Q$2:Q$401,$U223)="","",INDEX('Per Invoice'!Q$2:Q$401,$U223)))</f>
        <v/>
      </c>
      <c r="R223" s="7">
        <f>IF($U223="","",IF(INDEX('Per Invoice'!R$2:R$401,$U223)="","",INDEX('Per Invoice'!R$2:R$401,$U223)))</f>
        <v/>
      </c>
      <c r="S223" s="7">
        <f>IF($U223="","",IF(INDEX('Per Invoice'!S$2:S$401,$U223)="","",INDEX('Per Invoice'!S$2:S$401,$U223)))</f>
        <v/>
      </c>
      <c r="T223" s="7">
        <f>IF($U223="","",IF(INDEX('Per Invoice'!T$2:T$401,$U223)="","",INDEX('Per Invoice'!T$2:T$401,$U223)))</f>
        <v/>
      </c>
      <c r="U223" s="16">
        <f>IFERROR(MATCH(Settings!$C$28&amp;"|"&amp;ROWS($U$2:$U223),'Per Invoice'!$V$2:$V$401,0),"")</f>
        <v/>
      </c>
    </row>
    <row r="224">
      <c r="A224">
        <f>IF($U224="","",IF(INDEX('Per Invoice'!A$2:A$401,$U224)="","",INDEX('Per Invoice'!A$2:A$401,$U224)))</f>
        <v/>
      </c>
      <c r="B224">
        <f>IF($U224="","",IF(INDEX('Per Invoice'!B$2:B$401,$U224)="","",INDEX('Per Invoice'!B$2:B$401,$U224)))</f>
        <v/>
      </c>
      <c r="C224">
        <f>IF($U224="","",IF(INDEX('Per Invoice'!C$2:C$401,$U224)="","",INDEX('Per Invoice'!C$2:C$401,$U224)))</f>
        <v/>
      </c>
      <c r="D224">
        <f>IF($U224="","",IF(INDEX('Per Invoice'!D$2:D$401,$U224)="","",INDEX('Per Invoice'!D$2:D$401,$U224)))</f>
        <v/>
      </c>
      <c r="E224">
        <f>IF($U224="","",IF(INDEX('Per Invoice'!E$2:E$401,$U224)="","",INDEX('Per Invoice'!E$2:E$401,$U224)))</f>
        <v/>
      </c>
      <c r="F224">
        <f>IF($U224="","",IF(INDEX('Per Invoice'!F$2:F$401,$U224)="","",INDEX('Per Invoice'!F$2:F$401,$U224)))</f>
        <v/>
      </c>
      <c r="G224">
        <f>IF($U224="","",IF(INDEX('Per Invoice'!G$2:G$401,$U224)="","",INDEX('Per Invoice'!G$2:G$401,$U224)))</f>
        <v/>
      </c>
      <c r="H224" s="7">
        <f>IF($U224="","",IF(INDEX('Per Invoice'!H$2:H$401,$U224)="","",INDEX('Per Invoice'!H$2:H$401,$U224)))</f>
        <v/>
      </c>
      <c r="I224" s="14">
        <f>IF($U224="","",IF(INDEX('Per Invoice'!I$2:I$401,$U224)="","",INDEX('Per Invoice'!I$2:I$401,$U224)))</f>
        <v/>
      </c>
      <c r="J224">
        <f>IF($U224="","",IF(INDEX('Per Invoice'!J$2:J$401,$U224)="","",INDEX('Per Invoice'!J$2:J$401,$U224)))</f>
        <v/>
      </c>
      <c r="K224">
        <f>IF($U224="","",IF(INDEX('Per Invoice'!K$2:K$401,$U224)="","",INDEX('Per Invoice'!K$2:K$401,$U224)))</f>
        <v/>
      </c>
      <c r="L224" s="7">
        <f>IF($U224="","",IF(INDEX('Per Invoice'!L$2:L$401,$U224)="","",INDEX('Per Invoice'!L$2:L$401,$U224)))</f>
        <v/>
      </c>
      <c r="M224" s="7">
        <f>IF($U224="","",IF(INDEX('Per Invoice'!M$2:M$401,$U224)="","",INDEX('Per Invoice'!M$2:M$401,$U224)))</f>
        <v/>
      </c>
      <c r="N224">
        <f>IF($U224="","",IF(INDEX('Per Invoice'!N$2:N$401,$U224)="","",INDEX('Per Invoice'!N$2:N$401,$U224)))</f>
        <v/>
      </c>
      <c r="O224" s="7">
        <f>IF($U224="","",IF(INDEX('Per Invoice'!O$2:O$401,$U224)="","",INDEX('Per Invoice'!O$2:O$401,$U224)))</f>
        <v/>
      </c>
      <c r="P224" s="7">
        <f>IF($U224="","",IF(INDEX('Per Invoice'!P$2:P$401,$U224)="","",INDEX('Per Invoice'!P$2:P$401,$U224)))</f>
        <v/>
      </c>
      <c r="Q224" s="7">
        <f>IF($U224="","",IF(INDEX('Per Invoice'!Q$2:Q$401,$U224)="","",INDEX('Per Invoice'!Q$2:Q$401,$U224)))</f>
        <v/>
      </c>
      <c r="R224" s="7">
        <f>IF($U224="","",IF(INDEX('Per Invoice'!R$2:R$401,$U224)="","",INDEX('Per Invoice'!R$2:R$401,$U224)))</f>
        <v/>
      </c>
      <c r="S224" s="7">
        <f>IF($U224="","",IF(INDEX('Per Invoice'!S$2:S$401,$U224)="","",INDEX('Per Invoice'!S$2:S$401,$U224)))</f>
        <v/>
      </c>
      <c r="T224" s="7">
        <f>IF($U224="","",IF(INDEX('Per Invoice'!T$2:T$401,$U224)="","",INDEX('Per Invoice'!T$2:T$401,$U224)))</f>
        <v/>
      </c>
      <c r="U224" s="16">
        <f>IFERROR(MATCH(Settings!$C$28&amp;"|"&amp;ROWS($U$2:$U224),'Per Invoice'!$V$2:$V$401,0),"")</f>
        <v/>
      </c>
    </row>
    <row r="225">
      <c r="A225">
        <f>IF($U225="","",IF(INDEX('Per Invoice'!A$2:A$401,$U225)="","",INDEX('Per Invoice'!A$2:A$401,$U225)))</f>
        <v/>
      </c>
      <c r="B225">
        <f>IF($U225="","",IF(INDEX('Per Invoice'!B$2:B$401,$U225)="","",INDEX('Per Invoice'!B$2:B$401,$U225)))</f>
        <v/>
      </c>
      <c r="C225">
        <f>IF($U225="","",IF(INDEX('Per Invoice'!C$2:C$401,$U225)="","",INDEX('Per Invoice'!C$2:C$401,$U225)))</f>
        <v/>
      </c>
      <c r="D225">
        <f>IF($U225="","",IF(INDEX('Per Invoice'!D$2:D$401,$U225)="","",INDEX('Per Invoice'!D$2:D$401,$U225)))</f>
        <v/>
      </c>
      <c r="E225">
        <f>IF($U225="","",IF(INDEX('Per Invoice'!E$2:E$401,$U225)="","",INDEX('Per Invoice'!E$2:E$401,$U225)))</f>
        <v/>
      </c>
      <c r="F225">
        <f>IF($U225="","",IF(INDEX('Per Invoice'!F$2:F$401,$U225)="","",INDEX('Per Invoice'!F$2:F$401,$U225)))</f>
        <v/>
      </c>
      <c r="G225">
        <f>IF($U225="","",IF(INDEX('Per Invoice'!G$2:G$401,$U225)="","",INDEX('Per Invoice'!G$2:G$401,$U225)))</f>
        <v/>
      </c>
      <c r="H225" s="7">
        <f>IF($U225="","",IF(INDEX('Per Invoice'!H$2:H$401,$U225)="","",INDEX('Per Invoice'!H$2:H$401,$U225)))</f>
        <v/>
      </c>
      <c r="I225" s="14">
        <f>IF($U225="","",IF(INDEX('Per Invoice'!I$2:I$401,$U225)="","",INDEX('Per Invoice'!I$2:I$401,$U225)))</f>
        <v/>
      </c>
      <c r="J225">
        <f>IF($U225="","",IF(INDEX('Per Invoice'!J$2:J$401,$U225)="","",INDEX('Per Invoice'!J$2:J$401,$U225)))</f>
        <v/>
      </c>
      <c r="K225">
        <f>IF($U225="","",IF(INDEX('Per Invoice'!K$2:K$401,$U225)="","",INDEX('Per Invoice'!K$2:K$401,$U225)))</f>
        <v/>
      </c>
      <c r="L225" s="7">
        <f>IF($U225="","",IF(INDEX('Per Invoice'!L$2:L$401,$U225)="","",INDEX('Per Invoice'!L$2:L$401,$U225)))</f>
        <v/>
      </c>
      <c r="M225" s="7">
        <f>IF($U225="","",IF(INDEX('Per Invoice'!M$2:M$401,$U225)="","",INDEX('Per Invoice'!M$2:M$401,$U225)))</f>
        <v/>
      </c>
      <c r="N225">
        <f>IF($U225="","",IF(INDEX('Per Invoice'!N$2:N$401,$U225)="","",INDEX('Per Invoice'!N$2:N$401,$U225)))</f>
        <v/>
      </c>
      <c r="O225" s="7">
        <f>IF($U225="","",IF(INDEX('Per Invoice'!O$2:O$401,$U225)="","",INDEX('Per Invoice'!O$2:O$401,$U225)))</f>
        <v/>
      </c>
      <c r="P225" s="7">
        <f>IF($U225="","",IF(INDEX('Per Invoice'!P$2:P$401,$U225)="","",INDEX('Per Invoice'!P$2:P$401,$U225)))</f>
        <v/>
      </c>
      <c r="Q225" s="7">
        <f>IF($U225="","",IF(INDEX('Per Invoice'!Q$2:Q$401,$U225)="","",INDEX('Per Invoice'!Q$2:Q$401,$U225)))</f>
        <v/>
      </c>
      <c r="R225" s="7">
        <f>IF($U225="","",IF(INDEX('Per Invoice'!R$2:R$401,$U225)="","",INDEX('Per Invoice'!R$2:R$401,$U225)))</f>
        <v/>
      </c>
      <c r="S225" s="7">
        <f>IF($U225="","",IF(INDEX('Per Invoice'!S$2:S$401,$U225)="","",INDEX('Per Invoice'!S$2:S$401,$U225)))</f>
        <v/>
      </c>
      <c r="T225" s="7">
        <f>IF($U225="","",IF(INDEX('Per Invoice'!T$2:T$401,$U225)="","",INDEX('Per Invoice'!T$2:T$401,$U225)))</f>
        <v/>
      </c>
      <c r="U225" s="16">
        <f>IFERROR(MATCH(Settings!$C$28&amp;"|"&amp;ROWS($U$2:$U225),'Per Invoice'!$V$2:$V$401,0),"")</f>
        <v/>
      </c>
    </row>
    <row r="226">
      <c r="A226">
        <f>IF($U226="","",IF(INDEX('Per Invoice'!A$2:A$401,$U226)="","",INDEX('Per Invoice'!A$2:A$401,$U226)))</f>
        <v/>
      </c>
      <c r="B226">
        <f>IF($U226="","",IF(INDEX('Per Invoice'!B$2:B$401,$U226)="","",INDEX('Per Invoice'!B$2:B$401,$U226)))</f>
        <v/>
      </c>
      <c r="C226">
        <f>IF($U226="","",IF(INDEX('Per Invoice'!C$2:C$401,$U226)="","",INDEX('Per Invoice'!C$2:C$401,$U226)))</f>
        <v/>
      </c>
      <c r="D226">
        <f>IF($U226="","",IF(INDEX('Per Invoice'!D$2:D$401,$U226)="","",INDEX('Per Invoice'!D$2:D$401,$U226)))</f>
        <v/>
      </c>
      <c r="E226">
        <f>IF($U226="","",IF(INDEX('Per Invoice'!E$2:E$401,$U226)="","",INDEX('Per Invoice'!E$2:E$401,$U226)))</f>
        <v/>
      </c>
      <c r="F226">
        <f>IF($U226="","",IF(INDEX('Per Invoice'!F$2:F$401,$U226)="","",INDEX('Per Invoice'!F$2:F$401,$U226)))</f>
        <v/>
      </c>
      <c r="G226">
        <f>IF($U226="","",IF(INDEX('Per Invoice'!G$2:G$401,$U226)="","",INDEX('Per Invoice'!G$2:G$401,$U226)))</f>
        <v/>
      </c>
      <c r="H226" s="7">
        <f>IF($U226="","",IF(INDEX('Per Invoice'!H$2:H$401,$U226)="","",INDEX('Per Invoice'!H$2:H$401,$U226)))</f>
        <v/>
      </c>
      <c r="I226" s="14">
        <f>IF($U226="","",IF(INDEX('Per Invoice'!I$2:I$401,$U226)="","",INDEX('Per Invoice'!I$2:I$401,$U226)))</f>
        <v/>
      </c>
      <c r="J226">
        <f>IF($U226="","",IF(INDEX('Per Invoice'!J$2:J$401,$U226)="","",INDEX('Per Invoice'!J$2:J$401,$U226)))</f>
        <v/>
      </c>
      <c r="K226">
        <f>IF($U226="","",IF(INDEX('Per Invoice'!K$2:K$401,$U226)="","",INDEX('Per Invoice'!K$2:K$401,$U226)))</f>
        <v/>
      </c>
      <c r="L226" s="7">
        <f>IF($U226="","",IF(INDEX('Per Invoice'!L$2:L$401,$U226)="","",INDEX('Per Invoice'!L$2:L$401,$U226)))</f>
        <v/>
      </c>
      <c r="M226" s="7">
        <f>IF($U226="","",IF(INDEX('Per Invoice'!M$2:M$401,$U226)="","",INDEX('Per Invoice'!M$2:M$401,$U226)))</f>
        <v/>
      </c>
      <c r="N226">
        <f>IF($U226="","",IF(INDEX('Per Invoice'!N$2:N$401,$U226)="","",INDEX('Per Invoice'!N$2:N$401,$U226)))</f>
        <v/>
      </c>
      <c r="O226" s="7">
        <f>IF($U226="","",IF(INDEX('Per Invoice'!O$2:O$401,$U226)="","",INDEX('Per Invoice'!O$2:O$401,$U226)))</f>
        <v/>
      </c>
      <c r="P226" s="7">
        <f>IF($U226="","",IF(INDEX('Per Invoice'!P$2:P$401,$U226)="","",INDEX('Per Invoice'!P$2:P$401,$U226)))</f>
        <v/>
      </c>
      <c r="Q226" s="7">
        <f>IF($U226="","",IF(INDEX('Per Invoice'!Q$2:Q$401,$U226)="","",INDEX('Per Invoice'!Q$2:Q$401,$U226)))</f>
        <v/>
      </c>
      <c r="R226" s="7">
        <f>IF($U226="","",IF(INDEX('Per Invoice'!R$2:R$401,$U226)="","",INDEX('Per Invoice'!R$2:R$401,$U226)))</f>
        <v/>
      </c>
      <c r="S226" s="7">
        <f>IF($U226="","",IF(INDEX('Per Invoice'!S$2:S$401,$U226)="","",INDEX('Per Invoice'!S$2:S$401,$U226)))</f>
        <v/>
      </c>
      <c r="T226" s="7">
        <f>IF($U226="","",IF(INDEX('Per Invoice'!T$2:T$401,$U226)="","",INDEX('Per Invoice'!T$2:T$401,$U226)))</f>
        <v/>
      </c>
      <c r="U226" s="16">
        <f>IFERROR(MATCH(Settings!$C$28&amp;"|"&amp;ROWS($U$2:$U226),'Per Invoice'!$V$2:$V$401,0),"")</f>
        <v/>
      </c>
    </row>
    <row r="227">
      <c r="A227">
        <f>IF($U227="","",IF(INDEX('Per Invoice'!A$2:A$401,$U227)="","",INDEX('Per Invoice'!A$2:A$401,$U227)))</f>
        <v/>
      </c>
      <c r="B227">
        <f>IF($U227="","",IF(INDEX('Per Invoice'!B$2:B$401,$U227)="","",INDEX('Per Invoice'!B$2:B$401,$U227)))</f>
        <v/>
      </c>
      <c r="C227">
        <f>IF($U227="","",IF(INDEX('Per Invoice'!C$2:C$401,$U227)="","",INDEX('Per Invoice'!C$2:C$401,$U227)))</f>
        <v/>
      </c>
      <c r="D227">
        <f>IF($U227="","",IF(INDEX('Per Invoice'!D$2:D$401,$U227)="","",INDEX('Per Invoice'!D$2:D$401,$U227)))</f>
        <v/>
      </c>
      <c r="E227">
        <f>IF($U227="","",IF(INDEX('Per Invoice'!E$2:E$401,$U227)="","",INDEX('Per Invoice'!E$2:E$401,$U227)))</f>
        <v/>
      </c>
      <c r="F227">
        <f>IF($U227="","",IF(INDEX('Per Invoice'!F$2:F$401,$U227)="","",INDEX('Per Invoice'!F$2:F$401,$U227)))</f>
        <v/>
      </c>
      <c r="G227">
        <f>IF($U227="","",IF(INDEX('Per Invoice'!G$2:G$401,$U227)="","",INDEX('Per Invoice'!G$2:G$401,$U227)))</f>
        <v/>
      </c>
      <c r="H227" s="7">
        <f>IF($U227="","",IF(INDEX('Per Invoice'!H$2:H$401,$U227)="","",INDEX('Per Invoice'!H$2:H$401,$U227)))</f>
        <v/>
      </c>
      <c r="I227" s="14">
        <f>IF($U227="","",IF(INDEX('Per Invoice'!I$2:I$401,$U227)="","",INDEX('Per Invoice'!I$2:I$401,$U227)))</f>
        <v/>
      </c>
      <c r="J227">
        <f>IF($U227="","",IF(INDEX('Per Invoice'!J$2:J$401,$U227)="","",INDEX('Per Invoice'!J$2:J$401,$U227)))</f>
        <v/>
      </c>
      <c r="K227">
        <f>IF($U227="","",IF(INDEX('Per Invoice'!K$2:K$401,$U227)="","",INDEX('Per Invoice'!K$2:K$401,$U227)))</f>
        <v/>
      </c>
      <c r="L227" s="7">
        <f>IF($U227="","",IF(INDEX('Per Invoice'!L$2:L$401,$U227)="","",INDEX('Per Invoice'!L$2:L$401,$U227)))</f>
        <v/>
      </c>
      <c r="M227" s="7">
        <f>IF($U227="","",IF(INDEX('Per Invoice'!M$2:M$401,$U227)="","",INDEX('Per Invoice'!M$2:M$401,$U227)))</f>
        <v/>
      </c>
      <c r="N227">
        <f>IF($U227="","",IF(INDEX('Per Invoice'!N$2:N$401,$U227)="","",INDEX('Per Invoice'!N$2:N$401,$U227)))</f>
        <v/>
      </c>
      <c r="O227" s="7">
        <f>IF($U227="","",IF(INDEX('Per Invoice'!O$2:O$401,$U227)="","",INDEX('Per Invoice'!O$2:O$401,$U227)))</f>
        <v/>
      </c>
      <c r="P227" s="7">
        <f>IF($U227="","",IF(INDEX('Per Invoice'!P$2:P$401,$U227)="","",INDEX('Per Invoice'!P$2:P$401,$U227)))</f>
        <v/>
      </c>
      <c r="Q227" s="7">
        <f>IF($U227="","",IF(INDEX('Per Invoice'!Q$2:Q$401,$U227)="","",INDEX('Per Invoice'!Q$2:Q$401,$U227)))</f>
        <v/>
      </c>
      <c r="R227" s="7">
        <f>IF($U227="","",IF(INDEX('Per Invoice'!R$2:R$401,$U227)="","",INDEX('Per Invoice'!R$2:R$401,$U227)))</f>
        <v/>
      </c>
      <c r="S227" s="7">
        <f>IF($U227="","",IF(INDEX('Per Invoice'!S$2:S$401,$U227)="","",INDEX('Per Invoice'!S$2:S$401,$U227)))</f>
        <v/>
      </c>
      <c r="T227" s="7">
        <f>IF($U227="","",IF(INDEX('Per Invoice'!T$2:T$401,$U227)="","",INDEX('Per Invoice'!T$2:T$401,$U227)))</f>
        <v/>
      </c>
      <c r="U227" s="16">
        <f>IFERROR(MATCH(Settings!$C$28&amp;"|"&amp;ROWS($U$2:$U227),'Per Invoice'!$V$2:$V$401,0),"")</f>
        <v/>
      </c>
    </row>
    <row r="228">
      <c r="A228">
        <f>IF($U228="","",IF(INDEX('Per Invoice'!A$2:A$401,$U228)="","",INDEX('Per Invoice'!A$2:A$401,$U228)))</f>
        <v/>
      </c>
      <c r="B228">
        <f>IF($U228="","",IF(INDEX('Per Invoice'!B$2:B$401,$U228)="","",INDEX('Per Invoice'!B$2:B$401,$U228)))</f>
        <v/>
      </c>
      <c r="C228">
        <f>IF($U228="","",IF(INDEX('Per Invoice'!C$2:C$401,$U228)="","",INDEX('Per Invoice'!C$2:C$401,$U228)))</f>
        <v/>
      </c>
      <c r="D228">
        <f>IF($U228="","",IF(INDEX('Per Invoice'!D$2:D$401,$U228)="","",INDEX('Per Invoice'!D$2:D$401,$U228)))</f>
        <v/>
      </c>
      <c r="E228">
        <f>IF($U228="","",IF(INDEX('Per Invoice'!E$2:E$401,$U228)="","",INDEX('Per Invoice'!E$2:E$401,$U228)))</f>
        <v/>
      </c>
      <c r="F228">
        <f>IF($U228="","",IF(INDEX('Per Invoice'!F$2:F$401,$U228)="","",INDEX('Per Invoice'!F$2:F$401,$U228)))</f>
        <v/>
      </c>
      <c r="G228">
        <f>IF($U228="","",IF(INDEX('Per Invoice'!G$2:G$401,$U228)="","",INDEX('Per Invoice'!G$2:G$401,$U228)))</f>
        <v/>
      </c>
      <c r="H228" s="7">
        <f>IF($U228="","",IF(INDEX('Per Invoice'!H$2:H$401,$U228)="","",INDEX('Per Invoice'!H$2:H$401,$U228)))</f>
        <v/>
      </c>
      <c r="I228" s="14">
        <f>IF($U228="","",IF(INDEX('Per Invoice'!I$2:I$401,$U228)="","",INDEX('Per Invoice'!I$2:I$401,$U228)))</f>
        <v/>
      </c>
      <c r="J228">
        <f>IF($U228="","",IF(INDEX('Per Invoice'!J$2:J$401,$U228)="","",INDEX('Per Invoice'!J$2:J$401,$U228)))</f>
        <v/>
      </c>
      <c r="K228">
        <f>IF($U228="","",IF(INDEX('Per Invoice'!K$2:K$401,$U228)="","",INDEX('Per Invoice'!K$2:K$401,$U228)))</f>
        <v/>
      </c>
      <c r="L228" s="7">
        <f>IF($U228="","",IF(INDEX('Per Invoice'!L$2:L$401,$U228)="","",INDEX('Per Invoice'!L$2:L$401,$U228)))</f>
        <v/>
      </c>
      <c r="M228" s="7">
        <f>IF($U228="","",IF(INDEX('Per Invoice'!M$2:M$401,$U228)="","",INDEX('Per Invoice'!M$2:M$401,$U228)))</f>
        <v/>
      </c>
      <c r="N228">
        <f>IF($U228="","",IF(INDEX('Per Invoice'!N$2:N$401,$U228)="","",INDEX('Per Invoice'!N$2:N$401,$U228)))</f>
        <v/>
      </c>
      <c r="O228" s="7">
        <f>IF($U228="","",IF(INDEX('Per Invoice'!O$2:O$401,$U228)="","",INDEX('Per Invoice'!O$2:O$401,$U228)))</f>
        <v/>
      </c>
      <c r="P228" s="7">
        <f>IF($U228="","",IF(INDEX('Per Invoice'!P$2:P$401,$U228)="","",INDEX('Per Invoice'!P$2:P$401,$U228)))</f>
        <v/>
      </c>
      <c r="Q228" s="7">
        <f>IF($U228="","",IF(INDEX('Per Invoice'!Q$2:Q$401,$U228)="","",INDEX('Per Invoice'!Q$2:Q$401,$U228)))</f>
        <v/>
      </c>
      <c r="R228" s="7">
        <f>IF($U228="","",IF(INDEX('Per Invoice'!R$2:R$401,$U228)="","",INDEX('Per Invoice'!R$2:R$401,$U228)))</f>
        <v/>
      </c>
      <c r="S228" s="7">
        <f>IF($U228="","",IF(INDEX('Per Invoice'!S$2:S$401,$U228)="","",INDEX('Per Invoice'!S$2:S$401,$U228)))</f>
        <v/>
      </c>
      <c r="T228" s="7">
        <f>IF($U228="","",IF(INDEX('Per Invoice'!T$2:T$401,$U228)="","",INDEX('Per Invoice'!T$2:T$401,$U228)))</f>
        <v/>
      </c>
      <c r="U228" s="16">
        <f>IFERROR(MATCH(Settings!$C$28&amp;"|"&amp;ROWS($U$2:$U228),'Per Invoice'!$V$2:$V$401,0),"")</f>
        <v/>
      </c>
    </row>
    <row r="229">
      <c r="A229">
        <f>IF($U229="","",IF(INDEX('Per Invoice'!A$2:A$401,$U229)="","",INDEX('Per Invoice'!A$2:A$401,$U229)))</f>
        <v/>
      </c>
      <c r="B229">
        <f>IF($U229="","",IF(INDEX('Per Invoice'!B$2:B$401,$U229)="","",INDEX('Per Invoice'!B$2:B$401,$U229)))</f>
        <v/>
      </c>
      <c r="C229">
        <f>IF($U229="","",IF(INDEX('Per Invoice'!C$2:C$401,$U229)="","",INDEX('Per Invoice'!C$2:C$401,$U229)))</f>
        <v/>
      </c>
      <c r="D229">
        <f>IF($U229="","",IF(INDEX('Per Invoice'!D$2:D$401,$U229)="","",INDEX('Per Invoice'!D$2:D$401,$U229)))</f>
        <v/>
      </c>
      <c r="E229">
        <f>IF($U229="","",IF(INDEX('Per Invoice'!E$2:E$401,$U229)="","",INDEX('Per Invoice'!E$2:E$401,$U229)))</f>
        <v/>
      </c>
      <c r="F229">
        <f>IF($U229="","",IF(INDEX('Per Invoice'!F$2:F$401,$U229)="","",INDEX('Per Invoice'!F$2:F$401,$U229)))</f>
        <v/>
      </c>
      <c r="G229">
        <f>IF($U229="","",IF(INDEX('Per Invoice'!G$2:G$401,$U229)="","",INDEX('Per Invoice'!G$2:G$401,$U229)))</f>
        <v/>
      </c>
      <c r="H229" s="7">
        <f>IF($U229="","",IF(INDEX('Per Invoice'!H$2:H$401,$U229)="","",INDEX('Per Invoice'!H$2:H$401,$U229)))</f>
        <v/>
      </c>
      <c r="I229" s="14">
        <f>IF($U229="","",IF(INDEX('Per Invoice'!I$2:I$401,$U229)="","",INDEX('Per Invoice'!I$2:I$401,$U229)))</f>
        <v/>
      </c>
      <c r="J229">
        <f>IF($U229="","",IF(INDEX('Per Invoice'!J$2:J$401,$U229)="","",INDEX('Per Invoice'!J$2:J$401,$U229)))</f>
        <v/>
      </c>
      <c r="K229">
        <f>IF($U229="","",IF(INDEX('Per Invoice'!K$2:K$401,$U229)="","",INDEX('Per Invoice'!K$2:K$401,$U229)))</f>
        <v/>
      </c>
      <c r="L229" s="7">
        <f>IF($U229="","",IF(INDEX('Per Invoice'!L$2:L$401,$U229)="","",INDEX('Per Invoice'!L$2:L$401,$U229)))</f>
        <v/>
      </c>
      <c r="M229" s="7">
        <f>IF($U229="","",IF(INDEX('Per Invoice'!M$2:M$401,$U229)="","",INDEX('Per Invoice'!M$2:M$401,$U229)))</f>
        <v/>
      </c>
      <c r="N229">
        <f>IF($U229="","",IF(INDEX('Per Invoice'!N$2:N$401,$U229)="","",INDEX('Per Invoice'!N$2:N$401,$U229)))</f>
        <v/>
      </c>
      <c r="O229" s="7">
        <f>IF($U229="","",IF(INDEX('Per Invoice'!O$2:O$401,$U229)="","",INDEX('Per Invoice'!O$2:O$401,$U229)))</f>
        <v/>
      </c>
      <c r="P229" s="7">
        <f>IF($U229="","",IF(INDEX('Per Invoice'!P$2:P$401,$U229)="","",INDEX('Per Invoice'!P$2:P$401,$U229)))</f>
        <v/>
      </c>
      <c r="Q229" s="7">
        <f>IF($U229="","",IF(INDEX('Per Invoice'!Q$2:Q$401,$U229)="","",INDEX('Per Invoice'!Q$2:Q$401,$U229)))</f>
        <v/>
      </c>
      <c r="R229" s="7">
        <f>IF($U229="","",IF(INDEX('Per Invoice'!R$2:R$401,$U229)="","",INDEX('Per Invoice'!R$2:R$401,$U229)))</f>
        <v/>
      </c>
      <c r="S229" s="7">
        <f>IF($U229="","",IF(INDEX('Per Invoice'!S$2:S$401,$U229)="","",INDEX('Per Invoice'!S$2:S$401,$U229)))</f>
        <v/>
      </c>
      <c r="T229" s="7">
        <f>IF($U229="","",IF(INDEX('Per Invoice'!T$2:T$401,$U229)="","",INDEX('Per Invoice'!T$2:T$401,$U229)))</f>
        <v/>
      </c>
      <c r="U229" s="16">
        <f>IFERROR(MATCH(Settings!$C$28&amp;"|"&amp;ROWS($U$2:$U229),'Per Invoice'!$V$2:$V$401,0),"")</f>
        <v/>
      </c>
    </row>
    <row r="230">
      <c r="A230">
        <f>IF($U230="","",IF(INDEX('Per Invoice'!A$2:A$401,$U230)="","",INDEX('Per Invoice'!A$2:A$401,$U230)))</f>
        <v/>
      </c>
      <c r="B230">
        <f>IF($U230="","",IF(INDEX('Per Invoice'!B$2:B$401,$U230)="","",INDEX('Per Invoice'!B$2:B$401,$U230)))</f>
        <v/>
      </c>
      <c r="C230">
        <f>IF($U230="","",IF(INDEX('Per Invoice'!C$2:C$401,$U230)="","",INDEX('Per Invoice'!C$2:C$401,$U230)))</f>
        <v/>
      </c>
      <c r="D230">
        <f>IF($U230="","",IF(INDEX('Per Invoice'!D$2:D$401,$U230)="","",INDEX('Per Invoice'!D$2:D$401,$U230)))</f>
        <v/>
      </c>
      <c r="E230">
        <f>IF($U230="","",IF(INDEX('Per Invoice'!E$2:E$401,$U230)="","",INDEX('Per Invoice'!E$2:E$401,$U230)))</f>
        <v/>
      </c>
      <c r="F230">
        <f>IF($U230="","",IF(INDEX('Per Invoice'!F$2:F$401,$U230)="","",INDEX('Per Invoice'!F$2:F$401,$U230)))</f>
        <v/>
      </c>
      <c r="G230">
        <f>IF($U230="","",IF(INDEX('Per Invoice'!G$2:G$401,$U230)="","",INDEX('Per Invoice'!G$2:G$401,$U230)))</f>
        <v/>
      </c>
      <c r="H230" s="7">
        <f>IF($U230="","",IF(INDEX('Per Invoice'!H$2:H$401,$U230)="","",INDEX('Per Invoice'!H$2:H$401,$U230)))</f>
        <v/>
      </c>
      <c r="I230" s="14">
        <f>IF($U230="","",IF(INDEX('Per Invoice'!I$2:I$401,$U230)="","",INDEX('Per Invoice'!I$2:I$401,$U230)))</f>
        <v/>
      </c>
      <c r="J230">
        <f>IF($U230="","",IF(INDEX('Per Invoice'!J$2:J$401,$U230)="","",INDEX('Per Invoice'!J$2:J$401,$U230)))</f>
        <v/>
      </c>
      <c r="K230">
        <f>IF($U230="","",IF(INDEX('Per Invoice'!K$2:K$401,$U230)="","",INDEX('Per Invoice'!K$2:K$401,$U230)))</f>
        <v/>
      </c>
      <c r="L230" s="7">
        <f>IF($U230="","",IF(INDEX('Per Invoice'!L$2:L$401,$U230)="","",INDEX('Per Invoice'!L$2:L$401,$U230)))</f>
        <v/>
      </c>
      <c r="M230" s="7">
        <f>IF($U230="","",IF(INDEX('Per Invoice'!M$2:M$401,$U230)="","",INDEX('Per Invoice'!M$2:M$401,$U230)))</f>
        <v/>
      </c>
      <c r="N230">
        <f>IF($U230="","",IF(INDEX('Per Invoice'!N$2:N$401,$U230)="","",INDEX('Per Invoice'!N$2:N$401,$U230)))</f>
        <v/>
      </c>
      <c r="O230" s="7">
        <f>IF($U230="","",IF(INDEX('Per Invoice'!O$2:O$401,$U230)="","",INDEX('Per Invoice'!O$2:O$401,$U230)))</f>
        <v/>
      </c>
      <c r="P230" s="7">
        <f>IF($U230="","",IF(INDEX('Per Invoice'!P$2:P$401,$U230)="","",INDEX('Per Invoice'!P$2:P$401,$U230)))</f>
        <v/>
      </c>
      <c r="Q230" s="7">
        <f>IF($U230="","",IF(INDEX('Per Invoice'!Q$2:Q$401,$U230)="","",INDEX('Per Invoice'!Q$2:Q$401,$U230)))</f>
        <v/>
      </c>
      <c r="R230" s="7">
        <f>IF($U230="","",IF(INDEX('Per Invoice'!R$2:R$401,$U230)="","",INDEX('Per Invoice'!R$2:R$401,$U230)))</f>
        <v/>
      </c>
      <c r="S230" s="7">
        <f>IF($U230="","",IF(INDEX('Per Invoice'!S$2:S$401,$U230)="","",INDEX('Per Invoice'!S$2:S$401,$U230)))</f>
        <v/>
      </c>
      <c r="T230" s="7">
        <f>IF($U230="","",IF(INDEX('Per Invoice'!T$2:T$401,$U230)="","",INDEX('Per Invoice'!T$2:T$401,$U230)))</f>
        <v/>
      </c>
      <c r="U230" s="16">
        <f>IFERROR(MATCH(Settings!$C$28&amp;"|"&amp;ROWS($U$2:$U230),'Per Invoice'!$V$2:$V$401,0),"")</f>
        <v/>
      </c>
    </row>
    <row r="231">
      <c r="A231">
        <f>IF($U231="","",IF(INDEX('Per Invoice'!A$2:A$401,$U231)="","",INDEX('Per Invoice'!A$2:A$401,$U231)))</f>
        <v/>
      </c>
      <c r="B231">
        <f>IF($U231="","",IF(INDEX('Per Invoice'!B$2:B$401,$U231)="","",INDEX('Per Invoice'!B$2:B$401,$U231)))</f>
        <v/>
      </c>
      <c r="C231">
        <f>IF($U231="","",IF(INDEX('Per Invoice'!C$2:C$401,$U231)="","",INDEX('Per Invoice'!C$2:C$401,$U231)))</f>
        <v/>
      </c>
      <c r="D231">
        <f>IF($U231="","",IF(INDEX('Per Invoice'!D$2:D$401,$U231)="","",INDEX('Per Invoice'!D$2:D$401,$U231)))</f>
        <v/>
      </c>
      <c r="E231">
        <f>IF($U231="","",IF(INDEX('Per Invoice'!E$2:E$401,$U231)="","",INDEX('Per Invoice'!E$2:E$401,$U231)))</f>
        <v/>
      </c>
      <c r="F231">
        <f>IF($U231="","",IF(INDEX('Per Invoice'!F$2:F$401,$U231)="","",INDEX('Per Invoice'!F$2:F$401,$U231)))</f>
        <v/>
      </c>
      <c r="G231">
        <f>IF($U231="","",IF(INDEX('Per Invoice'!G$2:G$401,$U231)="","",INDEX('Per Invoice'!G$2:G$401,$U231)))</f>
        <v/>
      </c>
      <c r="H231" s="7">
        <f>IF($U231="","",IF(INDEX('Per Invoice'!H$2:H$401,$U231)="","",INDEX('Per Invoice'!H$2:H$401,$U231)))</f>
        <v/>
      </c>
      <c r="I231" s="14">
        <f>IF($U231="","",IF(INDEX('Per Invoice'!I$2:I$401,$U231)="","",INDEX('Per Invoice'!I$2:I$401,$U231)))</f>
        <v/>
      </c>
      <c r="J231">
        <f>IF($U231="","",IF(INDEX('Per Invoice'!J$2:J$401,$U231)="","",INDEX('Per Invoice'!J$2:J$401,$U231)))</f>
        <v/>
      </c>
      <c r="K231">
        <f>IF($U231="","",IF(INDEX('Per Invoice'!K$2:K$401,$U231)="","",INDEX('Per Invoice'!K$2:K$401,$U231)))</f>
        <v/>
      </c>
      <c r="L231" s="7">
        <f>IF($U231="","",IF(INDEX('Per Invoice'!L$2:L$401,$U231)="","",INDEX('Per Invoice'!L$2:L$401,$U231)))</f>
        <v/>
      </c>
      <c r="M231" s="7">
        <f>IF($U231="","",IF(INDEX('Per Invoice'!M$2:M$401,$U231)="","",INDEX('Per Invoice'!M$2:M$401,$U231)))</f>
        <v/>
      </c>
      <c r="N231">
        <f>IF($U231="","",IF(INDEX('Per Invoice'!N$2:N$401,$U231)="","",INDEX('Per Invoice'!N$2:N$401,$U231)))</f>
        <v/>
      </c>
      <c r="O231" s="7">
        <f>IF($U231="","",IF(INDEX('Per Invoice'!O$2:O$401,$U231)="","",INDEX('Per Invoice'!O$2:O$401,$U231)))</f>
        <v/>
      </c>
      <c r="P231" s="7">
        <f>IF($U231="","",IF(INDEX('Per Invoice'!P$2:P$401,$U231)="","",INDEX('Per Invoice'!P$2:P$401,$U231)))</f>
        <v/>
      </c>
      <c r="Q231" s="7">
        <f>IF($U231="","",IF(INDEX('Per Invoice'!Q$2:Q$401,$U231)="","",INDEX('Per Invoice'!Q$2:Q$401,$U231)))</f>
        <v/>
      </c>
      <c r="R231" s="7">
        <f>IF($U231="","",IF(INDEX('Per Invoice'!R$2:R$401,$U231)="","",INDEX('Per Invoice'!R$2:R$401,$U231)))</f>
        <v/>
      </c>
      <c r="S231" s="7">
        <f>IF($U231="","",IF(INDEX('Per Invoice'!S$2:S$401,$U231)="","",INDEX('Per Invoice'!S$2:S$401,$U231)))</f>
        <v/>
      </c>
      <c r="T231" s="7">
        <f>IF($U231="","",IF(INDEX('Per Invoice'!T$2:T$401,$U231)="","",INDEX('Per Invoice'!T$2:T$401,$U231)))</f>
        <v/>
      </c>
      <c r="U231" s="16">
        <f>IFERROR(MATCH(Settings!$C$28&amp;"|"&amp;ROWS($U$2:$U231),'Per Invoice'!$V$2:$V$401,0),"")</f>
        <v/>
      </c>
    </row>
    <row r="232">
      <c r="A232">
        <f>IF($U232="","",IF(INDEX('Per Invoice'!A$2:A$401,$U232)="","",INDEX('Per Invoice'!A$2:A$401,$U232)))</f>
        <v/>
      </c>
      <c r="B232">
        <f>IF($U232="","",IF(INDEX('Per Invoice'!B$2:B$401,$U232)="","",INDEX('Per Invoice'!B$2:B$401,$U232)))</f>
        <v/>
      </c>
      <c r="C232">
        <f>IF($U232="","",IF(INDEX('Per Invoice'!C$2:C$401,$U232)="","",INDEX('Per Invoice'!C$2:C$401,$U232)))</f>
        <v/>
      </c>
      <c r="D232">
        <f>IF($U232="","",IF(INDEX('Per Invoice'!D$2:D$401,$U232)="","",INDEX('Per Invoice'!D$2:D$401,$U232)))</f>
        <v/>
      </c>
      <c r="E232">
        <f>IF($U232="","",IF(INDEX('Per Invoice'!E$2:E$401,$U232)="","",INDEX('Per Invoice'!E$2:E$401,$U232)))</f>
        <v/>
      </c>
      <c r="F232">
        <f>IF($U232="","",IF(INDEX('Per Invoice'!F$2:F$401,$U232)="","",INDEX('Per Invoice'!F$2:F$401,$U232)))</f>
        <v/>
      </c>
      <c r="G232">
        <f>IF($U232="","",IF(INDEX('Per Invoice'!G$2:G$401,$U232)="","",INDEX('Per Invoice'!G$2:G$401,$U232)))</f>
        <v/>
      </c>
      <c r="H232" s="7">
        <f>IF($U232="","",IF(INDEX('Per Invoice'!H$2:H$401,$U232)="","",INDEX('Per Invoice'!H$2:H$401,$U232)))</f>
        <v/>
      </c>
      <c r="I232" s="14">
        <f>IF($U232="","",IF(INDEX('Per Invoice'!I$2:I$401,$U232)="","",INDEX('Per Invoice'!I$2:I$401,$U232)))</f>
        <v/>
      </c>
      <c r="J232">
        <f>IF($U232="","",IF(INDEX('Per Invoice'!J$2:J$401,$U232)="","",INDEX('Per Invoice'!J$2:J$401,$U232)))</f>
        <v/>
      </c>
      <c r="K232">
        <f>IF($U232="","",IF(INDEX('Per Invoice'!K$2:K$401,$U232)="","",INDEX('Per Invoice'!K$2:K$401,$U232)))</f>
        <v/>
      </c>
      <c r="L232" s="7">
        <f>IF($U232="","",IF(INDEX('Per Invoice'!L$2:L$401,$U232)="","",INDEX('Per Invoice'!L$2:L$401,$U232)))</f>
        <v/>
      </c>
      <c r="M232" s="7">
        <f>IF($U232="","",IF(INDEX('Per Invoice'!M$2:M$401,$U232)="","",INDEX('Per Invoice'!M$2:M$401,$U232)))</f>
        <v/>
      </c>
      <c r="N232">
        <f>IF($U232="","",IF(INDEX('Per Invoice'!N$2:N$401,$U232)="","",INDEX('Per Invoice'!N$2:N$401,$U232)))</f>
        <v/>
      </c>
      <c r="O232" s="7">
        <f>IF($U232="","",IF(INDEX('Per Invoice'!O$2:O$401,$U232)="","",INDEX('Per Invoice'!O$2:O$401,$U232)))</f>
        <v/>
      </c>
      <c r="P232" s="7">
        <f>IF($U232="","",IF(INDEX('Per Invoice'!P$2:P$401,$U232)="","",INDEX('Per Invoice'!P$2:P$401,$U232)))</f>
        <v/>
      </c>
      <c r="Q232" s="7">
        <f>IF($U232="","",IF(INDEX('Per Invoice'!Q$2:Q$401,$U232)="","",INDEX('Per Invoice'!Q$2:Q$401,$U232)))</f>
        <v/>
      </c>
      <c r="R232" s="7">
        <f>IF($U232="","",IF(INDEX('Per Invoice'!R$2:R$401,$U232)="","",INDEX('Per Invoice'!R$2:R$401,$U232)))</f>
        <v/>
      </c>
      <c r="S232" s="7">
        <f>IF($U232="","",IF(INDEX('Per Invoice'!S$2:S$401,$U232)="","",INDEX('Per Invoice'!S$2:S$401,$U232)))</f>
        <v/>
      </c>
      <c r="T232" s="7">
        <f>IF($U232="","",IF(INDEX('Per Invoice'!T$2:T$401,$U232)="","",INDEX('Per Invoice'!T$2:T$401,$U232)))</f>
        <v/>
      </c>
      <c r="U232" s="16">
        <f>IFERROR(MATCH(Settings!$C$28&amp;"|"&amp;ROWS($U$2:$U232),'Per Invoice'!$V$2:$V$401,0),"")</f>
        <v/>
      </c>
    </row>
    <row r="233">
      <c r="A233">
        <f>IF($U233="","",IF(INDEX('Per Invoice'!A$2:A$401,$U233)="","",INDEX('Per Invoice'!A$2:A$401,$U233)))</f>
        <v/>
      </c>
      <c r="B233">
        <f>IF($U233="","",IF(INDEX('Per Invoice'!B$2:B$401,$U233)="","",INDEX('Per Invoice'!B$2:B$401,$U233)))</f>
        <v/>
      </c>
      <c r="C233">
        <f>IF($U233="","",IF(INDEX('Per Invoice'!C$2:C$401,$U233)="","",INDEX('Per Invoice'!C$2:C$401,$U233)))</f>
        <v/>
      </c>
      <c r="D233">
        <f>IF($U233="","",IF(INDEX('Per Invoice'!D$2:D$401,$U233)="","",INDEX('Per Invoice'!D$2:D$401,$U233)))</f>
        <v/>
      </c>
      <c r="E233">
        <f>IF($U233="","",IF(INDEX('Per Invoice'!E$2:E$401,$U233)="","",INDEX('Per Invoice'!E$2:E$401,$U233)))</f>
        <v/>
      </c>
      <c r="F233">
        <f>IF($U233="","",IF(INDEX('Per Invoice'!F$2:F$401,$U233)="","",INDEX('Per Invoice'!F$2:F$401,$U233)))</f>
        <v/>
      </c>
      <c r="G233">
        <f>IF($U233="","",IF(INDEX('Per Invoice'!G$2:G$401,$U233)="","",INDEX('Per Invoice'!G$2:G$401,$U233)))</f>
        <v/>
      </c>
      <c r="H233" s="7">
        <f>IF($U233="","",IF(INDEX('Per Invoice'!H$2:H$401,$U233)="","",INDEX('Per Invoice'!H$2:H$401,$U233)))</f>
        <v/>
      </c>
      <c r="I233" s="14">
        <f>IF($U233="","",IF(INDEX('Per Invoice'!I$2:I$401,$U233)="","",INDEX('Per Invoice'!I$2:I$401,$U233)))</f>
        <v/>
      </c>
      <c r="J233">
        <f>IF($U233="","",IF(INDEX('Per Invoice'!J$2:J$401,$U233)="","",INDEX('Per Invoice'!J$2:J$401,$U233)))</f>
        <v/>
      </c>
      <c r="K233">
        <f>IF($U233="","",IF(INDEX('Per Invoice'!K$2:K$401,$U233)="","",INDEX('Per Invoice'!K$2:K$401,$U233)))</f>
        <v/>
      </c>
      <c r="L233" s="7">
        <f>IF($U233="","",IF(INDEX('Per Invoice'!L$2:L$401,$U233)="","",INDEX('Per Invoice'!L$2:L$401,$U233)))</f>
        <v/>
      </c>
      <c r="M233" s="7">
        <f>IF($U233="","",IF(INDEX('Per Invoice'!M$2:M$401,$U233)="","",INDEX('Per Invoice'!M$2:M$401,$U233)))</f>
        <v/>
      </c>
      <c r="N233">
        <f>IF($U233="","",IF(INDEX('Per Invoice'!N$2:N$401,$U233)="","",INDEX('Per Invoice'!N$2:N$401,$U233)))</f>
        <v/>
      </c>
      <c r="O233" s="7">
        <f>IF($U233="","",IF(INDEX('Per Invoice'!O$2:O$401,$U233)="","",INDEX('Per Invoice'!O$2:O$401,$U233)))</f>
        <v/>
      </c>
      <c r="P233" s="7">
        <f>IF($U233="","",IF(INDEX('Per Invoice'!P$2:P$401,$U233)="","",INDEX('Per Invoice'!P$2:P$401,$U233)))</f>
        <v/>
      </c>
      <c r="Q233" s="7">
        <f>IF($U233="","",IF(INDEX('Per Invoice'!Q$2:Q$401,$U233)="","",INDEX('Per Invoice'!Q$2:Q$401,$U233)))</f>
        <v/>
      </c>
      <c r="R233" s="7">
        <f>IF($U233="","",IF(INDEX('Per Invoice'!R$2:R$401,$U233)="","",INDEX('Per Invoice'!R$2:R$401,$U233)))</f>
        <v/>
      </c>
      <c r="S233" s="7">
        <f>IF($U233="","",IF(INDEX('Per Invoice'!S$2:S$401,$U233)="","",INDEX('Per Invoice'!S$2:S$401,$U233)))</f>
        <v/>
      </c>
      <c r="T233" s="7">
        <f>IF($U233="","",IF(INDEX('Per Invoice'!T$2:T$401,$U233)="","",INDEX('Per Invoice'!T$2:T$401,$U233)))</f>
        <v/>
      </c>
      <c r="U233" s="16">
        <f>IFERROR(MATCH(Settings!$C$28&amp;"|"&amp;ROWS($U$2:$U233),'Per Invoice'!$V$2:$V$401,0),"")</f>
        <v/>
      </c>
    </row>
    <row r="234">
      <c r="A234">
        <f>IF($U234="","",IF(INDEX('Per Invoice'!A$2:A$401,$U234)="","",INDEX('Per Invoice'!A$2:A$401,$U234)))</f>
        <v/>
      </c>
      <c r="B234">
        <f>IF($U234="","",IF(INDEX('Per Invoice'!B$2:B$401,$U234)="","",INDEX('Per Invoice'!B$2:B$401,$U234)))</f>
        <v/>
      </c>
      <c r="C234">
        <f>IF($U234="","",IF(INDEX('Per Invoice'!C$2:C$401,$U234)="","",INDEX('Per Invoice'!C$2:C$401,$U234)))</f>
        <v/>
      </c>
      <c r="D234">
        <f>IF($U234="","",IF(INDEX('Per Invoice'!D$2:D$401,$U234)="","",INDEX('Per Invoice'!D$2:D$401,$U234)))</f>
        <v/>
      </c>
      <c r="E234">
        <f>IF($U234="","",IF(INDEX('Per Invoice'!E$2:E$401,$U234)="","",INDEX('Per Invoice'!E$2:E$401,$U234)))</f>
        <v/>
      </c>
      <c r="F234">
        <f>IF($U234="","",IF(INDEX('Per Invoice'!F$2:F$401,$U234)="","",INDEX('Per Invoice'!F$2:F$401,$U234)))</f>
        <v/>
      </c>
      <c r="G234">
        <f>IF($U234="","",IF(INDEX('Per Invoice'!G$2:G$401,$U234)="","",INDEX('Per Invoice'!G$2:G$401,$U234)))</f>
        <v/>
      </c>
      <c r="H234" s="7">
        <f>IF($U234="","",IF(INDEX('Per Invoice'!H$2:H$401,$U234)="","",INDEX('Per Invoice'!H$2:H$401,$U234)))</f>
        <v/>
      </c>
      <c r="I234" s="14">
        <f>IF($U234="","",IF(INDEX('Per Invoice'!I$2:I$401,$U234)="","",INDEX('Per Invoice'!I$2:I$401,$U234)))</f>
        <v/>
      </c>
      <c r="J234">
        <f>IF($U234="","",IF(INDEX('Per Invoice'!J$2:J$401,$U234)="","",INDEX('Per Invoice'!J$2:J$401,$U234)))</f>
        <v/>
      </c>
      <c r="K234">
        <f>IF($U234="","",IF(INDEX('Per Invoice'!K$2:K$401,$U234)="","",INDEX('Per Invoice'!K$2:K$401,$U234)))</f>
        <v/>
      </c>
      <c r="L234" s="7">
        <f>IF($U234="","",IF(INDEX('Per Invoice'!L$2:L$401,$U234)="","",INDEX('Per Invoice'!L$2:L$401,$U234)))</f>
        <v/>
      </c>
      <c r="M234" s="7">
        <f>IF($U234="","",IF(INDEX('Per Invoice'!M$2:M$401,$U234)="","",INDEX('Per Invoice'!M$2:M$401,$U234)))</f>
        <v/>
      </c>
      <c r="N234">
        <f>IF($U234="","",IF(INDEX('Per Invoice'!N$2:N$401,$U234)="","",INDEX('Per Invoice'!N$2:N$401,$U234)))</f>
        <v/>
      </c>
      <c r="O234" s="7">
        <f>IF($U234="","",IF(INDEX('Per Invoice'!O$2:O$401,$U234)="","",INDEX('Per Invoice'!O$2:O$401,$U234)))</f>
        <v/>
      </c>
      <c r="P234" s="7">
        <f>IF($U234="","",IF(INDEX('Per Invoice'!P$2:P$401,$U234)="","",INDEX('Per Invoice'!P$2:P$401,$U234)))</f>
        <v/>
      </c>
      <c r="Q234" s="7">
        <f>IF($U234="","",IF(INDEX('Per Invoice'!Q$2:Q$401,$U234)="","",INDEX('Per Invoice'!Q$2:Q$401,$U234)))</f>
        <v/>
      </c>
      <c r="R234" s="7">
        <f>IF($U234="","",IF(INDEX('Per Invoice'!R$2:R$401,$U234)="","",INDEX('Per Invoice'!R$2:R$401,$U234)))</f>
        <v/>
      </c>
      <c r="S234" s="7">
        <f>IF($U234="","",IF(INDEX('Per Invoice'!S$2:S$401,$U234)="","",INDEX('Per Invoice'!S$2:S$401,$U234)))</f>
        <v/>
      </c>
      <c r="T234" s="7">
        <f>IF($U234="","",IF(INDEX('Per Invoice'!T$2:T$401,$U234)="","",INDEX('Per Invoice'!T$2:T$401,$U234)))</f>
        <v/>
      </c>
      <c r="U234" s="16">
        <f>IFERROR(MATCH(Settings!$C$28&amp;"|"&amp;ROWS($U$2:$U234),'Per Invoice'!$V$2:$V$401,0),"")</f>
        <v/>
      </c>
    </row>
    <row r="235">
      <c r="A235">
        <f>IF($U235="","",IF(INDEX('Per Invoice'!A$2:A$401,$U235)="","",INDEX('Per Invoice'!A$2:A$401,$U235)))</f>
        <v/>
      </c>
      <c r="B235">
        <f>IF($U235="","",IF(INDEX('Per Invoice'!B$2:B$401,$U235)="","",INDEX('Per Invoice'!B$2:B$401,$U235)))</f>
        <v/>
      </c>
      <c r="C235">
        <f>IF($U235="","",IF(INDEX('Per Invoice'!C$2:C$401,$U235)="","",INDEX('Per Invoice'!C$2:C$401,$U235)))</f>
        <v/>
      </c>
      <c r="D235">
        <f>IF($U235="","",IF(INDEX('Per Invoice'!D$2:D$401,$U235)="","",INDEX('Per Invoice'!D$2:D$401,$U235)))</f>
        <v/>
      </c>
      <c r="E235">
        <f>IF($U235="","",IF(INDEX('Per Invoice'!E$2:E$401,$U235)="","",INDEX('Per Invoice'!E$2:E$401,$U235)))</f>
        <v/>
      </c>
      <c r="F235">
        <f>IF($U235="","",IF(INDEX('Per Invoice'!F$2:F$401,$U235)="","",INDEX('Per Invoice'!F$2:F$401,$U235)))</f>
        <v/>
      </c>
      <c r="G235">
        <f>IF($U235="","",IF(INDEX('Per Invoice'!G$2:G$401,$U235)="","",INDEX('Per Invoice'!G$2:G$401,$U235)))</f>
        <v/>
      </c>
      <c r="H235" s="7">
        <f>IF($U235="","",IF(INDEX('Per Invoice'!H$2:H$401,$U235)="","",INDEX('Per Invoice'!H$2:H$401,$U235)))</f>
        <v/>
      </c>
      <c r="I235" s="14">
        <f>IF($U235="","",IF(INDEX('Per Invoice'!I$2:I$401,$U235)="","",INDEX('Per Invoice'!I$2:I$401,$U235)))</f>
        <v/>
      </c>
      <c r="J235">
        <f>IF($U235="","",IF(INDEX('Per Invoice'!J$2:J$401,$U235)="","",INDEX('Per Invoice'!J$2:J$401,$U235)))</f>
        <v/>
      </c>
      <c r="K235">
        <f>IF($U235="","",IF(INDEX('Per Invoice'!K$2:K$401,$U235)="","",INDEX('Per Invoice'!K$2:K$401,$U235)))</f>
        <v/>
      </c>
      <c r="L235" s="7">
        <f>IF($U235="","",IF(INDEX('Per Invoice'!L$2:L$401,$U235)="","",INDEX('Per Invoice'!L$2:L$401,$U235)))</f>
        <v/>
      </c>
      <c r="M235" s="7">
        <f>IF($U235="","",IF(INDEX('Per Invoice'!M$2:M$401,$U235)="","",INDEX('Per Invoice'!M$2:M$401,$U235)))</f>
        <v/>
      </c>
      <c r="N235">
        <f>IF($U235="","",IF(INDEX('Per Invoice'!N$2:N$401,$U235)="","",INDEX('Per Invoice'!N$2:N$401,$U235)))</f>
        <v/>
      </c>
      <c r="O235" s="7">
        <f>IF($U235="","",IF(INDEX('Per Invoice'!O$2:O$401,$U235)="","",INDEX('Per Invoice'!O$2:O$401,$U235)))</f>
        <v/>
      </c>
      <c r="P235" s="7">
        <f>IF($U235="","",IF(INDEX('Per Invoice'!P$2:P$401,$U235)="","",INDEX('Per Invoice'!P$2:P$401,$U235)))</f>
        <v/>
      </c>
      <c r="Q235" s="7">
        <f>IF($U235="","",IF(INDEX('Per Invoice'!Q$2:Q$401,$U235)="","",INDEX('Per Invoice'!Q$2:Q$401,$U235)))</f>
        <v/>
      </c>
      <c r="R235" s="7">
        <f>IF($U235="","",IF(INDEX('Per Invoice'!R$2:R$401,$U235)="","",INDEX('Per Invoice'!R$2:R$401,$U235)))</f>
        <v/>
      </c>
      <c r="S235" s="7">
        <f>IF($U235="","",IF(INDEX('Per Invoice'!S$2:S$401,$U235)="","",INDEX('Per Invoice'!S$2:S$401,$U235)))</f>
        <v/>
      </c>
      <c r="T235" s="7">
        <f>IF($U235="","",IF(INDEX('Per Invoice'!T$2:T$401,$U235)="","",INDEX('Per Invoice'!T$2:T$401,$U235)))</f>
        <v/>
      </c>
      <c r="U235" s="16">
        <f>IFERROR(MATCH(Settings!$C$28&amp;"|"&amp;ROWS($U$2:$U235),'Per Invoice'!$V$2:$V$401,0),"")</f>
        <v/>
      </c>
    </row>
    <row r="236">
      <c r="A236">
        <f>IF($U236="","",IF(INDEX('Per Invoice'!A$2:A$401,$U236)="","",INDEX('Per Invoice'!A$2:A$401,$U236)))</f>
        <v/>
      </c>
      <c r="B236">
        <f>IF($U236="","",IF(INDEX('Per Invoice'!B$2:B$401,$U236)="","",INDEX('Per Invoice'!B$2:B$401,$U236)))</f>
        <v/>
      </c>
      <c r="C236">
        <f>IF($U236="","",IF(INDEX('Per Invoice'!C$2:C$401,$U236)="","",INDEX('Per Invoice'!C$2:C$401,$U236)))</f>
        <v/>
      </c>
      <c r="D236">
        <f>IF($U236="","",IF(INDEX('Per Invoice'!D$2:D$401,$U236)="","",INDEX('Per Invoice'!D$2:D$401,$U236)))</f>
        <v/>
      </c>
      <c r="E236">
        <f>IF($U236="","",IF(INDEX('Per Invoice'!E$2:E$401,$U236)="","",INDEX('Per Invoice'!E$2:E$401,$U236)))</f>
        <v/>
      </c>
      <c r="F236">
        <f>IF($U236="","",IF(INDEX('Per Invoice'!F$2:F$401,$U236)="","",INDEX('Per Invoice'!F$2:F$401,$U236)))</f>
        <v/>
      </c>
      <c r="G236">
        <f>IF($U236="","",IF(INDEX('Per Invoice'!G$2:G$401,$U236)="","",INDEX('Per Invoice'!G$2:G$401,$U236)))</f>
        <v/>
      </c>
      <c r="H236" s="7">
        <f>IF($U236="","",IF(INDEX('Per Invoice'!H$2:H$401,$U236)="","",INDEX('Per Invoice'!H$2:H$401,$U236)))</f>
        <v/>
      </c>
      <c r="I236" s="14">
        <f>IF($U236="","",IF(INDEX('Per Invoice'!I$2:I$401,$U236)="","",INDEX('Per Invoice'!I$2:I$401,$U236)))</f>
        <v/>
      </c>
      <c r="J236">
        <f>IF($U236="","",IF(INDEX('Per Invoice'!J$2:J$401,$U236)="","",INDEX('Per Invoice'!J$2:J$401,$U236)))</f>
        <v/>
      </c>
      <c r="K236">
        <f>IF($U236="","",IF(INDEX('Per Invoice'!K$2:K$401,$U236)="","",INDEX('Per Invoice'!K$2:K$401,$U236)))</f>
        <v/>
      </c>
      <c r="L236" s="7">
        <f>IF($U236="","",IF(INDEX('Per Invoice'!L$2:L$401,$U236)="","",INDEX('Per Invoice'!L$2:L$401,$U236)))</f>
        <v/>
      </c>
      <c r="M236" s="7">
        <f>IF($U236="","",IF(INDEX('Per Invoice'!M$2:M$401,$U236)="","",INDEX('Per Invoice'!M$2:M$401,$U236)))</f>
        <v/>
      </c>
      <c r="N236">
        <f>IF($U236="","",IF(INDEX('Per Invoice'!N$2:N$401,$U236)="","",INDEX('Per Invoice'!N$2:N$401,$U236)))</f>
        <v/>
      </c>
      <c r="O236" s="7">
        <f>IF($U236="","",IF(INDEX('Per Invoice'!O$2:O$401,$U236)="","",INDEX('Per Invoice'!O$2:O$401,$U236)))</f>
        <v/>
      </c>
      <c r="P236" s="7">
        <f>IF($U236="","",IF(INDEX('Per Invoice'!P$2:P$401,$U236)="","",INDEX('Per Invoice'!P$2:P$401,$U236)))</f>
        <v/>
      </c>
      <c r="Q236" s="7">
        <f>IF($U236="","",IF(INDEX('Per Invoice'!Q$2:Q$401,$U236)="","",INDEX('Per Invoice'!Q$2:Q$401,$U236)))</f>
        <v/>
      </c>
      <c r="R236" s="7">
        <f>IF($U236="","",IF(INDEX('Per Invoice'!R$2:R$401,$U236)="","",INDEX('Per Invoice'!R$2:R$401,$U236)))</f>
        <v/>
      </c>
      <c r="S236" s="7">
        <f>IF($U236="","",IF(INDEX('Per Invoice'!S$2:S$401,$U236)="","",INDEX('Per Invoice'!S$2:S$401,$U236)))</f>
        <v/>
      </c>
      <c r="T236" s="7">
        <f>IF($U236="","",IF(INDEX('Per Invoice'!T$2:T$401,$U236)="","",INDEX('Per Invoice'!T$2:T$401,$U236)))</f>
        <v/>
      </c>
      <c r="U236" s="16">
        <f>IFERROR(MATCH(Settings!$C$28&amp;"|"&amp;ROWS($U$2:$U236),'Per Invoice'!$V$2:$V$401,0),"")</f>
        <v/>
      </c>
    </row>
    <row r="237">
      <c r="A237">
        <f>IF($U237="","",IF(INDEX('Per Invoice'!A$2:A$401,$U237)="","",INDEX('Per Invoice'!A$2:A$401,$U237)))</f>
        <v/>
      </c>
      <c r="B237">
        <f>IF($U237="","",IF(INDEX('Per Invoice'!B$2:B$401,$U237)="","",INDEX('Per Invoice'!B$2:B$401,$U237)))</f>
        <v/>
      </c>
      <c r="C237">
        <f>IF($U237="","",IF(INDEX('Per Invoice'!C$2:C$401,$U237)="","",INDEX('Per Invoice'!C$2:C$401,$U237)))</f>
        <v/>
      </c>
      <c r="D237">
        <f>IF($U237="","",IF(INDEX('Per Invoice'!D$2:D$401,$U237)="","",INDEX('Per Invoice'!D$2:D$401,$U237)))</f>
        <v/>
      </c>
      <c r="E237">
        <f>IF($U237="","",IF(INDEX('Per Invoice'!E$2:E$401,$U237)="","",INDEX('Per Invoice'!E$2:E$401,$U237)))</f>
        <v/>
      </c>
      <c r="F237">
        <f>IF($U237="","",IF(INDEX('Per Invoice'!F$2:F$401,$U237)="","",INDEX('Per Invoice'!F$2:F$401,$U237)))</f>
        <v/>
      </c>
      <c r="G237">
        <f>IF($U237="","",IF(INDEX('Per Invoice'!G$2:G$401,$U237)="","",INDEX('Per Invoice'!G$2:G$401,$U237)))</f>
        <v/>
      </c>
      <c r="H237" s="7">
        <f>IF($U237="","",IF(INDEX('Per Invoice'!H$2:H$401,$U237)="","",INDEX('Per Invoice'!H$2:H$401,$U237)))</f>
        <v/>
      </c>
      <c r="I237" s="14">
        <f>IF($U237="","",IF(INDEX('Per Invoice'!I$2:I$401,$U237)="","",INDEX('Per Invoice'!I$2:I$401,$U237)))</f>
        <v/>
      </c>
      <c r="J237">
        <f>IF($U237="","",IF(INDEX('Per Invoice'!J$2:J$401,$U237)="","",INDEX('Per Invoice'!J$2:J$401,$U237)))</f>
        <v/>
      </c>
      <c r="K237">
        <f>IF($U237="","",IF(INDEX('Per Invoice'!K$2:K$401,$U237)="","",INDEX('Per Invoice'!K$2:K$401,$U237)))</f>
        <v/>
      </c>
      <c r="L237" s="7">
        <f>IF($U237="","",IF(INDEX('Per Invoice'!L$2:L$401,$U237)="","",INDEX('Per Invoice'!L$2:L$401,$U237)))</f>
        <v/>
      </c>
      <c r="M237" s="7">
        <f>IF($U237="","",IF(INDEX('Per Invoice'!M$2:M$401,$U237)="","",INDEX('Per Invoice'!M$2:M$401,$U237)))</f>
        <v/>
      </c>
      <c r="N237">
        <f>IF($U237="","",IF(INDEX('Per Invoice'!N$2:N$401,$U237)="","",INDEX('Per Invoice'!N$2:N$401,$U237)))</f>
        <v/>
      </c>
      <c r="O237" s="7">
        <f>IF($U237="","",IF(INDEX('Per Invoice'!O$2:O$401,$U237)="","",INDEX('Per Invoice'!O$2:O$401,$U237)))</f>
        <v/>
      </c>
      <c r="P237" s="7">
        <f>IF($U237="","",IF(INDEX('Per Invoice'!P$2:P$401,$U237)="","",INDEX('Per Invoice'!P$2:P$401,$U237)))</f>
        <v/>
      </c>
      <c r="Q237" s="7">
        <f>IF($U237="","",IF(INDEX('Per Invoice'!Q$2:Q$401,$U237)="","",INDEX('Per Invoice'!Q$2:Q$401,$U237)))</f>
        <v/>
      </c>
      <c r="R237" s="7">
        <f>IF($U237="","",IF(INDEX('Per Invoice'!R$2:R$401,$U237)="","",INDEX('Per Invoice'!R$2:R$401,$U237)))</f>
        <v/>
      </c>
      <c r="S237" s="7">
        <f>IF($U237="","",IF(INDEX('Per Invoice'!S$2:S$401,$U237)="","",INDEX('Per Invoice'!S$2:S$401,$U237)))</f>
        <v/>
      </c>
      <c r="T237" s="7">
        <f>IF($U237="","",IF(INDEX('Per Invoice'!T$2:T$401,$U237)="","",INDEX('Per Invoice'!T$2:T$401,$U237)))</f>
        <v/>
      </c>
      <c r="U237" s="16">
        <f>IFERROR(MATCH(Settings!$C$28&amp;"|"&amp;ROWS($U$2:$U237),'Per Invoice'!$V$2:$V$401,0),"")</f>
        <v/>
      </c>
    </row>
    <row r="238">
      <c r="A238">
        <f>IF($U238="","",IF(INDEX('Per Invoice'!A$2:A$401,$U238)="","",INDEX('Per Invoice'!A$2:A$401,$U238)))</f>
        <v/>
      </c>
      <c r="B238">
        <f>IF($U238="","",IF(INDEX('Per Invoice'!B$2:B$401,$U238)="","",INDEX('Per Invoice'!B$2:B$401,$U238)))</f>
        <v/>
      </c>
      <c r="C238">
        <f>IF($U238="","",IF(INDEX('Per Invoice'!C$2:C$401,$U238)="","",INDEX('Per Invoice'!C$2:C$401,$U238)))</f>
        <v/>
      </c>
      <c r="D238">
        <f>IF($U238="","",IF(INDEX('Per Invoice'!D$2:D$401,$U238)="","",INDEX('Per Invoice'!D$2:D$401,$U238)))</f>
        <v/>
      </c>
      <c r="E238">
        <f>IF($U238="","",IF(INDEX('Per Invoice'!E$2:E$401,$U238)="","",INDEX('Per Invoice'!E$2:E$401,$U238)))</f>
        <v/>
      </c>
      <c r="F238">
        <f>IF($U238="","",IF(INDEX('Per Invoice'!F$2:F$401,$U238)="","",INDEX('Per Invoice'!F$2:F$401,$U238)))</f>
        <v/>
      </c>
      <c r="G238">
        <f>IF($U238="","",IF(INDEX('Per Invoice'!G$2:G$401,$U238)="","",INDEX('Per Invoice'!G$2:G$401,$U238)))</f>
        <v/>
      </c>
      <c r="H238" s="7">
        <f>IF($U238="","",IF(INDEX('Per Invoice'!H$2:H$401,$U238)="","",INDEX('Per Invoice'!H$2:H$401,$U238)))</f>
        <v/>
      </c>
      <c r="I238" s="14">
        <f>IF($U238="","",IF(INDEX('Per Invoice'!I$2:I$401,$U238)="","",INDEX('Per Invoice'!I$2:I$401,$U238)))</f>
        <v/>
      </c>
      <c r="J238">
        <f>IF($U238="","",IF(INDEX('Per Invoice'!J$2:J$401,$U238)="","",INDEX('Per Invoice'!J$2:J$401,$U238)))</f>
        <v/>
      </c>
      <c r="K238">
        <f>IF($U238="","",IF(INDEX('Per Invoice'!K$2:K$401,$U238)="","",INDEX('Per Invoice'!K$2:K$401,$U238)))</f>
        <v/>
      </c>
      <c r="L238" s="7">
        <f>IF($U238="","",IF(INDEX('Per Invoice'!L$2:L$401,$U238)="","",INDEX('Per Invoice'!L$2:L$401,$U238)))</f>
        <v/>
      </c>
      <c r="M238" s="7">
        <f>IF($U238="","",IF(INDEX('Per Invoice'!M$2:M$401,$U238)="","",INDEX('Per Invoice'!M$2:M$401,$U238)))</f>
        <v/>
      </c>
      <c r="N238">
        <f>IF($U238="","",IF(INDEX('Per Invoice'!N$2:N$401,$U238)="","",INDEX('Per Invoice'!N$2:N$401,$U238)))</f>
        <v/>
      </c>
      <c r="O238" s="7">
        <f>IF($U238="","",IF(INDEX('Per Invoice'!O$2:O$401,$U238)="","",INDEX('Per Invoice'!O$2:O$401,$U238)))</f>
        <v/>
      </c>
      <c r="P238" s="7">
        <f>IF($U238="","",IF(INDEX('Per Invoice'!P$2:P$401,$U238)="","",INDEX('Per Invoice'!P$2:P$401,$U238)))</f>
        <v/>
      </c>
      <c r="Q238" s="7">
        <f>IF($U238="","",IF(INDEX('Per Invoice'!Q$2:Q$401,$U238)="","",INDEX('Per Invoice'!Q$2:Q$401,$U238)))</f>
        <v/>
      </c>
      <c r="R238" s="7">
        <f>IF($U238="","",IF(INDEX('Per Invoice'!R$2:R$401,$U238)="","",INDEX('Per Invoice'!R$2:R$401,$U238)))</f>
        <v/>
      </c>
      <c r="S238" s="7">
        <f>IF($U238="","",IF(INDEX('Per Invoice'!S$2:S$401,$U238)="","",INDEX('Per Invoice'!S$2:S$401,$U238)))</f>
        <v/>
      </c>
      <c r="T238" s="7">
        <f>IF($U238="","",IF(INDEX('Per Invoice'!T$2:T$401,$U238)="","",INDEX('Per Invoice'!T$2:T$401,$U238)))</f>
        <v/>
      </c>
      <c r="U238" s="16">
        <f>IFERROR(MATCH(Settings!$C$28&amp;"|"&amp;ROWS($U$2:$U238),'Per Invoice'!$V$2:$V$401,0),"")</f>
        <v/>
      </c>
    </row>
    <row r="239">
      <c r="A239">
        <f>IF($U239="","",IF(INDEX('Per Invoice'!A$2:A$401,$U239)="","",INDEX('Per Invoice'!A$2:A$401,$U239)))</f>
        <v/>
      </c>
      <c r="B239">
        <f>IF($U239="","",IF(INDEX('Per Invoice'!B$2:B$401,$U239)="","",INDEX('Per Invoice'!B$2:B$401,$U239)))</f>
        <v/>
      </c>
      <c r="C239">
        <f>IF($U239="","",IF(INDEX('Per Invoice'!C$2:C$401,$U239)="","",INDEX('Per Invoice'!C$2:C$401,$U239)))</f>
        <v/>
      </c>
      <c r="D239">
        <f>IF($U239="","",IF(INDEX('Per Invoice'!D$2:D$401,$U239)="","",INDEX('Per Invoice'!D$2:D$401,$U239)))</f>
        <v/>
      </c>
      <c r="E239">
        <f>IF($U239="","",IF(INDEX('Per Invoice'!E$2:E$401,$U239)="","",INDEX('Per Invoice'!E$2:E$401,$U239)))</f>
        <v/>
      </c>
      <c r="F239">
        <f>IF($U239="","",IF(INDEX('Per Invoice'!F$2:F$401,$U239)="","",INDEX('Per Invoice'!F$2:F$401,$U239)))</f>
        <v/>
      </c>
      <c r="G239">
        <f>IF($U239="","",IF(INDEX('Per Invoice'!G$2:G$401,$U239)="","",INDEX('Per Invoice'!G$2:G$401,$U239)))</f>
        <v/>
      </c>
      <c r="H239" s="7">
        <f>IF($U239="","",IF(INDEX('Per Invoice'!H$2:H$401,$U239)="","",INDEX('Per Invoice'!H$2:H$401,$U239)))</f>
        <v/>
      </c>
      <c r="I239" s="14">
        <f>IF($U239="","",IF(INDEX('Per Invoice'!I$2:I$401,$U239)="","",INDEX('Per Invoice'!I$2:I$401,$U239)))</f>
        <v/>
      </c>
      <c r="J239">
        <f>IF($U239="","",IF(INDEX('Per Invoice'!J$2:J$401,$U239)="","",INDEX('Per Invoice'!J$2:J$401,$U239)))</f>
        <v/>
      </c>
      <c r="K239">
        <f>IF($U239="","",IF(INDEX('Per Invoice'!K$2:K$401,$U239)="","",INDEX('Per Invoice'!K$2:K$401,$U239)))</f>
        <v/>
      </c>
      <c r="L239" s="7">
        <f>IF($U239="","",IF(INDEX('Per Invoice'!L$2:L$401,$U239)="","",INDEX('Per Invoice'!L$2:L$401,$U239)))</f>
        <v/>
      </c>
      <c r="M239" s="7">
        <f>IF($U239="","",IF(INDEX('Per Invoice'!M$2:M$401,$U239)="","",INDEX('Per Invoice'!M$2:M$401,$U239)))</f>
        <v/>
      </c>
      <c r="N239">
        <f>IF($U239="","",IF(INDEX('Per Invoice'!N$2:N$401,$U239)="","",INDEX('Per Invoice'!N$2:N$401,$U239)))</f>
        <v/>
      </c>
      <c r="O239" s="7">
        <f>IF($U239="","",IF(INDEX('Per Invoice'!O$2:O$401,$U239)="","",INDEX('Per Invoice'!O$2:O$401,$U239)))</f>
        <v/>
      </c>
      <c r="P239" s="7">
        <f>IF($U239="","",IF(INDEX('Per Invoice'!P$2:P$401,$U239)="","",INDEX('Per Invoice'!P$2:P$401,$U239)))</f>
        <v/>
      </c>
      <c r="Q239" s="7">
        <f>IF($U239="","",IF(INDEX('Per Invoice'!Q$2:Q$401,$U239)="","",INDEX('Per Invoice'!Q$2:Q$401,$U239)))</f>
        <v/>
      </c>
      <c r="R239" s="7">
        <f>IF($U239="","",IF(INDEX('Per Invoice'!R$2:R$401,$U239)="","",INDEX('Per Invoice'!R$2:R$401,$U239)))</f>
        <v/>
      </c>
      <c r="S239" s="7">
        <f>IF($U239="","",IF(INDEX('Per Invoice'!S$2:S$401,$U239)="","",INDEX('Per Invoice'!S$2:S$401,$U239)))</f>
        <v/>
      </c>
      <c r="T239" s="7">
        <f>IF($U239="","",IF(INDEX('Per Invoice'!T$2:T$401,$U239)="","",INDEX('Per Invoice'!T$2:T$401,$U239)))</f>
        <v/>
      </c>
      <c r="U239" s="16">
        <f>IFERROR(MATCH(Settings!$C$28&amp;"|"&amp;ROWS($U$2:$U239),'Per Invoice'!$V$2:$V$401,0),"")</f>
        <v/>
      </c>
    </row>
    <row r="240">
      <c r="A240">
        <f>IF($U240="","",IF(INDEX('Per Invoice'!A$2:A$401,$U240)="","",INDEX('Per Invoice'!A$2:A$401,$U240)))</f>
        <v/>
      </c>
      <c r="B240">
        <f>IF($U240="","",IF(INDEX('Per Invoice'!B$2:B$401,$U240)="","",INDEX('Per Invoice'!B$2:B$401,$U240)))</f>
        <v/>
      </c>
      <c r="C240">
        <f>IF($U240="","",IF(INDEX('Per Invoice'!C$2:C$401,$U240)="","",INDEX('Per Invoice'!C$2:C$401,$U240)))</f>
        <v/>
      </c>
      <c r="D240">
        <f>IF($U240="","",IF(INDEX('Per Invoice'!D$2:D$401,$U240)="","",INDEX('Per Invoice'!D$2:D$401,$U240)))</f>
        <v/>
      </c>
      <c r="E240">
        <f>IF($U240="","",IF(INDEX('Per Invoice'!E$2:E$401,$U240)="","",INDEX('Per Invoice'!E$2:E$401,$U240)))</f>
        <v/>
      </c>
      <c r="F240">
        <f>IF($U240="","",IF(INDEX('Per Invoice'!F$2:F$401,$U240)="","",INDEX('Per Invoice'!F$2:F$401,$U240)))</f>
        <v/>
      </c>
      <c r="G240">
        <f>IF($U240="","",IF(INDEX('Per Invoice'!G$2:G$401,$U240)="","",INDEX('Per Invoice'!G$2:G$401,$U240)))</f>
        <v/>
      </c>
      <c r="H240" s="7">
        <f>IF($U240="","",IF(INDEX('Per Invoice'!H$2:H$401,$U240)="","",INDEX('Per Invoice'!H$2:H$401,$U240)))</f>
        <v/>
      </c>
      <c r="I240" s="14">
        <f>IF($U240="","",IF(INDEX('Per Invoice'!I$2:I$401,$U240)="","",INDEX('Per Invoice'!I$2:I$401,$U240)))</f>
        <v/>
      </c>
      <c r="J240">
        <f>IF($U240="","",IF(INDEX('Per Invoice'!J$2:J$401,$U240)="","",INDEX('Per Invoice'!J$2:J$401,$U240)))</f>
        <v/>
      </c>
      <c r="K240">
        <f>IF($U240="","",IF(INDEX('Per Invoice'!K$2:K$401,$U240)="","",INDEX('Per Invoice'!K$2:K$401,$U240)))</f>
        <v/>
      </c>
      <c r="L240" s="7">
        <f>IF($U240="","",IF(INDEX('Per Invoice'!L$2:L$401,$U240)="","",INDEX('Per Invoice'!L$2:L$401,$U240)))</f>
        <v/>
      </c>
      <c r="M240" s="7">
        <f>IF($U240="","",IF(INDEX('Per Invoice'!M$2:M$401,$U240)="","",INDEX('Per Invoice'!M$2:M$401,$U240)))</f>
        <v/>
      </c>
      <c r="N240">
        <f>IF($U240="","",IF(INDEX('Per Invoice'!N$2:N$401,$U240)="","",INDEX('Per Invoice'!N$2:N$401,$U240)))</f>
        <v/>
      </c>
      <c r="O240" s="7">
        <f>IF($U240="","",IF(INDEX('Per Invoice'!O$2:O$401,$U240)="","",INDEX('Per Invoice'!O$2:O$401,$U240)))</f>
        <v/>
      </c>
      <c r="P240" s="7">
        <f>IF($U240="","",IF(INDEX('Per Invoice'!P$2:P$401,$U240)="","",INDEX('Per Invoice'!P$2:P$401,$U240)))</f>
        <v/>
      </c>
      <c r="Q240" s="7">
        <f>IF($U240="","",IF(INDEX('Per Invoice'!Q$2:Q$401,$U240)="","",INDEX('Per Invoice'!Q$2:Q$401,$U240)))</f>
        <v/>
      </c>
      <c r="R240" s="7">
        <f>IF($U240="","",IF(INDEX('Per Invoice'!R$2:R$401,$U240)="","",INDEX('Per Invoice'!R$2:R$401,$U240)))</f>
        <v/>
      </c>
      <c r="S240" s="7">
        <f>IF($U240="","",IF(INDEX('Per Invoice'!S$2:S$401,$U240)="","",INDEX('Per Invoice'!S$2:S$401,$U240)))</f>
        <v/>
      </c>
      <c r="T240" s="7">
        <f>IF($U240="","",IF(INDEX('Per Invoice'!T$2:T$401,$U240)="","",INDEX('Per Invoice'!T$2:T$401,$U240)))</f>
        <v/>
      </c>
      <c r="U240" s="16">
        <f>IFERROR(MATCH(Settings!$C$28&amp;"|"&amp;ROWS($U$2:$U240),'Per Invoice'!$V$2:$V$401,0),"")</f>
        <v/>
      </c>
    </row>
    <row r="241">
      <c r="A241">
        <f>IF($U241="","",IF(INDEX('Per Invoice'!A$2:A$401,$U241)="","",INDEX('Per Invoice'!A$2:A$401,$U241)))</f>
        <v/>
      </c>
      <c r="B241">
        <f>IF($U241="","",IF(INDEX('Per Invoice'!B$2:B$401,$U241)="","",INDEX('Per Invoice'!B$2:B$401,$U241)))</f>
        <v/>
      </c>
      <c r="C241">
        <f>IF($U241="","",IF(INDEX('Per Invoice'!C$2:C$401,$U241)="","",INDEX('Per Invoice'!C$2:C$401,$U241)))</f>
        <v/>
      </c>
      <c r="D241">
        <f>IF($U241="","",IF(INDEX('Per Invoice'!D$2:D$401,$U241)="","",INDEX('Per Invoice'!D$2:D$401,$U241)))</f>
        <v/>
      </c>
      <c r="E241">
        <f>IF($U241="","",IF(INDEX('Per Invoice'!E$2:E$401,$U241)="","",INDEX('Per Invoice'!E$2:E$401,$U241)))</f>
        <v/>
      </c>
      <c r="F241">
        <f>IF($U241="","",IF(INDEX('Per Invoice'!F$2:F$401,$U241)="","",INDEX('Per Invoice'!F$2:F$401,$U241)))</f>
        <v/>
      </c>
      <c r="G241">
        <f>IF($U241="","",IF(INDEX('Per Invoice'!G$2:G$401,$U241)="","",INDEX('Per Invoice'!G$2:G$401,$U241)))</f>
        <v/>
      </c>
      <c r="H241" s="7">
        <f>IF($U241="","",IF(INDEX('Per Invoice'!H$2:H$401,$U241)="","",INDEX('Per Invoice'!H$2:H$401,$U241)))</f>
        <v/>
      </c>
      <c r="I241" s="14">
        <f>IF($U241="","",IF(INDEX('Per Invoice'!I$2:I$401,$U241)="","",INDEX('Per Invoice'!I$2:I$401,$U241)))</f>
        <v/>
      </c>
      <c r="J241">
        <f>IF($U241="","",IF(INDEX('Per Invoice'!J$2:J$401,$U241)="","",INDEX('Per Invoice'!J$2:J$401,$U241)))</f>
        <v/>
      </c>
      <c r="K241">
        <f>IF($U241="","",IF(INDEX('Per Invoice'!K$2:K$401,$U241)="","",INDEX('Per Invoice'!K$2:K$401,$U241)))</f>
        <v/>
      </c>
      <c r="L241" s="7">
        <f>IF($U241="","",IF(INDEX('Per Invoice'!L$2:L$401,$U241)="","",INDEX('Per Invoice'!L$2:L$401,$U241)))</f>
        <v/>
      </c>
      <c r="M241" s="7">
        <f>IF($U241="","",IF(INDEX('Per Invoice'!M$2:M$401,$U241)="","",INDEX('Per Invoice'!M$2:M$401,$U241)))</f>
        <v/>
      </c>
      <c r="N241">
        <f>IF($U241="","",IF(INDEX('Per Invoice'!N$2:N$401,$U241)="","",INDEX('Per Invoice'!N$2:N$401,$U241)))</f>
        <v/>
      </c>
      <c r="O241" s="7">
        <f>IF($U241="","",IF(INDEX('Per Invoice'!O$2:O$401,$U241)="","",INDEX('Per Invoice'!O$2:O$401,$U241)))</f>
        <v/>
      </c>
      <c r="P241" s="7">
        <f>IF($U241="","",IF(INDEX('Per Invoice'!P$2:P$401,$U241)="","",INDEX('Per Invoice'!P$2:P$401,$U241)))</f>
        <v/>
      </c>
      <c r="Q241" s="7">
        <f>IF($U241="","",IF(INDEX('Per Invoice'!Q$2:Q$401,$U241)="","",INDEX('Per Invoice'!Q$2:Q$401,$U241)))</f>
        <v/>
      </c>
      <c r="R241" s="7">
        <f>IF($U241="","",IF(INDEX('Per Invoice'!R$2:R$401,$U241)="","",INDEX('Per Invoice'!R$2:R$401,$U241)))</f>
        <v/>
      </c>
      <c r="S241" s="7">
        <f>IF($U241="","",IF(INDEX('Per Invoice'!S$2:S$401,$U241)="","",INDEX('Per Invoice'!S$2:S$401,$U241)))</f>
        <v/>
      </c>
      <c r="T241" s="7">
        <f>IF($U241="","",IF(INDEX('Per Invoice'!T$2:T$401,$U241)="","",INDEX('Per Invoice'!T$2:T$401,$U241)))</f>
        <v/>
      </c>
      <c r="U241" s="16">
        <f>IFERROR(MATCH(Settings!$C$28&amp;"|"&amp;ROWS($U$2:$U241),'Per Invoice'!$V$2:$V$401,0),"")</f>
        <v/>
      </c>
    </row>
    <row r="242">
      <c r="A242">
        <f>IF($U242="","",IF(INDEX('Per Invoice'!A$2:A$401,$U242)="","",INDEX('Per Invoice'!A$2:A$401,$U242)))</f>
        <v/>
      </c>
      <c r="B242">
        <f>IF($U242="","",IF(INDEX('Per Invoice'!B$2:B$401,$U242)="","",INDEX('Per Invoice'!B$2:B$401,$U242)))</f>
        <v/>
      </c>
      <c r="C242">
        <f>IF($U242="","",IF(INDEX('Per Invoice'!C$2:C$401,$U242)="","",INDEX('Per Invoice'!C$2:C$401,$U242)))</f>
        <v/>
      </c>
      <c r="D242">
        <f>IF($U242="","",IF(INDEX('Per Invoice'!D$2:D$401,$U242)="","",INDEX('Per Invoice'!D$2:D$401,$U242)))</f>
        <v/>
      </c>
      <c r="E242">
        <f>IF($U242="","",IF(INDEX('Per Invoice'!E$2:E$401,$U242)="","",INDEX('Per Invoice'!E$2:E$401,$U242)))</f>
        <v/>
      </c>
      <c r="F242">
        <f>IF($U242="","",IF(INDEX('Per Invoice'!F$2:F$401,$U242)="","",INDEX('Per Invoice'!F$2:F$401,$U242)))</f>
        <v/>
      </c>
      <c r="G242">
        <f>IF($U242="","",IF(INDEX('Per Invoice'!G$2:G$401,$U242)="","",INDEX('Per Invoice'!G$2:G$401,$U242)))</f>
        <v/>
      </c>
      <c r="H242" s="7">
        <f>IF($U242="","",IF(INDEX('Per Invoice'!H$2:H$401,$U242)="","",INDEX('Per Invoice'!H$2:H$401,$U242)))</f>
        <v/>
      </c>
      <c r="I242" s="14">
        <f>IF($U242="","",IF(INDEX('Per Invoice'!I$2:I$401,$U242)="","",INDEX('Per Invoice'!I$2:I$401,$U242)))</f>
        <v/>
      </c>
      <c r="J242">
        <f>IF($U242="","",IF(INDEX('Per Invoice'!J$2:J$401,$U242)="","",INDEX('Per Invoice'!J$2:J$401,$U242)))</f>
        <v/>
      </c>
      <c r="K242">
        <f>IF($U242="","",IF(INDEX('Per Invoice'!K$2:K$401,$U242)="","",INDEX('Per Invoice'!K$2:K$401,$U242)))</f>
        <v/>
      </c>
      <c r="L242" s="7">
        <f>IF($U242="","",IF(INDEX('Per Invoice'!L$2:L$401,$U242)="","",INDEX('Per Invoice'!L$2:L$401,$U242)))</f>
        <v/>
      </c>
      <c r="M242" s="7">
        <f>IF($U242="","",IF(INDEX('Per Invoice'!M$2:M$401,$U242)="","",INDEX('Per Invoice'!M$2:M$401,$U242)))</f>
        <v/>
      </c>
      <c r="N242">
        <f>IF($U242="","",IF(INDEX('Per Invoice'!N$2:N$401,$U242)="","",INDEX('Per Invoice'!N$2:N$401,$U242)))</f>
        <v/>
      </c>
      <c r="O242" s="7">
        <f>IF($U242="","",IF(INDEX('Per Invoice'!O$2:O$401,$U242)="","",INDEX('Per Invoice'!O$2:O$401,$U242)))</f>
        <v/>
      </c>
      <c r="P242" s="7">
        <f>IF($U242="","",IF(INDEX('Per Invoice'!P$2:P$401,$U242)="","",INDEX('Per Invoice'!P$2:P$401,$U242)))</f>
        <v/>
      </c>
      <c r="Q242" s="7">
        <f>IF($U242="","",IF(INDEX('Per Invoice'!Q$2:Q$401,$U242)="","",INDEX('Per Invoice'!Q$2:Q$401,$U242)))</f>
        <v/>
      </c>
      <c r="R242" s="7">
        <f>IF($U242="","",IF(INDEX('Per Invoice'!R$2:R$401,$U242)="","",INDEX('Per Invoice'!R$2:R$401,$U242)))</f>
        <v/>
      </c>
      <c r="S242" s="7">
        <f>IF($U242="","",IF(INDEX('Per Invoice'!S$2:S$401,$U242)="","",INDEX('Per Invoice'!S$2:S$401,$U242)))</f>
        <v/>
      </c>
      <c r="T242" s="7">
        <f>IF($U242="","",IF(INDEX('Per Invoice'!T$2:T$401,$U242)="","",INDEX('Per Invoice'!T$2:T$401,$U242)))</f>
        <v/>
      </c>
      <c r="U242" s="16">
        <f>IFERROR(MATCH(Settings!$C$28&amp;"|"&amp;ROWS($U$2:$U242),'Per Invoice'!$V$2:$V$401,0),"")</f>
        <v/>
      </c>
    </row>
    <row r="243">
      <c r="A243">
        <f>IF($U243="","",IF(INDEX('Per Invoice'!A$2:A$401,$U243)="","",INDEX('Per Invoice'!A$2:A$401,$U243)))</f>
        <v/>
      </c>
      <c r="B243">
        <f>IF($U243="","",IF(INDEX('Per Invoice'!B$2:B$401,$U243)="","",INDEX('Per Invoice'!B$2:B$401,$U243)))</f>
        <v/>
      </c>
      <c r="C243">
        <f>IF($U243="","",IF(INDEX('Per Invoice'!C$2:C$401,$U243)="","",INDEX('Per Invoice'!C$2:C$401,$U243)))</f>
        <v/>
      </c>
      <c r="D243">
        <f>IF($U243="","",IF(INDEX('Per Invoice'!D$2:D$401,$U243)="","",INDEX('Per Invoice'!D$2:D$401,$U243)))</f>
        <v/>
      </c>
      <c r="E243">
        <f>IF($U243="","",IF(INDEX('Per Invoice'!E$2:E$401,$U243)="","",INDEX('Per Invoice'!E$2:E$401,$U243)))</f>
        <v/>
      </c>
      <c r="F243">
        <f>IF($U243="","",IF(INDEX('Per Invoice'!F$2:F$401,$U243)="","",INDEX('Per Invoice'!F$2:F$401,$U243)))</f>
        <v/>
      </c>
      <c r="G243">
        <f>IF($U243="","",IF(INDEX('Per Invoice'!G$2:G$401,$U243)="","",INDEX('Per Invoice'!G$2:G$401,$U243)))</f>
        <v/>
      </c>
      <c r="H243" s="7">
        <f>IF($U243="","",IF(INDEX('Per Invoice'!H$2:H$401,$U243)="","",INDEX('Per Invoice'!H$2:H$401,$U243)))</f>
        <v/>
      </c>
      <c r="I243" s="14">
        <f>IF($U243="","",IF(INDEX('Per Invoice'!I$2:I$401,$U243)="","",INDEX('Per Invoice'!I$2:I$401,$U243)))</f>
        <v/>
      </c>
      <c r="J243">
        <f>IF($U243="","",IF(INDEX('Per Invoice'!J$2:J$401,$U243)="","",INDEX('Per Invoice'!J$2:J$401,$U243)))</f>
        <v/>
      </c>
      <c r="K243">
        <f>IF($U243="","",IF(INDEX('Per Invoice'!K$2:K$401,$U243)="","",INDEX('Per Invoice'!K$2:K$401,$U243)))</f>
        <v/>
      </c>
      <c r="L243" s="7">
        <f>IF($U243="","",IF(INDEX('Per Invoice'!L$2:L$401,$U243)="","",INDEX('Per Invoice'!L$2:L$401,$U243)))</f>
        <v/>
      </c>
      <c r="M243" s="7">
        <f>IF($U243="","",IF(INDEX('Per Invoice'!M$2:M$401,$U243)="","",INDEX('Per Invoice'!M$2:M$401,$U243)))</f>
        <v/>
      </c>
      <c r="N243">
        <f>IF($U243="","",IF(INDEX('Per Invoice'!N$2:N$401,$U243)="","",INDEX('Per Invoice'!N$2:N$401,$U243)))</f>
        <v/>
      </c>
      <c r="O243" s="7">
        <f>IF($U243="","",IF(INDEX('Per Invoice'!O$2:O$401,$U243)="","",INDEX('Per Invoice'!O$2:O$401,$U243)))</f>
        <v/>
      </c>
      <c r="P243" s="7">
        <f>IF($U243="","",IF(INDEX('Per Invoice'!P$2:P$401,$U243)="","",INDEX('Per Invoice'!P$2:P$401,$U243)))</f>
        <v/>
      </c>
      <c r="Q243" s="7">
        <f>IF($U243="","",IF(INDEX('Per Invoice'!Q$2:Q$401,$U243)="","",INDEX('Per Invoice'!Q$2:Q$401,$U243)))</f>
        <v/>
      </c>
      <c r="R243" s="7">
        <f>IF($U243="","",IF(INDEX('Per Invoice'!R$2:R$401,$U243)="","",INDEX('Per Invoice'!R$2:R$401,$U243)))</f>
        <v/>
      </c>
      <c r="S243" s="7">
        <f>IF($U243="","",IF(INDEX('Per Invoice'!S$2:S$401,$U243)="","",INDEX('Per Invoice'!S$2:S$401,$U243)))</f>
        <v/>
      </c>
      <c r="T243" s="7">
        <f>IF($U243="","",IF(INDEX('Per Invoice'!T$2:T$401,$U243)="","",INDEX('Per Invoice'!T$2:T$401,$U243)))</f>
        <v/>
      </c>
      <c r="U243" s="16">
        <f>IFERROR(MATCH(Settings!$C$28&amp;"|"&amp;ROWS($U$2:$U243),'Per Invoice'!$V$2:$V$401,0),"")</f>
        <v/>
      </c>
    </row>
    <row r="244">
      <c r="A244">
        <f>IF($U244="","",IF(INDEX('Per Invoice'!A$2:A$401,$U244)="","",INDEX('Per Invoice'!A$2:A$401,$U244)))</f>
        <v/>
      </c>
      <c r="B244">
        <f>IF($U244="","",IF(INDEX('Per Invoice'!B$2:B$401,$U244)="","",INDEX('Per Invoice'!B$2:B$401,$U244)))</f>
        <v/>
      </c>
      <c r="C244">
        <f>IF($U244="","",IF(INDEX('Per Invoice'!C$2:C$401,$U244)="","",INDEX('Per Invoice'!C$2:C$401,$U244)))</f>
        <v/>
      </c>
      <c r="D244">
        <f>IF($U244="","",IF(INDEX('Per Invoice'!D$2:D$401,$U244)="","",INDEX('Per Invoice'!D$2:D$401,$U244)))</f>
        <v/>
      </c>
      <c r="E244">
        <f>IF($U244="","",IF(INDEX('Per Invoice'!E$2:E$401,$U244)="","",INDEX('Per Invoice'!E$2:E$401,$U244)))</f>
        <v/>
      </c>
      <c r="F244">
        <f>IF($U244="","",IF(INDEX('Per Invoice'!F$2:F$401,$U244)="","",INDEX('Per Invoice'!F$2:F$401,$U244)))</f>
        <v/>
      </c>
      <c r="G244">
        <f>IF($U244="","",IF(INDEX('Per Invoice'!G$2:G$401,$U244)="","",INDEX('Per Invoice'!G$2:G$401,$U244)))</f>
        <v/>
      </c>
      <c r="H244" s="7">
        <f>IF($U244="","",IF(INDEX('Per Invoice'!H$2:H$401,$U244)="","",INDEX('Per Invoice'!H$2:H$401,$U244)))</f>
        <v/>
      </c>
      <c r="I244" s="14">
        <f>IF($U244="","",IF(INDEX('Per Invoice'!I$2:I$401,$U244)="","",INDEX('Per Invoice'!I$2:I$401,$U244)))</f>
        <v/>
      </c>
      <c r="J244">
        <f>IF($U244="","",IF(INDEX('Per Invoice'!J$2:J$401,$U244)="","",INDEX('Per Invoice'!J$2:J$401,$U244)))</f>
        <v/>
      </c>
      <c r="K244">
        <f>IF($U244="","",IF(INDEX('Per Invoice'!K$2:K$401,$U244)="","",INDEX('Per Invoice'!K$2:K$401,$U244)))</f>
        <v/>
      </c>
      <c r="L244" s="7">
        <f>IF($U244="","",IF(INDEX('Per Invoice'!L$2:L$401,$U244)="","",INDEX('Per Invoice'!L$2:L$401,$U244)))</f>
        <v/>
      </c>
      <c r="M244" s="7">
        <f>IF($U244="","",IF(INDEX('Per Invoice'!M$2:M$401,$U244)="","",INDEX('Per Invoice'!M$2:M$401,$U244)))</f>
        <v/>
      </c>
      <c r="N244">
        <f>IF($U244="","",IF(INDEX('Per Invoice'!N$2:N$401,$U244)="","",INDEX('Per Invoice'!N$2:N$401,$U244)))</f>
        <v/>
      </c>
      <c r="O244" s="7">
        <f>IF($U244="","",IF(INDEX('Per Invoice'!O$2:O$401,$U244)="","",INDEX('Per Invoice'!O$2:O$401,$U244)))</f>
        <v/>
      </c>
      <c r="P244" s="7">
        <f>IF($U244="","",IF(INDEX('Per Invoice'!P$2:P$401,$U244)="","",INDEX('Per Invoice'!P$2:P$401,$U244)))</f>
        <v/>
      </c>
      <c r="Q244" s="7">
        <f>IF($U244="","",IF(INDEX('Per Invoice'!Q$2:Q$401,$U244)="","",INDEX('Per Invoice'!Q$2:Q$401,$U244)))</f>
        <v/>
      </c>
      <c r="R244" s="7">
        <f>IF($U244="","",IF(INDEX('Per Invoice'!R$2:R$401,$U244)="","",INDEX('Per Invoice'!R$2:R$401,$U244)))</f>
        <v/>
      </c>
      <c r="S244" s="7">
        <f>IF($U244="","",IF(INDEX('Per Invoice'!S$2:S$401,$U244)="","",INDEX('Per Invoice'!S$2:S$401,$U244)))</f>
        <v/>
      </c>
      <c r="T244" s="7">
        <f>IF($U244="","",IF(INDEX('Per Invoice'!T$2:T$401,$U244)="","",INDEX('Per Invoice'!T$2:T$401,$U244)))</f>
        <v/>
      </c>
      <c r="U244" s="16">
        <f>IFERROR(MATCH(Settings!$C$28&amp;"|"&amp;ROWS($U$2:$U244),'Per Invoice'!$V$2:$V$401,0),"")</f>
        <v/>
      </c>
    </row>
    <row r="245">
      <c r="A245">
        <f>IF($U245="","",IF(INDEX('Per Invoice'!A$2:A$401,$U245)="","",INDEX('Per Invoice'!A$2:A$401,$U245)))</f>
        <v/>
      </c>
      <c r="B245">
        <f>IF($U245="","",IF(INDEX('Per Invoice'!B$2:B$401,$U245)="","",INDEX('Per Invoice'!B$2:B$401,$U245)))</f>
        <v/>
      </c>
      <c r="C245">
        <f>IF($U245="","",IF(INDEX('Per Invoice'!C$2:C$401,$U245)="","",INDEX('Per Invoice'!C$2:C$401,$U245)))</f>
        <v/>
      </c>
      <c r="D245">
        <f>IF($U245="","",IF(INDEX('Per Invoice'!D$2:D$401,$U245)="","",INDEX('Per Invoice'!D$2:D$401,$U245)))</f>
        <v/>
      </c>
      <c r="E245">
        <f>IF($U245="","",IF(INDEX('Per Invoice'!E$2:E$401,$U245)="","",INDEX('Per Invoice'!E$2:E$401,$U245)))</f>
        <v/>
      </c>
      <c r="F245">
        <f>IF($U245="","",IF(INDEX('Per Invoice'!F$2:F$401,$U245)="","",INDEX('Per Invoice'!F$2:F$401,$U245)))</f>
        <v/>
      </c>
      <c r="G245">
        <f>IF($U245="","",IF(INDEX('Per Invoice'!G$2:G$401,$U245)="","",INDEX('Per Invoice'!G$2:G$401,$U245)))</f>
        <v/>
      </c>
      <c r="H245" s="7">
        <f>IF($U245="","",IF(INDEX('Per Invoice'!H$2:H$401,$U245)="","",INDEX('Per Invoice'!H$2:H$401,$U245)))</f>
        <v/>
      </c>
      <c r="I245" s="14">
        <f>IF($U245="","",IF(INDEX('Per Invoice'!I$2:I$401,$U245)="","",INDEX('Per Invoice'!I$2:I$401,$U245)))</f>
        <v/>
      </c>
      <c r="J245">
        <f>IF($U245="","",IF(INDEX('Per Invoice'!J$2:J$401,$U245)="","",INDEX('Per Invoice'!J$2:J$401,$U245)))</f>
        <v/>
      </c>
      <c r="K245">
        <f>IF($U245="","",IF(INDEX('Per Invoice'!K$2:K$401,$U245)="","",INDEX('Per Invoice'!K$2:K$401,$U245)))</f>
        <v/>
      </c>
      <c r="L245" s="7">
        <f>IF($U245="","",IF(INDEX('Per Invoice'!L$2:L$401,$U245)="","",INDEX('Per Invoice'!L$2:L$401,$U245)))</f>
        <v/>
      </c>
      <c r="M245" s="7">
        <f>IF($U245="","",IF(INDEX('Per Invoice'!M$2:M$401,$U245)="","",INDEX('Per Invoice'!M$2:M$401,$U245)))</f>
        <v/>
      </c>
      <c r="N245">
        <f>IF($U245="","",IF(INDEX('Per Invoice'!N$2:N$401,$U245)="","",INDEX('Per Invoice'!N$2:N$401,$U245)))</f>
        <v/>
      </c>
      <c r="O245" s="7">
        <f>IF($U245="","",IF(INDEX('Per Invoice'!O$2:O$401,$U245)="","",INDEX('Per Invoice'!O$2:O$401,$U245)))</f>
        <v/>
      </c>
      <c r="P245" s="7">
        <f>IF($U245="","",IF(INDEX('Per Invoice'!P$2:P$401,$U245)="","",INDEX('Per Invoice'!P$2:P$401,$U245)))</f>
        <v/>
      </c>
      <c r="Q245" s="7">
        <f>IF($U245="","",IF(INDEX('Per Invoice'!Q$2:Q$401,$U245)="","",INDEX('Per Invoice'!Q$2:Q$401,$U245)))</f>
        <v/>
      </c>
      <c r="R245" s="7">
        <f>IF($U245="","",IF(INDEX('Per Invoice'!R$2:R$401,$U245)="","",INDEX('Per Invoice'!R$2:R$401,$U245)))</f>
        <v/>
      </c>
      <c r="S245" s="7">
        <f>IF($U245="","",IF(INDEX('Per Invoice'!S$2:S$401,$U245)="","",INDEX('Per Invoice'!S$2:S$401,$U245)))</f>
        <v/>
      </c>
      <c r="T245" s="7">
        <f>IF($U245="","",IF(INDEX('Per Invoice'!T$2:T$401,$U245)="","",INDEX('Per Invoice'!T$2:T$401,$U245)))</f>
        <v/>
      </c>
      <c r="U245" s="16">
        <f>IFERROR(MATCH(Settings!$C$28&amp;"|"&amp;ROWS($U$2:$U245),'Per Invoice'!$V$2:$V$401,0),"")</f>
        <v/>
      </c>
    </row>
    <row r="246">
      <c r="A246">
        <f>IF($U246="","",IF(INDEX('Per Invoice'!A$2:A$401,$U246)="","",INDEX('Per Invoice'!A$2:A$401,$U246)))</f>
        <v/>
      </c>
      <c r="B246">
        <f>IF($U246="","",IF(INDEX('Per Invoice'!B$2:B$401,$U246)="","",INDEX('Per Invoice'!B$2:B$401,$U246)))</f>
        <v/>
      </c>
      <c r="C246">
        <f>IF($U246="","",IF(INDEX('Per Invoice'!C$2:C$401,$U246)="","",INDEX('Per Invoice'!C$2:C$401,$U246)))</f>
        <v/>
      </c>
      <c r="D246">
        <f>IF($U246="","",IF(INDEX('Per Invoice'!D$2:D$401,$U246)="","",INDEX('Per Invoice'!D$2:D$401,$U246)))</f>
        <v/>
      </c>
      <c r="E246">
        <f>IF($U246="","",IF(INDEX('Per Invoice'!E$2:E$401,$U246)="","",INDEX('Per Invoice'!E$2:E$401,$U246)))</f>
        <v/>
      </c>
      <c r="F246">
        <f>IF($U246="","",IF(INDEX('Per Invoice'!F$2:F$401,$U246)="","",INDEX('Per Invoice'!F$2:F$401,$U246)))</f>
        <v/>
      </c>
      <c r="G246">
        <f>IF($U246="","",IF(INDEX('Per Invoice'!G$2:G$401,$U246)="","",INDEX('Per Invoice'!G$2:G$401,$U246)))</f>
        <v/>
      </c>
      <c r="H246" s="7">
        <f>IF($U246="","",IF(INDEX('Per Invoice'!H$2:H$401,$U246)="","",INDEX('Per Invoice'!H$2:H$401,$U246)))</f>
        <v/>
      </c>
      <c r="I246" s="14">
        <f>IF($U246="","",IF(INDEX('Per Invoice'!I$2:I$401,$U246)="","",INDEX('Per Invoice'!I$2:I$401,$U246)))</f>
        <v/>
      </c>
      <c r="J246">
        <f>IF($U246="","",IF(INDEX('Per Invoice'!J$2:J$401,$U246)="","",INDEX('Per Invoice'!J$2:J$401,$U246)))</f>
        <v/>
      </c>
      <c r="K246">
        <f>IF($U246="","",IF(INDEX('Per Invoice'!K$2:K$401,$U246)="","",INDEX('Per Invoice'!K$2:K$401,$U246)))</f>
        <v/>
      </c>
      <c r="L246" s="7">
        <f>IF($U246="","",IF(INDEX('Per Invoice'!L$2:L$401,$U246)="","",INDEX('Per Invoice'!L$2:L$401,$U246)))</f>
        <v/>
      </c>
      <c r="M246" s="7">
        <f>IF($U246="","",IF(INDEX('Per Invoice'!M$2:M$401,$U246)="","",INDEX('Per Invoice'!M$2:M$401,$U246)))</f>
        <v/>
      </c>
      <c r="N246">
        <f>IF($U246="","",IF(INDEX('Per Invoice'!N$2:N$401,$U246)="","",INDEX('Per Invoice'!N$2:N$401,$U246)))</f>
        <v/>
      </c>
      <c r="O246" s="7">
        <f>IF($U246="","",IF(INDEX('Per Invoice'!O$2:O$401,$U246)="","",INDEX('Per Invoice'!O$2:O$401,$U246)))</f>
        <v/>
      </c>
      <c r="P246" s="7">
        <f>IF($U246="","",IF(INDEX('Per Invoice'!P$2:P$401,$U246)="","",INDEX('Per Invoice'!P$2:P$401,$U246)))</f>
        <v/>
      </c>
      <c r="Q246" s="7">
        <f>IF($U246="","",IF(INDEX('Per Invoice'!Q$2:Q$401,$U246)="","",INDEX('Per Invoice'!Q$2:Q$401,$U246)))</f>
        <v/>
      </c>
      <c r="R246" s="7">
        <f>IF($U246="","",IF(INDEX('Per Invoice'!R$2:R$401,$U246)="","",INDEX('Per Invoice'!R$2:R$401,$U246)))</f>
        <v/>
      </c>
      <c r="S246" s="7">
        <f>IF($U246="","",IF(INDEX('Per Invoice'!S$2:S$401,$U246)="","",INDEX('Per Invoice'!S$2:S$401,$U246)))</f>
        <v/>
      </c>
      <c r="T246" s="7">
        <f>IF($U246="","",IF(INDEX('Per Invoice'!T$2:T$401,$U246)="","",INDEX('Per Invoice'!T$2:T$401,$U246)))</f>
        <v/>
      </c>
      <c r="U246" s="16">
        <f>IFERROR(MATCH(Settings!$C$28&amp;"|"&amp;ROWS($U$2:$U246),'Per Invoice'!$V$2:$V$401,0),"")</f>
        <v/>
      </c>
    </row>
    <row r="247">
      <c r="A247">
        <f>IF($U247="","",IF(INDEX('Per Invoice'!A$2:A$401,$U247)="","",INDEX('Per Invoice'!A$2:A$401,$U247)))</f>
        <v/>
      </c>
      <c r="B247">
        <f>IF($U247="","",IF(INDEX('Per Invoice'!B$2:B$401,$U247)="","",INDEX('Per Invoice'!B$2:B$401,$U247)))</f>
        <v/>
      </c>
      <c r="C247">
        <f>IF($U247="","",IF(INDEX('Per Invoice'!C$2:C$401,$U247)="","",INDEX('Per Invoice'!C$2:C$401,$U247)))</f>
        <v/>
      </c>
      <c r="D247">
        <f>IF($U247="","",IF(INDEX('Per Invoice'!D$2:D$401,$U247)="","",INDEX('Per Invoice'!D$2:D$401,$U247)))</f>
        <v/>
      </c>
      <c r="E247">
        <f>IF($U247="","",IF(INDEX('Per Invoice'!E$2:E$401,$U247)="","",INDEX('Per Invoice'!E$2:E$401,$U247)))</f>
        <v/>
      </c>
      <c r="F247">
        <f>IF($U247="","",IF(INDEX('Per Invoice'!F$2:F$401,$U247)="","",INDEX('Per Invoice'!F$2:F$401,$U247)))</f>
        <v/>
      </c>
      <c r="G247">
        <f>IF($U247="","",IF(INDEX('Per Invoice'!G$2:G$401,$U247)="","",INDEX('Per Invoice'!G$2:G$401,$U247)))</f>
        <v/>
      </c>
      <c r="H247" s="7">
        <f>IF($U247="","",IF(INDEX('Per Invoice'!H$2:H$401,$U247)="","",INDEX('Per Invoice'!H$2:H$401,$U247)))</f>
        <v/>
      </c>
      <c r="I247" s="14">
        <f>IF($U247="","",IF(INDEX('Per Invoice'!I$2:I$401,$U247)="","",INDEX('Per Invoice'!I$2:I$401,$U247)))</f>
        <v/>
      </c>
      <c r="J247">
        <f>IF($U247="","",IF(INDEX('Per Invoice'!J$2:J$401,$U247)="","",INDEX('Per Invoice'!J$2:J$401,$U247)))</f>
        <v/>
      </c>
      <c r="K247">
        <f>IF($U247="","",IF(INDEX('Per Invoice'!K$2:K$401,$U247)="","",INDEX('Per Invoice'!K$2:K$401,$U247)))</f>
        <v/>
      </c>
      <c r="L247" s="7">
        <f>IF($U247="","",IF(INDEX('Per Invoice'!L$2:L$401,$U247)="","",INDEX('Per Invoice'!L$2:L$401,$U247)))</f>
        <v/>
      </c>
      <c r="M247" s="7">
        <f>IF($U247="","",IF(INDEX('Per Invoice'!M$2:M$401,$U247)="","",INDEX('Per Invoice'!M$2:M$401,$U247)))</f>
        <v/>
      </c>
      <c r="N247">
        <f>IF($U247="","",IF(INDEX('Per Invoice'!N$2:N$401,$U247)="","",INDEX('Per Invoice'!N$2:N$401,$U247)))</f>
        <v/>
      </c>
      <c r="O247" s="7">
        <f>IF($U247="","",IF(INDEX('Per Invoice'!O$2:O$401,$U247)="","",INDEX('Per Invoice'!O$2:O$401,$U247)))</f>
        <v/>
      </c>
      <c r="P247" s="7">
        <f>IF($U247="","",IF(INDEX('Per Invoice'!P$2:P$401,$U247)="","",INDEX('Per Invoice'!P$2:P$401,$U247)))</f>
        <v/>
      </c>
      <c r="Q247" s="7">
        <f>IF($U247="","",IF(INDEX('Per Invoice'!Q$2:Q$401,$U247)="","",INDEX('Per Invoice'!Q$2:Q$401,$U247)))</f>
        <v/>
      </c>
      <c r="R247" s="7">
        <f>IF($U247="","",IF(INDEX('Per Invoice'!R$2:R$401,$U247)="","",INDEX('Per Invoice'!R$2:R$401,$U247)))</f>
        <v/>
      </c>
      <c r="S247" s="7">
        <f>IF($U247="","",IF(INDEX('Per Invoice'!S$2:S$401,$U247)="","",INDEX('Per Invoice'!S$2:S$401,$U247)))</f>
        <v/>
      </c>
      <c r="T247" s="7">
        <f>IF($U247="","",IF(INDEX('Per Invoice'!T$2:T$401,$U247)="","",INDEX('Per Invoice'!T$2:T$401,$U247)))</f>
        <v/>
      </c>
      <c r="U247" s="16">
        <f>IFERROR(MATCH(Settings!$C$28&amp;"|"&amp;ROWS($U$2:$U247),'Per Invoice'!$V$2:$V$401,0),"")</f>
        <v/>
      </c>
    </row>
    <row r="248">
      <c r="A248">
        <f>IF($U248="","",IF(INDEX('Per Invoice'!A$2:A$401,$U248)="","",INDEX('Per Invoice'!A$2:A$401,$U248)))</f>
        <v/>
      </c>
      <c r="B248">
        <f>IF($U248="","",IF(INDEX('Per Invoice'!B$2:B$401,$U248)="","",INDEX('Per Invoice'!B$2:B$401,$U248)))</f>
        <v/>
      </c>
      <c r="C248">
        <f>IF($U248="","",IF(INDEX('Per Invoice'!C$2:C$401,$U248)="","",INDEX('Per Invoice'!C$2:C$401,$U248)))</f>
        <v/>
      </c>
      <c r="D248">
        <f>IF($U248="","",IF(INDEX('Per Invoice'!D$2:D$401,$U248)="","",INDEX('Per Invoice'!D$2:D$401,$U248)))</f>
        <v/>
      </c>
      <c r="E248">
        <f>IF($U248="","",IF(INDEX('Per Invoice'!E$2:E$401,$U248)="","",INDEX('Per Invoice'!E$2:E$401,$U248)))</f>
        <v/>
      </c>
      <c r="F248">
        <f>IF($U248="","",IF(INDEX('Per Invoice'!F$2:F$401,$U248)="","",INDEX('Per Invoice'!F$2:F$401,$U248)))</f>
        <v/>
      </c>
      <c r="G248">
        <f>IF($U248="","",IF(INDEX('Per Invoice'!G$2:G$401,$U248)="","",INDEX('Per Invoice'!G$2:G$401,$U248)))</f>
        <v/>
      </c>
      <c r="H248" s="7">
        <f>IF($U248="","",IF(INDEX('Per Invoice'!H$2:H$401,$U248)="","",INDEX('Per Invoice'!H$2:H$401,$U248)))</f>
        <v/>
      </c>
      <c r="I248" s="14">
        <f>IF($U248="","",IF(INDEX('Per Invoice'!I$2:I$401,$U248)="","",INDEX('Per Invoice'!I$2:I$401,$U248)))</f>
        <v/>
      </c>
      <c r="J248">
        <f>IF($U248="","",IF(INDEX('Per Invoice'!J$2:J$401,$U248)="","",INDEX('Per Invoice'!J$2:J$401,$U248)))</f>
        <v/>
      </c>
      <c r="K248">
        <f>IF($U248="","",IF(INDEX('Per Invoice'!K$2:K$401,$U248)="","",INDEX('Per Invoice'!K$2:K$401,$U248)))</f>
        <v/>
      </c>
      <c r="L248" s="7">
        <f>IF($U248="","",IF(INDEX('Per Invoice'!L$2:L$401,$U248)="","",INDEX('Per Invoice'!L$2:L$401,$U248)))</f>
        <v/>
      </c>
      <c r="M248" s="7">
        <f>IF($U248="","",IF(INDEX('Per Invoice'!M$2:M$401,$U248)="","",INDEX('Per Invoice'!M$2:M$401,$U248)))</f>
        <v/>
      </c>
      <c r="N248">
        <f>IF($U248="","",IF(INDEX('Per Invoice'!N$2:N$401,$U248)="","",INDEX('Per Invoice'!N$2:N$401,$U248)))</f>
        <v/>
      </c>
      <c r="O248" s="7">
        <f>IF($U248="","",IF(INDEX('Per Invoice'!O$2:O$401,$U248)="","",INDEX('Per Invoice'!O$2:O$401,$U248)))</f>
        <v/>
      </c>
      <c r="P248" s="7">
        <f>IF($U248="","",IF(INDEX('Per Invoice'!P$2:P$401,$U248)="","",INDEX('Per Invoice'!P$2:P$401,$U248)))</f>
        <v/>
      </c>
      <c r="Q248" s="7">
        <f>IF($U248="","",IF(INDEX('Per Invoice'!Q$2:Q$401,$U248)="","",INDEX('Per Invoice'!Q$2:Q$401,$U248)))</f>
        <v/>
      </c>
      <c r="R248" s="7">
        <f>IF($U248="","",IF(INDEX('Per Invoice'!R$2:R$401,$U248)="","",INDEX('Per Invoice'!R$2:R$401,$U248)))</f>
        <v/>
      </c>
      <c r="S248" s="7">
        <f>IF($U248="","",IF(INDEX('Per Invoice'!S$2:S$401,$U248)="","",INDEX('Per Invoice'!S$2:S$401,$U248)))</f>
        <v/>
      </c>
      <c r="T248" s="7">
        <f>IF($U248="","",IF(INDEX('Per Invoice'!T$2:T$401,$U248)="","",INDEX('Per Invoice'!T$2:T$401,$U248)))</f>
        <v/>
      </c>
      <c r="U248" s="16">
        <f>IFERROR(MATCH(Settings!$C$28&amp;"|"&amp;ROWS($U$2:$U248),'Per Invoice'!$V$2:$V$401,0),"")</f>
        <v/>
      </c>
    </row>
    <row r="249">
      <c r="A249">
        <f>IF($U249="","",IF(INDEX('Per Invoice'!A$2:A$401,$U249)="","",INDEX('Per Invoice'!A$2:A$401,$U249)))</f>
        <v/>
      </c>
      <c r="B249">
        <f>IF($U249="","",IF(INDEX('Per Invoice'!B$2:B$401,$U249)="","",INDEX('Per Invoice'!B$2:B$401,$U249)))</f>
        <v/>
      </c>
      <c r="C249">
        <f>IF($U249="","",IF(INDEX('Per Invoice'!C$2:C$401,$U249)="","",INDEX('Per Invoice'!C$2:C$401,$U249)))</f>
        <v/>
      </c>
      <c r="D249">
        <f>IF($U249="","",IF(INDEX('Per Invoice'!D$2:D$401,$U249)="","",INDEX('Per Invoice'!D$2:D$401,$U249)))</f>
        <v/>
      </c>
      <c r="E249">
        <f>IF($U249="","",IF(INDEX('Per Invoice'!E$2:E$401,$U249)="","",INDEX('Per Invoice'!E$2:E$401,$U249)))</f>
        <v/>
      </c>
      <c r="F249">
        <f>IF($U249="","",IF(INDEX('Per Invoice'!F$2:F$401,$U249)="","",INDEX('Per Invoice'!F$2:F$401,$U249)))</f>
        <v/>
      </c>
      <c r="G249">
        <f>IF($U249="","",IF(INDEX('Per Invoice'!G$2:G$401,$U249)="","",INDEX('Per Invoice'!G$2:G$401,$U249)))</f>
        <v/>
      </c>
      <c r="H249" s="7">
        <f>IF($U249="","",IF(INDEX('Per Invoice'!H$2:H$401,$U249)="","",INDEX('Per Invoice'!H$2:H$401,$U249)))</f>
        <v/>
      </c>
      <c r="I249" s="14">
        <f>IF($U249="","",IF(INDEX('Per Invoice'!I$2:I$401,$U249)="","",INDEX('Per Invoice'!I$2:I$401,$U249)))</f>
        <v/>
      </c>
      <c r="J249">
        <f>IF($U249="","",IF(INDEX('Per Invoice'!J$2:J$401,$U249)="","",INDEX('Per Invoice'!J$2:J$401,$U249)))</f>
        <v/>
      </c>
      <c r="K249">
        <f>IF($U249="","",IF(INDEX('Per Invoice'!K$2:K$401,$U249)="","",INDEX('Per Invoice'!K$2:K$401,$U249)))</f>
        <v/>
      </c>
      <c r="L249" s="7">
        <f>IF($U249="","",IF(INDEX('Per Invoice'!L$2:L$401,$U249)="","",INDEX('Per Invoice'!L$2:L$401,$U249)))</f>
        <v/>
      </c>
      <c r="M249" s="7">
        <f>IF($U249="","",IF(INDEX('Per Invoice'!M$2:M$401,$U249)="","",INDEX('Per Invoice'!M$2:M$401,$U249)))</f>
        <v/>
      </c>
      <c r="N249">
        <f>IF($U249="","",IF(INDEX('Per Invoice'!N$2:N$401,$U249)="","",INDEX('Per Invoice'!N$2:N$401,$U249)))</f>
        <v/>
      </c>
      <c r="O249" s="7">
        <f>IF($U249="","",IF(INDEX('Per Invoice'!O$2:O$401,$U249)="","",INDEX('Per Invoice'!O$2:O$401,$U249)))</f>
        <v/>
      </c>
      <c r="P249" s="7">
        <f>IF($U249="","",IF(INDEX('Per Invoice'!P$2:P$401,$U249)="","",INDEX('Per Invoice'!P$2:P$401,$U249)))</f>
        <v/>
      </c>
      <c r="Q249" s="7">
        <f>IF($U249="","",IF(INDEX('Per Invoice'!Q$2:Q$401,$U249)="","",INDEX('Per Invoice'!Q$2:Q$401,$U249)))</f>
        <v/>
      </c>
      <c r="R249" s="7">
        <f>IF($U249="","",IF(INDEX('Per Invoice'!R$2:R$401,$U249)="","",INDEX('Per Invoice'!R$2:R$401,$U249)))</f>
        <v/>
      </c>
      <c r="S249" s="7">
        <f>IF($U249="","",IF(INDEX('Per Invoice'!S$2:S$401,$U249)="","",INDEX('Per Invoice'!S$2:S$401,$U249)))</f>
        <v/>
      </c>
      <c r="T249" s="7">
        <f>IF($U249="","",IF(INDEX('Per Invoice'!T$2:T$401,$U249)="","",INDEX('Per Invoice'!T$2:T$401,$U249)))</f>
        <v/>
      </c>
      <c r="U249" s="16">
        <f>IFERROR(MATCH(Settings!$C$28&amp;"|"&amp;ROWS($U$2:$U249),'Per Invoice'!$V$2:$V$401,0),"")</f>
        <v/>
      </c>
    </row>
    <row r="250">
      <c r="A250">
        <f>IF($U250="","",IF(INDEX('Per Invoice'!A$2:A$401,$U250)="","",INDEX('Per Invoice'!A$2:A$401,$U250)))</f>
        <v/>
      </c>
      <c r="B250">
        <f>IF($U250="","",IF(INDEX('Per Invoice'!B$2:B$401,$U250)="","",INDEX('Per Invoice'!B$2:B$401,$U250)))</f>
        <v/>
      </c>
      <c r="C250">
        <f>IF($U250="","",IF(INDEX('Per Invoice'!C$2:C$401,$U250)="","",INDEX('Per Invoice'!C$2:C$401,$U250)))</f>
        <v/>
      </c>
      <c r="D250">
        <f>IF($U250="","",IF(INDEX('Per Invoice'!D$2:D$401,$U250)="","",INDEX('Per Invoice'!D$2:D$401,$U250)))</f>
        <v/>
      </c>
      <c r="E250">
        <f>IF($U250="","",IF(INDEX('Per Invoice'!E$2:E$401,$U250)="","",INDEX('Per Invoice'!E$2:E$401,$U250)))</f>
        <v/>
      </c>
      <c r="F250">
        <f>IF($U250="","",IF(INDEX('Per Invoice'!F$2:F$401,$U250)="","",INDEX('Per Invoice'!F$2:F$401,$U250)))</f>
        <v/>
      </c>
      <c r="G250">
        <f>IF($U250="","",IF(INDEX('Per Invoice'!G$2:G$401,$U250)="","",INDEX('Per Invoice'!G$2:G$401,$U250)))</f>
        <v/>
      </c>
      <c r="H250" s="7">
        <f>IF($U250="","",IF(INDEX('Per Invoice'!H$2:H$401,$U250)="","",INDEX('Per Invoice'!H$2:H$401,$U250)))</f>
        <v/>
      </c>
      <c r="I250" s="14">
        <f>IF($U250="","",IF(INDEX('Per Invoice'!I$2:I$401,$U250)="","",INDEX('Per Invoice'!I$2:I$401,$U250)))</f>
        <v/>
      </c>
      <c r="J250">
        <f>IF($U250="","",IF(INDEX('Per Invoice'!J$2:J$401,$U250)="","",INDEX('Per Invoice'!J$2:J$401,$U250)))</f>
        <v/>
      </c>
      <c r="K250">
        <f>IF($U250="","",IF(INDEX('Per Invoice'!K$2:K$401,$U250)="","",INDEX('Per Invoice'!K$2:K$401,$U250)))</f>
        <v/>
      </c>
      <c r="L250" s="7">
        <f>IF($U250="","",IF(INDEX('Per Invoice'!L$2:L$401,$U250)="","",INDEX('Per Invoice'!L$2:L$401,$U250)))</f>
        <v/>
      </c>
      <c r="M250" s="7">
        <f>IF($U250="","",IF(INDEX('Per Invoice'!M$2:M$401,$U250)="","",INDEX('Per Invoice'!M$2:M$401,$U250)))</f>
        <v/>
      </c>
      <c r="N250">
        <f>IF($U250="","",IF(INDEX('Per Invoice'!N$2:N$401,$U250)="","",INDEX('Per Invoice'!N$2:N$401,$U250)))</f>
        <v/>
      </c>
      <c r="O250" s="7">
        <f>IF($U250="","",IF(INDEX('Per Invoice'!O$2:O$401,$U250)="","",INDEX('Per Invoice'!O$2:O$401,$U250)))</f>
        <v/>
      </c>
      <c r="P250" s="7">
        <f>IF($U250="","",IF(INDEX('Per Invoice'!P$2:P$401,$U250)="","",INDEX('Per Invoice'!P$2:P$401,$U250)))</f>
        <v/>
      </c>
      <c r="Q250" s="7">
        <f>IF($U250="","",IF(INDEX('Per Invoice'!Q$2:Q$401,$U250)="","",INDEX('Per Invoice'!Q$2:Q$401,$U250)))</f>
        <v/>
      </c>
      <c r="R250" s="7">
        <f>IF($U250="","",IF(INDEX('Per Invoice'!R$2:R$401,$U250)="","",INDEX('Per Invoice'!R$2:R$401,$U250)))</f>
        <v/>
      </c>
      <c r="S250" s="7">
        <f>IF($U250="","",IF(INDEX('Per Invoice'!S$2:S$401,$U250)="","",INDEX('Per Invoice'!S$2:S$401,$U250)))</f>
        <v/>
      </c>
      <c r="T250" s="7">
        <f>IF($U250="","",IF(INDEX('Per Invoice'!T$2:T$401,$U250)="","",INDEX('Per Invoice'!T$2:T$401,$U250)))</f>
        <v/>
      </c>
      <c r="U250" s="16">
        <f>IFERROR(MATCH(Settings!$C$28&amp;"|"&amp;ROWS($U$2:$U250),'Per Invoice'!$V$2:$V$401,0),"")</f>
        <v/>
      </c>
    </row>
    <row r="251">
      <c r="A251">
        <f>IF($U251="","",IF(INDEX('Per Invoice'!A$2:A$401,$U251)="","",INDEX('Per Invoice'!A$2:A$401,$U251)))</f>
        <v/>
      </c>
      <c r="B251">
        <f>IF($U251="","",IF(INDEX('Per Invoice'!B$2:B$401,$U251)="","",INDEX('Per Invoice'!B$2:B$401,$U251)))</f>
        <v/>
      </c>
      <c r="C251">
        <f>IF($U251="","",IF(INDEX('Per Invoice'!C$2:C$401,$U251)="","",INDEX('Per Invoice'!C$2:C$401,$U251)))</f>
        <v/>
      </c>
      <c r="D251">
        <f>IF($U251="","",IF(INDEX('Per Invoice'!D$2:D$401,$U251)="","",INDEX('Per Invoice'!D$2:D$401,$U251)))</f>
        <v/>
      </c>
      <c r="E251">
        <f>IF($U251="","",IF(INDEX('Per Invoice'!E$2:E$401,$U251)="","",INDEX('Per Invoice'!E$2:E$401,$U251)))</f>
        <v/>
      </c>
      <c r="F251">
        <f>IF($U251="","",IF(INDEX('Per Invoice'!F$2:F$401,$U251)="","",INDEX('Per Invoice'!F$2:F$401,$U251)))</f>
        <v/>
      </c>
      <c r="G251">
        <f>IF($U251="","",IF(INDEX('Per Invoice'!G$2:G$401,$U251)="","",INDEX('Per Invoice'!G$2:G$401,$U251)))</f>
        <v/>
      </c>
      <c r="H251" s="7">
        <f>IF($U251="","",IF(INDEX('Per Invoice'!H$2:H$401,$U251)="","",INDEX('Per Invoice'!H$2:H$401,$U251)))</f>
        <v/>
      </c>
      <c r="I251" s="14">
        <f>IF($U251="","",IF(INDEX('Per Invoice'!I$2:I$401,$U251)="","",INDEX('Per Invoice'!I$2:I$401,$U251)))</f>
        <v/>
      </c>
      <c r="J251">
        <f>IF($U251="","",IF(INDEX('Per Invoice'!J$2:J$401,$U251)="","",INDEX('Per Invoice'!J$2:J$401,$U251)))</f>
        <v/>
      </c>
      <c r="K251">
        <f>IF($U251="","",IF(INDEX('Per Invoice'!K$2:K$401,$U251)="","",INDEX('Per Invoice'!K$2:K$401,$U251)))</f>
        <v/>
      </c>
      <c r="L251" s="7">
        <f>IF($U251="","",IF(INDEX('Per Invoice'!L$2:L$401,$U251)="","",INDEX('Per Invoice'!L$2:L$401,$U251)))</f>
        <v/>
      </c>
      <c r="M251" s="7">
        <f>IF($U251="","",IF(INDEX('Per Invoice'!M$2:M$401,$U251)="","",INDEX('Per Invoice'!M$2:M$401,$U251)))</f>
        <v/>
      </c>
      <c r="N251">
        <f>IF($U251="","",IF(INDEX('Per Invoice'!N$2:N$401,$U251)="","",INDEX('Per Invoice'!N$2:N$401,$U251)))</f>
        <v/>
      </c>
      <c r="O251" s="7">
        <f>IF($U251="","",IF(INDEX('Per Invoice'!O$2:O$401,$U251)="","",INDEX('Per Invoice'!O$2:O$401,$U251)))</f>
        <v/>
      </c>
      <c r="P251" s="7">
        <f>IF($U251="","",IF(INDEX('Per Invoice'!P$2:P$401,$U251)="","",INDEX('Per Invoice'!P$2:P$401,$U251)))</f>
        <v/>
      </c>
      <c r="Q251" s="7">
        <f>IF($U251="","",IF(INDEX('Per Invoice'!Q$2:Q$401,$U251)="","",INDEX('Per Invoice'!Q$2:Q$401,$U251)))</f>
        <v/>
      </c>
      <c r="R251" s="7">
        <f>IF($U251="","",IF(INDEX('Per Invoice'!R$2:R$401,$U251)="","",INDEX('Per Invoice'!R$2:R$401,$U251)))</f>
        <v/>
      </c>
      <c r="S251" s="7">
        <f>IF($U251="","",IF(INDEX('Per Invoice'!S$2:S$401,$U251)="","",INDEX('Per Invoice'!S$2:S$401,$U251)))</f>
        <v/>
      </c>
      <c r="T251" s="7">
        <f>IF($U251="","",IF(INDEX('Per Invoice'!T$2:T$401,$U251)="","",INDEX('Per Invoice'!T$2:T$401,$U251)))</f>
        <v/>
      </c>
      <c r="U251" s="16">
        <f>IFERROR(MATCH(Settings!$C$28&amp;"|"&amp;ROWS($U$2:$U251),'Per Invoice'!$V$2:$V$401,0),"")</f>
        <v/>
      </c>
    </row>
    <row r="252">
      <c r="A252">
        <f>IF($U252="","",IF(INDEX('Per Invoice'!A$2:A$401,$U252)="","",INDEX('Per Invoice'!A$2:A$401,$U252)))</f>
        <v/>
      </c>
      <c r="B252">
        <f>IF($U252="","",IF(INDEX('Per Invoice'!B$2:B$401,$U252)="","",INDEX('Per Invoice'!B$2:B$401,$U252)))</f>
        <v/>
      </c>
      <c r="C252">
        <f>IF($U252="","",IF(INDEX('Per Invoice'!C$2:C$401,$U252)="","",INDEX('Per Invoice'!C$2:C$401,$U252)))</f>
        <v/>
      </c>
      <c r="D252">
        <f>IF($U252="","",IF(INDEX('Per Invoice'!D$2:D$401,$U252)="","",INDEX('Per Invoice'!D$2:D$401,$U252)))</f>
        <v/>
      </c>
      <c r="E252">
        <f>IF($U252="","",IF(INDEX('Per Invoice'!E$2:E$401,$U252)="","",INDEX('Per Invoice'!E$2:E$401,$U252)))</f>
        <v/>
      </c>
      <c r="F252">
        <f>IF($U252="","",IF(INDEX('Per Invoice'!F$2:F$401,$U252)="","",INDEX('Per Invoice'!F$2:F$401,$U252)))</f>
        <v/>
      </c>
      <c r="G252">
        <f>IF($U252="","",IF(INDEX('Per Invoice'!G$2:G$401,$U252)="","",INDEX('Per Invoice'!G$2:G$401,$U252)))</f>
        <v/>
      </c>
      <c r="H252" s="7">
        <f>IF($U252="","",IF(INDEX('Per Invoice'!H$2:H$401,$U252)="","",INDEX('Per Invoice'!H$2:H$401,$U252)))</f>
        <v/>
      </c>
      <c r="I252" s="14">
        <f>IF($U252="","",IF(INDEX('Per Invoice'!I$2:I$401,$U252)="","",INDEX('Per Invoice'!I$2:I$401,$U252)))</f>
        <v/>
      </c>
      <c r="J252">
        <f>IF($U252="","",IF(INDEX('Per Invoice'!J$2:J$401,$U252)="","",INDEX('Per Invoice'!J$2:J$401,$U252)))</f>
        <v/>
      </c>
      <c r="K252">
        <f>IF($U252="","",IF(INDEX('Per Invoice'!K$2:K$401,$U252)="","",INDEX('Per Invoice'!K$2:K$401,$U252)))</f>
        <v/>
      </c>
      <c r="L252" s="7">
        <f>IF($U252="","",IF(INDEX('Per Invoice'!L$2:L$401,$U252)="","",INDEX('Per Invoice'!L$2:L$401,$U252)))</f>
        <v/>
      </c>
      <c r="M252" s="7">
        <f>IF($U252="","",IF(INDEX('Per Invoice'!M$2:M$401,$U252)="","",INDEX('Per Invoice'!M$2:M$401,$U252)))</f>
        <v/>
      </c>
      <c r="N252">
        <f>IF($U252="","",IF(INDEX('Per Invoice'!N$2:N$401,$U252)="","",INDEX('Per Invoice'!N$2:N$401,$U252)))</f>
        <v/>
      </c>
      <c r="O252" s="7">
        <f>IF($U252="","",IF(INDEX('Per Invoice'!O$2:O$401,$U252)="","",INDEX('Per Invoice'!O$2:O$401,$U252)))</f>
        <v/>
      </c>
      <c r="P252" s="7">
        <f>IF($U252="","",IF(INDEX('Per Invoice'!P$2:P$401,$U252)="","",INDEX('Per Invoice'!P$2:P$401,$U252)))</f>
        <v/>
      </c>
      <c r="Q252" s="7">
        <f>IF($U252="","",IF(INDEX('Per Invoice'!Q$2:Q$401,$U252)="","",INDEX('Per Invoice'!Q$2:Q$401,$U252)))</f>
        <v/>
      </c>
      <c r="R252" s="7">
        <f>IF($U252="","",IF(INDEX('Per Invoice'!R$2:R$401,$U252)="","",INDEX('Per Invoice'!R$2:R$401,$U252)))</f>
        <v/>
      </c>
      <c r="S252" s="7">
        <f>IF($U252="","",IF(INDEX('Per Invoice'!S$2:S$401,$U252)="","",INDEX('Per Invoice'!S$2:S$401,$U252)))</f>
        <v/>
      </c>
      <c r="T252" s="7">
        <f>IF($U252="","",IF(INDEX('Per Invoice'!T$2:T$401,$U252)="","",INDEX('Per Invoice'!T$2:T$401,$U252)))</f>
        <v/>
      </c>
      <c r="U252" s="16">
        <f>IFERROR(MATCH(Settings!$C$28&amp;"|"&amp;ROWS($U$2:$U252),'Per Invoice'!$V$2:$V$401,0),"")</f>
        <v/>
      </c>
    </row>
    <row r="253">
      <c r="A253">
        <f>IF($U253="","",IF(INDEX('Per Invoice'!A$2:A$401,$U253)="","",INDEX('Per Invoice'!A$2:A$401,$U253)))</f>
        <v/>
      </c>
      <c r="B253">
        <f>IF($U253="","",IF(INDEX('Per Invoice'!B$2:B$401,$U253)="","",INDEX('Per Invoice'!B$2:B$401,$U253)))</f>
        <v/>
      </c>
      <c r="C253">
        <f>IF($U253="","",IF(INDEX('Per Invoice'!C$2:C$401,$U253)="","",INDEX('Per Invoice'!C$2:C$401,$U253)))</f>
        <v/>
      </c>
      <c r="D253">
        <f>IF($U253="","",IF(INDEX('Per Invoice'!D$2:D$401,$U253)="","",INDEX('Per Invoice'!D$2:D$401,$U253)))</f>
        <v/>
      </c>
      <c r="E253">
        <f>IF($U253="","",IF(INDEX('Per Invoice'!E$2:E$401,$U253)="","",INDEX('Per Invoice'!E$2:E$401,$U253)))</f>
        <v/>
      </c>
      <c r="F253">
        <f>IF($U253="","",IF(INDEX('Per Invoice'!F$2:F$401,$U253)="","",INDEX('Per Invoice'!F$2:F$401,$U253)))</f>
        <v/>
      </c>
      <c r="G253">
        <f>IF($U253="","",IF(INDEX('Per Invoice'!G$2:G$401,$U253)="","",INDEX('Per Invoice'!G$2:G$401,$U253)))</f>
        <v/>
      </c>
      <c r="H253" s="7">
        <f>IF($U253="","",IF(INDEX('Per Invoice'!H$2:H$401,$U253)="","",INDEX('Per Invoice'!H$2:H$401,$U253)))</f>
        <v/>
      </c>
      <c r="I253" s="14">
        <f>IF($U253="","",IF(INDEX('Per Invoice'!I$2:I$401,$U253)="","",INDEX('Per Invoice'!I$2:I$401,$U253)))</f>
        <v/>
      </c>
      <c r="J253">
        <f>IF($U253="","",IF(INDEX('Per Invoice'!J$2:J$401,$U253)="","",INDEX('Per Invoice'!J$2:J$401,$U253)))</f>
        <v/>
      </c>
      <c r="K253">
        <f>IF($U253="","",IF(INDEX('Per Invoice'!K$2:K$401,$U253)="","",INDEX('Per Invoice'!K$2:K$401,$U253)))</f>
        <v/>
      </c>
      <c r="L253" s="7">
        <f>IF($U253="","",IF(INDEX('Per Invoice'!L$2:L$401,$U253)="","",INDEX('Per Invoice'!L$2:L$401,$U253)))</f>
        <v/>
      </c>
      <c r="M253" s="7">
        <f>IF($U253="","",IF(INDEX('Per Invoice'!M$2:M$401,$U253)="","",INDEX('Per Invoice'!M$2:M$401,$U253)))</f>
        <v/>
      </c>
      <c r="N253">
        <f>IF($U253="","",IF(INDEX('Per Invoice'!N$2:N$401,$U253)="","",INDEX('Per Invoice'!N$2:N$401,$U253)))</f>
        <v/>
      </c>
      <c r="O253" s="7">
        <f>IF($U253="","",IF(INDEX('Per Invoice'!O$2:O$401,$U253)="","",INDEX('Per Invoice'!O$2:O$401,$U253)))</f>
        <v/>
      </c>
      <c r="P253" s="7">
        <f>IF($U253="","",IF(INDEX('Per Invoice'!P$2:P$401,$U253)="","",INDEX('Per Invoice'!P$2:P$401,$U253)))</f>
        <v/>
      </c>
      <c r="Q253" s="7">
        <f>IF($U253="","",IF(INDEX('Per Invoice'!Q$2:Q$401,$U253)="","",INDEX('Per Invoice'!Q$2:Q$401,$U253)))</f>
        <v/>
      </c>
      <c r="R253" s="7">
        <f>IF($U253="","",IF(INDEX('Per Invoice'!R$2:R$401,$U253)="","",INDEX('Per Invoice'!R$2:R$401,$U253)))</f>
        <v/>
      </c>
      <c r="S253" s="7">
        <f>IF($U253="","",IF(INDEX('Per Invoice'!S$2:S$401,$U253)="","",INDEX('Per Invoice'!S$2:S$401,$U253)))</f>
        <v/>
      </c>
      <c r="T253" s="7">
        <f>IF($U253="","",IF(INDEX('Per Invoice'!T$2:T$401,$U253)="","",INDEX('Per Invoice'!T$2:T$401,$U253)))</f>
        <v/>
      </c>
      <c r="U253" s="16">
        <f>IFERROR(MATCH(Settings!$C$28&amp;"|"&amp;ROWS($U$2:$U253),'Per Invoice'!$V$2:$V$401,0),"")</f>
        <v/>
      </c>
    </row>
    <row r="254">
      <c r="A254">
        <f>IF($U254="","",IF(INDEX('Per Invoice'!A$2:A$401,$U254)="","",INDEX('Per Invoice'!A$2:A$401,$U254)))</f>
        <v/>
      </c>
      <c r="B254">
        <f>IF($U254="","",IF(INDEX('Per Invoice'!B$2:B$401,$U254)="","",INDEX('Per Invoice'!B$2:B$401,$U254)))</f>
        <v/>
      </c>
      <c r="C254">
        <f>IF($U254="","",IF(INDEX('Per Invoice'!C$2:C$401,$U254)="","",INDEX('Per Invoice'!C$2:C$401,$U254)))</f>
        <v/>
      </c>
      <c r="D254">
        <f>IF($U254="","",IF(INDEX('Per Invoice'!D$2:D$401,$U254)="","",INDEX('Per Invoice'!D$2:D$401,$U254)))</f>
        <v/>
      </c>
      <c r="E254">
        <f>IF($U254="","",IF(INDEX('Per Invoice'!E$2:E$401,$U254)="","",INDEX('Per Invoice'!E$2:E$401,$U254)))</f>
        <v/>
      </c>
      <c r="F254">
        <f>IF($U254="","",IF(INDEX('Per Invoice'!F$2:F$401,$U254)="","",INDEX('Per Invoice'!F$2:F$401,$U254)))</f>
        <v/>
      </c>
      <c r="G254">
        <f>IF($U254="","",IF(INDEX('Per Invoice'!G$2:G$401,$U254)="","",INDEX('Per Invoice'!G$2:G$401,$U254)))</f>
        <v/>
      </c>
      <c r="H254" s="7">
        <f>IF($U254="","",IF(INDEX('Per Invoice'!H$2:H$401,$U254)="","",INDEX('Per Invoice'!H$2:H$401,$U254)))</f>
        <v/>
      </c>
      <c r="I254" s="14">
        <f>IF($U254="","",IF(INDEX('Per Invoice'!I$2:I$401,$U254)="","",INDEX('Per Invoice'!I$2:I$401,$U254)))</f>
        <v/>
      </c>
      <c r="J254">
        <f>IF($U254="","",IF(INDEX('Per Invoice'!J$2:J$401,$U254)="","",INDEX('Per Invoice'!J$2:J$401,$U254)))</f>
        <v/>
      </c>
      <c r="K254">
        <f>IF($U254="","",IF(INDEX('Per Invoice'!K$2:K$401,$U254)="","",INDEX('Per Invoice'!K$2:K$401,$U254)))</f>
        <v/>
      </c>
      <c r="L254" s="7">
        <f>IF($U254="","",IF(INDEX('Per Invoice'!L$2:L$401,$U254)="","",INDEX('Per Invoice'!L$2:L$401,$U254)))</f>
        <v/>
      </c>
      <c r="M254" s="7">
        <f>IF($U254="","",IF(INDEX('Per Invoice'!M$2:M$401,$U254)="","",INDEX('Per Invoice'!M$2:M$401,$U254)))</f>
        <v/>
      </c>
      <c r="N254">
        <f>IF($U254="","",IF(INDEX('Per Invoice'!N$2:N$401,$U254)="","",INDEX('Per Invoice'!N$2:N$401,$U254)))</f>
        <v/>
      </c>
      <c r="O254" s="7">
        <f>IF($U254="","",IF(INDEX('Per Invoice'!O$2:O$401,$U254)="","",INDEX('Per Invoice'!O$2:O$401,$U254)))</f>
        <v/>
      </c>
      <c r="P254" s="7">
        <f>IF($U254="","",IF(INDEX('Per Invoice'!P$2:P$401,$U254)="","",INDEX('Per Invoice'!P$2:P$401,$U254)))</f>
        <v/>
      </c>
      <c r="Q254" s="7">
        <f>IF($U254="","",IF(INDEX('Per Invoice'!Q$2:Q$401,$U254)="","",INDEX('Per Invoice'!Q$2:Q$401,$U254)))</f>
        <v/>
      </c>
      <c r="R254" s="7">
        <f>IF($U254="","",IF(INDEX('Per Invoice'!R$2:R$401,$U254)="","",INDEX('Per Invoice'!R$2:R$401,$U254)))</f>
        <v/>
      </c>
      <c r="S254" s="7">
        <f>IF($U254="","",IF(INDEX('Per Invoice'!S$2:S$401,$U254)="","",INDEX('Per Invoice'!S$2:S$401,$U254)))</f>
        <v/>
      </c>
      <c r="T254" s="7">
        <f>IF($U254="","",IF(INDEX('Per Invoice'!T$2:T$401,$U254)="","",INDEX('Per Invoice'!T$2:T$401,$U254)))</f>
        <v/>
      </c>
      <c r="U254" s="16">
        <f>IFERROR(MATCH(Settings!$C$28&amp;"|"&amp;ROWS($U$2:$U254),'Per Invoice'!$V$2:$V$401,0),"")</f>
        <v/>
      </c>
    </row>
    <row r="255">
      <c r="A255">
        <f>IF($U255="","",IF(INDEX('Per Invoice'!A$2:A$401,$U255)="","",INDEX('Per Invoice'!A$2:A$401,$U255)))</f>
        <v/>
      </c>
      <c r="B255">
        <f>IF($U255="","",IF(INDEX('Per Invoice'!B$2:B$401,$U255)="","",INDEX('Per Invoice'!B$2:B$401,$U255)))</f>
        <v/>
      </c>
      <c r="C255">
        <f>IF($U255="","",IF(INDEX('Per Invoice'!C$2:C$401,$U255)="","",INDEX('Per Invoice'!C$2:C$401,$U255)))</f>
        <v/>
      </c>
      <c r="D255">
        <f>IF($U255="","",IF(INDEX('Per Invoice'!D$2:D$401,$U255)="","",INDEX('Per Invoice'!D$2:D$401,$U255)))</f>
        <v/>
      </c>
      <c r="E255">
        <f>IF($U255="","",IF(INDEX('Per Invoice'!E$2:E$401,$U255)="","",INDEX('Per Invoice'!E$2:E$401,$U255)))</f>
        <v/>
      </c>
      <c r="F255">
        <f>IF($U255="","",IF(INDEX('Per Invoice'!F$2:F$401,$U255)="","",INDEX('Per Invoice'!F$2:F$401,$U255)))</f>
        <v/>
      </c>
      <c r="G255">
        <f>IF($U255="","",IF(INDEX('Per Invoice'!G$2:G$401,$U255)="","",INDEX('Per Invoice'!G$2:G$401,$U255)))</f>
        <v/>
      </c>
      <c r="H255" s="7">
        <f>IF($U255="","",IF(INDEX('Per Invoice'!H$2:H$401,$U255)="","",INDEX('Per Invoice'!H$2:H$401,$U255)))</f>
        <v/>
      </c>
      <c r="I255" s="14">
        <f>IF($U255="","",IF(INDEX('Per Invoice'!I$2:I$401,$U255)="","",INDEX('Per Invoice'!I$2:I$401,$U255)))</f>
        <v/>
      </c>
      <c r="J255">
        <f>IF($U255="","",IF(INDEX('Per Invoice'!J$2:J$401,$U255)="","",INDEX('Per Invoice'!J$2:J$401,$U255)))</f>
        <v/>
      </c>
      <c r="K255">
        <f>IF($U255="","",IF(INDEX('Per Invoice'!K$2:K$401,$U255)="","",INDEX('Per Invoice'!K$2:K$401,$U255)))</f>
        <v/>
      </c>
      <c r="L255" s="7">
        <f>IF($U255="","",IF(INDEX('Per Invoice'!L$2:L$401,$U255)="","",INDEX('Per Invoice'!L$2:L$401,$U255)))</f>
        <v/>
      </c>
      <c r="M255" s="7">
        <f>IF($U255="","",IF(INDEX('Per Invoice'!M$2:M$401,$U255)="","",INDEX('Per Invoice'!M$2:M$401,$U255)))</f>
        <v/>
      </c>
      <c r="N255">
        <f>IF($U255="","",IF(INDEX('Per Invoice'!N$2:N$401,$U255)="","",INDEX('Per Invoice'!N$2:N$401,$U255)))</f>
        <v/>
      </c>
      <c r="O255" s="7">
        <f>IF($U255="","",IF(INDEX('Per Invoice'!O$2:O$401,$U255)="","",INDEX('Per Invoice'!O$2:O$401,$U255)))</f>
        <v/>
      </c>
      <c r="P255" s="7">
        <f>IF($U255="","",IF(INDEX('Per Invoice'!P$2:P$401,$U255)="","",INDEX('Per Invoice'!P$2:P$401,$U255)))</f>
        <v/>
      </c>
      <c r="Q255" s="7">
        <f>IF($U255="","",IF(INDEX('Per Invoice'!Q$2:Q$401,$U255)="","",INDEX('Per Invoice'!Q$2:Q$401,$U255)))</f>
        <v/>
      </c>
      <c r="R255" s="7">
        <f>IF($U255="","",IF(INDEX('Per Invoice'!R$2:R$401,$U255)="","",INDEX('Per Invoice'!R$2:R$401,$U255)))</f>
        <v/>
      </c>
      <c r="S255" s="7">
        <f>IF($U255="","",IF(INDEX('Per Invoice'!S$2:S$401,$U255)="","",INDEX('Per Invoice'!S$2:S$401,$U255)))</f>
        <v/>
      </c>
      <c r="T255" s="7">
        <f>IF($U255="","",IF(INDEX('Per Invoice'!T$2:T$401,$U255)="","",INDEX('Per Invoice'!T$2:T$401,$U255)))</f>
        <v/>
      </c>
      <c r="U255" s="16">
        <f>IFERROR(MATCH(Settings!$C$28&amp;"|"&amp;ROWS($U$2:$U255),'Per Invoice'!$V$2:$V$401,0),"")</f>
        <v/>
      </c>
    </row>
    <row r="256">
      <c r="A256">
        <f>IF($U256="","",IF(INDEX('Per Invoice'!A$2:A$401,$U256)="","",INDEX('Per Invoice'!A$2:A$401,$U256)))</f>
        <v/>
      </c>
      <c r="B256">
        <f>IF($U256="","",IF(INDEX('Per Invoice'!B$2:B$401,$U256)="","",INDEX('Per Invoice'!B$2:B$401,$U256)))</f>
        <v/>
      </c>
      <c r="C256">
        <f>IF($U256="","",IF(INDEX('Per Invoice'!C$2:C$401,$U256)="","",INDEX('Per Invoice'!C$2:C$401,$U256)))</f>
        <v/>
      </c>
      <c r="D256">
        <f>IF($U256="","",IF(INDEX('Per Invoice'!D$2:D$401,$U256)="","",INDEX('Per Invoice'!D$2:D$401,$U256)))</f>
        <v/>
      </c>
      <c r="E256">
        <f>IF($U256="","",IF(INDEX('Per Invoice'!E$2:E$401,$U256)="","",INDEX('Per Invoice'!E$2:E$401,$U256)))</f>
        <v/>
      </c>
      <c r="F256">
        <f>IF($U256="","",IF(INDEX('Per Invoice'!F$2:F$401,$U256)="","",INDEX('Per Invoice'!F$2:F$401,$U256)))</f>
        <v/>
      </c>
      <c r="G256">
        <f>IF($U256="","",IF(INDEX('Per Invoice'!G$2:G$401,$U256)="","",INDEX('Per Invoice'!G$2:G$401,$U256)))</f>
        <v/>
      </c>
      <c r="H256" s="7">
        <f>IF($U256="","",IF(INDEX('Per Invoice'!H$2:H$401,$U256)="","",INDEX('Per Invoice'!H$2:H$401,$U256)))</f>
        <v/>
      </c>
      <c r="I256" s="14">
        <f>IF($U256="","",IF(INDEX('Per Invoice'!I$2:I$401,$U256)="","",INDEX('Per Invoice'!I$2:I$401,$U256)))</f>
        <v/>
      </c>
      <c r="J256">
        <f>IF($U256="","",IF(INDEX('Per Invoice'!J$2:J$401,$U256)="","",INDEX('Per Invoice'!J$2:J$401,$U256)))</f>
        <v/>
      </c>
      <c r="K256">
        <f>IF($U256="","",IF(INDEX('Per Invoice'!K$2:K$401,$U256)="","",INDEX('Per Invoice'!K$2:K$401,$U256)))</f>
        <v/>
      </c>
      <c r="L256" s="7">
        <f>IF($U256="","",IF(INDEX('Per Invoice'!L$2:L$401,$U256)="","",INDEX('Per Invoice'!L$2:L$401,$U256)))</f>
        <v/>
      </c>
      <c r="M256" s="7">
        <f>IF($U256="","",IF(INDEX('Per Invoice'!M$2:M$401,$U256)="","",INDEX('Per Invoice'!M$2:M$401,$U256)))</f>
        <v/>
      </c>
      <c r="N256">
        <f>IF($U256="","",IF(INDEX('Per Invoice'!N$2:N$401,$U256)="","",INDEX('Per Invoice'!N$2:N$401,$U256)))</f>
        <v/>
      </c>
      <c r="O256" s="7">
        <f>IF($U256="","",IF(INDEX('Per Invoice'!O$2:O$401,$U256)="","",INDEX('Per Invoice'!O$2:O$401,$U256)))</f>
        <v/>
      </c>
      <c r="P256" s="7">
        <f>IF($U256="","",IF(INDEX('Per Invoice'!P$2:P$401,$U256)="","",INDEX('Per Invoice'!P$2:P$401,$U256)))</f>
        <v/>
      </c>
      <c r="Q256" s="7">
        <f>IF($U256="","",IF(INDEX('Per Invoice'!Q$2:Q$401,$U256)="","",INDEX('Per Invoice'!Q$2:Q$401,$U256)))</f>
        <v/>
      </c>
      <c r="R256" s="7">
        <f>IF($U256="","",IF(INDEX('Per Invoice'!R$2:R$401,$U256)="","",INDEX('Per Invoice'!R$2:R$401,$U256)))</f>
        <v/>
      </c>
      <c r="S256" s="7">
        <f>IF($U256="","",IF(INDEX('Per Invoice'!S$2:S$401,$U256)="","",INDEX('Per Invoice'!S$2:S$401,$U256)))</f>
        <v/>
      </c>
      <c r="T256" s="7">
        <f>IF($U256="","",IF(INDEX('Per Invoice'!T$2:T$401,$U256)="","",INDEX('Per Invoice'!T$2:T$401,$U256)))</f>
        <v/>
      </c>
      <c r="U256" s="16">
        <f>IFERROR(MATCH(Settings!$C$28&amp;"|"&amp;ROWS($U$2:$U256),'Per Invoice'!$V$2:$V$401,0),"")</f>
        <v/>
      </c>
    </row>
    <row r="257">
      <c r="A257">
        <f>IF($U257="","",IF(INDEX('Per Invoice'!A$2:A$401,$U257)="","",INDEX('Per Invoice'!A$2:A$401,$U257)))</f>
        <v/>
      </c>
      <c r="B257">
        <f>IF($U257="","",IF(INDEX('Per Invoice'!B$2:B$401,$U257)="","",INDEX('Per Invoice'!B$2:B$401,$U257)))</f>
        <v/>
      </c>
      <c r="C257">
        <f>IF($U257="","",IF(INDEX('Per Invoice'!C$2:C$401,$U257)="","",INDEX('Per Invoice'!C$2:C$401,$U257)))</f>
        <v/>
      </c>
      <c r="D257">
        <f>IF($U257="","",IF(INDEX('Per Invoice'!D$2:D$401,$U257)="","",INDEX('Per Invoice'!D$2:D$401,$U257)))</f>
        <v/>
      </c>
      <c r="E257">
        <f>IF($U257="","",IF(INDEX('Per Invoice'!E$2:E$401,$U257)="","",INDEX('Per Invoice'!E$2:E$401,$U257)))</f>
        <v/>
      </c>
      <c r="F257">
        <f>IF($U257="","",IF(INDEX('Per Invoice'!F$2:F$401,$U257)="","",INDEX('Per Invoice'!F$2:F$401,$U257)))</f>
        <v/>
      </c>
      <c r="G257">
        <f>IF($U257="","",IF(INDEX('Per Invoice'!G$2:G$401,$U257)="","",INDEX('Per Invoice'!G$2:G$401,$U257)))</f>
        <v/>
      </c>
      <c r="H257" s="7">
        <f>IF($U257="","",IF(INDEX('Per Invoice'!H$2:H$401,$U257)="","",INDEX('Per Invoice'!H$2:H$401,$U257)))</f>
        <v/>
      </c>
      <c r="I257" s="14">
        <f>IF($U257="","",IF(INDEX('Per Invoice'!I$2:I$401,$U257)="","",INDEX('Per Invoice'!I$2:I$401,$U257)))</f>
        <v/>
      </c>
      <c r="J257">
        <f>IF($U257="","",IF(INDEX('Per Invoice'!J$2:J$401,$U257)="","",INDEX('Per Invoice'!J$2:J$401,$U257)))</f>
        <v/>
      </c>
      <c r="K257">
        <f>IF($U257="","",IF(INDEX('Per Invoice'!K$2:K$401,$U257)="","",INDEX('Per Invoice'!K$2:K$401,$U257)))</f>
        <v/>
      </c>
      <c r="L257" s="7">
        <f>IF($U257="","",IF(INDEX('Per Invoice'!L$2:L$401,$U257)="","",INDEX('Per Invoice'!L$2:L$401,$U257)))</f>
        <v/>
      </c>
      <c r="M257" s="7">
        <f>IF($U257="","",IF(INDEX('Per Invoice'!M$2:M$401,$U257)="","",INDEX('Per Invoice'!M$2:M$401,$U257)))</f>
        <v/>
      </c>
      <c r="N257">
        <f>IF($U257="","",IF(INDEX('Per Invoice'!N$2:N$401,$U257)="","",INDEX('Per Invoice'!N$2:N$401,$U257)))</f>
        <v/>
      </c>
      <c r="O257" s="7">
        <f>IF($U257="","",IF(INDEX('Per Invoice'!O$2:O$401,$U257)="","",INDEX('Per Invoice'!O$2:O$401,$U257)))</f>
        <v/>
      </c>
      <c r="P257" s="7">
        <f>IF($U257="","",IF(INDEX('Per Invoice'!P$2:P$401,$U257)="","",INDEX('Per Invoice'!P$2:P$401,$U257)))</f>
        <v/>
      </c>
      <c r="Q257" s="7">
        <f>IF($U257="","",IF(INDEX('Per Invoice'!Q$2:Q$401,$U257)="","",INDEX('Per Invoice'!Q$2:Q$401,$U257)))</f>
        <v/>
      </c>
      <c r="R257" s="7">
        <f>IF($U257="","",IF(INDEX('Per Invoice'!R$2:R$401,$U257)="","",INDEX('Per Invoice'!R$2:R$401,$U257)))</f>
        <v/>
      </c>
      <c r="S257" s="7">
        <f>IF($U257="","",IF(INDEX('Per Invoice'!S$2:S$401,$U257)="","",INDEX('Per Invoice'!S$2:S$401,$U257)))</f>
        <v/>
      </c>
      <c r="T257" s="7">
        <f>IF($U257="","",IF(INDEX('Per Invoice'!T$2:T$401,$U257)="","",INDEX('Per Invoice'!T$2:T$401,$U257)))</f>
        <v/>
      </c>
      <c r="U257" s="16">
        <f>IFERROR(MATCH(Settings!$C$28&amp;"|"&amp;ROWS($U$2:$U257),'Per Invoice'!$V$2:$V$401,0),"")</f>
        <v/>
      </c>
    </row>
    <row r="258">
      <c r="A258">
        <f>IF($U258="","",IF(INDEX('Per Invoice'!A$2:A$401,$U258)="","",INDEX('Per Invoice'!A$2:A$401,$U258)))</f>
        <v/>
      </c>
      <c r="B258">
        <f>IF($U258="","",IF(INDEX('Per Invoice'!B$2:B$401,$U258)="","",INDEX('Per Invoice'!B$2:B$401,$U258)))</f>
        <v/>
      </c>
      <c r="C258">
        <f>IF($U258="","",IF(INDEX('Per Invoice'!C$2:C$401,$U258)="","",INDEX('Per Invoice'!C$2:C$401,$U258)))</f>
        <v/>
      </c>
      <c r="D258">
        <f>IF($U258="","",IF(INDEX('Per Invoice'!D$2:D$401,$U258)="","",INDEX('Per Invoice'!D$2:D$401,$U258)))</f>
        <v/>
      </c>
      <c r="E258">
        <f>IF($U258="","",IF(INDEX('Per Invoice'!E$2:E$401,$U258)="","",INDEX('Per Invoice'!E$2:E$401,$U258)))</f>
        <v/>
      </c>
      <c r="F258">
        <f>IF($U258="","",IF(INDEX('Per Invoice'!F$2:F$401,$U258)="","",INDEX('Per Invoice'!F$2:F$401,$U258)))</f>
        <v/>
      </c>
      <c r="G258">
        <f>IF($U258="","",IF(INDEX('Per Invoice'!G$2:G$401,$U258)="","",INDEX('Per Invoice'!G$2:G$401,$U258)))</f>
        <v/>
      </c>
      <c r="H258" s="7">
        <f>IF($U258="","",IF(INDEX('Per Invoice'!H$2:H$401,$U258)="","",INDEX('Per Invoice'!H$2:H$401,$U258)))</f>
        <v/>
      </c>
      <c r="I258" s="14">
        <f>IF($U258="","",IF(INDEX('Per Invoice'!I$2:I$401,$U258)="","",INDEX('Per Invoice'!I$2:I$401,$U258)))</f>
        <v/>
      </c>
      <c r="J258">
        <f>IF($U258="","",IF(INDEX('Per Invoice'!J$2:J$401,$U258)="","",INDEX('Per Invoice'!J$2:J$401,$U258)))</f>
        <v/>
      </c>
      <c r="K258">
        <f>IF($U258="","",IF(INDEX('Per Invoice'!K$2:K$401,$U258)="","",INDEX('Per Invoice'!K$2:K$401,$U258)))</f>
        <v/>
      </c>
      <c r="L258" s="7">
        <f>IF($U258="","",IF(INDEX('Per Invoice'!L$2:L$401,$U258)="","",INDEX('Per Invoice'!L$2:L$401,$U258)))</f>
        <v/>
      </c>
      <c r="M258" s="7">
        <f>IF($U258="","",IF(INDEX('Per Invoice'!M$2:M$401,$U258)="","",INDEX('Per Invoice'!M$2:M$401,$U258)))</f>
        <v/>
      </c>
      <c r="N258">
        <f>IF($U258="","",IF(INDEX('Per Invoice'!N$2:N$401,$U258)="","",INDEX('Per Invoice'!N$2:N$401,$U258)))</f>
        <v/>
      </c>
      <c r="O258" s="7">
        <f>IF($U258="","",IF(INDEX('Per Invoice'!O$2:O$401,$U258)="","",INDEX('Per Invoice'!O$2:O$401,$U258)))</f>
        <v/>
      </c>
      <c r="P258" s="7">
        <f>IF($U258="","",IF(INDEX('Per Invoice'!P$2:P$401,$U258)="","",INDEX('Per Invoice'!P$2:P$401,$U258)))</f>
        <v/>
      </c>
      <c r="Q258" s="7">
        <f>IF($U258="","",IF(INDEX('Per Invoice'!Q$2:Q$401,$U258)="","",INDEX('Per Invoice'!Q$2:Q$401,$U258)))</f>
        <v/>
      </c>
      <c r="R258" s="7">
        <f>IF($U258="","",IF(INDEX('Per Invoice'!R$2:R$401,$U258)="","",INDEX('Per Invoice'!R$2:R$401,$U258)))</f>
        <v/>
      </c>
      <c r="S258" s="7">
        <f>IF($U258="","",IF(INDEX('Per Invoice'!S$2:S$401,$U258)="","",INDEX('Per Invoice'!S$2:S$401,$U258)))</f>
        <v/>
      </c>
      <c r="T258" s="7">
        <f>IF($U258="","",IF(INDEX('Per Invoice'!T$2:T$401,$U258)="","",INDEX('Per Invoice'!T$2:T$401,$U258)))</f>
        <v/>
      </c>
      <c r="U258" s="16">
        <f>IFERROR(MATCH(Settings!$C$28&amp;"|"&amp;ROWS($U$2:$U258),'Per Invoice'!$V$2:$V$401,0),"")</f>
        <v/>
      </c>
    </row>
    <row r="259">
      <c r="A259">
        <f>IF($U259="","",IF(INDEX('Per Invoice'!A$2:A$401,$U259)="","",INDEX('Per Invoice'!A$2:A$401,$U259)))</f>
        <v/>
      </c>
      <c r="B259">
        <f>IF($U259="","",IF(INDEX('Per Invoice'!B$2:B$401,$U259)="","",INDEX('Per Invoice'!B$2:B$401,$U259)))</f>
        <v/>
      </c>
      <c r="C259">
        <f>IF($U259="","",IF(INDEX('Per Invoice'!C$2:C$401,$U259)="","",INDEX('Per Invoice'!C$2:C$401,$U259)))</f>
        <v/>
      </c>
      <c r="D259">
        <f>IF($U259="","",IF(INDEX('Per Invoice'!D$2:D$401,$U259)="","",INDEX('Per Invoice'!D$2:D$401,$U259)))</f>
        <v/>
      </c>
      <c r="E259">
        <f>IF($U259="","",IF(INDEX('Per Invoice'!E$2:E$401,$U259)="","",INDEX('Per Invoice'!E$2:E$401,$U259)))</f>
        <v/>
      </c>
      <c r="F259">
        <f>IF($U259="","",IF(INDEX('Per Invoice'!F$2:F$401,$U259)="","",INDEX('Per Invoice'!F$2:F$401,$U259)))</f>
        <v/>
      </c>
      <c r="G259">
        <f>IF($U259="","",IF(INDEX('Per Invoice'!G$2:G$401,$U259)="","",INDEX('Per Invoice'!G$2:G$401,$U259)))</f>
        <v/>
      </c>
      <c r="H259" s="7">
        <f>IF($U259="","",IF(INDEX('Per Invoice'!H$2:H$401,$U259)="","",INDEX('Per Invoice'!H$2:H$401,$U259)))</f>
        <v/>
      </c>
      <c r="I259" s="14">
        <f>IF($U259="","",IF(INDEX('Per Invoice'!I$2:I$401,$U259)="","",INDEX('Per Invoice'!I$2:I$401,$U259)))</f>
        <v/>
      </c>
      <c r="J259">
        <f>IF($U259="","",IF(INDEX('Per Invoice'!J$2:J$401,$U259)="","",INDEX('Per Invoice'!J$2:J$401,$U259)))</f>
        <v/>
      </c>
      <c r="K259">
        <f>IF($U259="","",IF(INDEX('Per Invoice'!K$2:K$401,$U259)="","",INDEX('Per Invoice'!K$2:K$401,$U259)))</f>
        <v/>
      </c>
      <c r="L259" s="7">
        <f>IF($U259="","",IF(INDEX('Per Invoice'!L$2:L$401,$U259)="","",INDEX('Per Invoice'!L$2:L$401,$U259)))</f>
        <v/>
      </c>
      <c r="M259" s="7">
        <f>IF($U259="","",IF(INDEX('Per Invoice'!M$2:M$401,$U259)="","",INDEX('Per Invoice'!M$2:M$401,$U259)))</f>
        <v/>
      </c>
      <c r="N259">
        <f>IF($U259="","",IF(INDEX('Per Invoice'!N$2:N$401,$U259)="","",INDEX('Per Invoice'!N$2:N$401,$U259)))</f>
        <v/>
      </c>
      <c r="O259" s="7">
        <f>IF($U259="","",IF(INDEX('Per Invoice'!O$2:O$401,$U259)="","",INDEX('Per Invoice'!O$2:O$401,$U259)))</f>
        <v/>
      </c>
      <c r="P259" s="7">
        <f>IF($U259="","",IF(INDEX('Per Invoice'!P$2:P$401,$U259)="","",INDEX('Per Invoice'!P$2:P$401,$U259)))</f>
        <v/>
      </c>
      <c r="Q259" s="7">
        <f>IF($U259="","",IF(INDEX('Per Invoice'!Q$2:Q$401,$U259)="","",INDEX('Per Invoice'!Q$2:Q$401,$U259)))</f>
        <v/>
      </c>
      <c r="R259" s="7">
        <f>IF($U259="","",IF(INDEX('Per Invoice'!R$2:R$401,$U259)="","",INDEX('Per Invoice'!R$2:R$401,$U259)))</f>
        <v/>
      </c>
      <c r="S259" s="7">
        <f>IF($U259="","",IF(INDEX('Per Invoice'!S$2:S$401,$U259)="","",INDEX('Per Invoice'!S$2:S$401,$U259)))</f>
        <v/>
      </c>
      <c r="T259" s="7">
        <f>IF($U259="","",IF(INDEX('Per Invoice'!T$2:T$401,$U259)="","",INDEX('Per Invoice'!T$2:T$401,$U259)))</f>
        <v/>
      </c>
      <c r="U259" s="16">
        <f>IFERROR(MATCH(Settings!$C$28&amp;"|"&amp;ROWS($U$2:$U259),'Per Invoice'!$V$2:$V$401,0),"")</f>
        <v/>
      </c>
    </row>
    <row r="260">
      <c r="A260">
        <f>IF($U260="","",IF(INDEX('Per Invoice'!A$2:A$401,$U260)="","",INDEX('Per Invoice'!A$2:A$401,$U260)))</f>
        <v/>
      </c>
      <c r="B260">
        <f>IF($U260="","",IF(INDEX('Per Invoice'!B$2:B$401,$U260)="","",INDEX('Per Invoice'!B$2:B$401,$U260)))</f>
        <v/>
      </c>
      <c r="C260">
        <f>IF($U260="","",IF(INDEX('Per Invoice'!C$2:C$401,$U260)="","",INDEX('Per Invoice'!C$2:C$401,$U260)))</f>
        <v/>
      </c>
      <c r="D260">
        <f>IF($U260="","",IF(INDEX('Per Invoice'!D$2:D$401,$U260)="","",INDEX('Per Invoice'!D$2:D$401,$U260)))</f>
        <v/>
      </c>
      <c r="E260">
        <f>IF($U260="","",IF(INDEX('Per Invoice'!E$2:E$401,$U260)="","",INDEX('Per Invoice'!E$2:E$401,$U260)))</f>
        <v/>
      </c>
      <c r="F260">
        <f>IF($U260="","",IF(INDEX('Per Invoice'!F$2:F$401,$U260)="","",INDEX('Per Invoice'!F$2:F$401,$U260)))</f>
        <v/>
      </c>
      <c r="G260">
        <f>IF($U260="","",IF(INDEX('Per Invoice'!G$2:G$401,$U260)="","",INDEX('Per Invoice'!G$2:G$401,$U260)))</f>
        <v/>
      </c>
      <c r="H260" s="7">
        <f>IF($U260="","",IF(INDEX('Per Invoice'!H$2:H$401,$U260)="","",INDEX('Per Invoice'!H$2:H$401,$U260)))</f>
        <v/>
      </c>
      <c r="I260" s="14">
        <f>IF($U260="","",IF(INDEX('Per Invoice'!I$2:I$401,$U260)="","",INDEX('Per Invoice'!I$2:I$401,$U260)))</f>
        <v/>
      </c>
      <c r="J260">
        <f>IF($U260="","",IF(INDEX('Per Invoice'!J$2:J$401,$U260)="","",INDEX('Per Invoice'!J$2:J$401,$U260)))</f>
        <v/>
      </c>
      <c r="K260">
        <f>IF($U260="","",IF(INDEX('Per Invoice'!K$2:K$401,$U260)="","",INDEX('Per Invoice'!K$2:K$401,$U260)))</f>
        <v/>
      </c>
      <c r="L260" s="7">
        <f>IF($U260="","",IF(INDEX('Per Invoice'!L$2:L$401,$U260)="","",INDEX('Per Invoice'!L$2:L$401,$U260)))</f>
        <v/>
      </c>
      <c r="M260" s="7">
        <f>IF($U260="","",IF(INDEX('Per Invoice'!M$2:M$401,$U260)="","",INDEX('Per Invoice'!M$2:M$401,$U260)))</f>
        <v/>
      </c>
      <c r="N260">
        <f>IF($U260="","",IF(INDEX('Per Invoice'!N$2:N$401,$U260)="","",INDEX('Per Invoice'!N$2:N$401,$U260)))</f>
        <v/>
      </c>
      <c r="O260" s="7">
        <f>IF($U260="","",IF(INDEX('Per Invoice'!O$2:O$401,$U260)="","",INDEX('Per Invoice'!O$2:O$401,$U260)))</f>
        <v/>
      </c>
      <c r="P260" s="7">
        <f>IF($U260="","",IF(INDEX('Per Invoice'!P$2:P$401,$U260)="","",INDEX('Per Invoice'!P$2:P$401,$U260)))</f>
        <v/>
      </c>
      <c r="Q260" s="7">
        <f>IF($U260="","",IF(INDEX('Per Invoice'!Q$2:Q$401,$U260)="","",INDEX('Per Invoice'!Q$2:Q$401,$U260)))</f>
        <v/>
      </c>
      <c r="R260" s="7">
        <f>IF($U260="","",IF(INDEX('Per Invoice'!R$2:R$401,$U260)="","",INDEX('Per Invoice'!R$2:R$401,$U260)))</f>
        <v/>
      </c>
      <c r="S260" s="7">
        <f>IF($U260="","",IF(INDEX('Per Invoice'!S$2:S$401,$U260)="","",INDEX('Per Invoice'!S$2:S$401,$U260)))</f>
        <v/>
      </c>
      <c r="T260" s="7">
        <f>IF($U260="","",IF(INDEX('Per Invoice'!T$2:T$401,$U260)="","",INDEX('Per Invoice'!T$2:T$401,$U260)))</f>
        <v/>
      </c>
      <c r="U260" s="16">
        <f>IFERROR(MATCH(Settings!$C$28&amp;"|"&amp;ROWS($U$2:$U260),'Per Invoice'!$V$2:$V$401,0),"")</f>
        <v/>
      </c>
    </row>
    <row r="261">
      <c r="A261">
        <f>IF($U261="","",IF(INDEX('Per Invoice'!A$2:A$401,$U261)="","",INDEX('Per Invoice'!A$2:A$401,$U261)))</f>
        <v/>
      </c>
      <c r="B261">
        <f>IF($U261="","",IF(INDEX('Per Invoice'!B$2:B$401,$U261)="","",INDEX('Per Invoice'!B$2:B$401,$U261)))</f>
        <v/>
      </c>
      <c r="C261">
        <f>IF($U261="","",IF(INDEX('Per Invoice'!C$2:C$401,$U261)="","",INDEX('Per Invoice'!C$2:C$401,$U261)))</f>
        <v/>
      </c>
      <c r="D261">
        <f>IF($U261="","",IF(INDEX('Per Invoice'!D$2:D$401,$U261)="","",INDEX('Per Invoice'!D$2:D$401,$U261)))</f>
        <v/>
      </c>
      <c r="E261">
        <f>IF($U261="","",IF(INDEX('Per Invoice'!E$2:E$401,$U261)="","",INDEX('Per Invoice'!E$2:E$401,$U261)))</f>
        <v/>
      </c>
      <c r="F261">
        <f>IF($U261="","",IF(INDEX('Per Invoice'!F$2:F$401,$U261)="","",INDEX('Per Invoice'!F$2:F$401,$U261)))</f>
        <v/>
      </c>
      <c r="G261">
        <f>IF($U261="","",IF(INDEX('Per Invoice'!G$2:G$401,$U261)="","",INDEX('Per Invoice'!G$2:G$401,$U261)))</f>
        <v/>
      </c>
      <c r="H261" s="7">
        <f>IF($U261="","",IF(INDEX('Per Invoice'!H$2:H$401,$U261)="","",INDEX('Per Invoice'!H$2:H$401,$U261)))</f>
        <v/>
      </c>
      <c r="I261" s="14">
        <f>IF($U261="","",IF(INDEX('Per Invoice'!I$2:I$401,$U261)="","",INDEX('Per Invoice'!I$2:I$401,$U261)))</f>
        <v/>
      </c>
      <c r="J261">
        <f>IF($U261="","",IF(INDEX('Per Invoice'!J$2:J$401,$U261)="","",INDEX('Per Invoice'!J$2:J$401,$U261)))</f>
        <v/>
      </c>
      <c r="K261">
        <f>IF($U261="","",IF(INDEX('Per Invoice'!K$2:K$401,$U261)="","",INDEX('Per Invoice'!K$2:K$401,$U261)))</f>
        <v/>
      </c>
      <c r="L261" s="7">
        <f>IF($U261="","",IF(INDEX('Per Invoice'!L$2:L$401,$U261)="","",INDEX('Per Invoice'!L$2:L$401,$U261)))</f>
        <v/>
      </c>
      <c r="M261" s="7">
        <f>IF($U261="","",IF(INDEX('Per Invoice'!M$2:M$401,$U261)="","",INDEX('Per Invoice'!M$2:M$401,$U261)))</f>
        <v/>
      </c>
      <c r="N261">
        <f>IF($U261="","",IF(INDEX('Per Invoice'!N$2:N$401,$U261)="","",INDEX('Per Invoice'!N$2:N$401,$U261)))</f>
        <v/>
      </c>
      <c r="O261" s="7">
        <f>IF($U261="","",IF(INDEX('Per Invoice'!O$2:O$401,$U261)="","",INDEX('Per Invoice'!O$2:O$401,$U261)))</f>
        <v/>
      </c>
      <c r="P261" s="7">
        <f>IF($U261="","",IF(INDEX('Per Invoice'!P$2:P$401,$U261)="","",INDEX('Per Invoice'!P$2:P$401,$U261)))</f>
        <v/>
      </c>
      <c r="Q261" s="7">
        <f>IF($U261="","",IF(INDEX('Per Invoice'!Q$2:Q$401,$U261)="","",INDEX('Per Invoice'!Q$2:Q$401,$U261)))</f>
        <v/>
      </c>
      <c r="R261" s="7">
        <f>IF($U261="","",IF(INDEX('Per Invoice'!R$2:R$401,$U261)="","",INDEX('Per Invoice'!R$2:R$401,$U261)))</f>
        <v/>
      </c>
      <c r="S261" s="7">
        <f>IF($U261="","",IF(INDEX('Per Invoice'!S$2:S$401,$U261)="","",INDEX('Per Invoice'!S$2:S$401,$U261)))</f>
        <v/>
      </c>
      <c r="T261" s="7">
        <f>IF($U261="","",IF(INDEX('Per Invoice'!T$2:T$401,$U261)="","",INDEX('Per Invoice'!T$2:T$401,$U261)))</f>
        <v/>
      </c>
      <c r="U261" s="16">
        <f>IFERROR(MATCH(Settings!$C$28&amp;"|"&amp;ROWS($U$2:$U261),'Per Invoice'!$V$2:$V$401,0),"")</f>
        <v/>
      </c>
    </row>
    <row r="262">
      <c r="A262">
        <f>IF($U262="","",IF(INDEX('Per Invoice'!A$2:A$401,$U262)="","",INDEX('Per Invoice'!A$2:A$401,$U262)))</f>
        <v/>
      </c>
      <c r="B262">
        <f>IF($U262="","",IF(INDEX('Per Invoice'!B$2:B$401,$U262)="","",INDEX('Per Invoice'!B$2:B$401,$U262)))</f>
        <v/>
      </c>
      <c r="C262">
        <f>IF($U262="","",IF(INDEX('Per Invoice'!C$2:C$401,$U262)="","",INDEX('Per Invoice'!C$2:C$401,$U262)))</f>
        <v/>
      </c>
      <c r="D262">
        <f>IF($U262="","",IF(INDEX('Per Invoice'!D$2:D$401,$U262)="","",INDEX('Per Invoice'!D$2:D$401,$U262)))</f>
        <v/>
      </c>
      <c r="E262">
        <f>IF($U262="","",IF(INDEX('Per Invoice'!E$2:E$401,$U262)="","",INDEX('Per Invoice'!E$2:E$401,$U262)))</f>
        <v/>
      </c>
      <c r="F262">
        <f>IF($U262="","",IF(INDEX('Per Invoice'!F$2:F$401,$U262)="","",INDEX('Per Invoice'!F$2:F$401,$U262)))</f>
        <v/>
      </c>
      <c r="G262">
        <f>IF($U262="","",IF(INDEX('Per Invoice'!G$2:G$401,$U262)="","",INDEX('Per Invoice'!G$2:G$401,$U262)))</f>
        <v/>
      </c>
      <c r="H262" s="7">
        <f>IF($U262="","",IF(INDEX('Per Invoice'!H$2:H$401,$U262)="","",INDEX('Per Invoice'!H$2:H$401,$U262)))</f>
        <v/>
      </c>
      <c r="I262" s="14">
        <f>IF($U262="","",IF(INDEX('Per Invoice'!I$2:I$401,$U262)="","",INDEX('Per Invoice'!I$2:I$401,$U262)))</f>
        <v/>
      </c>
      <c r="J262">
        <f>IF($U262="","",IF(INDEX('Per Invoice'!J$2:J$401,$U262)="","",INDEX('Per Invoice'!J$2:J$401,$U262)))</f>
        <v/>
      </c>
      <c r="K262">
        <f>IF($U262="","",IF(INDEX('Per Invoice'!K$2:K$401,$U262)="","",INDEX('Per Invoice'!K$2:K$401,$U262)))</f>
        <v/>
      </c>
      <c r="L262" s="7">
        <f>IF($U262="","",IF(INDEX('Per Invoice'!L$2:L$401,$U262)="","",INDEX('Per Invoice'!L$2:L$401,$U262)))</f>
        <v/>
      </c>
      <c r="M262" s="7">
        <f>IF($U262="","",IF(INDEX('Per Invoice'!M$2:M$401,$U262)="","",INDEX('Per Invoice'!M$2:M$401,$U262)))</f>
        <v/>
      </c>
      <c r="N262">
        <f>IF($U262="","",IF(INDEX('Per Invoice'!N$2:N$401,$U262)="","",INDEX('Per Invoice'!N$2:N$401,$U262)))</f>
        <v/>
      </c>
      <c r="O262" s="7">
        <f>IF($U262="","",IF(INDEX('Per Invoice'!O$2:O$401,$U262)="","",INDEX('Per Invoice'!O$2:O$401,$U262)))</f>
        <v/>
      </c>
      <c r="P262" s="7">
        <f>IF($U262="","",IF(INDEX('Per Invoice'!P$2:P$401,$U262)="","",INDEX('Per Invoice'!P$2:P$401,$U262)))</f>
        <v/>
      </c>
      <c r="Q262" s="7">
        <f>IF($U262="","",IF(INDEX('Per Invoice'!Q$2:Q$401,$U262)="","",INDEX('Per Invoice'!Q$2:Q$401,$U262)))</f>
        <v/>
      </c>
      <c r="R262" s="7">
        <f>IF($U262="","",IF(INDEX('Per Invoice'!R$2:R$401,$U262)="","",INDEX('Per Invoice'!R$2:R$401,$U262)))</f>
        <v/>
      </c>
      <c r="S262" s="7">
        <f>IF($U262="","",IF(INDEX('Per Invoice'!S$2:S$401,$U262)="","",INDEX('Per Invoice'!S$2:S$401,$U262)))</f>
        <v/>
      </c>
      <c r="T262" s="7">
        <f>IF($U262="","",IF(INDEX('Per Invoice'!T$2:T$401,$U262)="","",INDEX('Per Invoice'!T$2:T$401,$U262)))</f>
        <v/>
      </c>
      <c r="U262" s="16">
        <f>IFERROR(MATCH(Settings!$C$28&amp;"|"&amp;ROWS($U$2:$U262),'Per Invoice'!$V$2:$V$401,0),"")</f>
        <v/>
      </c>
    </row>
    <row r="263">
      <c r="A263">
        <f>IF($U263="","",IF(INDEX('Per Invoice'!A$2:A$401,$U263)="","",INDEX('Per Invoice'!A$2:A$401,$U263)))</f>
        <v/>
      </c>
      <c r="B263">
        <f>IF($U263="","",IF(INDEX('Per Invoice'!B$2:B$401,$U263)="","",INDEX('Per Invoice'!B$2:B$401,$U263)))</f>
        <v/>
      </c>
      <c r="C263">
        <f>IF($U263="","",IF(INDEX('Per Invoice'!C$2:C$401,$U263)="","",INDEX('Per Invoice'!C$2:C$401,$U263)))</f>
        <v/>
      </c>
      <c r="D263">
        <f>IF($U263="","",IF(INDEX('Per Invoice'!D$2:D$401,$U263)="","",INDEX('Per Invoice'!D$2:D$401,$U263)))</f>
        <v/>
      </c>
      <c r="E263">
        <f>IF($U263="","",IF(INDEX('Per Invoice'!E$2:E$401,$U263)="","",INDEX('Per Invoice'!E$2:E$401,$U263)))</f>
        <v/>
      </c>
      <c r="F263">
        <f>IF($U263="","",IF(INDEX('Per Invoice'!F$2:F$401,$U263)="","",INDEX('Per Invoice'!F$2:F$401,$U263)))</f>
        <v/>
      </c>
      <c r="G263">
        <f>IF($U263="","",IF(INDEX('Per Invoice'!G$2:G$401,$U263)="","",INDEX('Per Invoice'!G$2:G$401,$U263)))</f>
        <v/>
      </c>
      <c r="H263" s="7">
        <f>IF($U263="","",IF(INDEX('Per Invoice'!H$2:H$401,$U263)="","",INDEX('Per Invoice'!H$2:H$401,$U263)))</f>
        <v/>
      </c>
      <c r="I263" s="14">
        <f>IF($U263="","",IF(INDEX('Per Invoice'!I$2:I$401,$U263)="","",INDEX('Per Invoice'!I$2:I$401,$U263)))</f>
        <v/>
      </c>
      <c r="J263">
        <f>IF($U263="","",IF(INDEX('Per Invoice'!J$2:J$401,$U263)="","",INDEX('Per Invoice'!J$2:J$401,$U263)))</f>
        <v/>
      </c>
      <c r="K263">
        <f>IF($U263="","",IF(INDEX('Per Invoice'!K$2:K$401,$U263)="","",INDEX('Per Invoice'!K$2:K$401,$U263)))</f>
        <v/>
      </c>
      <c r="L263" s="7">
        <f>IF($U263="","",IF(INDEX('Per Invoice'!L$2:L$401,$U263)="","",INDEX('Per Invoice'!L$2:L$401,$U263)))</f>
        <v/>
      </c>
      <c r="M263" s="7">
        <f>IF($U263="","",IF(INDEX('Per Invoice'!M$2:M$401,$U263)="","",INDEX('Per Invoice'!M$2:M$401,$U263)))</f>
        <v/>
      </c>
      <c r="N263">
        <f>IF($U263="","",IF(INDEX('Per Invoice'!N$2:N$401,$U263)="","",INDEX('Per Invoice'!N$2:N$401,$U263)))</f>
        <v/>
      </c>
      <c r="O263" s="7">
        <f>IF($U263="","",IF(INDEX('Per Invoice'!O$2:O$401,$U263)="","",INDEX('Per Invoice'!O$2:O$401,$U263)))</f>
        <v/>
      </c>
      <c r="P263" s="7">
        <f>IF($U263="","",IF(INDEX('Per Invoice'!P$2:P$401,$U263)="","",INDEX('Per Invoice'!P$2:P$401,$U263)))</f>
        <v/>
      </c>
      <c r="Q263" s="7">
        <f>IF($U263="","",IF(INDEX('Per Invoice'!Q$2:Q$401,$U263)="","",INDEX('Per Invoice'!Q$2:Q$401,$U263)))</f>
        <v/>
      </c>
      <c r="R263" s="7">
        <f>IF($U263="","",IF(INDEX('Per Invoice'!R$2:R$401,$U263)="","",INDEX('Per Invoice'!R$2:R$401,$U263)))</f>
        <v/>
      </c>
      <c r="S263" s="7">
        <f>IF($U263="","",IF(INDEX('Per Invoice'!S$2:S$401,$U263)="","",INDEX('Per Invoice'!S$2:S$401,$U263)))</f>
        <v/>
      </c>
      <c r="T263" s="7">
        <f>IF($U263="","",IF(INDEX('Per Invoice'!T$2:T$401,$U263)="","",INDEX('Per Invoice'!T$2:T$401,$U263)))</f>
        <v/>
      </c>
      <c r="U263" s="16">
        <f>IFERROR(MATCH(Settings!$C$28&amp;"|"&amp;ROWS($U$2:$U263),'Per Invoice'!$V$2:$V$401,0),"")</f>
        <v/>
      </c>
    </row>
    <row r="264">
      <c r="A264">
        <f>IF($U264="","",IF(INDEX('Per Invoice'!A$2:A$401,$U264)="","",INDEX('Per Invoice'!A$2:A$401,$U264)))</f>
        <v/>
      </c>
      <c r="B264">
        <f>IF($U264="","",IF(INDEX('Per Invoice'!B$2:B$401,$U264)="","",INDEX('Per Invoice'!B$2:B$401,$U264)))</f>
        <v/>
      </c>
      <c r="C264">
        <f>IF($U264="","",IF(INDEX('Per Invoice'!C$2:C$401,$U264)="","",INDEX('Per Invoice'!C$2:C$401,$U264)))</f>
        <v/>
      </c>
      <c r="D264">
        <f>IF($U264="","",IF(INDEX('Per Invoice'!D$2:D$401,$U264)="","",INDEX('Per Invoice'!D$2:D$401,$U264)))</f>
        <v/>
      </c>
      <c r="E264">
        <f>IF($U264="","",IF(INDEX('Per Invoice'!E$2:E$401,$U264)="","",INDEX('Per Invoice'!E$2:E$401,$U264)))</f>
        <v/>
      </c>
      <c r="F264">
        <f>IF($U264="","",IF(INDEX('Per Invoice'!F$2:F$401,$U264)="","",INDEX('Per Invoice'!F$2:F$401,$U264)))</f>
        <v/>
      </c>
      <c r="G264">
        <f>IF($U264="","",IF(INDEX('Per Invoice'!G$2:G$401,$U264)="","",INDEX('Per Invoice'!G$2:G$401,$U264)))</f>
        <v/>
      </c>
      <c r="H264" s="7">
        <f>IF($U264="","",IF(INDEX('Per Invoice'!H$2:H$401,$U264)="","",INDEX('Per Invoice'!H$2:H$401,$U264)))</f>
        <v/>
      </c>
      <c r="I264" s="14">
        <f>IF($U264="","",IF(INDEX('Per Invoice'!I$2:I$401,$U264)="","",INDEX('Per Invoice'!I$2:I$401,$U264)))</f>
        <v/>
      </c>
      <c r="J264">
        <f>IF($U264="","",IF(INDEX('Per Invoice'!J$2:J$401,$U264)="","",INDEX('Per Invoice'!J$2:J$401,$U264)))</f>
        <v/>
      </c>
      <c r="K264">
        <f>IF($U264="","",IF(INDEX('Per Invoice'!K$2:K$401,$U264)="","",INDEX('Per Invoice'!K$2:K$401,$U264)))</f>
        <v/>
      </c>
      <c r="L264" s="7">
        <f>IF($U264="","",IF(INDEX('Per Invoice'!L$2:L$401,$U264)="","",INDEX('Per Invoice'!L$2:L$401,$U264)))</f>
        <v/>
      </c>
      <c r="M264" s="7">
        <f>IF($U264="","",IF(INDEX('Per Invoice'!M$2:M$401,$U264)="","",INDEX('Per Invoice'!M$2:M$401,$U264)))</f>
        <v/>
      </c>
      <c r="N264">
        <f>IF($U264="","",IF(INDEX('Per Invoice'!N$2:N$401,$U264)="","",INDEX('Per Invoice'!N$2:N$401,$U264)))</f>
        <v/>
      </c>
      <c r="O264" s="7">
        <f>IF($U264="","",IF(INDEX('Per Invoice'!O$2:O$401,$U264)="","",INDEX('Per Invoice'!O$2:O$401,$U264)))</f>
        <v/>
      </c>
      <c r="P264" s="7">
        <f>IF($U264="","",IF(INDEX('Per Invoice'!P$2:P$401,$U264)="","",INDEX('Per Invoice'!P$2:P$401,$U264)))</f>
        <v/>
      </c>
      <c r="Q264" s="7">
        <f>IF($U264="","",IF(INDEX('Per Invoice'!Q$2:Q$401,$U264)="","",INDEX('Per Invoice'!Q$2:Q$401,$U264)))</f>
        <v/>
      </c>
      <c r="R264" s="7">
        <f>IF($U264="","",IF(INDEX('Per Invoice'!R$2:R$401,$U264)="","",INDEX('Per Invoice'!R$2:R$401,$U264)))</f>
        <v/>
      </c>
      <c r="S264" s="7">
        <f>IF($U264="","",IF(INDEX('Per Invoice'!S$2:S$401,$U264)="","",INDEX('Per Invoice'!S$2:S$401,$U264)))</f>
        <v/>
      </c>
      <c r="T264" s="7">
        <f>IF($U264="","",IF(INDEX('Per Invoice'!T$2:T$401,$U264)="","",INDEX('Per Invoice'!T$2:T$401,$U264)))</f>
        <v/>
      </c>
      <c r="U264" s="16">
        <f>IFERROR(MATCH(Settings!$C$28&amp;"|"&amp;ROWS($U$2:$U264),'Per Invoice'!$V$2:$V$401,0),"")</f>
        <v/>
      </c>
    </row>
    <row r="265">
      <c r="A265">
        <f>IF($U265="","",IF(INDEX('Per Invoice'!A$2:A$401,$U265)="","",INDEX('Per Invoice'!A$2:A$401,$U265)))</f>
        <v/>
      </c>
      <c r="B265">
        <f>IF($U265="","",IF(INDEX('Per Invoice'!B$2:B$401,$U265)="","",INDEX('Per Invoice'!B$2:B$401,$U265)))</f>
        <v/>
      </c>
      <c r="C265">
        <f>IF($U265="","",IF(INDEX('Per Invoice'!C$2:C$401,$U265)="","",INDEX('Per Invoice'!C$2:C$401,$U265)))</f>
        <v/>
      </c>
      <c r="D265">
        <f>IF($U265="","",IF(INDEX('Per Invoice'!D$2:D$401,$U265)="","",INDEX('Per Invoice'!D$2:D$401,$U265)))</f>
        <v/>
      </c>
      <c r="E265">
        <f>IF($U265="","",IF(INDEX('Per Invoice'!E$2:E$401,$U265)="","",INDEX('Per Invoice'!E$2:E$401,$U265)))</f>
        <v/>
      </c>
      <c r="F265">
        <f>IF($U265="","",IF(INDEX('Per Invoice'!F$2:F$401,$U265)="","",INDEX('Per Invoice'!F$2:F$401,$U265)))</f>
        <v/>
      </c>
      <c r="G265">
        <f>IF($U265="","",IF(INDEX('Per Invoice'!G$2:G$401,$U265)="","",INDEX('Per Invoice'!G$2:G$401,$U265)))</f>
        <v/>
      </c>
      <c r="H265" s="7">
        <f>IF($U265="","",IF(INDEX('Per Invoice'!H$2:H$401,$U265)="","",INDEX('Per Invoice'!H$2:H$401,$U265)))</f>
        <v/>
      </c>
      <c r="I265" s="14">
        <f>IF($U265="","",IF(INDEX('Per Invoice'!I$2:I$401,$U265)="","",INDEX('Per Invoice'!I$2:I$401,$U265)))</f>
        <v/>
      </c>
      <c r="J265">
        <f>IF($U265="","",IF(INDEX('Per Invoice'!J$2:J$401,$U265)="","",INDEX('Per Invoice'!J$2:J$401,$U265)))</f>
        <v/>
      </c>
      <c r="K265">
        <f>IF($U265="","",IF(INDEX('Per Invoice'!K$2:K$401,$U265)="","",INDEX('Per Invoice'!K$2:K$401,$U265)))</f>
        <v/>
      </c>
      <c r="L265" s="7">
        <f>IF($U265="","",IF(INDEX('Per Invoice'!L$2:L$401,$U265)="","",INDEX('Per Invoice'!L$2:L$401,$U265)))</f>
        <v/>
      </c>
      <c r="M265" s="7">
        <f>IF($U265="","",IF(INDEX('Per Invoice'!M$2:M$401,$U265)="","",INDEX('Per Invoice'!M$2:M$401,$U265)))</f>
        <v/>
      </c>
      <c r="N265">
        <f>IF($U265="","",IF(INDEX('Per Invoice'!N$2:N$401,$U265)="","",INDEX('Per Invoice'!N$2:N$401,$U265)))</f>
        <v/>
      </c>
      <c r="O265" s="7">
        <f>IF($U265="","",IF(INDEX('Per Invoice'!O$2:O$401,$U265)="","",INDEX('Per Invoice'!O$2:O$401,$U265)))</f>
        <v/>
      </c>
      <c r="P265" s="7">
        <f>IF($U265="","",IF(INDEX('Per Invoice'!P$2:P$401,$U265)="","",INDEX('Per Invoice'!P$2:P$401,$U265)))</f>
        <v/>
      </c>
      <c r="Q265" s="7">
        <f>IF($U265="","",IF(INDEX('Per Invoice'!Q$2:Q$401,$U265)="","",INDEX('Per Invoice'!Q$2:Q$401,$U265)))</f>
        <v/>
      </c>
      <c r="R265" s="7">
        <f>IF($U265="","",IF(INDEX('Per Invoice'!R$2:R$401,$U265)="","",INDEX('Per Invoice'!R$2:R$401,$U265)))</f>
        <v/>
      </c>
      <c r="S265" s="7">
        <f>IF($U265="","",IF(INDEX('Per Invoice'!S$2:S$401,$U265)="","",INDEX('Per Invoice'!S$2:S$401,$U265)))</f>
        <v/>
      </c>
      <c r="T265" s="7">
        <f>IF($U265="","",IF(INDEX('Per Invoice'!T$2:T$401,$U265)="","",INDEX('Per Invoice'!T$2:T$401,$U265)))</f>
        <v/>
      </c>
      <c r="U265" s="16">
        <f>IFERROR(MATCH(Settings!$C$28&amp;"|"&amp;ROWS($U$2:$U265),'Per Invoice'!$V$2:$V$401,0),"")</f>
        <v/>
      </c>
    </row>
    <row r="266">
      <c r="A266">
        <f>IF($U266="","",IF(INDEX('Per Invoice'!A$2:A$401,$U266)="","",INDEX('Per Invoice'!A$2:A$401,$U266)))</f>
        <v/>
      </c>
      <c r="B266">
        <f>IF($U266="","",IF(INDEX('Per Invoice'!B$2:B$401,$U266)="","",INDEX('Per Invoice'!B$2:B$401,$U266)))</f>
        <v/>
      </c>
      <c r="C266">
        <f>IF($U266="","",IF(INDEX('Per Invoice'!C$2:C$401,$U266)="","",INDEX('Per Invoice'!C$2:C$401,$U266)))</f>
        <v/>
      </c>
      <c r="D266">
        <f>IF($U266="","",IF(INDEX('Per Invoice'!D$2:D$401,$U266)="","",INDEX('Per Invoice'!D$2:D$401,$U266)))</f>
        <v/>
      </c>
      <c r="E266">
        <f>IF($U266="","",IF(INDEX('Per Invoice'!E$2:E$401,$U266)="","",INDEX('Per Invoice'!E$2:E$401,$U266)))</f>
        <v/>
      </c>
      <c r="F266">
        <f>IF($U266="","",IF(INDEX('Per Invoice'!F$2:F$401,$U266)="","",INDEX('Per Invoice'!F$2:F$401,$U266)))</f>
        <v/>
      </c>
      <c r="G266">
        <f>IF($U266="","",IF(INDEX('Per Invoice'!G$2:G$401,$U266)="","",INDEX('Per Invoice'!G$2:G$401,$U266)))</f>
        <v/>
      </c>
      <c r="H266" s="7">
        <f>IF($U266="","",IF(INDEX('Per Invoice'!H$2:H$401,$U266)="","",INDEX('Per Invoice'!H$2:H$401,$U266)))</f>
        <v/>
      </c>
      <c r="I266" s="14">
        <f>IF($U266="","",IF(INDEX('Per Invoice'!I$2:I$401,$U266)="","",INDEX('Per Invoice'!I$2:I$401,$U266)))</f>
        <v/>
      </c>
      <c r="J266">
        <f>IF($U266="","",IF(INDEX('Per Invoice'!J$2:J$401,$U266)="","",INDEX('Per Invoice'!J$2:J$401,$U266)))</f>
        <v/>
      </c>
      <c r="K266">
        <f>IF($U266="","",IF(INDEX('Per Invoice'!K$2:K$401,$U266)="","",INDEX('Per Invoice'!K$2:K$401,$U266)))</f>
        <v/>
      </c>
      <c r="L266" s="7">
        <f>IF($U266="","",IF(INDEX('Per Invoice'!L$2:L$401,$U266)="","",INDEX('Per Invoice'!L$2:L$401,$U266)))</f>
        <v/>
      </c>
      <c r="M266" s="7">
        <f>IF($U266="","",IF(INDEX('Per Invoice'!M$2:M$401,$U266)="","",INDEX('Per Invoice'!M$2:M$401,$U266)))</f>
        <v/>
      </c>
      <c r="N266">
        <f>IF($U266="","",IF(INDEX('Per Invoice'!N$2:N$401,$U266)="","",INDEX('Per Invoice'!N$2:N$401,$U266)))</f>
        <v/>
      </c>
      <c r="O266" s="7">
        <f>IF($U266="","",IF(INDEX('Per Invoice'!O$2:O$401,$U266)="","",INDEX('Per Invoice'!O$2:O$401,$U266)))</f>
        <v/>
      </c>
      <c r="P266" s="7">
        <f>IF($U266="","",IF(INDEX('Per Invoice'!P$2:P$401,$U266)="","",INDEX('Per Invoice'!P$2:P$401,$U266)))</f>
        <v/>
      </c>
      <c r="Q266" s="7">
        <f>IF($U266="","",IF(INDEX('Per Invoice'!Q$2:Q$401,$U266)="","",INDEX('Per Invoice'!Q$2:Q$401,$U266)))</f>
        <v/>
      </c>
      <c r="R266" s="7">
        <f>IF($U266="","",IF(INDEX('Per Invoice'!R$2:R$401,$U266)="","",INDEX('Per Invoice'!R$2:R$401,$U266)))</f>
        <v/>
      </c>
      <c r="S266" s="7">
        <f>IF($U266="","",IF(INDEX('Per Invoice'!S$2:S$401,$U266)="","",INDEX('Per Invoice'!S$2:S$401,$U266)))</f>
        <v/>
      </c>
      <c r="T266" s="7">
        <f>IF($U266="","",IF(INDEX('Per Invoice'!T$2:T$401,$U266)="","",INDEX('Per Invoice'!T$2:T$401,$U266)))</f>
        <v/>
      </c>
      <c r="U266" s="16">
        <f>IFERROR(MATCH(Settings!$C$28&amp;"|"&amp;ROWS($U$2:$U266),'Per Invoice'!$V$2:$V$401,0),"")</f>
        <v/>
      </c>
    </row>
    <row r="267">
      <c r="A267">
        <f>IF($U267="","",IF(INDEX('Per Invoice'!A$2:A$401,$U267)="","",INDEX('Per Invoice'!A$2:A$401,$U267)))</f>
        <v/>
      </c>
      <c r="B267">
        <f>IF($U267="","",IF(INDEX('Per Invoice'!B$2:B$401,$U267)="","",INDEX('Per Invoice'!B$2:B$401,$U267)))</f>
        <v/>
      </c>
      <c r="C267">
        <f>IF($U267="","",IF(INDEX('Per Invoice'!C$2:C$401,$U267)="","",INDEX('Per Invoice'!C$2:C$401,$U267)))</f>
        <v/>
      </c>
      <c r="D267">
        <f>IF($U267="","",IF(INDEX('Per Invoice'!D$2:D$401,$U267)="","",INDEX('Per Invoice'!D$2:D$401,$U267)))</f>
        <v/>
      </c>
      <c r="E267">
        <f>IF($U267="","",IF(INDEX('Per Invoice'!E$2:E$401,$U267)="","",INDEX('Per Invoice'!E$2:E$401,$U267)))</f>
        <v/>
      </c>
      <c r="F267">
        <f>IF($U267="","",IF(INDEX('Per Invoice'!F$2:F$401,$U267)="","",INDEX('Per Invoice'!F$2:F$401,$U267)))</f>
        <v/>
      </c>
      <c r="G267">
        <f>IF($U267="","",IF(INDEX('Per Invoice'!G$2:G$401,$U267)="","",INDEX('Per Invoice'!G$2:G$401,$U267)))</f>
        <v/>
      </c>
      <c r="H267" s="7">
        <f>IF($U267="","",IF(INDEX('Per Invoice'!H$2:H$401,$U267)="","",INDEX('Per Invoice'!H$2:H$401,$U267)))</f>
        <v/>
      </c>
      <c r="I267" s="14">
        <f>IF($U267="","",IF(INDEX('Per Invoice'!I$2:I$401,$U267)="","",INDEX('Per Invoice'!I$2:I$401,$U267)))</f>
        <v/>
      </c>
      <c r="J267">
        <f>IF($U267="","",IF(INDEX('Per Invoice'!J$2:J$401,$U267)="","",INDEX('Per Invoice'!J$2:J$401,$U267)))</f>
        <v/>
      </c>
      <c r="K267">
        <f>IF($U267="","",IF(INDEX('Per Invoice'!K$2:K$401,$U267)="","",INDEX('Per Invoice'!K$2:K$401,$U267)))</f>
        <v/>
      </c>
      <c r="L267" s="7">
        <f>IF($U267="","",IF(INDEX('Per Invoice'!L$2:L$401,$U267)="","",INDEX('Per Invoice'!L$2:L$401,$U267)))</f>
        <v/>
      </c>
      <c r="M267" s="7">
        <f>IF($U267="","",IF(INDEX('Per Invoice'!M$2:M$401,$U267)="","",INDEX('Per Invoice'!M$2:M$401,$U267)))</f>
        <v/>
      </c>
      <c r="N267">
        <f>IF($U267="","",IF(INDEX('Per Invoice'!N$2:N$401,$U267)="","",INDEX('Per Invoice'!N$2:N$401,$U267)))</f>
        <v/>
      </c>
      <c r="O267" s="7">
        <f>IF($U267="","",IF(INDEX('Per Invoice'!O$2:O$401,$U267)="","",INDEX('Per Invoice'!O$2:O$401,$U267)))</f>
        <v/>
      </c>
      <c r="P267" s="7">
        <f>IF($U267="","",IF(INDEX('Per Invoice'!P$2:P$401,$U267)="","",INDEX('Per Invoice'!P$2:P$401,$U267)))</f>
        <v/>
      </c>
      <c r="Q267" s="7">
        <f>IF($U267="","",IF(INDEX('Per Invoice'!Q$2:Q$401,$U267)="","",INDEX('Per Invoice'!Q$2:Q$401,$U267)))</f>
        <v/>
      </c>
      <c r="R267" s="7">
        <f>IF($U267="","",IF(INDEX('Per Invoice'!R$2:R$401,$U267)="","",INDEX('Per Invoice'!R$2:R$401,$U267)))</f>
        <v/>
      </c>
      <c r="S267" s="7">
        <f>IF($U267="","",IF(INDEX('Per Invoice'!S$2:S$401,$U267)="","",INDEX('Per Invoice'!S$2:S$401,$U267)))</f>
        <v/>
      </c>
      <c r="T267" s="7">
        <f>IF($U267="","",IF(INDEX('Per Invoice'!T$2:T$401,$U267)="","",INDEX('Per Invoice'!T$2:T$401,$U267)))</f>
        <v/>
      </c>
      <c r="U267" s="16">
        <f>IFERROR(MATCH(Settings!$C$28&amp;"|"&amp;ROWS($U$2:$U267),'Per Invoice'!$V$2:$V$401,0),"")</f>
        <v/>
      </c>
    </row>
    <row r="268">
      <c r="A268">
        <f>IF($U268="","",IF(INDEX('Per Invoice'!A$2:A$401,$U268)="","",INDEX('Per Invoice'!A$2:A$401,$U268)))</f>
        <v/>
      </c>
      <c r="B268">
        <f>IF($U268="","",IF(INDEX('Per Invoice'!B$2:B$401,$U268)="","",INDEX('Per Invoice'!B$2:B$401,$U268)))</f>
        <v/>
      </c>
      <c r="C268">
        <f>IF($U268="","",IF(INDEX('Per Invoice'!C$2:C$401,$U268)="","",INDEX('Per Invoice'!C$2:C$401,$U268)))</f>
        <v/>
      </c>
      <c r="D268">
        <f>IF($U268="","",IF(INDEX('Per Invoice'!D$2:D$401,$U268)="","",INDEX('Per Invoice'!D$2:D$401,$U268)))</f>
        <v/>
      </c>
      <c r="E268">
        <f>IF($U268="","",IF(INDEX('Per Invoice'!E$2:E$401,$U268)="","",INDEX('Per Invoice'!E$2:E$401,$U268)))</f>
        <v/>
      </c>
      <c r="F268">
        <f>IF($U268="","",IF(INDEX('Per Invoice'!F$2:F$401,$U268)="","",INDEX('Per Invoice'!F$2:F$401,$U268)))</f>
        <v/>
      </c>
      <c r="G268">
        <f>IF($U268="","",IF(INDEX('Per Invoice'!G$2:G$401,$U268)="","",INDEX('Per Invoice'!G$2:G$401,$U268)))</f>
        <v/>
      </c>
      <c r="H268" s="7">
        <f>IF($U268="","",IF(INDEX('Per Invoice'!H$2:H$401,$U268)="","",INDEX('Per Invoice'!H$2:H$401,$U268)))</f>
        <v/>
      </c>
      <c r="I268" s="14">
        <f>IF($U268="","",IF(INDEX('Per Invoice'!I$2:I$401,$U268)="","",INDEX('Per Invoice'!I$2:I$401,$U268)))</f>
        <v/>
      </c>
      <c r="J268">
        <f>IF($U268="","",IF(INDEX('Per Invoice'!J$2:J$401,$U268)="","",INDEX('Per Invoice'!J$2:J$401,$U268)))</f>
        <v/>
      </c>
      <c r="K268">
        <f>IF($U268="","",IF(INDEX('Per Invoice'!K$2:K$401,$U268)="","",INDEX('Per Invoice'!K$2:K$401,$U268)))</f>
        <v/>
      </c>
      <c r="L268" s="7">
        <f>IF($U268="","",IF(INDEX('Per Invoice'!L$2:L$401,$U268)="","",INDEX('Per Invoice'!L$2:L$401,$U268)))</f>
        <v/>
      </c>
      <c r="M268" s="7">
        <f>IF($U268="","",IF(INDEX('Per Invoice'!M$2:M$401,$U268)="","",INDEX('Per Invoice'!M$2:M$401,$U268)))</f>
        <v/>
      </c>
      <c r="N268">
        <f>IF($U268="","",IF(INDEX('Per Invoice'!N$2:N$401,$U268)="","",INDEX('Per Invoice'!N$2:N$401,$U268)))</f>
        <v/>
      </c>
      <c r="O268" s="7">
        <f>IF($U268="","",IF(INDEX('Per Invoice'!O$2:O$401,$U268)="","",INDEX('Per Invoice'!O$2:O$401,$U268)))</f>
        <v/>
      </c>
      <c r="P268" s="7">
        <f>IF($U268="","",IF(INDEX('Per Invoice'!P$2:P$401,$U268)="","",INDEX('Per Invoice'!P$2:P$401,$U268)))</f>
        <v/>
      </c>
      <c r="Q268" s="7">
        <f>IF($U268="","",IF(INDEX('Per Invoice'!Q$2:Q$401,$U268)="","",INDEX('Per Invoice'!Q$2:Q$401,$U268)))</f>
        <v/>
      </c>
      <c r="R268" s="7">
        <f>IF($U268="","",IF(INDEX('Per Invoice'!R$2:R$401,$U268)="","",INDEX('Per Invoice'!R$2:R$401,$U268)))</f>
        <v/>
      </c>
      <c r="S268" s="7">
        <f>IF($U268="","",IF(INDEX('Per Invoice'!S$2:S$401,$U268)="","",INDEX('Per Invoice'!S$2:S$401,$U268)))</f>
        <v/>
      </c>
      <c r="T268" s="7">
        <f>IF($U268="","",IF(INDEX('Per Invoice'!T$2:T$401,$U268)="","",INDEX('Per Invoice'!T$2:T$401,$U268)))</f>
        <v/>
      </c>
      <c r="U268" s="16">
        <f>IFERROR(MATCH(Settings!$C$28&amp;"|"&amp;ROWS($U$2:$U268),'Per Invoice'!$V$2:$V$401,0),"")</f>
        <v/>
      </c>
    </row>
    <row r="269">
      <c r="A269">
        <f>IF($U269="","",IF(INDEX('Per Invoice'!A$2:A$401,$U269)="","",INDEX('Per Invoice'!A$2:A$401,$U269)))</f>
        <v/>
      </c>
      <c r="B269">
        <f>IF($U269="","",IF(INDEX('Per Invoice'!B$2:B$401,$U269)="","",INDEX('Per Invoice'!B$2:B$401,$U269)))</f>
        <v/>
      </c>
      <c r="C269">
        <f>IF($U269="","",IF(INDEX('Per Invoice'!C$2:C$401,$U269)="","",INDEX('Per Invoice'!C$2:C$401,$U269)))</f>
        <v/>
      </c>
      <c r="D269">
        <f>IF($U269="","",IF(INDEX('Per Invoice'!D$2:D$401,$U269)="","",INDEX('Per Invoice'!D$2:D$401,$U269)))</f>
        <v/>
      </c>
      <c r="E269">
        <f>IF($U269="","",IF(INDEX('Per Invoice'!E$2:E$401,$U269)="","",INDEX('Per Invoice'!E$2:E$401,$U269)))</f>
        <v/>
      </c>
      <c r="F269">
        <f>IF($U269="","",IF(INDEX('Per Invoice'!F$2:F$401,$U269)="","",INDEX('Per Invoice'!F$2:F$401,$U269)))</f>
        <v/>
      </c>
      <c r="G269">
        <f>IF($U269="","",IF(INDEX('Per Invoice'!G$2:G$401,$U269)="","",INDEX('Per Invoice'!G$2:G$401,$U269)))</f>
        <v/>
      </c>
      <c r="H269" s="7">
        <f>IF($U269="","",IF(INDEX('Per Invoice'!H$2:H$401,$U269)="","",INDEX('Per Invoice'!H$2:H$401,$U269)))</f>
        <v/>
      </c>
      <c r="I269" s="14">
        <f>IF($U269="","",IF(INDEX('Per Invoice'!I$2:I$401,$U269)="","",INDEX('Per Invoice'!I$2:I$401,$U269)))</f>
        <v/>
      </c>
      <c r="J269">
        <f>IF($U269="","",IF(INDEX('Per Invoice'!J$2:J$401,$U269)="","",INDEX('Per Invoice'!J$2:J$401,$U269)))</f>
        <v/>
      </c>
      <c r="K269">
        <f>IF($U269="","",IF(INDEX('Per Invoice'!K$2:K$401,$U269)="","",INDEX('Per Invoice'!K$2:K$401,$U269)))</f>
        <v/>
      </c>
      <c r="L269" s="7">
        <f>IF($U269="","",IF(INDEX('Per Invoice'!L$2:L$401,$U269)="","",INDEX('Per Invoice'!L$2:L$401,$U269)))</f>
        <v/>
      </c>
      <c r="M269" s="7">
        <f>IF($U269="","",IF(INDEX('Per Invoice'!M$2:M$401,$U269)="","",INDEX('Per Invoice'!M$2:M$401,$U269)))</f>
        <v/>
      </c>
      <c r="N269">
        <f>IF($U269="","",IF(INDEX('Per Invoice'!N$2:N$401,$U269)="","",INDEX('Per Invoice'!N$2:N$401,$U269)))</f>
        <v/>
      </c>
      <c r="O269" s="7">
        <f>IF($U269="","",IF(INDEX('Per Invoice'!O$2:O$401,$U269)="","",INDEX('Per Invoice'!O$2:O$401,$U269)))</f>
        <v/>
      </c>
      <c r="P269" s="7">
        <f>IF($U269="","",IF(INDEX('Per Invoice'!P$2:P$401,$U269)="","",INDEX('Per Invoice'!P$2:P$401,$U269)))</f>
        <v/>
      </c>
      <c r="Q269" s="7">
        <f>IF($U269="","",IF(INDEX('Per Invoice'!Q$2:Q$401,$U269)="","",INDEX('Per Invoice'!Q$2:Q$401,$U269)))</f>
        <v/>
      </c>
      <c r="R269" s="7">
        <f>IF($U269="","",IF(INDEX('Per Invoice'!R$2:R$401,$U269)="","",INDEX('Per Invoice'!R$2:R$401,$U269)))</f>
        <v/>
      </c>
      <c r="S269" s="7">
        <f>IF($U269="","",IF(INDEX('Per Invoice'!S$2:S$401,$U269)="","",INDEX('Per Invoice'!S$2:S$401,$U269)))</f>
        <v/>
      </c>
      <c r="T269" s="7">
        <f>IF($U269="","",IF(INDEX('Per Invoice'!T$2:T$401,$U269)="","",INDEX('Per Invoice'!T$2:T$401,$U269)))</f>
        <v/>
      </c>
      <c r="U269" s="16">
        <f>IFERROR(MATCH(Settings!$C$28&amp;"|"&amp;ROWS($U$2:$U269),'Per Invoice'!$V$2:$V$401,0),"")</f>
        <v/>
      </c>
    </row>
    <row r="270">
      <c r="A270">
        <f>IF($U270="","",IF(INDEX('Per Invoice'!A$2:A$401,$U270)="","",INDEX('Per Invoice'!A$2:A$401,$U270)))</f>
        <v/>
      </c>
      <c r="B270">
        <f>IF($U270="","",IF(INDEX('Per Invoice'!B$2:B$401,$U270)="","",INDEX('Per Invoice'!B$2:B$401,$U270)))</f>
        <v/>
      </c>
      <c r="C270">
        <f>IF($U270="","",IF(INDEX('Per Invoice'!C$2:C$401,$U270)="","",INDEX('Per Invoice'!C$2:C$401,$U270)))</f>
        <v/>
      </c>
      <c r="D270">
        <f>IF($U270="","",IF(INDEX('Per Invoice'!D$2:D$401,$U270)="","",INDEX('Per Invoice'!D$2:D$401,$U270)))</f>
        <v/>
      </c>
      <c r="E270">
        <f>IF($U270="","",IF(INDEX('Per Invoice'!E$2:E$401,$U270)="","",INDEX('Per Invoice'!E$2:E$401,$U270)))</f>
        <v/>
      </c>
      <c r="F270">
        <f>IF($U270="","",IF(INDEX('Per Invoice'!F$2:F$401,$U270)="","",INDEX('Per Invoice'!F$2:F$401,$U270)))</f>
        <v/>
      </c>
      <c r="G270">
        <f>IF($U270="","",IF(INDEX('Per Invoice'!G$2:G$401,$U270)="","",INDEX('Per Invoice'!G$2:G$401,$U270)))</f>
        <v/>
      </c>
      <c r="H270" s="7">
        <f>IF($U270="","",IF(INDEX('Per Invoice'!H$2:H$401,$U270)="","",INDEX('Per Invoice'!H$2:H$401,$U270)))</f>
        <v/>
      </c>
      <c r="I270" s="14">
        <f>IF($U270="","",IF(INDEX('Per Invoice'!I$2:I$401,$U270)="","",INDEX('Per Invoice'!I$2:I$401,$U270)))</f>
        <v/>
      </c>
      <c r="J270">
        <f>IF($U270="","",IF(INDEX('Per Invoice'!J$2:J$401,$U270)="","",INDEX('Per Invoice'!J$2:J$401,$U270)))</f>
        <v/>
      </c>
      <c r="K270">
        <f>IF($U270="","",IF(INDEX('Per Invoice'!K$2:K$401,$U270)="","",INDEX('Per Invoice'!K$2:K$401,$U270)))</f>
        <v/>
      </c>
      <c r="L270" s="7">
        <f>IF($U270="","",IF(INDEX('Per Invoice'!L$2:L$401,$U270)="","",INDEX('Per Invoice'!L$2:L$401,$U270)))</f>
        <v/>
      </c>
      <c r="M270" s="7">
        <f>IF($U270="","",IF(INDEX('Per Invoice'!M$2:M$401,$U270)="","",INDEX('Per Invoice'!M$2:M$401,$U270)))</f>
        <v/>
      </c>
      <c r="N270">
        <f>IF($U270="","",IF(INDEX('Per Invoice'!N$2:N$401,$U270)="","",INDEX('Per Invoice'!N$2:N$401,$U270)))</f>
        <v/>
      </c>
      <c r="O270" s="7">
        <f>IF($U270="","",IF(INDEX('Per Invoice'!O$2:O$401,$U270)="","",INDEX('Per Invoice'!O$2:O$401,$U270)))</f>
        <v/>
      </c>
      <c r="P270" s="7">
        <f>IF($U270="","",IF(INDEX('Per Invoice'!P$2:P$401,$U270)="","",INDEX('Per Invoice'!P$2:P$401,$U270)))</f>
        <v/>
      </c>
      <c r="Q270" s="7">
        <f>IF($U270="","",IF(INDEX('Per Invoice'!Q$2:Q$401,$U270)="","",INDEX('Per Invoice'!Q$2:Q$401,$U270)))</f>
        <v/>
      </c>
      <c r="R270" s="7">
        <f>IF($U270="","",IF(INDEX('Per Invoice'!R$2:R$401,$U270)="","",INDEX('Per Invoice'!R$2:R$401,$U270)))</f>
        <v/>
      </c>
      <c r="S270" s="7">
        <f>IF($U270="","",IF(INDEX('Per Invoice'!S$2:S$401,$U270)="","",INDEX('Per Invoice'!S$2:S$401,$U270)))</f>
        <v/>
      </c>
      <c r="T270" s="7">
        <f>IF($U270="","",IF(INDEX('Per Invoice'!T$2:T$401,$U270)="","",INDEX('Per Invoice'!T$2:T$401,$U270)))</f>
        <v/>
      </c>
      <c r="U270" s="16">
        <f>IFERROR(MATCH(Settings!$C$28&amp;"|"&amp;ROWS($U$2:$U270),'Per Invoice'!$V$2:$V$401,0),"")</f>
        <v/>
      </c>
    </row>
    <row r="271">
      <c r="A271">
        <f>IF($U271="","",IF(INDEX('Per Invoice'!A$2:A$401,$U271)="","",INDEX('Per Invoice'!A$2:A$401,$U271)))</f>
        <v/>
      </c>
      <c r="B271">
        <f>IF($U271="","",IF(INDEX('Per Invoice'!B$2:B$401,$U271)="","",INDEX('Per Invoice'!B$2:B$401,$U271)))</f>
        <v/>
      </c>
      <c r="C271">
        <f>IF($U271="","",IF(INDEX('Per Invoice'!C$2:C$401,$U271)="","",INDEX('Per Invoice'!C$2:C$401,$U271)))</f>
        <v/>
      </c>
      <c r="D271">
        <f>IF($U271="","",IF(INDEX('Per Invoice'!D$2:D$401,$U271)="","",INDEX('Per Invoice'!D$2:D$401,$U271)))</f>
        <v/>
      </c>
      <c r="E271">
        <f>IF($U271="","",IF(INDEX('Per Invoice'!E$2:E$401,$U271)="","",INDEX('Per Invoice'!E$2:E$401,$U271)))</f>
        <v/>
      </c>
      <c r="F271">
        <f>IF($U271="","",IF(INDEX('Per Invoice'!F$2:F$401,$U271)="","",INDEX('Per Invoice'!F$2:F$401,$U271)))</f>
        <v/>
      </c>
      <c r="G271">
        <f>IF($U271="","",IF(INDEX('Per Invoice'!G$2:G$401,$U271)="","",INDEX('Per Invoice'!G$2:G$401,$U271)))</f>
        <v/>
      </c>
      <c r="H271" s="7">
        <f>IF($U271="","",IF(INDEX('Per Invoice'!H$2:H$401,$U271)="","",INDEX('Per Invoice'!H$2:H$401,$U271)))</f>
        <v/>
      </c>
      <c r="I271" s="14">
        <f>IF($U271="","",IF(INDEX('Per Invoice'!I$2:I$401,$U271)="","",INDEX('Per Invoice'!I$2:I$401,$U271)))</f>
        <v/>
      </c>
      <c r="J271">
        <f>IF($U271="","",IF(INDEX('Per Invoice'!J$2:J$401,$U271)="","",INDEX('Per Invoice'!J$2:J$401,$U271)))</f>
        <v/>
      </c>
      <c r="K271">
        <f>IF($U271="","",IF(INDEX('Per Invoice'!K$2:K$401,$U271)="","",INDEX('Per Invoice'!K$2:K$401,$U271)))</f>
        <v/>
      </c>
      <c r="L271" s="7">
        <f>IF($U271="","",IF(INDEX('Per Invoice'!L$2:L$401,$U271)="","",INDEX('Per Invoice'!L$2:L$401,$U271)))</f>
        <v/>
      </c>
      <c r="M271" s="7">
        <f>IF($U271="","",IF(INDEX('Per Invoice'!M$2:M$401,$U271)="","",INDEX('Per Invoice'!M$2:M$401,$U271)))</f>
        <v/>
      </c>
      <c r="N271">
        <f>IF($U271="","",IF(INDEX('Per Invoice'!N$2:N$401,$U271)="","",INDEX('Per Invoice'!N$2:N$401,$U271)))</f>
        <v/>
      </c>
      <c r="O271" s="7">
        <f>IF($U271="","",IF(INDEX('Per Invoice'!O$2:O$401,$U271)="","",INDEX('Per Invoice'!O$2:O$401,$U271)))</f>
        <v/>
      </c>
      <c r="P271" s="7">
        <f>IF($U271="","",IF(INDEX('Per Invoice'!P$2:P$401,$U271)="","",INDEX('Per Invoice'!P$2:P$401,$U271)))</f>
        <v/>
      </c>
      <c r="Q271" s="7">
        <f>IF($U271="","",IF(INDEX('Per Invoice'!Q$2:Q$401,$U271)="","",INDEX('Per Invoice'!Q$2:Q$401,$U271)))</f>
        <v/>
      </c>
      <c r="R271" s="7">
        <f>IF($U271="","",IF(INDEX('Per Invoice'!R$2:R$401,$U271)="","",INDEX('Per Invoice'!R$2:R$401,$U271)))</f>
        <v/>
      </c>
      <c r="S271" s="7">
        <f>IF($U271="","",IF(INDEX('Per Invoice'!S$2:S$401,$U271)="","",INDEX('Per Invoice'!S$2:S$401,$U271)))</f>
        <v/>
      </c>
      <c r="T271" s="7">
        <f>IF($U271="","",IF(INDEX('Per Invoice'!T$2:T$401,$U271)="","",INDEX('Per Invoice'!T$2:T$401,$U271)))</f>
        <v/>
      </c>
      <c r="U271" s="16">
        <f>IFERROR(MATCH(Settings!$C$28&amp;"|"&amp;ROWS($U$2:$U271),'Per Invoice'!$V$2:$V$401,0),"")</f>
        <v/>
      </c>
    </row>
    <row r="272">
      <c r="A272">
        <f>IF($U272="","",IF(INDEX('Per Invoice'!A$2:A$401,$U272)="","",INDEX('Per Invoice'!A$2:A$401,$U272)))</f>
        <v/>
      </c>
      <c r="B272">
        <f>IF($U272="","",IF(INDEX('Per Invoice'!B$2:B$401,$U272)="","",INDEX('Per Invoice'!B$2:B$401,$U272)))</f>
        <v/>
      </c>
      <c r="C272">
        <f>IF($U272="","",IF(INDEX('Per Invoice'!C$2:C$401,$U272)="","",INDEX('Per Invoice'!C$2:C$401,$U272)))</f>
        <v/>
      </c>
      <c r="D272">
        <f>IF($U272="","",IF(INDEX('Per Invoice'!D$2:D$401,$U272)="","",INDEX('Per Invoice'!D$2:D$401,$U272)))</f>
        <v/>
      </c>
      <c r="E272">
        <f>IF($U272="","",IF(INDEX('Per Invoice'!E$2:E$401,$U272)="","",INDEX('Per Invoice'!E$2:E$401,$U272)))</f>
        <v/>
      </c>
      <c r="F272">
        <f>IF($U272="","",IF(INDEX('Per Invoice'!F$2:F$401,$U272)="","",INDEX('Per Invoice'!F$2:F$401,$U272)))</f>
        <v/>
      </c>
      <c r="G272">
        <f>IF($U272="","",IF(INDEX('Per Invoice'!G$2:G$401,$U272)="","",INDEX('Per Invoice'!G$2:G$401,$U272)))</f>
        <v/>
      </c>
      <c r="H272" s="7">
        <f>IF($U272="","",IF(INDEX('Per Invoice'!H$2:H$401,$U272)="","",INDEX('Per Invoice'!H$2:H$401,$U272)))</f>
        <v/>
      </c>
      <c r="I272" s="14">
        <f>IF($U272="","",IF(INDEX('Per Invoice'!I$2:I$401,$U272)="","",INDEX('Per Invoice'!I$2:I$401,$U272)))</f>
        <v/>
      </c>
      <c r="J272">
        <f>IF($U272="","",IF(INDEX('Per Invoice'!J$2:J$401,$U272)="","",INDEX('Per Invoice'!J$2:J$401,$U272)))</f>
        <v/>
      </c>
      <c r="K272">
        <f>IF($U272="","",IF(INDEX('Per Invoice'!K$2:K$401,$U272)="","",INDEX('Per Invoice'!K$2:K$401,$U272)))</f>
        <v/>
      </c>
      <c r="L272" s="7">
        <f>IF($U272="","",IF(INDEX('Per Invoice'!L$2:L$401,$U272)="","",INDEX('Per Invoice'!L$2:L$401,$U272)))</f>
        <v/>
      </c>
      <c r="M272" s="7">
        <f>IF($U272="","",IF(INDEX('Per Invoice'!M$2:M$401,$U272)="","",INDEX('Per Invoice'!M$2:M$401,$U272)))</f>
        <v/>
      </c>
      <c r="N272">
        <f>IF($U272="","",IF(INDEX('Per Invoice'!N$2:N$401,$U272)="","",INDEX('Per Invoice'!N$2:N$401,$U272)))</f>
        <v/>
      </c>
      <c r="O272" s="7">
        <f>IF($U272="","",IF(INDEX('Per Invoice'!O$2:O$401,$U272)="","",INDEX('Per Invoice'!O$2:O$401,$U272)))</f>
        <v/>
      </c>
      <c r="P272" s="7">
        <f>IF($U272="","",IF(INDEX('Per Invoice'!P$2:P$401,$U272)="","",INDEX('Per Invoice'!P$2:P$401,$U272)))</f>
        <v/>
      </c>
      <c r="Q272" s="7">
        <f>IF($U272="","",IF(INDEX('Per Invoice'!Q$2:Q$401,$U272)="","",INDEX('Per Invoice'!Q$2:Q$401,$U272)))</f>
        <v/>
      </c>
      <c r="R272" s="7">
        <f>IF($U272="","",IF(INDEX('Per Invoice'!R$2:R$401,$U272)="","",INDEX('Per Invoice'!R$2:R$401,$U272)))</f>
        <v/>
      </c>
      <c r="S272" s="7">
        <f>IF($U272="","",IF(INDEX('Per Invoice'!S$2:S$401,$U272)="","",INDEX('Per Invoice'!S$2:S$401,$U272)))</f>
        <v/>
      </c>
      <c r="T272" s="7">
        <f>IF($U272="","",IF(INDEX('Per Invoice'!T$2:T$401,$U272)="","",INDEX('Per Invoice'!T$2:T$401,$U272)))</f>
        <v/>
      </c>
      <c r="U272" s="16">
        <f>IFERROR(MATCH(Settings!$C$28&amp;"|"&amp;ROWS($U$2:$U272),'Per Invoice'!$V$2:$V$401,0),"")</f>
        <v/>
      </c>
    </row>
    <row r="273">
      <c r="A273">
        <f>IF($U273="","",IF(INDEX('Per Invoice'!A$2:A$401,$U273)="","",INDEX('Per Invoice'!A$2:A$401,$U273)))</f>
        <v/>
      </c>
      <c r="B273">
        <f>IF($U273="","",IF(INDEX('Per Invoice'!B$2:B$401,$U273)="","",INDEX('Per Invoice'!B$2:B$401,$U273)))</f>
        <v/>
      </c>
      <c r="C273">
        <f>IF($U273="","",IF(INDEX('Per Invoice'!C$2:C$401,$U273)="","",INDEX('Per Invoice'!C$2:C$401,$U273)))</f>
        <v/>
      </c>
      <c r="D273">
        <f>IF($U273="","",IF(INDEX('Per Invoice'!D$2:D$401,$U273)="","",INDEX('Per Invoice'!D$2:D$401,$U273)))</f>
        <v/>
      </c>
      <c r="E273">
        <f>IF($U273="","",IF(INDEX('Per Invoice'!E$2:E$401,$U273)="","",INDEX('Per Invoice'!E$2:E$401,$U273)))</f>
        <v/>
      </c>
      <c r="F273">
        <f>IF($U273="","",IF(INDEX('Per Invoice'!F$2:F$401,$U273)="","",INDEX('Per Invoice'!F$2:F$401,$U273)))</f>
        <v/>
      </c>
      <c r="G273">
        <f>IF($U273="","",IF(INDEX('Per Invoice'!G$2:G$401,$U273)="","",INDEX('Per Invoice'!G$2:G$401,$U273)))</f>
        <v/>
      </c>
      <c r="H273" s="7">
        <f>IF($U273="","",IF(INDEX('Per Invoice'!H$2:H$401,$U273)="","",INDEX('Per Invoice'!H$2:H$401,$U273)))</f>
        <v/>
      </c>
      <c r="I273" s="14">
        <f>IF($U273="","",IF(INDEX('Per Invoice'!I$2:I$401,$U273)="","",INDEX('Per Invoice'!I$2:I$401,$U273)))</f>
        <v/>
      </c>
      <c r="J273">
        <f>IF($U273="","",IF(INDEX('Per Invoice'!J$2:J$401,$U273)="","",INDEX('Per Invoice'!J$2:J$401,$U273)))</f>
        <v/>
      </c>
      <c r="K273">
        <f>IF($U273="","",IF(INDEX('Per Invoice'!K$2:K$401,$U273)="","",INDEX('Per Invoice'!K$2:K$401,$U273)))</f>
        <v/>
      </c>
      <c r="L273" s="7">
        <f>IF($U273="","",IF(INDEX('Per Invoice'!L$2:L$401,$U273)="","",INDEX('Per Invoice'!L$2:L$401,$U273)))</f>
        <v/>
      </c>
      <c r="M273" s="7">
        <f>IF($U273="","",IF(INDEX('Per Invoice'!M$2:M$401,$U273)="","",INDEX('Per Invoice'!M$2:M$401,$U273)))</f>
        <v/>
      </c>
      <c r="N273">
        <f>IF($U273="","",IF(INDEX('Per Invoice'!N$2:N$401,$U273)="","",INDEX('Per Invoice'!N$2:N$401,$U273)))</f>
        <v/>
      </c>
      <c r="O273" s="7">
        <f>IF($U273="","",IF(INDEX('Per Invoice'!O$2:O$401,$U273)="","",INDEX('Per Invoice'!O$2:O$401,$U273)))</f>
        <v/>
      </c>
      <c r="P273" s="7">
        <f>IF($U273="","",IF(INDEX('Per Invoice'!P$2:P$401,$U273)="","",INDEX('Per Invoice'!P$2:P$401,$U273)))</f>
        <v/>
      </c>
      <c r="Q273" s="7">
        <f>IF($U273="","",IF(INDEX('Per Invoice'!Q$2:Q$401,$U273)="","",INDEX('Per Invoice'!Q$2:Q$401,$U273)))</f>
        <v/>
      </c>
      <c r="R273" s="7">
        <f>IF($U273="","",IF(INDEX('Per Invoice'!R$2:R$401,$U273)="","",INDEX('Per Invoice'!R$2:R$401,$U273)))</f>
        <v/>
      </c>
      <c r="S273" s="7">
        <f>IF($U273="","",IF(INDEX('Per Invoice'!S$2:S$401,$U273)="","",INDEX('Per Invoice'!S$2:S$401,$U273)))</f>
        <v/>
      </c>
      <c r="T273" s="7">
        <f>IF($U273="","",IF(INDEX('Per Invoice'!T$2:T$401,$U273)="","",INDEX('Per Invoice'!T$2:T$401,$U273)))</f>
        <v/>
      </c>
      <c r="U273" s="16">
        <f>IFERROR(MATCH(Settings!$C$28&amp;"|"&amp;ROWS($U$2:$U273),'Per Invoice'!$V$2:$V$401,0),"")</f>
        <v/>
      </c>
    </row>
    <row r="274">
      <c r="A274">
        <f>IF($U274="","",IF(INDEX('Per Invoice'!A$2:A$401,$U274)="","",INDEX('Per Invoice'!A$2:A$401,$U274)))</f>
        <v/>
      </c>
      <c r="B274">
        <f>IF($U274="","",IF(INDEX('Per Invoice'!B$2:B$401,$U274)="","",INDEX('Per Invoice'!B$2:B$401,$U274)))</f>
        <v/>
      </c>
      <c r="C274">
        <f>IF($U274="","",IF(INDEX('Per Invoice'!C$2:C$401,$U274)="","",INDEX('Per Invoice'!C$2:C$401,$U274)))</f>
        <v/>
      </c>
      <c r="D274">
        <f>IF($U274="","",IF(INDEX('Per Invoice'!D$2:D$401,$U274)="","",INDEX('Per Invoice'!D$2:D$401,$U274)))</f>
        <v/>
      </c>
      <c r="E274">
        <f>IF($U274="","",IF(INDEX('Per Invoice'!E$2:E$401,$U274)="","",INDEX('Per Invoice'!E$2:E$401,$U274)))</f>
        <v/>
      </c>
      <c r="F274">
        <f>IF($U274="","",IF(INDEX('Per Invoice'!F$2:F$401,$U274)="","",INDEX('Per Invoice'!F$2:F$401,$U274)))</f>
        <v/>
      </c>
      <c r="G274">
        <f>IF($U274="","",IF(INDEX('Per Invoice'!G$2:G$401,$U274)="","",INDEX('Per Invoice'!G$2:G$401,$U274)))</f>
        <v/>
      </c>
      <c r="H274" s="7">
        <f>IF($U274="","",IF(INDEX('Per Invoice'!H$2:H$401,$U274)="","",INDEX('Per Invoice'!H$2:H$401,$U274)))</f>
        <v/>
      </c>
      <c r="I274" s="14">
        <f>IF($U274="","",IF(INDEX('Per Invoice'!I$2:I$401,$U274)="","",INDEX('Per Invoice'!I$2:I$401,$U274)))</f>
        <v/>
      </c>
      <c r="J274">
        <f>IF($U274="","",IF(INDEX('Per Invoice'!J$2:J$401,$U274)="","",INDEX('Per Invoice'!J$2:J$401,$U274)))</f>
        <v/>
      </c>
      <c r="K274">
        <f>IF($U274="","",IF(INDEX('Per Invoice'!K$2:K$401,$U274)="","",INDEX('Per Invoice'!K$2:K$401,$U274)))</f>
        <v/>
      </c>
      <c r="L274" s="7">
        <f>IF($U274="","",IF(INDEX('Per Invoice'!L$2:L$401,$U274)="","",INDEX('Per Invoice'!L$2:L$401,$U274)))</f>
        <v/>
      </c>
      <c r="M274" s="7">
        <f>IF($U274="","",IF(INDEX('Per Invoice'!M$2:M$401,$U274)="","",INDEX('Per Invoice'!M$2:M$401,$U274)))</f>
        <v/>
      </c>
      <c r="N274">
        <f>IF($U274="","",IF(INDEX('Per Invoice'!N$2:N$401,$U274)="","",INDEX('Per Invoice'!N$2:N$401,$U274)))</f>
        <v/>
      </c>
      <c r="O274" s="7">
        <f>IF($U274="","",IF(INDEX('Per Invoice'!O$2:O$401,$U274)="","",INDEX('Per Invoice'!O$2:O$401,$U274)))</f>
        <v/>
      </c>
      <c r="P274" s="7">
        <f>IF($U274="","",IF(INDEX('Per Invoice'!P$2:P$401,$U274)="","",INDEX('Per Invoice'!P$2:P$401,$U274)))</f>
        <v/>
      </c>
      <c r="Q274" s="7">
        <f>IF($U274="","",IF(INDEX('Per Invoice'!Q$2:Q$401,$U274)="","",INDEX('Per Invoice'!Q$2:Q$401,$U274)))</f>
        <v/>
      </c>
      <c r="R274" s="7">
        <f>IF($U274="","",IF(INDEX('Per Invoice'!R$2:R$401,$U274)="","",INDEX('Per Invoice'!R$2:R$401,$U274)))</f>
        <v/>
      </c>
      <c r="S274" s="7">
        <f>IF($U274="","",IF(INDEX('Per Invoice'!S$2:S$401,$U274)="","",INDEX('Per Invoice'!S$2:S$401,$U274)))</f>
        <v/>
      </c>
      <c r="T274" s="7">
        <f>IF($U274="","",IF(INDEX('Per Invoice'!T$2:T$401,$U274)="","",INDEX('Per Invoice'!T$2:T$401,$U274)))</f>
        <v/>
      </c>
      <c r="U274" s="16">
        <f>IFERROR(MATCH(Settings!$C$28&amp;"|"&amp;ROWS($U$2:$U274),'Per Invoice'!$V$2:$V$401,0),"")</f>
        <v/>
      </c>
    </row>
    <row r="275">
      <c r="A275">
        <f>IF($U275="","",IF(INDEX('Per Invoice'!A$2:A$401,$U275)="","",INDEX('Per Invoice'!A$2:A$401,$U275)))</f>
        <v/>
      </c>
      <c r="B275">
        <f>IF($U275="","",IF(INDEX('Per Invoice'!B$2:B$401,$U275)="","",INDEX('Per Invoice'!B$2:B$401,$U275)))</f>
        <v/>
      </c>
      <c r="C275">
        <f>IF($U275="","",IF(INDEX('Per Invoice'!C$2:C$401,$U275)="","",INDEX('Per Invoice'!C$2:C$401,$U275)))</f>
        <v/>
      </c>
      <c r="D275">
        <f>IF($U275="","",IF(INDEX('Per Invoice'!D$2:D$401,$U275)="","",INDEX('Per Invoice'!D$2:D$401,$U275)))</f>
        <v/>
      </c>
      <c r="E275">
        <f>IF($U275="","",IF(INDEX('Per Invoice'!E$2:E$401,$U275)="","",INDEX('Per Invoice'!E$2:E$401,$U275)))</f>
        <v/>
      </c>
      <c r="F275">
        <f>IF($U275="","",IF(INDEX('Per Invoice'!F$2:F$401,$U275)="","",INDEX('Per Invoice'!F$2:F$401,$U275)))</f>
        <v/>
      </c>
      <c r="G275">
        <f>IF($U275="","",IF(INDEX('Per Invoice'!G$2:G$401,$U275)="","",INDEX('Per Invoice'!G$2:G$401,$U275)))</f>
        <v/>
      </c>
      <c r="H275" s="7">
        <f>IF($U275="","",IF(INDEX('Per Invoice'!H$2:H$401,$U275)="","",INDEX('Per Invoice'!H$2:H$401,$U275)))</f>
        <v/>
      </c>
      <c r="I275" s="14">
        <f>IF($U275="","",IF(INDEX('Per Invoice'!I$2:I$401,$U275)="","",INDEX('Per Invoice'!I$2:I$401,$U275)))</f>
        <v/>
      </c>
      <c r="J275">
        <f>IF($U275="","",IF(INDEX('Per Invoice'!J$2:J$401,$U275)="","",INDEX('Per Invoice'!J$2:J$401,$U275)))</f>
        <v/>
      </c>
      <c r="K275">
        <f>IF($U275="","",IF(INDEX('Per Invoice'!K$2:K$401,$U275)="","",INDEX('Per Invoice'!K$2:K$401,$U275)))</f>
        <v/>
      </c>
      <c r="L275" s="7">
        <f>IF($U275="","",IF(INDEX('Per Invoice'!L$2:L$401,$U275)="","",INDEX('Per Invoice'!L$2:L$401,$U275)))</f>
        <v/>
      </c>
      <c r="M275" s="7">
        <f>IF($U275="","",IF(INDEX('Per Invoice'!M$2:M$401,$U275)="","",INDEX('Per Invoice'!M$2:M$401,$U275)))</f>
        <v/>
      </c>
      <c r="N275">
        <f>IF($U275="","",IF(INDEX('Per Invoice'!N$2:N$401,$U275)="","",INDEX('Per Invoice'!N$2:N$401,$U275)))</f>
        <v/>
      </c>
      <c r="O275" s="7">
        <f>IF($U275="","",IF(INDEX('Per Invoice'!O$2:O$401,$U275)="","",INDEX('Per Invoice'!O$2:O$401,$U275)))</f>
        <v/>
      </c>
      <c r="P275" s="7">
        <f>IF($U275="","",IF(INDEX('Per Invoice'!P$2:P$401,$U275)="","",INDEX('Per Invoice'!P$2:P$401,$U275)))</f>
        <v/>
      </c>
      <c r="Q275" s="7">
        <f>IF($U275="","",IF(INDEX('Per Invoice'!Q$2:Q$401,$U275)="","",INDEX('Per Invoice'!Q$2:Q$401,$U275)))</f>
        <v/>
      </c>
      <c r="R275" s="7">
        <f>IF($U275="","",IF(INDEX('Per Invoice'!R$2:R$401,$U275)="","",INDEX('Per Invoice'!R$2:R$401,$U275)))</f>
        <v/>
      </c>
      <c r="S275" s="7">
        <f>IF($U275="","",IF(INDEX('Per Invoice'!S$2:S$401,$U275)="","",INDEX('Per Invoice'!S$2:S$401,$U275)))</f>
        <v/>
      </c>
      <c r="T275" s="7">
        <f>IF($U275="","",IF(INDEX('Per Invoice'!T$2:T$401,$U275)="","",INDEX('Per Invoice'!T$2:T$401,$U275)))</f>
        <v/>
      </c>
      <c r="U275" s="16">
        <f>IFERROR(MATCH(Settings!$C$28&amp;"|"&amp;ROWS($U$2:$U275),'Per Invoice'!$V$2:$V$401,0),"")</f>
        <v/>
      </c>
    </row>
    <row r="276">
      <c r="A276">
        <f>IF($U276="","",IF(INDEX('Per Invoice'!A$2:A$401,$U276)="","",INDEX('Per Invoice'!A$2:A$401,$U276)))</f>
        <v/>
      </c>
      <c r="B276">
        <f>IF($U276="","",IF(INDEX('Per Invoice'!B$2:B$401,$U276)="","",INDEX('Per Invoice'!B$2:B$401,$U276)))</f>
        <v/>
      </c>
      <c r="C276">
        <f>IF($U276="","",IF(INDEX('Per Invoice'!C$2:C$401,$U276)="","",INDEX('Per Invoice'!C$2:C$401,$U276)))</f>
        <v/>
      </c>
      <c r="D276">
        <f>IF($U276="","",IF(INDEX('Per Invoice'!D$2:D$401,$U276)="","",INDEX('Per Invoice'!D$2:D$401,$U276)))</f>
        <v/>
      </c>
      <c r="E276">
        <f>IF($U276="","",IF(INDEX('Per Invoice'!E$2:E$401,$U276)="","",INDEX('Per Invoice'!E$2:E$401,$U276)))</f>
        <v/>
      </c>
      <c r="F276">
        <f>IF($U276="","",IF(INDEX('Per Invoice'!F$2:F$401,$U276)="","",INDEX('Per Invoice'!F$2:F$401,$U276)))</f>
        <v/>
      </c>
      <c r="G276">
        <f>IF($U276="","",IF(INDEX('Per Invoice'!G$2:G$401,$U276)="","",INDEX('Per Invoice'!G$2:G$401,$U276)))</f>
        <v/>
      </c>
      <c r="H276" s="7">
        <f>IF($U276="","",IF(INDEX('Per Invoice'!H$2:H$401,$U276)="","",INDEX('Per Invoice'!H$2:H$401,$U276)))</f>
        <v/>
      </c>
      <c r="I276" s="14">
        <f>IF($U276="","",IF(INDEX('Per Invoice'!I$2:I$401,$U276)="","",INDEX('Per Invoice'!I$2:I$401,$U276)))</f>
        <v/>
      </c>
      <c r="J276">
        <f>IF($U276="","",IF(INDEX('Per Invoice'!J$2:J$401,$U276)="","",INDEX('Per Invoice'!J$2:J$401,$U276)))</f>
        <v/>
      </c>
      <c r="K276">
        <f>IF($U276="","",IF(INDEX('Per Invoice'!K$2:K$401,$U276)="","",INDEX('Per Invoice'!K$2:K$401,$U276)))</f>
        <v/>
      </c>
      <c r="L276" s="7">
        <f>IF($U276="","",IF(INDEX('Per Invoice'!L$2:L$401,$U276)="","",INDEX('Per Invoice'!L$2:L$401,$U276)))</f>
        <v/>
      </c>
      <c r="M276" s="7">
        <f>IF($U276="","",IF(INDEX('Per Invoice'!M$2:M$401,$U276)="","",INDEX('Per Invoice'!M$2:M$401,$U276)))</f>
        <v/>
      </c>
      <c r="N276">
        <f>IF($U276="","",IF(INDEX('Per Invoice'!N$2:N$401,$U276)="","",INDEX('Per Invoice'!N$2:N$401,$U276)))</f>
        <v/>
      </c>
      <c r="O276" s="7">
        <f>IF($U276="","",IF(INDEX('Per Invoice'!O$2:O$401,$U276)="","",INDEX('Per Invoice'!O$2:O$401,$U276)))</f>
        <v/>
      </c>
      <c r="P276" s="7">
        <f>IF($U276="","",IF(INDEX('Per Invoice'!P$2:P$401,$U276)="","",INDEX('Per Invoice'!P$2:P$401,$U276)))</f>
        <v/>
      </c>
      <c r="Q276" s="7">
        <f>IF($U276="","",IF(INDEX('Per Invoice'!Q$2:Q$401,$U276)="","",INDEX('Per Invoice'!Q$2:Q$401,$U276)))</f>
        <v/>
      </c>
      <c r="R276" s="7">
        <f>IF($U276="","",IF(INDEX('Per Invoice'!R$2:R$401,$U276)="","",INDEX('Per Invoice'!R$2:R$401,$U276)))</f>
        <v/>
      </c>
      <c r="S276" s="7">
        <f>IF($U276="","",IF(INDEX('Per Invoice'!S$2:S$401,$U276)="","",INDEX('Per Invoice'!S$2:S$401,$U276)))</f>
        <v/>
      </c>
      <c r="T276" s="7">
        <f>IF($U276="","",IF(INDEX('Per Invoice'!T$2:T$401,$U276)="","",INDEX('Per Invoice'!T$2:T$401,$U276)))</f>
        <v/>
      </c>
      <c r="U276" s="16">
        <f>IFERROR(MATCH(Settings!$C$28&amp;"|"&amp;ROWS($U$2:$U276),'Per Invoice'!$V$2:$V$401,0),"")</f>
        <v/>
      </c>
    </row>
    <row r="277">
      <c r="A277">
        <f>IF($U277="","",IF(INDEX('Per Invoice'!A$2:A$401,$U277)="","",INDEX('Per Invoice'!A$2:A$401,$U277)))</f>
        <v/>
      </c>
      <c r="B277">
        <f>IF($U277="","",IF(INDEX('Per Invoice'!B$2:B$401,$U277)="","",INDEX('Per Invoice'!B$2:B$401,$U277)))</f>
        <v/>
      </c>
      <c r="C277">
        <f>IF($U277="","",IF(INDEX('Per Invoice'!C$2:C$401,$U277)="","",INDEX('Per Invoice'!C$2:C$401,$U277)))</f>
        <v/>
      </c>
      <c r="D277">
        <f>IF($U277="","",IF(INDEX('Per Invoice'!D$2:D$401,$U277)="","",INDEX('Per Invoice'!D$2:D$401,$U277)))</f>
        <v/>
      </c>
      <c r="E277">
        <f>IF($U277="","",IF(INDEX('Per Invoice'!E$2:E$401,$U277)="","",INDEX('Per Invoice'!E$2:E$401,$U277)))</f>
        <v/>
      </c>
      <c r="F277">
        <f>IF($U277="","",IF(INDEX('Per Invoice'!F$2:F$401,$U277)="","",INDEX('Per Invoice'!F$2:F$401,$U277)))</f>
        <v/>
      </c>
      <c r="G277">
        <f>IF($U277="","",IF(INDEX('Per Invoice'!G$2:G$401,$U277)="","",INDEX('Per Invoice'!G$2:G$401,$U277)))</f>
        <v/>
      </c>
      <c r="H277" s="7">
        <f>IF($U277="","",IF(INDEX('Per Invoice'!H$2:H$401,$U277)="","",INDEX('Per Invoice'!H$2:H$401,$U277)))</f>
        <v/>
      </c>
      <c r="I277" s="14">
        <f>IF($U277="","",IF(INDEX('Per Invoice'!I$2:I$401,$U277)="","",INDEX('Per Invoice'!I$2:I$401,$U277)))</f>
        <v/>
      </c>
      <c r="J277">
        <f>IF($U277="","",IF(INDEX('Per Invoice'!J$2:J$401,$U277)="","",INDEX('Per Invoice'!J$2:J$401,$U277)))</f>
        <v/>
      </c>
      <c r="K277">
        <f>IF($U277="","",IF(INDEX('Per Invoice'!K$2:K$401,$U277)="","",INDEX('Per Invoice'!K$2:K$401,$U277)))</f>
        <v/>
      </c>
      <c r="L277" s="7">
        <f>IF($U277="","",IF(INDEX('Per Invoice'!L$2:L$401,$U277)="","",INDEX('Per Invoice'!L$2:L$401,$U277)))</f>
        <v/>
      </c>
      <c r="M277" s="7">
        <f>IF($U277="","",IF(INDEX('Per Invoice'!M$2:M$401,$U277)="","",INDEX('Per Invoice'!M$2:M$401,$U277)))</f>
        <v/>
      </c>
      <c r="N277">
        <f>IF($U277="","",IF(INDEX('Per Invoice'!N$2:N$401,$U277)="","",INDEX('Per Invoice'!N$2:N$401,$U277)))</f>
        <v/>
      </c>
      <c r="O277" s="7">
        <f>IF($U277="","",IF(INDEX('Per Invoice'!O$2:O$401,$U277)="","",INDEX('Per Invoice'!O$2:O$401,$U277)))</f>
        <v/>
      </c>
      <c r="P277" s="7">
        <f>IF($U277="","",IF(INDEX('Per Invoice'!P$2:P$401,$U277)="","",INDEX('Per Invoice'!P$2:P$401,$U277)))</f>
        <v/>
      </c>
      <c r="Q277" s="7">
        <f>IF($U277="","",IF(INDEX('Per Invoice'!Q$2:Q$401,$U277)="","",INDEX('Per Invoice'!Q$2:Q$401,$U277)))</f>
        <v/>
      </c>
      <c r="R277" s="7">
        <f>IF($U277="","",IF(INDEX('Per Invoice'!R$2:R$401,$U277)="","",INDEX('Per Invoice'!R$2:R$401,$U277)))</f>
        <v/>
      </c>
      <c r="S277" s="7">
        <f>IF($U277="","",IF(INDEX('Per Invoice'!S$2:S$401,$U277)="","",INDEX('Per Invoice'!S$2:S$401,$U277)))</f>
        <v/>
      </c>
      <c r="T277" s="7">
        <f>IF($U277="","",IF(INDEX('Per Invoice'!T$2:T$401,$U277)="","",INDEX('Per Invoice'!T$2:T$401,$U277)))</f>
        <v/>
      </c>
      <c r="U277" s="16">
        <f>IFERROR(MATCH(Settings!$C$28&amp;"|"&amp;ROWS($U$2:$U277),'Per Invoice'!$V$2:$V$401,0),"")</f>
        <v/>
      </c>
    </row>
    <row r="278">
      <c r="A278">
        <f>IF($U278="","",IF(INDEX('Per Invoice'!A$2:A$401,$U278)="","",INDEX('Per Invoice'!A$2:A$401,$U278)))</f>
        <v/>
      </c>
      <c r="B278">
        <f>IF($U278="","",IF(INDEX('Per Invoice'!B$2:B$401,$U278)="","",INDEX('Per Invoice'!B$2:B$401,$U278)))</f>
        <v/>
      </c>
      <c r="C278">
        <f>IF($U278="","",IF(INDEX('Per Invoice'!C$2:C$401,$U278)="","",INDEX('Per Invoice'!C$2:C$401,$U278)))</f>
        <v/>
      </c>
      <c r="D278">
        <f>IF($U278="","",IF(INDEX('Per Invoice'!D$2:D$401,$U278)="","",INDEX('Per Invoice'!D$2:D$401,$U278)))</f>
        <v/>
      </c>
      <c r="E278">
        <f>IF($U278="","",IF(INDEX('Per Invoice'!E$2:E$401,$U278)="","",INDEX('Per Invoice'!E$2:E$401,$U278)))</f>
        <v/>
      </c>
      <c r="F278">
        <f>IF($U278="","",IF(INDEX('Per Invoice'!F$2:F$401,$U278)="","",INDEX('Per Invoice'!F$2:F$401,$U278)))</f>
        <v/>
      </c>
      <c r="G278">
        <f>IF($U278="","",IF(INDEX('Per Invoice'!G$2:G$401,$U278)="","",INDEX('Per Invoice'!G$2:G$401,$U278)))</f>
        <v/>
      </c>
      <c r="H278" s="7">
        <f>IF($U278="","",IF(INDEX('Per Invoice'!H$2:H$401,$U278)="","",INDEX('Per Invoice'!H$2:H$401,$U278)))</f>
        <v/>
      </c>
      <c r="I278" s="14">
        <f>IF($U278="","",IF(INDEX('Per Invoice'!I$2:I$401,$U278)="","",INDEX('Per Invoice'!I$2:I$401,$U278)))</f>
        <v/>
      </c>
      <c r="J278">
        <f>IF($U278="","",IF(INDEX('Per Invoice'!J$2:J$401,$U278)="","",INDEX('Per Invoice'!J$2:J$401,$U278)))</f>
        <v/>
      </c>
      <c r="K278">
        <f>IF($U278="","",IF(INDEX('Per Invoice'!K$2:K$401,$U278)="","",INDEX('Per Invoice'!K$2:K$401,$U278)))</f>
        <v/>
      </c>
      <c r="L278" s="7">
        <f>IF($U278="","",IF(INDEX('Per Invoice'!L$2:L$401,$U278)="","",INDEX('Per Invoice'!L$2:L$401,$U278)))</f>
        <v/>
      </c>
      <c r="M278" s="7">
        <f>IF($U278="","",IF(INDEX('Per Invoice'!M$2:M$401,$U278)="","",INDEX('Per Invoice'!M$2:M$401,$U278)))</f>
        <v/>
      </c>
      <c r="N278">
        <f>IF($U278="","",IF(INDEX('Per Invoice'!N$2:N$401,$U278)="","",INDEX('Per Invoice'!N$2:N$401,$U278)))</f>
        <v/>
      </c>
      <c r="O278" s="7">
        <f>IF($U278="","",IF(INDEX('Per Invoice'!O$2:O$401,$U278)="","",INDEX('Per Invoice'!O$2:O$401,$U278)))</f>
        <v/>
      </c>
      <c r="P278" s="7">
        <f>IF($U278="","",IF(INDEX('Per Invoice'!P$2:P$401,$U278)="","",INDEX('Per Invoice'!P$2:P$401,$U278)))</f>
        <v/>
      </c>
      <c r="Q278" s="7">
        <f>IF($U278="","",IF(INDEX('Per Invoice'!Q$2:Q$401,$U278)="","",INDEX('Per Invoice'!Q$2:Q$401,$U278)))</f>
        <v/>
      </c>
      <c r="R278" s="7">
        <f>IF($U278="","",IF(INDEX('Per Invoice'!R$2:R$401,$U278)="","",INDEX('Per Invoice'!R$2:R$401,$U278)))</f>
        <v/>
      </c>
      <c r="S278" s="7">
        <f>IF($U278="","",IF(INDEX('Per Invoice'!S$2:S$401,$U278)="","",INDEX('Per Invoice'!S$2:S$401,$U278)))</f>
        <v/>
      </c>
      <c r="T278" s="7">
        <f>IF($U278="","",IF(INDEX('Per Invoice'!T$2:T$401,$U278)="","",INDEX('Per Invoice'!T$2:T$401,$U278)))</f>
        <v/>
      </c>
      <c r="U278" s="16">
        <f>IFERROR(MATCH(Settings!$C$28&amp;"|"&amp;ROWS($U$2:$U278),'Per Invoice'!$V$2:$V$401,0),"")</f>
        <v/>
      </c>
    </row>
    <row r="279">
      <c r="A279">
        <f>IF($U279="","",IF(INDEX('Per Invoice'!A$2:A$401,$U279)="","",INDEX('Per Invoice'!A$2:A$401,$U279)))</f>
        <v/>
      </c>
      <c r="B279">
        <f>IF($U279="","",IF(INDEX('Per Invoice'!B$2:B$401,$U279)="","",INDEX('Per Invoice'!B$2:B$401,$U279)))</f>
        <v/>
      </c>
      <c r="C279">
        <f>IF($U279="","",IF(INDEX('Per Invoice'!C$2:C$401,$U279)="","",INDEX('Per Invoice'!C$2:C$401,$U279)))</f>
        <v/>
      </c>
      <c r="D279">
        <f>IF($U279="","",IF(INDEX('Per Invoice'!D$2:D$401,$U279)="","",INDEX('Per Invoice'!D$2:D$401,$U279)))</f>
        <v/>
      </c>
      <c r="E279">
        <f>IF($U279="","",IF(INDEX('Per Invoice'!E$2:E$401,$U279)="","",INDEX('Per Invoice'!E$2:E$401,$U279)))</f>
        <v/>
      </c>
      <c r="F279">
        <f>IF($U279="","",IF(INDEX('Per Invoice'!F$2:F$401,$U279)="","",INDEX('Per Invoice'!F$2:F$401,$U279)))</f>
        <v/>
      </c>
      <c r="G279">
        <f>IF($U279="","",IF(INDEX('Per Invoice'!G$2:G$401,$U279)="","",INDEX('Per Invoice'!G$2:G$401,$U279)))</f>
        <v/>
      </c>
      <c r="H279" s="7">
        <f>IF($U279="","",IF(INDEX('Per Invoice'!H$2:H$401,$U279)="","",INDEX('Per Invoice'!H$2:H$401,$U279)))</f>
        <v/>
      </c>
      <c r="I279" s="14">
        <f>IF($U279="","",IF(INDEX('Per Invoice'!I$2:I$401,$U279)="","",INDEX('Per Invoice'!I$2:I$401,$U279)))</f>
        <v/>
      </c>
      <c r="J279">
        <f>IF($U279="","",IF(INDEX('Per Invoice'!J$2:J$401,$U279)="","",INDEX('Per Invoice'!J$2:J$401,$U279)))</f>
        <v/>
      </c>
      <c r="K279">
        <f>IF($U279="","",IF(INDEX('Per Invoice'!K$2:K$401,$U279)="","",INDEX('Per Invoice'!K$2:K$401,$U279)))</f>
        <v/>
      </c>
      <c r="L279" s="7">
        <f>IF($U279="","",IF(INDEX('Per Invoice'!L$2:L$401,$U279)="","",INDEX('Per Invoice'!L$2:L$401,$U279)))</f>
        <v/>
      </c>
      <c r="M279" s="7">
        <f>IF($U279="","",IF(INDEX('Per Invoice'!M$2:M$401,$U279)="","",INDEX('Per Invoice'!M$2:M$401,$U279)))</f>
        <v/>
      </c>
      <c r="N279">
        <f>IF($U279="","",IF(INDEX('Per Invoice'!N$2:N$401,$U279)="","",INDEX('Per Invoice'!N$2:N$401,$U279)))</f>
        <v/>
      </c>
      <c r="O279" s="7">
        <f>IF($U279="","",IF(INDEX('Per Invoice'!O$2:O$401,$U279)="","",INDEX('Per Invoice'!O$2:O$401,$U279)))</f>
        <v/>
      </c>
      <c r="P279" s="7">
        <f>IF($U279="","",IF(INDEX('Per Invoice'!P$2:P$401,$U279)="","",INDEX('Per Invoice'!P$2:P$401,$U279)))</f>
        <v/>
      </c>
      <c r="Q279" s="7">
        <f>IF($U279="","",IF(INDEX('Per Invoice'!Q$2:Q$401,$U279)="","",INDEX('Per Invoice'!Q$2:Q$401,$U279)))</f>
        <v/>
      </c>
      <c r="R279" s="7">
        <f>IF($U279="","",IF(INDEX('Per Invoice'!R$2:R$401,$U279)="","",INDEX('Per Invoice'!R$2:R$401,$U279)))</f>
        <v/>
      </c>
      <c r="S279" s="7">
        <f>IF($U279="","",IF(INDEX('Per Invoice'!S$2:S$401,$U279)="","",INDEX('Per Invoice'!S$2:S$401,$U279)))</f>
        <v/>
      </c>
      <c r="T279" s="7">
        <f>IF($U279="","",IF(INDEX('Per Invoice'!T$2:T$401,$U279)="","",INDEX('Per Invoice'!T$2:T$401,$U279)))</f>
        <v/>
      </c>
      <c r="U279" s="16">
        <f>IFERROR(MATCH(Settings!$C$28&amp;"|"&amp;ROWS($U$2:$U279),'Per Invoice'!$V$2:$V$401,0),"")</f>
        <v/>
      </c>
    </row>
    <row r="280">
      <c r="A280">
        <f>IF($U280="","",IF(INDEX('Per Invoice'!A$2:A$401,$U280)="","",INDEX('Per Invoice'!A$2:A$401,$U280)))</f>
        <v/>
      </c>
      <c r="B280">
        <f>IF($U280="","",IF(INDEX('Per Invoice'!B$2:B$401,$U280)="","",INDEX('Per Invoice'!B$2:B$401,$U280)))</f>
        <v/>
      </c>
      <c r="C280">
        <f>IF($U280="","",IF(INDEX('Per Invoice'!C$2:C$401,$U280)="","",INDEX('Per Invoice'!C$2:C$401,$U280)))</f>
        <v/>
      </c>
      <c r="D280">
        <f>IF($U280="","",IF(INDEX('Per Invoice'!D$2:D$401,$U280)="","",INDEX('Per Invoice'!D$2:D$401,$U280)))</f>
        <v/>
      </c>
      <c r="E280">
        <f>IF($U280="","",IF(INDEX('Per Invoice'!E$2:E$401,$U280)="","",INDEX('Per Invoice'!E$2:E$401,$U280)))</f>
        <v/>
      </c>
      <c r="F280">
        <f>IF($U280="","",IF(INDEX('Per Invoice'!F$2:F$401,$U280)="","",INDEX('Per Invoice'!F$2:F$401,$U280)))</f>
        <v/>
      </c>
      <c r="G280">
        <f>IF($U280="","",IF(INDEX('Per Invoice'!G$2:G$401,$U280)="","",INDEX('Per Invoice'!G$2:G$401,$U280)))</f>
        <v/>
      </c>
      <c r="H280" s="7">
        <f>IF($U280="","",IF(INDEX('Per Invoice'!H$2:H$401,$U280)="","",INDEX('Per Invoice'!H$2:H$401,$U280)))</f>
        <v/>
      </c>
      <c r="I280" s="14">
        <f>IF($U280="","",IF(INDEX('Per Invoice'!I$2:I$401,$U280)="","",INDEX('Per Invoice'!I$2:I$401,$U280)))</f>
        <v/>
      </c>
      <c r="J280">
        <f>IF($U280="","",IF(INDEX('Per Invoice'!J$2:J$401,$U280)="","",INDEX('Per Invoice'!J$2:J$401,$U280)))</f>
        <v/>
      </c>
      <c r="K280">
        <f>IF($U280="","",IF(INDEX('Per Invoice'!K$2:K$401,$U280)="","",INDEX('Per Invoice'!K$2:K$401,$U280)))</f>
        <v/>
      </c>
      <c r="L280" s="7">
        <f>IF($U280="","",IF(INDEX('Per Invoice'!L$2:L$401,$U280)="","",INDEX('Per Invoice'!L$2:L$401,$U280)))</f>
        <v/>
      </c>
      <c r="M280" s="7">
        <f>IF($U280="","",IF(INDEX('Per Invoice'!M$2:M$401,$U280)="","",INDEX('Per Invoice'!M$2:M$401,$U280)))</f>
        <v/>
      </c>
      <c r="N280">
        <f>IF($U280="","",IF(INDEX('Per Invoice'!N$2:N$401,$U280)="","",INDEX('Per Invoice'!N$2:N$401,$U280)))</f>
        <v/>
      </c>
      <c r="O280" s="7">
        <f>IF($U280="","",IF(INDEX('Per Invoice'!O$2:O$401,$U280)="","",INDEX('Per Invoice'!O$2:O$401,$U280)))</f>
        <v/>
      </c>
      <c r="P280" s="7">
        <f>IF($U280="","",IF(INDEX('Per Invoice'!P$2:P$401,$U280)="","",INDEX('Per Invoice'!P$2:P$401,$U280)))</f>
        <v/>
      </c>
      <c r="Q280" s="7">
        <f>IF($U280="","",IF(INDEX('Per Invoice'!Q$2:Q$401,$U280)="","",INDEX('Per Invoice'!Q$2:Q$401,$U280)))</f>
        <v/>
      </c>
      <c r="R280" s="7">
        <f>IF($U280="","",IF(INDEX('Per Invoice'!R$2:R$401,$U280)="","",INDEX('Per Invoice'!R$2:R$401,$U280)))</f>
        <v/>
      </c>
      <c r="S280" s="7">
        <f>IF($U280="","",IF(INDEX('Per Invoice'!S$2:S$401,$U280)="","",INDEX('Per Invoice'!S$2:S$401,$U280)))</f>
        <v/>
      </c>
      <c r="T280" s="7">
        <f>IF($U280="","",IF(INDEX('Per Invoice'!T$2:T$401,$U280)="","",INDEX('Per Invoice'!T$2:T$401,$U280)))</f>
        <v/>
      </c>
      <c r="U280" s="16">
        <f>IFERROR(MATCH(Settings!$C$28&amp;"|"&amp;ROWS($U$2:$U280),'Per Invoice'!$V$2:$V$401,0),"")</f>
        <v/>
      </c>
    </row>
    <row r="281">
      <c r="A281">
        <f>IF($U281="","",IF(INDEX('Per Invoice'!A$2:A$401,$U281)="","",INDEX('Per Invoice'!A$2:A$401,$U281)))</f>
        <v/>
      </c>
      <c r="B281">
        <f>IF($U281="","",IF(INDEX('Per Invoice'!B$2:B$401,$U281)="","",INDEX('Per Invoice'!B$2:B$401,$U281)))</f>
        <v/>
      </c>
      <c r="C281">
        <f>IF($U281="","",IF(INDEX('Per Invoice'!C$2:C$401,$U281)="","",INDEX('Per Invoice'!C$2:C$401,$U281)))</f>
        <v/>
      </c>
      <c r="D281">
        <f>IF($U281="","",IF(INDEX('Per Invoice'!D$2:D$401,$U281)="","",INDEX('Per Invoice'!D$2:D$401,$U281)))</f>
        <v/>
      </c>
      <c r="E281">
        <f>IF($U281="","",IF(INDEX('Per Invoice'!E$2:E$401,$U281)="","",INDEX('Per Invoice'!E$2:E$401,$U281)))</f>
        <v/>
      </c>
      <c r="F281">
        <f>IF($U281="","",IF(INDEX('Per Invoice'!F$2:F$401,$U281)="","",INDEX('Per Invoice'!F$2:F$401,$U281)))</f>
        <v/>
      </c>
      <c r="G281">
        <f>IF($U281="","",IF(INDEX('Per Invoice'!G$2:G$401,$U281)="","",INDEX('Per Invoice'!G$2:G$401,$U281)))</f>
        <v/>
      </c>
      <c r="H281" s="7">
        <f>IF($U281="","",IF(INDEX('Per Invoice'!H$2:H$401,$U281)="","",INDEX('Per Invoice'!H$2:H$401,$U281)))</f>
        <v/>
      </c>
      <c r="I281" s="14">
        <f>IF($U281="","",IF(INDEX('Per Invoice'!I$2:I$401,$U281)="","",INDEX('Per Invoice'!I$2:I$401,$U281)))</f>
        <v/>
      </c>
      <c r="J281">
        <f>IF($U281="","",IF(INDEX('Per Invoice'!J$2:J$401,$U281)="","",INDEX('Per Invoice'!J$2:J$401,$U281)))</f>
        <v/>
      </c>
      <c r="K281">
        <f>IF($U281="","",IF(INDEX('Per Invoice'!K$2:K$401,$U281)="","",INDEX('Per Invoice'!K$2:K$401,$U281)))</f>
        <v/>
      </c>
      <c r="L281" s="7">
        <f>IF($U281="","",IF(INDEX('Per Invoice'!L$2:L$401,$U281)="","",INDEX('Per Invoice'!L$2:L$401,$U281)))</f>
        <v/>
      </c>
      <c r="M281" s="7">
        <f>IF($U281="","",IF(INDEX('Per Invoice'!M$2:M$401,$U281)="","",INDEX('Per Invoice'!M$2:M$401,$U281)))</f>
        <v/>
      </c>
      <c r="N281">
        <f>IF($U281="","",IF(INDEX('Per Invoice'!N$2:N$401,$U281)="","",INDEX('Per Invoice'!N$2:N$401,$U281)))</f>
        <v/>
      </c>
      <c r="O281" s="7">
        <f>IF($U281="","",IF(INDEX('Per Invoice'!O$2:O$401,$U281)="","",INDEX('Per Invoice'!O$2:O$401,$U281)))</f>
        <v/>
      </c>
      <c r="P281" s="7">
        <f>IF($U281="","",IF(INDEX('Per Invoice'!P$2:P$401,$U281)="","",INDEX('Per Invoice'!P$2:P$401,$U281)))</f>
        <v/>
      </c>
      <c r="Q281" s="7">
        <f>IF($U281="","",IF(INDEX('Per Invoice'!Q$2:Q$401,$U281)="","",INDEX('Per Invoice'!Q$2:Q$401,$U281)))</f>
        <v/>
      </c>
      <c r="R281" s="7">
        <f>IF($U281="","",IF(INDEX('Per Invoice'!R$2:R$401,$U281)="","",INDEX('Per Invoice'!R$2:R$401,$U281)))</f>
        <v/>
      </c>
      <c r="S281" s="7">
        <f>IF($U281="","",IF(INDEX('Per Invoice'!S$2:S$401,$U281)="","",INDEX('Per Invoice'!S$2:S$401,$U281)))</f>
        <v/>
      </c>
      <c r="T281" s="7">
        <f>IF($U281="","",IF(INDEX('Per Invoice'!T$2:T$401,$U281)="","",INDEX('Per Invoice'!T$2:T$401,$U281)))</f>
        <v/>
      </c>
      <c r="U281" s="16">
        <f>IFERROR(MATCH(Settings!$C$28&amp;"|"&amp;ROWS($U$2:$U281),'Per Invoice'!$V$2:$V$401,0),"")</f>
        <v/>
      </c>
    </row>
    <row r="282">
      <c r="A282">
        <f>IF($U282="","",IF(INDEX('Per Invoice'!A$2:A$401,$U282)="","",INDEX('Per Invoice'!A$2:A$401,$U282)))</f>
        <v/>
      </c>
      <c r="B282">
        <f>IF($U282="","",IF(INDEX('Per Invoice'!B$2:B$401,$U282)="","",INDEX('Per Invoice'!B$2:B$401,$U282)))</f>
        <v/>
      </c>
      <c r="C282">
        <f>IF($U282="","",IF(INDEX('Per Invoice'!C$2:C$401,$U282)="","",INDEX('Per Invoice'!C$2:C$401,$U282)))</f>
        <v/>
      </c>
      <c r="D282">
        <f>IF($U282="","",IF(INDEX('Per Invoice'!D$2:D$401,$U282)="","",INDEX('Per Invoice'!D$2:D$401,$U282)))</f>
        <v/>
      </c>
      <c r="E282">
        <f>IF($U282="","",IF(INDEX('Per Invoice'!E$2:E$401,$U282)="","",INDEX('Per Invoice'!E$2:E$401,$U282)))</f>
        <v/>
      </c>
      <c r="F282">
        <f>IF($U282="","",IF(INDEX('Per Invoice'!F$2:F$401,$U282)="","",INDEX('Per Invoice'!F$2:F$401,$U282)))</f>
        <v/>
      </c>
      <c r="G282">
        <f>IF($U282="","",IF(INDEX('Per Invoice'!G$2:G$401,$U282)="","",INDEX('Per Invoice'!G$2:G$401,$U282)))</f>
        <v/>
      </c>
      <c r="H282" s="7">
        <f>IF($U282="","",IF(INDEX('Per Invoice'!H$2:H$401,$U282)="","",INDEX('Per Invoice'!H$2:H$401,$U282)))</f>
        <v/>
      </c>
      <c r="I282" s="14">
        <f>IF($U282="","",IF(INDEX('Per Invoice'!I$2:I$401,$U282)="","",INDEX('Per Invoice'!I$2:I$401,$U282)))</f>
        <v/>
      </c>
      <c r="J282">
        <f>IF($U282="","",IF(INDEX('Per Invoice'!J$2:J$401,$U282)="","",INDEX('Per Invoice'!J$2:J$401,$U282)))</f>
        <v/>
      </c>
      <c r="K282">
        <f>IF($U282="","",IF(INDEX('Per Invoice'!K$2:K$401,$U282)="","",INDEX('Per Invoice'!K$2:K$401,$U282)))</f>
        <v/>
      </c>
      <c r="L282" s="7">
        <f>IF($U282="","",IF(INDEX('Per Invoice'!L$2:L$401,$U282)="","",INDEX('Per Invoice'!L$2:L$401,$U282)))</f>
        <v/>
      </c>
      <c r="M282" s="7">
        <f>IF($U282="","",IF(INDEX('Per Invoice'!M$2:M$401,$U282)="","",INDEX('Per Invoice'!M$2:M$401,$U282)))</f>
        <v/>
      </c>
      <c r="N282">
        <f>IF($U282="","",IF(INDEX('Per Invoice'!N$2:N$401,$U282)="","",INDEX('Per Invoice'!N$2:N$401,$U282)))</f>
        <v/>
      </c>
      <c r="O282" s="7">
        <f>IF($U282="","",IF(INDEX('Per Invoice'!O$2:O$401,$U282)="","",INDEX('Per Invoice'!O$2:O$401,$U282)))</f>
        <v/>
      </c>
      <c r="P282" s="7">
        <f>IF($U282="","",IF(INDEX('Per Invoice'!P$2:P$401,$U282)="","",INDEX('Per Invoice'!P$2:P$401,$U282)))</f>
        <v/>
      </c>
      <c r="Q282" s="7">
        <f>IF($U282="","",IF(INDEX('Per Invoice'!Q$2:Q$401,$U282)="","",INDEX('Per Invoice'!Q$2:Q$401,$U282)))</f>
        <v/>
      </c>
      <c r="R282" s="7">
        <f>IF($U282="","",IF(INDEX('Per Invoice'!R$2:R$401,$U282)="","",INDEX('Per Invoice'!R$2:R$401,$U282)))</f>
        <v/>
      </c>
      <c r="S282" s="7">
        <f>IF($U282="","",IF(INDEX('Per Invoice'!S$2:S$401,$U282)="","",INDEX('Per Invoice'!S$2:S$401,$U282)))</f>
        <v/>
      </c>
      <c r="T282" s="7">
        <f>IF($U282="","",IF(INDEX('Per Invoice'!T$2:T$401,$U282)="","",INDEX('Per Invoice'!T$2:T$401,$U282)))</f>
        <v/>
      </c>
      <c r="U282" s="16">
        <f>IFERROR(MATCH(Settings!$C$28&amp;"|"&amp;ROWS($U$2:$U282),'Per Invoice'!$V$2:$V$401,0),"")</f>
        <v/>
      </c>
    </row>
    <row r="283">
      <c r="A283">
        <f>IF($U283="","",IF(INDEX('Per Invoice'!A$2:A$401,$U283)="","",INDEX('Per Invoice'!A$2:A$401,$U283)))</f>
        <v/>
      </c>
      <c r="B283">
        <f>IF($U283="","",IF(INDEX('Per Invoice'!B$2:B$401,$U283)="","",INDEX('Per Invoice'!B$2:B$401,$U283)))</f>
        <v/>
      </c>
      <c r="C283">
        <f>IF($U283="","",IF(INDEX('Per Invoice'!C$2:C$401,$U283)="","",INDEX('Per Invoice'!C$2:C$401,$U283)))</f>
        <v/>
      </c>
      <c r="D283">
        <f>IF($U283="","",IF(INDEX('Per Invoice'!D$2:D$401,$U283)="","",INDEX('Per Invoice'!D$2:D$401,$U283)))</f>
        <v/>
      </c>
      <c r="E283">
        <f>IF($U283="","",IF(INDEX('Per Invoice'!E$2:E$401,$U283)="","",INDEX('Per Invoice'!E$2:E$401,$U283)))</f>
        <v/>
      </c>
      <c r="F283">
        <f>IF($U283="","",IF(INDEX('Per Invoice'!F$2:F$401,$U283)="","",INDEX('Per Invoice'!F$2:F$401,$U283)))</f>
        <v/>
      </c>
      <c r="G283">
        <f>IF($U283="","",IF(INDEX('Per Invoice'!G$2:G$401,$U283)="","",INDEX('Per Invoice'!G$2:G$401,$U283)))</f>
        <v/>
      </c>
      <c r="H283" s="7">
        <f>IF($U283="","",IF(INDEX('Per Invoice'!H$2:H$401,$U283)="","",INDEX('Per Invoice'!H$2:H$401,$U283)))</f>
        <v/>
      </c>
      <c r="I283" s="14">
        <f>IF($U283="","",IF(INDEX('Per Invoice'!I$2:I$401,$U283)="","",INDEX('Per Invoice'!I$2:I$401,$U283)))</f>
        <v/>
      </c>
      <c r="J283">
        <f>IF($U283="","",IF(INDEX('Per Invoice'!J$2:J$401,$U283)="","",INDEX('Per Invoice'!J$2:J$401,$U283)))</f>
        <v/>
      </c>
      <c r="K283">
        <f>IF($U283="","",IF(INDEX('Per Invoice'!K$2:K$401,$U283)="","",INDEX('Per Invoice'!K$2:K$401,$U283)))</f>
        <v/>
      </c>
      <c r="L283" s="7">
        <f>IF($U283="","",IF(INDEX('Per Invoice'!L$2:L$401,$U283)="","",INDEX('Per Invoice'!L$2:L$401,$U283)))</f>
        <v/>
      </c>
      <c r="M283" s="7">
        <f>IF($U283="","",IF(INDEX('Per Invoice'!M$2:M$401,$U283)="","",INDEX('Per Invoice'!M$2:M$401,$U283)))</f>
        <v/>
      </c>
      <c r="N283">
        <f>IF($U283="","",IF(INDEX('Per Invoice'!N$2:N$401,$U283)="","",INDEX('Per Invoice'!N$2:N$401,$U283)))</f>
        <v/>
      </c>
      <c r="O283" s="7">
        <f>IF($U283="","",IF(INDEX('Per Invoice'!O$2:O$401,$U283)="","",INDEX('Per Invoice'!O$2:O$401,$U283)))</f>
        <v/>
      </c>
      <c r="P283" s="7">
        <f>IF($U283="","",IF(INDEX('Per Invoice'!P$2:P$401,$U283)="","",INDEX('Per Invoice'!P$2:P$401,$U283)))</f>
        <v/>
      </c>
      <c r="Q283" s="7">
        <f>IF($U283="","",IF(INDEX('Per Invoice'!Q$2:Q$401,$U283)="","",INDEX('Per Invoice'!Q$2:Q$401,$U283)))</f>
        <v/>
      </c>
      <c r="R283" s="7">
        <f>IF($U283="","",IF(INDEX('Per Invoice'!R$2:R$401,$U283)="","",INDEX('Per Invoice'!R$2:R$401,$U283)))</f>
        <v/>
      </c>
      <c r="S283" s="7">
        <f>IF($U283="","",IF(INDEX('Per Invoice'!S$2:S$401,$U283)="","",INDEX('Per Invoice'!S$2:S$401,$U283)))</f>
        <v/>
      </c>
      <c r="T283" s="7">
        <f>IF($U283="","",IF(INDEX('Per Invoice'!T$2:T$401,$U283)="","",INDEX('Per Invoice'!T$2:T$401,$U283)))</f>
        <v/>
      </c>
      <c r="U283" s="16">
        <f>IFERROR(MATCH(Settings!$C$28&amp;"|"&amp;ROWS($U$2:$U283),'Per Invoice'!$V$2:$V$401,0),"")</f>
        <v/>
      </c>
    </row>
    <row r="284">
      <c r="A284">
        <f>IF($U284="","",IF(INDEX('Per Invoice'!A$2:A$401,$U284)="","",INDEX('Per Invoice'!A$2:A$401,$U284)))</f>
        <v/>
      </c>
      <c r="B284">
        <f>IF($U284="","",IF(INDEX('Per Invoice'!B$2:B$401,$U284)="","",INDEX('Per Invoice'!B$2:B$401,$U284)))</f>
        <v/>
      </c>
      <c r="C284">
        <f>IF($U284="","",IF(INDEX('Per Invoice'!C$2:C$401,$U284)="","",INDEX('Per Invoice'!C$2:C$401,$U284)))</f>
        <v/>
      </c>
      <c r="D284">
        <f>IF($U284="","",IF(INDEX('Per Invoice'!D$2:D$401,$U284)="","",INDEX('Per Invoice'!D$2:D$401,$U284)))</f>
        <v/>
      </c>
      <c r="E284">
        <f>IF($U284="","",IF(INDEX('Per Invoice'!E$2:E$401,$U284)="","",INDEX('Per Invoice'!E$2:E$401,$U284)))</f>
        <v/>
      </c>
      <c r="F284">
        <f>IF($U284="","",IF(INDEX('Per Invoice'!F$2:F$401,$U284)="","",INDEX('Per Invoice'!F$2:F$401,$U284)))</f>
        <v/>
      </c>
      <c r="G284">
        <f>IF($U284="","",IF(INDEX('Per Invoice'!G$2:G$401,$U284)="","",INDEX('Per Invoice'!G$2:G$401,$U284)))</f>
        <v/>
      </c>
      <c r="H284" s="7">
        <f>IF($U284="","",IF(INDEX('Per Invoice'!H$2:H$401,$U284)="","",INDEX('Per Invoice'!H$2:H$401,$U284)))</f>
        <v/>
      </c>
      <c r="I284" s="14">
        <f>IF($U284="","",IF(INDEX('Per Invoice'!I$2:I$401,$U284)="","",INDEX('Per Invoice'!I$2:I$401,$U284)))</f>
        <v/>
      </c>
      <c r="J284">
        <f>IF($U284="","",IF(INDEX('Per Invoice'!J$2:J$401,$U284)="","",INDEX('Per Invoice'!J$2:J$401,$U284)))</f>
        <v/>
      </c>
      <c r="K284">
        <f>IF($U284="","",IF(INDEX('Per Invoice'!K$2:K$401,$U284)="","",INDEX('Per Invoice'!K$2:K$401,$U284)))</f>
        <v/>
      </c>
      <c r="L284" s="7">
        <f>IF($U284="","",IF(INDEX('Per Invoice'!L$2:L$401,$U284)="","",INDEX('Per Invoice'!L$2:L$401,$U284)))</f>
        <v/>
      </c>
      <c r="M284" s="7">
        <f>IF($U284="","",IF(INDEX('Per Invoice'!M$2:M$401,$U284)="","",INDEX('Per Invoice'!M$2:M$401,$U284)))</f>
        <v/>
      </c>
      <c r="N284">
        <f>IF($U284="","",IF(INDEX('Per Invoice'!N$2:N$401,$U284)="","",INDEX('Per Invoice'!N$2:N$401,$U284)))</f>
        <v/>
      </c>
      <c r="O284" s="7">
        <f>IF($U284="","",IF(INDEX('Per Invoice'!O$2:O$401,$U284)="","",INDEX('Per Invoice'!O$2:O$401,$U284)))</f>
        <v/>
      </c>
      <c r="P284" s="7">
        <f>IF($U284="","",IF(INDEX('Per Invoice'!P$2:P$401,$U284)="","",INDEX('Per Invoice'!P$2:P$401,$U284)))</f>
        <v/>
      </c>
      <c r="Q284" s="7">
        <f>IF($U284="","",IF(INDEX('Per Invoice'!Q$2:Q$401,$U284)="","",INDEX('Per Invoice'!Q$2:Q$401,$U284)))</f>
        <v/>
      </c>
      <c r="R284" s="7">
        <f>IF($U284="","",IF(INDEX('Per Invoice'!R$2:R$401,$U284)="","",INDEX('Per Invoice'!R$2:R$401,$U284)))</f>
        <v/>
      </c>
      <c r="S284" s="7">
        <f>IF($U284="","",IF(INDEX('Per Invoice'!S$2:S$401,$U284)="","",INDEX('Per Invoice'!S$2:S$401,$U284)))</f>
        <v/>
      </c>
      <c r="T284" s="7">
        <f>IF($U284="","",IF(INDEX('Per Invoice'!T$2:T$401,$U284)="","",INDEX('Per Invoice'!T$2:T$401,$U284)))</f>
        <v/>
      </c>
      <c r="U284" s="16">
        <f>IFERROR(MATCH(Settings!$C$28&amp;"|"&amp;ROWS($U$2:$U284),'Per Invoice'!$V$2:$V$401,0),"")</f>
        <v/>
      </c>
    </row>
    <row r="285">
      <c r="A285">
        <f>IF($U285="","",IF(INDEX('Per Invoice'!A$2:A$401,$U285)="","",INDEX('Per Invoice'!A$2:A$401,$U285)))</f>
        <v/>
      </c>
      <c r="B285">
        <f>IF($U285="","",IF(INDEX('Per Invoice'!B$2:B$401,$U285)="","",INDEX('Per Invoice'!B$2:B$401,$U285)))</f>
        <v/>
      </c>
      <c r="C285">
        <f>IF($U285="","",IF(INDEX('Per Invoice'!C$2:C$401,$U285)="","",INDEX('Per Invoice'!C$2:C$401,$U285)))</f>
        <v/>
      </c>
      <c r="D285">
        <f>IF($U285="","",IF(INDEX('Per Invoice'!D$2:D$401,$U285)="","",INDEX('Per Invoice'!D$2:D$401,$U285)))</f>
        <v/>
      </c>
      <c r="E285">
        <f>IF($U285="","",IF(INDEX('Per Invoice'!E$2:E$401,$U285)="","",INDEX('Per Invoice'!E$2:E$401,$U285)))</f>
        <v/>
      </c>
      <c r="F285">
        <f>IF($U285="","",IF(INDEX('Per Invoice'!F$2:F$401,$U285)="","",INDEX('Per Invoice'!F$2:F$401,$U285)))</f>
        <v/>
      </c>
      <c r="G285">
        <f>IF($U285="","",IF(INDEX('Per Invoice'!G$2:G$401,$U285)="","",INDEX('Per Invoice'!G$2:G$401,$U285)))</f>
        <v/>
      </c>
      <c r="H285" s="7">
        <f>IF($U285="","",IF(INDEX('Per Invoice'!H$2:H$401,$U285)="","",INDEX('Per Invoice'!H$2:H$401,$U285)))</f>
        <v/>
      </c>
      <c r="I285" s="14">
        <f>IF($U285="","",IF(INDEX('Per Invoice'!I$2:I$401,$U285)="","",INDEX('Per Invoice'!I$2:I$401,$U285)))</f>
        <v/>
      </c>
      <c r="J285">
        <f>IF($U285="","",IF(INDEX('Per Invoice'!J$2:J$401,$U285)="","",INDEX('Per Invoice'!J$2:J$401,$U285)))</f>
        <v/>
      </c>
      <c r="K285">
        <f>IF($U285="","",IF(INDEX('Per Invoice'!K$2:K$401,$U285)="","",INDEX('Per Invoice'!K$2:K$401,$U285)))</f>
        <v/>
      </c>
      <c r="L285" s="7">
        <f>IF($U285="","",IF(INDEX('Per Invoice'!L$2:L$401,$U285)="","",INDEX('Per Invoice'!L$2:L$401,$U285)))</f>
        <v/>
      </c>
      <c r="M285" s="7">
        <f>IF($U285="","",IF(INDEX('Per Invoice'!M$2:M$401,$U285)="","",INDEX('Per Invoice'!M$2:M$401,$U285)))</f>
        <v/>
      </c>
      <c r="N285">
        <f>IF($U285="","",IF(INDEX('Per Invoice'!N$2:N$401,$U285)="","",INDEX('Per Invoice'!N$2:N$401,$U285)))</f>
        <v/>
      </c>
      <c r="O285" s="7">
        <f>IF($U285="","",IF(INDEX('Per Invoice'!O$2:O$401,$U285)="","",INDEX('Per Invoice'!O$2:O$401,$U285)))</f>
        <v/>
      </c>
      <c r="P285" s="7">
        <f>IF($U285="","",IF(INDEX('Per Invoice'!P$2:P$401,$U285)="","",INDEX('Per Invoice'!P$2:P$401,$U285)))</f>
        <v/>
      </c>
      <c r="Q285" s="7">
        <f>IF($U285="","",IF(INDEX('Per Invoice'!Q$2:Q$401,$U285)="","",INDEX('Per Invoice'!Q$2:Q$401,$U285)))</f>
        <v/>
      </c>
      <c r="R285" s="7">
        <f>IF($U285="","",IF(INDEX('Per Invoice'!R$2:R$401,$U285)="","",INDEX('Per Invoice'!R$2:R$401,$U285)))</f>
        <v/>
      </c>
      <c r="S285" s="7">
        <f>IF($U285="","",IF(INDEX('Per Invoice'!S$2:S$401,$U285)="","",INDEX('Per Invoice'!S$2:S$401,$U285)))</f>
        <v/>
      </c>
      <c r="T285" s="7">
        <f>IF($U285="","",IF(INDEX('Per Invoice'!T$2:T$401,$U285)="","",INDEX('Per Invoice'!T$2:T$401,$U285)))</f>
        <v/>
      </c>
      <c r="U285" s="16">
        <f>IFERROR(MATCH(Settings!$C$28&amp;"|"&amp;ROWS($U$2:$U285),'Per Invoice'!$V$2:$V$401,0),"")</f>
        <v/>
      </c>
    </row>
    <row r="286">
      <c r="A286">
        <f>IF($U286="","",IF(INDEX('Per Invoice'!A$2:A$401,$U286)="","",INDEX('Per Invoice'!A$2:A$401,$U286)))</f>
        <v/>
      </c>
      <c r="B286">
        <f>IF($U286="","",IF(INDEX('Per Invoice'!B$2:B$401,$U286)="","",INDEX('Per Invoice'!B$2:B$401,$U286)))</f>
        <v/>
      </c>
      <c r="C286">
        <f>IF($U286="","",IF(INDEX('Per Invoice'!C$2:C$401,$U286)="","",INDEX('Per Invoice'!C$2:C$401,$U286)))</f>
        <v/>
      </c>
      <c r="D286">
        <f>IF($U286="","",IF(INDEX('Per Invoice'!D$2:D$401,$U286)="","",INDEX('Per Invoice'!D$2:D$401,$U286)))</f>
        <v/>
      </c>
      <c r="E286">
        <f>IF($U286="","",IF(INDEX('Per Invoice'!E$2:E$401,$U286)="","",INDEX('Per Invoice'!E$2:E$401,$U286)))</f>
        <v/>
      </c>
      <c r="F286">
        <f>IF($U286="","",IF(INDEX('Per Invoice'!F$2:F$401,$U286)="","",INDEX('Per Invoice'!F$2:F$401,$U286)))</f>
        <v/>
      </c>
      <c r="G286">
        <f>IF($U286="","",IF(INDEX('Per Invoice'!G$2:G$401,$U286)="","",INDEX('Per Invoice'!G$2:G$401,$U286)))</f>
        <v/>
      </c>
      <c r="H286" s="7">
        <f>IF($U286="","",IF(INDEX('Per Invoice'!H$2:H$401,$U286)="","",INDEX('Per Invoice'!H$2:H$401,$U286)))</f>
        <v/>
      </c>
      <c r="I286" s="14">
        <f>IF($U286="","",IF(INDEX('Per Invoice'!I$2:I$401,$U286)="","",INDEX('Per Invoice'!I$2:I$401,$U286)))</f>
        <v/>
      </c>
      <c r="J286">
        <f>IF($U286="","",IF(INDEX('Per Invoice'!J$2:J$401,$U286)="","",INDEX('Per Invoice'!J$2:J$401,$U286)))</f>
        <v/>
      </c>
      <c r="K286">
        <f>IF($U286="","",IF(INDEX('Per Invoice'!K$2:K$401,$U286)="","",INDEX('Per Invoice'!K$2:K$401,$U286)))</f>
        <v/>
      </c>
      <c r="L286" s="7">
        <f>IF($U286="","",IF(INDEX('Per Invoice'!L$2:L$401,$U286)="","",INDEX('Per Invoice'!L$2:L$401,$U286)))</f>
        <v/>
      </c>
      <c r="M286" s="7">
        <f>IF($U286="","",IF(INDEX('Per Invoice'!M$2:M$401,$U286)="","",INDEX('Per Invoice'!M$2:M$401,$U286)))</f>
        <v/>
      </c>
      <c r="N286">
        <f>IF($U286="","",IF(INDEX('Per Invoice'!N$2:N$401,$U286)="","",INDEX('Per Invoice'!N$2:N$401,$U286)))</f>
        <v/>
      </c>
      <c r="O286" s="7">
        <f>IF($U286="","",IF(INDEX('Per Invoice'!O$2:O$401,$U286)="","",INDEX('Per Invoice'!O$2:O$401,$U286)))</f>
        <v/>
      </c>
      <c r="P286" s="7">
        <f>IF($U286="","",IF(INDEX('Per Invoice'!P$2:P$401,$U286)="","",INDEX('Per Invoice'!P$2:P$401,$U286)))</f>
        <v/>
      </c>
      <c r="Q286" s="7">
        <f>IF($U286="","",IF(INDEX('Per Invoice'!Q$2:Q$401,$U286)="","",INDEX('Per Invoice'!Q$2:Q$401,$U286)))</f>
        <v/>
      </c>
      <c r="R286" s="7">
        <f>IF($U286="","",IF(INDEX('Per Invoice'!R$2:R$401,$U286)="","",INDEX('Per Invoice'!R$2:R$401,$U286)))</f>
        <v/>
      </c>
      <c r="S286" s="7">
        <f>IF($U286="","",IF(INDEX('Per Invoice'!S$2:S$401,$U286)="","",INDEX('Per Invoice'!S$2:S$401,$U286)))</f>
        <v/>
      </c>
      <c r="T286" s="7">
        <f>IF($U286="","",IF(INDEX('Per Invoice'!T$2:T$401,$U286)="","",INDEX('Per Invoice'!T$2:T$401,$U286)))</f>
        <v/>
      </c>
      <c r="U286" s="16">
        <f>IFERROR(MATCH(Settings!$C$28&amp;"|"&amp;ROWS($U$2:$U286),'Per Invoice'!$V$2:$V$401,0),"")</f>
        <v/>
      </c>
    </row>
    <row r="287">
      <c r="A287">
        <f>IF($U287="","",IF(INDEX('Per Invoice'!A$2:A$401,$U287)="","",INDEX('Per Invoice'!A$2:A$401,$U287)))</f>
        <v/>
      </c>
      <c r="B287">
        <f>IF($U287="","",IF(INDEX('Per Invoice'!B$2:B$401,$U287)="","",INDEX('Per Invoice'!B$2:B$401,$U287)))</f>
        <v/>
      </c>
      <c r="C287">
        <f>IF($U287="","",IF(INDEX('Per Invoice'!C$2:C$401,$U287)="","",INDEX('Per Invoice'!C$2:C$401,$U287)))</f>
        <v/>
      </c>
      <c r="D287">
        <f>IF($U287="","",IF(INDEX('Per Invoice'!D$2:D$401,$U287)="","",INDEX('Per Invoice'!D$2:D$401,$U287)))</f>
        <v/>
      </c>
      <c r="E287">
        <f>IF($U287="","",IF(INDEX('Per Invoice'!E$2:E$401,$U287)="","",INDEX('Per Invoice'!E$2:E$401,$U287)))</f>
        <v/>
      </c>
      <c r="F287">
        <f>IF($U287="","",IF(INDEX('Per Invoice'!F$2:F$401,$U287)="","",INDEX('Per Invoice'!F$2:F$401,$U287)))</f>
        <v/>
      </c>
      <c r="G287">
        <f>IF($U287="","",IF(INDEX('Per Invoice'!G$2:G$401,$U287)="","",INDEX('Per Invoice'!G$2:G$401,$U287)))</f>
        <v/>
      </c>
      <c r="H287" s="7">
        <f>IF($U287="","",IF(INDEX('Per Invoice'!H$2:H$401,$U287)="","",INDEX('Per Invoice'!H$2:H$401,$U287)))</f>
        <v/>
      </c>
      <c r="I287" s="14">
        <f>IF($U287="","",IF(INDEX('Per Invoice'!I$2:I$401,$U287)="","",INDEX('Per Invoice'!I$2:I$401,$U287)))</f>
        <v/>
      </c>
      <c r="J287">
        <f>IF($U287="","",IF(INDEX('Per Invoice'!J$2:J$401,$U287)="","",INDEX('Per Invoice'!J$2:J$401,$U287)))</f>
        <v/>
      </c>
      <c r="K287">
        <f>IF($U287="","",IF(INDEX('Per Invoice'!K$2:K$401,$U287)="","",INDEX('Per Invoice'!K$2:K$401,$U287)))</f>
        <v/>
      </c>
      <c r="L287" s="7">
        <f>IF($U287="","",IF(INDEX('Per Invoice'!L$2:L$401,$U287)="","",INDEX('Per Invoice'!L$2:L$401,$U287)))</f>
        <v/>
      </c>
      <c r="M287" s="7">
        <f>IF($U287="","",IF(INDEX('Per Invoice'!M$2:M$401,$U287)="","",INDEX('Per Invoice'!M$2:M$401,$U287)))</f>
        <v/>
      </c>
      <c r="N287">
        <f>IF($U287="","",IF(INDEX('Per Invoice'!N$2:N$401,$U287)="","",INDEX('Per Invoice'!N$2:N$401,$U287)))</f>
        <v/>
      </c>
      <c r="O287" s="7">
        <f>IF($U287="","",IF(INDEX('Per Invoice'!O$2:O$401,$U287)="","",INDEX('Per Invoice'!O$2:O$401,$U287)))</f>
        <v/>
      </c>
      <c r="P287" s="7">
        <f>IF($U287="","",IF(INDEX('Per Invoice'!P$2:P$401,$U287)="","",INDEX('Per Invoice'!P$2:P$401,$U287)))</f>
        <v/>
      </c>
      <c r="Q287" s="7">
        <f>IF($U287="","",IF(INDEX('Per Invoice'!Q$2:Q$401,$U287)="","",INDEX('Per Invoice'!Q$2:Q$401,$U287)))</f>
        <v/>
      </c>
      <c r="R287" s="7">
        <f>IF($U287="","",IF(INDEX('Per Invoice'!R$2:R$401,$U287)="","",INDEX('Per Invoice'!R$2:R$401,$U287)))</f>
        <v/>
      </c>
      <c r="S287" s="7">
        <f>IF($U287="","",IF(INDEX('Per Invoice'!S$2:S$401,$U287)="","",INDEX('Per Invoice'!S$2:S$401,$U287)))</f>
        <v/>
      </c>
      <c r="T287" s="7">
        <f>IF($U287="","",IF(INDEX('Per Invoice'!T$2:T$401,$U287)="","",INDEX('Per Invoice'!T$2:T$401,$U287)))</f>
        <v/>
      </c>
      <c r="U287" s="16">
        <f>IFERROR(MATCH(Settings!$C$28&amp;"|"&amp;ROWS($U$2:$U287),'Per Invoice'!$V$2:$V$401,0),"")</f>
        <v/>
      </c>
    </row>
    <row r="288">
      <c r="A288">
        <f>IF($U288="","",IF(INDEX('Per Invoice'!A$2:A$401,$U288)="","",INDEX('Per Invoice'!A$2:A$401,$U288)))</f>
        <v/>
      </c>
      <c r="B288">
        <f>IF($U288="","",IF(INDEX('Per Invoice'!B$2:B$401,$U288)="","",INDEX('Per Invoice'!B$2:B$401,$U288)))</f>
        <v/>
      </c>
      <c r="C288">
        <f>IF($U288="","",IF(INDEX('Per Invoice'!C$2:C$401,$U288)="","",INDEX('Per Invoice'!C$2:C$401,$U288)))</f>
        <v/>
      </c>
      <c r="D288">
        <f>IF($U288="","",IF(INDEX('Per Invoice'!D$2:D$401,$U288)="","",INDEX('Per Invoice'!D$2:D$401,$U288)))</f>
        <v/>
      </c>
      <c r="E288">
        <f>IF($U288="","",IF(INDEX('Per Invoice'!E$2:E$401,$U288)="","",INDEX('Per Invoice'!E$2:E$401,$U288)))</f>
        <v/>
      </c>
      <c r="F288">
        <f>IF($U288="","",IF(INDEX('Per Invoice'!F$2:F$401,$U288)="","",INDEX('Per Invoice'!F$2:F$401,$U288)))</f>
        <v/>
      </c>
      <c r="G288">
        <f>IF($U288="","",IF(INDEX('Per Invoice'!G$2:G$401,$U288)="","",INDEX('Per Invoice'!G$2:G$401,$U288)))</f>
        <v/>
      </c>
      <c r="H288" s="7">
        <f>IF($U288="","",IF(INDEX('Per Invoice'!H$2:H$401,$U288)="","",INDEX('Per Invoice'!H$2:H$401,$U288)))</f>
        <v/>
      </c>
      <c r="I288" s="14">
        <f>IF($U288="","",IF(INDEX('Per Invoice'!I$2:I$401,$U288)="","",INDEX('Per Invoice'!I$2:I$401,$U288)))</f>
        <v/>
      </c>
      <c r="J288">
        <f>IF($U288="","",IF(INDEX('Per Invoice'!J$2:J$401,$U288)="","",INDEX('Per Invoice'!J$2:J$401,$U288)))</f>
        <v/>
      </c>
      <c r="K288">
        <f>IF($U288="","",IF(INDEX('Per Invoice'!K$2:K$401,$U288)="","",INDEX('Per Invoice'!K$2:K$401,$U288)))</f>
        <v/>
      </c>
      <c r="L288" s="7">
        <f>IF($U288="","",IF(INDEX('Per Invoice'!L$2:L$401,$U288)="","",INDEX('Per Invoice'!L$2:L$401,$U288)))</f>
        <v/>
      </c>
      <c r="M288" s="7">
        <f>IF($U288="","",IF(INDEX('Per Invoice'!M$2:M$401,$U288)="","",INDEX('Per Invoice'!M$2:M$401,$U288)))</f>
        <v/>
      </c>
      <c r="N288">
        <f>IF($U288="","",IF(INDEX('Per Invoice'!N$2:N$401,$U288)="","",INDEX('Per Invoice'!N$2:N$401,$U288)))</f>
        <v/>
      </c>
      <c r="O288" s="7">
        <f>IF($U288="","",IF(INDEX('Per Invoice'!O$2:O$401,$U288)="","",INDEX('Per Invoice'!O$2:O$401,$U288)))</f>
        <v/>
      </c>
      <c r="P288" s="7">
        <f>IF($U288="","",IF(INDEX('Per Invoice'!P$2:P$401,$U288)="","",INDEX('Per Invoice'!P$2:P$401,$U288)))</f>
        <v/>
      </c>
      <c r="Q288" s="7">
        <f>IF($U288="","",IF(INDEX('Per Invoice'!Q$2:Q$401,$U288)="","",INDEX('Per Invoice'!Q$2:Q$401,$U288)))</f>
        <v/>
      </c>
      <c r="R288" s="7">
        <f>IF($U288="","",IF(INDEX('Per Invoice'!R$2:R$401,$U288)="","",INDEX('Per Invoice'!R$2:R$401,$U288)))</f>
        <v/>
      </c>
      <c r="S288" s="7">
        <f>IF($U288="","",IF(INDEX('Per Invoice'!S$2:S$401,$U288)="","",INDEX('Per Invoice'!S$2:S$401,$U288)))</f>
        <v/>
      </c>
      <c r="T288" s="7">
        <f>IF($U288="","",IF(INDEX('Per Invoice'!T$2:T$401,$U288)="","",INDEX('Per Invoice'!T$2:T$401,$U288)))</f>
        <v/>
      </c>
      <c r="U288" s="16">
        <f>IFERROR(MATCH(Settings!$C$28&amp;"|"&amp;ROWS($U$2:$U288),'Per Invoice'!$V$2:$V$401,0),"")</f>
        <v/>
      </c>
    </row>
    <row r="289">
      <c r="A289">
        <f>IF($U289="","",IF(INDEX('Per Invoice'!A$2:A$401,$U289)="","",INDEX('Per Invoice'!A$2:A$401,$U289)))</f>
        <v/>
      </c>
      <c r="B289">
        <f>IF($U289="","",IF(INDEX('Per Invoice'!B$2:B$401,$U289)="","",INDEX('Per Invoice'!B$2:B$401,$U289)))</f>
        <v/>
      </c>
      <c r="C289">
        <f>IF($U289="","",IF(INDEX('Per Invoice'!C$2:C$401,$U289)="","",INDEX('Per Invoice'!C$2:C$401,$U289)))</f>
        <v/>
      </c>
      <c r="D289">
        <f>IF($U289="","",IF(INDEX('Per Invoice'!D$2:D$401,$U289)="","",INDEX('Per Invoice'!D$2:D$401,$U289)))</f>
        <v/>
      </c>
      <c r="E289">
        <f>IF($U289="","",IF(INDEX('Per Invoice'!E$2:E$401,$U289)="","",INDEX('Per Invoice'!E$2:E$401,$U289)))</f>
        <v/>
      </c>
      <c r="F289">
        <f>IF($U289="","",IF(INDEX('Per Invoice'!F$2:F$401,$U289)="","",INDEX('Per Invoice'!F$2:F$401,$U289)))</f>
        <v/>
      </c>
      <c r="G289">
        <f>IF($U289="","",IF(INDEX('Per Invoice'!G$2:G$401,$U289)="","",INDEX('Per Invoice'!G$2:G$401,$U289)))</f>
        <v/>
      </c>
      <c r="H289" s="7">
        <f>IF($U289="","",IF(INDEX('Per Invoice'!H$2:H$401,$U289)="","",INDEX('Per Invoice'!H$2:H$401,$U289)))</f>
        <v/>
      </c>
      <c r="I289" s="14">
        <f>IF($U289="","",IF(INDEX('Per Invoice'!I$2:I$401,$U289)="","",INDEX('Per Invoice'!I$2:I$401,$U289)))</f>
        <v/>
      </c>
      <c r="J289">
        <f>IF($U289="","",IF(INDEX('Per Invoice'!J$2:J$401,$U289)="","",INDEX('Per Invoice'!J$2:J$401,$U289)))</f>
        <v/>
      </c>
      <c r="K289">
        <f>IF($U289="","",IF(INDEX('Per Invoice'!K$2:K$401,$U289)="","",INDEX('Per Invoice'!K$2:K$401,$U289)))</f>
        <v/>
      </c>
      <c r="L289" s="7">
        <f>IF($U289="","",IF(INDEX('Per Invoice'!L$2:L$401,$U289)="","",INDEX('Per Invoice'!L$2:L$401,$U289)))</f>
        <v/>
      </c>
      <c r="M289" s="7">
        <f>IF($U289="","",IF(INDEX('Per Invoice'!M$2:M$401,$U289)="","",INDEX('Per Invoice'!M$2:M$401,$U289)))</f>
        <v/>
      </c>
      <c r="N289">
        <f>IF($U289="","",IF(INDEX('Per Invoice'!N$2:N$401,$U289)="","",INDEX('Per Invoice'!N$2:N$401,$U289)))</f>
        <v/>
      </c>
      <c r="O289" s="7">
        <f>IF($U289="","",IF(INDEX('Per Invoice'!O$2:O$401,$U289)="","",INDEX('Per Invoice'!O$2:O$401,$U289)))</f>
        <v/>
      </c>
      <c r="P289" s="7">
        <f>IF($U289="","",IF(INDEX('Per Invoice'!P$2:P$401,$U289)="","",INDEX('Per Invoice'!P$2:P$401,$U289)))</f>
        <v/>
      </c>
      <c r="Q289" s="7">
        <f>IF($U289="","",IF(INDEX('Per Invoice'!Q$2:Q$401,$U289)="","",INDEX('Per Invoice'!Q$2:Q$401,$U289)))</f>
        <v/>
      </c>
      <c r="R289" s="7">
        <f>IF($U289="","",IF(INDEX('Per Invoice'!R$2:R$401,$U289)="","",INDEX('Per Invoice'!R$2:R$401,$U289)))</f>
        <v/>
      </c>
      <c r="S289" s="7">
        <f>IF($U289="","",IF(INDEX('Per Invoice'!S$2:S$401,$U289)="","",INDEX('Per Invoice'!S$2:S$401,$U289)))</f>
        <v/>
      </c>
      <c r="T289" s="7">
        <f>IF($U289="","",IF(INDEX('Per Invoice'!T$2:T$401,$U289)="","",INDEX('Per Invoice'!T$2:T$401,$U289)))</f>
        <v/>
      </c>
      <c r="U289" s="16">
        <f>IFERROR(MATCH(Settings!$C$28&amp;"|"&amp;ROWS($U$2:$U289),'Per Invoice'!$V$2:$V$401,0),"")</f>
        <v/>
      </c>
    </row>
    <row r="290">
      <c r="A290">
        <f>IF($U290="","",IF(INDEX('Per Invoice'!A$2:A$401,$U290)="","",INDEX('Per Invoice'!A$2:A$401,$U290)))</f>
        <v/>
      </c>
      <c r="B290">
        <f>IF($U290="","",IF(INDEX('Per Invoice'!B$2:B$401,$U290)="","",INDEX('Per Invoice'!B$2:B$401,$U290)))</f>
        <v/>
      </c>
      <c r="C290">
        <f>IF($U290="","",IF(INDEX('Per Invoice'!C$2:C$401,$U290)="","",INDEX('Per Invoice'!C$2:C$401,$U290)))</f>
        <v/>
      </c>
      <c r="D290">
        <f>IF($U290="","",IF(INDEX('Per Invoice'!D$2:D$401,$U290)="","",INDEX('Per Invoice'!D$2:D$401,$U290)))</f>
        <v/>
      </c>
      <c r="E290">
        <f>IF($U290="","",IF(INDEX('Per Invoice'!E$2:E$401,$U290)="","",INDEX('Per Invoice'!E$2:E$401,$U290)))</f>
        <v/>
      </c>
      <c r="F290">
        <f>IF($U290="","",IF(INDEX('Per Invoice'!F$2:F$401,$U290)="","",INDEX('Per Invoice'!F$2:F$401,$U290)))</f>
        <v/>
      </c>
      <c r="G290">
        <f>IF($U290="","",IF(INDEX('Per Invoice'!G$2:G$401,$U290)="","",INDEX('Per Invoice'!G$2:G$401,$U290)))</f>
        <v/>
      </c>
      <c r="H290" s="7">
        <f>IF($U290="","",IF(INDEX('Per Invoice'!H$2:H$401,$U290)="","",INDEX('Per Invoice'!H$2:H$401,$U290)))</f>
        <v/>
      </c>
      <c r="I290" s="14">
        <f>IF($U290="","",IF(INDEX('Per Invoice'!I$2:I$401,$U290)="","",INDEX('Per Invoice'!I$2:I$401,$U290)))</f>
        <v/>
      </c>
      <c r="J290">
        <f>IF($U290="","",IF(INDEX('Per Invoice'!J$2:J$401,$U290)="","",INDEX('Per Invoice'!J$2:J$401,$U290)))</f>
        <v/>
      </c>
      <c r="K290">
        <f>IF($U290="","",IF(INDEX('Per Invoice'!K$2:K$401,$U290)="","",INDEX('Per Invoice'!K$2:K$401,$U290)))</f>
        <v/>
      </c>
      <c r="L290" s="7">
        <f>IF($U290="","",IF(INDEX('Per Invoice'!L$2:L$401,$U290)="","",INDEX('Per Invoice'!L$2:L$401,$U290)))</f>
        <v/>
      </c>
      <c r="M290" s="7">
        <f>IF($U290="","",IF(INDEX('Per Invoice'!M$2:M$401,$U290)="","",INDEX('Per Invoice'!M$2:M$401,$U290)))</f>
        <v/>
      </c>
      <c r="N290">
        <f>IF($U290="","",IF(INDEX('Per Invoice'!N$2:N$401,$U290)="","",INDEX('Per Invoice'!N$2:N$401,$U290)))</f>
        <v/>
      </c>
      <c r="O290" s="7">
        <f>IF($U290="","",IF(INDEX('Per Invoice'!O$2:O$401,$U290)="","",INDEX('Per Invoice'!O$2:O$401,$U290)))</f>
        <v/>
      </c>
      <c r="P290" s="7">
        <f>IF($U290="","",IF(INDEX('Per Invoice'!P$2:P$401,$U290)="","",INDEX('Per Invoice'!P$2:P$401,$U290)))</f>
        <v/>
      </c>
      <c r="Q290" s="7">
        <f>IF($U290="","",IF(INDEX('Per Invoice'!Q$2:Q$401,$U290)="","",INDEX('Per Invoice'!Q$2:Q$401,$U290)))</f>
        <v/>
      </c>
      <c r="R290" s="7">
        <f>IF($U290="","",IF(INDEX('Per Invoice'!R$2:R$401,$U290)="","",INDEX('Per Invoice'!R$2:R$401,$U290)))</f>
        <v/>
      </c>
      <c r="S290" s="7">
        <f>IF($U290="","",IF(INDEX('Per Invoice'!S$2:S$401,$U290)="","",INDEX('Per Invoice'!S$2:S$401,$U290)))</f>
        <v/>
      </c>
      <c r="T290" s="7">
        <f>IF($U290="","",IF(INDEX('Per Invoice'!T$2:T$401,$U290)="","",INDEX('Per Invoice'!T$2:T$401,$U290)))</f>
        <v/>
      </c>
      <c r="U290" s="16">
        <f>IFERROR(MATCH(Settings!$C$28&amp;"|"&amp;ROWS($U$2:$U290),'Per Invoice'!$V$2:$V$401,0),"")</f>
        <v/>
      </c>
    </row>
    <row r="291">
      <c r="A291">
        <f>IF($U291="","",IF(INDEX('Per Invoice'!A$2:A$401,$U291)="","",INDEX('Per Invoice'!A$2:A$401,$U291)))</f>
        <v/>
      </c>
      <c r="B291">
        <f>IF($U291="","",IF(INDEX('Per Invoice'!B$2:B$401,$U291)="","",INDEX('Per Invoice'!B$2:B$401,$U291)))</f>
        <v/>
      </c>
      <c r="C291">
        <f>IF($U291="","",IF(INDEX('Per Invoice'!C$2:C$401,$U291)="","",INDEX('Per Invoice'!C$2:C$401,$U291)))</f>
        <v/>
      </c>
      <c r="D291">
        <f>IF($U291="","",IF(INDEX('Per Invoice'!D$2:D$401,$U291)="","",INDEX('Per Invoice'!D$2:D$401,$U291)))</f>
        <v/>
      </c>
      <c r="E291">
        <f>IF($U291="","",IF(INDEX('Per Invoice'!E$2:E$401,$U291)="","",INDEX('Per Invoice'!E$2:E$401,$U291)))</f>
        <v/>
      </c>
      <c r="F291">
        <f>IF($U291="","",IF(INDEX('Per Invoice'!F$2:F$401,$U291)="","",INDEX('Per Invoice'!F$2:F$401,$U291)))</f>
        <v/>
      </c>
      <c r="G291">
        <f>IF($U291="","",IF(INDEX('Per Invoice'!G$2:G$401,$U291)="","",INDEX('Per Invoice'!G$2:G$401,$U291)))</f>
        <v/>
      </c>
      <c r="H291" s="7">
        <f>IF($U291="","",IF(INDEX('Per Invoice'!H$2:H$401,$U291)="","",INDEX('Per Invoice'!H$2:H$401,$U291)))</f>
        <v/>
      </c>
      <c r="I291" s="14">
        <f>IF($U291="","",IF(INDEX('Per Invoice'!I$2:I$401,$U291)="","",INDEX('Per Invoice'!I$2:I$401,$U291)))</f>
        <v/>
      </c>
      <c r="J291">
        <f>IF($U291="","",IF(INDEX('Per Invoice'!J$2:J$401,$U291)="","",INDEX('Per Invoice'!J$2:J$401,$U291)))</f>
        <v/>
      </c>
      <c r="K291">
        <f>IF($U291="","",IF(INDEX('Per Invoice'!K$2:K$401,$U291)="","",INDEX('Per Invoice'!K$2:K$401,$U291)))</f>
        <v/>
      </c>
      <c r="L291" s="7">
        <f>IF($U291="","",IF(INDEX('Per Invoice'!L$2:L$401,$U291)="","",INDEX('Per Invoice'!L$2:L$401,$U291)))</f>
        <v/>
      </c>
      <c r="M291" s="7">
        <f>IF($U291="","",IF(INDEX('Per Invoice'!M$2:M$401,$U291)="","",INDEX('Per Invoice'!M$2:M$401,$U291)))</f>
        <v/>
      </c>
      <c r="N291">
        <f>IF($U291="","",IF(INDEX('Per Invoice'!N$2:N$401,$U291)="","",INDEX('Per Invoice'!N$2:N$401,$U291)))</f>
        <v/>
      </c>
      <c r="O291" s="7">
        <f>IF($U291="","",IF(INDEX('Per Invoice'!O$2:O$401,$U291)="","",INDEX('Per Invoice'!O$2:O$401,$U291)))</f>
        <v/>
      </c>
      <c r="P291" s="7">
        <f>IF($U291="","",IF(INDEX('Per Invoice'!P$2:P$401,$U291)="","",INDEX('Per Invoice'!P$2:P$401,$U291)))</f>
        <v/>
      </c>
      <c r="Q291" s="7">
        <f>IF($U291="","",IF(INDEX('Per Invoice'!Q$2:Q$401,$U291)="","",INDEX('Per Invoice'!Q$2:Q$401,$U291)))</f>
        <v/>
      </c>
      <c r="R291" s="7">
        <f>IF($U291="","",IF(INDEX('Per Invoice'!R$2:R$401,$U291)="","",INDEX('Per Invoice'!R$2:R$401,$U291)))</f>
        <v/>
      </c>
      <c r="S291" s="7">
        <f>IF($U291="","",IF(INDEX('Per Invoice'!S$2:S$401,$U291)="","",INDEX('Per Invoice'!S$2:S$401,$U291)))</f>
        <v/>
      </c>
      <c r="T291" s="7">
        <f>IF($U291="","",IF(INDEX('Per Invoice'!T$2:T$401,$U291)="","",INDEX('Per Invoice'!T$2:T$401,$U291)))</f>
        <v/>
      </c>
      <c r="U291" s="16">
        <f>IFERROR(MATCH(Settings!$C$28&amp;"|"&amp;ROWS($U$2:$U291),'Per Invoice'!$V$2:$V$401,0),"")</f>
        <v/>
      </c>
    </row>
    <row r="292">
      <c r="A292">
        <f>IF($U292="","",IF(INDEX('Per Invoice'!A$2:A$401,$U292)="","",INDEX('Per Invoice'!A$2:A$401,$U292)))</f>
        <v/>
      </c>
      <c r="B292">
        <f>IF($U292="","",IF(INDEX('Per Invoice'!B$2:B$401,$U292)="","",INDEX('Per Invoice'!B$2:B$401,$U292)))</f>
        <v/>
      </c>
      <c r="C292">
        <f>IF($U292="","",IF(INDEX('Per Invoice'!C$2:C$401,$U292)="","",INDEX('Per Invoice'!C$2:C$401,$U292)))</f>
        <v/>
      </c>
      <c r="D292">
        <f>IF($U292="","",IF(INDEX('Per Invoice'!D$2:D$401,$U292)="","",INDEX('Per Invoice'!D$2:D$401,$U292)))</f>
        <v/>
      </c>
      <c r="E292">
        <f>IF($U292="","",IF(INDEX('Per Invoice'!E$2:E$401,$U292)="","",INDEX('Per Invoice'!E$2:E$401,$U292)))</f>
        <v/>
      </c>
      <c r="F292">
        <f>IF($U292="","",IF(INDEX('Per Invoice'!F$2:F$401,$U292)="","",INDEX('Per Invoice'!F$2:F$401,$U292)))</f>
        <v/>
      </c>
      <c r="G292">
        <f>IF($U292="","",IF(INDEX('Per Invoice'!G$2:G$401,$U292)="","",INDEX('Per Invoice'!G$2:G$401,$U292)))</f>
        <v/>
      </c>
      <c r="H292" s="7">
        <f>IF($U292="","",IF(INDEX('Per Invoice'!H$2:H$401,$U292)="","",INDEX('Per Invoice'!H$2:H$401,$U292)))</f>
        <v/>
      </c>
      <c r="I292" s="14">
        <f>IF($U292="","",IF(INDEX('Per Invoice'!I$2:I$401,$U292)="","",INDEX('Per Invoice'!I$2:I$401,$U292)))</f>
        <v/>
      </c>
      <c r="J292">
        <f>IF($U292="","",IF(INDEX('Per Invoice'!J$2:J$401,$U292)="","",INDEX('Per Invoice'!J$2:J$401,$U292)))</f>
        <v/>
      </c>
      <c r="K292">
        <f>IF($U292="","",IF(INDEX('Per Invoice'!K$2:K$401,$U292)="","",INDEX('Per Invoice'!K$2:K$401,$U292)))</f>
        <v/>
      </c>
      <c r="L292" s="7">
        <f>IF($U292="","",IF(INDEX('Per Invoice'!L$2:L$401,$U292)="","",INDEX('Per Invoice'!L$2:L$401,$U292)))</f>
        <v/>
      </c>
      <c r="M292" s="7">
        <f>IF($U292="","",IF(INDEX('Per Invoice'!M$2:M$401,$U292)="","",INDEX('Per Invoice'!M$2:M$401,$U292)))</f>
        <v/>
      </c>
      <c r="N292">
        <f>IF($U292="","",IF(INDEX('Per Invoice'!N$2:N$401,$U292)="","",INDEX('Per Invoice'!N$2:N$401,$U292)))</f>
        <v/>
      </c>
      <c r="O292" s="7">
        <f>IF($U292="","",IF(INDEX('Per Invoice'!O$2:O$401,$U292)="","",INDEX('Per Invoice'!O$2:O$401,$U292)))</f>
        <v/>
      </c>
      <c r="P292" s="7">
        <f>IF($U292="","",IF(INDEX('Per Invoice'!P$2:P$401,$U292)="","",INDEX('Per Invoice'!P$2:P$401,$U292)))</f>
        <v/>
      </c>
      <c r="Q292" s="7">
        <f>IF($U292="","",IF(INDEX('Per Invoice'!Q$2:Q$401,$U292)="","",INDEX('Per Invoice'!Q$2:Q$401,$U292)))</f>
        <v/>
      </c>
      <c r="R292" s="7">
        <f>IF($U292="","",IF(INDEX('Per Invoice'!R$2:R$401,$U292)="","",INDEX('Per Invoice'!R$2:R$401,$U292)))</f>
        <v/>
      </c>
      <c r="S292" s="7">
        <f>IF($U292="","",IF(INDEX('Per Invoice'!S$2:S$401,$U292)="","",INDEX('Per Invoice'!S$2:S$401,$U292)))</f>
        <v/>
      </c>
      <c r="T292" s="7">
        <f>IF($U292="","",IF(INDEX('Per Invoice'!T$2:T$401,$U292)="","",INDEX('Per Invoice'!T$2:T$401,$U292)))</f>
        <v/>
      </c>
      <c r="U292" s="16">
        <f>IFERROR(MATCH(Settings!$C$28&amp;"|"&amp;ROWS($U$2:$U292),'Per Invoice'!$V$2:$V$401,0),"")</f>
        <v/>
      </c>
    </row>
    <row r="293">
      <c r="A293">
        <f>IF($U293="","",IF(INDEX('Per Invoice'!A$2:A$401,$U293)="","",INDEX('Per Invoice'!A$2:A$401,$U293)))</f>
        <v/>
      </c>
      <c r="B293">
        <f>IF($U293="","",IF(INDEX('Per Invoice'!B$2:B$401,$U293)="","",INDEX('Per Invoice'!B$2:B$401,$U293)))</f>
        <v/>
      </c>
      <c r="C293">
        <f>IF($U293="","",IF(INDEX('Per Invoice'!C$2:C$401,$U293)="","",INDEX('Per Invoice'!C$2:C$401,$U293)))</f>
        <v/>
      </c>
      <c r="D293">
        <f>IF($U293="","",IF(INDEX('Per Invoice'!D$2:D$401,$U293)="","",INDEX('Per Invoice'!D$2:D$401,$U293)))</f>
        <v/>
      </c>
      <c r="E293">
        <f>IF($U293="","",IF(INDEX('Per Invoice'!E$2:E$401,$U293)="","",INDEX('Per Invoice'!E$2:E$401,$U293)))</f>
        <v/>
      </c>
      <c r="F293">
        <f>IF($U293="","",IF(INDEX('Per Invoice'!F$2:F$401,$U293)="","",INDEX('Per Invoice'!F$2:F$401,$U293)))</f>
        <v/>
      </c>
      <c r="G293">
        <f>IF($U293="","",IF(INDEX('Per Invoice'!G$2:G$401,$U293)="","",INDEX('Per Invoice'!G$2:G$401,$U293)))</f>
        <v/>
      </c>
      <c r="H293" s="7">
        <f>IF($U293="","",IF(INDEX('Per Invoice'!H$2:H$401,$U293)="","",INDEX('Per Invoice'!H$2:H$401,$U293)))</f>
        <v/>
      </c>
      <c r="I293" s="14">
        <f>IF($U293="","",IF(INDEX('Per Invoice'!I$2:I$401,$U293)="","",INDEX('Per Invoice'!I$2:I$401,$U293)))</f>
        <v/>
      </c>
      <c r="J293">
        <f>IF($U293="","",IF(INDEX('Per Invoice'!J$2:J$401,$U293)="","",INDEX('Per Invoice'!J$2:J$401,$U293)))</f>
        <v/>
      </c>
      <c r="K293">
        <f>IF($U293="","",IF(INDEX('Per Invoice'!K$2:K$401,$U293)="","",INDEX('Per Invoice'!K$2:K$401,$U293)))</f>
        <v/>
      </c>
      <c r="L293" s="7">
        <f>IF($U293="","",IF(INDEX('Per Invoice'!L$2:L$401,$U293)="","",INDEX('Per Invoice'!L$2:L$401,$U293)))</f>
        <v/>
      </c>
      <c r="M293" s="7">
        <f>IF($U293="","",IF(INDEX('Per Invoice'!M$2:M$401,$U293)="","",INDEX('Per Invoice'!M$2:M$401,$U293)))</f>
        <v/>
      </c>
      <c r="N293">
        <f>IF($U293="","",IF(INDEX('Per Invoice'!N$2:N$401,$U293)="","",INDEX('Per Invoice'!N$2:N$401,$U293)))</f>
        <v/>
      </c>
      <c r="O293" s="7">
        <f>IF($U293="","",IF(INDEX('Per Invoice'!O$2:O$401,$U293)="","",INDEX('Per Invoice'!O$2:O$401,$U293)))</f>
        <v/>
      </c>
      <c r="P293" s="7">
        <f>IF($U293="","",IF(INDEX('Per Invoice'!P$2:P$401,$U293)="","",INDEX('Per Invoice'!P$2:P$401,$U293)))</f>
        <v/>
      </c>
      <c r="Q293" s="7">
        <f>IF($U293="","",IF(INDEX('Per Invoice'!Q$2:Q$401,$U293)="","",INDEX('Per Invoice'!Q$2:Q$401,$U293)))</f>
        <v/>
      </c>
      <c r="R293" s="7">
        <f>IF($U293="","",IF(INDEX('Per Invoice'!R$2:R$401,$U293)="","",INDEX('Per Invoice'!R$2:R$401,$U293)))</f>
        <v/>
      </c>
      <c r="S293" s="7">
        <f>IF($U293="","",IF(INDEX('Per Invoice'!S$2:S$401,$U293)="","",INDEX('Per Invoice'!S$2:S$401,$U293)))</f>
        <v/>
      </c>
      <c r="T293" s="7">
        <f>IF($U293="","",IF(INDEX('Per Invoice'!T$2:T$401,$U293)="","",INDEX('Per Invoice'!T$2:T$401,$U293)))</f>
        <v/>
      </c>
      <c r="U293" s="16">
        <f>IFERROR(MATCH(Settings!$C$28&amp;"|"&amp;ROWS($U$2:$U293),'Per Invoice'!$V$2:$V$401,0),"")</f>
        <v/>
      </c>
    </row>
    <row r="294">
      <c r="A294">
        <f>IF($U294="","",IF(INDEX('Per Invoice'!A$2:A$401,$U294)="","",INDEX('Per Invoice'!A$2:A$401,$U294)))</f>
        <v/>
      </c>
      <c r="B294">
        <f>IF($U294="","",IF(INDEX('Per Invoice'!B$2:B$401,$U294)="","",INDEX('Per Invoice'!B$2:B$401,$U294)))</f>
        <v/>
      </c>
      <c r="C294">
        <f>IF($U294="","",IF(INDEX('Per Invoice'!C$2:C$401,$U294)="","",INDEX('Per Invoice'!C$2:C$401,$U294)))</f>
        <v/>
      </c>
      <c r="D294">
        <f>IF($U294="","",IF(INDEX('Per Invoice'!D$2:D$401,$U294)="","",INDEX('Per Invoice'!D$2:D$401,$U294)))</f>
        <v/>
      </c>
      <c r="E294">
        <f>IF($U294="","",IF(INDEX('Per Invoice'!E$2:E$401,$U294)="","",INDEX('Per Invoice'!E$2:E$401,$U294)))</f>
        <v/>
      </c>
      <c r="F294">
        <f>IF($U294="","",IF(INDEX('Per Invoice'!F$2:F$401,$U294)="","",INDEX('Per Invoice'!F$2:F$401,$U294)))</f>
        <v/>
      </c>
      <c r="G294">
        <f>IF($U294="","",IF(INDEX('Per Invoice'!G$2:G$401,$U294)="","",INDEX('Per Invoice'!G$2:G$401,$U294)))</f>
        <v/>
      </c>
      <c r="H294" s="7">
        <f>IF($U294="","",IF(INDEX('Per Invoice'!H$2:H$401,$U294)="","",INDEX('Per Invoice'!H$2:H$401,$U294)))</f>
        <v/>
      </c>
      <c r="I294" s="14">
        <f>IF($U294="","",IF(INDEX('Per Invoice'!I$2:I$401,$U294)="","",INDEX('Per Invoice'!I$2:I$401,$U294)))</f>
        <v/>
      </c>
      <c r="J294">
        <f>IF($U294="","",IF(INDEX('Per Invoice'!J$2:J$401,$U294)="","",INDEX('Per Invoice'!J$2:J$401,$U294)))</f>
        <v/>
      </c>
      <c r="K294">
        <f>IF($U294="","",IF(INDEX('Per Invoice'!K$2:K$401,$U294)="","",INDEX('Per Invoice'!K$2:K$401,$U294)))</f>
        <v/>
      </c>
      <c r="L294" s="7">
        <f>IF($U294="","",IF(INDEX('Per Invoice'!L$2:L$401,$U294)="","",INDEX('Per Invoice'!L$2:L$401,$U294)))</f>
        <v/>
      </c>
      <c r="M294" s="7">
        <f>IF($U294="","",IF(INDEX('Per Invoice'!M$2:M$401,$U294)="","",INDEX('Per Invoice'!M$2:M$401,$U294)))</f>
        <v/>
      </c>
      <c r="N294">
        <f>IF($U294="","",IF(INDEX('Per Invoice'!N$2:N$401,$U294)="","",INDEX('Per Invoice'!N$2:N$401,$U294)))</f>
        <v/>
      </c>
      <c r="O294" s="7">
        <f>IF($U294="","",IF(INDEX('Per Invoice'!O$2:O$401,$U294)="","",INDEX('Per Invoice'!O$2:O$401,$U294)))</f>
        <v/>
      </c>
      <c r="P294" s="7">
        <f>IF($U294="","",IF(INDEX('Per Invoice'!P$2:P$401,$U294)="","",INDEX('Per Invoice'!P$2:P$401,$U294)))</f>
        <v/>
      </c>
      <c r="Q294" s="7">
        <f>IF($U294="","",IF(INDEX('Per Invoice'!Q$2:Q$401,$U294)="","",INDEX('Per Invoice'!Q$2:Q$401,$U294)))</f>
        <v/>
      </c>
      <c r="R294" s="7">
        <f>IF($U294="","",IF(INDEX('Per Invoice'!R$2:R$401,$U294)="","",INDEX('Per Invoice'!R$2:R$401,$U294)))</f>
        <v/>
      </c>
      <c r="S294" s="7">
        <f>IF($U294="","",IF(INDEX('Per Invoice'!S$2:S$401,$U294)="","",INDEX('Per Invoice'!S$2:S$401,$U294)))</f>
        <v/>
      </c>
      <c r="T294" s="7">
        <f>IF($U294="","",IF(INDEX('Per Invoice'!T$2:T$401,$U294)="","",INDEX('Per Invoice'!T$2:T$401,$U294)))</f>
        <v/>
      </c>
      <c r="U294" s="16">
        <f>IFERROR(MATCH(Settings!$C$28&amp;"|"&amp;ROWS($U$2:$U294),'Per Invoice'!$V$2:$V$401,0),"")</f>
        <v/>
      </c>
    </row>
    <row r="295">
      <c r="A295">
        <f>IF($U295="","",IF(INDEX('Per Invoice'!A$2:A$401,$U295)="","",INDEX('Per Invoice'!A$2:A$401,$U295)))</f>
        <v/>
      </c>
      <c r="B295">
        <f>IF($U295="","",IF(INDEX('Per Invoice'!B$2:B$401,$U295)="","",INDEX('Per Invoice'!B$2:B$401,$U295)))</f>
        <v/>
      </c>
      <c r="C295">
        <f>IF($U295="","",IF(INDEX('Per Invoice'!C$2:C$401,$U295)="","",INDEX('Per Invoice'!C$2:C$401,$U295)))</f>
        <v/>
      </c>
      <c r="D295">
        <f>IF($U295="","",IF(INDEX('Per Invoice'!D$2:D$401,$U295)="","",INDEX('Per Invoice'!D$2:D$401,$U295)))</f>
        <v/>
      </c>
      <c r="E295">
        <f>IF($U295="","",IF(INDEX('Per Invoice'!E$2:E$401,$U295)="","",INDEX('Per Invoice'!E$2:E$401,$U295)))</f>
        <v/>
      </c>
      <c r="F295">
        <f>IF($U295="","",IF(INDEX('Per Invoice'!F$2:F$401,$U295)="","",INDEX('Per Invoice'!F$2:F$401,$U295)))</f>
        <v/>
      </c>
      <c r="G295">
        <f>IF($U295="","",IF(INDEX('Per Invoice'!G$2:G$401,$U295)="","",INDEX('Per Invoice'!G$2:G$401,$U295)))</f>
        <v/>
      </c>
      <c r="H295" s="7">
        <f>IF($U295="","",IF(INDEX('Per Invoice'!H$2:H$401,$U295)="","",INDEX('Per Invoice'!H$2:H$401,$U295)))</f>
        <v/>
      </c>
      <c r="I295" s="14">
        <f>IF($U295="","",IF(INDEX('Per Invoice'!I$2:I$401,$U295)="","",INDEX('Per Invoice'!I$2:I$401,$U295)))</f>
        <v/>
      </c>
      <c r="J295">
        <f>IF($U295="","",IF(INDEX('Per Invoice'!J$2:J$401,$U295)="","",INDEX('Per Invoice'!J$2:J$401,$U295)))</f>
        <v/>
      </c>
      <c r="K295">
        <f>IF($U295="","",IF(INDEX('Per Invoice'!K$2:K$401,$U295)="","",INDEX('Per Invoice'!K$2:K$401,$U295)))</f>
        <v/>
      </c>
      <c r="L295" s="7">
        <f>IF($U295="","",IF(INDEX('Per Invoice'!L$2:L$401,$U295)="","",INDEX('Per Invoice'!L$2:L$401,$U295)))</f>
        <v/>
      </c>
      <c r="M295" s="7">
        <f>IF($U295="","",IF(INDEX('Per Invoice'!M$2:M$401,$U295)="","",INDEX('Per Invoice'!M$2:M$401,$U295)))</f>
        <v/>
      </c>
      <c r="N295">
        <f>IF($U295="","",IF(INDEX('Per Invoice'!N$2:N$401,$U295)="","",INDEX('Per Invoice'!N$2:N$401,$U295)))</f>
        <v/>
      </c>
      <c r="O295" s="7">
        <f>IF($U295="","",IF(INDEX('Per Invoice'!O$2:O$401,$U295)="","",INDEX('Per Invoice'!O$2:O$401,$U295)))</f>
        <v/>
      </c>
      <c r="P295" s="7">
        <f>IF($U295="","",IF(INDEX('Per Invoice'!P$2:P$401,$U295)="","",INDEX('Per Invoice'!P$2:P$401,$U295)))</f>
        <v/>
      </c>
      <c r="Q295" s="7">
        <f>IF($U295="","",IF(INDEX('Per Invoice'!Q$2:Q$401,$U295)="","",INDEX('Per Invoice'!Q$2:Q$401,$U295)))</f>
        <v/>
      </c>
      <c r="R295" s="7">
        <f>IF($U295="","",IF(INDEX('Per Invoice'!R$2:R$401,$U295)="","",INDEX('Per Invoice'!R$2:R$401,$U295)))</f>
        <v/>
      </c>
      <c r="S295" s="7">
        <f>IF($U295="","",IF(INDEX('Per Invoice'!S$2:S$401,$U295)="","",INDEX('Per Invoice'!S$2:S$401,$U295)))</f>
        <v/>
      </c>
      <c r="T295" s="7">
        <f>IF($U295="","",IF(INDEX('Per Invoice'!T$2:T$401,$U295)="","",INDEX('Per Invoice'!T$2:T$401,$U295)))</f>
        <v/>
      </c>
      <c r="U295" s="16">
        <f>IFERROR(MATCH(Settings!$C$28&amp;"|"&amp;ROWS($U$2:$U295),'Per Invoice'!$V$2:$V$401,0),"")</f>
        <v/>
      </c>
    </row>
    <row r="296">
      <c r="A296">
        <f>IF($U296="","",IF(INDEX('Per Invoice'!A$2:A$401,$U296)="","",INDEX('Per Invoice'!A$2:A$401,$U296)))</f>
        <v/>
      </c>
      <c r="B296">
        <f>IF($U296="","",IF(INDEX('Per Invoice'!B$2:B$401,$U296)="","",INDEX('Per Invoice'!B$2:B$401,$U296)))</f>
        <v/>
      </c>
      <c r="C296">
        <f>IF($U296="","",IF(INDEX('Per Invoice'!C$2:C$401,$U296)="","",INDEX('Per Invoice'!C$2:C$401,$U296)))</f>
        <v/>
      </c>
      <c r="D296">
        <f>IF($U296="","",IF(INDEX('Per Invoice'!D$2:D$401,$U296)="","",INDEX('Per Invoice'!D$2:D$401,$U296)))</f>
        <v/>
      </c>
      <c r="E296">
        <f>IF($U296="","",IF(INDEX('Per Invoice'!E$2:E$401,$U296)="","",INDEX('Per Invoice'!E$2:E$401,$U296)))</f>
        <v/>
      </c>
      <c r="F296">
        <f>IF($U296="","",IF(INDEX('Per Invoice'!F$2:F$401,$U296)="","",INDEX('Per Invoice'!F$2:F$401,$U296)))</f>
        <v/>
      </c>
      <c r="G296">
        <f>IF($U296="","",IF(INDEX('Per Invoice'!G$2:G$401,$U296)="","",INDEX('Per Invoice'!G$2:G$401,$U296)))</f>
        <v/>
      </c>
      <c r="H296" s="7">
        <f>IF($U296="","",IF(INDEX('Per Invoice'!H$2:H$401,$U296)="","",INDEX('Per Invoice'!H$2:H$401,$U296)))</f>
        <v/>
      </c>
      <c r="I296" s="14">
        <f>IF($U296="","",IF(INDEX('Per Invoice'!I$2:I$401,$U296)="","",INDEX('Per Invoice'!I$2:I$401,$U296)))</f>
        <v/>
      </c>
      <c r="J296">
        <f>IF($U296="","",IF(INDEX('Per Invoice'!J$2:J$401,$U296)="","",INDEX('Per Invoice'!J$2:J$401,$U296)))</f>
        <v/>
      </c>
      <c r="K296">
        <f>IF($U296="","",IF(INDEX('Per Invoice'!K$2:K$401,$U296)="","",INDEX('Per Invoice'!K$2:K$401,$U296)))</f>
        <v/>
      </c>
      <c r="L296" s="7">
        <f>IF($U296="","",IF(INDEX('Per Invoice'!L$2:L$401,$U296)="","",INDEX('Per Invoice'!L$2:L$401,$U296)))</f>
        <v/>
      </c>
      <c r="M296" s="7">
        <f>IF($U296="","",IF(INDEX('Per Invoice'!M$2:M$401,$U296)="","",INDEX('Per Invoice'!M$2:M$401,$U296)))</f>
        <v/>
      </c>
      <c r="N296">
        <f>IF($U296="","",IF(INDEX('Per Invoice'!N$2:N$401,$U296)="","",INDEX('Per Invoice'!N$2:N$401,$U296)))</f>
        <v/>
      </c>
      <c r="O296" s="7">
        <f>IF($U296="","",IF(INDEX('Per Invoice'!O$2:O$401,$U296)="","",INDEX('Per Invoice'!O$2:O$401,$U296)))</f>
        <v/>
      </c>
      <c r="P296" s="7">
        <f>IF($U296="","",IF(INDEX('Per Invoice'!P$2:P$401,$U296)="","",INDEX('Per Invoice'!P$2:P$401,$U296)))</f>
        <v/>
      </c>
      <c r="Q296" s="7">
        <f>IF($U296="","",IF(INDEX('Per Invoice'!Q$2:Q$401,$U296)="","",INDEX('Per Invoice'!Q$2:Q$401,$U296)))</f>
        <v/>
      </c>
      <c r="R296" s="7">
        <f>IF($U296="","",IF(INDEX('Per Invoice'!R$2:R$401,$U296)="","",INDEX('Per Invoice'!R$2:R$401,$U296)))</f>
        <v/>
      </c>
      <c r="S296" s="7">
        <f>IF($U296="","",IF(INDEX('Per Invoice'!S$2:S$401,$U296)="","",INDEX('Per Invoice'!S$2:S$401,$U296)))</f>
        <v/>
      </c>
      <c r="T296" s="7">
        <f>IF($U296="","",IF(INDEX('Per Invoice'!T$2:T$401,$U296)="","",INDEX('Per Invoice'!T$2:T$401,$U296)))</f>
        <v/>
      </c>
      <c r="U296" s="16">
        <f>IFERROR(MATCH(Settings!$C$28&amp;"|"&amp;ROWS($U$2:$U296),'Per Invoice'!$V$2:$V$401,0),"")</f>
        <v/>
      </c>
    </row>
    <row r="297">
      <c r="A297">
        <f>IF($U297="","",IF(INDEX('Per Invoice'!A$2:A$401,$U297)="","",INDEX('Per Invoice'!A$2:A$401,$U297)))</f>
        <v/>
      </c>
      <c r="B297">
        <f>IF($U297="","",IF(INDEX('Per Invoice'!B$2:B$401,$U297)="","",INDEX('Per Invoice'!B$2:B$401,$U297)))</f>
        <v/>
      </c>
      <c r="C297">
        <f>IF($U297="","",IF(INDEX('Per Invoice'!C$2:C$401,$U297)="","",INDEX('Per Invoice'!C$2:C$401,$U297)))</f>
        <v/>
      </c>
      <c r="D297">
        <f>IF($U297="","",IF(INDEX('Per Invoice'!D$2:D$401,$U297)="","",INDEX('Per Invoice'!D$2:D$401,$U297)))</f>
        <v/>
      </c>
      <c r="E297">
        <f>IF($U297="","",IF(INDEX('Per Invoice'!E$2:E$401,$U297)="","",INDEX('Per Invoice'!E$2:E$401,$U297)))</f>
        <v/>
      </c>
      <c r="F297">
        <f>IF($U297="","",IF(INDEX('Per Invoice'!F$2:F$401,$U297)="","",INDEX('Per Invoice'!F$2:F$401,$U297)))</f>
        <v/>
      </c>
      <c r="G297">
        <f>IF($U297="","",IF(INDEX('Per Invoice'!G$2:G$401,$U297)="","",INDEX('Per Invoice'!G$2:G$401,$U297)))</f>
        <v/>
      </c>
      <c r="H297" s="7">
        <f>IF($U297="","",IF(INDEX('Per Invoice'!H$2:H$401,$U297)="","",INDEX('Per Invoice'!H$2:H$401,$U297)))</f>
        <v/>
      </c>
      <c r="I297" s="14">
        <f>IF($U297="","",IF(INDEX('Per Invoice'!I$2:I$401,$U297)="","",INDEX('Per Invoice'!I$2:I$401,$U297)))</f>
        <v/>
      </c>
      <c r="J297">
        <f>IF($U297="","",IF(INDEX('Per Invoice'!J$2:J$401,$U297)="","",INDEX('Per Invoice'!J$2:J$401,$U297)))</f>
        <v/>
      </c>
      <c r="K297">
        <f>IF($U297="","",IF(INDEX('Per Invoice'!K$2:K$401,$U297)="","",INDEX('Per Invoice'!K$2:K$401,$U297)))</f>
        <v/>
      </c>
      <c r="L297" s="7">
        <f>IF($U297="","",IF(INDEX('Per Invoice'!L$2:L$401,$U297)="","",INDEX('Per Invoice'!L$2:L$401,$U297)))</f>
        <v/>
      </c>
      <c r="M297" s="7">
        <f>IF($U297="","",IF(INDEX('Per Invoice'!M$2:M$401,$U297)="","",INDEX('Per Invoice'!M$2:M$401,$U297)))</f>
        <v/>
      </c>
      <c r="N297">
        <f>IF($U297="","",IF(INDEX('Per Invoice'!N$2:N$401,$U297)="","",INDEX('Per Invoice'!N$2:N$401,$U297)))</f>
        <v/>
      </c>
      <c r="O297" s="7">
        <f>IF($U297="","",IF(INDEX('Per Invoice'!O$2:O$401,$U297)="","",INDEX('Per Invoice'!O$2:O$401,$U297)))</f>
        <v/>
      </c>
      <c r="P297" s="7">
        <f>IF($U297="","",IF(INDEX('Per Invoice'!P$2:P$401,$U297)="","",INDEX('Per Invoice'!P$2:P$401,$U297)))</f>
        <v/>
      </c>
      <c r="Q297" s="7">
        <f>IF($U297="","",IF(INDEX('Per Invoice'!Q$2:Q$401,$U297)="","",INDEX('Per Invoice'!Q$2:Q$401,$U297)))</f>
        <v/>
      </c>
      <c r="R297" s="7">
        <f>IF($U297="","",IF(INDEX('Per Invoice'!R$2:R$401,$U297)="","",INDEX('Per Invoice'!R$2:R$401,$U297)))</f>
        <v/>
      </c>
      <c r="S297" s="7">
        <f>IF($U297="","",IF(INDEX('Per Invoice'!S$2:S$401,$U297)="","",INDEX('Per Invoice'!S$2:S$401,$U297)))</f>
        <v/>
      </c>
      <c r="T297" s="7">
        <f>IF($U297="","",IF(INDEX('Per Invoice'!T$2:T$401,$U297)="","",INDEX('Per Invoice'!T$2:T$401,$U297)))</f>
        <v/>
      </c>
      <c r="U297" s="16">
        <f>IFERROR(MATCH(Settings!$C$28&amp;"|"&amp;ROWS($U$2:$U297),'Per Invoice'!$V$2:$V$401,0),"")</f>
        <v/>
      </c>
    </row>
    <row r="298">
      <c r="A298">
        <f>IF($U298="","",IF(INDEX('Per Invoice'!A$2:A$401,$U298)="","",INDEX('Per Invoice'!A$2:A$401,$U298)))</f>
        <v/>
      </c>
      <c r="B298">
        <f>IF($U298="","",IF(INDEX('Per Invoice'!B$2:B$401,$U298)="","",INDEX('Per Invoice'!B$2:B$401,$U298)))</f>
        <v/>
      </c>
      <c r="C298">
        <f>IF($U298="","",IF(INDEX('Per Invoice'!C$2:C$401,$U298)="","",INDEX('Per Invoice'!C$2:C$401,$U298)))</f>
        <v/>
      </c>
      <c r="D298">
        <f>IF($U298="","",IF(INDEX('Per Invoice'!D$2:D$401,$U298)="","",INDEX('Per Invoice'!D$2:D$401,$U298)))</f>
        <v/>
      </c>
      <c r="E298">
        <f>IF($U298="","",IF(INDEX('Per Invoice'!E$2:E$401,$U298)="","",INDEX('Per Invoice'!E$2:E$401,$U298)))</f>
        <v/>
      </c>
      <c r="F298">
        <f>IF($U298="","",IF(INDEX('Per Invoice'!F$2:F$401,$U298)="","",INDEX('Per Invoice'!F$2:F$401,$U298)))</f>
        <v/>
      </c>
      <c r="G298">
        <f>IF($U298="","",IF(INDEX('Per Invoice'!G$2:G$401,$U298)="","",INDEX('Per Invoice'!G$2:G$401,$U298)))</f>
        <v/>
      </c>
      <c r="H298" s="7">
        <f>IF($U298="","",IF(INDEX('Per Invoice'!H$2:H$401,$U298)="","",INDEX('Per Invoice'!H$2:H$401,$U298)))</f>
        <v/>
      </c>
      <c r="I298" s="14">
        <f>IF($U298="","",IF(INDEX('Per Invoice'!I$2:I$401,$U298)="","",INDEX('Per Invoice'!I$2:I$401,$U298)))</f>
        <v/>
      </c>
      <c r="J298">
        <f>IF($U298="","",IF(INDEX('Per Invoice'!J$2:J$401,$U298)="","",INDEX('Per Invoice'!J$2:J$401,$U298)))</f>
        <v/>
      </c>
      <c r="K298">
        <f>IF($U298="","",IF(INDEX('Per Invoice'!K$2:K$401,$U298)="","",INDEX('Per Invoice'!K$2:K$401,$U298)))</f>
        <v/>
      </c>
      <c r="L298" s="7">
        <f>IF($U298="","",IF(INDEX('Per Invoice'!L$2:L$401,$U298)="","",INDEX('Per Invoice'!L$2:L$401,$U298)))</f>
        <v/>
      </c>
      <c r="M298" s="7">
        <f>IF($U298="","",IF(INDEX('Per Invoice'!M$2:M$401,$U298)="","",INDEX('Per Invoice'!M$2:M$401,$U298)))</f>
        <v/>
      </c>
      <c r="N298">
        <f>IF($U298="","",IF(INDEX('Per Invoice'!N$2:N$401,$U298)="","",INDEX('Per Invoice'!N$2:N$401,$U298)))</f>
        <v/>
      </c>
      <c r="O298" s="7">
        <f>IF($U298="","",IF(INDEX('Per Invoice'!O$2:O$401,$U298)="","",INDEX('Per Invoice'!O$2:O$401,$U298)))</f>
        <v/>
      </c>
      <c r="P298" s="7">
        <f>IF($U298="","",IF(INDEX('Per Invoice'!P$2:P$401,$U298)="","",INDEX('Per Invoice'!P$2:P$401,$U298)))</f>
        <v/>
      </c>
      <c r="Q298" s="7">
        <f>IF($U298="","",IF(INDEX('Per Invoice'!Q$2:Q$401,$U298)="","",INDEX('Per Invoice'!Q$2:Q$401,$U298)))</f>
        <v/>
      </c>
      <c r="R298" s="7">
        <f>IF($U298="","",IF(INDEX('Per Invoice'!R$2:R$401,$U298)="","",INDEX('Per Invoice'!R$2:R$401,$U298)))</f>
        <v/>
      </c>
      <c r="S298" s="7">
        <f>IF($U298="","",IF(INDEX('Per Invoice'!S$2:S$401,$U298)="","",INDEX('Per Invoice'!S$2:S$401,$U298)))</f>
        <v/>
      </c>
      <c r="T298" s="7">
        <f>IF($U298="","",IF(INDEX('Per Invoice'!T$2:T$401,$U298)="","",INDEX('Per Invoice'!T$2:T$401,$U298)))</f>
        <v/>
      </c>
      <c r="U298" s="16">
        <f>IFERROR(MATCH(Settings!$C$28&amp;"|"&amp;ROWS($U$2:$U298),'Per Invoice'!$V$2:$V$401,0),"")</f>
        <v/>
      </c>
    </row>
    <row r="299">
      <c r="A299">
        <f>IF($U299="","",IF(INDEX('Per Invoice'!A$2:A$401,$U299)="","",INDEX('Per Invoice'!A$2:A$401,$U299)))</f>
        <v/>
      </c>
      <c r="B299">
        <f>IF($U299="","",IF(INDEX('Per Invoice'!B$2:B$401,$U299)="","",INDEX('Per Invoice'!B$2:B$401,$U299)))</f>
        <v/>
      </c>
      <c r="C299">
        <f>IF($U299="","",IF(INDEX('Per Invoice'!C$2:C$401,$U299)="","",INDEX('Per Invoice'!C$2:C$401,$U299)))</f>
        <v/>
      </c>
      <c r="D299">
        <f>IF($U299="","",IF(INDEX('Per Invoice'!D$2:D$401,$U299)="","",INDEX('Per Invoice'!D$2:D$401,$U299)))</f>
        <v/>
      </c>
      <c r="E299">
        <f>IF($U299="","",IF(INDEX('Per Invoice'!E$2:E$401,$U299)="","",INDEX('Per Invoice'!E$2:E$401,$U299)))</f>
        <v/>
      </c>
      <c r="F299">
        <f>IF($U299="","",IF(INDEX('Per Invoice'!F$2:F$401,$U299)="","",INDEX('Per Invoice'!F$2:F$401,$U299)))</f>
        <v/>
      </c>
      <c r="G299">
        <f>IF($U299="","",IF(INDEX('Per Invoice'!G$2:G$401,$U299)="","",INDEX('Per Invoice'!G$2:G$401,$U299)))</f>
        <v/>
      </c>
      <c r="H299" s="7">
        <f>IF($U299="","",IF(INDEX('Per Invoice'!H$2:H$401,$U299)="","",INDEX('Per Invoice'!H$2:H$401,$U299)))</f>
        <v/>
      </c>
      <c r="I299" s="14">
        <f>IF($U299="","",IF(INDEX('Per Invoice'!I$2:I$401,$U299)="","",INDEX('Per Invoice'!I$2:I$401,$U299)))</f>
        <v/>
      </c>
      <c r="J299">
        <f>IF($U299="","",IF(INDEX('Per Invoice'!J$2:J$401,$U299)="","",INDEX('Per Invoice'!J$2:J$401,$U299)))</f>
        <v/>
      </c>
      <c r="K299">
        <f>IF($U299="","",IF(INDEX('Per Invoice'!K$2:K$401,$U299)="","",INDEX('Per Invoice'!K$2:K$401,$U299)))</f>
        <v/>
      </c>
      <c r="L299" s="7">
        <f>IF($U299="","",IF(INDEX('Per Invoice'!L$2:L$401,$U299)="","",INDEX('Per Invoice'!L$2:L$401,$U299)))</f>
        <v/>
      </c>
      <c r="M299" s="7">
        <f>IF($U299="","",IF(INDEX('Per Invoice'!M$2:M$401,$U299)="","",INDEX('Per Invoice'!M$2:M$401,$U299)))</f>
        <v/>
      </c>
      <c r="N299">
        <f>IF($U299="","",IF(INDEX('Per Invoice'!N$2:N$401,$U299)="","",INDEX('Per Invoice'!N$2:N$401,$U299)))</f>
        <v/>
      </c>
      <c r="O299" s="7">
        <f>IF($U299="","",IF(INDEX('Per Invoice'!O$2:O$401,$U299)="","",INDEX('Per Invoice'!O$2:O$401,$U299)))</f>
        <v/>
      </c>
      <c r="P299" s="7">
        <f>IF($U299="","",IF(INDEX('Per Invoice'!P$2:P$401,$U299)="","",INDEX('Per Invoice'!P$2:P$401,$U299)))</f>
        <v/>
      </c>
      <c r="Q299" s="7">
        <f>IF($U299="","",IF(INDEX('Per Invoice'!Q$2:Q$401,$U299)="","",INDEX('Per Invoice'!Q$2:Q$401,$U299)))</f>
        <v/>
      </c>
      <c r="R299" s="7">
        <f>IF($U299="","",IF(INDEX('Per Invoice'!R$2:R$401,$U299)="","",INDEX('Per Invoice'!R$2:R$401,$U299)))</f>
        <v/>
      </c>
      <c r="S299" s="7">
        <f>IF($U299="","",IF(INDEX('Per Invoice'!S$2:S$401,$U299)="","",INDEX('Per Invoice'!S$2:S$401,$U299)))</f>
        <v/>
      </c>
      <c r="T299" s="7">
        <f>IF($U299="","",IF(INDEX('Per Invoice'!T$2:T$401,$U299)="","",INDEX('Per Invoice'!T$2:T$401,$U299)))</f>
        <v/>
      </c>
      <c r="U299" s="16">
        <f>IFERROR(MATCH(Settings!$C$28&amp;"|"&amp;ROWS($U$2:$U299),'Per Invoice'!$V$2:$V$401,0),"")</f>
        <v/>
      </c>
    </row>
    <row r="300">
      <c r="A300">
        <f>IF($U300="","",IF(INDEX('Per Invoice'!A$2:A$401,$U300)="","",INDEX('Per Invoice'!A$2:A$401,$U300)))</f>
        <v/>
      </c>
      <c r="B300">
        <f>IF($U300="","",IF(INDEX('Per Invoice'!B$2:B$401,$U300)="","",INDEX('Per Invoice'!B$2:B$401,$U300)))</f>
        <v/>
      </c>
      <c r="C300">
        <f>IF($U300="","",IF(INDEX('Per Invoice'!C$2:C$401,$U300)="","",INDEX('Per Invoice'!C$2:C$401,$U300)))</f>
        <v/>
      </c>
      <c r="D300">
        <f>IF($U300="","",IF(INDEX('Per Invoice'!D$2:D$401,$U300)="","",INDEX('Per Invoice'!D$2:D$401,$U300)))</f>
        <v/>
      </c>
      <c r="E300">
        <f>IF($U300="","",IF(INDEX('Per Invoice'!E$2:E$401,$U300)="","",INDEX('Per Invoice'!E$2:E$401,$U300)))</f>
        <v/>
      </c>
      <c r="F300">
        <f>IF($U300="","",IF(INDEX('Per Invoice'!F$2:F$401,$U300)="","",INDEX('Per Invoice'!F$2:F$401,$U300)))</f>
        <v/>
      </c>
      <c r="G300">
        <f>IF($U300="","",IF(INDEX('Per Invoice'!G$2:G$401,$U300)="","",INDEX('Per Invoice'!G$2:G$401,$U300)))</f>
        <v/>
      </c>
      <c r="H300" s="7">
        <f>IF($U300="","",IF(INDEX('Per Invoice'!H$2:H$401,$U300)="","",INDEX('Per Invoice'!H$2:H$401,$U300)))</f>
        <v/>
      </c>
      <c r="I300" s="14">
        <f>IF($U300="","",IF(INDEX('Per Invoice'!I$2:I$401,$U300)="","",INDEX('Per Invoice'!I$2:I$401,$U300)))</f>
        <v/>
      </c>
      <c r="J300">
        <f>IF($U300="","",IF(INDEX('Per Invoice'!J$2:J$401,$U300)="","",INDEX('Per Invoice'!J$2:J$401,$U300)))</f>
        <v/>
      </c>
      <c r="K300">
        <f>IF($U300="","",IF(INDEX('Per Invoice'!K$2:K$401,$U300)="","",INDEX('Per Invoice'!K$2:K$401,$U300)))</f>
        <v/>
      </c>
      <c r="L300" s="7">
        <f>IF($U300="","",IF(INDEX('Per Invoice'!L$2:L$401,$U300)="","",INDEX('Per Invoice'!L$2:L$401,$U300)))</f>
        <v/>
      </c>
      <c r="M300" s="7">
        <f>IF($U300="","",IF(INDEX('Per Invoice'!M$2:M$401,$U300)="","",INDEX('Per Invoice'!M$2:M$401,$U300)))</f>
        <v/>
      </c>
      <c r="N300">
        <f>IF($U300="","",IF(INDEX('Per Invoice'!N$2:N$401,$U300)="","",INDEX('Per Invoice'!N$2:N$401,$U300)))</f>
        <v/>
      </c>
      <c r="O300" s="7">
        <f>IF($U300="","",IF(INDEX('Per Invoice'!O$2:O$401,$U300)="","",INDEX('Per Invoice'!O$2:O$401,$U300)))</f>
        <v/>
      </c>
      <c r="P300" s="7">
        <f>IF($U300="","",IF(INDEX('Per Invoice'!P$2:P$401,$U300)="","",INDEX('Per Invoice'!P$2:P$401,$U300)))</f>
        <v/>
      </c>
      <c r="Q300" s="7">
        <f>IF($U300="","",IF(INDEX('Per Invoice'!Q$2:Q$401,$U300)="","",INDEX('Per Invoice'!Q$2:Q$401,$U300)))</f>
        <v/>
      </c>
      <c r="R300" s="7">
        <f>IF($U300="","",IF(INDEX('Per Invoice'!R$2:R$401,$U300)="","",INDEX('Per Invoice'!R$2:R$401,$U300)))</f>
        <v/>
      </c>
      <c r="S300" s="7">
        <f>IF($U300="","",IF(INDEX('Per Invoice'!S$2:S$401,$U300)="","",INDEX('Per Invoice'!S$2:S$401,$U300)))</f>
        <v/>
      </c>
      <c r="T300" s="7">
        <f>IF($U300="","",IF(INDEX('Per Invoice'!T$2:T$401,$U300)="","",INDEX('Per Invoice'!T$2:T$401,$U300)))</f>
        <v/>
      </c>
      <c r="U300" s="16">
        <f>IFERROR(MATCH(Settings!$C$28&amp;"|"&amp;ROWS($U$2:$U300),'Per Invoice'!$V$2:$V$401,0),"")</f>
        <v/>
      </c>
    </row>
    <row r="301">
      <c r="A301">
        <f>IF($U301="","",IF(INDEX('Per Invoice'!A$2:A$401,$U301)="","",INDEX('Per Invoice'!A$2:A$401,$U301)))</f>
        <v/>
      </c>
      <c r="B301">
        <f>IF($U301="","",IF(INDEX('Per Invoice'!B$2:B$401,$U301)="","",INDEX('Per Invoice'!B$2:B$401,$U301)))</f>
        <v/>
      </c>
      <c r="C301">
        <f>IF($U301="","",IF(INDEX('Per Invoice'!C$2:C$401,$U301)="","",INDEX('Per Invoice'!C$2:C$401,$U301)))</f>
        <v/>
      </c>
      <c r="D301">
        <f>IF($U301="","",IF(INDEX('Per Invoice'!D$2:D$401,$U301)="","",INDEX('Per Invoice'!D$2:D$401,$U301)))</f>
        <v/>
      </c>
      <c r="E301">
        <f>IF($U301="","",IF(INDEX('Per Invoice'!E$2:E$401,$U301)="","",INDEX('Per Invoice'!E$2:E$401,$U301)))</f>
        <v/>
      </c>
      <c r="F301">
        <f>IF($U301="","",IF(INDEX('Per Invoice'!F$2:F$401,$U301)="","",INDEX('Per Invoice'!F$2:F$401,$U301)))</f>
        <v/>
      </c>
      <c r="G301">
        <f>IF($U301="","",IF(INDEX('Per Invoice'!G$2:G$401,$U301)="","",INDEX('Per Invoice'!G$2:G$401,$U301)))</f>
        <v/>
      </c>
      <c r="H301" s="7">
        <f>IF($U301="","",IF(INDEX('Per Invoice'!H$2:H$401,$U301)="","",INDEX('Per Invoice'!H$2:H$401,$U301)))</f>
        <v/>
      </c>
      <c r="I301" s="14">
        <f>IF($U301="","",IF(INDEX('Per Invoice'!I$2:I$401,$U301)="","",INDEX('Per Invoice'!I$2:I$401,$U301)))</f>
        <v/>
      </c>
      <c r="J301">
        <f>IF($U301="","",IF(INDEX('Per Invoice'!J$2:J$401,$U301)="","",INDEX('Per Invoice'!J$2:J$401,$U301)))</f>
        <v/>
      </c>
      <c r="K301">
        <f>IF($U301="","",IF(INDEX('Per Invoice'!K$2:K$401,$U301)="","",INDEX('Per Invoice'!K$2:K$401,$U301)))</f>
        <v/>
      </c>
      <c r="L301" s="7">
        <f>IF($U301="","",IF(INDEX('Per Invoice'!L$2:L$401,$U301)="","",INDEX('Per Invoice'!L$2:L$401,$U301)))</f>
        <v/>
      </c>
      <c r="M301" s="7">
        <f>IF($U301="","",IF(INDEX('Per Invoice'!M$2:M$401,$U301)="","",INDEX('Per Invoice'!M$2:M$401,$U301)))</f>
        <v/>
      </c>
      <c r="N301">
        <f>IF($U301="","",IF(INDEX('Per Invoice'!N$2:N$401,$U301)="","",INDEX('Per Invoice'!N$2:N$401,$U301)))</f>
        <v/>
      </c>
      <c r="O301" s="7">
        <f>IF($U301="","",IF(INDEX('Per Invoice'!O$2:O$401,$U301)="","",INDEX('Per Invoice'!O$2:O$401,$U301)))</f>
        <v/>
      </c>
      <c r="P301" s="7">
        <f>IF($U301="","",IF(INDEX('Per Invoice'!P$2:P$401,$U301)="","",INDEX('Per Invoice'!P$2:P$401,$U301)))</f>
        <v/>
      </c>
      <c r="Q301" s="7">
        <f>IF($U301="","",IF(INDEX('Per Invoice'!Q$2:Q$401,$U301)="","",INDEX('Per Invoice'!Q$2:Q$401,$U301)))</f>
        <v/>
      </c>
      <c r="R301" s="7">
        <f>IF($U301="","",IF(INDEX('Per Invoice'!R$2:R$401,$U301)="","",INDEX('Per Invoice'!R$2:R$401,$U301)))</f>
        <v/>
      </c>
      <c r="S301" s="7">
        <f>IF($U301="","",IF(INDEX('Per Invoice'!S$2:S$401,$U301)="","",INDEX('Per Invoice'!S$2:S$401,$U301)))</f>
        <v/>
      </c>
      <c r="T301" s="7">
        <f>IF($U301="","",IF(INDEX('Per Invoice'!T$2:T$401,$U301)="","",INDEX('Per Invoice'!T$2:T$401,$U301)))</f>
        <v/>
      </c>
      <c r="U301" s="16">
        <f>IFERROR(MATCH(Settings!$C$28&amp;"|"&amp;ROWS($U$2:$U301),'Per Invoice'!$V$2:$V$401,0),"")</f>
        <v/>
      </c>
    </row>
  </sheetData>
  <autoFilter ref="A1:U3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10" t="inlineStr">
        <is>
          <t>Pos Reference</t>
        </is>
      </c>
      <c r="B1" s="10" t="inlineStr">
        <is>
          <t>Copay Tab (##)</t>
        </is>
      </c>
      <c r="C1" s="10" t="inlineStr">
        <is>
          <t>Invoice</t>
        </is>
      </c>
      <c r="D1" s="10" t="inlineStr">
        <is>
          <t>Insurance Company</t>
        </is>
      </c>
      <c r="E1" s="10" t="inlineStr">
        <is>
          <t>Name</t>
        </is>
      </c>
      <c r="F1" s="10" t="inlineStr">
        <is>
          <t>Card Number</t>
        </is>
      </c>
      <c r="G1" s="10" t="inlineStr">
        <is>
          <t>Co Payment %</t>
        </is>
      </c>
      <c r="H1" s="10" t="inlineStr">
        <is>
          <t>Co val</t>
        </is>
      </c>
      <c r="I1" s="10" t="inlineStr">
        <is>
          <t>Create Date</t>
        </is>
      </c>
      <c r="J1" s="10" t="inlineStr">
        <is>
          <t>Session</t>
        </is>
      </c>
      <c r="K1" s="10" t="inlineStr">
        <is>
          <t>IMP%</t>
        </is>
      </c>
      <c r="L1" s="10" t="inlineStr">
        <is>
          <t>IMP</t>
        </is>
      </c>
      <c r="M1" s="10" t="inlineStr">
        <is>
          <t>IMP VAL</t>
        </is>
      </c>
      <c r="N1" s="10" t="inlineStr">
        <is>
          <t>LOCAL%</t>
        </is>
      </c>
      <c r="O1" s="10" t="inlineStr">
        <is>
          <t>LOCAL</t>
        </is>
      </c>
      <c r="P1" s="10" t="inlineStr">
        <is>
          <t>LOCAL VAL</t>
        </is>
      </c>
      <c r="Q1" s="10" t="inlineStr">
        <is>
          <t>TOTAL VAL</t>
        </is>
      </c>
      <c r="R1" s="10" t="inlineStr">
        <is>
          <t>SUBTOTAL</t>
        </is>
      </c>
      <c r="S1" s="10" t="inlineStr">
        <is>
          <t>Grand Total</t>
        </is>
      </c>
      <c r="T1" s="10" t="inlineStr">
        <is>
          <t>NET</t>
        </is>
      </c>
      <c r="U1" s="13" t="inlineStr">
        <is>
          <t>Src Row (helper)</t>
        </is>
      </c>
    </row>
    <row r="2">
      <c r="A2">
        <f>IF($U2="","",IF(INDEX('Per Invoice'!A$2:A$401,$U2)="","",INDEX('Per Invoice'!A$2:A$401,$U2)))</f>
        <v/>
      </c>
      <c r="B2">
        <f>IF($U2="","",IF(INDEX('Per Invoice'!B$2:B$401,$U2)="","",INDEX('Per Invoice'!B$2:B$401,$U2)))</f>
        <v/>
      </c>
      <c r="C2">
        <f>IF($U2="","",IF(INDEX('Per Invoice'!C$2:C$401,$U2)="","",INDEX('Per Invoice'!C$2:C$401,$U2)))</f>
        <v/>
      </c>
      <c r="D2">
        <f>IF($U2="","",IF(INDEX('Per Invoice'!D$2:D$401,$U2)="","",INDEX('Per Invoice'!D$2:D$401,$U2)))</f>
        <v/>
      </c>
      <c r="E2">
        <f>IF($U2="","",IF(INDEX('Per Invoice'!E$2:E$401,$U2)="","",INDEX('Per Invoice'!E$2:E$401,$U2)))</f>
        <v/>
      </c>
      <c r="F2">
        <f>IF($U2="","",IF(INDEX('Per Invoice'!F$2:F$401,$U2)="","",INDEX('Per Invoice'!F$2:F$401,$U2)))</f>
        <v/>
      </c>
      <c r="G2">
        <f>IF($U2="","",IF(INDEX('Per Invoice'!G$2:G$401,$U2)="","",INDEX('Per Invoice'!G$2:G$401,$U2)))</f>
        <v/>
      </c>
      <c r="H2" s="7">
        <f>IF($U2="","",IF(INDEX('Per Invoice'!H$2:H$401,$U2)="","",INDEX('Per Invoice'!H$2:H$401,$U2)))</f>
        <v/>
      </c>
      <c r="I2" s="14">
        <f>IF($U2="","",IF(INDEX('Per Invoice'!I$2:I$401,$U2)="","",INDEX('Per Invoice'!I$2:I$401,$U2)))</f>
        <v/>
      </c>
      <c r="J2">
        <f>IF($U2="","",IF(INDEX('Per Invoice'!J$2:J$401,$U2)="","",INDEX('Per Invoice'!J$2:J$401,$U2)))</f>
        <v/>
      </c>
      <c r="K2">
        <f>IF($U2="","",IF(INDEX('Per Invoice'!K$2:K$401,$U2)="","",INDEX('Per Invoice'!K$2:K$401,$U2)))</f>
        <v/>
      </c>
      <c r="L2" s="7">
        <f>IF($U2="","",IF(INDEX('Per Invoice'!L$2:L$401,$U2)="","",INDEX('Per Invoice'!L$2:L$401,$U2)))</f>
        <v/>
      </c>
      <c r="M2" s="7">
        <f>IF($U2="","",IF(INDEX('Per Invoice'!M$2:M$401,$U2)="","",INDEX('Per Invoice'!M$2:M$401,$U2)))</f>
        <v/>
      </c>
      <c r="N2">
        <f>IF($U2="","",IF(INDEX('Per Invoice'!N$2:N$401,$U2)="","",INDEX('Per Invoice'!N$2:N$401,$U2)))</f>
        <v/>
      </c>
      <c r="O2" s="7">
        <f>IF($U2="","",IF(INDEX('Per Invoice'!O$2:O$401,$U2)="","",INDEX('Per Invoice'!O$2:O$401,$U2)))</f>
        <v/>
      </c>
      <c r="P2" s="7">
        <f>IF($U2="","",IF(INDEX('Per Invoice'!P$2:P$401,$U2)="","",INDEX('Per Invoice'!P$2:P$401,$U2)))</f>
        <v/>
      </c>
      <c r="Q2" s="7">
        <f>IF($U2="","",IF(INDEX('Per Invoice'!Q$2:Q$401,$U2)="","",INDEX('Per Invoice'!Q$2:Q$401,$U2)))</f>
        <v/>
      </c>
      <c r="R2" s="7">
        <f>IF($U2="","",IF(INDEX('Per Invoice'!R$2:R$401,$U2)="","",INDEX('Per Invoice'!R$2:R$401,$U2)))</f>
        <v/>
      </c>
      <c r="S2" s="7">
        <f>IF($U2="","",IF(INDEX('Per Invoice'!S$2:S$401,$U2)="","",INDEX('Per Invoice'!S$2:S$401,$U2)))</f>
        <v/>
      </c>
      <c r="T2" s="7">
        <f>IF($U2="","",IF(INDEX('Per Invoice'!T$2:T$401,$U2)="","",INDEX('Per Invoice'!T$2:T$401,$U2)))</f>
        <v/>
      </c>
      <c r="U2" s="16">
        <f>IFERROR(MATCH(Settings!$C$29&amp;"|"&amp;ROWS($U$2:$U2),'Per Invoice'!$V$2:$V$401,0),"")</f>
        <v/>
      </c>
    </row>
    <row r="3">
      <c r="A3">
        <f>IF($U3="","",IF(INDEX('Per Invoice'!A$2:A$401,$U3)="","",INDEX('Per Invoice'!A$2:A$401,$U3)))</f>
        <v/>
      </c>
      <c r="B3">
        <f>IF($U3="","",IF(INDEX('Per Invoice'!B$2:B$401,$U3)="","",INDEX('Per Invoice'!B$2:B$401,$U3)))</f>
        <v/>
      </c>
      <c r="C3">
        <f>IF($U3="","",IF(INDEX('Per Invoice'!C$2:C$401,$U3)="","",INDEX('Per Invoice'!C$2:C$401,$U3)))</f>
        <v/>
      </c>
      <c r="D3">
        <f>IF($U3="","",IF(INDEX('Per Invoice'!D$2:D$401,$U3)="","",INDEX('Per Invoice'!D$2:D$401,$U3)))</f>
        <v/>
      </c>
      <c r="E3">
        <f>IF($U3="","",IF(INDEX('Per Invoice'!E$2:E$401,$U3)="","",INDEX('Per Invoice'!E$2:E$401,$U3)))</f>
        <v/>
      </c>
      <c r="F3">
        <f>IF($U3="","",IF(INDEX('Per Invoice'!F$2:F$401,$U3)="","",INDEX('Per Invoice'!F$2:F$401,$U3)))</f>
        <v/>
      </c>
      <c r="G3">
        <f>IF($U3="","",IF(INDEX('Per Invoice'!G$2:G$401,$U3)="","",INDEX('Per Invoice'!G$2:G$401,$U3)))</f>
        <v/>
      </c>
      <c r="H3" s="7">
        <f>IF($U3="","",IF(INDEX('Per Invoice'!H$2:H$401,$U3)="","",INDEX('Per Invoice'!H$2:H$401,$U3)))</f>
        <v/>
      </c>
      <c r="I3" s="14">
        <f>IF($U3="","",IF(INDEX('Per Invoice'!I$2:I$401,$U3)="","",INDEX('Per Invoice'!I$2:I$401,$U3)))</f>
        <v/>
      </c>
      <c r="J3">
        <f>IF($U3="","",IF(INDEX('Per Invoice'!J$2:J$401,$U3)="","",INDEX('Per Invoice'!J$2:J$401,$U3)))</f>
        <v/>
      </c>
      <c r="K3">
        <f>IF($U3="","",IF(INDEX('Per Invoice'!K$2:K$401,$U3)="","",INDEX('Per Invoice'!K$2:K$401,$U3)))</f>
        <v/>
      </c>
      <c r="L3" s="7">
        <f>IF($U3="","",IF(INDEX('Per Invoice'!L$2:L$401,$U3)="","",INDEX('Per Invoice'!L$2:L$401,$U3)))</f>
        <v/>
      </c>
      <c r="M3" s="7">
        <f>IF($U3="","",IF(INDEX('Per Invoice'!M$2:M$401,$U3)="","",INDEX('Per Invoice'!M$2:M$401,$U3)))</f>
        <v/>
      </c>
      <c r="N3">
        <f>IF($U3="","",IF(INDEX('Per Invoice'!N$2:N$401,$U3)="","",INDEX('Per Invoice'!N$2:N$401,$U3)))</f>
        <v/>
      </c>
      <c r="O3" s="7">
        <f>IF($U3="","",IF(INDEX('Per Invoice'!O$2:O$401,$U3)="","",INDEX('Per Invoice'!O$2:O$401,$U3)))</f>
        <v/>
      </c>
      <c r="P3" s="7">
        <f>IF($U3="","",IF(INDEX('Per Invoice'!P$2:P$401,$U3)="","",INDEX('Per Invoice'!P$2:P$401,$U3)))</f>
        <v/>
      </c>
      <c r="Q3" s="7">
        <f>IF($U3="","",IF(INDEX('Per Invoice'!Q$2:Q$401,$U3)="","",INDEX('Per Invoice'!Q$2:Q$401,$U3)))</f>
        <v/>
      </c>
      <c r="R3" s="7">
        <f>IF($U3="","",IF(INDEX('Per Invoice'!R$2:R$401,$U3)="","",INDEX('Per Invoice'!R$2:R$401,$U3)))</f>
        <v/>
      </c>
      <c r="S3" s="7">
        <f>IF($U3="","",IF(INDEX('Per Invoice'!S$2:S$401,$U3)="","",INDEX('Per Invoice'!S$2:S$401,$U3)))</f>
        <v/>
      </c>
      <c r="T3" s="7">
        <f>IF($U3="","",IF(INDEX('Per Invoice'!T$2:T$401,$U3)="","",INDEX('Per Invoice'!T$2:T$401,$U3)))</f>
        <v/>
      </c>
      <c r="U3" s="16">
        <f>IFERROR(MATCH(Settings!$C$29&amp;"|"&amp;ROWS($U$2:$U3),'Per Invoice'!$V$2:$V$401,0),"")</f>
        <v/>
      </c>
    </row>
    <row r="4">
      <c r="A4">
        <f>IF($U4="","",IF(INDEX('Per Invoice'!A$2:A$401,$U4)="","",INDEX('Per Invoice'!A$2:A$401,$U4)))</f>
        <v/>
      </c>
      <c r="B4">
        <f>IF($U4="","",IF(INDEX('Per Invoice'!B$2:B$401,$U4)="","",INDEX('Per Invoice'!B$2:B$401,$U4)))</f>
        <v/>
      </c>
      <c r="C4">
        <f>IF($U4="","",IF(INDEX('Per Invoice'!C$2:C$401,$U4)="","",INDEX('Per Invoice'!C$2:C$401,$U4)))</f>
        <v/>
      </c>
      <c r="D4">
        <f>IF($U4="","",IF(INDEX('Per Invoice'!D$2:D$401,$U4)="","",INDEX('Per Invoice'!D$2:D$401,$U4)))</f>
        <v/>
      </c>
      <c r="E4">
        <f>IF($U4="","",IF(INDEX('Per Invoice'!E$2:E$401,$U4)="","",INDEX('Per Invoice'!E$2:E$401,$U4)))</f>
        <v/>
      </c>
      <c r="F4">
        <f>IF($U4="","",IF(INDEX('Per Invoice'!F$2:F$401,$U4)="","",INDEX('Per Invoice'!F$2:F$401,$U4)))</f>
        <v/>
      </c>
      <c r="G4">
        <f>IF($U4="","",IF(INDEX('Per Invoice'!G$2:G$401,$U4)="","",INDEX('Per Invoice'!G$2:G$401,$U4)))</f>
        <v/>
      </c>
      <c r="H4" s="7">
        <f>IF($U4="","",IF(INDEX('Per Invoice'!H$2:H$401,$U4)="","",INDEX('Per Invoice'!H$2:H$401,$U4)))</f>
        <v/>
      </c>
      <c r="I4" s="14">
        <f>IF($U4="","",IF(INDEX('Per Invoice'!I$2:I$401,$U4)="","",INDEX('Per Invoice'!I$2:I$401,$U4)))</f>
        <v/>
      </c>
      <c r="J4">
        <f>IF($U4="","",IF(INDEX('Per Invoice'!J$2:J$401,$U4)="","",INDEX('Per Invoice'!J$2:J$401,$U4)))</f>
        <v/>
      </c>
      <c r="K4">
        <f>IF($U4="","",IF(INDEX('Per Invoice'!K$2:K$401,$U4)="","",INDEX('Per Invoice'!K$2:K$401,$U4)))</f>
        <v/>
      </c>
      <c r="L4" s="7">
        <f>IF($U4="","",IF(INDEX('Per Invoice'!L$2:L$401,$U4)="","",INDEX('Per Invoice'!L$2:L$401,$U4)))</f>
        <v/>
      </c>
      <c r="M4" s="7">
        <f>IF($U4="","",IF(INDEX('Per Invoice'!M$2:M$401,$U4)="","",INDEX('Per Invoice'!M$2:M$401,$U4)))</f>
        <v/>
      </c>
      <c r="N4">
        <f>IF($U4="","",IF(INDEX('Per Invoice'!N$2:N$401,$U4)="","",INDEX('Per Invoice'!N$2:N$401,$U4)))</f>
        <v/>
      </c>
      <c r="O4" s="7">
        <f>IF($U4="","",IF(INDEX('Per Invoice'!O$2:O$401,$U4)="","",INDEX('Per Invoice'!O$2:O$401,$U4)))</f>
        <v/>
      </c>
      <c r="P4" s="7">
        <f>IF($U4="","",IF(INDEX('Per Invoice'!P$2:P$401,$U4)="","",INDEX('Per Invoice'!P$2:P$401,$U4)))</f>
        <v/>
      </c>
      <c r="Q4" s="7">
        <f>IF($U4="","",IF(INDEX('Per Invoice'!Q$2:Q$401,$U4)="","",INDEX('Per Invoice'!Q$2:Q$401,$U4)))</f>
        <v/>
      </c>
      <c r="R4" s="7">
        <f>IF($U4="","",IF(INDEX('Per Invoice'!R$2:R$401,$U4)="","",INDEX('Per Invoice'!R$2:R$401,$U4)))</f>
        <v/>
      </c>
      <c r="S4" s="7">
        <f>IF($U4="","",IF(INDEX('Per Invoice'!S$2:S$401,$U4)="","",INDEX('Per Invoice'!S$2:S$401,$U4)))</f>
        <v/>
      </c>
      <c r="T4" s="7">
        <f>IF($U4="","",IF(INDEX('Per Invoice'!T$2:T$401,$U4)="","",INDEX('Per Invoice'!T$2:T$401,$U4)))</f>
        <v/>
      </c>
      <c r="U4" s="16">
        <f>IFERROR(MATCH(Settings!$C$29&amp;"|"&amp;ROWS($U$2:$U4),'Per Invoice'!$V$2:$V$401,0),"")</f>
        <v/>
      </c>
    </row>
    <row r="5">
      <c r="A5">
        <f>IF($U5="","",IF(INDEX('Per Invoice'!A$2:A$401,$U5)="","",INDEX('Per Invoice'!A$2:A$401,$U5)))</f>
        <v/>
      </c>
      <c r="B5">
        <f>IF($U5="","",IF(INDEX('Per Invoice'!B$2:B$401,$U5)="","",INDEX('Per Invoice'!B$2:B$401,$U5)))</f>
        <v/>
      </c>
      <c r="C5">
        <f>IF($U5="","",IF(INDEX('Per Invoice'!C$2:C$401,$U5)="","",INDEX('Per Invoice'!C$2:C$401,$U5)))</f>
        <v/>
      </c>
      <c r="D5">
        <f>IF($U5="","",IF(INDEX('Per Invoice'!D$2:D$401,$U5)="","",INDEX('Per Invoice'!D$2:D$401,$U5)))</f>
        <v/>
      </c>
      <c r="E5">
        <f>IF($U5="","",IF(INDEX('Per Invoice'!E$2:E$401,$U5)="","",INDEX('Per Invoice'!E$2:E$401,$U5)))</f>
        <v/>
      </c>
      <c r="F5">
        <f>IF($U5="","",IF(INDEX('Per Invoice'!F$2:F$401,$U5)="","",INDEX('Per Invoice'!F$2:F$401,$U5)))</f>
        <v/>
      </c>
      <c r="G5">
        <f>IF($U5="","",IF(INDEX('Per Invoice'!G$2:G$401,$U5)="","",INDEX('Per Invoice'!G$2:G$401,$U5)))</f>
        <v/>
      </c>
      <c r="H5" s="7">
        <f>IF($U5="","",IF(INDEX('Per Invoice'!H$2:H$401,$U5)="","",INDEX('Per Invoice'!H$2:H$401,$U5)))</f>
        <v/>
      </c>
      <c r="I5" s="14">
        <f>IF($U5="","",IF(INDEX('Per Invoice'!I$2:I$401,$U5)="","",INDEX('Per Invoice'!I$2:I$401,$U5)))</f>
        <v/>
      </c>
      <c r="J5">
        <f>IF($U5="","",IF(INDEX('Per Invoice'!J$2:J$401,$U5)="","",INDEX('Per Invoice'!J$2:J$401,$U5)))</f>
        <v/>
      </c>
      <c r="K5">
        <f>IF($U5="","",IF(INDEX('Per Invoice'!K$2:K$401,$U5)="","",INDEX('Per Invoice'!K$2:K$401,$U5)))</f>
        <v/>
      </c>
      <c r="L5" s="7">
        <f>IF($U5="","",IF(INDEX('Per Invoice'!L$2:L$401,$U5)="","",INDEX('Per Invoice'!L$2:L$401,$U5)))</f>
        <v/>
      </c>
      <c r="M5" s="7">
        <f>IF($U5="","",IF(INDEX('Per Invoice'!M$2:M$401,$U5)="","",INDEX('Per Invoice'!M$2:M$401,$U5)))</f>
        <v/>
      </c>
      <c r="N5">
        <f>IF($U5="","",IF(INDEX('Per Invoice'!N$2:N$401,$U5)="","",INDEX('Per Invoice'!N$2:N$401,$U5)))</f>
        <v/>
      </c>
      <c r="O5" s="7">
        <f>IF($U5="","",IF(INDEX('Per Invoice'!O$2:O$401,$U5)="","",INDEX('Per Invoice'!O$2:O$401,$U5)))</f>
        <v/>
      </c>
      <c r="P5" s="7">
        <f>IF($U5="","",IF(INDEX('Per Invoice'!P$2:P$401,$U5)="","",INDEX('Per Invoice'!P$2:P$401,$U5)))</f>
        <v/>
      </c>
      <c r="Q5" s="7">
        <f>IF($U5="","",IF(INDEX('Per Invoice'!Q$2:Q$401,$U5)="","",INDEX('Per Invoice'!Q$2:Q$401,$U5)))</f>
        <v/>
      </c>
      <c r="R5" s="7">
        <f>IF($U5="","",IF(INDEX('Per Invoice'!R$2:R$401,$U5)="","",INDEX('Per Invoice'!R$2:R$401,$U5)))</f>
        <v/>
      </c>
      <c r="S5" s="7">
        <f>IF($U5="","",IF(INDEX('Per Invoice'!S$2:S$401,$U5)="","",INDEX('Per Invoice'!S$2:S$401,$U5)))</f>
        <v/>
      </c>
      <c r="T5" s="7">
        <f>IF($U5="","",IF(INDEX('Per Invoice'!T$2:T$401,$U5)="","",INDEX('Per Invoice'!T$2:T$401,$U5)))</f>
        <v/>
      </c>
      <c r="U5" s="16">
        <f>IFERROR(MATCH(Settings!$C$29&amp;"|"&amp;ROWS($U$2:$U5),'Per Invoice'!$V$2:$V$401,0),"")</f>
        <v/>
      </c>
    </row>
    <row r="6">
      <c r="A6">
        <f>IF($U6="","",IF(INDEX('Per Invoice'!A$2:A$401,$U6)="","",INDEX('Per Invoice'!A$2:A$401,$U6)))</f>
        <v/>
      </c>
      <c r="B6">
        <f>IF($U6="","",IF(INDEX('Per Invoice'!B$2:B$401,$U6)="","",INDEX('Per Invoice'!B$2:B$401,$U6)))</f>
        <v/>
      </c>
      <c r="C6">
        <f>IF($U6="","",IF(INDEX('Per Invoice'!C$2:C$401,$U6)="","",INDEX('Per Invoice'!C$2:C$401,$U6)))</f>
        <v/>
      </c>
      <c r="D6">
        <f>IF($U6="","",IF(INDEX('Per Invoice'!D$2:D$401,$U6)="","",INDEX('Per Invoice'!D$2:D$401,$U6)))</f>
        <v/>
      </c>
      <c r="E6">
        <f>IF($U6="","",IF(INDEX('Per Invoice'!E$2:E$401,$U6)="","",INDEX('Per Invoice'!E$2:E$401,$U6)))</f>
        <v/>
      </c>
      <c r="F6">
        <f>IF($U6="","",IF(INDEX('Per Invoice'!F$2:F$401,$U6)="","",INDEX('Per Invoice'!F$2:F$401,$U6)))</f>
        <v/>
      </c>
      <c r="G6">
        <f>IF($U6="","",IF(INDEX('Per Invoice'!G$2:G$401,$U6)="","",INDEX('Per Invoice'!G$2:G$401,$U6)))</f>
        <v/>
      </c>
      <c r="H6" s="7">
        <f>IF($U6="","",IF(INDEX('Per Invoice'!H$2:H$401,$U6)="","",INDEX('Per Invoice'!H$2:H$401,$U6)))</f>
        <v/>
      </c>
      <c r="I6" s="14">
        <f>IF($U6="","",IF(INDEX('Per Invoice'!I$2:I$401,$U6)="","",INDEX('Per Invoice'!I$2:I$401,$U6)))</f>
        <v/>
      </c>
      <c r="J6">
        <f>IF($U6="","",IF(INDEX('Per Invoice'!J$2:J$401,$U6)="","",INDEX('Per Invoice'!J$2:J$401,$U6)))</f>
        <v/>
      </c>
      <c r="K6">
        <f>IF($U6="","",IF(INDEX('Per Invoice'!K$2:K$401,$U6)="","",INDEX('Per Invoice'!K$2:K$401,$U6)))</f>
        <v/>
      </c>
      <c r="L6" s="7">
        <f>IF($U6="","",IF(INDEX('Per Invoice'!L$2:L$401,$U6)="","",INDEX('Per Invoice'!L$2:L$401,$U6)))</f>
        <v/>
      </c>
      <c r="M6" s="7">
        <f>IF($U6="","",IF(INDEX('Per Invoice'!M$2:M$401,$U6)="","",INDEX('Per Invoice'!M$2:M$401,$U6)))</f>
        <v/>
      </c>
      <c r="N6">
        <f>IF($U6="","",IF(INDEX('Per Invoice'!N$2:N$401,$U6)="","",INDEX('Per Invoice'!N$2:N$401,$U6)))</f>
        <v/>
      </c>
      <c r="O6" s="7">
        <f>IF($U6="","",IF(INDEX('Per Invoice'!O$2:O$401,$U6)="","",INDEX('Per Invoice'!O$2:O$401,$U6)))</f>
        <v/>
      </c>
      <c r="P6" s="7">
        <f>IF($U6="","",IF(INDEX('Per Invoice'!P$2:P$401,$U6)="","",INDEX('Per Invoice'!P$2:P$401,$U6)))</f>
        <v/>
      </c>
      <c r="Q6" s="7">
        <f>IF($U6="","",IF(INDEX('Per Invoice'!Q$2:Q$401,$U6)="","",INDEX('Per Invoice'!Q$2:Q$401,$U6)))</f>
        <v/>
      </c>
      <c r="R6" s="7">
        <f>IF($U6="","",IF(INDEX('Per Invoice'!R$2:R$401,$U6)="","",INDEX('Per Invoice'!R$2:R$401,$U6)))</f>
        <v/>
      </c>
      <c r="S6" s="7">
        <f>IF($U6="","",IF(INDEX('Per Invoice'!S$2:S$401,$U6)="","",INDEX('Per Invoice'!S$2:S$401,$U6)))</f>
        <v/>
      </c>
      <c r="T6" s="7">
        <f>IF($U6="","",IF(INDEX('Per Invoice'!T$2:T$401,$U6)="","",INDEX('Per Invoice'!T$2:T$401,$U6)))</f>
        <v/>
      </c>
      <c r="U6" s="16">
        <f>IFERROR(MATCH(Settings!$C$29&amp;"|"&amp;ROWS($U$2:$U6),'Per Invoice'!$V$2:$V$401,0),"")</f>
        <v/>
      </c>
    </row>
    <row r="7">
      <c r="A7">
        <f>IF($U7="","",IF(INDEX('Per Invoice'!A$2:A$401,$U7)="","",INDEX('Per Invoice'!A$2:A$401,$U7)))</f>
        <v/>
      </c>
      <c r="B7">
        <f>IF($U7="","",IF(INDEX('Per Invoice'!B$2:B$401,$U7)="","",INDEX('Per Invoice'!B$2:B$401,$U7)))</f>
        <v/>
      </c>
      <c r="C7">
        <f>IF($U7="","",IF(INDEX('Per Invoice'!C$2:C$401,$U7)="","",INDEX('Per Invoice'!C$2:C$401,$U7)))</f>
        <v/>
      </c>
      <c r="D7">
        <f>IF($U7="","",IF(INDEX('Per Invoice'!D$2:D$401,$U7)="","",INDEX('Per Invoice'!D$2:D$401,$U7)))</f>
        <v/>
      </c>
      <c r="E7">
        <f>IF($U7="","",IF(INDEX('Per Invoice'!E$2:E$401,$U7)="","",INDEX('Per Invoice'!E$2:E$401,$U7)))</f>
        <v/>
      </c>
      <c r="F7">
        <f>IF($U7="","",IF(INDEX('Per Invoice'!F$2:F$401,$U7)="","",INDEX('Per Invoice'!F$2:F$401,$U7)))</f>
        <v/>
      </c>
      <c r="G7">
        <f>IF($U7="","",IF(INDEX('Per Invoice'!G$2:G$401,$U7)="","",INDEX('Per Invoice'!G$2:G$401,$U7)))</f>
        <v/>
      </c>
      <c r="H7" s="7">
        <f>IF($U7="","",IF(INDEX('Per Invoice'!H$2:H$401,$U7)="","",INDEX('Per Invoice'!H$2:H$401,$U7)))</f>
        <v/>
      </c>
      <c r="I7" s="14">
        <f>IF($U7="","",IF(INDEX('Per Invoice'!I$2:I$401,$U7)="","",INDEX('Per Invoice'!I$2:I$401,$U7)))</f>
        <v/>
      </c>
      <c r="J7">
        <f>IF($U7="","",IF(INDEX('Per Invoice'!J$2:J$401,$U7)="","",INDEX('Per Invoice'!J$2:J$401,$U7)))</f>
        <v/>
      </c>
      <c r="K7">
        <f>IF($U7="","",IF(INDEX('Per Invoice'!K$2:K$401,$U7)="","",INDEX('Per Invoice'!K$2:K$401,$U7)))</f>
        <v/>
      </c>
      <c r="L7" s="7">
        <f>IF($U7="","",IF(INDEX('Per Invoice'!L$2:L$401,$U7)="","",INDEX('Per Invoice'!L$2:L$401,$U7)))</f>
        <v/>
      </c>
      <c r="M7" s="7">
        <f>IF($U7="","",IF(INDEX('Per Invoice'!M$2:M$401,$U7)="","",INDEX('Per Invoice'!M$2:M$401,$U7)))</f>
        <v/>
      </c>
      <c r="N7">
        <f>IF($U7="","",IF(INDEX('Per Invoice'!N$2:N$401,$U7)="","",INDEX('Per Invoice'!N$2:N$401,$U7)))</f>
        <v/>
      </c>
      <c r="O7" s="7">
        <f>IF($U7="","",IF(INDEX('Per Invoice'!O$2:O$401,$U7)="","",INDEX('Per Invoice'!O$2:O$401,$U7)))</f>
        <v/>
      </c>
      <c r="P7" s="7">
        <f>IF($U7="","",IF(INDEX('Per Invoice'!P$2:P$401,$U7)="","",INDEX('Per Invoice'!P$2:P$401,$U7)))</f>
        <v/>
      </c>
      <c r="Q7" s="7">
        <f>IF($U7="","",IF(INDEX('Per Invoice'!Q$2:Q$401,$U7)="","",INDEX('Per Invoice'!Q$2:Q$401,$U7)))</f>
        <v/>
      </c>
      <c r="R7" s="7">
        <f>IF($U7="","",IF(INDEX('Per Invoice'!R$2:R$401,$U7)="","",INDEX('Per Invoice'!R$2:R$401,$U7)))</f>
        <v/>
      </c>
      <c r="S7" s="7">
        <f>IF($U7="","",IF(INDEX('Per Invoice'!S$2:S$401,$U7)="","",INDEX('Per Invoice'!S$2:S$401,$U7)))</f>
        <v/>
      </c>
      <c r="T7" s="7">
        <f>IF($U7="","",IF(INDEX('Per Invoice'!T$2:T$401,$U7)="","",INDEX('Per Invoice'!T$2:T$401,$U7)))</f>
        <v/>
      </c>
      <c r="U7" s="16">
        <f>IFERROR(MATCH(Settings!$C$29&amp;"|"&amp;ROWS($U$2:$U7),'Per Invoice'!$V$2:$V$401,0),"")</f>
        <v/>
      </c>
    </row>
    <row r="8">
      <c r="A8">
        <f>IF($U8="","",IF(INDEX('Per Invoice'!A$2:A$401,$U8)="","",INDEX('Per Invoice'!A$2:A$401,$U8)))</f>
        <v/>
      </c>
      <c r="B8">
        <f>IF($U8="","",IF(INDEX('Per Invoice'!B$2:B$401,$U8)="","",INDEX('Per Invoice'!B$2:B$401,$U8)))</f>
        <v/>
      </c>
      <c r="C8">
        <f>IF($U8="","",IF(INDEX('Per Invoice'!C$2:C$401,$U8)="","",INDEX('Per Invoice'!C$2:C$401,$U8)))</f>
        <v/>
      </c>
      <c r="D8">
        <f>IF($U8="","",IF(INDEX('Per Invoice'!D$2:D$401,$U8)="","",INDEX('Per Invoice'!D$2:D$401,$U8)))</f>
        <v/>
      </c>
      <c r="E8">
        <f>IF($U8="","",IF(INDEX('Per Invoice'!E$2:E$401,$U8)="","",INDEX('Per Invoice'!E$2:E$401,$U8)))</f>
        <v/>
      </c>
      <c r="F8">
        <f>IF($U8="","",IF(INDEX('Per Invoice'!F$2:F$401,$U8)="","",INDEX('Per Invoice'!F$2:F$401,$U8)))</f>
        <v/>
      </c>
      <c r="G8">
        <f>IF($U8="","",IF(INDEX('Per Invoice'!G$2:G$401,$U8)="","",INDEX('Per Invoice'!G$2:G$401,$U8)))</f>
        <v/>
      </c>
      <c r="H8" s="7">
        <f>IF($U8="","",IF(INDEX('Per Invoice'!H$2:H$401,$U8)="","",INDEX('Per Invoice'!H$2:H$401,$U8)))</f>
        <v/>
      </c>
      <c r="I8" s="14">
        <f>IF($U8="","",IF(INDEX('Per Invoice'!I$2:I$401,$U8)="","",INDEX('Per Invoice'!I$2:I$401,$U8)))</f>
        <v/>
      </c>
      <c r="J8">
        <f>IF($U8="","",IF(INDEX('Per Invoice'!J$2:J$401,$U8)="","",INDEX('Per Invoice'!J$2:J$401,$U8)))</f>
        <v/>
      </c>
      <c r="K8">
        <f>IF($U8="","",IF(INDEX('Per Invoice'!K$2:K$401,$U8)="","",INDEX('Per Invoice'!K$2:K$401,$U8)))</f>
        <v/>
      </c>
      <c r="L8" s="7">
        <f>IF($U8="","",IF(INDEX('Per Invoice'!L$2:L$401,$U8)="","",INDEX('Per Invoice'!L$2:L$401,$U8)))</f>
        <v/>
      </c>
      <c r="M8" s="7">
        <f>IF($U8="","",IF(INDEX('Per Invoice'!M$2:M$401,$U8)="","",INDEX('Per Invoice'!M$2:M$401,$U8)))</f>
        <v/>
      </c>
      <c r="N8">
        <f>IF($U8="","",IF(INDEX('Per Invoice'!N$2:N$401,$U8)="","",INDEX('Per Invoice'!N$2:N$401,$U8)))</f>
        <v/>
      </c>
      <c r="O8" s="7">
        <f>IF($U8="","",IF(INDEX('Per Invoice'!O$2:O$401,$U8)="","",INDEX('Per Invoice'!O$2:O$401,$U8)))</f>
        <v/>
      </c>
      <c r="P8" s="7">
        <f>IF($U8="","",IF(INDEX('Per Invoice'!P$2:P$401,$U8)="","",INDEX('Per Invoice'!P$2:P$401,$U8)))</f>
        <v/>
      </c>
      <c r="Q8" s="7">
        <f>IF($U8="","",IF(INDEX('Per Invoice'!Q$2:Q$401,$U8)="","",INDEX('Per Invoice'!Q$2:Q$401,$U8)))</f>
        <v/>
      </c>
      <c r="R8" s="7">
        <f>IF($U8="","",IF(INDEX('Per Invoice'!R$2:R$401,$U8)="","",INDEX('Per Invoice'!R$2:R$401,$U8)))</f>
        <v/>
      </c>
      <c r="S8" s="7">
        <f>IF($U8="","",IF(INDEX('Per Invoice'!S$2:S$401,$U8)="","",INDEX('Per Invoice'!S$2:S$401,$U8)))</f>
        <v/>
      </c>
      <c r="T8" s="7">
        <f>IF($U8="","",IF(INDEX('Per Invoice'!T$2:T$401,$U8)="","",INDEX('Per Invoice'!T$2:T$401,$U8)))</f>
        <v/>
      </c>
      <c r="U8" s="16">
        <f>IFERROR(MATCH(Settings!$C$29&amp;"|"&amp;ROWS($U$2:$U8),'Per Invoice'!$V$2:$V$401,0),"")</f>
        <v/>
      </c>
    </row>
    <row r="9">
      <c r="A9">
        <f>IF($U9="","",IF(INDEX('Per Invoice'!A$2:A$401,$U9)="","",INDEX('Per Invoice'!A$2:A$401,$U9)))</f>
        <v/>
      </c>
      <c r="B9">
        <f>IF($U9="","",IF(INDEX('Per Invoice'!B$2:B$401,$U9)="","",INDEX('Per Invoice'!B$2:B$401,$U9)))</f>
        <v/>
      </c>
      <c r="C9">
        <f>IF($U9="","",IF(INDEX('Per Invoice'!C$2:C$401,$U9)="","",INDEX('Per Invoice'!C$2:C$401,$U9)))</f>
        <v/>
      </c>
      <c r="D9">
        <f>IF($U9="","",IF(INDEX('Per Invoice'!D$2:D$401,$U9)="","",INDEX('Per Invoice'!D$2:D$401,$U9)))</f>
        <v/>
      </c>
      <c r="E9">
        <f>IF($U9="","",IF(INDEX('Per Invoice'!E$2:E$401,$U9)="","",INDEX('Per Invoice'!E$2:E$401,$U9)))</f>
        <v/>
      </c>
      <c r="F9">
        <f>IF($U9="","",IF(INDEX('Per Invoice'!F$2:F$401,$U9)="","",INDEX('Per Invoice'!F$2:F$401,$U9)))</f>
        <v/>
      </c>
      <c r="G9">
        <f>IF($U9="","",IF(INDEX('Per Invoice'!G$2:G$401,$U9)="","",INDEX('Per Invoice'!G$2:G$401,$U9)))</f>
        <v/>
      </c>
      <c r="H9" s="7">
        <f>IF($U9="","",IF(INDEX('Per Invoice'!H$2:H$401,$U9)="","",INDEX('Per Invoice'!H$2:H$401,$U9)))</f>
        <v/>
      </c>
      <c r="I9" s="14">
        <f>IF($U9="","",IF(INDEX('Per Invoice'!I$2:I$401,$U9)="","",INDEX('Per Invoice'!I$2:I$401,$U9)))</f>
        <v/>
      </c>
      <c r="J9">
        <f>IF($U9="","",IF(INDEX('Per Invoice'!J$2:J$401,$U9)="","",INDEX('Per Invoice'!J$2:J$401,$U9)))</f>
        <v/>
      </c>
      <c r="K9">
        <f>IF($U9="","",IF(INDEX('Per Invoice'!K$2:K$401,$U9)="","",INDEX('Per Invoice'!K$2:K$401,$U9)))</f>
        <v/>
      </c>
      <c r="L9" s="7">
        <f>IF($U9="","",IF(INDEX('Per Invoice'!L$2:L$401,$U9)="","",INDEX('Per Invoice'!L$2:L$401,$U9)))</f>
        <v/>
      </c>
      <c r="M9" s="7">
        <f>IF($U9="","",IF(INDEX('Per Invoice'!M$2:M$401,$U9)="","",INDEX('Per Invoice'!M$2:M$401,$U9)))</f>
        <v/>
      </c>
      <c r="N9">
        <f>IF($U9="","",IF(INDEX('Per Invoice'!N$2:N$401,$U9)="","",INDEX('Per Invoice'!N$2:N$401,$U9)))</f>
        <v/>
      </c>
      <c r="O9" s="7">
        <f>IF($U9="","",IF(INDEX('Per Invoice'!O$2:O$401,$U9)="","",INDEX('Per Invoice'!O$2:O$401,$U9)))</f>
        <v/>
      </c>
      <c r="P9" s="7">
        <f>IF($U9="","",IF(INDEX('Per Invoice'!P$2:P$401,$U9)="","",INDEX('Per Invoice'!P$2:P$401,$U9)))</f>
        <v/>
      </c>
      <c r="Q9" s="7">
        <f>IF($U9="","",IF(INDEX('Per Invoice'!Q$2:Q$401,$U9)="","",INDEX('Per Invoice'!Q$2:Q$401,$U9)))</f>
        <v/>
      </c>
      <c r="R9" s="7">
        <f>IF($U9="","",IF(INDEX('Per Invoice'!R$2:R$401,$U9)="","",INDEX('Per Invoice'!R$2:R$401,$U9)))</f>
        <v/>
      </c>
      <c r="S9" s="7">
        <f>IF($U9="","",IF(INDEX('Per Invoice'!S$2:S$401,$U9)="","",INDEX('Per Invoice'!S$2:S$401,$U9)))</f>
        <v/>
      </c>
      <c r="T9" s="7">
        <f>IF($U9="","",IF(INDEX('Per Invoice'!T$2:T$401,$U9)="","",INDEX('Per Invoice'!T$2:T$401,$U9)))</f>
        <v/>
      </c>
      <c r="U9" s="16">
        <f>IFERROR(MATCH(Settings!$C$29&amp;"|"&amp;ROWS($U$2:$U9),'Per Invoice'!$V$2:$V$401,0),"")</f>
        <v/>
      </c>
    </row>
    <row r="10">
      <c r="A10">
        <f>IF($U10="","",IF(INDEX('Per Invoice'!A$2:A$401,$U10)="","",INDEX('Per Invoice'!A$2:A$401,$U10)))</f>
        <v/>
      </c>
      <c r="B10">
        <f>IF($U10="","",IF(INDEX('Per Invoice'!B$2:B$401,$U10)="","",INDEX('Per Invoice'!B$2:B$401,$U10)))</f>
        <v/>
      </c>
      <c r="C10">
        <f>IF($U10="","",IF(INDEX('Per Invoice'!C$2:C$401,$U10)="","",INDEX('Per Invoice'!C$2:C$401,$U10)))</f>
        <v/>
      </c>
      <c r="D10">
        <f>IF($U10="","",IF(INDEX('Per Invoice'!D$2:D$401,$U10)="","",INDEX('Per Invoice'!D$2:D$401,$U10)))</f>
        <v/>
      </c>
      <c r="E10">
        <f>IF($U10="","",IF(INDEX('Per Invoice'!E$2:E$401,$U10)="","",INDEX('Per Invoice'!E$2:E$401,$U10)))</f>
        <v/>
      </c>
      <c r="F10">
        <f>IF($U10="","",IF(INDEX('Per Invoice'!F$2:F$401,$U10)="","",INDEX('Per Invoice'!F$2:F$401,$U10)))</f>
        <v/>
      </c>
      <c r="G10">
        <f>IF($U10="","",IF(INDEX('Per Invoice'!G$2:G$401,$U10)="","",INDEX('Per Invoice'!G$2:G$401,$U10)))</f>
        <v/>
      </c>
      <c r="H10" s="7">
        <f>IF($U10="","",IF(INDEX('Per Invoice'!H$2:H$401,$U10)="","",INDEX('Per Invoice'!H$2:H$401,$U10)))</f>
        <v/>
      </c>
      <c r="I10" s="14">
        <f>IF($U10="","",IF(INDEX('Per Invoice'!I$2:I$401,$U10)="","",INDEX('Per Invoice'!I$2:I$401,$U10)))</f>
        <v/>
      </c>
      <c r="J10">
        <f>IF($U10="","",IF(INDEX('Per Invoice'!J$2:J$401,$U10)="","",INDEX('Per Invoice'!J$2:J$401,$U10)))</f>
        <v/>
      </c>
      <c r="K10">
        <f>IF($U10="","",IF(INDEX('Per Invoice'!K$2:K$401,$U10)="","",INDEX('Per Invoice'!K$2:K$401,$U10)))</f>
        <v/>
      </c>
      <c r="L10" s="7">
        <f>IF($U10="","",IF(INDEX('Per Invoice'!L$2:L$401,$U10)="","",INDEX('Per Invoice'!L$2:L$401,$U10)))</f>
        <v/>
      </c>
      <c r="M10" s="7">
        <f>IF($U10="","",IF(INDEX('Per Invoice'!M$2:M$401,$U10)="","",INDEX('Per Invoice'!M$2:M$401,$U10)))</f>
        <v/>
      </c>
      <c r="N10">
        <f>IF($U10="","",IF(INDEX('Per Invoice'!N$2:N$401,$U10)="","",INDEX('Per Invoice'!N$2:N$401,$U10)))</f>
        <v/>
      </c>
      <c r="O10" s="7">
        <f>IF($U10="","",IF(INDEX('Per Invoice'!O$2:O$401,$U10)="","",INDEX('Per Invoice'!O$2:O$401,$U10)))</f>
        <v/>
      </c>
      <c r="P10" s="7">
        <f>IF($U10="","",IF(INDEX('Per Invoice'!P$2:P$401,$U10)="","",INDEX('Per Invoice'!P$2:P$401,$U10)))</f>
        <v/>
      </c>
      <c r="Q10" s="7">
        <f>IF($U10="","",IF(INDEX('Per Invoice'!Q$2:Q$401,$U10)="","",INDEX('Per Invoice'!Q$2:Q$401,$U10)))</f>
        <v/>
      </c>
      <c r="R10" s="7">
        <f>IF($U10="","",IF(INDEX('Per Invoice'!R$2:R$401,$U10)="","",INDEX('Per Invoice'!R$2:R$401,$U10)))</f>
        <v/>
      </c>
      <c r="S10" s="7">
        <f>IF($U10="","",IF(INDEX('Per Invoice'!S$2:S$401,$U10)="","",INDEX('Per Invoice'!S$2:S$401,$U10)))</f>
        <v/>
      </c>
      <c r="T10" s="7">
        <f>IF($U10="","",IF(INDEX('Per Invoice'!T$2:T$401,$U10)="","",INDEX('Per Invoice'!T$2:T$401,$U10)))</f>
        <v/>
      </c>
      <c r="U10" s="16">
        <f>IFERROR(MATCH(Settings!$C$29&amp;"|"&amp;ROWS($U$2:$U10),'Per Invoice'!$V$2:$V$401,0),"")</f>
        <v/>
      </c>
    </row>
    <row r="11">
      <c r="A11">
        <f>IF($U11="","",IF(INDEX('Per Invoice'!A$2:A$401,$U11)="","",INDEX('Per Invoice'!A$2:A$401,$U11)))</f>
        <v/>
      </c>
      <c r="B11">
        <f>IF($U11="","",IF(INDEX('Per Invoice'!B$2:B$401,$U11)="","",INDEX('Per Invoice'!B$2:B$401,$U11)))</f>
        <v/>
      </c>
      <c r="C11">
        <f>IF($U11="","",IF(INDEX('Per Invoice'!C$2:C$401,$U11)="","",INDEX('Per Invoice'!C$2:C$401,$U11)))</f>
        <v/>
      </c>
      <c r="D11">
        <f>IF($U11="","",IF(INDEX('Per Invoice'!D$2:D$401,$U11)="","",INDEX('Per Invoice'!D$2:D$401,$U11)))</f>
        <v/>
      </c>
      <c r="E11">
        <f>IF($U11="","",IF(INDEX('Per Invoice'!E$2:E$401,$U11)="","",INDEX('Per Invoice'!E$2:E$401,$U11)))</f>
        <v/>
      </c>
      <c r="F11">
        <f>IF($U11="","",IF(INDEX('Per Invoice'!F$2:F$401,$U11)="","",INDEX('Per Invoice'!F$2:F$401,$U11)))</f>
        <v/>
      </c>
      <c r="G11">
        <f>IF($U11="","",IF(INDEX('Per Invoice'!G$2:G$401,$U11)="","",INDEX('Per Invoice'!G$2:G$401,$U11)))</f>
        <v/>
      </c>
      <c r="H11" s="7">
        <f>IF($U11="","",IF(INDEX('Per Invoice'!H$2:H$401,$U11)="","",INDEX('Per Invoice'!H$2:H$401,$U11)))</f>
        <v/>
      </c>
      <c r="I11" s="14">
        <f>IF($U11="","",IF(INDEX('Per Invoice'!I$2:I$401,$U11)="","",INDEX('Per Invoice'!I$2:I$401,$U11)))</f>
        <v/>
      </c>
      <c r="J11">
        <f>IF($U11="","",IF(INDEX('Per Invoice'!J$2:J$401,$U11)="","",INDEX('Per Invoice'!J$2:J$401,$U11)))</f>
        <v/>
      </c>
      <c r="K11">
        <f>IF($U11="","",IF(INDEX('Per Invoice'!K$2:K$401,$U11)="","",INDEX('Per Invoice'!K$2:K$401,$U11)))</f>
        <v/>
      </c>
      <c r="L11" s="7">
        <f>IF($U11="","",IF(INDEX('Per Invoice'!L$2:L$401,$U11)="","",INDEX('Per Invoice'!L$2:L$401,$U11)))</f>
        <v/>
      </c>
      <c r="M11" s="7">
        <f>IF($U11="","",IF(INDEX('Per Invoice'!M$2:M$401,$U11)="","",INDEX('Per Invoice'!M$2:M$401,$U11)))</f>
        <v/>
      </c>
      <c r="N11">
        <f>IF($U11="","",IF(INDEX('Per Invoice'!N$2:N$401,$U11)="","",INDEX('Per Invoice'!N$2:N$401,$U11)))</f>
        <v/>
      </c>
      <c r="O11" s="7">
        <f>IF($U11="","",IF(INDEX('Per Invoice'!O$2:O$401,$U11)="","",INDEX('Per Invoice'!O$2:O$401,$U11)))</f>
        <v/>
      </c>
      <c r="P11" s="7">
        <f>IF($U11="","",IF(INDEX('Per Invoice'!P$2:P$401,$U11)="","",INDEX('Per Invoice'!P$2:P$401,$U11)))</f>
        <v/>
      </c>
      <c r="Q11" s="7">
        <f>IF($U11="","",IF(INDEX('Per Invoice'!Q$2:Q$401,$U11)="","",INDEX('Per Invoice'!Q$2:Q$401,$U11)))</f>
        <v/>
      </c>
      <c r="R11" s="7">
        <f>IF($U11="","",IF(INDEX('Per Invoice'!R$2:R$401,$U11)="","",INDEX('Per Invoice'!R$2:R$401,$U11)))</f>
        <v/>
      </c>
      <c r="S11" s="7">
        <f>IF($U11="","",IF(INDEX('Per Invoice'!S$2:S$401,$U11)="","",INDEX('Per Invoice'!S$2:S$401,$U11)))</f>
        <v/>
      </c>
      <c r="T11" s="7">
        <f>IF($U11="","",IF(INDEX('Per Invoice'!T$2:T$401,$U11)="","",INDEX('Per Invoice'!T$2:T$401,$U11)))</f>
        <v/>
      </c>
      <c r="U11" s="16">
        <f>IFERROR(MATCH(Settings!$C$29&amp;"|"&amp;ROWS($U$2:$U11),'Per Invoice'!$V$2:$V$401,0),"")</f>
        <v/>
      </c>
    </row>
    <row r="12">
      <c r="A12">
        <f>IF($U12="","",IF(INDEX('Per Invoice'!A$2:A$401,$U12)="","",INDEX('Per Invoice'!A$2:A$401,$U12)))</f>
        <v/>
      </c>
      <c r="B12">
        <f>IF($U12="","",IF(INDEX('Per Invoice'!B$2:B$401,$U12)="","",INDEX('Per Invoice'!B$2:B$401,$U12)))</f>
        <v/>
      </c>
      <c r="C12">
        <f>IF($U12="","",IF(INDEX('Per Invoice'!C$2:C$401,$U12)="","",INDEX('Per Invoice'!C$2:C$401,$U12)))</f>
        <v/>
      </c>
      <c r="D12">
        <f>IF($U12="","",IF(INDEX('Per Invoice'!D$2:D$401,$U12)="","",INDEX('Per Invoice'!D$2:D$401,$U12)))</f>
        <v/>
      </c>
      <c r="E12">
        <f>IF($U12="","",IF(INDEX('Per Invoice'!E$2:E$401,$U12)="","",INDEX('Per Invoice'!E$2:E$401,$U12)))</f>
        <v/>
      </c>
      <c r="F12">
        <f>IF($U12="","",IF(INDEX('Per Invoice'!F$2:F$401,$U12)="","",INDEX('Per Invoice'!F$2:F$401,$U12)))</f>
        <v/>
      </c>
      <c r="G12">
        <f>IF($U12="","",IF(INDEX('Per Invoice'!G$2:G$401,$U12)="","",INDEX('Per Invoice'!G$2:G$401,$U12)))</f>
        <v/>
      </c>
      <c r="H12" s="7">
        <f>IF($U12="","",IF(INDEX('Per Invoice'!H$2:H$401,$U12)="","",INDEX('Per Invoice'!H$2:H$401,$U12)))</f>
        <v/>
      </c>
      <c r="I12" s="14">
        <f>IF($U12="","",IF(INDEX('Per Invoice'!I$2:I$401,$U12)="","",INDEX('Per Invoice'!I$2:I$401,$U12)))</f>
        <v/>
      </c>
      <c r="J12">
        <f>IF($U12="","",IF(INDEX('Per Invoice'!J$2:J$401,$U12)="","",INDEX('Per Invoice'!J$2:J$401,$U12)))</f>
        <v/>
      </c>
      <c r="K12">
        <f>IF($U12="","",IF(INDEX('Per Invoice'!K$2:K$401,$U12)="","",INDEX('Per Invoice'!K$2:K$401,$U12)))</f>
        <v/>
      </c>
      <c r="L12" s="7">
        <f>IF($U12="","",IF(INDEX('Per Invoice'!L$2:L$401,$U12)="","",INDEX('Per Invoice'!L$2:L$401,$U12)))</f>
        <v/>
      </c>
      <c r="M12" s="7">
        <f>IF($U12="","",IF(INDEX('Per Invoice'!M$2:M$401,$U12)="","",INDEX('Per Invoice'!M$2:M$401,$U12)))</f>
        <v/>
      </c>
      <c r="N12">
        <f>IF($U12="","",IF(INDEX('Per Invoice'!N$2:N$401,$U12)="","",INDEX('Per Invoice'!N$2:N$401,$U12)))</f>
        <v/>
      </c>
      <c r="O12" s="7">
        <f>IF($U12="","",IF(INDEX('Per Invoice'!O$2:O$401,$U12)="","",INDEX('Per Invoice'!O$2:O$401,$U12)))</f>
        <v/>
      </c>
      <c r="P12" s="7">
        <f>IF($U12="","",IF(INDEX('Per Invoice'!P$2:P$401,$U12)="","",INDEX('Per Invoice'!P$2:P$401,$U12)))</f>
        <v/>
      </c>
      <c r="Q12" s="7">
        <f>IF($U12="","",IF(INDEX('Per Invoice'!Q$2:Q$401,$U12)="","",INDEX('Per Invoice'!Q$2:Q$401,$U12)))</f>
        <v/>
      </c>
      <c r="R12" s="7">
        <f>IF($U12="","",IF(INDEX('Per Invoice'!R$2:R$401,$U12)="","",INDEX('Per Invoice'!R$2:R$401,$U12)))</f>
        <v/>
      </c>
      <c r="S12" s="7">
        <f>IF($U12="","",IF(INDEX('Per Invoice'!S$2:S$401,$U12)="","",INDEX('Per Invoice'!S$2:S$401,$U12)))</f>
        <v/>
      </c>
      <c r="T12" s="7">
        <f>IF($U12="","",IF(INDEX('Per Invoice'!T$2:T$401,$U12)="","",INDEX('Per Invoice'!T$2:T$401,$U12)))</f>
        <v/>
      </c>
      <c r="U12" s="16">
        <f>IFERROR(MATCH(Settings!$C$29&amp;"|"&amp;ROWS($U$2:$U12),'Per Invoice'!$V$2:$V$401,0),"")</f>
        <v/>
      </c>
    </row>
    <row r="13">
      <c r="A13">
        <f>IF($U13="","",IF(INDEX('Per Invoice'!A$2:A$401,$U13)="","",INDEX('Per Invoice'!A$2:A$401,$U13)))</f>
        <v/>
      </c>
      <c r="B13">
        <f>IF($U13="","",IF(INDEX('Per Invoice'!B$2:B$401,$U13)="","",INDEX('Per Invoice'!B$2:B$401,$U13)))</f>
        <v/>
      </c>
      <c r="C13">
        <f>IF($U13="","",IF(INDEX('Per Invoice'!C$2:C$401,$U13)="","",INDEX('Per Invoice'!C$2:C$401,$U13)))</f>
        <v/>
      </c>
      <c r="D13">
        <f>IF($U13="","",IF(INDEX('Per Invoice'!D$2:D$401,$U13)="","",INDEX('Per Invoice'!D$2:D$401,$U13)))</f>
        <v/>
      </c>
      <c r="E13">
        <f>IF($U13="","",IF(INDEX('Per Invoice'!E$2:E$401,$U13)="","",INDEX('Per Invoice'!E$2:E$401,$U13)))</f>
        <v/>
      </c>
      <c r="F13">
        <f>IF($U13="","",IF(INDEX('Per Invoice'!F$2:F$401,$U13)="","",INDEX('Per Invoice'!F$2:F$401,$U13)))</f>
        <v/>
      </c>
      <c r="G13">
        <f>IF($U13="","",IF(INDEX('Per Invoice'!G$2:G$401,$U13)="","",INDEX('Per Invoice'!G$2:G$401,$U13)))</f>
        <v/>
      </c>
      <c r="H13" s="7">
        <f>IF($U13="","",IF(INDEX('Per Invoice'!H$2:H$401,$U13)="","",INDEX('Per Invoice'!H$2:H$401,$U13)))</f>
        <v/>
      </c>
      <c r="I13" s="14">
        <f>IF($U13="","",IF(INDEX('Per Invoice'!I$2:I$401,$U13)="","",INDEX('Per Invoice'!I$2:I$401,$U13)))</f>
        <v/>
      </c>
      <c r="J13">
        <f>IF($U13="","",IF(INDEX('Per Invoice'!J$2:J$401,$U13)="","",INDEX('Per Invoice'!J$2:J$401,$U13)))</f>
        <v/>
      </c>
      <c r="K13">
        <f>IF($U13="","",IF(INDEX('Per Invoice'!K$2:K$401,$U13)="","",INDEX('Per Invoice'!K$2:K$401,$U13)))</f>
        <v/>
      </c>
      <c r="L13" s="7">
        <f>IF($U13="","",IF(INDEX('Per Invoice'!L$2:L$401,$U13)="","",INDEX('Per Invoice'!L$2:L$401,$U13)))</f>
        <v/>
      </c>
      <c r="M13" s="7">
        <f>IF($U13="","",IF(INDEX('Per Invoice'!M$2:M$401,$U13)="","",INDEX('Per Invoice'!M$2:M$401,$U13)))</f>
        <v/>
      </c>
      <c r="N13">
        <f>IF($U13="","",IF(INDEX('Per Invoice'!N$2:N$401,$U13)="","",INDEX('Per Invoice'!N$2:N$401,$U13)))</f>
        <v/>
      </c>
      <c r="O13" s="7">
        <f>IF($U13="","",IF(INDEX('Per Invoice'!O$2:O$401,$U13)="","",INDEX('Per Invoice'!O$2:O$401,$U13)))</f>
        <v/>
      </c>
      <c r="P13" s="7">
        <f>IF($U13="","",IF(INDEX('Per Invoice'!P$2:P$401,$U13)="","",INDEX('Per Invoice'!P$2:P$401,$U13)))</f>
        <v/>
      </c>
      <c r="Q13" s="7">
        <f>IF($U13="","",IF(INDEX('Per Invoice'!Q$2:Q$401,$U13)="","",INDEX('Per Invoice'!Q$2:Q$401,$U13)))</f>
        <v/>
      </c>
      <c r="R13" s="7">
        <f>IF($U13="","",IF(INDEX('Per Invoice'!R$2:R$401,$U13)="","",INDEX('Per Invoice'!R$2:R$401,$U13)))</f>
        <v/>
      </c>
      <c r="S13" s="7">
        <f>IF($U13="","",IF(INDEX('Per Invoice'!S$2:S$401,$U13)="","",INDEX('Per Invoice'!S$2:S$401,$U13)))</f>
        <v/>
      </c>
      <c r="T13" s="7">
        <f>IF($U13="","",IF(INDEX('Per Invoice'!T$2:T$401,$U13)="","",INDEX('Per Invoice'!T$2:T$401,$U13)))</f>
        <v/>
      </c>
      <c r="U13" s="16">
        <f>IFERROR(MATCH(Settings!$C$29&amp;"|"&amp;ROWS($U$2:$U13),'Per Invoice'!$V$2:$V$401,0),"")</f>
        <v/>
      </c>
    </row>
    <row r="14">
      <c r="A14">
        <f>IF($U14="","",IF(INDEX('Per Invoice'!A$2:A$401,$U14)="","",INDEX('Per Invoice'!A$2:A$401,$U14)))</f>
        <v/>
      </c>
      <c r="B14">
        <f>IF($U14="","",IF(INDEX('Per Invoice'!B$2:B$401,$U14)="","",INDEX('Per Invoice'!B$2:B$401,$U14)))</f>
        <v/>
      </c>
      <c r="C14">
        <f>IF($U14="","",IF(INDEX('Per Invoice'!C$2:C$401,$U14)="","",INDEX('Per Invoice'!C$2:C$401,$U14)))</f>
        <v/>
      </c>
      <c r="D14">
        <f>IF($U14="","",IF(INDEX('Per Invoice'!D$2:D$401,$U14)="","",INDEX('Per Invoice'!D$2:D$401,$U14)))</f>
        <v/>
      </c>
      <c r="E14">
        <f>IF($U14="","",IF(INDEX('Per Invoice'!E$2:E$401,$U14)="","",INDEX('Per Invoice'!E$2:E$401,$U14)))</f>
        <v/>
      </c>
      <c r="F14">
        <f>IF($U14="","",IF(INDEX('Per Invoice'!F$2:F$401,$U14)="","",INDEX('Per Invoice'!F$2:F$401,$U14)))</f>
        <v/>
      </c>
      <c r="G14">
        <f>IF($U14="","",IF(INDEX('Per Invoice'!G$2:G$401,$U14)="","",INDEX('Per Invoice'!G$2:G$401,$U14)))</f>
        <v/>
      </c>
      <c r="H14" s="7">
        <f>IF($U14="","",IF(INDEX('Per Invoice'!H$2:H$401,$U14)="","",INDEX('Per Invoice'!H$2:H$401,$U14)))</f>
        <v/>
      </c>
      <c r="I14" s="14">
        <f>IF($U14="","",IF(INDEX('Per Invoice'!I$2:I$401,$U14)="","",INDEX('Per Invoice'!I$2:I$401,$U14)))</f>
        <v/>
      </c>
      <c r="J14">
        <f>IF($U14="","",IF(INDEX('Per Invoice'!J$2:J$401,$U14)="","",INDEX('Per Invoice'!J$2:J$401,$U14)))</f>
        <v/>
      </c>
      <c r="K14">
        <f>IF($U14="","",IF(INDEX('Per Invoice'!K$2:K$401,$U14)="","",INDEX('Per Invoice'!K$2:K$401,$U14)))</f>
        <v/>
      </c>
      <c r="L14" s="7">
        <f>IF($U14="","",IF(INDEX('Per Invoice'!L$2:L$401,$U14)="","",INDEX('Per Invoice'!L$2:L$401,$U14)))</f>
        <v/>
      </c>
      <c r="M14" s="7">
        <f>IF($U14="","",IF(INDEX('Per Invoice'!M$2:M$401,$U14)="","",INDEX('Per Invoice'!M$2:M$401,$U14)))</f>
        <v/>
      </c>
      <c r="N14">
        <f>IF($U14="","",IF(INDEX('Per Invoice'!N$2:N$401,$U14)="","",INDEX('Per Invoice'!N$2:N$401,$U14)))</f>
        <v/>
      </c>
      <c r="O14" s="7">
        <f>IF($U14="","",IF(INDEX('Per Invoice'!O$2:O$401,$U14)="","",INDEX('Per Invoice'!O$2:O$401,$U14)))</f>
        <v/>
      </c>
      <c r="P14" s="7">
        <f>IF($U14="","",IF(INDEX('Per Invoice'!P$2:P$401,$U14)="","",INDEX('Per Invoice'!P$2:P$401,$U14)))</f>
        <v/>
      </c>
      <c r="Q14" s="7">
        <f>IF($U14="","",IF(INDEX('Per Invoice'!Q$2:Q$401,$U14)="","",INDEX('Per Invoice'!Q$2:Q$401,$U14)))</f>
        <v/>
      </c>
      <c r="R14" s="7">
        <f>IF($U14="","",IF(INDEX('Per Invoice'!R$2:R$401,$U14)="","",INDEX('Per Invoice'!R$2:R$401,$U14)))</f>
        <v/>
      </c>
      <c r="S14" s="7">
        <f>IF($U14="","",IF(INDEX('Per Invoice'!S$2:S$401,$U14)="","",INDEX('Per Invoice'!S$2:S$401,$U14)))</f>
        <v/>
      </c>
      <c r="T14" s="7">
        <f>IF($U14="","",IF(INDEX('Per Invoice'!T$2:T$401,$U14)="","",INDEX('Per Invoice'!T$2:T$401,$U14)))</f>
        <v/>
      </c>
      <c r="U14" s="16">
        <f>IFERROR(MATCH(Settings!$C$29&amp;"|"&amp;ROWS($U$2:$U14),'Per Invoice'!$V$2:$V$401,0),"")</f>
        <v/>
      </c>
    </row>
    <row r="15">
      <c r="A15">
        <f>IF($U15="","",IF(INDEX('Per Invoice'!A$2:A$401,$U15)="","",INDEX('Per Invoice'!A$2:A$401,$U15)))</f>
        <v/>
      </c>
      <c r="B15">
        <f>IF($U15="","",IF(INDEX('Per Invoice'!B$2:B$401,$U15)="","",INDEX('Per Invoice'!B$2:B$401,$U15)))</f>
        <v/>
      </c>
      <c r="C15">
        <f>IF($U15="","",IF(INDEX('Per Invoice'!C$2:C$401,$U15)="","",INDEX('Per Invoice'!C$2:C$401,$U15)))</f>
        <v/>
      </c>
      <c r="D15">
        <f>IF($U15="","",IF(INDEX('Per Invoice'!D$2:D$401,$U15)="","",INDEX('Per Invoice'!D$2:D$401,$U15)))</f>
        <v/>
      </c>
      <c r="E15">
        <f>IF($U15="","",IF(INDEX('Per Invoice'!E$2:E$401,$U15)="","",INDEX('Per Invoice'!E$2:E$401,$U15)))</f>
        <v/>
      </c>
      <c r="F15">
        <f>IF($U15="","",IF(INDEX('Per Invoice'!F$2:F$401,$U15)="","",INDEX('Per Invoice'!F$2:F$401,$U15)))</f>
        <v/>
      </c>
      <c r="G15">
        <f>IF($U15="","",IF(INDEX('Per Invoice'!G$2:G$401,$U15)="","",INDEX('Per Invoice'!G$2:G$401,$U15)))</f>
        <v/>
      </c>
      <c r="H15" s="7">
        <f>IF($U15="","",IF(INDEX('Per Invoice'!H$2:H$401,$U15)="","",INDEX('Per Invoice'!H$2:H$401,$U15)))</f>
        <v/>
      </c>
      <c r="I15" s="14">
        <f>IF($U15="","",IF(INDEX('Per Invoice'!I$2:I$401,$U15)="","",INDEX('Per Invoice'!I$2:I$401,$U15)))</f>
        <v/>
      </c>
      <c r="J15">
        <f>IF($U15="","",IF(INDEX('Per Invoice'!J$2:J$401,$U15)="","",INDEX('Per Invoice'!J$2:J$401,$U15)))</f>
        <v/>
      </c>
      <c r="K15">
        <f>IF($U15="","",IF(INDEX('Per Invoice'!K$2:K$401,$U15)="","",INDEX('Per Invoice'!K$2:K$401,$U15)))</f>
        <v/>
      </c>
      <c r="L15" s="7">
        <f>IF($U15="","",IF(INDEX('Per Invoice'!L$2:L$401,$U15)="","",INDEX('Per Invoice'!L$2:L$401,$U15)))</f>
        <v/>
      </c>
      <c r="M15" s="7">
        <f>IF($U15="","",IF(INDEX('Per Invoice'!M$2:M$401,$U15)="","",INDEX('Per Invoice'!M$2:M$401,$U15)))</f>
        <v/>
      </c>
      <c r="N15">
        <f>IF($U15="","",IF(INDEX('Per Invoice'!N$2:N$401,$U15)="","",INDEX('Per Invoice'!N$2:N$401,$U15)))</f>
        <v/>
      </c>
      <c r="O15" s="7">
        <f>IF($U15="","",IF(INDEX('Per Invoice'!O$2:O$401,$U15)="","",INDEX('Per Invoice'!O$2:O$401,$U15)))</f>
        <v/>
      </c>
      <c r="P15" s="7">
        <f>IF($U15="","",IF(INDEX('Per Invoice'!P$2:P$401,$U15)="","",INDEX('Per Invoice'!P$2:P$401,$U15)))</f>
        <v/>
      </c>
      <c r="Q15" s="7">
        <f>IF($U15="","",IF(INDEX('Per Invoice'!Q$2:Q$401,$U15)="","",INDEX('Per Invoice'!Q$2:Q$401,$U15)))</f>
        <v/>
      </c>
      <c r="R15" s="7">
        <f>IF($U15="","",IF(INDEX('Per Invoice'!R$2:R$401,$U15)="","",INDEX('Per Invoice'!R$2:R$401,$U15)))</f>
        <v/>
      </c>
      <c r="S15" s="7">
        <f>IF($U15="","",IF(INDEX('Per Invoice'!S$2:S$401,$U15)="","",INDEX('Per Invoice'!S$2:S$401,$U15)))</f>
        <v/>
      </c>
      <c r="T15" s="7">
        <f>IF($U15="","",IF(INDEX('Per Invoice'!T$2:T$401,$U15)="","",INDEX('Per Invoice'!T$2:T$401,$U15)))</f>
        <v/>
      </c>
      <c r="U15" s="16">
        <f>IFERROR(MATCH(Settings!$C$29&amp;"|"&amp;ROWS($U$2:$U15),'Per Invoice'!$V$2:$V$401,0),"")</f>
        <v/>
      </c>
    </row>
    <row r="16">
      <c r="A16">
        <f>IF($U16="","",IF(INDEX('Per Invoice'!A$2:A$401,$U16)="","",INDEX('Per Invoice'!A$2:A$401,$U16)))</f>
        <v/>
      </c>
      <c r="B16">
        <f>IF($U16="","",IF(INDEX('Per Invoice'!B$2:B$401,$U16)="","",INDEX('Per Invoice'!B$2:B$401,$U16)))</f>
        <v/>
      </c>
      <c r="C16">
        <f>IF($U16="","",IF(INDEX('Per Invoice'!C$2:C$401,$U16)="","",INDEX('Per Invoice'!C$2:C$401,$U16)))</f>
        <v/>
      </c>
      <c r="D16">
        <f>IF($U16="","",IF(INDEX('Per Invoice'!D$2:D$401,$U16)="","",INDEX('Per Invoice'!D$2:D$401,$U16)))</f>
        <v/>
      </c>
      <c r="E16">
        <f>IF($U16="","",IF(INDEX('Per Invoice'!E$2:E$401,$U16)="","",INDEX('Per Invoice'!E$2:E$401,$U16)))</f>
        <v/>
      </c>
      <c r="F16">
        <f>IF($U16="","",IF(INDEX('Per Invoice'!F$2:F$401,$U16)="","",INDEX('Per Invoice'!F$2:F$401,$U16)))</f>
        <v/>
      </c>
      <c r="G16">
        <f>IF($U16="","",IF(INDEX('Per Invoice'!G$2:G$401,$U16)="","",INDEX('Per Invoice'!G$2:G$401,$U16)))</f>
        <v/>
      </c>
      <c r="H16" s="7">
        <f>IF($U16="","",IF(INDEX('Per Invoice'!H$2:H$401,$U16)="","",INDEX('Per Invoice'!H$2:H$401,$U16)))</f>
        <v/>
      </c>
      <c r="I16" s="14">
        <f>IF($U16="","",IF(INDEX('Per Invoice'!I$2:I$401,$U16)="","",INDEX('Per Invoice'!I$2:I$401,$U16)))</f>
        <v/>
      </c>
      <c r="J16">
        <f>IF($U16="","",IF(INDEX('Per Invoice'!J$2:J$401,$U16)="","",INDEX('Per Invoice'!J$2:J$401,$U16)))</f>
        <v/>
      </c>
      <c r="K16">
        <f>IF($U16="","",IF(INDEX('Per Invoice'!K$2:K$401,$U16)="","",INDEX('Per Invoice'!K$2:K$401,$U16)))</f>
        <v/>
      </c>
      <c r="L16" s="7">
        <f>IF($U16="","",IF(INDEX('Per Invoice'!L$2:L$401,$U16)="","",INDEX('Per Invoice'!L$2:L$401,$U16)))</f>
        <v/>
      </c>
      <c r="M16" s="7">
        <f>IF($U16="","",IF(INDEX('Per Invoice'!M$2:M$401,$U16)="","",INDEX('Per Invoice'!M$2:M$401,$U16)))</f>
        <v/>
      </c>
      <c r="N16">
        <f>IF($U16="","",IF(INDEX('Per Invoice'!N$2:N$401,$U16)="","",INDEX('Per Invoice'!N$2:N$401,$U16)))</f>
        <v/>
      </c>
      <c r="O16" s="7">
        <f>IF($U16="","",IF(INDEX('Per Invoice'!O$2:O$401,$U16)="","",INDEX('Per Invoice'!O$2:O$401,$U16)))</f>
        <v/>
      </c>
      <c r="P16" s="7">
        <f>IF($U16="","",IF(INDEX('Per Invoice'!P$2:P$401,$U16)="","",INDEX('Per Invoice'!P$2:P$401,$U16)))</f>
        <v/>
      </c>
      <c r="Q16" s="7">
        <f>IF($U16="","",IF(INDEX('Per Invoice'!Q$2:Q$401,$U16)="","",INDEX('Per Invoice'!Q$2:Q$401,$U16)))</f>
        <v/>
      </c>
      <c r="R16" s="7">
        <f>IF($U16="","",IF(INDEX('Per Invoice'!R$2:R$401,$U16)="","",INDEX('Per Invoice'!R$2:R$401,$U16)))</f>
        <v/>
      </c>
      <c r="S16" s="7">
        <f>IF($U16="","",IF(INDEX('Per Invoice'!S$2:S$401,$U16)="","",INDEX('Per Invoice'!S$2:S$401,$U16)))</f>
        <v/>
      </c>
      <c r="T16" s="7">
        <f>IF($U16="","",IF(INDEX('Per Invoice'!T$2:T$401,$U16)="","",INDEX('Per Invoice'!T$2:T$401,$U16)))</f>
        <v/>
      </c>
      <c r="U16" s="16">
        <f>IFERROR(MATCH(Settings!$C$29&amp;"|"&amp;ROWS($U$2:$U16),'Per Invoice'!$V$2:$V$401,0),"")</f>
        <v/>
      </c>
    </row>
    <row r="17">
      <c r="A17">
        <f>IF($U17="","",IF(INDEX('Per Invoice'!A$2:A$401,$U17)="","",INDEX('Per Invoice'!A$2:A$401,$U17)))</f>
        <v/>
      </c>
      <c r="B17">
        <f>IF($U17="","",IF(INDEX('Per Invoice'!B$2:B$401,$U17)="","",INDEX('Per Invoice'!B$2:B$401,$U17)))</f>
        <v/>
      </c>
      <c r="C17">
        <f>IF($U17="","",IF(INDEX('Per Invoice'!C$2:C$401,$U17)="","",INDEX('Per Invoice'!C$2:C$401,$U17)))</f>
        <v/>
      </c>
      <c r="D17">
        <f>IF($U17="","",IF(INDEX('Per Invoice'!D$2:D$401,$U17)="","",INDEX('Per Invoice'!D$2:D$401,$U17)))</f>
        <v/>
      </c>
      <c r="E17">
        <f>IF($U17="","",IF(INDEX('Per Invoice'!E$2:E$401,$U17)="","",INDEX('Per Invoice'!E$2:E$401,$U17)))</f>
        <v/>
      </c>
      <c r="F17">
        <f>IF($U17="","",IF(INDEX('Per Invoice'!F$2:F$401,$U17)="","",INDEX('Per Invoice'!F$2:F$401,$U17)))</f>
        <v/>
      </c>
      <c r="G17">
        <f>IF($U17="","",IF(INDEX('Per Invoice'!G$2:G$401,$U17)="","",INDEX('Per Invoice'!G$2:G$401,$U17)))</f>
        <v/>
      </c>
      <c r="H17" s="7">
        <f>IF($U17="","",IF(INDEX('Per Invoice'!H$2:H$401,$U17)="","",INDEX('Per Invoice'!H$2:H$401,$U17)))</f>
        <v/>
      </c>
      <c r="I17" s="14">
        <f>IF($U17="","",IF(INDEX('Per Invoice'!I$2:I$401,$U17)="","",INDEX('Per Invoice'!I$2:I$401,$U17)))</f>
        <v/>
      </c>
      <c r="J17">
        <f>IF($U17="","",IF(INDEX('Per Invoice'!J$2:J$401,$U17)="","",INDEX('Per Invoice'!J$2:J$401,$U17)))</f>
        <v/>
      </c>
      <c r="K17">
        <f>IF($U17="","",IF(INDEX('Per Invoice'!K$2:K$401,$U17)="","",INDEX('Per Invoice'!K$2:K$401,$U17)))</f>
        <v/>
      </c>
      <c r="L17" s="7">
        <f>IF($U17="","",IF(INDEX('Per Invoice'!L$2:L$401,$U17)="","",INDEX('Per Invoice'!L$2:L$401,$U17)))</f>
        <v/>
      </c>
      <c r="M17" s="7">
        <f>IF($U17="","",IF(INDEX('Per Invoice'!M$2:M$401,$U17)="","",INDEX('Per Invoice'!M$2:M$401,$U17)))</f>
        <v/>
      </c>
      <c r="N17">
        <f>IF($U17="","",IF(INDEX('Per Invoice'!N$2:N$401,$U17)="","",INDEX('Per Invoice'!N$2:N$401,$U17)))</f>
        <v/>
      </c>
      <c r="O17" s="7">
        <f>IF($U17="","",IF(INDEX('Per Invoice'!O$2:O$401,$U17)="","",INDEX('Per Invoice'!O$2:O$401,$U17)))</f>
        <v/>
      </c>
      <c r="P17" s="7">
        <f>IF($U17="","",IF(INDEX('Per Invoice'!P$2:P$401,$U17)="","",INDEX('Per Invoice'!P$2:P$401,$U17)))</f>
        <v/>
      </c>
      <c r="Q17" s="7">
        <f>IF($U17="","",IF(INDEX('Per Invoice'!Q$2:Q$401,$U17)="","",INDEX('Per Invoice'!Q$2:Q$401,$U17)))</f>
        <v/>
      </c>
      <c r="R17" s="7">
        <f>IF($U17="","",IF(INDEX('Per Invoice'!R$2:R$401,$U17)="","",INDEX('Per Invoice'!R$2:R$401,$U17)))</f>
        <v/>
      </c>
      <c r="S17" s="7">
        <f>IF($U17="","",IF(INDEX('Per Invoice'!S$2:S$401,$U17)="","",INDEX('Per Invoice'!S$2:S$401,$U17)))</f>
        <v/>
      </c>
      <c r="T17" s="7">
        <f>IF($U17="","",IF(INDEX('Per Invoice'!T$2:T$401,$U17)="","",INDEX('Per Invoice'!T$2:T$401,$U17)))</f>
        <v/>
      </c>
      <c r="U17" s="16">
        <f>IFERROR(MATCH(Settings!$C$29&amp;"|"&amp;ROWS($U$2:$U17),'Per Invoice'!$V$2:$V$401,0),"")</f>
        <v/>
      </c>
    </row>
    <row r="18">
      <c r="A18">
        <f>IF($U18="","",IF(INDEX('Per Invoice'!A$2:A$401,$U18)="","",INDEX('Per Invoice'!A$2:A$401,$U18)))</f>
        <v/>
      </c>
      <c r="B18">
        <f>IF($U18="","",IF(INDEX('Per Invoice'!B$2:B$401,$U18)="","",INDEX('Per Invoice'!B$2:B$401,$U18)))</f>
        <v/>
      </c>
      <c r="C18">
        <f>IF($U18="","",IF(INDEX('Per Invoice'!C$2:C$401,$U18)="","",INDEX('Per Invoice'!C$2:C$401,$U18)))</f>
        <v/>
      </c>
      <c r="D18">
        <f>IF($U18="","",IF(INDEX('Per Invoice'!D$2:D$401,$U18)="","",INDEX('Per Invoice'!D$2:D$401,$U18)))</f>
        <v/>
      </c>
      <c r="E18">
        <f>IF($U18="","",IF(INDEX('Per Invoice'!E$2:E$401,$U18)="","",INDEX('Per Invoice'!E$2:E$401,$U18)))</f>
        <v/>
      </c>
      <c r="F18">
        <f>IF($U18="","",IF(INDEX('Per Invoice'!F$2:F$401,$U18)="","",INDEX('Per Invoice'!F$2:F$401,$U18)))</f>
        <v/>
      </c>
      <c r="G18">
        <f>IF($U18="","",IF(INDEX('Per Invoice'!G$2:G$401,$U18)="","",INDEX('Per Invoice'!G$2:G$401,$U18)))</f>
        <v/>
      </c>
      <c r="H18" s="7">
        <f>IF($U18="","",IF(INDEX('Per Invoice'!H$2:H$401,$U18)="","",INDEX('Per Invoice'!H$2:H$401,$U18)))</f>
        <v/>
      </c>
      <c r="I18" s="14">
        <f>IF($U18="","",IF(INDEX('Per Invoice'!I$2:I$401,$U18)="","",INDEX('Per Invoice'!I$2:I$401,$U18)))</f>
        <v/>
      </c>
      <c r="J18">
        <f>IF($U18="","",IF(INDEX('Per Invoice'!J$2:J$401,$U18)="","",INDEX('Per Invoice'!J$2:J$401,$U18)))</f>
        <v/>
      </c>
      <c r="K18">
        <f>IF($U18="","",IF(INDEX('Per Invoice'!K$2:K$401,$U18)="","",INDEX('Per Invoice'!K$2:K$401,$U18)))</f>
        <v/>
      </c>
      <c r="L18" s="7">
        <f>IF($U18="","",IF(INDEX('Per Invoice'!L$2:L$401,$U18)="","",INDEX('Per Invoice'!L$2:L$401,$U18)))</f>
        <v/>
      </c>
      <c r="M18" s="7">
        <f>IF($U18="","",IF(INDEX('Per Invoice'!M$2:M$401,$U18)="","",INDEX('Per Invoice'!M$2:M$401,$U18)))</f>
        <v/>
      </c>
      <c r="N18">
        <f>IF($U18="","",IF(INDEX('Per Invoice'!N$2:N$401,$U18)="","",INDEX('Per Invoice'!N$2:N$401,$U18)))</f>
        <v/>
      </c>
      <c r="O18" s="7">
        <f>IF($U18="","",IF(INDEX('Per Invoice'!O$2:O$401,$U18)="","",INDEX('Per Invoice'!O$2:O$401,$U18)))</f>
        <v/>
      </c>
      <c r="P18" s="7">
        <f>IF($U18="","",IF(INDEX('Per Invoice'!P$2:P$401,$U18)="","",INDEX('Per Invoice'!P$2:P$401,$U18)))</f>
        <v/>
      </c>
      <c r="Q18" s="7">
        <f>IF($U18="","",IF(INDEX('Per Invoice'!Q$2:Q$401,$U18)="","",INDEX('Per Invoice'!Q$2:Q$401,$U18)))</f>
        <v/>
      </c>
      <c r="R18" s="7">
        <f>IF($U18="","",IF(INDEX('Per Invoice'!R$2:R$401,$U18)="","",INDEX('Per Invoice'!R$2:R$401,$U18)))</f>
        <v/>
      </c>
      <c r="S18" s="7">
        <f>IF($U18="","",IF(INDEX('Per Invoice'!S$2:S$401,$U18)="","",INDEX('Per Invoice'!S$2:S$401,$U18)))</f>
        <v/>
      </c>
      <c r="T18" s="7">
        <f>IF($U18="","",IF(INDEX('Per Invoice'!T$2:T$401,$U18)="","",INDEX('Per Invoice'!T$2:T$401,$U18)))</f>
        <v/>
      </c>
      <c r="U18" s="16">
        <f>IFERROR(MATCH(Settings!$C$29&amp;"|"&amp;ROWS($U$2:$U18),'Per Invoice'!$V$2:$V$401,0),"")</f>
        <v/>
      </c>
    </row>
    <row r="19">
      <c r="A19">
        <f>IF($U19="","",IF(INDEX('Per Invoice'!A$2:A$401,$U19)="","",INDEX('Per Invoice'!A$2:A$401,$U19)))</f>
        <v/>
      </c>
      <c r="B19">
        <f>IF($U19="","",IF(INDEX('Per Invoice'!B$2:B$401,$U19)="","",INDEX('Per Invoice'!B$2:B$401,$U19)))</f>
        <v/>
      </c>
      <c r="C19">
        <f>IF($U19="","",IF(INDEX('Per Invoice'!C$2:C$401,$U19)="","",INDEX('Per Invoice'!C$2:C$401,$U19)))</f>
        <v/>
      </c>
      <c r="D19">
        <f>IF($U19="","",IF(INDEX('Per Invoice'!D$2:D$401,$U19)="","",INDEX('Per Invoice'!D$2:D$401,$U19)))</f>
        <v/>
      </c>
      <c r="E19">
        <f>IF($U19="","",IF(INDEX('Per Invoice'!E$2:E$401,$U19)="","",INDEX('Per Invoice'!E$2:E$401,$U19)))</f>
        <v/>
      </c>
      <c r="F19">
        <f>IF($U19="","",IF(INDEX('Per Invoice'!F$2:F$401,$U19)="","",INDEX('Per Invoice'!F$2:F$401,$U19)))</f>
        <v/>
      </c>
      <c r="G19">
        <f>IF($U19="","",IF(INDEX('Per Invoice'!G$2:G$401,$U19)="","",INDEX('Per Invoice'!G$2:G$401,$U19)))</f>
        <v/>
      </c>
      <c r="H19" s="7">
        <f>IF($U19="","",IF(INDEX('Per Invoice'!H$2:H$401,$U19)="","",INDEX('Per Invoice'!H$2:H$401,$U19)))</f>
        <v/>
      </c>
      <c r="I19" s="14">
        <f>IF($U19="","",IF(INDEX('Per Invoice'!I$2:I$401,$U19)="","",INDEX('Per Invoice'!I$2:I$401,$U19)))</f>
        <v/>
      </c>
      <c r="J19">
        <f>IF($U19="","",IF(INDEX('Per Invoice'!J$2:J$401,$U19)="","",INDEX('Per Invoice'!J$2:J$401,$U19)))</f>
        <v/>
      </c>
      <c r="K19">
        <f>IF($U19="","",IF(INDEX('Per Invoice'!K$2:K$401,$U19)="","",INDEX('Per Invoice'!K$2:K$401,$U19)))</f>
        <v/>
      </c>
      <c r="L19" s="7">
        <f>IF($U19="","",IF(INDEX('Per Invoice'!L$2:L$401,$U19)="","",INDEX('Per Invoice'!L$2:L$401,$U19)))</f>
        <v/>
      </c>
      <c r="M19" s="7">
        <f>IF($U19="","",IF(INDEX('Per Invoice'!M$2:M$401,$U19)="","",INDEX('Per Invoice'!M$2:M$401,$U19)))</f>
        <v/>
      </c>
      <c r="N19">
        <f>IF($U19="","",IF(INDEX('Per Invoice'!N$2:N$401,$U19)="","",INDEX('Per Invoice'!N$2:N$401,$U19)))</f>
        <v/>
      </c>
      <c r="O19" s="7">
        <f>IF($U19="","",IF(INDEX('Per Invoice'!O$2:O$401,$U19)="","",INDEX('Per Invoice'!O$2:O$401,$U19)))</f>
        <v/>
      </c>
      <c r="P19" s="7">
        <f>IF($U19="","",IF(INDEX('Per Invoice'!P$2:P$401,$U19)="","",INDEX('Per Invoice'!P$2:P$401,$U19)))</f>
        <v/>
      </c>
      <c r="Q19" s="7">
        <f>IF($U19="","",IF(INDEX('Per Invoice'!Q$2:Q$401,$U19)="","",INDEX('Per Invoice'!Q$2:Q$401,$U19)))</f>
        <v/>
      </c>
      <c r="R19" s="7">
        <f>IF($U19="","",IF(INDEX('Per Invoice'!R$2:R$401,$U19)="","",INDEX('Per Invoice'!R$2:R$401,$U19)))</f>
        <v/>
      </c>
      <c r="S19" s="7">
        <f>IF($U19="","",IF(INDEX('Per Invoice'!S$2:S$401,$U19)="","",INDEX('Per Invoice'!S$2:S$401,$U19)))</f>
        <v/>
      </c>
      <c r="T19" s="7">
        <f>IF($U19="","",IF(INDEX('Per Invoice'!T$2:T$401,$U19)="","",INDEX('Per Invoice'!T$2:T$401,$U19)))</f>
        <v/>
      </c>
      <c r="U19" s="16">
        <f>IFERROR(MATCH(Settings!$C$29&amp;"|"&amp;ROWS($U$2:$U19),'Per Invoice'!$V$2:$V$401,0),"")</f>
        <v/>
      </c>
    </row>
    <row r="20">
      <c r="A20">
        <f>IF($U20="","",IF(INDEX('Per Invoice'!A$2:A$401,$U20)="","",INDEX('Per Invoice'!A$2:A$401,$U20)))</f>
        <v/>
      </c>
      <c r="B20">
        <f>IF($U20="","",IF(INDEX('Per Invoice'!B$2:B$401,$U20)="","",INDEX('Per Invoice'!B$2:B$401,$U20)))</f>
        <v/>
      </c>
      <c r="C20">
        <f>IF($U20="","",IF(INDEX('Per Invoice'!C$2:C$401,$U20)="","",INDEX('Per Invoice'!C$2:C$401,$U20)))</f>
        <v/>
      </c>
      <c r="D20">
        <f>IF($U20="","",IF(INDEX('Per Invoice'!D$2:D$401,$U20)="","",INDEX('Per Invoice'!D$2:D$401,$U20)))</f>
        <v/>
      </c>
      <c r="E20">
        <f>IF($U20="","",IF(INDEX('Per Invoice'!E$2:E$401,$U20)="","",INDEX('Per Invoice'!E$2:E$401,$U20)))</f>
        <v/>
      </c>
      <c r="F20">
        <f>IF($U20="","",IF(INDEX('Per Invoice'!F$2:F$401,$U20)="","",INDEX('Per Invoice'!F$2:F$401,$U20)))</f>
        <v/>
      </c>
      <c r="G20">
        <f>IF($U20="","",IF(INDEX('Per Invoice'!G$2:G$401,$U20)="","",INDEX('Per Invoice'!G$2:G$401,$U20)))</f>
        <v/>
      </c>
      <c r="H20" s="7">
        <f>IF($U20="","",IF(INDEX('Per Invoice'!H$2:H$401,$U20)="","",INDEX('Per Invoice'!H$2:H$401,$U20)))</f>
        <v/>
      </c>
      <c r="I20" s="14">
        <f>IF($U20="","",IF(INDEX('Per Invoice'!I$2:I$401,$U20)="","",INDEX('Per Invoice'!I$2:I$401,$U20)))</f>
        <v/>
      </c>
      <c r="J20">
        <f>IF($U20="","",IF(INDEX('Per Invoice'!J$2:J$401,$U20)="","",INDEX('Per Invoice'!J$2:J$401,$U20)))</f>
        <v/>
      </c>
      <c r="K20">
        <f>IF($U20="","",IF(INDEX('Per Invoice'!K$2:K$401,$U20)="","",INDEX('Per Invoice'!K$2:K$401,$U20)))</f>
        <v/>
      </c>
      <c r="L20" s="7">
        <f>IF($U20="","",IF(INDEX('Per Invoice'!L$2:L$401,$U20)="","",INDEX('Per Invoice'!L$2:L$401,$U20)))</f>
        <v/>
      </c>
      <c r="M20" s="7">
        <f>IF($U20="","",IF(INDEX('Per Invoice'!M$2:M$401,$U20)="","",INDEX('Per Invoice'!M$2:M$401,$U20)))</f>
        <v/>
      </c>
      <c r="N20">
        <f>IF($U20="","",IF(INDEX('Per Invoice'!N$2:N$401,$U20)="","",INDEX('Per Invoice'!N$2:N$401,$U20)))</f>
        <v/>
      </c>
      <c r="O20" s="7">
        <f>IF($U20="","",IF(INDEX('Per Invoice'!O$2:O$401,$U20)="","",INDEX('Per Invoice'!O$2:O$401,$U20)))</f>
        <v/>
      </c>
      <c r="P20" s="7">
        <f>IF($U20="","",IF(INDEX('Per Invoice'!P$2:P$401,$U20)="","",INDEX('Per Invoice'!P$2:P$401,$U20)))</f>
        <v/>
      </c>
      <c r="Q20" s="7">
        <f>IF($U20="","",IF(INDEX('Per Invoice'!Q$2:Q$401,$U20)="","",INDEX('Per Invoice'!Q$2:Q$401,$U20)))</f>
        <v/>
      </c>
      <c r="R20" s="7">
        <f>IF($U20="","",IF(INDEX('Per Invoice'!R$2:R$401,$U20)="","",INDEX('Per Invoice'!R$2:R$401,$U20)))</f>
        <v/>
      </c>
      <c r="S20" s="7">
        <f>IF($U20="","",IF(INDEX('Per Invoice'!S$2:S$401,$U20)="","",INDEX('Per Invoice'!S$2:S$401,$U20)))</f>
        <v/>
      </c>
      <c r="T20" s="7">
        <f>IF($U20="","",IF(INDEX('Per Invoice'!T$2:T$401,$U20)="","",INDEX('Per Invoice'!T$2:T$401,$U20)))</f>
        <v/>
      </c>
      <c r="U20" s="16">
        <f>IFERROR(MATCH(Settings!$C$29&amp;"|"&amp;ROWS($U$2:$U20),'Per Invoice'!$V$2:$V$401,0),"")</f>
        <v/>
      </c>
    </row>
    <row r="21">
      <c r="A21">
        <f>IF($U21="","",IF(INDEX('Per Invoice'!A$2:A$401,$U21)="","",INDEX('Per Invoice'!A$2:A$401,$U21)))</f>
        <v/>
      </c>
      <c r="B21">
        <f>IF($U21="","",IF(INDEX('Per Invoice'!B$2:B$401,$U21)="","",INDEX('Per Invoice'!B$2:B$401,$U21)))</f>
        <v/>
      </c>
      <c r="C21">
        <f>IF($U21="","",IF(INDEX('Per Invoice'!C$2:C$401,$U21)="","",INDEX('Per Invoice'!C$2:C$401,$U21)))</f>
        <v/>
      </c>
      <c r="D21">
        <f>IF($U21="","",IF(INDEX('Per Invoice'!D$2:D$401,$U21)="","",INDEX('Per Invoice'!D$2:D$401,$U21)))</f>
        <v/>
      </c>
      <c r="E21">
        <f>IF($U21="","",IF(INDEX('Per Invoice'!E$2:E$401,$U21)="","",INDEX('Per Invoice'!E$2:E$401,$U21)))</f>
        <v/>
      </c>
      <c r="F21">
        <f>IF($U21="","",IF(INDEX('Per Invoice'!F$2:F$401,$U21)="","",INDEX('Per Invoice'!F$2:F$401,$U21)))</f>
        <v/>
      </c>
      <c r="G21">
        <f>IF($U21="","",IF(INDEX('Per Invoice'!G$2:G$401,$U21)="","",INDEX('Per Invoice'!G$2:G$401,$U21)))</f>
        <v/>
      </c>
      <c r="H21" s="7">
        <f>IF($U21="","",IF(INDEX('Per Invoice'!H$2:H$401,$U21)="","",INDEX('Per Invoice'!H$2:H$401,$U21)))</f>
        <v/>
      </c>
      <c r="I21" s="14">
        <f>IF($U21="","",IF(INDEX('Per Invoice'!I$2:I$401,$U21)="","",INDEX('Per Invoice'!I$2:I$401,$U21)))</f>
        <v/>
      </c>
      <c r="J21">
        <f>IF($U21="","",IF(INDEX('Per Invoice'!J$2:J$401,$U21)="","",INDEX('Per Invoice'!J$2:J$401,$U21)))</f>
        <v/>
      </c>
      <c r="K21">
        <f>IF($U21="","",IF(INDEX('Per Invoice'!K$2:K$401,$U21)="","",INDEX('Per Invoice'!K$2:K$401,$U21)))</f>
        <v/>
      </c>
      <c r="L21" s="7">
        <f>IF($U21="","",IF(INDEX('Per Invoice'!L$2:L$401,$U21)="","",INDEX('Per Invoice'!L$2:L$401,$U21)))</f>
        <v/>
      </c>
      <c r="M21" s="7">
        <f>IF($U21="","",IF(INDEX('Per Invoice'!M$2:M$401,$U21)="","",INDEX('Per Invoice'!M$2:M$401,$U21)))</f>
        <v/>
      </c>
      <c r="N21">
        <f>IF($U21="","",IF(INDEX('Per Invoice'!N$2:N$401,$U21)="","",INDEX('Per Invoice'!N$2:N$401,$U21)))</f>
        <v/>
      </c>
      <c r="O21" s="7">
        <f>IF($U21="","",IF(INDEX('Per Invoice'!O$2:O$401,$U21)="","",INDEX('Per Invoice'!O$2:O$401,$U21)))</f>
        <v/>
      </c>
      <c r="P21" s="7">
        <f>IF($U21="","",IF(INDEX('Per Invoice'!P$2:P$401,$U21)="","",INDEX('Per Invoice'!P$2:P$401,$U21)))</f>
        <v/>
      </c>
      <c r="Q21" s="7">
        <f>IF($U21="","",IF(INDEX('Per Invoice'!Q$2:Q$401,$U21)="","",INDEX('Per Invoice'!Q$2:Q$401,$U21)))</f>
        <v/>
      </c>
      <c r="R21" s="7">
        <f>IF($U21="","",IF(INDEX('Per Invoice'!R$2:R$401,$U21)="","",INDEX('Per Invoice'!R$2:R$401,$U21)))</f>
        <v/>
      </c>
      <c r="S21" s="7">
        <f>IF($U21="","",IF(INDEX('Per Invoice'!S$2:S$401,$U21)="","",INDEX('Per Invoice'!S$2:S$401,$U21)))</f>
        <v/>
      </c>
      <c r="T21" s="7">
        <f>IF($U21="","",IF(INDEX('Per Invoice'!T$2:T$401,$U21)="","",INDEX('Per Invoice'!T$2:T$401,$U21)))</f>
        <v/>
      </c>
      <c r="U21" s="16">
        <f>IFERROR(MATCH(Settings!$C$29&amp;"|"&amp;ROWS($U$2:$U21),'Per Invoice'!$V$2:$V$401,0),"")</f>
        <v/>
      </c>
    </row>
    <row r="22">
      <c r="A22">
        <f>IF($U22="","",IF(INDEX('Per Invoice'!A$2:A$401,$U22)="","",INDEX('Per Invoice'!A$2:A$401,$U22)))</f>
        <v/>
      </c>
      <c r="B22">
        <f>IF($U22="","",IF(INDEX('Per Invoice'!B$2:B$401,$U22)="","",INDEX('Per Invoice'!B$2:B$401,$U22)))</f>
        <v/>
      </c>
      <c r="C22">
        <f>IF($U22="","",IF(INDEX('Per Invoice'!C$2:C$401,$U22)="","",INDEX('Per Invoice'!C$2:C$401,$U22)))</f>
        <v/>
      </c>
      <c r="D22">
        <f>IF($U22="","",IF(INDEX('Per Invoice'!D$2:D$401,$U22)="","",INDEX('Per Invoice'!D$2:D$401,$U22)))</f>
        <v/>
      </c>
      <c r="E22">
        <f>IF($U22="","",IF(INDEX('Per Invoice'!E$2:E$401,$U22)="","",INDEX('Per Invoice'!E$2:E$401,$U22)))</f>
        <v/>
      </c>
      <c r="F22">
        <f>IF($U22="","",IF(INDEX('Per Invoice'!F$2:F$401,$U22)="","",INDEX('Per Invoice'!F$2:F$401,$U22)))</f>
        <v/>
      </c>
      <c r="G22">
        <f>IF($U22="","",IF(INDEX('Per Invoice'!G$2:G$401,$U22)="","",INDEX('Per Invoice'!G$2:G$401,$U22)))</f>
        <v/>
      </c>
      <c r="H22" s="7">
        <f>IF($U22="","",IF(INDEX('Per Invoice'!H$2:H$401,$U22)="","",INDEX('Per Invoice'!H$2:H$401,$U22)))</f>
        <v/>
      </c>
      <c r="I22" s="14">
        <f>IF($U22="","",IF(INDEX('Per Invoice'!I$2:I$401,$U22)="","",INDEX('Per Invoice'!I$2:I$401,$U22)))</f>
        <v/>
      </c>
      <c r="J22">
        <f>IF($U22="","",IF(INDEX('Per Invoice'!J$2:J$401,$U22)="","",INDEX('Per Invoice'!J$2:J$401,$U22)))</f>
        <v/>
      </c>
      <c r="K22">
        <f>IF($U22="","",IF(INDEX('Per Invoice'!K$2:K$401,$U22)="","",INDEX('Per Invoice'!K$2:K$401,$U22)))</f>
        <v/>
      </c>
      <c r="L22" s="7">
        <f>IF($U22="","",IF(INDEX('Per Invoice'!L$2:L$401,$U22)="","",INDEX('Per Invoice'!L$2:L$401,$U22)))</f>
        <v/>
      </c>
      <c r="M22" s="7">
        <f>IF($U22="","",IF(INDEX('Per Invoice'!M$2:M$401,$U22)="","",INDEX('Per Invoice'!M$2:M$401,$U22)))</f>
        <v/>
      </c>
      <c r="N22">
        <f>IF($U22="","",IF(INDEX('Per Invoice'!N$2:N$401,$U22)="","",INDEX('Per Invoice'!N$2:N$401,$U22)))</f>
        <v/>
      </c>
      <c r="O22" s="7">
        <f>IF($U22="","",IF(INDEX('Per Invoice'!O$2:O$401,$U22)="","",INDEX('Per Invoice'!O$2:O$401,$U22)))</f>
        <v/>
      </c>
      <c r="P22" s="7">
        <f>IF($U22="","",IF(INDEX('Per Invoice'!P$2:P$401,$U22)="","",INDEX('Per Invoice'!P$2:P$401,$U22)))</f>
        <v/>
      </c>
      <c r="Q22" s="7">
        <f>IF($U22="","",IF(INDEX('Per Invoice'!Q$2:Q$401,$U22)="","",INDEX('Per Invoice'!Q$2:Q$401,$U22)))</f>
        <v/>
      </c>
      <c r="R22" s="7">
        <f>IF($U22="","",IF(INDEX('Per Invoice'!R$2:R$401,$U22)="","",INDEX('Per Invoice'!R$2:R$401,$U22)))</f>
        <v/>
      </c>
      <c r="S22" s="7">
        <f>IF($U22="","",IF(INDEX('Per Invoice'!S$2:S$401,$U22)="","",INDEX('Per Invoice'!S$2:S$401,$U22)))</f>
        <v/>
      </c>
      <c r="T22" s="7">
        <f>IF($U22="","",IF(INDEX('Per Invoice'!T$2:T$401,$U22)="","",INDEX('Per Invoice'!T$2:T$401,$U22)))</f>
        <v/>
      </c>
      <c r="U22" s="16">
        <f>IFERROR(MATCH(Settings!$C$29&amp;"|"&amp;ROWS($U$2:$U22),'Per Invoice'!$V$2:$V$401,0),"")</f>
        <v/>
      </c>
    </row>
    <row r="23">
      <c r="A23">
        <f>IF($U23="","",IF(INDEX('Per Invoice'!A$2:A$401,$U23)="","",INDEX('Per Invoice'!A$2:A$401,$U23)))</f>
        <v/>
      </c>
      <c r="B23">
        <f>IF($U23="","",IF(INDEX('Per Invoice'!B$2:B$401,$U23)="","",INDEX('Per Invoice'!B$2:B$401,$U23)))</f>
        <v/>
      </c>
      <c r="C23">
        <f>IF($U23="","",IF(INDEX('Per Invoice'!C$2:C$401,$U23)="","",INDEX('Per Invoice'!C$2:C$401,$U23)))</f>
        <v/>
      </c>
      <c r="D23">
        <f>IF($U23="","",IF(INDEX('Per Invoice'!D$2:D$401,$U23)="","",INDEX('Per Invoice'!D$2:D$401,$U23)))</f>
        <v/>
      </c>
      <c r="E23">
        <f>IF($U23="","",IF(INDEX('Per Invoice'!E$2:E$401,$U23)="","",INDEX('Per Invoice'!E$2:E$401,$U23)))</f>
        <v/>
      </c>
      <c r="F23">
        <f>IF($U23="","",IF(INDEX('Per Invoice'!F$2:F$401,$U23)="","",INDEX('Per Invoice'!F$2:F$401,$U23)))</f>
        <v/>
      </c>
      <c r="G23">
        <f>IF($U23="","",IF(INDEX('Per Invoice'!G$2:G$401,$U23)="","",INDEX('Per Invoice'!G$2:G$401,$U23)))</f>
        <v/>
      </c>
      <c r="H23" s="7">
        <f>IF($U23="","",IF(INDEX('Per Invoice'!H$2:H$401,$U23)="","",INDEX('Per Invoice'!H$2:H$401,$U23)))</f>
        <v/>
      </c>
      <c r="I23" s="14">
        <f>IF($U23="","",IF(INDEX('Per Invoice'!I$2:I$401,$U23)="","",INDEX('Per Invoice'!I$2:I$401,$U23)))</f>
        <v/>
      </c>
      <c r="J23">
        <f>IF($U23="","",IF(INDEX('Per Invoice'!J$2:J$401,$U23)="","",INDEX('Per Invoice'!J$2:J$401,$U23)))</f>
        <v/>
      </c>
      <c r="K23">
        <f>IF($U23="","",IF(INDEX('Per Invoice'!K$2:K$401,$U23)="","",INDEX('Per Invoice'!K$2:K$401,$U23)))</f>
        <v/>
      </c>
      <c r="L23" s="7">
        <f>IF($U23="","",IF(INDEX('Per Invoice'!L$2:L$401,$U23)="","",INDEX('Per Invoice'!L$2:L$401,$U23)))</f>
        <v/>
      </c>
      <c r="M23" s="7">
        <f>IF($U23="","",IF(INDEX('Per Invoice'!M$2:M$401,$U23)="","",INDEX('Per Invoice'!M$2:M$401,$U23)))</f>
        <v/>
      </c>
      <c r="N23">
        <f>IF($U23="","",IF(INDEX('Per Invoice'!N$2:N$401,$U23)="","",INDEX('Per Invoice'!N$2:N$401,$U23)))</f>
        <v/>
      </c>
      <c r="O23" s="7">
        <f>IF($U23="","",IF(INDEX('Per Invoice'!O$2:O$401,$U23)="","",INDEX('Per Invoice'!O$2:O$401,$U23)))</f>
        <v/>
      </c>
      <c r="P23" s="7">
        <f>IF($U23="","",IF(INDEX('Per Invoice'!P$2:P$401,$U23)="","",INDEX('Per Invoice'!P$2:P$401,$U23)))</f>
        <v/>
      </c>
      <c r="Q23" s="7">
        <f>IF($U23="","",IF(INDEX('Per Invoice'!Q$2:Q$401,$U23)="","",INDEX('Per Invoice'!Q$2:Q$401,$U23)))</f>
        <v/>
      </c>
      <c r="R23" s="7">
        <f>IF($U23="","",IF(INDEX('Per Invoice'!R$2:R$401,$U23)="","",INDEX('Per Invoice'!R$2:R$401,$U23)))</f>
        <v/>
      </c>
      <c r="S23" s="7">
        <f>IF($U23="","",IF(INDEX('Per Invoice'!S$2:S$401,$U23)="","",INDEX('Per Invoice'!S$2:S$401,$U23)))</f>
        <v/>
      </c>
      <c r="T23" s="7">
        <f>IF($U23="","",IF(INDEX('Per Invoice'!T$2:T$401,$U23)="","",INDEX('Per Invoice'!T$2:T$401,$U23)))</f>
        <v/>
      </c>
      <c r="U23" s="16">
        <f>IFERROR(MATCH(Settings!$C$29&amp;"|"&amp;ROWS($U$2:$U23),'Per Invoice'!$V$2:$V$401,0),"")</f>
        <v/>
      </c>
    </row>
    <row r="24">
      <c r="A24">
        <f>IF($U24="","",IF(INDEX('Per Invoice'!A$2:A$401,$U24)="","",INDEX('Per Invoice'!A$2:A$401,$U24)))</f>
        <v/>
      </c>
      <c r="B24">
        <f>IF($U24="","",IF(INDEX('Per Invoice'!B$2:B$401,$U24)="","",INDEX('Per Invoice'!B$2:B$401,$U24)))</f>
        <v/>
      </c>
      <c r="C24">
        <f>IF($U24="","",IF(INDEX('Per Invoice'!C$2:C$401,$U24)="","",INDEX('Per Invoice'!C$2:C$401,$U24)))</f>
        <v/>
      </c>
      <c r="D24">
        <f>IF($U24="","",IF(INDEX('Per Invoice'!D$2:D$401,$U24)="","",INDEX('Per Invoice'!D$2:D$401,$U24)))</f>
        <v/>
      </c>
      <c r="E24">
        <f>IF($U24="","",IF(INDEX('Per Invoice'!E$2:E$401,$U24)="","",INDEX('Per Invoice'!E$2:E$401,$U24)))</f>
        <v/>
      </c>
      <c r="F24">
        <f>IF($U24="","",IF(INDEX('Per Invoice'!F$2:F$401,$U24)="","",INDEX('Per Invoice'!F$2:F$401,$U24)))</f>
        <v/>
      </c>
      <c r="G24">
        <f>IF($U24="","",IF(INDEX('Per Invoice'!G$2:G$401,$U24)="","",INDEX('Per Invoice'!G$2:G$401,$U24)))</f>
        <v/>
      </c>
      <c r="H24" s="7">
        <f>IF($U24="","",IF(INDEX('Per Invoice'!H$2:H$401,$U24)="","",INDEX('Per Invoice'!H$2:H$401,$U24)))</f>
        <v/>
      </c>
      <c r="I24" s="14">
        <f>IF($U24="","",IF(INDEX('Per Invoice'!I$2:I$401,$U24)="","",INDEX('Per Invoice'!I$2:I$401,$U24)))</f>
        <v/>
      </c>
      <c r="J24">
        <f>IF($U24="","",IF(INDEX('Per Invoice'!J$2:J$401,$U24)="","",INDEX('Per Invoice'!J$2:J$401,$U24)))</f>
        <v/>
      </c>
      <c r="K24">
        <f>IF($U24="","",IF(INDEX('Per Invoice'!K$2:K$401,$U24)="","",INDEX('Per Invoice'!K$2:K$401,$U24)))</f>
        <v/>
      </c>
      <c r="L24" s="7">
        <f>IF($U24="","",IF(INDEX('Per Invoice'!L$2:L$401,$U24)="","",INDEX('Per Invoice'!L$2:L$401,$U24)))</f>
        <v/>
      </c>
      <c r="M24" s="7">
        <f>IF($U24="","",IF(INDEX('Per Invoice'!M$2:M$401,$U24)="","",INDEX('Per Invoice'!M$2:M$401,$U24)))</f>
        <v/>
      </c>
      <c r="N24">
        <f>IF($U24="","",IF(INDEX('Per Invoice'!N$2:N$401,$U24)="","",INDEX('Per Invoice'!N$2:N$401,$U24)))</f>
        <v/>
      </c>
      <c r="O24" s="7">
        <f>IF($U24="","",IF(INDEX('Per Invoice'!O$2:O$401,$U24)="","",INDEX('Per Invoice'!O$2:O$401,$U24)))</f>
        <v/>
      </c>
      <c r="P24" s="7">
        <f>IF($U24="","",IF(INDEX('Per Invoice'!P$2:P$401,$U24)="","",INDEX('Per Invoice'!P$2:P$401,$U24)))</f>
        <v/>
      </c>
      <c r="Q24" s="7">
        <f>IF($U24="","",IF(INDEX('Per Invoice'!Q$2:Q$401,$U24)="","",INDEX('Per Invoice'!Q$2:Q$401,$U24)))</f>
        <v/>
      </c>
      <c r="R24" s="7">
        <f>IF($U24="","",IF(INDEX('Per Invoice'!R$2:R$401,$U24)="","",INDEX('Per Invoice'!R$2:R$401,$U24)))</f>
        <v/>
      </c>
      <c r="S24" s="7">
        <f>IF($U24="","",IF(INDEX('Per Invoice'!S$2:S$401,$U24)="","",INDEX('Per Invoice'!S$2:S$401,$U24)))</f>
        <v/>
      </c>
      <c r="T24" s="7">
        <f>IF($U24="","",IF(INDEX('Per Invoice'!T$2:T$401,$U24)="","",INDEX('Per Invoice'!T$2:T$401,$U24)))</f>
        <v/>
      </c>
      <c r="U24" s="16">
        <f>IFERROR(MATCH(Settings!$C$29&amp;"|"&amp;ROWS($U$2:$U24),'Per Invoice'!$V$2:$V$401,0),"")</f>
        <v/>
      </c>
    </row>
    <row r="25">
      <c r="A25">
        <f>IF($U25="","",IF(INDEX('Per Invoice'!A$2:A$401,$U25)="","",INDEX('Per Invoice'!A$2:A$401,$U25)))</f>
        <v/>
      </c>
      <c r="B25">
        <f>IF($U25="","",IF(INDEX('Per Invoice'!B$2:B$401,$U25)="","",INDEX('Per Invoice'!B$2:B$401,$U25)))</f>
        <v/>
      </c>
      <c r="C25">
        <f>IF($U25="","",IF(INDEX('Per Invoice'!C$2:C$401,$U25)="","",INDEX('Per Invoice'!C$2:C$401,$U25)))</f>
        <v/>
      </c>
      <c r="D25">
        <f>IF($U25="","",IF(INDEX('Per Invoice'!D$2:D$401,$U25)="","",INDEX('Per Invoice'!D$2:D$401,$U25)))</f>
        <v/>
      </c>
      <c r="E25">
        <f>IF($U25="","",IF(INDEX('Per Invoice'!E$2:E$401,$U25)="","",INDEX('Per Invoice'!E$2:E$401,$U25)))</f>
        <v/>
      </c>
      <c r="F25">
        <f>IF($U25="","",IF(INDEX('Per Invoice'!F$2:F$401,$U25)="","",INDEX('Per Invoice'!F$2:F$401,$U25)))</f>
        <v/>
      </c>
      <c r="G25">
        <f>IF($U25="","",IF(INDEX('Per Invoice'!G$2:G$401,$U25)="","",INDEX('Per Invoice'!G$2:G$401,$U25)))</f>
        <v/>
      </c>
      <c r="H25" s="7">
        <f>IF($U25="","",IF(INDEX('Per Invoice'!H$2:H$401,$U25)="","",INDEX('Per Invoice'!H$2:H$401,$U25)))</f>
        <v/>
      </c>
      <c r="I25" s="14">
        <f>IF($U25="","",IF(INDEX('Per Invoice'!I$2:I$401,$U25)="","",INDEX('Per Invoice'!I$2:I$401,$U25)))</f>
        <v/>
      </c>
      <c r="J25">
        <f>IF($U25="","",IF(INDEX('Per Invoice'!J$2:J$401,$U25)="","",INDEX('Per Invoice'!J$2:J$401,$U25)))</f>
        <v/>
      </c>
      <c r="K25">
        <f>IF($U25="","",IF(INDEX('Per Invoice'!K$2:K$401,$U25)="","",INDEX('Per Invoice'!K$2:K$401,$U25)))</f>
        <v/>
      </c>
      <c r="L25" s="7">
        <f>IF($U25="","",IF(INDEX('Per Invoice'!L$2:L$401,$U25)="","",INDEX('Per Invoice'!L$2:L$401,$U25)))</f>
        <v/>
      </c>
      <c r="M25" s="7">
        <f>IF($U25="","",IF(INDEX('Per Invoice'!M$2:M$401,$U25)="","",INDEX('Per Invoice'!M$2:M$401,$U25)))</f>
        <v/>
      </c>
      <c r="N25">
        <f>IF($U25="","",IF(INDEX('Per Invoice'!N$2:N$401,$U25)="","",INDEX('Per Invoice'!N$2:N$401,$U25)))</f>
        <v/>
      </c>
      <c r="O25" s="7">
        <f>IF($U25="","",IF(INDEX('Per Invoice'!O$2:O$401,$U25)="","",INDEX('Per Invoice'!O$2:O$401,$U25)))</f>
        <v/>
      </c>
      <c r="P25" s="7">
        <f>IF($U25="","",IF(INDEX('Per Invoice'!P$2:P$401,$U25)="","",INDEX('Per Invoice'!P$2:P$401,$U25)))</f>
        <v/>
      </c>
      <c r="Q25" s="7">
        <f>IF($U25="","",IF(INDEX('Per Invoice'!Q$2:Q$401,$U25)="","",INDEX('Per Invoice'!Q$2:Q$401,$U25)))</f>
        <v/>
      </c>
      <c r="R25" s="7">
        <f>IF($U25="","",IF(INDEX('Per Invoice'!R$2:R$401,$U25)="","",INDEX('Per Invoice'!R$2:R$401,$U25)))</f>
        <v/>
      </c>
      <c r="S25" s="7">
        <f>IF($U25="","",IF(INDEX('Per Invoice'!S$2:S$401,$U25)="","",INDEX('Per Invoice'!S$2:S$401,$U25)))</f>
        <v/>
      </c>
      <c r="T25" s="7">
        <f>IF($U25="","",IF(INDEX('Per Invoice'!T$2:T$401,$U25)="","",INDEX('Per Invoice'!T$2:T$401,$U25)))</f>
        <v/>
      </c>
      <c r="U25" s="16">
        <f>IFERROR(MATCH(Settings!$C$29&amp;"|"&amp;ROWS($U$2:$U25),'Per Invoice'!$V$2:$V$401,0),"")</f>
        <v/>
      </c>
    </row>
    <row r="26">
      <c r="A26">
        <f>IF($U26="","",IF(INDEX('Per Invoice'!A$2:A$401,$U26)="","",INDEX('Per Invoice'!A$2:A$401,$U26)))</f>
        <v/>
      </c>
      <c r="B26">
        <f>IF($U26="","",IF(INDEX('Per Invoice'!B$2:B$401,$U26)="","",INDEX('Per Invoice'!B$2:B$401,$U26)))</f>
        <v/>
      </c>
      <c r="C26">
        <f>IF($U26="","",IF(INDEX('Per Invoice'!C$2:C$401,$U26)="","",INDEX('Per Invoice'!C$2:C$401,$U26)))</f>
        <v/>
      </c>
      <c r="D26">
        <f>IF($U26="","",IF(INDEX('Per Invoice'!D$2:D$401,$U26)="","",INDEX('Per Invoice'!D$2:D$401,$U26)))</f>
        <v/>
      </c>
      <c r="E26">
        <f>IF($U26="","",IF(INDEX('Per Invoice'!E$2:E$401,$U26)="","",INDEX('Per Invoice'!E$2:E$401,$U26)))</f>
        <v/>
      </c>
      <c r="F26">
        <f>IF($U26="","",IF(INDEX('Per Invoice'!F$2:F$401,$U26)="","",INDEX('Per Invoice'!F$2:F$401,$U26)))</f>
        <v/>
      </c>
      <c r="G26">
        <f>IF($U26="","",IF(INDEX('Per Invoice'!G$2:G$401,$U26)="","",INDEX('Per Invoice'!G$2:G$401,$U26)))</f>
        <v/>
      </c>
      <c r="H26" s="7">
        <f>IF($U26="","",IF(INDEX('Per Invoice'!H$2:H$401,$U26)="","",INDEX('Per Invoice'!H$2:H$401,$U26)))</f>
        <v/>
      </c>
      <c r="I26" s="14">
        <f>IF($U26="","",IF(INDEX('Per Invoice'!I$2:I$401,$U26)="","",INDEX('Per Invoice'!I$2:I$401,$U26)))</f>
        <v/>
      </c>
      <c r="J26">
        <f>IF($U26="","",IF(INDEX('Per Invoice'!J$2:J$401,$U26)="","",INDEX('Per Invoice'!J$2:J$401,$U26)))</f>
        <v/>
      </c>
      <c r="K26">
        <f>IF($U26="","",IF(INDEX('Per Invoice'!K$2:K$401,$U26)="","",INDEX('Per Invoice'!K$2:K$401,$U26)))</f>
        <v/>
      </c>
      <c r="L26" s="7">
        <f>IF($U26="","",IF(INDEX('Per Invoice'!L$2:L$401,$U26)="","",INDEX('Per Invoice'!L$2:L$401,$U26)))</f>
        <v/>
      </c>
      <c r="M26" s="7">
        <f>IF($U26="","",IF(INDEX('Per Invoice'!M$2:M$401,$U26)="","",INDEX('Per Invoice'!M$2:M$401,$U26)))</f>
        <v/>
      </c>
      <c r="N26">
        <f>IF($U26="","",IF(INDEX('Per Invoice'!N$2:N$401,$U26)="","",INDEX('Per Invoice'!N$2:N$401,$U26)))</f>
        <v/>
      </c>
      <c r="O26" s="7">
        <f>IF($U26="","",IF(INDEX('Per Invoice'!O$2:O$401,$U26)="","",INDEX('Per Invoice'!O$2:O$401,$U26)))</f>
        <v/>
      </c>
      <c r="P26" s="7">
        <f>IF($U26="","",IF(INDEX('Per Invoice'!P$2:P$401,$U26)="","",INDEX('Per Invoice'!P$2:P$401,$U26)))</f>
        <v/>
      </c>
      <c r="Q26" s="7">
        <f>IF($U26="","",IF(INDEX('Per Invoice'!Q$2:Q$401,$U26)="","",INDEX('Per Invoice'!Q$2:Q$401,$U26)))</f>
        <v/>
      </c>
      <c r="R26" s="7">
        <f>IF($U26="","",IF(INDEX('Per Invoice'!R$2:R$401,$U26)="","",INDEX('Per Invoice'!R$2:R$401,$U26)))</f>
        <v/>
      </c>
      <c r="S26" s="7">
        <f>IF($U26="","",IF(INDEX('Per Invoice'!S$2:S$401,$U26)="","",INDEX('Per Invoice'!S$2:S$401,$U26)))</f>
        <v/>
      </c>
      <c r="T26" s="7">
        <f>IF($U26="","",IF(INDEX('Per Invoice'!T$2:T$401,$U26)="","",INDEX('Per Invoice'!T$2:T$401,$U26)))</f>
        <v/>
      </c>
      <c r="U26" s="16">
        <f>IFERROR(MATCH(Settings!$C$29&amp;"|"&amp;ROWS($U$2:$U26),'Per Invoice'!$V$2:$V$401,0),"")</f>
        <v/>
      </c>
    </row>
    <row r="27">
      <c r="A27">
        <f>IF($U27="","",IF(INDEX('Per Invoice'!A$2:A$401,$U27)="","",INDEX('Per Invoice'!A$2:A$401,$U27)))</f>
        <v/>
      </c>
      <c r="B27">
        <f>IF($U27="","",IF(INDEX('Per Invoice'!B$2:B$401,$U27)="","",INDEX('Per Invoice'!B$2:B$401,$U27)))</f>
        <v/>
      </c>
      <c r="C27">
        <f>IF($U27="","",IF(INDEX('Per Invoice'!C$2:C$401,$U27)="","",INDEX('Per Invoice'!C$2:C$401,$U27)))</f>
        <v/>
      </c>
      <c r="D27">
        <f>IF($U27="","",IF(INDEX('Per Invoice'!D$2:D$401,$U27)="","",INDEX('Per Invoice'!D$2:D$401,$U27)))</f>
        <v/>
      </c>
      <c r="E27">
        <f>IF($U27="","",IF(INDEX('Per Invoice'!E$2:E$401,$U27)="","",INDEX('Per Invoice'!E$2:E$401,$U27)))</f>
        <v/>
      </c>
      <c r="F27">
        <f>IF($U27="","",IF(INDEX('Per Invoice'!F$2:F$401,$U27)="","",INDEX('Per Invoice'!F$2:F$401,$U27)))</f>
        <v/>
      </c>
      <c r="G27">
        <f>IF($U27="","",IF(INDEX('Per Invoice'!G$2:G$401,$U27)="","",INDEX('Per Invoice'!G$2:G$401,$U27)))</f>
        <v/>
      </c>
      <c r="H27" s="7">
        <f>IF($U27="","",IF(INDEX('Per Invoice'!H$2:H$401,$U27)="","",INDEX('Per Invoice'!H$2:H$401,$U27)))</f>
        <v/>
      </c>
      <c r="I27" s="14">
        <f>IF($U27="","",IF(INDEX('Per Invoice'!I$2:I$401,$U27)="","",INDEX('Per Invoice'!I$2:I$401,$U27)))</f>
        <v/>
      </c>
      <c r="J27">
        <f>IF($U27="","",IF(INDEX('Per Invoice'!J$2:J$401,$U27)="","",INDEX('Per Invoice'!J$2:J$401,$U27)))</f>
        <v/>
      </c>
      <c r="K27">
        <f>IF($U27="","",IF(INDEX('Per Invoice'!K$2:K$401,$U27)="","",INDEX('Per Invoice'!K$2:K$401,$U27)))</f>
        <v/>
      </c>
      <c r="L27" s="7">
        <f>IF($U27="","",IF(INDEX('Per Invoice'!L$2:L$401,$U27)="","",INDEX('Per Invoice'!L$2:L$401,$U27)))</f>
        <v/>
      </c>
      <c r="M27" s="7">
        <f>IF($U27="","",IF(INDEX('Per Invoice'!M$2:M$401,$U27)="","",INDEX('Per Invoice'!M$2:M$401,$U27)))</f>
        <v/>
      </c>
      <c r="N27">
        <f>IF($U27="","",IF(INDEX('Per Invoice'!N$2:N$401,$U27)="","",INDEX('Per Invoice'!N$2:N$401,$U27)))</f>
        <v/>
      </c>
      <c r="O27" s="7">
        <f>IF($U27="","",IF(INDEX('Per Invoice'!O$2:O$401,$U27)="","",INDEX('Per Invoice'!O$2:O$401,$U27)))</f>
        <v/>
      </c>
      <c r="P27" s="7">
        <f>IF($U27="","",IF(INDEX('Per Invoice'!P$2:P$401,$U27)="","",INDEX('Per Invoice'!P$2:P$401,$U27)))</f>
        <v/>
      </c>
      <c r="Q27" s="7">
        <f>IF($U27="","",IF(INDEX('Per Invoice'!Q$2:Q$401,$U27)="","",INDEX('Per Invoice'!Q$2:Q$401,$U27)))</f>
        <v/>
      </c>
      <c r="R27" s="7">
        <f>IF($U27="","",IF(INDEX('Per Invoice'!R$2:R$401,$U27)="","",INDEX('Per Invoice'!R$2:R$401,$U27)))</f>
        <v/>
      </c>
      <c r="S27" s="7">
        <f>IF($U27="","",IF(INDEX('Per Invoice'!S$2:S$401,$U27)="","",INDEX('Per Invoice'!S$2:S$401,$U27)))</f>
        <v/>
      </c>
      <c r="T27" s="7">
        <f>IF($U27="","",IF(INDEX('Per Invoice'!T$2:T$401,$U27)="","",INDEX('Per Invoice'!T$2:T$401,$U27)))</f>
        <v/>
      </c>
      <c r="U27" s="16">
        <f>IFERROR(MATCH(Settings!$C$29&amp;"|"&amp;ROWS($U$2:$U27),'Per Invoice'!$V$2:$V$401,0),"")</f>
        <v/>
      </c>
    </row>
    <row r="28">
      <c r="A28">
        <f>IF($U28="","",IF(INDEX('Per Invoice'!A$2:A$401,$U28)="","",INDEX('Per Invoice'!A$2:A$401,$U28)))</f>
        <v/>
      </c>
      <c r="B28">
        <f>IF($U28="","",IF(INDEX('Per Invoice'!B$2:B$401,$U28)="","",INDEX('Per Invoice'!B$2:B$401,$U28)))</f>
        <v/>
      </c>
      <c r="C28">
        <f>IF($U28="","",IF(INDEX('Per Invoice'!C$2:C$401,$U28)="","",INDEX('Per Invoice'!C$2:C$401,$U28)))</f>
        <v/>
      </c>
      <c r="D28">
        <f>IF($U28="","",IF(INDEX('Per Invoice'!D$2:D$401,$U28)="","",INDEX('Per Invoice'!D$2:D$401,$U28)))</f>
        <v/>
      </c>
      <c r="E28">
        <f>IF($U28="","",IF(INDEX('Per Invoice'!E$2:E$401,$U28)="","",INDEX('Per Invoice'!E$2:E$401,$U28)))</f>
        <v/>
      </c>
      <c r="F28">
        <f>IF($U28="","",IF(INDEX('Per Invoice'!F$2:F$401,$U28)="","",INDEX('Per Invoice'!F$2:F$401,$U28)))</f>
        <v/>
      </c>
      <c r="G28">
        <f>IF($U28="","",IF(INDEX('Per Invoice'!G$2:G$401,$U28)="","",INDEX('Per Invoice'!G$2:G$401,$U28)))</f>
        <v/>
      </c>
      <c r="H28" s="7">
        <f>IF($U28="","",IF(INDEX('Per Invoice'!H$2:H$401,$U28)="","",INDEX('Per Invoice'!H$2:H$401,$U28)))</f>
        <v/>
      </c>
      <c r="I28" s="14">
        <f>IF($U28="","",IF(INDEX('Per Invoice'!I$2:I$401,$U28)="","",INDEX('Per Invoice'!I$2:I$401,$U28)))</f>
        <v/>
      </c>
      <c r="J28">
        <f>IF($U28="","",IF(INDEX('Per Invoice'!J$2:J$401,$U28)="","",INDEX('Per Invoice'!J$2:J$401,$U28)))</f>
        <v/>
      </c>
      <c r="K28">
        <f>IF($U28="","",IF(INDEX('Per Invoice'!K$2:K$401,$U28)="","",INDEX('Per Invoice'!K$2:K$401,$U28)))</f>
        <v/>
      </c>
      <c r="L28" s="7">
        <f>IF($U28="","",IF(INDEX('Per Invoice'!L$2:L$401,$U28)="","",INDEX('Per Invoice'!L$2:L$401,$U28)))</f>
        <v/>
      </c>
      <c r="M28" s="7">
        <f>IF($U28="","",IF(INDEX('Per Invoice'!M$2:M$401,$U28)="","",INDEX('Per Invoice'!M$2:M$401,$U28)))</f>
        <v/>
      </c>
      <c r="N28">
        <f>IF($U28="","",IF(INDEX('Per Invoice'!N$2:N$401,$U28)="","",INDEX('Per Invoice'!N$2:N$401,$U28)))</f>
        <v/>
      </c>
      <c r="O28" s="7">
        <f>IF($U28="","",IF(INDEX('Per Invoice'!O$2:O$401,$U28)="","",INDEX('Per Invoice'!O$2:O$401,$U28)))</f>
        <v/>
      </c>
      <c r="P28" s="7">
        <f>IF($U28="","",IF(INDEX('Per Invoice'!P$2:P$401,$U28)="","",INDEX('Per Invoice'!P$2:P$401,$U28)))</f>
        <v/>
      </c>
      <c r="Q28" s="7">
        <f>IF($U28="","",IF(INDEX('Per Invoice'!Q$2:Q$401,$U28)="","",INDEX('Per Invoice'!Q$2:Q$401,$U28)))</f>
        <v/>
      </c>
      <c r="R28" s="7">
        <f>IF($U28="","",IF(INDEX('Per Invoice'!R$2:R$401,$U28)="","",INDEX('Per Invoice'!R$2:R$401,$U28)))</f>
        <v/>
      </c>
      <c r="S28" s="7">
        <f>IF($U28="","",IF(INDEX('Per Invoice'!S$2:S$401,$U28)="","",INDEX('Per Invoice'!S$2:S$401,$U28)))</f>
        <v/>
      </c>
      <c r="T28" s="7">
        <f>IF($U28="","",IF(INDEX('Per Invoice'!T$2:T$401,$U28)="","",INDEX('Per Invoice'!T$2:T$401,$U28)))</f>
        <v/>
      </c>
      <c r="U28" s="16">
        <f>IFERROR(MATCH(Settings!$C$29&amp;"|"&amp;ROWS($U$2:$U28),'Per Invoice'!$V$2:$V$401,0),"")</f>
        <v/>
      </c>
    </row>
    <row r="29">
      <c r="A29">
        <f>IF($U29="","",IF(INDEX('Per Invoice'!A$2:A$401,$U29)="","",INDEX('Per Invoice'!A$2:A$401,$U29)))</f>
        <v/>
      </c>
      <c r="B29">
        <f>IF($U29="","",IF(INDEX('Per Invoice'!B$2:B$401,$U29)="","",INDEX('Per Invoice'!B$2:B$401,$U29)))</f>
        <v/>
      </c>
      <c r="C29">
        <f>IF($U29="","",IF(INDEX('Per Invoice'!C$2:C$401,$U29)="","",INDEX('Per Invoice'!C$2:C$401,$U29)))</f>
        <v/>
      </c>
      <c r="D29">
        <f>IF($U29="","",IF(INDEX('Per Invoice'!D$2:D$401,$U29)="","",INDEX('Per Invoice'!D$2:D$401,$U29)))</f>
        <v/>
      </c>
      <c r="E29">
        <f>IF($U29="","",IF(INDEX('Per Invoice'!E$2:E$401,$U29)="","",INDEX('Per Invoice'!E$2:E$401,$U29)))</f>
        <v/>
      </c>
      <c r="F29">
        <f>IF($U29="","",IF(INDEX('Per Invoice'!F$2:F$401,$U29)="","",INDEX('Per Invoice'!F$2:F$401,$U29)))</f>
        <v/>
      </c>
      <c r="G29">
        <f>IF($U29="","",IF(INDEX('Per Invoice'!G$2:G$401,$U29)="","",INDEX('Per Invoice'!G$2:G$401,$U29)))</f>
        <v/>
      </c>
      <c r="H29" s="7">
        <f>IF($U29="","",IF(INDEX('Per Invoice'!H$2:H$401,$U29)="","",INDEX('Per Invoice'!H$2:H$401,$U29)))</f>
        <v/>
      </c>
      <c r="I29" s="14">
        <f>IF($U29="","",IF(INDEX('Per Invoice'!I$2:I$401,$U29)="","",INDEX('Per Invoice'!I$2:I$401,$U29)))</f>
        <v/>
      </c>
      <c r="J29">
        <f>IF($U29="","",IF(INDEX('Per Invoice'!J$2:J$401,$U29)="","",INDEX('Per Invoice'!J$2:J$401,$U29)))</f>
        <v/>
      </c>
      <c r="K29">
        <f>IF($U29="","",IF(INDEX('Per Invoice'!K$2:K$401,$U29)="","",INDEX('Per Invoice'!K$2:K$401,$U29)))</f>
        <v/>
      </c>
      <c r="L29" s="7">
        <f>IF($U29="","",IF(INDEX('Per Invoice'!L$2:L$401,$U29)="","",INDEX('Per Invoice'!L$2:L$401,$U29)))</f>
        <v/>
      </c>
      <c r="M29" s="7">
        <f>IF($U29="","",IF(INDEX('Per Invoice'!M$2:M$401,$U29)="","",INDEX('Per Invoice'!M$2:M$401,$U29)))</f>
        <v/>
      </c>
      <c r="N29">
        <f>IF($U29="","",IF(INDEX('Per Invoice'!N$2:N$401,$U29)="","",INDEX('Per Invoice'!N$2:N$401,$U29)))</f>
        <v/>
      </c>
      <c r="O29" s="7">
        <f>IF($U29="","",IF(INDEX('Per Invoice'!O$2:O$401,$U29)="","",INDEX('Per Invoice'!O$2:O$401,$U29)))</f>
        <v/>
      </c>
      <c r="P29" s="7">
        <f>IF($U29="","",IF(INDEX('Per Invoice'!P$2:P$401,$U29)="","",INDEX('Per Invoice'!P$2:P$401,$U29)))</f>
        <v/>
      </c>
      <c r="Q29" s="7">
        <f>IF($U29="","",IF(INDEX('Per Invoice'!Q$2:Q$401,$U29)="","",INDEX('Per Invoice'!Q$2:Q$401,$U29)))</f>
        <v/>
      </c>
      <c r="R29" s="7">
        <f>IF($U29="","",IF(INDEX('Per Invoice'!R$2:R$401,$U29)="","",INDEX('Per Invoice'!R$2:R$401,$U29)))</f>
        <v/>
      </c>
      <c r="S29" s="7">
        <f>IF($U29="","",IF(INDEX('Per Invoice'!S$2:S$401,$U29)="","",INDEX('Per Invoice'!S$2:S$401,$U29)))</f>
        <v/>
      </c>
      <c r="T29" s="7">
        <f>IF($U29="","",IF(INDEX('Per Invoice'!T$2:T$401,$U29)="","",INDEX('Per Invoice'!T$2:T$401,$U29)))</f>
        <v/>
      </c>
      <c r="U29" s="16">
        <f>IFERROR(MATCH(Settings!$C$29&amp;"|"&amp;ROWS($U$2:$U29),'Per Invoice'!$V$2:$V$401,0),"")</f>
        <v/>
      </c>
    </row>
    <row r="30">
      <c r="A30">
        <f>IF($U30="","",IF(INDEX('Per Invoice'!A$2:A$401,$U30)="","",INDEX('Per Invoice'!A$2:A$401,$U30)))</f>
        <v/>
      </c>
      <c r="B30">
        <f>IF($U30="","",IF(INDEX('Per Invoice'!B$2:B$401,$U30)="","",INDEX('Per Invoice'!B$2:B$401,$U30)))</f>
        <v/>
      </c>
      <c r="C30">
        <f>IF($U30="","",IF(INDEX('Per Invoice'!C$2:C$401,$U30)="","",INDEX('Per Invoice'!C$2:C$401,$U30)))</f>
        <v/>
      </c>
      <c r="D30">
        <f>IF($U30="","",IF(INDEX('Per Invoice'!D$2:D$401,$U30)="","",INDEX('Per Invoice'!D$2:D$401,$U30)))</f>
        <v/>
      </c>
      <c r="E30">
        <f>IF($U30="","",IF(INDEX('Per Invoice'!E$2:E$401,$U30)="","",INDEX('Per Invoice'!E$2:E$401,$U30)))</f>
        <v/>
      </c>
      <c r="F30">
        <f>IF($U30="","",IF(INDEX('Per Invoice'!F$2:F$401,$U30)="","",INDEX('Per Invoice'!F$2:F$401,$U30)))</f>
        <v/>
      </c>
      <c r="G30">
        <f>IF($U30="","",IF(INDEX('Per Invoice'!G$2:G$401,$U30)="","",INDEX('Per Invoice'!G$2:G$401,$U30)))</f>
        <v/>
      </c>
      <c r="H30" s="7">
        <f>IF($U30="","",IF(INDEX('Per Invoice'!H$2:H$401,$U30)="","",INDEX('Per Invoice'!H$2:H$401,$U30)))</f>
        <v/>
      </c>
      <c r="I30" s="14">
        <f>IF($U30="","",IF(INDEX('Per Invoice'!I$2:I$401,$U30)="","",INDEX('Per Invoice'!I$2:I$401,$U30)))</f>
        <v/>
      </c>
      <c r="J30">
        <f>IF($U30="","",IF(INDEX('Per Invoice'!J$2:J$401,$U30)="","",INDEX('Per Invoice'!J$2:J$401,$U30)))</f>
        <v/>
      </c>
      <c r="K30">
        <f>IF($U30="","",IF(INDEX('Per Invoice'!K$2:K$401,$U30)="","",INDEX('Per Invoice'!K$2:K$401,$U30)))</f>
        <v/>
      </c>
      <c r="L30" s="7">
        <f>IF($U30="","",IF(INDEX('Per Invoice'!L$2:L$401,$U30)="","",INDEX('Per Invoice'!L$2:L$401,$U30)))</f>
        <v/>
      </c>
      <c r="M30" s="7">
        <f>IF($U30="","",IF(INDEX('Per Invoice'!M$2:M$401,$U30)="","",INDEX('Per Invoice'!M$2:M$401,$U30)))</f>
        <v/>
      </c>
      <c r="N30">
        <f>IF($U30="","",IF(INDEX('Per Invoice'!N$2:N$401,$U30)="","",INDEX('Per Invoice'!N$2:N$401,$U30)))</f>
        <v/>
      </c>
      <c r="O30" s="7">
        <f>IF($U30="","",IF(INDEX('Per Invoice'!O$2:O$401,$U30)="","",INDEX('Per Invoice'!O$2:O$401,$U30)))</f>
        <v/>
      </c>
      <c r="P30" s="7">
        <f>IF($U30="","",IF(INDEX('Per Invoice'!P$2:P$401,$U30)="","",INDEX('Per Invoice'!P$2:P$401,$U30)))</f>
        <v/>
      </c>
      <c r="Q30" s="7">
        <f>IF($U30="","",IF(INDEX('Per Invoice'!Q$2:Q$401,$U30)="","",INDEX('Per Invoice'!Q$2:Q$401,$U30)))</f>
        <v/>
      </c>
      <c r="R30" s="7">
        <f>IF($U30="","",IF(INDEX('Per Invoice'!R$2:R$401,$U30)="","",INDEX('Per Invoice'!R$2:R$401,$U30)))</f>
        <v/>
      </c>
      <c r="S30" s="7">
        <f>IF($U30="","",IF(INDEX('Per Invoice'!S$2:S$401,$U30)="","",INDEX('Per Invoice'!S$2:S$401,$U30)))</f>
        <v/>
      </c>
      <c r="T30" s="7">
        <f>IF($U30="","",IF(INDEX('Per Invoice'!T$2:T$401,$U30)="","",INDEX('Per Invoice'!T$2:T$401,$U30)))</f>
        <v/>
      </c>
      <c r="U30" s="16">
        <f>IFERROR(MATCH(Settings!$C$29&amp;"|"&amp;ROWS($U$2:$U30),'Per Invoice'!$V$2:$V$401,0),"")</f>
        <v/>
      </c>
    </row>
    <row r="31">
      <c r="A31">
        <f>IF($U31="","",IF(INDEX('Per Invoice'!A$2:A$401,$U31)="","",INDEX('Per Invoice'!A$2:A$401,$U31)))</f>
        <v/>
      </c>
      <c r="B31">
        <f>IF($U31="","",IF(INDEX('Per Invoice'!B$2:B$401,$U31)="","",INDEX('Per Invoice'!B$2:B$401,$U31)))</f>
        <v/>
      </c>
      <c r="C31">
        <f>IF($U31="","",IF(INDEX('Per Invoice'!C$2:C$401,$U31)="","",INDEX('Per Invoice'!C$2:C$401,$U31)))</f>
        <v/>
      </c>
      <c r="D31">
        <f>IF($U31="","",IF(INDEX('Per Invoice'!D$2:D$401,$U31)="","",INDEX('Per Invoice'!D$2:D$401,$U31)))</f>
        <v/>
      </c>
      <c r="E31">
        <f>IF($U31="","",IF(INDEX('Per Invoice'!E$2:E$401,$U31)="","",INDEX('Per Invoice'!E$2:E$401,$U31)))</f>
        <v/>
      </c>
      <c r="F31">
        <f>IF($U31="","",IF(INDEX('Per Invoice'!F$2:F$401,$U31)="","",INDEX('Per Invoice'!F$2:F$401,$U31)))</f>
        <v/>
      </c>
      <c r="G31">
        <f>IF($U31="","",IF(INDEX('Per Invoice'!G$2:G$401,$U31)="","",INDEX('Per Invoice'!G$2:G$401,$U31)))</f>
        <v/>
      </c>
      <c r="H31" s="7">
        <f>IF($U31="","",IF(INDEX('Per Invoice'!H$2:H$401,$U31)="","",INDEX('Per Invoice'!H$2:H$401,$U31)))</f>
        <v/>
      </c>
      <c r="I31" s="14">
        <f>IF($U31="","",IF(INDEX('Per Invoice'!I$2:I$401,$U31)="","",INDEX('Per Invoice'!I$2:I$401,$U31)))</f>
        <v/>
      </c>
      <c r="J31">
        <f>IF($U31="","",IF(INDEX('Per Invoice'!J$2:J$401,$U31)="","",INDEX('Per Invoice'!J$2:J$401,$U31)))</f>
        <v/>
      </c>
      <c r="K31">
        <f>IF($U31="","",IF(INDEX('Per Invoice'!K$2:K$401,$U31)="","",INDEX('Per Invoice'!K$2:K$401,$U31)))</f>
        <v/>
      </c>
      <c r="L31" s="7">
        <f>IF($U31="","",IF(INDEX('Per Invoice'!L$2:L$401,$U31)="","",INDEX('Per Invoice'!L$2:L$401,$U31)))</f>
        <v/>
      </c>
      <c r="M31" s="7">
        <f>IF($U31="","",IF(INDEX('Per Invoice'!M$2:M$401,$U31)="","",INDEX('Per Invoice'!M$2:M$401,$U31)))</f>
        <v/>
      </c>
      <c r="N31">
        <f>IF($U31="","",IF(INDEX('Per Invoice'!N$2:N$401,$U31)="","",INDEX('Per Invoice'!N$2:N$401,$U31)))</f>
        <v/>
      </c>
      <c r="O31" s="7">
        <f>IF($U31="","",IF(INDEX('Per Invoice'!O$2:O$401,$U31)="","",INDEX('Per Invoice'!O$2:O$401,$U31)))</f>
        <v/>
      </c>
      <c r="P31" s="7">
        <f>IF($U31="","",IF(INDEX('Per Invoice'!P$2:P$401,$U31)="","",INDEX('Per Invoice'!P$2:P$401,$U31)))</f>
        <v/>
      </c>
      <c r="Q31" s="7">
        <f>IF($U31="","",IF(INDEX('Per Invoice'!Q$2:Q$401,$U31)="","",INDEX('Per Invoice'!Q$2:Q$401,$U31)))</f>
        <v/>
      </c>
      <c r="R31" s="7">
        <f>IF($U31="","",IF(INDEX('Per Invoice'!R$2:R$401,$U31)="","",INDEX('Per Invoice'!R$2:R$401,$U31)))</f>
        <v/>
      </c>
      <c r="S31" s="7">
        <f>IF($U31="","",IF(INDEX('Per Invoice'!S$2:S$401,$U31)="","",INDEX('Per Invoice'!S$2:S$401,$U31)))</f>
        <v/>
      </c>
      <c r="T31" s="7">
        <f>IF($U31="","",IF(INDEX('Per Invoice'!T$2:T$401,$U31)="","",INDEX('Per Invoice'!T$2:T$401,$U31)))</f>
        <v/>
      </c>
      <c r="U31" s="16">
        <f>IFERROR(MATCH(Settings!$C$29&amp;"|"&amp;ROWS($U$2:$U31),'Per Invoice'!$V$2:$V$401,0),"")</f>
        <v/>
      </c>
    </row>
    <row r="32">
      <c r="A32">
        <f>IF($U32="","",IF(INDEX('Per Invoice'!A$2:A$401,$U32)="","",INDEX('Per Invoice'!A$2:A$401,$U32)))</f>
        <v/>
      </c>
      <c r="B32">
        <f>IF($U32="","",IF(INDEX('Per Invoice'!B$2:B$401,$U32)="","",INDEX('Per Invoice'!B$2:B$401,$U32)))</f>
        <v/>
      </c>
      <c r="C32">
        <f>IF($U32="","",IF(INDEX('Per Invoice'!C$2:C$401,$U32)="","",INDEX('Per Invoice'!C$2:C$401,$U32)))</f>
        <v/>
      </c>
      <c r="D32">
        <f>IF($U32="","",IF(INDEX('Per Invoice'!D$2:D$401,$U32)="","",INDEX('Per Invoice'!D$2:D$401,$U32)))</f>
        <v/>
      </c>
      <c r="E32">
        <f>IF($U32="","",IF(INDEX('Per Invoice'!E$2:E$401,$U32)="","",INDEX('Per Invoice'!E$2:E$401,$U32)))</f>
        <v/>
      </c>
      <c r="F32">
        <f>IF($U32="","",IF(INDEX('Per Invoice'!F$2:F$401,$U32)="","",INDEX('Per Invoice'!F$2:F$401,$U32)))</f>
        <v/>
      </c>
      <c r="G32">
        <f>IF($U32="","",IF(INDEX('Per Invoice'!G$2:G$401,$U32)="","",INDEX('Per Invoice'!G$2:G$401,$U32)))</f>
        <v/>
      </c>
      <c r="H32" s="7">
        <f>IF($U32="","",IF(INDEX('Per Invoice'!H$2:H$401,$U32)="","",INDEX('Per Invoice'!H$2:H$401,$U32)))</f>
        <v/>
      </c>
      <c r="I32" s="14">
        <f>IF($U32="","",IF(INDEX('Per Invoice'!I$2:I$401,$U32)="","",INDEX('Per Invoice'!I$2:I$401,$U32)))</f>
        <v/>
      </c>
      <c r="J32">
        <f>IF($U32="","",IF(INDEX('Per Invoice'!J$2:J$401,$U32)="","",INDEX('Per Invoice'!J$2:J$401,$U32)))</f>
        <v/>
      </c>
      <c r="K32">
        <f>IF($U32="","",IF(INDEX('Per Invoice'!K$2:K$401,$U32)="","",INDEX('Per Invoice'!K$2:K$401,$U32)))</f>
        <v/>
      </c>
      <c r="L32" s="7">
        <f>IF($U32="","",IF(INDEX('Per Invoice'!L$2:L$401,$U32)="","",INDEX('Per Invoice'!L$2:L$401,$U32)))</f>
        <v/>
      </c>
      <c r="M32" s="7">
        <f>IF($U32="","",IF(INDEX('Per Invoice'!M$2:M$401,$U32)="","",INDEX('Per Invoice'!M$2:M$401,$U32)))</f>
        <v/>
      </c>
      <c r="N32">
        <f>IF($U32="","",IF(INDEX('Per Invoice'!N$2:N$401,$U32)="","",INDEX('Per Invoice'!N$2:N$401,$U32)))</f>
        <v/>
      </c>
      <c r="O32" s="7">
        <f>IF($U32="","",IF(INDEX('Per Invoice'!O$2:O$401,$U32)="","",INDEX('Per Invoice'!O$2:O$401,$U32)))</f>
        <v/>
      </c>
      <c r="P32" s="7">
        <f>IF($U32="","",IF(INDEX('Per Invoice'!P$2:P$401,$U32)="","",INDEX('Per Invoice'!P$2:P$401,$U32)))</f>
        <v/>
      </c>
      <c r="Q32" s="7">
        <f>IF($U32="","",IF(INDEX('Per Invoice'!Q$2:Q$401,$U32)="","",INDEX('Per Invoice'!Q$2:Q$401,$U32)))</f>
        <v/>
      </c>
      <c r="R32" s="7">
        <f>IF($U32="","",IF(INDEX('Per Invoice'!R$2:R$401,$U32)="","",INDEX('Per Invoice'!R$2:R$401,$U32)))</f>
        <v/>
      </c>
      <c r="S32" s="7">
        <f>IF($U32="","",IF(INDEX('Per Invoice'!S$2:S$401,$U32)="","",INDEX('Per Invoice'!S$2:S$401,$U32)))</f>
        <v/>
      </c>
      <c r="T32" s="7">
        <f>IF($U32="","",IF(INDEX('Per Invoice'!T$2:T$401,$U32)="","",INDEX('Per Invoice'!T$2:T$401,$U32)))</f>
        <v/>
      </c>
      <c r="U32" s="16">
        <f>IFERROR(MATCH(Settings!$C$29&amp;"|"&amp;ROWS($U$2:$U32),'Per Invoice'!$V$2:$V$401,0),"")</f>
        <v/>
      </c>
    </row>
    <row r="33">
      <c r="A33">
        <f>IF($U33="","",IF(INDEX('Per Invoice'!A$2:A$401,$U33)="","",INDEX('Per Invoice'!A$2:A$401,$U33)))</f>
        <v/>
      </c>
      <c r="B33">
        <f>IF($U33="","",IF(INDEX('Per Invoice'!B$2:B$401,$U33)="","",INDEX('Per Invoice'!B$2:B$401,$U33)))</f>
        <v/>
      </c>
      <c r="C33">
        <f>IF($U33="","",IF(INDEX('Per Invoice'!C$2:C$401,$U33)="","",INDEX('Per Invoice'!C$2:C$401,$U33)))</f>
        <v/>
      </c>
      <c r="D33">
        <f>IF($U33="","",IF(INDEX('Per Invoice'!D$2:D$401,$U33)="","",INDEX('Per Invoice'!D$2:D$401,$U33)))</f>
        <v/>
      </c>
      <c r="E33">
        <f>IF($U33="","",IF(INDEX('Per Invoice'!E$2:E$401,$U33)="","",INDEX('Per Invoice'!E$2:E$401,$U33)))</f>
        <v/>
      </c>
      <c r="F33">
        <f>IF($U33="","",IF(INDEX('Per Invoice'!F$2:F$401,$U33)="","",INDEX('Per Invoice'!F$2:F$401,$U33)))</f>
        <v/>
      </c>
      <c r="G33">
        <f>IF($U33="","",IF(INDEX('Per Invoice'!G$2:G$401,$U33)="","",INDEX('Per Invoice'!G$2:G$401,$U33)))</f>
        <v/>
      </c>
      <c r="H33" s="7">
        <f>IF($U33="","",IF(INDEX('Per Invoice'!H$2:H$401,$U33)="","",INDEX('Per Invoice'!H$2:H$401,$U33)))</f>
        <v/>
      </c>
      <c r="I33" s="14">
        <f>IF($U33="","",IF(INDEX('Per Invoice'!I$2:I$401,$U33)="","",INDEX('Per Invoice'!I$2:I$401,$U33)))</f>
        <v/>
      </c>
      <c r="J33">
        <f>IF($U33="","",IF(INDEX('Per Invoice'!J$2:J$401,$U33)="","",INDEX('Per Invoice'!J$2:J$401,$U33)))</f>
        <v/>
      </c>
      <c r="K33">
        <f>IF($U33="","",IF(INDEX('Per Invoice'!K$2:K$401,$U33)="","",INDEX('Per Invoice'!K$2:K$401,$U33)))</f>
        <v/>
      </c>
      <c r="L33" s="7">
        <f>IF($U33="","",IF(INDEX('Per Invoice'!L$2:L$401,$U33)="","",INDEX('Per Invoice'!L$2:L$401,$U33)))</f>
        <v/>
      </c>
      <c r="M33" s="7">
        <f>IF($U33="","",IF(INDEX('Per Invoice'!M$2:M$401,$U33)="","",INDEX('Per Invoice'!M$2:M$401,$U33)))</f>
        <v/>
      </c>
      <c r="N33">
        <f>IF($U33="","",IF(INDEX('Per Invoice'!N$2:N$401,$U33)="","",INDEX('Per Invoice'!N$2:N$401,$U33)))</f>
        <v/>
      </c>
      <c r="O33" s="7">
        <f>IF($U33="","",IF(INDEX('Per Invoice'!O$2:O$401,$U33)="","",INDEX('Per Invoice'!O$2:O$401,$U33)))</f>
        <v/>
      </c>
      <c r="P33" s="7">
        <f>IF($U33="","",IF(INDEX('Per Invoice'!P$2:P$401,$U33)="","",INDEX('Per Invoice'!P$2:P$401,$U33)))</f>
        <v/>
      </c>
      <c r="Q33" s="7">
        <f>IF($U33="","",IF(INDEX('Per Invoice'!Q$2:Q$401,$U33)="","",INDEX('Per Invoice'!Q$2:Q$401,$U33)))</f>
        <v/>
      </c>
      <c r="R33" s="7">
        <f>IF($U33="","",IF(INDEX('Per Invoice'!R$2:R$401,$U33)="","",INDEX('Per Invoice'!R$2:R$401,$U33)))</f>
        <v/>
      </c>
      <c r="S33" s="7">
        <f>IF($U33="","",IF(INDEX('Per Invoice'!S$2:S$401,$U33)="","",INDEX('Per Invoice'!S$2:S$401,$U33)))</f>
        <v/>
      </c>
      <c r="T33" s="7">
        <f>IF($U33="","",IF(INDEX('Per Invoice'!T$2:T$401,$U33)="","",INDEX('Per Invoice'!T$2:T$401,$U33)))</f>
        <v/>
      </c>
      <c r="U33" s="16">
        <f>IFERROR(MATCH(Settings!$C$29&amp;"|"&amp;ROWS($U$2:$U33),'Per Invoice'!$V$2:$V$401,0),"")</f>
        <v/>
      </c>
    </row>
    <row r="34">
      <c r="A34">
        <f>IF($U34="","",IF(INDEX('Per Invoice'!A$2:A$401,$U34)="","",INDEX('Per Invoice'!A$2:A$401,$U34)))</f>
        <v/>
      </c>
      <c r="B34">
        <f>IF($U34="","",IF(INDEX('Per Invoice'!B$2:B$401,$U34)="","",INDEX('Per Invoice'!B$2:B$401,$U34)))</f>
        <v/>
      </c>
      <c r="C34">
        <f>IF($U34="","",IF(INDEX('Per Invoice'!C$2:C$401,$U34)="","",INDEX('Per Invoice'!C$2:C$401,$U34)))</f>
        <v/>
      </c>
      <c r="D34">
        <f>IF($U34="","",IF(INDEX('Per Invoice'!D$2:D$401,$U34)="","",INDEX('Per Invoice'!D$2:D$401,$U34)))</f>
        <v/>
      </c>
      <c r="E34">
        <f>IF($U34="","",IF(INDEX('Per Invoice'!E$2:E$401,$U34)="","",INDEX('Per Invoice'!E$2:E$401,$U34)))</f>
        <v/>
      </c>
      <c r="F34">
        <f>IF($U34="","",IF(INDEX('Per Invoice'!F$2:F$401,$U34)="","",INDEX('Per Invoice'!F$2:F$401,$U34)))</f>
        <v/>
      </c>
      <c r="G34">
        <f>IF($U34="","",IF(INDEX('Per Invoice'!G$2:G$401,$U34)="","",INDEX('Per Invoice'!G$2:G$401,$U34)))</f>
        <v/>
      </c>
      <c r="H34" s="7">
        <f>IF($U34="","",IF(INDEX('Per Invoice'!H$2:H$401,$U34)="","",INDEX('Per Invoice'!H$2:H$401,$U34)))</f>
        <v/>
      </c>
      <c r="I34" s="14">
        <f>IF($U34="","",IF(INDEX('Per Invoice'!I$2:I$401,$U34)="","",INDEX('Per Invoice'!I$2:I$401,$U34)))</f>
        <v/>
      </c>
      <c r="J34">
        <f>IF($U34="","",IF(INDEX('Per Invoice'!J$2:J$401,$U34)="","",INDEX('Per Invoice'!J$2:J$401,$U34)))</f>
        <v/>
      </c>
      <c r="K34">
        <f>IF($U34="","",IF(INDEX('Per Invoice'!K$2:K$401,$U34)="","",INDEX('Per Invoice'!K$2:K$401,$U34)))</f>
        <v/>
      </c>
      <c r="L34" s="7">
        <f>IF($U34="","",IF(INDEX('Per Invoice'!L$2:L$401,$U34)="","",INDEX('Per Invoice'!L$2:L$401,$U34)))</f>
        <v/>
      </c>
      <c r="M34" s="7">
        <f>IF($U34="","",IF(INDEX('Per Invoice'!M$2:M$401,$U34)="","",INDEX('Per Invoice'!M$2:M$401,$U34)))</f>
        <v/>
      </c>
      <c r="N34">
        <f>IF($U34="","",IF(INDEX('Per Invoice'!N$2:N$401,$U34)="","",INDEX('Per Invoice'!N$2:N$401,$U34)))</f>
        <v/>
      </c>
      <c r="O34" s="7">
        <f>IF($U34="","",IF(INDEX('Per Invoice'!O$2:O$401,$U34)="","",INDEX('Per Invoice'!O$2:O$401,$U34)))</f>
        <v/>
      </c>
      <c r="P34" s="7">
        <f>IF($U34="","",IF(INDEX('Per Invoice'!P$2:P$401,$U34)="","",INDEX('Per Invoice'!P$2:P$401,$U34)))</f>
        <v/>
      </c>
      <c r="Q34" s="7">
        <f>IF($U34="","",IF(INDEX('Per Invoice'!Q$2:Q$401,$U34)="","",INDEX('Per Invoice'!Q$2:Q$401,$U34)))</f>
        <v/>
      </c>
      <c r="R34" s="7">
        <f>IF($U34="","",IF(INDEX('Per Invoice'!R$2:R$401,$U34)="","",INDEX('Per Invoice'!R$2:R$401,$U34)))</f>
        <v/>
      </c>
      <c r="S34" s="7">
        <f>IF($U34="","",IF(INDEX('Per Invoice'!S$2:S$401,$U34)="","",INDEX('Per Invoice'!S$2:S$401,$U34)))</f>
        <v/>
      </c>
      <c r="T34" s="7">
        <f>IF($U34="","",IF(INDEX('Per Invoice'!T$2:T$401,$U34)="","",INDEX('Per Invoice'!T$2:T$401,$U34)))</f>
        <v/>
      </c>
      <c r="U34" s="16">
        <f>IFERROR(MATCH(Settings!$C$29&amp;"|"&amp;ROWS($U$2:$U34),'Per Invoice'!$V$2:$V$401,0),"")</f>
        <v/>
      </c>
    </row>
    <row r="35">
      <c r="A35">
        <f>IF($U35="","",IF(INDEX('Per Invoice'!A$2:A$401,$U35)="","",INDEX('Per Invoice'!A$2:A$401,$U35)))</f>
        <v/>
      </c>
      <c r="B35">
        <f>IF($U35="","",IF(INDEX('Per Invoice'!B$2:B$401,$U35)="","",INDEX('Per Invoice'!B$2:B$401,$U35)))</f>
        <v/>
      </c>
      <c r="C35">
        <f>IF($U35="","",IF(INDEX('Per Invoice'!C$2:C$401,$U35)="","",INDEX('Per Invoice'!C$2:C$401,$U35)))</f>
        <v/>
      </c>
      <c r="D35">
        <f>IF($U35="","",IF(INDEX('Per Invoice'!D$2:D$401,$U35)="","",INDEX('Per Invoice'!D$2:D$401,$U35)))</f>
        <v/>
      </c>
      <c r="E35">
        <f>IF($U35="","",IF(INDEX('Per Invoice'!E$2:E$401,$U35)="","",INDEX('Per Invoice'!E$2:E$401,$U35)))</f>
        <v/>
      </c>
      <c r="F35">
        <f>IF($U35="","",IF(INDEX('Per Invoice'!F$2:F$401,$U35)="","",INDEX('Per Invoice'!F$2:F$401,$U35)))</f>
        <v/>
      </c>
      <c r="G35">
        <f>IF($U35="","",IF(INDEX('Per Invoice'!G$2:G$401,$U35)="","",INDEX('Per Invoice'!G$2:G$401,$U35)))</f>
        <v/>
      </c>
      <c r="H35" s="7">
        <f>IF($U35="","",IF(INDEX('Per Invoice'!H$2:H$401,$U35)="","",INDEX('Per Invoice'!H$2:H$401,$U35)))</f>
        <v/>
      </c>
      <c r="I35" s="14">
        <f>IF($U35="","",IF(INDEX('Per Invoice'!I$2:I$401,$U35)="","",INDEX('Per Invoice'!I$2:I$401,$U35)))</f>
        <v/>
      </c>
      <c r="J35">
        <f>IF($U35="","",IF(INDEX('Per Invoice'!J$2:J$401,$U35)="","",INDEX('Per Invoice'!J$2:J$401,$U35)))</f>
        <v/>
      </c>
      <c r="K35">
        <f>IF($U35="","",IF(INDEX('Per Invoice'!K$2:K$401,$U35)="","",INDEX('Per Invoice'!K$2:K$401,$U35)))</f>
        <v/>
      </c>
      <c r="L35" s="7">
        <f>IF($U35="","",IF(INDEX('Per Invoice'!L$2:L$401,$U35)="","",INDEX('Per Invoice'!L$2:L$401,$U35)))</f>
        <v/>
      </c>
      <c r="M35" s="7">
        <f>IF($U35="","",IF(INDEX('Per Invoice'!M$2:M$401,$U35)="","",INDEX('Per Invoice'!M$2:M$401,$U35)))</f>
        <v/>
      </c>
      <c r="N35">
        <f>IF($U35="","",IF(INDEX('Per Invoice'!N$2:N$401,$U35)="","",INDEX('Per Invoice'!N$2:N$401,$U35)))</f>
        <v/>
      </c>
      <c r="O35" s="7">
        <f>IF($U35="","",IF(INDEX('Per Invoice'!O$2:O$401,$U35)="","",INDEX('Per Invoice'!O$2:O$401,$U35)))</f>
        <v/>
      </c>
      <c r="P35" s="7">
        <f>IF($U35="","",IF(INDEX('Per Invoice'!P$2:P$401,$U35)="","",INDEX('Per Invoice'!P$2:P$401,$U35)))</f>
        <v/>
      </c>
      <c r="Q35" s="7">
        <f>IF($U35="","",IF(INDEX('Per Invoice'!Q$2:Q$401,$U35)="","",INDEX('Per Invoice'!Q$2:Q$401,$U35)))</f>
        <v/>
      </c>
      <c r="R35" s="7">
        <f>IF($U35="","",IF(INDEX('Per Invoice'!R$2:R$401,$U35)="","",INDEX('Per Invoice'!R$2:R$401,$U35)))</f>
        <v/>
      </c>
      <c r="S35" s="7">
        <f>IF($U35="","",IF(INDEX('Per Invoice'!S$2:S$401,$U35)="","",INDEX('Per Invoice'!S$2:S$401,$U35)))</f>
        <v/>
      </c>
      <c r="T35" s="7">
        <f>IF($U35="","",IF(INDEX('Per Invoice'!T$2:T$401,$U35)="","",INDEX('Per Invoice'!T$2:T$401,$U35)))</f>
        <v/>
      </c>
      <c r="U35" s="16">
        <f>IFERROR(MATCH(Settings!$C$29&amp;"|"&amp;ROWS($U$2:$U35),'Per Invoice'!$V$2:$V$401,0),"")</f>
        <v/>
      </c>
    </row>
    <row r="36">
      <c r="A36">
        <f>IF($U36="","",IF(INDEX('Per Invoice'!A$2:A$401,$U36)="","",INDEX('Per Invoice'!A$2:A$401,$U36)))</f>
        <v/>
      </c>
      <c r="B36">
        <f>IF($U36="","",IF(INDEX('Per Invoice'!B$2:B$401,$U36)="","",INDEX('Per Invoice'!B$2:B$401,$U36)))</f>
        <v/>
      </c>
      <c r="C36">
        <f>IF($U36="","",IF(INDEX('Per Invoice'!C$2:C$401,$U36)="","",INDEX('Per Invoice'!C$2:C$401,$U36)))</f>
        <v/>
      </c>
      <c r="D36">
        <f>IF($U36="","",IF(INDEX('Per Invoice'!D$2:D$401,$U36)="","",INDEX('Per Invoice'!D$2:D$401,$U36)))</f>
        <v/>
      </c>
      <c r="E36">
        <f>IF($U36="","",IF(INDEX('Per Invoice'!E$2:E$401,$U36)="","",INDEX('Per Invoice'!E$2:E$401,$U36)))</f>
        <v/>
      </c>
      <c r="F36">
        <f>IF($U36="","",IF(INDEX('Per Invoice'!F$2:F$401,$U36)="","",INDEX('Per Invoice'!F$2:F$401,$U36)))</f>
        <v/>
      </c>
      <c r="G36">
        <f>IF($U36="","",IF(INDEX('Per Invoice'!G$2:G$401,$U36)="","",INDEX('Per Invoice'!G$2:G$401,$U36)))</f>
        <v/>
      </c>
      <c r="H36" s="7">
        <f>IF($U36="","",IF(INDEX('Per Invoice'!H$2:H$401,$U36)="","",INDEX('Per Invoice'!H$2:H$401,$U36)))</f>
        <v/>
      </c>
      <c r="I36" s="14">
        <f>IF($U36="","",IF(INDEX('Per Invoice'!I$2:I$401,$U36)="","",INDEX('Per Invoice'!I$2:I$401,$U36)))</f>
        <v/>
      </c>
      <c r="J36">
        <f>IF($U36="","",IF(INDEX('Per Invoice'!J$2:J$401,$U36)="","",INDEX('Per Invoice'!J$2:J$401,$U36)))</f>
        <v/>
      </c>
      <c r="K36">
        <f>IF($U36="","",IF(INDEX('Per Invoice'!K$2:K$401,$U36)="","",INDEX('Per Invoice'!K$2:K$401,$U36)))</f>
        <v/>
      </c>
      <c r="L36" s="7">
        <f>IF($U36="","",IF(INDEX('Per Invoice'!L$2:L$401,$U36)="","",INDEX('Per Invoice'!L$2:L$401,$U36)))</f>
        <v/>
      </c>
      <c r="M36" s="7">
        <f>IF($U36="","",IF(INDEX('Per Invoice'!M$2:M$401,$U36)="","",INDEX('Per Invoice'!M$2:M$401,$U36)))</f>
        <v/>
      </c>
      <c r="N36">
        <f>IF($U36="","",IF(INDEX('Per Invoice'!N$2:N$401,$U36)="","",INDEX('Per Invoice'!N$2:N$401,$U36)))</f>
        <v/>
      </c>
      <c r="O36" s="7">
        <f>IF($U36="","",IF(INDEX('Per Invoice'!O$2:O$401,$U36)="","",INDEX('Per Invoice'!O$2:O$401,$U36)))</f>
        <v/>
      </c>
      <c r="P36" s="7">
        <f>IF($U36="","",IF(INDEX('Per Invoice'!P$2:P$401,$U36)="","",INDEX('Per Invoice'!P$2:P$401,$U36)))</f>
        <v/>
      </c>
      <c r="Q36" s="7">
        <f>IF($U36="","",IF(INDEX('Per Invoice'!Q$2:Q$401,$U36)="","",INDEX('Per Invoice'!Q$2:Q$401,$U36)))</f>
        <v/>
      </c>
      <c r="R36" s="7">
        <f>IF($U36="","",IF(INDEX('Per Invoice'!R$2:R$401,$U36)="","",INDEX('Per Invoice'!R$2:R$401,$U36)))</f>
        <v/>
      </c>
      <c r="S36" s="7">
        <f>IF($U36="","",IF(INDEX('Per Invoice'!S$2:S$401,$U36)="","",INDEX('Per Invoice'!S$2:S$401,$U36)))</f>
        <v/>
      </c>
      <c r="T36" s="7">
        <f>IF($U36="","",IF(INDEX('Per Invoice'!T$2:T$401,$U36)="","",INDEX('Per Invoice'!T$2:T$401,$U36)))</f>
        <v/>
      </c>
      <c r="U36" s="16">
        <f>IFERROR(MATCH(Settings!$C$29&amp;"|"&amp;ROWS($U$2:$U36),'Per Invoice'!$V$2:$V$401,0),"")</f>
        <v/>
      </c>
    </row>
    <row r="37">
      <c r="A37">
        <f>IF($U37="","",IF(INDEX('Per Invoice'!A$2:A$401,$U37)="","",INDEX('Per Invoice'!A$2:A$401,$U37)))</f>
        <v/>
      </c>
      <c r="B37">
        <f>IF($U37="","",IF(INDEX('Per Invoice'!B$2:B$401,$U37)="","",INDEX('Per Invoice'!B$2:B$401,$U37)))</f>
        <v/>
      </c>
      <c r="C37">
        <f>IF($U37="","",IF(INDEX('Per Invoice'!C$2:C$401,$U37)="","",INDEX('Per Invoice'!C$2:C$401,$U37)))</f>
        <v/>
      </c>
      <c r="D37">
        <f>IF($U37="","",IF(INDEX('Per Invoice'!D$2:D$401,$U37)="","",INDEX('Per Invoice'!D$2:D$401,$U37)))</f>
        <v/>
      </c>
      <c r="E37">
        <f>IF($U37="","",IF(INDEX('Per Invoice'!E$2:E$401,$U37)="","",INDEX('Per Invoice'!E$2:E$401,$U37)))</f>
        <v/>
      </c>
      <c r="F37">
        <f>IF($U37="","",IF(INDEX('Per Invoice'!F$2:F$401,$U37)="","",INDEX('Per Invoice'!F$2:F$401,$U37)))</f>
        <v/>
      </c>
      <c r="G37">
        <f>IF($U37="","",IF(INDEX('Per Invoice'!G$2:G$401,$U37)="","",INDEX('Per Invoice'!G$2:G$401,$U37)))</f>
        <v/>
      </c>
      <c r="H37" s="7">
        <f>IF($U37="","",IF(INDEX('Per Invoice'!H$2:H$401,$U37)="","",INDEX('Per Invoice'!H$2:H$401,$U37)))</f>
        <v/>
      </c>
      <c r="I37" s="14">
        <f>IF($U37="","",IF(INDEX('Per Invoice'!I$2:I$401,$U37)="","",INDEX('Per Invoice'!I$2:I$401,$U37)))</f>
        <v/>
      </c>
      <c r="J37">
        <f>IF($U37="","",IF(INDEX('Per Invoice'!J$2:J$401,$U37)="","",INDEX('Per Invoice'!J$2:J$401,$U37)))</f>
        <v/>
      </c>
      <c r="K37">
        <f>IF($U37="","",IF(INDEX('Per Invoice'!K$2:K$401,$U37)="","",INDEX('Per Invoice'!K$2:K$401,$U37)))</f>
        <v/>
      </c>
      <c r="L37" s="7">
        <f>IF($U37="","",IF(INDEX('Per Invoice'!L$2:L$401,$U37)="","",INDEX('Per Invoice'!L$2:L$401,$U37)))</f>
        <v/>
      </c>
      <c r="M37" s="7">
        <f>IF($U37="","",IF(INDEX('Per Invoice'!M$2:M$401,$U37)="","",INDEX('Per Invoice'!M$2:M$401,$U37)))</f>
        <v/>
      </c>
      <c r="N37">
        <f>IF($U37="","",IF(INDEX('Per Invoice'!N$2:N$401,$U37)="","",INDEX('Per Invoice'!N$2:N$401,$U37)))</f>
        <v/>
      </c>
      <c r="O37" s="7">
        <f>IF($U37="","",IF(INDEX('Per Invoice'!O$2:O$401,$U37)="","",INDEX('Per Invoice'!O$2:O$401,$U37)))</f>
        <v/>
      </c>
      <c r="P37" s="7">
        <f>IF($U37="","",IF(INDEX('Per Invoice'!P$2:P$401,$U37)="","",INDEX('Per Invoice'!P$2:P$401,$U37)))</f>
        <v/>
      </c>
      <c r="Q37" s="7">
        <f>IF($U37="","",IF(INDEX('Per Invoice'!Q$2:Q$401,$U37)="","",INDEX('Per Invoice'!Q$2:Q$401,$U37)))</f>
        <v/>
      </c>
      <c r="R37" s="7">
        <f>IF($U37="","",IF(INDEX('Per Invoice'!R$2:R$401,$U37)="","",INDEX('Per Invoice'!R$2:R$401,$U37)))</f>
        <v/>
      </c>
      <c r="S37" s="7">
        <f>IF($U37="","",IF(INDEX('Per Invoice'!S$2:S$401,$U37)="","",INDEX('Per Invoice'!S$2:S$401,$U37)))</f>
        <v/>
      </c>
      <c r="T37" s="7">
        <f>IF($U37="","",IF(INDEX('Per Invoice'!T$2:T$401,$U37)="","",INDEX('Per Invoice'!T$2:T$401,$U37)))</f>
        <v/>
      </c>
      <c r="U37" s="16">
        <f>IFERROR(MATCH(Settings!$C$29&amp;"|"&amp;ROWS($U$2:$U37),'Per Invoice'!$V$2:$V$401,0),"")</f>
        <v/>
      </c>
    </row>
    <row r="38">
      <c r="A38">
        <f>IF($U38="","",IF(INDEX('Per Invoice'!A$2:A$401,$U38)="","",INDEX('Per Invoice'!A$2:A$401,$U38)))</f>
        <v/>
      </c>
      <c r="B38">
        <f>IF($U38="","",IF(INDEX('Per Invoice'!B$2:B$401,$U38)="","",INDEX('Per Invoice'!B$2:B$401,$U38)))</f>
        <v/>
      </c>
      <c r="C38">
        <f>IF($U38="","",IF(INDEX('Per Invoice'!C$2:C$401,$U38)="","",INDEX('Per Invoice'!C$2:C$401,$U38)))</f>
        <v/>
      </c>
      <c r="D38">
        <f>IF($U38="","",IF(INDEX('Per Invoice'!D$2:D$401,$U38)="","",INDEX('Per Invoice'!D$2:D$401,$U38)))</f>
        <v/>
      </c>
      <c r="E38">
        <f>IF($U38="","",IF(INDEX('Per Invoice'!E$2:E$401,$U38)="","",INDEX('Per Invoice'!E$2:E$401,$U38)))</f>
        <v/>
      </c>
      <c r="F38">
        <f>IF($U38="","",IF(INDEX('Per Invoice'!F$2:F$401,$U38)="","",INDEX('Per Invoice'!F$2:F$401,$U38)))</f>
        <v/>
      </c>
      <c r="G38">
        <f>IF($U38="","",IF(INDEX('Per Invoice'!G$2:G$401,$U38)="","",INDEX('Per Invoice'!G$2:G$401,$U38)))</f>
        <v/>
      </c>
      <c r="H38" s="7">
        <f>IF($U38="","",IF(INDEX('Per Invoice'!H$2:H$401,$U38)="","",INDEX('Per Invoice'!H$2:H$401,$U38)))</f>
        <v/>
      </c>
      <c r="I38" s="14">
        <f>IF($U38="","",IF(INDEX('Per Invoice'!I$2:I$401,$U38)="","",INDEX('Per Invoice'!I$2:I$401,$U38)))</f>
        <v/>
      </c>
      <c r="J38">
        <f>IF($U38="","",IF(INDEX('Per Invoice'!J$2:J$401,$U38)="","",INDEX('Per Invoice'!J$2:J$401,$U38)))</f>
        <v/>
      </c>
      <c r="K38">
        <f>IF($U38="","",IF(INDEX('Per Invoice'!K$2:K$401,$U38)="","",INDEX('Per Invoice'!K$2:K$401,$U38)))</f>
        <v/>
      </c>
      <c r="L38" s="7">
        <f>IF($U38="","",IF(INDEX('Per Invoice'!L$2:L$401,$U38)="","",INDEX('Per Invoice'!L$2:L$401,$U38)))</f>
        <v/>
      </c>
      <c r="M38" s="7">
        <f>IF($U38="","",IF(INDEX('Per Invoice'!M$2:M$401,$U38)="","",INDEX('Per Invoice'!M$2:M$401,$U38)))</f>
        <v/>
      </c>
      <c r="N38">
        <f>IF($U38="","",IF(INDEX('Per Invoice'!N$2:N$401,$U38)="","",INDEX('Per Invoice'!N$2:N$401,$U38)))</f>
        <v/>
      </c>
      <c r="O38" s="7">
        <f>IF($U38="","",IF(INDEX('Per Invoice'!O$2:O$401,$U38)="","",INDEX('Per Invoice'!O$2:O$401,$U38)))</f>
        <v/>
      </c>
      <c r="P38" s="7">
        <f>IF($U38="","",IF(INDEX('Per Invoice'!P$2:P$401,$U38)="","",INDEX('Per Invoice'!P$2:P$401,$U38)))</f>
        <v/>
      </c>
      <c r="Q38" s="7">
        <f>IF($U38="","",IF(INDEX('Per Invoice'!Q$2:Q$401,$U38)="","",INDEX('Per Invoice'!Q$2:Q$401,$U38)))</f>
        <v/>
      </c>
      <c r="R38" s="7">
        <f>IF($U38="","",IF(INDEX('Per Invoice'!R$2:R$401,$U38)="","",INDEX('Per Invoice'!R$2:R$401,$U38)))</f>
        <v/>
      </c>
      <c r="S38" s="7">
        <f>IF($U38="","",IF(INDEX('Per Invoice'!S$2:S$401,$U38)="","",INDEX('Per Invoice'!S$2:S$401,$U38)))</f>
        <v/>
      </c>
      <c r="T38" s="7">
        <f>IF($U38="","",IF(INDEX('Per Invoice'!T$2:T$401,$U38)="","",INDEX('Per Invoice'!T$2:T$401,$U38)))</f>
        <v/>
      </c>
      <c r="U38" s="16">
        <f>IFERROR(MATCH(Settings!$C$29&amp;"|"&amp;ROWS($U$2:$U38),'Per Invoice'!$V$2:$V$401,0),"")</f>
        <v/>
      </c>
    </row>
    <row r="39">
      <c r="A39">
        <f>IF($U39="","",IF(INDEX('Per Invoice'!A$2:A$401,$U39)="","",INDEX('Per Invoice'!A$2:A$401,$U39)))</f>
        <v/>
      </c>
      <c r="B39">
        <f>IF($U39="","",IF(INDEX('Per Invoice'!B$2:B$401,$U39)="","",INDEX('Per Invoice'!B$2:B$401,$U39)))</f>
        <v/>
      </c>
      <c r="C39">
        <f>IF($U39="","",IF(INDEX('Per Invoice'!C$2:C$401,$U39)="","",INDEX('Per Invoice'!C$2:C$401,$U39)))</f>
        <v/>
      </c>
      <c r="D39">
        <f>IF($U39="","",IF(INDEX('Per Invoice'!D$2:D$401,$U39)="","",INDEX('Per Invoice'!D$2:D$401,$U39)))</f>
        <v/>
      </c>
      <c r="E39">
        <f>IF($U39="","",IF(INDEX('Per Invoice'!E$2:E$401,$U39)="","",INDEX('Per Invoice'!E$2:E$401,$U39)))</f>
        <v/>
      </c>
      <c r="F39">
        <f>IF($U39="","",IF(INDEX('Per Invoice'!F$2:F$401,$U39)="","",INDEX('Per Invoice'!F$2:F$401,$U39)))</f>
        <v/>
      </c>
      <c r="G39">
        <f>IF($U39="","",IF(INDEX('Per Invoice'!G$2:G$401,$U39)="","",INDEX('Per Invoice'!G$2:G$401,$U39)))</f>
        <v/>
      </c>
      <c r="H39" s="7">
        <f>IF($U39="","",IF(INDEX('Per Invoice'!H$2:H$401,$U39)="","",INDEX('Per Invoice'!H$2:H$401,$U39)))</f>
        <v/>
      </c>
      <c r="I39" s="14">
        <f>IF($U39="","",IF(INDEX('Per Invoice'!I$2:I$401,$U39)="","",INDEX('Per Invoice'!I$2:I$401,$U39)))</f>
        <v/>
      </c>
      <c r="J39">
        <f>IF($U39="","",IF(INDEX('Per Invoice'!J$2:J$401,$U39)="","",INDEX('Per Invoice'!J$2:J$401,$U39)))</f>
        <v/>
      </c>
      <c r="K39">
        <f>IF($U39="","",IF(INDEX('Per Invoice'!K$2:K$401,$U39)="","",INDEX('Per Invoice'!K$2:K$401,$U39)))</f>
        <v/>
      </c>
      <c r="L39" s="7">
        <f>IF($U39="","",IF(INDEX('Per Invoice'!L$2:L$401,$U39)="","",INDEX('Per Invoice'!L$2:L$401,$U39)))</f>
        <v/>
      </c>
      <c r="M39" s="7">
        <f>IF($U39="","",IF(INDEX('Per Invoice'!M$2:M$401,$U39)="","",INDEX('Per Invoice'!M$2:M$401,$U39)))</f>
        <v/>
      </c>
      <c r="N39">
        <f>IF($U39="","",IF(INDEX('Per Invoice'!N$2:N$401,$U39)="","",INDEX('Per Invoice'!N$2:N$401,$U39)))</f>
        <v/>
      </c>
      <c r="O39" s="7">
        <f>IF($U39="","",IF(INDEX('Per Invoice'!O$2:O$401,$U39)="","",INDEX('Per Invoice'!O$2:O$401,$U39)))</f>
        <v/>
      </c>
      <c r="P39" s="7">
        <f>IF($U39="","",IF(INDEX('Per Invoice'!P$2:P$401,$U39)="","",INDEX('Per Invoice'!P$2:P$401,$U39)))</f>
        <v/>
      </c>
      <c r="Q39" s="7">
        <f>IF($U39="","",IF(INDEX('Per Invoice'!Q$2:Q$401,$U39)="","",INDEX('Per Invoice'!Q$2:Q$401,$U39)))</f>
        <v/>
      </c>
      <c r="R39" s="7">
        <f>IF($U39="","",IF(INDEX('Per Invoice'!R$2:R$401,$U39)="","",INDEX('Per Invoice'!R$2:R$401,$U39)))</f>
        <v/>
      </c>
      <c r="S39" s="7">
        <f>IF($U39="","",IF(INDEX('Per Invoice'!S$2:S$401,$U39)="","",INDEX('Per Invoice'!S$2:S$401,$U39)))</f>
        <v/>
      </c>
      <c r="T39" s="7">
        <f>IF($U39="","",IF(INDEX('Per Invoice'!T$2:T$401,$U39)="","",INDEX('Per Invoice'!T$2:T$401,$U39)))</f>
        <v/>
      </c>
      <c r="U39" s="16">
        <f>IFERROR(MATCH(Settings!$C$29&amp;"|"&amp;ROWS($U$2:$U39),'Per Invoice'!$V$2:$V$401,0),"")</f>
        <v/>
      </c>
    </row>
    <row r="40">
      <c r="A40">
        <f>IF($U40="","",IF(INDEX('Per Invoice'!A$2:A$401,$U40)="","",INDEX('Per Invoice'!A$2:A$401,$U40)))</f>
        <v/>
      </c>
      <c r="B40">
        <f>IF($U40="","",IF(INDEX('Per Invoice'!B$2:B$401,$U40)="","",INDEX('Per Invoice'!B$2:B$401,$U40)))</f>
        <v/>
      </c>
      <c r="C40">
        <f>IF($U40="","",IF(INDEX('Per Invoice'!C$2:C$401,$U40)="","",INDEX('Per Invoice'!C$2:C$401,$U40)))</f>
        <v/>
      </c>
      <c r="D40">
        <f>IF($U40="","",IF(INDEX('Per Invoice'!D$2:D$401,$U40)="","",INDEX('Per Invoice'!D$2:D$401,$U40)))</f>
        <v/>
      </c>
      <c r="E40">
        <f>IF($U40="","",IF(INDEX('Per Invoice'!E$2:E$401,$U40)="","",INDEX('Per Invoice'!E$2:E$401,$U40)))</f>
        <v/>
      </c>
      <c r="F40">
        <f>IF($U40="","",IF(INDEX('Per Invoice'!F$2:F$401,$U40)="","",INDEX('Per Invoice'!F$2:F$401,$U40)))</f>
        <v/>
      </c>
      <c r="G40">
        <f>IF($U40="","",IF(INDEX('Per Invoice'!G$2:G$401,$U40)="","",INDEX('Per Invoice'!G$2:G$401,$U40)))</f>
        <v/>
      </c>
      <c r="H40" s="7">
        <f>IF($U40="","",IF(INDEX('Per Invoice'!H$2:H$401,$U40)="","",INDEX('Per Invoice'!H$2:H$401,$U40)))</f>
        <v/>
      </c>
      <c r="I40" s="14">
        <f>IF($U40="","",IF(INDEX('Per Invoice'!I$2:I$401,$U40)="","",INDEX('Per Invoice'!I$2:I$401,$U40)))</f>
        <v/>
      </c>
      <c r="J40">
        <f>IF($U40="","",IF(INDEX('Per Invoice'!J$2:J$401,$U40)="","",INDEX('Per Invoice'!J$2:J$401,$U40)))</f>
        <v/>
      </c>
      <c r="K40">
        <f>IF($U40="","",IF(INDEX('Per Invoice'!K$2:K$401,$U40)="","",INDEX('Per Invoice'!K$2:K$401,$U40)))</f>
        <v/>
      </c>
      <c r="L40" s="7">
        <f>IF($U40="","",IF(INDEX('Per Invoice'!L$2:L$401,$U40)="","",INDEX('Per Invoice'!L$2:L$401,$U40)))</f>
        <v/>
      </c>
      <c r="M40" s="7">
        <f>IF($U40="","",IF(INDEX('Per Invoice'!M$2:M$401,$U40)="","",INDEX('Per Invoice'!M$2:M$401,$U40)))</f>
        <v/>
      </c>
      <c r="N40">
        <f>IF($U40="","",IF(INDEX('Per Invoice'!N$2:N$401,$U40)="","",INDEX('Per Invoice'!N$2:N$401,$U40)))</f>
        <v/>
      </c>
      <c r="O40" s="7">
        <f>IF($U40="","",IF(INDEX('Per Invoice'!O$2:O$401,$U40)="","",INDEX('Per Invoice'!O$2:O$401,$U40)))</f>
        <v/>
      </c>
      <c r="P40" s="7">
        <f>IF($U40="","",IF(INDEX('Per Invoice'!P$2:P$401,$U40)="","",INDEX('Per Invoice'!P$2:P$401,$U40)))</f>
        <v/>
      </c>
      <c r="Q40" s="7">
        <f>IF($U40="","",IF(INDEX('Per Invoice'!Q$2:Q$401,$U40)="","",INDEX('Per Invoice'!Q$2:Q$401,$U40)))</f>
        <v/>
      </c>
      <c r="R40" s="7">
        <f>IF($U40="","",IF(INDEX('Per Invoice'!R$2:R$401,$U40)="","",INDEX('Per Invoice'!R$2:R$401,$U40)))</f>
        <v/>
      </c>
      <c r="S40" s="7">
        <f>IF($U40="","",IF(INDEX('Per Invoice'!S$2:S$401,$U40)="","",INDEX('Per Invoice'!S$2:S$401,$U40)))</f>
        <v/>
      </c>
      <c r="T40" s="7">
        <f>IF($U40="","",IF(INDEX('Per Invoice'!T$2:T$401,$U40)="","",INDEX('Per Invoice'!T$2:T$401,$U40)))</f>
        <v/>
      </c>
      <c r="U40" s="16">
        <f>IFERROR(MATCH(Settings!$C$29&amp;"|"&amp;ROWS($U$2:$U40),'Per Invoice'!$V$2:$V$401,0),"")</f>
        <v/>
      </c>
    </row>
    <row r="41">
      <c r="A41">
        <f>IF($U41="","",IF(INDEX('Per Invoice'!A$2:A$401,$U41)="","",INDEX('Per Invoice'!A$2:A$401,$U41)))</f>
        <v/>
      </c>
      <c r="B41">
        <f>IF($U41="","",IF(INDEX('Per Invoice'!B$2:B$401,$U41)="","",INDEX('Per Invoice'!B$2:B$401,$U41)))</f>
        <v/>
      </c>
      <c r="C41">
        <f>IF($U41="","",IF(INDEX('Per Invoice'!C$2:C$401,$U41)="","",INDEX('Per Invoice'!C$2:C$401,$U41)))</f>
        <v/>
      </c>
      <c r="D41">
        <f>IF($U41="","",IF(INDEX('Per Invoice'!D$2:D$401,$U41)="","",INDEX('Per Invoice'!D$2:D$401,$U41)))</f>
        <v/>
      </c>
      <c r="E41">
        <f>IF($U41="","",IF(INDEX('Per Invoice'!E$2:E$401,$U41)="","",INDEX('Per Invoice'!E$2:E$401,$U41)))</f>
        <v/>
      </c>
      <c r="F41">
        <f>IF($U41="","",IF(INDEX('Per Invoice'!F$2:F$401,$U41)="","",INDEX('Per Invoice'!F$2:F$401,$U41)))</f>
        <v/>
      </c>
      <c r="G41">
        <f>IF($U41="","",IF(INDEX('Per Invoice'!G$2:G$401,$U41)="","",INDEX('Per Invoice'!G$2:G$401,$U41)))</f>
        <v/>
      </c>
      <c r="H41" s="7">
        <f>IF($U41="","",IF(INDEX('Per Invoice'!H$2:H$401,$U41)="","",INDEX('Per Invoice'!H$2:H$401,$U41)))</f>
        <v/>
      </c>
      <c r="I41" s="14">
        <f>IF($U41="","",IF(INDEX('Per Invoice'!I$2:I$401,$U41)="","",INDEX('Per Invoice'!I$2:I$401,$U41)))</f>
        <v/>
      </c>
      <c r="J41">
        <f>IF($U41="","",IF(INDEX('Per Invoice'!J$2:J$401,$U41)="","",INDEX('Per Invoice'!J$2:J$401,$U41)))</f>
        <v/>
      </c>
      <c r="K41">
        <f>IF($U41="","",IF(INDEX('Per Invoice'!K$2:K$401,$U41)="","",INDEX('Per Invoice'!K$2:K$401,$U41)))</f>
        <v/>
      </c>
      <c r="L41" s="7">
        <f>IF($U41="","",IF(INDEX('Per Invoice'!L$2:L$401,$U41)="","",INDEX('Per Invoice'!L$2:L$401,$U41)))</f>
        <v/>
      </c>
      <c r="M41" s="7">
        <f>IF($U41="","",IF(INDEX('Per Invoice'!M$2:M$401,$U41)="","",INDEX('Per Invoice'!M$2:M$401,$U41)))</f>
        <v/>
      </c>
      <c r="N41">
        <f>IF($U41="","",IF(INDEX('Per Invoice'!N$2:N$401,$U41)="","",INDEX('Per Invoice'!N$2:N$401,$U41)))</f>
        <v/>
      </c>
      <c r="O41" s="7">
        <f>IF($U41="","",IF(INDEX('Per Invoice'!O$2:O$401,$U41)="","",INDEX('Per Invoice'!O$2:O$401,$U41)))</f>
        <v/>
      </c>
      <c r="P41" s="7">
        <f>IF($U41="","",IF(INDEX('Per Invoice'!P$2:P$401,$U41)="","",INDEX('Per Invoice'!P$2:P$401,$U41)))</f>
        <v/>
      </c>
      <c r="Q41" s="7">
        <f>IF($U41="","",IF(INDEX('Per Invoice'!Q$2:Q$401,$U41)="","",INDEX('Per Invoice'!Q$2:Q$401,$U41)))</f>
        <v/>
      </c>
      <c r="R41" s="7">
        <f>IF($U41="","",IF(INDEX('Per Invoice'!R$2:R$401,$U41)="","",INDEX('Per Invoice'!R$2:R$401,$U41)))</f>
        <v/>
      </c>
      <c r="S41" s="7">
        <f>IF($U41="","",IF(INDEX('Per Invoice'!S$2:S$401,$U41)="","",INDEX('Per Invoice'!S$2:S$401,$U41)))</f>
        <v/>
      </c>
      <c r="T41" s="7">
        <f>IF($U41="","",IF(INDEX('Per Invoice'!T$2:T$401,$U41)="","",INDEX('Per Invoice'!T$2:T$401,$U41)))</f>
        <v/>
      </c>
      <c r="U41" s="16">
        <f>IFERROR(MATCH(Settings!$C$29&amp;"|"&amp;ROWS($U$2:$U41),'Per Invoice'!$V$2:$V$401,0),"")</f>
        <v/>
      </c>
    </row>
    <row r="42">
      <c r="A42">
        <f>IF($U42="","",IF(INDEX('Per Invoice'!A$2:A$401,$U42)="","",INDEX('Per Invoice'!A$2:A$401,$U42)))</f>
        <v/>
      </c>
      <c r="B42">
        <f>IF($U42="","",IF(INDEX('Per Invoice'!B$2:B$401,$U42)="","",INDEX('Per Invoice'!B$2:B$401,$U42)))</f>
        <v/>
      </c>
      <c r="C42">
        <f>IF($U42="","",IF(INDEX('Per Invoice'!C$2:C$401,$U42)="","",INDEX('Per Invoice'!C$2:C$401,$U42)))</f>
        <v/>
      </c>
      <c r="D42">
        <f>IF($U42="","",IF(INDEX('Per Invoice'!D$2:D$401,$U42)="","",INDEX('Per Invoice'!D$2:D$401,$U42)))</f>
        <v/>
      </c>
      <c r="E42">
        <f>IF($U42="","",IF(INDEX('Per Invoice'!E$2:E$401,$U42)="","",INDEX('Per Invoice'!E$2:E$401,$U42)))</f>
        <v/>
      </c>
      <c r="F42">
        <f>IF($U42="","",IF(INDEX('Per Invoice'!F$2:F$401,$U42)="","",INDEX('Per Invoice'!F$2:F$401,$U42)))</f>
        <v/>
      </c>
      <c r="G42">
        <f>IF($U42="","",IF(INDEX('Per Invoice'!G$2:G$401,$U42)="","",INDEX('Per Invoice'!G$2:G$401,$U42)))</f>
        <v/>
      </c>
      <c r="H42" s="7">
        <f>IF($U42="","",IF(INDEX('Per Invoice'!H$2:H$401,$U42)="","",INDEX('Per Invoice'!H$2:H$401,$U42)))</f>
        <v/>
      </c>
      <c r="I42" s="14">
        <f>IF($U42="","",IF(INDEX('Per Invoice'!I$2:I$401,$U42)="","",INDEX('Per Invoice'!I$2:I$401,$U42)))</f>
        <v/>
      </c>
      <c r="J42">
        <f>IF($U42="","",IF(INDEX('Per Invoice'!J$2:J$401,$U42)="","",INDEX('Per Invoice'!J$2:J$401,$U42)))</f>
        <v/>
      </c>
      <c r="K42">
        <f>IF($U42="","",IF(INDEX('Per Invoice'!K$2:K$401,$U42)="","",INDEX('Per Invoice'!K$2:K$401,$U42)))</f>
        <v/>
      </c>
      <c r="L42" s="7">
        <f>IF($U42="","",IF(INDEX('Per Invoice'!L$2:L$401,$U42)="","",INDEX('Per Invoice'!L$2:L$401,$U42)))</f>
        <v/>
      </c>
      <c r="M42" s="7">
        <f>IF($U42="","",IF(INDEX('Per Invoice'!M$2:M$401,$U42)="","",INDEX('Per Invoice'!M$2:M$401,$U42)))</f>
        <v/>
      </c>
      <c r="N42">
        <f>IF($U42="","",IF(INDEX('Per Invoice'!N$2:N$401,$U42)="","",INDEX('Per Invoice'!N$2:N$401,$U42)))</f>
        <v/>
      </c>
      <c r="O42" s="7">
        <f>IF($U42="","",IF(INDEX('Per Invoice'!O$2:O$401,$U42)="","",INDEX('Per Invoice'!O$2:O$401,$U42)))</f>
        <v/>
      </c>
      <c r="P42" s="7">
        <f>IF($U42="","",IF(INDEX('Per Invoice'!P$2:P$401,$U42)="","",INDEX('Per Invoice'!P$2:P$401,$U42)))</f>
        <v/>
      </c>
      <c r="Q42" s="7">
        <f>IF($U42="","",IF(INDEX('Per Invoice'!Q$2:Q$401,$U42)="","",INDEX('Per Invoice'!Q$2:Q$401,$U42)))</f>
        <v/>
      </c>
      <c r="R42" s="7">
        <f>IF($U42="","",IF(INDEX('Per Invoice'!R$2:R$401,$U42)="","",INDEX('Per Invoice'!R$2:R$401,$U42)))</f>
        <v/>
      </c>
      <c r="S42" s="7">
        <f>IF($U42="","",IF(INDEX('Per Invoice'!S$2:S$401,$U42)="","",INDEX('Per Invoice'!S$2:S$401,$U42)))</f>
        <v/>
      </c>
      <c r="T42" s="7">
        <f>IF($U42="","",IF(INDEX('Per Invoice'!T$2:T$401,$U42)="","",INDEX('Per Invoice'!T$2:T$401,$U42)))</f>
        <v/>
      </c>
      <c r="U42" s="16">
        <f>IFERROR(MATCH(Settings!$C$29&amp;"|"&amp;ROWS($U$2:$U42),'Per Invoice'!$V$2:$V$401,0),"")</f>
        <v/>
      </c>
    </row>
    <row r="43">
      <c r="A43">
        <f>IF($U43="","",IF(INDEX('Per Invoice'!A$2:A$401,$U43)="","",INDEX('Per Invoice'!A$2:A$401,$U43)))</f>
        <v/>
      </c>
      <c r="B43">
        <f>IF($U43="","",IF(INDEX('Per Invoice'!B$2:B$401,$U43)="","",INDEX('Per Invoice'!B$2:B$401,$U43)))</f>
        <v/>
      </c>
      <c r="C43">
        <f>IF($U43="","",IF(INDEX('Per Invoice'!C$2:C$401,$U43)="","",INDEX('Per Invoice'!C$2:C$401,$U43)))</f>
        <v/>
      </c>
      <c r="D43">
        <f>IF($U43="","",IF(INDEX('Per Invoice'!D$2:D$401,$U43)="","",INDEX('Per Invoice'!D$2:D$401,$U43)))</f>
        <v/>
      </c>
      <c r="E43">
        <f>IF($U43="","",IF(INDEX('Per Invoice'!E$2:E$401,$U43)="","",INDEX('Per Invoice'!E$2:E$401,$U43)))</f>
        <v/>
      </c>
      <c r="F43">
        <f>IF($U43="","",IF(INDEX('Per Invoice'!F$2:F$401,$U43)="","",INDEX('Per Invoice'!F$2:F$401,$U43)))</f>
        <v/>
      </c>
      <c r="G43">
        <f>IF($U43="","",IF(INDEX('Per Invoice'!G$2:G$401,$U43)="","",INDEX('Per Invoice'!G$2:G$401,$U43)))</f>
        <v/>
      </c>
      <c r="H43" s="7">
        <f>IF($U43="","",IF(INDEX('Per Invoice'!H$2:H$401,$U43)="","",INDEX('Per Invoice'!H$2:H$401,$U43)))</f>
        <v/>
      </c>
      <c r="I43" s="14">
        <f>IF($U43="","",IF(INDEX('Per Invoice'!I$2:I$401,$U43)="","",INDEX('Per Invoice'!I$2:I$401,$U43)))</f>
        <v/>
      </c>
      <c r="J43">
        <f>IF($U43="","",IF(INDEX('Per Invoice'!J$2:J$401,$U43)="","",INDEX('Per Invoice'!J$2:J$401,$U43)))</f>
        <v/>
      </c>
      <c r="K43">
        <f>IF($U43="","",IF(INDEX('Per Invoice'!K$2:K$401,$U43)="","",INDEX('Per Invoice'!K$2:K$401,$U43)))</f>
        <v/>
      </c>
      <c r="L43" s="7">
        <f>IF($U43="","",IF(INDEX('Per Invoice'!L$2:L$401,$U43)="","",INDEX('Per Invoice'!L$2:L$401,$U43)))</f>
        <v/>
      </c>
      <c r="M43" s="7">
        <f>IF($U43="","",IF(INDEX('Per Invoice'!M$2:M$401,$U43)="","",INDEX('Per Invoice'!M$2:M$401,$U43)))</f>
        <v/>
      </c>
      <c r="N43">
        <f>IF($U43="","",IF(INDEX('Per Invoice'!N$2:N$401,$U43)="","",INDEX('Per Invoice'!N$2:N$401,$U43)))</f>
        <v/>
      </c>
      <c r="O43" s="7">
        <f>IF($U43="","",IF(INDEX('Per Invoice'!O$2:O$401,$U43)="","",INDEX('Per Invoice'!O$2:O$401,$U43)))</f>
        <v/>
      </c>
      <c r="P43" s="7">
        <f>IF($U43="","",IF(INDEX('Per Invoice'!P$2:P$401,$U43)="","",INDEX('Per Invoice'!P$2:P$401,$U43)))</f>
        <v/>
      </c>
      <c r="Q43" s="7">
        <f>IF($U43="","",IF(INDEX('Per Invoice'!Q$2:Q$401,$U43)="","",INDEX('Per Invoice'!Q$2:Q$401,$U43)))</f>
        <v/>
      </c>
      <c r="R43" s="7">
        <f>IF($U43="","",IF(INDEX('Per Invoice'!R$2:R$401,$U43)="","",INDEX('Per Invoice'!R$2:R$401,$U43)))</f>
        <v/>
      </c>
      <c r="S43" s="7">
        <f>IF($U43="","",IF(INDEX('Per Invoice'!S$2:S$401,$U43)="","",INDEX('Per Invoice'!S$2:S$401,$U43)))</f>
        <v/>
      </c>
      <c r="T43" s="7">
        <f>IF($U43="","",IF(INDEX('Per Invoice'!T$2:T$401,$U43)="","",INDEX('Per Invoice'!T$2:T$401,$U43)))</f>
        <v/>
      </c>
      <c r="U43" s="16">
        <f>IFERROR(MATCH(Settings!$C$29&amp;"|"&amp;ROWS($U$2:$U43),'Per Invoice'!$V$2:$V$401,0),"")</f>
        <v/>
      </c>
    </row>
    <row r="44">
      <c r="A44">
        <f>IF($U44="","",IF(INDEX('Per Invoice'!A$2:A$401,$U44)="","",INDEX('Per Invoice'!A$2:A$401,$U44)))</f>
        <v/>
      </c>
      <c r="B44">
        <f>IF($U44="","",IF(INDEX('Per Invoice'!B$2:B$401,$U44)="","",INDEX('Per Invoice'!B$2:B$401,$U44)))</f>
        <v/>
      </c>
      <c r="C44">
        <f>IF($U44="","",IF(INDEX('Per Invoice'!C$2:C$401,$U44)="","",INDEX('Per Invoice'!C$2:C$401,$U44)))</f>
        <v/>
      </c>
      <c r="D44">
        <f>IF($U44="","",IF(INDEX('Per Invoice'!D$2:D$401,$U44)="","",INDEX('Per Invoice'!D$2:D$401,$U44)))</f>
        <v/>
      </c>
      <c r="E44">
        <f>IF($U44="","",IF(INDEX('Per Invoice'!E$2:E$401,$U44)="","",INDEX('Per Invoice'!E$2:E$401,$U44)))</f>
        <v/>
      </c>
      <c r="F44">
        <f>IF($U44="","",IF(INDEX('Per Invoice'!F$2:F$401,$U44)="","",INDEX('Per Invoice'!F$2:F$401,$U44)))</f>
        <v/>
      </c>
      <c r="G44">
        <f>IF($U44="","",IF(INDEX('Per Invoice'!G$2:G$401,$U44)="","",INDEX('Per Invoice'!G$2:G$401,$U44)))</f>
        <v/>
      </c>
      <c r="H44" s="7">
        <f>IF($U44="","",IF(INDEX('Per Invoice'!H$2:H$401,$U44)="","",INDEX('Per Invoice'!H$2:H$401,$U44)))</f>
        <v/>
      </c>
      <c r="I44" s="14">
        <f>IF($U44="","",IF(INDEX('Per Invoice'!I$2:I$401,$U44)="","",INDEX('Per Invoice'!I$2:I$401,$U44)))</f>
        <v/>
      </c>
      <c r="J44">
        <f>IF($U44="","",IF(INDEX('Per Invoice'!J$2:J$401,$U44)="","",INDEX('Per Invoice'!J$2:J$401,$U44)))</f>
        <v/>
      </c>
      <c r="K44">
        <f>IF($U44="","",IF(INDEX('Per Invoice'!K$2:K$401,$U44)="","",INDEX('Per Invoice'!K$2:K$401,$U44)))</f>
        <v/>
      </c>
      <c r="L44" s="7">
        <f>IF($U44="","",IF(INDEX('Per Invoice'!L$2:L$401,$U44)="","",INDEX('Per Invoice'!L$2:L$401,$U44)))</f>
        <v/>
      </c>
      <c r="M44" s="7">
        <f>IF($U44="","",IF(INDEX('Per Invoice'!M$2:M$401,$U44)="","",INDEX('Per Invoice'!M$2:M$401,$U44)))</f>
        <v/>
      </c>
      <c r="N44">
        <f>IF($U44="","",IF(INDEX('Per Invoice'!N$2:N$401,$U44)="","",INDEX('Per Invoice'!N$2:N$401,$U44)))</f>
        <v/>
      </c>
      <c r="O44" s="7">
        <f>IF($U44="","",IF(INDEX('Per Invoice'!O$2:O$401,$U44)="","",INDEX('Per Invoice'!O$2:O$401,$U44)))</f>
        <v/>
      </c>
      <c r="P44" s="7">
        <f>IF($U44="","",IF(INDEX('Per Invoice'!P$2:P$401,$U44)="","",INDEX('Per Invoice'!P$2:P$401,$U44)))</f>
        <v/>
      </c>
      <c r="Q44" s="7">
        <f>IF($U44="","",IF(INDEX('Per Invoice'!Q$2:Q$401,$U44)="","",INDEX('Per Invoice'!Q$2:Q$401,$U44)))</f>
        <v/>
      </c>
      <c r="R44" s="7">
        <f>IF($U44="","",IF(INDEX('Per Invoice'!R$2:R$401,$U44)="","",INDEX('Per Invoice'!R$2:R$401,$U44)))</f>
        <v/>
      </c>
      <c r="S44" s="7">
        <f>IF($U44="","",IF(INDEX('Per Invoice'!S$2:S$401,$U44)="","",INDEX('Per Invoice'!S$2:S$401,$U44)))</f>
        <v/>
      </c>
      <c r="T44" s="7">
        <f>IF($U44="","",IF(INDEX('Per Invoice'!T$2:T$401,$U44)="","",INDEX('Per Invoice'!T$2:T$401,$U44)))</f>
        <v/>
      </c>
      <c r="U44" s="16">
        <f>IFERROR(MATCH(Settings!$C$29&amp;"|"&amp;ROWS($U$2:$U44),'Per Invoice'!$V$2:$V$401,0),"")</f>
        <v/>
      </c>
    </row>
    <row r="45">
      <c r="A45">
        <f>IF($U45="","",IF(INDEX('Per Invoice'!A$2:A$401,$U45)="","",INDEX('Per Invoice'!A$2:A$401,$U45)))</f>
        <v/>
      </c>
      <c r="B45">
        <f>IF($U45="","",IF(INDEX('Per Invoice'!B$2:B$401,$U45)="","",INDEX('Per Invoice'!B$2:B$401,$U45)))</f>
        <v/>
      </c>
      <c r="C45">
        <f>IF($U45="","",IF(INDEX('Per Invoice'!C$2:C$401,$U45)="","",INDEX('Per Invoice'!C$2:C$401,$U45)))</f>
        <v/>
      </c>
      <c r="D45">
        <f>IF($U45="","",IF(INDEX('Per Invoice'!D$2:D$401,$U45)="","",INDEX('Per Invoice'!D$2:D$401,$U45)))</f>
        <v/>
      </c>
      <c r="E45">
        <f>IF($U45="","",IF(INDEX('Per Invoice'!E$2:E$401,$U45)="","",INDEX('Per Invoice'!E$2:E$401,$U45)))</f>
        <v/>
      </c>
      <c r="F45">
        <f>IF($U45="","",IF(INDEX('Per Invoice'!F$2:F$401,$U45)="","",INDEX('Per Invoice'!F$2:F$401,$U45)))</f>
        <v/>
      </c>
      <c r="G45">
        <f>IF($U45="","",IF(INDEX('Per Invoice'!G$2:G$401,$U45)="","",INDEX('Per Invoice'!G$2:G$401,$U45)))</f>
        <v/>
      </c>
      <c r="H45" s="7">
        <f>IF($U45="","",IF(INDEX('Per Invoice'!H$2:H$401,$U45)="","",INDEX('Per Invoice'!H$2:H$401,$U45)))</f>
        <v/>
      </c>
      <c r="I45" s="14">
        <f>IF($U45="","",IF(INDEX('Per Invoice'!I$2:I$401,$U45)="","",INDEX('Per Invoice'!I$2:I$401,$U45)))</f>
        <v/>
      </c>
      <c r="J45">
        <f>IF($U45="","",IF(INDEX('Per Invoice'!J$2:J$401,$U45)="","",INDEX('Per Invoice'!J$2:J$401,$U45)))</f>
        <v/>
      </c>
      <c r="K45">
        <f>IF($U45="","",IF(INDEX('Per Invoice'!K$2:K$401,$U45)="","",INDEX('Per Invoice'!K$2:K$401,$U45)))</f>
        <v/>
      </c>
      <c r="L45" s="7">
        <f>IF($U45="","",IF(INDEX('Per Invoice'!L$2:L$401,$U45)="","",INDEX('Per Invoice'!L$2:L$401,$U45)))</f>
        <v/>
      </c>
      <c r="M45" s="7">
        <f>IF($U45="","",IF(INDEX('Per Invoice'!M$2:M$401,$U45)="","",INDEX('Per Invoice'!M$2:M$401,$U45)))</f>
        <v/>
      </c>
      <c r="N45">
        <f>IF($U45="","",IF(INDEX('Per Invoice'!N$2:N$401,$U45)="","",INDEX('Per Invoice'!N$2:N$401,$U45)))</f>
        <v/>
      </c>
      <c r="O45" s="7">
        <f>IF($U45="","",IF(INDEX('Per Invoice'!O$2:O$401,$U45)="","",INDEX('Per Invoice'!O$2:O$401,$U45)))</f>
        <v/>
      </c>
      <c r="P45" s="7">
        <f>IF($U45="","",IF(INDEX('Per Invoice'!P$2:P$401,$U45)="","",INDEX('Per Invoice'!P$2:P$401,$U45)))</f>
        <v/>
      </c>
      <c r="Q45" s="7">
        <f>IF($U45="","",IF(INDEX('Per Invoice'!Q$2:Q$401,$U45)="","",INDEX('Per Invoice'!Q$2:Q$401,$U45)))</f>
        <v/>
      </c>
      <c r="R45" s="7">
        <f>IF($U45="","",IF(INDEX('Per Invoice'!R$2:R$401,$U45)="","",INDEX('Per Invoice'!R$2:R$401,$U45)))</f>
        <v/>
      </c>
      <c r="S45" s="7">
        <f>IF($U45="","",IF(INDEX('Per Invoice'!S$2:S$401,$U45)="","",INDEX('Per Invoice'!S$2:S$401,$U45)))</f>
        <v/>
      </c>
      <c r="T45" s="7">
        <f>IF($U45="","",IF(INDEX('Per Invoice'!T$2:T$401,$U45)="","",INDEX('Per Invoice'!T$2:T$401,$U45)))</f>
        <v/>
      </c>
      <c r="U45" s="16">
        <f>IFERROR(MATCH(Settings!$C$29&amp;"|"&amp;ROWS($U$2:$U45),'Per Invoice'!$V$2:$V$401,0),"")</f>
        <v/>
      </c>
    </row>
    <row r="46">
      <c r="A46">
        <f>IF($U46="","",IF(INDEX('Per Invoice'!A$2:A$401,$U46)="","",INDEX('Per Invoice'!A$2:A$401,$U46)))</f>
        <v/>
      </c>
      <c r="B46">
        <f>IF($U46="","",IF(INDEX('Per Invoice'!B$2:B$401,$U46)="","",INDEX('Per Invoice'!B$2:B$401,$U46)))</f>
        <v/>
      </c>
      <c r="C46">
        <f>IF($U46="","",IF(INDEX('Per Invoice'!C$2:C$401,$U46)="","",INDEX('Per Invoice'!C$2:C$401,$U46)))</f>
        <v/>
      </c>
      <c r="D46">
        <f>IF($U46="","",IF(INDEX('Per Invoice'!D$2:D$401,$U46)="","",INDEX('Per Invoice'!D$2:D$401,$U46)))</f>
        <v/>
      </c>
      <c r="E46">
        <f>IF($U46="","",IF(INDEX('Per Invoice'!E$2:E$401,$U46)="","",INDEX('Per Invoice'!E$2:E$401,$U46)))</f>
        <v/>
      </c>
      <c r="F46">
        <f>IF($U46="","",IF(INDEX('Per Invoice'!F$2:F$401,$U46)="","",INDEX('Per Invoice'!F$2:F$401,$U46)))</f>
        <v/>
      </c>
      <c r="G46">
        <f>IF($U46="","",IF(INDEX('Per Invoice'!G$2:G$401,$U46)="","",INDEX('Per Invoice'!G$2:G$401,$U46)))</f>
        <v/>
      </c>
      <c r="H46" s="7">
        <f>IF($U46="","",IF(INDEX('Per Invoice'!H$2:H$401,$U46)="","",INDEX('Per Invoice'!H$2:H$401,$U46)))</f>
        <v/>
      </c>
      <c r="I46" s="14">
        <f>IF($U46="","",IF(INDEX('Per Invoice'!I$2:I$401,$U46)="","",INDEX('Per Invoice'!I$2:I$401,$U46)))</f>
        <v/>
      </c>
      <c r="J46">
        <f>IF($U46="","",IF(INDEX('Per Invoice'!J$2:J$401,$U46)="","",INDEX('Per Invoice'!J$2:J$401,$U46)))</f>
        <v/>
      </c>
      <c r="K46">
        <f>IF($U46="","",IF(INDEX('Per Invoice'!K$2:K$401,$U46)="","",INDEX('Per Invoice'!K$2:K$401,$U46)))</f>
        <v/>
      </c>
      <c r="L46" s="7">
        <f>IF($U46="","",IF(INDEX('Per Invoice'!L$2:L$401,$U46)="","",INDEX('Per Invoice'!L$2:L$401,$U46)))</f>
        <v/>
      </c>
      <c r="M46" s="7">
        <f>IF($U46="","",IF(INDEX('Per Invoice'!M$2:M$401,$U46)="","",INDEX('Per Invoice'!M$2:M$401,$U46)))</f>
        <v/>
      </c>
      <c r="N46">
        <f>IF($U46="","",IF(INDEX('Per Invoice'!N$2:N$401,$U46)="","",INDEX('Per Invoice'!N$2:N$401,$U46)))</f>
        <v/>
      </c>
      <c r="O46" s="7">
        <f>IF($U46="","",IF(INDEX('Per Invoice'!O$2:O$401,$U46)="","",INDEX('Per Invoice'!O$2:O$401,$U46)))</f>
        <v/>
      </c>
      <c r="P46" s="7">
        <f>IF($U46="","",IF(INDEX('Per Invoice'!P$2:P$401,$U46)="","",INDEX('Per Invoice'!P$2:P$401,$U46)))</f>
        <v/>
      </c>
      <c r="Q46" s="7">
        <f>IF($U46="","",IF(INDEX('Per Invoice'!Q$2:Q$401,$U46)="","",INDEX('Per Invoice'!Q$2:Q$401,$U46)))</f>
        <v/>
      </c>
      <c r="R46" s="7">
        <f>IF($U46="","",IF(INDEX('Per Invoice'!R$2:R$401,$U46)="","",INDEX('Per Invoice'!R$2:R$401,$U46)))</f>
        <v/>
      </c>
      <c r="S46" s="7">
        <f>IF($U46="","",IF(INDEX('Per Invoice'!S$2:S$401,$U46)="","",INDEX('Per Invoice'!S$2:S$401,$U46)))</f>
        <v/>
      </c>
      <c r="T46" s="7">
        <f>IF($U46="","",IF(INDEX('Per Invoice'!T$2:T$401,$U46)="","",INDEX('Per Invoice'!T$2:T$401,$U46)))</f>
        <v/>
      </c>
      <c r="U46" s="16">
        <f>IFERROR(MATCH(Settings!$C$29&amp;"|"&amp;ROWS($U$2:$U46),'Per Invoice'!$V$2:$V$401,0),"")</f>
        <v/>
      </c>
    </row>
    <row r="47">
      <c r="A47">
        <f>IF($U47="","",IF(INDEX('Per Invoice'!A$2:A$401,$U47)="","",INDEX('Per Invoice'!A$2:A$401,$U47)))</f>
        <v/>
      </c>
      <c r="B47">
        <f>IF($U47="","",IF(INDEX('Per Invoice'!B$2:B$401,$U47)="","",INDEX('Per Invoice'!B$2:B$401,$U47)))</f>
        <v/>
      </c>
      <c r="C47">
        <f>IF($U47="","",IF(INDEX('Per Invoice'!C$2:C$401,$U47)="","",INDEX('Per Invoice'!C$2:C$401,$U47)))</f>
        <v/>
      </c>
      <c r="D47">
        <f>IF($U47="","",IF(INDEX('Per Invoice'!D$2:D$401,$U47)="","",INDEX('Per Invoice'!D$2:D$401,$U47)))</f>
        <v/>
      </c>
      <c r="E47">
        <f>IF($U47="","",IF(INDEX('Per Invoice'!E$2:E$401,$U47)="","",INDEX('Per Invoice'!E$2:E$401,$U47)))</f>
        <v/>
      </c>
      <c r="F47">
        <f>IF($U47="","",IF(INDEX('Per Invoice'!F$2:F$401,$U47)="","",INDEX('Per Invoice'!F$2:F$401,$U47)))</f>
        <v/>
      </c>
      <c r="G47">
        <f>IF($U47="","",IF(INDEX('Per Invoice'!G$2:G$401,$U47)="","",INDEX('Per Invoice'!G$2:G$401,$U47)))</f>
        <v/>
      </c>
      <c r="H47" s="7">
        <f>IF($U47="","",IF(INDEX('Per Invoice'!H$2:H$401,$U47)="","",INDEX('Per Invoice'!H$2:H$401,$U47)))</f>
        <v/>
      </c>
      <c r="I47" s="14">
        <f>IF($U47="","",IF(INDEX('Per Invoice'!I$2:I$401,$U47)="","",INDEX('Per Invoice'!I$2:I$401,$U47)))</f>
        <v/>
      </c>
      <c r="J47">
        <f>IF($U47="","",IF(INDEX('Per Invoice'!J$2:J$401,$U47)="","",INDEX('Per Invoice'!J$2:J$401,$U47)))</f>
        <v/>
      </c>
      <c r="K47">
        <f>IF($U47="","",IF(INDEX('Per Invoice'!K$2:K$401,$U47)="","",INDEX('Per Invoice'!K$2:K$401,$U47)))</f>
        <v/>
      </c>
      <c r="L47" s="7">
        <f>IF($U47="","",IF(INDEX('Per Invoice'!L$2:L$401,$U47)="","",INDEX('Per Invoice'!L$2:L$401,$U47)))</f>
        <v/>
      </c>
      <c r="M47" s="7">
        <f>IF($U47="","",IF(INDEX('Per Invoice'!M$2:M$401,$U47)="","",INDEX('Per Invoice'!M$2:M$401,$U47)))</f>
        <v/>
      </c>
      <c r="N47">
        <f>IF($U47="","",IF(INDEX('Per Invoice'!N$2:N$401,$U47)="","",INDEX('Per Invoice'!N$2:N$401,$U47)))</f>
        <v/>
      </c>
      <c r="O47" s="7">
        <f>IF($U47="","",IF(INDEX('Per Invoice'!O$2:O$401,$U47)="","",INDEX('Per Invoice'!O$2:O$401,$U47)))</f>
        <v/>
      </c>
      <c r="P47" s="7">
        <f>IF($U47="","",IF(INDEX('Per Invoice'!P$2:P$401,$U47)="","",INDEX('Per Invoice'!P$2:P$401,$U47)))</f>
        <v/>
      </c>
      <c r="Q47" s="7">
        <f>IF($U47="","",IF(INDEX('Per Invoice'!Q$2:Q$401,$U47)="","",INDEX('Per Invoice'!Q$2:Q$401,$U47)))</f>
        <v/>
      </c>
      <c r="R47" s="7">
        <f>IF($U47="","",IF(INDEX('Per Invoice'!R$2:R$401,$U47)="","",INDEX('Per Invoice'!R$2:R$401,$U47)))</f>
        <v/>
      </c>
      <c r="S47" s="7">
        <f>IF($U47="","",IF(INDEX('Per Invoice'!S$2:S$401,$U47)="","",INDEX('Per Invoice'!S$2:S$401,$U47)))</f>
        <v/>
      </c>
      <c r="T47" s="7">
        <f>IF($U47="","",IF(INDEX('Per Invoice'!T$2:T$401,$U47)="","",INDEX('Per Invoice'!T$2:T$401,$U47)))</f>
        <v/>
      </c>
      <c r="U47" s="16">
        <f>IFERROR(MATCH(Settings!$C$29&amp;"|"&amp;ROWS($U$2:$U47),'Per Invoice'!$V$2:$V$401,0),"")</f>
        <v/>
      </c>
    </row>
    <row r="48">
      <c r="A48">
        <f>IF($U48="","",IF(INDEX('Per Invoice'!A$2:A$401,$U48)="","",INDEX('Per Invoice'!A$2:A$401,$U48)))</f>
        <v/>
      </c>
      <c r="B48">
        <f>IF($U48="","",IF(INDEX('Per Invoice'!B$2:B$401,$U48)="","",INDEX('Per Invoice'!B$2:B$401,$U48)))</f>
        <v/>
      </c>
      <c r="C48">
        <f>IF($U48="","",IF(INDEX('Per Invoice'!C$2:C$401,$U48)="","",INDEX('Per Invoice'!C$2:C$401,$U48)))</f>
        <v/>
      </c>
      <c r="D48">
        <f>IF($U48="","",IF(INDEX('Per Invoice'!D$2:D$401,$U48)="","",INDEX('Per Invoice'!D$2:D$401,$U48)))</f>
        <v/>
      </c>
      <c r="E48">
        <f>IF($U48="","",IF(INDEX('Per Invoice'!E$2:E$401,$U48)="","",INDEX('Per Invoice'!E$2:E$401,$U48)))</f>
        <v/>
      </c>
      <c r="F48">
        <f>IF($U48="","",IF(INDEX('Per Invoice'!F$2:F$401,$U48)="","",INDEX('Per Invoice'!F$2:F$401,$U48)))</f>
        <v/>
      </c>
      <c r="G48">
        <f>IF($U48="","",IF(INDEX('Per Invoice'!G$2:G$401,$U48)="","",INDEX('Per Invoice'!G$2:G$401,$U48)))</f>
        <v/>
      </c>
      <c r="H48" s="7">
        <f>IF($U48="","",IF(INDEX('Per Invoice'!H$2:H$401,$U48)="","",INDEX('Per Invoice'!H$2:H$401,$U48)))</f>
        <v/>
      </c>
      <c r="I48" s="14">
        <f>IF($U48="","",IF(INDEX('Per Invoice'!I$2:I$401,$U48)="","",INDEX('Per Invoice'!I$2:I$401,$U48)))</f>
        <v/>
      </c>
      <c r="J48">
        <f>IF($U48="","",IF(INDEX('Per Invoice'!J$2:J$401,$U48)="","",INDEX('Per Invoice'!J$2:J$401,$U48)))</f>
        <v/>
      </c>
      <c r="K48">
        <f>IF($U48="","",IF(INDEX('Per Invoice'!K$2:K$401,$U48)="","",INDEX('Per Invoice'!K$2:K$401,$U48)))</f>
        <v/>
      </c>
      <c r="L48" s="7">
        <f>IF($U48="","",IF(INDEX('Per Invoice'!L$2:L$401,$U48)="","",INDEX('Per Invoice'!L$2:L$401,$U48)))</f>
        <v/>
      </c>
      <c r="M48" s="7">
        <f>IF($U48="","",IF(INDEX('Per Invoice'!M$2:M$401,$U48)="","",INDEX('Per Invoice'!M$2:M$401,$U48)))</f>
        <v/>
      </c>
      <c r="N48">
        <f>IF($U48="","",IF(INDEX('Per Invoice'!N$2:N$401,$U48)="","",INDEX('Per Invoice'!N$2:N$401,$U48)))</f>
        <v/>
      </c>
      <c r="O48" s="7">
        <f>IF($U48="","",IF(INDEX('Per Invoice'!O$2:O$401,$U48)="","",INDEX('Per Invoice'!O$2:O$401,$U48)))</f>
        <v/>
      </c>
      <c r="P48" s="7">
        <f>IF($U48="","",IF(INDEX('Per Invoice'!P$2:P$401,$U48)="","",INDEX('Per Invoice'!P$2:P$401,$U48)))</f>
        <v/>
      </c>
      <c r="Q48" s="7">
        <f>IF($U48="","",IF(INDEX('Per Invoice'!Q$2:Q$401,$U48)="","",INDEX('Per Invoice'!Q$2:Q$401,$U48)))</f>
        <v/>
      </c>
      <c r="R48" s="7">
        <f>IF($U48="","",IF(INDEX('Per Invoice'!R$2:R$401,$U48)="","",INDEX('Per Invoice'!R$2:R$401,$U48)))</f>
        <v/>
      </c>
      <c r="S48" s="7">
        <f>IF($U48="","",IF(INDEX('Per Invoice'!S$2:S$401,$U48)="","",INDEX('Per Invoice'!S$2:S$401,$U48)))</f>
        <v/>
      </c>
      <c r="T48" s="7">
        <f>IF($U48="","",IF(INDEX('Per Invoice'!T$2:T$401,$U48)="","",INDEX('Per Invoice'!T$2:T$401,$U48)))</f>
        <v/>
      </c>
      <c r="U48" s="16">
        <f>IFERROR(MATCH(Settings!$C$29&amp;"|"&amp;ROWS($U$2:$U48),'Per Invoice'!$V$2:$V$401,0),"")</f>
        <v/>
      </c>
    </row>
    <row r="49">
      <c r="A49">
        <f>IF($U49="","",IF(INDEX('Per Invoice'!A$2:A$401,$U49)="","",INDEX('Per Invoice'!A$2:A$401,$U49)))</f>
        <v/>
      </c>
      <c r="B49">
        <f>IF($U49="","",IF(INDEX('Per Invoice'!B$2:B$401,$U49)="","",INDEX('Per Invoice'!B$2:B$401,$U49)))</f>
        <v/>
      </c>
      <c r="C49">
        <f>IF($U49="","",IF(INDEX('Per Invoice'!C$2:C$401,$U49)="","",INDEX('Per Invoice'!C$2:C$401,$U49)))</f>
        <v/>
      </c>
      <c r="D49">
        <f>IF($U49="","",IF(INDEX('Per Invoice'!D$2:D$401,$U49)="","",INDEX('Per Invoice'!D$2:D$401,$U49)))</f>
        <v/>
      </c>
      <c r="E49">
        <f>IF($U49="","",IF(INDEX('Per Invoice'!E$2:E$401,$U49)="","",INDEX('Per Invoice'!E$2:E$401,$U49)))</f>
        <v/>
      </c>
      <c r="F49">
        <f>IF($U49="","",IF(INDEX('Per Invoice'!F$2:F$401,$U49)="","",INDEX('Per Invoice'!F$2:F$401,$U49)))</f>
        <v/>
      </c>
      <c r="G49">
        <f>IF($U49="","",IF(INDEX('Per Invoice'!G$2:G$401,$U49)="","",INDEX('Per Invoice'!G$2:G$401,$U49)))</f>
        <v/>
      </c>
      <c r="H49" s="7">
        <f>IF($U49="","",IF(INDEX('Per Invoice'!H$2:H$401,$U49)="","",INDEX('Per Invoice'!H$2:H$401,$U49)))</f>
        <v/>
      </c>
      <c r="I49" s="14">
        <f>IF($U49="","",IF(INDEX('Per Invoice'!I$2:I$401,$U49)="","",INDEX('Per Invoice'!I$2:I$401,$U49)))</f>
        <v/>
      </c>
      <c r="J49">
        <f>IF($U49="","",IF(INDEX('Per Invoice'!J$2:J$401,$U49)="","",INDEX('Per Invoice'!J$2:J$401,$U49)))</f>
        <v/>
      </c>
      <c r="K49">
        <f>IF($U49="","",IF(INDEX('Per Invoice'!K$2:K$401,$U49)="","",INDEX('Per Invoice'!K$2:K$401,$U49)))</f>
        <v/>
      </c>
      <c r="L49" s="7">
        <f>IF($U49="","",IF(INDEX('Per Invoice'!L$2:L$401,$U49)="","",INDEX('Per Invoice'!L$2:L$401,$U49)))</f>
        <v/>
      </c>
      <c r="M49" s="7">
        <f>IF($U49="","",IF(INDEX('Per Invoice'!M$2:M$401,$U49)="","",INDEX('Per Invoice'!M$2:M$401,$U49)))</f>
        <v/>
      </c>
      <c r="N49">
        <f>IF($U49="","",IF(INDEX('Per Invoice'!N$2:N$401,$U49)="","",INDEX('Per Invoice'!N$2:N$401,$U49)))</f>
        <v/>
      </c>
      <c r="O49" s="7">
        <f>IF($U49="","",IF(INDEX('Per Invoice'!O$2:O$401,$U49)="","",INDEX('Per Invoice'!O$2:O$401,$U49)))</f>
        <v/>
      </c>
      <c r="P49" s="7">
        <f>IF($U49="","",IF(INDEX('Per Invoice'!P$2:P$401,$U49)="","",INDEX('Per Invoice'!P$2:P$401,$U49)))</f>
        <v/>
      </c>
      <c r="Q49" s="7">
        <f>IF($U49="","",IF(INDEX('Per Invoice'!Q$2:Q$401,$U49)="","",INDEX('Per Invoice'!Q$2:Q$401,$U49)))</f>
        <v/>
      </c>
      <c r="R49" s="7">
        <f>IF($U49="","",IF(INDEX('Per Invoice'!R$2:R$401,$U49)="","",INDEX('Per Invoice'!R$2:R$401,$U49)))</f>
        <v/>
      </c>
      <c r="S49" s="7">
        <f>IF($U49="","",IF(INDEX('Per Invoice'!S$2:S$401,$U49)="","",INDEX('Per Invoice'!S$2:S$401,$U49)))</f>
        <v/>
      </c>
      <c r="T49" s="7">
        <f>IF($U49="","",IF(INDEX('Per Invoice'!T$2:T$401,$U49)="","",INDEX('Per Invoice'!T$2:T$401,$U49)))</f>
        <v/>
      </c>
      <c r="U49" s="16">
        <f>IFERROR(MATCH(Settings!$C$29&amp;"|"&amp;ROWS($U$2:$U49),'Per Invoice'!$V$2:$V$401,0),"")</f>
        <v/>
      </c>
    </row>
    <row r="50">
      <c r="A50">
        <f>IF($U50="","",IF(INDEX('Per Invoice'!A$2:A$401,$U50)="","",INDEX('Per Invoice'!A$2:A$401,$U50)))</f>
        <v/>
      </c>
      <c r="B50">
        <f>IF($U50="","",IF(INDEX('Per Invoice'!B$2:B$401,$U50)="","",INDEX('Per Invoice'!B$2:B$401,$U50)))</f>
        <v/>
      </c>
      <c r="C50">
        <f>IF($U50="","",IF(INDEX('Per Invoice'!C$2:C$401,$U50)="","",INDEX('Per Invoice'!C$2:C$401,$U50)))</f>
        <v/>
      </c>
      <c r="D50">
        <f>IF($U50="","",IF(INDEX('Per Invoice'!D$2:D$401,$U50)="","",INDEX('Per Invoice'!D$2:D$401,$U50)))</f>
        <v/>
      </c>
      <c r="E50">
        <f>IF($U50="","",IF(INDEX('Per Invoice'!E$2:E$401,$U50)="","",INDEX('Per Invoice'!E$2:E$401,$U50)))</f>
        <v/>
      </c>
      <c r="F50">
        <f>IF($U50="","",IF(INDEX('Per Invoice'!F$2:F$401,$U50)="","",INDEX('Per Invoice'!F$2:F$401,$U50)))</f>
        <v/>
      </c>
      <c r="G50">
        <f>IF($U50="","",IF(INDEX('Per Invoice'!G$2:G$401,$U50)="","",INDEX('Per Invoice'!G$2:G$401,$U50)))</f>
        <v/>
      </c>
      <c r="H50" s="7">
        <f>IF($U50="","",IF(INDEX('Per Invoice'!H$2:H$401,$U50)="","",INDEX('Per Invoice'!H$2:H$401,$U50)))</f>
        <v/>
      </c>
      <c r="I50" s="14">
        <f>IF($U50="","",IF(INDEX('Per Invoice'!I$2:I$401,$U50)="","",INDEX('Per Invoice'!I$2:I$401,$U50)))</f>
        <v/>
      </c>
      <c r="J50">
        <f>IF($U50="","",IF(INDEX('Per Invoice'!J$2:J$401,$U50)="","",INDEX('Per Invoice'!J$2:J$401,$U50)))</f>
        <v/>
      </c>
      <c r="K50">
        <f>IF($U50="","",IF(INDEX('Per Invoice'!K$2:K$401,$U50)="","",INDEX('Per Invoice'!K$2:K$401,$U50)))</f>
        <v/>
      </c>
      <c r="L50" s="7">
        <f>IF($U50="","",IF(INDEX('Per Invoice'!L$2:L$401,$U50)="","",INDEX('Per Invoice'!L$2:L$401,$U50)))</f>
        <v/>
      </c>
      <c r="M50" s="7">
        <f>IF($U50="","",IF(INDEX('Per Invoice'!M$2:M$401,$U50)="","",INDEX('Per Invoice'!M$2:M$401,$U50)))</f>
        <v/>
      </c>
      <c r="N50">
        <f>IF($U50="","",IF(INDEX('Per Invoice'!N$2:N$401,$U50)="","",INDEX('Per Invoice'!N$2:N$401,$U50)))</f>
        <v/>
      </c>
      <c r="O50" s="7">
        <f>IF($U50="","",IF(INDEX('Per Invoice'!O$2:O$401,$U50)="","",INDEX('Per Invoice'!O$2:O$401,$U50)))</f>
        <v/>
      </c>
      <c r="P50" s="7">
        <f>IF($U50="","",IF(INDEX('Per Invoice'!P$2:P$401,$U50)="","",INDEX('Per Invoice'!P$2:P$401,$U50)))</f>
        <v/>
      </c>
      <c r="Q50" s="7">
        <f>IF($U50="","",IF(INDEX('Per Invoice'!Q$2:Q$401,$U50)="","",INDEX('Per Invoice'!Q$2:Q$401,$U50)))</f>
        <v/>
      </c>
      <c r="R50" s="7">
        <f>IF($U50="","",IF(INDEX('Per Invoice'!R$2:R$401,$U50)="","",INDEX('Per Invoice'!R$2:R$401,$U50)))</f>
        <v/>
      </c>
      <c r="S50" s="7">
        <f>IF($U50="","",IF(INDEX('Per Invoice'!S$2:S$401,$U50)="","",INDEX('Per Invoice'!S$2:S$401,$U50)))</f>
        <v/>
      </c>
      <c r="T50" s="7">
        <f>IF($U50="","",IF(INDEX('Per Invoice'!T$2:T$401,$U50)="","",INDEX('Per Invoice'!T$2:T$401,$U50)))</f>
        <v/>
      </c>
      <c r="U50" s="16">
        <f>IFERROR(MATCH(Settings!$C$29&amp;"|"&amp;ROWS($U$2:$U50),'Per Invoice'!$V$2:$V$401,0),"")</f>
        <v/>
      </c>
    </row>
    <row r="51">
      <c r="A51">
        <f>IF($U51="","",IF(INDEX('Per Invoice'!A$2:A$401,$U51)="","",INDEX('Per Invoice'!A$2:A$401,$U51)))</f>
        <v/>
      </c>
      <c r="B51">
        <f>IF($U51="","",IF(INDEX('Per Invoice'!B$2:B$401,$U51)="","",INDEX('Per Invoice'!B$2:B$401,$U51)))</f>
        <v/>
      </c>
      <c r="C51">
        <f>IF($U51="","",IF(INDEX('Per Invoice'!C$2:C$401,$U51)="","",INDEX('Per Invoice'!C$2:C$401,$U51)))</f>
        <v/>
      </c>
      <c r="D51">
        <f>IF($U51="","",IF(INDEX('Per Invoice'!D$2:D$401,$U51)="","",INDEX('Per Invoice'!D$2:D$401,$U51)))</f>
        <v/>
      </c>
      <c r="E51">
        <f>IF($U51="","",IF(INDEX('Per Invoice'!E$2:E$401,$U51)="","",INDEX('Per Invoice'!E$2:E$401,$U51)))</f>
        <v/>
      </c>
      <c r="F51">
        <f>IF($U51="","",IF(INDEX('Per Invoice'!F$2:F$401,$U51)="","",INDEX('Per Invoice'!F$2:F$401,$U51)))</f>
        <v/>
      </c>
      <c r="G51">
        <f>IF($U51="","",IF(INDEX('Per Invoice'!G$2:G$401,$U51)="","",INDEX('Per Invoice'!G$2:G$401,$U51)))</f>
        <v/>
      </c>
      <c r="H51" s="7">
        <f>IF($U51="","",IF(INDEX('Per Invoice'!H$2:H$401,$U51)="","",INDEX('Per Invoice'!H$2:H$401,$U51)))</f>
        <v/>
      </c>
      <c r="I51" s="14">
        <f>IF($U51="","",IF(INDEX('Per Invoice'!I$2:I$401,$U51)="","",INDEX('Per Invoice'!I$2:I$401,$U51)))</f>
        <v/>
      </c>
      <c r="J51">
        <f>IF($U51="","",IF(INDEX('Per Invoice'!J$2:J$401,$U51)="","",INDEX('Per Invoice'!J$2:J$401,$U51)))</f>
        <v/>
      </c>
      <c r="K51">
        <f>IF($U51="","",IF(INDEX('Per Invoice'!K$2:K$401,$U51)="","",INDEX('Per Invoice'!K$2:K$401,$U51)))</f>
        <v/>
      </c>
      <c r="L51" s="7">
        <f>IF($U51="","",IF(INDEX('Per Invoice'!L$2:L$401,$U51)="","",INDEX('Per Invoice'!L$2:L$401,$U51)))</f>
        <v/>
      </c>
      <c r="M51" s="7">
        <f>IF($U51="","",IF(INDEX('Per Invoice'!M$2:M$401,$U51)="","",INDEX('Per Invoice'!M$2:M$401,$U51)))</f>
        <v/>
      </c>
      <c r="N51">
        <f>IF($U51="","",IF(INDEX('Per Invoice'!N$2:N$401,$U51)="","",INDEX('Per Invoice'!N$2:N$401,$U51)))</f>
        <v/>
      </c>
      <c r="O51" s="7">
        <f>IF($U51="","",IF(INDEX('Per Invoice'!O$2:O$401,$U51)="","",INDEX('Per Invoice'!O$2:O$401,$U51)))</f>
        <v/>
      </c>
      <c r="P51" s="7">
        <f>IF($U51="","",IF(INDEX('Per Invoice'!P$2:P$401,$U51)="","",INDEX('Per Invoice'!P$2:P$401,$U51)))</f>
        <v/>
      </c>
      <c r="Q51" s="7">
        <f>IF($U51="","",IF(INDEX('Per Invoice'!Q$2:Q$401,$U51)="","",INDEX('Per Invoice'!Q$2:Q$401,$U51)))</f>
        <v/>
      </c>
      <c r="R51" s="7">
        <f>IF($U51="","",IF(INDEX('Per Invoice'!R$2:R$401,$U51)="","",INDEX('Per Invoice'!R$2:R$401,$U51)))</f>
        <v/>
      </c>
      <c r="S51" s="7">
        <f>IF($U51="","",IF(INDEX('Per Invoice'!S$2:S$401,$U51)="","",INDEX('Per Invoice'!S$2:S$401,$U51)))</f>
        <v/>
      </c>
      <c r="T51" s="7">
        <f>IF($U51="","",IF(INDEX('Per Invoice'!T$2:T$401,$U51)="","",INDEX('Per Invoice'!T$2:T$401,$U51)))</f>
        <v/>
      </c>
      <c r="U51" s="16">
        <f>IFERROR(MATCH(Settings!$C$29&amp;"|"&amp;ROWS($U$2:$U51),'Per Invoice'!$V$2:$V$401,0),"")</f>
        <v/>
      </c>
    </row>
    <row r="52">
      <c r="A52">
        <f>IF($U52="","",IF(INDEX('Per Invoice'!A$2:A$401,$U52)="","",INDEX('Per Invoice'!A$2:A$401,$U52)))</f>
        <v/>
      </c>
      <c r="B52">
        <f>IF($U52="","",IF(INDEX('Per Invoice'!B$2:B$401,$U52)="","",INDEX('Per Invoice'!B$2:B$401,$U52)))</f>
        <v/>
      </c>
      <c r="C52">
        <f>IF($U52="","",IF(INDEX('Per Invoice'!C$2:C$401,$U52)="","",INDEX('Per Invoice'!C$2:C$401,$U52)))</f>
        <v/>
      </c>
      <c r="D52">
        <f>IF($U52="","",IF(INDEX('Per Invoice'!D$2:D$401,$U52)="","",INDEX('Per Invoice'!D$2:D$401,$U52)))</f>
        <v/>
      </c>
      <c r="E52">
        <f>IF($U52="","",IF(INDEX('Per Invoice'!E$2:E$401,$U52)="","",INDEX('Per Invoice'!E$2:E$401,$U52)))</f>
        <v/>
      </c>
      <c r="F52">
        <f>IF($U52="","",IF(INDEX('Per Invoice'!F$2:F$401,$U52)="","",INDEX('Per Invoice'!F$2:F$401,$U52)))</f>
        <v/>
      </c>
      <c r="G52">
        <f>IF($U52="","",IF(INDEX('Per Invoice'!G$2:G$401,$U52)="","",INDEX('Per Invoice'!G$2:G$401,$U52)))</f>
        <v/>
      </c>
      <c r="H52" s="7">
        <f>IF($U52="","",IF(INDEX('Per Invoice'!H$2:H$401,$U52)="","",INDEX('Per Invoice'!H$2:H$401,$U52)))</f>
        <v/>
      </c>
      <c r="I52" s="14">
        <f>IF($U52="","",IF(INDEX('Per Invoice'!I$2:I$401,$U52)="","",INDEX('Per Invoice'!I$2:I$401,$U52)))</f>
        <v/>
      </c>
      <c r="J52">
        <f>IF($U52="","",IF(INDEX('Per Invoice'!J$2:J$401,$U52)="","",INDEX('Per Invoice'!J$2:J$401,$U52)))</f>
        <v/>
      </c>
      <c r="K52">
        <f>IF($U52="","",IF(INDEX('Per Invoice'!K$2:K$401,$U52)="","",INDEX('Per Invoice'!K$2:K$401,$U52)))</f>
        <v/>
      </c>
      <c r="L52" s="7">
        <f>IF($U52="","",IF(INDEX('Per Invoice'!L$2:L$401,$U52)="","",INDEX('Per Invoice'!L$2:L$401,$U52)))</f>
        <v/>
      </c>
      <c r="M52" s="7">
        <f>IF($U52="","",IF(INDEX('Per Invoice'!M$2:M$401,$U52)="","",INDEX('Per Invoice'!M$2:M$401,$U52)))</f>
        <v/>
      </c>
      <c r="N52">
        <f>IF($U52="","",IF(INDEX('Per Invoice'!N$2:N$401,$U52)="","",INDEX('Per Invoice'!N$2:N$401,$U52)))</f>
        <v/>
      </c>
      <c r="O52" s="7">
        <f>IF($U52="","",IF(INDEX('Per Invoice'!O$2:O$401,$U52)="","",INDEX('Per Invoice'!O$2:O$401,$U52)))</f>
        <v/>
      </c>
      <c r="P52" s="7">
        <f>IF($U52="","",IF(INDEX('Per Invoice'!P$2:P$401,$U52)="","",INDEX('Per Invoice'!P$2:P$401,$U52)))</f>
        <v/>
      </c>
      <c r="Q52" s="7">
        <f>IF($U52="","",IF(INDEX('Per Invoice'!Q$2:Q$401,$U52)="","",INDEX('Per Invoice'!Q$2:Q$401,$U52)))</f>
        <v/>
      </c>
      <c r="R52" s="7">
        <f>IF($U52="","",IF(INDEX('Per Invoice'!R$2:R$401,$U52)="","",INDEX('Per Invoice'!R$2:R$401,$U52)))</f>
        <v/>
      </c>
      <c r="S52" s="7">
        <f>IF($U52="","",IF(INDEX('Per Invoice'!S$2:S$401,$U52)="","",INDEX('Per Invoice'!S$2:S$401,$U52)))</f>
        <v/>
      </c>
      <c r="T52" s="7">
        <f>IF($U52="","",IF(INDEX('Per Invoice'!T$2:T$401,$U52)="","",INDEX('Per Invoice'!T$2:T$401,$U52)))</f>
        <v/>
      </c>
      <c r="U52" s="16">
        <f>IFERROR(MATCH(Settings!$C$29&amp;"|"&amp;ROWS($U$2:$U52),'Per Invoice'!$V$2:$V$401,0),"")</f>
        <v/>
      </c>
    </row>
    <row r="53">
      <c r="A53">
        <f>IF($U53="","",IF(INDEX('Per Invoice'!A$2:A$401,$U53)="","",INDEX('Per Invoice'!A$2:A$401,$U53)))</f>
        <v/>
      </c>
      <c r="B53">
        <f>IF($U53="","",IF(INDEX('Per Invoice'!B$2:B$401,$U53)="","",INDEX('Per Invoice'!B$2:B$401,$U53)))</f>
        <v/>
      </c>
      <c r="C53">
        <f>IF($U53="","",IF(INDEX('Per Invoice'!C$2:C$401,$U53)="","",INDEX('Per Invoice'!C$2:C$401,$U53)))</f>
        <v/>
      </c>
      <c r="D53">
        <f>IF($U53="","",IF(INDEX('Per Invoice'!D$2:D$401,$U53)="","",INDEX('Per Invoice'!D$2:D$401,$U53)))</f>
        <v/>
      </c>
      <c r="E53">
        <f>IF($U53="","",IF(INDEX('Per Invoice'!E$2:E$401,$U53)="","",INDEX('Per Invoice'!E$2:E$401,$U53)))</f>
        <v/>
      </c>
      <c r="F53">
        <f>IF($U53="","",IF(INDEX('Per Invoice'!F$2:F$401,$U53)="","",INDEX('Per Invoice'!F$2:F$401,$U53)))</f>
        <v/>
      </c>
      <c r="G53">
        <f>IF($U53="","",IF(INDEX('Per Invoice'!G$2:G$401,$U53)="","",INDEX('Per Invoice'!G$2:G$401,$U53)))</f>
        <v/>
      </c>
      <c r="H53" s="7">
        <f>IF($U53="","",IF(INDEX('Per Invoice'!H$2:H$401,$U53)="","",INDEX('Per Invoice'!H$2:H$401,$U53)))</f>
        <v/>
      </c>
      <c r="I53" s="14">
        <f>IF($U53="","",IF(INDEX('Per Invoice'!I$2:I$401,$U53)="","",INDEX('Per Invoice'!I$2:I$401,$U53)))</f>
        <v/>
      </c>
      <c r="J53">
        <f>IF($U53="","",IF(INDEX('Per Invoice'!J$2:J$401,$U53)="","",INDEX('Per Invoice'!J$2:J$401,$U53)))</f>
        <v/>
      </c>
      <c r="K53">
        <f>IF($U53="","",IF(INDEX('Per Invoice'!K$2:K$401,$U53)="","",INDEX('Per Invoice'!K$2:K$401,$U53)))</f>
        <v/>
      </c>
      <c r="L53" s="7">
        <f>IF($U53="","",IF(INDEX('Per Invoice'!L$2:L$401,$U53)="","",INDEX('Per Invoice'!L$2:L$401,$U53)))</f>
        <v/>
      </c>
      <c r="M53" s="7">
        <f>IF($U53="","",IF(INDEX('Per Invoice'!M$2:M$401,$U53)="","",INDEX('Per Invoice'!M$2:M$401,$U53)))</f>
        <v/>
      </c>
      <c r="N53">
        <f>IF($U53="","",IF(INDEX('Per Invoice'!N$2:N$401,$U53)="","",INDEX('Per Invoice'!N$2:N$401,$U53)))</f>
        <v/>
      </c>
      <c r="O53" s="7">
        <f>IF($U53="","",IF(INDEX('Per Invoice'!O$2:O$401,$U53)="","",INDEX('Per Invoice'!O$2:O$401,$U53)))</f>
        <v/>
      </c>
      <c r="P53" s="7">
        <f>IF($U53="","",IF(INDEX('Per Invoice'!P$2:P$401,$U53)="","",INDEX('Per Invoice'!P$2:P$401,$U53)))</f>
        <v/>
      </c>
      <c r="Q53" s="7">
        <f>IF($U53="","",IF(INDEX('Per Invoice'!Q$2:Q$401,$U53)="","",INDEX('Per Invoice'!Q$2:Q$401,$U53)))</f>
        <v/>
      </c>
      <c r="R53" s="7">
        <f>IF($U53="","",IF(INDEX('Per Invoice'!R$2:R$401,$U53)="","",INDEX('Per Invoice'!R$2:R$401,$U53)))</f>
        <v/>
      </c>
      <c r="S53" s="7">
        <f>IF($U53="","",IF(INDEX('Per Invoice'!S$2:S$401,$U53)="","",INDEX('Per Invoice'!S$2:S$401,$U53)))</f>
        <v/>
      </c>
      <c r="T53" s="7">
        <f>IF($U53="","",IF(INDEX('Per Invoice'!T$2:T$401,$U53)="","",INDEX('Per Invoice'!T$2:T$401,$U53)))</f>
        <v/>
      </c>
      <c r="U53" s="16">
        <f>IFERROR(MATCH(Settings!$C$29&amp;"|"&amp;ROWS($U$2:$U53),'Per Invoice'!$V$2:$V$401,0),"")</f>
        <v/>
      </c>
    </row>
    <row r="54">
      <c r="A54">
        <f>IF($U54="","",IF(INDEX('Per Invoice'!A$2:A$401,$U54)="","",INDEX('Per Invoice'!A$2:A$401,$U54)))</f>
        <v/>
      </c>
      <c r="B54">
        <f>IF($U54="","",IF(INDEX('Per Invoice'!B$2:B$401,$U54)="","",INDEX('Per Invoice'!B$2:B$401,$U54)))</f>
        <v/>
      </c>
      <c r="C54">
        <f>IF($U54="","",IF(INDEX('Per Invoice'!C$2:C$401,$U54)="","",INDEX('Per Invoice'!C$2:C$401,$U54)))</f>
        <v/>
      </c>
      <c r="D54">
        <f>IF($U54="","",IF(INDEX('Per Invoice'!D$2:D$401,$U54)="","",INDEX('Per Invoice'!D$2:D$401,$U54)))</f>
        <v/>
      </c>
      <c r="E54">
        <f>IF($U54="","",IF(INDEX('Per Invoice'!E$2:E$401,$U54)="","",INDEX('Per Invoice'!E$2:E$401,$U54)))</f>
        <v/>
      </c>
      <c r="F54">
        <f>IF($U54="","",IF(INDEX('Per Invoice'!F$2:F$401,$U54)="","",INDEX('Per Invoice'!F$2:F$401,$U54)))</f>
        <v/>
      </c>
      <c r="G54">
        <f>IF($U54="","",IF(INDEX('Per Invoice'!G$2:G$401,$U54)="","",INDEX('Per Invoice'!G$2:G$401,$U54)))</f>
        <v/>
      </c>
      <c r="H54" s="7">
        <f>IF($U54="","",IF(INDEX('Per Invoice'!H$2:H$401,$U54)="","",INDEX('Per Invoice'!H$2:H$401,$U54)))</f>
        <v/>
      </c>
      <c r="I54" s="14">
        <f>IF($U54="","",IF(INDEX('Per Invoice'!I$2:I$401,$U54)="","",INDEX('Per Invoice'!I$2:I$401,$U54)))</f>
        <v/>
      </c>
      <c r="J54">
        <f>IF($U54="","",IF(INDEX('Per Invoice'!J$2:J$401,$U54)="","",INDEX('Per Invoice'!J$2:J$401,$U54)))</f>
        <v/>
      </c>
      <c r="K54">
        <f>IF($U54="","",IF(INDEX('Per Invoice'!K$2:K$401,$U54)="","",INDEX('Per Invoice'!K$2:K$401,$U54)))</f>
        <v/>
      </c>
      <c r="L54" s="7">
        <f>IF($U54="","",IF(INDEX('Per Invoice'!L$2:L$401,$U54)="","",INDEX('Per Invoice'!L$2:L$401,$U54)))</f>
        <v/>
      </c>
      <c r="M54" s="7">
        <f>IF($U54="","",IF(INDEX('Per Invoice'!M$2:M$401,$U54)="","",INDEX('Per Invoice'!M$2:M$401,$U54)))</f>
        <v/>
      </c>
      <c r="N54">
        <f>IF($U54="","",IF(INDEX('Per Invoice'!N$2:N$401,$U54)="","",INDEX('Per Invoice'!N$2:N$401,$U54)))</f>
        <v/>
      </c>
      <c r="O54" s="7">
        <f>IF($U54="","",IF(INDEX('Per Invoice'!O$2:O$401,$U54)="","",INDEX('Per Invoice'!O$2:O$401,$U54)))</f>
        <v/>
      </c>
      <c r="P54" s="7">
        <f>IF($U54="","",IF(INDEX('Per Invoice'!P$2:P$401,$U54)="","",INDEX('Per Invoice'!P$2:P$401,$U54)))</f>
        <v/>
      </c>
      <c r="Q54" s="7">
        <f>IF($U54="","",IF(INDEX('Per Invoice'!Q$2:Q$401,$U54)="","",INDEX('Per Invoice'!Q$2:Q$401,$U54)))</f>
        <v/>
      </c>
      <c r="R54" s="7">
        <f>IF($U54="","",IF(INDEX('Per Invoice'!R$2:R$401,$U54)="","",INDEX('Per Invoice'!R$2:R$401,$U54)))</f>
        <v/>
      </c>
      <c r="S54" s="7">
        <f>IF($U54="","",IF(INDEX('Per Invoice'!S$2:S$401,$U54)="","",INDEX('Per Invoice'!S$2:S$401,$U54)))</f>
        <v/>
      </c>
      <c r="T54" s="7">
        <f>IF($U54="","",IF(INDEX('Per Invoice'!T$2:T$401,$U54)="","",INDEX('Per Invoice'!T$2:T$401,$U54)))</f>
        <v/>
      </c>
      <c r="U54" s="16">
        <f>IFERROR(MATCH(Settings!$C$29&amp;"|"&amp;ROWS($U$2:$U54),'Per Invoice'!$V$2:$V$401,0),"")</f>
        <v/>
      </c>
    </row>
    <row r="55">
      <c r="A55">
        <f>IF($U55="","",IF(INDEX('Per Invoice'!A$2:A$401,$U55)="","",INDEX('Per Invoice'!A$2:A$401,$U55)))</f>
        <v/>
      </c>
      <c r="B55">
        <f>IF($U55="","",IF(INDEX('Per Invoice'!B$2:B$401,$U55)="","",INDEX('Per Invoice'!B$2:B$401,$U55)))</f>
        <v/>
      </c>
      <c r="C55">
        <f>IF($U55="","",IF(INDEX('Per Invoice'!C$2:C$401,$U55)="","",INDEX('Per Invoice'!C$2:C$401,$U55)))</f>
        <v/>
      </c>
      <c r="D55">
        <f>IF($U55="","",IF(INDEX('Per Invoice'!D$2:D$401,$U55)="","",INDEX('Per Invoice'!D$2:D$401,$U55)))</f>
        <v/>
      </c>
      <c r="E55">
        <f>IF($U55="","",IF(INDEX('Per Invoice'!E$2:E$401,$U55)="","",INDEX('Per Invoice'!E$2:E$401,$U55)))</f>
        <v/>
      </c>
      <c r="F55">
        <f>IF($U55="","",IF(INDEX('Per Invoice'!F$2:F$401,$U55)="","",INDEX('Per Invoice'!F$2:F$401,$U55)))</f>
        <v/>
      </c>
      <c r="G55">
        <f>IF($U55="","",IF(INDEX('Per Invoice'!G$2:G$401,$U55)="","",INDEX('Per Invoice'!G$2:G$401,$U55)))</f>
        <v/>
      </c>
      <c r="H55" s="7">
        <f>IF($U55="","",IF(INDEX('Per Invoice'!H$2:H$401,$U55)="","",INDEX('Per Invoice'!H$2:H$401,$U55)))</f>
        <v/>
      </c>
      <c r="I55" s="14">
        <f>IF($U55="","",IF(INDEX('Per Invoice'!I$2:I$401,$U55)="","",INDEX('Per Invoice'!I$2:I$401,$U55)))</f>
        <v/>
      </c>
      <c r="J55">
        <f>IF($U55="","",IF(INDEX('Per Invoice'!J$2:J$401,$U55)="","",INDEX('Per Invoice'!J$2:J$401,$U55)))</f>
        <v/>
      </c>
      <c r="K55">
        <f>IF($U55="","",IF(INDEX('Per Invoice'!K$2:K$401,$U55)="","",INDEX('Per Invoice'!K$2:K$401,$U55)))</f>
        <v/>
      </c>
      <c r="L55" s="7">
        <f>IF($U55="","",IF(INDEX('Per Invoice'!L$2:L$401,$U55)="","",INDEX('Per Invoice'!L$2:L$401,$U55)))</f>
        <v/>
      </c>
      <c r="M55" s="7">
        <f>IF($U55="","",IF(INDEX('Per Invoice'!M$2:M$401,$U55)="","",INDEX('Per Invoice'!M$2:M$401,$U55)))</f>
        <v/>
      </c>
      <c r="N55">
        <f>IF($U55="","",IF(INDEX('Per Invoice'!N$2:N$401,$U55)="","",INDEX('Per Invoice'!N$2:N$401,$U55)))</f>
        <v/>
      </c>
      <c r="O55" s="7">
        <f>IF($U55="","",IF(INDEX('Per Invoice'!O$2:O$401,$U55)="","",INDEX('Per Invoice'!O$2:O$401,$U55)))</f>
        <v/>
      </c>
      <c r="P55" s="7">
        <f>IF($U55="","",IF(INDEX('Per Invoice'!P$2:P$401,$U55)="","",INDEX('Per Invoice'!P$2:P$401,$U55)))</f>
        <v/>
      </c>
      <c r="Q55" s="7">
        <f>IF($U55="","",IF(INDEX('Per Invoice'!Q$2:Q$401,$U55)="","",INDEX('Per Invoice'!Q$2:Q$401,$U55)))</f>
        <v/>
      </c>
      <c r="R55" s="7">
        <f>IF($U55="","",IF(INDEX('Per Invoice'!R$2:R$401,$U55)="","",INDEX('Per Invoice'!R$2:R$401,$U55)))</f>
        <v/>
      </c>
      <c r="S55" s="7">
        <f>IF($U55="","",IF(INDEX('Per Invoice'!S$2:S$401,$U55)="","",INDEX('Per Invoice'!S$2:S$401,$U55)))</f>
        <v/>
      </c>
      <c r="T55" s="7">
        <f>IF($U55="","",IF(INDEX('Per Invoice'!T$2:T$401,$U55)="","",INDEX('Per Invoice'!T$2:T$401,$U55)))</f>
        <v/>
      </c>
      <c r="U55" s="16">
        <f>IFERROR(MATCH(Settings!$C$29&amp;"|"&amp;ROWS($U$2:$U55),'Per Invoice'!$V$2:$V$401,0),"")</f>
        <v/>
      </c>
    </row>
    <row r="56">
      <c r="A56">
        <f>IF($U56="","",IF(INDEX('Per Invoice'!A$2:A$401,$U56)="","",INDEX('Per Invoice'!A$2:A$401,$U56)))</f>
        <v/>
      </c>
      <c r="B56">
        <f>IF($U56="","",IF(INDEX('Per Invoice'!B$2:B$401,$U56)="","",INDEX('Per Invoice'!B$2:B$401,$U56)))</f>
        <v/>
      </c>
      <c r="C56">
        <f>IF($U56="","",IF(INDEX('Per Invoice'!C$2:C$401,$U56)="","",INDEX('Per Invoice'!C$2:C$401,$U56)))</f>
        <v/>
      </c>
      <c r="D56">
        <f>IF($U56="","",IF(INDEX('Per Invoice'!D$2:D$401,$U56)="","",INDEX('Per Invoice'!D$2:D$401,$U56)))</f>
        <v/>
      </c>
      <c r="E56">
        <f>IF($U56="","",IF(INDEX('Per Invoice'!E$2:E$401,$U56)="","",INDEX('Per Invoice'!E$2:E$401,$U56)))</f>
        <v/>
      </c>
      <c r="F56">
        <f>IF($U56="","",IF(INDEX('Per Invoice'!F$2:F$401,$U56)="","",INDEX('Per Invoice'!F$2:F$401,$U56)))</f>
        <v/>
      </c>
      <c r="G56">
        <f>IF($U56="","",IF(INDEX('Per Invoice'!G$2:G$401,$U56)="","",INDEX('Per Invoice'!G$2:G$401,$U56)))</f>
        <v/>
      </c>
      <c r="H56" s="7">
        <f>IF($U56="","",IF(INDEX('Per Invoice'!H$2:H$401,$U56)="","",INDEX('Per Invoice'!H$2:H$401,$U56)))</f>
        <v/>
      </c>
      <c r="I56" s="14">
        <f>IF($U56="","",IF(INDEX('Per Invoice'!I$2:I$401,$U56)="","",INDEX('Per Invoice'!I$2:I$401,$U56)))</f>
        <v/>
      </c>
      <c r="J56">
        <f>IF($U56="","",IF(INDEX('Per Invoice'!J$2:J$401,$U56)="","",INDEX('Per Invoice'!J$2:J$401,$U56)))</f>
        <v/>
      </c>
      <c r="K56">
        <f>IF($U56="","",IF(INDEX('Per Invoice'!K$2:K$401,$U56)="","",INDEX('Per Invoice'!K$2:K$401,$U56)))</f>
        <v/>
      </c>
      <c r="L56" s="7">
        <f>IF($U56="","",IF(INDEX('Per Invoice'!L$2:L$401,$U56)="","",INDEX('Per Invoice'!L$2:L$401,$U56)))</f>
        <v/>
      </c>
      <c r="M56" s="7">
        <f>IF($U56="","",IF(INDEX('Per Invoice'!M$2:M$401,$U56)="","",INDEX('Per Invoice'!M$2:M$401,$U56)))</f>
        <v/>
      </c>
      <c r="N56">
        <f>IF($U56="","",IF(INDEX('Per Invoice'!N$2:N$401,$U56)="","",INDEX('Per Invoice'!N$2:N$401,$U56)))</f>
        <v/>
      </c>
      <c r="O56" s="7">
        <f>IF($U56="","",IF(INDEX('Per Invoice'!O$2:O$401,$U56)="","",INDEX('Per Invoice'!O$2:O$401,$U56)))</f>
        <v/>
      </c>
      <c r="P56" s="7">
        <f>IF($U56="","",IF(INDEX('Per Invoice'!P$2:P$401,$U56)="","",INDEX('Per Invoice'!P$2:P$401,$U56)))</f>
        <v/>
      </c>
      <c r="Q56" s="7">
        <f>IF($U56="","",IF(INDEX('Per Invoice'!Q$2:Q$401,$U56)="","",INDEX('Per Invoice'!Q$2:Q$401,$U56)))</f>
        <v/>
      </c>
      <c r="R56" s="7">
        <f>IF($U56="","",IF(INDEX('Per Invoice'!R$2:R$401,$U56)="","",INDEX('Per Invoice'!R$2:R$401,$U56)))</f>
        <v/>
      </c>
      <c r="S56" s="7">
        <f>IF($U56="","",IF(INDEX('Per Invoice'!S$2:S$401,$U56)="","",INDEX('Per Invoice'!S$2:S$401,$U56)))</f>
        <v/>
      </c>
      <c r="T56" s="7">
        <f>IF($U56="","",IF(INDEX('Per Invoice'!T$2:T$401,$U56)="","",INDEX('Per Invoice'!T$2:T$401,$U56)))</f>
        <v/>
      </c>
      <c r="U56" s="16">
        <f>IFERROR(MATCH(Settings!$C$29&amp;"|"&amp;ROWS($U$2:$U56),'Per Invoice'!$V$2:$V$401,0),"")</f>
        <v/>
      </c>
    </row>
    <row r="57">
      <c r="A57">
        <f>IF($U57="","",IF(INDEX('Per Invoice'!A$2:A$401,$U57)="","",INDEX('Per Invoice'!A$2:A$401,$U57)))</f>
        <v/>
      </c>
      <c r="B57">
        <f>IF($U57="","",IF(INDEX('Per Invoice'!B$2:B$401,$U57)="","",INDEX('Per Invoice'!B$2:B$401,$U57)))</f>
        <v/>
      </c>
      <c r="C57">
        <f>IF($U57="","",IF(INDEX('Per Invoice'!C$2:C$401,$U57)="","",INDEX('Per Invoice'!C$2:C$401,$U57)))</f>
        <v/>
      </c>
      <c r="D57">
        <f>IF($U57="","",IF(INDEX('Per Invoice'!D$2:D$401,$U57)="","",INDEX('Per Invoice'!D$2:D$401,$U57)))</f>
        <v/>
      </c>
      <c r="E57">
        <f>IF($U57="","",IF(INDEX('Per Invoice'!E$2:E$401,$U57)="","",INDEX('Per Invoice'!E$2:E$401,$U57)))</f>
        <v/>
      </c>
      <c r="F57">
        <f>IF($U57="","",IF(INDEX('Per Invoice'!F$2:F$401,$U57)="","",INDEX('Per Invoice'!F$2:F$401,$U57)))</f>
        <v/>
      </c>
      <c r="G57">
        <f>IF($U57="","",IF(INDEX('Per Invoice'!G$2:G$401,$U57)="","",INDEX('Per Invoice'!G$2:G$401,$U57)))</f>
        <v/>
      </c>
      <c r="H57" s="7">
        <f>IF($U57="","",IF(INDEX('Per Invoice'!H$2:H$401,$U57)="","",INDEX('Per Invoice'!H$2:H$401,$U57)))</f>
        <v/>
      </c>
      <c r="I57" s="14">
        <f>IF($U57="","",IF(INDEX('Per Invoice'!I$2:I$401,$U57)="","",INDEX('Per Invoice'!I$2:I$401,$U57)))</f>
        <v/>
      </c>
      <c r="J57">
        <f>IF($U57="","",IF(INDEX('Per Invoice'!J$2:J$401,$U57)="","",INDEX('Per Invoice'!J$2:J$401,$U57)))</f>
        <v/>
      </c>
      <c r="K57">
        <f>IF($U57="","",IF(INDEX('Per Invoice'!K$2:K$401,$U57)="","",INDEX('Per Invoice'!K$2:K$401,$U57)))</f>
        <v/>
      </c>
      <c r="L57" s="7">
        <f>IF($U57="","",IF(INDEX('Per Invoice'!L$2:L$401,$U57)="","",INDEX('Per Invoice'!L$2:L$401,$U57)))</f>
        <v/>
      </c>
      <c r="M57" s="7">
        <f>IF($U57="","",IF(INDEX('Per Invoice'!M$2:M$401,$U57)="","",INDEX('Per Invoice'!M$2:M$401,$U57)))</f>
        <v/>
      </c>
      <c r="N57">
        <f>IF($U57="","",IF(INDEX('Per Invoice'!N$2:N$401,$U57)="","",INDEX('Per Invoice'!N$2:N$401,$U57)))</f>
        <v/>
      </c>
      <c r="O57" s="7">
        <f>IF($U57="","",IF(INDEX('Per Invoice'!O$2:O$401,$U57)="","",INDEX('Per Invoice'!O$2:O$401,$U57)))</f>
        <v/>
      </c>
      <c r="P57" s="7">
        <f>IF($U57="","",IF(INDEX('Per Invoice'!P$2:P$401,$U57)="","",INDEX('Per Invoice'!P$2:P$401,$U57)))</f>
        <v/>
      </c>
      <c r="Q57" s="7">
        <f>IF($U57="","",IF(INDEX('Per Invoice'!Q$2:Q$401,$U57)="","",INDEX('Per Invoice'!Q$2:Q$401,$U57)))</f>
        <v/>
      </c>
      <c r="R57" s="7">
        <f>IF($U57="","",IF(INDEX('Per Invoice'!R$2:R$401,$U57)="","",INDEX('Per Invoice'!R$2:R$401,$U57)))</f>
        <v/>
      </c>
      <c r="S57" s="7">
        <f>IF($U57="","",IF(INDEX('Per Invoice'!S$2:S$401,$U57)="","",INDEX('Per Invoice'!S$2:S$401,$U57)))</f>
        <v/>
      </c>
      <c r="T57" s="7">
        <f>IF($U57="","",IF(INDEX('Per Invoice'!T$2:T$401,$U57)="","",INDEX('Per Invoice'!T$2:T$401,$U57)))</f>
        <v/>
      </c>
      <c r="U57" s="16">
        <f>IFERROR(MATCH(Settings!$C$29&amp;"|"&amp;ROWS($U$2:$U57),'Per Invoice'!$V$2:$V$401,0),"")</f>
        <v/>
      </c>
    </row>
    <row r="58">
      <c r="A58">
        <f>IF($U58="","",IF(INDEX('Per Invoice'!A$2:A$401,$U58)="","",INDEX('Per Invoice'!A$2:A$401,$U58)))</f>
        <v/>
      </c>
      <c r="B58">
        <f>IF($U58="","",IF(INDEX('Per Invoice'!B$2:B$401,$U58)="","",INDEX('Per Invoice'!B$2:B$401,$U58)))</f>
        <v/>
      </c>
      <c r="C58">
        <f>IF($U58="","",IF(INDEX('Per Invoice'!C$2:C$401,$U58)="","",INDEX('Per Invoice'!C$2:C$401,$U58)))</f>
        <v/>
      </c>
      <c r="D58">
        <f>IF($U58="","",IF(INDEX('Per Invoice'!D$2:D$401,$U58)="","",INDEX('Per Invoice'!D$2:D$401,$U58)))</f>
        <v/>
      </c>
      <c r="E58">
        <f>IF($U58="","",IF(INDEX('Per Invoice'!E$2:E$401,$U58)="","",INDEX('Per Invoice'!E$2:E$401,$U58)))</f>
        <v/>
      </c>
      <c r="F58">
        <f>IF($U58="","",IF(INDEX('Per Invoice'!F$2:F$401,$U58)="","",INDEX('Per Invoice'!F$2:F$401,$U58)))</f>
        <v/>
      </c>
      <c r="G58">
        <f>IF($U58="","",IF(INDEX('Per Invoice'!G$2:G$401,$U58)="","",INDEX('Per Invoice'!G$2:G$401,$U58)))</f>
        <v/>
      </c>
      <c r="H58" s="7">
        <f>IF($U58="","",IF(INDEX('Per Invoice'!H$2:H$401,$U58)="","",INDEX('Per Invoice'!H$2:H$401,$U58)))</f>
        <v/>
      </c>
      <c r="I58" s="14">
        <f>IF($U58="","",IF(INDEX('Per Invoice'!I$2:I$401,$U58)="","",INDEX('Per Invoice'!I$2:I$401,$U58)))</f>
        <v/>
      </c>
      <c r="J58">
        <f>IF($U58="","",IF(INDEX('Per Invoice'!J$2:J$401,$U58)="","",INDEX('Per Invoice'!J$2:J$401,$U58)))</f>
        <v/>
      </c>
      <c r="K58">
        <f>IF($U58="","",IF(INDEX('Per Invoice'!K$2:K$401,$U58)="","",INDEX('Per Invoice'!K$2:K$401,$U58)))</f>
        <v/>
      </c>
      <c r="L58" s="7">
        <f>IF($U58="","",IF(INDEX('Per Invoice'!L$2:L$401,$U58)="","",INDEX('Per Invoice'!L$2:L$401,$U58)))</f>
        <v/>
      </c>
      <c r="M58" s="7">
        <f>IF($U58="","",IF(INDEX('Per Invoice'!M$2:M$401,$U58)="","",INDEX('Per Invoice'!M$2:M$401,$U58)))</f>
        <v/>
      </c>
      <c r="N58">
        <f>IF($U58="","",IF(INDEX('Per Invoice'!N$2:N$401,$U58)="","",INDEX('Per Invoice'!N$2:N$401,$U58)))</f>
        <v/>
      </c>
      <c r="O58" s="7">
        <f>IF($U58="","",IF(INDEX('Per Invoice'!O$2:O$401,$U58)="","",INDEX('Per Invoice'!O$2:O$401,$U58)))</f>
        <v/>
      </c>
      <c r="P58" s="7">
        <f>IF($U58="","",IF(INDEX('Per Invoice'!P$2:P$401,$U58)="","",INDEX('Per Invoice'!P$2:P$401,$U58)))</f>
        <v/>
      </c>
      <c r="Q58" s="7">
        <f>IF($U58="","",IF(INDEX('Per Invoice'!Q$2:Q$401,$U58)="","",INDEX('Per Invoice'!Q$2:Q$401,$U58)))</f>
        <v/>
      </c>
      <c r="R58" s="7">
        <f>IF($U58="","",IF(INDEX('Per Invoice'!R$2:R$401,$U58)="","",INDEX('Per Invoice'!R$2:R$401,$U58)))</f>
        <v/>
      </c>
      <c r="S58" s="7">
        <f>IF($U58="","",IF(INDEX('Per Invoice'!S$2:S$401,$U58)="","",INDEX('Per Invoice'!S$2:S$401,$U58)))</f>
        <v/>
      </c>
      <c r="T58" s="7">
        <f>IF($U58="","",IF(INDEX('Per Invoice'!T$2:T$401,$U58)="","",INDEX('Per Invoice'!T$2:T$401,$U58)))</f>
        <v/>
      </c>
      <c r="U58" s="16">
        <f>IFERROR(MATCH(Settings!$C$29&amp;"|"&amp;ROWS($U$2:$U58),'Per Invoice'!$V$2:$V$401,0),"")</f>
        <v/>
      </c>
    </row>
    <row r="59">
      <c r="A59">
        <f>IF($U59="","",IF(INDEX('Per Invoice'!A$2:A$401,$U59)="","",INDEX('Per Invoice'!A$2:A$401,$U59)))</f>
        <v/>
      </c>
      <c r="B59">
        <f>IF($U59="","",IF(INDEX('Per Invoice'!B$2:B$401,$U59)="","",INDEX('Per Invoice'!B$2:B$401,$U59)))</f>
        <v/>
      </c>
      <c r="C59">
        <f>IF($U59="","",IF(INDEX('Per Invoice'!C$2:C$401,$U59)="","",INDEX('Per Invoice'!C$2:C$401,$U59)))</f>
        <v/>
      </c>
      <c r="D59">
        <f>IF($U59="","",IF(INDEX('Per Invoice'!D$2:D$401,$U59)="","",INDEX('Per Invoice'!D$2:D$401,$U59)))</f>
        <v/>
      </c>
      <c r="E59">
        <f>IF($U59="","",IF(INDEX('Per Invoice'!E$2:E$401,$U59)="","",INDEX('Per Invoice'!E$2:E$401,$U59)))</f>
        <v/>
      </c>
      <c r="F59">
        <f>IF($U59="","",IF(INDEX('Per Invoice'!F$2:F$401,$U59)="","",INDEX('Per Invoice'!F$2:F$401,$U59)))</f>
        <v/>
      </c>
      <c r="G59">
        <f>IF($U59="","",IF(INDEX('Per Invoice'!G$2:G$401,$U59)="","",INDEX('Per Invoice'!G$2:G$401,$U59)))</f>
        <v/>
      </c>
      <c r="H59" s="7">
        <f>IF($U59="","",IF(INDEX('Per Invoice'!H$2:H$401,$U59)="","",INDEX('Per Invoice'!H$2:H$401,$U59)))</f>
        <v/>
      </c>
      <c r="I59" s="14">
        <f>IF($U59="","",IF(INDEX('Per Invoice'!I$2:I$401,$U59)="","",INDEX('Per Invoice'!I$2:I$401,$U59)))</f>
        <v/>
      </c>
      <c r="J59">
        <f>IF($U59="","",IF(INDEX('Per Invoice'!J$2:J$401,$U59)="","",INDEX('Per Invoice'!J$2:J$401,$U59)))</f>
        <v/>
      </c>
      <c r="K59">
        <f>IF($U59="","",IF(INDEX('Per Invoice'!K$2:K$401,$U59)="","",INDEX('Per Invoice'!K$2:K$401,$U59)))</f>
        <v/>
      </c>
      <c r="L59" s="7">
        <f>IF($U59="","",IF(INDEX('Per Invoice'!L$2:L$401,$U59)="","",INDEX('Per Invoice'!L$2:L$401,$U59)))</f>
        <v/>
      </c>
      <c r="M59" s="7">
        <f>IF($U59="","",IF(INDEX('Per Invoice'!M$2:M$401,$U59)="","",INDEX('Per Invoice'!M$2:M$401,$U59)))</f>
        <v/>
      </c>
      <c r="N59">
        <f>IF($U59="","",IF(INDEX('Per Invoice'!N$2:N$401,$U59)="","",INDEX('Per Invoice'!N$2:N$401,$U59)))</f>
        <v/>
      </c>
      <c r="O59" s="7">
        <f>IF($U59="","",IF(INDEX('Per Invoice'!O$2:O$401,$U59)="","",INDEX('Per Invoice'!O$2:O$401,$U59)))</f>
        <v/>
      </c>
      <c r="P59" s="7">
        <f>IF($U59="","",IF(INDEX('Per Invoice'!P$2:P$401,$U59)="","",INDEX('Per Invoice'!P$2:P$401,$U59)))</f>
        <v/>
      </c>
      <c r="Q59" s="7">
        <f>IF($U59="","",IF(INDEX('Per Invoice'!Q$2:Q$401,$U59)="","",INDEX('Per Invoice'!Q$2:Q$401,$U59)))</f>
        <v/>
      </c>
      <c r="R59" s="7">
        <f>IF($U59="","",IF(INDEX('Per Invoice'!R$2:R$401,$U59)="","",INDEX('Per Invoice'!R$2:R$401,$U59)))</f>
        <v/>
      </c>
      <c r="S59" s="7">
        <f>IF($U59="","",IF(INDEX('Per Invoice'!S$2:S$401,$U59)="","",INDEX('Per Invoice'!S$2:S$401,$U59)))</f>
        <v/>
      </c>
      <c r="T59" s="7">
        <f>IF($U59="","",IF(INDEX('Per Invoice'!T$2:T$401,$U59)="","",INDEX('Per Invoice'!T$2:T$401,$U59)))</f>
        <v/>
      </c>
      <c r="U59" s="16">
        <f>IFERROR(MATCH(Settings!$C$29&amp;"|"&amp;ROWS($U$2:$U59),'Per Invoice'!$V$2:$V$401,0),"")</f>
        <v/>
      </c>
    </row>
    <row r="60">
      <c r="A60">
        <f>IF($U60="","",IF(INDEX('Per Invoice'!A$2:A$401,$U60)="","",INDEX('Per Invoice'!A$2:A$401,$U60)))</f>
        <v/>
      </c>
      <c r="B60">
        <f>IF($U60="","",IF(INDEX('Per Invoice'!B$2:B$401,$U60)="","",INDEX('Per Invoice'!B$2:B$401,$U60)))</f>
        <v/>
      </c>
      <c r="C60">
        <f>IF($U60="","",IF(INDEX('Per Invoice'!C$2:C$401,$U60)="","",INDEX('Per Invoice'!C$2:C$401,$U60)))</f>
        <v/>
      </c>
      <c r="D60">
        <f>IF($U60="","",IF(INDEX('Per Invoice'!D$2:D$401,$U60)="","",INDEX('Per Invoice'!D$2:D$401,$U60)))</f>
        <v/>
      </c>
      <c r="E60">
        <f>IF($U60="","",IF(INDEX('Per Invoice'!E$2:E$401,$U60)="","",INDEX('Per Invoice'!E$2:E$401,$U60)))</f>
        <v/>
      </c>
      <c r="F60">
        <f>IF($U60="","",IF(INDEX('Per Invoice'!F$2:F$401,$U60)="","",INDEX('Per Invoice'!F$2:F$401,$U60)))</f>
        <v/>
      </c>
      <c r="G60">
        <f>IF($U60="","",IF(INDEX('Per Invoice'!G$2:G$401,$U60)="","",INDEX('Per Invoice'!G$2:G$401,$U60)))</f>
        <v/>
      </c>
      <c r="H60" s="7">
        <f>IF($U60="","",IF(INDEX('Per Invoice'!H$2:H$401,$U60)="","",INDEX('Per Invoice'!H$2:H$401,$U60)))</f>
        <v/>
      </c>
      <c r="I60" s="14">
        <f>IF($U60="","",IF(INDEX('Per Invoice'!I$2:I$401,$U60)="","",INDEX('Per Invoice'!I$2:I$401,$U60)))</f>
        <v/>
      </c>
      <c r="J60">
        <f>IF($U60="","",IF(INDEX('Per Invoice'!J$2:J$401,$U60)="","",INDEX('Per Invoice'!J$2:J$401,$U60)))</f>
        <v/>
      </c>
      <c r="K60">
        <f>IF($U60="","",IF(INDEX('Per Invoice'!K$2:K$401,$U60)="","",INDEX('Per Invoice'!K$2:K$401,$U60)))</f>
        <v/>
      </c>
      <c r="L60" s="7">
        <f>IF($U60="","",IF(INDEX('Per Invoice'!L$2:L$401,$U60)="","",INDEX('Per Invoice'!L$2:L$401,$U60)))</f>
        <v/>
      </c>
      <c r="M60" s="7">
        <f>IF($U60="","",IF(INDEX('Per Invoice'!M$2:M$401,$U60)="","",INDEX('Per Invoice'!M$2:M$401,$U60)))</f>
        <v/>
      </c>
      <c r="N60">
        <f>IF($U60="","",IF(INDEX('Per Invoice'!N$2:N$401,$U60)="","",INDEX('Per Invoice'!N$2:N$401,$U60)))</f>
        <v/>
      </c>
      <c r="O60" s="7">
        <f>IF($U60="","",IF(INDEX('Per Invoice'!O$2:O$401,$U60)="","",INDEX('Per Invoice'!O$2:O$401,$U60)))</f>
        <v/>
      </c>
      <c r="P60" s="7">
        <f>IF($U60="","",IF(INDEX('Per Invoice'!P$2:P$401,$U60)="","",INDEX('Per Invoice'!P$2:P$401,$U60)))</f>
        <v/>
      </c>
      <c r="Q60" s="7">
        <f>IF($U60="","",IF(INDEX('Per Invoice'!Q$2:Q$401,$U60)="","",INDEX('Per Invoice'!Q$2:Q$401,$U60)))</f>
        <v/>
      </c>
      <c r="R60" s="7">
        <f>IF($U60="","",IF(INDEX('Per Invoice'!R$2:R$401,$U60)="","",INDEX('Per Invoice'!R$2:R$401,$U60)))</f>
        <v/>
      </c>
      <c r="S60" s="7">
        <f>IF($U60="","",IF(INDEX('Per Invoice'!S$2:S$401,$U60)="","",INDEX('Per Invoice'!S$2:S$401,$U60)))</f>
        <v/>
      </c>
      <c r="T60" s="7">
        <f>IF($U60="","",IF(INDEX('Per Invoice'!T$2:T$401,$U60)="","",INDEX('Per Invoice'!T$2:T$401,$U60)))</f>
        <v/>
      </c>
      <c r="U60" s="16">
        <f>IFERROR(MATCH(Settings!$C$29&amp;"|"&amp;ROWS($U$2:$U60),'Per Invoice'!$V$2:$V$401,0),"")</f>
        <v/>
      </c>
    </row>
    <row r="61">
      <c r="A61">
        <f>IF($U61="","",IF(INDEX('Per Invoice'!A$2:A$401,$U61)="","",INDEX('Per Invoice'!A$2:A$401,$U61)))</f>
        <v/>
      </c>
      <c r="B61">
        <f>IF($U61="","",IF(INDEX('Per Invoice'!B$2:B$401,$U61)="","",INDEX('Per Invoice'!B$2:B$401,$U61)))</f>
        <v/>
      </c>
      <c r="C61">
        <f>IF($U61="","",IF(INDEX('Per Invoice'!C$2:C$401,$U61)="","",INDEX('Per Invoice'!C$2:C$401,$U61)))</f>
        <v/>
      </c>
      <c r="D61">
        <f>IF($U61="","",IF(INDEX('Per Invoice'!D$2:D$401,$U61)="","",INDEX('Per Invoice'!D$2:D$401,$U61)))</f>
        <v/>
      </c>
      <c r="E61">
        <f>IF($U61="","",IF(INDEX('Per Invoice'!E$2:E$401,$U61)="","",INDEX('Per Invoice'!E$2:E$401,$U61)))</f>
        <v/>
      </c>
      <c r="F61">
        <f>IF($U61="","",IF(INDEX('Per Invoice'!F$2:F$401,$U61)="","",INDEX('Per Invoice'!F$2:F$401,$U61)))</f>
        <v/>
      </c>
      <c r="G61">
        <f>IF($U61="","",IF(INDEX('Per Invoice'!G$2:G$401,$U61)="","",INDEX('Per Invoice'!G$2:G$401,$U61)))</f>
        <v/>
      </c>
      <c r="H61" s="7">
        <f>IF($U61="","",IF(INDEX('Per Invoice'!H$2:H$401,$U61)="","",INDEX('Per Invoice'!H$2:H$401,$U61)))</f>
        <v/>
      </c>
      <c r="I61" s="14">
        <f>IF($U61="","",IF(INDEX('Per Invoice'!I$2:I$401,$U61)="","",INDEX('Per Invoice'!I$2:I$401,$U61)))</f>
        <v/>
      </c>
      <c r="J61">
        <f>IF($U61="","",IF(INDEX('Per Invoice'!J$2:J$401,$U61)="","",INDEX('Per Invoice'!J$2:J$401,$U61)))</f>
        <v/>
      </c>
      <c r="K61">
        <f>IF($U61="","",IF(INDEX('Per Invoice'!K$2:K$401,$U61)="","",INDEX('Per Invoice'!K$2:K$401,$U61)))</f>
        <v/>
      </c>
      <c r="L61" s="7">
        <f>IF($U61="","",IF(INDEX('Per Invoice'!L$2:L$401,$U61)="","",INDEX('Per Invoice'!L$2:L$401,$U61)))</f>
        <v/>
      </c>
      <c r="M61" s="7">
        <f>IF($U61="","",IF(INDEX('Per Invoice'!M$2:M$401,$U61)="","",INDEX('Per Invoice'!M$2:M$401,$U61)))</f>
        <v/>
      </c>
      <c r="N61">
        <f>IF($U61="","",IF(INDEX('Per Invoice'!N$2:N$401,$U61)="","",INDEX('Per Invoice'!N$2:N$401,$U61)))</f>
        <v/>
      </c>
      <c r="O61" s="7">
        <f>IF($U61="","",IF(INDEX('Per Invoice'!O$2:O$401,$U61)="","",INDEX('Per Invoice'!O$2:O$401,$U61)))</f>
        <v/>
      </c>
      <c r="P61" s="7">
        <f>IF($U61="","",IF(INDEX('Per Invoice'!P$2:P$401,$U61)="","",INDEX('Per Invoice'!P$2:P$401,$U61)))</f>
        <v/>
      </c>
      <c r="Q61" s="7">
        <f>IF($U61="","",IF(INDEX('Per Invoice'!Q$2:Q$401,$U61)="","",INDEX('Per Invoice'!Q$2:Q$401,$U61)))</f>
        <v/>
      </c>
      <c r="R61" s="7">
        <f>IF($U61="","",IF(INDEX('Per Invoice'!R$2:R$401,$U61)="","",INDEX('Per Invoice'!R$2:R$401,$U61)))</f>
        <v/>
      </c>
      <c r="S61" s="7">
        <f>IF($U61="","",IF(INDEX('Per Invoice'!S$2:S$401,$U61)="","",INDEX('Per Invoice'!S$2:S$401,$U61)))</f>
        <v/>
      </c>
      <c r="T61" s="7">
        <f>IF($U61="","",IF(INDEX('Per Invoice'!T$2:T$401,$U61)="","",INDEX('Per Invoice'!T$2:T$401,$U61)))</f>
        <v/>
      </c>
      <c r="U61" s="16">
        <f>IFERROR(MATCH(Settings!$C$29&amp;"|"&amp;ROWS($U$2:$U61),'Per Invoice'!$V$2:$V$401,0),"")</f>
        <v/>
      </c>
    </row>
    <row r="62">
      <c r="A62">
        <f>IF($U62="","",IF(INDEX('Per Invoice'!A$2:A$401,$U62)="","",INDEX('Per Invoice'!A$2:A$401,$U62)))</f>
        <v/>
      </c>
      <c r="B62">
        <f>IF($U62="","",IF(INDEX('Per Invoice'!B$2:B$401,$U62)="","",INDEX('Per Invoice'!B$2:B$401,$U62)))</f>
        <v/>
      </c>
      <c r="C62">
        <f>IF($U62="","",IF(INDEX('Per Invoice'!C$2:C$401,$U62)="","",INDEX('Per Invoice'!C$2:C$401,$U62)))</f>
        <v/>
      </c>
      <c r="D62">
        <f>IF($U62="","",IF(INDEX('Per Invoice'!D$2:D$401,$U62)="","",INDEX('Per Invoice'!D$2:D$401,$U62)))</f>
        <v/>
      </c>
      <c r="E62">
        <f>IF($U62="","",IF(INDEX('Per Invoice'!E$2:E$401,$U62)="","",INDEX('Per Invoice'!E$2:E$401,$U62)))</f>
        <v/>
      </c>
      <c r="F62">
        <f>IF($U62="","",IF(INDEX('Per Invoice'!F$2:F$401,$U62)="","",INDEX('Per Invoice'!F$2:F$401,$U62)))</f>
        <v/>
      </c>
      <c r="G62">
        <f>IF($U62="","",IF(INDEX('Per Invoice'!G$2:G$401,$U62)="","",INDEX('Per Invoice'!G$2:G$401,$U62)))</f>
        <v/>
      </c>
      <c r="H62" s="7">
        <f>IF($U62="","",IF(INDEX('Per Invoice'!H$2:H$401,$U62)="","",INDEX('Per Invoice'!H$2:H$401,$U62)))</f>
        <v/>
      </c>
      <c r="I62" s="14">
        <f>IF($U62="","",IF(INDEX('Per Invoice'!I$2:I$401,$U62)="","",INDEX('Per Invoice'!I$2:I$401,$U62)))</f>
        <v/>
      </c>
      <c r="J62">
        <f>IF($U62="","",IF(INDEX('Per Invoice'!J$2:J$401,$U62)="","",INDEX('Per Invoice'!J$2:J$401,$U62)))</f>
        <v/>
      </c>
      <c r="K62">
        <f>IF($U62="","",IF(INDEX('Per Invoice'!K$2:K$401,$U62)="","",INDEX('Per Invoice'!K$2:K$401,$U62)))</f>
        <v/>
      </c>
      <c r="L62" s="7">
        <f>IF($U62="","",IF(INDEX('Per Invoice'!L$2:L$401,$U62)="","",INDEX('Per Invoice'!L$2:L$401,$U62)))</f>
        <v/>
      </c>
      <c r="M62" s="7">
        <f>IF($U62="","",IF(INDEX('Per Invoice'!M$2:M$401,$U62)="","",INDEX('Per Invoice'!M$2:M$401,$U62)))</f>
        <v/>
      </c>
      <c r="N62">
        <f>IF($U62="","",IF(INDEX('Per Invoice'!N$2:N$401,$U62)="","",INDEX('Per Invoice'!N$2:N$401,$U62)))</f>
        <v/>
      </c>
      <c r="O62" s="7">
        <f>IF($U62="","",IF(INDEX('Per Invoice'!O$2:O$401,$U62)="","",INDEX('Per Invoice'!O$2:O$401,$U62)))</f>
        <v/>
      </c>
      <c r="P62" s="7">
        <f>IF($U62="","",IF(INDEX('Per Invoice'!P$2:P$401,$U62)="","",INDEX('Per Invoice'!P$2:P$401,$U62)))</f>
        <v/>
      </c>
      <c r="Q62" s="7">
        <f>IF($U62="","",IF(INDEX('Per Invoice'!Q$2:Q$401,$U62)="","",INDEX('Per Invoice'!Q$2:Q$401,$U62)))</f>
        <v/>
      </c>
      <c r="R62" s="7">
        <f>IF($U62="","",IF(INDEX('Per Invoice'!R$2:R$401,$U62)="","",INDEX('Per Invoice'!R$2:R$401,$U62)))</f>
        <v/>
      </c>
      <c r="S62" s="7">
        <f>IF($U62="","",IF(INDEX('Per Invoice'!S$2:S$401,$U62)="","",INDEX('Per Invoice'!S$2:S$401,$U62)))</f>
        <v/>
      </c>
      <c r="T62" s="7">
        <f>IF($U62="","",IF(INDEX('Per Invoice'!T$2:T$401,$U62)="","",INDEX('Per Invoice'!T$2:T$401,$U62)))</f>
        <v/>
      </c>
      <c r="U62" s="16">
        <f>IFERROR(MATCH(Settings!$C$29&amp;"|"&amp;ROWS($U$2:$U62),'Per Invoice'!$V$2:$V$401,0),"")</f>
        <v/>
      </c>
    </row>
    <row r="63">
      <c r="A63">
        <f>IF($U63="","",IF(INDEX('Per Invoice'!A$2:A$401,$U63)="","",INDEX('Per Invoice'!A$2:A$401,$U63)))</f>
        <v/>
      </c>
      <c r="B63">
        <f>IF($U63="","",IF(INDEX('Per Invoice'!B$2:B$401,$U63)="","",INDEX('Per Invoice'!B$2:B$401,$U63)))</f>
        <v/>
      </c>
      <c r="C63">
        <f>IF($U63="","",IF(INDEX('Per Invoice'!C$2:C$401,$U63)="","",INDEX('Per Invoice'!C$2:C$401,$U63)))</f>
        <v/>
      </c>
      <c r="D63">
        <f>IF($U63="","",IF(INDEX('Per Invoice'!D$2:D$401,$U63)="","",INDEX('Per Invoice'!D$2:D$401,$U63)))</f>
        <v/>
      </c>
      <c r="E63">
        <f>IF($U63="","",IF(INDEX('Per Invoice'!E$2:E$401,$U63)="","",INDEX('Per Invoice'!E$2:E$401,$U63)))</f>
        <v/>
      </c>
      <c r="F63">
        <f>IF($U63="","",IF(INDEX('Per Invoice'!F$2:F$401,$U63)="","",INDEX('Per Invoice'!F$2:F$401,$U63)))</f>
        <v/>
      </c>
      <c r="G63">
        <f>IF($U63="","",IF(INDEX('Per Invoice'!G$2:G$401,$U63)="","",INDEX('Per Invoice'!G$2:G$401,$U63)))</f>
        <v/>
      </c>
      <c r="H63" s="7">
        <f>IF($U63="","",IF(INDEX('Per Invoice'!H$2:H$401,$U63)="","",INDEX('Per Invoice'!H$2:H$401,$U63)))</f>
        <v/>
      </c>
      <c r="I63" s="14">
        <f>IF($U63="","",IF(INDEX('Per Invoice'!I$2:I$401,$U63)="","",INDEX('Per Invoice'!I$2:I$401,$U63)))</f>
        <v/>
      </c>
      <c r="J63">
        <f>IF($U63="","",IF(INDEX('Per Invoice'!J$2:J$401,$U63)="","",INDEX('Per Invoice'!J$2:J$401,$U63)))</f>
        <v/>
      </c>
      <c r="K63">
        <f>IF($U63="","",IF(INDEX('Per Invoice'!K$2:K$401,$U63)="","",INDEX('Per Invoice'!K$2:K$401,$U63)))</f>
        <v/>
      </c>
      <c r="L63" s="7">
        <f>IF($U63="","",IF(INDEX('Per Invoice'!L$2:L$401,$U63)="","",INDEX('Per Invoice'!L$2:L$401,$U63)))</f>
        <v/>
      </c>
      <c r="M63" s="7">
        <f>IF($U63="","",IF(INDEX('Per Invoice'!M$2:M$401,$U63)="","",INDEX('Per Invoice'!M$2:M$401,$U63)))</f>
        <v/>
      </c>
      <c r="N63">
        <f>IF($U63="","",IF(INDEX('Per Invoice'!N$2:N$401,$U63)="","",INDEX('Per Invoice'!N$2:N$401,$U63)))</f>
        <v/>
      </c>
      <c r="O63" s="7">
        <f>IF($U63="","",IF(INDEX('Per Invoice'!O$2:O$401,$U63)="","",INDEX('Per Invoice'!O$2:O$401,$U63)))</f>
        <v/>
      </c>
      <c r="P63" s="7">
        <f>IF($U63="","",IF(INDEX('Per Invoice'!P$2:P$401,$U63)="","",INDEX('Per Invoice'!P$2:P$401,$U63)))</f>
        <v/>
      </c>
      <c r="Q63" s="7">
        <f>IF($U63="","",IF(INDEX('Per Invoice'!Q$2:Q$401,$U63)="","",INDEX('Per Invoice'!Q$2:Q$401,$U63)))</f>
        <v/>
      </c>
      <c r="R63" s="7">
        <f>IF($U63="","",IF(INDEX('Per Invoice'!R$2:R$401,$U63)="","",INDEX('Per Invoice'!R$2:R$401,$U63)))</f>
        <v/>
      </c>
      <c r="S63" s="7">
        <f>IF($U63="","",IF(INDEX('Per Invoice'!S$2:S$401,$U63)="","",INDEX('Per Invoice'!S$2:S$401,$U63)))</f>
        <v/>
      </c>
      <c r="T63" s="7">
        <f>IF($U63="","",IF(INDEX('Per Invoice'!T$2:T$401,$U63)="","",INDEX('Per Invoice'!T$2:T$401,$U63)))</f>
        <v/>
      </c>
      <c r="U63" s="16">
        <f>IFERROR(MATCH(Settings!$C$29&amp;"|"&amp;ROWS($U$2:$U63),'Per Invoice'!$V$2:$V$401,0),"")</f>
        <v/>
      </c>
    </row>
    <row r="64">
      <c r="A64">
        <f>IF($U64="","",IF(INDEX('Per Invoice'!A$2:A$401,$U64)="","",INDEX('Per Invoice'!A$2:A$401,$U64)))</f>
        <v/>
      </c>
      <c r="B64">
        <f>IF($U64="","",IF(INDEX('Per Invoice'!B$2:B$401,$U64)="","",INDEX('Per Invoice'!B$2:B$401,$U64)))</f>
        <v/>
      </c>
      <c r="C64">
        <f>IF($U64="","",IF(INDEX('Per Invoice'!C$2:C$401,$U64)="","",INDEX('Per Invoice'!C$2:C$401,$U64)))</f>
        <v/>
      </c>
      <c r="D64">
        <f>IF($U64="","",IF(INDEX('Per Invoice'!D$2:D$401,$U64)="","",INDEX('Per Invoice'!D$2:D$401,$U64)))</f>
        <v/>
      </c>
      <c r="E64">
        <f>IF($U64="","",IF(INDEX('Per Invoice'!E$2:E$401,$U64)="","",INDEX('Per Invoice'!E$2:E$401,$U64)))</f>
        <v/>
      </c>
      <c r="F64">
        <f>IF($U64="","",IF(INDEX('Per Invoice'!F$2:F$401,$U64)="","",INDEX('Per Invoice'!F$2:F$401,$U64)))</f>
        <v/>
      </c>
      <c r="G64">
        <f>IF($U64="","",IF(INDEX('Per Invoice'!G$2:G$401,$U64)="","",INDEX('Per Invoice'!G$2:G$401,$U64)))</f>
        <v/>
      </c>
      <c r="H64" s="7">
        <f>IF($U64="","",IF(INDEX('Per Invoice'!H$2:H$401,$U64)="","",INDEX('Per Invoice'!H$2:H$401,$U64)))</f>
        <v/>
      </c>
      <c r="I64" s="14">
        <f>IF($U64="","",IF(INDEX('Per Invoice'!I$2:I$401,$U64)="","",INDEX('Per Invoice'!I$2:I$401,$U64)))</f>
        <v/>
      </c>
      <c r="J64">
        <f>IF($U64="","",IF(INDEX('Per Invoice'!J$2:J$401,$U64)="","",INDEX('Per Invoice'!J$2:J$401,$U64)))</f>
        <v/>
      </c>
      <c r="K64">
        <f>IF($U64="","",IF(INDEX('Per Invoice'!K$2:K$401,$U64)="","",INDEX('Per Invoice'!K$2:K$401,$U64)))</f>
        <v/>
      </c>
      <c r="L64" s="7">
        <f>IF($U64="","",IF(INDEX('Per Invoice'!L$2:L$401,$U64)="","",INDEX('Per Invoice'!L$2:L$401,$U64)))</f>
        <v/>
      </c>
      <c r="M64" s="7">
        <f>IF($U64="","",IF(INDEX('Per Invoice'!M$2:M$401,$U64)="","",INDEX('Per Invoice'!M$2:M$401,$U64)))</f>
        <v/>
      </c>
      <c r="N64">
        <f>IF($U64="","",IF(INDEX('Per Invoice'!N$2:N$401,$U64)="","",INDEX('Per Invoice'!N$2:N$401,$U64)))</f>
        <v/>
      </c>
      <c r="O64" s="7">
        <f>IF($U64="","",IF(INDEX('Per Invoice'!O$2:O$401,$U64)="","",INDEX('Per Invoice'!O$2:O$401,$U64)))</f>
        <v/>
      </c>
      <c r="P64" s="7">
        <f>IF($U64="","",IF(INDEX('Per Invoice'!P$2:P$401,$U64)="","",INDEX('Per Invoice'!P$2:P$401,$U64)))</f>
        <v/>
      </c>
      <c r="Q64" s="7">
        <f>IF($U64="","",IF(INDEX('Per Invoice'!Q$2:Q$401,$U64)="","",INDEX('Per Invoice'!Q$2:Q$401,$U64)))</f>
        <v/>
      </c>
      <c r="R64" s="7">
        <f>IF($U64="","",IF(INDEX('Per Invoice'!R$2:R$401,$U64)="","",INDEX('Per Invoice'!R$2:R$401,$U64)))</f>
        <v/>
      </c>
      <c r="S64" s="7">
        <f>IF($U64="","",IF(INDEX('Per Invoice'!S$2:S$401,$U64)="","",INDEX('Per Invoice'!S$2:S$401,$U64)))</f>
        <v/>
      </c>
      <c r="T64" s="7">
        <f>IF($U64="","",IF(INDEX('Per Invoice'!T$2:T$401,$U64)="","",INDEX('Per Invoice'!T$2:T$401,$U64)))</f>
        <v/>
      </c>
      <c r="U64" s="16">
        <f>IFERROR(MATCH(Settings!$C$29&amp;"|"&amp;ROWS($U$2:$U64),'Per Invoice'!$V$2:$V$401,0),"")</f>
        <v/>
      </c>
    </row>
    <row r="65">
      <c r="A65">
        <f>IF($U65="","",IF(INDEX('Per Invoice'!A$2:A$401,$U65)="","",INDEX('Per Invoice'!A$2:A$401,$U65)))</f>
        <v/>
      </c>
      <c r="B65">
        <f>IF($U65="","",IF(INDEX('Per Invoice'!B$2:B$401,$U65)="","",INDEX('Per Invoice'!B$2:B$401,$U65)))</f>
        <v/>
      </c>
      <c r="C65">
        <f>IF($U65="","",IF(INDEX('Per Invoice'!C$2:C$401,$U65)="","",INDEX('Per Invoice'!C$2:C$401,$U65)))</f>
        <v/>
      </c>
      <c r="D65">
        <f>IF($U65="","",IF(INDEX('Per Invoice'!D$2:D$401,$U65)="","",INDEX('Per Invoice'!D$2:D$401,$U65)))</f>
        <v/>
      </c>
      <c r="E65">
        <f>IF($U65="","",IF(INDEX('Per Invoice'!E$2:E$401,$U65)="","",INDEX('Per Invoice'!E$2:E$401,$U65)))</f>
        <v/>
      </c>
      <c r="F65">
        <f>IF($U65="","",IF(INDEX('Per Invoice'!F$2:F$401,$U65)="","",INDEX('Per Invoice'!F$2:F$401,$U65)))</f>
        <v/>
      </c>
      <c r="G65">
        <f>IF($U65="","",IF(INDEX('Per Invoice'!G$2:G$401,$U65)="","",INDEX('Per Invoice'!G$2:G$401,$U65)))</f>
        <v/>
      </c>
      <c r="H65" s="7">
        <f>IF($U65="","",IF(INDEX('Per Invoice'!H$2:H$401,$U65)="","",INDEX('Per Invoice'!H$2:H$401,$U65)))</f>
        <v/>
      </c>
      <c r="I65" s="14">
        <f>IF($U65="","",IF(INDEX('Per Invoice'!I$2:I$401,$U65)="","",INDEX('Per Invoice'!I$2:I$401,$U65)))</f>
        <v/>
      </c>
      <c r="J65">
        <f>IF($U65="","",IF(INDEX('Per Invoice'!J$2:J$401,$U65)="","",INDEX('Per Invoice'!J$2:J$401,$U65)))</f>
        <v/>
      </c>
      <c r="K65">
        <f>IF($U65="","",IF(INDEX('Per Invoice'!K$2:K$401,$U65)="","",INDEX('Per Invoice'!K$2:K$401,$U65)))</f>
        <v/>
      </c>
      <c r="L65" s="7">
        <f>IF($U65="","",IF(INDEX('Per Invoice'!L$2:L$401,$U65)="","",INDEX('Per Invoice'!L$2:L$401,$U65)))</f>
        <v/>
      </c>
      <c r="M65" s="7">
        <f>IF($U65="","",IF(INDEX('Per Invoice'!M$2:M$401,$U65)="","",INDEX('Per Invoice'!M$2:M$401,$U65)))</f>
        <v/>
      </c>
      <c r="N65">
        <f>IF($U65="","",IF(INDEX('Per Invoice'!N$2:N$401,$U65)="","",INDEX('Per Invoice'!N$2:N$401,$U65)))</f>
        <v/>
      </c>
      <c r="O65" s="7">
        <f>IF($U65="","",IF(INDEX('Per Invoice'!O$2:O$401,$U65)="","",INDEX('Per Invoice'!O$2:O$401,$U65)))</f>
        <v/>
      </c>
      <c r="P65" s="7">
        <f>IF($U65="","",IF(INDEX('Per Invoice'!P$2:P$401,$U65)="","",INDEX('Per Invoice'!P$2:P$401,$U65)))</f>
        <v/>
      </c>
      <c r="Q65" s="7">
        <f>IF($U65="","",IF(INDEX('Per Invoice'!Q$2:Q$401,$U65)="","",INDEX('Per Invoice'!Q$2:Q$401,$U65)))</f>
        <v/>
      </c>
      <c r="R65" s="7">
        <f>IF($U65="","",IF(INDEX('Per Invoice'!R$2:R$401,$U65)="","",INDEX('Per Invoice'!R$2:R$401,$U65)))</f>
        <v/>
      </c>
      <c r="S65" s="7">
        <f>IF($U65="","",IF(INDEX('Per Invoice'!S$2:S$401,$U65)="","",INDEX('Per Invoice'!S$2:S$401,$U65)))</f>
        <v/>
      </c>
      <c r="T65" s="7">
        <f>IF($U65="","",IF(INDEX('Per Invoice'!T$2:T$401,$U65)="","",INDEX('Per Invoice'!T$2:T$401,$U65)))</f>
        <v/>
      </c>
      <c r="U65" s="16">
        <f>IFERROR(MATCH(Settings!$C$29&amp;"|"&amp;ROWS($U$2:$U65),'Per Invoice'!$V$2:$V$401,0),"")</f>
        <v/>
      </c>
    </row>
    <row r="66">
      <c r="A66">
        <f>IF($U66="","",IF(INDEX('Per Invoice'!A$2:A$401,$U66)="","",INDEX('Per Invoice'!A$2:A$401,$U66)))</f>
        <v/>
      </c>
      <c r="B66">
        <f>IF($U66="","",IF(INDEX('Per Invoice'!B$2:B$401,$U66)="","",INDEX('Per Invoice'!B$2:B$401,$U66)))</f>
        <v/>
      </c>
      <c r="C66">
        <f>IF($U66="","",IF(INDEX('Per Invoice'!C$2:C$401,$U66)="","",INDEX('Per Invoice'!C$2:C$401,$U66)))</f>
        <v/>
      </c>
      <c r="D66">
        <f>IF($U66="","",IF(INDEX('Per Invoice'!D$2:D$401,$U66)="","",INDEX('Per Invoice'!D$2:D$401,$U66)))</f>
        <v/>
      </c>
      <c r="E66">
        <f>IF($U66="","",IF(INDEX('Per Invoice'!E$2:E$401,$U66)="","",INDEX('Per Invoice'!E$2:E$401,$U66)))</f>
        <v/>
      </c>
      <c r="F66">
        <f>IF($U66="","",IF(INDEX('Per Invoice'!F$2:F$401,$U66)="","",INDEX('Per Invoice'!F$2:F$401,$U66)))</f>
        <v/>
      </c>
      <c r="G66">
        <f>IF($U66="","",IF(INDEX('Per Invoice'!G$2:G$401,$U66)="","",INDEX('Per Invoice'!G$2:G$401,$U66)))</f>
        <v/>
      </c>
      <c r="H66" s="7">
        <f>IF($U66="","",IF(INDEX('Per Invoice'!H$2:H$401,$U66)="","",INDEX('Per Invoice'!H$2:H$401,$U66)))</f>
        <v/>
      </c>
      <c r="I66" s="14">
        <f>IF($U66="","",IF(INDEX('Per Invoice'!I$2:I$401,$U66)="","",INDEX('Per Invoice'!I$2:I$401,$U66)))</f>
        <v/>
      </c>
      <c r="J66">
        <f>IF($U66="","",IF(INDEX('Per Invoice'!J$2:J$401,$U66)="","",INDEX('Per Invoice'!J$2:J$401,$U66)))</f>
        <v/>
      </c>
      <c r="K66">
        <f>IF($U66="","",IF(INDEX('Per Invoice'!K$2:K$401,$U66)="","",INDEX('Per Invoice'!K$2:K$401,$U66)))</f>
        <v/>
      </c>
      <c r="L66" s="7">
        <f>IF($U66="","",IF(INDEX('Per Invoice'!L$2:L$401,$U66)="","",INDEX('Per Invoice'!L$2:L$401,$U66)))</f>
        <v/>
      </c>
      <c r="M66" s="7">
        <f>IF($U66="","",IF(INDEX('Per Invoice'!M$2:M$401,$U66)="","",INDEX('Per Invoice'!M$2:M$401,$U66)))</f>
        <v/>
      </c>
      <c r="N66">
        <f>IF($U66="","",IF(INDEX('Per Invoice'!N$2:N$401,$U66)="","",INDEX('Per Invoice'!N$2:N$401,$U66)))</f>
        <v/>
      </c>
      <c r="O66" s="7">
        <f>IF($U66="","",IF(INDEX('Per Invoice'!O$2:O$401,$U66)="","",INDEX('Per Invoice'!O$2:O$401,$U66)))</f>
        <v/>
      </c>
      <c r="P66" s="7">
        <f>IF($U66="","",IF(INDEX('Per Invoice'!P$2:P$401,$U66)="","",INDEX('Per Invoice'!P$2:P$401,$U66)))</f>
        <v/>
      </c>
      <c r="Q66" s="7">
        <f>IF($U66="","",IF(INDEX('Per Invoice'!Q$2:Q$401,$U66)="","",INDEX('Per Invoice'!Q$2:Q$401,$U66)))</f>
        <v/>
      </c>
      <c r="R66" s="7">
        <f>IF($U66="","",IF(INDEX('Per Invoice'!R$2:R$401,$U66)="","",INDEX('Per Invoice'!R$2:R$401,$U66)))</f>
        <v/>
      </c>
      <c r="S66" s="7">
        <f>IF($U66="","",IF(INDEX('Per Invoice'!S$2:S$401,$U66)="","",INDEX('Per Invoice'!S$2:S$401,$U66)))</f>
        <v/>
      </c>
      <c r="T66" s="7">
        <f>IF($U66="","",IF(INDEX('Per Invoice'!T$2:T$401,$U66)="","",INDEX('Per Invoice'!T$2:T$401,$U66)))</f>
        <v/>
      </c>
      <c r="U66" s="16">
        <f>IFERROR(MATCH(Settings!$C$29&amp;"|"&amp;ROWS($U$2:$U66),'Per Invoice'!$V$2:$V$401,0),"")</f>
        <v/>
      </c>
    </row>
    <row r="67">
      <c r="A67">
        <f>IF($U67="","",IF(INDEX('Per Invoice'!A$2:A$401,$U67)="","",INDEX('Per Invoice'!A$2:A$401,$U67)))</f>
        <v/>
      </c>
      <c r="B67">
        <f>IF($U67="","",IF(INDEX('Per Invoice'!B$2:B$401,$U67)="","",INDEX('Per Invoice'!B$2:B$401,$U67)))</f>
        <v/>
      </c>
      <c r="C67">
        <f>IF($U67="","",IF(INDEX('Per Invoice'!C$2:C$401,$U67)="","",INDEX('Per Invoice'!C$2:C$401,$U67)))</f>
        <v/>
      </c>
      <c r="D67">
        <f>IF($U67="","",IF(INDEX('Per Invoice'!D$2:D$401,$U67)="","",INDEX('Per Invoice'!D$2:D$401,$U67)))</f>
        <v/>
      </c>
      <c r="E67">
        <f>IF($U67="","",IF(INDEX('Per Invoice'!E$2:E$401,$U67)="","",INDEX('Per Invoice'!E$2:E$401,$U67)))</f>
        <v/>
      </c>
      <c r="F67">
        <f>IF($U67="","",IF(INDEX('Per Invoice'!F$2:F$401,$U67)="","",INDEX('Per Invoice'!F$2:F$401,$U67)))</f>
        <v/>
      </c>
      <c r="G67">
        <f>IF($U67="","",IF(INDEX('Per Invoice'!G$2:G$401,$U67)="","",INDEX('Per Invoice'!G$2:G$401,$U67)))</f>
        <v/>
      </c>
      <c r="H67" s="7">
        <f>IF($U67="","",IF(INDEX('Per Invoice'!H$2:H$401,$U67)="","",INDEX('Per Invoice'!H$2:H$401,$U67)))</f>
        <v/>
      </c>
      <c r="I67" s="14">
        <f>IF($U67="","",IF(INDEX('Per Invoice'!I$2:I$401,$U67)="","",INDEX('Per Invoice'!I$2:I$401,$U67)))</f>
        <v/>
      </c>
      <c r="J67">
        <f>IF($U67="","",IF(INDEX('Per Invoice'!J$2:J$401,$U67)="","",INDEX('Per Invoice'!J$2:J$401,$U67)))</f>
        <v/>
      </c>
      <c r="K67">
        <f>IF($U67="","",IF(INDEX('Per Invoice'!K$2:K$401,$U67)="","",INDEX('Per Invoice'!K$2:K$401,$U67)))</f>
        <v/>
      </c>
      <c r="L67" s="7">
        <f>IF($U67="","",IF(INDEX('Per Invoice'!L$2:L$401,$U67)="","",INDEX('Per Invoice'!L$2:L$401,$U67)))</f>
        <v/>
      </c>
      <c r="M67" s="7">
        <f>IF($U67="","",IF(INDEX('Per Invoice'!M$2:M$401,$U67)="","",INDEX('Per Invoice'!M$2:M$401,$U67)))</f>
        <v/>
      </c>
      <c r="N67">
        <f>IF($U67="","",IF(INDEX('Per Invoice'!N$2:N$401,$U67)="","",INDEX('Per Invoice'!N$2:N$401,$U67)))</f>
        <v/>
      </c>
      <c r="O67" s="7">
        <f>IF($U67="","",IF(INDEX('Per Invoice'!O$2:O$401,$U67)="","",INDEX('Per Invoice'!O$2:O$401,$U67)))</f>
        <v/>
      </c>
      <c r="P67" s="7">
        <f>IF($U67="","",IF(INDEX('Per Invoice'!P$2:P$401,$U67)="","",INDEX('Per Invoice'!P$2:P$401,$U67)))</f>
        <v/>
      </c>
      <c r="Q67" s="7">
        <f>IF($U67="","",IF(INDEX('Per Invoice'!Q$2:Q$401,$U67)="","",INDEX('Per Invoice'!Q$2:Q$401,$U67)))</f>
        <v/>
      </c>
      <c r="R67" s="7">
        <f>IF($U67="","",IF(INDEX('Per Invoice'!R$2:R$401,$U67)="","",INDEX('Per Invoice'!R$2:R$401,$U67)))</f>
        <v/>
      </c>
      <c r="S67" s="7">
        <f>IF($U67="","",IF(INDEX('Per Invoice'!S$2:S$401,$U67)="","",INDEX('Per Invoice'!S$2:S$401,$U67)))</f>
        <v/>
      </c>
      <c r="T67" s="7">
        <f>IF($U67="","",IF(INDEX('Per Invoice'!T$2:T$401,$U67)="","",INDEX('Per Invoice'!T$2:T$401,$U67)))</f>
        <v/>
      </c>
      <c r="U67" s="16">
        <f>IFERROR(MATCH(Settings!$C$29&amp;"|"&amp;ROWS($U$2:$U67),'Per Invoice'!$V$2:$V$401,0),"")</f>
        <v/>
      </c>
    </row>
    <row r="68">
      <c r="A68">
        <f>IF($U68="","",IF(INDEX('Per Invoice'!A$2:A$401,$U68)="","",INDEX('Per Invoice'!A$2:A$401,$U68)))</f>
        <v/>
      </c>
      <c r="B68">
        <f>IF($U68="","",IF(INDEX('Per Invoice'!B$2:B$401,$U68)="","",INDEX('Per Invoice'!B$2:B$401,$U68)))</f>
        <v/>
      </c>
      <c r="C68">
        <f>IF($U68="","",IF(INDEX('Per Invoice'!C$2:C$401,$U68)="","",INDEX('Per Invoice'!C$2:C$401,$U68)))</f>
        <v/>
      </c>
      <c r="D68">
        <f>IF($U68="","",IF(INDEX('Per Invoice'!D$2:D$401,$U68)="","",INDEX('Per Invoice'!D$2:D$401,$U68)))</f>
        <v/>
      </c>
      <c r="E68">
        <f>IF($U68="","",IF(INDEX('Per Invoice'!E$2:E$401,$U68)="","",INDEX('Per Invoice'!E$2:E$401,$U68)))</f>
        <v/>
      </c>
      <c r="F68">
        <f>IF($U68="","",IF(INDEX('Per Invoice'!F$2:F$401,$U68)="","",INDEX('Per Invoice'!F$2:F$401,$U68)))</f>
        <v/>
      </c>
      <c r="G68">
        <f>IF($U68="","",IF(INDEX('Per Invoice'!G$2:G$401,$U68)="","",INDEX('Per Invoice'!G$2:G$401,$U68)))</f>
        <v/>
      </c>
      <c r="H68" s="7">
        <f>IF($U68="","",IF(INDEX('Per Invoice'!H$2:H$401,$U68)="","",INDEX('Per Invoice'!H$2:H$401,$U68)))</f>
        <v/>
      </c>
      <c r="I68" s="14">
        <f>IF($U68="","",IF(INDEX('Per Invoice'!I$2:I$401,$U68)="","",INDEX('Per Invoice'!I$2:I$401,$U68)))</f>
        <v/>
      </c>
      <c r="J68">
        <f>IF($U68="","",IF(INDEX('Per Invoice'!J$2:J$401,$U68)="","",INDEX('Per Invoice'!J$2:J$401,$U68)))</f>
        <v/>
      </c>
      <c r="K68">
        <f>IF($U68="","",IF(INDEX('Per Invoice'!K$2:K$401,$U68)="","",INDEX('Per Invoice'!K$2:K$401,$U68)))</f>
        <v/>
      </c>
      <c r="L68" s="7">
        <f>IF($U68="","",IF(INDEX('Per Invoice'!L$2:L$401,$U68)="","",INDEX('Per Invoice'!L$2:L$401,$U68)))</f>
        <v/>
      </c>
      <c r="M68" s="7">
        <f>IF($U68="","",IF(INDEX('Per Invoice'!M$2:M$401,$U68)="","",INDEX('Per Invoice'!M$2:M$401,$U68)))</f>
        <v/>
      </c>
      <c r="N68">
        <f>IF($U68="","",IF(INDEX('Per Invoice'!N$2:N$401,$U68)="","",INDEX('Per Invoice'!N$2:N$401,$U68)))</f>
        <v/>
      </c>
      <c r="O68" s="7">
        <f>IF($U68="","",IF(INDEX('Per Invoice'!O$2:O$401,$U68)="","",INDEX('Per Invoice'!O$2:O$401,$U68)))</f>
        <v/>
      </c>
      <c r="P68" s="7">
        <f>IF($U68="","",IF(INDEX('Per Invoice'!P$2:P$401,$U68)="","",INDEX('Per Invoice'!P$2:P$401,$U68)))</f>
        <v/>
      </c>
      <c r="Q68" s="7">
        <f>IF($U68="","",IF(INDEX('Per Invoice'!Q$2:Q$401,$U68)="","",INDEX('Per Invoice'!Q$2:Q$401,$U68)))</f>
        <v/>
      </c>
      <c r="R68" s="7">
        <f>IF($U68="","",IF(INDEX('Per Invoice'!R$2:R$401,$U68)="","",INDEX('Per Invoice'!R$2:R$401,$U68)))</f>
        <v/>
      </c>
      <c r="S68" s="7">
        <f>IF($U68="","",IF(INDEX('Per Invoice'!S$2:S$401,$U68)="","",INDEX('Per Invoice'!S$2:S$401,$U68)))</f>
        <v/>
      </c>
      <c r="T68" s="7">
        <f>IF($U68="","",IF(INDEX('Per Invoice'!T$2:T$401,$U68)="","",INDEX('Per Invoice'!T$2:T$401,$U68)))</f>
        <v/>
      </c>
      <c r="U68" s="16">
        <f>IFERROR(MATCH(Settings!$C$29&amp;"|"&amp;ROWS($U$2:$U68),'Per Invoice'!$V$2:$V$401,0),"")</f>
        <v/>
      </c>
    </row>
    <row r="69">
      <c r="A69">
        <f>IF($U69="","",IF(INDEX('Per Invoice'!A$2:A$401,$U69)="","",INDEX('Per Invoice'!A$2:A$401,$U69)))</f>
        <v/>
      </c>
      <c r="B69">
        <f>IF($U69="","",IF(INDEX('Per Invoice'!B$2:B$401,$U69)="","",INDEX('Per Invoice'!B$2:B$401,$U69)))</f>
        <v/>
      </c>
      <c r="C69">
        <f>IF($U69="","",IF(INDEX('Per Invoice'!C$2:C$401,$U69)="","",INDEX('Per Invoice'!C$2:C$401,$U69)))</f>
        <v/>
      </c>
      <c r="D69">
        <f>IF($U69="","",IF(INDEX('Per Invoice'!D$2:D$401,$U69)="","",INDEX('Per Invoice'!D$2:D$401,$U69)))</f>
        <v/>
      </c>
      <c r="E69">
        <f>IF($U69="","",IF(INDEX('Per Invoice'!E$2:E$401,$U69)="","",INDEX('Per Invoice'!E$2:E$401,$U69)))</f>
        <v/>
      </c>
      <c r="F69">
        <f>IF($U69="","",IF(INDEX('Per Invoice'!F$2:F$401,$U69)="","",INDEX('Per Invoice'!F$2:F$401,$U69)))</f>
        <v/>
      </c>
      <c r="G69">
        <f>IF($U69="","",IF(INDEX('Per Invoice'!G$2:G$401,$U69)="","",INDEX('Per Invoice'!G$2:G$401,$U69)))</f>
        <v/>
      </c>
      <c r="H69" s="7">
        <f>IF($U69="","",IF(INDEX('Per Invoice'!H$2:H$401,$U69)="","",INDEX('Per Invoice'!H$2:H$401,$U69)))</f>
        <v/>
      </c>
      <c r="I69" s="14">
        <f>IF($U69="","",IF(INDEX('Per Invoice'!I$2:I$401,$U69)="","",INDEX('Per Invoice'!I$2:I$401,$U69)))</f>
        <v/>
      </c>
      <c r="J69">
        <f>IF($U69="","",IF(INDEX('Per Invoice'!J$2:J$401,$U69)="","",INDEX('Per Invoice'!J$2:J$401,$U69)))</f>
        <v/>
      </c>
      <c r="K69">
        <f>IF($U69="","",IF(INDEX('Per Invoice'!K$2:K$401,$U69)="","",INDEX('Per Invoice'!K$2:K$401,$U69)))</f>
        <v/>
      </c>
      <c r="L69" s="7">
        <f>IF($U69="","",IF(INDEX('Per Invoice'!L$2:L$401,$U69)="","",INDEX('Per Invoice'!L$2:L$401,$U69)))</f>
        <v/>
      </c>
      <c r="M69" s="7">
        <f>IF($U69="","",IF(INDEX('Per Invoice'!M$2:M$401,$U69)="","",INDEX('Per Invoice'!M$2:M$401,$U69)))</f>
        <v/>
      </c>
      <c r="N69">
        <f>IF($U69="","",IF(INDEX('Per Invoice'!N$2:N$401,$U69)="","",INDEX('Per Invoice'!N$2:N$401,$U69)))</f>
        <v/>
      </c>
      <c r="O69" s="7">
        <f>IF($U69="","",IF(INDEX('Per Invoice'!O$2:O$401,$U69)="","",INDEX('Per Invoice'!O$2:O$401,$U69)))</f>
        <v/>
      </c>
      <c r="P69" s="7">
        <f>IF($U69="","",IF(INDEX('Per Invoice'!P$2:P$401,$U69)="","",INDEX('Per Invoice'!P$2:P$401,$U69)))</f>
        <v/>
      </c>
      <c r="Q69" s="7">
        <f>IF($U69="","",IF(INDEX('Per Invoice'!Q$2:Q$401,$U69)="","",INDEX('Per Invoice'!Q$2:Q$401,$U69)))</f>
        <v/>
      </c>
      <c r="R69" s="7">
        <f>IF($U69="","",IF(INDEX('Per Invoice'!R$2:R$401,$U69)="","",INDEX('Per Invoice'!R$2:R$401,$U69)))</f>
        <v/>
      </c>
      <c r="S69" s="7">
        <f>IF($U69="","",IF(INDEX('Per Invoice'!S$2:S$401,$U69)="","",INDEX('Per Invoice'!S$2:S$401,$U69)))</f>
        <v/>
      </c>
      <c r="T69" s="7">
        <f>IF($U69="","",IF(INDEX('Per Invoice'!T$2:T$401,$U69)="","",INDEX('Per Invoice'!T$2:T$401,$U69)))</f>
        <v/>
      </c>
      <c r="U69" s="16">
        <f>IFERROR(MATCH(Settings!$C$29&amp;"|"&amp;ROWS($U$2:$U69),'Per Invoice'!$V$2:$V$401,0),"")</f>
        <v/>
      </c>
    </row>
    <row r="70">
      <c r="A70">
        <f>IF($U70="","",IF(INDEX('Per Invoice'!A$2:A$401,$U70)="","",INDEX('Per Invoice'!A$2:A$401,$U70)))</f>
        <v/>
      </c>
      <c r="B70">
        <f>IF($U70="","",IF(INDEX('Per Invoice'!B$2:B$401,$U70)="","",INDEX('Per Invoice'!B$2:B$401,$U70)))</f>
        <v/>
      </c>
      <c r="C70">
        <f>IF($U70="","",IF(INDEX('Per Invoice'!C$2:C$401,$U70)="","",INDEX('Per Invoice'!C$2:C$401,$U70)))</f>
        <v/>
      </c>
      <c r="D70">
        <f>IF($U70="","",IF(INDEX('Per Invoice'!D$2:D$401,$U70)="","",INDEX('Per Invoice'!D$2:D$401,$U70)))</f>
        <v/>
      </c>
      <c r="E70">
        <f>IF($U70="","",IF(INDEX('Per Invoice'!E$2:E$401,$U70)="","",INDEX('Per Invoice'!E$2:E$401,$U70)))</f>
        <v/>
      </c>
      <c r="F70">
        <f>IF($U70="","",IF(INDEX('Per Invoice'!F$2:F$401,$U70)="","",INDEX('Per Invoice'!F$2:F$401,$U70)))</f>
        <v/>
      </c>
      <c r="G70">
        <f>IF($U70="","",IF(INDEX('Per Invoice'!G$2:G$401,$U70)="","",INDEX('Per Invoice'!G$2:G$401,$U70)))</f>
        <v/>
      </c>
      <c r="H70" s="7">
        <f>IF($U70="","",IF(INDEX('Per Invoice'!H$2:H$401,$U70)="","",INDEX('Per Invoice'!H$2:H$401,$U70)))</f>
        <v/>
      </c>
      <c r="I70" s="14">
        <f>IF($U70="","",IF(INDEX('Per Invoice'!I$2:I$401,$U70)="","",INDEX('Per Invoice'!I$2:I$401,$U70)))</f>
        <v/>
      </c>
      <c r="J70">
        <f>IF($U70="","",IF(INDEX('Per Invoice'!J$2:J$401,$U70)="","",INDEX('Per Invoice'!J$2:J$401,$U70)))</f>
        <v/>
      </c>
      <c r="K70">
        <f>IF($U70="","",IF(INDEX('Per Invoice'!K$2:K$401,$U70)="","",INDEX('Per Invoice'!K$2:K$401,$U70)))</f>
        <v/>
      </c>
      <c r="L70" s="7">
        <f>IF($U70="","",IF(INDEX('Per Invoice'!L$2:L$401,$U70)="","",INDEX('Per Invoice'!L$2:L$401,$U70)))</f>
        <v/>
      </c>
      <c r="M70" s="7">
        <f>IF($U70="","",IF(INDEX('Per Invoice'!M$2:M$401,$U70)="","",INDEX('Per Invoice'!M$2:M$401,$U70)))</f>
        <v/>
      </c>
      <c r="N70">
        <f>IF($U70="","",IF(INDEX('Per Invoice'!N$2:N$401,$U70)="","",INDEX('Per Invoice'!N$2:N$401,$U70)))</f>
        <v/>
      </c>
      <c r="O70" s="7">
        <f>IF($U70="","",IF(INDEX('Per Invoice'!O$2:O$401,$U70)="","",INDEX('Per Invoice'!O$2:O$401,$U70)))</f>
        <v/>
      </c>
      <c r="P70" s="7">
        <f>IF($U70="","",IF(INDEX('Per Invoice'!P$2:P$401,$U70)="","",INDEX('Per Invoice'!P$2:P$401,$U70)))</f>
        <v/>
      </c>
      <c r="Q70" s="7">
        <f>IF($U70="","",IF(INDEX('Per Invoice'!Q$2:Q$401,$U70)="","",INDEX('Per Invoice'!Q$2:Q$401,$U70)))</f>
        <v/>
      </c>
      <c r="R70" s="7">
        <f>IF($U70="","",IF(INDEX('Per Invoice'!R$2:R$401,$U70)="","",INDEX('Per Invoice'!R$2:R$401,$U70)))</f>
        <v/>
      </c>
      <c r="S70" s="7">
        <f>IF($U70="","",IF(INDEX('Per Invoice'!S$2:S$401,$U70)="","",INDEX('Per Invoice'!S$2:S$401,$U70)))</f>
        <v/>
      </c>
      <c r="T70" s="7">
        <f>IF($U70="","",IF(INDEX('Per Invoice'!T$2:T$401,$U70)="","",INDEX('Per Invoice'!T$2:T$401,$U70)))</f>
        <v/>
      </c>
      <c r="U70" s="16">
        <f>IFERROR(MATCH(Settings!$C$29&amp;"|"&amp;ROWS($U$2:$U70),'Per Invoice'!$V$2:$V$401,0),"")</f>
        <v/>
      </c>
    </row>
    <row r="71">
      <c r="A71">
        <f>IF($U71="","",IF(INDEX('Per Invoice'!A$2:A$401,$U71)="","",INDEX('Per Invoice'!A$2:A$401,$U71)))</f>
        <v/>
      </c>
      <c r="B71">
        <f>IF($U71="","",IF(INDEX('Per Invoice'!B$2:B$401,$U71)="","",INDEX('Per Invoice'!B$2:B$401,$U71)))</f>
        <v/>
      </c>
      <c r="C71">
        <f>IF($U71="","",IF(INDEX('Per Invoice'!C$2:C$401,$U71)="","",INDEX('Per Invoice'!C$2:C$401,$U71)))</f>
        <v/>
      </c>
      <c r="D71">
        <f>IF($U71="","",IF(INDEX('Per Invoice'!D$2:D$401,$U71)="","",INDEX('Per Invoice'!D$2:D$401,$U71)))</f>
        <v/>
      </c>
      <c r="E71">
        <f>IF($U71="","",IF(INDEX('Per Invoice'!E$2:E$401,$U71)="","",INDEX('Per Invoice'!E$2:E$401,$U71)))</f>
        <v/>
      </c>
      <c r="F71">
        <f>IF($U71="","",IF(INDEX('Per Invoice'!F$2:F$401,$U71)="","",INDEX('Per Invoice'!F$2:F$401,$U71)))</f>
        <v/>
      </c>
      <c r="G71">
        <f>IF($U71="","",IF(INDEX('Per Invoice'!G$2:G$401,$U71)="","",INDEX('Per Invoice'!G$2:G$401,$U71)))</f>
        <v/>
      </c>
      <c r="H71" s="7">
        <f>IF($U71="","",IF(INDEX('Per Invoice'!H$2:H$401,$U71)="","",INDEX('Per Invoice'!H$2:H$401,$U71)))</f>
        <v/>
      </c>
      <c r="I71" s="14">
        <f>IF($U71="","",IF(INDEX('Per Invoice'!I$2:I$401,$U71)="","",INDEX('Per Invoice'!I$2:I$401,$U71)))</f>
        <v/>
      </c>
      <c r="J71">
        <f>IF($U71="","",IF(INDEX('Per Invoice'!J$2:J$401,$U71)="","",INDEX('Per Invoice'!J$2:J$401,$U71)))</f>
        <v/>
      </c>
      <c r="K71">
        <f>IF($U71="","",IF(INDEX('Per Invoice'!K$2:K$401,$U71)="","",INDEX('Per Invoice'!K$2:K$401,$U71)))</f>
        <v/>
      </c>
      <c r="L71" s="7">
        <f>IF($U71="","",IF(INDEX('Per Invoice'!L$2:L$401,$U71)="","",INDEX('Per Invoice'!L$2:L$401,$U71)))</f>
        <v/>
      </c>
      <c r="M71" s="7">
        <f>IF($U71="","",IF(INDEX('Per Invoice'!M$2:M$401,$U71)="","",INDEX('Per Invoice'!M$2:M$401,$U71)))</f>
        <v/>
      </c>
      <c r="N71">
        <f>IF($U71="","",IF(INDEX('Per Invoice'!N$2:N$401,$U71)="","",INDEX('Per Invoice'!N$2:N$401,$U71)))</f>
        <v/>
      </c>
      <c r="O71" s="7">
        <f>IF($U71="","",IF(INDEX('Per Invoice'!O$2:O$401,$U71)="","",INDEX('Per Invoice'!O$2:O$401,$U71)))</f>
        <v/>
      </c>
      <c r="P71" s="7">
        <f>IF($U71="","",IF(INDEX('Per Invoice'!P$2:P$401,$U71)="","",INDEX('Per Invoice'!P$2:P$401,$U71)))</f>
        <v/>
      </c>
      <c r="Q71" s="7">
        <f>IF($U71="","",IF(INDEX('Per Invoice'!Q$2:Q$401,$U71)="","",INDEX('Per Invoice'!Q$2:Q$401,$U71)))</f>
        <v/>
      </c>
      <c r="R71" s="7">
        <f>IF($U71="","",IF(INDEX('Per Invoice'!R$2:R$401,$U71)="","",INDEX('Per Invoice'!R$2:R$401,$U71)))</f>
        <v/>
      </c>
      <c r="S71" s="7">
        <f>IF($U71="","",IF(INDEX('Per Invoice'!S$2:S$401,$U71)="","",INDEX('Per Invoice'!S$2:S$401,$U71)))</f>
        <v/>
      </c>
      <c r="T71" s="7">
        <f>IF($U71="","",IF(INDEX('Per Invoice'!T$2:T$401,$U71)="","",INDEX('Per Invoice'!T$2:T$401,$U71)))</f>
        <v/>
      </c>
      <c r="U71" s="16">
        <f>IFERROR(MATCH(Settings!$C$29&amp;"|"&amp;ROWS($U$2:$U71),'Per Invoice'!$V$2:$V$401,0),"")</f>
        <v/>
      </c>
    </row>
    <row r="72">
      <c r="A72">
        <f>IF($U72="","",IF(INDEX('Per Invoice'!A$2:A$401,$U72)="","",INDEX('Per Invoice'!A$2:A$401,$U72)))</f>
        <v/>
      </c>
      <c r="B72">
        <f>IF($U72="","",IF(INDEX('Per Invoice'!B$2:B$401,$U72)="","",INDEX('Per Invoice'!B$2:B$401,$U72)))</f>
        <v/>
      </c>
      <c r="C72">
        <f>IF($U72="","",IF(INDEX('Per Invoice'!C$2:C$401,$U72)="","",INDEX('Per Invoice'!C$2:C$401,$U72)))</f>
        <v/>
      </c>
      <c r="D72">
        <f>IF($U72="","",IF(INDEX('Per Invoice'!D$2:D$401,$U72)="","",INDEX('Per Invoice'!D$2:D$401,$U72)))</f>
        <v/>
      </c>
      <c r="E72">
        <f>IF($U72="","",IF(INDEX('Per Invoice'!E$2:E$401,$U72)="","",INDEX('Per Invoice'!E$2:E$401,$U72)))</f>
        <v/>
      </c>
      <c r="F72">
        <f>IF($U72="","",IF(INDEX('Per Invoice'!F$2:F$401,$U72)="","",INDEX('Per Invoice'!F$2:F$401,$U72)))</f>
        <v/>
      </c>
      <c r="G72">
        <f>IF($U72="","",IF(INDEX('Per Invoice'!G$2:G$401,$U72)="","",INDEX('Per Invoice'!G$2:G$401,$U72)))</f>
        <v/>
      </c>
      <c r="H72" s="7">
        <f>IF($U72="","",IF(INDEX('Per Invoice'!H$2:H$401,$U72)="","",INDEX('Per Invoice'!H$2:H$401,$U72)))</f>
        <v/>
      </c>
      <c r="I72" s="14">
        <f>IF($U72="","",IF(INDEX('Per Invoice'!I$2:I$401,$U72)="","",INDEX('Per Invoice'!I$2:I$401,$U72)))</f>
        <v/>
      </c>
      <c r="J72">
        <f>IF($U72="","",IF(INDEX('Per Invoice'!J$2:J$401,$U72)="","",INDEX('Per Invoice'!J$2:J$401,$U72)))</f>
        <v/>
      </c>
      <c r="K72">
        <f>IF($U72="","",IF(INDEX('Per Invoice'!K$2:K$401,$U72)="","",INDEX('Per Invoice'!K$2:K$401,$U72)))</f>
        <v/>
      </c>
      <c r="L72" s="7">
        <f>IF($U72="","",IF(INDEX('Per Invoice'!L$2:L$401,$U72)="","",INDEX('Per Invoice'!L$2:L$401,$U72)))</f>
        <v/>
      </c>
      <c r="M72" s="7">
        <f>IF($U72="","",IF(INDEX('Per Invoice'!M$2:M$401,$U72)="","",INDEX('Per Invoice'!M$2:M$401,$U72)))</f>
        <v/>
      </c>
      <c r="N72">
        <f>IF($U72="","",IF(INDEX('Per Invoice'!N$2:N$401,$U72)="","",INDEX('Per Invoice'!N$2:N$401,$U72)))</f>
        <v/>
      </c>
      <c r="O72" s="7">
        <f>IF($U72="","",IF(INDEX('Per Invoice'!O$2:O$401,$U72)="","",INDEX('Per Invoice'!O$2:O$401,$U72)))</f>
        <v/>
      </c>
      <c r="P72" s="7">
        <f>IF($U72="","",IF(INDEX('Per Invoice'!P$2:P$401,$U72)="","",INDEX('Per Invoice'!P$2:P$401,$U72)))</f>
        <v/>
      </c>
      <c r="Q72" s="7">
        <f>IF($U72="","",IF(INDEX('Per Invoice'!Q$2:Q$401,$U72)="","",INDEX('Per Invoice'!Q$2:Q$401,$U72)))</f>
        <v/>
      </c>
      <c r="R72" s="7">
        <f>IF($U72="","",IF(INDEX('Per Invoice'!R$2:R$401,$U72)="","",INDEX('Per Invoice'!R$2:R$401,$U72)))</f>
        <v/>
      </c>
      <c r="S72" s="7">
        <f>IF($U72="","",IF(INDEX('Per Invoice'!S$2:S$401,$U72)="","",INDEX('Per Invoice'!S$2:S$401,$U72)))</f>
        <v/>
      </c>
      <c r="T72" s="7">
        <f>IF($U72="","",IF(INDEX('Per Invoice'!T$2:T$401,$U72)="","",INDEX('Per Invoice'!T$2:T$401,$U72)))</f>
        <v/>
      </c>
      <c r="U72" s="16">
        <f>IFERROR(MATCH(Settings!$C$29&amp;"|"&amp;ROWS($U$2:$U72),'Per Invoice'!$V$2:$V$401,0),"")</f>
        <v/>
      </c>
    </row>
    <row r="73">
      <c r="A73">
        <f>IF($U73="","",IF(INDEX('Per Invoice'!A$2:A$401,$U73)="","",INDEX('Per Invoice'!A$2:A$401,$U73)))</f>
        <v/>
      </c>
      <c r="B73">
        <f>IF($U73="","",IF(INDEX('Per Invoice'!B$2:B$401,$U73)="","",INDEX('Per Invoice'!B$2:B$401,$U73)))</f>
        <v/>
      </c>
      <c r="C73">
        <f>IF($U73="","",IF(INDEX('Per Invoice'!C$2:C$401,$U73)="","",INDEX('Per Invoice'!C$2:C$401,$U73)))</f>
        <v/>
      </c>
      <c r="D73">
        <f>IF($U73="","",IF(INDEX('Per Invoice'!D$2:D$401,$U73)="","",INDEX('Per Invoice'!D$2:D$401,$U73)))</f>
        <v/>
      </c>
      <c r="E73">
        <f>IF($U73="","",IF(INDEX('Per Invoice'!E$2:E$401,$U73)="","",INDEX('Per Invoice'!E$2:E$401,$U73)))</f>
        <v/>
      </c>
      <c r="F73">
        <f>IF($U73="","",IF(INDEX('Per Invoice'!F$2:F$401,$U73)="","",INDEX('Per Invoice'!F$2:F$401,$U73)))</f>
        <v/>
      </c>
      <c r="G73">
        <f>IF($U73="","",IF(INDEX('Per Invoice'!G$2:G$401,$U73)="","",INDEX('Per Invoice'!G$2:G$401,$U73)))</f>
        <v/>
      </c>
      <c r="H73" s="7">
        <f>IF($U73="","",IF(INDEX('Per Invoice'!H$2:H$401,$U73)="","",INDEX('Per Invoice'!H$2:H$401,$U73)))</f>
        <v/>
      </c>
      <c r="I73" s="14">
        <f>IF($U73="","",IF(INDEX('Per Invoice'!I$2:I$401,$U73)="","",INDEX('Per Invoice'!I$2:I$401,$U73)))</f>
        <v/>
      </c>
      <c r="J73">
        <f>IF($U73="","",IF(INDEX('Per Invoice'!J$2:J$401,$U73)="","",INDEX('Per Invoice'!J$2:J$401,$U73)))</f>
        <v/>
      </c>
      <c r="K73">
        <f>IF($U73="","",IF(INDEX('Per Invoice'!K$2:K$401,$U73)="","",INDEX('Per Invoice'!K$2:K$401,$U73)))</f>
        <v/>
      </c>
      <c r="L73" s="7">
        <f>IF($U73="","",IF(INDEX('Per Invoice'!L$2:L$401,$U73)="","",INDEX('Per Invoice'!L$2:L$401,$U73)))</f>
        <v/>
      </c>
      <c r="M73" s="7">
        <f>IF($U73="","",IF(INDEX('Per Invoice'!M$2:M$401,$U73)="","",INDEX('Per Invoice'!M$2:M$401,$U73)))</f>
        <v/>
      </c>
      <c r="N73">
        <f>IF($U73="","",IF(INDEX('Per Invoice'!N$2:N$401,$U73)="","",INDEX('Per Invoice'!N$2:N$401,$U73)))</f>
        <v/>
      </c>
      <c r="O73" s="7">
        <f>IF($U73="","",IF(INDEX('Per Invoice'!O$2:O$401,$U73)="","",INDEX('Per Invoice'!O$2:O$401,$U73)))</f>
        <v/>
      </c>
      <c r="P73" s="7">
        <f>IF($U73="","",IF(INDEX('Per Invoice'!P$2:P$401,$U73)="","",INDEX('Per Invoice'!P$2:P$401,$U73)))</f>
        <v/>
      </c>
      <c r="Q73" s="7">
        <f>IF($U73="","",IF(INDEX('Per Invoice'!Q$2:Q$401,$U73)="","",INDEX('Per Invoice'!Q$2:Q$401,$U73)))</f>
        <v/>
      </c>
      <c r="R73" s="7">
        <f>IF($U73="","",IF(INDEX('Per Invoice'!R$2:R$401,$U73)="","",INDEX('Per Invoice'!R$2:R$401,$U73)))</f>
        <v/>
      </c>
      <c r="S73" s="7">
        <f>IF($U73="","",IF(INDEX('Per Invoice'!S$2:S$401,$U73)="","",INDEX('Per Invoice'!S$2:S$401,$U73)))</f>
        <v/>
      </c>
      <c r="T73" s="7">
        <f>IF($U73="","",IF(INDEX('Per Invoice'!T$2:T$401,$U73)="","",INDEX('Per Invoice'!T$2:T$401,$U73)))</f>
        <v/>
      </c>
      <c r="U73" s="16">
        <f>IFERROR(MATCH(Settings!$C$29&amp;"|"&amp;ROWS($U$2:$U73),'Per Invoice'!$V$2:$V$401,0),"")</f>
        <v/>
      </c>
    </row>
    <row r="74">
      <c r="A74">
        <f>IF($U74="","",IF(INDEX('Per Invoice'!A$2:A$401,$U74)="","",INDEX('Per Invoice'!A$2:A$401,$U74)))</f>
        <v/>
      </c>
      <c r="B74">
        <f>IF($U74="","",IF(INDEX('Per Invoice'!B$2:B$401,$U74)="","",INDEX('Per Invoice'!B$2:B$401,$U74)))</f>
        <v/>
      </c>
      <c r="C74">
        <f>IF($U74="","",IF(INDEX('Per Invoice'!C$2:C$401,$U74)="","",INDEX('Per Invoice'!C$2:C$401,$U74)))</f>
        <v/>
      </c>
      <c r="D74">
        <f>IF($U74="","",IF(INDEX('Per Invoice'!D$2:D$401,$U74)="","",INDEX('Per Invoice'!D$2:D$401,$U74)))</f>
        <v/>
      </c>
      <c r="E74">
        <f>IF($U74="","",IF(INDEX('Per Invoice'!E$2:E$401,$U74)="","",INDEX('Per Invoice'!E$2:E$401,$U74)))</f>
        <v/>
      </c>
      <c r="F74">
        <f>IF($U74="","",IF(INDEX('Per Invoice'!F$2:F$401,$U74)="","",INDEX('Per Invoice'!F$2:F$401,$U74)))</f>
        <v/>
      </c>
      <c r="G74">
        <f>IF($U74="","",IF(INDEX('Per Invoice'!G$2:G$401,$U74)="","",INDEX('Per Invoice'!G$2:G$401,$U74)))</f>
        <v/>
      </c>
      <c r="H74" s="7">
        <f>IF($U74="","",IF(INDEX('Per Invoice'!H$2:H$401,$U74)="","",INDEX('Per Invoice'!H$2:H$401,$U74)))</f>
        <v/>
      </c>
      <c r="I74" s="14">
        <f>IF($U74="","",IF(INDEX('Per Invoice'!I$2:I$401,$U74)="","",INDEX('Per Invoice'!I$2:I$401,$U74)))</f>
        <v/>
      </c>
      <c r="J74">
        <f>IF($U74="","",IF(INDEX('Per Invoice'!J$2:J$401,$U74)="","",INDEX('Per Invoice'!J$2:J$401,$U74)))</f>
        <v/>
      </c>
      <c r="K74">
        <f>IF($U74="","",IF(INDEX('Per Invoice'!K$2:K$401,$U74)="","",INDEX('Per Invoice'!K$2:K$401,$U74)))</f>
        <v/>
      </c>
      <c r="L74" s="7">
        <f>IF($U74="","",IF(INDEX('Per Invoice'!L$2:L$401,$U74)="","",INDEX('Per Invoice'!L$2:L$401,$U74)))</f>
        <v/>
      </c>
      <c r="M74" s="7">
        <f>IF($U74="","",IF(INDEX('Per Invoice'!M$2:M$401,$U74)="","",INDEX('Per Invoice'!M$2:M$401,$U74)))</f>
        <v/>
      </c>
      <c r="N74">
        <f>IF($U74="","",IF(INDEX('Per Invoice'!N$2:N$401,$U74)="","",INDEX('Per Invoice'!N$2:N$401,$U74)))</f>
        <v/>
      </c>
      <c r="O74" s="7">
        <f>IF($U74="","",IF(INDEX('Per Invoice'!O$2:O$401,$U74)="","",INDEX('Per Invoice'!O$2:O$401,$U74)))</f>
        <v/>
      </c>
      <c r="P74" s="7">
        <f>IF($U74="","",IF(INDEX('Per Invoice'!P$2:P$401,$U74)="","",INDEX('Per Invoice'!P$2:P$401,$U74)))</f>
        <v/>
      </c>
      <c r="Q74" s="7">
        <f>IF($U74="","",IF(INDEX('Per Invoice'!Q$2:Q$401,$U74)="","",INDEX('Per Invoice'!Q$2:Q$401,$U74)))</f>
        <v/>
      </c>
      <c r="R74" s="7">
        <f>IF($U74="","",IF(INDEX('Per Invoice'!R$2:R$401,$U74)="","",INDEX('Per Invoice'!R$2:R$401,$U74)))</f>
        <v/>
      </c>
      <c r="S74" s="7">
        <f>IF($U74="","",IF(INDEX('Per Invoice'!S$2:S$401,$U74)="","",INDEX('Per Invoice'!S$2:S$401,$U74)))</f>
        <v/>
      </c>
      <c r="T74" s="7">
        <f>IF($U74="","",IF(INDEX('Per Invoice'!T$2:T$401,$U74)="","",INDEX('Per Invoice'!T$2:T$401,$U74)))</f>
        <v/>
      </c>
      <c r="U74" s="16">
        <f>IFERROR(MATCH(Settings!$C$29&amp;"|"&amp;ROWS($U$2:$U74),'Per Invoice'!$V$2:$V$401,0),"")</f>
        <v/>
      </c>
    </row>
    <row r="75">
      <c r="A75">
        <f>IF($U75="","",IF(INDEX('Per Invoice'!A$2:A$401,$U75)="","",INDEX('Per Invoice'!A$2:A$401,$U75)))</f>
        <v/>
      </c>
      <c r="B75">
        <f>IF($U75="","",IF(INDEX('Per Invoice'!B$2:B$401,$U75)="","",INDEX('Per Invoice'!B$2:B$401,$U75)))</f>
        <v/>
      </c>
      <c r="C75">
        <f>IF($U75="","",IF(INDEX('Per Invoice'!C$2:C$401,$U75)="","",INDEX('Per Invoice'!C$2:C$401,$U75)))</f>
        <v/>
      </c>
      <c r="D75">
        <f>IF($U75="","",IF(INDEX('Per Invoice'!D$2:D$401,$U75)="","",INDEX('Per Invoice'!D$2:D$401,$U75)))</f>
        <v/>
      </c>
      <c r="E75">
        <f>IF($U75="","",IF(INDEX('Per Invoice'!E$2:E$401,$U75)="","",INDEX('Per Invoice'!E$2:E$401,$U75)))</f>
        <v/>
      </c>
      <c r="F75">
        <f>IF($U75="","",IF(INDEX('Per Invoice'!F$2:F$401,$U75)="","",INDEX('Per Invoice'!F$2:F$401,$U75)))</f>
        <v/>
      </c>
      <c r="G75">
        <f>IF($U75="","",IF(INDEX('Per Invoice'!G$2:G$401,$U75)="","",INDEX('Per Invoice'!G$2:G$401,$U75)))</f>
        <v/>
      </c>
      <c r="H75" s="7">
        <f>IF($U75="","",IF(INDEX('Per Invoice'!H$2:H$401,$U75)="","",INDEX('Per Invoice'!H$2:H$401,$U75)))</f>
        <v/>
      </c>
      <c r="I75" s="14">
        <f>IF($U75="","",IF(INDEX('Per Invoice'!I$2:I$401,$U75)="","",INDEX('Per Invoice'!I$2:I$401,$U75)))</f>
        <v/>
      </c>
      <c r="J75">
        <f>IF($U75="","",IF(INDEX('Per Invoice'!J$2:J$401,$U75)="","",INDEX('Per Invoice'!J$2:J$401,$U75)))</f>
        <v/>
      </c>
      <c r="K75">
        <f>IF($U75="","",IF(INDEX('Per Invoice'!K$2:K$401,$U75)="","",INDEX('Per Invoice'!K$2:K$401,$U75)))</f>
        <v/>
      </c>
      <c r="L75" s="7">
        <f>IF($U75="","",IF(INDEX('Per Invoice'!L$2:L$401,$U75)="","",INDEX('Per Invoice'!L$2:L$401,$U75)))</f>
        <v/>
      </c>
      <c r="M75" s="7">
        <f>IF($U75="","",IF(INDEX('Per Invoice'!M$2:M$401,$U75)="","",INDEX('Per Invoice'!M$2:M$401,$U75)))</f>
        <v/>
      </c>
      <c r="N75">
        <f>IF($U75="","",IF(INDEX('Per Invoice'!N$2:N$401,$U75)="","",INDEX('Per Invoice'!N$2:N$401,$U75)))</f>
        <v/>
      </c>
      <c r="O75" s="7">
        <f>IF($U75="","",IF(INDEX('Per Invoice'!O$2:O$401,$U75)="","",INDEX('Per Invoice'!O$2:O$401,$U75)))</f>
        <v/>
      </c>
      <c r="P75" s="7">
        <f>IF($U75="","",IF(INDEX('Per Invoice'!P$2:P$401,$U75)="","",INDEX('Per Invoice'!P$2:P$401,$U75)))</f>
        <v/>
      </c>
      <c r="Q75" s="7">
        <f>IF($U75="","",IF(INDEX('Per Invoice'!Q$2:Q$401,$U75)="","",INDEX('Per Invoice'!Q$2:Q$401,$U75)))</f>
        <v/>
      </c>
      <c r="R75" s="7">
        <f>IF($U75="","",IF(INDEX('Per Invoice'!R$2:R$401,$U75)="","",INDEX('Per Invoice'!R$2:R$401,$U75)))</f>
        <v/>
      </c>
      <c r="S75" s="7">
        <f>IF($U75="","",IF(INDEX('Per Invoice'!S$2:S$401,$U75)="","",INDEX('Per Invoice'!S$2:S$401,$U75)))</f>
        <v/>
      </c>
      <c r="T75" s="7">
        <f>IF($U75="","",IF(INDEX('Per Invoice'!T$2:T$401,$U75)="","",INDEX('Per Invoice'!T$2:T$401,$U75)))</f>
        <v/>
      </c>
      <c r="U75" s="16">
        <f>IFERROR(MATCH(Settings!$C$29&amp;"|"&amp;ROWS($U$2:$U75),'Per Invoice'!$V$2:$V$401,0),"")</f>
        <v/>
      </c>
    </row>
    <row r="76">
      <c r="A76">
        <f>IF($U76="","",IF(INDEX('Per Invoice'!A$2:A$401,$U76)="","",INDEX('Per Invoice'!A$2:A$401,$U76)))</f>
        <v/>
      </c>
      <c r="B76">
        <f>IF($U76="","",IF(INDEX('Per Invoice'!B$2:B$401,$U76)="","",INDEX('Per Invoice'!B$2:B$401,$U76)))</f>
        <v/>
      </c>
      <c r="C76">
        <f>IF($U76="","",IF(INDEX('Per Invoice'!C$2:C$401,$U76)="","",INDEX('Per Invoice'!C$2:C$401,$U76)))</f>
        <v/>
      </c>
      <c r="D76">
        <f>IF($U76="","",IF(INDEX('Per Invoice'!D$2:D$401,$U76)="","",INDEX('Per Invoice'!D$2:D$401,$U76)))</f>
        <v/>
      </c>
      <c r="E76">
        <f>IF($U76="","",IF(INDEX('Per Invoice'!E$2:E$401,$U76)="","",INDEX('Per Invoice'!E$2:E$401,$U76)))</f>
        <v/>
      </c>
      <c r="F76">
        <f>IF($U76="","",IF(INDEX('Per Invoice'!F$2:F$401,$U76)="","",INDEX('Per Invoice'!F$2:F$401,$U76)))</f>
        <v/>
      </c>
      <c r="G76">
        <f>IF($U76="","",IF(INDEX('Per Invoice'!G$2:G$401,$U76)="","",INDEX('Per Invoice'!G$2:G$401,$U76)))</f>
        <v/>
      </c>
      <c r="H76" s="7">
        <f>IF($U76="","",IF(INDEX('Per Invoice'!H$2:H$401,$U76)="","",INDEX('Per Invoice'!H$2:H$401,$U76)))</f>
        <v/>
      </c>
      <c r="I76" s="14">
        <f>IF($U76="","",IF(INDEX('Per Invoice'!I$2:I$401,$U76)="","",INDEX('Per Invoice'!I$2:I$401,$U76)))</f>
        <v/>
      </c>
      <c r="J76">
        <f>IF($U76="","",IF(INDEX('Per Invoice'!J$2:J$401,$U76)="","",INDEX('Per Invoice'!J$2:J$401,$U76)))</f>
        <v/>
      </c>
      <c r="K76">
        <f>IF($U76="","",IF(INDEX('Per Invoice'!K$2:K$401,$U76)="","",INDEX('Per Invoice'!K$2:K$401,$U76)))</f>
        <v/>
      </c>
      <c r="L76" s="7">
        <f>IF($U76="","",IF(INDEX('Per Invoice'!L$2:L$401,$U76)="","",INDEX('Per Invoice'!L$2:L$401,$U76)))</f>
        <v/>
      </c>
      <c r="M76" s="7">
        <f>IF($U76="","",IF(INDEX('Per Invoice'!M$2:M$401,$U76)="","",INDEX('Per Invoice'!M$2:M$401,$U76)))</f>
        <v/>
      </c>
      <c r="N76">
        <f>IF($U76="","",IF(INDEX('Per Invoice'!N$2:N$401,$U76)="","",INDEX('Per Invoice'!N$2:N$401,$U76)))</f>
        <v/>
      </c>
      <c r="O76" s="7">
        <f>IF($U76="","",IF(INDEX('Per Invoice'!O$2:O$401,$U76)="","",INDEX('Per Invoice'!O$2:O$401,$U76)))</f>
        <v/>
      </c>
      <c r="P76" s="7">
        <f>IF($U76="","",IF(INDEX('Per Invoice'!P$2:P$401,$U76)="","",INDEX('Per Invoice'!P$2:P$401,$U76)))</f>
        <v/>
      </c>
      <c r="Q76" s="7">
        <f>IF($U76="","",IF(INDEX('Per Invoice'!Q$2:Q$401,$U76)="","",INDEX('Per Invoice'!Q$2:Q$401,$U76)))</f>
        <v/>
      </c>
      <c r="R76" s="7">
        <f>IF($U76="","",IF(INDEX('Per Invoice'!R$2:R$401,$U76)="","",INDEX('Per Invoice'!R$2:R$401,$U76)))</f>
        <v/>
      </c>
      <c r="S76" s="7">
        <f>IF($U76="","",IF(INDEX('Per Invoice'!S$2:S$401,$U76)="","",INDEX('Per Invoice'!S$2:S$401,$U76)))</f>
        <v/>
      </c>
      <c r="T76" s="7">
        <f>IF($U76="","",IF(INDEX('Per Invoice'!T$2:T$401,$U76)="","",INDEX('Per Invoice'!T$2:T$401,$U76)))</f>
        <v/>
      </c>
      <c r="U76" s="16">
        <f>IFERROR(MATCH(Settings!$C$29&amp;"|"&amp;ROWS($U$2:$U76),'Per Invoice'!$V$2:$V$401,0),"")</f>
        <v/>
      </c>
    </row>
    <row r="77">
      <c r="A77">
        <f>IF($U77="","",IF(INDEX('Per Invoice'!A$2:A$401,$U77)="","",INDEX('Per Invoice'!A$2:A$401,$U77)))</f>
        <v/>
      </c>
      <c r="B77">
        <f>IF($U77="","",IF(INDEX('Per Invoice'!B$2:B$401,$U77)="","",INDEX('Per Invoice'!B$2:B$401,$U77)))</f>
        <v/>
      </c>
      <c r="C77">
        <f>IF($U77="","",IF(INDEX('Per Invoice'!C$2:C$401,$U77)="","",INDEX('Per Invoice'!C$2:C$401,$U77)))</f>
        <v/>
      </c>
      <c r="D77">
        <f>IF($U77="","",IF(INDEX('Per Invoice'!D$2:D$401,$U77)="","",INDEX('Per Invoice'!D$2:D$401,$U77)))</f>
        <v/>
      </c>
      <c r="E77">
        <f>IF($U77="","",IF(INDEX('Per Invoice'!E$2:E$401,$U77)="","",INDEX('Per Invoice'!E$2:E$401,$U77)))</f>
        <v/>
      </c>
      <c r="F77">
        <f>IF($U77="","",IF(INDEX('Per Invoice'!F$2:F$401,$U77)="","",INDEX('Per Invoice'!F$2:F$401,$U77)))</f>
        <v/>
      </c>
      <c r="G77">
        <f>IF($U77="","",IF(INDEX('Per Invoice'!G$2:G$401,$U77)="","",INDEX('Per Invoice'!G$2:G$401,$U77)))</f>
        <v/>
      </c>
      <c r="H77" s="7">
        <f>IF($U77="","",IF(INDEX('Per Invoice'!H$2:H$401,$U77)="","",INDEX('Per Invoice'!H$2:H$401,$U77)))</f>
        <v/>
      </c>
      <c r="I77" s="14">
        <f>IF($U77="","",IF(INDEX('Per Invoice'!I$2:I$401,$U77)="","",INDEX('Per Invoice'!I$2:I$401,$U77)))</f>
        <v/>
      </c>
      <c r="J77">
        <f>IF($U77="","",IF(INDEX('Per Invoice'!J$2:J$401,$U77)="","",INDEX('Per Invoice'!J$2:J$401,$U77)))</f>
        <v/>
      </c>
      <c r="K77">
        <f>IF($U77="","",IF(INDEX('Per Invoice'!K$2:K$401,$U77)="","",INDEX('Per Invoice'!K$2:K$401,$U77)))</f>
        <v/>
      </c>
      <c r="L77" s="7">
        <f>IF($U77="","",IF(INDEX('Per Invoice'!L$2:L$401,$U77)="","",INDEX('Per Invoice'!L$2:L$401,$U77)))</f>
        <v/>
      </c>
      <c r="M77" s="7">
        <f>IF($U77="","",IF(INDEX('Per Invoice'!M$2:M$401,$U77)="","",INDEX('Per Invoice'!M$2:M$401,$U77)))</f>
        <v/>
      </c>
      <c r="N77">
        <f>IF($U77="","",IF(INDEX('Per Invoice'!N$2:N$401,$U77)="","",INDEX('Per Invoice'!N$2:N$401,$U77)))</f>
        <v/>
      </c>
      <c r="O77" s="7">
        <f>IF($U77="","",IF(INDEX('Per Invoice'!O$2:O$401,$U77)="","",INDEX('Per Invoice'!O$2:O$401,$U77)))</f>
        <v/>
      </c>
      <c r="P77" s="7">
        <f>IF($U77="","",IF(INDEX('Per Invoice'!P$2:P$401,$U77)="","",INDEX('Per Invoice'!P$2:P$401,$U77)))</f>
        <v/>
      </c>
      <c r="Q77" s="7">
        <f>IF($U77="","",IF(INDEX('Per Invoice'!Q$2:Q$401,$U77)="","",INDEX('Per Invoice'!Q$2:Q$401,$U77)))</f>
        <v/>
      </c>
      <c r="R77" s="7">
        <f>IF($U77="","",IF(INDEX('Per Invoice'!R$2:R$401,$U77)="","",INDEX('Per Invoice'!R$2:R$401,$U77)))</f>
        <v/>
      </c>
      <c r="S77" s="7">
        <f>IF($U77="","",IF(INDEX('Per Invoice'!S$2:S$401,$U77)="","",INDEX('Per Invoice'!S$2:S$401,$U77)))</f>
        <v/>
      </c>
      <c r="T77" s="7">
        <f>IF($U77="","",IF(INDEX('Per Invoice'!T$2:T$401,$U77)="","",INDEX('Per Invoice'!T$2:T$401,$U77)))</f>
        <v/>
      </c>
      <c r="U77" s="16">
        <f>IFERROR(MATCH(Settings!$C$29&amp;"|"&amp;ROWS($U$2:$U77),'Per Invoice'!$V$2:$V$401,0),"")</f>
        <v/>
      </c>
    </row>
    <row r="78">
      <c r="A78">
        <f>IF($U78="","",IF(INDEX('Per Invoice'!A$2:A$401,$U78)="","",INDEX('Per Invoice'!A$2:A$401,$U78)))</f>
        <v/>
      </c>
      <c r="B78">
        <f>IF($U78="","",IF(INDEX('Per Invoice'!B$2:B$401,$U78)="","",INDEX('Per Invoice'!B$2:B$401,$U78)))</f>
        <v/>
      </c>
      <c r="C78">
        <f>IF($U78="","",IF(INDEX('Per Invoice'!C$2:C$401,$U78)="","",INDEX('Per Invoice'!C$2:C$401,$U78)))</f>
        <v/>
      </c>
      <c r="D78">
        <f>IF($U78="","",IF(INDEX('Per Invoice'!D$2:D$401,$U78)="","",INDEX('Per Invoice'!D$2:D$401,$U78)))</f>
        <v/>
      </c>
      <c r="E78">
        <f>IF($U78="","",IF(INDEX('Per Invoice'!E$2:E$401,$U78)="","",INDEX('Per Invoice'!E$2:E$401,$U78)))</f>
        <v/>
      </c>
      <c r="F78">
        <f>IF($U78="","",IF(INDEX('Per Invoice'!F$2:F$401,$U78)="","",INDEX('Per Invoice'!F$2:F$401,$U78)))</f>
        <v/>
      </c>
      <c r="G78">
        <f>IF($U78="","",IF(INDEX('Per Invoice'!G$2:G$401,$U78)="","",INDEX('Per Invoice'!G$2:G$401,$U78)))</f>
        <v/>
      </c>
      <c r="H78" s="7">
        <f>IF($U78="","",IF(INDEX('Per Invoice'!H$2:H$401,$U78)="","",INDEX('Per Invoice'!H$2:H$401,$U78)))</f>
        <v/>
      </c>
      <c r="I78" s="14">
        <f>IF($U78="","",IF(INDEX('Per Invoice'!I$2:I$401,$U78)="","",INDEX('Per Invoice'!I$2:I$401,$U78)))</f>
        <v/>
      </c>
      <c r="J78">
        <f>IF($U78="","",IF(INDEX('Per Invoice'!J$2:J$401,$U78)="","",INDEX('Per Invoice'!J$2:J$401,$U78)))</f>
        <v/>
      </c>
      <c r="K78">
        <f>IF($U78="","",IF(INDEX('Per Invoice'!K$2:K$401,$U78)="","",INDEX('Per Invoice'!K$2:K$401,$U78)))</f>
        <v/>
      </c>
      <c r="L78" s="7">
        <f>IF($U78="","",IF(INDEX('Per Invoice'!L$2:L$401,$U78)="","",INDEX('Per Invoice'!L$2:L$401,$U78)))</f>
        <v/>
      </c>
      <c r="M78" s="7">
        <f>IF($U78="","",IF(INDEX('Per Invoice'!M$2:M$401,$U78)="","",INDEX('Per Invoice'!M$2:M$401,$U78)))</f>
        <v/>
      </c>
      <c r="N78">
        <f>IF($U78="","",IF(INDEX('Per Invoice'!N$2:N$401,$U78)="","",INDEX('Per Invoice'!N$2:N$401,$U78)))</f>
        <v/>
      </c>
      <c r="O78" s="7">
        <f>IF($U78="","",IF(INDEX('Per Invoice'!O$2:O$401,$U78)="","",INDEX('Per Invoice'!O$2:O$401,$U78)))</f>
        <v/>
      </c>
      <c r="P78" s="7">
        <f>IF($U78="","",IF(INDEX('Per Invoice'!P$2:P$401,$U78)="","",INDEX('Per Invoice'!P$2:P$401,$U78)))</f>
        <v/>
      </c>
      <c r="Q78" s="7">
        <f>IF($U78="","",IF(INDEX('Per Invoice'!Q$2:Q$401,$U78)="","",INDEX('Per Invoice'!Q$2:Q$401,$U78)))</f>
        <v/>
      </c>
      <c r="R78" s="7">
        <f>IF($U78="","",IF(INDEX('Per Invoice'!R$2:R$401,$U78)="","",INDEX('Per Invoice'!R$2:R$401,$U78)))</f>
        <v/>
      </c>
      <c r="S78" s="7">
        <f>IF($U78="","",IF(INDEX('Per Invoice'!S$2:S$401,$U78)="","",INDEX('Per Invoice'!S$2:S$401,$U78)))</f>
        <v/>
      </c>
      <c r="T78" s="7">
        <f>IF($U78="","",IF(INDEX('Per Invoice'!T$2:T$401,$U78)="","",INDEX('Per Invoice'!T$2:T$401,$U78)))</f>
        <v/>
      </c>
      <c r="U78" s="16">
        <f>IFERROR(MATCH(Settings!$C$29&amp;"|"&amp;ROWS($U$2:$U78),'Per Invoice'!$V$2:$V$401,0),"")</f>
        <v/>
      </c>
    </row>
    <row r="79">
      <c r="A79">
        <f>IF($U79="","",IF(INDEX('Per Invoice'!A$2:A$401,$U79)="","",INDEX('Per Invoice'!A$2:A$401,$U79)))</f>
        <v/>
      </c>
      <c r="B79">
        <f>IF($U79="","",IF(INDEX('Per Invoice'!B$2:B$401,$U79)="","",INDEX('Per Invoice'!B$2:B$401,$U79)))</f>
        <v/>
      </c>
      <c r="C79">
        <f>IF($U79="","",IF(INDEX('Per Invoice'!C$2:C$401,$U79)="","",INDEX('Per Invoice'!C$2:C$401,$U79)))</f>
        <v/>
      </c>
      <c r="D79">
        <f>IF($U79="","",IF(INDEX('Per Invoice'!D$2:D$401,$U79)="","",INDEX('Per Invoice'!D$2:D$401,$U79)))</f>
        <v/>
      </c>
      <c r="E79">
        <f>IF($U79="","",IF(INDEX('Per Invoice'!E$2:E$401,$U79)="","",INDEX('Per Invoice'!E$2:E$401,$U79)))</f>
        <v/>
      </c>
      <c r="F79">
        <f>IF($U79="","",IF(INDEX('Per Invoice'!F$2:F$401,$U79)="","",INDEX('Per Invoice'!F$2:F$401,$U79)))</f>
        <v/>
      </c>
      <c r="G79">
        <f>IF($U79="","",IF(INDEX('Per Invoice'!G$2:G$401,$U79)="","",INDEX('Per Invoice'!G$2:G$401,$U79)))</f>
        <v/>
      </c>
      <c r="H79" s="7">
        <f>IF($U79="","",IF(INDEX('Per Invoice'!H$2:H$401,$U79)="","",INDEX('Per Invoice'!H$2:H$401,$U79)))</f>
        <v/>
      </c>
      <c r="I79" s="14">
        <f>IF($U79="","",IF(INDEX('Per Invoice'!I$2:I$401,$U79)="","",INDEX('Per Invoice'!I$2:I$401,$U79)))</f>
        <v/>
      </c>
      <c r="J79">
        <f>IF($U79="","",IF(INDEX('Per Invoice'!J$2:J$401,$U79)="","",INDEX('Per Invoice'!J$2:J$401,$U79)))</f>
        <v/>
      </c>
      <c r="K79">
        <f>IF($U79="","",IF(INDEX('Per Invoice'!K$2:K$401,$U79)="","",INDEX('Per Invoice'!K$2:K$401,$U79)))</f>
        <v/>
      </c>
      <c r="L79" s="7">
        <f>IF($U79="","",IF(INDEX('Per Invoice'!L$2:L$401,$U79)="","",INDEX('Per Invoice'!L$2:L$401,$U79)))</f>
        <v/>
      </c>
      <c r="M79" s="7">
        <f>IF($U79="","",IF(INDEX('Per Invoice'!M$2:M$401,$U79)="","",INDEX('Per Invoice'!M$2:M$401,$U79)))</f>
        <v/>
      </c>
      <c r="N79">
        <f>IF($U79="","",IF(INDEX('Per Invoice'!N$2:N$401,$U79)="","",INDEX('Per Invoice'!N$2:N$401,$U79)))</f>
        <v/>
      </c>
      <c r="O79" s="7">
        <f>IF($U79="","",IF(INDEX('Per Invoice'!O$2:O$401,$U79)="","",INDEX('Per Invoice'!O$2:O$401,$U79)))</f>
        <v/>
      </c>
      <c r="P79" s="7">
        <f>IF($U79="","",IF(INDEX('Per Invoice'!P$2:P$401,$U79)="","",INDEX('Per Invoice'!P$2:P$401,$U79)))</f>
        <v/>
      </c>
      <c r="Q79" s="7">
        <f>IF($U79="","",IF(INDEX('Per Invoice'!Q$2:Q$401,$U79)="","",INDEX('Per Invoice'!Q$2:Q$401,$U79)))</f>
        <v/>
      </c>
      <c r="R79" s="7">
        <f>IF($U79="","",IF(INDEX('Per Invoice'!R$2:R$401,$U79)="","",INDEX('Per Invoice'!R$2:R$401,$U79)))</f>
        <v/>
      </c>
      <c r="S79" s="7">
        <f>IF($U79="","",IF(INDEX('Per Invoice'!S$2:S$401,$U79)="","",INDEX('Per Invoice'!S$2:S$401,$U79)))</f>
        <v/>
      </c>
      <c r="T79" s="7">
        <f>IF($U79="","",IF(INDEX('Per Invoice'!T$2:T$401,$U79)="","",INDEX('Per Invoice'!T$2:T$401,$U79)))</f>
        <v/>
      </c>
      <c r="U79" s="16">
        <f>IFERROR(MATCH(Settings!$C$29&amp;"|"&amp;ROWS($U$2:$U79),'Per Invoice'!$V$2:$V$401,0),"")</f>
        <v/>
      </c>
    </row>
    <row r="80">
      <c r="A80">
        <f>IF($U80="","",IF(INDEX('Per Invoice'!A$2:A$401,$U80)="","",INDEX('Per Invoice'!A$2:A$401,$U80)))</f>
        <v/>
      </c>
      <c r="B80">
        <f>IF($U80="","",IF(INDEX('Per Invoice'!B$2:B$401,$U80)="","",INDEX('Per Invoice'!B$2:B$401,$U80)))</f>
        <v/>
      </c>
      <c r="C80">
        <f>IF($U80="","",IF(INDEX('Per Invoice'!C$2:C$401,$U80)="","",INDEX('Per Invoice'!C$2:C$401,$U80)))</f>
        <v/>
      </c>
      <c r="D80">
        <f>IF($U80="","",IF(INDEX('Per Invoice'!D$2:D$401,$U80)="","",INDEX('Per Invoice'!D$2:D$401,$U80)))</f>
        <v/>
      </c>
      <c r="E80">
        <f>IF($U80="","",IF(INDEX('Per Invoice'!E$2:E$401,$U80)="","",INDEX('Per Invoice'!E$2:E$401,$U80)))</f>
        <v/>
      </c>
      <c r="F80">
        <f>IF($U80="","",IF(INDEX('Per Invoice'!F$2:F$401,$U80)="","",INDEX('Per Invoice'!F$2:F$401,$U80)))</f>
        <v/>
      </c>
      <c r="G80">
        <f>IF($U80="","",IF(INDEX('Per Invoice'!G$2:G$401,$U80)="","",INDEX('Per Invoice'!G$2:G$401,$U80)))</f>
        <v/>
      </c>
      <c r="H80" s="7">
        <f>IF($U80="","",IF(INDEX('Per Invoice'!H$2:H$401,$U80)="","",INDEX('Per Invoice'!H$2:H$401,$U80)))</f>
        <v/>
      </c>
      <c r="I80" s="14">
        <f>IF($U80="","",IF(INDEX('Per Invoice'!I$2:I$401,$U80)="","",INDEX('Per Invoice'!I$2:I$401,$U80)))</f>
        <v/>
      </c>
      <c r="J80">
        <f>IF($U80="","",IF(INDEX('Per Invoice'!J$2:J$401,$U80)="","",INDEX('Per Invoice'!J$2:J$401,$U80)))</f>
        <v/>
      </c>
      <c r="K80">
        <f>IF($U80="","",IF(INDEX('Per Invoice'!K$2:K$401,$U80)="","",INDEX('Per Invoice'!K$2:K$401,$U80)))</f>
        <v/>
      </c>
      <c r="L80" s="7">
        <f>IF($U80="","",IF(INDEX('Per Invoice'!L$2:L$401,$U80)="","",INDEX('Per Invoice'!L$2:L$401,$U80)))</f>
        <v/>
      </c>
      <c r="M80" s="7">
        <f>IF($U80="","",IF(INDEX('Per Invoice'!M$2:M$401,$U80)="","",INDEX('Per Invoice'!M$2:M$401,$U80)))</f>
        <v/>
      </c>
      <c r="N80">
        <f>IF($U80="","",IF(INDEX('Per Invoice'!N$2:N$401,$U80)="","",INDEX('Per Invoice'!N$2:N$401,$U80)))</f>
        <v/>
      </c>
      <c r="O80" s="7">
        <f>IF($U80="","",IF(INDEX('Per Invoice'!O$2:O$401,$U80)="","",INDEX('Per Invoice'!O$2:O$401,$U80)))</f>
        <v/>
      </c>
      <c r="P80" s="7">
        <f>IF($U80="","",IF(INDEX('Per Invoice'!P$2:P$401,$U80)="","",INDEX('Per Invoice'!P$2:P$401,$U80)))</f>
        <v/>
      </c>
      <c r="Q80" s="7">
        <f>IF($U80="","",IF(INDEX('Per Invoice'!Q$2:Q$401,$U80)="","",INDEX('Per Invoice'!Q$2:Q$401,$U80)))</f>
        <v/>
      </c>
      <c r="R80" s="7">
        <f>IF($U80="","",IF(INDEX('Per Invoice'!R$2:R$401,$U80)="","",INDEX('Per Invoice'!R$2:R$401,$U80)))</f>
        <v/>
      </c>
      <c r="S80" s="7">
        <f>IF($U80="","",IF(INDEX('Per Invoice'!S$2:S$401,$U80)="","",INDEX('Per Invoice'!S$2:S$401,$U80)))</f>
        <v/>
      </c>
      <c r="T80" s="7">
        <f>IF($U80="","",IF(INDEX('Per Invoice'!T$2:T$401,$U80)="","",INDEX('Per Invoice'!T$2:T$401,$U80)))</f>
        <v/>
      </c>
      <c r="U80" s="16">
        <f>IFERROR(MATCH(Settings!$C$29&amp;"|"&amp;ROWS($U$2:$U80),'Per Invoice'!$V$2:$V$401,0),"")</f>
        <v/>
      </c>
    </row>
    <row r="81">
      <c r="A81">
        <f>IF($U81="","",IF(INDEX('Per Invoice'!A$2:A$401,$U81)="","",INDEX('Per Invoice'!A$2:A$401,$U81)))</f>
        <v/>
      </c>
      <c r="B81">
        <f>IF($U81="","",IF(INDEX('Per Invoice'!B$2:B$401,$U81)="","",INDEX('Per Invoice'!B$2:B$401,$U81)))</f>
        <v/>
      </c>
      <c r="C81">
        <f>IF($U81="","",IF(INDEX('Per Invoice'!C$2:C$401,$U81)="","",INDEX('Per Invoice'!C$2:C$401,$U81)))</f>
        <v/>
      </c>
      <c r="D81">
        <f>IF($U81="","",IF(INDEX('Per Invoice'!D$2:D$401,$U81)="","",INDEX('Per Invoice'!D$2:D$401,$U81)))</f>
        <v/>
      </c>
      <c r="E81">
        <f>IF($U81="","",IF(INDEX('Per Invoice'!E$2:E$401,$U81)="","",INDEX('Per Invoice'!E$2:E$401,$U81)))</f>
        <v/>
      </c>
      <c r="F81">
        <f>IF($U81="","",IF(INDEX('Per Invoice'!F$2:F$401,$U81)="","",INDEX('Per Invoice'!F$2:F$401,$U81)))</f>
        <v/>
      </c>
      <c r="G81">
        <f>IF($U81="","",IF(INDEX('Per Invoice'!G$2:G$401,$U81)="","",INDEX('Per Invoice'!G$2:G$401,$U81)))</f>
        <v/>
      </c>
      <c r="H81" s="7">
        <f>IF($U81="","",IF(INDEX('Per Invoice'!H$2:H$401,$U81)="","",INDEX('Per Invoice'!H$2:H$401,$U81)))</f>
        <v/>
      </c>
      <c r="I81" s="14">
        <f>IF($U81="","",IF(INDEX('Per Invoice'!I$2:I$401,$U81)="","",INDEX('Per Invoice'!I$2:I$401,$U81)))</f>
        <v/>
      </c>
      <c r="J81">
        <f>IF($U81="","",IF(INDEX('Per Invoice'!J$2:J$401,$U81)="","",INDEX('Per Invoice'!J$2:J$401,$U81)))</f>
        <v/>
      </c>
      <c r="K81">
        <f>IF($U81="","",IF(INDEX('Per Invoice'!K$2:K$401,$U81)="","",INDEX('Per Invoice'!K$2:K$401,$U81)))</f>
        <v/>
      </c>
      <c r="L81" s="7">
        <f>IF($U81="","",IF(INDEX('Per Invoice'!L$2:L$401,$U81)="","",INDEX('Per Invoice'!L$2:L$401,$U81)))</f>
        <v/>
      </c>
      <c r="M81" s="7">
        <f>IF($U81="","",IF(INDEX('Per Invoice'!M$2:M$401,$U81)="","",INDEX('Per Invoice'!M$2:M$401,$U81)))</f>
        <v/>
      </c>
      <c r="N81">
        <f>IF($U81="","",IF(INDEX('Per Invoice'!N$2:N$401,$U81)="","",INDEX('Per Invoice'!N$2:N$401,$U81)))</f>
        <v/>
      </c>
      <c r="O81" s="7">
        <f>IF($U81="","",IF(INDEX('Per Invoice'!O$2:O$401,$U81)="","",INDEX('Per Invoice'!O$2:O$401,$U81)))</f>
        <v/>
      </c>
      <c r="P81" s="7">
        <f>IF($U81="","",IF(INDEX('Per Invoice'!P$2:P$401,$U81)="","",INDEX('Per Invoice'!P$2:P$401,$U81)))</f>
        <v/>
      </c>
      <c r="Q81" s="7">
        <f>IF($U81="","",IF(INDEX('Per Invoice'!Q$2:Q$401,$U81)="","",INDEX('Per Invoice'!Q$2:Q$401,$U81)))</f>
        <v/>
      </c>
      <c r="R81" s="7">
        <f>IF($U81="","",IF(INDEX('Per Invoice'!R$2:R$401,$U81)="","",INDEX('Per Invoice'!R$2:R$401,$U81)))</f>
        <v/>
      </c>
      <c r="S81" s="7">
        <f>IF($U81="","",IF(INDEX('Per Invoice'!S$2:S$401,$U81)="","",INDEX('Per Invoice'!S$2:S$401,$U81)))</f>
        <v/>
      </c>
      <c r="T81" s="7">
        <f>IF($U81="","",IF(INDEX('Per Invoice'!T$2:T$401,$U81)="","",INDEX('Per Invoice'!T$2:T$401,$U81)))</f>
        <v/>
      </c>
      <c r="U81" s="16">
        <f>IFERROR(MATCH(Settings!$C$29&amp;"|"&amp;ROWS($U$2:$U81),'Per Invoice'!$V$2:$V$401,0),"")</f>
        <v/>
      </c>
    </row>
    <row r="82">
      <c r="A82">
        <f>IF($U82="","",IF(INDEX('Per Invoice'!A$2:A$401,$U82)="","",INDEX('Per Invoice'!A$2:A$401,$U82)))</f>
        <v/>
      </c>
      <c r="B82">
        <f>IF($U82="","",IF(INDEX('Per Invoice'!B$2:B$401,$U82)="","",INDEX('Per Invoice'!B$2:B$401,$U82)))</f>
        <v/>
      </c>
      <c r="C82">
        <f>IF($U82="","",IF(INDEX('Per Invoice'!C$2:C$401,$U82)="","",INDEX('Per Invoice'!C$2:C$401,$U82)))</f>
        <v/>
      </c>
      <c r="D82">
        <f>IF($U82="","",IF(INDEX('Per Invoice'!D$2:D$401,$U82)="","",INDEX('Per Invoice'!D$2:D$401,$U82)))</f>
        <v/>
      </c>
      <c r="E82">
        <f>IF($U82="","",IF(INDEX('Per Invoice'!E$2:E$401,$U82)="","",INDEX('Per Invoice'!E$2:E$401,$U82)))</f>
        <v/>
      </c>
      <c r="F82">
        <f>IF($U82="","",IF(INDEX('Per Invoice'!F$2:F$401,$U82)="","",INDEX('Per Invoice'!F$2:F$401,$U82)))</f>
        <v/>
      </c>
      <c r="G82">
        <f>IF($U82="","",IF(INDEX('Per Invoice'!G$2:G$401,$U82)="","",INDEX('Per Invoice'!G$2:G$401,$U82)))</f>
        <v/>
      </c>
      <c r="H82" s="7">
        <f>IF($U82="","",IF(INDEX('Per Invoice'!H$2:H$401,$U82)="","",INDEX('Per Invoice'!H$2:H$401,$U82)))</f>
        <v/>
      </c>
      <c r="I82" s="14">
        <f>IF($U82="","",IF(INDEX('Per Invoice'!I$2:I$401,$U82)="","",INDEX('Per Invoice'!I$2:I$401,$U82)))</f>
        <v/>
      </c>
      <c r="J82">
        <f>IF($U82="","",IF(INDEX('Per Invoice'!J$2:J$401,$U82)="","",INDEX('Per Invoice'!J$2:J$401,$U82)))</f>
        <v/>
      </c>
      <c r="K82">
        <f>IF($U82="","",IF(INDEX('Per Invoice'!K$2:K$401,$U82)="","",INDEX('Per Invoice'!K$2:K$401,$U82)))</f>
        <v/>
      </c>
      <c r="L82" s="7">
        <f>IF($U82="","",IF(INDEX('Per Invoice'!L$2:L$401,$U82)="","",INDEX('Per Invoice'!L$2:L$401,$U82)))</f>
        <v/>
      </c>
      <c r="M82" s="7">
        <f>IF($U82="","",IF(INDEX('Per Invoice'!M$2:M$401,$U82)="","",INDEX('Per Invoice'!M$2:M$401,$U82)))</f>
        <v/>
      </c>
      <c r="N82">
        <f>IF($U82="","",IF(INDEX('Per Invoice'!N$2:N$401,$U82)="","",INDEX('Per Invoice'!N$2:N$401,$U82)))</f>
        <v/>
      </c>
      <c r="O82" s="7">
        <f>IF($U82="","",IF(INDEX('Per Invoice'!O$2:O$401,$U82)="","",INDEX('Per Invoice'!O$2:O$401,$U82)))</f>
        <v/>
      </c>
      <c r="P82" s="7">
        <f>IF($U82="","",IF(INDEX('Per Invoice'!P$2:P$401,$U82)="","",INDEX('Per Invoice'!P$2:P$401,$U82)))</f>
        <v/>
      </c>
      <c r="Q82" s="7">
        <f>IF($U82="","",IF(INDEX('Per Invoice'!Q$2:Q$401,$U82)="","",INDEX('Per Invoice'!Q$2:Q$401,$U82)))</f>
        <v/>
      </c>
      <c r="R82" s="7">
        <f>IF($U82="","",IF(INDEX('Per Invoice'!R$2:R$401,$U82)="","",INDEX('Per Invoice'!R$2:R$401,$U82)))</f>
        <v/>
      </c>
      <c r="S82" s="7">
        <f>IF($U82="","",IF(INDEX('Per Invoice'!S$2:S$401,$U82)="","",INDEX('Per Invoice'!S$2:S$401,$U82)))</f>
        <v/>
      </c>
      <c r="T82" s="7">
        <f>IF($U82="","",IF(INDEX('Per Invoice'!T$2:T$401,$U82)="","",INDEX('Per Invoice'!T$2:T$401,$U82)))</f>
        <v/>
      </c>
      <c r="U82" s="16">
        <f>IFERROR(MATCH(Settings!$C$29&amp;"|"&amp;ROWS($U$2:$U82),'Per Invoice'!$V$2:$V$401,0),"")</f>
        <v/>
      </c>
    </row>
    <row r="83">
      <c r="A83">
        <f>IF($U83="","",IF(INDEX('Per Invoice'!A$2:A$401,$U83)="","",INDEX('Per Invoice'!A$2:A$401,$U83)))</f>
        <v/>
      </c>
      <c r="B83">
        <f>IF($U83="","",IF(INDEX('Per Invoice'!B$2:B$401,$U83)="","",INDEX('Per Invoice'!B$2:B$401,$U83)))</f>
        <v/>
      </c>
      <c r="C83">
        <f>IF($U83="","",IF(INDEX('Per Invoice'!C$2:C$401,$U83)="","",INDEX('Per Invoice'!C$2:C$401,$U83)))</f>
        <v/>
      </c>
      <c r="D83">
        <f>IF($U83="","",IF(INDEX('Per Invoice'!D$2:D$401,$U83)="","",INDEX('Per Invoice'!D$2:D$401,$U83)))</f>
        <v/>
      </c>
      <c r="E83">
        <f>IF($U83="","",IF(INDEX('Per Invoice'!E$2:E$401,$U83)="","",INDEX('Per Invoice'!E$2:E$401,$U83)))</f>
        <v/>
      </c>
      <c r="F83">
        <f>IF($U83="","",IF(INDEX('Per Invoice'!F$2:F$401,$U83)="","",INDEX('Per Invoice'!F$2:F$401,$U83)))</f>
        <v/>
      </c>
      <c r="G83">
        <f>IF($U83="","",IF(INDEX('Per Invoice'!G$2:G$401,$U83)="","",INDEX('Per Invoice'!G$2:G$401,$U83)))</f>
        <v/>
      </c>
      <c r="H83" s="7">
        <f>IF($U83="","",IF(INDEX('Per Invoice'!H$2:H$401,$U83)="","",INDEX('Per Invoice'!H$2:H$401,$U83)))</f>
        <v/>
      </c>
      <c r="I83" s="14">
        <f>IF($U83="","",IF(INDEX('Per Invoice'!I$2:I$401,$U83)="","",INDEX('Per Invoice'!I$2:I$401,$U83)))</f>
        <v/>
      </c>
      <c r="J83">
        <f>IF($U83="","",IF(INDEX('Per Invoice'!J$2:J$401,$U83)="","",INDEX('Per Invoice'!J$2:J$401,$U83)))</f>
        <v/>
      </c>
      <c r="K83">
        <f>IF($U83="","",IF(INDEX('Per Invoice'!K$2:K$401,$U83)="","",INDEX('Per Invoice'!K$2:K$401,$U83)))</f>
        <v/>
      </c>
      <c r="L83" s="7">
        <f>IF($U83="","",IF(INDEX('Per Invoice'!L$2:L$401,$U83)="","",INDEX('Per Invoice'!L$2:L$401,$U83)))</f>
        <v/>
      </c>
      <c r="M83" s="7">
        <f>IF($U83="","",IF(INDEX('Per Invoice'!M$2:M$401,$U83)="","",INDEX('Per Invoice'!M$2:M$401,$U83)))</f>
        <v/>
      </c>
      <c r="N83">
        <f>IF($U83="","",IF(INDEX('Per Invoice'!N$2:N$401,$U83)="","",INDEX('Per Invoice'!N$2:N$401,$U83)))</f>
        <v/>
      </c>
      <c r="O83" s="7">
        <f>IF($U83="","",IF(INDEX('Per Invoice'!O$2:O$401,$U83)="","",INDEX('Per Invoice'!O$2:O$401,$U83)))</f>
        <v/>
      </c>
      <c r="P83" s="7">
        <f>IF($U83="","",IF(INDEX('Per Invoice'!P$2:P$401,$U83)="","",INDEX('Per Invoice'!P$2:P$401,$U83)))</f>
        <v/>
      </c>
      <c r="Q83" s="7">
        <f>IF($U83="","",IF(INDEX('Per Invoice'!Q$2:Q$401,$U83)="","",INDEX('Per Invoice'!Q$2:Q$401,$U83)))</f>
        <v/>
      </c>
      <c r="R83" s="7">
        <f>IF($U83="","",IF(INDEX('Per Invoice'!R$2:R$401,$U83)="","",INDEX('Per Invoice'!R$2:R$401,$U83)))</f>
        <v/>
      </c>
      <c r="S83" s="7">
        <f>IF($U83="","",IF(INDEX('Per Invoice'!S$2:S$401,$U83)="","",INDEX('Per Invoice'!S$2:S$401,$U83)))</f>
        <v/>
      </c>
      <c r="T83" s="7">
        <f>IF($U83="","",IF(INDEX('Per Invoice'!T$2:T$401,$U83)="","",INDEX('Per Invoice'!T$2:T$401,$U83)))</f>
        <v/>
      </c>
      <c r="U83" s="16">
        <f>IFERROR(MATCH(Settings!$C$29&amp;"|"&amp;ROWS($U$2:$U83),'Per Invoice'!$V$2:$V$401,0),"")</f>
        <v/>
      </c>
    </row>
    <row r="84">
      <c r="A84">
        <f>IF($U84="","",IF(INDEX('Per Invoice'!A$2:A$401,$U84)="","",INDEX('Per Invoice'!A$2:A$401,$U84)))</f>
        <v/>
      </c>
      <c r="B84">
        <f>IF($U84="","",IF(INDEX('Per Invoice'!B$2:B$401,$U84)="","",INDEX('Per Invoice'!B$2:B$401,$U84)))</f>
        <v/>
      </c>
      <c r="C84">
        <f>IF($U84="","",IF(INDEX('Per Invoice'!C$2:C$401,$U84)="","",INDEX('Per Invoice'!C$2:C$401,$U84)))</f>
        <v/>
      </c>
      <c r="D84">
        <f>IF($U84="","",IF(INDEX('Per Invoice'!D$2:D$401,$U84)="","",INDEX('Per Invoice'!D$2:D$401,$U84)))</f>
        <v/>
      </c>
      <c r="E84">
        <f>IF($U84="","",IF(INDEX('Per Invoice'!E$2:E$401,$U84)="","",INDEX('Per Invoice'!E$2:E$401,$U84)))</f>
        <v/>
      </c>
      <c r="F84">
        <f>IF($U84="","",IF(INDEX('Per Invoice'!F$2:F$401,$U84)="","",INDEX('Per Invoice'!F$2:F$401,$U84)))</f>
        <v/>
      </c>
      <c r="G84">
        <f>IF($U84="","",IF(INDEX('Per Invoice'!G$2:G$401,$U84)="","",INDEX('Per Invoice'!G$2:G$401,$U84)))</f>
        <v/>
      </c>
      <c r="H84" s="7">
        <f>IF($U84="","",IF(INDEX('Per Invoice'!H$2:H$401,$U84)="","",INDEX('Per Invoice'!H$2:H$401,$U84)))</f>
        <v/>
      </c>
      <c r="I84" s="14">
        <f>IF($U84="","",IF(INDEX('Per Invoice'!I$2:I$401,$U84)="","",INDEX('Per Invoice'!I$2:I$401,$U84)))</f>
        <v/>
      </c>
      <c r="J84">
        <f>IF($U84="","",IF(INDEX('Per Invoice'!J$2:J$401,$U84)="","",INDEX('Per Invoice'!J$2:J$401,$U84)))</f>
        <v/>
      </c>
      <c r="K84">
        <f>IF($U84="","",IF(INDEX('Per Invoice'!K$2:K$401,$U84)="","",INDEX('Per Invoice'!K$2:K$401,$U84)))</f>
        <v/>
      </c>
      <c r="L84" s="7">
        <f>IF($U84="","",IF(INDEX('Per Invoice'!L$2:L$401,$U84)="","",INDEX('Per Invoice'!L$2:L$401,$U84)))</f>
        <v/>
      </c>
      <c r="M84" s="7">
        <f>IF($U84="","",IF(INDEX('Per Invoice'!M$2:M$401,$U84)="","",INDEX('Per Invoice'!M$2:M$401,$U84)))</f>
        <v/>
      </c>
      <c r="N84">
        <f>IF($U84="","",IF(INDEX('Per Invoice'!N$2:N$401,$U84)="","",INDEX('Per Invoice'!N$2:N$401,$U84)))</f>
        <v/>
      </c>
      <c r="O84" s="7">
        <f>IF($U84="","",IF(INDEX('Per Invoice'!O$2:O$401,$U84)="","",INDEX('Per Invoice'!O$2:O$401,$U84)))</f>
        <v/>
      </c>
      <c r="P84" s="7">
        <f>IF($U84="","",IF(INDEX('Per Invoice'!P$2:P$401,$U84)="","",INDEX('Per Invoice'!P$2:P$401,$U84)))</f>
        <v/>
      </c>
      <c r="Q84" s="7">
        <f>IF($U84="","",IF(INDEX('Per Invoice'!Q$2:Q$401,$U84)="","",INDEX('Per Invoice'!Q$2:Q$401,$U84)))</f>
        <v/>
      </c>
      <c r="R84" s="7">
        <f>IF($U84="","",IF(INDEX('Per Invoice'!R$2:R$401,$U84)="","",INDEX('Per Invoice'!R$2:R$401,$U84)))</f>
        <v/>
      </c>
      <c r="S84" s="7">
        <f>IF($U84="","",IF(INDEX('Per Invoice'!S$2:S$401,$U84)="","",INDEX('Per Invoice'!S$2:S$401,$U84)))</f>
        <v/>
      </c>
      <c r="T84" s="7">
        <f>IF($U84="","",IF(INDEX('Per Invoice'!T$2:T$401,$U84)="","",INDEX('Per Invoice'!T$2:T$401,$U84)))</f>
        <v/>
      </c>
      <c r="U84" s="16">
        <f>IFERROR(MATCH(Settings!$C$29&amp;"|"&amp;ROWS($U$2:$U84),'Per Invoice'!$V$2:$V$401,0),"")</f>
        <v/>
      </c>
    </row>
    <row r="85">
      <c r="A85">
        <f>IF($U85="","",IF(INDEX('Per Invoice'!A$2:A$401,$U85)="","",INDEX('Per Invoice'!A$2:A$401,$U85)))</f>
        <v/>
      </c>
      <c r="B85">
        <f>IF($U85="","",IF(INDEX('Per Invoice'!B$2:B$401,$U85)="","",INDEX('Per Invoice'!B$2:B$401,$U85)))</f>
        <v/>
      </c>
      <c r="C85">
        <f>IF($U85="","",IF(INDEX('Per Invoice'!C$2:C$401,$U85)="","",INDEX('Per Invoice'!C$2:C$401,$U85)))</f>
        <v/>
      </c>
      <c r="D85">
        <f>IF($U85="","",IF(INDEX('Per Invoice'!D$2:D$401,$U85)="","",INDEX('Per Invoice'!D$2:D$401,$U85)))</f>
        <v/>
      </c>
      <c r="E85">
        <f>IF($U85="","",IF(INDEX('Per Invoice'!E$2:E$401,$U85)="","",INDEX('Per Invoice'!E$2:E$401,$U85)))</f>
        <v/>
      </c>
      <c r="F85">
        <f>IF($U85="","",IF(INDEX('Per Invoice'!F$2:F$401,$U85)="","",INDEX('Per Invoice'!F$2:F$401,$U85)))</f>
        <v/>
      </c>
      <c r="G85">
        <f>IF($U85="","",IF(INDEX('Per Invoice'!G$2:G$401,$U85)="","",INDEX('Per Invoice'!G$2:G$401,$U85)))</f>
        <v/>
      </c>
      <c r="H85" s="7">
        <f>IF($U85="","",IF(INDEX('Per Invoice'!H$2:H$401,$U85)="","",INDEX('Per Invoice'!H$2:H$401,$U85)))</f>
        <v/>
      </c>
      <c r="I85" s="14">
        <f>IF($U85="","",IF(INDEX('Per Invoice'!I$2:I$401,$U85)="","",INDEX('Per Invoice'!I$2:I$401,$U85)))</f>
        <v/>
      </c>
      <c r="J85">
        <f>IF($U85="","",IF(INDEX('Per Invoice'!J$2:J$401,$U85)="","",INDEX('Per Invoice'!J$2:J$401,$U85)))</f>
        <v/>
      </c>
      <c r="K85">
        <f>IF($U85="","",IF(INDEX('Per Invoice'!K$2:K$401,$U85)="","",INDEX('Per Invoice'!K$2:K$401,$U85)))</f>
        <v/>
      </c>
      <c r="L85" s="7">
        <f>IF($U85="","",IF(INDEX('Per Invoice'!L$2:L$401,$U85)="","",INDEX('Per Invoice'!L$2:L$401,$U85)))</f>
        <v/>
      </c>
      <c r="M85" s="7">
        <f>IF($U85="","",IF(INDEX('Per Invoice'!M$2:M$401,$U85)="","",INDEX('Per Invoice'!M$2:M$401,$U85)))</f>
        <v/>
      </c>
      <c r="N85">
        <f>IF($U85="","",IF(INDEX('Per Invoice'!N$2:N$401,$U85)="","",INDEX('Per Invoice'!N$2:N$401,$U85)))</f>
        <v/>
      </c>
      <c r="O85" s="7">
        <f>IF($U85="","",IF(INDEX('Per Invoice'!O$2:O$401,$U85)="","",INDEX('Per Invoice'!O$2:O$401,$U85)))</f>
        <v/>
      </c>
      <c r="P85" s="7">
        <f>IF($U85="","",IF(INDEX('Per Invoice'!P$2:P$401,$U85)="","",INDEX('Per Invoice'!P$2:P$401,$U85)))</f>
        <v/>
      </c>
      <c r="Q85" s="7">
        <f>IF($U85="","",IF(INDEX('Per Invoice'!Q$2:Q$401,$U85)="","",INDEX('Per Invoice'!Q$2:Q$401,$U85)))</f>
        <v/>
      </c>
      <c r="R85" s="7">
        <f>IF($U85="","",IF(INDEX('Per Invoice'!R$2:R$401,$U85)="","",INDEX('Per Invoice'!R$2:R$401,$U85)))</f>
        <v/>
      </c>
      <c r="S85" s="7">
        <f>IF($U85="","",IF(INDEX('Per Invoice'!S$2:S$401,$U85)="","",INDEX('Per Invoice'!S$2:S$401,$U85)))</f>
        <v/>
      </c>
      <c r="T85" s="7">
        <f>IF($U85="","",IF(INDEX('Per Invoice'!T$2:T$401,$U85)="","",INDEX('Per Invoice'!T$2:T$401,$U85)))</f>
        <v/>
      </c>
      <c r="U85" s="16">
        <f>IFERROR(MATCH(Settings!$C$29&amp;"|"&amp;ROWS($U$2:$U85),'Per Invoice'!$V$2:$V$401,0),"")</f>
        <v/>
      </c>
    </row>
    <row r="86">
      <c r="A86">
        <f>IF($U86="","",IF(INDEX('Per Invoice'!A$2:A$401,$U86)="","",INDEX('Per Invoice'!A$2:A$401,$U86)))</f>
        <v/>
      </c>
      <c r="B86">
        <f>IF($U86="","",IF(INDEX('Per Invoice'!B$2:B$401,$U86)="","",INDEX('Per Invoice'!B$2:B$401,$U86)))</f>
        <v/>
      </c>
      <c r="C86">
        <f>IF($U86="","",IF(INDEX('Per Invoice'!C$2:C$401,$U86)="","",INDEX('Per Invoice'!C$2:C$401,$U86)))</f>
        <v/>
      </c>
      <c r="D86">
        <f>IF($U86="","",IF(INDEX('Per Invoice'!D$2:D$401,$U86)="","",INDEX('Per Invoice'!D$2:D$401,$U86)))</f>
        <v/>
      </c>
      <c r="E86">
        <f>IF($U86="","",IF(INDEX('Per Invoice'!E$2:E$401,$U86)="","",INDEX('Per Invoice'!E$2:E$401,$U86)))</f>
        <v/>
      </c>
      <c r="F86">
        <f>IF($U86="","",IF(INDEX('Per Invoice'!F$2:F$401,$U86)="","",INDEX('Per Invoice'!F$2:F$401,$U86)))</f>
        <v/>
      </c>
      <c r="G86">
        <f>IF($U86="","",IF(INDEX('Per Invoice'!G$2:G$401,$U86)="","",INDEX('Per Invoice'!G$2:G$401,$U86)))</f>
        <v/>
      </c>
      <c r="H86" s="7">
        <f>IF($U86="","",IF(INDEX('Per Invoice'!H$2:H$401,$U86)="","",INDEX('Per Invoice'!H$2:H$401,$U86)))</f>
        <v/>
      </c>
      <c r="I86" s="14">
        <f>IF($U86="","",IF(INDEX('Per Invoice'!I$2:I$401,$U86)="","",INDEX('Per Invoice'!I$2:I$401,$U86)))</f>
        <v/>
      </c>
      <c r="J86">
        <f>IF($U86="","",IF(INDEX('Per Invoice'!J$2:J$401,$U86)="","",INDEX('Per Invoice'!J$2:J$401,$U86)))</f>
        <v/>
      </c>
      <c r="K86">
        <f>IF($U86="","",IF(INDEX('Per Invoice'!K$2:K$401,$U86)="","",INDEX('Per Invoice'!K$2:K$401,$U86)))</f>
        <v/>
      </c>
      <c r="L86" s="7">
        <f>IF($U86="","",IF(INDEX('Per Invoice'!L$2:L$401,$U86)="","",INDEX('Per Invoice'!L$2:L$401,$U86)))</f>
        <v/>
      </c>
      <c r="M86" s="7">
        <f>IF($U86="","",IF(INDEX('Per Invoice'!M$2:M$401,$U86)="","",INDEX('Per Invoice'!M$2:M$401,$U86)))</f>
        <v/>
      </c>
      <c r="N86">
        <f>IF($U86="","",IF(INDEX('Per Invoice'!N$2:N$401,$U86)="","",INDEX('Per Invoice'!N$2:N$401,$U86)))</f>
        <v/>
      </c>
      <c r="O86" s="7">
        <f>IF($U86="","",IF(INDEX('Per Invoice'!O$2:O$401,$U86)="","",INDEX('Per Invoice'!O$2:O$401,$U86)))</f>
        <v/>
      </c>
      <c r="P86" s="7">
        <f>IF($U86="","",IF(INDEX('Per Invoice'!P$2:P$401,$U86)="","",INDEX('Per Invoice'!P$2:P$401,$U86)))</f>
        <v/>
      </c>
      <c r="Q86" s="7">
        <f>IF($U86="","",IF(INDEX('Per Invoice'!Q$2:Q$401,$U86)="","",INDEX('Per Invoice'!Q$2:Q$401,$U86)))</f>
        <v/>
      </c>
      <c r="R86" s="7">
        <f>IF($U86="","",IF(INDEX('Per Invoice'!R$2:R$401,$U86)="","",INDEX('Per Invoice'!R$2:R$401,$U86)))</f>
        <v/>
      </c>
      <c r="S86" s="7">
        <f>IF($U86="","",IF(INDEX('Per Invoice'!S$2:S$401,$U86)="","",INDEX('Per Invoice'!S$2:S$401,$U86)))</f>
        <v/>
      </c>
      <c r="T86" s="7">
        <f>IF($U86="","",IF(INDEX('Per Invoice'!T$2:T$401,$U86)="","",INDEX('Per Invoice'!T$2:T$401,$U86)))</f>
        <v/>
      </c>
      <c r="U86" s="16">
        <f>IFERROR(MATCH(Settings!$C$29&amp;"|"&amp;ROWS($U$2:$U86),'Per Invoice'!$V$2:$V$401,0),"")</f>
        <v/>
      </c>
    </row>
    <row r="87">
      <c r="A87">
        <f>IF($U87="","",IF(INDEX('Per Invoice'!A$2:A$401,$U87)="","",INDEX('Per Invoice'!A$2:A$401,$U87)))</f>
        <v/>
      </c>
      <c r="B87">
        <f>IF($U87="","",IF(INDEX('Per Invoice'!B$2:B$401,$U87)="","",INDEX('Per Invoice'!B$2:B$401,$U87)))</f>
        <v/>
      </c>
      <c r="C87">
        <f>IF($U87="","",IF(INDEX('Per Invoice'!C$2:C$401,$U87)="","",INDEX('Per Invoice'!C$2:C$401,$U87)))</f>
        <v/>
      </c>
      <c r="D87">
        <f>IF($U87="","",IF(INDEX('Per Invoice'!D$2:D$401,$U87)="","",INDEX('Per Invoice'!D$2:D$401,$U87)))</f>
        <v/>
      </c>
      <c r="E87">
        <f>IF($U87="","",IF(INDEX('Per Invoice'!E$2:E$401,$U87)="","",INDEX('Per Invoice'!E$2:E$401,$U87)))</f>
        <v/>
      </c>
      <c r="F87">
        <f>IF($U87="","",IF(INDEX('Per Invoice'!F$2:F$401,$U87)="","",INDEX('Per Invoice'!F$2:F$401,$U87)))</f>
        <v/>
      </c>
      <c r="G87">
        <f>IF($U87="","",IF(INDEX('Per Invoice'!G$2:G$401,$U87)="","",INDEX('Per Invoice'!G$2:G$401,$U87)))</f>
        <v/>
      </c>
      <c r="H87" s="7">
        <f>IF($U87="","",IF(INDEX('Per Invoice'!H$2:H$401,$U87)="","",INDEX('Per Invoice'!H$2:H$401,$U87)))</f>
        <v/>
      </c>
      <c r="I87" s="14">
        <f>IF($U87="","",IF(INDEX('Per Invoice'!I$2:I$401,$U87)="","",INDEX('Per Invoice'!I$2:I$401,$U87)))</f>
        <v/>
      </c>
      <c r="J87">
        <f>IF($U87="","",IF(INDEX('Per Invoice'!J$2:J$401,$U87)="","",INDEX('Per Invoice'!J$2:J$401,$U87)))</f>
        <v/>
      </c>
      <c r="K87">
        <f>IF($U87="","",IF(INDEX('Per Invoice'!K$2:K$401,$U87)="","",INDEX('Per Invoice'!K$2:K$401,$U87)))</f>
        <v/>
      </c>
      <c r="L87" s="7">
        <f>IF($U87="","",IF(INDEX('Per Invoice'!L$2:L$401,$U87)="","",INDEX('Per Invoice'!L$2:L$401,$U87)))</f>
        <v/>
      </c>
      <c r="M87" s="7">
        <f>IF($U87="","",IF(INDEX('Per Invoice'!M$2:M$401,$U87)="","",INDEX('Per Invoice'!M$2:M$401,$U87)))</f>
        <v/>
      </c>
      <c r="N87">
        <f>IF($U87="","",IF(INDEX('Per Invoice'!N$2:N$401,$U87)="","",INDEX('Per Invoice'!N$2:N$401,$U87)))</f>
        <v/>
      </c>
      <c r="O87" s="7">
        <f>IF($U87="","",IF(INDEX('Per Invoice'!O$2:O$401,$U87)="","",INDEX('Per Invoice'!O$2:O$401,$U87)))</f>
        <v/>
      </c>
      <c r="P87" s="7">
        <f>IF($U87="","",IF(INDEX('Per Invoice'!P$2:P$401,$U87)="","",INDEX('Per Invoice'!P$2:P$401,$U87)))</f>
        <v/>
      </c>
      <c r="Q87" s="7">
        <f>IF($U87="","",IF(INDEX('Per Invoice'!Q$2:Q$401,$U87)="","",INDEX('Per Invoice'!Q$2:Q$401,$U87)))</f>
        <v/>
      </c>
      <c r="R87" s="7">
        <f>IF($U87="","",IF(INDEX('Per Invoice'!R$2:R$401,$U87)="","",INDEX('Per Invoice'!R$2:R$401,$U87)))</f>
        <v/>
      </c>
      <c r="S87" s="7">
        <f>IF($U87="","",IF(INDEX('Per Invoice'!S$2:S$401,$U87)="","",INDEX('Per Invoice'!S$2:S$401,$U87)))</f>
        <v/>
      </c>
      <c r="T87" s="7">
        <f>IF($U87="","",IF(INDEX('Per Invoice'!T$2:T$401,$U87)="","",INDEX('Per Invoice'!T$2:T$401,$U87)))</f>
        <v/>
      </c>
      <c r="U87" s="16">
        <f>IFERROR(MATCH(Settings!$C$29&amp;"|"&amp;ROWS($U$2:$U87),'Per Invoice'!$V$2:$V$401,0),"")</f>
        <v/>
      </c>
    </row>
    <row r="88">
      <c r="A88">
        <f>IF($U88="","",IF(INDEX('Per Invoice'!A$2:A$401,$U88)="","",INDEX('Per Invoice'!A$2:A$401,$U88)))</f>
        <v/>
      </c>
      <c r="B88">
        <f>IF($U88="","",IF(INDEX('Per Invoice'!B$2:B$401,$U88)="","",INDEX('Per Invoice'!B$2:B$401,$U88)))</f>
        <v/>
      </c>
      <c r="C88">
        <f>IF($U88="","",IF(INDEX('Per Invoice'!C$2:C$401,$U88)="","",INDEX('Per Invoice'!C$2:C$401,$U88)))</f>
        <v/>
      </c>
      <c r="D88">
        <f>IF($U88="","",IF(INDEX('Per Invoice'!D$2:D$401,$U88)="","",INDEX('Per Invoice'!D$2:D$401,$U88)))</f>
        <v/>
      </c>
      <c r="E88">
        <f>IF($U88="","",IF(INDEX('Per Invoice'!E$2:E$401,$U88)="","",INDEX('Per Invoice'!E$2:E$401,$U88)))</f>
        <v/>
      </c>
      <c r="F88">
        <f>IF($U88="","",IF(INDEX('Per Invoice'!F$2:F$401,$U88)="","",INDEX('Per Invoice'!F$2:F$401,$U88)))</f>
        <v/>
      </c>
      <c r="G88">
        <f>IF($U88="","",IF(INDEX('Per Invoice'!G$2:G$401,$U88)="","",INDEX('Per Invoice'!G$2:G$401,$U88)))</f>
        <v/>
      </c>
      <c r="H88" s="7">
        <f>IF($U88="","",IF(INDEX('Per Invoice'!H$2:H$401,$U88)="","",INDEX('Per Invoice'!H$2:H$401,$U88)))</f>
        <v/>
      </c>
      <c r="I88" s="14">
        <f>IF($U88="","",IF(INDEX('Per Invoice'!I$2:I$401,$U88)="","",INDEX('Per Invoice'!I$2:I$401,$U88)))</f>
        <v/>
      </c>
      <c r="J88">
        <f>IF($U88="","",IF(INDEX('Per Invoice'!J$2:J$401,$U88)="","",INDEX('Per Invoice'!J$2:J$401,$U88)))</f>
        <v/>
      </c>
      <c r="K88">
        <f>IF($U88="","",IF(INDEX('Per Invoice'!K$2:K$401,$U88)="","",INDEX('Per Invoice'!K$2:K$401,$U88)))</f>
        <v/>
      </c>
      <c r="L88" s="7">
        <f>IF($U88="","",IF(INDEX('Per Invoice'!L$2:L$401,$U88)="","",INDEX('Per Invoice'!L$2:L$401,$U88)))</f>
        <v/>
      </c>
      <c r="M88" s="7">
        <f>IF($U88="","",IF(INDEX('Per Invoice'!M$2:M$401,$U88)="","",INDEX('Per Invoice'!M$2:M$401,$U88)))</f>
        <v/>
      </c>
      <c r="N88">
        <f>IF($U88="","",IF(INDEX('Per Invoice'!N$2:N$401,$U88)="","",INDEX('Per Invoice'!N$2:N$401,$U88)))</f>
        <v/>
      </c>
      <c r="O88" s="7">
        <f>IF($U88="","",IF(INDEX('Per Invoice'!O$2:O$401,$U88)="","",INDEX('Per Invoice'!O$2:O$401,$U88)))</f>
        <v/>
      </c>
      <c r="P88" s="7">
        <f>IF($U88="","",IF(INDEX('Per Invoice'!P$2:P$401,$U88)="","",INDEX('Per Invoice'!P$2:P$401,$U88)))</f>
        <v/>
      </c>
      <c r="Q88" s="7">
        <f>IF($U88="","",IF(INDEX('Per Invoice'!Q$2:Q$401,$U88)="","",INDEX('Per Invoice'!Q$2:Q$401,$U88)))</f>
        <v/>
      </c>
      <c r="R88" s="7">
        <f>IF($U88="","",IF(INDEX('Per Invoice'!R$2:R$401,$U88)="","",INDEX('Per Invoice'!R$2:R$401,$U88)))</f>
        <v/>
      </c>
      <c r="S88" s="7">
        <f>IF($U88="","",IF(INDEX('Per Invoice'!S$2:S$401,$U88)="","",INDEX('Per Invoice'!S$2:S$401,$U88)))</f>
        <v/>
      </c>
      <c r="T88" s="7">
        <f>IF($U88="","",IF(INDEX('Per Invoice'!T$2:T$401,$U88)="","",INDEX('Per Invoice'!T$2:T$401,$U88)))</f>
        <v/>
      </c>
      <c r="U88" s="16">
        <f>IFERROR(MATCH(Settings!$C$29&amp;"|"&amp;ROWS($U$2:$U88),'Per Invoice'!$V$2:$V$401,0),"")</f>
        <v/>
      </c>
    </row>
    <row r="89">
      <c r="A89">
        <f>IF($U89="","",IF(INDEX('Per Invoice'!A$2:A$401,$U89)="","",INDEX('Per Invoice'!A$2:A$401,$U89)))</f>
        <v/>
      </c>
      <c r="B89">
        <f>IF($U89="","",IF(INDEX('Per Invoice'!B$2:B$401,$U89)="","",INDEX('Per Invoice'!B$2:B$401,$U89)))</f>
        <v/>
      </c>
      <c r="C89">
        <f>IF($U89="","",IF(INDEX('Per Invoice'!C$2:C$401,$U89)="","",INDEX('Per Invoice'!C$2:C$401,$U89)))</f>
        <v/>
      </c>
      <c r="D89">
        <f>IF($U89="","",IF(INDEX('Per Invoice'!D$2:D$401,$U89)="","",INDEX('Per Invoice'!D$2:D$401,$U89)))</f>
        <v/>
      </c>
      <c r="E89">
        <f>IF($U89="","",IF(INDEX('Per Invoice'!E$2:E$401,$U89)="","",INDEX('Per Invoice'!E$2:E$401,$U89)))</f>
        <v/>
      </c>
      <c r="F89">
        <f>IF($U89="","",IF(INDEX('Per Invoice'!F$2:F$401,$U89)="","",INDEX('Per Invoice'!F$2:F$401,$U89)))</f>
        <v/>
      </c>
      <c r="G89">
        <f>IF($U89="","",IF(INDEX('Per Invoice'!G$2:G$401,$U89)="","",INDEX('Per Invoice'!G$2:G$401,$U89)))</f>
        <v/>
      </c>
      <c r="H89" s="7">
        <f>IF($U89="","",IF(INDEX('Per Invoice'!H$2:H$401,$U89)="","",INDEX('Per Invoice'!H$2:H$401,$U89)))</f>
        <v/>
      </c>
      <c r="I89" s="14">
        <f>IF($U89="","",IF(INDEX('Per Invoice'!I$2:I$401,$U89)="","",INDEX('Per Invoice'!I$2:I$401,$U89)))</f>
        <v/>
      </c>
      <c r="J89">
        <f>IF($U89="","",IF(INDEX('Per Invoice'!J$2:J$401,$U89)="","",INDEX('Per Invoice'!J$2:J$401,$U89)))</f>
        <v/>
      </c>
      <c r="K89">
        <f>IF($U89="","",IF(INDEX('Per Invoice'!K$2:K$401,$U89)="","",INDEX('Per Invoice'!K$2:K$401,$U89)))</f>
        <v/>
      </c>
      <c r="L89" s="7">
        <f>IF($U89="","",IF(INDEX('Per Invoice'!L$2:L$401,$U89)="","",INDEX('Per Invoice'!L$2:L$401,$U89)))</f>
        <v/>
      </c>
      <c r="M89" s="7">
        <f>IF($U89="","",IF(INDEX('Per Invoice'!M$2:M$401,$U89)="","",INDEX('Per Invoice'!M$2:M$401,$U89)))</f>
        <v/>
      </c>
      <c r="N89">
        <f>IF($U89="","",IF(INDEX('Per Invoice'!N$2:N$401,$U89)="","",INDEX('Per Invoice'!N$2:N$401,$U89)))</f>
        <v/>
      </c>
      <c r="O89" s="7">
        <f>IF($U89="","",IF(INDEX('Per Invoice'!O$2:O$401,$U89)="","",INDEX('Per Invoice'!O$2:O$401,$U89)))</f>
        <v/>
      </c>
      <c r="P89" s="7">
        <f>IF($U89="","",IF(INDEX('Per Invoice'!P$2:P$401,$U89)="","",INDEX('Per Invoice'!P$2:P$401,$U89)))</f>
        <v/>
      </c>
      <c r="Q89" s="7">
        <f>IF($U89="","",IF(INDEX('Per Invoice'!Q$2:Q$401,$U89)="","",INDEX('Per Invoice'!Q$2:Q$401,$U89)))</f>
        <v/>
      </c>
      <c r="R89" s="7">
        <f>IF($U89="","",IF(INDEX('Per Invoice'!R$2:R$401,$U89)="","",INDEX('Per Invoice'!R$2:R$401,$U89)))</f>
        <v/>
      </c>
      <c r="S89" s="7">
        <f>IF($U89="","",IF(INDEX('Per Invoice'!S$2:S$401,$U89)="","",INDEX('Per Invoice'!S$2:S$401,$U89)))</f>
        <v/>
      </c>
      <c r="T89" s="7">
        <f>IF($U89="","",IF(INDEX('Per Invoice'!T$2:T$401,$U89)="","",INDEX('Per Invoice'!T$2:T$401,$U89)))</f>
        <v/>
      </c>
      <c r="U89" s="16">
        <f>IFERROR(MATCH(Settings!$C$29&amp;"|"&amp;ROWS($U$2:$U89),'Per Invoice'!$V$2:$V$401,0),"")</f>
        <v/>
      </c>
    </row>
    <row r="90">
      <c r="A90">
        <f>IF($U90="","",IF(INDEX('Per Invoice'!A$2:A$401,$U90)="","",INDEX('Per Invoice'!A$2:A$401,$U90)))</f>
        <v/>
      </c>
      <c r="B90">
        <f>IF($U90="","",IF(INDEX('Per Invoice'!B$2:B$401,$U90)="","",INDEX('Per Invoice'!B$2:B$401,$U90)))</f>
        <v/>
      </c>
      <c r="C90">
        <f>IF($U90="","",IF(INDEX('Per Invoice'!C$2:C$401,$U90)="","",INDEX('Per Invoice'!C$2:C$401,$U90)))</f>
        <v/>
      </c>
      <c r="D90">
        <f>IF($U90="","",IF(INDEX('Per Invoice'!D$2:D$401,$U90)="","",INDEX('Per Invoice'!D$2:D$401,$U90)))</f>
        <v/>
      </c>
      <c r="E90">
        <f>IF($U90="","",IF(INDEX('Per Invoice'!E$2:E$401,$U90)="","",INDEX('Per Invoice'!E$2:E$401,$U90)))</f>
        <v/>
      </c>
      <c r="F90">
        <f>IF($U90="","",IF(INDEX('Per Invoice'!F$2:F$401,$U90)="","",INDEX('Per Invoice'!F$2:F$401,$U90)))</f>
        <v/>
      </c>
      <c r="G90">
        <f>IF($U90="","",IF(INDEX('Per Invoice'!G$2:G$401,$U90)="","",INDEX('Per Invoice'!G$2:G$401,$U90)))</f>
        <v/>
      </c>
      <c r="H90" s="7">
        <f>IF($U90="","",IF(INDEX('Per Invoice'!H$2:H$401,$U90)="","",INDEX('Per Invoice'!H$2:H$401,$U90)))</f>
        <v/>
      </c>
      <c r="I90" s="14">
        <f>IF($U90="","",IF(INDEX('Per Invoice'!I$2:I$401,$U90)="","",INDEX('Per Invoice'!I$2:I$401,$U90)))</f>
        <v/>
      </c>
      <c r="J90">
        <f>IF($U90="","",IF(INDEX('Per Invoice'!J$2:J$401,$U90)="","",INDEX('Per Invoice'!J$2:J$401,$U90)))</f>
        <v/>
      </c>
      <c r="K90">
        <f>IF($U90="","",IF(INDEX('Per Invoice'!K$2:K$401,$U90)="","",INDEX('Per Invoice'!K$2:K$401,$U90)))</f>
        <v/>
      </c>
      <c r="L90" s="7">
        <f>IF($U90="","",IF(INDEX('Per Invoice'!L$2:L$401,$U90)="","",INDEX('Per Invoice'!L$2:L$401,$U90)))</f>
        <v/>
      </c>
      <c r="M90" s="7">
        <f>IF($U90="","",IF(INDEX('Per Invoice'!M$2:M$401,$U90)="","",INDEX('Per Invoice'!M$2:M$401,$U90)))</f>
        <v/>
      </c>
      <c r="N90">
        <f>IF($U90="","",IF(INDEX('Per Invoice'!N$2:N$401,$U90)="","",INDEX('Per Invoice'!N$2:N$401,$U90)))</f>
        <v/>
      </c>
      <c r="O90" s="7">
        <f>IF($U90="","",IF(INDEX('Per Invoice'!O$2:O$401,$U90)="","",INDEX('Per Invoice'!O$2:O$401,$U90)))</f>
        <v/>
      </c>
      <c r="P90" s="7">
        <f>IF($U90="","",IF(INDEX('Per Invoice'!P$2:P$401,$U90)="","",INDEX('Per Invoice'!P$2:P$401,$U90)))</f>
        <v/>
      </c>
      <c r="Q90" s="7">
        <f>IF($U90="","",IF(INDEX('Per Invoice'!Q$2:Q$401,$U90)="","",INDEX('Per Invoice'!Q$2:Q$401,$U90)))</f>
        <v/>
      </c>
      <c r="R90" s="7">
        <f>IF($U90="","",IF(INDEX('Per Invoice'!R$2:R$401,$U90)="","",INDEX('Per Invoice'!R$2:R$401,$U90)))</f>
        <v/>
      </c>
      <c r="S90" s="7">
        <f>IF($U90="","",IF(INDEX('Per Invoice'!S$2:S$401,$U90)="","",INDEX('Per Invoice'!S$2:S$401,$U90)))</f>
        <v/>
      </c>
      <c r="T90" s="7">
        <f>IF($U90="","",IF(INDEX('Per Invoice'!T$2:T$401,$U90)="","",INDEX('Per Invoice'!T$2:T$401,$U90)))</f>
        <v/>
      </c>
      <c r="U90" s="16">
        <f>IFERROR(MATCH(Settings!$C$29&amp;"|"&amp;ROWS($U$2:$U90),'Per Invoice'!$V$2:$V$401,0),"")</f>
        <v/>
      </c>
    </row>
    <row r="91">
      <c r="A91">
        <f>IF($U91="","",IF(INDEX('Per Invoice'!A$2:A$401,$U91)="","",INDEX('Per Invoice'!A$2:A$401,$U91)))</f>
        <v/>
      </c>
      <c r="B91">
        <f>IF($U91="","",IF(INDEX('Per Invoice'!B$2:B$401,$U91)="","",INDEX('Per Invoice'!B$2:B$401,$U91)))</f>
        <v/>
      </c>
      <c r="C91">
        <f>IF($U91="","",IF(INDEX('Per Invoice'!C$2:C$401,$U91)="","",INDEX('Per Invoice'!C$2:C$401,$U91)))</f>
        <v/>
      </c>
      <c r="D91">
        <f>IF($U91="","",IF(INDEX('Per Invoice'!D$2:D$401,$U91)="","",INDEX('Per Invoice'!D$2:D$401,$U91)))</f>
        <v/>
      </c>
      <c r="E91">
        <f>IF($U91="","",IF(INDEX('Per Invoice'!E$2:E$401,$U91)="","",INDEX('Per Invoice'!E$2:E$401,$U91)))</f>
        <v/>
      </c>
      <c r="F91">
        <f>IF($U91="","",IF(INDEX('Per Invoice'!F$2:F$401,$U91)="","",INDEX('Per Invoice'!F$2:F$401,$U91)))</f>
        <v/>
      </c>
      <c r="G91">
        <f>IF($U91="","",IF(INDEX('Per Invoice'!G$2:G$401,$U91)="","",INDEX('Per Invoice'!G$2:G$401,$U91)))</f>
        <v/>
      </c>
      <c r="H91" s="7">
        <f>IF($U91="","",IF(INDEX('Per Invoice'!H$2:H$401,$U91)="","",INDEX('Per Invoice'!H$2:H$401,$U91)))</f>
        <v/>
      </c>
      <c r="I91" s="14">
        <f>IF($U91="","",IF(INDEX('Per Invoice'!I$2:I$401,$U91)="","",INDEX('Per Invoice'!I$2:I$401,$U91)))</f>
        <v/>
      </c>
      <c r="J91">
        <f>IF($U91="","",IF(INDEX('Per Invoice'!J$2:J$401,$U91)="","",INDEX('Per Invoice'!J$2:J$401,$U91)))</f>
        <v/>
      </c>
      <c r="K91">
        <f>IF($U91="","",IF(INDEX('Per Invoice'!K$2:K$401,$U91)="","",INDEX('Per Invoice'!K$2:K$401,$U91)))</f>
        <v/>
      </c>
      <c r="L91" s="7">
        <f>IF($U91="","",IF(INDEX('Per Invoice'!L$2:L$401,$U91)="","",INDEX('Per Invoice'!L$2:L$401,$U91)))</f>
        <v/>
      </c>
      <c r="M91" s="7">
        <f>IF($U91="","",IF(INDEX('Per Invoice'!M$2:M$401,$U91)="","",INDEX('Per Invoice'!M$2:M$401,$U91)))</f>
        <v/>
      </c>
      <c r="N91">
        <f>IF($U91="","",IF(INDEX('Per Invoice'!N$2:N$401,$U91)="","",INDEX('Per Invoice'!N$2:N$401,$U91)))</f>
        <v/>
      </c>
      <c r="O91" s="7">
        <f>IF($U91="","",IF(INDEX('Per Invoice'!O$2:O$401,$U91)="","",INDEX('Per Invoice'!O$2:O$401,$U91)))</f>
        <v/>
      </c>
      <c r="P91" s="7">
        <f>IF($U91="","",IF(INDEX('Per Invoice'!P$2:P$401,$U91)="","",INDEX('Per Invoice'!P$2:P$401,$U91)))</f>
        <v/>
      </c>
      <c r="Q91" s="7">
        <f>IF($U91="","",IF(INDEX('Per Invoice'!Q$2:Q$401,$U91)="","",INDEX('Per Invoice'!Q$2:Q$401,$U91)))</f>
        <v/>
      </c>
      <c r="R91" s="7">
        <f>IF($U91="","",IF(INDEX('Per Invoice'!R$2:R$401,$U91)="","",INDEX('Per Invoice'!R$2:R$401,$U91)))</f>
        <v/>
      </c>
      <c r="S91" s="7">
        <f>IF($U91="","",IF(INDEX('Per Invoice'!S$2:S$401,$U91)="","",INDEX('Per Invoice'!S$2:S$401,$U91)))</f>
        <v/>
      </c>
      <c r="T91" s="7">
        <f>IF($U91="","",IF(INDEX('Per Invoice'!T$2:T$401,$U91)="","",INDEX('Per Invoice'!T$2:T$401,$U91)))</f>
        <v/>
      </c>
      <c r="U91" s="16">
        <f>IFERROR(MATCH(Settings!$C$29&amp;"|"&amp;ROWS($U$2:$U91),'Per Invoice'!$V$2:$V$401,0),"")</f>
        <v/>
      </c>
    </row>
    <row r="92">
      <c r="A92">
        <f>IF($U92="","",IF(INDEX('Per Invoice'!A$2:A$401,$U92)="","",INDEX('Per Invoice'!A$2:A$401,$U92)))</f>
        <v/>
      </c>
      <c r="B92">
        <f>IF($U92="","",IF(INDEX('Per Invoice'!B$2:B$401,$U92)="","",INDEX('Per Invoice'!B$2:B$401,$U92)))</f>
        <v/>
      </c>
      <c r="C92">
        <f>IF($U92="","",IF(INDEX('Per Invoice'!C$2:C$401,$U92)="","",INDEX('Per Invoice'!C$2:C$401,$U92)))</f>
        <v/>
      </c>
      <c r="D92">
        <f>IF($U92="","",IF(INDEX('Per Invoice'!D$2:D$401,$U92)="","",INDEX('Per Invoice'!D$2:D$401,$U92)))</f>
        <v/>
      </c>
      <c r="E92">
        <f>IF($U92="","",IF(INDEX('Per Invoice'!E$2:E$401,$U92)="","",INDEX('Per Invoice'!E$2:E$401,$U92)))</f>
        <v/>
      </c>
      <c r="F92">
        <f>IF($U92="","",IF(INDEX('Per Invoice'!F$2:F$401,$U92)="","",INDEX('Per Invoice'!F$2:F$401,$U92)))</f>
        <v/>
      </c>
      <c r="G92">
        <f>IF($U92="","",IF(INDEX('Per Invoice'!G$2:G$401,$U92)="","",INDEX('Per Invoice'!G$2:G$401,$U92)))</f>
        <v/>
      </c>
      <c r="H92" s="7">
        <f>IF($U92="","",IF(INDEX('Per Invoice'!H$2:H$401,$U92)="","",INDEX('Per Invoice'!H$2:H$401,$U92)))</f>
        <v/>
      </c>
      <c r="I92" s="14">
        <f>IF($U92="","",IF(INDEX('Per Invoice'!I$2:I$401,$U92)="","",INDEX('Per Invoice'!I$2:I$401,$U92)))</f>
        <v/>
      </c>
      <c r="J92">
        <f>IF($U92="","",IF(INDEX('Per Invoice'!J$2:J$401,$U92)="","",INDEX('Per Invoice'!J$2:J$401,$U92)))</f>
        <v/>
      </c>
      <c r="K92">
        <f>IF($U92="","",IF(INDEX('Per Invoice'!K$2:K$401,$U92)="","",INDEX('Per Invoice'!K$2:K$401,$U92)))</f>
        <v/>
      </c>
      <c r="L92" s="7">
        <f>IF($U92="","",IF(INDEX('Per Invoice'!L$2:L$401,$U92)="","",INDEX('Per Invoice'!L$2:L$401,$U92)))</f>
        <v/>
      </c>
      <c r="M92" s="7">
        <f>IF($U92="","",IF(INDEX('Per Invoice'!M$2:M$401,$U92)="","",INDEX('Per Invoice'!M$2:M$401,$U92)))</f>
        <v/>
      </c>
      <c r="N92">
        <f>IF($U92="","",IF(INDEX('Per Invoice'!N$2:N$401,$U92)="","",INDEX('Per Invoice'!N$2:N$401,$U92)))</f>
        <v/>
      </c>
      <c r="O92" s="7">
        <f>IF($U92="","",IF(INDEX('Per Invoice'!O$2:O$401,$U92)="","",INDEX('Per Invoice'!O$2:O$401,$U92)))</f>
        <v/>
      </c>
      <c r="P92" s="7">
        <f>IF($U92="","",IF(INDEX('Per Invoice'!P$2:P$401,$U92)="","",INDEX('Per Invoice'!P$2:P$401,$U92)))</f>
        <v/>
      </c>
      <c r="Q92" s="7">
        <f>IF($U92="","",IF(INDEX('Per Invoice'!Q$2:Q$401,$U92)="","",INDEX('Per Invoice'!Q$2:Q$401,$U92)))</f>
        <v/>
      </c>
      <c r="R92" s="7">
        <f>IF($U92="","",IF(INDEX('Per Invoice'!R$2:R$401,$U92)="","",INDEX('Per Invoice'!R$2:R$401,$U92)))</f>
        <v/>
      </c>
      <c r="S92" s="7">
        <f>IF($U92="","",IF(INDEX('Per Invoice'!S$2:S$401,$U92)="","",INDEX('Per Invoice'!S$2:S$401,$U92)))</f>
        <v/>
      </c>
      <c r="T92" s="7">
        <f>IF($U92="","",IF(INDEX('Per Invoice'!T$2:T$401,$U92)="","",INDEX('Per Invoice'!T$2:T$401,$U92)))</f>
        <v/>
      </c>
      <c r="U92" s="16">
        <f>IFERROR(MATCH(Settings!$C$29&amp;"|"&amp;ROWS($U$2:$U92),'Per Invoice'!$V$2:$V$401,0),"")</f>
        <v/>
      </c>
    </row>
    <row r="93">
      <c r="A93">
        <f>IF($U93="","",IF(INDEX('Per Invoice'!A$2:A$401,$U93)="","",INDEX('Per Invoice'!A$2:A$401,$U93)))</f>
        <v/>
      </c>
      <c r="B93">
        <f>IF($U93="","",IF(INDEX('Per Invoice'!B$2:B$401,$U93)="","",INDEX('Per Invoice'!B$2:B$401,$U93)))</f>
        <v/>
      </c>
      <c r="C93">
        <f>IF($U93="","",IF(INDEX('Per Invoice'!C$2:C$401,$U93)="","",INDEX('Per Invoice'!C$2:C$401,$U93)))</f>
        <v/>
      </c>
      <c r="D93">
        <f>IF($U93="","",IF(INDEX('Per Invoice'!D$2:D$401,$U93)="","",INDEX('Per Invoice'!D$2:D$401,$U93)))</f>
        <v/>
      </c>
      <c r="E93">
        <f>IF($U93="","",IF(INDEX('Per Invoice'!E$2:E$401,$U93)="","",INDEX('Per Invoice'!E$2:E$401,$U93)))</f>
        <v/>
      </c>
      <c r="F93">
        <f>IF($U93="","",IF(INDEX('Per Invoice'!F$2:F$401,$U93)="","",INDEX('Per Invoice'!F$2:F$401,$U93)))</f>
        <v/>
      </c>
      <c r="G93">
        <f>IF($U93="","",IF(INDEX('Per Invoice'!G$2:G$401,$U93)="","",INDEX('Per Invoice'!G$2:G$401,$U93)))</f>
        <v/>
      </c>
      <c r="H93" s="7">
        <f>IF($U93="","",IF(INDEX('Per Invoice'!H$2:H$401,$U93)="","",INDEX('Per Invoice'!H$2:H$401,$U93)))</f>
        <v/>
      </c>
      <c r="I93" s="14">
        <f>IF($U93="","",IF(INDEX('Per Invoice'!I$2:I$401,$U93)="","",INDEX('Per Invoice'!I$2:I$401,$U93)))</f>
        <v/>
      </c>
      <c r="J93">
        <f>IF($U93="","",IF(INDEX('Per Invoice'!J$2:J$401,$U93)="","",INDEX('Per Invoice'!J$2:J$401,$U93)))</f>
        <v/>
      </c>
      <c r="K93">
        <f>IF($U93="","",IF(INDEX('Per Invoice'!K$2:K$401,$U93)="","",INDEX('Per Invoice'!K$2:K$401,$U93)))</f>
        <v/>
      </c>
      <c r="L93" s="7">
        <f>IF($U93="","",IF(INDEX('Per Invoice'!L$2:L$401,$U93)="","",INDEX('Per Invoice'!L$2:L$401,$U93)))</f>
        <v/>
      </c>
      <c r="M93" s="7">
        <f>IF($U93="","",IF(INDEX('Per Invoice'!M$2:M$401,$U93)="","",INDEX('Per Invoice'!M$2:M$401,$U93)))</f>
        <v/>
      </c>
      <c r="N93">
        <f>IF($U93="","",IF(INDEX('Per Invoice'!N$2:N$401,$U93)="","",INDEX('Per Invoice'!N$2:N$401,$U93)))</f>
        <v/>
      </c>
      <c r="O93" s="7">
        <f>IF($U93="","",IF(INDEX('Per Invoice'!O$2:O$401,$U93)="","",INDEX('Per Invoice'!O$2:O$401,$U93)))</f>
        <v/>
      </c>
      <c r="P93" s="7">
        <f>IF($U93="","",IF(INDEX('Per Invoice'!P$2:P$401,$U93)="","",INDEX('Per Invoice'!P$2:P$401,$U93)))</f>
        <v/>
      </c>
      <c r="Q93" s="7">
        <f>IF($U93="","",IF(INDEX('Per Invoice'!Q$2:Q$401,$U93)="","",INDEX('Per Invoice'!Q$2:Q$401,$U93)))</f>
        <v/>
      </c>
      <c r="R93" s="7">
        <f>IF($U93="","",IF(INDEX('Per Invoice'!R$2:R$401,$U93)="","",INDEX('Per Invoice'!R$2:R$401,$U93)))</f>
        <v/>
      </c>
      <c r="S93" s="7">
        <f>IF($U93="","",IF(INDEX('Per Invoice'!S$2:S$401,$U93)="","",INDEX('Per Invoice'!S$2:S$401,$U93)))</f>
        <v/>
      </c>
      <c r="T93" s="7">
        <f>IF($U93="","",IF(INDEX('Per Invoice'!T$2:T$401,$U93)="","",INDEX('Per Invoice'!T$2:T$401,$U93)))</f>
        <v/>
      </c>
      <c r="U93" s="16">
        <f>IFERROR(MATCH(Settings!$C$29&amp;"|"&amp;ROWS($U$2:$U93),'Per Invoice'!$V$2:$V$401,0),"")</f>
        <v/>
      </c>
    </row>
    <row r="94">
      <c r="A94">
        <f>IF($U94="","",IF(INDEX('Per Invoice'!A$2:A$401,$U94)="","",INDEX('Per Invoice'!A$2:A$401,$U94)))</f>
        <v/>
      </c>
      <c r="B94">
        <f>IF($U94="","",IF(INDEX('Per Invoice'!B$2:B$401,$U94)="","",INDEX('Per Invoice'!B$2:B$401,$U94)))</f>
        <v/>
      </c>
      <c r="C94">
        <f>IF($U94="","",IF(INDEX('Per Invoice'!C$2:C$401,$U94)="","",INDEX('Per Invoice'!C$2:C$401,$U94)))</f>
        <v/>
      </c>
      <c r="D94">
        <f>IF($U94="","",IF(INDEX('Per Invoice'!D$2:D$401,$U94)="","",INDEX('Per Invoice'!D$2:D$401,$U94)))</f>
        <v/>
      </c>
      <c r="E94">
        <f>IF($U94="","",IF(INDEX('Per Invoice'!E$2:E$401,$U94)="","",INDEX('Per Invoice'!E$2:E$401,$U94)))</f>
        <v/>
      </c>
      <c r="F94">
        <f>IF($U94="","",IF(INDEX('Per Invoice'!F$2:F$401,$U94)="","",INDEX('Per Invoice'!F$2:F$401,$U94)))</f>
        <v/>
      </c>
      <c r="G94">
        <f>IF($U94="","",IF(INDEX('Per Invoice'!G$2:G$401,$U94)="","",INDEX('Per Invoice'!G$2:G$401,$U94)))</f>
        <v/>
      </c>
      <c r="H94" s="7">
        <f>IF($U94="","",IF(INDEX('Per Invoice'!H$2:H$401,$U94)="","",INDEX('Per Invoice'!H$2:H$401,$U94)))</f>
        <v/>
      </c>
      <c r="I94" s="14">
        <f>IF($U94="","",IF(INDEX('Per Invoice'!I$2:I$401,$U94)="","",INDEX('Per Invoice'!I$2:I$401,$U94)))</f>
        <v/>
      </c>
      <c r="J94">
        <f>IF($U94="","",IF(INDEX('Per Invoice'!J$2:J$401,$U94)="","",INDEX('Per Invoice'!J$2:J$401,$U94)))</f>
        <v/>
      </c>
      <c r="K94">
        <f>IF($U94="","",IF(INDEX('Per Invoice'!K$2:K$401,$U94)="","",INDEX('Per Invoice'!K$2:K$401,$U94)))</f>
        <v/>
      </c>
      <c r="L94" s="7">
        <f>IF($U94="","",IF(INDEX('Per Invoice'!L$2:L$401,$U94)="","",INDEX('Per Invoice'!L$2:L$401,$U94)))</f>
        <v/>
      </c>
      <c r="M94" s="7">
        <f>IF($U94="","",IF(INDEX('Per Invoice'!M$2:M$401,$U94)="","",INDEX('Per Invoice'!M$2:M$401,$U94)))</f>
        <v/>
      </c>
      <c r="N94">
        <f>IF($U94="","",IF(INDEX('Per Invoice'!N$2:N$401,$U94)="","",INDEX('Per Invoice'!N$2:N$401,$U94)))</f>
        <v/>
      </c>
      <c r="O94" s="7">
        <f>IF($U94="","",IF(INDEX('Per Invoice'!O$2:O$401,$U94)="","",INDEX('Per Invoice'!O$2:O$401,$U94)))</f>
        <v/>
      </c>
      <c r="P94" s="7">
        <f>IF($U94="","",IF(INDEX('Per Invoice'!P$2:P$401,$U94)="","",INDEX('Per Invoice'!P$2:P$401,$U94)))</f>
        <v/>
      </c>
      <c r="Q94" s="7">
        <f>IF($U94="","",IF(INDEX('Per Invoice'!Q$2:Q$401,$U94)="","",INDEX('Per Invoice'!Q$2:Q$401,$U94)))</f>
        <v/>
      </c>
      <c r="R94" s="7">
        <f>IF($U94="","",IF(INDEX('Per Invoice'!R$2:R$401,$U94)="","",INDEX('Per Invoice'!R$2:R$401,$U94)))</f>
        <v/>
      </c>
      <c r="S94" s="7">
        <f>IF($U94="","",IF(INDEX('Per Invoice'!S$2:S$401,$U94)="","",INDEX('Per Invoice'!S$2:S$401,$U94)))</f>
        <v/>
      </c>
      <c r="T94" s="7">
        <f>IF($U94="","",IF(INDEX('Per Invoice'!T$2:T$401,$U94)="","",INDEX('Per Invoice'!T$2:T$401,$U94)))</f>
        <v/>
      </c>
      <c r="U94" s="16">
        <f>IFERROR(MATCH(Settings!$C$29&amp;"|"&amp;ROWS($U$2:$U94),'Per Invoice'!$V$2:$V$401,0),"")</f>
        <v/>
      </c>
    </row>
    <row r="95">
      <c r="A95">
        <f>IF($U95="","",IF(INDEX('Per Invoice'!A$2:A$401,$U95)="","",INDEX('Per Invoice'!A$2:A$401,$U95)))</f>
        <v/>
      </c>
      <c r="B95">
        <f>IF($U95="","",IF(INDEX('Per Invoice'!B$2:B$401,$U95)="","",INDEX('Per Invoice'!B$2:B$401,$U95)))</f>
        <v/>
      </c>
      <c r="C95">
        <f>IF($U95="","",IF(INDEX('Per Invoice'!C$2:C$401,$U95)="","",INDEX('Per Invoice'!C$2:C$401,$U95)))</f>
        <v/>
      </c>
      <c r="D95">
        <f>IF($U95="","",IF(INDEX('Per Invoice'!D$2:D$401,$U95)="","",INDEX('Per Invoice'!D$2:D$401,$U95)))</f>
        <v/>
      </c>
      <c r="E95">
        <f>IF($U95="","",IF(INDEX('Per Invoice'!E$2:E$401,$U95)="","",INDEX('Per Invoice'!E$2:E$401,$U95)))</f>
        <v/>
      </c>
      <c r="F95">
        <f>IF($U95="","",IF(INDEX('Per Invoice'!F$2:F$401,$U95)="","",INDEX('Per Invoice'!F$2:F$401,$U95)))</f>
        <v/>
      </c>
      <c r="G95">
        <f>IF($U95="","",IF(INDEX('Per Invoice'!G$2:G$401,$U95)="","",INDEX('Per Invoice'!G$2:G$401,$U95)))</f>
        <v/>
      </c>
      <c r="H95" s="7">
        <f>IF($U95="","",IF(INDEX('Per Invoice'!H$2:H$401,$U95)="","",INDEX('Per Invoice'!H$2:H$401,$U95)))</f>
        <v/>
      </c>
      <c r="I95" s="14">
        <f>IF($U95="","",IF(INDEX('Per Invoice'!I$2:I$401,$U95)="","",INDEX('Per Invoice'!I$2:I$401,$U95)))</f>
        <v/>
      </c>
      <c r="J95">
        <f>IF($U95="","",IF(INDEX('Per Invoice'!J$2:J$401,$U95)="","",INDEX('Per Invoice'!J$2:J$401,$U95)))</f>
        <v/>
      </c>
      <c r="K95">
        <f>IF($U95="","",IF(INDEX('Per Invoice'!K$2:K$401,$U95)="","",INDEX('Per Invoice'!K$2:K$401,$U95)))</f>
        <v/>
      </c>
      <c r="L95" s="7">
        <f>IF($U95="","",IF(INDEX('Per Invoice'!L$2:L$401,$U95)="","",INDEX('Per Invoice'!L$2:L$401,$U95)))</f>
        <v/>
      </c>
      <c r="M95" s="7">
        <f>IF($U95="","",IF(INDEX('Per Invoice'!M$2:M$401,$U95)="","",INDEX('Per Invoice'!M$2:M$401,$U95)))</f>
        <v/>
      </c>
      <c r="N95">
        <f>IF($U95="","",IF(INDEX('Per Invoice'!N$2:N$401,$U95)="","",INDEX('Per Invoice'!N$2:N$401,$U95)))</f>
        <v/>
      </c>
      <c r="O95" s="7">
        <f>IF($U95="","",IF(INDEX('Per Invoice'!O$2:O$401,$U95)="","",INDEX('Per Invoice'!O$2:O$401,$U95)))</f>
        <v/>
      </c>
      <c r="P95" s="7">
        <f>IF($U95="","",IF(INDEX('Per Invoice'!P$2:P$401,$U95)="","",INDEX('Per Invoice'!P$2:P$401,$U95)))</f>
        <v/>
      </c>
      <c r="Q95" s="7">
        <f>IF($U95="","",IF(INDEX('Per Invoice'!Q$2:Q$401,$U95)="","",INDEX('Per Invoice'!Q$2:Q$401,$U95)))</f>
        <v/>
      </c>
      <c r="R95" s="7">
        <f>IF($U95="","",IF(INDEX('Per Invoice'!R$2:R$401,$U95)="","",INDEX('Per Invoice'!R$2:R$401,$U95)))</f>
        <v/>
      </c>
      <c r="S95" s="7">
        <f>IF($U95="","",IF(INDEX('Per Invoice'!S$2:S$401,$U95)="","",INDEX('Per Invoice'!S$2:S$401,$U95)))</f>
        <v/>
      </c>
      <c r="T95" s="7">
        <f>IF($U95="","",IF(INDEX('Per Invoice'!T$2:T$401,$U95)="","",INDEX('Per Invoice'!T$2:T$401,$U95)))</f>
        <v/>
      </c>
      <c r="U95" s="16">
        <f>IFERROR(MATCH(Settings!$C$29&amp;"|"&amp;ROWS($U$2:$U95),'Per Invoice'!$V$2:$V$401,0),"")</f>
        <v/>
      </c>
    </row>
    <row r="96">
      <c r="A96">
        <f>IF($U96="","",IF(INDEX('Per Invoice'!A$2:A$401,$U96)="","",INDEX('Per Invoice'!A$2:A$401,$U96)))</f>
        <v/>
      </c>
      <c r="B96">
        <f>IF($U96="","",IF(INDEX('Per Invoice'!B$2:B$401,$U96)="","",INDEX('Per Invoice'!B$2:B$401,$U96)))</f>
        <v/>
      </c>
      <c r="C96">
        <f>IF($U96="","",IF(INDEX('Per Invoice'!C$2:C$401,$U96)="","",INDEX('Per Invoice'!C$2:C$401,$U96)))</f>
        <v/>
      </c>
      <c r="D96">
        <f>IF($U96="","",IF(INDEX('Per Invoice'!D$2:D$401,$U96)="","",INDEX('Per Invoice'!D$2:D$401,$U96)))</f>
        <v/>
      </c>
      <c r="E96">
        <f>IF($U96="","",IF(INDEX('Per Invoice'!E$2:E$401,$U96)="","",INDEX('Per Invoice'!E$2:E$401,$U96)))</f>
        <v/>
      </c>
      <c r="F96">
        <f>IF($U96="","",IF(INDEX('Per Invoice'!F$2:F$401,$U96)="","",INDEX('Per Invoice'!F$2:F$401,$U96)))</f>
        <v/>
      </c>
      <c r="G96">
        <f>IF($U96="","",IF(INDEX('Per Invoice'!G$2:G$401,$U96)="","",INDEX('Per Invoice'!G$2:G$401,$U96)))</f>
        <v/>
      </c>
      <c r="H96" s="7">
        <f>IF($U96="","",IF(INDEX('Per Invoice'!H$2:H$401,$U96)="","",INDEX('Per Invoice'!H$2:H$401,$U96)))</f>
        <v/>
      </c>
      <c r="I96" s="14">
        <f>IF($U96="","",IF(INDEX('Per Invoice'!I$2:I$401,$U96)="","",INDEX('Per Invoice'!I$2:I$401,$U96)))</f>
        <v/>
      </c>
      <c r="J96">
        <f>IF($U96="","",IF(INDEX('Per Invoice'!J$2:J$401,$U96)="","",INDEX('Per Invoice'!J$2:J$401,$U96)))</f>
        <v/>
      </c>
      <c r="K96">
        <f>IF($U96="","",IF(INDEX('Per Invoice'!K$2:K$401,$U96)="","",INDEX('Per Invoice'!K$2:K$401,$U96)))</f>
        <v/>
      </c>
      <c r="L96" s="7">
        <f>IF($U96="","",IF(INDEX('Per Invoice'!L$2:L$401,$U96)="","",INDEX('Per Invoice'!L$2:L$401,$U96)))</f>
        <v/>
      </c>
      <c r="M96" s="7">
        <f>IF($U96="","",IF(INDEX('Per Invoice'!M$2:M$401,$U96)="","",INDEX('Per Invoice'!M$2:M$401,$U96)))</f>
        <v/>
      </c>
      <c r="N96">
        <f>IF($U96="","",IF(INDEX('Per Invoice'!N$2:N$401,$U96)="","",INDEX('Per Invoice'!N$2:N$401,$U96)))</f>
        <v/>
      </c>
      <c r="O96" s="7">
        <f>IF($U96="","",IF(INDEX('Per Invoice'!O$2:O$401,$U96)="","",INDEX('Per Invoice'!O$2:O$401,$U96)))</f>
        <v/>
      </c>
      <c r="P96" s="7">
        <f>IF($U96="","",IF(INDEX('Per Invoice'!P$2:P$401,$U96)="","",INDEX('Per Invoice'!P$2:P$401,$U96)))</f>
        <v/>
      </c>
      <c r="Q96" s="7">
        <f>IF($U96="","",IF(INDEX('Per Invoice'!Q$2:Q$401,$U96)="","",INDEX('Per Invoice'!Q$2:Q$401,$U96)))</f>
        <v/>
      </c>
      <c r="R96" s="7">
        <f>IF($U96="","",IF(INDEX('Per Invoice'!R$2:R$401,$U96)="","",INDEX('Per Invoice'!R$2:R$401,$U96)))</f>
        <v/>
      </c>
      <c r="S96" s="7">
        <f>IF($U96="","",IF(INDEX('Per Invoice'!S$2:S$401,$U96)="","",INDEX('Per Invoice'!S$2:S$401,$U96)))</f>
        <v/>
      </c>
      <c r="T96" s="7">
        <f>IF($U96="","",IF(INDEX('Per Invoice'!T$2:T$401,$U96)="","",INDEX('Per Invoice'!T$2:T$401,$U96)))</f>
        <v/>
      </c>
      <c r="U96" s="16">
        <f>IFERROR(MATCH(Settings!$C$29&amp;"|"&amp;ROWS($U$2:$U96),'Per Invoice'!$V$2:$V$401,0),"")</f>
        <v/>
      </c>
    </row>
    <row r="97">
      <c r="A97">
        <f>IF($U97="","",IF(INDEX('Per Invoice'!A$2:A$401,$U97)="","",INDEX('Per Invoice'!A$2:A$401,$U97)))</f>
        <v/>
      </c>
      <c r="B97">
        <f>IF($U97="","",IF(INDEX('Per Invoice'!B$2:B$401,$U97)="","",INDEX('Per Invoice'!B$2:B$401,$U97)))</f>
        <v/>
      </c>
      <c r="C97">
        <f>IF($U97="","",IF(INDEX('Per Invoice'!C$2:C$401,$U97)="","",INDEX('Per Invoice'!C$2:C$401,$U97)))</f>
        <v/>
      </c>
      <c r="D97">
        <f>IF($U97="","",IF(INDEX('Per Invoice'!D$2:D$401,$U97)="","",INDEX('Per Invoice'!D$2:D$401,$U97)))</f>
        <v/>
      </c>
      <c r="E97">
        <f>IF($U97="","",IF(INDEX('Per Invoice'!E$2:E$401,$U97)="","",INDEX('Per Invoice'!E$2:E$401,$U97)))</f>
        <v/>
      </c>
      <c r="F97">
        <f>IF($U97="","",IF(INDEX('Per Invoice'!F$2:F$401,$U97)="","",INDEX('Per Invoice'!F$2:F$401,$U97)))</f>
        <v/>
      </c>
      <c r="G97">
        <f>IF($U97="","",IF(INDEX('Per Invoice'!G$2:G$401,$U97)="","",INDEX('Per Invoice'!G$2:G$401,$U97)))</f>
        <v/>
      </c>
      <c r="H97" s="7">
        <f>IF($U97="","",IF(INDEX('Per Invoice'!H$2:H$401,$U97)="","",INDEX('Per Invoice'!H$2:H$401,$U97)))</f>
        <v/>
      </c>
      <c r="I97" s="14">
        <f>IF($U97="","",IF(INDEX('Per Invoice'!I$2:I$401,$U97)="","",INDEX('Per Invoice'!I$2:I$401,$U97)))</f>
        <v/>
      </c>
      <c r="J97">
        <f>IF($U97="","",IF(INDEX('Per Invoice'!J$2:J$401,$U97)="","",INDEX('Per Invoice'!J$2:J$401,$U97)))</f>
        <v/>
      </c>
      <c r="K97">
        <f>IF($U97="","",IF(INDEX('Per Invoice'!K$2:K$401,$U97)="","",INDEX('Per Invoice'!K$2:K$401,$U97)))</f>
        <v/>
      </c>
      <c r="L97" s="7">
        <f>IF($U97="","",IF(INDEX('Per Invoice'!L$2:L$401,$U97)="","",INDEX('Per Invoice'!L$2:L$401,$U97)))</f>
        <v/>
      </c>
      <c r="M97" s="7">
        <f>IF($U97="","",IF(INDEX('Per Invoice'!M$2:M$401,$U97)="","",INDEX('Per Invoice'!M$2:M$401,$U97)))</f>
        <v/>
      </c>
      <c r="N97">
        <f>IF($U97="","",IF(INDEX('Per Invoice'!N$2:N$401,$U97)="","",INDEX('Per Invoice'!N$2:N$401,$U97)))</f>
        <v/>
      </c>
      <c r="O97" s="7">
        <f>IF($U97="","",IF(INDEX('Per Invoice'!O$2:O$401,$U97)="","",INDEX('Per Invoice'!O$2:O$401,$U97)))</f>
        <v/>
      </c>
      <c r="P97" s="7">
        <f>IF($U97="","",IF(INDEX('Per Invoice'!P$2:P$401,$U97)="","",INDEX('Per Invoice'!P$2:P$401,$U97)))</f>
        <v/>
      </c>
      <c r="Q97" s="7">
        <f>IF($U97="","",IF(INDEX('Per Invoice'!Q$2:Q$401,$U97)="","",INDEX('Per Invoice'!Q$2:Q$401,$U97)))</f>
        <v/>
      </c>
      <c r="R97" s="7">
        <f>IF($U97="","",IF(INDEX('Per Invoice'!R$2:R$401,$U97)="","",INDEX('Per Invoice'!R$2:R$401,$U97)))</f>
        <v/>
      </c>
      <c r="S97" s="7">
        <f>IF($U97="","",IF(INDEX('Per Invoice'!S$2:S$401,$U97)="","",INDEX('Per Invoice'!S$2:S$401,$U97)))</f>
        <v/>
      </c>
      <c r="T97" s="7">
        <f>IF($U97="","",IF(INDEX('Per Invoice'!T$2:T$401,$U97)="","",INDEX('Per Invoice'!T$2:T$401,$U97)))</f>
        <v/>
      </c>
      <c r="U97" s="16">
        <f>IFERROR(MATCH(Settings!$C$29&amp;"|"&amp;ROWS($U$2:$U97),'Per Invoice'!$V$2:$V$401,0),"")</f>
        <v/>
      </c>
    </row>
    <row r="98">
      <c r="A98">
        <f>IF($U98="","",IF(INDEX('Per Invoice'!A$2:A$401,$U98)="","",INDEX('Per Invoice'!A$2:A$401,$U98)))</f>
        <v/>
      </c>
      <c r="B98">
        <f>IF($U98="","",IF(INDEX('Per Invoice'!B$2:B$401,$U98)="","",INDEX('Per Invoice'!B$2:B$401,$U98)))</f>
        <v/>
      </c>
      <c r="C98">
        <f>IF($U98="","",IF(INDEX('Per Invoice'!C$2:C$401,$U98)="","",INDEX('Per Invoice'!C$2:C$401,$U98)))</f>
        <v/>
      </c>
      <c r="D98">
        <f>IF($U98="","",IF(INDEX('Per Invoice'!D$2:D$401,$U98)="","",INDEX('Per Invoice'!D$2:D$401,$U98)))</f>
        <v/>
      </c>
      <c r="E98">
        <f>IF($U98="","",IF(INDEX('Per Invoice'!E$2:E$401,$U98)="","",INDEX('Per Invoice'!E$2:E$401,$U98)))</f>
        <v/>
      </c>
      <c r="F98">
        <f>IF($U98="","",IF(INDEX('Per Invoice'!F$2:F$401,$U98)="","",INDEX('Per Invoice'!F$2:F$401,$U98)))</f>
        <v/>
      </c>
      <c r="G98">
        <f>IF($U98="","",IF(INDEX('Per Invoice'!G$2:G$401,$U98)="","",INDEX('Per Invoice'!G$2:G$401,$U98)))</f>
        <v/>
      </c>
      <c r="H98" s="7">
        <f>IF($U98="","",IF(INDEX('Per Invoice'!H$2:H$401,$U98)="","",INDEX('Per Invoice'!H$2:H$401,$U98)))</f>
        <v/>
      </c>
      <c r="I98" s="14">
        <f>IF($U98="","",IF(INDEX('Per Invoice'!I$2:I$401,$U98)="","",INDEX('Per Invoice'!I$2:I$401,$U98)))</f>
        <v/>
      </c>
      <c r="J98">
        <f>IF($U98="","",IF(INDEX('Per Invoice'!J$2:J$401,$U98)="","",INDEX('Per Invoice'!J$2:J$401,$U98)))</f>
        <v/>
      </c>
      <c r="K98">
        <f>IF($U98="","",IF(INDEX('Per Invoice'!K$2:K$401,$U98)="","",INDEX('Per Invoice'!K$2:K$401,$U98)))</f>
        <v/>
      </c>
      <c r="L98" s="7">
        <f>IF($U98="","",IF(INDEX('Per Invoice'!L$2:L$401,$U98)="","",INDEX('Per Invoice'!L$2:L$401,$U98)))</f>
        <v/>
      </c>
      <c r="M98" s="7">
        <f>IF($U98="","",IF(INDEX('Per Invoice'!M$2:M$401,$U98)="","",INDEX('Per Invoice'!M$2:M$401,$U98)))</f>
        <v/>
      </c>
      <c r="N98">
        <f>IF($U98="","",IF(INDEX('Per Invoice'!N$2:N$401,$U98)="","",INDEX('Per Invoice'!N$2:N$401,$U98)))</f>
        <v/>
      </c>
      <c r="O98" s="7">
        <f>IF($U98="","",IF(INDEX('Per Invoice'!O$2:O$401,$U98)="","",INDEX('Per Invoice'!O$2:O$401,$U98)))</f>
        <v/>
      </c>
      <c r="P98" s="7">
        <f>IF($U98="","",IF(INDEX('Per Invoice'!P$2:P$401,$U98)="","",INDEX('Per Invoice'!P$2:P$401,$U98)))</f>
        <v/>
      </c>
      <c r="Q98" s="7">
        <f>IF($U98="","",IF(INDEX('Per Invoice'!Q$2:Q$401,$U98)="","",INDEX('Per Invoice'!Q$2:Q$401,$U98)))</f>
        <v/>
      </c>
      <c r="R98" s="7">
        <f>IF($U98="","",IF(INDEX('Per Invoice'!R$2:R$401,$U98)="","",INDEX('Per Invoice'!R$2:R$401,$U98)))</f>
        <v/>
      </c>
      <c r="S98" s="7">
        <f>IF($U98="","",IF(INDEX('Per Invoice'!S$2:S$401,$U98)="","",INDEX('Per Invoice'!S$2:S$401,$U98)))</f>
        <v/>
      </c>
      <c r="T98" s="7">
        <f>IF($U98="","",IF(INDEX('Per Invoice'!T$2:T$401,$U98)="","",INDEX('Per Invoice'!T$2:T$401,$U98)))</f>
        <v/>
      </c>
      <c r="U98" s="16">
        <f>IFERROR(MATCH(Settings!$C$29&amp;"|"&amp;ROWS($U$2:$U98),'Per Invoice'!$V$2:$V$401,0),"")</f>
        <v/>
      </c>
    </row>
    <row r="99">
      <c r="A99">
        <f>IF($U99="","",IF(INDEX('Per Invoice'!A$2:A$401,$U99)="","",INDEX('Per Invoice'!A$2:A$401,$U99)))</f>
        <v/>
      </c>
      <c r="B99">
        <f>IF($U99="","",IF(INDEX('Per Invoice'!B$2:B$401,$U99)="","",INDEX('Per Invoice'!B$2:B$401,$U99)))</f>
        <v/>
      </c>
      <c r="C99">
        <f>IF($U99="","",IF(INDEX('Per Invoice'!C$2:C$401,$U99)="","",INDEX('Per Invoice'!C$2:C$401,$U99)))</f>
        <v/>
      </c>
      <c r="D99">
        <f>IF($U99="","",IF(INDEX('Per Invoice'!D$2:D$401,$U99)="","",INDEX('Per Invoice'!D$2:D$401,$U99)))</f>
        <v/>
      </c>
      <c r="E99">
        <f>IF($U99="","",IF(INDEX('Per Invoice'!E$2:E$401,$U99)="","",INDEX('Per Invoice'!E$2:E$401,$U99)))</f>
        <v/>
      </c>
      <c r="F99">
        <f>IF($U99="","",IF(INDEX('Per Invoice'!F$2:F$401,$U99)="","",INDEX('Per Invoice'!F$2:F$401,$U99)))</f>
        <v/>
      </c>
      <c r="G99">
        <f>IF($U99="","",IF(INDEX('Per Invoice'!G$2:G$401,$U99)="","",INDEX('Per Invoice'!G$2:G$401,$U99)))</f>
        <v/>
      </c>
      <c r="H99" s="7">
        <f>IF($U99="","",IF(INDEX('Per Invoice'!H$2:H$401,$U99)="","",INDEX('Per Invoice'!H$2:H$401,$U99)))</f>
        <v/>
      </c>
      <c r="I99" s="14">
        <f>IF($U99="","",IF(INDEX('Per Invoice'!I$2:I$401,$U99)="","",INDEX('Per Invoice'!I$2:I$401,$U99)))</f>
        <v/>
      </c>
      <c r="J99">
        <f>IF($U99="","",IF(INDEX('Per Invoice'!J$2:J$401,$U99)="","",INDEX('Per Invoice'!J$2:J$401,$U99)))</f>
        <v/>
      </c>
      <c r="K99">
        <f>IF($U99="","",IF(INDEX('Per Invoice'!K$2:K$401,$U99)="","",INDEX('Per Invoice'!K$2:K$401,$U99)))</f>
        <v/>
      </c>
      <c r="L99" s="7">
        <f>IF($U99="","",IF(INDEX('Per Invoice'!L$2:L$401,$U99)="","",INDEX('Per Invoice'!L$2:L$401,$U99)))</f>
        <v/>
      </c>
      <c r="M99" s="7">
        <f>IF($U99="","",IF(INDEX('Per Invoice'!M$2:M$401,$U99)="","",INDEX('Per Invoice'!M$2:M$401,$U99)))</f>
        <v/>
      </c>
      <c r="N99">
        <f>IF($U99="","",IF(INDEX('Per Invoice'!N$2:N$401,$U99)="","",INDEX('Per Invoice'!N$2:N$401,$U99)))</f>
        <v/>
      </c>
      <c r="O99" s="7">
        <f>IF($U99="","",IF(INDEX('Per Invoice'!O$2:O$401,$U99)="","",INDEX('Per Invoice'!O$2:O$401,$U99)))</f>
        <v/>
      </c>
      <c r="P99" s="7">
        <f>IF($U99="","",IF(INDEX('Per Invoice'!P$2:P$401,$U99)="","",INDEX('Per Invoice'!P$2:P$401,$U99)))</f>
        <v/>
      </c>
      <c r="Q99" s="7">
        <f>IF($U99="","",IF(INDEX('Per Invoice'!Q$2:Q$401,$U99)="","",INDEX('Per Invoice'!Q$2:Q$401,$U99)))</f>
        <v/>
      </c>
      <c r="R99" s="7">
        <f>IF($U99="","",IF(INDEX('Per Invoice'!R$2:R$401,$U99)="","",INDEX('Per Invoice'!R$2:R$401,$U99)))</f>
        <v/>
      </c>
      <c r="S99" s="7">
        <f>IF($U99="","",IF(INDEX('Per Invoice'!S$2:S$401,$U99)="","",INDEX('Per Invoice'!S$2:S$401,$U99)))</f>
        <v/>
      </c>
      <c r="T99" s="7">
        <f>IF($U99="","",IF(INDEX('Per Invoice'!T$2:T$401,$U99)="","",INDEX('Per Invoice'!T$2:T$401,$U99)))</f>
        <v/>
      </c>
      <c r="U99" s="16">
        <f>IFERROR(MATCH(Settings!$C$29&amp;"|"&amp;ROWS($U$2:$U99),'Per Invoice'!$V$2:$V$401,0),"")</f>
        <v/>
      </c>
    </row>
    <row r="100">
      <c r="A100">
        <f>IF($U100="","",IF(INDEX('Per Invoice'!A$2:A$401,$U100)="","",INDEX('Per Invoice'!A$2:A$401,$U100)))</f>
        <v/>
      </c>
      <c r="B100">
        <f>IF($U100="","",IF(INDEX('Per Invoice'!B$2:B$401,$U100)="","",INDEX('Per Invoice'!B$2:B$401,$U100)))</f>
        <v/>
      </c>
      <c r="C100">
        <f>IF($U100="","",IF(INDEX('Per Invoice'!C$2:C$401,$U100)="","",INDEX('Per Invoice'!C$2:C$401,$U100)))</f>
        <v/>
      </c>
      <c r="D100">
        <f>IF($U100="","",IF(INDEX('Per Invoice'!D$2:D$401,$U100)="","",INDEX('Per Invoice'!D$2:D$401,$U100)))</f>
        <v/>
      </c>
      <c r="E100">
        <f>IF($U100="","",IF(INDEX('Per Invoice'!E$2:E$401,$U100)="","",INDEX('Per Invoice'!E$2:E$401,$U100)))</f>
        <v/>
      </c>
      <c r="F100">
        <f>IF($U100="","",IF(INDEX('Per Invoice'!F$2:F$401,$U100)="","",INDEX('Per Invoice'!F$2:F$401,$U100)))</f>
        <v/>
      </c>
      <c r="G100">
        <f>IF($U100="","",IF(INDEX('Per Invoice'!G$2:G$401,$U100)="","",INDEX('Per Invoice'!G$2:G$401,$U100)))</f>
        <v/>
      </c>
      <c r="H100" s="7">
        <f>IF($U100="","",IF(INDEX('Per Invoice'!H$2:H$401,$U100)="","",INDEX('Per Invoice'!H$2:H$401,$U100)))</f>
        <v/>
      </c>
      <c r="I100" s="14">
        <f>IF($U100="","",IF(INDEX('Per Invoice'!I$2:I$401,$U100)="","",INDEX('Per Invoice'!I$2:I$401,$U100)))</f>
        <v/>
      </c>
      <c r="J100">
        <f>IF($U100="","",IF(INDEX('Per Invoice'!J$2:J$401,$U100)="","",INDEX('Per Invoice'!J$2:J$401,$U100)))</f>
        <v/>
      </c>
      <c r="K100">
        <f>IF($U100="","",IF(INDEX('Per Invoice'!K$2:K$401,$U100)="","",INDEX('Per Invoice'!K$2:K$401,$U100)))</f>
        <v/>
      </c>
      <c r="L100" s="7">
        <f>IF($U100="","",IF(INDEX('Per Invoice'!L$2:L$401,$U100)="","",INDEX('Per Invoice'!L$2:L$401,$U100)))</f>
        <v/>
      </c>
      <c r="M100" s="7">
        <f>IF($U100="","",IF(INDEX('Per Invoice'!M$2:M$401,$U100)="","",INDEX('Per Invoice'!M$2:M$401,$U100)))</f>
        <v/>
      </c>
      <c r="N100">
        <f>IF($U100="","",IF(INDEX('Per Invoice'!N$2:N$401,$U100)="","",INDEX('Per Invoice'!N$2:N$401,$U100)))</f>
        <v/>
      </c>
      <c r="O100" s="7">
        <f>IF($U100="","",IF(INDEX('Per Invoice'!O$2:O$401,$U100)="","",INDEX('Per Invoice'!O$2:O$401,$U100)))</f>
        <v/>
      </c>
      <c r="P100" s="7">
        <f>IF($U100="","",IF(INDEX('Per Invoice'!P$2:P$401,$U100)="","",INDEX('Per Invoice'!P$2:P$401,$U100)))</f>
        <v/>
      </c>
      <c r="Q100" s="7">
        <f>IF($U100="","",IF(INDEX('Per Invoice'!Q$2:Q$401,$U100)="","",INDEX('Per Invoice'!Q$2:Q$401,$U100)))</f>
        <v/>
      </c>
      <c r="R100" s="7">
        <f>IF($U100="","",IF(INDEX('Per Invoice'!R$2:R$401,$U100)="","",INDEX('Per Invoice'!R$2:R$401,$U100)))</f>
        <v/>
      </c>
      <c r="S100" s="7">
        <f>IF($U100="","",IF(INDEX('Per Invoice'!S$2:S$401,$U100)="","",INDEX('Per Invoice'!S$2:S$401,$U100)))</f>
        <v/>
      </c>
      <c r="T100" s="7">
        <f>IF($U100="","",IF(INDEX('Per Invoice'!T$2:T$401,$U100)="","",INDEX('Per Invoice'!T$2:T$401,$U100)))</f>
        <v/>
      </c>
      <c r="U100" s="16">
        <f>IFERROR(MATCH(Settings!$C$29&amp;"|"&amp;ROWS($U$2:$U100),'Per Invoice'!$V$2:$V$401,0),"")</f>
        <v/>
      </c>
    </row>
    <row r="101">
      <c r="A101">
        <f>IF($U101="","",IF(INDEX('Per Invoice'!A$2:A$401,$U101)="","",INDEX('Per Invoice'!A$2:A$401,$U101)))</f>
        <v/>
      </c>
      <c r="B101">
        <f>IF($U101="","",IF(INDEX('Per Invoice'!B$2:B$401,$U101)="","",INDEX('Per Invoice'!B$2:B$401,$U101)))</f>
        <v/>
      </c>
      <c r="C101">
        <f>IF($U101="","",IF(INDEX('Per Invoice'!C$2:C$401,$U101)="","",INDEX('Per Invoice'!C$2:C$401,$U101)))</f>
        <v/>
      </c>
      <c r="D101">
        <f>IF($U101="","",IF(INDEX('Per Invoice'!D$2:D$401,$U101)="","",INDEX('Per Invoice'!D$2:D$401,$U101)))</f>
        <v/>
      </c>
      <c r="E101">
        <f>IF($U101="","",IF(INDEX('Per Invoice'!E$2:E$401,$U101)="","",INDEX('Per Invoice'!E$2:E$401,$U101)))</f>
        <v/>
      </c>
      <c r="F101">
        <f>IF($U101="","",IF(INDEX('Per Invoice'!F$2:F$401,$U101)="","",INDEX('Per Invoice'!F$2:F$401,$U101)))</f>
        <v/>
      </c>
      <c r="G101">
        <f>IF($U101="","",IF(INDEX('Per Invoice'!G$2:G$401,$U101)="","",INDEX('Per Invoice'!G$2:G$401,$U101)))</f>
        <v/>
      </c>
      <c r="H101" s="7">
        <f>IF($U101="","",IF(INDEX('Per Invoice'!H$2:H$401,$U101)="","",INDEX('Per Invoice'!H$2:H$401,$U101)))</f>
        <v/>
      </c>
      <c r="I101" s="14">
        <f>IF($U101="","",IF(INDEX('Per Invoice'!I$2:I$401,$U101)="","",INDEX('Per Invoice'!I$2:I$401,$U101)))</f>
        <v/>
      </c>
      <c r="J101">
        <f>IF($U101="","",IF(INDEX('Per Invoice'!J$2:J$401,$U101)="","",INDEX('Per Invoice'!J$2:J$401,$U101)))</f>
        <v/>
      </c>
      <c r="K101">
        <f>IF($U101="","",IF(INDEX('Per Invoice'!K$2:K$401,$U101)="","",INDEX('Per Invoice'!K$2:K$401,$U101)))</f>
        <v/>
      </c>
      <c r="L101" s="7">
        <f>IF($U101="","",IF(INDEX('Per Invoice'!L$2:L$401,$U101)="","",INDEX('Per Invoice'!L$2:L$401,$U101)))</f>
        <v/>
      </c>
      <c r="M101" s="7">
        <f>IF($U101="","",IF(INDEX('Per Invoice'!M$2:M$401,$U101)="","",INDEX('Per Invoice'!M$2:M$401,$U101)))</f>
        <v/>
      </c>
      <c r="N101">
        <f>IF($U101="","",IF(INDEX('Per Invoice'!N$2:N$401,$U101)="","",INDEX('Per Invoice'!N$2:N$401,$U101)))</f>
        <v/>
      </c>
      <c r="O101" s="7">
        <f>IF($U101="","",IF(INDEX('Per Invoice'!O$2:O$401,$U101)="","",INDEX('Per Invoice'!O$2:O$401,$U101)))</f>
        <v/>
      </c>
      <c r="P101" s="7">
        <f>IF($U101="","",IF(INDEX('Per Invoice'!P$2:P$401,$U101)="","",INDEX('Per Invoice'!P$2:P$401,$U101)))</f>
        <v/>
      </c>
      <c r="Q101" s="7">
        <f>IF($U101="","",IF(INDEX('Per Invoice'!Q$2:Q$401,$U101)="","",INDEX('Per Invoice'!Q$2:Q$401,$U101)))</f>
        <v/>
      </c>
      <c r="R101" s="7">
        <f>IF($U101="","",IF(INDEX('Per Invoice'!R$2:R$401,$U101)="","",INDEX('Per Invoice'!R$2:R$401,$U101)))</f>
        <v/>
      </c>
      <c r="S101" s="7">
        <f>IF($U101="","",IF(INDEX('Per Invoice'!S$2:S$401,$U101)="","",INDEX('Per Invoice'!S$2:S$401,$U101)))</f>
        <v/>
      </c>
      <c r="T101" s="7">
        <f>IF($U101="","",IF(INDEX('Per Invoice'!T$2:T$401,$U101)="","",INDEX('Per Invoice'!T$2:T$401,$U101)))</f>
        <v/>
      </c>
      <c r="U101" s="16">
        <f>IFERROR(MATCH(Settings!$C$29&amp;"|"&amp;ROWS($U$2:$U101),'Per Invoice'!$V$2:$V$401,0),"")</f>
        <v/>
      </c>
    </row>
    <row r="102">
      <c r="A102">
        <f>IF($U102="","",IF(INDEX('Per Invoice'!A$2:A$401,$U102)="","",INDEX('Per Invoice'!A$2:A$401,$U102)))</f>
        <v/>
      </c>
      <c r="B102">
        <f>IF($U102="","",IF(INDEX('Per Invoice'!B$2:B$401,$U102)="","",INDEX('Per Invoice'!B$2:B$401,$U102)))</f>
        <v/>
      </c>
      <c r="C102">
        <f>IF($U102="","",IF(INDEX('Per Invoice'!C$2:C$401,$U102)="","",INDEX('Per Invoice'!C$2:C$401,$U102)))</f>
        <v/>
      </c>
      <c r="D102">
        <f>IF($U102="","",IF(INDEX('Per Invoice'!D$2:D$401,$U102)="","",INDEX('Per Invoice'!D$2:D$401,$U102)))</f>
        <v/>
      </c>
      <c r="E102">
        <f>IF($U102="","",IF(INDEX('Per Invoice'!E$2:E$401,$U102)="","",INDEX('Per Invoice'!E$2:E$401,$U102)))</f>
        <v/>
      </c>
      <c r="F102">
        <f>IF($U102="","",IF(INDEX('Per Invoice'!F$2:F$401,$U102)="","",INDEX('Per Invoice'!F$2:F$401,$U102)))</f>
        <v/>
      </c>
      <c r="G102">
        <f>IF($U102="","",IF(INDEX('Per Invoice'!G$2:G$401,$U102)="","",INDEX('Per Invoice'!G$2:G$401,$U102)))</f>
        <v/>
      </c>
      <c r="H102" s="7">
        <f>IF($U102="","",IF(INDEX('Per Invoice'!H$2:H$401,$U102)="","",INDEX('Per Invoice'!H$2:H$401,$U102)))</f>
        <v/>
      </c>
      <c r="I102" s="14">
        <f>IF($U102="","",IF(INDEX('Per Invoice'!I$2:I$401,$U102)="","",INDEX('Per Invoice'!I$2:I$401,$U102)))</f>
        <v/>
      </c>
      <c r="J102">
        <f>IF($U102="","",IF(INDEX('Per Invoice'!J$2:J$401,$U102)="","",INDEX('Per Invoice'!J$2:J$401,$U102)))</f>
        <v/>
      </c>
      <c r="K102">
        <f>IF($U102="","",IF(INDEX('Per Invoice'!K$2:K$401,$U102)="","",INDEX('Per Invoice'!K$2:K$401,$U102)))</f>
        <v/>
      </c>
      <c r="L102" s="7">
        <f>IF($U102="","",IF(INDEX('Per Invoice'!L$2:L$401,$U102)="","",INDEX('Per Invoice'!L$2:L$401,$U102)))</f>
        <v/>
      </c>
      <c r="M102" s="7">
        <f>IF($U102="","",IF(INDEX('Per Invoice'!M$2:M$401,$U102)="","",INDEX('Per Invoice'!M$2:M$401,$U102)))</f>
        <v/>
      </c>
      <c r="N102">
        <f>IF($U102="","",IF(INDEX('Per Invoice'!N$2:N$401,$U102)="","",INDEX('Per Invoice'!N$2:N$401,$U102)))</f>
        <v/>
      </c>
      <c r="O102" s="7">
        <f>IF($U102="","",IF(INDEX('Per Invoice'!O$2:O$401,$U102)="","",INDEX('Per Invoice'!O$2:O$401,$U102)))</f>
        <v/>
      </c>
      <c r="P102" s="7">
        <f>IF($U102="","",IF(INDEX('Per Invoice'!P$2:P$401,$U102)="","",INDEX('Per Invoice'!P$2:P$401,$U102)))</f>
        <v/>
      </c>
      <c r="Q102" s="7">
        <f>IF($U102="","",IF(INDEX('Per Invoice'!Q$2:Q$401,$U102)="","",INDEX('Per Invoice'!Q$2:Q$401,$U102)))</f>
        <v/>
      </c>
      <c r="R102" s="7">
        <f>IF($U102="","",IF(INDEX('Per Invoice'!R$2:R$401,$U102)="","",INDEX('Per Invoice'!R$2:R$401,$U102)))</f>
        <v/>
      </c>
      <c r="S102" s="7">
        <f>IF($U102="","",IF(INDEX('Per Invoice'!S$2:S$401,$U102)="","",INDEX('Per Invoice'!S$2:S$401,$U102)))</f>
        <v/>
      </c>
      <c r="T102" s="7">
        <f>IF($U102="","",IF(INDEX('Per Invoice'!T$2:T$401,$U102)="","",INDEX('Per Invoice'!T$2:T$401,$U102)))</f>
        <v/>
      </c>
      <c r="U102" s="16">
        <f>IFERROR(MATCH(Settings!$C$29&amp;"|"&amp;ROWS($U$2:$U102),'Per Invoice'!$V$2:$V$401,0),"")</f>
        <v/>
      </c>
    </row>
    <row r="103">
      <c r="A103">
        <f>IF($U103="","",IF(INDEX('Per Invoice'!A$2:A$401,$U103)="","",INDEX('Per Invoice'!A$2:A$401,$U103)))</f>
        <v/>
      </c>
      <c r="B103">
        <f>IF($U103="","",IF(INDEX('Per Invoice'!B$2:B$401,$U103)="","",INDEX('Per Invoice'!B$2:B$401,$U103)))</f>
        <v/>
      </c>
      <c r="C103">
        <f>IF($U103="","",IF(INDEX('Per Invoice'!C$2:C$401,$U103)="","",INDEX('Per Invoice'!C$2:C$401,$U103)))</f>
        <v/>
      </c>
      <c r="D103">
        <f>IF($U103="","",IF(INDEX('Per Invoice'!D$2:D$401,$U103)="","",INDEX('Per Invoice'!D$2:D$401,$U103)))</f>
        <v/>
      </c>
      <c r="E103">
        <f>IF($U103="","",IF(INDEX('Per Invoice'!E$2:E$401,$U103)="","",INDEX('Per Invoice'!E$2:E$401,$U103)))</f>
        <v/>
      </c>
      <c r="F103">
        <f>IF($U103="","",IF(INDEX('Per Invoice'!F$2:F$401,$U103)="","",INDEX('Per Invoice'!F$2:F$401,$U103)))</f>
        <v/>
      </c>
      <c r="G103">
        <f>IF($U103="","",IF(INDEX('Per Invoice'!G$2:G$401,$U103)="","",INDEX('Per Invoice'!G$2:G$401,$U103)))</f>
        <v/>
      </c>
      <c r="H103" s="7">
        <f>IF($U103="","",IF(INDEX('Per Invoice'!H$2:H$401,$U103)="","",INDEX('Per Invoice'!H$2:H$401,$U103)))</f>
        <v/>
      </c>
      <c r="I103" s="14">
        <f>IF($U103="","",IF(INDEX('Per Invoice'!I$2:I$401,$U103)="","",INDEX('Per Invoice'!I$2:I$401,$U103)))</f>
        <v/>
      </c>
      <c r="J103">
        <f>IF($U103="","",IF(INDEX('Per Invoice'!J$2:J$401,$U103)="","",INDEX('Per Invoice'!J$2:J$401,$U103)))</f>
        <v/>
      </c>
      <c r="K103">
        <f>IF($U103="","",IF(INDEX('Per Invoice'!K$2:K$401,$U103)="","",INDEX('Per Invoice'!K$2:K$401,$U103)))</f>
        <v/>
      </c>
      <c r="L103" s="7">
        <f>IF($U103="","",IF(INDEX('Per Invoice'!L$2:L$401,$U103)="","",INDEX('Per Invoice'!L$2:L$401,$U103)))</f>
        <v/>
      </c>
      <c r="M103" s="7">
        <f>IF($U103="","",IF(INDEX('Per Invoice'!M$2:M$401,$U103)="","",INDEX('Per Invoice'!M$2:M$401,$U103)))</f>
        <v/>
      </c>
      <c r="N103">
        <f>IF($U103="","",IF(INDEX('Per Invoice'!N$2:N$401,$U103)="","",INDEX('Per Invoice'!N$2:N$401,$U103)))</f>
        <v/>
      </c>
      <c r="O103" s="7">
        <f>IF($U103="","",IF(INDEX('Per Invoice'!O$2:O$401,$U103)="","",INDEX('Per Invoice'!O$2:O$401,$U103)))</f>
        <v/>
      </c>
      <c r="P103" s="7">
        <f>IF($U103="","",IF(INDEX('Per Invoice'!P$2:P$401,$U103)="","",INDEX('Per Invoice'!P$2:P$401,$U103)))</f>
        <v/>
      </c>
      <c r="Q103" s="7">
        <f>IF($U103="","",IF(INDEX('Per Invoice'!Q$2:Q$401,$U103)="","",INDEX('Per Invoice'!Q$2:Q$401,$U103)))</f>
        <v/>
      </c>
      <c r="R103" s="7">
        <f>IF($U103="","",IF(INDEX('Per Invoice'!R$2:R$401,$U103)="","",INDEX('Per Invoice'!R$2:R$401,$U103)))</f>
        <v/>
      </c>
      <c r="S103" s="7">
        <f>IF($U103="","",IF(INDEX('Per Invoice'!S$2:S$401,$U103)="","",INDEX('Per Invoice'!S$2:S$401,$U103)))</f>
        <v/>
      </c>
      <c r="T103" s="7">
        <f>IF($U103="","",IF(INDEX('Per Invoice'!T$2:T$401,$U103)="","",INDEX('Per Invoice'!T$2:T$401,$U103)))</f>
        <v/>
      </c>
      <c r="U103" s="16">
        <f>IFERROR(MATCH(Settings!$C$29&amp;"|"&amp;ROWS($U$2:$U103),'Per Invoice'!$V$2:$V$401,0),"")</f>
        <v/>
      </c>
    </row>
    <row r="104">
      <c r="A104">
        <f>IF($U104="","",IF(INDEX('Per Invoice'!A$2:A$401,$U104)="","",INDEX('Per Invoice'!A$2:A$401,$U104)))</f>
        <v/>
      </c>
      <c r="B104">
        <f>IF($U104="","",IF(INDEX('Per Invoice'!B$2:B$401,$U104)="","",INDEX('Per Invoice'!B$2:B$401,$U104)))</f>
        <v/>
      </c>
      <c r="C104">
        <f>IF($U104="","",IF(INDEX('Per Invoice'!C$2:C$401,$U104)="","",INDEX('Per Invoice'!C$2:C$401,$U104)))</f>
        <v/>
      </c>
      <c r="D104">
        <f>IF($U104="","",IF(INDEX('Per Invoice'!D$2:D$401,$U104)="","",INDEX('Per Invoice'!D$2:D$401,$U104)))</f>
        <v/>
      </c>
      <c r="E104">
        <f>IF($U104="","",IF(INDEX('Per Invoice'!E$2:E$401,$U104)="","",INDEX('Per Invoice'!E$2:E$401,$U104)))</f>
        <v/>
      </c>
      <c r="F104">
        <f>IF($U104="","",IF(INDEX('Per Invoice'!F$2:F$401,$U104)="","",INDEX('Per Invoice'!F$2:F$401,$U104)))</f>
        <v/>
      </c>
      <c r="G104">
        <f>IF($U104="","",IF(INDEX('Per Invoice'!G$2:G$401,$U104)="","",INDEX('Per Invoice'!G$2:G$401,$U104)))</f>
        <v/>
      </c>
      <c r="H104" s="7">
        <f>IF($U104="","",IF(INDEX('Per Invoice'!H$2:H$401,$U104)="","",INDEX('Per Invoice'!H$2:H$401,$U104)))</f>
        <v/>
      </c>
      <c r="I104" s="14">
        <f>IF($U104="","",IF(INDEX('Per Invoice'!I$2:I$401,$U104)="","",INDEX('Per Invoice'!I$2:I$401,$U104)))</f>
        <v/>
      </c>
      <c r="J104">
        <f>IF($U104="","",IF(INDEX('Per Invoice'!J$2:J$401,$U104)="","",INDEX('Per Invoice'!J$2:J$401,$U104)))</f>
        <v/>
      </c>
      <c r="K104">
        <f>IF($U104="","",IF(INDEX('Per Invoice'!K$2:K$401,$U104)="","",INDEX('Per Invoice'!K$2:K$401,$U104)))</f>
        <v/>
      </c>
      <c r="L104" s="7">
        <f>IF($U104="","",IF(INDEX('Per Invoice'!L$2:L$401,$U104)="","",INDEX('Per Invoice'!L$2:L$401,$U104)))</f>
        <v/>
      </c>
      <c r="M104" s="7">
        <f>IF($U104="","",IF(INDEX('Per Invoice'!M$2:M$401,$U104)="","",INDEX('Per Invoice'!M$2:M$401,$U104)))</f>
        <v/>
      </c>
      <c r="N104">
        <f>IF($U104="","",IF(INDEX('Per Invoice'!N$2:N$401,$U104)="","",INDEX('Per Invoice'!N$2:N$401,$U104)))</f>
        <v/>
      </c>
      <c r="O104" s="7">
        <f>IF($U104="","",IF(INDEX('Per Invoice'!O$2:O$401,$U104)="","",INDEX('Per Invoice'!O$2:O$401,$U104)))</f>
        <v/>
      </c>
      <c r="P104" s="7">
        <f>IF($U104="","",IF(INDEX('Per Invoice'!P$2:P$401,$U104)="","",INDEX('Per Invoice'!P$2:P$401,$U104)))</f>
        <v/>
      </c>
      <c r="Q104" s="7">
        <f>IF($U104="","",IF(INDEX('Per Invoice'!Q$2:Q$401,$U104)="","",INDEX('Per Invoice'!Q$2:Q$401,$U104)))</f>
        <v/>
      </c>
      <c r="R104" s="7">
        <f>IF($U104="","",IF(INDEX('Per Invoice'!R$2:R$401,$U104)="","",INDEX('Per Invoice'!R$2:R$401,$U104)))</f>
        <v/>
      </c>
      <c r="S104" s="7">
        <f>IF($U104="","",IF(INDEX('Per Invoice'!S$2:S$401,$U104)="","",INDEX('Per Invoice'!S$2:S$401,$U104)))</f>
        <v/>
      </c>
      <c r="T104" s="7">
        <f>IF($U104="","",IF(INDEX('Per Invoice'!T$2:T$401,$U104)="","",INDEX('Per Invoice'!T$2:T$401,$U104)))</f>
        <v/>
      </c>
      <c r="U104" s="16">
        <f>IFERROR(MATCH(Settings!$C$29&amp;"|"&amp;ROWS($U$2:$U104),'Per Invoice'!$V$2:$V$401,0),"")</f>
        <v/>
      </c>
    </row>
    <row r="105">
      <c r="A105">
        <f>IF($U105="","",IF(INDEX('Per Invoice'!A$2:A$401,$U105)="","",INDEX('Per Invoice'!A$2:A$401,$U105)))</f>
        <v/>
      </c>
      <c r="B105">
        <f>IF($U105="","",IF(INDEX('Per Invoice'!B$2:B$401,$U105)="","",INDEX('Per Invoice'!B$2:B$401,$U105)))</f>
        <v/>
      </c>
      <c r="C105">
        <f>IF($U105="","",IF(INDEX('Per Invoice'!C$2:C$401,$U105)="","",INDEX('Per Invoice'!C$2:C$401,$U105)))</f>
        <v/>
      </c>
      <c r="D105">
        <f>IF($U105="","",IF(INDEX('Per Invoice'!D$2:D$401,$U105)="","",INDEX('Per Invoice'!D$2:D$401,$U105)))</f>
        <v/>
      </c>
      <c r="E105">
        <f>IF($U105="","",IF(INDEX('Per Invoice'!E$2:E$401,$U105)="","",INDEX('Per Invoice'!E$2:E$401,$U105)))</f>
        <v/>
      </c>
      <c r="F105">
        <f>IF($U105="","",IF(INDEX('Per Invoice'!F$2:F$401,$U105)="","",INDEX('Per Invoice'!F$2:F$401,$U105)))</f>
        <v/>
      </c>
      <c r="G105">
        <f>IF($U105="","",IF(INDEX('Per Invoice'!G$2:G$401,$U105)="","",INDEX('Per Invoice'!G$2:G$401,$U105)))</f>
        <v/>
      </c>
      <c r="H105" s="7">
        <f>IF($U105="","",IF(INDEX('Per Invoice'!H$2:H$401,$U105)="","",INDEX('Per Invoice'!H$2:H$401,$U105)))</f>
        <v/>
      </c>
      <c r="I105" s="14">
        <f>IF($U105="","",IF(INDEX('Per Invoice'!I$2:I$401,$U105)="","",INDEX('Per Invoice'!I$2:I$401,$U105)))</f>
        <v/>
      </c>
      <c r="J105">
        <f>IF($U105="","",IF(INDEX('Per Invoice'!J$2:J$401,$U105)="","",INDEX('Per Invoice'!J$2:J$401,$U105)))</f>
        <v/>
      </c>
      <c r="K105">
        <f>IF($U105="","",IF(INDEX('Per Invoice'!K$2:K$401,$U105)="","",INDEX('Per Invoice'!K$2:K$401,$U105)))</f>
        <v/>
      </c>
      <c r="L105" s="7">
        <f>IF($U105="","",IF(INDEX('Per Invoice'!L$2:L$401,$U105)="","",INDEX('Per Invoice'!L$2:L$401,$U105)))</f>
        <v/>
      </c>
      <c r="M105" s="7">
        <f>IF($U105="","",IF(INDEX('Per Invoice'!M$2:M$401,$U105)="","",INDEX('Per Invoice'!M$2:M$401,$U105)))</f>
        <v/>
      </c>
      <c r="N105">
        <f>IF($U105="","",IF(INDEX('Per Invoice'!N$2:N$401,$U105)="","",INDEX('Per Invoice'!N$2:N$401,$U105)))</f>
        <v/>
      </c>
      <c r="O105" s="7">
        <f>IF($U105="","",IF(INDEX('Per Invoice'!O$2:O$401,$U105)="","",INDEX('Per Invoice'!O$2:O$401,$U105)))</f>
        <v/>
      </c>
      <c r="P105" s="7">
        <f>IF($U105="","",IF(INDEX('Per Invoice'!P$2:P$401,$U105)="","",INDEX('Per Invoice'!P$2:P$401,$U105)))</f>
        <v/>
      </c>
      <c r="Q105" s="7">
        <f>IF($U105="","",IF(INDEX('Per Invoice'!Q$2:Q$401,$U105)="","",INDEX('Per Invoice'!Q$2:Q$401,$U105)))</f>
        <v/>
      </c>
      <c r="R105" s="7">
        <f>IF($U105="","",IF(INDEX('Per Invoice'!R$2:R$401,$U105)="","",INDEX('Per Invoice'!R$2:R$401,$U105)))</f>
        <v/>
      </c>
      <c r="S105" s="7">
        <f>IF($U105="","",IF(INDEX('Per Invoice'!S$2:S$401,$U105)="","",INDEX('Per Invoice'!S$2:S$401,$U105)))</f>
        <v/>
      </c>
      <c r="T105" s="7">
        <f>IF($U105="","",IF(INDEX('Per Invoice'!T$2:T$401,$U105)="","",INDEX('Per Invoice'!T$2:T$401,$U105)))</f>
        <v/>
      </c>
      <c r="U105" s="16">
        <f>IFERROR(MATCH(Settings!$C$29&amp;"|"&amp;ROWS($U$2:$U105),'Per Invoice'!$V$2:$V$401,0),"")</f>
        <v/>
      </c>
    </row>
    <row r="106">
      <c r="A106">
        <f>IF($U106="","",IF(INDEX('Per Invoice'!A$2:A$401,$U106)="","",INDEX('Per Invoice'!A$2:A$401,$U106)))</f>
        <v/>
      </c>
      <c r="B106">
        <f>IF($U106="","",IF(INDEX('Per Invoice'!B$2:B$401,$U106)="","",INDEX('Per Invoice'!B$2:B$401,$U106)))</f>
        <v/>
      </c>
      <c r="C106">
        <f>IF($U106="","",IF(INDEX('Per Invoice'!C$2:C$401,$U106)="","",INDEX('Per Invoice'!C$2:C$401,$U106)))</f>
        <v/>
      </c>
      <c r="D106">
        <f>IF($U106="","",IF(INDEX('Per Invoice'!D$2:D$401,$U106)="","",INDEX('Per Invoice'!D$2:D$401,$U106)))</f>
        <v/>
      </c>
      <c r="E106">
        <f>IF($U106="","",IF(INDEX('Per Invoice'!E$2:E$401,$U106)="","",INDEX('Per Invoice'!E$2:E$401,$U106)))</f>
        <v/>
      </c>
      <c r="F106">
        <f>IF($U106="","",IF(INDEX('Per Invoice'!F$2:F$401,$U106)="","",INDEX('Per Invoice'!F$2:F$401,$U106)))</f>
        <v/>
      </c>
      <c r="G106">
        <f>IF($U106="","",IF(INDEX('Per Invoice'!G$2:G$401,$U106)="","",INDEX('Per Invoice'!G$2:G$401,$U106)))</f>
        <v/>
      </c>
      <c r="H106" s="7">
        <f>IF($U106="","",IF(INDEX('Per Invoice'!H$2:H$401,$U106)="","",INDEX('Per Invoice'!H$2:H$401,$U106)))</f>
        <v/>
      </c>
      <c r="I106" s="14">
        <f>IF($U106="","",IF(INDEX('Per Invoice'!I$2:I$401,$U106)="","",INDEX('Per Invoice'!I$2:I$401,$U106)))</f>
        <v/>
      </c>
      <c r="J106">
        <f>IF($U106="","",IF(INDEX('Per Invoice'!J$2:J$401,$U106)="","",INDEX('Per Invoice'!J$2:J$401,$U106)))</f>
        <v/>
      </c>
      <c r="K106">
        <f>IF($U106="","",IF(INDEX('Per Invoice'!K$2:K$401,$U106)="","",INDEX('Per Invoice'!K$2:K$401,$U106)))</f>
        <v/>
      </c>
      <c r="L106" s="7">
        <f>IF($U106="","",IF(INDEX('Per Invoice'!L$2:L$401,$U106)="","",INDEX('Per Invoice'!L$2:L$401,$U106)))</f>
        <v/>
      </c>
      <c r="M106" s="7">
        <f>IF($U106="","",IF(INDEX('Per Invoice'!M$2:M$401,$U106)="","",INDEX('Per Invoice'!M$2:M$401,$U106)))</f>
        <v/>
      </c>
      <c r="N106">
        <f>IF($U106="","",IF(INDEX('Per Invoice'!N$2:N$401,$U106)="","",INDEX('Per Invoice'!N$2:N$401,$U106)))</f>
        <v/>
      </c>
      <c r="O106" s="7">
        <f>IF($U106="","",IF(INDEX('Per Invoice'!O$2:O$401,$U106)="","",INDEX('Per Invoice'!O$2:O$401,$U106)))</f>
        <v/>
      </c>
      <c r="P106" s="7">
        <f>IF($U106="","",IF(INDEX('Per Invoice'!P$2:P$401,$U106)="","",INDEX('Per Invoice'!P$2:P$401,$U106)))</f>
        <v/>
      </c>
      <c r="Q106" s="7">
        <f>IF($U106="","",IF(INDEX('Per Invoice'!Q$2:Q$401,$U106)="","",INDEX('Per Invoice'!Q$2:Q$401,$U106)))</f>
        <v/>
      </c>
      <c r="R106" s="7">
        <f>IF($U106="","",IF(INDEX('Per Invoice'!R$2:R$401,$U106)="","",INDEX('Per Invoice'!R$2:R$401,$U106)))</f>
        <v/>
      </c>
      <c r="S106" s="7">
        <f>IF($U106="","",IF(INDEX('Per Invoice'!S$2:S$401,$U106)="","",INDEX('Per Invoice'!S$2:S$401,$U106)))</f>
        <v/>
      </c>
      <c r="T106" s="7">
        <f>IF($U106="","",IF(INDEX('Per Invoice'!T$2:T$401,$U106)="","",INDEX('Per Invoice'!T$2:T$401,$U106)))</f>
        <v/>
      </c>
      <c r="U106" s="16">
        <f>IFERROR(MATCH(Settings!$C$29&amp;"|"&amp;ROWS($U$2:$U106),'Per Invoice'!$V$2:$V$401,0),"")</f>
        <v/>
      </c>
    </row>
    <row r="107">
      <c r="A107">
        <f>IF($U107="","",IF(INDEX('Per Invoice'!A$2:A$401,$U107)="","",INDEX('Per Invoice'!A$2:A$401,$U107)))</f>
        <v/>
      </c>
      <c r="B107">
        <f>IF($U107="","",IF(INDEX('Per Invoice'!B$2:B$401,$U107)="","",INDEX('Per Invoice'!B$2:B$401,$U107)))</f>
        <v/>
      </c>
      <c r="C107">
        <f>IF($U107="","",IF(INDEX('Per Invoice'!C$2:C$401,$U107)="","",INDEX('Per Invoice'!C$2:C$401,$U107)))</f>
        <v/>
      </c>
      <c r="D107">
        <f>IF($U107="","",IF(INDEX('Per Invoice'!D$2:D$401,$U107)="","",INDEX('Per Invoice'!D$2:D$401,$U107)))</f>
        <v/>
      </c>
      <c r="E107">
        <f>IF($U107="","",IF(INDEX('Per Invoice'!E$2:E$401,$U107)="","",INDEX('Per Invoice'!E$2:E$401,$U107)))</f>
        <v/>
      </c>
      <c r="F107">
        <f>IF($U107="","",IF(INDEX('Per Invoice'!F$2:F$401,$U107)="","",INDEX('Per Invoice'!F$2:F$401,$U107)))</f>
        <v/>
      </c>
      <c r="G107">
        <f>IF($U107="","",IF(INDEX('Per Invoice'!G$2:G$401,$U107)="","",INDEX('Per Invoice'!G$2:G$401,$U107)))</f>
        <v/>
      </c>
      <c r="H107" s="7">
        <f>IF($U107="","",IF(INDEX('Per Invoice'!H$2:H$401,$U107)="","",INDEX('Per Invoice'!H$2:H$401,$U107)))</f>
        <v/>
      </c>
      <c r="I107" s="14">
        <f>IF($U107="","",IF(INDEX('Per Invoice'!I$2:I$401,$U107)="","",INDEX('Per Invoice'!I$2:I$401,$U107)))</f>
        <v/>
      </c>
      <c r="J107">
        <f>IF($U107="","",IF(INDEX('Per Invoice'!J$2:J$401,$U107)="","",INDEX('Per Invoice'!J$2:J$401,$U107)))</f>
        <v/>
      </c>
      <c r="K107">
        <f>IF($U107="","",IF(INDEX('Per Invoice'!K$2:K$401,$U107)="","",INDEX('Per Invoice'!K$2:K$401,$U107)))</f>
        <v/>
      </c>
      <c r="L107" s="7">
        <f>IF($U107="","",IF(INDEX('Per Invoice'!L$2:L$401,$U107)="","",INDEX('Per Invoice'!L$2:L$401,$U107)))</f>
        <v/>
      </c>
      <c r="M107" s="7">
        <f>IF($U107="","",IF(INDEX('Per Invoice'!M$2:M$401,$U107)="","",INDEX('Per Invoice'!M$2:M$401,$U107)))</f>
        <v/>
      </c>
      <c r="N107">
        <f>IF($U107="","",IF(INDEX('Per Invoice'!N$2:N$401,$U107)="","",INDEX('Per Invoice'!N$2:N$401,$U107)))</f>
        <v/>
      </c>
      <c r="O107" s="7">
        <f>IF($U107="","",IF(INDEX('Per Invoice'!O$2:O$401,$U107)="","",INDEX('Per Invoice'!O$2:O$401,$U107)))</f>
        <v/>
      </c>
      <c r="P107" s="7">
        <f>IF($U107="","",IF(INDEX('Per Invoice'!P$2:P$401,$U107)="","",INDEX('Per Invoice'!P$2:P$401,$U107)))</f>
        <v/>
      </c>
      <c r="Q107" s="7">
        <f>IF($U107="","",IF(INDEX('Per Invoice'!Q$2:Q$401,$U107)="","",INDEX('Per Invoice'!Q$2:Q$401,$U107)))</f>
        <v/>
      </c>
      <c r="R107" s="7">
        <f>IF($U107="","",IF(INDEX('Per Invoice'!R$2:R$401,$U107)="","",INDEX('Per Invoice'!R$2:R$401,$U107)))</f>
        <v/>
      </c>
      <c r="S107" s="7">
        <f>IF($U107="","",IF(INDEX('Per Invoice'!S$2:S$401,$U107)="","",INDEX('Per Invoice'!S$2:S$401,$U107)))</f>
        <v/>
      </c>
      <c r="T107" s="7">
        <f>IF($U107="","",IF(INDEX('Per Invoice'!T$2:T$401,$U107)="","",INDEX('Per Invoice'!T$2:T$401,$U107)))</f>
        <v/>
      </c>
      <c r="U107" s="16">
        <f>IFERROR(MATCH(Settings!$C$29&amp;"|"&amp;ROWS($U$2:$U107),'Per Invoice'!$V$2:$V$401,0),"")</f>
        <v/>
      </c>
    </row>
    <row r="108">
      <c r="A108">
        <f>IF($U108="","",IF(INDEX('Per Invoice'!A$2:A$401,$U108)="","",INDEX('Per Invoice'!A$2:A$401,$U108)))</f>
        <v/>
      </c>
      <c r="B108">
        <f>IF($U108="","",IF(INDEX('Per Invoice'!B$2:B$401,$U108)="","",INDEX('Per Invoice'!B$2:B$401,$U108)))</f>
        <v/>
      </c>
      <c r="C108">
        <f>IF($U108="","",IF(INDEX('Per Invoice'!C$2:C$401,$U108)="","",INDEX('Per Invoice'!C$2:C$401,$U108)))</f>
        <v/>
      </c>
      <c r="D108">
        <f>IF($U108="","",IF(INDEX('Per Invoice'!D$2:D$401,$U108)="","",INDEX('Per Invoice'!D$2:D$401,$U108)))</f>
        <v/>
      </c>
      <c r="E108">
        <f>IF($U108="","",IF(INDEX('Per Invoice'!E$2:E$401,$U108)="","",INDEX('Per Invoice'!E$2:E$401,$U108)))</f>
        <v/>
      </c>
      <c r="F108">
        <f>IF($U108="","",IF(INDEX('Per Invoice'!F$2:F$401,$U108)="","",INDEX('Per Invoice'!F$2:F$401,$U108)))</f>
        <v/>
      </c>
      <c r="G108">
        <f>IF($U108="","",IF(INDEX('Per Invoice'!G$2:G$401,$U108)="","",INDEX('Per Invoice'!G$2:G$401,$U108)))</f>
        <v/>
      </c>
      <c r="H108" s="7">
        <f>IF($U108="","",IF(INDEX('Per Invoice'!H$2:H$401,$U108)="","",INDEX('Per Invoice'!H$2:H$401,$U108)))</f>
        <v/>
      </c>
      <c r="I108" s="14">
        <f>IF($U108="","",IF(INDEX('Per Invoice'!I$2:I$401,$U108)="","",INDEX('Per Invoice'!I$2:I$401,$U108)))</f>
        <v/>
      </c>
      <c r="J108">
        <f>IF($U108="","",IF(INDEX('Per Invoice'!J$2:J$401,$U108)="","",INDEX('Per Invoice'!J$2:J$401,$U108)))</f>
        <v/>
      </c>
      <c r="K108">
        <f>IF($U108="","",IF(INDEX('Per Invoice'!K$2:K$401,$U108)="","",INDEX('Per Invoice'!K$2:K$401,$U108)))</f>
        <v/>
      </c>
      <c r="L108" s="7">
        <f>IF($U108="","",IF(INDEX('Per Invoice'!L$2:L$401,$U108)="","",INDEX('Per Invoice'!L$2:L$401,$U108)))</f>
        <v/>
      </c>
      <c r="M108" s="7">
        <f>IF($U108="","",IF(INDEX('Per Invoice'!M$2:M$401,$U108)="","",INDEX('Per Invoice'!M$2:M$401,$U108)))</f>
        <v/>
      </c>
      <c r="N108">
        <f>IF($U108="","",IF(INDEX('Per Invoice'!N$2:N$401,$U108)="","",INDEX('Per Invoice'!N$2:N$401,$U108)))</f>
        <v/>
      </c>
      <c r="O108" s="7">
        <f>IF($U108="","",IF(INDEX('Per Invoice'!O$2:O$401,$U108)="","",INDEX('Per Invoice'!O$2:O$401,$U108)))</f>
        <v/>
      </c>
      <c r="P108" s="7">
        <f>IF($U108="","",IF(INDEX('Per Invoice'!P$2:P$401,$U108)="","",INDEX('Per Invoice'!P$2:P$401,$U108)))</f>
        <v/>
      </c>
      <c r="Q108" s="7">
        <f>IF($U108="","",IF(INDEX('Per Invoice'!Q$2:Q$401,$U108)="","",INDEX('Per Invoice'!Q$2:Q$401,$U108)))</f>
        <v/>
      </c>
      <c r="R108" s="7">
        <f>IF($U108="","",IF(INDEX('Per Invoice'!R$2:R$401,$U108)="","",INDEX('Per Invoice'!R$2:R$401,$U108)))</f>
        <v/>
      </c>
      <c r="S108" s="7">
        <f>IF($U108="","",IF(INDEX('Per Invoice'!S$2:S$401,$U108)="","",INDEX('Per Invoice'!S$2:S$401,$U108)))</f>
        <v/>
      </c>
      <c r="T108" s="7">
        <f>IF($U108="","",IF(INDEX('Per Invoice'!T$2:T$401,$U108)="","",INDEX('Per Invoice'!T$2:T$401,$U108)))</f>
        <v/>
      </c>
      <c r="U108" s="16">
        <f>IFERROR(MATCH(Settings!$C$29&amp;"|"&amp;ROWS($U$2:$U108),'Per Invoice'!$V$2:$V$401,0),"")</f>
        <v/>
      </c>
    </row>
    <row r="109">
      <c r="A109">
        <f>IF($U109="","",IF(INDEX('Per Invoice'!A$2:A$401,$U109)="","",INDEX('Per Invoice'!A$2:A$401,$U109)))</f>
        <v/>
      </c>
      <c r="B109">
        <f>IF($U109="","",IF(INDEX('Per Invoice'!B$2:B$401,$U109)="","",INDEX('Per Invoice'!B$2:B$401,$U109)))</f>
        <v/>
      </c>
      <c r="C109">
        <f>IF($U109="","",IF(INDEX('Per Invoice'!C$2:C$401,$U109)="","",INDEX('Per Invoice'!C$2:C$401,$U109)))</f>
        <v/>
      </c>
      <c r="D109">
        <f>IF($U109="","",IF(INDEX('Per Invoice'!D$2:D$401,$U109)="","",INDEX('Per Invoice'!D$2:D$401,$U109)))</f>
        <v/>
      </c>
      <c r="E109">
        <f>IF($U109="","",IF(INDEX('Per Invoice'!E$2:E$401,$U109)="","",INDEX('Per Invoice'!E$2:E$401,$U109)))</f>
        <v/>
      </c>
      <c r="F109">
        <f>IF($U109="","",IF(INDEX('Per Invoice'!F$2:F$401,$U109)="","",INDEX('Per Invoice'!F$2:F$401,$U109)))</f>
        <v/>
      </c>
      <c r="G109">
        <f>IF($U109="","",IF(INDEX('Per Invoice'!G$2:G$401,$U109)="","",INDEX('Per Invoice'!G$2:G$401,$U109)))</f>
        <v/>
      </c>
      <c r="H109" s="7">
        <f>IF($U109="","",IF(INDEX('Per Invoice'!H$2:H$401,$U109)="","",INDEX('Per Invoice'!H$2:H$401,$U109)))</f>
        <v/>
      </c>
      <c r="I109" s="14">
        <f>IF($U109="","",IF(INDEX('Per Invoice'!I$2:I$401,$U109)="","",INDEX('Per Invoice'!I$2:I$401,$U109)))</f>
        <v/>
      </c>
      <c r="J109">
        <f>IF($U109="","",IF(INDEX('Per Invoice'!J$2:J$401,$U109)="","",INDEX('Per Invoice'!J$2:J$401,$U109)))</f>
        <v/>
      </c>
      <c r="K109">
        <f>IF($U109="","",IF(INDEX('Per Invoice'!K$2:K$401,$U109)="","",INDEX('Per Invoice'!K$2:K$401,$U109)))</f>
        <v/>
      </c>
      <c r="L109" s="7">
        <f>IF($U109="","",IF(INDEX('Per Invoice'!L$2:L$401,$U109)="","",INDEX('Per Invoice'!L$2:L$401,$U109)))</f>
        <v/>
      </c>
      <c r="M109" s="7">
        <f>IF($U109="","",IF(INDEX('Per Invoice'!M$2:M$401,$U109)="","",INDEX('Per Invoice'!M$2:M$401,$U109)))</f>
        <v/>
      </c>
      <c r="N109">
        <f>IF($U109="","",IF(INDEX('Per Invoice'!N$2:N$401,$U109)="","",INDEX('Per Invoice'!N$2:N$401,$U109)))</f>
        <v/>
      </c>
      <c r="O109" s="7">
        <f>IF($U109="","",IF(INDEX('Per Invoice'!O$2:O$401,$U109)="","",INDEX('Per Invoice'!O$2:O$401,$U109)))</f>
        <v/>
      </c>
      <c r="P109" s="7">
        <f>IF($U109="","",IF(INDEX('Per Invoice'!P$2:P$401,$U109)="","",INDEX('Per Invoice'!P$2:P$401,$U109)))</f>
        <v/>
      </c>
      <c r="Q109" s="7">
        <f>IF($U109="","",IF(INDEX('Per Invoice'!Q$2:Q$401,$U109)="","",INDEX('Per Invoice'!Q$2:Q$401,$U109)))</f>
        <v/>
      </c>
      <c r="R109" s="7">
        <f>IF($U109="","",IF(INDEX('Per Invoice'!R$2:R$401,$U109)="","",INDEX('Per Invoice'!R$2:R$401,$U109)))</f>
        <v/>
      </c>
      <c r="S109" s="7">
        <f>IF($U109="","",IF(INDEX('Per Invoice'!S$2:S$401,$U109)="","",INDEX('Per Invoice'!S$2:S$401,$U109)))</f>
        <v/>
      </c>
      <c r="T109" s="7">
        <f>IF($U109="","",IF(INDEX('Per Invoice'!T$2:T$401,$U109)="","",INDEX('Per Invoice'!T$2:T$401,$U109)))</f>
        <v/>
      </c>
      <c r="U109" s="16">
        <f>IFERROR(MATCH(Settings!$C$29&amp;"|"&amp;ROWS($U$2:$U109),'Per Invoice'!$V$2:$V$401,0),"")</f>
        <v/>
      </c>
    </row>
    <row r="110">
      <c r="A110">
        <f>IF($U110="","",IF(INDEX('Per Invoice'!A$2:A$401,$U110)="","",INDEX('Per Invoice'!A$2:A$401,$U110)))</f>
        <v/>
      </c>
      <c r="B110">
        <f>IF($U110="","",IF(INDEX('Per Invoice'!B$2:B$401,$U110)="","",INDEX('Per Invoice'!B$2:B$401,$U110)))</f>
        <v/>
      </c>
      <c r="C110">
        <f>IF($U110="","",IF(INDEX('Per Invoice'!C$2:C$401,$U110)="","",INDEX('Per Invoice'!C$2:C$401,$U110)))</f>
        <v/>
      </c>
      <c r="D110">
        <f>IF($U110="","",IF(INDEX('Per Invoice'!D$2:D$401,$U110)="","",INDEX('Per Invoice'!D$2:D$401,$U110)))</f>
        <v/>
      </c>
      <c r="E110">
        <f>IF($U110="","",IF(INDEX('Per Invoice'!E$2:E$401,$U110)="","",INDEX('Per Invoice'!E$2:E$401,$U110)))</f>
        <v/>
      </c>
      <c r="F110">
        <f>IF($U110="","",IF(INDEX('Per Invoice'!F$2:F$401,$U110)="","",INDEX('Per Invoice'!F$2:F$401,$U110)))</f>
        <v/>
      </c>
      <c r="G110">
        <f>IF($U110="","",IF(INDEX('Per Invoice'!G$2:G$401,$U110)="","",INDEX('Per Invoice'!G$2:G$401,$U110)))</f>
        <v/>
      </c>
      <c r="H110" s="7">
        <f>IF($U110="","",IF(INDEX('Per Invoice'!H$2:H$401,$U110)="","",INDEX('Per Invoice'!H$2:H$401,$U110)))</f>
        <v/>
      </c>
      <c r="I110" s="14">
        <f>IF($U110="","",IF(INDEX('Per Invoice'!I$2:I$401,$U110)="","",INDEX('Per Invoice'!I$2:I$401,$U110)))</f>
        <v/>
      </c>
      <c r="J110">
        <f>IF($U110="","",IF(INDEX('Per Invoice'!J$2:J$401,$U110)="","",INDEX('Per Invoice'!J$2:J$401,$U110)))</f>
        <v/>
      </c>
      <c r="K110">
        <f>IF($U110="","",IF(INDEX('Per Invoice'!K$2:K$401,$U110)="","",INDEX('Per Invoice'!K$2:K$401,$U110)))</f>
        <v/>
      </c>
      <c r="L110" s="7">
        <f>IF($U110="","",IF(INDEX('Per Invoice'!L$2:L$401,$U110)="","",INDEX('Per Invoice'!L$2:L$401,$U110)))</f>
        <v/>
      </c>
      <c r="M110" s="7">
        <f>IF($U110="","",IF(INDEX('Per Invoice'!M$2:M$401,$U110)="","",INDEX('Per Invoice'!M$2:M$401,$U110)))</f>
        <v/>
      </c>
      <c r="N110">
        <f>IF($U110="","",IF(INDEX('Per Invoice'!N$2:N$401,$U110)="","",INDEX('Per Invoice'!N$2:N$401,$U110)))</f>
        <v/>
      </c>
      <c r="O110" s="7">
        <f>IF($U110="","",IF(INDEX('Per Invoice'!O$2:O$401,$U110)="","",INDEX('Per Invoice'!O$2:O$401,$U110)))</f>
        <v/>
      </c>
      <c r="P110" s="7">
        <f>IF($U110="","",IF(INDEX('Per Invoice'!P$2:P$401,$U110)="","",INDEX('Per Invoice'!P$2:P$401,$U110)))</f>
        <v/>
      </c>
      <c r="Q110" s="7">
        <f>IF($U110="","",IF(INDEX('Per Invoice'!Q$2:Q$401,$U110)="","",INDEX('Per Invoice'!Q$2:Q$401,$U110)))</f>
        <v/>
      </c>
      <c r="R110" s="7">
        <f>IF($U110="","",IF(INDEX('Per Invoice'!R$2:R$401,$U110)="","",INDEX('Per Invoice'!R$2:R$401,$U110)))</f>
        <v/>
      </c>
      <c r="S110" s="7">
        <f>IF($U110="","",IF(INDEX('Per Invoice'!S$2:S$401,$U110)="","",INDEX('Per Invoice'!S$2:S$401,$U110)))</f>
        <v/>
      </c>
      <c r="T110" s="7">
        <f>IF($U110="","",IF(INDEX('Per Invoice'!T$2:T$401,$U110)="","",INDEX('Per Invoice'!T$2:T$401,$U110)))</f>
        <v/>
      </c>
      <c r="U110" s="16">
        <f>IFERROR(MATCH(Settings!$C$29&amp;"|"&amp;ROWS($U$2:$U110),'Per Invoice'!$V$2:$V$401,0),"")</f>
        <v/>
      </c>
    </row>
    <row r="111">
      <c r="A111">
        <f>IF($U111="","",IF(INDEX('Per Invoice'!A$2:A$401,$U111)="","",INDEX('Per Invoice'!A$2:A$401,$U111)))</f>
        <v/>
      </c>
      <c r="B111">
        <f>IF($U111="","",IF(INDEX('Per Invoice'!B$2:B$401,$U111)="","",INDEX('Per Invoice'!B$2:B$401,$U111)))</f>
        <v/>
      </c>
      <c r="C111">
        <f>IF($U111="","",IF(INDEX('Per Invoice'!C$2:C$401,$U111)="","",INDEX('Per Invoice'!C$2:C$401,$U111)))</f>
        <v/>
      </c>
      <c r="D111">
        <f>IF($U111="","",IF(INDEX('Per Invoice'!D$2:D$401,$U111)="","",INDEX('Per Invoice'!D$2:D$401,$U111)))</f>
        <v/>
      </c>
      <c r="E111">
        <f>IF($U111="","",IF(INDEX('Per Invoice'!E$2:E$401,$U111)="","",INDEX('Per Invoice'!E$2:E$401,$U111)))</f>
        <v/>
      </c>
      <c r="F111">
        <f>IF($U111="","",IF(INDEX('Per Invoice'!F$2:F$401,$U111)="","",INDEX('Per Invoice'!F$2:F$401,$U111)))</f>
        <v/>
      </c>
      <c r="G111">
        <f>IF($U111="","",IF(INDEX('Per Invoice'!G$2:G$401,$U111)="","",INDEX('Per Invoice'!G$2:G$401,$U111)))</f>
        <v/>
      </c>
      <c r="H111" s="7">
        <f>IF($U111="","",IF(INDEX('Per Invoice'!H$2:H$401,$U111)="","",INDEX('Per Invoice'!H$2:H$401,$U111)))</f>
        <v/>
      </c>
      <c r="I111" s="14">
        <f>IF($U111="","",IF(INDEX('Per Invoice'!I$2:I$401,$U111)="","",INDEX('Per Invoice'!I$2:I$401,$U111)))</f>
        <v/>
      </c>
      <c r="J111">
        <f>IF($U111="","",IF(INDEX('Per Invoice'!J$2:J$401,$U111)="","",INDEX('Per Invoice'!J$2:J$401,$U111)))</f>
        <v/>
      </c>
      <c r="K111">
        <f>IF($U111="","",IF(INDEX('Per Invoice'!K$2:K$401,$U111)="","",INDEX('Per Invoice'!K$2:K$401,$U111)))</f>
        <v/>
      </c>
      <c r="L111" s="7">
        <f>IF($U111="","",IF(INDEX('Per Invoice'!L$2:L$401,$U111)="","",INDEX('Per Invoice'!L$2:L$401,$U111)))</f>
        <v/>
      </c>
      <c r="M111" s="7">
        <f>IF($U111="","",IF(INDEX('Per Invoice'!M$2:M$401,$U111)="","",INDEX('Per Invoice'!M$2:M$401,$U111)))</f>
        <v/>
      </c>
      <c r="N111">
        <f>IF($U111="","",IF(INDEX('Per Invoice'!N$2:N$401,$U111)="","",INDEX('Per Invoice'!N$2:N$401,$U111)))</f>
        <v/>
      </c>
      <c r="O111" s="7">
        <f>IF($U111="","",IF(INDEX('Per Invoice'!O$2:O$401,$U111)="","",INDEX('Per Invoice'!O$2:O$401,$U111)))</f>
        <v/>
      </c>
      <c r="P111" s="7">
        <f>IF($U111="","",IF(INDEX('Per Invoice'!P$2:P$401,$U111)="","",INDEX('Per Invoice'!P$2:P$401,$U111)))</f>
        <v/>
      </c>
      <c r="Q111" s="7">
        <f>IF($U111="","",IF(INDEX('Per Invoice'!Q$2:Q$401,$U111)="","",INDEX('Per Invoice'!Q$2:Q$401,$U111)))</f>
        <v/>
      </c>
      <c r="R111" s="7">
        <f>IF($U111="","",IF(INDEX('Per Invoice'!R$2:R$401,$U111)="","",INDEX('Per Invoice'!R$2:R$401,$U111)))</f>
        <v/>
      </c>
      <c r="S111" s="7">
        <f>IF($U111="","",IF(INDEX('Per Invoice'!S$2:S$401,$U111)="","",INDEX('Per Invoice'!S$2:S$401,$U111)))</f>
        <v/>
      </c>
      <c r="T111" s="7">
        <f>IF($U111="","",IF(INDEX('Per Invoice'!T$2:T$401,$U111)="","",INDEX('Per Invoice'!T$2:T$401,$U111)))</f>
        <v/>
      </c>
      <c r="U111" s="16">
        <f>IFERROR(MATCH(Settings!$C$29&amp;"|"&amp;ROWS($U$2:$U111),'Per Invoice'!$V$2:$V$401,0),"")</f>
        <v/>
      </c>
    </row>
    <row r="112">
      <c r="A112">
        <f>IF($U112="","",IF(INDEX('Per Invoice'!A$2:A$401,$U112)="","",INDEX('Per Invoice'!A$2:A$401,$U112)))</f>
        <v/>
      </c>
      <c r="B112">
        <f>IF($U112="","",IF(INDEX('Per Invoice'!B$2:B$401,$U112)="","",INDEX('Per Invoice'!B$2:B$401,$U112)))</f>
        <v/>
      </c>
      <c r="C112">
        <f>IF($U112="","",IF(INDEX('Per Invoice'!C$2:C$401,$U112)="","",INDEX('Per Invoice'!C$2:C$401,$U112)))</f>
        <v/>
      </c>
      <c r="D112">
        <f>IF($U112="","",IF(INDEX('Per Invoice'!D$2:D$401,$U112)="","",INDEX('Per Invoice'!D$2:D$401,$U112)))</f>
        <v/>
      </c>
      <c r="E112">
        <f>IF($U112="","",IF(INDEX('Per Invoice'!E$2:E$401,$U112)="","",INDEX('Per Invoice'!E$2:E$401,$U112)))</f>
        <v/>
      </c>
      <c r="F112">
        <f>IF($U112="","",IF(INDEX('Per Invoice'!F$2:F$401,$U112)="","",INDEX('Per Invoice'!F$2:F$401,$U112)))</f>
        <v/>
      </c>
      <c r="G112">
        <f>IF($U112="","",IF(INDEX('Per Invoice'!G$2:G$401,$U112)="","",INDEX('Per Invoice'!G$2:G$401,$U112)))</f>
        <v/>
      </c>
      <c r="H112" s="7">
        <f>IF($U112="","",IF(INDEX('Per Invoice'!H$2:H$401,$U112)="","",INDEX('Per Invoice'!H$2:H$401,$U112)))</f>
        <v/>
      </c>
      <c r="I112" s="14">
        <f>IF($U112="","",IF(INDEX('Per Invoice'!I$2:I$401,$U112)="","",INDEX('Per Invoice'!I$2:I$401,$U112)))</f>
        <v/>
      </c>
      <c r="J112">
        <f>IF($U112="","",IF(INDEX('Per Invoice'!J$2:J$401,$U112)="","",INDEX('Per Invoice'!J$2:J$401,$U112)))</f>
        <v/>
      </c>
      <c r="K112">
        <f>IF($U112="","",IF(INDEX('Per Invoice'!K$2:K$401,$U112)="","",INDEX('Per Invoice'!K$2:K$401,$U112)))</f>
        <v/>
      </c>
      <c r="L112" s="7">
        <f>IF($U112="","",IF(INDEX('Per Invoice'!L$2:L$401,$U112)="","",INDEX('Per Invoice'!L$2:L$401,$U112)))</f>
        <v/>
      </c>
      <c r="M112" s="7">
        <f>IF($U112="","",IF(INDEX('Per Invoice'!M$2:M$401,$U112)="","",INDEX('Per Invoice'!M$2:M$401,$U112)))</f>
        <v/>
      </c>
      <c r="N112">
        <f>IF($U112="","",IF(INDEX('Per Invoice'!N$2:N$401,$U112)="","",INDEX('Per Invoice'!N$2:N$401,$U112)))</f>
        <v/>
      </c>
      <c r="O112" s="7">
        <f>IF($U112="","",IF(INDEX('Per Invoice'!O$2:O$401,$U112)="","",INDEX('Per Invoice'!O$2:O$401,$U112)))</f>
        <v/>
      </c>
      <c r="P112" s="7">
        <f>IF($U112="","",IF(INDEX('Per Invoice'!P$2:P$401,$U112)="","",INDEX('Per Invoice'!P$2:P$401,$U112)))</f>
        <v/>
      </c>
      <c r="Q112" s="7">
        <f>IF($U112="","",IF(INDEX('Per Invoice'!Q$2:Q$401,$U112)="","",INDEX('Per Invoice'!Q$2:Q$401,$U112)))</f>
        <v/>
      </c>
      <c r="R112" s="7">
        <f>IF($U112="","",IF(INDEX('Per Invoice'!R$2:R$401,$U112)="","",INDEX('Per Invoice'!R$2:R$401,$U112)))</f>
        <v/>
      </c>
      <c r="S112" s="7">
        <f>IF($U112="","",IF(INDEX('Per Invoice'!S$2:S$401,$U112)="","",INDEX('Per Invoice'!S$2:S$401,$U112)))</f>
        <v/>
      </c>
      <c r="T112" s="7">
        <f>IF($U112="","",IF(INDEX('Per Invoice'!T$2:T$401,$U112)="","",INDEX('Per Invoice'!T$2:T$401,$U112)))</f>
        <v/>
      </c>
      <c r="U112" s="16">
        <f>IFERROR(MATCH(Settings!$C$29&amp;"|"&amp;ROWS($U$2:$U112),'Per Invoice'!$V$2:$V$401,0),"")</f>
        <v/>
      </c>
    </row>
    <row r="113">
      <c r="A113">
        <f>IF($U113="","",IF(INDEX('Per Invoice'!A$2:A$401,$U113)="","",INDEX('Per Invoice'!A$2:A$401,$U113)))</f>
        <v/>
      </c>
      <c r="B113">
        <f>IF($U113="","",IF(INDEX('Per Invoice'!B$2:B$401,$U113)="","",INDEX('Per Invoice'!B$2:B$401,$U113)))</f>
        <v/>
      </c>
      <c r="C113">
        <f>IF($U113="","",IF(INDEX('Per Invoice'!C$2:C$401,$U113)="","",INDEX('Per Invoice'!C$2:C$401,$U113)))</f>
        <v/>
      </c>
      <c r="D113">
        <f>IF($U113="","",IF(INDEX('Per Invoice'!D$2:D$401,$U113)="","",INDEX('Per Invoice'!D$2:D$401,$U113)))</f>
        <v/>
      </c>
      <c r="E113">
        <f>IF($U113="","",IF(INDEX('Per Invoice'!E$2:E$401,$U113)="","",INDEX('Per Invoice'!E$2:E$401,$U113)))</f>
        <v/>
      </c>
      <c r="F113">
        <f>IF($U113="","",IF(INDEX('Per Invoice'!F$2:F$401,$U113)="","",INDEX('Per Invoice'!F$2:F$401,$U113)))</f>
        <v/>
      </c>
      <c r="G113">
        <f>IF($U113="","",IF(INDEX('Per Invoice'!G$2:G$401,$U113)="","",INDEX('Per Invoice'!G$2:G$401,$U113)))</f>
        <v/>
      </c>
      <c r="H113" s="7">
        <f>IF($U113="","",IF(INDEX('Per Invoice'!H$2:H$401,$U113)="","",INDEX('Per Invoice'!H$2:H$401,$U113)))</f>
        <v/>
      </c>
      <c r="I113" s="14">
        <f>IF($U113="","",IF(INDEX('Per Invoice'!I$2:I$401,$U113)="","",INDEX('Per Invoice'!I$2:I$401,$U113)))</f>
        <v/>
      </c>
      <c r="J113">
        <f>IF($U113="","",IF(INDEX('Per Invoice'!J$2:J$401,$U113)="","",INDEX('Per Invoice'!J$2:J$401,$U113)))</f>
        <v/>
      </c>
      <c r="K113">
        <f>IF($U113="","",IF(INDEX('Per Invoice'!K$2:K$401,$U113)="","",INDEX('Per Invoice'!K$2:K$401,$U113)))</f>
        <v/>
      </c>
      <c r="L113" s="7">
        <f>IF($U113="","",IF(INDEX('Per Invoice'!L$2:L$401,$U113)="","",INDEX('Per Invoice'!L$2:L$401,$U113)))</f>
        <v/>
      </c>
      <c r="M113" s="7">
        <f>IF($U113="","",IF(INDEX('Per Invoice'!M$2:M$401,$U113)="","",INDEX('Per Invoice'!M$2:M$401,$U113)))</f>
        <v/>
      </c>
      <c r="N113">
        <f>IF($U113="","",IF(INDEX('Per Invoice'!N$2:N$401,$U113)="","",INDEX('Per Invoice'!N$2:N$401,$U113)))</f>
        <v/>
      </c>
      <c r="O113" s="7">
        <f>IF($U113="","",IF(INDEX('Per Invoice'!O$2:O$401,$U113)="","",INDEX('Per Invoice'!O$2:O$401,$U113)))</f>
        <v/>
      </c>
      <c r="P113" s="7">
        <f>IF($U113="","",IF(INDEX('Per Invoice'!P$2:P$401,$U113)="","",INDEX('Per Invoice'!P$2:P$401,$U113)))</f>
        <v/>
      </c>
      <c r="Q113" s="7">
        <f>IF($U113="","",IF(INDEX('Per Invoice'!Q$2:Q$401,$U113)="","",INDEX('Per Invoice'!Q$2:Q$401,$U113)))</f>
        <v/>
      </c>
      <c r="R113" s="7">
        <f>IF($U113="","",IF(INDEX('Per Invoice'!R$2:R$401,$U113)="","",INDEX('Per Invoice'!R$2:R$401,$U113)))</f>
        <v/>
      </c>
      <c r="S113" s="7">
        <f>IF($U113="","",IF(INDEX('Per Invoice'!S$2:S$401,$U113)="","",INDEX('Per Invoice'!S$2:S$401,$U113)))</f>
        <v/>
      </c>
      <c r="T113" s="7">
        <f>IF($U113="","",IF(INDEX('Per Invoice'!T$2:T$401,$U113)="","",INDEX('Per Invoice'!T$2:T$401,$U113)))</f>
        <v/>
      </c>
      <c r="U113" s="16">
        <f>IFERROR(MATCH(Settings!$C$29&amp;"|"&amp;ROWS($U$2:$U113),'Per Invoice'!$V$2:$V$401,0),"")</f>
        <v/>
      </c>
    </row>
    <row r="114">
      <c r="A114">
        <f>IF($U114="","",IF(INDEX('Per Invoice'!A$2:A$401,$U114)="","",INDEX('Per Invoice'!A$2:A$401,$U114)))</f>
        <v/>
      </c>
      <c r="B114">
        <f>IF($U114="","",IF(INDEX('Per Invoice'!B$2:B$401,$U114)="","",INDEX('Per Invoice'!B$2:B$401,$U114)))</f>
        <v/>
      </c>
      <c r="C114">
        <f>IF($U114="","",IF(INDEX('Per Invoice'!C$2:C$401,$U114)="","",INDEX('Per Invoice'!C$2:C$401,$U114)))</f>
        <v/>
      </c>
      <c r="D114">
        <f>IF($U114="","",IF(INDEX('Per Invoice'!D$2:D$401,$U114)="","",INDEX('Per Invoice'!D$2:D$401,$U114)))</f>
        <v/>
      </c>
      <c r="E114">
        <f>IF($U114="","",IF(INDEX('Per Invoice'!E$2:E$401,$U114)="","",INDEX('Per Invoice'!E$2:E$401,$U114)))</f>
        <v/>
      </c>
      <c r="F114">
        <f>IF($U114="","",IF(INDEX('Per Invoice'!F$2:F$401,$U114)="","",INDEX('Per Invoice'!F$2:F$401,$U114)))</f>
        <v/>
      </c>
      <c r="G114">
        <f>IF($U114="","",IF(INDEX('Per Invoice'!G$2:G$401,$U114)="","",INDEX('Per Invoice'!G$2:G$401,$U114)))</f>
        <v/>
      </c>
      <c r="H114" s="7">
        <f>IF($U114="","",IF(INDEX('Per Invoice'!H$2:H$401,$U114)="","",INDEX('Per Invoice'!H$2:H$401,$U114)))</f>
        <v/>
      </c>
      <c r="I114" s="14">
        <f>IF($U114="","",IF(INDEX('Per Invoice'!I$2:I$401,$U114)="","",INDEX('Per Invoice'!I$2:I$401,$U114)))</f>
        <v/>
      </c>
      <c r="J114">
        <f>IF($U114="","",IF(INDEX('Per Invoice'!J$2:J$401,$U114)="","",INDEX('Per Invoice'!J$2:J$401,$U114)))</f>
        <v/>
      </c>
      <c r="K114">
        <f>IF($U114="","",IF(INDEX('Per Invoice'!K$2:K$401,$U114)="","",INDEX('Per Invoice'!K$2:K$401,$U114)))</f>
        <v/>
      </c>
      <c r="L114" s="7">
        <f>IF($U114="","",IF(INDEX('Per Invoice'!L$2:L$401,$U114)="","",INDEX('Per Invoice'!L$2:L$401,$U114)))</f>
        <v/>
      </c>
      <c r="M114" s="7">
        <f>IF($U114="","",IF(INDEX('Per Invoice'!M$2:M$401,$U114)="","",INDEX('Per Invoice'!M$2:M$401,$U114)))</f>
        <v/>
      </c>
      <c r="N114">
        <f>IF($U114="","",IF(INDEX('Per Invoice'!N$2:N$401,$U114)="","",INDEX('Per Invoice'!N$2:N$401,$U114)))</f>
        <v/>
      </c>
      <c r="O114" s="7">
        <f>IF($U114="","",IF(INDEX('Per Invoice'!O$2:O$401,$U114)="","",INDEX('Per Invoice'!O$2:O$401,$U114)))</f>
        <v/>
      </c>
      <c r="P114" s="7">
        <f>IF($U114="","",IF(INDEX('Per Invoice'!P$2:P$401,$U114)="","",INDEX('Per Invoice'!P$2:P$401,$U114)))</f>
        <v/>
      </c>
      <c r="Q114" s="7">
        <f>IF($U114="","",IF(INDEX('Per Invoice'!Q$2:Q$401,$U114)="","",INDEX('Per Invoice'!Q$2:Q$401,$U114)))</f>
        <v/>
      </c>
      <c r="R114" s="7">
        <f>IF($U114="","",IF(INDEX('Per Invoice'!R$2:R$401,$U114)="","",INDEX('Per Invoice'!R$2:R$401,$U114)))</f>
        <v/>
      </c>
      <c r="S114" s="7">
        <f>IF($U114="","",IF(INDEX('Per Invoice'!S$2:S$401,$U114)="","",INDEX('Per Invoice'!S$2:S$401,$U114)))</f>
        <v/>
      </c>
      <c r="T114" s="7">
        <f>IF($U114="","",IF(INDEX('Per Invoice'!T$2:T$401,$U114)="","",INDEX('Per Invoice'!T$2:T$401,$U114)))</f>
        <v/>
      </c>
      <c r="U114" s="16">
        <f>IFERROR(MATCH(Settings!$C$29&amp;"|"&amp;ROWS($U$2:$U114),'Per Invoice'!$V$2:$V$401,0),"")</f>
        <v/>
      </c>
    </row>
    <row r="115">
      <c r="A115">
        <f>IF($U115="","",IF(INDEX('Per Invoice'!A$2:A$401,$U115)="","",INDEX('Per Invoice'!A$2:A$401,$U115)))</f>
        <v/>
      </c>
      <c r="B115">
        <f>IF($U115="","",IF(INDEX('Per Invoice'!B$2:B$401,$U115)="","",INDEX('Per Invoice'!B$2:B$401,$U115)))</f>
        <v/>
      </c>
      <c r="C115">
        <f>IF($U115="","",IF(INDEX('Per Invoice'!C$2:C$401,$U115)="","",INDEX('Per Invoice'!C$2:C$401,$U115)))</f>
        <v/>
      </c>
      <c r="D115">
        <f>IF($U115="","",IF(INDEX('Per Invoice'!D$2:D$401,$U115)="","",INDEX('Per Invoice'!D$2:D$401,$U115)))</f>
        <v/>
      </c>
      <c r="E115">
        <f>IF($U115="","",IF(INDEX('Per Invoice'!E$2:E$401,$U115)="","",INDEX('Per Invoice'!E$2:E$401,$U115)))</f>
        <v/>
      </c>
      <c r="F115">
        <f>IF($U115="","",IF(INDEX('Per Invoice'!F$2:F$401,$U115)="","",INDEX('Per Invoice'!F$2:F$401,$U115)))</f>
        <v/>
      </c>
      <c r="G115">
        <f>IF($U115="","",IF(INDEX('Per Invoice'!G$2:G$401,$U115)="","",INDEX('Per Invoice'!G$2:G$401,$U115)))</f>
        <v/>
      </c>
      <c r="H115" s="7">
        <f>IF($U115="","",IF(INDEX('Per Invoice'!H$2:H$401,$U115)="","",INDEX('Per Invoice'!H$2:H$401,$U115)))</f>
        <v/>
      </c>
      <c r="I115" s="14">
        <f>IF($U115="","",IF(INDEX('Per Invoice'!I$2:I$401,$U115)="","",INDEX('Per Invoice'!I$2:I$401,$U115)))</f>
        <v/>
      </c>
      <c r="J115">
        <f>IF($U115="","",IF(INDEX('Per Invoice'!J$2:J$401,$U115)="","",INDEX('Per Invoice'!J$2:J$401,$U115)))</f>
        <v/>
      </c>
      <c r="K115">
        <f>IF($U115="","",IF(INDEX('Per Invoice'!K$2:K$401,$U115)="","",INDEX('Per Invoice'!K$2:K$401,$U115)))</f>
        <v/>
      </c>
      <c r="L115" s="7">
        <f>IF($U115="","",IF(INDEX('Per Invoice'!L$2:L$401,$U115)="","",INDEX('Per Invoice'!L$2:L$401,$U115)))</f>
        <v/>
      </c>
      <c r="M115" s="7">
        <f>IF($U115="","",IF(INDEX('Per Invoice'!M$2:M$401,$U115)="","",INDEX('Per Invoice'!M$2:M$401,$U115)))</f>
        <v/>
      </c>
      <c r="N115">
        <f>IF($U115="","",IF(INDEX('Per Invoice'!N$2:N$401,$U115)="","",INDEX('Per Invoice'!N$2:N$401,$U115)))</f>
        <v/>
      </c>
      <c r="O115" s="7">
        <f>IF($U115="","",IF(INDEX('Per Invoice'!O$2:O$401,$U115)="","",INDEX('Per Invoice'!O$2:O$401,$U115)))</f>
        <v/>
      </c>
      <c r="P115" s="7">
        <f>IF($U115="","",IF(INDEX('Per Invoice'!P$2:P$401,$U115)="","",INDEX('Per Invoice'!P$2:P$401,$U115)))</f>
        <v/>
      </c>
      <c r="Q115" s="7">
        <f>IF($U115="","",IF(INDEX('Per Invoice'!Q$2:Q$401,$U115)="","",INDEX('Per Invoice'!Q$2:Q$401,$U115)))</f>
        <v/>
      </c>
      <c r="R115" s="7">
        <f>IF($U115="","",IF(INDEX('Per Invoice'!R$2:R$401,$U115)="","",INDEX('Per Invoice'!R$2:R$401,$U115)))</f>
        <v/>
      </c>
      <c r="S115" s="7">
        <f>IF($U115="","",IF(INDEX('Per Invoice'!S$2:S$401,$U115)="","",INDEX('Per Invoice'!S$2:S$401,$U115)))</f>
        <v/>
      </c>
      <c r="T115" s="7">
        <f>IF($U115="","",IF(INDEX('Per Invoice'!T$2:T$401,$U115)="","",INDEX('Per Invoice'!T$2:T$401,$U115)))</f>
        <v/>
      </c>
      <c r="U115" s="16">
        <f>IFERROR(MATCH(Settings!$C$29&amp;"|"&amp;ROWS($U$2:$U115),'Per Invoice'!$V$2:$V$401,0),"")</f>
        <v/>
      </c>
    </row>
    <row r="116">
      <c r="A116">
        <f>IF($U116="","",IF(INDEX('Per Invoice'!A$2:A$401,$U116)="","",INDEX('Per Invoice'!A$2:A$401,$U116)))</f>
        <v/>
      </c>
      <c r="B116">
        <f>IF($U116="","",IF(INDEX('Per Invoice'!B$2:B$401,$U116)="","",INDEX('Per Invoice'!B$2:B$401,$U116)))</f>
        <v/>
      </c>
      <c r="C116">
        <f>IF($U116="","",IF(INDEX('Per Invoice'!C$2:C$401,$U116)="","",INDEX('Per Invoice'!C$2:C$401,$U116)))</f>
        <v/>
      </c>
      <c r="D116">
        <f>IF($U116="","",IF(INDEX('Per Invoice'!D$2:D$401,$U116)="","",INDEX('Per Invoice'!D$2:D$401,$U116)))</f>
        <v/>
      </c>
      <c r="E116">
        <f>IF($U116="","",IF(INDEX('Per Invoice'!E$2:E$401,$U116)="","",INDEX('Per Invoice'!E$2:E$401,$U116)))</f>
        <v/>
      </c>
      <c r="F116">
        <f>IF($U116="","",IF(INDEX('Per Invoice'!F$2:F$401,$U116)="","",INDEX('Per Invoice'!F$2:F$401,$U116)))</f>
        <v/>
      </c>
      <c r="G116">
        <f>IF($U116="","",IF(INDEX('Per Invoice'!G$2:G$401,$U116)="","",INDEX('Per Invoice'!G$2:G$401,$U116)))</f>
        <v/>
      </c>
      <c r="H116" s="7">
        <f>IF($U116="","",IF(INDEX('Per Invoice'!H$2:H$401,$U116)="","",INDEX('Per Invoice'!H$2:H$401,$U116)))</f>
        <v/>
      </c>
      <c r="I116" s="14">
        <f>IF($U116="","",IF(INDEX('Per Invoice'!I$2:I$401,$U116)="","",INDEX('Per Invoice'!I$2:I$401,$U116)))</f>
        <v/>
      </c>
      <c r="J116">
        <f>IF($U116="","",IF(INDEX('Per Invoice'!J$2:J$401,$U116)="","",INDEX('Per Invoice'!J$2:J$401,$U116)))</f>
        <v/>
      </c>
      <c r="K116">
        <f>IF($U116="","",IF(INDEX('Per Invoice'!K$2:K$401,$U116)="","",INDEX('Per Invoice'!K$2:K$401,$U116)))</f>
        <v/>
      </c>
      <c r="L116" s="7">
        <f>IF($U116="","",IF(INDEX('Per Invoice'!L$2:L$401,$U116)="","",INDEX('Per Invoice'!L$2:L$401,$U116)))</f>
        <v/>
      </c>
      <c r="M116" s="7">
        <f>IF($U116="","",IF(INDEX('Per Invoice'!M$2:M$401,$U116)="","",INDEX('Per Invoice'!M$2:M$401,$U116)))</f>
        <v/>
      </c>
      <c r="N116">
        <f>IF($U116="","",IF(INDEX('Per Invoice'!N$2:N$401,$U116)="","",INDEX('Per Invoice'!N$2:N$401,$U116)))</f>
        <v/>
      </c>
      <c r="O116" s="7">
        <f>IF($U116="","",IF(INDEX('Per Invoice'!O$2:O$401,$U116)="","",INDEX('Per Invoice'!O$2:O$401,$U116)))</f>
        <v/>
      </c>
      <c r="P116" s="7">
        <f>IF($U116="","",IF(INDEX('Per Invoice'!P$2:P$401,$U116)="","",INDEX('Per Invoice'!P$2:P$401,$U116)))</f>
        <v/>
      </c>
      <c r="Q116" s="7">
        <f>IF($U116="","",IF(INDEX('Per Invoice'!Q$2:Q$401,$U116)="","",INDEX('Per Invoice'!Q$2:Q$401,$U116)))</f>
        <v/>
      </c>
      <c r="R116" s="7">
        <f>IF($U116="","",IF(INDEX('Per Invoice'!R$2:R$401,$U116)="","",INDEX('Per Invoice'!R$2:R$401,$U116)))</f>
        <v/>
      </c>
      <c r="S116" s="7">
        <f>IF($U116="","",IF(INDEX('Per Invoice'!S$2:S$401,$U116)="","",INDEX('Per Invoice'!S$2:S$401,$U116)))</f>
        <v/>
      </c>
      <c r="T116" s="7">
        <f>IF($U116="","",IF(INDEX('Per Invoice'!T$2:T$401,$U116)="","",INDEX('Per Invoice'!T$2:T$401,$U116)))</f>
        <v/>
      </c>
      <c r="U116" s="16">
        <f>IFERROR(MATCH(Settings!$C$29&amp;"|"&amp;ROWS($U$2:$U116),'Per Invoice'!$V$2:$V$401,0),"")</f>
        <v/>
      </c>
    </row>
    <row r="117">
      <c r="A117">
        <f>IF($U117="","",IF(INDEX('Per Invoice'!A$2:A$401,$U117)="","",INDEX('Per Invoice'!A$2:A$401,$U117)))</f>
        <v/>
      </c>
      <c r="B117">
        <f>IF($U117="","",IF(INDEX('Per Invoice'!B$2:B$401,$U117)="","",INDEX('Per Invoice'!B$2:B$401,$U117)))</f>
        <v/>
      </c>
      <c r="C117">
        <f>IF($U117="","",IF(INDEX('Per Invoice'!C$2:C$401,$U117)="","",INDEX('Per Invoice'!C$2:C$401,$U117)))</f>
        <v/>
      </c>
      <c r="D117">
        <f>IF($U117="","",IF(INDEX('Per Invoice'!D$2:D$401,$U117)="","",INDEX('Per Invoice'!D$2:D$401,$U117)))</f>
        <v/>
      </c>
      <c r="E117">
        <f>IF($U117="","",IF(INDEX('Per Invoice'!E$2:E$401,$U117)="","",INDEX('Per Invoice'!E$2:E$401,$U117)))</f>
        <v/>
      </c>
      <c r="F117">
        <f>IF($U117="","",IF(INDEX('Per Invoice'!F$2:F$401,$U117)="","",INDEX('Per Invoice'!F$2:F$401,$U117)))</f>
        <v/>
      </c>
      <c r="G117">
        <f>IF($U117="","",IF(INDEX('Per Invoice'!G$2:G$401,$U117)="","",INDEX('Per Invoice'!G$2:G$401,$U117)))</f>
        <v/>
      </c>
      <c r="H117" s="7">
        <f>IF($U117="","",IF(INDEX('Per Invoice'!H$2:H$401,$U117)="","",INDEX('Per Invoice'!H$2:H$401,$U117)))</f>
        <v/>
      </c>
      <c r="I117" s="14">
        <f>IF($U117="","",IF(INDEX('Per Invoice'!I$2:I$401,$U117)="","",INDEX('Per Invoice'!I$2:I$401,$U117)))</f>
        <v/>
      </c>
      <c r="J117">
        <f>IF($U117="","",IF(INDEX('Per Invoice'!J$2:J$401,$U117)="","",INDEX('Per Invoice'!J$2:J$401,$U117)))</f>
        <v/>
      </c>
      <c r="K117">
        <f>IF($U117="","",IF(INDEX('Per Invoice'!K$2:K$401,$U117)="","",INDEX('Per Invoice'!K$2:K$401,$U117)))</f>
        <v/>
      </c>
      <c r="L117" s="7">
        <f>IF($U117="","",IF(INDEX('Per Invoice'!L$2:L$401,$U117)="","",INDEX('Per Invoice'!L$2:L$401,$U117)))</f>
        <v/>
      </c>
      <c r="M117" s="7">
        <f>IF($U117="","",IF(INDEX('Per Invoice'!M$2:M$401,$U117)="","",INDEX('Per Invoice'!M$2:M$401,$U117)))</f>
        <v/>
      </c>
      <c r="N117">
        <f>IF($U117="","",IF(INDEX('Per Invoice'!N$2:N$401,$U117)="","",INDEX('Per Invoice'!N$2:N$401,$U117)))</f>
        <v/>
      </c>
      <c r="O117" s="7">
        <f>IF($U117="","",IF(INDEX('Per Invoice'!O$2:O$401,$U117)="","",INDEX('Per Invoice'!O$2:O$401,$U117)))</f>
        <v/>
      </c>
      <c r="P117" s="7">
        <f>IF($U117="","",IF(INDEX('Per Invoice'!P$2:P$401,$U117)="","",INDEX('Per Invoice'!P$2:P$401,$U117)))</f>
        <v/>
      </c>
      <c r="Q117" s="7">
        <f>IF($U117="","",IF(INDEX('Per Invoice'!Q$2:Q$401,$U117)="","",INDEX('Per Invoice'!Q$2:Q$401,$U117)))</f>
        <v/>
      </c>
      <c r="R117" s="7">
        <f>IF($U117="","",IF(INDEX('Per Invoice'!R$2:R$401,$U117)="","",INDEX('Per Invoice'!R$2:R$401,$U117)))</f>
        <v/>
      </c>
      <c r="S117" s="7">
        <f>IF($U117="","",IF(INDEX('Per Invoice'!S$2:S$401,$U117)="","",INDEX('Per Invoice'!S$2:S$401,$U117)))</f>
        <v/>
      </c>
      <c r="T117" s="7">
        <f>IF($U117="","",IF(INDEX('Per Invoice'!T$2:T$401,$U117)="","",INDEX('Per Invoice'!T$2:T$401,$U117)))</f>
        <v/>
      </c>
      <c r="U117" s="16">
        <f>IFERROR(MATCH(Settings!$C$29&amp;"|"&amp;ROWS($U$2:$U117),'Per Invoice'!$V$2:$V$401,0),"")</f>
        <v/>
      </c>
    </row>
    <row r="118">
      <c r="A118">
        <f>IF($U118="","",IF(INDEX('Per Invoice'!A$2:A$401,$U118)="","",INDEX('Per Invoice'!A$2:A$401,$U118)))</f>
        <v/>
      </c>
      <c r="B118">
        <f>IF($U118="","",IF(INDEX('Per Invoice'!B$2:B$401,$U118)="","",INDEX('Per Invoice'!B$2:B$401,$U118)))</f>
        <v/>
      </c>
      <c r="C118">
        <f>IF($U118="","",IF(INDEX('Per Invoice'!C$2:C$401,$U118)="","",INDEX('Per Invoice'!C$2:C$401,$U118)))</f>
        <v/>
      </c>
      <c r="D118">
        <f>IF($U118="","",IF(INDEX('Per Invoice'!D$2:D$401,$U118)="","",INDEX('Per Invoice'!D$2:D$401,$U118)))</f>
        <v/>
      </c>
      <c r="E118">
        <f>IF($U118="","",IF(INDEX('Per Invoice'!E$2:E$401,$U118)="","",INDEX('Per Invoice'!E$2:E$401,$U118)))</f>
        <v/>
      </c>
      <c r="F118">
        <f>IF($U118="","",IF(INDEX('Per Invoice'!F$2:F$401,$U118)="","",INDEX('Per Invoice'!F$2:F$401,$U118)))</f>
        <v/>
      </c>
      <c r="G118">
        <f>IF($U118="","",IF(INDEX('Per Invoice'!G$2:G$401,$U118)="","",INDEX('Per Invoice'!G$2:G$401,$U118)))</f>
        <v/>
      </c>
      <c r="H118" s="7">
        <f>IF($U118="","",IF(INDEX('Per Invoice'!H$2:H$401,$U118)="","",INDEX('Per Invoice'!H$2:H$401,$U118)))</f>
        <v/>
      </c>
      <c r="I118" s="14">
        <f>IF($U118="","",IF(INDEX('Per Invoice'!I$2:I$401,$U118)="","",INDEX('Per Invoice'!I$2:I$401,$U118)))</f>
        <v/>
      </c>
      <c r="J118">
        <f>IF($U118="","",IF(INDEX('Per Invoice'!J$2:J$401,$U118)="","",INDEX('Per Invoice'!J$2:J$401,$U118)))</f>
        <v/>
      </c>
      <c r="K118">
        <f>IF($U118="","",IF(INDEX('Per Invoice'!K$2:K$401,$U118)="","",INDEX('Per Invoice'!K$2:K$401,$U118)))</f>
        <v/>
      </c>
      <c r="L118" s="7">
        <f>IF($U118="","",IF(INDEX('Per Invoice'!L$2:L$401,$U118)="","",INDEX('Per Invoice'!L$2:L$401,$U118)))</f>
        <v/>
      </c>
      <c r="M118" s="7">
        <f>IF($U118="","",IF(INDEX('Per Invoice'!M$2:M$401,$U118)="","",INDEX('Per Invoice'!M$2:M$401,$U118)))</f>
        <v/>
      </c>
      <c r="N118">
        <f>IF($U118="","",IF(INDEX('Per Invoice'!N$2:N$401,$U118)="","",INDEX('Per Invoice'!N$2:N$401,$U118)))</f>
        <v/>
      </c>
      <c r="O118" s="7">
        <f>IF($U118="","",IF(INDEX('Per Invoice'!O$2:O$401,$U118)="","",INDEX('Per Invoice'!O$2:O$401,$U118)))</f>
        <v/>
      </c>
      <c r="P118" s="7">
        <f>IF($U118="","",IF(INDEX('Per Invoice'!P$2:P$401,$U118)="","",INDEX('Per Invoice'!P$2:P$401,$U118)))</f>
        <v/>
      </c>
      <c r="Q118" s="7">
        <f>IF($U118="","",IF(INDEX('Per Invoice'!Q$2:Q$401,$U118)="","",INDEX('Per Invoice'!Q$2:Q$401,$U118)))</f>
        <v/>
      </c>
      <c r="R118" s="7">
        <f>IF($U118="","",IF(INDEX('Per Invoice'!R$2:R$401,$U118)="","",INDEX('Per Invoice'!R$2:R$401,$U118)))</f>
        <v/>
      </c>
      <c r="S118" s="7">
        <f>IF($U118="","",IF(INDEX('Per Invoice'!S$2:S$401,$U118)="","",INDEX('Per Invoice'!S$2:S$401,$U118)))</f>
        <v/>
      </c>
      <c r="T118" s="7">
        <f>IF($U118="","",IF(INDEX('Per Invoice'!T$2:T$401,$U118)="","",INDEX('Per Invoice'!T$2:T$401,$U118)))</f>
        <v/>
      </c>
      <c r="U118" s="16">
        <f>IFERROR(MATCH(Settings!$C$29&amp;"|"&amp;ROWS($U$2:$U118),'Per Invoice'!$V$2:$V$401,0),"")</f>
        <v/>
      </c>
    </row>
    <row r="119">
      <c r="A119">
        <f>IF($U119="","",IF(INDEX('Per Invoice'!A$2:A$401,$U119)="","",INDEX('Per Invoice'!A$2:A$401,$U119)))</f>
        <v/>
      </c>
      <c r="B119">
        <f>IF($U119="","",IF(INDEX('Per Invoice'!B$2:B$401,$U119)="","",INDEX('Per Invoice'!B$2:B$401,$U119)))</f>
        <v/>
      </c>
      <c r="C119">
        <f>IF($U119="","",IF(INDEX('Per Invoice'!C$2:C$401,$U119)="","",INDEX('Per Invoice'!C$2:C$401,$U119)))</f>
        <v/>
      </c>
      <c r="D119">
        <f>IF($U119="","",IF(INDEX('Per Invoice'!D$2:D$401,$U119)="","",INDEX('Per Invoice'!D$2:D$401,$U119)))</f>
        <v/>
      </c>
      <c r="E119">
        <f>IF($U119="","",IF(INDEX('Per Invoice'!E$2:E$401,$U119)="","",INDEX('Per Invoice'!E$2:E$401,$U119)))</f>
        <v/>
      </c>
      <c r="F119">
        <f>IF($U119="","",IF(INDEX('Per Invoice'!F$2:F$401,$U119)="","",INDEX('Per Invoice'!F$2:F$401,$U119)))</f>
        <v/>
      </c>
      <c r="G119">
        <f>IF($U119="","",IF(INDEX('Per Invoice'!G$2:G$401,$U119)="","",INDEX('Per Invoice'!G$2:G$401,$U119)))</f>
        <v/>
      </c>
      <c r="H119" s="7">
        <f>IF($U119="","",IF(INDEX('Per Invoice'!H$2:H$401,$U119)="","",INDEX('Per Invoice'!H$2:H$401,$U119)))</f>
        <v/>
      </c>
      <c r="I119" s="14">
        <f>IF($U119="","",IF(INDEX('Per Invoice'!I$2:I$401,$U119)="","",INDEX('Per Invoice'!I$2:I$401,$U119)))</f>
        <v/>
      </c>
      <c r="J119">
        <f>IF($U119="","",IF(INDEX('Per Invoice'!J$2:J$401,$U119)="","",INDEX('Per Invoice'!J$2:J$401,$U119)))</f>
        <v/>
      </c>
      <c r="K119">
        <f>IF($U119="","",IF(INDEX('Per Invoice'!K$2:K$401,$U119)="","",INDEX('Per Invoice'!K$2:K$401,$U119)))</f>
        <v/>
      </c>
      <c r="L119" s="7">
        <f>IF($U119="","",IF(INDEX('Per Invoice'!L$2:L$401,$U119)="","",INDEX('Per Invoice'!L$2:L$401,$U119)))</f>
        <v/>
      </c>
      <c r="M119" s="7">
        <f>IF($U119="","",IF(INDEX('Per Invoice'!M$2:M$401,$U119)="","",INDEX('Per Invoice'!M$2:M$401,$U119)))</f>
        <v/>
      </c>
      <c r="N119">
        <f>IF($U119="","",IF(INDEX('Per Invoice'!N$2:N$401,$U119)="","",INDEX('Per Invoice'!N$2:N$401,$U119)))</f>
        <v/>
      </c>
      <c r="O119" s="7">
        <f>IF($U119="","",IF(INDEX('Per Invoice'!O$2:O$401,$U119)="","",INDEX('Per Invoice'!O$2:O$401,$U119)))</f>
        <v/>
      </c>
      <c r="P119" s="7">
        <f>IF($U119="","",IF(INDEX('Per Invoice'!P$2:P$401,$U119)="","",INDEX('Per Invoice'!P$2:P$401,$U119)))</f>
        <v/>
      </c>
      <c r="Q119" s="7">
        <f>IF($U119="","",IF(INDEX('Per Invoice'!Q$2:Q$401,$U119)="","",INDEX('Per Invoice'!Q$2:Q$401,$U119)))</f>
        <v/>
      </c>
      <c r="R119" s="7">
        <f>IF($U119="","",IF(INDEX('Per Invoice'!R$2:R$401,$U119)="","",INDEX('Per Invoice'!R$2:R$401,$U119)))</f>
        <v/>
      </c>
      <c r="S119" s="7">
        <f>IF($U119="","",IF(INDEX('Per Invoice'!S$2:S$401,$U119)="","",INDEX('Per Invoice'!S$2:S$401,$U119)))</f>
        <v/>
      </c>
      <c r="T119" s="7">
        <f>IF($U119="","",IF(INDEX('Per Invoice'!T$2:T$401,$U119)="","",INDEX('Per Invoice'!T$2:T$401,$U119)))</f>
        <v/>
      </c>
      <c r="U119" s="16">
        <f>IFERROR(MATCH(Settings!$C$29&amp;"|"&amp;ROWS($U$2:$U119),'Per Invoice'!$V$2:$V$401,0),"")</f>
        <v/>
      </c>
    </row>
    <row r="120">
      <c r="A120">
        <f>IF($U120="","",IF(INDEX('Per Invoice'!A$2:A$401,$U120)="","",INDEX('Per Invoice'!A$2:A$401,$U120)))</f>
        <v/>
      </c>
      <c r="B120">
        <f>IF($U120="","",IF(INDEX('Per Invoice'!B$2:B$401,$U120)="","",INDEX('Per Invoice'!B$2:B$401,$U120)))</f>
        <v/>
      </c>
      <c r="C120">
        <f>IF($U120="","",IF(INDEX('Per Invoice'!C$2:C$401,$U120)="","",INDEX('Per Invoice'!C$2:C$401,$U120)))</f>
        <v/>
      </c>
      <c r="D120">
        <f>IF($U120="","",IF(INDEX('Per Invoice'!D$2:D$401,$U120)="","",INDEX('Per Invoice'!D$2:D$401,$U120)))</f>
        <v/>
      </c>
      <c r="E120">
        <f>IF($U120="","",IF(INDEX('Per Invoice'!E$2:E$401,$U120)="","",INDEX('Per Invoice'!E$2:E$401,$U120)))</f>
        <v/>
      </c>
      <c r="F120">
        <f>IF($U120="","",IF(INDEX('Per Invoice'!F$2:F$401,$U120)="","",INDEX('Per Invoice'!F$2:F$401,$U120)))</f>
        <v/>
      </c>
      <c r="G120">
        <f>IF($U120="","",IF(INDEX('Per Invoice'!G$2:G$401,$U120)="","",INDEX('Per Invoice'!G$2:G$401,$U120)))</f>
        <v/>
      </c>
      <c r="H120" s="7">
        <f>IF($U120="","",IF(INDEX('Per Invoice'!H$2:H$401,$U120)="","",INDEX('Per Invoice'!H$2:H$401,$U120)))</f>
        <v/>
      </c>
      <c r="I120" s="14">
        <f>IF($U120="","",IF(INDEX('Per Invoice'!I$2:I$401,$U120)="","",INDEX('Per Invoice'!I$2:I$401,$U120)))</f>
        <v/>
      </c>
      <c r="J120">
        <f>IF($U120="","",IF(INDEX('Per Invoice'!J$2:J$401,$U120)="","",INDEX('Per Invoice'!J$2:J$401,$U120)))</f>
        <v/>
      </c>
      <c r="K120">
        <f>IF($U120="","",IF(INDEX('Per Invoice'!K$2:K$401,$U120)="","",INDEX('Per Invoice'!K$2:K$401,$U120)))</f>
        <v/>
      </c>
      <c r="L120" s="7">
        <f>IF($U120="","",IF(INDEX('Per Invoice'!L$2:L$401,$U120)="","",INDEX('Per Invoice'!L$2:L$401,$U120)))</f>
        <v/>
      </c>
      <c r="M120" s="7">
        <f>IF($U120="","",IF(INDEX('Per Invoice'!M$2:M$401,$U120)="","",INDEX('Per Invoice'!M$2:M$401,$U120)))</f>
        <v/>
      </c>
      <c r="N120">
        <f>IF($U120="","",IF(INDEX('Per Invoice'!N$2:N$401,$U120)="","",INDEX('Per Invoice'!N$2:N$401,$U120)))</f>
        <v/>
      </c>
      <c r="O120" s="7">
        <f>IF($U120="","",IF(INDEX('Per Invoice'!O$2:O$401,$U120)="","",INDEX('Per Invoice'!O$2:O$401,$U120)))</f>
        <v/>
      </c>
      <c r="P120" s="7">
        <f>IF($U120="","",IF(INDEX('Per Invoice'!P$2:P$401,$U120)="","",INDEX('Per Invoice'!P$2:P$401,$U120)))</f>
        <v/>
      </c>
      <c r="Q120" s="7">
        <f>IF($U120="","",IF(INDEX('Per Invoice'!Q$2:Q$401,$U120)="","",INDEX('Per Invoice'!Q$2:Q$401,$U120)))</f>
        <v/>
      </c>
      <c r="R120" s="7">
        <f>IF($U120="","",IF(INDEX('Per Invoice'!R$2:R$401,$U120)="","",INDEX('Per Invoice'!R$2:R$401,$U120)))</f>
        <v/>
      </c>
      <c r="S120" s="7">
        <f>IF($U120="","",IF(INDEX('Per Invoice'!S$2:S$401,$U120)="","",INDEX('Per Invoice'!S$2:S$401,$U120)))</f>
        <v/>
      </c>
      <c r="T120" s="7">
        <f>IF($U120="","",IF(INDEX('Per Invoice'!T$2:T$401,$U120)="","",INDEX('Per Invoice'!T$2:T$401,$U120)))</f>
        <v/>
      </c>
      <c r="U120" s="16">
        <f>IFERROR(MATCH(Settings!$C$29&amp;"|"&amp;ROWS($U$2:$U120),'Per Invoice'!$V$2:$V$401,0),"")</f>
        <v/>
      </c>
    </row>
    <row r="121">
      <c r="A121">
        <f>IF($U121="","",IF(INDEX('Per Invoice'!A$2:A$401,$U121)="","",INDEX('Per Invoice'!A$2:A$401,$U121)))</f>
        <v/>
      </c>
      <c r="B121">
        <f>IF($U121="","",IF(INDEX('Per Invoice'!B$2:B$401,$U121)="","",INDEX('Per Invoice'!B$2:B$401,$U121)))</f>
        <v/>
      </c>
      <c r="C121">
        <f>IF($U121="","",IF(INDEX('Per Invoice'!C$2:C$401,$U121)="","",INDEX('Per Invoice'!C$2:C$401,$U121)))</f>
        <v/>
      </c>
      <c r="D121">
        <f>IF($U121="","",IF(INDEX('Per Invoice'!D$2:D$401,$U121)="","",INDEX('Per Invoice'!D$2:D$401,$U121)))</f>
        <v/>
      </c>
      <c r="E121">
        <f>IF($U121="","",IF(INDEX('Per Invoice'!E$2:E$401,$U121)="","",INDEX('Per Invoice'!E$2:E$401,$U121)))</f>
        <v/>
      </c>
      <c r="F121">
        <f>IF($U121="","",IF(INDEX('Per Invoice'!F$2:F$401,$U121)="","",INDEX('Per Invoice'!F$2:F$401,$U121)))</f>
        <v/>
      </c>
      <c r="G121">
        <f>IF($U121="","",IF(INDEX('Per Invoice'!G$2:G$401,$U121)="","",INDEX('Per Invoice'!G$2:G$401,$U121)))</f>
        <v/>
      </c>
      <c r="H121" s="7">
        <f>IF($U121="","",IF(INDEX('Per Invoice'!H$2:H$401,$U121)="","",INDEX('Per Invoice'!H$2:H$401,$U121)))</f>
        <v/>
      </c>
      <c r="I121" s="14">
        <f>IF($U121="","",IF(INDEX('Per Invoice'!I$2:I$401,$U121)="","",INDEX('Per Invoice'!I$2:I$401,$U121)))</f>
        <v/>
      </c>
      <c r="J121">
        <f>IF($U121="","",IF(INDEX('Per Invoice'!J$2:J$401,$U121)="","",INDEX('Per Invoice'!J$2:J$401,$U121)))</f>
        <v/>
      </c>
      <c r="K121">
        <f>IF($U121="","",IF(INDEX('Per Invoice'!K$2:K$401,$U121)="","",INDEX('Per Invoice'!K$2:K$401,$U121)))</f>
        <v/>
      </c>
      <c r="L121" s="7">
        <f>IF($U121="","",IF(INDEX('Per Invoice'!L$2:L$401,$U121)="","",INDEX('Per Invoice'!L$2:L$401,$U121)))</f>
        <v/>
      </c>
      <c r="M121" s="7">
        <f>IF($U121="","",IF(INDEX('Per Invoice'!M$2:M$401,$U121)="","",INDEX('Per Invoice'!M$2:M$401,$U121)))</f>
        <v/>
      </c>
      <c r="N121">
        <f>IF($U121="","",IF(INDEX('Per Invoice'!N$2:N$401,$U121)="","",INDEX('Per Invoice'!N$2:N$401,$U121)))</f>
        <v/>
      </c>
      <c r="O121" s="7">
        <f>IF($U121="","",IF(INDEX('Per Invoice'!O$2:O$401,$U121)="","",INDEX('Per Invoice'!O$2:O$401,$U121)))</f>
        <v/>
      </c>
      <c r="P121" s="7">
        <f>IF($U121="","",IF(INDEX('Per Invoice'!P$2:P$401,$U121)="","",INDEX('Per Invoice'!P$2:P$401,$U121)))</f>
        <v/>
      </c>
      <c r="Q121" s="7">
        <f>IF($U121="","",IF(INDEX('Per Invoice'!Q$2:Q$401,$U121)="","",INDEX('Per Invoice'!Q$2:Q$401,$U121)))</f>
        <v/>
      </c>
      <c r="R121" s="7">
        <f>IF($U121="","",IF(INDEX('Per Invoice'!R$2:R$401,$U121)="","",INDEX('Per Invoice'!R$2:R$401,$U121)))</f>
        <v/>
      </c>
      <c r="S121" s="7">
        <f>IF($U121="","",IF(INDEX('Per Invoice'!S$2:S$401,$U121)="","",INDEX('Per Invoice'!S$2:S$401,$U121)))</f>
        <v/>
      </c>
      <c r="T121" s="7">
        <f>IF($U121="","",IF(INDEX('Per Invoice'!T$2:T$401,$U121)="","",INDEX('Per Invoice'!T$2:T$401,$U121)))</f>
        <v/>
      </c>
      <c r="U121" s="16">
        <f>IFERROR(MATCH(Settings!$C$29&amp;"|"&amp;ROWS($U$2:$U121),'Per Invoice'!$V$2:$V$401,0),"")</f>
        <v/>
      </c>
    </row>
    <row r="122">
      <c r="A122">
        <f>IF($U122="","",IF(INDEX('Per Invoice'!A$2:A$401,$U122)="","",INDEX('Per Invoice'!A$2:A$401,$U122)))</f>
        <v/>
      </c>
      <c r="B122">
        <f>IF($U122="","",IF(INDEX('Per Invoice'!B$2:B$401,$U122)="","",INDEX('Per Invoice'!B$2:B$401,$U122)))</f>
        <v/>
      </c>
      <c r="C122">
        <f>IF($U122="","",IF(INDEX('Per Invoice'!C$2:C$401,$U122)="","",INDEX('Per Invoice'!C$2:C$401,$U122)))</f>
        <v/>
      </c>
      <c r="D122">
        <f>IF($U122="","",IF(INDEX('Per Invoice'!D$2:D$401,$U122)="","",INDEX('Per Invoice'!D$2:D$401,$U122)))</f>
        <v/>
      </c>
      <c r="E122">
        <f>IF($U122="","",IF(INDEX('Per Invoice'!E$2:E$401,$U122)="","",INDEX('Per Invoice'!E$2:E$401,$U122)))</f>
        <v/>
      </c>
      <c r="F122">
        <f>IF($U122="","",IF(INDEX('Per Invoice'!F$2:F$401,$U122)="","",INDEX('Per Invoice'!F$2:F$401,$U122)))</f>
        <v/>
      </c>
      <c r="G122">
        <f>IF($U122="","",IF(INDEX('Per Invoice'!G$2:G$401,$U122)="","",INDEX('Per Invoice'!G$2:G$401,$U122)))</f>
        <v/>
      </c>
      <c r="H122" s="7">
        <f>IF($U122="","",IF(INDEX('Per Invoice'!H$2:H$401,$U122)="","",INDEX('Per Invoice'!H$2:H$401,$U122)))</f>
        <v/>
      </c>
      <c r="I122" s="14">
        <f>IF($U122="","",IF(INDEX('Per Invoice'!I$2:I$401,$U122)="","",INDEX('Per Invoice'!I$2:I$401,$U122)))</f>
        <v/>
      </c>
      <c r="J122">
        <f>IF($U122="","",IF(INDEX('Per Invoice'!J$2:J$401,$U122)="","",INDEX('Per Invoice'!J$2:J$401,$U122)))</f>
        <v/>
      </c>
      <c r="K122">
        <f>IF($U122="","",IF(INDEX('Per Invoice'!K$2:K$401,$U122)="","",INDEX('Per Invoice'!K$2:K$401,$U122)))</f>
        <v/>
      </c>
      <c r="L122" s="7">
        <f>IF($U122="","",IF(INDEX('Per Invoice'!L$2:L$401,$U122)="","",INDEX('Per Invoice'!L$2:L$401,$U122)))</f>
        <v/>
      </c>
      <c r="M122" s="7">
        <f>IF($U122="","",IF(INDEX('Per Invoice'!M$2:M$401,$U122)="","",INDEX('Per Invoice'!M$2:M$401,$U122)))</f>
        <v/>
      </c>
      <c r="N122">
        <f>IF($U122="","",IF(INDEX('Per Invoice'!N$2:N$401,$U122)="","",INDEX('Per Invoice'!N$2:N$401,$U122)))</f>
        <v/>
      </c>
      <c r="O122" s="7">
        <f>IF($U122="","",IF(INDEX('Per Invoice'!O$2:O$401,$U122)="","",INDEX('Per Invoice'!O$2:O$401,$U122)))</f>
        <v/>
      </c>
      <c r="P122" s="7">
        <f>IF($U122="","",IF(INDEX('Per Invoice'!P$2:P$401,$U122)="","",INDEX('Per Invoice'!P$2:P$401,$U122)))</f>
        <v/>
      </c>
      <c r="Q122" s="7">
        <f>IF($U122="","",IF(INDEX('Per Invoice'!Q$2:Q$401,$U122)="","",INDEX('Per Invoice'!Q$2:Q$401,$U122)))</f>
        <v/>
      </c>
      <c r="R122" s="7">
        <f>IF($U122="","",IF(INDEX('Per Invoice'!R$2:R$401,$U122)="","",INDEX('Per Invoice'!R$2:R$401,$U122)))</f>
        <v/>
      </c>
      <c r="S122" s="7">
        <f>IF($U122="","",IF(INDEX('Per Invoice'!S$2:S$401,$U122)="","",INDEX('Per Invoice'!S$2:S$401,$U122)))</f>
        <v/>
      </c>
      <c r="T122" s="7">
        <f>IF($U122="","",IF(INDEX('Per Invoice'!T$2:T$401,$U122)="","",INDEX('Per Invoice'!T$2:T$401,$U122)))</f>
        <v/>
      </c>
      <c r="U122" s="16">
        <f>IFERROR(MATCH(Settings!$C$29&amp;"|"&amp;ROWS($U$2:$U122),'Per Invoice'!$V$2:$V$401,0),"")</f>
        <v/>
      </c>
    </row>
    <row r="123">
      <c r="A123">
        <f>IF($U123="","",IF(INDEX('Per Invoice'!A$2:A$401,$U123)="","",INDEX('Per Invoice'!A$2:A$401,$U123)))</f>
        <v/>
      </c>
      <c r="B123">
        <f>IF($U123="","",IF(INDEX('Per Invoice'!B$2:B$401,$U123)="","",INDEX('Per Invoice'!B$2:B$401,$U123)))</f>
        <v/>
      </c>
      <c r="C123">
        <f>IF($U123="","",IF(INDEX('Per Invoice'!C$2:C$401,$U123)="","",INDEX('Per Invoice'!C$2:C$401,$U123)))</f>
        <v/>
      </c>
      <c r="D123">
        <f>IF($U123="","",IF(INDEX('Per Invoice'!D$2:D$401,$U123)="","",INDEX('Per Invoice'!D$2:D$401,$U123)))</f>
        <v/>
      </c>
      <c r="E123">
        <f>IF($U123="","",IF(INDEX('Per Invoice'!E$2:E$401,$U123)="","",INDEX('Per Invoice'!E$2:E$401,$U123)))</f>
        <v/>
      </c>
      <c r="F123">
        <f>IF($U123="","",IF(INDEX('Per Invoice'!F$2:F$401,$U123)="","",INDEX('Per Invoice'!F$2:F$401,$U123)))</f>
        <v/>
      </c>
      <c r="G123">
        <f>IF($U123="","",IF(INDEX('Per Invoice'!G$2:G$401,$U123)="","",INDEX('Per Invoice'!G$2:G$401,$U123)))</f>
        <v/>
      </c>
      <c r="H123" s="7">
        <f>IF($U123="","",IF(INDEX('Per Invoice'!H$2:H$401,$U123)="","",INDEX('Per Invoice'!H$2:H$401,$U123)))</f>
        <v/>
      </c>
      <c r="I123" s="14">
        <f>IF($U123="","",IF(INDEX('Per Invoice'!I$2:I$401,$U123)="","",INDEX('Per Invoice'!I$2:I$401,$U123)))</f>
        <v/>
      </c>
      <c r="J123">
        <f>IF($U123="","",IF(INDEX('Per Invoice'!J$2:J$401,$U123)="","",INDEX('Per Invoice'!J$2:J$401,$U123)))</f>
        <v/>
      </c>
      <c r="K123">
        <f>IF($U123="","",IF(INDEX('Per Invoice'!K$2:K$401,$U123)="","",INDEX('Per Invoice'!K$2:K$401,$U123)))</f>
        <v/>
      </c>
      <c r="L123" s="7">
        <f>IF($U123="","",IF(INDEX('Per Invoice'!L$2:L$401,$U123)="","",INDEX('Per Invoice'!L$2:L$401,$U123)))</f>
        <v/>
      </c>
      <c r="M123" s="7">
        <f>IF($U123="","",IF(INDEX('Per Invoice'!M$2:M$401,$U123)="","",INDEX('Per Invoice'!M$2:M$401,$U123)))</f>
        <v/>
      </c>
      <c r="N123">
        <f>IF($U123="","",IF(INDEX('Per Invoice'!N$2:N$401,$U123)="","",INDEX('Per Invoice'!N$2:N$401,$U123)))</f>
        <v/>
      </c>
      <c r="O123" s="7">
        <f>IF($U123="","",IF(INDEX('Per Invoice'!O$2:O$401,$U123)="","",INDEX('Per Invoice'!O$2:O$401,$U123)))</f>
        <v/>
      </c>
      <c r="P123" s="7">
        <f>IF($U123="","",IF(INDEX('Per Invoice'!P$2:P$401,$U123)="","",INDEX('Per Invoice'!P$2:P$401,$U123)))</f>
        <v/>
      </c>
      <c r="Q123" s="7">
        <f>IF($U123="","",IF(INDEX('Per Invoice'!Q$2:Q$401,$U123)="","",INDEX('Per Invoice'!Q$2:Q$401,$U123)))</f>
        <v/>
      </c>
      <c r="R123" s="7">
        <f>IF($U123="","",IF(INDEX('Per Invoice'!R$2:R$401,$U123)="","",INDEX('Per Invoice'!R$2:R$401,$U123)))</f>
        <v/>
      </c>
      <c r="S123" s="7">
        <f>IF($U123="","",IF(INDEX('Per Invoice'!S$2:S$401,$U123)="","",INDEX('Per Invoice'!S$2:S$401,$U123)))</f>
        <v/>
      </c>
      <c r="T123" s="7">
        <f>IF($U123="","",IF(INDEX('Per Invoice'!T$2:T$401,$U123)="","",INDEX('Per Invoice'!T$2:T$401,$U123)))</f>
        <v/>
      </c>
      <c r="U123" s="16">
        <f>IFERROR(MATCH(Settings!$C$29&amp;"|"&amp;ROWS($U$2:$U123),'Per Invoice'!$V$2:$V$401,0),"")</f>
        <v/>
      </c>
    </row>
    <row r="124">
      <c r="A124">
        <f>IF($U124="","",IF(INDEX('Per Invoice'!A$2:A$401,$U124)="","",INDEX('Per Invoice'!A$2:A$401,$U124)))</f>
        <v/>
      </c>
      <c r="B124">
        <f>IF($U124="","",IF(INDEX('Per Invoice'!B$2:B$401,$U124)="","",INDEX('Per Invoice'!B$2:B$401,$U124)))</f>
        <v/>
      </c>
      <c r="C124">
        <f>IF($U124="","",IF(INDEX('Per Invoice'!C$2:C$401,$U124)="","",INDEX('Per Invoice'!C$2:C$401,$U124)))</f>
        <v/>
      </c>
      <c r="D124">
        <f>IF($U124="","",IF(INDEX('Per Invoice'!D$2:D$401,$U124)="","",INDEX('Per Invoice'!D$2:D$401,$U124)))</f>
        <v/>
      </c>
      <c r="E124">
        <f>IF($U124="","",IF(INDEX('Per Invoice'!E$2:E$401,$U124)="","",INDEX('Per Invoice'!E$2:E$401,$U124)))</f>
        <v/>
      </c>
      <c r="F124">
        <f>IF($U124="","",IF(INDEX('Per Invoice'!F$2:F$401,$U124)="","",INDEX('Per Invoice'!F$2:F$401,$U124)))</f>
        <v/>
      </c>
      <c r="G124">
        <f>IF($U124="","",IF(INDEX('Per Invoice'!G$2:G$401,$U124)="","",INDEX('Per Invoice'!G$2:G$401,$U124)))</f>
        <v/>
      </c>
      <c r="H124" s="7">
        <f>IF($U124="","",IF(INDEX('Per Invoice'!H$2:H$401,$U124)="","",INDEX('Per Invoice'!H$2:H$401,$U124)))</f>
        <v/>
      </c>
      <c r="I124" s="14">
        <f>IF($U124="","",IF(INDEX('Per Invoice'!I$2:I$401,$U124)="","",INDEX('Per Invoice'!I$2:I$401,$U124)))</f>
        <v/>
      </c>
      <c r="J124">
        <f>IF($U124="","",IF(INDEX('Per Invoice'!J$2:J$401,$U124)="","",INDEX('Per Invoice'!J$2:J$401,$U124)))</f>
        <v/>
      </c>
      <c r="K124">
        <f>IF($U124="","",IF(INDEX('Per Invoice'!K$2:K$401,$U124)="","",INDEX('Per Invoice'!K$2:K$401,$U124)))</f>
        <v/>
      </c>
      <c r="L124" s="7">
        <f>IF($U124="","",IF(INDEX('Per Invoice'!L$2:L$401,$U124)="","",INDEX('Per Invoice'!L$2:L$401,$U124)))</f>
        <v/>
      </c>
      <c r="M124" s="7">
        <f>IF($U124="","",IF(INDEX('Per Invoice'!M$2:M$401,$U124)="","",INDEX('Per Invoice'!M$2:M$401,$U124)))</f>
        <v/>
      </c>
      <c r="N124">
        <f>IF($U124="","",IF(INDEX('Per Invoice'!N$2:N$401,$U124)="","",INDEX('Per Invoice'!N$2:N$401,$U124)))</f>
        <v/>
      </c>
      <c r="O124" s="7">
        <f>IF($U124="","",IF(INDEX('Per Invoice'!O$2:O$401,$U124)="","",INDEX('Per Invoice'!O$2:O$401,$U124)))</f>
        <v/>
      </c>
      <c r="P124" s="7">
        <f>IF($U124="","",IF(INDEX('Per Invoice'!P$2:P$401,$U124)="","",INDEX('Per Invoice'!P$2:P$401,$U124)))</f>
        <v/>
      </c>
      <c r="Q124" s="7">
        <f>IF($U124="","",IF(INDEX('Per Invoice'!Q$2:Q$401,$U124)="","",INDEX('Per Invoice'!Q$2:Q$401,$U124)))</f>
        <v/>
      </c>
      <c r="R124" s="7">
        <f>IF($U124="","",IF(INDEX('Per Invoice'!R$2:R$401,$U124)="","",INDEX('Per Invoice'!R$2:R$401,$U124)))</f>
        <v/>
      </c>
      <c r="S124" s="7">
        <f>IF($U124="","",IF(INDEX('Per Invoice'!S$2:S$401,$U124)="","",INDEX('Per Invoice'!S$2:S$401,$U124)))</f>
        <v/>
      </c>
      <c r="T124" s="7">
        <f>IF($U124="","",IF(INDEX('Per Invoice'!T$2:T$401,$U124)="","",INDEX('Per Invoice'!T$2:T$401,$U124)))</f>
        <v/>
      </c>
      <c r="U124" s="16">
        <f>IFERROR(MATCH(Settings!$C$29&amp;"|"&amp;ROWS($U$2:$U124),'Per Invoice'!$V$2:$V$401,0),"")</f>
        <v/>
      </c>
    </row>
    <row r="125">
      <c r="A125">
        <f>IF($U125="","",IF(INDEX('Per Invoice'!A$2:A$401,$U125)="","",INDEX('Per Invoice'!A$2:A$401,$U125)))</f>
        <v/>
      </c>
      <c r="B125">
        <f>IF($U125="","",IF(INDEX('Per Invoice'!B$2:B$401,$U125)="","",INDEX('Per Invoice'!B$2:B$401,$U125)))</f>
        <v/>
      </c>
      <c r="C125">
        <f>IF($U125="","",IF(INDEX('Per Invoice'!C$2:C$401,$U125)="","",INDEX('Per Invoice'!C$2:C$401,$U125)))</f>
        <v/>
      </c>
      <c r="D125">
        <f>IF($U125="","",IF(INDEX('Per Invoice'!D$2:D$401,$U125)="","",INDEX('Per Invoice'!D$2:D$401,$U125)))</f>
        <v/>
      </c>
      <c r="E125">
        <f>IF($U125="","",IF(INDEX('Per Invoice'!E$2:E$401,$U125)="","",INDEX('Per Invoice'!E$2:E$401,$U125)))</f>
        <v/>
      </c>
      <c r="F125">
        <f>IF($U125="","",IF(INDEX('Per Invoice'!F$2:F$401,$U125)="","",INDEX('Per Invoice'!F$2:F$401,$U125)))</f>
        <v/>
      </c>
      <c r="G125">
        <f>IF($U125="","",IF(INDEX('Per Invoice'!G$2:G$401,$U125)="","",INDEX('Per Invoice'!G$2:G$401,$U125)))</f>
        <v/>
      </c>
      <c r="H125" s="7">
        <f>IF($U125="","",IF(INDEX('Per Invoice'!H$2:H$401,$U125)="","",INDEX('Per Invoice'!H$2:H$401,$U125)))</f>
        <v/>
      </c>
      <c r="I125" s="14">
        <f>IF($U125="","",IF(INDEX('Per Invoice'!I$2:I$401,$U125)="","",INDEX('Per Invoice'!I$2:I$401,$U125)))</f>
        <v/>
      </c>
      <c r="J125">
        <f>IF($U125="","",IF(INDEX('Per Invoice'!J$2:J$401,$U125)="","",INDEX('Per Invoice'!J$2:J$401,$U125)))</f>
        <v/>
      </c>
      <c r="K125">
        <f>IF($U125="","",IF(INDEX('Per Invoice'!K$2:K$401,$U125)="","",INDEX('Per Invoice'!K$2:K$401,$U125)))</f>
        <v/>
      </c>
      <c r="L125" s="7">
        <f>IF($U125="","",IF(INDEX('Per Invoice'!L$2:L$401,$U125)="","",INDEX('Per Invoice'!L$2:L$401,$U125)))</f>
        <v/>
      </c>
      <c r="M125" s="7">
        <f>IF($U125="","",IF(INDEX('Per Invoice'!M$2:M$401,$U125)="","",INDEX('Per Invoice'!M$2:M$401,$U125)))</f>
        <v/>
      </c>
      <c r="N125">
        <f>IF($U125="","",IF(INDEX('Per Invoice'!N$2:N$401,$U125)="","",INDEX('Per Invoice'!N$2:N$401,$U125)))</f>
        <v/>
      </c>
      <c r="O125" s="7">
        <f>IF($U125="","",IF(INDEX('Per Invoice'!O$2:O$401,$U125)="","",INDEX('Per Invoice'!O$2:O$401,$U125)))</f>
        <v/>
      </c>
      <c r="P125" s="7">
        <f>IF($U125="","",IF(INDEX('Per Invoice'!P$2:P$401,$U125)="","",INDEX('Per Invoice'!P$2:P$401,$U125)))</f>
        <v/>
      </c>
      <c r="Q125" s="7">
        <f>IF($U125="","",IF(INDEX('Per Invoice'!Q$2:Q$401,$U125)="","",INDEX('Per Invoice'!Q$2:Q$401,$U125)))</f>
        <v/>
      </c>
      <c r="R125" s="7">
        <f>IF($U125="","",IF(INDEX('Per Invoice'!R$2:R$401,$U125)="","",INDEX('Per Invoice'!R$2:R$401,$U125)))</f>
        <v/>
      </c>
      <c r="S125" s="7">
        <f>IF($U125="","",IF(INDEX('Per Invoice'!S$2:S$401,$U125)="","",INDEX('Per Invoice'!S$2:S$401,$U125)))</f>
        <v/>
      </c>
      <c r="T125" s="7">
        <f>IF($U125="","",IF(INDEX('Per Invoice'!T$2:T$401,$U125)="","",INDEX('Per Invoice'!T$2:T$401,$U125)))</f>
        <v/>
      </c>
      <c r="U125" s="16">
        <f>IFERROR(MATCH(Settings!$C$29&amp;"|"&amp;ROWS($U$2:$U125),'Per Invoice'!$V$2:$V$401,0),"")</f>
        <v/>
      </c>
    </row>
    <row r="126">
      <c r="A126">
        <f>IF($U126="","",IF(INDEX('Per Invoice'!A$2:A$401,$U126)="","",INDEX('Per Invoice'!A$2:A$401,$U126)))</f>
        <v/>
      </c>
      <c r="B126">
        <f>IF($U126="","",IF(INDEX('Per Invoice'!B$2:B$401,$U126)="","",INDEX('Per Invoice'!B$2:B$401,$U126)))</f>
        <v/>
      </c>
      <c r="C126">
        <f>IF($U126="","",IF(INDEX('Per Invoice'!C$2:C$401,$U126)="","",INDEX('Per Invoice'!C$2:C$401,$U126)))</f>
        <v/>
      </c>
      <c r="D126">
        <f>IF($U126="","",IF(INDEX('Per Invoice'!D$2:D$401,$U126)="","",INDEX('Per Invoice'!D$2:D$401,$U126)))</f>
        <v/>
      </c>
      <c r="E126">
        <f>IF($U126="","",IF(INDEX('Per Invoice'!E$2:E$401,$U126)="","",INDEX('Per Invoice'!E$2:E$401,$U126)))</f>
        <v/>
      </c>
      <c r="F126">
        <f>IF($U126="","",IF(INDEX('Per Invoice'!F$2:F$401,$U126)="","",INDEX('Per Invoice'!F$2:F$401,$U126)))</f>
        <v/>
      </c>
      <c r="G126">
        <f>IF($U126="","",IF(INDEX('Per Invoice'!G$2:G$401,$U126)="","",INDEX('Per Invoice'!G$2:G$401,$U126)))</f>
        <v/>
      </c>
      <c r="H126" s="7">
        <f>IF($U126="","",IF(INDEX('Per Invoice'!H$2:H$401,$U126)="","",INDEX('Per Invoice'!H$2:H$401,$U126)))</f>
        <v/>
      </c>
      <c r="I126" s="14">
        <f>IF($U126="","",IF(INDEX('Per Invoice'!I$2:I$401,$U126)="","",INDEX('Per Invoice'!I$2:I$401,$U126)))</f>
        <v/>
      </c>
      <c r="J126">
        <f>IF($U126="","",IF(INDEX('Per Invoice'!J$2:J$401,$U126)="","",INDEX('Per Invoice'!J$2:J$401,$U126)))</f>
        <v/>
      </c>
      <c r="K126">
        <f>IF($U126="","",IF(INDEX('Per Invoice'!K$2:K$401,$U126)="","",INDEX('Per Invoice'!K$2:K$401,$U126)))</f>
        <v/>
      </c>
      <c r="L126" s="7">
        <f>IF($U126="","",IF(INDEX('Per Invoice'!L$2:L$401,$U126)="","",INDEX('Per Invoice'!L$2:L$401,$U126)))</f>
        <v/>
      </c>
      <c r="M126" s="7">
        <f>IF($U126="","",IF(INDEX('Per Invoice'!M$2:M$401,$U126)="","",INDEX('Per Invoice'!M$2:M$401,$U126)))</f>
        <v/>
      </c>
      <c r="N126">
        <f>IF($U126="","",IF(INDEX('Per Invoice'!N$2:N$401,$U126)="","",INDEX('Per Invoice'!N$2:N$401,$U126)))</f>
        <v/>
      </c>
      <c r="O126" s="7">
        <f>IF($U126="","",IF(INDEX('Per Invoice'!O$2:O$401,$U126)="","",INDEX('Per Invoice'!O$2:O$401,$U126)))</f>
        <v/>
      </c>
      <c r="P126" s="7">
        <f>IF($U126="","",IF(INDEX('Per Invoice'!P$2:P$401,$U126)="","",INDEX('Per Invoice'!P$2:P$401,$U126)))</f>
        <v/>
      </c>
      <c r="Q126" s="7">
        <f>IF($U126="","",IF(INDEX('Per Invoice'!Q$2:Q$401,$U126)="","",INDEX('Per Invoice'!Q$2:Q$401,$U126)))</f>
        <v/>
      </c>
      <c r="R126" s="7">
        <f>IF($U126="","",IF(INDEX('Per Invoice'!R$2:R$401,$U126)="","",INDEX('Per Invoice'!R$2:R$401,$U126)))</f>
        <v/>
      </c>
      <c r="S126" s="7">
        <f>IF($U126="","",IF(INDEX('Per Invoice'!S$2:S$401,$U126)="","",INDEX('Per Invoice'!S$2:S$401,$U126)))</f>
        <v/>
      </c>
      <c r="T126" s="7">
        <f>IF($U126="","",IF(INDEX('Per Invoice'!T$2:T$401,$U126)="","",INDEX('Per Invoice'!T$2:T$401,$U126)))</f>
        <v/>
      </c>
      <c r="U126" s="16">
        <f>IFERROR(MATCH(Settings!$C$29&amp;"|"&amp;ROWS($U$2:$U126),'Per Invoice'!$V$2:$V$401,0),"")</f>
        <v/>
      </c>
    </row>
    <row r="127">
      <c r="A127">
        <f>IF($U127="","",IF(INDEX('Per Invoice'!A$2:A$401,$U127)="","",INDEX('Per Invoice'!A$2:A$401,$U127)))</f>
        <v/>
      </c>
      <c r="B127">
        <f>IF($U127="","",IF(INDEX('Per Invoice'!B$2:B$401,$U127)="","",INDEX('Per Invoice'!B$2:B$401,$U127)))</f>
        <v/>
      </c>
      <c r="C127">
        <f>IF($U127="","",IF(INDEX('Per Invoice'!C$2:C$401,$U127)="","",INDEX('Per Invoice'!C$2:C$401,$U127)))</f>
        <v/>
      </c>
      <c r="D127">
        <f>IF($U127="","",IF(INDEX('Per Invoice'!D$2:D$401,$U127)="","",INDEX('Per Invoice'!D$2:D$401,$U127)))</f>
        <v/>
      </c>
      <c r="E127">
        <f>IF($U127="","",IF(INDEX('Per Invoice'!E$2:E$401,$U127)="","",INDEX('Per Invoice'!E$2:E$401,$U127)))</f>
        <v/>
      </c>
      <c r="F127">
        <f>IF($U127="","",IF(INDEX('Per Invoice'!F$2:F$401,$U127)="","",INDEX('Per Invoice'!F$2:F$401,$U127)))</f>
        <v/>
      </c>
      <c r="G127">
        <f>IF($U127="","",IF(INDEX('Per Invoice'!G$2:G$401,$U127)="","",INDEX('Per Invoice'!G$2:G$401,$U127)))</f>
        <v/>
      </c>
      <c r="H127" s="7">
        <f>IF($U127="","",IF(INDEX('Per Invoice'!H$2:H$401,$U127)="","",INDEX('Per Invoice'!H$2:H$401,$U127)))</f>
        <v/>
      </c>
      <c r="I127" s="14">
        <f>IF($U127="","",IF(INDEX('Per Invoice'!I$2:I$401,$U127)="","",INDEX('Per Invoice'!I$2:I$401,$U127)))</f>
        <v/>
      </c>
      <c r="J127">
        <f>IF($U127="","",IF(INDEX('Per Invoice'!J$2:J$401,$U127)="","",INDEX('Per Invoice'!J$2:J$401,$U127)))</f>
        <v/>
      </c>
      <c r="K127">
        <f>IF($U127="","",IF(INDEX('Per Invoice'!K$2:K$401,$U127)="","",INDEX('Per Invoice'!K$2:K$401,$U127)))</f>
        <v/>
      </c>
      <c r="L127" s="7">
        <f>IF($U127="","",IF(INDEX('Per Invoice'!L$2:L$401,$U127)="","",INDEX('Per Invoice'!L$2:L$401,$U127)))</f>
        <v/>
      </c>
      <c r="M127" s="7">
        <f>IF($U127="","",IF(INDEX('Per Invoice'!M$2:M$401,$U127)="","",INDEX('Per Invoice'!M$2:M$401,$U127)))</f>
        <v/>
      </c>
      <c r="N127">
        <f>IF($U127="","",IF(INDEX('Per Invoice'!N$2:N$401,$U127)="","",INDEX('Per Invoice'!N$2:N$401,$U127)))</f>
        <v/>
      </c>
      <c r="O127" s="7">
        <f>IF($U127="","",IF(INDEX('Per Invoice'!O$2:O$401,$U127)="","",INDEX('Per Invoice'!O$2:O$401,$U127)))</f>
        <v/>
      </c>
      <c r="P127" s="7">
        <f>IF($U127="","",IF(INDEX('Per Invoice'!P$2:P$401,$U127)="","",INDEX('Per Invoice'!P$2:P$401,$U127)))</f>
        <v/>
      </c>
      <c r="Q127" s="7">
        <f>IF($U127="","",IF(INDEX('Per Invoice'!Q$2:Q$401,$U127)="","",INDEX('Per Invoice'!Q$2:Q$401,$U127)))</f>
        <v/>
      </c>
      <c r="R127" s="7">
        <f>IF($U127="","",IF(INDEX('Per Invoice'!R$2:R$401,$U127)="","",INDEX('Per Invoice'!R$2:R$401,$U127)))</f>
        <v/>
      </c>
      <c r="S127" s="7">
        <f>IF($U127="","",IF(INDEX('Per Invoice'!S$2:S$401,$U127)="","",INDEX('Per Invoice'!S$2:S$401,$U127)))</f>
        <v/>
      </c>
      <c r="T127" s="7">
        <f>IF($U127="","",IF(INDEX('Per Invoice'!T$2:T$401,$U127)="","",INDEX('Per Invoice'!T$2:T$401,$U127)))</f>
        <v/>
      </c>
      <c r="U127" s="16">
        <f>IFERROR(MATCH(Settings!$C$29&amp;"|"&amp;ROWS($U$2:$U127),'Per Invoice'!$V$2:$V$401,0),"")</f>
        <v/>
      </c>
    </row>
    <row r="128">
      <c r="A128">
        <f>IF($U128="","",IF(INDEX('Per Invoice'!A$2:A$401,$U128)="","",INDEX('Per Invoice'!A$2:A$401,$U128)))</f>
        <v/>
      </c>
      <c r="B128">
        <f>IF($U128="","",IF(INDEX('Per Invoice'!B$2:B$401,$U128)="","",INDEX('Per Invoice'!B$2:B$401,$U128)))</f>
        <v/>
      </c>
      <c r="C128">
        <f>IF($U128="","",IF(INDEX('Per Invoice'!C$2:C$401,$U128)="","",INDEX('Per Invoice'!C$2:C$401,$U128)))</f>
        <v/>
      </c>
      <c r="D128">
        <f>IF($U128="","",IF(INDEX('Per Invoice'!D$2:D$401,$U128)="","",INDEX('Per Invoice'!D$2:D$401,$U128)))</f>
        <v/>
      </c>
      <c r="E128">
        <f>IF($U128="","",IF(INDEX('Per Invoice'!E$2:E$401,$U128)="","",INDEX('Per Invoice'!E$2:E$401,$U128)))</f>
        <v/>
      </c>
      <c r="F128">
        <f>IF($U128="","",IF(INDEX('Per Invoice'!F$2:F$401,$U128)="","",INDEX('Per Invoice'!F$2:F$401,$U128)))</f>
        <v/>
      </c>
      <c r="G128">
        <f>IF($U128="","",IF(INDEX('Per Invoice'!G$2:G$401,$U128)="","",INDEX('Per Invoice'!G$2:G$401,$U128)))</f>
        <v/>
      </c>
      <c r="H128" s="7">
        <f>IF($U128="","",IF(INDEX('Per Invoice'!H$2:H$401,$U128)="","",INDEX('Per Invoice'!H$2:H$401,$U128)))</f>
        <v/>
      </c>
      <c r="I128" s="14">
        <f>IF($U128="","",IF(INDEX('Per Invoice'!I$2:I$401,$U128)="","",INDEX('Per Invoice'!I$2:I$401,$U128)))</f>
        <v/>
      </c>
      <c r="J128">
        <f>IF($U128="","",IF(INDEX('Per Invoice'!J$2:J$401,$U128)="","",INDEX('Per Invoice'!J$2:J$401,$U128)))</f>
        <v/>
      </c>
      <c r="K128">
        <f>IF($U128="","",IF(INDEX('Per Invoice'!K$2:K$401,$U128)="","",INDEX('Per Invoice'!K$2:K$401,$U128)))</f>
        <v/>
      </c>
      <c r="L128" s="7">
        <f>IF($U128="","",IF(INDEX('Per Invoice'!L$2:L$401,$U128)="","",INDEX('Per Invoice'!L$2:L$401,$U128)))</f>
        <v/>
      </c>
      <c r="M128" s="7">
        <f>IF($U128="","",IF(INDEX('Per Invoice'!M$2:M$401,$U128)="","",INDEX('Per Invoice'!M$2:M$401,$U128)))</f>
        <v/>
      </c>
      <c r="N128">
        <f>IF($U128="","",IF(INDEX('Per Invoice'!N$2:N$401,$U128)="","",INDEX('Per Invoice'!N$2:N$401,$U128)))</f>
        <v/>
      </c>
      <c r="O128" s="7">
        <f>IF($U128="","",IF(INDEX('Per Invoice'!O$2:O$401,$U128)="","",INDEX('Per Invoice'!O$2:O$401,$U128)))</f>
        <v/>
      </c>
      <c r="P128" s="7">
        <f>IF($U128="","",IF(INDEX('Per Invoice'!P$2:P$401,$U128)="","",INDEX('Per Invoice'!P$2:P$401,$U128)))</f>
        <v/>
      </c>
      <c r="Q128" s="7">
        <f>IF($U128="","",IF(INDEX('Per Invoice'!Q$2:Q$401,$U128)="","",INDEX('Per Invoice'!Q$2:Q$401,$U128)))</f>
        <v/>
      </c>
      <c r="R128" s="7">
        <f>IF($U128="","",IF(INDEX('Per Invoice'!R$2:R$401,$U128)="","",INDEX('Per Invoice'!R$2:R$401,$U128)))</f>
        <v/>
      </c>
      <c r="S128" s="7">
        <f>IF($U128="","",IF(INDEX('Per Invoice'!S$2:S$401,$U128)="","",INDEX('Per Invoice'!S$2:S$401,$U128)))</f>
        <v/>
      </c>
      <c r="T128" s="7">
        <f>IF($U128="","",IF(INDEX('Per Invoice'!T$2:T$401,$U128)="","",INDEX('Per Invoice'!T$2:T$401,$U128)))</f>
        <v/>
      </c>
      <c r="U128" s="16">
        <f>IFERROR(MATCH(Settings!$C$29&amp;"|"&amp;ROWS($U$2:$U128),'Per Invoice'!$V$2:$V$401,0),"")</f>
        <v/>
      </c>
    </row>
    <row r="129">
      <c r="A129">
        <f>IF($U129="","",IF(INDEX('Per Invoice'!A$2:A$401,$U129)="","",INDEX('Per Invoice'!A$2:A$401,$U129)))</f>
        <v/>
      </c>
      <c r="B129">
        <f>IF($U129="","",IF(INDEX('Per Invoice'!B$2:B$401,$U129)="","",INDEX('Per Invoice'!B$2:B$401,$U129)))</f>
        <v/>
      </c>
      <c r="C129">
        <f>IF($U129="","",IF(INDEX('Per Invoice'!C$2:C$401,$U129)="","",INDEX('Per Invoice'!C$2:C$401,$U129)))</f>
        <v/>
      </c>
      <c r="D129">
        <f>IF($U129="","",IF(INDEX('Per Invoice'!D$2:D$401,$U129)="","",INDEX('Per Invoice'!D$2:D$401,$U129)))</f>
        <v/>
      </c>
      <c r="E129">
        <f>IF($U129="","",IF(INDEX('Per Invoice'!E$2:E$401,$U129)="","",INDEX('Per Invoice'!E$2:E$401,$U129)))</f>
        <v/>
      </c>
      <c r="F129">
        <f>IF($U129="","",IF(INDEX('Per Invoice'!F$2:F$401,$U129)="","",INDEX('Per Invoice'!F$2:F$401,$U129)))</f>
        <v/>
      </c>
      <c r="G129">
        <f>IF($U129="","",IF(INDEX('Per Invoice'!G$2:G$401,$U129)="","",INDEX('Per Invoice'!G$2:G$401,$U129)))</f>
        <v/>
      </c>
      <c r="H129" s="7">
        <f>IF($U129="","",IF(INDEX('Per Invoice'!H$2:H$401,$U129)="","",INDEX('Per Invoice'!H$2:H$401,$U129)))</f>
        <v/>
      </c>
      <c r="I129" s="14">
        <f>IF($U129="","",IF(INDEX('Per Invoice'!I$2:I$401,$U129)="","",INDEX('Per Invoice'!I$2:I$401,$U129)))</f>
        <v/>
      </c>
      <c r="J129">
        <f>IF($U129="","",IF(INDEX('Per Invoice'!J$2:J$401,$U129)="","",INDEX('Per Invoice'!J$2:J$401,$U129)))</f>
        <v/>
      </c>
      <c r="K129">
        <f>IF($U129="","",IF(INDEX('Per Invoice'!K$2:K$401,$U129)="","",INDEX('Per Invoice'!K$2:K$401,$U129)))</f>
        <v/>
      </c>
      <c r="L129" s="7">
        <f>IF($U129="","",IF(INDEX('Per Invoice'!L$2:L$401,$U129)="","",INDEX('Per Invoice'!L$2:L$401,$U129)))</f>
        <v/>
      </c>
      <c r="M129" s="7">
        <f>IF($U129="","",IF(INDEX('Per Invoice'!M$2:M$401,$U129)="","",INDEX('Per Invoice'!M$2:M$401,$U129)))</f>
        <v/>
      </c>
      <c r="N129">
        <f>IF($U129="","",IF(INDEX('Per Invoice'!N$2:N$401,$U129)="","",INDEX('Per Invoice'!N$2:N$401,$U129)))</f>
        <v/>
      </c>
      <c r="O129" s="7">
        <f>IF($U129="","",IF(INDEX('Per Invoice'!O$2:O$401,$U129)="","",INDEX('Per Invoice'!O$2:O$401,$U129)))</f>
        <v/>
      </c>
      <c r="P129" s="7">
        <f>IF($U129="","",IF(INDEX('Per Invoice'!P$2:P$401,$U129)="","",INDEX('Per Invoice'!P$2:P$401,$U129)))</f>
        <v/>
      </c>
      <c r="Q129" s="7">
        <f>IF($U129="","",IF(INDEX('Per Invoice'!Q$2:Q$401,$U129)="","",INDEX('Per Invoice'!Q$2:Q$401,$U129)))</f>
        <v/>
      </c>
      <c r="R129" s="7">
        <f>IF($U129="","",IF(INDEX('Per Invoice'!R$2:R$401,$U129)="","",INDEX('Per Invoice'!R$2:R$401,$U129)))</f>
        <v/>
      </c>
      <c r="S129" s="7">
        <f>IF($U129="","",IF(INDEX('Per Invoice'!S$2:S$401,$U129)="","",INDEX('Per Invoice'!S$2:S$401,$U129)))</f>
        <v/>
      </c>
      <c r="T129" s="7">
        <f>IF($U129="","",IF(INDEX('Per Invoice'!T$2:T$401,$U129)="","",INDEX('Per Invoice'!T$2:T$401,$U129)))</f>
        <v/>
      </c>
      <c r="U129" s="16">
        <f>IFERROR(MATCH(Settings!$C$29&amp;"|"&amp;ROWS($U$2:$U129),'Per Invoice'!$V$2:$V$401,0),"")</f>
        <v/>
      </c>
    </row>
    <row r="130">
      <c r="A130">
        <f>IF($U130="","",IF(INDEX('Per Invoice'!A$2:A$401,$U130)="","",INDEX('Per Invoice'!A$2:A$401,$U130)))</f>
        <v/>
      </c>
      <c r="B130">
        <f>IF($U130="","",IF(INDEX('Per Invoice'!B$2:B$401,$U130)="","",INDEX('Per Invoice'!B$2:B$401,$U130)))</f>
        <v/>
      </c>
      <c r="C130">
        <f>IF($U130="","",IF(INDEX('Per Invoice'!C$2:C$401,$U130)="","",INDEX('Per Invoice'!C$2:C$401,$U130)))</f>
        <v/>
      </c>
      <c r="D130">
        <f>IF($U130="","",IF(INDEX('Per Invoice'!D$2:D$401,$U130)="","",INDEX('Per Invoice'!D$2:D$401,$U130)))</f>
        <v/>
      </c>
      <c r="E130">
        <f>IF($U130="","",IF(INDEX('Per Invoice'!E$2:E$401,$U130)="","",INDEX('Per Invoice'!E$2:E$401,$U130)))</f>
        <v/>
      </c>
      <c r="F130">
        <f>IF($U130="","",IF(INDEX('Per Invoice'!F$2:F$401,$U130)="","",INDEX('Per Invoice'!F$2:F$401,$U130)))</f>
        <v/>
      </c>
      <c r="G130">
        <f>IF($U130="","",IF(INDEX('Per Invoice'!G$2:G$401,$U130)="","",INDEX('Per Invoice'!G$2:G$401,$U130)))</f>
        <v/>
      </c>
      <c r="H130" s="7">
        <f>IF($U130="","",IF(INDEX('Per Invoice'!H$2:H$401,$U130)="","",INDEX('Per Invoice'!H$2:H$401,$U130)))</f>
        <v/>
      </c>
      <c r="I130" s="14">
        <f>IF($U130="","",IF(INDEX('Per Invoice'!I$2:I$401,$U130)="","",INDEX('Per Invoice'!I$2:I$401,$U130)))</f>
        <v/>
      </c>
      <c r="J130">
        <f>IF($U130="","",IF(INDEX('Per Invoice'!J$2:J$401,$U130)="","",INDEX('Per Invoice'!J$2:J$401,$U130)))</f>
        <v/>
      </c>
      <c r="K130">
        <f>IF($U130="","",IF(INDEX('Per Invoice'!K$2:K$401,$U130)="","",INDEX('Per Invoice'!K$2:K$401,$U130)))</f>
        <v/>
      </c>
      <c r="L130" s="7">
        <f>IF($U130="","",IF(INDEX('Per Invoice'!L$2:L$401,$U130)="","",INDEX('Per Invoice'!L$2:L$401,$U130)))</f>
        <v/>
      </c>
      <c r="M130" s="7">
        <f>IF($U130="","",IF(INDEX('Per Invoice'!M$2:M$401,$U130)="","",INDEX('Per Invoice'!M$2:M$401,$U130)))</f>
        <v/>
      </c>
      <c r="N130">
        <f>IF($U130="","",IF(INDEX('Per Invoice'!N$2:N$401,$U130)="","",INDEX('Per Invoice'!N$2:N$401,$U130)))</f>
        <v/>
      </c>
      <c r="O130" s="7">
        <f>IF($U130="","",IF(INDEX('Per Invoice'!O$2:O$401,$U130)="","",INDEX('Per Invoice'!O$2:O$401,$U130)))</f>
        <v/>
      </c>
      <c r="P130" s="7">
        <f>IF($U130="","",IF(INDEX('Per Invoice'!P$2:P$401,$U130)="","",INDEX('Per Invoice'!P$2:P$401,$U130)))</f>
        <v/>
      </c>
      <c r="Q130" s="7">
        <f>IF($U130="","",IF(INDEX('Per Invoice'!Q$2:Q$401,$U130)="","",INDEX('Per Invoice'!Q$2:Q$401,$U130)))</f>
        <v/>
      </c>
      <c r="R130" s="7">
        <f>IF($U130="","",IF(INDEX('Per Invoice'!R$2:R$401,$U130)="","",INDEX('Per Invoice'!R$2:R$401,$U130)))</f>
        <v/>
      </c>
      <c r="S130" s="7">
        <f>IF($U130="","",IF(INDEX('Per Invoice'!S$2:S$401,$U130)="","",INDEX('Per Invoice'!S$2:S$401,$U130)))</f>
        <v/>
      </c>
      <c r="T130" s="7">
        <f>IF($U130="","",IF(INDEX('Per Invoice'!T$2:T$401,$U130)="","",INDEX('Per Invoice'!T$2:T$401,$U130)))</f>
        <v/>
      </c>
      <c r="U130" s="16">
        <f>IFERROR(MATCH(Settings!$C$29&amp;"|"&amp;ROWS($U$2:$U130),'Per Invoice'!$V$2:$V$401,0),"")</f>
        <v/>
      </c>
    </row>
    <row r="131">
      <c r="A131">
        <f>IF($U131="","",IF(INDEX('Per Invoice'!A$2:A$401,$U131)="","",INDEX('Per Invoice'!A$2:A$401,$U131)))</f>
        <v/>
      </c>
      <c r="B131">
        <f>IF($U131="","",IF(INDEX('Per Invoice'!B$2:B$401,$U131)="","",INDEX('Per Invoice'!B$2:B$401,$U131)))</f>
        <v/>
      </c>
      <c r="C131">
        <f>IF($U131="","",IF(INDEX('Per Invoice'!C$2:C$401,$U131)="","",INDEX('Per Invoice'!C$2:C$401,$U131)))</f>
        <v/>
      </c>
      <c r="D131">
        <f>IF($U131="","",IF(INDEX('Per Invoice'!D$2:D$401,$U131)="","",INDEX('Per Invoice'!D$2:D$401,$U131)))</f>
        <v/>
      </c>
      <c r="E131">
        <f>IF($U131="","",IF(INDEX('Per Invoice'!E$2:E$401,$U131)="","",INDEX('Per Invoice'!E$2:E$401,$U131)))</f>
        <v/>
      </c>
      <c r="F131">
        <f>IF($U131="","",IF(INDEX('Per Invoice'!F$2:F$401,$U131)="","",INDEX('Per Invoice'!F$2:F$401,$U131)))</f>
        <v/>
      </c>
      <c r="G131">
        <f>IF($U131="","",IF(INDEX('Per Invoice'!G$2:G$401,$U131)="","",INDEX('Per Invoice'!G$2:G$401,$U131)))</f>
        <v/>
      </c>
      <c r="H131" s="7">
        <f>IF($U131="","",IF(INDEX('Per Invoice'!H$2:H$401,$U131)="","",INDEX('Per Invoice'!H$2:H$401,$U131)))</f>
        <v/>
      </c>
      <c r="I131" s="14">
        <f>IF($U131="","",IF(INDEX('Per Invoice'!I$2:I$401,$U131)="","",INDEX('Per Invoice'!I$2:I$401,$U131)))</f>
        <v/>
      </c>
      <c r="J131">
        <f>IF($U131="","",IF(INDEX('Per Invoice'!J$2:J$401,$U131)="","",INDEX('Per Invoice'!J$2:J$401,$U131)))</f>
        <v/>
      </c>
      <c r="K131">
        <f>IF($U131="","",IF(INDEX('Per Invoice'!K$2:K$401,$U131)="","",INDEX('Per Invoice'!K$2:K$401,$U131)))</f>
        <v/>
      </c>
      <c r="L131" s="7">
        <f>IF($U131="","",IF(INDEX('Per Invoice'!L$2:L$401,$U131)="","",INDEX('Per Invoice'!L$2:L$401,$U131)))</f>
        <v/>
      </c>
      <c r="M131" s="7">
        <f>IF($U131="","",IF(INDEX('Per Invoice'!M$2:M$401,$U131)="","",INDEX('Per Invoice'!M$2:M$401,$U131)))</f>
        <v/>
      </c>
      <c r="N131">
        <f>IF($U131="","",IF(INDEX('Per Invoice'!N$2:N$401,$U131)="","",INDEX('Per Invoice'!N$2:N$401,$U131)))</f>
        <v/>
      </c>
      <c r="O131" s="7">
        <f>IF($U131="","",IF(INDEX('Per Invoice'!O$2:O$401,$U131)="","",INDEX('Per Invoice'!O$2:O$401,$U131)))</f>
        <v/>
      </c>
      <c r="P131" s="7">
        <f>IF($U131="","",IF(INDEX('Per Invoice'!P$2:P$401,$U131)="","",INDEX('Per Invoice'!P$2:P$401,$U131)))</f>
        <v/>
      </c>
      <c r="Q131" s="7">
        <f>IF($U131="","",IF(INDEX('Per Invoice'!Q$2:Q$401,$U131)="","",INDEX('Per Invoice'!Q$2:Q$401,$U131)))</f>
        <v/>
      </c>
      <c r="R131" s="7">
        <f>IF($U131="","",IF(INDEX('Per Invoice'!R$2:R$401,$U131)="","",INDEX('Per Invoice'!R$2:R$401,$U131)))</f>
        <v/>
      </c>
      <c r="S131" s="7">
        <f>IF($U131="","",IF(INDEX('Per Invoice'!S$2:S$401,$U131)="","",INDEX('Per Invoice'!S$2:S$401,$U131)))</f>
        <v/>
      </c>
      <c r="T131" s="7">
        <f>IF($U131="","",IF(INDEX('Per Invoice'!T$2:T$401,$U131)="","",INDEX('Per Invoice'!T$2:T$401,$U131)))</f>
        <v/>
      </c>
      <c r="U131" s="16">
        <f>IFERROR(MATCH(Settings!$C$29&amp;"|"&amp;ROWS($U$2:$U131),'Per Invoice'!$V$2:$V$401,0),"")</f>
        <v/>
      </c>
    </row>
    <row r="132">
      <c r="A132">
        <f>IF($U132="","",IF(INDEX('Per Invoice'!A$2:A$401,$U132)="","",INDEX('Per Invoice'!A$2:A$401,$U132)))</f>
        <v/>
      </c>
      <c r="B132">
        <f>IF($U132="","",IF(INDEX('Per Invoice'!B$2:B$401,$U132)="","",INDEX('Per Invoice'!B$2:B$401,$U132)))</f>
        <v/>
      </c>
      <c r="C132">
        <f>IF($U132="","",IF(INDEX('Per Invoice'!C$2:C$401,$U132)="","",INDEX('Per Invoice'!C$2:C$401,$U132)))</f>
        <v/>
      </c>
      <c r="D132">
        <f>IF($U132="","",IF(INDEX('Per Invoice'!D$2:D$401,$U132)="","",INDEX('Per Invoice'!D$2:D$401,$U132)))</f>
        <v/>
      </c>
      <c r="E132">
        <f>IF($U132="","",IF(INDEX('Per Invoice'!E$2:E$401,$U132)="","",INDEX('Per Invoice'!E$2:E$401,$U132)))</f>
        <v/>
      </c>
      <c r="F132">
        <f>IF($U132="","",IF(INDEX('Per Invoice'!F$2:F$401,$U132)="","",INDEX('Per Invoice'!F$2:F$401,$U132)))</f>
        <v/>
      </c>
      <c r="G132">
        <f>IF($U132="","",IF(INDEX('Per Invoice'!G$2:G$401,$U132)="","",INDEX('Per Invoice'!G$2:G$401,$U132)))</f>
        <v/>
      </c>
      <c r="H132" s="7">
        <f>IF($U132="","",IF(INDEX('Per Invoice'!H$2:H$401,$U132)="","",INDEX('Per Invoice'!H$2:H$401,$U132)))</f>
        <v/>
      </c>
      <c r="I132" s="14">
        <f>IF($U132="","",IF(INDEX('Per Invoice'!I$2:I$401,$U132)="","",INDEX('Per Invoice'!I$2:I$401,$U132)))</f>
        <v/>
      </c>
      <c r="J132">
        <f>IF($U132="","",IF(INDEX('Per Invoice'!J$2:J$401,$U132)="","",INDEX('Per Invoice'!J$2:J$401,$U132)))</f>
        <v/>
      </c>
      <c r="K132">
        <f>IF($U132="","",IF(INDEX('Per Invoice'!K$2:K$401,$U132)="","",INDEX('Per Invoice'!K$2:K$401,$U132)))</f>
        <v/>
      </c>
      <c r="L132" s="7">
        <f>IF($U132="","",IF(INDEX('Per Invoice'!L$2:L$401,$U132)="","",INDEX('Per Invoice'!L$2:L$401,$U132)))</f>
        <v/>
      </c>
      <c r="M132" s="7">
        <f>IF($U132="","",IF(INDEX('Per Invoice'!M$2:M$401,$U132)="","",INDEX('Per Invoice'!M$2:M$401,$U132)))</f>
        <v/>
      </c>
      <c r="N132">
        <f>IF($U132="","",IF(INDEX('Per Invoice'!N$2:N$401,$U132)="","",INDEX('Per Invoice'!N$2:N$401,$U132)))</f>
        <v/>
      </c>
      <c r="O132" s="7">
        <f>IF($U132="","",IF(INDEX('Per Invoice'!O$2:O$401,$U132)="","",INDEX('Per Invoice'!O$2:O$401,$U132)))</f>
        <v/>
      </c>
      <c r="P132" s="7">
        <f>IF($U132="","",IF(INDEX('Per Invoice'!P$2:P$401,$U132)="","",INDEX('Per Invoice'!P$2:P$401,$U132)))</f>
        <v/>
      </c>
      <c r="Q132" s="7">
        <f>IF($U132="","",IF(INDEX('Per Invoice'!Q$2:Q$401,$U132)="","",INDEX('Per Invoice'!Q$2:Q$401,$U132)))</f>
        <v/>
      </c>
      <c r="R132" s="7">
        <f>IF($U132="","",IF(INDEX('Per Invoice'!R$2:R$401,$U132)="","",INDEX('Per Invoice'!R$2:R$401,$U132)))</f>
        <v/>
      </c>
      <c r="S132" s="7">
        <f>IF($U132="","",IF(INDEX('Per Invoice'!S$2:S$401,$U132)="","",INDEX('Per Invoice'!S$2:S$401,$U132)))</f>
        <v/>
      </c>
      <c r="T132" s="7">
        <f>IF($U132="","",IF(INDEX('Per Invoice'!T$2:T$401,$U132)="","",INDEX('Per Invoice'!T$2:T$401,$U132)))</f>
        <v/>
      </c>
      <c r="U132" s="16">
        <f>IFERROR(MATCH(Settings!$C$29&amp;"|"&amp;ROWS($U$2:$U132),'Per Invoice'!$V$2:$V$401,0),"")</f>
        <v/>
      </c>
    </row>
    <row r="133">
      <c r="A133">
        <f>IF($U133="","",IF(INDEX('Per Invoice'!A$2:A$401,$U133)="","",INDEX('Per Invoice'!A$2:A$401,$U133)))</f>
        <v/>
      </c>
      <c r="B133">
        <f>IF($U133="","",IF(INDEX('Per Invoice'!B$2:B$401,$U133)="","",INDEX('Per Invoice'!B$2:B$401,$U133)))</f>
        <v/>
      </c>
      <c r="C133">
        <f>IF($U133="","",IF(INDEX('Per Invoice'!C$2:C$401,$U133)="","",INDEX('Per Invoice'!C$2:C$401,$U133)))</f>
        <v/>
      </c>
      <c r="D133">
        <f>IF($U133="","",IF(INDEX('Per Invoice'!D$2:D$401,$U133)="","",INDEX('Per Invoice'!D$2:D$401,$U133)))</f>
        <v/>
      </c>
      <c r="E133">
        <f>IF($U133="","",IF(INDEX('Per Invoice'!E$2:E$401,$U133)="","",INDEX('Per Invoice'!E$2:E$401,$U133)))</f>
        <v/>
      </c>
      <c r="F133">
        <f>IF($U133="","",IF(INDEX('Per Invoice'!F$2:F$401,$U133)="","",INDEX('Per Invoice'!F$2:F$401,$U133)))</f>
        <v/>
      </c>
      <c r="G133">
        <f>IF($U133="","",IF(INDEX('Per Invoice'!G$2:G$401,$U133)="","",INDEX('Per Invoice'!G$2:G$401,$U133)))</f>
        <v/>
      </c>
      <c r="H133" s="7">
        <f>IF($U133="","",IF(INDEX('Per Invoice'!H$2:H$401,$U133)="","",INDEX('Per Invoice'!H$2:H$401,$U133)))</f>
        <v/>
      </c>
      <c r="I133" s="14">
        <f>IF($U133="","",IF(INDEX('Per Invoice'!I$2:I$401,$U133)="","",INDEX('Per Invoice'!I$2:I$401,$U133)))</f>
        <v/>
      </c>
      <c r="J133">
        <f>IF($U133="","",IF(INDEX('Per Invoice'!J$2:J$401,$U133)="","",INDEX('Per Invoice'!J$2:J$401,$U133)))</f>
        <v/>
      </c>
      <c r="K133">
        <f>IF($U133="","",IF(INDEX('Per Invoice'!K$2:K$401,$U133)="","",INDEX('Per Invoice'!K$2:K$401,$U133)))</f>
        <v/>
      </c>
      <c r="L133" s="7">
        <f>IF($U133="","",IF(INDEX('Per Invoice'!L$2:L$401,$U133)="","",INDEX('Per Invoice'!L$2:L$401,$U133)))</f>
        <v/>
      </c>
      <c r="M133" s="7">
        <f>IF($U133="","",IF(INDEX('Per Invoice'!M$2:M$401,$U133)="","",INDEX('Per Invoice'!M$2:M$401,$U133)))</f>
        <v/>
      </c>
      <c r="N133">
        <f>IF($U133="","",IF(INDEX('Per Invoice'!N$2:N$401,$U133)="","",INDEX('Per Invoice'!N$2:N$401,$U133)))</f>
        <v/>
      </c>
      <c r="O133" s="7">
        <f>IF($U133="","",IF(INDEX('Per Invoice'!O$2:O$401,$U133)="","",INDEX('Per Invoice'!O$2:O$401,$U133)))</f>
        <v/>
      </c>
      <c r="P133" s="7">
        <f>IF($U133="","",IF(INDEX('Per Invoice'!P$2:P$401,$U133)="","",INDEX('Per Invoice'!P$2:P$401,$U133)))</f>
        <v/>
      </c>
      <c r="Q133" s="7">
        <f>IF($U133="","",IF(INDEX('Per Invoice'!Q$2:Q$401,$U133)="","",INDEX('Per Invoice'!Q$2:Q$401,$U133)))</f>
        <v/>
      </c>
      <c r="R133" s="7">
        <f>IF($U133="","",IF(INDEX('Per Invoice'!R$2:R$401,$U133)="","",INDEX('Per Invoice'!R$2:R$401,$U133)))</f>
        <v/>
      </c>
      <c r="S133" s="7">
        <f>IF($U133="","",IF(INDEX('Per Invoice'!S$2:S$401,$U133)="","",INDEX('Per Invoice'!S$2:S$401,$U133)))</f>
        <v/>
      </c>
      <c r="T133" s="7">
        <f>IF($U133="","",IF(INDEX('Per Invoice'!T$2:T$401,$U133)="","",INDEX('Per Invoice'!T$2:T$401,$U133)))</f>
        <v/>
      </c>
      <c r="U133" s="16">
        <f>IFERROR(MATCH(Settings!$C$29&amp;"|"&amp;ROWS($U$2:$U133),'Per Invoice'!$V$2:$V$401,0),"")</f>
        <v/>
      </c>
    </row>
    <row r="134">
      <c r="A134">
        <f>IF($U134="","",IF(INDEX('Per Invoice'!A$2:A$401,$U134)="","",INDEX('Per Invoice'!A$2:A$401,$U134)))</f>
        <v/>
      </c>
      <c r="B134">
        <f>IF($U134="","",IF(INDEX('Per Invoice'!B$2:B$401,$U134)="","",INDEX('Per Invoice'!B$2:B$401,$U134)))</f>
        <v/>
      </c>
      <c r="C134">
        <f>IF($U134="","",IF(INDEX('Per Invoice'!C$2:C$401,$U134)="","",INDEX('Per Invoice'!C$2:C$401,$U134)))</f>
        <v/>
      </c>
      <c r="D134">
        <f>IF($U134="","",IF(INDEX('Per Invoice'!D$2:D$401,$U134)="","",INDEX('Per Invoice'!D$2:D$401,$U134)))</f>
        <v/>
      </c>
      <c r="E134">
        <f>IF($U134="","",IF(INDEX('Per Invoice'!E$2:E$401,$U134)="","",INDEX('Per Invoice'!E$2:E$401,$U134)))</f>
        <v/>
      </c>
      <c r="F134">
        <f>IF($U134="","",IF(INDEX('Per Invoice'!F$2:F$401,$U134)="","",INDEX('Per Invoice'!F$2:F$401,$U134)))</f>
        <v/>
      </c>
      <c r="G134">
        <f>IF($U134="","",IF(INDEX('Per Invoice'!G$2:G$401,$U134)="","",INDEX('Per Invoice'!G$2:G$401,$U134)))</f>
        <v/>
      </c>
      <c r="H134" s="7">
        <f>IF($U134="","",IF(INDEX('Per Invoice'!H$2:H$401,$U134)="","",INDEX('Per Invoice'!H$2:H$401,$U134)))</f>
        <v/>
      </c>
      <c r="I134" s="14">
        <f>IF($U134="","",IF(INDEX('Per Invoice'!I$2:I$401,$U134)="","",INDEX('Per Invoice'!I$2:I$401,$U134)))</f>
        <v/>
      </c>
      <c r="J134">
        <f>IF($U134="","",IF(INDEX('Per Invoice'!J$2:J$401,$U134)="","",INDEX('Per Invoice'!J$2:J$401,$U134)))</f>
        <v/>
      </c>
      <c r="K134">
        <f>IF($U134="","",IF(INDEX('Per Invoice'!K$2:K$401,$U134)="","",INDEX('Per Invoice'!K$2:K$401,$U134)))</f>
        <v/>
      </c>
      <c r="L134" s="7">
        <f>IF($U134="","",IF(INDEX('Per Invoice'!L$2:L$401,$U134)="","",INDEX('Per Invoice'!L$2:L$401,$U134)))</f>
        <v/>
      </c>
      <c r="M134" s="7">
        <f>IF($U134="","",IF(INDEX('Per Invoice'!M$2:M$401,$U134)="","",INDEX('Per Invoice'!M$2:M$401,$U134)))</f>
        <v/>
      </c>
      <c r="N134">
        <f>IF($U134="","",IF(INDEX('Per Invoice'!N$2:N$401,$U134)="","",INDEX('Per Invoice'!N$2:N$401,$U134)))</f>
        <v/>
      </c>
      <c r="O134" s="7">
        <f>IF($U134="","",IF(INDEX('Per Invoice'!O$2:O$401,$U134)="","",INDEX('Per Invoice'!O$2:O$401,$U134)))</f>
        <v/>
      </c>
      <c r="P134" s="7">
        <f>IF($U134="","",IF(INDEX('Per Invoice'!P$2:P$401,$U134)="","",INDEX('Per Invoice'!P$2:P$401,$U134)))</f>
        <v/>
      </c>
      <c r="Q134" s="7">
        <f>IF($U134="","",IF(INDEX('Per Invoice'!Q$2:Q$401,$U134)="","",INDEX('Per Invoice'!Q$2:Q$401,$U134)))</f>
        <v/>
      </c>
      <c r="R134" s="7">
        <f>IF($U134="","",IF(INDEX('Per Invoice'!R$2:R$401,$U134)="","",INDEX('Per Invoice'!R$2:R$401,$U134)))</f>
        <v/>
      </c>
      <c r="S134" s="7">
        <f>IF($U134="","",IF(INDEX('Per Invoice'!S$2:S$401,$U134)="","",INDEX('Per Invoice'!S$2:S$401,$U134)))</f>
        <v/>
      </c>
      <c r="T134" s="7">
        <f>IF($U134="","",IF(INDEX('Per Invoice'!T$2:T$401,$U134)="","",INDEX('Per Invoice'!T$2:T$401,$U134)))</f>
        <v/>
      </c>
      <c r="U134" s="16">
        <f>IFERROR(MATCH(Settings!$C$29&amp;"|"&amp;ROWS($U$2:$U134),'Per Invoice'!$V$2:$V$401,0),"")</f>
        <v/>
      </c>
    </row>
    <row r="135">
      <c r="A135">
        <f>IF($U135="","",IF(INDEX('Per Invoice'!A$2:A$401,$U135)="","",INDEX('Per Invoice'!A$2:A$401,$U135)))</f>
        <v/>
      </c>
      <c r="B135">
        <f>IF($U135="","",IF(INDEX('Per Invoice'!B$2:B$401,$U135)="","",INDEX('Per Invoice'!B$2:B$401,$U135)))</f>
        <v/>
      </c>
      <c r="C135">
        <f>IF($U135="","",IF(INDEX('Per Invoice'!C$2:C$401,$U135)="","",INDEX('Per Invoice'!C$2:C$401,$U135)))</f>
        <v/>
      </c>
      <c r="D135">
        <f>IF($U135="","",IF(INDEX('Per Invoice'!D$2:D$401,$U135)="","",INDEX('Per Invoice'!D$2:D$401,$U135)))</f>
        <v/>
      </c>
      <c r="E135">
        <f>IF($U135="","",IF(INDEX('Per Invoice'!E$2:E$401,$U135)="","",INDEX('Per Invoice'!E$2:E$401,$U135)))</f>
        <v/>
      </c>
      <c r="F135">
        <f>IF($U135="","",IF(INDEX('Per Invoice'!F$2:F$401,$U135)="","",INDEX('Per Invoice'!F$2:F$401,$U135)))</f>
        <v/>
      </c>
      <c r="G135">
        <f>IF($U135="","",IF(INDEX('Per Invoice'!G$2:G$401,$U135)="","",INDEX('Per Invoice'!G$2:G$401,$U135)))</f>
        <v/>
      </c>
      <c r="H135" s="7">
        <f>IF($U135="","",IF(INDEX('Per Invoice'!H$2:H$401,$U135)="","",INDEX('Per Invoice'!H$2:H$401,$U135)))</f>
        <v/>
      </c>
      <c r="I135" s="14">
        <f>IF($U135="","",IF(INDEX('Per Invoice'!I$2:I$401,$U135)="","",INDEX('Per Invoice'!I$2:I$401,$U135)))</f>
        <v/>
      </c>
      <c r="J135">
        <f>IF($U135="","",IF(INDEX('Per Invoice'!J$2:J$401,$U135)="","",INDEX('Per Invoice'!J$2:J$401,$U135)))</f>
        <v/>
      </c>
      <c r="K135">
        <f>IF($U135="","",IF(INDEX('Per Invoice'!K$2:K$401,$U135)="","",INDEX('Per Invoice'!K$2:K$401,$U135)))</f>
        <v/>
      </c>
      <c r="L135" s="7">
        <f>IF($U135="","",IF(INDEX('Per Invoice'!L$2:L$401,$U135)="","",INDEX('Per Invoice'!L$2:L$401,$U135)))</f>
        <v/>
      </c>
      <c r="M135" s="7">
        <f>IF($U135="","",IF(INDEX('Per Invoice'!M$2:M$401,$U135)="","",INDEX('Per Invoice'!M$2:M$401,$U135)))</f>
        <v/>
      </c>
      <c r="N135">
        <f>IF($U135="","",IF(INDEX('Per Invoice'!N$2:N$401,$U135)="","",INDEX('Per Invoice'!N$2:N$401,$U135)))</f>
        <v/>
      </c>
      <c r="O135" s="7">
        <f>IF($U135="","",IF(INDEX('Per Invoice'!O$2:O$401,$U135)="","",INDEX('Per Invoice'!O$2:O$401,$U135)))</f>
        <v/>
      </c>
      <c r="P135" s="7">
        <f>IF($U135="","",IF(INDEX('Per Invoice'!P$2:P$401,$U135)="","",INDEX('Per Invoice'!P$2:P$401,$U135)))</f>
        <v/>
      </c>
      <c r="Q135" s="7">
        <f>IF($U135="","",IF(INDEX('Per Invoice'!Q$2:Q$401,$U135)="","",INDEX('Per Invoice'!Q$2:Q$401,$U135)))</f>
        <v/>
      </c>
      <c r="R135" s="7">
        <f>IF($U135="","",IF(INDEX('Per Invoice'!R$2:R$401,$U135)="","",INDEX('Per Invoice'!R$2:R$401,$U135)))</f>
        <v/>
      </c>
      <c r="S135" s="7">
        <f>IF($U135="","",IF(INDEX('Per Invoice'!S$2:S$401,$U135)="","",INDEX('Per Invoice'!S$2:S$401,$U135)))</f>
        <v/>
      </c>
      <c r="T135" s="7">
        <f>IF($U135="","",IF(INDEX('Per Invoice'!T$2:T$401,$U135)="","",INDEX('Per Invoice'!T$2:T$401,$U135)))</f>
        <v/>
      </c>
      <c r="U135" s="16">
        <f>IFERROR(MATCH(Settings!$C$29&amp;"|"&amp;ROWS($U$2:$U135),'Per Invoice'!$V$2:$V$401,0),"")</f>
        <v/>
      </c>
    </row>
    <row r="136">
      <c r="A136">
        <f>IF($U136="","",IF(INDEX('Per Invoice'!A$2:A$401,$U136)="","",INDEX('Per Invoice'!A$2:A$401,$U136)))</f>
        <v/>
      </c>
      <c r="B136">
        <f>IF($U136="","",IF(INDEX('Per Invoice'!B$2:B$401,$U136)="","",INDEX('Per Invoice'!B$2:B$401,$U136)))</f>
        <v/>
      </c>
      <c r="C136">
        <f>IF($U136="","",IF(INDEX('Per Invoice'!C$2:C$401,$U136)="","",INDEX('Per Invoice'!C$2:C$401,$U136)))</f>
        <v/>
      </c>
      <c r="D136">
        <f>IF($U136="","",IF(INDEX('Per Invoice'!D$2:D$401,$U136)="","",INDEX('Per Invoice'!D$2:D$401,$U136)))</f>
        <v/>
      </c>
      <c r="E136">
        <f>IF($U136="","",IF(INDEX('Per Invoice'!E$2:E$401,$U136)="","",INDEX('Per Invoice'!E$2:E$401,$U136)))</f>
        <v/>
      </c>
      <c r="F136">
        <f>IF($U136="","",IF(INDEX('Per Invoice'!F$2:F$401,$U136)="","",INDEX('Per Invoice'!F$2:F$401,$U136)))</f>
        <v/>
      </c>
      <c r="G136">
        <f>IF($U136="","",IF(INDEX('Per Invoice'!G$2:G$401,$U136)="","",INDEX('Per Invoice'!G$2:G$401,$U136)))</f>
        <v/>
      </c>
      <c r="H136" s="7">
        <f>IF($U136="","",IF(INDEX('Per Invoice'!H$2:H$401,$U136)="","",INDEX('Per Invoice'!H$2:H$401,$U136)))</f>
        <v/>
      </c>
      <c r="I136" s="14">
        <f>IF($U136="","",IF(INDEX('Per Invoice'!I$2:I$401,$U136)="","",INDEX('Per Invoice'!I$2:I$401,$U136)))</f>
        <v/>
      </c>
      <c r="J136">
        <f>IF($U136="","",IF(INDEX('Per Invoice'!J$2:J$401,$U136)="","",INDEX('Per Invoice'!J$2:J$401,$U136)))</f>
        <v/>
      </c>
      <c r="K136">
        <f>IF($U136="","",IF(INDEX('Per Invoice'!K$2:K$401,$U136)="","",INDEX('Per Invoice'!K$2:K$401,$U136)))</f>
        <v/>
      </c>
      <c r="L136" s="7">
        <f>IF($U136="","",IF(INDEX('Per Invoice'!L$2:L$401,$U136)="","",INDEX('Per Invoice'!L$2:L$401,$U136)))</f>
        <v/>
      </c>
      <c r="M136" s="7">
        <f>IF($U136="","",IF(INDEX('Per Invoice'!M$2:M$401,$U136)="","",INDEX('Per Invoice'!M$2:M$401,$U136)))</f>
        <v/>
      </c>
      <c r="N136">
        <f>IF($U136="","",IF(INDEX('Per Invoice'!N$2:N$401,$U136)="","",INDEX('Per Invoice'!N$2:N$401,$U136)))</f>
        <v/>
      </c>
      <c r="O136" s="7">
        <f>IF($U136="","",IF(INDEX('Per Invoice'!O$2:O$401,$U136)="","",INDEX('Per Invoice'!O$2:O$401,$U136)))</f>
        <v/>
      </c>
      <c r="P136" s="7">
        <f>IF($U136="","",IF(INDEX('Per Invoice'!P$2:P$401,$U136)="","",INDEX('Per Invoice'!P$2:P$401,$U136)))</f>
        <v/>
      </c>
      <c r="Q136" s="7">
        <f>IF($U136="","",IF(INDEX('Per Invoice'!Q$2:Q$401,$U136)="","",INDEX('Per Invoice'!Q$2:Q$401,$U136)))</f>
        <v/>
      </c>
      <c r="R136" s="7">
        <f>IF($U136="","",IF(INDEX('Per Invoice'!R$2:R$401,$U136)="","",INDEX('Per Invoice'!R$2:R$401,$U136)))</f>
        <v/>
      </c>
      <c r="S136" s="7">
        <f>IF($U136="","",IF(INDEX('Per Invoice'!S$2:S$401,$U136)="","",INDEX('Per Invoice'!S$2:S$401,$U136)))</f>
        <v/>
      </c>
      <c r="T136" s="7">
        <f>IF($U136="","",IF(INDEX('Per Invoice'!T$2:T$401,$U136)="","",INDEX('Per Invoice'!T$2:T$401,$U136)))</f>
        <v/>
      </c>
      <c r="U136" s="16">
        <f>IFERROR(MATCH(Settings!$C$29&amp;"|"&amp;ROWS($U$2:$U136),'Per Invoice'!$V$2:$V$401,0),"")</f>
        <v/>
      </c>
    </row>
    <row r="137">
      <c r="A137">
        <f>IF($U137="","",IF(INDEX('Per Invoice'!A$2:A$401,$U137)="","",INDEX('Per Invoice'!A$2:A$401,$U137)))</f>
        <v/>
      </c>
      <c r="B137">
        <f>IF($U137="","",IF(INDEX('Per Invoice'!B$2:B$401,$U137)="","",INDEX('Per Invoice'!B$2:B$401,$U137)))</f>
        <v/>
      </c>
      <c r="C137">
        <f>IF($U137="","",IF(INDEX('Per Invoice'!C$2:C$401,$U137)="","",INDEX('Per Invoice'!C$2:C$401,$U137)))</f>
        <v/>
      </c>
      <c r="D137">
        <f>IF($U137="","",IF(INDEX('Per Invoice'!D$2:D$401,$U137)="","",INDEX('Per Invoice'!D$2:D$401,$U137)))</f>
        <v/>
      </c>
      <c r="E137">
        <f>IF($U137="","",IF(INDEX('Per Invoice'!E$2:E$401,$U137)="","",INDEX('Per Invoice'!E$2:E$401,$U137)))</f>
        <v/>
      </c>
      <c r="F137">
        <f>IF($U137="","",IF(INDEX('Per Invoice'!F$2:F$401,$U137)="","",INDEX('Per Invoice'!F$2:F$401,$U137)))</f>
        <v/>
      </c>
      <c r="G137">
        <f>IF($U137="","",IF(INDEX('Per Invoice'!G$2:G$401,$U137)="","",INDEX('Per Invoice'!G$2:G$401,$U137)))</f>
        <v/>
      </c>
      <c r="H137" s="7">
        <f>IF($U137="","",IF(INDEX('Per Invoice'!H$2:H$401,$U137)="","",INDEX('Per Invoice'!H$2:H$401,$U137)))</f>
        <v/>
      </c>
      <c r="I137" s="14">
        <f>IF($U137="","",IF(INDEX('Per Invoice'!I$2:I$401,$U137)="","",INDEX('Per Invoice'!I$2:I$401,$U137)))</f>
        <v/>
      </c>
      <c r="J137">
        <f>IF($U137="","",IF(INDEX('Per Invoice'!J$2:J$401,$U137)="","",INDEX('Per Invoice'!J$2:J$401,$U137)))</f>
        <v/>
      </c>
      <c r="K137">
        <f>IF($U137="","",IF(INDEX('Per Invoice'!K$2:K$401,$U137)="","",INDEX('Per Invoice'!K$2:K$401,$U137)))</f>
        <v/>
      </c>
      <c r="L137" s="7">
        <f>IF($U137="","",IF(INDEX('Per Invoice'!L$2:L$401,$U137)="","",INDEX('Per Invoice'!L$2:L$401,$U137)))</f>
        <v/>
      </c>
      <c r="M137" s="7">
        <f>IF($U137="","",IF(INDEX('Per Invoice'!M$2:M$401,$U137)="","",INDEX('Per Invoice'!M$2:M$401,$U137)))</f>
        <v/>
      </c>
      <c r="N137">
        <f>IF($U137="","",IF(INDEX('Per Invoice'!N$2:N$401,$U137)="","",INDEX('Per Invoice'!N$2:N$401,$U137)))</f>
        <v/>
      </c>
      <c r="O137" s="7">
        <f>IF($U137="","",IF(INDEX('Per Invoice'!O$2:O$401,$U137)="","",INDEX('Per Invoice'!O$2:O$401,$U137)))</f>
        <v/>
      </c>
      <c r="P137" s="7">
        <f>IF($U137="","",IF(INDEX('Per Invoice'!P$2:P$401,$U137)="","",INDEX('Per Invoice'!P$2:P$401,$U137)))</f>
        <v/>
      </c>
      <c r="Q137" s="7">
        <f>IF($U137="","",IF(INDEX('Per Invoice'!Q$2:Q$401,$U137)="","",INDEX('Per Invoice'!Q$2:Q$401,$U137)))</f>
        <v/>
      </c>
      <c r="R137" s="7">
        <f>IF($U137="","",IF(INDEX('Per Invoice'!R$2:R$401,$U137)="","",INDEX('Per Invoice'!R$2:R$401,$U137)))</f>
        <v/>
      </c>
      <c r="S137" s="7">
        <f>IF($U137="","",IF(INDEX('Per Invoice'!S$2:S$401,$U137)="","",INDEX('Per Invoice'!S$2:S$401,$U137)))</f>
        <v/>
      </c>
      <c r="T137" s="7">
        <f>IF($U137="","",IF(INDEX('Per Invoice'!T$2:T$401,$U137)="","",INDEX('Per Invoice'!T$2:T$401,$U137)))</f>
        <v/>
      </c>
      <c r="U137" s="16">
        <f>IFERROR(MATCH(Settings!$C$29&amp;"|"&amp;ROWS($U$2:$U137),'Per Invoice'!$V$2:$V$401,0),"")</f>
        <v/>
      </c>
    </row>
    <row r="138">
      <c r="A138">
        <f>IF($U138="","",IF(INDEX('Per Invoice'!A$2:A$401,$U138)="","",INDEX('Per Invoice'!A$2:A$401,$U138)))</f>
        <v/>
      </c>
      <c r="B138">
        <f>IF($U138="","",IF(INDEX('Per Invoice'!B$2:B$401,$U138)="","",INDEX('Per Invoice'!B$2:B$401,$U138)))</f>
        <v/>
      </c>
      <c r="C138">
        <f>IF($U138="","",IF(INDEX('Per Invoice'!C$2:C$401,$U138)="","",INDEX('Per Invoice'!C$2:C$401,$U138)))</f>
        <v/>
      </c>
      <c r="D138">
        <f>IF($U138="","",IF(INDEX('Per Invoice'!D$2:D$401,$U138)="","",INDEX('Per Invoice'!D$2:D$401,$U138)))</f>
        <v/>
      </c>
      <c r="E138">
        <f>IF($U138="","",IF(INDEX('Per Invoice'!E$2:E$401,$U138)="","",INDEX('Per Invoice'!E$2:E$401,$U138)))</f>
        <v/>
      </c>
      <c r="F138">
        <f>IF($U138="","",IF(INDEX('Per Invoice'!F$2:F$401,$U138)="","",INDEX('Per Invoice'!F$2:F$401,$U138)))</f>
        <v/>
      </c>
      <c r="G138">
        <f>IF($U138="","",IF(INDEX('Per Invoice'!G$2:G$401,$U138)="","",INDEX('Per Invoice'!G$2:G$401,$U138)))</f>
        <v/>
      </c>
      <c r="H138" s="7">
        <f>IF($U138="","",IF(INDEX('Per Invoice'!H$2:H$401,$U138)="","",INDEX('Per Invoice'!H$2:H$401,$U138)))</f>
        <v/>
      </c>
      <c r="I138" s="14">
        <f>IF($U138="","",IF(INDEX('Per Invoice'!I$2:I$401,$U138)="","",INDEX('Per Invoice'!I$2:I$401,$U138)))</f>
        <v/>
      </c>
      <c r="J138">
        <f>IF($U138="","",IF(INDEX('Per Invoice'!J$2:J$401,$U138)="","",INDEX('Per Invoice'!J$2:J$401,$U138)))</f>
        <v/>
      </c>
      <c r="K138">
        <f>IF($U138="","",IF(INDEX('Per Invoice'!K$2:K$401,$U138)="","",INDEX('Per Invoice'!K$2:K$401,$U138)))</f>
        <v/>
      </c>
      <c r="L138" s="7">
        <f>IF($U138="","",IF(INDEX('Per Invoice'!L$2:L$401,$U138)="","",INDEX('Per Invoice'!L$2:L$401,$U138)))</f>
        <v/>
      </c>
      <c r="M138" s="7">
        <f>IF($U138="","",IF(INDEX('Per Invoice'!M$2:M$401,$U138)="","",INDEX('Per Invoice'!M$2:M$401,$U138)))</f>
        <v/>
      </c>
      <c r="N138">
        <f>IF($U138="","",IF(INDEX('Per Invoice'!N$2:N$401,$U138)="","",INDEX('Per Invoice'!N$2:N$401,$U138)))</f>
        <v/>
      </c>
      <c r="O138" s="7">
        <f>IF($U138="","",IF(INDEX('Per Invoice'!O$2:O$401,$U138)="","",INDEX('Per Invoice'!O$2:O$401,$U138)))</f>
        <v/>
      </c>
      <c r="P138" s="7">
        <f>IF($U138="","",IF(INDEX('Per Invoice'!P$2:P$401,$U138)="","",INDEX('Per Invoice'!P$2:P$401,$U138)))</f>
        <v/>
      </c>
      <c r="Q138" s="7">
        <f>IF($U138="","",IF(INDEX('Per Invoice'!Q$2:Q$401,$U138)="","",INDEX('Per Invoice'!Q$2:Q$401,$U138)))</f>
        <v/>
      </c>
      <c r="R138" s="7">
        <f>IF($U138="","",IF(INDEX('Per Invoice'!R$2:R$401,$U138)="","",INDEX('Per Invoice'!R$2:R$401,$U138)))</f>
        <v/>
      </c>
      <c r="S138" s="7">
        <f>IF($U138="","",IF(INDEX('Per Invoice'!S$2:S$401,$U138)="","",INDEX('Per Invoice'!S$2:S$401,$U138)))</f>
        <v/>
      </c>
      <c r="T138" s="7">
        <f>IF($U138="","",IF(INDEX('Per Invoice'!T$2:T$401,$U138)="","",INDEX('Per Invoice'!T$2:T$401,$U138)))</f>
        <v/>
      </c>
      <c r="U138" s="16">
        <f>IFERROR(MATCH(Settings!$C$29&amp;"|"&amp;ROWS($U$2:$U138),'Per Invoice'!$V$2:$V$401,0),"")</f>
        <v/>
      </c>
    </row>
    <row r="139">
      <c r="A139">
        <f>IF($U139="","",IF(INDEX('Per Invoice'!A$2:A$401,$U139)="","",INDEX('Per Invoice'!A$2:A$401,$U139)))</f>
        <v/>
      </c>
      <c r="B139">
        <f>IF($U139="","",IF(INDEX('Per Invoice'!B$2:B$401,$U139)="","",INDEX('Per Invoice'!B$2:B$401,$U139)))</f>
        <v/>
      </c>
      <c r="C139">
        <f>IF($U139="","",IF(INDEX('Per Invoice'!C$2:C$401,$U139)="","",INDEX('Per Invoice'!C$2:C$401,$U139)))</f>
        <v/>
      </c>
      <c r="D139">
        <f>IF($U139="","",IF(INDEX('Per Invoice'!D$2:D$401,$U139)="","",INDEX('Per Invoice'!D$2:D$401,$U139)))</f>
        <v/>
      </c>
      <c r="E139">
        <f>IF($U139="","",IF(INDEX('Per Invoice'!E$2:E$401,$U139)="","",INDEX('Per Invoice'!E$2:E$401,$U139)))</f>
        <v/>
      </c>
      <c r="F139">
        <f>IF($U139="","",IF(INDEX('Per Invoice'!F$2:F$401,$U139)="","",INDEX('Per Invoice'!F$2:F$401,$U139)))</f>
        <v/>
      </c>
      <c r="G139">
        <f>IF($U139="","",IF(INDEX('Per Invoice'!G$2:G$401,$U139)="","",INDEX('Per Invoice'!G$2:G$401,$U139)))</f>
        <v/>
      </c>
      <c r="H139" s="7">
        <f>IF($U139="","",IF(INDEX('Per Invoice'!H$2:H$401,$U139)="","",INDEX('Per Invoice'!H$2:H$401,$U139)))</f>
        <v/>
      </c>
      <c r="I139" s="14">
        <f>IF($U139="","",IF(INDEX('Per Invoice'!I$2:I$401,$U139)="","",INDEX('Per Invoice'!I$2:I$401,$U139)))</f>
        <v/>
      </c>
      <c r="J139">
        <f>IF($U139="","",IF(INDEX('Per Invoice'!J$2:J$401,$U139)="","",INDEX('Per Invoice'!J$2:J$401,$U139)))</f>
        <v/>
      </c>
      <c r="K139">
        <f>IF($U139="","",IF(INDEX('Per Invoice'!K$2:K$401,$U139)="","",INDEX('Per Invoice'!K$2:K$401,$U139)))</f>
        <v/>
      </c>
      <c r="L139" s="7">
        <f>IF($U139="","",IF(INDEX('Per Invoice'!L$2:L$401,$U139)="","",INDEX('Per Invoice'!L$2:L$401,$U139)))</f>
        <v/>
      </c>
      <c r="M139" s="7">
        <f>IF($U139="","",IF(INDEX('Per Invoice'!M$2:M$401,$U139)="","",INDEX('Per Invoice'!M$2:M$401,$U139)))</f>
        <v/>
      </c>
      <c r="N139">
        <f>IF($U139="","",IF(INDEX('Per Invoice'!N$2:N$401,$U139)="","",INDEX('Per Invoice'!N$2:N$401,$U139)))</f>
        <v/>
      </c>
      <c r="O139" s="7">
        <f>IF($U139="","",IF(INDEX('Per Invoice'!O$2:O$401,$U139)="","",INDEX('Per Invoice'!O$2:O$401,$U139)))</f>
        <v/>
      </c>
      <c r="P139" s="7">
        <f>IF($U139="","",IF(INDEX('Per Invoice'!P$2:P$401,$U139)="","",INDEX('Per Invoice'!P$2:P$401,$U139)))</f>
        <v/>
      </c>
      <c r="Q139" s="7">
        <f>IF($U139="","",IF(INDEX('Per Invoice'!Q$2:Q$401,$U139)="","",INDEX('Per Invoice'!Q$2:Q$401,$U139)))</f>
        <v/>
      </c>
      <c r="R139" s="7">
        <f>IF($U139="","",IF(INDEX('Per Invoice'!R$2:R$401,$U139)="","",INDEX('Per Invoice'!R$2:R$401,$U139)))</f>
        <v/>
      </c>
      <c r="S139" s="7">
        <f>IF($U139="","",IF(INDEX('Per Invoice'!S$2:S$401,$U139)="","",INDEX('Per Invoice'!S$2:S$401,$U139)))</f>
        <v/>
      </c>
      <c r="T139" s="7">
        <f>IF($U139="","",IF(INDEX('Per Invoice'!T$2:T$401,$U139)="","",INDEX('Per Invoice'!T$2:T$401,$U139)))</f>
        <v/>
      </c>
      <c r="U139" s="16">
        <f>IFERROR(MATCH(Settings!$C$29&amp;"|"&amp;ROWS($U$2:$U139),'Per Invoice'!$V$2:$V$401,0),"")</f>
        <v/>
      </c>
    </row>
    <row r="140">
      <c r="A140">
        <f>IF($U140="","",IF(INDEX('Per Invoice'!A$2:A$401,$U140)="","",INDEX('Per Invoice'!A$2:A$401,$U140)))</f>
        <v/>
      </c>
      <c r="B140">
        <f>IF($U140="","",IF(INDEX('Per Invoice'!B$2:B$401,$U140)="","",INDEX('Per Invoice'!B$2:B$401,$U140)))</f>
        <v/>
      </c>
      <c r="C140">
        <f>IF($U140="","",IF(INDEX('Per Invoice'!C$2:C$401,$U140)="","",INDEX('Per Invoice'!C$2:C$401,$U140)))</f>
        <v/>
      </c>
      <c r="D140">
        <f>IF($U140="","",IF(INDEX('Per Invoice'!D$2:D$401,$U140)="","",INDEX('Per Invoice'!D$2:D$401,$U140)))</f>
        <v/>
      </c>
      <c r="E140">
        <f>IF($U140="","",IF(INDEX('Per Invoice'!E$2:E$401,$U140)="","",INDEX('Per Invoice'!E$2:E$401,$U140)))</f>
        <v/>
      </c>
      <c r="F140">
        <f>IF($U140="","",IF(INDEX('Per Invoice'!F$2:F$401,$U140)="","",INDEX('Per Invoice'!F$2:F$401,$U140)))</f>
        <v/>
      </c>
      <c r="G140">
        <f>IF($U140="","",IF(INDEX('Per Invoice'!G$2:G$401,$U140)="","",INDEX('Per Invoice'!G$2:G$401,$U140)))</f>
        <v/>
      </c>
      <c r="H140" s="7">
        <f>IF($U140="","",IF(INDEX('Per Invoice'!H$2:H$401,$U140)="","",INDEX('Per Invoice'!H$2:H$401,$U140)))</f>
        <v/>
      </c>
      <c r="I140" s="14">
        <f>IF($U140="","",IF(INDEX('Per Invoice'!I$2:I$401,$U140)="","",INDEX('Per Invoice'!I$2:I$401,$U140)))</f>
        <v/>
      </c>
      <c r="J140">
        <f>IF($U140="","",IF(INDEX('Per Invoice'!J$2:J$401,$U140)="","",INDEX('Per Invoice'!J$2:J$401,$U140)))</f>
        <v/>
      </c>
      <c r="K140">
        <f>IF($U140="","",IF(INDEX('Per Invoice'!K$2:K$401,$U140)="","",INDEX('Per Invoice'!K$2:K$401,$U140)))</f>
        <v/>
      </c>
      <c r="L140" s="7">
        <f>IF($U140="","",IF(INDEX('Per Invoice'!L$2:L$401,$U140)="","",INDEX('Per Invoice'!L$2:L$401,$U140)))</f>
        <v/>
      </c>
      <c r="M140" s="7">
        <f>IF($U140="","",IF(INDEX('Per Invoice'!M$2:M$401,$U140)="","",INDEX('Per Invoice'!M$2:M$401,$U140)))</f>
        <v/>
      </c>
      <c r="N140">
        <f>IF($U140="","",IF(INDEX('Per Invoice'!N$2:N$401,$U140)="","",INDEX('Per Invoice'!N$2:N$401,$U140)))</f>
        <v/>
      </c>
      <c r="O140" s="7">
        <f>IF($U140="","",IF(INDEX('Per Invoice'!O$2:O$401,$U140)="","",INDEX('Per Invoice'!O$2:O$401,$U140)))</f>
        <v/>
      </c>
      <c r="P140" s="7">
        <f>IF($U140="","",IF(INDEX('Per Invoice'!P$2:P$401,$U140)="","",INDEX('Per Invoice'!P$2:P$401,$U140)))</f>
        <v/>
      </c>
      <c r="Q140" s="7">
        <f>IF($U140="","",IF(INDEX('Per Invoice'!Q$2:Q$401,$U140)="","",INDEX('Per Invoice'!Q$2:Q$401,$U140)))</f>
        <v/>
      </c>
      <c r="R140" s="7">
        <f>IF($U140="","",IF(INDEX('Per Invoice'!R$2:R$401,$U140)="","",INDEX('Per Invoice'!R$2:R$401,$U140)))</f>
        <v/>
      </c>
      <c r="S140" s="7">
        <f>IF($U140="","",IF(INDEX('Per Invoice'!S$2:S$401,$U140)="","",INDEX('Per Invoice'!S$2:S$401,$U140)))</f>
        <v/>
      </c>
      <c r="T140" s="7">
        <f>IF($U140="","",IF(INDEX('Per Invoice'!T$2:T$401,$U140)="","",INDEX('Per Invoice'!T$2:T$401,$U140)))</f>
        <v/>
      </c>
      <c r="U140" s="16">
        <f>IFERROR(MATCH(Settings!$C$29&amp;"|"&amp;ROWS($U$2:$U140),'Per Invoice'!$V$2:$V$401,0),"")</f>
        <v/>
      </c>
    </row>
    <row r="141">
      <c r="A141">
        <f>IF($U141="","",IF(INDEX('Per Invoice'!A$2:A$401,$U141)="","",INDEX('Per Invoice'!A$2:A$401,$U141)))</f>
        <v/>
      </c>
      <c r="B141">
        <f>IF($U141="","",IF(INDEX('Per Invoice'!B$2:B$401,$U141)="","",INDEX('Per Invoice'!B$2:B$401,$U141)))</f>
        <v/>
      </c>
      <c r="C141">
        <f>IF($U141="","",IF(INDEX('Per Invoice'!C$2:C$401,$U141)="","",INDEX('Per Invoice'!C$2:C$401,$U141)))</f>
        <v/>
      </c>
      <c r="D141">
        <f>IF($U141="","",IF(INDEX('Per Invoice'!D$2:D$401,$U141)="","",INDEX('Per Invoice'!D$2:D$401,$U141)))</f>
        <v/>
      </c>
      <c r="E141">
        <f>IF($U141="","",IF(INDEX('Per Invoice'!E$2:E$401,$U141)="","",INDEX('Per Invoice'!E$2:E$401,$U141)))</f>
        <v/>
      </c>
      <c r="F141">
        <f>IF($U141="","",IF(INDEX('Per Invoice'!F$2:F$401,$U141)="","",INDEX('Per Invoice'!F$2:F$401,$U141)))</f>
        <v/>
      </c>
      <c r="G141">
        <f>IF($U141="","",IF(INDEX('Per Invoice'!G$2:G$401,$U141)="","",INDEX('Per Invoice'!G$2:G$401,$U141)))</f>
        <v/>
      </c>
      <c r="H141" s="7">
        <f>IF($U141="","",IF(INDEX('Per Invoice'!H$2:H$401,$U141)="","",INDEX('Per Invoice'!H$2:H$401,$U141)))</f>
        <v/>
      </c>
      <c r="I141" s="14">
        <f>IF($U141="","",IF(INDEX('Per Invoice'!I$2:I$401,$U141)="","",INDEX('Per Invoice'!I$2:I$401,$U141)))</f>
        <v/>
      </c>
      <c r="J141">
        <f>IF($U141="","",IF(INDEX('Per Invoice'!J$2:J$401,$U141)="","",INDEX('Per Invoice'!J$2:J$401,$U141)))</f>
        <v/>
      </c>
      <c r="K141">
        <f>IF($U141="","",IF(INDEX('Per Invoice'!K$2:K$401,$U141)="","",INDEX('Per Invoice'!K$2:K$401,$U141)))</f>
        <v/>
      </c>
      <c r="L141" s="7">
        <f>IF($U141="","",IF(INDEX('Per Invoice'!L$2:L$401,$U141)="","",INDEX('Per Invoice'!L$2:L$401,$U141)))</f>
        <v/>
      </c>
      <c r="M141" s="7">
        <f>IF($U141="","",IF(INDEX('Per Invoice'!M$2:M$401,$U141)="","",INDEX('Per Invoice'!M$2:M$401,$U141)))</f>
        <v/>
      </c>
      <c r="N141">
        <f>IF($U141="","",IF(INDEX('Per Invoice'!N$2:N$401,$U141)="","",INDEX('Per Invoice'!N$2:N$401,$U141)))</f>
        <v/>
      </c>
      <c r="O141" s="7">
        <f>IF($U141="","",IF(INDEX('Per Invoice'!O$2:O$401,$U141)="","",INDEX('Per Invoice'!O$2:O$401,$U141)))</f>
        <v/>
      </c>
      <c r="P141" s="7">
        <f>IF($U141="","",IF(INDEX('Per Invoice'!P$2:P$401,$U141)="","",INDEX('Per Invoice'!P$2:P$401,$U141)))</f>
        <v/>
      </c>
      <c r="Q141" s="7">
        <f>IF($U141="","",IF(INDEX('Per Invoice'!Q$2:Q$401,$U141)="","",INDEX('Per Invoice'!Q$2:Q$401,$U141)))</f>
        <v/>
      </c>
      <c r="R141" s="7">
        <f>IF($U141="","",IF(INDEX('Per Invoice'!R$2:R$401,$U141)="","",INDEX('Per Invoice'!R$2:R$401,$U141)))</f>
        <v/>
      </c>
      <c r="S141" s="7">
        <f>IF($U141="","",IF(INDEX('Per Invoice'!S$2:S$401,$U141)="","",INDEX('Per Invoice'!S$2:S$401,$U141)))</f>
        <v/>
      </c>
      <c r="T141" s="7">
        <f>IF($U141="","",IF(INDEX('Per Invoice'!T$2:T$401,$U141)="","",INDEX('Per Invoice'!T$2:T$401,$U141)))</f>
        <v/>
      </c>
      <c r="U141" s="16">
        <f>IFERROR(MATCH(Settings!$C$29&amp;"|"&amp;ROWS($U$2:$U141),'Per Invoice'!$V$2:$V$401,0),"")</f>
        <v/>
      </c>
    </row>
    <row r="142">
      <c r="A142">
        <f>IF($U142="","",IF(INDEX('Per Invoice'!A$2:A$401,$U142)="","",INDEX('Per Invoice'!A$2:A$401,$U142)))</f>
        <v/>
      </c>
      <c r="B142">
        <f>IF($U142="","",IF(INDEX('Per Invoice'!B$2:B$401,$U142)="","",INDEX('Per Invoice'!B$2:B$401,$U142)))</f>
        <v/>
      </c>
      <c r="C142">
        <f>IF($U142="","",IF(INDEX('Per Invoice'!C$2:C$401,$U142)="","",INDEX('Per Invoice'!C$2:C$401,$U142)))</f>
        <v/>
      </c>
      <c r="D142">
        <f>IF($U142="","",IF(INDEX('Per Invoice'!D$2:D$401,$U142)="","",INDEX('Per Invoice'!D$2:D$401,$U142)))</f>
        <v/>
      </c>
      <c r="E142">
        <f>IF($U142="","",IF(INDEX('Per Invoice'!E$2:E$401,$U142)="","",INDEX('Per Invoice'!E$2:E$401,$U142)))</f>
        <v/>
      </c>
      <c r="F142">
        <f>IF($U142="","",IF(INDEX('Per Invoice'!F$2:F$401,$U142)="","",INDEX('Per Invoice'!F$2:F$401,$U142)))</f>
        <v/>
      </c>
      <c r="G142">
        <f>IF($U142="","",IF(INDEX('Per Invoice'!G$2:G$401,$U142)="","",INDEX('Per Invoice'!G$2:G$401,$U142)))</f>
        <v/>
      </c>
      <c r="H142" s="7">
        <f>IF($U142="","",IF(INDEX('Per Invoice'!H$2:H$401,$U142)="","",INDEX('Per Invoice'!H$2:H$401,$U142)))</f>
        <v/>
      </c>
      <c r="I142" s="14">
        <f>IF($U142="","",IF(INDEX('Per Invoice'!I$2:I$401,$U142)="","",INDEX('Per Invoice'!I$2:I$401,$U142)))</f>
        <v/>
      </c>
      <c r="J142">
        <f>IF($U142="","",IF(INDEX('Per Invoice'!J$2:J$401,$U142)="","",INDEX('Per Invoice'!J$2:J$401,$U142)))</f>
        <v/>
      </c>
      <c r="K142">
        <f>IF($U142="","",IF(INDEX('Per Invoice'!K$2:K$401,$U142)="","",INDEX('Per Invoice'!K$2:K$401,$U142)))</f>
        <v/>
      </c>
      <c r="L142" s="7">
        <f>IF($U142="","",IF(INDEX('Per Invoice'!L$2:L$401,$U142)="","",INDEX('Per Invoice'!L$2:L$401,$U142)))</f>
        <v/>
      </c>
      <c r="M142" s="7">
        <f>IF($U142="","",IF(INDEX('Per Invoice'!M$2:M$401,$U142)="","",INDEX('Per Invoice'!M$2:M$401,$U142)))</f>
        <v/>
      </c>
      <c r="N142">
        <f>IF($U142="","",IF(INDEX('Per Invoice'!N$2:N$401,$U142)="","",INDEX('Per Invoice'!N$2:N$401,$U142)))</f>
        <v/>
      </c>
      <c r="O142" s="7">
        <f>IF($U142="","",IF(INDEX('Per Invoice'!O$2:O$401,$U142)="","",INDEX('Per Invoice'!O$2:O$401,$U142)))</f>
        <v/>
      </c>
      <c r="P142" s="7">
        <f>IF($U142="","",IF(INDEX('Per Invoice'!P$2:P$401,$U142)="","",INDEX('Per Invoice'!P$2:P$401,$U142)))</f>
        <v/>
      </c>
      <c r="Q142" s="7">
        <f>IF($U142="","",IF(INDEX('Per Invoice'!Q$2:Q$401,$U142)="","",INDEX('Per Invoice'!Q$2:Q$401,$U142)))</f>
        <v/>
      </c>
      <c r="R142" s="7">
        <f>IF($U142="","",IF(INDEX('Per Invoice'!R$2:R$401,$U142)="","",INDEX('Per Invoice'!R$2:R$401,$U142)))</f>
        <v/>
      </c>
      <c r="S142" s="7">
        <f>IF($U142="","",IF(INDEX('Per Invoice'!S$2:S$401,$U142)="","",INDEX('Per Invoice'!S$2:S$401,$U142)))</f>
        <v/>
      </c>
      <c r="T142" s="7">
        <f>IF($U142="","",IF(INDEX('Per Invoice'!T$2:T$401,$U142)="","",INDEX('Per Invoice'!T$2:T$401,$U142)))</f>
        <v/>
      </c>
      <c r="U142" s="16">
        <f>IFERROR(MATCH(Settings!$C$29&amp;"|"&amp;ROWS($U$2:$U142),'Per Invoice'!$V$2:$V$401,0),"")</f>
        <v/>
      </c>
    </row>
    <row r="143">
      <c r="A143">
        <f>IF($U143="","",IF(INDEX('Per Invoice'!A$2:A$401,$U143)="","",INDEX('Per Invoice'!A$2:A$401,$U143)))</f>
        <v/>
      </c>
      <c r="B143">
        <f>IF($U143="","",IF(INDEX('Per Invoice'!B$2:B$401,$U143)="","",INDEX('Per Invoice'!B$2:B$401,$U143)))</f>
        <v/>
      </c>
      <c r="C143">
        <f>IF($U143="","",IF(INDEX('Per Invoice'!C$2:C$401,$U143)="","",INDEX('Per Invoice'!C$2:C$401,$U143)))</f>
        <v/>
      </c>
      <c r="D143">
        <f>IF($U143="","",IF(INDEX('Per Invoice'!D$2:D$401,$U143)="","",INDEX('Per Invoice'!D$2:D$401,$U143)))</f>
        <v/>
      </c>
      <c r="E143">
        <f>IF($U143="","",IF(INDEX('Per Invoice'!E$2:E$401,$U143)="","",INDEX('Per Invoice'!E$2:E$401,$U143)))</f>
        <v/>
      </c>
      <c r="F143">
        <f>IF($U143="","",IF(INDEX('Per Invoice'!F$2:F$401,$U143)="","",INDEX('Per Invoice'!F$2:F$401,$U143)))</f>
        <v/>
      </c>
      <c r="G143">
        <f>IF($U143="","",IF(INDEX('Per Invoice'!G$2:G$401,$U143)="","",INDEX('Per Invoice'!G$2:G$401,$U143)))</f>
        <v/>
      </c>
      <c r="H143" s="7">
        <f>IF($U143="","",IF(INDEX('Per Invoice'!H$2:H$401,$U143)="","",INDEX('Per Invoice'!H$2:H$401,$U143)))</f>
        <v/>
      </c>
      <c r="I143" s="14">
        <f>IF($U143="","",IF(INDEX('Per Invoice'!I$2:I$401,$U143)="","",INDEX('Per Invoice'!I$2:I$401,$U143)))</f>
        <v/>
      </c>
      <c r="J143">
        <f>IF($U143="","",IF(INDEX('Per Invoice'!J$2:J$401,$U143)="","",INDEX('Per Invoice'!J$2:J$401,$U143)))</f>
        <v/>
      </c>
      <c r="K143">
        <f>IF($U143="","",IF(INDEX('Per Invoice'!K$2:K$401,$U143)="","",INDEX('Per Invoice'!K$2:K$401,$U143)))</f>
        <v/>
      </c>
      <c r="L143" s="7">
        <f>IF($U143="","",IF(INDEX('Per Invoice'!L$2:L$401,$U143)="","",INDEX('Per Invoice'!L$2:L$401,$U143)))</f>
        <v/>
      </c>
      <c r="M143" s="7">
        <f>IF($U143="","",IF(INDEX('Per Invoice'!M$2:M$401,$U143)="","",INDEX('Per Invoice'!M$2:M$401,$U143)))</f>
        <v/>
      </c>
      <c r="N143">
        <f>IF($U143="","",IF(INDEX('Per Invoice'!N$2:N$401,$U143)="","",INDEX('Per Invoice'!N$2:N$401,$U143)))</f>
        <v/>
      </c>
      <c r="O143" s="7">
        <f>IF($U143="","",IF(INDEX('Per Invoice'!O$2:O$401,$U143)="","",INDEX('Per Invoice'!O$2:O$401,$U143)))</f>
        <v/>
      </c>
      <c r="P143" s="7">
        <f>IF($U143="","",IF(INDEX('Per Invoice'!P$2:P$401,$U143)="","",INDEX('Per Invoice'!P$2:P$401,$U143)))</f>
        <v/>
      </c>
      <c r="Q143" s="7">
        <f>IF($U143="","",IF(INDEX('Per Invoice'!Q$2:Q$401,$U143)="","",INDEX('Per Invoice'!Q$2:Q$401,$U143)))</f>
        <v/>
      </c>
      <c r="R143" s="7">
        <f>IF($U143="","",IF(INDEX('Per Invoice'!R$2:R$401,$U143)="","",INDEX('Per Invoice'!R$2:R$401,$U143)))</f>
        <v/>
      </c>
      <c r="S143" s="7">
        <f>IF($U143="","",IF(INDEX('Per Invoice'!S$2:S$401,$U143)="","",INDEX('Per Invoice'!S$2:S$401,$U143)))</f>
        <v/>
      </c>
      <c r="T143" s="7">
        <f>IF($U143="","",IF(INDEX('Per Invoice'!T$2:T$401,$U143)="","",INDEX('Per Invoice'!T$2:T$401,$U143)))</f>
        <v/>
      </c>
      <c r="U143" s="16">
        <f>IFERROR(MATCH(Settings!$C$29&amp;"|"&amp;ROWS($U$2:$U143),'Per Invoice'!$V$2:$V$401,0),"")</f>
        <v/>
      </c>
    </row>
    <row r="144">
      <c r="A144">
        <f>IF($U144="","",IF(INDEX('Per Invoice'!A$2:A$401,$U144)="","",INDEX('Per Invoice'!A$2:A$401,$U144)))</f>
        <v/>
      </c>
      <c r="B144">
        <f>IF($U144="","",IF(INDEX('Per Invoice'!B$2:B$401,$U144)="","",INDEX('Per Invoice'!B$2:B$401,$U144)))</f>
        <v/>
      </c>
      <c r="C144">
        <f>IF($U144="","",IF(INDEX('Per Invoice'!C$2:C$401,$U144)="","",INDEX('Per Invoice'!C$2:C$401,$U144)))</f>
        <v/>
      </c>
      <c r="D144">
        <f>IF($U144="","",IF(INDEX('Per Invoice'!D$2:D$401,$U144)="","",INDEX('Per Invoice'!D$2:D$401,$U144)))</f>
        <v/>
      </c>
      <c r="E144">
        <f>IF($U144="","",IF(INDEX('Per Invoice'!E$2:E$401,$U144)="","",INDEX('Per Invoice'!E$2:E$401,$U144)))</f>
        <v/>
      </c>
      <c r="F144">
        <f>IF($U144="","",IF(INDEX('Per Invoice'!F$2:F$401,$U144)="","",INDEX('Per Invoice'!F$2:F$401,$U144)))</f>
        <v/>
      </c>
      <c r="G144">
        <f>IF($U144="","",IF(INDEX('Per Invoice'!G$2:G$401,$U144)="","",INDEX('Per Invoice'!G$2:G$401,$U144)))</f>
        <v/>
      </c>
      <c r="H144" s="7">
        <f>IF($U144="","",IF(INDEX('Per Invoice'!H$2:H$401,$U144)="","",INDEX('Per Invoice'!H$2:H$401,$U144)))</f>
        <v/>
      </c>
      <c r="I144" s="14">
        <f>IF($U144="","",IF(INDEX('Per Invoice'!I$2:I$401,$U144)="","",INDEX('Per Invoice'!I$2:I$401,$U144)))</f>
        <v/>
      </c>
      <c r="J144">
        <f>IF($U144="","",IF(INDEX('Per Invoice'!J$2:J$401,$U144)="","",INDEX('Per Invoice'!J$2:J$401,$U144)))</f>
        <v/>
      </c>
      <c r="K144">
        <f>IF($U144="","",IF(INDEX('Per Invoice'!K$2:K$401,$U144)="","",INDEX('Per Invoice'!K$2:K$401,$U144)))</f>
        <v/>
      </c>
      <c r="L144" s="7">
        <f>IF($U144="","",IF(INDEX('Per Invoice'!L$2:L$401,$U144)="","",INDEX('Per Invoice'!L$2:L$401,$U144)))</f>
        <v/>
      </c>
      <c r="M144" s="7">
        <f>IF($U144="","",IF(INDEX('Per Invoice'!M$2:M$401,$U144)="","",INDEX('Per Invoice'!M$2:M$401,$U144)))</f>
        <v/>
      </c>
      <c r="N144">
        <f>IF($U144="","",IF(INDEX('Per Invoice'!N$2:N$401,$U144)="","",INDEX('Per Invoice'!N$2:N$401,$U144)))</f>
        <v/>
      </c>
      <c r="O144" s="7">
        <f>IF($U144="","",IF(INDEX('Per Invoice'!O$2:O$401,$U144)="","",INDEX('Per Invoice'!O$2:O$401,$U144)))</f>
        <v/>
      </c>
      <c r="P144" s="7">
        <f>IF($U144="","",IF(INDEX('Per Invoice'!P$2:P$401,$U144)="","",INDEX('Per Invoice'!P$2:P$401,$U144)))</f>
        <v/>
      </c>
      <c r="Q144" s="7">
        <f>IF($U144="","",IF(INDEX('Per Invoice'!Q$2:Q$401,$U144)="","",INDEX('Per Invoice'!Q$2:Q$401,$U144)))</f>
        <v/>
      </c>
      <c r="R144" s="7">
        <f>IF($U144="","",IF(INDEX('Per Invoice'!R$2:R$401,$U144)="","",INDEX('Per Invoice'!R$2:R$401,$U144)))</f>
        <v/>
      </c>
      <c r="S144" s="7">
        <f>IF($U144="","",IF(INDEX('Per Invoice'!S$2:S$401,$U144)="","",INDEX('Per Invoice'!S$2:S$401,$U144)))</f>
        <v/>
      </c>
      <c r="T144" s="7">
        <f>IF($U144="","",IF(INDEX('Per Invoice'!T$2:T$401,$U144)="","",INDEX('Per Invoice'!T$2:T$401,$U144)))</f>
        <v/>
      </c>
      <c r="U144" s="16">
        <f>IFERROR(MATCH(Settings!$C$29&amp;"|"&amp;ROWS($U$2:$U144),'Per Invoice'!$V$2:$V$401,0),"")</f>
        <v/>
      </c>
    </row>
    <row r="145">
      <c r="A145">
        <f>IF($U145="","",IF(INDEX('Per Invoice'!A$2:A$401,$U145)="","",INDEX('Per Invoice'!A$2:A$401,$U145)))</f>
        <v/>
      </c>
      <c r="B145">
        <f>IF($U145="","",IF(INDEX('Per Invoice'!B$2:B$401,$U145)="","",INDEX('Per Invoice'!B$2:B$401,$U145)))</f>
        <v/>
      </c>
      <c r="C145">
        <f>IF($U145="","",IF(INDEX('Per Invoice'!C$2:C$401,$U145)="","",INDEX('Per Invoice'!C$2:C$401,$U145)))</f>
        <v/>
      </c>
      <c r="D145">
        <f>IF($U145="","",IF(INDEX('Per Invoice'!D$2:D$401,$U145)="","",INDEX('Per Invoice'!D$2:D$401,$U145)))</f>
        <v/>
      </c>
      <c r="E145">
        <f>IF($U145="","",IF(INDEX('Per Invoice'!E$2:E$401,$U145)="","",INDEX('Per Invoice'!E$2:E$401,$U145)))</f>
        <v/>
      </c>
      <c r="F145">
        <f>IF($U145="","",IF(INDEX('Per Invoice'!F$2:F$401,$U145)="","",INDEX('Per Invoice'!F$2:F$401,$U145)))</f>
        <v/>
      </c>
      <c r="G145">
        <f>IF($U145="","",IF(INDEX('Per Invoice'!G$2:G$401,$U145)="","",INDEX('Per Invoice'!G$2:G$401,$U145)))</f>
        <v/>
      </c>
      <c r="H145" s="7">
        <f>IF($U145="","",IF(INDEX('Per Invoice'!H$2:H$401,$U145)="","",INDEX('Per Invoice'!H$2:H$401,$U145)))</f>
        <v/>
      </c>
      <c r="I145" s="14">
        <f>IF($U145="","",IF(INDEX('Per Invoice'!I$2:I$401,$U145)="","",INDEX('Per Invoice'!I$2:I$401,$U145)))</f>
        <v/>
      </c>
      <c r="J145">
        <f>IF($U145="","",IF(INDEX('Per Invoice'!J$2:J$401,$U145)="","",INDEX('Per Invoice'!J$2:J$401,$U145)))</f>
        <v/>
      </c>
      <c r="K145">
        <f>IF($U145="","",IF(INDEX('Per Invoice'!K$2:K$401,$U145)="","",INDEX('Per Invoice'!K$2:K$401,$U145)))</f>
        <v/>
      </c>
      <c r="L145" s="7">
        <f>IF($U145="","",IF(INDEX('Per Invoice'!L$2:L$401,$U145)="","",INDEX('Per Invoice'!L$2:L$401,$U145)))</f>
        <v/>
      </c>
      <c r="M145" s="7">
        <f>IF($U145="","",IF(INDEX('Per Invoice'!M$2:M$401,$U145)="","",INDEX('Per Invoice'!M$2:M$401,$U145)))</f>
        <v/>
      </c>
      <c r="N145">
        <f>IF($U145="","",IF(INDEX('Per Invoice'!N$2:N$401,$U145)="","",INDEX('Per Invoice'!N$2:N$401,$U145)))</f>
        <v/>
      </c>
      <c r="O145" s="7">
        <f>IF($U145="","",IF(INDEX('Per Invoice'!O$2:O$401,$U145)="","",INDEX('Per Invoice'!O$2:O$401,$U145)))</f>
        <v/>
      </c>
      <c r="P145" s="7">
        <f>IF($U145="","",IF(INDEX('Per Invoice'!P$2:P$401,$U145)="","",INDEX('Per Invoice'!P$2:P$401,$U145)))</f>
        <v/>
      </c>
      <c r="Q145" s="7">
        <f>IF($U145="","",IF(INDEX('Per Invoice'!Q$2:Q$401,$U145)="","",INDEX('Per Invoice'!Q$2:Q$401,$U145)))</f>
        <v/>
      </c>
      <c r="R145" s="7">
        <f>IF($U145="","",IF(INDEX('Per Invoice'!R$2:R$401,$U145)="","",INDEX('Per Invoice'!R$2:R$401,$U145)))</f>
        <v/>
      </c>
      <c r="S145" s="7">
        <f>IF($U145="","",IF(INDEX('Per Invoice'!S$2:S$401,$U145)="","",INDEX('Per Invoice'!S$2:S$401,$U145)))</f>
        <v/>
      </c>
      <c r="T145" s="7">
        <f>IF($U145="","",IF(INDEX('Per Invoice'!T$2:T$401,$U145)="","",INDEX('Per Invoice'!T$2:T$401,$U145)))</f>
        <v/>
      </c>
      <c r="U145" s="16">
        <f>IFERROR(MATCH(Settings!$C$29&amp;"|"&amp;ROWS($U$2:$U145),'Per Invoice'!$V$2:$V$401,0),"")</f>
        <v/>
      </c>
    </row>
    <row r="146">
      <c r="A146">
        <f>IF($U146="","",IF(INDEX('Per Invoice'!A$2:A$401,$U146)="","",INDEX('Per Invoice'!A$2:A$401,$U146)))</f>
        <v/>
      </c>
      <c r="B146">
        <f>IF($U146="","",IF(INDEX('Per Invoice'!B$2:B$401,$U146)="","",INDEX('Per Invoice'!B$2:B$401,$U146)))</f>
        <v/>
      </c>
      <c r="C146">
        <f>IF($U146="","",IF(INDEX('Per Invoice'!C$2:C$401,$U146)="","",INDEX('Per Invoice'!C$2:C$401,$U146)))</f>
        <v/>
      </c>
      <c r="D146">
        <f>IF($U146="","",IF(INDEX('Per Invoice'!D$2:D$401,$U146)="","",INDEX('Per Invoice'!D$2:D$401,$U146)))</f>
        <v/>
      </c>
      <c r="E146">
        <f>IF($U146="","",IF(INDEX('Per Invoice'!E$2:E$401,$U146)="","",INDEX('Per Invoice'!E$2:E$401,$U146)))</f>
        <v/>
      </c>
      <c r="F146">
        <f>IF($U146="","",IF(INDEX('Per Invoice'!F$2:F$401,$U146)="","",INDEX('Per Invoice'!F$2:F$401,$U146)))</f>
        <v/>
      </c>
      <c r="G146">
        <f>IF($U146="","",IF(INDEX('Per Invoice'!G$2:G$401,$U146)="","",INDEX('Per Invoice'!G$2:G$401,$U146)))</f>
        <v/>
      </c>
      <c r="H146" s="7">
        <f>IF($U146="","",IF(INDEX('Per Invoice'!H$2:H$401,$U146)="","",INDEX('Per Invoice'!H$2:H$401,$U146)))</f>
        <v/>
      </c>
      <c r="I146" s="14">
        <f>IF($U146="","",IF(INDEX('Per Invoice'!I$2:I$401,$U146)="","",INDEX('Per Invoice'!I$2:I$401,$U146)))</f>
        <v/>
      </c>
      <c r="J146">
        <f>IF($U146="","",IF(INDEX('Per Invoice'!J$2:J$401,$U146)="","",INDEX('Per Invoice'!J$2:J$401,$U146)))</f>
        <v/>
      </c>
      <c r="K146">
        <f>IF($U146="","",IF(INDEX('Per Invoice'!K$2:K$401,$U146)="","",INDEX('Per Invoice'!K$2:K$401,$U146)))</f>
        <v/>
      </c>
      <c r="L146" s="7">
        <f>IF($U146="","",IF(INDEX('Per Invoice'!L$2:L$401,$U146)="","",INDEX('Per Invoice'!L$2:L$401,$U146)))</f>
        <v/>
      </c>
      <c r="M146" s="7">
        <f>IF($U146="","",IF(INDEX('Per Invoice'!M$2:M$401,$U146)="","",INDEX('Per Invoice'!M$2:M$401,$U146)))</f>
        <v/>
      </c>
      <c r="N146">
        <f>IF($U146="","",IF(INDEX('Per Invoice'!N$2:N$401,$U146)="","",INDEX('Per Invoice'!N$2:N$401,$U146)))</f>
        <v/>
      </c>
      <c r="O146" s="7">
        <f>IF($U146="","",IF(INDEX('Per Invoice'!O$2:O$401,$U146)="","",INDEX('Per Invoice'!O$2:O$401,$U146)))</f>
        <v/>
      </c>
      <c r="P146" s="7">
        <f>IF($U146="","",IF(INDEX('Per Invoice'!P$2:P$401,$U146)="","",INDEX('Per Invoice'!P$2:P$401,$U146)))</f>
        <v/>
      </c>
      <c r="Q146" s="7">
        <f>IF($U146="","",IF(INDEX('Per Invoice'!Q$2:Q$401,$U146)="","",INDEX('Per Invoice'!Q$2:Q$401,$U146)))</f>
        <v/>
      </c>
      <c r="R146" s="7">
        <f>IF($U146="","",IF(INDEX('Per Invoice'!R$2:R$401,$U146)="","",INDEX('Per Invoice'!R$2:R$401,$U146)))</f>
        <v/>
      </c>
      <c r="S146" s="7">
        <f>IF($U146="","",IF(INDEX('Per Invoice'!S$2:S$401,$U146)="","",INDEX('Per Invoice'!S$2:S$401,$U146)))</f>
        <v/>
      </c>
      <c r="T146" s="7">
        <f>IF($U146="","",IF(INDEX('Per Invoice'!T$2:T$401,$U146)="","",INDEX('Per Invoice'!T$2:T$401,$U146)))</f>
        <v/>
      </c>
      <c r="U146" s="16">
        <f>IFERROR(MATCH(Settings!$C$29&amp;"|"&amp;ROWS($U$2:$U146),'Per Invoice'!$V$2:$V$401,0),"")</f>
        <v/>
      </c>
    </row>
    <row r="147">
      <c r="A147">
        <f>IF($U147="","",IF(INDEX('Per Invoice'!A$2:A$401,$U147)="","",INDEX('Per Invoice'!A$2:A$401,$U147)))</f>
        <v/>
      </c>
      <c r="B147">
        <f>IF($U147="","",IF(INDEX('Per Invoice'!B$2:B$401,$U147)="","",INDEX('Per Invoice'!B$2:B$401,$U147)))</f>
        <v/>
      </c>
      <c r="C147">
        <f>IF($U147="","",IF(INDEX('Per Invoice'!C$2:C$401,$U147)="","",INDEX('Per Invoice'!C$2:C$401,$U147)))</f>
        <v/>
      </c>
      <c r="D147">
        <f>IF($U147="","",IF(INDEX('Per Invoice'!D$2:D$401,$U147)="","",INDEX('Per Invoice'!D$2:D$401,$U147)))</f>
        <v/>
      </c>
      <c r="E147">
        <f>IF($U147="","",IF(INDEX('Per Invoice'!E$2:E$401,$U147)="","",INDEX('Per Invoice'!E$2:E$401,$U147)))</f>
        <v/>
      </c>
      <c r="F147">
        <f>IF($U147="","",IF(INDEX('Per Invoice'!F$2:F$401,$U147)="","",INDEX('Per Invoice'!F$2:F$401,$U147)))</f>
        <v/>
      </c>
      <c r="G147">
        <f>IF($U147="","",IF(INDEX('Per Invoice'!G$2:G$401,$U147)="","",INDEX('Per Invoice'!G$2:G$401,$U147)))</f>
        <v/>
      </c>
      <c r="H147" s="7">
        <f>IF($U147="","",IF(INDEX('Per Invoice'!H$2:H$401,$U147)="","",INDEX('Per Invoice'!H$2:H$401,$U147)))</f>
        <v/>
      </c>
      <c r="I147" s="14">
        <f>IF($U147="","",IF(INDEX('Per Invoice'!I$2:I$401,$U147)="","",INDEX('Per Invoice'!I$2:I$401,$U147)))</f>
        <v/>
      </c>
      <c r="J147">
        <f>IF($U147="","",IF(INDEX('Per Invoice'!J$2:J$401,$U147)="","",INDEX('Per Invoice'!J$2:J$401,$U147)))</f>
        <v/>
      </c>
      <c r="K147">
        <f>IF($U147="","",IF(INDEX('Per Invoice'!K$2:K$401,$U147)="","",INDEX('Per Invoice'!K$2:K$401,$U147)))</f>
        <v/>
      </c>
      <c r="L147" s="7">
        <f>IF($U147="","",IF(INDEX('Per Invoice'!L$2:L$401,$U147)="","",INDEX('Per Invoice'!L$2:L$401,$U147)))</f>
        <v/>
      </c>
      <c r="M147" s="7">
        <f>IF($U147="","",IF(INDEX('Per Invoice'!M$2:M$401,$U147)="","",INDEX('Per Invoice'!M$2:M$401,$U147)))</f>
        <v/>
      </c>
      <c r="N147">
        <f>IF($U147="","",IF(INDEX('Per Invoice'!N$2:N$401,$U147)="","",INDEX('Per Invoice'!N$2:N$401,$U147)))</f>
        <v/>
      </c>
      <c r="O147" s="7">
        <f>IF($U147="","",IF(INDEX('Per Invoice'!O$2:O$401,$U147)="","",INDEX('Per Invoice'!O$2:O$401,$U147)))</f>
        <v/>
      </c>
      <c r="P147" s="7">
        <f>IF($U147="","",IF(INDEX('Per Invoice'!P$2:P$401,$U147)="","",INDEX('Per Invoice'!P$2:P$401,$U147)))</f>
        <v/>
      </c>
      <c r="Q147" s="7">
        <f>IF($U147="","",IF(INDEX('Per Invoice'!Q$2:Q$401,$U147)="","",INDEX('Per Invoice'!Q$2:Q$401,$U147)))</f>
        <v/>
      </c>
      <c r="R147" s="7">
        <f>IF($U147="","",IF(INDEX('Per Invoice'!R$2:R$401,$U147)="","",INDEX('Per Invoice'!R$2:R$401,$U147)))</f>
        <v/>
      </c>
      <c r="S147" s="7">
        <f>IF($U147="","",IF(INDEX('Per Invoice'!S$2:S$401,$U147)="","",INDEX('Per Invoice'!S$2:S$401,$U147)))</f>
        <v/>
      </c>
      <c r="T147" s="7">
        <f>IF($U147="","",IF(INDEX('Per Invoice'!T$2:T$401,$U147)="","",INDEX('Per Invoice'!T$2:T$401,$U147)))</f>
        <v/>
      </c>
      <c r="U147" s="16">
        <f>IFERROR(MATCH(Settings!$C$29&amp;"|"&amp;ROWS($U$2:$U147),'Per Invoice'!$V$2:$V$401,0),"")</f>
        <v/>
      </c>
    </row>
    <row r="148">
      <c r="A148">
        <f>IF($U148="","",IF(INDEX('Per Invoice'!A$2:A$401,$U148)="","",INDEX('Per Invoice'!A$2:A$401,$U148)))</f>
        <v/>
      </c>
      <c r="B148">
        <f>IF($U148="","",IF(INDEX('Per Invoice'!B$2:B$401,$U148)="","",INDEX('Per Invoice'!B$2:B$401,$U148)))</f>
        <v/>
      </c>
      <c r="C148">
        <f>IF($U148="","",IF(INDEX('Per Invoice'!C$2:C$401,$U148)="","",INDEX('Per Invoice'!C$2:C$401,$U148)))</f>
        <v/>
      </c>
      <c r="D148">
        <f>IF($U148="","",IF(INDEX('Per Invoice'!D$2:D$401,$U148)="","",INDEX('Per Invoice'!D$2:D$401,$U148)))</f>
        <v/>
      </c>
      <c r="E148">
        <f>IF($U148="","",IF(INDEX('Per Invoice'!E$2:E$401,$U148)="","",INDEX('Per Invoice'!E$2:E$401,$U148)))</f>
        <v/>
      </c>
      <c r="F148">
        <f>IF($U148="","",IF(INDEX('Per Invoice'!F$2:F$401,$U148)="","",INDEX('Per Invoice'!F$2:F$401,$U148)))</f>
        <v/>
      </c>
      <c r="G148">
        <f>IF($U148="","",IF(INDEX('Per Invoice'!G$2:G$401,$U148)="","",INDEX('Per Invoice'!G$2:G$401,$U148)))</f>
        <v/>
      </c>
      <c r="H148" s="7">
        <f>IF($U148="","",IF(INDEX('Per Invoice'!H$2:H$401,$U148)="","",INDEX('Per Invoice'!H$2:H$401,$U148)))</f>
        <v/>
      </c>
      <c r="I148" s="14">
        <f>IF($U148="","",IF(INDEX('Per Invoice'!I$2:I$401,$U148)="","",INDEX('Per Invoice'!I$2:I$401,$U148)))</f>
        <v/>
      </c>
      <c r="J148">
        <f>IF($U148="","",IF(INDEX('Per Invoice'!J$2:J$401,$U148)="","",INDEX('Per Invoice'!J$2:J$401,$U148)))</f>
        <v/>
      </c>
      <c r="K148">
        <f>IF($U148="","",IF(INDEX('Per Invoice'!K$2:K$401,$U148)="","",INDEX('Per Invoice'!K$2:K$401,$U148)))</f>
        <v/>
      </c>
      <c r="L148" s="7">
        <f>IF($U148="","",IF(INDEX('Per Invoice'!L$2:L$401,$U148)="","",INDEX('Per Invoice'!L$2:L$401,$U148)))</f>
        <v/>
      </c>
      <c r="M148" s="7">
        <f>IF($U148="","",IF(INDEX('Per Invoice'!M$2:M$401,$U148)="","",INDEX('Per Invoice'!M$2:M$401,$U148)))</f>
        <v/>
      </c>
      <c r="N148">
        <f>IF($U148="","",IF(INDEX('Per Invoice'!N$2:N$401,$U148)="","",INDEX('Per Invoice'!N$2:N$401,$U148)))</f>
        <v/>
      </c>
      <c r="O148" s="7">
        <f>IF($U148="","",IF(INDEX('Per Invoice'!O$2:O$401,$U148)="","",INDEX('Per Invoice'!O$2:O$401,$U148)))</f>
        <v/>
      </c>
      <c r="P148" s="7">
        <f>IF($U148="","",IF(INDEX('Per Invoice'!P$2:P$401,$U148)="","",INDEX('Per Invoice'!P$2:P$401,$U148)))</f>
        <v/>
      </c>
      <c r="Q148" s="7">
        <f>IF($U148="","",IF(INDEX('Per Invoice'!Q$2:Q$401,$U148)="","",INDEX('Per Invoice'!Q$2:Q$401,$U148)))</f>
        <v/>
      </c>
      <c r="R148" s="7">
        <f>IF($U148="","",IF(INDEX('Per Invoice'!R$2:R$401,$U148)="","",INDEX('Per Invoice'!R$2:R$401,$U148)))</f>
        <v/>
      </c>
      <c r="S148" s="7">
        <f>IF($U148="","",IF(INDEX('Per Invoice'!S$2:S$401,$U148)="","",INDEX('Per Invoice'!S$2:S$401,$U148)))</f>
        <v/>
      </c>
      <c r="T148" s="7">
        <f>IF($U148="","",IF(INDEX('Per Invoice'!T$2:T$401,$U148)="","",INDEX('Per Invoice'!T$2:T$401,$U148)))</f>
        <v/>
      </c>
      <c r="U148" s="16">
        <f>IFERROR(MATCH(Settings!$C$29&amp;"|"&amp;ROWS($U$2:$U148),'Per Invoice'!$V$2:$V$401,0),"")</f>
        <v/>
      </c>
    </row>
    <row r="149">
      <c r="A149">
        <f>IF($U149="","",IF(INDEX('Per Invoice'!A$2:A$401,$U149)="","",INDEX('Per Invoice'!A$2:A$401,$U149)))</f>
        <v/>
      </c>
      <c r="B149">
        <f>IF($U149="","",IF(INDEX('Per Invoice'!B$2:B$401,$U149)="","",INDEX('Per Invoice'!B$2:B$401,$U149)))</f>
        <v/>
      </c>
      <c r="C149">
        <f>IF($U149="","",IF(INDEX('Per Invoice'!C$2:C$401,$U149)="","",INDEX('Per Invoice'!C$2:C$401,$U149)))</f>
        <v/>
      </c>
      <c r="D149">
        <f>IF($U149="","",IF(INDEX('Per Invoice'!D$2:D$401,$U149)="","",INDEX('Per Invoice'!D$2:D$401,$U149)))</f>
        <v/>
      </c>
      <c r="E149">
        <f>IF($U149="","",IF(INDEX('Per Invoice'!E$2:E$401,$U149)="","",INDEX('Per Invoice'!E$2:E$401,$U149)))</f>
        <v/>
      </c>
      <c r="F149">
        <f>IF($U149="","",IF(INDEX('Per Invoice'!F$2:F$401,$U149)="","",INDEX('Per Invoice'!F$2:F$401,$U149)))</f>
        <v/>
      </c>
      <c r="G149">
        <f>IF($U149="","",IF(INDEX('Per Invoice'!G$2:G$401,$U149)="","",INDEX('Per Invoice'!G$2:G$401,$U149)))</f>
        <v/>
      </c>
      <c r="H149" s="7">
        <f>IF($U149="","",IF(INDEX('Per Invoice'!H$2:H$401,$U149)="","",INDEX('Per Invoice'!H$2:H$401,$U149)))</f>
        <v/>
      </c>
      <c r="I149" s="14">
        <f>IF($U149="","",IF(INDEX('Per Invoice'!I$2:I$401,$U149)="","",INDEX('Per Invoice'!I$2:I$401,$U149)))</f>
        <v/>
      </c>
      <c r="J149">
        <f>IF($U149="","",IF(INDEX('Per Invoice'!J$2:J$401,$U149)="","",INDEX('Per Invoice'!J$2:J$401,$U149)))</f>
        <v/>
      </c>
      <c r="K149">
        <f>IF($U149="","",IF(INDEX('Per Invoice'!K$2:K$401,$U149)="","",INDEX('Per Invoice'!K$2:K$401,$U149)))</f>
        <v/>
      </c>
      <c r="L149" s="7">
        <f>IF($U149="","",IF(INDEX('Per Invoice'!L$2:L$401,$U149)="","",INDEX('Per Invoice'!L$2:L$401,$U149)))</f>
        <v/>
      </c>
      <c r="M149" s="7">
        <f>IF($U149="","",IF(INDEX('Per Invoice'!M$2:M$401,$U149)="","",INDEX('Per Invoice'!M$2:M$401,$U149)))</f>
        <v/>
      </c>
      <c r="N149">
        <f>IF($U149="","",IF(INDEX('Per Invoice'!N$2:N$401,$U149)="","",INDEX('Per Invoice'!N$2:N$401,$U149)))</f>
        <v/>
      </c>
      <c r="O149" s="7">
        <f>IF($U149="","",IF(INDEX('Per Invoice'!O$2:O$401,$U149)="","",INDEX('Per Invoice'!O$2:O$401,$U149)))</f>
        <v/>
      </c>
      <c r="P149" s="7">
        <f>IF($U149="","",IF(INDEX('Per Invoice'!P$2:P$401,$U149)="","",INDEX('Per Invoice'!P$2:P$401,$U149)))</f>
        <v/>
      </c>
      <c r="Q149" s="7">
        <f>IF($U149="","",IF(INDEX('Per Invoice'!Q$2:Q$401,$U149)="","",INDEX('Per Invoice'!Q$2:Q$401,$U149)))</f>
        <v/>
      </c>
      <c r="R149" s="7">
        <f>IF($U149="","",IF(INDEX('Per Invoice'!R$2:R$401,$U149)="","",INDEX('Per Invoice'!R$2:R$401,$U149)))</f>
        <v/>
      </c>
      <c r="S149" s="7">
        <f>IF($U149="","",IF(INDEX('Per Invoice'!S$2:S$401,$U149)="","",INDEX('Per Invoice'!S$2:S$401,$U149)))</f>
        <v/>
      </c>
      <c r="T149" s="7">
        <f>IF($U149="","",IF(INDEX('Per Invoice'!T$2:T$401,$U149)="","",INDEX('Per Invoice'!T$2:T$401,$U149)))</f>
        <v/>
      </c>
      <c r="U149" s="16">
        <f>IFERROR(MATCH(Settings!$C$29&amp;"|"&amp;ROWS($U$2:$U149),'Per Invoice'!$V$2:$V$401,0),"")</f>
        <v/>
      </c>
    </row>
    <row r="150">
      <c r="A150">
        <f>IF($U150="","",IF(INDEX('Per Invoice'!A$2:A$401,$U150)="","",INDEX('Per Invoice'!A$2:A$401,$U150)))</f>
        <v/>
      </c>
      <c r="B150">
        <f>IF($U150="","",IF(INDEX('Per Invoice'!B$2:B$401,$U150)="","",INDEX('Per Invoice'!B$2:B$401,$U150)))</f>
        <v/>
      </c>
      <c r="C150">
        <f>IF($U150="","",IF(INDEX('Per Invoice'!C$2:C$401,$U150)="","",INDEX('Per Invoice'!C$2:C$401,$U150)))</f>
        <v/>
      </c>
      <c r="D150">
        <f>IF($U150="","",IF(INDEX('Per Invoice'!D$2:D$401,$U150)="","",INDEX('Per Invoice'!D$2:D$401,$U150)))</f>
        <v/>
      </c>
      <c r="E150">
        <f>IF($U150="","",IF(INDEX('Per Invoice'!E$2:E$401,$U150)="","",INDEX('Per Invoice'!E$2:E$401,$U150)))</f>
        <v/>
      </c>
      <c r="F150">
        <f>IF($U150="","",IF(INDEX('Per Invoice'!F$2:F$401,$U150)="","",INDEX('Per Invoice'!F$2:F$401,$U150)))</f>
        <v/>
      </c>
      <c r="G150">
        <f>IF($U150="","",IF(INDEX('Per Invoice'!G$2:G$401,$U150)="","",INDEX('Per Invoice'!G$2:G$401,$U150)))</f>
        <v/>
      </c>
      <c r="H150" s="7">
        <f>IF($U150="","",IF(INDEX('Per Invoice'!H$2:H$401,$U150)="","",INDEX('Per Invoice'!H$2:H$401,$U150)))</f>
        <v/>
      </c>
      <c r="I150" s="14">
        <f>IF($U150="","",IF(INDEX('Per Invoice'!I$2:I$401,$U150)="","",INDEX('Per Invoice'!I$2:I$401,$U150)))</f>
        <v/>
      </c>
      <c r="J150">
        <f>IF($U150="","",IF(INDEX('Per Invoice'!J$2:J$401,$U150)="","",INDEX('Per Invoice'!J$2:J$401,$U150)))</f>
        <v/>
      </c>
      <c r="K150">
        <f>IF($U150="","",IF(INDEX('Per Invoice'!K$2:K$401,$U150)="","",INDEX('Per Invoice'!K$2:K$401,$U150)))</f>
        <v/>
      </c>
      <c r="L150" s="7">
        <f>IF($U150="","",IF(INDEX('Per Invoice'!L$2:L$401,$U150)="","",INDEX('Per Invoice'!L$2:L$401,$U150)))</f>
        <v/>
      </c>
      <c r="M150" s="7">
        <f>IF($U150="","",IF(INDEX('Per Invoice'!M$2:M$401,$U150)="","",INDEX('Per Invoice'!M$2:M$401,$U150)))</f>
        <v/>
      </c>
      <c r="N150">
        <f>IF($U150="","",IF(INDEX('Per Invoice'!N$2:N$401,$U150)="","",INDEX('Per Invoice'!N$2:N$401,$U150)))</f>
        <v/>
      </c>
      <c r="O150" s="7">
        <f>IF($U150="","",IF(INDEX('Per Invoice'!O$2:O$401,$U150)="","",INDEX('Per Invoice'!O$2:O$401,$U150)))</f>
        <v/>
      </c>
      <c r="P150" s="7">
        <f>IF($U150="","",IF(INDEX('Per Invoice'!P$2:P$401,$U150)="","",INDEX('Per Invoice'!P$2:P$401,$U150)))</f>
        <v/>
      </c>
      <c r="Q150" s="7">
        <f>IF($U150="","",IF(INDEX('Per Invoice'!Q$2:Q$401,$U150)="","",INDEX('Per Invoice'!Q$2:Q$401,$U150)))</f>
        <v/>
      </c>
      <c r="R150" s="7">
        <f>IF($U150="","",IF(INDEX('Per Invoice'!R$2:R$401,$U150)="","",INDEX('Per Invoice'!R$2:R$401,$U150)))</f>
        <v/>
      </c>
      <c r="S150" s="7">
        <f>IF($U150="","",IF(INDEX('Per Invoice'!S$2:S$401,$U150)="","",INDEX('Per Invoice'!S$2:S$401,$U150)))</f>
        <v/>
      </c>
      <c r="T150" s="7">
        <f>IF($U150="","",IF(INDEX('Per Invoice'!T$2:T$401,$U150)="","",INDEX('Per Invoice'!T$2:T$401,$U150)))</f>
        <v/>
      </c>
      <c r="U150" s="16">
        <f>IFERROR(MATCH(Settings!$C$29&amp;"|"&amp;ROWS($U$2:$U150),'Per Invoice'!$V$2:$V$401,0),"")</f>
        <v/>
      </c>
    </row>
    <row r="151">
      <c r="A151">
        <f>IF($U151="","",IF(INDEX('Per Invoice'!A$2:A$401,$U151)="","",INDEX('Per Invoice'!A$2:A$401,$U151)))</f>
        <v/>
      </c>
      <c r="B151">
        <f>IF($U151="","",IF(INDEX('Per Invoice'!B$2:B$401,$U151)="","",INDEX('Per Invoice'!B$2:B$401,$U151)))</f>
        <v/>
      </c>
      <c r="C151">
        <f>IF($U151="","",IF(INDEX('Per Invoice'!C$2:C$401,$U151)="","",INDEX('Per Invoice'!C$2:C$401,$U151)))</f>
        <v/>
      </c>
      <c r="D151">
        <f>IF($U151="","",IF(INDEX('Per Invoice'!D$2:D$401,$U151)="","",INDEX('Per Invoice'!D$2:D$401,$U151)))</f>
        <v/>
      </c>
      <c r="E151">
        <f>IF($U151="","",IF(INDEX('Per Invoice'!E$2:E$401,$U151)="","",INDEX('Per Invoice'!E$2:E$401,$U151)))</f>
        <v/>
      </c>
      <c r="F151">
        <f>IF($U151="","",IF(INDEX('Per Invoice'!F$2:F$401,$U151)="","",INDEX('Per Invoice'!F$2:F$401,$U151)))</f>
        <v/>
      </c>
      <c r="G151">
        <f>IF($U151="","",IF(INDEX('Per Invoice'!G$2:G$401,$U151)="","",INDEX('Per Invoice'!G$2:G$401,$U151)))</f>
        <v/>
      </c>
      <c r="H151" s="7">
        <f>IF($U151="","",IF(INDEX('Per Invoice'!H$2:H$401,$U151)="","",INDEX('Per Invoice'!H$2:H$401,$U151)))</f>
        <v/>
      </c>
      <c r="I151" s="14">
        <f>IF($U151="","",IF(INDEX('Per Invoice'!I$2:I$401,$U151)="","",INDEX('Per Invoice'!I$2:I$401,$U151)))</f>
        <v/>
      </c>
      <c r="J151">
        <f>IF($U151="","",IF(INDEX('Per Invoice'!J$2:J$401,$U151)="","",INDEX('Per Invoice'!J$2:J$401,$U151)))</f>
        <v/>
      </c>
      <c r="K151">
        <f>IF($U151="","",IF(INDEX('Per Invoice'!K$2:K$401,$U151)="","",INDEX('Per Invoice'!K$2:K$401,$U151)))</f>
        <v/>
      </c>
      <c r="L151" s="7">
        <f>IF($U151="","",IF(INDEX('Per Invoice'!L$2:L$401,$U151)="","",INDEX('Per Invoice'!L$2:L$401,$U151)))</f>
        <v/>
      </c>
      <c r="M151" s="7">
        <f>IF($U151="","",IF(INDEX('Per Invoice'!M$2:M$401,$U151)="","",INDEX('Per Invoice'!M$2:M$401,$U151)))</f>
        <v/>
      </c>
      <c r="N151">
        <f>IF($U151="","",IF(INDEX('Per Invoice'!N$2:N$401,$U151)="","",INDEX('Per Invoice'!N$2:N$401,$U151)))</f>
        <v/>
      </c>
      <c r="O151" s="7">
        <f>IF($U151="","",IF(INDEX('Per Invoice'!O$2:O$401,$U151)="","",INDEX('Per Invoice'!O$2:O$401,$U151)))</f>
        <v/>
      </c>
      <c r="P151" s="7">
        <f>IF($U151="","",IF(INDEX('Per Invoice'!P$2:P$401,$U151)="","",INDEX('Per Invoice'!P$2:P$401,$U151)))</f>
        <v/>
      </c>
      <c r="Q151" s="7">
        <f>IF($U151="","",IF(INDEX('Per Invoice'!Q$2:Q$401,$U151)="","",INDEX('Per Invoice'!Q$2:Q$401,$U151)))</f>
        <v/>
      </c>
      <c r="R151" s="7">
        <f>IF($U151="","",IF(INDEX('Per Invoice'!R$2:R$401,$U151)="","",INDEX('Per Invoice'!R$2:R$401,$U151)))</f>
        <v/>
      </c>
      <c r="S151" s="7">
        <f>IF($U151="","",IF(INDEX('Per Invoice'!S$2:S$401,$U151)="","",INDEX('Per Invoice'!S$2:S$401,$U151)))</f>
        <v/>
      </c>
      <c r="T151" s="7">
        <f>IF($U151="","",IF(INDEX('Per Invoice'!T$2:T$401,$U151)="","",INDEX('Per Invoice'!T$2:T$401,$U151)))</f>
        <v/>
      </c>
      <c r="U151" s="16">
        <f>IFERROR(MATCH(Settings!$C$29&amp;"|"&amp;ROWS($U$2:$U151),'Per Invoice'!$V$2:$V$401,0),"")</f>
        <v/>
      </c>
    </row>
    <row r="152">
      <c r="A152">
        <f>IF($U152="","",IF(INDEX('Per Invoice'!A$2:A$401,$U152)="","",INDEX('Per Invoice'!A$2:A$401,$U152)))</f>
        <v/>
      </c>
      <c r="B152">
        <f>IF($U152="","",IF(INDEX('Per Invoice'!B$2:B$401,$U152)="","",INDEX('Per Invoice'!B$2:B$401,$U152)))</f>
        <v/>
      </c>
      <c r="C152">
        <f>IF($U152="","",IF(INDEX('Per Invoice'!C$2:C$401,$U152)="","",INDEX('Per Invoice'!C$2:C$401,$U152)))</f>
        <v/>
      </c>
      <c r="D152">
        <f>IF($U152="","",IF(INDEX('Per Invoice'!D$2:D$401,$U152)="","",INDEX('Per Invoice'!D$2:D$401,$U152)))</f>
        <v/>
      </c>
      <c r="E152">
        <f>IF($U152="","",IF(INDEX('Per Invoice'!E$2:E$401,$U152)="","",INDEX('Per Invoice'!E$2:E$401,$U152)))</f>
        <v/>
      </c>
      <c r="F152">
        <f>IF($U152="","",IF(INDEX('Per Invoice'!F$2:F$401,$U152)="","",INDEX('Per Invoice'!F$2:F$401,$U152)))</f>
        <v/>
      </c>
      <c r="G152">
        <f>IF($U152="","",IF(INDEX('Per Invoice'!G$2:G$401,$U152)="","",INDEX('Per Invoice'!G$2:G$401,$U152)))</f>
        <v/>
      </c>
      <c r="H152" s="7">
        <f>IF($U152="","",IF(INDEX('Per Invoice'!H$2:H$401,$U152)="","",INDEX('Per Invoice'!H$2:H$401,$U152)))</f>
        <v/>
      </c>
      <c r="I152" s="14">
        <f>IF($U152="","",IF(INDEX('Per Invoice'!I$2:I$401,$U152)="","",INDEX('Per Invoice'!I$2:I$401,$U152)))</f>
        <v/>
      </c>
      <c r="J152">
        <f>IF($U152="","",IF(INDEX('Per Invoice'!J$2:J$401,$U152)="","",INDEX('Per Invoice'!J$2:J$401,$U152)))</f>
        <v/>
      </c>
      <c r="K152">
        <f>IF($U152="","",IF(INDEX('Per Invoice'!K$2:K$401,$U152)="","",INDEX('Per Invoice'!K$2:K$401,$U152)))</f>
        <v/>
      </c>
      <c r="L152" s="7">
        <f>IF($U152="","",IF(INDEX('Per Invoice'!L$2:L$401,$U152)="","",INDEX('Per Invoice'!L$2:L$401,$U152)))</f>
        <v/>
      </c>
      <c r="M152" s="7">
        <f>IF($U152="","",IF(INDEX('Per Invoice'!M$2:M$401,$U152)="","",INDEX('Per Invoice'!M$2:M$401,$U152)))</f>
        <v/>
      </c>
      <c r="N152">
        <f>IF($U152="","",IF(INDEX('Per Invoice'!N$2:N$401,$U152)="","",INDEX('Per Invoice'!N$2:N$401,$U152)))</f>
        <v/>
      </c>
      <c r="O152" s="7">
        <f>IF($U152="","",IF(INDEX('Per Invoice'!O$2:O$401,$U152)="","",INDEX('Per Invoice'!O$2:O$401,$U152)))</f>
        <v/>
      </c>
      <c r="P152" s="7">
        <f>IF($U152="","",IF(INDEX('Per Invoice'!P$2:P$401,$U152)="","",INDEX('Per Invoice'!P$2:P$401,$U152)))</f>
        <v/>
      </c>
      <c r="Q152" s="7">
        <f>IF($U152="","",IF(INDEX('Per Invoice'!Q$2:Q$401,$U152)="","",INDEX('Per Invoice'!Q$2:Q$401,$U152)))</f>
        <v/>
      </c>
      <c r="R152" s="7">
        <f>IF($U152="","",IF(INDEX('Per Invoice'!R$2:R$401,$U152)="","",INDEX('Per Invoice'!R$2:R$401,$U152)))</f>
        <v/>
      </c>
      <c r="S152" s="7">
        <f>IF($U152="","",IF(INDEX('Per Invoice'!S$2:S$401,$U152)="","",INDEX('Per Invoice'!S$2:S$401,$U152)))</f>
        <v/>
      </c>
      <c r="T152" s="7">
        <f>IF($U152="","",IF(INDEX('Per Invoice'!T$2:T$401,$U152)="","",INDEX('Per Invoice'!T$2:T$401,$U152)))</f>
        <v/>
      </c>
      <c r="U152" s="16">
        <f>IFERROR(MATCH(Settings!$C$29&amp;"|"&amp;ROWS($U$2:$U152),'Per Invoice'!$V$2:$V$401,0),"")</f>
        <v/>
      </c>
    </row>
    <row r="153">
      <c r="A153">
        <f>IF($U153="","",IF(INDEX('Per Invoice'!A$2:A$401,$U153)="","",INDEX('Per Invoice'!A$2:A$401,$U153)))</f>
        <v/>
      </c>
      <c r="B153">
        <f>IF($U153="","",IF(INDEX('Per Invoice'!B$2:B$401,$U153)="","",INDEX('Per Invoice'!B$2:B$401,$U153)))</f>
        <v/>
      </c>
      <c r="C153">
        <f>IF($U153="","",IF(INDEX('Per Invoice'!C$2:C$401,$U153)="","",INDEX('Per Invoice'!C$2:C$401,$U153)))</f>
        <v/>
      </c>
      <c r="D153">
        <f>IF($U153="","",IF(INDEX('Per Invoice'!D$2:D$401,$U153)="","",INDEX('Per Invoice'!D$2:D$401,$U153)))</f>
        <v/>
      </c>
      <c r="E153">
        <f>IF($U153="","",IF(INDEX('Per Invoice'!E$2:E$401,$U153)="","",INDEX('Per Invoice'!E$2:E$401,$U153)))</f>
        <v/>
      </c>
      <c r="F153">
        <f>IF($U153="","",IF(INDEX('Per Invoice'!F$2:F$401,$U153)="","",INDEX('Per Invoice'!F$2:F$401,$U153)))</f>
        <v/>
      </c>
      <c r="G153">
        <f>IF($U153="","",IF(INDEX('Per Invoice'!G$2:G$401,$U153)="","",INDEX('Per Invoice'!G$2:G$401,$U153)))</f>
        <v/>
      </c>
      <c r="H153" s="7">
        <f>IF($U153="","",IF(INDEX('Per Invoice'!H$2:H$401,$U153)="","",INDEX('Per Invoice'!H$2:H$401,$U153)))</f>
        <v/>
      </c>
      <c r="I153" s="14">
        <f>IF($U153="","",IF(INDEX('Per Invoice'!I$2:I$401,$U153)="","",INDEX('Per Invoice'!I$2:I$401,$U153)))</f>
        <v/>
      </c>
      <c r="J153">
        <f>IF($U153="","",IF(INDEX('Per Invoice'!J$2:J$401,$U153)="","",INDEX('Per Invoice'!J$2:J$401,$U153)))</f>
        <v/>
      </c>
      <c r="K153">
        <f>IF($U153="","",IF(INDEX('Per Invoice'!K$2:K$401,$U153)="","",INDEX('Per Invoice'!K$2:K$401,$U153)))</f>
        <v/>
      </c>
      <c r="L153" s="7">
        <f>IF($U153="","",IF(INDEX('Per Invoice'!L$2:L$401,$U153)="","",INDEX('Per Invoice'!L$2:L$401,$U153)))</f>
        <v/>
      </c>
      <c r="M153" s="7">
        <f>IF($U153="","",IF(INDEX('Per Invoice'!M$2:M$401,$U153)="","",INDEX('Per Invoice'!M$2:M$401,$U153)))</f>
        <v/>
      </c>
      <c r="N153">
        <f>IF($U153="","",IF(INDEX('Per Invoice'!N$2:N$401,$U153)="","",INDEX('Per Invoice'!N$2:N$401,$U153)))</f>
        <v/>
      </c>
      <c r="O153" s="7">
        <f>IF($U153="","",IF(INDEX('Per Invoice'!O$2:O$401,$U153)="","",INDEX('Per Invoice'!O$2:O$401,$U153)))</f>
        <v/>
      </c>
      <c r="P153" s="7">
        <f>IF($U153="","",IF(INDEX('Per Invoice'!P$2:P$401,$U153)="","",INDEX('Per Invoice'!P$2:P$401,$U153)))</f>
        <v/>
      </c>
      <c r="Q153" s="7">
        <f>IF($U153="","",IF(INDEX('Per Invoice'!Q$2:Q$401,$U153)="","",INDEX('Per Invoice'!Q$2:Q$401,$U153)))</f>
        <v/>
      </c>
      <c r="R153" s="7">
        <f>IF($U153="","",IF(INDEX('Per Invoice'!R$2:R$401,$U153)="","",INDEX('Per Invoice'!R$2:R$401,$U153)))</f>
        <v/>
      </c>
      <c r="S153" s="7">
        <f>IF($U153="","",IF(INDEX('Per Invoice'!S$2:S$401,$U153)="","",INDEX('Per Invoice'!S$2:S$401,$U153)))</f>
        <v/>
      </c>
      <c r="T153" s="7">
        <f>IF($U153="","",IF(INDEX('Per Invoice'!T$2:T$401,$U153)="","",INDEX('Per Invoice'!T$2:T$401,$U153)))</f>
        <v/>
      </c>
      <c r="U153" s="16">
        <f>IFERROR(MATCH(Settings!$C$29&amp;"|"&amp;ROWS($U$2:$U153),'Per Invoice'!$V$2:$V$401,0),"")</f>
        <v/>
      </c>
    </row>
    <row r="154">
      <c r="A154">
        <f>IF($U154="","",IF(INDEX('Per Invoice'!A$2:A$401,$U154)="","",INDEX('Per Invoice'!A$2:A$401,$U154)))</f>
        <v/>
      </c>
      <c r="B154">
        <f>IF($U154="","",IF(INDEX('Per Invoice'!B$2:B$401,$U154)="","",INDEX('Per Invoice'!B$2:B$401,$U154)))</f>
        <v/>
      </c>
      <c r="C154">
        <f>IF($U154="","",IF(INDEX('Per Invoice'!C$2:C$401,$U154)="","",INDEX('Per Invoice'!C$2:C$401,$U154)))</f>
        <v/>
      </c>
      <c r="D154">
        <f>IF($U154="","",IF(INDEX('Per Invoice'!D$2:D$401,$U154)="","",INDEX('Per Invoice'!D$2:D$401,$U154)))</f>
        <v/>
      </c>
      <c r="E154">
        <f>IF($U154="","",IF(INDEX('Per Invoice'!E$2:E$401,$U154)="","",INDEX('Per Invoice'!E$2:E$401,$U154)))</f>
        <v/>
      </c>
      <c r="F154">
        <f>IF($U154="","",IF(INDEX('Per Invoice'!F$2:F$401,$U154)="","",INDEX('Per Invoice'!F$2:F$401,$U154)))</f>
        <v/>
      </c>
      <c r="G154">
        <f>IF($U154="","",IF(INDEX('Per Invoice'!G$2:G$401,$U154)="","",INDEX('Per Invoice'!G$2:G$401,$U154)))</f>
        <v/>
      </c>
      <c r="H154" s="7">
        <f>IF($U154="","",IF(INDEX('Per Invoice'!H$2:H$401,$U154)="","",INDEX('Per Invoice'!H$2:H$401,$U154)))</f>
        <v/>
      </c>
      <c r="I154" s="14">
        <f>IF($U154="","",IF(INDEX('Per Invoice'!I$2:I$401,$U154)="","",INDEX('Per Invoice'!I$2:I$401,$U154)))</f>
        <v/>
      </c>
      <c r="J154">
        <f>IF($U154="","",IF(INDEX('Per Invoice'!J$2:J$401,$U154)="","",INDEX('Per Invoice'!J$2:J$401,$U154)))</f>
        <v/>
      </c>
      <c r="K154">
        <f>IF($U154="","",IF(INDEX('Per Invoice'!K$2:K$401,$U154)="","",INDEX('Per Invoice'!K$2:K$401,$U154)))</f>
        <v/>
      </c>
      <c r="L154" s="7">
        <f>IF($U154="","",IF(INDEX('Per Invoice'!L$2:L$401,$U154)="","",INDEX('Per Invoice'!L$2:L$401,$U154)))</f>
        <v/>
      </c>
      <c r="M154" s="7">
        <f>IF($U154="","",IF(INDEX('Per Invoice'!M$2:M$401,$U154)="","",INDEX('Per Invoice'!M$2:M$401,$U154)))</f>
        <v/>
      </c>
      <c r="N154">
        <f>IF($U154="","",IF(INDEX('Per Invoice'!N$2:N$401,$U154)="","",INDEX('Per Invoice'!N$2:N$401,$U154)))</f>
        <v/>
      </c>
      <c r="O154" s="7">
        <f>IF($U154="","",IF(INDEX('Per Invoice'!O$2:O$401,$U154)="","",INDEX('Per Invoice'!O$2:O$401,$U154)))</f>
        <v/>
      </c>
      <c r="P154" s="7">
        <f>IF($U154="","",IF(INDEX('Per Invoice'!P$2:P$401,$U154)="","",INDEX('Per Invoice'!P$2:P$401,$U154)))</f>
        <v/>
      </c>
      <c r="Q154" s="7">
        <f>IF($U154="","",IF(INDEX('Per Invoice'!Q$2:Q$401,$U154)="","",INDEX('Per Invoice'!Q$2:Q$401,$U154)))</f>
        <v/>
      </c>
      <c r="R154" s="7">
        <f>IF($U154="","",IF(INDEX('Per Invoice'!R$2:R$401,$U154)="","",INDEX('Per Invoice'!R$2:R$401,$U154)))</f>
        <v/>
      </c>
      <c r="S154" s="7">
        <f>IF($U154="","",IF(INDEX('Per Invoice'!S$2:S$401,$U154)="","",INDEX('Per Invoice'!S$2:S$401,$U154)))</f>
        <v/>
      </c>
      <c r="T154" s="7">
        <f>IF($U154="","",IF(INDEX('Per Invoice'!T$2:T$401,$U154)="","",INDEX('Per Invoice'!T$2:T$401,$U154)))</f>
        <v/>
      </c>
      <c r="U154" s="16">
        <f>IFERROR(MATCH(Settings!$C$29&amp;"|"&amp;ROWS($U$2:$U154),'Per Invoice'!$V$2:$V$401,0),"")</f>
        <v/>
      </c>
    </row>
    <row r="155">
      <c r="A155">
        <f>IF($U155="","",IF(INDEX('Per Invoice'!A$2:A$401,$U155)="","",INDEX('Per Invoice'!A$2:A$401,$U155)))</f>
        <v/>
      </c>
      <c r="B155">
        <f>IF($U155="","",IF(INDEX('Per Invoice'!B$2:B$401,$U155)="","",INDEX('Per Invoice'!B$2:B$401,$U155)))</f>
        <v/>
      </c>
      <c r="C155">
        <f>IF($U155="","",IF(INDEX('Per Invoice'!C$2:C$401,$U155)="","",INDEX('Per Invoice'!C$2:C$401,$U155)))</f>
        <v/>
      </c>
      <c r="D155">
        <f>IF($U155="","",IF(INDEX('Per Invoice'!D$2:D$401,$U155)="","",INDEX('Per Invoice'!D$2:D$401,$U155)))</f>
        <v/>
      </c>
      <c r="E155">
        <f>IF($U155="","",IF(INDEX('Per Invoice'!E$2:E$401,$U155)="","",INDEX('Per Invoice'!E$2:E$401,$U155)))</f>
        <v/>
      </c>
      <c r="F155">
        <f>IF($U155="","",IF(INDEX('Per Invoice'!F$2:F$401,$U155)="","",INDEX('Per Invoice'!F$2:F$401,$U155)))</f>
        <v/>
      </c>
      <c r="G155">
        <f>IF($U155="","",IF(INDEX('Per Invoice'!G$2:G$401,$U155)="","",INDEX('Per Invoice'!G$2:G$401,$U155)))</f>
        <v/>
      </c>
      <c r="H155" s="7">
        <f>IF($U155="","",IF(INDEX('Per Invoice'!H$2:H$401,$U155)="","",INDEX('Per Invoice'!H$2:H$401,$U155)))</f>
        <v/>
      </c>
      <c r="I155" s="14">
        <f>IF($U155="","",IF(INDEX('Per Invoice'!I$2:I$401,$U155)="","",INDEX('Per Invoice'!I$2:I$401,$U155)))</f>
        <v/>
      </c>
      <c r="J155">
        <f>IF($U155="","",IF(INDEX('Per Invoice'!J$2:J$401,$U155)="","",INDEX('Per Invoice'!J$2:J$401,$U155)))</f>
        <v/>
      </c>
      <c r="K155">
        <f>IF($U155="","",IF(INDEX('Per Invoice'!K$2:K$401,$U155)="","",INDEX('Per Invoice'!K$2:K$401,$U155)))</f>
        <v/>
      </c>
      <c r="L155" s="7">
        <f>IF($U155="","",IF(INDEX('Per Invoice'!L$2:L$401,$U155)="","",INDEX('Per Invoice'!L$2:L$401,$U155)))</f>
        <v/>
      </c>
      <c r="M155" s="7">
        <f>IF($U155="","",IF(INDEX('Per Invoice'!M$2:M$401,$U155)="","",INDEX('Per Invoice'!M$2:M$401,$U155)))</f>
        <v/>
      </c>
      <c r="N155">
        <f>IF($U155="","",IF(INDEX('Per Invoice'!N$2:N$401,$U155)="","",INDEX('Per Invoice'!N$2:N$401,$U155)))</f>
        <v/>
      </c>
      <c r="O155" s="7">
        <f>IF($U155="","",IF(INDEX('Per Invoice'!O$2:O$401,$U155)="","",INDEX('Per Invoice'!O$2:O$401,$U155)))</f>
        <v/>
      </c>
      <c r="P155" s="7">
        <f>IF($U155="","",IF(INDEX('Per Invoice'!P$2:P$401,$U155)="","",INDEX('Per Invoice'!P$2:P$401,$U155)))</f>
        <v/>
      </c>
      <c r="Q155" s="7">
        <f>IF($U155="","",IF(INDEX('Per Invoice'!Q$2:Q$401,$U155)="","",INDEX('Per Invoice'!Q$2:Q$401,$U155)))</f>
        <v/>
      </c>
      <c r="R155" s="7">
        <f>IF($U155="","",IF(INDEX('Per Invoice'!R$2:R$401,$U155)="","",INDEX('Per Invoice'!R$2:R$401,$U155)))</f>
        <v/>
      </c>
      <c r="S155" s="7">
        <f>IF($U155="","",IF(INDEX('Per Invoice'!S$2:S$401,$U155)="","",INDEX('Per Invoice'!S$2:S$401,$U155)))</f>
        <v/>
      </c>
      <c r="T155" s="7">
        <f>IF($U155="","",IF(INDEX('Per Invoice'!T$2:T$401,$U155)="","",INDEX('Per Invoice'!T$2:T$401,$U155)))</f>
        <v/>
      </c>
      <c r="U155" s="16">
        <f>IFERROR(MATCH(Settings!$C$29&amp;"|"&amp;ROWS($U$2:$U155),'Per Invoice'!$V$2:$V$401,0),"")</f>
        <v/>
      </c>
    </row>
    <row r="156">
      <c r="A156">
        <f>IF($U156="","",IF(INDEX('Per Invoice'!A$2:A$401,$U156)="","",INDEX('Per Invoice'!A$2:A$401,$U156)))</f>
        <v/>
      </c>
      <c r="B156">
        <f>IF($U156="","",IF(INDEX('Per Invoice'!B$2:B$401,$U156)="","",INDEX('Per Invoice'!B$2:B$401,$U156)))</f>
        <v/>
      </c>
      <c r="C156">
        <f>IF($U156="","",IF(INDEX('Per Invoice'!C$2:C$401,$U156)="","",INDEX('Per Invoice'!C$2:C$401,$U156)))</f>
        <v/>
      </c>
      <c r="D156">
        <f>IF($U156="","",IF(INDEX('Per Invoice'!D$2:D$401,$U156)="","",INDEX('Per Invoice'!D$2:D$401,$U156)))</f>
        <v/>
      </c>
      <c r="E156">
        <f>IF($U156="","",IF(INDEX('Per Invoice'!E$2:E$401,$U156)="","",INDEX('Per Invoice'!E$2:E$401,$U156)))</f>
        <v/>
      </c>
      <c r="F156">
        <f>IF($U156="","",IF(INDEX('Per Invoice'!F$2:F$401,$U156)="","",INDEX('Per Invoice'!F$2:F$401,$U156)))</f>
        <v/>
      </c>
      <c r="G156">
        <f>IF($U156="","",IF(INDEX('Per Invoice'!G$2:G$401,$U156)="","",INDEX('Per Invoice'!G$2:G$401,$U156)))</f>
        <v/>
      </c>
      <c r="H156" s="7">
        <f>IF($U156="","",IF(INDEX('Per Invoice'!H$2:H$401,$U156)="","",INDEX('Per Invoice'!H$2:H$401,$U156)))</f>
        <v/>
      </c>
      <c r="I156" s="14">
        <f>IF($U156="","",IF(INDEX('Per Invoice'!I$2:I$401,$U156)="","",INDEX('Per Invoice'!I$2:I$401,$U156)))</f>
        <v/>
      </c>
      <c r="J156">
        <f>IF($U156="","",IF(INDEX('Per Invoice'!J$2:J$401,$U156)="","",INDEX('Per Invoice'!J$2:J$401,$U156)))</f>
        <v/>
      </c>
      <c r="K156">
        <f>IF($U156="","",IF(INDEX('Per Invoice'!K$2:K$401,$U156)="","",INDEX('Per Invoice'!K$2:K$401,$U156)))</f>
        <v/>
      </c>
      <c r="L156" s="7">
        <f>IF($U156="","",IF(INDEX('Per Invoice'!L$2:L$401,$U156)="","",INDEX('Per Invoice'!L$2:L$401,$U156)))</f>
        <v/>
      </c>
      <c r="M156" s="7">
        <f>IF($U156="","",IF(INDEX('Per Invoice'!M$2:M$401,$U156)="","",INDEX('Per Invoice'!M$2:M$401,$U156)))</f>
        <v/>
      </c>
      <c r="N156">
        <f>IF($U156="","",IF(INDEX('Per Invoice'!N$2:N$401,$U156)="","",INDEX('Per Invoice'!N$2:N$401,$U156)))</f>
        <v/>
      </c>
      <c r="O156" s="7">
        <f>IF($U156="","",IF(INDEX('Per Invoice'!O$2:O$401,$U156)="","",INDEX('Per Invoice'!O$2:O$401,$U156)))</f>
        <v/>
      </c>
      <c r="P156" s="7">
        <f>IF($U156="","",IF(INDEX('Per Invoice'!P$2:P$401,$U156)="","",INDEX('Per Invoice'!P$2:P$401,$U156)))</f>
        <v/>
      </c>
      <c r="Q156" s="7">
        <f>IF($U156="","",IF(INDEX('Per Invoice'!Q$2:Q$401,$U156)="","",INDEX('Per Invoice'!Q$2:Q$401,$U156)))</f>
        <v/>
      </c>
      <c r="R156" s="7">
        <f>IF($U156="","",IF(INDEX('Per Invoice'!R$2:R$401,$U156)="","",INDEX('Per Invoice'!R$2:R$401,$U156)))</f>
        <v/>
      </c>
      <c r="S156" s="7">
        <f>IF($U156="","",IF(INDEX('Per Invoice'!S$2:S$401,$U156)="","",INDEX('Per Invoice'!S$2:S$401,$U156)))</f>
        <v/>
      </c>
      <c r="T156" s="7">
        <f>IF($U156="","",IF(INDEX('Per Invoice'!T$2:T$401,$U156)="","",INDEX('Per Invoice'!T$2:T$401,$U156)))</f>
        <v/>
      </c>
      <c r="U156" s="16">
        <f>IFERROR(MATCH(Settings!$C$29&amp;"|"&amp;ROWS($U$2:$U156),'Per Invoice'!$V$2:$V$401,0),"")</f>
        <v/>
      </c>
    </row>
    <row r="157">
      <c r="A157">
        <f>IF($U157="","",IF(INDEX('Per Invoice'!A$2:A$401,$U157)="","",INDEX('Per Invoice'!A$2:A$401,$U157)))</f>
        <v/>
      </c>
      <c r="B157">
        <f>IF($U157="","",IF(INDEX('Per Invoice'!B$2:B$401,$U157)="","",INDEX('Per Invoice'!B$2:B$401,$U157)))</f>
        <v/>
      </c>
      <c r="C157">
        <f>IF($U157="","",IF(INDEX('Per Invoice'!C$2:C$401,$U157)="","",INDEX('Per Invoice'!C$2:C$401,$U157)))</f>
        <v/>
      </c>
      <c r="D157">
        <f>IF($U157="","",IF(INDEX('Per Invoice'!D$2:D$401,$U157)="","",INDEX('Per Invoice'!D$2:D$401,$U157)))</f>
        <v/>
      </c>
      <c r="E157">
        <f>IF($U157="","",IF(INDEX('Per Invoice'!E$2:E$401,$U157)="","",INDEX('Per Invoice'!E$2:E$401,$U157)))</f>
        <v/>
      </c>
      <c r="F157">
        <f>IF($U157="","",IF(INDEX('Per Invoice'!F$2:F$401,$U157)="","",INDEX('Per Invoice'!F$2:F$401,$U157)))</f>
        <v/>
      </c>
      <c r="G157">
        <f>IF($U157="","",IF(INDEX('Per Invoice'!G$2:G$401,$U157)="","",INDEX('Per Invoice'!G$2:G$401,$U157)))</f>
        <v/>
      </c>
      <c r="H157" s="7">
        <f>IF($U157="","",IF(INDEX('Per Invoice'!H$2:H$401,$U157)="","",INDEX('Per Invoice'!H$2:H$401,$U157)))</f>
        <v/>
      </c>
      <c r="I157" s="14">
        <f>IF($U157="","",IF(INDEX('Per Invoice'!I$2:I$401,$U157)="","",INDEX('Per Invoice'!I$2:I$401,$U157)))</f>
        <v/>
      </c>
      <c r="J157">
        <f>IF($U157="","",IF(INDEX('Per Invoice'!J$2:J$401,$U157)="","",INDEX('Per Invoice'!J$2:J$401,$U157)))</f>
        <v/>
      </c>
      <c r="K157">
        <f>IF($U157="","",IF(INDEX('Per Invoice'!K$2:K$401,$U157)="","",INDEX('Per Invoice'!K$2:K$401,$U157)))</f>
        <v/>
      </c>
      <c r="L157" s="7">
        <f>IF($U157="","",IF(INDEX('Per Invoice'!L$2:L$401,$U157)="","",INDEX('Per Invoice'!L$2:L$401,$U157)))</f>
        <v/>
      </c>
      <c r="M157" s="7">
        <f>IF($U157="","",IF(INDEX('Per Invoice'!M$2:M$401,$U157)="","",INDEX('Per Invoice'!M$2:M$401,$U157)))</f>
        <v/>
      </c>
      <c r="N157">
        <f>IF($U157="","",IF(INDEX('Per Invoice'!N$2:N$401,$U157)="","",INDEX('Per Invoice'!N$2:N$401,$U157)))</f>
        <v/>
      </c>
      <c r="O157" s="7">
        <f>IF($U157="","",IF(INDEX('Per Invoice'!O$2:O$401,$U157)="","",INDEX('Per Invoice'!O$2:O$401,$U157)))</f>
        <v/>
      </c>
      <c r="P157" s="7">
        <f>IF($U157="","",IF(INDEX('Per Invoice'!P$2:P$401,$U157)="","",INDEX('Per Invoice'!P$2:P$401,$U157)))</f>
        <v/>
      </c>
      <c r="Q157" s="7">
        <f>IF($U157="","",IF(INDEX('Per Invoice'!Q$2:Q$401,$U157)="","",INDEX('Per Invoice'!Q$2:Q$401,$U157)))</f>
        <v/>
      </c>
      <c r="R157" s="7">
        <f>IF($U157="","",IF(INDEX('Per Invoice'!R$2:R$401,$U157)="","",INDEX('Per Invoice'!R$2:R$401,$U157)))</f>
        <v/>
      </c>
      <c r="S157" s="7">
        <f>IF($U157="","",IF(INDEX('Per Invoice'!S$2:S$401,$U157)="","",INDEX('Per Invoice'!S$2:S$401,$U157)))</f>
        <v/>
      </c>
      <c r="T157" s="7">
        <f>IF($U157="","",IF(INDEX('Per Invoice'!T$2:T$401,$U157)="","",INDEX('Per Invoice'!T$2:T$401,$U157)))</f>
        <v/>
      </c>
      <c r="U157" s="16">
        <f>IFERROR(MATCH(Settings!$C$29&amp;"|"&amp;ROWS($U$2:$U157),'Per Invoice'!$V$2:$V$401,0),"")</f>
        <v/>
      </c>
    </row>
    <row r="158">
      <c r="A158">
        <f>IF($U158="","",IF(INDEX('Per Invoice'!A$2:A$401,$U158)="","",INDEX('Per Invoice'!A$2:A$401,$U158)))</f>
        <v/>
      </c>
      <c r="B158">
        <f>IF($U158="","",IF(INDEX('Per Invoice'!B$2:B$401,$U158)="","",INDEX('Per Invoice'!B$2:B$401,$U158)))</f>
        <v/>
      </c>
      <c r="C158">
        <f>IF($U158="","",IF(INDEX('Per Invoice'!C$2:C$401,$U158)="","",INDEX('Per Invoice'!C$2:C$401,$U158)))</f>
        <v/>
      </c>
      <c r="D158">
        <f>IF($U158="","",IF(INDEX('Per Invoice'!D$2:D$401,$U158)="","",INDEX('Per Invoice'!D$2:D$401,$U158)))</f>
        <v/>
      </c>
      <c r="E158">
        <f>IF($U158="","",IF(INDEX('Per Invoice'!E$2:E$401,$U158)="","",INDEX('Per Invoice'!E$2:E$401,$U158)))</f>
        <v/>
      </c>
      <c r="F158">
        <f>IF($U158="","",IF(INDEX('Per Invoice'!F$2:F$401,$U158)="","",INDEX('Per Invoice'!F$2:F$401,$U158)))</f>
        <v/>
      </c>
      <c r="G158">
        <f>IF($U158="","",IF(INDEX('Per Invoice'!G$2:G$401,$U158)="","",INDEX('Per Invoice'!G$2:G$401,$U158)))</f>
        <v/>
      </c>
      <c r="H158" s="7">
        <f>IF($U158="","",IF(INDEX('Per Invoice'!H$2:H$401,$U158)="","",INDEX('Per Invoice'!H$2:H$401,$U158)))</f>
        <v/>
      </c>
      <c r="I158" s="14">
        <f>IF($U158="","",IF(INDEX('Per Invoice'!I$2:I$401,$U158)="","",INDEX('Per Invoice'!I$2:I$401,$U158)))</f>
        <v/>
      </c>
      <c r="J158">
        <f>IF($U158="","",IF(INDEX('Per Invoice'!J$2:J$401,$U158)="","",INDEX('Per Invoice'!J$2:J$401,$U158)))</f>
        <v/>
      </c>
      <c r="K158">
        <f>IF($U158="","",IF(INDEX('Per Invoice'!K$2:K$401,$U158)="","",INDEX('Per Invoice'!K$2:K$401,$U158)))</f>
        <v/>
      </c>
      <c r="L158" s="7">
        <f>IF($U158="","",IF(INDEX('Per Invoice'!L$2:L$401,$U158)="","",INDEX('Per Invoice'!L$2:L$401,$U158)))</f>
        <v/>
      </c>
      <c r="M158" s="7">
        <f>IF($U158="","",IF(INDEX('Per Invoice'!M$2:M$401,$U158)="","",INDEX('Per Invoice'!M$2:M$401,$U158)))</f>
        <v/>
      </c>
      <c r="N158">
        <f>IF($U158="","",IF(INDEX('Per Invoice'!N$2:N$401,$U158)="","",INDEX('Per Invoice'!N$2:N$401,$U158)))</f>
        <v/>
      </c>
      <c r="O158" s="7">
        <f>IF($U158="","",IF(INDEX('Per Invoice'!O$2:O$401,$U158)="","",INDEX('Per Invoice'!O$2:O$401,$U158)))</f>
        <v/>
      </c>
      <c r="P158" s="7">
        <f>IF($U158="","",IF(INDEX('Per Invoice'!P$2:P$401,$U158)="","",INDEX('Per Invoice'!P$2:P$401,$U158)))</f>
        <v/>
      </c>
      <c r="Q158" s="7">
        <f>IF($U158="","",IF(INDEX('Per Invoice'!Q$2:Q$401,$U158)="","",INDEX('Per Invoice'!Q$2:Q$401,$U158)))</f>
        <v/>
      </c>
      <c r="R158" s="7">
        <f>IF($U158="","",IF(INDEX('Per Invoice'!R$2:R$401,$U158)="","",INDEX('Per Invoice'!R$2:R$401,$U158)))</f>
        <v/>
      </c>
      <c r="S158" s="7">
        <f>IF($U158="","",IF(INDEX('Per Invoice'!S$2:S$401,$U158)="","",INDEX('Per Invoice'!S$2:S$401,$U158)))</f>
        <v/>
      </c>
      <c r="T158" s="7">
        <f>IF($U158="","",IF(INDEX('Per Invoice'!T$2:T$401,$U158)="","",INDEX('Per Invoice'!T$2:T$401,$U158)))</f>
        <v/>
      </c>
      <c r="U158" s="16">
        <f>IFERROR(MATCH(Settings!$C$29&amp;"|"&amp;ROWS($U$2:$U158),'Per Invoice'!$V$2:$V$401,0),"")</f>
        <v/>
      </c>
    </row>
    <row r="159">
      <c r="A159">
        <f>IF($U159="","",IF(INDEX('Per Invoice'!A$2:A$401,$U159)="","",INDEX('Per Invoice'!A$2:A$401,$U159)))</f>
        <v/>
      </c>
      <c r="B159">
        <f>IF($U159="","",IF(INDEX('Per Invoice'!B$2:B$401,$U159)="","",INDEX('Per Invoice'!B$2:B$401,$U159)))</f>
        <v/>
      </c>
      <c r="C159">
        <f>IF($U159="","",IF(INDEX('Per Invoice'!C$2:C$401,$U159)="","",INDEX('Per Invoice'!C$2:C$401,$U159)))</f>
        <v/>
      </c>
      <c r="D159">
        <f>IF($U159="","",IF(INDEX('Per Invoice'!D$2:D$401,$U159)="","",INDEX('Per Invoice'!D$2:D$401,$U159)))</f>
        <v/>
      </c>
      <c r="E159">
        <f>IF($U159="","",IF(INDEX('Per Invoice'!E$2:E$401,$U159)="","",INDEX('Per Invoice'!E$2:E$401,$U159)))</f>
        <v/>
      </c>
      <c r="F159">
        <f>IF($U159="","",IF(INDEX('Per Invoice'!F$2:F$401,$U159)="","",INDEX('Per Invoice'!F$2:F$401,$U159)))</f>
        <v/>
      </c>
      <c r="G159">
        <f>IF($U159="","",IF(INDEX('Per Invoice'!G$2:G$401,$U159)="","",INDEX('Per Invoice'!G$2:G$401,$U159)))</f>
        <v/>
      </c>
      <c r="H159" s="7">
        <f>IF($U159="","",IF(INDEX('Per Invoice'!H$2:H$401,$U159)="","",INDEX('Per Invoice'!H$2:H$401,$U159)))</f>
        <v/>
      </c>
      <c r="I159" s="14">
        <f>IF($U159="","",IF(INDEX('Per Invoice'!I$2:I$401,$U159)="","",INDEX('Per Invoice'!I$2:I$401,$U159)))</f>
        <v/>
      </c>
      <c r="J159">
        <f>IF($U159="","",IF(INDEX('Per Invoice'!J$2:J$401,$U159)="","",INDEX('Per Invoice'!J$2:J$401,$U159)))</f>
        <v/>
      </c>
      <c r="K159">
        <f>IF($U159="","",IF(INDEX('Per Invoice'!K$2:K$401,$U159)="","",INDEX('Per Invoice'!K$2:K$401,$U159)))</f>
        <v/>
      </c>
      <c r="L159" s="7">
        <f>IF($U159="","",IF(INDEX('Per Invoice'!L$2:L$401,$U159)="","",INDEX('Per Invoice'!L$2:L$401,$U159)))</f>
        <v/>
      </c>
      <c r="M159" s="7">
        <f>IF($U159="","",IF(INDEX('Per Invoice'!M$2:M$401,$U159)="","",INDEX('Per Invoice'!M$2:M$401,$U159)))</f>
        <v/>
      </c>
      <c r="N159">
        <f>IF($U159="","",IF(INDEX('Per Invoice'!N$2:N$401,$U159)="","",INDEX('Per Invoice'!N$2:N$401,$U159)))</f>
        <v/>
      </c>
      <c r="O159" s="7">
        <f>IF($U159="","",IF(INDEX('Per Invoice'!O$2:O$401,$U159)="","",INDEX('Per Invoice'!O$2:O$401,$U159)))</f>
        <v/>
      </c>
      <c r="P159" s="7">
        <f>IF($U159="","",IF(INDEX('Per Invoice'!P$2:P$401,$U159)="","",INDEX('Per Invoice'!P$2:P$401,$U159)))</f>
        <v/>
      </c>
      <c r="Q159" s="7">
        <f>IF($U159="","",IF(INDEX('Per Invoice'!Q$2:Q$401,$U159)="","",INDEX('Per Invoice'!Q$2:Q$401,$U159)))</f>
        <v/>
      </c>
      <c r="R159" s="7">
        <f>IF($U159="","",IF(INDEX('Per Invoice'!R$2:R$401,$U159)="","",INDEX('Per Invoice'!R$2:R$401,$U159)))</f>
        <v/>
      </c>
      <c r="S159" s="7">
        <f>IF($U159="","",IF(INDEX('Per Invoice'!S$2:S$401,$U159)="","",INDEX('Per Invoice'!S$2:S$401,$U159)))</f>
        <v/>
      </c>
      <c r="T159" s="7">
        <f>IF($U159="","",IF(INDEX('Per Invoice'!T$2:T$401,$U159)="","",INDEX('Per Invoice'!T$2:T$401,$U159)))</f>
        <v/>
      </c>
      <c r="U159" s="16">
        <f>IFERROR(MATCH(Settings!$C$29&amp;"|"&amp;ROWS($U$2:$U159),'Per Invoice'!$V$2:$V$401,0),"")</f>
        <v/>
      </c>
    </row>
    <row r="160">
      <c r="A160">
        <f>IF($U160="","",IF(INDEX('Per Invoice'!A$2:A$401,$U160)="","",INDEX('Per Invoice'!A$2:A$401,$U160)))</f>
        <v/>
      </c>
      <c r="B160">
        <f>IF($U160="","",IF(INDEX('Per Invoice'!B$2:B$401,$U160)="","",INDEX('Per Invoice'!B$2:B$401,$U160)))</f>
        <v/>
      </c>
      <c r="C160">
        <f>IF($U160="","",IF(INDEX('Per Invoice'!C$2:C$401,$U160)="","",INDEX('Per Invoice'!C$2:C$401,$U160)))</f>
        <v/>
      </c>
      <c r="D160">
        <f>IF($U160="","",IF(INDEX('Per Invoice'!D$2:D$401,$U160)="","",INDEX('Per Invoice'!D$2:D$401,$U160)))</f>
        <v/>
      </c>
      <c r="E160">
        <f>IF($U160="","",IF(INDEX('Per Invoice'!E$2:E$401,$U160)="","",INDEX('Per Invoice'!E$2:E$401,$U160)))</f>
        <v/>
      </c>
      <c r="F160">
        <f>IF($U160="","",IF(INDEX('Per Invoice'!F$2:F$401,$U160)="","",INDEX('Per Invoice'!F$2:F$401,$U160)))</f>
        <v/>
      </c>
      <c r="G160">
        <f>IF($U160="","",IF(INDEX('Per Invoice'!G$2:G$401,$U160)="","",INDEX('Per Invoice'!G$2:G$401,$U160)))</f>
        <v/>
      </c>
      <c r="H160" s="7">
        <f>IF($U160="","",IF(INDEX('Per Invoice'!H$2:H$401,$U160)="","",INDEX('Per Invoice'!H$2:H$401,$U160)))</f>
        <v/>
      </c>
      <c r="I160" s="14">
        <f>IF($U160="","",IF(INDEX('Per Invoice'!I$2:I$401,$U160)="","",INDEX('Per Invoice'!I$2:I$401,$U160)))</f>
        <v/>
      </c>
      <c r="J160">
        <f>IF($U160="","",IF(INDEX('Per Invoice'!J$2:J$401,$U160)="","",INDEX('Per Invoice'!J$2:J$401,$U160)))</f>
        <v/>
      </c>
      <c r="K160">
        <f>IF($U160="","",IF(INDEX('Per Invoice'!K$2:K$401,$U160)="","",INDEX('Per Invoice'!K$2:K$401,$U160)))</f>
        <v/>
      </c>
      <c r="L160" s="7">
        <f>IF($U160="","",IF(INDEX('Per Invoice'!L$2:L$401,$U160)="","",INDEX('Per Invoice'!L$2:L$401,$U160)))</f>
        <v/>
      </c>
      <c r="M160" s="7">
        <f>IF($U160="","",IF(INDEX('Per Invoice'!M$2:M$401,$U160)="","",INDEX('Per Invoice'!M$2:M$401,$U160)))</f>
        <v/>
      </c>
      <c r="N160">
        <f>IF($U160="","",IF(INDEX('Per Invoice'!N$2:N$401,$U160)="","",INDEX('Per Invoice'!N$2:N$401,$U160)))</f>
        <v/>
      </c>
      <c r="O160" s="7">
        <f>IF($U160="","",IF(INDEX('Per Invoice'!O$2:O$401,$U160)="","",INDEX('Per Invoice'!O$2:O$401,$U160)))</f>
        <v/>
      </c>
      <c r="P160" s="7">
        <f>IF($U160="","",IF(INDEX('Per Invoice'!P$2:P$401,$U160)="","",INDEX('Per Invoice'!P$2:P$401,$U160)))</f>
        <v/>
      </c>
      <c r="Q160" s="7">
        <f>IF($U160="","",IF(INDEX('Per Invoice'!Q$2:Q$401,$U160)="","",INDEX('Per Invoice'!Q$2:Q$401,$U160)))</f>
        <v/>
      </c>
      <c r="R160" s="7">
        <f>IF($U160="","",IF(INDEX('Per Invoice'!R$2:R$401,$U160)="","",INDEX('Per Invoice'!R$2:R$401,$U160)))</f>
        <v/>
      </c>
      <c r="S160" s="7">
        <f>IF($U160="","",IF(INDEX('Per Invoice'!S$2:S$401,$U160)="","",INDEX('Per Invoice'!S$2:S$401,$U160)))</f>
        <v/>
      </c>
      <c r="T160" s="7">
        <f>IF($U160="","",IF(INDEX('Per Invoice'!T$2:T$401,$U160)="","",INDEX('Per Invoice'!T$2:T$401,$U160)))</f>
        <v/>
      </c>
      <c r="U160" s="16">
        <f>IFERROR(MATCH(Settings!$C$29&amp;"|"&amp;ROWS($U$2:$U160),'Per Invoice'!$V$2:$V$401,0),"")</f>
        <v/>
      </c>
    </row>
    <row r="161">
      <c r="A161">
        <f>IF($U161="","",IF(INDEX('Per Invoice'!A$2:A$401,$U161)="","",INDEX('Per Invoice'!A$2:A$401,$U161)))</f>
        <v/>
      </c>
      <c r="B161">
        <f>IF($U161="","",IF(INDEX('Per Invoice'!B$2:B$401,$U161)="","",INDEX('Per Invoice'!B$2:B$401,$U161)))</f>
        <v/>
      </c>
      <c r="C161">
        <f>IF($U161="","",IF(INDEX('Per Invoice'!C$2:C$401,$U161)="","",INDEX('Per Invoice'!C$2:C$401,$U161)))</f>
        <v/>
      </c>
      <c r="D161">
        <f>IF($U161="","",IF(INDEX('Per Invoice'!D$2:D$401,$U161)="","",INDEX('Per Invoice'!D$2:D$401,$U161)))</f>
        <v/>
      </c>
      <c r="E161">
        <f>IF($U161="","",IF(INDEX('Per Invoice'!E$2:E$401,$U161)="","",INDEX('Per Invoice'!E$2:E$401,$U161)))</f>
        <v/>
      </c>
      <c r="F161">
        <f>IF($U161="","",IF(INDEX('Per Invoice'!F$2:F$401,$U161)="","",INDEX('Per Invoice'!F$2:F$401,$U161)))</f>
        <v/>
      </c>
      <c r="G161">
        <f>IF($U161="","",IF(INDEX('Per Invoice'!G$2:G$401,$U161)="","",INDEX('Per Invoice'!G$2:G$401,$U161)))</f>
        <v/>
      </c>
      <c r="H161" s="7">
        <f>IF($U161="","",IF(INDEX('Per Invoice'!H$2:H$401,$U161)="","",INDEX('Per Invoice'!H$2:H$401,$U161)))</f>
        <v/>
      </c>
      <c r="I161" s="14">
        <f>IF($U161="","",IF(INDEX('Per Invoice'!I$2:I$401,$U161)="","",INDEX('Per Invoice'!I$2:I$401,$U161)))</f>
        <v/>
      </c>
      <c r="J161">
        <f>IF($U161="","",IF(INDEX('Per Invoice'!J$2:J$401,$U161)="","",INDEX('Per Invoice'!J$2:J$401,$U161)))</f>
        <v/>
      </c>
      <c r="K161">
        <f>IF($U161="","",IF(INDEX('Per Invoice'!K$2:K$401,$U161)="","",INDEX('Per Invoice'!K$2:K$401,$U161)))</f>
        <v/>
      </c>
      <c r="L161" s="7">
        <f>IF($U161="","",IF(INDEX('Per Invoice'!L$2:L$401,$U161)="","",INDEX('Per Invoice'!L$2:L$401,$U161)))</f>
        <v/>
      </c>
      <c r="M161" s="7">
        <f>IF($U161="","",IF(INDEX('Per Invoice'!M$2:M$401,$U161)="","",INDEX('Per Invoice'!M$2:M$401,$U161)))</f>
        <v/>
      </c>
      <c r="N161">
        <f>IF($U161="","",IF(INDEX('Per Invoice'!N$2:N$401,$U161)="","",INDEX('Per Invoice'!N$2:N$401,$U161)))</f>
        <v/>
      </c>
      <c r="O161" s="7">
        <f>IF($U161="","",IF(INDEX('Per Invoice'!O$2:O$401,$U161)="","",INDEX('Per Invoice'!O$2:O$401,$U161)))</f>
        <v/>
      </c>
      <c r="P161" s="7">
        <f>IF($U161="","",IF(INDEX('Per Invoice'!P$2:P$401,$U161)="","",INDEX('Per Invoice'!P$2:P$401,$U161)))</f>
        <v/>
      </c>
      <c r="Q161" s="7">
        <f>IF($U161="","",IF(INDEX('Per Invoice'!Q$2:Q$401,$U161)="","",INDEX('Per Invoice'!Q$2:Q$401,$U161)))</f>
        <v/>
      </c>
      <c r="R161" s="7">
        <f>IF($U161="","",IF(INDEX('Per Invoice'!R$2:R$401,$U161)="","",INDEX('Per Invoice'!R$2:R$401,$U161)))</f>
        <v/>
      </c>
      <c r="S161" s="7">
        <f>IF($U161="","",IF(INDEX('Per Invoice'!S$2:S$401,$U161)="","",INDEX('Per Invoice'!S$2:S$401,$U161)))</f>
        <v/>
      </c>
      <c r="T161" s="7">
        <f>IF($U161="","",IF(INDEX('Per Invoice'!T$2:T$401,$U161)="","",INDEX('Per Invoice'!T$2:T$401,$U161)))</f>
        <v/>
      </c>
      <c r="U161" s="16">
        <f>IFERROR(MATCH(Settings!$C$29&amp;"|"&amp;ROWS($U$2:$U161),'Per Invoice'!$V$2:$V$401,0),"")</f>
        <v/>
      </c>
    </row>
    <row r="162">
      <c r="A162">
        <f>IF($U162="","",IF(INDEX('Per Invoice'!A$2:A$401,$U162)="","",INDEX('Per Invoice'!A$2:A$401,$U162)))</f>
        <v/>
      </c>
      <c r="B162">
        <f>IF($U162="","",IF(INDEX('Per Invoice'!B$2:B$401,$U162)="","",INDEX('Per Invoice'!B$2:B$401,$U162)))</f>
        <v/>
      </c>
      <c r="C162">
        <f>IF($U162="","",IF(INDEX('Per Invoice'!C$2:C$401,$U162)="","",INDEX('Per Invoice'!C$2:C$401,$U162)))</f>
        <v/>
      </c>
      <c r="D162">
        <f>IF($U162="","",IF(INDEX('Per Invoice'!D$2:D$401,$U162)="","",INDEX('Per Invoice'!D$2:D$401,$U162)))</f>
        <v/>
      </c>
      <c r="E162">
        <f>IF($U162="","",IF(INDEX('Per Invoice'!E$2:E$401,$U162)="","",INDEX('Per Invoice'!E$2:E$401,$U162)))</f>
        <v/>
      </c>
      <c r="F162">
        <f>IF($U162="","",IF(INDEX('Per Invoice'!F$2:F$401,$U162)="","",INDEX('Per Invoice'!F$2:F$401,$U162)))</f>
        <v/>
      </c>
      <c r="G162">
        <f>IF($U162="","",IF(INDEX('Per Invoice'!G$2:G$401,$U162)="","",INDEX('Per Invoice'!G$2:G$401,$U162)))</f>
        <v/>
      </c>
      <c r="H162" s="7">
        <f>IF($U162="","",IF(INDEX('Per Invoice'!H$2:H$401,$U162)="","",INDEX('Per Invoice'!H$2:H$401,$U162)))</f>
        <v/>
      </c>
      <c r="I162" s="14">
        <f>IF($U162="","",IF(INDEX('Per Invoice'!I$2:I$401,$U162)="","",INDEX('Per Invoice'!I$2:I$401,$U162)))</f>
        <v/>
      </c>
      <c r="J162">
        <f>IF($U162="","",IF(INDEX('Per Invoice'!J$2:J$401,$U162)="","",INDEX('Per Invoice'!J$2:J$401,$U162)))</f>
        <v/>
      </c>
      <c r="K162">
        <f>IF($U162="","",IF(INDEX('Per Invoice'!K$2:K$401,$U162)="","",INDEX('Per Invoice'!K$2:K$401,$U162)))</f>
        <v/>
      </c>
      <c r="L162" s="7">
        <f>IF($U162="","",IF(INDEX('Per Invoice'!L$2:L$401,$U162)="","",INDEX('Per Invoice'!L$2:L$401,$U162)))</f>
        <v/>
      </c>
      <c r="M162" s="7">
        <f>IF($U162="","",IF(INDEX('Per Invoice'!M$2:M$401,$U162)="","",INDEX('Per Invoice'!M$2:M$401,$U162)))</f>
        <v/>
      </c>
      <c r="N162">
        <f>IF($U162="","",IF(INDEX('Per Invoice'!N$2:N$401,$U162)="","",INDEX('Per Invoice'!N$2:N$401,$U162)))</f>
        <v/>
      </c>
      <c r="O162" s="7">
        <f>IF($U162="","",IF(INDEX('Per Invoice'!O$2:O$401,$U162)="","",INDEX('Per Invoice'!O$2:O$401,$U162)))</f>
        <v/>
      </c>
      <c r="P162" s="7">
        <f>IF($U162="","",IF(INDEX('Per Invoice'!P$2:P$401,$U162)="","",INDEX('Per Invoice'!P$2:P$401,$U162)))</f>
        <v/>
      </c>
      <c r="Q162" s="7">
        <f>IF($U162="","",IF(INDEX('Per Invoice'!Q$2:Q$401,$U162)="","",INDEX('Per Invoice'!Q$2:Q$401,$U162)))</f>
        <v/>
      </c>
      <c r="R162" s="7">
        <f>IF($U162="","",IF(INDEX('Per Invoice'!R$2:R$401,$U162)="","",INDEX('Per Invoice'!R$2:R$401,$U162)))</f>
        <v/>
      </c>
      <c r="S162" s="7">
        <f>IF($U162="","",IF(INDEX('Per Invoice'!S$2:S$401,$U162)="","",INDEX('Per Invoice'!S$2:S$401,$U162)))</f>
        <v/>
      </c>
      <c r="T162" s="7">
        <f>IF($U162="","",IF(INDEX('Per Invoice'!T$2:T$401,$U162)="","",INDEX('Per Invoice'!T$2:T$401,$U162)))</f>
        <v/>
      </c>
      <c r="U162" s="16">
        <f>IFERROR(MATCH(Settings!$C$29&amp;"|"&amp;ROWS($U$2:$U162),'Per Invoice'!$V$2:$V$401,0),"")</f>
        <v/>
      </c>
    </row>
    <row r="163">
      <c r="A163">
        <f>IF($U163="","",IF(INDEX('Per Invoice'!A$2:A$401,$U163)="","",INDEX('Per Invoice'!A$2:A$401,$U163)))</f>
        <v/>
      </c>
      <c r="B163">
        <f>IF($U163="","",IF(INDEX('Per Invoice'!B$2:B$401,$U163)="","",INDEX('Per Invoice'!B$2:B$401,$U163)))</f>
        <v/>
      </c>
      <c r="C163">
        <f>IF($U163="","",IF(INDEX('Per Invoice'!C$2:C$401,$U163)="","",INDEX('Per Invoice'!C$2:C$401,$U163)))</f>
        <v/>
      </c>
      <c r="D163">
        <f>IF($U163="","",IF(INDEX('Per Invoice'!D$2:D$401,$U163)="","",INDEX('Per Invoice'!D$2:D$401,$U163)))</f>
        <v/>
      </c>
      <c r="E163">
        <f>IF($U163="","",IF(INDEX('Per Invoice'!E$2:E$401,$U163)="","",INDEX('Per Invoice'!E$2:E$401,$U163)))</f>
        <v/>
      </c>
      <c r="F163">
        <f>IF($U163="","",IF(INDEX('Per Invoice'!F$2:F$401,$U163)="","",INDEX('Per Invoice'!F$2:F$401,$U163)))</f>
        <v/>
      </c>
      <c r="G163">
        <f>IF($U163="","",IF(INDEX('Per Invoice'!G$2:G$401,$U163)="","",INDEX('Per Invoice'!G$2:G$401,$U163)))</f>
        <v/>
      </c>
      <c r="H163" s="7">
        <f>IF($U163="","",IF(INDEX('Per Invoice'!H$2:H$401,$U163)="","",INDEX('Per Invoice'!H$2:H$401,$U163)))</f>
        <v/>
      </c>
      <c r="I163" s="14">
        <f>IF($U163="","",IF(INDEX('Per Invoice'!I$2:I$401,$U163)="","",INDEX('Per Invoice'!I$2:I$401,$U163)))</f>
        <v/>
      </c>
      <c r="J163">
        <f>IF($U163="","",IF(INDEX('Per Invoice'!J$2:J$401,$U163)="","",INDEX('Per Invoice'!J$2:J$401,$U163)))</f>
        <v/>
      </c>
      <c r="K163">
        <f>IF($U163="","",IF(INDEX('Per Invoice'!K$2:K$401,$U163)="","",INDEX('Per Invoice'!K$2:K$401,$U163)))</f>
        <v/>
      </c>
      <c r="L163" s="7">
        <f>IF($U163="","",IF(INDEX('Per Invoice'!L$2:L$401,$U163)="","",INDEX('Per Invoice'!L$2:L$401,$U163)))</f>
        <v/>
      </c>
      <c r="M163" s="7">
        <f>IF($U163="","",IF(INDEX('Per Invoice'!M$2:M$401,$U163)="","",INDEX('Per Invoice'!M$2:M$401,$U163)))</f>
        <v/>
      </c>
      <c r="N163">
        <f>IF($U163="","",IF(INDEX('Per Invoice'!N$2:N$401,$U163)="","",INDEX('Per Invoice'!N$2:N$401,$U163)))</f>
        <v/>
      </c>
      <c r="O163" s="7">
        <f>IF($U163="","",IF(INDEX('Per Invoice'!O$2:O$401,$U163)="","",INDEX('Per Invoice'!O$2:O$401,$U163)))</f>
        <v/>
      </c>
      <c r="P163" s="7">
        <f>IF($U163="","",IF(INDEX('Per Invoice'!P$2:P$401,$U163)="","",INDEX('Per Invoice'!P$2:P$401,$U163)))</f>
        <v/>
      </c>
      <c r="Q163" s="7">
        <f>IF($U163="","",IF(INDEX('Per Invoice'!Q$2:Q$401,$U163)="","",INDEX('Per Invoice'!Q$2:Q$401,$U163)))</f>
        <v/>
      </c>
      <c r="R163" s="7">
        <f>IF($U163="","",IF(INDEX('Per Invoice'!R$2:R$401,$U163)="","",INDEX('Per Invoice'!R$2:R$401,$U163)))</f>
        <v/>
      </c>
      <c r="S163" s="7">
        <f>IF($U163="","",IF(INDEX('Per Invoice'!S$2:S$401,$U163)="","",INDEX('Per Invoice'!S$2:S$401,$U163)))</f>
        <v/>
      </c>
      <c r="T163" s="7">
        <f>IF($U163="","",IF(INDEX('Per Invoice'!T$2:T$401,$U163)="","",INDEX('Per Invoice'!T$2:T$401,$U163)))</f>
        <v/>
      </c>
      <c r="U163" s="16">
        <f>IFERROR(MATCH(Settings!$C$29&amp;"|"&amp;ROWS($U$2:$U163),'Per Invoice'!$V$2:$V$401,0),"")</f>
        <v/>
      </c>
    </row>
    <row r="164">
      <c r="A164">
        <f>IF($U164="","",IF(INDEX('Per Invoice'!A$2:A$401,$U164)="","",INDEX('Per Invoice'!A$2:A$401,$U164)))</f>
        <v/>
      </c>
      <c r="B164">
        <f>IF($U164="","",IF(INDEX('Per Invoice'!B$2:B$401,$U164)="","",INDEX('Per Invoice'!B$2:B$401,$U164)))</f>
        <v/>
      </c>
      <c r="C164">
        <f>IF($U164="","",IF(INDEX('Per Invoice'!C$2:C$401,$U164)="","",INDEX('Per Invoice'!C$2:C$401,$U164)))</f>
        <v/>
      </c>
      <c r="D164">
        <f>IF($U164="","",IF(INDEX('Per Invoice'!D$2:D$401,$U164)="","",INDEX('Per Invoice'!D$2:D$401,$U164)))</f>
        <v/>
      </c>
      <c r="E164">
        <f>IF($U164="","",IF(INDEX('Per Invoice'!E$2:E$401,$U164)="","",INDEX('Per Invoice'!E$2:E$401,$U164)))</f>
        <v/>
      </c>
      <c r="F164">
        <f>IF($U164="","",IF(INDEX('Per Invoice'!F$2:F$401,$U164)="","",INDEX('Per Invoice'!F$2:F$401,$U164)))</f>
        <v/>
      </c>
      <c r="G164">
        <f>IF($U164="","",IF(INDEX('Per Invoice'!G$2:G$401,$U164)="","",INDEX('Per Invoice'!G$2:G$401,$U164)))</f>
        <v/>
      </c>
      <c r="H164" s="7">
        <f>IF($U164="","",IF(INDEX('Per Invoice'!H$2:H$401,$U164)="","",INDEX('Per Invoice'!H$2:H$401,$U164)))</f>
        <v/>
      </c>
      <c r="I164" s="14">
        <f>IF($U164="","",IF(INDEX('Per Invoice'!I$2:I$401,$U164)="","",INDEX('Per Invoice'!I$2:I$401,$U164)))</f>
        <v/>
      </c>
      <c r="J164">
        <f>IF($U164="","",IF(INDEX('Per Invoice'!J$2:J$401,$U164)="","",INDEX('Per Invoice'!J$2:J$401,$U164)))</f>
        <v/>
      </c>
      <c r="K164">
        <f>IF($U164="","",IF(INDEX('Per Invoice'!K$2:K$401,$U164)="","",INDEX('Per Invoice'!K$2:K$401,$U164)))</f>
        <v/>
      </c>
      <c r="L164" s="7">
        <f>IF($U164="","",IF(INDEX('Per Invoice'!L$2:L$401,$U164)="","",INDEX('Per Invoice'!L$2:L$401,$U164)))</f>
        <v/>
      </c>
      <c r="M164" s="7">
        <f>IF($U164="","",IF(INDEX('Per Invoice'!M$2:M$401,$U164)="","",INDEX('Per Invoice'!M$2:M$401,$U164)))</f>
        <v/>
      </c>
      <c r="N164">
        <f>IF($U164="","",IF(INDEX('Per Invoice'!N$2:N$401,$U164)="","",INDEX('Per Invoice'!N$2:N$401,$U164)))</f>
        <v/>
      </c>
      <c r="O164" s="7">
        <f>IF($U164="","",IF(INDEX('Per Invoice'!O$2:O$401,$U164)="","",INDEX('Per Invoice'!O$2:O$401,$U164)))</f>
        <v/>
      </c>
      <c r="P164" s="7">
        <f>IF($U164="","",IF(INDEX('Per Invoice'!P$2:P$401,$U164)="","",INDEX('Per Invoice'!P$2:P$401,$U164)))</f>
        <v/>
      </c>
      <c r="Q164" s="7">
        <f>IF($U164="","",IF(INDEX('Per Invoice'!Q$2:Q$401,$U164)="","",INDEX('Per Invoice'!Q$2:Q$401,$U164)))</f>
        <v/>
      </c>
      <c r="R164" s="7">
        <f>IF($U164="","",IF(INDEX('Per Invoice'!R$2:R$401,$U164)="","",INDEX('Per Invoice'!R$2:R$401,$U164)))</f>
        <v/>
      </c>
      <c r="S164" s="7">
        <f>IF($U164="","",IF(INDEX('Per Invoice'!S$2:S$401,$U164)="","",INDEX('Per Invoice'!S$2:S$401,$U164)))</f>
        <v/>
      </c>
      <c r="T164" s="7">
        <f>IF($U164="","",IF(INDEX('Per Invoice'!T$2:T$401,$U164)="","",INDEX('Per Invoice'!T$2:T$401,$U164)))</f>
        <v/>
      </c>
      <c r="U164" s="16">
        <f>IFERROR(MATCH(Settings!$C$29&amp;"|"&amp;ROWS($U$2:$U164),'Per Invoice'!$V$2:$V$401,0),"")</f>
        <v/>
      </c>
    </row>
    <row r="165">
      <c r="A165">
        <f>IF($U165="","",IF(INDEX('Per Invoice'!A$2:A$401,$U165)="","",INDEX('Per Invoice'!A$2:A$401,$U165)))</f>
        <v/>
      </c>
      <c r="B165">
        <f>IF($U165="","",IF(INDEX('Per Invoice'!B$2:B$401,$U165)="","",INDEX('Per Invoice'!B$2:B$401,$U165)))</f>
        <v/>
      </c>
      <c r="C165">
        <f>IF($U165="","",IF(INDEX('Per Invoice'!C$2:C$401,$U165)="","",INDEX('Per Invoice'!C$2:C$401,$U165)))</f>
        <v/>
      </c>
      <c r="D165">
        <f>IF($U165="","",IF(INDEX('Per Invoice'!D$2:D$401,$U165)="","",INDEX('Per Invoice'!D$2:D$401,$U165)))</f>
        <v/>
      </c>
      <c r="E165">
        <f>IF($U165="","",IF(INDEX('Per Invoice'!E$2:E$401,$U165)="","",INDEX('Per Invoice'!E$2:E$401,$U165)))</f>
        <v/>
      </c>
      <c r="F165">
        <f>IF($U165="","",IF(INDEX('Per Invoice'!F$2:F$401,$U165)="","",INDEX('Per Invoice'!F$2:F$401,$U165)))</f>
        <v/>
      </c>
      <c r="G165">
        <f>IF($U165="","",IF(INDEX('Per Invoice'!G$2:G$401,$U165)="","",INDEX('Per Invoice'!G$2:G$401,$U165)))</f>
        <v/>
      </c>
      <c r="H165" s="7">
        <f>IF($U165="","",IF(INDEX('Per Invoice'!H$2:H$401,$U165)="","",INDEX('Per Invoice'!H$2:H$401,$U165)))</f>
        <v/>
      </c>
      <c r="I165" s="14">
        <f>IF($U165="","",IF(INDEX('Per Invoice'!I$2:I$401,$U165)="","",INDEX('Per Invoice'!I$2:I$401,$U165)))</f>
        <v/>
      </c>
      <c r="J165">
        <f>IF($U165="","",IF(INDEX('Per Invoice'!J$2:J$401,$U165)="","",INDEX('Per Invoice'!J$2:J$401,$U165)))</f>
        <v/>
      </c>
      <c r="K165">
        <f>IF($U165="","",IF(INDEX('Per Invoice'!K$2:K$401,$U165)="","",INDEX('Per Invoice'!K$2:K$401,$U165)))</f>
        <v/>
      </c>
      <c r="L165" s="7">
        <f>IF($U165="","",IF(INDEX('Per Invoice'!L$2:L$401,$U165)="","",INDEX('Per Invoice'!L$2:L$401,$U165)))</f>
        <v/>
      </c>
      <c r="M165" s="7">
        <f>IF($U165="","",IF(INDEX('Per Invoice'!M$2:M$401,$U165)="","",INDEX('Per Invoice'!M$2:M$401,$U165)))</f>
        <v/>
      </c>
      <c r="N165">
        <f>IF($U165="","",IF(INDEX('Per Invoice'!N$2:N$401,$U165)="","",INDEX('Per Invoice'!N$2:N$401,$U165)))</f>
        <v/>
      </c>
      <c r="O165" s="7">
        <f>IF($U165="","",IF(INDEX('Per Invoice'!O$2:O$401,$U165)="","",INDEX('Per Invoice'!O$2:O$401,$U165)))</f>
        <v/>
      </c>
      <c r="P165" s="7">
        <f>IF($U165="","",IF(INDEX('Per Invoice'!P$2:P$401,$U165)="","",INDEX('Per Invoice'!P$2:P$401,$U165)))</f>
        <v/>
      </c>
      <c r="Q165" s="7">
        <f>IF($U165="","",IF(INDEX('Per Invoice'!Q$2:Q$401,$U165)="","",INDEX('Per Invoice'!Q$2:Q$401,$U165)))</f>
        <v/>
      </c>
      <c r="R165" s="7">
        <f>IF($U165="","",IF(INDEX('Per Invoice'!R$2:R$401,$U165)="","",INDEX('Per Invoice'!R$2:R$401,$U165)))</f>
        <v/>
      </c>
      <c r="S165" s="7">
        <f>IF($U165="","",IF(INDEX('Per Invoice'!S$2:S$401,$U165)="","",INDEX('Per Invoice'!S$2:S$401,$U165)))</f>
        <v/>
      </c>
      <c r="T165" s="7">
        <f>IF($U165="","",IF(INDEX('Per Invoice'!T$2:T$401,$U165)="","",INDEX('Per Invoice'!T$2:T$401,$U165)))</f>
        <v/>
      </c>
      <c r="U165" s="16">
        <f>IFERROR(MATCH(Settings!$C$29&amp;"|"&amp;ROWS($U$2:$U165),'Per Invoice'!$V$2:$V$401,0),"")</f>
        <v/>
      </c>
    </row>
    <row r="166">
      <c r="A166">
        <f>IF($U166="","",IF(INDEX('Per Invoice'!A$2:A$401,$U166)="","",INDEX('Per Invoice'!A$2:A$401,$U166)))</f>
        <v/>
      </c>
      <c r="B166">
        <f>IF($U166="","",IF(INDEX('Per Invoice'!B$2:B$401,$U166)="","",INDEX('Per Invoice'!B$2:B$401,$U166)))</f>
        <v/>
      </c>
      <c r="C166">
        <f>IF($U166="","",IF(INDEX('Per Invoice'!C$2:C$401,$U166)="","",INDEX('Per Invoice'!C$2:C$401,$U166)))</f>
        <v/>
      </c>
      <c r="D166">
        <f>IF($U166="","",IF(INDEX('Per Invoice'!D$2:D$401,$U166)="","",INDEX('Per Invoice'!D$2:D$401,$U166)))</f>
        <v/>
      </c>
      <c r="E166">
        <f>IF($U166="","",IF(INDEX('Per Invoice'!E$2:E$401,$U166)="","",INDEX('Per Invoice'!E$2:E$401,$U166)))</f>
        <v/>
      </c>
      <c r="F166">
        <f>IF($U166="","",IF(INDEX('Per Invoice'!F$2:F$401,$U166)="","",INDEX('Per Invoice'!F$2:F$401,$U166)))</f>
        <v/>
      </c>
      <c r="G166">
        <f>IF($U166="","",IF(INDEX('Per Invoice'!G$2:G$401,$U166)="","",INDEX('Per Invoice'!G$2:G$401,$U166)))</f>
        <v/>
      </c>
      <c r="H166" s="7">
        <f>IF($U166="","",IF(INDEX('Per Invoice'!H$2:H$401,$U166)="","",INDEX('Per Invoice'!H$2:H$401,$U166)))</f>
        <v/>
      </c>
      <c r="I166" s="14">
        <f>IF($U166="","",IF(INDEX('Per Invoice'!I$2:I$401,$U166)="","",INDEX('Per Invoice'!I$2:I$401,$U166)))</f>
        <v/>
      </c>
      <c r="J166">
        <f>IF($U166="","",IF(INDEX('Per Invoice'!J$2:J$401,$U166)="","",INDEX('Per Invoice'!J$2:J$401,$U166)))</f>
        <v/>
      </c>
      <c r="K166">
        <f>IF($U166="","",IF(INDEX('Per Invoice'!K$2:K$401,$U166)="","",INDEX('Per Invoice'!K$2:K$401,$U166)))</f>
        <v/>
      </c>
      <c r="L166" s="7">
        <f>IF($U166="","",IF(INDEX('Per Invoice'!L$2:L$401,$U166)="","",INDEX('Per Invoice'!L$2:L$401,$U166)))</f>
        <v/>
      </c>
      <c r="M166" s="7">
        <f>IF($U166="","",IF(INDEX('Per Invoice'!M$2:M$401,$U166)="","",INDEX('Per Invoice'!M$2:M$401,$U166)))</f>
        <v/>
      </c>
      <c r="N166">
        <f>IF($U166="","",IF(INDEX('Per Invoice'!N$2:N$401,$U166)="","",INDEX('Per Invoice'!N$2:N$401,$U166)))</f>
        <v/>
      </c>
      <c r="O166" s="7">
        <f>IF($U166="","",IF(INDEX('Per Invoice'!O$2:O$401,$U166)="","",INDEX('Per Invoice'!O$2:O$401,$U166)))</f>
        <v/>
      </c>
      <c r="P166" s="7">
        <f>IF($U166="","",IF(INDEX('Per Invoice'!P$2:P$401,$U166)="","",INDEX('Per Invoice'!P$2:P$401,$U166)))</f>
        <v/>
      </c>
      <c r="Q166" s="7">
        <f>IF($U166="","",IF(INDEX('Per Invoice'!Q$2:Q$401,$U166)="","",INDEX('Per Invoice'!Q$2:Q$401,$U166)))</f>
        <v/>
      </c>
      <c r="R166" s="7">
        <f>IF($U166="","",IF(INDEX('Per Invoice'!R$2:R$401,$U166)="","",INDEX('Per Invoice'!R$2:R$401,$U166)))</f>
        <v/>
      </c>
      <c r="S166" s="7">
        <f>IF($U166="","",IF(INDEX('Per Invoice'!S$2:S$401,$U166)="","",INDEX('Per Invoice'!S$2:S$401,$U166)))</f>
        <v/>
      </c>
      <c r="T166" s="7">
        <f>IF($U166="","",IF(INDEX('Per Invoice'!T$2:T$401,$U166)="","",INDEX('Per Invoice'!T$2:T$401,$U166)))</f>
        <v/>
      </c>
      <c r="U166" s="16">
        <f>IFERROR(MATCH(Settings!$C$29&amp;"|"&amp;ROWS($U$2:$U166),'Per Invoice'!$V$2:$V$401,0),"")</f>
        <v/>
      </c>
    </row>
    <row r="167">
      <c r="A167">
        <f>IF($U167="","",IF(INDEX('Per Invoice'!A$2:A$401,$U167)="","",INDEX('Per Invoice'!A$2:A$401,$U167)))</f>
        <v/>
      </c>
      <c r="B167">
        <f>IF($U167="","",IF(INDEX('Per Invoice'!B$2:B$401,$U167)="","",INDEX('Per Invoice'!B$2:B$401,$U167)))</f>
        <v/>
      </c>
      <c r="C167">
        <f>IF($U167="","",IF(INDEX('Per Invoice'!C$2:C$401,$U167)="","",INDEX('Per Invoice'!C$2:C$401,$U167)))</f>
        <v/>
      </c>
      <c r="D167">
        <f>IF($U167="","",IF(INDEX('Per Invoice'!D$2:D$401,$U167)="","",INDEX('Per Invoice'!D$2:D$401,$U167)))</f>
        <v/>
      </c>
      <c r="E167">
        <f>IF($U167="","",IF(INDEX('Per Invoice'!E$2:E$401,$U167)="","",INDEX('Per Invoice'!E$2:E$401,$U167)))</f>
        <v/>
      </c>
      <c r="F167">
        <f>IF($U167="","",IF(INDEX('Per Invoice'!F$2:F$401,$U167)="","",INDEX('Per Invoice'!F$2:F$401,$U167)))</f>
        <v/>
      </c>
      <c r="G167">
        <f>IF($U167="","",IF(INDEX('Per Invoice'!G$2:G$401,$U167)="","",INDEX('Per Invoice'!G$2:G$401,$U167)))</f>
        <v/>
      </c>
      <c r="H167" s="7">
        <f>IF($U167="","",IF(INDEX('Per Invoice'!H$2:H$401,$U167)="","",INDEX('Per Invoice'!H$2:H$401,$U167)))</f>
        <v/>
      </c>
      <c r="I167" s="14">
        <f>IF($U167="","",IF(INDEX('Per Invoice'!I$2:I$401,$U167)="","",INDEX('Per Invoice'!I$2:I$401,$U167)))</f>
        <v/>
      </c>
      <c r="J167">
        <f>IF($U167="","",IF(INDEX('Per Invoice'!J$2:J$401,$U167)="","",INDEX('Per Invoice'!J$2:J$401,$U167)))</f>
        <v/>
      </c>
      <c r="K167">
        <f>IF($U167="","",IF(INDEX('Per Invoice'!K$2:K$401,$U167)="","",INDEX('Per Invoice'!K$2:K$401,$U167)))</f>
        <v/>
      </c>
      <c r="L167" s="7">
        <f>IF($U167="","",IF(INDEX('Per Invoice'!L$2:L$401,$U167)="","",INDEX('Per Invoice'!L$2:L$401,$U167)))</f>
        <v/>
      </c>
      <c r="M167" s="7">
        <f>IF($U167="","",IF(INDEX('Per Invoice'!M$2:M$401,$U167)="","",INDEX('Per Invoice'!M$2:M$401,$U167)))</f>
        <v/>
      </c>
      <c r="N167">
        <f>IF($U167="","",IF(INDEX('Per Invoice'!N$2:N$401,$U167)="","",INDEX('Per Invoice'!N$2:N$401,$U167)))</f>
        <v/>
      </c>
      <c r="O167" s="7">
        <f>IF($U167="","",IF(INDEX('Per Invoice'!O$2:O$401,$U167)="","",INDEX('Per Invoice'!O$2:O$401,$U167)))</f>
        <v/>
      </c>
      <c r="P167" s="7">
        <f>IF($U167="","",IF(INDEX('Per Invoice'!P$2:P$401,$U167)="","",INDEX('Per Invoice'!P$2:P$401,$U167)))</f>
        <v/>
      </c>
      <c r="Q167" s="7">
        <f>IF($U167="","",IF(INDEX('Per Invoice'!Q$2:Q$401,$U167)="","",INDEX('Per Invoice'!Q$2:Q$401,$U167)))</f>
        <v/>
      </c>
      <c r="R167" s="7">
        <f>IF($U167="","",IF(INDEX('Per Invoice'!R$2:R$401,$U167)="","",INDEX('Per Invoice'!R$2:R$401,$U167)))</f>
        <v/>
      </c>
      <c r="S167" s="7">
        <f>IF($U167="","",IF(INDEX('Per Invoice'!S$2:S$401,$U167)="","",INDEX('Per Invoice'!S$2:S$401,$U167)))</f>
        <v/>
      </c>
      <c r="T167" s="7">
        <f>IF($U167="","",IF(INDEX('Per Invoice'!T$2:T$401,$U167)="","",INDEX('Per Invoice'!T$2:T$401,$U167)))</f>
        <v/>
      </c>
      <c r="U167" s="16">
        <f>IFERROR(MATCH(Settings!$C$29&amp;"|"&amp;ROWS($U$2:$U167),'Per Invoice'!$V$2:$V$401,0),"")</f>
        <v/>
      </c>
    </row>
    <row r="168">
      <c r="A168">
        <f>IF($U168="","",IF(INDEX('Per Invoice'!A$2:A$401,$U168)="","",INDEX('Per Invoice'!A$2:A$401,$U168)))</f>
        <v/>
      </c>
      <c r="B168">
        <f>IF($U168="","",IF(INDEX('Per Invoice'!B$2:B$401,$U168)="","",INDEX('Per Invoice'!B$2:B$401,$U168)))</f>
        <v/>
      </c>
      <c r="C168">
        <f>IF($U168="","",IF(INDEX('Per Invoice'!C$2:C$401,$U168)="","",INDEX('Per Invoice'!C$2:C$401,$U168)))</f>
        <v/>
      </c>
      <c r="D168">
        <f>IF($U168="","",IF(INDEX('Per Invoice'!D$2:D$401,$U168)="","",INDEX('Per Invoice'!D$2:D$401,$U168)))</f>
        <v/>
      </c>
      <c r="E168">
        <f>IF($U168="","",IF(INDEX('Per Invoice'!E$2:E$401,$U168)="","",INDEX('Per Invoice'!E$2:E$401,$U168)))</f>
        <v/>
      </c>
      <c r="F168">
        <f>IF($U168="","",IF(INDEX('Per Invoice'!F$2:F$401,$U168)="","",INDEX('Per Invoice'!F$2:F$401,$U168)))</f>
        <v/>
      </c>
      <c r="G168">
        <f>IF($U168="","",IF(INDEX('Per Invoice'!G$2:G$401,$U168)="","",INDEX('Per Invoice'!G$2:G$401,$U168)))</f>
        <v/>
      </c>
      <c r="H168" s="7">
        <f>IF($U168="","",IF(INDEX('Per Invoice'!H$2:H$401,$U168)="","",INDEX('Per Invoice'!H$2:H$401,$U168)))</f>
        <v/>
      </c>
      <c r="I168" s="14">
        <f>IF($U168="","",IF(INDEX('Per Invoice'!I$2:I$401,$U168)="","",INDEX('Per Invoice'!I$2:I$401,$U168)))</f>
        <v/>
      </c>
      <c r="J168">
        <f>IF($U168="","",IF(INDEX('Per Invoice'!J$2:J$401,$U168)="","",INDEX('Per Invoice'!J$2:J$401,$U168)))</f>
        <v/>
      </c>
      <c r="K168">
        <f>IF($U168="","",IF(INDEX('Per Invoice'!K$2:K$401,$U168)="","",INDEX('Per Invoice'!K$2:K$401,$U168)))</f>
        <v/>
      </c>
      <c r="L168" s="7">
        <f>IF($U168="","",IF(INDEX('Per Invoice'!L$2:L$401,$U168)="","",INDEX('Per Invoice'!L$2:L$401,$U168)))</f>
        <v/>
      </c>
      <c r="M168" s="7">
        <f>IF($U168="","",IF(INDEX('Per Invoice'!M$2:M$401,$U168)="","",INDEX('Per Invoice'!M$2:M$401,$U168)))</f>
        <v/>
      </c>
      <c r="N168">
        <f>IF($U168="","",IF(INDEX('Per Invoice'!N$2:N$401,$U168)="","",INDEX('Per Invoice'!N$2:N$401,$U168)))</f>
        <v/>
      </c>
      <c r="O168" s="7">
        <f>IF($U168="","",IF(INDEX('Per Invoice'!O$2:O$401,$U168)="","",INDEX('Per Invoice'!O$2:O$401,$U168)))</f>
        <v/>
      </c>
      <c r="P168" s="7">
        <f>IF($U168="","",IF(INDEX('Per Invoice'!P$2:P$401,$U168)="","",INDEX('Per Invoice'!P$2:P$401,$U168)))</f>
        <v/>
      </c>
      <c r="Q168" s="7">
        <f>IF($U168="","",IF(INDEX('Per Invoice'!Q$2:Q$401,$U168)="","",INDEX('Per Invoice'!Q$2:Q$401,$U168)))</f>
        <v/>
      </c>
      <c r="R168" s="7">
        <f>IF($U168="","",IF(INDEX('Per Invoice'!R$2:R$401,$U168)="","",INDEX('Per Invoice'!R$2:R$401,$U168)))</f>
        <v/>
      </c>
      <c r="S168" s="7">
        <f>IF($U168="","",IF(INDEX('Per Invoice'!S$2:S$401,$U168)="","",INDEX('Per Invoice'!S$2:S$401,$U168)))</f>
        <v/>
      </c>
      <c r="T168" s="7">
        <f>IF($U168="","",IF(INDEX('Per Invoice'!T$2:T$401,$U168)="","",INDEX('Per Invoice'!T$2:T$401,$U168)))</f>
        <v/>
      </c>
      <c r="U168" s="16">
        <f>IFERROR(MATCH(Settings!$C$29&amp;"|"&amp;ROWS($U$2:$U168),'Per Invoice'!$V$2:$V$401,0),"")</f>
        <v/>
      </c>
    </row>
    <row r="169">
      <c r="A169">
        <f>IF($U169="","",IF(INDEX('Per Invoice'!A$2:A$401,$U169)="","",INDEX('Per Invoice'!A$2:A$401,$U169)))</f>
        <v/>
      </c>
      <c r="B169">
        <f>IF($U169="","",IF(INDEX('Per Invoice'!B$2:B$401,$U169)="","",INDEX('Per Invoice'!B$2:B$401,$U169)))</f>
        <v/>
      </c>
      <c r="C169">
        <f>IF($U169="","",IF(INDEX('Per Invoice'!C$2:C$401,$U169)="","",INDEX('Per Invoice'!C$2:C$401,$U169)))</f>
        <v/>
      </c>
      <c r="D169">
        <f>IF($U169="","",IF(INDEX('Per Invoice'!D$2:D$401,$U169)="","",INDEX('Per Invoice'!D$2:D$401,$U169)))</f>
        <v/>
      </c>
      <c r="E169">
        <f>IF($U169="","",IF(INDEX('Per Invoice'!E$2:E$401,$U169)="","",INDEX('Per Invoice'!E$2:E$401,$U169)))</f>
        <v/>
      </c>
      <c r="F169">
        <f>IF($U169="","",IF(INDEX('Per Invoice'!F$2:F$401,$U169)="","",INDEX('Per Invoice'!F$2:F$401,$U169)))</f>
        <v/>
      </c>
      <c r="G169">
        <f>IF($U169="","",IF(INDEX('Per Invoice'!G$2:G$401,$U169)="","",INDEX('Per Invoice'!G$2:G$401,$U169)))</f>
        <v/>
      </c>
      <c r="H169" s="7">
        <f>IF($U169="","",IF(INDEX('Per Invoice'!H$2:H$401,$U169)="","",INDEX('Per Invoice'!H$2:H$401,$U169)))</f>
        <v/>
      </c>
      <c r="I169" s="14">
        <f>IF($U169="","",IF(INDEX('Per Invoice'!I$2:I$401,$U169)="","",INDEX('Per Invoice'!I$2:I$401,$U169)))</f>
        <v/>
      </c>
      <c r="J169">
        <f>IF($U169="","",IF(INDEX('Per Invoice'!J$2:J$401,$U169)="","",INDEX('Per Invoice'!J$2:J$401,$U169)))</f>
        <v/>
      </c>
      <c r="K169">
        <f>IF($U169="","",IF(INDEX('Per Invoice'!K$2:K$401,$U169)="","",INDEX('Per Invoice'!K$2:K$401,$U169)))</f>
        <v/>
      </c>
      <c r="L169" s="7">
        <f>IF($U169="","",IF(INDEX('Per Invoice'!L$2:L$401,$U169)="","",INDEX('Per Invoice'!L$2:L$401,$U169)))</f>
        <v/>
      </c>
      <c r="M169" s="7">
        <f>IF($U169="","",IF(INDEX('Per Invoice'!M$2:M$401,$U169)="","",INDEX('Per Invoice'!M$2:M$401,$U169)))</f>
        <v/>
      </c>
      <c r="N169">
        <f>IF($U169="","",IF(INDEX('Per Invoice'!N$2:N$401,$U169)="","",INDEX('Per Invoice'!N$2:N$401,$U169)))</f>
        <v/>
      </c>
      <c r="O169" s="7">
        <f>IF($U169="","",IF(INDEX('Per Invoice'!O$2:O$401,$U169)="","",INDEX('Per Invoice'!O$2:O$401,$U169)))</f>
        <v/>
      </c>
      <c r="P169" s="7">
        <f>IF($U169="","",IF(INDEX('Per Invoice'!P$2:P$401,$U169)="","",INDEX('Per Invoice'!P$2:P$401,$U169)))</f>
        <v/>
      </c>
      <c r="Q169" s="7">
        <f>IF($U169="","",IF(INDEX('Per Invoice'!Q$2:Q$401,$U169)="","",INDEX('Per Invoice'!Q$2:Q$401,$U169)))</f>
        <v/>
      </c>
      <c r="R169" s="7">
        <f>IF($U169="","",IF(INDEX('Per Invoice'!R$2:R$401,$U169)="","",INDEX('Per Invoice'!R$2:R$401,$U169)))</f>
        <v/>
      </c>
      <c r="S169" s="7">
        <f>IF($U169="","",IF(INDEX('Per Invoice'!S$2:S$401,$U169)="","",INDEX('Per Invoice'!S$2:S$401,$U169)))</f>
        <v/>
      </c>
      <c r="T169" s="7">
        <f>IF($U169="","",IF(INDEX('Per Invoice'!T$2:T$401,$U169)="","",INDEX('Per Invoice'!T$2:T$401,$U169)))</f>
        <v/>
      </c>
      <c r="U169" s="16">
        <f>IFERROR(MATCH(Settings!$C$29&amp;"|"&amp;ROWS($U$2:$U169),'Per Invoice'!$V$2:$V$401,0),"")</f>
        <v/>
      </c>
    </row>
    <row r="170">
      <c r="A170">
        <f>IF($U170="","",IF(INDEX('Per Invoice'!A$2:A$401,$U170)="","",INDEX('Per Invoice'!A$2:A$401,$U170)))</f>
        <v/>
      </c>
      <c r="B170">
        <f>IF($U170="","",IF(INDEX('Per Invoice'!B$2:B$401,$U170)="","",INDEX('Per Invoice'!B$2:B$401,$U170)))</f>
        <v/>
      </c>
      <c r="C170">
        <f>IF($U170="","",IF(INDEX('Per Invoice'!C$2:C$401,$U170)="","",INDEX('Per Invoice'!C$2:C$401,$U170)))</f>
        <v/>
      </c>
      <c r="D170">
        <f>IF($U170="","",IF(INDEX('Per Invoice'!D$2:D$401,$U170)="","",INDEX('Per Invoice'!D$2:D$401,$U170)))</f>
        <v/>
      </c>
      <c r="E170">
        <f>IF($U170="","",IF(INDEX('Per Invoice'!E$2:E$401,$U170)="","",INDEX('Per Invoice'!E$2:E$401,$U170)))</f>
        <v/>
      </c>
      <c r="F170">
        <f>IF($U170="","",IF(INDEX('Per Invoice'!F$2:F$401,$U170)="","",INDEX('Per Invoice'!F$2:F$401,$U170)))</f>
        <v/>
      </c>
      <c r="G170">
        <f>IF($U170="","",IF(INDEX('Per Invoice'!G$2:G$401,$U170)="","",INDEX('Per Invoice'!G$2:G$401,$U170)))</f>
        <v/>
      </c>
      <c r="H170" s="7">
        <f>IF($U170="","",IF(INDEX('Per Invoice'!H$2:H$401,$U170)="","",INDEX('Per Invoice'!H$2:H$401,$U170)))</f>
        <v/>
      </c>
      <c r="I170" s="14">
        <f>IF($U170="","",IF(INDEX('Per Invoice'!I$2:I$401,$U170)="","",INDEX('Per Invoice'!I$2:I$401,$U170)))</f>
        <v/>
      </c>
      <c r="J170">
        <f>IF($U170="","",IF(INDEX('Per Invoice'!J$2:J$401,$U170)="","",INDEX('Per Invoice'!J$2:J$401,$U170)))</f>
        <v/>
      </c>
      <c r="K170">
        <f>IF($U170="","",IF(INDEX('Per Invoice'!K$2:K$401,$U170)="","",INDEX('Per Invoice'!K$2:K$401,$U170)))</f>
        <v/>
      </c>
      <c r="L170" s="7">
        <f>IF($U170="","",IF(INDEX('Per Invoice'!L$2:L$401,$U170)="","",INDEX('Per Invoice'!L$2:L$401,$U170)))</f>
        <v/>
      </c>
      <c r="M170" s="7">
        <f>IF($U170="","",IF(INDEX('Per Invoice'!M$2:M$401,$U170)="","",INDEX('Per Invoice'!M$2:M$401,$U170)))</f>
        <v/>
      </c>
      <c r="N170">
        <f>IF($U170="","",IF(INDEX('Per Invoice'!N$2:N$401,$U170)="","",INDEX('Per Invoice'!N$2:N$401,$U170)))</f>
        <v/>
      </c>
      <c r="O170" s="7">
        <f>IF($U170="","",IF(INDEX('Per Invoice'!O$2:O$401,$U170)="","",INDEX('Per Invoice'!O$2:O$401,$U170)))</f>
        <v/>
      </c>
      <c r="P170" s="7">
        <f>IF($U170="","",IF(INDEX('Per Invoice'!P$2:P$401,$U170)="","",INDEX('Per Invoice'!P$2:P$401,$U170)))</f>
        <v/>
      </c>
      <c r="Q170" s="7">
        <f>IF($U170="","",IF(INDEX('Per Invoice'!Q$2:Q$401,$U170)="","",INDEX('Per Invoice'!Q$2:Q$401,$U170)))</f>
        <v/>
      </c>
      <c r="R170" s="7">
        <f>IF($U170="","",IF(INDEX('Per Invoice'!R$2:R$401,$U170)="","",INDEX('Per Invoice'!R$2:R$401,$U170)))</f>
        <v/>
      </c>
      <c r="S170" s="7">
        <f>IF($U170="","",IF(INDEX('Per Invoice'!S$2:S$401,$U170)="","",INDEX('Per Invoice'!S$2:S$401,$U170)))</f>
        <v/>
      </c>
      <c r="T170" s="7">
        <f>IF($U170="","",IF(INDEX('Per Invoice'!T$2:T$401,$U170)="","",INDEX('Per Invoice'!T$2:T$401,$U170)))</f>
        <v/>
      </c>
      <c r="U170" s="16">
        <f>IFERROR(MATCH(Settings!$C$29&amp;"|"&amp;ROWS($U$2:$U170),'Per Invoice'!$V$2:$V$401,0),"")</f>
        <v/>
      </c>
    </row>
    <row r="171">
      <c r="A171">
        <f>IF($U171="","",IF(INDEX('Per Invoice'!A$2:A$401,$U171)="","",INDEX('Per Invoice'!A$2:A$401,$U171)))</f>
        <v/>
      </c>
      <c r="B171">
        <f>IF($U171="","",IF(INDEX('Per Invoice'!B$2:B$401,$U171)="","",INDEX('Per Invoice'!B$2:B$401,$U171)))</f>
        <v/>
      </c>
      <c r="C171">
        <f>IF($U171="","",IF(INDEX('Per Invoice'!C$2:C$401,$U171)="","",INDEX('Per Invoice'!C$2:C$401,$U171)))</f>
        <v/>
      </c>
      <c r="D171">
        <f>IF($U171="","",IF(INDEX('Per Invoice'!D$2:D$401,$U171)="","",INDEX('Per Invoice'!D$2:D$401,$U171)))</f>
        <v/>
      </c>
      <c r="E171">
        <f>IF($U171="","",IF(INDEX('Per Invoice'!E$2:E$401,$U171)="","",INDEX('Per Invoice'!E$2:E$401,$U171)))</f>
        <v/>
      </c>
      <c r="F171">
        <f>IF($U171="","",IF(INDEX('Per Invoice'!F$2:F$401,$U171)="","",INDEX('Per Invoice'!F$2:F$401,$U171)))</f>
        <v/>
      </c>
      <c r="G171">
        <f>IF($U171="","",IF(INDEX('Per Invoice'!G$2:G$401,$U171)="","",INDEX('Per Invoice'!G$2:G$401,$U171)))</f>
        <v/>
      </c>
      <c r="H171" s="7">
        <f>IF($U171="","",IF(INDEX('Per Invoice'!H$2:H$401,$U171)="","",INDEX('Per Invoice'!H$2:H$401,$U171)))</f>
        <v/>
      </c>
      <c r="I171" s="14">
        <f>IF($U171="","",IF(INDEX('Per Invoice'!I$2:I$401,$U171)="","",INDEX('Per Invoice'!I$2:I$401,$U171)))</f>
        <v/>
      </c>
      <c r="J171">
        <f>IF($U171="","",IF(INDEX('Per Invoice'!J$2:J$401,$U171)="","",INDEX('Per Invoice'!J$2:J$401,$U171)))</f>
        <v/>
      </c>
      <c r="K171">
        <f>IF($U171="","",IF(INDEX('Per Invoice'!K$2:K$401,$U171)="","",INDEX('Per Invoice'!K$2:K$401,$U171)))</f>
        <v/>
      </c>
      <c r="L171" s="7">
        <f>IF($U171="","",IF(INDEX('Per Invoice'!L$2:L$401,$U171)="","",INDEX('Per Invoice'!L$2:L$401,$U171)))</f>
        <v/>
      </c>
      <c r="M171" s="7">
        <f>IF($U171="","",IF(INDEX('Per Invoice'!M$2:M$401,$U171)="","",INDEX('Per Invoice'!M$2:M$401,$U171)))</f>
        <v/>
      </c>
      <c r="N171">
        <f>IF($U171="","",IF(INDEX('Per Invoice'!N$2:N$401,$U171)="","",INDEX('Per Invoice'!N$2:N$401,$U171)))</f>
        <v/>
      </c>
      <c r="O171" s="7">
        <f>IF($U171="","",IF(INDEX('Per Invoice'!O$2:O$401,$U171)="","",INDEX('Per Invoice'!O$2:O$401,$U171)))</f>
        <v/>
      </c>
      <c r="P171" s="7">
        <f>IF($U171="","",IF(INDEX('Per Invoice'!P$2:P$401,$U171)="","",INDEX('Per Invoice'!P$2:P$401,$U171)))</f>
        <v/>
      </c>
      <c r="Q171" s="7">
        <f>IF($U171="","",IF(INDEX('Per Invoice'!Q$2:Q$401,$U171)="","",INDEX('Per Invoice'!Q$2:Q$401,$U171)))</f>
        <v/>
      </c>
      <c r="R171" s="7">
        <f>IF($U171="","",IF(INDEX('Per Invoice'!R$2:R$401,$U171)="","",INDEX('Per Invoice'!R$2:R$401,$U171)))</f>
        <v/>
      </c>
      <c r="S171" s="7">
        <f>IF($U171="","",IF(INDEX('Per Invoice'!S$2:S$401,$U171)="","",INDEX('Per Invoice'!S$2:S$401,$U171)))</f>
        <v/>
      </c>
      <c r="T171" s="7">
        <f>IF($U171="","",IF(INDEX('Per Invoice'!T$2:T$401,$U171)="","",INDEX('Per Invoice'!T$2:T$401,$U171)))</f>
        <v/>
      </c>
      <c r="U171" s="16">
        <f>IFERROR(MATCH(Settings!$C$29&amp;"|"&amp;ROWS($U$2:$U171),'Per Invoice'!$V$2:$V$401,0),"")</f>
        <v/>
      </c>
    </row>
    <row r="172">
      <c r="A172">
        <f>IF($U172="","",IF(INDEX('Per Invoice'!A$2:A$401,$U172)="","",INDEX('Per Invoice'!A$2:A$401,$U172)))</f>
        <v/>
      </c>
      <c r="B172">
        <f>IF($U172="","",IF(INDEX('Per Invoice'!B$2:B$401,$U172)="","",INDEX('Per Invoice'!B$2:B$401,$U172)))</f>
        <v/>
      </c>
      <c r="C172">
        <f>IF($U172="","",IF(INDEX('Per Invoice'!C$2:C$401,$U172)="","",INDEX('Per Invoice'!C$2:C$401,$U172)))</f>
        <v/>
      </c>
      <c r="D172">
        <f>IF($U172="","",IF(INDEX('Per Invoice'!D$2:D$401,$U172)="","",INDEX('Per Invoice'!D$2:D$401,$U172)))</f>
        <v/>
      </c>
      <c r="E172">
        <f>IF($U172="","",IF(INDEX('Per Invoice'!E$2:E$401,$U172)="","",INDEX('Per Invoice'!E$2:E$401,$U172)))</f>
        <v/>
      </c>
      <c r="F172">
        <f>IF($U172="","",IF(INDEX('Per Invoice'!F$2:F$401,$U172)="","",INDEX('Per Invoice'!F$2:F$401,$U172)))</f>
        <v/>
      </c>
      <c r="G172">
        <f>IF($U172="","",IF(INDEX('Per Invoice'!G$2:G$401,$U172)="","",INDEX('Per Invoice'!G$2:G$401,$U172)))</f>
        <v/>
      </c>
      <c r="H172" s="7">
        <f>IF($U172="","",IF(INDEX('Per Invoice'!H$2:H$401,$U172)="","",INDEX('Per Invoice'!H$2:H$401,$U172)))</f>
        <v/>
      </c>
      <c r="I172" s="14">
        <f>IF($U172="","",IF(INDEX('Per Invoice'!I$2:I$401,$U172)="","",INDEX('Per Invoice'!I$2:I$401,$U172)))</f>
        <v/>
      </c>
      <c r="J172">
        <f>IF($U172="","",IF(INDEX('Per Invoice'!J$2:J$401,$U172)="","",INDEX('Per Invoice'!J$2:J$401,$U172)))</f>
        <v/>
      </c>
      <c r="K172">
        <f>IF($U172="","",IF(INDEX('Per Invoice'!K$2:K$401,$U172)="","",INDEX('Per Invoice'!K$2:K$401,$U172)))</f>
        <v/>
      </c>
      <c r="L172" s="7">
        <f>IF($U172="","",IF(INDEX('Per Invoice'!L$2:L$401,$U172)="","",INDEX('Per Invoice'!L$2:L$401,$U172)))</f>
        <v/>
      </c>
      <c r="M172" s="7">
        <f>IF($U172="","",IF(INDEX('Per Invoice'!M$2:M$401,$U172)="","",INDEX('Per Invoice'!M$2:M$401,$U172)))</f>
        <v/>
      </c>
      <c r="N172">
        <f>IF($U172="","",IF(INDEX('Per Invoice'!N$2:N$401,$U172)="","",INDEX('Per Invoice'!N$2:N$401,$U172)))</f>
        <v/>
      </c>
      <c r="O172" s="7">
        <f>IF($U172="","",IF(INDEX('Per Invoice'!O$2:O$401,$U172)="","",INDEX('Per Invoice'!O$2:O$401,$U172)))</f>
        <v/>
      </c>
      <c r="P172" s="7">
        <f>IF($U172="","",IF(INDEX('Per Invoice'!P$2:P$401,$U172)="","",INDEX('Per Invoice'!P$2:P$401,$U172)))</f>
        <v/>
      </c>
      <c r="Q172" s="7">
        <f>IF($U172="","",IF(INDEX('Per Invoice'!Q$2:Q$401,$U172)="","",INDEX('Per Invoice'!Q$2:Q$401,$U172)))</f>
        <v/>
      </c>
      <c r="R172" s="7">
        <f>IF($U172="","",IF(INDEX('Per Invoice'!R$2:R$401,$U172)="","",INDEX('Per Invoice'!R$2:R$401,$U172)))</f>
        <v/>
      </c>
      <c r="S172" s="7">
        <f>IF($U172="","",IF(INDEX('Per Invoice'!S$2:S$401,$U172)="","",INDEX('Per Invoice'!S$2:S$401,$U172)))</f>
        <v/>
      </c>
      <c r="T172" s="7">
        <f>IF($U172="","",IF(INDEX('Per Invoice'!T$2:T$401,$U172)="","",INDEX('Per Invoice'!T$2:T$401,$U172)))</f>
        <v/>
      </c>
      <c r="U172" s="16">
        <f>IFERROR(MATCH(Settings!$C$29&amp;"|"&amp;ROWS($U$2:$U172),'Per Invoice'!$V$2:$V$401,0),"")</f>
        <v/>
      </c>
    </row>
    <row r="173">
      <c r="A173">
        <f>IF($U173="","",IF(INDEX('Per Invoice'!A$2:A$401,$U173)="","",INDEX('Per Invoice'!A$2:A$401,$U173)))</f>
        <v/>
      </c>
      <c r="B173">
        <f>IF($U173="","",IF(INDEX('Per Invoice'!B$2:B$401,$U173)="","",INDEX('Per Invoice'!B$2:B$401,$U173)))</f>
        <v/>
      </c>
      <c r="C173">
        <f>IF($U173="","",IF(INDEX('Per Invoice'!C$2:C$401,$U173)="","",INDEX('Per Invoice'!C$2:C$401,$U173)))</f>
        <v/>
      </c>
      <c r="D173">
        <f>IF($U173="","",IF(INDEX('Per Invoice'!D$2:D$401,$U173)="","",INDEX('Per Invoice'!D$2:D$401,$U173)))</f>
        <v/>
      </c>
      <c r="E173">
        <f>IF($U173="","",IF(INDEX('Per Invoice'!E$2:E$401,$U173)="","",INDEX('Per Invoice'!E$2:E$401,$U173)))</f>
        <v/>
      </c>
      <c r="F173">
        <f>IF($U173="","",IF(INDEX('Per Invoice'!F$2:F$401,$U173)="","",INDEX('Per Invoice'!F$2:F$401,$U173)))</f>
        <v/>
      </c>
      <c r="G173">
        <f>IF($U173="","",IF(INDEX('Per Invoice'!G$2:G$401,$U173)="","",INDEX('Per Invoice'!G$2:G$401,$U173)))</f>
        <v/>
      </c>
      <c r="H173" s="7">
        <f>IF($U173="","",IF(INDEX('Per Invoice'!H$2:H$401,$U173)="","",INDEX('Per Invoice'!H$2:H$401,$U173)))</f>
        <v/>
      </c>
      <c r="I173" s="14">
        <f>IF($U173="","",IF(INDEX('Per Invoice'!I$2:I$401,$U173)="","",INDEX('Per Invoice'!I$2:I$401,$U173)))</f>
        <v/>
      </c>
      <c r="J173">
        <f>IF($U173="","",IF(INDEX('Per Invoice'!J$2:J$401,$U173)="","",INDEX('Per Invoice'!J$2:J$401,$U173)))</f>
        <v/>
      </c>
      <c r="K173">
        <f>IF($U173="","",IF(INDEX('Per Invoice'!K$2:K$401,$U173)="","",INDEX('Per Invoice'!K$2:K$401,$U173)))</f>
        <v/>
      </c>
      <c r="L173" s="7">
        <f>IF($U173="","",IF(INDEX('Per Invoice'!L$2:L$401,$U173)="","",INDEX('Per Invoice'!L$2:L$401,$U173)))</f>
        <v/>
      </c>
      <c r="M173" s="7">
        <f>IF($U173="","",IF(INDEX('Per Invoice'!M$2:M$401,$U173)="","",INDEX('Per Invoice'!M$2:M$401,$U173)))</f>
        <v/>
      </c>
      <c r="N173">
        <f>IF($U173="","",IF(INDEX('Per Invoice'!N$2:N$401,$U173)="","",INDEX('Per Invoice'!N$2:N$401,$U173)))</f>
        <v/>
      </c>
      <c r="O173" s="7">
        <f>IF($U173="","",IF(INDEX('Per Invoice'!O$2:O$401,$U173)="","",INDEX('Per Invoice'!O$2:O$401,$U173)))</f>
        <v/>
      </c>
      <c r="P173" s="7">
        <f>IF($U173="","",IF(INDEX('Per Invoice'!P$2:P$401,$U173)="","",INDEX('Per Invoice'!P$2:P$401,$U173)))</f>
        <v/>
      </c>
      <c r="Q173" s="7">
        <f>IF($U173="","",IF(INDEX('Per Invoice'!Q$2:Q$401,$U173)="","",INDEX('Per Invoice'!Q$2:Q$401,$U173)))</f>
        <v/>
      </c>
      <c r="R173" s="7">
        <f>IF($U173="","",IF(INDEX('Per Invoice'!R$2:R$401,$U173)="","",INDEX('Per Invoice'!R$2:R$401,$U173)))</f>
        <v/>
      </c>
      <c r="S173" s="7">
        <f>IF($U173="","",IF(INDEX('Per Invoice'!S$2:S$401,$U173)="","",INDEX('Per Invoice'!S$2:S$401,$U173)))</f>
        <v/>
      </c>
      <c r="T173" s="7">
        <f>IF($U173="","",IF(INDEX('Per Invoice'!T$2:T$401,$U173)="","",INDEX('Per Invoice'!T$2:T$401,$U173)))</f>
        <v/>
      </c>
      <c r="U173" s="16">
        <f>IFERROR(MATCH(Settings!$C$29&amp;"|"&amp;ROWS($U$2:$U173),'Per Invoice'!$V$2:$V$401,0),"")</f>
        <v/>
      </c>
    </row>
    <row r="174">
      <c r="A174">
        <f>IF($U174="","",IF(INDEX('Per Invoice'!A$2:A$401,$U174)="","",INDEX('Per Invoice'!A$2:A$401,$U174)))</f>
        <v/>
      </c>
      <c r="B174">
        <f>IF($U174="","",IF(INDEX('Per Invoice'!B$2:B$401,$U174)="","",INDEX('Per Invoice'!B$2:B$401,$U174)))</f>
        <v/>
      </c>
      <c r="C174">
        <f>IF($U174="","",IF(INDEX('Per Invoice'!C$2:C$401,$U174)="","",INDEX('Per Invoice'!C$2:C$401,$U174)))</f>
        <v/>
      </c>
      <c r="D174">
        <f>IF($U174="","",IF(INDEX('Per Invoice'!D$2:D$401,$U174)="","",INDEX('Per Invoice'!D$2:D$401,$U174)))</f>
        <v/>
      </c>
      <c r="E174">
        <f>IF($U174="","",IF(INDEX('Per Invoice'!E$2:E$401,$U174)="","",INDEX('Per Invoice'!E$2:E$401,$U174)))</f>
        <v/>
      </c>
      <c r="F174">
        <f>IF($U174="","",IF(INDEX('Per Invoice'!F$2:F$401,$U174)="","",INDEX('Per Invoice'!F$2:F$401,$U174)))</f>
        <v/>
      </c>
      <c r="G174">
        <f>IF($U174="","",IF(INDEX('Per Invoice'!G$2:G$401,$U174)="","",INDEX('Per Invoice'!G$2:G$401,$U174)))</f>
        <v/>
      </c>
      <c r="H174" s="7">
        <f>IF($U174="","",IF(INDEX('Per Invoice'!H$2:H$401,$U174)="","",INDEX('Per Invoice'!H$2:H$401,$U174)))</f>
        <v/>
      </c>
      <c r="I174" s="14">
        <f>IF($U174="","",IF(INDEX('Per Invoice'!I$2:I$401,$U174)="","",INDEX('Per Invoice'!I$2:I$401,$U174)))</f>
        <v/>
      </c>
      <c r="J174">
        <f>IF($U174="","",IF(INDEX('Per Invoice'!J$2:J$401,$U174)="","",INDEX('Per Invoice'!J$2:J$401,$U174)))</f>
        <v/>
      </c>
      <c r="K174">
        <f>IF($U174="","",IF(INDEX('Per Invoice'!K$2:K$401,$U174)="","",INDEX('Per Invoice'!K$2:K$401,$U174)))</f>
        <v/>
      </c>
      <c r="L174" s="7">
        <f>IF($U174="","",IF(INDEX('Per Invoice'!L$2:L$401,$U174)="","",INDEX('Per Invoice'!L$2:L$401,$U174)))</f>
        <v/>
      </c>
      <c r="M174" s="7">
        <f>IF($U174="","",IF(INDEX('Per Invoice'!M$2:M$401,$U174)="","",INDEX('Per Invoice'!M$2:M$401,$U174)))</f>
        <v/>
      </c>
      <c r="N174">
        <f>IF($U174="","",IF(INDEX('Per Invoice'!N$2:N$401,$U174)="","",INDEX('Per Invoice'!N$2:N$401,$U174)))</f>
        <v/>
      </c>
      <c r="O174" s="7">
        <f>IF($U174="","",IF(INDEX('Per Invoice'!O$2:O$401,$U174)="","",INDEX('Per Invoice'!O$2:O$401,$U174)))</f>
        <v/>
      </c>
      <c r="P174" s="7">
        <f>IF($U174="","",IF(INDEX('Per Invoice'!P$2:P$401,$U174)="","",INDEX('Per Invoice'!P$2:P$401,$U174)))</f>
        <v/>
      </c>
      <c r="Q174" s="7">
        <f>IF($U174="","",IF(INDEX('Per Invoice'!Q$2:Q$401,$U174)="","",INDEX('Per Invoice'!Q$2:Q$401,$U174)))</f>
        <v/>
      </c>
      <c r="R174" s="7">
        <f>IF($U174="","",IF(INDEX('Per Invoice'!R$2:R$401,$U174)="","",INDEX('Per Invoice'!R$2:R$401,$U174)))</f>
        <v/>
      </c>
      <c r="S174" s="7">
        <f>IF($U174="","",IF(INDEX('Per Invoice'!S$2:S$401,$U174)="","",INDEX('Per Invoice'!S$2:S$401,$U174)))</f>
        <v/>
      </c>
      <c r="T174" s="7">
        <f>IF($U174="","",IF(INDEX('Per Invoice'!T$2:T$401,$U174)="","",INDEX('Per Invoice'!T$2:T$401,$U174)))</f>
        <v/>
      </c>
      <c r="U174" s="16">
        <f>IFERROR(MATCH(Settings!$C$29&amp;"|"&amp;ROWS($U$2:$U174),'Per Invoice'!$V$2:$V$401,0),"")</f>
        <v/>
      </c>
    </row>
    <row r="175">
      <c r="A175">
        <f>IF($U175="","",IF(INDEX('Per Invoice'!A$2:A$401,$U175)="","",INDEX('Per Invoice'!A$2:A$401,$U175)))</f>
        <v/>
      </c>
      <c r="B175">
        <f>IF($U175="","",IF(INDEX('Per Invoice'!B$2:B$401,$U175)="","",INDEX('Per Invoice'!B$2:B$401,$U175)))</f>
        <v/>
      </c>
      <c r="C175">
        <f>IF($U175="","",IF(INDEX('Per Invoice'!C$2:C$401,$U175)="","",INDEX('Per Invoice'!C$2:C$401,$U175)))</f>
        <v/>
      </c>
      <c r="D175">
        <f>IF($U175="","",IF(INDEX('Per Invoice'!D$2:D$401,$U175)="","",INDEX('Per Invoice'!D$2:D$401,$U175)))</f>
        <v/>
      </c>
      <c r="E175">
        <f>IF($U175="","",IF(INDEX('Per Invoice'!E$2:E$401,$U175)="","",INDEX('Per Invoice'!E$2:E$401,$U175)))</f>
        <v/>
      </c>
      <c r="F175">
        <f>IF($U175="","",IF(INDEX('Per Invoice'!F$2:F$401,$U175)="","",INDEX('Per Invoice'!F$2:F$401,$U175)))</f>
        <v/>
      </c>
      <c r="G175">
        <f>IF($U175="","",IF(INDEX('Per Invoice'!G$2:G$401,$U175)="","",INDEX('Per Invoice'!G$2:G$401,$U175)))</f>
        <v/>
      </c>
      <c r="H175" s="7">
        <f>IF($U175="","",IF(INDEX('Per Invoice'!H$2:H$401,$U175)="","",INDEX('Per Invoice'!H$2:H$401,$U175)))</f>
        <v/>
      </c>
      <c r="I175" s="14">
        <f>IF($U175="","",IF(INDEX('Per Invoice'!I$2:I$401,$U175)="","",INDEX('Per Invoice'!I$2:I$401,$U175)))</f>
        <v/>
      </c>
      <c r="J175">
        <f>IF($U175="","",IF(INDEX('Per Invoice'!J$2:J$401,$U175)="","",INDEX('Per Invoice'!J$2:J$401,$U175)))</f>
        <v/>
      </c>
      <c r="K175">
        <f>IF($U175="","",IF(INDEX('Per Invoice'!K$2:K$401,$U175)="","",INDEX('Per Invoice'!K$2:K$401,$U175)))</f>
        <v/>
      </c>
      <c r="L175" s="7">
        <f>IF($U175="","",IF(INDEX('Per Invoice'!L$2:L$401,$U175)="","",INDEX('Per Invoice'!L$2:L$401,$U175)))</f>
        <v/>
      </c>
      <c r="M175" s="7">
        <f>IF($U175="","",IF(INDEX('Per Invoice'!M$2:M$401,$U175)="","",INDEX('Per Invoice'!M$2:M$401,$U175)))</f>
        <v/>
      </c>
      <c r="N175">
        <f>IF($U175="","",IF(INDEX('Per Invoice'!N$2:N$401,$U175)="","",INDEX('Per Invoice'!N$2:N$401,$U175)))</f>
        <v/>
      </c>
      <c r="O175" s="7">
        <f>IF($U175="","",IF(INDEX('Per Invoice'!O$2:O$401,$U175)="","",INDEX('Per Invoice'!O$2:O$401,$U175)))</f>
        <v/>
      </c>
      <c r="P175" s="7">
        <f>IF($U175="","",IF(INDEX('Per Invoice'!P$2:P$401,$U175)="","",INDEX('Per Invoice'!P$2:P$401,$U175)))</f>
        <v/>
      </c>
      <c r="Q175" s="7">
        <f>IF($U175="","",IF(INDEX('Per Invoice'!Q$2:Q$401,$U175)="","",INDEX('Per Invoice'!Q$2:Q$401,$U175)))</f>
        <v/>
      </c>
      <c r="R175" s="7">
        <f>IF($U175="","",IF(INDEX('Per Invoice'!R$2:R$401,$U175)="","",INDEX('Per Invoice'!R$2:R$401,$U175)))</f>
        <v/>
      </c>
      <c r="S175" s="7">
        <f>IF($U175="","",IF(INDEX('Per Invoice'!S$2:S$401,$U175)="","",INDEX('Per Invoice'!S$2:S$401,$U175)))</f>
        <v/>
      </c>
      <c r="T175" s="7">
        <f>IF($U175="","",IF(INDEX('Per Invoice'!T$2:T$401,$U175)="","",INDEX('Per Invoice'!T$2:T$401,$U175)))</f>
        <v/>
      </c>
      <c r="U175" s="16">
        <f>IFERROR(MATCH(Settings!$C$29&amp;"|"&amp;ROWS($U$2:$U175),'Per Invoice'!$V$2:$V$401,0),"")</f>
        <v/>
      </c>
    </row>
    <row r="176">
      <c r="A176">
        <f>IF($U176="","",IF(INDEX('Per Invoice'!A$2:A$401,$U176)="","",INDEX('Per Invoice'!A$2:A$401,$U176)))</f>
        <v/>
      </c>
      <c r="B176">
        <f>IF($U176="","",IF(INDEX('Per Invoice'!B$2:B$401,$U176)="","",INDEX('Per Invoice'!B$2:B$401,$U176)))</f>
        <v/>
      </c>
      <c r="C176">
        <f>IF($U176="","",IF(INDEX('Per Invoice'!C$2:C$401,$U176)="","",INDEX('Per Invoice'!C$2:C$401,$U176)))</f>
        <v/>
      </c>
      <c r="D176">
        <f>IF($U176="","",IF(INDEX('Per Invoice'!D$2:D$401,$U176)="","",INDEX('Per Invoice'!D$2:D$401,$U176)))</f>
        <v/>
      </c>
      <c r="E176">
        <f>IF($U176="","",IF(INDEX('Per Invoice'!E$2:E$401,$U176)="","",INDEX('Per Invoice'!E$2:E$401,$U176)))</f>
        <v/>
      </c>
      <c r="F176">
        <f>IF($U176="","",IF(INDEX('Per Invoice'!F$2:F$401,$U176)="","",INDEX('Per Invoice'!F$2:F$401,$U176)))</f>
        <v/>
      </c>
      <c r="G176">
        <f>IF($U176="","",IF(INDEX('Per Invoice'!G$2:G$401,$U176)="","",INDEX('Per Invoice'!G$2:G$401,$U176)))</f>
        <v/>
      </c>
      <c r="H176" s="7">
        <f>IF($U176="","",IF(INDEX('Per Invoice'!H$2:H$401,$U176)="","",INDEX('Per Invoice'!H$2:H$401,$U176)))</f>
        <v/>
      </c>
      <c r="I176" s="14">
        <f>IF($U176="","",IF(INDEX('Per Invoice'!I$2:I$401,$U176)="","",INDEX('Per Invoice'!I$2:I$401,$U176)))</f>
        <v/>
      </c>
      <c r="J176">
        <f>IF($U176="","",IF(INDEX('Per Invoice'!J$2:J$401,$U176)="","",INDEX('Per Invoice'!J$2:J$401,$U176)))</f>
        <v/>
      </c>
      <c r="K176">
        <f>IF($U176="","",IF(INDEX('Per Invoice'!K$2:K$401,$U176)="","",INDEX('Per Invoice'!K$2:K$401,$U176)))</f>
        <v/>
      </c>
      <c r="L176" s="7">
        <f>IF($U176="","",IF(INDEX('Per Invoice'!L$2:L$401,$U176)="","",INDEX('Per Invoice'!L$2:L$401,$U176)))</f>
        <v/>
      </c>
      <c r="M176" s="7">
        <f>IF($U176="","",IF(INDEX('Per Invoice'!M$2:M$401,$U176)="","",INDEX('Per Invoice'!M$2:M$401,$U176)))</f>
        <v/>
      </c>
      <c r="N176">
        <f>IF($U176="","",IF(INDEX('Per Invoice'!N$2:N$401,$U176)="","",INDEX('Per Invoice'!N$2:N$401,$U176)))</f>
        <v/>
      </c>
      <c r="O176" s="7">
        <f>IF($U176="","",IF(INDEX('Per Invoice'!O$2:O$401,$U176)="","",INDEX('Per Invoice'!O$2:O$401,$U176)))</f>
        <v/>
      </c>
      <c r="P176" s="7">
        <f>IF($U176="","",IF(INDEX('Per Invoice'!P$2:P$401,$U176)="","",INDEX('Per Invoice'!P$2:P$401,$U176)))</f>
        <v/>
      </c>
      <c r="Q176" s="7">
        <f>IF($U176="","",IF(INDEX('Per Invoice'!Q$2:Q$401,$U176)="","",INDEX('Per Invoice'!Q$2:Q$401,$U176)))</f>
        <v/>
      </c>
      <c r="R176" s="7">
        <f>IF($U176="","",IF(INDEX('Per Invoice'!R$2:R$401,$U176)="","",INDEX('Per Invoice'!R$2:R$401,$U176)))</f>
        <v/>
      </c>
      <c r="S176" s="7">
        <f>IF($U176="","",IF(INDEX('Per Invoice'!S$2:S$401,$U176)="","",INDEX('Per Invoice'!S$2:S$401,$U176)))</f>
        <v/>
      </c>
      <c r="T176" s="7">
        <f>IF($U176="","",IF(INDEX('Per Invoice'!T$2:T$401,$U176)="","",INDEX('Per Invoice'!T$2:T$401,$U176)))</f>
        <v/>
      </c>
      <c r="U176" s="16">
        <f>IFERROR(MATCH(Settings!$C$29&amp;"|"&amp;ROWS($U$2:$U176),'Per Invoice'!$V$2:$V$401,0),"")</f>
        <v/>
      </c>
    </row>
    <row r="177">
      <c r="A177">
        <f>IF($U177="","",IF(INDEX('Per Invoice'!A$2:A$401,$U177)="","",INDEX('Per Invoice'!A$2:A$401,$U177)))</f>
        <v/>
      </c>
      <c r="B177">
        <f>IF($U177="","",IF(INDEX('Per Invoice'!B$2:B$401,$U177)="","",INDEX('Per Invoice'!B$2:B$401,$U177)))</f>
        <v/>
      </c>
      <c r="C177">
        <f>IF($U177="","",IF(INDEX('Per Invoice'!C$2:C$401,$U177)="","",INDEX('Per Invoice'!C$2:C$401,$U177)))</f>
        <v/>
      </c>
      <c r="D177">
        <f>IF($U177="","",IF(INDEX('Per Invoice'!D$2:D$401,$U177)="","",INDEX('Per Invoice'!D$2:D$401,$U177)))</f>
        <v/>
      </c>
      <c r="E177">
        <f>IF($U177="","",IF(INDEX('Per Invoice'!E$2:E$401,$U177)="","",INDEX('Per Invoice'!E$2:E$401,$U177)))</f>
        <v/>
      </c>
      <c r="F177">
        <f>IF($U177="","",IF(INDEX('Per Invoice'!F$2:F$401,$U177)="","",INDEX('Per Invoice'!F$2:F$401,$U177)))</f>
        <v/>
      </c>
      <c r="G177">
        <f>IF($U177="","",IF(INDEX('Per Invoice'!G$2:G$401,$U177)="","",INDEX('Per Invoice'!G$2:G$401,$U177)))</f>
        <v/>
      </c>
      <c r="H177" s="7">
        <f>IF($U177="","",IF(INDEX('Per Invoice'!H$2:H$401,$U177)="","",INDEX('Per Invoice'!H$2:H$401,$U177)))</f>
        <v/>
      </c>
      <c r="I177" s="14">
        <f>IF($U177="","",IF(INDEX('Per Invoice'!I$2:I$401,$U177)="","",INDEX('Per Invoice'!I$2:I$401,$U177)))</f>
        <v/>
      </c>
      <c r="J177">
        <f>IF($U177="","",IF(INDEX('Per Invoice'!J$2:J$401,$U177)="","",INDEX('Per Invoice'!J$2:J$401,$U177)))</f>
        <v/>
      </c>
      <c r="K177">
        <f>IF($U177="","",IF(INDEX('Per Invoice'!K$2:K$401,$U177)="","",INDEX('Per Invoice'!K$2:K$401,$U177)))</f>
        <v/>
      </c>
      <c r="L177" s="7">
        <f>IF($U177="","",IF(INDEX('Per Invoice'!L$2:L$401,$U177)="","",INDEX('Per Invoice'!L$2:L$401,$U177)))</f>
        <v/>
      </c>
      <c r="M177" s="7">
        <f>IF($U177="","",IF(INDEX('Per Invoice'!M$2:M$401,$U177)="","",INDEX('Per Invoice'!M$2:M$401,$U177)))</f>
        <v/>
      </c>
      <c r="N177">
        <f>IF($U177="","",IF(INDEX('Per Invoice'!N$2:N$401,$U177)="","",INDEX('Per Invoice'!N$2:N$401,$U177)))</f>
        <v/>
      </c>
      <c r="O177" s="7">
        <f>IF($U177="","",IF(INDEX('Per Invoice'!O$2:O$401,$U177)="","",INDEX('Per Invoice'!O$2:O$401,$U177)))</f>
        <v/>
      </c>
      <c r="P177" s="7">
        <f>IF($U177="","",IF(INDEX('Per Invoice'!P$2:P$401,$U177)="","",INDEX('Per Invoice'!P$2:P$401,$U177)))</f>
        <v/>
      </c>
      <c r="Q177" s="7">
        <f>IF($U177="","",IF(INDEX('Per Invoice'!Q$2:Q$401,$U177)="","",INDEX('Per Invoice'!Q$2:Q$401,$U177)))</f>
        <v/>
      </c>
      <c r="R177" s="7">
        <f>IF($U177="","",IF(INDEX('Per Invoice'!R$2:R$401,$U177)="","",INDEX('Per Invoice'!R$2:R$401,$U177)))</f>
        <v/>
      </c>
      <c r="S177" s="7">
        <f>IF($U177="","",IF(INDEX('Per Invoice'!S$2:S$401,$U177)="","",INDEX('Per Invoice'!S$2:S$401,$U177)))</f>
        <v/>
      </c>
      <c r="T177" s="7">
        <f>IF($U177="","",IF(INDEX('Per Invoice'!T$2:T$401,$U177)="","",INDEX('Per Invoice'!T$2:T$401,$U177)))</f>
        <v/>
      </c>
      <c r="U177" s="16">
        <f>IFERROR(MATCH(Settings!$C$29&amp;"|"&amp;ROWS($U$2:$U177),'Per Invoice'!$V$2:$V$401,0),"")</f>
        <v/>
      </c>
    </row>
    <row r="178">
      <c r="A178">
        <f>IF($U178="","",IF(INDEX('Per Invoice'!A$2:A$401,$U178)="","",INDEX('Per Invoice'!A$2:A$401,$U178)))</f>
        <v/>
      </c>
      <c r="B178">
        <f>IF($U178="","",IF(INDEX('Per Invoice'!B$2:B$401,$U178)="","",INDEX('Per Invoice'!B$2:B$401,$U178)))</f>
        <v/>
      </c>
      <c r="C178">
        <f>IF($U178="","",IF(INDEX('Per Invoice'!C$2:C$401,$U178)="","",INDEX('Per Invoice'!C$2:C$401,$U178)))</f>
        <v/>
      </c>
      <c r="D178">
        <f>IF($U178="","",IF(INDEX('Per Invoice'!D$2:D$401,$U178)="","",INDEX('Per Invoice'!D$2:D$401,$U178)))</f>
        <v/>
      </c>
      <c r="E178">
        <f>IF($U178="","",IF(INDEX('Per Invoice'!E$2:E$401,$U178)="","",INDEX('Per Invoice'!E$2:E$401,$U178)))</f>
        <v/>
      </c>
      <c r="F178">
        <f>IF($U178="","",IF(INDEX('Per Invoice'!F$2:F$401,$U178)="","",INDEX('Per Invoice'!F$2:F$401,$U178)))</f>
        <v/>
      </c>
      <c r="G178">
        <f>IF($U178="","",IF(INDEX('Per Invoice'!G$2:G$401,$U178)="","",INDEX('Per Invoice'!G$2:G$401,$U178)))</f>
        <v/>
      </c>
      <c r="H178" s="7">
        <f>IF($U178="","",IF(INDEX('Per Invoice'!H$2:H$401,$U178)="","",INDEX('Per Invoice'!H$2:H$401,$U178)))</f>
        <v/>
      </c>
      <c r="I178" s="14">
        <f>IF($U178="","",IF(INDEX('Per Invoice'!I$2:I$401,$U178)="","",INDEX('Per Invoice'!I$2:I$401,$U178)))</f>
        <v/>
      </c>
      <c r="J178">
        <f>IF($U178="","",IF(INDEX('Per Invoice'!J$2:J$401,$U178)="","",INDEX('Per Invoice'!J$2:J$401,$U178)))</f>
        <v/>
      </c>
      <c r="K178">
        <f>IF($U178="","",IF(INDEX('Per Invoice'!K$2:K$401,$U178)="","",INDEX('Per Invoice'!K$2:K$401,$U178)))</f>
        <v/>
      </c>
      <c r="L178" s="7">
        <f>IF($U178="","",IF(INDEX('Per Invoice'!L$2:L$401,$U178)="","",INDEX('Per Invoice'!L$2:L$401,$U178)))</f>
        <v/>
      </c>
      <c r="M178" s="7">
        <f>IF($U178="","",IF(INDEX('Per Invoice'!M$2:M$401,$U178)="","",INDEX('Per Invoice'!M$2:M$401,$U178)))</f>
        <v/>
      </c>
      <c r="N178">
        <f>IF($U178="","",IF(INDEX('Per Invoice'!N$2:N$401,$U178)="","",INDEX('Per Invoice'!N$2:N$401,$U178)))</f>
        <v/>
      </c>
      <c r="O178" s="7">
        <f>IF($U178="","",IF(INDEX('Per Invoice'!O$2:O$401,$U178)="","",INDEX('Per Invoice'!O$2:O$401,$U178)))</f>
        <v/>
      </c>
      <c r="P178" s="7">
        <f>IF($U178="","",IF(INDEX('Per Invoice'!P$2:P$401,$U178)="","",INDEX('Per Invoice'!P$2:P$401,$U178)))</f>
        <v/>
      </c>
      <c r="Q178" s="7">
        <f>IF($U178="","",IF(INDEX('Per Invoice'!Q$2:Q$401,$U178)="","",INDEX('Per Invoice'!Q$2:Q$401,$U178)))</f>
        <v/>
      </c>
      <c r="R178" s="7">
        <f>IF($U178="","",IF(INDEX('Per Invoice'!R$2:R$401,$U178)="","",INDEX('Per Invoice'!R$2:R$401,$U178)))</f>
        <v/>
      </c>
      <c r="S178" s="7">
        <f>IF($U178="","",IF(INDEX('Per Invoice'!S$2:S$401,$U178)="","",INDEX('Per Invoice'!S$2:S$401,$U178)))</f>
        <v/>
      </c>
      <c r="T178" s="7">
        <f>IF($U178="","",IF(INDEX('Per Invoice'!T$2:T$401,$U178)="","",INDEX('Per Invoice'!T$2:T$401,$U178)))</f>
        <v/>
      </c>
      <c r="U178" s="16">
        <f>IFERROR(MATCH(Settings!$C$29&amp;"|"&amp;ROWS($U$2:$U178),'Per Invoice'!$V$2:$V$401,0),"")</f>
        <v/>
      </c>
    </row>
    <row r="179">
      <c r="A179">
        <f>IF($U179="","",IF(INDEX('Per Invoice'!A$2:A$401,$U179)="","",INDEX('Per Invoice'!A$2:A$401,$U179)))</f>
        <v/>
      </c>
      <c r="B179">
        <f>IF($U179="","",IF(INDEX('Per Invoice'!B$2:B$401,$U179)="","",INDEX('Per Invoice'!B$2:B$401,$U179)))</f>
        <v/>
      </c>
      <c r="C179">
        <f>IF($U179="","",IF(INDEX('Per Invoice'!C$2:C$401,$U179)="","",INDEX('Per Invoice'!C$2:C$401,$U179)))</f>
        <v/>
      </c>
      <c r="D179">
        <f>IF($U179="","",IF(INDEX('Per Invoice'!D$2:D$401,$U179)="","",INDEX('Per Invoice'!D$2:D$401,$U179)))</f>
        <v/>
      </c>
      <c r="E179">
        <f>IF($U179="","",IF(INDEX('Per Invoice'!E$2:E$401,$U179)="","",INDEX('Per Invoice'!E$2:E$401,$U179)))</f>
        <v/>
      </c>
      <c r="F179">
        <f>IF($U179="","",IF(INDEX('Per Invoice'!F$2:F$401,$U179)="","",INDEX('Per Invoice'!F$2:F$401,$U179)))</f>
        <v/>
      </c>
      <c r="G179">
        <f>IF($U179="","",IF(INDEX('Per Invoice'!G$2:G$401,$U179)="","",INDEX('Per Invoice'!G$2:G$401,$U179)))</f>
        <v/>
      </c>
      <c r="H179" s="7">
        <f>IF($U179="","",IF(INDEX('Per Invoice'!H$2:H$401,$U179)="","",INDEX('Per Invoice'!H$2:H$401,$U179)))</f>
        <v/>
      </c>
      <c r="I179" s="14">
        <f>IF($U179="","",IF(INDEX('Per Invoice'!I$2:I$401,$U179)="","",INDEX('Per Invoice'!I$2:I$401,$U179)))</f>
        <v/>
      </c>
      <c r="J179">
        <f>IF($U179="","",IF(INDEX('Per Invoice'!J$2:J$401,$U179)="","",INDEX('Per Invoice'!J$2:J$401,$U179)))</f>
        <v/>
      </c>
      <c r="K179">
        <f>IF($U179="","",IF(INDEX('Per Invoice'!K$2:K$401,$U179)="","",INDEX('Per Invoice'!K$2:K$401,$U179)))</f>
        <v/>
      </c>
      <c r="L179" s="7">
        <f>IF($U179="","",IF(INDEX('Per Invoice'!L$2:L$401,$U179)="","",INDEX('Per Invoice'!L$2:L$401,$U179)))</f>
        <v/>
      </c>
      <c r="M179" s="7">
        <f>IF($U179="","",IF(INDEX('Per Invoice'!M$2:M$401,$U179)="","",INDEX('Per Invoice'!M$2:M$401,$U179)))</f>
        <v/>
      </c>
      <c r="N179">
        <f>IF($U179="","",IF(INDEX('Per Invoice'!N$2:N$401,$U179)="","",INDEX('Per Invoice'!N$2:N$401,$U179)))</f>
        <v/>
      </c>
      <c r="O179" s="7">
        <f>IF($U179="","",IF(INDEX('Per Invoice'!O$2:O$401,$U179)="","",INDEX('Per Invoice'!O$2:O$401,$U179)))</f>
        <v/>
      </c>
      <c r="P179" s="7">
        <f>IF($U179="","",IF(INDEX('Per Invoice'!P$2:P$401,$U179)="","",INDEX('Per Invoice'!P$2:P$401,$U179)))</f>
        <v/>
      </c>
      <c r="Q179" s="7">
        <f>IF($U179="","",IF(INDEX('Per Invoice'!Q$2:Q$401,$U179)="","",INDEX('Per Invoice'!Q$2:Q$401,$U179)))</f>
        <v/>
      </c>
      <c r="R179" s="7">
        <f>IF($U179="","",IF(INDEX('Per Invoice'!R$2:R$401,$U179)="","",INDEX('Per Invoice'!R$2:R$401,$U179)))</f>
        <v/>
      </c>
      <c r="S179" s="7">
        <f>IF($U179="","",IF(INDEX('Per Invoice'!S$2:S$401,$U179)="","",INDEX('Per Invoice'!S$2:S$401,$U179)))</f>
        <v/>
      </c>
      <c r="T179" s="7">
        <f>IF($U179="","",IF(INDEX('Per Invoice'!T$2:T$401,$U179)="","",INDEX('Per Invoice'!T$2:T$401,$U179)))</f>
        <v/>
      </c>
      <c r="U179" s="16">
        <f>IFERROR(MATCH(Settings!$C$29&amp;"|"&amp;ROWS($U$2:$U179),'Per Invoice'!$V$2:$V$401,0),"")</f>
        <v/>
      </c>
    </row>
    <row r="180">
      <c r="A180">
        <f>IF($U180="","",IF(INDEX('Per Invoice'!A$2:A$401,$U180)="","",INDEX('Per Invoice'!A$2:A$401,$U180)))</f>
        <v/>
      </c>
      <c r="B180">
        <f>IF($U180="","",IF(INDEX('Per Invoice'!B$2:B$401,$U180)="","",INDEX('Per Invoice'!B$2:B$401,$U180)))</f>
        <v/>
      </c>
      <c r="C180">
        <f>IF($U180="","",IF(INDEX('Per Invoice'!C$2:C$401,$U180)="","",INDEX('Per Invoice'!C$2:C$401,$U180)))</f>
        <v/>
      </c>
      <c r="D180">
        <f>IF($U180="","",IF(INDEX('Per Invoice'!D$2:D$401,$U180)="","",INDEX('Per Invoice'!D$2:D$401,$U180)))</f>
        <v/>
      </c>
      <c r="E180">
        <f>IF($U180="","",IF(INDEX('Per Invoice'!E$2:E$401,$U180)="","",INDEX('Per Invoice'!E$2:E$401,$U180)))</f>
        <v/>
      </c>
      <c r="F180">
        <f>IF($U180="","",IF(INDEX('Per Invoice'!F$2:F$401,$U180)="","",INDEX('Per Invoice'!F$2:F$401,$U180)))</f>
        <v/>
      </c>
      <c r="G180">
        <f>IF($U180="","",IF(INDEX('Per Invoice'!G$2:G$401,$U180)="","",INDEX('Per Invoice'!G$2:G$401,$U180)))</f>
        <v/>
      </c>
      <c r="H180" s="7">
        <f>IF($U180="","",IF(INDEX('Per Invoice'!H$2:H$401,$U180)="","",INDEX('Per Invoice'!H$2:H$401,$U180)))</f>
        <v/>
      </c>
      <c r="I180" s="14">
        <f>IF($U180="","",IF(INDEX('Per Invoice'!I$2:I$401,$U180)="","",INDEX('Per Invoice'!I$2:I$401,$U180)))</f>
        <v/>
      </c>
      <c r="J180">
        <f>IF($U180="","",IF(INDEX('Per Invoice'!J$2:J$401,$U180)="","",INDEX('Per Invoice'!J$2:J$401,$U180)))</f>
        <v/>
      </c>
      <c r="K180">
        <f>IF($U180="","",IF(INDEX('Per Invoice'!K$2:K$401,$U180)="","",INDEX('Per Invoice'!K$2:K$401,$U180)))</f>
        <v/>
      </c>
      <c r="L180" s="7">
        <f>IF($U180="","",IF(INDEX('Per Invoice'!L$2:L$401,$U180)="","",INDEX('Per Invoice'!L$2:L$401,$U180)))</f>
        <v/>
      </c>
      <c r="M180" s="7">
        <f>IF($U180="","",IF(INDEX('Per Invoice'!M$2:M$401,$U180)="","",INDEX('Per Invoice'!M$2:M$401,$U180)))</f>
        <v/>
      </c>
      <c r="N180">
        <f>IF($U180="","",IF(INDEX('Per Invoice'!N$2:N$401,$U180)="","",INDEX('Per Invoice'!N$2:N$401,$U180)))</f>
        <v/>
      </c>
      <c r="O180" s="7">
        <f>IF($U180="","",IF(INDEX('Per Invoice'!O$2:O$401,$U180)="","",INDEX('Per Invoice'!O$2:O$401,$U180)))</f>
        <v/>
      </c>
      <c r="P180" s="7">
        <f>IF($U180="","",IF(INDEX('Per Invoice'!P$2:P$401,$U180)="","",INDEX('Per Invoice'!P$2:P$401,$U180)))</f>
        <v/>
      </c>
      <c r="Q180" s="7">
        <f>IF($U180="","",IF(INDEX('Per Invoice'!Q$2:Q$401,$U180)="","",INDEX('Per Invoice'!Q$2:Q$401,$U180)))</f>
        <v/>
      </c>
      <c r="R180" s="7">
        <f>IF($U180="","",IF(INDEX('Per Invoice'!R$2:R$401,$U180)="","",INDEX('Per Invoice'!R$2:R$401,$U180)))</f>
        <v/>
      </c>
      <c r="S180" s="7">
        <f>IF($U180="","",IF(INDEX('Per Invoice'!S$2:S$401,$U180)="","",INDEX('Per Invoice'!S$2:S$401,$U180)))</f>
        <v/>
      </c>
      <c r="T180" s="7">
        <f>IF($U180="","",IF(INDEX('Per Invoice'!T$2:T$401,$U180)="","",INDEX('Per Invoice'!T$2:T$401,$U180)))</f>
        <v/>
      </c>
      <c r="U180" s="16">
        <f>IFERROR(MATCH(Settings!$C$29&amp;"|"&amp;ROWS($U$2:$U180),'Per Invoice'!$V$2:$V$401,0),"")</f>
        <v/>
      </c>
    </row>
    <row r="181">
      <c r="A181">
        <f>IF($U181="","",IF(INDEX('Per Invoice'!A$2:A$401,$U181)="","",INDEX('Per Invoice'!A$2:A$401,$U181)))</f>
        <v/>
      </c>
      <c r="B181">
        <f>IF($U181="","",IF(INDEX('Per Invoice'!B$2:B$401,$U181)="","",INDEX('Per Invoice'!B$2:B$401,$U181)))</f>
        <v/>
      </c>
      <c r="C181">
        <f>IF($U181="","",IF(INDEX('Per Invoice'!C$2:C$401,$U181)="","",INDEX('Per Invoice'!C$2:C$401,$U181)))</f>
        <v/>
      </c>
      <c r="D181">
        <f>IF($U181="","",IF(INDEX('Per Invoice'!D$2:D$401,$U181)="","",INDEX('Per Invoice'!D$2:D$401,$U181)))</f>
        <v/>
      </c>
      <c r="E181">
        <f>IF($U181="","",IF(INDEX('Per Invoice'!E$2:E$401,$U181)="","",INDEX('Per Invoice'!E$2:E$401,$U181)))</f>
        <v/>
      </c>
      <c r="F181">
        <f>IF($U181="","",IF(INDEX('Per Invoice'!F$2:F$401,$U181)="","",INDEX('Per Invoice'!F$2:F$401,$U181)))</f>
        <v/>
      </c>
      <c r="G181">
        <f>IF($U181="","",IF(INDEX('Per Invoice'!G$2:G$401,$U181)="","",INDEX('Per Invoice'!G$2:G$401,$U181)))</f>
        <v/>
      </c>
      <c r="H181" s="7">
        <f>IF($U181="","",IF(INDEX('Per Invoice'!H$2:H$401,$U181)="","",INDEX('Per Invoice'!H$2:H$401,$U181)))</f>
        <v/>
      </c>
      <c r="I181" s="14">
        <f>IF($U181="","",IF(INDEX('Per Invoice'!I$2:I$401,$U181)="","",INDEX('Per Invoice'!I$2:I$401,$U181)))</f>
        <v/>
      </c>
      <c r="J181">
        <f>IF($U181="","",IF(INDEX('Per Invoice'!J$2:J$401,$U181)="","",INDEX('Per Invoice'!J$2:J$401,$U181)))</f>
        <v/>
      </c>
      <c r="K181">
        <f>IF($U181="","",IF(INDEX('Per Invoice'!K$2:K$401,$U181)="","",INDEX('Per Invoice'!K$2:K$401,$U181)))</f>
        <v/>
      </c>
      <c r="L181" s="7">
        <f>IF($U181="","",IF(INDEX('Per Invoice'!L$2:L$401,$U181)="","",INDEX('Per Invoice'!L$2:L$401,$U181)))</f>
        <v/>
      </c>
      <c r="M181" s="7">
        <f>IF($U181="","",IF(INDEX('Per Invoice'!M$2:M$401,$U181)="","",INDEX('Per Invoice'!M$2:M$401,$U181)))</f>
        <v/>
      </c>
      <c r="N181">
        <f>IF($U181="","",IF(INDEX('Per Invoice'!N$2:N$401,$U181)="","",INDEX('Per Invoice'!N$2:N$401,$U181)))</f>
        <v/>
      </c>
      <c r="O181" s="7">
        <f>IF($U181="","",IF(INDEX('Per Invoice'!O$2:O$401,$U181)="","",INDEX('Per Invoice'!O$2:O$401,$U181)))</f>
        <v/>
      </c>
      <c r="P181" s="7">
        <f>IF($U181="","",IF(INDEX('Per Invoice'!P$2:P$401,$U181)="","",INDEX('Per Invoice'!P$2:P$401,$U181)))</f>
        <v/>
      </c>
      <c r="Q181" s="7">
        <f>IF($U181="","",IF(INDEX('Per Invoice'!Q$2:Q$401,$U181)="","",INDEX('Per Invoice'!Q$2:Q$401,$U181)))</f>
        <v/>
      </c>
      <c r="R181" s="7">
        <f>IF($U181="","",IF(INDEX('Per Invoice'!R$2:R$401,$U181)="","",INDEX('Per Invoice'!R$2:R$401,$U181)))</f>
        <v/>
      </c>
      <c r="S181" s="7">
        <f>IF($U181="","",IF(INDEX('Per Invoice'!S$2:S$401,$U181)="","",INDEX('Per Invoice'!S$2:S$401,$U181)))</f>
        <v/>
      </c>
      <c r="T181" s="7">
        <f>IF($U181="","",IF(INDEX('Per Invoice'!T$2:T$401,$U181)="","",INDEX('Per Invoice'!T$2:T$401,$U181)))</f>
        <v/>
      </c>
      <c r="U181" s="16">
        <f>IFERROR(MATCH(Settings!$C$29&amp;"|"&amp;ROWS($U$2:$U181),'Per Invoice'!$V$2:$V$401,0),"")</f>
        <v/>
      </c>
    </row>
    <row r="182">
      <c r="A182">
        <f>IF($U182="","",IF(INDEX('Per Invoice'!A$2:A$401,$U182)="","",INDEX('Per Invoice'!A$2:A$401,$U182)))</f>
        <v/>
      </c>
      <c r="B182">
        <f>IF($U182="","",IF(INDEX('Per Invoice'!B$2:B$401,$U182)="","",INDEX('Per Invoice'!B$2:B$401,$U182)))</f>
        <v/>
      </c>
      <c r="C182">
        <f>IF($U182="","",IF(INDEX('Per Invoice'!C$2:C$401,$U182)="","",INDEX('Per Invoice'!C$2:C$401,$U182)))</f>
        <v/>
      </c>
      <c r="D182">
        <f>IF($U182="","",IF(INDEX('Per Invoice'!D$2:D$401,$U182)="","",INDEX('Per Invoice'!D$2:D$401,$U182)))</f>
        <v/>
      </c>
      <c r="E182">
        <f>IF($U182="","",IF(INDEX('Per Invoice'!E$2:E$401,$U182)="","",INDEX('Per Invoice'!E$2:E$401,$U182)))</f>
        <v/>
      </c>
      <c r="F182">
        <f>IF($U182="","",IF(INDEX('Per Invoice'!F$2:F$401,$U182)="","",INDEX('Per Invoice'!F$2:F$401,$U182)))</f>
        <v/>
      </c>
      <c r="G182">
        <f>IF($U182="","",IF(INDEX('Per Invoice'!G$2:G$401,$U182)="","",INDEX('Per Invoice'!G$2:G$401,$U182)))</f>
        <v/>
      </c>
      <c r="H182" s="7">
        <f>IF($U182="","",IF(INDEX('Per Invoice'!H$2:H$401,$U182)="","",INDEX('Per Invoice'!H$2:H$401,$U182)))</f>
        <v/>
      </c>
      <c r="I182" s="14">
        <f>IF($U182="","",IF(INDEX('Per Invoice'!I$2:I$401,$U182)="","",INDEX('Per Invoice'!I$2:I$401,$U182)))</f>
        <v/>
      </c>
      <c r="J182">
        <f>IF($U182="","",IF(INDEX('Per Invoice'!J$2:J$401,$U182)="","",INDEX('Per Invoice'!J$2:J$401,$U182)))</f>
        <v/>
      </c>
      <c r="K182">
        <f>IF($U182="","",IF(INDEX('Per Invoice'!K$2:K$401,$U182)="","",INDEX('Per Invoice'!K$2:K$401,$U182)))</f>
        <v/>
      </c>
      <c r="L182" s="7">
        <f>IF($U182="","",IF(INDEX('Per Invoice'!L$2:L$401,$U182)="","",INDEX('Per Invoice'!L$2:L$401,$U182)))</f>
        <v/>
      </c>
      <c r="M182" s="7">
        <f>IF($U182="","",IF(INDEX('Per Invoice'!M$2:M$401,$U182)="","",INDEX('Per Invoice'!M$2:M$401,$U182)))</f>
        <v/>
      </c>
      <c r="N182">
        <f>IF($U182="","",IF(INDEX('Per Invoice'!N$2:N$401,$U182)="","",INDEX('Per Invoice'!N$2:N$401,$U182)))</f>
        <v/>
      </c>
      <c r="O182" s="7">
        <f>IF($U182="","",IF(INDEX('Per Invoice'!O$2:O$401,$U182)="","",INDEX('Per Invoice'!O$2:O$401,$U182)))</f>
        <v/>
      </c>
      <c r="P182" s="7">
        <f>IF($U182="","",IF(INDEX('Per Invoice'!P$2:P$401,$U182)="","",INDEX('Per Invoice'!P$2:P$401,$U182)))</f>
        <v/>
      </c>
      <c r="Q182" s="7">
        <f>IF($U182="","",IF(INDEX('Per Invoice'!Q$2:Q$401,$U182)="","",INDEX('Per Invoice'!Q$2:Q$401,$U182)))</f>
        <v/>
      </c>
      <c r="R182" s="7">
        <f>IF($U182="","",IF(INDEX('Per Invoice'!R$2:R$401,$U182)="","",INDEX('Per Invoice'!R$2:R$401,$U182)))</f>
        <v/>
      </c>
      <c r="S182" s="7">
        <f>IF($U182="","",IF(INDEX('Per Invoice'!S$2:S$401,$U182)="","",INDEX('Per Invoice'!S$2:S$401,$U182)))</f>
        <v/>
      </c>
      <c r="T182" s="7">
        <f>IF($U182="","",IF(INDEX('Per Invoice'!T$2:T$401,$U182)="","",INDEX('Per Invoice'!T$2:T$401,$U182)))</f>
        <v/>
      </c>
      <c r="U182" s="16">
        <f>IFERROR(MATCH(Settings!$C$29&amp;"|"&amp;ROWS($U$2:$U182),'Per Invoice'!$V$2:$V$401,0),"")</f>
        <v/>
      </c>
    </row>
    <row r="183">
      <c r="A183">
        <f>IF($U183="","",IF(INDEX('Per Invoice'!A$2:A$401,$U183)="","",INDEX('Per Invoice'!A$2:A$401,$U183)))</f>
        <v/>
      </c>
      <c r="B183">
        <f>IF($U183="","",IF(INDEX('Per Invoice'!B$2:B$401,$U183)="","",INDEX('Per Invoice'!B$2:B$401,$U183)))</f>
        <v/>
      </c>
      <c r="C183">
        <f>IF($U183="","",IF(INDEX('Per Invoice'!C$2:C$401,$U183)="","",INDEX('Per Invoice'!C$2:C$401,$U183)))</f>
        <v/>
      </c>
      <c r="D183">
        <f>IF($U183="","",IF(INDEX('Per Invoice'!D$2:D$401,$U183)="","",INDEX('Per Invoice'!D$2:D$401,$U183)))</f>
        <v/>
      </c>
      <c r="E183">
        <f>IF($U183="","",IF(INDEX('Per Invoice'!E$2:E$401,$U183)="","",INDEX('Per Invoice'!E$2:E$401,$U183)))</f>
        <v/>
      </c>
      <c r="F183">
        <f>IF($U183="","",IF(INDEX('Per Invoice'!F$2:F$401,$U183)="","",INDEX('Per Invoice'!F$2:F$401,$U183)))</f>
        <v/>
      </c>
      <c r="G183">
        <f>IF($U183="","",IF(INDEX('Per Invoice'!G$2:G$401,$U183)="","",INDEX('Per Invoice'!G$2:G$401,$U183)))</f>
        <v/>
      </c>
      <c r="H183" s="7">
        <f>IF($U183="","",IF(INDEX('Per Invoice'!H$2:H$401,$U183)="","",INDEX('Per Invoice'!H$2:H$401,$U183)))</f>
        <v/>
      </c>
      <c r="I183" s="14">
        <f>IF($U183="","",IF(INDEX('Per Invoice'!I$2:I$401,$U183)="","",INDEX('Per Invoice'!I$2:I$401,$U183)))</f>
        <v/>
      </c>
      <c r="J183">
        <f>IF($U183="","",IF(INDEX('Per Invoice'!J$2:J$401,$U183)="","",INDEX('Per Invoice'!J$2:J$401,$U183)))</f>
        <v/>
      </c>
      <c r="K183">
        <f>IF($U183="","",IF(INDEX('Per Invoice'!K$2:K$401,$U183)="","",INDEX('Per Invoice'!K$2:K$401,$U183)))</f>
        <v/>
      </c>
      <c r="L183" s="7">
        <f>IF($U183="","",IF(INDEX('Per Invoice'!L$2:L$401,$U183)="","",INDEX('Per Invoice'!L$2:L$401,$U183)))</f>
        <v/>
      </c>
      <c r="M183" s="7">
        <f>IF($U183="","",IF(INDEX('Per Invoice'!M$2:M$401,$U183)="","",INDEX('Per Invoice'!M$2:M$401,$U183)))</f>
        <v/>
      </c>
      <c r="N183">
        <f>IF($U183="","",IF(INDEX('Per Invoice'!N$2:N$401,$U183)="","",INDEX('Per Invoice'!N$2:N$401,$U183)))</f>
        <v/>
      </c>
      <c r="O183" s="7">
        <f>IF($U183="","",IF(INDEX('Per Invoice'!O$2:O$401,$U183)="","",INDEX('Per Invoice'!O$2:O$401,$U183)))</f>
        <v/>
      </c>
      <c r="P183" s="7">
        <f>IF($U183="","",IF(INDEX('Per Invoice'!P$2:P$401,$U183)="","",INDEX('Per Invoice'!P$2:P$401,$U183)))</f>
        <v/>
      </c>
      <c r="Q183" s="7">
        <f>IF($U183="","",IF(INDEX('Per Invoice'!Q$2:Q$401,$U183)="","",INDEX('Per Invoice'!Q$2:Q$401,$U183)))</f>
        <v/>
      </c>
      <c r="R183" s="7">
        <f>IF($U183="","",IF(INDEX('Per Invoice'!R$2:R$401,$U183)="","",INDEX('Per Invoice'!R$2:R$401,$U183)))</f>
        <v/>
      </c>
      <c r="S183" s="7">
        <f>IF($U183="","",IF(INDEX('Per Invoice'!S$2:S$401,$U183)="","",INDEX('Per Invoice'!S$2:S$401,$U183)))</f>
        <v/>
      </c>
      <c r="T183" s="7">
        <f>IF($U183="","",IF(INDEX('Per Invoice'!T$2:T$401,$U183)="","",INDEX('Per Invoice'!T$2:T$401,$U183)))</f>
        <v/>
      </c>
      <c r="U183" s="16">
        <f>IFERROR(MATCH(Settings!$C$29&amp;"|"&amp;ROWS($U$2:$U183),'Per Invoice'!$V$2:$V$401,0),"")</f>
        <v/>
      </c>
    </row>
    <row r="184">
      <c r="A184">
        <f>IF($U184="","",IF(INDEX('Per Invoice'!A$2:A$401,$U184)="","",INDEX('Per Invoice'!A$2:A$401,$U184)))</f>
        <v/>
      </c>
      <c r="B184">
        <f>IF($U184="","",IF(INDEX('Per Invoice'!B$2:B$401,$U184)="","",INDEX('Per Invoice'!B$2:B$401,$U184)))</f>
        <v/>
      </c>
      <c r="C184">
        <f>IF($U184="","",IF(INDEX('Per Invoice'!C$2:C$401,$U184)="","",INDEX('Per Invoice'!C$2:C$401,$U184)))</f>
        <v/>
      </c>
      <c r="D184">
        <f>IF($U184="","",IF(INDEX('Per Invoice'!D$2:D$401,$U184)="","",INDEX('Per Invoice'!D$2:D$401,$U184)))</f>
        <v/>
      </c>
      <c r="E184">
        <f>IF($U184="","",IF(INDEX('Per Invoice'!E$2:E$401,$U184)="","",INDEX('Per Invoice'!E$2:E$401,$U184)))</f>
        <v/>
      </c>
      <c r="F184">
        <f>IF($U184="","",IF(INDEX('Per Invoice'!F$2:F$401,$U184)="","",INDEX('Per Invoice'!F$2:F$401,$U184)))</f>
        <v/>
      </c>
      <c r="G184">
        <f>IF($U184="","",IF(INDEX('Per Invoice'!G$2:G$401,$U184)="","",INDEX('Per Invoice'!G$2:G$401,$U184)))</f>
        <v/>
      </c>
      <c r="H184" s="7">
        <f>IF($U184="","",IF(INDEX('Per Invoice'!H$2:H$401,$U184)="","",INDEX('Per Invoice'!H$2:H$401,$U184)))</f>
        <v/>
      </c>
      <c r="I184" s="14">
        <f>IF($U184="","",IF(INDEX('Per Invoice'!I$2:I$401,$U184)="","",INDEX('Per Invoice'!I$2:I$401,$U184)))</f>
        <v/>
      </c>
      <c r="J184">
        <f>IF($U184="","",IF(INDEX('Per Invoice'!J$2:J$401,$U184)="","",INDEX('Per Invoice'!J$2:J$401,$U184)))</f>
        <v/>
      </c>
      <c r="K184">
        <f>IF($U184="","",IF(INDEX('Per Invoice'!K$2:K$401,$U184)="","",INDEX('Per Invoice'!K$2:K$401,$U184)))</f>
        <v/>
      </c>
      <c r="L184" s="7">
        <f>IF($U184="","",IF(INDEX('Per Invoice'!L$2:L$401,$U184)="","",INDEX('Per Invoice'!L$2:L$401,$U184)))</f>
        <v/>
      </c>
      <c r="M184" s="7">
        <f>IF($U184="","",IF(INDEX('Per Invoice'!M$2:M$401,$U184)="","",INDEX('Per Invoice'!M$2:M$401,$U184)))</f>
        <v/>
      </c>
      <c r="N184">
        <f>IF($U184="","",IF(INDEX('Per Invoice'!N$2:N$401,$U184)="","",INDEX('Per Invoice'!N$2:N$401,$U184)))</f>
        <v/>
      </c>
      <c r="O184" s="7">
        <f>IF($U184="","",IF(INDEX('Per Invoice'!O$2:O$401,$U184)="","",INDEX('Per Invoice'!O$2:O$401,$U184)))</f>
        <v/>
      </c>
      <c r="P184" s="7">
        <f>IF($U184="","",IF(INDEX('Per Invoice'!P$2:P$401,$U184)="","",INDEX('Per Invoice'!P$2:P$401,$U184)))</f>
        <v/>
      </c>
      <c r="Q184" s="7">
        <f>IF($U184="","",IF(INDEX('Per Invoice'!Q$2:Q$401,$U184)="","",INDEX('Per Invoice'!Q$2:Q$401,$U184)))</f>
        <v/>
      </c>
      <c r="R184" s="7">
        <f>IF($U184="","",IF(INDEX('Per Invoice'!R$2:R$401,$U184)="","",INDEX('Per Invoice'!R$2:R$401,$U184)))</f>
        <v/>
      </c>
      <c r="S184" s="7">
        <f>IF($U184="","",IF(INDEX('Per Invoice'!S$2:S$401,$U184)="","",INDEX('Per Invoice'!S$2:S$401,$U184)))</f>
        <v/>
      </c>
      <c r="T184" s="7">
        <f>IF($U184="","",IF(INDEX('Per Invoice'!T$2:T$401,$U184)="","",INDEX('Per Invoice'!T$2:T$401,$U184)))</f>
        <v/>
      </c>
      <c r="U184" s="16">
        <f>IFERROR(MATCH(Settings!$C$29&amp;"|"&amp;ROWS($U$2:$U184),'Per Invoice'!$V$2:$V$401,0),"")</f>
        <v/>
      </c>
    </row>
    <row r="185">
      <c r="A185">
        <f>IF($U185="","",IF(INDEX('Per Invoice'!A$2:A$401,$U185)="","",INDEX('Per Invoice'!A$2:A$401,$U185)))</f>
        <v/>
      </c>
      <c r="B185">
        <f>IF($U185="","",IF(INDEX('Per Invoice'!B$2:B$401,$U185)="","",INDEX('Per Invoice'!B$2:B$401,$U185)))</f>
        <v/>
      </c>
      <c r="C185">
        <f>IF($U185="","",IF(INDEX('Per Invoice'!C$2:C$401,$U185)="","",INDEX('Per Invoice'!C$2:C$401,$U185)))</f>
        <v/>
      </c>
      <c r="D185">
        <f>IF($U185="","",IF(INDEX('Per Invoice'!D$2:D$401,$U185)="","",INDEX('Per Invoice'!D$2:D$401,$U185)))</f>
        <v/>
      </c>
      <c r="E185">
        <f>IF($U185="","",IF(INDEX('Per Invoice'!E$2:E$401,$U185)="","",INDEX('Per Invoice'!E$2:E$401,$U185)))</f>
        <v/>
      </c>
      <c r="F185">
        <f>IF($U185="","",IF(INDEX('Per Invoice'!F$2:F$401,$U185)="","",INDEX('Per Invoice'!F$2:F$401,$U185)))</f>
        <v/>
      </c>
      <c r="G185">
        <f>IF($U185="","",IF(INDEX('Per Invoice'!G$2:G$401,$U185)="","",INDEX('Per Invoice'!G$2:G$401,$U185)))</f>
        <v/>
      </c>
      <c r="H185" s="7">
        <f>IF($U185="","",IF(INDEX('Per Invoice'!H$2:H$401,$U185)="","",INDEX('Per Invoice'!H$2:H$401,$U185)))</f>
        <v/>
      </c>
      <c r="I185" s="14">
        <f>IF($U185="","",IF(INDEX('Per Invoice'!I$2:I$401,$U185)="","",INDEX('Per Invoice'!I$2:I$401,$U185)))</f>
        <v/>
      </c>
      <c r="J185">
        <f>IF($U185="","",IF(INDEX('Per Invoice'!J$2:J$401,$U185)="","",INDEX('Per Invoice'!J$2:J$401,$U185)))</f>
        <v/>
      </c>
      <c r="K185">
        <f>IF($U185="","",IF(INDEX('Per Invoice'!K$2:K$401,$U185)="","",INDEX('Per Invoice'!K$2:K$401,$U185)))</f>
        <v/>
      </c>
      <c r="L185" s="7">
        <f>IF($U185="","",IF(INDEX('Per Invoice'!L$2:L$401,$U185)="","",INDEX('Per Invoice'!L$2:L$401,$U185)))</f>
        <v/>
      </c>
      <c r="M185" s="7">
        <f>IF($U185="","",IF(INDEX('Per Invoice'!M$2:M$401,$U185)="","",INDEX('Per Invoice'!M$2:M$401,$U185)))</f>
        <v/>
      </c>
      <c r="N185">
        <f>IF($U185="","",IF(INDEX('Per Invoice'!N$2:N$401,$U185)="","",INDEX('Per Invoice'!N$2:N$401,$U185)))</f>
        <v/>
      </c>
      <c r="O185" s="7">
        <f>IF($U185="","",IF(INDEX('Per Invoice'!O$2:O$401,$U185)="","",INDEX('Per Invoice'!O$2:O$401,$U185)))</f>
        <v/>
      </c>
      <c r="P185" s="7">
        <f>IF($U185="","",IF(INDEX('Per Invoice'!P$2:P$401,$U185)="","",INDEX('Per Invoice'!P$2:P$401,$U185)))</f>
        <v/>
      </c>
      <c r="Q185" s="7">
        <f>IF($U185="","",IF(INDEX('Per Invoice'!Q$2:Q$401,$U185)="","",INDEX('Per Invoice'!Q$2:Q$401,$U185)))</f>
        <v/>
      </c>
      <c r="R185" s="7">
        <f>IF($U185="","",IF(INDEX('Per Invoice'!R$2:R$401,$U185)="","",INDEX('Per Invoice'!R$2:R$401,$U185)))</f>
        <v/>
      </c>
      <c r="S185" s="7">
        <f>IF($U185="","",IF(INDEX('Per Invoice'!S$2:S$401,$U185)="","",INDEX('Per Invoice'!S$2:S$401,$U185)))</f>
        <v/>
      </c>
      <c r="T185" s="7">
        <f>IF($U185="","",IF(INDEX('Per Invoice'!T$2:T$401,$U185)="","",INDEX('Per Invoice'!T$2:T$401,$U185)))</f>
        <v/>
      </c>
      <c r="U185" s="16">
        <f>IFERROR(MATCH(Settings!$C$29&amp;"|"&amp;ROWS($U$2:$U185),'Per Invoice'!$V$2:$V$401,0),"")</f>
        <v/>
      </c>
    </row>
    <row r="186">
      <c r="A186">
        <f>IF($U186="","",IF(INDEX('Per Invoice'!A$2:A$401,$U186)="","",INDEX('Per Invoice'!A$2:A$401,$U186)))</f>
        <v/>
      </c>
      <c r="B186">
        <f>IF($U186="","",IF(INDEX('Per Invoice'!B$2:B$401,$U186)="","",INDEX('Per Invoice'!B$2:B$401,$U186)))</f>
        <v/>
      </c>
      <c r="C186">
        <f>IF($U186="","",IF(INDEX('Per Invoice'!C$2:C$401,$U186)="","",INDEX('Per Invoice'!C$2:C$401,$U186)))</f>
        <v/>
      </c>
      <c r="D186">
        <f>IF($U186="","",IF(INDEX('Per Invoice'!D$2:D$401,$U186)="","",INDEX('Per Invoice'!D$2:D$401,$U186)))</f>
        <v/>
      </c>
      <c r="E186">
        <f>IF($U186="","",IF(INDEX('Per Invoice'!E$2:E$401,$U186)="","",INDEX('Per Invoice'!E$2:E$401,$U186)))</f>
        <v/>
      </c>
      <c r="F186">
        <f>IF($U186="","",IF(INDEX('Per Invoice'!F$2:F$401,$U186)="","",INDEX('Per Invoice'!F$2:F$401,$U186)))</f>
        <v/>
      </c>
      <c r="G186">
        <f>IF($U186="","",IF(INDEX('Per Invoice'!G$2:G$401,$U186)="","",INDEX('Per Invoice'!G$2:G$401,$U186)))</f>
        <v/>
      </c>
      <c r="H186" s="7">
        <f>IF($U186="","",IF(INDEX('Per Invoice'!H$2:H$401,$U186)="","",INDEX('Per Invoice'!H$2:H$401,$U186)))</f>
        <v/>
      </c>
      <c r="I186" s="14">
        <f>IF($U186="","",IF(INDEX('Per Invoice'!I$2:I$401,$U186)="","",INDEX('Per Invoice'!I$2:I$401,$U186)))</f>
        <v/>
      </c>
      <c r="J186">
        <f>IF($U186="","",IF(INDEX('Per Invoice'!J$2:J$401,$U186)="","",INDEX('Per Invoice'!J$2:J$401,$U186)))</f>
        <v/>
      </c>
      <c r="K186">
        <f>IF($U186="","",IF(INDEX('Per Invoice'!K$2:K$401,$U186)="","",INDEX('Per Invoice'!K$2:K$401,$U186)))</f>
        <v/>
      </c>
      <c r="L186" s="7">
        <f>IF($U186="","",IF(INDEX('Per Invoice'!L$2:L$401,$U186)="","",INDEX('Per Invoice'!L$2:L$401,$U186)))</f>
        <v/>
      </c>
      <c r="M186" s="7">
        <f>IF($U186="","",IF(INDEX('Per Invoice'!M$2:M$401,$U186)="","",INDEX('Per Invoice'!M$2:M$401,$U186)))</f>
        <v/>
      </c>
      <c r="N186">
        <f>IF($U186="","",IF(INDEX('Per Invoice'!N$2:N$401,$U186)="","",INDEX('Per Invoice'!N$2:N$401,$U186)))</f>
        <v/>
      </c>
      <c r="O186" s="7">
        <f>IF($U186="","",IF(INDEX('Per Invoice'!O$2:O$401,$U186)="","",INDEX('Per Invoice'!O$2:O$401,$U186)))</f>
        <v/>
      </c>
      <c r="P186" s="7">
        <f>IF($U186="","",IF(INDEX('Per Invoice'!P$2:P$401,$U186)="","",INDEX('Per Invoice'!P$2:P$401,$U186)))</f>
        <v/>
      </c>
      <c r="Q186" s="7">
        <f>IF($U186="","",IF(INDEX('Per Invoice'!Q$2:Q$401,$U186)="","",INDEX('Per Invoice'!Q$2:Q$401,$U186)))</f>
        <v/>
      </c>
      <c r="R186" s="7">
        <f>IF($U186="","",IF(INDEX('Per Invoice'!R$2:R$401,$U186)="","",INDEX('Per Invoice'!R$2:R$401,$U186)))</f>
        <v/>
      </c>
      <c r="S186" s="7">
        <f>IF($U186="","",IF(INDEX('Per Invoice'!S$2:S$401,$U186)="","",INDEX('Per Invoice'!S$2:S$401,$U186)))</f>
        <v/>
      </c>
      <c r="T186" s="7">
        <f>IF($U186="","",IF(INDEX('Per Invoice'!T$2:T$401,$U186)="","",INDEX('Per Invoice'!T$2:T$401,$U186)))</f>
        <v/>
      </c>
      <c r="U186" s="16">
        <f>IFERROR(MATCH(Settings!$C$29&amp;"|"&amp;ROWS($U$2:$U186),'Per Invoice'!$V$2:$V$401,0),"")</f>
        <v/>
      </c>
    </row>
    <row r="187">
      <c r="A187">
        <f>IF($U187="","",IF(INDEX('Per Invoice'!A$2:A$401,$U187)="","",INDEX('Per Invoice'!A$2:A$401,$U187)))</f>
        <v/>
      </c>
      <c r="B187">
        <f>IF($U187="","",IF(INDEX('Per Invoice'!B$2:B$401,$U187)="","",INDEX('Per Invoice'!B$2:B$401,$U187)))</f>
        <v/>
      </c>
      <c r="C187">
        <f>IF($U187="","",IF(INDEX('Per Invoice'!C$2:C$401,$U187)="","",INDEX('Per Invoice'!C$2:C$401,$U187)))</f>
        <v/>
      </c>
      <c r="D187">
        <f>IF($U187="","",IF(INDEX('Per Invoice'!D$2:D$401,$U187)="","",INDEX('Per Invoice'!D$2:D$401,$U187)))</f>
        <v/>
      </c>
      <c r="E187">
        <f>IF($U187="","",IF(INDEX('Per Invoice'!E$2:E$401,$U187)="","",INDEX('Per Invoice'!E$2:E$401,$U187)))</f>
        <v/>
      </c>
      <c r="F187">
        <f>IF($U187="","",IF(INDEX('Per Invoice'!F$2:F$401,$U187)="","",INDEX('Per Invoice'!F$2:F$401,$U187)))</f>
        <v/>
      </c>
      <c r="G187">
        <f>IF($U187="","",IF(INDEX('Per Invoice'!G$2:G$401,$U187)="","",INDEX('Per Invoice'!G$2:G$401,$U187)))</f>
        <v/>
      </c>
      <c r="H187" s="7">
        <f>IF($U187="","",IF(INDEX('Per Invoice'!H$2:H$401,$U187)="","",INDEX('Per Invoice'!H$2:H$401,$U187)))</f>
        <v/>
      </c>
      <c r="I187" s="14">
        <f>IF($U187="","",IF(INDEX('Per Invoice'!I$2:I$401,$U187)="","",INDEX('Per Invoice'!I$2:I$401,$U187)))</f>
        <v/>
      </c>
      <c r="J187">
        <f>IF($U187="","",IF(INDEX('Per Invoice'!J$2:J$401,$U187)="","",INDEX('Per Invoice'!J$2:J$401,$U187)))</f>
        <v/>
      </c>
      <c r="K187">
        <f>IF($U187="","",IF(INDEX('Per Invoice'!K$2:K$401,$U187)="","",INDEX('Per Invoice'!K$2:K$401,$U187)))</f>
        <v/>
      </c>
      <c r="L187" s="7">
        <f>IF($U187="","",IF(INDEX('Per Invoice'!L$2:L$401,$U187)="","",INDEX('Per Invoice'!L$2:L$401,$U187)))</f>
        <v/>
      </c>
      <c r="M187" s="7">
        <f>IF($U187="","",IF(INDEX('Per Invoice'!M$2:M$401,$U187)="","",INDEX('Per Invoice'!M$2:M$401,$U187)))</f>
        <v/>
      </c>
      <c r="N187">
        <f>IF($U187="","",IF(INDEX('Per Invoice'!N$2:N$401,$U187)="","",INDEX('Per Invoice'!N$2:N$401,$U187)))</f>
        <v/>
      </c>
      <c r="O187" s="7">
        <f>IF($U187="","",IF(INDEX('Per Invoice'!O$2:O$401,$U187)="","",INDEX('Per Invoice'!O$2:O$401,$U187)))</f>
        <v/>
      </c>
      <c r="P187" s="7">
        <f>IF($U187="","",IF(INDEX('Per Invoice'!P$2:P$401,$U187)="","",INDEX('Per Invoice'!P$2:P$401,$U187)))</f>
        <v/>
      </c>
      <c r="Q187" s="7">
        <f>IF($U187="","",IF(INDEX('Per Invoice'!Q$2:Q$401,$U187)="","",INDEX('Per Invoice'!Q$2:Q$401,$U187)))</f>
        <v/>
      </c>
      <c r="R187" s="7">
        <f>IF($U187="","",IF(INDEX('Per Invoice'!R$2:R$401,$U187)="","",INDEX('Per Invoice'!R$2:R$401,$U187)))</f>
        <v/>
      </c>
      <c r="S187" s="7">
        <f>IF($U187="","",IF(INDEX('Per Invoice'!S$2:S$401,$U187)="","",INDEX('Per Invoice'!S$2:S$401,$U187)))</f>
        <v/>
      </c>
      <c r="T187" s="7">
        <f>IF($U187="","",IF(INDEX('Per Invoice'!T$2:T$401,$U187)="","",INDEX('Per Invoice'!T$2:T$401,$U187)))</f>
        <v/>
      </c>
      <c r="U187" s="16">
        <f>IFERROR(MATCH(Settings!$C$29&amp;"|"&amp;ROWS($U$2:$U187),'Per Invoice'!$V$2:$V$401,0),"")</f>
        <v/>
      </c>
    </row>
    <row r="188">
      <c r="A188">
        <f>IF($U188="","",IF(INDEX('Per Invoice'!A$2:A$401,$U188)="","",INDEX('Per Invoice'!A$2:A$401,$U188)))</f>
        <v/>
      </c>
      <c r="B188">
        <f>IF($U188="","",IF(INDEX('Per Invoice'!B$2:B$401,$U188)="","",INDEX('Per Invoice'!B$2:B$401,$U188)))</f>
        <v/>
      </c>
      <c r="C188">
        <f>IF($U188="","",IF(INDEX('Per Invoice'!C$2:C$401,$U188)="","",INDEX('Per Invoice'!C$2:C$401,$U188)))</f>
        <v/>
      </c>
      <c r="D188">
        <f>IF($U188="","",IF(INDEX('Per Invoice'!D$2:D$401,$U188)="","",INDEX('Per Invoice'!D$2:D$401,$U188)))</f>
        <v/>
      </c>
      <c r="E188">
        <f>IF($U188="","",IF(INDEX('Per Invoice'!E$2:E$401,$U188)="","",INDEX('Per Invoice'!E$2:E$401,$U188)))</f>
        <v/>
      </c>
      <c r="F188">
        <f>IF($U188="","",IF(INDEX('Per Invoice'!F$2:F$401,$U188)="","",INDEX('Per Invoice'!F$2:F$401,$U188)))</f>
        <v/>
      </c>
      <c r="G188">
        <f>IF($U188="","",IF(INDEX('Per Invoice'!G$2:G$401,$U188)="","",INDEX('Per Invoice'!G$2:G$401,$U188)))</f>
        <v/>
      </c>
      <c r="H188" s="7">
        <f>IF($U188="","",IF(INDEX('Per Invoice'!H$2:H$401,$U188)="","",INDEX('Per Invoice'!H$2:H$401,$U188)))</f>
        <v/>
      </c>
      <c r="I188" s="14">
        <f>IF($U188="","",IF(INDEX('Per Invoice'!I$2:I$401,$U188)="","",INDEX('Per Invoice'!I$2:I$401,$U188)))</f>
        <v/>
      </c>
      <c r="J188">
        <f>IF($U188="","",IF(INDEX('Per Invoice'!J$2:J$401,$U188)="","",INDEX('Per Invoice'!J$2:J$401,$U188)))</f>
        <v/>
      </c>
      <c r="K188">
        <f>IF($U188="","",IF(INDEX('Per Invoice'!K$2:K$401,$U188)="","",INDEX('Per Invoice'!K$2:K$401,$U188)))</f>
        <v/>
      </c>
      <c r="L188" s="7">
        <f>IF($U188="","",IF(INDEX('Per Invoice'!L$2:L$401,$U188)="","",INDEX('Per Invoice'!L$2:L$401,$U188)))</f>
        <v/>
      </c>
      <c r="M188" s="7">
        <f>IF($U188="","",IF(INDEX('Per Invoice'!M$2:M$401,$U188)="","",INDEX('Per Invoice'!M$2:M$401,$U188)))</f>
        <v/>
      </c>
      <c r="N188">
        <f>IF($U188="","",IF(INDEX('Per Invoice'!N$2:N$401,$U188)="","",INDEX('Per Invoice'!N$2:N$401,$U188)))</f>
        <v/>
      </c>
      <c r="O188" s="7">
        <f>IF($U188="","",IF(INDEX('Per Invoice'!O$2:O$401,$U188)="","",INDEX('Per Invoice'!O$2:O$401,$U188)))</f>
        <v/>
      </c>
      <c r="P188" s="7">
        <f>IF($U188="","",IF(INDEX('Per Invoice'!P$2:P$401,$U188)="","",INDEX('Per Invoice'!P$2:P$401,$U188)))</f>
        <v/>
      </c>
      <c r="Q188" s="7">
        <f>IF($U188="","",IF(INDEX('Per Invoice'!Q$2:Q$401,$U188)="","",INDEX('Per Invoice'!Q$2:Q$401,$U188)))</f>
        <v/>
      </c>
      <c r="R188" s="7">
        <f>IF($U188="","",IF(INDEX('Per Invoice'!R$2:R$401,$U188)="","",INDEX('Per Invoice'!R$2:R$401,$U188)))</f>
        <v/>
      </c>
      <c r="S188" s="7">
        <f>IF($U188="","",IF(INDEX('Per Invoice'!S$2:S$401,$U188)="","",INDEX('Per Invoice'!S$2:S$401,$U188)))</f>
        <v/>
      </c>
      <c r="T188" s="7">
        <f>IF($U188="","",IF(INDEX('Per Invoice'!T$2:T$401,$U188)="","",INDEX('Per Invoice'!T$2:T$401,$U188)))</f>
        <v/>
      </c>
      <c r="U188" s="16">
        <f>IFERROR(MATCH(Settings!$C$29&amp;"|"&amp;ROWS($U$2:$U188),'Per Invoice'!$V$2:$V$401,0),"")</f>
        <v/>
      </c>
    </row>
    <row r="189">
      <c r="A189">
        <f>IF($U189="","",IF(INDEX('Per Invoice'!A$2:A$401,$U189)="","",INDEX('Per Invoice'!A$2:A$401,$U189)))</f>
        <v/>
      </c>
      <c r="B189">
        <f>IF($U189="","",IF(INDEX('Per Invoice'!B$2:B$401,$U189)="","",INDEX('Per Invoice'!B$2:B$401,$U189)))</f>
        <v/>
      </c>
      <c r="C189">
        <f>IF($U189="","",IF(INDEX('Per Invoice'!C$2:C$401,$U189)="","",INDEX('Per Invoice'!C$2:C$401,$U189)))</f>
        <v/>
      </c>
      <c r="D189">
        <f>IF($U189="","",IF(INDEX('Per Invoice'!D$2:D$401,$U189)="","",INDEX('Per Invoice'!D$2:D$401,$U189)))</f>
        <v/>
      </c>
      <c r="E189">
        <f>IF($U189="","",IF(INDEX('Per Invoice'!E$2:E$401,$U189)="","",INDEX('Per Invoice'!E$2:E$401,$U189)))</f>
        <v/>
      </c>
      <c r="F189">
        <f>IF($U189="","",IF(INDEX('Per Invoice'!F$2:F$401,$U189)="","",INDEX('Per Invoice'!F$2:F$401,$U189)))</f>
        <v/>
      </c>
      <c r="G189">
        <f>IF($U189="","",IF(INDEX('Per Invoice'!G$2:G$401,$U189)="","",INDEX('Per Invoice'!G$2:G$401,$U189)))</f>
        <v/>
      </c>
      <c r="H189" s="7">
        <f>IF($U189="","",IF(INDEX('Per Invoice'!H$2:H$401,$U189)="","",INDEX('Per Invoice'!H$2:H$401,$U189)))</f>
        <v/>
      </c>
      <c r="I189" s="14">
        <f>IF($U189="","",IF(INDEX('Per Invoice'!I$2:I$401,$U189)="","",INDEX('Per Invoice'!I$2:I$401,$U189)))</f>
        <v/>
      </c>
      <c r="J189">
        <f>IF($U189="","",IF(INDEX('Per Invoice'!J$2:J$401,$U189)="","",INDEX('Per Invoice'!J$2:J$401,$U189)))</f>
        <v/>
      </c>
      <c r="K189">
        <f>IF($U189="","",IF(INDEX('Per Invoice'!K$2:K$401,$U189)="","",INDEX('Per Invoice'!K$2:K$401,$U189)))</f>
        <v/>
      </c>
      <c r="L189" s="7">
        <f>IF($U189="","",IF(INDEX('Per Invoice'!L$2:L$401,$U189)="","",INDEX('Per Invoice'!L$2:L$401,$U189)))</f>
        <v/>
      </c>
      <c r="M189" s="7">
        <f>IF($U189="","",IF(INDEX('Per Invoice'!M$2:M$401,$U189)="","",INDEX('Per Invoice'!M$2:M$401,$U189)))</f>
        <v/>
      </c>
      <c r="N189">
        <f>IF($U189="","",IF(INDEX('Per Invoice'!N$2:N$401,$U189)="","",INDEX('Per Invoice'!N$2:N$401,$U189)))</f>
        <v/>
      </c>
      <c r="O189" s="7">
        <f>IF($U189="","",IF(INDEX('Per Invoice'!O$2:O$401,$U189)="","",INDEX('Per Invoice'!O$2:O$401,$U189)))</f>
        <v/>
      </c>
      <c r="P189" s="7">
        <f>IF($U189="","",IF(INDEX('Per Invoice'!P$2:P$401,$U189)="","",INDEX('Per Invoice'!P$2:P$401,$U189)))</f>
        <v/>
      </c>
      <c r="Q189" s="7">
        <f>IF($U189="","",IF(INDEX('Per Invoice'!Q$2:Q$401,$U189)="","",INDEX('Per Invoice'!Q$2:Q$401,$U189)))</f>
        <v/>
      </c>
      <c r="R189" s="7">
        <f>IF($U189="","",IF(INDEX('Per Invoice'!R$2:R$401,$U189)="","",INDEX('Per Invoice'!R$2:R$401,$U189)))</f>
        <v/>
      </c>
      <c r="S189" s="7">
        <f>IF($U189="","",IF(INDEX('Per Invoice'!S$2:S$401,$U189)="","",INDEX('Per Invoice'!S$2:S$401,$U189)))</f>
        <v/>
      </c>
      <c r="T189" s="7">
        <f>IF($U189="","",IF(INDEX('Per Invoice'!T$2:T$401,$U189)="","",INDEX('Per Invoice'!T$2:T$401,$U189)))</f>
        <v/>
      </c>
      <c r="U189" s="16">
        <f>IFERROR(MATCH(Settings!$C$29&amp;"|"&amp;ROWS($U$2:$U189),'Per Invoice'!$V$2:$V$401,0),"")</f>
        <v/>
      </c>
    </row>
    <row r="190">
      <c r="A190">
        <f>IF($U190="","",IF(INDEX('Per Invoice'!A$2:A$401,$U190)="","",INDEX('Per Invoice'!A$2:A$401,$U190)))</f>
        <v/>
      </c>
      <c r="B190">
        <f>IF($U190="","",IF(INDEX('Per Invoice'!B$2:B$401,$U190)="","",INDEX('Per Invoice'!B$2:B$401,$U190)))</f>
        <v/>
      </c>
      <c r="C190">
        <f>IF($U190="","",IF(INDEX('Per Invoice'!C$2:C$401,$U190)="","",INDEX('Per Invoice'!C$2:C$401,$U190)))</f>
        <v/>
      </c>
      <c r="D190">
        <f>IF($U190="","",IF(INDEX('Per Invoice'!D$2:D$401,$U190)="","",INDEX('Per Invoice'!D$2:D$401,$U190)))</f>
        <v/>
      </c>
      <c r="E190">
        <f>IF($U190="","",IF(INDEX('Per Invoice'!E$2:E$401,$U190)="","",INDEX('Per Invoice'!E$2:E$401,$U190)))</f>
        <v/>
      </c>
      <c r="F190">
        <f>IF($U190="","",IF(INDEX('Per Invoice'!F$2:F$401,$U190)="","",INDEX('Per Invoice'!F$2:F$401,$U190)))</f>
        <v/>
      </c>
      <c r="G190">
        <f>IF($U190="","",IF(INDEX('Per Invoice'!G$2:G$401,$U190)="","",INDEX('Per Invoice'!G$2:G$401,$U190)))</f>
        <v/>
      </c>
      <c r="H190" s="7">
        <f>IF($U190="","",IF(INDEX('Per Invoice'!H$2:H$401,$U190)="","",INDEX('Per Invoice'!H$2:H$401,$U190)))</f>
        <v/>
      </c>
      <c r="I190" s="14">
        <f>IF($U190="","",IF(INDEX('Per Invoice'!I$2:I$401,$U190)="","",INDEX('Per Invoice'!I$2:I$401,$U190)))</f>
        <v/>
      </c>
      <c r="J190">
        <f>IF($U190="","",IF(INDEX('Per Invoice'!J$2:J$401,$U190)="","",INDEX('Per Invoice'!J$2:J$401,$U190)))</f>
        <v/>
      </c>
      <c r="K190">
        <f>IF($U190="","",IF(INDEX('Per Invoice'!K$2:K$401,$U190)="","",INDEX('Per Invoice'!K$2:K$401,$U190)))</f>
        <v/>
      </c>
      <c r="L190" s="7">
        <f>IF($U190="","",IF(INDEX('Per Invoice'!L$2:L$401,$U190)="","",INDEX('Per Invoice'!L$2:L$401,$U190)))</f>
        <v/>
      </c>
      <c r="M190" s="7">
        <f>IF($U190="","",IF(INDEX('Per Invoice'!M$2:M$401,$U190)="","",INDEX('Per Invoice'!M$2:M$401,$U190)))</f>
        <v/>
      </c>
      <c r="N190">
        <f>IF($U190="","",IF(INDEX('Per Invoice'!N$2:N$401,$U190)="","",INDEX('Per Invoice'!N$2:N$401,$U190)))</f>
        <v/>
      </c>
      <c r="O190" s="7">
        <f>IF($U190="","",IF(INDEX('Per Invoice'!O$2:O$401,$U190)="","",INDEX('Per Invoice'!O$2:O$401,$U190)))</f>
        <v/>
      </c>
      <c r="P190" s="7">
        <f>IF($U190="","",IF(INDEX('Per Invoice'!P$2:P$401,$U190)="","",INDEX('Per Invoice'!P$2:P$401,$U190)))</f>
        <v/>
      </c>
      <c r="Q190" s="7">
        <f>IF($U190="","",IF(INDEX('Per Invoice'!Q$2:Q$401,$U190)="","",INDEX('Per Invoice'!Q$2:Q$401,$U190)))</f>
        <v/>
      </c>
      <c r="R190" s="7">
        <f>IF($U190="","",IF(INDEX('Per Invoice'!R$2:R$401,$U190)="","",INDEX('Per Invoice'!R$2:R$401,$U190)))</f>
        <v/>
      </c>
      <c r="S190" s="7">
        <f>IF($U190="","",IF(INDEX('Per Invoice'!S$2:S$401,$U190)="","",INDEX('Per Invoice'!S$2:S$401,$U190)))</f>
        <v/>
      </c>
      <c r="T190" s="7">
        <f>IF($U190="","",IF(INDEX('Per Invoice'!T$2:T$401,$U190)="","",INDEX('Per Invoice'!T$2:T$401,$U190)))</f>
        <v/>
      </c>
      <c r="U190" s="16">
        <f>IFERROR(MATCH(Settings!$C$29&amp;"|"&amp;ROWS($U$2:$U190),'Per Invoice'!$V$2:$V$401,0),"")</f>
        <v/>
      </c>
    </row>
    <row r="191">
      <c r="A191">
        <f>IF($U191="","",IF(INDEX('Per Invoice'!A$2:A$401,$U191)="","",INDEX('Per Invoice'!A$2:A$401,$U191)))</f>
        <v/>
      </c>
      <c r="B191">
        <f>IF($U191="","",IF(INDEX('Per Invoice'!B$2:B$401,$U191)="","",INDEX('Per Invoice'!B$2:B$401,$U191)))</f>
        <v/>
      </c>
      <c r="C191">
        <f>IF($U191="","",IF(INDEX('Per Invoice'!C$2:C$401,$U191)="","",INDEX('Per Invoice'!C$2:C$401,$U191)))</f>
        <v/>
      </c>
      <c r="D191">
        <f>IF($U191="","",IF(INDEX('Per Invoice'!D$2:D$401,$U191)="","",INDEX('Per Invoice'!D$2:D$401,$U191)))</f>
        <v/>
      </c>
      <c r="E191">
        <f>IF($U191="","",IF(INDEX('Per Invoice'!E$2:E$401,$U191)="","",INDEX('Per Invoice'!E$2:E$401,$U191)))</f>
        <v/>
      </c>
      <c r="F191">
        <f>IF($U191="","",IF(INDEX('Per Invoice'!F$2:F$401,$U191)="","",INDEX('Per Invoice'!F$2:F$401,$U191)))</f>
        <v/>
      </c>
      <c r="G191">
        <f>IF($U191="","",IF(INDEX('Per Invoice'!G$2:G$401,$U191)="","",INDEX('Per Invoice'!G$2:G$401,$U191)))</f>
        <v/>
      </c>
      <c r="H191" s="7">
        <f>IF($U191="","",IF(INDEX('Per Invoice'!H$2:H$401,$U191)="","",INDEX('Per Invoice'!H$2:H$401,$U191)))</f>
        <v/>
      </c>
      <c r="I191" s="14">
        <f>IF($U191="","",IF(INDEX('Per Invoice'!I$2:I$401,$U191)="","",INDEX('Per Invoice'!I$2:I$401,$U191)))</f>
        <v/>
      </c>
      <c r="J191">
        <f>IF($U191="","",IF(INDEX('Per Invoice'!J$2:J$401,$U191)="","",INDEX('Per Invoice'!J$2:J$401,$U191)))</f>
        <v/>
      </c>
      <c r="K191">
        <f>IF($U191="","",IF(INDEX('Per Invoice'!K$2:K$401,$U191)="","",INDEX('Per Invoice'!K$2:K$401,$U191)))</f>
        <v/>
      </c>
      <c r="L191" s="7">
        <f>IF($U191="","",IF(INDEX('Per Invoice'!L$2:L$401,$U191)="","",INDEX('Per Invoice'!L$2:L$401,$U191)))</f>
        <v/>
      </c>
      <c r="M191" s="7">
        <f>IF($U191="","",IF(INDEX('Per Invoice'!M$2:M$401,$U191)="","",INDEX('Per Invoice'!M$2:M$401,$U191)))</f>
        <v/>
      </c>
      <c r="N191">
        <f>IF($U191="","",IF(INDEX('Per Invoice'!N$2:N$401,$U191)="","",INDEX('Per Invoice'!N$2:N$401,$U191)))</f>
        <v/>
      </c>
      <c r="O191" s="7">
        <f>IF($U191="","",IF(INDEX('Per Invoice'!O$2:O$401,$U191)="","",INDEX('Per Invoice'!O$2:O$401,$U191)))</f>
        <v/>
      </c>
      <c r="P191" s="7">
        <f>IF($U191="","",IF(INDEX('Per Invoice'!P$2:P$401,$U191)="","",INDEX('Per Invoice'!P$2:P$401,$U191)))</f>
        <v/>
      </c>
      <c r="Q191" s="7">
        <f>IF($U191="","",IF(INDEX('Per Invoice'!Q$2:Q$401,$U191)="","",INDEX('Per Invoice'!Q$2:Q$401,$U191)))</f>
        <v/>
      </c>
      <c r="R191" s="7">
        <f>IF($U191="","",IF(INDEX('Per Invoice'!R$2:R$401,$U191)="","",INDEX('Per Invoice'!R$2:R$401,$U191)))</f>
        <v/>
      </c>
      <c r="S191" s="7">
        <f>IF($U191="","",IF(INDEX('Per Invoice'!S$2:S$401,$U191)="","",INDEX('Per Invoice'!S$2:S$401,$U191)))</f>
        <v/>
      </c>
      <c r="T191" s="7">
        <f>IF($U191="","",IF(INDEX('Per Invoice'!T$2:T$401,$U191)="","",INDEX('Per Invoice'!T$2:T$401,$U191)))</f>
        <v/>
      </c>
      <c r="U191" s="16">
        <f>IFERROR(MATCH(Settings!$C$29&amp;"|"&amp;ROWS($U$2:$U191),'Per Invoice'!$V$2:$V$401,0),"")</f>
        <v/>
      </c>
    </row>
    <row r="192">
      <c r="A192">
        <f>IF($U192="","",IF(INDEX('Per Invoice'!A$2:A$401,$U192)="","",INDEX('Per Invoice'!A$2:A$401,$U192)))</f>
        <v/>
      </c>
      <c r="B192">
        <f>IF($U192="","",IF(INDEX('Per Invoice'!B$2:B$401,$U192)="","",INDEX('Per Invoice'!B$2:B$401,$U192)))</f>
        <v/>
      </c>
      <c r="C192">
        <f>IF($U192="","",IF(INDEX('Per Invoice'!C$2:C$401,$U192)="","",INDEX('Per Invoice'!C$2:C$401,$U192)))</f>
        <v/>
      </c>
      <c r="D192">
        <f>IF($U192="","",IF(INDEX('Per Invoice'!D$2:D$401,$U192)="","",INDEX('Per Invoice'!D$2:D$401,$U192)))</f>
        <v/>
      </c>
      <c r="E192">
        <f>IF($U192="","",IF(INDEX('Per Invoice'!E$2:E$401,$U192)="","",INDEX('Per Invoice'!E$2:E$401,$U192)))</f>
        <v/>
      </c>
      <c r="F192">
        <f>IF($U192="","",IF(INDEX('Per Invoice'!F$2:F$401,$U192)="","",INDEX('Per Invoice'!F$2:F$401,$U192)))</f>
        <v/>
      </c>
      <c r="G192">
        <f>IF($U192="","",IF(INDEX('Per Invoice'!G$2:G$401,$U192)="","",INDEX('Per Invoice'!G$2:G$401,$U192)))</f>
        <v/>
      </c>
      <c r="H192" s="7">
        <f>IF($U192="","",IF(INDEX('Per Invoice'!H$2:H$401,$U192)="","",INDEX('Per Invoice'!H$2:H$401,$U192)))</f>
        <v/>
      </c>
      <c r="I192" s="14">
        <f>IF($U192="","",IF(INDEX('Per Invoice'!I$2:I$401,$U192)="","",INDEX('Per Invoice'!I$2:I$401,$U192)))</f>
        <v/>
      </c>
      <c r="J192">
        <f>IF($U192="","",IF(INDEX('Per Invoice'!J$2:J$401,$U192)="","",INDEX('Per Invoice'!J$2:J$401,$U192)))</f>
        <v/>
      </c>
      <c r="K192">
        <f>IF($U192="","",IF(INDEX('Per Invoice'!K$2:K$401,$U192)="","",INDEX('Per Invoice'!K$2:K$401,$U192)))</f>
        <v/>
      </c>
      <c r="L192" s="7">
        <f>IF($U192="","",IF(INDEX('Per Invoice'!L$2:L$401,$U192)="","",INDEX('Per Invoice'!L$2:L$401,$U192)))</f>
        <v/>
      </c>
      <c r="M192" s="7">
        <f>IF($U192="","",IF(INDEX('Per Invoice'!M$2:M$401,$U192)="","",INDEX('Per Invoice'!M$2:M$401,$U192)))</f>
        <v/>
      </c>
      <c r="N192">
        <f>IF($U192="","",IF(INDEX('Per Invoice'!N$2:N$401,$U192)="","",INDEX('Per Invoice'!N$2:N$401,$U192)))</f>
        <v/>
      </c>
      <c r="O192" s="7">
        <f>IF($U192="","",IF(INDEX('Per Invoice'!O$2:O$401,$U192)="","",INDEX('Per Invoice'!O$2:O$401,$U192)))</f>
        <v/>
      </c>
      <c r="P192" s="7">
        <f>IF($U192="","",IF(INDEX('Per Invoice'!P$2:P$401,$U192)="","",INDEX('Per Invoice'!P$2:P$401,$U192)))</f>
        <v/>
      </c>
      <c r="Q192" s="7">
        <f>IF($U192="","",IF(INDEX('Per Invoice'!Q$2:Q$401,$U192)="","",INDEX('Per Invoice'!Q$2:Q$401,$U192)))</f>
        <v/>
      </c>
      <c r="R192" s="7">
        <f>IF($U192="","",IF(INDEX('Per Invoice'!R$2:R$401,$U192)="","",INDEX('Per Invoice'!R$2:R$401,$U192)))</f>
        <v/>
      </c>
      <c r="S192" s="7">
        <f>IF($U192="","",IF(INDEX('Per Invoice'!S$2:S$401,$U192)="","",INDEX('Per Invoice'!S$2:S$401,$U192)))</f>
        <v/>
      </c>
      <c r="T192" s="7">
        <f>IF($U192="","",IF(INDEX('Per Invoice'!T$2:T$401,$U192)="","",INDEX('Per Invoice'!T$2:T$401,$U192)))</f>
        <v/>
      </c>
      <c r="U192" s="16">
        <f>IFERROR(MATCH(Settings!$C$29&amp;"|"&amp;ROWS($U$2:$U192),'Per Invoice'!$V$2:$V$401,0),"")</f>
        <v/>
      </c>
    </row>
    <row r="193">
      <c r="A193">
        <f>IF($U193="","",IF(INDEX('Per Invoice'!A$2:A$401,$U193)="","",INDEX('Per Invoice'!A$2:A$401,$U193)))</f>
        <v/>
      </c>
      <c r="B193">
        <f>IF($U193="","",IF(INDEX('Per Invoice'!B$2:B$401,$U193)="","",INDEX('Per Invoice'!B$2:B$401,$U193)))</f>
        <v/>
      </c>
      <c r="C193">
        <f>IF($U193="","",IF(INDEX('Per Invoice'!C$2:C$401,$U193)="","",INDEX('Per Invoice'!C$2:C$401,$U193)))</f>
        <v/>
      </c>
      <c r="D193">
        <f>IF($U193="","",IF(INDEX('Per Invoice'!D$2:D$401,$U193)="","",INDEX('Per Invoice'!D$2:D$401,$U193)))</f>
        <v/>
      </c>
      <c r="E193">
        <f>IF($U193="","",IF(INDEX('Per Invoice'!E$2:E$401,$U193)="","",INDEX('Per Invoice'!E$2:E$401,$U193)))</f>
        <v/>
      </c>
      <c r="F193">
        <f>IF($U193="","",IF(INDEX('Per Invoice'!F$2:F$401,$U193)="","",INDEX('Per Invoice'!F$2:F$401,$U193)))</f>
        <v/>
      </c>
      <c r="G193">
        <f>IF($U193="","",IF(INDEX('Per Invoice'!G$2:G$401,$U193)="","",INDEX('Per Invoice'!G$2:G$401,$U193)))</f>
        <v/>
      </c>
      <c r="H193" s="7">
        <f>IF($U193="","",IF(INDEX('Per Invoice'!H$2:H$401,$U193)="","",INDEX('Per Invoice'!H$2:H$401,$U193)))</f>
        <v/>
      </c>
      <c r="I193" s="14">
        <f>IF($U193="","",IF(INDEX('Per Invoice'!I$2:I$401,$U193)="","",INDEX('Per Invoice'!I$2:I$401,$U193)))</f>
        <v/>
      </c>
      <c r="J193">
        <f>IF($U193="","",IF(INDEX('Per Invoice'!J$2:J$401,$U193)="","",INDEX('Per Invoice'!J$2:J$401,$U193)))</f>
        <v/>
      </c>
      <c r="K193">
        <f>IF($U193="","",IF(INDEX('Per Invoice'!K$2:K$401,$U193)="","",INDEX('Per Invoice'!K$2:K$401,$U193)))</f>
        <v/>
      </c>
      <c r="L193" s="7">
        <f>IF($U193="","",IF(INDEX('Per Invoice'!L$2:L$401,$U193)="","",INDEX('Per Invoice'!L$2:L$401,$U193)))</f>
        <v/>
      </c>
      <c r="M193" s="7">
        <f>IF($U193="","",IF(INDEX('Per Invoice'!M$2:M$401,$U193)="","",INDEX('Per Invoice'!M$2:M$401,$U193)))</f>
        <v/>
      </c>
      <c r="N193">
        <f>IF($U193="","",IF(INDEX('Per Invoice'!N$2:N$401,$U193)="","",INDEX('Per Invoice'!N$2:N$401,$U193)))</f>
        <v/>
      </c>
      <c r="O193" s="7">
        <f>IF($U193="","",IF(INDEX('Per Invoice'!O$2:O$401,$U193)="","",INDEX('Per Invoice'!O$2:O$401,$U193)))</f>
        <v/>
      </c>
      <c r="P193" s="7">
        <f>IF($U193="","",IF(INDEX('Per Invoice'!P$2:P$401,$U193)="","",INDEX('Per Invoice'!P$2:P$401,$U193)))</f>
        <v/>
      </c>
      <c r="Q193" s="7">
        <f>IF($U193="","",IF(INDEX('Per Invoice'!Q$2:Q$401,$U193)="","",INDEX('Per Invoice'!Q$2:Q$401,$U193)))</f>
        <v/>
      </c>
      <c r="R193" s="7">
        <f>IF($U193="","",IF(INDEX('Per Invoice'!R$2:R$401,$U193)="","",INDEX('Per Invoice'!R$2:R$401,$U193)))</f>
        <v/>
      </c>
      <c r="S193" s="7">
        <f>IF($U193="","",IF(INDEX('Per Invoice'!S$2:S$401,$U193)="","",INDEX('Per Invoice'!S$2:S$401,$U193)))</f>
        <v/>
      </c>
      <c r="T193" s="7">
        <f>IF($U193="","",IF(INDEX('Per Invoice'!T$2:T$401,$U193)="","",INDEX('Per Invoice'!T$2:T$401,$U193)))</f>
        <v/>
      </c>
      <c r="U193" s="16">
        <f>IFERROR(MATCH(Settings!$C$29&amp;"|"&amp;ROWS($U$2:$U193),'Per Invoice'!$V$2:$V$401,0),"")</f>
        <v/>
      </c>
    </row>
    <row r="194">
      <c r="A194">
        <f>IF($U194="","",IF(INDEX('Per Invoice'!A$2:A$401,$U194)="","",INDEX('Per Invoice'!A$2:A$401,$U194)))</f>
        <v/>
      </c>
      <c r="B194">
        <f>IF($U194="","",IF(INDEX('Per Invoice'!B$2:B$401,$U194)="","",INDEX('Per Invoice'!B$2:B$401,$U194)))</f>
        <v/>
      </c>
      <c r="C194">
        <f>IF($U194="","",IF(INDEX('Per Invoice'!C$2:C$401,$U194)="","",INDEX('Per Invoice'!C$2:C$401,$U194)))</f>
        <v/>
      </c>
      <c r="D194">
        <f>IF($U194="","",IF(INDEX('Per Invoice'!D$2:D$401,$U194)="","",INDEX('Per Invoice'!D$2:D$401,$U194)))</f>
        <v/>
      </c>
      <c r="E194">
        <f>IF($U194="","",IF(INDEX('Per Invoice'!E$2:E$401,$U194)="","",INDEX('Per Invoice'!E$2:E$401,$U194)))</f>
        <v/>
      </c>
      <c r="F194">
        <f>IF($U194="","",IF(INDEX('Per Invoice'!F$2:F$401,$U194)="","",INDEX('Per Invoice'!F$2:F$401,$U194)))</f>
        <v/>
      </c>
      <c r="G194">
        <f>IF($U194="","",IF(INDEX('Per Invoice'!G$2:G$401,$U194)="","",INDEX('Per Invoice'!G$2:G$401,$U194)))</f>
        <v/>
      </c>
      <c r="H194" s="7">
        <f>IF($U194="","",IF(INDEX('Per Invoice'!H$2:H$401,$U194)="","",INDEX('Per Invoice'!H$2:H$401,$U194)))</f>
        <v/>
      </c>
      <c r="I194" s="14">
        <f>IF($U194="","",IF(INDEX('Per Invoice'!I$2:I$401,$U194)="","",INDEX('Per Invoice'!I$2:I$401,$U194)))</f>
        <v/>
      </c>
      <c r="J194">
        <f>IF($U194="","",IF(INDEX('Per Invoice'!J$2:J$401,$U194)="","",INDEX('Per Invoice'!J$2:J$401,$U194)))</f>
        <v/>
      </c>
      <c r="K194">
        <f>IF($U194="","",IF(INDEX('Per Invoice'!K$2:K$401,$U194)="","",INDEX('Per Invoice'!K$2:K$401,$U194)))</f>
        <v/>
      </c>
      <c r="L194" s="7">
        <f>IF($U194="","",IF(INDEX('Per Invoice'!L$2:L$401,$U194)="","",INDEX('Per Invoice'!L$2:L$401,$U194)))</f>
        <v/>
      </c>
      <c r="M194" s="7">
        <f>IF($U194="","",IF(INDEX('Per Invoice'!M$2:M$401,$U194)="","",INDEX('Per Invoice'!M$2:M$401,$U194)))</f>
        <v/>
      </c>
      <c r="N194">
        <f>IF($U194="","",IF(INDEX('Per Invoice'!N$2:N$401,$U194)="","",INDEX('Per Invoice'!N$2:N$401,$U194)))</f>
        <v/>
      </c>
      <c r="O194" s="7">
        <f>IF($U194="","",IF(INDEX('Per Invoice'!O$2:O$401,$U194)="","",INDEX('Per Invoice'!O$2:O$401,$U194)))</f>
        <v/>
      </c>
      <c r="P194" s="7">
        <f>IF($U194="","",IF(INDEX('Per Invoice'!P$2:P$401,$U194)="","",INDEX('Per Invoice'!P$2:P$401,$U194)))</f>
        <v/>
      </c>
      <c r="Q194" s="7">
        <f>IF($U194="","",IF(INDEX('Per Invoice'!Q$2:Q$401,$U194)="","",INDEX('Per Invoice'!Q$2:Q$401,$U194)))</f>
        <v/>
      </c>
      <c r="R194" s="7">
        <f>IF($U194="","",IF(INDEX('Per Invoice'!R$2:R$401,$U194)="","",INDEX('Per Invoice'!R$2:R$401,$U194)))</f>
        <v/>
      </c>
      <c r="S194" s="7">
        <f>IF($U194="","",IF(INDEX('Per Invoice'!S$2:S$401,$U194)="","",INDEX('Per Invoice'!S$2:S$401,$U194)))</f>
        <v/>
      </c>
      <c r="T194" s="7">
        <f>IF($U194="","",IF(INDEX('Per Invoice'!T$2:T$401,$U194)="","",INDEX('Per Invoice'!T$2:T$401,$U194)))</f>
        <v/>
      </c>
      <c r="U194" s="16">
        <f>IFERROR(MATCH(Settings!$C$29&amp;"|"&amp;ROWS($U$2:$U194),'Per Invoice'!$V$2:$V$401,0),"")</f>
        <v/>
      </c>
    </row>
    <row r="195">
      <c r="A195">
        <f>IF($U195="","",IF(INDEX('Per Invoice'!A$2:A$401,$U195)="","",INDEX('Per Invoice'!A$2:A$401,$U195)))</f>
        <v/>
      </c>
      <c r="B195">
        <f>IF($U195="","",IF(INDEX('Per Invoice'!B$2:B$401,$U195)="","",INDEX('Per Invoice'!B$2:B$401,$U195)))</f>
        <v/>
      </c>
      <c r="C195">
        <f>IF($U195="","",IF(INDEX('Per Invoice'!C$2:C$401,$U195)="","",INDEX('Per Invoice'!C$2:C$401,$U195)))</f>
        <v/>
      </c>
      <c r="D195">
        <f>IF($U195="","",IF(INDEX('Per Invoice'!D$2:D$401,$U195)="","",INDEX('Per Invoice'!D$2:D$401,$U195)))</f>
        <v/>
      </c>
      <c r="E195">
        <f>IF($U195="","",IF(INDEX('Per Invoice'!E$2:E$401,$U195)="","",INDEX('Per Invoice'!E$2:E$401,$U195)))</f>
        <v/>
      </c>
      <c r="F195">
        <f>IF($U195="","",IF(INDEX('Per Invoice'!F$2:F$401,$U195)="","",INDEX('Per Invoice'!F$2:F$401,$U195)))</f>
        <v/>
      </c>
      <c r="G195">
        <f>IF($U195="","",IF(INDEX('Per Invoice'!G$2:G$401,$U195)="","",INDEX('Per Invoice'!G$2:G$401,$U195)))</f>
        <v/>
      </c>
      <c r="H195" s="7">
        <f>IF($U195="","",IF(INDEX('Per Invoice'!H$2:H$401,$U195)="","",INDEX('Per Invoice'!H$2:H$401,$U195)))</f>
        <v/>
      </c>
      <c r="I195" s="14">
        <f>IF($U195="","",IF(INDEX('Per Invoice'!I$2:I$401,$U195)="","",INDEX('Per Invoice'!I$2:I$401,$U195)))</f>
        <v/>
      </c>
      <c r="J195">
        <f>IF($U195="","",IF(INDEX('Per Invoice'!J$2:J$401,$U195)="","",INDEX('Per Invoice'!J$2:J$401,$U195)))</f>
        <v/>
      </c>
      <c r="K195">
        <f>IF($U195="","",IF(INDEX('Per Invoice'!K$2:K$401,$U195)="","",INDEX('Per Invoice'!K$2:K$401,$U195)))</f>
        <v/>
      </c>
      <c r="L195" s="7">
        <f>IF($U195="","",IF(INDEX('Per Invoice'!L$2:L$401,$U195)="","",INDEX('Per Invoice'!L$2:L$401,$U195)))</f>
        <v/>
      </c>
      <c r="M195" s="7">
        <f>IF($U195="","",IF(INDEX('Per Invoice'!M$2:M$401,$U195)="","",INDEX('Per Invoice'!M$2:M$401,$U195)))</f>
        <v/>
      </c>
      <c r="N195">
        <f>IF($U195="","",IF(INDEX('Per Invoice'!N$2:N$401,$U195)="","",INDEX('Per Invoice'!N$2:N$401,$U195)))</f>
        <v/>
      </c>
      <c r="O195" s="7">
        <f>IF($U195="","",IF(INDEX('Per Invoice'!O$2:O$401,$U195)="","",INDEX('Per Invoice'!O$2:O$401,$U195)))</f>
        <v/>
      </c>
      <c r="P195" s="7">
        <f>IF($U195="","",IF(INDEX('Per Invoice'!P$2:P$401,$U195)="","",INDEX('Per Invoice'!P$2:P$401,$U195)))</f>
        <v/>
      </c>
      <c r="Q195" s="7">
        <f>IF($U195="","",IF(INDEX('Per Invoice'!Q$2:Q$401,$U195)="","",INDEX('Per Invoice'!Q$2:Q$401,$U195)))</f>
        <v/>
      </c>
      <c r="R195" s="7">
        <f>IF($U195="","",IF(INDEX('Per Invoice'!R$2:R$401,$U195)="","",INDEX('Per Invoice'!R$2:R$401,$U195)))</f>
        <v/>
      </c>
      <c r="S195" s="7">
        <f>IF($U195="","",IF(INDEX('Per Invoice'!S$2:S$401,$U195)="","",INDEX('Per Invoice'!S$2:S$401,$U195)))</f>
        <v/>
      </c>
      <c r="T195" s="7">
        <f>IF($U195="","",IF(INDEX('Per Invoice'!T$2:T$401,$U195)="","",INDEX('Per Invoice'!T$2:T$401,$U195)))</f>
        <v/>
      </c>
      <c r="U195" s="16">
        <f>IFERROR(MATCH(Settings!$C$29&amp;"|"&amp;ROWS($U$2:$U195),'Per Invoice'!$V$2:$V$401,0),"")</f>
        <v/>
      </c>
    </row>
    <row r="196">
      <c r="A196">
        <f>IF($U196="","",IF(INDEX('Per Invoice'!A$2:A$401,$U196)="","",INDEX('Per Invoice'!A$2:A$401,$U196)))</f>
        <v/>
      </c>
      <c r="B196">
        <f>IF($U196="","",IF(INDEX('Per Invoice'!B$2:B$401,$U196)="","",INDEX('Per Invoice'!B$2:B$401,$U196)))</f>
        <v/>
      </c>
      <c r="C196">
        <f>IF($U196="","",IF(INDEX('Per Invoice'!C$2:C$401,$U196)="","",INDEX('Per Invoice'!C$2:C$401,$U196)))</f>
        <v/>
      </c>
      <c r="D196">
        <f>IF($U196="","",IF(INDEX('Per Invoice'!D$2:D$401,$U196)="","",INDEX('Per Invoice'!D$2:D$401,$U196)))</f>
        <v/>
      </c>
      <c r="E196">
        <f>IF($U196="","",IF(INDEX('Per Invoice'!E$2:E$401,$U196)="","",INDEX('Per Invoice'!E$2:E$401,$U196)))</f>
        <v/>
      </c>
      <c r="F196">
        <f>IF($U196="","",IF(INDEX('Per Invoice'!F$2:F$401,$U196)="","",INDEX('Per Invoice'!F$2:F$401,$U196)))</f>
        <v/>
      </c>
      <c r="G196">
        <f>IF($U196="","",IF(INDEX('Per Invoice'!G$2:G$401,$U196)="","",INDEX('Per Invoice'!G$2:G$401,$U196)))</f>
        <v/>
      </c>
      <c r="H196" s="7">
        <f>IF($U196="","",IF(INDEX('Per Invoice'!H$2:H$401,$U196)="","",INDEX('Per Invoice'!H$2:H$401,$U196)))</f>
        <v/>
      </c>
      <c r="I196" s="14">
        <f>IF($U196="","",IF(INDEX('Per Invoice'!I$2:I$401,$U196)="","",INDEX('Per Invoice'!I$2:I$401,$U196)))</f>
        <v/>
      </c>
      <c r="J196">
        <f>IF($U196="","",IF(INDEX('Per Invoice'!J$2:J$401,$U196)="","",INDEX('Per Invoice'!J$2:J$401,$U196)))</f>
        <v/>
      </c>
      <c r="K196">
        <f>IF($U196="","",IF(INDEX('Per Invoice'!K$2:K$401,$U196)="","",INDEX('Per Invoice'!K$2:K$401,$U196)))</f>
        <v/>
      </c>
      <c r="L196" s="7">
        <f>IF($U196="","",IF(INDEX('Per Invoice'!L$2:L$401,$U196)="","",INDEX('Per Invoice'!L$2:L$401,$U196)))</f>
        <v/>
      </c>
      <c r="M196" s="7">
        <f>IF($U196="","",IF(INDEX('Per Invoice'!M$2:M$401,$U196)="","",INDEX('Per Invoice'!M$2:M$401,$U196)))</f>
        <v/>
      </c>
      <c r="N196">
        <f>IF($U196="","",IF(INDEX('Per Invoice'!N$2:N$401,$U196)="","",INDEX('Per Invoice'!N$2:N$401,$U196)))</f>
        <v/>
      </c>
      <c r="O196" s="7">
        <f>IF($U196="","",IF(INDEX('Per Invoice'!O$2:O$401,$U196)="","",INDEX('Per Invoice'!O$2:O$401,$U196)))</f>
        <v/>
      </c>
      <c r="P196" s="7">
        <f>IF($U196="","",IF(INDEX('Per Invoice'!P$2:P$401,$U196)="","",INDEX('Per Invoice'!P$2:P$401,$U196)))</f>
        <v/>
      </c>
      <c r="Q196" s="7">
        <f>IF($U196="","",IF(INDEX('Per Invoice'!Q$2:Q$401,$U196)="","",INDEX('Per Invoice'!Q$2:Q$401,$U196)))</f>
        <v/>
      </c>
      <c r="R196" s="7">
        <f>IF($U196="","",IF(INDEX('Per Invoice'!R$2:R$401,$U196)="","",INDEX('Per Invoice'!R$2:R$401,$U196)))</f>
        <v/>
      </c>
      <c r="S196" s="7">
        <f>IF($U196="","",IF(INDEX('Per Invoice'!S$2:S$401,$U196)="","",INDEX('Per Invoice'!S$2:S$401,$U196)))</f>
        <v/>
      </c>
      <c r="T196" s="7">
        <f>IF($U196="","",IF(INDEX('Per Invoice'!T$2:T$401,$U196)="","",INDEX('Per Invoice'!T$2:T$401,$U196)))</f>
        <v/>
      </c>
      <c r="U196" s="16">
        <f>IFERROR(MATCH(Settings!$C$29&amp;"|"&amp;ROWS($U$2:$U196),'Per Invoice'!$V$2:$V$401,0),"")</f>
        <v/>
      </c>
    </row>
    <row r="197">
      <c r="A197">
        <f>IF($U197="","",IF(INDEX('Per Invoice'!A$2:A$401,$U197)="","",INDEX('Per Invoice'!A$2:A$401,$U197)))</f>
        <v/>
      </c>
      <c r="B197">
        <f>IF($U197="","",IF(INDEX('Per Invoice'!B$2:B$401,$U197)="","",INDEX('Per Invoice'!B$2:B$401,$U197)))</f>
        <v/>
      </c>
      <c r="C197">
        <f>IF($U197="","",IF(INDEX('Per Invoice'!C$2:C$401,$U197)="","",INDEX('Per Invoice'!C$2:C$401,$U197)))</f>
        <v/>
      </c>
      <c r="D197">
        <f>IF($U197="","",IF(INDEX('Per Invoice'!D$2:D$401,$U197)="","",INDEX('Per Invoice'!D$2:D$401,$U197)))</f>
        <v/>
      </c>
      <c r="E197">
        <f>IF($U197="","",IF(INDEX('Per Invoice'!E$2:E$401,$U197)="","",INDEX('Per Invoice'!E$2:E$401,$U197)))</f>
        <v/>
      </c>
      <c r="F197">
        <f>IF($U197="","",IF(INDEX('Per Invoice'!F$2:F$401,$U197)="","",INDEX('Per Invoice'!F$2:F$401,$U197)))</f>
        <v/>
      </c>
      <c r="G197">
        <f>IF($U197="","",IF(INDEX('Per Invoice'!G$2:G$401,$U197)="","",INDEX('Per Invoice'!G$2:G$401,$U197)))</f>
        <v/>
      </c>
      <c r="H197" s="7">
        <f>IF($U197="","",IF(INDEX('Per Invoice'!H$2:H$401,$U197)="","",INDEX('Per Invoice'!H$2:H$401,$U197)))</f>
        <v/>
      </c>
      <c r="I197" s="14">
        <f>IF($U197="","",IF(INDEX('Per Invoice'!I$2:I$401,$U197)="","",INDEX('Per Invoice'!I$2:I$401,$U197)))</f>
        <v/>
      </c>
      <c r="J197">
        <f>IF($U197="","",IF(INDEX('Per Invoice'!J$2:J$401,$U197)="","",INDEX('Per Invoice'!J$2:J$401,$U197)))</f>
        <v/>
      </c>
      <c r="K197">
        <f>IF($U197="","",IF(INDEX('Per Invoice'!K$2:K$401,$U197)="","",INDEX('Per Invoice'!K$2:K$401,$U197)))</f>
        <v/>
      </c>
      <c r="L197" s="7">
        <f>IF($U197="","",IF(INDEX('Per Invoice'!L$2:L$401,$U197)="","",INDEX('Per Invoice'!L$2:L$401,$U197)))</f>
        <v/>
      </c>
      <c r="M197" s="7">
        <f>IF($U197="","",IF(INDEX('Per Invoice'!M$2:M$401,$U197)="","",INDEX('Per Invoice'!M$2:M$401,$U197)))</f>
        <v/>
      </c>
      <c r="N197">
        <f>IF($U197="","",IF(INDEX('Per Invoice'!N$2:N$401,$U197)="","",INDEX('Per Invoice'!N$2:N$401,$U197)))</f>
        <v/>
      </c>
      <c r="O197" s="7">
        <f>IF($U197="","",IF(INDEX('Per Invoice'!O$2:O$401,$U197)="","",INDEX('Per Invoice'!O$2:O$401,$U197)))</f>
        <v/>
      </c>
      <c r="P197" s="7">
        <f>IF($U197="","",IF(INDEX('Per Invoice'!P$2:P$401,$U197)="","",INDEX('Per Invoice'!P$2:P$401,$U197)))</f>
        <v/>
      </c>
      <c r="Q197" s="7">
        <f>IF($U197="","",IF(INDEX('Per Invoice'!Q$2:Q$401,$U197)="","",INDEX('Per Invoice'!Q$2:Q$401,$U197)))</f>
        <v/>
      </c>
      <c r="R197" s="7">
        <f>IF($U197="","",IF(INDEX('Per Invoice'!R$2:R$401,$U197)="","",INDEX('Per Invoice'!R$2:R$401,$U197)))</f>
        <v/>
      </c>
      <c r="S197" s="7">
        <f>IF($U197="","",IF(INDEX('Per Invoice'!S$2:S$401,$U197)="","",INDEX('Per Invoice'!S$2:S$401,$U197)))</f>
        <v/>
      </c>
      <c r="T197" s="7">
        <f>IF($U197="","",IF(INDEX('Per Invoice'!T$2:T$401,$U197)="","",INDEX('Per Invoice'!T$2:T$401,$U197)))</f>
        <v/>
      </c>
      <c r="U197" s="16">
        <f>IFERROR(MATCH(Settings!$C$29&amp;"|"&amp;ROWS($U$2:$U197),'Per Invoice'!$V$2:$V$401,0),"")</f>
        <v/>
      </c>
    </row>
    <row r="198">
      <c r="A198">
        <f>IF($U198="","",IF(INDEX('Per Invoice'!A$2:A$401,$U198)="","",INDEX('Per Invoice'!A$2:A$401,$U198)))</f>
        <v/>
      </c>
      <c r="B198">
        <f>IF($U198="","",IF(INDEX('Per Invoice'!B$2:B$401,$U198)="","",INDEX('Per Invoice'!B$2:B$401,$U198)))</f>
        <v/>
      </c>
      <c r="C198">
        <f>IF($U198="","",IF(INDEX('Per Invoice'!C$2:C$401,$U198)="","",INDEX('Per Invoice'!C$2:C$401,$U198)))</f>
        <v/>
      </c>
      <c r="D198">
        <f>IF($U198="","",IF(INDEX('Per Invoice'!D$2:D$401,$U198)="","",INDEX('Per Invoice'!D$2:D$401,$U198)))</f>
        <v/>
      </c>
      <c r="E198">
        <f>IF($U198="","",IF(INDEX('Per Invoice'!E$2:E$401,$U198)="","",INDEX('Per Invoice'!E$2:E$401,$U198)))</f>
        <v/>
      </c>
      <c r="F198">
        <f>IF($U198="","",IF(INDEX('Per Invoice'!F$2:F$401,$U198)="","",INDEX('Per Invoice'!F$2:F$401,$U198)))</f>
        <v/>
      </c>
      <c r="G198">
        <f>IF($U198="","",IF(INDEX('Per Invoice'!G$2:G$401,$U198)="","",INDEX('Per Invoice'!G$2:G$401,$U198)))</f>
        <v/>
      </c>
      <c r="H198" s="7">
        <f>IF($U198="","",IF(INDEX('Per Invoice'!H$2:H$401,$U198)="","",INDEX('Per Invoice'!H$2:H$401,$U198)))</f>
        <v/>
      </c>
      <c r="I198" s="14">
        <f>IF($U198="","",IF(INDEX('Per Invoice'!I$2:I$401,$U198)="","",INDEX('Per Invoice'!I$2:I$401,$U198)))</f>
        <v/>
      </c>
      <c r="J198">
        <f>IF($U198="","",IF(INDEX('Per Invoice'!J$2:J$401,$U198)="","",INDEX('Per Invoice'!J$2:J$401,$U198)))</f>
        <v/>
      </c>
      <c r="K198">
        <f>IF($U198="","",IF(INDEX('Per Invoice'!K$2:K$401,$U198)="","",INDEX('Per Invoice'!K$2:K$401,$U198)))</f>
        <v/>
      </c>
      <c r="L198" s="7">
        <f>IF($U198="","",IF(INDEX('Per Invoice'!L$2:L$401,$U198)="","",INDEX('Per Invoice'!L$2:L$401,$U198)))</f>
        <v/>
      </c>
      <c r="M198" s="7">
        <f>IF($U198="","",IF(INDEX('Per Invoice'!M$2:M$401,$U198)="","",INDEX('Per Invoice'!M$2:M$401,$U198)))</f>
        <v/>
      </c>
      <c r="N198">
        <f>IF($U198="","",IF(INDEX('Per Invoice'!N$2:N$401,$U198)="","",INDEX('Per Invoice'!N$2:N$401,$U198)))</f>
        <v/>
      </c>
      <c r="O198" s="7">
        <f>IF($U198="","",IF(INDEX('Per Invoice'!O$2:O$401,$U198)="","",INDEX('Per Invoice'!O$2:O$401,$U198)))</f>
        <v/>
      </c>
      <c r="P198" s="7">
        <f>IF($U198="","",IF(INDEX('Per Invoice'!P$2:P$401,$U198)="","",INDEX('Per Invoice'!P$2:P$401,$U198)))</f>
        <v/>
      </c>
      <c r="Q198" s="7">
        <f>IF($U198="","",IF(INDEX('Per Invoice'!Q$2:Q$401,$U198)="","",INDEX('Per Invoice'!Q$2:Q$401,$U198)))</f>
        <v/>
      </c>
      <c r="R198" s="7">
        <f>IF($U198="","",IF(INDEX('Per Invoice'!R$2:R$401,$U198)="","",INDEX('Per Invoice'!R$2:R$401,$U198)))</f>
        <v/>
      </c>
      <c r="S198" s="7">
        <f>IF($U198="","",IF(INDEX('Per Invoice'!S$2:S$401,$U198)="","",INDEX('Per Invoice'!S$2:S$401,$U198)))</f>
        <v/>
      </c>
      <c r="T198" s="7">
        <f>IF($U198="","",IF(INDEX('Per Invoice'!T$2:T$401,$U198)="","",INDEX('Per Invoice'!T$2:T$401,$U198)))</f>
        <v/>
      </c>
      <c r="U198" s="16">
        <f>IFERROR(MATCH(Settings!$C$29&amp;"|"&amp;ROWS($U$2:$U198),'Per Invoice'!$V$2:$V$401,0),"")</f>
        <v/>
      </c>
    </row>
    <row r="199">
      <c r="A199">
        <f>IF($U199="","",IF(INDEX('Per Invoice'!A$2:A$401,$U199)="","",INDEX('Per Invoice'!A$2:A$401,$U199)))</f>
        <v/>
      </c>
      <c r="B199">
        <f>IF($U199="","",IF(INDEX('Per Invoice'!B$2:B$401,$U199)="","",INDEX('Per Invoice'!B$2:B$401,$U199)))</f>
        <v/>
      </c>
      <c r="C199">
        <f>IF($U199="","",IF(INDEX('Per Invoice'!C$2:C$401,$U199)="","",INDEX('Per Invoice'!C$2:C$401,$U199)))</f>
        <v/>
      </c>
      <c r="D199">
        <f>IF($U199="","",IF(INDEX('Per Invoice'!D$2:D$401,$U199)="","",INDEX('Per Invoice'!D$2:D$401,$U199)))</f>
        <v/>
      </c>
      <c r="E199">
        <f>IF($U199="","",IF(INDEX('Per Invoice'!E$2:E$401,$U199)="","",INDEX('Per Invoice'!E$2:E$401,$U199)))</f>
        <v/>
      </c>
      <c r="F199">
        <f>IF($U199="","",IF(INDEX('Per Invoice'!F$2:F$401,$U199)="","",INDEX('Per Invoice'!F$2:F$401,$U199)))</f>
        <v/>
      </c>
      <c r="G199">
        <f>IF($U199="","",IF(INDEX('Per Invoice'!G$2:G$401,$U199)="","",INDEX('Per Invoice'!G$2:G$401,$U199)))</f>
        <v/>
      </c>
      <c r="H199" s="7">
        <f>IF($U199="","",IF(INDEX('Per Invoice'!H$2:H$401,$U199)="","",INDEX('Per Invoice'!H$2:H$401,$U199)))</f>
        <v/>
      </c>
      <c r="I199" s="14">
        <f>IF($U199="","",IF(INDEX('Per Invoice'!I$2:I$401,$U199)="","",INDEX('Per Invoice'!I$2:I$401,$U199)))</f>
        <v/>
      </c>
      <c r="J199">
        <f>IF($U199="","",IF(INDEX('Per Invoice'!J$2:J$401,$U199)="","",INDEX('Per Invoice'!J$2:J$401,$U199)))</f>
        <v/>
      </c>
      <c r="K199">
        <f>IF($U199="","",IF(INDEX('Per Invoice'!K$2:K$401,$U199)="","",INDEX('Per Invoice'!K$2:K$401,$U199)))</f>
        <v/>
      </c>
      <c r="L199" s="7">
        <f>IF($U199="","",IF(INDEX('Per Invoice'!L$2:L$401,$U199)="","",INDEX('Per Invoice'!L$2:L$401,$U199)))</f>
        <v/>
      </c>
      <c r="M199" s="7">
        <f>IF($U199="","",IF(INDEX('Per Invoice'!M$2:M$401,$U199)="","",INDEX('Per Invoice'!M$2:M$401,$U199)))</f>
        <v/>
      </c>
      <c r="N199">
        <f>IF($U199="","",IF(INDEX('Per Invoice'!N$2:N$401,$U199)="","",INDEX('Per Invoice'!N$2:N$401,$U199)))</f>
        <v/>
      </c>
      <c r="O199" s="7">
        <f>IF($U199="","",IF(INDEX('Per Invoice'!O$2:O$401,$U199)="","",INDEX('Per Invoice'!O$2:O$401,$U199)))</f>
        <v/>
      </c>
      <c r="P199" s="7">
        <f>IF($U199="","",IF(INDEX('Per Invoice'!P$2:P$401,$U199)="","",INDEX('Per Invoice'!P$2:P$401,$U199)))</f>
        <v/>
      </c>
      <c r="Q199" s="7">
        <f>IF($U199="","",IF(INDEX('Per Invoice'!Q$2:Q$401,$U199)="","",INDEX('Per Invoice'!Q$2:Q$401,$U199)))</f>
        <v/>
      </c>
      <c r="R199" s="7">
        <f>IF($U199="","",IF(INDEX('Per Invoice'!R$2:R$401,$U199)="","",INDEX('Per Invoice'!R$2:R$401,$U199)))</f>
        <v/>
      </c>
      <c r="S199" s="7">
        <f>IF($U199="","",IF(INDEX('Per Invoice'!S$2:S$401,$U199)="","",INDEX('Per Invoice'!S$2:S$401,$U199)))</f>
        <v/>
      </c>
      <c r="T199" s="7">
        <f>IF($U199="","",IF(INDEX('Per Invoice'!T$2:T$401,$U199)="","",INDEX('Per Invoice'!T$2:T$401,$U199)))</f>
        <v/>
      </c>
      <c r="U199" s="16">
        <f>IFERROR(MATCH(Settings!$C$29&amp;"|"&amp;ROWS($U$2:$U199),'Per Invoice'!$V$2:$V$401,0),"")</f>
        <v/>
      </c>
    </row>
    <row r="200">
      <c r="A200">
        <f>IF($U200="","",IF(INDEX('Per Invoice'!A$2:A$401,$U200)="","",INDEX('Per Invoice'!A$2:A$401,$U200)))</f>
        <v/>
      </c>
      <c r="B200">
        <f>IF($U200="","",IF(INDEX('Per Invoice'!B$2:B$401,$U200)="","",INDEX('Per Invoice'!B$2:B$401,$U200)))</f>
        <v/>
      </c>
      <c r="C200">
        <f>IF($U200="","",IF(INDEX('Per Invoice'!C$2:C$401,$U200)="","",INDEX('Per Invoice'!C$2:C$401,$U200)))</f>
        <v/>
      </c>
      <c r="D200">
        <f>IF($U200="","",IF(INDEX('Per Invoice'!D$2:D$401,$U200)="","",INDEX('Per Invoice'!D$2:D$401,$U200)))</f>
        <v/>
      </c>
      <c r="E200">
        <f>IF($U200="","",IF(INDEX('Per Invoice'!E$2:E$401,$U200)="","",INDEX('Per Invoice'!E$2:E$401,$U200)))</f>
        <v/>
      </c>
      <c r="F200">
        <f>IF($U200="","",IF(INDEX('Per Invoice'!F$2:F$401,$U200)="","",INDEX('Per Invoice'!F$2:F$401,$U200)))</f>
        <v/>
      </c>
      <c r="G200">
        <f>IF($U200="","",IF(INDEX('Per Invoice'!G$2:G$401,$U200)="","",INDEX('Per Invoice'!G$2:G$401,$U200)))</f>
        <v/>
      </c>
      <c r="H200" s="7">
        <f>IF($U200="","",IF(INDEX('Per Invoice'!H$2:H$401,$U200)="","",INDEX('Per Invoice'!H$2:H$401,$U200)))</f>
        <v/>
      </c>
      <c r="I200" s="14">
        <f>IF($U200="","",IF(INDEX('Per Invoice'!I$2:I$401,$U200)="","",INDEX('Per Invoice'!I$2:I$401,$U200)))</f>
        <v/>
      </c>
      <c r="J200">
        <f>IF($U200="","",IF(INDEX('Per Invoice'!J$2:J$401,$U200)="","",INDEX('Per Invoice'!J$2:J$401,$U200)))</f>
        <v/>
      </c>
      <c r="K200">
        <f>IF($U200="","",IF(INDEX('Per Invoice'!K$2:K$401,$U200)="","",INDEX('Per Invoice'!K$2:K$401,$U200)))</f>
        <v/>
      </c>
      <c r="L200" s="7">
        <f>IF($U200="","",IF(INDEX('Per Invoice'!L$2:L$401,$U200)="","",INDEX('Per Invoice'!L$2:L$401,$U200)))</f>
        <v/>
      </c>
      <c r="M200" s="7">
        <f>IF($U200="","",IF(INDEX('Per Invoice'!M$2:M$401,$U200)="","",INDEX('Per Invoice'!M$2:M$401,$U200)))</f>
        <v/>
      </c>
      <c r="N200">
        <f>IF($U200="","",IF(INDEX('Per Invoice'!N$2:N$401,$U200)="","",INDEX('Per Invoice'!N$2:N$401,$U200)))</f>
        <v/>
      </c>
      <c r="O200" s="7">
        <f>IF($U200="","",IF(INDEX('Per Invoice'!O$2:O$401,$U200)="","",INDEX('Per Invoice'!O$2:O$401,$U200)))</f>
        <v/>
      </c>
      <c r="P200" s="7">
        <f>IF($U200="","",IF(INDEX('Per Invoice'!P$2:P$401,$U200)="","",INDEX('Per Invoice'!P$2:P$401,$U200)))</f>
        <v/>
      </c>
      <c r="Q200" s="7">
        <f>IF($U200="","",IF(INDEX('Per Invoice'!Q$2:Q$401,$U200)="","",INDEX('Per Invoice'!Q$2:Q$401,$U200)))</f>
        <v/>
      </c>
      <c r="R200" s="7">
        <f>IF($U200="","",IF(INDEX('Per Invoice'!R$2:R$401,$U200)="","",INDEX('Per Invoice'!R$2:R$401,$U200)))</f>
        <v/>
      </c>
      <c r="S200" s="7">
        <f>IF($U200="","",IF(INDEX('Per Invoice'!S$2:S$401,$U200)="","",INDEX('Per Invoice'!S$2:S$401,$U200)))</f>
        <v/>
      </c>
      <c r="T200" s="7">
        <f>IF($U200="","",IF(INDEX('Per Invoice'!T$2:T$401,$U200)="","",INDEX('Per Invoice'!T$2:T$401,$U200)))</f>
        <v/>
      </c>
      <c r="U200" s="16">
        <f>IFERROR(MATCH(Settings!$C$29&amp;"|"&amp;ROWS($U$2:$U200),'Per Invoice'!$V$2:$V$401,0),"")</f>
        <v/>
      </c>
    </row>
    <row r="201">
      <c r="A201">
        <f>IF($U201="","",IF(INDEX('Per Invoice'!A$2:A$401,$U201)="","",INDEX('Per Invoice'!A$2:A$401,$U201)))</f>
        <v/>
      </c>
      <c r="B201">
        <f>IF($U201="","",IF(INDEX('Per Invoice'!B$2:B$401,$U201)="","",INDEX('Per Invoice'!B$2:B$401,$U201)))</f>
        <v/>
      </c>
      <c r="C201">
        <f>IF($U201="","",IF(INDEX('Per Invoice'!C$2:C$401,$U201)="","",INDEX('Per Invoice'!C$2:C$401,$U201)))</f>
        <v/>
      </c>
      <c r="D201">
        <f>IF($U201="","",IF(INDEX('Per Invoice'!D$2:D$401,$U201)="","",INDEX('Per Invoice'!D$2:D$401,$U201)))</f>
        <v/>
      </c>
      <c r="E201">
        <f>IF($U201="","",IF(INDEX('Per Invoice'!E$2:E$401,$U201)="","",INDEX('Per Invoice'!E$2:E$401,$U201)))</f>
        <v/>
      </c>
      <c r="F201">
        <f>IF($U201="","",IF(INDEX('Per Invoice'!F$2:F$401,$U201)="","",INDEX('Per Invoice'!F$2:F$401,$U201)))</f>
        <v/>
      </c>
      <c r="G201">
        <f>IF($U201="","",IF(INDEX('Per Invoice'!G$2:G$401,$U201)="","",INDEX('Per Invoice'!G$2:G$401,$U201)))</f>
        <v/>
      </c>
      <c r="H201" s="7">
        <f>IF($U201="","",IF(INDEX('Per Invoice'!H$2:H$401,$U201)="","",INDEX('Per Invoice'!H$2:H$401,$U201)))</f>
        <v/>
      </c>
      <c r="I201" s="14">
        <f>IF($U201="","",IF(INDEX('Per Invoice'!I$2:I$401,$U201)="","",INDEX('Per Invoice'!I$2:I$401,$U201)))</f>
        <v/>
      </c>
      <c r="J201">
        <f>IF($U201="","",IF(INDEX('Per Invoice'!J$2:J$401,$U201)="","",INDEX('Per Invoice'!J$2:J$401,$U201)))</f>
        <v/>
      </c>
      <c r="K201">
        <f>IF($U201="","",IF(INDEX('Per Invoice'!K$2:K$401,$U201)="","",INDEX('Per Invoice'!K$2:K$401,$U201)))</f>
        <v/>
      </c>
      <c r="L201" s="7">
        <f>IF($U201="","",IF(INDEX('Per Invoice'!L$2:L$401,$U201)="","",INDEX('Per Invoice'!L$2:L$401,$U201)))</f>
        <v/>
      </c>
      <c r="M201" s="7">
        <f>IF($U201="","",IF(INDEX('Per Invoice'!M$2:M$401,$U201)="","",INDEX('Per Invoice'!M$2:M$401,$U201)))</f>
        <v/>
      </c>
      <c r="N201">
        <f>IF($U201="","",IF(INDEX('Per Invoice'!N$2:N$401,$U201)="","",INDEX('Per Invoice'!N$2:N$401,$U201)))</f>
        <v/>
      </c>
      <c r="O201" s="7">
        <f>IF($U201="","",IF(INDEX('Per Invoice'!O$2:O$401,$U201)="","",INDEX('Per Invoice'!O$2:O$401,$U201)))</f>
        <v/>
      </c>
      <c r="P201" s="7">
        <f>IF($U201="","",IF(INDEX('Per Invoice'!P$2:P$401,$U201)="","",INDEX('Per Invoice'!P$2:P$401,$U201)))</f>
        <v/>
      </c>
      <c r="Q201" s="7">
        <f>IF($U201="","",IF(INDEX('Per Invoice'!Q$2:Q$401,$U201)="","",INDEX('Per Invoice'!Q$2:Q$401,$U201)))</f>
        <v/>
      </c>
      <c r="R201" s="7">
        <f>IF($U201="","",IF(INDEX('Per Invoice'!R$2:R$401,$U201)="","",INDEX('Per Invoice'!R$2:R$401,$U201)))</f>
        <v/>
      </c>
      <c r="S201" s="7">
        <f>IF($U201="","",IF(INDEX('Per Invoice'!S$2:S$401,$U201)="","",INDEX('Per Invoice'!S$2:S$401,$U201)))</f>
        <v/>
      </c>
      <c r="T201" s="7">
        <f>IF($U201="","",IF(INDEX('Per Invoice'!T$2:T$401,$U201)="","",INDEX('Per Invoice'!T$2:T$401,$U201)))</f>
        <v/>
      </c>
      <c r="U201" s="16">
        <f>IFERROR(MATCH(Settings!$C$29&amp;"|"&amp;ROWS($U$2:$U201),'Per Invoice'!$V$2:$V$401,0),"")</f>
        <v/>
      </c>
    </row>
    <row r="202">
      <c r="A202">
        <f>IF($U202="","",IF(INDEX('Per Invoice'!A$2:A$401,$U202)="","",INDEX('Per Invoice'!A$2:A$401,$U202)))</f>
        <v/>
      </c>
      <c r="B202">
        <f>IF($U202="","",IF(INDEX('Per Invoice'!B$2:B$401,$U202)="","",INDEX('Per Invoice'!B$2:B$401,$U202)))</f>
        <v/>
      </c>
      <c r="C202">
        <f>IF($U202="","",IF(INDEX('Per Invoice'!C$2:C$401,$U202)="","",INDEX('Per Invoice'!C$2:C$401,$U202)))</f>
        <v/>
      </c>
      <c r="D202">
        <f>IF($U202="","",IF(INDEX('Per Invoice'!D$2:D$401,$U202)="","",INDEX('Per Invoice'!D$2:D$401,$U202)))</f>
        <v/>
      </c>
      <c r="E202">
        <f>IF($U202="","",IF(INDEX('Per Invoice'!E$2:E$401,$U202)="","",INDEX('Per Invoice'!E$2:E$401,$U202)))</f>
        <v/>
      </c>
      <c r="F202">
        <f>IF($U202="","",IF(INDEX('Per Invoice'!F$2:F$401,$U202)="","",INDEX('Per Invoice'!F$2:F$401,$U202)))</f>
        <v/>
      </c>
      <c r="G202">
        <f>IF($U202="","",IF(INDEX('Per Invoice'!G$2:G$401,$U202)="","",INDEX('Per Invoice'!G$2:G$401,$U202)))</f>
        <v/>
      </c>
      <c r="H202" s="7">
        <f>IF($U202="","",IF(INDEX('Per Invoice'!H$2:H$401,$U202)="","",INDEX('Per Invoice'!H$2:H$401,$U202)))</f>
        <v/>
      </c>
      <c r="I202" s="14">
        <f>IF($U202="","",IF(INDEX('Per Invoice'!I$2:I$401,$U202)="","",INDEX('Per Invoice'!I$2:I$401,$U202)))</f>
        <v/>
      </c>
      <c r="J202">
        <f>IF($U202="","",IF(INDEX('Per Invoice'!J$2:J$401,$U202)="","",INDEX('Per Invoice'!J$2:J$401,$U202)))</f>
        <v/>
      </c>
      <c r="K202">
        <f>IF($U202="","",IF(INDEX('Per Invoice'!K$2:K$401,$U202)="","",INDEX('Per Invoice'!K$2:K$401,$U202)))</f>
        <v/>
      </c>
      <c r="L202" s="7">
        <f>IF($U202="","",IF(INDEX('Per Invoice'!L$2:L$401,$U202)="","",INDEX('Per Invoice'!L$2:L$401,$U202)))</f>
        <v/>
      </c>
      <c r="M202" s="7">
        <f>IF($U202="","",IF(INDEX('Per Invoice'!M$2:M$401,$U202)="","",INDEX('Per Invoice'!M$2:M$401,$U202)))</f>
        <v/>
      </c>
      <c r="N202">
        <f>IF($U202="","",IF(INDEX('Per Invoice'!N$2:N$401,$U202)="","",INDEX('Per Invoice'!N$2:N$401,$U202)))</f>
        <v/>
      </c>
      <c r="O202" s="7">
        <f>IF($U202="","",IF(INDEX('Per Invoice'!O$2:O$401,$U202)="","",INDEX('Per Invoice'!O$2:O$401,$U202)))</f>
        <v/>
      </c>
      <c r="P202" s="7">
        <f>IF($U202="","",IF(INDEX('Per Invoice'!P$2:P$401,$U202)="","",INDEX('Per Invoice'!P$2:P$401,$U202)))</f>
        <v/>
      </c>
      <c r="Q202" s="7">
        <f>IF($U202="","",IF(INDEX('Per Invoice'!Q$2:Q$401,$U202)="","",INDEX('Per Invoice'!Q$2:Q$401,$U202)))</f>
        <v/>
      </c>
      <c r="R202" s="7">
        <f>IF($U202="","",IF(INDEX('Per Invoice'!R$2:R$401,$U202)="","",INDEX('Per Invoice'!R$2:R$401,$U202)))</f>
        <v/>
      </c>
      <c r="S202" s="7">
        <f>IF($U202="","",IF(INDEX('Per Invoice'!S$2:S$401,$U202)="","",INDEX('Per Invoice'!S$2:S$401,$U202)))</f>
        <v/>
      </c>
      <c r="T202" s="7">
        <f>IF($U202="","",IF(INDEX('Per Invoice'!T$2:T$401,$U202)="","",INDEX('Per Invoice'!T$2:T$401,$U202)))</f>
        <v/>
      </c>
      <c r="U202" s="16">
        <f>IFERROR(MATCH(Settings!$C$29&amp;"|"&amp;ROWS($U$2:$U202),'Per Invoice'!$V$2:$V$401,0),"")</f>
        <v/>
      </c>
    </row>
    <row r="203">
      <c r="A203">
        <f>IF($U203="","",IF(INDEX('Per Invoice'!A$2:A$401,$U203)="","",INDEX('Per Invoice'!A$2:A$401,$U203)))</f>
        <v/>
      </c>
      <c r="B203">
        <f>IF($U203="","",IF(INDEX('Per Invoice'!B$2:B$401,$U203)="","",INDEX('Per Invoice'!B$2:B$401,$U203)))</f>
        <v/>
      </c>
      <c r="C203">
        <f>IF($U203="","",IF(INDEX('Per Invoice'!C$2:C$401,$U203)="","",INDEX('Per Invoice'!C$2:C$401,$U203)))</f>
        <v/>
      </c>
      <c r="D203">
        <f>IF($U203="","",IF(INDEX('Per Invoice'!D$2:D$401,$U203)="","",INDEX('Per Invoice'!D$2:D$401,$U203)))</f>
        <v/>
      </c>
      <c r="E203">
        <f>IF($U203="","",IF(INDEX('Per Invoice'!E$2:E$401,$U203)="","",INDEX('Per Invoice'!E$2:E$401,$U203)))</f>
        <v/>
      </c>
      <c r="F203">
        <f>IF($U203="","",IF(INDEX('Per Invoice'!F$2:F$401,$U203)="","",INDEX('Per Invoice'!F$2:F$401,$U203)))</f>
        <v/>
      </c>
      <c r="G203">
        <f>IF($U203="","",IF(INDEX('Per Invoice'!G$2:G$401,$U203)="","",INDEX('Per Invoice'!G$2:G$401,$U203)))</f>
        <v/>
      </c>
      <c r="H203" s="7">
        <f>IF($U203="","",IF(INDEX('Per Invoice'!H$2:H$401,$U203)="","",INDEX('Per Invoice'!H$2:H$401,$U203)))</f>
        <v/>
      </c>
      <c r="I203" s="14">
        <f>IF($U203="","",IF(INDEX('Per Invoice'!I$2:I$401,$U203)="","",INDEX('Per Invoice'!I$2:I$401,$U203)))</f>
        <v/>
      </c>
      <c r="J203">
        <f>IF($U203="","",IF(INDEX('Per Invoice'!J$2:J$401,$U203)="","",INDEX('Per Invoice'!J$2:J$401,$U203)))</f>
        <v/>
      </c>
      <c r="K203">
        <f>IF($U203="","",IF(INDEX('Per Invoice'!K$2:K$401,$U203)="","",INDEX('Per Invoice'!K$2:K$401,$U203)))</f>
        <v/>
      </c>
      <c r="L203" s="7">
        <f>IF($U203="","",IF(INDEX('Per Invoice'!L$2:L$401,$U203)="","",INDEX('Per Invoice'!L$2:L$401,$U203)))</f>
        <v/>
      </c>
      <c r="M203" s="7">
        <f>IF($U203="","",IF(INDEX('Per Invoice'!M$2:M$401,$U203)="","",INDEX('Per Invoice'!M$2:M$401,$U203)))</f>
        <v/>
      </c>
      <c r="N203">
        <f>IF($U203="","",IF(INDEX('Per Invoice'!N$2:N$401,$U203)="","",INDEX('Per Invoice'!N$2:N$401,$U203)))</f>
        <v/>
      </c>
      <c r="O203" s="7">
        <f>IF($U203="","",IF(INDEX('Per Invoice'!O$2:O$401,$U203)="","",INDEX('Per Invoice'!O$2:O$401,$U203)))</f>
        <v/>
      </c>
      <c r="P203" s="7">
        <f>IF($U203="","",IF(INDEX('Per Invoice'!P$2:P$401,$U203)="","",INDEX('Per Invoice'!P$2:P$401,$U203)))</f>
        <v/>
      </c>
      <c r="Q203" s="7">
        <f>IF($U203="","",IF(INDEX('Per Invoice'!Q$2:Q$401,$U203)="","",INDEX('Per Invoice'!Q$2:Q$401,$U203)))</f>
        <v/>
      </c>
      <c r="R203" s="7">
        <f>IF($U203="","",IF(INDEX('Per Invoice'!R$2:R$401,$U203)="","",INDEX('Per Invoice'!R$2:R$401,$U203)))</f>
        <v/>
      </c>
      <c r="S203" s="7">
        <f>IF($U203="","",IF(INDEX('Per Invoice'!S$2:S$401,$U203)="","",INDEX('Per Invoice'!S$2:S$401,$U203)))</f>
        <v/>
      </c>
      <c r="T203" s="7">
        <f>IF($U203="","",IF(INDEX('Per Invoice'!T$2:T$401,$U203)="","",INDEX('Per Invoice'!T$2:T$401,$U203)))</f>
        <v/>
      </c>
      <c r="U203" s="16">
        <f>IFERROR(MATCH(Settings!$C$29&amp;"|"&amp;ROWS($U$2:$U203),'Per Invoice'!$V$2:$V$401,0),"")</f>
        <v/>
      </c>
    </row>
    <row r="204">
      <c r="A204">
        <f>IF($U204="","",IF(INDEX('Per Invoice'!A$2:A$401,$U204)="","",INDEX('Per Invoice'!A$2:A$401,$U204)))</f>
        <v/>
      </c>
      <c r="B204">
        <f>IF($U204="","",IF(INDEX('Per Invoice'!B$2:B$401,$U204)="","",INDEX('Per Invoice'!B$2:B$401,$U204)))</f>
        <v/>
      </c>
      <c r="C204">
        <f>IF($U204="","",IF(INDEX('Per Invoice'!C$2:C$401,$U204)="","",INDEX('Per Invoice'!C$2:C$401,$U204)))</f>
        <v/>
      </c>
      <c r="D204">
        <f>IF($U204="","",IF(INDEX('Per Invoice'!D$2:D$401,$U204)="","",INDEX('Per Invoice'!D$2:D$401,$U204)))</f>
        <v/>
      </c>
      <c r="E204">
        <f>IF($U204="","",IF(INDEX('Per Invoice'!E$2:E$401,$U204)="","",INDEX('Per Invoice'!E$2:E$401,$U204)))</f>
        <v/>
      </c>
      <c r="F204">
        <f>IF($U204="","",IF(INDEX('Per Invoice'!F$2:F$401,$U204)="","",INDEX('Per Invoice'!F$2:F$401,$U204)))</f>
        <v/>
      </c>
      <c r="G204">
        <f>IF($U204="","",IF(INDEX('Per Invoice'!G$2:G$401,$U204)="","",INDEX('Per Invoice'!G$2:G$401,$U204)))</f>
        <v/>
      </c>
      <c r="H204" s="7">
        <f>IF($U204="","",IF(INDEX('Per Invoice'!H$2:H$401,$U204)="","",INDEX('Per Invoice'!H$2:H$401,$U204)))</f>
        <v/>
      </c>
      <c r="I204" s="14">
        <f>IF($U204="","",IF(INDEX('Per Invoice'!I$2:I$401,$U204)="","",INDEX('Per Invoice'!I$2:I$401,$U204)))</f>
        <v/>
      </c>
      <c r="J204">
        <f>IF($U204="","",IF(INDEX('Per Invoice'!J$2:J$401,$U204)="","",INDEX('Per Invoice'!J$2:J$401,$U204)))</f>
        <v/>
      </c>
      <c r="K204">
        <f>IF($U204="","",IF(INDEX('Per Invoice'!K$2:K$401,$U204)="","",INDEX('Per Invoice'!K$2:K$401,$U204)))</f>
        <v/>
      </c>
      <c r="L204" s="7">
        <f>IF($U204="","",IF(INDEX('Per Invoice'!L$2:L$401,$U204)="","",INDEX('Per Invoice'!L$2:L$401,$U204)))</f>
        <v/>
      </c>
      <c r="M204" s="7">
        <f>IF($U204="","",IF(INDEX('Per Invoice'!M$2:M$401,$U204)="","",INDEX('Per Invoice'!M$2:M$401,$U204)))</f>
        <v/>
      </c>
      <c r="N204">
        <f>IF($U204="","",IF(INDEX('Per Invoice'!N$2:N$401,$U204)="","",INDEX('Per Invoice'!N$2:N$401,$U204)))</f>
        <v/>
      </c>
      <c r="O204" s="7">
        <f>IF($U204="","",IF(INDEX('Per Invoice'!O$2:O$401,$U204)="","",INDEX('Per Invoice'!O$2:O$401,$U204)))</f>
        <v/>
      </c>
      <c r="P204" s="7">
        <f>IF($U204="","",IF(INDEX('Per Invoice'!P$2:P$401,$U204)="","",INDEX('Per Invoice'!P$2:P$401,$U204)))</f>
        <v/>
      </c>
      <c r="Q204" s="7">
        <f>IF($U204="","",IF(INDEX('Per Invoice'!Q$2:Q$401,$U204)="","",INDEX('Per Invoice'!Q$2:Q$401,$U204)))</f>
        <v/>
      </c>
      <c r="R204" s="7">
        <f>IF($U204="","",IF(INDEX('Per Invoice'!R$2:R$401,$U204)="","",INDEX('Per Invoice'!R$2:R$401,$U204)))</f>
        <v/>
      </c>
      <c r="S204" s="7">
        <f>IF($U204="","",IF(INDEX('Per Invoice'!S$2:S$401,$U204)="","",INDEX('Per Invoice'!S$2:S$401,$U204)))</f>
        <v/>
      </c>
      <c r="T204" s="7">
        <f>IF($U204="","",IF(INDEX('Per Invoice'!T$2:T$401,$U204)="","",INDEX('Per Invoice'!T$2:T$401,$U204)))</f>
        <v/>
      </c>
      <c r="U204" s="16">
        <f>IFERROR(MATCH(Settings!$C$29&amp;"|"&amp;ROWS($U$2:$U204),'Per Invoice'!$V$2:$V$401,0),"")</f>
        <v/>
      </c>
    </row>
    <row r="205">
      <c r="A205">
        <f>IF($U205="","",IF(INDEX('Per Invoice'!A$2:A$401,$U205)="","",INDEX('Per Invoice'!A$2:A$401,$U205)))</f>
        <v/>
      </c>
      <c r="B205">
        <f>IF($U205="","",IF(INDEX('Per Invoice'!B$2:B$401,$U205)="","",INDEX('Per Invoice'!B$2:B$401,$U205)))</f>
        <v/>
      </c>
      <c r="C205">
        <f>IF($U205="","",IF(INDEX('Per Invoice'!C$2:C$401,$U205)="","",INDEX('Per Invoice'!C$2:C$401,$U205)))</f>
        <v/>
      </c>
      <c r="D205">
        <f>IF($U205="","",IF(INDEX('Per Invoice'!D$2:D$401,$U205)="","",INDEX('Per Invoice'!D$2:D$401,$U205)))</f>
        <v/>
      </c>
      <c r="E205">
        <f>IF($U205="","",IF(INDEX('Per Invoice'!E$2:E$401,$U205)="","",INDEX('Per Invoice'!E$2:E$401,$U205)))</f>
        <v/>
      </c>
      <c r="F205">
        <f>IF($U205="","",IF(INDEX('Per Invoice'!F$2:F$401,$U205)="","",INDEX('Per Invoice'!F$2:F$401,$U205)))</f>
        <v/>
      </c>
      <c r="G205">
        <f>IF($U205="","",IF(INDEX('Per Invoice'!G$2:G$401,$U205)="","",INDEX('Per Invoice'!G$2:G$401,$U205)))</f>
        <v/>
      </c>
      <c r="H205" s="7">
        <f>IF($U205="","",IF(INDEX('Per Invoice'!H$2:H$401,$U205)="","",INDEX('Per Invoice'!H$2:H$401,$U205)))</f>
        <v/>
      </c>
      <c r="I205" s="14">
        <f>IF($U205="","",IF(INDEX('Per Invoice'!I$2:I$401,$U205)="","",INDEX('Per Invoice'!I$2:I$401,$U205)))</f>
        <v/>
      </c>
      <c r="J205">
        <f>IF($U205="","",IF(INDEX('Per Invoice'!J$2:J$401,$U205)="","",INDEX('Per Invoice'!J$2:J$401,$U205)))</f>
        <v/>
      </c>
      <c r="K205">
        <f>IF($U205="","",IF(INDEX('Per Invoice'!K$2:K$401,$U205)="","",INDEX('Per Invoice'!K$2:K$401,$U205)))</f>
        <v/>
      </c>
      <c r="L205" s="7">
        <f>IF($U205="","",IF(INDEX('Per Invoice'!L$2:L$401,$U205)="","",INDEX('Per Invoice'!L$2:L$401,$U205)))</f>
        <v/>
      </c>
      <c r="M205" s="7">
        <f>IF($U205="","",IF(INDEX('Per Invoice'!M$2:M$401,$U205)="","",INDEX('Per Invoice'!M$2:M$401,$U205)))</f>
        <v/>
      </c>
      <c r="N205">
        <f>IF($U205="","",IF(INDEX('Per Invoice'!N$2:N$401,$U205)="","",INDEX('Per Invoice'!N$2:N$401,$U205)))</f>
        <v/>
      </c>
      <c r="O205" s="7">
        <f>IF($U205="","",IF(INDEX('Per Invoice'!O$2:O$401,$U205)="","",INDEX('Per Invoice'!O$2:O$401,$U205)))</f>
        <v/>
      </c>
      <c r="P205" s="7">
        <f>IF($U205="","",IF(INDEX('Per Invoice'!P$2:P$401,$U205)="","",INDEX('Per Invoice'!P$2:P$401,$U205)))</f>
        <v/>
      </c>
      <c r="Q205" s="7">
        <f>IF($U205="","",IF(INDEX('Per Invoice'!Q$2:Q$401,$U205)="","",INDEX('Per Invoice'!Q$2:Q$401,$U205)))</f>
        <v/>
      </c>
      <c r="R205" s="7">
        <f>IF($U205="","",IF(INDEX('Per Invoice'!R$2:R$401,$U205)="","",INDEX('Per Invoice'!R$2:R$401,$U205)))</f>
        <v/>
      </c>
      <c r="S205" s="7">
        <f>IF($U205="","",IF(INDEX('Per Invoice'!S$2:S$401,$U205)="","",INDEX('Per Invoice'!S$2:S$401,$U205)))</f>
        <v/>
      </c>
      <c r="T205" s="7">
        <f>IF($U205="","",IF(INDEX('Per Invoice'!T$2:T$401,$U205)="","",INDEX('Per Invoice'!T$2:T$401,$U205)))</f>
        <v/>
      </c>
      <c r="U205" s="16">
        <f>IFERROR(MATCH(Settings!$C$29&amp;"|"&amp;ROWS($U$2:$U205),'Per Invoice'!$V$2:$V$401,0),"")</f>
        <v/>
      </c>
    </row>
    <row r="206">
      <c r="A206">
        <f>IF($U206="","",IF(INDEX('Per Invoice'!A$2:A$401,$U206)="","",INDEX('Per Invoice'!A$2:A$401,$U206)))</f>
        <v/>
      </c>
      <c r="B206">
        <f>IF($U206="","",IF(INDEX('Per Invoice'!B$2:B$401,$U206)="","",INDEX('Per Invoice'!B$2:B$401,$U206)))</f>
        <v/>
      </c>
      <c r="C206">
        <f>IF($U206="","",IF(INDEX('Per Invoice'!C$2:C$401,$U206)="","",INDEX('Per Invoice'!C$2:C$401,$U206)))</f>
        <v/>
      </c>
      <c r="D206">
        <f>IF($U206="","",IF(INDEX('Per Invoice'!D$2:D$401,$U206)="","",INDEX('Per Invoice'!D$2:D$401,$U206)))</f>
        <v/>
      </c>
      <c r="E206">
        <f>IF($U206="","",IF(INDEX('Per Invoice'!E$2:E$401,$U206)="","",INDEX('Per Invoice'!E$2:E$401,$U206)))</f>
        <v/>
      </c>
      <c r="F206">
        <f>IF($U206="","",IF(INDEX('Per Invoice'!F$2:F$401,$U206)="","",INDEX('Per Invoice'!F$2:F$401,$U206)))</f>
        <v/>
      </c>
      <c r="G206">
        <f>IF($U206="","",IF(INDEX('Per Invoice'!G$2:G$401,$U206)="","",INDEX('Per Invoice'!G$2:G$401,$U206)))</f>
        <v/>
      </c>
      <c r="H206" s="7">
        <f>IF($U206="","",IF(INDEX('Per Invoice'!H$2:H$401,$U206)="","",INDEX('Per Invoice'!H$2:H$401,$U206)))</f>
        <v/>
      </c>
      <c r="I206" s="14">
        <f>IF($U206="","",IF(INDEX('Per Invoice'!I$2:I$401,$U206)="","",INDEX('Per Invoice'!I$2:I$401,$U206)))</f>
        <v/>
      </c>
      <c r="J206">
        <f>IF($U206="","",IF(INDEX('Per Invoice'!J$2:J$401,$U206)="","",INDEX('Per Invoice'!J$2:J$401,$U206)))</f>
        <v/>
      </c>
      <c r="K206">
        <f>IF($U206="","",IF(INDEX('Per Invoice'!K$2:K$401,$U206)="","",INDEX('Per Invoice'!K$2:K$401,$U206)))</f>
        <v/>
      </c>
      <c r="L206" s="7">
        <f>IF($U206="","",IF(INDEX('Per Invoice'!L$2:L$401,$U206)="","",INDEX('Per Invoice'!L$2:L$401,$U206)))</f>
        <v/>
      </c>
      <c r="M206" s="7">
        <f>IF($U206="","",IF(INDEX('Per Invoice'!M$2:M$401,$U206)="","",INDEX('Per Invoice'!M$2:M$401,$U206)))</f>
        <v/>
      </c>
      <c r="N206">
        <f>IF($U206="","",IF(INDEX('Per Invoice'!N$2:N$401,$U206)="","",INDEX('Per Invoice'!N$2:N$401,$U206)))</f>
        <v/>
      </c>
      <c r="O206" s="7">
        <f>IF($U206="","",IF(INDEX('Per Invoice'!O$2:O$401,$U206)="","",INDEX('Per Invoice'!O$2:O$401,$U206)))</f>
        <v/>
      </c>
      <c r="P206" s="7">
        <f>IF($U206="","",IF(INDEX('Per Invoice'!P$2:P$401,$U206)="","",INDEX('Per Invoice'!P$2:P$401,$U206)))</f>
        <v/>
      </c>
      <c r="Q206" s="7">
        <f>IF($U206="","",IF(INDEX('Per Invoice'!Q$2:Q$401,$U206)="","",INDEX('Per Invoice'!Q$2:Q$401,$U206)))</f>
        <v/>
      </c>
      <c r="R206" s="7">
        <f>IF($U206="","",IF(INDEX('Per Invoice'!R$2:R$401,$U206)="","",INDEX('Per Invoice'!R$2:R$401,$U206)))</f>
        <v/>
      </c>
      <c r="S206" s="7">
        <f>IF($U206="","",IF(INDEX('Per Invoice'!S$2:S$401,$U206)="","",INDEX('Per Invoice'!S$2:S$401,$U206)))</f>
        <v/>
      </c>
      <c r="T206" s="7">
        <f>IF($U206="","",IF(INDEX('Per Invoice'!T$2:T$401,$U206)="","",INDEX('Per Invoice'!T$2:T$401,$U206)))</f>
        <v/>
      </c>
      <c r="U206" s="16">
        <f>IFERROR(MATCH(Settings!$C$29&amp;"|"&amp;ROWS($U$2:$U206),'Per Invoice'!$V$2:$V$401,0),"")</f>
        <v/>
      </c>
    </row>
    <row r="207">
      <c r="A207">
        <f>IF($U207="","",IF(INDEX('Per Invoice'!A$2:A$401,$U207)="","",INDEX('Per Invoice'!A$2:A$401,$U207)))</f>
        <v/>
      </c>
      <c r="B207">
        <f>IF($U207="","",IF(INDEX('Per Invoice'!B$2:B$401,$U207)="","",INDEX('Per Invoice'!B$2:B$401,$U207)))</f>
        <v/>
      </c>
      <c r="C207">
        <f>IF($U207="","",IF(INDEX('Per Invoice'!C$2:C$401,$U207)="","",INDEX('Per Invoice'!C$2:C$401,$U207)))</f>
        <v/>
      </c>
      <c r="D207">
        <f>IF($U207="","",IF(INDEX('Per Invoice'!D$2:D$401,$U207)="","",INDEX('Per Invoice'!D$2:D$401,$U207)))</f>
        <v/>
      </c>
      <c r="E207">
        <f>IF($U207="","",IF(INDEX('Per Invoice'!E$2:E$401,$U207)="","",INDEX('Per Invoice'!E$2:E$401,$U207)))</f>
        <v/>
      </c>
      <c r="F207">
        <f>IF($U207="","",IF(INDEX('Per Invoice'!F$2:F$401,$U207)="","",INDEX('Per Invoice'!F$2:F$401,$U207)))</f>
        <v/>
      </c>
      <c r="G207">
        <f>IF($U207="","",IF(INDEX('Per Invoice'!G$2:G$401,$U207)="","",INDEX('Per Invoice'!G$2:G$401,$U207)))</f>
        <v/>
      </c>
      <c r="H207" s="7">
        <f>IF($U207="","",IF(INDEX('Per Invoice'!H$2:H$401,$U207)="","",INDEX('Per Invoice'!H$2:H$401,$U207)))</f>
        <v/>
      </c>
      <c r="I207" s="14">
        <f>IF($U207="","",IF(INDEX('Per Invoice'!I$2:I$401,$U207)="","",INDEX('Per Invoice'!I$2:I$401,$U207)))</f>
        <v/>
      </c>
      <c r="J207">
        <f>IF($U207="","",IF(INDEX('Per Invoice'!J$2:J$401,$U207)="","",INDEX('Per Invoice'!J$2:J$401,$U207)))</f>
        <v/>
      </c>
      <c r="K207">
        <f>IF($U207="","",IF(INDEX('Per Invoice'!K$2:K$401,$U207)="","",INDEX('Per Invoice'!K$2:K$401,$U207)))</f>
        <v/>
      </c>
      <c r="L207" s="7">
        <f>IF($U207="","",IF(INDEX('Per Invoice'!L$2:L$401,$U207)="","",INDEX('Per Invoice'!L$2:L$401,$U207)))</f>
        <v/>
      </c>
      <c r="M207" s="7">
        <f>IF($U207="","",IF(INDEX('Per Invoice'!M$2:M$401,$U207)="","",INDEX('Per Invoice'!M$2:M$401,$U207)))</f>
        <v/>
      </c>
      <c r="N207">
        <f>IF($U207="","",IF(INDEX('Per Invoice'!N$2:N$401,$U207)="","",INDEX('Per Invoice'!N$2:N$401,$U207)))</f>
        <v/>
      </c>
      <c r="O207" s="7">
        <f>IF($U207="","",IF(INDEX('Per Invoice'!O$2:O$401,$U207)="","",INDEX('Per Invoice'!O$2:O$401,$U207)))</f>
        <v/>
      </c>
      <c r="P207" s="7">
        <f>IF($U207="","",IF(INDEX('Per Invoice'!P$2:P$401,$U207)="","",INDEX('Per Invoice'!P$2:P$401,$U207)))</f>
        <v/>
      </c>
      <c r="Q207" s="7">
        <f>IF($U207="","",IF(INDEX('Per Invoice'!Q$2:Q$401,$U207)="","",INDEX('Per Invoice'!Q$2:Q$401,$U207)))</f>
        <v/>
      </c>
      <c r="R207" s="7">
        <f>IF($U207="","",IF(INDEX('Per Invoice'!R$2:R$401,$U207)="","",INDEX('Per Invoice'!R$2:R$401,$U207)))</f>
        <v/>
      </c>
      <c r="S207" s="7">
        <f>IF($U207="","",IF(INDEX('Per Invoice'!S$2:S$401,$U207)="","",INDEX('Per Invoice'!S$2:S$401,$U207)))</f>
        <v/>
      </c>
      <c r="T207" s="7">
        <f>IF($U207="","",IF(INDEX('Per Invoice'!T$2:T$401,$U207)="","",INDEX('Per Invoice'!T$2:T$401,$U207)))</f>
        <v/>
      </c>
      <c r="U207" s="16">
        <f>IFERROR(MATCH(Settings!$C$29&amp;"|"&amp;ROWS($U$2:$U207),'Per Invoice'!$V$2:$V$401,0),"")</f>
        <v/>
      </c>
    </row>
    <row r="208">
      <c r="A208">
        <f>IF($U208="","",IF(INDEX('Per Invoice'!A$2:A$401,$U208)="","",INDEX('Per Invoice'!A$2:A$401,$U208)))</f>
        <v/>
      </c>
      <c r="B208">
        <f>IF($U208="","",IF(INDEX('Per Invoice'!B$2:B$401,$U208)="","",INDEX('Per Invoice'!B$2:B$401,$U208)))</f>
        <v/>
      </c>
      <c r="C208">
        <f>IF($U208="","",IF(INDEX('Per Invoice'!C$2:C$401,$U208)="","",INDEX('Per Invoice'!C$2:C$401,$U208)))</f>
        <v/>
      </c>
      <c r="D208">
        <f>IF($U208="","",IF(INDEX('Per Invoice'!D$2:D$401,$U208)="","",INDEX('Per Invoice'!D$2:D$401,$U208)))</f>
        <v/>
      </c>
      <c r="E208">
        <f>IF($U208="","",IF(INDEX('Per Invoice'!E$2:E$401,$U208)="","",INDEX('Per Invoice'!E$2:E$401,$U208)))</f>
        <v/>
      </c>
      <c r="F208">
        <f>IF($U208="","",IF(INDEX('Per Invoice'!F$2:F$401,$U208)="","",INDEX('Per Invoice'!F$2:F$401,$U208)))</f>
        <v/>
      </c>
      <c r="G208">
        <f>IF($U208="","",IF(INDEX('Per Invoice'!G$2:G$401,$U208)="","",INDEX('Per Invoice'!G$2:G$401,$U208)))</f>
        <v/>
      </c>
      <c r="H208" s="7">
        <f>IF($U208="","",IF(INDEX('Per Invoice'!H$2:H$401,$U208)="","",INDEX('Per Invoice'!H$2:H$401,$U208)))</f>
        <v/>
      </c>
      <c r="I208" s="14">
        <f>IF($U208="","",IF(INDEX('Per Invoice'!I$2:I$401,$U208)="","",INDEX('Per Invoice'!I$2:I$401,$U208)))</f>
        <v/>
      </c>
      <c r="J208">
        <f>IF($U208="","",IF(INDEX('Per Invoice'!J$2:J$401,$U208)="","",INDEX('Per Invoice'!J$2:J$401,$U208)))</f>
        <v/>
      </c>
      <c r="K208">
        <f>IF($U208="","",IF(INDEX('Per Invoice'!K$2:K$401,$U208)="","",INDEX('Per Invoice'!K$2:K$401,$U208)))</f>
        <v/>
      </c>
      <c r="L208" s="7">
        <f>IF($U208="","",IF(INDEX('Per Invoice'!L$2:L$401,$U208)="","",INDEX('Per Invoice'!L$2:L$401,$U208)))</f>
        <v/>
      </c>
      <c r="M208" s="7">
        <f>IF($U208="","",IF(INDEX('Per Invoice'!M$2:M$401,$U208)="","",INDEX('Per Invoice'!M$2:M$401,$U208)))</f>
        <v/>
      </c>
      <c r="N208">
        <f>IF($U208="","",IF(INDEX('Per Invoice'!N$2:N$401,$U208)="","",INDEX('Per Invoice'!N$2:N$401,$U208)))</f>
        <v/>
      </c>
      <c r="O208" s="7">
        <f>IF($U208="","",IF(INDEX('Per Invoice'!O$2:O$401,$U208)="","",INDEX('Per Invoice'!O$2:O$401,$U208)))</f>
        <v/>
      </c>
      <c r="P208" s="7">
        <f>IF($U208="","",IF(INDEX('Per Invoice'!P$2:P$401,$U208)="","",INDEX('Per Invoice'!P$2:P$401,$U208)))</f>
        <v/>
      </c>
      <c r="Q208" s="7">
        <f>IF($U208="","",IF(INDEX('Per Invoice'!Q$2:Q$401,$U208)="","",INDEX('Per Invoice'!Q$2:Q$401,$U208)))</f>
        <v/>
      </c>
      <c r="R208" s="7">
        <f>IF($U208="","",IF(INDEX('Per Invoice'!R$2:R$401,$U208)="","",INDEX('Per Invoice'!R$2:R$401,$U208)))</f>
        <v/>
      </c>
      <c r="S208" s="7">
        <f>IF($U208="","",IF(INDEX('Per Invoice'!S$2:S$401,$U208)="","",INDEX('Per Invoice'!S$2:S$401,$U208)))</f>
        <v/>
      </c>
      <c r="T208" s="7">
        <f>IF($U208="","",IF(INDEX('Per Invoice'!T$2:T$401,$U208)="","",INDEX('Per Invoice'!T$2:T$401,$U208)))</f>
        <v/>
      </c>
      <c r="U208" s="16">
        <f>IFERROR(MATCH(Settings!$C$29&amp;"|"&amp;ROWS($U$2:$U208),'Per Invoice'!$V$2:$V$401,0),"")</f>
        <v/>
      </c>
    </row>
    <row r="209">
      <c r="A209">
        <f>IF($U209="","",IF(INDEX('Per Invoice'!A$2:A$401,$U209)="","",INDEX('Per Invoice'!A$2:A$401,$U209)))</f>
        <v/>
      </c>
      <c r="B209">
        <f>IF($U209="","",IF(INDEX('Per Invoice'!B$2:B$401,$U209)="","",INDEX('Per Invoice'!B$2:B$401,$U209)))</f>
        <v/>
      </c>
      <c r="C209">
        <f>IF($U209="","",IF(INDEX('Per Invoice'!C$2:C$401,$U209)="","",INDEX('Per Invoice'!C$2:C$401,$U209)))</f>
        <v/>
      </c>
      <c r="D209">
        <f>IF($U209="","",IF(INDEX('Per Invoice'!D$2:D$401,$U209)="","",INDEX('Per Invoice'!D$2:D$401,$U209)))</f>
        <v/>
      </c>
      <c r="E209">
        <f>IF($U209="","",IF(INDEX('Per Invoice'!E$2:E$401,$U209)="","",INDEX('Per Invoice'!E$2:E$401,$U209)))</f>
        <v/>
      </c>
      <c r="F209">
        <f>IF($U209="","",IF(INDEX('Per Invoice'!F$2:F$401,$U209)="","",INDEX('Per Invoice'!F$2:F$401,$U209)))</f>
        <v/>
      </c>
      <c r="G209">
        <f>IF($U209="","",IF(INDEX('Per Invoice'!G$2:G$401,$U209)="","",INDEX('Per Invoice'!G$2:G$401,$U209)))</f>
        <v/>
      </c>
      <c r="H209" s="7">
        <f>IF($U209="","",IF(INDEX('Per Invoice'!H$2:H$401,$U209)="","",INDEX('Per Invoice'!H$2:H$401,$U209)))</f>
        <v/>
      </c>
      <c r="I209" s="14">
        <f>IF($U209="","",IF(INDEX('Per Invoice'!I$2:I$401,$U209)="","",INDEX('Per Invoice'!I$2:I$401,$U209)))</f>
        <v/>
      </c>
      <c r="J209">
        <f>IF($U209="","",IF(INDEX('Per Invoice'!J$2:J$401,$U209)="","",INDEX('Per Invoice'!J$2:J$401,$U209)))</f>
        <v/>
      </c>
      <c r="K209">
        <f>IF($U209="","",IF(INDEX('Per Invoice'!K$2:K$401,$U209)="","",INDEX('Per Invoice'!K$2:K$401,$U209)))</f>
        <v/>
      </c>
      <c r="L209" s="7">
        <f>IF($U209="","",IF(INDEX('Per Invoice'!L$2:L$401,$U209)="","",INDEX('Per Invoice'!L$2:L$401,$U209)))</f>
        <v/>
      </c>
      <c r="M209" s="7">
        <f>IF($U209="","",IF(INDEX('Per Invoice'!M$2:M$401,$U209)="","",INDEX('Per Invoice'!M$2:M$401,$U209)))</f>
        <v/>
      </c>
      <c r="N209">
        <f>IF($U209="","",IF(INDEX('Per Invoice'!N$2:N$401,$U209)="","",INDEX('Per Invoice'!N$2:N$401,$U209)))</f>
        <v/>
      </c>
      <c r="O209" s="7">
        <f>IF($U209="","",IF(INDEX('Per Invoice'!O$2:O$401,$U209)="","",INDEX('Per Invoice'!O$2:O$401,$U209)))</f>
        <v/>
      </c>
      <c r="P209" s="7">
        <f>IF($U209="","",IF(INDEX('Per Invoice'!P$2:P$401,$U209)="","",INDEX('Per Invoice'!P$2:P$401,$U209)))</f>
        <v/>
      </c>
      <c r="Q209" s="7">
        <f>IF($U209="","",IF(INDEX('Per Invoice'!Q$2:Q$401,$U209)="","",INDEX('Per Invoice'!Q$2:Q$401,$U209)))</f>
        <v/>
      </c>
      <c r="R209" s="7">
        <f>IF($U209="","",IF(INDEX('Per Invoice'!R$2:R$401,$U209)="","",INDEX('Per Invoice'!R$2:R$401,$U209)))</f>
        <v/>
      </c>
      <c r="S209" s="7">
        <f>IF($U209="","",IF(INDEX('Per Invoice'!S$2:S$401,$U209)="","",INDEX('Per Invoice'!S$2:S$401,$U209)))</f>
        <v/>
      </c>
      <c r="T209" s="7">
        <f>IF($U209="","",IF(INDEX('Per Invoice'!T$2:T$401,$U209)="","",INDEX('Per Invoice'!T$2:T$401,$U209)))</f>
        <v/>
      </c>
      <c r="U209" s="16">
        <f>IFERROR(MATCH(Settings!$C$29&amp;"|"&amp;ROWS($U$2:$U209),'Per Invoice'!$V$2:$V$401,0),"")</f>
        <v/>
      </c>
    </row>
    <row r="210">
      <c r="A210">
        <f>IF($U210="","",IF(INDEX('Per Invoice'!A$2:A$401,$U210)="","",INDEX('Per Invoice'!A$2:A$401,$U210)))</f>
        <v/>
      </c>
      <c r="B210">
        <f>IF($U210="","",IF(INDEX('Per Invoice'!B$2:B$401,$U210)="","",INDEX('Per Invoice'!B$2:B$401,$U210)))</f>
        <v/>
      </c>
      <c r="C210">
        <f>IF($U210="","",IF(INDEX('Per Invoice'!C$2:C$401,$U210)="","",INDEX('Per Invoice'!C$2:C$401,$U210)))</f>
        <v/>
      </c>
      <c r="D210">
        <f>IF($U210="","",IF(INDEX('Per Invoice'!D$2:D$401,$U210)="","",INDEX('Per Invoice'!D$2:D$401,$U210)))</f>
        <v/>
      </c>
      <c r="E210">
        <f>IF($U210="","",IF(INDEX('Per Invoice'!E$2:E$401,$U210)="","",INDEX('Per Invoice'!E$2:E$401,$U210)))</f>
        <v/>
      </c>
      <c r="F210">
        <f>IF($U210="","",IF(INDEX('Per Invoice'!F$2:F$401,$U210)="","",INDEX('Per Invoice'!F$2:F$401,$U210)))</f>
        <v/>
      </c>
      <c r="G210">
        <f>IF($U210="","",IF(INDEX('Per Invoice'!G$2:G$401,$U210)="","",INDEX('Per Invoice'!G$2:G$401,$U210)))</f>
        <v/>
      </c>
      <c r="H210" s="7">
        <f>IF($U210="","",IF(INDEX('Per Invoice'!H$2:H$401,$U210)="","",INDEX('Per Invoice'!H$2:H$401,$U210)))</f>
        <v/>
      </c>
      <c r="I210" s="14">
        <f>IF($U210="","",IF(INDEX('Per Invoice'!I$2:I$401,$U210)="","",INDEX('Per Invoice'!I$2:I$401,$U210)))</f>
        <v/>
      </c>
      <c r="J210">
        <f>IF($U210="","",IF(INDEX('Per Invoice'!J$2:J$401,$U210)="","",INDEX('Per Invoice'!J$2:J$401,$U210)))</f>
        <v/>
      </c>
      <c r="K210">
        <f>IF($U210="","",IF(INDEX('Per Invoice'!K$2:K$401,$U210)="","",INDEX('Per Invoice'!K$2:K$401,$U210)))</f>
        <v/>
      </c>
      <c r="L210" s="7">
        <f>IF($U210="","",IF(INDEX('Per Invoice'!L$2:L$401,$U210)="","",INDEX('Per Invoice'!L$2:L$401,$U210)))</f>
        <v/>
      </c>
      <c r="M210" s="7">
        <f>IF($U210="","",IF(INDEX('Per Invoice'!M$2:M$401,$U210)="","",INDEX('Per Invoice'!M$2:M$401,$U210)))</f>
        <v/>
      </c>
      <c r="N210">
        <f>IF($U210="","",IF(INDEX('Per Invoice'!N$2:N$401,$U210)="","",INDEX('Per Invoice'!N$2:N$401,$U210)))</f>
        <v/>
      </c>
      <c r="O210" s="7">
        <f>IF($U210="","",IF(INDEX('Per Invoice'!O$2:O$401,$U210)="","",INDEX('Per Invoice'!O$2:O$401,$U210)))</f>
        <v/>
      </c>
      <c r="P210" s="7">
        <f>IF($U210="","",IF(INDEX('Per Invoice'!P$2:P$401,$U210)="","",INDEX('Per Invoice'!P$2:P$401,$U210)))</f>
        <v/>
      </c>
      <c r="Q210" s="7">
        <f>IF($U210="","",IF(INDEX('Per Invoice'!Q$2:Q$401,$U210)="","",INDEX('Per Invoice'!Q$2:Q$401,$U210)))</f>
        <v/>
      </c>
      <c r="R210" s="7">
        <f>IF($U210="","",IF(INDEX('Per Invoice'!R$2:R$401,$U210)="","",INDEX('Per Invoice'!R$2:R$401,$U210)))</f>
        <v/>
      </c>
      <c r="S210" s="7">
        <f>IF($U210="","",IF(INDEX('Per Invoice'!S$2:S$401,$U210)="","",INDEX('Per Invoice'!S$2:S$401,$U210)))</f>
        <v/>
      </c>
      <c r="T210" s="7">
        <f>IF($U210="","",IF(INDEX('Per Invoice'!T$2:T$401,$U210)="","",INDEX('Per Invoice'!T$2:T$401,$U210)))</f>
        <v/>
      </c>
      <c r="U210" s="16">
        <f>IFERROR(MATCH(Settings!$C$29&amp;"|"&amp;ROWS($U$2:$U210),'Per Invoice'!$V$2:$V$401,0),"")</f>
        <v/>
      </c>
    </row>
    <row r="211">
      <c r="A211">
        <f>IF($U211="","",IF(INDEX('Per Invoice'!A$2:A$401,$U211)="","",INDEX('Per Invoice'!A$2:A$401,$U211)))</f>
        <v/>
      </c>
      <c r="B211">
        <f>IF($U211="","",IF(INDEX('Per Invoice'!B$2:B$401,$U211)="","",INDEX('Per Invoice'!B$2:B$401,$U211)))</f>
        <v/>
      </c>
      <c r="C211">
        <f>IF($U211="","",IF(INDEX('Per Invoice'!C$2:C$401,$U211)="","",INDEX('Per Invoice'!C$2:C$401,$U211)))</f>
        <v/>
      </c>
      <c r="D211">
        <f>IF($U211="","",IF(INDEX('Per Invoice'!D$2:D$401,$U211)="","",INDEX('Per Invoice'!D$2:D$401,$U211)))</f>
        <v/>
      </c>
      <c r="E211">
        <f>IF($U211="","",IF(INDEX('Per Invoice'!E$2:E$401,$U211)="","",INDEX('Per Invoice'!E$2:E$401,$U211)))</f>
        <v/>
      </c>
      <c r="F211">
        <f>IF($U211="","",IF(INDEX('Per Invoice'!F$2:F$401,$U211)="","",INDEX('Per Invoice'!F$2:F$401,$U211)))</f>
        <v/>
      </c>
      <c r="G211">
        <f>IF($U211="","",IF(INDEX('Per Invoice'!G$2:G$401,$U211)="","",INDEX('Per Invoice'!G$2:G$401,$U211)))</f>
        <v/>
      </c>
      <c r="H211" s="7">
        <f>IF($U211="","",IF(INDEX('Per Invoice'!H$2:H$401,$U211)="","",INDEX('Per Invoice'!H$2:H$401,$U211)))</f>
        <v/>
      </c>
      <c r="I211" s="14">
        <f>IF($U211="","",IF(INDEX('Per Invoice'!I$2:I$401,$U211)="","",INDEX('Per Invoice'!I$2:I$401,$U211)))</f>
        <v/>
      </c>
      <c r="J211">
        <f>IF($U211="","",IF(INDEX('Per Invoice'!J$2:J$401,$U211)="","",INDEX('Per Invoice'!J$2:J$401,$U211)))</f>
        <v/>
      </c>
      <c r="K211">
        <f>IF($U211="","",IF(INDEX('Per Invoice'!K$2:K$401,$U211)="","",INDEX('Per Invoice'!K$2:K$401,$U211)))</f>
        <v/>
      </c>
      <c r="L211" s="7">
        <f>IF($U211="","",IF(INDEX('Per Invoice'!L$2:L$401,$U211)="","",INDEX('Per Invoice'!L$2:L$401,$U211)))</f>
        <v/>
      </c>
      <c r="M211" s="7">
        <f>IF($U211="","",IF(INDEX('Per Invoice'!M$2:M$401,$U211)="","",INDEX('Per Invoice'!M$2:M$401,$U211)))</f>
        <v/>
      </c>
      <c r="N211">
        <f>IF($U211="","",IF(INDEX('Per Invoice'!N$2:N$401,$U211)="","",INDEX('Per Invoice'!N$2:N$401,$U211)))</f>
        <v/>
      </c>
      <c r="O211" s="7">
        <f>IF($U211="","",IF(INDEX('Per Invoice'!O$2:O$401,$U211)="","",INDEX('Per Invoice'!O$2:O$401,$U211)))</f>
        <v/>
      </c>
      <c r="P211" s="7">
        <f>IF($U211="","",IF(INDEX('Per Invoice'!P$2:P$401,$U211)="","",INDEX('Per Invoice'!P$2:P$401,$U211)))</f>
        <v/>
      </c>
      <c r="Q211" s="7">
        <f>IF($U211="","",IF(INDEX('Per Invoice'!Q$2:Q$401,$U211)="","",INDEX('Per Invoice'!Q$2:Q$401,$U211)))</f>
        <v/>
      </c>
      <c r="R211" s="7">
        <f>IF($U211="","",IF(INDEX('Per Invoice'!R$2:R$401,$U211)="","",INDEX('Per Invoice'!R$2:R$401,$U211)))</f>
        <v/>
      </c>
      <c r="S211" s="7">
        <f>IF($U211="","",IF(INDEX('Per Invoice'!S$2:S$401,$U211)="","",INDEX('Per Invoice'!S$2:S$401,$U211)))</f>
        <v/>
      </c>
      <c r="T211" s="7">
        <f>IF($U211="","",IF(INDEX('Per Invoice'!T$2:T$401,$U211)="","",INDEX('Per Invoice'!T$2:T$401,$U211)))</f>
        <v/>
      </c>
      <c r="U211" s="16">
        <f>IFERROR(MATCH(Settings!$C$29&amp;"|"&amp;ROWS($U$2:$U211),'Per Invoice'!$V$2:$V$401,0),"")</f>
        <v/>
      </c>
    </row>
    <row r="212">
      <c r="A212">
        <f>IF($U212="","",IF(INDEX('Per Invoice'!A$2:A$401,$U212)="","",INDEX('Per Invoice'!A$2:A$401,$U212)))</f>
        <v/>
      </c>
      <c r="B212">
        <f>IF($U212="","",IF(INDEX('Per Invoice'!B$2:B$401,$U212)="","",INDEX('Per Invoice'!B$2:B$401,$U212)))</f>
        <v/>
      </c>
      <c r="C212">
        <f>IF($U212="","",IF(INDEX('Per Invoice'!C$2:C$401,$U212)="","",INDEX('Per Invoice'!C$2:C$401,$U212)))</f>
        <v/>
      </c>
      <c r="D212">
        <f>IF($U212="","",IF(INDEX('Per Invoice'!D$2:D$401,$U212)="","",INDEX('Per Invoice'!D$2:D$401,$U212)))</f>
        <v/>
      </c>
      <c r="E212">
        <f>IF($U212="","",IF(INDEX('Per Invoice'!E$2:E$401,$U212)="","",INDEX('Per Invoice'!E$2:E$401,$U212)))</f>
        <v/>
      </c>
      <c r="F212">
        <f>IF($U212="","",IF(INDEX('Per Invoice'!F$2:F$401,$U212)="","",INDEX('Per Invoice'!F$2:F$401,$U212)))</f>
        <v/>
      </c>
      <c r="G212">
        <f>IF($U212="","",IF(INDEX('Per Invoice'!G$2:G$401,$U212)="","",INDEX('Per Invoice'!G$2:G$401,$U212)))</f>
        <v/>
      </c>
      <c r="H212" s="7">
        <f>IF($U212="","",IF(INDEX('Per Invoice'!H$2:H$401,$U212)="","",INDEX('Per Invoice'!H$2:H$401,$U212)))</f>
        <v/>
      </c>
      <c r="I212" s="14">
        <f>IF($U212="","",IF(INDEX('Per Invoice'!I$2:I$401,$U212)="","",INDEX('Per Invoice'!I$2:I$401,$U212)))</f>
        <v/>
      </c>
      <c r="J212">
        <f>IF($U212="","",IF(INDEX('Per Invoice'!J$2:J$401,$U212)="","",INDEX('Per Invoice'!J$2:J$401,$U212)))</f>
        <v/>
      </c>
      <c r="K212">
        <f>IF($U212="","",IF(INDEX('Per Invoice'!K$2:K$401,$U212)="","",INDEX('Per Invoice'!K$2:K$401,$U212)))</f>
        <v/>
      </c>
      <c r="L212" s="7">
        <f>IF($U212="","",IF(INDEX('Per Invoice'!L$2:L$401,$U212)="","",INDEX('Per Invoice'!L$2:L$401,$U212)))</f>
        <v/>
      </c>
      <c r="M212" s="7">
        <f>IF($U212="","",IF(INDEX('Per Invoice'!M$2:M$401,$U212)="","",INDEX('Per Invoice'!M$2:M$401,$U212)))</f>
        <v/>
      </c>
      <c r="N212">
        <f>IF($U212="","",IF(INDEX('Per Invoice'!N$2:N$401,$U212)="","",INDEX('Per Invoice'!N$2:N$401,$U212)))</f>
        <v/>
      </c>
      <c r="O212" s="7">
        <f>IF($U212="","",IF(INDEX('Per Invoice'!O$2:O$401,$U212)="","",INDEX('Per Invoice'!O$2:O$401,$U212)))</f>
        <v/>
      </c>
      <c r="P212" s="7">
        <f>IF($U212="","",IF(INDEX('Per Invoice'!P$2:P$401,$U212)="","",INDEX('Per Invoice'!P$2:P$401,$U212)))</f>
        <v/>
      </c>
      <c r="Q212" s="7">
        <f>IF($U212="","",IF(INDEX('Per Invoice'!Q$2:Q$401,$U212)="","",INDEX('Per Invoice'!Q$2:Q$401,$U212)))</f>
        <v/>
      </c>
      <c r="R212" s="7">
        <f>IF($U212="","",IF(INDEX('Per Invoice'!R$2:R$401,$U212)="","",INDEX('Per Invoice'!R$2:R$401,$U212)))</f>
        <v/>
      </c>
      <c r="S212" s="7">
        <f>IF($U212="","",IF(INDEX('Per Invoice'!S$2:S$401,$U212)="","",INDEX('Per Invoice'!S$2:S$401,$U212)))</f>
        <v/>
      </c>
      <c r="T212" s="7">
        <f>IF($U212="","",IF(INDEX('Per Invoice'!T$2:T$401,$U212)="","",INDEX('Per Invoice'!T$2:T$401,$U212)))</f>
        <v/>
      </c>
      <c r="U212" s="16">
        <f>IFERROR(MATCH(Settings!$C$29&amp;"|"&amp;ROWS($U$2:$U212),'Per Invoice'!$V$2:$V$401,0),"")</f>
        <v/>
      </c>
    </row>
    <row r="213">
      <c r="A213">
        <f>IF($U213="","",IF(INDEX('Per Invoice'!A$2:A$401,$U213)="","",INDEX('Per Invoice'!A$2:A$401,$U213)))</f>
        <v/>
      </c>
      <c r="B213">
        <f>IF($U213="","",IF(INDEX('Per Invoice'!B$2:B$401,$U213)="","",INDEX('Per Invoice'!B$2:B$401,$U213)))</f>
        <v/>
      </c>
      <c r="C213">
        <f>IF($U213="","",IF(INDEX('Per Invoice'!C$2:C$401,$U213)="","",INDEX('Per Invoice'!C$2:C$401,$U213)))</f>
        <v/>
      </c>
      <c r="D213">
        <f>IF($U213="","",IF(INDEX('Per Invoice'!D$2:D$401,$U213)="","",INDEX('Per Invoice'!D$2:D$401,$U213)))</f>
        <v/>
      </c>
      <c r="E213">
        <f>IF($U213="","",IF(INDEX('Per Invoice'!E$2:E$401,$U213)="","",INDEX('Per Invoice'!E$2:E$401,$U213)))</f>
        <v/>
      </c>
      <c r="F213">
        <f>IF($U213="","",IF(INDEX('Per Invoice'!F$2:F$401,$U213)="","",INDEX('Per Invoice'!F$2:F$401,$U213)))</f>
        <v/>
      </c>
      <c r="G213">
        <f>IF($U213="","",IF(INDEX('Per Invoice'!G$2:G$401,$U213)="","",INDEX('Per Invoice'!G$2:G$401,$U213)))</f>
        <v/>
      </c>
      <c r="H213" s="7">
        <f>IF($U213="","",IF(INDEX('Per Invoice'!H$2:H$401,$U213)="","",INDEX('Per Invoice'!H$2:H$401,$U213)))</f>
        <v/>
      </c>
      <c r="I213" s="14">
        <f>IF($U213="","",IF(INDEX('Per Invoice'!I$2:I$401,$U213)="","",INDEX('Per Invoice'!I$2:I$401,$U213)))</f>
        <v/>
      </c>
      <c r="J213">
        <f>IF($U213="","",IF(INDEX('Per Invoice'!J$2:J$401,$U213)="","",INDEX('Per Invoice'!J$2:J$401,$U213)))</f>
        <v/>
      </c>
      <c r="K213">
        <f>IF($U213="","",IF(INDEX('Per Invoice'!K$2:K$401,$U213)="","",INDEX('Per Invoice'!K$2:K$401,$U213)))</f>
        <v/>
      </c>
      <c r="L213" s="7">
        <f>IF($U213="","",IF(INDEX('Per Invoice'!L$2:L$401,$U213)="","",INDEX('Per Invoice'!L$2:L$401,$U213)))</f>
        <v/>
      </c>
      <c r="M213" s="7">
        <f>IF($U213="","",IF(INDEX('Per Invoice'!M$2:M$401,$U213)="","",INDEX('Per Invoice'!M$2:M$401,$U213)))</f>
        <v/>
      </c>
      <c r="N213">
        <f>IF($U213="","",IF(INDEX('Per Invoice'!N$2:N$401,$U213)="","",INDEX('Per Invoice'!N$2:N$401,$U213)))</f>
        <v/>
      </c>
      <c r="O213" s="7">
        <f>IF($U213="","",IF(INDEX('Per Invoice'!O$2:O$401,$U213)="","",INDEX('Per Invoice'!O$2:O$401,$U213)))</f>
        <v/>
      </c>
      <c r="P213" s="7">
        <f>IF($U213="","",IF(INDEX('Per Invoice'!P$2:P$401,$U213)="","",INDEX('Per Invoice'!P$2:P$401,$U213)))</f>
        <v/>
      </c>
      <c r="Q213" s="7">
        <f>IF($U213="","",IF(INDEX('Per Invoice'!Q$2:Q$401,$U213)="","",INDEX('Per Invoice'!Q$2:Q$401,$U213)))</f>
        <v/>
      </c>
      <c r="R213" s="7">
        <f>IF($U213="","",IF(INDEX('Per Invoice'!R$2:R$401,$U213)="","",INDEX('Per Invoice'!R$2:R$401,$U213)))</f>
        <v/>
      </c>
      <c r="S213" s="7">
        <f>IF($U213="","",IF(INDEX('Per Invoice'!S$2:S$401,$U213)="","",INDEX('Per Invoice'!S$2:S$401,$U213)))</f>
        <v/>
      </c>
      <c r="T213" s="7">
        <f>IF($U213="","",IF(INDEX('Per Invoice'!T$2:T$401,$U213)="","",INDEX('Per Invoice'!T$2:T$401,$U213)))</f>
        <v/>
      </c>
      <c r="U213" s="16">
        <f>IFERROR(MATCH(Settings!$C$29&amp;"|"&amp;ROWS($U$2:$U213),'Per Invoice'!$V$2:$V$401,0),"")</f>
        <v/>
      </c>
    </row>
    <row r="214">
      <c r="A214">
        <f>IF($U214="","",IF(INDEX('Per Invoice'!A$2:A$401,$U214)="","",INDEX('Per Invoice'!A$2:A$401,$U214)))</f>
        <v/>
      </c>
      <c r="B214">
        <f>IF($U214="","",IF(INDEX('Per Invoice'!B$2:B$401,$U214)="","",INDEX('Per Invoice'!B$2:B$401,$U214)))</f>
        <v/>
      </c>
      <c r="C214">
        <f>IF($U214="","",IF(INDEX('Per Invoice'!C$2:C$401,$U214)="","",INDEX('Per Invoice'!C$2:C$401,$U214)))</f>
        <v/>
      </c>
      <c r="D214">
        <f>IF($U214="","",IF(INDEX('Per Invoice'!D$2:D$401,$U214)="","",INDEX('Per Invoice'!D$2:D$401,$U214)))</f>
        <v/>
      </c>
      <c r="E214">
        <f>IF($U214="","",IF(INDEX('Per Invoice'!E$2:E$401,$U214)="","",INDEX('Per Invoice'!E$2:E$401,$U214)))</f>
        <v/>
      </c>
      <c r="F214">
        <f>IF($U214="","",IF(INDEX('Per Invoice'!F$2:F$401,$U214)="","",INDEX('Per Invoice'!F$2:F$401,$U214)))</f>
        <v/>
      </c>
      <c r="G214">
        <f>IF($U214="","",IF(INDEX('Per Invoice'!G$2:G$401,$U214)="","",INDEX('Per Invoice'!G$2:G$401,$U214)))</f>
        <v/>
      </c>
      <c r="H214" s="7">
        <f>IF($U214="","",IF(INDEX('Per Invoice'!H$2:H$401,$U214)="","",INDEX('Per Invoice'!H$2:H$401,$U214)))</f>
        <v/>
      </c>
      <c r="I214" s="14">
        <f>IF($U214="","",IF(INDEX('Per Invoice'!I$2:I$401,$U214)="","",INDEX('Per Invoice'!I$2:I$401,$U214)))</f>
        <v/>
      </c>
      <c r="J214">
        <f>IF($U214="","",IF(INDEX('Per Invoice'!J$2:J$401,$U214)="","",INDEX('Per Invoice'!J$2:J$401,$U214)))</f>
        <v/>
      </c>
      <c r="K214">
        <f>IF($U214="","",IF(INDEX('Per Invoice'!K$2:K$401,$U214)="","",INDEX('Per Invoice'!K$2:K$401,$U214)))</f>
        <v/>
      </c>
      <c r="L214" s="7">
        <f>IF($U214="","",IF(INDEX('Per Invoice'!L$2:L$401,$U214)="","",INDEX('Per Invoice'!L$2:L$401,$U214)))</f>
        <v/>
      </c>
      <c r="M214" s="7">
        <f>IF($U214="","",IF(INDEX('Per Invoice'!M$2:M$401,$U214)="","",INDEX('Per Invoice'!M$2:M$401,$U214)))</f>
        <v/>
      </c>
      <c r="N214">
        <f>IF($U214="","",IF(INDEX('Per Invoice'!N$2:N$401,$U214)="","",INDEX('Per Invoice'!N$2:N$401,$U214)))</f>
        <v/>
      </c>
      <c r="O214" s="7">
        <f>IF($U214="","",IF(INDEX('Per Invoice'!O$2:O$401,$U214)="","",INDEX('Per Invoice'!O$2:O$401,$U214)))</f>
        <v/>
      </c>
      <c r="P214" s="7">
        <f>IF($U214="","",IF(INDEX('Per Invoice'!P$2:P$401,$U214)="","",INDEX('Per Invoice'!P$2:P$401,$U214)))</f>
        <v/>
      </c>
      <c r="Q214" s="7">
        <f>IF($U214="","",IF(INDEX('Per Invoice'!Q$2:Q$401,$U214)="","",INDEX('Per Invoice'!Q$2:Q$401,$U214)))</f>
        <v/>
      </c>
      <c r="R214" s="7">
        <f>IF($U214="","",IF(INDEX('Per Invoice'!R$2:R$401,$U214)="","",INDEX('Per Invoice'!R$2:R$401,$U214)))</f>
        <v/>
      </c>
      <c r="S214" s="7">
        <f>IF($U214="","",IF(INDEX('Per Invoice'!S$2:S$401,$U214)="","",INDEX('Per Invoice'!S$2:S$401,$U214)))</f>
        <v/>
      </c>
      <c r="T214" s="7">
        <f>IF($U214="","",IF(INDEX('Per Invoice'!T$2:T$401,$U214)="","",INDEX('Per Invoice'!T$2:T$401,$U214)))</f>
        <v/>
      </c>
      <c r="U214" s="16">
        <f>IFERROR(MATCH(Settings!$C$29&amp;"|"&amp;ROWS($U$2:$U214),'Per Invoice'!$V$2:$V$401,0),"")</f>
        <v/>
      </c>
    </row>
    <row r="215">
      <c r="A215">
        <f>IF($U215="","",IF(INDEX('Per Invoice'!A$2:A$401,$U215)="","",INDEX('Per Invoice'!A$2:A$401,$U215)))</f>
        <v/>
      </c>
      <c r="B215">
        <f>IF($U215="","",IF(INDEX('Per Invoice'!B$2:B$401,$U215)="","",INDEX('Per Invoice'!B$2:B$401,$U215)))</f>
        <v/>
      </c>
      <c r="C215">
        <f>IF($U215="","",IF(INDEX('Per Invoice'!C$2:C$401,$U215)="","",INDEX('Per Invoice'!C$2:C$401,$U215)))</f>
        <v/>
      </c>
      <c r="D215">
        <f>IF($U215="","",IF(INDEX('Per Invoice'!D$2:D$401,$U215)="","",INDEX('Per Invoice'!D$2:D$401,$U215)))</f>
        <v/>
      </c>
      <c r="E215">
        <f>IF($U215="","",IF(INDEX('Per Invoice'!E$2:E$401,$U215)="","",INDEX('Per Invoice'!E$2:E$401,$U215)))</f>
        <v/>
      </c>
      <c r="F215">
        <f>IF($U215="","",IF(INDEX('Per Invoice'!F$2:F$401,$U215)="","",INDEX('Per Invoice'!F$2:F$401,$U215)))</f>
        <v/>
      </c>
      <c r="G215">
        <f>IF($U215="","",IF(INDEX('Per Invoice'!G$2:G$401,$U215)="","",INDEX('Per Invoice'!G$2:G$401,$U215)))</f>
        <v/>
      </c>
      <c r="H215" s="7">
        <f>IF($U215="","",IF(INDEX('Per Invoice'!H$2:H$401,$U215)="","",INDEX('Per Invoice'!H$2:H$401,$U215)))</f>
        <v/>
      </c>
      <c r="I215" s="14">
        <f>IF($U215="","",IF(INDEX('Per Invoice'!I$2:I$401,$U215)="","",INDEX('Per Invoice'!I$2:I$401,$U215)))</f>
        <v/>
      </c>
      <c r="J215">
        <f>IF($U215="","",IF(INDEX('Per Invoice'!J$2:J$401,$U215)="","",INDEX('Per Invoice'!J$2:J$401,$U215)))</f>
        <v/>
      </c>
      <c r="K215">
        <f>IF($U215="","",IF(INDEX('Per Invoice'!K$2:K$401,$U215)="","",INDEX('Per Invoice'!K$2:K$401,$U215)))</f>
        <v/>
      </c>
      <c r="L215" s="7">
        <f>IF($U215="","",IF(INDEX('Per Invoice'!L$2:L$401,$U215)="","",INDEX('Per Invoice'!L$2:L$401,$U215)))</f>
        <v/>
      </c>
      <c r="M215" s="7">
        <f>IF($U215="","",IF(INDEX('Per Invoice'!M$2:M$401,$U215)="","",INDEX('Per Invoice'!M$2:M$401,$U215)))</f>
        <v/>
      </c>
      <c r="N215">
        <f>IF($U215="","",IF(INDEX('Per Invoice'!N$2:N$401,$U215)="","",INDEX('Per Invoice'!N$2:N$401,$U215)))</f>
        <v/>
      </c>
      <c r="O215" s="7">
        <f>IF($U215="","",IF(INDEX('Per Invoice'!O$2:O$401,$U215)="","",INDEX('Per Invoice'!O$2:O$401,$U215)))</f>
        <v/>
      </c>
      <c r="P215" s="7">
        <f>IF($U215="","",IF(INDEX('Per Invoice'!P$2:P$401,$U215)="","",INDEX('Per Invoice'!P$2:P$401,$U215)))</f>
        <v/>
      </c>
      <c r="Q215" s="7">
        <f>IF($U215="","",IF(INDEX('Per Invoice'!Q$2:Q$401,$U215)="","",INDEX('Per Invoice'!Q$2:Q$401,$U215)))</f>
        <v/>
      </c>
      <c r="R215" s="7">
        <f>IF($U215="","",IF(INDEX('Per Invoice'!R$2:R$401,$U215)="","",INDEX('Per Invoice'!R$2:R$401,$U215)))</f>
        <v/>
      </c>
      <c r="S215" s="7">
        <f>IF($U215="","",IF(INDEX('Per Invoice'!S$2:S$401,$U215)="","",INDEX('Per Invoice'!S$2:S$401,$U215)))</f>
        <v/>
      </c>
      <c r="T215" s="7">
        <f>IF($U215="","",IF(INDEX('Per Invoice'!T$2:T$401,$U215)="","",INDEX('Per Invoice'!T$2:T$401,$U215)))</f>
        <v/>
      </c>
      <c r="U215" s="16">
        <f>IFERROR(MATCH(Settings!$C$29&amp;"|"&amp;ROWS($U$2:$U215),'Per Invoice'!$V$2:$V$401,0),"")</f>
        <v/>
      </c>
    </row>
    <row r="216">
      <c r="A216">
        <f>IF($U216="","",IF(INDEX('Per Invoice'!A$2:A$401,$U216)="","",INDEX('Per Invoice'!A$2:A$401,$U216)))</f>
        <v/>
      </c>
      <c r="B216">
        <f>IF($U216="","",IF(INDEX('Per Invoice'!B$2:B$401,$U216)="","",INDEX('Per Invoice'!B$2:B$401,$U216)))</f>
        <v/>
      </c>
      <c r="C216">
        <f>IF($U216="","",IF(INDEX('Per Invoice'!C$2:C$401,$U216)="","",INDEX('Per Invoice'!C$2:C$401,$U216)))</f>
        <v/>
      </c>
      <c r="D216">
        <f>IF($U216="","",IF(INDEX('Per Invoice'!D$2:D$401,$U216)="","",INDEX('Per Invoice'!D$2:D$401,$U216)))</f>
        <v/>
      </c>
      <c r="E216">
        <f>IF($U216="","",IF(INDEX('Per Invoice'!E$2:E$401,$U216)="","",INDEX('Per Invoice'!E$2:E$401,$U216)))</f>
        <v/>
      </c>
      <c r="F216">
        <f>IF($U216="","",IF(INDEX('Per Invoice'!F$2:F$401,$U216)="","",INDEX('Per Invoice'!F$2:F$401,$U216)))</f>
        <v/>
      </c>
      <c r="G216">
        <f>IF($U216="","",IF(INDEX('Per Invoice'!G$2:G$401,$U216)="","",INDEX('Per Invoice'!G$2:G$401,$U216)))</f>
        <v/>
      </c>
      <c r="H216" s="7">
        <f>IF($U216="","",IF(INDEX('Per Invoice'!H$2:H$401,$U216)="","",INDEX('Per Invoice'!H$2:H$401,$U216)))</f>
        <v/>
      </c>
      <c r="I216" s="14">
        <f>IF($U216="","",IF(INDEX('Per Invoice'!I$2:I$401,$U216)="","",INDEX('Per Invoice'!I$2:I$401,$U216)))</f>
        <v/>
      </c>
      <c r="J216">
        <f>IF($U216="","",IF(INDEX('Per Invoice'!J$2:J$401,$U216)="","",INDEX('Per Invoice'!J$2:J$401,$U216)))</f>
        <v/>
      </c>
      <c r="K216">
        <f>IF($U216="","",IF(INDEX('Per Invoice'!K$2:K$401,$U216)="","",INDEX('Per Invoice'!K$2:K$401,$U216)))</f>
        <v/>
      </c>
      <c r="L216" s="7">
        <f>IF($U216="","",IF(INDEX('Per Invoice'!L$2:L$401,$U216)="","",INDEX('Per Invoice'!L$2:L$401,$U216)))</f>
        <v/>
      </c>
      <c r="M216" s="7">
        <f>IF($U216="","",IF(INDEX('Per Invoice'!M$2:M$401,$U216)="","",INDEX('Per Invoice'!M$2:M$401,$U216)))</f>
        <v/>
      </c>
      <c r="N216">
        <f>IF($U216="","",IF(INDEX('Per Invoice'!N$2:N$401,$U216)="","",INDEX('Per Invoice'!N$2:N$401,$U216)))</f>
        <v/>
      </c>
      <c r="O216" s="7">
        <f>IF($U216="","",IF(INDEX('Per Invoice'!O$2:O$401,$U216)="","",INDEX('Per Invoice'!O$2:O$401,$U216)))</f>
        <v/>
      </c>
      <c r="P216" s="7">
        <f>IF($U216="","",IF(INDEX('Per Invoice'!P$2:P$401,$U216)="","",INDEX('Per Invoice'!P$2:P$401,$U216)))</f>
        <v/>
      </c>
      <c r="Q216" s="7">
        <f>IF($U216="","",IF(INDEX('Per Invoice'!Q$2:Q$401,$U216)="","",INDEX('Per Invoice'!Q$2:Q$401,$U216)))</f>
        <v/>
      </c>
      <c r="R216" s="7">
        <f>IF($U216="","",IF(INDEX('Per Invoice'!R$2:R$401,$U216)="","",INDEX('Per Invoice'!R$2:R$401,$U216)))</f>
        <v/>
      </c>
      <c r="S216" s="7">
        <f>IF($U216="","",IF(INDEX('Per Invoice'!S$2:S$401,$U216)="","",INDEX('Per Invoice'!S$2:S$401,$U216)))</f>
        <v/>
      </c>
      <c r="T216" s="7">
        <f>IF($U216="","",IF(INDEX('Per Invoice'!T$2:T$401,$U216)="","",INDEX('Per Invoice'!T$2:T$401,$U216)))</f>
        <v/>
      </c>
      <c r="U216" s="16">
        <f>IFERROR(MATCH(Settings!$C$29&amp;"|"&amp;ROWS($U$2:$U216),'Per Invoice'!$V$2:$V$401,0),"")</f>
        <v/>
      </c>
    </row>
    <row r="217">
      <c r="A217">
        <f>IF($U217="","",IF(INDEX('Per Invoice'!A$2:A$401,$U217)="","",INDEX('Per Invoice'!A$2:A$401,$U217)))</f>
        <v/>
      </c>
      <c r="B217">
        <f>IF($U217="","",IF(INDEX('Per Invoice'!B$2:B$401,$U217)="","",INDEX('Per Invoice'!B$2:B$401,$U217)))</f>
        <v/>
      </c>
      <c r="C217">
        <f>IF($U217="","",IF(INDEX('Per Invoice'!C$2:C$401,$U217)="","",INDEX('Per Invoice'!C$2:C$401,$U217)))</f>
        <v/>
      </c>
      <c r="D217">
        <f>IF($U217="","",IF(INDEX('Per Invoice'!D$2:D$401,$U217)="","",INDEX('Per Invoice'!D$2:D$401,$U217)))</f>
        <v/>
      </c>
      <c r="E217">
        <f>IF($U217="","",IF(INDEX('Per Invoice'!E$2:E$401,$U217)="","",INDEX('Per Invoice'!E$2:E$401,$U217)))</f>
        <v/>
      </c>
      <c r="F217">
        <f>IF($U217="","",IF(INDEX('Per Invoice'!F$2:F$401,$U217)="","",INDEX('Per Invoice'!F$2:F$401,$U217)))</f>
        <v/>
      </c>
      <c r="G217">
        <f>IF($U217="","",IF(INDEX('Per Invoice'!G$2:G$401,$U217)="","",INDEX('Per Invoice'!G$2:G$401,$U217)))</f>
        <v/>
      </c>
      <c r="H217" s="7">
        <f>IF($U217="","",IF(INDEX('Per Invoice'!H$2:H$401,$U217)="","",INDEX('Per Invoice'!H$2:H$401,$U217)))</f>
        <v/>
      </c>
      <c r="I217" s="14">
        <f>IF($U217="","",IF(INDEX('Per Invoice'!I$2:I$401,$U217)="","",INDEX('Per Invoice'!I$2:I$401,$U217)))</f>
        <v/>
      </c>
      <c r="J217">
        <f>IF($U217="","",IF(INDEX('Per Invoice'!J$2:J$401,$U217)="","",INDEX('Per Invoice'!J$2:J$401,$U217)))</f>
        <v/>
      </c>
      <c r="K217">
        <f>IF($U217="","",IF(INDEX('Per Invoice'!K$2:K$401,$U217)="","",INDEX('Per Invoice'!K$2:K$401,$U217)))</f>
        <v/>
      </c>
      <c r="L217" s="7">
        <f>IF($U217="","",IF(INDEX('Per Invoice'!L$2:L$401,$U217)="","",INDEX('Per Invoice'!L$2:L$401,$U217)))</f>
        <v/>
      </c>
      <c r="M217" s="7">
        <f>IF($U217="","",IF(INDEX('Per Invoice'!M$2:M$401,$U217)="","",INDEX('Per Invoice'!M$2:M$401,$U217)))</f>
        <v/>
      </c>
      <c r="N217">
        <f>IF($U217="","",IF(INDEX('Per Invoice'!N$2:N$401,$U217)="","",INDEX('Per Invoice'!N$2:N$401,$U217)))</f>
        <v/>
      </c>
      <c r="O217" s="7">
        <f>IF($U217="","",IF(INDEX('Per Invoice'!O$2:O$401,$U217)="","",INDEX('Per Invoice'!O$2:O$401,$U217)))</f>
        <v/>
      </c>
      <c r="P217" s="7">
        <f>IF($U217="","",IF(INDEX('Per Invoice'!P$2:P$401,$U217)="","",INDEX('Per Invoice'!P$2:P$401,$U217)))</f>
        <v/>
      </c>
      <c r="Q217" s="7">
        <f>IF($U217="","",IF(INDEX('Per Invoice'!Q$2:Q$401,$U217)="","",INDEX('Per Invoice'!Q$2:Q$401,$U217)))</f>
        <v/>
      </c>
      <c r="R217" s="7">
        <f>IF($U217="","",IF(INDEX('Per Invoice'!R$2:R$401,$U217)="","",INDEX('Per Invoice'!R$2:R$401,$U217)))</f>
        <v/>
      </c>
      <c r="S217" s="7">
        <f>IF($U217="","",IF(INDEX('Per Invoice'!S$2:S$401,$U217)="","",INDEX('Per Invoice'!S$2:S$401,$U217)))</f>
        <v/>
      </c>
      <c r="T217" s="7">
        <f>IF($U217="","",IF(INDEX('Per Invoice'!T$2:T$401,$U217)="","",INDEX('Per Invoice'!T$2:T$401,$U217)))</f>
        <v/>
      </c>
      <c r="U217" s="16">
        <f>IFERROR(MATCH(Settings!$C$29&amp;"|"&amp;ROWS($U$2:$U217),'Per Invoice'!$V$2:$V$401,0),"")</f>
        <v/>
      </c>
    </row>
    <row r="218">
      <c r="A218">
        <f>IF($U218="","",IF(INDEX('Per Invoice'!A$2:A$401,$U218)="","",INDEX('Per Invoice'!A$2:A$401,$U218)))</f>
        <v/>
      </c>
      <c r="B218">
        <f>IF($U218="","",IF(INDEX('Per Invoice'!B$2:B$401,$U218)="","",INDEX('Per Invoice'!B$2:B$401,$U218)))</f>
        <v/>
      </c>
      <c r="C218">
        <f>IF($U218="","",IF(INDEX('Per Invoice'!C$2:C$401,$U218)="","",INDEX('Per Invoice'!C$2:C$401,$U218)))</f>
        <v/>
      </c>
      <c r="D218">
        <f>IF($U218="","",IF(INDEX('Per Invoice'!D$2:D$401,$U218)="","",INDEX('Per Invoice'!D$2:D$401,$U218)))</f>
        <v/>
      </c>
      <c r="E218">
        <f>IF($U218="","",IF(INDEX('Per Invoice'!E$2:E$401,$U218)="","",INDEX('Per Invoice'!E$2:E$401,$U218)))</f>
        <v/>
      </c>
      <c r="F218">
        <f>IF($U218="","",IF(INDEX('Per Invoice'!F$2:F$401,$U218)="","",INDEX('Per Invoice'!F$2:F$401,$U218)))</f>
        <v/>
      </c>
      <c r="G218">
        <f>IF($U218="","",IF(INDEX('Per Invoice'!G$2:G$401,$U218)="","",INDEX('Per Invoice'!G$2:G$401,$U218)))</f>
        <v/>
      </c>
      <c r="H218" s="7">
        <f>IF($U218="","",IF(INDEX('Per Invoice'!H$2:H$401,$U218)="","",INDEX('Per Invoice'!H$2:H$401,$U218)))</f>
        <v/>
      </c>
      <c r="I218" s="14">
        <f>IF($U218="","",IF(INDEX('Per Invoice'!I$2:I$401,$U218)="","",INDEX('Per Invoice'!I$2:I$401,$U218)))</f>
        <v/>
      </c>
      <c r="J218">
        <f>IF($U218="","",IF(INDEX('Per Invoice'!J$2:J$401,$U218)="","",INDEX('Per Invoice'!J$2:J$401,$U218)))</f>
        <v/>
      </c>
      <c r="K218">
        <f>IF($U218="","",IF(INDEX('Per Invoice'!K$2:K$401,$U218)="","",INDEX('Per Invoice'!K$2:K$401,$U218)))</f>
        <v/>
      </c>
      <c r="L218" s="7">
        <f>IF($U218="","",IF(INDEX('Per Invoice'!L$2:L$401,$U218)="","",INDEX('Per Invoice'!L$2:L$401,$U218)))</f>
        <v/>
      </c>
      <c r="M218" s="7">
        <f>IF($U218="","",IF(INDEX('Per Invoice'!M$2:M$401,$U218)="","",INDEX('Per Invoice'!M$2:M$401,$U218)))</f>
        <v/>
      </c>
      <c r="N218">
        <f>IF($U218="","",IF(INDEX('Per Invoice'!N$2:N$401,$U218)="","",INDEX('Per Invoice'!N$2:N$401,$U218)))</f>
        <v/>
      </c>
      <c r="O218" s="7">
        <f>IF($U218="","",IF(INDEX('Per Invoice'!O$2:O$401,$U218)="","",INDEX('Per Invoice'!O$2:O$401,$U218)))</f>
        <v/>
      </c>
      <c r="P218" s="7">
        <f>IF($U218="","",IF(INDEX('Per Invoice'!P$2:P$401,$U218)="","",INDEX('Per Invoice'!P$2:P$401,$U218)))</f>
        <v/>
      </c>
      <c r="Q218" s="7">
        <f>IF($U218="","",IF(INDEX('Per Invoice'!Q$2:Q$401,$U218)="","",INDEX('Per Invoice'!Q$2:Q$401,$U218)))</f>
        <v/>
      </c>
      <c r="R218" s="7">
        <f>IF($U218="","",IF(INDEX('Per Invoice'!R$2:R$401,$U218)="","",INDEX('Per Invoice'!R$2:R$401,$U218)))</f>
        <v/>
      </c>
      <c r="S218" s="7">
        <f>IF($U218="","",IF(INDEX('Per Invoice'!S$2:S$401,$U218)="","",INDEX('Per Invoice'!S$2:S$401,$U218)))</f>
        <v/>
      </c>
      <c r="T218" s="7">
        <f>IF($U218="","",IF(INDEX('Per Invoice'!T$2:T$401,$U218)="","",INDEX('Per Invoice'!T$2:T$401,$U218)))</f>
        <v/>
      </c>
      <c r="U218" s="16">
        <f>IFERROR(MATCH(Settings!$C$29&amp;"|"&amp;ROWS($U$2:$U218),'Per Invoice'!$V$2:$V$401,0),"")</f>
        <v/>
      </c>
    </row>
    <row r="219">
      <c r="A219">
        <f>IF($U219="","",IF(INDEX('Per Invoice'!A$2:A$401,$U219)="","",INDEX('Per Invoice'!A$2:A$401,$U219)))</f>
        <v/>
      </c>
      <c r="B219">
        <f>IF($U219="","",IF(INDEX('Per Invoice'!B$2:B$401,$U219)="","",INDEX('Per Invoice'!B$2:B$401,$U219)))</f>
        <v/>
      </c>
      <c r="C219">
        <f>IF($U219="","",IF(INDEX('Per Invoice'!C$2:C$401,$U219)="","",INDEX('Per Invoice'!C$2:C$401,$U219)))</f>
        <v/>
      </c>
      <c r="D219">
        <f>IF($U219="","",IF(INDEX('Per Invoice'!D$2:D$401,$U219)="","",INDEX('Per Invoice'!D$2:D$401,$U219)))</f>
        <v/>
      </c>
      <c r="E219">
        <f>IF($U219="","",IF(INDEX('Per Invoice'!E$2:E$401,$U219)="","",INDEX('Per Invoice'!E$2:E$401,$U219)))</f>
        <v/>
      </c>
      <c r="F219">
        <f>IF($U219="","",IF(INDEX('Per Invoice'!F$2:F$401,$U219)="","",INDEX('Per Invoice'!F$2:F$401,$U219)))</f>
        <v/>
      </c>
      <c r="G219">
        <f>IF($U219="","",IF(INDEX('Per Invoice'!G$2:G$401,$U219)="","",INDEX('Per Invoice'!G$2:G$401,$U219)))</f>
        <v/>
      </c>
      <c r="H219" s="7">
        <f>IF($U219="","",IF(INDEX('Per Invoice'!H$2:H$401,$U219)="","",INDEX('Per Invoice'!H$2:H$401,$U219)))</f>
        <v/>
      </c>
      <c r="I219" s="14">
        <f>IF($U219="","",IF(INDEX('Per Invoice'!I$2:I$401,$U219)="","",INDEX('Per Invoice'!I$2:I$401,$U219)))</f>
        <v/>
      </c>
      <c r="J219">
        <f>IF($U219="","",IF(INDEX('Per Invoice'!J$2:J$401,$U219)="","",INDEX('Per Invoice'!J$2:J$401,$U219)))</f>
        <v/>
      </c>
      <c r="K219">
        <f>IF($U219="","",IF(INDEX('Per Invoice'!K$2:K$401,$U219)="","",INDEX('Per Invoice'!K$2:K$401,$U219)))</f>
        <v/>
      </c>
      <c r="L219" s="7">
        <f>IF($U219="","",IF(INDEX('Per Invoice'!L$2:L$401,$U219)="","",INDEX('Per Invoice'!L$2:L$401,$U219)))</f>
        <v/>
      </c>
      <c r="M219" s="7">
        <f>IF($U219="","",IF(INDEX('Per Invoice'!M$2:M$401,$U219)="","",INDEX('Per Invoice'!M$2:M$401,$U219)))</f>
        <v/>
      </c>
      <c r="N219">
        <f>IF($U219="","",IF(INDEX('Per Invoice'!N$2:N$401,$U219)="","",INDEX('Per Invoice'!N$2:N$401,$U219)))</f>
        <v/>
      </c>
      <c r="O219" s="7">
        <f>IF($U219="","",IF(INDEX('Per Invoice'!O$2:O$401,$U219)="","",INDEX('Per Invoice'!O$2:O$401,$U219)))</f>
        <v/>
      </c>
      <c r="P219" s="7">
        <f>IF($U219="","",IF(INDEX('Per Invoice'!P$2:P$401,$U219)="","",INDEX('Per Invoice'!P$2:P$401,$U219)))</f>
        <v/>
      </c>
      <c r="Q219" s="7">
        <f>IF($U219="","",IF(INDEX('Per Invoice'!Q$2:Q$401,$U219)="","",INDEX('Per Invoice'!Q$2:Q$401,$U219)))</f>
        <v/>
      </c>
      <c r="R219" s="7">
        <f>IF($U219="","",IF(INDEX('Per Invoice'!R$2:R$401,$U219)="","",INDEX('Per Invoice'!R$2:R$401,$U219)))</f>
        <v/>
      </c>
      <c r="S219" s="7">
        <f>IF($U219="","",IF(INDEX('Per Invoice'!S$2:S$401,$U219)="","",INDEX('Per Invoice'!S$2:S$401,$U219)))</f>
        <v/>
      </c>
      <c r="T219" s="7">
        <f>IF($U219="","",IF(INDEX('Per Invoice'!T$2:T$401,$U219)="","",INDEX('Per Invoice'!T$2:T$401,$U219)))</f>
        <v/>
      </c>
      <c r="U219" s="16">
        <f>IFERROR(MATCH(Settings!$C$29&amp;"|"&amp;ROWS($U$2:$U219),'Per Invoice'!$V$2:$V$401,0),"")</f>
        <v/>
      </c>
    </row>
    <row r="220">
      <c r="A220">
        <f>IF($U220="","",IF(INDEX('Per Invoice'!A$2:A$401,$U220)="","",INDEX('Per Invoice'!A$2:A$401,$U220)))</f>
        <v/>
      </c>
      <c r="B220">
        <f>IF($U220="","",IF(INDEX('Per Invoice'!B$2:B$401,$U220)="","",INDEX('Per Invoice'!B$2:B$401,$U220)))</f>
        <v/>
      </c>
      <c r="C220">
        <f>IF($U220="","",IF(INDEX('Per Invoice'!C$2:C$401,$U220)="","",INDEX('Per Invoice'!C$2:C$401,$U220)))</f>
        <v/>
      </c>
      <c r="D220">
        <f>IF($U220="","",IF(INDEX('Per Invoice'!D$2:D$401,$U220)="","",INDEX('Per Invoice'!D$2:D$401,$U220)))</f>
        <v/>
      </c>
      <c r="E220">
        <f>IF($U220="","",IF(INDEX('Per Invoice'!E$2:E$401,$U220)="","",INDEX('Per Invoice'!E$2:E$401,$U220)))</f>
        <v/>
      </c>
      <c r="F220">
        <f>IF($U220="","",IF(INDEX('Per Invoice'!F$2:F$401,$U220)="","",INDEX('Per Invoice'!F$2:F$401,$U220)))</f>
        <v/>
      </c>
      <c r="G220">
        <f>IF($U220="","",IF(INDEX('Per Invoice'!G$2:G$401,$U220)="","",INDEX('Per Invoice'!G$2:G$401,$U220)))</f>
        <v/>
      </c>
      <c r="H220" s="7">
        <f>IF($U220="","",IF(INDEX('Per Invoice'!H$2:H$401,$U220)="","",INDEX('Per Invoice'!H$2:H$401,$U220)))</f>
        <v/>
      </c>
      <c r="I220" s="14">
        <f>IF($U220="","",IF(INDEX('Per Invoice'!I$2:I$401,$U220)="","",INDEX('Per Invoice'!I$2:I$401,$U220)))</f>
        <v/>
      </c>
      <c r="J220">
        <f>IF($U220="","",IF(INDEX('Per Invoice'!J$2:J$401,$U220)="","",INDEX('Per Invoice'!J$2:J$401,$U220)))</f>
        <v/>
      </c>
      <c r="K220">
        <f>IF($U220="","",IF(INDEX('Per Invoice'!K$2:K$401,$U220)="","",INDEX('Per Invoice'!K$2:K$401,$U220)))</f>
        <v/>
      </c>
      <c r="L220" s="7">
        <f>IF($U220="","",IF(INDEX('Per Invoice'!L$2:L$401,$U220)="","",INDEX('Per Invoice'!L$2:L$401,$U220)))</f>
        <v/>
      </c>
      <c r="M220" s="7">
        <f>IF($U220="","",IF(INDEX('Per Invoice'!M$2:M$401,$U220)="","",INDEX('Per Invoice'!M$2:M$401,$U220)))</f>
        <v/>
      </c>
      <c r="N220">
        <f>IF($U220="","",IF(INDEX('Per Invoice'!N$2:N$401,$U220)="","",INDEX('Per Invoice'!N$2:N$401,$U220)))</f>
        <v/>
      </c>
      <c r="O220" s="7">
        <f>IF($U220="","",IF(INDEX('Per Invoice'!O$2:O$401,$U220)="","",INDEX('Per Invoice'!O$2:O$401,$U220)))</f>
        <v/>
      </c>
      <c r="P220" s="7">
        <f>IF($U220="","",IF(INDEX('Per Invoice'!P$2:P$401,$U220)="","",INDEX('Per Invoice'!P$2:P$401,$U220)))</f>
        <v/>
      </c>
      <c r="Q220" s="7">
        <f>IF($U220="","",IF(INDEX('Per Invoice'!Q$2:Q$401,$U220)="","",INDEX('Per Invoice'!Q$2:Q$401,$U220)))</f>
        <v/>
      </c>
      <c r="R220" s="7">
        <f>IF($U220="","",IF(INDEX('Per Invoice'!R$2:R$401,$U220)="","",INDEX('Per Invoice'!R$2:R$401,$U220)))</f>
        <v/>
      </c>
      <c r="S220" s="7">
        <f>IF($U220="","",IF(INDEX('Per Invoice'!S$2:S$401,$U220)="","",INDEX('Per Invoice'!S$2:S$401,$U220)))</f>
        <v/>
      </c>
      <c r="T220" s="7">
        <f>IF($U220="","",IF(INDEX('Per Invoice'!T$2:T$401,$U220)="","",INDEX('Per Invoice'!T$2:T$401,$U220)))</f>
        <v/>
      </c>
      <c r="U220" s="16">
        <f>IFERROR(MATCH(Settings!$C$29&amp;"|"&amp;ROWS($U$2:$U220),'Per Invoice'!$V$2:$V$401,0),"")</f>
        <v/>
      </c>
    </row>
    <row r="221">
      <c r="A221">
        <f>IF($U221="","",IF(INDEX('Per Invoice'!A$2:A$401,$U221)="","",INDEX('Per Invoice'!A$2:A$401,$U221)))</f>
        <v/>
      </c>
      <c r="B221">
        <f>IF($U221="","",IF(INDEX('Per Invoice'!B$2:B$401,$U221)="","",INDEX('Per Invoice'!B$2:B$401,$U221)))</f>
        <v/>
      </c>
      <c r="C221">
        <f>IF($U221="","",IF(INDEX('Per Invoice'!C$2:C$401,$U221)="","",INDEX('Per Invoice'!C$2:C$401,$U221)))</f>
        <v/>
      </c>
      <c r="D221">
        <f>IF($U221="","",IF(INDEX('Per Invoice'!D$2:D$401,$U221)="","",INDEX('Per Invoice'!D$2:D$401,$U221)))</f>
        <v/>
      </c>
      <c r="E221">
        <f>IF($U221="","",IF(INDEX('Per Invoice'!E$2:E$401,$U221)="","",INDEX('Per Invoice'!E$2:E$401,$U221)))</f>
        <v/>
      </c>
      <c r="F221">
        <f>IF($U221="","",IF(INDEX('Per Invoice'!F$2:F$401,$U221)="","",INDEX('Per Invoice'!F$2:F$401,$U221)))</f>
        <v/>
      </c>
      <c r="G221">
        <f>IF($U221="","",IF(INDEX('Per Invoice'!G$2:G$401,$U221)="","",INDEX('Per Invoice'!G$2:G$401,$U221)))</f>
        <v/>
      </c>
      <c r="H221" s="7">
        <f>IF($U221="","",IF(INDEX('Per Invoice'!H$2:H$401,$U221)="","",INDEX('Per Invoice'!H$2:H$401,$U221)))</f>
        <v/>
      </c>
      <c r="I221" s="14">
        <f>IF($U221="","",IF(INDEX('Per Invoice'!I$2:I$401,$U221)="","",INDEX('Per Invoice'!I$2:I$401,$U221)))</f>
        <v/>
      </c>
      <c r="J221">
        <f>IF($U221="","",IF(INDEX('Per Invoice'!J$2:J$401,$U221)="","",INDEX('Per Invoice'!J$2:J$401,$U221)))</f>
        <v/>
      </c>
      <c r="K221">
        <f>IF($U221="","",IF(INDEX('Per Invoice'!K$2:K$401,$U221)="","",INDEX('Per Invoice'!K$2:K$401,$U221)))</f>
        <v/>
      </c>
      <c r="L221" s="7">
        <f>IF($U221="","",IF(INDEX('Per Invoice'!L$2:L$401,$U221)="","",INDEX('Per Invoice'!L$2:L$401,$U221)))</f>
        <v/>
      </c>
      <c r="M221" s="7">
        <f>IF($U221="","",IF(INDEX('Per Invoice'!M$2:M$401,$U221)="","",INDEX('Per Invoice'!M$2:M$401,$U221)))</f>
        <v/>
      </c>
      <c r="N221">
        <f>IF($U221="","",IF(INDEX('Per Invoice'!N$2:N$401,$U221)="","",INDEX('Per Invoice'!N$2:N$401,$U221)))</f>
        <v/>
      </c>
      <c r="O221" s="7">
        <f>IF($U221="","",IF(INDEX('Per Invoice'!O$2:O$401,$U221)="","",INDEX('Per Invoice'!O$2:O$401,$U221)))</f>
        <v/>
      </c>
      <c r="P221" s="7">
        <f>IF($U221="","",IF(INDEX('Per Invoice'!P$2:P$401,$U221)="","",INDEX('Per Invoice'!P$2:P$401,$U221)))</f>
        <v/>
      </c>
      <c r="Q221" s="7">
        <f>IF($U221="","",IF(INDEX('Per Invoice'!Q$2:Q$401,$U221)="","",INDEX('Per Invoice'!Q$2:Q$401,$U221)))</f>
        <v/>
      </c>
      <c r="R221" s="7">
        <f>IF($U221="","",IF(INDEX('Per Invoice'!R$2:R$401,$U221)="","",INDEX('Per Invoice'!R$2:R$401,$U221)))</f>
        <v/>
      </c>
      <c r="S221" s="7">
        <f>IF($U221="","",IF(INDEX('Per Invoice'!S$2:S$401,$U221)="","",INDEX('Per Invoice'!S$2:S$401,$U221)))</f>
        <v/>
      </c>
      <c r="T221" s="7">
        <f>IF($U221="","",IF(INDEX('Per Invoice'!T$2:T$401,$U221)="","",INDEX('Per Invoice'!T$2:T$401,$U221)))</f>
        <v/>
      </c>
      <c r="U221" s="16">
        <f>IFERROR(MATCH(Settings!$C$29&amp;"|"&amp;ROWS($U$2:$U221),'Per Invoice'!$V$2:$V$401,0),"")</f>
        <v/>
      </c>
    </row>
    <row r="222">
      <c r="A222">
        <f>IF($U222="","",IF(INDEX('Per Invoice'!A$2:A$401,$U222)="","",INDEX('Per Invoice'!A$2:A$401,$U222)))</f>
        <v/>
      </c>
      <c r="B222">
        <f>IF($U222="","",IF(INDEX('Per Invoice'!B$2:B$401,$U222)="","",INDEX('Per Invoice'!B$2:B$401,$U222)))</f>
        <v/>
      </c>
      <c r="C222">
        <f>IF($U222="","",IF(INDEX('Per Invoice'!C$2:C$401,$U222)="","",INDEX('Per Invoice'!C$2:C$401,$U222)))</f>
        <v/>
      </c>
      <c r="D222">
        <f>IF($U222="","",IF(INDEX('Per Invoice'!D$2:D$401,$U222)="","",INDEX('Per Invoice'!D$2:D$401,$U222)))</f>
        <v/>
      </c>
      <c r="E222">
        <f>IF($U222="","",IF(INDEX('Per Invoice'!E$2:E$401,$U222)="","",INDEX('Per Invoice'!E$2:E$401,$U222)))</f>
        <v/>
      </c>
      <c r="F222">
        <f>IF($U222="","",IF(INDEX('Per Invoice'!F$2:F$401,$U222)="","",INDEX('Per Invoice'!F$2:F$401,$U222)))</f>
        <v/>
      </c>
      <c r="G222">
        <f>IF($U222="","",IF(INDEX('Per Invoice'!G$2:G$401,$U222)="","",INDEX('Per Invoice'!G$2:G$401,$U222)))</f>
        <v/>
      </c>
      <c r="H222" s="7">
        <f>IF($U222="","",IF(INDEX('Per Invoice'!H$2:H$401,$U222)="","",INDEX('Per Invoice'!H$2:H$401,$U222)))</f>
        <v/>
      </c>
      <c r="I222" s="14">
        <f>IF($U222="","",IF(INDEX('Per Invoice'!I$2:I$401,$U222)="","",INDEX('Per Invoice'!I$2:I$401,$U222)))</f>
        <v/>
      </c>
      <c r="J222">
        <f>IF($U222="","",IF(INDEX('Per Invoice'!J$2:J$401,$U222)="","",INDEX('Per Invoice'!J$2:J$401,$U222)))</f>
        <v/>
      </c>
      <c r="K222">
        <f>IF($U222="","",IF(INDEX('Per Invoice'!K$2:K$401,$U222)="","",INDEX('Per Invoice'!K$2:K$401,$U222)))</f>
        <v/>
      </c>
      <c r="L222" s="7">
        <f>IF($U222="","",IF(INDEX('Per Invoice'!L$2:L$401,$U222)="","",INDEX('Per Invoice'!L$2:L$401,$U222)))</f>
        <v/>
      </c>
      <c r="M222" s="7">
        <f>IF($U222="","",IF(INDEX('Per Invoice'!M$2:M$401,$U222)="","",INDEX('Per Invoice'!M$2:M$401,$U222)))</f>
        <v/>
      </c>
      <c r="N222">
        <f>IF($U222="","",IF(INDEX('Per Invoice'!N$2:N$401,$U222)="","",INDEX('Per Invoice'!N$2:N$401,$U222)))</f>
        <v/>
      </c>
      <c r="O222" s="7">
        <f>IF($U222="","",IF(INDEX('Per Invoice'!O$2:O$401,$U222)="","",INDEX('Per Invoice'!O$2:O$401,$U222)))</f>
        <v/>
      </c>
      <c r="P222" s="7">
        <f>IF($U222="","",IF(INDEX('Per Invoice'!P$2:P$401,$U222)="","",INDEX('Per Invoice'!P$2:P$401,$U222)))</f>
        <v/>
      </c>
      <c r="Q222" s="7">
        <f>IF($U222="","",IF(INDEX('Per Invoice'!Q$2:Q$401,$U222)="","",INDEX('Per Invoice'!Q$2:Q$401,$U222)))</f>
        <v/>
      </c>
      <c r="R222" s="7">
        <f>IF($U222="","",IF(INDEX('Per Invoice'!R$2:R$401,$U222)="","",INDEX('Per Invoice'!R$2:R$401,$U222)))</f>
        <v/>
      </c>
      <c r="S222" s="7">
        <f>IF($U222="","",IF(INDEX('Per Invoice'!S$2:S$401,$U222)="","",INDEX('Per Invoice'!S$2:S$401,$U222)))</f>
        <v/>
      </c>
      <c r="T222" s="7">
        <f>IF($U222="","",IF(INDEX('Per Invoice'!T$2:T$401,$U222)="","",INDEX('Per Invoice'!T$2:T$401,$U222)))</f>
        <v/>
      </c>
      <c r="U222" s="16">
        <f>IFERROR(MATCH(Settings!$C$29&amp;"|"&amp;ROWS($U$2:$U222),'Per Invoice'!$V$2:$V$401,0),"")</f>
        <v/>
      </c>
    </row>
    <row r="223">
      <c r="A223">
        <f>IF($U223="","",IF(INDEX('Per Invoice'!A$2:A$401,$U223)="","",INDEX('Per Invoice'!A$2:A$401,$U223)))</f>
        <v/>
      </c>
      <c r="B223">
        <f>IF($U223="","",IF(INDEX('Per Invoice'!B$2:B$401,$U223)="","",INDEX('Per Invoice'!B$2:B$401,$U223)))</f>
        <v/>
      </c>
      <c r="C223">
        <f>IF($U223="","",IF(INDEX('Per Invoice'!C$2:C$401,$U223)="","",INDEX('Per Invoice'!C$2:C$401,$U223)))</f>
        <v/>
      </c>
      <c r="D223">
        <f>IF($U223="","",IF(INDEX('Per Invoice'!D$2:D$401,$U223)="","",INDEX('Per Invoice'!D$2:D$401,$U223)))</f>
        <v/>
      </c>
      <c r="E223">
        <f>IF($U223="","",IF(INDEX('Per Invoice'!E$2:E$401,$U223)="","",INDEX('Per Invoice'!E$2:E$401,$U223)))</f>
        <v/>
      </c>
      <c r="F223">
        <f>IF($U223="","",IF(INDEX('Per Invoice'!F$2:F$401,$U223)="","",INDEX('Per Invoice'!F$2:F$401,$U223)))</f>
        <v/>
      </c>
      <c r="G223">
        <f>IF($U223="","",IF(INDEX('Per Invoice'!G$2:G$401,$U223)="","",INDEX('Per Invoice'!G$2:G$401,$U223)))</f>
        <v/>
      </c>
      <c r="H223" s="7">
        <f>IF($U223="","",IF(INDEX('Per Invoice'!H$2:H$401,$U223)="","",INDEX('Per Invoice'!H$2:H$401,$U223)))</f>
        <v/>
      </c>
      <c r="I223" s="14">
        <f>IF($U223="","",IF(INDEX('Per Invoice'!I$2:I$401,$U223)="","",INDEX('Per Invoice'!I$2:I$401,$U223)))</f>
        <v/>
      </c>
      <c r="J223">
        <f>IF($U223="","",IF(INDEX('Per Invoice'!J$2:J$401,$U223)="","",INDEX('Per Invoice'!J$2:J$401,$U223)))</f>
        <v/>
      </c>
      <c r="K223">
        <f>IF($U223="","",IF(INDEX('Per Invoice'!K$2:K$401,$U223)="","",INDEX('Per Invoice'!K$2:K$401,$U223)))</f>
        <v/>
      </c>
      <c r="L223" s="7">
        <f>IF($U223="","",IF(INDEX('Per Invoice'!L$2:L$401,$U223)="","",INDEX('Per Invoice'!L$2:L$401,$U223)))</f>
        <v/>
      </c>
      <c r="M223" s="7">
        <f>IF($U223="","",IF(INDEX('Per Invoice'!M$2:M$401,$U223)="","",INDEX('Per Invoice'!M$2:M$401,$U223)))</f>
        <v/>
      </c>
      <c r="N223">
        <f>IF($U223="","",IF(INDEX('Per Invoice'!N$2:N$401,$U223)="","",INDEX('Per Invoice'!N$2:N$401,$U223)))</f>
        <v/>
      </c>
      <c r="O223" s="7">
        <f>IF($U223="","",IF(INDEX('Per Invoice'!O$2:O$401,$U223)="","",INDEX('Per Invoice'!O$2:O$401,$U223)))</f>
        <v/>
      </c>
      <c r="P223" s="7">
        <f>IF($U223="","",IF(INDEX('Per Invoice'!P$2:P$401,$U223)="","",INDEX('Per Invoice'!P$2:P$401,$U223)))</f>
        <v/>
      </c>
      <c r="Q223" s="7">
        <f>IF($U223="","",IF(INDEX('Per Invoice'!Q$2:Q$401,$U223)="","",INDEX('Per Invoice'!Q$2:Q$401,$U223)))</f>
        <v/>
      </c>
      <c r="R223" s="7">
        <f>IF($U223="","",IF(INDEX('Per Invoice'!R$2:R$401,$U223)="","",INDEX('Per Invoice'!R$2:R$401,$U223)))</f>
        <v/>
      </c>
      <c r="S223" s="7">
        <f>IF($U223="","",IF(INDEX('Per Invoice'!S$2:S$401,$U223)="","",INDEX('Per Invoice'!S$2:S$401,$U223)))</f>
        <v/>
      </c>
      <c r="T223" s="7">
        <f>IF($U223="","",IF(INDEX('Per Invoice'!T$2:T$401,$U223)="","",INDEX('Per Invoice'!T$2:T$401,$U223)))</f>
        <v/>
      </c>
      <c r="U223" s="16">
        <f>IFERROR(MATCH(Settings!$C$29&amp;"|"&amp;ROWS($U$2:$U223),'Per Invoice'!$V$2:$V$401,0),"")</f>
        <v/>
      </c>
    </row>
    <row r="224">
      <c r="A224">
        <f>IF($U224="","",IF(INDEX('Per Invoice'!A$2:A$401,$U224)="","",INDEX('Per Invoice'!A$2:A$401,$U224)))</f>
        <v/>
      </c>
      <c r="B224">
        <f>IF($U224="","",IF(INDEX('Per Invoice'!B$2:B$401,$U224)="","",INDEX('Per Invoice'!B$2:B$401,$U224)))</f>
        <v/>
      </c>
      <c r="C224">
        <f>IF($U224="","",IF(INDEX('Per Invoice'!C$2:C$401,$U224)="","",INDEX('Per Invoice'!C$2:C$401,$U224)))</f>
        <v/>
      </c>
      <c r="D224">
        <f>IF($U224="","",IF(INDEX('Per Invoice'!D$2:D$401,$U224)="","",INDEX('Per Invoice'!D$2:D$401,$U224)))</f>
        <v/>
      </c>
      <c r="E224">
        <f>IF($U224="","",IF(INDEX('Per Invoice'!E$2:E$401,$U224)="","",INDEX('Per Invoice'!E$2:E$401,$U224)))</f>
        <v/>
      </c>
      <c r="F224">
        <f>IF($U224="","",IF(INDEX('Per Invoice'!F$2:F$401,$U224)="","",INDEX('Per Invoice'!F$2:F$401,$U224)))</f>
        <v/>
      </c>
      <c r="G224">
        <f>IF($U224="","",IF(INDEX('Per Invoice'!G$2:G$401,$U224)="","",INDEX('Per Invoice'!G$2:G$401,$U224)))</f>
        <v/>
      </c>
      <c r="H224" s="7">
        <f>IF($U224="","",IF(INDEX('Per Invoice'!H$2:H$401,$U224)="","",INDEX('Per Invoice'!H$2:H$401,$U224)))</f>
        <v/>
      </c>
      <c r="I224" s="14">
        <f>IF($U224="","",IF(INDEX('Per Invoice'!I$2:I$401,$U224)="","",INDEX('Per Invoice'!I$2:I$401,$U224)))</f>
        <v/>
      </c>
      <c r="J224">
        <f>IF($U224="","",IF(INDEX('Per Invoice'!J$2:J$401,$U224)="","",INDEX('Per Invoice'!J$2:J$401,$U224)))</f>
        <v/>
      </c>
      <c r="K224">
        <f>IF($U224="","",IF(INDEX('Per Invoice'!K$2:K$401,$U224)="","",INDEX('Per Invoice'!K$2:K$401,$U224)))</f>
        <v/>
      </c>
      <c r="L224" s="7">
        <f>IF($U224="","",IF(INDEX('Per Invoice'!L$2:L$401,$U224)="","",INDEX('Per Invoice'!L$2:L$401,$U224)))</f>
        <v/>
      </c>
      <c r="M224" s="7">
        <f>IF($U224="","",IF(INDEX('Per Invoice'!M$2:M$401,$U224)="","",INDEX('Per Invoice'!M$2:M$401,$U224)))</f>
        <v/>
      </c>
      <c r="N224">
        <f>IF($U224="","",IF(INDEX('Per Invoice'!N$2:N$401,$U224)="","",INDEX('Per Invoice'!N$2:N$401,$U224)))</f>
        <v/>
      </c>
      <c r="O224" s="7">
        <f>IF($U224="","",IF(INDEX('Per Invoice'!O$2:O$401,$U224)="","",INDEX('Per Invoice'!O$2:O$401,$U224)))</f>
        <v/>
      </c>
      <c r="P224" s="7">
        <f>IF($U224="","",IF(INDEX('Per Invoice'!P$2:P$401,$U224)="","",INDEX('Per Invoice'!P$2:P$401,$U224)))</f>
        <v/>
      </c>
      <c r="Q224" s="7">
        <f>IF($U224="","",IF(INDEX('Per Invoice'!Q$2:Q$401,$U224)="","",INDEX('Per Invoice'!Q$2:Q$401,$U224)))</f>
        <v/>
      </c>
      <c r="R224" s="7">
        <f>IF($U224="","",IF(INDEX('Per Invoice'!R$2:R$401,$U224)="","",INDEX('Per Invoice'!R$2:R$401,$U224)))</f>
        <v/>
      </c>
      <c r="S224" s="7">
        <f>IF($U224="","",IF(INDEX('Per Invoice'!S$2:S$401,$U224)="","",INDEX('Per Invoice'!S$2:S$401,$U224)))</f>
        <v/>
      </c>
      <c r="T224" s="7">
        <f>IF($U224="","",IF(INDEX('Per Invoice'!T$2:T$401,$U224)="","",INDEX('Per Invoice'!T$2:T$401,$U224)))</f>
        <v/>
      </c>
      <c r="U224" s="16">
        <f>IFERROR(MATCH(Settings!$C$29&amp;"|"&amp;ROWS($U$2:$U224),'Per Invoice'!$V$2:$V$401,0),"")</f>
        <v/>
      </c>
    </row>
    <row r="225">
      <c r="A225">
        <f>IF($U225="","",IF(INDEX('Per Invoice'!A$2:A$401,$U225)="","",INDEX('Per Invoice'!A$2:A$401,$U225)))</f>
        <v/>
      </c>
      <c r="B225">
        <f>IF($U225="","",IF(INDEX('Per Invoice'!B$2:B$401,$U225)="","",INDEX('Per Invoice'!B$2:B$401,$U225)))</f>
        <v/>
      </c>
      <c r="C225">
        <f>IF($U225="","",IF(INDEX('Per Invoice'!C$2:C$401,$U225)="","",INDEX('Per Invoice'!C$2:C$401,$U225)))</f>
        <v/>
      </c>
      <c r="D225">
        <f>IF($U225="","",IF(INDEX('Per Invoice'!D$2:D$401,$U225)="","",INDEX('Per Invoice'!D$2:D$401,$U225)))</f>
        <v/>
      </c>
      <c r="E225">
        <f>IF($U225="","",IF(INDEX('Per Invoice'!E$2:E$401,$U225)="","",INDEX('Per Invoice'!E$2:E$401,$U225)))</f>
        <v/>
      </c>
      <c r="F225">
        <f>IF($U225="","",IF(INDEX('Per Invoice'!F$2:F$401,$U225)="","",INDEX('Per Invoice'!F$2:F$401,$U225)))</f>
        <v/>
      </c>
      <c r="G225">
        <f>IF($U225="","",IF(INDEX('Per Invoice'!G$2:G$401,$U225)="","",INDEX('Per Invoice'!G$2:G$401,$U225)))</f>
        <v/>
      </c>
      <c r="H225" s="7">
        <f>IF($U225="","",IF(INDEX('Per Invoice'!H$2:H$401,$U225)="","",INDEX('Per Invoice'!H$2:H$401,$U225)))</f>
        <v/>
      </c>
      <c r="I225" s="14">
        <f>IF($U225="","",IF(INDEX('Per Invoice'!I$2:I$401,$U225)="","",INDEX('Per Invoice'!I$2:I$401,$U225)))</f>
        <v/>
      </c>
      <c r="J225">
        <f>IF($U225="","",IF(INDEX('Per Invoice'!J$2:J$401,$U225)="","",INDEX('Per Invoice'!J$2:J$401,$U225)))</f>
        <v/>
      </c>
      <c r="K225">
        <f>IF($U225="","",IF(INDEX('Per Invoice'!K$2:K$401,$U225)="","",INDEX('Per Invoice'!K$2:K$401,$U225)))</f>
        <v/>
      </c>
      <c r="L225" s="7">
        <f>IF($U225="","",IF(INDEX('Per Invoice'!L$2:L$401,$U225)="","",INDEX('Per Invoice'!L$2:L$401,$U225)))</f>
        <v/>
      </c>
      <c r="M225" s="7">
        <f>IF($U225="","",IF(INDEX('Per Invoice'!M$2:M$401,$U225)="","",INDEX('Per Invoice'!M$2:M$401,$U225)))</f>
        <v/>
      </c>
      <c r="N225">
        <f>IF($U225="","",IF(INDEX('Per Invoice'!N$2:N$401,$U225)="","",INDEX('Per Invoice'!N$2:N$401,$U225)))</f>
        <v/>
      </c>
      <c r="O225" s="7">
        <f>IF($U225="","",IF(INDEX('Per Invoice'!O$2:O$401,$U225)="","",INDEX('Per Invoice'!O$2:O$401,$U225)))</f>
        <v/>
      </c>
      <c r="P225" s="7">
        <f>IF($U225="","",IF(INDEX('Per Invoice'!P$2:P$401,$U225)="","",INDEX('Per Invoice'!P$2:P$401,$U225)))</f>
        <v/>
      </c>
      <c r="Q225" s="7">
        <f>IF($U225="","",IF(INDEX('Per Invoice'!Q$2:Q$401,$U225)="","",INDEX('Per Invoice'!Q$2:Q$401,$U225)))</f>
        <v/>
      </c>
      <c r="R225" s="7">
        <f>IF($U225="","",IF(INDEX('Per Invoice'!R$2:R$401,$U225)="","",INDEX('Per Invoice'!R$2:R$401,$U225)))</f>
        <v/>
      </c>
      <c r="S225" s="7">
        <f>IF($U225="","",IF(INDEX('Per Invoice'!S$2:S$401,$U225)="","",INDEX('Per Invoice'!S$2:S$401,$U225)))</f>
        <v/>
      </c>
      <c r="T225" s="7">
        <f>IF($U225="","",IF(INDEX('Per Invoice'!T$2:T$401,$U225)="","",INDEX('Per Invoice'!T$2:T$401,$U225)))</f>
        <v/>
      </c>
      <c r="U225" s="16">
        <f>IFERROR(MATCH(Settings!$C$29&amp;"|"&amp;ROWS($U$2:$U225),'Per Invoice'!$V$2:$V$401,0),"")</f>
        <v/>
      </c>
    </row>
    <row r="226">
      <c r="A226">
        <f>IF($U226="","",IF(INDEX('Per Invoice'!A$2:A$401,$U226)="","",INDEX('Per Invoice'!A$2:A$401,$U226)))</f>
        <v/>
      </c>
      <c r="B226">
        <f>IF($U226="","",IF(INDEX('Per Invoice'!B$2:B$401,$U226)="","",INDEX('Per Invoice'!B$2:B$401,$U226)))</f>
        <v/>
      </c>
      <c r="C226">
        <f>IF($U226="","",IF(INDEX('Per Invoice'!C$2:C$401,$U226)="","",INDEX('Per Invoice'!C$2:C$401,$U226)))</f>
        <v/>
      </c>
      <c r="D226">
        <f>IF($U226="","",IF(INDEX('Per Invoice'!D$2:D$401,$U226)="","",INDEX('Per Invoice'!D$2:D$401,$U226)))</f>
        <v/>
      </c>
      <c r="E226">
        <f>IF($U226="","",IF(INDEX('Per Invoice'!E$2:E$401,$U226)="","",INDEX('Per Invoice'!E$2:E$401,$U226)))</f>
        <v/>
      </c>
      <c r="F226">
        <f>IF($U226="","",IF(INDEX('Per Invoice'!F$2:F$401,$U226)="","",INDEX('Per Invoice'!F$2:F$401,$U226)))</f>
        <v/>
      </c>
      <c r="G226">
        <f>IF($U226="","",IF(INDEX('Per Invoice'!G$2:G$401,$U226)="","",INDEX('Per Invoice'!G$2:G$401,$U226)))</f>
        <v/>
      </c>
      <c r="H226" s="7">
        <f>IF($U226="","",IF(INDEX('Per Invoice'!H$2:H$401,$U226)="","",INDEX('Per Invoice'!H$2:H$401,$U226)))</f>
        <v/>
      </c>
      <c r="I226" s="14">
        <f>IF($U226="","",IF(INDEX('Per Invoice'!I$2:I$401,$U226)="","",INDEX('Per Invoice'!I$2:I$401,$U226)))</f>
        <v/>
      </c>
      <c r="J226">
        <f>IF($U226="","",IF(INDEX('Per Invoice'!J$2:J$401,$U226)="","",INDEX('Per Invoice'!J$2:J$401,$U226)))</f>
        <v/>
      </c>
      <c r="K226">
        <f>IF($U226="","",IF(INDEX('Per Invoice'!K$2:K$401,$U226)="","",INDEX('Per Invoice'!K$2:K$401,$U226)))</f>
        <v/>
      </c>
      <c r="L226" s="7">
        <f>IF($U226="","",IF(INDEX('Per Invoice'!L$2:L$401,$U226)="","",INDEX('Per Invoice'!L$2:L$401,$U226)))</f>
        <v/>
      </c>
      <c r="M226" s="7">
        <f>IF($U226="","",IF(INDEX('Per Invoice'!M$2:M$401,$U226)="","",INDEX('Per Invoice'!M$2:M$401,$U226)))</f>
        <v/>
      </c>
      <c r="N226">
        <f>IF($U226="","",IF(INDEX('Per Invoice'!N$2:N$401,$U226)="","",INDEX('Per Invoice'!N$2:N$401,$U226)))</f>
        <v/>
      </c>
      <c r="O226" s="7">
        <f>IF($U226="","",IF(INDEX('Per Invoice'!O$2:O$401,$U226)="","",INDEX('Per Invoice'!O$2:O$401,$U226)))</f>
        <v/>
      </c>
      <c r="P226" s="7">
        <f>IF($U226="","",IF(INDEX('Per Invoice'!P$2:P$401,$U226)="","",INDEX('Per Invoice'!P$2:P$401,$U226)))</f>
        <v/>
      </c>
      <c r="Q226" s="7">
        <f>IF($U226="","",IF(INDEX('Per Invoice'!Q$2:Q$401,$U226)="","",INDEX('Per Invoice'!Q$2:Q$401,$U226)))</f>
        <v/>
      </c>
      <c r="R226" s="7">
        <f>IF($U226="","",IF(INDEX('Per Invoice'!R$2:R$401,$U226)="","",INDEX('Per Invoice'!R$2:R$401,$U226)))</f>
        <v/>
      </c>
      <c r="S226" s="7">
        <f>IF($U226="","",IF(INDEX('Per Invoice'!S$2:S$401,$U226)="","",INDEX('Per Invoice'!S$2:S$401,$U226)))</f>
        <v/>
      </c>
      <c r="T226" s="7">
        <f>IF($U226="","",IF(INDEX('Per Invoice'!T$2:T$401,$U226)="","",INDEX('Per Invoice'!T$2:T$401,$U226)))</f>
        <v/>
      </c>
      <c r="U226" s="16">
        <f>IFERROR(MATCH(Settings!$C$29&amp;"|"&amp;ROWS($U$2:$U226),'Per Invoice'!$V$2:$V$401,0),"")</f>
        <v/>
      </c>
    </row>
    <row r="227">
      <c r="A227">
        <f>IF($U227="","",IF(INDEX('Per Invoice'!A$2:A$401,$U227)="","",INDEX('Per Invoice'!A$2:A$401,$U227)))</f>
        <v/>
      </c>
      <c r="B227">
        <f>IF($U227="","",IF(INDEX('Per Invoice'!B$2:B$401,$U227)="","",INDEX('Per Invoice'!B$2:B$401,$U227)))</f>
        <v/>
      </c>
      <c r="C227">
        <f>IF($U227="","",IF(INDEX('Per Invoice'!C$2:C$401,$U227)="","",INDEX('Per Invoice'!C$2:C$401,$U227)))</f>
        <v/>
      </c>
      <c r="D227">
        <f>IF($U227="","",IF(INDEX('Per Invoice'!D$2:D$401,$U227)="","",INDEX('Per Invoice'!D$2:D$401,$U227)))</f>
        <v/>
      </c>
      <c r="E227">
        <f>IF($U227="","",IF(INDEX('Per Invoice'!E$2:E$401,$U227)="","",INDEX('Per Invoice'!E$2:E$401,$U227)))</f>
        <v/>
      </c>
      <c r="F227">
        <f>IF($U227="","",IF(INDEX('Per Invoice'!F$2:F$401,$U227)="","",INDEX('Per Invoice'!F$2:F$401,$U227)))</f>
        <v/>
      </c>
      <c r="G227">
        <f>IF($U227="","",IF(INDEX('Per Invoice'!G$2:G$401,$U227)="","",INDEX('Per Invoice'!G$2:G$401,$U227)))</f>
        <v/>
      </c>
      <c r="H227" s="7">
        <f>IF($U227="","",IF(INDEX('Per Invoice'!H$2:H$401,$U227)="","",INDEX('Per Invoice'!H$2:H$401,$U227)))</f>
        <v/>
      </c>
      <c r="I227" s="14">
        <f>IF($U227="","",IF(INDEX('Per Invoice'!I$2:I$401,$U227)="","",INDEX('Per Invoice'!I$2:I$401,$U227)))</f>
        <v/>
      </c>
      <c r="J227">
        <f>IF($U227="","",IF(INDEX('Per Invoice'!J$2:J$401,$U227)="","",INDEX('Per Invoice'!J$2:J$401,$U227)))</f>
        <v/>
      </c>
      <c r="K227">
        <f>IF($U227="","",IF(INDEX('Per Invoice'!K$2:K$401,$U227)="","",INDEX('Per Invoice'!K$2:K$401,$U227)))</f>
        <v/>
      </c>
      <c r="L227" s="7">
        <f>IF($U227="","",IF(INDEX('Per Invoice'!L$2:L$401,$U227)="","",INDEX('Per Invoice'!L$2:L$401,$U227)))</f>
        <v/>
      </c>
      <c r="M227" s="7">
        <f>IF($U227="","",IF(INDEX('Per Invoice'!M$2:M$401,$U227)="","",INDEX('Per Invoice'!M$2:M$401,$U227)))</f>
        <v/>
      </c>
      <c r="N227">
        <f>IF($U227="","",IF(INDEX('Per Invoice'!N$2:N$401,$U227)="","",INDEX('Per Invoice'!N$2:N$401,$U227)))</f>
        <v/>
      </c>
      <c r="O227" s="7">
        <f>IF($U227="","",IF(INDEX('Per Invoice'!O$2:O$401,$U227)="","",INDEX('Per Invoice'!O$2:O$401,$U227)))</f>
        <v/>
      </c>
      <c r="P227" s="7">
        <f>IF($U227="","",IF(INDEX('Per Invoice'!P$2:P$401,$U227)="","",INDEX('Per Invoice'!P$2:P$401,$U227)))</f>
        <v/>
      </c>
      <c r="Q227" s="7">
        <f>IF($U227="","",IF(INDEX('Per Invoice'!Q$2:Q$401,$U227)="","",INDEX('Per Invoice'!Q$2:Q$401,$U227)))</f>
        <v/>
      </c>
      <c r="R227" s="7">
        <f>IF($U227="","",IF(INDEX('Per Invoice'!R$2:R$401,$U227)="","",INDEX('Per Invoice'!R$2:R$401,$U227)))</f>
        <v/>
      </c>
      <c r="S227" s="7">
        <f>IF($U227="","",IF(INDEX('Per Invoice'!S$2:S$401,$U227)="","",INDEX('Per Invoice'!S$2:S$401,$U227)))</f>
        <v/>
      </c>
      <c r="T227" s="7">
        <f>IF($U227="","",IF(INDEX('Per Invoice'!T$2:T$401,$U227)="","",INDEX('Per Invoice'!T$2:T$401,$U227)))</f>
        <v/>
      </c>
      <c r="U227" s="16">
        <f>IFERROR(MATCH(Settings!$C$29&amp;"|"&amp;ROWS($U$2:$U227),'Per Invoice'!$V$2:$V$401,0),"")</f>
        <v/>
      </c>
    </row>
    <row r="228">
      <c r="A228">
        <f>IF($U228="","",IF(INDEX('Per Invoice'!A$2:A$401,$U228)="","",INDEX('Per Invoice'!A$2:A$401,$U228)))</f>
        <v/>
      </c>
      <c r="B228">
        <f>IF($U228="","",IF(INDEX('Per Invoice'!B$2:B$401,$U228)="","",INDEX('Per Invoice'!B$2:B$401,$U228)))</f>
        <v/>
      </c>
      <c r="C228">
        <f>IF($U228="","",IF(INDEX('Per Invoice'!C$2:C$401,$U228)="","",INDEX('Per Invoice'!C$2:C$401,$U228)))</f>
        <v/>
      </c>
      <c r="D228">
        <f>IF($U228="","",IF(INDEX('Per Invoice'!D$2:D$401,$U228)="","",INDEX('Per Invoice'!D$2:D$401,$U228)))</f>
        <v/>
      </c>
      <c r="E228">
        <f>IF($U228="","",IF(INDEX('Per Invoice'!E$2:E$401,$U228)="","",INDEX('Per Invoice'!E$2:E$401,$U228)))</f>
        <v/>
      </c>
      <c r="F228">
        <f>IF($U228="","",IF(INDEX('Per Invoice'!F$2:F$401,$U228)="","",INDEX('Per Invoice'!F$2:F$401,$U228)))</f>
        <v/>
      </c>
      <c r="G228">
        <f>IF($U228="","",IF(INDEX('Per Invoice'!G$2:G$401,$U228)="","",INDEX('Per Invoice'!G$2:G$401,$U228)))</f>
        <v/>
      </c>
      <c r="H228" s="7">
        <f>IF($U228="","",IF(INDEX('Per Invoice'!H$2:H$401,$U228)="","",INDEX('Per Invoice'!H$2:H$401,$U228)))</f>
        <v/>
      </c>
      <c r="I228" s="14">
        <f>IF($U228="","",IF(INDEX('Per Invoice'!I$2:I$401,$U228)="","",INDEX('Per Invoice'!I$2:I$401,$U228)))</f>
        <v/>
      </c>
      <c r="J228">
        <f>IF($U228="","",IF(INDEX('Per Invoice'!J$2:J$401,$U228)="","",INDEX('Per Invoice'!J$2:J$401,$U228)))</f>
        <v/>
      </c>
      <c r="K228">
        <f>IF($U228="","",IF(INDEX('Per Invoice'!K$2:K$401,$U228)="","",INDEX('Per Invoice'!K$2:K$401,$U228)))</f>
        <v/>
      </c>
      <c r="L228" s="7">
        <f>IF($U228="","",IF(INDEX('Per Invoice'!L$2:L$401,$U228)="","",INDEX('Per Invoice'!L$2:L$401,$U228)))</f>
        <v/>
      </c>
      <c r="M228" s="7">
        <f>IF($U228="","",IF(INDEX('Per Invoice'!M$2:M$401,$U228)="","",INDEX('Per Invoice'!M$2:M$401,$U228)))</f>
        <v/>
      </c>
      <c r="N228">
        <f>IF($U228="","",IF(INDEX('Per Invoice'!N$2:N$401,$U228)="","",INDEX('Per Invoice'!N$2:N$401,$U228)))</f>
        <v/>
      </c>
      <c r="O228" s="7">
        <f>IF($U228="","",IF(INDEX('Per Invoice'!O$2:O$401,$U228)="","",INDEX('Per Invoice'!O$2:O$401,$U228)))</f>
        <v/>
      </c>
      <c r="P228" s="7">
        <f>IF($U228="","",IF(INDEX('Per Invoice'!P$2:P$401,$U228)="","",INDEX('Per Invoice'!P$2:P$401,$U228)))</f>
        <v/>
      </c>
      <c r="Q228" s="7">
        <f>IF($U228="","",IF(INDEX('Per Invoice'!Q$2:Q$401,$U228)="","",INDEX('Per Invoice'!Q$2:Q$401,$U228)))</f>
        <v/>
      </c>
      <c r="R228" s="7">
        <f>IF($U228="","",IF(INDEX('Per Invoice'!R$2:R$401,$U228)="","",INDEX('Per Invoice'!R$2:R$401,$U228)))</f>
        <v/>
      </c>
      <c r="S228" s="7">
        <f>IF($U228="","",IF(INDEX('Per Invoice'!S$2:S$401,$U228)="","",INDEX('Per Invoice'!S$2:S$401,$U228)))</f>
        <v/>
      </c>
      <c r="T228" s="7">
        <f>IF($U228="","",IF(INDEX('Per Invoice'!T$2:T$401,$U228)="","",INDEX('Per Invoice'!T$2:T$401,$U228)))</f>
        <v/>
      </c>
      <c r="U228" s="16">
        <f>IFERROR(MATCH(Settings!$C$29&amp;"|"&amp;ROWS($U$2:$U228),'Per Invoice'!$V$2:$V$401,0),"")</f>
        <v/>
      </c>
    </row>
    <row r="229">
      <c r="A229">
        <f>IF($U229="","",IF(INDEX('Per Invoice'!A$2:A$401,$U229)="","",INDEX('Per Invoice'!A$2:A$401,$U229)))</f>
        <v/>
      </c>
      <c r="B229">
        <f>IF($U229="","",IF(INDEX('Per Invoice'!B$2:B$401,$U229)="","",INDEX('Per Invoice'!B$2:B$401,$U229)))</f>
        <v/>
      </c>
      <c r="C229">
        <f>IF($U229="","",IF(INDEX('Per Invoice'!C$2:C$401,$U229)="","",INDEX('Per Invoice'!C$2:C$401,$U229)))</f>
        <v/>
      </c>
      <c r="D229">
        <f>IF($U229="","",IF(INDEX('Per Invoice'!D$2:D$401,$U229)="","",INDEX('Per Invoice'!D$2:D$401,$U229)))</f>
        <v/>
      </c>
      <c r="E229">
        <f>IF($U229="","",IF(INDEX('Per Invoice'!E$2:E$401,$U229)="","",INDEX('Per Invoice'!E$2:E$401,$U229)))</f>
        <v/>
      </c>
      <c r="F229">
        <f>IF($U229="","",IF(INDEX('Per Invoice'!F$2:F$401,$U229)="","",INDEX('Per Invoice'!F$2:F$401,$U229)))</f>
        <v/>
      </c>
      <c r="G229">
        <f>IF($U229="","",IF(INDEX('Per Invoice'!G$2:G$401,$U229)="","",INDEX('Per Invoice'!G$2:G$401,$U229)))</f>
        <v/>
      </c>
      <c r="H229" s="7">
        <f>IF($U229="","",IF(INDEX('Per Invoice'!H$2:H$401,$U229)="","",INDEX('Per Invoice'!H$2:H$401,$U229)))</f>
        <v/>
      </c>
      <c r="I229" s="14">
        <f>IF($U229="","",IF(INDEX('Per Invoice'!I$2:I$401,$U229)="","",INDEX('Per Invoice'!I$2:I$401,$U229)))</f>
        <v/>
      </c>
      <c r="J229">
        <f>IF($U229="","",IF(INDEX('Per Invoice'!J$2:J$401,$U229)="","",INDEX('Per Invoice'!J$2:J$401,$U229)))</f>
        <v/>
      </c>
      <c r="K229">
        <f>IF($U229="","",IF(INDEX('Per Invoice'!K$2:K$401,$U229)="","",INDEX('Per Invoice'!K$2:K$401,$U229)))</f>
        <v/>
      </c>
      <c r="L229" s="7">
        <f>IF($U229="","",IF(INDEX('Per Invoice'!L$2:L$401,$U229)="","",INDEX('Per Invoice'!L$2:L$401,$U229)))</f>
        <v/>
      </c>
      <c r="M229" s="7">
        <f>IF($U229="","",IF(INDEX('Per Invoice'!M$2:M$401,$U229)="","",INDEX('Per Invoice'!M$2:M$401,$U229)))</f>
        <v/>
      </c>
      <c r="N229">
        <f>IF($U229="","",IF(INDEX('Per Invoice'!N$2:N$401,$U229)="","",INDEX('Per Invoice'!N$2:N$401,$U229)))</f>
        <v/>
      </c>
      <c r="O229" s="7">
        <f>IF($U229="","",IF(INDEX('Per Invoice'!O$2:O$401,$U229)="","",INDEX('Per Invoice'!O$2:O$401,$U229)))</f>
        <v/>
      </c>
      <c r="P229" s="7">
        <f>IF($U229="","",IF(INDEX('Per Invoice'!P$2:P$401,$U229)="","",INDEX('Per Invoice'!P$2:P$401,$U229)))</f>
        <v/>
      </c>
      <c r="Q229" s="7">
        <f>IF($U229="","",IF(INDEX('Per Invoice'!Q$2:Q$401,$U229)="","",INDEX('Per Invoice'!Q$2:Q$401,$U229)))</f>
        <v/>
      </c>
      <c r="R229" s="7">
        <f>IF($U229="","",IF(INDEX('Per Invoice'!R$2:R$401,$U229)="","",INDEX('Per Invoice'!R$2:R$401,$U229)))</f>
        <v/>
      </c>
      <c r="S229" s="7">
        <f>IF($U229="","",IF(INDEX('Per Invoice'!S$2:S$401,$U229)="","",INDEX('Per Invoice'!S$2:S$401,$U229)))</f>
        <v/>
      </c>
      <c r="T229" s="7">
        <f>IF($U229="","",IF(INDEX('Per Invoice'!T$2:T$401,$U229)="","",INDEX('Per Invoice'!T$2:T$401,$U229)))</f>
        <v/>
      </c>
      <c r="U229" s="16">
        <f>IFERROR(MATCH(Settings!$C$29&amp;"|"&amp;ROWS($U$2:$U229),'Per Invoice'!$V$2:$V$401,0),"")</f>
        <v/>
      </c>
    </row>
    <row r="230">
      <c r="A230">
        <f>IF($U230="","",IF(INDEX('Per Invoice'!A$2:A$401,$U230)="","",INDEX('Per Invoice'!A$2:A$401,$U230)))</f>
        <v/>
      </c>
      <c r="B230">
        <f>IF($U230="","",IF(INDEX('Per Invoice'!B$2:B$401,$U230)="","",INDEX('Per Invoice'!B$2:B$401,$U230)))</f>
        <v/>
      </c>
      <c r="C230">
        <f>IF($U230="","",IF(INDEX('Per Invoice'!C$2:C$401,$U230)="","",INDEX('Per Invoice'!C$2:C$401,$U230)))</f>
        <v/>
      </c>
      <c r="D230">
        <f>IF($U230="","",IF(INDEX('Per Invoice'!D$2:D$401,$U230)="","",INDEX('Per Invoice'!D$2:D$401,$U230)))</f>
        <v/>
      </c>
      <c r="E230">
        <f>IF($U230="","",IF(INDEX('Per Invoice'!E$2:E$401,$U230)="","",INDEX('Per Invoice'!E$2:E$401,$U230)))</f>
        <v/>
      </c>
      <c r="F230">
        <f>IF($U230="","",IF(INDEX('Per Invoice'!F$2:F$401,$U230)="","",INDEX('Per Invoice'!F$2:F$401,$U230)))</f>
        <v/>
      </c>
      <c r="G230">
        <f>IF($U230="","",IF(INDEX('Per Invoice'!G$2:G$401,$U230)="","",INDEX('Per Invoice'!G$2:G$401,$U230)))</f>
        <v/>
      </c>
      <c r="H230" s="7">
        <f>IF($U230="","",IF(INDEX('Per Invoice'!H$2:H$401,$U230)="","",INDEX('Per Invoice'!H$2:H$401,$U230)))</f>
        <v/>
      </c>
      <c r="I230" s="14">
        <f>IF($U230="","",IF(INDEX('Per Invoice'!I$2:I$401,$U230)="","",INDEX('Per Invoice'!I$2:I$401,$U230)))</f>
        <v/>
      </c>
      <c r="J230">
        <f>IF($U230="","",IF(INDEX('Per Invoice'!J$2:J$401,$U230)="","",INDEX('Per Invoice'!J$2:J$401,$U230)))</f>
        <v/>
      </c>
      <c r="K230">
        <f>IF($U230="","",IF(INDEX('Per Invoice'!K$2:K$401,$U230)="","",INDEX('Per Invoice'!K$2:K$401,$U230)))</f>
        <v/>
      </c>
      <c r="L230" s="7">
        <f>IF($U230="","",IF(INDEX('Per Invoice'!L$2:L$401,$U230)="","",INDEX('Per Invoice'!L$2:L$401,$U230)))</f>
        <v/>
      </c>
      <c r="M230" s="7">
        <f>IF($U230="","",IF(INDEX('Per Invoice'!M$2:M$401,$U230)="","",INDEX('Per Invoice'!M$2:M$401,$U230)))</f>
        <v/>
      </c>
      <c r="N230">
        <f>IF($U230="","",IF(INDEX('Per Invoice'!N$2:N$401,$U230)="","",INDEX('Per Invoice'!N$2:N$401,$U230)))</f>
        <v/>
      </c>
      <c r="O230" s="7">
        <f>IF($U230="","",IF(INDEX('Per Invoice'!O$2:O$401,$U230)="","",INDEX('Per Invoice'!O$2:O$401,$U230)))</f>
        <v/>
      </c>
      <c r="P230" s="7">
        <f>IF($U230="","",IF(INDEX('Per Invoice'!P$2:P$401,$U230)="","",INDEX('Per Invoice'!P$2:P$401,$U230)))</f>
        <v/>
      </c>
      <c r="Q230" s="7">
        <f>IF($U230="","",IF(INDEX('Per Invoice'!Q$2:Q$401,$U230)="","",INDEX('Per Invoice'!Q$2:Q$401,$U230)))</f>
        <v/>
      </c>
      <c r="R230" s="7">
        <f>IF($U230="","",IF(INDEX('Per Invoice'!R$2:R$401,$U230)="","",INDEX('Per Invoice'!R$2:R$401,$U230)))</f>
        <v/>
      </c>
      <c r="S230" s="7">
        <f>IF($U230="","",IF(INDEX('Per Invoice'!S$2:S$401,$U230)="","",INDEX('Per Invoice'!S$2:S$401,$U230)))</f>
        <v/>
      </c>
      <c r="T230" s="7">
        <f>IF($U230="","",IF(INDEX('Per Invoice'!T$2:T$401,$U230)="","",INDEX('Per Invoice'!T$2:T$401,$U230)))</f>
        <v/>
      </c>
      <c r="U230" s="16">
        <f>IFERROR(MATCH(Settings!$C$29&amp;"|"&amp;ROWS($U$2:$U230),'Per Invoice'!$V$2:$V$401,0),"")</f>
        <v/>
      </c>
    </row>
    <row r="231">
      <c r="A231">
        <f>IF($U231="","",IF(INDEX('Per Invoice'!A$2:A$401,$U231)="","",INDEX('Per Invoice'!A$2:A$401,$U231)))</f>
        <v/>
      </c>
      <c r="B231">
        <f>IF($U231="","",IF(INDEX('Per Invoice'!B$2:B$401,$U231)="","",INDEX('Per Invoice'!B$2:B$401,$U231)))</f>
        <v/>
      </c>
      <c r="C231">
        <f>IF($U231="","",IF(INDEX('Per Invoice'!C$2:C$401,$U231)="","",INDEX('Per Invoice'!C$2:C$401,$U231)))</f>
        <v/>
      </c>
      <c r="D231">
        <f>IF($U231="","",IF(INDEX('Per Invoice'!D$2:D$401,$U231)="","",INDEX('Per Invoice'!D$2:D$401,$U231)))</f>
        <v/>
      </c>
      <c r="E231">
        <f>IF($U231="","",IF(INDEX('Per Invoice'!E$2:E$401,$U231)="","",INDEX('Per Invoice'!E$2:E$401,$U231)))</f>
        <v/>
      </c>
      <c r="F231">
        <f>IF($U231="","",IF(INDEX('Per Invoice'!F$2:F$401,$U231)="","",INDEX('Per Invoice'!F$2:F$401,$U231)))</f>
        <v/>
      </c>
      <c r="G231">
        <f>IF($U231="","",IF(INDEX('Per Invoice'!G$2:G$401,$U231)="","",INDEX('Per Invoice'!G$2:G$401,$U231)))</f>
        <v/>
      </c>
      <c r="H231" s="7">
        <f>IF($U231="","",IF(INDEX('Per Invoice'!H$2:H$401,$U231)="","",INDEX('Per Invoice'!H$2:H$401,$U231)))</f>
        <v/>
      </c>
      <c r="I231" s="14">
        <f>IF($U231="","",IF(INDEX('Per Invoice'!I$2:I$401,$U231)="","",INDEX('Per Invoice'!I$2:I$401,$U231)))</f>
        <v/>
      </c>
      <c r="J231">
        <f>IF($U231="","",IF(INDEX('Per Invoice'!J$2:J$401,$U231)="","",INDEX('Per Invoice'!J$2:J$401,$U231)))</f>
        <v/>
      </c>
      <c r="K231">
        <f>IF($U231="","",IF(INDEX('Per Invoice'!K$2:K$401,$U231)="","",INDEX('Per Invoice'!K$2:K$401,$U231)))</f>
        <v/>
      </c>
      <c r="L231" s="7">
        <f>IF($U231="","",IF(INDEX('Per Invoice'!L$2:L$401,$U231)="","",INDEX('Per Invoice'!L$2:L$401,$U231)))</f>
        <v/>
      </c>
      <c r="M231" s="7">
        <f>IF($U231="","",IF(INDEX('Per Invoice'!M$2:M$401,$U231)="","",INDEX('Per Invoice'!M$2:M$401,$U231)))</f>
        <v/>
      </c>
      <c r="N231">
        <f>IF($U231="","",IF(INDEX('Per Invoice'!N$2:N$401,$U231)="","",INDEX('Per Invoice'!N$2:N$401,$U231)))</f>
        <v/>
      </c>
      <c r="O231" s="7">
        <f>IF($U231="","",IF(INDEX('Per Invoice'!O$2:O$401,$U231)="","",INDEX('Per Invoice'!O$2:O$401,$U231)))</f>
        <v/>
      </c>
      <c r="P231" s="7">
        <f>IF($U231="","",IF(INDEX('Per Invoice'!P$2:P$401,$U231)="","",INDEX('Per Invoice'!P$2:P$401,$U231)))</f>
        <v/>
      </c>
      <c r="Q231" s="7">
        <f>IF($U231="","",IF(INDEX('Per Invoice'!Q$2:Q$401,$U231)="","",INDEX('Per Invoice'!Q$2:Q$401,$U231)))</f>
        <v/>
      </c>
      <c r="R231" s="7">
        <f>IF($U231="","",IF(INDEX('Per Invoice'!R$2:R$401,$U231)="","",INDEX('Per Invoice'!R$2:R$401,$U231)))</f>
        <v/>
      </c>
      <c r="S231" s="7">
        <f>IF($U231="","",IF(INDEX('Per Invoice'!S$2:S$401,$U231)="","",INDEX('Per Invoice'!S$2:S$401,$U231)))</f>
        <v/>
      </c>
      <c r="T231" s="7">
        <f>IF($U231="","",IF(INDEX('Per Invoice'!T$2:T$401,$U231)="","",INDEX('Per Invoice'!T$2:T$401,$U231)))</f>
        <v/>
      </c>
      <c r="U231" s="16">
        <f>IFERROR(MATCH(Settings!$C$29&amp;"|"&amp;ROWS($U$2:$U231),'Per Invoice'!$V$2:$V$401,0),"")</f>
        <v/>
      </c>
    </row>
    <row r="232">
      <c r="A232">
        <f>IF($U232="","",IF(INDEX('Per Invoice'!A$2:A$401,$U232)="","",INDEX('Per Invoice'!A$2:A$401,$U232)))</f>
        <v/>
      </c>
      <c r="B232">
        <f>IF($U232="","",IF(INDEX('Per Invoice'!B$2:B$401,$U232)="","",INDEX('Per Invoice'!B$2:B$401,$U232)))</f>
        <v/>
      </c>
      <c r="C232">
        <f>IF($U232="","",IF(INDEX('Per Invoice'!C$2:C$401,$U232)="","",INDEX('Per Invoice'!C$2:C$401,$U232)))</f>
        <v/>
      </c>
      <c r="D232">
        <f>IF($U232="","",IF(INDEX('Per Invoice'!D$2:D$401,$U232)="","",INDEX('Per Invoice'!D$2:D$401,$U232)))</f>
        <v/>
      </c>
      <c r="E232">
        <f>IF($U232="","",IF(INDEX('Per Invoice'!E$2:E$401,$U232)="","",INDEX('Per Invoice'!E$2:E$401,$U232)))</f>
        <v/>
      </c>
      <c r="F232">
        <f>IF($U232="","",IF(INDEX('Per Invoice'!F$2:F$401,$U232)="","",INDEX('Per Invoice'!F$2:F$401,$U232)))</f>
        <v/>
      </c>
      <c r="G232">
        <f>IF($U232="","",IF(INDEX('Per Invoice'!G$2:G$401,$U232)="","",INDEX('Per Invoice'!G$2:G$401,$U232)))</f>
        <v/>
      </c>
      <c r="H232" s="7">
        <f>IF($U232="","",IF(INDEX('Per Invoice'!H$2:H$401,$U232)="","",INDEX('Per Invoice'!H$2:H$401,$U232)))</f>
        <v/>
      </c>
      <c r="I232" s="14">
        <f>IF($U232="","",IF(INDEX('Per Invoice'!I$2:I$401,$U232)="","",INDEX('Per Invoice'!I$2:I$401,$U232)))</f>
        <v/>
      </c>
      <c r="J232">
        <f>IF($U232="","",IF(INDEX('Per Invoice'!J$2:J$401,$U232)="","",INDEX('Per Invoice'!J$2:J$401,$U232)))</f>
        <v/>
      </c>
      <c r="K232">
        <f>IF($U232="","",IF(INDEX('Per Invoice'!K$2:K$401,$U232)="","",INDEX('Per Invoice'!K$2:K$401,$U232)))</f>
        <v/>
      </c>
      <c r="L232" s="7">
        <f>IF($U232="","",IF(INDEX('Per Invoice'!L$2:L$401,$U232)="","",INDEX('Per Invoice'!L$2:L$401,$U232)))</f>
        <v/>
      </c>
      <c r="M232" s="7">
        <f>IF($U232="","",IF(INDEX('Per Invoice'!M$2:M$401,$U232)="","",INDEX('Per Invoice'!M$2:M$401,$U232)))</f>
        <v/>
      </c>
      <c r="N232">
        <f>IF($U232="","",IF(INDEX('Per Invoice'!N$2:N$401,$U232)="","",INDEX('Per Invoice'!N$2:N$401,$U232)))</f>
        <v/>
      </c>
      <c r="O232" s="7">
        <f>IF($U232="","",IF(INDEX('Per Invoice'!O$2:O$401,$U232)="","",INDEX('Per Invoice'!O$2:O$401,$U232)))</f>
        <v/>
      </c>
      <c r="P232" s="7">
        <f>IF($U232="","",IF(INDEX('Per Invoice'!P$2:P$401,$U232)="","",INDEX('Per Invoice'!P$2:P$401,$U232)))</f>
        <v/>
      </c>
      <c r="Q232" s="7">
        <f>IF($U232="","",IF(INDEX('Per Invoice'!Q$2:Q$401,$U232)="","",INDEX('Per Invoice'!Q$2:Q$401,$U232)))</f>
        <v/>
      </c>
      <c r="R232" s="7">
        <f>IF($U232="","",IF(INDEX('Per Invoice'!R$2:R$401,$U232)="","",INDEX('Per Invoice'!R$2:R$401,$U232)))</f>
        <v/>
      </c>
      <c r="S232" s="7">
        <f>IF($U232="","",IF(INDEX('Per Invoice'!S$2:S$401,$U232)="","",INDEX('Per Invoice'!S$2:S$401,$U232)))</f>
        <v/>
      </c>
      <c r="T232" s="7">
        <f>IF($U232="","",IF(INDEX('Per Invoice'!T$2:T$401,$U232)="","",INDEX('Per Invoice'!T$2:T$401,$U232)))</f>
        <v/>
      </c>
      <c r="U232" s="16">
        <f>IFERROR(MATCH(Settings!$C$29&amp;"|"&amp;ROWS($U$2:$U232),'Per Invoice'!$V$2:$V$401,0),"")</f>
        <v/>
      </c>
    </row>
    <row r="233">
      <c r="A233">
        <f>IF($U233="","",IF(INDEX('Per Invoice'!A$2:A$401,$U233)="","",INDEX('Per Invoice'!A$2:A$401,$U233)))</f>
        <v/>
      </c>
      <c r="B233">
        <f>IF($U233="","",IF(INDEX('Per Invoice'!B$2:B$401,$U233)="","",INDEX('Per Invoice'!B$2:B$401,$U233)))</f>
        <v/>
      </c>
      <c r="C233">
        <f>IF($U233="","",IF(INDEX('Per Invoice'!C$2:C$401,$U233)="","",INDEX('Per Invoice'!C$2:C$401,$U233)))</f>
        <v/>
      </c>
      <c r="D233">
        <f>IF($U233="","",IF(INDEX('Per Invoice'!D$2:D$401,$U233)="","",INDEX('Per Invoice'!D$2:D$401,$U233)))</f>
        <v/>
      </c>
      <c r="E233">
        <f>IF($U233="","",IF(INDEX('Per Invoice'!E$2:E$401,$U233)="","",INDEX('Per Invoice'!E$2:E$401,$U233)))</f>
        <v/>
      </c>
      <c r="F233">
        <f>IF($U233="","",IF(INDEX('Per Invoice'!F$2:F$401,$U233)="","",INDEX('Per Invoice'!F$2:F$401,$U233)))</f>
        <v/>
      </c>
      <c r="G233">
        <f>IF($U233="","",IF(INDEX('Per Invoice'!G$2:G$401,$U233)="","",INDEX('Per Invoice'!G$2:G$401,$U233)))</f>
        <v/>
      </c>
      <c r="H233" s="7">
        <f>IF($U233="","",IF(INDEX('Per Invoice'!H$2:H$401,$U233)="","",INDEX('Per Invoice'!H$2:H$401,$U233)))</f>
        <v/>
      </c>
      <c r="I233" s="14">
        <f>IF($U233="","",IF(INDEX('Per Invoice'!I$2:I$401,$U233)="","",INDEX('Per Invoice'!I$2:I$401,$U233)))</f>
        <v/>
      </c>
      <c r="J233">
        <f>IF($U233="","",IF(INDEX('Per Invoice'!J$2:J$401,$U233)="","",INDEX('Per Invoice'!J$2:J$401,$U233)))</f>
        <v/>
      </c>
      <c r="K233">
        <f>IF($U233="","",IF(INDEX('Per Invoice'!K$2:K$401,$U233)="","",INDEX('Per Invoice'!K$2:K$401,$U233)))</f>
        <v/>
      </c>
      <c r="L233" s="7">
        <f>IF($U233="","",IF(INDEX('Per Invoice'!L$2:L$401,$U233)="","",INDEX('Per Invoice'!L$2:L$401,$U233)))</f>
        <v/>
      </c>
      <c r="M233" s="7">
        <f>IF($U233="","",IF(INDEX('Per Invoice'!M$2:M$401,$U233)="","",INDEX('Per Invoice'!M$2:M$401,$U233)))</f>
        <v/>
      </c>
      <c r="N233">
        <f>IF($U233="","",IF(INDEX('Per Invoice'!N$2:N$401,$U233)="","",INDEX('Per Invoice'!N$2:N$401,$U233)))</f>
        <v/>
      </c>
      <c r="O233" s="7">
        <f>IF($U233="","",IF(INDEX('Per Invoice'!O$2:O$401,$U233)="","",INDEX('Per Invoice'!O$2:O$401,$U233)))</f>
        <v/>
      </c>
      <c r="P233" s="7">
        <f>IF($U233="","",IF(INDEX('Per Invoice'!P$2:P$401,$U233)="","",INDEX('Per Invoice'!P$2:P$401,$U233)))</f>
        <v/>
      </c>
      <c r="Q233" s="7">
        <f>IF($U233="","",IF(INDEX('Per Invoice'!Q$2:Q$401,$U233)="","",INDEX('Per Invoice'!Q$2:Q$401,$U233)))</f>
        <v/>
      </c>
      <c r="R233" s="7">
        <f>IF($U233="","",IF(INDEX('Per Invoice'!R$2:R$401,$U233)="","",INDEX('Per Invoice'!R$2:R$401,$U233)))</f>
        <v/>
      </c>
      <c r="S233" s="7">
        <f>IF($U233="","",IF(INDEX('Per Invoice'!S$2:S$401,$U233)="","",INDEX('Per Invoice'!S$2:S$401,$U233)))</f>
        <v/>
      </c>
      <c r="T233" s="7">
        <f>IF($U233="","",IF(INDEX('Per Invoice'!T$2:T$401,$U233)="","",INDEX('Per Invoice'!T$2:T$401,$U233)))</f>
        <v/>
      </c>
      <c r="U233" s="16">
        <f>IFERROR(MATCH(Settings!$C$29&amp;"|"&amp;ROWS($U$2:$U233),'Per Invoice'!$V$2:$V$401,0),"")</f>
        <v/>
      </c>
    </row>
    <row r="234">
      <c r="A234">
        <f>IF($U234="","",IF(INDEX('Per Invoice'!A$2:A$401,$U234)="","",INDEX('Per Invoice'!A$2:A$401,$U234)))</f>
        <v/>
      </c>
      <c r="B234">
        <f>IF($U234="","",IF(INDEX('Per Invoice'!B$2:B$401,$U234)="","",INDEX('Per Invoice'!B$2:B$401,$U234)))</f>
        <v/>
      </c>
      <c r="C234">
        <f>IF($U234="","",IF(INDEX('Per Invoice'!C$2:C$401,$U234)="","",INDEX('Per Invoice'!C$2:C$401,$U234)))</f>
        <v/>
      </c>
      <c r="D234">
        <f>IF($U234="","",IF(INDEX('Per Invoice'!D$2:D$401,$U234)="","",INDEX('Per Invoice'!D$2:D$401,$U234)))</f>
        <v/>
      </c>
      <c r="E234">
        <f>IF($U234="","",IF(INDEX('Per Invoice'!E$2:E$401,$U234)="","",INDEX('Per Invoice'!E$2:E$401,$U234)))</f>
        <v/>
      </c>
      <c r="F234">
        <f>IF($U234="","",IF(INDEX('Per Invoice'!F$2:F$401,$U234)="","",INDEX('Per Invoice'!F$2:F$401,$U234)))</f>
        <v/>
      </c>
      <c r="G234">
        <f>IF($U234="","",IF(INDEX('Per Invoice'!G$2:G$401,$U234)="","",INDEX('Per Invoice'!G$2:G$401,$U234)))</f>
        <v/>
      </c>
      <c r="H234" s="7">
        <f>IF($U234="","",IF(INDEX('Per Invoice'!H$2:H$401,$U234)="","",INDEX('Per Invoice'!H$2:H$401,$U234)))</f>
        <v/>
      </c>
      <c r="I234" s="14">
        <f>IF($U234="","",IF(INDEX('Per Invoice'!I$2:I$401,$U234)="","",INDEX('Per Invoice'!I$2:I$401,$U234)))</f>
        <v/>
      </c>
      <c r="J234">
        <f>IF($U234="","",IF(INDEX('Per Invoice'!J$2:J$401,$U234)="","",INDEX('Per Invoice'!J$2:J$401,$U234)))</f>
        <v/>
      </c>
      <c r="K234">
        <f>IF($U234="","",IF(INDEX('Per Invoice'!K$2:K$401,$U234)="","",INDEX('Per Invoice'!K$2:K$401,$U234)))</f>
        <v/>
      </c>
      <c r="L234" s="7">
        <f>IF($U234="","",IF(INDEX('Per Invoice'!L$2:L$401,$U234)="","",INDEX('Per Invoice'!L$2:L$401,$U234)))</f>
        <v/>
      </c>
      <c r="M234" s="7">
        <f>IF($U234="","",IF(INDEX('Per Invoice'!M$2:M$401,$U234)="","",INDEX('Per Invoice'!M$2:M$401,$U234)))</f>
        <v/>
      </c>
      <c r="N234">
        <f>IF($U234="","",IF(INDEX('Per Invoice'!N$2:N$401,$U234)="","",INDEX('Per Invoice'!N$2:N$401,$U234)))</f>
        <v/>
      </c>
      <c r="O234" s="7">
        <f>IF($U234="","",IF(INDEX('Per Invoice'!O$2:O$401,$U234)="","",INDEX('Per Invoice'!O$2:O$401,$U234)))</f>
        <v/>
      </c>
      <c r="P234" s="7">
        <f>IF($U234="","",IF(INDEX('Per Invoice'!P$2:P$401,$U234)="","",INDEX('Per Invoice'!P$2:P$401,$U234)))</f>
        <v/>
      </c>
      <c r="Q234" s="7">
        <f>IF($U234="","",IF(INDEX('Per Invoice'!Q$2:Q$401,$U234)="","",INDEX('Per Invoice'!Q$2:Q$401,$U234)))</f>
        <v/>
      </c>
      <c r="R234" s="7">
        <f>IF($U234="","",IF(INDEX('Per Invoice'!R$2:R$401,$U234)="","",INDEX('Per Invoice'!R$2:R$401,$U234)))</f>
        <v/>
      </c>
      <c r="S234" s="7">
        <f>IF($U234="","",IF(INDEX('Per Invoice'!S$2:S$401,$U234)="","",INDEX('Per Invoice'!S$2:S$401,$U234)))</f>
        <v/>
      </c>
      <c r="T234" s="7">
        <f>IF($U234="","",IF(INDEX('Per Invoice'!T$2:T$401,$U234)="","",INDEX('Per Invoice'!T$2:T$401,$U234)))</f>
        <v/>
      </c>
      <c r="U234" s="16">
        <f>IFERROR(MATCH(Settings!$C$29&amp;"|"&amp;ROWS($U$2:$U234),'Per Invoice'!$V$2:$V$401,0),"")</f>
        <v/>
      </c>
    </row>
    <row r="235">
      <c r="A235">
        <f>IF($U235="","",IF(INDEX('Per Invoice'!A$2:A$401,$U235)="","",INDEX('Per Invoice'!A$2:A$401,$U235)))</f>
        <v/>
      </c>
      <c r="B235">
        <f>IF($U235="","",IF(INDEX('Per Invoice'!B$2:B$401,$U235)="","",INDEX('Per Invoice'!B$2:B$401,$U235)))</f>
        <v/>
      </c>
      <c r="C235">
        <f>IF($U235="","",IF(INDEX('Per Invoice'!C$2:C$401,$U235)="","",INDEX('Per Invoice'!C$2:C$401,$U235)))</f>
        <v/>
      </c>
      <c r="D235">
        <f>IF($U235="","",IF(INDEX('Per Invoice'!D$2:D$401,$U235)="","",INDEX('Per Invoice'!D$2:D$401,$U235)))</f>
        <v/>
      </c>
      <c r="E235">
        <f>IF($U235="","",IF(INDEX('Per Invoice'!E$2:E$401,$U235)="","",INDEX('Per Invoice'!E$2:E$401,$U235)))</f>
        <v/>
      </c>
      <c r="F235">
        <f>IF($U235="","",IF(INDEX('Per Invoice'!F$2:F$401,$U235)="","",INDEX('Per Invoice'!F$2:F$401,$U235)))</f>
        <v/>
      </c>
      <c r="G235">
        <f>IF($U235="","",IF(INDEX('Per Invoice'!G$2:G$401,$U235)="","",INDEX('Per Invoice'!G$2:G$401,$U235)))</f>
        <v/>
      </c>
      <c r="H235" s="7">
        <f>IF($U235="","",IF(INDEX('Per Invoice'!H$2:H$401,$U235)="","",INDEX('Per Invoice'!H$2:H$401,$U235)))</f>
        <v/>
      </c>
      <c r="I235" s="14">
        <f>IF($U235="","",IF(INDEX('Per Invoice'!I$2:I$401,$U235)="","",INDEX('Per Invoice'!I$2:I$401,$U235)))</f>
        <v/>
      </c>
      <c r="J235">
        <f>IF($U235="","",IF(INDEX('Per Invoice'!J$2:J$401,$U235)="","",INDEX('Per Invoice'!J$2:J$401,$U235)))</f>
        <v/>
      </c>
      <c r="K235">
        <f>IF($U235="","",IF(INDEX('Per Invoice'!K$2:K$401,$U235)="","",INDEX('Per Invoice'!K$2:K$401,$U235)))</f>
        <v/>
      </c>
      <c r="L235" s="7">
        <f>IF($U235="","",IF(INDEX('Per Invoice'!L$2:L$401,$U235)="","",INDEX('Per Invoice'!L$2:L$401,$U235)))</f>
        <v/>
      </c>
      <c r="M235" s="7">
        <f>IF($U235="","",IF(INDEX('Per Invoice'!M$2:M$401,$U235)="","",INDEX('Per Invoice'!M$2:M$401,$U235)))</f>
        <v/>
      </c>
      <c r="N235">
        <f>IF($U235="","",IF(INDEX('Per Invoice'!N$2:N$401,$U235)="","",INDEX('Per Invoice'!N$2:N$401,$U235)))</f>
        <v/>
      </c>
      <c r="O235" s="7">
        <f>IF($U235="","",IF(INDEX('Per Invoice'!O$2:O$401,$U235)="","",INDEX('Per Invoice'!O$2:O$401,$U235)))</f>
        <v/>
      </c>
      <c r="P235" s="7">
        <f>IF($U235="","",IF(INDEX('Per Invoice'!P$2:P$401,$U235)="","",INDEX('Per Invoice'!P$2:P$401,$U235)))</f>
        <v/>
      </c>
      <c r="Q235" s="7">
        <f>IF($U235="","",IF(INDEX('Per Invoice'!Q$2:Q$401,$U235)="","",INDEX('Per Invoice'!Q$2:Q$401,$U235)))</f>
        <v/>
      </c>
      <c r="R235" s="7">
        <f>IF($U235="","",IF(INDEX('Per Invoice'!R$2:R$401,$U235)="","",INDEX('Per Invoice'!R$2:R$401,$U235)))</f>
        <v/>
      </c>
      <c r="S235" s="7">
        <f>IF($U235="","",IF(INDEX('Per Invoice'!S$2:S$401,$U235)="","",INDEX('Per Invoice'!S$2:S$401,$U235)))</f>
        <v/>
      </c>
      <c r="T235" s="7">
        <f>IF($U235="","",IF(INDEX('Per Invoice'!T$2:T$401,$U235)="","",INDEX('Per Invoice'!T$2:T$401,$U235)))</f>
        <v/>
      </c>
      <c r="U235" s="16">
        <f>IFERROR(MATCH(Settings!$C$29&amp;"|"&amp;ROWS($U$2:$U235),'Per Invoice'!$V$2:$V$401,0),"")</f>
        <v/>
      </c>
    </row>
    <row r="236">
      <c r="A236">
        <f>IF($U236="","",IF(INDEX('Per Invoice'!A$2:A$401,$U236)="","",INDEX('Per Invoice'!A$2:A$401,$U236)))</f>
        <v/>
      </c>
      <c r="B236">
        <f>IF($U236="","",IF(INDEX('Per Invoice'!B$2:B$401,$U236)="","",INDEX('Per Invoice'!B$2:B$401,$U236)))</f>
        <v/>
      </c>
      <c r="C236">
        <f>IF($U236="","",IF(INDEX('Per Invoice'!C$2:C$401,$U236)="","",INDEX('Per Invoice'!C$2:C$401,$U236)))</f>
        <v/>
      </c>
      <c r="D236">
        <f>IF($U236="","",IF(INDEX('Per Invoice'!D$2:D$401,$U236)="","",INDEX('Per Invoice'!D$2:D$401,$U236)))</f>
        <v/>
      </c>
      <c r="E236">
        <f>IF($U236="","",IF(INDEX('Per Invoice'!E$2:E$401,$U236)="","",INDEX('Per Invoice'!E$2:E$401,$U236)))</f>
        <v/>
      </c>
      <c r="F236">
        <f>IF($U236="","",IF(INDEX('Per Invoice'!F$2:F$401,$U236)="","",INDEX('Per Invoice'!F$2:F$401,$U236)))</f>
        <v/>
      </c>
      <c r="G236">
        <f>IF($U236="","",IF(INDEX('Per Invoice'!G$2:G$401,$U236)="","",INDEX('Per Invoice'!G$2:G$401,$U236)))</f>
        <v/>
      </c>
      <c r="H236" s="7">
        <f>IF($U236="","",IF(INDEX('Per Invoice'!H$2:H$401,$U236)="","",INDEX('Per Invoice'!H$2:H$401,$U236)))</f>
        <v/>
      </c>
      <c r="I236" s="14">
        <f>IF($U236="","",IF(INDEX('Per Invoice'!I$2:I$401,$U236)="","",INDEX('Per Invoice'!I$2:I$401,$U236)))</f>
        <v/>
      </c>
      <c r="J236">
        <f>IF($U236="","",IF(INDEX('Per Invoice'!J$2:J$401,$U236)="","",INDEX('Per Invoice'!J$2:J$401,$U236)))</f>
        <v/>
      </c>
      <c r="K236">
        <f>IF($U236="","",IF(INDEX('Per Invoice'!K$2:K$401,$U236)="","",INDEX('Per Invoice'!K$2:K$401,$U236)))</f>
        <v/>
      </c>
      <c r="L236" s="7">
        <f>IF($U236="","",IF(INDEX('Per Invoice'!L$2:L$401,$U236)="","",INDEX('Per Invoice'!L$2:L$401,$U236)))</f>
        <v/>
      </c>
      <c r="M236" s="7">
        <f>IF($U236="","",IF(INDEX('Per Invoice'!M$2:M$401,$U236)="","",INDEX('Per Invoice'!M$2:M$401,$U236)))</f>
        <v/>
      </c>
      <c r="N236">
        <f>IF($U236="","",IF(INDEX('Per Invoice'!N$2:N$401,$U236)="","",INDEX('Per Invoice'!N$2:N$401,$U236)))</f>
        <v/>
      </c>
      <c r="O236" s="7">
        <f>IF($U236="","",IF(INDEX('Per Invoice'!O$2:O$401,$U236)="","",INDEX('Per Invoice'!O$2:O$401,$U236)))</f>
        <v/>
      </c>
      <c r="P236" s="7">
        <f>IF($U236="","",IF(INDEX('Per Invoice'!P$2:P$401,$U236)="","",INDEX('Per Invoice'!P$2:P$401,$U236)))</f>
        <v/>
      </c>
      <c r="Q236" s="7">
        <f>IF($U236="","",IF(INDEX('Per Invoice'!Q$2:Q$401,$U236)="","",INDEX('Per Invoice'!Q$2:Q$401,$U236)))</f>
        <v/>
      </c>
      <c r="R236" s="7">
        <f>IF($U236="","",IF(INDEX('Per Invoice'!R$2:R$401,$U236)="","",INDEX('Per Invoice'!R$2:R$401,$U236)))</f>
        <v/>
      </c>
      <c r="S236" s="7">
        <f>IF($U236="","",IF(INDEX('Per Invoice'!S$2:S$401,$U236)="","",INDEX('Per Invoice'!S$2:S$401,$U236)))</f>
        <v/>
      </c>
      <c r="T236" s="7">
        <f>IF($U236="","",IF(INDEX('Per Invoice'!T$2:T$401,$U236)="","",INDEX('Per Invoice'!T$2:T$401,$U236)))</f>
        <v/>
      </c>
      <c r="U236" s="16">
        <f>IFERROR(MATCH(Settings!$C$29&amp;"|"&amp;ROWS($U$2:$U236),'Per Invoice'!$V$2:$V$401,0),"")</f>
        <v/>
      </c>
    </row>
    <row r="237">
      <c r="A237">
        <f>IF($U237="","",IF(INDEX('Per Invoice'!A$2:A$401,$U237)="","",INDEX('Per Invoice'!A$2:A$401,$U237)))</f>
        <v/>
      </c>
      <c r="B237">
        <f>IF($U237="","",IF(INDEX('Per Invoice'!B$2:B$401,$U237)="","",INDEX('Per Invoice'!B$2:B$401,$U237)))</f>
        <v/>
      </c>
      <c r="C237">
        <f>IF($U237="","",IF(INDEX('Per Invoice'!C$2:C$401,$U237)="","",INDEX('Per Invoice'!C$2:C$401,$U237)))</f>
        <v/>
      </c>
      <c r="D237">
        <f>IF($U237="","",IF(INDEX('Per Invoice'!D$2:D$401,$U237)="","",INDEX('Per Invoice'!D$2:D$401,$U237)))</f>
        <v/>
      </c>
      <c r="E237">
        <f>IF($U237="","",IF(INDEX('Per Invoice'!E$2:E$401,$U237)="","",INDEX('Per Invoice'!E$2:E$401,$U237)))</f>
        <v/>
      </c>
      <c r="F237">
        <f>IF($U237="","",IF(INDEX('Per Invoice'!F$2:F$401,$U237)="","",INDEX('Per Invoice'!F$2:F$401,$U237)))</f>
        <v/>
      </c>
      <c r="G237">
        <f>IF($U237="","",IF(INDEX('Per Invoice'!G$2:G$401,$U237)="","",INDEX('Per Invoice'!G$2:G$401,$U237)))</f>
        <v/>
      </c>
      <c r="H237" s="7">
        <f>IF($U237="","",IF(INDEX('Per Invoice'!H$2:H$401,$U237)="","",INDEX('Per Invoice'!H$2:H$401,$U237)))</f>
        <v/>
      </c>
      <c r="I237" s="14">
        <f>IF($U237="","",IF(INDEX('Per Invoice'!I$2:I$401,$U237)="","",INDEX('Per Invoice'!I$2:I$401,$U237)))</f>
        <v/>
      </c>
      <c r="J237">
        <f>IF($U237="","",IF(INDEX('Per Invoice'!J$2:J$401,$U237)="","",INDEX('Per Invoice'!J$2:J$401,$U237)))</f>
        <v/>
      </c>
      <c r="K237">
        <f>IF($U237="","",IF(INDEX('Per Invoice'!K$2:K$401,$U237)="","",INDEX('Per Invoice'!K$2:K$401,$U237)))</f>
        <v/>
      </c>
      <c r="L237" s="7">
        <f>IF($U237="","",IF(INDEX('Per Invoice'!L$2:L$401,$U237)="","",INDEX('Per Invoice'!L$2:L$401,$U237)))</f>
        <v/>
      </c>
      <c r="M237" s="7">
        <f>IF($U237="","",IF(INDEX('Per Invoice'!M$2:M$401,$U237)="","",INDEX('Per Invoice'!M$2:M$401,$U237)))</f>
        <v/>
      </c>
      <c r="N237">
        <f>IF($U237="","",IF(INDEX('Per Invoice'!N$2:N$401,$U237)="","",INDEX('Per Invoice'!N$2:N$401,$U237)))</f>
        <v/>
      </c>
      <c r="O237" s="7">
        <f>IF($U237="","",IF(INDEX('Per Invoice'!O$2:O$401,$U237)="","",INDEX('Per Invoice'!O$2:O$401,$U237)))</f>
        <v/>
      </c>
      <c r="P237" s="7">
        <f>IF($U237="","",IF(INDEX('Per Invoice'!P$2:P$401,$U237)="","",INDEX('Per Invoice'!P$2:P$401,$U237)))</f>
        <v/>
      </c>
      <c r="Q237" s="7">
        <f>IF($U237="","",IF(INDEX('Per Invoice'!Q$2:Q$401,$U237)="","",INDEX('Per Invoice'!Q$2:Q$401,$U237)))</f>
        <v/>
      </c>
      <c r="R237" s="7">
        <f>IF($U237="","",IF(INDEX('Per Invoice'!R$2:R$401,$U237)="","",INDEX('Per Invoice'!R$2:R$401,$U237)))</f>
        <v/>
      </c>
      <c r="S237" s="7">
        <f>IF($U237="","",IF(INDEX('Per Invoice'!S$2:S$401,$U237)="","",INDEX('Per Invoice'!S$2:S$401,$U237)))</f>
        <v/>
      </c>
      <c r="T237" s="7">
        <f>IF($U237="","",IF(INDEX('Per Invoice'!T$2:T$401,$U237)="","",INDEX('Per Invoice'!T$2:T$401,$U237)))</f>
        <v/>
      </c>
      <c r="U237" s="16">
        <f>IFERROR(MATCH(Settings!$C$29&amp;"|"&amp;ROWS($U$2:$U237),'Per Invoice'!$V$2:$V$401,0),"")</f>
        <v/>
      </c>
    </row>
    <row r="238">
      <c r="A238">
        <f>IF($U238="","",IF(INDEX('Per Invoice'!A$2:A$401,$U238)="","",INDEX('Per Invoice'!A$2:A$401,$U238)))</f>
        <v/>
      </c>
      <c r="B238">
        <f>IF($U238="","",IF(INDEX('Per Invoice'!B$2:B$401,$U238)="","",INDEX('Per Invoice'!B$2:B$401,$U238)))</f>
        <v/>
      </c>
      <c r="C238">
        <f>IF($U238="","",IF(INDEX('Per Invoice'!C$2:C$401,$U238)="","",INDEX('Per Invoice'!C$2:C$401,$U238)))</f>
        <v/>
      </c>
      <c r="D238">
        <f>IF($U238="","",IF(INDEX('Per Invoice'!D$2:D$401,$U238)="","",INDEX('Per Invoice'!D$2:D$401,$U238)))</f>
        <v/>
      </c>
      <c r="E238">
        <f>IF($U238="","",IF(INDEX('Per Invoice'!E$2:E$401,$U238)="","",INDEX('Per Invoice'!E$2:E$401,$U238)))</f>
        <v/>
      </c>
      <c r="F238">
        <f>IF($U238="","",IF(INDEX('Per Invoice'!F$2:F$401,$U238)="","",INDEX('Per Invoice'!F$2:F$401,$U238)))</f>
        <v/>
      </c>
      <c r="G238">
        <f>IF($U238="","",IF(INDEX('Per Invoice'!G$2:G$401,$U238)="","",INDEX('Per Invoice'!G$2:G$401,$U238)))</f>
        <v/>
      </c>
      <c r="H238" s="7">
        <f>IF($U238="","",IF(INDEX('Per Invoice'!H$2:H$401,$U238)="","",INDEX('Per Invoice'!H$2:H$401,$U238)))</f>
        <v/>
      </c>
      <c r="I238" s="14">
        <f>IF($U238="","",IF(INDEX('Per Invoice'!I$2:I$401,$U238)="","",INDEX('Per Invoice'!I$2:I$401,$U238)))</f>
        <v/>
      </c>
      <c r="J238">
        <f>IF($U238="","",IF(INDEX('Per Invoice'!J$2:J$401,$U238)="","",INDEX('Per Invoice'!J$2:J$401,$U238)))</f>
        <v/>
      </c>
      <c r="K238">
        <f>IF($U238="","",IF(INDEX('Per Invoice'!K$2:K$401,$U238)="","",INDEX('Per Invoice'!K$2:K$401,$U238)))</f>
        <v/>
      </c>
      <c r="L238" s="7">
        <f>IF($U238="","",IF(INDEX('Per Invoice'!L$2:L$401,$U238)="","",INDEX('Per Invoice'!L$2:L$401,$U238)))</f>
        <v/>
      </c>
      <c r="M238" s="7">
        <f>IF($U238="","",IF(INDEX('Per Invoice'!M$2:M$401,$U238)="","",INDEX('Per Invoice'!M$2:M$401,$U238)))</f>
        <v/>
      </c>
      <c r="N238">
        <f>IF($U238="","",IF(INDEX('Per Invoice'!N$2:N$401,$U238)="","",INDEX('Per Invoice'!N$2:N$401,$U238)))</f>
        <v/>
      </c>
      <c r="O238" s="7">
        <f>IF($U238="","",IF(INDEX('Per Invoice'!O$2:O$401,$U238)="","",INDEX('Per Invoice'!O$2:O$401,$U238)))</f>
        <v/>
      </c>
      <c r="P238" s="7">
        <f>IF($U238="","",IF(INDEX('Per Invoice'!P$2:P$401,$U238)="","",INDEX('Per Invoice'!P$2:P$401,$U238)))</f>
        <v/>
      </c>
      <c r="Q238" s="7">
        <f>IF($U238="","",IF(INDEX('Per Invoice'!Q$2:Q$401,$U238)="","",INDEX('Per Invoice'!Q$2:Q$401,$U238)))</f>
        <v/>
      </c>
      <c r="R238" s="7">
        <f>IF($U238="","",IF(INDEX('Per Invoice'!R$2:R$401,$U238)="","",INDEX('Per Invoice'!R$2:R$401,$U238)))</f>
        <v/>
      </c>
      <c r="S238" s="7">
        <f>IF($U238="","",IF(INDEX('Per Invoice'!S$2:S$401,$U238)="","",INDEX('Per Invoice'!S$2:S$401,$U238)))</f>
        <v/>
      </c>
      <c r="T238" s="7">
        <f>IF($U238="","",IF(INDEX('Per Invoice'!T$2:T$401,$U238)="","",INDEX('Per Invoice'!T$2:T$401,$U238)))</f>
        <v/>
      </c>
      <c r="U238" s="16">
        <f>IFERROR(MATCH(Settings!$C$29&amp;"|"&amp;ROWS($U$2:$U238),'Per Invoice'!$V$2:$V$401,0),"")</f>
        <v/>
      </c>
    </row>
    <row r="239">
      <c r="A239">
        <f>IF($U239="","",IF(INDEX('Per Invoice'!A$2:A$401,$U239)="","",INDEX('Per Invoice'!A$2:A$401,$U239)))</f>
        <v/>
      </c>
      <c r="B239">
        <f>IF($U239="","",IF(INDEX('Per Invoice'!B$2:B$401,$U239)="","",INDEX('Per Invoice'!B$2:B$401,$U239)))</f>
        <v/>
      </c>
      <c r="C239">
        <f>IF($U239="","",IF(INDEX('Per Invoice'!C$2:C$401,$U239)="","",INDEX('Per Invoice'!C$2:C$401,$U239)))</f>
        <v/>
      </c>
      <c r="D239">
        <f>IF($U239="","",IF(INDEX('Per Invoice'!D$2:D$401,$U239)="","",INDEX('Per Invoice'!D$2:D$401,$U239)))</f>
        <v/>
      </c>
      <c r="E239">
        <f>IF($U239="","",IF(INDEX('Per Invoice'!E$2:E$401,$U239)="","",INDEX('Per Invoice'!E$2:E$401,$U239)))</f>
        <v/>
      </c>
      <c r="F239">
        <f>IF($U239="","",IF(INDEX('Per Invoice'!F$2:F$401,$U239)="","",INDEX('Per Invoice'!F$2:F$401,$U239)))</f>
        <v/>
      </c>
      <c r="G239">
        <f>IF($U239="","",IF(INDEX('Per Invoice'!G$2:G$401,$U239)="","",INDEX('Per Invoice'!G$2:G$401,$U239)))</f>
        <v/>
      </c>
      <c r="H239" s="7">
        <f>IF($U239="","",IF(INDEX('Per Invoice'!H$2:H$401,$U239)="","",INDEX('Per Invoice'!H$2:H$401,$U239)))</f>
        <v/>
      </c>
      <c r="I239" s="14">
        <f>IF($U239="","",IF(INDEX('Per Invoice'!I$2:I$401,$U239)="","",INDEX('Per Invoice'!I$2:I$401,$U239)))</f>
        <v/>
      </c>
      <c r="J239">
        <f>IF($U239="","",IF(INDEX('Per Invoice'!J$2:J$401,$U239)="","",INDEX('Per Invoice'!J$2:J$401,$U239)))</f>
        <v/>
      </c>
      <c r="K239">
        <f>IF($U239="","",IF(INDEX('Per Invoice'!K$2:K$401,$U239)="","",INDEX('Per Invoice'!K$2:K$401,$U239)))</f>
        <v/>
      </c>
      <c r="L239" s="7">
        <f>IF($U239="","",IF(INDEX('Per Invoice'!L$2:L$401,$U239)="","",INDEX('Per Invoice'!L$2:L$401,$U239)))</f>
        <v/>
      </c>
      <c r="M239" s="7">
        <f>IF($U239="","",IF(INDEX('Per Invoice'!M$2:M$401,$U239)="","",INDEX('Per Invoice'!M$2:M$401,$U239)))</f>
        <v/>
      </c>
      <c r="N239">
        <f>IF($U239="","",IF(INDEX('Per Invoice'!N$2:N$401,$U239)="","",INDEX('Per Invoice'!N$2:N$401,$U239)))</f>
        <v/>
      </c>
      <c r="O239" s="7">
        <f>IF($U239="","",IF(INDEX('Per Invoice'!O$2:O$401,$U239)="","",INDEX('Per Invoice'!O$2:O$401,$U239)))</f>
        <v/>
      </c>
      <c r="P239" s="7">
        <f>IF($U239="","",IF(INDEX('Per Invoice'!P$2:P$401,$U239)="","",INDEX('Per Invoice'!P$2:P$401,$U239)))</f>
        <v/>
      </c>
      <c r="Q239" s="7">
        <f>IF($U239="","",IF(INDEX('Per Invoice'!Q$2:Q$401,$U239)="","",INDEX('Per Invoice'!Q$2:Q$401,$U239)))</f>
        <v/>
      </c>
      <c r="R239" s="7">
        <f>IF($U239="","",IF(INDEX('Per Invoice'!R$2:R$401,$U239)="","",INDEX('Per Invoice'!R$2:R$401,$U239)))</f>
        <v/>
      </c>
      <c r="S239" s="7">
        <f>IF($U239="","",IF(INDEX('Per Invoice'!S$2:S$401,$U239)="","",INDEX('Per Invoice'!S$2:S$401,$U239)))</f>
        <v/>
      </c>
      <c r="T239" s="7">
        <f>IF($U239="","",IF(INDEX('Per Invoice'!T$2:T$401,$U239)="","",INDEX('Per Invoice'!T$2:T$401,$U239)))</f>
        <v/>
      </c>
      <c r="U239" s="16">
        <f>IFERROR(MATCH(Settings!$C$29&amp;"|"&amp;ROWS($U$2:$U239),'Per Invoice'!$V$2:$V$401,0),"")</f>
        <v/>
      </c>
    </row>
    <row r="240">
      <c r="A240">
        <f>IF($U240="","",IF(INDEX('Per Invoice'!A$2:A$401,$U240)="","",INDEX('Per Invoice'!A$2:A$401,$U240)))</f>
        <v/>
      </c>
      <c r="B240">
        <f>IF($U240="","",IF(INDEX('Per Invoice'!B$2:B$401,$U240)="","",INDEX('Per Invoice'!B$2:B$401,$U240)))</f>
        <v/>
      </c>
      <c r="C240">
        <f>IF($U240="","",IF(INDEX('Per Invoice'!C$2:C$401,$U240)="","",INDEX('Per Invoice'!C$2:C$401,$U240)))</f>
        <v/>
      </c>
      <c r="D240">
        <f>IF($U240="","",IF(INDEX('Per Invoice'!D$2:D$401,$U240)="","",INDEX('Per Invoice'!D$2:D$401,$U240)))</f>
        <v/>
      </c>
      <c r="E240">
        <f>IF($U240="","",IF(INDEX('Per Invoice'!E$2:E$401,$U240)="","",INDEX('Per Invoice'!E$2:E$401,$U240)))</f>
        <v/>
      </c>
      <c r="F240">
        <f>IF($U240="","",IF(INDEX('Per Invoice'!F$2:F$401,$U240)="","",INDEX('Per Invoice'!F$2:F$401,$U240)))</f>
        <v/>
      </c>
      <c r="G240">
        <f>IF($U240="","",IF(INDEX('Per Invoice'!G$2:G$401,$U240)="","",INDEX('Per Invoice'!G$2:G$401,$U240)))</f>
        <v/>
      </c>
      <c r="H240" s="7">
        <f>IF($U240="","",IF(INDEX('Per Invoice'!H$2:H$401,$U240)="","",INDEX('Per Invoice'!H$2:H$401,$U240)))</f>
        <v/>
      </c>
      <c r="I240" s="14">
        <f>IF($U240="","",IF(INDEX('Per Invoice'!I$2:I$401,$U240)="","",INDEX('Per Invoice'!I$2:I$401,$U240)))</f>
        <v/>
      </c>
      <c r="J240">
        <f>IF($U240="","",IF(INDEX('Per Invoice'!J$2:J$401,$U240)="","",INDEX('Per Invoice'!J$2:J$401,$U240)))</f>
        <v/>
      </c>
      <c r="K240">
        <f>IF($U240="","",IF(INDEX('Per Invoice'!K$2:K$401,$U240)="","",INDEX('Per Invoice'!K$2:K$401,$U240)))</f>
        <v/>
      </c>
      <c r="L240" s="7">
        <f>IF($U240="","",IF(INDEX('Per Invoice'!L$2:L$401,$U240)="","",INDEX('Per Invoice'!L$2:L$401,$U240)))</f>
        <v/>
      </c>
      <c r="M240" s="7">
        <f>IF($U240="","",IF(INDEX('Per Invoice'!M$2:M$401,$U240)="","",INDEX('Per Invoice'!M$2:M$401,$U240)))</f>
        <v/>
      </c>
      <c r="N240">
        <f>IF($U240="","",IF(INDEX('Per Invoice'!N$2:N$401,$U240)="","",INDEX('Per Invoice'!N$2:N$401,$U240)))</f>
        <v/>
      </c>
      <c r="O240" s="7">
        <f>IF($U240="","",IF(INDEX('Per Invoice'!O$2:O$401,$U240)="","",INDEX('Per Invoice'!O$2:O$401,$U240)))</f>
        <v/>
      </c>
      <c r="P240" s="7">
        <f>IF($U240="","",IF(INDEX('Per Invoice'!P$2:P$401,$U240)="","",INDEX('Per Invoice'!P$2:P$401,$U240)))</f>
        <v/>
      </c>
      <c r="Q240" s="7">
        <f>IF($U240="","",IF(INDEX('Per Invoice'!Q$2:Q$401,$U240)="","",INDEX('Per Invoice'!Q$2:Q$401,$U240)))</f>
        <v/>
      </c>
      <c r="R240" s="7">
        <f>IF($U240="","",IF(INDEX('Per Invoice'!R$2:R$401,$U240)="","",INDEX('Per Invoice'!R$2:R$401,$U240)))</f>
        <v/>
      </c>
      <c r="S240" s="7">
        <f>IF($U240="","",IF(INDEX('Per Invoice'!S$2:S$401,$U240)="","",INDEX('Per Invoice'!S$2:S$401,$U240)))</f>
        <v/>
      </c>
      <c r="T240" s="7">
        <f>IF($U240="","",IF(INDEX('Per Invoice'!T$2:T$401,$U240)="","",INDEX('Per Invoice'!T$2:T$401,$U240)))</f>
        <v/>
      </c>
      <c r="U240" s="16">
        <f>IFERROR(MATCH(Settings!$C$29&amp;"|"&amp;ROWS($U$2:$U240),'Per Invoice'!$V$2:$V$401,0),"")</f>
        <v/>
      </c>
    </row>
    <row r="241">
      <c r="A241">
        <f>IF($U241="","",IF(INDEX('Per Invoice'!A$2:A$401,$U241)="","",INDEX('Per Invoice'!A$2:A$401,$U241)))</f>
        <v/>
      </c>
      <c r="B241">
        <f>IF($U241="","",IF(INDEX('Per Invoice'!B$2:B$401,$U241)="","",INDEX('Per Invoice'!B$2:B$401,$U241)))</f>
        <v/>
      </c>
      <c r="C241">
        <f>IF($U241="","",IF(INDEX('Per Invoice'!C$2:C$401,$U241)="","",INDEX('Per Invoice'!C$2:C$401,$U241)))</f>
        <v/>
      </c>
      <c r="D241">
        <f>IF($U241="","",IF(INDEX('Per Invoice'!D$2:D$401,$U241)="","",INDEX('Per Invoice'!D$2:D$401,$U241)))</f>
        <v/>
      </c>
      <c r="E241">
        <f>IF($U241="","",IF(INDEX('Per Invoice'!E$2:E$401,$U241)="","",INDEX('Per Invoice'!E$2:E$401,$U241)))</f>
        <v/>
      </c>
      <c r="F241">
        <f>IF($U241="","",IF(INDEX('Per Invoice'!F$2:F$401,$U241)="","",INDEX('Per Invoice'!F$2:F$401,$U241)))</f>
        <v/>
      </c>
      <c r="G241">
        <f>IF($U241="","",IF(INDEX('Per Invoice'!G$2:G$401,$U241)="","",INDEX('Per Invoice'!G$2:G$401,$U241)))</f>
        <v/>
      </c>
      <c r="H241" s="7">
        <f>IF($U241="","",IF(INDEX('Per Invoice'!H$2:H$401,$U241)="","",INDEX('Per Invoice'!H$2:H$401,$U241)))</f>
        <v/>
      </c>
      <c r="I241" s="14">
        <f>IF($U241="","",IF(INDEX('Per Invoice'!I$2:I$401,$U241)="","",INDEX('Per Invoice'!I$2:I$401,$U241)))</f>
        <v/>
      </c>
      <c r="J241">
        <f>IF($U241="","",IF(INDEX('Per Invoice'!J$2:J$401,$U241)="","",INDEX('Per Invoice'!J$2:J$401,$U241)))</f>
        <v/>
      </c>
      <c r="K241">
        <f>IF($U241="","",IF(INDEX('Per Invoice'!K$2:K$401,$U241)="","",INDEX('Per Invoice'!K$2:K$401,$U241)))</f>
        <v/>
      </c>
      <c r="L241" s="7">
        <f>IF($U241="","",IF(INDEX('Per Invoice'!L$2:L$401,$U241)="","",INDEX('Per Invoice'!L$2:L$401,$U241)))</f>
        <v/>
      </c>
      <c r="M241" s="7">
        <f>IF($U241="","",IF(INDEX('Per Invoice'!M$2:M$401,$U241)="","",INDEX('Per Invoice'!M$2:M$401,$U241)))</f>
        <v/>
      </c>
      <c r="N241">
        <f>IF($U241="","",IF(INDEX('Per Invoice'!N$2:N$401,$U241)="","",INDEX('Per Invoice'!N$2:N$401,$U241)))</f>
        <v/>
      </c>
      <c r="O241" s="7">
        <f>IF($U241="","",IF(INDEX('Per Invoice'!O$2:O$401,$U241)="","",INDEX('Per Invoice'!O$2:O$401,$U241)))</f>
        <v/>
      </c>
      <c r="P241" s="7">
        <f>IF($U241="","",IF(INDEX('Per Invoice'!P$2:P$401,$U241)="","",INDEX('Per Invoice'!P$2:P$401,$U241)))</f>
        <v/>
      </c>
      <c r="Q241" s="7">
        <f>IF($U241="","",IF(INDEX('Per Invoice'!Q$2:Q$401,$U241)="","",INDEX('Per Invoice'!Q$2:Q$401,$U241)))</f>
        <v/>
      </c>
      <c r="R241" s="7">
        <f>IF($U241="","",IF(INDEX('Per Invoice'!R$2:R$401,$U241)="","",INDEX('Per Invoice'!R$2:R$401,$U241)))</f>
        <v/>
      </c>
      <c r="S241" s="7">
        <f>IF($U241="","",IF(INDEX('Per Invoice'!S$2:S$401,$U241)="","",INDEX('Per Invoice'!S$2:S$401,$U241)))</f>
        <v/>
      </c>
      <c r="T241" s="7">
        <f>IF($U241="","",IF(INDEX('Per Invoice'!T$2:T$401,$U241)="","",INDEX('Per Invoice'!T$2:T$401,$U241)))</f>
        <v/>
      </c>
      <c r="U241" s="16">
        <f>IFERROR(MATCH(Settings!$C$29&amp;"|"&amp;ROWS($U$2:$U241),'Per Invoice'!$V$2:$V$401,0),"")</f>
        <v/>
      </c>
    </row>
    <row r="242">
      <c r="A242">
        <f>IF($U242="","",IF(INDEX('Per Invoice'!A$2:A$401,$U242)="","",INDEX('Per Invoice'!A$2:A$401,$U242)))</f>
        <v/>
      </c>
      <c r="B242">
        <f>IF($U242="","",IF(INDEX('Per Invoice'!B$2:B$401,$U242)="","",INDEX('Per Invoice'!B$2:B$401,$U242)))</f>
        <v/>
      </c>
      <c r="C242">
        <f>IF($U242="","",IF(INDEX('Per Invoice'!C$2:C$401,$U242)="","",INDEX('Per Invoice'!C$2:C$401,$U242)))</f>
        <v/>
      </c>
      <c r="D242">
        <f>IF($U242="","",IF(INDEX('Per Invoice'!D$2:D$401,$U242)="","",INDEX('Per Invoice'!D$2:D$401,$U242)))</f>
        <v/>
      </c>
      <c r="E242">
        <f>IF($U242="","",IF(INDEX('Per Invoice'!E$2:E$401,$U242)="","",INDEX('Per Invoice'!E$2:E$401,$U242)))</f>
        <v/>
      </c>
      <c r="F242">
        <f>IF($U242="","",IF(INDEX('Per Invoice'!F$2:F$401,$U242)="","",INDEX('Per Invoice'!F$2:F$401,$U242)))</f>
        <v/>
      </c>
      <c r="G242">
        <f>IF($U242="","",IF(INDEX('Per Invoice'!G$2:G$401,$U242)="","",INDEX('Per Invoice'!G$2:G$401,$U242)))</f>
        <v/>
      </c>
      <c r="H242" s="7">
        <f>IF($U242="","",IF(INDEX('Per Invoice'!H$2:H$401,$U242)="","",INDEX('Per Invoice'!H$2:H$401,$U242)))</f>
        <v/>
      </c>
      <c r="I242" s="14">
        <f>IF($U242="","",IF(INDEX('Per Invoice'!I$2:I$401,$U242)="","",INDEX('Per Invoice'!I$2:I$401,$U242)))</f>
        <v/>
      </c>
      <c r="J242">
        <f>IF($U242="","",IF(INDEX('Per Invoice'!J$2:J$401,$U242)="","",INDEX('Per Invoice'!J$2:J$401,$U242)))</f>
        <v/>
      </c>
      <c r="K242">
        <f>IF($U242="","",IF(INDEX('Per Invoice'!K$2:K$401,$U242)="","",INDEX('Per Invoice'!K$2:K$401,$U242)))</f>
        <v/>
      </c>
      <c r="L242" s="7">
        <f>IF($U242="","",IF(INDEX('Per Invoice'!L$2:L$401,$U242)="","",INDEX('Per Invoice'!L$2:L$401,$U242)))</f>
        <v/>
      </c>
      <c r="M242" s="7">
        <f>IF($U242="","",IF(INDEX('Per Invoice'!M$2:M$401,$U242)="","",INDEX('Per Invoice'!M$2:M$401,$U242)))</f>
        <v/>
      </c>
      <c r="N242">
        <f>IF($U242="","",IF(INDEX('Per Invoice'!N$2:N$401,$U242)="","",INDEX('Per Invoice'!N$2:N$401,$U242)))</f>
        <v/>
      </c>
      <c r="O242" s="7">
        <f>IF($U242="","",IF(INDEX('Per Invoice'!O$2:O$401,$U242)="","",INDEX('Per Invoice'!O$2:O$401,$U242)))</f>
        <v/>
      </c>
      <c r="P242" s="7">
        <f>IF($U242="","",IF(INDEX('Per Invoice'!P$2:P$401,$U242)="","",INDEX('Per Invoice'!P$2:P$401,$U242)))</f>
        <v/>
      </c>
      <c r="Q242" s="7">
        <f>IF($U242="","",IF(INDEX('Per Invoice'!Q$2:Q$401,$U242)="","",INDEX('Per Invoice'!Q$2:Q$401,$U242)))</f>
        <v/>
      </c>
      <c r="R242" s="7">
        <f>IF($U242="","",IF(INDEX('Per Invoice'!R$2:R$401,$U242)="","",INDEX('Per Invoice'!R$2:R$401,$U242)))</f>
        <v/>
      </c>
      <c r="S242" s="7">
        <f>IF($U242="","",IF(INDEX('Per Invoice'!S$2:S$401,$U242)="","",INDEX('Per Invoice'!S$2:S$401,$U242)))</f>
        <v/>
      </c>
      <c r="T242" s="7">
        <f>IF($U242="","",IF(INDEX('Per Invoice'!T$2:T$401,$U242)="","",INDEX('Per Invoice'!T$2:T$401,$U242)))</f>
        <v/>
      </c>
      <c r="U242" s="16">
        <f>IFERROR(MATCH(Settings!$C$29&amp;"|"&amp;ROWS($U$2:$U242),'Per Invoice'!$V$2:$V$401,0),"")</f>
        <v/>
      </c>
    </row>
    <row r="243">
      <c r="A243">
        <f>IF($U243="","",IF(INDEX('Per Invoice'!A$2:A$401,$U243)="","",INDEX('Per Invoice'!A$2:A$401,$U243)))</f>
        <v/>
      </c>
      <c r="B243">
        <f>IF($U243="","",IF(INDEX('Per Invoice'!B$2:B$401,$U243)="","",INDEX('Per Invoice'!B$2:B$401,$U243)))</f>
        <v/>
      </c>
      <c r="C243">
        <f>IF($U243="","",IF(INDEX('Per Invoice'!C$2:C$401,$U243)="","",INDEX('Per Invoice'!C$2:C$401,$U243)))</f>
        <v/>
      </c>
      <c r="D243">
        <f>IF($U243="","",IF(INDEX('Per Invoice'!D$2:D$401,$U243)="","",INDEX('Per Invoice'!D$2:D$401,$U243)))</f>
        <v/>
      </c>
      <c r="E243">
        <f>IF($U243="","",IF(INDEX('Per Invoice'!E$2:E$401,$U243)="","",INDEX('Per Invoice'!E$2:E$401,$U243)))</f>
        <v/>
      </c>
      <c r="F243">
        <f>IF($U243="","",IF(INDEX('Per Invoice'!F$2:F$401,$U243)="","",INDEX('Per Invoice'!F$2:F$401,$U243)))</f>
        <v/>
      </c>
      <c r="G243">
        <f>IF($U243="","",IF(INDEX('Per Invoice'!G$2:G$401,$U243)="","",INDEX('Per Invoice'!G$2:G$401,$U243)))</f>
        <v/>
      </c>
      <c r="H243" s="7">
        <f>IF($U243="","",IF(INDEX('Per Invoice'!H$2:H$401,$U243)="","",INDEX('Per Invoice'!H$2:H$401,$U243)))</f>
        <v/>
      </c>
      <c r="I243" s="14">
        <f>IF($U243="","",IF(INDEX('Per Invoice'!I$2:I$401,$U243)="","",INDEX('Per Invoice'!I$2:I$401,$U243)))</f>
        <v/>
      </c>
      <c r="J243">
        <f>IF($U243="","",IF(INDEX('Per Invoice'!J$2:J$401,$U243)="","",INDEX('Per Invoice'!J$2:J$401,$U243)))</f>
        <v/>
      </c>
      <c r="K243">
        <f>IF($U243="","",IF(INDEX('Per Invoice'!K$2:K$401,$U243)="","",INDEX('Per Invoice'!K$2:K$401,$U243)))</f>
        <v/>
      </c>
      <c r="L243" s="7">
        <f>IF($U243="","",IF(INDEX('Per Invoice'!L$2:L$401,$U243)="","",INDEX('Per Invoice'!L$2:L$401,$U243)))</f>
        <v/>
      </c>
      <c r="M243" s="7">
        <f>IF($U243="","",IF(INDEX('Per Invoice'!M$2:M$401,$U243)="","",INDEX('Per Invoice'!M$2:M$401,$U243)))</f>
        <v/>
      </c>
      <c r="N243">
        <f>IF($U243="","",IF(INDEX('Per Invoice'!N$2:N$401,$U243)="","",INDEX('Per Invoice'!N$2:N$401,$U243)))</f>
        <v/>
      </c>
      <c r="O243" s="7">
        <f>IF($U243="","",IF(INDEX('Per Invoice'!O$2:O$401,$U243)="","",INDEX('Per Invoice'!O$2:O$401,$U243)))</f>
        <v/>
      </c>
      <c r="P243" s="7">
        <f>IF($U243="","",IF(INDEX('Per Invoice'!P$2:P$401,$U243)="","",INDEX('Per Invoice'!P$2:P$401,$U243)))</f>
        <v/>
      </c>
      <c r="Q243" s="7">
        <f>IF($U243="","",IF(INDEX('Per Invoice'!Q$2:Q$401,$U243)="","",INDEX('Per Invoice'!Q$2:Q$401,$U243)))</f>
        <v/>
      </c>
      <c r="R243" s="7">
        <f>IF($U243="","",IF(INDEX('Per Invoice'!R$2:R$401,$U243)="","",INDEX('Per Invoice'!R$2:R$401,$U243)))</f>
        <v/>
      </c>
      <c r="S243" s="7">
        <f>IF($U243="","",IF(INDEX('Per Invoice'!S$2:S$401,$U243)="","",INDEX('Per Invoice'!S$2:S$401,$U243)))</f>
        <v/>
      </c>
      <c r="T243" s="7">
        <f>IF($U243="","",IF(INDEX('Per Invoice'!T$2:T$401,$U243)="","",INDEX('Per Invoice'!T$2:T$401,$U243)))</f>
        <v/>
      </c>
      <c r="U243" s="16">
        <f>IFERROR(MATCH(Settings!$C$29&amp;"|"&amp;ROWS($U$2:$U243),'Per Invoice'!$V$2:$V$401,0),"")</f>
        <v/>
      </c>
    </row>
    <row r="244">
      <c r="A244">
        <f>IF($U244="","",IF(INDEX('Per Invoice'!A$2:A$401,$U244)="","",INDEX('Per Invoice'!A$2:A$401,$U244)))</f>
        <v/>
      </c>
      <c r="B244">
        <f>IF($U244="","",IF(INDEX('Per Invoice'!B$2:B$401,$U244)="","",INDEX('Per Invoice'!B$2:B$401,$U244)))</f>
        <v/>
      </c>
      <c r="C244">
        <f>IF($U244="","",IF(INDEX('Per Invoice'!C$2:C$401,$U244)="","",INDEX('Per Invoice'!C$2:C$401,$U244)))</f>
        <v/>
      </c>
      <c r="D244">
        <f>IF($U244="","",IF(INDEX('Per Invoice'!D$2:D$401,$U244)="","",INDEX('Per Invoice'!D$2:D$401,$U244)))</f>
        <v/>
      </c>
      <c r="E244">
        <f>IF($U244="","",IF(INDEX('Per Invoice'!E$2:E$401,$U244)="","",INDEX('Per Invoice'!E$2:E$401,$U244)))</f>
        <v/>
      </c>
      <c r="F244">
        <f>IF($U244="","",IF(INDEX('Per Invoice'!F$2:F$401,$U244)="","",INDEX('Per Invoice'!F$2:F$401,$U244)))</f>
        <v/>
      </c>
      <c r="G244">
        <f>IF($U244="","",IF(INDEX('Per Invoice'!G$2:G$401,$U244)="","",INDEX('Per Invoice'!G$2:G$401,$U244)))</f>
        <v/>
      </c>
      <c r="H244" s="7">
        <f>IF($U244="","",IF(INDEX('Per Invoice'!H$2:H$401,$U244)="","",INDEX('Per Invoice'!H$2:H$401,$U244)))</f>
        <v/>
      </c>
      <c r="I244" s="14">
        <f>IF($U244="","",IF(INDEX('Per Invoice'!I$2:I$401,$U244)="","",INDEX('Per Invoice'!I$2:I$401,$U244)))</f>
        <v/>
      </c>
      <c r="J244">
        <f>IF($U244="","",IF(INDEX('Per Invoice'!J$2:J$401,$U244)="","",INDEX('Per Invoice'!J$2:J$401,$U244)))</f>
        <v/>
      </c>
      <c r="K244">
        <f>IF($U244="","",IF(INDEX('Per Invoice'!K$2:K$401,$U244)="","",INDEX('Per Invoice'!K$2:K$401,$U244)))</f>
        <v/>
      </c>
      <c r="L244" s="7">
        <f>IF($U244="","",IF(INDEX('Per Invoice'!L$2:L$401,$U244)="","",INDEX('Per Invoice'!L$2:L$401,$U244)))</f>
        <v/>
      </c>
      <c r="M244" s="7">
        <f>IF($U244="","",IF(INDEX('Per Invoice'!M$2:M$401,$U244)="","",INDEX('Per Invoice'!M$2:M$401,$U244)))</f>
        <v/>
      </c>
      <c r="N244">
        <f>IF($U244="","",IF(INDEX('Per Invoice'!N$2:N$401,$U244)="","",INDEX('Per Invoice'!N$2:N$401,$U244)))</f>
        <v/>
      </c>
      <c r="O244" s="7">
        <f>IF($U244="","",IF(INDEX('Per Invoice'!O$2:O$401,$U244)="","",INDEX('Per Invoice'!O$2:O$401,$U244)))</f>
        <v/>
      </c>
      <c r="P244" s="7">
        <f>IF($U244="","",IF(INDEX('Per Invoice'!P$2:P$401,$U244)="","",INDEX('Per Invoice'!P$2:P$401,$U244)))</f>
        <v/>
      </c>
      <c r="Q244" s="7">
        <f>IF($U244="","",IF(INDEX('Per Invoice'!Q$2:Q$401,$U244)="","",INDEX('Per Invoice'!Q$2:Q$401,$U244)))</f>
        <v/>
      </c>
      <c r="R244" s="7">
        <f>IF($U244="","",IF(INDEX('Per Invoice'!R$2:R$401,$U244)="","",INDEX('Per Invoice'!R$2:R$401,$U244)))</f>
        <v/>
      </c>
      <c r="S244" s="7">
        <f>IF($U244="","",IF(INDEX('Per Invoice'!S$2:S$401,$U244)="","",INDEX('Per Invoice'!S$2:S$401,$U244)))</f>
        <v/>
      </c>
      <c r="T244" s="7">
        <f>IF($U244="","",IF(INDEX('Per Invoice'!T$2:T$401,$U244)="","",INDEX('Per Invoice'!T$2:T$401,$U244)))</f>
        <v/>
      </c>
      <c r="U244" s="16">
        <f>IFERROR(MATCH(Settings!$C$29&amp;"|"&amp;ROWS($U$2:$U244),'Per Invoice'!$V$2:$V$401,0),"")</f>
        <v/>
      </c>
    </row>
    <row r="245">
      <c r="A245">
        <f>IF($U245="","",IF(INDEX('Per Invoice'!A$2:A$401,$U245)="","",INDEX('Per Invoice'!A$2:A$401,$U245)))</f>
        <v/>
      </c>
      <c r="B245">
        <f>IF($U245="","",IF(INDEX('Per Invoice'!B$2:B$401,$U245)="","",INDEX('Per Invoice'!B$2:B$401,$U245)))</f>
        <v/>
      </c>
      <c r="C245">
        <f>IF($U245="","",IF(INDEX('Per Invoice'!C$2:C$401,$U245)="","",INDEX('Per Invoice'!C$2:C$401,$U245)))</f>
        <v/>
      </c>
      <c r="D245">
        <f>IF($U245="","",IF(INDEX('Per Invoice'!D$2:D$401,$U245)="","",INDEX('Per Invoice'!D$2:D$401,$U245)))</f>
        <v/>
      </c>
      <c r="E245">
        <f>IF($U245="","",IF(INDEX('Per Invoice'!E$2:E$401,$U245)="","",INDEX('Per Invoice'!E$2:E$401,$U245)))</f>
        <v/>
      </c>
      <c r="F245">
        <f>IF($U245="","",IF(INDEX('Per Invoice'!F$2:F$401,$U245)="","",INDEX('Per Invoice'!F$2:F$401,$U245)))</f>
        <v/>
      </c>
      <c r="G245">
        <f>IF($U245="","",IF(INDEX('Per Invoice'!G$2:G$401,$U245)="","",INDEX('Per Invoice'!G$2:G$401,$U245)))</f>
        <v/>
      </c>
      <c r="H245" s="7">
        <f>IF($U245="","",IF(INDEX('Per Invoice'!H$2:H$401,$U245)="","",INDEX('Per Invoice'!H$2:H$401,$U245)))</f>
        <v/>
      </c>
      <c r="I245" s="14">
        <f>IF($U245="","",IF(INDEX('Per Invoice'!I$2:I$401,$U245)="","",INDEX('Per Invoice'!I$2:I$401,$U245)))</f>
        <v/>
      </c>
      <c r="J245">
        <f>IF($U245="","",IF(INDEX('Per Invoice'!J$2:J$401,$U245)="","",INDEX('Per Invoice'!J$2:J$401,$U245)))</f>
        <v/>
      </c>
      <c r="K245">
        <f>IF($U245="","",IF(INDEX('Per Invoice'!K$2:K$401,$U245)="","",INDEX('Per Invoice'!K$2:K$401,$U245)))</f>
        <v/>
      </c>
      <c r="L245" s="7">
        <f>IF($U245="","",IF(INDEX('Per Invoice'!L$2:L$401,$U245)="","",INDEX('Per Invoice'!L$2:L$401,$U245)))</f>
        <v/>
      </c>
      <c r="M245" s="7">
        <f>IF($U245="","",IF(INDEX('Per Invoice'!M$2:M$401,$U245)="","",INDEX('Per Invoice'!M$2:M$401,$U245)))</f>
        <v/>
      </c>
      <c r="N245">
        <f>IF($U245="","",IF(INDEX('Per Invoice'!N$2:N$401,$U245)="","",INDEX('Per Invoice'!N$2:N$401,$U245)))</f>
        <v/>
      </c>
      <c r="O245" s="7">
        <f>IF($U245="","",IF(INDEX('Per Invoice'!O$2:O$401,$U245)="","",INDEX('Per Invoice'!O$2:O$401,$U245)))</f>
        <v/>
      </c>
      <c r="P245" s="7">
        <f>IF($U245="","",IF(INDEX('Per Invoice'!P$2:P$401,$U245)="","",INDEX('Per Invoice'!P$2:P$401,$U245)))</f>
        <v/>
      </c>
      <c r="Q245" s="7">
        <f>IF($U245="","",IF(INDEX('Per Invoice'!Q$2:Q$401,$U245)="","",INDEX('Per Invoice'!Q$2:Q$401,$U245)))</f>
        <v/>
      </c>
      <c r="R245" s="7">
        <f>IF($U245="","",IF(INDEX('Per Invoice'!R$2:R$401,$U245)="","",INDEX('Per Invoice'!R$2:R$401,$U245)))</f>
        <v/>
      </c>
      <c r="S245" s="7">
        <f>IF($U245="","",IF(INDEX('Per Invoice'!S$2:S$401,$U245)="","",INDEX('Per Invoice'!S$2:S$401,$U245)))</f>
        <v/>
      </c>
      <c r="T245" s="7">
        <f>IF($U245="","",IF(INDEX('Per Invoice'!T$2:T$401,$U245)="","",INDEX('Per Invoice'!T$2:T$401,$U245)))</f>
        <v/>
      </c>
      <c r="U245" s="16">
        <f>IFERROR(MATCH(Settings!$C$29&amp;"|"&amp;ROWS($U$2:$U245),'Per Invoice'!$V$2:$V$401,0),"")</f>
        <v/>
      </c>
    </row>
    <row r="246">
      <c r="A246">
        <f>IF($U246="","",IF(INDEX('Per Invoice'!A$2:A$401,$U246)="","",INDEX('Per Invoice'!A$2:A$401,$U246)))</f>
        <v/>
      </c>
      <c r="B246">
        <f>IF($U246="","",IF(INDEX('Per Invoice'!B$2:B$401,$U246)="","",INDEX('Per Invoice'!B$2:B$401,$U246)))</f>
        <v/>
      </c>
      <c r="C246">
        <f>IF($U246="","",IF(INDEX('Per Invoice'!C$2:C$401,$U246)="","",INDEX('Per Invoice'!C$2:C$401,$U246)))</f>
        <v/>
      </c>
      <c r="D246">
        <f>IF($U246="","",IF(INDEX('Per Invoice'!D$2:D$401,$U246)="","",INDEX('Per Invoice'!D$2:D$401,$U246)))</f>
        <v/>
      </c>
      <c r="E246">
        <f>IF($U246="","",IF(INDEX('Per Invoice'!E$2:E$401,$U246)="","",INDEX('Per Invoice'!E$2:E$401,$U246)))</f>
        <v/>
      </c>
      <c r="F246">
        <f>IF($U246="","",IF(INDEX('Per Invoice'!F$2:F$401,$U246)="","",INDEX('Per Invoice'!F$2:F$401,$U246)))</f>
        <v/>
      </c>
      <c r="G246">
        <f>IF($U246="","",IF(INDEX('Per Invoice'!G$2:G$401,$U246)="","",INDEX('Per Invoice'!G$2:G$401,$U246)))</f>
        <v/>
      </c>
      <c r="H246" s="7">
        <f>IF($U246="","",IF(INDEX('Per Invoice'!H$2:H$401,$U246)="","",INDEX('Per Invoice'!H$2:H$401,$U246)))</f>
        <v/>
      </c>
      <c r="I246" s="14">
        <f>IF($U246="","",IF(INDEX('Per Invoice'!I$2:I$401,$U246)="","",INDEX('Per Invoice'!I$2:I$401,$U246)))</f>
        <v/>
      </c>
      <c r="J246">
        <f>IF($U246="","",IF(INDEX('Per Invoice'!J$2:J$401,$U246)="","",INDEX('Per Invoice'!J$2:J$401,$U246)))</f>
        <v/>
      </c>
      <c r="K246">
        <f>IF($U246="","",IF(INDEX('Per Invoice'!K$2:K$401,$U246)="","",INDEX('Per Invoice'!K$2:K$401,$U246)))</f>
        <v/>
      </c>
      <c r="L246" s="7">
        <f>IF($U246="","",IF(INDEX('Per Invoice'!L$2:L$401,$U246)="","",INDEX('Per Invoice'!L$2:L$401,$U246)))</f>
        <v/>
      </c>
      <c r="M246" s="7">
        <f>IF($U246="","",IF(INDEX('Per Invoice'!M$2:M$401,$U246)="","",INDEX('Per Invoice'!M$2:M$401,$U246)))</f>
        <v/>
      </c>
      <c r="N246">
        <f>IF($U246="","",IF(INDEX('Per Invoice'!N$2:N$401,$U246)="","",INDEX('Per Invoice'!N$2:N$401,$U246)))</f>
        <v/>
      </c>
      <c r="O246" s="7">
        <f>IF($U246="","",IF(INDEX('Per Invoice'!O$2:O$401,$U246)="","",INDEX('Per Invoice'!O$2:O$401,$U246)))</f>
        <v/>
      </c>
      <c r="P246" s="7">
        <f>IF($U246="","",IF(INDEX('Per Invoice'!P$2:P$401,$U246)="","",INDEX('Per Invoice'!P$2:P$401,$U246)))</f>
        <v/>
      </c>
      <c r="Q246" s="7">
        <f>IF($U246="","",IF(INDEX('Per Invoice'!Q$2:Q$401,$U246)="","",INDEX('Per Invoice'!Q$2:Q$401,$U246)))</f>
        <v/>
      </c>
      <c r="R246" s="7">
        <f>IF($U246="","",IF(INDEX('Per Invoice'!R$2:R$401,$U246)="","",INDEX('Per Invoice'!R$2:R$401,$U246)))</f>
        <v/>
      </c>
      <c r="S246" s="7">
        <f>IF($U246="","",IF(INDEX('Per Invoice'!S$2:S$401,$U246)="","",INDEX('Per Invoice'!S$2:S$401,$U246)))</f>
        <v/>
      </c>
      <c r="T246" s="7">
        <f>IF($U246="","",IF(INDEX('Per Invoice'!T$2:T$401,$U246)="","",INDEX('Per Invoice'!T$2:T$401,$U246)))</f>
        <v/>
      </c>
      <c r="U246" s="16">
        <f>IFERROR(MATCH(Settings!$C$29&amp;"|"&amp;ROWS($U$2:$U246),'Per Invoice'!$V$2:$V$401,0),"")</f>
        <v/>
      </c>
    </row>
    <row r="247">
      <c r="A247">
        <f>IF($U247="","",IF(INDEX('Per Invoice'!A$2:A$401,$U247)="","",INDEX('Per Invoice'!A$2:A$401,$U247)))</f>
        <v/>
      </c>
      <c r="B247">
        <f>IF($U247="","",IF(INDEX('Per Invoice'!B$2:B$401,$U247)="","",INDEX('Per Invoice'!B$2:B$401,$U247)))</f>
        <v/>
      </c>
      <c r="C247">
        <f>IF($U247="","",IF(INDEX('Per Invoice'!C$2:C$401,$U247)="","",INDEX('Per Invoice'!C$2:C$401,$U247)))</f>
        <v/>
      </c>
      <c r="D247">
        <f>IF($U247="","",IF(INDEX('Per Invoice'!D$2:D$401,$U247)="","",INDEX('Per Invoice'!D$2:D$401,$U247)))</f>
        <v/>
      </c>
      <c r="E247">
        <f>IF($U247="","",IF(INDEX('Per Invoice'!E$2:E$401,$U247)="","",INDEX('Per Invoice'!E$2:E$401,$U247)))</f>
        <v/>
      </c>
      <c r="F247">
        <f>IF($U247="","",IF(INDEX('Per Invoice'!F$2:F$401,$U247)="","",INDEX('Per Invoice'!F$2:F$401,$U247)))</f>
        <v/>
      </c>
      <c r="G247">
        <f>IF($U247="","",IF(INDEX('Per Invoice'!G$2:G$401,$U247)="","",INDEX('Per Invoice'!G$2:G$401,$U247)))</f>
        <v/>
      </c>
      <c r="H247" s="7">
        <f>IF($U247="","",IF(INDEX('Per Invoice'!H$2:H$401,$U247)="","",INDEX('Per Invoice'!H$2:H$401,$U247)))</f>
        <v/>
      </c>
      <c r="I247" s="14">
        <f>IF($U247="","",IF(INDEX('Per Invoice'!I$2:I$401,$U247)="","",INDEX('Per Invoice'!I$2:I$401,$U247)))</f>
        <v/>
      </c>
      <c r="J247">
        <f>IF($U247="","",IF(INDEX('Per Invoice'!J$2:J$401,$U247)="","",INDEX('Per Invoice'!J$2:J$401,$U247)))</f>
        <v/>
      </c>
      <c r="K247">
        <f>IF($U247="","",IF(INDEX('Per Invoice'!K$2:K$401,$U247)="","",INDEX('Per Invoice'!K$2:K$401,$U247)))</f>
        <v/>
      </c>
      <c r="L247" s="7">
        <f>IF($U247="","",IF(INDEX('Per Invoice'!L$2:L$401,$U247)="","",INDEX('Per Invoice'!L$2:L$401,$U247)))</f>
        <v/>
      </c>
      <c r="M247" s="7">
        <f>IF($U247="","",IF(INDEX('Per Invoice'!M$2:M$401,$U247)="","",INDEX('Per Invoice'!M$2:M$401,$U247)))</f>
        <v/>
      </c>
      <c r="N247">
        <f>IF($U247="","",IF(INDEX('Per Invoice'!N$2:N$401,$U247)="","",INDEX('Per Invoice'!N$2:N$401,$U247)))</f>
        <v/>
      </c>
      <c r="O247" s="7">
        <f>IF($U247="","",IF(INDEX('Per Invoice'!O$2:O$401,$U247)="","",INDEX('Per Invoice'!O$2:O$401,$U247)))</f>
        <v/>
      </c>
      <c r="P247" s="7">
        <f>IF($U247="","",IF(INDEX('Per Invoice'!P$2:P$401,$U247)="","",INDEX('Per Invoice'!P$2:P$401,$U247)))</f>
        <v/>
      </c>
      <c r="Q247" s="7">
        <f>IF($U247="","",IF(INDEX('Per Invoice'!Q$2:Q$401,$U247)="","",INDEX('Per Invoice'!Q$2:Q$401,$U247)))</f>
        <v/>
      </c>
      <c r="R247" s="7">
        <f>IF($U247="","",IF(INDEX('Per Invoice'!R$2:R$401,$U247)="","",INDEX('Per Invoice'!R$2:R$401,$U247)))</f>
        <v/>
      </c>
      <c r="S247" s="7">
        <f>IF($U247="","",IF(INDEX('Per Invoice'!S$2:S$401,$U247)="","",INDEX('Per Invoice'!S$2:S$401,$U247)))</f>
        <v/>
      </c>
      <c r="T247" s="7">
        <f>IF($U247="","",IF(INDEX('Per Invoice'!T$2:T$401,$U247)="","",INDEX('Per Invoice'!T$2:T$401,$U247)))</f>
        <v/>
      </c>
      <c r="U247" s="16">
        <f>IFERROR(MATCH(Settings!$C$29&amp;"|"&amp;ROWS($U$2:$U247),'Per Invoice'!$V$2:$V$401,0),"")</f>
        <v/>
      </c>
    </row>
    <row r="248">
      <c r="A248">
        <f>IF($U248="","",IF(INDEX('Per Invoice'!A$2:A$401,$U248)="","",INDEX('Per Invoice'!A$2:A$401,$U248)))</f>
        <v/>
      </c>
      <c r="B248">
        <f>IF($U248="","",IF(INDEX('Per Invoice'!B$2:B$401,$U248)="","",INDEX('Per Invoice'!B$2:B$401,$U248)))</f>
        <v/>
      </c>
      <c r="C248">
        <f>IF($U248="","",IF(INDEX('Per Invoice'!C$2:C$401,$U248)="","",INDEX('Per Invoice'!C$2:C$401,$U248)))</f>
        <v/>
      </c>
      <c r="D248">
        <f>IF($U248="","",IF(INDEX('Per Invoice'!D$2:D$401,$U248)="","",INDEX('Per Invoice'!D$2:D$401,$U248)))</f>
        <v/>
      </c>
      <c r="E248">
        <f>IF($U248="","",IF(INDEX('Per Invoice'!E$2:E$401,$U248)="","",INDEX('Per Invoice'!E$2:E$401,$U248)))</f>
        <v/>
      </c>
      <c r="F248">
        <f>IF($U248="","",IF(INDEX('Per Invoice'!F$2:F$401,$U248)="","",INDEX('Per Invoice'!F$2:F$401,$U248)))</f>
        <v/>
      </c>
      <c r="G248">
        <f>IF($U248="","",IF(INDEX('Per Invoice'!G$2:G$401,$U248)="","",INDEX('Per Invoice'!G$2:G$401,$U248)))</f>
        <v/>
      </c>
      <c r="H248" s="7">
        <f>IF($U248="","",IF(INDEX('Per Invoice'!H$2:H$401,$U248)="","",INDEX('Per Invoice'!H$2:H$401,$U248)))</f>
        <v/>
      </c>
      <c r="I248" s="14">
        <f>IF($U248="","",IF(INDEX('Per Invoice'!I$2:I$401,$U248)="","",INDEX('Per Invoice'!I$2:I$401,$U248)))</f>
        <v/>
      </c>
      <c r="J248">
        <f>IF($U248="","",IF(INDEX('Per Invoice'!J$2:J$401,$U248)="","",INDEX('Per Invoice'!J$2:J$401,$U248)))</f>
        <v/>
      </c>
      <c r="K248">
        <f>IF($U248="","",IF(INDEX('Per Invoice'!K$2:K$401,$U248)="","",INDEX('Per Invoice'!K$2:K$401,$U248)))</f>
        <v/>
      </c>
      <c r="L248" s="7">
        <f>IF($U248="","",IF(INDEX('Per Invoice'!L$2:L$401,$U248)="","",INDEX('Per Invoice'!L$2:L$401,$U248)))</f>
        <v/>
      </c>
      <c r="M248" s="7">
        <f>IF($U248="","",IF(INDEX('Per Invoice'!M$2:M$401,$U248)="","",INDEX('Per Invoice'!M$2:M$401,$U248)))</f>
        <v/>
      </c>
      <c r="N248">
        <f>IF($U248="","",IF(INDEX('Per Invoice'!N$2:N$401,$U248)="","",INDEX('Per Invoice'!N$2:N$401,$U248)))</f>
        <v/>
      </c>
      <c r="O248" s="7">
        <f>IF($U248="","",IF(INDEX('Per Invoice'!O$2:O$401,$U248)="","",INDEX('Per Invoice'!O$2:O$401,$U248)))</f>
        <v/>
      </c>
      <c r="P248" s="7">
        <f>IF($U248="","",IF(INDEX('Per Invoice'!P$2:P$401,$U248)="","",INDEX('Per Invoice'!P$2:P$401,$U248)))</f>
        <v/>
      </c>
      <c r="Q248" s="7">
        <f>IF($U248="","",IF(INDEX('Per Invoice'!Q$2:Q$401,$U248)="","",INDEX('Per Invoice'!Q$2:Q$401,$U248)))</f>
        <v/>
      </c>
      <c r="R248" s="7">
        <f>IF($U248="","",IF(INDEX('Per Invoice'!R$2:R$401,$U248)="","",INDEX('Per Invoice'!R$2:R$401,$U248)))</f>
        <v/>
      </c>
      <c r="S248" s="7">
        <f>IF($U248="","",IF(INDEX('Per Invoice'!S$2:S$401,$U248)="","",INDEX('Per Invoice'!S$2:S$401,$U248)))</f>
        <v/>
      </c>
      <c r="T248" s="7">
        <f>IF($U248="","",IF(INDEX('Per Invoice'!T$2:T$401,$U248)="","",INDEX('Per Invoice'!T$2:T$401,$U248)))</f>
        <v/>
      </c>
      <c r="U248" s="16">
        <f>IFERROR(MATCH(Settings!$C$29&amp;"|"&amp;ROWS($U$2:$U248),'Per Invoice'!$V$2:$V$401,0),"")</f>
        <v/>
      </c>
    </row>
    <row r="249">
      <c r="A249">
        <f>IF($U249="","",IF(INDEX('Per Invoice'!A$2:A$401,$U249)="","",INDEX('Per Invoice'!A$2:A$401,$U249)))</f>
        <v/>
      </c>
      <c r="B249">
        <f>IF($U249="","",IF(INDEX('Per Invoice'!B$2:B$401,$U249)="","",INDEX('Per Invoice'!B$2:B$401,$U249)))</f>
        <v/>
      </c>
      <c r="C249">
        <f>IF($U249="","",IF(INDEX('Per Invoice'!C$2:C$401,$U249)="","",INDEX('Per Invoice'!C$2:C$401,$U249)))</f>
        <v/>
      </c>
      <c r="D249">
        <f>IF($U249="","",IF(INDEX('Per Invoice'!D$2:D$401,$U249)="","",INDEX('Per Invoice'!D$2:D$401,$U249)))</f>
        <v/>
      </c>
      <c r="E249">
        <f>IF($U249="","",IF(INDEX('Per Invoice'!E$2:E$401,$U249)="","",INDEX('Per Invoice'!E$2:E$401,$U249)))</f>
        <v/>
      </c>
      <c r="F249">
        <f>IF($U249="","",IF(INDEX('Per Invoice'!F$2:F$401,$U249)="","",INDEX('Per Invoice'!F$2:F$401,$U249)))</f>
        <v/>
      </c>
      <c r="G249">
        <f>IF($U249="","",IF(INDEX('Per Invoice'!G$2:G$401,$U249)="","",INDEX('Per Invoice'!G$2:G$401,$U249)))</f>
        <v/>
      </c>
      <c r="H249" s="7">
        <f>IF($U249="","",IF(INDEX('Per Invoice'!H$2:H$401,$U249)="","",INDEX('Per Invoice'!H$2:H$401,$U249)))</f>
        <v/>
      </c>
      <c r="I249" s="14">
        <f>IF($U249="","",IF(INDEX('Per Invoice'!I$2:I$401,$U249)="","",INDEX('Per Invoice'!I$2:I$401,$U249)))</f>
        <v/>
      </c>
      <c r="J249">
        <f>IF($U249="","",IF(INDEX('Per Invoice'!J$2:J$401,$U249)="","",INDEX('Per Invoice'!J$2:J$401,$U249)))</f>
        <v/>
      </c>
      <c r="K249">
        <f>IF($U249="","",IF(INDEX('Per Invoice'!K$2:K$401,$U249)="","",INDEX('Per Invoice'!K$2:K$401,$U249)))</f>
        <v/>
      </c>
      <c r="L249" s="7">
        <f>IF($U249="","",IF(INDEX('Per Invoice'!L$2:L$401,$U249)="","",INDEX('Per Invoice'!L$2:L$401,$U249)))</f>
        <v/>
      </c>
      <c r="M249" s="7">
        <f>IF($U249="","",IF(INDEX('Per Invoice'!M$2:M$401,$U249)="","",INDEX('Per Invoice'!M$2:M$401,$U249)))</f>
        <v/>
      </c>
      <c r="N249">
        <f>IF($U249="","",IF(INDEX('Per Invoice'!N$2:N$401,$U249)="","",INDEX('Per Invoice'!N$2:N$401,$U249)))</f>
        <v/>
      </c>
      <c r="O249" s="7">
        <f>IF($U249="","",IF(INDEX('Per Invoice'!O$2:O$401,$U249)="","",INDEX('Per Invoice'!O$2:O$401,$U249)))</f>
        <v/>
      </c>
      <c r="P249" s="7">
        <f>IF($U249="","",IF(INDEX('Per Invoice'!P$2:P$401,$U249)="","",INDEX('Per Invoice'!P$2:P$401,$U249)))</f>
        <v/>
      </c>
      <c r="Q249" s="7">
        <f>IF($U249="","",IF(INDEX('Per Invoice'!Q$2:Q$401,$U249)="","",INDEX('Per Invoice'!Q$2:Q$401,$U249)))</f>
        <v/>
      </c>
      <c r="R249" s="7">
        <f>IF($U249="","",IF(INDEX('Per Invoice'!R$2:R$401,$U249)="","",INDEX('Per Invoice'!R$2:R$401,$U249)))</f>
        <v/>
      </c>
      <c r="S249" s="7">
        <f>IF($U249="","",IF(INDEX('Per Invoice'!S$2:S$401,$U249)="","",INDEX('Per Invoice'!S$2:S$401,$U249)))</f>
        <v/>
      </c>
      <c r="T249" s="7">
        <f>IF($U249="","",IF(INDEX('Per Invoice'!T$2:T$401,$U249)="","",INDEX('Per Invoice'!T$2:T$401,$U249)))</f>
        <v/>
      </c>
      <c r="U249" s="16">
        <f>IFERROR(MATCH(Settings!$C$29&amp;"|"&amp;ROWS($U$2:$U249),'Per Invoice'!$V$2:$V$401,0),"")</f>
        <v/>
      </c>
    </row>
    <row r="250">
      <c r="A250">
        <f>IF($U250="","",IF(INDEX('Per Invoice'!A$2:A$401,$U250)="","",INDEX('Per Invoice'!A$2:A$401,$U250)))</f>
        <v/>
      </c>
      <c r="B250">
        <f>IF($U250="","",IF(INDEX('Per Invoice'!B$2:B$401,$U250)="","",INDEX('Per Invoice'!B$2:B$401,$U250)))</f>
        <v/>
      </c>
      <c r="C250">
        <f>IF($U250="","",IF(INDEX('Per Invoice'!C$2:C$401,$U250)="","",INDEX('Per Invoice'!C$2:C$401,$U250)))</f>
        <v/>
      </c>
      <c r="D250">
        <f>IF($U250="","",IF(INDEX('Per Invoice'!D$2:D$401,$U250)="","",INDEX('Per Invoice'!D$2:D$401,$U250)))</f>
        <v/>
      </c>
      <c r="E250">
        <f>IF($U250="","",IF(INDEX('Per Invoice'!E$2:E$401,$U250)="","",INDEX('Per Invoice'!E$2:E$401,$U250)))</f>
        <v/>
      </c>
      <c r="F250">
        <f>IF($U250="","",IF(INDEX('Per Invoice'!F$2:F$401,$U250)="","",INDEX('Per Invoice'!F$2:F$401,$U250)))</f>
        <v/>
      </c>
      <c r="G250">
        <f>IF($U250="","",IF(INDEX('Per Invoice'!G$2:G$401,$U250)="","",INDEX('Per Invoice'!G$2:G$401,$U250)))</f>
        <v/>
      </c>
      <c r="H250" s="7">
        <f>IF($U250="","",IF(INDEX('Per Invoice'!H$2:H$401,$U250)="","",INDEX('Per Invoice'!H$2:H$401,$U250)))</f>
        <v/>
      </c>
      <c r="I250" s="14">
        <f>IF($U250="","",IF(INDEX('Per Invoice'!I$2:I$401,$U250)="","",INDEX('Per Invoice'!I$2:I$401,$U250)))</f>
        <v/>
      </c>
      <c r="J250">
        <f>IF($U250="","",IF(INDEX('Per Invoice'!J$2:J$401,$U250)="","",INDEX('Per Invoice'!J$2:J$401,$U250)))</f>
        <v/>
      </c>
      <c r="K250">
        <f>IF($U250="","",IF(INDEX('Per Invoice'!K$2:K$401,$U250)="","",INDEX('Per Invoice'!K$2:K$401,$U250)))</f>
        <v/>
      </c>
      <c r="L250" s="7">
        <f>IF($U250="","",IF(INDEX('Per Invoice'!L$2:L$401,$U250)="","",INDEX('Per Invoice'!L$2:L$401,$U250)))</f>
        <v/>
      </c>
      <c r="M250" s="7">
        <f>IF($U250="","",IF(INDEX('Per Invoice'!M$2:M$401,$U250)="","",INDEX('Per Invoice'!M$2:M$401,$U250)))</f>
        <v/>
      </c>
      <c r="N250">
        <f>IF($U250="","",IF(INDEX('Per Invoice'!N$2:N$401,$U250)="","",INDEX('Per Invoice'!N$2:N$401,$U250)))</f>
        <v/>
      </c>
      <c r="O250" s="7">
        <f>IF($U250="","",IF(INDEX('Per Invoice'!O$2:O$401,$U250)="","",INDEX('Per Invoice'!O$2:O$401,$U250)))</f>
        <v/>
      </c>
      <c r="P250" s="7">
        <f>IF($U250="","",IF(INDEX('Per Invoice'!P$2:P$401,$U250)="","",INDEX('Per Invoice'!P$2:P$401,$U250)))</f>
        <v/>
      </c>
      <c r="Q250" s="7">
        <f>IF($U250="","",IF(INDEX('Per Invoice'!Q$2:Q$401,$U250)="","",INDEX('Per Invoice'!Q$2:Q$401,$U250)))</f>
        <v/>
      </c>
      <c r="R250" s="7">
        <f>IF($U250="","",IF(INDEX('Per Invoice'!R$2:R$401,$U250)="","",INDEX('Per Invoice'!R$2:R$401,$U250)))</f>
        <v/>
      </c>
      <c r="S250" s="7">
        <f>IF($U250="","",IF(INDEX('Per Invoice'!S$2:S$401,$U250)="","",INDEX('Per Invoice'!S$2:S$401,$U250)))</f>
        <v/>
      </c>
      <c r="T250" s="7">
        <f>IF($U250="","",IF(INDEX('Per Invoice'!T$2:T$401,$U250)="","",INDEX('Per Invoice'!T$2:T$401,$U250)))</f>
        <v/>
      </c>
      <c r="U250" s="16">
        <f>IFERROR(MATCH(Settings!$C$29&amp;"|"&amp;ROWS($U$2:$U250),'Per Invoice'!$V$2:$V$401,0),"")</f>
        <v/>
      </c>
    </row>
    <row r="251">
      <c r="A251">
        <f>IF($U251="","",IF(INDEX('Per Invoice'!A$2:A$401,$U251)="","",INDEX('Per Invoice'!A$2:A$401,$U251)))</f>
        <v/>
      </c>
      <c r="B251">
        <f>IF($U251="","",IF(INDEX('Per Invoice'!B$2:B$401,$U251)="","",INDEX('Per Invoice'!B$2:B$401,$U251)))</f>
        <v/>
      </c>
      <c r="C251">
        <f>IF($U251="","",IF(INDEX('Per Invoice'!C$2:C$401,$U251)="","",INDEX('Per Invoice'!C$2:C$401,$U251)))</f>
        <v/>
      </c>
      <c r="D251">
        <f>IF($U251="","",IF(INDEX('Per Invoice'!D$2:D$401,$U251)="","",INDEX('Per Invoice'!D$2:D$401,$U251)))</f>
        <v/>
      </c>
      <c r="E251">
        <f>IF($U251="","",IF(INDEX('Per Invoice'!E$2:E$401,$U251)="","",INDEX('Per Invoice'!E$2:E$401,$U251)))</f>
        <v/>
      </c>
      <c r="F251">
        <f>IF($U251="","",IF(INDEX('Per Invoice'!F$2:F$401,$U251)="","",INDEX('Per Invoice'!F$2:F$401,$U251)))</f>
        <v/>
      </c>
      <c r="G251">
        <f>IF($U251="","",IF(INDEX('Per Invoice'!G$2:G$401,$U251)="","",INDEX('Per Invoice'!G$2:G$401,$U251)))</f>
        <v/>
      </c>
      <c r="H251" s="7">
        <f>IF($U251="","",IF(INDEX('Per Invoice'!H$2:H$401,$U251)="","",INDEX('Per Invoice'!H$2:H$401,$U251)))</f>
        <v/>
      </c>
      <c r="I251" s="14">
        <f>IF($U251="","",IF(INDEX('Per Invoice'!I$2:I$401,$U251)="","",INDEX('Per Invoice'!I$2:I$401,$U251)))</f>
        <v/>
      </c>
      <c r="J251">
        <f>IF($U251="","",IF(INDEX('Per Invoice'!J$2:J$401,$U251)="","",INDEX('Per Invoice'!J$2:J$401,$U251)))</f>
        <v/>
      </c>
      <c r="K251">
        <f>IF($U251="","",IF(INDEX('Per Invoice'!K$2:K$401,$U251)="","",INDEX('Per Invoice'!K$2:K$401,$U251)))</f>
        <v/>
      </c>
      <c r="L251" s="7">
        <f>IF($U251="","",IF(INDEX('Per Invoice'!L$2:L$401,$U251)="","",INDEX('Per Invoice'!L$2:L$401,$U251)))</f>
        <v/>
      </c>
      <c r="M251" s="7">
        <f>IF($U251="","",IF(INDEX('Per Invoice'!M$2:M$401,$U251)="","",INDEX('Per Invoice'!M$2:M$401,$U251)))</f>
        <v/>
      </c>
      <c r="N251">
        <f>IF($U251="","",IF(INDEX('Per Invoice'!N$2:N$401,$U251)="","",INDEX('Per Invoice'!N$2:N$401,$U251)))</f>
        <v/>
      </c>
      <c r="O251" s="7">
        <f>IF($U251="","",IF(INDEX('Per Invoice'!O$2:O$401,$U251)="","",INDEX('Per Invoice'!O$2:O$401,$U251)))</f>
        <v/>
      </c>
      <c r="P251" s="7">
        <f>IF($U251="","",IF(INDEX('Per Invoice'!P$2:P$401,$U251)="","",INDEX('Per Invoice'!P$2:P$401,$U251)))</f>
        <v/>
      </c>
      <c r="Q251" s="7">
        <f>IF($U251="","",IF(INDEX('Per Invoice'!Q$2:Q$401,$U251)="","",INDEX('Per Invoice'!Q$2:Q$401,$U251)))</f>
        <v/>
      </c>
      <c r="R251" s="7">
        <f>IF($U251="","",IF(INDEX('Per Invoice'!R$2:R$401,$U251)="","",INDEX('Per Invoice'!R$2:R$401,$U251)))</f>
        <v/>
      </c>
      <c r="S251" s="7">
        <f>IF($U251="","",IF(INDEX('Per Invoice'!S$2:S$401,$U251)="","",INDEX('Per Invoice'!S$2:S$401,$U251)))</f>
        <v/>
      </c>
      <c r="T251" s="7">
        <f>IF($U251="","",IF(INDEX('Per Invoice'!T$2:T$401,$U251)="","",INDEX('Per Invoice'!T$2:T$401,$U251)))</f>
        <v/>
      </c>
      <c r="U251" s="16">
        <f>IFERROR(MATCH(Settings!$C$29&amp;"|"&amp;ROWS($U$2:$U251),'Per Invoice'!$V$2:$V$401,0),"")</f>
        <v/>
      </c>
    </row>
    <row r="252">
      <c r="A252">
        <f>IF($U252="","",IF(INDEX('Per Invoice'!A$2:A$401,$U252)="","",INDEX('Per Invoice'!A$2:A$401,$U252)))</f>
        <v/>
      </c>
      <c r="B252">
        <f>IF($U252="","",IF(INDEX('Per Invoice'!B$2:B$401,$U252)="","",INDEX('Per Invoice'!B$2:B$401,$U252)))</f>
        <v/>
      </c>
      <c r="C252">
        <f>IF($U252="","",IF(INDEX('Per Invoice'!C$2:C$401,$U252)="","",INDEX('Per Invoice'!C$2:C$401,$U252)))</f>
        <v/>
      </c>
      <c r="D252">
        <f>IF($U252="","",IF(INDEX('Per Invoice'!D$2:D$401,$U252)="","",INDEX('Per Invoice'!D$2:D$401,$U252)))</f>
        <v/>
      </c>
      <c r="E252">
        <f>IF($U252="","",IF(INDEX('Per Invoice'!E$2:E$401,$U252)="","",INDEX('Per Invoice'!E$2:E$401,$U252)))</f>
        <v/>
      </c>
      <c r="F252">
        <f>IF($U252="","",IF(INDEX('Per Invoice'!F$2:F$401,$U252)="","",INDEX('Per Invoice'!F$2:F$401,$U252)))</f>
        <v/>
      </c>
      <c r="G252">
        <f>IF($U252="","",IF(INDEX('Per Invoice'!G$2:G$401,$U252)="","",INDEX('Per Invoice'!G$2:G$401,$U252)))</f>
        <v/>
      </c>
      <c r="H252" s="7">
        <f>IF($U252="","",IF(INDEX('Per Invoice'!H$2:H$401,$U252)="","",INDEX('Per Invoice'!H$2:H$401,$U252)))</f>
        <v/>
      </c>
      <c r="I252" s="14">
        <f>IF($U252="","",IF(INDEX('Per Invoice'!I$2:I$401,$U252)="","",INDEX('Per Invoice'!I$2:I$401,$U252)))</f>
        <v/>
      </c>
      <c r="J252">
        <f>IF($U252="","",IF(INDEX('Per Invoice'!J$2:J$401,$U252)="","",INDEX('Per Invoice'!J$2:J$401,$U252)))</f>
        <v/>
      </c>
      <c r="K252">
        <f>IF($U252="","",IF(INDEX('Per Invoice'!K$2:K$401,$U252)="","",INDEX('Per Invoice'!K$2:K$401,$U252)))</f>
        <v/>
      </c>
      <c r="L252" s="7">
        <f>IF($U252="","",IF(INDEX('Per Invoice'!L$2:L$401,$U252)="","",INDEX('Per Invoice'!L$2:L$401,$U252)))</f>
        <v/>
      </c>
      <c r="M252" s="7">
        <f>IF($U252="","",IF(INDEX('Per Invoice'!M$2:M$401,$U252)="","",INDEX('Per Invoice'!M$2:M$401,$U252)))</f>
        <v/>
      </c>
      <c r="N252">
        <f>IF($U252="","",IF(INDEX('Per Invoice'!N$2:N$401,$U252)="","",INDEX('Per Invoice'!N$2:N$401,$U252)))</f>
        <v/>
      </c>
      <c r="O252" s="7">
        <f>IF($U252="","",IF(INDEX('Per Invoice'!O$2:O$401,$U252)="","",INDEX('Per Invoice'!O$2:O$401,$U252)))</f>
        <v/>
      </c>
      <c r="P252" s="7">
        <f>IF($U252="","",IF(INDEX('Per Invoice'!P$2:P$401,$U252)="","",INDEX('Per Invoice'!P$2:P$401,$U252)))</f>
        <v/>
      </c>
      <c r="Q252" s="7">
        <f>IF($U252="","",IF(INDEX('Per Invoice'!Q$2:Q$401,$U252)="","",INDEX('Per Invoice'!Q$2:Q$401,$U252)))</f>
        <v/>
      </c>
      <c r="R252" s="7">
        <f>IF($U252="","",IF(INDEX('Per Invoice'!R$2:R$401,$U252)="","",INDEX('Per Invoice'!R$2:R$401,$U252)))</f>
        <v/>
      </c>
      <c r="S252" s="7">
        <f>IF($U252="","",IF(INDEX('Per Invoice'!S$2:S$401,$U252)="","",INDEX('Per Invoice'!S$2:S$401,$U252)))</f>
        <v/>
      </c>
      <c r="T252" s="7">
        <f>IF($U252="","",IF(INDEX('Per Invoice'!T$2:T$401,$U252)="","",INDEX('Per Invoice'!T$2:T$401,$U252)))</f>
        <v/>
      </c>
      <c r="U252" s="16">
        <f>IFERROR(MATCH(Settings!$C$29&amp;"|"&amp;ROWS($U$2:$U252),'Per Invoice'!$V$2:$V$401,0),"")</f>
        <v/>
      </c>
    </row>
    <row r="253">
      <c r="A253">
        <f>IF($U253="","",IF(INDEX('Per Invoice'!A$2:A$401,$U253)="","",INDEX('Per Invoice'!A$2:A$401,$U253)))</f>
        <v/>
      </c>
      <c r="B253">
        <f>IF($U253="","",IF(INDEX('Per Invoice'!B$2:B$401,$U253)="","",INDEX('Per Invoice'!B$2:B$401,$U253)))</f>
        <v/>
      </c>
      <c r="C253">
        <f>IF($U253="","",IF(INDEX('Per Invoice'!C$2:C$401,$U253)="","",INDEX('Per Invoice'!C$2:C$401,$U253)))</f>
        <v/>
      </c>
      <c r="D253">
        <f>IF($U253="","",IF(INDEX('Per Invoice'!D$2:D$401,$U253)="","",INDEX('Per Invoice'!D$2:D$401,$U253)))</f>
        <v/>
      </c>
      <c r="E253">
        <f>IF($U253="","",IF(INDEX('Per Invoice'!E$2:E$401,$U253)="","",INDEX('Per Invoice'!E$2:E$401,$U253)))</f>
        <v/>
      </c>
      <c r="F253">
        <f>IF($U253="","",IF(INDEX('Per Invoice'!F$2:F$401,$U253)="","",INDEX('Per Invoice'!F$2:F$401,$U253)))</f>
        <v/>
      </c>
      <c r="G253">
        <f>IF($U253="","",IF(INDEX('Per Invoice'!G$2:G$401,$U253)="","",INDEX('Per Invoice'!G$2:G$401,$U253)))</f>
        <v/>
      </c>
      <c r="H253" s="7">
        <f>IF($U253="","",IF(INDEX('Per Invoice'!H$2:H$401,$U253)="","",INDEX('Per Invoice'!H$2:H$401,$U253)))</f>
        <v/>
      </c>
      <c r="I253" s="14">
        <f>IF($U253="","",IF(INDEX('Per Invoice'!I$2:I$401,$U253)="","",INDEX('Per Invoice'!I$2:I$401,$U253)))</f>
        <v/>
      </c>
      <c r="J253">
        <f>IF($U253="","",IF(INDEX('Per Invoice'!J$2:J$401,$U253)="","",INDEX('Per Invoice'!J$2:J$401,$U253)))</f>
        <v/>
      </c>
      <c r="K253">
        <f>IF($U253="","",IF(INDEX('Per Invoice'!K$2:K$401,$U253)="","",INDEX('Per Invoice'!K$2:K$401,$U253)))</f>
        <v/>
      </c>
      <c r="L253" s="7">
        <f>IF($U253="","",IF(INDEX('Per Invoice'!L$2:L$401,$U253)="","",INDEX('Per Invoice'!L$2:L$401,$U253)))</f>
        <v/>
      </c>
      <c r="M253" s="7">
        <f>IF($U253="","",IF(INDEX('Per Invoice'!M$2:M$401,$U253)="","",INDEX('Per Invoice'!M$2:M$401,$U253)))</f>
        <v/>
      </c>
      <c r="N253">
        <f>IF($U253="","",IF(INDEX('Per Invoice'!N$2:N$401,$U253)="","",INDEX('Per Invoice'!N$2:N$401,$U253)))</f>
        <v/>
      </c>
      <c r="O253" s="7">
        <f>IF($U253="","",IF(INDEX('Per Invoice'!O$2:O$401,$U253)="","",INDEX('Per Invoice'!O$2:O$401,$U253)))</f>
        <v/>
      </c>
      <c r="P253" s="7">
        <f>IF($U253="","",IF(INDEX('Per Invoice'!P$2:P$401,$U253)="","",INDEX('Per Invoice'!P$2:P$401,$U253)))</f>
        <v/>
      </c>
      <c r="Q253" s="7">
        <f>IF($U253="","",IF(INDEX('Per Invoice'!Q$2:Q$401,$U253)="","",INDEX('Per Invoice'!Q$2:Q$401,$U253)))</f>
        <v/>
      </c>
      <c r="R253" s="7">
        <f>IF($U253="","",IF(INDEX('Per Invoice'!R$2:R$401,$U253)="","",INDEX('Per Invoice'!R$2:R$401,$U253)))</f>
        <v/>
      </c>
      <c r="S253" s="7">
        <f>IF($U253="","",IF(INDEX('Per Invoice'!S$2:S$401,$U253)="","",INDEX('Per Invoice'!S$2:S$401,$U253)))</f>
        <v/>
      </c>
      <c r="T253" s="7">
        <f>IF($U253="","",IF(INDEX('Per Invoice'!T$2:T$401,$U253)="","",INDEX('Per Invoice'!T$2:T$401,$U253)))</f>
        <v/>
      </c>
      <c r="U253" s="16">
        <f>IFERROR(MATCH(Settings!$C$29&amp;"|"&amp;ROWS($U$2:$U253),'Per Invoice'!$V$2:$V$401,0),"")</f>
        <v/>
      </c>
    </row>
    <row r="254">
      <c r="A254">
        <f>IF($U254="","",IF(INDEX('Per Invoice'!A$2:A$401,$U254)="","",INDEX('Per Invoice'!A$2:A$401,$U254)))</f>
        <v/>
      </c>
      <c r="B254">
        <f>IF($U254="","",IF(INDEX('Per Invoice'!B$2:B$401,$U254)="","",INDEX('Per Invoice'!B$2:B$401,$U254)))</f>
        <v/>
      </c>
      <c r="C254">
        <f>IF($U254="","",IF(INDEX('Per Invoice'!C$2:C$401,$U254)="","",INDEX('Per Invoice'!C$2:C$401,$U254)))</f>
        <v/>
      </c>
      <c r="D254">
        <f>IF($U254="","",IF(INDEX('Per Invoice'!D$2:D$401,$U254)="","",INDEX('Per Invoice'!D$2:D$401,$U254)))</f>
        <v/>
      </c>
      <c r="E254">
        <f>IF($U254="","",IF(INDEX('Per Invoice'!E$2:E$401,$U254)="","",INDEX('Per Invoice'!E$2:E$401,$U254)))</f>
        <v/>
      </c>
      <c r="F254">
        <f>IF($U254="","",IF(INDEX('Per Invoice'!F$2:F$401,$U254)="","",INDEX('Per Invoice'!F$2:F$401,$U254)))</f>
        <v/>
      </c>
      <c r="G254">
        <f>IF($U254="","",IF(INDEX('Per Invoice'!G$2:G$401,$U254)="","",INDEX('Per Invoice'!G$2:G$401,$U254)))</f>
        <v/>
      </c>
      <c r="H254" s="7">
        <f>IF($U254="","",IF(INDEX('Per Invoice'!H$2:H$401,$U254)="","",INDEX('Per Invoice'!H$2:H$401,$U254)))</f>
        <v/>
      </c>
      <c r="I254" s="14">
        <f>IF($U254="","",IF(INDEX('Per Invoice'!I$2:I$401,$U254)="","",INDEX('Per Invoice'!I$2:I$401,$U254)))</f>
        <v/>
      </c>
      <c r="J254">
        <f>IF($U254="","",IF(INDEX('Per Invoice'!J$2:J$401,$U254)="","",INDEX('Per Invoice'!J$2:J$401,$U254)))</f>
        <v/>
      </c>
      <c r="K254">
        <f>IF($U254="","",IF(INDEX('Per Invoice'!K$2:K$401,$U254)="","",INDEX('Per Invoice'!K$2:K$401,$U254)))</f>
        <v/>
      </c>
      <c r="L254" s="7">
        <f>IF($U254="","",IF(INDEX('Per Invoice'!L$2:L$401,$U254)="","",INDEX('Per Invoice'!L$2:L$401,$U254)))</f>
        <v/>
      </c>
      <c r="M254" s="7">
        <f>IF($U254="","",IF(INDEX('Per Invoice'!M$2:M$401,$U254)="","",INDEX('Per Invoice'!M$2:M$401,$U254)))</f>
        <v/>
      </c>
      <c r="N254">
        <f>IF($U254="","",IF(INDEX('Per Invoice'!N$2:N$401,$U254)="","",INDEX('Per Invoice'!N$2:N$401,$U254)))</f>
        <v/>
      </c>
      <c r="O254" s="7">
        <f>IF($U254="","",IF(INDEX('Per Invoice'!O$2:O$401,$U254)="","",INDEX('Per Invoice'!O$2:O$401,$U254)))</f>
        <v/>
      </c>
      <c r="P254" s="7">
        <f>IF($U254="","",IF(INDEX('Per Invoice'!P$2:P$401,$U254)="","",INDEX('Per Invoice'!P$2:P$401,$U254)))</f>
        <v/>
      </c>
      <c r="Q254" s="7">
        <f>IF($U254="","",IF(INDEX('Per Invoice'!Q$2:Q$401,$U254)="","",INDEX('Per Invoice'!Q$2:Q$401,$U254)))</f>
        <v/>
      </c>
      <c r="R254" s="7">
        <f>IF($U254="","",IF(INDEX('Per Invoice'!R$2:R$401,$U254)="","",INDEX('Per Invoice'!R$2:R$401,$U254)))</f>
        <v/>
      </c>
      <c r="S254" s="7">
        <f>IF($U254="","",IF(INDEX('Per Invoice'!S$2:S$401,$U254)="","",INDEX('Per Invoice'!S$2:S$401,$U254)))</f>
        <v/>
      </c>
      <c r="T254" s="7">
        <f>IF($U254="","",IF(INDEX('Per Invoice'!T$2:T$401,$U254)="","",INDEX('Per Invoice'!T$2:T$401,$U254)))</f>
        <v/>
      </c>
      <c r="U254" s="16">
        <f>IFERROR(MATCH(Settings!$C$29&amp;"|"&amp;ROWS($U$2:$U254),'Per Invoice'!$V$2:$V$401,0),"")</f>
        <v/>
      </c>
    </row>
    <row r="255">
      <c r="A255">
        <f>IF($U255="","",IF(INDEX('Per Invoice'!A$2:A$401,$U255)="","",INDEX('Per Invoice'!A$2:A$401,$U255)))</f>
        <v/>
      </c>
      <c r="B255">
        <f>IF($U255="","",IF(INDEX('Per Invoice'!B$2:B$401,$U255)="","",INDEX('Per Invoice'!B$2:B$401,$U255)))</f>
        <v/>
      </c>
      <c r="C255">
        <f>IF($U255="","",IF(INDEX('Per Invoice'!C$2:C$401,$U255)="","",INDEX('Per Invoice'!C$2:C$401,$U255)))</f>
        <v/>
      </c>
      <c r="D255">
        <f>IF($U255="","",IF(INDEX('Per Invoice'!D$2:D$401,$U255)="","",INDEX('Per Invoice'!D$2:D$401,$U255)))</f>
        <v/>
      </c>
      <c r="E255">
        <f>IF($U255="","",IF(INDEX('Per Invoice'!E$2:E$401,$U255)="","",INDEX('Per Invoice'!E$2:E$401,$U255)))</f>
        <v/>
      </c>
      <c r="F255">
        <f>IF($U255="","",IF(INDEX('Per Invoice'!F$2:F$401,$U255)="","",INDEX('Per Invoice'!F$2:F$401,$U255)))</f>
        <v/>
      </c>
      <c r="G255">
        <f>IF($U255="","",IF(INDEX('Per Invoice'!G$2:G$401,$U255)="","",INDEX('Per Invoice'!G$2:G$401,$U255)))</f>
        <v/>
      </c>
      <c r="H255" s="7">
        <f>IF($U255="","",IF(INDEX('Per Invoice'!H$2:H$401,$U255)="","",INDEX('Per Invoice'!H$2:H$401,$U255)))</f>
        <v/>
      </c>
      <c r="I255" s="14">
        <f>IF($U255="","",IF(INDEX('Per Invoice'!I$2:I$401,$U255)="","",INDEX('Per Invoice'!I$2:I$401,$U255)))</f>
        <v/>
      </c>
      <c r="J255">
        <f>IF($U255="","",IF(INDEX('Per Invoice'!J$2:J$401,$U255)="","",INDEX('Per Invoice'!J$2:J$401,$U255)))</f>
        <v/>
      </c>
      <c r="K255">
        <f>IF($U255="","",IF(INDEX('Per Invoice'!K$2:K$401,$U255)="","",INDEX('Per Invoice'!K$2:K$401,$U255)))</f>
        <v/>
      </c>
      <c r="L255" s="7">
        <f>IF($U255="","",IF(INDEX('Per Invoice'!L$2:L$401,$U255)="","",INDEX('Per Invoice'!L$2:L$401,$U255)))</f>
        <v/>
      </c>
      <c r="M255" s="7">
        <f>IF($U255="","",IF(INDEX('Per Invoice'!M$2:M$401,$U255)="","",INDEX('Per Invoice'!M$2:M$401,$U255)))</f>
        <v/>
      </c>
      <c r="N255">
        <f>IF($U255="","",IF(INDEX('Per Invoice'!N$2:N$401,$U255)="","",INDEX('Per Invoice'!N$2:N$401,$U255)))</f>
        <v/>
      </c>
      <c r="O255" s="7">
        <f>IF($U255="","",IF(INDEX('Per Invoice'!O$2:O$401,$U255)="","",INDEX('Per Invoice'!O$2:O$401,$U255)))</f>
        <v/>
      </c>
      <c r="P255" s="7">
        <f>IF($U255="","",IF(INDEX('Per Invoice'!P$2:P$401,$U255)="","",INDEX('Per Invoice'!P$2:P$401,$U255)))</f>
        <v/>
      </c>
      <c r="Q255" s="7">
        <f>IF($U255="","",IF(INDEX('Per Invoice'!Q$2:Q$401,$U255)="","",INDEX('Per Invoice'!Q$2:Q$401,$U255)))</f>
        <v/>
      </c>
      <c r="R255" s="7">
        <f>IF($U255="","",IF(INDEX('Per Invoice'!R$2:R$401,$U255)="","",INDEX('Per Invoice'!R$2:R$401,$U255)))</f>
        <v/>
      </c>
      <c r="S255" s="7">
        <f>IF($U255="","",IF(INDEX('Per Invoice'!S$2:S$401,$U255)="","",INDEX('Per Invoice'!S$2:S$401,$U255)))</f>
        <v/>
      </c>
      <c r="T255" s="7">
        <f>IF($U255="","",IF(INDEX('Per Invoice'!T$2:T$401,$U255)="","",INDEX('Per Invoice'!T$2:T$401,$U255)))</f>
        <v/>
      </c>
      <c r="U255" s="16">
        <f>IFERROR(MATCH(Settings!$C$29&amp;"|"&amp;ROWS($U$2:$U255),'Per Invoice'!$V$2:$V$401,0),"")</f>
        <v/>
      </c>
    </row>
    <row r="256">
      <c r="A256">
        <f>IF($U256="","",IF(INDEX('Per Invoice'!A$2:A$401,$U256)="","",INDEX('Per Invoice'!A$2:A$401,$U256)))</f>
        <v/>
      </c>
      <c r="B256">
        <f>IF($U256="","",IF(INDEX('Per Invoice'!B$2:B$401,$U256)="","",INDEX('Per Invoice'!B$2:B$401,$U256)))</f>
        <v/>
      </c>
      <c r="C256">
        <f>IF($U256="","",IF(INDEX('Per Invoice'!C$2:C$401,$U256)="","",INDEX('Per Invoice'!C$2:C$401,$U256)))</f>
        <v/>
      </c>
      <c r="D256">
        <f>IF($U256="","",IF(INDEX('Per Invoice'!D$2:D$401,$U256)="","",INDEX('Per Invoice'!D$2:D$401,$U256)))</f>
        <v/>
      </c>
      <c r="E256">
        <f>IF($U256="","",IF(INDEX('Per Invoice'!E$2:E$401,$U256)="","",INDEX('Per Invoice'!E$2:E$401,$U256)))</f>
        <v/>
      </c>
      <c r="F256">
        <f>IF($U256="","",IF(INDEX('Per Invoice'!F$2:F$401,$U256)="","",INDEX('Per Invoice'!F$2:F$401,$U256)))</f>
        <v/>
      </c>
      <c r="G256">
        <f>IF($U256="","",IF(INDEX('Per Invoice'!G$2:G$401,$U256)="","",INDEX('Per Invoice'!G$2:G$401,$U256)))</f>
        <v/>
      </c>
      <c r="H256" s="7">
        <f>IF($U256="","",IF(INDEX('Per Invoice'!H$2:H$401,$U256)="","",INDEX('Per Invoice'!H$2:H$401,$U256)))</f>
        <v/>
      </c>
      <c r="I256" s="14">
        <f>IF($U256="","",IF(INDEX('Per Invoice'!I$2:I$401,$U256)="","",INDEX('Per Invoice'!I$2:I$401,$U256)))</f>
        <v/>
      </c>
      <c r="J256">
        <f>IF($U256="","",IF(INDEX('Per Invoice'!J$2:J$401,$U256)="","",INDEX('Per Invoice'!J$2:J$401,$U256)))</f>
        <v/>
      </c>
      <c r="K256">
        <f>IF($U256="","",IF(INDEX('Per Invoice'!K$2:K$401,$U256)="","",INDEX('Per Invoice'!K$2:K$401,$U256)))</f>
        <v/>
      </c>
      <c r="L256" s="7">
        <f>IF($U256="","",IF(INDEX('Per Invoice'!L$2:L$401,$U256)="","",INDEX('Per Invoice'!L$2:L$401,$U256)))</f>
        <v/>
      </c>
      <c r="M256" s="7">
        <f>IF($U256="","",IF(INDEX('Per Invoice'!M$2:M$401,$U256)="","",INDEX('Per Invoice'!M$2:M$401,$U256)))</f>
        <v/>
      </c>
      <c r="N256">
        <f>IF($U256="","",IF(INDEX('Per Invoice'!N$2:N$401,$U256)="","",INDEX('Per Invoice'!N$2:N$401,$U256)))</f>
        <v/>
      </c>
      <c r="O256" s="7">
        <f>IF($U256="","",IF(INDEX('Per Invoice'!O$2:O$401,$U256)="","",INDEX('Per Invoice'!O$2:O$401,$U256)))</f>
        <v/>
      </c>
      <c r="P256" s="7">
        <f>IF($U256="","",IF(INDEX('Per Invoice'!P$2:P$401,$U256)="","",INDEX('Per Invoice'!P$2:P$401,$U256)))</f>
        <v/>
      </c>
      <c r="Q256" s="7">
        <f>IF($U256="","",IF(INDEX('Per Invoice'!Q$2:Q$401,$U256)="","",INDEX('Per Invoice'!Q$2:Q$401,$U256)))</f>
        <v/>
      </c>
      <c r="R256" s="7">
        <f>IF($U256="","",IF(INDEX('Per Invoice'!R$2:R$401,$U256)="","",INDEX('Per Invoice'!R$2:R$401,$U256)))</f>
        <v/>
      </c>
      <c r="S256" s="7">
        <f>IF($U256="","",IF(INDEX('Per Invoice'!S$2:S$401,$U256)="","",INDEX('Per Invoice'!S$2:S$401,$U256)))</f>
        <v/>
      </c>
      <c r="T256" s="7">
        <f>IF($U256="","",IF(INDEX('Per Invoice'!T$2:T$401,$U256)="","",INDEX('Per Invoice'!T$2:T$401,$U256)))</f>
        <v/>
      </c>
      <c r="U256" s="16">
        <f>IFERROR(MATCH(Settings!$C$29&amp;"|"&amp;ROWS($U$2:$U256),'Per Invoice'!$V$2:$V$401,0),"")</f>
        <v/>
      </c>
    </row>
    <row r="257">
      <c r="A257">
        <f>IF($U257="","",IF(INDEX('Per Invoice'!A$2:A$401,$U257)="","",INDEX('Per Invoice'!A$2:A$401,$U257)))</f>
        <v/>
      </c>
      <c r="B257">
        <f>IF($U257="","",IF(INDEX('Per Invoice'!B$2:B$401,$U257)="","",INDEX('Per Invoice'!B$2:B$401,$U257)))</f>
        <v/>
      </c>
      <c r="C257">
        <f>IF($U257="","",IF(INDEX('Per Invoice'!C$2:C$401,$U257)="","",INDEX('Per Invoice'!C$2:C$401,$U257)))</f>
        <v/>
      </c>
      <c r="D257">
        <f>IF($U257="","",IF(INDEX('Per Invoice'!D$2:D$401,$U257)="","",INDEX('Per Invoice'!D$2:D$401,$U257)))</f>
        <v/>
      </c>
      <c r="E257">
        <f>IF($U257="","",IF(INDEX('Per Invoice'!E$2:E$401,$U257)="","",INDEX('Per Invoice'!E$2:E$401,$U257)))</f>
        <v/>
      </c>
      <c r="F257">
        <f>IF($U257="","",IF(INDEX('Per Invoice'!F$2:F$401,$U257)="","",INDEX('Per Invoice'!F$2:F$401,$U257)))</f>
        <v/>
      </c>
      <c r="G257">
        <f>IF($U257="","",IF(INDEX('Per Invoice'!G$2:G$401,$U257)="","",INDEX('Per Invoice'!G$2:G$401,$U257)))</f>
        <v/>
      </c>
      <c r="H257" s="7">
        <f>IF($U257="","",IF(INDEX('Per Invoice'!H$2:H$401,$U257)="","",INDEX('Per Invoice'!H$2:H$401,$U257)))</f>
        <v/>
      </c>
      <c r="I257" s="14">
        <f>IF($U257="","",IF(INDEX('Per Invoice'!I$2:I$401,$U257)="","",INDEX('Per Invoice'!I$2:I$401,$U257)))</f>
        <v/>
      </c>
      <c r="J257">
        <f>IF($U257="","",IF(INDEX('Per Invoice'!J$2:J$401,$U257)="","",INDEX('Per Invoice'!J$2:J$401,$U257)))</f>
        <v/>
      </c>
      <c r="K257">
        <f>IF($U257="","",IF(INDEX('Per Invoice'!K$2:K$401,$U257)="","",INDEX('Per Invoice'!K$2:K$401,$U257)))</f>
        <v/>
      </c>
      <c r="L257" s="7">
        <f>IF($U257="","",IF(INDEX('Per Invoice'!L$2:L$401,$U257)="","",INDEX('Per Invoice'!L$2:L$401,$U257)))</f>
        <v/>
      </c>
      <c r="M257" s="7">
        <f>IF($U257="","",IF(INDEX('Per Invoice'!M$2:M$401,$U257)="","",INDEX('Per Invoice'!M$2:M$401,$U257)))</f>
        <v/>
      </c>
      <c r="N257">
        <f>IF($U257="","",IF(INDEX('Per Invoice'!N$2:N$401,$U257)="","",INDEX('Per Invoice'!N$2:N$401,$U257)))</f>
        <v/>
      </c>
      <c r="O257" s="7">
        <f>IF($U257="","",IF(INDEX('Per Invoice'!O$2:O$401,$U257)="","",INDEX('Per Invoice'!O$2:O$401,$U257)))</f>
        <v/>
      </c>
      <c r="P257" s="7">
        <f>IF($U257="","",IF(INDEX('Per Invoice'!P$2:P$401,$U257)="","",INDEX('Per Invoice'!P$2:P$401,$U257)))</f>
        <v/>
      </c>
      <c r="Q257" s="7">
        <f>IF($U257="","",IF(INDEX('Per Invoice'!Q$2:Q$401,$U257)="","",INDEX('Per Invoice'!Q$2:Q$401,$U257)))</f>
        <v/>
      </c>
      <c r="R257" s="7">
        <f>IF($U257="","",IF(INDEX('Per Invoice'!R$2:R$401,$U257)="","",INDEX('Per Invoice'!R$2:R$401,$U257)))</f>
        <v/>
      </c>
      <c r="S257" s="7">
        <f>IF($U257="","",IF(INDEX('Per Invoice'!S$2:S$401,$U257)="","",INDEX('Per Invoice'!S$2:S$401,$U257)))</f>
        <v/>
      </c>
      <c r="T257" s="7">
        <f>IF($U257="","",IF(INDEX('Per Invoice'!T$2:T$401,$U257)="","",INDEX('Per Invoice'!T$2:T$401,$U257)))</f>
        <v/>
      </c>
      <c r="U257" s="16">
        <f>IFERROR(MATCH(Settings!$C$29&amp;"|"&amp;ROWS($U$2:$U257),'Per Invoice'!$V$2:$V$401,0),"")</f>
        <v/>
      </c>
    </row>
    <row r="258">
      <c r="A258">
        <f>IF($U258="","",IF(INDEX('Per Invoice'!A$2:A$401,$U258)="","",INDEX('Per Invoice'!A$2:A$401,$U258)))</f>
        <v/>
      </c>
      <c r="B258">
        <f>IF($U258="","",IF(INDEX('Per Invoice'!B$2:B$401,$U258)="","",INDEX('Per Invoice'!B$2:B$401,$U258)))</f>
        <v/>
      </c>
      <c r="C258">
        <f>IF($U258="","",IF(INDEX('Per Invoice'!C$2:C$401,$U258)="","",INDEX('Per Invoice'!C$2:C$401,$U258)))</f>
        <v/>
      </c>
      <c r="D258">
        <f>IF($U258="","",IF(INDEX('Per Invoice'!D$2:D$401,$U258)="","",INDEX('Per Invoice'!D$2:D$401,$U258)))</f>
        <v/>
      </c>
      <c r="E258">
        <f>IF($U258="","",IF(INDEX('Per Invoice'!E$2:E$401,$U258)="","",INDEX('Per Invoice'!E$2:E$401,$U258)))</f>
        <v/>
      </c>
      <c r="F258">
        <f>IF($U258="","",IF(INDEX('Per Invoice'!F$2:F$401,$U258)="","",INDEX('Per Invoice'!F$2:F$401,$U258)))</f>
        <v/>
      </c>
      <c r="G258">
        <f>IF($U258="","",IF(INDEX('Per Invoice'!G$2:G$401,$U258)="","",INDEX('Per Invoice'!G$2:G$401,$U258)))</f>
        <v/>
      </c>
      <c r="H258" s="7">
        <f>IF($U258="","",IF(INDEX('Per Invoice'!H$2:H$401,$U258)="","",INDEX('Per Invoice'!H$2:H$401,$U258)))</f>
        <v/>
      </c>
      <c r="I258" s="14">
        <f>IF($U258="","",IF(INDEX('Per Invoice'!I$2:I$401,$U258)="","",INDEX('Per Invoice'!I$2:I$401,$U258)))</f>
        <v/>
      </c>
      <c r="J258">
        <f>IF($U258="","",IF(INDEX('Per Invoice'!J$2:J$401,$U258)="","",INDEX('Per Invoice'!J$2:J$401,$U258)))</f>
        <v/>
      </c>
      <c r="K258">
        <f>IF($U258="","",IF(INDEX('Per Invoice'!K$2:K$401,$U258)="","",INDEX('Per Invoice'!K$2:K$401,$U258)))</f>
        <v/>
      </c>
      <c r="L258" s="7">
        <f>IF($U258="","",IF(INDEX('Per Invoice'!L$2:L$401,$U258)="","",INDEX('Per Invoice'!L$2:L$401,$U258)))</f>
        <v/>
      </c>
      <c r="M258" s="7">
        <f>IF($U258="","",IF(INDEX('Per Invoice'!M$2:M$401,$U258)="","",INDEX('Per Invoice'!M$2:M$401,$U258)))</f>
        <v/>
      </c>
      <c r="N258">
        <f>IF($U258="","",IF(INDEX('Per Invoice'!N$2:N$401,$U258)="","",INDEX('Per Invoice'!N$2:N$401,$U258)))</f>
        <v/>
      </c>
      <c r="O258" s="7">
        <f>IF($U258="","",IF(INDEX('Per Invoice'!O$2:O$401,$U258)="","",INDEX('Per Invoice'!O$2:O$401,$U258)))</f>
        <v/>
      </c>
      <c r="P258" s="7">
        <f>IF($U258="","",IF(INDEX('Per Invoice'!P$2:P$401,$U258)="","",INDEX('Per Invoice'!P$2:P$401,$U258)))</f>
        <v/>
      </c>
      <c r="Q258" s="7">
        <f>IF($U258="","",IF(INDEX('Per Invoice'!Q$2:Q$401,$U258)="","",INDEX('Per Invoice'!Q$2:Q$401,$U258)))</f>
        <v/>
      </c>
      <c r="R258" s="7">
        <f>IF($U258="","",IF(INDEX('Per Invoice'!R$2:R$401,$U258)="","",INDEX('Per Invoice'!R$2:R$401,$U258)))</f>
        <v/>
      </c>
      <c r="S258" s="7">
        <f>IF($U258="","",IF(INDEX('Per Invoice'!S$2:S$401,$U258)="","",INDEX('Per Invoice'!S$2:S$401,$U258)))</f>
        <v/>
      </c>
      <c r="T258" s="7">
        <f>IF($U258="","",IF(INDEX('Per Invoice'!T$2:T$401,$U258)="","",INDEX('Per Invoice'!T$2:T$401,$U258)))</f>
        <v/>
      </c>
      <c r="U258" s="16">
        <f>IFERROR(MATCH(Settings!$C$29&amp;"|"&amp;ROWS($U$2:$U258),'Per Invoice'!$V$2:$V$401,0),"")</f>
        <v/>
      </c>
    </row>
    <row r="259">
      <c r="A259">
        <f>IF($U259="","",IF(INDEX('Per Invoice'!A$2:A$401,$U259)="","",INDEX('Per Invoice'!A$2:A$401,$U259)))</f>
        <v/>
      </c>
      <c r="B259">
        <f>IF($U259="","",IF(INDEX('Per Invoice'!B$2:B$401,$U259)="","",INDEX('Per Invoice'!B$2:B$401,$U259)))</f>
        <v/>
      </c>
      <c r="C259">
        <f>IF($U259="","",IF(INDEX('Per Invoice'!C$2:C$401,$U259)="","",INDEX('Per Invoice'!C$2:C$401,$U259)))</f>
        <v/>
      </c>
      <c r="D259">
        <f>IF($U259="","",IF(INDEX('Per Invoice'!D$2:D$401,$U259)="","",INDEX('Per Invoice'!D$2:D$401,$U259)))</f>
        <v/>
      </c>
      <c r="E259">
        <f>IF($U259="","",IF(INDEX('Per Invoice'!E$2:E$401,$U259)="","",INDEX('Per Invoice'!E$2:E$401,$U259)))</f>
        <v/>
      </c>
      <c r="F259">
        <f>IF($U259="","",IF(INDEX('Per Invoice'!F$2:F$401,$U259)="","",INDEX('Per Invoice'!F$2:F$401,$U259)))</f>
        <v/>
      </c>
      <c r="G259">
        <f>IF($U259="","",IF(INDEX('Per Invoice'!G$2:G$401,$U259)="","",INDEX('Per Invoice'!G$2:G$401,$U259)))</f>
        <v/>
      </c>
      <c r="H259" s="7">
        <f>IF($U259="","",IF(INDEX('Per Invoice'!H$2:H$401,$U259)="","",INDEX('Per Invoice'!H$2:H$401,$U259)))</f>
        <v/>
      </c>
      <c r="I259" s="14">
        <f>IF($U259="","",IF(INDEX('Per Invoice'!I$2:I$401,$U259)="","",INDEX('Per Invoice'!I$2:I$401,$U259)))</f>
        <v/>
      </c>
      <c r="J259">
        <f>IF($U259="","",IF(INDEX('Per Invoice'!J$2:J$401,$U259)="","",INDEX('Per Invoice'!J$2:J$401,$U259)))</f>
        <v/>
      </c>
      <c r="K259">
        <f>IF($U259="","",IF(INDEX('Per Invoice'!K$2:K$401,$U259)="","",INDEX('Per Invoice'!K$2:K$401,$U259)))</f>
        <v/>
      </c>
      <c r="L259" s="7">
        <f>IF($U259="","",IF(INDEX('Per Invoice'!L$2:L$401,$U259)="","",INDEX('Per Invoice'!L$2:L$401,$U259)))</f>
        <v/>
      </c>
      <c r="M259" s="7">
        <f>IF($U259="","",IF(INDEX('Per Invoice'!M$2:M$401,$U259)="","",INDEX('Per Invoice'!M$2:M$401,$U259)))</f>
        <v/>
      </c>
      <c r="N259">
        <f>IF($U259="","",IF(INDEX('Per Invoice'!N$2:N$401,$U259)="","",INDEX('Per Invoice'!N$2:N$401,$U259)))</f>
        <v/>
      </c>
      <c r="O259" s="7">
        <f>IF($U259="","",IF(INDEX('Per Invoice'!O$2:O$401,$U259)="","",INDEX('Per Invoice'!O$2:O$401,$U259)))</f>
        <v/>
      </c>
      <c r="P259" s="7">
        <f>IF($U259="","",IF(INDEX('Per Invoice'!P$2:P$401,$U259)="","",INDEX('Per Invoice'!P$2:P$401,$U259)))</f>
        <v/>
      </c>
      <c r="Q259" s="7">
        <f>IF($U259="","",IF(INDEX('Per Invoice'!Q$2:Q$401,$U259)="","",INDEX('Per Invoice'!Q$2:Q$401,$U259)))</f>
        <v/>
      </c>
      <c r="R259" s="7">
        <f>IF($U259="","",IF(INDEX('Per Invoice'!R$2:R$401,$U259)="","",INDEX('Per Invoice'!R$2:R$401,$U259)))</f>
        <v/>
      </c>
      <c r="S259" s="7">
        <f>IF($U259="","",IF(INDEX('Per Invoice'!S$2:S$401,$U259)="","",INDEX('Per Invoice'!S$2:S$401,$U259)))</f>
        <v/>
      </c>
      <c r="T259" s="7">
        <f>IF($U259="","",IF(INDEX('Per Invoice'!T$2:T$401,$U259)="","",INDEX('Per Invoice'!T$2:T$401,$U259)))</f>
        <v/>
      </c>
      <c r="U259" s="16">
        <f>IFERROR(MATCH(Settings!$C$29&amp;"|"&amp;ROWS($U$2:$U259),'Per Invoice'!$V$2:$V$401,0),"")</f>
        <v/>
      </c>
    </row>
    <row r="260">
      <c r="A260">
        <f>IF($U260="","",IF(INDEX('Per Invoice'!A$2:A$401,$U260)="","",INDEX('Per Invoice'!A$2:A$401,$U260)))</f>
        <v/>
      </c>
      <c r="B260">
        <f>IF($U260="","",IF(INDEX('Per Invoice'!B$2:B$401,$U260)="","",INDEX('Per Invoice'!B$2:B$401,$U260)))</f>
        <v/>
      </c>
      <c r="C260">
        <f>IF($U260="","",IF(INDEX('Per Invoice'!C$2:C$401,$U260)="","",INDEX('Per Invoice'!C$2:C$401,$U260)))</f>
        <v/>
      </c>
      <c r="D260">
        <f>IF($U260="","",IF(INDEX('Per Invoice'!D$2:D$401,$U260)="","",INDEX('Per Invoice'!D$2:D$401,$U260)))</f>
        <v/>
      </c>
      <c r="E260">
        <f>IF($U260="","",IF(INDEX('Per Invoice'!E$2:E$401,$U260)="","",INDEX('Per Invoice'!E$2:E$401,$U260)))</f>
        <v/>
      </c>
      <c r="F260">
        <f>IF($U260="","",IF(INDEX('Per Invoice'!F$2:F$401,$U260)="","",INDEX('Per Invoice'!F$2:F$401,$U260)))</f>
        <v/>
      </c>
      <c r="G260">
        <f>IF($U260="","",IF(INDEX('Per Invoice'!G$2:G$401,$U260)="","",INDEX('Per Invoice'!G$2:G$401,$U260)))</f>
        <v/>
      </c>
      <c r="H260" s="7">
        <f>IF($U260="","",IF(INDEX('Per Invoice'!H$2:H$401,$U260)="","",INDEX('Per Invoice'!H$2:H$401,$U260)))</f>
        <v/>
      </c>
      <c r="I260" s="14">
        <f>IF($U260="","",IF(INDEX('Per Invoice'!I$2:I$401,$U260)="","",INDEX('Per Invoice'!I$2:I$401,$U260)))</f>
        <v/>
      </c>
      <c r="J260">
        <f>IF($U260="","",IF(INDEX('Per Invoice'!J$2:J$401,$U260)="","",INDEX('Per Invoice'!J$2:J$401,$U260)))</f>
        <v/>
      </c>
      <c r="K260">
        <f>IF($U260="","",IF(INDEX('Per Invoice'!K$2:K$401,$U260)="","",INDEX('Per Invoice'!K$2:K$401,$U260)))</f>
        <v/>
      </c>
      <c r="L260" s="7">
        <f>IF($U260="","",IF(INDEX('Per Invoice'!L$2:L$401,$U260)="","",INDEX('Per Invoice'!L$2:L$401,$U260)))</f>
        <v/>
      </c>
      <c r="M260" s="7">
        <f>IF($U260="","",IF(INDEX('Per Invoice'!M$2:M$401,$U260)="","",INDEX('Per Invoice'!M$2:M$401,$U260)))</f>
        <v/>
      </c>
      <c r="N260">
        <f>IF($U260="","",IF(INDEX('Per Invoice'!N$2:N$401,$U260)="","",INDEX('Per Invoice'!N$2:N$401,$U260)))</f>
        <v/>
      </c>
      <c r="O260" s="7">
        <f>IF($U260="","",IF(INDEX('Per Invoice'!O$2:O$401,$U260)="","",INDEX('Per Invoice'!O$2:O$401,$U260)))</f>
        <v/>
      </c>
      <c r="P260" s="7">
        <f>IF($U260="","",IF(INDEX('Per Invoice'!P$2:P$401,$U260)="","",INDEX('Per Invoice'!P$2:P$401,$U260)))</f>
        <v/>
      </c>
      <c r="Q260" s="7">
        <f>IF($U260="","",IF(INDEX('Per Invoice'!Q$2:Q$401,$U260)="","",INDEX('Per Invoice'!Q$2:Q$401,$U260)))</f>
        <v/>
      </c>
      <c r="R260" s="7">
        <f>IF($U260="","",IF(INDEX('Per Invoice'!R$2:R$401,$U260)="","",INDEX('Per Invoice'!R$2:R$401,$U260)))</f>
        <v/>
      </c>
      <c r="S260" s="7">
        <f>IF($U260="","",IF(INDEX('Per Invoice'!S$2:S$401,$U260)="","",INDEX('Per Invoice'!S$2:S$401,$U260)))</f>
        <v/>
      </c>
      <c r="T260" s="7">
        <f>IF($U260="","",IF(INDEX('Per Invoice'!T$2:T$401,$U260)="","",INDEX('Per Invoice'!T$2:T$401,$U260)))</f>
        <v/>
      </c>
      <c r="U260" s="16">
        <f>IFERROR(MATCH(Settings!$C$29&amp;"|"&amp;ROWS($U$2:$U260),'Per Invoice'!$V$2:$V$401,0),"")</f>
        <v/>
      </c>
    </row>
    <row r="261">
      <c r="A261">
        <f>IF($U261="","",IF(INDEX('Per Invoice'!A$2:A$401,$U261)="","",INDEX('Per Invoice'!A$2:A$401,$U261)))</f>
        <v/>
      </c>
      <c r="B261">
        <f>IF($U261="","",IF(INDEX('Per Invoice'!B$2:B$401,$U261)="","",INDEX('Per Invoice'!B$2:B$401,$U261)))</f>
        <v/>
      </c>
      <c r="C261">
        <f>IF($U261="","",IF(INDEX('Per Invoice'!C$2:C$401,$U261)="","",INDEX('Per Invoice'!C$2:C$401,$U261)))</f>
        <v/>
      </c>
      <c r="D261">
        <f>IF($U261="","",IF(INDEX('Per Invoice'!D$2:D$401,$U261)="","",INDEX('Per Invoice'!D$2:D$401,$U261)))</f>
        <v/>
      </c>
      <c r="E261">
        <f>IF($U261="","",IF(INDEX('Per Invoice'!E$2:E$401,$U261)="","",INDEX('Per Invoice'!E$2:E$401,$U261)))</f>
        <v/>
      </c>
      <c r="F261">
        <f>IF($U261="","",IF(INDEX('Per Invoice'!F$2:F$401,$U261)="","",INDEX('Per Invoice'!F$2:F$401,$U261)))</f>
        <v/>
      </c>
      <c r="G261">
        <f>IF($U261="","",IF(INDEX('Per Invoice'!G$2:G$401,$U261)="","",INDEX('Per Invoice'!G$2:G$401,$U261)))</f>
        <v/>
      </c>
      <c r="H261" s="7">
        <f>IF($U261="","",IF(INDEX('Per Invoice'!H$2:H$401,$U261)="","",INDEX('Per Invoice'!H$2:H$401,$U261)))</f>
        <v/>
      </c>
      <c r="I261" s="14">
        <f>IF($U261="","",IF(INDEX('Per Invoice'!I$2:I$401,$U261)="","",INDEX('Per Invoice'!I$2:I$401,$U261)))</f>
        <v/>
      </c>
      <c r="J261">
        <f>IF($U261="","",IF(INDEX('Per Invoice'!J$2:J$401,$U261)="","",INDEX('Per Invoice'!J$2:J$401,$U261)))</f>
        <v/>
      </c>
      <c r="K261">
        <f>IF($U261="","",IF(INDEX('Per Invoice'!K$2:K$401,$U261)="","",INDEX('Per Invoice'!K$2:K$401,$U261)))</f>
        <v/>
      </c>
      <c r="L261" s="7">
        <f>IF($U261="","",IF(INDEX('Per Invoice'!L$2:L$401,$U261)="","",INDEX('Per Invoice'!L$2:L$401,$U261)))</f>
        <v/>
      </c>
      <c r="M261" s="7">
        <f>IF($U261="","",IF(INDEX('Per Invoice'!M$2:M$401,$U261)="","",INDEX('Per Invoice'!M$2:M$401,$U261)))</f>
        <v/>
      </c>
      <c r="N261">
        <f>IF($U261="","",IF(INDEX('Per Invoice'!N$2:N$401,$U261)="","",INDEX('Per Invoice'!N$2:N$401,$U261)))</f>
        <v/>
      </c>
      <c r="O261" s="7">
        <f>IF($U261="","",IF(INDEX('Per Invoice'!O$2:O$401,$U261)="","",INDEX('Per Invoice'!O$2:O$401,$U261)))</f>
        <v/>
      </c>
      <c r="P261" s="7">
        <f>IF($U261="","",IF(INDEX('Per Invoice'!P$2:P$401,$U261)="","",INDEX('Per Invoice'!P$2:P$401,$U261)))</f>
        <v/>
      </c>
      <c r="Q261" s="7">
        <f>IF($U261="","",IF(INDEX('Per Invoice'!Q$2:Q$401,$U261)="","",INDEX('Per Invoice'!Q$2:Q$401,$U261)))</f>
        <v/>
      </c>
      <c r="R261" s="7">
        <f>IF($U261="","",IF(INDEX('Per Invoice'!R$2:R$401,$U261)="","",INDEX('Per Invoice'!R$2:R$401,$U261)))</f>
        <v/>
      </c>
      <c r="S261" s="7">
        <f>IF($U261="","",IF(INDEX('Per Invoice'!S$2:S$401,$U261)="","",INDEX('Per Invoice'!S$2:S$401,$U261)))</f>
        <v/>
      </c>
      <c r="T261" s="7">
        <f>IF($U261="","",IF(INDEX('Per Invoice'!T$2:T$401,$U261)="","",INDEX('Per Invoice'!T$2:T$401,$U261)))</f>
        <v/>
      </c>
      <c r="U261" s="16">
        <f>IFERROR(MATCH(Settings!$C$29&amp;"|"&amp;ROWS($U$2:$U261),'Per Invoice'!$V$2:$V$401,0),"")</f>
        <v/>
      </c>
    </row>
    <row r="262">
      <c r="A262">
        <f>IF($U262="","",IF(INDEX('Per Invoice'!A$2:A$401,$U262)="","",INDEX('Per Invoice'!A$2:A$401,$U262)))</f>
        <v/>
      </c>
      <c r="B262">
        <f>IF($U262="","",IF(INDEX('Per Invoice'!B$2:B$401,$U262)="","",INDEX('Per Invoice'!B$2:B$401,$U262)))</f>
        <v/>
      </c>
      <c r="C262">
        <f>IF($U262="","",IF(INDEX('Per Invoice'!C$2:C$401,$U262)="","",INDEX('Per Invoice'!C$2:C$401,$U262)))</f>
        <v/>
      </c>
      <c r="D262">
        <f>IF($U262="","",IF(INDEX('Per Invoice'!D$2:D$401,$U262)="","",INDEX('Per Invoice'!D$2:D$401,$U262)))</f>
        <v/>
      </c>
      <c r="E262">
        <f>IF($U262="","",IF(INDEX('Per Invoice'!E$2:E$401,$U262)="","",INDEX('Per Invoice'!E$2:E$401,$U262)))</f>
        <v/>
      </c>
      <c r="F262">
        <f>IF($U262="","",IF(INDEX('Per Invoice'!F$2:F$401,$U262)="","",INDEX('Per Invoice'!F$2:F$401,$U262)))</f>
        <v/>
      </c>
      <c r="G262">
        <f>IF($U262="","",IF(INDEX('Per Invoice'!G$2:G$401,$U262)="","",INDEX('Per Invoice'!G$2:G$401,$U262)))</f>
        <v/>
      </c>
      <c r="H262" s="7">
        <f>IF($U262="","",IF(INDEX('Per Invoice'!H$2:H$401,$U262)="","",INDEX('Per Invoice'!H$2:H$401,$U262)))</f>
        <v/>
      </c>
      <c r="I262" s="14">
        <f>IF($U262="","",IF(INDEX('Per Invoice'!I$2:I$401,$U262)="","",INDEX('Per Invoice'!I$2:I$401,$U262)))</f>
        <v/>
      </c>
      <c r="J262">
        <f>IF($U262="","",IF(INDEX('Per Invoice'!J$2:J$401,$U262)="","",INDEX('Per Invoice'!J$2:J$401,$U262)))</f>
        <v/>
      </c>
      <c r="K262">
        <f>IF($U262="","",IF(INDEX('Per Invoice'!K$2:K$401,$U262)="","",INDEX('Per Invoice'!K$2:K$401,$U262)))</f>
        <v/>
      </c>
      <c r="L262" s="7">
        <f>IF($U262="","",IF(INDEX('Per Invoice'!L$2:L$401,$U262)="","",INDEX('Per Invoice'!L$2:L$401,$U262)))</f>
        <v/>
      </c>
      <c r="M262" s="7">
        <f>IF($U262="","",IF(INDEX('Per Invoice'!M$2:M$401,$U262)="","",INDEX('Per Invoice'!M$2:M$401,$U262)))</f>
        <v/>
      </c>
      <c r="N262">
        <f>IF($U262="","",IF(INDEX('Per Invoice'!N$2:N$401,$U262)="","",INDEX('Per Invoice'!N$2:N$401,$U262)))</f>
        <v/>
      </c>
      <c r="O262" s="7">
        <f>IF($U262="","",IF(INDEX('Per Invoice'!O$2:O$401,$U262)="","",INDEX('Per Invoice'!O$2:O$401,$U262)))</f>
        <v/>
      </c>
      <c r="P262" s="7">
        <f>IF($U262="","",IF(INDEX('Per Invoice'!P$2:P$401,$U262)="","",INDEX('Per Invoice'!P$2:P$401,$U262)))</f>
        <v/>
      </c>
      <c r="Q262" s="7">
        <f>IF($U262="","",IF(INDEX('Per Invoice'!Q$2:Q$401,$U262)="","",INDEX('Per Invoice'!Q$2:Q$401,$U262)))</f>
        <v/>
      </c>
      <c r="R262" s="7">
        <f>IF($U262="","",IF(INDEX('Per Invoice'!R$2:R$401,$U262)="","",INDEX('Per Invoice'!R$2:R$401,$U262)))</f>
        <v/>
      </c>
      <c r="S262" s="7">
        <f>IF($U262="","",IF(INDEX('Per Invoice'!S$2:S$401,$U262)="","",INDEX('Per Invoice'!S$2:S$401,$U262)))</f>
        <v/>
      </c>
      <c r="T262" s="7">
        <f>IF($U262="","",IF(INDEX('Per Invoice'!T$2:T$401,$U262)="","",INDEX('Per Invoice'!T$2:T$401,$U262)))</f>
        <v/>
      </c>
      <c r="U262" s="16">
        <f>IFERROR(MATCH(Settings!$C$29&amp;"|"&amp;ROWS($U$2:$U262),'Per Invoice'!$V$2:$V$401,0),"")</f>
        <v/>
      </c>
    </row>
    <row r="263">
      <c r="A263">
        <f>IF($U263="","",IF(INDEX('Per Invoice'!A$2:A$401,$U263)="","",INDEX('Per Invoice'!A$2:A$401,$U263)))</f>
        <v/>
      </c>
      <c r="B263">
        <f>IF($U263="","",IF(INDEX('Per Invoice'!B$2:B$401,$U263)="","",INDEX('Per Invoice'!B$2:B$401,$U263)))</f>
        <v/>
      </c>
      <c r="C263">
        <f>IF($U263="","",IF(INDEX('Per Invoice'!C$2:C$401,$U263)="","",INDEX('Per Invoice'!C$2:C$401,$U263)))</f>
        <v/>
      </c>
      <c r="D263">
        <f>IF($U263="","",IF(INDEX('Per Invoice'!D$2:D$401,$U263)="","",INDEX('Per Invoice'!D$2:D$401,$U263)))</f>
        <v/>
      </c>
      <c r="E263">
        <f>IF($U263="","",IF(INDEX('Per Invoice'!E$2:E$401,$U263)="","",INDEX('Per Invoice'!E$2:E$401,$U263)))</f>
        <v/>
      </c>
      <c r="F263">
        <f>IF($U263="","",IF(INDEX('Per Invoice'!F$2:F$401,$U263)="","",INDEX('Per Invoice'!F$2:F$401,$U263)))</f>
        <v/>
      </c>
      <c r="G263">
        <f>IF($U263="","",IF(INDEX('Per Invoice'!G$2:G$401,$U263)="","",INDEX('Per Invoice'!G$2:G$401,$U263)))</f>
        <v/>
      </c>
      <c r="H263" s="7">
        <f>IF($U263="","",IF(INDEX('Per Invoice'!H$2:H$401,$U263)="","",INDEX('Per Invoice'!H$2:H$401,$U263)))</f>
        <v/>
      </c>
      <c r="I263" s="14">
        <f>IF($U263="","",IF(INDEX('Per Invoice'!I$2:I$401,$U263)="","",INDEX('Per Invoice'!I$2:I$401,$U263)))</f>
        <v/>
      </c>
      <c r="J263">
        <f>IF($U263="","",IF(INDEX('Per Invoice'!J$2:J$401,$U263)="","",INDEX('Per Invoice'!J$2:J$401,$U263)))</f>
        <v/>
      </c>
      <c r="K263">
        <f>IF($U263="","",IF(INDEX('Per Invoice'!K$2:K$401,$U263)="","",INDEX('Per Invoice'!K$2:K$401,$U263)))</f>
        <v/>
      </c>
      <c r="L263" s="7">
        <f>IF($U263="","",IF(INDEX('Per Invoice'!L$2:L$401,$U263)="","",INDEX('Per Invoice'!L$2:L$401,$U263)))</f>
        <v/>
      </c>
      <c r="M263" s="7">
        <f>IF($U263="","",IF(INDEX('Per Invoice'!M$2:M$401,$U263)="","",INDEX('Per Invoice'!M$2:M$401,$U263)))</f>
        <v/>
      </c>
      <c r="N263">
        <f>IF($U263="","",IF(INDEX('Per Invoice'!N$2:N$401,$U263)="","",INDEX('Per Invoice'!N$2:N$401,$U263)))</f>
        <v/>
      </c>
      <c r="O263" s="7">
        <f>IF($U263="","",IF(INDEX('Per Invoice'!O$2:O$401,$U263)="","",INDEX('Per Invoice'!O$2:O$401,$U263)))</f>
        <v/>
      </c>
      <c r="P263" s="7">
        <f>IF($U263="","",IF(INDEX('Per Invoice'!P$2:P$401,$U263)="","",INDEX('Per Invoice'!P$2:P$401,$U263)))</f>
        <v/>
      </c>
      <c r="Q263" s="7">
        <f>IF($U263="","",IF(INDEX('Per Invoice'!Q$2:Q$401,$U263)="","",INDEX('Per Invoice'!Q$2:Q$401,$U263)))</f>
        <v/>
      </c>
      <c r="R263" s="7">
        <f>IF($U263="","",IF(INDEX('Per Invoice'!R$2:R$401,$U263)="","",INDEX('Per Invoice'!R$2:R$401,$U263)))</f>
        <v/>
      </c>
      <c r="S263" s="7">
        <f>IF($U263="","",IF(INDEX('Per Invoice'!S$2:S$401,$U263)="","",INDEX('Per Invoice'!S$2:S$401,$U263)))</f>
        <v/>
      </c>
      <c r="T263" s="7">
        <f>IF($U263="","",IF(INDEX('Per Invoice'!T$2:T$401,$U263)="","",INDEX('Per Invoice'!T$2:T$401,$U263)))</f>
        <v/>
      </c>
      <c r="U263" s="16">
        <f>IFERROR(MATCH(Settings!$C$29&amp;"|"&amp;ROWS($U$2:$U263),'Per Invoice'!$V$2:$V$401,0),"")</f>
        <v/>
      </c>
    </row>
    <row r="264">
      <c r="A264">
        <f>IF($U264="","",IF(INDEX('Per Invoice'!A$2:A$401,$U264)="","",INDEX('Per Invoice'!A$2:A$401,$U264)))</f>
        <v/>
      </c>
      <c r="B264">
        <f>IF($U264="","",IF(INDEX('Per Invoice'!B$2:B$401,$U264)="","",INDEX('Per Invoice'!B$2:B$401,$U264)))</f>
        <v/>
      </c>
      <c r="C264">
        <f>IF($U264="","",IF(INDEX('Per Invoice'!C$2:C$401,$U264)="","",INDEX('Per Invoice'!C$2:C$401,$U264)))</f>
        <v/>
      </c>
      <c r="D264">
        <f>IF($U264="","",IF(INDEX('Per Invoice'!D$2:D$401,$U264)="","",INDEX('Per Invoice'!D$2:D$401,$U264)))</f>
        <v/>
      </c>
      <c r="E264">
        <f>IF($U264="","",IF(INDEX('Per Invoice'!E$2:E$401,$U264)="","",INDEX('Per Invoice'!E$2:E$401,$U264)))</f>
        <v/>
      </c>
      <c r="F264">
        <f>IF($U264="","",IF(INDEX('Per Invoice'!F$2:F$401,$U264)="","",INDEX('Per Invoice'!F$2:F$401,$U264)))</f>
        <v/>
      </c>
      <c r="G264">
        <f>IF($U264="","",IF(INDEX('Per Invoice'!G$2:G$401,$U264)="","",INDEX('Per Invoice'!G$2:G$401,$U264)))</f>
        <v/>
      </c>
      <c r="H264" s="7">
        <f>IF($U264="","",IF(INDEX('Per Invoice'!H$2:H$401,$U264)="","",INDEX('Per Invoice'!H$2:H$401,$U264)))</f>
        <v/>
      </c>
      <c r="I264" s="14">
        <f>IF($U264="","",IF(INDEX('Per Invoice'!I$2:I$401,$U264)="","",INDEX('Per Invoice'!I$2:I$401,$U264)))</f>
        <v/>
      </c>
      <c r="J264">
        <f>IF($U264="","",IF(INDEX('Per Invoice'!J$2:J$401,$U264)="","",INDEX('Per Invoice'!J$2:J$401,$U264)))</f>
        <v/>
      </c>
      <c r="K264">
        <f>IF($U264="","",IF(INDEX('Per Invoice'!K$2:K$401,$U264)="","",INDEX('Per Invoice'!K$2:K$401,$U264)))</f>
        <v/>
      </c>
      <c r="L264" s="7">
        <f>IF($U264="","",IF(INDEX('Per Invoice'!L$2:L$401,$U264)="","",INDEX('Per Invoice'!L$2:L$401,$U264)))</f>
        <v/>
      </c>
      <c r="M264" s="7">
        <f>IF($U264="","",IF(INDEX('Per Invoice'!M$2:M$401,$U264)="","",INDEX('Per Invoice'!M$2:M$401,$U264)))</f>
        <v/>
      </c>
      <c r="N264">
        <f>IF($U264="","",IF(INDEX('Per Invoice'!N$2:N$401,$U264)="","",INDEX('Per Invoice'!N$2:N$401,$U264)))</f>
        <v/>
      </c>
      <c r="O264" s="7">
        <f>IF($U264="","",IF(INDEX('Per Invoice'!O$2:O$401,$U264)="","",INDEX('Per Invoice'!O$2:O$401,$U264)))</f>
        <v/>
      </c>
      <c r="P264" s="7">
        <f>IF($U264="","",IF(INDEX('Per Invoice'!P$2:P$401,$U264)="","",INDEX('Per Invoice'!P$2:P$401,$U264)))</f>
        <v/>
      </c>
      <c r="Q264" s="7">
        <f>IF($U264="","",IF(INDEX('Per Invoice'!Q$2:Q$401,$U264)="","",INDEX('Per Invoice'!Q$2:Q$401,$U264)))</f>
        <v/>
      </c>
      <c r="R264" s="7">
        <f>IF($U264="","",IF(INDEX('Per Invoice'!R$2:R$401,$U264)="","",INDEX('Per Invoice'!R$2:R$401,$U264)))</f>
        <v/>
      </c>
      <c r="S264" s="7">
        <f>IF($U264="","",IF(INDEX('Per Invoice'!S$2:S$401,$U264)="","",INDEX('Per Invoice'!S$2:S$401,$U264)))</f>
        <v/>
      </c>
      <c r="T264" s="7">
        <f>IF($U264="","",IF(INDEX('Per Invoice'!T$2:T$401,$U264)="","",INDEX('Per Invoice'!T$2:T$401,$U264)))</f>
        <v/>
      </c>
      <c r="U264" s="16">
        <f>IFERROR(MATCH(Settings!$C$29&amp;"|"&amp;ROWS($U$2:$U264),'Per Invoice'!$V$2:$V$401,0),"")</f>
        <v/>
      </c>
    </row>
    <row r="265">
      <c r="A265">
        <f>IF($U265="","",IF(INDEX('Per Invoice'!A$2:A$401,$U265)="","",INDEX('Per Invoice'!A$2:A$401,$U265)))</f>
        <v/>
      </c>
      <c r="B265">
        <f>IF($U265="","",IF(INDEX('Per Invoice'!B$2:B$401,$U265)="","",INDEX('Per Invoice'!B$2:B$401,$U265)))</f>
        <v/>
      </c>
      <c r="C265">
        <f>IF($U265="","",IF(INDEX('Per Invoice'!C$2:C$401,$U265)="","",INDEX('Per Invoice'!C$2:C$401,$U265)))</f>
        <v/>
      </c>
      <c r="D265">
        <f>IF($U265="","",IF(INDEX('Per Invoice'!D$2:D$401,$U265)="","",INDEX('Per Invoice'!D$2:D$401,$U265)))</f>
        <v/>
      </c>
      <c r="E265">
        <f>IF($U265="","",IF(INDEX('Per Invoice'!E$2:E$401,$U265)="","",INDEX('Per Invoice'!E$2:E$401,$U265)))</f>
        <v/>
      </c>
      <c r="F265">
        <f>IF($U265="","",IF(INDEX('Per Invoice'!F$2:F$401,$U265)="","",INDEX('Per Invoice'!F$2:F$401,$U265)))</f>
        <v/>
      </c>
      <c r="G265">
        <f>IF($U265="","",IF(INDEX('Per Invoice'!G$2:G$401,$U265)="","",INDEX('Per Invoice'!G$2:G$401,$U265)))</f>
        <v/>
      </c>
      <c r="H265" s="7">
        <f>IF($U265="","",IF(INDEX('Per Invoice'!H$2:H$401,$U265)="","",INDEX('Per Invoice'!H$2:H$401,$U265)))</f>
        <v/>
      </c>
      <c r="I265" s="14">
        <f>IF($U265="","",IF(INDEX('Per Invoice'!I$2:I$401,$U265)="","",INDEX('Per Invoice'!I$2:I$401,$U265)))</f>
        <v/>
      </c>
      <c r="J265">
        <f>IF($U265="","",IF(INDEX('Per Invoice'!J$2:J$401,$U265)="","",INDEX('Per Invoice'!J$2:J$401,$U265)))</f>
        <v/>
      </c>
      <c r="K265">
        <f>IF($U265="","",IF(INDEX('Per Invoice'!K$2:K$401,$U265)="","",INDEX('Per Invoice'!K$2:K$401,$U265)))</f>
        <v/>
      </c>
      <c r="L265" s="7">
        <f>IF($U265="","",IF(INDEX('Per Invoice'!L$2:L$401,$U265)="","",INDEX('Per Invoice'!L$2:L$401,$U265)))</f>
        <v/>
      </c>
      <c r="M265" s="7">
        <f>IF($U265="","",IF(INDEX('Per Invoice'!M$2:M$401,$U265)="","",INDEX('Per Invoice'!M$2:M$401,$U265)))</f>
        <v/>
      </c>
      <c r="N265">
        <f>IF($U265="","",IF(INDEX('Per Invoice'!N$2:N$401,$U265)="","",INDEX('Per Invoice'!N$2:N$401,$U265)))</f>
        <v/>
      </c>
      <c r="O265" s="7">
        <f>IF($U265="","",IF(INDEX('Per Invoice'!O$2:O$401,$U265)="","",INDEX('Per Invoice'!O$2:O$401,$U265)))</f>
        <v/>
      </c>
      <c r="P265" s="7">
        <f>IF($U265="","",IF(INDEX('Per Invoice'!P$2:P$401,$U265)="","",INDEX('Per Invoice'!P$2:P$401,$U265)))</f>
        <v/>
      </c>
      <c r="Q265" s="7">
        <f>IF($U265="","",IF(INDEX('Per Invoice'!Q$2:Q$401,$U265)="","",INDEX('Per Invoice'!Q$2:Q$401,$U265)))</f>
        <v/>
      </c>
      <c r="R265" s="7">
        <f>IF($U265="","",IF(INDEX('Per Invoice'!R$2:R$401,$U265)="","",INDEX('Per Invoice'!R$2:R$401,$U265)))</f>
        <v/>
      </c>
      <c r="S265" s="7">
        <f>IF($U265="","",IF(INDEX('Per Invoice'!S$2:S$401,$U265)="","",INDEX('Per Invoice'!S$2:S$401,$U265)))</f>
        <v/>
      </c>
      <c r="T265" s="7">
        <f>IF($U265="","",IF(INDEX('Per Invoice'!T$2:T$401,$U265)="","",INDEX('Per Invoice'!T$2:T$401,$U265)))</f>
        <v/>
      </c>
      <c r="U265" s="16">
        <f>IFERROR(MATCH(Settings!$C$29&amp;"|"&amp;ROWS($U$2:$U265),'Per Invoice'!$V$2:$V$401,0),"")</f>
        <v/>
      </c>
    </row>
    <row r="266">
      <c r="A266">
        <f>IF($U266="","",IF(INDEX('Per Invoice'!A$2:A$401,$U266)="","",INDEX('Per Invoice'!A$2:A$401,$U266)))</f>
        <v/>
      </c>
      <c r="B266">
        <f>IF($U266="","",IF(INDEX('Per Invoice'!B$2:B$401,$U266)="","",INDEX('Per Invoice'!B$2:B$401,$U266)))</f>
        <v/>
      </c>
      <c r="C266">
        <f>IF($U266="","",IF(INDEX('Per Invoice'!C$2:C$401,$U266)="","",INDEX('Per Invoice'!C$2:C$401,$U266)))</f>
        <v/>
      </c>
      <c r="D266">
        <f>IF($U266="","",IF(INDEX('Per Invoice'!D$2:D$401,$U266)="","",INDEX('Per Invoice'!D$2:D$401,$U266)))</f>
        <v/>
      </c>
      <c r="E266">
        <f>IF($U266="","",IF(INDEX('Per Invoice'!E$2:E$401,$U266)="","",INDEX('Per Invoice'!E$2:E$401,$U266)))</f>
        <v/>
      </c>
      <c r="F266">
        <f>IF($U266="","",IF(INDEX('Per Invoice'!F$2:F$401,$U266)="","",INDEX('Per Invoice'!F$2:F$401,$U266)))</f>
        <v/>
      </c>
      <c r="G266">
        <f>IF($U266="","",IF(INDEX('Per Invoice'!G$2:G$401,$U266)="","",INDEX('Per Invoice'!G$2:G$401,$U266)))</f>
        <v/>
      </c>
      <c r="H266" s="7">
        <f>IF($U266="","",IF(INDEX('Per Invoice'!H$2:H$401,$U266)="","",INDEX('Per Invoice'!H$2:H$401,$U266)))</f>
        <v/>
      </c>
      <c r="I266" s="14">
        <f>IF($U266="","",IF(INDEX('Per Invoice'!I$2:I$401,$U266)="","",INDEX('Per Invoice'!I$2:I$401,$U266)))</f>
        <v/>
      </c>
      <c r="J266">
        <f>IF($U266="","",IF(INDEX('Per Invoice'!J$2:J$401,$U266)="","",INDEX('Per Invoice'!J$2:J$401,$U266)))</f>
        <v/>
      </c>
      <c r="K266">
        <f>IF($U266="","",IF(INDEX('Per Invoice'!K$2:K$401,$U266)="","",INDEX('Per Invoice'!K$2:K$401,$U266)))</f>
        <v/>
      </c>
      <c r="L266" s="7">
        <f>IF($U266="","",IF(INDEX('Per Invoice'!L$2:L$401,$U266)="","",INDEX('Per Invoice'!L$2:L$401,$U266)))</f>
        <v/>
      </c>
      <c r="M266" s="7">
        <f>IF($U266="","",IF(INDEX('Per Invoice'!M$2:M$401,$U266)="","",INDEX('Per Invoice'!M$2:M$401,$U266)))</f>
        <v/>
      </c>
      <c r="N266">
        <f>IF($U266="","",IF(INDEX('Per Invoice'!N$2:N$401,$U266)="","",INDEX('Per Invoice'!N$2:N$401,$U266)))</f>
        <v/>
      </c>
      <c r="O266" s="7">
        <f>IF($U266="","",IF(INDEX('Per Invoice'!O$2:O$401,$U266)="","",INDEX('Per Invoice'!O$2:O$401,$U266)))</f>
        <v/>
      </c>
      <c r="P266" s="7">
        <f>IF($U266="","",IF(INDEX('Per Invoice'!P$2:P$401,$U266)="","",INDEX('Per Invoice'!P$2:P$401,$U266)))</f>
        <v/>
      </c>
      <c r="Q266" s="7">
        <f>IF($U266="","",IF(INDEX('Per Invoice'!Q$2:Q$401,$U266)="","",INDEX('Per Invoice'!Q$2:Q$401,$U266)))</f>
        <v/>
      </c>
      <c r="R266" s="7">
        <f>IF($U266="","",IF(INDEX('Per Invoice'!R$2:R$401,$U266)="","",INDEX('Per Invoice'!R$2:R$401,$U266)))</f>
        <v/>
      </c>
      <c r="S266" s="7">
        <f>IF($U266="","",IF(INDEX('Per Invoice'!S$2:S$401,$U266)="","",INDEX('Per Invoice'!S$2:S$401,$U266)))</f>
        <v/>
      </c>
      <c r="T266" s="7">
        <f>IF($U266="","",IF(INDEX('Per Invoice'!T$2:T$401,$U266)="","",INDEX('Per Invoice'!T$2:T$401,$U266)))</f>
        <v/>
      </c>
      <c r="U266" s="16">
        <f>IFERROR(MATCH(Settings!$C$29&amp;"|"&amp;ROWS($U$2:$U266),'Per Invoice'!$V$2:$V$401,0),"")</f>
        <v/>
      </c>
    </row>
    <row r="267">
      <c r="A267">
        <f>IF($U267="","",IF(INDEX('Per Invoice'!A$2:A$401,$U267)="","",INDEX('Per Invoice'!A$2:A$401,$U267)))</f>
        <v/>
      </c>
      <c r="B267">
        <f>IF($U267="","",IF(INDEX('Per Invoice'!B$2:B$401,$U267)="","",INDEX('Per Invoice'!B$2:B$401,$U267)))</f>
        <v/>
      </c>
      <c r="C267">
        <f>IF($U267="","",IF(INDEX('Per Invoice'!C$2:C$401,$U267)="","",INDEX('Per Invoice'!C$2:C$401,$U267)))</f>
        <v/>
      </c>
      <c r="D267">
        <f>IF($U267="","",IF(INDEX('Per Invoice'!D$2:D$401,$U267)="","",INDEX('Per Invoice'!D$2:D$401,$U267)))</f>
        <v/>
      </c>
      <c r="E267">
        <f>IF($U267="","",IF(INDEX('Per Invoice'!E$2:E$401,$U267)="","",INDEX('Per Invoice'!E$2:E$401,$U267)))</f>
        <v/>
      </c>
      <c r="F267">
        <f>IF($U267="","",IF(INDEX('Per Invoice'!F$2:F$401,$U267)="","",INDEX('Per Invoice'!F$2:F$401,$U267)))</f>
        <v/>
      </c>
      <c r="G267">
        <f>IF($U267="","",IF(INDEX('Per Invoice'!G$2:G$401,$U267)="","",INDEX('Per Invoice'!G$2:G$401,$U267)))</f>
        <v/>
      </c>
      <c r="H267" s="7">
        <f>IF($U267="","",IF(INDEX('Per Invoice'!H$2:H$401,$U267)="","",INDEX('Per Invoice'!H$2:H$401,$U267)))</f>
        <v/>
      </c>
      <c r="I267" s="14">
        <f>IF($U267="","",IF(INDEX('Per Invoice'!I$2:I$401,$U267)="","",INDEX('Per Invoice'!I$2:I$401,$U267)))</f>
        <v/>
      </c>
      <c r="J267">
        <f>IF($U267="","",IF(INDEX('Per Invoice'!J$2:J$401,$U267)="","",INDEX('Per Invoice'!J$2:J$401,$U267)))</f>
        <v/>
      </c>
      <c r="K267">
        <f>IF($U267="","",IF(INDEX('Per Invoice'!K$2:K$401,$U267)="","",INDEX('Per Invoice'!K$2:K$401,$U267)))</f>
        <v/>
      </c>
      <c r="L267" s="7">
        <f>IF($U267="","",IF(INDEX('Per Invoice'!L$2:L$401,$U267)="","",INDEX('Per Invoice'!L$2:L$401,$U267)))</f>
        <v/>
      </c>
      <c r="M267" s="7">
        <f>IF($U267="","",IF(INDEX('Per Invoice'!M$2:M$401,$U267)="","",INDEX('Per Invoice'!M$2:M$401,$U267)))</f>
        <v/>
      </c>
      <c r="N267">
        <f>IF($U267="","",IF(INDEX('Per Invoice'!N$2:N$401,$U267)="","",INDEX('Per Invoice'!N$2:N$401,$U267)))</f>
        <v/>
      </c>
      <c r="O267" s="7">
        <f>IF($U267="","",IF(INDEX('Per Invoice'!O$2:O$401,$U267)="","",INDEX('Per Invoice'!O$2:O$401,$U267)))</f>
        <v/>
      </c>
      <c r="P267" s="7">
        <f>IF($U267="","",IF(INDEX('Per Invoice'!P$2:P$401,$U267)="","",INDEX('Per Invoice'!P$2:P$401,$U267)))</f>
        <v/>
      </c>
      <c r="Q267" s="7">
        <f>IF($U267="","",IF(INDEX('Per Invoice'!Q$2:Q$401,$U267)="","",INDEX('Per Invoice'!Q$2:Q$401,$U267)))</f>
        <v/>
      </c>
      <c r="R267" s="7">
        <f>IF($U267="","",IF(INDEX('Per Invoice'!R$2:R$401,$U267)="","",INDEX('Per Invoice'!R$2:R$401,$U267)))</f>
        <v/>
      </c>
      <c r="S267" s="7">
        <f>IF($U267="","",IF(INDEX('Per Invoice'!S$2:S$401,$U267)="","",INDEX('Per Invoice'!S$2:S$401,$U267)))</f>
        <v/>
      </c>
      <c r="T267" s="7">
        <f>IF($U267="","",IF(INDEX('Per Invoice'!T$2:T$401,$U267)="","",INDEX('Per Invoice'!T$2:T$401,$U267)))</f>
        <v/>
      </c>
      <c r="U267" s="16">
        <f>IFERROR(MATCH(Settings!$C$29&amp;"|"&amp;ROWS($U$2:$U267),'Per Invoice'!$V$2:$V$401,0),"")</f>
        <v/>
      </c>
    </row>
    <row r="268">
      <c r="A268">
        <f>IF($U268="","",IF(INDEX('Per Invoice'!A$2:A$401,$U268)="","",INDEX('Per Invoice'!A$2:A$401,$U268)))</f>
        <v/>
      </c>
      <c r="B268">
        <f>IF($U268="","",IF(INDEX('Per Invoice'!B$2:B$401,$U268)="","",INDEX('Per Invoice'!B$2:B$401,$U268)))</f>
        <v/>
      </c>
      <c r="C268">
        <f>IF($U268="","",IF(INDEX('Per Invoice'!C$2:C$401,$U268)="","",INDEX('Per Invoice'!C$2:C$401,$U268)))</f>
        <v/>
      </c>
      <c r="D268">
        <f>IF($U268="","",IF(INDEX('Per Invoice'!D$2:D$401,$U268)="","",INDEX('Per Invoice'!D$2:D$401,$U268)))</f>
        <v/>
      </c>
      <c r="E268">
        <f>IF($U268="","",IF(INDEX('Per Invoice'!E$2:E$401,$U268)="","",INDEX('Per Invoice'!E$2:E$401,$U268)))</f>
        <v/>
      </c>
      <c r="F268">
        <f>IF($U268="","",IF(INDEX('Per Invoice'!F$2:F$401,$U268)="","",INDEX('Per Invoice'!F$2:F$401,$U268)))</f>
        <v/>
      </c>
      <c r="G268">
        <f>IF($U268="","",IF(INDEX('Per Invoice'!G$2:G$401,$U268)="","",INDEX('Per Invoice'!G$2:G$401,$U268)))</f>
        <v/>
      </c>
      <c r="H268" s="7">
        <f>IF($U268="","",IF(INDEX('Per Invoice'!H$2:H$401,$U268)="","",INDEX('Per Invoice'!H$2:H$401,$U268)))</f>
        <v/>
      </c>
      <c r="I268" s="14">
        <f>IF($U268="","",IF(INDEX('Per Invoice'!I$2:I$401,$U268)="","",INDEX('Per Invoice'!I$2:I$401,$U268)))</f>
        <v/>
      </c>
      <c r="J268">
        <f>IF($U268="","",IF(INDEX('Per Invoice'!J$2:J$401,$U268)="","",INDEX('Per Invoice'!J$2:J$401,$U268)))</f>
        <v/>
      </c>
      <c r="K268">
        <f>IF($U268="","",IF(INDEX('Per Invoice'!K$2:K$401,$U268)="","",INDEX('Per Invoice'!K$2:K$401,$U268)))</f>
        <v/>
      </c>
      <c r="L268" s="7">
        <f>IF($U268="","",IF(INDEX('Per Invoice'!L$2:L$401,$U268)="","",INDEX('Per Invoice'!L$2:L$401,$U268)))</f>
        <v/>
      </c>
      <c r="M268" s="7">
        <f>IF($U268="","",IF(INDEX('Per Invoice'!M$2:M$401,$U268)="","",INDEX('Per Invoice'!M$2:M$401,$U268)))</f>
        <v/>
      </c>
      <c r="N268">
        <f>IF($U268="","",IF(INDEX('Per Invoice'!N$2:N$401,$U268)="","",INDEX('Per Invoice'!N$2:N$401,$U268)))</f>
        <v/>
      </c>
      <c r="O268" s="7">
        <f>IF($U268="","",IF(INDEX('Per Invoice'!O$2:O$401,$U268)="","",INDEX('Per Invoice'!O$2:O$401,$U268)))</f>
        <v/>
      </c>
      <c r="P268" s="7">
        <f>IF($U268="","",IF(INDEX('Per Invoice'!P$2:P$401,$U268)="","",INDEX('Per Invoice'!P$2:P$401,$U268)))</f>
        <v/>
      </c>
      <c r="Q268" s="7">
        <f>IF($U268="","",IF(INDEX('Per Invoice'!Q$2:Q$401,$U268)="","",INDEX('Per Invoice'!Q$2:Q$401,$U268)))</f>
        <v/>
      </c>
      <c r="R268" s="7">
        <f>IF($U268="","",IF(INDEX('Per Invoice'!R$2:R$401,$U268)="","",INDEX('Per Invoice'!R$2:R$401,$U268)))</f>
        <v/>
      </c>
      <c r="S268" s="7">
        <f>IF($U268="","",IF(INDEX('Per Invoice'!S$2:S$401,$U268)="","",INDEX('Per Invoice'!S$2:S$401,$U268)))</f>
        <v/>
      </c>
      <c r="T268" s="7">
        <f>IF($U268="","",IF(INDEX('Per Invoice'!T$2:T$401,$U268)="","",INDEX('Per Invoice'!T$2:T$401,$U268)))</f>
        <v/>
      </c>
      <c r="U268" s="16">
        <f>IFERROR(MATCH(Settings!$C$29&amp;"|"&amp;ROWS($U$2:$U268),'Per Invoice'!$V$2:$V$401,0),"")</f>
        <v/>
      </c>
    </row>
    <row r="269">
      <c r="A269">
        <f>IF($U269="","",IF(INDEX('Per Invoice'!A$2:A$401,$U269)="","",INDEX('Per Invoice'!A$2:A$401,$U269)))</f>
        <v/>
      </c>
      <c r="B269">
        <f>IF($U269="","",IF(INDEX('Per Invoice'!B$2:B$401,$U269)="","",INDEX('Per Invoice'!B$2:B$401,$U269)))</f>
        <v/>
      </c>
      <c r="C269">
        <f>IF($U269="","",IF(INDEX('Per Invoice'!C$2:C$401,$U269)="","",INDEX('Per Invoice'!C$2:C$401,$U269)))</f>
        <v/>
      </c>
      <c r="D269">
        <f>IF($U269="","",IF(INDEX('Per Invoice'!D$2:D$401,$U269)="","",INDEX('Per Invoice'!D$2:D$401,$U269)))</f>
        <v/>
      </c>
      <c r="E269">
        <f>IF($U269="","",IF(INDEX('Per Invoice'!E$2:E$401,$U269)="","",INDEX('Per Invoice'!E$2:E$401,$U269)))</f>
        <v/>
      </c>
      <c r="F269">
        <f>IF($U269="","",IF(INDEX('Per Invoice'!F$2:F$401,$U269)="","",INDEX('Per Invoice'!F$2:F$401,$U269)))</f>
        <v/>
      </c>
      <c r="G269">
        <f>IF($U269="","",IF(INDEX('Per Invoice'!G$2:G$401,$U269)="","",INDEX('Per Invoice'!G$2:G$401,$U269)))</f>
        <v/>
      </c>
      <c r="H269" s="7">
        <f>IF($U269="","",IF(INDEX('Per Invoice'!H$2:H$401,$U269)="","",INDEX('Per Invoice'!H$2:H$401,$U269)))</f>
        <v/>
      </c>
      <c r="I269" s="14">
        <f>IF($U269="","",IF(INDEX('Per Invoice'!I$2:I$401,$U269)="","",INDEX('Per Invoice'!I$2:I$401,$U269)))</f>
        <v/>
      </c>
      <c r="J269">
        <f>IF($U269="","",IF(INDEX('Per Invoice'!J$2:J$401,$U269)="","",INDEX('Per Invoice'!J$2:J$401,$U269)))</f>
        <v/>
      </c>
      <c r="K269">
        <f>IF($U269="","",IF(INDEX('Per Invoice'!K$2:K$401,$U269)="","",INDEX('Per Invoice'!K$2:K$401,$U269)))</f>
        <v/>
      </c>
      <c r="L269" s="7">
        <f>IF($U269="","",IF(INDEX('Per Invoice'!L$2:L$401,$U269)="","",INDEX('Per Invoice'!L$2:L$401,$U269)))</f>
        <v/>
      </c>
      <c r="M269" s="7">
        <f>IF($U269="","",IF(INDEX('Per Invoice'!M$2:M$401,$U269)="","",INDEX('Per Invoice'!M$2:M$401,$U269)))</f>
        <v/>
      </c>
      <c r="N269">
        <f>IF($U269="","",IF(INDEX('Per Invoice'!N$2:N$401,$U269)="","",INDEX('Per Invoice'!N$2:N$401,$U269)))</f>
        <v/>
      </c>
      <c r="O269" s="7">
        <f>IF($U269="","",IF(INDEX('Per Invoice'!O$2:O$401,$U269)="","",INDEX('Per Invoice'!O$2:O$401,$U269)))</f>
        <v/>
      </c>
      <c r="P269" s="7">
        <f>IF($U269="","",IF(INDEX('Per Invoice'!P$2:P$401,$U269)="","",INDEX('Per Invoice'!P$2:P$401,$U269)))</f>
        <v/>
      </c>
      <c r="Q269" s="7">
        <f>IF($U269="","",IF(INDEX('Per Invoice'!Q$2:Q$401,$U269)="","",INDEX('Per Invoice'!Q$2:Q$401,$U269)))</f>
        <v/>
      </c>
      <c r="R269" s="7">
        <f>IF($U269="","",IF(INDEX('Per Invoice'!R$2:R$401,$U269)="","",INDEX('Per Invoice'!R$2:R$401,$U269)))</f>
        <v/>
      </c>
      <c r="S269" s="7">
        <f>IF($U269="","",IF(INDEX('Per Invoice'!S$2:S$401,$U269)="","",INDEX('Per Invoice'!S$2:S$401,$U269)))</f>
        <v/>
      </c>
      <c r="T269" s="7">
        <f>IF($U269="","",IF(INDEX('Per Invoice'!T$2:T$401,$U269)="","",INDEX('Per Invoice'!T$2:T$401,$U269)))</f>
        <v/>
      </c>
      <c r="U269" s="16">
        <f>IFERROR(MATCH(Settings!$C$29&amp;"|"&amp;ROWS($U$2:$U269),'Per Invoice'!$V$2:$V$401,0),"")</f>
        <v/>
      </c>
    </row>
    <row r="270">
      <c r="A270">
        <f>IF($U270="","",IF(INDEX('Per Invoice'!A$2:A$401,$U270)="","",INDEX('Per Invoice'!A$2:A$401,$U270)))</f>
        <v/>
      </c>
      <c r="B270">
        <f>IF($U270="","",IF(INDEX('Per Invoice'!B$2:B$401,$U270)="","",INDEX('Per Invoice'!B$2:B$401,$U270)))</f>
        <v/>
      </c>
      <c r="C270">
        <f>IF($U270="","",IF(INDEX('Per Invoice'!C$2:C$401,$U270)="","",INDEX('Per Invoice'!C$2:C$401,$U270)))</f>
        <v/>
      </c>
      <c r="D270">
        <f>IF($U270="","",IF(INDEX('Per Invoice'!D$2:D$401,$U270)="","",INDEX('Per Invoice'!D$2:D$401,$U270)))</f>
        <v/>
      </c>
      <c r="E270">
        <f>IF($U270="","",IF(INDEX('Per Invoice'!E$2:E$401,$U270)="","",INDEX('Per Invoice'!E$2:E$401,$U270)))</f>
        <v/>
      </c>
      <c r="F270">
        <f>IF($U270="","",IF(INDEX('Per Invoice'!F$2:F$401,$U270)="","",INDEX('Per Invoice'!F$2:F$401,$U270)))</f>
        <v/>
      </c>
      <c r="G270">
        <f>IF($U270="","",IF(INDEX('Per Invoice'!G$2:G$401,$U270)="","",INDEX('Per Invoice'!G$2:G$401,$U270)))</f>
        <v/>
      </c>
      <c r="H270" s="7">
        <f>IF($U270="","",IF(INDEX('Per Invoice'!H$2:H$401,$U270)="","",INDEX('Per Invoice'!H$2:H$401,$U270)))</f>
        <v/>
      </c>
      <c r="I270" s="14">
        <f>IF($U270="","",IF(INDEX('Per Invoice'!I$2:I$401,$U270)="","",INDEX('Per Invoice'!I$2:I$401,$U270)))</f>
        <v/>
      </c>
      <c r="J270">
        <f>IF($U270="","",IF(INDEX('Per Invoice'!J$2:J$401,$U270)="","",INDEX('Per Invoice'!J$2:J$401,$U270)))</f>
        <v/>
      </c>
      <c r="K270">
        <f>IF($U270="","",IF(INDEX('Per Invoice'!K$2:K$401,$U270)="","",INDEX('Per Invoice'!K$2:K$401,$U270)))</f>
        <v/>
      </c>
      <c r="L270" s="7">
        <f>IF($U270="","",IF(INDEX('Per Invoice'!L$2:L$401,$U270)="","",INDEX('Per Invoice'!L$2:L$401,$U270)))</f>
        <v/>
      </c>
      <c r="M270" s="7">
        <f>IF($U270="","",IF(INDEX('Per Invoice'!M$2:M$401,$U270)="","",INDEX('Per Invoice'!M$2:M$401,$U270)))</f>
        <v/>
      </c>
      <c r="N270">
        <f>IF($U270="","",IF(INDEX('Per Invoice'!N$2:N$401,$U270)="","",INDEX('Per Invoice'!N$2:N$401,$U270)))</f>
        <v/>
      </c>
      <c r="O270" s="7">
        <f>IF($U270="","",IF(INDEX('Per Invoice'!O$2:O$401,$U270)="","",INDEX('Per Invoice'!O$2:O$401,$U270)))</f>
        <v/>
      </c>
      <c r="P270" s="7">
        <f>IF($U270="","",IF(INDEX('Per Invoice'!P$2:P$401,$U270)="","",INDEX('Per Invoice'!P$2:P$401,$U270)))</f>
        <v/>
      </c>
      <c r="Q270" s="7">
        <f>IF($U270="","",IF(INDEX('Per Invoice'!Q$2:Q$401,$U270)="","",INDEX('Per Invoice'!Q$2:Q$401,$U270)))</f>
        <v/>
      </c>
      <c r="R270" s="7">
        <f>IF($U270="","",IF(INDEX('Per Invoice'!R$2:R$401,$U270)="","",INDEX('Per Invoice'!R$2:R$401,$U270)))</f>
        <v/>
      </c>
      <c r="S270" s="7">
        <f>IF($U270="","",IF(INDEX('Per Invoice'!S$2:S$401,$U270)="","",INDEX('Per Invoice'!S$2:S$401,$U270)))</f>
        <v/>
      </c>
      <c r="T270" s="7">
        <f>IF($U270="","",IF(INDEX('Per Invoice'!T$2:T$401,$U270)="","",INDEX('Per Invoice'!T$2:T$401,$U270)))</f>
        <v/>
      </c>
      <c r="U270" s="16">
        <f>IFERROR(MATCH(Settings!$C$29&amp;"|"&amp;ROWS($U$2:$U270),'Per Invoice'!$V$2:$V$401,0),"")</f>
        <v/>
      </c>
    </row>
    <row r="271">
      <c r="A271">
        <f>IF($U271="","",IF(INDEX('Per Invoice'!A$2:A$401,$U271)="","",INDEX('Per Invoice'!A$2:A$401,$U271)))</f>
        <v/>
      </c>
      <c r="B271">
        <f>IF($U271="","",IF(INDEX('Per Invoice'!B$2:B$401,$U271)="","",INDEX('Per Invoice'!B$2:B$401,$U271)))</f>
        <v/>
      </c>
      <c r="C271">
        <f>IF($U271="","",IF(INDEX('Per Invoice'!C$2:C$401,$U271)="","",INDEX('Per Invoice'!C$2:C$401,$U271)))</f>
        <v/>
      </c>
      <c r="D271">
        <f>IF($U271="","",IF(INDEX('Per Invoice'!D$2:D$401,$U271)="","",INDEX('Per Invoice'!D$2:D$401,$U271)))</f>
        <v/>
      </c>
      <c r="E271">
        <f>IF($U271="","",IF(INDEX('Per Invoice'!E$2:E$401,$U271)="","",INDEX('Per Invoice'!E$2:E$401,$U271)))</f>
        <v/>
      </c>
      <c r="F271">
        <f>IF($U271="","",IF(INDEX('Per Invoice'!F$2:F$401,$U271)="","",INDEX('Per Invoice'!F$2:F$401,$U271)))</f>
        <v/>
      </c>
      <c r="G271">
        <f>IF($U271="","",IF(INDEX('Per Invoice'!G$2:G$401,$U271)="","",INDEX('Per Invoice'!G$2:G$401,$U271)))</f>
        <v/>
      </c>
      <c r="H271" s="7">
        <f>IF($U271="","",IF(INDEX('Per Invoice'!H$2:H$401,$U271)="","",INDEX('Per Invoice'!H$2:H$401,$U271)))</f>
        <v/>
      </c>
      <c r="I271" s="14">
        <f>IF($U271="","",IF(INDEX('Per Invoice'!I$2:I$401,$U271)="","",INDEX('Per Invoice'!I$2:I$401,$U271)))</f>
        <v/>
      </c>
      <c r="J271">
        <f>IF($U271="","",IF(INDEX('Per Invoice'!J$2:J$401,$U271)="","",INDEX('Per Invoice'!J$2:J$401,$U271)))</f>
        <v/>
      </c>
      <c r="K271">
        <f>IF($U271="","",IF(INDEX('Per Invoice'!K$2:K$401,$U271)="","",INDEX('Per Invoice'!K$2:K$401,$U271)))</f>
        <v/>
      </c>
      <c r="L271" s="7">
        <f>IF($U271="","",IF(INDEX('Per Invoice'!L$2:L$401,$U271)="","",INDEX('Per Invoice'!L$2:L$401,$U271)))</f>
        <v/>
      </c>
      <c r="M271" s="7">
        <f>IF($U271="","",IF(INDEX('Per Invoice'!M$2:M$401,$U271)="","",INDEX('Per Invoice'!M$2:M$401,$U271)))</f>
        <v/>
      </c>
      <c r="N271">
        <f>IF($U271="","",IF(INDEX('Per Invoice'!N$2:N$401,$U271)="","",INDEX('Per Invoice'!N$2:N$401,$U271)))</f>
        <v/>
      </c>
      <c r="O271" s="7">
        <f>IF($U271="","",IF(INDEX('Per Invoice'!O$2:O$401,$U271)="","",INDEX('Per Invoice'!O$2:O$401,$U271)))</f>
        <v/>
      </c>
      <c r="P271" s="7">
        <f>IF($U271="","",IF(INDEX('Per Invoice'!P$2:P$401,$U271)="","",INDEX('Per Invoice'!P$2:P$401,$U271)))</f>
        <v/>
      </c>
      <c r="Q271" s="7">
        <f>IF($U271="","",IF(INDEX('Per Invoice'!Q$2:Q$401,$U271)="","",INDEX('Per Invoice'!Q$2:Q$401,$U271)))</f>
        <v/>
      </c>
      <c r="R271" s="7">
        <f>IF($U271="","",IF(INDEX('Per Invoice'!R$2:R$401,$U271)="","",INDEX('Per Invoice'!R$2:R$401,$U271)))</f>
        <v/>
      </c>
      <c r="S271" s="7">
        <f>IF($U271="","",IF(INDEX('Per Invoice'!S$2:S$401,$U271)="","",INDEX('Per Invoice'!S$2:S$401,$U271)))</f>
        <v/>
      </c>
      <c r="T271" s="7">
        <f>IF($U271="","",IF(INDEX('Per Invoice'!T$2:T$401,$U271)="","",INDEX('Per Invoice'!T$2:T$401,$U271)))</f>
        <v/>
      </c>
      <c r="U271" s="16">
        <f>IFERROR(MATCH(Settings!$C$29&amp;"|"&amp;ROWS($U$2:$U271),'Per Invoice'!$V$2:$V$401,0),"")</f>
        <v/>
      </c>
    </row>
    <row r="272">
      <c r="A272">
        <f>IF($U272="","",IF(INDEX('Per Invoice'!A$2:A$401,$U272)="","",INDEX('Per Invoice'!A$2:A$401,$U272)))</f>
        <v/>
      </c>
      <c r="B272">
        <f>IF($U272="","",IF(INDEX('Per Invoice'!B$2:B$401,$U272)="","",INDEX('Per Invoice'!B$2:B$401,$U272)))</f>
        <v/>
      </c>
      <c r="C272">
        <f>IF($U272="","",IF(INDEX('Per Invoice'!C$2:C$401,$U272)="","",INDEX('Per Invoice'!C$2:C$401,$U272)))</f>
        <v/>
      </c>
      <c r="D272">
        <f>IF($U272="","",IF(INDEX('Per Invoice'!D$2:D$401,$U272)="","",INDEX('Per Invoice'!D$2:D$401,$U272)))</f>
        <v/>
      </c>
      <c r="E272">
        <f>IF($U272="","",IF(INDEX('Per Invoice'!E$2:E$401,$U272)="","",INDEX('Per Invoice'!E$2:E$401,$U272)))</f>
        <v/>
      </c>
      <c r="F272">
        <f>IF($U272="","",IF(INDEX('Per Invoice'!F$2:F$401,$U272)="","",INDEX('Per Invoice'!F$2:F$401,$U272)))</f>
        <v/>
      </c>
      <c r="G272">
        <f>IF($U272="","",IF(INDEX('Per Invoice'!G$2:G$401,$U272)="","",INDEX('Per Invoice'!G$2:G$401,$U272)))</f>
        <v/>
      </c>
      <c r="H272" s="7">
        <f>IF($U272="","",IF(INDEX('Per Invoice'!H$2:H$401,$U272)="","",INDEX('Per Invoice'!H$2:H$401,$U272)))</f>
        <v/>
      </c>
      <c r="I272" s="14">
        <f>IF($U272="","",IF(INDEX('Per Invoice'!I$2:I$401,$U272)="","",INDEX('Per Invoice'!I$2:I$401,$U272)))</f>
        <v/>
      </c>
      <c r="J272">
        <f>IF($U272="","",IF(INDEX('Per Invoice'!J$2:J$401,$U272)="","",INDEX('Per Invoice'!J$2:J$401,$U272)))</f>
        <v/>
      </c>
      <c r="K272">
        <f>IF($U272="","",IF(INDEX('Per Invoice'!K$2:K$401,$U272)="","",INDEX('Per Invoice'!K$2:K$401,$U272)))</f>
        <v/>
      </c>
      <c r="L272" s="7">
        <f>IF($U272="","",IF(INDEX('Per Invoice'!L$2:L$401,$U272)="","",INDEX('Per Invoice'!L$2:L$401,$U272)))</f>
        <v/>
      </c>
      <c r="M272" s="7">
        <f>IF($U272="","",IF(INDEX('Per Invoice'!M$2:M$401,$U272)="","",INDEX('Per Invoice'!M$2:M$401,$U272)))</f>
        <v/>
      </c>
      <c r="N272">
        <f>IF($U272="","",IF(INDEX('Per Invoice'!N$2:N$401,$U272)="","",INDEX('Per Invoice'!N$2:N$401,$U272)))</f>
        <v/>
      </c>
      <c r="O272" s="7">
        <f>IF($U272="","",IF(INDEX('Per Invoice'!O$2:O$401,$U272)="","",INDEX('Per Invoice'!O$2:O$401,$U272)))</f>
        <v/>
      </c>
      <c r="P272" s="7">
        <f>IF($U272="","",IF(INDEX('Per Invoice'!P$2:P$401,$U272)="","",INDEX('Per Invoice'!P$2:P$401,$U272)))</f>
        <v/>
      </c>
      <c r="Q272" s="7">
        <f>IF($U272="","",IF(INDEX('Per Invoice'!Q$2:Q$401,$U272)="","",INDEX('Per Invoice'!Q$2:Q$401,$U272)))</f>
        <v/>
      </c>
      <c r="R272" s="7">
        <f>IF($U272="","",IF(INDEX('Per Invoice'!R$2:R$401,$U272)="","",INDEX('Per Invoice'!R$2:R$401,$U272)))</f>
        <v/>
      </c>
      <c r="S272" s="7">
        <f>IF($U272="","",IF(INDEX('Per Invoice'!S$2:S$401,$U272)="","",INDEX('Per Invoice'!S$2:S$401,$U272)))</f>
        <v/>
      </c>
      <c r="T272" s="7">
        <f>IF($U272="","",IF(INDEX('Per Invoice'!T$2:T$401,$U272)="","",INDEX('Per Invoice'!T$2:T$401,$U272)))</f>
        <v/>
      </c>
      <c r="U272" s="16">
        <f>IFERROR(MATCH(Settings!$C$29&amp;"|"&amp;ROWS($U$2:$U272),'Per Invoice'!$V$2:$V$401,0),"")</f>
        <v/>
      </c>
    </row>
    <row r="273">
      <c r="A273">
        <f>IF($U273="","",IF(INDEX('Per Invoice'!A$2:A$401,$U273)="","",INDEX('Per Invoice'!A$2:A$401,$U273)))</f>
        <v/>
      </c>
      <c r="B273">
        <f>IF($U273="","",IF(INDEX('Per Invoice'!B$2:B$401,$U273)="","",INDEX('Per Invoice'!B$2:B$401,$U273)))</f>
        <v/>
      </c>
      <c r="C273">
        <f>IF($U273="","",IF(INDEX('Per Invoice'!C$2:C$401,$U273)="","",INDEX('Per Invoice'!C$2:C$401,$U273)))</f>
        <v/>
      </c>
      <c r="D273">
        <f>IF($U273="","",IF(INDEX('Per Invoice'!D$2:D$401,$U273)="","",INDEX('Per Invoice'!D$2:D$401,$U273)))</f>
        <v/>
      </c>
      <c r="E273">
        <f>IF($U273="","",IF(INDEX('Per Invoice'!E$2:E$401,$U273)="","",INDEX('Per Invoice'!E$2:E$401,$U273)))</f>
        <v/>
      </c>
      <c r="F273">
        <f>IF($U273="","",IF(INDEX('Per Invoice'!F$2:F$401,$U273)="","",INDEX('Per Invoice'!F$2:F$401,$U273)))</f>
        <v/>
      </c>
      <c r="G273">
        <f>IF($U273="","",IF(INDEX('Per Invoice'!G$2:G$401,$U273)="","",INDEX('Per Invoice'!G$2:G$401,$U273)))</f>
        <v/>
      </c>
      <c r="H273" s="7">
        <f>IF($U273="","",IF(INDEX('Per Invoice'!H$2:H$401,$U273)="","",INDEX('Per Invoice'!H$2:H$401,$U273)))</f>
        <v/>
      </c>
      <c r="I273" s="14">
        <f>IF($U273="","",IF(INDEX('Per Invoice'!I$2:I$401,$U273)="","",INDEX('Per Invoice'!I$2:I$401,$U273)))</f>
        <v/>
      </c>
      <c r="J273">
        <f>IF($U273="","",IF(INDEX('Per Invoice'!J$2:J$401,$U273)="","",INDEX('Per Invoice'!J$2:J$401,$U273)))</f>
        <v/>
      </c>
      <c r="K273">
        <f>IF($U273="","",IF(INDEX('Per Invoice'!K$2:K$401,$U273)="","",INDEX('Per Invoice'!K$2:K$401,$U273)))</f>
        <v/>
      </c>
      <c r="L273" s="7">
        <f>IF($U273="","",IF(INDEX('Per Invoice'!L$2:L$401,$U273)="","",INDEX('Per Invoice'!L$2:L$401,$U273)))</f>
        <v/>
      </c>
      <c r="M273" s="7">
        <f>IF($U273="","",IF(INDEX('Per Invoice'!M$2:M$401,$U273)="","",INDEX('Per Invoice'!M$2:M$401,$U273)))</f>
        <v/>
      </c>
      <c r="N273">
        <f>IF($U273="","",IF(INDEX('Per Invoice'!N$2:N$401,$U273)="","",INDEX('Per Invoice'!N$2:N$401,$U273)))</f>
        <v/>
      </c>
      <c r="O273" s="7">
        <f>IF($U273="","",IF(INDEX('Per Invoice'!O$2:O$401,$U273)="","",INDEX('Per Invoice'!O$2:O$401,$U273)))</f>
        <v/>
      </c>
      <c r="P273" s="7">
        <f>IF($U273="","",IF(INDEX('Per Invoice'!P$2:P$401,$U273)="","",INDEX('Per Invoice'!P$2:P$401,$U273)))</f>
        <v/>
      </c>
      <c r="Q273" s="7">
        <f>IF($U273="","",IF(INDEX('Per Invoice'!Q$2:Q$401,$U273)="","",INDEX('Per Invoice'!Q$2:Q$401,$U273)))</f>
        <v/>
      </c>
      <c r="R273" s="7">
        <f>IF($U273="","",IF(INDEX('Per Invoice'!R$2:R$401,$U273)="","",INDEX('Per Invoice'!R$2:R$401,$U273)))</f>
        <v/>
      </c>
      <c r="S273" s="7">
        <f>IF($U273="","",IF(INDEX('Per Invoice'!S$2:S$401,$U273)="","",INDEX('Per Invoice'!S$2:S$401,$U273)))</f>
        <v/>
      </c>
      <c r="T273" s="7">
        <f>IF($U273="","",IF(INDEX('Per Invoice'!T$2:T$401,$U273)="","",INDEX('Per Invoice'!T$2:T$401,$U273)))</f>
        <v/>
      </c>
      <c r="U273" s="16">
        <f>IFERROR(MATCH(Settings!$C$29&amp;"|"&amp;ROWS($U$2:$U273),'Per Invoice'!$V$2:$V$401,0),"")</f>
        <v/>
      </c>
    </row>
    <row r="274">
      <c r="A274">
        <f>IF($U274="","",IF(INDEX('Per Invoice'!A$2:A$401,$U274)="","",INDEX('Per Invoice'!A$2:A$401,$U274)))</f>
        <v/>
      </c>
      <c r="B274">
        <f>IF($U274="","",IF(INDEX('Per Invoice'!B$2:B$401,$U274)="","",INDEX('Per Invoice'!B$2:B$401,$U274)))</f>
        <v/>
      </c>
      <c r="C274">
        <f>IF($U274="","",IF(INDEX('Per Invoice'!C$2:C$401,$U274)="","",INDEX('Per Invoice'!C$2:C$401,$U274)))</f>
        <v/>
      </c>
      <c r="D274">
        <f>IF($U274="","",IF(INDEX('Per Invoice'!D$2:D$401,$U274)="","",INDEX('Per Invoice'!D$2:D$401,$U274)))</f>
        <v/>
      </c>
      <c r="E274">
        <f>IF($U274="","",IF(INDEX('Per Invoice'!E$2:E$401,$U274)="","",INDEX('Per Invoice'!E$2:E$401,$U274)))</f>
        <v/>
      </c>
      <c r="F274">
        <f>IF($U274="","",IF(INDEX('Per Invoice'!F$2:F$401,$U274)="","",INDEX('Per Invoice'!F$2:F$401,$U274)))</f>
        <v/>
      </c>
      <c r="G274">
        <f>IF($U274="","",IF(INDEX('Per Invoice'!G$2:G$401,$U274)="","",INDEX('Per Invoice'!G$2:G$401,$U274)))</f>
        <v/>
      </c>
      <c r="H274" s="7">
        <f>IF($U274="","",IF(INDEX('Per Invoice'!H$2:H$401,$U274)="","",INDEX('Per Invoice'!H$2:H$401,$U274)))</f>
        <v/>
      </c>
      <c r="I274" s="14">
        <f>IF($U274="","",IF(INDEX('Per Invoice'!I$2:I$401,$U274)="","",INDEX('Per Invoice'!I$2:I$401,$U274)))</f>
        <v/>
      </c>
      <c r="J274">
        <f>IF($U274="","",IF(INDEX('Per Invoice'!J$2:J$401,$U274)="","",INDEX('Per Invoice'!J$2:J$401,$U274)))</f>
        <v/>
      </c>
      <c r="K274">
        <f>IF($U274="","",IF(INDEX('Per Invoice'!K$2:K$401,$U274)="","",INDEX('Per Invoice'!K$2:K$401,$U274)))</f>
        <v/>
      </c>
      <c r="L274" s="7">
        <f>IF($U274="","",IF(INDEX('Per Invoice'!L$2:L$401,$U274)="","",INDEX('Per Invoice'!L$2:L$401,$U274)))</f>
        <v/>
      </c>
      <c r="M274" s="7">
        <f>IF($U274="","",IF(INDEX('Per Invoice'!M$2:M$401,$U274)="","",INDEX('Per Invoice'!M$2:M$401,$U274)))</f>
        <v/>
      </c>
      <c r="N274">
        <f>IF($U274="","",IF(INDEX('Per Invoice'!N$2:N$401,$U274)="","",INDEX('Per Invoice'!N$2:N$401,$U274)))</f>
        <v/>
      </c>
      <c r="O274" s="7">
        <f>IF($U274="","",IF(INDEX('Per Invoice'!O$2:O$401,$U274)="","",INDEX('Per Invoice'!O$2:O$401,$U274)))</f>
        <v/>
      </c>
      <c r="P274" s="7">
        <f>IF($U274="","",IF(INDEX('Per Invoice'!P$2:P$401,$U274)="","",INDEX('Per Invoice'!P$2:P$401,$U274)))</f>
        <v/>
      </c>
      <c r="Q274" s="7">
        <f>IF($U274="","",IF(INDEX('Per Invoice'!Q$2:Q$401,$U274)="","",INDEX('Per Invoice'!Q$2:Q$401,$U274)))</f>
        <v/>
      </c>
      <c r="R274" s="7">
        <f>IF($U274="","",IF(INDEX('Per Invoice'!R$2:R$401,$U274)="","",INDEX('Per Invoice'!R$2:R$401,$U274)))</f>
        <v/>
      </c>
      <c r="S274" s="7">
        <f>IF($U274="","",IF(INDEX('Per Invoice'!S$2:S$401,$U274)="","",INDEX('Per Invoice'!S$2:S$401,$U274)))</f>
        <v/>
      </c>
      <c r="T274" s="7">
        <f>IF($U274="","",IF(INDEX('Per Invoice'!T$2:T$401,$U274)="","",INDEX('Per Invoice'!T$2:T$401,$U274)))</f>
        <v/>
      </c>
      <c r="U274" s="16">
        <f>IFERROR(MATCH(Settings!$C$29&amp;"|"&amp;ROWS($U$2:$U274),'Per Invoice'!$V$2:$V$401,0),"")</f>
        <v/>
      </c>
    </row>
    <row r="275">
      <c r="A275">
        <f>IF($U275="","",IF(INDEX('Per Invoice'!A$2:A$401,$U275)="","",INDEX('Per Invoice'!A$2:A$401,$U275)))</f>
        <v/>
      </c>
      <c r="B275">
        <f>IF($U275="","",IF(INDEX('Per Invoice'!B$2:B$401,$U275)="","",INDEX('Per Invoice'!B$2:B$401,$U275)))</f>
        <v/>
      </c>
      <c r="C275">
        <f>IF($U275="","",IF(INDEX('Per Invoice'!C$2:C$401,$U275)="","",INDEX('Per Invoice'!C$2:C$401,$U275)))</f>
        <v/>
      </c>
      <c r="D275">
        <f>IF($U275="","",IF(INDEX('Per Invoice'!D$2:D$401,$U275)="","",INDEX('Per Invoice'!D$2:D$401,$U275)))</f>
        <v/>
      </c>
      <c r="E275">
        <f>IF($U275="","",IF(INDEX('Per Invoice'!E$2:E$401,$U275)="","",INDEX('Per Invoice'!E$2:E$401,$U275)))</f>
        <v/>
      </c>
      <c r="F275">
        <f>IF($U275="","",IF(INDEX('Per Invoice'!F$2:F$401,$U275)="","",INDEX('Per Invoice'!F$2:F$401,$U275)))</f>
        <v/>
      </c>
      <c r="G275">
        <f>IF($U275="","",IF(INDEX('Per Invoice'!G$2:G$401,$U275)="","",INDEX('Per Invoice'!G$2:G$401,$U275)))</f>
        <v/>
      </c>
      <c r="H275" s="7">
        <f>IF($U275="","",IF(INDEX('Per Invoice'!H$2:H$401,$U275)="","",INDEX('Per Invoice'!H$2:H$401,$U275)))</f>
        <v/>
      </c>
      <c r="I275" s="14">
        <f>IF($U275="","",IF(INDEX('Per Invoice'!I$2:I$401,$U275)="","",INDEX('Per Invoice'!I$2:I$401,$U275)))</f>
        <v/>
      </c>
      <c r="J275">
        <f>IF($U275="","",IF(INDEX('Per Invoice'!J$2:J$401,$U275)="","",INDEX('Per Invoice'!J$2:J$401,$U275)))</f>
        <v/>
      </c>
      <c r="K275">
        <f>IF($U275="","",IF(INDEX('Per Invoice'!K$2:K$401,$U275)="","",INDEX('Per Invoice'!K$2:K$401,$U275)))</f>
        <v/>
      </c>
      <c r="L275" s="7">
        <f>IF($U275="","",IF(INDEX('Per Invoice'!L$2:L$401,$U275)="","",INDEX('Per Invoice'!L$2:L$401,$U275)))</f>
        <v/>
      </c>
      <c r="M275" s="7">
        <f>IF($U275="","",IF(INDEX('Per Invoice'!M$2:M$401,$U275)="","",INDEX('Per Invoice'!M$2:M$401,$U275)))</f>
        <v/>
      </c>
      <c r="N275">
        <f>IF($U275="","",IF(INDEX('Per Invoice'!N$2:N$401,$U275)="","",INDEX('Per Invoice'!N$2:N$401,$U275)))</f>
        <v/>
      </c>
      <c r="O275" s="7">
        <f>IF($U275="","",IF(INDEX('Per Invoice'!O$2:O$401,$U275)="","",INDEX('Per Invoice'!O$2:O$401,$U275)))</f>
        <v/>
      </c>
      <c r="P275" s="7">
        <f>IF($U275="","",IF(INDEX('Per Invoice'!P$2:P$401,$U275)="","",INDEX('Per Invoice'!P$2:P$401,$U275)))</f>
        <v/>
      </c>
      <c r="Q275" s="7">
        <f>IF($U275="","",IF(INDEX('Per Invoice'!Q$2:Q$401,$U275)="","",INDEX('Per Invoice'!Q$2:Q$401,$U275)))</f>
        <v/>
      </c>
      <c r="R275" s="7">
        <f>IF($U275="","",IF(INDEX('Per Invoice'!R$2:R$401,$U275)="","",INDEX('Per Invoice'!R$2:R$401,$U275)))</f>
        <v/>
      </c>
      <c r="S275" s="7">
        <f>IF($U275="","",IF(INDEX('Per Invoice'!S$2:S$401,$U275)="","",INDEX('Per Invoice'!S$2:S$401,$U275)))</f>
        <v/>
      </c>
      <c r="T275" s="7">
        <f>IF($U275="","",IF(INDEX('Per Invoice'!T$2:T$401,$U275)="","",INDEX('Per Invoice'!T$2:T$401,$U275)))</f>
        <v/>
      </c>
      <c r="U275" s="16">
        <f>IFERROR(MATCH(Settings!$C$29&amp;"|"&amp;ROWS($U$2:$U275),'Per Invoice'!$V$2:$V$401,0),"")</f>
        <v/>
      </c>
    </row>
    <row r="276">
      <c r="A276">
        <f>IF($U276="","",IF(INDEX('Per Invoice'!A$2:A$401,$U276)="","",INDEX('Per Invoice'!A$2:A$401,$U276)))</f>
        <v/>
      </c>
      <c r="B276">
        <f>IF($U276="","",IF(INDEX('Per Invoice'!B$2:B$401,$U276)="","",INDEX('Per Invoice'!B$2:B$401,$U276)))</f>
        <v/>
      </c>
      <c r="C276">
        <f>IF($U276="","",IF(INDEX('Per Invoice'!C$2:C$401,$U276)="","",INDEX('Per Invoice'!C$2:C$401,$U276)))</f>
        <v/>
      </c>
      <c r="D276">
        <f>IF($U276="","",IF(INDEX('Per Invoice'!D$2:D$401,$U276)="","",INDEX('Per Invoice'!D$2:D$401,$U276)))</f>
        <v/>
      </c>
      <c r="E276">
        <f>IF($U276="","",IF(INDEX('Per Invoice'!E$2:E$401,$U276)="","",INDEX('Per Invoice'!E$2:E$401,$U276)))</f>
        <v/>
      </c>
      <c r="F276">
        <f>IF($U276="","",IF(INDEX('Per Invoice'!F$2:F$401,$U276)="","",INDEX('Per Invoice'!F$2:F$401,$U276)))</f>
        <v/>
      </c>
      <c r="G276">
        <f>IF($U276="","",IF(INDEX('Per Invoice'!G$2:G$401,$U276)="","",INDEX('Per Invoice'!G$2:G$401,$U276)))</f>
        <v/>
      </c>
      <c r="H276" s="7">
        <f>IF($U276="","",IF(INDEX('Per Invoice'!H$2:H$401,$U276)="","",INDEX('Per Invoice'!H$2:H$401,$U276)))</f>
        <v/>
      </c>
      <c r="I276" s="14">
        <f>IF($U276="","",IF(INDEX('Per Invoice'!I$2:I$401,$U276)="","",INDEX('Per Invoice'!I$2:I$401,$U276)))</f>
        <v/>
      </c>
      <c r="J276">
        <f>IF($U276="","",IF(INDEX('Per Invoice'!J$2:J$401,$U276)="","",INDEX('Per Invoice'!J$2:J$401,$U276)))</f>
        <v/>
      </c>
      <c r="K276">
        <f>IF($U276="","",IF(INDEX('Per Invoice'!K$2:K$401,$U276)="","",INDEX('Per Invoice'!K$2:K$401,$U276)))</f>
        <v/>
      </c>
      <c r="L276" s="7">
        <f>IF($U276="","",IF(INDEX('Per Invoice'!L$2:L$401,$U276)="","",INDEX('Per Invoice'!L$2:L$401,$U276)))</f>
        <v/>
      </c>
      <c r="M276" s="7">
        <f>IF($U276="","",IF(INDEX('Per Invoice'!M$2:M$401,$U276)="","",INDEX('Per Invoice'!M$2:M$401,$U276)))</f>
        <v/>
      </c>
      <c r="N276">
        <f>IF($U276="","",IF(INDEX('Per Invoice'!N$2:N$401,$U276)="","",INDEX('Per Invoice'!N$2:N$401,$U276)))</f>
        <v/>
      </c>
      <c r="O276" s="7">
        <f>IF($U276="","",IF(INDEX('Per Invoice'!O$2:O$401,$U276)="","",INDEX('Per Invoice'!O$2:O$401,$U276)))</f>
        <v/>
      </c>
      <c r="P276" s="7">
        <f>IF($U276="","",IF(INDEX('Per Invoice'!P$2:P$401,$U276)="","",INDEX('Per Invoice'!P$2:P$401,$U276)))</f>
        <v/>
      </c>
      <c r="Q276" s="7">
        <f>IF($U276="","",IF(INDEX('Per Invoice'!Q$2:Q$401,$U276)="","",INDEX('Per Invoice'!Q$2:Q$401,$U276)))</f>
        <v/>
      </c>
      <c r="R276" s="7">
        <f>IF($U276="","",IF(INDEX('Per Invoice'!R$2:R$401,$U276)="","",INDEX('Per Invoice'!R$2:R$401,$U276)))</f>
        <v/>
      </c>
      <c r="S276" s="7">
        <f>IF($U276="","",IF(INDEX('Per Invoice'!S$2:S$401,$U276)="","",INDEX('Per Invoice'!S$2:S$401,$U276)))</f>
        <v/>
      </c>
      <c r="T276" s="7">
        <f>IF($U276="","",IF(INDEX('Per Invoice'!T$2:T$401,$U276)="","",INDEX('Per Invoice'!T$2:T$401,$U276)))</f>
        <v/>
      </c>
      <c r="U276" s="16">
        <f>IFERROR(MATCH(Settings!$C$29&amp;"|"&amp;ROWS($U$2:$U276),'Per Invoice'!$V$2:$V$401,0),"")</f>
        <v/>
      </c>
    </row>
    <row r="277">
      <c r="A277">
        <f>IF($U277="","",IF(INDEX('Per Invoice'!A$2:A$401,$U277)="","",INDEX('Per Invoice'!A$2:A$401,$U277)))</f>
        <v/>
      </c>
      <c r="B277">
        <f>IF($U277="","",IF(INDEX('Per Invoice'!B$2:B$401,$U277)="","",INDEX('Per Invoice'!B$2:B$401,$U277)))</f>
        <v/>
      </c>
      <c r="C277">
        <f>IF($U277="","",IF(INDEX('Per Invoice'!C$2:C$401,$U277)="","",INDEX('Per Invoice'!C$2:C$401,$U277)))</f>
        <v/>
      </c>
      <c r="D277">
        <f>IF($U277="","",IF(INDEX('Per Invoice'!D$2:D$401,$U277)="","",INDEX('Per Invoice'!D$2:D$401,$U277)))</f>
        <v/>
      </c>
      <c r="E277">
        <f>IF($U277="","",IF(INDEX('Per Invoice'!E$2:E$401,$U277)="","",INDEX('Per Invoice'!E$2:E$401,$U277)))</f>
        <v/>
      </c>
      <c r="F277">
        <f>IF($U277="","",IF(INDEX('Per Invoice'!F$2:F$401,$U277)="","",INDEX('Per Invoice'!F$2:F$401,$U277)))</f>
        <v/>
      </c>
      <c r="G277">
        <f>IF($U277="","",IF(INDEX('Per Invoice'!G$2:G$401,$U277)="","",INDEX('Per Invoice'!G$2:G$401,$U277)))</f>
        <v/>
      </c>
      <c r="H277" s="7">
        <f>IF($U277="","",IF(INDEX('Per Invoice'!H$2:H$401,$U277)="","",INDEX('Per Invoice'!H$2:H$401,$U277)))</f>
        <v/>
      </c>
      <c r="I277" s="14">
        <f>IF($U277="","",IF(INDEX('Per Invoice'!I$2:I$401,$U277)="","",INDEX('Per Invoice'!I$2:I$401,$U277)))</f>
        <v/>
      </c>
      <c r="J277">
        <f>IF($U277="","",IF(INDEX('Per Invoice'!J$2:J$401,$U277)="","",INDEX('Per Invoice'!J$2:J$401,$U277)))</f>
        <v/>
      </c>
      <c r="K277">
        <f>IF($U277="","",IF(INDEX('Per Invoice'!K$2:K$401,$U277)="","",INDEX('Per Invoice'!K$2:K$401,$U277)))</f>
        <v/>
      </c>
      <c r="L277" s="7">
        <f>IF($U277="","",IF(INDEX('Per Invoice'!L$2:L$401,$U277)="","",INDEX('Per Invoice'!L$2:L$401,$U277)))</f>
        <v/>
      </c>
      <c r="M277" s="7">
        <f>IF($U277="","",IF(INDEX('Per Invoice'!M$2:M$401,$U277)="","",INDEX('Per Invoice'!M$2:M$401,$U277)))</f>
        <v/>
      </c>
      <c r="N277">
        <f>IF($U277="","",IF(INDEX('Per Invoice'!N$2:N$401,$U277)="","",INDEX('Per Invoice'!N$2:N$401,$U277)))</f>
        <v/>
      </c>
      <c r="O277" s="7">
        <f>IF($U277="","",IF(INDEX('Per Invoice'!O$2:O$401,$U277)="","",INDEX('Per Invoice'!O$2:O$401,$U277)))</f>
        <v/>
      </c>
      <c r="P277" s="7">
        <f>IF($U277="","",IF(INDEX('Per Invoice'!P$2:P$401,$U277)="","",INDEX('Per Invoice'!P$2:P$401,$U277)))</f>
        <v/>
      </c>
      <c r="Q277" s="7">
        <f>IF($U277="","",IF(INDEX('Per Invoice'!Q$2:Q$401,$U277)="","",INDEX('Per Invoice'!Q$2:Q$401,$U277)))</f>
        <v/>
      </c>
      <c r="R277" s="7">
        <f>IF($U277="","",IF(INDEX('Per Invoice'!R$2:R$401,$U277)="","",INDEX('Per Invoice'!R$2:R$401,$U277)))</f>
        <v/>
      </c>
      <c r="S277" s="7">
        <f>IF($U277="","",IF(INDEX('Per Invoice'!S$2:S$401,$U277)="","",INDEX('Per Invoice'!S$2:S$401,$U277)))</f>
        <v/>
      </c>
      <c r="T277" s="7">
        <f>IF($U277="","",IF(INDEX('Per Invoice'!T$2:T$401,$U277)="","",INDEX('Per Invoice'!T$2:T$401,$U277)))</f>
        <v/>
      </c>
      <c r="U277" s="16">
        <f>IFERROR(MATCH(Settings!$C$29&amp;"|"&amp;ROWS($U$2:$U277),'Per Invoice'!$V$2:$V$401,0),"")</f>
        <v/>
      </c>
    </row>
    <row r="278">
      <c r="A278">
        <f>IF($U278="","",IF(INDEX('Per Invoice'!A$2:A$401,$U278)="","",INDEX('Per Invoice'!A$2:A$401,$U278)))</f>
        <v/>
      </c>
      <c r="B278">
        <f>IF($U278="","",IF(INDEX('Per Invoice'!B$2:B$401,$U278)="","",INDEX('Per Invoice'!B$2:B$401,$U278)))</f>
        <v/>
      </c>
      <c r="C278">
        <f>IF($U278="","",IF(INDEX('Per Invoice'!C$2:C$401,$U278)="","",INDEX('Per Invoice'!C$2:C$401,$U278)))</f>
        <v/>
      </c>
      <c r="D278">
        <f>IF($U278="","",IF(INDEX('Per Invoice'!D$2:D$401,$U278)="","",INDEX('Per Invoice'!D$2:D$401,$U278)))</f>
        <v/>
      </c>
      <c r="E278">
        <f>IF($U278="","",IF(INDEX('Per Invoice'!E$2:E$401,$U278)="","",INDEX('Per Invoice'!E$2:E$401,$U278)))</f>
        <v/>
      </c>
      <c r="F278">
        <f>IF($U278="","",IF(INDEX('Per Invoice'!F$2:F$401,$U278)="","",INDEX('Per Invoice'!F$2:F$401,$U278)))</f>
        <v/>
      </c>
      <c r="G278">
        <f>IF($U278="","",IF(INDEX('Per Invoice'!G$2:G$401,$U278)="","",INDEX('Per Invoice'!G$2:G$401,$U278)))</f>
        <v/>
      </c>
      <c r="H278" s="7">
        <f>IF($U278="","",IF(INDEX('Per Invoice'!H$2:H$401,$U278)="","",INDEX('Per Invoice'!H$2:H$401,$U278)))</f>
        <v/>
      </c>
      <c r="I278" s="14">
        <f>IF($U278="","",IF(INDEX('Per Invoice'!I$2:I$401,$U278)="","",INDEX('Per Invoice'!I$2:I$401,$U278)))</f>
        <v/>
      </c>
      <c r="J278">
        <f>IF($U278="","",IF(INDEX('Per Invoice'!J$2:J$401,$U278)="","",INDEX('Per Invoice'!J$2:J$401,$U278)))</f>
        <v/>
      </c>
      <c r="K278">
        <f>IF($U278="","",IF(INDEX('Per Invoice'!K$2:K$401,$U278)="","",INDEX('Per Invoice'!K$2:K$401,$U278)))</f>
        <v/>
      </c>
      <c r="L278" s="7">
        <f>IF($U278="","",IF(INDEX('Per Invoice'!L$2:L$401,$U278)="","",INDEX('Per Invoice'!L$2:L$401,$U278)))</f>
        <v/>
      </c>
      <c r="M278" s="7">
        <f>IF($U278="","",IF(INDEX('Per Invoice'!M$2:M$401,$U278)="","",INDEX('Per Invoice'!M$2:M$401,$U278)))</f>
        <v/>
      </c>
      <c r="N278">
        <f>IF($U278="","",IF(INDEX('Per Invoice'!N$2:N$401,$U278)="","",INDEX('Per Invoice'!N$2:N$401,$U278)))</f>
        <v/>
      </c>
      <c r="O278" s="7">
        <f>IF($U278="","",IF(INDEX('Per Invoice'!O$2:O$401,$U278)="","",INDEX('Per Invoice'!O$2:O$401,$U278)))</f>
        <v/>
      </c>
      <c r="P278" s="7">
        <f>IF($U278="","",IF(INDEX('Per Invoice'!P$2:P$401,$U278)="","",INDEX('Per Invoice'!P$2:P$401,$U278)))</f>
        <v/>
      </c>
      <c r="Q278" s="7">
        <f>IF($U278="","",IF(INDEX('Per Invoice'!Q$2:Q$401,$U278)="","",INDEX('Per Invoice'!Q$2:Q$401,$U278)))</f>
        <v/>
      </c>
      <c r="R278" s="7">
        <f>IF($U278="","",IF(INDEX('Per Invoice'!R$2:R$401,$U278)="","",INDEX('Per Invoice'!R$2:R$401,$U278)))</f>
        <v/>
      </c>
      <c r="S278" s="7">
        <f>IF($U278="","",IF(INDEX('Per Invoice'!S$2:S$401,$U278)="","",INDEX('Per Invoice'!S$2:S$401,$U278)))</f>
        <v/>
      </c>
      <c r="T278" s="7">
        <f>IF($U278="","",IF(INDEX('Per Invoice'!T$2:T$401,$U278)="","",INDEX('Per Invoice'!T$2:T$401,$U278)))</f>
        <v/>
      </c>
      <c r="U278" s="16">
        <f>IFERROR(MATCH(Settings!$C$29&amp;"|"&amp;ROWS($U$2:$U278),'Per Invoice'!$V$2:$V$401,0),"")</f>
        <v/>
      </c>
    </row>
    <row r="279">
      <c r="A279">
        <f>IF($U279="","",IF(INDEX('Per Invoice'!A$2:A$401,$U279)="","",INDEX('Per Invoice'!A$2:A$401,$U279)))</f>
        <v/>
      </c>
      <c r="B279">
        <f>IF($U279="","",IF(INDEX('Per Invoice'!B$2:B$401,$U279)="","",INDEX('Per Invoice'!B$2:B$401,$U279)))</f>
        <v/>
      </c>
      <c r="C279">
        <f>IF($U279="","",IF(INDEX('Per Invoice'!C$2:C$401,$U279)="","",INDEX('Per Invoice'!C$2:C$401,$U279)))</f>
        <v/>
      </c>
      <c r="D279">
        <f>IF($U279="","",IF(INDEX('Per Invoice'!D$2:D$401,$U279)="","",INDEX('Per Invoice'!D$2:D$401,$U279)))</f>
        <v/>
      </c>
      <c r="E279">
        <f>IF($U279="","",IF(INDEX('Per Invoice'!E$2:E$401,$U279)="","",INDEX('Per Invoice'!E$2:E$401,$U279)))</f>
        <v/>
      </c>
      <c r="F279">
        <f>IF($U279="","",IF(INDEX('Per Invoice'!F$2:F$401,$U279)="","",INDEX('Per Invoice'!F$2:F$401,$U279)))</f>
        <v/>
      </c>
      <c r="G279">
        <f>IF($U279="","",IF(INDEX('Per Invoice'!G$2:G$401,$U279)="","",INDEX('Per Invoice'!G$2:G$401,$U279)))</f>
        <v/>
      </c>
      <c r="H279" s="7">
        <f>IF($U279="","",IF(INDEX('Per Invoice'!H$2:H$401,$U279)="","",INDEX('Per Invoice'!H$2:H$401,$U279)))</f>
        <v/>
      </c>
      <c r="I279" s="14">
        <f>IF($U279="","",IF(INDEX('Per Invoice'!I$2:I$401,$U279)="","",INDEX('Per Invoice'!I$2:I$401,$U279)))</f>
        <v/>
      </c>
      <c r="J279">
        <f>IF($U279="","",IF(INDEX('Per Invoice'!J$2:J$401,$U279)="","",INDEX('Per Invoice'!J$2:J$401,$U279)))</f>
        <v/>
      </c>
      <c r="K279">
        <f>IF($U279="","",IF(INDEX('Per Invoice'!K$2:K$401,$U279)="","",INDEX('Per Invoice'!K$2:K$401,$U279)))</f>
        <v/>
      </c>
      <c r="L279" s="7">
        <f>IF($U279="","",IF(INDEX('Per Invoice'!L$2:L$401,$U279)="","",INDEX('Per Invoice'!L$2:L$401,$U279)))</f>
        <v/>
      </c>
      <c r="M279" s="7">
        <f>IF($U279="","",IF(INDEX('Per Invoice'!M$2:M$401,$U279)="","",INDEX('Per Invoice'!M$2:M$401,$U279)))</f>
        <v/>
      </c>
      <c r="N279">
        <f>IF($U279="","",IF(INDEX('Per Invoice'!N$2:N$401,$U279)="","",INDEX('Per Invoice'!N$2:N$401,$U279)))</f>
        <v/>
      </c>
      <c r="O279" s="7">
        <f>IF($U279="","",IF(INDEX('Per Invoice'!O$2:O$401,$U279)="","",INDEX('Per Invoice'!O$2:O$401,$U279)))</f>
        <v/>
      </c>
      <c r="P279" s="7">
        <f>IF($U279="","",IF(INDEX('Per Invoice'!P$2:P$401,$U279)="","",INDEX('Per Invoice'!P$2:P$401,$U279)))</f>
        <v/>
      </c>
      <c r="Q279" s="7">
        <f>IF($U279="","",IF(INDEX('Per Invoice'!Q$2:Q$401,$U279)="","",INDEX('Per Invoice'!Q$2:Q$401,$U279)))</f>
        <v/>
      </c>
      <c r="R279" s="7">
        <f>IF($U279="","",IF(INDEX('Per Invoice'!R$2:R$401,$U279)="","",INDEX('Per Invoice'!R$2:R$401,$U279)))</f>
        <v/>
      </c>
      <c r="S279" s="7">
        <f>IF($U279="","",IF(INDEX('Per Invoice'!S$2:S$401,$U279)="","",INDEX('Per Invoice'!S$2:S$401,$U279)))</f>
        <v/>
      </c>
      <c r="T279" s="7">
        <f>IF($U279="","",IF(INDEX('Per Invoice'!T$2:T$401,$U279)="","",INDEX('Per Invoice'!T$2:T$401,$U279)))</f>
        <v/>
      </c>
      <c r="U279" s="16">
        <f>IFERROR(MATCH(Settings!$C$29&amp;"|"&amp;ROWS($U$2:$U279),'Per Invoice'!$V$2:$V$401,0),"")</f>
        <v/>
      </c>
    </row>
    <row r="280">
      <c r="A280">
        <f>IF($U280="","",IF(INDEX('Per Invoice'!A$2:A$401,$U280)="","",INDEX('Per Invoice'!A$2:A$401,$U280)))</f>
        <v/>
      </c>
      <c r="B280">
        <f>IF($U280="","",IF(INDEX('Per Invoice'!B$2:B$401,$U280)="","",INDEX('Per Invoice'!B$2:B$401,$U280)))</f>
        <v/>
      </c>
      <c r="C280">
        <f>IF($U280="","",IF(INDEX('Per Invoice'!C$2:C$401,$U280)="","",INDEX('Per Invoice'!C$2:C$401,$U280)))</f>
        <v/>
      </c>
      <c r="D280">
        <f>IF($U280="","",IF(INDEX('Per Invoice'!D$2:D$401,$U280)="","",INDEX('Per Invoice'!D$2:D$401,$U280)))</f>
        <v/>
      </c>
      <c r="E280">
        <f>IF($U280="","",IF(INDEX('Per Invoice'!E$2:E$401,$U280)="","",INDEX('Per Invoice'!E$2:E$401,$U280)))</f>
        <v/>
      </c>
      <c r="F280">
        <f>IF($U280="","",IF(INDEX('Per Invoice'!F$2:F$401,$U280)="","",INDEX('Per Invoice'!F$2:F$401,$U280)))</f>
        <v/>
      </c>
      <c r="G280">
        <f>IF($U280="","",IF(INDEX('Per Invoice'!G$2:G$401,$U280)="","",INDEX('Per Invoice'!G$2:G$401,$U280)))</f>
        <v/>
      </c>
      <c r="H280" s="7">
        <f>IF($U280="","",IF(INDEX('Per Invoice'!H$2:H$401,$U280)="","",INDEX('Per Invoice'!H$2:H$401,$U280)))</f>
        <v/>
      </c>
      <c r="I280" s="14">
        <f>IF($U280="","",IF(INDEX('Per Invoice'!I$2:I$401,$U280)="","",INDEX('Per Invoice'!I$2:I$401,$U280)))</f>
        <v/>
      </c>
      <c r="J280">
        <f>IF($U280="","",IF(INDEX('Per Invoice'!J$2:J$401,$U280)="","",INDEX('Per Invoice'!J$2:J$401,$U280)))</f>
        <v/>
      </c>
      <c r="K280">
        <f>IF($U280="","",IF(INDEX('Per Invoice'!K$2:K$401,$U280)="","",INDEX('Per Invoice'!K$2:K$401,$U280)))</f>
        <v/>
      </c>
      <c r="L280" s="7">
        <f>IF($U280="","",IF(INDEX('Per Invoice'!L$2:L$401,$U280)="","",INDEX('Per Invoice'!L$2:L$401,$U280)))</f>
        <v/>
      </c>
      <c r="M280" s="7">
        <f>IF($U280="","",IF(INDEX('Per Invoice'!M$2:M$401,$U280)="","",INDEX('Per Invoice'!M$2:M$401,$U280)))</f>
        <v/>
      </c>
      <c r="N280">
        <f>IF($U280="","",IF(INDEX('Per Invoice'!N$2:N$401,$U280)="","",INDEX('Per Invoice'!N$2:N$401,$U280)))</f>
        <v/>
      </c>
      <c r="O280" s="7">
        <f>IF($U280="","",IF(INDEX('Per Invoice'!O$2:O$401,$U280)="","",INDEX('Per Invoice'!O$2:O$401,$U280)))</f>
        <v/>
      </c>
      <c r="P280" s="7">
        <f>IF($U280="","",IF(INDEX('Per Invoice'!P$2:P$401,$U280)="","",INDEX('Per Invoice'!P$2:P$401,$U280)))</f>
        <v/>
      </c>
      <c r="Q280" s="7">
        <f>IF($U280="","",IF(INDEX('Per Invoice'!Q$2:Q$401,$U280)="","",INDEX('Per Invoice'!Q$2:Q$401,$U280)))</f>
        <v/>
      </c>
      <c r="R280" s="7">
        <f>IF($U280="","",IF(INDEX('Per Invoice'!R$2:R$401,$U280)="","",INDEX('Per Invoice'!R$2:R$401,$U280)))</f>
        <v/>
      </c>
      <c r="S280" s="7">
        <f>IF($U280="","",IF(INDEX('Per Invoice'!S$2:S$401,$U280)="","",INDEX('Per Invoice'!S$2:S$401,$U280)))</f>
        <v/>
      </c>
      <c r="T280" s="7">
        <f>IF($U280="","",IF(INDEX('Per Invoice'!T$2:T$401,$U280)="","",INDEX('Per Invoice'!T$2:T$401,$U280)))</f>
        <v/>
      </c>
      <c r="U280" s="16">
        <f>IFERROR(MATCH(Settings!$C$29&amp;"|"&amp;ROWS($U$2:$U280),'Per Invoice'!$V$2:$V$401,0),"")</f>
        <v/>
      </c>
    </row>
    <row r="281">
      <c r="A281">
        <f>IF($U281="","",IF(INDEX('Per Invoice'!A$2:A$401,$U281)="","",INDEX('Per Invoice'!A$2:A$401,$U281)))</f>
        <v/>
      </c>
      <c r="B281">
        <f>IF($U281="","",IF(INDEX('Per Invoice'!B$2:B$401,$U281)="","",INDEX('Per Invoice'!B$2:B$401,$U281)))</f>
        <v/>
      </c>
      <c r="C281">
        <f>IF($U281="","",IF(INDEX('Per Invoice'!C$2:C$401,$U281)="","",INDEX('Per Invoice'!C$2:C$401,$U281)))</f>
        <v/>
      </c>
      <c r="D281">
        <f>IF($U281="","",IF(INDEX('Per Invoice'!D$2:D$401,$U281)="","",INDEX('Per Invoice'!D$2:D$401,$U281)))</f>
        <v/>
      </c>
      <c r="E281">
        <f>IF($U281="","",IF(INDEX('Per Invoice'!E$2:E$401,$U281)="","",INDEX('Per Invoice'!E$2:E$401,$U281)))</f>
        <v/>
      </c>
      <c r="F281">
        <f>IF($U281="","",IF(INDEX('Per Invoice'!F$2:F$401,$U281)="","",INDEX('Per Invoice'!F$2:F$401,$U281)))</f>
        <v/>
      </c>
      <c r="G281">
        <f>IF($U281="","",IF(INDEX('Per Invoice'!G$2:G$401,$U281)="","",INDEX('Per Invoice'!G$2:G$401,$U281)))</f>
        <v/>
      </c>
      <c r="H281" s="7">
        <f>IF($U281="","",IF(INDEX('Per Invoice'!H$2:H$401,$U281)="","",INDEX('Per Invoice'!H$2:H$401,$U281)))</f>
        <v/>
      </c>
      <c r="I281" s="14">
        <f>IF($U281="","",IF(INDEX('Per Invoice'!I$2:I$401,$U281)="","",INDEX('Per Invoice'!I$2:I$401,$U281)))</f>
        <v/>
      </c>
      <c r="J281">
        <f>IF($U281="","",IF(INDEX('Per Invoice'!J$2:J$401,$U281)="","",INDEX('Per Invoice'!J$2:J$401,$U281)))</f>
        <v/>
      </c>
      <c r="K281">
        <f>IF($U281="","",IF(INDEX('Per Invoice'!K$2:K$401,$U281)="","",INDEX('Per Invoice'!K$2:K$401,$U281)))</f>
        <v/>
      </c>
      <c r="L281" s="7">
        <f>IF($U281="","",IF(INDEX('Per Invoice'!L$2:L$401,$U281)="","",INDEX('Per Invoice'!L$2:L$401,$U281)))</f>
        <v/>
      </c>
      <c r="M281" s="7">
        <f>IF($U281="","",IF(INDEX('Per Invoice'!M$2:M$401,$U281)="","",INDEX('Per Invoice'!M$2:M$401,$U281)))</f>
        <v/>
      </c>
      <c r="N281">
        <f>IF($U281="","",IF(INDEX('Per Invoice'!N$2:N$401,$U281)="","",INDEX('Per Invoice'!N$2:N$401,$U281)))</f>
        <v/>
      </c>
      <c r="O281" s="7">
        <f>IF($U281="","",IF(INDEX('Per Invoice'!O$2:O$401,$U281)="","",INDEX('Per Invoice'!O$2:O$401,$U281)))</f>
        <v/>
      </c>
      <c r="P281" s="7">
        <f>IF($U281="","",IF(INDEX('Per Invoice'!P$2:P$401,$U281)="","",INDEX('Per Invoice'!P$2:P$401,$U281)))</f>
        <v/>
      </c>
      <c r="Q281" s="7">
        <f>IF($U281="","",IF(INDEX('Per Invoice'!Q$2:Q$401,$U281)="","",INDEX('Per Invoice'!Q$2:Q$401,$U281)))</f>
        <v/>
      </c>
      <c r="R281" s="7">
        <f>IF($U281="","",IF(INDEX('Per Invoice'!R$2:R$401,$U281)="","",INDEX('Per Invoice'!R$2:R$401,$U281)))</f>
        <v/>
      </c>
      <c r="S281" s="7">
        <f>IF($U281="","",IF(INDEX('Per Invoice'!S$2:S$401,$U281)="","",INDEX('Per Invoice'!S$2:S$401,$U281)))</f>
        <v/>
      </c>
      <c r="T281" s="7">
        <f>IF($U281="","",IF(INDEX('Per Invoice'!T$2:T$401,$U281)="","",INDEX('Per Invoice'!T$2:T$401,$U281)))</f>
        <v/>
      </c>
      <c r="U281" s="16">
        <f>IFERROR(MATCH(Settings!$C$29&amp;"|"&amp;ROWS($U$2:$U281),'Per Invoice'!$V$2:$V$401,0),"")</f>
        <v/>
      </c>
    </row>
    <row r="282">
      <c r="A282">
        <f>IF($U282="","",IF(INDEX('Per Invoice'!A$2:A$401,$U282)="","",INDEX('Per Invoice'!A$2:A$401,$U282)))</f>
        <v/>
      </c>
      <c r="B282">
        <f>IF($U282="","",IF(INDEX('Per Invoice'!B$2:B$401,$U282)="","",INDEX('Per Invoice'!B$2:B$401,$U282)))</f>
        <v/>
      </c>
      <c r="C282">
        <f>IF($U282="","",IF(INDEX('Per Invoice'!C$2:C$401,$U282)="","",INDEX('Per Invoice'!C$2:C$401,$U282)))</f>
        <v/>
      </c>
      <c r="D282">
        <f>IF($U282="","",IF(INDEX('Per Invoice'!D$2:D$401,$U282)="","",INDEX('Per Invoice'!D$2:D$401,$U282)))</f>
        <v/>
      </c>
      <c r="E282">
        <f>IF($U282="","",IF(INDEX('Per Invoice'!E$2:E$401,$U282)="","",INDEX('Per Invoice'!E$2:E$401,$U282)))</f>
        <v/>
      </c>
      <c r="F282">
        <f>IF($U282="","",IF(INDEX('Per Invoice'!F$2:F$401,$U282)="","",INDEX('Per Invoice'!F$2:F$401,$U282)))</f>
        <v/>
      </c>
      <c r="G282">
        <f>IF($U282="","",IF(INDEX('Per Invoice'!G$2:G$401,$U282)="","",INDEX('Per Invoice'!G$2:G$401,$U282)))</f>
        <v/>
      </c>
      <c r="H282" s="7">
        <f>IF($U282="","",IF(INDEX('Per Invoice'!H$2:H$401,$U282)="","",INDEX('Per Invoice'!H$2:H$401,$U282)))</f>
        <v/>
      </c>
      <c r="I282" s="14">
        <f>IF($U282="","",IF(INDEX('Per Invoice'!I$2:I$401,$U282)="","",INDEX('Per Invoice'!I$2:I$401,$U282)))</f>
        <v/>
      </c>
      <c r="J282">
        <f>IF($U282="","",IF(INDEX('Per Invoice'!J$2:J$401,$U282)="","",INDEX('Per Invoice'!J$2:J$401,$U282)))</f>
        <v/>
      </c>
      <c r="K282">
        <f>IF($U282="","",IF(INDEX('Per Invoice'!K$2:K$401,$U282)="","",INDEX('Per Invoice'!K$2:K$401,$U282)))</f>
        <v/>
      </c>
      <c r="L282" s="7">
        <f>IF($U282="","",IF(INDEX('Per Invoice'!L$2:L$401,$U282)="","",INDEX('Per Invoice'!L$2:L$401,$U282)))</f>
        <v/>
      </c>
      <c r="M282" s="7">
        <f>IF($U282="","",IF(INDEX('Per Invoice'!M$2:M$401,$U282)="","",INDEX('Per Invoice'!M$2:M$401,$U282)))</f>
        <v/>
      </c>
      <c r="N282">
        <f>IF($U282="","",IF(INDEX('Per Invoice'!N$2:N$401,$U282)="","",INDEX('Per Invoice'!N$2:N$401,$U282)))</f>
        <v/>
      </c>
      <c r="O282" s="7">
        <f>IF($U282="","",IF(INDEX('Per Invoice'!O$2:O$401,$U282)="","",INDEX('Per Invoice'!O$2:O$401,$U282)))</f>
        <v/>
      </c>
      <c r="P282" s="7">
        <f>IF($U282="","",IF(INDEX('Per Invoice'!P$2:P$401,$U282)="","",INDEX('Per Invoice'!P$2:P$401,$U282)))</f>
        <v/>
      </c>
      <c r="Q282" s="7">
        <f>IF($U282="","",IF(INDEX('Per Invoice'!Q$2:Q$401,$U282)="","",INDEX('Per Invoice'!Q$2:Q$401,$U282)))</f>
        <v/>
      </c>
      <c r="R282" s="7">
        <f>IF($U282="","",IF(INDEX('Per Invoice'!R$2:R$401,$U282)="","",INDEX('Per Invoice'!R$2:R$401,$U282)))</f>
        <v/>
      </c>
      <c r="S282" s="7">
        <f>IF($U282="","",IF(INDEX('Per Invoice'!S$2:S$401,$U282)="","",INDEX('Per Invoice'!S$2:S$401,$U282)))</f>
        <v/>
      </c>
      <c r="T282" s="7">
        <f>IF($U282="","",IF(INDEX('Per Invoice'!T$2:T$401,$U282)="","",INDEX('Per Invoice'!T$2:T$401,$U282)))</f>
        <v/>
      </c>
      <c r="U282" s="16">
        <f>IFERROR(MATCH(Settings!$C$29&amp;"|"&amp;ROWS($U$2:$U282),'Per Invoice'!$V$2:$V$401,0),"")</f>
        <v/>
      </c>
    </row>
    <row r="283">
      <c r="A283">
        <f>IF($U283="","",IF(INDEX('Per Invoice'!A$2:A$401,$U283)="","",INDEX('Per Invoice'!A$2:A$401,$U283)))</f>
        <v/>
      </c>
      <c r="B283">
        <f>IF($U283="","",IF(INDEX('Per Invoice'!B$2:B$401,$U283)="","",INDEX('Per Invoice'!B$2:B$401,$U283)))</f>
        <v/>
      </c>
      <c r="C283">
        <f>IF($U283="","",IF(INDEX('Per Invoice'!C$2:C$401,$U283)="","",INDEX('Per Invoice'!C$2:C$401,$U283)))</f>
        <v/>
      </c>
      <c r="D283">
        <f>IF($U283="","",IF(INDEX('Per Invoice'!D$2:D$401,$U283)="","",INDEX('Per Invoice'!D$2:D$401,$U283)))</f>
        <v/>
      </c>
      <c r="E283">
        <f>IF($U283="","",IF(INDEX('Per Invoice'!E$2:E$401,$U283)="","",INDEX('Per Invoice'!E$2:E$401,$U283)))</f>
        <v/>
      </c>
      <c r="F283">
        <f>IF($U283="","",IF(INDEX('Per Invoice'!F$2:F$401,$U283)="","",INDEX('Per Invoice'!F$2:F$401,$U283)))</f>
        <v/>
      </c>
      <c r="G283">
        <f>IF($U283="","",IF(INDEX('Per Invoice'!G$2:G$401,$U283)="","",INDEX('Per Invoice'!G$2:G$401,$U283)))</f>
        <v/>
      </c>
      <c r="H283" s="7">
        <f>IF($U283="","",IF(INDEX('Per Invoice'!H$2:H$401,$U283)="","",INDEX('Per Invoice'!H$2:H$401,$U283)))</f>
        <v/>
      </c>
      <c r="I283" s="14">
        <f>IF($U283="","",IF(INDEX('Per Invoice'!I$2:I$401,$U283)="","",INDEX('Per Invoice'!I$2:I$401,$U283)))</f>
        <v/>
      </c>
      <c r="J283">
        <f>IF($U283="","",IF(INDEX('Per Invoice'!J$2:J$401,$U283)="","",INDEX('Per Invoice'!J$2:J$401,$U283)))</f>
        <v/>
      </c>
      <c r="K283">
        <f>IF($U283="","",IF(INDEX('Per Invoice'!K$2:K$401,$U283)="","",INDEX('Per Invoice'!K$2:K$401,$U283)))</f>
        <v/>
      </c>
      <c r="L283" s="7">
        <f>IF($U283="","",IF(INDEX('Per Invoice'!L$2:L$401,$U283)="","",INDEX('Per Invoice'!L$2:L$401,$U283)))</f>
        <v/>
      </c>
      <c r="M283" s="7">
        <f>IF($U283="","",IF(INDEX('Per Invoice'!M$2:M$401,$U283)="","",INDEX('Per Invoice'!M$2:M$401,$U283)))</f>
        <v/>
      </c>
      <c r="N283">
        <f>IF($U283="","",IF(INDEX('Per Invoice'!N$2:N$401,$U283)="","",INDEX('Per Invoice'!N$2:N$401,$U283)))</f>
        <v/>
      </c>
      <c r="O283" s="7">
        <f>IF($U283="","",IF(INDEX('Per Invoice'!O$2:O$401,$U283)="","",INDEX('Per Invoice'!O$2:O$401,$U283)))</f>
        <v/>
      </c>
      <c r="P283" s="7">
        <f>IF($U283="","",IF(INDEX('Per Invoice'!P$2:P$401,$U283)="","",INDEX('Per Invoice'!P$2:P$401,$U283)))</f>
        <v/>
      </c>
      <c r="Q283" s="7">
        <f>IF($U283="","",IF(INDEX('Per Invoice'!Q$2:Q$401,$U283)="","",INDEX('Per Invoice'!Q$2:Q$401,$U283)))</f>
        <v/>
      </c>
      <c r="R283" s="7">
        <f>IF($U283="","",IF(INDEX('Per Invoice'!R$2:R$401,$U283)="","",INDEX('Per Invoice'!R$2:R$401,$U283)))</f>
        <v/>
      </c>
      <c r="S283" s="7">
        <f>IF($U283="","",IF(INDEX('Per Invoice'!S$2:S$401,$U283)="","",INDEX('Per Invoice'!S$2:S$401,$U283)))</f>
        <v/>
      </c>
      <c r="T283" s="7">
        <f>IF($U283="","",IF(INDEX('Per Invoice'!T$2:T$401,$U283)="","",INDEX('Per Invoice'!T$2:T$401,$U283)))</f>
        <v/>
      </c>
      <c r="U283" s="16">
        <f>IFERROR(MATCH(Settings!$C$29&amp;"|"&amp;ROWS($U$2:$U283),'Per Invoice'!$V$2:$V$401,0),"")</f>
        <v/>
      </c>
    </row>
    <row r="284">
      <c r="A284">
        <f>IF($U284="","",IF(INDEX('Per Invoice'!A$2:A$401,$U284)="","",INDEX('Per Invoice'!A$2:A$401,$U284)))</f>
        <v/>
      </c>
      <c r="B284">
        <f>IF($U284="","",IF(INDEX('Per Invoice'!B$2:B$401,$U284)="","",INDEX('Per Invoice'!B$2:B$401,$U284)))</f>
        <v/>
      </c>
      <c r="C284">
        <f>IF($U284="","",IF(INDEX('Per Invoice'!C$2:C$401,$U284)="","",INDEX('Per Invoice'!C$2:C$401,$U284)))</f>
        <v/>
      </c>
      <c r="D284">
        <f>IF($U284="","",IF(INDEX('Per Invoice'!D$2:D$401,$U284)="","",INDEX('Per Invoice'!D$2:D$401,$U284)))</f>
        <v/>
      </c>
      <c r="E284">
        <f>IF($U284="","",IF(INDEX('Per Invoice'!E$2:E$401,$U284)="","",INDEX('Per Invoice'!E$2:E$401,$U284)))</f>
        <v/>
      </c>
      <c r="F284">
        <f>IF($U284="","",IF(INDEX('Per Invoice'!F$2:F$401,$U284)="","",INDEX('Per Invoice'!F$2:F$401,$U284)))</f>
        <v/>
      </c>
      <c r="G284">
        <f>IF($U284="","",IF(INDEX('Per Invoice'!G$2:G$401,$U284)="","",INDEX('Per Invoice'!G$2:G$401,$U284)))</f>
        <v/>
      </c>
      <c r="H284" s="7">
        <f>IF($U284="","",IF(INDEX('Per Invoice'!H$2:H$401,$U284)="","",INDEX('Per Invoice'!H$2:H$401,$U284)))</f>
        <v/>
      </c>
      <c r="I284" s="14">
        <f>IF($U284="","",IF(INDEX('Per Invoice'!I$2:I$401,$U284)="","",INDEX('Per Invoice'!I$2:I$401,$U284)))</f>
        <v/>
      </c>
      <c r="J284">
        <f>IF($U284="","",IF(INDEX('Per Invoice'!J$2:J$401,$U284)="","",INDEX('Per Invoice'!J$2:J$401,$U284)))</f>
        <v/>
      </c>
      <c r="K284">
        <f>IF($U284="","",IF(INDEX('Per Invoice'!K$2:K$401,$U284)="","",INDEX('Per Invoice'!K$2:K$401,$U284)))</f>
        <v/>
      </c>
      <c r="L284" s="7">
        <f>IF($U284="","",IF(INDEX('Per Invoice'!L$2:L$401,$U284)="","",INDEX('Per Invoice'!L$2:L$401,$U284)))</f>
        <v/>
      </c>
      <c r="M284" s="7">
        <f>IF($U284="","",IF(INDEX('Per Invoice'!M$2:M$401,$U284)="","",INDEX('Per Invoice'!M$2:M$401,$U284)))</f>
        <v/>
      </c>
      <c r="N284">
        <f>IF($U284="","",IF(INDEX('Per Invoice'!N$2:N$401,$U284)="","",INDEX('Per Invoice'!N$2:N$401,$U284)))</f>
        <v/>
      </c>
      <c r="O284" s="7">
        <f>IF($U284="","",IF(INDEX('Per Invoice'!O$2:O$401,$U284)="","",INDEX('Per Invoice'!O$2:O$401,$U284)))</f>
        <v/>
      </c>
      <c r="P284" s="7">
        <f>IF($U284="","",IF(INDEX('Per Invoice'!P$2:P$401,$U284)="","",INDEX('Per Invoice'!P$2:P$401,$U284)))</f>
        <v/>
      </c>
      <c r="Q284" s="7">
        <f>IF($U284="","",IF(INDEX('Per Invoice'!Q$2:Q$401,$U284)="","",INDEX('Per Invoice'!Q$2:Q$401,$U284)))</f>
        <v/>
      </c>
      <c r="R284" s="7">
        <f>IF($U284="","",IF(INDEX('Per Invoice'!R$2:R$401,$U284)="","",INDEX('Per Invoice'!R$2:R$401,$U284)))</f>
        <v/>
      </c>
      <c r="S284" s="7">
        <f>IF($U284="","",IF(INDEX('Per Invoice'!S$2:S$401,$U284)="","",INDEX('Per Invoice'!S$2:S$401,$U284)))</f>
        <v/>
      </c>
      <c r="T284" s="7">
        <f>IF($U284="","",IF(INDEX('Per Invoice'!T$2:T$401,$U284)="","",INDEX('Per Invoice'!T$2:T$401,$U284)))</f>
        <v/>
      </c>
      <c r="U284" s="16">
        <f>IFERROR(MATCH(Settings!$C$29&amp;"|"&amp;ROWS($U$2:$U284),'Per Invoice'!$V$2:$V$401,0),"")</f>
        <v/>
      </c>
    </row>
    <row r="285">
      <c r="A285">
        <f>IF($U285="","",IF(INDEX('Per Invoice'!A$2:A$401,$U285)="","",INDEX('Per Invoice'!A$2:A$401,$U285)))</f>
        <v/>
      </c>
      <c r="B285">
        <f>IF($U285="","",IF(INDEX('Per Invoice'!B$2:B$401,$U285)="","",INDEX('Per Invoice'!B$2:B$401,$U285)))</f>
        <v/>
      </c>
      <c r="C285">
        <f>IF($U285="","",IF(INDEX('Per Invoice'!C$2:C$401,$U285)="","",INDEX('Per Invoice'!C$2:C$401,$U285)))</f>
        <v/>
      </c>
      <c r="D285">
        <f>IF($U285="","",IF(INDEX('Per Invoice'!D$2:D$401,$U285)="","",INDEX('Per Invoice'!D$2:D$401,$U285)))</f>
        <v/>
      </c>
      <c r="E285">
        <f>IF($U285="","",IF(INDEX('Per Invoice'!E$2:E$401,$U285)="","",INDEX('Per Invoice'!E$2:E$401,$U285)))</f>
        <v/>
      </c>
      <c r="F285">
        <f>IF($U285="","",IF(INDEX('Per Invoice'!F$2:F$401,$U285)="","",INDEX('Per Invoice'!F$2:F$401,$U285)))</f>
        <v/>
      </c>
      <c r="G285">
        <f>IF($U285="","",IF(INDEX('Per Invoice'!G$2:G$401,$U285)="","",INDEX('Per Invoice'!G$2:G$401,$U285)))</f>
        <v/>
      </c>
      <c r="H285" s="7">
        <f>IF($U285="","",IF(INDEX('Per Invoice'!H$2:H$401,$U285)="","",INDEX('Per Invoice'!H$2:H$401,$U285)))</f>
        <v/>
      </c>
      <c r="I285" s="14">
        <f>IF($U285="","",IF(INDEX('Per Invoice'!I$2:I$401,$U285)="","",INDEX('Per Invoice'!I$2:I$401,$U285)))</f>
        <v/>
      </c>
      <c r="J285">
        <f>IF($U285="","",IF(INDEX('Per Invoice'!J$2:J$401,$U285)="","",INDEX('Per Invoice'!J$2:J$401,$U285)))</f>
        <v/>
      </c>
      <c r="K285">
        <f>IF($U285="","",IF(INDEX('Per Invoice'!K$2:K$401,$U285)="","",INDEX('Per Invoice'!K$2:K$401,$U285)))</f>
        <v/>
      </c>
      <c r="L285" s="7">
        <f>IF($U285="","",IF(INDEX('Per Invoice'!L$2:L$401,$U285)="","",INDEX('Per Invoice'!L$2:L$401,$U285)))</f>
        <v/>
      </c>
      <c r="M285" s="7">
        <f>IF($U285="","",IF(INDEX('Per Invoice'!M$2:M$401,$U285)="","",INDEX('Per Invoice'!M$2:M$401,$U285)))</f>
        <v/>
      </c>
      <c r="N285">
        <f>IF($U285="","",IF(INDEX('Per Invoice'!N$2:N$401,$U285)="","",INDEX('Per Invoice'!N$2:N$401,$U285)))</f>
        <v/>
      </c>
      <c r="O285" s="7">
        <f>IF($U285="","",IF(INDEX('Per Invoice'!O$2:O$401,$U285)="","",INDEX('Per Invoice'!O$2:O$401,$U285)))</f>
        <v/>
      </c>
      <c r="P285" s="7">
        <f>IF($U285="","",IF(INDEX('Per Invoice'!P$2:P$401,$U285)="","",INDEX('Per Invoice'!P$2:P$401,$U285)))</f>
        <v/>
      </c>
      <c r="Q285" s="7">
        <f>IF($U285="","",IF(INDEX('Per Invoice'!Q$2:Q$401,$U285)="","",INDEX('Per Invoice'!Q$2:Q$401,$U285)))</f>
        <v/>
      </c>
      <c r="R285" s="7">
        <f>IF($U285="","",IF(INDEX('Per Invoice'!R$2:R$401,$U285)="","",INDEX('Per Invoice'!R$2:R$401,$U285)))</f>
        <v/>
      </c>
      <c r="S285" s="7">
        <f>IF($U285="","",IF(INDEX('Per Invoice'!S$2:S$401,$U285)="","",INDEX('Per Invoice'!S$2:S$401,$U285)))</f>
        <v/>
      </c>
      <c r="T285" s="7">
        <f>IF($U285="","",IF(INDEX('Per Invoice'!T$2:T$401,$U285)="","",INDEX('Per Invoice'!T$2:T$401,$U285)))</f>
        <v/>
      </c>
      <c r="U285" s="16">
        <f>IFERROR(MATCH(Settings!$C$29&amp;"|"&amp;ROWS($U$2:$U285),'Per Invoice'!$V$2:$V$401,0),"")</f>
        <v/>
      </c>
    </row>
    <row r="286">
      <c r="A286">
        <f>IF($U286="","",IF(INDEX('Per Invoice'!A$2:A$401,$U286)="","",INDEX('Per Invoice'!A$2:A$401,$U286)))</f>
        <v/>
      </c>
      <c r="B286">
        <f>IF($U286="","",IF(INDEX('Per Invoice'!B$2:B$401,$U286)="","",INDEX('Per Invoice'!B$2:B$401,$U286)))</f>
        <v/>
      </c>
      <c r="C286">
        <f>IF($U286="","",IF(INDEX('Per Invoice'!C$2:C$401,$U286)="","",INDEX('Per Invoice'!C$2:C$401,$U286)))</f>
        <v/>
      </c>
      <c r="D286">
        <f>IF($U286="","",IF(INDEX('Per Invoice'!D$2:D$401,$U286)="","",INDEX('Per Invoice'!D$2:D$401,$U286)))</f>
        <v/>
      </c>
      <c r="E286">
        <f>IF($U286="","",IF(INDEX('Per Invoice'!E$2:E$401,$U286)="","",INDEX('Per Invoice'!E$2:E$401,$U286)))</f>
        <v/>
      </c>
      <c r="F286">
        <f>IF($U286="","",IF(INDEX('Per Invoice'!F$2:F$401,$U286)="","",INDEX('Per Invoice'!F$2:F$401,$U286)))</f>
        <v/>
      </c>
      <c r="G286">
        <f>IF($U286="","",IF(INDEX('Per Invoice'!G$2:G$401,$U286)="","",INDEX('Per Invoice'!G$2:G$401,$U286)))</f>
        <v/>
      </c>
      <c r="H286" s="7">
        <f>IF($U286="","",IF(INDEX('Per Invoice'!H$2:H$401,$U286)="","",INDEX('Per Invoice'!H$2:H$401,$U286)))</f>
        <v/>
      </c>
      <c r="I286" s="14">
        <f>IF($U286="","",IF(INDEX('Per Invoice'!I$2:I$401,$U286)="","",INDEX('Per Invoice'!I$2:I$401,$U286)))</f>
        <v/>
      </c>
      <c r="J286">
        <f>IF($U286="","",IF(INDEX('Per Invoice'!J$2:J$401,$U286)="","",INDEX('Per Invoice'!J$2:J$401,$U286)))</f>
        <v/>
      </c>
      <c r="K286">
        <f>IF($U286="","",IF(INDEX('Per Invoice'!K$2:K$401,$U286)="","",INDEX('Per Invoice'!K$2:K$401,$U286)))</f>
        <v/>
      </c>
      <c r="L286" s="7">
        <f>IF($U286="","",IF(INDEX('Per Invoice'!L$2:L$401,$U286)="","",INDEX('Per Invoice'!L$2:L$401,$U286)))</f>
        <v/>
      </c>
      <c r="M286" s="7">
        <f>IF($U286="","",IF(INDEX('Per Invoice'!M$2:M$401,$U286)="","",INDEX('Per Invoice'!M$2:M$401,$U286)))</f>
        <v/>
      </c>
      <c r="N286">
        <f>IF($U286="","",IF(INDEX('Per Invoice'!N$2:N$401,$U286)="","",INDEX('Per Invoice'!N$2:N$401,$U286)))</f>
        <v/>
      </c>
      <c r="O286" s="7">
        <f>IF($U286="","",IF(INDEX('Per Invoice'!O$2:O$401,$U286)="","",INDEX('Per Invoice'!O$2:O$401,$U286)))</f>
        <v/>
      </c>
      <c r="P286" s="7">
        <f>IF($U286="","",IF(INDEX('Per Invoice'!P$2:P$401,$U286)="","",INDEX('Per Invoice'!P$2:P$401,$U286)))</f>
        <v/>
      </c>
      <c r="Q286" s="7">
        <f>IF($U286="","",IF(INDEX('Per Invoice'!Q$2:Q$401,$U286)="","",INDEX('Per Invoice'!Q$2:Q$401,$U286)))</f>
        <v/>
      </c>
      <c r="R286" s="7">
        <f>IF($U286="","",IF(INDEX('Per Invoice'!R$2:R$401,$U286)="","",INDEX('Per Invoice'!R$2:R$401,$U286)))</f>
        <v/>
      </c>
      <c r="S286" s="7">
        <f>IF($U286="","",IF(INDEX('Per Invoice'!S$2:S$401,$U286)="","",INDEX('Per Invoice'!S$2:S$401,$U286)))</f>
        <v/>
      </c>
      <c r="T286" s="7">
        <f>IF($U286="","",IF(INDEX('Per Invoice'!T$2:T$401,$U286)="","",INDEX('Per Invoice'!T$2:T$401,$U286)))</f>
        <v/>
      </c>
      <c r="U286" s="16">
        <f>IFERROR(MATCH(Settings!$C$29&amp;"|"&amp;ROWS($U$2:$U286),'Per Invoice'!$V$2:$V$401,0),"")</f>
        <v/>
      </c>
    </row>
    <row r="287">
      <c r="A287">
        <f>IF($U287="","",IF(INDEX('Per Invoice'!A$2:A$401,$U287)="","",INDEX('Per Invoice'!A$2:A$401,$U287)))</f>
        <v/>
      </c>
      <c r="B287">
        <f>IF($U287="","",IF(INDEX('Per Invoice'!B$2:B$401,$U287)="","",INDEX('Per Invoice'!B$2:B$401,$U287)))</f>
        <v/>
      </c>
      <c r="C287">
        <f>IF($U287="","",IF(INDEX('Per Invoice'!C$2:C$401,$U287)="","",INDEX('Per Invoice'!C$2:C$401,$U287)))</f>
        <v/>
      </c>
      <c r="D287">
        <f>IF($U287="","",IF(INDEX('Per Invoice'!D$2:D$401,$U287)="","",INDEX('Per Invoice'!D$2:D$401,$U287)))</f>
        <v/>
      </c>
      <c r="E287">
        <f>IF($U287="","",IF(INDEX('Per Invoice'!E$2:E$401,$U287)="","",INDEX('Per Invoice'!E$2:E$401,$U287)))</f>
        <v/>
      </c>
      <c r="F287">
        <f>IF($U287="","",IF(INDEX('Per Invoice'!F$2:F$401,$U287)="","",INDEX('Per Invoice'!F$2:F$401,$U287)))</f>
        <v/>
      </c>
      <c r="G287">
        <f>IF($U287="","",IF(INDEX('Per Invoice'!G$2:G$401,$U287)="","",INDEX('Per Invoice'!G$2:G$401,$U287)))</f>
        <v/>
      </c>
      <c r="H287" s="7">
        <f>IF($U287="","",IF(INDEX('Per Invoice'!H$2:H$401,$U287)="","",INDEX('Per Invoice'!H$2:H$401,$U287)))</f>
        <v/>
      </c>
      <c r="I287" s="14">
        <f>IF($U287="","",IF(INDEX('Per Invoice'!I$2:I$401,$U287)="","",INDEX('Per Invoice'!I$2:I$401,$U287)))</f>
        <v/>
      </c>
      <c r="J287">
        <f>IF($U287="","",IF(INDEX('Per Invoice'!J$2:J$401,$U287)="","",INDEX('Per Invoice'!J$2:J$401,$U287)))</f>
        <v/>
      </c>
      <c r="K287">
        <f>IF($U287="","",IF(INDEX('Per Invoice'!K$2:K$401,$U287)="","",INDEX('Per Invoice'!K$2:K$401,$U287)))</f>
        <v/>
      </c>
      <c r="L287" s="7">
        <f>IF($U287="","",IF(INDEX('Per Invoice'!L$2:L$401,$U287)="","",INDEX('Per Invoice'!L$2:L$401,$U287)))</f>
        <v/>
      </c>
      <c r="M287" s="7">
        <f>IF($U287="","",IF(INDEX('Per Invoice'!M$2:M$401,$U287)="","",INDEX('Per Invoice'!M$2:M$401,$U287)))</f>
        <v/>
      </c>
      <c r="N287">
        <f>IF($U287="","",IF(INDEX('Per Invoice'!N$2:N$401,$U287)="","",INDEX('Per Invoice'!N$2:N$401,$U287)))</f>
        <v/>
      </c>
      <c r="O287" s="7">
        <f>IF($U287="","",IF(INDEX('Per Invoice'!O$2:O$401,$U287)="","",INDEX('Per Invoice'!O$2:O$401,$U287)))</f>
        <v/>
      </c>
      <c r="P287" s="7">
        <f>IF($U287="","",IF(INDEX('Per Invoice'!P$2:P$401,$U287)="","",INDEX('Per Invoice'!P$2:P$401,$U287)))</f>
        <v/>
      </c>
      <c r="Q287" s="7">
        <f>IF($U287="","",IF(INDEX('Per Invoice'!Q$2:Q$401,$U287)="","",INDEX('Per Invoice'!Q$2:Q$401,$U287)))</f>
        <v/>
      </c>
      <c r="R287" s="7">
        <f>IF($U287="","",IF(INDEX('Per Invoice'!R$2:R$401,$U287)="","",INDEX('Per Invoice'!R$2:R$401,$U287)))</f>
        <v/>
      </c>
      <c r="S287" s="7">
        <f>IF($U287="","",IF(INDEX('Per Invoice'!S$2:S$401,$U287)="","",INDEX('Per Invoice'!S$2:S$401,$U287)))</f>
        <v/>
      </c>
      <c r="T287" s="7">
        <f>IF($U287="","",IF(INDEX('Per Invoice'!T$2:T$401,$U287)="","",INDEX('Per Invoice'!T$2:T$401,$U287)))</f>
        <v/>
      </c>
      <c r="U287" s="16">
        <f>IFERROR(MATCH(Settings!$C$29&amp;"|"&amp;ROWS($U$2:$U287),'Per Invoice'!$V$2:$V$401,0),"")</f>
        <v/>
      </c>
    </row>
    <row r="288">
      <c r="A288">
        <f>IF($U288="","",IF(INDEX('Per Invoice'!A$2:A$401,$U288)="","",INDEX('Per Invoice'!A$2:A$401,$U288)))</f>
        <v/>
      </c>
      <c r="B288">
        <f>IF($U288="","",IF(INDEX('Per Invoice'!B$2:B$401,$U288)="","",INDEX('Per Invoice'!B$2:B$401,$U288)))</f>
        <v/>
      </c>
      <c r="C288">
        <f>IF($U288="","",IF(INDEX('Per Invoice'!C$2:C$401,$U288)="","",INDEX('Per Invoice'!C$2:C$401,$U288)))</f>
        <v/>
      </c>
      <c r="D288">
        <f>IF($U288="","",IF(INDEX('Per Invoice'!D$2:D$401,$U288)="","",INDEX('Per Invoice'!D$2:D$401,$U288)))</f>
        <v/>
      </c>
      <c r="E288">
        <f>IF($U288="","",IF(INDEX('Per Invoice'!E$2:E$401,$U288)="","",INDEX('Per Invoice'!E$2:E$401,$U288)))</f>
        <v/>
      </c>
      <c r="F288">
        <f>IF($U288="","",IF(INDEX('Per Invoice'!F$2:F$401,$U288)="","",INDEX('Per Invoice'!F$2:F$401,$U288)))</f>
        <v/>
      </c>
      <c r="G288">
        <f>IF($U288="","",IF(INDEX('Per Invoice'!G$2:G$401,$U288)="","",INDEX('Per Invoice'!G$2:G$401,$U288)))</f>
        <v/>
      </c>
      <c r="H288" s="7">
        <f>IF($U288="","",IF(INDEX('Per Invoice'!H$2:H$401,$U288)="","",INDEX('Per Invoice'!H$2:H$401,$U288)))</f>
        <v/>
      </c>
      <c r="I288" s="14">
        <f>IF($U288="","",IF(INDEX('Per Invoice'!I$2:I$401,$U288)="","",INDEX('Per Invoice'!I$2:I$401,$U288)))</f>
        <v/>
      </c>
      <c r="J288">
        <f>IF($U288="","",IF(INDEX('Per Invoice'!J$2:J$401,$U288)="","",INDEX('Per Invoice'!J$2:J$401,$U288)))</f>
        <v/>
      </c>
      <c r="K288">
        <f>IF($U288="","",IF(INDEX('Per Invoice'!K$2:K$401,$U288)="","",INDEX('Per Invoice'!K$2:K$401,$U288)))</f>
        <v/>
      </c>
      <c r="L288" s="7">
        <f>IF($U288="","",IF(INDEX('Per Invoice'!L$2:L$401,$U288)="","",INDEX('Per Invoice'!L$2:L$401,$U288)))</f>
        <v/>
      </c>
      <c r="M288" s="7">
        <f>IF($U288="","",IF(INDEX('Per Invoice'!M$2:M$401,$U288)="","",INDEX('Per Invoice'!M$2:M$401,$U288)))</f>
        <v/>
      </c>
      <c r="N288">
        <f>IF($U288="","",IF(INDEX('Per Invoice'!N$2:N$401,$U288)="","",INDEX('Per Invoice'!N$2:N$401,$U288)))</f>
        <v/>
      </c>
      <c r="O288" s="7">
        <f>IF($U288="","",IF(INDEX('Per Invoice'!O$2:O$401,$U288)="","",INDEX('Per Invoice'!O$2:O$401,$U288)))</f>
        <v/>
      </c>
      <c r="P288" s="7">
        <f>IF($U288="","",IF(INDEX('Per Invoice'!P$2:P$401,$U288)="","",INDEX('Per Invoice'!P$2:P$401,$U288)))</f>
        <v/>
      </c>
      <c r="Q288" s="7">
        <f>IF($U288="","",IF(INDEX('Per Invoice'!Q$2:Q$401,$U288)="","",INDEX('Per Invoice'!Q$2:Q$401,$U288)))</f>
        <v/>
      </c>
      <c r="R288" s="7">
        <f>IF($U288="","",IF(INDEX('Per Invoice'!R$2:R$401,$U288)="","",INDEX('Per Invoice'!R$2:R$401,$U288)))</f>
        <v/>
      </c>
      <c r="S288" s="7">
        <f>IF($U288="","",IF(INDEX('Per Invoice'!S$2:S$401,$U288)="","",INDEX('Per Invoice'!S$2:S$401,$U288)))</f>
        <v/>
      </c>
      <c r="T288" s="7">
        <f>IF($U288="","",IF(INDEX('Per Invoice'!T$2:T$401,$U288)="","",INDEX('Per Invoice'!T$2:T$401,$U288)))</f>
        <v/>
      </c>
      <c r="U288" s="16">
        <f>IFERROR(MATCH(Settings!$C$29&amp;"|"&amp;ROWS($U$2:$U288),'Per Invoice'!$V$2:$V$401,0),"")</f>
        <v/>
      </c>
    </row>
    <row r="289">
      <c r="A289">
        <f>IF($U289="","",IF(INDEX('Per Invoice'!A$2:A$401,$U289)="","",INDEX('Per Invoice'!A$2:A$401,$U289)))</f>
        <v/>
      </c>
      <c r="B289">
        <f>IF($U289="","",IF(INDEX('Per Invoice'!B$2:B$401,$U289)="","",INDEX('Per Invoice'!B$2:B$401,$U289)))</f>
        <v/>
      </c>
      <c r="C289">
        <f>IF($U289="","",IF(INDEX('Per Invoice'!C$2:C$401,$U289)="","",INDEX('Per Invoice'!C$2:C$401,$U289)))</f>
        <v/>
      </c>
      <c r="D289">
        <f>IF($U289="","",IF(INDEX('Per Invoice'!D$2:D$401,$U289)="","",INDEX('Per Invoice'!D$2:D$401,$U289)))</f>
        <v/>
      </c>
      <c r="E289">
        <f>IF($U289="","",IF(INDEX('Per Invoice'!E$2:E$401,$U289)="","",INDEX('Per Invoice'!E$2:E$401,$U289)))</f>
        <v/>
      </c>
      <c r="F289">
        <f>IF($U289="","",IF(INDEX('Per Invoice'!F$2:F$401,$U289)="","",INDEX('Per Invoice'!F$2:F$401,$U289)))</f>
        <v/>
      </c>
      <c r="G289">
        <f>IF($U289="","",IF(INDEX('Per Invoice'!G$2:G$401,$U289)="","",INDEX('Per Invoice'!G$2:G$401,$U289)))</f>
        <v/>
      </c>
      <c r="H289" s="7">
        <f>IF($U289="","",IF(INDEX('Per Invoice'!H$2:H$401,$U289)="","",INDEX('Per Invoice'!H$2:H$401,$U289)))</f>
        <v/>
      </c>
      <c r="I289" s="14">
        <f>IF($U289="","",IF(INDEX('Per Invoice'!I$2:I$401,$U289)="","",INDEX('Per Invoice'!I$2:I$401,$U289)))</f>
        <v/>
      </c>
      <c r="J289">
        <f>IF($U289="","",IF(INDEX('Per Invoice'!J$2:J$401,$U289)="","",INDEX('Per Invoice'!J$2:J$401,$U289)))</f>
        <v/>
      </c>
      <c r="K289">
        <f>IF($U289="","",IF(INDEX('Per Invoice'!K$2:K$401,$U289)="","",INDEX('Per Invoice'!K$2:K$401,$U289)))</f>
        <v/>
      </c>
      <c r="L289" s="7">
        <f>IF($U289="","",IF(INDEX('Per Invoice'!L$2:L$401,$U289)="","",INDEX('Per Invoice'!L$2:L$401,$U289)))</f>
        <v/>
      </c>
      <c r="M289" s="7">
        <f>IF($U289="","",IF(INDEX('Per Invoice'!M$2:M$401,$U289)="","",INDEX('Per Invoice'!M$2:M$401,$U289)))</f>
        <v/>
      </c>
      <c r="N289">
        <f>IF($U289="","",IF(INDEX('Per Invoice'!N$2:N$401,$U289)="","",INDEX('Per Invoice'!N$2:N$401,$U289)))</f>
        <v/>
      </c>
      <c r="O289" s="7">
        <f>IF($U289="","",IF(INDEX('Per Invoice'!O$2:O$401,$U289)="","",INDEX('Per Invoice'!O$2:O$401,$U289)))</f>
        <v/>
      </c>
      <c r="P289" s="7">
        <f>IF($U289="","",IF(INDEX('Per Invoice'!P$2:P$401,$U289)="","",INDEX('Per Invoice'!P$2:P$401,$U289)))</f>
        <v/>
      </c>
      <c r="Q289" s="7">
        <f>IF($U289="","",IF(INDEX('Per Invoice'!Q$2:Q$401,$U289)="","",INDEX('Per Invoice'!Q$2:Q$401,$U289)))</f>
        <v/>
      </c>
      <c r="R289" s="7">
        <f>IF($U289="","",IF(INDEX('Per Invoice'!R$2:R$401,$U289)="","",INDEX('Per Invoice'!R$2:R$401,$U289)))</f>
        <v/>
      </c>
      <c r="S289" s="7">
        <f>IF($U289="","",IF(INDEX('Per Invoice'!S$2:S$401,$U289)="","",INDEX('Per Invoice'!S$2:S$401,$U289)))</f>
        <v/>
      </c>
      <c r="T289" s="7">
        <f>IF($U289="","",IF(INDEX('Per Invoice'!T$2:T$401,$U289)="","",INDEX('Per Invoice'!T$2:T$401,$U289)))</f>
        <v/>
      </c>
      <c r="U289" s="16">
        <f>IFERROR(MATCH(Settings!$C$29&amp;"|"&amp;ROWS($U$2:$U289),'Per Invoice'!$V$2:$V$401,0),"")</f>
        <v/>
      </c>
    </row>
    <row r="290">
      <c r="A290">
        <f>IF($U290="","",IF(INDEX('Per Invoice'!A$2:A$401,$U290)="","",INDEX('Per Invoice'!A$2:A$401,$U290)))</f>
        <v/>
      </c>
      <c r="B290">
        <f>IF($U290="","",IF(INDEX('Per Invoice'!B$2:B$401,$U290)="","",INDEX('Per Invoice'!B$2:B$401,$U290)))</f>
        <v/>
      </c>
      <c r="C290">
        <f>IF($U290="","",IF(INDEX('Per Invoice'!C$2:C$401,$U290)="","",INDEX('Per Invoice'!C$2:C$401,$U290)))</f>
        <v/>
      </c>
      <c r="D290">
        <f>IF($U290="","",IF(INDEX('Per Invoice'!D$2:D$401,$U290)="","",INDEX('Per Invoice'!D$2:D$401,$U290)))</f>
        <v/>
      </c>
      <c r="E290">
        <f>IF($U290="","",IF(INDEX('Per Invoice'!E$2:E$401,$U290)="","",INDEX('Per Invoice'!E$2:E$401,$U290)))</f>
        <v/>
      </c>
      <c r="F290">
        <f>IF($U290="","",IF(INDEX('Per Invoice'!F$2:F$401,$U290)="","",INDEX('Per Invoice'!F$2:F$401,$U290)))</f>
        <v/>
      </c>
      <c r="G290">
        <f>IF($U290="","",IF(INDEX('Per Invoice'!G$2:G$401,$U290)="","",INDEX('Per Invoice'!G$2:G$401,$U290)))</f>
        <v/>
      </c>
      <c r="H290" s="7">
        <f>IF($U290="","",IF(INDEX('Per Invoice'!H$2:H$401,$U290)="","",INDEX('Per Invoice'!H$2:H$401,$U290)))</f>
        <v/>
      </c>
      <c r="I290" s="14">
        <f>IF($U290="","",IF(INDEX('Per Invoice'!I$2:I$401,$U290)="","",INDEX('Per Invoice'!I$2:I$401,$U290)))</f>
        <v/>
      </c>
      <c r="J290">
        <f>IF($U290="","",IF(INDEX('Per Invoice'!J$2:J$401,$U290)="","",INDEX('Per Invoice'!J$2:J$401,$U290)))</f>
        <v/>
      </c>
      <c r="K290">
        <f>IF($U290="","",IF(INDEX('Per Invoice'!K$2:K$401,$U290)="","",INDEX('Per Invoice'!K$2:K$401,$U290)))</f>
        <v/>
      </c>
      <c r="L290" s="7">
        <f>IF($U290="","",IF(INDEX('Per Invoice'!L$2:L$401,$U290)="","",INDEX('Per Invoice'!L$2:L$401,$U290)))</f>
        <v/>
      </c>
      <c r="M290" s="7">
        <f>IF($U290="","",IF(INDEX('Per Invoice'!M$2:M$401,$U290)="","",INDEX('Per Invoice'!M$2:M$401,$U290)))</f>
        <v/>
      </c>
      <c r="N290">
        <f>IF($U290="","",IF(INDEX('Per Invoice'!N$2:N$401,$U290)="","",INDEX('Per Invoice'!N$2:N$401,$U290)))</f>
        <v/>
      </c>
      <c r="O290" s="7">
        <f>IF($U290="","",IF(INDEX('Per Invoice'!O$2:O$401,$U290)="","",INDEX('Per Invoice'!O$2:O$401,$U290)))</f>
        <v/>
      </c>
      <c r="P290" s="7">
        <f>IF($U290="","",IF(INDEX('Per Invoice'!P$2:P$401,$U290)="","",INDEX('Per Invoice'!P$2:P$401,$U290)))</f>
        <v/>
      </c>
      <c r="Q290" s="7">
        <f>IF($U290="","",IF(INDEX('Per Invoice'!Q$2:Q$401,$U290)="","",INDEX('Per Invoice'!Q$2:Q$401,$U290)))</f>
        <v/>
      </c>
      <c r="R290" s="7">
        <f>IF($U290="","",IF(INDEX('Per Invoice'!R$2:R$401,$U290)="","",INDEX('Per Invoice'!R$2:R$401,$U290)))</f>
        <v/>
      </c>
      <c r="S290" s="7">
        <f>IF($U290="","",IF(INDEX('Per Invoice'!S$2:S$401,$U290)="","",INDEX('Per Invoice'!S$2:S$401,$U290)))</f>
        <v/>
      </c>
      <c r="T290" s="7">
        <f>IF($U290="","",IF(INDEX('Per Invoice'!T$2:T$401,$U290)="","",INDEX('Per Invoice'!T$2:T$401,$U290)))</f>
        <v/>
      </c>
      <c r="U290" s="16">
        <f>IFERROR(MATCH(Settings!$C$29&amp;"|"&amp;ROWS($U$2:$U290),'Per Invoice'!$V$2:$V$401,0),"")</f>
        <v/>
      </c>
    </row>
    <row r="291">
      <c r="A291">
        <f>IF($U291="","",IF(INDEX('Per Invoice'!A$2:A$401,$U291)="","",INDEX('Per Invoice'!A$2:A$401,$U291)))</f>
        <v/>
      </c>
      <c r="B291">
        <f>IF($U291="","",IF(INDEX('Per Invoice'!B$2:B$401,$U291)="","",INDEX('Per Invoice'!B$2:B$401,$U291)))</f>
        <v/>
      </c>
      <c r="C291">
        <f>IF($U291="","",IF(INDEX('Per Invoice'!C$2:C$401,$U291)="","",INDEX('Per Invoice'!C$2:C$401,$U291)))</f>
        <v/>
      </c>
      <c r="D291">
        <f>IF($U291="","",IF(INDEX('Per Invoice'!D$2:D$401,$U291)="","",INDEX('Per Invoice'!D$2:D$401,$U291)))</f>
        <v/>
      </c>
      <c r="E291">
        <f>IF($U291="","",IF(INDEX('Per Invoice'!E$2:E$401,$U291)="","",INDEX('Per Invoice'!E$2:E$401,$U291)))</f>
        <v/>
      </c>
      <c r="F291">
        <f>IF($U291="","",IF(INDEX('Per Invoice'!F$2:F$401,$U291)="","",INDEX('Per Invoice'!F$2:F$401,$U291)))</f>
        <v/>
      </c>
      <c r="G291">
        <f>IF($U291="","",IF(INDEX('Per Invoice'!G$2:G$401,$U291)="","",INDEX('Per Invoice'!G$2:G$401,$U291)))</f>
        <v/>
      </c>
      <c r="H291" s="7">
        <f>IF($U291="","",IF(INDEX('Per Invoice'!H$2:H$401,$U291)="","",INDEX('Per Invoice'!H$2:H$401,$U291)))</f>
        <v/>
      </c>
      <c r="I291" s="14">
        <f>IF($U291="","",IF(INDEX('Per Invoice'!I$2:I$401,$U291)="","",INDEX('Per Invoice'!I$2:I$401,$U291)))</f>
        <v/>
      </c>
      <c r="J291">
        <f>IF($U291="","",IF(INDEX('Per Invoice'!J$2:J$401,$U291)="","",INDEX('Per Invoice'!J$2:J$401,$U291)))</f>
        <v/>
      </c>
      <c r="K291">
        <f>IF($U291="","",IF(INDEX('Per Invoice'!K$2:K$401,$U291)="","",INDEX('Per Invoice'!K$2:K$401,$U291)))</f>
        <v/>
      </c>
      <c r="L291" s="7">
        <f>IF($U291="","",IF(INDEX('Per Invoice'!L$2:L$401,$U291)="","",INDEX('Per Invoice'!L$2:L$401,$U291)))</f>
        <v/>
      </c>
      <c r="M291" s="7">
        <f>IF($U291="","",IF(INDEX('Per Invoice'!M$2:M$401,$U291)="","",INDEX('Per Invoice'!M$2:M$401,$U291)))</f>
        <v/>
      </c>
      <c r="N291">
        <f>IF($U291="","",IF(INDEX('Per Invoice'!N$2:N$401,$U291)="","",INDEX('Per Invoice'!N$2:N$401,$U291)))</f>
        <v/>
      </c>
      <c r="O291" s="7">
        <f>IF($U291="","",IF(INDEX('Per Invoice'!O$2:O$401,$U291)="","",INDEX('Per Invoice'!O$2:O$401,$U291)))</f>
        <v/>
      </c>
      <c r="P291" s="7">
        <f>IF($U291="","",IF(INDEX('Per Invoice'!P$2:P$401,$U291)="","",INDEX('Per Invoice'!P$2:P$401,$U291)))</f>
        <v/>
      </c>
      <c r="Q291" s="7">
        <f>IF($U291="","",IF(INDEX('Per Invoice'!Q$2:Q$401,$U291)="","",INDEX('Per Invoice'!Q$2:Q$401,$U291)))</f>
        <v/>
      </c>
      <c r="R291" s="7">
        <f>IF($U291="","",IF(INDEX('Per Invoice'!R$2:R$401,$U291)="","",INDEX('Per Invoice'!R$2:R$401,$U291)))</f>
        <v/>
      </c>
      <c r="S291" s="7">
        <f>IF($U291="","",IF(INDEX('Per Invoice'!S$2:S$401,$U291)="","",INDEX('Per Invoice'!S$2:S$401,$U291)))</f>
        <v/>
      </c>
      <c r="T291" s="7">
        <f>IF($U291="","",IF(INDEX('Per Invoice'!T$2:T$401,$U291)="","",INDEX('Per Invoice'!T$2:T$401,$U291)))</f>
        <v/>
      </c>
      <c r="U291" s="16">
        <f>IFERROR(MATCH(Settings!$C$29&amp;"|"&amp;ROWS($U$2:$U291),'Per Invoice'!$V$2:$V$401,0),"")</f>
        <v/>
      </c>
    </row>
    <row r="292">
      <c r="A292">
        <f>IF($U292="","",IF(INDEX('Per Invoice'!A$2:A$401,$U292)="","",INDEX('Per Invoice'!A$2:A$401,$U292)))</f>
        <v/>
      </c>
      <c r="B292">
        <f>IF($U292="","",IF(INDEX('Per Invoice'!B$2:B$401,$U292)="","",INDEX('Per Invoice'!B$2:B$401,$U292)))</f>
        <v/>
      </c>
      <c r="C292">
        <f>IF($U292="","",IF(INDEX('Per Invoice'!C$2:C$401,$U292)="","",INDEX('Per Invoice'!C$2:C$401,$U292)))</f>
        <v/>
      </c>
      <c r="D292">
        <f>IF($U292="","",IF(INDEX('Per Invoice'!D$2:D$401,$U292)="","",INDEX('Per Invoice'!D$2:D$401,$U292)))</f>
        <v/>
      </c>
      <c r="E292">
        <f>IF($U292="","",IF(INDEX('Per Invoice'!E$2:E$401,$U292)="","",INDEX('Per Invoice'!E$2:E$401,$U292)))</f>
        <v/>
      </c>
      <c r="F292">
        <f>IF($U292="","",IF(INDEX('Per Invoice'!F$2:F$401,$U292)="","",INDEX('Per Invoice'!F$2:F$401,$U292)))</f>
        <v/>
      </c>
      <c r="G292">
        <f>IF($U292="","",IF(INDEX('Per Invoice'!G$2:G$401,$U292)="","",INDEX('Per Invoice'!G$2:G$401,$U292)))</f>
        <v/>
      </c>
      <c r="H292" s="7">
        <f>IF($U292="","",IF(INDEX('Per Invoice'!H$2:H$401,$U292)="","",INDEX('Per Invoice'!H$2:H$401,$U292)))</f>
        <v/>
      </c>
      <c r="I292" s="14">
        <f>IF($U292="","",IF(INDEX('Per Invoice'!I$2:I$401,$U292)="","",INDEX('Per Invoice'!I$2:I$401,$U292)))</f>
        <v/>
      </c>
      <c r="J292">
        <f>IF($U292="","",IF(INDEX('Per Invoice'!J$2:J$401,$U292)="","",INDEX('Per Invoice'!J$2:J$401,$U292)))</f>
        <v/>
      </c>
      <c r="K292">
        <f>IF($U292="","",IF(INDEX('Per Invoice'!K$2:K$401,$U292)="","",INDEX('Per Invoice'!K$2:K$401,$U292)))</f>
        <v/>
      </c>
      <c r="L292" s="7">
        <f>IF($U292="","",IF(INDEX('Per Invoice'!L$2:L$401,$U292)="","",INDEX('Per Invoice'!L$2:L$401,$U292)))</f>
        <v/>
      </c>
      <c r="M292" s="7">
        <f>IF($U292="","",IF(INDEX('Per Invoice'!M$2:M$401,$U292)="","",INDEX('Per Invoice'!M$2:M$401,$U292)))</f>
        <v/>
      </c>
      <c r="N292">
        <f>IF($U292="","",IF(INDEX('Per Invoice'!N$2:N$401,$U292)="","",INDEX('Per Invoice'!N$2:N$401,$U292)))</f>
        <v/>
      </c>
      <c r="O292" s="7">
        <f>IF($U292="","",IF(INDEX('Per Invoice'!O$2:O$401,$U292)="","",INDEX('Per Invoice'!O$2:O$401,$U292)))</f>
        <v/>
      </c>
      <c r="P292" s="7">
        <f>IF($U292="","",IF(INDEX('Per Invoice'!P$2:P$401,$U292)="","",INDEX('Per Invoice'!P$2:P$401,$U292)))</f>
        <v/>
      </c>
      <c r="Q292" s="7">
        <f>IF($U292="","",IF(INDEX('Per Invoice'!Q$2:Q$401,$U292)="","",INDEX('Per Invoice'!Q$2:Q$401,$U292)))</f>
        <v/>
      </c>
      <c r="R292" s="7">
        <f>IF($U292="","",IF(INDEX('Per Invoice'!R$2:R$401,$U292)="","",INDEX('Per Invoice'!R$2:R$401,$U292)))</f>
        <v/>
      </c>
      <c r="S292" s="7">
        <f>IF($U292="","",IF(INDEX('Per Invoice'!S$2:S$401,$U292)="","",INDEX('Per Invoice'!S$2:S$401,$U292)))</f>
        <v/>
      </c>
      <c r="T292" s="7">
        <f>IF($U292="","",IF(INDEX('Per Invoice'!T$2:T$401,$U292)="","",INDEX('Per Invoice'!T$2:T$401,$U292)))</f>
        <v/>
      </c>
      <c r="U292" s="16">
        <f>IFERROR(MATCH(Settings!$C$29&amp;"|"&amp;ROWS($U$2:$U292),'Per Invoice'!$V$2:$V$401,0),"")</f>
        <v/>
      </c>
    </row>
    <row r="293">
      <c r="A293">
        <f>IF($U293="","",IF(INDEX('Per Invoice'!A$2:A$401,$U293)="","",INDEX('Per Invoice'!A$2:A$401,$U293)))</f>
        <v/>
      </c>
      <c r="B293">
        <f>IF($U293="","",IF(INDEX('Per Invoice'!B$2:B$401,$U293)="","",INDEX('Per Invoice'!B$2:B$401,$U293)))</f>
        <v/>
      </c>
      <c r="C293">
        <f>IF($U293="","",IF(INDEX('Per Invoice'!C$2:C$401,$U293)="","",INDEX('Per Invoice'!C$2:C$401,$U293)))</f>
        <v/>
      </c>
      <c r="D293">
        <f>IF($U293="","",IF(INDEX('Per Invoice'!D$2:D$401,$U293)="","",INDEX('Per Invoice'!D$2:D$401,$U293)))</f>
        <v/>
      </c>
      <c r="E293">
        <f>IF($U293="","",IF(INDEX('Per Invoice'!E$2:E$401,$U293)="","",INDEX('Per Invoice'!E$2:E$401,$U293)))</f>
        <v/>
      </c>
      <c r="F293">
        <f>IF($U293="","",IF(INDEX('Per Invoice'!F$2:F$401,$U293)="","",INDEX('Per Invoice'!F$2:F$401,$U293)))</f>
        <v/>
      </c>
      <c r="G293">
        <f>IF($U293="","",IF(INDEX('Per Invoice'!G$2:G$401,$U293)="","",INDEX('Per Invoice'!G$2:G$401,$U293)))</f>
        <v/>
      </c>
      <c r="H293" s="7">
        <f>IF($U293="","",IF(INDEX('Per Invoice'!H$2:H$401,$U293)="","",INDEX('Per Invoice'!H$2:H$401,$U293)))</f>
        <v/>
      </c>
      <c r="I293" s="14">
        <f>IF($U293="","",IF(INDEX('Per Invoice'!I$2:I$401,$U293)="","",INDEX('Per Invoice'!I$2:I$401,$U293)))</f>
        <v/>
      </c>
      <c r="J293">
        <f>IF($U293="","",IF(INDEX('Per Invoice'!J$2:J$401,$U293)="","",INDEX('Per Invoice'!J$2:J$401,$U293)))</f>
        <v/>
      </c>
      <c r="K293">
        <f>IF($U293="","",IF(INDEX('Per Invoice'!K$2:K$401,$U293)="","",INDEX('Per Invoice'!K$2:K$401,$U293)))</f>
        <v/>
      </c>
      <c r="L293" s="7">
        <f>IF($U293="","",IF(INDEX('Per Invoice'!L$2:L$401,$U293)="","",INDEX('Per Invoice'!L$2:L$401,$U293)))</f>
        <v/>
      </c>
      <c r="M293" s="7">
        <f>IF($U293="","",IF(INDEX('Per Invoice'!M$2:M$401,$U293)="","",INDEX('Per Invoice'!M$2:M$401,$U293)))</f>
        <v/>
      </c>
      <c r="N293">
        <f>IF($U293="","",IF(INDEX('Per Invoice'!N$2:N$401,$U293)="","",INDEX('Per Invoice'!N$2:N$401,$U293)))</f>
        <v/>
      </c>
      <c r="O293" s="7">
        <f>IF($U293="","",IF(INDEX('Per Invoice'!O$2:O$401,$U293)="","",INDEX('Per Invoice'!O$2:O$401,$U293)))</f>
        <v/>
      </c>
      <c r="P293" s="7">
        <f>IF($U293="","",IF(INDEX('Per Invoice'!P$2:P$401,$U293)="","",INDEX('Per Invoice'!P$2:P$401,$U293)))</f>
        <v/>
      </c>
      <c r="Q293" s="7">
        <f>IF($U293="","",IF(INDEX('Per Invoice'!Q$2:Q$401,$U293)="","",INDEX('Per Invoice'!Q$2:Q$401,$U293)))</f>
        <v/>
      </c>
      <c r="R293" s="7">
        <f>IF($U293="","",IF(INDEX('Per Invoice'!R$2:R$401,$U293)="","",INDEX('Per Invoice'!R$2:R$401,$U293)))</f>
        <v/>
      </c>
      <c r="S293" s="7">
        <f>IF($U293="","",IF(INDEX('Per Invoice'!S$2:S$401,$U293)="","",INDEX('Per Invoice'!S$2:S$401,$U293)))</f>
        <v/>
      </c>
      <c r="T293" s="7">
        <f>IF($U293="","",IF(INDEX('Per Invoice'!T$2:T$401,$U293)="","",INDEX('Per Invoice'!T$2:T$401,$U293)))</f>
        <v/>
      </c>
      <c r="U293" s="16">
        <f>IFERROR(MATCH(Settings!$C$29&amp;"|"&amp;ROWS($U$2:$U293),'Per Invoice'!$V$2:$V$401,0),"")</f>
        <v/>
      </c>
    </row>
    <row r="294">
      <c r="A294">
        <f>IF($U294="","",IF(INDEX('Per Invoice'!A$2:A$401,$U294)="","",INDEX('Per Invoice'!A$2:A$401,$U294)))</f>
        <v/>
      </c>
      <c r="B294">
        <f>IF($U294="","",IF(INDEX('Per Invoice'!B$2:B$401,$U294)="","",INDEX('Per Invoice'!B$2:B$401,$U294)))</f>
        <v/>
      </c>
      <c r="C294">
        <f>IF($U294="","",IF(INDEX('Per Invoice'!C$2:C$401,$U294)="","",INDEX('Per Invoice'!C$2:C$401,$U294)))</f>
        <v/>
      </c>
      <c r="D294">
        <f>IF($U294="","",IF(INDEX('Per Invoice'!D$2:D$401,$U294)="","",INDEX('Per Invoice'!D$2:D$401,$U294)))</f>
        <v/>
      </c>
      <c r="E294">
        <f>IF($U294="","",IF(INDEX('Per Invoice'!E$2:E$401,$U294)="","",INDEX('Per Invoice'!E$2:E$401,$U294)))</f>
        <v/>
      </c>
      <c r="F294">
        <f>IF($U294="","",IF(INDEX('Per Invoice'!F$2:F$401,$U294)="","",INDEX('Per Invoice'!F$2:F$401,$U294)))</f>
        <v/>
      </c>
      <c r="G294">
        <f>IF($U294="","",IF(INDEX('Per Invoice'!G$2:G$401,$U294)="","",INDEX('Per Invoice'!G$2:G$401,$U294)))</f>
        <v/>
      </c>
      <c r="H294" s="7">
        <f>IF($U294="","",IF(INDEX('Per Invoice'!H$2:H$401,$U294)="","",INDEX('Per Invoice'!H$2:H$401,$U294)))</f>
        <v/>
      </c>
      <c r="I294" s="14">
        <f>IF($U294="","",IF(INDEX('Per Invoice'!I$2:I$401,$U294)="","",INDEX('Per Invoice'!I$2:I$401,$U294)))</f>
        <v/>
      </c>
      <c r="J294">
        <f>IF($U294="","",IF(INDEX('Per Invoice'!J$2:J$401,$U294)="","",INDEX('Per Invoice'!J$2:J$401,$U294)))</f>
        <v/>
      </c>
      <c r="K294">
        <f>IF($U294="","",IF(INDEX('Per Invoice'!K$2:K$401,$U294)="","",INDEX('Per Invoice'!K$2:K$401,$U294)))</f>
        <v/>
      </c>
      <c r="L294" s="7">
        <f>IF($U294="","",IF(INDEX('Per Invoice'!L$2:L$401,$U294)="","",INDEX('Per Invoice'!L$2:L$401,$U294)))</f>
        <v/>
      </c>
      <c r="M294" s="7">
        <f>IF($U294="","",IF(INDEX('Per Invoice'!M$2:M$401,$U294)="","",INDEX('Per Invoice'!M$2:M$401,$U294)))</f>
        <v/>
      </c>
      <c r="N294">
        <f>IF($U294="","",IF(INDEX('Per Invoice'!N$2:N$401,$U294)="","",INDEX('Per Invoice'!N$2:N$401,$U294)))</f>
        <v/>
      </c>
      <c r="O294" s="7">
        <f>IF($U294="","",IF(INDEX('Per Invoice'!O$2:O$401,$U294)="","",INDEX('Per Invoice'!O$2:O$401,$U294)))</f>
        <v/>
      </c>
      <c r="P294" s="7">
        <f>IF($U294="","",IF(INDEX('Per Invoice'!P$2:P$401,$U294)="","",INDEX('Per Invoice'!P$2:P$401,$U294)))</f>
        <v/>
      </c>
      <c r="Q294" s="7">
        <f>IF($U294="","",IF(INDEX('Per Invoice'!Q$2:Q$401,$U294)="","",INDEX('Per Invoice'!Q$2:Q$401,$U294)))</f>
        <v/>
      </c>
      <c r="R294" s="7">
        <f>IF($U294="","",IF(INDEX('Per Invoice'!R$2:R$401,$U294)="","",INDEX('Per Invoice'!R$2:R$401,$U294)))</f>
        <v/>
      </c>
      <c r="S294" s="7">
        <f>IF($U294="","",IF(INDEX('Per Invoice'!S$2:S$401,$U294)="","",INDEX('Per Invoice'!S$2:S$401,$U294)))</f>
        <v/>
      </c>
      <c r="T294" s="7">
        <f>IF($U294="","",IF(INDEX('Per Invoice'!T$2:T$401,$U294)="","",INDEX('Per Invoice'!T$2:T$401,$U294)))</f>
        <v/>
      </c>
      <c r="U294" s="16">
        <f>IFERROR(MATCH(Settings!$C$29&amp;"|"&amp;ROWS($U$2:$U294),'Per Invoice'!$V$2:$V$401,0),"")</f>
        <v/>
      </c>
    </row>
    <row r="295">
      <c r="A295">
        <f>IF($U295="","",IF(INDEX('Per Invoice'!A$2:A$401,$U295)="","",INDEX('Per Invoice'!A$2:A$401,$U295)))</f>
        <v/>
      </c>
      <c r="B295">
        <f>IF($U295="","",IF(INDEX('Per Invoice'!B$2:B$401,$U295)="","",INDEX('Per Invoice'!B$2:B$401,$U295)))</f>
        <v/>
      </c>
      <c r="C295">
        <f>IF($U295="","",IF(INDEX('Per Invoice'!C$2:C$401,$U295)="","",INDEX('Per Invoice'!C$2:C$401,$U295)))</f>
        <v/>
      </c>
      <c r="D295">
        <f>IF($U295="","",IF(INDEX('Per Invoice'!D$2:D$401,$U295)="","",INDEX('Per Invoice'!D$2:D$401,$U295)))</f>
        <v/>
      </c>
      <c r="E295">
        <f>IF($U295="","",IF(INDEX('Per Invoice'!E$2:E$401,$U295)="","",INDEX('Per Invoice'!E$2:E$401,$U295)))</f>
        <v/>
      </c>
      <c r="F295">
        <f>IF($U295="","",IF(INDEX('Per Invoice'!F$2:F$401,$U295)="","",INDEX('Per Invoice'!F$2:F$401,$U295)))</f>
        <v/>
      </c>
      <c r="G295">
        <f>IF($U295="","",IF(INDEX('Per Invoice'!G$2:G$401,$U295)="","",INDEX('Per Invoice'!G$2:G$401,$U295)))</f>
        <v/>
      </c>
      <c r="H295" s="7">
        <f>IF($U295="","",IF(INDEX('Per Invoice'!H$2:H$401,$U295)="","",INDEX('Per Invoice'!H$2:H$401,$U295)))</f>
        <v/>
      </c>
      <c r="I295" s="14">
        <f>IF($U295="","",IF(INDEX('Per Invoice'!I$2:I$401,$U295)="","",INDEX('Per Invoice'!I$2:I$401,$U295)))</f>
        <v/>
      </c>
      <c r="J295">
        <f>IF($U295="","",IF(INDEX('Per Invoice'!J$2:J$401,$U295)="","",INDEX('Per Invoice'!J$2:J$401,$U295)))</f>
        <v/>
      </c>
      <c r="K295">
        <f>IF($U295="","",IF(INDEX('Per Invoice'!K$2:K$401,$U295)="","",INDEX('Per Invoice'!K$2:K$401,$U295)))</f>
        <v/>
      </c>
      <c r="L295" s="7">
        <f>IF($U295="","",IF(INDEX('Per Invoice'!L$2:L$401,$U295)="","",INDEX('Per Invoice'!L$2:L$401,$U295)))</f>
        <v/>
      </c>
      <c r="M295" s="7">
        <f>IF($U295="","",IF(INDEX('Per Invoice'!M$2:M$401,$U295)="","",INDEX('Per Invoice'!M$2:M$401,$U295)))</f>
        <v/>
      </c>
      <c r="N295">
        <f>IF($U295="","",IF(INDEX('Per Invoice'!N$2:N$401,$U295)="","",INDEX('Per Invoice'!N$2:N$401,$U295)))</f>
        <v/>
      </c>
      <c r="O295" s="7">
        <f>IF($U295="","",IF(INDEX('Per Invoice'!O$2:O$401,$U295)="","",INDEX('Per Invoice'!O$2:O$401,$U295)))</f>
        <v/>
      </c>
      <c r="P295" s="7">
        <f>IF($U295="","",IF(INDEX('Per Invoice'!P$2:P$401,$U295)="","",INDEX('Per Invoice'!P$2:P$401,$U295)))</f>
        <v/>
      </c>
      <c r="Q295" s="7">
        <f>IF($U295="","",IF(INDEX('Per Invoice'!Q$2:Q$401,$U295)="","",INDEX('Per Invoice'!Q$2:Q$401,$U295)))</f>
        <v/>
      </c>
      <c r="R295" s="7">
        <f>IF($U295="","",IF(INDEX('Per Invoice'!R$2:R$401,$U295)="","",INDEX('Per Invoice'!R$2:R$401,$U295)))</f>
        <v/>
      </c>
      <c r="S295" s="7">
        <f>IF($U295="","",IF(INDEX('Per Invoice'!S$2:S$401,$U295)="","",INDEX('Per Invoice'!S$2:S$401,$U295)))</f>
        <v/>
      </c>
      <c r="T295" s="7">
        <f>IF($U295="","",IF(INDEX('Per Invoice'!T$2:T$401,$U295)="","",INDEX('Per Invoice'!T$2:T$401,$U295)))</f>
        <v/>
      </c>
      <c r="U295" s="16">
        <f>IFERROR(MATCH(Settings!$C$29&amp;"|"&amp;ROWS($U$2:$U295),'Per Invoice'!$V$2:$V$401,0),"")</f>
        <v/>
      </c>
    </row>
    <row r="296">
      <c r="A296">
        <f>IF($U296="","",IF(INDEX('Per Invoice'!A$2:A$401,$U296)="","",INDEX('Per Invoice'!A$2:A$401,$U296)))</f>
        <v/>
      </c>
      <c r="B296">
        <f>IF($U296="","",IF(INDEX('Per Invoice'!B$2:B$401,$U296)="","",INDEX('Per Invoice'!B$2:B$401,$U296)))</f>
        <v/>
      </c>
      <c r="C296">
        <f>IF($U296="","",IF(INDEX('Per Invoice'!C$2:C$401,$U296)="","",INDEX('Per Invoice'!C$2:C$401,$U296)))</f>
        <v/>
      </c>
      <c r="D296">
        <f>IF($U296="","",IF(INDEX('Per Invoice'!D$2:D$401,$U296)="","",INDEX('Per Invoice'!D$2:D$401,$U296)))</f>
        <v/>
      </c>
      <c r="E296">
        <f>IF($U296="","",IF(INDEX('Per Invoice'!E$2:E$401,$U296)="","",INDEX('Per Invoice'!E$2:E$401,$U296)))</f>
        <v/>
      </c>
      <c r="F296">
        <f>IF($U296="","",IF(INDEX('Per Invoice'!F$2:F$401,$U296)="","",INDEX('Per Invoice'!F$2:F$401,$U296)))</f>
        <v/>
      </c>
      <c r="G296">
        <f>IF($U296="","",IF(INDEX('Per Invoice'!G$2:G$401,$U296)="","",INDEX('Per Invoice'!G$2:G$401,$U296)))</f>
        <v/>
      </c>
      <c r="H296" s="7">
        <f>IF($U296="","",IF(INDEX('Per Invoice'!H$2:H$401,$U296)="","",INDEX('Per Invoice'!H$2:H$401,$U296)))</f>
        <v/>
      </c>
      <c r="I296" s="14">
        <f>IF($U296="","",IF(INDEX('Per Invoice'!I$2:I$401,$U296)="","",INDEX('Per Invoice'!I$2:I$401,$U296)))</f>
        <v/>
      </c>
      <c r="J296">
        <f>IF($U296="","",IF(INDEX('Per Invoice'!J$2:J$401,$U296)="","",INDEX('Per Invoice'!J$2:J$401,$U296)))</f>
        <v/>
      </c>
      <c r="K296">
        <f>IF($U296="","",IF(INDEX('Per Invoice'!K$2:K$401,$U296)="","",INDEX('Per Invoice'!K$2:K$401,$U296)))</f>
        <v/>
      </c>
      <c r="L296" s="7">
        <f>IF($U296="","",IF(INDEX('Per Invoice'!L$2:L$401,$U296)="","",INDEX('Per Invoice'!L$2:L$401,$U296)))</f>
        <v/>
      </c>
      <c r="M296" s="7">
        <f>IF($U296="","",IF(INDEX('Per Invoice'!M$2:M$401,$U296)="","",INDEX('Per Invoice'!M$2:M$401,$U296)))</f>
        <v/>
      </c>
      <c r="N296">
        <f>IF($U296="","",IF(INDEX('Per Invoice'!N$2:N$401,$U296)="","",INDEX('Per Invoice'!N$2:N$401,$U296)))</f>
        <v/>
      </c>
      <c r="O296" s="7">
        <f>IF($U296="","",IF(INDEX('Per Invoice'!O$2:O$401,$U296)="","",INDEX('Per Invoice'!O$2:O$401,$U296)))</f>
        <v/>
      </c>
      <c r="P296" s="7">
        <f>IF($U296="","",IF(INDEX('Per Invoice'!P$2:P$401,$U296)="","",INDEX('Per Invoice'!P$2:P$401,$U296)))</f>
        <v/>
      </c>
      <c r="Q296" s="7">
        <f>IF($U296="","",IF(INDEX('Per Invoice'!Q$2:Q$401,$U296)="","",INDEX('Per Invoice'!Q$2:Q$401,$U296)))</f>
        <v/>
      </c>
      <c r="R296" s="7">
        <f>IF($U296="","",IF(INDEX('Per Invoice'!R$2:R$401,$U296)="","",INDEX('Per Invoice'!R$2:R$401,$U296)))</f>
        <v/>
      </c>
      <c r="S296" s="7">
        <f>IF($U296="","",IF(INDEX('Per Invoice'!S$2:S$401,$U296)="","",INDEX('Per Invoice'!S$2:S$401,$U296)))</f>
        <v/>
      </c>
      <c r="T296" s="7">
        <f>IF($U296="","",IF(INDEX('Per Invoice'!T$2:T$401,$U296)="","",INDEX('Per Invoice'!T$2:T$401,$U296)))</f>
        <v/>
      </c>
      <c r="U296" s="16">
        <f>IFERROR(MATCH(Settings!$C$29&amp;"|"&amp;ROWS($U$2:$U296),'Per Invoice'!$V$2:$V$401,0),"")</f>
        <v/>
      </c>
    </row>
    <row r="297">
      <c r="A297">
        <f>IF($U297="","",IF(INDEX('Per Invoice'!A$2:A$401,$U297)="","",INDEX('Per Invoice'!A$2:A$401,$U297)))</f>
        <v/>
      </c>
      <c r="B297">
        <f>IF($U297="","",IF(INDEX('Per Invoice'!B$2:B$401,$U297)="","",INDEX('Per Invoice'!B$2:B$401,$U297)))</f>
        <v/>
      </c>
      <c r="C297">
        <f>IF($U297="","",IF(INDEX('Per Invoice'!C$2:C$401,$U297)="","",INDEX('Per Invoice'!C$2:C$401,$U297)))</f>
        <v/>
      </c>
      <c r="D297">
        <f>IF($U297="","",IF(INDEX('Per Invoice'!D$2:D$401,$U297)="","",INDEX('Per Invoice'!D$2:D$401,$U297)))</f>
        <v/>
      </c>
      <c r="E297">
        <f>IF($U297="","",IF(INDEX('Per Invoice'!E$2:E$401,$U297)="","",INDEX('Per Invoice'!E$2:E$401,$U297)))</f>
        <v/>
      </c>
      <c r="F297">
        <f>IF($U297="","",IF(INDEX('Per Invoice'!F$2:F$401,$U297)="","",INDEX('Per Invoice'!F$2:F$401,$U297)))</f>
        <v/>
      </c>
      <c r="G297">
        <f>IF($U297="","",IF(INDEX('Per Invoice'!G$2:G$401,$U297)="","",INDEX('Per Invoice'!G$2:G$401,$U297)))</f>
        <v/>
      </c>
      <c r="H297" s="7">
        <f>IF($U297="","",IF(INDEX('Per Invoice'!H$2:H$401,$U297)="","",INDEX('Per Invoice'!H$2:H$401,$U297)))</f>
        <v/>
      </c>
      <c r="I297" s="14">
        <f>IF($U297="","",IF(INDEX('Per Invoice'!I$2:I$401,$U297)="","",INDEX('Per Invoice'!I$2:I$401,$U297)))</f>
        <v/>
      </c>
      <c r="J297">
        <f>IF($U297="","",IF(INDEX('Per Invoice'!J$2:J$401,$U297)="","",INDEX('Per Invoice'!J$2:J$401,$U297)))</f>
        <v/>
      </c>
      <c r="K297">
        <f>IF($U297="","",IF(INDEX('Per Invoice'!K$2:K$401,$U297)="","",INDEX('Per Invoice'!K$2:K$401,$U297)))</f>
        <v/>
      </c>
      <c r="L297" s="7">
        <f>IF($U297="","",IF(INDEX('Per Invoice'!L$2:L$401,$U297)="","",INDEX('Per Invoice'!L$2:L$401,$U297)))</f>
        <v/>
      </c>
      <c r="M297" s="7">
        <f>IF($U297="","",IF(INDEX('Per Invoice'!M$2:M$401,$U297)="","",INDEX('Per Invoice'!M$2:M$401,$U297)))</f>
        <v/>
      </c>
      <c r="N297">
        <f>IF($U297="","",IF(INDEX('Per Invoice'!N$2:N$401,$U297)="","",INDEX('Per Invoice'!N$2:N$401,$U297)))</f>
        <v/>
      </c>
      <c r="O297" s="7">
        <f>IF($U297="","",IF(INDEX('Per Invoice'!O$2:O$401,$U297)="","",INDEX('Per Invoice'!O$2:O$401,$U297)))</f>
        <v/>
      </c>
      <c r="P297" s="7">
        <f>IF($U297="","",IF(INDEX('Per Invoice'!P$2:P$401,$U297)="","",INDEX('Per Invoice'!P$2:P$401,$U297)))</f>
        <v/>
      </c>
      <c r="Q297" s="7">
        <f>IF($U297="","",IF(INDEX('Per Invoice'!Q$2:Q$401,$U297)="","",INDEX('Per Invoice'!Q$2:Q$401,$U297)))</f>
        <v/>
      </c>
      <c r="R297" s="7">
        <f>IF($U297="","",IF(INDEX('Per Invoice'!R$2:R$401,$U297)="","",INDEX('Per Invoice'!R$2:R$401,$U297)))</f>
        <v/>
      </c>
      <c r="S297" s="7">
        <f>IF($U297="","",IF(INDEX('Per Invoice'!S$2:S$401,$U297)="","",INDEX('Per Invoice'!S$2:S$401,$U297)))</f>
        <v/>
      </c>
      <c r="T297" s="7">
        <f>IF($U297="","",IF(INDEX('Per Invoice'!T$2:T$401,$U297)="","",INDEX('Per Invoice'!T$2:T$401,$U297)))</f>
        <v/>
      </c>
      <c r="U297" s="16">
        <f>IFERROR(MATCH(Settings!$C$29&amp;"|"&amp;ROWS($U$2:$U297),'Per Invoice'!$V$2:$V$401,0),"")</f>
        <v/>
      </c>
    </row>
    <row r="298">
      <c r="A298">
        <f>IF($U298="","",IF(INDEX('Per Invoice'!A$2:A$401,$U298)="","",INDEX('Per Invoice'!A$2:A$401,$U298)))</f>
        <v/>
      </c>
      <c r="B298">
        <f>IF($U298="","",IF(INDEX('Per Invoice'!B$2:B$401,$U298)="","",INDEX('Per Invoice'!B$2:B$401,$U298)))</f>
        <v/>
      </c>
      <c r="C298">
        <f>IF($U298="","",IF(INDEX('Per Invoice'!C$2:C$401,$U298)="","",INDEX('Per Invoice'!C$2:C$401,$U298)))</f>
        <v/>
      </c>
      <c r="D298">
        <f>IF($U298="","",IF(INDEX('Per Invoice'!D$2:D$401,$U298)="","",INDEX('Per Invoice'!D$2:D$401,$U298)))</f>
        <v/>
      </c>
      <c r="E298">
        <f>IF($U298="","",IF(INDEX('Per Invoice'!E$2:E$401,$U298)="","",INDEX('Per Invoice'!E$2:E$401,$U298)))</f>
        <v/>
      </c>
      <c r="F298">
        <f>IF($U298="","",IF(INDEX('Per Invoice'!F$2:F$401,$U298)="","",INDEX('Per Invoice'!F$2:F$401,$U298)))</f>
        <v/>
      </c>
      <c r="G298">
        <f>IF($U298="","",IF(INDEX('Per Invoice'!G$2:G$401,$U298)="","",INDEX('Per Invoice'!G$2:G$401,$U298)))</f>
        <v/>
      </c>
      <c r="H298" s="7">
        <f>IF($U298="","",IF(INDEX('Per Invoice'!H$2:H$401,$U298)="","",INDEX('Per Invoice'!H$2:H$401,$U298)))</f>
        <v/>
      </c>
      <c r="I298" s="14">
        <f>IF($U298="","",IF(INDEX('Per Invoice'!I$2:I$401,$U298)="","",INDEX('Per Invoice'!I$2:I$401,$U298)))</f>
        <v/>
      </c>
      <c r="J298">
        <f>IF($U298="","",IF(INDEX('Per Invoice'!J$2:J$401,$U298)="","",INDEX('Per Invoice'!J$2:J$401,$U298)))</f>
        <v/>
      </c>
      <c r="K298">
        <f>IF($U298="","",IF(INDEX('Per Invoice'!K$2:K$401,$U298)="","",INDEX('Per Invoice'!K$2:K$401,$U298)))</f>
        <v/>
      </c>
      <c r="L298" s="7">
        <f>IF($U298="","",IF(INDEX('Per Invoice'!L$2:L$401,$U298)="","",INDEX('Per Invoice'!L$2:L$401,$U298)))</f>
        <v/>
      </c>
      <c r="M298" s="7">
        <f>IF($U298="","",IF(INDEX('Per Invoice'!M$2:M$401,$U298)="","",INDEX('Per Invoice'!M$2:M$401,$U298)))</f>
        <v/>
      </c>
      <c r="N298">
        <f>IF($U298="","",IF(INDEX('Per Invoice'!N$2:N$401,$U298)="","",INDEX('Per Invoice'!N$2:N$401,$U298)))</f>
        <v/>
      </c>
      <c r="O298" s="7">
        <f>IF($U298="","",IF(INDEX('Per Invoice'!O$2:O$401,$U298)="","",INDEX('Per Invoice'!O$2:O$401,$U298)))</f>
        <v/>
      </c>
      <c r="P298" s="7">
        <f>IF($U298="","",IF(INDEX('Per Invoice'!P$2:P$401,$U298)="","",INDEX('Per Invoice'!P$2:P$401,$U298)))</f>
        <v/>
      </c>
      <c r="Q298" s="7">
        <f>IF($U298="","",IF(INDEX('Per Invoice'!Q$2:Q$401,$U298)="","",INDEX('Per Invoice'!Q$2:Q$401,$U298)))</f>
        <v/>
      </c>
      <c r="R298" s="7">
        <f>IF($U298="","",IF(INDEX('Per Invoice'!R$2:R$401,$U298)="","",INDEX('Per Invoice'!R$2:R$401,$U298)))</f>
        <v/>
      </c>
      <c r="S298" s="7">
        <f>IF($U298="","",IF(INDEX('Per Invoice'!S$2:S$401,$U298)="","",INDEX('Per Invoice'!S$2:S$401,$U298)))</f>
        <v/>
      </c>
      <c r="T298" s="7">
        <f>IF($U298="","",IF(INDEX('Per Invoice'!T$2:T$401,$U298)="","",INDEX('Per Invoice'!T$2:T$401,$U298)))</f>
        <v/>
      </c>
      <c r="U298" s="16">
        <f>IFERROR(MATCH(Settings!$C$29&amp;"|"&amp;ROWS($U$2:$U298),'Per Invoice'!$V$2:$V$401,0),"")</f>
        <v/>
      </c>
    </row>
    <row r="299">
      <c r="A299">
        <f>IF($U299="","",IF(INDEX('Per Invoice'!A$2:A$401,$U299)="","",INDEX('Per Invoice'!A$2:A$401,$U299)))</f>
        <v/>
      </c>
      <c r="B299">
        <f>IF($U299="","",IF(INDEX('Per Invoice'!B$2:B$401,$U299)="","",INDEX('Per Invoice'!B$2:B$401,$U299)))</f>
        <v/>
      </c>
      <c r="C299">
        <f>IF($U299="","",IF(INDEX('Per Invoice'!C$2:C$401,$U299)="","",INDEX('Per Invoice'!C$2:C$401,$U299)))</f>
        <v/>
      </c>
      <c r="D299">
        <f>IF($U299="","",IF(INDEX('Per Invoice'!D$2:D$401,$U299)="","",INDEX('Per Invoice'!D$2:D$401,$U299)))</f>
        <v/>
      </c>
      <c r="E299">
        <f>IF($U299="","",IF(INDEX('Per Invoice'!E$2:E$401,$U299)="","",INDEX('Per Invoice'!E$2:E$401,$U299)))</f>
        <v/>
      </c>
      <c r="F299">
        <f>IF($U299="","",IF(INDEX('Per Invoice'!F$2:F$401,$U299)="","",INDEX('Per Invoice'!F$2:F$401,$U299)))</f>
        <v/>
      </c>
      <c r="G299">
        <f>IF($U299="","",IF(INDEX('Per Invoice'!G$2:G$401,$U299)="","",INDEX('Per Invoice'!G$2:G$401,$U299)))</f>
        <v/>
      </c>
      <c r="H299" s="7">
        <f>IF($U299="","",IF(INDEX('Per Invoice'!H$2:H$401,$U299)="","",INDEX('Per Invoice'!H$2:H$401,$U299)))</f>
        <v/>
      </c>
      <c r="I299" s="14">
        <f>IF($U299="","",IF(INDEX('Per Invoice'!I$2:I$401,$U299)="","",INDEX('Per Invoice'!I$2:I$401,$U299)))</f>
        <v/>
      </c>
      <c r="J299">
        <f>IF($U299="","",IF(INDEX('Per Invoice'!J$2:J$401,$U299)="","",INDEX('Per Invoice'!J$2:J$401,$U299)))</f>
        <v/>
      </c>
      <c r="K299">
        <f>IF($U299="","",IF(INDEX('Per Invoice'!K$2:K$401,$U299)="","",INDEX('Per Invoice'!K$2:K$401,$U299)))</f>
        <v/>
      </c>
      <c r="L299" s="7">
        <f>IF($U299="","",IF(INDEX('Per Invoice'!L$2:L$401,$U299)="","",INDEX('Per Invoice'!L$2:L$401,$U299)))</f>
        <v/>
      </c>
      <c r="M299" s="7">
        <f>IF($U299="","",IF(INDEX('Per Invoice'!M$2:M$401,$U299)="","",INDEX('Per Invoice'!M$2:M$401,$U299)))</f>
        <v/>
      </c>
      <c r="N299">
        <f>IF($U299="","",IF(INDEX('Per Invoice'!N$2:N$401,$U299)="","",INDEX('Per Invoice'!N$2:N$401,$U299)))</f>
        <v/>
      </c>
      <c r="O299" s="7">
        <f>IF($U299="","",IF(INDEX('Per Invoice'!O$2:O$401,$U299)="","",INDEX('Per Invoice'!O$2:O$401,$U299)))</f>
        <v/>
      </c>
      <c r="P299" s="7">
        <f>IF($U299="","",IF(INDEX('Per Invoice'!P$2:P$401,$U299)="","",INDEX('Per Invoice'!P$2:P$401,$U299)))</f>
        <v/>
      </c>
      <c r="Q299" s="7">
        <f>IF($U299="","",IF(INDEX('Per Invoice'!Q$2:Q$401,$U299)="","",INDEX('Per Invoice'!Q$2:Q$401,$U299)))</f>
        <v/>
      </c>
      <c r="R299" s="7">
        <f>IF($U299="","",IF(INDEX('Per Invoice'!R$2:R$401,$U299)="","",INDEX('Per Invoice'!R$2:R$401,$U299)))</f>
        <v/>
      </c>
      <c r="S299" s="7">
        <f>IF($U299="","",IF(INDEX('Per Invoice'!S$2:S$401,$U299)="","",INDEX('Per Invoice'!S$2:S$401,$U299)))</f>
        <v/>
      </c>
      <c r="T299" s="7">
        <f>IF($U299="","",IF(INDEX('Per Invoice'!T$2:T$401,$U299)="","",INDEX('Per Invoice'!T$2:T$401,$U299)))</f>
        <v/>
      </c>
      <c r="U299" s="16">
        <f>IFERROR(MATCH(Settings!$C$29&amp;"|"&amp;ROWS($U$2:$U299),'Per Invoice'!$V$2:$V$401,0),"")</f>
        <v/>
      </c>
    </row>
    <row r="300">
      <c r="A300">
        <f>IF($U300="","",IF(INDEX('Per Invoice'!A$2:A$401,$U300)="","",INDEX('Per Invoice'!A$2:A$401,$U300)))</f>
        <v/>
      </c>
      <c r="B300">
        <f>IF($U300="","",IF(INDEX('Per Invoice'!B$2:B$401,$U300)="","",INDEX('Per Invoice'!B$2:B$401,$U300)))</f>
        <v/>
      </c>
      <c r="C300">
        <f>IF($U300="","",IF(INDEX('Per Invoice'!C$2:C$401,$U300)="","",INDEX('Per Invoice'!C$2:C$401,$U300)))</f>
        <v/>
      </c>
      <c r="D300">
        <f>IF($U300="","",IF(INDEX('Per Invoice'!D$2:D$401,$U300)="","",INDEX('Per Invoice'!D$2:D$401,$U300)))</f>
        <v/>
      </c>
      <c r="E300">
        <f>IF($U300="","",IF(INDEX('Per Invoice'!E$2:E$401,$U300)="","",INDEX('Per Invoice'!E$2:E$401,$U300)))</f>
        <v/>
      </c>
      <c r="F300">
        <f>IF($U300="","",IF(INDEX('Per Invoice'!F$2:F$401,$U300)="","",INDEX('Per Invoice'!F$2:F$401,$U300)))</f>
        <v/>
      </c>
      <c r="G300">
        <f>IF($U300="","",IF(INDEX('Per Invoice'!G$2:G$401,$U300)="","",INDEX('Per Invoice'!G$2:G$401,$U300)))</f>
        <v/>
      </c>
      <c r="H300" s="7">
        <f>IF($U300="","",IF(INDEX('Per Invoice'!H$2:H$401,$U300)="","",INDEX('Per Invoice'!H$2:H$401,$U300)))</f>
        <v/>
      </c>
      <c r="I300" s="14">
        <f>IF($U300="","",IF(INDEX('Per Invoice'!I$2:I$401,$U300)="","",INDEX('Per Invoice'!I$2:I$401,$U300)))</f>
        <v/>
      </c>
      <c r="J300">
        <f>IF($U300="","",IF(INDEX('Per Invoice'!J$2:J$401,$U300)="","",INDEX('Per Invoice'!J$2:J$401,$U300)))</f>
        <v/>
      </c>
      <c r="K300">
        <f>IF($U300="","",IF(INDEX('Per Invoice'!K$2:K$401,$U300)="","",INDEX('Per Invoice'!K$2:K$401,$U300)))</f>
        <v/>
      </c>
      <c r="L300" s="7">
        <f>IF($U300="","",IF(INDEX('Per Invoice'!L$2:L$401,$U300)="","",INDEX('Per Invoice'!L$2:L$401,$U300)))</f>
        <v/>
      </c>
      <c r="M300" s="7">
        <f>IF($U300="","",IF(INDEX('Per Invoice'!M$2:M$401,$U300)="","",INDEX('Per Invoice'!M$2:M$401,$U300)))</f>
        <v/>
      </c>
      <c r="N300">
        <f>IF($U300="","",IF(INDEX('Per Invoice'!N$2:N$401,$U300)="","",INDEX('Per Invoice'!N$2:N$401,$U300)))</f>
        <v/>
      </c>
      <c r="O300" s="7">
        <f>IF($U300="","",IF(INDEX('Per Invoice'!O$2:O$401,$U300)="","",INDEX('Per Invoice'!O$2:O$401,$U300)))</f>
        <v/>
      </c>
      <c r="P300" s="7">
        <f>IF($U300="","",IF(INDEX('Per Invoice'!P$2:P$401,$U300)="","",INDEX('Per Invoice'!P$2:P$401,$U300)))</f>
        <v/>
      </c>
      <c r="Q300" s="7">
        <f>IF($U300="","",IF(INDEX('Per Invoice'!Q$2:Q$401,$U300)="","",INDEX('Per Invoice'!Q$2:Q$401,$U300)))</f>
        <v/>
      </c>
      <c r="R300" s="7">
        <f>IF($U300="","",IF(INDEX('Per Invoice'!R$2:R$401,$U300)="","",INDEX('Per Invoice'!R$2:R$401,$U300)))</f>
        <v/>
      </c>
      <c r="S300" s="7">
        <f>IF($U300="","",IF(INDEX('Per Invoice'!S$2:S$401,$U300)="","",INDEX('Per Invoice'!S$2:S$401,$U300)))</f>
        <v/>
      </c>
      <c r="T300" s="7">
        <f>IF($U300="","",IF(INDEX('Per Invoice'!T$2:T$401,$U300)="","",INDEX('Per Invoice'!T$2:T$401,$U300)))</f>
        <v/>
      </c>
      <c r="U300" s="16">
        <f>IFERROR(MATCH(Settings!$C$29&amp;"|"&amp;ROWS($U$2:$U300),'Per Invoice'!$V$2:$V$401,0),"")</f>
        <v/>
      </c>
    </row>
    <row r="301">
      <c r="A301">
        <f>IF($U301="","",IF(INDEX('Per Invoice'!A$2:A$401,$U301)="","",INDEX('Per Invoice'!A$2:A$401,$U301)))</f>
        <v/>
      </c>
      <c r="B301">
        <f>IF($U301="","",IF(INDEX('Per Invoice'!B$2:B$401,$U301)="","",INDEX('Per Invoice'!B$2:B$401,$U301)))</f>
        <v/>
      </c>
      <c r="C301">
        <f>IF($U301="","",IF(INDEX('Per Invoice'!C$2:C$401,$U301)="","",INDEX('Per Invoice'!C$2:C$401,$U301)))</f>
        <v/>
      </c>
      <c r="D301">
        <f>IF($U301="","",IF(INDEX('Per Invoice'!D$2:D$401,$U301)="","",INDEX('Per Invoice'!D$2:D$401,$U301)))</f>
        <v/>
      </c>
      <c r="E301">
        <f>IF($U301="","",IF(INDEX('Per Invoice'!E$2:E$401,$U301)="","",INDEX('Per Invoice'!E$2:E$401,$U301)))</f>
        <v/>
      </c>
      <c r="F301">
        <f>IF($U301="","",IF(INDEX('Per Invoice'!F$2:F$401,$U301)="","",INDEX('Per Invoice'!F$2:F$401,$U301)))</f>
        <v/>
      </c>
      <c r="G301">
        <f>IF($U301="","",IF(INDEX('Per Invoice'!G$2:G$401,$U301)="","",INDEX('Per Invoice'!G$2:G$401,$U301)))</f>
        <v/>
      </c>
      <c r="H301" s="7">
        <f>IF($U301="","",IF(INDEX('Per Invoice'!H$2:H$401,$U301)="","",INDEX('Per Invoice'!H$2:H$401,$U301)))</f>
        <v/>
      </c>
      <c r="I301" s="14">
        <f>IF($U301="","",IF(INDEX('Per Invoice'!I$2:I$401,$U301)="","",INDEX('Per Invoice'!I$2:I$401,$U301)))</f>
        <v/>
      </c>
      <c r="J301">
        <f>IF($U301="","",IF(INDEX('Per Invoice'!J$2:J$401,$U301)="","",INDEX('Per Invoice'!J$2:J$401,$U301)))</f>
        <v/>
      </c>
      <c r="K301">
        <f>IF($U301="","",IF(INDEX('Per Invoice'!K$2:K$401,$U301)="","",INDEX('Per Invoice'!K$2:K$401,$U301)))</f>
        <v/>
      </c>
      <c r="L301" s="7">
        <f>IF($U301="","",IF(INDEX('Per Invoice'!L$2:L$401,$U301)="","",INDEX('Per Invoice'!L$2:L$401,$U301)))</f>
        <v/>
      </c>
      <c r="M301" s="7">
        <f>IF($U301="","",IF(INDEX('Per Invoice'!M$2:M$401,$U301)="","",INDEX('Per Invoice'!M$2:M$401,$U301)))</f>
        <v/>
      </c>
      <c r="N301">
        <f>IF($U301="","",IF(INDEX('Per Invoice'!N$2:N$401,$U301)="","",INDEX('Per Invoice'!N$2:N$401,$U301)))</f>
        <v/>
      </c>
      <c r="O301" s="7">
        <f>IF($U301="","",IF(INDEX('Per Invoice'!O$2:O$401,$U301)="","",INDEX('Per Invoice'!O$2:O$401,$U301)))</f>
        <v/>
      </c>
      <c r="P301" s="7">
        <f>IF($U301="","",IF(INDEX('Per Invoice'!P$2:P$401,$U301)="","",INDEX('Per Invoice'!P$2:P$401,$U301)))</f>
        <v/>
      </c>
      <c r="Q301" s="7">
        <f>IF($U301="","",IF(INDEX('Per Invoice'!Q$2:Q$401,$U301)="","",INDEX('Per Invoice'!Q$2:Q$401,$U301)))</f>
        <v/>
      </c>
      <c r="R301" s="7">
        <f>IF($U301="","",IF(INDEX('Per Invoice'!R$2:R$401,$U301)="","",INDEX('Per Invoice'!R$2:R$401,$U301)))</f>
        <v/>
      </c>
      <c r="S301" s="7">
        <f>IF($U301="","",IF(INDEX('Per Invoice'!S$2:S$401,$U301)="","",INDEX('Per Invoice'!S$2:S$401,$U301)))</f>
        <v/>
      </c>
      <c r="T301" s="7">
        <f>IF($U301="","",IF(INDEX('Per Invoice'!T$2:T$401,$U301)="","",INDEX('Per Invoice'!T$2:T$401,$U301)))</f>
        <v/>
      </c>
      <c r="U301" s="16">
        <f>IFERROR(MATCH(Settings!$C$29&amp;"|"&amp;ROWS($U$2:$U301),'Per Invoice'!$V$2:$V$401,0),"")</f>
        <v/>
      </c>
    </row>
  </sheetData>
  <autoFilter ref="A1:U3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8" customWidth="1" min="4" max="4"/>
    <col width="26" customWidth="1" min="5" max="5"/>
    <col width="13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3" customWidth="1" min="21" max="21"/>
  </cols>
  <sheetData>
    <row r="1" ht="32" customHeight="1">
      <c r="A1" s="10" t="inlineStr">
        <is>
          <t>Pos Reference</t>
        </is>
      </c>
      <c r="B1" s="10" t="inlineStr">
        <is>
          <t>Copay Tab (##)</t>
        </is>
      </c>
      <c r="C1" s="10" t="inlineStr">
        <is>
          <t>Invoice</t>
        </is>
      </c>
      <c r="D1" s="10" t="inlineStr">
        <is>
          <t>Insurance Company</t>
        </is>
      </c>
      <c r="E1" s="10" t="inlineStr">
        <is>
          <t>Name</t>
        </is>
      </c>
      <c r="F1" s="10" t="inlineStr">
        <is>
          <t>Card Number</t>
        </is>
      </c>
      <c r="G1" s="10" t="inlineStr">
        <is>
          <t>Co Payment %</t>
        </is>
      </c>
      <c r="H1" s="10" t="inlineStr">
        <is>
          <t>Co val</t>
        </is>
      </c>
      <c r="I1" s="10" t="inlineStr">
        <is>
          <t>Create Date</t>
        </is>
      </c>
      <c r="J1" s="10" t="inlineStr">
        <is>
          <t>Session</t>
        </is>
      </c>
      <c r="K1" s="10" t="inlineStr">
        <is>
          <t>IMP%</t>
        </is>
      </c>
      <c r="L1" s="10" t="inlineStr">
        <is>
          <t>IMP</t>
        </is>
      </c>
      <c r="M1" s="10" t="inlineStr">
        <is>
          <t>IMP VAL</t>
        </is>
      </c>
      <c r="N1" s="10" t="inlineStr">
        <is>
          <t>LOCAL%</t>
        </is>
      </c>
      <c r="O1" s="10" t="inlineStr">
        <is>
          <t>LOCAL</t>
        </is>
      </c>
      <c r="P1" s="10" t="inlineStr">
        <is>
          <t>LOCAL VAL</t>
        </is>
      </c>
      <c r="Q1" s="10" t="inlineStr">
        <is>
          <t>TOTAL VAL</t>
        </is>
      </c>
      <c r="R1" s="10" t="inlineStr">
        <is>
          <t>SUBTOTAL</t>
        </is>
      </c>
      <c r="S1" s="10" t="inlineStr">
        <is>
          <t>Grand Total</t>
        </is>
      </c>
      <c r="T1" s="10" t="inlineStr">
        <is>
          <t>NET</t>
        </is>
      </c>
      <c r="U1" s="13" t="inlineStr">
        <is>
          <t>Src Row (helper)</t>
        </is>
      </c>
    </row>
    <row r="2">
      <c r="A2">
        <f>IF($U2="","",IF(INDEX('Per Invoice'!A$2:A$401,$U2)="","",INDEX('Per Invoice'!A$2:A$401,$U2)))</f>
        <v/>
      </c>
      <c r="B2">
        <f>IF($U2="","",IF(INDEX('Per Invoice'!B$2:B$401,$U2)="","",INDEX('Per Invoice'!B$2:B$401,$U2)))</f>
        <v/>
      </c>
      <c r="C2">
        <f>IF($U2="","",IF(INDEX('Per Invoice'!C$2:C$401,$U2)="","",INDEX('Per Invoice'!C$2:C$401,$U2)))</f>
        <v/>
      </c>
      <c r="D2">
        <f>IF($U2="","",IF(INDEX('Per Invoice'!D$2:D$401,$U2)="","",INDEX('Per Invoice'!D$2:D$401,$U2)))</f>
        <v/>
      </c>
      <c r="E2">
        <f>IF($U2="","",IF(INDEX('Per Invoice'!E$2:E$401,$U2)="","",INDEX('Per Invoice'!E$2:E$401,$U2)))</f>
        <v/>
      </c>
      <c r="F2">
        <f>IF($U2="","",IF(INDEX('Per Invoice'!F$2:F$401,$U2)="","",INDEX('Per Invoice'!F$2:F$401,$U2)))</f>
        <v/>
      </c>
      <c r="G2">
        <f>IF($U2="","",IF(INDEX('Per Invoice'!G$2:G$401,$U2)="","",INDEX('Per Invoice'!G$2:G$401,$U2)))</f>
        <v/>
      </c>
      <c r="H2" s="7">
        <f>IF($U2="","",IF(INDEX('Per Invoice'!H$2:H$401,$U2)="","",INDEX('Per Invoice'!H$2:H$401,$U2)))</f>
        <v/>
      </c>
      <c r="I2" s="14">
        <f>IF($U2="","",IF(INDEX('Per Invoice'!I$2:I$401,$U2)="","",INDEX('Per Invoice'!I$2:I$401,$U2)))</f>
        <v/>
      </c>
      <c r="J2">
        <f>IF($U2="","",IF(INDEX('Per Invoice'!J$2:J$401,$U2)="","",INDEX('Per Invoice'!J$2:J$401,$U2)))</f>
        <v/>
      </c>
      <c r="K2">
        <f>IF($U2="","",IF(INDEX('Per Invoice'!K$2:K$401,$U2)="","",INDEX('Per Invoice'!K$2:K$401,$U2)))</f>
        <v/>
      </c>
      <c r="L2" s="7">
        <f>IF($U2="","",IF(INDEX('Per Invoice'!L$2:L$401,$U2)="","",INDEX('Per Invoice'!L$2:L$401,$U2)))</f>
        <v/>
      </c>
      <c r="M2" s="7">
        <f>IF($U2="","",IF(INDEX('Per Invoice'!M$2:M$401,$U2)="","",INDEX('Per Invoice'!M$2:M$401,$U2)))</f>
        <v/>
      </c>
      <c r="N2">
        <f>IF($U2="","",IF(INDEX('Per Invoice'!N$2:N$401,$U2)="","",INDEX('Per Invoice'!N$2:N$401,$U2)))</f>
        <v/>
      </c>
      <c r="O2" s="7">
        <f>IF($U2="","",IF(INDEX('Per Invoice'!O$2:O$401,$U2)="","",INDEX('Per Invoice'!O$2:O$401,$U2)))</f>
        <v/>
      </c>
      <c r="P2" s="7">
        <f>IF($U2="","",IF(INDEX('Per Invoice'!P$2:P$401,$U2)="","",INDEX('Per Invoice'!P$2:P$401,$U2)))</f>
        <v/>
      </c>
      <c r="Q2" s="7">
        <f>IF($U2="","",IF(INDEX('Per Invoice'!Q$2:Q$401,$U2)="","",INDEX('Per Invoice'!Q$2:Q$401,$U2)))</f>
        <v/>
      </c>
      <c r="R2" s="7">
        <f>IF($U2="","",IF(INDEX('Per Invoice'!R$2:R$401,$U2)="","",INDEX('Per Invoice'!R$2:R$401,$U2)))</f>
        <v/>
      </c>
      <c r="S2" s="7">
        <f>IF($U2="","",IF(INDEX('Per Invoice'!S$2:S$401,$U2)="","",INDEX('Per Invoice'!S$2:S$401,$U2)))</f>
        <v/>
      </c>
      <c r="T2" s="7">
        <f>IF($U2="","",IF(INDEX('Per Invoice'!T$2:T$401,$U2)="","",INDEX('Per Invoice'!T$2:T$401,$U2)))</f>
        <v/>
      </c>
      <c r="U2" s="16">
        <f>IFERROR(MATCH(Settings!$C$30&amp;"|"&amp;ROWS($U$2:$U2),'Per Invoice'!$V$2:$V$401,0),"")</f>
        <v/>
      </c>
    </row>
    <row r="3">
      <c r="A3">
        <f>IF($U3="","",IF(INDEX('Per Invoice'!A$2:A$401,$U3)="","",INDEX('Per Invoice'!A$2:A$401,$U3)))</f>
        <v/>
      </c>
      <c r="B3">
        <f>IF($U3="","",IF(INDEX('Per Invoice'!B$2:B$401,$U3)="","",INDEX('Per Invoice'!B$2:B$401,$U3)))</f>
        <v/>
      </c>
      <c r="C3">
        <f>IF($U3="","",IF(INDEX('Per Invoice'!C$2:C$401,$U3)="","",INDEX('Per Invoice'!C$2:C$401,$U3)))</f>
        <v/>
      </c>
      <c r="D3">
        <f>IF($U3="","",IF(INDEX('Per Invoice'!D$2:D$401,$U3)="","",INDEX('Per Invoice'!D$2:D$401,$U3)))</f>
        <v/>
      </c>
      <c r="E3">
        <f>IF($U3="","",IF(INDEX('Per Invoice'!E$2:E$401,$U3)="","",INDEX('Per Invoice'!E$2:E$401,$U3)))</f>
        <v/>
      </c>
      <c r="F3">
        <f>IF($U3="","",IF(INDEX('Per Invoice'!F$2:F$401,$U3)="","",INDEX('Per Invoice'!F$2:F$401,$U3)))</f>
        <v/>
      </c>
      <c r="G3">
        <f>IF($U3="","",IF(INDEX('Per Invoice'!G$2:G$401,$U3)="","",INDEX('Per Invoice'!G$2:G$401,$U3)))</f>
        <v/>
      </c>
      <c r="H3" s="7">
        <f>IF($U3="","",IF(INDEX('Per Invoice'!H$2:H$401,$U3)="","",INDEX('Per Invoice'!H$2:H$401,$U3)))</f>
        <v/>
      </c>
      <c r="I3" s="14">
        <f>IF($U3="","",IF(INDEX('Per Invoice'!I$2:I$401,$U3)="","",INDEX('Per Invoice'!I$2:I$401,$U3)))</f>
        <v/>
      </c>
      <c r="J3">
        <f>IF($U3="","",IF(INDEX('Per Invoice'!J$2:J$401,$U3)="","",INDEX('Per Invoice'!J$2:J$401,$U3)))</f>
        <v/>
      </c>
      <c r="K3">
        <f>IF($U3="","",IF(INDEX('Per Invoice'!K$2:K$401,$U3)="","",INDEX('Per Invoice'!K$2:K$401,$U3)))</f>
        <v/>
      </c>
      <c r="L3" s="7">
        <f>IF($U3="","",IF(INDEX('Per Invoice'!L$2:L$401,$U3)="","",INDEX('Per Invoice'!L$2:L$401,$U3)))</f>
        <v/>
      </c>
      <c r="M3" s="7">
        <f>IF($U3="","",IF(INDEX('Per Invoice'!M$2:M$401,$U3)="","",INDEX('Per Invoice'!M$2:M$401,$U3)))</f>
        <v/>
      </c>
      <c r="N3">
        <f>IF($U3="","",IF(INDEX('Per Invoice'!N$2:N$401,$U3)="","",INDEX('Per Invoice'!N$2:N$401,$U3)))</f>
        <v/>
      </c>
      <c r="O3" s="7">
        <f>IF($U3="","",IF(INDEX('Per Invoice'!O$2:O$401,$U3)="","",INDEX('Per Invoice'!O$2:O$401,$U3)))</f>
        <v/>
      </c>
      <c r="P3" s="7">
        <f>IF($U3="","",IF(INDEX('Per Invoice'!P$2:P$401,$U3)="","",INDEX('Per Invoice'!P$2:P$401,$U3)))</f>
        <v/>
      </c>
      <c r="Q3" s="7">
        <f>IF($U3="","",IF(INDEX('Per Invoice'!Q$2:Q$401,$U3)="","",INDEX('Per Invoice'!Q$2:Q$401,$U3)))</f>
        <v/>
      </c>
      <c r="R3" s="7">
        <f>IF($U3="","",IF(INDEX('Per Invoice'!R$2:R$401,$U3)="","",INDEX('Per Invoice'!R$2:R$401,$U3)))</f>
        <v/>
      </c>
      <c r="S3" s="7">
        <f>IF($U3="","",IF(INDEX('Per Invoice'!S$2:S$401,$U3)="","",INDEX('Per Invoice'!S$2:S$401,$U3)))</f>
        <v/>
      </c>
      <c r="T3" s="7">
        <f>IF($U3="","",IF(INDEX('Per Invoice'!T$2:T$401,$U3)="","",INDEX('Per Invoice'!T$2:T$401,$U3)))</f>
        <v/>
      </c>
      <c r="U3" s="16">
        <f>IFERROR(MATCH(Settings!$C$30&amp;"|"&amp;ROWS($U$2:$U3),'Per Invoice'!$V$2:$V$401,0),"")</f>
        <v/>
      </c>
    </row>
    <row r="4">
      <c r="A4">
        <f>IF($U4="","",IF(INDEX('Per Invoice'!A$2:A$401,$U4)="","",INDEX('Per Invoice'!A$2:A$401,$U4)))</f>
        <v/>
      </c>
      <c r="B4">
        <f>IF($U4="","",IF(INDEX('Per Invoice'!B$2:B$401,$U4)="","",INDEX('Per Invoice'!B$2:B$401,$U4)))</f>
        <v/>
      </c>
      <c r="C4">
        <f>IF($U4="","",IF(INDEX('Per Invoice'!C$2:C$401,$U4)="","",INDEX('Per Invoice'!C$2:C$401,$U4)))</f>
        <v/>
      </c>
      <c r="D4">
        <f>IF($U4="","",IF(INDEX('Per Invoice'!D$2:D$401,$U4)="","",INDEX('Per Invoice'!D$2:D$401,$U4)))</f>
        <v/>
      </c>
      <c r="E4">
        <f>IF($U4="","",IF(INDEX('Per Invoice'!E$2:E$401,$U4)="","",INDEX('Per Invoice'!E$2:E$401,$U4)))</f>
        <v/>
      </c>
      <c r="F4">
        <f>IF($U4="","",IF(INDEX('Per Invoice'!F$2:F$401,$U4)="","",INDEX('Per Invoice'!F$2:F$401,$U4)))</f>
        <v/>
      </c>
      <c r="G4">
        <f>IF($U4="","",IF(INDEX('Per Invoice'!G$2:G$401,$U4)="","",INDEX('Per Invoice'!G$2:G$401,$U4)))</f>
        <v/>
      </c>
      <c r="H4" s="7">
        <f>IF($U4="","",IF(INDEX('Per Invoice'!H$2:H$401,$U4)="","",INDEX('Per Invoice'!H$2:H$401,$U4)))</f>
        <v/>
      </c>
      <c r="I4" s="14">
        <f>IF($U4="","",IF(INDEX('Per Invoice'!I$2:I$401,$U4)="","",INDEX('Per Invoice'!I$2:I$401,$U4)))</f>
        <v/>
      </c>
      <c r="J4">
        <f>IF($U4="","",IF(INDEX('Per Invoice'!J$2:J$401,$U4)="","",INDEX('Per Invoice'!J$2:J$401,$U4)))</f>
        <v/>
      </c>
      <c r="K4">
        <f>IF($U4="","",IF(INDEX('Per Invoice'!K$2:K$401,$U4)="","",INDEX('Per Invoice'!K$2:K$401,$U4)))</f>
        <v/>
      </c>
      <c r="L4" s="7">
        <f>IF($U4="","",IF(INDEX('Per Invoice'!L$2:L$401,$U4)="","",INDEX('Per Invoice'!L$2:L$401,$U4)))</f>
        <v/>
      </c>
      <c r="M4" s="7">
        <f>IF($U4="","",IF(INDEX('Per Invoice'!M$2:M$401,$U4)="","",INDEX('Per Invoice'!M$2:M$401,$U4)))</f>
        <v/>
      </c>
      <c r="N4">
        <f>IF($U4="","",IF(INDEX('Per Invoice'!N$2:N$401,$U4)="","",INDEX('Per Invoice'!N$2:N$401,$U4)))</f>
        <v/>
      </c>
      <c r="O4" s="7">
        <f>IF($U4="","",IF(INDEX('Per Invoice'!O$2:O$401,$U4)="","",INDEX('Per Invoice'!O$2:O$401,$U4)))</f>
        <v/>
      </c>
      <c r="P4" s="7">
        <f>IF($U4="","",IF(INDEX('Per Invoice'!P$2:P$401,$U4)="","",INDEX('Per Invoice'!P$2:P$401,$U4)))</f>
        <v/>
      </c>
      <c r="Q4" s="7">
        <f>IF($U4="","",IF(INDEX('Per Invoice'!Q$2:Q$401,$U4)="","",INDEX('Per Invoice'!Q$2:Q$401,$U4)))</f>
        <v/>
      </c>
      <c r="R4" s="7">
        <f>IF($U4="","",IF(INDEX('Per Invoice'!R$2:R$401,$U4)="","",INDEX('Per Invoice'!R$2:R$401,$U4)))</f>
        <v/>
      </c>
      <c r="S4" s="7">
        <f>IF($U4="","",IF(INDEX('Per Invoice'!S$2:S$401,$U4)="","",INDEX('Per Invoice'!S$2:S$401,$U4)))</f>
        <v/>
      </c>
      <c r="T4" s="7">
        <f>IF($U4="","",IF(INDEX('Per Invoice'!T$2:T$401,$U4)="","",INDEX('Per Invoice'!T$2:T$401,$U4)))</f>
        <v/>
      </c>
      <c r="U4" s="16">
        <f>IFERROR(MATCH(Settings!$C$30&amp;"|"&amp;ROWS($U$2:$U4),'Per Invoice'!$V$2:$V$401,0),"")</f>
        <v/>
      </c>
    </row>
    <row r="5">
      <c r="A5">
        <f>IF($U5="","",IF(INDEX('Per Invoice'!A$2:A$401,$U5)="","",INDEX('Per Invoice'!A$2:A$401,$U5)))</f>
        <v/>
      </c>
      <c r="B5">
        <f>IF($U5="","",IF(INDEX('Per Invoice'!B$2:B$401,$U5)="","",INDEX('Per Invoice'!B$2:B$401,$U5)))</f>
        <v/>
      </c>
      <c r="C5">
        <f>IF($U5="","",IF(INDEX('Per Invoice'!C$2:C$401,$U5)="","",INDEX('Per Invoice'!C$2:C$401,$U5)))</f>
        <v/>
      </c>
      <c r="D5">
        <f>IF($U5="","",IF(INDEX('Per Invoice'!D$2:D$401,$U5)="","",INDEX('Per Invoice'!D$2:D$401,$U5)))</f>
        <v/>
      </c>
      <c r="E5">
        <f>IF($U5="","",IF(INDEX('Per Invoice'!E$2:E$401,$U5)="","",INDEX('Per Invoice'!E$2:E$401,$U5)))</f>
        <v/>
      </c>
      <c r="F5">
        <f>IF($U5="","",IF(INDEX('Per Invoice'!F$2:F$401,$U5)="","",INDEX('Per Invoice'!F$2:F$401,$U5)))</f>
        <v/>
      </c>
      <c r="G5">
        <f>IF($U5="","",IF(INDEX('Per Invoice'!G$2:G$401,$U5)="","",INDEX('Per Invoice'!G$2:G$401,$U5)))</f>
        <v/>
      </c>
      <c r="H5" s="7">
        <f>IF($U5="","",IF(INDEX('Per Invoice'!H$2:H$401,$U5)="","",INDEX('Per Invoice'!H$2:H$401,$U5)))</f>
        <v/>
      </c>
      <c r="I5" s="14">
        <f>IF($U5="","",IF(INDEX('Per Invoice'!I$2:I$401,$U5)="","",INDEX('Per Invoice'!I$2:I$401,$U5)))</f>
        <v/>
      </c>
      <c r="J5">
        <f>IF($U5="","",IF(INDEX('Per Invoice'!J$2:J$401,$U5)="","",INDEX('Per Invoice'!J$2:J$401,$U5)))</f>
        <v/>
      </c>
      <c r="K5">
        <f>IF($U5="","",IF(INDEX('Per Invoice'!K$2:K$401,$U5)="","",INDEX('Per Invoice'!K$2:K$401,$U5)))</f>
        <v/>
      </c>
      <c r="L5" s="7">
        <f>IF($U5="","",IF(INDEX('Per Invoice'!L$2:L$401,$U5)="","",INDEX('Per Invoice'!L$2:L$401,$U5)))</f>
        <v/>
      </c>
      <c r="M5" s="7">
        <f>IF($U5="","",IF(INDEX('Per Invoice'!M$2:M$401,$U5)="","",INDEX('Per Invoice'!M$2:M$401,$U5)))</f>
        <v/>
      </c>
      <c r="N5">
        <f>IF($U5="","",IF(INDEX('Per Invoice'!N$2:N$401,$U5)="","",INDEX('Per Invoice'!N$2:N$401,$U5)))</f>
        <v/>
      </c>
      <c r="O5" s="7">
        <f>IF($U5="","",IF(INDEX('Per Invoice'!O$2:O$401,$U5)="","",INDEX('Per Invoice'!O$2:O$401,$U5)))</f>
        <v/>
      </c>
      <c r="P5" s="7">
        <f>IF($U5="","",IF(INDEX('Per Invoice'!P$2:P$401,$U5)="","",INDEX('Per Invoice'!P$2:P$401,$U5)))</f>
        <v/>
      </c>
      <c r="Q5" s="7">
        <f>IF($U5="","",IF(INDEX('Per Invoice'!Q$2:Q$401,$U5)="","",INDEX('Per Invoice'!Q$2:Q$401,$U5)))</f>
        <v/>
      </c>
      <c r="R5" s="7">
        <f>IF($U5="","",IF(INDEX('Per Invoice'!R$2:R$401,$U5)="","",INDEX('Per Invoice'!R$2:R$401,$U5)))</f>
        <v/>
      </c>
      <c r="S5" s="7">
        <f>IF($U5="","",IF(INDEX('Per Invoice'!S$2:S$401,$U5)="","",INDEX('Per Invoice'!S$2:S$401,$U5)))</f>
        <v/>
      </c>
      <c r="T5" s="7">
        <f>IF($U5="","",IF(INDEX('Per Invoice'!T$2:T$401,$U5)="","",INDEX('Per Invoice'!T$2:T$401,$U5)))</f>
        <v/>
      </c>
      <c r="U5" s="16">
        <f>IFERROR(MATCH(Settings!$C$30&amp;"|"&amp;ROWS($U$2:$U5),'Per Invoice'!$V$2:$V$401,0),"")</f>
        <v/>
      </c>
    </row>
    <row r="6">
      <c r="A6">
        <f>IF($U6="","",IF(INDEX('Per Invoice'!A$2:A$401,$U6)="","",INDEX('Per Invoice'!A$2:A$401,$U6)))</f>
        <v/>
      </c>
      <c r="B6">
        <f>IF($U6="","",IF(INDEX('Per Invoice'!B$2:B$401,$U6)="","",INDEX('Per Invoice'!B$2:B$401,$U6)))</f>
        <v/>
      </c>
      <c r="C6">
        <f>IF($U6="","",IF(INDEX('Per Invoice'!C$2:C$401,$U6)="","",INDEX('Per Invoice'!C$2:C$401,$U6)))</f>
        <v/>
      </c>
      <c r="D6">
        <f>IF($U6="","",IF(INDEX('Per Invoice'!D$2:D$401,$U6)="","",INDEX('Per Invoice'!D$2:D$401,$U6)))</f>
        <v/>
      </c>
      <c r="E6">
        <f>IF($U6="","",IF(INDEX('Per Invoice'!E$2:E$401,$U6)="","",INDEX('Per Invoice'!E$2:E$401,$U6)))</f>
        <v/>
      </c>
      <c r="F6">
        <f>IF($U6="","",IF(INDEX('Per Invoice'!F$2:F$401,$U6)="","",INDEX('Per Invoice'!F$2:F$401,$U6)))</f>
        <v/>
      </c>
      <c r="G6">
        <f>IF($U6="","",IF(INDEX('Per Invoice'!G$2:G$401,$U6)="","",INDEX('Per Invoice'!G$2:G$401,$U6)))</f>
        <v/>
      </c>
      <c r="H6" s="7">
        <f>IF($U6="","",IF(INDEX('Per Invoice'!H$2:H$401,$U6)="","",INDEX('Per Invoice'!H$2:H$401,$U6)))</f>
        <v/>
      </c>
      <c r="I6" s="14">
        <f>IF($U6="","",IF(INDEX('Per Invoice'!I$2:I$401,$U6)="","",INDEX('Per Invoice'!I$2:I$401,$U6)))</f>
        <v/>
      </c>
      <c r="J6">
        <f>IF($U6="","",IF(INDEX('Per Invoice'!J$2:J$401,$U6)="","",INDEX('Per Invoice'!J$2:J$401,$U6)))</f>
        <v/>
      </c>
      <c r="K6">
        <f>IF($U6="","",IF(INDEX('Per Invoice'!K$2:K$401,$U6)="","",INDEX('Per Invoice'!K$2:K$401,$U6)))</f>
        <v/>
      </c>
      <c r="L6" s="7">
        <f>IF($U6="","",IF(INDEX('Per Invoice'!L$2:L$401,$U6)="","",INDEX('Per Invoice'!L$2:L$401,$U6)))</f>
        <v/>
      </c>
      <c r="M6" s="7">
        <f>IF($U6="","",IF(INDEX('Per Invoice'!M$2:M$401,$U6)="","",INDEX('Per Invoice'!M$2:M$401,$U6)))</f>
        <v/>
      </c>
      <c r="N6">
        <f>IF($U6="","",IF(INDEX('Per Invoice'!N$2:N$401,$U6)="","",INDEX('Per Invoice'!N$2:N$401,$U6)))</f>
        <v/>
      </c>
      <c r="O6" s="7">
        <f>IF($U6="","",IF(INDEX('Per Invoice'!O$2:O$401,$U6)="","",INDEX('Per Invoice'!O$2:O$401,$U6)))</f>
        <v/>
      </c>
      <c r="P6" s="7">
        <f>IF($U6="","",IF(INDEX('Per Invoice'!P$2:P$401,$U6)="","",INDEX('Per Invoice'!P$2:P$401,$U6)))</f>
        <v/>
      </c>
      <c r="Q6" s="7">
        <f>IF($U6="","",IF(INDEX('Per Invoice'!Q$2:Q$401,$U6)="","",INDEX('Per Invoice'!Q$2:Q$401,$U6)))</f>
        <v/>
      </c>
      <c r="R6" s="7">
        <f>IF($U6="","",IF(INDEX('Per Invoice'!R$2:R$401,$U6)="","",INDEX('Per Invoice'!R$2:R$401,$U6)))</f>
        <v/>
      </c>
      <c r="S6" s="7">
        <f>IF($U6="","",IF(INDEX('Per Invoice'!S$2:S$401,$U6)="","",INDEX('Per Invoice'!S$2:S$401,$U6)))</f>
        <v/>
      </c>
      <c r="T6" s="7">
        <f>IF($U6="","",IF(INDEX('Per Invoice'!T$2:T$401,$U6)="","",INDEX('Per Invoice'!T$2:T$401,$U6)))</f>
        <v/>
      </c>
      <c r="U6" s="16">
        <f>IFERROR(MATCH(Settings!$C$30&amp;"|"&amp;ROWS($U$2:$U6),'Per Invoice'!$V$2:$V$401,0),"")</f>
        <v/>
      </c>
    </row>
    <row r="7">
      <c r="A7">
        <f>IF($U7="","",IF(INDEX('Per Invoice'!A$2:A$401,$U7)="","",INDEX('Per Invoice'!A$2:A$401,$U7)))</f>
        <v/>
      </c>
      <c r="B7">
        <f>IF($U7="","",IF(INDEX('Per Invoice'!B$2:B$401,$U7)="","",INDEX('Per Invoice'!B$2:B$401,$U7)))</f>
        <v/>
      </c>
      <c r="C7">
        <f>IF($U7="","",IF(INDEX('Per Invoice'!C$2:C$401,$U7)="","",INDEX('Per Invoice'!C$2:C$401,$U7)))</f>
        <v/>
      </c>
      <c r="D7">
        <f>IF($U7="","",IF(INDEX('Per Invoice'!D$2:D$401,$U7)="","",INDEX('Per Invoice'!D$2:D$401,$U7)))</f>
        <v/>
      </c>
      <c r="E7">
        <f>IF($U7="","",IF(INDEX('Per Invoice'!E$2:E$401,$U7)="","",INDEX('Per Invoice'!E$2:E$401,$U7)))</f>
        <v/>
      </c>
      <c r="F7">
        <f>IF($U7="","",IF(INDEX('Per Invoice'!F$2:F$401,$U7)="","",INDEX('Per Invoice'!F$2:F$401,$U7)))</f>
        <v/>
      </c>
      <c r="G7">
        <f>IF($U7="","",IF(INDEX('Per Invoice'!G$2:G$401,$U7)="","",INDEX('Per Invoice'!G$2:G$401,$U7)))</f>
        <v/>
      </c>
      <c r="H7" s="7">
        <f>IF($U7="","",IF(INDEX('Per Invoice'!H$2:H$401,$U7)="","",INDEX('Per Invoice'!H$2:H$401,$U7)))</f>
        <v/>
      </c>
      <c r="I7" s="14">
        <f>IF($U7="","",IF(INDEX('Per Invoice'!I$2:I$401,$U7)="","",INDEX('Per Invoice'!I$2:I$401,$U7)))</f>
        <v/>
      </c>
      <c r="J7">
        <f>IF($U7="","",IF(INDEX('Per Invoice'!J$2:J$401,$U7)="","",INDEX('Per Invoice'!J$2:J$401,$U7)))</f>
        <v/>
      </c>
      <c r="K7">
        <f>IF($U7="","",IF(INDEX('Per Invoice'!K$2:K$401,$U7)="","",INDEX('Per Invoice'!K$2:K$401,$U7)))</f>
        <v/>
      </c>
      <c r="L7" s="7">
        <f>IF($U7="","",IF(INDEX('Per Invoice'!L$2:L$401,$U7)="","",INDEX('Per Invoice'!L$2:L$401,$U7)))</f>
        <v/>
      </c>
      <c r="M7" s="7">
        <f>IF($U7="","",IF(INDEX('Per Invoice'!M$2:M$401,$U7)="","",INDEX('Per Invoice'!M$2:M$401,$U7)))</f>
        <v/>
      </c>
      <c r="N7">
        <f>IF($U7="","",IF(INDEX('Per Invoice'!N$2:N$401,$U7)="","",INDEX('Per Invoice'!N$2:N$401,$U7)))</f>
        <v/>
      </c>
      <c r="O7" s="7">
        <f>IF($U7="","",IF(INDEX('Per Invoice'!O$2:O$401,$U7)="","",INDEX('Per Invoice'!O$2:O$401,$U7)))</f>
        <v/>
      </c>
      <c r="P7" s="7">
        <f>IF($U7="","",IF(INDEX('Per Invoice'!P$2:P$401,$U7)="","",INDEX('Per Invoice'!P$2:P$401,$U7)))</f>
        <v/>
      </c>
      <c r="Q7" s="7">
        <f>IF($U7="","",IF(INDEX('Per Invoice'!Q$2:Q$401,$U7)="","",INDEX('Per Invoice'!Q$2:Q$401,$U7)))</f>
        <v/>
      </c>
      <c r="R7" s="7">
        <f>IF($U7="","",IF(INDEX('Per Invoice'!R$2:R$401,$U7)="","",INDEX('Per Invoice'!R$2:R$401,$U7)))</f>
        <v/>
      </c>
      <c r="S7" s="7">
        <f>IF($U7="","",IF(INDEX('Per Invoice'!S$2:S$401,$U7)="","",INDEX('Per Invoice'!S$2:S$401,$U7)))</f>
        <v/>
      </c>
      <c r="T7" s="7">
        <f>IF($U7="","",IF(INDEX('Per Invoice'!T$2:T$401,$U7)="","",INDEX('Per Invoice'!T$2:T$401,$U7)))</f>
        <v/>
      </c>
      <c r="U7" s="16">
        <f>IFERROR(MATCH(Settings!$C$30&amp;"|"&amp;ROWS($U$2:$U7),'Per Invoice'!$V$2:$V$401,0),"")</f>
        <v/>
      </c>
    </row>
    <row r="8">
      <c r="A8">
        <f>IF($U8="","",IF(INDEX('Per Invoice'!A$2:A$401,$U8)="","",INDEX('Per Invoice'!A$2:A$401,$U8)))</f>
        <v/>
      </c>
      <c r="B8">
        <f>IF($U8="","",IF(INDEX('Per Invoice'!B$2:B$401,$U8)="","",INDEX('Per Invoice'!B$2:B$401,$U8)))</f>
        <v/>
      </c>
      <c r="C8">
        <f>IF($U8="","",IF(INDEX('Per Invoice'!C$2:C$401,$U8)="","",INDEX('Per Invoice'!C$2:C$401,$U8)))</f>
        <v/>
      </c>
      <c r="D8">
        <f>IF($U8="","",IF(INDEX('Per Invoice'!D$2:D$401,$U8)="","",INDEX('Per Invoice'!D$2:D$401,$U8)))</f>
        <v/>
      </c>
      <c r="E8">
        <f>IF($U8="","",IF(INDEX('Per Invoice'!E$2:E$401,$U8)="","",INDEX('Per Invoice'!E$2:E$401,$U8)))</f>
        <v/>
      </c>
      <c r="F8">
        <f>IF($U8="","",IF(INDEX('Per Invoice'!F$2:F$401,$U8)="","",INDEX('Per Invoice'!F$2:F$401,$U8)))</f>
        <v/>
      </c>
      <c r="G8">
        <f>IF($U8="","",IF(INDEX('Per Invoice'!G$2:G$401,$U8)="","",INDEX('Per Invoice'!G$2:G$401,$U8)))</f>
        <v/>
      </c>
      <c r="H8" s="7">
        <f>IF($U8="","",IF(INDEX('Per Invoice'!H$2:H$401,$U8)="","",INDEX('Per Invoice'!H$2:H$401,$U8)))</f>
        <v/>
      </c>
      <c r="I8" s="14">
        <f>IF($U8="","",IF(INDEX('Per Invoice'!I$2:I$401,$U8)="","",INDEX('Per Invoice'!I$2:I$401,$U8)))</f>
        <v/>
      </c>
      <c r="J8">
        <f>IF($U8="","",IF(INDEX('Per Invoice'!J$2:J$401,$U8)="","",INDEX('Per Invoice'!J$2:J$401,$U8)))</f>
        <v/>
      </c>
      <c r="K8">
        <f>IF($U8="","",IF(INDEX('Per Invoice'!K$2:K$401,$U8)="","",INDEX('Per Invoice'!K$2:K$401,$U8)))</f>
        <v/>
      </c>
      <c r="L8" s="7">
        <f>IF($U8="","",IF(INDEX('Per Invoice'!L$2:L$401,$U8)="","",INDEX('Per Invoice'!L$2:L$401,$U8)))</f>
        <v/>
      </c>
      <c r="M8" s="7">
        <f>IF($U8="","",IF(INDEX('Per Invoice'!M$2:M$401,$U8)="","",INDEX('Per Invoice'!M$2:M$401,$U8)))</f>
        <v/>
      </c>
      <c r="N8">
        <f>IF($U8="","",IF(INDEX('Per Invoice'!N$2:N$401,$U8)="","",INDEX('Per Invoice'!N$2:N$401,$U8)))</f>
        <v/>
      </c>
      <c r="O8" s="7">
        <f>IF($U8="","",IF(INDEX('Per Invoice'!O$2:O$401,$U8)="","",INDEX('Per Invoice'!O$2:O$401,$U8)))</f>
        <v/>
      </c>
      <c r="P8" s="7">
        <f>IF($U8="","",IF(INDEX('Per Invoice'!P$2:P$401,$U8)="","",INDEX('Per Invoice'!P$2:P$401,$U8)))</f>
        <v/>
      </c>
      <c r="Q8" s="7">
        <f>IF($U8="","",IF(INDEX('Per Invoice'!Q$2:Q$401,$U8)="","",INDEX('Per Invoice'!Q$2:Q$401,$U8)))</f>
        <v/>
      </c>
      <c r="R8" s="7">
        <f>IF($U8="","",IF(INDEX('Per Invoice'!R$2:R$401,$U8)="","",INDEX('Per Invoice'!R$2:R$401,$U8)))</f>
        <v/>
      </c>
      <c r="S8" s="7">
        <f>IF($U8="","",IF(INDEX('Per Invoice'!S$2:S$401,$U8)="","",INDEX('Per Invoice'!S$2:S$401,$U8)))</f>
        <v/>
      </c>
      <c r="T8" s="7">
        <f>IF($U8="","",IF(INDEX('Per Invoice'!T$2:T$401,$U8)="","",INDEX('Per Invoice'!T$2:T$401,$U8)))</f>
        <v/>
      </c>
      <c r="U8" s="16">
        <f>IFERROR(MATCH(Settings!$C$30&amp;"|"&amp;ROWS($U$2:$U8),'Per Invoice'!$V$2:$V$401,0),"")</f>
        <v/>
      </c>
    </row>
    <row r="9">
      <c r="A9">
        <f>IF($U9="","",IF(INDEX('Per Invoice'!A$2:A$401,$U9)="","",INDEX('Per Invoice'!A$2:A$401,$U9)))</f>
        <v/>
      </c>
      <c r="B9">
        <f>IF($U9="","",IF(INDEX('Per Invoice'!B$2:B$401,$U9)="","",INDEX('Per Invoice'!B$2:B$401,$U9)))</f>
        <v/>
      </c>
      <c r="C9">
        <f>IF($U9="","",IF(INDEX('Per Invoice'!C$2:C$401,$U9)="","",INDEX('Per Invoice'!C$2:C$401,$U9)))</f>
        <v/>
      </c>
      <c r="D9">
        <f>IF($U9="","",IF(INDEX('Per Invoice'!D$2:D$401,$U9)="","",INDEX('Per Invoice'!D$2:D$401,$U9)))</f>
        <v/>
      </c>
      <c r="E9">
        <f>IF($U9="","",IF(INDEX('Per Invoice'!E$2:E$401,$U9)="","",INDEX('Per Invoice'!E$2:E$401,$U9)))</f>
        <v/>
      </c>
      <c r="F9">
        <f>IF($U9="","",IF(INDEX('Per Invoice'!F$2:F$401,$U9)="","",INDEX('Per Invoice'!F$2:F$401,$U9)))</f>
        <v/>
      </c>
      <c r="G9">
        <f>IF($U9="","",IF(INDEX('Per Invoice'!G$2:G$401,$U9)="","",INDEX('Per Invoice'!G$2:G$401,$U9)))</f>
        <v/>
      </c>
      <c r="H9" s="7">
        <f>IF($U9="","",IF(INDEX('Per Invoice'!H$2:H$401,$U9)="","",INDEX('Per Invoice'!H$2:H$401,$U9)))</f>
        <v/>
      </c>
      <c r="I9" s="14">
        <f>IF($U9="","",IF(INDEX('Per Invoice'!I$2:I$401,$U9)="","",INDEX('Per Invoice'!I$2:I$401,$U9)))</f>
        <v/>
      </c>
      <c r="J9">
        <f>IF($U9="","",IF(INDEX('Per Invoice'!J$2:J$401,$U9)="","",INDEX('Per Invoice'!J$2:J$401,$U9)))</f>
        <v/>
      </c>
      <c r="K9">
        <f>IF($U9="","",IF(INDEX('Per Invoice'!K$2:K$401,$U9)="","",INDEX('Per Invoice'!K$2:K$401,$U9)))</f>
        <v/>
      </c>
      <c r="L9" s="7">
        <f>IF($U9="","",IF(INDEX('Per Invoice'!L$2:L$401,$U9)="","",INDEX('Per Invoice'!L$2:L$401,$U9)))</f>
        <v/>
      </c>
      <c r="M9" s="7">
        <f>IF($U9="","",IF(INDEX('Per Invoice'!M$2:M$401,$U9)="","",INDEX('Per Invoice'!M$2:M$401,$U9)))</f>
        <v/>
      </c>
      <c r="N9">
        <f>IF($U9="","",IF(INDEX('Per Invoice'!N$2:N$401,$U9)="","",INDEX('Per Invoice'!N$2:N$401,$U9)))</f>
        <v/>
      </c>
      <c r="O9" s="7">
        <f>IF($U9="","",IF(INDEX('Per Invoice'!O$2:O$401,$U9)="","",INDEX('Per Invoice'!O$2:O$401,$U9)))</f>
        <v/>
      </c>
      <c r="P9" s="7">
        <f>IF($U9="","",IF(INDEX('Per Invoice'!P$2:P$401,$U9)="","",INDEX('Per Invoice'!P$2:P$401,$U9)))</f>
        <v/>
      </c>
      <c r="Q9" s="7">
        <f>IF($U9="","",IF(INDEX('Per Invoice'!Q$2:Q$401,$U9)="","",INDEX('Per Invoice'!Q$2:Q$401,$U9)))</f>
        <v/>
      </c>
      <c r="R9" s="7">
        <f>IF($U9="","",IF(INDEX('Per Invoice'!R$2:R$401,$U9)="","",INDEX('Per Invoice'!R$2:R$401,$U9)))</f>
        <v/>
      </c>
      <c r="S9" s="7">
        <f>IF($U9="","",IF(INDEX('Per Invoice'!S$2:S$401,$U9)="","",INDEX('Per Invoice'!S$2:S$401,$U9)))</f>
        <v/>
      </c>
      <c r="T9" s="7">
        <f>IF($U9="","",IF(INDEX('Per Invoice'!T$2:T$401,$U9)="","",INDEX('Per Invoice'!T$2:T$401,$U9)))</f>
        <v/>
      </c>
      <c r="U9" s="16">
        <f>IFERROR(MATCH(Settings!$C$30&amp;"|"&amp;ROWS($U$2:$U9),'Per Invoice'!$V$2:$V$401,0),"")</f>
        <v/>
      </c>
    </row>
    <row r="10">
      <c r="A10">
        <f>IF($U10="","",IF(INDEX('Per Invoice'!A$2:A$401,$U10)="","",INDEX('Per Invoice'!A$2:A$401,$U10)))</f>
        <v/>
      </c>
      <c r="B10">
        <f>IF($U10="","",IF(INDEX('Per Invoice'!B$2:B$401,$U10)="","",INDEX('Per Invoice'!B$2:B$401,$U10)))</f>
        <v/>
      </c>
      <c r="C10">
        <f>IF($U10="","",IF(INDEX('Per Invoice'!C$2:C$401,$U10)="","",INDEX('Per Invoice'!C$2:C$401,$U10)))</f>
        <v/>
      </c>
      <c r="D10">
        <f>IF($U10="","",IF(INDEX('Per Invoice'!D$2:D$401,$U10)="","",INDEX('Per Invoice'!D$2:D$401,$U10)))</f>
        <v/>
      </c>
      <c r="E10">
        <f>IF($U10="","",IF(INDEX('Per Invoice'!E$2:E$401,$U10)="","",INDEX('Per Invoice'!E$2:E$401,$U10)))</f>
        <v/>
      </c>
      <c r="F10">
        <f>IF($U10="","",IF(INDEX('Per Invoice'!F$2:F$401,$U10)="","",INDEX('Per Invoice'!F$2:F$401,$U10)))</f>
        <v/>
      </c>
      <c r="G10">
        <f>IF($U10="","",IF(INDEX('Per Invoice'!G$2:G$401,$U10)="","",INDEX('Per Invoice'!G$2:G$401,$U10)))</f>
        <v/>
      </c>
      <c r="H10" s="7">
        <f>IF($U10="","",IF(INDEX('Per Invoice'!H$2:H$401,$U10)="","",INDEX('Per Invoice'!H$2:H$401,$U10)))</f>
        <v/>
      </c>
      <c r="I10" s="14">
        <f>IF($U10="","",IF(INDEX('Per Invoice'!I$2:I$401,$U10)="","",INDEX('Per Invoice'!I$2:I$401,$U10)))</f>
        <v/>
      </c>
      <c r="J10">
        <f>IF($U10="","",IF(INDEX('Per Invoice'!J$2:J$401,$U10)="","",INDEX('Per Invoice'!J$2:J$401,$U10)))</f>
        <v/>
      </c>
      <c r="K10">
        <f>IF($U10="","",IF(INDEX('Per Invoice'!K$2:K$401,$U10)="","",INDEX('Per Invoice'!K$2:K$401,$U10)))</f>
        <v/>
      </c>
      <c r="L10" s="7">
        <f>IF($U10="","",IF(INDEX('Per Invoice'!L$2:L$401,$U10)="","",INDEX('Per Invoice'!L$2:L$401,$U10)))</f>
        <v/>
      </c>
      <c r="M10" s="7">
        <f>IF($U10="","",IF(INDEX('Per Invoice'!M$2:M$401,$U10)="","",INDEX('Per Invoice'!M$2:M$401,$U10)))</f>
        <v/>
      </c>
      <c r="N10">
        <f>IF($U10="","",IF(INDEX('Per Invoice'!N$2:N$401,$U10)="","",INDEX('Per Invoice'!N$2:N$401,$U10)))</f>
        <v/>
      </c>
      <c r="O10" s="7">
        <f>IF($U10="","",IF(INDEX('Per Invoice'!O$2:O$401,$U10)="","",INDEX('Per Invoice'!O$2:O$401,$U10)))</f>
        <v/>
      </c>
      <c r="P10" s="7">
        <f>IF($U10="","",IF(INDEX('Per Invoice'!P$2:P$401,$U10)="","",INDEX('Per Invoice'!P$2:P$401,$U10)))</f>
        <v/>
      </c>
      <c r="Q10" s="7">
        <f>IF($U10="","",IF(INDEX('Per Invoice'!Q$2:Q$401,$U10)="","",INDEX('Per Invoice'!Q$2:Q$401,$U10)))</f>
        <v/>
      </c>
      <c r="R10" s="7">
        <f>IF($U10="","",IF(INDEX('Per Invoice'!R$2:R$401,$U10)="","",INDEX('Per Invoice'!R$2:R$401,$U10)))</f>
        <v/>
      </c>
      <c r="S10" s="7">
        <f>IF($U10="","",IF(INDEX('Per Invoice'!S$2:S$401,$U10)="","",INDEX('Per Invoice'!S$2:S$401,$U10)))</f>
        <v/>
      </c>
      <c r="T10" s="7">
        <f>IF($U10="","",IF(INDEX('Per Invoice'!T$2:T$401,$U10)="","",INDEX('Per Invoice'!T$2:T$401,$U10)))</f>
        <v/>
      </c>
      <c r="U10" s="16">
        <f>IFERROR(MATCH(Settings!$C$30&amp;"|"&amp;ROWS($U$2:$U10),'Per Invoice'!$V$2:$V$401,0),"")</f>
        <v/>
      </c>
    </row>
    <row r="11">
      <c r="A11">
        <f>IF($U11="","",IF(INDEX('Per Invoice'!A$2:A$401,$U11)="","",INDEX('Per Invoice'!A$2:A$401,$U11)))</f>
        <v/>
      </c>
      <c r="B11">
        <f>IF($U11="","",IF(INDEX('Per Invoice'!B$2:B$401,$U11)="","",INDEX('Per Invoice'!B$2:B$401,$U11)))</f>
        <v/>
      </c>
      <c r="C11">
        <f>IF($U11="","",IF(INDEX('Per Invoice'!C$2:C$401,$U11)="","",INDEX('Per Invoice'!C$2:C$401,$U11)))</f>
        <v/>
      </c>
      <c r="D11">
        <f>IF($U11="","",IF(INDEX('Per Invoice'!D$2:D$401,$U11)="","",INDEX('Per Invoice'!D$2:D$401,$U11)))</f>
        <v/>
      </c>
      <c r="E11">
        <f>IF($U11="","",IF(INDEX('Per Invoice'!E$2:E$401,$U11)="","",INDEX('Per Invoice'!E$2:E$401,$U11)))</f>
        <v/>
      </c>
      <c r="F11">
        <f>IF($U11="","",IF(INDEX('Per Invoice'!F$2:F$401,$U11)="","",INDEX('Per Invoice'!F$2:F$401,$U11)))</f>
        <v/>
      </c>
      <c r="G11">
        <f>IF($U11="","",IF(INDEX('Per Invoice'!G$2:G$401,$U11)="","",INDEX('Per Invoice'!G$2:G$401,$U11)))</f>
        <v/>
      </c>
      <c r="H11" s="7">
        <f>IF($U11="","",IF(INDEX('Per Invoice'!H$2:H$401,$U11)="","",INDEX('Per Invoice'!H$2:H$401,$U11)))</f>
        <v/>
      </c>
      <c r="I11" s="14">
        <f>IF($U11="","",IF(INDEX('Per Invoice'!I$2:I$401,$U11)="","",INDEX('Per Invoice'!I$2:I$401,$U11)))</f>
        <v/>
      </c>
      <c r="J11">
        <f>IF($U11="","",IF(INDEX('Per Invoice'!J$2:J$401,$U11)="","",INDEX('Per Invoice'!J$2:J$401,$U11)))</f>
        <v/>
      </c>
      <c r="K11">
        <f>IF($U11="","",IF(INDEX('Per Invoice'!K$2:K$401,$U11)="","",INDEX('Per Invoice'!K$2:K$401,$U11)))</f>
        <v/>
      </c>
      <c r="L11" s="7">
        <f>IF($U11="","",IF(INDEX('Per Invoice'!L$2:L$401,$U11)="","",INDEX('Per Invoice'!L$2:L$401,$U11)))</f>
        <v/>
      </c>
      <c r="M11" s="7">
        <f>IF($U11="","",IF(INDEX('Per Invoice'!M$2:M$401,$U11)="","",INDEX('Per Invoice'!M$2:M$401,$U11)))</f>
        <v/>
      </c>
      <c r="N11">
        <f>IF($U11="","",IF(INDEX('Per Invoice'!N$2:N$401,$U11)="","",INDEX('Per Invoice'!N$2:N$401,$U11)))</f>
        <v/>
      </c>
      <c r="O11" s="7">
        <f>IF($U11="","",IF(INDEX('Per Invoice'!O$2:O$401,$U11)="","",INDEX('Per Invoice'!O$2:O$401,$U11)))</f>
        <v/>
      </c>
      <c r="P11" s="7">
        <f>IF($U11="","",IF(INDEX('Per Invoice'!P$2:P$401,$U11)="","",INDEX('Per Invoice'!P$2:P$401,$U11)))</f>
        <v/>
      </c>
      <c r="Q11" s="7">
        <f>IF($U11="","",IF(INDEX('Per Invoice'!Q$2:Q$401,$U11)="","",INDEX('Per Invoice'!Q$2:Q$401,$U11)))</f>
        <v/>
      </c>
      <c r="R11" s="7">
        <f>IF($U11="","",IF(INDEX('Per Invoice'!R$2:R$401,$U11)="","",INDEX('Per Invoice'!R$2:R$401,$U11)))</f>
        <v/>
      </c>
      <c r="S11" s="7">
        <f>IF($U11="","",IF(INDEX('Per Invoice'!S$2:S$401,$U11)="","",INDEX('Per Invoice'!S$2:S$401,$U11)))</f>
        <v/>
      </c>
      <c r="T11" s="7">
        <f>IF($U11="","",IF(INDEX('Per Invoice'!T$2:T$401,$U11)="","",INDEX('Per Invoice'!T$2:T$401,$U11)))</f>
        <v/>
      </c>
      <c r="U11" s="16">
        <f>IFERROR(MATCH(Settings!$C$30&amp;"|"&amp;ROWS($U$2:$U11),'Per Invoice'!$V$2:$V$401,0),"")</f>
        <v/>
      </c>
    </row>
    <row r="12">
      <c r="A12">
        <f>IF($U12="","",IF(INDEX('Per Invoice'!A$2:A$401,$U12)="","",INDEX('Per Invoice'!A$2:A$401,$U12)))</f>
        <v/>
      </c>
      <c r="B12">
        <f>IF($U12="","",IF(INDEX('Per Invoice'!B$2:B$401,$U12)="","",INDEX('Per Invoice'!B$2:B$401,$U12)))</f>
        <v/>
      </c>
      <c r="C12">
        <f>IF($U12="","",IF(INDEX('Per Invoice'!C$2:C$401,$U12)="","",INDEX('Per Invoice'!C$2:C$401,$U12)))</f>
        <v/>
      </c>
      <c r="D12">
        <f>IF($U12="","",IF(INDEX('Per Invoice'!D$2:D$401,$U12)="","",INDEX('Per Invoice'!D$2:D$401,$U12)))</f>
        <v/>
      </c>
      <c r="E12">
        <f>IF($U12="","",IF(INDEX('Per Invoice'!E$2:E$401,$U12)="","",INDEX('Per Invoice'!E$2:E$401,$U12)))</f>
        <v/>
      </c>
      <c r="F12">
        <f>IF($U12="","",IF(INDEX('Per Invoice'!F$2:F$401,$U12)="","",INDEX('Per Invoice'!F$2:F$401,$U12)))</f>
        <v/>
      </c>
      <c r="G12">
        <f>IF($U12="","",IF(INDEX('Per Invoice'!G$2:G$401,$U12)="","",INDEX('Per Invoice'!G$2:G$401,$U12)))</f>
        <v/>
      </c>
      <c r="H12" s="7">
        <f>IF($U12="","",IF(INDEX('Per Invoice'!H$2:H$401,$U12)="","",INDEX('Per Invoice'!H$2:H$401,$U12)))</f>
        <v/>
      </c>
      <c r="I12" s="14">
        <f>IF($U12="","",IF(INDEX('Per Invoice'!I$2:I$401,$U12)="","",INDEX('Per Invoice'!I$2:I$401,$U12)))</f>
        <v/>
      </c>
      <c r="J12">
        <f>IF($U12="","",IF(INDEX('Per Invoice'!J$2:J$401,$U12)="","",INDEX('Per Invoice'!J$2:J$401,$U12)))</f>
        <v/>
      </c>
      <c r="K12">
        <f>IF($U12="","",IF(INDEX('Per Invoice'!K$2:K$401,$U12)="","",INDEX('Per Invoice'!K$2:K$401,$U12)))</f>
        <v/>
      </c>
      <c r="L12" s="7">
        <f>IF($U12="","",IF(INDEX('Per Invoice'!L$2:L$401,$U12)="","",INDEX('Per Invoice'!L$2:L$401,$U12)))</f>
        <v/>
      </c>
      <c r="M12" s="7">
        <f>IF($U12="","",IF(INDEX('Per Invoice'!M$2:M$401,$U12)="","",INDEX('Per Invoice'!M$2:M$401,$U12)))</f>
        <v/>
      </c>
      <c r="N12">
        <f>IF($U12="","",IF(INDEX('Per Invoice'!N$2:N$401,$U12)="","",INDEX('Per Invoice'!N$2:N$401,$U12)))</f>
        <v/>
      </c>
      <c r="O12" s="7">
        <f>IF($U12="","",IF(INDEX('Per Invoice'!O$2:O$401,$U12)="","",INDEX('Per Invoice'!O$2:O$401,$U12)))</f>
        <v/>
      </c>
      <c r="P12" s="7">
        <f>IF($U12="","",IF(INDEX('Per Invoice'!P$2:P$401,$U12)="","",INDEX('Per Invoice'!P$2:P$401,$U12)))</f>
        <v/>
      </c>
      <c r="Q12" s="7">
        <f>IF($U12="","",IF(INDEX('Per Invoice'!Q$2:Q$401,$U12)="","",INDEX('Per Invoice'!Q$2:Q$401,$U12)))</f>
        <v/>
      </c>
      <c r="R12" s="7">
        <f>IF($U12="","",IF(INDEX('Per Invoice'!R$2:R$401,$U12)="","",INDEX('Per Invoice'!R$2:R$401,$U12)))</f>
        <v/>
      </c>
      <c r="S12" s="7">
        <f>IF($U12="","",IF(INDEX('Per Invoice'!S$2:S$401,$U12)="","",INDEX('Per Invoice'!S$2:S$401,$U12)))</f>
        <v/>
      </c>
      <c r="T12" s="7">
        <f>IF($U12="","",IF(INDEX('Per Invoice'!T$2:T$401,$U12)="","",INDEX('Per Invoice'!T$2:T$401,$U12)))</f>
        <v/>
      </c>
      <c r="U12" s="16">
        <f>IFERROR(MATCH(Settings!$C$30&amp;"|"&amp;ROWS($U$2:$U12),'Per Invoice'!$V$2:$V$401,0),"")</f>
        <v/>
      </c>
    </row>
    <row r="13">
      <c r="A13">
        <f>IF($U13="","",IF(INDEX('Per Invoice'!A$2:A$401,$U13)="","",INDEX('Per Invoice'!A$2:A$401,$U13)))</f>
        <v/>
      </c>
      <c r="B13">
        <f>IF($U13="","",IF(INDEX('Per Invoice'!B$2:B$401,$U13)="","",INDEX('Per Invoice'!B$2:B$401,$U13)))</f>
        <v/>
      </c>
      <c r="C13">
        <f>IF($U13="","",IF(INDEX('Per Invoice'!C$2:C$401,$U13)="","",INDEX('Per Invoice'!C$2:C$401,$U13)))</f>
        <v/>
      </c>
      <c r="D13">
        <f>IF($U13="","",IF(INDEX('Per Invoice'!D$2:D$401,$U13)="","",INDEX('Per Invoice'!D$2:D$401,$U13)))</f>
        <v/>
      </c>
      <c r="E13">
        <f>IF($U13="","",IF(INDEX('Per Invoice'!E$2:E$401,$U13)="","",INDEX('Per Invoice'!E$2:E$401,$U13)))</f>
        <v/>
      </c>
      <c r="F13">
        <f>IF($U13="","",IF(INDEX('Per Invoice'!F$2:F$401,$U13)="","",INDEX('Per Invoice'!F$2:F$401,$U13)))</f>
        <v/>
      </c>
      <c r="G13">
        <f>IF($U13="","",IF(INDEX('Per Invoice'!G$2:G$401,$U13)="","",INDEX('Per Invoice'!G$2:G$401,$U13)))</f>
        <v/>
      </c>
      <c r="H13" s="7">
        <f>IF($U13="","",IF(INDEX('Per Invoice'!H$2:H$401,$U13)="","",INDEX('Per Invoice'!H$2:H$401,$U13)))</f>
        <v/>
      </c>
      <c r="I13" s="14">
        <f>IF($U13="","",IF(INDEX('Per Invoice'!I$2:I$401,$U13)="","",INDEX('Per Invoice'!I$2:I$401,$U13)))</f>
        <v/>
      </c>
      <c r="J13">
        <f>IF($U13="","",IF(INDEX('Per Invoice'!J$2:J$401,$U13)="","",INDEX('Per Invoice'!J$2:J$401,$U13)))</f>
        <v/>
      </c>
      <c r="K13">
        <f>IF($U13="","",IF(INDEX('Per Invoice'!K$2:K$401,$U13)="","",INDEX('Per Invoice'!K$2:K$401,$U13)))</f>
        <v/>
      </c>
      <c r="L13" s="7">
        <f>IF($U13="","",IF(INDEX('Per Invoice'!L$2:L$401,$U13)="","",INDEX('Per Invoice'!L$2:L$401,$U13)))</f>
        <v/>
      </c>
      <c r="M13" s="7">
        <f>IF($U13="","",IF(INDEX('Per Invoice'!M$2:M$401,$U13)="","",INDEX('Per Invoice'!M$2:M$401,$U13)))</f>
        <v/>
      </c>
      <c r="N13">
        <f>IF($U13="","",IF(INDEX('Per Invoice'!N$2:N$401,$U13)="","",INDEX('Per Invoice'!N$2:N$401,$U13)))</f>
        <v/>
      </c>
      <c r="O13" s="7">
        <f>IF($U13="","",IF(INDEX('Per Invoice'!O$2:O$401,$U13)="","",INDEX('Per Invoice'!O$2:O$401,$U13)))</f>
        <v/>
      </c>
      <c r="P13" s="7">
        <f>IF($U13="","",IF(INDEX('Per Invoice'!P$2:P$401,$U13)="","",INDEX('Per Invoice'!P$2:P$401,$U13)))</f>
        <v/>
      </c>
      <c r="Q13" s="7">
        <f>IF($U13="","",IF(INDEX('Per Invoice'!Q$2:Q$401,$U13)="","",INDEX('Per Invoice'!Q$2:Q$401,$U13)))</f>
        <v/>
      </c>
      <c r="R13" s="7">
        <f>IF($U13="","",IF(INDEX('Per Invoice'!R$2:R$401,$U13)="","",INDEX('Per Invoice'!R$2:R$401,$U13)))</f>
        <v/>
      </c>
      <c r="S13" s="7">
        <f>IF($U13="","",IF(INDEX('Per Invoice'!S$2:S$401,$U13)="","",INDEX('Per Invoice'!S$2:S$401,$U13)))</f>
        <v/>
      </c>
      <c r="T13" s="7">
        <f>IF($U13="","",IF(INDEX('Per Invoice'!T$2:T$401,$U13)="","",INDEX('Per Invoice'!T$2:T$401,$U13)))</f>
        <v/>
      </c>
      <c r="U13" s="16">
        <f>IFERROR(MATCH(Settings!$C$30&amp;"|"&amp;ROWS($U$2:$U13),'Per Invoice'!$V$2:$V$401,0),"")</f>
        <v/>
      </c>
    </row>
    <row r="14">
      <c r="A14">
        <f>IF($U14="","",IF(INDEX('Per Invoice'!A$2:A$401,$U14)="","",INDEX('Per Invoice'!A$2:A$401,$U14)))</f>
        <v/>
      </c>
      <c r="B14">
        <f>IF($U14="","",IF(INDEX('Per Invoice'!B$2:B$401,$U14)="","",INDEX('Per Invoice'!B$2:B$401,$U14)))</f>
        <v/>
      </c>
      <c r="C14">
        <f>IF($U14="","",IF(INDEX('Per Invoice'!C$2:C$401,$U14)="","",INDEX('Per Invoice'!C$2:C$401,$U14)))</f>
        <v/>
      </c>
      <c r="D14">
        <f>IF($U14="","",IF(INDEX('Per Invoice'!D$2:D$401,$U14)="","",INDEX('Per Invoice'!D$2:D$401,$U14)))</f>
        <v/>
      </c>
      <c r="E14">
        <f>IF($U14="","",IF(INDEX('Per Invoice'!E$2:E$401,$U14)="","",INDEX('Per Invoice'!E$2:E$401,$U14)))</f>
        <v/>
      </c>
      <c r="F14">
        <f>IF($U14="","",IF(INDEX('Per Invoice'!F$2:F$401,$U14)="","",INDEX('Per Invoice'!F$2:F$401,$U14)))</f>
        <v/>
      </c>
      <c r="G14">
        <f>IF($U14="","",IF(INDEX('Per Invoice'!G$2:G$401,$U14)="","",INDEX('Per Invoice'!G$2:G$401,$U14)))</f>
        <v/>
      </c>
      <c r="H14" s="7">
        <f>IF($U14="","",IF(INDEX('Per Invoice'!H$2:H$401,$U14)="","",INDEX('Per Invoice'!H$2:H$401,$U14)))</f>
        <v/>
      </c>
      <c r="I14" s="14">
        <f>IF($U14="","",IF(INDEX('Per Invoice'!I$2:I$401,$U14)="","",INDEX('Per Invoice'!I$2:I$401,$U14)))</f>
        <v/>
      </c>
      <c r="J14">
        <f>IF($U14="","",IF(INDEX('Per Invoice'!J$2:J$401,$U14)="","",INDEX('Per Invoice'!J$2:J$401,$U14)))</f>
        <v/>
      </c>
      <c r="K14">
        <f>IF($U14="","",IF(INDEX('Per Invoice'!K$2:K$401,$U14)="","",INDEX('Per Invoice'!K$2:K$401,$U14)))</f>
        <v/>
      </c>
      <c r="L14" s="7">
        <f>IF($U14="","",IF(INDEX('Per Invoice'!L$2:L$401,$U14)="","",INDEX('Per Invoice'!L$2:L$401,$U14)))</f>
        <v/>
      </c>
      <c r="M14" s="7">
        <f>IF($U14="","",IF(INDEX('Per Invoice'!M$2:M$401,$U14)="","",INDEX('Per Invoice'!M$2:M$401,$U14)))</f>
        <v/>
      </c>
      <c r="N14">
        <f>IF($U14="","",IF(INDEX('Per Invoice'!N$2:N$401,$U14)="","",INDEX('Per Invoice'!N$2:N$401,$U14)))</f>
        <v/>
      </c>
      <c r="O14" s="7">
        <f>IF($U14="","",IF(INDEX('Per Invoice'!O$2:O$401,$U14)="","",INDEX('Per Invoice'!O$2:O$401,$U14)))</f>
        <v/>
      </c>
      <c r="P14" s="7">
        <f>IF($U14="","",IF(INDEX('Per Invoice'!P$2:P$401,$U14)="","",INDEX('Per Invoice'!P$2:P$401,$U14)))</f>
        <v/>
      </c>
      <c r="Q14" s="7">
        <f>IF($U14="","",IF(INDEX('Per Invoice'!Q$2:Q$401,$U14)="","",INDEX('Per Invoice'!Q$2:Q$401,$U14)))</f>
        <v/>
      </c>
      <c r="R14" s="7">
        <f>IF($U14="","",IF(INDEX('Per Invoice'!R$2:R$401,$U14)="","",INDEX('Per Invoice'!R$2:R$401,$U14)))</f>
        <v/>
      </c>
      <c r="S14" s="7">
        <f>IF($U14="","",IF(INDEX('Per Invoice'!S$2:S$401,$U14)="","",INDEX('Per Invoice'!S$2:S$401,$U14)))</f>
        <v/>
      </c>
      <c r="T14" s="7">
        <f>IF($U14="","",IF(INDEX('Per Invoice'!T$2:T$401,$U14)="","",INDEX('Per Invoice'!T$2:T$401,$U14)))</f>
        <v/>
      </c>
      <c r="U14" s="16">
        <f>IFERROR(MATCH(Settings!$C$30&amp;"|"&amp;ROWS($U$2:$U14),'Per Invoice'!$V$2:$V$401,0),"")</f>
        <v/>
      </c>
    </row>
    <row r="15">
      <c r="A15">
        <f>IF($U15="","",IF(INDEX('Per Invoice'!A$2:A$401,$U15)="","",INDEX('Per Invoice'!A$2:A$401,$U15)))</f>
        <v/>
      </c>
      <c r="B15">
        <f>IF($U15="","",IF(INDEX('Per Invoice'!B$2:B$401,$U15)="","",INDEX('Per Invoice'!B$2:B$401,$U15)))</f>
        <v/>
      </c>
      <c r="C15">
        <f>IF($U15="","",IF(INDEX('Per Invoice'!C$2:C$401,$U15)="","",INDEX('Per Invoice'!C$2:C$401,$U15)))</f>
        <v/>
      </c>
      <c r="D15">
        <f>IF($U15="","",IF(INDEX('Per Invoice'!D$2:D$401,$U15)="","",INDEX('Per Invoice'!D$2:D$401,$U15)))</f>
        <v/>
      </c>
      <c r="E15">
        <f>IF($U15="","",IF(INDEX('Per Invoice'!E$2:E$401,$U15)="","",INDEX('Per Invoice'!E$2:E$401,$U15)))</f>
        <v/>
      </c>
      <c r="F15">
        <f>IF($U15="","",IF(INDEX('Per Invoice'!F$2:F$401,$U15)="","",INDEX('Per Invoice'!F$2:F$401,$U15)))</f>
        <v/>
      </c>
      <c r="G15">
        <f>IF($U15="","",IF(INDEX('Per Invoice'!G$2:G$401,$U15)="","",INDEX('Per Invoice'!G$2:G$401,$U15)))</f>
        <v/>
      </c>
      <c r="H15" s="7">
        <f>IF($U15="","",IF(INDEX('Per Invoice'!H$2:H$401,$U15)="","",INDEX('Per Invoice'!H$2:H$401,$U15)))</f>
        <v/>
      </c>
      <c r="I15" s="14">
        <f>IF($U15="","",IF(INDEX('Per Invoice'!I$2:I$401,$U15)="","",INDEX('Per Invoice'!I$2:I$401,$U15)))</f>
        <v/>
      </c>
      <c r="J15">
        <f>IF($U15="","",IF(INDEX('Per Invoice'!J$2:J$401,$U15)="","",INDEX('Per Invoice'!J$2:J$401,$U15)))</f>
        <v/>
      </c>
      <c r="K15">
        <f>IF($U15="","",IF(INDEX('Per Invoice'!K$2:K$401,$U15)="","",INDEX('Per Invoice'!K$2:K$401,$U15)))</f>
        <v/>
      </c>
      <c r="L15" s="7">
        <f>IF($U15="","",IF(INDEX('Per Invoice'!L$2:L$401,$U15)="","",INDEX('Per Invoice'!L$2:L$401,$U15)))</f>
        <v/>
      </c>
      <c r="M15" s="7">
        <f>IF($U15="","",IF(INDEX('Per Invoice'!M$2:M$401,$U15)="","",INDEX('Per Invoice'!M$2:M$401,$U15)))</f>
        <v/>
      </c>
      <c r="N15">
        <f>IF($U15="","",IF(INDEX('Per Invoice'!N$2:N$401,$U15)="","",INDEX('Per Invoice'!N$2:N$401,$U15)))</f>
        <v/>
      </c>
      <c r="O15" s="7">
        <f>IF($U15="","",IF(INDEX('Per Invoice'!O$2:O$401,$U15)="","",INDEX('Per Invoice'!O$2:O$401,$U15)))</f>
        <v/>
      </c>
      <c r="P15" s="7">
        <f>IF($U15="","",IF(INDEX('Per Invoice'!P$2:P$401,$U15)="","",INDEX('Per Invoice'!P$2:P$401,$U15)))</f>
        <v/>
      </c>
      <c r="Q15" s="7">
        <f>IF($U15="","",IF(INDEX('Per Invoice'!Q$2:Q$401,$U15)="","",INDEX('Per Invoice'!Q$2:Q$401,$U15)))</f>
        <v/>
      </c>
      <c r="R15" s="7">
        <f>IF($U15="","",IF(INDEX('Per Invoice'!R$2:R$401,$U15)="","",INDEX('Per Invoice'!R$2:R$401,$U15)))</f>
        <v/>
      </c>
      <c r="S15" s="7">
        <f>IF($U15="","",IF(INDEX('Per Invoice'!S$2:S$401,$U15)="","",INDEX('Per Invoice'!S$2:S$401,$U15)))</f>
        <v/>
      </c>
      <c r="T15" s="7">
        <f>IF($U15="","",IF(INDEX('Per Invoice'!T$2:T$401,$U15)="","",INDEX('Per Invoice'!T$2:T$401,$U15)))</f>
        <v/>
      </c>
      <c r="U15" s="16">
        <f>IFERROR(MATCH(Settings!$C$30&amp;"|"&amp;ROWS($U$2:$U15),'Per Invoice'!$V$2:$V$401,0),"")</f>
        <v/>
      </c>
    </row>
    <row r="16">
      <c r="A16">
        <f>IF($U16="","",IF(INDEX('Per Invoice'!A$2:A$401,$U16)="","",INDEX('Per Invoice'!A$2:A$401,$U16)))</f>
        <v/>
      </c>
      <c r="B16">
        <f>IF($U16="","",IF(INDEX('Per Invoice'!B$2:B$401,$U16)="","",INDEX('Per Invoice'!B$2:B$401,$U16)))</f>
        <v/>
      </c>
      <c r="C16">
        <f>IF($U16="","",IF(INDEX('Per Invoice'!C$2:C$401,$U16)="","",INDEX('Per Invoice'!C$2:C$401,$U16)))</f>
        <v/>
      </c>
      <c r="D16">
        <f>IF($U16="","",IF(INDEX('Per Invoice'!D$2:D$401,$U16)="","",INDEX('Per Invoice'!D$2:D$401,$U16)))</f>
        <v/>
      </c>
      <c r="E16">
        <f>IF($U16="","",IF(INDEX('Per Invoice'!E$2:E$401,$U16)="","",INDEX('Per Invoice'!E$2:E$401,$U16)))</f>
        <v/>
      </c>
      <c r="F16">
        <f>IF($U16="","",IF(INDEX('Per Invoice'!F$2:F$401,$U16)="","",INDEX('Per Invoice'!F$2:F$401,$U16)))</f>
        <v/>
      </c>
      <c r="G16">
        <f>IF($U16="","",IF(INDEX('Per Invoice'!G$2:G$401,$U16)="","",INDEX('Per Invoice'!G$2:G$401,$U16)))</f>
        <v/>
      </c>
      <c r="H16" s="7">
        <f>IF($U16="","",IF(INDEX('Per Invoice'!H$2:H$401,$U16)="","",INDEX('Per Invoice'!H$2:H$401,$U16)))</f>
        <v/>
      </c>
      <c r="I16" s="14">
        <f>IF($U16="","",IF(INDEX('Per Invoice'!I$2:I$401,$U16)="","",INDEX('Per Invoice'!I$2:I$401,$U16)))</f>
        <v/>
      </c>
      <c r="J16">
        <f>IF($U16="","",IF(INDEX('Per Invoice'!J$2:J$401,$U16)="","",INDEX('Per Invoice'!J$2:J$401,$U16)))</f>
        <v/>
      </c>
      <c r="K16">
        <f>IF($U16="","",IF(INDEX('Per Invoice'!K$2:K$401,$U16)="","",INDEX('Per Invoice'!K$2:K$401,$U16)))</f>
        <v/>
      </c>
      <c r="L16" s="7">
        <f>IF($U16="","",IF(INDEX('Per Invoice'!L$2:L$401,$U16)="","",INDEX('Per Invoice'!L$2:L$401,$U16)))</f>
        <v/>
      </c>
      <c r="M16" s="7">
        <f>IF($U16="","",IF(INDEX('Per Invoice'!M$2:M$401,$U16)="","",INDEX('Per Invoice'!M$2:M$401,$U16)))</f>
        <v/>
      </c>
      <c r="N16">
        <f>IF($U16="","",IF(INDEX('Per Invoice'!N$2:N$401,$U16)="","",INDEX('Per Invoice'!N$2:N$401,$U16)))</f>
        <v/>
      </c>
      <c r="O16" s="7">
        <f>IF($U16="","",IF(INDEX('Per Invoice'!O$2:O$401,$U16)="","",INDEX('Per Invoice'!O$2:O$401,$U16)))</f>
        <v/>
      </c>
      <c r="P16" s="7">
        <f>IF($U16="","",IF(INDEX('Per Invoice'!P$2:P$401,$U16)="","",INDEX('Per Invoice'!P$2:P$401,$U16)))</f>
        <v/>
      </c>
      <c r="Q16" s="7">
        <f>IF($U16="","",IF(INDEX('Per Invoice'!Q$2:Q$401,$U16)="","",INDEX('Per Invoice'!Q$2:Q$401,$U16)))</f>
        <v/>
      </c>
      <c r="R16" s="7">
        <f>IF($U16="","",IF(INDEX('Per Invoice'!R$2:R$401,$U16)="","",INDEX('Per Invoice'!R$2:R$401,$U16)))</f>
        <v/>
      </c>
      <c r="S16" s="7">
        <f>IF($U16="","",IF(INDEX('Per Invoice'!S$2:S$401,$U16)="","",INDEX('Per Invoice'!S$2:S$401,$U16)))</f>
        <v/>
      </c>
      <c r="T16" s="7">
        <f>IF($U16="","",IF(INDEX('Per Invoice'!T$2:T$401,$U16)="","",INDEX('Per Invoice'!T$2:T$401,$U16)))</f>
        <v/>
      </c>
      <c r="U16" s="16">
        <f>IFERROR(MATCH(Settings!$C$30&amp;"|"&amp;ROWS($U$2:$U16),'Per Invoice'!$V$2:$V$401,0),"")</f>
        <v/>
      </c>
    </row>
    <row r="17">
      <c r="A17">
        <f>IF($U17="","",IF(INDEX('Per Invoice'!A$2:A$401,$U17)="","",INDEX('Per Invoice'!A$2:A$401,$U17)))</f>
        <v/>
      </c>
      <c r="B17">
        <f>IF($U17="","",IF(INDEX('Per Invoice'!B$2:B$401,$U17)="","",INDEX('Per Invoice'!B$2:B$401,$U17)))</f>
        <v/>
      </c>
      <c r="C17">
        <f>IF($U17="","",IF(INDEX('Per Invoice'!C$2:C$401,$U17)="","",INDEX('Per Invoice'!C$2:C$401,$U17)))</f>
        <v/>
      </c>
      <c r="D17">
        <f>IF($U17="","",IF(INDEX('Per Invoice'!D$2:D$401,$U17)="","",INDEX('Per Invoice'!D$2:D$401,$U17)))</f>
        <v/>
      </c>
      <c r="E17">
        <f>IF($U17="","",IF(INDEX('Per Invoice'!E$2:E$401,$U17)="","",INDEX('Per Invoice'!E$2:E$401,$U17)))</f>
        <v/>
      </c>
      <c r="F17">
        <f>IF($U17="","",IF(INDEX('Per Invoice'!F$2:F$401,$U17)="","",INDEX('Per Invoice'!F$2:F$401,$U17)))</f>
        <v/>
      </c>
      <c r="G17">
        <f>IF($U17="","",IF(INDEX('Per Invoice'!G$2:G$401,$U17)="","",INDEX('Per Invoice'!G$2:G$401,$U17)))</f>
        <v/>
      </c>
      <c r="H17" s="7">
        <f>IF($U17="","",IF(INDEX('Per Invoice'!H$2:H$401,$U17)="","",INDEX('Per Invoice'!H$2:H$401,$U17)))</f>
        <v/>
      </c>
      <c r="I17" s="14">
        <f>IF($U17="","",IF(INDEX('Per Invoice'!I$2:I$401,$U17)="","",INDEX('Per Invoice'!I$2:I$401,$U17)))</f>
        <v/>
      </c>
      <c r="J17">
        <f>IF($U17="","",IF(INDEX('Per Invoice'!J$2:J$401,$U17)="","",INDEX('Per Invoice'!J$2:J$401,$U17)))</f>
        <v/>
      </c>
      <c r="K17">
        <f>IF($U17="","",IF(INDEX('Per Invoice'!K$2:K$401,$U17)="","",INDEX('Per Invoice'!K$2:K$401,$U17)))</f>
        <v/>
      </c>
      <c r="L17" s="7">
        <f>IF($U17="","",IF(INDEX('Per Invoice'!L$2:L$401,$U17)="","",INDEX('Per Invoice'!L$2:L$401,$U17)))</f>
        <v/>
      </c>
      <c r="M17" s="7">
        <f>IF($U17="","",IF(INDEX('Per Invoice'!M$2:M$401,$U17)="","",INDEX('Per Invoice'!M$2:M$401,$U17)))</f>
        <v/>
      </c>
      <c r="N17">
        <f>IF($U17="","",IF(INDEX('Per Invoice'!N$2:N$401,$U17)="","",INDEX('Per Invoice'!N$2:N$401,$U17)))</f>
        <v/>
      </c>
      <c r="O17" s="7">
        <f>IF($U17="","",IF(INDEX('Per Invoice'!O$2:O$401,$U17)="","",INDEX('Per Invoice'!O$2:O$401,$U17)))</f>
        <v/>
      </c>
      <c r="P17" s="7">
        <f>IF($U17="","",IF(INDEX('Per Invoice'!P$2:P$401,$U17)="","",INDEX('Per Invoice'!P$2:P$401,$U17)))</f>
        <v/>
      </c>
      <c r="Q17" s="7">
        <f>IF($U17="","",IF(INDEX('Per Invoice'!Q$2:Q$401,$U17)="","",INDEX('Per Invoice'!Q$2:Q$401,$U17)))</f>
        <v/>
      </c>
      <c r="R17" s="7">
        <f>IF($U17="","",IF(INDEX('Per Invoice'!R$2:R$401,$U17)="","",INDEX('Per Invoice'!R$2:R$401,$U17)))</f>
        <v/>
      </c>
      <c r="S17" s="7">
        <f>IF($U17="","",IF(INDEX('Per Invoice'!S$2:S$401,$U17)="","",INDEX('Per Invoice'!S$2:S$401,$U17)))</f>
        <v/>
      </c>
      <c r="T17" s="7">
        <f>IF($U17="","",IF(INDEX('Per Invoice'!T$2:T$401,$U17)="","",INDEX('Per Invoice'!T$2:T$401,$U17)))</f>
        <v/>
      </c>
      <c r="U17" s="16">
        <f>IFERROR(MATCH(Settings!$C$30&amp;"|"&amp;ROWS($U$2:$U17),'Per Invoice'!$V$2:$V$401,0),"")</f>
        <v/>
      </c>
    </row>
    <row r="18">
      <c r="A18">
        <f>IF($U18="","",IF(INDEX('Per Invoice'!A$2:A$401,$U18)="","",INDEX('Per Invoice'!A$2:A$401,$U18)))</f>
        <v/>
      </c>
      <c r="B18">
        <f>IF($U18="","",IF(INDEX('Per Invoice'!B$2:B$401,$U18)="","",INDEX('Per Invoice'!B$2:B$401,$U18)))</f>
        <v/>
      </c>
      <c r="C18">
        <f>IF($U18="","",IF(INDEX('Per Invoice'!C$2:C$401,$U18)="","",INDEX('Per Invoice'!C$2:C$401,$U18)))</f>
        <v/>
      </c>
      <c r="D18">
        <f>IF($U18="","",IF(INDEX('Per Invoice'!D$2:D$401,$U18)="","",INDEX('Per Invoice'!D$2:D$401,$U18)))</f>
        <v/>
      </c>
      <c r="E18">
        <f>IF($U18="","",IF(INDEX('Per Invoice'!E$2:E$401,$U18)="","",INDEX('Per Invoice'!E$2:E$401,$U18)))</f>
        <v/>
      </c>
      <c r="F18">
        <f>IF($U18="","",IF(INDEX('Per Invoice'!F$2:F$401,$U18)="","",INDEX('Per Invoice'!F$2:F$401,$U18)))</f>
        <v/>
      </c>
      <c r="G18">
        <f>IF($U18="","",IF(INDEX('Per Invoice'!G$2:G$401,$U18)="","",INDEX('Per Invoice'!G$2:G$401,$U18)))</f>
        <v/>
      </c>
      <c r="H18" s="7">
        <f>IF($U18="","",IF(INDEX('Per Invoice'!H$2:H$401,$U18)="","",INDEX('Per Invoice'!H$2:H$401,$U18)))</f>
        <v/>
      </c>
      <c r="I18" s="14">
        <f>IF($U18="","",IF(INDEX('Per Invoice'!I$2:I$401,$U18)="","",INDEX('Per Invoice'!I$2:I$401,$U18)))</f>
        <v/>
      </c>
      <c r="J18">
        <f>IF($U18="","",IF(INDEX('Per Invoice'!J$2:J$401,$U18)="","",INDEX('Per Invoice'!J$2:J$401,$U18)))</f>
        <v/>
      </c>
      <c r="K18">
        <f>IF($U18="","",IF(INDEX('Per Invoice'!K$2:K$401,$U18)="","",INDEX('Per Invoice'!K$2:K$401,$U18)))</f>
        <v/>
      </c>
      <c r="L18" s="7">
        <f>IF($U18="","",IF(INDEX('Per Invoice'!L$2:L$401,$U18)="","",INDEX('Per Invoice'!L$2:L$401,$U18)))</f>
        <v/>
      </c>
      <c r="M18" s="7">
        <f>IF($U18="","",IF(INDEX('Per Invoice'!M$2:M$401,$U18)="","",INDEX('Per Invoice'!M$2:M$401,$U18)))</f>
        <v/>
      </c>
      <c r="N18">
        <f>IF($U18="","",IF(INDEX('Per Invoice'!N$2:N$401,$U18)="","",INDEX('Per Invoice'!N$2:N$401,$U18)))</f>
        <v/>
      </c>
      <c r="O18" s="7">
        <f>IF($U18="","",IF(INDEX('Per Invoice'!O$2:O$401,$U18)="","",INDEX('Per Invoice'!O$2:O$401,$U18)))</f>
        <v/>
      </c>
      <c r="P18" s="7">
        <f>IF($U18="","",IF(INDEX('Per Invoice'!P$2:P$401,$U18)="","",INDEX('Per Invoice'!P$2:P$401,$U18)))</f>
        <v/>
      </c>
      <c r="Q18" s="7">
        <f>IF($U18="","",IF(INDEX('Per Invoice'!Q$2:Q$401,$U18)="","",INDEX('Per Invoice'!Q$2:Q$401,$U18)))</f>
        <v/>
      </c>
      <c r="R18" s="7">
        <f>IF($U18="","",IF(INDEX('Per Invoice'!R$2:R$401,$U18)="","",INDEX('Per Invoice'!R$2:R$401,$U18)))</f>
        <v/>
      </c>
      <c r="S18" s="7">
        <f>IF($U18="","",IF(INDEX('Per Invoice'!S$2:S$401,$U18)="","",INDEX('Per Invoice'!S$2:S$401,$U18)))</f>
        <v/>
      </c>
      <c r="T18" s="7">
        <f>IF($U18="","",IF(INDEX('Per Invoice'!T$2:T$401,$U18)="","",INDEX('Per Invoice'!T$2:T$401,$U18)))</f>
        <v/>
      </c>
      <c r="U18" s="16">
        <f>IFERROR(MATCH(Settings!$C$30&amp;"|"&amp;ROWS($U$2:$U18),'Per Invoice'!$V$2:$V$401,0),"")</f>
        <v/>
      </c>
    </row>
    <row r="19">
      <c r="A19">
        <f>IF($U19="","",IF(INDEX('Per Invoice'!A$2:A$401,$U19)="","",INDEX('Per Invoice'!A$2:A$401,$U19)))</f>
        <v/>
      </c>
      <c r="B19">
        <f>IF($U19="","",IF(INDEX('Per Invoice'!B$2:B$401,$U19)="","",INDEX('Per Invoice'!B$2:B$401,$U19)))</f>
        <v/>
      </c>
      <c r="C19">
        <f>IF($U19="","",IF(INDEX('Per Invoice'!C$2:C$401,$U19)="","",INDEX('Per Invoice'!C$2:C$401,$U19)))</f>
        <v/>
      </c>
      <c r="D19">
        <f>IF($U19="","",IF(INDEX('Per Invoice'!D$2:D$401,$U19)="","",INDEX('Per Invoice'!D$2:D$401,$U19)))</f>
        <v/>
      </c>
      <c r="E19">
        <f>IF($U19="","",IF(INDEX('Per Invoice'!E$2:E$401,$U19)="","",INDEX('Per Invoice'!E$2:E$401,$U19)))</f>
        <v/>
      </c>
      <c r="F19">
        <f>IF($U19="","",IF(INDEX('Per Invoice'!F$2:F$401,$U19)="","",INDEX('Per Invoice'!F$2:F$401,$U19)))</f>
        <v/>
      </c>
      <c r="G19">
        <f>IF($U19="","",IF(INDEX('Per Invoice'!G$2:G$401,$U19)="","",INDEX('Per Invoice'!G$2:G$401,$U19)))</f>
        <v/>
      </c>
      <c r="H19" s="7">
        <f>IF($U19="","",IF(INDEX('Per Invoice'!H$2:H$401,$U19)="","",INDEX('Per Invoice'!H$2:H$401,$U19)))</f>
        <v/>
      </c>
      <c r="I19" s="14">
        <f>IF($U19="","",IF(INDEX('Per Invoice'!I$2:I$401,$U19)="","",INDEX('Per Invoice'!I$2:I$401,$U19)))</f>
        <v/>
      </c>
      <c r="J19">
        <f>IF($U19="","",IF(INDEX('Per Invoice'!J$2:J$401,$U19)="","",INDEX('Per Invoice'!J$2:J$401,$U19)))</f>
        <v/>
      </c>
      <c r="K19">
        <f>IF($U19="","",IF(INDEX('Per Invoice'!K$2:K$401,$U19)="","",INDEX('Per Invoice'!K$2:K$401,$U19)))</f>
        <v/>
      </c>
      <c r="L19" s="7">
        <f>IF($U19="","",IF(INDEX('Per Invoice'!L$2:L$401,$U19)="","",INDEX('Per Invoice'!L$2:L$401,$U19)))</f>
        <v/>
      </c>
      <c r="M19" s="7">
        <f>IF($U19="","",IF(INDEX('Per Invoice'!M$2:M$401,$U19)="","",INDEX('Per Invoice'!M$2:M$401,$U19)))</f>
        <v/>
      </c>
      <c r="N19">
        <f>IF($U19="","",IF(INDEX('Per Invoice'!N$2:N$401,$U19)="","",INDEX('Per Invoice'!N$2:N$401,$U19)))</f>
        <v/>
      </c>
      <c r="O19" s="7">
        <f>IF($U19="","",IF(INDEX('Per Invoice'!O$2:O$401,$U19)="","",INDEX('Per Invoice'!O$2:O$401,$U19)))</f>
        <v/>
      </c>
      <c r="P19" s="7">
        <f>IF($U19="","",IF(INDEX('Per Invoice'!P$2:P$401,$U19)="","",INDEX('Per Invoice'!P$2:P$401,$U19)))</f>
        <v/>
      </c>
      <c r="Q19" s="7">
        <f>IF($U19="","",IF(INDEX('Per Invoice'!Q$2:Q$401,$U19)="","",INDEX('Per Invoice'!Q$2:Q$401,$U19)))</f>
        <v/>
      </c>
      <c r="R19" s="7">
        <f>IF($U19="","",IF(INDEX('Per Invoice'!R$2:R$401,$U19)="","",INDEX('Per Invoice'!R$2:R$401,$U19)))</f>
        <v/>
      </c>
      <c r="S19" s="7">
        <f>IF($U19="","",IF(INDEX('Per Invoice'!S$2:S$401,$U19)="","",INDEX('Per Invoice'!S$2:S$401,$U19)))</f>
        <v/>
      </c>
      <c r="T19" s="7">
        <f>IF($U19="","",IF(INDEX('Per Invoice'!T$2:T$401,$U19)="","",INDEX('Per Invoice'!T$2:T$401,$U19)))</f>
        <v/>
      </c>
      <c r="U19" s="16">
        <f>IFERROR(MATCH(Settings!$C$30&amp;"|"&amp;ROWS($U$2:$U19),'Per Invoice'!$V$2:$V$401,0),"")</f>
        <v/>
      </c>
    </row>
    <row r="20">
      <c r="A20">
        <f>IF($U20="","",IF(INDEX('Per Invoice'!A$2:A$401,$U20)="","",INDEX('Per Invoice'!A$2:A$401,$U20)))</f>
        <v/>
      </c>
      <c r="B20">
        <f>IF($U20="","",IF(INDEX('Per Invoice'!B$2:B$401,$U20)="","",INDEX('Per Invoice'!B$2:B$401,$U20)))</f>
        <v/>
      </c>
      <c r="C20">
        <f>IF($U20="","",IF(INDEX('Per Invoice'!C$2:C$401,$U20)="","",INDEX('Per Invoice'!C$2:C$401,$U20)))</f>
        <v/>
      </c>
      <c r="D20">
        <f>IF($U20="","",IF(INDEX('Per Invoice'!D$2:D$401,$U20)="","",INDEX('Per Invoice'!D$2:D$401,$U20)))</f>
        <v/>
      </c>
      <c r="E20">
        <f>IF($U20="","",IF(INDEX('Per Invoice'!E$2:E$401,$U20)="","",INDEX('Per Invoice'!E$2:E$401,$U20)))</f>
        <v/>
      </c>
      <c r="F20">
        <f>IF($U20="","",IF(INDEX('Per Invoice'!F$2:F$401,$U20)="","",INDEX('Per Invoice'!F$2:F$401,$U20)))</f>
        <v/>
      </c>
      <c r="G20">
        <f>IF($U20="","",IF(INDEX('Per Invoice'!G$2:G$401,$U20)="","",INDEX('Per Invoice'!G$2:G$401,$U20)))</f>
        <v/>
      </c>
      <c r="H20" s="7">
        <f>IF($U20="","",IF(INDEX('Per Invoice'!H$2:H$401,$U20)="","",INDEX('Per Invoice'!H$2:H$401,$U20)))</f>
        <v/>
      </c>
      <c r="I20" s="14">
        <f>IF($U20="","",IF(INDEX('Per Invoice'!I$2:I$401,$U20)="","",INDEX('Per Invoice'!I$2:I$401,$U20)))</f>
        <v/>
      </c>
      <c r="J20">
        <f>IF($U20="","",IF(INDEX('Per Invoice'!J$2:J$401,$U20)="","",INDEX('Per Invoice'!J$2:J$401,$U20)))</f>
        <v/>
      </c>
      <c r="K20">
        <f>IF($U20="","",IF(INDEX('Per Invoice'!K$2:K$401,$U20)="","",INDEX('Per Invoice'!K$2:K$401,$U20)))</f>
        <v/>
      </c>
      <c r="L20" s="7">
        <f>IF($U20="","",IF(INDEX('Per Invoice'!L$2:L$401,$U20)="","",INDEX('Per Invoice'!L$2:L$401,$U20)))</f>
        <v/>
      </c>
      <c r="M20" s="7">
        <f>IF($U20="","",IF(INDEX('Per Invoice'!M$2:M$401,$U20)="","",INDEX('Per Invoice'!M$2:M$401,$U20)))</f>
        <v/>
      </c>
      <c r="N20">
        <f>IF($U20="","",IF(INDEX('Per Invoice'!N$2:N$401,$U20)="","",INDEX('Per Invoice'!N$2:N$401,$U20)))</f>
        <v/>
      </c>
      <c r="O20" s="7">
        <f>IF($U20="","",IF(INDEX('Per Invoice'!O$2:O$401,$U20)="","",INDEX('Per Invoice'!O$2:O$401,$U20)))</f>
        <v/>
      </c>
      <c r="P20" s="7">
        <f>IF($U20="","",IF(INDEX('Per Invoice'!P$2:P$401,$U20)="","",INDEX('Per Invoice'!P$2:P$401,$U20)))</f>
        <v/>
      </c>
      <c r="Q20" s="7">
        <f>IF($U20="","",IF(INDEX('Per Invoice'!Q$2:Q$401,$U20)="","",INDEX('Per Invoice'!Q$2:Q$401,$U20)))</f>
        <v/>
      </c>
      <c r="R20" s="7">
        <f>IF($U20="","",IF(INDEX('Per Invoice'!R$2:R$401,$U20)="","",INDEX('Per Invoice'!R$2:R$401,$U20)))</f>
        <v/>
      </c>
      <c r="S20" s="7">
        <f>IF($U20="","",IF(INDEX('Per Invoice'!S$2:S$401,$U20)="","",INDEX('Per Invoice'!S$2:S$401,$U20)))</f>
        <v/>
      </c>
      <c r="T20" s="7">
        <f>IF($U20="","",IF(INDEX('Per Invoice'!T$2:T$401,$U20)="","",INDEX('Per Invoice'!T$2:T$401,$U20)))</f>
        <v/>
      </c>
      <c r="U20" s="16">
        <f>IFERROR(MATCH(Settings!$C$30&amp;"|"&amp;ROWS($U$2:$U20),'Per Invoice'!$V$2:$V$401,0),"")</f>
        <v/>
      </c>
    </row>
    <row r="21">
      <c r="A21">
        <f>IF($U21="","",IF(INDEX('Per Invoice'!A$2:A$401,$U21)="","",INDEX('Per Invoice'!A$2:A$401,$U21)))</f>
        <v/>
      </c>
      <c r="B21">
        <f>IF($U21="","",IF(INDEX('Per Invoice'!B$2:B$401,$U21)="","",INDEX('Per Invoice'!B$2:B$401,$U21)))</f>
        <v/>
      </c>
      <c r="C21">
        <f>IF($U21="","",IF(INDEX('Per Invoice'!C$2:C$401,$U21)="","",INDEX('Per Invoice'!C$2:C$401,$U21)))</f>
        <v/>
      </c>
      <c r="D21">
        <f>IF($U21="","",IF(INDEX('Per Invoice'!D$2:D$401,$U21)="","",INDEX('Per Invoice'!D$2:D$401,$U21)))</f>
        <v/>
      </c>
      <c r="E21">
        <f>IF($U21="","",IF(INDEX('Per Invoice'!E$2:E$401,$U21)="","",INDEX('Per Invoice'!E$2:E$401,$U21)))</f>
        <v/>
      </c>
      <c r="F21">
        <f>IF($U21="","",IF(INDEX('Per Invoice'!F$2:F$401,$U21)="","",INDEX('Per Invoice'!F$2:F$401,$U21)))</f>
        <v/>
      </c>
      <c r="G21">
        <f>IF($U21="","",IF(INDEX('Per Invoice'!G$2:G$401,$U21)="","",INDEX('Per Invoice'!G$2:G$401,$U21)))</f>
        <v/>
      </c>
      <c r="H21" s="7">
        <f>IF($U21="","",IF(INDEX('Per Invoice'!H$2:H$401,$U21)="","",INDEX('Per Invoice'!H$2:H$401,$U21)))</f>
        <v/>
      </c>
      <c r="I21" s="14">
        <f>IF($U21="","",IF(INDEX('Per Invoice'!I$2:I$401,$U21)="","",INDEX('Per Invoice'!I$2:I$401,$U21)))</f>
        <v/>
      </c>
      <c r="J21">
        <f>IF($U21="","",IF(INDEX('Per Invoice'!J$2:J$401,$U21)="","",INDEX('Per Invoice'!J$2:J$401,$U21)))</f>
        <v/>
      </c>
      <c r="K21">
        <f>IF($U21="","",IF(INDEX('Per Invoice'!K$2:K$401,$U21)="","",INDEX('Per Invoice'!K$2:K$401,$U21)))</f>
        <v/>
      </c>
      <c r="L21" s="7">
        <f>IF($U21="","",IF(INDEX('Per Invoice'!L$2:L$401,$U21)="","",INDEX('Per Invoice'!L$2:L$401,$U21)))</f>
        <v/>
      </c>
      <c r="M21" s="7">
        <f>IF($U21="","",IF(INDEX('Per Invoice'!M$2:M$401,$U21)="","",INDEX('Per Invoice'!M$2:M$401,$U21)))</f>
        <v/>
      </c>
      <c r="N21">
        <f>IF($U21="","",IF(INDEX('Per Invoice'!N$2:N$401,$U21)="","",INDEX('Per Invoice'!N$2:N$401,$U21)))</f>
        <v/>
      </c>
      <c r="O21" s="7">
        <f>IF($U21="","",IF(INDEX('Per Invoice'!O$2:O$401,$U21)="","",INDEX('Per Invoice'!O$2:O$401,$U21)))</f>
        <v/>
      </c>
      <c r="P21" s="7">
        <f>IF($U21="","",IF(INDEX('Per Invoice'!P$2:P$401,$U21)="","",INDEX('Per Invoice'!P$2:P$401,$U21)))</f>
        <v/>
      </c>
      <c r="Q21" s="7">
        <f>IF($U21="","",IF(INDEX('Per Invoice'!Q$2:Q$401,$U21)="","",INDEX('Per Invoice'!Q$2:Q$401,$U21)))</f>
        <v/>
      </c>
      <c r="R21" s="7">
        <f>IF($U21="","",IF(INDEX('Per Invoice'!R$2:R$401,$U21)="","",INDEX('Per Invoice'!R$2:R$401,$U21)))</f>
        <v/>
      </c>
      <c r="S21" s="7">
        <f>IF($U21="","",IF(INDEX('Per Invoice'!S$2:S$401,$U21)="","",INDEX('Per Invoice'!S$2:S$401,$U21)))</f>
        <v/>
      </c>
      <c r="T21" s="7">
        <f>IF($U21="","",IF(INDEX('Per Invoice'!T$2:T$401,$U21)="","",INDEX('Per Invoice'!T$2:T$401,$U21)))</f>
        <v/>
      </c>
      <c r="U21" s="16">
        <f>IFERROR(MATCH(Settings!$C$30&amp;"|"&amp;ROWS($U$2:$U21),'Per Invoice'!$V$2:$V$401,0),"")</f>
        <v/>
      </c>
    </row>
    <row r="22">
      <c r="A22">
        <f>IF($U22="","",IF(INDEX('Per Invoice'!A$2:A$401,$U22)="","",INDEX('Per Invoice'!A$2:A$401,$U22)))</f>
        <v/>
      </c>
      <c r="B22">
        <f>IF($U22="","",IF(INDEX('Per Invoice'!B$2:B$401,$U22)="","",INDEX('Per Invoice'!B$2:B$401,$U22)))</f>
        <v/>
      </c>
      <c r="C22">
        <f>IF($U22="","",IF(INDEX('Per Invoice'!C$2:C$401,$U22)="","",INDEX('Per Invoice'!C$2:C$401,$U22)))</f>
        <v/>
      </c>
      <c r="D22">
        <f>IF($U22="","",IF(INDEX('Per Invoice'!D$2:D$401,$U22)="","",INDEX('Per Invoice'!D$2:D$401,$U22)))</f>
        <v/>
      </c>
      <c r="E22">
        <f>IF($U22="","",IF(INDEX('Per Invoice'!E$2:E$401,$U22)="","",INDEX('Per Invoice'!E$2:E$401,$U22)))</f>
        <v/>
      </c>
      <c r="F22">
        <f>IF($U22="","",IF(INDEX('Per Invoice'!F$2:F$401,$U22)="","",INDEX('Per Invoice'!F$2:F$401,$U22)))</f>
        <v/>
      </c>
      <c r="G22">
        <f>IF($U22="","",IF(INDEX('Per Invoice'!G$2:G$401,$U22)="","",INDEX('Per Invoice'!G$2:G$401,$U22)))</f>
        <v/>
      </c>
      <c r="H22" s="7">
        <f>IF($U22="","",IF(INDEX('Per Invoice'!H$2:H$401,$U22)="","",INDEX('Per Invoice'!H$2:H$401,$U22)))</f>
        <v/>
      </c>
      <c r="I22" s="14">
        <f>IF($U22="","",IF(INDEX('Per Invoice'!I$2:I$401,$U22)="","",INDEX('Per Invoice'!I$2:I$401,$U22)))</f>
        <v/>
      </c>
      <c r="J22">
        <f>IF($U22="","",IF(INDEX('Per Invoice'!J$2:J$401,$U22)="","",INDEX('Per Invoice'!J$2:J$401,$U22)))</f>
        <v/>
      </c>
      <c r="K22">
        <f>IF($U22="","",IF(INDEX('Per Invoice'!K$2:K$401,$U22)="","",INDEX('Per Invoice'!K$2:K$401,$U22)))</f>
        <v/>
      </c>
      <c r="L22" s="7">
        <f>IF($U22="","",IF(INDEX('Per Invoice'!L$2:L$401,$U22)="","",INDEX('Per Invoice'!L$2:L$401,$U22)))</f>
        <v/>
      </c>
      <c r="M22" s="7">
        <f>IF($U22="","",IF(INDEX('Per Invoice'!M$2:M$401,$U22)="","",INDEX('Per Invoice'!M$2:M$401,$U22)))</f>
        <v/>
      </c>
      <c r="N22">
        <f>IF($U22="","",IF(INDEX('Per Invoice'!N$2:N$401,$U22)="","",INDEX('Per Invoice'!N$2:N$401,$U22)))</f>
        <v/>
      </c>
      <c r="O22" s="7">
        <f>IF($U22="","",IF(INDEX('Per Invoice'!O$2:O$401,$U22)="","",INDEX('Per Invoice'!O$2:O$401,$U22)))</f>
        <v/>
      </c>
      <c r="P22" s="7">
        <f>IF($U22="","",IF(INDEX('Per Invoice'!P$2:P$401,$U22)="","",INDEX('Per Invoice'!P$2:P$401,$U22)))</f>
        <v/>
      </c>
      <c r="Q22" s="7">
        <f>IF($U22="","",IF(INDEX('Per Invoice'!Q$2:Q$401,$U22)="","",INDEX('Per Invoice'!Q$2:Q$401,$U22)))</f>
        <v/>
      </c>
      <c r="R22" s="7">
        <f>IF($U22="","",IF(INDEX('Per Invoice'!R$2:R$401,$U22)="","",INDEX('Per Invoice'!R$2:R$401,$U22)))</f>
        <v/>
      </c>
      <c r="S22" s="7">
        <f>IF($U22="","",IF(INDEX('Per Invoice'!S$2:S$401,$U22)="","",INDEX('Per Invoice'!S$2:S$401,$U22)))</f>
        <v/>
      </c>
      <c r="T22" s="7">
        <f>IF($U22="","",IF(INDEX('Per Invoice'!T$2:T$401,$U22)="","",INDEX('Per Invoice'!T$2:T$401,$U22)))</f>
        <v/>
      </c>
      <c r="U22" s="16">
        <f>IFERROR(MATCH(Settings!$C$30&amp;"|"&amp;ROWS($U$2:$U22),'Per Invoice'!$V$2:$V$401,0),"")</f>
        <v/>
      </c>
    </row>
    <row r="23">
      <c r="A23">
        <f>IF($U23="","",IF(INDEX('Per Invoice'!A$2:A$401,$U23)="","",INDEX('Per Invoice'!A$2:A$401,$U23)))</f>
        <v/>
      </c>
      <c r="B23">
        <f>IF($U23="","",IF(INDEX('Per Invoice'!B$2:B$401,$U23)="","",INDEX('Per Invoice'!B$2:B$401,$U23)))</f>
        <v/>
      </c>
      <c r="C23">
        <f>IF($U23="","",IF(INDEX('Per Invoice'!C$2:C$401,$U23)="","",INDEX('Per Invoice'!C$2:C$401,$U23)))</f>
        <v/>
      </c>
      <c r="D23">
        <f>IF($U23="","",IF(INDEX('Per Invoice'!D$2:D$401,$U23)="","",INDEX('Per Invoice'!D$2:D$401,$U23)))</f>
        <v/>
      </c>
      <c r="E23">
        <f>IF($U23="","",IF(INDEX('Per Invoice'!E$2:E$401,$U23)="","",INDEX('Per Invoice'!E$2:E$401,$U23)))</f>
        <v/>
      </c>
      <c r="F23">
        <f>IF($U23="","",IF(INDEX('Per Invoice'!F$2:F$401,$U23)="","",INDEX('Per Invoice'!F$2:F$401,$U23)))</f>
        <v/>
      </c>
      <c r="G23">
        <f>IF($U23="","",IF(INDEX('Per Invoice'!G$2:G$401,$U23)="","",INDEX('Per Invoice'!G$2:G$401,$U23)))</f>
        <v/>
      </c>
      <c r="H23" s="7">
        <f>IF($U23="","",IF(INDEX('Per Invoice'!H$2:H$401,$U23)="","",INDEX('Per Invoice'!H$2:H$401,$U23)))</f>
        <v/>
      </c>
      <c r="I23" s="14">
        <f>IF($U23="","",IF(INDEX('Per Invoice'!I$2:I$401,$U23)="","",INDEX('Per Invoice'!I$2:I$401,$U23)))</f>
        <v/>
      </c>
      <c r="J23">
        <f>IF($U23="","",IF(INDEX('Per Invoice'!J$2:J$401,$U23)="","",INDEX('Per Invoice'!J$2:J$401,$U23)))</f>
        <v/>
      </c>
      <c r="K23">
        <f>IF($U23="","",IF(INDEX('Per Invoice'!K$2:K$401,$U23)="","",INDEX('Per Invoice'!K$2:K$401,$U23)))</f>
        <v/>
      </c>
      <c r="L23" s="7">
        <f>IF($U23="","",IF(INDEX('Per Invoice'!L$2:L$401,$U23)="","",INDEX('Per Invoice'!L$2:L$401,$U23)))</f>
        <v/>
      </c>
      <c r="M23" s="7">
        <f>IF($U23="","",IF(INDEX('Per Invoice'!M$2:M$401,$U23)="","",INDEX('Per Invoice'!M$2:M$401,$U23)))</f>
        <v/>
      </c>
      <c r="N23">
        <f>IF($U23="","",IF(INDEX('Per Invoice'!N$2:N$401,$U23)="","",INDEX('Per Invoice'!N$2:N$401,$U23)))</f>
        <v/>
      </c>
      <c r="O23" s="7">
        <f>IF($U23="","",IF(INDEX('Per Invoice'!O$2:O$401,$U23)="","",INDEX('Per Invoice'!O$2:O$401,$U23)))</f>
        <v/>
      </c>
      <c r="P23" s="7">
        <f>IF($U23="","",IF(INDEX('Per Invoice'!P$2:P$401,$U23)="","",INDEX('Per Invoice'!P$2:P$401,$U23)))</f>
        <v/>
      </c>
      <c r="Q23" s="7">
        <f>IF($U23="","",IF(INDEX('Per Invoice'!Q$2:Q$401,$U23)="","",INDEX('Per Invoice'!Q$2:Q$401,$U23)))</f>
        <v/>
      </c>
      <c r="R23" s="7">
        <f>IF($U23="","",IF(INDEX('Per Invoice'!R$2:R$401,$U23)="","",INDEX('Per Invoice'!R$2:R$401,$U23)))</f>
        <v/>
      </c>
      <c r="S23" s="7">
        <f>IF($U23="","",IF(INDEX('Per Invoice'!S$2:S$401,$U23)="","",INDEX('Per Invoice'!S$2:S$401,$U23)))</f>
        <v/>
      </c>
      <c r="T23" s="7">
        <f>IF($U23="","",IF(INDEX('Per Invoice'!T$2:T$401,$U23)="","",INDEX('Per Invoice'!T$2:T$401,$U23)))</f>
        <v/>
      </c>
      <c r="U23" s="16">
        <f>IFERROR(MATCH(Settings!$C$30&amp;"|"&amp;ROWS($U$2:$U23),'Per Invoice'!$V$2:$V$401,0),"")</f>
        <v/>
      </c>
    </row>
    <row r="24">
      <c r="A24">
        <f>IF($U24="","",IF(INDEX('Per Invoice'!A$2:A$401,$U24)="","",INDEX('Per Invoice'!A$2:A$401,$U24)))</f>
        <v/>
      </c>
      <c r="B24">
        <f>IF($U24="","",IF(INDEX('Per Invoice'!B$2:B$401,$U24)="","",INDEX('Per Invoice'!B$2:B$401,$U24)))</f>
        <v/>
      </c>
      <c r="C24">
        <f>IF($U24="","",IF(INDEX('Per Invoice'!C$2:C$401,$U24)="","",INDEX('Per Invoice'!C$2:C$401,$U24)))</f>
        <v/>
      </c>
      <c r="D24">
        <f>IF($U24="","",IF(INDEX('Per Invoice'!D$2:D$401,$U24)="","",INDEX('Per Invoice'!D$2:D$401,$U24)))</f>
        <v/>
      </c>
      <c r="E24">
        <f>IF($U24="","",IF(INDEX('Per Invoice'!E$2:E$401,$U24)="","",INDEX('Per Invoice'!E$2:E$401,$U24)))</f>
        <v/>
      </c>
      <c r="F24">
        <f>IF($U24="","",IF(INDEX('Per Invoice'!F$2:F$401,$U24)="","",INDEX('Per Invoice'!F$2:F$401,$U24)))</f>
        <v/>
      </c>
      <c r="G24">
        <f>IF($U24="","",IF(INDEX('Per Invoice'!G$2:G$401,$U24)="","",INDEX('Per Invoice'!G$2:G$401,$U24)))</f>
        <v/>
      </c>
      <c r="H24" s="7">
        <f>IF($U24="","",IF(INDEX('Per Invoice'!H$2:H$401,$U24)="","",INDEX('Per Invoice'!H$2:H$401,$U24)))</f>
        <v/>
      </c>
      <c r="I24" s="14">
        <f>IF($U24="","",IF(INDEX('Per Invoice'!I$2:I$401,$U24)="","",INDEX('Per Invoice'!I$2:I$401,$U24)))</f>
        <v/>
      </c>
      <c r="J24">
        <f>IF($U24="","",IF(INDEX('Per Invoice'!J$2:J$401,$U24)="","",INDEX('Per Invoice'!J$2:J$401,$U24)))</f>
        <v/>
      </c>
      <c r="K24">
        <f>IF($U24="","",IF(INDEX('Per Invoice'!K$2:K$401,$U24)="","",INDEX('Per Invoice'!K$2:K$401,$U24)))</f>
        <v/>
      </c>
      <c r="L24" s="7">
        <f>IF($U24="","",IF(INDEX('Per Invoice'!L$2:L$401,$U24)="","",INDEX('Per Invoice'!L$2:L$401,$U24)))</f>
        <v/>
      </c>
      <c r="M24" s="7">
        <f>IF($U24="","",IF(INDEX('Per Invoice'!M$2:M$401,$U24)="","",INDEX('Per Invoice'!M$2:M$401,$U24)))</f>
        <v/>
      </c>
      <c r="N24">
        <f>IF($U24="","",IF(INDEX('Per Invoice'!N$2:N$401,$U24)="","",INDEX('Per Invoice'!N$2:N$401,$U24)))</f>
        <v/>
      </c>
      <c r="O24" s="7">
        <f>IF($U24="","",IF(INDEX('Per Invoice'!O$2:O$401,$U24)="","",INDEX('Per Invoice'!O$2:O$401,$U24)))</f>
        <v/>
      </c>
      <c r="P24" s="7">
        <f>IF($U24="","",IF(INDEX('Per Invoice'!P$2:P$401,$U24)="","",INDEX('Per Invoice'!P$2:P$401,$U24)))</f>
        <v/>
      </c>
      <c r="Q24" s="7">
        <f>IF($U24="","",IF(INDEX('Per Invoice'!Q$2:Q$401,$U24)="","",INDEX('Per Invoice'!Q$2:Q$401,$U24)))</f>
        <v/>
      </c>
      <c r="R24" s="7">
        <f>IF($U24="","",IF(INDEX('Per Invoice'!R$2:R$401,$U24)="","",INDEX('Per Invoice'!R$2:R$401,$U24)))</f>
        <v/>
      </c>
      <c r="S24" s="7">
        <f>IF($U24="","",IF(INDEX('Per Invoice'!S$2:S$401,$U24)="","",INDEX('Per Invoice'!S$2:S$401,$U24)))</f>
        <v/>
      </c>
      <c r="T24" s="7">
        <f>IF($U24="","",IF(INDEX('Per Invoice'!T$2:T$401,$U24)="","",INDEX('Per Invoice'!T$2:T$401,$U24)))</f>
        <v/>
      </c>
      <c r="U24" s="16">
        <f>IFERROR(MATCH(Settings!$C$30&amp;"|"&amp;ROWS($U$2:$U24),'Per Invoice'!$V$2:$V$401,0),"")</f>
        <v/>
      </c>
    </row>
    <row r="25">
      <c r="A25">
        <f>IF($U25="","",IF(INDEX('Per Invoice'!A$2:A$401,$U25)="","",INDEX('Per Invoice'!A$2:A$401,$U25)))</f>
        <v/>
      </c>
      <c r="B25">
        <f>IF($U25="","",IF(INDEX('Per Invoice'!B$2:B$401,$U25)="","",INDEX('Per Invoice'!B$2:B$401,$U25)))</f>
        <v/>
      </c>
      <c r="C25">
        <f>IF($U25="","",IF(INDEX('Per Invoice'!C$2:C$401,$U25)="","",INDEX('Per Invoice'!C$2:C$401,$U25)))</f>
        <v/>
      </c>
      <c r="D25">
        <f>IF($U25="","",IF(INDEX('Per Invoice'!D$2:D$401,$U25)="","",INDEX('Per Invoice'!D$2:D$401,$U25)))</f>
        <v/>
      </c>
      <c r="E25">
        <f>IF($U25="","",IF(INDEX('Per Invoice'!E$2:E$401,$U25)="","",INDEX('Per Invoice'!E$2:E$401,$U25)))</f>
        <v/>
      </c>
      <c r="F25">
        <f>IF($U25="","",IF(INDEX('Per Invoice'!F$2:F$401,$U25)="","",INDEX('Per Invoice'!F$2:F$401,$U25)))</f>
        <v/>
      </c>
      <c r="G25">
        <f>IF($U25="","",IF(INDEX('Per Invoice'!G$2:G$401,$U25)="","",INDEX('Per Invoice'!G$2:G$401,$U25)))</f>
        <v/>
      </c>
      <c r="H25" s="7">
        <f>IF($U25="","",IF(INDEX('Per Invoice'!H$2:H$401,$U25)="","",INDEX('Per Invoice'!H$2:H$401,$U25)))</f>
        <v/>
      </c>
      <c r="I25" s="14">
        <f>IF($U25="","",IF(INDEX('Per Invoice'!I$2:I$401,$U25)="","",INDEX('Per Invoice'!I$2:I$401,$U25)))</f>
        <v/>
      </c>
      <c r="J25">
        <f>IF($U25="","",IF(INDEX('Per Invoice'!J$2:J$401,$U25)="","",INDEX('Per Invoice'!J$2:J$401,$U25)))</f>
        <v/>
      </c>
      <c r="K25">
        <f>IF($U25="","",IF(INDEX('Per Invoice'!K$2:K$401,$U25)="","",INDEX('Per Invoice'!K$2:K$401,$U25)))</f>
        <v/>
      </c>
      <c r="L25" s="7">
        <f>IF($U25="","",IF(INDEX('Per Invoice'!L$2:L$401,$U25)="","",INDEX('Per Invoice'!L$2:L$401,$U25)))</f>
        <v/>
      </c>
      <c r="M25" s="7">
        <f>IF($U25="","",IF(INDEX('Per Invoice'!M$2:M$401,$U25)="","",INDEX('Per Invoice'!M$2:M$401,$U25)))</f>
        <v/>
      </c>
      <c r="N25">
        <f>IF($U25="","",IF(INDEX('Per Invoice'!N$2:N$401,$U25)="","",INDEX('Per Invoice'!N$2:N$401,$U25)))</f>
        <v/>
      </c>
      <c r="O25" s="7">
        <f>IF($U25="","",IF(INDEX('Per Invoice'!O$2:O$401,$U25)="","",INDEX('Per Invoice'!O$2:O$401,$U25)))</f>
        <v/>
      </c>
      <c r="P25" s="7">
        <f>IF($U25="","",IF(INDEX('Per Invoice'!P$2:P$401,$U25)="","",INDEX('Per Invoice'!P$2:P$401,$U25)))</f>
        <v/>
      </c>
      <c r="Q25" s="7">
        <f>IF($U25="","",IF(INDEX('Per Invoice'!Q$2:Q$401,$U25)="","",INDEX('Per Invoice'!Q$2:Q$401,$U25)))</f>
        <v/>
      </c>
      <c r="R25" s="7">
        <f>IF($U25="","",IF(INDEX('Per Invoice'!R$2:R$401,$U25)="","",INDEX('Per Invoice'!R$2:R$401,$U25)))</f>
        <v/>
      </c>
      <c r="S25" s="7">
        <f>IF($U25="","",IF(INDEX('Per Invoice'!S$2:S$401,$U25)="","",INDEX('Per Invoice'!S$2:S$401,$U25)))</f>
        <v/>
      </c>
      <c r="T25" s="7">
        <f>IF($U25="","",IF(INDEX('Per Invoice'!T$2:T$401,$U25)="","",INDEX('Per Invoice'!T$2:T$401,$U25)))</f>
        <v/>
      </c>
      <c r="U25" s="16">
        <f>IFERROR(MATCH(Settings!$C$30&amp;"|"&amp;ROWS($U$2:$U25),'Per Invoice'!$V$2:$V$401,0),"")</f>
        <v/>
      </c>
    </row>
    <row r="26">
      <c r="A26">
        <f>IF($U26="","",IF(INDEX('Per Invoice'!A$2:A$401,$U26)="","",INDEX('Per Invoice'!A$2:A$401,$U26)))</f>
        <v/>
      </c>
      <c r="B26">
        <f>IF($U26="","",IF(INDEX('Per Invoice'!B$2:B$401,$U26)="","",INDEX('Per Invoice'!B$2:B$401,$U26)))</f>
        <v/>
      </c>
      <c r="C26">
        <f>IF($U26="","",IF(INDEX('Per Invoice'!C$2:C$401,$U26)="","",INDEX('Per Invoice'!C$2:C$401,$U26)))</f>
        <v/>
      </c>
      <c r="D26">
        <f>IF($U26="","",IF(INDEX('Per Invoice'!D$2:D$401,$U26)="","",INDEX('Per Invoice'!D$2:D$401,$U26)))</f>
        <v/>
      </c>
      <c r="E26">
        <f>IF($U26="","",IF(INDEX('Per Invoice'!E$2:E$401,$U26)="","",INDEX('Per Invoice'!E$2:E$401,$U26)))</f>
        <v/>
      </c>
      <c r="F26">
        <f>IF($U26="","",IF(INDEX('Per Invoice'!F$2:F$401,$U26)="","",INDEX('Per Invoice'!F$2:F$401,$U26)))</f>
        <v/>
      </c>
      <c r="G26">
        <f>IF($U26="","",IF(INDEX('Per Invoice'!G$2:G$401,$U26)="","",INDEX('Per Invoice'!G$2:G$401,$U26)))</f>
        <v/>
      </c>
      <c r="H26" s="7">
        <f>IF($U26="","",IF(INDEX('Per Invoice'!H$2:H$401,$U26)="","",INDEX('Per Invoice'!H$2:H$401,$U26)))</f>
        <v/>
      </c>
      <c r="I26" s="14">
        <f>IF($U26="","",IF(INDEX('Per Invoice'!I$2:I$401,$U26)="","",INDEX('Per Invoice'!I$2:I$401,$U26)))</f>
        <v/>
      </c>
      <c r="J26">
        <f>IF($U26="","",IF(INDEX('Per Invoice'!J$2:J$401,$U26)="","",INDEX('Per Invoice'!J$2:J$401,$U26)))</f>
        <v/>
      </c>
      <c r="K26">
        <f>IF($U26="","",IF(INDEX('Per Invoice'!K$2:K$401,$U26)="","",INDEX('Per Invoice'!K$2:K$401,$U26)))</f>
        <v/>
      </c>
      <c r="L26" s="7">
        <f>IF($U26="","",IF(INDEX('Per Invoice'!L$2:L$401,$U26)="","",INDEX('Per Invoice'!L$2:L$401,$U26)))</f>
        <v/>
      </c>
      <c r="M26" s="7">
        <f>IF($U26="","",IF(INDEX('Per Invoice'!M$2:M$401,$U26)="","",INDEX('Per Invoice'!M$2:M$401,$U26)))</f>
        <v/>
      </c>
      <c r="N26">
        <f>IF($U26="","",IF(INDEX('Per Invoice'!N$2:N$401,$U26)="","",INDEX('Per Invoice'!N$2:N$401,$U26)))</f>
        <v/>
      </c>
      <c r="O26" s="7">
        <f>IF($U26="","",IF(INDEX('Per Invoice'!O$2:O$401,$U26)="","",INDEX('Per Invoice'!O$2:O$401,$U26)))</f>
        <v/>
      </c>
      <c r="P26" s="7">
        <f>IF($U26="","",IF(INDEX('Per Invoice'!P$2:P$401,$U26)="","",INDEX('Per Invoice'!P$2:P$401,$U26)))</f>
        <v/>
      </c>
      <c r="Q26" s="7">
        <f>IF($U26="","",IF(INDEX('Per Invoice'!Q$2:Q$401,$U26)="","",INDEX('Per Invoice'!Q$2:Q$401,$U26)))</f>
        <v/>
      </c>
      <c r="R26" s="7">
        <f>IF($U26="","",IF(INDEX('Per Invoice'!R$2:R$401,$U26)="","",INDEX('Per Invoice'!R$2:R$401,$U26)))</f>
        <v/>
      </c>
      <c r="S26" s="7">
        <f>IF($U26="","",IF(INDEX('Per Invoice'!S$2:S$401,$U26)="","",INDEX('Per Invoice'!S$2:S$401,$U26)))</f>
        <v/>
      </c>
      <c r="T26" s="7">
        <f>IF($U26="","",IF(INDEX('Per Invoice'!T$2:T$401,$U26)="","",INDEX('Per Invoice'!T$2:T$401,$U26)))</f>
        <v/>
      </c>
      <c r="U26" s="16">
        <f>IFERROR(MATCH(Settings!$C$30&amp;"|"&amp;ROWS($U$2:$U26),'Per Invoice'!$V$2:$V$401,0),"")</f>
        <v/>
      </c>
    </row>
    <row r="27">
      <c r="A27">
        <f>IF($U27="","",IF(INDEX('Per Invoice'!A$2:A$401,$U27)="","",INDEX('Per Invoice'!A$2:A$401,$U27)))</f>
        <v/>
      </c>
      <c r="B27">
        <f>IF($U27="","",IF(INDEX('Per Invoice'!B$2:B$401,$U27)="","",INDEX('Per Invoice'!B$2:B$401,$U27)))</f>
        <v/>
      </c>
      <c r="C27">
        <f>IF($U27="","",IF(INDEX('Per Invoice'!C$2:C$401,$U27)="","",INDEX('Per Invoice'!C$2:C$401,$U27)))</f>
        <v/>
      </c>
      <c r="D27">
        <f>IF($U27="","",IF(INDEX('Per Invoice'!D$2:D$401,$U27)="","",INDEX('Per Invoice'!D$2:D$401,$U27)))</f>
        <v/>
      </c>
      <c r="E27">
        <f>IF($U27="","",IF(INDEX('Per Invoice'!E$2:E$401,$U27)="","",INDEX('Per Invoice'!E$2:E$401,$U27)))</f>
        <v/>
      </c>
      <c r="F27">
        <f>IF($U27="","",IF(INDEX('Per Invoice'!F$2:F$401,$U27)="","",INDEX('Per Invoice'!F$2:F$401,$U27)))</f>
        <v/>
      </c>
      <c r="G27">
        <f>IF($U27="","",IF(INDEX('Per Invoice'!G$2:G$401,$U27)="","",INDEX('Per Invoice'!G$2:G$401,$U27)))</f>
        <v/>
      </c>
      <c r="H27" s="7">
        <f>IF($U27="","",IF(INDEX('Per Invoice'!H$2:H$401,$U27)="","",INDEX('Per Invoice'!H$2:H$401,$U27)))</f>
        <v/>
      </c>
      <c r="I27" s="14">
        <f>IF($U27="","",IF(INDEX('Per Invoice'!I$2:I$401,$U27)="","",INDEX('Per Invoice'!I$2:I$401,$U27)))</f>
        <v/>
      </c>
      <c r="J27">
        <f>IF($U27="","",IF(INDEX('Per Invoice'!J$2:J$401,$U27)="","",INDEX('Per Invoice'!J$2:J$401,$U27)))</f>
        <v/>
      </c>
      <c r="K27">
        <f>IF($U27="","",IF(INDEX('Per Invoice'!K$2:K$401,$U27)="","",INDEX('Per Invoice'!K$2:K$401,$U27)))</f>
        <v/>
      </c>
      <c r="L27" s="7">
        <f>IF($U27="","",IF(INDEX('Per Invoice'!L$2:L$401,$U27)="","",INDEX('Per Invoice'!L$2:L$401,$U27)))</f>
        <v/>
      </c>
      <c r="M27" s="7">
        <f>IF($U27="","",IF(INDEX('Per Invoice'!M$2:M$401,$U27)="","",INDEX('Per Invoice'!M$2:M$401,$U27)))</f>
        <v/>
      </c>
      <c r="N27">
        <f>IF($U27="","",IF(INDEX('Per Invoice'!N$2:N$401,$U27)="","",INDEX('Per Invoice'!N$2:N$401,$U27)))</f>
        <v/>
      </c>
      <c r="O27" s="7">
        <f>IF($U27="","",IF(INDEX('Per Invoice'!O$2:O$401,$U27)="","",INDEX('Per Invoice'!O$2:O$401,$U27)))</f>
        <v/>
      </c>
      <c r="P27" s="7">
        <f>IF($U27="","",IF(INDEX('Per Invoice'!P$2:P$401,$U27)="","",INDEX('Per Invoice'!P$2:P$401,$U27)))</f>
        <v/>
      </c>
      <c r="Q27" s="7">
        <f>IF($U27="","",IF(INDEX('Per Invoice'!Q$2:Q$401,$U27)="","",INDEX('Per Invoice'!Q$2:Q$401,$U27)))</f>
        <v/>
      </c>
      <c r="R27" s="7">
        <f>IF($U27="","",IF(INDEX('Per Invoice'!R$2:R$401,$U27)="","",INDEX('Per Invoice'!R$2:R$401,$U27)))</f>
        <v/>
      </c>
      <c r="S27" s="7">
        <f>IF($U27="","",IF(INDEX('Per Invoice'!S$2:S$401,$U27)="","",INDEX('Per Invoice'!S$2:S$401,$U27)))</f>
        <v/>
      </c>
      <c r="T27" s="7">
        <f>IF($U27="","",IF(INDEX('Per Invoice'!T$2:T$401,$U27)="","",INDEX('Per Invoice'!T$2:T$401,$U27)))</f>
        <v/>
      </c>
      <c r="U27" s="16">
        <f>IFERROR(MATCH(Settings!$C$30&amp;"|"&amp;ROWS($U$2:$U27),'Per Invoice'!$V$2:$V$401,0),"")</f>
        <v/>
      </c>
    </row>
    <row r="28">
      <c r="A28">
        <f>IF($U28="","",IF(INDEX('Per Invoice'!A$2:A$401,$U28)="","",INDEX('Per Invoice'!A$2:A$401,$U28)))</f>
        <v/>
      </c>
      <c r="B28">
        <f>IF($U28="","",IF(INDEX('Per Invoice'!B$2:B$401,$U28)="","",INDEX('Per Invoice'!B$2:B$401,$U28)))</f>
        <v/>
      </c>
      <c r="C28">
        <f>IF($U28="","",IF(INDEX('Per Invoice'!C$2:C$401,$U28)="","",INDEX('Per Invoice'!C$2:C$401,$U28)))</f>
        <v/>
      </c>
      <c r="D28">
        <f>IF($U28="","",IF(INDEX('Per Invoice'!D$2:D$401,$U28)="","",INDEX('Per Invoice'!D$2:D$401,$U28)))</f>
        <v/>
      </c>
      <c r="E28">
        <f>IF($U28="","",IF(INDEX('Per Invoice'!E$2:E$401,$U28)="","",INDEX('Per Invoice'!E$2:E$401,$U28)))</f>
        <v/>
      </c>
      <c r="F28">
        <f>IF($U28="","",IF(INDEX('Per Invoice'!F$2:F$401,$U28)="","",INDEX('Per Invoice'!F$2:F$401,$U28)))</f>
        <v/>
      </c>
      <c r="G28">
        <f>IF($U28="","",IF(INDEX('Per Invoice'!G$2:G$401,$U28)="","",INDEX('Per Invoice'!G$2:G$401,$U28)))</f>
        <v/>
      </c>
      <c r="H28" s="7">
        <f>IF($U28="","",IF(INDEX('Per Invoice'!H$2:H$401,$U28)="","",INDEX('Per Invoice'!H$2:H$401,$U28)))</f>
        <v/>
      </c>
      <c r="I28" s="14">
        <f>IF($U28="","",IF(INDEX('Per Invoice'!I$2:I$401,$U28)="","",INDEX('Per Invoice'!I$2:I$401,$U28)))</f>
        <v/>
      </c>
      <c r="J28">
        <f>IF($U28="","",IF(INDEX('Per Invoice'!J$2:J$401,$U28)="","",INDEX('Per Invoice'!J$2:J$401,$U28)))</f>
        <v/>
      </c>
      <c r="K28">
        <f>IF($U28="","",IF(INDEX('Per Invoice'!K$2:K$401,$U28)="","",INDEX('Per Invoice'!K$2:K$401,$U28)))</f>
        <v/>
      </c>
      <c r="L28" s="7">
        <f>IF($U28="","",IF(INDEX('Per Invoice'!L$2:L$401,$U28)="","",INDEX('Per Invoice'!L$2:L$401,$U28)))</f>
        <v/>
      </c>
      <c r="M28" s="7">
        <f>IF($U28="","",IF(INDEX('Per Invoice'!M$2:M$401,$U28)="","",INDEX('Per Invoice'!M$2:M$401,$U28)))</f>
        <v/>
      </c>
      <c r="N28">
        <f>IF($U28="","",IF(INDEX('Per Invoice'!N$2:N$401,$U28)="","",INDEX('Per Invoice'!N$2:N$401,$U28)))</f>
        <v/>
      </c>
      <c r="O28" s="7">
        <f>IF($U28="","",IF(INDEX('Per Invoice'!O$2:O$401,$U28)="","",INDEX('Per Invoice'!O$2:O$401,$U28)))</f>
        <v/>
      </c>
      <c r="P28" s="7">
        <f>IF($U28="","",IF(INDEX('Per Invoice'!P$2:P$401,$U28)="","",INDEX('Per Invoice'!P$2:P$401,$U28)))</f>
        <v/>
      </c>
      <c r="Q28" s="7">
        <f>IF($U28="","",IF(INDEX('Per Invoice'!Q$2:Q$401,$U28)="","",INDEX('Per Invoice'!Q$2:Q$401,$U28)))</f>
        <v/>
      </c>
      <c r="R28" s="7">
        <f>IF($U28="","",IF(INDEX('Per Invoice'!R$2:R$401,$U28)="","",INDEX('Per Invoice'!R$2:R$401,$U28)))</f>
        <v/>
      </c>
      <c r="S28" s="7">
        <f>IF($U28="","",IF(INDEX('Per Invoice'!S$2:S$401,$U28)="","",INDEX('Per Invoice'!S$2:S$401,$U28)))</f>
        <v/>
      </c>
      <c r="T28" s="7">
        <f>IF($U28="","",IF(INDEX('Per Invoice'!T$2:T$401,$U28)="","",INDEX('Per Invoice'!T$2:T$401,$U28)))</f>
        <v/>
      </c>
      <c r="U28" s="16">
        <f>IFERROR(MATCH(Settings!$C$30&amp;"|"&amp;ROWS($U$2:$U28),'Per Invoice'!$V$2:$V$401,0),"")</f>
        <v/>
      </c>
    </row>
    <row r="29">
      <c r="A29">
        <f>IF($U29="","",IF(INDEX('Per Invoice'!A$2:A$401,$U29)="","",INDEX('Per Invoice'!A$2:A$401,$U29)))</f>
        <v/>
      </c>
      <c r="B29">
        <f>IF($U29="","",IF(INDEX('Per Invoice'!B$2:B$401,$U29)="","",INDEX('Per Invoice'!B$2:B$401,$U29)))</f>
        <v/>
      </c>
      <c r="C29">
        <f>IF($U29="","",IF(INDEX('Per Invoice'!C$2:C$401,$U29)="","",INDEX('Per Invoice'!C$2:C$401,$U29)))</f>
        <v/>
      </c>
      <c r="D29">
        <f>IF($U29="","",IF(INDEX('Per Invoice'!D$2:D$401,$U29)="","",INDEX('Per Invoice'!D$2:D$401,$U29)))</f>
        <v/>
      </c>
      <c r="E29">
        <f>IF($U29="","",IF(INDEX('Per Invoice'!E$2:E$401,$U29)="","",INDEX('Per Invoice'!E$2:E$401,$U29)))</f>
        <v/>
      </c>
      <c r="F29">
        <f>IF($U29="","",IF(INDEX('Per Invoice'!F$2:F$401,$U29)="","",INDEX('Per Invoice'!F$2:F$401,$U29)))</f>
        <v/>
      </c>
      <c r="G29">
        <f>IF($U29="","",IF(INDEX('Per Invoice'!G$2:G$401,$U29)="","",INDEX('Per Invoice'!G$2:G$401,$U29)))</f>
        <v/>
      </c>
      <c r="H29" s="7">
        <f>IF($U29="","",IF(INDEX('Per Invoice'!H$2:H$401,$U29)="","",INDEX('Per Invoice'!H$2:H$401,$U29)))</f>
        <v/>
      </c>
      <c r="I29" s="14">
        <f>IF($U29="","",IF(INDEX('Per Invoice'!I$2:I$401,$U29)="","",INDEX('Per Invoice'!I$2:I$401,$U29)))</f>
        <v/>
      </c>
      <c r="J29">
        <f>IF($U29="","",IF(INDEX('Per Invoice'!J$2:J$401,$U29)="","",INDEX('Per Invoice'!J$2:J$401,$U29)))</f>
        <v/>
      </c>
      <c r="K29">
        <f>IF($U29="","",IF(INDEX('Per Invoice'!K$2:K$401,$U29)="","",INDEX('Per Invoice'!K$2:K$401,$U29)))</f>
        <v/>
      </c>
      <c r="L29" s="7">
        <f>IF($U29="","",IF(INDEX('Per Invoice'!L$2:L$401,$U29)="","",INDEX('Per Invoice'!L$2:L$401,$U29)))</f>
        <v/>
      </c>
      <c r="M29" s="7">
        <f>IF($U29="","",IF(INDEX('Per Invoice'!M$2:M$401,$U29)="","",INDEX('Per Invoice'!M$2:M$401,$U29)))</f>
        <v/>
      </c>
      <c r="N29">
        <f>IF($U29="","",IF(INDEX('Per Invoice'!N$2:N$401,$U29)="","",INDEX('Per Invoice'!N$2:N$401,$U29)))</f>
        <v/>
      </c>
      <c r="O29" s="7">
        <f>IF($U29="","",IF(INDEX('Per Invoice'!O$2:O$401,$U29)="","",INDEX('Per Invoice'!O$2:O$401,$U29)))</f>
        <v/>
      </c>
      <c r="P29" s="7">
        <f>IF($U29="","",IF(INDEX('Per Invoice'!P$2:P$401,$U29)="","",INDEX('Per Invoice'!P$2:P$401,$U29)))</f>
        <v/>
      </c>
      <c r="Q29" s="7">
        <f>IF($U29="","",IF(INDEX('Per Invoice'!Q$2:Q$401,$U29)="","",INDEX('Per Invoice'!Q$2:Q$401,$U29)))</f>
        <v/>
      </c>
      <c r="R29" s="7">
        <f>IF($U29="","",IF(INDEX('Per Invoice'!R$2:R$401,$U29)="","",INDEX('Per Invoice'!R$2:R$401,$U29)))</f>
        <v/>
      </c>
      <c r="S29" s="7">
        <f>IF($U29="","",IF(INDEX('Per Invoice'!S$2:S$401,$U29)="","",INDEX('Per Invoice'!S$2:S$401,$U29)))</f>
        <v/>
      </c>
      <c r="T29" s="7">
        <f>IF($U29="","",IF(INDEX('Per Invoice'!T$2:T$401,$U29)="","",INDEX('Per Invoice'!T$2:T$401,$U29)))</f>
        <v/>
      </c>
      <c r="U29" s="16">
        <f>IFERROR(MATCH(Settings!$C$30&amp;"|"&amp;ROWS($U$2:$U29),'Per Invoice'!$V$2:$V$401,0),"")</f>
        <v/>
      </c>
    </row>
    <row r="30">
      <c r="A30">
        <f>IF($U30="","",IF(INDEX('Per Invoice'!A$2:A$401,$U30)="","",INDEX('Per Invoice'!A$2:A$401,$U30)))</f>
        <v/>
      </c>
      <c r="B30">
        <f>IF($U30="","",IF(INDEX('Per Invoice'!B$2:B$401,$U30)="","",INDEX('Per Invoice'!B$2:B$401,$U30)))</f>
        <v/>
      </c>
      <c r="C30">
        <f>IF($U30="","",IF(INDEX('Per Invoice'!C$2:C$401,$U30)="","",INDEX('Per Invoice'!C$2:C$401,$U30)))</f>
        <v/>
      </c>
      <c r="D30">
        <f>IF($U30="","",IF(INDEX('Per Invoice'!D$2:D$401,$U30)="","",INDEX('Per Invoice'!D$2:D$401,$U30)))</f>
        <v/>
      </c>
      <c r="E30">
        <f>IF($U30="","",IF(INDEX('Per Invoice'!E$2:E$401,$U30)="","",INDEX('Per Invoice'!E$2:E$401,$U30)))</f>
        <v/>
      </c>
      <c r="F30">
        <f>IF($U30="","",IF(INDEX('Per Invoice'!F$2:F$401,$U30)="","",INDEX('Per Invoice'!F$2:F$401,$U30)))</f>
        <v/>
      </c>
      <c r="G30">
        <f>IF($U30="","",IF(INDEX('Per Invoice'!G$2:G$401,$U30)="","",INDEX('Per Invoice'!G$2:G$401,$U30)))</f>
        <v/>
      </c>
      <c r="H30" s="7">
        <f>IF($U30="","",IF(INDEX('Per Invoice'!H$2:H$401,$U30)="","",INDEX('Per Invoice'!H$2:H$401,$U30)))</f>
        <v/>
      </c>
      <c r="I30" s="14">
        <f>IF($U30="","",IF(INDEX('Per Invoice'!I$2:I$401,$U30)="","",INDEX('Per Invoice'!I$2:I$401,$U30)))</f>
        <v/>
      </c>
      <c r="J30">
        <f>IF($U30="","",IF(INDEX('Per Invoice'!J$2:J$401,$U30)="","",INDEX('Per Invoice'!J$2:J$401,$U30)))</f>
        <v/>
      </c>
      <c r="K30">
        <f>IF($U30="","",IF(INDEX('Per Invoice'!K$2:K$401,$U30)="","",INDEX('Per Invoice'!K$2:K$401,$U30)))</f>
        <v/>
      </c>
      <c r="L30" s="7">
        <f>IF($U30="","",IF(INDEX('Per Invoice'!L$2:L$401,$U30)="","",INDEX('Per Invoice'!L$2:L$401,$U30)))</f>
        <v/>
      </c>
      <c r="M30" s="7">
        <f>IF($U30="","",IF(INDEX('Per Invoice'!M$2:M$401,$U30)="","",INDEX('Per Invoice'!M$2:M$401,$U30)))</f>
        <v/>
      </c>
      <c r="N30">
        <f>IF($U30="","",IF(INDEX('Per Invoice'!N$2:N$401,$U30)="","",INDEX('Per Invoice'!N$2:N$401,$U30)))</f>
        <v/>
      </c>
      <c r="O30" s="7">
        <f>IF($U30="","",IF(INDEX('Per Invoice'!O$2:O$401,$U30)="","",INDEX('Per Invoice'!O$2:O$401,$U30)))</f>
        <v/>
      </c>
      <c r="P30" s="7">
        <f>IF($U30="","",IF(INDEX('Per Invoice'!P$2:P$401,$U30)="","",INDEX('Per Invoice'!P$2:P$401,$U30)))</f>
        <v/>
      </c>
      <c r="Q30" s="7">
        <f>IF($U30="","",IF(INDEX('Per Invoice'!Q$2:Q$401,$U30)="","",INDEX('Per Invoice'!Q$2:Q$401,$U30)))</f>
        <v/>
      </c>
      <c r="R30" s="7">
        <f>IF($U30="","",IF(INDEX('Per Invoice'!R$2:R$401,$U30)="","",INDEX('Per Invoice'!R$2:R$401,$U30)))</f>
        <v/>
      </c>
      <c r="S30" s="7">
        <f>IF($U30="","",IF(INDEX('Per Invoice'!S$2:S$401,$U30)="","",INDEX('Per Invoice'!S$2:S$401,$U30)))</f>
        <v/>
      </c>
      <c r="T30" s="7">
        <f>IF($U30="","",IF(INDEX('Per Invoice'!T$2:T$401,$U30)="","",INDEX('Per Invoice'!T$2:T$401,$U30)))</f>
        <v/>
      </c>
      <c r="U30" s="16">
        <f>IFERROR(MATCH(Settings!$C$30&amp;"|"&amp;ROWS($U$2:$U30),'Per Invoice'!$V$2:$V$401,0),"")</f>
        <v/>
      </c>
    </row>
    <row r="31">
      <c r="A31">
        <f>IF($U31="","",IF(INDEX('Per Invoice'!A$2:A$401,$U31)="","",INDEX('Per Invoice'!A$2:A$401,$U31)))</f>
        <v/>
      </c>
      <c r="B31">
        <f>IF($U31="","",IF(INDEX('Per Invoice'!B$2:B$401,$U31)="","",INDEX('Per Invoice'!B$2:B$401,$U31)))</f>
        <v/>
      </c>
      <c r="C31">
        <f>IF($U31="","",IF(INDEX('Per Invoice'!C$2:C$401,$U31)="","",INDEX('Per Invoice'!C$2:C$401,$U31)))</f>
        <v/>
      </c>
      <c r="D31">
        <f>IF($U31="","",IF(INDEX('Per Invoice'!D$2:D$401,$U31)="","",INDEX('Per Invoice'!D$2:D$401,$U31)))</f>
        <v/>
      </c>
      <c r="E31">
        <f>IF($U31="","",IF(INDEX('Per Invoice'!E$2:E$401,$U31)="","",INDEX('Per Invoice'!E$2:E$401,$U31)))</f>
        <v/>
      </c>
      <c r="F31">
        <f>IF($U31="","",IF(INDEX('Per Invoice'!F$2:F$401,$U31)="","",INDEX('Per Invoice'!F$2:F$401,$U31)))</f>
        <v/>
      </c>
      <c r="G31">
        <f>IF($U31="","",IF(INDEX('Per Invoice'!G$2:G$401,$U31)="","",INDEX('Per Invoice'!G$2:G$401,$U31)))</f>
        <v/>
      </c>
      <c r="H31" s="7">
        <f>IF($U31="","",IF(INDEX('Per Invoice'!H$2:H$401,$U31)="","",INDEX('Per Invoice'!H$2:H$401,$U31)))</f>
        <v/>
      </c>
      <c r="I31" s="14">
        <f>IF($U31="","",IF(INDEX('Per Invoice'!I$2:I$401,$U31)="","",INDEX('Per Invoice'!I$2:I$401,$U31)))</f>
        <v/>
      </c>
      <c r="J31">
        <f>IF($U31="","",IF(INDEX('Per Invoice'!J$2:J$401,$U31)="","",INDEX('Per Invoice'!J$2:J$401,$U31)))</f>
        <v/>
      </c>
      <c r="K31">
        <f>IF($U31="","",IF(INDEX('Per Invoice'!K$2:K$401,$U31)="","",INDEX('Per Invoice'!K$2:K$401,$U31)))</f>
        <v/>
      </c>
      <c r="L31" s="7">
        <f>IF($U31="","",IF(INDEX('Per Invoice'!L$2:L$401,$U31)="","",INDEX('Per Invoice'!L$2:L$401,$U31)))</f>
        <v/>
      </c>
      <c r="M31" s="7">
        <f>IF($U31="","",IF(INDEX('Per Invoice'!M$2:M$401,$U31)="","",INDEX('Per Invoice'!M$2:M$401,$U31)))</f>
        <v/>
      </c>
      <c r="N31">
        <f>IF($U31="","",IF(INDEX('Per Invoice'!N$2:N$401,$U31)="","",INDEX('Per Invoice'!N$2:N$401,$U31)))</f>
        <v/>
      </c>
      <c r="O31" s="7">
        <f>IF($U31="","",IF(INDEX('Per Invoice'!O$2:O$401,$U31)="","",INDEX('Per Invoice'!O$2:O$401,$U31)))</f>
        <v/>
      </c>
      <c r="P31" s="7">
        <f>IF($U31="","",IF(INDEX('Per Invoice'!P$2:P$401,$U31)="","",INDEX('Per Invoice'!P$2:P$401,$U31)))</f>
        <v/>
      </c>
      <c r="Q31" s="7">
        <f>IF($U31="","",IF(INDEX('Per Invoice'!Q$2:Q$401,$U31)="","",INDEX('Per Invoice'!Q$2:Q$401,$U31)))</f>
        <v/>
      </c>
      <c r="R31" s="7">
        <f>IF($U31="","",IF(INDEX('Per Invoice'!R$2:R$401,$U31)="","",INDEX('Per Invoice'!R$2:R$401,$U31)))</f>
        <v/>
      </c>
      <c r="S31" s="7">
        <f>IF($U31="","",IF(INDEX('Per Invoice'!S$2:S$401,$U31)="","",INDEX('Per Invoice'!S$2:S$401,$U31)))</f>
        <v/>
      </c>
      <c r="T31" s="7">
        <f>IF($U31="","",IF(INDEX('Per Invoice'!T$2:T$401,$U31)="","",INDEX('Per Invoice'!T$2:T$401,$U31)))</f>
        <v/>
      </c>
      <c r="U31" s="16">
        <f>IFERROR(MATCH(Settings!$C$30&amp;"|"&amp;ROWS($U$2:$U31),'Per Invoice'!$V$2:$V$401,0),"")</f>
        <v/>
      </c>
    </row>
    <row r="32">
      <c r="A32">
        <f>IF($U32="","",IF(INDEX('Per Invoice'!A$2:A$401,$U32)="","",INDEX('Per Invoice'!A$2:A$401,$U32)))</f>
        <v/>
      </c>
      <c r="B32">
        <f>IF($U32="","",IF(INDEX('Per Invoice'!B$2:B$401,$U32)="","",INDEX('Per Invoice'!B$2:B$401,$U32)))</f>
        <v/>
      </c>
      <c r="C32">
        <f>IF($U32="","",IF(INDEX('Per Invoice'!C$2:C$401,$U32)="","",INDEX('Per Invoice'!C$2:C$401,$U32)))</f>
        <v/>
      </c>
      <c r="D32">
        <f>IF($U32="","",IF(INDEX('Per Invoice'!D$2:D$401,$U32)="","",INDEX('Per Invoice'!D$2:D$401,$U32)))</f>
        <v/>
      </c>
      <c r="E32">
        <f>IF($U32="","",IF(INDEX('Per Invoice'!E$2:E$401,$U32)="","",INDEX('Per Invoice'!E$2:E$401,$U32)))</f>
        <v/>
      </c>
      <c r="F32">
        <f>IF($U32="","",IF(INDEX('Per Invoice'!F$2:F$401,$U32)="","",INDEX('Per Invoice'!F$2:F$401,$U32)))</f>
        <v/>
      </c>
      <c r="G32">
        <f>IF($U32="","",IF(INDEX('Per Invoice'!G$2:G$401,$U32)="","",INDEX('Per Invoice'!G$2:G$401,$U32)))</f>
        <v/>
      </c>
      <c r="H32" s="7">
        <f>IF($U32="","",IF(INDEX('Per Invoice'!H$2:H$401,$U32)="","",INDEX('Per Invoice'!H$2:H$401,$U32)))</f>
        <v/>
      </c>
      <c r="I32" s="14">
        <f>IF($U32="","",IF(INDEX('Per Invoice'!I$2:I$401,$U32)="","",INDEX('Per Invoice'!I$2:I$401,$U32)))</f>
        <v/>
      </c>
      <c r="J32">
        <f>IF($U32="","",IF(INDEX('Per Invoice'!J$2:J$401,$U32)="","",INDEX('Per Invoice'!J$2:J$401,$U32)))</f>
        <v/>
      </c>
      <c r="K32">
        <f>IF($U32="","",IF(INDEX('Per Invoice'!K$2:K$401,$U32)="","",INDEX('Per Invoice'!K$2:K$401,$U32)))</f>
        <v/>
      </c>
      <c r="L32" s="7">
        <f>IF($U32="","",IF(INDEX('Per Invoice'!L$2:L$401,$U32)="","",INDEX('Per Invoice'!L$2:L$401,$U32)))</f>
        <v/>
      </c>
      <c r="M32" s="7">
        <f>IF($U32="","",IF(INDEX('Per Invoice'!M$2:M$401,$U32)="","",INDEX('Per Invoice'!M$2:M$401,$U32)))</f>
        <v/>
      </c>
      <c r="N32">
        <f>IF($U32="","",IF(INDEX('Per Invoice'!N$2:N$401,$U32)="","",INDEX('Per Invoice'!N$2:N$401,$U32)))</f>
        <v/>
      </c>
      <c r="O32" s="7">
        <f>IF($U32="","",IF(INDEX('Per Invoice'!O$2:O$401,$U32)="","",INDEX('Per Invoice'!O$2:O$401,$U32)))</f>
        <v/>
      </c>
      <c r="P32" s="7">
        <f>IF($U32="","",IF(INDEX('Per Invoice'!P$2:P$401,$U32)="","",INDEX('Per Invoice'!P$2:P$401,$U32)))</f>
        <v/>
      </c>
      <c r="Q32" s="7">
        <f>IF($U32="","",IF(INDEX('Per Invoice'!Q$2:Q$401,$U32)="","",INDEX('Per Invoice'!Q$2:Q$401,$U32)))</f>
        <v/>
      </c>
      <c r="R32" s="7">
        <f>IF($U32="","",IF(INDEX('Per Invoice'!R$2:R$401,$U32)="","",INDEX('Per Invoice'!R$2:R$401,$U32)))</f>
        <v/>
      </c>
      <c r="S32" s="7">
        <f>IF($U32="","",IF(INDEX('Per Invoice'!S$2:S$401,$U32)="","",INDEX('Per Invoice'!S$2:S$401,$U32)))</f>
        <v/>
      </c>
      <c r="T32" s="7">
        <f>IF($U32="","",IF(INDEX('Per Invoice'!T$2:T$401,$U32)="","",INDEX('Per Invoice'!T$2:T$401,$U32)))</f>
        <v/>
      </c>
      <c r="U32" s="16">
        <f>IFERROR(MATCH(Settings!$C$30&amp;"|"&amp;ROWS($U$2:$U32),'Per Invoice'!$V$2:$V$401,0),"")</f>
        <v/>
      </c>
    </row>
    <row r="33">
      <c r="A33">
        <f>IF($U33="","",IF(INDEX('Per Invoice'!A$2:A$401,$U33)="","",INDEX('Per Invoice'!A$2:A$401,$U33)))</f>
        <v/>
      </c>
      <c r="B33">
        <f>IF($U33="","",IF(INDEX('Per Invoice'!B$2:B$401,$U33)="","",INDEX('Per Invoice'!B$2:B$401,$U33)))</f>
        <v/>
      </c>
      <c r="C33">
        <f>IF($U33="","",IF(INDEX('Per Invoice'!C$2:C$401,$U33)="","",INDEX('Per Invoice'!C$2:C$401,$U33)))</f>
        <v/>
      </c>
      <c r="D33">
        <f>IF($U33="","",IF(INDEX('Per Invoice'!D$2:D$401,$U33)="","",INDEX('Per Invoice'!D$2:D$401,$U33)))</f>
        <v/>
      </c>
      <c r="E33">
        <f>IF($U33="","",IF(INDEX('Per Invoice'!E$2:E$401,$U33)="","",INDEX('Per Invoice'!E$2:E$401,$U33)))</f>
        <v/>
      </c>
      <c r="F33">
        <f>IF($U33="","",IF(INDEX('Per Invoice'!F$2:F$401,$U33)="","",INDEX('Per Invoice'!F$2:F$401,$U33)))</f>
        <v/>
      </c>
      <c r="G33">
        <f>IF($U33="","",IF(INDEX('Per Invoice'!G$2:G$401,$U33)="","",INDEX('Per Invoice'!G$2:G$401,$U33)))</f>
        <v/>
      </c>
      <c r="H33" s="7">
        <f>IF($U33="","",IF(INDEX('Per Invoice'!H$2:H$401,$U33)="","",INDEX('Per Invoice'!H$2:H$401,$U33)))</f>
        <v/>
      </c>
      <c r="I33" s="14">
        <f>IF($U33="","",IF(INDEX('Per Invoice'!I$2:I$401,$U33)="","",INDEX('Per Invoice'!I$2:I$401,$U33)))</f>
        <v/>
      </c>
      <c r="J33">
        <f>IF($U33="","",IF(INDEX('Per Invoice'!J$2:J$401,$U33)="","",INDEX('Per Invoice'!J$2:J$401,$U33)))</f>
        <v/>
      </c>
      <c r="K33">
        <f>IF($U33="","",IF(INDEX('Per Invoice'!K$2:K$401,$U33)="","",INDEX('Per Invoice'!K$2:K$401,$U33)))</f>
        <v/>
      </c>
      <c r="L33" s="7">
        <f>IF($U33="","",IF(INDEX('Per Invoice'!L$2:L$401,$U33)="","",INDEX('Per Invoice'!L$2:L$401,$U33)))</f>
        <v/>
      </c>
      <c r="M33" s="7">
        <f>IF($U33="","",IF(INDEX('Per Invoice'!M$2:M$401,$U33)="","",INDEX('Per Invoice'!M$2:M$401,$U33)))</f>
        <v/>
      </c>
      <c r="N33">
        <f>IF($U33="","",IF(INDEX('Per Invoice'!N$2:N$401,$U33)="","",INDEX('Per Invoice'!N$2:N$401,$U33)))</f>
        <v/>
      </c>
      <c r="O33" s="7">
        <f>IF($U33="","",IF(INDEX('Per Invoice'!O$2:O$401,$U33)="","",INDEX('Per Invoice'!O$2:O$401,$U33)))</f>
        <v/>
      </c>
      <c r="P33" s="7">
        <f>IF($U33="","",IF(INDEX('Per Invoice'!P$2:P$401,$U33)="","",INDEX('Per Invoice'!P$2:P$401,$U33)))</f>
        <v/>
      </c>
      <c r="Q33" s="7">
        <f>IF($U33="","",IF(INDEX('Per Invoice'!Q$2:Q$401,$U33)="","",INDEX('Per Invoice'!Q$2:Q$401,$U33)))</f>
        <v/>
      </c>
      <c r="R33" s="7">
        <f>IF($U33="","",IF(INDEX('Per Invoice'!R$2:R$401,$U33)="","",INDEX('Per Invoice'!R$2:R$401,$U33)))</f>
        <v/>
      </c>
      <c r="S33" s="7">
        <f>IF($U33="","",IF(INDEX('Per Invoice'!S$2:S$401,$U33)="","",INDEX('Per Invoice'!S$2:S$401,$U33)))</f>
        <v/>
      </c>
      <c r="T33" s="7">
        <f>IF($U33="","",IF(INDEX('Per Invoice'!T$2:T$401,$U33)="","",INDEX('Per Invoice'!T$2:T$401,$U33)))</f>
        <v/>
      </c>
      <c r="U33" s="16">
        <f>IFERROR(MATCH(Settings!$C$30&amp;"|"&amp;ROWS($U$2:$U33),'Per Invoice'!$V$2:$V$401,0),"")</f>
        <v/>
      </c>
    </row>
    <row r="34">
      <c r="A34">
        <f>IF($U34="","",IF(INDEX('Per Invoice'!A$2:A$401,$U34)="","",INDEX('Per Invoice'!A$2:A$401,$U34)))</f>
        <v/>
      </c>
      <c r="B34">
        <f>IF($U34="","",IF(INDEX('Per Invoice'!B$2:B$401,$U34)="","",INDEX('Per Invoice'!B$2:B$401,$U34)))</f>
        <v/>
      </c>
      <c r="C34">
        <f>IF($U34="","",IF(INDEX('Per Invoice'!C$2:C$401,$U34)="","",INDEX('Per Invoice'!C$2:C$401,$U34)))</f>
        <v/>
      </c>
      <c r="D34">
        <f>IF($U34="","",IF(INDEX('Per Invoice'!D$2:D$401,$U34)="","",INDEX('Per Invoice'!D$2:D$401,$U34)))</f>
        <v/>
      </c>
      <c r="E34">
        <f>IF($U34="","",IF(INDEX('Per Invoice'!E$2:E$401,$U34)="","",INDEX('Per Invoice'!E$2:E$401,$U34)))</f>
        <v/>
      </c>
      <c r="F34">
        <f>IF($U34="","",IF(INDEX('Per Invoice'!F$2:F$401,$U34)="","",INDEX('Per Invoice'!F$2:F$401,$U34)))</f>
        <v/>
      </c>
      <c r="G34">
        <f>IF($U34="","",IF(INDEX('Per Invoice'!G$2:G$401,$U34)="","",INDEX('Per Invoice'!G$2:G$401,$U34)))</f>
        <v/>
      </c>
      <c r="H34" s="7">
        <f>IF($U34="","",IF(INDEX('Per Invoice'!H$2:H$401,$U34)="","",INDEX('Per Invoice'!H$2:H$401,$U34)))</f>
        <v/>
      </c>
      <c r="I34" s="14">
        <f>IF($U34="","",IF(INDEX('Per Invoice'!I$2:I$401,$U34)="","",INDEX('Per Invoice'!I$2:I$401,$U34)))</f>
        <v/>
      </c>
      <c r="J34">
        <f>IF($U34="","",IF(INDEX('Per Invoice'!J$2:J$401,$U34)="","",INDEX('Per Invoice'!J$2:J$401,$U34)))</f>
        <v/>
      </c>
      <c r="K34">
        <f>IF($U34="","",IF(INDEX('Per Invoice'!K$2:K$401,$U34)="","",INDEX('Per Invoice'!K$2:K$401,$U34)))</f>
        <v/>
      </c>
      <c r="L34" s="7">
        <f>IF($U34="","",IF(INDEX('Per Invoice'!L$2:L$401,$U34)="","",INDEX('Per Invoice'!L$2:L$401,$U34)))</f>
        <v/>
      </c>
      <c r="M34" s="7">
        <f>IF($U34="","",IF(INDEX('Per Invoice'!M$2:M$401,$U34)="","",INDEX('Per Invoice'!M$2:M$401,$U34)))</f>
        <v/>
      </c>
      <c r="N34">
        <f>IF($U34="","",IF(INDEX('Per Invoice'!N$2:N$401,$U34)="","",INDEX('Per Invoice'!N$2:N$401,$U34)))</f>
        <v/>
      </c>
      <c r="O34" s="7">
        <f>IF($U34="","",IF(INDEX('Per Invoice'!O$2:O$401,$U34)="","",INDEX('Per Invoice'!O$2:O$401,$U34)))</f>
        <v/>
      </c>
      <c r="P34" s="7">
        <f>IF($U34="","",IF(INDEX('Per Invoice'!P$2:P$401,$U34)="","",INDEX('Per Invoice'!P$2:P$401,$U34)))</f>
        <v/>
      </c>
      <c r="Q34" s="7">
        <f>IF($U34="","",IF(INDEX('Per Invoice'!Q$2:Q$401,$U34)="","",INDEX('Per Invoice'!Q$2:Q$401,$U34)))</f>
        <v/>
      </c>
      <c r="R34" s="7">
        <f>IF($U34="","",IF(INDEX('Per Invoice'!R$2:R$401,$U34)="","",INDEX('Per Invoice'!R$2:R$401,$U34)))</f>
        <v/>
      </c>
      <c r="S34" s="7">
        <f>IF($U34="","",IF(INDEX('Per Invoice'!S$2:S$401,$U34)="","",INDEX('Per Invoice'!S$2:S$401,$U34)))</f>
        <v/>
      </c>
      <c r="T34" s="7">
        <f>IF($U34="","",IF(INDEX('Per Invoice'!T$2:T$401,$U34)="","",INDEX('Per Invoice'!T$2:T$401,$U34)))</f>
        <v/>
      </c>
      <c r="U34" s="16">
        <f>IFERROR(MATCH(Settings!$C$30&amp;"|"&amp;ROWS($U$2:$U34),'Per Invoice'!$V$2:$V$401,0),"")</f>
        <v/>
      </c>
    </row>
    <row r="35">
      <c r="A35">
        <f>IF($U35="","",IF(INDEX('Per Invoice'!A$2:A$401,$U35)="","",INDEX('Per Invoice'!A$2:A$401,$U35)))</f>
        <v/>
      </c>
      <c r="B35">
        <f>IF($U35="","",IF(INDEX('Per Invoice'!B$2:B$401,$U35)="","",INDEX('Per Invoice'!B$2:B$401,$U35)))</f>
        <v/>
      </c>
      <c r="C35">
        <f>IF($U35="","",IF(INDEX('Per Invoice'!C$2:C$401,$U35)="","",INDEX('Per Invoice'!C$2:C$401,$U35)))</f>
        <v/>
      </c>
      <c r="D35">
        <f>IF($U35="","",IF(INDEX('Per Invoice'!D$2:D$401,$U35)="","",INDEX('Per Invoice'!D$2:D$401,$U35)))</f>
        <v/>
      </c>
      <c r="E35">
        <f>IF($U35="","",IF(INDEX('Per Invoice'!E$2:E$401,$U35)="","",INDEX('Per Invoice'!E$2:E$401,$U35)))</f>
        <v/>
      </c>
      <c r="F35">
        <f>IF($U35="","",IF(INDEX('Per Invoice'!F$2:F$401,$U35)="","",INDEX('Per Invoice'!F$2:F$401,$U35)))</f>
        <v/>
      </c>
      <c r="G35">
        <f>IF($U35="","",IF(INDEX('Per Invoice'!G$2:G$401,$U35)="","",INDEX('Per Invoice'!G$2:G$401,$U35)))</f>
        <v/>
      </c>
      <c r="H35" s="7">
        <f>IF($U35="","",IF(INDEX('Per Invoice'!H$2:H$401,$U35)="","",INDEX('Per Invoice'!H$2:H$401,$U35)))</f>
        <v/>
      </c>
      <c r="I35" s="14">
        <f>IF($U35="","",IF(INDEX('Per Invoice'!I$2:I$401,$U35)="","",INDEX('Per Invoice'!I$2:I$401,$U35)))</f>
        <v/>
      </c>
      <c r="J35">
        <f>IF($U35="","",IF(INDEX('Per Invoice'!J$2:J$401,$U35)="","",INDEX('Per Invoice'!J$2:J$401,$U35)))</f>
        <v/>
      </c>
      <c r="K35">
        <f>IF($U35="","",IF(INDEX('Per Invoice'!K$2:K$401,$U35)="","",INDEX('Per Invoice'!K$2:K$401,$U35)))</f>
        <v/>
      </c>
      <c r="L35" s="7">
        <f>IF($U35="","",IF(INDEX('Per Invoice'!L$2:L$401,$U35)="","",INDEX('Per Invoice'!L$2:L$401,$U35)))</f>
        <v/>
      </c>
      <c r="M35" s="7">
        <f>IF($U35="","",IF(INDEX('Per Invoice'!M$2:M$401,$U35)="","",INDEX('Per Invoice'!M$2:M$401,$U35)))</f>
        <v/>
      </c>
      <c r="N35">
        <f>IF($U35="","",IF(INDEX('Per Invoice'!N$2:N$401,$U35)="","",INDEX('Per Invoice'!N$2:N$401,$U35)))</f>
        <v/>
      </c>
      <c r="O35" s="7">
        <f>IF($U35="","",IF(INDEX('Per Invoice'!O$2:O$401,$U35)="","",INDEX('Per Invoice'!O$2:O$401,$U35)))</f>
        <v/>
      </c>
      <c r="P35" s="7">
        <f>IF($U35="","",IF(INDEX('Per Invoice'!P$2:P$401,$U35)="","",INDEX('Per Invoice'!P$2:P$401,$U35)))</f>
        <v/>
      </c>
      <c r="Q35" s="7">
        <f>IF($U35="","",IF(INDEX('Per Invoice'!Q$2:Q$401,$U35)="","",INDEX('Per Invoice'!Q$2:Q$401,$U35)))</f>
        <v/>
      </c>
      <c r="R35" s="7">
        <f>IF($U35="","",IF(INDEX('Per Invoice'!R$2:R$401,$U35)="","",INDEX('Per Invoice'!R$2:R$401,$U35)))</f>
        <v/>
      </c>
      <c r="S35" s="7">
        <f>IF($U35="","",IF(INDEX('Per Invoice'!S$2:S$401,$U35)="","",INDEX('Per Invoice'!S$2:S$401,$U35)))</f>
        <v/>
      </c>
      <c r="T35" s="7">
        <f>IF($U35="","",IF(INDEX('Per Invoice'!T$2:T$401,$U35)="","",INDEX('Per Invoice'!T$2:T$401,$U35)))</f>
        <v/>
      </c>
      <c r="U35" s="16">
        <f>IFERROR(MATCH(Settings!$C$30&amp;"|"&amp;ROWS($U$2:$U35),'Per Invoice'!$V$2:$V$401,0),"")</f>
        <v/>
      </c>
    </row>
    <row r="36">
      <c r="A36">
        <f>IF($U36="","",IF(INDEX('Per Invoice'!A$2:A$401,$U36)="","",INDEX('Per Invoice'!A$2:A$401,$U36)))</f>
        <v/>
      </c>
      <c r="B36">
        <f>IF($U36="","",IF(INDEX('Per Invoice'!B$2:B$401,$U36)="","",INDEX('Per Invoice'!B$2:B$401,$U36)))</f>
        <v/>
      </c>
      <c r="C36">
        <f>IF($U36="","",IF(INDEX('Per Invoice'!C$2:C$401,$U36)="","",INDEX('Per Invoice'!C$2:C$401,$U36)))</f>
        <v/>
      </c>
      <c r="D36">
        <f>IF($U36="","",IF(INDEX('Per Invoice'!D$2:D$401,$U36)="","",INDEX('Per Invoice'!D$2:D$401,$U36)))</f>
        <v/>
      </c>
      <c r="E36">
        <f>IF($U36="","",IF(INDEX('Per Invoice'!E$2:E$401,$U36)="","",INDEX('Per Invoice'!E$2:E$401,$U36)))</f>
        <v/>
      </c>
      <c r="F36">
        <f>IF($U36="","",IF(INDEX('Per Invoice'!F$2:F$401,$U36)="","",INDEX('Per Invoice'!F$2:F$401,$U36)))</f>
        <v/>
      </c>
      <c r="G36">
        <f>IF($U36="","",IF(INDEX('Per Invoice'!G$2:G$401,$U36)="","",INDEX('Per Invoice'!G$2:G$401,$U36)))</f>
        <v/>
      </c>
      <c r="H36" s="7">
        <f>IF($U36="","",IF(INDEX('Per Invoice'!H$2:H$401,$U36)="","",INDEX('Per Invoice'!H$2:H$401,$U36)))</f>
        <v/>
      </c>
      <c r="I36" s="14">
        <f>IF($U36="","",IF(INDEX('Per Invoice'!I$2:I$401,$U36)="","",INDEX('Per Invoice'!I$2:I$401,$U36)))</f>
        <v/>
      </c>
      <c r="J36">
        <f>IF($U36="","",IF(INDEX('Per Invoice'!J$2:J$401,$U36)="","",INDEX('Per Invoice'!J$2:J$401,$U36)))</f>
        <v/>
      </c>
      <c r="K36">
        <f>IF($U36="","",IF(INDEX('Per Invoice'!K$2:K$401,$U36)="","",INDEX('Per Invoice'!K$2:K$401,$U36)))</f>
        <v/>
      </c>
      <c r="L36" s="7">
        <f>IF($U36="","",IF(INDEX('Per Invoice'!L$2:L$401,$U36)="","",INDEX('Per Invoice'!L$2:L$401,$U36)))</f>
        <v/>
      </c>
      <c r="M36" s="7">
        <f>IF($U36="","",IF(INDEX('Per Invoice'!M$2:M$401,$U36)="","",INDEX('Per Invoice'!M$2:M$401,$U36)))</f>
        <v/>
      </c>
      <c r="N36">
        <f>IF($U36="","",IF(INDEX('Per Invoice'!N$2:N$401,$U36)="","",INDEX('Per Invoice'!N$2:N$401,$U36)))</f>
        <v/>
      </c>
      <c r="O36" s="7">
        <f>IF($U36="","",IF(INDEX('Per Invoice'!O$2:O$401,$U36)="","",INDEX('Per Invoice'!O$2:O$401,$U36)))</f>
        <v/>
      </c>
      <c r="P36" s="7">
        <f>IF($U36="","",IF(INDEX('Per Invoice'!P$2:P$401,$U36)="","",INDEX('Per Invoice'!P$2:P$401,$U36)))</f>
        <v/>
      </c>
      <c r="Q36" s="7">
        <f>IF($U36="","",IF(INDEX('Per Invoice'!Q$2:Q$401,$U36)="","",INDEX('Per Invoice'!Q$2:Q$401,$U36)))</f>
        <v/>
      </c>
      <c r="R36" s="7">
        <f>IF($U36="","",IF(INDEX('Per Invoice'!R$2:R$401,$U36)="","",INDEX('Per Invoice'!R$2:R$401,$U36)))</f>
        <v/>
      </c>
      <c r="S36" s="7">
        <f>IF($U36="","",IF(INDEX('Per Invoice'!S$2:S$401,$U36)="","",INDEX('Per Invoice'!S$2:S$401,$U36)))</f>
        <v/>
      </c>
      <c r="T36" s="7">
        <f>IF($U36="","",IF(INDEX('Per Invoice'!T$2:T$401,$U36)="","",INDEX('Per Invoice'!T$2:T$401,$U36)))</f>
        <v/>
      </c>
      <c r="U36" s="16">
        <f>IFERROR(MATCH(Settings!$C$30&amp;"|"&amp;ROWS($U$2:$U36),'Per Invoice'!$V$2:$V$401,0),"")</f>
        <v/>
      </c>
    </row>
    <row r="37">
      <c r="A37">
        <f>IF($U37="","",IF(INDEX('Per Invoice'!A$2:A$401,$U37)="","",INDEX('Per Invoice'!A$2:A$401,$U37)))</f>
        <v/>
      </c>
      <c r="B37">
        <f>IF($U37="","",IF(INDEX('Per Invoice'!B$2:B$401,$U37)="","",INDEX('Per Invoice'!B$2:B$401,$U37)))</f>
        <v/>
      </c>
      <c r="C37">
        <f>IF($U37="","",IF(INDEX('Per Invoice'!C$2:C$401,$U37)="","",INDEX('Per Invoice'!C$2:C$401,$U37)))</f>
        <v/>
      </c>
      <c r="D37">
        <f>IF($U37="","",IF(INDEX('Per Invoice'!D$2:D$401,$U37)="","",INDEX('Per Invoice'!D$2:D$401,$U37)))</f>
        <v/>
      </c>
      <c r="E37">
        <f>IF($U37="","",IF(INDEX('Per Invoice'!E$2:E$401,$U37)="","",INDEX('Per Invoice'!E$2:E$401,$U37)))</f>
        <v/>
      </c>
      <c r="F37">
        <f>IF($U37="","",IF(INDEX('Per Invoice'!F$2:F$401,$U37)="","",INDEX('Per Invoice'!F$2:F$401,$U37)))</f>
        <v/>
      </c>
      <c r="G37">
        <f>IF($U37="","",IF(INDEX('Per Invoice'!G$2:G$401,$U37)="","",INDEX('Per Invoice'!G$2:G$401,$U37)))</f>
        <v/>
      </c>
      <c r="H37" s="7">
        <f>IF($U37="","",IF(INDEX('Per Invoice'!H$2:H$401,$U37)="","",INDEX('Per Invoice'!H$2:H$401,$U37)))</f>
        <v/>
      </c>
      <c r="I37" s="14">
        <f>IF($U37="","",IF(INDEX('Per Invoice'!I$2:I$401,$U37)="","",INDEX('Per Invoice'!I$2:I$401,$U37)))</f>
        <v/>
      </c>
      <c r="J37">
        <f>IF($U37="","",IF(INDEX('Per Invoice'!J$2:J$401,$U37)="","",INDEX('Per Invoice'!J$2:J$401,$U37)))</f>
        <v/>
      </c>
      <c r="K37">
        <f>IF($U37="","",IF(INDEX('Per Invoice'!K$2:K$401,$U37)="","",INDEX('Per Invoice'!K$2:K$401,$U37)))</f>
        <v/>
      </c>
      <c r="L37" s="7">
        <f>IF($U37="","",IF(INDEX('Per Invoice'!L$2:L$401,$U37)="","",INDEX('Per Invoice'!L$2:L$401,$U37)))</f>
        <v/>
      </c>
      <c r="M37" s="7">
        <f>IF($U37="","",IF(INDEX('Per Invoice'!M$2:M$401,$U37)="","",INDEX('Per Invoice'!M$2:M$401,$U37)))</f>
        <v/>
      </c>
      <c r="N37">
        <f>IF($U37="","",IF(INDEX('Per Invoice'!N$2:N$401,$U37)="","",INDEX('Per Invoice'!N$2:N$401,$U37)))</f>
        <v/>
      </c>
      <c r="O37" s="7">
        <f>IF($U37="","",IF(INDEX('Per Invoice'!O$2:O$401,$U37)="","",INDEX('Per Invoice'!O$2:O$401,$U37)))</f>
        <v/>
      </c>
      <c r="P37" s="7">
        <f>IF($U37="","",IF(INDEX('Per Invoice'!P$2:P$401,$U37)="","",INDEX('Per Invoice'!P$2:P$401,$U37)))</f>
        <v/>
      </c>
      <c r="Q37" s="7">
        <f>IF($U37="","",IF(INDEX('Per Invoice'!Q$2:Q$401,$U37)="","",INDEX('Per Invoice'!Q$2:Q$401,$U37)))</f>
        <v/>
      </c>
      <c r="R37" s="7">
        <f>IF($U37="","",IF(INDEX('Per Invoice'!R$2:R$401,$U37)="","",INDEX('Per Invoice'!R$2:R$401,$U37)))</f>
        <v/>
      </c>
      <c r="S37" s="7">
        <f>IF($U37="","",IF(INDEX('Per Invoice'!S$2:S$401,$U37)="","",INDEX('Per Invoice'!S$2:S$401,$U37)))</f>
        <v/>
      </c>
      <c r="T37" s="7">
        <f>IF($U37="","",IF(INDEX('Per Invoice'!T$2:T$401,$U37)="","",INDEX('Per Invoice'!T$2:T$401,$U37)))</f>
        <v/>
      </c>
      <c r="U37" s="16">
        <f>IFERROR(MATCH(Settings!$C$30&amp;"|"&amp;ROWS($U$2:$U37),'Per Invoice'!$V$2:$V$401,0),"")</f>
        <v/>
      </c>
    </row>
    <row r="38">
      <c r="A38">
        <f>IF($U38="","",IF(INDEX('Per Invoice'!A$2:A$401,$U38)="","",INDEX('Per Invoice'!A$2:A$401,$U38)))</f>
        <v/>
      </c>
      <c r="B38">
        <f>IF($U38="","",IF(INDEX('Per Invoice'!B$2:B$401,$U38)="","",INDEX('Per Invoice'!B$2:B$401,$U38)))</f>
        <v/>
      </c>
      <c r="C38">
        <f>IF($U38="","",IF(INDEX('Per Invoice'!C$2:C$401,$U38)="","",INDEX('Per Invoice'!C$2:C$401,$U38)))</f>
        <v/>
      </c>
      <c r="D38">
        <f>IF($U38="","",IF(INDEX('Per Invoice'!D$2:D$401,$U38)="","",INDEX('Per Invoice'!D$2:D$401,$U38)))</f>
        <v/>
      </c>
      <c r="E38">
        <f>IF($U38="","",IF(INDEX('Per Invoice'!E$2:E$401,$U38)="","",INDEX('Per Invoice'!E$2:E$401,$U38)))</f>
        <v/>
      </c>
      <c r="F38">
        <f>IF($U38="","",IF(INDEX('Per Invoice'!F$2:F$401,$U38)="","",INDEX('Per Invoice'!F$2:F$401,$U38)))</f>
        <v/>
      </c>
      <c r="G38">
        <f>IF($U38="","",IF(INDEX('Per Invoice'!G$2:G$401,$U38)="","",INDEX('Per Invoice'!G$2:G$401,$U38)))</f>
        <v/>
      </c>
      <c r="H38" s="7">
        <f>IF($U38="","",IF(INDEX('Per Invoice'!H$2:H$401,$U38)="","",INDEX('Per Invoice'!H$2:H$401,$U38)))</f>
        <v/>
      </c>
      <c r="I38" s="14">
        <f>IF($U38="","",IF(INDEX('Per Invoice'!I$2:I$401,$U38)="","",INDEX('Per Invoice'!I$2:I$401,$U38)))</f>
        <v/>
      </c>
      <c r="J38">
        <f>IF($U38="","",IF(INDEX('Per Invoice'!J$2:J$401,$U38)="","",INDEX('Per Invoice'!J$2:J$401,$U38)))</f>
        <v/>
      </c>
      <c r="K38">
        <f>IF($U38="","",IF(INDEX('Per Invoice'!K$2:K$401,$U38)="","",INDEX('Per Invoice'!K$2:K$401,$U38)))</f>
        <v/>
      </c>
      <c r="L38" s="7">
        <f>IF($U38="","",IF(INDEX('Per Invoice'!L$2:L$401,$U38)="","",INDEX('Per Invoice'!L$2:L$401,$U38)))</f>
        <v/>
      </c>
      <c r="M38" s="7">
        <f>IF($U38="","",IF(INDEX('Per Invoice'!M$2:M$401,$U38)="","",INDEX('Per Invoice'!M$2:M$401,$U38)))</f>
        <v/>
      </c>
      <c r="N38">
        <f>IF($U38="","",IF(INDEX('Per Invoice'!N$2:N$401,$U38)="","",INDEX('Per Invoice'!N$2:N$401,$U38)))</f>
        <v/>
      </c>
      <c r="O38" s="7">
        <f>IF($U38="","",IF(INDEX('Per Invoice'!O$2:O$401,$U38)="","",INDEX('Per Invoice'!O$2:O$401,$U38)))</f>
        <v/>
      </c>
      <c r="P38" s="7">
        <f>IF($U38="","",IF(INDEX('Per Invoice'!P$2:P$401,$U38)="","",INDEX('Per Invoice'!P$2:P$401,$U38)))</f>
        <v/>
      </c>
      <c r="Q38" s="7">
        <f>IF($U38="","",IF(INDEX('Per Invoice'!Q$2:Q$401,$U38)="","",INDEX('Per Invoice'!Q$2:Q$401,$U38)))</f>
        <v/>
      </c>
      <c r="R38" s="7">
        <f>IF($U38="","",IF(INDEX('Per Invoice'!R$2:R$401,$U38)="","",INDEX('Per Invoice'!R$2:R$401,$U38)))</f>
        <v/>
      </c>
      <c r="S38" s="7">
        <f>IF($U38="","",IF(INDEX('Per Invoice'!S$2:S$401,$U38)="","",INDEX('Per Invoice'!S$2:S$401,$U38)))</f>
        <v/>
      </c>
      <c r="T38" s="7">
        <f>IF($U38="","",IF(INDEX('Per Invoice'!T$2:T$401,$U38)="","",INDEX('Per Invoice'!T$2:T$401,$U38)))</f>
        <v/>
      </c>
      <c r="U38" s="16">
        <f>IFERROR(MATCH(Settings!$C$30&amp;"|"&amp;ROWS($U$2:$U38),'Per Invoice'!$V$2:$V$401,0),"")</f>
        <v/>
      </c>
    </row>
    <row r="39">
      <c r="A39">
        <f>IF($U39="","",IF(INDEX('Per Invoice'!A$2:A$401,$U39)="","",INDEX('Per Invoice'!A$2:A$401,$U39)))</f>
        <v/>
      </c>
      <c r="B39">
        <f>IF($U39="","",IF(INDEX('Per Invoice'!B$2:B$401,$U39)="","",INDEX('Per Invoice'!B$2:B$401,$U39)))</f>
        <v/>
      </c>
      <c r="C39">
        <f>IF($U39="","",IF(INDEX('Per Invoice'!C$2:C$401,$U39)="","",INDEX('Per Invoice'!C$2:C$401,$U39)))</f>
        <v/>
      </c>
      <c r="D39">
        <f>IF($U39="","",IF(INDEX('Per Invoice'!D$2:D$401,$U39)="","",INDEX('Per Invoice'!D$2:D$401,$U39)))</f>
        <v/>
      </c>
      <c r="E39">
        <f>IF($U39="","",IF(INDEX('Per Invoice'!E$2:E$401,$U39)="","",INDEX('Per Invoice'!E$2:E$401,$U39)))</f>
        <v/>
      </c>
      <c r="F39">
        <f>IF($U39="","",IF(INDEX('Per Invoice'!F$2:F$401,$U39)="","",INDEX('Per Invoice'!F$2:F$401,$U39)))</f>
        <v/>
      </c>
      <c r="G39">
        <f>IF($U39="","",IF(INDEX('Per Invoice'!G$2:G$401,$U39)="","",INDEX('Per Invoice'!G$2:G$401,$U39)))</f>
        <v/>
      </c>
      <c r="H39" s="7">
        <f>IF($U39="","",IF(INDEX('Per Invoice'!H$2:H$401,$U39)="","",INDEX('Per Invoice'!H$2:H$401,$U39)))</f>
        <v/>
      </c>
      <c r="I39" s="14">
        <f>IF($U39="","",IF(INDEX('Per Invoice'!I$2:I$401,$U39)="","",INDEX('Per Invoice'!I$2:I$401,$U39)))</f>
        <v/>
      </c>
      <c r="J39">
        <f>IF($U39="","",IF(INDEX('Per Invoice'!J$2:J$401,$U39)="","",INDEX('Per Invoice'!J$2:J$401,$U39)))</f>
        <v/>
      </c>
      <c r="K39">
        <f>IF($U39="","",IF(INDEX('Per Invoice'!K$2:K$401,$U39)="","",INDEX('Per Invoice'!K$2:K$401,$U39)))</f>
        <v/>
      </c>
      <c r="L39" s="7">
        <f>IF($U39="","",IF(INDEX('Per Invoice'!L$2:L$401,$U39)="","",INDEX('Per Invoice'!L$2:L$401,$U39)))</f>
        <v/>
      </c>
      <c r="M39" s="7">
        <f>IF($U39="","",IF(INDEX('Per Invoice'!M$2:M$401,$U39)="","",INDEX('Per Invoice'!M$2:M$401,$U39)))</f>
        <v/>
      </c>
      <c r="N39">
        <f>IF($U39="","",IF(INDEX('Per Invoice'!N$2:N$401,$U39)="","",INDEX('Per Invoice'!N$2:N$401,$U39)))</f>
        <v/>
      </c>
      <c r="O39" s="7">
        <f>IF($U39="","",IF(INDEX('Per Invoice'!O$2:O$401,$U39)="","",INDEX('Per Invoice'!O$2:O$401,$U39)))</f>
        <v/>
      </c>
      <c r="P39" s="7">
        <f>IF($U39="","",IF(INDEX('Per Invoice'!P$2:P$401,$U39)="","",INDEX('Per Invoice'!P$2:P$401,$U39)))</f>
        <v/>
      </c>
      <c r="Q39" s="7">
        <f>IF($U39="","",IF(INDEX('Per Invoice'!Q$2:Q$401,$U39)="","",INDEX('Per Invoice'!Q$2:Q$401,$U39)))</f>
        <v/>
      </c>
      <c r="R39" s="7">
        <f>IF($U39="","",IF(INDEX('Per Invoice'!R$2:R$401,$U39)="","",INDEX('Per Invoice'!R$2:R$401,$U39)))</f>
        <v/>
      </c>
      <c r="S39" s="7">
        <f>IF($U39="","",IF(INDEX('Per Invoice'!S$2:S$401,$U39)="","",INDEX('Per Invoice'!S$2:S$401,$U39)))</f>
        <v/>
      </c>
      <c r="T39" s="7">
        <f>IF($U39="","",IF(INDEX('Per Invoice'!T$2:T$401,$U39)="","",INDEX('Per Invoice'!T$2:T$401,$U39)))</f>
        <v/>
      </c>
      <c r="U39" s="16">
        <f>IFERROR(MATCH(Settings!$C$30&amp;"|"&amp;ROWS($U$2:$U39),'Per Invoice'!$V$2:$V$401,0),"")</f>
        <v/>
      </c>
    </row>
    <row r="40">
      <c r="A40">
        <f>IF($U40="","",IF(INDEX('Per Invoice'!A$2:A$401,$U40)="","",INDEX('Per Invoice'!A$2:A$401,$U40)))</f>
        <v/>
      </c>
      <c r="B40">
        <f>IF($U40="","",IF(INDEX('Per Invoice'!B$2:B$401,$U40)="","",INDEX('Per Invoice'!B$2:B$401,$U40)))</f>
        <v/>
      </c>
      <c r="C40">
        <f>IF($U40="","",IF(INDEX('Per Invoice'!C$2:C$401,$U40)="","",INDEX('Per Invoice'!C$2:C$401,$U40)))</f>
        <v/>
      </c>
      <c r="D40">
        <f>IF($U40="","",IF(INDEX('Per Invoice'!D$2:D$401,$U40)="","",INDEX('Per Invoice'!D$2:D$401,$U40)))</f>
        <v/>
      </c>
      <c r="E40">
        <f>IF($U40="","",IF(INDEX('Per Invoice'!E$2:E$401,$U40)="","",INDEX('Per Invoice'!E$2:E$401,$U40)))</f>
        <v/>
      </c>
      <c r="F40">
        <f>IF($U40="","",IF(INDEX('Per Invoice'!F$2:F$401,$U40)="","",INDEX('Per Invoice'!F$2:F$401,$U40)))</f>
        <v/>
      </c>
      <c r="G40">
        <f>IF($U40="","",IF(INDEX('Per Invoice'!G$2:G$401,$U40)="","",INDEX('Per Invoice'!G$2:G$401,$U40)))</f>
        <v/>
      </c>
      <c r="H40" s="7">
        <f>IF($U40="","",IF(INDEX('Per Invoice'!H$2:H$401,$U40)="","",INDEX('Per Invoice'!H$2:H$401,$U40)))</f>
        <v/>
      </c>
      <c r="I40" s="14">
        <f>IF($U40="","",IF(INDEX('Per Invoice'!I$2:I$401,$U40)="","",INDEX('Per Invoice'!I$2:I$401,$U40)))</f>
        <v/>
      </c>
      <c r="J40">
        <f>IF($U40="","",IF(INDEX('Per Invoice'!J$2:J$401,$U40)="","",INDEX('Per Invoice'!J$2:J$401,$U40)))</f>
        <v/>
      </c>
      <c r="K40">
        <f>IF($U40="","",IF(INDEX('Per Invoice'!K$2:K$401,$U40)="","",INDEX('Per Invoice'!K$2:K$401,$U40)))</f>
        <v/>
      </c>
      <c r="L40" s="7">
        <f>IF($U40="","",IF(INDEX('Per Invoice'!L$2:L$401,$U40)="","",INDEX('Per Invoice'!L$2:L$401,$U40)))</f>
        <v/>
      </c>
      <c r="M40" s="7">
        <f>IF($U40="","",IF(INDEX('Per Invoice'!M$2:M$401,$U40)="","",INDEX('Per Invoice'!M$2:M$401,$U40)))</f>
        <v/>
      </c>
      <c r="N40">
        <f>IF($U40="","",IF(INDEX('Per Invoice'!N$2:N$401,$U40)="","",INDEX('Per Invoice'!N$2:N$401,$U40)))</f>
        <v/>
      </c>
      <c r="O40" s="7">
        <f>IF($U40="","",IF(INDEX('Per Invoice'!O$2:O$401,$U40)="","",INDEX('Per Invoice'!O$2:O$401,$U40)))</f>
        <v/>
      </c>
      <c r="P40" s="7">
        <f>IF($U40="","",IF(INDEX('Per Invoice'!P$2:P$401,$U40)="","",INDEX('Per Invoice'!P$2:P$401,$U40)))</f>
        <v/>
      </c>
      <c r="Q40" s="7">
        <f>IF($U40="","",IF(INDEX('Per Invoice'!Q$2:Q$401,$U40)="","",INDEX('Per Invoice'!Q$2:Q$401,$U40)))</f>
        <v/>
      </c>
      <c r="R40" s="7">
        <f>IF($U40="","",IF(INDEX('Per Invoice'!R$2:R$401,$U40)="","",INDEX('Per Invoice'!R$2:R$401,$U40)))</f>
        <v/>
      </c>
      <c r="S40" s="7">
        <f>IF($U40="","",IF(INDEX('Per Invoice'!S$2:S$401,$U40)="","",INDEX('Per Invoice'!S$2:S$401,$U40)))</f>
        <v/>
      </c>
      <c r="T40" s="7">
        <f>IF($U40="","",IF(INDEX('Per Invoice'!T$2:T$401,$U40)="","",INDEX('Per Invoice'!T$2:T$401,$U40)))</f>
        <v/>
      </c>
      <c r="U40" s="16">
        <f>IFERROR(MATCH(Settings!$C$30&amp;"|"&amp;ROWS($U$2:$U40),'Per Invoice'!$V$2:$V$401,0),"")</f>
        <v/>
      </c>
    </row>
    <row r="41">
      <c r="A41">
        <f>IF($U41="","",IF(INDEX('Per Invoice'!A$2:A$401,$U41)="","",INDEX('Per Invoice'!A$2:A$401,$U41)))</f>
        <v/>
      </c>
      <c r="B41">
        <f>IF($U41="","",IF(INDEX('Per Invoice'!B$2:B$401,$U41)="","",INDEX('Per Invoice'!B$2:B$401,$U41)))</f>
        <v/>
      </c>
      <c r="C41">
        <f>IF($U41="","",IF(INDEX('Per Invoice'!C$2:C$401,$U41)="","",INDEX('Per Invoice'!C$2:C$401,$U41)))</f>
        <v/>
      </c>
      <c r="D41">
        <f>IF($U41="","",IF(INDEX('Per Invoice'!D$2:D$401,$U41)="","",INDEX('Per Invoice'!D$2:D$401,$U41)))</f>
        <v/>
      </c>
      <c r="E41">
        <f>IF($U41="","",IF(INDEX('Per Invoice'!E$2:E$401,$U41)="","",INDEX('Per Invoice'!E$2:E$401,$U41)))</f>
        <v/>
      </c>
      <c r="F41">
        <f>IF($U41="","",IF(INDEX('Per Invoice'!F$2:F$401,$U41)="","",INDEX('Per Invoice'!F$2:F$401,$U41)))</f>
        <v/>
      </c>
      <c r="G41">
        <f>IF($U41="","",IF(INDEX('Per Invoice'!G$2:G$401,$U41)="","",INDEX('Per Invoice'!G$2:G$401,$U41)))</f>
        <v/>
      </c>
      <c r="H41" s="7">
        <f>IF($U41="","",IF(INDEX('Per Invoice'!H$2:H$401,$U41)="","",INDEX('Per Invoice'!H$2:H$401,$U41)))</f>
        <v/>
      </c>
      <c r="I41" s="14">
        <f>IF($U41="","",IF(INDEX('Per Invoice'!I$2:I$401,$U41)="","",INDEX('Per Invoice'!I$2:I$401,$U41)))</f>
        <v/>
      </c>
      <c r="J41">
        <f>IF($U41="","",IF(INDEX('Per Invoice'!J$2:J$401,$U41)="","",INDEX('Per Invoice'!J$2:J$401,$U41)))</f>
        <v/>
      </c>
      <c r="K41">
        <f>IF($U41="","",IF(INDEX('Per Invoice'!K$2:K$401,$U41)="","",INDEX('Per Invoice'!K$2:K$401,$U41)))</f>
        <v/>
      </c>
      <c r="L41" s="7">
        <f>IF($U41="","",IF(INDEX('Per Invoice'!L$2:L$401,$U41)="","",INDEX('Per Invoice'!L$2:L$401,$U41)))</f>
        <v/>
      </c>
      <c r="M41" s="7">
        <f>IF($U41="","",IF(INDEX('Per Invoice'!M$2:M$401,$U41)="","",INDEX('Per Invoice'!M$2:M$401,$U41)))</f>
        <v/>
      </c>
      <c r="N41">
        <f>IF($U41="","",IF(INDEX('Per Invoice'!N$2:N$401,$U41)="","",INDEX('Per Invoice'!N$2:N$401,$U41)))</f>
        <v/>
      </c>
      <c r="O41" s="7">
        <f>IF($U41="","",IF(INDEX('Per Invoice'!O$2:O$401,$U41)="","",INDEX('Per Invoice'!O$2:O$401,$U41)))</f>
        <v/>
      </c>
      <c r="P41" s="7">
        <f>IF($U41="","",IF(INDEX('Per Invoice'!P$2:P$401,$U41)="","",INDEX('Per Invoice'!P$2:P$401,$U41)))</f>
        <v/>
      </c>
      <c r="Q41" s="7">
        <f>IF($U41="","",IF(INDEX('Per Invoice'!Q$2:Q$401,$U41)="","",INDEX('Per Invoice'!Q$2:Q$401,$U41)))</f>
        <v/>
      </c>
      <c r="R41" s="7">
        <f>IF($U41="","",IF(INDEX('Per Invoice'!R$2:R$401,$U41)="","",INDEX('Per Invoice'!R$2:R$401,$U41)))</f>
        <v/>
      </c>
      <c r="S41" s="7">
        <f>IF($U41="","",IF(INDEX('Per Invoice'!S$2:S$401,$U41)="","",INDEX('Per Invoice'!S$2:S$401,$U41)))</f>
        <v/>
      </c>
      <c r="T41" s="7">
        <f>IF($U41="","",IF(INDEX('Per Invoice'!T$2:T$401,$U41)="","",INDEX('Per Invoice'!T$2:T$401,$U41)))</f>
        <v/>
      </c>
      <c r="U41" s="16">
        <f>IFERROR(MATCH(Settings!$C$30&amp;"|"&amp;ROWS($U$2:$U41),'Per Invoice'!$V$2:$V$401,0),"")</f>
        <v/>
      </c>
    </row>
    <row r="42">
      <c r="A42">
        <f>IF($U42="","",IF(INDEX('Per Invoice'!A$2:A$401,$U42)="","",INDEX('Per Invoice'!A$2:A$401,$U42)))</f>
        <v/>
      </c>
      <c r="B42">
        <f>IF($U42="","",IF(INDEX('Per Invoice'!B$2:B$401,$U42)="","",INDEX('Per Invoice'!B$2:B$401,$U42)))</f>
        <v/>
      </c>
      <c r="C42">
        <f>IF($U42="","",IF(INDEX('Per Invoice'!C$2:C$401,$U42)="","",INDEX('Per Invoice'!C$2:C$401,$U42)))</f>
        <v/>
      </c>
      <c r="D42">
        <f>IF($U42="","",IF(INDEX('Per Invoice'!D$2:D$401,$U42)="","",INDEX('Per Invoice'!D$2:D$401,$U42)))</f>
        <v/>
      </c>
      <c r="E42">
        <f>IF($U42="","",IF(INDEX('Per Invoice'!E$2:E$401,$U42)="","",INDEX('Per Invoice'!E$2:E$401,$U42)))</f>
        <v/>
      </c>
      <c r="F42">
        <f>IF($U42="","",IF(INDEX('Per Invoice'!F$2:F$401,$U42)="","",INDEX('Per Invoice'!F$2:F$401,$U42)))</f>
        <v/>
      </c>
      <c r="G42">
        <f>IF($U42="","",IF(INDEX('Per Invoice'!G$2:G$401,$U42)="","",INDEX('Per Invoice'!G$2:G$401,$U42)))</f>
        <v/>
      </c>
      <c r="H42" s="7">
        <f>IF($U42="","",IF(INDEX('Per Invoice'!H$2:H$401,$U42)="","",INDEX('Per Invoice'!H$2:H$401,$U42)))</f>
        <v/>
      </c>
      <c r="I42" s="14">
        <f>IF($U42="","",IF(INDEX('Per Invoice'!I$2:I$401,$U42)="","",INDEX('Per Invoice'!I$2:I$401,$U42)))</f>
        <v/>
      </c>
      <c r="J42">
        <f>IF($U42="","",IF(INDEX('Per Invoice'!J$2:J$401,$U42)="","",INDEX('Per Invoice'!J$2:J$401,$U42)))</f>
        <v/>
      </c>
      <c r="K42">
        <f>IF($U42="","",IF(INDEX('Per Invoice'!K$2:K$401,$U42)="","",INDEX('Per Invoice'!K$2:K$401,$U42)))</f>
        <v/>
      </c>
      <c r="L42" s="7">
        <f>IF($U42="","",IF(INDEX('Per Invoice'!L$2:L$401,$U42)="","",INDEX('Per Invoice'!L$2:L$401,$U42)))</f>
        <v/>
      </c>
      <c r="M42" s="7">
        <f>IF($U42="","",IF(INDEX('Per Invoice'!M$2:M$401,$U42)="","",INDEX('Per Invoice'!M$2:M$401,$U42)))</f>
        <v/>
      </c>
      <c r="N42">
        <f>IF($U42="","",IF(INDEX('Per Invoice'!N$2:N$401,$U42)="","",INDEX('Per Invoice'!N$2:N$401,$U42)))</f>
        <v/>
      </c>
      <c r="O42" s="7">
        <f>IF($U42="","",IF(INDEX('Per Invoice'!O$2:O$401,$U42)="","",INDEX('Per Invoice'!O$2:O$401,$U42)))</f>
        <v/>
      </c>
      <c r="P42" s="7">
        <f>IF($U42="","",IF(INDEX('Per Invoice'!P$2:P$401,$U42)="","",INDEX('Per Invoice'!P$2:P$401,$U42)))</f>
        <v/>
      </c>
      <c r="Q42" s="7">
        <f>IF($U42="","",IF(INDEX('Per Invoice'!Q$2:Q$401,$U42)="","",INDEX('Per Invoice'!Q$2:Q$401,$U42)))</f>
        <v/>
      </c>
      <c r="R42" s="7">
        <f>IF($U42="","",IF(INDEX('Per Invoice'!R$2:R$401,$U42)="","",INDEX('Per Invoice'!R$2:R$401,$U42)))</f>
        <v/>
      </c>
      <c r="S42" s="7">
        <f>IF($U42="","",IF(INDEX('Per Invoice'!S$2:S$401,$U42)="","",INDEX('Per Invoice'!S$2:S$401,$U42)))</f>
        <v/>
      </c>
      <c r="T42" s="7">
        <f>IF($U42="","",IF(INDEX('Per Invoice'!T$2:T$401,$U42)="","",INDEX('Per Invoice'!T$2:T$401,$U42)))</f>
        <v/>
      </c>
      <c r="U42" s="16">
        <f>IFERROR(MATCH(Settings!$C$30&amp;"|"&amp;ROWS($U$2:$U42),'Per Invoice'!$V$2:$V$401,0),"")</f>
        <v/>
      </c>
    </row>
    <row r="43">
      <c r="A43">
        <f>IF($U43="","",IF(INDEX('Per Invoice'!A$2:A$401,$U43)="","",INDEX('Per Invoice'!A$2:A$401,$U43)))</f>
        <v/>
      </c>
      <c r="B43">
        <f>IF($U43="","",IF(INDEX('Per Invoice'!B$2:B$401,$U43)="","",INDEX('Per Invoice'!B$2:B$401,$U43)))</f>
        <v/>
      </c>
      <c r="C43">
        <f>IF($U43="","",IF(INDEX('Per Invoice'!C$2:C$401,$U43)="","",INDEX('Per Invoice'!C$2:C$401,$U43)))</f>
        <v/>
      </c>
      <c r="D43">
        <f>IF($U43="","",IF(INDEX('Per Invoice'!D$2:D$401,$U43)="","",INDEX('Per Invoice'!D$2:D$401,$U43)))</f>
        <v/>
      </c>
      <c r="E43">
        <f>IF($U43="","",IF(INDEX('Per Invoice'!E$2:E$401,$U43)="","",INDEX('Per Invoice'!E$2:E$401,$U43)))</f>
        <v/>
      </c>
      <c r="F43">
        <f>IF($U43="","",IF(INDEX('Per Invoice'!F$2:F$401,$U43)="","",INDEX('Per Invoice'!F$2:F$401,$U43)))</f>
        <v/>
      </c>
      <c r="G43">
        <f>IF($U43="","",IF(INDEX('Per Invoice'!G$2:G$401,$U43)="","",INDEX('Per Invoice'!G$2:G$401,$U43)))</f>
        <v/>
      </c>
      <c r="H43" s="7">
        <f>IF($U43="","",IF(INDEX('Per Invoice'!H$2:H$401,$U43)="","",INDEX('Per Invoice'!H$2:H$401,$U43)))</f>
        <v/>
      </c>
      <c r="I43" s="14">
        <f>IF($U43="","",IF(INDEX('Per Invoice'!I$2:I$401,$U43)="","",INDEX('Per Invoice'!I$2:I$401,$U43)))</f>
        <v/>
      </c>
      <c r="J43">
        <f>IF($U43="","",IF(INDEX('Per Invoice'!J$2:J$401,$U43)="","",INDEX('Per Invoice'!J$2:J$401,$U43)))</f>
        <v/>
      </c>
      <c r="K43">
        <f>IF($U43="","",IF(INDEX('Per Invoice'!K$2:K$401,$U43)="","",INDEX('Per Invoice'!K$2:K$401,$U43)))</f>
        <v/>
      </c>
      <c r="L43" s="7">
        <f>IF($U43="","",IF(INDEX('Per Invoice'!L$2:L$401,$U43)="","",INDEX('Per Invoice'!L$2:L$401,$U43)))</f>
        <v/>
      </c>
      <c r="M43" s="7">
        <f>IF($U43="","",IF(INDEX('Per Invoice'!M$2:M$401,$U43)="","",INDEX('Per Invoice'!M$2:M$401,$U43)))</f>
        <v/>
      </c>
      <c r="N43">
        <f>IF($U43="","",IF(INDEX('Per Invoice'!N$2:N$401,$U43)="","",INDEX('Per Invoice'!N$2:N$401,$U43)))</f>
        <v/>
      </c>
      <c r="O43" s="7">
        <f>IF($U43="","",IF(INDEX('Per Invoice'!O$2:O$401,$U43)="","",INDEX('Per Invoice'!O$2:O$401,$U43)))</f>
        <v/>
      </c>
      <c r="P43" s="7">
        <f>IF($U43="","",IF(INDEX('Per Invoice'!P$2:P$401,$U43)="","",INDEX('Per Invoice'!P$2:P$401,$U43)))</f>
        <v/>
      </c>
      <c r="Q43" s="7">
        <f>IF($U43="","",IF(INDEX('Per Invoice'!Q$2:Q$401,$U43)="","",INDEX('Per Invoice'!Q$2:Q$401,$U43)))</f>
        <v/>
      </c>
      <c r="R43" s="7">
        <f>IF($U43="","",IF(INDEX('Per Invoice'!R$2:R$401,$U43)="","",INDEX('Per Invoice'!R$2:R$401,$U43)))</f>
        <v/>
      </c>
      <c r="S43" s="7">
        <f>IF($U43="","",IF(INDEX('Per Invoice'!S$2:S$401,$U43)="","",INDEX('Per Invoice'!S$2:S$401,$U43)))</f>
        <v/>
      </c>
      <c r="T43" s="7">
        <f>IF($U43="","",IF(INDEX('Per Invoice'!T$2:T$401,$U43)="","",INDEX('Per Invoice'!T$2:T$401,$U43)))</f>
        <v/>
      </c>
      <c r="U43" s="16">
        <f>IFERROR(MATCH(Settings!$C$30&amp;"|"&amp;ROWS($U$2:$U43),'Per Invoice'!$V$2:$V$401,0),"")</f>
        <v/>
      </c>
    </row>
    <row r="44">
      <c r="A44">
        <f>IF($U44="","",IF(INDEX('Per Invoice'!A$2:A$401,$U44)="","",INDEX('Per Invoice'!A$2:A$401,$U44)))</f>
        <v/>
      </c>
      <c r="B44">
        <f>IF($U44="","",IF(INDEX('Per Invoice'!B$2:B$401,$U44)="","",INDEX('Per Invoice'!B$2:B$401,$U44)))</f>
        <v/>
      </c>
      <c r="C44">
        <f>IF($U44="","",IF(INDEX('Per Invoice'!C$2:C$401,$U44)="","",INDEX('Per Invoice'!C$2:C$401,$U44)))</f>
        <v/>
      </c>
      <c r="D44">
        <f>IF($U44="","",IF(INDEX('Per Invoice'!D$2:D$401,$U44)="","",INDEX('Per Invoice'!D$2:D$401,$U44)))</f>
        <v/>
      </c>
      <c r="E44">
        <f>IF($U44="","",IF(INDEX('Per Invoice'!E$2:E$401,$U44)="","",INDEX('Per Invoice'!E$2:E$401,$U44)))</f>
        <v/>
      </c>
      <c r="F44">
        <f>IF($U44="","",IF(INDEX('Per Invoice'!F$2:F$401,$U44)="","",INDEX('Per Invoice'!F$2:F$401,$U44)))</f>
        <v/>
      </c>
      <c r="G44">
        <f>IF($U44="","",IF(INDEX('Per Invoice'!G$2:G$401,$U44)="","",INDEX('Per Invoice'!G$2:G$401,$U44)))</f>
        <v/>
      </c>
      <c r="H44" s="7">
        <f>IF($U44="","",IF(INDEX('Per Invoice'!H$2:H$401,$U44)="","",INDEX('Per Invoice'!H$2:H$401,$U44)))</f>
        <v/>
      </c>
      <c r="I44" s="14">
        <f>IF($U44="","",IF(INDEX('Per Invoice'!I$2:I$401,$U44)="","",INDEX('Per Invoice'!I$2:I$401,$U44)))</f>
        <v/>
      </c>
      <c r="J44">
        <f>IF($U44="","",IF(INDEX('Per Invoice'!J$2:J$401,$U44)="","",INDEX('Per Invoice'!J$2:J$401,$U44)))</f>
        <v/>
      </c>
      <c r="K44">
        <f>IF($U44="","",IF(INDEX('Per Invoice'!K$2:K$401,$U44)="","",INDEX('Per Invoice'!K$2:K$401,$U44)))</f>
        <v/>
      </c>
      <c r="L44" s="7">
        <f>IF($U44="","",IF(INDEX('Per Invoice'!L$2:L$401,$U44)="","",INDEX('Per Invoice'!L$2:L$401,$U44)))</f>
        <v/>
      </c>
      <c r="M44" s="7">
        <f>IF($U44="","",IF(INDEX('Per Invoice'!M$2:M$401,$U44)="","",INDEX('Per Invoice'!M$2:M$401,$U44)))</f>
        <v/>
      </c>
      <c r="N44">
        <f>IF($U44="","",IF(INDEX('Per Invoice'!N$2:N$401,$U44)="","",INDEX('Per Invoice'!N$2:N$401,$U44)))</f>
        <v/>
      </c>
      <c r="O44" s="7">
        <f>IF($U44="","",IF(INDEX('Per Invoice'!O$2:O$401,$U44)="","",INDEX('Per Invoice'!O$2:O$401,$U44)))</f>
        <v/>
      </c>
      <c r="P44" s="7">
        <f>IF($U44="","",IF(INDEX('Per Invoice'!P$2:P$401,$U44)="","",INDEX('Per Invoice'!P$2:P$401,$U44)))</f>
        <v/>
      </c>
      <c r="Q44" s="7">
        <f>IF($U44="","",IF(INDEX('Per Invoice'!Q$2:Q$401,$U44)="","",INDEX('Per Invoice'!Q$2:Q$401,$U44)))</f>
        <v/>
      </c>
      <c r="R44" s="7">
        <f>IF($U44="","",IF(INDEX('Per Invoice'!R$2:R$401,$U44)="","",INDEX('Per Invoice'!R$2:R$401,$U44)))</f>
        <v/>
      </c>
      <c r="S44" s="7">
        <f>IF($U44="","",IF(INDEX('Per Invoice'!S$2:S$401,$U44)="","",INDEX('Per Invoice'!S$2:S$401,$U44)))</f>
        <v/>
      </c>
      <c r="T44" s="7">
        <f>IF($U44="","",IF(INDEX('Per Invoice'!T$2:T$401,$U44)="","",INDEX('Per Invoice'!T$2:T$401,$U44)))</f>
        <v/>
      </c>
      <c r="U44" s="16">
        <f>IFERROR(MATCH(Settings!$C$30&amp;"|"&amp;ROWS($U$2:$U44),'Per Invoice'!$V$2:$V$401,0),"")</f>
        <v/>
      </c>
    </row>
    <row r="45">
      <c r="A45">
        <f>IF($U45="","",IF(INDEX('Per Invoice'!A$2:A$401,$U45)="","",INDEX('Per Invoice'!A$2:A$401,$U45)))</f>
        <v/>
      </c>
      <c r="B45">
        <f>IF($U45="","",IF(INDEX('Per Invoice'!B$2:B$401,$U45)="","",INDEX('Per Invoice'!B$2:B$401,$U45)))</f>
        <v/>
      </c>
      <c r="C45">
        <f>IF($U45="","",IF(INDEX('Per Invoice'!C$2:C$401,$U45)="","",INDEX('Per Invoice'!C$2:C$401,$U45)))</f>
        <v/>
      </c>
      <c r="D45">
        <f>IF($U45="","",IF(INDEX('Per Invoice'!D$2:D$401,$U45)="","",INDEX('Per Invoice'!D$2:D$401,$U45)))</f>
        <v/>
      </c>
      <c r="E45">
        <f>IF($U45="","",IF(INDEX('Per Invoice'!E$2:E$401,$U45)="","",INDEX('Per Invoice'!E$2:E$401,$U45)))</f>
        <v/>
      </c>
      <c r="F45">
        <f>IF($U45="","",IF(INDEX('Per Invoice'!F$2:F$401,$U45)="","",INDEX('Per Invoice'!F$2:F$401,$U45)))</f>
        <v/>
      </c>
      <c r="G45">
        <f>IF($U45="","",IF(INDEX('Per Invoice'!G$2:G$401,$U45)="","",INDEX('Per Invoice'!G$2:G$401,$U45)))</f>
        <v/>
      </c>
      <c r="H45" s="7">
        <f>IF($U45="","",IF(INDEX('Per Invoice'!H$2:H$401,$U45)="","",INDEX('Per Invoice'!H$2:H$401,$U45)))</f>
        <v/>
      </c>
      <c r="I45" s="14">
        <f>IF($U45="","",IF(INDEX('Per Invoice'!I$2:I$401,$U45)="","",INDEX('Per Invoice'!I$2:I$401,$U45)))</f>
        <v/>
      </c>
      <c r="J45">
        <f>IF($U45="","",IF(INDEX('Per Invoice'!J$2:J$401,$U45)="","",INDEX('Per Invoice'!J$2:J$401,$U45)))</f>
        <v/>
      </c>
      <c r="K45">
        <f>IF($U45="","",IF(INDEX('Per Invoice'!K$2:K$401,$U45)="","",INDEX('Per Invoice'!K$2:K$401,$U45)))</f>
        <v/>
      </c>
      <c r="L45" s="7">
        <f>IF($U45="","",IF(INDEX('Per Invoice'!L$2:L$401,$U45)="","",INDEX('Per Invoice'!L$2:L$401,$U45)))</f>
        <v/>
      </c>
      <c r="M45" s="7">
        <f>IF($U45="","",IF(INDEX('Per Invoice'!M$2:M$401,$U45)="","",INDEX('Per Invoice'!M$2:M$401,$U45)))</f>
        <v/>
      </c>
      <c r="N45">
        <f>IF($U45="","",IF(INDEX('Per Invoice'!N$2:N$401,$U45)="","",INDEX('Per Invoice'!N$2:N$401,$U45)))</f>
        <v/>
      </c>
      <c r="O45" s="7">
        <f>IF($U45="","",IF(INDEX('Per Invoice'!O$2:O$401,$U45)="","",INDEX('Per Invoice'!O$2:O$401,$U45)))</f>
        <v/>
      </c>
      <c r="P45" s="7">
        <f>IF($U45="","",IF(INDEX('Per Invoice'!P$2:P$401,$U45)="","",INDEX('Per Invoice'!P$2:P$401,$U45)))</f>
        <v/>
      </c>
      <c r="Q45" s="7">
        <f>IF($U45="","",IF(INDEX('Per Invoice'!Q$2:Q$401,$U45)="","",INDEX('Per Invoice'!Q$2:Q$401,$U45)))</f>
        <v/>
      </c>
      <c r="R45" s="7">
        <f>IF($U45="","",IF(INDEX('Per Invoice'!R$2:R$401,$U45)="","",INDEX('Per Invoice'!R$2:R$401,$U45)))</f>
        <v/>
      </c>
      <c r="S45" s="7">
        <f>IF($U45="","",IF(INDEX('Per Invoice'!S$2:S$401,$U45)="","",INDEX('Per Invoice'!S$2:S$401,$U45)))</f>
        <v/>
      </c>
      <c r="T45" s="7">
        <f>IF($U45="","",IF(INDEX('Per Invoice'!T$2:T$401,$U45)="","",INDEX('Per Invoice'!T$2:T$401,$U45)))</f>
        <v/>
      </c>
      <c r="U45" s="16">
        <f>IFERROR(MATCH(Settings!$C$30&amp;"|"&amp;ROWS($U$2:$U45),'Per Invoice'!$V$2:$V$401,0),"")</f>
        <v/>
      </c>
    </row>
    <row r="46">
      <c r="A46">
        <f>IF($U46="","",IF(INDEX('Per Invoice'!A$2:A$401,$U46)="","",INDEX('Per Invoice'!A$2:A$401,$U46)))</f>
        <v/>
      </c>
      <c r="B46">
        <f>IF($U46="","",IF(INDEX('Per Invoice'!B$2:B$401,$U46)="","",INDEX('Per Invoice'!B$2:B$401,$U46)))</f>
        <v/>
      </c>
      <c r="C46">
        <f>IF($U46="","",IF(INDEX('Per Invoice'!C$2:C$401,$U46)="","",INDEX('Per Invoice'!C$2:C$401,$U46)))</f>
        <v/>
      </c>
      <c r="D46">
        <f>IF($U46="","",IF(INDEX('Per Invoice'!D$2:D$401,$U46)="","",INDEX('Per Invoice'!D$2:D$401,$U46)))</f>
        <v/>
      </c>
      <c r="E46">
        <f>IF($U46="","",IF(INDEX('Per Invoice'!E$2:E$401,$U46)="","",INDEX('Per Invoice'!E$2:E$401,$U46)))</f>
        <v/>
      </c>
      <c r="F46">
        <f>IF($U46="","",IF(INDEX('Per Invoice'!F$2:F$401,$U46)="","",INDEX('Per Invoice'!F$2:F$401,$U46)))</f>
        <v/>
      </c>
      <c r="G46">
        <f>IF($U46="","",IF(INDEX('Per Invoice'!G$2:G$401,$U46)="","",INDEX('Per Invoice'!G$2:G$401,$U46)))</f>
        <v/>
      </c>
      <c r="H46" s="7">
        <f>IF($U46="","",IF(INDEX('Per Invoice'!H$2:H$401,$U46)="","",INDEX('Per Invoice'!H$2:H$401,$U46)))</f>
        <v/>
      </c>
      <c r="I46" s="14">
        <f>IF($U46="","",IF(INDEX('Per Invoice'!I$2:I$401,$U46)="","",INDEX('Per Invoice'!I$2:I$401,$U46)))</f>
        <v/>
      </c>
      <c r="J46">
        <f>IF($U46="","",IF(INDEX('Per Invoice'!J$2:J$401,$U46)="","",INDEX('Per Invoice'!J$2:J$401,$U46)))</f>
        <v/>
      </c>
      <c r="K46">
        <f>IF($U46="","",IF(INDEX('Per Invoice'!K$2:K$401,$U46)="","",INDEX('Per Invoice'!K$2:K$401,$U46)))</f>
        <v/>
      </c>
      <c r="L46" s="7">
        <f>IF($U46="","",IF(INDEX('Per Invoice'!L$2:L$401,$U46)="","",INDEX('Per Invoice'!L$2:L$401,$U46)))</f>
        <v/>
      </c>
      <c r="M46" s="7">
        <f>IF($U46="","",IF(INDEX('Per Invoice'!M$2:M$401,$U46)="","",INDEX('Per Invoice'!M$2:M$401,$U46)))</f>
        <v/>
      </c>
      <c r="N46">
        <f>IF($U46="","",IF(INDEX('Per Invoice'!N$2:N$401,$U46)="","",INDEX('Per Invoice'!N$2:N$401,$U46)))</f>
        <v/>
      </c>
      <c r="O46" s="7">
        <f>IF($U46="","",IF(INDEX('Per Invoice'!O$2:O$401,$U46)="","",INDEX('Per Invoice'!O$2:O$401,$U46)))</f>
        <v/>
      </c>
      <c r="P46" s="7">
        <f>IF($U46="","",IF(INDEX('Per Invoice'!P$2:P$401,$U46)="","",INDEX('Per Invoice'!P$2:P$401,$U46)))</f>
        <v/>
      </c>
      <c r="Q46" s="7">
        <f>IF($U46="","",IF(INDEX('Per Invoice'!Q$2:Q$401,$U46)="","",INDEX('Per Invoice'!Q$2:Q$401,$U46)))</f>
        <v/>
      </c>
      <c r="R46" s="7">
        <f>IF($U46="","",IF(INDEX('Per Invoice'!R$2:R$401,$U46)="","",INDEX('Per Invoice'!R$2:R$401,$U46)))</f>
        <v/>
      </c>
      <c r="S46" s="7">
        <f>IF($U46="","",IF(INDEX('Per Invoice'!S$2:S$401,$U46)="","",INDEX('Per Invoice'!S$2:S$401,$U46)))</f>
        <v/>
      </c>
      <c r="T46" s="7">
        <f>IF($U46="","",IF(INDEX('Per Invoice'!T$2:T$401,$U46)="","",INDEX('Per Invoice'!T$2:T$401,$U46)))</f>
        <v/>
      </c>
      <c r="U46" s="16">
        <f>IFERROR(MATCH(Settings!$C$30&amp;"|"&amp;ROWS($U$2:$U46),'Per Invoice'!$V$2:$V$401,0),"")</f>
        <v/>
      </c>
    </row>
    <row r="47">
      <c r="A47">
        <f>IF($U47="","",IF(INDEX('Per Invoice'!A$2:A$401,$U47)="","",INDEX('Per Invoice'!A$2:A$401,$U47)))</f>
        <v/>
      </c>
      <c r="B47">
        <f>IF($U47="","",IF(INDEX('Per Invoice'!B$2:B$401,$U47)="","",INDEX('Per Invoice'!B$2:B$401,$U47)))</f>
        <v/>
      </c>
      <c r="C47">
        <f>IF($U47="","",IF(INDEX('Per Invoice'!C$2:C$401,$U47)="","",INDEX('Per Invoice'!C$2:C$401,$U47)))</f>
        <v/>
      </c>
      <c r="D47">
        <f>IF($U47="","",IF(INDEX('Per Invoice'!D$2:D$401,$U47)="","",INDEX('Per Invoice'!D$2:D$401,$U47)))</f>
        <v/>
      </c>
      <c r="E47">
        <f>IF($U47="","",IF(INDEX('Per Invoice'!E$2:E$401,$U47)="","",INDEX('Per Invoice'!E$2:E$401,$U47)))</f>
        <v/>
      </c>
      <c r="F47">
        <f>IF($U47="","",IF(INDEX('Per Invoice'!F$2:F$401,$U47)="","",INDEX('Per Invoice'!F$2:F$401,$U47)))</f>
        <v/>
      </c>
      <c r="G47">
        <f>IF($U47="","",IF(INDEX('Per Invoice'!G$2:G$401,$U47)="","",INDEX('Per Invoice'!G$2:G$401,$U47)))</f>
        <v/>
      </c>
      <c r="H47" s="7">
        <f>IF($U47="","",IF(INDEX('Per Invoice'!H$2:H$401,$U47)="","",INDEX('Per Invoice'!H$2:H$401,$U47)))</f>
        <v/>
      </c>
      <c r="I47" s="14">
        <f>IF($U47="","",IF(INDEX('Per Invoice'!I$2:I$401,$U47)="","",INDEX('Per Invoice'!I$2:I$401,$U47)))</f>
        <v/>
      </c>
      <c r="J47">
        <f>IF($U47="","",IF(INDEX('Per Invoice'!J$2:J$401,$U47)="","",INDEX('Per Invoice'!J$2:J$401,$U47)))</f>
        <v/>
      </c>
      <c r="K47">
        <f>IF($U47="","",IF(INDEX('Per Invoice'!K$2:K$401,$U47)="","",INDEX('Per Invoice'!K$2:K$401,$U47)))</f>
        <v/>
      </c>
      <c r="L47" s="7">
        <f>IF($U47="","",IF(INDEX('Per Invoice'!L$2:L$401,$U47)="","",INDEX('Per Invoice'!L$2:L$401,$U47)))</f>
        <v/>
      </c>
      <c r="M47" s="7">
        <f>IF($U47="","",IF(INDEX('Per Invoice'!M$2:M$401,$U47)="","",INDEX('Per Invoice'!M$2:M$401,$U47)))</f>
        <v/>
      </c>
      <c r="N47">
        <f>IF($U47="","",IF(INDEX('Per Invoice'!N$2:N$401,$U47)="","",INDEX('Per Invoice'!N$2:N$401,$U47)))</f>
        <v/>
      </c>
      <c r="O47" s="7">
        <f>IF($U47="","",IF(INDEX('Per Invoice'!O$2:O$401,$U47)="","",INDEX('Per Invoice'!O$2:O$401,$U47)))</f>
        <v/>
      </c>
      <c r="P47" s="7">
        <f>IF($U47="","",IF(INDEX('Per Invoice'!P$2:P$401,$U47)="","",INDEX('Per Invoice'!P$2:P$401,$U47)))</f>
        <v/>
      </c>
      <c r="Q47" s="7">
        <f>IF($U47="","",IF(INDEX('Per Invoice'!Q$2:Q$401,$U47)="","",INDEX('Per Invoice'!Q$2:Q$401,$U47)))</f>
        <v/>
      </c>
      <c r="R47" s="7">
        <f>IF($U47="","",IF(INDEX('Per Invoice'!R$2:R$401,$U47)="","",INDEX('Per Invoice'!R$2:R$401,$U47)))</f>
        <v/>
      </c>
      <c r="S47" s="7">
        <f>IF($U47="","",IF(INDEX('Per Invoice'!S$2:S$401,$U47)="","",INDEX('Per Invoice'!S$2:S$401,$U47)))</f>
        <v/>
      </c>
      <c r="T47" s="7">
        <f>IF($U47="","",IF(INDEX('Per Invoice'!T$2:T$401,$U47)="","",INDEX('Per Invoice'!T$2:T$401,$U47)))</f>
        <v/>
      </c>
      <c r="U47" s="16">
        <f>IFERROR(MATCH(Settings!$C$30&amp;"|"&amp;ROWS($U$2:$U47),'Per Invoice'!$V$2:$V$401,0),"")</f>
        <v/>
      </c>
    </row>
    <row r="48">
      <c r="A48">
        <f>IF($U48="","",IF(INDEX('Per Invoice'!A$2:A$401,$U48)="","",INDEX('Per Invoice'!A$2:A$401,$U48)))</f>
        <v/>
      </c>
      <c r="B48">
        <f>IF($U48="","",IF(INDEX('Per Invoice'!B$2:B$401,$U48)="","",INDEX('Per Invoice'!B$2:B$401,$U48)))</f>
        <v/>
      </c>
      <c r="C48">
        <f>IF($U48="","",IF(INDEX('Per Invoice'!C$2:C$401,$U48)="","",INDEX('Per Invoice'!C$2:C$401,$U48)))</f>
        <v/>
      </c>
      <c r="D48">
        <f>IF($U48="","",IF(INDEX('Per Invoice'!D$2:D$401,$U48)="","",INDEX('Per Invoice'!D$2:D$401,$U48)))</f>
        <v/>
      </c>
      <c r="E48">
        <f>IF($U48="","",IF(INDEX('Per Invoice'!E$2:E$401,$U48)="","",INDEX('Per Invoice'!E$2:E$401,$U48)))</f>
        <v/>
      </c>
      <c r="F48">
        <f>IF($U48="","",IF(INDEX('Per Invoice'!F$2:F$401,$U48)="","",INDEX('Per Invoice'!F$2:F$401,$U48)))</f>
        <v/>
      </c>
      <c r="G48">
        <f>IF($U48="","",IF(INDEX('Per Invoice'!G$2:G$401,$U48)="","",INDEX('Per Invoice'!G$2:G$401,$U48)))</f>
        <v/>
      </c>
      <c r="H48" s="7">
        <f>IF($U48="","",IF(INDEX('Per Invoice'!H$2:H$401,$U48)="","",INDEX('Per Invoice'!H$2:H$401,$U48)))</f>
        <v/>
      </c>
      <c r="I48" s="14">
        <f>IF($U48="","",IF(INDEX('Per Invoice'!I$2:I$401,$U48)="","",INDEX('Per Invoice'!I$2:I$401,$U48)))</f>
        <v/>
      </c>
      <c r="J48">
        <f>IF($U48="","",IF(INDEX('Per Invoice'!J$2:J$401,$U48)="","",INDEX('Per Invoice'!J$2:J$401,$U48)))</f>
        <v/>
      </c>
      <c r="K48">
        <f>IF($U48="","",IF(INDEX('Per Invoice'!K$2:K$401,$U48)="","",INDEX('Per Invoice'!K$2:K$401,$U48)))</f>
        <v/>
      </c>
      <c r="L48" s="7">
        <f>IF($U48="","",IF(INDEX('Per Invoice'!L$2:L$401,$U48)="","",INDEX('Per Invoice'!L$2:L$401,$U48)))</f>
        <v/>
      </c>
      <c r="M48" s="7">
        <f>IF($U48="","",IF(INDEX('Per Invoice'!M$2:M$401,$U48)="","",INDEX('Per Invoice'!M$2:M$401,$U48)))</f>
        <v/>
      </c>
      <c r="N48">
        <f>IF($U48="","",IF(INDEX('Per Invoice'!N$2:N$401,$U48)="","",INDEX('Per Invoice'!N$2:N$401,$U48)))</f>
        <v/>
      </c>
      <c r="O48" s="7">
        <f>IF($U48="","",IF(INDEX('Per Invoice'!O$2:O$401,$U48)="","",INDEX('Per Invoice'!O$2:O$401,$U48)))</f>
        <v/>
      </c>
      <c r="P48" s="7">
        <f>IF($U48="","",IF(INDEX('Per Invoice'!P$2:P$401,$U48)="","",INDEX('Per Invoice'!P$2:P$401,$U48)))</f>
        <v/>
      </c>
      <c r="Q48" s="7">
        <f>IF($U48="","",IF(INDEX('Per Invoice'!Q$2:Q$401,$U48)="","",INDEX('Per Invoice'!Q$2:Q$401,$U48)))</f>
        <v/>
      </c>
      <c r="R48" s="7">
        <f>IF($U48="","",IF(INDEX('Per Invoice'!R$2:R$401,$U48)="","",INDEX('Per Invoice'!R$2:R$401,$U48)))</f>
        <v/>
      </c>
      <c r="S48" s="7">
        <f>IF($U48="","",IF(INDEX('Per Invoice'!S$2:S$401,$U48)="","",INDEX('Per Invoice'!S$2:S$401,$U48)))</f>
        <v/>
      </c>
      <c r="T48" s="7">
        <f>IF($U48="","",IF(INDEX('Per Invoice'!T$2:T$401,$U48)="","",INDEX('Per Invoice'!T$2:T$401,$U48)))</f>
        <v/>
      </c>
      <c r="U48" s="16">
        <f>IFERROR(MATCH(Settings!$C$30&amp;"|"&amp;ROWS($U$2:$U48),'Per Invoice'!$V$2:$V$401,0),"")</f>
        <v/>
      </c>
    </row>
    <row r="49">
      <c r="A49">
        <f>IF($U49="","",IF(INDEX('Per Invoice'!A$2:A$401,$U49)="","",INDEX('Per Invoice'!A$2:A$401,$U49)))</f>
        <v/>
      </c>
      <c r="B49">
        <f>IF($U49="","",IF(INDEX('Per Invoice'!B$2:B$401,$U49)="","",INDEX('Per Invoice'!B$2:B$401,$U49)))</f>
        <v/>
      </c>
      <c r="C49">
        <f>IF($U49="","",IF(INDEX('Per Invoice'!C$2:C$401,$U49)="","",INDEX('Per Invoice'!C$2:C$401,$U49)))</f>
        <v/>
      </c>
      <c r="D49">
        <f>IF($U49="","",IF(INDEX('Per Invoice'!D$2:D$401,$U49)="","",INDEX('Per Invoice'!D$2:D$401,$U49)))</f>
        <v/>
      </c>
      <c r="E49">
        <f>IF($U49="","",IF(INDEX('Per Invoice'!E$2:E$401,$U49)="","",INDEX('Per Invoice'!E$2:E$401,$U49)))</f>
        <v/>
      </c>
      <c r="F49">
        <f>IF($U49="","",IF(INDEX('Per Invoice'!F$2:F$401,$U49)="","",INDEX('Per Invoice'!F$2:F$401,$U49)))</f>
        <v/>
      </c>
      <c r="G49">
        <f>IF($U49="","",IF(INDEX('Per Invoice'!G$2:G$401,$U49)="","",INDEX('Per Invoice'!G$2:G$401,$U49)))</f>
        <v/>
      </c>
      <c r="H49" s="7">
        <f>IF($U49="","",IF(INDEX('Per Invoice'!H$2:H$401,$U49)="","",INDEX('Per Invoice'!H$2:H$401,$U49)))</f>
        <v/>
      </c>
      <c r="I49" s="14">
        <f>IF($U49="","",IF(INDEX('Per Invoice'!I$2:I$401,$U49)="","",INDEX('Per Invoice'!I$2:I$401,$U49)))</f>
        <v/>
      </c>
      <c r="J49">
        <f>IF($U49="","",IF(INDEX('Per Invoice'!J$2:J$401,$U49)="","",INDEX('Per Invoice'!J$2:J$401,$U49)))</f>
        <v/>
      </c>
      <c r="K49">
        <f>IF($U49="","",IF(INDEX('Per Invoice'!K$2:K$401,$U49)="","",INDEX('Per Invoice'!K$2:K$401,$U49)))</f>
        <v/>
      </c>
      <c r="L49" s="7">
        <f>IF($U49="","",IF(INDEX('Per Invoice'!L$2:L$401,$U49)="","",INDEX('Per Invoice'!L$2:L$401,$U49)))</f>
        <v/>
      </c>
      <c r="M49" s="7">
        <f>IF($U49="","",IF(INDEX('Per Invoice'!M$2:M$401,$U49)="","",INDEX('Per Invoice'!M$2:M$401,$U49)))</f>
        <v/>
      </c>
      <c r="N49">
        <f>IF($U49="","",IF(INDEX('Per Invoice'!N$2:N$401,$U49)="","",INDEX('Per Invoice'!N$2:N$401,$U49)))</f>
        <v/>
      </c>
      <c r="O49" s="7">
        <f>IF($U49="","",IF(INDEX('Per Invoice'!O$2:O$401,$U49)="","",INDEX('Per Invoice'!O$2:O$401,$U49)))</f>
        <v/>
      </c>
      <c r="P49" s="7">
        <f>IF($U49="","",IF(INDEX('Per Invoice'!P$2:P$401,$U49)="","",INDEX('Per Invoice'!P$2:P$401,$U49)))</f>
        <v/>
      </c>
      <c r="Q49" s="7">
        <f>IF($U49="","",IF(INDEX('Per Invoice'!Q$2:Q$401,$U49)="","",INDEX('Per Invoice'!Q$2:Q$401,$U49)))</f>
        <v/>
      </c>
      <c r="R49" s="7">
        <f>IF($U49="","",IF(INDEX('Per Invoice'!R$2:R$401,$U49)="","",INDEX('Per Invoice'!R$2:R$401,$U49)))</f>
        <v/>
      </c>
      <c r="S49" s="7">
        <f>IF($U49="","",IF(INDEX('Per Invoice'!S$2:S$401,$U49)="","",INDEX('Per Invoice'!S$2:S$401,$U49)))</f>
        <v/>
      </c>
      <c r="T49" s="7">
        <f>IF($U49="","",IF(INDEX('Per Invoice'!T$2:T$401,$U49)="","",INDEX('Per Invoice'!T$2:T$401,$U49)))</f>
        <v/>
      </c>
      <c r="U49" s="16">
        <f>IFERROR(MATCH(Settings!$C$30&amp;"|"&amp;ROWS($U$2:$U49),'Per Invoice'!$V$2:$V$401,0),"")</f>
        <v/>
      </c>
    </row>
    <row r="50">
      <c r="A50">
        <f>IF($U50="","",IF(INDEX('Per Invoice'!A$2:A$401,$U50)="","",INDEX('Per Invoice'!A$2:A$401,$U50)))</f>
        <v/>
      </c>
      <c r="B50">
        <f>IF($U50="","",IF(INDEX('Per Invoice'!B$2:B$401,$U50)="","",INDEX('Per Invoice'!B$2:B$401,$U50)))</f>
        <v/>
      </c>
      <c r="C50">
        <f>IF($U50="","",IF(INDEX('Per Invoice'!C$2:C$401,$U50)="","",INDEX('Per Invoice'!C$2:C$401,$U50)))</f>
        <v/>
      </c>
      <c r="D50">
        <f>IF($U50="","",IF(INDEX('Per Invoice'!D$2:D$401,$U50)="","",INDEX('Per Invoice'!D$2:D$401,$U50)))</f>
        <v/>
      </c>
      <c r="E50">
        <f>IF($U50="","",IF(INDEX('Per Invoice'!E$2:E$401,$U50)="","",INDEX('Per Invoice'!E$2:E$401,$U50)))</f>
        <v/>
      </c>
      <c r="F50">
        <f>IF($U50="","",IF(INDEX('Per Invoice'!F$2:F$401,$U50)="","",INDEX('Per Invoice'!F$2:F$401,$U50)))</f>
        <v/>
      </c>
      <c r="G50">
        <f>IF($U50="","",IF(INDEX('Per Invoice'!G$2:G$401,$U50)="","",INDEX('Per Invoice'!G$2:G$401,$U50)))</f>
        <v/>
      </c>
      <c r="H50" s="7">
        <f>IF($U50="","",IF(INDEX('Per Invoice'!H$2:H$401,$U50)="","",INDEX('Per Invoice'!H$2:H$401,$U50)))</f>
        <v/>
      </c>
      <c r="I50" s="14">
        <f>IF($U50="","",IF(INDEX('Per Invoice'!I$2:I$401,$U50)="","",INDEX('Per Invoice'!I$2:I$401,$U50)))</f>
        <v/>
      </c>
      <c r="J50">
        <f>IF($U50="","",IF(INDEX('Per Invoice'!J$2:J$401,$U50)="","",INDEX('Per Invoice'!J$2:J$401,$U50)))</f>
        <v/>
      </c>
      <c r="K50">
        <f>IF($U50="","",IF(INDEX('Per Invoice'!K$2:K$401,$U50)="","",INDEX('Per Invoice'!K$2:K$401,$U50)))</f>
        <v/>
      </c>
      <c r="L50" s="7">
        <f>IF($U50="","",IF(INDEX('Per Invoice'!L$2:L$401,$U50)="","",INDEX('Per Invoice'!L$2:L$401,$U50)))</f>
        <v/>
      </c>
      <c r="M50" s="7">
        <f>IF($U50="","",IF(INDEX('Per Invoice'!M$2:M$401,$U50)="","",INDEX('Per Invoice'!M$2:M$401,$U50)))</f>
        <v/>
      </c>
      <c r="N50">
        <f>IF($U50="","",IF(INDEX('Per Invoice'!N$2:N$401,$U50)="","",INDEX('Per Invoice'!N$2:N$401,$U50)))</f>
        <v/>
      </c>
      <c r="O50" s="7">
        <f>IF($U50="","",IF(INDEX('Per Invoice'!O$2:O$401,$U50)="","",INDEX('Per Invoice'!O$2:O$401,$U50)))</f>
        <v/>
      </c>
      <c r="P50" s="7">
        <f>IF($U50="","",IF(INDEX('Per Invoice'!P$2:P$401,$U50)="","",INDEX('Per Invoice'!P$2:P$401,$U50)))</f>
        <v/>
      </c>
      <c r="Q50" s="7">
        <f>IF($U50="","",IF(INDEX('Per Invoice'!Q$2:Q$401,$U50)="","",INDEX('Per Invoice'!Q$2:Q$401,$U50)))</f>
        <v/>
      </c>
      <c r="R50" s="7">
        <f>IF($U50="","",IF(INDEX('Per Invoice'!R$2:R$401,$U50)="","",INDEX('Per Invoice'!R$2:R$401,$U50)))</f>
        <v/>
      </c>
      <c r="S50" s="7">
        <f>IF($U50="","",IF(INDEX('Per Invoice'!S$2:S$401,$U50)="","",INDEX('Per Invoice'!S$2:S$401,$U50)))</f>
        <v/>
      </c>
      <c r="T50" s="7">
        <f>IF($U50="","",IF(INDEX('Per Invoice'!T$2:T$401,$U50)="","",INDEX('Per Invoice'!T$2:T$401,$U50)))</f>
        <v/>
      </c>
      <c r="U50" s="16">
        <f>IFERROR(MATCH(Settings!$C$30&amp;"|"&amp;ROWS($U$2:$U50),'Per Invoice'!$V$2:$V$401,0),"")</f>
        <v/>
      </c>
    </row>
    <row r="51">
      <c r="A51">
        <f>IF($U51="","",IF(INDEX('Per Invoice'!A$2:A$401,$U51)="","",INDEX('Per Invoice'!A$2:A$401,$U51)))</f>
        <v/>
      </c>
      <c r="B51">
        <f>IF($U51="","",IF(INDEX('Per Invoice'!B$2:B$401,$U51)="","",INDEX('Per Invoice'!B$2:B$401,$U51)))</f>
        <v/>
      </c>
      <c r="C51">
        <f>IF($U51="","",IF(INDEX('Per Invoice'!C$2:C$401,$U51)="","",INDEX('Per Invoice'!C$2:C$401,$U51)))</f>
        <v/>
      </c>
      <c r="D51">
        <f>IF($U51="","",IF(INDEX('Per Invoice'!D$2:D$401,$U51)="","",INDEX('Per Invoice'!D$2:D$401,$U51)))</f>
        <v/>
      </c>
      <c r="E51">
        <f>IF($U51="","",IF(INDEX('Per Invoice'!E$2:E$401,$U51)="","",INDEX('Per Invoice'!E$2:E$401,$U51)))</f>
        <v/>
      </c>
      <c r="F51">
        <f>IF($U51="","",IF(INDEX('Per Invoice'!F$2:F$401,$U51)="","",INDEX('Per Invoice'!F$2:F$401,$U51)))</f>
        <v/>
      </c>
      <c r="G51">
        <f>IF($U51="","",IF(INDEX('Per Invoice'!G$2:G$401,$U51)="","",INDEX('Per Invoice'!G$2:G$401,$U51)))</f>
        <v/>
      </c>
      <c r="H51" s="7">
        <f>IF($U51="","",IF(INDEX('Per Invoice'!H$2:H$401,$U51)="","",INDEX('Per Invoice'!H$2:H$401,$U51)))</f>
        <v/>
      </c>
      <c r="I51" s="14">
        <f>IF($U51="","",IF(INDEX('Per Invoice'!I$2:I$401,$U51)="","",INDEX('Per Invoice'!I$2:I$401,$U51)))</f>
        <v/>
      </c>
      <c r="J51">
        <f>IF($U51="","",IF(INDEX('Per Invoice'!J$2:J$401,$U51)="","",INDEX('Per Invoice'!J$2:J$401,$U51)))</f>
        <v/>
      </c>
      <c r="K51">
        <f>IF($U51="","",IF(INDEX('Per Invoice'!K$2:K$401,$U51)="","",INDEX('Per Invoice'!K$2:K$401,$U51)))</f>
        <v/>
      </c>
      <c r="L51" s="7">
        <f>IF($U51="","",IF(INDEX('Per Invoice'!L$2:L$401,$U51)="","",INDEX('Per Invoice'!L$2:L$401,$U51)))</f>
        <v/>
      </c>
      <c r="M51" s="7">
        <f>IF($U51="","",IF(INDEX('Per Invoice'!M$2:M$401,$U51)="","",INDEX('Per Invoice'!M$2:M$401,$U51)))</f>
        <v/>
      </c>
      <c r="N51">
        <f>IF($U51="","",IF(INDEX('Per Invoice'!N$2:N$401,$U51)="","",INDEX('Per Invoice'!N$2:N$401,$U51)))</f>
        <v/>
      </c>
      <c r="O51" s="7">
        <f>IF($U51="","",IF(INDEX('Per Invoice'!O$2:O$401,$U51)="","",INDEX('Per Invoice'!O$2:O$401,$U51)))</f>
        <v/>
      </c>
      <c r="P51" s="7">
        <f>IF($U51="","",IF(INDEX('Per Invoice'!P$2:P$401,$U51)="","",INDEX('Per Invoice'!P$2:P$401,$U51)))</f>
        <v/>
      </c>
      <c r="Q51" s="7">
        <f>IF($U51="","",IF(INDEX('Per Invoice'!Q$2:Q$401,$U51)="","",INDEX('Per Invoice'!Q$2:Q$401,$U51)))</f>
        <v/>
      </c>
      <c r="R51" s="7">
        <f>IF($U51="","",IF(INDEX('Per Invoice'!R$2:R$401,$U51)="","",INDEX('Per Invoice'!R$2:R$401,$U51)))</f>
        <v/>
      </c>
      <c r="S51" s="7">
        <f>IF($U51="","",IF(INDEX('Per Invoice'!S$2:S$401,$U51)="","",INDEX('Per Invoice'!S$2:S$401,$U51)))</f>
        <v/>
      </c>
      <c r="T51" s="7">
        <f>IF($U51="","",IF(INDEX('Per Invoice'!T$2:T$401,$U51)="","",INDEX('Per Invoice'!T$2:T$401,$U51)))</f>
        <v/>
      </c>
      <c r="U51" s="16">
        <f>IFERROR(MATCH(Settings!$C$30&amp;"|"&amp;ROWS($U$2:$U51),'Per Invoice'!$V$2:$V$401,0),"")</f>
        <v/>
      </c>
    </row>
    <row r="52">
      <c r="A52">
        <f>IF($U52="","",IF(INDEX('Per Invoice'!A$2:A$401,$U52)="","",INDEX('Per Invoice'!A$2:A$401,$U52)))</f>
        <v/>
      </c>
      <c r="B52">
        <f>IF($U52="","",IF(INDEX('Per Invoice'!B$2:B$401,$U52)="","",INDEX('Per Invoice'!B$2:B$401,$U52)))</f>
        <v/>
      </c>
      <c r="C52">
        <f>IF($U52="","",IF(INDEX('Per Invoice'!C$2:C$401,$U52)="","",INDEX('Per Invoice'!C$2:C$401,$U52)))</f>
        <v/>
      </c>
      <c r="D52">
        <f>IF($U52="","",IF(INDEX('Per Invoice'!D$2:D$401,$U52)="","",INDEX('Per Invoice'!D$2:D$401,$U52)))</f>
        <v/>
      </c>
      <c r="E52">
        <f>IF($U52="","",IF(INDEX('Per Invoice'!E$2:E$401,$U52)="","",INDEX('Per Invoice'!E$2:E$401,$U52)))</f>
        <v/>
      </c>
      <c r="F52">
        <f>IF($U52="","",IF(INDEX('Per Invoice'!F$2:F$401,$U52)="","",INDEX('Per Invoice'!F$2:F$401,$U52)))</f>
        <v/>
      </c>
      <c r="G52">
        <f>IF($U52="","",IF(INDEX('Per Invoice'!G$2:G$401,$U52)="","",INDEX('Per Invoice'!G$2:G$401,$U52)))</f>
        <v/>
      </c>
      <c r="H52" s="7">
        <f>IF($U52="","",IF(INDEX('Per Invoice'!H$2:H$401,$U52)="","",INDEX('Per Invoice'!H$2:H$401,$U52)))</f>
        <v/>
      </c>
      <c r="I52" s="14">
        <f>IF($U52="","",IF(INDEX('Per Invoice'!I$2:I$401,$U52)="","",INDEX('Per Invoice'!I$2:I$401,$U52)))</f>
        <v/>
      </c>
      <c r="J52">
        <f>IF($U52="","",IF(INDEX('Per Invoice'!J$2:J$401,$U52)="","",INDEX('Per Invoice'!J$2:J$401,$U52)))</f>
        <v/>
      </c>
      <c r="K52">
        <f>IF($U52="","",IF(INDEX('Per Invoice'!K$2:K$401,$U52)="","",INDEX('Per Invoice'!K$2:K$401,$U52)))</f>
        <v/>
      </c>
      <c r="L52" s="7">
        <f>IF($U52="","",IF(INDEX('Per Invoice'!L$2:L$401,$U52)="","",INDEX('Per Invoice'!L$2:L$401,$U52)))</f>
        <v/>
      </c>
      <c r="M52" s="7">
        <f>IF($U52="","",IF(INDEX('Per Invoice'!M$2:M$401,$U52)="","",INDEX('Per Invoice'!M$2:M$401,$U52)))</f>
        <v/>
      </c>
      <c r="N52">
        <f>IF($U52="","",IF(INDEX('Per Invoice'!N$2:N$401,$U52)="","",INDEX('Per Invoice'!N$2:N$401,$U52)))</f>
        <v/>
      </c>
      <c r="O52" s="7">
        <f>IF($U52="","",IF(INDEX('Per Invoice'!O$2:O$401,$U52)="","",INDEX('Per Invoice'!O$2:O$401,$U52)))</f>
        <v/>
      </c>
      <c r="P52" s="7">
        <f>IF($U52="","",IF(INDEX('Per Invoice'!P$2:P$401,$U52)="","",INDEX('Per Invoice'!P$2:P$401,$U52)))</f>
        <v/>
      </c>
      <c r="Q52" s="7">
        <f>IF($U52="","",IF(INDEX('Per Invoice'!Q$2:Q$401,$U52)="","",INDEX('Per Invoice'!Q$2:Q$401,$U52)))</f>
        <v/>
      </c>
      <c r="R52" s="7">
        <f>IF($U52="","",IF(INDEX('Per Invoice'!R$2:R$401,$U52)="","",INDEX('Per Invoice'!R$2:R$401,$U52)))</f>
        <v/>
      </c>
      <c r="S52" s="7">
        <f>IF($U52="","",IF(INDEX('Per Invoice'!S$2:S$401,$U52)="","",INDEX('Per Invoice'!S$2:S$401,$U52)))</f>
        <v/>
      </c>
      <c r="T52" s="7">
        <f>IF($U52="","",IF(INDEX('Per Invoice'!T$2:T$401,$U52)="","",INDEX('Per Invoice'!T$2:T$401,$U52)))</f>
        <v/>
      </c>
      <c r="U52" s="16">
        <f>IFERROR(MATCH(Settings!$C$30&amp;"|"&amp;ROWS($U$2:$U52),'Per Invoice'!$V$2:$V$401,0),"")</f>
        <v/>
      </c>
    </row>
    <row r="53">
      <c r="A53">
        <f>IF($U53="","",IF(INDEX('Per Invoice'!A$2:A$401,$U53)="","",INDEX('Per Invoice'!A$2:A$401,$U53)))</f>
        <v/>
      </c>
      <c r="B53">
        <f>IF($U53="","",IF(INDEX('Per Invoice'!B$2:B$401,$U53)="","",INDEX('Per Invoice'!B$2:B$401,$U53)))</f>
        <v/>
      </c>
      <c r="C53">
        <f>IF($U53="","",IF(INDEX('Per Invoice'!C$2:C$401,$U53)="","",INDEX('Per Invoice'!C$2:C$401,$U53)))</f>
        <v/>
      </c>
      <c r="D53">
        <f>IF($U53="","",IF(INDEX('Per Invoice'!D$2:D$401,$U53)="","",INDEX('Per Invoice'!D$2:D$401,$U53)))</f>
        <v/>
      </c>
      <c r="E53">
        <f>IF($U53="","",IF(INDEX('Per Invoice'!E$2:E$401,$U53)="","",INDEX('Per Invoice'!E$2:E$401,$U53)))</f>
        <v/>
      </c>
      <c r="F53">
        <f>IF($U53="","",IF(INDEX('Per Invoice'!F$2:F$401,$U53)="","",INDEX('Per Invoice'!F$2:F$401,$U53)))</f>
        <v/>
      </c>
      <c r="G53">
        <f>IF($U53="","",IF(INDEX('Per Invoice'!G$2:G$401,$U53)="","",INDEX('Per Invoice'!G$2:G$401,$U53)))</f>
        <v/>
      </c>
      <c r="H53" s="7">
        <f>IF($U53="","",IF(INDEX('Per Invoice'!H$2:H$401,$U53)="","",INDEX('Per Invoice'!H$2:H$401,$U53)))</f>
        <v/>
      </c>
      <c r="I53" s="14">
        <f>IF($U53="","",IF(INDEX('Per Invoice'!I$2:I$401,$U53)="","",INDEX('Per Invoice'!I$2:I$401,$U53)))</f>
        <v/>
      </c>
      <c r="J53">
        <f>IF($U53="","",IF(INDEX('Per Invoice'!J$2:J$401,$U53)="","",INDEX('Per Invoice'!J$2:J$401,$U53)))</f>
        <v/>
      </c>
      <c r="K53">
        <f>IF($U53="","",IF(INDEX('Per Invoice'!K$2:K$401,$U53)="","",INDEX('Per Invoice'!K$2:K$401,$U53)))</f>
        <v/>
      </c>
      <c r="L53" s="7">
        <f>IF($U53="","",IF(INDEX('Per Invoice'!L$2:L$401,$U53)="","",INDEX('Per Invoice'!L$2:L$401,$U53)))</f>
        <v/>
      </c>
      <c r="M53" s="7">
        <f>IF($U53="","",IF(INDEX('Per Invoice'!M$2:M$401,$U53)="","",INDEX('Per Invoice'!M$2:M$401,$U53)))</f>
        <v/>
      </c>
      <c r="N53">
        <f>IF($U53="","",IF(INDEX('Per Invoice'!N$2:N$401,$U53)="","",INDEX('Per Invoice'!N$2:N$401,$U53)))</f>
        <v/>
      </c>
      <c r="O53" s="7">
        <f>IF($U53="","",IF(INDEX('Per Invoice'!O$2:O$401,$U53)="","",INDEX('Per Invoice'!O$2:O$401,$U53)))</f>
        <v/>
      </c>
      <c r="P53" s="7">
        <f>IF($U53="","",IF(INDEX('Per Invoice'!P$2:P$401,$U53)="","",INDEX('Per Invoice'!P$2:P$401,$U53)))</f>
        <v/>
      </c>
      <c r="Q53" s="7">
        <f>IF($U53="","",IF(INDEX('Per Invoice'!Q$2:Q$401,$U53)="","",INDEX('Per Invoice'!Q$2:Q$401,$U53)))</f>
        <v/>
      </c>
      <c r="R53" s="7">
        <f>IF($U53="","",IF(INDEX('Per Invoice'!R$2:R$401,$U53)="","",INDEX('Per Invoice'!R$2:R$401,$U53)))</f>
        <v/>
      </c>
      <c r="S53" s="7">
        <f>IF($U53="","",IF(INDEX('Per Invoice'!S$2:S$401,$U53)="","",INDEX('Per Invoice'!S$2:S$401,$U53)))</f>
        <v/>
      </c>
      <c r="T53" s="7">
        <f>IF($U53="","",IF(INDEX('Per Invoice'!T$2:T$401,$U53)="","",INDEX('Per Invoice'!T$2:T$401,$U53)))</f>
        <v/>
      </c>
      <c r="U53" s="16">
        <f>IFERROR(MATCH(Settings!$C$30&amp;"|"&amp;ROWS($U$2:$U53),'Per Invoice'!$V$2:$V$401,0),"")</f>
        <v/>
      </c>
    </row>
    <row r="54">
      <c r="A54">
        <f>IF($U54="","",IF(INDEX('Per Invoice'!A$2:A$401,$U54)="","",INDEX('Per Invoice'!A$2:A$401,$U54)))</f>
        <v/>
      </c>
      <c r="B54">
        <f>IF($U54="","",IF(INDEX('Per Invoice'!B$2:B$401,$U54)="","",INDEX('Per Invoice'!B$2:B$401,$U54)))</f>
        <v/>
      </c>
      <c r="C54">
        <f>IF($U54="","",IF(INDEX('Per Invoice'!C$2:C$401,$U54)="","",INDEX('Per Invoice'!C$2:C$401,$U54)))</f>
        <v/>
      </c>
      <c r="D54">
        <f>IF($U54="","",IF(INDEX('Per Invoice'!D$2:D$401,$U54)="","",INDEX('Per Invoice'!D$2:D$401,$U54)))</f>
        <v/>
      </c>
      <c r="E54">
        <f>IF($U54="","",IF(INDEX('Per Invoice'!E$2:E$401,$U54)="","",INDEX('Per Invoice'!E$2:E$401,$U54)))</f>
        <v/>
      </c>
      <c r="F54">
        <f>IF($U54="","",IF(INDEX('Per Invoice'!F$2:F$401,$U54)="","",INDEX('Per Invoice'!F$2:F$401,$U54)))</f>
        <v/>
      </c>
      <c r="G54">
        <f>IF($U54="","",IF(INDEX('Per Invoice'!G$2:G$401,$U54)="","",INDEX('Per Invoice'!G$2:G$401,$U54)))</f>
        <v/>
      </c>
      <c r="H54" s="7">
        <f>IF($U54="","",IF(INDEX('Per Invoice'!H$2:H$401,$U54)="","",INDEX('Per Invoice'!H$2:H$401,$U54)))</f>
        <v/>
      </c>
      <c r="I54" s="14">
        <f>IF($U54="","",IF(INDEX('Per Invoice'!I$2:I$401,$U54)="","",INDEX('Per Invoice'!I$2:I$401,$U54)))</f>
        <v/>
      </c>
      <c r="J54">
        <f>IF($U54="","",IF(INDEX('Per Invoice'!J$2:J$401,$U54)="","",INDEX('Per Invoice'!J$2:J$401,$U54)))</f>
        <v/>
      </c>
      <c r="K54">
        <f>IF($U54="","",IF(INDEX('Per Invoice'!K$2:K$401,$U54)="","",INDEX('Per Invoice'!K$2:K$401,$U54)))</f>
        <v/>
      </c>
      <c r="L54" s="7">
        <f>IF($U54="","",IF(INDEX('Per Invoice'!L$2:L$401,$U54)="","",INDEX('Per Invoice'!L$2:L$401,$U54)))</f>
        <v/>
      </c>
      <c r="M54" s="7">
        <f>IF($U54="","",IF(INDEX('Per Invoice'!M$2:M$401,$U54)="","",INDEX('Per Invoice'!M$2:M$401,$U54)))</f>
        <v/>
      </c>
      <c r="N54">
        <f>IF($U54="","",IF(INDEX('Per Invoice'!N$2:N$401,$U54)="","",INDEX('Per Invoice'!N$2:N$401,$U54)))</f>
        <v/>
      </c>
      <c r="O54" s="7">
        <f>IF($U54="","",IF(INDEX('Per Invoice'!O$2:O$401,$U54)="","",INDEX('Per Invoice'!O$2:O$401,$U54)))</f>
        <v/>
      </c>
      <c r="P54" s="7">
        <f>IF($U54="","",IF(INDEX('Per Invoice'!P$2:P$401,$U54)="","",INDEX('Per Invoice'!P$2:P$401,$U54)))</f>
        <v/>
      </c>
      <c r="Q54" s="7">
        <f>IF($U54="","",IF(INDEX('Per Invoice'!Q$2:Q$401,$U54)="","",INDEX('Per Invoice'!Q$2:Q$401,$U54)))</f>
        <v/>
      </c>
      <c r="R54" s="7">
        <f>IF($U54="","",IF(INDEX('Per Invoice'!R$2:R$401,$U54)="","",INDEX('Per Invoice'!R$2:R$401,$U54)))</f>
        <v/>
      </c>
      <c r="S54" s="7">
        <f>IF($U54="","",IF(INDEX('Per Invoice'!S$2:S$401,$U54)="","",INDEX('Per Invoice'!S$2:S$401,$U54)))</f>
        <v/>
      </c>
      <c r="T54" s="7">
        <f>IF($U54="","",IF(INDEX('Per Invoice'!T$2:T$401,$U54)="","",INDEX('Per Invoice'!T$2:T$401,$U54)))</f>
        <v/>
      </c>
      <c r="U54" s="16">
        <f>IFERROR(MATCH(Settings!$C$30&amp;"|"&amp;ROWS($U$2:$U54),'Per Invoice'!$V$2:$V$401,0),"")</f>
        <v/>
      </c>
    </row>
    <row r="55">
      <c r="A55">
        <f>IF($U55="","",IF(INDEX('Per Invoice'!A$2:A$401,$U55)="","",INDEX('Per Invoice'!A$2:A$401,$U55)))</f>
        <v/>
      </c>
      <c r="B55">
        <f>IF($U55="","",IF(INDEX('Per Invoice'!B$2:B$401,$U55)="","",INDEX('Per Invoice'!B$2:B$401,$U55)))</f>
        <v/>
      </c>
      <c r="C55">
        <f>IF($U55="","",IF(INDEX('Per Invoice'!C$2:C$401,$U55)="","",INDEX('Per Invoice'!C$2:C$401,$U55)))</f>
        <v/>
      </c>
      <c r="D55">
        <f>IF($U55="","",IF(INDEX('Per Invoice'!D$2:D$401,$U55)="","",INDEX('Per Invoice'!D$2:D$401,$U55)))</f>
        <v/>
      </c>
      <c r="E55">
        <f>IF($U55="","",IF(INDEX('Per Invoice'!E$2:E$401,$U55)="","",INDEX('Per Invoice'!E$2:E$401,$U55)))</f>
        <v/>
      </c>
      <c r="F55">
        <f>IF($U55="","",IF(INDEX('Per Invoice'!F$2:F$401,$U55)="","",INDEX('Per Invoice'!F$2:F$401,$U55)))</f>
        <v/>
      </c>
      <c r="G55">
        <f>IF($U55="","",IF(INDEX('Per Invoice'!G$2:G$401,$U55)="","",INDEX('Per Invoice'!G$2:G$401,$U55)))</f>
        <v/>
      </c>
      <c r="H55" s="7">
        <f>IF($U55="","",IF(INDEX('Per Invoice'!H$2:H$401,$U55)="","",INDEX('Per Invoice'!H$2:H$401,$U55)))</f>
        <v/>
      </c>
      <c r="I55" s="14">
        <f>IF($U55="","",IF(INDEX('Per Invoice'!I$2:I$401,$U55)="","",INDEX('Per Invoice'!I$2:I$401,$U55)))</f>
        <v/>
      </c>
      <c r="J55">
        <f>IF($U55="","",IF(INDEX('Per Invoice'!J$2:J$401,$U55)="","",INDEX('Per Invoice'!J$2:J$401,$U55)))</f>
        <v/>
      </c>
      <c r="K55">
        <f>IF($U55="","",IF(INDEX('Per Invoice'!K$2:K$401,$U55)="","",INDEX('Per Invoice'!K$2:K$401,$U55)))</f>
        <v/>
      </c>
      <c r="L55" s="7">
        <f>IF($U55="","",IF(INDEX('Per Invoice'!L$2:L$401,$U55)="","",INDEX('Per Invoice'!L$2:L$401,$U55)))</f>
        <v/>
      </c>
      <c r="M55" s="7">
        <f>IF($U55="","",IF(INDEX('Per Invoice'!M$2:M$401,$U55)="","",INDEX('Per Invoice'!M$2:M$401,$U55)))</f>
        <v/>
      </c>
      <c r="N55">
        <f>IF($U55="","",IF(INDEX('Per Invoice'!N$2:N$401,$U55)="","",INDEX('Per Invoice'!N$2:N$401,$U55)))</f>
        <v/>
      </c>
      <c r="O55" s="7">
        <f>IF($U55="","",IF(INDEX('Per Invoice'!O$2:O$401,$U55)="","",INDEX('Per Invoice'!O$2:O$401,$U55)))</f>
        <v/>
      </c>
      <c r="P55" s="7">
        <f>IF($U55="","",IF(INDEX('Per Invoice'!P$2:P$401,$U55)="","",INDEX('Per Invoice'!P$2:P$401,$U55)))</f>
        <v/>
      </c>
      <c r="Q55" s="7">
        <f>IF($U55="","",IF(INDEX('Per Invoice'!Q$2:Q$401,$U55)="","",INDEX('Per Invoice'!Q$2:Q$401,$U55)))</f>
        <v/>
      </c>
      <c r="R55" s="7">
        <f>IF($U55="","",IF(INDEX('Per Invoice'!R$2:R$401,$U55)="","",INDEX('Per Invoice'!R$2:R$401,$U55)))</f>
        <v/>
      </c>
      <c r="S55" s="7">
        <f>IF($U55="","",IF(INDEX('Per Invoice'!S$2:S$401,$U55)="","",INDEX('Per Invoice'!S$2:S$401,$U55)))</f>
        <v/>
      </c>
      <c r="T55" s="7">
        <f>IF($U55="","",IF(INDEX('Per Invoice'!T$2:T$401,$U55)="","",INDEX('Per Invoice'!T$2:T$401,$U55)))</f>
        <v/>
      </c>
      <c r="U55" s="16">
        <f>IFERROR(MATCH(Settings!$C$30&amp;"|"&amp;ROWS($U$2:$U55),'Per Invoice'!$V$2:$V$401,0),"")</f>
        <v/>
      </c>
    </row>
    <row r="56">
      <c r="A56">
        <f>IF($U56="","",IF(INDEX('Per Invoice'!A$2:A$401,$U56)="","",INDEX('Per Invoice'!A$2:A$401,$U56)))</f>
        <v/>
      </c>
      <c r="B56">
        <f>IF($U56="","",IF(INDEX('Per Invoice'!B$2:B$401,$U56)="","",INDEX('Per Invoice'!B$2:B$401,$U56)))</f>
        <v/>
      </c>
      <c r="C56">
        <f>IF($U56="","",IF(INDEX('Per Invoice'!C$2:C$401,$U56)="","",INDEX('Per Invoice'!C$2:C$401,$U56)))</f>
        <v/>
      </c>
      <c r="D56">
        <f>IF($U56="","",IF(INDEX('Per Invoice'!D$2:D$401,$U56)="","",INDEX('Per Invoice'!D$2:D$401,$U56)))</f>
        <v/>
      </c>
      <c r="E56">
        <f>IF($U56="","",IF(INDEX('Per Invoice'!E$2:E$401,$U56)="","",INDEX('Per Invoice'!E$2:E$401,$U56)))</f>
        <v/>
      </c>
      <c r="F56">
        <f>IF($U56="","",IF(INDEX('Per Invoice'!F$2:F$401,$U56)="","",INDEX('Per Invoice'!F$2:F$401,$U56)))</f>
        <v/>
      </c>
      <c r="G56">
        <f>IF($U56="","",IF(INDEX('Per Invoice'!G$2:G$401,$U56)="","",INDEX('Per Invoice'!G$2:G$401,$U56)))</f>
        <v/>
      </c>
      <c r="H56" s="7">
        <f>IF($U56="","",IF(INDEX('Per Invoice'!H$2:H$401,$U56)="","",INDEX('Per Invoice'!H$2:H$401,$U56)))</f>
        <v/>
      </c>
      <c r="I56" s="14">
        <f>IF($U56="","",IF(INDEX('Per Invoice'!I$2:I$401,$U56)="","",INDEX('Per Invoice'!I$2:I$401,$U56)))</f>
        <v/>
      </c>
      <c r="J56">
        <f>IF($U56="","",IF(INDEX('Per Invoice'!J$2:J$401,$U56)="","",INDEX('Per Invoice'!J$2:J$401,$U56)))</f>
        <v/>
      </c>
      <c r="K56">
        <f>IF($U56="","",IF(INDEX('Per Invoice'!K$2:K$401,$U56)="","",INDEX('Per Invoice'!K$2:K$401,$U56)))</f>
        <v/>
      </c>
      <c r="L56" s="7">
        <f>IF($U56="","",IF(INDEX('Per Invoice'!L$2:L$401,$U56)="","",INDEX('Per Invoice'!L$2:L$401,$U56)))</f>
        <v/>
      </c>
      <c r="M56" s="7">
        <f>IF($U56="","",IF(INDEX('Per Invoice'!M$2:M$401,$U56)="","",INDEX('Per Invoice'!M$2:M$401,$U56)))</f>
        <v/>
      </c>
      <c r="N56">
        <f>IF($U56="","",IF(INDEX('Per Invoice'!N$2:N$401,$U56)="","",INDEX('Per Invoice'!N$2:N$401,$U56)))</f>
        <v/>
      </c>
      <c r="O56" s="7">
        <f>IF($U56="","",IF(INDEX('Per Invoice'!O$2:O$401,$U56)="","",INDEX('Per Invoice'!O$2:O$401,$U56)))</f>
        <v/>
      </c>
      <c r="P56" s="7">
        <f>IF($U56="","",IF(INDEX('Per Invoice'!P$2:P$401,$U56)="","",INDEX('Per Invoice'!P$2:P$401,$U56)))</f>
        <v/>
      </c>
      <c r="Q56" s="7">
        <f>IF($U56="","",IF(INDEX('Per Invoice'!Q$2:Q$401,$U56)="","",INDEX('Per Invoice'!Q$2:Q$401,$U56)))</f>
        <v/>
      </c>
      <c r="R56" s="7">
        <f>IF($U56="","",IF(INDEX('Per Invoice'!R$2:R$401,$U56)="","",INDEX('Per Invoice'!R$2:R$401,$U56)))</f>
        <v/>
      </c>
      <c r="S56" s="7">
        <f>IF($U56="","",IF(INDEX('Per Invoice'!S$2:S$401,$U56)="","",INDEX('Per Invoice'!S$2:S$401,$U56)))</f>
        <v/>
      </c>
      <c r="T56" s="7">
        <f>IF($U56="","",IF(INDEX('Per Invoice'!T$2:T$401,$U56)="","",INDEX('Per Invoice'!T$2:T$401,$U56)))</f>
        <v/>
      </c>
      <c r="U56" s="16">
        <f>IFERROR(MATCH(Settings!$C$30&amp;"|"&amp;ROWS($U$2:$U56),'Per Invoice'!$V$2:$V$401,0),"")</f>
        <v/>
      </c>
    </row>
    <row r="57">
      <c r="A57">
        <f>IF($U57="","",IF(INDEX('Per Invoice'!A$2:A$401,$U57)="","",INDEX('Per Invoice'!A$2:A$401,$U57)))</f>
        <v/>
      </c>
      <c r="B57">
        <f>IF($U57="","",IF(INDEX('Per Invoice'!B$2:B$401,$U57)="","",INDEX('Per Invoice'!B$2:B$401,$U57)))</f>
        <v/>
      </c>
      <c r="C57">
        <f>IF($U57="","",IF(INDEX('Per Invoice'!C$2:C$401,$U57)="","",INDEX('Per Invoice'!C$2:C$401,$U57)))</f>
        <v/>
      </c>
      <c r="D57">
        <f>IF($U57="","",IF(INDEX('Per Invoice'!D$2:D$401,$U57)="","",INDEX('Per Invoice'!D$2:D$401,$U57)))</f>
        <v/>
      </c>
      <c r="E57">
        <f>IF($U57="","",IF(INDEX('Per Invoice'!E$2:E$401,$U57)="","",INDEX('Per Invoice'!E$2:E$401,$U57)))</f>
        <v/>
      </c>
      <c r="F57">
        <f>IF($U57="","",IF(INDEX('Per Invoice'!F$2:F$401,$U57)="","",INDEX('Per Invoice'!F$2:F$401,$U57)))</f>
        <v/>
      </c>
      <c r="G57">
        <f>IF($U57="","",IF(INDEX('Per Invoice'!G$2:G$401,$U57)="","",INDEX('Per Invoice'!G$2:G$401,$U57)))</f>
        <v/>
      </c>
      <c r="H57" s="7">
        <f>IF($U57="","",IF(INDEX('Per Invoice'!H$2:H$401,$U57)="","",INDEX('Per Invoice'!H$2:H$401,$U57)))</f>
        <v/>
      </c>
      <c r="I57" s="14">
        <f>IF($U57="","",IF(INDEX('Per Invoice'!I$2:I$401,$U57)="","",INDEX('Per Invoice'!I$2:I$401,$U57)))</f>
        <v/>
      </c>
      <c r="J57">
        <f>IF($U57="","",IF(INDEX('Per Invoice'!J$2:J$401,$U57)="","",INDEX('Per Invoice'!J$2:J$401,$U57)))</f>
        <v/>
      </c>
      <c r="K57">
        <f>IF($U57="","",IF(INDEX('Per Invoice'!K$2:K$401,$U57)="","",INDEX('Per Invoice'!K$2:K$401,$U57)))</f>
        <v/>
      </c>
      <c r="L57" s="7">
        <f>IF($U57="","",IF(INDEX('Per Invoice'!L$2:L$401,$U57)="","",INDEX('Per Invoice'!L$2:L$401,$U57)))</f>
        <v/>
      </c>
      <c r="M57" s="7">
        <f>IF($U57="","",IF(INDEX('Per Invoice'!M$2:M$401,$U57)="","",INDEX('Per Invoice'!M$2:M$401,$U57)))</f>
        <v/>
      </c>
      <c r="N57">
        <f>IF($U57="","",IF(INDEX('Per Invoice'!N$2:N$401,$U57)="","",INDEX('Per Invoice'!N$2:N$401,$U57)))</f>
        <v/>
      </c>
      <c r="O57" s="7">
        <f>IF($U57="","",IF(INDEX('Per Invoice'!O$2:O$401,$U57)="","",INDEX('Per Invoice'!O$2:O$401,$U57)))</f>
        <v/>
      </c>
      <c r="P57" s="7">
        <f>IF($U57="","",IF(INDEX('Per Invoice'!P$2:P$401,$U57)="","",INDEX('Per Invoice'!P$2:P$401,$U57)))</f>
        <v/>
      </c>
      <c r="Q57" s="7">
        <f>IF($U57="","",IF(INDEX('Per Invoice'!Q$2:Q$401,$U57)="","",INDEX('Per Invoice'!Q$2:Q$401,$U57)))</f>
        <v/>
      </c>
      <c r="R57" s="7">
        <f>IF($U57="","",IF(INDEX('Per Invoice'!R$2:R$401,$U57)="","",INDEX('Per Invoice'!R$2:R$401,$U57)))</f>
        <v/>
      </c>
      <c r="S57" s="7">
        <f>IF($U57="","",IF(INDEX('Per Invoice'!S$2:S$401,$U57)="","",INDEX('Per Invoice'!S$2:S$401,$U57)))</f>
        <v/>
      </c>
      <c r="T57" s="7">
        <f>IF($U57="","",IF(INDEX('Per Invoice'!T$2:T$401,$U57)="","",INDEX('Per Invoice'!T$2:T$401,$U57)))</f>
        <v/>
      </c>
      <c r="U57" s="16">
        <f>IFERROR(MATCH(Settings!$C$30&amp;"|"&amp;ROWS($U$2:$U57),'Per Invoice'!$V$2:$V$401,0),"")</f>
        <v/>
      </c>
    </row>
    <row r="58">
      <c r="A58">
        <f>IF($U58="","",IF(INDEX('Per Invoice'!A$2:A$401,$U58)="","",INDEX('Per Invoice'!A$2:A$401,$U58)))</f>
        <v/>
      </c>
      <c r="B58">
        <f>IF($U58="","",IF(INDEX('Per Invoice'!B$2:B$401,$U58)="","",INDEX('Per Invoice'!B$2:B$401,$U58)))</f>
        <v/>
      </c>
      <c r="C58">
        <f>IF($U58="","",IF(INDEX('Per Invoice'!C$2:C$401,$U58)="","",INDEX('Per Invoice'!C$2:C$401,$U58)))</f>
        <v/>
      </c>
      <c r="D58">
        <f>IF($U58="","",IF(INDEX('Per Invoice'!D$2:D$401,$U58)="","",INDEX('Per Invoice'!D$2:D$401,$U58)))</f>
        <v/>
      </c>
      <c r="E58">
        <f>IF($U58="","",IF(INDEX('Per Invoice'!E$2:E$401,$U58)="","",INDEX('Per Invoice'!E$2:E$401,$U58)))</f>
        <v/>
      </c>
      <c r="F58">
        <f>IF($U58="","",IF(INDEX('Per Invoice'!F$2:F$401,$U58)="","",INDEX('Per Invoice'!F$2:F$401,$U58)))</f>
        <v/>
      </c>
      <c r="G58">
        <f>IF($U58="","",IF(INDEX('Per Invoice'!G$2:G$401,$U58)="","",INDEX('Per Invoice'!G$2:G$401,$U58)))</f>
        <v/>
      </c>
      <c r="H58" s="7">
        <f>IF($U58="","",IF(INDEX('Per Invoice'!H$2:H$401,$U58)="","",INDEX('Per Invoice'!H$2:H$401,$U58)))</f>
        <v/>
      </c>
      <c r="I58" s="14">
        <f>IF($U58="","",IF(INDEX('Per Invoice'!I$2:I$401,$U58)="","",INDEX('Per Invoice'!I$2:I$401,$U58)))</f>
        <v/>
      </c>
      <c r="J58">
        <f>IF($U58="","",IF(INDEX('Per Invoice'!J$2:J$401,$U58)="","",INDEX('Per Invoice'!J$2:J$401,$U58)))</f>
        <v/>
      </c>
      <c r="K58">
        <f>IF($U58="","",IF(INDEX('Per Invoice'!K$2:K$401,$U58)="","",INDEX('Per Invoice'!K$2:K$401,$U58)))</f>
        <v/>
      </c>
      <c r="L58" s="7">
        <f>IF($U58="","",IF(INDEX('Per Invoice'!L$2:L$401,$U58)="","",INDEX('Per Invoice'!L$2:L$401,$U58)))</f>
        <v/>
      </c>
      <c r="M58" s="7">
        <f>IF($U58="","",IF(INDEX('Per Invoice'!M$2:M$401,$U58)="","",INDEX('Per Invoice'!M$2:M$401,$U58)))</f>
        <v/>
      </c>
      <c r="N58">
        <f>IF($U58="","",IF(INDEX('Per Invoice'!N$2:N$401,$U58)="","",INDEX('Per Invoice'!N$2:N$401,$U58)))</f>
        <v/>
      </c>
      <c r="O58" s="7">
        <f>IF($U58="","",IF(INDEX('Per Invoice'!O$2:O$401,$U58)="","",INDEX('Per Invoice'!O$2:O$401,$U58)))</f>
        <v/>
      </c>
      <c r="P58" s="7">
        <f>IF($U58="","",IF(INDEX('Per Invoice'!P$2:P$401,$U58)="","",INDEX('Per Invoice'!P$2:P$401,$U58)))</f>
        <v/>
      </c>
      <c r="Q58" s="7">
        <f>IF($U58="","",IF(INDEX('Per Invoice'!Q$2:Q$401,$U58)="","",INDEX('Per Invoice'!Q$2:Q$401,$U58)))</f>
        <v/>
      </c>
      <c r="R58" s="7">
        <f>IF($U58="","",IF(INDEX('Per Invoice'!R$2:R$401,$U58)="","",INDEX('Per Invoice'!R$2:R$401,$U58)))</f>
        <v/>
      </c>
      <c r="S58" s="7">
        <f>IF($U58="","",IF(INDEX('Per Invoice'!S$2:S$401,$U58)="","",INDEX('Per Invoice'!S$2:S$401,$U58)))</f>
        <v/>
      </c>
      <c r="T58" s="7">
        <f>IF($U58="","",IF(INDEX('Per Invoice'!T$2:T$401,$U58)="","",INDEX('Per Invoice'!T$2:T$401,$U58)))</f>
        <v/>
      </c>
      <c r="U58" s="16">
        <f>IFERROR(MATCH(Settings!$C$30&amp;"|"&amp;ROWS($U$2:$U58),'Per Invoice'!$V$2:$V$401,0),"")</f>
        <v/>
      </c>
    </row>
    <row r="59">
      <c r="A59">
        <f>IF($U59="","",IF(INDEX('Per Invoice'!A$2:A$401,$U59)="","",INDEX('Per Invoice'!A$2:A$401,$U59)))</f>
        <v/>
      </c>
      <c r="B59">
        <f>IF($U59="","",IF(INDEX('Per Invoice'!B$2:B$401,$U59)="","",INDEX('Per Invoice'!B$2:B$401,$U59)))</f>
        <v/>
      </c>
      <c r="C59">
        <f>IF($U59="","",IF(INDEX('Per Invoice'!C$2:C$401,$U59)="","",INDEX('Per Invoice'!C$2:C$401,$U59)))</f>
        <v/>
      </c>
      <c r="D59">
        <f>IF($U59="","",IF(INDEX('Per Invoice'!D$2:D$401,$U59)="","",INDEX('Per Invoice'!D$2:D$401,$U59)))</f>
        <v/>
      </c>
      <c r="E59">
        <f>IF($U59="","",IF(INDEX('Per Invoice'!E$2:E$401,$U59)="","",INDEX('Per Invoice'!E$2:E$401,$U59)))</f>
        <v/>
      </c>
      <c r="F59">
        <f>IF($U59="","",IF(INDEX('Per Invoice'!F$2:F$401,$U59)="","",INDEX('Per Invoice'!F$2:F$401,$U59)))</f>
        <v/>
      </c>
      <c r="G59">
        <f>IF($U59="","",IF(INDEX('Per Invoice'!G$2:G$401,$U59)="","",INDEX('Per Invoice'!G$2:G$401,$U59)))</f>
        <v/>
      </c>
      <c r="H59" s="7">
        <f>IF($U59="","",IF(INDEX('Per Invoice'!H$2:H$401,$U59)="","",INDEX('Per Invoice'!H$2:H$401,$U59)))</f>
        <v/>
      </c>
      <c r="I59" s="14">
        <f>IF($U59="","",IF(INDEX('Per Invoice'!I$2:I$401,$U59)="","",INDEX('Per Invoice'!I$2:I$401,$U59)))</f>
        <v/>
      </c>
      <c r="J59">
        <f>IF($U59="","",IF(INDEX('Per Invoice'!J$2:J$401,$U59)="","",INDEX('Per Invoice'!J$2:J$401,$U59)))</f>
        <v/>
      </c>
      <c r="K59">
        <f>IF($U59="","",IF(INDEX('Per Invoice'!K$2:K$401,$U59)="","",INDEX('Per Invoice'!K$2:K$401,$U59)))</f>
        <v/>
      </c>
      <c r="L59" s="7">
        <f>IF($U59="","",IF(INDEX('Per Invoice'!L$2:L$401,$U59)="","",INDEX('Per Invoice'!L$2:L$401,$U59)))</f>
        <v/>
      </c>
      <c r="M59" s="7">
        <f>IF($U59="","",IF(INDEX('Per Invoice'!M$2:M$401,$U59)="","",INDEX('Per Invoice'!M$2:M$401,$U59)))</f>
        <v/>
      </c>
      <c r="N59">
        <f>IF($U59="","",IF(INDEX('Per Invoice'!N$2:N$401,$U59)="","",INDEX('Per Invoice'!N$2:N$401,$U59)))</f>
        <v/>
      </c>
      <c r="O59" s="7">
        <f>IF($U59="","",IF(INDEX('Per Invoice'!O$2:O$401,$U59)="","",INDEX('Per Invoice'!O$2:O$401,$U59)))</f>
        <v/>
      </c>
      <c r="P59" s="7">
        <f>IF($U59="","",IF(INDEX('Per Invoice'!P$2:P$401,$U59)="","",INDEX('Per Invoice'!P$2:P$401,$U59)))</f>
        <v/>
      </c>
      <c r="Q59" s="7">
        <f>IF($U59="","",IF(INDEX('Per Invoice'!Q$2:Q$401,$U59)="","",INDEX('Per Invoice'!Q$2:Q$401,$U59)))</f>
        <v/>
      </c>
      <c r="R59" s="7">
        <f>IF($U59="","",IF(INDEX('Per Invoice'!R$2:R$401,$U59)="","",INDEX('Per Invoice'!R$2:R$401,$U59)))</f>
        <v/>
      </c>
      <c r="S59" s="7">
        <f>IF($U59="","",IF(INDEX('Per Invoice'!S$2:S$401,$U59)="","",INDEX('Per Invoice'!S$2:S$401,$U59)))</f>
        <v/>
      </c>
      <c r="T59" s="7">
        <f>IF($U59="","",IF(INDEX('Per Invoice'!T$2:T$401,$U59)="","",INDEX('Per Invoice'!T$2:T$401,$U59)))</f>
        <v/>
      </c>
      <c r="U59" s="16">
        <f>IFERROR(MATCH(Settings!$C$30&amp;"|"&amp;ROWS($U$2:$U59),'Per Invoice'!$V$2:$V$401,0),"")</f>
        <v/>
      </c>
    </row>
    <row r="60">
      <c r="A60">
        <f>IF($U60="","",IF(INDEX('Per Invoice'!A$2:A$401,$U60)="","",INDEX('Per Invoice'!A$2:A$401,$U60)))</f>
        <v/>
      </c>
      <c r="B60">
        <f>IF($U60="","",IF(INDEX('Per Invoice'!B$2:B$401,$U60)="","",INDEX('Per Invoice'!B$2:B$401,$U60)))</f>
        <v/>
      </c>
      <c r="C60">
        <f>IF($U60="","",IF(INDEX('Per Invoice'!C$2:C$401,$U60)="","",INDEX('Per Invoice'!C$2:C$401,$U60)))</f>
        <v/>
      </c>
      <c r="D60">
        <f>IF($U60="","",IF(INDEX('Per Invoice'!D$2:D$401,$U60)="","",INDEX('Per Invoice'!D$2:D$401,$U60)))</f>
        <v/>
      </c>
      <c r="E60">
        <f>IF($U60="","",IF(INDEX('Per Invoice'!E$2:E$401,$U60)="","",INDEX('Per Invoice'!E$2:E$401,$U60)))</f>
        <v/>
      </c>
      <c r="F60">
        <f>IF($U60="","",IF(INDEX('Per Invoice'!F$2:F$401,$U60)="","",INDEX('Per Invoice'!F$2:F$401,$U60)))</f>
        <v/>
      </c>
      <c r="G60">
        <f>IF($U60="","",IF(INDEX('Per Invoice'!G$2:G$401,$U60)="","",INDEX('Per Invoice'!G$2:G$401,$U60)))</f>
        <v/>
      </c>
      <c r="H60" s="7">
        <f>IF($U60="","",IF(INDEX('Per Invoice'!H$2:H$401,$U60)="","",INDEX('Per Invoice'!H$2:H$401,$U60)))</f>
        <v/>
      </c>
      <c r="I60" s="14">
        <f>IF($U60="","",IF(INDEX('Per Invoice'!I$2:I$401,$U60)="","",INDEX('Per Invoice'!I$2:I$401,$U60)))</f>
        <v/>
      </c>
      <c r="J60">
        <f>IF($U60="","",IF(INDEX('Per Invoice'!J$2:J$401,$U60)="","",INDEX('Per Invoice'!J$2:J$401,$U60)))</f>
        <v/>
      </c>
      <c r="K60">
        <f>IF($U60="","",IF(INDEX('Per Invoice'!K$2:K$401,$U60)="","",INDEX('Per Invoice'!K$2:K$401,$U60)))</f>
        <v/>
      </c>
      <c r="L60" s="7">
        <f>IF($U60="","",IF(INDEX('Per Invoice'!L$2:L$401,$U60)="","",INDEX('Per Invoice'!L$2:L$401,$U60)))</f>
        <v/>
      </c>
      <c r="M60" s="7">
        <f>IF($U60="","",IF(INDEX('Per Invoice'!M$2:M$401,$U60)="","",INDEX('Per Invoice'!M$2:M$401,$U60)))</f>
        <v/>
      </c>
      <c r="N60">
        <f>IF($U60="","",IF(INDEX('Per Invoice'!N$2:N$401,$U60)="","",INDEX('Per Invoice'!N$2:N$401,$U60)))</f>
        <v/>
      </c>
      <c r="O60" s="7">
        <f>IF($U60="","",IF(INDEX('Per Invoice'!O$2:O$401,$U60)="","",INDEX('Per Invoice'!O$2:O$401,$U60)))</f>
        <v/>
      </c>
      <c r="P60" s="7">
        <f>IF($U60="","",IF(INDEX('Per Invoice'!P$2:P$401,$U60)="","",INDEX('Per Invoice'!P$2:P$401,$U60)))</f>
        <v/>
      </c>
      <c r="Q60" s="7">
        <f>IF($U60="","",IF(INDEX('Per Invoice'!Q$2:Q$401,$U60)="","",INDEX('Per Invoice'!Q$2:Q$401,$U60)))</f>
        <v/>
      </c>
      <c r="R60" s="7">
        <f>IF($U60="","",IF(INDEX('Per Invoice'!R$2:R$401,$U60)="","",INDEX('Per Invoice'!R$2:R$401,$U60)))</f>
        <v/>
      </c>
      <c r="S60" s="7">
        <f>IF($U60="","",IF(INDEX('Per Invoice'!S$2:S$401,$U60)="","",INDEX('Per Invoice'!S$2:S$401,$U60)))</f>
        <v/>
      </c>
      <c r="T60" s="7">
        <f>IF($U60="","",IF(INDEX('Per Invoice'!T$2:T$401,$U60)="","",INDEX('Per Invoice'!T$2:T$401,$U60)))</f>
        <v/>
      </c>
      <c r="U60" s="16">
        <f>IFERROR(MATCH(Settings!$C$30&amp;"|"&amp;ROWS($U$2:$U60),'Per Invoice'!$V$2:$V$401,0),"")</f>
        <v/>
      </c>
    </row>
    <row r="61">
      <c r="A61">
        <f>IF($U61="","",IF(INDEX('Per Invoice'!A$2:A$401,$U61)="","",INDEX('Per Invoice'!A$2:A$401,$U61)))</f>
        <v/>
      </c>
      <c r="B61">
        <f>IF($U61="","",IF(INDEX('Per Invoice'!B$2:B$401,$U61)="","",INDEX('Per Invoice'!B$2:B$401,$U61)))</f>
        <v/>
      </c>
      <c r="C61">
        <f>IF($U61="","",IF(INDEX('Per Invoice'!C$2:C$401,$U61)="","",INDEX('Per Invoice'!C$2:C$401,$U61)))</f>
        <v/>
      </c>
      <c r="D61">
        <f>IF($U61="","",IF(INDEX('Per Invoice'!D$2:D$401,$U61)="","",INDEX('Per Invoice'!D$2:D$401,$U61)))</f>
        <v/>
      </c>
      <c r="E61">
        <f>IF($U61="","",IF(INDEX('Per Invoice'!E$2:E$401,$U61)="","",INDEX('Per Invoice'!E$2:E$401,$U61)))</f>
        <v/>
      </c>
      <c r="F61">
        <f>IF($U61="","",IF(INDEX('Per Invoice'!F$2:F$401,$U61)="","",INDEX('Per Invoice'!F$2:F$401,$U61)))</f>
        <v/>
      </c>
      <c r="G61">
        <f>IF($U61="","",IF(INDEX('Per Invoice'!G$2:G$401,$U61)="","",INDEX('Per Invoice'!G$2:G$401,$U61)))</f>
        <v/>
      </c>
      <c r="H61" s="7">
        <f>IF($U61="","",IF(INDEX('Per Invoice'!H$2:H$401,$U61)="","",INDEX('Per Invoice'!H$2:H$401,$U61)))</f>
        <v/>
      </c>
      <c r="I61" s="14">
        <f>IF($U61="","",IF(INDEX('Per Invoice'!I$2:I$401,$U61)="","",INDEX('Per Invoice'!I$2:I$401,$U61)))</f>
        <v/>
      </c>
      <c r="J61">
        <f>IF($U61="","",IF(INDEX('Per Invoice'!J$2:J$401,$U61)="","",INDEX('Per Invoice'!J$2:J$401,$U61)))</f>
        <v/>
      </c>
      <c r="K61">
        <f>IF($U61="","",IF(INDEX('Per Invoice'!K$2:K$401,$U61)="","",INDEX('Per Invoice'!K$2:K$401,$U61)))</f>
        <v/>
      </c>
      <c r="L61" s="7">
        <f>IF($U61="","",IF(INDEX('Per Invoice'!L$2:L$401,$U61)="","",INDEX('Per Invoice'!L$2:L$401,$U61)))</f>
        <v/>
      </c>
      <c r="M61" s="7">
        <f>IF($U61="","",IF(INDEX('Per Invoice'!M$2:M$401,$U61)="","",INDEX('Per Invoice'!M$2:M$401,$U61)))</f>
        <v/>
      </c>
      <c r="N61">
        <f>IF($U61="","",IF(INDEX('Per Invoice'!N$2:N$401,$U61)="","",INDEX('Per Invoice'!N$2:N$401,$U61)))</f>
        <v/>
      </c>
      <c r="O61" s="7">
        <f>IF($U61="","",IF(INDEX('Per Invoice'!O$2:O$401,$U61)="","",INDEX('Per Invoice'!O$2:O$401,$U61)))</f>
        <v/>
      </c>
      <c r="P61" s="7">
        <f>IF($U61="","",IF(INDEX('Per Invoice'!P$2:P$401,$U61)="","",INDEX('Per Invoice'!P$2:P$401,$U61)))</f>
        <v/>
      </c>
      <c r="Q61" s="7">
        <f>IF($U61="","",IF(INDEX('Per Invoice'!Q$2:Q$401,$U61)="","",INDEX('Per Invoice'!Q$2:Q$401,$U61)))</f>
        <v/>
      </c>
      <c r="R61" s="7">
        <f>IF($U61="","",IF(INDEX('Per Invoice'!R$2:R$401,$U61)="","",INDEX('Per Invoice'!R$2:R$401,$U61)))</f>
        <v/>
      </c>
      <c r="S61" s="7">
        <f>IF($U61="","",IF(INDEX('Per Invoice'!S$2:S$401,$U61)="","",INDEX('Per Invoice'!S$2:S$401,$U61)))</f>
        <v/>
      </c>
      <c r="T61" s="7">
        <f>IF($U61="","",IF(INDEX('Per Invoice'!T$2:T$401,$U61)="","",INDEX('Per Invoice'!T$2:T$401,$U61)))</f>
        <v/>
      </c>
      <c r="U61" s="16">
        <f>IFERROR(MATCH(Settings!$C$30&amp;"|"&amp;ROWS($U$2:$U61),'Per Invoice'!$V$2:$V$401,0),"")</f>
        <v/>
      </c>
    </row>
    <row r="62">
      <c r="A62">
        <f>IF($U62="","",IF(INDEX('Per Invoice'!A$2:A$401,$U62)="","",INDEX('Per Invoice'!A$2:A$401,$U62)))</f>
        <v/>
      </c>
      <c r="B62">
        <f>IF($U62="","",IF(INDEX('Per Invoice'!B$2:B$401,$U62)="","",INDEX('Per Invoice'!B$2:B$401,$U62)))</f>
        <v/>
      </c>
      <c r="C62">
        <f>IF($U62="","",IF(INDEX('Per Invoice'!C$2:C$401,$U62)="","",INDEX('Per Invoice'!C$2:C$401,$U62)))</f>
        <v/>
      </c>
      <c r="D62">
        <f>IF($U62="","",IF(INDEX('Per Invoice'!D$2:D$401,$U62)="","",INDEX('Per Invoice'!D$2:D$401,$U62)))</f>
        <v/>
      </c>
      <c r="E62">
        <f>IF($U62="","",IF(INDEX('Per Invoice'!E$2:E$401,$U62)="","",INDEX('Per Invoice'!E$2:E$401,$U62)))</f>
        <v/>
      </c>
      <c r="F62">
        <f>IF($U62="","",IF(INDEX('Per Invoice'!F$2:F$401,$U62)="","",INDEX('Per Invoice'!F$2:F$401,$U62)))</f>
        <v/>
      </c>
      <c r="G62">
        <f>IF($U62="","",IF(INDEX('Per Invoice'!G$2:G$401,$U62)="","",INDEX('Per Invoice'!G$2:G$401,$U62)))</f>
        <v/>
      </c>
      <c r="H62" s="7">
        <f>IF($U62="","",IF(INDEX('Per Invoice'!H$2:H$401,$U62)="","",INDEX('Per Invoice'!H$2:H$401,$U62)))</f>
        <v/>
      </c>
      <c r="I62" s="14">
        <f>IF($U62="","",IF(INDEX('Per Invoice'!I$2:I$401,$U62)="","",INDEX('Per Invoice'!I$2:I$401,$U62)))</f>
        <v/>
      </c>
      <c r="J62">
        <f>IF($U62="","",IF(INDEX('Per Invoice'!J$2:J$401,$U62)="","",INDEX('Per Invoice'!J$2:J$401,$U62)))</f>
        <v/>
      </c>
      <c r="K62">
        <f>IF($U62="","",IF(INDEX('Per Invoice'!K$2:K$401,$U62)="","",INDEX('Per Invoice'!K$2:K$401,$U62)))</f>
        <v/>
      </c>
      <c r="L62" s="7">
        <f>IF($U62="","",IF(INDEX('Per Invoice'!L$2:L$401,$U62)="","",INDEX('Per Invoice'!L$2:L$401,$U62)))</f>
        <v/>
      </c>
      <c r="M62" s="7">
        <f>IF($U62="","",IF(INDEX('Per Invoice'!M$2:M$401,$U62)="","",INDEX('Per Invoice'!M$2:M$401,$U62)))</f>
        <v/>
      </c>
      <c r="N62">
        <f>IF($U62="","",IF(INDEX('Per Invoice'!N$2:N$401,$U62)="","",INDEX('Per Invoice'!N$2:N$401,$U62)))</f>
        <v/>
      </c>
      <c r="O62" s="7">
        <f>IF($U62="","",IF(INDEX('Per Invoice'!O$2:O$401,$U62)="","",INDEX('Per Invoice'!O$2:O$401,$U62)))</f>
        <v/>
      </c>
      <c r="P62" s="7">
        <f>IF($U62="","",IF(INDEX('Per Invoice'!P$2:P$401,$U62)="","",INDEX('Per Invoice'!P$2:P$401,$U62)))</f>
        <v/>
      </c>
      <c r="Q62" s="7">
        <f>IF($U62="","",IF(INDEX('Per Invoice'!Q$2:Q$401,$U62)="","",INDEX('Per Invoice'!Q$2:Q$401,$U62)))</f>
        <v/>
      </c>
      <c r="R62" s="7">
        <f>IF($U62="","",IF(INDEX('Per Invoice'!R$2:R$401,$U62)="","",INDEX('Per Invoice'!R$2:R$401,$U62)))</f>
        <v/>
      </c>
      <c r="S62" s="7">
        <f>IF($U62="","",IF(INDEX('Per Invoice'!S$2:S$401,$U62)="","",INDEX('Per Invoice'!S$2:S$401,$U62)))</f>
        <v/>
      </c>
      <c r="T62" s="7">
        <f>IF($U62="","",IF(INDEX('Per Invoice'!T$2:T$401,$U62)="","",INDEX('Per Invoice'!T$2:T$401,$U62)))</f>
        <v/>
      </c>
      <c r="U62" s="16">
        <f>IFERROR(MATCH(Settings!$C$30&amp;"|"&amp;ROWS($U$2:$U62),'Per Invoice'!$V$2:$V$401,0),"")</f>
        <v/>
      </c>
    </row>
    <row r="63">
      <c r="A63">
        <f>IF($U63="","",IF(INDEX('Per Invoice'!A$2:A$401,$U63)="","",INDEX('Per Invoice'!A$2:A$401,$U63)))</f>
        <v/>
      </c>
      <c r="B63">
        <f>IF($U63="","",IF(INDEX('Per Invoice'!B$2:B$401,$U63)="","",INDEX('Per Invoice'!B$2:B$401,$U63)))</f>
        <v/>
      </c>
      <c r="C63">
        <f>IF($U63="","",IF(INDEX('Per Invoice'!C$2:C$401,$U63)="","",INDEX('Per Invoice'!C$2:C$401,$U63)))</f>
        <v/>
      </c>
      <c r="D63">
        <f>IF($U63="","",IF(INDEX('Per Invoice'!D$2:D$401,$U63)="","",INDEX('Per Invoice'!D$2:D$401,$U63)))</f>
        <v/>
      </c>
      <c r="E63">
        <f>IF($U63="","",IF(INDEX('Per Invoice'!E$2:E$401,$U63)="","",INDEX('Per Invoice'!E$2:E$401,$U63)))</f>
        <v/>
      </c>
      <c r="F63">
        <f>IF($U63="","",IF(INDEX('Per Invoice'!F$2:F$401,$U63)="","",INDEX('Per Invoice'!F$2:F$401,$U63)))</f>
        <v/>
      </c>
      <c r="G63">
        <f>IF($U63="","",IF(INDEX('Per Invoice'!G$2:G$401,$U63)="","",INDEX('Per Invoice'!G$2:G$401,$U63)))</f>
        <v/>
      </c>
      <c r="H63" s="7">
        <f>IF($U63="","",IF(INDEX('Per Invoice'!H$2:H$401,$U63)="","",INDEX('Per Invoice'!H$2:H$401,$U63)))</f>
        <v/>
      </c>
      <c r="I63" s="14">
        <f>IF($U63="","",IF(INDEX('Per Invoice'!I$2:I$401,$U63)="","",INDEX('Per Invoice'!I$2:I$401,$U63)))</f>
        <v/>
      </c>
      <c r="J63">
        <f>IF($U63="","",IF(INDEX('Per Invoice'!J$2:J$401,$U63)="","",INDEX('Per Invoice'!J$2:J$401,$U63)))</f>
        <v/>
      </c>
      <c r="K63">
        <f>IF($U63="","",IF(INDEX('Per Invoice'!K$2:K$401,$U63)="","",INDEX('Per Invoice'!K$2:K$401,$U63)))</f>
        <v/>
      </c>
      <c r="L63" s="7">
        <f>IF($U63="","",IF(INDEX('Per Invoice'!L$2:L$401,$U63)="","",INDEX('Per Invoice'!L$2:L$401,$U63)))</f>
        <v/>
      </c>
      <c r="M63" s="7">
        <f>IF($U63="","",IF(INDEX('Per Invoice'!M$2:M$401,$U63)="","",INDEX('Per Invoice'!M$2:M$401,$U63)))</f>
        <v/>
      </c>
      <c r="N63">
        <f>IF($U63="","",IF(INDEX('Per Invoice'!N$2:N$401,$U63)="","",INDEX('Per Invoice'!N$2:N$401,$U63)))</f>
        <v/>
      </c>
      <c r="O63" s="7">
        <f>IF($U63="","",IF(INDEX('Per Invoice'!O$2:O$401,$U63)="","",INDEX('Per Invoice'!O$2:O$401,$U63)))</f>
        <v/>
      </c>
      <c r="P63" s="7">
        <f>IF($U63="","",IF(INDEX('Per Invoice'!P$2:P$401,$U63)="","",INDEX('Per Invoice'!P$2:P$401,$U63)))</f>
        <v/>
      </c>
      <c r="Q63" s="7">
        <f>IF($U63="","",IF(INDEX('Per Invoice'!Q$2:Q$401,$U63)="","",INDEX('Per Invoice'!Q$2:Q$401,$U63)))</f>
        <v/>
      </c>
      <c r="R63" s="7">
        <f>IF($U63="","",IF(INDEX('Per Invoice'!R$2:R$401,$U63)="","",INDEX('Per Invoice'!R$2:R$401,$U63)))</f>
        <v/>
      </c>
      <c r="S63" s="7">
        <f>IF($U63="","",IF(INDEX('Per Invoice'!S$2:S$401,$U63)="","",INDEX('Per Invoice'!S$2:S$401,$U63)))</f>
        <v/>
      </c>
      <c r="T63" s="7">
        <f>IF($U63="","",IF(INDEX('Per Invoice'!T$2:T$401,$U63)="","",INDEX('Per Invoice'!T$2:T$401,$U63)))</f>
        <v/>
      </c>
      <c r="U63" s="16">
        <f>IFERROR(MATCH(Settings!$C$30&amp;"|"&amp;ROWS($U$2:$U63),'Per Invoice'!$V$2:$V$401,0),"")</f>
        <v/>
      </c>
    </row>
    <row r="64">
      <c r="A64">
        <f>IF($U64="","",IF(INDEX('Per Invoice'!A$2:A$401,$U64)="","",INDEX('Per Invoice'!A$2:A$401,$U64)))</f>
        <v/>
      </c>
      <c r="B64">
        <f>IF($U64="","",IF(INDEX('Per Invoice'!B$2:B$401,$U64)="","",INDEX('Per Invoice'!B$2:B$401,$U64)))</f>
        <v/>
      </c>
      <c r="C64">
        <f>IF($U64="","",IF(INDEX('Per Invoice'!C$2:C$401,$U64)="","",INDEX('Per Invoice'!C$2:C$401,$U64)))</f>
        <v/>
      </c>
      <c r="D64">
        <f>IF($U64="","",IF(INDEX('Per Invoice'!D$2:D$401,$U64)="","",INDEX('Per Invoice'!D$2:D$401,$U64)))</f>
        <v/>
      </c>
      <c r="E64">
        <f>IF($U64="","",IF(INDEX('Per Invoice'!E$2:E$401,$U64)="","",INDEX('Per Invoice'!E$2:E$401,$U64)))</f>
        <v/>
      </c>
      <c r="F64">
        <f>IF($U64="","",IF(INDEX('Per Invoice'!F$2:F$401,$U64)="","",INDEX('Per Invoice'!F$2:F$401,$U64)))</f>
        <v/>
      </c>
      <c r="G64">
        <f>IF($U64="","",IF(INDEX('Per Invoice'!G$2:G$401,$U64)="","",INDEX('Per Invoice'!G$2:G$401,$U64)))</f>
        <v/>
      </c>
      <c r="H64" s="7">
        <f>IF($U64="","",IF(INDEX('Per Invoice'!H$2:H$401,$U64)="","",INDEX('Per Invoice'!H$2:H$401,$U64)))</f>
        <v/>
      </c>
      <c r="I64" s="14">
        <f>IF($U64="","",IF(INDEX('Per Invoice'!I$2:I$401,$U64)="","",INDEX('Per Invoice'!I$2:I$401,$U64)))</f>
        <v/>
      </c>
      <c r="J64">
        <f>IF($U64="","",IF(INDEX('Per Invoice'!J$2:J$401,$U64)="","",INDEX('Per Invoice'!J$2:J$401,$U64)))</f>
        <v/>
      </c>
      <c r="K64">
        <f>IF($U64="","",IF(INDEX('Per Invoice'!K$2:K$401,$U64)="","",INDEX('Per Invoice'!K$2:K$401,$U64)))</f>
        <v/>
      </c>
      <c r="L64" s="7">
        <f>IF($U64="","",IF(INDEX('Per Invoice'!L$2:L$401,$U64)="","",INDEX('Per Invoice'!L$2:L$401,$U64)))</f>
        <v/>
      </c>
      <c r="M64" s="7">
        <f>IF($U64="","",IF(INDEX('Per Invoice'!M$2:M$401,$U64)="","",INDEX('Per Invoice'!M$2:M$401,$U64)))</f>
        <v/>
      </c>
      <c r="N64">
        <f>IF($U64="","",IF(INDEX('Per Invoice'!N$2:N$401,$U64)="","",INDEX('Per Invoice'!N$2:N$401,$U64)))</f>
        <v/>
      </c>
      <c r="O64" s="7">
        <f>IF($U64="","",IF(INDEX('Per Invoice'!O$2:O$401,$U64)="","",INDEX('Per Invoice'!O$2:O$401,$U64)))</f>
        <v/>
      </c>
      <c r="P64" s="7">
        <f>IF($U64="","",IF(INDEX('Per Invoice'!P$2:P$401,$U64)="","",INDEX('Per Invoice'!P$2:P$401,$U64)))</f>
        <v/>
      </c>
      <c r="Q64" s="7">
        <f>IF($U64="","",IF(INDEX('Per Invoice'!Q$2:Q$401,$U64)="","",INDEX('Per Invoice'!Q$2:Q$401,$U64)))</f>
        <v/>
      </c>
      <c r="R64" s="7">
        <f>IF($U64="","",IF(INDEX('Per Invoice'!R$2:R$401,$U64)="","",INDEX('Per Invoice'!R$2:R$401,$U64)))</f>
        <v/>
      </c>
      <c r="S64" s="7">
        <f>IF($U64="","",IF(INDEX('Per Invoice'!S$2:S$401,$U64)="","",INDEX('Per Invoice'!S$2:S$401,$U64)))</f>
        <v/>
      </c>
      <c r="T64" s="7">
        <f>IF($U64="","",IF(INDEX('Per Invoice'!T$2:T$401,$U64)="","",INDEX('Per Invoice'!T$2:T$401,$U64)))</f>
        <v/>
      </c>
      <c r="U64" s="16">
        <f>IFERROR(MATCH(Settings!$C$30&amp;"|"&amp;ROWS($U$2:$U64),'Per Invoice'!$V$2:$V$401,0),"")</f>
        <v/>
      </c>
    </row>
    <row r="65">
      <c r="A65">
        <f>IF($U65="","",IF(INDEX('Per Invoice'!A$2:A$401,$U65)="","",INDEX('Per Invoice'!A$2:A$401,$U65)))</f>
        <v/>
      </c>
      <c r="B65">
        <f>IF($U65="","",IF(INDEX('Per Invoice'!B$2:B$401,$U65)="","",INDEX('Per Invoice'!B$2:B$401,$U65)))</f>
        <v/>
      </c>
      <c r="C65">
        <f>IF($U65="","",IF(INDEX('Per Invoice'!C$2:C$401,$U65)="","",INDEX('Per Invoice'!C$2:C$401,$U65)))</f>
        <v/>
      </c>
      <c r="D65">
        <f>IF($U65="","",IF(INDEX('Per Invoice'!D$2:D$401,$U65)="","",INDEX('Per Invoice'!D$2:D$401,$U65)))</f>
        <v/>
      </c>
      <c r="E65">
        <f>IF($U65="","",IF(INDEX('Per Invoice'!E$2:E$401,$U65)="","",INDEX('Per Invoice'!E$2:E$401,$U65)))</f>
        <v/>
      </c>
      <c r="F65">
        <f>IF($U65="","",IF(INDEX('Per Invoice'!F$2:F$401,$U65)="","",INDEX('Per Invoice'!F$2:F$401,$U65)))</f>
        <v/>
      </c>
      <c r="G65">
        <f>IF($U65="","",IF(INDEX('Per Invoice'!G$2:G$401,$U65)="","",INDEX('Per Invoice'!G$2:G$401,$U65)))</f>
        <v/>
      </c>
      <c r="H65" s="7">
        <f>IF($U65="","",IF(INDEX('Per Invoice'!H$2:H$401,$U65)="","",INDEX('Per Invoice'!H$2:H$401,$U65)))</f>
        <v/>
      </c>
      <c r="I65" s="14">
        <f>IF($U65="","",IF(INDEX('Per Invoice'!I$2:I$401,$U65)="","",INDEX('Per Invoice'!I$2:I$401,$U65)))</f>
        <v/>
      </c>
      <c r="J65">
        <f>IF($U65="","",IF(INDEX('Per Invoice'!J$2:J$401,$U65)="","",INDEX('Per Invoice'!J$2:J$401,$U65)))</f>
        <v/>
      </c>
      <c r="K65">
        <f>IF($U65="","",IF(INDEX('Per Invoice'!K$2:K$401,$U65)="","",INDEX('Per Invoice'!K$2:K$401,$U65)))</f>
        <v/>
      </c>
      <c r="L65" s="7">
        <f>IF($U65="","",IF(INDEX('Per Invoice'!L$2:L$401,$U65)="","",INDEX('Per Invoice'!L$2:L$401,$U65)))</f>
        <v/>
      </c>
      <c r="M65" s="7">
        <f>IF($U65="","",IF(INDEX('Per Invoice'!M$2:M$401,$U65)="","",INDEX('Per Invoice'!M$2:M$401,$U65)))</f>
        <v/>
      </c>
      <c r="N65">
        <f>IF($U65="","",IF(INDEX('Per Invoice'!N$2:N$401,$U65)="","",INDEX('Per Invoice'!N$2:N$401,$U65)))</f>
        <v/>
      </c>
      <c r="O65" s="7">
        <f>IF($U65="","",IF(INDEX('Per Invoice'!O$2:O$401,$U65)="","",INDEX('Per Invoice'!O$2:O$401,$U65)))</f>
        <v/>
      </c>
      <c r="P65" s="7">
        <f>IF($U65="","",IF(INDEX('Per Invoice'!P$2:P$401,$U65)="","",INDEX('Per Invoice'!P$2:P$401,$U65)))</f>
        <v/>
      </c>
      <c r="Q65" s="7">
        <f>IF($U65="","",IF(INDEX('Per Invoice'!Q$2:Q$401,$U65)="","",INDEX('Per Invoice'!Q$2:Q$401,$U65)))</f>
        <v/>
      </c>
      <c r="R65" s="7">
        <f>IF($U65="","",IF(INDEX('Per Invoice'!R$2:R$401,$U65)="","",INDEX('Per Invoice'!R$2:R$401,$U65)))</f>
        <v/>
      </c>
      <c r="S65" s="7">
        <f>IF($U65="","",IF(INDEX('Per Invoice'!S$2:S$401,$U65)="","",INDEX('Per Invoice'!S$2:S$401,$U65)))</f>
        <v/>
      </c>
      <c r="T65" s="7">
        <f>IF($U65="","",IF(INDEX('Per Invoice'!T$2:T$401,$U65)="","",INDEX('Per Invoice'!T$2:T$401,$U65)))</f>
        <v/>
      </c>
      <c r="U65" s="16">
        <f>IFERROR(MATCH(Settings!$C$30&amp;"|"&amp;ROWS($U$2:$U65),'Per Invoice'!$V$2:$V$401,0),"")</f>
        <v/>
      </c>
    </row>
    <row r="66">
      <c r="A66">
        <f>IF($U66="","",IF(INDEX('Per Invoice'!A$2:A$401,$U66)="","",INDEX('Per Invoice'!A$2:A$401,$U66)))</f>
        <v/>
      </c>
      <c r="B66">
        <f>IF($U66="","",IF(INDEX('Per Invoice'!B$2:B$401,$U66)="","",INDEX('Per Invoice'!B$2:B$401,$U66)))</f>
        <v/>
      </c>
      <c r="C66">
        <f>IF($U66="","",IF(INDEX('Per Invoice'!C$2:C$401,$U66)="","",INDEX('Per Invoice'!C$2:C$401,$U66)))</f>
        <v/>
      </c>
      <c r="D66">
        <f>IF($U66="","",IF(INDEX('Per Invoice'!D$2:D$401,$U66)="","",INDEX('Per Invoice'!D$2:D$401,$U66)))</f>
        <v/>
      </c>
      <c r="E66">
        <f>IF($U66="","",IF(INDEX('Per Invoice'!E$2:E$401,$U66)="","",INDEX('Per Invoice'!E$2:E$401,$U66)))</f>
        <v/>
      </c>
      <c r="F66">
        <f>IF($U66="","",IF(INDEX('Per Invoice'!F$2:F$401,$U66)="","",INDEX('Per Invoice'!F$2:F$401,$U66)))</f>
        <v/>
      </c>
      <c r="G66">
        <f>IF($U66="","",IF(INDEX('Per Invoice'!G$2:G$401,$U66)="","",INDEX('Per Invoice'!G$2:G$401,$U66)))</f>
        <v/>
      </c>
      <c r="H66" s="7">
        <f>IF($U66="","",IF(INDEX('Per Invoice'!H$2:H$401,$U66)="","",INDEX('Per Invoice'!H$2:H$401,$U66)))</f>
        <v/>
      </c>
      <c r="I66" s="14">
        <f>IF($U66="","",IF(INDEX('Per Invoice'!I$2:I$401,$U66)="","",INDEX('Per Invoice'!I$2:I$401,$U66)))</f>
        <v/>
      </c>
      <c r="J66">
        <f>IF($U66="","",IF(INDEX('Per Invoice'!J$2:J$401,$U66)="","",INDEX('Per Invoice'!J$2:J$401,$U66)))</f>
        <v/>
      </c>
      <c r="K66">
        <f>IF($U66="","",IF(INDEX('Per Invoice'!K$2:K$401,$U66)="","",INDEX('Per Invoice'!K$2:K$401,$U66)))</f>
        <v/>
      </c>
      <c r="L66" s="7">
        <f>IF($U66="","",IF(INDEX('Per Invoice'!L$2:L$401,$U66)="","",INDEX('Per Invoice'!L$2:L$401,$U66)))</f>
        <v/>
      </c>
      <c r="M66" s="7">
        <f>IF($U66="","",IF(INDEX('Per Invoice'!M$2:M$401,$U66)="","",INDEX('Per Invoice'!M$2:M$401,$U66)))</f>
        <v/>
      </c>
      <c r="N66">
        <f>IF($U66="","",IF(INDEX('Per Invoice'!N$2:N$401,$U66)="","",INDEX('Per Invoice'!N$2:N$401,$U66)))</f>
        <v/>
      </c>
      <c r="O66" s="7">
        <f>IF($U66="","",IF(INDEX('Per Invoice'!O$2:O$401,$U66)="","",INDEX('Per Invoice'!O$2:O$401,$U66)))</f>
        <v/>
      </c>
      <c r="P66" s="7">
        <f>IF($U66="","",IF(INDEX('Per Invoice'!P$2:P$401,$U66)="","",INDEX('Per Invoice'!P$2:P$401,$U66)))</f>
        <v/>
      </c>
      <c r="Q66" s="7">
        <f>IF($U66="","",IF(INDEX('Per Invoice'!Q$2:Q$401,$U66)="","",INDEX('Per Invoice'!Q$2:Q$401,$U66)))</f>
        <v/>
      </c>
      <c r="R66" s="7">
        <f>IF($U66="","",IF(INDEX('Per Invoice'!R$2:R$401,$U66)="","",INDEX('Per Invoice'!R$2:R$401,$U66)))</f>
        <v/>
      </c>
      <c r="S66" s="7">
        <f>IF($U66="","",IF(INDEX('Per Invoice'!S$2:S$401,$U66)="","",INDEX('Per Invoice'!S$2:S$401,$U66)))</f>
        <v/>
      </c>
      <c r="T66" s="7">
        <f>IF($U66="","",IF(INDEX('Per Invoice'!T$2:T$401,$U66)="","",INDEX('Per Invoice'!T$2:T$401,$U66)))</f>
        <v/>
      </c>
      <c r="U66" s="16">
        <f>IFERROR(MATCH(Settings!$C$30&amp;"|"&amp;ROWS($U$2:$U66),'Per Invoice'!$V$2:$V$401,0),"")</f>
        <v/>
      </c>
    </row>
    <row r="67">
      <c r="A67">
        <f>IF($U67="","",IF(INDEX('Per Invoice'!A$2:A$401,$U67)="","",INDEX('Per Invoice'!A$2:A$401,$U67)))</f>
        <v/>
      </c>
      <c r="B67">
        <f>IF($U67="","",IF(INDEX('Per Invoice'!B$2:B$401,$U67)="","",INDEX('Per Invoice'!B$2:B$401,$U67)))</f>
        <v/>
      </c>
      <c r="C67">
        <f>IF($U67="","",IF(INDEX('Per Invoice'!C$2:C$401,$U67)="","",INDEX('Per Invoice'!C$2:C$401,$U67)))</f>
        <v/>
      </c>
      <c r="D67">
        <f>IF($U67="","",IF(INDEX('Per Invoice'!D$2:D$401,$U67)="","",INDEX('Per Invoice'!D$2:D$401,$U67)))</f>
        <v/>
      </c>
      <c r="E67">
        <f>IF($U67="","",IF(INDEX('Per Invoice'!E$2:E$401,$U67)="","",INDEX('Per Invoice'!E$2:E$401,$U67)))</f>
        <v/>
      </c>
      <c r="F67">
        <f>IF($U67="","",IF(INDEX('Per Invoice'!F$2:F$401,$U67)="","",INDEX('Per Invoice'!F$2:F$401,$U67)))</f>
        <v/>
      </c>
      <c r="G67">
        <f>IF($U67="","",IF(INDEX('Per Invoice'!G$2:G$401,$U67)="","",INDEX('Per Invoice'!G$2:G$401,$U67)))</f>
        <v/>
      </c>
      <c r="H67" s="7">
        <f>IF($U67="","",IF(INDEX('Per Invoice'!H$2:H$401,$U67)="","",INDEX('Per Invoice'!H$2:H$401,$U67)))</f>
        <v/>
      </c>
      <c r="I67" s="14">
        <f>IF($U67="","",IF(INDEX('Per Invoice'!I$2:I$401,$U67)="","",INDEX('Per Invoice'!I$2:I$401,$U67)))</f>
        <v/>
      </c>
      <c r="J67">
        <f>IF($U67="","",IF(INDEX('Per Invoice'!J$2:J$401,$U67)="","",INDEX('Per Invoice'!J$2:J$401,$U67)))</f>
        <v/>
      </c>
      <c r="K67">
        <f>IF($U67="","",IF(INDEX('Per Invoice'!K$2:K$401,$U67)="","",INDEX('Per Invoice'!K$2:K$401,$U67)))</f>
        <v/>
      </c>
      <c r="L67" s="7">
        <f>IF($U67="","",IF(INDEX('Per Invoice'!L$2:L$401,$U67)="","",INDEX('Per Invoice'!L$2:L$401,$U67)))</f>
        <v/>
      </c>
      <c r="M67" s="7">
        <f>IF($U67="","",IF(INDEX('Per Invoice'!M$2:M$401,$U67)="","",INDEX('Per Invoice'!M$2:M$401,$U67)))</f>
        <v/>
      </c>
      <c r="N67">
        <f>IF($U67="","",IF(INDEX('Per Invoice'!N$2:N$401,$U67)="","",INDEX('Per Invoice'!N$2:N$401,$U67)))</f>
        <v/>
      </c>
      <c r="O67" s="7">
        <f>IF($U67="","",IF(INDEX('Per Invoice'!O$2:O$401,$U67)="","",INDEX('Per Invoice'!O$2:O$401,$U67)))</f>
        <v/>
      </c>
      <c r="P67" s="7">
        <f>IF($U67="","",IF(INDEX('Per Invoice'!P$2:P$401,$U67)="","",INDEX('Per Invoice'!P$2:P$401,$U67)))</f>
        <v/>
      </c>
      <c r="Q67" s="7">
        <f>IF($U67="","",IF(INDEX('Per Invoice'!Q$2:Q$401,$U67)="","",INDEX('Per Invoice'!Q$2:Q$401,$U67)))</f>
        <v/>
      </c>
      <c r="R67" s="7">
        <f>IF($U67="","",IF(INDEX('Per Invoice'!R$2:R$401,$U67)="","",INDEX('Per Invoice'!R$2:R$401,$U67)))</f>
        <v/>
      </c>
      <c r="S67" s="7">
        <f>IF($U67="","",IF(INDEX('Per Invoice'!S$2:S$401,$U67)="","",INDEX('Per Invoice'!S$2:S$401,$U67)))</f>
        <v/>
      </c>
      <c r="T67" s="7">
        <f>IF($U67="","",IF(INDEX('Per Invoice'!T$2:T$401,$U67)="","",INDEX('Per Invoice'!T$2:T$401,$U67)))</f>
        <v/>
      </c>
      <c r="U67" s="16">
        <f>IFERROR(MATCH(Settings!$C$30&amp;"|"&amp;ROWS($U$2:$U67),'Per Invoice'!$V$2:$V$401,0),"")</f>
        <v/>
      </c>
    </row>
    <row r="68">
      <c r="A68">
        <f>IF($U68="","",IF(INDEX('Per Invoice'!A$2:A$401,$U68)="","",INDEX('Per Invoice'!A$2:A$401,$U68)))</f>
        <v/>
      </c>
      <c r="B68">
        <f>IF($U68="","",IF(INDEX('Per Invoice'!B$2:B$401,$U68)="","",INDEX('Per Invoice'!B$2:B$401,$U68)))</f>
        <v/>
      </c>
      <c r="C68">
        <f>IF($U68="","",IF(INDEX('Per Invoice'!C$2:C$401,$U68)="","",INDEX('Per Invoice'!C$2:C$401,$U68)))</f>
        <v/>
      </c>
      <c r="D68">
        <f>IF($U68="","",IF(INDEX('Per Invoice'!D$2:D$401,$U68)="","",INDEX('Per Invoice'!D$2:D$401,$U68)))</f>
        <v/>
      </c>
      <c r="E68">
        <f>IF($U68="","",IF(INDEX('Per Invoice'!E$2:E$401,$U68)="","",INDEX('Per Invoice'!E$2:E$401,$U68)))</f>
        <v/>
      </c>
      <c r="F68">
        <f>IF($U68="","",IF(INDEX('Per Invoice'!F$2:F$401,$U68)="","",INDEX('Per Invoice'!F$2:F$401,$U68)))</f>
        <v/>
      </c>
      <c r="G68">
        <f>IF($U68="","",IF(INDEX('Per Invoice'!G$2:G$401,$U68)="","",INDEX('Per Invoice'!G$2:G$401,$U68)))</f>
        <v/>
      </c>
      <c r="H68" s="7">
        <f>IF($U68="","",IF(INDEX('Per Invoice'!H$2:H$401,$U68)="","",INDEX('Per Invoice'!H$2:H$401,$U68)))</f>
        <v/>
      </c>
      <c r="I68" s="14">
        <f>IF($U68="","",IF(INDEX('Per Invoice'!I$2:I$401,$U68)="","",INDEX('Per Invoice'!I$2:I$401,$U68)))</f>
        <v/>
      </c>
      <c r="J68">
        <f>IF($U68="","",IF(INDEX('Per Invoice'!J$2:J$401,$U68)="","",INDEX('Per Invoice'!J$2:J$401,$U68)))</f>
        <v/>
      </c>
      <c r="K68">
        <f>IF($U68="","",IF(INDEX('Per Invoice'!K$2:K$401,$U68)="","",INDEX('Per Invoice'!K$2:K$401,$U68)))</f>
        <v/>
      </c>
      <c r="L68" s="7">
        <f>IF($U68="","",IF(INDEX('Per Invoice'!L$2:L$401,$U68)="","",INDEX('Per Invoice'!L$2:L$401,$U68)))</f>
        <v/>
      </c>
      <c r="M68" s="7">
        <f>IF($U68="","",IF(INDEX('Per Invoice'!M$2:M$401,$U68)="","",INDEX('Per Invoice'!M$2:M$401,$U68)))</f>
        <v/>
      </c>
      <c r="N68">
        <f>IF($U68="","",IF(INDEX('Per Invoice'!N$2:N$401,$U68)="","",INDEX('Per Invoice'!N$2:N$401,$U68)))</f>
        <v/>
      </c>
      <c r="O68" s="7">
        <f>IF($U68="","",IF(INDEX('Per Invoice'!O$2:O$401,$U68)="","",INDEX('Per Invoice'!O$2:O$401,$U68)))</f>
        <v/>
      </c>
      <c r="P68" s="7">
        <f>IF($U68="","",IF(INDEX('Per Invoice'!P$2:P$401,$U68)="","",INDEX('Per Invoice'!P$2:P$401,$U68)))</f>
        <v/>
      </c>
      <c r="Q68" s="7">
        <f>IF($U68="","",IF(INDEX('Per Invoice'!Q$2:Q$401,$U68)="","",INDEX('Per Invoice'!Q$2:Q$401,$U68)))</f>
        <v/>
      </c>
      <c r="R68" s="7">
        <f>IF($U68="","",IF(INDEX('Per Invoice'!R$2:R$401,$U68)="","",INDEX('Per Invoice'!R$2:R$401,$U68)))</f>
        <v/>
      </c>
      <c r="S68" s="7">
        <f>IF($U68="","",IF(INDEX('Per Invoice'!S$2:S$401,$U68)="","",INDEX('Per Invoice'!S$2:S$401,$U68)))</f>
        <v/>
      </c>
      <c r="T68" s="7">
        <f>IF($U68="","",IF(INDEX('Per Invoice'!T$2:T$401,$U68)="","",INDEX('Per Invoice'!T$2:T$401,$U68)))</f>
        <v/>
      </c>
      <c r="U68" s="16">
        <f>IFERROR(MATCH(Settings!$C$30&amp;"|"&amp;ROWS($U$2:$U68),'Per Invoice'!$V$2:$V$401,0),"")</f>
        <v/>
      </c>
    </row>
    <row r="69">
      <c r="A69">
        <f>IF($U69="","",IF(INDEX('Per Invoice'!A$2:A$401,$U69)="","",INDEX('Per Invoice'!A$2:A$401,$U69)))</f>
        <v/>
      </c>
      <c r="B69">
        <f>IF($U69="","",IF(INDEX('Per Invoice'!B$2:B$401,$U69)="","",INDEX('Per Invoice'!B$2:B$401,$U69)))</f>
        <v/>
      </c>
      <c r="C69">
        <f>IF($U69="","",IF(INDEX('Per Invoice'!C$2:C$401,$U69)="","",INDEX('Per Invoice'!C$2:C$401,$U69)))</f>
        <v/>
      </c>
      <c r="D69">
        <f>IF($U69="","",IF(INDEX('Per Invoice'!D$2:D$401,$U69)="","",INDEX('Per Invoice'!D$2:D$401,$U69)))</f>
        <v/>
      </c>
      <c r="E69">
        <f>IF($U69="","",IF(INDEX('Per Invoice'!E$2:E$401,$U69)="","",INDEX('Per Invoice'!E$2:E$401,$U69)))</f>
        <v/>
      </c>
      <c r="F69">
        <f>IF($U69="","",IF(INDEX('Per Invoice'!F$2:F$401,$U69)="","",INDEX('Per Invoice'!F$2:F$401,$U69)))</f>
        <v/>
      </c>
      <c r="G69">
        <f>IF($U69="","",IF(INDEX('Per Invoice'!G$2:G$401,$U69)="","",INDEX('Per Invoice'!G$2:G$401,$U69)))</f>
        <v/>
      </c>
      <c r="H69" s="7">
        <f>IF($U69="","",IF(INDEX('Per Invoice'!H$2:H$401,$U69)="","",INDEX('Per Invoice'!H$2:H$401,$U69)))</f>
        <v/>
      </c>
      <c r="I69" s="14">
        <f>IF($U69="","",IF(INDEX('Per Invoice'!I$2:I$401,$U69)="","",INDEX('Per Invoice'!I$2:I$401,$U69)))</f>
        <v/>
      </c>
      <c r="J69">
        <f>IF($U69="","",IF(INDEX('Per Invoice'!J$2:J$401,$U69)="","",INDEX('Per Invoice'!J$2:J$401,$U69)))</f>
        <v/>
      </c>
      <c r="K69">
        <f>IF($U69="","",IF(INDEX('Per Invoice'!K$2:K$401,$U69)="","",INDEX('Per Invoice'!K$2:K$401,$U69)))</f>
        <v/>
      </c>
      <c r="L69" s="7">
        <f>IF($U69="","",IF(INDEX('Per Invoice'!L$2:L$401,$U69)="","",INDEX('Per Invoice'!L$2:L$401,$U69)))</f>
        <v/>
      </c>
      <c r="M69" s="7">
        <f>IF($U69="","",IF(INDEX('Per Invoice'!M$2:M$401,$U69)="","",INDEX('Per Invoice'!M$2:M$401,$U69)))</f>
        <v/>
      </c>
      <c r="N69">
        <f>IF($U69="","",IF(INDEX('Per Invoice'!N$2:N$401,$U69)="","",INDEX('Per Invoice'!N$2:N$401,$U69)))</f>
        <v/>
      </c>
      <c r="O69" s="7">
        <f>IF($U69="","",IF(INDEX('Per Invoice'!O$2:O$401,$U69)="","",INDEX('Per Invoice'!O$2:O$401,$U69)))</f>
        <v/>
      </c>
      <c r="P69" s="7">
        <f>IF($U69="","",IF(INDEX('Per Invoice'!P$2:P$401,$U69)="","",INDEX('Per Invoice'!P$2:P$401,$U69)))</f>
        <v/>
      </c>
      <c r="Q69" s="7">
        <f>IF($U69="","",IF(INDEX('Per Invoice'!Q$2:Q$401,$U69)="","",INDEX('Per Invoice'!Q$2:Q$401,$U69)))</f>
        <v/>
      </c>
      <c r="R69" s="7">
        <f>IF($U69="","",IF(INDEX('Per Invoice'!R$2:R$401,$U69)="","",INDEX('Per Invoice'!R$2:R$401,$U69)))</f>
        <v/>
      </c>
      <c r="S69" s="7">
        <f>IF($U69="","",IF(INDEX('Per Invoice'!S$2:S$401,$U69)="","",INDEX('Per Invoice'!S$2:S$401,$U69)))</f>
        <v/>
      </c>
      <c r="T69" s="7">
        <f>IF($U69="","",IF(INDEX('Per Invoice'!T$2:T$401,$U69)="","",INDEX('Per Invoice'!T$2:T$401,$U69)))</f>
        <v/>
      </c>
      <c r="U69" s="16">
        <f>IFERROR(MATCH(Settings!$C$30&amp;"|"&amp;ROWS($U$2:$U69),'Per Invoice'!$V$2:$V$401,0),"")</f>
        <v/>
      </c>
    </row>
    <row r="70">
      <c r="A70">
        <f>IF($U70="","",IF(INDEX('Per Invoice'!A$2:A$401,$U70)="","",INDEX('Per Invoice'!A$2:A$401,$U70)))</f>
        <v/>
      </c>
      <c r="B70">
        <f>IF($U70="","",IF(INDEX('Per Invoice'!B$2:B$401,$U70)="","",INDEX('Per Invoice'!B$2:B$401,$U70)))</f>
        <v/>
      </c>
      <c r="C70">
        <f>IF($U70="","",IF(INDEX('Per Invoice'!C$2:C$401,$U70)="","",INDEX('Per Invoice'!C$2:C$401,$U70)))</f>
        <v/>
      </c>
      <c r="D70">
        <f>IF($U70="","",IF(INDEX('Per Invoice'!D$2:D$401,$U70)="","",INDEX('Per Invoice'!D$2:D$401,$U70)))</f>
        <v/>
      </c>
      <c r="E70">
        <f>IF($U70="","",IF(INDEX('Per Invoice'!E$2:E$401,$U70)="","",INDEX('Per Invoice'!E$2:E$401,$U70)))</f>
        <v/>
      </c>
      <c r="F70">
        <f>IF($U70="","",IF(INDEX('Per Invoice'!F$2:F$401,$U70)="","",INDEX('Per Invoice'!F$2:F$401,$U70)))</f>
        <v/>
      </c>
      <c r="G70">
        <f>IF($U70="","",IF(INDEX('Per Invoice'!G$2:G$401,$U70)="","",INDEX('Per Invoice'!G$2:G$401,$U70)))</f>
        <v/>
      </c>
      <c r="H70" s="7">
        <f>IF($U70="","",IF(INDEX('Per Invoice'!H$2:H$401,$U70)="","",INDEX('Per Invoice'!H$2:H$401,$U70)))</f>
        <v/>
      </c>
      <c r="I70" s="14">
        <f>IF($U70="","",IF(INDEX('Per Invoice'!I$2:I$401,$U70)="","",INDEX('Per Invoice'!I$2:I$401,$U70)))</f>
        <v/>
      </c>
      <c r="J70">
        <f>IF($U70="","",IF(INDEX('Per Invoice'!J$2:J$401,$U70)="","",INDEX('Per Invoice'!J$2:J$401,$U70)))</f>
        <v/>
      </c>
      <c r="K70">
        <f>IF($U70="","",IF(INDEX('Per Invoice'!K$2:K$401,$U70)="","",INDEX('Per Invoice'!K$2:K$401,$U70)))</f>
        <v/>
      </c>
      <c r="L70" s="7">
        <f>IF($U70="","",IF(INDEX('Per Invoice'!L$2:L$401,$U70)="","",INDEX('Per Invoice'!L$2:L$401,$U70)))</f>
        <v/>
      </c>
      <c r="M70" s="7">
        <f>IF($U70="","",IF(INDEX('Per Invoice'!M$2:M$401,$U70)="","",INDEX('Per Invoice'!M$2:M$401,$U70)))</f>
        <v/>
      </c>
      <c r="N70">
        <f>IF($U70="","",IF(INDEX('Per Invoice'!N$2:N$401,$U70)="","",INDEX('Per Invoice'!N$2:N$401,$U70)))</f>
        <v/>
      </c>
      <c r="O70" s="7">
        <f>IF($U70="","",IF(INDEX('Per Invoice'!O$2:O$401,$U70)="","",INDEX('Per Invoice'!O$2:O$401,$U70)))</f>
        <v/>
      </c>
      <c r="P70" s="7">
        <f>IF($U70="","",IF(INDEX('Per Invoice'!P$2:P$401,$U70)="","",INDEX('Per Invoice'!P$2:P$401,$U70)))</f>
        <v/>
      </c>
      <c r="Q70" s="7">
        <f>IF($U70="","",IF(INDEX('Per Invoice'!Q$2:Q$401,$U70)="","",INDEX('Per Invoice'!Q$2:Q$401,$U70)))</f>
        <v/>
      </c>
      <c r="R70" s="7">
        <f>IF($U70="","",IF(INDEX('Per Invoice'!R$2:R$401,$U70)="","",INDEX('Per Invoice'!R$2:R$401,$U70)))</f>
        <v/>
      </c>
      <c r="S70" s="7">
        <f>IF($U70="","",IF(INDEX('Per Invoice'!S$2:S$401,$U70)="","",INDEX('Per Invoice'!S$2:S$401,$U70)))</f>
        <v/>
      </c>
      <c r="T70" s="7">
        <f>IF($U70="","",IF(INDEX('Per Invoice'!T$2:T$401,$U70)="","",INDEX('Per Invoice'!T$2:T$401,$U70)))</f>
        <v/>
      </c>
      <c r="U70" s="16">
        <f>IFERROR(MATCH(Settings!$C$30&amp;"|"&amp;ROWS($U$2:$U70),'Per Invoice'!$V$2:$V$401,0),"")</f>
        <v/>
      </c>
    </row>
    <row r="71">
      <c r="A71">
        <f>IF($U71="","",IF(INDEX('Per Invoice'!A$2:A$401,$U71)="","",INDEX('Per Invoice'!A$2:A$401,$U71)))</f>
        <v/>
      </c>
      <c r="B71">
        <f>IF($U71="","",IF(INDEX('Per Invoice'!B$2:B$401,$U71)="","",INDEX('Per Invoice'!B$2:B$401,$U71)))</f>
        <v/>
      </c>
      <c r="C71">
        <f>IF($U71="","",IF(INDEX('Per Invoice'!C$2:C$401,$U71)="","",INDEX('Per Invoice'!C$2:C$401,$U71)))</f>
        <v/>
      </c>
      <c r="D71">
        <f>IF($U71="","",IF(INDEX('Per Invoice'!D$2:D$401,$U71)="","",INDEX('Per Invoice'!D$2:D$401,$U71)))</f>
        <v/>
      </c>
      <c r="E71">
        <f>IF($U71="","",IF(INDEX('Per Invoice'!E$2:E$401,$U71)="","",INDEX('Per Invoice'!E$2:E$401,$U71)))</f>
        <v/>
      </c>
      <c r="F71">
        <f>IF($U71="","",IF(INDEX('Per Invoice'!F$2:F$401,$U71)="","",INDEX('Per Invoice'!F$2:F$401,$U71)))</f>
        <v/>
      </c>
      <c r="G71">
        <f>IF($U71="","",IF(INDEX('Per Invoice'!G$2:G$401,$U71)="","",INDEX('Per Invoice'!G$2:G$401,$U71)))</f>
        <v/>
      </c>
      <c r="H71" s="7">
        <f>IF($U71="","",IF(INDEX('Per Invoice'!H$2:H$401,$U71)="","",INDEX('Per Invoice'!H$2:H$401,$U71)))</f>
        <v/>
      </c>
      <c r="I71" s="14">
        <f>IF($U71="","",IF(INDEX('Per Invoice'!I$2:I$401,$U71)="","",INDEX('Per Invoice'!I$2:I$401,$U71)))</f>
        <v/>
      </c>
      <c r="J71">
        <f>IF($U71="","",IF(INDEX('Per Invoice'!J$2:J$401,$U71)="","",INDEX('Per Invoice'!J$2:J$401,$U71)))</f>
        <v/>
      </c>
      <c r="K71">
        <f>IF($U71="","",IF(INDEX('Per Invoice'!K$2:K$401,$U71)="","",INDEX('Per Invoice'!K$2:K$401,$U71)))</f>
        <v/>
      </c>
      <c r="L71" s="7">
        <f>IF($U71="","",IF(INDEX('Per Invoice'!L$2:L$401,$U71)="","",INDEX('Per Invoice'!L$2:L$401,$U71)))</f>
        <v/>
      </c>
      <c r="M71" s="7">
        <f>IF($U71="","",IF(INDEX('Per Invoice'!M$2:M$401,$U71)="","",INDEX('Per Invoice'!M$2:M$401,$U71)))</f>
        <v/>
      </c>
      <c r="N71">
        <f>IF($U71="","",IF(INDEX('Per Invoice'!N$2:N$401,$U71)="","",INDEX('Per Invoice'!N$2:N$401,$U71)))</f>
        <v/>
      </c>
      <c r="O71" s="7">
        <f>IF($U71="","",IF(INDEX('Per Invoice'!O$2:O$401,$U71)="","",INDEX('Per Invoice'!O$2:O$401,$U71)))</f>
        <v/>
      </c>
      <c r="P71" s="7">
        <f>IF($U71="","",IF(INDEX('Per Invoice'!P$2:P$401,$U71)="","",INDEX('Per Invoice'!P$2:P$401,$U71)))</f>
        <v/>
      </c>
      <c r="Q71" s="7">
        <f>IF($U71="","",IF(INDEX('Per Invoice'!Q$2:Q$401,$U71)="","",INDEX('Per Invoice'!Q$2:Q$401,$U71)))</f>
        <v/>
      </c>
      <c r="R71" s="7">
        <f>IF($U71="","",IF(INDEX('Per Invoice'!R$2:R$401,$U71)="","",INDEX('Per Invoice'!R$2:R$401,$U71)))</f>
        <v/>
      </c>
      <c r="S71" s="7">
        <f>IF($U71="","",IF(INDEX('Per Invoice'!S$2:S$401,$U71)="","",INDEX('Per Invoice'!S$2:S$401,$U71)))</f>
        <v/>
      </c>
      <c r="T71" s="7">
        <f>IF($U71="","",IF(INDEX('Per Invoice'!T$2:T$401,$U71)="","",INDEX('Per Invoice'!T$2:T$401,$U71)))</f>
        <v/>
      </c>
      <c r="U71" s="16">
        <f>IFERROR(MATCH(Settings!$C$30&amp;"|"&amp;ROWS($U$2:$U71),'Per Invoice'!$V$2:$V$401,0),"")</f>
        <v/>
      </c>
    </row>
    <row r="72">
      <c r="A72">
        <f>IF($U72="","",IF(INDEX('Per Invoice'!A$2:A$401,$U72)="","",INDEX('Per Invoice'!A$2:A$401,$U72)))</f>
        <v/>
      </c>
      <c r="B72">
        <f>IF($U72="","",IF(INDEX('Per Invoice'!B$2:B$401,$U72)="","",INDEX('Per Invoice'!B$2:B$401,$U72)))</f>
        <v/>
      </c>
      <c r="C72">
        <f>IF($U72="","",IF(INDEX('Per Invoice'!C$2:C$401,$U72)="","",INDEX('Per Invoice'!C$2:C$401,$U72)))</f>
        <v/>
      </c>
      <c r="D72">
        <f>IF($U72="","",IF(INDEX('Per Invoice'!D$2:D$401,$U72)="","",INDEX('Per Invoice'!D$2:D$401,$U72)))</f>
        <v/>
      </c>
      <c r="E72">
        <f>IF($U72="","",IF(INDEX('Per Invoice'!E$2:E$401,$U72)="","",INDEX('Per Invoice'!E$2:E$401,$U72)))</f>
        <v/>
      </c>
      <c r="F72">
        <f>IF($U72="","",IF(INDEX('Per Invoice'!F$2:F$401,$U72)="","",INDEX('Per Invoice'!F$2:F$401,$U72)))</f>
        <v/>
      </c>
      <c r="G72">
        <f>IF($U72="","",IF(INDEX('Per Invoice'!G$2:G$401,$U72)="","",INDEX('Per Invoice'!G$2:G$401,$U72)))</f>
        <v/>
      </c>
      <c r="H72" s="7">
        <f>IF($U72="","",IF(INDEX('Per Invoice'!H$2:H$401,$U72)="","",INDEX('Per Invoice'!H$2:H$401,$U72)))</f>
        <v/>
      </c>
      <c r="I72" s="14">
        <f>IF($U72="","",IF(INDEX('Per Invoice'!I$2:I$401,$U72)="","",INDEX('Per Invoice'!I$2:I$401,$U72)))</f>
        <v/>
      </c>
      <c r="J72">
        <f>IF($U72="","",IF(INDEX('Per Invoice'!J$2:J$401,$U72)="","",INDEX('Per Invoice'!J$2:J$401,$U72)))</f>
        <v/>
      </c>
      <c r="K72">
        <f>IF($U72="","",IF(INDEX('Per Invoice'!K$2:K$401,$U72)="","",INDEX('Per Invoice'!K$2:K$401,$U72)))</f>
        <v/>
      </c>
      <c r="L72" s="7">
        <f>IF($U72="","",IF(INDEX('Per Invoice'!L$2:L$401,$U72)="","",INDEX('Per Invoice'!L$2:L$401,$U72)))</f>
        <v/>
      </c>
      <c r="M72" s="7">
        <f>IF($U72="","",IF(INDEX('Per Invoice'!M$2:M$401,$U72)="","",INDEX('Per Invoice'!M$2:M$401,$U72)))</f>
        <v/>
      </c>
      <c r="N72">
        <f>IF($U72="","",IF(INDEX('Per Invoice'!N$2:N$401,$U72)="","",INDEX('Per Invoice'!N$2:N$401,$U72)))</f>
        <v/>
      </c>
      <c r="O72" s="7">
        <f>IF($U72="","",IF(INDEX('Per Invoice'!O$2:O$401,$U72)="","",INDEX('Per Invoice'!O$2:O$401,$U72)))</f>
        <v/>
      </c>
      <c r="P72" s="7">
        <f>IF($U72="","",IF(INDEX('Per Invoice'!P$2:P$401,$U72)="","",INDEX('Per Invoice'!P$2:P$401,$U72)))</f>
        <v/>
      </c>
      <c r="Q72" s="7">
        <f>IF($U72="","",IF(INDEX('Per Invoice'!Q$2:Q$401,$U72)="","",INDEX('Per Invoice'!Q$2:Q$401,$U72)))</f>
        <v/>
      </c>
      <c r="R72" s="7">
        <f>IF($U72="","",IF(INDEX('Per Invoice'!R$2:R$401,$U72)="","",INDEX('Per Invoice'!R$2:R$401,$U72)))</f>
        <v/>
      </c>
      <c r="S72" s="7">
        <f>IF($U72="","",IF(INDEX('Per Invoice'!S$2:S$401,$U72)="","",INDEX('Per Invoice'!S$2:S$401,$U72)))</f>
        <v/>
      </c>
      <c r="T72" s="7">
        <f>IF($U72="","",IF(INDEX('Per Invoice'!T$2:T$401,$U72)="","",INDEX('Per Invoice'!T$2:T$401,$U72)))</f>
        <v/>
      </c>
      <c r="U72" s="16">
        <f>IFERROR(MATCH(Settings!$C$30&amp;"|"&amp;ROWS($U$2:$U72),'Per Invoice'!$V$2:$V$401,0),"")</f>
        <v/>
      </c>
    </row>
    <row r="73">
      <c r="A73">
        <f>IF($U73="","",IF(INDEX('Per Invoice'!A$2:A$401,$U73)="","",INDEX('Per Invoice'!A$2:A$401,$U73)))</f>
        <v/>
      </c>
      <c r="B73">
        <f>IF($U73="","",IF(INDEX('Per Invoice'!B$2:B$401,$U73)="","",INDEX('Per Invoice'!B$2:B$401,$U73)))</f>
        <v/>
      </c>
      <c r="C73">
        <f>IF($U73="","",IF(INDEX('Per Invoice'!C$2:C$401,$U73)="","",INDEX('Per Invoice'!C$2:C$401,$U73)))</f>
        <v/>
      </c>
      <c r="D73">
        <f>IF($U73="","",IF(INDEX('Per Invoice'!D$2:D$401,$U73)="","",INDEX('Per Invoice'!D$2:D$401,$U73)))</f>
        <v/>
      </c>
      <c r="E73">
        <f>IF($U73="","",IF(INDEX('Per Invoice'!E$2:E$401,$U73)="","",INDEX('Per Invoice'!E$2:E$401,$U73)))</f>
        <v/>
      </c>
      <c r="F73">
        <f>IF($U73="","",IF(INDEX('Per Invoice'!F$2:F$401,$U73)="","",INDEX('Per Invoice'!F$2:F$401,$U73)))</f>
        <v/>
      </c>
      <c r="G73">
        <f>IF($U73="","",IF(INDEX('Per Invoice'!G$2:G$401,$U73)="","",INDEX('Per Invoice'!G$2:G$401,$U73)))</f>
        <v/>
      </c>
      <c r="H73" s="7">
        <f>IF($U73="","",IF(INDEX('Per Invoice'!H$2:H$401,$U73)="","",INDEX('Per Invoice'!H$2:H$401,$U73)))</f>
        <v/>
      </c>
      <c r="I73" s="14">
        <f>IF($U73="","",IF(INDEX('Per Invoice'!I$2:I$401,$U73)="","",INDEX('Per Invoice'!I$2:I$401,$U73)))</f>
        <v/>
      </c>
      <c r="J73">
        <f>IF($U73="","",IF(INDEX('Per Invoice'!J$2:J$401,$U73)="","",INDEX('Per Invoice'!J$2:J$401,$U73)))</f>
        <v/>
      </c>
      <c r="K73">
        <f>IF($U73="","",IF(INDEX('Per Invoice'!K$2:K$401,$U73)="","",INDEX('Per Invoice'!K$2:K$401,$U73)))</f>
        <v/>
      </c>
      <c r="L73" s="7">
        <f>IF($U73="","",IF(INDEX('Per Invoice'!L$2:L$401,$U73)="","",INDEX('Per Invoice'!L$2:L$401,$U73)))</f>
        <v/>
      </c>
      <c r="M73" s="7">
        <f>IF($U73="","",IF(INDEX('Per Invoice'!M$2:M$401,$U73)="","",INDEX('Per Invoice'!M$2:M$401,$U73)))</f>
        <v/>
      </c>
      <c r="N73">
        <f>IF($U73="","",IF(INDEX('Per Invoice'!N$2:N$401,$U73)="","",INDEX('Per Invoice'!N$2:N$401,$U73)))</f>
        <v/>
      </c>
      <c r="O73" s="7">
        <f>IF($U73="","",IF(INDEX('Per Invoice'!O$2:O$401,$U73)="","",INDEX('Per Invoice'!O$2:O$401,$U73)))</f>
        <v/>
      </c>
      <c r="P73" s="7">
        <f>IF($U73="","",IF(INDEX('Per Invoice'!P$2:P$401,$U73)="","",INDEX('Per Invoice'!P$2:P$401,$U73)))</f>
        <v/>
      </c>
      <c r="Q73" s="7">
        <f>IF($U73="","",IF(INDEX('Per Invoice'!Q$2:Q$401,$U73)="","",INDEX('Per Invoice'!Q$2:Q$401,$U73)))</f>
        <v/>
      </c>
      <c r="R73" s="7">
        <f>IF($U73="","",IF(INDEX('Per Invoice'!R$2:R$401,$U73)="","",INDEX('Per Invoice'!R$2:R$401,$U73)))</f>
        <v/>
      </c>
      <c r="S73" s="7">
        <f>IF($U73="","",IF(INDEX('Per Invoice'!S$2:S$401,$U73)="","",INDEX('Per Invoice'!S$2:S$401,$U73)))</f>
        <v/>
      </c>
      <c r="T73" s="7">
        <f>IF($U73="","",IF(INDEX('Per Invoice'!T$2:T$401,$U73)="","",INDEX('Per Invoice'!T$2:T$401,$U73)))</f>
        <v/>
      </c>
      <c r="U73" s="16">
        <f>IFERROR(MATCH(Settings!$C$30&amp;"|"&amp;ROWS($U$2:$U73),'Per Invoice'!$V$2:$V$401,0),"")</f>
        <v/>
      </c>
    </row>
    <row r="74">
      <c r="A74">
        <f>IF($U74="","",IF(INDEX('Per Invoice'!A$2:A$401,$U74)="","",INDEX('Per Invoice'!A$2:A$401,$U74)))</f>
        <v/>
      </c>
      <c r="B74">
        <f>IF($U74="","",IF(INDEX('Per Invoice'!B$2:B$401,$U74)="","",INDEX('Per Invoice'!B$2:B$401,$U74)))</f>
        <v/>
      </c>
      <c r="C74">
        <f>IF($U74="","",IF(INDEX('Per Invoice'!C$2:C$401,$U74)="","",INDEX('Per Invoice'!C$2:C$401,$U74)))</f>
        <v/>
      </c>
      <c r="D74">
        <f>IF($U74="","",IF(INDEX('Per Invoice'!D$2:D$401,$U74)="","",INDEX('Per Invoice'!D$2:D$401,$U74)))</f>
        <v/>
      </c>
      <c r="E74">
        <f>IF($U74="","",IF(INDEX('Per Invoice'!E$2:E$401,$U74)="","",INDEX('Per Invoice'!E$2:E$401,$U74)))</f>
        <v/>
      </c>
      <c r="F74">
        <f>IF($U74="","",IF(INDEX('Per Invoice'!F$2:F$401,$U74)="","",INDEX('Per Invoice'!F$2:F$401,$U74)))</f>
        <v/>
      </c>
      <c r="G74">
        <f>IF($U74="","",IF(INDEX('Per Invoice'!G$2:G$401,$U74)="","",INDEX('Per Invoice'!G$2:G$401,$U74)))</f>
        <v/>
      </c>
      <c r="H74" s="7">
        <f>IF($U74="","",IF(INDEX('Per Invoice'!H$2:H$401,$U74)="","",INDEX('Per Invoice'!H$2:H$401,$U74)))</f>
        <v/>
      </c>
      <c r="I74" s="14">
        <f>IF($U74="","",IF(INDEX('Per Invoice'!I$2:I$401,$U74)="","",INDEX('Per Invoice'!I$2:I$401,$U74)))</f>
        <v/>
      </c>
      <c r="J74">
        <f>IF($U74="","",IF(INDEX('Per Invoice'!J$2:J$401,$U74)="","",INDEX('Per Invoice'!J$2:J$401,$U74)))</f>
        <v/>
      </c>
      <c r="K74">
        <f>IF($U74="","",IF(INDEX('Per Invoice'!K$2:K$401,$U74)="","",INDEX('Per Invoice'!K$2:K$401,$U74)))</f>
        <v/>
      </c>
      <c r="L74" s="7">
        <f>IF($U74="","",IF(INDEX('Per Invoice'!L$2:L$401,$U74)="","",INDEX('Per Invoice'!L$2:L$401,$U74)))</f>
        <v/>
      </c>
      <c r="M74" s="7">
        <f>IF($U74="","",IF(INDEX('Per Invoice'!M$2:M$401,$U74)="","",INDEX('Per Invoice'!M$2:M$401,$U74)))</f>
        <v/>
      </c>
      <c r="N74">
        <f>IF($U74="","",IF(INDEX('Per Invoice'!N$2:N$401,$U74)="","",INDEX('Per Invoice'!N$2:N$401,$U74)))</f>
        <v/>
      </c>
      <c r="O74" s="7">
        <f>IF($U74="","",IF(INDEX('Per Invoice'!O$2:O$401,$U74)="","",INDEX('Per Invoice'!O$2:O$401,$U74)))</f>
        <v/>
      </c>
      <c r="P74" s="7">
        <f>IF($U74="","",IF(INDEX('Per Invoice'!P$2:P$401,$U74)="","",INDEX('Per Invoice'!P$2:P$401,$U74)))</f>
        <v/>
      </c>
      <c r="Q74" s="7">
        <f>IF($U74="","",IF(INDEX('Per Invoice'!Q$2:Q$401,$U74)="","",INDEX('Per Invoice'!Q$2:Q$401,$U74)))</f>
        <v/>
      </c>
      <c r="R74" s="7">
        <f>IF($U74="","",IF(INDEX('Per Invoice'!R$2:R$401,$U74)="","",INDEX('Per Invoice'!R$2:R$401,$U74)))</f>
        <v/>
      </c>
      <c r="S74" s="7">
        <f>IF($U74="","",IF(INDEX('Per Invoice'!S$2:S$401,$U74)="","",INDEX('Per Invoice'!S$2:S$401,$U74)))</f>
        <v/>
      </c>
      <c r="T74" s="7">
        <f>IF($U74="","",IF(INDEX('Per Invoice'!T$2:T$401,$U74)="","",INDEX('Per Invoice'!T$2:T$401,$U74)))</f>
        <v/>
      </c>
      <c r="U74" s="16">
        <f>IFERROR(MATCH(Settings!$C$30&amp;"|"&amp;ROWS($U$2:$U74),'Per Invoice'!$V$2:$V$401,0),"")</f>
        <v/>
      </c>
    </row>
    <row r="75">
      <c r="A75">
        <f>IF($U75="","",IF(INDEX('Per Invoice'!A$2:A$401,$U75)="","",INDEX('Per Invoice'!A$2:A$401,$U75)))</f>
        <v/>
      </c>
      <c r="B75">
        <f>IF($U75="","",IF(INDEX('Per Invoice'!B$2:B$401,$U75)="","",INDEX('Per Invoice'!B$2:B$401,$U75)))</f>
        <v/>
      </c>
      <c r="C75">
        <f>IF($U75="","",IF(INDEX('Per Invoice'!C$2:C$401,$U75)="","",INDEX('Per Invoice'!C$2:C$401,$U75)))</f>
        <v/>
      </c>
      <c r="D75">
        <f>IF($U75="","",IF(INDEX('Per Invoice'!D$2:D$401,$U75)="","",INDEX('Per Invoice'!D$2:D$401,$U75)))</f>
        <v/>
      </c>
      <c r="E75">
        <f>IF($U75="","",IF(INDEX('Per Invoice'!E$2:E$401,$U75)="","",INDEX('Per Invoice'!E$2:E$401,$U75)))</f>
        <v/>
      </c>
      <c r="F75">
        <f>IF($U75="","",IF(INDEX('Per Invoice'!F$2:F$401,$U75)="","",INDEX('Per Invoice'!F$2:F$401,$U75)))</f>
        <v/>
      </c>
      <c r="G75">
        <f>IF($U75="","",IF(INDEX('Per Invoice'!G$2:G$401,$U75)="","",INDEX('Per Invoice'!G$2:G$401,$U75)))</f>
        <v/>
      </c>
      <c r="H75" s="7">
        <f>IF($U75="","",IF(INDEX('Per Invoice'!H$2:H$401,$U75)="","",INDEX('Per Invoice'!H$2:H$401,$U75)))</f>
        <v/>
      </c>
      <c r="I75" s="14">
        <f>IF($U75="","",IF(INDEX('Per Invoice'!I$2:I$401,$U75)="","",INDEX('Per Invoice'!I$2:I$401,$U75)))</f>
        <v/>
      </c>
      <c r="J75">
        <f>IF($U75="","",IF(INDEX('Per Invoice'!J$2:J$401,$U75)="","",INDEX('Per Invoice'!J$2:J$401,$U75)))</f>
        <v/>
      </c>
      <c r="K75">
        <f>IF($U75="","",IF(INDEX('Per Invoice'!K$2:K$401,$U75)="","",INDEX('Per Invoice'!K$2:K$401,$U75)))</f>
        <v/>
      </c>
      <c r="L75" s="7">
        <f>IF($U75="","",IF(INDEX('Per Invoice'!L$2:L$401,$U75)="","",INDEX('Per Invoice'!L$2:L$401,$U75)))</f>
        <v/>
      </c>
      <c r="M75" s="7">
        <f>IF($U75="","",IF(INDEX('Per Invoice'!M$2:M$401,$U75)="","",INDEX('Per Invoice'!M$2:M$401,$U75)))</f>
        <v/>
      </c>
      <c r="N75">
        <f>IF($U75="","",IF(INDEX('Per Invoice'!N$2:N$401,$U75)="","",INDEX('Per Invoice'!N$2:N$401,$U75)))</f>
        <v/>
      </c>
      <c r="O75" s="7">
        <f>IF($U75="","",IF(INDEX('Per Invoice'!O$2:O$401,$U75)="","",INDEX('Per Invoice'!O$2:O$401,$U75)))</f>
        <v/>
      </c>
      <c r="P75" s="7">
        <f>IF($U75="","",IF(INDEX('Per Invoice'!P$2:P$401,$U75)="","",INDEX('Per Invoice'!P$2:P$401,$U75)))</f>
        <v/>
      </c>
      <c r="Q75" s="7">
        <f>IF($U75="","",IF(INDEX('Per Invoice'!Q$2:Q$401,$U75)="","",INDEX('Per Invoice'!Q$2:Q$401,$U75)))</f>
        <v/>
      </c>
      <c r="R75" s="7">
        <f>IF($U75="","",IF(INDEX('Per Invoice'!R$2:R$401,$U75)="","",INDEX('Per Invoice'!R$2:R$401,$U75)))</f>
        <v/>
      </c>
      <c r="S75" s="7">
        <f>IF($U75="","",IF(INDEX('Per Invoice'!S$2:S$401,$U75)="","",INDEX('Per Invoice'!S$2:S$401,$U75)))</f>
        <v/>
      </c>
      <c r="T75" s="7">
        <f>IF($U75="","",IF(INDEX('Per Invoice'!T$2:T$401,$U75)="","",INDEX('Per Invoice'!T$2:T$401,$U75)))</f>
        <v/>
      </c>
      <c r="U75" s="16">
        <f>IFERROR(MATCH(Settings!$C$30&amp;"|"&amp;ROWS($U$2:$U75),'Per Invoice'!$V$2:$V$401,0),"")</f>
        <v/>
      </c>
    </row>
    <row r="76">
      <c r="A76">
        <f>IF($U76="","",IF(INDEX('Per Invoice'!A$2:A$401,$U76)="","",INDEX('Per Invoice'!A$2:A$401,$U76)))</f>
        <v/>
      </c>
      <c r="B76">
        <f>IF($U76="","",IF(INDEX('Per Invoice'!B$2:B$401,$U76)="","",INDEX('Per Invoice'!B$2:B$401,$U76)))</f>
        <v/>
      </c>
      <c r="C76">
        <f>IF($U76="","",IF(INDEX('Per Invoice'!C$2:C$401,$U76)="","",INDEX('Per Invoice'!C$2:C$401,$U76)))</f>
        <v/>
      </c>
      <c r="D76">
        <f>IF($U76="","",IF(INDEX('Per Invoice'!D$2:D$401,$U76)="","",INDEX('Per Invoice'!D$2:D$401,$U76)))</f>
        <v/>
      </c>
      <c r="E76">
        <f>IF($U76="","",IF(INDEX('Per Invoice'!E$2:E$401,$U76)="","",INDEX('Per Invoice'!E$2:E$401,$U76)))</f>
        <v/>
      </c>
      <c r="F76">
        <f>IF($U76="","",IF(INDEX('Per Invoice'!F$2:F$401,$U76)="","",INDEX('Per Invoice'!F$2:F$401,$U76)))</f>
        <v/>
      </c>
      <c r="G76">
        <f>IF($U76="","",IF(INDEX('Per Invoice'!G$2:G$401,$U76)="","",INDEX('Per Invoice'!G$2:G$401,$U76)))</f>
        <v/>
      </c>
      <c r="H76" s="7">
        <f>IF($U76="","",IF(INDEX('Per Invoice'!H$2:H$401,$U76)="","",INDEX('Per Invoice'!H$2:H$401,$U76)))</f>
        <v/>
      </c>
      <c r="I76" s="14">
        <f>IF($U76="","",IF(INDEX('Per Invoice'!I$2:I$401,$U76)="","",INDEX('Per Invoice'!I$2:I$401,$U76)))</f>
        <v/>
      </c>
      <c r="J76">
        <f>IF($U76="","",IF(INDEX('Per Invoice'!J$2:J$401,$U76)="","",INDEX('Per Invoice'!J$2:J$401,$U76)))</f>
        <v/>
      </c>
      <c r="K76">
        <f>IF($U76="","",IF(INDEX('Per Invoice'!K$2:K$401,$U76)="","",INDEX('Per Invoice'!K$2:K$401,$U76)))</f>
        <v/>
      </c>
      <c r="L76" s="7">
        <f>IF($U76="","",IF(INDEX('Per Invoice'!L$2:L$401,$U76)="","",INDEX('Per Invoice'!L$2:L$401,$U76)))</f>
        <v/>
      </c>
      <c r="M76" s="7">
        <f>IF($U76="","",IF(INDEX('Per Invoice'!M$2:M$401,$U76)="","",INDEX('Per Invoice'!M$2:M$401,$U76)))</f>
        <v/>
      </c>
      <c r="N76">
        <f>IF($U76="","",IF(INDEX('Per Invoice'!N$2:N$401,$U76)="","",INDEX('Per Invoice'!N$2:N$401,$U76)))</f>
        <v/>
      </c>
      <c r="O76" s="7">
        <f>IF($U76="","",IF(INDEX('Per Invoice'!O$2:O$401,$U76)="","",INDEX('Per Invoice'!O$2:O$401,$U76)))</f>
        <v/>
      </c>
      <c r="P76" s="7">
        <f>IF($U76="","",IF(INDEX('Per Invoice'!P$2:P$401,$U76)="","",INDEX('Per Invoice'!P$2:P$401,$U76)))</f>
        <v/>
      </c>
      <c r="Q76" s="7">
        <f>IF($U76="","",IF(INDEX('Per Invoice'!Q$2:Q$401,$U76)="","",INDEX('Per Invoice'!Q$2:Q$401,$U76)))</f>
        <v/>
      </c>
      <c r="R76" s="7">
        <f>IF($U76="","",IF(INDEX('Per Invoice'!R$2:R$401,$U76)="","",INDEX('Per Invoice'!R$2:R$401,$U76)))</f>
        <v/>
      </c>
      <c r="S76" s="7">
        <f>IF($U76="","",IF(INDEX('Per Invoice'!S$2:S$401,$U76)="","",INDEX('Per Invoice'!S$2:S$401,$U76)))</f>
        <v/>
      </c>
      <c r="T76" s="7">
        <f>IF($U76="","",IF(INDEX('Per Invoice'!T$2:T$401,$U76)="","",INDEX('Per Invoice'!T$2:T$401,$U76)))</f>
        <v/>
      </c>
      <c r="U76" s="16">
        <f>IFERROR(MATCH(Settings!$C$30&amp;"|"&amp;ROWS($U$2:$U76),'Per Invoice'!$V$2:$V$401,0),"")</f>
        <v/>
      </c>
    </row>
    <row r="77">
      <c r="A77">
        <f>IF($U77="","",IF(INDEX('Per Invoice'!A$2:A$401,$U77)="","",INDEX('Per Invoice'!A$2:A$401,$U77)))</f>
        <v/>
      </c>
      <c r="B77">
        <f>IF($U77="","",IF(INDEX('Per Invoice'!B$2:B$401,$U77)="","",INDEX('Per Invoice'!B$2:B$401,$U77)))</f>
        <v/>
      </c>
      <c r="C77">
        <f>IF($U77="","",IF(INDEX('Per Invoice'!C$2:C$401,$U77)="","",INDEX('Per Invoice'!C$2:C$401,$U77)))</f>
        <v/>
      </c>
      <c r="D77">
        <f>IF($U77="","",IF(INDEX('Per Invoice'!D$2:D$401,$U77)="","",INDEX('Per Invoice'!D$2:D$401,$U77)))</f>
        <v/>
      </c>
      <c r="E77">
        <f>IF($U77="","",IF(INDEX('Per Invoice'!E$2:E$401,$U77)="","",INDEX('Per Invoice'!E$2:E$401,$U77)))</f>
        <v/>
      </c>
      <c r="F77">
        <f>IF($U77="","",IF(INDEX('Per Invoice'!F$2:F$401,$U77)="","",INDEX('Per Invoice'!F$2:F$401,$U77)))</f>
        <v/>
      </c>
      <c r="G77">
        <f>IF($U77="","",IF(INDEX('Per Invoice'!G$2:G$401,$U77)="","",INDEX('Per Invoice'!G$2:G$401,$U77)))</f>
        <v/>
      </c>
      <c r="H77" s="7">
        <f>IF($U77="","",IF(INDEX('Per Invoice'!H$2:H$401,$U77)="","",INDEX('Per Invoice'!H$2:H$401,$U77)))</f>
        <v/>
      </c>
      <c r="I77" s="14">
        <f>IF($U77="","",IF(INDEX('Per Invoice'!I$2:I$401,$U77)="","",INDEX('Per Invoice'!I$2:I$401,$U77)))</f>
        <v/>
      </c>
      <c r="J77">
        <f>IF($U77="","",IF(INDEX('Per Invoice'!J$2:J$401,$U77)="","",INDEX('Per Invoice'!J$2:J$401,$U77)))</f>
        <v/>
      </c>
      <c r="K77">
        <f>IF($U77="","",IF(INDEX('Per Invoice'!K$2:K$401,$U77)="","",INDEX('Per Invoice'!K$2:K$401,$U77)))</f>
        <v/>
      </c>
      <c r="L77" s="7">
        <f>IF($U77="","",IF(INDEX('Per Invoice'!L$2:L$401,$U77)="","",INDEX('Per Invoice'!L$2:L$401,$U77)))</f>
        <v/>
      </c>
      <c r="M77" s="7">
        <f>IF($U77="","",IF(INDEX('Per Invoice'!M$2:M$401,$U77)="","",INDEX('Per Invoice'!M$2:M$401,$U77)))</f>
        <v/>
      </c>
      <c r="N77">
        <f>IF($U77="","",IF(INDEX('Per Invoice'!N$2:N$401,$U77)="","",INDEX('Per Invoice'!N$2:N$401,$U77)))</f>
        <v/>
      </c>
      <c r="O77" s="7">
        <f>IF($U77="","",IF(INDEX('Per Invoice'!O$2:O$401,$U77)="","",INDEX('Per Invoice'!O$2:O$401,$U77)))</f>
        <v/>
      </c>
      <c r="P77" s="7">
        <f>IF($U77="","",IF(INDEX('Per Invoice'!P$2:P$401,$U77)="","",INDEX('Per Invoice'!P$2:P$401,$U77)))</f>
        <v/>
      </c>
      <c r="Q77" s="7">
        <f>IF($U77="","",IF(INDEX('Per Invoice'!Q$2:Q$401,$U77)="","",INDEX('Per Invoice'!Q$2:Q$401,$U77)))</f>
        <v/>
      </c>
      <c r="R77" s="7">
        <f>IF($U77="","",IF(INDEX('Per Invoice'!R$2:R$401,$U77)="","",INDEX('Per Invoice'!R$2:R$401,$U77)))</f>
        <v/>
      </c>
      <c r="S77" s="7">
        <f>IF($U77="","",IF(INDEX('Per Invoice'!S$2:S$401,$U77)="","",INDEX('Per Invoice'!S$2:S$401,$U77)))</f>
        <v/>
      </c>
      <c r="T77" s="7">
        <f>IF($U77="","",IF(INDEX('Per Invoice'!T$2:T$401,$U77)="","",INDEX('Per Invoice'!T$2:T$401,$U77)))</f>
        <v/>
      </c>
      <c r="U77" s="16">
        <f>IFERROR(MATCH(Settings!$C$30&amp;"|"&amp;ROWS($U$2:$U77),'Per Invoice'!$V$2:$V$401,0),"")</f>
        <v/>
      </c>
    </row>
    <row r="78">
      <c r="A78">
        <f>IF($U78="","",IF(INDEX('Per Invoice'!A$2:A$401,$U78)="","",INDEX('Per Invoice'!A$2:A$401,$U78)))</f>
        <v/>
      </c>
      <c r="B78">
        <f>IF($U78="","",IF(INDEX('Per Invoice'!B$2:B$401,$U78)="","",INDEX('Per Invoice'!B$2:B$401,$U78)))</f>
        <v/>
      </c>
      <c r="C78">
        <f>IF($U78="","",IF(INDEX('Per Invoice'!C$2:C$401,$U78)="","",INDEX('Per Invoice'!C$2:C$401,$U78)))</f>
        <v/>
      </c>
      <c r="D78">
        <f>IF($U78="","",IF(INDEX('Per Invoice'!D$2:D$401,$U78)="","",INDEX('Per Invoice'!D$2:D$401,$U78)))</f>
        <v/>
      </c>
      <c r="E78">
        <f>IF($U78="","",IF(INDEX('Per Invoice'!E$2:E$401,$U78)="","",INDEX('Per Invoice'!E$2:E$401,$U78)))</f>
        <v/>
      </c>
      <c r="F78">
        <f>IF($U78="","",IF(INDEX('Per Invoice'!F$2:F$401,$U78)="","",INDEX('Per Invoice'!F$2:F$401,$U78)))</f>
        <v/>
      </c>
      <c r="G78">
        <f>IF($U78="","",IF(INDEX('Per Invoice'!G$2:G$401,$U78)="","",INDEX('Per Invoice'!G$2:G$401,$U78)))</f>
        <v/>
      </c>
      <c r="H78" s="7">
        <f>IF($U78="","",IF(INDEX('Per Invoice'!H$2:H$401,$U78)="","",INDEX('Per Invoice'!H$2:H$401,$U78)))</f>
        <v/>
      </c>
      <c r="I78" s="14">
        <f>IF($U78="","",IF(INDEX('Per Invoice'!I$2:I$401,$U78)="","",INDEX('Per Invoice'!I$2:I$401,$U78)))</f>
        <v/>
      </c>
      <c r="J78">
        <f>IF($U78="","",IF(INDEX('Per Invoice'!J$2:J$401,$U78)="","",INDEX('Per Invoice'!J$2:J$401,$U78)))</f>
        <v/>
      </c>
      <c r="K78">
        <f>IF($U78="","",IF(INDEX('Per Invoice'!K$2:K$401,$U78)="","",INDEX('Per Invoice'!K$2:K$401,$U78)))</f>
        <v/>
      </c>
      <c r="L78" s="7">
        <f>IF($U78="","",IF(INDEX('Per Invoice'!L$2:L$401,$U78)="","",INDEX('Per Invoice'!L$2:L$401,$U78)))</f>
        <v/>
      </c>
      <c r="M78" s="7">
        <f>IF($U78="","",IF(INDEX('Per Invoice'!M$2:M$401,$U78)="","",INDEX('Per Invoice'!M$2:M$401,$U78)))</f>
        <v/>
      </c>
      <c r="N78">
        <f>IF($U78="","",IF(INDEX('Per Invoice'!N$2:N$401,$U78)="","",INDEX('Per Invoice'!N$2:N$401,$U78)))</f>
        <v/>
      </c>
      <c r="O78" s="7">
        <f>IF($U78="","",IF(INDEX('Per Invoice'!O$2:O$401,$U78)="","",INDEX('Per Invoice'!O$2:O$401,$U78)))</f>
        <v/>
      </c>
      <c r="P78" s="7">
        <f>IF($U78="","",IF(INDEX('Per Invoice'!P$2:P$401,$U78)="","",INDEX('Per Invoice'!P$2:P$401,$U78)))</f>
        <v/>
      </c>
      <c r="Q78" s="7">
        <f>IF($U78="","",IF(INDEX('Per Invoice'!Q$2:Q$401,$U78)="","",INDEX('Per Invoice'!Q$2:Q$401,$U78)))</f>
        <v/>
      </c>
      <c r="R78" s="7">
        <f>IF($U78="","",IF(INDEX('Per Invoice'!R$2:R$401,$U78)="","",INDEX('Per Invoice'!R$2:R$401,$U78)))</f>
        <v/>
      </c>
      <c r="S78" s="7">
        <f>IF($U78="","",IF(INDEX('Per Invoice'!S$2:S$401,$U78)="","",INDEX('Per Invoice'!S$2:S$401,$U78)))</f>
        <v/>
      </c>
      <c r="T78" s="7">
        <f>IF($U78="","",IF(INDEX('Per Invoice'!T$2:T$401,$U78)="","",INDEX('Per Invoice'!T$2:T$401,$U78)))</f>
        <v/>
      </c>
      <c r="U78" s="16">
        <f>IFERROR(MATCH(Settings!$C$30&amp;"|"&amp;ROWS($U$2:$U78),'Per Invoice'!$V$2:$V$401,0),"")</f>
        <v/>
      </c>
    </row>
    <row r="79">
      <c r="A79">
        <f>IF($U79="","",IF(INDEX('Per Invoice'!A$2:A$401,$U79)="","",INDEX('Per Invoice'!A$2:A$401,$U79)))</f>
        <v/>
      </c>
      <c r="B79">
        <f>IF($U79="","",IF(INDEX('Per Invoice'!B$2:B$401,$U79)="","",INDEX('Per Invoice'!B$2:B$401,$U79)))</f>
        <v/>
      </c>
      <c r="C79">
        <f>IF($U79="","",IF(INDEX('Per Invoice'!C$2:C$401,$U79)="","",INDEX('Per Invoice'!C$2:C$401,$U79)))</f>
        <v/>
      </c>
      <c r="D79">
        <f>IF($U79="","",IF(INDEX('Per Invoice'!D$2:D$401,$U79)="","",INDEX('Per Invoice'!D$2:D$401,$U79)))</f>
        <v/>
      </c>
      <c r="E79">
        <f>IF($U79="","",IF(INDEX('Per Invoice'!E$2:E$401,$U79)="","",INDEX('Per Invoice'!E$2:E$401,$U79)))</f>
        <v/>
      </c>
      <c r="F79">
        <f>IF($U79="","",IF(INDEX('Per Invoice'!F$2:F$401,$U79)="","",INDEX('Per Invoice'!F$2:F$401,$U79)))</f>
        <v/>
      </c>
      <c r="G79">
        <f>IF($U79="","",IF(INDEX('Per Invoice'!G$2:G$401,$U79)="","",INDEX('Per Invoice'!G$2:G$401,$U79)))</f>
        <v/>
      </c>
      <c r="H79" s="7">
        <f>IF($U79="","",IF(INDEX('Per Invoice'!H$2:H$401,$U79)="","",INDEX('Per Invoice'!H$2:H$401,$U79)))</f>
        <v/>
      </c>
      <c r="I79" s="14">
        <f>IF($U79="","",IF(INDEX('Per Invoice'!I$2:I$401,$U79)="","",INDEX('Per Invoice'!I$2:I$401,$U79)))</f>
        <v/>
      </c>
      <c r="J79">
        <f>IF($U79="","",IF(INDEX('Per Invoice'!J$2:J$401,$U79)="","",INDEX('Per Invoice'!J$2:J$401,$U79)))</f>
        <v/>
      </c>
      <c r="K79">
        <f>IF($U79="","",IF(INDEX('Per Invoice'!K$2:K$401,$U79)="","",INDEX('Per Invoice'!K$2:K$401,$U79)))</f>
        <v/>
      </c>
      <c r="L79" s="7">
        <f>IF($U79="","",IF(INDEX('Per Invoice'!L$2:L$401,$U79)="","",INDEX('Per Invoice'!L$2:L$401,$U79)))</f>
        <v/>
      </c>
      <c r="M79" s="7">
        <f>IF($U79="","",IF(INDEX('Per Invoice'!M$2:M$401,$U79)="","",INDEX('Per Invoice'!M$2:M$401,$U79)))</f>
        <v/>
      </c>
      <c r="N79">
        <f>IF($U79="","",IF(INDEX('Per Invoice'!N$2:N$401,$U79)="","",INDEX('Per Invoice'!N$2:N$401,$U79)))</f>
        <v/>
      </c>
      <c r="O79" s="7">
        <f>IF($U79="","",IF(INDEX('Per Invoice'!O$2:O$401,$U79)="","",INDEX('Per Invoice'!O$2:O$401,$U79)))</f>
        <v/>
      </c>
      <c r="P79" s="7">
        <f>IF($U79="","",IF(INDEX('Per Invoice'!P$2:P$401,$U79)="","",INDEX('Per Invoice'!P$2:P$401,$U79)))</f>
        <v/>
      </c>
      <c r="Q79" s="7">
        <f>IF($U79="","",IF(INDEX('Per Invoice'!Q$2:Q$401,$U79)="","",INDEX('Per Invoice'!Q$2:Q$401,$U79)))</f>
        <v/>
      </c>
      <c r="R79" s="7">
        <f>IF($U79="","",IF(INDEX('Per Invoice'!R$2:R$401,$U79)="","",INDEX('Per Invoice'!R$2:R$401,$U79)))</f>
        <v/>
      </c>
      <c r="S79" s="7">
        <f>IF($U79="","",IF(INDEX('Per Invoice'!S$2:S$401,$U79)="","",INDEX('Per Invoice'!S$2:S$401,$U79)))</f>
        <v/>
      </c>
      <c r="T79" s="7">
        <f>IF($U79="","",IF(INDEX('Per Invoice'!T$2:T$401,$U79)="","",INDEX('Per Invoice'!T$2:T$401,$U79)))</f>
        <v/>
      </c>
      <c r="U79" s="16">
        <f>IFERROR(MATCH(Settings!$C$30&amp;"|"&amp;ROWS($U$2:$U79),'Per Invoice'!$V$2:$V$401,0),"")</f>
        <v/>
      </c>
    </row>
    <row r="80">
      <c r="A80">
        <f>IF($U80="","",IF(INDEX('Per Invoice'!A$2:A$401,$U80)="","",INDEX('Per Invoice'!A$2:A$401,$U80)))</f>
        <v/>
      </c>
      <c r="B80">
        <f>IF($U80="","",IF(INDEX('Per Invoice'!B$2:B$401,$U80)="","",INDEX('Per Invoice'!B$2:B$401,$U80)))</f>
        <v/>
      </c>
      <c r="C80">
        <f>IF($U80="","",IF(INDEX('Per Invoice'!C$2:C$401,$U80)="","",INDEX('Per Invoice'!C$2:C$401,$U80)))</f>
        <v/>
      </c>
      <c r="D80">
        <f>IF($U80="","",IF(INDEX('Per Invoice'!D$2:D$401,$U80)="","",INDEX('Per Invoice'!D$2:D$401,$U80)))</f>
        <v/>
      </c>
      <c r="E80">
        <f>IF($U80="","",IF(INDEX('Per Invoice'!E$2:E$401,$U80)="","",INDEX('Per Invoice'!E$2:E$401,$U80)))</f>
        <v/>
      </c>
      <c r="F80">
        <f>IF($U80="","",IF(INDEX('Per Invoice'!F$2:F$401,$U80)="","",INDEX('Per Invoice'!F$2:F$401,$U80)))</f>
        <v/>
      </c>
      <c r="G80">
        <f>IF($U80="","",IF(INDEX('Per Invoice'!G$2:G$401,$U80)="","",INDEX('Per Invoice'!G$2:G$401,$U80)))</f>
        <v/>
      </c>
      <c r="H80" s="7">
        <f>IF($U80="","",IF(INDEX('Per Invoice'!H$2:H$401,$U80)="","",INDEX('Per Invoice'!H$2:H$401,$U80)))</f>
        <v/>
      </c>
      <c r="I80" s="14">
        <f>IF($U80="","",IF(INDEX('Per Invoice'!I$2:I$401,$U80)="","",INDEX('Per Invoice'!I$2:I$401,$U80)))</f>
        <v/>
      </c>
      <c r="J80">
        <f>IF($U80="","",IF(INDEX('Per Invoice'!J$2:J$401,$U80)="","",INDEX('Per Invoice'!J$2:J$401,$U80)))</f>
        <v/>
      </c>
      <c r="K80">
        <f>IF($U80="","",IF(INDEX('Per Invoice'!K$2:K$401,$U80)="","",INDEX('Per Invoice'!K$2:K$401,$U80)))</f>
        <v/>
      </c>
      <c r="L80" s="7">
        <f>IF($U80="","",IF(INDEX('Per Invoice'!L$2:L$401,$U80)="","",INDEX('Per Invoice'!L$2:L$401,$U80)))</f>
        <v/>
      </c>
      <c r="M80" s="7">
        <f>IF($U80="","",IF(INDEX('Per Invoice'!M$2:M$401,$U80)="","",INDEX('Per Invoice'!M$2:M$401,$U80)))</f>
        <v/>
      </c>
      <c r="N80">
        <f>IF($U80="","",IF(INDEX('Per Invoice'!N$2:N$401,$U80)="","",INDEX('Per Invoice'!N$2:N$401,$U80)))</f>
        <v/>
      </c>
      <c r="O80" s="7">
        <f>IF($U80="","",IF(INDEX('Per Invoice'!O$2:O$401,$U80)="","",INDEX('Per Invoice'!O$2:O$401,$U80)))</f>
        <v/>
      </c>
      <c r="P80" s="7">
        <f>IF($U80="","",IF(INDEX('Per Invoice'!P$2:P$401,$U80)="","",INDEX('Per Invoice'!P$2:P$401,$U80)))</f>
        <v/>
      </c>
      <c r="Q80" s="7">
        <f>IF($U80="","",IF(INDEX('Per Invoice'!Q$2:Q$401,$U80)="","",INDEX('Per Invoice'!Q$2:Q$401,$U80)))</f>
        <v/>
      </c>
      <c r="R80" s="7">
        <f>IF($U80="","",IF(INDEX('Per Invoice'!R$2:R$401,$U80)="","",INDEX('Per Invoice'!R$2:R$401,$U80)))</f>
        <v/>
      </c>
      <c r="S80" s="7">
        <f>IF($U80="","",IF(INDEX('Per Invoice'!S$2:S$401,$U80)="","",INDEX('Per Invoice'!S$2:S$401,$U80)))</f>
        <v/>
      </c>
      <c r="T80" s="7">
        <f>IF($U80="","",IF(INDEX('Per Invoice'!T$2:T$401,$U80)="","",INDEX('Per Invoice'!T$2:T$401,$U80)))</f>
        <v/>
      </c>
      <c r="U80" s="16">
        <f>IFERROR(MATCH(Settings!$C$30&amp;"|"&amp;ROWS($U$2:$U80),'Per Invoice'!$V$2:$V$401,0),"")</f>
        <v/>
      </c>
    </row>
    <row r="81">
      <c r="A81">
        <f>IF($U81="","",IF(INDEX('Per Invoice'!A$2:A$401,$U81)="","",INDEX('Per Invoice'!A$2:A$401,$U81)))</f>
        <v/>
      </c>
      <c r="B81">
        <f>IF($U81="","",IF(INDEX('Per Invoice'!B$2:B$401,$U81)="","",INDEX('Per Invoice'!B$2:B$401,$U81)))</f>
        <v/>
      </c>
      <c r="C81">
        <f>IF($U81="","",IF(INDEX('Per Invoice'!C$2:C$401,$U81)="","",INDEX('Per Invoice'!C$2:C$401,$U81)))</f>
        <v/>
      </c>
      <c r="D81">
        <f>IF($U81="","",IF(INDEX('Per Invoice'!D$2:D$401,$U81)="","",INDEX('Per Invoice'!D$2:D$401,$U81)))</f>
        <v/>
      </c>
      <c r="E81">
        <f>IF($U81="","",IF(INDEX('Per Invoice'!E$2:E$401,$U81)="","",INDEX('Per Invoice'!E$2:E$401,$U81)))</f>
        <v/>
      </c>
      <c r="F81">
        <f>IF($U81="","",IF(INDEX('Per Invoice'!F$2:F$401,$U81)="","",INDEX('Per Invoice'!F$2:F$401,$U81)))</f>
        <v/>
      </c>
      <c r="G81">
        <f>IF($U81="","",IF(INDEX('Per Invoice'!G$2:G$401,$U81)="","",INDEX('Per Invoice'!G$2:G$401,$U81)))</f>
        <v/>
      </c>
      <c r="H81" s="7">
        <f>IF($U81="","",IF(INDEX('Per Invoice'!H$2:H$401,$U81)="","",INDEX('Per Invoice'!H$2:H$401,$U81)))</f>
        <v/>
      </c>
      <c r="I81" s="14">
        <f>IF($U81="","",IF(INDEX('Per Invoice'!I$2:I$401,$U81)="","",INDEX('Per Invoice'!I$2:I$401,$U81)))</f>
        <v/>
      </c>
      <c r="J81">
        <f>IF($U81="","",IF(INDEX('Per Invoice'!J$2:J$401,$U81)="","",INDEX('Per Invoice'!J$2:J$401,$U81)))</f>
        <v/>
      </c>
      <c r="K81">
        <f>IF($U81="","",IF(INDEX('Per Invoice'!K$2:K$401,$U81)="","",INDEX('Per Invoice'!K$2:K$401,$U81)))</f>
        <v/>
      </c>
      <c r="L81" s="7">
        <f>IF($U81="","",IF(INDEX('Per Invoice'!L$2:L$401,$U81)="","",INDEX('Per Invoice'!L$2:L$401,$U81)))</f>
        <v/>
      </c>
      <c r="M81" s="7">
        <f>IF($U81="","",IF(INDEX('Per Invoice'!M$2:M$401,$U81)="","",INDEX('Per Invoice'!M$2:M$401,$U81)))</f>
        <v/>
      </c>
      <c r="N81">
        <f>IF($U81="","",IF(INDEX('Per Invoice'!N$2:N$401,$U81)="","",INDEX('Per Invoice'!N$2:N$401,$U81)))</f>
        <v/>
      </c>
      <c r="O81" s="7">
        <f>IF($U81="","",IF(INDEX('Per Invoice'!O$2:O$401,$U81)="","",INDEX('Per Invoice'!O$2:O$401,$U81)))</f>
        <v/>
      </c>
      <c r="P81" s="7">
        <f>IF($U81="","",IF(INDEX('Per Invoice'!P$2:P$401,$U81)="","",INDEX('Per Invoice'!P$2:P$401,$U81)))</f>
        <v/>
      </c>
      <c r="Q81" s="7">
        <f>IF($U81="","",IF(INDEX('Per Invoice'!Q$2:Q$401,$U81)="","",INDEX('Per Invoice'!Q$2:Q$401,$U81)))</f>
        <v/>
      </c>
      <c r="R81" s="7">
        <f>IF($U81="","",IF(INDEX('Per Invoice'!R$2:R$401,$U81)="","",INDEX('Per Invoice'!R$2:R$401,$U81)))</f>
        <v/>
      </c>
      <c r="S81" s="7">
        <f>IF($U81="","",IF(INDEX('Per Invoice'!S$2:S$401,$U81)="","",INDEX('Per Invoice'!S$2:S$401,$U81)))</f>
        <v/>
      </c>
      <c r="T81" s="7">
        <f>IF($U81="","",IF(INDEX('Per Invoice'!T$2:T$401,$U81)="","",INDEX('Per Invoice'!T$2:T$401,$U81)))</f>
        <v/>
      </c>
      <c r="U81" s="16">
        <f>IFERROR(MATCH(Settings!$C$30&amp;"|"&amp;ROWS($U$2:$U81),'Per Invoice'!$V$2:$V$401,0),"")</f>
        <v/>
      </c>
    </row>
    <row r="82">
      <c r="A82">
        <f>IF($U82="","",IF(INDEX('Per Invoice'!A$2:A$401,$U82)="","",INDEX('Per Invoice'!A$2:A$401,$U82)))</f>
        <v/>
      </c>
      <c r="B82">
        <f>IF($U82="","",IF(INDEX('Per Invoice'!B$2:B$401,$U82)="","",INDEX('Per Invoice'!B$2:B$401,$U82)))</f>
        <v/>
      </c>
      <c r="C82">
        <f>IF($U82="","",IF(INDEX('Per Invoice'!C$2:C$401,$U82)="","",INDEX('Per Invoice'!C$2:C$401,$U82)))</f>
        <v/>
      </c>
      <c r="D82">
        <f>IF($U82="","",IF(INDEX('Per Invoice'!D$2:D$401,$U82)="","",INDEX('Per Invoice'!D$2:D$401,$U82)))</f>
        <v/>
      </c>
      <c r="E82">
        <f>IF($U82="","",IF(INDEX('Per Invoice'!E$2:E$401,$U82)="","",INDEX('Per Invoice'!E$2:E$401,$U82)))</f>
        <v/>
      </c>
      <c r="F82">
        <f>IF($U82="","",IF(INDEX('Per Invoice'!F$2:F$401,$U82)="","",INDEX('Per Invoice'!F$2:F$401,$U82)))</f>
        <v/>
      </c>
      <c r="G82">
        <f>IF($U82="","",IF(INDEX('Per Invoice'!G$2:G$401,$U82)="","",INDEX('Per Invoice'!G$2:G$401,$U82)))</f>
        <v/>
      </c>
      <c r="H82" s="7">
        <f>IF($U82="","",IF(INDEX('Per Invoice'!H$2:H$401,$U82)="","",INDEX('Per Invoice'!H$2:H$401,$U82)))</f>
        <v/>
      </c>
      <c r="I82" s="14">
        <f>IF($U82="","",IF(INDEX('Per Invoice'!I$2:I$401,$U82)="","",INDEX('Per Invoice'!I$2:I$401,$U82)))</f>
        <v/>
      </c>
      <c r="J82">
        <f>IF($U82="","",IF(INDEX('Per Invoice'!J$2:J$401,$U82)="","",INDEX('Per Invoice'!J$2:J$401,$U82)))</f>
        <v/>
      </c>
      <c r="K82">
        <f>IF($U82="","",IF(INDEX('Per Invoice'!K$2:K$401,$U82)="","",INDEX('Per Invoice'!K$2:K$401,$U82)))</f>
        <v/>
      </c>
      <c r="L82" s="7">
        <f>IF($U82="","",IF(INDEX('Per Invoice'!L$2:L$401,$U82)="","",INDEX('Per Invoice'!L$2:L$401,$U82)))</f>
        <v/>
      </c>
      <c r="M82" s="7">
        <f>IF($U82="","",IF(INDEX('Per Invoice'!M$2:M$401,$U82)="","",INDEX('Per Invoice'!M$2:M$401,$U82)))</f>
        <v/>
      </c>
      <c r="N82">
        <f>IF($U82="","",IF(INDEX('Per Invoice'!N$2:N$401,$U82)="","",INDEX('Per Invoice'!N$2:N$401,$U82)))</f>
        <v/>
      </c>
      <c r="O82" s="7">
        <f>IF($U82="","",IF(INDEX('Per Invoice'!O$2:O$401,$U82)="","",INDEX('Per Invoice'!O$2:O$401,$U82)))</f>
        <v/>
      </c>
      <c r="P82" s="7">
        <f>IF($U82="","",IF(INDEX('Per Invoice'!P$2:P$401,$U82)="","",INDEX('Per Invoice'!P$2:P$401,$U82)))</f>
        <v/>
      </c>
      <c r="Q82" s="7">
        <f>IF($U82="","",IF(INDEX('Per Invoice'!Q$2:Q$401,$U82)="","",INDEX('Per Invoice'!Q$2:Q$401,$U82)))</f>
        <v/>
      </c>
      <c r="R82" s="7">
        <f>IF($U82="","",IF(INDEX('Per Invoice'!R$2:R$401,$U82)="","",INDEX('Per Invoice'!R$2:R$401,$U82)))</f>
        <v/>
      </c>
      <c r="S82" s="7">
        <f>IF($U82="","",IF(INDEX('Per Invoice'!S$2:S$401,$U82)="","",INDEX('Per Invoice'!S$2:S$401,$U82)))</f>
        <v/>
      </c>
      <c r="T82" s="7">
        <f>IF($U82="","",IF(INDEX('Per Invoice'!T$2:T$401,$U82)="","",INDEX('Per Invoice'!T$2:T$401,$U82)))</f>
        <v/>
      </c>
      <c r="U82" s="16">
        <f>IFERROR(MATCH(Settings!$C$30&amp;"|"&amp;ROWS($U$2:$U82),'Per Invoice'!$V$2:$V$401,0),"")</f>
        <v/>
      </c>
    </row>
    <row r="83">
      <c r="A83">
        <f>IF($U83="","",IF(INDEX('Per Invoice'!A$2:A$401,$U83)="","",INDEX('Per Invoice'!A$2:A$401,$U83)))</f>
        <v/>
      </c>
      <c r="B83">
        <f>IF($U83="","",IF(INDEX('Per Invoice'!B$2:B$401,$U83)="","",INDEX('Per Invoice'!B$2:B$401,$U83)))</f>
        <v/>
      </c>
      <c r="C83">
        <f>IF($U83="","",IF(INDEX('Per Invoice'!C$2:C$401,$U83)="","",INDEX('Per Invoice'!C$2:C$401,$U83)))</f>
        <v/>
      </c>
      <c r="D83">
        <f>IF($U83="","",IF(INDEX('Per Invoice'!D$2:D$401,$U83)="","",INDEX('Per Invoice'!D$2:D$401,$U83)))</f>
        <v/>
      </c>
      <c r="E83">
        <f>IF($U83="","",IF(INDEX('Per Invoice'!E$2:E$401,$U83)="","",INDEX('Per Invoice'!E$2:E$401,$U83)))</f>
        <v/>
      </c>
      <c r="F83">
        <f>IF($U83="","",IF(INDEX('Per Invoice'!F$2:F$401,$U83)="","",INDEX('Per Invoice'!F$2:F$401,$U83)))</f>
        <v/>
      </c>
      <c r="G83">
        <f>IF($U83="","",IF(INDEX('Per Invoice'!G$2:G$401,$U83)="","",INDEX('Per Invoice'!G$2:G$401,$U83)))</f>
        <v/>
      </c>
      <c r="H83" s="7">
        <f>IF($U83="","",IF(INDEX('Per Invoice'!H$2:H$401,$U83)="","",INDEX('Per Invoice'!H$2:H$401,$U83)))</f>
        <v/>
      </c>
      <c r="I83" s="14">
        <f>IF($U83="","",IF(INDEX('Per Invoice'!I$2:I$401,$U83)="","",INDEX('Per Invoice'!I$2:I$401,$U83)))</f>
        <v/>
      </c>
      <c r="J83">
        <f>IF($U83="","",IF(INDEX('Per Invoice'!J$2:J$401,$U83)="","",INDEX('Per Invoice'!J$2:J$401,$U83)))</f>
        <v/>
      </c>
      <c r="K83">
        <f>IF($U83="","",IF(INDEX('Per Invoice'!K$2:K$401,$U83)="","",INDEX('Per Invoice'!K$2:K$401,$U83)))</f>
        <v/>
      </c>
      <c r="L83" s="7">
        <f>IF($U83="","",IF(INDEX('Per Invoice'!L$2:L$401,$U83)="","",INDEX('Per Invoice'!L$2:L$401,$U83)))</f>
        <v/>
      </c>
      <c r="M83" s="7">
        <f>IF($U83="","",IF(INDEX('Per Invoice'!M$2:M$401,$U83)="","",INDEX('Per Invoice'!M$2:M$401,$U83)))</f>
        <v/>
      </c>
      <c r="N83">
        <f>IF($U83="","",IF(INDEX('Per Invoice'!N$2:N$401,$U83)="","",INDEX('Per Invoice'!N$2:N$401,$U83)))</f>
        <v/>
      </c>
      <c r="O83" s="7">
        <f>IF($U83="","",IF(INDEX('Per Invoice'!O$2:O$401,$U83)="","",INDEX('Per Invoice'!O$2:O$401,$U83)))</f>
        <v/>
      </c>
      <c r="P83" s="7">
        <f>IF($U83="","",IF(INDEX('Per Invoice'!P$2:P$401,$U83)="","",INDEX('Per Invoice'!P$2:P$401,$U83)))</f>
        <v/>
      </c>
      <c r="Q83" s="7">
        <f>IF($U83="","",IF(INDEX('Per Invoice'!Q$2:Q$401,$U83)="","",INDEX('Per Invoice'!Q$2:Q$401,$U83)))</f>
        <v/>
      </c>
      <c r="R83" s="7">
        <f>IF($U83="","",IF(INDEX('Per Invoice'!R$2:R$401,$U83)="","",INDEX('Per Invoice'!R$2:R$401,$U83)))</f>
        <v/>
      </c>
      <c r="S83" s="7">
        <f>IF($U83="","",IF(INDEX('Per Invoice'!S$2:S$401,$U83)="","",INDEX('Per Invoice'!S$2:S$401,$U83)))</f>
        <v/>
      </c>
      <c r="T83" s="7">
        <f>IF($U83="","",IF(INDEX('Per Invoice'!T$2:T$401,$U83)="","",INDEX('Per Invoice'!T$2:T$401,$U83)))</f>
        <v/>
      </c>
      <c r="U83" s="16">
        <f>IFERROR(MATCH(Settings!$C$30&amp;"|"&amp;ROWS($U$2:$U83),'Per Invoice'!$V$2:$V$401,0),"")</f>
        <v/>
      </c>
    </row>
    <row r="84">
      <c r="A84">
        <f>IF($U84="","",IF(INDEX('Per Invoice'!A$2:A$401,$U84)="","",INDEX('Per Invoice'!A$2:A$401,$U84)))</f>
        <v/>
      </c>
      <c r="B84">
        <f>IF($U84="","",IF(INDEX('Per Invoice'!B$2:B$401,$U84)="","",INDEX('Per Invoice'!B$2:B$401,$U84)))</f>
        <v/>
      </c>
      <c r="C84">
        <f>IF($U84="","",IF(INDEX('Per Invoice'!C$2:C$401,$U84)="","",INDEX('Per Invoice'!C$2:C$401,$U84)))</f>
        <v/>
      </c>
      <c r="D84">
        <f>IF($U84="","",IF(INDEX('Per Invoice'!D$2:D$401,$U84)="","",INDEX('Per Invoice'!D$2:D$401,$U84)))</f>
        <v/>
      </c>
      <c r="E84">
        <f>IF($U84="","",IF(INDEX('Per Invoice'!E$2:E$401,$U84)="","",INDEX('Per Invoice'!E$2:E$401,$U84)))</f>
        <v/>
      </c>
      <c r="F84">
        <f>IF($U84="","",IF(INDEX('Per Invoice'!F$2:F$401,$U84)="","",INDEX('Per Invoice'!F$2:F$401,$U84)))</f>
        <v/>
      </c>
      <c r="G84">
        <f>IF($U84="","",IF(INDEX('Per Invoice'!G$2:G$401,$U84)="","",INDEX('Per Invoice'!G$2:G$401,$U84)))</f>
        <v/>
      </c>
      <c r="H84" s="7">
        <f>IF($U84="","",IF(INDEX('Per Invoice'!H$2:H$401,$U84)="","",INDEX('Per Invoice'!H$2:H$401,$U84)))</f>
        <v/>
      </c>
      <c r="I84" s="14">
        <f>IF($U84="","",IF(INDEX('Per Invoice'!I$2:I$401,$U84)="","",INDEX('Per Invoice'!I$2:I$401,$U84)))</f>
        <v/>
      </c>
      <c r="J84">
        <f>IF($U84="","",IF(INDEX('Per Invoice'!J$2:J$401,$U84)="","",INDEX('Per Invoice'!J$2:J$401,$U84)))</f>
        <v/>
      </c>
      <c r="K84">
        <f>IF($U84="","",IF(INDEX('Per Invoice'!K$2:K$401,$U84)="","",INDEX('Per Invoice'!K$2:K$401,$U84)))</f>
        <v/>
      </c>
      <c r="L84" s="7">
        <f>IF($U84="","",IF(INDEX('Per Invoice'!L$2:L$401,$U84)="","",INDEX('Per Invoice'!L$2:L$401,$U84)))</f>
        <v/>
      </c>
      <c r="M84" s="7">
        <f>IF($U84="","",IF(INDEX('Per Invoice'!M$2:M$401,$U84)="","",INDEX('Per Invoice'!M$2:M$401,$U84)))</f>
        <v/>
      </c>
      <c r="N84">
        <f>IF($U84="","",IF(INDEX('Per Invoice'!N$2:N$401,$U84)="","",INDEX('Per Invoice'!N$2:N$401,$U84)))</f>
        <v/>
      </c>
      <c r="O84" s="7">
        <f>IF($U84="","",IF(INDEX('Per Invoice'!O$2:O$401,$U84)="","",INDEX('Per Invoice'!O$2:O$401,$U84)))</f>
        <v/>
      </c>
      <c r="P84" s="7">
        <f>IF($U84="","",IF(INDEX('Per Invoice'!P$2:P$401,$U84)="","",INDEX('Per Invoice'!P$2:P$401,$U84)))</f>
        <v/>
      </c>
      <c r="Q84" s="7">
        <f>IF($U84="","",IF(INDEX('Per Invoice'!Q$2:Q$401,$U84)="","",INDEX('Per Invoice'!Q$2:Q$401,$U84)))</f>
        <v/>
      </c>
      <c r="R84" s="7">
        <f>IF($U84="","",IF(INDEX('Per Invoice'!R$2:R$401,$U84)="","",INDEX('Per Invoice'!R$2:R$401,$U84)))</f>
        <v/>
      </c>
      <c r="S84" s="7">
        <f>IF($U84="","",IF(INDEX('Per Invoice'!S$2:S$401,$U84)="","",INDEX('Per Invoice'!S$2:S$401,$U84)))</f>
        <v/>
      </c>
      <c r="T84" s="7">
        <f>IF($U84="","",IF(INDEX('Per Invoice'!T$2:T$401,$U84)="","",INDEX('Per Invoice'!T$2:T$401,$U84)))</f>
        <v/>
      </c>
      <c r="U84" s="16">
        <f>IFERROR(MATCH(Settings!$C$30&amp;"|"&amp;ROWS($U$2:$U84),'Per Invoice'!$V$2:$V$401,0),"")</f>
        <v/>
      </c>
    </row>
    <row r="85">
      <c r="A85">
        <f>IF($U85="","",IF(INDEX('Per Invoice'!A$2:A$401,$U85)="","",INDEX('Per Invoice'!A$2:A$401,$U85)))</f>
        <v/>
      </c>
      <c r="B85">
        <f>IF($U85="","",IF(INDEX('Per Invoice'!B$2:B$401,$U85)="","",INDEX('Per Invoice'!B$2:B$401,$U85)))</f>
        <v/>
      </c>
      <c r="C85">
        <f>IF($U85="","",IF(INDEX('Per Invoice'!C$2:C$401,$U85)="","",INDEX('Per Invoice'!C$2:C$401,$U85)))</f>
        <v/>
      </c>
      <c r="D85">
        <f>IF($U85="","",IF(INDEX('Per Invoice'!D$2:D$401,$U85)="","",INDEX('Per Invoice'!D$2:D$401,$U85)))</f>
        <v/>
      </c>
      <c r="E85">
        <f>IF($U85="","",IF(INDEX('Per Invoice'!E$2:E$401,$U85)="","",INDEX('Per Invoice'!E$2:E$401,$U85)))</f>
        <v/>
      </c>
      <c r="F85">
        <f>IF($U85="","",IF(INDEX('Per Invoice'!F$2:F$401,$U85)="","",INDEX('Per Invoice'!F$2:F$401,$U85)))</f>
        <v/>
      </c>
      <c r="G85">
        <f>IF($U85="","",IF(INDEX('Per Invoice'!G$2:G$401,$U85)="","",INDEX('Per Invoice'!G$2:G$401,$U85)))</f>
        <v/>
      </c>
      <c r="H85" s="7">
        <f>IF($U85="","",IF(INDEX('Per Invoice'!H$2:H$401,$U85)="","",INDEX('Per Invoice'!H$2:H$401,$U85)))</f>
        <v/>
      </c>
      <c r="I85" s="14">
        <f>IF($U85="","",IF(INDEX('Per Invoice'!I$2:I$401,$U85)="","",INDEX('Per Invoice'!I$2:I$401,$U85)))</f>
        <v/>
      </c>
      <c r="J85">
        <f>IF($U85="","",IF(INDEX('Per Invoice'!J$2:J$401,$U85)="","",INDEX('Per Invoice'!J$2:J$401,$U85)))</f>
        <v/>
      </c>
      <c r="K85">
        <f>IF($U85="","",IF(INDEX('Per Invoice'!K$2:K$401,$U85)="","",INDEX('Per Invoice'!K$2:K$401,$U85)))</f>
        <v/>
      </c>
      <c r="L85" s="7">
        <f>IF($U85="","",IF(INDEX('Per Invoice'!L$2:L$401,$U85)="","",INDEX('Per Invoice'!L$2:L$401,$U85)))</f>
        <v/>
      </c>
      <c r="M85" s="7">
        <f>IF($U85="","",IF(INDEX('Per Invoice'!M$2:M$401,$U85)="","",INDEX('Per Invoice'!M$2:M$401,$U85)))</f>
        <v/>
      </c>
      <c r="N85">
        <f>IF($U85="","",IF(INDEX('Per Invoice'!N$2:N$401,$U85)="","",INDEX('Per Invoice'!N$2:N$401,$U85)))</f>
        <v/>
      </c>
      <c r="O85" s="7">
        <f>IF($U85="","",IF(INDEX('Per Invoice'!O$2:O$401,$U85)="","",INDEX('Per Invoice'!O$2:O$401,$U85)))</f>
        <v/>
      </c>
      <c r="P85" s="7">
        <f>IF($U85="","",IF(INDEX('Per Invoice'!P$2:P$401,$U85)="","",INDEX('Per Invoice'!P$2:P$401,$U85)))</f>
        <v/>
      </c>
      <c r="Q85" s="7">
        <f>IF($U85="","",IF(INDEX('Per Invoice'!Q$2:Q$401,$U85)="","",INDEX('Per Invoice'!Q$2:Q$401,$U85)))</f>
        <v/>
      </c>
      <c r="R85" s="7">
        <f>IF($U85="","",IF(INDEX('Per Invoice'!R$2:R$401,$U85)="","",INDEX('Per Invoice'!R$2:R$401,$U85)))</f>
        <v/>
      </c>
      <c r="S85" s="7">
        <f>IF($U85="","",IF(INDEX('Per Invoice'!S$2:S$401,$U85)="","",INDEX('Per Invoice'!S$2:S$401,$U85)))</f>
        <v/>
      </c>
      <c r="T85" s="7">
        <f>IF($U85="","",IF(INDEX('Per Invoice'!T$2:T$401,$U85)="","",INDEX('Per Invoice'!T$2:T$401,$U85)))</f>
        <v/>
      </c>
      <c r="U85" s="16">
        <f>IFERROR(MATCH(Settings!$C$30&amp;"|"&amp;ROWS($U$2:$U85),'Per Invoice'!$V$2:$V$401,0),"")</f>
        <v/>
      </c>
    </row>
    <row r="86">
      <c r="A86">
        <f>IF($U86="","",IF(INDEX('Per Invoice'!A$2:A$401,$U86)="","",INDEX('Per Invoice'!A$2:A$401,$U86)))</f>
        <v/>
      </c>
      <c r="B86">
        <f>IF($U86="","",IF(INDEX('Per Invoice'!B$2:B$401,$U86)="","",INDEX('Per Invoice'!B$2:B$401,$U86)))</f>
        <v/>
      </c>
      <c r="C86">
        <f>IF($U86="","",IF(INDEX('Per Invoice'!C$2:C$401,$U86)="","",INDEX('Per Invoice'!C$2:C$401,$U86)))</f>
        <v/>
      </c>
      <c r="D86">
        <f>IF($U86="","",IF(INDEX('Per Invoice'!D$2:D$401,$U86)="","",INDEX('Per Invoice'!D$2:D$401,$U86)))</f>
        <v/>
      </c>
      <c r="E86">
        <f>IF($U86="","",IF(INDEX('Per Invoice'!E$2:E$401,$U86)="","",INDEX('Per Invoice'!E$2:E$401,$U86)))</f>
        <v/>
      </c>
      <c r="F86">
        <f>IF($U86="","",IF(INDEX('Per Invoice'!F$2:F$401,$U86)="","",INDEX('Per Invoice'!F$2:F$401,$U86)))</f>
        <v/>
      </c>
      <c r="G86">
        <f>IF($U86="","",IF(INDEX('Per Invoice'!G$2:G$401,$U86)="","",INDEX('Per Invoice'!G$2:G$401,$U86)))</f>
        <v/>
      </c>
      <c r="H86" s="7">
        <f>IF($U86="","",IF(INDEX('Per Invoice'!H$2:H$401,$U86)="","",INDEX('Per Invoice'!H$2:H$401,$U86)))</f>
        <v/>
      </c>
      <c r="I86" s="14">
        <f>IF($U86="","",IF(INDEX('Per Invoice'!I$2:I$401,$U86)="","",INDEX('Per Invoice'!I$2:I$401,$U86)))</f>
        <v/>
      </c>
      <c r="J86">
        <f>IF($U86="","",IF(INDEX('Per Invoice'!J$2:J$401,$U86)="","",INDEX('Per Invoice'!J$2:J$401,$U86)))</f>
        <v/>
      </c>
      <c r="K86">
        <f>IF($U86="","",IF(INDEX('Per Invoice'!K$2:K$401,$U86)="","",INDEX('Per Invoice'!K$2:K$401,$U86)))</f>
        <v/>
      </c>
      <c r="L86" s="7">
        <f>IF($U86="","",IF(INDEX('Per Invoice'!L$2:L$401,$U86)="","",INDEX('Per Invoice'!L$2:L$401,$U86)))</f>
        <v/>
      </c>
      <c r="M86" s="7">
        <f>IF($U86="","",IF(INDEX('Per Invoice'!M$2:M$401,$U86)="","",INDEX('Per Invoice'!M$2:M$401,$U86)))</f>
        <v/>
      </c>
      <c r="N86">
        <f>IF($U86="","",IF(INDEX('Per Invoice'!N$2:N$401,$U86)="","",INDEX('Per Invoice'!N$2:N$401,$U86)))</f>
        <v/>
      </c>
      <c r="O86" s="7">
        <f>IF($U86="","",IF(INDEX('Per Invoice'!O$2:O$401,$U86)="","",INDEX('Per Invoice'!O$2:O$401,$U86)))</f>
        <v/>
      </c>
      <c r="P86" s="7">
        <f>IF($U86="","",IF(INDEX('Per Invoice'!P$2:P$401,$U86)="","",INDEX('Per Invoice'!P$2:P$401,$U86)))</f>
        <v/>
      </c>
      <c r="Q86" s="7">
        <f>IF($U86="","",IF(INDEX('Per Invoice'!Q$2:Q$401,$U86)="","",INDEX('Per Invoice'!Q$2:Q$401,$U86)))</f>
        <v/>
      </c>
      <c r="R86" s="7">
        <f>IF($U86="","",IF(INDEX('Per Invoice'!R$2:R$401,$U86)="","",INDEX('Per Invoice'!R$2:R$401,$U86)))</f>
        <v/>
      </c>
      <c r="S86" s="7">
        <f>IF($U86="","",IF(INDEX('Per Invoice'!S$2:S$401,$U86)="","",INDEX('Per Invoice'!S$2:S$401,$U86)))</f>
        <v/>
      </c>
      <c r="T86" s="7">
        <f>IF($U86="","",IF(INDEX('Per Invoice'!T$2:T$401,$U86)="","",INDEX('Per Invoice'!T$2:T$401,$U86)))</f>
        <v/>
      </c>
      <c r="U86" s="16">
        <f>IFERROR(MATCH(Settings!$C$30&amp;"|"&amp;ROWS($U$2:$U86),'Per Invoice'!$V$2:$V$401,0),"")</f>
        <v/>
      </c>
    </row>
    <row r="87">
      <c r="A87">
        <f>IF($U87="","",IF(INDEX('Per Invoice'!A$2:A$401,$U87)="","",INDEX('Per Invoice'!A$2:A$401,$U87)))</f>
        <v/>
      </c>
      <c r="B87">
        <f>IF($U87="","",IF(INDEX('Per Invoice'!B$2:B$401,$U87)="","",INDEX('Per Invoice'!B$2:B$401,$U87)))</f>
        <v/>
      </c>
      <c r="C87">
        <f>IF($U87="","",IF(INDEX('Per Invoice'!C$2:C$401,$U87)="","",INDEX('Per Invoice'!C$2:C$401,$U87)))</f>
        <v/>
      </c>
      <c r="D87">
        <f>IF($U87="","",IF(INDEX('Per Invoice'!D$2:D$401,$U87)="","",INDEX('Per Invoice'!D$2:D$401,$U87)))</f>
        <v/>
      </c>
      <c r="E87">
        <f>IF($U87="","",IF(INDEX('Per Invoice'!E$2:E$401,$U87)="","",INDEX('Per Invoice'!E$2:E$401,$U87)))</f>
        <v/>
      </c>
      <c r="F87">
        <f>IF($U87="","",IF(INDEX('Per Invoice'!F$2:F$401,$U87)="","",INDEX('Per Invoice'!F$2:F$401,$U87)))</f>
        <v/>
      </c>
      <c r="G87">
        <f>IF($U87="","",IF(INDEX('Per Invoice'!G$2:G$401,$U87)="","",INDEX('Per Invoice'!G$2:G$401,$U87)))</f>
        <v/>
      </c>
      <c r="H87" s="7">
        <f>IF($U87="","",IF(INDEX('Per Invoice'!H$2:H$401,$U87)="","",INDEX('Per Invoice'!H$2:H$401,$U87)))</f>
        <v/>
      </c>
      <c r="I87" s="14">
        <f>IF($U87="","",IF(INDEX('Per Invoice'!I$2:I$401,$U87)="","",INDEX('Per Invoice'!I$2:I$401,$U87)))</f>
        <v/>
      </c>
      <c r="J87">
        <f>IF($U87="","",IF(INDEX('Per Invoice'!J$2:J$401,$U87)="","",INDEX('Per Invoice'!J$2:J$401,$U87)))</f>
        <v/>
      </c>
      <c r="K87">
        <f>IF($U87="","",IF(INDEX('Per Invoice'!K$2:K$401,$U87)="","",INDEX('Per Invoice'!K$2:K$401,$U87)))</f>
        <v/>
      </c>
      <c r="L87" s="7">
        <f>IF($U87="","",IF(INDEX('Per Invoice'!L$2:L$401,$U87)="","",INDEX('Per Invoice'!L$2:L$401,$U87)))</f>
        <v/>
      </c>
      <c r="M87" s="7">
        <f>IF($U87="","",IF(INDEX('Per Invoice'!M$2:M$401,$U87)="","",INDEX('Per Invoice'!M$2:M$401,$U87)))</f>
        <v/>
      </c>
      <c r="N87">
        <f>IF($U87="","",IF(INDEX('Per Invoice'!N$2:N$401,$U87)="","",INDEX('Per Invoice'!N$2:N$401,$U87)))</f>
        <v/>
      </c>
      <c r="O87" s="7">
        <f>IF($U87="","",IF(INDEX('Per Invoice'!O$2:O$401,$U87)="","",INDEX('Per Invoice'!O$2:O$401,$U87)))</f>
        <v/>
      </c>
      <c r="P87" s="7">
        <f>IF($U87="","",IF(INDEX('Per Invoice'!P$2:P$401,$U87)="","",INDEX('Per Invoice'!P$2:P$401,$U87)))</f>
        <v/>
      </c>
      <c r="Q87" s="7">
        <f>IF($U87="","",IF(INDEX('Per Invoice'!Q$2:Q$401,$U87)="","",INDEX('Per Invoice'!Q$2:Q$401,$U87)))</f>
        <v/>
      </c>
      <c r="R87" s="7">
        <f>IF($U87="","",IF(INDEX('Per Invoice'!R$2:R$401,$U87)="","",INDEX('Per Invoice'!R$2:R$401,$U87)))</f>
        <v/>
      </c>
      <c r="S87" s="7">
        <f>IF($U87="","",IF(INDEX('Per Invoice'!S$2:S$401,$U87)="","",INDEX('Per Invoice'!S$2:S$401,$U87)))</f>
        <v/>
      </c>
      <c r="T87" s="7">
        <f>IF($U87="","",IF(INDEX('Per Invoice'!T$2:T$401,$U87)="","",INDEX('Per Invoice'!T$2:T$401,$U87)))</f>
        <v/>
      </c>
      <c r="U87" s="16">
        <f>IFERROR(MATCH(Settings!$C$30&amp;"|"&amp;ROWS($U$2:$U87),'Per Invoice'!$V$2:$V$401,0),"")</f>
        <v/>
      </c>
    </row>
    <row r="88">
      <c r="A88">
        <f>IF($U88="","",IF(INDEX('Per Invoice'!A$2:A$401,$U88)="","",INDEX('Per Invoice'!A$2:A$401,$U88)))</f>
        <v/>
      </c>
      <c r="B88">
        <f>IF($U88="","",IF(INDEX('Per Invoice'!B$2:B$401,$U88)="","",INDEX('Per Invoice'!B$2:B$401,$U88)))</f>
        <v/>
      </c>
      <c r="C88">
        <f>IF($U88="","",IF(INDEX('Per Invoice'!C$2:C$401,$U88)="","",INDEX('Per Invoice'!C$2:C$401,$U88)))</f>
        <v/>
      </c>
      <c r="D88">
        <f>IF($U88="","",IF(INDEX('Per Invoice'!D$2:D$401,$U88)="","",INDEX('Per Invoice'!D$2:D$401,$U88)))</f>
        <v/>
      </c>
      <c r="E88">
        <f>IF($U88="","",IF(INDEX('Per Invoice'!E$2:E$401,$U88)="","",INDEX('Per Invoice'!E$2:E$401,$U88)))</f>
        <v/>
      </c>
      <c r="F88">
        <f>IF($U88="","",IF(INDEX('Per Invoice'!F$2:F$401,$U88)="","",INDEX('Per Invoice'!F$2:F$401,$U88)))</f>
        <v/>
      </c>
      <c r="G88">
        <f>IF($U88="","",IF(INDEX('Per Invoice'!G$2:G$401,$U88)="","",INDEX('Per Invoice'!G$2:G$401,$U88)))</f>
        <v/>
      </c>
      <c r="H88" s="7">
        <f>IF($U88="","",IF(INDEX('Per Invoice'!H$2:H$401,$U88)="","",INDEX('Per Invoice'!H$2:H$401,$U88)))</f>
        <v/>
      </c>
      <c r="I88" s="14">
        <f>IF($U88="","",IF(INDEX('Per Invoice'!I$2:I$401,$U88)="","",INDEX('Per Invoice'!I$2:I$401,$U88)))</f>
        <v/>
      </c>
      <c r="J88">
        <f>IF($U88="","",IF(INDEX('Per Invoice'!J$2:J$401,$U88)="","",INDEX('Per Invoice'!J$2:J$401,$U88)))</f>
        <v/>
      </c>
      <c r="K88">
        <f>IF($U88="","",IF(INDEX('Per Invoice'!K$2:K$401,$U88)="","",INDEX('Per Invoice'!K$2:K$401,$U88)))</f>
        <v/>
      </c>
      <c r="L88" s="7">
        <f>IF($U88="","",IF(INDEX('Per Invoice'!L$2:L$401,$U88)="","",INDEX('Per Invoice'!L$2:L$401,$U88)))</f>
        <v/>
      </c>
      <c r="M88" s="7">
        <f>IF($U88="","",IF(INDEX('Per Invoice'!M$2:M$401,$U88)="","",INDEX('Per Invoice'!M$2:M$401,$U88)))</f>
        <v/>
      </c>
      <c r="N88">
        <f>IF($U88="","",IF(INDEX('Per Invoice'!N$2:N$401,$U88)="","",INDEX('Per Invoice'!N$2:N$401,$U88)))</f>
        <v/>
      </c>
      <c r="O88" s="7">
        <f>IF($U88="","",IF(INDEX('Per Invoice'!O$2:O$401,$U88)="","",INDEX('Per Invoice'!O$2:O$401,$U88)))</f>
        <v/>
      </c>
      <c r="P88" s="7">
        <f>IF($U88="","",IF(INDEX('Per Invoice'!P$2:P$401,$U88)="","",INDEX('Per Invoice'!P$2:P$401,$U88)))</f>
        <v/>
      </c>
      <c r="Q88" s="7">
        <f>IF($U88="","",IF(INDEX('Per Invoice'!Q$2:Q$401,$U88)="","",INDEX('Per Invoice'!Q$2:Q$401,$U88)))</f>
        <v/>
      </c>
      <c r="R88" s="7">
        <f>IF($U88="","",IF(INDEX('Per Invoice'!R$2:R$401,$U88)="","",INDEX('Per Invoice'!R$2:R$401,$U88)))</f>
        <v/>
      </c>
      <c r="S88" s="7">
        <f>IF($U88="","",IF(INDEX('Per Invoice'!S$2:S$401,$U88)="","",INDEX('Per Invoice'!S$2:S$401,$U88)))</f>
        <v/>
      </c>
      <c r="T88" s="7">
        <f>IF($U88="","",IF(INDEX('Per Invoice'!T$2:T$401,$U88)="","",INDEX('Per Invoice'!T$2:T$401,$U88)))</f>
        <v/>
      </c>
      <c r="U88" s="16">
        <f>IFERROR(MATCH(Settings!$C$30&amp;"|"&amp;ROWS($U$2:$U88),'Per Invoice'!$V$2:$V$401,0),"")</f>
        <v/>
      </c>
    </row>
    <row r="89">
      <c r="A89">
        <f>IF($U89="","",IF(INDEX('Per Invoice'!A$2:A$401,$U89)="","",INDEX('Per Invoice'!A$2:A$401,$U89)))</f>
        <v/>
      </c>
      <c r="B89">
        <f>IF($U89="","",IF(INDEX('Per Invoice'!B$2:B$401,$U89)="","",INDEX('Per Invoice'!B$2:B$401,$U89)))</f>
        <v/>
      </c>
      <c r="C89">
        <f>IF($U89="","",IF(INDEX('Per Invoice'!C$2:C$401,$U89)="","",INDEX('Per Invoice'!C$2:C$401,$U89)))</f>
        <v/>
      </c>
      <c r="D89">
        <f>IF($U89="","",IF(INDEX('Per Invoice'!D$2:D$401,$U89)="","",INDEX('Per Invoice'!D$2:D$401,$U89)))</f>
        <v/>
      </c>
      <c r="E89">
        <f>IF($U89="","",IF(INDEX('Per Invoice'!E$2:E$401,$U89)="","",INDEX('Per Invoice'!E$2:E$401,$U89)))</f>
        <v/>
      </c>
      <c r="F89">
        <f>IF($U89="","",IF(INDEX('Per Invoice'!F$2:F$401,$U89)="","",INDEX('Per Invoice'!F$2:F$401,$U89)))</f>
        <v/>
      </c>
      <c r="G89">
        <f>IF($U89="","",IF(INDEX('Per Invoice'!G$2:G$401,$U89)="","",INDEX('Per Invoice'!G$2:G$401,$U89)))</f>
        <v/>
      </c>
      <c r="H89" s="7">
        <f>IF($U89="","",IF(INDEX('Per Invoice'!H$2:H$401,$U89)="","",INDEX('Per Invoice'!H$2:H$401,$U89)))</f>
        <v/>
      </c>
      <c r="I89" s="14">
        <f>IF($U89="","",IF(INDEX('Per Invoice'!I$2:I$401,$U89)="","",INDEX('Per Invoice'!I$2:I$401,$U89)))</f>
        <v/>
      </c>
      <c r="J89">
        <f>IF($U89="","",IF(INDEX('Per Invoice'!J$2:J$401,$U89)="","",INDEX('Per Invoice'!J$2:J$401,$U89)))</f>
        <v/>
      </c>
      <c r="K89">
        <f>IF($U89="","",IF(INDEX('Per Invoice'!K$2:K$401,$U89)="","",INDEX('Per Invoice'!K$2:K$401,$U89)))</f>
        <v/>
      </c>
      <c r="L89" s="7">
        <f>IF($U89="","",IF(INDEX('Per Invoice'!L$2:L$401,$U89)="","",INDEX('Per Invoice'!L$2:L$401,$U89)))</f>
        <v/>
      </c>
      <c r="M89" s="7">
        <f>IF($U89="","",IF(INDEX('Per Invoice'!M$2:M$401,$U89)="","",INDEX('Per Invoice'!M$2:M$401,$U89)))</f>
        <v/>
      </c>
      <c r="N89">
        <f>IF($U89="","",IF(INDEX('Per Invoice'!N$2:N$401,$U89)="","",INDEX('Per Invoice'!N$2:N$401,$U89)))</f>
        <v/>
      </c>
      <c r="O89" s="7">
        <f>IF($U89="","",IF(INDEX('Per Invoice'!O$2:O$401,$U89)="","",INDEX('Per Invoice'!O$2:O$401,$U89)))</f>
        <v/>
      </c>
      <c r="P89" s="7">
        <f>IF($U89="","",IF(INDEX('Per Invoice'!P$2:P$401,$U89)="","",INDEX('Per Invoice'!P$2:P$401,$U89)))</f>
        <v/>
      </c>
      <c r="Q89" s="7">
        <f>IF($U89="","",IF(INDEX('Per Invoice'!Q$2:Q$401,$U89)="","",INDEX('Per Invoice'!Q$2:Q$401,$U89)))</f>
        <v/>
      </c>
      <c r="R89" s="7">
        <f>IF($U89="","",IF(INDEX('Per Invoice'!R$2:R$401,$U89)="","",INDEX('Per Invoice'!R$2:R$401,$U89)))</f>
        <v/>
      </c>
      <c r="S89" s="7">
        <f>IF($U89="","",IF(INDEX('Per Invoice'!S$2:S$401,$U89)="","",INDEX('Per Invoice'!S$2:S$401,$U89)))</f>
        <v/>
      </c>
      <c r="T89" s="7">
        <f>IF($U89="","",IF(INDEX('Per Invoice'!T$2:T$401,$U89)="","",INDEX('Per Invoice'!T$2:T$401,$U89)))</f>
        <v/>
      </c>
      <c r="U89" s="16">
        <f>IFERROR(MATCH(Settings!$C$30&amp;"|"&amp;ROWS($U$2:$U89),'Per Invoice'!$V$2:$V$401,0),"")</f>
        <v/>
      </c>
    </row>
    <row r="90">
      <c r="A90">
        <f>IF($U90="","",IF(INDEX('Per Invoice'!A$2:A$401,$U90)="","",INDEX('Per Invoice'!A$2:A$401,$U90)))</f>
        <v/>
      </c>
      <c r="B90">
        <f>IF($U90="","",IF(INDEX('Per Invoice'!B$2:B$401,$U90)="","",INDEX('Per Invoice'!B$2:B$401,$U90)))</f>
        <v/>
      </c>
      <c r="C90">
        <f>IF($U90="","",IF(INDEX('Per Invoice'!C$2:C$401,$U90)="","",INDEX('Per Invoice'!C$2:C$401,$U90)))</f>
        <v/>
      </c>
      <c r="D90">
        <f>IF($U90="","",IF(INDEX('Per Invoice'!D$2:D$401,$U90)="","",INDEX('Per Invoice'!D$2:D$401,$U90)))</f>
        <v/>
      </c>
      <c r="E90">
        <f>IF($U90="","",IF(INDEX('Per Invoice'!E$2:E$401,$U90)="","",INDEX('Per Invoice'!E$2:E$401,$U90)))</f>
        <v/>
      </c>
      <c r="F90">
        <f>IF($U90="","",IF(INDEX('Per Invoice'!F$2:F$401,$U90)="","",INDEX('Per Invoice'!F$2:F$401,$U90)))</f>
        <v/>
      </c>
      <c r="G90">
        <f>IF($U90="","",IF(INDEX('Per Invoice'!G$2:G$401,$U90)="","",INDEX('Per Invoice'!G$2:G$401,$U90)))</f>
        <v/>
      </c>
      <c r="H90" s="7">
        <f>IF($U90="","",IF(INDEX('Per Invoice'!H$2:H$401,$U90)="","",INDEX('Per Invoice'!H$2:H$401,$U90)))</f>
        <v/>
      </c>
      <c r="I90" s="14">
        <f>IF($U90="","",IF(INDEX('Per Invoice'!I$2:I$401,$U90)="","",INDEX('Per Invoice'!I$2:I$401,$U90)))</f>
        <v/>
      </c>
      <c r="J90">
        <f>IF($U90="","",IF(INDEX('Per Invoice'!J$2:J$401,$U90)="","",INDEX('Per Invoice'!J$2:J$401,$U90)))</f>
        <v/>
      </c>
      <c r="K90">
        <f>IF($U90="","",IF(INDEX('Per Invoice'!K$2:K$401,$U90)="","",INDEX('Per Invoice'!K$2:K$401,$U90)))</f>
        <v/>
      </c>
      <c r="L90" s="7">
        <f>IF($U90="","",IF(INDEX('Per Invoice'!L$2:L$401,$U90)="","",INDEX('Per Invoice'!L$2:L$401,$U90)))</f>
        <v/>
      </c>
      <c r="M90" s="7">
        <f>IF($U90="","",IF(INDEX('Per Invoice'!M$2:M$401,$U90)="","",INDEX('Per Invoice'!M$2:M$401,$U90)))</f>
        <v/>
      </c>
      <c r="N90">
        <f>IF($U90="","",IF(INDEX('Per Invoice'!N$2:N$401,$U90)="","",INDEX('Per Invoice'!N$2:N$401,$U90)))</f>
        <v/>
      </c>
      <c r="O90" s="7">
        <f>IF($U90="","",IF(INDEX('Per Invoice'!O$2:O$401,$U90)="","",INDEX('Per Invoice'!O$2:O$401,$U90)))</f>
        <v/>
      </c>
      <c r="P90" s="7">
        <f>IF($U90="","",IF(INDEX('Per Invoice'!P$2:P$401,$U90)="","",INDEX('Per Invoice'!P$2:P$401,$U90)))</f>
        <v/>
      </c>
      <c r="Q90" s="7">
        <f>IF($U90="","",IF(INDEX('Per Invoice'!Q$2:Q$401,$U90)="","",INDEX('Per Invoice'!Q$2:Q$401,$U90)))</f>
        <v/>
      </c>
      <c r="R90" s="7">
        <f>IF($U90="","",IF(INDEX('Per Invoice'!R$2:R$401,$U90)="","",INDEX('Per Invoice'!R$2:R$401,$U90)))</f>
        <v/>
      </c>
      <c r="S90" s="7">
        <f>IF($U90="","",IF(INDEX('Per Invoice'!S$2:S$401,$U90)="","",INDEX('Per Invoice'!S$2:S$401,$U90)))</f>
        <v/>
      </c>
      <c r="T90" s="7">
        <f>IF($U90="","",IF(INDEX('Per Invoice'!T$2:T$401,$U90)="","",INDEX('Per Invoice'!T$2:T$401,$U90)))</f>
        <v/>
      </c>
      <c r="U90" s="16">
        <f>IFERROR(MATCH(Settings!$C$30&amp;"|"&amp;ROWS($U$2:$U90),'Per Invoice'!$V$2:$V$401,0),"")</f>
        <v/>
      </c>
    </row>
    <row r="91">
      <c r="A91">
        <f>IF($U91="","",IF(INDEX('Per Invoice'!A$2:A$401,$U91)="","",INDEX('Per Invoice'!A$2:A$401,$U91)))</f>
        <v/>
      </c>
      <c r="B91">
        <f>IF($U91="","",IF(INDEX('Per Invoice'!B$2:B$401,$U91)="","",INDEX('Per Invoice'!B$2:B$401,$U91)))</f>
        <v/>
      </c>
      <c r="C91">
        <f>IF($U91="","",IF(INDEX('Per Invoice'!C$2:C$401,$U91)="","",INDEX('Per Invoice'!C$2:C$401,$U91)))</f>
        <v/>
      </c>
      <c r="D91">
        <f>IF($U91="","",IF(INDEX('Per Invoice'!D$2:D$401,$U91)="","",INDEX('Per Invoice'!D$2:D$401,$U91)))</f>
        <v/>
      </c>
      <c r="E91">
        <f>IF($U91="","",IF(INDEX('Per Invoice'!E$2:E$401,$U91)="","",INDEX('Per Invoice'!E$2:E$401,$U91)))</f>
        <v/>
      </c>
      <c r="F91">
        <f>IF($U91="","",IF(INDEX('Per Invoice'!F$2:F$401,$U91)="","",INDEX('Per Invoice'!F$2:F$401,$U91)))</f>
        <v/>
      </c>
      <c r="G91">
        <f>IF($U91="","",IF(INDEX('Per Invoice'!G$2:G$401,$U91)="","",INDEX('Per Invoice'!G$2:G$401,$U91)))</f>
        <v/>
      </c>
      <c r="H91" s="7">
        <f>IF($U91="","",IF(INDEX('Per Invoice'!H$2:H$401,$U91)="","",INDEX('Per Invoice'!H$2:H$401,$U91)))</f>
        <v/>
      </c>
      <c r="I91" s="14">
        <f>IF($U91="","",IF(INDEX('Per Invoice'!I$2:I$401,$U91)="","",INDEX('Per Invoice'!I$2:I$401,$U91)))</f>
        <v/>
      </c>
      <c r="J91">
        <f>IF($U91="","",IF(INDEX('Per Invoice'!J$2:J$401,$U91)="","",INDEX('Per Invoice'!J$2:J$401,$U91)))</f>
        <v/>
      </c>
      <c r="K91">
        <f>IF($U91="","",IF(INDEX('Per Invoice'!K$2:K$401,$U91)="","",INDEX('Per Invoice'!K$2:K$401,$U91)))</f>
        <v/>
      </c>
      <c r="L91" s="7">
        <f>IF($U91="","",IF(INDEX('Per Invoice'!L$2:L$401,$U91)="","",INDEX('Per Invoice'!L$2:L$401,$U91)))</f>
        <v/>
      </c>
      <c r="M91" s="7">
        <f>IF($U91="","",IF(INDEX('Per Invoice'!M$2:M$401,$U91)="","",INDEX('Per Invoice'!M$2:M$401,$U91)))</f>
        <v/>
      </c>
      <c r="N91">
        <f>IF($U91="","",IF(INDEX('Per Invoice'!N$2:N$401,$U91)="","",INDEX('Per Invoice'!N$2:N$401,$U91)))</f>
        <v/>
      </c>
      <c r="O91" s="7">
        <f>IF($U91="","",IF(INDEX('Per Invoice'!O$2:O$401,$U91)="","",INDEX('Per Invoice'!O$2:O$401,$U91)))</f>
        <v/>
      </c>
      <c r="P91" s="7">
        <f>IF($U91="","",IF(INDEX('Per Invoice'!P$2:P$401,$U91)="","",INDEX('Per Invoice'!P$2:P$401,$U91)))</f>
        <v/>
      </c>
      <c r="Q91" s="7">
        <f>IF($U91="","",IF(INDEX('Per Invoice'!Q$2:Q$401,$U91)="","",INDEX('Per Invoice'!Q$2:Q$401,$U91)))</f>
        <v/>
      </c>
      <c r="R91" s="7">
        <f>IF($U91="","",IF(INDEX('Per Invoice'!R$2:R$401,$U91)="","",INDEX('Per Invoice'!R$2:R$401,$U91)))</f>
        <v/>
      </c>
      <c r="S91" s="7">
        <f>IF($U91="","",IF(INDEX('Per Invoice'!S$2:S$401,$U91)="","",INDEX('Per Invoice'!S$2:S$401,$U91)))</f>
        <v/>
      </c>
      <c r="T91" s="7">
        <f>IF($U91="","",IF(INDEX('Per Invoice'!T$2:T$401,$U91)="","",INDEX('Per Invoice'!T$2:T$401,$U91)))</f>
        <v/>
      </c>
      <c r="U91" s="16">
        <f>IFERROR(MATCH(Settings!$C$30&amp;"|"&amp;ROWS($U$2:$U91),'Per Invoice'!$V$2:$V$401,0),"")</f>
        <v/>
      </c>
    </row>
    <row r="92">
      <c r="A92">
        <f>IF($U92="","",IF(INDEX('Per Invoice'!A$2:A$401,$U92)="","",INDEX('Per Invoice'!A$2:A$401,$U92)))</f>
        <v/>
      </c>
      <c r="B92">
        <f>IF($U92="","",IF(INDEX('Per Invoice'!B$2:B$401,$U92)="","",INDEX('Per Invoice'!B$2:B$401,$U92)))</f>
        <v/>
      </c>
      <c r="C92">
        <f>IF($U92="","",IF(INDEX('Per Invoice'!C$2:C$401,$U92)="","",INDEX('Per Invoice'!C$2:C$401,$U92)))</f>
        <v/>
      </c>
      <c r="D92">
        <f>IF($U92="","",IF(INDEX('Per Invoice'!D$2:D$401,$U92)="","",INDEX('Per Invoice'!D$2:D$401,$U92)))</f>
        <v/>
      </c>
      <c r="E92">
        <f>IF($U92="","",IF(INDEX('Per Invoice'!E$2:E$401,$U92)="","",INDEX('Per Invoice'!E$2:E$401,$U92)))</f>
        <v/>
      </c>
      <c r="F92">
        <f>IF($U92="","",IF(INDEX('Per Invoice'!F$2:F$401,$U92)="","",INDEX('Per Invoice'!F$2:F$401,$U92)))</f>
        <v/>
      </c>
      <c r="G92">
        <f>IF($U92="","",IF(INDEX('Per Invoice'!G$2:G$401,$U92)="","",INDEX('Per Invoice'!G$2:G$401,$U92)))</f>
        <v/>
      </c>
      <c r="H92" s="7">
        <f>IF($U92="","",IF(INDEX('Per Invoice'!H$2:H$401,$U92)="","",INDEX('Per Invoice'!H$2:H$401,$U92)))</f>
        <v/>
      </c>
      <c r="I92" s="14">
        <f>IF($U92="","",IF(INDEX('Per Invoice'!I$2:I$401,$U92)="","",INDEX('Per Invoice'!I$2:I$401,$U92)))</f>
        <v/>
      </c>
      <c r="J92">
        <f>IF($U92="","",IF(INDEX('Per Invoice'!J$2:J$401,$U92)="","",INDEX('Per Invoice'!J$2:J$401,$U92)))</f>
        <v/>
      </c>
      <c r="K92">
        <f>IF($U92="","",IF(INDEX('Per Invoice'!K$2:K$401,$U92)="","",INDEX('Per Invoice'!K$2:K$401,$U92)))</f>
        <v/>
      </c>
      <c r="L92" s="7">
        <f>IF($U92="","",IF(INDEX('Per Invoice'!L$2:L$401,$U92)="","",INDEX('Per Invoice'!L$2:L$401,$U92)))</f>
        <v/>
      </c>
      <c r="M92" s="7">
        <f>IF($U92="","",IF(INDEX('Per Invoice'!M$2:M$401,$U92)="","",INDEX('Per Invoice'!M$2:M$401,$U92)))</f>
        <v/>
      </c>
      <c r="N92">
        <f>IF($U92="","",IF(INDEX('Per Invoice'!N$2:N$401,$U92)="","",INDEX('Per Invoice'!N$2:N$401,$U92)))</f>
        <v/>
      </c>
      <c r="O92" s="7">
        <f>IF($U92="","",IF(INDEX('Per Invoice'!O$2:O$401,$U92)="","",INDEX('Per Invoice'!O$2:O$401,$U92)))</f>
        <v/>
      </c>
      <c r="P92" s="7">
        <f>IF($U92="","",IF(INDEX('Per Invoice'!P$2:P$401,$U92)="","",INDEX('Per Invoice'!P$2:P$401,$U92)))</f>
        <v/>
      </c>
      <c r="Q92" s="7">
        <f>IF($U92="","",IF(INDEX('Per Invoice'!Q$2:Q$401,$U92)="","",INDEX('Per Invoice'!Q$2:Q$401,$U92)))</f>
        <v/>
      </c>
      <c r="R92" s="7">
        <f>IF($U92="","",IF(INDEX('Per Invoice'!R$2:R$401,$U92)="","",INDEX('Per Invoice'!R$2:R$401,$U92)))</f>
        <v/>
      </c>
      <c r="S92" s="7">
        <f>IF($U92="","",IF(INDEX('Per Invoice'!S$2:S$401,$U92)="","",INDEX('Per Invoice'!S$2:S$401,$U92)))</f>
        <v/>
      </c>
      <c r="T92" s="7">
        <f>IF($U92="","",IF(INDEX('Per Invoice'!T$2:T$401,$U92)="","",INDEX('Per Invoice'!T$2:T$401,$U92)))</f>
        <v/>
      </c>
      <c r="U92" s="16">
        <f>IFERROR(MATCH(Settings!$C$30&amp;"|"&amp;ROWS($U$2:$U92),'Per Invoice'!$V$2:$V$401,0),"")</f>
        <v/>
      </c>
    </row>
    <row r="93">
      <c r="A93">
        <f>IF($U93="","",IF(INDEX('Per Invoice'!A$2:A$401,$U93)="","",INDEX('Per Invoice'!A$2:A$401,$U93)))</f>
        <v/>
      </c>
      <c r="B93">
        <f>IF($U93="","",IF(INDEX('Per Invoice'!B$2:B$401,$U93)="","",INDEX('Per Invoice'!B$2:B$401,$U93)))</f>
        <v/>
      </c>
      <c r="C93">
        <f>IF($U93="","",IF(INDEX('Per Invoice'!C$2:C$401,$U93)="","",INDEX('Per Invoice'!C$2:C$401,$U93)))</f>
        <v/>
      </c>
      <c r="D93">
        <f>IF($U93="","",IF(INDEX('Per Invoice'!D$2:D$401,$U93)="","",INDEX('Per Invoice'!D$2:D$401,$U93)))</f>
        <v/>
      </c>
      <c r="E93">
        <f>IF($U93="","",IF(INDEX('Per Invoice'!E$2:E$401,$U93)="","",INDEX('Per Invoice'!E$2:E$401,$U93)))</f>
        <v/>
      </c>
      <c r="F93">
        <f>IF($U93="","",IF(INDEX('Per Invoice'!F$2:F$401,$U93)="","",INDEX('Per Invoice'!F$2:F$401,$U93)))</f>
        <v/>
      </c>
      <c r="G93">
        <f>IF($U93="","",IF(INDEX('Per Invoice'!G$2:G$401,$U93)="","",INDEX('Per Invoice'!G$2:G$401,$U93)))</f>
        <v/>
      </c>
      <c r="H93" s="7">
        <f>IF($U93="","",IF(INDEX('Per Invoice'!H$2:H$401,$U93)="","",INDEX('Per Invoice'!H$2:H$401,$U93)))</f>
        <v/>
      </c>
      <c r="I93" s="14">
        <f>IF($U93="","",IF(INDEX('Per Invoice'!I$2:I$401,$U93)="","",INDEX('Per Invoice'!I$2:I$401,$U93)))</f>
        <v/>
      </c>
      <c r="J93">
        <f>IF($U93="","",IF(INDEX('Per Invoice'!J$2:J$401,$U93)="","",INDEX('Per Invoice'!J$2:J$401,$U93)))</f>
        <v/>
      </c>
      <c r="K93">
        <f>IF($U93="","",IF(INDEX('Per Invoice'!K$2:K$401,$U93)="","",INDEX('Per Invoice'!K$2:K$401,$U93)))</f>
        <v/>
      </c>
      <c r="L93" s="7">
        <f>IF($U93="","",IF(INDEX('Per Invoice'!L$2:L$401,$U93)="","",INDEX('Per Invoice'!L$2:L$401,$U93)))</f>
        <v/>
      </c>
      <c r="M93" s="7">
        <f>IF($U93="","",IF(INDEX('Per Invoice'!M$2:M$401,$U93)="","",INDEX('Per Invoice'!M$2:M$401,$U93)))</f>
        <v/>
      </c>
      <c r="N93">
        <f>IF($U93="","",IF(INDEX('Per Invoice'!N$2:N$401,$U93)="","",INDEX('Per Invoice'!N$2:N$401,$U93)))</f>
        <v/>
      </c>
      <c r="O93" s="7">
        <f>IF($U93="","",IF(INDEX('Per Invoice'!O$2:O$401,$U93)="","",INDEX('Per Invoice'!O$2:O$401,$U93)))</f>
        <v/>
      </c>
      <c r="P93" s="7">
        <f>IF($U93="","",IF(INDEX('Per Invoice'!P$2:P$401,$U93)="","",INDEX('Per Invoice'!P$2:P$401,$U93)))</f>
        <v/>
      </c>
      <c r="Q93" s="7">
        <f>IF($U93="","",IF(INDEX('Per Invoice'!Q$2:Q$401,$U93)="","",INDEX('Per Invoice'!Q$2:Q$401,$U93)))</f>
        <v/>
      </c>
      <c r="R93" s="7">
        <f>IF($U93="","",IF(INDEX('Per Invoice'!R$2:R$401,$U93)="","",INDEX('Per Invoice'!R$2:R$401,$U93)))</f>
        <v/>
      </c>
      <c r="S93" s="7">
        <f>IF($U93="","",IF(INDEX('Per Invoice'!S$2:S$401,$U93)="","",INDEX('Per Invoice'!S$2:S$401,$U93)))</f>
        <v/>
      </c>
      <c r="T93" s="7">
        <f>IF($U93="","",IF(INDEX('Per Invoice'!T$2:T$401,$U93)="","",INDEX('Per Invoice'!T$2:T$401,$U93)))</f>
        <v/>
      </c>
      <c r="U93" s="16">
        <f>IFERROR(MATCH(Settings!$C$30&amp;"|"&amp;ROWS($U$2:$U93),'Per Invoice'!$V$2:$V$401,0),"")</f>
        <v/>
      </c>
    </row>
    <row r="94">
      <c r="A94">
        <f>IF($U94="","",IF(INDEX('Per Invoice'!A$2:A$401,$U94)="","",INDEX('Per Invoice'!A$2:A$401,$U94)))</f>
        <v/>
      </c>
      <c r="B94">
        <f>IF($U94="","",IF(INDEX('Per Invoice'!B$2:B$401,$U94)="","",INDEX('Per Invoice'!B$2:B$401,$U94)))</f>
        <v/>
      </c>
      <c r="C94">
        <f>IF($U94="","",IF(INDEX('Per Invoice'!C$2:C$401,$U94)="","",INDEX('Per Invoice'!C$2:C$401,$U94)))</f>
        <v/>
      </c>
      <c r="D94">
        <f>IF($U94="","",IF(INDEX('Per Invoice'!D$2:D$401,$U94)="","",INDEX('Per Invoice'!D$2:D$401,$U94)))</f>
        <v/>
      </c>
      <c r="E94">
        <f>IF($U94="","",IF(INDEX('Per Invoice'!E$2:E$401,$U94)="","",INDEX('Per Invoice'!E$2:E$401,$U94)))</f>
        <v/>
      </c>
      <c r="F94">
        <f>IF($U94="","",IF(INDEX('Per Invoice'!F$2:F$401,$U94)="","",INDEX('Per Invoice'!F$2:F$401,$U94)))</f>
        <v/>
      </c>
      <c r="G94">
        <f>IF($U94="","",IF(INDEX('Per Invoice'!G$2:G$401,$U94)="","",INDEX('Per Invoice'!G$2:G$401,$U94)))</f>
        <v/>
      </c>
      <c r="H94" s="7">
        <f>IF($U94="","",IF(INDEX('Per Invoice'!H$2:H$401,$U94)="","",INDEX('Per Invoice'!H$2:H$401,$U94)))</f>
        <v/>
      </c>
      <c r="I94" s="14">
        <f>IF($U94="","",IF(INDEX('Per Invoice'!I$2:I$401,$U94)="","",INDEX('Per Invoice'!I$2:I$401,$U94)))</f>
        <v/>
      </c>
      <c r="J94">
        <f>IF($U94="","",IF(INDEX('Per Invoice'!J$2:J$401,$U94)="","",INDEX('Per Invoice'!J$2:J$401,$U94)))</f>
        <v/>
      </c>
      <c r="K94">
        <f>IF($U94="","",IF(INDEX('Per Invoice'!K$2:K$401,$U94)="","",INDEX('Per Invoice'!K$2:K$401,$U94)))</f>
        <v/>
      </c>
      <c r="L94" s="7">
        <f>IF($U94="","",IF(INDEX('Per Invoice'!L$2:L$401,$U94)="","",INDEX('Per Invoice'!L$2:L$401,$U94)))</f>
        <v/>
      </c>
      <c r="M94" s="7">
        <f>IF($U94="","",IF(INDEX('Per Invoice'!M$2:M$401,$U94)="","",INDEX('Per Invoice'!M$2:M$401,$U94)))</f>
        <v/>
      </c>
      <c r="N94">
        <f>IF($U94="","",IF(INDEX('Per Invoice'!N$2:N$401,$U94)="","",INDEX('Per Invoice'!N$2:N$401,$U94)))</f>
        <v/>
      </c>
      <c r="O94" s="7">
        <f>IF($U94="","",IF(INDEX('Per Invoice'!O$2:O$401,$U94)="","",INDEX('Per Invoice'!O$2:O$401,$U94)))</f>
        <v/>
      </c>
      <c r="P94" s="7">
        <f>IF($U94="","",IF(INDEX('Per Invoice'!P$2:P$401,$U94)="","",INDEX('Per Invoice'!P$2:P$401,$U94)))</f>
        <v/>
      </c>
      <c r="Q94" s="7">
        <f>IF($U94="","",IF(INDEX('Per Invoice'!Q$2:Q$401,$U94)="","",INDEX('Per Invoice'!Q$2:Q$401,$U94)))</f>
        <v/>
      </c>
      <c r="R94" s="7">
        <f>IF($U94="","",IF(INDEX('Per Invoice'!R$2:R$401,$U94)="","",INDEX('Per Invoice'!R$2:R$401,$U94)))</f>
        <v/>
      </c>
      <c r="S94" s="7">
        <f>IF($U94="","",IF(INDEX('Per Invoice'!S$2:S$401,$U94)="","",INDEX('Per Invoice'!S$2:S$401,$U94)))</f>
        <v/>
      </c>
      <c r="T94" s="7">
        <f>IF($U94="","",IF(INDEX('Per Invoice'!T$2:T$401,$U94)="","",INDEX('Per Invoice'!T$2:T$401,$U94)))</f>
        <v/>
      </c>
      <c r="U94" s="16">
        <f>IFERROR(MATCH(Settings!$C$30&amp;"|"&amp;ROWS($U$2:$U94),'Per Invoice'!$V$2:$V$401,0),"")</f>
        <v/>
      </c>
    </row>
    <row r="95">
      <c r="A95">
        <f>IF($U95="","",IF(INDEX('Per Invoice'!A$2:A$401,$U95)="","",INDEX('Per Invoice'!A$2:A$401,$U95)))</f>
        <v/>
      </c>
      <c r="B95">
        <f>IF($U95="","",IF(INDEX('Per Invoice'!B$2:B$401,$U95)="","",INDEX('Per Invoice'!B$2:B$401,$U95)))</f>
        <v/>
      </c>
      <c r="C95">
        <f>IF($U95="","",IF(INDEX('Per Invoice'!C$2:C$401,$U95)="","",INDEX('Per Invoice'!C$2:C$401,$U95)))</f>
        <v/>
      </c>
      <c r="D95">
        <f>IF($U95="","",IF(INDEX('Per Invoice'!D$2:D$401,$U95)="","",INDEX('Per Invoice'!D$2:D$401,$U95)))</f>
        <v/>
      </c>
      <c r="E95">
        <f>IF($U95="","",IF(INDEX('Per Invoice'!E$2:E$401,$U95)="","",INDEX('Per Invoice'!E$2:E$401,$U95)))</f>
        <v/>
      </c>
      <c r="F95">
        <f>IF($U95="","",IF(INDEX('Per Invoice'!F$2:F$401,$U95)="","",INDEX('Per Invoice'!F$2:F$401,$U95)))</f>
        <v/>
      </c>
      <c r="G95">
        <f>IF($U95="","",IF(INDEX('Per Invoice'!G$2:G$401,$U95)="","",INDEX('Per Invoice'!G$2:G$401,$U95)))</f>
        <v/>
      </c>
      <c r="H95" s="7">
        <f>IF($U95="","",IF(INDEX('Per Invoice'!H$2:H$401,$U95)="","",INDEX('Per Invoice'!H$2:H$401,$U95)))</f>
        <v/>
      </c>
      <c r="I95" s="14">
        <f>IF($U95="","",IF(INDEX('Per Invoice'!I$2:I$401,$U95)="","",INDEX('Per Invoice'!I$2:I$401,$U95)))</f>
        <v/>
      </c>
      <c r="J95">
        <f>IF($U95="","",IF(INDEX('Per Invoice'!J$2:J$401,$U95)="","",INDEX('Per Invoice'!J$2:J$401,$U95)))</f>
        <v/>
      </c>
      <c r="K95">
        <f>IF($U95="","",IF(INDEX('Per Invoice'!K$2:K$401,$U95)="","",INDEX('Per Invoice'!K$2:K$401,$U95)))</f>
        <v/>
      </c>
      <c r="L95" s="7">
        <f>IF($U95="","",IF(INDEX('Per Invoice'!L$2:L$401,$U95)="","",INDEX('Per Invoice'!L$2:L$401,$U95)))</f>
        <v/>
      </c>
      <c r="M95" s="7">
        <f>IF($U95="","",IF(INDEX('Per Invoice'!M$2:M$401,$U95)="","",INDEX('Per Invoice'!M$2:M$401,$U95)))</f>
        <v/>
      </c>
      <c r="N95">
        <f>IF($U95="","",IF(INDEX('Per Invoice'!N$2:N$401,$U95)="","",INDEX('Per Invoice'!N$2:N$401,$U95)))</f>
        <v/>
      </c>
      <c r="O95" s="7">
        <f>IF($U95="","",IF(INDEX('Per Invoice'!O$2:O$401,$U95)="","",INDEX('Per Invoice'!O$2:O$401,$U95)))</f>
        <v/>
      </c>
      <c r="P95" s="7">
        <f>IF($U95="","",IF(INDEX('Per Invoice'!P$2:P$401,$U95)="","",INDEX('Per Invoice'!P$2:P$401,$U95)))</f>
        <v/>
      </c>
      <c r="Q95" s="7">
        <f>IF($U95="","",IF(INDEX('Per Invoice'!Q$2:Q$401,$U95)="","",INDEX('Per Invoice'!Q$2:Q$401,$U95)))</f>
        <v/>
      </c>
      <c r="R95" s="7">
        <f>IF($U95="","",IF(INDEX('Per Invoice'!R$2:R$401,$U95)="","",INDEX('Per Invoice'!R$2:R$401,$U95)))</f>
        <v/>
      </c>
      <c r="S95" s="7">
        <f>IF($U95="","",IF(INDEX('Per Invoice'!S$2:S$401,$U95)="","",INDEX('Per Invoice'!S$2:S$401,$U95)))</f>
        <v/>
      </c>
      <c r="T95" s="7">
        <f>IF($U95="","",IF(INDEX('Per Invoice'!T$2:T$401,$U95)="","",INDEX('Per Invoice'!T$2:T$401,$U95)))</f>
        <v/>
      </c>
      <c r="U95" s="16">
        <f>IFERROR(MATCH(Settings!$C$30&amp;"|"&amp;ROWS($U$2:$U95),'Per Invoice'!$V$2:$V$401,0),"")</f>
        <v/>
      </c>
    </row>
    <row r="96">
      <c r="A96">
        <f>IF($U96="","",IF(INDEX('Per Invoice'!A$2:A$401,$U96)="","",INDEX('Per Invoice'!A$2:A$401,$U96)))</f>
        <v/>
      </c>
      <c r="B96">
        <f>IF($U96="","",IF(INDEX('Per Invoice'!B$2:B$401,$U96)="","",INDEX('Per Invoice'!B$2:B$401,$U96)))</f>
        <v/>
      </c>
      <c r="C96">
        <f>IF($U96="","",IF(INDEX('Per Invoice'!C$2:C$401,$U96)="","",INDEX('Per Invoice'!C$2:C$401,$U96)))</f>
        <v/>
      </c>
      <c r="D96">
        <f>IF($U96="","",IF(INDEX('Per Invoice'!D$2:D$401,$U96)="","",INDEX('Per Invoice'!D$2:D$401,$U96)))</f>
        <v/>
      </c>
      <c r="E96">
        <f>IF($U96="","",IF(INDEX('Per Invoice'!E$2:E$401,$U96)="","",INDEX('Per Invoice'!E$2:E$401,$U96)))</f>
        <v/>
      </c>
      <c r="F96">
        <f>IF($U96="","",IF(INDEX('Per Invoice'!F$2:F$401,$U96)="","",INDEX('Per Invoice'!F$2:F$401,$U96)))</f>
        <v/>
      </c>
      <c r="G96">
        <f>IF($U96="","",IF(INDEX('Per Invoice'!G$2:G$401,$U96)="","",INDEX('Per Invoice'!G$2:G$401,$U96)))</f>
        <v/>
      </c>
      <c r="H96" s="7">
        <f>IF($U96="","",IF(INDEX('Per Invoice'!H$2:H$401,$U96)="","",INDEX('Per Invoice'!H$2:H$401,$U96)))</f>
        <v/>
      </c>
      <c r="I96" s="14">
        <f>IF($U96="","",IF(INDEX('Per Invoice'!I$2:I$401,$U96)="","",INDEX('Per Invoice'!I$2:I$401,$U96)))</f>
        <v/>
      </c>
      <c r="J96">
        <f>IF($U96="","",IF(INDEX('Per Invoice'!J$2:J$401,$U96)="","",INDEX('Per Invoice'!J$2:J$401,$U96)))</f>
        <v/>
      </c>
      <c r="K96">
        <f>IF($U96="","",IF(INDEX('Per Invoice'!K$2:K$401,$U96)="","",INDEX('Per Invoice'!K$2:K$401,$U96)))</f>
        <v/>
      </c>
      <c r="L96" s="7">
        <f>IF($U96="","",IF(INDEX('Per Invoice'!L$2:L$401,$U96)="","",INDEX('Per Invoice'!L$2:L$401,$U96)))</f>
        <v/>
      </c>
      <c r="M96" s="7">
        <f>IF($U96="","",IF(INDEX('Per Invoice'!M$2:M$401,$U96)="","",INDEX('Per Invoice'!M$2:M$401,$U96)))</f>
        <v/>
      </c>
      <c r="N96">
        <f>IF($U96="","",IF(INDEX('Per Invoice'!N$2:N$401,$U96)="","",INDEX('Per Invoice'!N$2:N$401,$U96)))</f>
        <v/>
      </c>
      <c r="O96" s="7">
        <f>IF($U96="","",IF(INDEX('Per Invoice'!O$2:O$401,$U96)="","",INDEX('Per Invoice'!O$2:O$401,$U96)))</f>
        <v/>
      </c>
      <c r="P96" s="7">
        <f>IF($U96="","",IF(INDEX('Per Invoice'!P$2:P$401,$U96)="","",INDEX('Per Invoice'!P$2:P$401,$U96)))</f>
        <v/>
      </c>
      <c r="Q96" s="7">
        <f>IF($U96="","",IF(INDEX('Per Invoice'!Q$2:Q$401,$U96)="","",INDEX('Per Invoice'!Q$2:Q$401,$U96)))</f>
        <v/>
      </c>
      <c r="R96" s="7">
        <f>IF($U96="","",IF(INDEX('Per Invoice'!R$2:R$401,$U96)="","",INDEX('Per Invoice'!R$2:R$401,$U96)))</f>
        <v/>
      </c>
      <c r="S96" s="7">
        <f>IF($U96="","",IF(INDEX('Per Invoice'!S$2:S$401,$U96)="","",INDEX('Per Invoice'!S$2:S$401,$U96)))</f>
        <v/>
      </c>
      <c r="T96" s="7">
        <f>IF($U96="","",IF(INDEX('Per Invoice'!T$2:T$401,$U96)="","",INDEX('Per Invoice'!T$2:T$401,$U96)))</f>
        <v/>
      </c>
      <c r="U96" s="16">
        <f>IFERROR(MATCH(Settings!$C$30&amp;"|"&amp;ROWS($U$2:$U96),'Per Invoice'!$V$2:$V$401,0),"")</f>
        <v/>
      </c>
    </row>
    <row r="97">
      <c r="A97">
        <f>IF($U97="","",IF(INDEX('Per Invoice'!A$2:A$401,$U97)="","",INDEX('Per Invoice'!A$2:A$401,$U97)))</f>
        <v/>
      </c>
      <c r="B97">
        <f>IF($U97="","",IF(INDEX('Per Invoice'!B$2:B$401,$U97)="","",INDEX('Per Invoice'!B$2:B$401,$U97)))</f>
        <v/>
      </c>
      <c r="C97">
        <f>IF($U97="","",IF(INDEX('Per Invoice'!C$2:C$401,$U97)="","",INDEX('Per Invoice'!C$2:C$401,$U97)))</f>
        <v/>
      </c>
      <c r="D97">
        <f>IF($U97="","",IF(INDEX('Per Invoice'!D$2:D$401,$U97)="","",INDEX('Per Invoice'!D$2:D$401,$U97)))</f>
        <v/>
      </c>
      <c r="E97">
        <f>IF($U97="","",IF(INDEX('Per Invoice'!E$2:E$401,$U97)="","",INDEX('Per Invoice'!E$2:E$401,$U97)))</f>
        <v/>
      </c>
      <c r="F97">
        <f>IF($U97="","",IF(INDEX('Per Invoice'!F$2:F$401,$U97)="","",INDEX('Per Invoice'!F$2:F$401,$U97)))</f>
        <v/>
      </c>
      <c r="G97">
        <f>IF($U97="","",IF(INDEX('Per Invoice'!G$2:G$401,$U97)="","",INDEX('Per Invoice'!G$2:G$401,$U97)))</f>
        <v/>
      </c>
      <c r="H97" s="7">
        <f>IF($U97="","",IF(INDEX('Per Invoice'!H$2:H$401,$U97)="","",INDEX('Per Invoice'!H$2:H$401,$U97)))</f>
        <v/>
      </c>
      <c r="I97" s="14">
        <f>IF($U97="","",IF(INDEX('Per Invoice'!I$2:I$401,$U97)="","",INDEX('Per Invoice'!I$2:I$401,$U97)))</f>
        <v/>
      </c>
      <c r="J97">
        <f>IF($U97="","",IF(INDEX('Per Invoice'!J$2:J$401,$U97)="","",INDEX('Per Invoice'!J$2:J$401,$U97)))</f>
        <v/>
      </c>
      <c r="K97">
        <f>IF($U97="","",IF(INDEX('Per Invoice'!K$2:K$401,$U97)="","",INDEX('Per Invoice'!K$2:K$401,$U97)))</f>
        <v/>
      </c>
      <c r="L97" s="7">
        <f>IF($U97="","",IF(INDEX('Per Invoice'!L$2:L$401,$U97)="","",INDEX('Per Invoice'!L$2:L$401,$U97)))</f>
        <v/>
      </c>
      <c r="M97" s="7">
        <f>IF($U97="","",IF(INDEX('Per Invoice'!M$2:M$401,$U97)="","",INDEX('Per Invoice'!M$2:M$401,$U97)))</f>
        <v/>
      </c>
      <c r="N97">
        <f>IF($U97="","",IF(INDEX('Per Invoice'!N$2:N$401,$U97)="","",INDEX('Per Invoice'!N$2:N$401,$U97)))</f>
        <v/>
      </c>
      <c r="O97" s="7">
        <f>IF($U97="","",IF(INDEX('Per Invoice'!O$2:O$401,$U97)="","",INDEX('Per Invoice'!O$2:O$401,$U97)))</f>
        <v/>
      </c>
      <c r="P97" s="7">
        <f>IF($U97="","",IF(INDEX('Per Invoice'!P$2:P$401,$U97)="","",INDEX('Per Invoice'!P$2:P$401,$U97)))</f>
        <v/>
      </c>
      <c r="Q97" s="7">
        <f>IF($U97="","",IF(INDEX('Per Invoice'!Q$2:Q$401,$U97)="","",INDEX('Per Invoice'!Q$2:Q$401,$U97)))</f>
        <v/>
      </c>
      <c r="R97" s="7">
        <f>IF($U97="","",IF(INDEX('Per Invoice'!R$2:R$401,$U97)="","",INDEX('Per Invoice'!R$2:R$401,$U97)))</f>
        <v/>
      </c>
      <c r="S97" s="7">
        <f>IF($U97="","",IF(INDEX('Per Invoice'!S$2:S$401,$U97)="","",INDEX('Per Invoice'!S$2:S$401,$U97)))</f>
        <v/>
      </c>
      <c r="T97" s="7">
        <f>IF($U97="","",IF(INDEX('Per Invoice'!T$2:T$401,$U97)="","",INDEX('Per Invoice'!T$2:T$401,$U97)))</f>
        <v/>
      </c>
      <c r="U97" s="16">
        <f>IFERROR(MATCH(Settings!$C$30&amp;"|"&amp;ROWS($U$2:$U97),'Per Invoice'!$V$2:$V$401,0),"")</f>
        <v/>
      </c>
    </row>
    <row r="98">
      <c r="A98">
        <f>IF($U98="","",IF(INDEX('Per Invoice'!A$2:A$401,$U98)="","",INDEX('Per Invoice'!A$2:A$401,$U98)))</f>
        <v/>
      </c>
      <c r="B98">
        <f>IF($U98="","",IF(INDEX('Per Invoice'!B$2:B$401,$U98)="","",INDEX('Per Invoice'!B$2:B$401,$U98)))</f>
        <v/>
      </c>
      <c r="C98">
        <f>IF($U98="","",IF(INDEX('Per Invoice'!C$2:C$401,$U98)="","",INDEX('Per Invoice'!C$2:C$401,$U98)))</f>
        <v/>
      </c>
      <c r="D98">
        <f>IF($U98="","",IF(INDEX('Per Invoice'!D$2:D$401,$U98)="","",INDEX('Per Invoice'!D$2:D$401,$U98)))</f>
        <v/>
      </c>
      <c r="E98">
        <f>IF($U98="","",IF(INDEX('Per Invoice'!E$2:E$401,$U98)="","",INDEX('Per Invoice'!E$2:E$401,$U98)))</f>
        <v/>
      </c>
      <c r="F98">
        <f>IF($U98="","",IF(INDEX('Per Invoice'!F$2:F$401,$U98)="","",INDEX('Per Invoice'!F$2:F$401,$U98)))</f>
        <v/>
      </c>
      <c r="G98">
        <f>IF($U98="","",IF(INDEX('Per Invoice'!G$2:G$401,$U98)="","",INDEX('Per Invoice'!G$2:G$401,$U98)))</f>
        <v/>
      </c>
      <c r="H98" s="7">
        <f>IF($U98="","",IF(INDEX('Per Invoice'!H$2:H$401,$U98)="","",INDEX('Per Invoice'!H$2:H$401,$U98)))</f>
        <v/>
      </c>
      <c r="I98" s="14">
        <f>IF($U98="","",IF(INDEX('Per Invoice'!I$2:I$401,$U98)="","",INDEX('Per Invoice'!I$2:I$401,$U98)))</f>
        <v/>
      </c>
      <c r="J98">
        <f>IF($U98="","",IF(INDEX('Per Invoice'!J$2:J$401,$U98)="","",INDEX('Per Invoice'!J$2:J$401,$U98)))</f>
        <v/>
      </c>
      <c r="K98">
        <f>IF($U98="","",IF(INDEX('Per Invoice'!K$2:K$401,$U98)="","",INDEX('Per Invoice'!K$2:K$401,$U98)))</f>
        <v/>
      </c>
      <c r="L98" s="7">
        <f>IF($U98="","",IF(INDEX('Per Invoice'!L$2:L$401,$U98)="","",INDEX('Per Invoice'!L$2:L$401,$U98)))</f>
        <v/>
      </c>
      <c r="M98" s="7">
        <f>IF($U98="","",IF(INDEX('Per Invoice'!M$2:M$401,$U98)="","",INDEX('Per Invoice'!M$2:M$401,$U98)))</f>
        <v/>
      </c>
      <c r="N98">
        <f>IF($U98="","",IF(INDEX('Per Invoice'!N$2:N$401,$U98)="","",INDEX('Per Invoice'!N$2:N$401,$U98)))</f>
        <v/>
      </c>
      <c r="O98" s="7">
        <f>IF($U98="","",IF(INDEX('Per Invoice'!O$2:O$401,$U98)="","",INDEX('Per Invoice'!O$2:O$401,$U98)))</f>
        <v/>
      </c>
      <c r="P98" s="7">
        <f>IF($U98="","",IF(INDEX('Per Invoice'!P$2:P$401,$U98)="","",INDEX('Per Invoice'!P$2:P$401,$U98)))</f>
        <v/>
      </c>
      <c r="Q98" s="7">
        <f>IF($U98="","",IF(INDEX('Per Invoice'!Q$2:Q$401,$U98)="","",INDEX('Per Invoice'!Q$2:Q$401,$U98)))</f>
        <v/>
      </c>
      <c r="R98" s="7">
        <f>IF($U98="","",IF(INDEX('Per Invoice'!R$2:R$401,$U98)="","",INDEX('Per Invoice'!R$2:R$401,$U98)))</f>
        <v/>
      </c>
      <c r="S98" s="7">
        <f>IF($U98="","",IF(INDEX('Per Invoice'!S$2:S$401,$U98)="","",INDEX('Per Invoice'!S$2:S$401,$U98)))</f>
        <v/>
      </c>
      <c r="T98" s="7">
        <f>IF($U98="","",IF(INDEX('Per Invoice'!T$2:T$401,$U98)="","",INDEX('Per Invoice'!T$2:T$401,$U98)))</f>
        <v/>
      </c>
      <c r="U98" s="16">
        <f>IFERROR(MATCH(Settings!$C$30&amp;"|"&amp;ROWS($U$2:$U98),'Per Invoice'!$V$2:$V$401,0),"")</f>
        <v/>
      </c>
    </row>
    <row r="99">
      <c r="A99">
        <f>IF($U99="","",IF(INDEX('Per Invoice'!A$2:A$401,$U99)="","",INDEX('Per Invoice'!A$2:A$401,$U99)))</f>
        <v/>
      </c>
      <c r="B99">
        <f>IF($U99="","",IF(INDEX('Per Invoice'!B$2:B$401,$U99)="","",INDEX('Per Invoice'!B$2:B$401,$U99)))</f>
        <v/>
      </c>
      <c r="C99">
        <f>IF($U99="","",IF(INDEX('Per Invoice'!C$2:C$401,$U99)="","",INDEX('Per Invoice'!C$2:C$401,$U99)))</f>
        <v/>
      </c>
      <c r="D99">
        <f>IF($U99="","",IF(INDEX('Per Invoice'!D$2:D$401,$U99)="","",INDEX('Per Invoice'!D$2:D$401,$U99)))</f>
        <v/>
      </c>
      <c r="E99">
        <f>IF($U99="","",IF(INDEX('Per Invoice'!E$2:E$401,$U99)="","",INDEX('Per Invoice'!E$2:E$401,$U99)))</f>
        <v/>
      </c>
      <c r="F99">
        <f>IF($U99="","",IF(INDEX('Per Invoice'!F$2:F$401,$U99)="","",INDEX('Per Invoice'!F$2:F$401,$U99)))</f>
        <v/>
      </c>
      <c r="G99">
        <f>IF($U99="","",IF(INDEX('Per Invoice'!G$2:G$401,$U99)="","",INDEX('Per Invoice'!G$2:G$401,$U99)))</f>
        <v/>
      </c>
      <c r="H99" s="7">
        <f>IF($U99="","",IF(INDEX('Per Invoice'!H$2:H$401,$U99)="","",INDEX('Per Invoice'!H$2:H$401,$U99)))</f>
        <v/>
      </c>
      <c r="I99" s="14">
        <f>IF($U99="","",IF(INDEX('Per Invoice'!I$2:I$401,$U99)="","",INDEX('Per Invoice'!I$2:I$401,$U99)))</f>
        <v/>
      </c>
      <c r="J99">
        <f>IF($U99="","",IF(INDEX('Per Invoice'!J$2:J$401,$U99)="","",INDEX('Per Invoice'!J$2:J$401,$U99)))</f>
        <v/>
      </c>
      <c r="K99">
        <f>IF($U99="","",IF(INDEX('Per Invoice'!K$2:K$401,$U99)="","",INDEX('Per Invoice'!K$2:K$401,$U99)))</f>
        <v/>
      </c>
      <c r="L99" s="7">
        <f>IF($U99="","",IF(INDEX('Per Invoice'!L$2:L$401,$U99)="","",INDEX('Per Invoice'!L$2:L$401,$U99)))</f>
        <v/>
      </c>
      <c r="M99" s="7">
        <f>IF($U99="","",IF(INDEX('Per Invoice'!M$2:M$401,$U99)="","",INDEX('Per Invoice'!M$2:M$401,$U99)))</f>
        <v/>
      </c>
      <c r="N99">
        <f>IF($U99="","",IF(INDEX('Per Invoice'!N$2:N$401,$U99)="","",INDEX('Per Invoice'!N$2:N$401,$U99)))</f>
        <v/>
      </c>
      <c r="O99" s="7">
        <f>IF($U99="","",IF(INDEX('Per Invoice'!O$2:O$401,$U99)="","",INDEX('Per Invoice'!O$2:O$401,$U99)))</f>
        <v/>
      </c>
      <c r="P99" s="7">
        <f>IF($U99="","",IF(INDEX('Per Invoice'!P$2:P$401,$U99)="","",INDEX('Per Invoice'!P$2:P$401,$U99)))</f>
        <v/>
      </c>
      <c r="Q99" s="7">
        <f>IF($U99="","",IF(INDEX('Per Invoice'!Q$2:Q$401,$U99)="","",INDEX('Per Invoice'!Q$2:Q$401,$U99)))</f>
        <v/>
      </c>
      <c r="R99" s="7">
        <f>IF($U99="","",IF(INDEX('Per Invoice'!R$2:R$401,$U99)="","",INDEX('Per Invoice'!R$2:R$401,$U99)))</f>
        <v/>
      </c>
      <c r="S99" s="7">
        <f>IF($U99="","",IF(INDEX('Per Invoice'!S$2:S$401,$U99)="","",INDEX('Per Invoice'!S$2:S$401,$U99)))</f>
        <v/>
      </c>
      <c r="T99" s="7">
        <f>IF($U99="","",IF(INDEX('Per Invoice'!T$2:T$401,$U99)="","",INDEX('Per Invoice'!T$2:T$401,$U99)))</f>
        <v/>
      </c>
      <c r="U99" s="16">
        <f>IFERROR(MATCH(Settings!$C$30&amp;"|"&amp;ROWS($U$2:$U99),'Per Invoice'!$V$2:$V$401,0),"")</f>
        <v/>
      </c>
    </row>
    <row r="100">
      <c r="A100">
        <f>IF($U100="","",IF(INDEX('Per Invoice'!A$2:A$401,$U100)="","",INDEX('Per Invoice'!A$2:A$401,$U100)))</f>
        <v/>
      </c>
      <c r="B100">
        <f>IF($U100="","",IF(INDEX('Per Invoice'!B$2:B$401,$U100)="","",INDEX('Per Invoice'!B$2:B$401,$U100)))</f>
        <v/>
      </c>
      <c r="C100">
        <f>IF($U100="","",IF(INDEX('Per Invoice'!C$2:C$401,$U100)="","",INDEX('Per Invoice'!C$2:C$401,$U100)))</f>
        <v/>
      </c>
      <c r="D100">
        <f>IF($U100="","",IF(INDEX('Per Invoice'!D$2:D$401,$U100)="","",INDEX('Per Invoice'!D$2:D$401,$U100)))</f>
        <v/>
      </c>
      <c r="E100">
        <f>IF($U100="","",IF(INDEX('Per Invoice'!E$2:E$401,$U100)="","",INDEX('Per Invoice'!E$2:E$401,$U100)))</f>
        <v/>
      </c>
      <c r="F100">
        <f>IF($U100="","",IF(INDEX('Per Invoice'!F$2:F$401,$U100)="","",INDEX('Per Invoice'!F$2:F$401,$U100)))</f>
        <v/>
      </c>
      <c r="G100">
        <f>IF($U100="","",IF(INDEX('Per Invoice'!G$2:G$401,$U100)="","",INDEX('Per Invoice'!G$2:G$401,$U100)))</f>
        <v/>
      </c>
      <c r="H100" s="7">
        <f>IF($U100="","",IF(INDEX('Per Invoice'!H$2:H$401,$U100)="","",INDEX('Per Invoice'!H$2:H$401,$U100)))</f>
        <v/>
      </c>
      <c r="I100" s="14">
        <f>IF($U100="","",IF(INDEX('Per Invoice'!I$2:I$401,$U100)="","",INDEX('Per Invoice'!I$2:I$401,$U100)))</f>
        <v/>
      </c>
      <c r="J100">
        <f>IF($U100="","",IF(INDEX('Per Invoice'!J$2:J$401,$U100)="","",INDEX('Per Invoice'!J$2:J$401,$U100)))</f>
        <v/>
      </c>
      <c r="K100">
        <f>IF($U100="","",IF(INDEX('Per Invoice'!K$2:K$401,$U100)="","",INDEX('Per Invoice'!K$2:K$401,$U100)))</f>
        <v/>
      </c>
      <c r="L100" s="7">
        <f>IF($U100="","",IF(INDEX('Per Invoice'!L$2:L$401,$U100)="","",INDEX('Per Invoice'!L$2:L$401,$U100)))</f>
        <v/>
      </c>
      <c r="M100" s="7">
        <f>IF($U100="","",IF(INDEX('Per Invoice'!M$2:M$401,$U100)="","",INDEX('Per Invoice'!M$2:M$401,$U100)))</f>
        <v/>
      </c>
      <c r="N100">
        <f>IF($U100="","",IF(INDEX('Per Invoice'!N$2:N$401,$U100)="","",INDEX('Per Invoice'!N$2:N$401,$U100)))</f>
        <v/>
      </c>
      <c r="O100" s="7">
        <f>IF($U100="","",IF(INDEX('Per Invoice'!O$2:O$401,$U100)="","",INDEX('Per Invoice'!O$2:O$401,$U100)))</f>
        <v/>
      </c>
      <c r="P100" s="7">
        <f>IF($U100="","",IF(INDEX('Per Invoice'!P$2:P$401,$U100)="","",INDEX('Per Invoice'!P$2:P$401,$U100)))</f>
        <v/>
      </c>
      <c r="Q100" s="7">
        <f>IF($U100="","",IF(INDEX('Per Invoice'!Q$2:Q$401,$U100)="","",INDEX('Per Invoice'!Q$2:Q$401,$U100)))</f>
        <v/>
      </c>
      <c r="R100" s="7">
        <f>IF($U100="","",IF(INDEX('Per Invoice'!R$2:R$401,$U100)="","",INDEX('Per Invoice'!R$2:R$401,$U100)))</f>
        <v/>
      </c>
      <c r="S100" s="7">
        <f>IF($U100="","",IF(INDEX('Per Invoice'!S$2:S$401,$U100)="","",INDEX('Per Invoice'!S$2:S$401,$U100)))</f>
        <v/>
      </c>
      <c r="T100" s="7">
        <f>IF($U100="","",IF(INDEX('Per Invoice'!T$2:T$401,$U100)="","",INDEX('Per Invoice'!T$2:T$401,$U100)))</f>
        <v/>
      </c>
      <c r="U100" s="16">
        <f>IFERROR(MATCH(Settings!$C$30&amp;"|"&amp;ROWS($U$2:$U100),'Per Invoice'!$V$2:$V$401,0),"")</f>
        <v/>
      </c>
    </row>
    <row r="101">
      <c r="A101">
        <f>IF($U101="","",IF(INDEX('Per Invoice'!A$2:A$401,$U101)="","",INDEX('Per Invoice'!A$2:A$401,$U101)))</f>
        <v/>
      </c>
      <c r="B101">
        <f>IF($U101="","",IF(INDEX('Per Invoice'!B$2:B$401,$U101)="","",INDEX('Per Invoice'!B$2:B$401,$U101)))</f>
        <v/>
      </c>
      <c r="C101">
        <f>IF($U101="","",IF(INDEX('Per Invoice'!C$2:C$401,$U101)="","",INDEX('Per Invoice'!C$2:C$401,$U101)))</f>
        <v/>
      </c>
      <c r="D101">
        <f>IF($U101="","",IF(INDEX('Per Invoice'!D$2:D$401,$U101)="","",INDEX('Per Invoice'!D$2:D$401,$U101)))</f>
        <v/>
      </c>
      <c r="E101">
        <f>IF($U101="","",IF(INDEX('Per Invoice'!E$2:E$401,$U101)="","",INDEX('Per Invoice'!E$2:E$401,$U101)))</f>
        <v/>
      </c>
      <c r="F101">
        <f>IF($U101="","",IF(INDEX('Per Invoice'!F$2:F$401,$U101)="","",INDEX('Per Invoice'!F$2:F$401,$U101)))</f>
        <v/>
      </c>
      <c r="G101">
        <f>IF($U101="","",IF(INDEX('Per Invoice'!G$2:G$401,$U101)="","",INDEX('Per Invoice'!G$2:G$401,$U101)))</f>
        <v/>
      </c>
      <c r="H101" s="7">
        <f>IF($U101="","",IF(INDEX('Per Invoice'!H$2:H$401,$U101)="","",INDEX('Per Invoice'!H$2:H$401,$U101)))</f>
        <v/>
      </c>
      <c r="I101" s="14">
        <f>IF($U101="","",IF(INDEX('Per Invoice'!I$2:I$401,$U101)="","",INDEX('Per Invoice'!I$2:I$401,$U101)))</f>
        <v/>
      </c>
      <c r="J101">
        <f>IF($U101="","",IF(INDEX('Per Invoice'!J$2:J$401,$U101)="","",INDEX('Per Invoice'!J$2:J$401,$U101)))</f>
        <v/>
      </c>
      <c r="K101">
        <f>IF($U101="","",IF(INDEX('Per Invoice'!K$2:K$401,$U101)="","",INDEX('Per Invoice'!K$2:K$401,$U101)))</f>
        <v/>
      </c>
      <c r="L101" s="7">
        <f>IF($U101="","",IF(INDEX('Per Invoice'!L$2:L$401,$U101)="","",INDEX('Per Invoice'!L$2:L$401,$U101)))</f>
        <v/>
      </c>
      <c r="M101" s="7">
        <f>IF($U101="","",IF(INDEX('Per Invoice'!M$2:M$401,$U101)="","",INDEX('Per Invoice'!M$2:M$401,$U101)))</f>
        <v/>
      </c>
      <c r="N101">
        <f>IF($U101="","",IF(INDEX('Per Invoice'!N$2:N$401,$U101)="","",INDEX('Per Invoice'!N$2:N$401,$U101)))</f>
        <v/>
      </c>
      <c r="O101" s="7">
        <f>IF($U101="","",IF(INDEX('Per Invoice'!O$2:O$401,$U101)="","",INDEX('Per Invoice'!O$2:O$401,$U101)))</f>
        <v/>
      </c>
      <c r="P101" s="7">
        <f>IF($U101="","",IF(INDEX('Per Invoice'!P$2:P$401,$U101)="","",INDEX('Per Invoice'!P$2:P$401,$U101)))</f>
        <v/>
      </c>
      <c r="Q101" s="7">
        <f>IF($U101="","",IF(INDEX('Per Invoice'!Q$2:Q$401,$U101)="","",INDEX('Per Invoice'!Q$2:Q$401,$U101)))</f>
        <v/>
      </c>
      <c r="R101" s="7">
        <f>IF($U101="","",IF(INDEX('Per Invoice'!R$2:R$401,$U101)="","",INDEX('Per Invoice'!R$2:R$401,$U101)))</f>
        <v/>
      </c>
      <c r="S101" s="7">
        <f>IF($U101="","",IF(INDEX('Per Invoice'!S$2:S$401,$U101)="","",INDEX('Per Invoice'!S$2:S$401,$U101)))</f>
        <v/>
      </c>
      <c r="T101" s="7">
        <f>IF($U101="","",IF(INDEX('Per Invoice'!T$2:T$401,$U101)="","",INDEX('Per Invoice'!T$2:T$401,$U101)))</f>
        <v/>
      </c>
      <c r="U101" s="16">
        <f>IFERROR(MATCH(Settings!$C$30&amp;"|"&amp;ROWS($U$2:$U101),'Per Invoice'!$V$2:$V$401,0),"")</f>
        <v/>
      </c>
    </row>
    <row r="102">
      <c r="A102">
        <f>IF($U102="","",IF(INDEX('Per Invoice'!A$2:A$401,$U102)="","",INDEX('Per Invoice'!A$2:A$401,$U102)))</f>
        <v/>
      </c>
      <c r="B102">
        <f>IF($U102="","",IF(INDEX('Per Invoice'!B$2:B$401,$U102)="","",INDEX('Per Invoice'!B$2:B$401,$U102)))</f>
        <v/>
      </c>
      <c r="C102">
        <f>IF($U102="","",IF(INDEX('Per Invoice'!C$2:C$401,$U102)="","",INDEX('Per Invoice'!C$2:C$401,$U102)))</f>
        <v/>
      </c>
      <c r="D102">
        <f>IF($U102="","",IF(INDEX('Per Invoice'!D$2:D$401,$U102)="","",INDEX('Per Invoice'!D$2:D$401,$U102)))</f>
        <v/>
      </c>
      <c r="E102">
        <f>IF($U102="","",IF(INDEX('Per Invoice'!E$2:E$401,$U102)="","",INDEX('Per Invoice'!E$2:E$401,$U102)))</f>
        <v/>
      </c>
      <c r="F102">
        <f>IF($U102="","",IF(INDEX('Per Invoice'!F$2:F$401,$U102)="","",INDEX('Per Invoice'!F$2:F$401,$U102)))</f>
        <v/>
      </c>
      <c r="G102">
        <f>IF($U102="","",IF(INDEX('Per Invoice'!G$2:G$401,$U102)="","",INDEX('Per Invoice'!G$2:G$401,$U102)))</f>
        <v/>
      </c>
      <c r="H102" s="7">
        <f>IF($U102="","",IF(INDEX('Per Invoice'!H$2:H$401,$U102)="","",INDEX('Per Invoice'!H$2:H$401,$U102)))</f>
        <v/>
      </c>
      <c r="I102" s="14">
        <f>IF($U102="","",IF(INDEX('Per Invoice'!I$2:I$401,$U102)="","",INDEX('Per Invoice'!I$2:I$401,$U102)))</f>
        <v/>
      </c>
      <c r="J102">
        <f>IF($U102="","",IF(INDEX('Per Invoice'!J$2:J$401,$U102)="","",INDEX('Per Invoice'!J$2:J$401,$U102)))</f>
        <v/>
      </c>
      <c r="K102">
        <f>IF($U102="","",IF(INDEX('Per Invoice'!K$2:K$401,$U102)="","",INDEX('Per Invoice'!K$2:K$401,$U102)))</f>
        <v/>
      </c>
      <c r="L102" s="7">
        <f>IF($U102="","",IF(INDEX('Per Invoice'!L$2:L$401,$U102)="","",INDEX('Per Invoice'!L$2:L$401,$U102)))</f>
        <v/>
      </c>
      <c r="M102" s="7">
        <f>IF($U102="","",IF(INDEX('Per Invoice'!M$2:M$401,$U102)="","",INDEX('Per Invoice'!M$2:M$401,$U102)))</f>
        <v/>
      </c>
      <c r="N102">
        <f>IF($U102="","",IF(INDEX('Per Invoice'!N$2:N$401,$U102)="","",INDEX('Per Invoice'!N$2:N$401,$U102)))</f>
        <v/>
      </c>
      <c r="O102" s="7">
        <f>IF($U102="","",IF(INDEX('Per Invoice'!O$2:O$401,$U102)="","",INDEX('Per Invoice'!O$2:O$401,$U102)))</f>
        <v/>
      </c>
      <c r="P102" s="7">
        <f>IF($U102="","",IF(INDEX('Per Invoice'!P$2:P$401,$U102)="","",INDEX('Per Invoice'!P$2:P$401,$U102)))</f>
        <v/>
      </c>
      <c r="Q102" s="7">
        <f>IF($U102="","",IF(INDEX('Per Invoice'!Q$2:Q$401,$U102)="","",INDEX('Per Invoice'!Q$2:Q$401,$U102)))</f>
        <v/>
      </c>
      <c r="R102" s="7">
        <f>IF($U102="","",IF(INDEX('Per Invoice'!R$2:R$401,$U102)="","",INDEX('Per Invoice'!R$2:R$401,$U102)))</f>
        <v/>
      </c>
      <c r="S102" s="7">
        <f>IF($U102="","",IF(INDEX('Per Invoice'!S$2:S$401,$U102)="","",INDEX('Per Invoice'!S$2:S$401,$U102)))</f>
        <v/>
      </c>
      <c r="T102" s="7">
        <f>IF($U102="","",IF(INDEX('Per Invoice'!T$2:T$401,$U102)="","",INDEX('Per Invoice'!T$2:T$401,$U102)))</f>
        <v/>
      </c>
      <c r="U102" s="16">
        <f>IFERROR(MATCH(Settings!$C$30&amp;"|"&amp;ROWS($U$2:$U102),'Per Invoice'!$V$2:$V$401,0),"")</f>
        <v/>
      </c>
    </row>
    <row r="103">
      <c r="A103">
        <f>IF($U103="","",IF(INDEX('Per Invoice'!A$2:A$401,$U103)="","",INDEX('Per Invoice'!A$2:A$401,$U103)))</f>
        <v/>
      </c>
      <c r="B103">
        <f>IF($U103="","",IF(INDEX('Per Invoice'!B$2:B$401,$U103)="","",INDEX('Per Invoice'!B$2:B$401,$U103)))</f>
        <v/>
      </c>
      <c r="C103">
        <f>IF($U103="","",IF(INDEX('Per Invoice'!C$2:C$401,$U103)="","",INDEX('Per Invoice'!C$2:C$401,$U103)))</f>
        <v/>
      </c>
      <c r="D103">
        <f>IF($U103="","",IF(INDEX('Per Invoice'!D$2:D$401,$U103)="","",INDEX('Per Invoice'!D$2:D$401,$U103)))</f>
        <v/>
      </c>
      <c r="E103">
        <f>IF($U103="","",IF(INDEX('Per Invoice'!E$2:E$401,$U103)="","",INDEX('Per Invoice'!E$2:E$401,$U103)))</f>
        <v/>
      </c>
      <c r="F103">
        <f>IF($U103="","",IF(INDEX('Per Invoice'!F$2:F$401,$U103)="","",INDEX('Per Invoice'!F$2:F$401,$U103)))</f>
        <v/>
      </c>
      <c r="G103">
        <f>IF($U103="","",IF(INDEX('Per Invoice'!G$2:G$401,$U103)="","",INDEX('Per Invoice'!G$2:G$401,$U103)))</f>
        <v/>
      </c>
      <c r="H103" s="7">
        <f>IF($U103="","",IF(INDEX('Per Invoice'!H$2:H$401,$U103)="","",INDEX('Per Invoice'!H$2:H$401,$U103)))</f>
        <v/>
      </c>
      <c r="I103" s="14">
        <f>IF($U103="","",IF(INDEX('Per Invoice'!I$2:I$401,$U103)="","",INDEX('Per Invoice'!I$2:I$401,$U103)))</f>
        <v/>
      </c>
      <c r="J103">
        <f>IF($U103="","",IF(INDEX('Per Invoice'!J$2:J$401,$U103)="","",INDEX('Per Invoice'!J$2:J$401,$U103)))</f>
        <v/>
      </c>
      <c r="K103">
        <f>IF($U103="","",IF(INDEX('Per Invoice'!K$2:K$401,$U103)="","",INDEX('Per Invoice'!K$2:K$401,$U103)))</f>
        <v/>
      </c>
      <c r="L103" s="7">
        <f>IF($U103="","",IF(INDEX('Per Invoice'!L$2:L$401,$U103)="","",INDEX('Per Invoice'!L$2:L$401,$U103)))</f>
        <v/>
      </c>
      <c r="M103" s="7">
        <f>IF($U103="","",IF(INDEX('Per Invoice'!M$2:M$401,$U103)="","",INDEX('Per Invoice'!M$2:M$401,$U103)))</f>
        <v/>
      </c>
      <c r="N103">
        <f>IF($U103="","",IF(INDEX('Per Invoice'!N$2:N$401,$U103)="","",INDEX('Per Invoice'!N$2:N$401,$U103)))</f>
        <v/>
      </c>
      <c r="O103" s="7">
        <f>IF($U103="","",IF(INDEX('Per Invoice'!O$2:O$401,$U103)="","",INDEX('Per Invoice'!O$2:O$401,$U103)))</f>
        <v/>
      </c>
      <c r="P103" s="7">
        <f>IF($U103="","",IF(INDEX('Per Invoice'!P$2:P$401,$U103)="","",INDEX('Per Invoice'!P$2:P$401,$U103)))</f>
        <v/>
      </c>
      <c r="Q103" s="7">
        <f>IF($U103="","",IF(INDEX('Per Invoice'!Q$2:Q$401,$U103)="","",INDEX('Per Invoice'!Q$2:Q$401,$U103)))</f>
        <v/>
      </c>
      <c r="R103" s="7">
        <f>IF($U103="","",IF(INDEX('Per Invoice'!R$2:R$401,$U103)="","",INDEX('Per Invoice'!R$2:R$401,$U103)))</f>
        <v/>
      </c>
      <c r="S103" s="7">
        <f>IF($U103="","",IF(INDEX('Per Invoice'!S$2:S$401,$U103)="","",INDEX('Per Invoice'!S$2:S$401,$U103)))</f>
        <v/>
      </c>
      <c r="T103" s="7">
        <f>IF($U103="","",IF(INDEX('Per Invoice'!T$2:T$401,$U103)="","",INDEX('Per Invoice'!T$2:T$401,$U103)))</f>
        <v/>
      </c>
      <c r="U103" s="16">
        <f>IFERROR(MATCH(Settings!$C$30&amp;"|"&amp;ROWS($U$2:$U103),'Per Invoice'!$V$2:$V$401,0),"")</f>
        <v/>
      </c>
    </row>
    <row r="104">
      <c r="A104">
        <f>IF($U104="","",IF(INDEX('Per Invoice'!A$2:A$401,$U104)="","",INDEX('Per Invoice'!A$2:A$401,$U104)))</f>
        <v/>
      </c>
      <c r="B104">
        <f>IF($U104="","",IF(INDEX('Per Invoice'!B$2:B$401,$U104)="","",INDEX('Per Invoice'!B$2:B$401,$U104)))</f>
        <v/>
      </c>
      <c r="C104">
        <f>IF($U104="","",IF(INDEX('Per Invoice'!C$2:C$401,$U104)="","",INDEX('Per Invoice'!C$2:C$401,$U104)))</f>
        <v/>
      </c>
      <c r="D104">
        <f>IF($U104="","",IF(INDEX('Per Invoice'!D$2:D$401,$U104)="","",INDEX('Per Invoice'!D$2:D$401,$U104)))</f>
        <v/>
      </c>
      <c r="E104">
        <f>IF($U104="","",IF(INDEX('Per Invoice'!E$2:E$401,$U104)="","",INDEX('Per Invoice'!E$2:E$401,$U104)))</f>
        <v/>
      </c>
      <c r="F104">
        <f>IF($U104="","",IF(INDEX('Per Invoice'!F$2:F$401,$U104)="","",INDEX('Per Invoice'!F$2:F$401,$U104)))</f>
        <v/>
      </c>
      <c r="G104">
        <f>IF($U104="","",IF(INDEX('Per Invoice'!G$2:G$401,$U104)="","",INDEX('Per Invoice'!G$2:G$401,$U104)))</f>
        <v/>
      </c>
      <c r="H104" s="7">
        <f>IF($U104="","",IF(INDEX('Per Invoice'!H$2:H$401,$U104)="","",INDEX('Per Invoice'!H$2:H$401,$U104)))</f>
        <v/>
      </c>
      <c r="I104" s="14">
        <f>IF($U104="","",IF(INDEX('Per Invoice'!I$2:I$401,$U104)="","",INDEX('Per Invoice'!I$2:I$401,$U104)))</f>
        <v/>
      </c>
      <c r="J104">
        <f>IF($U104="","",IF(INDEX('Per Invoice'!J$2:J$401,$U104)="","",INDEX('Per Invoice'!J$2:J$401,$U104)))</f>
        <v/>
      </c>
      <c r="K104">
        <f>IF($U104="","",IF(INDEX('Per Invoice'!K$2:K$401,$U104)="","",INDEX('Per Invoice'!K$2:K$401,$U104)))</f>
        <v/>
      </c>
      <c r="L104" s="7">
        <f>IF($U104="","",IF(INDEX('Per Invoice'!L$2:L$401,$U104)="","",INDEX('Per Invoice'!L$2:L$401,$U104)))</f>
        <v/>
      </c>
      <c r="M104" s="7">
        <f>IF($U104="","",IF(INDEX('Per Invoice'!M$2:M$401,$U104)="","",INDEX('Per Invoice'!M$2:M$401,$U104)))</f>
        <v/>
      </c>
      <c r="N104">
        <f>IF($U104="","",IF(INDEX('Per Invoice'!N$2:N$401,$U104)="","",INDEX('Per Invoice'!N$2:N$401,$U104)))</f>
        <v/>
      </c>
      <c r="O104" s="7">
        <f>IF($U104="","",IF(INDEX('Per Invoice'!O$2:O$401,$U104)="","",INDEX('Per Invoice'!O$2:O$401,$U104)))</f>
        <v/>
      </c>
      <c r="P104" s="7">
        <f>IF($U104="","",IF(INDEX('Per Invoice'!P$2:P$401,$U104)="","",INDEX('Per Invoice'!P$2:P$401,$U104)))</f>
        <v/>
      </c>
      <c r="Q104" s="7">
        <f>IF($U104="","",IF(INDEX('Per Invoice'!Q$2:Q$401,$U104)="","",INDEX('Per Invoice'!Q$2:Q$401,$U104)))</f>
        <v/>
      </c>
      <c r="R104" s="7">
        <f>IF($U104="","",IF(INDEX('Per Invoice'!R$2:R$401,$U104)="","",INDEX('Per Invoice'!R$2:R$401,$U104)))</f>
        <v/>
      </c>
      <c r="S104" s="7">
        <f>IF($U104="","",IF(INDEX('Per Invoice'!S$2:S$401,$U104)="","",INDEX('Per Invoice'!S$2:S$401,$U104)))</f>
        <v/>
      </c>
      <c r="T104" s="7">
        <f>IF($U104="","",IF(INDEX('Per Invoice'!T$2:T$401,$U104)="","",INDEX('Per Invoice'!T$2:T$401,$U104)))</f>
        <v/>
      </c>
      <c r="U104" s="16">
        <f>IFERROR(MATCH(Settings!$C$30&amp;"|"&amp;ROWS($U$2:$U104),'Per Invoice'!$V$2:$V$401,0),"")</f>
        <v/>
      </c>
    </row>
    <row r="105">
      <c r="A105">
        <f>IF($U105="","",IF(INDEX('Per Invoice'!A$2:A$401,$U105)="","",INDEX('Per Invoice'!A$2:A$401,$U105)))</f>
        <v/>
      </c>
      <c r="B105">
        <f>IF($U105="","",IF(INDEX('Per Invoice'!B$2:B$401,$U105)="","",INDEX('Per Invoice'!B$2:B$401,$U105)))</f>
        <v/>
      </c>
      <c r="C105">
        <f>IF($U105="","",IF(INDEX('Per Invoice'!C$2:C$401,$U105)="","",INDEX('Per Invoice'!C$2:C$401,$U105)))</f>
        <v/>
      </c>
      <c r="D105">
        <f>IF($U105="","",IF(INDEX('Per Invoice'!D$2:D$401,$U105)="","",INDEX('Per Invoice'!D$2:D$401,$U105)))</f>
        <v/>
      </c>
      <c r="E105">
        <f>IF($U105="","",IF(INDEX('Per Invoice'!E$2:E$401,$U105)="","",INDEX('Per Invoice'!E$2:E$401,$U105)))</f>
        <v/>
      </c>
      <c r="F105">
        <f>IF($U105="","",IF(INDEX('Per Invoice'!F$2:F$401,$U105)="","",INDEX('Per Invoice'!F$2:F$401,$U105)))</f>
        <v/>
      </c>
      <c r="G105">
        <f>IF($U105="","",IF(INDEX('Per Invoice'!G$2:G$401,$U105)="","",INDEX('Per Invoice'!G$2:G$401,$U105)))</f>
        <v/>
      </c>
      <c r="H105" s="7">
        <f>IF($U105="","",IF(INDEX('Per Invoice'!H$2:H$401,$U105)="","",INDEX('Per Invoice'!H$2:H$401,$U105)))</f>
        <v/>
      </c>
      <c r="I105" s="14">
        <f>IF($U105="","",IF(INDEX('Per Invoice'!I$2:I$401,$U105)="","",INDEX('Per Invoice'!I$2:I$401,$U105)))</f>
        <v/>
      </c>
      <c r="J105">
        <f>IF($U105="","",IF(INDEX('Per Invoice'!J$2:J$401,$U105)="","",INDEX('Per Invoice'!J$2:J$401,$U105)))</f>
        <v/>
      </c>
      <c r="K105">
        <f>IF($U105="","",IF(INDEX('Per Invoice'!K$2:K$401,$U105)="","",INDEX('Per Invoice'!K$2:K$401,$U105)))</f>
        <v/>
      </c>
      <c r="L105" s="7">
        <f>IF($U105="","",IF(INDEX('Per Invoice'!L$2:L$401,$U105)="","",INDEX('Per Invoice'!L$2:L$401,$U105)))</f>
        <v/>
      </c>
      <c r="M105" s="7">
        <f>IF($U105="","",IF(INDEX('Per Invoice'!M$2:M$401,$U105)="","",INDEX('Per Invoice'!M$2:M$401,$U105)))</f>
        <v/>
      </c>
      <c r="N105">
        <f>IF($U105="","",IF(INDEX('Per Invoice'!N$2:N$401,$U105)="","",INDEX('Per Invoice'!N$2:N$401,$U105)))</f>
        <v/>
      </c>
      <c r="O105" s="7">
        <f>IF($U105="","",IF(INDEX('Per Invoice'!O$2:O$401,$U105)="","",INDEX('Per Invoice'!O$2:O$401,$U105)))</f>
        <v/>
      </c>
      <c r="P105" s="7">
        <f>IF($U105="","",IF(INDEX('Per Invoice'!P$2:P$401,$U105)="","",INDEX('Per Invoice'!P$2:P$401,$U105)))</f>
        <v/>
      </c>
      <c r="Q105" s="7">
        <f>IF($U105="","",IF(INDEX('Per Invoice'!Q$2:Q$401,$U105)="","",INDEX('Per Invoice'!Q$2:Q$401,$U105)))</f>
        <v/>
      </c>
      <c r="R105" s="7">
        <f>IF($U105="","",IF(INDEX('Per Invoice'!R$2:R$401,$U105)="","",INDEX('Per Invoice'!R$2:R$401,$U105)))</f>
        <v/>
      </c>
      <c r="S105" s="7">
        <f>IF($U105="","",IF(INDEX('Per Invoice'!S$2:S$401,$U105)="","",INDEX('Per Invoice'!S$2:S$401,$U105)))</f>
        <v/>
      </c>
      <c r="T105" s="7">
        <f>IF($U105="","",IF(INDEX('Per Invoice'!T$2:T$401,$U105)="","",INDEX('Per Invoice'!T$2:T$401,$U105)))</f>
        <v/>
      </c>
      <c r="U105" s="16">
        <f>IFERROR(MATCH(Settings!$C$30&amp;"|"&amp;ROWS($U$2:$U105),'Per Invoice'!$V$2:$V$401,0),"")</f>
        <v/>
      </c>
    </row>
    <row r="106">
      <c r="A106">
        <f>IF($U106="","",IF(INDEX('Per Invoice'!A$2:A$401,$U106)="","",INDEX('Per Invoice'!A$2:A$401,$U106)))</f>
        <v/>
      </c>
      <c r="B106">
        <f>IF($U106="","",IF(INDEX('Per Invoice'!B$2:B$401,$U106)="","",INDEX('Per Invoice'!B$2:B$401,$U106)))</f>
        <v/>
      </c>
      <c r="C106">
        <f>IF($U106="","",IF(INDEX('Per Invoice'!C$2:C$401,$U106)="","",INDEX('Per Invoice'!C$2:C$401,$U106)))</f>
        <v/>
      </c>
      <c r="D106">
        <f>IF($U106="","",IF(INDEX('Per Invoice'!D$2:D$401,$U106)="","",INDEX('Per Invoice'!D$2:D$401,$U106)))</f>
        <v/>
      </c>
      <c r="E106">
        <f>IF($U106="","",IF(INDEX('Per Invoice'!E$2:E$401,$U106)="","",INDEX('Per Invoice'!E$2:E$401,$U106)))</f>
        <v/>
      </c>
      <c r="F106">
        <f>IF($U106="","",IF(INDEX('Per Invoice'!F$2:F$401,$U106)="","",INDEX('Per Invoice'!F$2:F$401,$U106)))</f>
        <v/>
      </c>
      <c r="G106">
        <f>IF($U106="","",IF(INDEX('Per Invoice'!G$2:G$401,$U106)="","",INDEX('Per Invoice'!G$2:G$401,$U106)))</f>
        <v/>
      </c>
      <c r="H106" s="7">
        <f>IF($U106="","",IF(INDEX('Per Invoice'!H$2:H$401,$U106)="","",INDEX('Per Invoice'!H$2:H$401,$U106)))</f>
        <v/>
      </c>
      <c r="I106" s="14">
        <f>IF($U106="","",IF(INDEX('Per Invoice'!I$2:I$401,$U106)="","",INDEX('Per Invoice'!I$2:I$401,$U106)))</f>
        <v/>
      </c>
      <c r="J106">
        <f>IF($U106="","",IF(INDEX('Per Invoice'!J$2:J$401,$U106)="","",INDEX('Per Invoice'!J$2:J$401,$U106)))</f>
        <v/>
      </c>
      <c r="K106">
        <f>IF($U106="","",IF(INDEX('Per Invoice'!K$2:K$401,$U106)="","",INDEX('Per Invoice'!K$2:K$401,$U106)))</f>
        <v/>
      </c>
      <c r="L106" s="7">
        <f>IF($U106="","",IF(INDEX('Per Invoice'!L$2:L$401,$U106)="","",INDEX('Per Invoice'!L$2:L$401,$U106)))</f>
        <v/>
      </c>
      <c r="M106" s="7">
        <f>IF($U106="","",IF(INDEX('Per Invoice'!M$2:M$401,$U106)="","",INDEX('Per Invoice'!M$2:M$401,$U106)))</f>
        <v/>
      </c>
      <c r="N106">
        <f>IF($U106="","",IF(INDEX('Per Invoice'!N$2:N$401,$U106)="","",INDEX('Per Invoice'!N$2:N$401,$U106)))</f>
        <v/>
      </c>
      <c r="O106" s="7">
        <f>IF($U106="","",IF(INDEX('Per Invoice'!O$2:O$401,$U106)="","",INDEX('Per Invoice'!O$2:O$401,$U106)))</f>
        <v/>
      </c>
      <c r="P106" s="7">
        <f>IF($U106="","",IF(INDEX('Per Invoice'!P$2:P$401,$U106)="","",INDEX('Per Invoice'!P$2:P$401,$U106)))</f>
        <v/>
      </c>
      <c r="Q106" s="7">
        <f>IF($U106="","",IF(INDEX('Per Invoice'!Q$2:Q$401,$U106)="","",INDEX('Per Invoice'!Q$2:Q$401,$U106)))</f>
        <v/>
      </c>
      <c r="R106" s="7">
        <f>IF($U106="","",IF(INDEX('Per Invoice'!R$2:R$401,$U106)="","",INDEX('Per Invoice'!R$2:R$401,$U106)))</f>
        <v/>
      </c>
      <c r="S106" s="7">
        <f>IF($U106="","",IF(INDEX('Per Invoice'!S$2:S$401,$U106)="","",INDEX('Per Invoice'!S$2:S$401,$U106)))</f>
        <v/>
      </c>
      <c r="T106" s="7">
        <f>IF($U106="","",IF(INDEX('Per Invoice'!T$2:T$401,$U106)="","",INDEX('Per Invoice'!T$2:T$401,$U106)))</f>
        <v/>
      </c>
      <c r="U106" s="16">
        <f>IFERROR(MATCH(Settings!$C$30&amp;"|"&amp;ROWS($U$2:$U106),'Per Invoice'!$V$2:$V$401,0),"")</f>
        <v/>
      </c>
    </row>
    <row r="107">
      <c r="A107">
        <f>IF($U107="","",IF(INDEX('Per Invoice'!A$2:A$401,$U107)="","",INDEX('Per Invoice'!A$2:A$401,$U107)))</f>
        <v/>
      </c>
      <c r="B107">
        <f>IF($U107="","",IF(INDEX('Per Invoice'!B$2:B$401,$U107)="","",INDEX('Per Invoice'!B$2:B$401,$U107)))</f>
        <v/>
      </c>
      <c r="C107">
        <f>IF($U107="","",IF(INDEX('Per Invoice'!C$2:C$401,$U107)="","",INDEX('Per Invoice'!C$2:C$401,$U107)))</f>
        <v/>
      </c>
      <c r="D107">
        <f>IF($U107="","",IF(INDEX('Per Invoice'!D$2:D$401,$U107)="","",INDEX('Per Invoice'!D$2:D$401,$U107)))</f>
        <v/>
      </c>
      <c r="E107">
        <f>IF($U107="","",IF(INDEX('Per Invoice'!E$2:E$401,$U107)="","",INDEX('Per Invoice'!E$2:E$401,$U107)))</f>
        <v/>
      </c>
      <c r="F107">
        <f>IF($U107="","",IF(INDEX('Per Invoice'!F$2:F$401,$U107)="","",INDEX('Per Invoice'!F$2:F$401,$U107)))</f>
        <v/>
      </c>
      <c r="G107">
        <f>IF($U107="","",IF(INDEX('Per Invoice'!G$2:G$401,$U107)="","",INDEX('Per Invoice'!G$2:G$401,$U107)))</f>
        <v/>
      </c>
      <c r="H107" s="7">
        <f>IF($U107="","",IF(INDEX('Per Invoice'!H$2:H$401,$U107)="","",INDEX('Per Invoice'!H$2:H$401,$U107)))</f>
        <v/>
      </c>
      <c r="I107" s="14">
        <f>IF($U107="","",IF(INDEX('Per Invoice'!I$2:I$401,$U107)="","",INDEX('Per Invoice'!I$2:I$401,$U107)))</f>
        <v/>
      </c>
      <c r="J107">
        <f>IF($U107="","",IF(INDEX('Per Invoice'!J$2:J$401,$U107)="","",INDEX('Per Invoice'!J$2:J$401,$U107)))</f>
        <v/>
      </c>
      <c r="K107">
        <f>IF($U107="","",IF(INDEX('Per Invoice'!K$2:K$401,$U107)="","",INDEX('Per Invoice'!K$2:K$401,$U107)))</f>
        <v/>
      </c>
      <c r="L107" s="7">
        <f>IF($U107="","",IF(INDEX('Per Invoice'!L$2:L$401,$U107)="","",INDEX('Per Invoice'!L$2:L$401,$U107)))</f>
        <v/>
      </c>
      <c r="M107" s="7">
        <f>IF($U107="","",IF(INDEX('Per Invoice'!M$2:M$401,$U107)="","",INDEX('Per Invoice'!M$2:M$401,$U107)))</f>
        <v/>
      </c>
      <c r="N107">
        <f>IF($U107="","",IF(INDEX('Per Invoice'!N$2:N$401,$U107)="","",INDEX('Per Invoice'!N$2:N$401,$U107)))</f>
        <v/>
      </c>
      <c r="O107" s="7">
        <f>IF($U107="","",IF(INDEX('Per Invoice'!O$2:O$401,$U107)="","",INDEX('Per Invoice'!O$2:O$401,$U107)))</f>
        <v/>
      </c>
      <c r="P107" s="7">
        <f>IF($U107="","",IF(INDEX('Per Invoice'!P$2:P$401,$U107)="","",INDEX('Per Invoice'!P$2:P$401,$U107)))</f>
        <v/>
      </c>
      <c r="Q107" s="7">
        <f>IF($U107="","",IF(INDEX('Per Invoice'!Q$2:Q$401,$U107)="","",INDEX('Per Invoice'!Q$2:Q$401,$U107)))</f>
        <v/>
      </c>
      <c r="R107" s="7">
        <f>IF($U107="","",IF(INDEX('Per Invoice'!R$2:R$401,$U107)="","",INDEX('Per Invoice'!R$2:R$401,$U107)))</f>
        <v/>
      </c>
      <c r="S107" s="7">
        <f>IF($U107="","",IF(INDEX('Per Invoice'!S$2:S$401,$U107)="","",INDEX('Per Invoice'!S$2:S$401,$U107)))</f>
        <v/>
      </c>
      <c r="T107" s="7">
        <f>IF($U107="","",IF(INDEX('Per Invoice'!T$2:T$401,$U107)="","",INDEX('Per Invoice'!T$2:T$401,$U107)))</f>
        <v/>
      </c>
      <c r="U107" s="16">
        <f>IFERROR(MATCH(Settings!$C$30&amp;"|"&amp;ROWS($U$2:$U107),'Per Invoice'!$V$2:$V$401,0),"")</f>
        <v/>
      </c>
    </row>
    <row r="108">
      <c r="A108">
        <f>IF($U108="","",IF(INDEX('Per Invoice'!A$2:A$401,$U108)="","",INDEX('Per Invoice'!A$2:A$401,$U108)))</f>
        <v/>
      </c>
      <c r="B108">
        <f>IF($U108="","",IF(INDEX('Per Invoice'!B$2:B$401,$U108)="","",INDEX('Per Invoice'!B$2:B$401,$U108)))</f>
        <v/>
      </c>
      <c r="C108">
        <f>IF($U108="","",IF(INDEX('Per Invoice'!C$2:C$401,$U108)="","",INDEX('Per Invoice'!C$2:C$401,$U108)))</f>
        <v/>
      </c>
      <c r="D108">
        <f>IF($U108="","",IF(INDEX('Per Invoice'!D$2:D$401,$U108)="","",INDEX('Per Invoice'!D$2:D$401,$U108)))</f>
        <v/>
      </c>
      <c r="E108">
        <f>IF($U108="","",IF(INDEX('Per Invoice'!E$2:E$401,$U108)="","",INDEX('Per Invoice'!E$2:E$401,$U108)))</f>
        <v/>
      </c>
      <c r="F108">
        <f>IF($U108="","",IF(INDEX('Per Invoice'!F$2:F$401,$U108)="","",INDEX('Per Invoice'!F$2:F$401,$U108)))</f>
        <v/>
      </c>
      <c r="G108">
        <f>IF($U108="","",IF(INDEX('Per Invoice'!G$2:G$401,$U108)="","",INDEX('Per Invoice'!G$2:G$401,$U108)))</f>
        <v/>
      </c>
      <c r="H108" s="7">
        <f>IF($U108="","",IF(INDEX('Per Invoice'!H$2:H$401,$U108)="","",INDEX('Per Invoice'!H$2:H$401,$U108)))</f>
        <v/>
      </c>
      <c r="I108" s="14">
        <f>IF($U108="","",IF(INDEX('Per Invoice'!I$2:I$401,$U108)="","",INDEX('Per Invoice'!I$2:I$401,$U108)))</f>
        <v/>
      </c>
      <c r="J108">
        <f>IF($U108="","",IF(INDEX('Per Invoice'!J$2:J$401,$U108)="","",INDEX('Per Invoice'!J$2:J$401,$U108)))</f>
        <v/>
      </c>
      <c r="K108">
        <f>IF($U108="","",IF(INDEX('Per Invoice'!K$2:K$401,$U108)="","",INDEX('Per Invoice'!K$2:K$401,$U108)))</f>
        <v/>
      </c>
      <c r="L108" s="7">
        <f>IF($U108="","",IF(INDEX('Per Invoice'!L$2:L$401,$U108)="","",INDEX('Per Invoice'!L$2:L$401,$U108)))</f>
        <v/>
      </c>
      <c r="M108" s="7">
        <f>IF($U108="","",IF(INDEX('Per Invoice'!M$2:M$401,$U108)="","",INDEX('Per Invoice'!M$2:M$401,$U108)))</f>
        <v/>
      </c>
      <c r="N108">
        <f>IF($U108="","",IF(INDEX('Per Invoice'!N$2:N$401,$U108)="","",INDEX('Per Invoice'!N$2:N$401,$U108)))</f>
        <v/>
      </c>
      <c r="O108" s="7">
        <f>IF($U108="","",IF(INDEX('Per Invoice'!O$2:O$401,$U108)="","",INDEX('Per Invoice'!O$2:O$401,$U108)))</f>
        <v/>
      </c>
      <c r="P108" s="7">
        <f>IF($U108="","",IF(INDEX('Per Invoice'!P$2:P$401,$U108)="","",INDEX('Per Invoice'!P$2:P$401,$U108)))</f>
        <v/>
      </c>
      <c r="Q108" s="7">
        <f>IF($U108="","",IF(INDEX('Per Invoice'!Q$2:Q$401,$U108)="","",INDEX('Per Invoice'!Q$2:Q$401,$U108)))</f>
        <v/>
      </c>
      <c r="R108" s="7">
        <f>IF($U108="","",IF(INDEX('Per Invoice'!R$2:R$401,$U108)="","",INDEX('Per Invoice'!R$2:R$401,$U108)))</f>
        <v/>
      </c>
      <c r="S108" s="7">
        <f>IF($U108="","",IF(INDEX('Per Invoice'!S$2:S$401,$U108)="","",INDEX('Per Invoice'!S$2:S$401,$U108)))</f>
        <v/>
      </c>
      <c r="T108" s="7">
        <f>IF($U108="","",IF(INDEX('Per Invoice'!T$2:T$401,$U108)="","",INDEX('Per Invoice'!T$2:T$401,$U108)))</f>
        <v/>
      </c>
      <c r="U108" s="16">
        <f>IFERROR(MATCH(Settings!$C$30&amp;"|"&amp;ROWS($U$2:$U108),'Per Invoice'!$V$2:$V$401,0),"")</f>
        <v/>
      </c>
    </row>
    <row r="109">
      <c r="A109">
        <f>IF($U109="","",IF(INDEX('Per Invoice'!A$2:A$401,$U109)="","",INDEX('Per Invoice'!A$2:A$401,$U109)))</f>
        <v/>
      </c>
      <c r="B109">
        <f>IF($U109="","",IF(INDEX('Per Invoice'!B$2:B$401,$U109)="","",INDEX('Per Invoice'!B$2:B$401,$U109)))</f>
        <v/>
      </c>
      <c r="C109">
        <f>IF($U109="","",IF(INDEX('Per Invoice'!C$2:C$401,$U109)="","",INDEX('Per Invoice'!C$2:C$401,$U109)))</f>
        <v/>
      </c>
      <c r="D109">
        <f>IF($U109="","",IF(INDEX('Per Invoice'!D$2:D$401,$U109)="","",INDEX('Per Invoice'!D$2:D$401,$U109)))</f>
        <v/>
      </c>
      <c r="E109">
        <f>IF($U109="","",IF(INDEX('Per Invoice'!E$2:E$401,$U109)="","",INDEX('Per Invoice'!E$2:E$401,$U109)))</f>
        <v/>
      </c>
      <c r="F109">
        <f>IF($U109="","",IF(INDEX('Per Invoice'!F$2:F$401,$U109)="","",INDEX('Per Invoice'!F$2:F$401,$U109)))</f>
        <v/>
      </c>
      <c r="G109">
        <f>IF($U109="","",IF(INDEX('Per Invoice'!G$2:G$401,$U109)="","",INDEX('Per Invoice'!G$2:G$401,$U109)))</f>
        <v/>
      </c>
      <c r="H109" s="7">
        <f>IF($U109="","",IF(INDEX('Per Invoice'!H$2:H$401,$U109)="","",INDEX('Per Invoice'!H$2:H$401,$U109)))</f>
        <v/>
      </c>
      <c r="I109" s="14">
        <f>IF($U109="","",IF(INDEX('Per Invoice'!I$2:I$401,$U109)="","",INDEX('Per Invoice'!I$2:I$401,$U109)))</f>
        <v/>
      </c>
      <c r="J109">
        <f>IF($U109="","",IF(INDEX('Per Invoice'!J$2:J$401,$U109)="","",INDEX('Per Invoice'!J$2:J$401,$U109)))</f>
        <v/>
      </c>
      <c r="K109">
        <f>IF($U109="","",IF(INDEX('Per Invoice'!K$2:K$401,$U109)="","",INDEX('Per Invoice'!K$2:K$401,$U109)))</f>
        <v/>
      </c>
      <c r="L109" s="7">
        <f>IF($U109="","",IF(INDEX('Per Invoice'!L$2:L$401,$U109)="","",INDEX('Per Invoice'!L$2:L$401,$U109)))</f>
        <v/>
      </c>
      <c r="M109" s="7">
        <f>IF($U109="","",IF(INDEX('Per Invoice'!M$2:M$401,$U109)="","",INDEX('Per Invoice'!M$2:M$401,$U109)))</f>
        <v/>
      </c>
      <c r="N109">
        <f>IF($U109="","",IF(INDEX('Per Invoice'!N$2:N$401,$U109)="","",INDEX('Per Invoice'!N$2:N$401,$U109)))</f>
        <v/>
      </c>
      <c r="O109" s="7">
        <f>IF($U109="","",IF(INDEX('Per Invoice'!O$2:O$401,$U109)="","",INDEX('Per Invoice'!O$2:O$401,$U109)))</f>
        <v/>
      </c>
      <c r="P109" s="7">
        <f>IF($U109="","",IF(INDEX('Per Invoice'!P$2:P$401,$U109)="","",INDEX('Per Invoice'!P$2:P$401,$U109)))</f>
        <v/>
      </c>
      <c r="Q109" s="7">
        <f>IF($U109="","",IF(INDEX('Per Invoice'!Q$2:Q$401,$U109)="","",INDEX('Per Invoice'!Q$2:Q$401,$U109)))</f>
        <v/>
      </c>
      <c r="R109" s="7">
        <f>IF($U109="","",IF(INDEX('Per Invoice'!R$2:R$401,$U109)="","",INDEX('Per Invoice'!R$2:R$401,$U109)))</f>
        <v/>
      </c>
      <c r="S109" s="7">
        <f>IF($U109="","",IF(INDEX('Per Invoice'!S$2:S$401,$U109)="","",INDEX('Per Invoice'!S$2:S$401,$U109)))</f>
        <v/>
      </c>
      <c r="T109" s="7">
        <f>IF($U109="","",IF(INDEX('Per Invoice'!T$2:T$401,$U109)="","",INDEX('Per Invoice'!T$2:T$401,$U109)))</f>
        <v/>
      </c>
      <c r="U109" s="16">
        <f>IFERROR(MATCH(Settings!$C$30&amp;"|"&amp;ROWS($U$2:$U109),'Per Invoice'!$V$2:$V$401,0),"")</f>
        <v/>
      </c>
    </row>
    <row r="110">
      <c r="A110">
        <f>IF($U110="","",IF(INDEX('Per Invoice'!A$2:A$401,$U110)="","",INDEX('Per Invoice'!A$2:A$401,$U110)))</f>
        <v/>
      </c>
      <c r="B110">
        <f>IF($U110="","",IF(INDEX('Per Invoice'!B$2:B$401,$U110)="","",INDEX('Per Invoice'!B$2:B$401,$U110)))</f>
        <v/>
      </c>
      <c r="C110">
        <f>IF($U110="","",IF(INDEX('Per Invoice'!C$2:C$401,$U110)="","",INDEX('Per Invoice'!C$2:C$401,$U110)))</f>
        <v/>
      </c>
      <c r="D110">
        <f>IF($U110="","",IF(INDEX('Per Invoice'!D$2:D$401,$U110)="","",INDEX('Per Invoice'!D$2:D$401,$U110)))</f>
        <v/>
      </c>
      <c r="E110">
        <f>IF($U110="","",IF(INDEX('Per Invoice'!E$2:E$401,$U110)="","",INDEX('Per Invoice'!E$2:E$401,$U110)))</f>
        <v/>
      </c>
      <c r="F110">
        <f>IF($U110="","",IF(INDEX('Per Invoice'!F$2:F$401,$U110)="","",INDEX('Per Invoice'!F$2:F$401,$U110)))</f>
        <v/>
      </c>
      <c r="G110">
        <f>IF($U110="","",IF(INDEX('Per Invoice'!G$2:G$401,$U110)="","",INDEX('Per Invoice'!G$2:G$401,$U110)))</f>
        <v/>
      </c>
      <c r="H110" s="7">
        <f>IF($U110="","",IF(INDEX('Per Invoice'!H$2:H$401,$U110)="","",INDEX('Per Invoice'!H$2:H$401,$U110)))</f>
        <v/>
      </c>
      <c r="I110" s="14">
        <f>IF($U110="","",IF(INDEX('Per Invoice'!I$2:I$401,$U110)="","",INDEX('Per Invoice'!I$2:I$401,$U110)))</f>
        <v/>
      </c>
      <c r="J110">
        <f>IF($U110="","",IF(INDEX('Per Invoice'!J$2:J$401,$U110)="","",INDEX('Per Invoice'!J$2:J$401,$U110)))</f>
        <v/>
      </c>
      <c r="K110">
        <f>IF($U110="","",IF(INDEX('Per Invoice'!K$2:K$401,$U110)="","",INDEX('Per Invoice'!K$2:K$401,$U110)))</f>
        <v/>
      </c>
      <c r="L110" s="7">
        <f>IF($U110="","",IF(INDEX('Per Invoice'!L$2:L$401,$U110)="","",INDEX('Per Invoice'!L$2:L$401,$U110)))</f>
        <v/>
      </c>
      <c r="M110" s="7">
        <f>IF($U110="","",IF(INDEX('Per Invoice'!M$2:M$401,$U110)="","",INDEX('Per Invoice'!M$2:M$401,$U110)))</f>
        <v/>
      </c>
      <c r="N110">
        <f>IF($U110="","",IF(INDEX('Per Invoice'!N$2:N$401,$U110)="","",INDEX('Per Invoice'!N$2:N$401,$U110)))</f>
        <v/>
      </c>
      <c r="O110" s="7">
        <f>IF($U110="","",IF(INDEX('Per Invoice'!O$2:O$401,$U110)="","",INDEX('Per Invoice'!O$2:O$401,$U110)))</f>
        <v/>
      </c>
      <c r="P110" s="7">
        <f>IF($U110="","",IF(INDEX('Per Invoice'!P$2:P$401,$U110)="","",INDEX('Per Invoice'!P$2:P$401,$U110)))</f>
        <v/>
      </c>
      <c r="Q110" s="7">
        <f>IF($U110="","",IF(INDEX('Per Invoice'!Q$2:Q$401,$U110)="","",INDEX('Per Invoice'!Q$2:Q$401,$U110)))</f>
        <v/>
      </c>
      <c r="R110" s="7">
        <f>IF($U110="","",IF(INDEX('Per Invoice'!R$2:R$401,$U110)="","",INDEX('Per Invoice'!R$2:R$401,$U110)))</f>
        <v/>
      </c>
      <c r="S110" s="7">
        <f>IF($U110="","",IF(INDEX('Per Invoice'!S$2:S$401,$U110)="","",INDEX('Per Invoice'!S$2:S$401,$U110)))</f>
        <v/>
      </c>
      <c r="T110" s="7">
        <f>IF($U110="","",IF(INDEX('Per Invoice'!T$2:T$401,$U110)="","",INDEX('Per Invoice'!T$2:T$401,$U110)))</f>
        <v/>
      </c>
      <c r="U110" s="16">
        <f>IFERROR(MATCH(Settings!$C$30&amp;"|"&amp;ROWS($U$2:$U110),'Per Invoice'!$V$2:$V$401,0),"")</f>
        <v/>
      </c>
    </row>
    <row r="111">
      <c r="A111">
        <f>IF($U111="","",IF(INDEX('Per Invoice'!A$2:A$401,$U111)="","",INDEX('Per Invoice'!A$2:A$401,$U111)))</f>
        <v/>
      </c>
      <c r="B111">
        <f>IF($U111="","",IF(INDEX('Per Invoice'!B$2:B$401,$U111)="","",INDEX('Per Invoice'!B$2:B$401,$U111)))</f>
        <v/>
      </c>
      <c r="C111">
        <f>IF($U111="","",IF(INDEX('Per Invoice'!C$2:C$401,$U111)="","",INDEX('Per Invoice'!C$2:C$401,$U111)))</f>
        <v/>
      </c>
      <c r="D111">
        <f>IF($U111="","",IF(INDEX('Per Invoice'!D$2:D$401,$U111)="","",INDEX('Per Invoice'!D$2:D$401,$U111)))</f>
        <v/>
      </c>
      <c r="E111">
        <f>IF($U111="","",IF(INDEX('Per Invoice'!E$2:E$401,$U111)="","",INDEX('Per Invoice'!E$2:E$401,$U111)))</f>
        <v/>
      </c>
      <c r="F111">
        <f>IF($U111="","",IF(INDEX('Per Invoice'!F$2:F$401,$U111)="","",INDEX('Per Invoice'!F$2:F$401,$U111)))</f>
        <v/>
      </c>
      <c r="G111">
        <f>IF($U111="","",IF(INDEX('Per Invoice'!G$2:G$401,$U111)="","",INDEX('Per Invoice'!G$2:G$401,$U111)))</f>
        <v/>
      </c>
      <c r="H111" s="7">
        <f>IF($U111="","",IF(INDEX('Per Invoice'!H$2:H$401,$U111)="","",INDEX('Per Invoice'!H$2:H$401,$U111)))</f>
        <v/>
      </c>
      <c r="I111" s="14">
        <f>IF($U111="","",IF(INDEX('Per Invoice'!I$2:I$401,$U111)="","",INDEX('Per Invoice'!I$2:I$401,$U111)))</f>
        <v/>
      </c>
      <c r="J111">
        <f>IF($U111="","",IF(INDEX('Per Invoice'!J$2:J$401,$U111)="","",INDEX('Per Invoice'!J$2:J$401,$U111)))</f>
        <v/>
      </c>
      <c r="K111">
        <f>IF($U111="","",IF(INDEX('Per Invoice'!K$2:K$401,$U111)="","",INDEX('Per Invoice'!K$2:K$401,$U111)))</f>
        <v/>
      </c>
      <c r="L111" s="7">
        <f>IF($U111="","",IF(INDEX('Per Invoice'!L$2:L$401,$U111)="","",INDEX('Per Invoice'!L$2:L$401,$U111)))</f>
        <v/>
      </c>
      <c r="M111" s="7">
        <f>IF($U111="","",IF(INDEX('Per Invoice'!M$2:M$401,$U111)="","",INDEX('Per Invoice'!M$2:M$401,$U111)))</f>
        <v/>
      </c>
      <c r="N111">
        <f>IF($U111="","",IF(INDEX('Per Invoice'!N$2:N$401,$U111)="","",INDEX('Per Invoice'!N$2:N$401,$U111)))</f>
        <v/>
      </c>
      <c r="O111" s="7">
        <f>IF($U111="","",IF(INDEX('Per Invoice'!O$2:O$401,$U111)="","",INDEX('Per Invoice'!O$2:O$401,$U111)))</f>
        <v/>
      </c>
      <c r="P111" s="7">
        <f>IF($U111="","",IF(INDEX('Per Invoice'!P$2:P$401,$U111)="","",INDEX('Per Invoice'!P$2:P$401,$U111)))</f>
        <v/>
      </c>
      <c r="Q111" s="7">
        <f>IF($U111="","",IF(INDEX('Per Invoice'!Q$2:Q$401,$U111)="","",INDEX('Per Invoice'!Q$2:Q$401,$U111)))</f>
        <v/>
      </c>
      <c r="R111" s="7">
        <f>IF($U111="","",IF(INDEX('Per Invoice'!R$2:R$401,$U111)="","",INDEX('Per Invoice'!R$2:R$401,$U111)))</f>
        <v/>
      </c>
      <c r="S111" s="7">
        <f>IF($U111="","",IF(INDEX('Per Invoice'!S$2:S$401,$U111)="","",INDEX('Per Invoice'!S$2:S$401,$U111)))</f>
        <v/>
      </c>
      <c r="T111" s="7">
        <f>IF($U111="","",IF(INDEX('Per Invoice'!T$2:T$401,$U111)="","",INDEX('Per Invoice'!T$2:T$401,$U111)))</f>
        <v/>
      </c>
      <c r="U111" s="16">
        <f>IFERROR(MATCH(Settings!$C$30&amp;"|"&amp;ROWS($U$2:$U111),'Per Invoice'!$V$2:$V$401,0),"")</f>
        <v/>
      </c>
    </row>
    <row r="112">
      <c r="A112">
        <f>IF($U112="","",IF(INDEX('Per Invoice'!A$2:A$401,$U112)="","",INDEX('Per Invoice'!A$2:A$401,$U112)))</f>
        <v/>
      </c>
      <c r="B112">
        <f>IF($U112="","",IF(INDEX('Per Invoice'!B$2:B$401,$U112)="","",INDEX('Per Invoice'!B$2:B$401,$U112)))</f>
        <v/>
      </c>
      <c r="C112">
        <f>IF($U112="","",IF(INDEX('Per Invoice'!C$2:C$401,$U112)="","",INDEX('Per Invoice'!C$2:C$401,$U112)))</f>
        <v/>
      </c>
      <c r="D112">
        <f>IF($U112="","",IF(INDEX('Per Invoice'!D$2:D$401,$U112)="","",INDEX('Per Invoice'!D$2:D$401,$U112)))</f>
        <v/>
      </c>
      <c r="E112">
        <f>IF($U112="","",IF(INDEX('Per Invoice'!E$2:E$401,$U112)="","",INDEX('Per Invoice'!E$2:E$401,$U112)))</f>
        <v/>
      </c>
      <c r="F112">
        <f>IF($U112="","",IF(INDEX('Per Invoice'!F$2:F$401,$U112)="","",INDEX('Per Invoice'!F$2:F$401,$U112)))</f>
        <v/>
      </c>
      <c r="G112">
        <f>IF($U112="","",IF(INDEX('Per Invoice'!G$2:G$401,$U112)="","",INDEX('Per Invoice'!G$2:G$401,$U112)))</f>
        <v/>
      </c>
      <c r="H112" s="7">
        <f>IF($U112="","",IF(INDEX('Per Invoice'!H$2:H$401,$U112)="","",INDEX('Per Invoice'!H$2:H$401,$U112)))</f>
        <v/>
      </c>
      <c r="I112" s="14">
        <f>IF($U112="","",IF(INDEX('Per Invoice'!I$2:I$401,$U112)="","",INDEX('Per Invoice'!I$2:I$401,$U112)))</f>
        <v/>
      </c>
      <c r="J112">
        <f>IF($U112="","",IF(INDEX('Per Invoice'!J$2:J$401,$U112)="","",INDEX('Per Invoice'!J$2:J$401,$U112)))</f>
        <v/>
      </c>
      <c r="K112">
        <f>IF($U112="","",IF(INDEX('Per Invoice'!K$2:K$401,$U112)="","",INDEX('Per Invoice'!K$2:K$401,$U112)))</f>
        <v/>
      </c>
      <c r="L112" s="7">
        <f>IF($U112="","",IF(INDEX('Per Invoice'!L$2:L$401,$U112)="","",INDEX('Per Invoice'!L$2:L$401,$U112)))</f>
        <v/>
      </c>
      <c r="M112" s="7">
        <f>IF($U112="","",IF(INDEX('Per Invoice'!M$2:M$401,$U112)="","",INDEX('Per Invoice'!M$2:M$401,$U112)))</f>
        <v/>
      </c>
      <c r="N112">
        <f>IF($U112="","",IF(INDEX('Per Invoice'!N$2:N$401,$U112)="","",INDEX('Per Invoice'!N$2:N$401,$U112)))</f>
        <v/>
      </c>
      <c r="O112" s="7">
        <f>IF($U112="","",IF(INDEX('Per Invoice'!O$2:O$401,$U112)="","",INDEX('Per Invoice'!O$2:O$401,$U112)))</f>
        <v/>
      </c>
      <c r="P112" s="7">
        <f>IF($U112="","",IF(INDEX('Per Invoice'!P$2:P$401,$U112)="","",INDEX('Per Invoice'!P$2:P$401,$U112)))</f>
        <v/>
      </c>
      <c r="Q112" s="7">
        <f>IF($U112="","",IF(INDEX('Per Invoice'!Q$2:Q$401,$U112)="","",INDEX('Per Invoice'!Q$2:Q$401,$U112)))</f>
        <v/>
      </c>
      <c r="R112" s="7">
        <f>IF($U112="","",IF(INDEX('Per Invoice'!R$2:R$401,$U112)="","",INDEX('Per Invoice'!R$2:R$401,$U112)))</f>
        <v/>
      </c>
      <c r="S112" s="7">
        <f>IF($U112="","",IF(INDEX('Per Invoice'!S$2:S$401,$U112)="","",INDEX('Per Invoice'!S$2:S$401,$U112)))</f>
        <v/>
      </c>
      <c r="T112" s="7">
        <f>IF($U112="","",IF(INDEX('Per Invoice'!T$2:T$401,$U112)="","",INDEX('Per Invoice'!T$2:T$401,$U112)))</f>
        <v/>
      </c>
      <c r="U112" s="16">
        <f>IFERROR(MATCH(Settings!$C$30&amp;"|"&amp;ROWS($U$2:$U112),'Per Invoice'!$V$2:$V$401,0),"")</f>
        <v/>
      </c>
    </row>
    <row r="113">
      <c r="A113">
        <f>IF($U113="","",IF(INDEX('Per Invoice'!A$2:A$401,$U113)="","",INDEX('Per Invoice'!A$2:A$401,$U113)))</f>
        <v/>
      </c>
      <c r="B113">
        <f>IF($U113="","",IF(INDEX('Per Invoice'!B$2:B$401,$U113)="","",INDEX('Per Invoice'!B$2:B$401,$U113)))</f>
        <v/>
      </c>
      <c r="C113">
        <f>IF($U113="","",IF(INDEX('Per Invoice'!C$2:C$401,$U113)="","",INDEX('Per Invoice'!C$2:C$401,$U113)))</f>
        <v/>
      </c>
      <c r="D113">
        <f>IF($U113="","",IF(INDEX('Per Invoice'!D$2:D$401,$U113)="","",INDEX('Per Invoice'!D$2:D$401,$U113)))</f>
        <v/>
      </c>
      <c r="E113">
        <f>IF($U113="","",IF(INDEX('Per Invoice'!E$2:E$401,$U113)="","",INDEX('Per Invoice'!E$2:E$401,$U113)))</f>
        <v/>
      </c>
      <c r="F113">
        <f>IF($U113="","",IF(INDEX('Per Invoice'!F$2:F$401,$U113)="","",INDEX('Per Invoice'!F$2:F$401,$U113)))</f>
        <v/>
      </c>
      <c r="G113">
        <f>IF($U113="","",IF(INDEX('Per Invoice'!G$2:G$401,$U113)="","",INDEX('Per Invoice'!G$2:G$401,$U113)))</f>
        <v/>
      </c>
      <c r="H113" s="7">
        <f>IF($U113="","",IF(INDEX('Per Invoice'!H$2:H$401,$U113)="","",INDEX('Per Invoice'!H$2:H$401,$U113)))</f>
        <v/>
      </c>
      <c r="I113" s="14">
        <f>IF($U113="","",IF(INDEX('Per Invoice'!I$2:I$401,$U113)="","",INDEX('Per Invoice'!I$2:I$401,$U113)))</f>
        <v/>
      </c>
      <c r="J113">
        <f>IF($U113="","",IF(INDEX('Per Invoice'!J$2:J$401,$U113)="","",INDEX('Per Invoice'!J$2:J$401,$U113)))</f>
        <v/>
      </c>
      <c r="K113">
        <f>IF($U113="","",IF(INDEX('Per Invoice'!K$2:K$401,$U113)="","",INDEX('Per Invoice'!K$2:K$401,$U113)))</f>
        <v/>
      </c>
      <c r="L113" s="7">
        <f>IF($U113="","",IF(INDEX('Per Invoice'!L$2:L$401,$U113)="","",INDEX('Per Invoice'!L$2:L$401,$U113)))</f>
        <v/>
      </c>
      <c r="M113" s="7">
        <f>IF($U113="","",IF(INDEX('Per Invoice'!M$2:M$401,$U113)="","",INDEX('Per Invoice'!M$2:M$401,$U113)))</f>
        <v/>
      </c>
      <c r="N113">
        <f>IF($U113="","",IF(INDEX('Per Invoice'!N$2:N$401,$U113)="","",INDEX('Per Invoice'!N$2:N$401,$U113)))</f>
        <v/>
      </c>
      <c r="O113" s="7">
        <f>IF($U113="","",IF(INDEX('Per Invoice'!O$2:O$401,$U113)="","",INDEX('Per Invoice'!O$2:O$401,$U113)))</f>
        <v/>
      </c>
      <c r="P113" s="7">
        <f>IF($U113="","",IF(INDEX('Per Invoice'!P$2:P$401,$U113)="","",INDEX('Per Invoice'!P$2:P$401,$U113)))</f>
        <v/>
      </c>
      <c r="Q113" s="7">
        <f>IF($U113="","",IF(INDEX('Per Invoice'!Q$2:Q$401,$U113)="","",INDEX('Per Invoice'!Q$2:Q$401,$U113)))</f>
        <v/>
      </c>
      <c r="R113" s="7">
        <f>IF($U113="","",IF(INDEX('Per Invoice'!R$2:R$401,$U113)="","",INDEX('Per Invoice'!R$2:R$401,$U113)))</f>
        <v/>
      </c>
      <c r="S113" s="7">
        <f>IF($U113="","",IF(INDEX('Per Invoice'!S$2:S$401,$U113)="","",INDEX('Per Invoice'!S$2:S$401,$U113)))</f>
        <v/>
      </c>
      <c r="T113" s="7">
        <f>IF($U113="","",IF(INDEX('Per Invoice'!T$2:T$401,$U113)="","",INDEX('Per Invoice'!T$2:T$401,$U113)))</f>
        <v/>
      </c>
      <c r="U113" s="16">
        <f>IFERROR(MATCH(Settings!$C$30&amp;"|"&amp;ROWS($U$2:$U113),'Per Invoice'!$V$2:$V$401,0),"")</f>
        <v/>
      </c>
    </row>
    <row r="114">
      <c r="A114">
        <f>IF($U114="","",IF(INDEX('Per Invoice'!A$2:A$401,$U114)="","",INDEX('Per Invoice'!A$2:A$401,$U114)))</f>
        <v/>
      </c>
      <c r="B114">
        <f>IF($U114="","",IF(INDEX('Per Invoice'!B$2:B$401,$U114)="","",INDEX('Per Invoice'!B$2:B$401,$U114)))</f>
        <v/>
      </c>
      <c r="C114">
        <f>IF($U114="","",IF(INDEX('Per Invoice'!C$2:C$401,$U114)="","",INDEX('Per Invoice'!C$2:C$401,$U114)))</f>
        <v/>
      </c>
      <c r="D114">
        <f>IF($U114="","",IF(INDEX('Per Invoice'!D$2:D$401,$U114)="","",INDEX('Per Invoice'!D$2:D$401,$U114)))</f>
        <v/>
      </c>
      <c r="E114">
        <f>IF($U114="","",IF(INDEX('Per Invoice'!E$2:E$401,$U114)="","",INDEX('Per Invoice'!E$2:E$401,$U114)))</f>
        <v/>
      </c>
      <c r="F114">
        <f>IF($U114="","",IF(INDEX('Per Invoice'!F$2:F$401,$U114)="","",INDEX('Per Invoice'!F$2:F$401,$U114)))</f>
        <v/>
      </c>
      <c r="G114">
        <f>IF($U114="","",IF(INDEX('Per Invoice'!G$2:G$401,$U114)="","",INDEX('Per Invoice'!G$2:G$401,$U114)))</f>
        <v/>
      </c>
      <c r="H114" s="7">
        <f>IF($U114="","",IF(INDEX('Per Invoice'!H$2:H$401,$U114)="","",INDEX('Per Invoice'!H$2:H$401,$U114)))</f>
        <v/>
      </c>
      <c r="I114" s="14">
        <f>IF($U114="","",IF(INDEX('Per Invoice'!I$2:I$401,$U114)="","",INDEX('Per Invoice'!I$2:I$401,$U114)))</f>
        <v/>
      </c>
      <c r="J114">
        <f>IF($U114="","",IF(INDEX('Per Invoice'!J$2:J$401,$U114)="","",INDEX('Per Invoice'!J$2:J$401,$U114)))</f>
        <v/>
      </c>
      <c r="K114">
        <f>IF($U114="","",IF(INDEX('Per Invoice'!K$2:K$401,$U114)="","",INDEX('Per Invoice'!K$2:K$401,$U114)))</f>
        <v/>
      </c>
      <c r="L114" s="7">
        <f>IF($U114="","",IF(INDEX('Per Invoice'!L$2:L$401,$U114)="","",INDEX('Per Invoice'!L$2:L$401,$U114)))</f>
        <v/>
      </c>
      <c r="M114" s="7">
        <f>IF($U114="","",IF(INDEX('Per Invoice'!M$2:M$401,$U114)="","",INDEX('Per Invoice'!M$2:M$401,$U114)))</f>
        <v/>
      </c>
      <c r="N114">
        <f>IF($U114="","",IF(INDEX('Per Invoice'!N$2:N$401,$U114)="","",INDEX('Per Invoice'!N$2:N$401,$U114)))</f>
        <v/>
      </c>
      <c r="O114" s="7">
        <f>IF($U114="","",IF(INDEX('Per Invoice'!O$2:O$401,$U114)="","",INDEX('Per Invoice'!O$2:O$401,$U114)))</f>
        <v/>
      </c>
      <c r="P114" s="7">
        <f>IF($U114="","",IF(INDEX('Per Invoice'!P$2:P$401,$U114)="","",INDEX('Per Invoice'!P$2:P$401,$U114)))</f>
        <v/>
      </c>
      <c r="Q114" s="7">
        <f>IF($U114="","",IF(INDEX('Per Invoice'!Q$2:Q$401,$U114)="","",INDEX('Per Invoice'!Q$2:Q$401,$U114)))</f>
        <v/>
      </c>
      <c r="R114" s="7">
        <f>IF($U114="","",IF(INDEX('Per Invoice'!R$2:R$401,$U114)="","",INDEX('Per Invoice'!R$2:R$401,$U114)))</f>
        <v/>
      </c>
      <c r="S114" s="7">
        <f>IF($U114="","",IF(INDEX('Per Invoice'!S$2:S$401,$U114)="","",INDEX('Per Invoice'!S$2:S$401,$U114)))</f>
        <v/>
      </c>
      <c r="T114" s="7">
        <f>IF($U114="","",IF(INDEX('Per Invoice'!T$2:T$401,$U114)="","",INDEX('Per Invoice'!T$2:T$401,$U114)))</f>
        <v/>
      </c>
      <c r="U114" s="16">
        <f>IFERROR(MATCH(Settings!$C$30&amp;"|"&amp;ROWS($U$2:$U114),'Per Invoice'!$V$2:$V$401,0),"")</f>
        <v/>
      </c>
    </row>
    <row r="115">
      <c r="A115">
        <f>IF($U115="","",IF(INDEX('Per Invoice'!A$2:A$401,$U115)="","",INDEX('Per Invoice'!A$2:A$401,$U115)))</f>
        <v/>
      </c>
      <c r="B115">
        <f>IF($U115="","",IF(INDEX('Per Invoice'!B$2:B$401,$U115)="","",INDEX('Per Invoice'!B$2:B$401,$U115)))</f>
        <v/>
      </c>
      <c r="C115">
        <f>IF($U115="","",IF(INDEX('Per Invoice'!C$2:C$401,$U115)="","",INDEX('Per Invoice'!C$2:C$401,$U115)))</f>
        <v/>
      </c>
      <c r="D115">
        <f>IF($U115="","",IF(INDEX('Per Invoice'!D$2:D$401,$U115)="","",INDEX('Per Invoice'!D$2:D$401,$U115)))</f>
        <v/>
      </c>
      <c r="E115">
        <f>IF($U115="","",IF(INDEX('Per Invoice'!E$2:E$401,$U115)="","",INDEX('Per Invoice'!E$2:E$401,$U115)))</f>
        <v/>
      </c>
      <c r="F115">
        <f>IF($U115="","",IF(INDEX('Per Invoice'!F$2:F$401,$U115)="","",INDEX('Per Invoice'!F$2:F$401,$U115)))</f>
        <v/>
      </c>
      <c r="G115">
        <f>IF($U115="","",IF(INDEX('Per Invoice'!G$2:G$401,$U115)="","",INDEX('Per Invoice'!G$2:G$401,$U115)))</f>
        <v/>
      </c>
      <c r="H115" s="7">
        <f>IF($U115="","",IF(INDEX('Per Invoice'!H$2:H$401,$U115)="","",INDEX('Per Invoice'!H$2:H$401,$U115)))</f>
        <v/>
      </c>
      <c r="I115" s="14">
        <f>IF($U115="","",IF(INDEX('Per Invoice'!I$2:I$401,$U115)="","",INDEX('Per Invoice'!I$2:I$401,$U115)))</f>
        <v/>
      </c>
      <c r="J115">
        <f>IF($U115="","",IF(INDEX('Per Invoice'!J$2:J$401,$U115)="","",INDEX('Per Invoice'!J$2:J$401,$U115)))</f>
        <v/>
      </c>
      <c r="K115">
        <f>IF($U115="","",IF(INDEX('Per Invoice'!K$2:K$401,$U115)="","",INDEX('Per Invoice'!K$2:K$401,$U115)))</f>
        <v/>
      </c>
      <c r="L115" s="7">
        <f>IF($U115="","",IF(INDEX('Per Invoice'!L$2:L$401,$U115)="","",INDEX('Per Invoice'!L$2:L$401,$U115)))</f>
        <v/>
      </c>
      <c r="M115" s="7">
        <f>IF($U115="","",IF(INDEX('Per Invoice'!M$2:M$401,$U115)="","",INDEX('Per Invoice'!M$2:M$401,$U115)))</f>
        <v/>
      </c>
      <c r="N115">
        <f>IF($U115="","",IF(INDEX('Per Invoice'!N$2:N$401,$U115)="","",INDEX('Per Invoice'!N$2:N$401,$U115)))</f>
        <v/>
      </c>
      <c r="O115" s="7">
        <f>IF($U115="","",IF(INDEX('Per Invoice'!O$2:O$401,$U115)="","",INDEX('Per Invoice'!O$2:O$401,$U115)))</f>
        <v/>
      </c>
      <c r="P115" s="7">
        <f>IF($U115="","",IF(INDEX('Per Invoice'!P$2:P$401,$U115)="","",INDEX('Per Invoice'!P$2:P$401,$U115)))</f>
        <v/>
      </c>
      <c r="Q115" s="7">
        <f>IF($U115="","",IF(INDEX('Per Invoice'!Q$2:Q$401,$U115)="","",INDEX('Per Invoice'!Q$2:Q$401,$U115)))</f>
        <v/>
      </c>
      <c r="R115" s="7">
        <f>IF($U115="","",IF(INDEX('Per Invoice'!R$2:R$401,$U115)="","",INDEX('Per Invoice'!R$2:R$401,$U115)))</f>
        <v/>
      </c>
      <c r="S115" s="7">
        <f>IF($U115="","",IF(INDEX('Per Invoice'!S$2:S$401,$U115)="","",INDEX('Per Invoice'!S$2:S$401,$U115)))</f>
        <v/>
      </c>
      <c r="T115" s="7">
        <f>IF($U115="","",IF(INDEX('Per Invoice'!T$2:T$401,$U115)="","",INDEX('Per Invoice'!T$2:T$401,$U115)))</f>
        <v/>
      </c>
      <c r="U115" s="16">
        <f>IFERROR(MATCH(Settings!$C$30&amp;"|"&amp;ROWS($U$2:$U115),'Per Invoice'!$V$2:$V$401,0),"")</f>
        <v/>
      </c>
    </row>
    <row r="116">
      <c r="A116">
        <f>IF($U116="","",IF(INDEX('Per Invoice'!A$2:A$401,$U116)="","",INDEX('Per Invoice'!A$2:A$401,$U116)))</f>
        <v/>
      </c>
      <c r="B116">
        <f>IF($U116="","",IF(INDEX('Per Invoice'!B$2:B$401,$U116)="","",INDEX('Per Invoice'!B$2:B$401,$U116)))</f>
        <v/>
      </c>
      <c r="C116">
        <f>IF($U116="","",IF(INDEX('Per Invoice'!C$2:C$401,$U116)="","",INDEX('Per Invoice'!C$2:C$401,$U116)))</f>
        <v/>
      </c>
      <c r="D116">
        <f>IF($U116="","",IF(INDEX('Per Invoice'!D$2:D$401,$U116)="","",INDEX('Per Invoice'!D$2:D$401,$U116)))</f>
        <v/>
      </c>
      <c r="E116">
        <f>IF($U116="","",IF(INDEX('Per Invoice'!E$2:E$401,$U116)="","",INDEX('Per Invoice'!E$2:E$401,$U116)))</f>
        <v/>
      </c>
      <c r="F116">
        <f>IF($U116="","",IF(INDEX('Per Invoice'!F$2:F$401,$U116)="","",INDEX('Per Invoice'!F$2:F$401,$U116)))</f>
        <v/>
      </c>
      <c r="G116">
        <f>IF($U116="","",IF(INDEX('Per Invoice'!G$2:G$401,$U116)="","",INDEX('Per Invoice'!G$2:G$401,$U116)))</f>
        <v/>
      </c>
      <c r="H116" s="7">
        <f>IF($U116="","",IF(INDEX('Per Invoice'!H$2:H$401,$U116)="","",INDEX('Per Invoice'!H$2:H$401,$U116)))</f>
        <v/>
      </c>
      <c r="I116" s="14">
        <f>IF($U116="","",IF(INDEX('Per Invoice'!I$2:I$401,$U116)="","",INDEX('Per Invoice'!I$2:I$401,$U116)))</f>
        <v/>
      </c>
      <c r="J116">
        <f>IF($U116="","",IF(INDEX('Per Invoice'!J$2:J$401,$U116)="","",INDEX('Per Invoice'!J$2:J$401,$U116)))</f>
        <v/>
      </c>
      <c r="K116">
        <f>IF($U116="","",IF(INDEX('Per Invoice'!K$2:K$401,$U116)="","",INDEX('Per Invoice'!K$2:K$401,$U116)))</f>
        <v/>
      </c>
      <c r="L116" s="7">
        <f>IF($U116="","",IF(INDEX('Per Invoice'!L$2:L$401,$U116)="","",INDEX('Per Invoice'!L$2:L$401,$U116)))</f>
        <v/>
      </c>
      <c r="M116" s="7">
        <f>IF($U116="","",IF(INDEX('Per Invoice'!M$2:M$401,$U116)="","",INDEX('Per Invoice'!M$2:M$401,$U116)))</f>
        <v/>
      </c>
      <c r="N116">
        <f>IF($U116="","",IF(INDEX('Per Invoice'!N$2:N$401,$U116)="","",INDEX('Per Invoice'!N$2:N$401,$U116)))</f>
        <v/>
      </c>
      <c r="O116" s="7">
        <f>IF($U116="","",IF(INDEX('Per Invoice'!O$2:O$401,$U116)="","",INDEX('Per Invoice'!O$2:O$401,$U116)))</f>
        <v/>
      </c>
      <c r="P116" s="7">
        <f>IF($U116="","",IF(INDEX('Per Invoice'!P$2:P$401,$U116)="","",INDEX('Per Invoice'!P$2:P$401,$U116)))</f>
        <v/>
      </c>
      <c r="Q116" s="7">
        <f>IF($U116="","",IF(INDEX('Per Invoice'!Q$2:Q$401,$U116)="","",INDEX('Per Invoice'!Q$2:Q$401,$U116)))</f>
        <v/>
      </c>
      <c r="R116" s="7">
        <f>IF($U116="","",IF(INDEX('Per Invoice'!R$2:R$401,$U116)="","",INDEX('Per Invoice'!R$2:R$401,$U116)))</f>
        <v/>
      </c>
      <c r="S116" s="7">
        <f>IF($U116="","",IF(INDEX('Per Invoice'!S$2:S$401,$U116)="","",INDEX('Per Invoice'!S$2:S$401,$U116)))</f>
        <v/>
      </c>
      <c r="T116" s="7">
        <f>IF($U116="","",IF(INDEX('Per Invoice'!T$2:T$401,$U116)="","",INDEX('Per Invoice'!T$2:T$401,$U116)))</f>
        <v/>
      </c>
      <c r="U116" s="16">
        <f>IFERROR(MATCH(Settings!$C$30&amp;"|"&amp;ROWS($U$2:$U116),'Per Invoice'!$V$2:$V$401,0),"")</f>
        <v/>
      </c>
    </row>
    <row r="117">
      <c r="A117">
        <f>IF($U117="","",IF(INDEX('Per Invoice'!A$2:A$401,$U117)="","",INDEX('Per Invoice'!A$2:A$401,$U117)))</f>
        <v/>
      </c>
      <c r="B117">
        <f>IF($U117="","",IF(INDEX('Per Invoice'!B$2:B$401,$U117)="","",INDEX('Per Invoice'!B$2:B$401,$U117)))</f>
        <v/>
      </c>
      <c r="C117">
        <f>IF($U117="","",IF(INDEX('Per Invoice'!C$2:C$401,$U117)="","",INDEX('Per Invoice'!C$2:C$401,$U117)))</f>
        <v/>
      </c>
      <c r="D117">
        <f>IF($U117="","",IF(INDEX('Per Invoice'!D$2:D$401,$U117)="","",INDEX('Per Invoice'!D$2:D$401,$U117)))</f>
        <v/>
      </c>
      <c r="E117">
        <f>IF($U117="","",IF(INDEX('Per Invoice'!E$2:E$401,$U117)="","",INDEX('Per Invoice'!E$2:E$401,$U117)))</f>
        <v/>
      </c>
      <c r="F117">
        <f>IF($U117="","",IF(INDEX('Per Invoice'!F$2:F$401,$U117)="","",INDEX('Per Invoice'!F$2:F$401,$U117)))</f>
        <v/>
      </c>
      <c r="G117">
        <f>IF($U117="","",IF(INDEX('Per Invoice'!G$2:G$401,$U117)="","",INDEX('Per Invoice'!G$2:G$401,$U117)))</f>
        <v/>
      </c>
      <c r="H117" s="7">
        <f>IF($U117="","",IF(INDEX('Per Invoice'!H$2:H$401,$U117)="","",INDEX('Per Invoice'!H$2:H$401,$U117)))</f>
        <v/>
      </c>
      <c r="I117" s="14">
        <f>IF($U117="","",IF(INDEX('Per Invoice'!I$2:I$401,$U117)="","",INDEX('Per Invoice'!I$2:I$401,$U117)))</f>
        <v/>
      </c>
      <c r="J117">
        <f>IF($U117="","",IF(INDEX('Per Invoice'!J$2:J$401,$U117)="","",INDEX('Per Invoice'!J$2:J$401,$U117)))</f>
        <v/>
      </c>
      <c r="K117">
        <f>IF($U117="","",IF(INDEX('Per Invoice'!K$2:K$401,$U117)="","",INDEX('Per Invoice'!K$2:K$401,$U117)))</f>
        <v/>
      </c>
      <c r="L117" s="7">
        <f>IF($U117="","",IF(INDEX('Per Invoice'!L$2:L$401,$U117)="","",INDEX('Per Invoice'!L$2:L$401,$U117)))</f>
        <v/>
      </c>
      <c r="M117" s="7">
        <f>IF($U117="","",IF(INDEX('Per Invoice'!M$2:M$401,$U117)="","",INDEX('Per Invoice'!M$2:M$401,$U117)))</f>
        <v/>
      </c>
      <c r="N117">
        <f>IF($U117="","",IF(INDEX('Per Invoice'!N$2:N$401,$U117)="","",INDEX('Per Invoice'!N$2:N$401,$U117)))</f>
        <v/>
      </c>
      <c r="O117" s="7">
        <f>IF($U117="","",IF(INDEX('Per Invoice'!O$2:O$401,$U117)="","",INDEX('Per Invoice'!O$2:O$401,$U117)))</f>
        <v/>
      </c>
      <c r="P117" s="7">
        <f>IF($U117="","",IF(INDEX('Per Invoice'!P$2:P$401,$U117)="","",INDEX('Per Invoice'!P$2:P$401,$U117)))</f>
        <v/>
      </c>
      <c r="Q117" s="7">
        <f>IF($U117="","",IF(INDEX('Per Invoice'!Q$2:Q$401,$U117)="","",INDEX('Per Invoice'!Q$2:Q$401,$U117)))</f>
        <v/>
      </c>
      <c r="R117" s="7">
        <f>IF($U117="","",IF(INDEX('Per Invoice'!R$2:R$401,$U117)="","",INDEX('Per Invoice'!R$2:R$401,$U117)))</f>
        <v/>
      </c>
      <c r="S117" s="7">
        <f>IF($U117="","",IF(INDEX('Per Invoice'!S$2:S$401,$U117)="","",INDEX('Per Invoice'!S$2:S$401,$U117)))</f>
        <v/>
      </c>
      <c r="T117" s="7">
        <f>IF($U117="","",IF(INDEX('Per Invoice'!T$2:T$401,$U117)="","",INDEX('Per Invoice'!T$2:T$401,$U117)))</f>
        <v/>
      </c>
      <c r="U117" s="16">
        <f>IFERROR(MATCH(Settings!$C$30&amp;"|"&amp;ROWS($U$2:$U117),'Per Invoice'!$V$2:$V$401,0),"")</f>
        <v/>
      </c>
    </row>
    <row r="118">
      <c r="A118">
        <f>IF($U118="","",IF(INDEX('Per Invoice'!A$2:A$401,$U118)="","",INDEX('Per Invoice'!A$2:A$401,$U118)))</f>
        <v/>
      </c>
      <c r="B118">
        <f>IF($U118="","",IF(INDEX('Per Invoice'!B$2:B$401,$U118)="","",INDEX('Per Invoice'!B$2:B$401,$U118)))</f>
        <v/>
      </c>
      <c r="C118">
        <f>IF($U118="","",IF(INDEX('Per Invoice'!C$2:C$401,$U118)="","",INDEX('Per Invoice'!C$2:C$401,$U118)))</f>
        <v/>
      </c>
      <c r="D118">
        <f>IF($U118="","",IF(INDEX('Per Invoice'!D$2:D$401,$U118)="","",INDEX('Per Invoice'!D$2:D$401,$U118)))</f>
        <v/>
      </c>
      <c r="E118">
        <f>IF($U118="","",IF(INDEX('Per Invoice'!E$2:E$401,$U118)="","",INDEX('Per Invoice'!E$2:E$401,$U118)))</f>
        <v/>
      </c>
      <c r="F118">
        <f>IF($U118="","",IF(INDEX('Per Invoice'!F$2:F$401,$U118)="","",INDEX('Per Invoice'!F$2:F$401,$U118)))</f>
        <v/>
      </c>
      <c r="G118">
        <f>IF($U118="","",IF(INDEX('Per Invoice'!G$2:G$401,$U118)="","",INDEX('Per Invoice'!G$2:G$401,$U118)))</f>
        <v/>
      </c>
      <c r="H118" s="7">
        <f>IF($U118="","",IF(INDEX('Per Invoice'!H$2:H$401,$U118)="","",INDEX('Per Invoice'!H$2:H$401,$U118)))</f>
        <v/>
      </c>
      <c r="I118" s="14">
        <f>IF($U118="","",IF(INDEX('Per Invoice'!I$2:I$401,$U118)="","",INDEX('Per Invoice'!I$2:I$401,$U118)))</f>
        <v/>
      </c>
      <c r="J118">
        <f>IF($U118="","",IF(INDEX('Per Invoice'!J$2:J$401,$U118)="","",INDEX('Per Invoice'!J$2:J$401,$U118)))</f>
        <v/>
      </c>
      <c r="K118">
        <f>IF($U118="","",IF(INDEX('Per Invoice'!K$2:K$401,$U118)="","",INDEX('Per Invoice'!K$2:K$401,$U118)))</f>
        <v/>
      </c>
      <c r="L118" s="7">
        <f>IF($U118="","",IF(INDEX('Per Invoice'!L$2:L$401,$U118)="","",INDEX('Per Invoice'!L$2:L$401,$U118)))</f>
        <v/>
      </c>
      <c r="M118" s="7">
        <f>IF($U118="","",IF(INDEX('Per Invoice'!M$2:M$401,$U118)="","",INDEX('Per Invoice'!M$2:M$401,$U118)))</f>
        <v/>
      </c>
      <c r="N118">
        <f>IF($U118="","",IF(INDEX('Per Invoice'!N$2:N$401,$U118)="","",INDEX('Per Invoice'!N$2:N$401,$U118)))</f>
        <v/>
      </c>
      <c r="O118" s="7">
        <f>IF($U118="","",IF(INDEX('Per Invoice'!O$2:O$401,$U118)="","",INDEX('Per Invoice'!O$2:O$401,$U118)))</f>
        <v/>
      </c>
      <c r="P118" s="7">
        <f>IF($U118="","",IF(INDEX('Per Invoice'!P$2:P$401,$U118)="","",INDEX('Per Invoice'!P$2:P$401,$U118)))</f>
        <v/>
      </c>
      <c r="Q118" s="7">
        <f>IF($U118="","",IF(INDEX('Per Invoice'!Q$2:Q$401,$U118)="","",INDEX('Per Invoice'!Q$2:Q$401,$U118)))</f>
        <v/>
      </c>
      <c r="R118" s="7">
        <f>IF($U118="","",IF(INDEX('Per Invoice'!R$2:R$401,$U118)="","",INDEX('Per Invoice'!R$2:R$401,$U118)))</f>
        <v/>
      </c>
      <c r="S118" s="7">
        <f>IF($U118="","",IF(INDEX('Per Invoice'!S$2:S$401,$U118)="","",INDEX('Per Invoice'!S$2:S$401,$U118)))</f>
        <v/>
      </c>
      <c r="T118" s="7">
        <f>IF($U118="","",IF(INDEX('Per Invoice'!T$2:T$401,$U118)="","",INDEX('Per Invoice'!T$2:T$401,$U118)))</f>
        <v/>
      </c>
      <c r="U118" s="16">
        <f>IFERROR(MATCH(Settings!$C$30&amp;"|"&amp;ROWS($U$2:$U118),'Per Invoice'!$V$2:$V$401,0),"")</f>
        <v/>
      </c>
    </row>
    <row r="119">
      <c r="A119">
        <f>IF($U119="","",IF(INDEX('Per Invoice'!A$2:A$401,$U119)="","",INDEX('Per Invoice'!A$2:A$401,$U119)))</f>
        <v/>
      </c>
      <c r="B119">
        <f>IF($U119="","",IF(INDEX('Per Invoice'!B$2:B$401,$U119)="","",INDEX('Per Invoice'!B$2:B$401,$U119)))</f>
        <v/>
      </c>
      <c r="C119">
        <f>IF($U119="","",IF(INDEX('Per Invoice'!C$2:C$401,$U119)="","",INDEX('Per Invoice'!C$2:C$401,$U119)))</f>
        <v/>
      </c>
      <c r="D119">
        <f>IF($U119="","",IF(INDEX('Per Invoice'!D$2:D$401,$U119)="","",INDEX('Per Invoice'!D$2:D$401,$U119)))</f>
        <v/>
      </c>
      <c r="E119">
        <f>IF($U119="","",IF(INDEX('Per Invoice'!E$2:E$401,$U119)="","",INDEX('Per Invoice'!E$2:E$401,$U119)))</f>
        <v/>
      </c>
      <c r="F119">
        <f>IF($U119="","",IF(INDEX('Per Invoice'!F$2:F$401,$U119)="","",INDEX('Per Invoice'!F$2:F$401,$U119)))</f>
        <v/>
      </c>
      <c r="G119">
        <f>IF($U119="","",IF(INDEX('Per Invoice'!G$2:G$401,$U119)="","",INDEX('Per Invoice'!G$2:G$401,$U119)))</f>
        <v/>
      </c>
      <c r="H119" s="7">
        <f>IF($U119="","",IF(INDEX('Per Invoice'!H$2:H$401,$U119)="","",INDEX('Per Invoice'!H$2:H$401,$U119)))</f>
        <v/>
      </c>
      <c r="I119" s="14">
        <f>IF($U119="","",IF(INDEX('Per Invoice'!I$2:I$401,$U119)="","",INDEX('Per Invoice'!I$2:I$401,$U119)))</f>
        <v/>
      </c>
      <c r="J119">
        <f>IF($U119="","",IF(INDEX('Per Invoice'!J$2:J$401,$U119)="","",INDEX('Per Invoice'!J$2:J$401,$U119)))</f>
        <v/>
      </c>
      <c r="K119">
        <f>IF($U119="","",IF(INDEX('Per Invoice'!K$2:K$401,$U119)="","",INDEX('Per Invoice'!K$2:K$401,$U119)))</f>
        <v/>
      </c>
      <c r="L119" s="7">
        <f>IF($U119="","",IF(INDEX('Per Invoice'!L$2:L$401,$U119)="","",INDEX('Per Invoice'!L$2:L$401,$U119)))</f>
        <v/>
      </c>
      <c r="M119" s="7">
        <f>IF($U119="","",IF(INDEX('Per Invoice'!M$2:M$401,$U119)="","",INDEX('Per Invoice'!M$2:M$401,$U119)))</f>
        <v/>
      </c>
      <c r="N119">
        <f>IF($U119="","",IF(INDEX('Per Invoice'!N$2:N$401,$U119)="","",INDEX('Per Invoice'!N$2:N$401,$U119)))</f>
        <v/>
      </c>
      <c r="O119" s="7">
        <f>IF($U119="","",IF(INDEX('Per Invoice'!O$2:O$401,$U119)="","",INDEX('Per Invoice'!O$2:O$401,$U119)))</f>
        <v/>
      </c>
      <c r="P119" s="7">
        <f>IF($U119="","",IF(INDEX('Per Invoice'!P$2:P$401,$U119)="","",INDEX('Per Invoice'!P$2:P$401,$U119)))</f>
        <v/>
      </c>
      <c r="Q119" s="7">
        <f>IF($U119="","",IF(INDEX('Per Invoice'!Q$2:Q$401,$U119)="","",INDEX('Per Invoice'!Q$2:Q$401,$U119)))</f>
        <v/>
      </c>
      <c r="R119" s="7">
        <f>IF($U119="","",IF(INDEX('Per Invoice'!R$2:R$401,$U119)="","",INDEX('Per Invoice'!R$2:R$401,$U119)))</f>
        <v/>
      </c>
      <c r="S119" s="7">
        <f>IF($U119="","",IF(INDEX('Per Invoice'!S$2:S$401,$U119)="","",INDEX('Per Invoice'!S$2:S$401,$U119)))</f>
        <v/>
      </c>
      <c r="T119" s="7">
        <f>IF($U119="","",IF(INDEX('Per Invoice'!T$2:T$401,$U119)="","",INDEX('Per Invoice'!T$2:T$401,$U119)))</f>
        <v/>
      </c>
      <c r="U119" s="16">
        <f>IFERROR(MATCH(Settings!$C$30&amp;"|"&amp;ROWS($U$2:$U119),'Per Invoice'!$V$2:$V$401,0),"")</f>
        <v/>
      </c>
    </row>
    <row r="120">
      <c r="A120">
        <f>IF($U120="","",IF(INDEX('Per Invoice'!A$2:A$401,$U120)="","",INDEX('Per Invoice'!A$2:A$401,$U120)))</f>
        <v/>
      </c>
      <c r="B120">
        <f>IF($U120="","",IF(INDEX('Per Invoice'!B$2:B$401,$U120)="","",INDEX('Per Invoice'!B$2:B$401,$U120)))</f>
        <v/>
      </c>
      <c r="C120">
        <f>IF($U120="","",IF(INDEX('Per Invoice'!C$2:C$401,$U120)="","",INDEX('Per Invoice'!C$2:C$401,$U120)))</f>
        <v/>
      </c>
      <c r="D120">
        <f>IF($U120="","",IF(INDEX('Per Invoice'!D$2:D$401,$U120)="","",INDEX('Per Invoice'!D$2:D$401,$U120)))</f>
        <v/>
      </c>
      <c r="E120">
        <f>IF($U120="","",IF(INDEX('Per Invoice'!E$2:E$401,$U120)="","",INDEX('Per Invoice'!E$2:E$401,$U120)))</f>
        <v/>
      </c>
      <c r="F120">
        <f>IF($U120="","",IF(INDEX('Per Invoice'!F$2:F$401,$U120)="","",INDEX('Per Invoice'!F$2:F$401,$U120)))</f>
        <v/>
      </c>
      <c r="G120">
        <f>IF($U120="","",IF(INDEX('Per Invoice'!G$2:G$401,$U120)="","",INDEX('Per Invoice'!G$2:G$401,$U120)))</f>
        <v/>
      </c>
      <c r="H120" s="7">
        <f>IF($U120="","",IF(INDEX('Per Invoice'!H$2:H$401,$U120)="","",INDEX('Per Invoice'!H$2:H$401,$U120)))</f>
        <v/>
      </c>
      <c r="I120" s="14">
        <f>IF($U120="","",IF(INDEX('Per Invoice'!I$2:I$401,$U120)="","",INDEX('Per Invoice'!I$2:I$401,$U120)))</f>
        <v/>
      </c>
      <c r="J120">
        <f>IF($U120="","",IF(INDEX('Per Invoice'!J$2:J$401,$U120)="","",INDEX('Per Invoice'!J$2:J$401,$U120)))</f>
        <v/>
      </c>
      <c r="K120">
        <f>IF($U120="","",IF(INDEX('Per Invoice'!K$2:K$401,$U120)="","",INDEX('Per Invoice'!K$2:K$401,$U120)))</f>
        <v/>
      </c>
      <c r="L120" s="7">
        <f>IF($U120="","",IF(INDEX('Per Invoice'!L$2:L$401,$U120)="","",INDEX('Per Invoice'!L$2:L$401,$U120)))</f>
        <v/>
      </c>
      <c r="M120" s="7">
        <f>IF($U120="","",IF(INDEX('Per Invoice'!M$2:M$401,$U120)="","",INDEX('Per Invoice'!M$2:M$401,$U120)))</f>
        <v/>
      </c>
      <c r="N120">
        <f>IF($U120="","",IF(INDEX('Per Invoice'!N$2:N$401,$U120)="","",INDEX('Per Invoice'!N$2:N$401,$U120)))</f>
        <v/>
      </c>
      <c r="O120" s="7">
        <f>IF($U120="","",IF(INDEX('Per Invoice'!O$2:O$401,$U120)="","",INDEX('Per Invoice'!O$2:O$401,$U120)))</f>
        <v/>
      </c>
      <c r="P120" s="7">
        <f>IF($U120="","",IF(INDEX('Per Invoice'!P$2:P$401,$U120)="","",INDEX('Per Invoice'!P$2:P$401,$U120)))</f>
        <v/>
      </c>
      <c r="Q120" s="7">
        <f>IF($U120="","",IF(INDEX('Per Invoice'!Q$2:Q$401,$U120)="","",INDEX('Per Invoice'!Q$2:Q$401,$U120)))</f>
        <v/>
      </c>
      <c r="R120" s="7">
        <f>IF($U120="","",IF(INDEX('Per Invoice'!R$2:R$401,$U120)="","",INDEX('Per Invoice'!R$2:R$401,$U120)))</f>
        <v/>
      </c>
      <c r="S120" s="7">
        <f>IF($U120="","",IF(INDEX('Per Invoice'!S$2:S$401,$U120)="","",INDEX('Per Invoice'!S$2:S$401,$U120)))</f>
        <v/>
      </c>
      <c r="T120" s="7">
        <f>IF($U120="","",IF(INDEX('Per Invoice'!T$2:T$401,$U120)="","",INDEX('Per Invoice'!T$2:T$401,$U120)))</f>
        <v/>
      </c>
      <c r="U120" s="16">
        <f>IFERROR(MATCH(Settings!$C$30&amp;"|"&amp;ROWS($U$2:$U120),'Per Invoice'!$V$2:$V$401,0),"")</f>
        <v/>
      </c>
    </row>
    <row r="121">
      <c r="A121">
        <f>IF($U121="","",IF(INDEX('Per Invoice'!A$2:A$401,$U121)="","",INDEX('Per Invoice'!A$2:A$401,$U121)))</f>
        <v/>
      </c>
      <c r="B121">
        <f>IF($U121="","",IF(INDEX('Per Invoice'!B$2:B$401,$U121)="","",INDEX('Per Invoice'!B$2:B$401,$U121)))</f>
        <v/>
      </c>
      <c r="C121">
        <f>IF($U121="","",IF(INDEX('Per Invoice'!C$2:C$401,$U121)="","",INDEX('Per Invoice'!C$2:C$401,$U121)))</f>
        <v/>
      </c>
      <c r="D121">
        <f>IF($U121="","",IF(INDEX('Per Invoice'!D$2:D$401,$U121)="","",INDEX('Per Invoice'!D$2:D$401,$U121)))</f>
        <v/>
      </c>
      <c r="E121">
        <f>IF($U121="","",IF(INDEX('Per Invoice'!E$2:E$401,$U121)="","",INDEX('Per Invoice'!E$2:E$401,$U121)))</f>
        <v/>
      </c>
      <c r="F121">
        <f>IF($U121="","",IF(INDEX('Per Invoice'!F$2:F$401,$U121)="","",INDEX('Per Invoice'!F$2:F$401,$U121)))</f>
        <v/>
      </c>
      <c r="G121">
        <f>IF($U121="","",IF(INDEX('Per Invoice'!G$2:G$401,$U121)="","",INDEX('Per Invoice'!G$2:G$401,$U121)))</f>
        <v/>
      </c>
      <c r="H121" s="7">
        <f>IF($U121="","",IF(INDEX('Per Invoice'!H$2:H$401,$U121)="","",INDEX('Per Invoice'!H$2:H$401,$U121)))</f>
        <v/>
      </c>
      <c r="I121" s="14">
        <f>IF($U121="","",IF(INDEX('Per Invoice'!I$2:I$401,$U121)="","",INDEX('Per Invoice'!I$2:I$401,$U121)))</f>
        <v/>
      </c>
      <c r="J121">
        <f>IF($U121="","",IF(INDEX('Per Invoice'!J$2:J$401,$U121)="","",INDEX('Per Invoice'!J$2:J$401,$U121)))</f>
        <v/>
      </c>
      <c r="K121">
        <f>IF($U121="","",IF(INDEX('Per Invoice'!K$2:K$401,$U121)="","",INDEX('Per Invoice'!K$2:K$401,$U121)))</f>
        <v/>
      </c>
      <c r="L121" s="7">
        <f>IF($U121="","",IF(INDEX('Per Invoice'!L$2:L$401,$U121)="","",INDEX('Per Invoice'!L$2:L$401,$U121)))</f>
        <v/>
      </c>
      <c r="M121" s="7">
        <f>IF($U121="","",IF(INDEX('Per Invoice'!M$2:M$401,$U121)="","",INDEX('Per Invoice'!M$2:M$401,$U121)))</f>
        <v/>
      </c>
      <c r="N121">
        <f>IF($U121="","",IF(INDEX('Per Invoice'!N$2:N$401,$U121)="","",INDEX('Per Invoice'!N$2:N$401,$U121)))</f>
        <v/>
      </c>
      <c r="O121" s="7">
        <f>IF($U121="","",IF(INDEX('Per Invoice'!O$2:O$401,$U121)="","",INDEX('Per Invoice'!O$2:O$401,$U121)))</f>
        <v/>
      </c>
      <c r="P121" s="7">
        <f>IF($U121="","",IF(INDEX('Per Invoice'!P$2:P$401,$U121)="","",INDEX('Per Invoice'!P$2:P$401,$U121)))</f>
        <v/>
      </c>
      <c r="Q121" s="7">
        <f>IF($U121="","",IF(INDEX('Per Invoice'!Q$2:Q$401,$U121)="","",INDEX('Per Invoice'!Q$2:Q$401,$U121)))</f>
        <v/>
      </c>
      <c r="R121" s="7">
        <f>IF($U121="","",IF(INDEX('Per Invoice'!R$2:R$401,$U121)="","",INDEX('Per Invoice'!R$2:R$401,$U121)))</f>
        <v/>
      </c>
      <c r="S121" s="7">
        <f>IF($U121="","",IF(INDEX('Per Invoice'!S$2:S$401,$U121)="","",INDEX('Per Invoice'!S$2:S$401,$U121)))</f>
        <v/>
      </c>
      <c r="T121" s="7">
        <f>IF($U121="","",IF(INDEX('Per Invoice'!T$2:T$401,$U121)="","",INDEX('Per Invoice'!T$2:T$401,$U121)))</f>
        <v/>
      </c>
      <c r="U121" s="16">
        <f>IFERROR(MATCH(Settings!$C$30&amp;"|"&amp;ROWS($U$2:$U121),'Per Invoice'!$V$2:$V$401,0),"")</f>
        <v/>
      </c>
    </row>
    <row r="122">
      <c r="A122">
        <f>IF($U122="","",IF(INDEX('Per Invoice'!A$2:A$401,$U122)="","",INDEX('Per Invoice'!A$2:A$401,$U122)))</f>
        <v/>
      </c>
      <c r="B122">
        <f>IF($U122="","",IF(INDEX('Per Invoice'!B$2:B$401,$U122)="","",INDEX('Per Invoice'!B$2:B$401,$U122)))</f>
        <v/>
      </c>
      <c r="C122">
        <f>IF($U122="","",IF(INDEX('Per Invoice'!C$2:C$401,$U122)="","",INDEX('Per Invoice'!C$2:C$401,$U122)))</f>
        <v/>
      </c>
      <c r="D122">
        <f>IF($U122="","",IF(INDEX('Per Invoice'!D$2:D$401,$U122)="","",INDEX('Per Invoice'!D$2:D$401,$U122)))</f>
        <v/>
      </c>
      <c r="E122">
        <f>IF($U122="","",IF(INDEX('Per Invoice'!E$2:E$401,$U122)="","",INDEX('Per Invoice'!E$2:E$401,$U122)))</f>
        <v/>
      </c>
      <c r="F122">
        <f>IF($U122="","",IF(INDEX('Per Invoice'!F$2:F$401,$U122)="","",INDEX('Per Invoice'!F$2:F$401,$U122)))</f>
        <v/>
      </c>
      <c r="G122">
        <f>IF($U122="","",IF(INDEX('Per Invoice'!G$2:G$401,$U122)="","",INDEX('Per Invoice'!G$2:G$401,$U122)))</f>
        <v/>
      </c>
      <c r="H122" s="7">
        <f>IF($U122="","",IF(INDEX('Per Invoice'!H$2:H$401,$U122)="","",INDEX('Per Invoice'!H$2:H$401,$U122)))</f>
        <v/>
      </c>
      <c r="I122" s="14">
        <f>IF($U122="","",IF(INDEX('Per Invoice'!I$2:I$401,$U122)="","",INDEX('Per Invoice'!I$2:I$401,$U122)))</f>
        <v/>
      </c>
      <c r="J122">
        <f>IF($U122="","",IF(INDEX('Per Invoice'!J$2:J$401,$U122)="","",INDEX('Per Invoice'!J$2:J$401,$U122)))</f>
        <v/>
      </c>
      <c r="K122">
        <f>IF($U122="","",IF(INDEX('Per Invoice'!K$2:K$401,$U122)="","",INDEX('Per Invoice'!K$2:K$401,$U122)))</f>
        <v/>
      </c>
      <c r="L122" s="7">
        <f>IF($U122="","",IF(INDEX('Per Invoice'!L$2:L$401,$U122)="","",INDEX('Per Invoice'!L$2:L$401,$U122)))</f>
        <v/>
      </c>
      <c r="M122" s="7">
        <f>IF($U122="","",IF(INDEX('Per Invoice'!M$2:M$401,$U122)="","",INDEX('Per Invoice'!M$2:M$401,$U122)))</f>
        <v/>
      </c>
      <c r="N122">
        <f>IF($U122="","",IF(INDEX('Per Invoice'!N$2:N$401,$U122)="","",INDEX('Per Invoice'!N$2:N$401,$U122)))</f>
        <v/>
      </c>
      <c r="O122" s="7">
        <f>IF($U122="","",IF(INDEX('Per Invoice'!O$2:O$401,$U122)="","",INDEX('Per Invoice'!O$2:O$401,$U122)))</f>
        <v/>
      </c>
      <c r="P122" s="7">
        <f>IF($U122="","",IF(INDEX('Per Invoice'!P$2:P$401,$U122)="","",INDEX('Per Invoice'!P$2:P$401,$U122)))</f>
        <v/>
      </c>
      <c r="Q122" s="7">
        <f>IF($U122="","",IF(INDEX('Per Invoice'!Q$2:Q$401,$U122)="","",INDEX('Per Invoice'!Q$2:Q$401,$U122)))</f>
        <v/>
      </c>
      <c r="R122" s="7">
        <f>IF($U122="","",IF(INDEX('Per Invoice'!R$2:R$401,$U122)="","",INDEX('Per Invoice'!R$2:R$401,$U122)))</f>
        <v/>
      </c>
      <c r="S122" s="7">
        <f>IF($U122="","",IF(INDEX('Per Invoice'!S$2:S$401,$U122)="","",INDEX('Per Invoice'!S$2:S$401,$U122)))</f>
        <v/>
      </c>
      <c r="T122" s="7">
        <f>IF($U122="","",IF(INDEX('Per Invoice'!T$2:T$401,$U122)="","",INDEX('Per Invoice'!T$2:T$401,$U122)))</f>
        <v/>
      </c>
      <c r="U122" s="16">
        <f>IFERROR(MATCH(Settings!$C$30&amp;"|"&amp;ROWS($U$2:$U122),'Per Invoice'!$V$2:$V$401,0),"")</f>
        <v/>
      </c>
    </row>
    <row r="123">
      <c r="A123">
        <f>IF($U123="","",IF(INDEX('Per Invoice'!A$2:A$401,$U123)="","",INDEX('Per Invoice'!A$2:A$401,$U123)))</f>
        <v/>
      </c>
      <c r="B123">
        <f>IF($U123="","",IF(INDEX('Per Invoice'!B$2:B$401,$U123)="","",INDEX('Per Invoice'!B$2:B$401,$U123)))</f>
        <v/>
      </c>
      <c r="C123">
        <f>IF($U123="","",IF(INDEX('Per Invoice'!C$2:C$401,$U123)="","",INDEX('Per Invoice'!C$2:C$401,$U123)))</f>
        <v/>
      </c>
      <c r="D123">
        <f>IF($U123="","",IF(INDEX('Per Invoice'!D$2:D$401,$U123)="","",INDEX('Per Invoice'!D$2:D$401,$U123)))</f>
        <v/>
      </c>
      <c r="E123">
        <f>IF($U123="","",IF(INDEX('Per Invoice'!E$2:E$401,$U123)="","",INDEX('Per Invoice'!E$2:E$401,$U123)))</f>
        <v/>
      </c>
      <c r="F123">
        <f>IF($U123="","",IF(INDEX('Per Invoice'!F$2:F$401,$U123)="","",INDEX('Per Invoice'!F$2:F$401,$U123)))</f>
        <v/>
      </c>
      <c r="G123">
        <f>IF($U123="","",IF(INDEX('Per Invoice'!G$2:G$401,$U123)="","",INDEX('Per Invoice'!G$2:G$401,$U123)))</f>
        <v/>
      </c>
      <c r="H123" s="7">
        <f>IF($U123="","",IF(INDEX('Per Invoice'!H$2:H$401,$U123)="","",INDEX('Per Invoice'!H$2:H$401,$U123)))</f>
        <v/>
      </c>
      <c r="I123" s="14">
        <f>IF($U123="","",IF(INDEX('Per Invoice'!I$2:I$401,$U123)="","",INDEX('Per Invoice'!I$2:I$401,$U123)))</f>
        <v/>
      </c>
      <c r="J123">
        <f>IF($U123="","",IF(INDEX('Per Invoice'!J$2:J$401,$U123)="","",INDEX('Per Invoice'!J$2:J$401,$U123)))</f>
        <v/>
      </c>
      <c r="K123">
        <f>IF($U123="","",IF(INDEX('Per Invoice'!K$2:K$401,$U123)="","",INDEX('Per Invoice'!K$2:K$401,$U123)))</f>
        <v/>
      </c>
      <c r="L123" s="7">
        <f>IF($U123="","",IF(INDEX('Per Invoice'!L$2:L$401,$U123)="","",INDEX('Per Invoice'!L$2:L$401,$U123)))</f>
        <v/>
      </c>
      <c r="M123" s="7">
        <f>IF($U123="","",IF(INDEX('Per Invoice'!M$2:M$401,$U123)="","",INDEX('Per Invoice'!M$2:M$401,$U123)))</f>
        <v/>
      </c>
      <c r="N123">
        <f>IF($U123="","",IF(INDEX('Per Invoice'!N$2:N$401,$U123)="","",INDEX('Per Invoice'!N$2:N$401,$U123)))</f>
        <v/>
      </c>
      <c r="O123" s="7">
        <f>IF($U123="","",IF(INDEX('Per Invoice'!O$2:O$401,$U123)="","",INDEX('Per Invoice'!O$2:O$401,$U123)))</f>
        <v/>
      </c>
      <c r="P123" s="7">
        <f>IF($U123="","",IF(INDEX('Per Invoice'!P$2:P$401,$U123)="","",INDEX('Per Invoice'!P$2:P$401,$U123)))</f>
        <v/>
      </c>
      <c r="Q123" s="7">
        <f>IF($U123="","",IF(INDEX('Per Invoice'!Q$2:Q$401,$U123)="","",INDEX('Per Invoice'!Q$2:Q$401,$U123)))</f>
        <v/>
      </c>
      <c r="R123" s="7">
        <f>IF($U123="","",IF(INDEX('Per Invoice'!R$2:R$401,$U123)="","",INDEX('Per Invoice'!R$2:R$401,$U123)))</f>
        <v/>
      </c>
      <c r="S123" s="7">
        <f>IF($U123="","",IF(INDEX('Per Invoice'!S$2:S$401,$U123)="","",INDEX('Per Invoice'!S$2:S$401,$U123)))</f>
        <v/>
      </c>
      <c r="T123" s="7">
        <f>IF($U123="","",IF(INDEX('Per Invoice'!T$2:T$401,$U123)="","",INDEX('Per Invoice'!T$2:T$401,$U123)))</f>
        <v/>
      </c>
      <c r="U123" s="16">
        <f>IFERROR(MATCH(Settings!$C$30&amp;"|"&amp;ROWS($U$2:$U123),'Per Invoice'!$V$2:$V$401,0),"")</f>
        <v/>
      </c>
    </row>
    <row r="124">
      <c r="A124">
        <f>IF($U124="","",IF(INDEX('Per Invoice'!A$2:A$401,$U124)="","",INDEX('Per Invoice'!A$2:A$401,$U124)))</f>
        <v/>
      </c>
      <c r="B124">
        <f>IF($U124="","",IF(INDEX('Per Invoice'!B$2:B$401,$U124)="","",INDEX('Per Invoice'!B$2:B$401,$U124)))</f>
        <v/>
      </c>
      <c r="C124">
        <f>IF($U124="","",IF(INDEX('Per Invoice'!C$2:C$401,$U124)="","",INDEX('Per Invoice'!C$2:C$401,$U124)))</f>
        <v/>
      </c>
      <c r="D124">
        <f>IF($U124="","",IF(INDEX('Per Invoice'!D$2:D$401,$U124)="","",INDEX('Per Invoice'!D$2:D$401,$U124)))</f>
        <v/>
      </c>
      <c r="E124">
        <f>IF($U124="","",IF(INDEX('Per Invoice'!E$2:E$401,$U124)="","",INDEX('Per Invoice'!E$2:E$401,$U124)))</f>
        <v/>
      </c>
      <c r="F124">
        <f>IF($U124="","",IF(INDEX('Per Invoice'!F$2:F$401,$U124)="","",INDEX('Per Invoice'!F$2:F$401,$U124)))</f>
        <v/>
      </c>
      <c r="G124">
        <f>IF($U124="","",IF(INDEX('Per Invoice'!G$2:G$401,$U124)="","",INDEX('Per Invoice'!G$2:G$401,$U124)))</f>
        <v/>
      </c>
      <c r="H124" s="7">
        <f>IF($U124="","",IF(INDEX('Per Invoice'!H$2:H$401,$U124)="","",INDEX('Per Invoice'!H$2:H$401,$U124)))</f>
        <v/>
      </c>
      <c r="I124" s="14">
        <f>IF($U124="","",IF(INDEX('Per Invoice'!I$2:I$401,$U124)="","",INDEX('Per Invoice'!I$2:I$401,$U124)))</f>
        <v/>
      </c>
      <c r="J124">
        <f>IF($U124="","",IF(INDEX('Per Invoice'!J$2:J$401,$U124)="","",INDEX('Per Invoice'!J$2:J$401,$U124)))</f>
        <v/>
      </c>
      <c r="K124">
        <f>IF($U124="","",IF(INDEX('Per Invoice'!K$2:K$401,$U124)="","",INDEX('Per Invoice'!K$2:K$401,$U124)))</f>
        <v/>
      </c>
      <c r="L124" s="7">
        <f>IF($U124="","",IF(INDEX('Per Invoice'!L$2:L$401,$U124)="","",INDEX('Per Invoice'!L$2:L$401,$U124)))</f>
        <v/>
      </c>
      <c r="M124" s="7">
        <f>IF($U124="","",IF(INDEX('Per Invoice'!M$2:M$401,$U124)="","",INDEX('Per Invoice'!M$2:M$401,$U124)))</f>
        <v/>
      </c>
      <c r="N124">
        <f>IF($U124="","",IF(INDEX('Per Invoice'!N$2:N$401,$U124)="","",INDEX('Per Invoice'!N$2:N$401,$U124)))</f>
        <v/>
      </c>
      <c r="O124" s="7">
        <f>IF($U124="","",IF(INDEX('Per Invoice'!O$2:O$401,$U124)="","",INDEX('Per Invoice'!O$2:O$401,$U124)))</f>
        <v/>
      </c>
      <c r="P124" s="7">
        <f>IF($U124="","",IF(INDEX('Per Invoice'!P$2:P$401,$U124)="","",INDEX('Per Invoice'!P$2:P$401,$U124)))</f>
        <v/>
      </c>
      <c r="Q124" s="7">
        <f>IF($U124="","",IF(INDEX('Per Invoice'!Q$2:Q$401,$U124)="","",INDEX('Per Invoice'!Q$2:Q$401,$U124)))</f>
        <v/>
      </c>
      <c r="R124" s="7">
        <f>IF($U124="","",IF(INDEX('Per Invoice'!R$2:R$401,$U124)="","",INDEX('Per Invoice'!R$2:R$401,$U124)))</f>
        <v/>
      </c>
      <c r="S124" s="7">
        <f>IF($U124="","",IF(INDEX('Per Invoice'!S$2:S$401,$U124)="","",INDEX('Per Invoice'!S$2:S$401,$U124)))</f>
        <v/>
      </c>
      <c r="T124" s="7">
        <f>IF($U124="","",IF(INDEX('Per Invoice'!T$2:T$401,$U124)="","",INDEX('Per Invoice'!T$2:T$401,$U124)))</f>
        <v/>
      </c>
      <c r="U124" s="16">
        <f>IFERROR(MATCH(Settings!$C$30&amp;"|"&amp;ROWS($U$2:$U124),'Per Invoice'!$V$2:$V$401,0),"")</f>
        <v/>
      </c>
    </row>
    <row r="125">
      <c r="A125">
        <f>IF($U125="","",IF(INDEX('Per Invoice'!A$2:A$401,$U125)="","",INDEX('Per Invoice'!A$2:A$401,$U125)))</f>
        <v/>
      </c>
      <c r="B125">
        <f>IF($U125="","",IF(INDEX('Per Invoice'!B$2:B$401,$U125)="","",INDEX('Per Invoice'!B$2:B$401,$U125)))</f>
        <v/>
      </c>
      <c r="C125">
        <f>IF($U125="","",IF(INDEX('Per Invoice'!C$2:C$401,$U125)="","",INDEX('Per Invoice'!C$2:C$401,$U125)))</f>
        <v/>
      </c>
      <c r="D125">
        <f>IF($U125="","",IF(INDEX('Per Invoice'!D$2:D$401,$U125)="","",INDEX('Per Invoice'!D$2:D$401,$U125)))</f>
        <v/>
      </c>
      <c r="E125">
        <f>IF($U125="","",IF(INDEX('Per Invoice'!E$2:E$401,$U125)="","",INDEX('Per Invoice'!E$2:E$401,$U125)))</f>
        <v/>
      </c>
      <c r="F125">
        <f>IF($U125="","",IF(INDEX('Per Invoice'!F$2:F$401,$U125)="","",INDEX('Per Invoice'!F$2:F$401,$U125)))</f>
        <v/>
      </c>
      <c r="G125">
        <f>IF($U125="","",IF(INDEX('Per Invoice'!G$2:G$401,$U125)="","",INDEX('Per Invoice'!G$2:G$401,$U125)))</f>
        <v/>
      </c>
      <c r="H125" s="7">
        <f>IF($U125="","",IF(INDEX('Per Invoice'!H$2:H$401,$U125)="","",INDEX('Per Invoice'!H$2:H$401,$U125)))</f>
        <v/>
      </c>
      <c r="I125" s="14">
        <f>IF($U125="","",IF(INDEX('Per Invoice'!I$2:I$401,$U125)="","",INDEX('Per Invoice'!I$2:I$401,$U125)))</f>
        <v/>
      </c>
      <c r="J125">
        <f>IF($U125="","",IF(INDEX('Per Invoice'!J$2:J$401,$U125)="","",INDEX('Per Invoice'!J$2:J$401,$U125)))</f>
        <v/>
      </c>
      <c r="K125">
        <f>IF($U125="","",IF(INDEX('Per Invoice'!K$2:K$401,$U125)="","",INDEX('Per Invoice'!K$2:K$401,$U125)))</f>
        <v/>
      </c>
      <c r="L125" s="7">
        <f>IF($U125="","",IF(INDEX('Per Invoice'!L$2:L$401,$U125)="","",INDEX('Per Invoice'!L$2:L$401,$U125)))</f>
        <v/>
      </c>
      <c r="M125" s="7">
        <f>IF($U125="","",IF(INDEX('Per Invoice'!M$2:M$401,$U125)="","",INDEX('Per Invoice'!M$2:M$401,$U125)))</f>
        <v/>
      </c>
      <c r="N125">
        <f>IF($U125="","",IF(INDEX('Per Invoice'!N$2:N$401,$U125)="","",INDEX('Per Invoice'!N$2:N$401,$U125)))</f>
        <v/>
      </c>
      <c r="O125" s="7">
        <f>IF($U125="","",IF(INDEX('Per Invoice'!O$2:O$401,$U125)="","",INDEX('Per Invoice'!O$2:O$401,$U125)))</f>
        <v/>
      </c>
      <c r="P125" s="7">
        <f>IF($U125="","",IF(INDEX('Per Invoice'!P$2:P$401,$U125)="","",INDEX('Per Invoice'!P$2:P$401,$U125)))</f>
        <v/>
      </c>
      <c r="Q125" s="7">
        <f>IF($U125="","",IF(INDEX('Per Invoice'!Q$2:Q$401,$U125)="","",INDEX('Per Invoice'!Q$2:Q$401,$U125)))</f>
        <v/>
      </c>
      <c r="R125" s="7">
        <f>IF($U125="","",IF(INDEX('Per Invoice'!R$2:R$401,$U125)="","",INDEX('Per Invoice'!R$2:R$401,$U125)))</f>
        <v/>
      </c>
      <c r="S125" s="7">
        <f>IF($U125="","",IF(INDEX('Per Invoice'!S$2:S$401,$U125)="","",INDEX('Per Invoice'!S$2:S$401,$U125)))</f>
        <v/>
      </c>
      <c r="T125" s="7">
        <f>IF($U125="","",IF(INDEX('Per Invoice'!T$2:T$401,$U125)="","",INDEX('Per Invoice'!T$2:T$401,$U125)))</f>
        <v/>
      </c>
      <c r="U125" s="16">
        <f>IFERROR(MATCH(Settings!$C$30&amp;"|"&amp;ROWS($U$2:$U125),'Per Invoice'!$V$2:$V$401,0),"")</f>
        <v/>
      </c>
    </row>
    <row r="126">
      <c r="A126">
        <f>IF($U126="","",IF(INDEX('Per Invoice'!A$2:A$401,$U126)="","",INDEX('Per Invoice'!A$2:A$401,$U126)))</f>
        <v/>
      </c>
      <c r="B126">
        <f>IF($U126="","",IF(INDEX('Per Invoice'!B$2:B$401,$U126)="","",INDEX('Per Invoice'!B$2:B$401,$U126)))</f>
        <v/>
      </c>
      <c r="C126">
        <f>IF($U126="","",IF(INDEX('Per Invoice'!C$2:C$401,$U126)="","",INDEX('Per Invoice'!C$2:C$401,$U126)))</f>
        <v/>
      </c>
      <c r="D126">
        <f>IF($U126="","",IF(INDEX('Per Invoice'!D$2:D$401,$U126)="","",INDEX('Per Invoice'!D$2:D$401,$U126)))</f>
        <v/>
      </c>
      <c r="E126">
        <f>IF($U126="","",IF(INDEX('Per Invoice'!E$2:E$401,$U126)="","",INDEX('Per Invoice'!E$2:E$401,$U126)))</f>
        <v/>
      </c>
      <c r="F126">
        <f>IF($U126="","",IF(INDEX('Per Invoice'!F$2:F$401,$U126)="","",INDEX('Per Invoice'!F$2:F$401,$U126)))</f>
        <v/>
      </c>
      <c r="G126">
        <f>IF($U126="","",IF(INDEX('Per Invoice'!G$2:G$401,$U126)="","",INDEX('Per Invoice'!G$2:G$401,$U126)))</f>
        <v/>
      </c>
      <c r="H126" s="7">
        <f>IF($U126="","",IF(INDEX('Per Invoice'!H$2:H$401,$U126)="","",INDEX('Per Invoice'!H$2:H$401,$U126)))</f>
        <v/>
      </c>
      <c r="I126" s="14">
        <f>IF($U126="","",IF(INDEX('Per Invoice'!I$2:I$401,$U126)="","",INDEX('Per Invoice'!I$2:I$401,$U126)))</f>
        <v/>
      </c>
      <c r="J126">
        <f>IF($U126="","",IF(INDEX('Per Invoice'!J$2:J$401,$U126)="","",INDEX('Per Invoice'!J$2:J$401,$U126)))</f>
        <v/>
      </c>
      <c r="K126">
        <f>IF($U126="","",IF(INDEX('Per Invoice'!K$2:K$401,$U126)="","",INDEX('Per Invoice'!K$2:K$401,$U126)))</f>
        <v/>
      </c>
      <c r="L126" s="7">
        <f>IF($U126="","",IF(INDEX('Per Invoice'!L$2:L$401,$U126)="","",INDEX('Per Invoice'!L$2:L$401,$U126)))</f>
        <v/>
      </c>
      <c r="M126" s="7">
        <f>IF($U126="","",IF(INDEX('Per Invoice'!M$2:M$401,$U126)="","",INDEX('Per Invoice'!M$2:M$401,$U126)))</f>
        <v/>
      </c>
      <c r="N126">
        <f>IF($U126="","",IF(INDEX('Per Invoice'!N$2:N$401,$U126)="","",INDEX('Per Invoice'!N$2:N$401,$U126)))</f>
        <v/>
      </c>
      <c r="O126" s="7">
        <f>IF($U126="","",IF(INDEX('Per Invoice'!O$2:O$401,$U126)="","",INDEX('Per Invoice'!O$2:O$401,$U126)))</f>
        <v/>
      </c>
      <c r="P126" s="7">
        <f>IF($U126="","",IF(INDEX('Per Invoice'!P$2:P$401,$U126)="","",INDEX('Per Invoice'!P$2:P$401,$U126)))</f>
        <v/>
      </c>
      <c r="Q126" s="7">
        <f>IF($U126="","",IF(INDEX('Per Invoice'!Q$2:Q$401,$U126)="","",INDEX('Per Invoice'!Q$2:Q$401,$U126)))</f>
        <v/>
      </c>
      <c r="R126" s="7">
        <f>IF($U126="","",IF(INDEX('Per Invoice'!R$2:R$401,$U126)="","",INDEX('Per Invoice'!R$2:R$401,$U126)))</f>
        <v/>
      </c>
      <c r="S126" s="7">
        <f>IF($U126="","",IF(INDEX('Per Invoice'!S$2:S$401,$U126)="","",INDEX('Per Invoice'!S$2:S$401,$U126)))</f>
        <v/>
      </c>
      <c r="T126" s="7">
        <f>IF($U126="","",IF(INDEX('Per Invoice'!T$2:T$401,$U126)="","",INDEX('Per Invoice'!T$2:T$401,$U126)))</f>
        <v/>
      </c>
      <c r="U126" s="16">
        <f>IFERROR(MATCH(Settings!$C$30&amp;"|"&amp;ROWS($U$2:$U126),'Per Invoice'!$V$2:$V$401,0),"")</f>
        <v/>
      </c>
    </row>
    <row r="127">
      <c r="A127">
        <f>IF($U127="","",IF(INDEX('Per Invoice'!A$2:A$401,$U127)="","",INDEX('Per Invoice'!A$2:A$401,$U127)))</f>
        <v/>
      </c>
      <c r="B127">
        <f>IF($U127="","",IF(INDEX('Per Invoice'!B$2:B$401,$U127)="","",INDEX('Per Invoice'!B$2:B$401,$U127)))</f>
        <v/>
      </c>
      <c r="C127">
        <f>IF($U127="","",IF(INDEX('Per Invoice'!C$2:C$401,$U127)="","",INDEX('Per Invoice'!C$2:C$401,$U127)))</f>
        <v/>
      </c>
      <c r="D127">
        <f>IF($U127="","",IF(INDEX('Per Invoice'!D$2:D$401,$U127)="","",INDEX('Per Invoice'!D$2:D$401,$U127)))</f>
        <v/>
      </c>
      <c r="E127">
        <f>IF($U127="","",IF(INDEX('Per Invoice'!E$2:E$401,$U127)="","",INDEX('Per Invoice'!E$2:E$401,$U127)))</f>
        <v/>
      </c>
      <c r="F127">
        <f>IF($U127="","",IF(INDEX('Per Invoice'!F$2:F$401,$U127)="","",INDEX('Per Invoice'!F$2:F$401,$U127)))</f>
        <v/>
      </c>
      <c r="G127">
        <f>IF($U127="","",IF(INDEX('Per Invoice'!G$2:G$401,$U127)="","",INDEX('Per Invoice'!G$2:G$401,$U127)))</f>
        <v/>
      </c>
      <c r="H127" s="7">
        <f>IF($U127="","",IF(INDEX('Per Invoice'!H$2:H$401,$U127)="","",INDEX('Per Invoice'!H$2:H$401,$U127)))</f>
        <v/>
      </c>
      <c r="I127" s="14">
        <f>IF($U127="","",IF(INDEX('Per Invoice'!I$2:I$401,$U127)="","",INDEX('Per Invoice'!I$2:I$401,$U127)))</f>
        <v/>
      </c>
      <c r="J127">
        <f>IF($U127="","",IF(INDEX('Per Invoice'!J$2:J$401,$U127)="","",INDEX('Per Invoice'!J$2:J$401,$U127)))</f>
        <v/>
      </c>
      <c r="K127">
        <f>IF($U127="","",IF(INDEX('Per Invoice'!K$2:K$401,$U127)="","",INDEX('Per Invoice'!K$2:K$401,$U127)))</f>
        <v/>
      </c>
      <c r="L127" s="7">
        <f>IF($U127="","",IF(INDEX('Per Invoice'!L$2:L$401,$U127)="","",INDEX('Per Invoice'!L$2:L$401,$U127)))</f>
        <v/>
      </c>
      <c r="M127" s="7">
        <f>IF($U127="","",IF(INDEX('Per Invoice'!M$2:M$401,$U127)="","",INDEX('Per Invoice'!M$2:M$401,$U127)))</f>
        <v/>
      </c>
      <c r="N127">
        <f>IF($U127="","",IF(INDEX('Per Invoice'!N$2:N$401,$U127)="","",INDEX('Per Invoice'!N$2:N$401,$U127)))</f>
        <v/>
      </c>
      <c r="O127" s="7">
        <f>IF($U127="","",IF(INDEX('Per Invoice'!O$2:O$401,$U127)="","",INDEX('Per Invoice'!O$2:O$401,$U127)))</f>
        <v/>
      </c>
      <c r="P127" s="7">
        <f>IF($U127="","",IF(INDEX('Per Invoice'!P$2:P$401,$U127)="","",INDEX('Per Invoice'!P$2:P$401,$U127)))</f>
        <v/>
      </c>
      <c r="Q127" s="7">
        <f>IF($U127="","",IF(INDEX('Per Invoice'!Q$2:Q$401,$U127)="","",INDEX('Per Invoice'!Q$2:Q$401,$U127)))</f>
        <v/>
      </c>
      <c r="R127" s="7">
        <f>IF($U127="","",IF(INDEX('Per Invoice'!R$2:R$401,$U127)="","",INDEX('Per Invoice'!R$2:R$401,$U127)))</f>
        <v/>
      </c>
      <c r="S127" s="7">
        <f>IF($U127="","",IF(INDEX('Per Invoice'!S$2:S$401,$U127)="","",INDEX('Per Invoice'!S$2:S$401,$U127)))</f>
        <v/>
      </c>
      <c r="T127" s="7">
        <f>IF($U127="","",IF(INDEX('Per Invoice'!T$2:T$401,$U127)="","",INDEX('Per Invoice'!T$2:T$401,$U127)))</f>
        <v/>
      </c>
      <c r="U127" s="16">
        <f>IFERROR(MATCH(Settings!$C$30&amp;"|"&amp;ROWS($U$2:$U127),'Per Invoice'!$V$2:$V$401,0),"")</f>
        <v/>
      </c>
    </row>
    <row r="128">
      <c r="A128">
        <f>IF($U128="","",IF(INDEX('Per Invoice'!A$2:A$401,$U128)="","",INDEX('Per Invoice'!A$2:A$401,$U128)))</f>
        <v/>
      </c>
      <c r="B128">
        <f>IF($U128="","",IF(INDEX('Per Invoice'!B$2:B$401,$U128)="","",INDEX('Per Invoice'!B$2:B$401,$U128)))</f>
        <v/>
      </c>
      <c r="C128">
        <f>IF($U128="","",IF(INDEX('Per Invoice'!C$2:C$401,$U128)="","",INDEX('Per Invoice'!C$2:C$401,$U128)))</f>
        <v/>
      </c>
      <c r="D128">
        <f>IF($U128="","",IF(INDEX('Per Invoice'!D$2:D$401,$U128)="","",INDEX('Per Invoice'!D$2:D$401,$U128)))</f>
        <v/>
      </c>
      <c r="E128">
        <f>IF($U128="","",IF(INDEX('Per Invoice'!E$2:E$401,$U128)="","",INDEX('Per Invoice'!E$2:E$401,$U128)))</f>
        <v/>
      </c>
      <c r="F128">
        <f>IF($U128="","",IF(INDEX('Per Invoice'!F$2:F$401,$U128)="","",INDEX('Per Invoice'!F$2:F$401,$U128)))</f>
        <v/>
      </c>
      <c r="G128">
        <f>IF($U128="","",IF(INDEX('Per Invoice'!G$2:G$401,$U128)="","",INDEX('Per Invoice'!G$2:G$401,$U128)))</f>
        <v/>
      </c>
      <c r="H128" s="7">
        <f>IF($U128="","",IF(INDEX('Per Invoice'!H$2:H$401,$U128)="","",INDEX('Per Invoice'!H$2:H$401,$U128)))</f>
        <v/>
      </c>
      <c r="I128" s="14">
        <f>IF($U128="","",IF(INDEX('Per Invoice'!I$2:I$401,$U128)="","",INDEX('Per Invoice'!I$2:I$401,$U128)))</f>
        <v/>
      </c>
      <c r="J128">
        <f>IF($U128="","",IF(INDEX('Per Invoice'!J$2:J$401,$U128)="","",INDEX('Per Invoice'!J$2:J$401,$U128)))</f>
        <v/>
      </c>
      <c r="K128">
        <f>IF($U128="","",IF(INDEX('Per Invoice'!K$2:K$401,$U128)="","",INDEX('Per Invoice'!K$2:K$401,$U128)))</f>
        <v/>
      </c>
      <c r="L128" s="7">
        <f>IF($U128="","",IF(INDEX('Per Invoice'!L$2:L$401,$U128)="","",INDEX('Per Invoice'!L$2:L$401,$U128)))</f>
        <v/>
      </c>
      <c r="M128" s="7">
        <f>IF($U128="","",IF(INDEX('Per Invoice'!M$2:M$401,$U128)="","",INDEX('Per Invoice'!M$2:M$401,$U128)))</f>
        <v/>
      </c>
      <c r="N128">
        <f>IF($U128="","",IF(INDEX('Per Invoice'!N$2:N$401,$U128)="","",INDEX('Per Invoice'!N$2:N$401,$U128)))</f>
        <v/>
      </c>
      <c r="O128" s="7">
        <f>IF($U128="","",IF(INDEX('Per Invoice'!O$2:O$401,$U128)="","",INDEX('Per Invoice'!O$2:O$401,$U128)))</f>
        <v/>
      </c>
      <c r="P128" s="7">
        <f>IF($U128="","",IF(INDEX('Per Invoice'!P$2:P$401,$U128)="","",INDEX('Per Invoice'!P$2:P$401,$U128)))</f>
        <v/>
      </c>
      <c r="Q128" s="7">
        <f>IF($U128="","",IF(INDEX('Per Invoice'!Q$2:Q$401,$U128)="","",INDEX('Per Invoice'!Q$2:Q$401,$U128)))</f>
        <v/>
      </c>
      <c r="R128" s="7">
        <f>IF($U128="","",IF(INDEX('Per Invoice'!R$2:R$401,$U128)="","",INDEX('Per Invoice'!R$2:R$401,$U128)))</f>
        <v/>
      </c>
      <c r="S128" s="7">
        <f>IF($U128="","",IF(INDEX('Per Invoice'!S$2:S$401,$U128)="","",INDEX('Per Invoice'!S$2:S$401,$U128)))</f>
        <v/>
      </c>
      <c r="T128" s="7">
        <f>IF($U128="","",IF(INDEX('Per Invoice'!T$2:T$401,$U128)="","",INDEX('Per Invoice'!T$2:T$401,$U128)))</f>
        <v/>
      </c>
      <c r="U128" s="16">
        <f>IFERROR(MATCH(Settings!$C$30&amp;"|"&amp;ROWS($U$2:$U128),'Per Invoice'!$V$2:$V$401,0),"")</f>
        <v/>
      </c>
    </row>
    <row r="129">
      <c r="A129">
        <f>IF($U129="","",IF(INDEX('Per Invoice'!A$2:A$401,$U129)="","",INDEX('Per Invoice'!A$2:A$401,$U129)))</f>
        <v/>
      </c>
      <c r="B129">
        <f>IF($U129="","",IF(INDEX('Per Invoice'!B$2:B$401,$U129)="","",INDEX('Per Invoice'!B$2:B$401,$U129)))</f>
        <v/>
      </c>
      <c r="C129">
        <f>IF($U129="","",IF(INDEX('Per Invoice'!C$2:C$401,$U129)="","",INDEX('Per Invoice'!C$2:C$401,$U129)))</f>
        <v/>
      </c>
      <c r="D129">
        <f>IF($U129="","",IF(INDEX('Per Invoice'!D$2:D$401,$U129)="","",INDEX('Per Invoice'!D$2:D$401,$U129)))</f>
        <v/>
      </c>
      <c r="E129">
        <f>IF($U129="","",IF(INDEX('Per Invoice'!E$2:E$401,$U129)="","",INDEX('Per Invoice'!E$2:E$401,$U129)))</f>
        <v/>
      </c>
      <c r="F129">
        <f>IF($U129="","",IF(INDEX('Per Invoice'!F$2:F$401,$U129)="","",INDEX('Per Invoice'!F$2:F$401,$U129)))</f>
        <v/>
      </c>
      <c r="G129">
        <f>IF($U129="","",IF(INDEX('Per Invoice'!G$2:G$401,$U129)="","",INDEX('Per Invoice'!G$2:G$401,$U129)))</f>
        <v/>
      </c>
      <c r="H129" s="7">
        <f>IF($U129="","",IF(INDEX('Per Invoice'!H$2:H$401,$U129)="","",INDEX('Per Invoice'!H$2:H$401,$U129)))</f>
        <v/>
      </c>
      <c r="I129" s="14">
        <f>IF($U129="","",IF(INDEX('Per Invoice'!I$2:I$401,$U129)="","",INDEX('Per Invoice'!I$2:I$401,$U129)))</f>
        <v/>
      </c>
      <c r="J129">
        <f>IF($U129="","",IF(INDEX('Per Invoice'!J$2:J$401,$U129)="","",INDEX('Per Invoice'!J$2:J$401,$U129)))</f>
        <v/>
      </c>
      <c r="K129">
        <f>IF($U129="","",IF(INDEX('Per Invoice'!K$2:K$401,$U129)="","",INDEX('Per Invoice'!K$2:K$401,$U129)))</f>
        <v/>
      </c>
      <c r="L129" s="7">
        <f>IF($U129="","",IF(INDEX('Per Invoice'!L$2:L$401,$U129)="","",INDEX('Per Invoice'!L$2:L$401,$U129)))</f>
        <v/>
      </c>
      <c r="M129" s="7">
        <f>IF($U129="","",IF(INDEX('Per Invoice'!M$2:M$401,$U129)="","",INDEX('Per Invoice'!M$2:M$401,$U129)))</f>
        <v/>
      </c>
      <c r="N129">
        <f>IF($U129="","",IF(INDEX('Per Invoice'!N$2:N$401,$U129)="","",INDEX('Per Invoice'!N$2:N$401,$U129)))</f>
        <v/>
      </c>
      <c r="O129" s="7">
        <f>IF($U129="","",IF(INDEX('Per Invoice'!O$2:O$401,$U129)="","",INDEX('Per Invoice'!O$2:O$401,$U129)))</f>
        <v/>
      </c>
      <c r="P129" s="7">
        <f>IF($U129="","",IF(INDEX('Per Invoice'!P$2:P$401,$U129)="","",INDEX('Per Invoice'!P$2:P$401,$U129)))</f>
        <v/>
      </c>
      <c r="Q129" s="7">
        <f>IF($U129="","",IF(INDEX('Per Invoice'!Q$2:Q$401,$U129)="","",INDEX('Per Invoice'!Q$2:Q$401,$U129)))</f>
        <v/>
      </c>
      <c r="R129" s="7">
        <f>IF($U129="","",IF(INDEX('Per Invoice'!R$2:R$401,$U129)="","",INDEX('Per Invoice'!R$2:R$401,$U129)))</f>
        <v/>
      </c>
      <c r="S129" s="7">
        <f>IF($U129="","",IF(INDEX('Per Invoice'!S$2:S$401,$U129)="","",INDEX('Per Invoice'!S$2:S$401,$U129)))</f>
        <v/>
      </c>
      <c r="T129" s="7">
        <f>IF($U129="","",IF(INDEX('Per Invoice'!T$2:T$401,$U129)="","",INDEX('Per Invoice'!T$2:T$401,$U129)))</f>
        <v/>
      </c>
      <c r="U129" s="16">
        <f>IFERROR(MATCH(Settings!$C$30&amp;"|"&amp;ROWS($U$2:$U129),'Per Invoice'!$V$2:$V$401,0),"")</f>
        <v/>
      </c>
    </row>
    <row r="130">
      <c r="A130">
        <f>IF($U130="","",IF(INDEX('Per Invoice'!A$2:A$401,$U130)="","",INDEX('Per Invoice'!A$2:A$401,$U130)))</f>
        <v/>
      </c>
      <c r="B130">
        <f>IF($U130="","",IF(INDEX('Per Invoice'!B$2:B$401,$U130)="","",INDEX('Per Invoice'!B$2:B$401,$U130)))</f>
        <v/>
      </c>
      <c r="C130">
        <f>IF($U130="","",IF(INDEX('Per Invoice'!C$2:C$401,$U130)="","",INDEX('Per Invoice'!C$2:C$401,$U130)))</f>
        <v/>
      </c>
      <c r="D130">
        <f>IF($U130="","",IF(INDEX('Per Invoice'!D$2:D$401,$U130)="","",INDEX('Per Invoice'!D$2:D$401,$U130)))</f>
        <v/>
      </c>
      <c r="E130">
        <f>IF($U130="","",IF(INDEX('Per Invoice'!E$2:E$401,$U130)="","",INDEX('Per Invoice'!E$2:E$401,$U130)))</f>
        <v/>
      </c>
      <c r="F130">
        <f>IF($U130="","",IF(INDEX('Per Invoice'!F$2:F$401,$U130)="","",INDEX('Per Invoice'!F$2:F$401,$U130)))</f>
        <v/>
      </c>
      <c r="G130">
        <f>IF($U130="","",IF(INDEX('Per Invoice'!G$2:G$401,$U130)="","",INDEX('Per Invoice'!G$2:G$401,$U130)))</f>
        <v/>
      </c>
      <c r="H130" s="7">
        <f>IF($U130="","",IF(INDEX('Per Invoice'!H$2:H$401,$U130)="","",INDEX('Per Invoice'!H$2:H$401,$U130)))</f>
        <v/>
      </c>
      <c r="I130" s="14">
        <f>IF($U130="","",IF(INDEX('Per Invoice'!I$2:I$401,$U130)="","",INDEX('Per Invoice'!I$2:I$401,$U130)))</f>
        <v/>
      </c>
      <c r="J130">
        <f>IF($U130="","",IF(INDEX('Per Invoice'!J$2:J$401,$U130)="","",INDEX('Per Invoice'!J$2:J$401,$U130)))</f>
        <v/>
      </c>
      <c r="K130">
        <f>IF($U130="","",IF(INDEX('Per Invoice'!K$2:K$401,$U130)="","",INDEX('Per Invoice'!K$2:K$401,$U130)))</f>
        <v/>
      </c>
      <c r="L130" s="7">
        <f>IF($U130="","",IF(INDEX('Per Invoice'!L$2:L$401,$U130)="","",INDEX('Per Invoice'!L$2:L$401,$U130)))</f>
        <v/>
      </c>
      <c r="M130" s="7">
        <f>IF($U130="","",IF(INDEX('Per Invoice'!M$2:M$401,$U130)="","",INDEX('Per Invoice'!M$2:M$401,$U130)))</f>
        <v/>
      </c>
      <c r="N130">
        <f>IF($U130="","",IF(INDEX('Per Invoice'!N$2:N$401,$U130)="","",INDEX('Per Invoice'!N$2:N$401,$U130)))</f>
        <v/>
      </c>
      <c r="O130" s="7">
        <f>IF($U130="","",IF(INDEX('Per Invoice'!O$2:O$401,$U130)="","",INDEX('Per Invoice'!O$2:O$401,$U130)))</f>
        <v/>
      </c>
      <c r="P130" s="7">
        <f>IF($U130="","",IF(INDEX('Per Invoice'!P$2:P$401,$U130)="","",INDEX('Per Invoice'!P$2:P$401,$U130)))</f>
        <v/>
      </c>
      <c r="Q130" s="7">
        <f>IF($U130="","",IF(INDEX('Per Invoice'!Q$2:Q$401,$U130)="","",INDEX('Per Invoice'!Q$2:Q$401,$U130)))</f>
        <v/>
      </c>
      <c r="R130" s="7">
        <f>IF($U130="","",IF(INDEX('Per Invoice'!R$2:R$401,$U130)="","",INDEX('Per Invoice'!R$2:R$401,$U130)))</f>
        <v/>
      </c>
      <c r="S130" s="7">
        <f>IF($U130="","",IF(INDEX('Per Invoice'!S$2:S$401,$U130)="","",INDEX('Per Invoice'!S$2:S$401,$U130)))</f>
        <v/>
      </c>
      <c r="T130" s="7">
        <f>IF($U130="","",IF(INDEX('Per Invoice'!T$2:T$401,$U130)="","",INDEX('Per Invoice'!T$2:T$401,$U130)))</f>
        <v/>
      </c>
      <c r="U130" s="16">
        <f>IFERROR(MATCH(Settings!$C$30&amp;"|"&amp;ROWS($U$2:$U130),'Per Invoice'!$V$2:$V$401,0),"")</f>
        <v/>
      </c>
    </row>
    <row r="131">
      <c r="A131">
        <f>IF($U131="","",IF(INDEX('Per Invoice'!A$2:A$401,$U131)="","",INDEX('Per Invoice'!A$2:A$401,$U131)))</f>
        <v/>
      </c>
      <c r="B131">
        <f>IF($U131="","",IF(INDEX('Per Invoice'!B$2:B$401,$U131)="","",INDEX('Per Invoice'!B$2:B$401,$U131)))</f>
        <v/>
      </c>
      <c r="C131">
        <f>IF($U131="","",IF(INDEX('Per Invoice'!C$2:C$401,$U131)="","",INDEX('Per Invoice'!C$2:C$401,$U131)))</f>
        <v/>
      </c>
      <c r="D131">
        <f>IF($U131="","",IF(INDEX('Per Invoice'!D$2:D$401,$U131)="","",INDEX('Per Invoice'!D$2:D$401,$U131)))</f>
        <v/>
      </c>
      <c r="E131">
        <f>IF($U131="","",IF(INDEX('Per Invoice'!E$2:E$401,$U131)="","",INDEX('Per Invoice'!E$2:E$401,$U131)))</f>
        <v/>
      </c>
      <c r="F131">
        <f>IF($U131="","",IF(INDEX('Per Invoice'!F$2:F$401,$U131)="","",INDEX('Per Invoice'!F$2:F$401,$U131)))</f>
        <v/>
      </c>
      <c r="G131">
        <f>IF($U131="","",IF(INDEX('Per Invoice'!G$2:G$401,$U131)="","",INDEX('Per Invoice'!G$2:G$401,$U131)))</f>
        <v/>
      </c>
      <c r="H131" s="7">
        <f>IF($U131="","",IF(INDEX('Per Invoice'!H$2:H$401,$U131)="","",INDEX('Per Invoice'!H$2:H$401,$U131)))</f>
        <v/>
      </c>
      <c r="I131" s="14">
        <f>IF($U131="","",IF(INDEX('Per Invoice'!I$2:I$401,$U131)="","",INDEX('Per Invoice'!I$2:I$401,$U131)))</f>
        <v/>
      </c>
      <c r="J131">
        <f>IF($U131="","",IF(INDEX('Per Invoice'!J$2:J$401,$U131)="","",INDEX('Per Invoice'!J$2:J$401,$U131)))</f>
        <v/>
      </c>
      <c r="K131">
        <f>IF($U131="","",IF(INDEX('Per Invoice'!K$2:K$401,$U131)="","",INDEX('Per Invoice'!K$2:K$401,$U131)))</f>
        <v/>
      </c>
      <c r="L131" s="7">
        <f>IF($U131="","",IF(INDEX('Per Invoice'!L$2:L$401,$U131)="","",INDEX('Per Invoice'!L$2:L$401,$U131)))</f>
        <v/>
      </c>
      <c r="M131" s="7">
        <f>IF($U131="","",IF(INDEX('Per Invoice'!M$2:M$401,$U131)="","",INDEX('Per Invoice'!M$2:M$401,$U131)))</f>
        <v/>
      </c>
      <c r="N131">
        <f>IF($U131="","",IF(INDEX('Per Invoice'!N$2:N$401,$U131)="","",INDEX('Per Invoice'!N$2:N$401,$U131)))</f>
        <v/>
      </c>
      <c r="O131" s="7">
        <f>IF($U131="","",IF(INDEX('Per Invoice'!O$2:O$401,$U131)="","",INDEX('Per Invoice'!O$2:O$401,$U131)))</f>
        <v/>
      </c>
      <c r="P131" s="7">
        <f>IF($U131="","",IF(INDEX('Per Invoice'!P$2:P$401,$U131)="","",INDEX('Per Invoice'!P$2:P$401,$U131)))</f>
        <v/>
      </c>
      <c r="Q131" s="7">
        <f>IF($U131="","",IF(INDEX('Per Invoice'!Q$2:Q$401,$U131)="","",INDEX('Per Invoice'!Q$2:Q$401,$U131)))</f>
        <v/>
      </c>
      <c r="R131" s="7">
        <f>IF($U131="","",IF(INDEX('Per Invoice'!R$2:R$401,$U131)="","",INDEX('Per Invoice'!R$2:R$401,$U131)))</f>
        <v/>
      </c>
      <c r="S131" s="7">
        <f>IF($U131="","",IF(INDEX('Per Invoice'!S$2:S$401,$U131)="","",INDEX('Per Invoice'!S$2:S$401,$U131)))</f>
        <v/>
      </c>
      <c r="T131" s="7">
        <f>IF($U131="","",IF(INDEX('Per Invoice'!T$2:T$401,$U131)="","",INDEX('Per Invoice'!T$2:T$401,$U131)))</f>
        <v/>
      </c>
      <c r="U131" s="16">
        <f>IFERROR(MATCH(Settings!$C$30&amp;"|"&amp;ROWS($U$2:$U131),'Per Invoice'!$V$2:$V$401,0),"")</f>
        <v/>
      </c>
    </row>
    <row r="132">
      <c r="A132">
        <f>IF($U132="","",IF(INDEX('Per Invoice'!A$2:A$401,$U132)="","",INDEX('Per Invoice'!A$2:A$401,$U132)))</f>
        <v/>
      </c>
      <c r="B132">
        <f>IF($U132="","",IF(INDEX('Per Invoice'!B$2:B$401,$U132)="","",INDEX('Per Invoice'!B$2:B$401,$U132)))</f>
        <v/>
      </c>
      <c r="C132">
        <f>IF($U132="","",IF(INDEX('Per Invoice'!C$2:C$401,$U132)="","",INDEX('Per Invoice'!C$2:C$401,$U132)))</f>
        <v/>
      </c>
      <c r="D132">
        <f>IF($U132="","",IF(INDEX('Per Invoice'!D$2:D$401,$U132)="","",INDEX('Per Invoice'!D$2:D$401,$U132)))</f>
        <v/>
      </c>
      <c r="E132">
        <f>IF($U132="","",IF(INDEX('Per Invoice'!E$2:E$401,$U132)="","",INDEX('Per Invoice'!E$2:E$401,$U132)))</f>
        <v/>
      </c>
      <c r="F132">
        <f>IF($U132="","",IF(INDEX('Per Invoice'!F$2:F$401,$U132)="","",INDEX('Per Invoice'!F$2:F$401,$U132)))</f>
        <v/>
      </c>
      <c r="G132">
        <f>IF($U132="","",IF(INDEX('Per Invoice'!G$2:G$401,$U132)="","",INDEX('Per Invoice'!G$2:G$401,$U132)))</f>
        <v/>
      </c>
      <c r="H132" s="7">
        <f>IF($U132="","",IF(INDEX('Per Invoice'!H$2:H$401,$U132)="","",INDEX('Per Invoice'!H$2:H$401,$U132)))</f>
        <v/>
      </c>
      <c r="I132" s="14">
        <f>IF($U132="","",IF(INDEX('Per Invoice'!I$2:I$401,$U132)="","",INDEX('Per Invoice'!I$2:I$401,$U132)))</f>
        <v/>
      </c>
      <c r="J132">
        <f>IF($U132="","",IF(INDEX('Per Invoice'!J$2:J$401,$U132)="","",INDEX('Per Invoice'!J$2:J$401,$U132)))</f>
        <v/>
      </c>
      <c r="K132">
        <f>IF($U132="","",IF(INDEX('Per Invoice'!K$2:K$401,$U132)="","",INDEX('Per Invoice'!K$2:K$401,$U132)))</f>
        <v/>
      </c>
      <c r="L132" s="7">
        <f>IF($U132="","",IF(INDEX('Per Invoice'!L$2:L$401,$U132)="","",INDEX('Per Invoice'!L$2:L$401,$U132)))</f>
        <v/>
      </c>
      <c r="M132" s="7">
        <f>IF($U132="","",IF(INDEX('Per Invoice'!M$2:M$401,$U132)="","",INDEX('Per Invoice'!M$2:M$401,$U132)))</f>
        <v/>
      </c>
      <c r="N132">
        <f>IF($U132="","",IF(INDEX('Per Invoice'!N$2:N$401,$U132)="","",INDEX('Per Invoice'!N$2:N$401,$U132)))</f>
        <v/>
      </c>
      <c r="O132" s="7">
        <f>IF($U132="","",IF(INDEX('Per Invoice'!O$2:O$401,$U132)="","",INDEX('Per Invoice'!O$2:O$401,$U132)))</f>
        <v/>
      </c>
      <c r="P132" s="7">
        <f>IF($U132="","",IF(INDEX('Per Invoice'!P$2:P$401,$U132)="","",INDEX('Per Invoice'!P$2:P$401,$U132)))</f>
        <v/>
      </c>
      <c r="Q132" s="7">
        <f>IF($U132="","",IF(INDEX('Per Invoice'!Q$2:Q$401,$U132)="","",INDEX('Per Invoice'!Q$2:Q$401,$U132)))</f>
        <v/>
      </c>
      <c r="R132" s="7">
        <f>IF($U132="","",IF(INDEX('Per Invoice'!R$2:R$401,$U132)="","",INDEX('Per Invoice'!R$2:R$401,$U132)))</f>
        <v/>
      </c>
      <c r="S132" s="7">
        <f>IF($U132="","",IF(INDEX('Per Invoice'!S$2:S$401,$U132)="","",INDEX('Per Invoice'!S$2:S$401,$U132)))</f>
        <v/>
      </c>
      <c r="T132" s="7">
        <f>IF($U132="","",IF(INDEX('Per Invoice'!T$2:T$401,$U132)="","",INDEX('Per Invoice'!T$2:T$401,$U132)))</f>
        <v/>
      </c>
      <c r="U132" s="16">
        <f>IFERROR(MATCH(Settings!$C$30&amp;"|"&amp;ROWS($U$2:$U132),'Per Invoice'!$V$2:$V$401,0),"")</f>
        <v/>
      </c>
    </row>
    <row r="133">
      <c r="A133">
        <f>IF($U133="","",IF(INDEX('Per Invoice'!A$2:A$401,$U133)="","",INDEX('Per Invoice'!A$2:A$401,$U133)))</f>
        <v/>
      </c>
      <c r="B133">
        <f>IF($U133="","",IF(INDEX('Per Invoice'!B$2:B$401,$U133)="","",INDEX('Per Invoice'!B$2:B$401,$U133)))</f>
        <v/>
      </c>
      <c r="C133">
        <f>IF($U133="","",IF(INDEX('Per Invoice'!C$2:C$401,$U133)="","",INDEX('Per Invoice'!C$2:C$401,$U133)))</f>
        <v/>
      </c>
      <c r="D133">
        <f>IF($U133="","",IF(INDEX('Per Invoice'!D$2:D$401,$U133)="","",INDEX('Per Invoice'!D$2:D$401,$U133)))</f>
        <v/>
      </c>
      <c r="E133">
        <f>IF($U133="","",IF(INDEX('Per Invoice'!E$2:E$401,$U133)="","",INDEX('Per Invoice'!E$2:E$401,$U133)))</f>
        <v/>
      </c>
      <c r="F133">
        <f>IF($U133="","",IF(INDEX('Per Invoice'!F$2:F$401,$U133)="","",INDEX('Per Invoice'!F$2:F$401,$U133)))</f>
        <v/>
      </c>
      <c r="G133">
        <f>IF($U133="","",IF(INDEX('Per Invoice'!G$2:G$401,$U133)="","",INDEX('Per Invoice'!G$2:G$401,$U133)))</f>
        <v/>
      </c>
      <c r="H133" s="7">
        <f>IF($U133="","",IF(INDEX('Per Invoice'!H$2:H$401,$U133)="","",INDEX('Per Invoice'!H$2:H$401,$U133)))</f>
        <v/>
      </c>
      <c r="I133" s="14">
        <f>IF($U133="","",IF(INDEX('Per Invoice'!I$2:I$401,$U133)="","",INDEX('Per Invoice'!I$2:I$401,$U133)))</f>
        <v/>
      </c>
      <c r="J133">
        <f>IF($U133="","",IF(INDEX('Per Invoice'!J$2:J$401,$U133)="","",INDEX('Per Invoice'!J$2:J$401,$U133)))</f>
        <v/>
      </c>
      <c r="K133">
        <f>IF($U133="","",IF(INDEX('Per Invoice'!K$2:K$401,$U133)="","",INDEX('Per Invoice'!K$2:K$401,$U133)))</f>
        <v/>
      </c>
      <c r="L133" s="7">
        <f>IF($U133="","",IF(INDEX('Per Invoice'!L$2:L$401,$U133)="","",INDEX('Per Invoice'!L$2:L$401,$U133)))</f>
        <v/>
      </c>
      <c r="M133" s="7">
        <f>IF($U133="","",IF(INDEX('Per Invoice'!M$2:M$401,$U133)="","",INDEX('Per Invoice'!M$2:M$401,$U133)))</f>
        <v/>
      </c>
      <c r="N133">
        <f>IF($U133="","",IF(INDEX('Per Invoice'!N$2:N$401,$U133)="","",INDEX('Per Invoice'!N$2:N$401,$U133)))</f>
        <v/>
      </c>
      <c r="O133" s="7">
        <f>IF($U133="","",IF(INDEX('Per Invoice'!O$2:O$401,$U133)="","",INDEX('Per Invoice'!O$2:O$401,$U133)))</f>
        <v/>
      </c>
      <c r="P133" s="7">
        <f>IF($U133="","",IF(INDEX('Per Invoice'!P$2:P$401,$U133)="","",INDEX('Per Invoice'!P$2:P$401,$U133)))</f>
        <v/>
      </c>
      <c r="Q133" s="7">
        <f>IF($U133="","",IF(INDEX('Per Invoice'!Q$2:Q$401,$U133)="","",INDEX('Per Invoice'!Q$2:Q$401,$U133)))</f>
        <v/>
      </c>
      <c r="R133" s="7">
        <f>IF($U133="","",IF(INDEX('Per Invoice'!R$2:R$401,$U133)="","",INDEX('Per Invoice'!R$2:R$401,$U133)))</f>
        <v/>
      </c>
      <c r="S133" s="7">
        <f>IF($U133="","",IF(INDEX('Per Invoice'!S$2:S$401,$U133)="","",INDEX('Per Invoice'!S$2:S$401,$U133)))</f>
        <v/>
      </c>
      <c r="T133" s="7">
        <f>IF($U133="","",IF(INDEX('Per Invoice'!T$2:T$401,$U133)="","",INDEX('Per Invoice'!T$2:T$401,$U133)))</f>
        <v/>
      </c>
      <c r="U133" s="16">
        <f>IFERROR(MATCH(Settings!$C$30&amp;"|"&amp;ROWS($U$2:$U133),'Per Invoice'!$V$2:$V$401,0),"")</f>
        <v/>
      </c>
    </row>
    <row r="134">
      <c r="A134">
        <f>IF($U134="","",IF(INDEX('Per Invoice'!A$2:A$401,$U134)="","",INDEX('Per Invoice'!A$2:A$401,$U134)))</f>
        <v/>
      </c>
      <c r="B134">
        <f>IF($U134="","",IF(INDEX('Per Invoice'!B$2:B$401,$U134)="","",INDEX('Per Invoice'!B$2:B$401,$U134)))</f>
        <v/>
      </c>
      <c r="C134">
        <f>IF($U134="","",IF(INDEX('Per Invoice'!C$2:C$401,$U134)="","",INDEX('Per Invoice'!C$2:C$401,$U134)))</f>
        <v/>
      </c>
      <c r="D134">
        <f>IF($U134="","",IF(INDEX('Per Invoice'!D$2:D$401,$U134)="","",INDEX('Per Invoice'!D$2:D$401,$U134)))</f>
        <v/>
      </c>
      <c r="E134">
        <f>IF($U134="","",IF(INDEX('Per Invoice'!E$2:E$401,$U134)="","",INDEX('Per Invoice'!E$2:E$401,$U134)))</f>
        <v/>
      </c>
      <c r="F134">
        <f>IF($U134="","",IF(INDEX('Per Invoice'!F$2:F$401,$U134)="","",INDEX('Per Invoice'!F$2:F$401,$U134)))</f>
        <v/>
      </c>
      <c r="G134">
        <f>IF($U134="","",IF(INDEX('Per Invoice'!G$2:G$401,$U134)="","",INDEX('Per Invoice'!G$2:G$401,$U134)))</f>
        <v/>
      </c>
      <c r="H134" s="7">
        <f>IF($U134="","",IF(INDEX('Per Invoice'!H$2:H$401,$U134)="","",INDEX('Per Invoice'!H$2:H$401,$U134)))</f>
        <v/>
      </c>
      <c r="I134" s="14">
        <f>IF($U134="","",IF(INDEX('Per Invoice'!I$2:I$401,$U134)="","",INDEX('Per Invoice'!I$2:I$401,$U134)))</f>
        <v/>
      </c>
      <c r="J134">
        <f>IF($U134="","",IF(INDEX('Per Invoice'!J$2:J$401,$U134)="","",INDEX('Per Invoice'!J$2:J$401,$U134)))</f>
        <v/>
      </c>
      <c r="K134">
        <f>IF($U134="","",IF(INDEX('Per Invoice'!K$2:K$401,$U134)="","",INDEX('Per Invoice'!K$2:K$401,$U134)))</f>
        <v/>
      </c>
      <c r="L134" s="7">
        <f>IF($U134="","",IF(INDEX('Per Invoice'!L$2:L$401,$U134)="","",INDEX('Per Invoice'!L$2:L$401,$U134)))</f>
        <v/>
      </c>
      <c r="M134" s="7">
        <f>IF($U134="","",IF(INDEX('Per Invoice'!M$2:M$401,$U134)="","",INDEX('Per Invoice'!M$2:M$401,$U134)))</f>
        <v/>
      </c>
      <c r="N134">
        <f>IF($U134="","",IF(INDEX('Per Invoice'!N$2:N$401,$U134)="","",INDEX('Per Invoice'!N$2:N$401,$U134)))</f>
        <v/>
      </c>
      <c r="O134" s="7">
        <f>IF($U134="","",IF(INDEX('Per Invoice'!O$2:O$401,$U134)="","",INDEX('Per Invoice'!O$2:O$401,$U134)))</f>
        <v/>
      </c>
      <c r="P134" s="7">
        <f>IF($U134="","",IF(INDEX('Per Invoice'!P$2:P$401,$U134)="","",INDEX('Per Invoice'!P$2:P$401,$U134)))</f>
        <v/>
      </c>
      <c r="Q134" s="7">
        <f>IF($U134="","",IF(INDEX('Per Invoice'!Q$2:Q$401,$U134)="","",INDEX('Per Invoice'!Q$2:Q$401,$U134)))</f>
        <v/>
      </c>
      <c r="R134" s="7">
        <f>IF($U134="","",IF(INDEX('Per Invoice'!R$2:R$401,$U134)="","",INDEX('Per Invoice'!R$2:R$401,$U134)))</f>
        <v/>
      </c>
      <c r="S134" s="7">
        <f>IF($U134="","",IF(INDEX('Per Invoice'!S$2:S$401,$U134)="","",INDEX('Per Invoice'!S$2:S$401,$U134)))</f>
        <v/>
      </c>
      <c r="T134" s="7">
        <f>IF($U134="","",IF(INDEX('Per Invoice'!T$2:T$401,$U134)="","",INDEX('Per Invoice'!T$2:T$401,$U134)))</f>
        <v/>
      </c>
      <c r="U134" s="16">
        <f>IFERROR(MATCH(Settings!$C$30&amp;"|"&amp;ROWS($U$2:$U134),'Per Invoice'!$V$2:$V$401,0),"")</f>
        <v/>
      </c>
    </row>
    <row r="135">
      <c r="A135">
        <f>IF($U135="","",IF(INDEX('Per Invoice'!A$2:A$401,$U135)="","",INDEX('Per Invoice'!A$2:A$401,$U135)))</f>
        <v/>
      </c>
      <c r="B135">
        <f>IF($U135="","",IF(INDEX('Per Invoice'!B$2:B$401,$U135)="","",INDEX('Per Invoice'!B$2:B$401,$U135)))</f>
        <v/>
      </c>
      <c r="C135">
        <f>IF($U135="","",IF(INDEX('Per Invoice'!C$2:C$401,$U135)="","",INDEX('Per Invoice'!C$2:C$401,$U135)))</f>
        <v/>
      </c>
      <c r="D135">
        <f>IF($U135="","",IF(INDEX('Per Invoice'!D$2:D$401,$U135)="","",INDEX('Per Invoice'!D$2:D$401,$U135)))</f>
        <v/>
      </c>
      <c r="E135">
        <f>IF($U135="","",IF(INDEX('Per Invoice'!E$2:E$401,$U135)="","",INDEX('Per Invoice'!E$2:E$401,$U135)))</f>
        <v/>
      </c>
      <c r="F135">
        <f>IF($U135="","",IF(INDEX('Per Invoice'!F$2:F$401,$U135)="","",INDEX('Per Invoice'!F$2:F$401,$U135)))</f>
        <v/>
      </c>
      <c r="G135">
        <f>IF($U135="","",IF(INDEX('Per Invoice'!G$2:G$401,$U135)="","",INDEX('Per Invoice'!G$2:G$401,$U135)))</f>
        <v/>
      </c>
      <c r="H135" s="7">
        <f>IF($U135="","",IF(INDEX('Per Invoice'!H$2:H$401,$U135)="","",INDEX('Per Invoice'!H$2:H$401,$U135)))</f>
        <v/>
      </c>
      <c r="I135" s="14">
        <f>IF($U135="","",IF(INDEX('Per Invoice'!I$2:I$401,$U135)="","",INDEX('Per Invoice'!I$2:I$401,$U135)))</f>
        <v/>
      </c>
      <c r="J135">
        <f>IF($U135="","",IF(INDEX('Per Invoice'!J$2:J$401,$U135)="","",INDEX('Per Invoice'!J$2:J$401,$U135)))</f>
        <v/>
      </c>
      <c r="K135">
        <f>IF($U135="","",IF(INDEX('Per Invoice'!K$2:K$401,$U135)="","",INDEX('Per Invoice'!K$2:K$401,$U135)))</f>
        <v/>
      </c>
      <c r="L135" s="7">
        <f>IF($U135="","",IF(INDEX('Per Invoice'!L$2:L$401,$U135)="","",INDEX('Per Invoice'!L$2:L$401,$U135)))</f>
        <v/>
      </c>
      <c r="M135" s="7">
        <f>IF($U135="","",IF(INDEX('Per Invoice'!M$2:M$401,$U135)="","",INDEX('Per Invoice'!M$2:M$401,$U135)))</f>
        <v/>
      </c>
      <c r="N135">
        <f>IF($U135="","",IF(INDEX('Per Invoice'!N$2:N$401,$U135)="","",INDEX('Per Invoice'!N$2:N$401,$U135)))</f>
        <v/>
      </c>
      <c r="O135" s="7">
        <f>IF($U135="","",IF(INDEX('Per Invoice'!O$2:O$401,$U135)="","",INDEX('Per Invoice'!O$2:O$401,$U135)))</f>
        <v/>
      </c>
      <c r="P135" s="7">
        <f>IF($U135="","",IF(INDEX('Per Invoice'!P$2:P$401,$U135)="","",INDEX('Per Invoice'!P$2:P$401,$U135)))</f>
        <v/>
      </c>
      <c r="Q135" s="7">
        <f>IF($U135="","",IF(INDEX('Per Invoice'!Q$2:Q$401,$U135)="","",INDEX('Per Invoice'!Q$2:Q$401,$U135)))</f>
        <v/>
      </c>
      <c r="R135" s="7">
        <f>IF($U135="","",IF(INDEX('Per Invoice'!R$2:R$401,$U135)="","",INDEX('Per Invoice'!R$2:R$401,$U135)))</f>
        <v/>
      </c>
      <c r="S135" s="7">
        <f>IF($U135="","",IF(INDEX('Per Invoice'!S$2:S$401,$U135)="","",INDEX('Per Invoice'!S$2:S$401,$U135)))</f>
        <v/>
      </c>
      <c r="T135" s="7">
        <f>IF($U135="","",IF(INDEX('Per Invoice'!T$2:T$401,$U135)="","",INDEX('Per Invoice'!T$2:T$401,$U135)))</f>
        <v/>
      </c>
      <c r="U135" s="16">
        <f>IFERROR(MATCH(Settings!$C$30&amp;"|"&amp;ROWS($U$2:$U135),'Per Invoice'!$V$2:$V$401,0),"")</f>
        <v/>
      </c>
    </row>
    <row r="136">
      <c r="A136">
        <f>IF($U136="","",IF(INDEX('Per Invoice'!A$2:A$401,$U136)="","",INDEX('Per Invoice'!A$2:A$401,$U136)))</f>
        <v/>
      </c>
      <c r="B136">
        <f>IF($U136="","",IF(INDEX('Per Invoice'!B$2:B$401,$U136)="","",INDEX('Per Invoice'!B$2:B$401,$U136)))</f>
        <v/>
      </c>
      <c r="C136">
        <f>IF($U136="","",IF(INDEX('Per Invoice'!C$2:C$401,$U136)="","",INDEX('Per Invoice'!C$2:C$401,$U136)))</f>
        <v/>
      </c>
      <c r="D136">
        <f>IF($U136="","",IF(INDEX('Per Invoice'!D$2:D$401,$U136)="","",INDEX('Per Invoice'!D$2:D$401,$U136)))</f>
        <v/>
      </c>
      <c r="E136">
        <f>IF($U136="","",IF(INDEX('Per Invoice'!E$2:E$401,$U136)="","",INDEX('Per Invoice'!E$2:E$401,$U136)))</f>
        <v/>
      </c>
      <c r="F136">
        <f>IF($U136="","",IF(INDEX('Per Invoice'!F$2:F$401,$U136)="","",INDEX('Per Invoice'!F$2:F$401,$U136)))</f>
        <v/>
      </c>
      <c r="G136">
        <f>IF($U136="","",IF(INDEX('Per Invoice'!G$2:G$401,$U136)="","",INDEX('Per Invoice'!G$2:G$401,$U136)))</f>
        <v/>
      </c>
      <c r="H136" s="7">
        <f>IF($U136="","",IF(INDEX('Per Invoice'!H$2:H$401,$U136)="","",INDEX('Per Invoice'!H$2:H$401,$U136)))</f>
        <v/>
      </c>
      <c r="I136" s="14">
        <f>IF($U136="","",IF(INDEX('Per Invoice'!I$2:I$401,$U136)="","",INDEX('Per Invoice'!I$2:I$401,$U136)))</f>
        <v/>
      </c>
      <c r="J136">
        <f>IF($U136="","",IF(INDEX('Per Invoice'!J$2:J$401,$U136)="","",INDEX('Per Invoice'!J$2:J$401,$U136)))</f>
        <v/>
      </c>
      <c r="K136">
        <f>IF($U136="","",IF(INDEX('Per Invoice'!K$2:K$401,$U136)="","",INDEX('Per Invoice'!K$2:K$401,$U136)))</f>
        <v/>
      </c>
      <c r="L136" s="7">
        <f>IF($U136="","",IF(INDEX('Per Invoice'!L$2:L$401,$U136)="","",INDEX('Per Invoice'!L$2:L$401,$U136)))</f>
        <v/>
      </c>
      <c r="M136" s="7">
        <f>IF($U136="","",IF(INDEX('Per Invoice'!M$2:M$401,$U136)="","",INDEX('Per Invoice'!M$2:M$401,$U136)))</f>
        <v/>
      </c>
      <c r="N136">
        <f>IF($U136="","",IF(INDEX('Per Invoice'!N$2:N$401,$U136)="","",INDEX('Per Invoice'!N$2:N$401,$U136)))</f>
        <v/>
      </c>
      <c r="O136" s="7">
        <f>IF($U136="","",IF(INDEX('Per Invoice'!O$2:O$401,$U136)="","",INDEX('Per Invoice'!O$2:O$401,$U136)))</f>
        <v/>
      </c>
      <c r="P136" s="7">
        <f>IF($U136="","",IF(INDEX('Per Invoice'!P$2:P$401,$U136)="","",INDEX('Per Invoice'!P$2:P$401,$U136)))</f>
        <v/>
      </c>
      <c r="Q136" s="7">
        <f>IF($U136="","",IF(INDEX('Per Invoice'!Q$2:Q$401,$U136)="","",INDEX('Per Invoice'!Q$2:Q$401,$U136)))</f>
        <v/>
      </c>
      <c r="R136" s="7">
        <f>IF($U136="","",IF(INDEX('Per Invoice'!R$2:R$401,$U136)="","",INDEX('Per Invoice'!R$2:R$401,$U136)))</f>
        <v/>
      </c>
      <c r="S136" s="7">
        <f>IF($U136="","",IF(INDEX('Per Invoice'!S$2:S$401,$U136)="","",INDEX('Per Invoice'!S$2:S$401,$U136)))</f>
        <v/>
      </c>
      <c r="T136" s="7">
        <f>IF($U136="","",IF(INDEX('Per Invoice'!T$2:T$401,$U136)="","",INDEX('Per Invoice'!T$2:T$401,$U136)))</f>
        <v/>
      </c>
      <c r="U136" s="16">
        <f>IFERROR(MATCH(Settings!$C$30&amp;"|"&amp;ROWS($U$2:$U136),'Per Invoice'!$V$2:$V$401,0),"")</f>
        <v/>
      </c>
    </row>
    <row r="137">
      <c r="A137">
        <f>IF($U137="","",IF(INDEX('Per Invoice'!A$2:A$401,$U137)="","",INDEX('Per Invoice'!A$2:A$401,$U137)))</f>
        <v/>
      </c>
      <c r="B137">
        <f>IF($U137="","",IF(INDEX('Per Invoice'!B$2:B$401,$U137)="","",INDEX('Per Invoice'!B$2:B$401,$U137)))</f>
        <v/>
      </c>
      <c r="C137">
        <f>IF($U137="","",IF(INDEX('Per Invoice'!C$2:C$401,$U137)="","",INDEX('Per Invoice'!C$2:C$401,$U137)))</f>
        <v/>
      </c>
      <c r="D137">
        <f>IF($U137="","",IF(INDEX('Per Invoice'!D$2:D$401,$U137)="","",INDEX('Per Invoice'!D$2:D$401,$U137)))</f>
        <v/>
      </c>
      <c r="E137">
        <f>IF($U137="","",IF(INDEX('Per Invoice'!E$2:E$401,$U137)="","",INDEX('Per Invoice'!E$2:E$401,$U137)))</f>
        <v/>
      </c>
      <c r="F137">
        <f>IF($U137="","",IF(INDEX('Per Invoice'!F$2:F$401,$U137)="","",INDEX('Per Invoice'!F$2:F$401,$U137)))</f>
        <v/>
      </c>
      <c r="G137">
        <f>IF($U137="","",IF(INDEX('Per Invoice'!G$2:G$401,$U137)="","",INDEX('Per Invoice'!G$2:G$401,$U137)))</f>
        <v/>
      </c>
      <c r="H137" s="7">
        <f>IF($U137="","",IF(INDEX('Per Invoice'!H$2:H$401,$U137)="","",INDEX('Per Invoice'!H$2:H$401,$U137)))</f>
        <v/>
      </c>
      <c r="I137" s="14">
        <f>IF($U137="","",IF(INDEX('Per Invoice'!I$2:I$401,$U137)="","",INDEX('Per Invoice'!I$2:I$401,$U137)))</f>
        <v/>
      </c>
      <c r="J137">
        <f>IF($U137="","",IF(INDEX('Per Invoice'!J$2:J$401,$U137)="","",INDEX('Per Invoice'!J$2:J$401,$U137)))</f>
        <v/>
      </c>
      <c r="K137">
        <f>IF($U137="","",IF(INDEX('Per Invoice'!K$2:K$401,$U137)="","",INDEX('Per Invoice'!K$2:K$401,$U137)))</f>
        <v/>
      </c>
      <c r="L137" s="7">
        <f>IF($U137="","",IF(INDEX('Per Invoice'!L$2:L$401,$U137)="","",INDEX('Per Invoice'!L$2:L$401,$U137)))</f>
        <v/>
      </c>
      <c r="M137" s="7">
        <f>IF($U137="","",IF(INDEX('Per Invoice'!M$2:M$401,$U137)="","",INDEX('Per Invoice'!M$2:M$401,$U137)))</f>
        <v/>
      </c>
      <c r="N137">
        <f>IF($U137="","",IF(INDEX('Per Invoice'!N$2:N$401,$U137)="","",INDEX('Per Invoice'!N$2:N$401,$U137)))</f>
        <v/>
      </c>
      <c r="O137" s="7">
        <f>IF($U137="","",IF(INDEX('Per Invoice'!O$2:O$401,$U137)="","",INDEX('Per Invoice'!O$2:O$401,$U137)))</f>
        <v/>
      </c>
      <c r="P137" s="7">
        <f>IF($U137="","",IF(INDEX('Per Invoice'!P$2:P$401,$U137)="","",INDEX('Per Invoice'!P$2:P$401,$U137)))</f>
        <v/>
      </c>
      <c r="Q137" s="7">
        <f>IF($U137="","",IF(INDEX('Per Invoice'!Q$2:Q$401,$U137)="","",INDEX('Per Invoice'!Q$2:Q$401,$U137)))</f>
        <v/>
      </c>
      <c r="R137" s="7">
        <f>IF($U137="","",IF(INDEX('Per Invoice'!R$2:R$401,$U137)="","",INDEX('Per Invoice'!R$2:R$401,$U137)))</f>
        <v/>
      </c>
      <c r="S137" s="7">
        <f>IF($U137="","",IF(INDEX('Per Invoice'!S$2:S$401,$U137)="","",INDEX('Per Invoice'!S$2:S$401,$U137)))</f>
        <v/>
      </c>
      <c r="T137" s="7">
        <f>IF($U137="","",IF(INDEX('Per Invoice'!T$2:T$401,$U137)="","",INDEX('Per Invoice'!T$2:T$401,$U137)))</f>
        <v/>
      </c>
      <c r="U137" s="16">
        <f>IFERROR(MATCH(Settings!$C$30&amp;"|"&amp;ROWS($U$2:$U137),'Per Invoice'!$V$2:$V$401,0),"")</f>
        <v/>
      </c>
    </row>
    <row r="138">
      <c r="A138">
        <f>IF($U138="","",IF(INDEX('Per Invoice'!A$2:A$401,$U138)="","",INDEX('Per Invoice'!A$2:A$401,$U138)))</f>
        <v/>
      </c>
      <c r="B138">
        <f>IF($U138="","",IF(INDEX('Per Invoice'!B$2:B$401,$U138)="","",INDEX('Per Invoice'!B$2:B$401,$U138)))</f>
        <v/>
      </c>
      <c r="C138">
        <f>IF($U138="","",IF(INDEX('Per Invoice'!C$2:C$401,$U138)="","",INDEX('Per Invoice'!C$2:C$401,$U138)))</f>
        <v/>
      </c>
      <c r="D138">
        <f>IF($U138="","",IF(INDEX('Per Invoice'!D$2:D$401,$U138)="","",INDEX('Per Invoice'!D$2:D$401,$U138)))</f>
        <v/>
      </c>
      <c r="E138">
        <f>IF($U138="","",IF(INDEX('Per Invoice'!E$2:E$401,$U138)="","",INDEX('Per Invoice'!E$2:E$401,$U138)))</f>
        <v/>
      </c>
      <c r="F138">
        <f>IF($U138="","",IF(INDEX('Per Invoice'!F$2:F$401,$U138)="","",INDEX('Per Invoice'!F$2:F$401,$U138)))</f>
        <v/>
      </c>
      <c r="G138">
        <f>IF($U138="","",IF(INDEX('Per Invoice'!G$2:G$401,$U138)="","",INDEX('Per Invoice'!G$2:G$401,$U138)))</f>
        <v/>
      </c>
      <c r="H138" s="7">
        <f>IF($U138="","",IF(INDEX('Per Invoice'!H$2:H$401,$U138)="","",INDEX('Per Invoice'!H$2:H$401,$U138)))</f>
        <v/>
      </c>
      <c r="I138" s="14">
        <f>IF($U138="","",IF(INDEX('Per Invoice'!I$2:I$401,$U138)="","",INDEX('Per Invoice'!I$2:I$401,$U138)))</f>
        <v/>
      </c>
      <c r="J138">
        <f>IF($U138="","",IF(INDEX('Per Invoice'!J$2:J$401,$U138)="","",INDEX('Per Invoice'!J$2:J$401,$U138)))</f>
        <v/>
      </c>
      <c r="K138">
        <f>IF($U138="","",IF(INDEX('Per Invoice'!K$2:K$401,$U138)="","",INDEX('Per Invoice'!K$2:K$401,$U138)))</f>
        <v/>
      </c>
      <c r="L138" s="7">
        <f>IF($U138="","",IF(INDEX('Per Invoice'!L$2:L$401,$U138)="","",INDEX('Per Invoice'!L$2:L$401,$U138)))</f>
        <v/>
      </c>
      <c r="M138" s="7">
        <f>IF($U138="","",IF(INDEX('Per Invoice'!M$2:M$401,$U138)="","",INDEX('Per Invoice'!M$2:M$401,$U138)))</f>
        <v/>
      </c>
      <c r="N138">
        <f>IF($U138="","",IF(INDEX('Per Invoice'!N$2:N$401,$U138)="","",INDEX('Per Invoice'!N$2:N$401,$U138)))</f>
        <v/>
      </c>
      <c r="O138" s="7">
        <f>IF($U138="","",IF(INDEX('Per Invoice'!O$2:O$401,$U138)="","",INDEX('Per Invoice'!O$2:O$401,$U138)))</f>
        <v/>
      </c>
      <c r="P138" s="7">
        <f>IF($U138="","",IF(INDEX('Per Invoice'!P$2:P$401,$U138)="","",INDEX('Per Invoice'!P$2:P$401,$U138)))</f>
        <v/>
      </c>
      <c r="Q138" s="7">
        <f>IF($U138="","",IF(INDEX('Per Invoice'!Q$2:Q$401,$U138)="","",INDEX('Per Invoice'!Q$2:Q$401,$U138)))</f>
        <v/>
      </c>
      <c r="R138" s="7">
        <f>IF($U138="","",IF(INDEX('Per Invoice'!R$2:R$401,$U138)="","",INDEX('Per Invoice'!R$2:R$401,$U138)))</f>
        <v/>
      </c>
      <c r="S138" s="7">
        <f>IF($U138="","",IF(INDEX('Per Invoice'!S$2:S$401,$U138)="","",INDEX('Per Invoice'!S$2:S$401,$U138)))</f>
        <v/>
      </c>
      <c r="T138" s="7">
        <f>IF($U138="","",IF(INDEX('Per Invoice'!T$2:T$401,$U138)="","",INDEX('Per Invoice'!T$2:T$401,$U138)))</f>
        <v/>
      </c>
      <c r="U138" s="16">
        <f>IFERROR(MATCH(Settings!$C$30&amp;"|"&amp;ROWS($U$2:$U138),'Per Invoice'!$V$2:$V$401,0),"")</f>
        <v/>
      </c>
    </row>
    <row r="139">
      <c r="A139">
        <f>IF($U139="","",IF(INDEX('Per Invoice'!A$2:A$401,$U139)="","",INDEX('Per Invoice'!A$2:A$401,$U139)))</f>
        <v/>
      </c>
      <c r="B139">
        <f>IF($U139="","",IF(INDEX('Per Invoice'!B$2:B$401,$U139)="","",INDEX('Per Invoice'!B$2:B$401,$U139)))</f>
        <v/>
      </c>
      <c r="C139">
        <f>IF($U139="","",IF(INDEX('Per Invoice'!C$2:C$401,$U139)="","",INDEX('Per Invoice'!C$2:C$401,$U139)))</f>
        <v/>
      </c>
      <c r="D139">
        <f>IF($U139="","",IF(INDEX('Per Invoice'!D$2:D$401,$U139)="","",INDEX('Per Invoice'!D$2:D$401,$U139)))</f>
        <v/>
      </c>
      <c r="E139">
        <f>IF($U139="","",IF(INDEX('Per Invoice'!E$2:E$401,$U139)="","",INDEX('Per Invoice'!E$2:E$401,$U139)))</f>
        <v/>
      </c>
      <c r="F139">
        <f>IF($U139="","",IF(INDEX('Per Invoice'!F$2:F$401,$U139)="","",INDEX('Per Invoice'!F$2:F$401,$U139)))</f>
        <v/>
      </c>
      <c r="G139">
        <f>IF($U139="","",IF(INDEX('Per Invoice'!G$2:G$401,$U139)="","",INDEX('Per Invoice'!G$2:G$401,$U139)))</f>
        <v/>
      </c>
      <c r="H139" s="7">
        <f>IF($U139="","",IF(INDEX('Per Invoice'!H$2:H$401,$U139)="","",INDEX('Per Invoice'!H$2:H$401,$U139)))</f>
        <v/>
      </c>
      <c r="I139" s="14">
        <f>IF($U139="","",IF(INDEX('Per Invoice'!I$2:I$401,$U139)="","",INDEX('Per Invoice'!I$2:I$401,$U139)))</f>
        <v/>
      </c>
      <c r="J139">
        <f>IF($U139="","",IF(INDEX('Per Invoice'!J$2:J$401,$U139)="","",INDEX('Per Invoice'!J$2:J$401,$U139)))</f>
        <v/>
      </c>
      <c r="K139">
        <f>IF($U139="","",IF(INDEX('Per Invoice'!K$2:K$401,$U139)="","",INDEX('Per Invoice'!K$2:K$401,$U139)))</f>
        <v/>
      </c>
      <c r="L139" s="7">
        <f>IF($U139="","",IF(INDEX('Per Invoice'!L$2:L$401,$U139)="","",INDEX('Per Invoice'!L$2:L$401,$U139)))</f>
        <v/>
      </c>
      <c r="M139" s="7">
        <f>IF($U139="","",IF(INDEX('Per Invoice'!M$2:M$401,$U139)="","",INDEX('Per Invoice'!M$2:M$401,$U139)))</f>
        <v/>
      </c>
      <c r="N139">
        <f>IF($U139="","",IF(INDEX('Per Invoice'!N$2:N$401,$U139)="","",INDEX('Per Invoice'!N$2:N$401,$U139)))</f>
        <v/>
      </c>
      <c r="O139" s="7">
        <f>IF($U139="","",IF(INDEX('Per Invoice'!O$2:O$401,$U139)="","",INDEX('Per Invoice'!O$2:O$401,$U139)))</f>
        <v/>
      </c>
      <c r="P139" s="7">
        <f>IF($U139="","",IF(INDEX('Per Invoice'!P$2:P$401,$U139)="","",INDEX('Per Invoice'!P$2:P$401,$U139)))</f>
        <v/>
      </c>
      <c r="Q139" s="7">
        <f>IF($U139="","",IF(INDEX('Per Invoice'!Q$2:Q$401,$U139)="","",INDEX('Per Invoice'!Q$2:Q$401,$U139)))</f>
        <v/>
      </c>
      <c r="R139" s="7">
        <f>IF($U139="","",IF(INDEX('Per Invoice'!R$2:R$401,$U139)="","",INDEX('Per Invoice'!R$2:R$401,$U139)))</f>
        <v/>
      </c>
      <c r="S139" s="7">
        <f>IF($U139="","",IF(INDEX('Per Invoice'!S$2:S$401,$U139)="","",INDEX('Per Invoice'!S$2:S$401,$U139)))</f>
        <v/>
      </c>
      <c r="T139" s="7">
        <f>IF($U139="","",IF(INDEX('Per Invoice'!T$2:T$401,$U139)="","",INDEX('Per Invoice'!T$2:T$401,$U139)))</f>
        <v/>
      </c>
      <c r="U139" s="16">
        <f>IFERROR(MATCH(Settings!$C$30&amp;"|"&amp;ROWS($U$2:$U139),'Per Invoice'!$V$2:$V$401,0),"")</f>
        <v/>
      </c>
    </row>
    <row r="140">
      <c r="A140">
        <f>IF($U140="","",IF(INDEX('Per Invoice'!A$2:A$401,$U140)="","",INDEX('Per Invoice'!A$2:A$401,$U140)))</f>
        <v/>
      </c>
      <c r="B140">
        <f>IF($U140="","",IF(INDEX('Per Invoice'!B$2:B$401,$U140)="","",INDEX('Per Invoice'!B$2:B$401,$U140)))</f>
        <v/>
      </c>
      <c r="C140">
        <f>IF($U140="","",IF(INDEX('Per Invoice'!C$2:C$401,$U140)="","",INDEX('Per Invoice'!C$2:C$401,$U140)))</f>
        <v/>
      </c>
      <c r="D140">
        <f>IF($U140="","",IF(INDEX('Per Invoice'!D$2:D$401,$U140)="","",INDEX('Per Invoice'!D$2:D$401,$U140)))</f>
        <v/>
      </c>
      <c r="E140">
        <f>IF($U140="","",IF(INDEX('Per Invoice'!E$2:E$401,$U140)="","",INDEX('Per Invoice'!E$2:E$401,$U140)))</f>
        <v/>
      </c>
      <c r="F140">
        <f>IF($U140="","",IF(INDEX('Per Invoice'!F$2:F$401,$U140)="","",INDEX('Per Invoice'!F$2:F$401,$U140)))</f>
        <v/>
      </c>
      <c r="G140">
        <f>IF($U140="","",IF(INDEX('Per Invoice'!G$2:G$401,$U140)="","",INDEX('Per Invoice'!G$2:G$401,$U140)))</f>
        <v/>
      </c>
      <c r="H140" s="7">
        <f>IF($U140="","",IF(INDEX('Per Invoice'!H$2:H$401,$U140)="","",INDEX('Per Invoice'!H$2:H$401,$U140)))</f>
        <v/>
      </c>
      <c r="I140" s="14">
        <f>IF($U140="","",IF(INDEX('Per Invoice'!I$2:I$401,$U140)="","",INDEX('Per Invoice'!I$2:I$401,$U140)))</f>
        <v/>
      </c>
      <c r="J140">
        <f>IF($U140="","",IF(INDEX('Per Invoice'!J$2:J$401,$U140)="","",INDEX('Per Invoice'!J$2:J$401,$U140)))</f>
        <v/>
      </c>
      <c r="K140">
        <f>IF($U140="","",IF(INDEX('Per Invoice'!K$2:K$401,$U140)="","",INDEX('Per Invoice'!K$2:K$401,$U140)))</f>
        <v/>
      </c>
      <c r="L140" s="7">
        <f>IF($U140="","",IF(INDEX('Per Invoice'!L$2:L$401,$U140)="","",INDEX('Per Invoice'!L$2:L$401,$U140)))</f>
        <v/>
      </c>
      <c r="M140" s="7">
        <f>IF($U140="","",IF(INDEX('Per Invoice'!M$2:M$401,$U140)="","",INDEX('Per Invoice'!M$2:M$401,$U140)))</f>
        <v/>
      </c>
      <c r="N140">
        <f>IF($U140="","",IF(INDEX('Per Invoice'!N$2:N$401,$U140)="","",INDEX('Per Invoice'!N$2:N$401,$U140)))</f>
        <v/>
      </c>
      <c r="O140" s="7">
        <f>IF($U140="","",IF(INDEX('Per Invoice'!O$2:O$401,$U140)="","",INDEX('Per Invoice'!O$2:O$401,$U140)))</f>
        <v/>
      </c>
      <c r="P140" s="7">
        <f>IF($U140="","",IF(INDEX('Per Invoice'!P$2:P$401,$U140)="","",INDEX('Per Invoice'!P$2:P$401,$U140)))</f>
        <v/>
      </c>
      <c r="Q140" s="7">
        <f>IF($U140="","",IF(INDEX('Per Invoice'!Q$2:Q$401,$U140)="","",INDEX('Per Invoice'!Q$2:Q$401,$U140)))</f>
        <v/>
      </c>
      <c r="R140" s="7">
        <f>IF($U140="","",IF(INDEX('Per Invoice'!R$2:R$401,$U140)="","",INDEX('Per Invoice'!R$2:R$401,$U140)))</f>
        <v/>
      </c>
      <c r="S140" s="7">
        <f>IF($U140="","",IF(INDEX('Per Invoice'!S$2:S$401,$U140)="","",INDEX('Per Invoice'!S$2:S$401,$U140)))</f>
        <v/>
      </c>
      <c r="T140" s="7">
        <f>IF($U140="","",IF(INDEX('Per Invoice'!T$2:T$401,$U140)="","",INDEX('Per Invoice'!T$2:T$401,$U140)))</f>
        <v/>
      </c>
      <c r="U140" s="16">
        <f>IFERROR(MATCH(Settings!$C$30&amp;"|"&amp;ROWS($U$2:$U140),'Per Invoice'!$V$2:$V$401,0),"")</f>
        <v/>
      </c>
    </row>
    <row r="141">
      <c r="A141">
        <f>IF($U141="","",IF(INDEX('Per Invoice'!A$2:A$401,$U141)="","",INDEX('Per Invoice'!A$2:A$401,$U141)))</f>
        <v/>
      </c>
      <c r="B141">
        <f>IF($U141="","",IF(INDEX('Per Invoice'!B$2:B$401,$U141)="","",INDEX('Per Invoice'!B$2:B$401,$U141)))</f>
        <v/>
      </c>
      <c r="C141">
        <f>IF($U141="","",IF(INDEX('Per Invoice'!C$2:C$401,$U141)="","",INDEX('Per Invoice'!C$2:C$401,$U141)))</f>
        <v/>
      </c>
      <c r="D141">
        <f>IF($U141="","",IF(INDEX('Per Invoice'!D$2:D$401,$U141)="","",INDEX('Per Invoice'!D$2:D$401,$U141)))</f>
        <v/>
      </c>
      <c r="E141">
        <f>IF($U141="","",IF(INDEX('Per Invoice'!E$2:E$401,$U141)="","",INDEX('Per Invoice'!E$2:E$401,$U141)))</f>
        <v/>
      </c>
      <c r="F141">
        <f>IF($U141="","",IF(INDEX('Per Invoice'!F$2:F$401,$U141)="","",INDEX('Per Invoice'!F$2:F$401,$U141)))</f>
        <v/>
      </c>
      <c r="G141">
        <f>IF($U141="","",IF(INDEX('Per Invoice'!G$2:G$401,$U141)="","",INDEX('Per Invoice'!G$2:G$401,$U141)))</f>
        <v/>
      </c>
      <c r="H141" s="7">
        <f>IF($U141="","",IF(INDEX('Per Invoice'!H$2:H$401,$U141)="","",INDEX('Per Invoice'!H$2:H$401,$U141)))</f>
        <v/>
      </c>
      <c r="I141" s="14">
        <f>IF($U141="","",IF(INDEX('Per Invoice'!I$2:I$401,$U141)="","",INDEX('Per Invoice'!I$2:I$401,$U141)))</f>
        <v/>
      </c>
      <c r="J141">
        <f>IF($U141="","",IF(INDEX('Per Invoice'!J$2:J$401,$U141)="","",INDEX('Per Invoice'!J$2:J$401,$U141)))</f>
        <v/>
      </c>
      <c r="K141">
        <f>IF($U141="","",IF(INDEX('Per Invoice'!K$2:K$401,$U141)="","",INDEX('Per Invoice'!K$2:K$401,$U141)))</f>
        <v/>
      </c>
      <c r="L141" s="7">
        <f>IF($U141="","",IF(INDEX('Per Invoice'!L$2:L$401,$U141)="","",INDEX('Per Invoice'!L$2:L$401,$U141)))</f>
        <v/>
      </c>
      <c r="M141" s="7">
        <f>IF($U141="","",IF(INDEX('Per Invoice'!M$2:M$401,$U141)="","",INDEX('Per Invoice'!M$2:M$401,$U141)))</f>
        <v/>
      </c>
      <c r="N141">
        <f>IF($U141="","",IF(INDEX('Per Invoice'!N$2:N$401,$U141)="","",INDEX('Per Invoice'!N$2:N$401,$U141)))</f>
        <v/>
      </c>
      <c r="O141" s="7">
        <f>IF($U141="","",IF(INDEX('Per Invoice'!O$2:O$401,$U141)="","",INDEX('Per Invoice'!O$2:O$401,$U141)))</f>
        <v/>
      </c>
      <c r="P141" s="7">
        <f>IF($U141="","",IF(INDEX('Per Invoice'!P$2:P$401,$U141)="","",INDEX('Per Invoice'!P$2:P$401,$U141)))</f>
        <v/>
      </c>
      <c r="Q141" s="7">
        <f>IF($U141="","",IF(INDEX('Per Invoice'!Q$2:Q$401,$U141)="","",INDEX('Per Invoice'!Q$2:Q$401,$U141)))</f>
        <v/>
      </c>
      <c r="R141" s="7">
        <f>IF($U141="","",IF(INDEX('Per Invoice'!R$2:R$401,$U141)="","",INDEX('Per Invoice'!R$2:R$401,$U141)))</f>
        <v/>
      </c>
      <c r="S141" s="7">
        <f>IF($U141="","",IF(INDEX('Per Invoice'!S$2:S$401,$U141)="","",INDEX('Per Invoice'!S$2:S$401,$U141)))</f>
        <v/>
      </c>
      <c r="T141" s="7">
        <f>IF($U141="","",IF(INDEX('Per Invoice'!T$2:T$401,$U141)="","",INDEX('Per Invoice'!T$2:T$401,$U141)))</f>
        <v/>
      </c>
      <c r="U141" s="16">
        <f>IFERROR(MATCH(Settings!$C$30&amp;"|"&amp;ROWS($U$2:$U141),'Per Invoice'!$V$2:$V$401,0),"")</f>
        <v/>
      </c>
    </row>
    <row r="142">
      <c r="A142">
        <f>IF($U142="","",IF(INDEX('Per Invoice'!A$2:A$401,$U142)="","",INDEX('Per Invoice'!A$2:A$401,$U142)))</f>
        <v/>
      </c>
      <c r="B142">
        <f>IF($U142="","",IF(INDEX('Per Invoice'!B$2:B$401,$U142)="","",INDEX('Per Invoice'!B$2:B$401,$U142)))</f>
        <v/>
      </c>
      <c r="C142">
        <f>IF($U142="","",IF(INDEX('Per Invoice'!C$2:C$401,$U142)="","",INDEX('Per Invoice'!C$2:C$401,$U142)))</f>
        <v/>
      </c>
      <c r="D142">
        <f>IF($U142="","",IF(INDEX('Per Invoice'!D$2:D$401,$U142)="","",INDEX('Per Invoice'!D$2:D$401,$U142)))</f>
        <v/>
      </c>
      <c r="E142">
        <f>IF($U142="","",IF(INDEX('Per Invoice'!E$2:E$401,$U142)="","",INDEX('Per Invoice'!E$2:E$401,$U142)))</f>
        <v/>
      </c>
      <c r="F142">
        <f>IF($U142="","",IF(INDEX('Per Invoice'!F$2:F$401,$U142)="","",INDEX('Per Invoice'!F$2:F$401,$U142)))</f>
        <v/>
      </c>
      <c r="G142">
        <f>IF($U142="","",IF(INDEX('Per Invoice'!G$2:G$401,$U142)="","",INDEX('Per Invoice'!G$2:G$401,$U142)))</f>
        <v/>
      </c>
      <c r="H142" s="7">
        <f>IF($U142="","",IF(INDEX('Per Invoice'!H$2:H$401,$U142)="","",INDEX('Per Invoice'!H$2:H$401,$U142)))</f>
        <v/>
      </c>
      <c r="I142" s="14">
        <f>IF($U142="","",IF(INDEX('Per Invoice'!I$2:I$401,$U142)="","",INDEX('Per Invoice'!I$2:I$401,$U142)))</f>
        <v/>
      </c>
      <c r="J142">
        <f>IF($U142="","",IF(INDEX('Per Invoice'!J$2:J$401,$U142)="","",INDEX('Per Invoice'!J$2:J$401,$U142)))</f>
        <v/>
      </c>
      <c r="K142">
        <f>IF($U142="","",IF(INDEX('Per Invoice'!K$2:K$401,$U142)="","",INDEX('Per Invoice'!K$2:K$401,$U142)))</f>
        <v/>
      </c>
      <c r="L142" s="7">
        <f>IF($U142="","",IF(INDEX('Per Invoice'!L$2:L$401,$U142)="","",INDEX('Per Invoice'!L$2:L$401,$U142)))</f>
        <v/>
      </c>
      <c r="M142" s="7">
        <f>IF($U142="","",IF(INDEX('Per Invoice'!M$2:M$401,$U142)="","",INDEX('Per Invoice'!M$2:M$401,$U142)))</f>
        <v/>
      </c>
      <c r="N142">
        <f>IF($U142="","",IF(INDEX('Per Invoice'!N$2:N$401,$U142)="","",INDEX('Per Invoice'!N$2:N$401,$U142)))</f>
        <v/>
      </c>
      <c r="O142" s="7">
        <f>IF($U142="","",IF(INDEX('Per Invoice'!O$2:O$401,$U142)="","",INDEX('Per Invoice'!O$2:O$401,$U142)))</f>
        <v/>
      </c>
      <c r="P142" s="7">
        <f>IF($U142="","",IF(INDEX('Per Invoice'!P$2:P$401,$U142)="","",INDEX('Per Invoice'!P$2:P$401,$U142)))</f>
        <v/>
      </c>
      <c r="Q142" s="7">
        <f>IF($U142="","",IF(INDEX('Per Invoice'!Q$2:Q$401,$U142)="","",INDEX('Per Invoice'!Q$2:Q$401,$U142)))</f>
        <v/>
      </c>
      <c r="R142" s="7">
        <f>IF($U142="","",IF(INDEX('Per Invoice'!R$2:R$401,$U142)="","",INDEX('Per Invoice'!R$2:R$401,$U142)))</f>
        <v/>
      </c>
      <c r="S142" s="7">
        <f>IF($U142="","",IF(INDEX('Per Invoice'!S$2:S$401,$U142)="","",INDEX('Per Invoice'!S$2:S$401,$U142)))</f>
        <v/>
      </c>
      <c r="T142" s="7">
        <f>IF($U142="","",IF(INDEX('Per Invoice'!T$2:T$401,$U142)="","",INDEX('Per Invoice'!T$2:T$401,$U142)))</f>
        <v/>
      </c>
      <c r="U142" s="16">
        <f>IFERROR(MATCH(Settings!$C$30&amp;"|"&amp;ROWS($U$2:$U142),'Per Invoice'!$V$2:$V$401,0),"")</f>
        <v/>
      </c>
    </row>
    <row r="143">
      <c r="A143">
        <f>IF($U143="","",IF(INDEX('Per Invoice'!A$2:A$401,$U143)="","",INDEX('Per Invoice'!A$2:A$401,$U143)))</f>
        <v/>
      </c>
      <c r="B143">
        <f>IF($U143="","",IF(INDEX('Per Invoice'!B$2:B$401,$U143)="","",INDEX('Per Invoice'!B$2:B$401,$U143)))</f>
        <v/>
      </c>
      <c r="C143">
        <f>IF($U143="","",IF(INDEX('Per Invoice'!C$2:C$401,$U143)="","",INDEX('Per Invoice'!C$2:C$401,$U143)))</f>
        <v/>
      </c>
      <c r="D143">
        <f>IF($U143="","",IF(INDEX('Per Invoice'!D$2:D$401,$U143)="","",INDEX('Per Invoice'!D$2:D$401,$U143)))</f>
        <v/>
      </c>
      <c r="E143">
        <f>IF($U143="","",IF(INDEX('Per Invoice'!E$2:E$401,$U143)="","",INDEX('Per Invoice'!E$2:E$401,$U143)))</f>
        <v/>
      </c>
      <c r="F143">
        <f>IF($U143="","",IF(INDEX('Per Invoice'!F$2:F$401,$U143)="","",INDEX('Per Invoice'!F$2:F$401,$U143)))</f>
        <v/>
      </c>
      <c r="G143">
        <f>IF($U143="","",IF(INDEX('Per Invoice'!G$2:G$401,$U143)="","",INDEX('Per Invoice'!G$2:G$401,$U143)))</f>
        <v/>
      </c>
      <c r="H143" s="7">
        <f>IF($U143="","",IF(INDEX('Per Invoice'!H$2:H$401,$U143)="","",INDEX('Per Invoice'!H$2:H$401,$U143)))</f>
        <v/>
      </c>
      <c r="I143" s="14">
        <f>IF($U143="","",IF(INDEX('Per Invoice'!I$2:I$401,$U143)="","",INDEX('Per Invoice'!I$2:I$401,$U143)))</f>
        <v/>
      </c>
      <c r="J143">
        <f>IF($U143="","",IF(INDEX('Per Invoice'!J$2:J$401,$U143)="","",INDEX('Per Invoice'!J$2:J$401,$U143)))</f>
        <v/>
      </c>
      <c r="K143">
        <f>IF($U143="","",IF(INDEX('Per Invoice'!K$2:K$401,$U143)="","",INDEX('Per Invoice'!K$2:K$401,$U143)))</f>
        <v/>
      </c>
      <c r="L143" s="7">
        <f>IF($U143="","",IF(INDEX('Per Invoice'!L$2:L$401,$U143)="","",INDEX('Per Invoice'!L$2:L$401,$U143)))</f>
        <v/>
      </c>
      <c r="M143" s="7">
        <f>IF($U143="","",IF(INDEX('Per Invoice'!M$2:M$401,$U143)="","",INDEX('Per Invoice'!M$2:M$401,$U143)))</f>
        <v/>
      </c>
      <c r="N143">
        <f>IF($U143="","",IF(INDEX('Per Invoice'!N$2:N$401,$U143)="","",INDEX('Per Invoice'!N$2:N$401,$U143)))</f>
        <v/>
      </c>
      <c r="O143" s="7">
        <f>IF($U143="","",IF(INDEX('Per Invoice'!O$2:O$401,$U143)="","",INDEX('Per Invoice'!O$2:O$401,$U143)))</f>
        <v/>
      </c>
      <c r="P143" s="7">
        <f>IF($U143="","",IF(INDEX('Per Invoice'!P$2:P$401,$U143)="","",INDEX('Per Invoice'!P$2:P$401,$U143)))</f>
        <v/>
      </c>
      <c r="Q143" s="7">
        <f>IF($U143="","",IF(INDEX('Per Invoice'!Q$2:Q$401,$U143)="","",INDEX('Per Invoice'!Q$2:Q$401,$U143)))</f>
        <v/>
      </c>
      <c r="R143" s="7">
        <f>IF($U143="","",IF(INDEX('Per Invoice'!R$2:R$401,$U143)="","",INDEX('Per Invoice'!R$2:R$401,$U143)))</f>
        <v/>
      </c>
      <c r="S143" s="7">
        <f>IF($U143="","",IF(INDEX('Per Invoice'!S$2:S$401,$U143)="","",INDEX('Per Invoice'!S$2:S$401,$U143)))</f>
        <v/>
      </c>
      <c r="T143" s="7">
        <f>IF($U143="","",IF(INDEX('Per Invoice'!T$2:T$401,$U143)="","",INDEX('Per Invoice'!T$2:T$401,$U143)))</f>
        <v/>
      </c>
      <c r="U143" s="16">
        <f>IFERROR(MATCH(Settings!$C$30&amp;"|"&amp;ROWS($U$2:$U143),'Per Invoice'!$V$2:$V$401,0),"")</f>
        <v/>
      </c>
    </row>
    <row r="144">
      <c r="A144">
        <f>IF($U144="","",IF(INDEX('Per Invoice'!A$2:A$401,$U144)="","",INDEX('Per Invoice'!A$2:A$401,$U144)))</f>
        <v/>
      </c>
      <c r="B144">
        <f>IF($U144="","",IF(INDEX('Per Invoice'!B$2:B$401,$U144)="","",INDEX('Per Invoice'!B$2:B$401,$U144)))</f>
        <v/>
      </c>
      <c r="C144">
        <f>IF($U144="","",IF(INDEX('Per Invoice'!C$2:C$401,$U144)="","",INDEX('Per Invoice'!C$2:C$401,$U144)))</f>
        <v/>
      </c>
      <c r="D144">
        <f>IF($U144="","",IF(INDEX('Per Invoice'!D$2:D$401,$U144)="","",INDEX('Per Invoice'!D$2:D$401,$U144)))</f>
        <v/>
      </c>
      <c r="E144">
        <f>IF($U144="","",IF(INDEX('Per Invoice'!E$2:E$401,$U144)="","",INDEX('Per Invoice'!E$2:E$401,$U144)))</f>
        <v/>
      </c>
      <c r="F144">
        <f>IF($U144="","",IF(INDEX('Per Invoice'!F$2:F$401,$U144)="","",INDEX('Per Invoice'!F$2:F$401,$U144)))</f>
        <v/>
      </c>
      <c r="G144">
        <f>IF($U144="","",IF(INDEX('Per Invoice'!G$2:G$401,$U144)="","",INDEX('Per Invoice'!G$2:G$401,$U144)))</f>
        <v/>
      </c>
      <c r="H144" s="7">
        <f>IF($U144="","",IF(INDEX('Per Invoice'!H$2:H$401,$U144)="","",INDEX('Per Invoice'!H$2:H$401,$U144)))</f>
        <v/>
      </c>
      <c r="I144" s="14">
        <f>IF($U144="","",IF(INDEX('Per Invoice'!I$2:I$401,$U144)="","",INDEX('Per Invoice'!I$2:I$401,$U144)))</f>
        <v/>
      </c>
      <c r="J144">
        <f>IF($U144="","",IF(INDEX('Per Invoice'!J$2:J$401,$U144)="","",INDEX('Per Invoice'!J$2:J$401,$U144)))</f>
        <v/>
      </c>
      <c r="K144">
        <f>IF($U144="","",IF(INDEX('Per Invoice'!K$2:K$401,$U144)="","",INDEX('Per Invoice'!K$2:K$401,$U144)))</f>
        <v/>
      </c>
      <c r="L144" s="7">
        <f>IF($U144="","",IF(INDEX('Per Invoice'!L$2:L$401,$U144)="","",INDEX('Per Invoice'!L$2:L$401,$U144)))</f>
        <v/>
      </c>
      <c r="M144" s="7">
        <f>IF($U144="","",IF(INDEX('Per Invoice'!M$2:M$401,$U144)="","",INDEX('Per Invoice'!M$2:M$401,$U144)))</f>
        <v/>
      </c>
      <c r="N144">
        <f>IF($U144="","",IF(INDEX('Per Invoice'!N$2:N$401,$U144)="","",INDEX('Per Invoice'!N$2:N$401,$U144)))</f>
        <v/>
      </c>
      <c r="O144" s="7">
        <f>IF($U144="","",IF(INDEX('Per Invoice'!O$2:O$401,$U144)="","",INDEX('Per Invoice'!O$2:O$401,$U144)))</f>
        <v/>
      </c>
      <c r="P144" s="7">
        <f>IF($U144="","",IF(INDEX('Per Invoice'!P$2:P$401,$U144)="","",INDEX('Per Invoice'!P$2:P$401,$U144)))</f>
        <v/>
      </c>
      <c r="Q144" s="7">
        <f>IF($U144="","",IF(INDEX('Per Invoice'!Q$2:Q$401,$U144)="","",INDEX('Per Invoice'!Q$2:Q$401,$U144)))</f>
        <v/>
      </c>
      <c r="R144" s="7">
        <f>IF($U144="","",IF(INDEX('Per Invoice'!R$2:R$401,$U144)="","",INDEX('Per Invoice'!R$2:R$401,$U144)))</f>
        <v/>
      </c>
      <c r="S144" s="7">
        <f>IF($U144="","",IF(INDEX('Per Invoice'!S$2:S$401,$U144)="","",INDEX('Per Invoice'!S$2:S$401,$U144)))</f>
        <v/>
      </c>
      <c r="T144" s="7">
        <f>IF($U144="","",IF(INDEX('Per Invoice'!T$2:T$401,$U144)="","",INDEX('Per Invoice'!T$2:T$401,$U144)))</f>
        <v/>
      </c>
      <c r="U144" s="16">
        <f>IFERROR(MATCH(Settings!$C$30&amp;"|"&amp;ROWS($U$2:$U144),'Per Invoice'!$V$2:$V$401,0),"")</f>
        <v/>
      </c>
    </row>
    <row r="145">
      <c r="A145">
        <f>IF($U145="","",IF(INDEX('Per Invoice'!A$2:A$401,$U145)="","",INDEX('Per Invoice'!A$2:A$401,$U145)))</f>
        <v/>
      </c>
      <c r="B145">
        <f>IF($U145="","",IF(INDEX('Per Invoice'!B$2:B$401,$U145)="","",INDEX('Per Invoice'!B$2:B$401,$U145)))</f>
        <v/>
      </c>
      <c r="C145">
        <f>IF($U145="","",IF(INDEX('Per Invoice'!C$2:C$401,$U145)="","",INDEX('Per Invoice'!C$2:C$401,$U145)))</f>
        <v/>
      </c>
      <c r="D145">
        <f>IF($U145="","",IF(INDEX('Per Invoice'!D$2:D$401,$U145)="","",INDEX('Per Invoice'!D$2:D$401,$U145)))</f>
        <v/>
      </c>
      <c r="E145">
        <f>IF($U145="","",IF(INDEX('Per Invoice'!E$2:E$401,$U145)="","",INDEX('Per Invoice'!E$2:E$401,$U145)))</f>
        <v/>
      </c>
      <c r="F145">
        <f>IF($U145="","",IF(INDEX('Per Invoice'!F$2:F$401,$U145)="","",INDEX('Per Invoice'!F$2:F$401,$U145)))</f>
        <v/>
      </c>
      <c r="G145">
        <f>IF($U145="","",IF(INDEX('Per Invoice'!G$2:G$401,$U145)="","",INDEX('Per Invoice'!G$2:G$401,$U145)))</f>
        <v/>
      </c>
      <c r="H145" s="7">
        <f>IF($U145="","",IF(INDEX('Per Invoice'!H$2:H$401,$U145)="","",INDEX('Per Invoice'!H$2:H$401,$U145)))</f>
        <v/>
      </c>
      <c r="I145" s="14">
        <f>IF($U145="","",IF(INDEX('Per Invoice'!I$2:I$401,$U145)="","",INDEX('Per Invoice'!I$2:I$401,$U145)))</f>
        <v/>
      </c>
      <c r="J145">
        <f>IF($U145="","",IF(INDEX('Per Invoice'!J$2:J$401,$U145)="","",INDEX('Per Invoice'!J$2:J$401,$U145)))</f>
        <v/>
      </c>
      <c r="K145">
        <f>IF($U145="","",IF(INDEX('Per Invoice'!K$2:K$401,$U145)="","",INDEX('Per Invoice'!K$2:K$401,$U145)))</f>
        <v/>
      </c>
      <c r="L145" s="7">
        <f>IF($U145="","",IF(INDEX('Per Invoice'!L$2:L$401,$U145)="","",INDEX('Per Invoice'!L$2:L$401,$U145)))</f>
        <v/>
      </c>
      <c r="M145" s="7">
        <f>IF($U145="","",IF(INDEX('Per Invoice'!M$2:M$401,$U145)="","",INDEX('Per Invoice'!M$2:M$401,$U145)))</f>
        <v/>
      </c>
      <c r="N145">
        <f>IF($U145="","",IF(INDEX('Per Invoice'!N$2:N$401,$U145)="","",INDEX('Per Invoice'!N$2:N$401,$U145)))</f>
        <v/>
      </c>
      <c r="O145" s="7">
        <f>IF($U145="","",IF(INDEX('Per Invoice'!O$2:O$401,$U145)="","",INDEX('Per Invoice'!O$2:O$401,$U145)))</f>
        <v/>
      </c>
      <c r="P145" s="7">
        <f>IF($U145="","",IF(INDEX('Per Invoice'!P$2:P$401,$U145)="","",INDEX('Per Invoice'!P$2:P$401,$U145)))</f>
        <v/>
      </c>
      <c r="Q145" s="7">
        <f>IF($U145="","",IF(INDEX('Per Invoice'!Q$2:Q$401,$U145)="","",INDEX('Per Invoice'!Q$2:Q$401,$U145)))</f>
        <v/>
      </c>
      <c r="R145" s="7">
        <f>IF($U145="","",IF(INDEX('Per Invoice'!R$2:R$401,$U145)="","",INDEX('Per Invoice'!R$2:R$401,$U145)))</f>
        <v/>
      </c>
      <c r="S145" s="7">
        <f>IF($U145="","",IF(INDEX('Per Invoice'!S$2:S$401,$U145)="","",INDEX('Per Invoice'!S$2:S$401,$U145)))</f>
        <v/>
      </c>
      <c r="T145" s="7">
        <f>IF($U145="","",IF(INDEX('Per Invoice'!T$2:T$401,$U145)="","",INDEX('Per Invoice'!T$2:T$401,$U145)))</f>
        <v/>
      </c>
      <c r="U145" s="16">
        <f>IFERROR(MATCH(Settings!$C$30&amp;"|"&amp;ROWS($U$2:$U145),'Per Invoice'!$V$2:$V$401,0),"")</f>
        <v/>
      </c>
    </row>
    <row r="146">
      <c r="A146">
        <f>IF($U146="","",IF(INDEX('Per Invoice'!A$2:A$401,$U146)="","",INDEX('Per Invoice'!A$2:A$401,$U146)))</f>
        <v/>
      </c>
      <c r="B146">
        <f>IF($U146="","",IF(INDEX('Per Invoice'!B$2:B$401,$U146)="","",INDEX('Per Invoice'!B$2:B$401,$U146)))</f>
        <v/>
      </c>
      <c r="C146">
        <f>IF($U146="","",IF(INDEX('Per Invoice'!C$2:C$401,$U146)="","",INDEX('Per Invoice'!C$2:C$401,$U146)))</f>
        <v/>
      </c>
      <c r="D146">
        <f>IF($U146="","",IF(INDEX('Per Invoice'!D$2:D$401,$U146)="","",INDEX('Per Invoice'!D$2:D$401,$U146)))</f>
        <v/>
      </c>
      <c r="E146">
        <f>IF($U146="","",IF(INDEX('Per Invoice'!E$2:E$401,$U146)="","",INDEX('Per Invoice'!E$2:E$401,$U146)))</f>
        <v/>
      </c>
      <c r="F146">
        <f>IF($U146="","",IF(INDEX('Per Invoice'!F$2:F$401,$U146)="","",INDEX('Per Invoice'!F$2:F$401,$U146)))</f>
        <v/>
      </c>
      <c r="G146">
        <f>IF($U146="","",IF(INDEX('Per Invoice'!G$2:G$401,$U146)="","",INDEX('Per Invoice'!G$2:G$401,$U146)))</f>
        <v/>
      </c>
      <c r="H146" s="7">
        <f>IF($U146="","",IF(INDEX('Per Invoice'!H$2:H$401,$U146)="","",INDEX('Per Invoice'!H$2:H$401,$U146)))</f>
        <v/>
      </c>
      <c r="I146" s="14">
        <f>IF($U146="","",IF(INDEX('Per Invoice'!I$2:I$401,$U146)="","",INDEX('Per Invoice'!I$2:I$401,$U146)))</f>
        <v/>
      </c>
      <c r="J146">
        <f>IF($U146="","",IF(INDEX('Per Invoice'!J$2:J$401,$U146)="","",INDEX('Per Invoice'!J$2:J$401,$U146)))</f>
        <v/>
      </c>
      <c r="K146">
        <f>IF($U146="","",IF(INDEX('Per Invoice'!K$2:K$401,$U146)="","",INDEX('Per Invoice'!K$2:K$401,$U146)))</f>
        <v/>
      </c>
      <c r="L146" s="7">
        <f>IF($U146="","",IF(INDEX('Per Invoice'!L$2:L$401,$U146)="","",INDEX('Per Invoice'!L$2:L$401,$U146)))</f>
        <v/>
      </c>
      <c r="M146" s="7">
        <f>IF($U146="","",IF(INDEX('Per Invoice'!M$2:M$401,$U146)="","",INDEX('Per Invoice'!M$2:M$401,$U146)))</f>
        <v/>
      </c>
      <c r="N146">
        <f>IF($U146="","",IF(INDEX('Per Invoice'!N$2:N$401,$U146)="","",INDEX('Per Invoice'!N$2:N$401,$U146)))</f>
        <v/>
      </c>
      <c r="O146" s="7">
        <f>IF($U146="","",IF(INDEX('Per Invoice'!O$2:O$401,$U146)="","",INDEX('Per Invoice'!O$2:O$401,$U146)))</f>
        <v/>
      </c>
      <c r="P146" s="7">
        <f>IF($U146="","",IF(INDEX('Per Invoice'!P$2:P$401,$U146)="","",INDEX('Per Invoice'!P$2:P$401,$U146)))</f>
        <v/>
      </c>
      <c r="Q146" s="7">
        <f>IF($U146="","",IF(INDEX('Per Invoice'!Q$2:Q$401,$U146)="","",INDEX('Per Invoice'!Q$2:Q$401,$U146)))</f>
        <v/>
      </c>
      <c r="R146" s="7">
        <f>IF($U146="","",IF(INDEX('Per Invoice'!R$2:R$401,$U146)="","",INDEX('Per Invoice'!R$2:R$401,$U146)))</f>
        <v/>
      </c>
      <c r="S146" s="7">
        <f>IF($U146="","",IF(INDEX('Per Invoice'!S$2:S$401,$U146)="","",INDEX('Per Invoice'!S$2:S$401,$U146)))</f>
        <v/>
      </c>
      <c r="T146" s="7">
        <f>IF($U146="","",IF(INDEX('Per Invoice'!T$2:T$401,$U146)="","",INDEX('Per Invoice'!T$2:T$401,$U146)))</f>
        <v/>
      </c>
      <c r="U146" s="16">
        <f>IFERROR(MATCH(Settings!$C$30&amp;"|"&amp;ROWS($U$2:$U146),'Per Invoice'!$V$2:$V$401,0),"")</f>
        <v/>
      </c>
    </row>
    <row r="147">
      <c r="A147">
        <f>IF($U147="","",IF(INDEX('Per Invoice'!A$2:A$401,$U147)="","",INDEX('Per Invoice'!A$2:A$401,$U147)))</f>
        <v/>
      </c>
      <c r="B147">
        <f>IF($U147="","",IF(INDEX('Per Invoice'!B$2:B$401,$U147)="","",INDEX('Per Invoice'!B$2:B$401,$U147)))</f>
        <v/>
      </c>
      <c r="C147">
        <f>IF($U147="","",IF(INDEX('Per Invoice'!C$2:C$401,$U147)="","",INDEX('Per Invoice'!C$2:C$401,$U147)))</f>
        <v/>
      </c>
      <c r="D147">
        <f>IF($U147="","",IF(INDEX('Per Invoice'!D$2:D$401,$U147)="","",INDEX('Per Invoice'!D$2:D$401,$U147)))</f>
        <v/>
      </c>
      <c r="E147">
        <f>IF($U147="","",IF(INDEX('Per Invoice'!E$2:E$401,$U147)="","",INDEX('Per Invoice'!E$2:E$401,$U147)))</f>
        <v/>
      </c>
      <c r="F147">
        <f>IF($U147="","",IF(INDEX('Per Invoice'!F$2:F$401,$U147)="","",INDEX('Per Invoice'!F$2:F$401,$U147)))</f>
        <v/>
      </c>
      <c r="G147">
        <f>IF($U147="","",IF(INDEX('Per Invoice'!G$2:G$401,$U147)="","",INDEX('Per Invoice'!G$2:G$401,$U147)))</f>
        <v/>
      </c>
      <c r="H147" s="7">
        <f>IF($U147="","",IF(INDEX('Per Invoice'!H$2:H$401,$U147)="","",INDEX('Per Invoice'!H$2:H$401,$U147)))</f>
        <v/>
      </c>
      <c r="I147" s="14">
        <f>IF($U147="","",IF(INDEX('Per Invoice'!I$2:I$401,$U147)="","",INDEX('Per Invoice'!I$2:I$401,$U147)))</f>
        <v/>
      </c>
      <c r="J147">
        <f>IF($U147="","",IF(INDEX('Per Invoice'!J$2:J$401,$U147)="","",INDEX('Per Invoice'!J$2:J$401,$U147)))</f>
        <v/>
      </c>
      <c r="K147">
        <f>IF($U147="","",IF(INDEX('Per Invoice'!K$2:K$401,$U147)="","",INDEX('Per Invoice'!K$2:K$401,$U147)))</f>
        <v/>
      </c>
      <c r="L147" s="7">
        <f>IF($U147="","",IF(INDEX('Per Invoice'!L$2:L$401,$U147)="","",INDEX('Per Invoice'!L$2:L$401,$U147)))</f>
        <v/>
      </c>
      <c r="M147" s="7">
        <f>IF($U147="","",IF(INDEX('Per Invoice'!M$2:M$401,$U147)="","",INDEX('Per Invoice'!M$2:M$401,$U147)))</f>
        <v/>
      </c>
      <c r="N147">
        <f>IF($U147="","",IF(INDEX('Per Invoice'!N$2:N$401,$U147)="","",INDEX('Per Invoice'!N$2:N$401,$U147)))</f>
        <v/>
      </c>
      <c r="O147" s="7">
        <f>IF($U147="","",IF(INDEX('Per Invoice'!O$2:O$401,$U147)="","",INDEX('Per Invoice'!O$2:O$401,$U147)))</f>
        <v/>
      </c>
      <c r="P147" s="7">
        <f>IF($U147="","",IF(INDEX('Per Invoice'!P$2:P$401,$U147)="","",INDEX('Per Invoice'!P$2:P$401,$U147)))</f>
        <v/>
      </c>
      <c r="Q147" s="7">
        <f>IF($U147="","",IF(INDEX('Per Invoice'!Q$2:Q$401,$U147)="","",INDEX('Per Invoice'!Q$2:Q$401,$U147)))</f>
        <v/>
      </c>
      <c r="R147" s="7">
        <f>IF($U147="","",IF(INDEX('Per Invoice'!R$2:R$401,$U147)="","",INDEX('Per Invoice'!R$2:R$401,$U147)))</f>
        <v/>
      </c>
      <c r="S147" s="7">
        <f>IF($U147="","",IF(INDEX('Per Invoice'!S$2:S$401,$U147)="","",INDEX('Per Invoice'!S$2:S$401,$U147)))</f>
        <v/>
      </c>
      <c r="T147" s="7">
        <f>IF($U147="","",IF(INDEX('Per Invoice'!T$2:T$401,$U147)="","",INDEX('Per Invoice'!T$2:T$401,$U147)))</f>
        <v/>
      </c>
      <c r="U147" s="16">
        <f>IFERROR(MATCH(Settings!$C$30&amp;"|"&amp;ROWS($U$2:$U147),'Per Invoice'!$V$2:$V$401,0),"")</f>
        <v/>
      </c>
    </row>
    <row r="148">
      <c r="A148">
        <f>IF($U148="","",IF(INDEX('Per Invoice'!A$2:A$401,$U148)="","",INDEX('Per Invoice'!A$2:A$401,$U148)))</f>
        <v/>
      </c>
      <c r="B148">
        <f>IF($U148="","",IF(INDEX('Per Invoice'!B$2:B$401,$U148)="","",INDEX('Per Invoice'!B$2:B$401,$U148)))</f>
        <v/>
      </c>
      <c r="C148">
        <f>IF($U148="","",IF(INDEX('Per Invoice'!C$2:C$401,$U148)="","",INDEX('Per Invoice'!C$2:C$401,$U148)))</f>
        <v/>
      </c>
      <c r="D148">
        <f>IF($U148="","",IF(INDEX('Per Invoice'!D$2:D$401,$U148)="","",INDEX('Per Invoice'!D$2:D$401,$U148)))</f>
        <v/>
      </c>
      <c r="E148">
        <f>IF($U148="","",IF(INDEX('Per Invoice'!E$2:E$401,$U148)="","",INDEX('Per Invoice'!E$2:E$401,$U148)))</f>
        <v/>
      </c>
      <c r="F148">
        <f>IF($U148="","",IF(INDEX('Per Invoice'!F$2:F$401,$U148)="","",INDEX('Per Invoice'!F$2:F$401,$U148)))</f>
        <v/>
      </c>
      <c r="G148">
        <f>IF($U148="","",IF(INDEX('Per Invoice'!G$2:G$401,$U148)="","",INDEX('Per Invoice'!G$2:G$401,$U148)))</f>
        <v/>
      </c>
      <c r="H148" s="7">
        <f>IF($U148="","",IF(INDEX('Per Invoice'!H$2:H$401,$U148)="","",INDEX('Per Invoice'!H$2:H$401,$U148)))</f>
        <v/>
      </c>
      <c r="I148" s="14">
        <f>IF($U148="","",IF(INDEX('Per Invoice'!I$2:I$401,$U148)="","",INDEX('Per Invoice'!I$2:I$401,$U148)))</f>
        <v/>
      </c>
      <c r="J148">
        <f>IF($U148="","",IF(INDEX('Per Invoice'!J$2:J$401,$U148)="","",INDEX('Per Invoice'!J$2:J$401,$U148)))</f>
        <v/>
      </c>
      <c r="K148">
        <f>IF($U148="","",IF(INDEX('Per Invoice'!K$2:K$401,$U148)="","",INDEX('Per Invoice'!K$2:K$401,$U148)))</f>
        <v/>
      </c>
      <c r="L148" s="7">
        <f>IF($U148="","",IF(INDEX('Per Invoice'!L$2:L$401,$U148)="","",INDEX('Per Invoice'!L$2:L$401,$U148)))</f>
        <v/>
      </c>
      <c r="M148" s="7">
        <f>IF($U148="","",IF(INDEX('Per Invoice'!M$2:M$401,$U148)="","",INDEX('Per Invoice'!M$2:M$401,$U148)))</f>
        <v/>
      </c>
      <c r="N148">
        <f>IF($U148="","",IF(INDEX('Per Invoice'!N$2:N$401,$U148)="","",INDEX('Per Invoice'!N$2:N$401,$U148)))</f>
        <v/>
      </c>
      <c r="O148" s="7">
        <f>IF($U148="","",IF(INDEX('Per Invoice'!O$2:O$401,$U148)="","",INDEX('Per Invoice'!O$2:O$401,$U148)))</f>
        <v/>
      </c>
      <c r="P148" s="7">
        <f>IF($U148="","",IF(INDEX('Per Invoice'!P$2:P$401,$U148)="","",INDEX('Per Invoice'!P$2:P$401,$U148)))</f>
        <v/>
      </c>
      <c r="Q148" s="7">
        <f>IF($U148="","",IF(INDEX('Per Invoice'!Q$2:Q$401,$U148)="","",INDEX('Per Invoice'!Q$2:Q$401,$U148)))</f>
        <v/>
      </c>
      <c r="R148" s="7">
        <f>IF($U148="","",IF(INDEX('Per Invoice'!R$2:R$401,$U148)="","",INDEX('Per Invoice'!R$2:R$401,$U148)))</f>
        <v/>
      </c>
      <c r="S148" s="7">
        <f>IF($U148="","",IF(INDEX('Per Invoice'!S$2:S$401,$U148)="","",INDEX('Per Invoice'!S$2:S$401,$U148)))</f>
        <v/>
      </c>
      <c r="T148" s="7">
        <f>IF($U148="","",IF(INDEX('Per Invoice'!T$2:T$401,$U148)="","",INDEX('Per Invoice'!T$2:T$401,$U148)))</f>
        <v/>
      </c>
      <c r="U148" s="16">
        <f>IFERROR(MATCH(Settings!$C$30&amp;"|"&amp;ROWS($U$2:$U148),'Per Invoice'!$V$2:$V$401,0),"")</f>
        <v/>
      </c>
    </row>
    <row r="149">
      <c r="A149">
        <f>IF($U149="","",IF(INDEX('Per Invoice'!A$2:A$401,$U149)="","",INDEX('Per Invoice'!A$2:A$401,$U149)))</f>
        <v/>
      </c>
      <c r="B149">
        <f>IF($U149="","",IF(INDEX('Per Invoice'!B$2:B$401,$U149)="","",INDEX('Per Invoice'!B$2:B$401,$U149)))</f>
        <v/>
      </c>
      <c r="C149">
        <f>IF($U149="","",IF(INDEX('Per Invoice'!C$2:C$401,$U149)="","",INDEX('Per Invoice'!C$2:C$401,$U149)))</f>
        <v/>
      </c>
      <c r="D149">
        <f>IF($U149="","",IF(INDEX('Per Invoice'!D$2:D$401,$U149)="","",INDEX('Per Invoice'!D$2:D$401,$U149)))</f>
        <v/>
      </c>
      <c r="E149">
        <f>IF($U149="","",IF(INDEX('Per Invoice'!E$2:E$401,$U149)="","",INDEX('Per Invoice'!E$2:E$401,$U149)))</f>
        <v/>
      </c>
      <c r="F149">
        <f>IF($U149="","",IF(INDEX('Per Invoice'!F$2:F$401,$U149)="","",INDEX('Per Invoice'!F$2:F$401,$U149)))</f>
        <v/>
      </c>
      <c r="G149">
        <f>IF($U149="","",IF(INDEX('Per Invoice'!G$2:G$401,$U149)="","",INDEX('Per Invoice'!G$2:G$401,$U149)))</f>
        <v/>
      </c>
      <c r="H149" s="7">
        <f>IF($U149="","",IF(INDEX('Per Invoice'!H$2:H$401,$U149)="","",INDEX('Per Invoice'!H$2:H$401,$U149)))</f>
        <v/>
      </c>
      <c r="I149" s="14">
        <f>IF($U149="","",IF(INDEX('Per Invoice'!I$2:I$401,$U149)="","",INDEX('Per Invoice'!I$2:I$401,$U149)))</f>
        <v/>
      </c>
      <c r="J149">
        <f>IF($U149="","",IF(INDEX('Per Invoice'!J$2:J$401,$U149)="","",INDEX('Per Invoice'!J$2:J$401,$U149)))</f>
        <v/>
      </c>
      <c r="K149">
        <f>IF($U149="","",IF(INDEX('Per Invoice'!K$2:K$401,$U149)="","",INDEX('Per Invoice'!K$2:K$401,$U149)))</f>
        <v/>
      </c>
      <c r="L149" s="7">
        <f>IF($U149="","",IF(INDEX('Per Invoice'!L$2:L$401,$U149)="","",INDEX('Per Invoice'!L$2:L$401,$U149)))</f>
        <v/>
      </c>
      <c r="M149" s="7">
        <f>IF($U149="","",IF(INDEX('Per Invoice'!M$2:M$401,$U149)="","",INDEX('Per Invoice'!M$2:M$401,$U149)))</f>
        <v/>
      </c>
      <c r="N149">
        <f>IF($U149="","",IF(INDEX('Per Invoice'!N$2:N$401,$U149)="","",INDEX('Per Invoice'!N$2:N$401,$U149)))</f>
        <v/>
      </c>
      <c r="O149" s="7">
        <f>IF($U149="","",IF(INDEX('Per Invoice'!O$2:O$401,$U149)="","",INDEX('Per Invoice'!O$2:O$401,$U149)))</f>
        <v/>
      </c>
      <c r="P149" s="7">
        <f>IF($U149="","",IF(INDEX('Per Invoice'!P$2:P$401,$U149)="","",INDEX('Per Invoice'!P$2:P$401,$U149)))</f>
        <v/>
      </c>
      <c r="Q149" s="7">
        <f>IF($U149="","",IF(INDEX('Per Invoice'!Q$2:Q$401,$U149)="","",INDEX('Per Invoice'!Q$2:Q$401,$U149)))</f>
        <v/>
      </c>
      <c r="R149" s="7">
        <f>IF($U149="","",IF(INDEX('Per Invoice'!R$2:R$401,$U149)="","",INDEX('Per Invoice'!R$2:R$401,$U149)))</f>
        <v/>
      </c>
      <c r="S149" s="7">
        <f>IF($U149="","",IF(INDEX('Per Invoice'!S$2:S$401,$U149)="","",INDEX('Per Invoice'!S$2:S$401,$U149)))</f>
        <v/>
      </c>
      <c r="T149" s="7">
        <f>IF($U149="","",IF(INDEX('Per Invoice'!T$2:T$401,$U149)="","",INDEX('Per Invoice'!T$2:T$401,$U149)))</f>
        <v/>
      </c>
      <c r="U149" s="16">
        <f>IFERROR(MATCH(Settings!$C$30&amp;"|"&amp;ROWS($U$2:$U149),'Per Invoice'!$V$2:$V$401,0),"")</f>
        <v/>
      </c>
    </row>
    <row r="150">
      <c r="A150">
        <f>IF($U150="","",IF(INDEX('Per Invoice'!A$2:A$401,$U150)="","",INDEX('Per Invoice'!A$2:A$401,$U150)))</f>
        <v/>
      </c>
      <c r="B150">
        <f>IF($U150="","",IF(INDEX('Per Invoice'!B$2:B$401,$U150)="","",INDEX('Per Invoice'!B$2:B$401,$U150)))</f>
        <v/>
      </c>
      <c r="C150">
        <f>IF($U150="","",IF(INDEX('Per Invoice'!C$2:C$401,$U150)="","",INDEX('Per Invoice'!C$2:C$401,$U150)))</f>
        <v/>
      </c>
      <c r="D150">
        <f>IF($U150="","",IF(INDEX('Per Invoice'!D$2:D$401,$U150)="","",INDEX('Per Invoice'!D$2:D$401,$U150)))</f>
        <v/>
      </c>
      <c r="E150">
        <f>IF($U150="","",IF(INDEX('Per Invoice'!E$2:E$401,$U150)="","",INDEX('Per Invoice'!E$2:E$401,$U150)))</f>
        <v/>
      </c>
      <c r="F150">
        <f>IF($U150="","",IF(INDEX('Per Invoice'!F$2:F$401,$U150)="","",INDEX('Per Invoice'!F$2:F$401,$U150)))</f>
        <v/>
      </c>
      <c r="G150">
        <f>IF($U150="","",IF(INDEX('Per Invoice'!G$2:G$401,$U150)="","",INDEX('Per Invoice'!G$2:G$401,$U150)))</f>
        <v/>
      </c>
      <c r="H150" s="7">
        <f>IF($U150="","",IF(INDEX('Per Invoice'!H$2:H$401,$U150)="","",INDEX('Per Invoice'!H$2:H$401,$U150)))</f>
        <v/>
      </c>
      <c r="I150" s="14">
        <f>IF($U150="","",IF(INDEX('Per Invoice'!I$2:I$401,$U150)="","",INDEX('Per Invoice'!I$2:I$401,$U150)))</f>
        <v/>
      </c>
      <c r="J150">
        <f>IF($U150="","",IF(INDEX('Per Invoice'!J$2:J$401,$U150)="","",INDEX('Per Invoice'!J$2:J$401,$U150)))</f>
        <v/>
      </c>
      <c r="K150">
        <f>IF($U150="","",IF(INDEX('Per Invoice'!K$2:K$401,$U150)="","",INDEX('Per Invoice'!K$2:K$401,$U150)))</f>
        <v/>
      </c>
      <c r="L150" s="7">
        <f>IF($U150="","",IF(INDEX('Per Invoice'!L$2:L$401,$U150)="","",INDEX('Per Invoice'!L$2:L$401,$U150)))</f>
        <v/>
      </c>
      <c r="M150" s="7">
        <f>IF($U150="","",IF(INDEX('Per Invoice'!M$2:M$401,$U150)="","",INDEX('Per Invoice'!M$2:M$401,$U150)))</f>
        <v/>
      </c>
      <c r="N150">
        <f>IF($U150="","",IF(INDEX('Per Invoice'!N$2:N$401,$U150)="","",INDEX('Per Invoice'!N$2:N$401,$U150)))</f>
        <v/>
      </c>
      <c r="O150" s="7">
        <f>IF($U150="","",IF(INDEX('Per Invoice'!O$2:O$401,$U150)="","",INDEX('Per Invoice'!O$2:O$401,$U150)))</f>
        <v/>
      </c>
      <c r="P150" s="7">
        <f>IF($U150="","",IF(INDEX('Per Invoice'!P$2:P$401,$U150)="","",INDEX('Per Invoice'!P$2:P$401,$U150)))</f>
        <v/>
      </c>
      <c r="Q150" s="7">
        <f>IF($U150="","",IF(INDEX('Per Invoice'!Q$2:Q$401,$U150)="","",INDEX('Per Invoice'!Q$2:Q$401,$U150)))</f>
        <v/>
      </c>
      <c r="R150" s="7">
        <f>IF($U150="","",IF(INDEX('Per Invoice'!R$2:R$401,$U150)="","",INDEX('Per Invoice'!R$2:R$401,$U150)))</f>
        <v/>
      </c>
      <c r="S150" s="7">
        <f>IF($U150="","",IF(INDEX('Per Invoice'!S$2:S$401,$U150)="","",INDEX('Per Invoice'!S$2:S$401,$U150)))</f>
        <v/>
      </c>
      <c r="T150" s="7">
        <f>IF($U150="","",IF(INDEX('Per Invoice'!T$2:T$401,$U150)="","",INDEX('Per Invoice'!T$2:T$401,$U150)))</f>
        <v/>
      </c>
      <c r="U150" s="16">
        <f>IFERROR(MATCH(Settings!$C$30&amp;"|"&amp;ROWS($U$2:$U150),'Per Invoice'!$V$2:$V$401,0),"")</f>
        <v/>
      </c>
    </row>
    <row r="151">
      <c r="A151">
        <f>IF($U151="","",IF(INDEX('Per Invoice'!A$2:A$401,$U151)="","",INDEX('Per Invoice'!A$2:A$401,$U151)))</f>
        <v/>
      </c>
      <c r="B151">
        <f>IF($U151="","",IF(INDEX('Per Invoice'!B$2:B$401,$U151)="","",INDEX('Per Invoice'!B$2:B$401,$U151)))</f>
        <v/>
      </c>
      <c r="C151">
        <f>IF($U151="","",IF(INDEX('Per Invoice'!C$2:C$401,$U151)="","",INDEX('Per Invoice'!C$2:C$401,$U151)))</f>
        <v/>
      </c>
      <c r="D151">
        <f>IF($U151="","",IF(INDEX('Per Invoice'!D$2:D$401,$U151)="","",INDEX('Per Invoice'!D$2:D$401,$U151)))</f>
        <v/>
      </c>
      <c r="E151">
        <f>IF($U151="","",IF(INDEX('Per Invoice'!E$2:E$401,$U151)="","",INDEX('Per Invoice'!E$2:E$401,$U151)))</f>
        <v/>
      </c>
      <c r="F151">
        <f>IF($U151="","",IF(INDEX('Per Invoice'!F$2:F$401,$U151)="","",INDEX('Per Invoice'!F$2:F$401,$U151)))</f>
        <v/>
      </c>
      <c r="G151">
        <f>IF($U151="","",IF(INDEX('Per Invoice'!G$2:G$401,$U151)="","",INDEX('Per Invoice'!G$2:G$401,$U151)))</f>
        <v/>
      </c>
      <c r="H151" s="7">
        <f>IF($U151="","",IF(INDEX('Per Invoice'!H$2:H$401,$U151)="","",INDEX('Per Invoice'!H$2:H$401,$U151)))</f>
        <v/>
      </c>
      <c r="I151" s="14">
        <f>IF($U151="","",IF(INDEX('Per Invoice'!I$2:I$401,$U151)="","",INDEX('Per Invoice'!I$2:I$401,$U151)))</f>
        <v/>
      </c>
      <c r="J151">
        <f>IF($U151="","",IF(INDEX('Per Invoice'!J$2:J$401,$U151)="","",INDEX('Per Invoice'!J$2:J$401,$U151)))</f>
        <v/>
      </c>
      <c r="K151">
        <f>IF($U151="","",IF(INDEX('Per Invoice'!K$2:K$401,$U151)="","",INDEX('Per Invoice'!K$2:K$401,$U151)))</f>
        <v/>
      </c>
      <c r="L151" s="7">
        <f>IF($U151="","",IF(INDEX('Per Invoice'!L$2:L$401,$U151)="","",INDEX('Per Invoice'!L$2:L$401,$U151)))</f>
        <v/>
      </c>
      <c r="M151" s="7">
        <f>IF($U151="","",IF(INDEX('Per Invoice'!M$2:M$401,$U151)="","",INDEX('Per Invoice'!M$2:M$401,$U151)))</f>
        <v/>
      </c>
      <c r="N151">
        <f>IF($U151="","",IF(INDEX('Per Invoice'!N$2:N$401,$U151)="","",INDEX('Per Invoice'!N$2:N$401,$U151)))</f>
        <v/>
      </c>
      <c r="O151" s="7">
        <f>IF($U151="","",IF(INDEX('Per Invoice'!O$2:O$401,$U151)="","",INDEX('Per Invoice'!O$2:O$401,$U151)))</f>
        <v/>
      </c>
      <c r="P151" s="7">
        <f>IF($U151="","",IF(INDEX('Per Invoice'!P$2:P$401,$U151)="","",INDEX('Per Invoice'!P$2:P$401,$U151)))</f>
        <v/>
      </c>
      <c r="Q151" s="7">
        <f>IF($U151="","",IF(INDEX('Per Invoice'!Q$2:Q$401,$U151)="","",INDEX('Per Invoice'!Q$2:Q$401,$U151)))</f>
        <v/>
      </c>
      <c r="R151" s="7">
        <f>IF($U151="","",IF(INDEX('Per Invoice'!R$2:R$401,$U151)="","",INDEX('Per Invoice'!R$2:R$401,$U151)))</f>
        <v/>
      </c>
      <c r="S151" s="7">
        <f>IF($U151="","",IF(INDEX('Per Invoice'!S$2:S$401,$U151)="","",INDEX('Per Invoice'!S$2:S$401,$U151)))</f>
        <v/>
      </c>
      <c r="T151" s="7">
        <f>IF($U151="","",IF(INDEX('Per Invoice'!T$2:T$401,$U151)="","",INDEX('Per Invoice'!T$2:T$401,$U151)))</f>
        <v/>
      </c>
      <c r="U151" s="16">
        <f>IFERROR(MATCH(Settings!$C$30&amp;"|"&amp;ROWS($U$2:$U151),'Per Invoice'!$V$2:$V$401,0),"")</f>
        <v/>
      </c>
    </row>
    <row r="152">
      <c r="A152">
        <f>IF($U152="","",IF(INDEX('Per Invoice'!A$2:A$401,$U152)="","",INDEX('Per Invoice'!A$2:A$401,$U152)))</f>
        <v/>
      </c>
      <c r="B152">
        <f>IF($U152="","",IF(INDEX('Per Invoice'!B$2:B$401,$U152)="","",INDEX('Per Invoice'!B$2:B$401,$U152)))</f>
        <v/>
      </c>
      <c r="C152">
        <f>IF($U152="","",IF(INDEX('Per Invoice'!C$2:C$401,$U152)="","",INDEX('Per Invoice'!C$2:C$401,$U152)))</f>
        <v/>
      </c>
      <c r="D152">
        <f>IF($U152="","",IF(INDEX('Per Invoice'!D$2:D$401,$U152)="","",INDEX('Per Invoice'!D$2:D$401,$U152)))</f>
        <v/>
      </c>
      <c r="E152">
        <f>IF($U152="","",IF(INDEX('Per Invoice'!E$2:E$401,$U152)="","",INDEX('Per Invoice'!E$2:E$401,$U152)))</f>
        <v/>
      </c>
      <c r="F152">
        <f>IF($U152="","",IF(INDEX('Per Invoice'!F$2:F$401,$U152)="","",INDEX('Per Invoice'!F$2:F$401,$U152)))</f>
        <v/>
      </c>
      <c r="G152">
        <f>IF($U152="","",IF(INDEX('Per Invoice'!G$2:G$401,$U152)="","",INDEX('Per Invoice'!G$2:G$401,$U152)))</f>
        <v/>
      </c>
      <c r="H152" s="7">
        <f>IF($U152="","",IF(INDEX('Per Invoice'!H$2:H$401,$U152)="","",INDEX('Per Invoice'!H$2:H$401,$U152)))</f>
        <v/>
      </c>
      <c r="I152" s="14">
        <f>IF($U152="","",IF(INDEX('Per Invoice'!I$2:I$401,$U152)="","",INDEX('Per Invoice'!I$2:I$401,$U152)))</f>
        <v/>
      </c>
      <c r="J152">
        <f>IF($U152="","",IF(INDEX('Per Invoice'!J$2:J$401,$U152)="","",INDEX('Per Invoice'!J$2:J$401,$U152)))</f>
        <v/>
      </c>
      <c r="K152">
        <f>IF($U152="","",IF(INDEX('Per Invoice'!K$2:K$401,$U152)="","",INDEX('Per Invoice'!K$2:K$401,$U152)))</f>
        <v/>
      </c>
      <c r="L152" s="7">
        <f>IF($U152="","",IF(INDEX('Per Invoice'!L$2:L$401,$U152)="","",INDEX('Per Invoice'!L$2:L$401,$U152)))</f>
        <v/>
      </c>
      <c r="M152" s="7">
        <f>IF($U152="","",IF(INDEX('Per Invoice'!M$2:M$401,$U152)="","",INDEX('Per Invoice'!M$2:M$401,$U152)))</f>
        <v/>
      </c>
      <c r="N152">
        <f>IF($U152="","",IF(INDEX('Per Invoice'!N$2:N$401,$U152)="","",INDEX('Per Invoice'!N$2:N$401,$U152)))</f>
        <v/>
      </c>
      <c r="O152" s="7">
        <f>IF($U152="","",IF(INDEX('Per Invoice'!O$2:O$401,$U152)="","",INDEX('Per Invoice'!O$2:O$401,$U152)))</f>
        <v/>
      </c>
      <c r="P152" s="7">
        <f>IF($U152="","",IF(INDEX('Per Invoice'!P$2:P$401,$U152)="","",INDEX('Per Invoice'!P$2:P$401,$U152)))</f>
        <v/>
      </c>
      <c r="Q152" s="7">
        <f>IF($U152="","",IF(INDEX('Per Invoice'!Q$2:Q$401,$U152)="","",INDEX('Per Invoice'!Q$2:Q$401,$U152)))</f>
        <v/>
      </c>
      <c r="R152" s="7">
        <f>IF($U152="","",IF(INDEX('Per Invoice'!R$2:R$401,$U152)="","",INDEX('Per Invoice'!R$2:R$401,$U152)))</f>
        <v/>
      </c>
      <c r="S152" s="7">
        <f>IF($U152="","",IF(INDEX('Per Invoice'!S$2:S$401,$U152)="","",INDEX('Per Invoice'!S$2:S$401,$U152)))</f>
        <v/>
      </c>
      <c r="T152" s="7">
        <f>IF($U152="","",IF(INDEX('Per Invoice'!T$2:T$401,$U152)="","",INDEX('Per Invoice'!T$2:T$401,$U152)))</f>
        <v/>
      </c>
      <c r="U152" s="16">
        <f>IFERROR(MATCH(Settings!$C$30&amp;"|"&amp;ROWS($U$2:$U152),'Per Invoice'!$V$2:$V$401,0),"")</f>
        <v/>
      </c>
    </row>
    <row r="153">
      <c r="A153">
        <f>IF($U153="","",IF(INDEX('Per Invoice'!A$2:A$401,$U153)="","",INDEX('Per Invoice'!A$2:A$401,$U153)))</f>
        <v/>
      </c>
      <c r="B153">
        <f>IF($U153="","",IF(INDEX('Per Invoice'!B$2:B$401,$U153)="","",INDEX('Per Invoice'!B$2:B$401,$U153)))</f>
        <v/>
      </c>
      <c r="C153">
        <f>IF($U153="","",IF(INDEX('Per Invoice'!C$2:C$401,$U153)="","",INDEX('Per Invoice'!C$2:C$401,$U153)))</f>
        <v/>
      </c>
      <c r="D153">
        <f>IF($U153="","",IF(INDEX('Per Invoice'!D$2:D$401,$U153)="","",INDEX('Per Invoice'!D$2:D$401,$U153)))</f>
        <v/>
      </c>
      <c r="E153">
        <f>IF($U153="","",IF(INDEX('Per Invoice'!E$2:E$401,$U153)="","",INDEX('Per Invoice'!E$2:E$401,$U153)))</f>
        <v/>
      </c>
      <c r="F153">
        <f>IF($U153="","",IF(INDEX('Per Invoice'!F$2:F$401,$U153)="","",INDEX('Per Invoice'!F$2:F$401,$U153)))</f>
        <v/>
      </c>
      <c r="G153">
        <f>IF($U153="","",IF(INDEX('Per Invoice'!G$2:G$401,$U153)="","",INDEX('Per Invoice'!G$2:G$401,$U153)))</f>
        <v/>
      </c>
      <c r="H153" s="7">
        <f>IF($U153="","",IF(INDEX('Per Invoice'!H$2:H$401,$U153)="","",INDEX('Per Invoice'!H$2:H$401,$U153)))</f>
        <v/>
      </c>
      <c r="I153" s="14">
        <f>IF($U153="","",IF(INDEX('Per Invoice'!I$2:I$401,$U153)="","",INDEX('Per Invoice'!I$2:I$401,$U153)))</f>
        <v/>
      </c>
      <c r="J153">
        <f>IF($U153="","",IF(INDEX('Per Invoice'!J$2:J$401,$U153)="","",INDEX('Per Invoice'!J$2:J$401,$U153)))</f>
        <v/>
      </c>
      <c r="K153">
        <f>IF($U153="","",IF(INDEX('Per Invoice'!K$2:K$401,$U153)="","",INDEX('Per Invoice'!K$2:K$401,$U153)))</f>
        <v/>
      </c>
      <c r="L153" s="7">
        <f>IF($U153="","",IF(INDEX('Per Invoice'!L$2:L$401,$U153)="","",INDEX('Per Invoice'!L$2:L$401,$U153)))</f>
        <v/>
      </c>
      <c r="M153" s="7">
        <f>IF($U153="","",IF(INDEX('Per Invoice'!M$2:M$401,$U153)="","",INDEX('Per Invoice'!M$2:M$401,$U153)))</f>
        <v/>
      </c>
      <c r="N153">
        <f>IF($U153="","",IF(INDEX('Per Invoice'!N$2:N$401,$U153)="","",INDEX('Per Invoice'!N$2:N$401,$U153)))</f>
        <v/>
      </c>
      <c r="O153" s="7">
        <f>IF($U153="","",IF(INDEX('Per Invoice'!O$2:O$401,$U153)="","",INDEX('Per Invoice'!O$2:O$401,$U153)))</f>
        <v/>
      </c>
      <c r="P153" s="7">
        <f>IF($U153="","",IF(INDEX('Per Invoice'!P$2:P$401,$U153)="","",INDEX('Per Invoice'!P$2:P$401,$U153)))</f>
        <v/>
      </c>
      <c r="Q153" s="7">
        <f>IF($U153="","",IF(INDEX('Per Invoice'!Q$2:Q$401,$U153)="","",INDEX('Per Invoice'!Q$2:Q$401,$U153)))</f>
        <v/>
      </c>
      <c r="R153" s="7">
        <f>IF($U153="","",IF(INDEX('Per Invoice'!R$2:R$401,$U153)="","",INDEX('Per Invoice'!R$2:R$401,$U153)))</f>
        <v/>
      </c>
      <c r="S153" s="7">
        <f>IF($U153="","",IF(INDEX('Per Invoice'!S$2:S$401,$U153)="","",INDEX('Per Invoice'!S$2:S$401,$U153)))</f>
        <v/>
      </c>
      <c r="T153" s="7">
        <f>IF($U153="","",IF(INDEX('Per Invoice'!T$2:T$401,$U153)="","",INDEX('Per Invoice'!T$2:T$401,$U153)))</f>
        <v/>
      </c>
      <c r="U153" s="16">
        <f>IFERROR(MATCH(Settings!$C$30&amp;"|"&amp;ROWS($U$2:$U153),'Per Invoice'!$V$2:$V$401,0),"")</f>
        <v/>
      </c>
    </row>
    <row r="154">
      <c r="A154">
        <f>IF($U154="","",IF(INDEX('Per Invoice'!A$2:A$401,$U154)="","",INDEX('Per Invoice'!A$2:A$401,$U154)))</f>
        <v/>
      </c>
      <c r="B154">
        <f>IF($U154="","",IF(INDEX('Per Invoice'!B$2:B$401,$U154)="","",INDEX('Per Invoice'!B$2:B$401,$U154)))</f>
        <v/>
      </c>
      <c r="C154">
        <f>IF($U154="","",IF(INDEX('Per Invoice'!C$2:C$401,$U154)="","",INDEX('Per Invoice'!C$2:C$401,$U154)))</f>
        <v/>
      </c>
      <c r="D154">
        <f>IF($U154="","",IF(INDEX('Per Invoice'!D$2:D$401,$U154)="","",INDEX('Per Invoice'!D$2:D$401,$U154)))</f>
        <v/>
      </c>
      <c r="E154">
        <f>IF($U154="","",IF(INDEX('Per Invoice'!E$2:E$401,$U154)="","",INDEX('Per Invoice'!E$2:E$401,$U154)))</f>
        <v/>
      </c>
      <c r="F154">
        <f>IF($U154="","",IF(INDEX('Per Invoice'!F$2:F$401,$U154)="","",INDEX('Per Invoice'!F$2:F$401,$U154)))</f>
        <v/>
      </c>
      <c r="G154">
        <f>IF($U154="","",IF(INDEX('Per Invoice'!G$2:G$401,$U154)="","",INDEX('Per Invoice'!G$2:G$401,$U154)))</f>
        <v/>
      </c>
      <c r="H154" s="7">
        <f>IF($U154="","",IF(INDEX('Per Invoice'!H$2:H$401,$U154)="","",INDEX('Per Invoice'!H$2:H$401,$U154)))</f>
        <v/>
      </c>
      <c r="I154" s="14">
        <f>IF($U154="","",IF(INDEX('Per Invoice'!I$2:I$401,$U154)="","",INDEX('Per Invoice'!I$2:I$401,$U154)))</f>
        <v/>
      </c>
      <c r="J154">
        <f>IF($U154="","",IF(INDEX('Per Invoice'!J$2:J$401,$U154)="","",INDEX('Per Invoice'!J$2:J$401,$U154)))</f>
        <v/>
      </c>
      <c r="K154">
        <f>IF($U154="","",IF(INDEX('Per Invoice'!K$2:K$401,$U154)="","",INDEX('Per Invoice'!K$2:K$401,$U154)))</f>
        <v/>
      </c>
      <c r="L154" s="7">
        <f>IF($U154="","",IF(INDEX('Per Invoice'!L$2:L$401,$U154)="","",INDEX('Per Invoice'!L$2:L$401,$U154)))</f>
        <v/>
      </c>
      <c r="M154" s="7">
        <f>IF($U154="","",IF(INDEX('Per Invoice'!M$2:M$401,$U154)="","",INDEX('Per Invoice'!M$2:M$401,$U154)))</f>
        <v/>
      </c>
      <c r="N154">
        <f>IF($U154="","",IF(INDEX('Per Invoice'!N$2:N$401,$U154)="","",INDEX('Per Invoice'!N$2:N$401,$U154)))</f>
        <v/>
      </c>
      <c r="O154" s="7">
        <f>IF($U154="","",IF(INDEX('Per Invoice'!O$2:O$401,$U154)="","",INDEX('Per Invoice'!O$2:O$401,$U154)))</f>
        <v/>
      </c>
      <c r="P154" s="7">
        <f>IF($U154="","",IF(INDEX('Per Invoice'!P$2:P$401,$U154)="","",INDEX('Per Invoice'!P$2:P$401,$U154)))</f>
        <v/>
      </c>
      <c r="Q154" s="7">
        <f>IF($U154="","",IF(INDEX('Per Invoice'!Q$2:Q$401,$U154)="","",INDEX('Per Invoice'!Q$2:Q$401,$U154)))</f>
        <v/>
      </c>
      <c r="R154" s="7">
        <f>IF($U154="","",IF(INDEX('Per Invoice'!R$2:R$401,$U154)="","",INDEX('Per Invoice'!R$2:R$401,$U154)))</f>
        <v/>
      </c>
      <c r="S154" s="7">
        <f>IF($U154="","",IF(INDEX('Per Invoice'!S$2:S$401,$U154)="","",INDEX('Per Invoice'!S$2:S$401,$U154)))</f>
        <v/>
      </c>
      <c r="T154" s="7">
        <f>IF($U154="","",IF(INDEX('Per Invoice'!T$2:T$401,$U154)="","",INDEX('Per Invoice'!T$2:T$401,$U154)))</f>
        <v/>
      </c>
      <c r="U154" s="16">
        <f>IFERROR(MATCH(Settings!$C$30&amp;"|"&amp;ROWS($U$2:$U154),'Per Invoice'!$V$2:$V$401,0),"")</f>
        <v/>
      </c>
    </row>
    <row r="155">
      <c r="A155">
        <f>IF($U155="","",IF(INDEX('Per Invoice'!A$2:A$401,$U155)="","",INDEX('Per Invoice'!A$2:A$401,$U155)))</f>
        <v/>
      </c>
      <c r="B155">
        <f>IF($U155="","",IF(INDEX('Per Invoice'!B$2:B$401,$U155)="","",INDEX('Per Invoice'!B$2:B$401,$U155)))</f>
        <v/>
      </c>
      <c r="C155">
        <f>IF($U155="","",IF(INDEX('Per Invoice'!C$2:C$401,$U155)="","",INDEX('Per Invoice'!C$2:C$401,$U155)))</f>
        <v/>
      </c>
      <c r="D155">
        <f>IF($U155="","",IF(INDEX('Per Invoice'!D$2:D$401,$U155)="","",INDEX('Per Invoice'!D$2:D$401,$U155)))</f>
        <v/>
      </c>
      <c r="E155">
        <f>IF($U155="","",IF(INDEX('Per Invoice'!E$2:E$401,$U155)="","",INDEX('Per Invoice'!E$2:E$401,$U155)))</f>
        <v/>
      </c>
      <c r="F155">
        <f>IF($U155="","",IF(INDEX('Per Invoice'!F$2:F$401,$U155)="","",INDEX('Per Invoice'!F$2:F$401,$U155)))</f>
        <v/>
      </c>
      <c r="G155">
        <f>IF($U155="","",IF(INDEX('Per Invoice'!G$2:G$401,$U155)="","",INDEX('Per Invoice'!G$2:G$401,$U155)))</f>
        <v/>
      </c>
      <c r="H155" s="7">
        <f>IF($U155="","",IF(INDEX('Per Invoice'!H$2:H$401,$U155)="","",INDEX('Per Invoice'!H$2:H$401,$U155)))</f>
        <v/>
      </c>
      <c r="I155" s="14">
        <f>IF($U155="","",IF(INDEX('Per Invoice'!I$2:I$401,$U155)="","",INDEX('Per Invoice'!I$2:I$401,$U155)))</f>
        <v/>
      </c>
      <c r="J155">
        <f>IF($U155="","",IF(INDEX('Per Invoice'!J$2:J$401,$U155)="","",INDEX('Per Invoice'!J$2:J$401,$U155)))</f>
        <v/>
      </c>
      <c r="K155">
        <f>IF($U155="","",IF(INDEX('Per Invoice'!K$2:K$401,$U155)="","",INDEX('Per Invoice'!K$2:K$401,$U155)))</f>
        <v/>
      </c>
      <c r="L155" s="7">
        <f>IF($U155="","",IF(INDEX('Per Invoice'!L$2:L$401,$U155)="","",INDEX('Per Invoice'!L$2:L$401,$U155)))</f>
        <v/>
      </c>
      <c r="M155" s="7">
        <f>IF($U155="","",IF(INDEX('Per Invoice'!M$2:M$401,$U155)="","",INDEX('Per Invoice'!M$2:M$401,$U155)))</f>
        <v/>
      </c>
      <c r="N155">
        <f>IF($U155="","",IF(INDEX('Per Invoice'!N$2:N$401,$U155)="","",INDEX('Per Invoice'!N$2:N$401,$U155)))</f>
        <v/>
      </c>
      <c r="O155" s="7">
        <f>IF($U155="","",IF(INDEX('Per Invoice'!O$2:O$401,$U155)="","",INDEX('Per Invoice'!O$2:O$401,$U155)))</f>
        <v/>
      </c>
      <c r="P155" s="7">
        <f>IF($U155="","",IF(INDEX('Per Invoice'!P$2:P$401,$U155)="","",INDEX('Per Invoice'!P$2:P$401,$U155)))</f>
        <v/>
      </c>
      <c r="Q155" s="7">
        <f>IF($U155="","",IF(INDEX('Per Invoice'!Q$2:Q$401,$U155)="","",INDEX('Per Invoice'!Q$2:Q$401,$U155)))</f>
        <v/>
      </c>
      <c r="R155" s="7">
        <f>IF($U155="","",IF(INDEX('Per Invoice'!R$2:R$401,$U155)="","",INDEX('Per Invoice'!R$2:R$401,$U155)))</f>
        <v/>
      </c>
      <c r="S155" s="7">
        <f>IF($U155="","",IF(INDEX('Per Invoice'!S$2:S$401,$U155)="","",INDEX('Per Invoice'!S$2:S$401,$U155)))</f>
        <v/>
      </c>
      <c r="T155" s="7">
        <f>IF($U155="","",IF(INDEX('Per Invoice'!T$2:T$401,$U155)="","",INDEX('Per Invoice'!T$2:T$401,$U155)))</f>
        <v/>
      </c>
      <c r="U155" s="16">
        <f>IFERROR(MATCH(Settings!$C$30&amp;"|"&amp;ROWS($U$2:$U155),'Per Invoice'!$V$2:$V$401,0),"")</f>
        <v/>
      </c>
    </row>
    <row r="156">
      <c r="A156">
        <f>IF($U156="","",IF(INDEX('Per Invoice'!A$2:A$401,$U156)="","",INDEX('Per Invoice'!A$2:A$401,$U156)))</f>
        <v/>
      </c>
      <c r="B156">
        <f>IF($U156="","",IF(INDEX('Per Invoice'!B$2:B$401,$U156)="","",INDEX('Per Invoice'!B$2:B$401,$U156)))</f>
        <v/>
      </c>
      <c r="C156">
        <f>IF($U156="","",IF(INDEX('Per Invoice'!C$2:C$401,$U156)="","",INDEX('Per Invoice'!C$2:C$401,$U156)))</f>
        <v/>
      </c>
      <c r="D156">
        <f>IF($U156="","",IF(INDEX('Per Invoice'!D$2:D$401,$U156)="","",INDEX('Per Invoice'!D$2:D$401,$U156)))</f>
        <v/>
      </c>
      <c r="E156">
        <f>IF($U156="","",IF(INDEX('Per Invoice'!E$2:E$401,$U156)="","",INDEX('Per Invoice'!E$2:E$401,$U156)))</f>
        <v/>
      </c>
      <c r="F156">
        <f>IF($U156="","",IF(INDEX('Per Invoice'!F$2:F$401,$U156)="","",INDEX('Per Invoice'!F$2:F$401,$U156)))</f>
        <v/>
      </c>
      <c r="G156">
        <f>IF($U156="","",IF(INDEX('Per Invoice'!G$2:G$401,$U156)="","",INDEX('Per Invoice'!G$2:G$401,$U156)))</f>
        <v/>
      </c>
      <c r="H156" s="7">
        <f>IF($U156="","",IF(INDEX('Per Invoice'!H$2:H$401,$U156)="","",INDEX('Per Invoice'!H$2:H$401,$U156)))</f>
        <v/>
      </c>
      <c r="I156" s="14">
        <f>IF($U156="","",IF(INDEX('Per Invoice'!I$2:I$401,$U156)="","",INDEX('Per Invoice'!I$2:I$401,$U156)))</f>
        <v/>
      </c>
      <c r="J156">
        <f>IF($U156="","",IF(INDEX('Per Invoice'!J$2:J$401,$U156)="","",INDEX('Per Invoice'!J$2:J$401,$U156)))</f>
        <v/>
      </c>
      <c r="K156">
        <f>IF($U156="","",IF(INDEX('Per Invoice'!K$2:K$401,$U156)="","",INDEX('Per Invoice'!K$2:K$401,$U156)))</f>
        <v/>
      </c>
      <c r="L156" s="7">
        <f>IF($U156="","",IF(INDEX('Per Invoice'!L$2:L$401,$U156)="","",INDEX('Per Invoice'!L$2:L$401,$U156)))</f>
        <v/>
      </c>
      <c r="M156" s="7">
        <f>IF($U156="","",IF(INDEX('Per Invoice'!M$2:M$401,$U156)="","",INDEX('Per Invoice'!M$2:M$401,$U156)))</f>
        <v/>
      </c>
      <c r="N156">
        <f>IF($U156="","",IF(INDEX('Per Invoice'!N$2:N$401,$U156)="","",INDEX('Per Invoice'!N$2:N$401,$U156)))</f>
        <v/>
      </c>
      <c r="O156" s="7">
        <f>IF($U156="","",IF(INDEX('Per Invoice'!O$2:O$401,$U156)="","",INDEX('Per Invoice'!O$2:O$401,$U156)))</f>
        <v/>
      </c>
      <c r="P156" s="7">
        <f>IF($U156="","",IF(INDEX('Per Invoice'!P$2:P$401,$U156)="","",INDEX('Per Invoice'!P$2:P$401,$U156)))</f>
        <v/>
      </c>
      <c r="Q156" s="7">
        <f>IF($U156="","",IF(INDEX('Per Invoice'!Q$2:Q$401,$U156)="","",INDEX('Per Invoice'!Q$2:Q$401,$U156)))</f>
        <v/>
      </c>
      <c r="R156" s="7">
        <f>IF($U156="","",IF(INDEX('Per Invoice'!R$2:R$401,$U156)="","",INDEX('Per Invoice'!R$2:R$401,$U156)))</f>
        <v/>
      </c>
      <c r="S156" s="7">
        <f>IF($U156="","",IF(INDEX('Per Invoice'!S$2:S$401,$U156)="","",INDEX('Per Invoice'!S$2:S$401,$U156)))</f>
        <v/>
      </c>
      <c r="T156" s="7">
        <f>IF($U156="","",IF(INDEX('Per Invoice'!T$2:T$401,$U156)="","",INDEX('Per Invoice'!T$2:T$401,$U156)))</f>
        <v/>
      </c>
      <c r="U156" s="16">
        <f>IFERROR(MATCH(Settings!$C$30&amp;"|"&amp;ROWS($U$2:$U156),'Per Invoice'!$V$2:$V$401,0),"")</f>
        <v/>
      </c>
    </row>
    <row r="157">
      <c r="A157">
        <f>IF($U157="","",IF(INDEX('Per Invoice'!A$2:A$401,$U157)="","",INDEX('Per Invoice'!A$2:A$401,$U157)))</f>
        <v/>
      </c>
      <c r="B157">
        <f>IF($U157="","",IF(INDEX('Per Invoice'!B$2:B$401,$U157)="","",INDEX('Per Invoice'!B$2:B$401,$U157)))</f>
        <v/>
      </c>
      <c r="C157">
        <f>IF($U157="","",IF(INDEX('Per Invoice'!C$2:C$401,$U157)="","",INDEX('Per Invoice'!C$2:C$401,$U157)))</f>
        <v/>
      </c>
      <c r="D157">
        <f>IF($U157="","",IF(INDEX('Per Invoice'!D$2:D$401,$U157)="","",INDEX('Per Invoice'!D$2:D$401,$U157)))</f>
        <v/>
      </c>
      <c r="E157">
        <f>IF($U157="","",IF(INDEX('Per Invoice'!E$2:E$401,$U157)="","",INDEX('Per Invoice'!E$2:E$401,$U157)))</f>
        <v/>
      </c>
      <c r="F157">
        <f>IF($U157="","",IF(INDEX('Per Invoice'!F$2:F$401,$U157)="","",INDEX('Per Invoice'!F$2:F$401,$U157)))</f>
        <v/>
      </c>
      <c r="G157">
        <f>IF($U157="","",IF(INDEX('Per Invoice'!G$2:G$401,$U157)="","",INDEX('Per Invoice'!G$2:G$401,$U157)))</f>
        <v/>
      </c>
      <c r="H157" s="7">
        <f>IF($U157="","",IF(INDEX('Per Invoice'!H$2:H$401,$U157)="","",INDEX('Per Invoice'!H$2:H$401,$U157)))</f>
        <v/>
      </c>
      <c r="I157" s="14">
        <f>IF($U157="","",IF(INDEX('Per Invoice'!I$2:I$401,$U157)="","",INDEX('Per Invoice'!I$2:I$401,$U157)))</f>
        <v/>
      </c>
      <c r="J157">
        <f>IF($U157="","",IF(INDEX('Per Invoice'!J$2:J$401,$U157)="","",INDEX('Per Invoice'!J$2:J$401,$U157)))</f>
        <v/>
      </c>
      <c r="K157">
        <f>IF($U157="","",IF(INDEX('Per Invoice'!K$2:K$401,$U157)="","",INDEX('Per Invoice'!K$2:K$401,$U157)))</f>
        <v/>
      </c>
      <c r="L157" s="7">
        <f>IF($U157="","",IF(INDEX('Per Invoice'!L$2:L$401,$U157)="","",INDEX('Per Invoice'!L$2:L$401,$U157)))</f>
        <v/>
      </c>
      <c r="M157" s="7">
        <f>IF($U157="","",IF(INDEX('Per Invoice'!M$2:M$401,$U157)="","",INDEX('Per Invoice'!M$2:M$401,$U157)))</f>
        <v/>
      </c>
      <c r="N157">
        <f>IF($U157="","",IF(INDEX('Per Invoice'!N$2:N$401,$U157)="","",INDEX('Per Invoice'!N$2:N$401,$U157)))</f>
        <v/>
      </c>
      <c r="O157" s="7">
        <f>IF($U157="","",IF(INDEX('Per Invoice'!O$2:O$401,$U157)="","",INDEX('Per Invoice'!O$2:O$401,$U157)))</f>
        <v/>
      </c>
      <c r="P157" s="7">
        <f>IF($U157="","",IF(INDEX('Per Invoice'!P$2:P$401,$U157)="","",INDEX('Per Invoice'!P$2:P$401,$U157)))</f>
        <v/>
      </c>
      <c r="Q157" s="7">
        <f>IF($U157="","",IF(INDEX('Per Invoice'!Q$2:Q$401,$U157)="","",INDEX('Per Invoice'!Q$2:Q$401,$U157)))</f>
        <v/>
      </c>
      <c r="R157" s="7">
        <f>IF($U157="","",IF(INDEX('Per Invoice'!R$2:R$401,$U157)="","",INDEX('Per Invoice'!R$2:R$401,$U157)))</f>
        <v/>
      </c>
      <c r="S157" s="7">
        <f>IF($U157="","",IF(INDEX('Per Invoice'!S$2:S$401,$U157)="","",INDEX('Per Invoice'!S$2:S$401,$U157)))</f>
        <v/>
      </c>
      <c r="T157" s="7">
        <f>IF($U157="","",IF(INDEX('Per Invoice'!T$2:T$401,$U157)="","",INDEX('Per Invoice'!T$2:T$401,$U157)))</f>
        <v/>
      </c>
      <c r="U157" s="16">
        <f>IFERROR(MATCH(Settings!$C$30&amp;"|"&amp;ROWS($U$2:$U157),'Per Invoice'!$V$2:$V$401,0),"")</f>
        <v/>
      </c>
    </row>
    <row r="158">
      <c r="A158">
        <f>IF($U158="","",IF(INDEX('Per Invoice'!A$2:A$401,$U158)="","",INDEX('Per Invoice'!A$2:A$401,$U158)))</f>
        <v/>
      </c>
      <c r="B158">
        <f>IF($U158="","",IF(INDEX('Per Invoice'!B$2:B$401,$U158)="","",INDEX('Per Invoice'!B$2:B$401,$U158)))</f>
        <v/>
      </c>
      <c r="C158">
        <f>IF($U158="","",IF(INDEX('Per Invoice'!C$2:C$401,$U158)="","",INDEX('Per Invoice'!C$2:C$401,$U158)))</f>
        <v/>
      </c>
      <c r="D158">
        <f>IF($U158="","",IF(INDEX('Per Invoice'!D$2:D$401,$U158)="","",INDEX('Per Invoice'!D$2:D$401,$U158)))</f>
        <v/>
      </c>
      <c r="E158">
        <f>IF($U158="","",IF(INDEX('Per Invoice'!E$2:E$401,$U158)="","",INDEX('Per Invoice'!E$2:E$401,$U158)))</f>
        <v/>
      </c>
      <c r="F158">
        <f>IF($U158="","",IF(INDEX('Per Invoice'!F$2:F$401,$U158)="","",INDEX('Per Invoice'!F$2:F$401,$U158)))</f>
        <v/>
      </c>
      <c r="G158">
        <f>IF($U158="","",IF(INDEX('Per Invoice'!G$2:G$401,$U158)="","",INDEX('Per Invoice'!G$2:G$401,$U158)))</f>
        <v/>
      </c>
      <c r="H158" s="7">
        <f>IF($U158="","",IF(INDEX('Per Invoice'!H$2:H$401,$U158)="","",INDEX('Per Invoice'!H$2:H$401,$U158)))</f>
        <v/>
      </c>
      <c r="I158" s="14">
        <f>IF($U158="","",IF(INDEX('Per Invoice'!I$2:I$401,$U158)="","",INDEX('Per Invoice'!I$2:I$401,$U158)))</f>
        <v/>
      </c>
      <c r="J158">
        <f>IF($U158="","",IF(INDEX('Per Invoice'!J$2:J$401,$U158)="","",INDEX('Per Invoice'!J$2:J$401,$U158)))</f>
        <v/>
      </c>
      <c r="K158">
        <f>IF($U158="","",IF(INDEX('Per Invoice'!K$2:K$401,$U158)="","",INDEX('Per Invoice'!K$2:K$401,$U158)))</f>
        <v/>
      </c>
      <c r="L158" s="7">
        <f>IF($U158="","",IF(INDEX('Per Invoice'!L$2:L$401,$U158)="","",INDEX('Per Invoice'!L$2:L$401,$U158)))</f>
        <v/>
      </c>
      <c r="M158" s="7">
        <f>IF($U158="","",IF(INDEX('Per Invoice'!M$2:M$401,$U158)="","",INDEX('Per Invoice'!M$2:M$401,$U158)))</f>
        <v/>
      </c>
      <c r="N158">
        <f>IF($U158="","",IF(INDEX('Per Invoice'!N$2:N$401,$U158)="","",INDEX('Per Invoice'!N$2:N$401,$U158)))</f>
        <v/>
      </c>
      <c r="O158" s="7">
        <f>IF($U158="","",IF(INDEX('Per Invoice'!O$2:O$401,$U158)="","",INDEX('Per Invoice'!O$2:O$401,$U158)))</f>
        <v/>
      </c>
      <c r="P158" s="7">
        <f>IF($U158="","",IF(INDEX('Per Invoice'!P$2:P$401,$U158)="","",INDEX('Per Invoice'!P$2:P$401,$U158)))</f>
        <v/>
      </c>
      <c r="Q158" s="7">
        <f>IF($U158="","",IF(INDEX('Per Invoice'!Q$2:Q$401,$U158)="","",INDEX('Per Invoice'!Q$2:Q$401,$U158)))</f>
        <v/>
      </c>
      <c r="R158" s="7">
        <f>IF($U158="","",IF(INDEX('Per Invoice'!R$2:R$401,$U158)="","",INDEX('Per Invoice'!R$2:R$401,$U158)))</f>
        <v/>
      </c>
      <c r="S158" s="7">
        <f>IF($U158="","",IF(INDEX('Per Invoice'!S$2:S$401,$U158)="","",INDEX('Per Invoice'!S$2:S$401,$U158)))</f>
        <v/>
      </c>
      <c r="T158" s="7">
        <f>IF($U158="","",IF(INDEX('Per Invoice'!T$2:T$401,$U158)="","",INDEX('Per Invoice'!T$2:T$401,$U158)))</f>
        <v/>
      </c>
      <c r="U158" s="16">
        <f>IFERROR(MATCH(Settings!$C$30&amp;"|"&amp;ROWS($U$2:$U158),'Per Invoice'!$V$2:$V$401,0),"")</f>
        <v/>
      </c>
    </row>
    <row r="159">
      <c r="A159">
        <f>IF($U159="","",IF(INDEX('Per Invoice'!A$2:A$401,$U159)="","",INDEX('Per Invoice'!A$2:A$401,$U159)))</f>
        <v/>
      </c>
      <c r="B159">
        <f>IF($U159="","",IF(INDEX('Per Invoice'!B$2:B$401,$U159)="","",INDEX('Per Invoice'!B$2:B$401,$U159)))</f>
        <v/>
      </c>
      <c r="C159">
        <f>IF($U159="","",IF(INDEX('Per Invoice'!C$2:C$401,$U159)="","",INDEX('Per Invoice'!C$2:C$401,$U159)))</f>
        <v/>
      </c>
      <c r="D159">
        <f>IF($U159="","",IF(INDEX('Per Invoice'!D$2:D$401,$U159)="","",INDEX('Per Invoice'!D$2:D$401,$U159)))</f>
        <v/>
      </c>
      <c r="E159">
        <f>IF($U159="","",IF(INDEX('Per Invoice'!E$2:E$401,$U159)="","",INDEX('Per Invoice'!E$2:E$401,$U159)))</f>
        <v/>
      </c>
      <c r="F159">
        <f>IF($U159="","",IF(INDEX('Per Invoice'!F$2:F$401,$U159)="","",INDEX('Per Invoice'!F$2:F$401,$U159)))</f>
        <v/>
      </c>
      <c r="G159">
        <f>IF($U159="","",IF(INDEX('Per Invoice'!G$2:G$401,$U159)="","",INDEX('Per Invoice'!G$2:G$401,$U159)))</f>
        <v/>
      </c>
      <c r="H159" s="7">
        <f>IF($U159="","",IF(INDEX('Per Invoice'!H$2:H$401,$U159)="","",INDEX('Per Invoice'!H$2:H$401,$U159)))</f>
        <v/>
      </c>
      <c r="I159" s="14">
        <f>IF($U159="","",IF(INDEX('Per Invoice'!I$2:I$401,$U159)="","",INDEX('Per Invoice'!I$2:I$401,$U159)))</f>
        <v/>
      </c>
      <c r="J159">
        <f>IF($U159="","",IF(INDEX('Per Invoice'!J$2:J$401,$U159)="","",INDEX('Per Invoice'!J$2:J$401,$U159)))</f>
        <v/>
      </c>
      <c r="K159">
        <f>IF($U159="","",IF(INDEX('Per Invoice'!K$2:K$401,$U159)="","",INDEX('Per Invoice'!K$2:K$401,$U159)))</f>
        <v/>
      </c>
      <c r="L159" s="7">
        <f>IF($U159="","",IF(INDEX('Per Invoice'!L$2:L$401,$U159)="","",INDEX('Per Invoice'!L$2:L$401,$U159)))</f>
        <v/>
      </c>
      <c r="M159" s="7">
        <f>IF($U159="","",IF(INDEX('Per Invoice'!M$2:M$401,$U159)="","",INDEX('Per Invoice'!M$2:M$401,$U159)))</f>
        <v/>
      </c>
      <c r="N159">
        <f>IF($U159="","",IF(INDEX('Per Invoice'!N$2:N$401,$U159)="","",INDEX('Per Invoice'!N$2:N$401,$U159)))</f>
        <v/>
      </c>
      <c r="O159" s="7">
        <f>IF($U159="","",IF(INDEX('Per Invoice'!O$2:O$401,$U159)="","",INDEX('Per Invoice'!O$2:O$401,$U159)))</f>
        <v/>
      </c>
      <c r="P159" s="7">
        <f>IF($U159="","",IF(INDEX('Per Invoice'!P$2:P$401,$U159)="","",INDEX('Per Invoice'!P$2:P$401,$U159)))</f>
        <v/>
      </c>
      <c r="Q159" s="7">
        <f>IF($U159="","",IF(INDEX('Per Invoice'!Q$2:Q$401,$U159)="","",INDEX('Per Invoice'!Q$2:Q$401,$U159)))</f>
        <v/>
      </c>
      <c r="R159" s="7">
        <f>IF($U159="","",IF(INDEX('Per Invoice'!R$2:R$401,$U159)="","",INDEX('Per Invoice'!R$2:R$401,$U159)))</f>
        <v/>
      </c>
      <c r="S159" s="7">
        <f>IF($U159="","",IF(INDEX('Per Invoice'!S$2:S$401,$U159)="","",INDEX('Per Invoice'!S$2:S$401,$U159)))</f>
        <v/>
      </c>
      <c r="T159" s="7">
        <f>IF($U159="","",IF(INDEX('Per Invoice'!T$2:T$401,$U159)="","",INDEX('Per Invoice'!T$2:T$401,$U159)))</f>
        <v/>
      </c>
      <c r="U159" s="16">
        <f>IFERROR(MATCH(Settings!$C$30&amp;"|"&amp;ROWS($U$2:$U159),'Per Invoice'!$V$2:$V$401,0),"")</f>
        <v/>
      </c>
    </row>
    <row r="160">
      <c r="A160">
        <f>IF($U160="","",IF(INDEX('Per Invoice'!A$2:A$401,$U160)="","",INDEX('Per Invoice'!A$2:A$401,$U160)))</f>
        <v/>
      </c>
      <c r="B160">
        <f>IF($U160="","",IF(INDEX('Per Invoice'!B$2:B$401,$U160)="","",INDEX('Per Invoice'!B$2:B$401,$U160)))</f>
        <v/>
      </c>
      <c r="C160">
        <f>IF($U160="","",IF(INDEX('Per Invoice'!C$2:C$401,$U160)="","",INDEX('Per Invoice'!C$2:C$401,$U160)))</f>
        <v/>
      </c>
      <c r="D160">
        <f>IF($U160="","",IF(INDEX('Per Invoice'!D$2:D$401,$U160)="","",INDEX('Per Invoice'!D$2:D$401,$U160)))</f>
        <v/>
      </c>
      <c r="E160">
        <f>IF($U160="","",IF(INDEX('Per Invoice'!E$2:E$401,$U160)="","",INDEX('Per Invoice'!E$2:E$401,$U160)))</f>
        <v/>
      </c>
      <c r="F160">
        <f>IF($U160="","",IF(INDEX('Per Invoice'!F$2:F$401,$U160)="","",INDEX('Per Invoice'!F$2:F$401,$U160)))</f>
        <v/>
      </c>
      <c r="G160">
        <f>IF($U160="","",IF(INDEX('Per Invoice'!G$2:G$401,$U160)="","",INDEX('Per Invoice'!G$2:G$401,$U160)))</f>
        <v/>
      </c>
      <c r="H160" s="7">
        <f>IF($U160="","",IF(INDEX('Per Invoice'!H$2:H$401,$U160)="","",INDEX('Per Invoice'!H$2:H$401,$U160)))</f>
        <v/>
      </c>
      <c r="I160" s="14">
        <f>IF($U160="","",IF(INDEX('Per Invoice'!I$2:I$401,$U160)="","",INDEX('Per Invoice'!I$2:I$401,$U160)))</f>
        <v/>
      </c>
      <c r="J160">
        <f>IF($U160="","",IF(INDEX('Per Invoice'!J$2:J$401,$U160)="","",INDEX('Per Invoice'!J$2:J$401,$U160)))</f>
        <v/>
      </c>
      <c r="K160">
        <f>IF($U160="","",IF(INDEX('Per Invoice'!K$2:K$401,$U160)="","",INDEX('Per Invoice'!K$2:K$401,$U160)))</f>
        <v/>
      </c>
      <c r="L160" s="7">
        <f>IF($U160="","",IF(INDEX('Per Invoice'!L$2:L$401,$U160)="","",INDEX('Per Invoice'!L$2:L$401,$U160)))</f>
        <v/>
      </c>
      <c r="M160" s="7">
        <f>IF($U160="","",IF(INDEX('Per Invoice'!M$2:M$401,$U160)="","",INDEX('Per Invoice'!M$2:M$401,$U160)))</f>
        <v/>
      </c>
      <c r="N160">
        <f>IF($U160="","",IF(INDEX('Per Invoice'!N$2:N$401,$U160)="","",INDEX('Per Invoice'!N$2:N$401,$U160)))</f>
        <v/>
      </c>
      <c r="O160" s="7">
        <f>IF($U160="","",IF(INDEX('Per Invoice'!O$2:O$401,$U160)="","",INDEX('Per Invoice'!O$2:O$401,$U160)))</f>
        <v/>
      </c>
      <c r="P160" s="7">
        <f>IF($U160="","",IF(INDEX('Per Invoice'!P$2:P$401,$U160)="","",INDEX('Per Invoice'!P$2:P$401,$U160)))</f>
        <v/>
      </c>
      <c r="Q160" s="7">
        <f>IF($U160="","",IF(INDEX('Per Invoice'!Q$2:Q$401,$U160)="","",INDEX('Per Invoice'!Q$2:Q$401,$U160)))</f>
        <v/>
      </c>
      <c r="R160" s="7">
        <f>IF($U160="","",IF(INDEX('Per Invoice'!R$2:R$401,$U160)="","",INDEX('Per Invoice'!R$2:R$401,$U160)))</f>
        <v/>
      </c>
      <c r="S160" s="7">
        <f>IF($U160="","",IF(INDEX('Per Invoice'!S$2:S$401,$U160)="","",INDEX('Per Invoice'!S$2:S$401,$U160)))</f>
        <v/>
      </c>
      <c r="T160" s="7">
        <f>IF($U160="","",IF(INDEX('Per Invoice'!T$2:T$401,$U160)="","",INDEX('Per Invoice'!T$2:T$401,$U160)))</f>
        <v/>
      </c>
      <c r="U160" s="16">
        <f>IFERROR(MATCH(Settings!$C$30&amp;"|"&amp;ROWS($U$2:$U160),'Per Invoice'!$V$2:$V$401,0),"")</f>
        <v/>
      </c>
    </row>
    <row r="161">
      <c r="A161">
        <f>IF($U161="","",IF(INDEX('Per Invoice'!A$2:A$401,$U161)="","",INDEX('Per Invoice'!A$2:A$401,$U161)))</f>
        <v/>
      </c>
      <c r="B161">
        <f>IF($U161="","",IF(INDEX('Per Invoice'!B$2:B$401,$U161)="","",INDEX('Per Invoice'!B$2:B$401,$U161)))</f>
        <v/>
      </c>
      <c r="C161">
        <f>IF($U161="","",IF(INDEX('Per Invoice'!C$2:C$401,$U161)="","",INDEX('Per Invoice'!C$2:C$401,$U161)))</f>
        <v/>
      </c>
      <c r="D161">
        <f>IF($U161="","",IF(INDEX('Per Invoice'!D$2:D$401,$U161)="","",INDEX('Per Invoice'!D$2:D$401,$U161)))</f>
        <v/>
      </c>
      <c r="E161">
        <f>IF($U161="","",IF(INDEX('Per Invoice'!E$2:E$401,$U161)="","",INDEX('Per Invoice'!E$2:E$401,$U161)))</f>
        <v/>
      </c>
      <c r="F161">
        <f>IF($U161="","",IF(INDEX('Per Invoice'!F$2:F$401,$U161)="","",INDEX('Per Invoice'!F$2:F$401,$U161)))</f>
        <v/>
      </c>
      <c r="G161">
        <f>IF($U161="","",IF(INDEX('Per Invoice'!G$2:G$401,$U161)="","",INDEX('Per Invoice'!G$2:G$401,$U161)))</f>
        <v/>
      </c>
      <c r="H161" s="7">
        <f>IF($U161="","",IF(INDEX('Per Invoice'!H$2:H$401,$U161)="","",INDEX('Per Invoice'!H$2:H$401,$U161)))</f>
        <v/>
      </c>
      <c r="I161" s="14">
        <f>IF($U161="","",IF(INDEX('Per Invoice'!I$2:I$401,$U161)="","",INDEX('Per Invoice'!I$2:I$401,$U161)))</f>
        <v/>
      </c>
      <c r="J161">
        <f>IF($U161="","",IF(INDEX('Per Invoice'!J$2:J$401,$U161)="","",INDEX('Per Invoice'!J$2:J$401,$U161)))</f>
        <v/>
      </c>
      <c r="K161">
        <f>IF($U161="","",IF(INDEX('Per Invoice'!K$2:K$401,$U161)="","",INDEX('Per Invoice'!K$2:K$401,$U161)))</f>
        <v/>
      </c>
      <c r="L161" s="7">
        <f>IF($U161="","",IF(INDEX('Per Invoice'!L$2:L$401,$U161)="","",INDEX('Per Invoice'!L$2:L$401,$U161)))</f>
        <v/>
      </c>
      <c r="M161" s="7">
        <f>IF($U161="","",IF(INDEX('Per Invoice'!M$2:M$401,$U161)="","",INDEX('Per Invoice'!M$2:M$401,$U161)))</f>
        <v/>
      </c>
      <c r="N161">
        <f>IF($U161="","",IF(INDEX('Per Invoice'!N$2:N$401,$U161)="","",INDEX('Per Invoice'!N$2:N$401,$U161)))</f>
        <v/>
      </c>
      <c r="O161" s="7">
        <f>IF($U161="","",IF(INDEX('Per Invoice'!O$2:O$401,$U161)="","",INDEX('Per Invoice'!O$2:O$401,$U161)))</f>
        <v/>
      </c>
      <c r="P161" s="7">
        <f>IF($U161="","",IF(INDEX('Per Invoice'!P$2:P$401,$U161)="","",INDEX('Per Invoice'!P$2:P$401,$U161)))</f>
        <v/>
      </c>
      <c r="Q161" s="7">
        <f>IF($U161="","",IF(INDEX('Per Invoice'!Q$2:Q$401,$U161)="","",INDEX('Per Invoice'!Q$2:Q$401,$U161)))</f>
        <v/>
      </c>
      <c r="R161" s="7">
        <f>IF($U161="","",IF(INDEX('Per Invoice'!R$2:R$401,$U161)="","",INDEX('Per Invoice'!R$2:R$401,$U161)))</f>
        <v/>
      </c>
      <c r="S161" s="7">
        <f>IF($U161="","",IF(INDEX('Per Invoice'!S$2:S$401,$U161)="","",INDEX('Per Invoice'!S$2:S$401,$U161)))</f>
        <v/>
      </c>
      <c r="T161" s="7">
        <f>IF($U161="","",IF(INDEX('Per Invoice'!T$2:T$401,$U161)="","",INDEX('Per Invoice'!T$2:T$401,$U161)))</f>
        <v/>
      </c>
      <c r="U161" s="16">
        <f>IFERROR(MATCH(Settings!$C$30&amp;"|"&amp;ROWS($U$2:$U161),'Per Invoice'!$V$2:$V$401,0),"")</f>
        <v/>
      </c>
    </row>
    <row r="162">
      <c r="A162">
        <f>IF($U162="","",IF(INDEX('Per Invoice'!A$2:A$401,$U162)="","",INDEX('Per Invoice'!A$2:A$401,$U162)))</f>
        <v/>
      </c>
      <c r="B162">
        <f>IF($U162="","",IF(INDEX('Per Invoice'!B$2:B$401,$U162)="","",INDEX('Per Invoice'!B$2:B$401,$U162)))</f>
        <v/>
      </c>
      <c r="C162">
        <f>IF($U162="","",IF(INDEX('Per Invoice'!C$2:C$401,$U162)="","",INDEX('Per Invoice'!C$2:C$401,$U162)))</f>
        <v/>
      </c>
      <c r="D162">
        <f>IF($U162="","",IF(INDEX('Per Invoice'!D$2:D$401,$U162)="","",INDEX('Per Invoice'!D$2:D$401,$U162)))</f>
        <v/>
      </c>
      <c r="E162">
        <f>IF($U162="","",IF(INDEX('Per Invoice'!E$2:E$401,$U162)="","",INDEX('Per Invoice'!E$2:E$401,$U162)))</f>
        <v/>
      </c>
      <c r="F162">
        <f>IF($U162="","",IF(INDEX('Per Invoice'!F$2:F$401,$U162)="","",INDEX('Per Invoice'!F$2:F$401,$U162)))</f>
        <v/>
      </c>
      <c r="G162">
        <f>IF($U162="","",IF(INDEX('Per Invoice'!G$2:G$401,$U162)="","",INDEX('Per Invoice'!G$2:G$401,$U162)))</f>
        <v/>
      </c>
      <c r="H162" s="7">
        <f>IF($U162="","",IF(INDEX('Per Invoice'!H$2:H$401,$U162)="","",INDEX('Per Invoice'!H$2:H$401,$U162)))</f>
        <v/>
      </c>
      <c r="I162" s="14">
        <f>IF($U162="","",IF(INDEX('Per Invoice'!I$2:I$401,$U162)="","",INDEX('Per Invoice'!I$2:I$401,$U162)))</f>
        <v/>
      </c>
      <c r="J162">
        <f>IF($U162="","",IF(INDEX('Per Invoice'!J$2:J$401,$U162)="","",INDEX('Per Invoice'!J$2:J$401,$U162)))</f>
        <v/>
      </c>
      <c r="K162">
        <f>IF($U162="","",IF(INDEX('Per Invoice'!K$2:K$401,$U162)="","",INDEX('Per Invoice'!K$2:K$401,$U162)))</f>
        <v/>
      </c>
      <c r="L162" s="7">
        <f>IF($U162="","",IF(INDEX('Per Invoice'!L$2:L$401,$U162)="","",INDEX('Per Invoice'!L$2:L$401,$U162)))</f>
        <v/>
      </c>
      <c r="M162" s="7">
        <f>IF($U162="","",IF(INDEX('Per Invoice'!M$2:M$401,$U162)="","",INDEX('Per Invoice'!M$2:M$401,$U162)))</f>
        <v/>
      </c>
      <c r="N162">
        <f>IF($U162="","",IF(INDEX('Per Invoice'!N$2:N$401,$U162)="","",INDEX('Per Invoice'!N$2:N$401,$U162)))</f>
        <v/>
      </c>
      <c r="O162" s="7">
        <f>IF($U162="","",IF(INDEX('Per Invoice'!O$2:O$401,$U162)="","",INDEX('Per Invoice'!O$2:O$401,$U162)))</f>
        <v/>
      </c>
      <c r="P162" s="7">
        <f>IF($U162="","",IF(INDEX('Per Invoice'!P$2:P$401,$U162)="","",INDEX('Per Invoice'!P$2:P$401,$U162)))</f>
        <v/>
      </c>
      <c r="Q162" s="7">
        <f>IF($U162="","",IF(INDEX('Per Invoice'!Q$2:Q$401,$U162)="","",INDEX('Per Invoice'!Q$2:Q$401,$U162)))</f>
        <v/>
      </c>
      <c r="R162" s="7">
        <f>IF($U162="","",IF(INDEX('Per Invoice'!R$2:R$401,$U162)="","",INDEX('Per Invoice'!R$2:R$401,$U162)))</f>
        <v/>
      </c>
      <c r="S162" s="7">
        <f>IF($U162="","",IF(INDEX('Per Invoice'!S$2:S$401,$U162)="","",INDEX('Per Invoice'!S$2:S$401,$U162)))</f>
        <v/>
      </c>
      <c r="T162" s="7">
        <f>IF($U162="","",IF(INDEX('Per Invoice'!T$2:T$401,$U162)="","",INDEX('Per Invoice'!T$2:T$401,$U162)))</f>
        <v/>
      </c>
      <c r="U162" s="16">
        <f>IFERROR(MATCH(Settings!$C$30&amp;"|"&amp;ROWS($U$2:$U162),'Per Invoice'!$V$2:$V$401,0),"")</f>
        <v/>
      </c>
    </row>
    <row r="163">
      <c r="A163">
        <f>IF($U163="","",IF(INDEX('Per Invoice'!A$2:A$401,$U163)="","",INDEX('Per Invoice'!A$2:A$401,$U163)))</f>
        <v/>
      </c>
      <c r="B163">
        <f>IF($U163="","",IF(INDEX('Per Invoice'!B$2:B$401,$U163)="","",INDEX('Per Invoice'!B$2:B$401,$U163)))</f>
        <v/>
      </c>
      <c r="C163">
        <f>IF($U163="","",IF(INDEX('Per Invoice'!C$2:C$401,$U163)="","",INDEX('Per Invoice'!C$2:C$401,$U163)))</f>
        <v/>
      </c>
      <c r="D163">
        <f>IF($U163="","",IF(INDEX('Per Invoice'!D$2:D$401,$U163)="","",INDEX('Per Invoice'!D$2:D$401,$U163)))</f>
        <v/>
      </c>
      <c r="E163">
        <f>IF($U163="","",IF(INDEX('Per Invoice'!E$2:E$401,$U163)="","",INDEX('Per Invoice'!E$2:E$401,$U163)))</f>
        <v/>
      </c>
      <c r="F163">
        <f>IF($U163="","",IF(INDEX('Per Invoice'!F$2:F$401,$U163)="","",INDEX('Per Invoice'!F$2:F$401,$U163)))</f>
        <v/>
      </c>
      <c r="G163">
        <f>IF($U163="","",IF(INDEX('Per Invoice'!G$2:G$401,$U163)="","",INDEX('Per Invoice'!G$2:G$401,$U163)))</f>
        <v/>
      </c>
      <c r="H163" s="7">
        <f>IF($U163="","",IF(INDEX('Per Invoice'!H$2:H$401,$U163)="","",INDEX('Per Invoice'!H$2:H$401,$U163)))</f>
        <v/>
      </c>
      <c r="I163" s="14">
        <f>IF($U163="","",IF(INDEX('Per Invoice'!I$2:I$401,$U163)="","",INDEX('Per Invoice'!I$2:I$401,$U163)))</f>
        <v/>
      </c>
      <c r="J163">
        <f>IF($U163="","",IF(INDEX('Per Invoice'!J$2:J$401,$U163)="","",INDEX('Per Invoice'!J$2:J$401,$U163)))</f>
        <v/>
      </c>
      <c r="K163">
        <f>IF($U163="","",IF(INDEX('Per Invoice'!K$2:K$401,$U163)="","",INDEX('Per Invoice'!K$2:K$401,$U163)))</f>
        <v/>
      </c>
      <c r="L163" s="7">
        <f>IF($U163="","",IF(INDEX('Per Invoice'!L$2:L$401,$U163)="","",INDEX('Per Invoice'!L$2:L$401,$U163)))</f>
        <v/>
      </c>
      <c r="M163" s="7">
        <f>IF($U163="","",IF(INDEX('Per Invoice'!M$2:M$401,$U163)="","",INDEX('Per Invoice'!M$2:M$401,$U163)))</f>
        <v/>
      </c>
      <c r="N163">
        <f>IF($U163="","",IF(INDEX('Per Invoice'!N$2:N$401,$U163)="","",INDEX('Per Invoice'!N$2:N$401,$U163)))</f>
        <v/>
      </c>
      <c r="O163" s="7">
        <f>IF($U163="","",IF(INDEX('Per Invoice'!O$2:O$401,$U163)="","",INDEX('Per Invoice'!O$2:O$401,$U163)))</f>
        <v/>
      </c>
      <c r="P163" s="7">
        <f>IF($U163="","",IF(INDEX('Per Invoice'!P$2:P$401,$U163)="","",INDEX('Per Invoice'!P$2:P$401,$U163)))</f>
        <v/>
      </c>
      <c r="Q163" s="7">
        <f>IF($U163="","",IF(INDEX('Per Invoice'!Q$2:Q$401,$U163)="","",INDEX('Per Invoice'!Q$2:Q$401,$U163)))</f>
        <v/>
      </c>
      <c r="R163" s="7">
        <f>IF($U163="","",IF(INDEX('Per Invoice'!R$2:R$401,$U163)="","",INDEX('Per Invoice'!R$2:R$401,$U163)))</f>
        <v/>
      </c>
      <c r="S163" s="7">
        <f>IF($U163="","",IF(INDEX('Per Invoice'!S$2:S$401,$U163)="","",INDEX('Per Invoice'!S$2:S$401,$U163)))</f>
        <v/>
      </c>
      <c r="T163" s="7">
        <f>IF($U163="","",IF(INDEX('Per Invoice'!T$2:T$401,$U163)="","",INDEX('Per Invoice'!T$2:T$401,$U163)))</f>
        <v/>
      </c>
      <c r="U163" s="16">
        <f>IFERROR(MATCH(Settings!$C$30&amp;"|"&amp;ROWS($U$2:$U163),'Per Invoice'!$V$2:$V$401,0),"")</f>
        <v/>
      </c>
    </row>
    <row r="164">
      <c r="A164">
        <f>IF($U164="","",IF(INDEX('Per Invoice'!A$2:A$401,$U164)="","",INDEX('Per Invoice'!A$2:A$401,$U164)))</f>
        <v/>
      </c>
      <c r="B164">
        <f>IF($U164="","",IF(INDEX('Per Invoice'!B$2:B$401,$U164)="","",INDEX('Per Invoice'!B$2:B$401,$U164)))</f>
        <v/>
      </c>
      <c r="C164">
        <f>IF($U164="","",IF(INDEX('Per Invoice'!C$2:C$401,$U164)="","",INDEX('Per Invoice'!C$2:C$401,$U164)))</f>
        <v/>
      </c>
      <c r="D164">
        <f>IF($U164="","",IF(INDEX('Per Invoice'!D$2:D$401,$U164)="","",INDEX('Per Invoice'!D$2:D$401,$U164)))</f>
        <v/>
      </c>
      <c r="E164">
        <f>IF($U164="","",IF(INDEX('Per Invoice'!E$2:E$401,$U164)="","",INDEX('Per Invoice'!E$2:E$401,$U164)))</f>
        <v/>
      </c>
      <c r="F164">
        <f>IF($U164="","",IF(INDEX('Per Invoice'!F$2:F$401,$U164)="","",INDEX('Per Invoice'!F$2:F$401,$U164)))</f>
        <v/>
      </c>
      <c r="G164">
        <f>IF($U164="","",IF(INDEX('Per Invoice'!G$2:G$401,$U164)="","",INDEX('Per Invoice'!G$2:G$401,$U164)))</f>
        <v/>
      </c>
      <c r="H164" s="7">
        <f>IF($U164="","",IF(INDEX('Per Invoice'!H$2:H$401,$U164)="","",INDEX('Per Invoice'!H$2:H$401,$U164)))</f>
        <v/>
      </c>
      <c r="I164" s="14">
        <f>IF($U164="","",IF(INDEX('Per Invoice'!I$2:I$401,$U164)="","",INDEX('Per Invoice'!I$2:I$401,$U164)))</f>
        <v/>
      </c>
      <c r="J164">
        <f>IF($U164="","",IF(INDEX('Per Invoice'!J$2:J$401,$U164)="","",INDEX('Per Invoice'!J$2:J$401,$U164)))</f>
        <v/>
      </c>
      <c r="K164">
        <f>IF($U164="","",IF(INDEX('Per Invoice'!K$2:K$401,$U164)="","",INDEX('Per Invoice'!K$2:K$401,$U164)))</f>
        <v/>
      </c>
      <c r="L164" s="7">
        <f>IF($U164="","",IF(INDEX('Per Invoice'!L$2:L$401,$U164)="","",INDEX('Per Invoice'!L$2:L$401,$U164)))</f>
        <v/>
      </c>
      <c r="M164" s="7">
        <f>IF($U164="","",IF(INDEX('Per Invoice'!M$2:M$401,$U164)="","",INDEX('Per Invoice'!M$2:M$401,$U164)))</f>
        <v/>
      </c>
      <c r="N164">
        <f>IF($U164="","",IF(INDEX('Per Invoice'!N$2:N$401,$U164)="","",INDEX('Per Invoice'!N$2:N$401,$U164)))</f>
        <v/>
      </c>
      <c r="O164" s="7">
        <f>IF($U164="","",IF(INDEX('Per Invoice'!O$2:O$401,$U164)="","",INDEX('Per Invoice'!O$2:O$401,$U164)))</f>
        <v/>
      </c>
      <c r="P164" s="7">
        <f>IF($U164="","",IF(INDEX('Per Invoice'!P$2:P$401,$U164)="","",INDEX('Per Invoice'!P$2:P$401,$U164)))</f>
        <v/>
      </c>
      <c r="Q164" s="7">
        <f>IF($U164="","",IF(INDEX('Per Invoice'!Q$2:Q$401,$U164)="","",INDEX('Per Invoice'!Q$2:Q$401,$U164)))</f>
        <v/>
      </c>
      <c r="R164" s="7">
        <f>IF($U164="","",IF(INDEX('Per Invoice'!R$2:R$401,$U164)="","",INDEX('Per Invoice'!R$2:R$401,$U164)))</f>
        <v/>
      </c>
      <c r="S164" s="7">
        <f>IF($U164="","",IF(INDEX('Per Invoice'!S$2:S$401,$U164)="","",INDEX('Per Invoice'!S$2:S$401,$U164)))</f>
        <v/>
      </c>
      <c r="T164" s="7">
        <f>IF($U164="","",IF(INDEX('Per Invoice'!T$2:T$401,$U164)="","",INDEX('Per Invoice'!T$2:T$401,$U164)))</f>
        <v/>
      </c>
      <c r="U164" s="16">
        <f>IFERROR(MATCH(Settings!$C$30&amp;"|"&amp;ROWS($U$2:$U164),'Per Invoice'!$V$2:$V$401,0),"")</f>
        <v/>
      </c>
    </row>
    <row r="165">
      <c r="A165">
        <f>IF($U165="","",IF(INDEX('Per Invoice'!A$2:A$401,$U165)="","",INDEX('Per Invoice'!A$2:A$401,$U165)))</f>
        <v/>
      </c>
      <c r="B165">
        <f>IF($U165="","",IF(INDEX('Per Invoice'!B$2:B$401,$U165)="","",INDEX('Per Invoice'!B$2:B$401,$U165)))</f>
        <v/>
      </c>
      <c r="C165">
        <f>IF($U165="","",IF(INDEX('Per Invoice'!C$2:C$401,$U165)="","",INDEX('Per Invoice'!C$2:C$401,$U165)))</f>
        <v/>
      </c>
      <c r="D165">
        <f>IF($U165="","",IF(INDEX('Per Invoice'!D$2:D$401,$U165)="","",INDEX('Per Invoice'!D$2:D$401,$U165)))</f>
        <v/>
      </c>
      <c r="E165">
        <f>IF($U165="","",IF(INDEX('Per Invoice'!E$2:E$401,$U165)="","",INDEX('Per Invoice'!E$2:E$401,$U165)))</f>
        <v/>
      </c>
      <c r="F165">
        <f>IF($U165="","",IF(INDEX('Per Invoice'!F$2:F$401,$U165)="","",INDEX('Per Invoice'!F$2:F$401,$U165)))</f>
        <v/>
      </c>
      <c r="G165">
        <f>IF($U165="","",IF(INDEX('Per Invoice'!G$2:G$401,$U165)="","",INDEX('Per Invoice'!G$2:G$401,$U165)))</f>
        <v/>
      </c>
      <c r="H165" s="7">
        <f>IF($U165="","",IF(INDEX('Per Invoice'!H$2:H$401,$U165)="","",INDEX('Per Invoice'!H$2:H$401,$U165)))</f>
        <v/>
      </c>
      <c r="I165" s="14">
        <f>IF($U165="","",IF(INDEX('Per Invoice'!I$2:I$401,$U165)="","",INDEX('Per Invoice'!I$2:I$401,$U165)))</f>
        <v/>
      </c>
      <c r="J165">
        <f>IF($U165="","",IF(INDEX('Per Invoice'!J$2:J$401,$U165)="","",INDEX('Per Invoice'!J$2:J$401,$U165)))</f>
        <v/>
      </c>
      <c r="K165">
        <f>IF($U165="","",IF(INDEX('Per Invoice'!K$2:K$401,$U165)="","",INDEX('Per Invoice'!K$2:K$401,$U165)))</f>
        <v/>
      </c>
      <c r="L165" s="7">
        <f>IF($U165="","",IF(INDEX('Per Invoice'!L$2:L$401,$U165)="","",INDEX('Per Invoice'!L$2:L$401,$U165)))</f>
        <v/>
      </c>
      <c r="M165" s="7">
        <f>IF($U165="","",IF(INDEX('Per Invoice'!M$2:M$401,$U165)="","",INDEX('Per Invoice'!M$2:M$401,$U165)))</f>
        <v/>
      </c>
      <c r="N165">
        <f>IF($U165="","",IF(INDEX('Per Invoice'!N$2:N$401,$U165)="","",INDEX('Per Invoice'!N$2:N$401,$U165)))</f>
        <v/>
      </c>
      <c r="O165" s="7">
        <f>IF($U165="","",IF(INDEX('Per Invoice'!O$2:O$401,$U165)="","",INDEX('Per Invoice'!O$2:O$401,$U165)))</f>
        <v/>
      </c>
      <c r="P165" s="7">
        <f>IF($U165="","",IF(INDEX('Per Invoice'!P$2:P$401,$U165)="","",INDEX('Per Invoice'!P$2:P$401,$U165)))</f>
        <v/>
      </c>
      <c r="Q165" s="7">
        <f>IF($U165="","",IF(INDEX('Per Invoice'!Q$2:Q$401,$U165)="","",INDEX('Per Invoice'!Q$2:Q$401,$U165)))</f>
        <v/>
      </c>
      <c r="R165" s="7">
        <f>IF($U165="","",IF(INDEX('Per Invoice'!R$2:R$401,$U165)="","",INDEX('Per Invoice'!R$2:R$401,$U165)))</f>
        <v/>
      </c>
      <c r="S165" s="7">
        <f>IF($U165="","",IF(INDEX('Per Invoice'!S$2:S$401,$U165)="","",INDEX('Per Invoice'!S$2:S$401,$U165)))</f>
        <v/>
      </c>
      <c r="T165" s="7">
        <f>IF($U165="","",IF(INDEX('Per Invoice'!T$2:T$401,$U165)="","",INDEX('Per Invoice'!T$2:T$401,$U165)))</f>
        <v/>
      </c>
      <c r="U165" s="16">
        <f>IFERROR(MATCH(Settings!$C$30&amp;"|"&amp;ROWS($U$2:$U165),'Per Invoice'!$V$2:$V$401,0),"")</f>
        <v/>
      </c>
    </row>
    <row r="166">
      <c r="A166">
        <f>IF($U166="","",IF(INDEX('Per Invoice'!A$2:A$401,$U166)="","",INDEX('Per Invoice'!A$2:A$401,$U166)))</f>
        <v/>
      </c>
      <c r="B166">
        <f>IF($U166="","",IF(INDEX('Per Invoice'!B$2:B$401,$U166)="","",INDEX('Per Invoice'!B$2:B$401,$U166)))</f>
        <v/>
      </c>
      <c r="C166">
        <f>IF($U166="","",IF(INDEX('Per Invoice'!C$2:C$401,$U166)="","",INDEX('Per Invoice'!C$2:C$401,$U166)))</f>
        <v/>
      </c>
      <c r="D166">
        <f>IF($U166="","",IF(INDEX('Per Invoice'!D$2:D$401,$U166)="","",INDEX('Per Invoice'!D$2:D$401,$U166)))</f>
        <v/>
      </c>
      <c r="E166">
        <f>IF($U166="","",IF(INDEX('Per Invoice'!E$2:E$401,$U166)="","",INDEX('Per Invoice'!E$2:E$401,$U166)))</f>
        <v/>
      </c>
      <c r="F166">
        <f>IF($U166="","",IF(INDEX('Per Invoice'!F$2:F$401,$U166)="","",INDEX('Per Invoice'!F$2:F$401,$U166)))</f>
        <v/>
      </c>
      <c r="G166">
        <f>IF($U166="","",IF(INDEX('Per Invoice'!G$2:G$401,$U166)="","",INDEX('Per Invoice'!G$2:G$401,$U166)))</f>
        <v/>
      </c>
      <c r="H166" s="7">
        <f>IF($U166="","",IF(INDEX('Per Invoice'!H$2:H$401,$U166)="","",INDEX('Per Invoice'!H$2:H$401,$U166)))</f>
        <v/>
      </c>
      <c r="I166" s="14">
        <f>IF($U166="","",IF(INDEX('Per Invoice'!I$2:I$401,$U166)="","",INDEX('Per Invoice'!I$2:I$401,$U166)))</f>
        <v/>
      </c>
      <c r="J166">
        <f>IF($U166="","",IF(INDEX('Per Invoice'!J$2:J$401,$U166)="","",INDEX('Per Invoice'!J$2:J$401,$U166)))</f>
        <v/>
      </c>
      <c r="K166">
        <f>IF($U166="","",IF(INDEX('Per Invoice'!K$2:K$401,$U166)="","",INDEX('Per Invoice'!K$2:K$401,$U166)))</f>
        <v/>
      </c>
      <c r="L166" s="7">
        <f>IF($U166="","",IF(INDEX('Per Invoice'!L$2:L$401,$U166)="","",INDEX('Per Invoice'!L$2:L$401,$U166)))</f>
        <v/>
      </c>
      <c r="M166" s="7">
        <f>IF($U166="","",IF(INDEX('Per Invoice'!M$2:M$401,$U166)="","",INDEX('Per Invoice'!M$2:M$401,$U166)))</f>
        <v/>
      </c>
      <c r="N166">
        <f>IF($U166="","",IF(INDEX('Per Invoice'!N$2:N$401,$U166)="","",INDEX('Per Invoice'!N$2:N$401,$U166)))</f>
        <v/>
      </c>
      <c r="O166" s="7">
        <f>IF($U166="","",IF(INDEX('Per Invoice'!O$2:O$401,$U166)="","",INDEX('Per Invoice'!O$2:O$401,$U166)))</f>
        <v/>
      </c>
      <c r="P166" s="7">
        <f>IF($U166="","",IF(INDEX('Per Invoice'!P$2:P$401,$U166)="","",INDEX('Per Invoice'!P$2:P$401,$U166)))</f>
        <v/>
      </c>
      <c r="Q166" s="7">
        <f>IF($U166="","",IF(INDEX('Per Invoice'!Q$2:Q$401,$U166)="","",INDEX('Per Invoice'!Q$2:Q$401,$U166)))</f>
        <v/>
      </c>
      <c r="R166" s="7">
        <f>IF($U166="","",IF(INDEX('Per Invoice'!R$2:R$401,$U166)="","",INDEX('Per Invoice'!R$2:R$401,$U166)))</f>
        <v/>
      </c>
      <c r="S166" s="7">
        <f>IF($U166="","",IF(INDEX('Per Invoice'!S$2:S$401,$U166)="","",INDEX('Per Invoice'!S$2:S$401,$U166)))</f>
        <v/>
      </c>
      <c r="T166" s="7">
        <f>IF($U166="","",IF(INDEX('Per Invoice'!T$2:T$401,$U166)="","",INDEX('Per Invoice'!T$2:T$401,$U166)))</f>
        <v/>
      </c>
      <c r="U166" s="16">
        <f>IFERROR(MATCH(Settings!$C$30&amp;"|"&amp;ROWS($U$2:$U166),'Per Invoice'!$V$2:$V$401,0),"")</f>
        <v/>
      </c>
    </row>
    <row r="167">
      <c r="A167">
        <f>IF($U167="","",IF(INDEX('Per Invoice'!A$2:A$401,$U167)="","",INDEX('Per Invoice'!A$2:A$401,$U167)))</f>
        <v/>
      </c>
      <c r="B167">
        <f>IF($U167="","",IF(INDEX('Per Invoice'!B$2:B$401,$U167)="","",INDEX('Per Invoice'!B$2:B$401,$U167)))</f>
        <v/>
      </c>
      <c r="C167">
        <f>IF($U167="","",IF(INDEX('Per Invoice'!C$2:C$401,$U167)="","",INDEX('Per Invoice'!C$2:C$401,$U167)))</f>
        <v/>
      </c>
      <c r="D167">
        <f>IF($U167="","",IF(INDEX('Per Invoice'!D$2:D$401,$U167)="","",INDEX('Per Invoice'!D$2:D$401,$U167)))</f>
        <v/>
      </c>
      <c r="E167">
        <f>IF($U167="","",IF(INDEX('Per Invoice'!E$2:E$401,$U167)="","",INDEX('Per Invoice'!E$2:E$401,$U167)))</f>
        <v/>
      </c>
      <c r="F167">
        <f>IF($U167="","",IF(INDEX('Per Invoice'!F$2:F$401,$U167)="","",INDEX('Per Invoice'!F$2:F$401,$U167)))</f>
        <v/>
      </c>
      <c r="G167">
        <f>IF($U167="","",IF(INDEX('Per Invoice'!G$2:G$401,$U167)="","",INDEX('Per Invoice'!G$2:G$401,$U167)))</f>
        <v/>
      </c>
      <c r="H167" s="7">
        <f>IF($U167="","",IF(INDEX('Per Invoice'!H$2:H$401,$U167)="","",INDEX('Per Invoice'!H$2:H$401,$U167)))</f>
        <v/>
      </c>
      <c r="I167" s="14">
        <f>IF($U167="","",IF(INDEX('Per Invoice'!I$2:I$401,$U167)="","",INDEX('Per Invoice'!I$2:I$401,$U167)))</f>
        <v/>
      </c>
      <c r="J167">
        <f>IF($U167="","",IF(INDEX('Per Invoice'!J$2:J$401,$U167)="","",INDEX('Per Invoice'!J$2:J$401,$U167)))</f>
        <v/>
      </c>
      <c r="K167">
        <f>IF($U167="","",IF(INDEX('Per Invoice'!K$2:K$401,$U167)="","",INDEX('Per Invoice'!K$2:K$401,$U167)))</f>
        <v/>
      </c>
      <c r="L167" s="7">
        <f>IF($U167="","",IF(INDEX('Per Invoice'!L$2:L$401,$U167)="","",INDEX('Per Invoice'!L$2:L$401,$U167)))</f>
        <v/>
      </c>
      <c r="M167" s="7">
        <f>IF($U167="","",IF(INDEX('Per Invoice'!M$2:M$401,$U167)="","",INDEX('Per Invoice'!M$2:M$401,$U167)))</f>
        <v/>
      </c>
      <c r="N167">
        <f>IF($U167="","",IF(INDEX('Per Invoice'!N$2:N$401,$U167)="","",INDEX('Per Invoice'!N$2:N$401,$U167)))</f>
        <v/>
      </c>
      <c r="O167" s="7">
        <f>IF($U167="","",IF(INDEX('Per Invoice'!O$2:O$401,$U167)="","",INDEX('Per Invoice'!O$2:O$401,$U167)))</f>
        <v/>
      </c>
      <c r="P167" s="7">
        <f>IF($U167="","",IF(INDEX('Per Invoice'!P$2:P$401,$U167)="","",INDEX('Per Invoice'!P$2:P$401,$U167)))</f>
        <v/>
      </c>
      <c r="Q167" s="7">
        <f>IF($U167="","",IF(INDEX('Per Invoice'!Q$2:Q$401,$U167)="","",INDEX('Per Invoice'!Q$2:Q$401,$U167)))</f>
        <v/>
      </c>
      <c r="R167" s="7">
        <f>IF($U167="","",IF(INDEX('Per Invoice'!R$2:R$401,$U167)="","",INDEX('Per Invoice'!R$2:R$401,$U167)))</f>
        <v/>
      </c>
      <c r="S167" s="7">
        <f>IF($U167="","",IF(INDEX('Per Invoice'!S$2:S$401,$U167)="","",INDEX('Per Invoice'!S$2:S$401,$U167)))</f>
        <v/>
      </c>
      <c r="T167" s="7">
        <f>IF($U167="","",IF(INDEX('Per Invoice'!T$2:T$401,$U167)="","",INDEX('Per Invoice'!T$2:T$401,$U167)))</f>
        <v/>
      </c>
      <c r="U167" s="16">
        <f>IFERROR(MATCH(Settings!$C$30&amp;"|"&amp;ROWS($U$2:$U167),'Per Invoice'!$V$2:$V$401,0),"")</f>
        <v/>
      </c>
    </row>
    <row r="168">
      <c r="A168">
        <f>IF($U168="","",IF(INDEX('Per Invoice'!A$2:A$401,$U168)="","",INDEX('Per Invoice'!A$2:A$401,$U168)))</f>
        <v/>
      </c>
      <c r="B168">
        <f>IF($U168="","",IF(INDEX('Per Invoice'!B$2:B$401,$U168)="","",INDEX('Per Invoice'!B$2:B$401,$U168)))</f>
        <v/>
      </c>
      <c r="C168">
        <f>IF($U168="","",IF(INDEX('Per Invoice'!C$2:C$401,$U168)="","",INDEX('Per Invoice'!C$2:C$401,$U168)))</f>
        <v/>
      </c>
      <c r="D168">
        <f>IF($U168="","",IF(INDEX('Per Invoice'!D$2:D$401,$U168)="","",INDEX('Per Invoice'!D$2:D$401,$U168)))</f>
        <v/>
      </c>
      <c r="E168">
        <f>IF($U168="","",IF(INDEX('Per Invoice'!E$2:E$401,$U168)="","",INDEX('Per Invoice'!E$2:E$401,$U168)))</f>
        <v/>
      </c>
      <c r="F168">
        <f>IF($U168="","",IF(INDEX('Per Invoice'!F$2:F$401,$U168)="","",INDEX('Per Invoice'!F$2:F$401,$U168)))</f>
        <v/>
      </c>
      <c r="G168">
        <f>IF($U168="","",IF(INDEX('Per Invoice'!G$2:G$401,$U168)="","",INDEX('Per Invoice'!G$2:G$401,$U168)))</f>
        <v/>
      </c>
      <c r="H168" s="7">
        <f>IF($U168="","",IF(INDEX('Per Invoice'!H$2:H$401,$U168)="","",INDEX('Per Invoice'!H$2:H$401,$U168)))</f>
        <v/>
      </c>
      <c r="I168" s="14">
        <f>IF($U168="","",IF(INDEX('Per Invoice'!I$2:I$401,$U168)="","",INDEX('Per Invoice'!I$2:I$401,$U168)))</f>
        <v/>
      </c>
      <c r="J168">
        <f>IF($U168="","",IF(INDEX('Per Invoice'!J$2:J$401,$U168)="","",INDEX('Per Invoice'!J$2:J$401,$U168)))</f>
        <v/>
      </c>
      <c r="K168">
        <f>IF($U168="","",IF(INDEX('Per Invoice'!K$2:K$401,$U168)="","",INDEX('Per Invoice'!K$2:K$401,$U168)))</f>
        <v/>
      </c>
      <c r="L168" s="7">
        <f>IF($U168="","",IF(INDEX('Per Invoice'!L$2:L$401,$U168)="","",INDEX('Per Invoice'!L$2:L$401,$U168)))</f>
        <v/>
      </c>
      <c r="M168" s="7">
        <f>IF($U168="","",IF(INDEX('Per Invoice'!M$2:M$401,$U168)="","",INDEX('Per Invoice'!M$2:M$401,$U168)))</f>
        <v/>
      </c>
      <c r="N168">
        <f>IF($U168="","",IF(INDEX('Per Invoice'!N$2:N$401,$U168)="","",INDEX('Per Invoice'!N$2:N$401,$U168)))</f>
        <v/>
      </c>
      <c r="O168" s="7">
        <f>IF($U168="","",IF(INDEX('Per Invoice'!O$2:O$401,$U168)="","",INDEX('Per Invoice'!O$2:O$401,$U168)))</f>
        <v/>
      </c>
      <c r="P168" s="7">
        <f>IF($U168="","",IF(INDEX('Per Invoice'!P$2:P$401,$U168)="","",INDEX('Per Invoice'!P$2:P$401,$U168)))</f>
        <v/>
      </c>
      <c r="Q168" s="7">
        <f>IF($U168="","",IF(INDEX('Per Invoice'!Q$2:Q$401,$U168)="","",INDEX('Per Invoice'!Q$2:Q$401,$U168)))</f>
        <v/>
      </c>
      <c r="R168" s="7">
        <f>IF($U168="","",IF(INDEX('Per Invoice'!R$2:R$401,$U168)="","",INDEX('Per Invoice'!R$2:R$401,$U168)))</f>
        <v/>
      </c>
      <c r="S168" s="7">
        <f>IF($U168="","",IF(INDEX('Per Invoice'!S$2:S$401,$U168)="","",INDEX('Per Invoice'!S$2:S$401,$U168)))</f>
        <v/>
      </c>
      <c r="T168" s="7">
        <f>IF($U168="","",IF(INDEX('Per Invoice'!T$2:T$401,$U168)="","",INDEX('Per Invoice'!T$2:T$401,$U168)))</f>
        <v/>
      </c>
      <c r="U168" s="16">
        <f>IFERROR(MATCH(Settings!$C$30&amp;"|"&amp;ROWS($U$2:$U168),'Per Invoice'!$V$2:$V$401,0),"")</f>
        <v/>
      </c>
    </row>
    <row r="169">
      <c r="A169">
        <f>IF($U169="","",IF(INDEX('Per Invoice'!A$2:A$401,$U169)="","",INDEX('Per Invoice'!A$2:A$401,$U169)))</f>
        <v/>
      </c>
      <c r="B169">
        <f>IF($U169="","",IF(INDEX('Per Invoice'!B$2:B$401,$U169)="","",INDEX('Per Invoice'!B$2:B$401,$U169)))</f>
        <v/>
      </c>
      <c r="C169">
        <f>IF($U169="","",IF(INDEX('Per Invoice'!C$2:C$401,$U169)="","",INDEX('Per Invoice'!C$2:C$401,$U169)))</f>
        <v/>
      </c>
      <c r="D169">
        <f>IF($U169="","",IF(INDEX('Per Invoice'!D$2:D$401,$U169)="","",INDEX('Per Invoice'!D$2:D$401,$U169)))</f>
        <v/>
      </c>
      <c r="E169">
        <f>IF($U169="","",IF(INDEX('Per Invoice'!E$2:E$401,$U169)="","",INDEX('Per Invoice'!E$2:E$401,$U169)))</f>
        <v/>
      </c>
      <c r="F169">
        <f>IF($U169="","",IF(INDEX('Per Invoice'!F$2:F$401,$U169)="","",INDEX('Per Invoice'!F$2:F$401,$U169)))</f>
        <v/>
      </c>
      <c r="G169">
        <f>IF($U169="","",IF(INDEX('Per Invoice'!G$2:G$401,$U169)="","",INDEX('Per Invoice'!G$2:G$401,$U169)))</f>
        <v/>
      </c>
      <c r="H169" s="7">
        <f>IF($U169="","",IF(INDEX('Per Invoice'!H$2:H$401,$U169)="","",INDEX('Per Invoice'!H$2:H$401,$U169)))</f>
        <v/>
      </c>
      <c r="I169" s="14">
        <f>IF($U169="","",IF(INDEX('Per Invoice'!I$2:I$401,$U169)="","",INDEX('Per Invoice'!I$2:I$401,$U169)))</f>
        <v/>
      </c>
      <c r="J169">
        <f>IF($U169="","",IF(INDEX('Per Invoice'!J$2:J$401,$U169)="","",INDEX('Per Invoice'!J$2:J$401,$U169)))</f>
        <v/>
      </c>
      <c r="K169">
        <f>IF($U169="","",IF(INDEX('Per Invoice'!K$2:K$401,$U169)="","",INDEX('Per Invoice'!K$2:K$401,$U169)))</f>
        <v/>
      </c>
      <c r="L169" s="7">
        <f>IF($U169="","",IF(INDEX('Per Invoice'!L$2:L$401,$U169)="","",INDEX('Per Invoice'!L$2:L$401,$U169)))</f>
        <v/>
      </c>
      <c r="M169" s="7">
        <f>IF($U169="","",IF(INDEX('Per Invoice'!M$2:M$401,$U169)="","",INDEX('Per Invoice'!M$2:M$401,$U169)))</f>
        <v/>
      </c>
      <c r="N169">
        <f>IF($U169="","",IF(INDEX('Per Invoice'!N$2:N$401,$U169)="","",INDEX('Per Invoice'!N$2:N$401,$U169)))</f>
        <v/>
      </c>
      <c r="O169" s="7">
        <f>IF($U169="","",IF(INDEX('Per Invoice'!O$2:O$401,$U169)="","",INDEX('Per Invoice'!O$2:O$401,$U169)))</f>
        <v/>
      </c>
      <c r="P169" s="7">
        <f>IF($U169="","",IF(INDEX('Per Invoice'!P$2:P$401,$U169)="","",INDEX('Per Invoice'!P$2:P$401,$U169)))</f>
        <v/>
      </c>
      <c r="Q169" s="7">
        <f>IF($U169="","",IF(INDEX('Per Invoice'!Q$2:Q$401,$U169)="","",INDEX('Per Invoice'!Q$2:Q$401,$U169)))</f>
        <v/>
      </c>
      <c r="R169" s="7">
        <f>IF($U169="","",IF(INDEX('Per Invoice'!R$2:R$401,$U169)="","",INDEX('Per Invoice'!R$2:R$401,$U169)))</f>
        <v/>
      </c>
      <c r="S169" s="7">
        <f>IF($U169="","",IF(INDEX('Per Invoice'!S$2:S$401,$U169)="","",INDEX('Per Invoice'!S$2:S$401,$U169)))</f>
        <v/>
      </c>
      <c r="T169" s="7">
        <f>IF($U169="","",IF(INDEX('Per Invoice'!T$2:T$401,$U169)="","",INDEX('Per Invoice'!T$2:T$401,$U169)))</f>
        <v/>
      </c>
      <c r="U169" s="16">
        <f>IFERROR(MATCH(Settings!$C$30&amp;"|"&amp;ROWS($U$2:$U169),'Per Invoice'!$V$2:$V$401,0),"")</f>
        <v/>
      </c>
    </row>
    <row r="170">
      <c r="A170">
        <f>IF($U170="","",IF(INDEX('Per Invoice'!A$2:A$401,$U170)="","",INDEX('Per Invoice'!A$2:A$401,$U170)))</f>
        <v/>
      </c>
      <c r="B170">
        <f>IF($U170="","",IF(INDEX('Per Invoice'!B$2:B$401,$U170)="","",INDEX('Per Invoice'!B$2:B$401,$U170)))</f>
        <v/>
      </c>
      <c r="C170">
        <f>IF($U170="","",IF(INDEX('Per Invoice'!C$2:C$401,$U170)="","",INDEX('Per Invoice'!C$2:C$401,$U170)))</f>
        <v/>
      </c>
      <c r="D170">
        <f>IF($U170="","",IF(INDEX('Per Invoice'!D$2:D$401,$U170)="","",INDEX('Per Invoice'!D$2:D$401,$U170)))</f>
        <v/>
      </c>
      <c r="E170">
        <f>IF($U170="","",IF(INDEX('Per Invoice'!E$2:E$401,$U170)="","",INDEX('Per Invoice'!E$2:E$401,$U170)))</f>
        <v/>
      </c>
      <c r="F170">
        <f>IF($U170="","",IF(INDEX('Per Invoice'!F$2:F$401,$U170)="","",INDEX('Per Invoice'!F$2:F$401,$U170)))</f>
        <v/>
      </c>
      <c r="G170">
        <f>IF($U170="","",IF(INDEX('Per Invoice'!G$2:G$401,$U170)="","",INDEX('Per Invoice'!G$2:G$401,$U170)))</f>
        <v/>
      </c>
      <c r="H170" s="7">
        <f>IF($U170="","",IF(INDEX('Per Invoice'!H$2:H$401,$U170)="","",INDEX('Per Invoice'!H$2:H$401,$U170)))</f>
        <v/>
      </c>
      <c r="I170" s="14">
        <f>IF($U170="","",IF(INDEX('Per Invoice'!I$2:I$401,$U170)="","",INDEX('Per Invoice'!I$2:I$401,$U170)))</f>
        <v/>
      </c>
      <c r="J170">
        <f>IF($U170="","",IF(INDEX('Per Invoice'!J$2:J$401,$U170)="","",INDEX('Per Invoice'!J$2:J$401,$U170)))</f>
        <v/>
      </c>
      <c r="K170">
        <f>IF($U170="","",IF(INDEX('Per Invoice'!K$2:K$401,$U170)="","",INDEX('Per Invoice'!K$2:K$401,$U170)))</f>
        <v/>
      </c>
      <c r="L170" s="7">
        <f>IF($U170="","",IF(INDEX('Per Invoice'!L$2:L$401,$U170)="","",INDEX('Per Invoice'!L$2:L$401,$U170)))</f>
        <v/>
      </c>
      <c r="M170" s="7">
        <f>IF($U170="","",IF(INDEX('Per Invoice'!M$2:M$401,$U170)="","",INDEX('Per Invoice'!M$2:M$401,$U170)))</f>
        <v/>
      </c>
      <c r="N170">
        <f>IF($U170="","",IF(INDEX('Per Invoice'!N$2:N$401,$U170)="","",INDEX('Per Invoice'!N$2:N$401,$U170)))</f>
        <v/>
      </c>
      <c r="O170" s="7">
        <f>IF($U170="","",IF(INDEX('Per Invoice'!O$2:O$401,$U170)="","",INDEX('Per Invoice'!O$2:O$401,$U170)))</f>
        <v/>
      </c>
      <c r="P170" s="7">
        <f>IF($U170="","",IF(INDEX('Per Invoice'!P$2:P$401,$U170)="","",INDEX('Per Invoice'!P$2:P$401,$U170)))</f>
        <v/>
      </c>
      <c r="Q170" s="7">
        <f>IF($U170="","",IF(INDEX('Per Invoice'!Q$2:Q$401,$U170)="","",INDEX('Per Invoice'!Q$2:Q$401,$U170)))</f>
        <v/>
      </c>
      <c r="R170" s="7">
        <f>IF($U170="","",IF(INDEX('Per Invoice'!R$2:R$401,$U170)="","",INDEX('Per Invoice'!R$2:R$401,$U170)))</f>
        <v/>
      </c>
      <c r="S170" s="7">
        <f>IF($U170="","",IF(INDEX('Per Invoice'!S$2:S$401,$U170)="","",INDEX('Per Invoice'!S$2:S$401,$U170)))</f>
        <v/>
      </c>
      <c r="T170" s="7">
        <f>IF($U170="","",IF(INDEX('Per Invoice'!T$2:T$401,$U170)="","",INDEX('Per Invoice'!T$2:T$401,$U170)))</f>
        <v/>
      </c>
      <c r="U170" s="16">
        <f>IFERROR(MATCH(Settings!$C$30&amp;"|"&amp;ROWS($U$2:$U170),'Per Invoice'!$V$2:$V$401,0),"")</f>
        <v/>
      </c>
    </row>
    <row r="171">
      <c r="A171">
        <f>IF($U171="","",IF(INDEX('Per Invoice'!A$2:A$401,$U171)="","",INDEX('Per Invoice'!A$2:A$401,$U171)))</f>
        <v/>
      </c>
      <c r="B171">
        <f>IF($U171="","",IF(INDEX('Per Invoice'!B$2:B$401,$U171)="","",INDEX('Per Invoice'!B$2:B$401,$U171)))</f>
        <v/>
      </c>
      <c r="C171">
        <f>IF($U171="","",IF(INDEX('Per Invoice'!C$2:C$401,$U171)="","",INDEX('Per Invoice'!C$2:C$401,$U171)))</f>
        <v/>
      </c>
      <c r="D171">
        <f>IF($U171="","",IF(INDEX('Per Invoice'!D$2:D$401,$U171)="","",INDEX('Per Invoice'!D$2:D$401,$U171)))</f>
        <v/>
      </c>
      <c r="E171">
        <f>IF($U171="","",IF(INDEX('Per Invoice'!E$2:E$401,$U171)="","",INDEX('Per Invoice'!E$2:E$401,$U171)))</f>
        <v/>
      </c>
      <c r="F171">
        <f>IF($U171="","",IF(INDEX('Per Invoice'!F$2:F$401,$U171)="","",INDEX('Per Invoice'!F$2:F$401,$U171)))</f>
        <v/>
      </c>
      <c r="G171">
        <f>IF($U171="","",IF(INDEX('Per Invoice'!G$2:G$401,$U171)="","",INDEX('Per Invoice'!G$2:G$401,$U171)))</f>
        <v/>
      </c>
      <c r="H171" s="7">
        <f>IF($U171="","",IF(INDEX('Per Invoice'!H$2:H$401,$U171)="","",INDEX('Per Invoice'!H$2:H$401,$U171)))</f>
        <v/>
      </c>
      <c r="I171" s="14">
        <f>IF($U171="","",IF(INDEX('Per Invoice'!I$2:I$401,$U171)="","",INDEX('Per Invoice'!I$2:I$401,$U171)))</f>
        <v/>
      </c>
      <c r="J171">
        <f>IF($U171="","",IF(INDEX('Per Invoice'!J$2:J$401,$U171)="","",INDEX('Per Invoice'!J$2:J$401,$U171)))</f>
        <v/>
      </c>
      <c r="K171">
        <f>IF($U171="","",IF(INDEX('Per Invoice'!K$2:K$401,$U171)="","",INDEX('Per Invoice'!K$2:K$401,$U171)))</f>
        <v/>
      </c>
      <c r="L171" s="7">
        <f>IF($U171="","",IF(INDEX('Per Invoice'!L$2:L$401,$U171)="","",INDEX('Per Invoice'!L$2:L$401,$U171)))</f>
        <v/>
      </c>
      <c r="M171" s="7">
        <f>IF($U171="","",IF(INDEX('Per Invoice'!M$2:M$401,$U171)="","",INDEX('Per Invoice'!M$2:M$401,$U171)))</f>
        <v/>
      </c>
      <c r="N171">
        <f>IF($U171="","",IF(INDEX('Per Invoice'!N$2:N$401,$U171)="","",INDEX('Per Invoice'!N$2:N$401,$U171)))</f>
        <v/>
      </c>
      <c r="O171" s="7">
        <f>IF($U171="","",IF(INDEX('Per Invoice'!O$2:O$401,$U171)="","",INDEX('Per Invoice'!O$2:O$401,$U171)))</f>
        <v/>
      </c>
      <c r="P171" s="7">
        <f>IF($U171="","",IF(INDEX('Per Invoice'!P$2:P$401,$U171)="","",INDEX('Per Invoice'!P$2:P$401,$U171)))</f>
        <v/>
      </c>
      <c r="Q171" s="7">
        <f>IF($U171="","",IF(INDEX('Per Invoice'!Q$2:Q$401,$U171)="","",INDEX('Per Invoice'!Q$2:Q$401,$U171)))</f>
        <v/>
      </c>
      <c r="R171" s="7">
        <f>IF($U171="","",IF(INDEX('Per Invoice'!R$2:R$401,$U171)="","",INDEX('Per Invoice'!R$2:R$401,$U171)))</f>
        <v/>
      </c>
      <c r="S171" s="7">
        <f>IF($U171="","",IF(INDEX('Per Invoice'!S$2:S$401,$U171)="","",INDEX('Per Invoice'!S$2:S$401,$U171)))</f>
        <v/>
      </c>
      <c r="T171" s="7">
        <f>IF($U171="","",IF(INDEX('Per Invoice'!T$2:T$401,$U171)="","",INDEX('Per Invoice'!T$2:T$401,$U171)))</f>
        <v/>
      </c>
      <c r="U171" s="16">
        <f>IFERROR(MATCH(Settings!$C$30&amp;"|"&amp;ROWS($U$2:$U171),'Per Invoice'!$V$2:$V$401,0),"")</f>
        <v/>
      </c>
    </row>
    <row r="172">
      <c r="A172">
        <f>IF($U172="","",IF(INDEX('Per Invoice'!A$2:A$401,$U172)="","",INDEX('Per Invoice'!A$2:A$401,$U172)))</f>
        <v/>
      </c>
      <c r="B172">
        <f>IF($U172="","",IF(INDEX('Per Invoice'!B$2:B$401,$U172)="","",INDEX('Per Invoice'!B$2:B$401,$U172)))</f>
        <v/>
      </c>
      <c r="C172">
        <f>IF($U172="","",IF(INDEX('Per Invoice'!C$2:C$401,$U172)="","",INDEX('Per Invoice'!C$2:C$401,$U172)))</f>
        <v/>
      </c>
      <c r="D172">
        <f>IF($U172="","",IF(INDEX('Per Invoice'!D$2:D$401,$U172)="","",INDEX('Per Invoice'!D$2:D$401,$U172)))</f>
        <v/>
      </c>
      <c r="E172">
        <f>IF($U172="","",IF(INDEX('Per Invoice'!E$2:E$401,$U172)="","",INDEX('Per Invoice'!E$2:E$401,$U172)))</f>
        <v/>
      </c>
      <c r="F172">
        <f>IF($U172="","",IF(INDEX('Per Invoice'!F$2:F$401,$U172)="","",INDEX('Per Invoice'!F$2:F$401,$U172)))</f>
        <v/>
      </c>
      <c r="G172">
        <f>IF($U172="","",IF(INDEX('Per Invoice'!G$2:G$401,$U172)="","",INDEX('Per Invoice'!G$2:G$401,$U172)))</f>
        <v/>
      </c>
      <c r="H172" s="7">
        <f>IF($U172="","",IF(INDEX('Per Invoice'!H$2:H$401,$U172)="","",INDEX('Per Invoice'!H$2:H$401,$U172)))</f>
        <v/>
      </c>
      <c r="I172" s="14">
        <f>IF($U172="","",IF(INDEX('Per Invoice'!I$2:I$401,$U172)="","",INDEX('Per Invoice'!I$2:I$401,$U172)))</f>
        <v/>
      </c>
      <c r="J172">
        <f>IF($U172="","",IF(INDEX('Per Invoice'!J$2:J$401,$U172)="","",INDEX('Per Invoice'!J$2:J$401,$U172)))</f>
        <v/>
      </c>
      <c r="K172">
        <f>IF($U172="","",IF(INDEX('Per Invoice'!K$2:K$401,$U172)="","",INDEX('Per Invoice'!K$2:K$401,$U172)))</f>
        <v/>
      </c>
      <c r="L172" s="7">
        <f>IF($U172="","",IF(INDEX('Per Invoice'!L$2:L$401,$U172)="","",INDEX('Per Invoice'!L$2:L$401,$U172)))</f>
        <v/>
      </c>
      <c r="M172" s="7">
        <f>IF($U172="","",IF(INDEX('Per Invoice'!M$2:M$401,$U172)="","",INDEX('Per Invoice'!M$2:M$401,$U172)))</f>
        <v/>
      </c>
      <c r="N172">
        <f>IF($U172="","",IF(INDEX('Per Invoice'!N$2:N$401,$U172)="","",INDEX('Per Invoice'!N$2:N$401,$U172)))</f>
        <v/>
      </c>
      <c r="O172" s="7">
        <f>IF($U172="","",IF(INDEX('Per Invoice'!O$2:O$401,$U172)="","",INDEX('Per Invoice'!O$2:O$401,$U172)))</f>
        <v/>
      </c>
      <c r="P172" s="7">
        <f>IF($U172="","",IF(INDEX('Per Invoice'!P$2:P$401,$U172)="","",INDEX('Per Invoice'!P$2:P$401,$U172)))</f>
        <v/>
      </c>
      <c r="Q172" s="7">
        <f>IF($U172="","",IF(INDEX('Per Invoice'!Q$2:Q$401,$U172)="","",INDEX('Per Invoice'!Q$2:Q$401,$U172)))</f>
        <v/>
      </c>
      <c r="R172" s="7">
        <f>IF($U172="","",IF(INDEX('Per Invoice'!R$2:R$401,$U172)="","",INDEX('Per Invoice'!R$2:R$401,$U172)))</f>
        <v/>
      </c>
      <c r="S172" s="7">
        <f>IF($U172="","",IF(INDEX('Per Invoice'!S$2:S$401,$U172)="","",INDEX('Per Invoice'!S$2:S$401,$U172)))</f>
        <v/>
      </c>
      <c r="T172" s="7">
        <f>IF($U172="","",IF(INDEX('Per Invoice'!T$2:T$401,$U172)="","",INDEX('Per Invoice'!T$2:T$401,$U172)))</f>
        <v/>
      </c>
      <c r="U172" s="16">
        <f>IFERROR(MATCH(Settings!$C$30&amp;"|"&amp;ROWS($U$2:$U172),'Per Invoice'!$V$2:$V$401,0),"")</f>
        <v/>
      </c>
    </row>
    <row r="173">
      <c r="A173">
        <f>IF($U173="","",IF(INDEX('Per Invoice'!A$2:A$401,$U173)="","",INDEX('Per Invoice'!A$2:A$401,$U173)))</f>
        <v/>
      </c>
      <c r="B173">
        <f>IF($U173="","",IF(INDEX('Per Invoice'!B$2:B$401,$U173)="","",INDEX('Per Invoice'!B$2:B$401,$U173)))</f>
        <v/>
      </c>
      <c r="C173">
        <f>IF($U173="","",IF(INDEX('Per Invoice'!C$2:C$401,$U173)="","",INDEX('Per Invoice'!C$2:C$401,$U173)))</f>
        <v/>
      </c>
      <c r="D173">
        <f>IF($U173="","",IF(INDEX('Per Invoice'!D$2:D$401,$U173)="","",INDEX('Per Invoice'!D$2:D$401,$U173)))</f>
        <v/>
      </c>
      <c r="E173">
        <f>IF($U173="","",IF(INDEX('Per Invoice'!E$2:E$401,$U173)="","",INDEX('Per Invoice'!E$2:E$401,$U173)))</f>
        <v/>
      </c>
      <c r="F173">
        <f>IF($U173="","",IF(INDEX('Per Invoice'!F$2:F$401,$U173)="","",INDEX('Per Invoice'!F$2:F$401,$U173)))</f>
        <v/>
      </c>
      <c r="G173">
        <f>IF($U173="","",IF(INDEX('Per Invoice'!G$2:G$401,$U173)="","",INDEX('Per Invoice'!G$2:G$401,$U173)))</f>
        <v/>
      </c>
      <c r="H173" s="7">
        <f>IF($U173="","",IF(INDEX('Per Invoice'!H$2:H$401,$U173)="","",INDEX('Per Invoice'!H$2:H$401,$U173)))</f>
        <v/>
      </c>
      <c r="I173" s="14">
        <f>IF($U173="","",IF(INDEX('Per Invoice'!I$2:I$401,$U173)="","",INDEX('Per Invoice'!I$2:I$401,$U173)))</f>
        <v/>
      </c>
      <c r="J173">
        <f>IF($U173="","",IF(INDEX('Per Invoice'!J$2:J$401,$U173)="","",INDEX('Per Invoice'!J$2:J$401,$U173)))</f>
        <v/>
      </c>
      <c r="K173">
        <f>IF($U173="","",IF(INDEX('Per Invoice'!K$2:K$401,$U173)="","",INDEX('Per Invoice'!K$2:K$401,$U173)))</f>
        <v/>
      </c>
      <c r="L173" s="7">
        <f>IF($U173="","",IF(INDEX('Per Invoice'!L$2:L$401,$U173)="","",INDEX('Per Invoice'!L$2:L$401,$U173)))</f>
        <v/>
      </c>
      <c r="M173" s="7">
        <f>IF($U173="","",IF(INDEX('Per Invoice'!M$2:M$401,$U173)="","",INDEX('Per Invoice'!M$2:M$401,$U173)))</f>
        <v/>
      </c>
      <c r="N173">
        <f>IF($U173="","",IF(INDEX('Per Invoice'!N$2:N$401,$U173)="","",INDEX('Per Invoice'!N$2:N$401,$U173)))</f>
        <v/>
      </c>
      <c r="O173" s="7">
        <f>IF($U173="","",IF(INDEX('Per Invoice'!O$2:O$401,$U173)="","",INDEX('Per Invoice'!O$2:O$401,$U173)))</f>
        <v/>
      </c>
      <c r="P173" s="7">
        <f>IF($U173="","",IF(INDEX('Per Invoice'!P$2:P$401,$U173)="","",INDEX('Per Invoice'!P$2:P$401,$U173)))</f>
        <v/>
      </c>
      <c r="Q173" s="7">
        <f>IF($U173="","",IF(INDEX('Per Invoice'!Q$2:Q$401,$U173)="","",INDEX('Per Invoice'!Q$2:Q$401,$U173)))</f>
        <v/>
      </c>
      <c r="R173" s="7">
        <f>IF($U173="","",IF(INDEX('Per Invoice'!R$2:R$401,$U173)="","",INDEX('Per Invoice'!R$2:R$401,$U173)))</f>
        <v/>
      </c>
      <c r="S173" s="7">
        <f>IF($U173="","",IF(INDEX('Per Invoice'!S$2:S$401,$U173)="","",INDEX('Per Invoice'!S$2:S$401,$U173)))</f>
        <v/>
      </c>
      <c r="T173" s="7">
        <f>IF($U173="","",IF(INDEX('Per Invoice'!T$2:T$401,$U173)="","",INDEX('Per Invoice'!T$2:T$401,$U173)))</f>
        <v/>
      </c>
      <c r="U173" s="16">
        <f>IFERROR(MATCH(Settings!$C$30&amp;"|"&amp;ROWS($U$2:$U173),'Per Invoice'!$V$2:$V$401,0),"")</f>
        <v/>
      </c>
    </row>
    <row r="174">
      <c r="A174">
        <f>IF($U174="","",IF(INDEX('Per Invoice'!A$2:A$401,$U174)="","",INDEX('Per Invoice'!A$2:A$401,$U174)))</f>
        <v/>
      </c>
      <c r="B174">
        <f>IF($U174="","",IF(INDEX('Per Invoice'!B$2:B$401,$U174)="","",INDEX('Per Invoice'!B$2:B$401,$U174)))</f>
        <v/>
      </c>
      <c r="C174">
        <f>IF($U174="","",IF(INDEX('Per Invoice'!C$2:C$401,$U174)="","",INDEX('Per Invoice'!C$2:C$401,$U174)))</f>
        <v/>
      </c>
      <c r="D174">
        <f>IF($U174="","",IF(INDEX('Per Invoice'!D$2:D$401,$U174)="","",INDEX('Per Invoice'!D$2:D$401,$U174)))</f>
        <v/>
      </c>
      <c r="E174">
        <f>IF($U174="","",IF(INDEX('Per Invoice'!E$2:E$401,$U174)="","",INDEX('Per Invoice'!E$2:E$401,$U174)))</f>
        <v/>
      </c>
      <c r="F174">
        <f>IF($U174="","",IF(INDEX('Per Invoice'!F$2:F$401,$U174)="","",INDEX('Per Invoice'!F$2:F$401,$U174)))</f>
        <v/>
      </c>
      <c r="G174">
        <f>IF($U174="","",IF(INDEX('Per Invoice'!G$2:G$401,$U174)="","",INDEX('Per Invoice'!G$2:G$401,$U174)))</f>
        <v/>
      </c>
      <c r="H174" s="7">
        <f>IF($U174="","",IF(INDEX('Per Invoice'!H$2:H$401,$U174)="","",INDEX('Per Invoice'!H$2:H$401,$U174)))</f>
        <v/>
      </c>
      <c r="I174" s="14">
        <f>IF($U174="","",IF(INDEX('Per Invoice'!I$2:I$401,$U174)="","",INDEX('Per Invoice'!I$2:I$401,$U174)))</f>
        <v/>
      </c>
      <c r="J174">
        <f>IF($U174="","",IF(INDEX('Per Invoice'!J$2:J$401,$U174)="","",INDEX('Per Invoice'!J$2:J$401,$U174)))</f>
        <v/>
      </c>
      <c r="K174">
        <f>IF($U174="","",IF(INDEX('Per Invoice'!K$2:K$401,$U174)="","",INDEX('Per Invoice'!K$2:K$401,$U174)))</f>
        <v/>
      </c>
      <c r="L174" s="7">
        <f>IF($U174="","",IF(INDEX('Per Invoice'!L$2:L$401,$U174)="","",INDEX('Per Invoice'!L$2:L$401,$U174)))</f>
        <v/>
      </c>
      <c r="M174" s="7">
        <f>IF($U174="","",IF(INDEX('Per Invoice'!M$2:M$401,$U174)="","",INDEX('Per Invoice'!M$2:M$401,$U174)))</f>
        <v/>
      </c>
      <c r="N174">
        <f>IF($U174="","",IF(INDEX('Per Invoice'!N$2:N$401,$U174)="","",INDEX('Per Invoice'!N$2:N$401,$U174)))</f>
        <v/>
      </c>
      <c r="O174" s="7">
        <f>IF($U174="","",IF(INDEX('Per Invoice'!O$2:O$401,$U174)="","",INDEX('Per Invoice'!O$2:O$401,$U174)))</f>
        <v/>
      </c>
      <c r="P174" s="7">
        <f>IF($U174="","",IF(INDEX('Per Invoice'!P$2:P$401,$U174)="","",INDEX('Per Invoice'!P$2:P$401,$U174)))</f>
        <v/>
      </c>
      <c r="Q174" s="7">
        <f>IF($U174="","",IF(INDEX('Per Invoice'!Q$2:Q$401,$U174)="","",INDEX('Per Invoice'!Q$2:Q$401,$U174)))</f>
        <v/>
      </c>
      <c r="R174" s="7">
        <f>IF($U174="","",IF(INDEX('Per Invoice'!R$2:R$401,$U174)="","",INDEX('Per Invoice'!R$2:R$401,$U174)))</f>
        <v/>
      </c>
      <c r="S174" s="7">
        <f>IF($U174="","",IF(INDEX('Per Invoice'!S$2:S$401,$U174)="","",INDEX('Per Invoice'!S$2:S$401,$U174)))</f>
        <v/>
      </c>
      <c r="T174" s="7">
        <f>IF($U174="","",IF(INDEX('Per Invoice'!T$2:T$401,$U174)="","",INDEX('Per Invoice'!T$2:T$401,$U174)))</f>
        <v/>
      </c>
      <c r="U174" s="16">
        <f>IFERROR(MATCH(Settings!$C$30&amp;"|"&amp;ROWS($U$2:$U174),'Per Invoice'!$V$2:$V$401,0),"")</f>
        <v/>
      </c>
    </row>
    <row r="175">
      <c r="A175">
        <f>IF($U175="","",IF(INDEX('Per Invoice'!A$2:A$401,$U175)="","",INDEX('Per Invoice'!A$2:A$401,$U175)))</f>
        <v/>
      </c>
      <c r="B175">
        <f>IF($U175="","",IF(INDEX('Per Invoice'!B$2:B$401,$U175)="","",INDEX('Per Invoice'!B$2:B$401,$U175)))</f>
        <v/>
      </c>
      <c r="C175">
        <f>IF($U175="","",IF(INDEX('Per Invoice'!C$2:C$401,$U175)="","",INDEX('Per Invoice'!C$2:C$401,$U175)))</f>
        <v/>
      </c>
      <c r="D175">
        <f>IF($U175="","",IF(INDEX('Per Invoice'!D$2:D$401,$U175)="","",INDEX('Per Invoice'!D$2:D$401,$U175)))</f>
        <v/>
      </c>
      <c r="E175">
        <f>IF($U175="","",IF(INDEX('Per Invoice'!E$2:E$401,$U175)="","",INDEX('Per Invoice'!E$2:E$401,$U175)))</f>
        <v/>
      </c>
      <c r="F175">
        <f>IF($U175="","",IF(INDEX('Per Invoice'!F$2:F$401,$U175)="","",INDEX('Per Invoice'!F$2:F$401,$U175)))</f>
        <v/>
      </c>
      <c r="G175">
        <f>IF($U175="","",IF(INDEX('Per Invoice'!G$2:G$401,$U175)="","",INDEX('Per Invoice'!G$2:G$401,$U175)))</f>
        <v/>
      </c>
      <c r="H175" s="7">
        <f>IF($U175="","",IF(INDEX('Per Invoice'!H$2:H$401,$U175)="","",INDEX('Per Invoice'!H$2:H$401,$U175)))</f>
        <v/>
      </c>
      <c r="I175" s="14">
        <f>IF($U175="","",IF(INDEX('Per Invoice'!I$2:I$401,$U175)="","",INDEX('Per Invoice'!I$2:I$401,$U175)))</f>
        <v/>
      </c>
      <c r="J175">
        <f>IF($U175="","",IF(INDEX('Per Invoice'!J$2:J$401,$U175)="","",INDEX('Per Invoice'!J$2:J$401,$U175)))</f>
        <v/>
      </c>
      <c r="K175">
        <f>IF($U175="","",IF(INDEX('Per Invoice'!K$2:K$401,$U175)="","",INDEX('Per Invoice'!K$2:K$401,$U175)))</f>
        <v/>
      </c>
      <c r="L175" s="7">
        <f>IF($U175="","",IF(INDEX('Per Invoice'!L$2:L$401,$U175)="","",INDEX('Per Invoice'!L$2:L$401,$U175)))</f>
        <v/>
      </c>
      <c r="M175" s="7">
        <f>IF($U175="","",IF(INDEX('Per Invoice'!M$2:M$401,$U175)="","",INDEX('Per Invoice'!M$2:M$401,$U175)))</f>
        <v/>
      </c>
      <c r="N175">
        <f>IF($U175="","",IF(INDEX('Per Invoice'!N$2:N$401,$U175)="","",INDEX('Per Invoice'!N$2:N$401,$U175)))</f>
        <v/>
      </c>
      <c r="O175" s="7">
        <f>IF($U175="","",IF(INDEX('Per Invoice'!O$2:O$401,$U175)="","",INDEX('Per Invoice'!O$2:O$401,$U175)))</f>
        <v/>
      </c>
      <c r="P175" s="7">
        <f>IF($U175="","",IF(INDEX('Per Invoice'!P$2:P$401,$U175)="","",INDEX('Per Invoice'!P$2:P$401,$U175)))</f>
        <v/>
      </c>
      <c r="Q175" s="7">
        <f>IF($U175="","",IF(INDEX('Per Invoice'!Q$2:Q$401,$U175)="","",INDEX('Per Invoice'!Q$2:Q$401,$U175)))</f>
        <v/>
      </c>
      <c r="R175" s="7">
        <f>IF($U175="","",IF(INDEX('Per Invoice'!R$2:R$401,$U175)="","",INDEX('Per Invoice'!R$2:R$401,$U175)))</f>
        <v/>
      </c>
      <c r="S175" s="7">
        <f>IF($U175="","",IF(INDEX('Per Invoice'!S$2:S$401,$U175)="","",INDEX('Per Invoice'!S$2:S$401,$U175)))</f>
        <v/>
      </c>
      <c r="T175" s="7">
        <f>IF($U175="","",IF(INDEX('Per Invoice'!T$2:T$401,$U175)="","",INDEX('Per Invoice'!T$2:T$401,$U175)))</f>
        <v/>
      </c>
      <c r="U175" s="16">
        <f>IFERROR(MATCH(Settings!$C$30&amp;"|"&amp;ROWS($U$2:$U175),'Per Invoice'!$V$2:$V$401,0),"")</f>
        <v/>
      </c>
    </row>
    <row r="176">
      <c r="A176">
        <f>IF($U176="","",IF(INDEX('Per Invoice'!A$2:A$401,$U176)="","",INDEX('Per Invoice'!A$2:A$401,$U176)))</f>
        <v/>
      </c>
      <c r="B176">
        <f>IF($U176="","",IF(INDEX('Per Invoice'!B$2:B$401,$U176)="","",INDEX('Per Invoice'!B$2:B$401,$U176)))</f>
        <v/>
      </c>
      <c r="C176">
        <f>IF($U176="","",IF(INDEX('Per Invoice'!C$2:C$401,$U176)="","",INDEX('Per Invoice'!C$2:C$401,$U176)))</f>
        <v/>
      </c>
      <c r="D176">
        <f>IF($U176="","",IF(INDEX('Per Invoice'!D$2:D$401,$U176)="","",INDEX('Per Invoice'!D$2:D$401,$U176)))</f>
        <v/>
      </c>
      <c r="E176">
        <f>IF($U176="","",IF(INDEX('Per Invoice'!E$2:E$401,$U176)="","",INDEX('Per Invoice'!E$2:E$401,$U176)))</f>
        <v/>
      </c>
      <c r="F176">
        <f>IF($U176="","",IF(INDEX('Per Invoice'!F$2:F$401,$U176)="","",INDEX('Per Invoice'!F$2:F$401,$U176)))</f>
        <v/>
      </c>
      <c r="G176">
        <f>IF($U176="","",IF(INDEX('Per Invoice'!G$2:G$401,$U176)="","",INDEX('Per Invoice'!G$2:G$401,$U176)))</f>
        <v/>
      </c>
      <c r="H176" s="7">
        <f>IF($U176="","",IF(INDEX('Per Invoice'!H$2:H$401,$U176)="","",INDEX('Per Invoice'!H$2:H$401,$U176)))</f>
        <v/>
      </c>
      <c r="I176" s="14">
        <f>IF($U176="","",IF(INDEX('Per Invoice'!I$2:I$401,$U176)="","",INDEX('Per Invoice'!I$2:I$401,$U176)))</f>
        <v/>
      </c>
      <c r="J176">
        <f>IF($U176="","",IF(INDEX('Per Invoice'!J$2:J$401,$U176)="","",INDEX('Per Invoice'!J$2:J$401,$U176)))</f>
        <v/>
      </c>
      <c r="K176">
        <f>IF($U176="","",IF(INDEX('Per Invoice'!K$2:K$401,$U176)="","",INDEX('Per Invoice'!K$2:K$401,$U176)))</f>
        <v/>
      </c>
      <c r="L176" s="7">
        <f>IF($U176="","",IF(INDEX('Per Invoice'!L$2:L$401,$U176)="","",INDEX('Per Invoice'!L$2:L$401,$U176)))</f>
        <v/>
      </c>
      <c r="M176" s="7">
        <f>IF($U176="","",IF(INDEX('Per Invoice'!M$2:M$401,$U176)="","",INDEX('Per Invoice'!M$2:M$401,$U176)))</f>
        <v/>
      </c>
      <c r="N176">
        <f>IF($U176="","",IF(INDEX('Per Invoice'!N$2:N$401,$U176)="","",INDEX('Per Invoice'!N$2:N$401,$U176)))</f>
        <v/>
      </c>
      <c r="O176" s="7">
        <f>IF($U176="","",IF(INDEX('Per Invoice'!O$2:O$401,$U176)="","",INDEX('Per Invoice'!O$2:O$401,$U176)))</f>
        <v/>
      </c>
      <c r="P176" s="7">
        <f>IF($U176="","",IF(INDEX('Per Invoice'!P$2:P$401,$U176)="","",INDEX('Per Invoice'!P$2:P$401,$U176)))</f>
        <v/>
      </c>
      <c r="Q176" s="7">
        <f>IF($U176="","",IF(INDEX('Per Invoice'!Q$2:Q$401,$U176)="","",INDEX('Per Invoice'!Q$2:Q$401,$U176)))</f>
        <v/>
      </c>
      <c r="R176" s="7">
        <f>IF($U176="","",IF(INDEX('Per Invoice'!R$2:R$401,$U176)="","",INDEX('Per Invoice'!R$2:R$401,$U176)))</f>
        <v/>
      </c>
      <c r="S176" s="7">
        <f>IF($U176="","",IF(INDEX('Per Invoice'!S$2:S$401,$U176)="","",INDEX('Per Invoice'!S$2:S$401,$U176)))</f>
        <v/>
      </c>
      <c r="T176" s="7">
        <f>IF($U176="","",IF(INDEX('Per Invoice'!T$2:T$401,$U176)="","",INDEX('Per Invoice'!T$2:T$401,$U176)))</f>
        <v/>
      </c>
      <c r="U176" s="16">
        <f>IFERROR(MATCH(Settings!$C$30&amp;"|"&amp;ROWS($U$2:$U176),'Per Invoice'!$V$2:$V$401,0),"")</f>
        <v/>
      </c>
    </row>
    <row r="177">
      <c r="A177">
        <f>IF($U177="","",IF(INDEX('Per Invoice'!A$2:A$401,$U177)="","",INDEX('Per Invoice'!A$2:A$401,$U177)))</f>
        <v/>
      </c>
      <c r="B177">
        <f>IF($U177="","",IF(INDEX('Per Invoice'!B$2:B$401,$U177)="","",INDEX('Per Invoice'!B$2:B$401,$U177)))</f>
        <v/>
      </c>
      <c r="C177">
        <f>IF($U177="","",IF(INDEX('Per Invoice'!C$2:C$401,$U177)="","",INDEX('Per Invoice'!C$2:C$401,$U177)))</f>
        <v/>
      </c>
      <c r="D177">
        <f>IF($U177="","",IF(INDEX('Per Invoice'!D$2:D$401,$U177)="","",INDEX('Per Invoice'!D$2:D$401,$U177)))</f>
        <v/>
      </c>
      <c r="E177">
        <f>IF($U177="","",IF(INDEX('Per Invoice'!E$2:E$401,$U177)="","",INDEX('Per Invoice'!E$2:E$401,$U177)))</f>
        <v/>
      </c>
      <c r="F177">
        <f>IF($U177="","",IF(INDEX('Per Invoice'!F$2:F$401,$U177)="","",INDEX('Per Invoice'!F$2:F$401,$U177)))</f>
        <v/>
      </c>
      <c r="G177">
        <f>IF($U177="","",IF(INDEX('Per Invoice'!G$2:G$401,$U177)="","",INDEX('Per Invoice'!G$2:G$401,$U177)))</f>
        <v/>
      </c>
      <c r="H177" s="7">
        <f>IF($U177="","",IF(INDEX('Per Invoice'!H$2:H$401,$U177)="","",INDEX('Per Invoice'!H$2:H$401,$U177)))</f>
        <v/>
      </c>
      <c r="I177" s="14">
        <f>IF($U177="","",IF(INDEX('Per Invoice'!I$2:I$401,$U177)="","",INDEX('Per Invoice'!I$2:I$401,$U177)))</f>
        <v/>
      </c>
      <c r="J177">
        <f>IF($U177="","",IF(INDEX('Per Invoice'!J$2:J$401,$U177)="","",INDEX('Per Invoice'!J$2:J$401,$U177)))</f>
        <v/>
      </c>
      <c r="K177">
        <f>IF($U177="","",IF(INDEX('Per Invoice'!K$2:K$401,$U177)="","",INDEX('Per Invoice'!K$2:K$401,$U177)))</f>
        <v/>
      </c>
      <c r="L177" s="7">
        <f>IF($U177="","",IF(INDEX('Per Invoice'!L$2:L$401,$U177)="","",INDEX('Per Invoice'!L$2:L$401,$U177)))</f>
        <v/>
      </c>
      <c r="M177" s="7">
        <f>IF($U177="","",IF(INDEX('Per Invoice'!M$2:M$401,$U177)="","",INDEX('Per Invoice'!M$2:M$401,$U177)))</f>
        <v/>
      </c>
      <c r="N177">
        <f>IF($U177="","",IF(INDEX('Per Invoice'!N$2:N$401,$U177)="","",INDEX('Per Invoice'!N$2:N$401,$U177)))</f>
        <v/>
      </c>
      <c r="O177" s="7">
        <f>IF($U177="","",IF(INDEX('Per Invoice'!O$2:O$401,$U177)="","",INDEX('Per Invoice'!O$2:O$401,$U177)))</f>
        <v/>
      </c>
      <c r="P177" s="7">
        <f>IF($U177="","",IF(INDEX('Per Invoice'!P$2:P$401,$U177)="","",INDEX('Per Invoice'!P$2:P$401,$U177)))</f>
        <v/>
      </c>
      <c r="Q177" s="7">
        <f>IF($U177="","",IF(INDEX('Per Invoice'!Q$2:Q$401,$U177)="","",INDEX('Per Invoice'!Q$2:Q$401,$U177)))</f>
        <v/>
      </c>
      <c r="R177" s="7">
        <f>IF($U177="","",IF(INDEX('Per Invoice'!R$2:R$401,$U177)="","",INDEX('Per Invoice'!R$2:R$401,$U177)))</f>
        <v/>
      </c>
      <c r="S177" s="7">
        <f>IF($U177="","",IF(INDEX('Per Invoice'!S$2:S$401,$U177)="","",INDEX('Per Invoice'!S$2:S$401,$U177)))</f>
        <v/>
      </c>
      <c r="T177" s="7">
        <f>IF($U177="","",IF(INDEX('Per Invoice'!T$2:T$401,$U177)="","",INDEX('Per Invoice'!T$2:T$401,$U177)))</f>
        <v/>
      </c>
      <c r="U177" s="16">
        <f>IFERROR(MATCH(Settings!$C$30&amp;"|"&amp;ROWS($U$2:$U177),'Per Invoice'!$V$2:$V$401,0),"")</f>
        <v/>
      </c>
    </row>
    <row r="178">
      <c r="A178">
        <f>IF($U178="","",IF(INDEX('Per Invoice'!A$2:A$401,$U178)="","",INDEX('Per Invoice'!A$2:A$401,$U178)))</f>
        <v/>
      </c>
      <c r="B178">
        <f>IF($U178="","",IF(INDEX('Per Invoice'!B$2:B$401,$U178)="","",INDEX('Per Invoice'!B$2:B$401,$U178)))</f>
        <v/>
      </c>
      <c r="C178">
        <f>IF($U178="","",IF(INDEX('Per Invoice'!C$2:C$401,$U178)="","",INDEX('Per Invoice'!C$2:C$401,$U178)))</f>
        <v/>
      </c>
      <c r="D178">
        <f>IF($U178="","",IF(INDEX('Per Invoice'!D$2:D$401,$U178)="","",INDEX('Per Invoice'!D$2:D$401,$U178)))</f>
        <v/>
      </c>
      <c r="E178">
        <f>IF($U178="","",IF(INDEX('Per Invoice'!E$2:E$401,$U178)="","",INDEX('Per Invoice'!E$2:E$401,$U178)))</f>
        <v/>
      </c>
      <c r="F178">
        <f>IF($U178="","",IF(INDEX('Per Invoice'!F$2:F$401,$U178)="","",INDEX('Per Invoice'!F$2:F$401,$U178)))</f>
        <v/>
      </c>
      <c r="G178">
        <f>IF($U178="","",IF(INDEX('Per Invoice'!G$2:G$401,$U178)="","",INDEX('Per Invoice'!G$2:G$401,$U178)))</f>
        <v/>
      </c>
      <c r="H178" s="7">
        <f>IF($U178="","",IF(INDEX('Per Invoice'!H$2:H$401,$U178)="","",INDEX('Per Invoice'!H$2:H$401,$U178)))</f>
        <v/>
      </c>
      <c r="I178" s="14">
        <f>IF($U178="","",IF(INDEX('Per Invoice'!I$2:I$401,$U178)="","",INDEX('Per Invoice'!I$2:I$401,$U178)))</f>
        <v/>
      </c>
      <c r="J178">
        <f>IF($U178="","",IF(INDEX('Per Invoice'!J$2:J$401,$U178)="","",INDEX('Per Invoice'!J$2:J$401,$U178)))</f>
        <v/>
      </c>
      <c r="K178">
        <f>IF($U178="","",IF(INDEX('Per Invoice'!K$2:K$401,$U178)="","",INDEX('Per Invoice'!K$2:K$401,$U178)))</f>
        <v/>
      </c>
      <c r="L178" s="7">
        <f>IF($U178="","",IF(INDEX('Per Invoice'!L$2:L$401,$U178)="","",INDEX('Per Invoice'!L$2:L$401,$U178)))</f>
        <v/>
      </c>
      <c r="M178" s="7">
        <f>IF($U178="","",IF(INDEX('Per Invoice'!M$2:M$401,$U178)="","",INDEX('Per Invoice'!M$2:M$401,$U178)))</f>
        <v/>
      </c>
      <c r="N178">
        <f>IF($U178="","",IF(INDEX('Per Invoice'!N$2:N$401,$U178)="","",INDEX('Per Invoice'!N$2:N$401,$U178)))</f>
        <v/>
      </c>
      <c r="O178" s="7">
        <f>IF($U178="","",IF(INDEX('Per Invoice'!O$2:O$401,$U178)="","",INDEX('Per Invoice'!O$2:O$401,$U178)))</f>
        <v/>
      </c>
      <c r="P178" s="7">
        <f>IF($U178="","",IF(INDEX('Per Invoice'!P$2:P$401,$U178)="","",INDEX('Per Invoice'!P$2:P$401,$U178)))</f>
        <v/>
      </c>
      <c r="Q178" s="7">
        <f>IF($U178="","",IF(INDEX('Per Invoice'!Q$2:Q$401,$U178)="","",INDEX('Per Invoice'!Q$2:Q$401,$U178)))</f>
        <v/>
      </c>
      <c r="R178" s="7">
        <f>IF($U178="","",IF(INDEX('Per Invoice'!R$2:R$401,$U178)="","",INDEX('Per Invoice'!R$2:R$401,$U178)))</f>
        <v/>
      </c>
      <c r="S178" s="7">
        <f>IF($U178="","",IF(INDEX('Per Invoice'!S$2:S$401,$U178)="","",INDEX('Per Invoice'!S$2:S$401,$U178)))</f>
        <v/>
      </c>
      <c r="T178" s="7">
        <f>IF($U178="","",IF(INDEX('Per Invoice'!T$2:T$401,$U178)="","",INDEX('Per Invoice'!T$2:T$401,$U178)))</f>
        <v/>
      </c>
      <c r="U178" s="16">
        <f>IFERROR(MATCH(Settings!$C$30&amp;"|"&amp;ROWS($U$2:$U178),'Per Invoice'!$V$2:$V$401,0),"")</f>
        <v/>
      </c>
    </row>
    <row r="179">
      <c r="A179">
        <f>IF($U179="","",IF(INDEX('Per Invoice'!A$2:A$401,$U179)="","",INDEX('Per Invoice'!A$2:A$401,$U179)))</f>
        <v/>
      </c>
      <c r="B179">
        <f>IF($U179="","",IF(INDEX('Per Invoice'!B$2:B$401,$U179)="","",INDEX('Per Invoice'!B$2:B$401,$U179)))</f>
        <v/>
      </c>
      <c r="C179">
        <f>IF($U179="","",IF(INDEX('Per Invoice'!C$2:C$401,$U179)="","",INDEX('Per Invoice'!C$2:C$401,$U179)))</f>
        <v/>
      </c>
      <c r="D179">
        <f>IF($U179="","",IF(INDEX('Per Invoice'!D$2:D$401,$U179)="","",INDEX('Per Invoice'!D$2:D$401,$U179)))</f>
        <v/>
      </c>
      <c r="E179">
        <f>IF($U179="","",IF(INDEX('Per Invoice'!E$2:E$401,$U179)="","",INDEX('Per Invoice'!E$2:E$401,$U179)))</f>
        <v/>
      </c>
      <c r="F179">
        <f>IF($U179="","",IF(INDEX('Per Invoice'!F$2:F$401,$U179)="","",INDEX('Per Invoice'!F$2:F$401,$U179)))</f>
        <v/>
      </c>
      <c r="G179">
        <f>IF($U179="","",IF(INDEX('Per Invoice'!G$2:G$401,$U179)="","",INDEX('Per Invoice'!G$2:G$401,$U179)))</f>
        <v/>
      </c>
      <c r="H179" s="7">
        <f>IF($U179="","",IF(INDEX('Per Invoice'!H$2:H$401,$U179)="","",INDEX('Per Invoice'!H$2:H$401,$U179)))</f>
        <v/>
      </c>
      <c r="I179" s="14">
        <f>IF($U179="","",IF(INDEX('Per Invoice'!I$2:I$401,$U179)="","",INDEX('Per Invoice'!I$2:I$401,$U179)))</f>
        <v/>
      </c>
      <c r="J179">
        <f>IF($U179="","",IF(INDEX('Per Invoice'!J$2:J$401,$U179)="","",INDEX('Per Invoice'!J$2:J$401,$U179)))</f>
        <v/>
      </c>
      <c r="K179">
        <f>IF($U179="","",IF(INDEX('Per Invoice'!K$2:K$401,$U179)="","",INDEX('Per Invoice'!K$2:K$401,$U179)))</f>
        <v/>
      </c>
      <c r="L179" s="7">
        <f>IF($U179="","",IF(INDEX('Per Invoice'!L$2:L$401,$U179)="","",INDEX('Per Invoice'!L$2:L$401,$U179)))</f>
        <v/>
      </c>
      <c r="M179" s="7">
        <f>IF($U179="","",IF(INDEX('Per Invoice'!M$2:M$401,$U179)="","",INDEX('Per Invoice'!M$2:M$401,$U179)))</f>
        <v/>
      </c>
      <c r="N179">
        <f>IF($U179="","",IF(INDEX('Per Invoice'!N$2:N$401,$U179)="","",INDEX('Per Invoice'!N$2:N$401,$U179)))</f>
        <v/>
      </c>
      <c r="O179" s="7">
        <f>IF($U179="","",IF(INDEX('Per Invoice'!O$2:O$401,$U179)="","",INDEX('Per Invoice'!O$2:O$401,$U179)))</f>
        <v/>
      </c>
      <c r="P179" s="7">
        <f>IF($U179="","",IF(INDEX('Per Invoice'!P$2:P$401,$U179)="","",INDEX('Per Invoice'!P$2:P$401,$U179)))</f>
        <v/>
      </c>
      <c r="Q179" s="7">
        <f>IF($U179="","",IF(INDEX('Per Invoice'!Q$2:Q$401,$U179)="","",INDEX('Per Invoice'!Q$2:Q$401,$U179)))</f>
        <v/>
      </c>
      <c r="R179" s="7">
        <f>IF($U179="","",IF(INDEX('Per Invoice'!R$2:R$401,$U179)="","",INDEX('Per Invoice'!R$2:R$401,$U179)))</f>
        <v/>
      </c>
      <c r="S179" s="7">
        <f>IF($U179="","",IF(INDEX('Per Invoice'!S$2:S$401,$U179)="","",INDEX('Per Invoice'!S$2:S$401,$U179)))</f>
        <v/>
      </c>
      <c r="T179" s="7">
        <f>IF($U179="","",IF(INDEX('Per Invoice'!T$2:T$401,$U179)="","",INDEX('Per Invoice'!T$2:T$401,$U179)))</f>
        <v/>
      </c>
      <c r="U179" s="16">
        <f>IFERROR(MATCH(Settings!$C$30&amp;"|"&amp;ROWS($U$2:$U179),'Per Invoice'!$V$2:$V$401,0),"")</f>
        <v/>
      </c>
    </row>
    <row r="180">
      <c r="A180">
        <f>IF($U180="","",IF(INDEX('Per Invoice'!A$2:A$401,$U180)="","",INDEX('Per Invoice'!A$2:A$401,$U180)))</f>
        <v/>
      </c>
      <c r="B180">
        <f>IF($U180="","",IF(INDEX('Per Invoice'!B$2:B$401,$U180)="","",INDEX('Per Invoice'!B$2:B$401,$U180)))</f>
        <v/>
      </c>
      <c r="C180">
        <f>IF($U180="","",IF(INDEX('Per Invoice'!C$2:C$401,$U180)="","",INDEX('Per Invoice'!C$2:C$401,$U180)))</f>
        <v/>
      </c>
      <c r="D180">
        <f>IF($U180="","",IF(INDEX('Per Invoice'!D$2:D$401,$U180)="","",INDEX('Per Invoice'!D$2:D$401,$U180)))</f>
        <v/>
      </c>
      <c r="E180">
        <f>IF($U180="","",IF(INDEX('Per Invoice'!E$2:E$401,$U180)="","",INDEX('Per Invoice'!E$2:E$401,$U180)))</f>
        <v/>
      </c>
      <c r="F180">
        <f>IF($U180="","",IF(INDEX('Per Invoice'!F$2:F$401,$U180)="","",INDEX('Per Invoice'!F$2:F$401,$U180)))</f>
        <v/>
      </c>
      <c r="G180">
        <f>IF($U180="","",IF(INDEX('Per Invoice'!G$2:G$401,$U180)="","",INDEX('Per Invoice'!G$2:G$401,$U180)))</f>
        <v/>
      </c>
      <c r="H180" s="7">
        <f>IF($U180="","",IF(INDEX('Per Invoice'!H$2:H$401,$U180)="","",INDEX('Per Invoice'!H$2:H$401,$U180)))</f>
        <v/>
      </c>
      <c r="I180" s="14">
        <f>IF($U180="","",IF(INDEX('Per Invoice'!I$2:I$401,$U180)="","",INDEX('Per Invoice'!I$2:I$401,$U180)))</f>
        <v/>
      </c>
      <c r="J180">
        <f>IF($U180="","",IF(INDEX('Per Invoice'!J$2:J$401,$U180)="","",INDEX('Per Invoice'!J$2:J$401,$U180)))</f>
        <v/>
      </c>
      <c r="K180">
        <f>IF($U180="","",IF(INDEX('Per Invoice'!K$2:K$401,$U180)="","",INDEX('Per Invoice'!K$2:K$401,$U180)))</f>
        <v/>
      </c>
      <c r="L180" s="7">
        <f>IF($U180="","",IF(INDEX('Per Invoice'!L$2:L$401,$U180)="","",INDEX('Per Invoice'!L$2:L$401,$U180)))</f>
        <v/>
      </c>
      <c r="M180" s="7">
        <f>IF($U180="","",IF(INDEX('Per Invoice'!M$2:M$401,$U180)="","",INDEX('Per Invoice'!M$2:M$401,$U180)))</f>
        <v/>
      </c>
      <c r="N180">
        <f>IF($U180="","",IF(INDEX('Per Invoice'!N$2:N$401,$U180)="","",INDEX('Per Invoice'!N$2:N$401,$U180)))</f>
        <v/>
      </c>
      <c r="O180" s="7">
        <f>IF($U180="","",IF(INDEX('Per Invoice'!O$2:O$401,$U180)="","",INDEX('Per Invoice'!O$2:O$401,$U180)))</f>
        <v/>
      </c>
      <c r="P180" s="7">
        <f>IF($U180="","",IF(INDEX('Per Invoice'!P$2:P$401,$U180)="","",INDEX('Per Invoice'!P$2:P$401,$U180)))</f>
        <v/>
      </c>
      <c r="Q180" s="7">
        <f>IF($U180="","",IF(INDEX('Per Invoice'!Q$2:Q$401,$U180)="","",INDEX('Per Invoice'!Q$2:Q$401,$U180)))</f>
        <v/>
      </c>
      <c r="R180" s="7">
        <f>IF($U180="","",IF(INDEX('Per Invoice'!R$2:R$401,$U180)="","",INDEX('Per Invoice'!R$2:R$401,$U180)))</f>
        <v/>
      </c>
      <c r="S180" s="7">
        <f>IF($U180="","",IF(INDEX('Per Invoice'!S$2:S$401,$U180)="","",INDEX('Per Invoice'!S$2:S$401,$U180)))</f>
        <v/>
      </c>
      <c r="T180" s="7">
        <f>IF($U180="","",IF(INDEX('Per Invoice'!T$2:T$401,$U180)="","",INDEX('Per Invoice'!T$2:T$401,$U180)))</f>
        <v/>
      </c>
      <c r="U180" s="16">
        <f>IFERROR(MATCH(Settings!$C$30&amp;"|"&amp;ROWS($U$2:$U180),'Per Invoice'!$V$2:$V$401,0),"")</f>
        <v/>
      </c>
    </row>
    <row r="181">
      <c r="A181">
        <f>IF($U181="","",IF(INDEX('Per Invoice'!A$2:A$401,$U181)="","",INDEX('Per Invoice'!A$2:A$401,$U181)))</f>
        <v/>
      </c>
      <c r="B181">
        <f>IF($U181="","",IF(INDEX('Per Invoice'!B$2:B$401,$U181)="","",INDEX('Per Invoice'!B$2:B$401,$U181)))</f>
        <v/>
      </c>
      <c r="C181">
        <f>IF($U181="","",IF(INDEX('Per Invoice'!C$2:C$401,$U181)="","",INDEX('Per Invoice'!C$2:C$401,$U181)))</f>
        <v/>
      </c>
      <c r="D181">
        <f>IF($U181="","",IF(INDEX('Per Invoice'!D$2:D$401,$U181)="","",INDEX('Per Invoice'!D$2:D$401,$U181)))</f>
        <v/>
      </c>
      <c r="E181">
        <f>IF($U181="","",IF(INDEX('Per Invoice'!E$2:E$401,$U181)="","",INDEX('Per Invoice'!E$2:E$401,$U181)))</f>
        <v/>
      </c>
      <c r="F181">
        <f>IF($U181="","",IF(INDEX('Per Invoice'!F$2:F$401,$U181)="","",INDEX('Per Invoice'!F$2:F$401,$U181)))</f>
        <v/>
      </c>
      <c r="G181">
        <f>IF($U181="","",IF(INDEX('Per Invoice'!G$2:G$401,$U181)="","",INDEX('Per Invoice'!G$2:G$401,$U181)))</f>
        <v/>
      </c>
      <c r="H181" s="7">
        <f>IF($U181="","",IF(INDEX('Per Invoice'!H$2:H$401,$U181)="","",INDEX('Per Invoice'!H$2:H$401,$U181)))</f>
        <v/>
      </c>
      <c r="I181" s="14">
        <f>IF($U181="","",IF(INDEX('Per Invoice'!I$2:I$401,$U181)="","",INDEX('Per Invoice'!I$2:I$401,$U181)))</f>
        <v/>
      </c>
      <c r="J181">
        <f>IF($U181="","",IF(INDEX('Per Invoice'!J$2:J$401,$U181)="","",INDEX('Per Invoice'!J$2:J$401,$U181)))</f>
        <v/>
      </c>
      <c r="K181">
        <f>IF($U181="","",IF(INDEX('Per Invoice'!K$2:K$401,$U181)="","",INDEX('Per Invoice'!K$2:K$401,$U181)))</f>
        <v/>
      </c>
      <c r="L181" s="7">
        <f>IF($U181="","",IF(INDEX('Per Invoice'!L$2:L$401,$U181)="","",INDEX('Per Invoice'!L$2:L$401,$U181)))</f>
        <v/>
      </c>
      <c r="M181" s="7">
        <f>IF($U181="","",IF(INDEX('Per Invoice'!M$2:M$401,$U181)="","",INDEX('Per Invoice'!M$2:M$401,$U181)))</f>
        <v/>
      </c>
      <c r="N181">
        <f>IF($U181="","",IF(INDEX('Per Invoice'!N$2:N$401,$U181)="","",INDEX('Per Invoice'!N$2:N$401,$U181)))</f>
        <v/>
      </c>
      <c r="O181" s="7">
        <f>IF($U181="","",IF(INDEX('Per Invoice'!O$2:O$401,$U181)="","",INDEX('Per Invoice'!O$2:O$401,$U181)))</f>
        <v/>
      </c>
      <c r="P181" s="7">
        <f>IF($U181="","",IF(INDEX('Per Invoice'!P$2:P$401,$U181)="","",INDEX('Per Invoice'!P$2:P$401,$U181)))</f>
        <v/>
      </c>
      <c r="Q181" s="7">
        <f>IF($U181="","",IF(INDEX('Per Invoice'!Q$2:Q$401,$U181)="","",INDEX('Per Invoice'!Q$2:Q$401,$U181)))</f>
        <v/>
      </c>
      <c r="R181" s="7">
        <f>IF($U181="","",IF(INDEX('Per Invoice'!R$2:R$401,$U181)="","",INDEX('Per Invoice'!R$2:R$401,$U181)))</f>
        <v/>
      </c>
      <c r="S181" s="7">
        <f>IF($U181="","",IF(INDEX('Per Invoice'!S$2:S$401,$U181)="","",INDEX('Per Invoice'!S$2:S$401,$U181)))</f>
        <v/>
      </c>
      <c r="T181" s="7">
        <f>IF($U181="","",IF(INDEX('Per Invoice'!T$2:T$401,$U181)="","",INDEX('Per Invoice'!T$2:T$401,$U181)))</f>
        <v/>
      </c>
      <c r="U181" s="16">
        <f>IFERROR(MATCH(Settings!$C$30&amp;"|"&amp;ROWS($U$2:$U181),'Per Invoice'!$V$2:$V$401,0),"")</f>
        <v/>
      </c>
    </row>
    <row r="182">
      <c r="A182">
        <f>IF($U182="","",IF(INDEX('Per Invoice'!A$2:A$401,$U182)="","",INDEX('Per Invoice'!A$2:A$401,$U182)))</f>
        <v/>
      </c>
      <c r="B182">
        <f>IF($U182="","",IF(INDEX('Per Invoice'!B$2:B$401,$U182)="","",INDEX('Per Invoice'!B$2:B$401,$U182)))</f>
        <v/>
      </c>
      <c r="C182">
        <f>IF($U182="","",IF(INDEX('Per Invoice'!C$2:C$401,$U182)="","",INDEX('Per Invoice'!C$2:C$401,$U182)))</f>
        <v/>
      </c>
      <c r="D182">
        <f>IF($U182="","",IF(INDEX('Per Invoice'!D$2:D$401,$U182)="","",INDEX('Per Invoice'!D$2:D$401,$U182)))</f>
        <v/>
      </c>
      <c r="E182">
        <f>IF($U182="","",IF(INDEX('Per Invoice'!E$2:E$401,$U182)="","",INDEX('Per Invoice'!E$2:E$401,$U182)))</f>
        <v/>
      </c>
      <c r="F182">
        <f>IF($U182="","",IF(INDEX('Per Invoice'!F$2:F$401,$U182)="","",INDEX('Per Invoice'!F$2:F$401,$U182)))</f>
        <v/>
      </c>
      <c r="G182">
        <f>IF($U182="","",IF(INDEX('Per Invoice'!G$2:G$401,$U182)="","",INDEX('Per Invoice'!G$2:G$401,$U182)))</f>
        <v/>
      </c>
      <c r="H182" s="7">
        <f>IF($U182="","",IF(INDEX('Per Invoice'!H$2:H$401,$U182)="","",INDEX('Per Invoice'!H$2:H$401,$U182)))</f>
        <v/>
      </c>
      <c r="I182" s="14">
        <f>IF($U182="","",IF(INDEX('Per Invoice'!I$2:I$401,$U182)="","",INDEX('Per Invoice'!I$2:I$401,$U182)))</f>
        <v/>
      </c>
      <c r="J182">
        <f>IF($U182="","",IF(INDEX('Per Invoice'!J$2:J$401,$U182)="","",INDEX('Per Invoice'!J$2:J$401,$U182)))</f>
        <v/>
      </c>
      <c r="K182">
        <f>IF($U182="","",IF(INDEX('Per Invoice'!K$2:K$401,$U182)="","",INDEX('Per Invoice'!K$2:K$401,$U182)))</f>
        <v/>
      </c>
      <c r="L182" s="7">
        <f>IF($U182="","",IF(INDEX('Per Invoice'!L$2:L$401,$U182)="","",INDEX('Per Invoice'!L$2:L$401,$U182)))</f>
        <v/>
      </c>
      <c r="M182" s="7">
        <f>IF($U182="","",IF(INDEX('Per Invoice'!M$2:M$401,$U182)="","",INDEX('Per Invoice'!M$2:M$401,$U182)))</f>
        <v/>
      </c>
      <c r="N182">
        <f>IF($U182="","",IF(INDEX('Per Invoice'!N$2:N$401,$U182)="","",INDEX('Per Invoice'!N$2:N$401,$U182)))</f>
        <v/>
      </c>
      <c r="O182" s="7">
        <f>IF($U182="","",IF(INDEX('Per Invoice'!O$2:O$401,$U182)="","",INDEX('Per Invoice'!O$2:O$401,$U182)))</f>
        <v/>
      </c>
      <c r="P182" s="7">
        <f>IF($U182="","",IF(INDEX('Per Invoice'!P$2:P$401,$U182)="","",INDEX('Per Invoice'!P$2:P$401,$U182)))</f>
        <v/>
      </c>
      <c r="Q182" s="7">
        <f>IF($U182="","",IF(INDEX('Per Invoice'!Q$2:Q$401,$U182)="","",INDEX('Per Invoice'!Q$2:Q$401,$U182)))</f>
        <v/>
      </c>
      <c r="R182" s="7">
        <f>IF($U182="","",IF(INDEX('Per Invoice'!R$2:R$401,$U182)="","",INDEX('Per Invoice'!R$2:R$401,$U182)))</f>
        <v/>
      </c>
      <c r="S182" s="7">
        <f>IF($U182="","",IF(INDEX('Per Invoice'!S$2:S$401,$U182)="","",INDEX('Per Invoice'!S$2:S$401,$U182)))</f>
        <v/>
      </c>
      <c r="T182" s="7">
        <f>IF($U182="","",IF(INDEX('Per Invoice'!T$2:T$401,$U182)="","",INDEX('Per Invoice'!T$2:T$401,$U182)))</f>
        <v/>
      </c>
      <c r="U182" s="16">
        <f>IFERROR(MATCH(Settings!$C$30&amp;"|"&amp;ROWS($U$2:$U182),'Per Invoice'!$V$2:$V$401,0),"")</f>
        <v/>
      </c>
    </row>
    <row r="183">
      <c r="A183">
        <f>IF($U183="","",IF(INDEX('Per Invoice'!A$2:A$401,$U183)="","",INDEX('Per Invoice'!A$2:A$401,$U183)))</f>
        <v/>
      </c>
      <c r="B183">
        <f>IF($U183="","",IF(INDEX('Per Invoice'!B$2:B$401,$U183)="","",INDEX('Per Invoice'!B$2:B$401,$U183)))</f>
        <v/>
      </c>
      <c r="C183">
        <f>IF($U183="","",IF(INDEX('Per Invoice'!C$2:C$401,$U183)="","",INDEX('Per Invoice'!C$2:C$401,$U183)))</f>
        <v/>
      </c>
      <c r="D183">
        <f>IF($U183="","",IF(INDEX('Per Invoice'!D$2:D$401,$U183)="","",INDEX('Per Invoice'!D$2:D$401,$U183)))</f>
        <v/>
      </c>
      <c r="E183">
        <f>IF($U183="","",IF(INDEX('Per Invoice'!E$2:E$401,$U183)="","",INDEX('Per Invoice'!E$2:E$401,$U183)))</f>
        <v/>
      </c>
      <c r="F183">
        <f>IF($U183="","",IF(INDEX('Per Invoice'!F$2:F$401,$U183)="","",INDEX('Per Invoice'!F$2:F$401,$U183)))</f>
        <v/>
      </c>
      <c r="G183">
        <f>IF($U183="","",IF(INDEX('Per Invoice'!G$2:G$401,$U183)="","",INDEX('Per Invoice'!G$2:G$401,$U183)))</f>
        <v/>
      </c>
      <c r="H183" s="7">
        <f>IF($U183="","",IF(INDEX('Per Invoice'!H$2:H$401,$U183)="","",INDEX('Per Invoice'!H$2:H$401,$U183)))</f>
        <v/>
      </c>
      <c r="I183" s="14">
        <f>IF($U183="","",IF(INDEX('Per Invoice'!I$2:I$401,$U183)="","",INDEX('Per Invoice'!I$2:I$401,$U183)))</f>
        <v/>
      </c>
      <c r="J183">
        <f>IF($U183="","",IF(INDEX('Per Invoice'!J$2:J$401,$U183)="","",INDEX('Per Invoice'!J$2:J$401,$U183)))</f>
        <v/>
      </c>
      <c r="K183">
        <f>IF($U183="","",IF(INDEX('Per Invoice'!K$2:K$401,$U183)="","",INDEX('Per Invoice'!K$2:K$401,$U183)))</f>
        <v/>
      </c>
      <c r="L183" s="7">
        <f>IF($U183="","",IF(INDEX('Per Invoice'!L$2:L$401,$U183)="","",INDEX('Per Invoice'!L$2:L$401,$U183)))</f>
        <v/>
      </c>
      <c r="M183" s="7">
        <f>IF($U183="","",IF(INDEX('Per Invoice'!M$2:M$401,$U183)="","",INDEX('Per Invoice'!M$2:M$401,$U183)))</f>
        <v/>
      </c>
      <c r="N183">
        <f>IF($U183="","",IF(INDEX('Per Invoice'!N$2:N$401,$U183)="","",INDEX('Per Invoice'!N$2:N$401,$U183)))</f>
        <v/>
      </c>
      <c r="O183" s="7">
        <f>IF($U183="","",IF(INDEX('Per Invoice'!O$2:O$401,$U183)="","",INDEX('Per Invoice'!O$2:O$401,$U183)))</f>
        <v/>
      </c>
      <c r="P183" s="7">
        <f>IF($U183="","",IF(INDEX('Per Invoice'!P$2:P$401,$U183)="","",INDEX('Per Invoice'!P$2:P$401,$U183)))</f>
        <v/>
      </c>
      <c r="Q183" s="7">
        <f>IF($U183="","",IF(INDEX('Per Invoice'!Q$2:Q$401,$U183)="","",INDEX('Per Invoice'!Q$2:Q$401,$U183)))</f>
        <v/>
      </c>
      <c r="R183" s="7">
        <f>IF($U183="","",IF(INDEX('Per Invoice'!R$2:R$401,$U183)="","",INDEX('Per Invoice'!R$2:R$401,$U183)))</f>
        <v/>
      </c>
      <c r="S183" s="7">
        <f>IF($U183="","",IF(INDEX('Per Invoice'!S$2:S$401,$U183)="","",INDEX('Per Invoice'!S$2:S$401,$U183)))</f>
        <v/>
      </c>
      <c r="T183" s="7">
        <f>IF($U183="","",IF(INDEX('Per Invoice'!T$2:T$401,$U183)="","",INDEX('Per Invoice'!T$2:T$401,$U183)))</f>
        <v/>
      </c>
      <c r="U183" s="16">
        <f>IFERROR(MATCH(Settings!$C$30&amp;"|"&amp;ROWS($U$2:$U183),'Per Invoice'!$V$2:$V$401,0),"")</f>
        <v/>
      </c>
    </row>
    <row r="184">
      <c r="A184">
        <f>IF($U184="","",IF(INDEX('Per Invoice'!A$2:A$401,$U184)="","",INDEX('Per Invoice'!A$2:A$401,$U184)))</f>
        <v/>
      </c>
      <c r="B184">
        <f>IF($U184="","",IF(INDEX('Per Invoice'!B$2:B$401,$U184)="","",INDEX('Per Invoice'!B$2:B$401,$U184)))</f>
        <v/>
      </c>
      <c r="C184">
        <f>IF($U184="","",IF(INDEX('Per Invoice'!C$2:C$401,$U184)="","",INDEX('Per Invoice'!C$2:C$401,$U184)))</f>
        <v/>
      </c>
      <c r="D184">
        <f>IF($U184="","",IF(INDEX('Per Invoice'!D$2:D$401,$U184)="","",INDEX('Per Invoice'!D$2:D$401,$U184)))</f>
        <v/>
      </c>
      <c r="E184">
        <f>IF($U184="","",IF(INDEX('Per Invoice'!E$2:E$401,$U184)="","",INDEX('Per Invoice'!E$2:E$401,$U184)))</f>
        <v/>
      </c>
      <c r="F184">
        <f>IF($U184="","",IF(INDEX('Per Invoice'!F$2:F$401,$U184)="","",INDEX('Per Invoice'!F$2:F$401,$U184)))</f>
        <v/>
      </c>
      <c r="G184">
        <f>IF($U184="","",IF(INDEX('Per Invoice'!G$2:G$401,$U184)="","",INDEX('Per Invoice'!G$2:G$401,$U184)))</f>
        <v/>
      </c>
      <c r="H184" s="7">
        <f>IF($U184="","",IF(INDEX('Per Invoice'!H$2:H$401,$U184)="","",INDEX('Per Invoice'!H$2:H$401,$U184)))</f>
        <v/>
      </c>
      <c r="I184" s="14">
        <f>IF($U184="","",IF(INDEX('Per Invoice'!I$2:I$401,$U184)="","",INDEX('Per Invoice'!I$2:I$401,$U184)))</f>
        <v/>
      </c>
      <c r="J184">
        <f>IF($U184="","",IF(INDEX('Per Invoice'!J$2:J$401,$U184)="","",INDEX('Per Invoice'!J$2:J$401,$U184)))</f>
        <v/>
      </c>
      <c r="K184">
        <f>IF($U184="","",IF(INDEX('Per Invoice'!K$2:K$401,$U184)="","",INDEX('Per Invoice'!K$2:K$401,$U184)))</f>
        <v/>
      </c>
      <c r="L184" s="7">
        <f>IF($U184="","",IF(INDEX('Per Invoice'!L$2:L$401,$U184)="","",INDEX('Per Invoice'!L$2:L$401,$U184)))</f>
        <v/>
      </c>
      <c r="M184" s="7">
        <f>IF($U184="","",IF(INDEX('Per Invoice'!M$2:M$401,$U184)="","",INDEX('Per Invoice'!M$2:M$401,$U184)))</f>
        <v/>
      </c>
      <c r="N184">
        <f>IF($U184="","",IF(INDEX('Per Invoice'!N$2:N$401,$U184)="","",INDEX('Per Invoice'!N$2:N$401,$U184)))</f>
        <v/>
      </c>
      <c r="O184" s="7">
        <f>IF($U184="","",IF(INDEX('Per Invoice'!O$2:O$401,$U184)="","",INDEX('Per Invoice'!O$2:O$401,$U184)))</f>
        <v/>
      </c>
      <c r="P184" s="7">
        <f>IF($U184="","",IF(INDEX('Per Invoice'!P$2:P$401,$U184)="","",INDEX('Per Invoice'!P$2:P$401,$U184)))</f>
        <v/>
      </c>
      <c r="Q184" s="7">
        <f>IF($U184="","",IF(INDEX('Per Invoice'!Q$2:Q$401,$U184)="","",INDEX('Per Invoice'!Q$2:Q$401,$U184)))</f>
        <v/>
      </c>
      <c r="R184" s="7">
        <f>IF($U184="","",IF(INDEX('Per Invoice'!R$2:R$401,$U184)="","",INDEX('Per Invoice'!R$2:R$401,$U184)))</f>
        <v/>
      </c>
      <c r="S184" s="7">
        <f>IF($U184="","",IF(INDEX('Per Invoice'!S$2:S$401,$U184)="","",INDEX('Per Invoice'!S$2:S$401,$U184)))</f>
        <v/>
      </c>
      <c r="T184" s="7">
        <f>IF($U184="","",IF(INDEX('Per Invoice'!T$2:T$401,$U184)="","",INDEX('Per Invoice'!T$2:T$401,$U184)))</f>
        <v/>
      </c>
      <c r="U184" s="16">
        <f>IFERROR(MATCH(Settings!$C$30&amp;"|"&amp;ROWS($U$2:$U184),'Per Invoice'!$V$2:$V$401,0),"")</f>
        <v/>
      </c>
    </row>
    <row r="185">
      <c r="A185">
        <f>IF($U185="","",IF(INDEX('Per Invoice'!A$2:A$401,$U185)="","",INDEX('Per Invoice'!A$2:A$401,$U185)))</f>
        <v/>
      </c>
      <c r="B185">
        <f>IF($U185="","",IF(INDEX('Per Invoice'!B$2:B$401,$U185)="","",INDEX('Per Invoice'!B$2:B$401,$U185)))</f>
        <v/>
      </c>
      <c r="C185">
        <f>IF($U185="","",IF(INDEX('Per Invoice'!C$2:C$401,$U185)="","",INDEX('Per Invoice'!C$2:C$401,$U185)))</f>
        <v/>
      </c>
      <c r="D185">
        <f>IF($U185="","",IF(INDEX('Per Invoice'!D$2:D$401,$U185)="","",INDEX('Per Invoice'!D$2:D$401,$U185)))</f>
        <v/>
      </c>
      <c r="E185">
        <f>IF($U185="","",IF(INDEX('Per Invoice'!E$2:E$401,$U185)="","",INDEX('Per Invoice'!E$2:E$401,$U185)))</f>
        <v/>
      </c>
      <c r="F185">
        <f>IF($U185="","",IF(INDEX('Per Invoice'!F$2:F$401,$U185)="","",INDEX('Per Invoice'!F$2:F$401,$U185)))</f>
        <v/>
      </c>
      <c r="G185">
        <f>IF($U185="","",IF(INDEX('Per Invoice'!G$2:G$401,$U185)="","",INDEX('Per Invoice'!G$2:G$401,$U185)))</f>
        <v/>
      </c>
      <c r="H185" s="7">
        <f>IF($U185="","",IF(INDEX('Per Invoice'!H$2:H$401,$U185)="","",INDEX('Per Invoice'!H$2:H$401,$U185)))</f>
        <v/>
      </c>
      <c r="I185" s="14">
        <f>IF($U185="","",IF(INDEX('Per Invoice'!I$2:I$401,$U185)="","",INDEX('Per Invoice'!I$2:I$401,$U185)))</f>
        <v/>
      </c>
      <c r="J185">
        <f>IF($U185="","",IF(INDEX('Per Invoice'!J$2:J$401,$U185)="","",INDEX('Per Invoice'!J$2:J$401,$U185)))</f>
        <v/>
      </c>
      <c r="K185">
        <f>IF($U185="","",IF(INDEX('Per Invoice'!K$2:K$401,$U185)="","",INDEX('Per Invoice'!K$2:K$401,$U185)))</f>
        <v/>
      </c>
      <c r="L185" s="7">
        <f>IF($U185="","",IF(INDEX('Per Invoice'!L$2:L$401,$U185)="","",INDEX('Per Invoice'!L$2:L$401,$U185)))</f>
        <v/>
      </c>
      <c r="M185" s="7">
        <f>IF($U185="","",IF(INDEX('Per Invoice'!M$2:M$401,$U185)="","",INDEX('Per Invoice'!M$2:M$401,$U185)))</f>
        <v/>
      </c>
      <c r="N185">
        <f>IF($U185="","",IF(INDEX('Per Invoice'!N$2:N$401,$U185)="","",INDEX('Per Invoice'!N$2:N$401,$U185)))</f>
        <v/>
      </c>
      <c r="O185" s="7">
        <f>IF($U185="","",IF(INDEX('Per Invoice'!O$2:O$401,$U185)="","",INDEX('Per Invoice'!O$2:O$401,$U185)))</f>
        <v/>
      </c>
      <c r="P185" s="7">
        <f>IF($U185="","",IF(INDEX('Per Invoice'!P$2:P$401,$U185)="","",INDEX('Per Invoice'!P$2:P$401,$U185)))</f>
        <v/>
      </c>
      <c r="Q185" s="7">
        <f>IF($U185="","",IF(INDEX('Per Invoice'!Q$2:Q$401,$U185)="","",INDEX('Per Invoice'!Q$2:Q$401,$U185)))</f>
        <v/>
      </c>
      <c r="R185" s="7">
        <f>IF($U185="","",IF(INDEX('Per Invoice'!R$2:R$401,$U185)="","",INDEX('Per Invoice'!R$2:R$401,$U185)))</f>
        <v/>
      </c>
      <c r="S185" s="7">
        <f>IF($U185="","",IF(INDEX('Per Invoice'!S$2:S$401,$U185)="","",INDEX('Per Invoice'!S$2:S$401,$U185)))</f>
        <v/>
      </c>
      <c r="T185" s="7">
        <f>IF($U185="","",IF(INDEX('Per Invoice'!T$2:T$401,$U185)="","",INDEX('Per Invoice'!T$2:T$401,$U185)))</f>
        <v/>
      </c>
      <c r="U185" s="16">
        <f>IFERROR(MATCH(Settings!$C$30&amp;"|"&amp;ROWS($U$2:$U185),'Per Invoice'!$V$2:$V$401,0),"")</f>
        <v/>
      </c>
    </row>
    <row r="186">
      <c r="A186">
        <f>IF($U186="","",IF(INDEX('Per Invoice'!A$2:A$401,$U186)="","",INDEX('Per Invoice'!A$2:A$401,$U186)))</f>
        <v/>
      </c>
      <c r="B186">
        <f>IF($U186="","",IF(INDEX('Per Invoice'!B$2:B$401,$U186)="","",INDEX('Per Invoice'!B$2:B$401,$U186)))</f>
        <v/>
      </c>
      <c r="C186">
        <f>IF($U186="","",IF(INDEX('Per Invoice'!C$2:C$401,$U186)="","",INDEX('Per Invoice'!C$2:C$401,$U186)))</f>
        <v/>
      </c>
      <c r="D186">
        <f>IF($U186="","",IF(INDEX('Per Invoice'!D$2:D$401,$U186)="","",INDEX('Per Invoice'!D$2:D$401,$U186)))</f>
        <v/>
      </c>
      <c r="E186">
        <f>IF($U186="","",IF(INDEX('Per Invoice'!E$2:E$401,$U186)="","",INDEX('Per Invoice'!E$2:E$401,$U186)))</f>
        <v/>
      </c>
      <c r="F186">
        <f>IF($U186="","",IF(INDEX('Per Invoice'!F$2:F$401,$U186)="","",INDEX('Per Invoice'!F$2:F$401,$U186)))</f>
        <v/>
      </c>
      <c r="G186">
        <f>IF($U186="","",IF(INDEX('Per Invoice'!G$2:G$401,$U186)="","",INDEX('Per Invoice'!G$2:G$401,$U186)))</f>
        <v/>
      </c>
      <c r="H186" s="7">
        <f>IF($U186="","",IF(INDEX('Per Invoice'!H$2:H$401,$U186)="","",INDEX('Per Invoice'!H$2:H$401,$U186)))</f>
        <v/>
      </c>
      <c r="I186" s="14">
        <f>IF($U186="","",IF(INDEX('Per Invoice'!I$2:I$401,$U186)="","",INDEX('Per Invoice'!I$2:I$401,$U186)))</f>
        <v/>
      </c>
      <c r="J186">
        <f>IF($U186="","",IF(INDEX('Per Invoice'!J$2:J$401,$U186)="","",INDEX('Per Invoice'!J$2:J$401,$U186)))</f>
        <v/>
      </c>
      <c r="K186">
        <f>IF($U186="","",IF(INDEX('Per Invoice'!K$2:K$401,$U186)="","",INDEX('Per Invoice'!K$2:K$401,$U186)))</f>
        <v/>
      </c>
      <c r="L186" s="7">
        <f>IF($U186="","",IF(INDEX('Per Invoice'!L$2:L$401,$U186)="","",INDEX('Per Invoice'!L$2:L$401,$U186)))</f>
        <v/>
      </c>
      <c r="M186" s="7">
        <f>IF($U186="","",IF(INDEX('Per Invoice'!M$2:M$401,$U186)="","",INDEX('Per Invoice'!M$2:M$401,$U186)))</f>
        <v/>
      </c>
      <c r="N186">
        <f>IF($U186="","",IF(INDEX('Per Invoice'!N$2:N$401,$U186)="","",INDEX('Per Invoice'!N$2:N$401,$U186)))</f>
        <v/>
      </c>
      <c r="O186" s="7">
        <f>IF($U186="","",IF(INDEX('Per Invoice'!O$2:O$401,$U186)="","",INDEX('Per Invoice'!O$2:O$401,$U186)))</f>
        <v/>
      </c>
      <c r="P186" s="7">
        <f>IF($U186="","",IF(INDEX('Per Invoice'!P$2:P$401,$U186)="","",INDEX('Per Invoice'!P$2:P$401,$U186)))</f>
        <v/>
      </c>
      <c r="Q186" s="7">
        <f>IF($U186="","",IF(INDEX('Per Invoice'!Q$2:Q$401,$U186)="","",INDEX('Per Invoice'!Q$2:Q$401,$U186)))</f>
        <v/>
      </c>
      <c r="R186" s="7">
        <f>IF($U186="","",IF(INDEX('Per Invoice'!R$2:R$401,$U186)="","",INDEX('Per Invoice'!R$2:R$401,$U186)))</f>
        <v/>
      </c>
      <c r="S186" s="7">
        <f>IF($U186="","",IF(INDEX('Per Invoice'!S$2:S$401,$U186)="","",INDEX('Per Invoice'!S$2:S$401,$U186)))</f>
        <v/>
      </c>
      <c r="T186" s="7">
        <f>IF($U186="","",IF(INDEX('Per Invoice'!T$2:T$401,$U186)="","",INDEX('Per Invoice'!T$2:T$401,$U186)))</f>
        <v/>
      </c>
      <c r="U186" s="16">
        <f>IFERROR(MATCH(Settings!$C$30&amp;"|"&amp;ROWS($U$2:$U186),'Per Invoice'!$V$2:$V$401,0),"")</f>
        <v/>
      </c>
    </row>
    <row r="187">
      <c r="A187">
        <f>IF($U187="","",IF(INDEX('Per Invoice'!A$2:A$401,$U187)="","",INDEX('Per Invoice'!A$2:A$401,$U187)))</f>
        <v/>
      </c>
      <c r="B187">
        <f>IF($U187="","",IF(INDEX('Per Invoice'!B$2:B$401,$U187)="","",INDEX('Per Invoice'!B$2:B$401,$U187)))</f>
        <v/>
      </c>
      <c r="C187">
        <f>IF($U187="","",IF(INDEX('Per Invoice'!C$2:C$401,$U187)="","",INDEX('Per Invoice'!C$2:C$401,$U187)))</f>
        <v/>
      </c>
      <c r="D187">
        <f>IF($U187="","",IF(INDEX('Per Invoice'!D$2:D$401,$U187)="","",INDEX('Per Invoice'!D$2:D$401,$U187)))</f>
        <v/>
      </c>
      <c r="E187">
        <f>IF($U187="","",IF(INDEX('Per Invoice'!E$2:E$401,$U187)="","",INDEX('Per Invoice'!E$2:E$401,$U187)))</f>
        <v/>
      </c>
      <c r="F187">
        <f>IF($U187="","",IF(INDEX('Per Invoice'!F$2:F$401,$U187)="","",INDEX('Per Invoice'!F$2:F$401,$U187)))</f>
        <v/>
      </c>
      <c r="G187">
        <f>IF($U187="","",IF(INDEX('Per Invoice'!G$2:G$401,$U187)="","",INDEX('Per Invoice'!G$2:G$401,$U187)))</f>
        <v/>
      </c>
      <c r="H187" s="7">
        <f>IF($U187="","",IF(INDEX('Per Invoice'!H$2:H$401,$U187)="","",INDEX('Per Invoice'!H$2:H$401,$U187)))</f>
        <v/>
      </c>
      <c r="I187" s="14">
        <f>IF($U187="","",IF(INDEX('Per Invoice'!I$2:I$401,$U187)="","",INDEX('Per Invoice'!I$2:I$401,$U187)))</f>
        <v/>
      </c>
      <c r="J187">
        <f>IF($U187="","",IF(INDEX('Per Invoice'!J$2:J$401,$U187)="","",INDEX('Per Invoice'!J$2:J$401,$U187)))</f>
        <v/>
      </c>
      <c r="K187">
        <f>IF($U187="","",IF(INDEX('Per Invoice'!K$2:K$401,$U187)="","",INDEX('Per Invoice'!K$2:K$401,$U187)))</f>
        <v/>
      </c>
      <c r="L187" s="7">
        <f>IF($U187="","",IF(INDEX('Per Invoice'!L$2:L$401,$U187)="","",INDEX('Per Invoice'!L$2:L$401,$U187)))</f>
        <v/>
      </c>
      <c r="M187" s="7">
        <f>IF($U187="","",IF(INDEX('Per Invoice'!M$2:M$401,$U187)="","",INDEX('Per Invoice'!M$2:M$401,$U187)))</f>
        <v/>
      </c>
      <c r="N187">
        <f>IF($U187="","",IF(INDEX('Per Invoice'!N$2:N$401,$U187)="","",INDEX('Per Invoice'!N$2:N$401,$U187)))</f>
        <v/>
      </c>
      <c r="O187" s="7">
        <f>IF($U187="","",IF(INDEX('Per Invoice'!O$2:O$401,$U187)="","",INDEX('Per Invoice'!O$2:O$401,$U187)))</f>
        <v/>
      </c>
      <c r="P187" s="7">
        <f>IF($U187="","",IF(INDEX('Per Invoice'!P$2:P$401,$U187)="","",INDEX('Per Invoice'!P$2:P$401,$U187)))</f>
        <v/>
      </c>
      <c r="Q187" s="7">
        <f>IF($U187="","",IF(INDEX('Per Invoice'!Q$2:Q$401,$U187)="","",INDEX('Per Invoice'!Q$2:Q$401,$U187)))</f>
        <v/>
      </c>
      <c r="R187" s="7">
        <f>IF($U187="","",IF(INDEX('Per Invoice'!R$2:R$401,$U187)="","",INDEX('Per Invoice'!R$2:R$401,$U187)))</f>
        <v/>
      </c>
      <c r="S187" s="7">
        <f>IF($U187="","",IF(INDEX('Per Invoice'!S$2:S$401,$U187)="","",INDEX('Per Invoice'!S$2:S$401,$U187)))</f>
        <v/>
      </c>
      <c r="T187" s="7">
        <f>IF($U187="","",IF(INDEX('Per Invoice'!T$2:T$401,$U187)="","",INDEX('Per Invoice'!T$2:T$401,$U187)))</f>
        <v/>
      </c>
      <c r="U187" s="16">
        <f>IFERROR(MATCH(Settings!$C$30&amp;"|"&amp;ROWS($U$2:$U187),'Per Invoice'!$V$2:$V$401,0),"")</f>
        <v/>
      </c>
    </row>
    <row r="188">
      <c r="A188">
        <f>IF($U188="","",IF(INDEX('Per Invoice'!A$2:A$401,$U188)="","",INDEX('Per Invoice'!A$2:A$401,$U188)))</f>
        <v/>
      </c>
      <c r="B188">
        <f>IF($U188="","",IF(INDEX('Per Invoice'!B$2:B$401,$U188)="","",INDEX('Per Invoice'!B$2:B$401,$U188)))</f>
        <v/>
      </c>
      <c r="C188">
        <f>IF($U188="","",IF(INDEX('Per Invoice'!C$2:C$401,$U188)="","",INDEX('Per Invoice'!C$2:C$401,$U188)))</f>
        <v/>
      </c>
      <c r="D188">
        <f>IF($U188="","",IF(INDEX('Per Invoice'!D$2:D$401,$U188)="","",INDEX('Per Invoice'!D$2:D$401,$U188)))</f>
        <v/>
      </c>
      <c r="E188">
        <f>IF($U188="","",IF(INDEX('Per Invoice'!E$2:E$401,$U188)="","",INDEX('Per Invoice'!E$2:E$401,$U188)))</f>
        <v/>
      </c>
      <c r="F188">
        <f>IF($U188="","",IF(INDEX('Per Invoice'!F$2:F$401,$U188)="","",INDEX('Per Invoice'!F$2:F$401,$U188)))</f>
        <v/>
      </c>
      <c r="G188">
        <f>IF($U188="","",IF(INDEX('Per Invoice'!G$2:G$401,$U188)="","",INDEX('Per Invoice'!G$2:G$401,$U188)))</f>
        <v/>
      </c>
      <c r="H188" s="7">
        <f>IF($U188="","",IF(INDEX('Per Invoice'!H$2:H$401,$U188)="","",INDEX('Per Invoice'!H$2:H$401,$U188)))</f>
        <v/>
      </c>
      <c r="I188" s="14">
        <f>IF($U188="","",IF(INDEX('Per Invoice'!I$2:I$401,$U188)="","",INDEX('Per Invoice'!I$2:I$401,$U188)))</f>
        <v/>
      </c>
      <c r="J188">
        <f>IF($U188="","",IF(INDEX('Per Invoice'!J$2:J$401,$U188)="","",INDEX('Per Invoice'!J$2:J$401,$U188)))</f>
        <v/>
      </c>
      <c r="K188">
        <f>IF($U188="","",IF(INDEX('Per Invoice'!K$2:K$401,$U188)="","",INDEX('Per Invoice'!K$2:K$401,$U188)))</f>
        <v/>
      </c>
      <c r="L188" s="7">
        <f>IF($U188="","",IF(INDEX('Per Invoice'!L$2:L$401,$U188)="","",INDEX('Per Invoice'!L$2:L$401,$U188)))</f>
        <v/>
      </c>
      <c r="M188" s="7">
        <f>IF($U188="","",IF(INDEX('Per Invoice'!M$2:M$401,$U188)="","",INDEX('Per Invoice'!M$2:M$401,$U188)))</f>
        <v/>
      </c>
      <c r="N188">
        <f>IF($U188="","",IF(INDEX('Per Invoice'!N$2:N$401,$U188)="","",INDEX('Per Invoice'!N$2:N$401,$U188)))</f>
        <v/>
      </c>
      <c r="O188" s="7">
        <f>IF($U188="","",IF(INDEX('Per Invoice'!O$2:O$401,$U188)="","",INDEX('Per Invoice'!O$2:O$401,$U188)))</f>
        <v/>
      </c>
      <c r="P188" s="7">
        <f>IF($U188="","",IF(INDEX('Per Invoice'!P$2:P$401,$U188)="","",INDEX('Per Invoice'!P$2:P$401,$U188)))</f>
        <v/>
      </c>
      <c r="Q188" s="7">
        <f>IF($U188="","",IF(INDEX('Per Invoice'!Q$2:Q$401,$U188)="","",INDEX('Per Invoice'!Q$2:Q$401,$U188)))</f>
        <v/>
      </c>
      <c r="R188" s="7">
        <f>IF($U188="","",IF(INDEX('Per Invoice'!R$2:R$401,$U188)="","",INDEX('Per Invoice'!R$2:R$401,$U188)))</f>
        <v/>
      </c>
      <c r="S188" s="7">
        <f>IF($U188="","",IF(INDEX('Per Invoice'!S$2:S$401,$U188)="","",INDEX('Per Invoice'!S$2:S$401,$U188)))</f>
        <v/>
      </c>
      <c r="T188" s="7">
        <f>IF($U188="","",IF(INDEX('Per Invoice'!T$2:T$401,$U188)="","",INDEX('Per Invoice'!T$2:T$401,$U188)))</f>
        <v/>
      </c>
      <c r="U188" s="16">
        <f>IFERROR(MATCH(Settings!$C$30&amp;"|"&amp;ROWS($U$2:$U188),'Per Invoice'!$V$2:$V$401,0),"")</f>
        <v/>
      </c>
    </row>
    <row r="189">
      <c r="A189">
        <f>IF($U189="","",IF(INDEX('Per Invoice'!A$2:A$401,$U189)="","",INDEX('Per Invoice'!A$2:A$401,$U189)))</f>
        <v/>
      </c>
      <c r="B189">
        <f>IF($U189="","",IF(INDEX('Per Invoice'!B$2:B$401,$U189)="","",INDEX('Per Invoice'!B$2:B$401,$U189)))</f>
        <v/>
      </c>
      <c r="C189">
        <f>IF($U189="","",IF(INDEX('Per Invoice'!C$2:C$401,$U189)="","",INDEX('Per Invoice'!C$2:C$401,$U189)))</f>
        <v/>
      </c>
      <c r="D189">
        <f>IF($U189="","",IF(INDEX('Per Invoice'!D$2:D$401,$U189)="","",INDEX('Per Invoice'!D$2:D$401,$U189)))</f>
        <v/>
      </c>
      <c r="E189">
        <f>IF($U189="","",IF(INDEX('Per Invoice'!E$2:E$401,$U189)="","",INDEX('Per Invoice'!E$2:E$401,$U189)))</f>
        <v/>
      </c>
      <c r="F189">
        <f>IF($U189="","",IF(INDEX('Per Invoice'!F$2:F$401,$U189)="","",INDEX('Per Invoice'!F$2:F$401,$U189)))</f>
        <v/>
      </c>
      <c r="G189">
        <f>IF($U189="","",IF(INDEX('Per Invoice'!G$2:G$401,$U189)="","",INDEX('Per Invoice'!G$2:G$401,$U189)))</f>
        <v/>
      </c>
      <c r="H189" s="7">
        <f>IF($U189="","",IF(INDEX('Per Invoice'!H$2:H$401,$U189)="","",INDEX('Per Invoice'!H$2:H$401,$U189)))</f>
        <v/>
      </c>
      <c r="I189" s="14">
        <f>IF($U189="","",IF(INDEX('Per Invoice'!I$2:I$401,$U189)="","",INDEX('Per Invoice'!I$2:I$401,$U189)))</f>
        <v/>
      </c>
      <c r="J189">
        <f>IF($U189="","",IF(INDEX('Per Invoice'!J$2:J$401,$U189)="","",INDEX('Per Invoice'!J$2:J$401,$U189)))</f>
        <v/>
      </c>
      <c r="K189">
        <f>IF($U189="","",IF(INDEX('Per Invoice'!K$2:K$401,$U189)="","",INDEX('Per Invoice'!K$2:K$401,$U189)))</f>
        <v/>
      </c>
      <c r="L189" s="7">
        <f>IF($U189="","",IF(INDEX('Per Invoice'!L$2:L$401,$U189)="","",INDEX('Per Invoice'!L$2:L$401,$U189)))</f>
        <v/>
      </c>
      <c r="M189" s="7">
        <f>IF($U189="","",IF(INDEX('Per Invoice'!M$2:M$401,$U189)="","",INDEX('Per Invoice'!M$2:M$401,$U189)))</f>
        <v/>
      </c>
      <c r="N189">
        <f>IF($U189="","",IF(INDEX('Per Invoice'!N$2:N$401,$U189)="","",INDEX('Per Invoice'!N$2:N$401,$U189)))</f>
        <v/>
      </c>
      <c r="O189" s="7">
        <f>IF($U189="","",IF(INDEX('Per Invoice'!O$2:O$401,$U189)="","",INDEX('Per Invoice'!O$2:O$401,$U189)))</f>
        <v/>
      </c>
      <c r="P189" s="7">
        <f>IF($U189="","",IF(INDEX('Per Invoice'!P$2:P$401,$U189)="","",INDEX('Per Invoice'!P$2:P$401,$U189)))</f>
        <v/>
      </c>
      <c r="Q189" s="7">
        <f>IF($U189="","",IF(INDEX('Per Invoice'!Q$2:Q$401,$U189)="","",INDEX('Per Invoice'!Q$2:Q$401,$U189)))</f>
        <v/>
      </c>
      <c r="R189" s="7">
        <f>IF($U189="","",IF(INDEX('Per Invoice'!R$2:R$401,$U189)="","",INDEX('Per Invoice'!R$2:R$401,$U189)))</f>
        <v/>
      </c>
      <c r="S189" s="7">
        <f>IF($U189="","",IF(INDEX('Per Invoice'!S$2:S$401,$U189)="","",INDEX('Per Invoice'!S$2:S$401,$U189)))</f>
        <v/>
      </c>
      <c r="T189" s="7">
        <f>IF($U189="","",IF(INDEX('Per Invoice'!T$2:T$401,$U189)="","",INDEX('Per Invoice'!T$2:T$401,$U189)))</f>
        <v/>
      </c>
      <c r="U189" s="16">
        <f>IFERROR(MATCH(Settings!$C$30&amp;"|"&amp;ROWS($U$2:$U189),'Per Invoice'!$V$2:$V$401,0),"")</f>
        <v/>
      </c>
    </row>
    <row r="190">
      <c r="A190">
        <f>IF($U190="","",IF(INDEX('Per Invoice'!A$2:A$401,$U190)="","",INDEX('Per Invoice'!A$2:A$401,$U190)))</f>
        <v/>
      </c>
      <c r="B190">
        <f>IF($U190="","",IF(INDEX('Per Invoice'!B$2:B$401,$U190)="","",INDEX('Per Invoice'!B$2:B$401,$U190)))</f>
        <v/>
      </c>
      <c r="C190">
        <f>IF($U190="","",IF(INDEX('Per Invoice'!C$2:C$401,$U190)="","",INDEX('Per Invoice'!C$2:C$401,$U190)))</f>
        <v/>
      </c>
      <c r="D190">
        <f>IF($U190="","",IF(INDEX('Per Invoice'!D$2:D$401,$U190)="","",INDEX('Per Invoice'!D$2:D$401,$U190)))</f>
        <v/>
      </c>
      <c r="E190">
        <f>IF($U190="","",IF(INDEX('Per Invoice'!E$2:E$401,$U190)="","",INDEX('Per Invoice'!E$2:E$401,$U190)))</f>
        <v/>
      </c>
      <c r="F190">
        <f>IF($U190="","",IF(INDEX('Per Invoice'!F$2:F$401,$U190)="","",INDEX('Per Invoice'!F$2:F$401,$U190)))</f>
        <v/>
      </c>
      <c r="G190">
        <f>IF($U190="","",IF(INDEX('Per Invoice'!G$2:G$401,$U190)="","",INDEX('Per Invoice'!G$2:G$401,$U190)))</f>
        <v/>
      </c>
      <c r="H190" s="7">
        <f>IF($U190="","",IF(INDEX('Per Invoice'!H$2:H$401,$U190)="","",INDEX('Per Invoice'!H$2:H$401,$U190)))</f>
        <v/>
      </c>
      <c r="I190" s="14">
        <f>IF($U190="","",IF(INDEX('Per Invoice'!I$2:I$401,$U190)="","",INDEX('Per Invoice'!I$2:I$401,$U190)))</f>
        <v/>
      </c>
      <c r="J190">
        <f>IF($U190="","",IF(INDEX('Per Invoice'!J$2:J$401,$U190)="","",INDEX('Per Invoice'!J$2:J$401,$U190)))</f>
        <v/>
      </c>
      <c r="K190">
        <f>IF($U190="","",IF(INDEX('Per Invoice'!K$2:K$401,$U190)="","",INDEX('Per Invoice'!K$2:K$401,$U190)))</f>
        <v/>
      </c>
      <c r="L190" s="7">
        <f>IF($U190="","",IF(INDEX('Per Invoice'!L$2:L$401,$U190)="","",INDEX('Per Invoice'!L$2:L$401,$U190)))</f>
        <v/>
      </c>
      <c r="M190" s="7">
        <f>IF($U190="","",IF(INDEX('Per Invoice'!M$2:M$401,$U190)="","",INDEX('Per Invoice'!M$2:M$401,$U190)))</f>
        <v/>
      </c>
      <c r="N190">
        <f>IF($U190="","",IF(INDEX('Per Invoice'!N$2:N$401,$U190)="","",INDEX('Per Invoice'!N$2:N$401,$U190)))</f>
        <v/>
      </c>
      <c r="O190" s="7">
        <f>IF($U190="","",IF(INDEX('Per Invoice'!O$2:O$401,$U190)="","",INDEX('Per Invoice'!O$2:O$401,$U190)))</f>
        <v/>
      </c>
      <c r="P190" s="7">
        <f>IF($U190="","",IF(INDEX('Per Invoice'!P$2:P$401,$U190)="","",INDEX('Per Invoice'!P$2:P$401,$U190)))</f>
        <v/>
      </c>
      <c r="Q190" s="7">
        <f>IF($U190="","",IF(INDEX('Per Invoice'!Q$2:Q$401,$U190)="","",INDEX('Per Invoice'!Q$2:Q$401,$U190)))</f>
        <v/>
      </c>
      <c r="R190" s="7">
        <f>IF($U190="","",IF(INDEX('Per Invoice'!R$2:R$401,$U190)="","",INDEX('Per Invoice'!R$2:R$401,$U190)))</f>
        <v/>
      </c>
      <c r="S190" s="7">
        <f>IF($U190="","",IF(INDEX('Per Invoice'!S$2:S$401,$U190)="","",INDEX('Per Invoice'!S$2:S$401,$U190)))</f>
        <v/>
      </c>
      <c r="T190" s="7">
        <f>IF($U190="","",IF(INDEX('Per Invoice'!T$2:T$401,$U190)="","",INDEX('Per Invoice'!T$2:T$401,$U190)))</f>
        <v/>
      </c>
      <c r="U190" s="16">
        <f>IFERROR(MATCH(Settings!$C$30&amp;"|"&amp;ROWS($U$2:$U190),'Per Invoice'!$V$2:$V$401,0),"")</f>
        <v/>
      </c>
    </row>
    <row r="191">
      <c r="A191">
        <f>IF($U191="","",IF(INDEX('Per Invoice'!A$2:A$401,$U191)="","",INDEX('Per Invoice'!A$2:A$401,$U191)))</f>
        <v/>
      </c>
      <c r="B191">
        <f>IF($U191="","",IF(INDEX('Per Invoice'!B$2:B$401,$U191)="","",INDEX('Per Invoice'!B$2:B$401,$U191)))</f>
        <v/>
      </c>
      <c r="C191">
        <f>IF($U191="","",IF(INDEX('Per Invoice'!C$2:C$401,$U191)="","",INDEX('Per Invoice'!C$2:C$401,$U191)))</f>
        <v/>
      </c>
      <c r="D191">
        <f>IF($U191="","",IF(INDEX('Per Invoice'!D$2:D$401,$U191)="","",INDEX('Per Invoice'!D$2:D$401,$U191)))</f>
        <v/>
      </c>
      <c r="E191">
        <f>IF($U191="","",IF(INDEX('Per Invoice'!E$2:E$401,$U191)="","",INDEX('Per Invoice'!E$2:E$401,$U191)))</f>
        <v/>
      </c>
      <c r="F191">
        <f>IF($U191="","",IF(INDEX('Per Invoice'!F$2:F$401,$U191)="","",INDEX('Per Invoice'!F$2:F$401,$U191)))</f>
        <v/>
      </c>
      <c r="G191">
        <f>IF($U191="","",IF(INDEX('Per Invoice'!G$2:G$401,$U191)="","",INDEX('Per Invoice'!G$2:G$401,$U191)))</f>
        <v/>
      </c>
      <c r="H191" s="7">
        <f>IF($U191="","",IF(INDEX('Per Invoice'!H$2:H$401,$U191)="","",INDEX('Per Invoice'!H$2:H$401,$U191)))</f>
        <v/>
      </c>
      <c r="I191" s="14">
        <f>IF($U191="","",IF(INDEX('Per Invoice'!I$2:I$401,$U191)="","",INDEX('Per Invoice'!I$2:I$401,$U191)))</f>
        <v/>
      </c>
      <c r="J191">
        <f>IF($U191="","",IF(INDEX('Per Invoice'!J$2:J$401,$U191)="","",INDEX('Per Invoice'!J$2:J$401,$U191)))</f>
        <v/>
      </c>
      <c r="K191">
        <f>IF($U191="","",IF(INDEX('Per Invoice'!K$2:K$401,$U191)="","",INDEX('Per Invoice'!K$2:K$401,$U191)))</f>
        <v/>
      </c>
      <c r="L191" s="7">
        <f>IF($U191="","",IF(INDEX('Per Invoice'!L$2:L$401,$U191)="","",INDEX('Per Invoice'!L$2:L$401,$U191)))</f>
        <v/>
      </c>
      <c r="M191" s="7">
        <f>IF($U191="","",IF(INDEX('Per Invoice'!M$2:M$401,$U191)="","",INDEX('Per Invoice'!M$2:M$401,$U191)))</f>
        <v/>
      </c>
      <c r="N191">
        <f>IF($U191="","",IF(INDEX('Per Invoice'!N$2:N$401,$U191)="","",INDEX('Per Invoice'!N$2:N$401,$U191)))</f>
        <v/>
      </c>
      <c r="O191" s="7">
        <f>IF($U191="","",IF(INDEX('Per Invoice'!O$2:O$401,$U191)="","",INDEX('Per Invoice'!O$2:O$401,$U191)))</f>
        <v/>
      </c>
      <c r="P191" s="7">
        <f>IF($U191="","",IF(INDEX('Per Invoice'!P$2:P$401,$U191)="","",INDEX('Per Invoice'!P$2:P$401,$U191)))</f>
        <v/>
      </c>
      <c r="Q191" s="7">
        <f>IF($U191="","",IF(INDEX('Per Invoice'!Q$2:Q$401,$U191)="","",INDEX('Per Invoice'!Q$2:Q$401,$U191)))</f>
        <v/>
      </c>
      <c r="R191" s="7">
        <f>IF($U191="","",IF(INDEX('Per Invoice'!R$2:R$401,$U191)="","",INDEX('Per Invoice'!R$2:R$401,$U191)))</f>
        <v/>
      </c>
      <c r="S191" s="7">
        <f>IF($U191="","",IF(INDEX('Per Invoice'!S$2:S$401,$U191)="","",INDEX('Per Invoice'!S$2:S$401,$U191)))</f>
        <v/>
      </c>
      <c r="T191" s="7">
        <f>IF($U191="","",IF(INDEX('Per Invoice'!T$2:T$401,$U191)="","",INDEX('Per Invoice'!T$2:T$401,$U191)))</f>
        <v/>
      </c>
      <c r="U191" s="16">
        <f>IFERROR(MATCH(Settings!$C$30&amp;"|"&amp;ROWS($U$2:$U191),'Per Invoice'!$V$2:$V$401,0),"")</f>
        <v/>
      </c>
    </row>
    <row r="192">
      <c r="A192">
        <f>IF($U192="","",IF(INDEX('Per Invoice'!A$2:A$401,$U192)="","",INDEX('Per Invoice'!A$2:A$401,$U192)))</f>
        <v/>
      </c>
      <c r="B192">
        <f>IF($U192="","",IF(INDEX('Per Invoice'!B$2:B$401,$U192)="","",INDEX('Per Invoice'!B$2:B$401,$U192)))</f>
        <v/>
      </c>
      <c r="C192">
        <f>IF($U192="","",IF(INDEX('Per Invoice'!C$2:C$401,$U192)="","",INDEX('Per Invoice'!C$2:C$401,$U192)))</f>
        <v/>
      </c>
      <c r="D192">
        <f>IF($U192="","",IF(INDEX('Per Invoice'!D$2:D$401,$U192)="","",INDEX('Per Invoice'!D$2:D$401,$U192)))</f>
        <v/>
      </c>
      <c r="E192">
        <f>IF($U192="","",IF(INDEX('Per Invoice'!E$2:E$401,$U192)="","",INDEX('Per Invoice'!E$2:E$401,$U192)))</f>
        <v/>
      </c>
      <c r="F192">
        <f>IF($U192="","",IF(INDEX('Per Invoice'!F$2:F$401,$U192)="","",INDEX('Per Invoice'!F$2:F$401,$U192)))</f>
        <v/>
      </c>
      <c r="G192">
        <f>IF($U192="","",IF(INDEX('Per Invoice'!G$2:G$401,$U192)="","",INDEX('Per Invoice'!G$2:G$401,$U192)))</f>
        <v/>
      </c>
      <c r="H192" s="7">
        <f>IF($U192="","",IF(INDEX('Per Invoice'!H$2:H$401,$U192)="","",INDEX('Per Invoice'!H$2:H$401,$U192)))</f>
        <v/>
      </c>
      <c r="I192" s="14">
        <f>IF($U192="","",IF(INDEX('Per Invoice'!I$2:I$401,$U192)="","",INDEX('Per Invoice'!I$2:I$401,$U192)))</f>
        <v/>
      </c>
      <c r="J192">
        <f>IF($U192="","",IF(INDEX('Per Invoice'!J$2:J$401,$U192)="","",INDEX('Per Invoice'!J$2:J$401,$U192)))</f>
        <v/>
      </c>
      <c r="K192">
        <f>IF($U192="","",IF(INDEX('Per Invoice'!K$2:K$401,$U192)="","",INDEX('Per Invoice'!K$2:K$401,$U192)))</f>
        <v/>
      </c>
      <c r="L192" s="7">
        <f>IF($U192="","",IF(INDEX('Per Invoice'!L$2:L$401,$U192)="","",INDEX('Per Invoice'!L$2:L$401,$U192)))</f>
        <v/>
      </c>
      <c r="M192" s="7">
        <f>IF($U192="","",IF(INDEX('Per Invoice'!M$2:M$401,$U192)="","",INDEX('Per Invoice'!M$2:M$401,$U192)))</f>
        <v/>
      </c>
      <c r="N192">
        <f>IF($U192="","",IF(INDEX('Per Invoice'!N$2:N$401,$U192)="","",INDEX('Per Invoice'!N$2:N$401,$U192)))</f>
        <v/>
      </c>
      <c r="O192" s="7">
        <f>IF($U192="","",IF(INDEX('Per Invoice'!O$2:O$401,$U192)="","",INDEX('Per Invoice'!O$2:O$401,$U192)))</f>
        <v/>
      </c>
      <c r="P192" s="7">
        <f>IF($U192="","",IF(INDEX('Per Invoice'!P$2:P$401,$U192)="","",INDEX('Per Invoice'!P$2:P$401,$U192)))</f>
        <v/>
      </c>
      <c r="Q192" s="7">
        <f>IF($U192="","",IF(INDEX('Per Invoice'!Q$2:Q$401,$U192)="","",INDEX('Per Invoice'!Q$2:Q$401,$U192)))</f>
        <v/>
      </c>
      <c r="R192" s="7">
        <f>IF($U192="","",IF(INDEX('Per Invoice'!R$2:R$401,$U192)="","",INDEX('Per Invoice'!R$2:R$401,$U192)))</f>
        <v/>
      </c>
      <c r="S192" s="7">
        <f>IF($U192="","",IF(INDEX('Per Invoice'!S$2:S$401,$U192)="","",INDEX('Per Invoice'!S$2:S$401,$U192)))</f>
        <v/>
      </c>
      <c r="T192" s="7">
        <f>IF($U192="","",IF(INDEX('Per Invoice'!T$2:T$401,$U192)="","",INDEX('Per Invoice'!T$2:T$401,$U192)))</f>
        <v/>
      </c>
      <c r="U192" s="16">
        <f>IFERROR(MATCH(Settings!$C$30&amp;"|"&amp;ROWS($U$2:$U192),'Per Invoice'!$V$2:$V$401,0),"")</f>
        <v/>
      </c>
    </row>
    <row r="193">
      <c r="A193">
        <f>IF($U193="","",IF(INDEX('Per Invoice'!A$2:A$401,$U193)="","",INDEX('Per Invoice'!A$2:A$401,$U193)))</f>
        <v/>
      </c>
      <c r="B193">
        <f>IF($U193="","",IF(INDEX('Per Invoice'!B$2:B$401,$U193)="","",INDEX('Per Invoice'!B$2:B$401,$U193)))</f>
        <v/>
      </c>
      <c r="C193">
        <f>IF($U193="","",IF(INDEX('Per Invoice'!C$2:C$401,$U193)="","",INDEX('Per Invoice'!C$2:C$401,$U193)))</f>
        <v/>
      </c>
      <c r="D193">
        <f>IF($U193="","",IF(INDEX('Per Invoice'!D$2:D$401,$U193)="","",INDEX('Per Invoice'!D$2:D$401,$U193)))</f>
        <v/>
      </c>
      <c r="E193">
        <f>IF($U193="","",IF(INDEX('Per Invoice'!E$2:E$401,$U193)="","",INDEX('Per Invoice'!E$2:E$401,$U193)))</f>
        <v/>
      </c>
      <c r="F193">
        <f>IF($U193="","",IF(INDEX('Per Invoice'!F$2:F$401,$U193)="","",INDEX('Per Invoice'!F$2:F$401,$U193)))</f>
        <v/>
      </c>
      <c r="G193">
        <f>IF($U193="","",IF(INDEX('Per Invoice'!G$2:G$401,$U193)="","",INDEX('Per Invoice'!G$2:G$401,$U193)))</f>
        <v/>
      </c>
      <c r="H193" s="7">
        <f>IF($U193="","",IF(INDEX('Per Invoice'!H$2:H$401,$U193)="","",INDEX('Per Invoice'!H$2:H$401,$U193)))</f>
        <v/>
      </c>
      <c r="I193" s="14">
        <f>IF($U193="","",IF(INDEX('Per Invoice'!I$2:I$401,$U193)="","",INDEX('Per Invoice'!I$2:I$401,$U193)))</f>
        <v/>
      </c>
      <c r="J193">
        <f>IF($U193="","",IF(INDEX('Per Invoice'!J$2:J$401,$U193)="","",INDEX('Per Invoice'!J$2:J$401,$U193)))</f>
        <v/>
      </c>
      <c r="K193">
        <f>IF($U193="","",IF(INDEX('Per Invoice'!K$2:K$401,$U193)="","",INDEX('Per Invoice'!K$2:K$401,$U193)))</f>
        <v/>
      </c>
      <c r="L193" s="7">
        <f>IF($U193="","",IF(INDEX('Per Invoice'!L$2:L$401,$U193)="","",INDEX('Per Invoice'!L$2:L$401,$U193)))</f>
        <v/>
      </c>
      <c r="M193" s="7">
        <f>IF($U193="","",IF(INDEX('Per Invoice'!M$2:M$401,$U193)="","",INDEX('Per Invoice'!M$2:M$401,$U193)))</f>
        <v/>
      </c>
      <c r="N193">
        <f>IF($U193="","",IF(INDEX('Per Invoice'!N$2:N$401,$U193)="","",INDEX('Per Invoice'!N$2:N$401,$U193)))</f>
        <v/>
      </c>
      <c r="O193" s="7">
        <f>IF($U193="","",IF(INDEX('Per Invoice'!O$2:O$401,$U193)="","",INDEX('Per Invoice'!O$2:O$401,$U193)))</f>
        <v/>
      </c>
      <c r="P193" s="7">
        <f>IF($U193="","",IF(INDEX('Per Invoice'!P$2:P$401,$U193)="","",INDEX('Per Invoice'!P$2:P$401,$U193)))</f>
        <v/>
      </c>
      <c r="Q193" s="7">
        <f>IF($U193="","",IF(INDEX('Per Invoice'!Q$2:Q$401,$U193)="","",INDEX('Per Invoice'!Q$2:Q$401,$U193)))</f>
        <v/>
      </c>
      <c r="R193" s="7">
        <f>IF($U193="","",IF(INDEX('Per Invoice'!R$2:R$401,$U193)="","",INDEX('Per Invoice'!R$2:R$401,$U193)))</f>
        <v/>
      </c>
      <c r="S193" s="7">
        <f>IF($U193="","",IF(INDEX('Per Invoice'!S$2:S$401,$U193)="","",INDEX('Per Invoice'!S$2:S$401,$U193)))</f>
        <v/>
      </c>
      <c r="T193" s="7">
        <f>IF($U193="","",IF(INDEX('Per Invoice'!T$2:T$401,$U193)="","",INDEX('Per Invoice'!T$2:T$401,$U193)))</f>
        <v/>
      </c>
      <c r="U193" s="16">
        <f>IFERROR(MATCH(Settings!$C$30&amp;"|"&amp;ROWS($U$2:$U193),'Per Invoice'!$V$2:$V$401,0),"")</f>
        <v/>
      </c>
    </row>
    <row r="194">
      <c r="A194">
        <f>IF($U194="","",IF(INDEX('Per Invoice'!A$2:A$401,$U194)="","",INDEX('Per Invoice'!A$2:A$401,$U194)))</f>
        <v/>
      </c>
      <c r="B194">
        <f>IF($U194="","",IF(INDEX('Per Invoice'!B$2:B$401,$U194)="","",INDEX('Per Invoice'!B$2:B$401,$U194)))</f>
        <v/>
      </c>
      <c r="C194">
        <f>IF($U194="","",IF(INDEX('Per Invoice'!C$2:C$401,$U194)="","",INDEX('Per Invoice'!C$2:C$401,$U194)))</f>
        <v/>
      </c>
      <c r="D194">
        <f>IF($U194="","",IF(INDEX('Per Invoice'!D$2:D$401,$U194)="","",INDEX('Per Invoice'!D$2:D$401,$U194)))</f>
        <v/>
      </c>
      <c r="E194">
        <f>IF($U194="","",IF(INDEX('Per Invoice'!E$2:E$401,$U194)="","",INDEX('Per Invoice'!E$2:E$401,$U194)))</f>
        <v/>
      </c>
      <c r="F194">
        <f>IF($U194="","",IF(INDEX('Per Invoice'!F$2:F$401,$U194)="","",INDEX('Per Invoice'!F$2:F$401,$U194)))</f>
        <v/>
      </c>
      <c r="G194">
        <f>IF($U194="","",IF(INDEX('Per Invoice'!G$2:G$401,$U194)="","",INDEX('Per Invoice'!G$2:G$401,$U194)))</f>
        <v/>
      </c>
      <c r="H194" s="7">
        <f>IF($U194="","",IF(INDEX('Per Invoice'!H$2:H$401,$U194)="","",INDEX('Per Invoice'!H$2:H$401,$U194)))</f>
        <v/>
      </c>
      <c r="I194" s="14">
        <f>IF($U194="","",IF(INDEX('Per Invoice'!I$2:I$401,$U194)="","",INDEX('Per Invoice'!I$2:I$401,$U194)))</f>
        <v/>
      </c>
      <c r="J194">
        <f>IF($U194="","",IF(INDEX('Per Invoice'!J$2:J$401,$U194)="","",INDEX('Per Invoice'!J$2:J$401,$U194)))</f>
        <v/>
      </c>
      <c r="K194">
        <f>IF($U194="","",IF(INDEX('Per Invoice'!K$2:K$401,$U194)="","",INDEX('Per Invoice'!K$2:K$401,$U194)))</f>
        <v/>
      </c>
      <c r="L194" s="7">
        <f>IF($U194="","",IF(INDEX('Per Invoice'!L$2:L$401,$U194)="","",INDEX('Per Invoice'!L$2:L$401,$U194)))</f>
        <v/>
      </c>
      <c r="M194" s="7">
        <f>IF($U194="","",IF(INDEX('Per Invoice'!M$2:M$401,$U194)="","",INDEX('Per Invoice'!M$2:M$401,$U194)))</f>
        <v/>
      </c>
      <c r="N194">
        <f>IF($U194="","",IF(INDEX('Per Invoice'!N$2:N$401,$U194)="","",INDEX('Per Invoice'!N$2:N$401,$U194)))</f>
        <v/>
      </c>
      <c r="O194" s="7">
        <f>IF($U194="","",IF(INDEX('Per Invoice'!O$2:O$401,$U194)="","",INDEX('Per Invoice'!O$2:O$401,$U194)))</f>
        <v/>
      </c>
      <c r="P194" s="7">
        <f>IF($U194="","",IF(INDEX('Per Invoice'!P$2:P$401,$U194)="","",INDEX('Per Invoice'!P$2:P$401,$U194)))</f>
        <v/>
      </c>
      <c r="Q194" s="7">
        <f>IF($U194="","",IF(INDEX('Per Invoice'!Q$2:Q$401,$U194)="","",INDEX('Per Invoice'!Q$2:Q$401,$U194)))</f>
        <v/>
      </c>
      <c r="R194" s="7">
        <f>IF($U194="","",IF(INDEX('Per Invoice'!R$2:R$401,$U194)="","",INDEX('Per Invoice'!R$2:R$401,$U194)))</f>
        <v/>
      </c>
      <c r="S194" s="7">
        <f>IF($U194="","",IF(INDEX('Per Invoice'!S$2:S$401,$U194)="","",INDEX('Per Invoice'!S$2:S$401,$U194)))</f>
        <v/>
      </c>
      <c r="T194" s="7">
        <f>IF($U194="","",IF(INDEX('Per Invoice'!T$2:T$401,$U194)="","",INDEX('Per Invoice'!T$2:T$401,$U194)))</f>
        <v/>
      </c>
      <c r="U194" s="16">
        <f>IFERROR(MATCH(Settings!$C$30&amp;"|"&amp;ROWS($U$2:$U194),'Per Invoice'!$V$2:$V$401,0),"")</f>
        <v/>
      </c>
    </row>
    <row r="195">
      <c r="A195">
        <f>IF($U195="","",IF(INDEX('Per Invoice'!A$2:A$401,$U195)="","",INDEX('Per Invoice'!A$2:A$401,$U195)))</f>
        <v/>
      </c>
      <c r="B195">
        <f>IF($U195="","",IF(INDEX('Per Invoice'!B$2:B$401,$U195)="","",INDEX('Per Invoice'!B$2:B$401,$U195)))</f>
        <v/>
      </c>
      <c r="C195">
        <f>IF($U195="","",IF(INDEX('Per Invoice'!C$2:C$401,$U195)="","",INDEX('Per Invoice'!C$2:C$401,$U195)))</f>
        <v/>
      </c>
      <c r="D195">
        <f>IF($U195="","",IF(INDEX('Per Invoice'!D$2:D$401,$U195)="","",INDEX('Per Invoice'!D$2:D$401,$U195)))</f>
        <v/>
      </c>
      <c r="E195">
        <f>IF($U195="","",IF(INDEX('Per Invoice'!E$2:E$401,$U195)="","",INDEX('Per Invoice'!E$2:E$401,$U195)))</f>
        <v/>
      </c>
      <c r="F195">
        <f>IF($U195="","",IF(INDEX('Per Invoice'!F$2:F$401,$U195)="","",INDEX('Per Invoice'!F$2:F$401,$U195)))</f>
        <v/>
      </c>
      <c r="G195">
        <f>IF($U195="","",IF(INDEX('Per Invoice'!G$2:G$401,$U195)="","",INDEX('Per Invoice'!G$2:G$401,$U195)))</f>
        <v/>
      </c>
      <c r="H195" s="7">
        <f>IF($U195="","",IF(INDEX('Per Invoice'!H$2:H$401,$U195)="","",INDEX('Per Invoice'!H$2:H$401,$U195)))</f>
        <v/>
      </c>
      <c r="I195" s="14">
        <f>IF($U195="","",IF(INDEX('Per Invoice'!I$2:I$401,$U195)="","",INDEX('Per Invoice'!I$2:I$401,$U195)))</f>
        <v/>
      </c>
      <c r="J195">
        <f>IF($U195="","",IF(INDEX('Per Invoice'!J$2:J$401,$U195)="","",INDEX('Per Invoice'!J$2:J$401,$U195)))</f>
        <v/>
      </c>
      <c r="K195">
        <f>IF($U195="","",IF(INDEX('Per Invoice'!K$2:K$401,$U195)="","",INDEX('Per Invoice'!K$2:K$401,$U195)))</f>
        <v/>
      </c>
      <c r="L195" s="7">
        <f>IF($U195="","",IF(INDEX('Per Invoice'!L$2:L$401,$U195)="","",INDEX('Per Invoice'!L$2:L$401,$U195)))</f>
        <v/>
      </c>
      <c r="M195" s="7">
        <f>IF($U195="","",IF(INDEX('Per Invoice'!M$2:M$401,$U195)="","",INDEX('Per Invoice'!M$2:M$401,$U195)))</f>
        <v/>
      </c>
      <c r="N195">
        <f>IF($U195="","",IF(INDEX('Per Invoice'!N$2:N$401,$U195)="","",INDEX('Per Invoice'!N$2:N$401,$U195)))</f>
        <v/>
      </c>
      <c r="O195" s="7">
        <f>IF($U195="","",IF(INDEX('Per Invoice'!O$2:O$401,$U195)="","",INDEX('Per Invoice'!O$2:O$401,$U195)))</f>
        <v/>
      </c>
      <c r="P195" s="7">
        <f>IF($U195="","",IF(INDEX('Per Invoice'!P$2:P$401,$U195)="","",INDEX('Per Invoice'!P$2:P$401,$U195)))</f>
        <v/>
      </c>
      <c r="Q195" s="7">
        <f>IF($U195="","",IF(INDEX('Per Invoice'!Q$2:Q$401,$U195)="","",INDEX('Per Invoice'!Q$2:Q$401,$U195)))</f>
        <v/>
      </c>
      <c r="R195" s="7">
        <f>IF($U195="","",IF(INDEX('Per Invoice'!R$2:R$401,$U195)="","",INDEX('Per Invoice'!R$2:R$401,$U195)))</f>
        <v/>
      </c>
      <c r="S195" s="7">
        <f>IF($U195="","",IF(INDEX('Per Invoice'!S$2:S$401,$U195)="","",INDEX('Per Invoice'!S$2:S$401,$U195)))</f>
        <v/>
      </c>
      <c r="T195" s="7">
        <f>IF($U195="","",IF(INDEX('Per Invoice'!T$2:T$401,$U195)="","",INDEX('Per Invoice'!T$2:T$401,$U195)))</f>
        <v/>
      </c>
      <c r="U195" s="16">
        <f>IFERROR(MATCH(Settings!$C$30&amp;"|"&amp;ROWS($U$2:$U195),'Per Invoice'!$V$2:$V$401,0),"")</f>
        <v/>
      </c>
    </row>
    <row r="196">
      <c r="A196">
        <f>IF($U196="","",IF(INDEX('Per Invoice'!A$2:A$401,$U196)="","",INDEX('Per Invoice'!A$2:A$401,$U196)))</f>
        <v/>
      </c>
      <c r="B196">
        <f>IF($U196="","",IF(INDEX('Per Invoice'!B$2:B$401,$U196)="","",INDEX('Per Invoice'!B$2:B$401,$U196)))</f>
        <v/>
      </c>
      <c r="C196">
        <f>IF($U196="","",IF(INDEX('Per Invoice'!C$2:C$401,$U196)="","",INDEX('Per Invoice'!C$2:C$401,$U196)))</f>
        <v/>
      </c>
      <c r="D196">
        <f>IF($U196="","",IF(INDEX('Per Invoice'!D$2:D$401,$U196)="","",INDEX('Per Invoice'!D$2:D$401,$U196)))</f>
        <v/>
      </c>
      <c r="E196">
        <f>IF($U196="","",IF(INDEX('Per Invoice'!E$2:E$401,$U196)="","",INDEX('Per Invoice'!E$2:E$401,$U196)))</f>
        <v/>
      </c>
      <c r="F196">
        <f>IF($U196="","",IF(INDEX('Per Invoice'!F$2:F$401,$U196)="","",INDEX('Per Invoice'!F$2:F$401,$U196)))</f>
        <v/>
      </c>
      <c r="G196">
        <f>IF($U196="","",IF(INDEX('Per Invoice'!G$2:G$401,$U196)="","",INDEX('Per Invoice'!G$2:G$401,$U196)))</f>
        <v/>
      </c>
      <c r="H196" s="7">
        <f>IF($U196="","",IF(INDEX('Per Invoice'!H$2:H$401,$U196)="","",INDEX('Per Invoice'!H$2:H$401,$U196)))</f>
        <v/>
      </c>
      <c r="I196" s="14">
        <f>IF($U196="","",IF(INDEX('Per Invoice'!I$2:I$401,$U196)="","",INDEX('Per Invoice'!I$2:I$401,$U196)))</f>
        <v/>
      </c>
      <c r="J196">
        <f>IF($U196="","",IF(INDEX('Per Invoice'!J$2:J$401,$U196)="","",INDEX('Per Invoice'!J$2:J$401,$U196)))</f>
        <v/>
      </c>
      <c r="K196">
        <f>IF($U196="","",IF(INDEX('Per Invoice'!K$2:K$401,$U196)="","",INDEX('Per Invoice'!K$2:K$401,$U196)))</f>
        <v/>
      </c>
      <c r="L196" s="7">
        <f>IF($U196="","",IF(INDEX('Per Invoice'!L$2:L$401,$U196)="","",INDEX('Per Invoice'!L$2:L$401,$U196)))</f>
        <v/>
      </c>
      <c r="M196" s="7">
        <f>IF($U196="","",IF(INDEX('Per Invoice'!M$2:M$401,$U196)="","",INDEX('Per Invoice'!M$2:M$401,$U196)))</f>
        <v/>
      </c>
      <c r="N196">
        <f>IF($U196="","",IF(INDEX('Per Invoice'!N$2:N$401,$U196)="","",INDEX('Per Invoice'!N$2:N$401,$U196)))</f>
        <v/>
      </c>
      <c r="O196" s="7">
        <f>IF($U196="","",IF(INDEX('Per Invoice'!O$2:O$401,$U196)="","",INDEX('Per Invoice'!O$2:O$401,$U196)))</f>
        <v/>
      </c>
      <c r="P196" s="7">
        <f>IF($U196="","",IF(INDEX('Per Invoice'!P$2:P$401,$U196)="","",INDEX('Per Invoice'!P$2:P$401,$U196)))</f>
        <v/>
      </c>
      <c r="Q196" s="7">
        <f>IF($U196="","",IF(INDEX('Per Invoice'!Q$2:Q$401,$U196)="","",INDEX('Per Invoice'!Q$2:Q$401,$U196)))</f>
        <v/>
      </c>
      <c r="R196" s="7">
        <f>IF($U196="","",IF(INDEX('Per Invoice'!R$2:R$401,$U196)="","",INDEX('Per Invoice'!R$2:R$401,$U196)))</f>
        <v/>
      </c>
      <c r="S196" s="7">
        <f>IF($U196="","",IF(INDEX('Per Invoice'!S$2:S$401,$U196)="","",INDEX('Per Invoice'!S$2:S$401,$U196)))</f>
        <v/>
      </c>
      <c r="T196" s="7">
        <f>IF($U196="","",IF(INDEX('Per Invoice'!T$2:T$401,$U196)="","",INDEX('Per Invoice'!T$2:T$401,$U196)))</f>
        <v/>
      </c>
      <c r="U196" s="16">
        <f>IFERROR(MATCH(Settings!$C$30&amp;"|"&amp;ROWS($U$2:$U196),'Per Invoice'!$V$2:$V$401,0),"")</f>
        <v/>
      </c>
    </row>
    <row r="197">
      <c r="A197">
        <f>IF($U197="","",IF(INDEX('Per Invoice'!A$2:A$401,$U197)="","",INDEX('Per Invoice'!A$2:A$401,$U197)))</f>
        <v/>
      </c>
      <c r="B197">
        <f>IF($U197="","",IF(INDEX('Per Invoice'!B$2:B$401,$U197)="","",INDEX('Per Invoice'!B$2:B$401,$U197)))</f>
        <v/>
      </c>
      <c r="C197">
        <f>IF($U197="","",IF(INDEX('Per Invoice'!C$2:C$401,$U197)="","",INDEX('Per Invoice'!C$2:C$401,$U197)))</f>
        <v/>
      </c>
      <c r="D197">
        <f>IF($U197="","",IF(INDEX('Per Invoice'!D$2:D$401,$U197)="","",INDEX('Per Invoice'!D$2:D$401,$U197)))</f>
        <v/>
      </c>
      <c r="E197">
        <f>IF($U197="","",IF(INDEX('Per Invoice'!E$2:E$401,$U197)="","",INDEX('Per Invoice'!E$2:E$401,$U197)))</f>
        <v/>
      </c>
      <c r="F197">
        <f>IF($U197="","",IF(INDEX('Per Invoice'!F$2:F$401,$U197)="","",INDEX('Per Invoice'!F$2:F$401,$U197)))</f>
        <v/>
      </c>
      <c r="G197">
        <f>IF($U197="","",IF(INDEX('Per Invoice'!G$2:G$401,$U197)="","",INDEX('Per Invoice'!G$2:G$401,$U197)))</f>
        <v/>
      </c>
      <c r="H197" s="7">
        <f>IF($U197="","",IF(INDEX('Per Invoice'!H$2:H$401,$U197)="","",INDEX('Per Invoice'!H$2:H$401,$U197)))</f>
        <v/>
      </c>
      <c r="I197" s="14">
        <f>IF($U197="","",IF(INDEX('Per Invoice'!I$2:I$401,$U197)="","",INDEX('Per Invoice'!I$2:I$401,$U197)))</f>
        <v/>
      </c>
      <c r="J197">
        <f>IF($U197="","",IF(INDEX('Per Invoice'!J$2:J$401,$U197)="","",INDEX('Per Invoice'!J$2:J$401,$U197)))</f>
        <v/>
      </c>
      <c r="K197">
        <f>IF($U197="","",IF(INDEX('Per Invoice'!K$2:K$401,$U197)="","",INDEX('Per Invoice'!K$2:K$401,$U197)))</f>
        <v/>
      </c>
      <c r="L197" s="7">
        <f>IF($U197="","",IF(INDEX('Per Invoice'!L$2:L$401,$U197)="","",INDEX('Per Invoice'!L$2:L$401,$U197)))</f>
        <v/>
      </c>
      <c r="M197" s="7">
        <f>IF($U197="","",IF(INDEX('Per Invoice'!M$2:M$401,$U197)="","",INDEX('Per Invoice'!M$2:M$401,$U197)))</f>
        <v/>
      </c>
      <c r="N197">
        <f>IF($U197="","",IF(INDEX('Per Invoice'!N$2:N$401,$U197)="","",INDEX('Per Invoice'!N$2:N$401,$U197)))</f>
        <v/>
      </c>
      <c r="O197" s="7">
        <f>IF($U197="","",IF(INDEX('Per Invoice'!O$2:O$401,$U197)="","",INDEX('Per Invoice'!O$2:O$401,$U197)))</f>
        <v/>
      </c>
      <c r="P197" s="7">
        <f>IF($U197="","",IF(INDEX('Per Invoice'!P$2:P$401,$U197)="","",INDEX('Per Invoice'!P$2:P$401,$U197)))</f>
        <v/>
      </c>
      <c r="Q197" s="7">
        <f>IF($U197="","",IF(INDEX('Per Invoice'!Q$2:Q$401,$U197)="","",INDEX('Per Invoice'!Q$2:Q$401,$U197)))</f>
        <v/>
      </c>
      <c r="R197" s="7">
        <f>IF($U197="","",IF(INDEX('Per Invoice'!R$2:R$401,$U197)="","",INDEX('Per Invoice'!R$2:R$401,$U197)))</f>
        <v/>
      </c>
      <c r="S197" s="7">
        <f>IF($U197="","",IF(INDEX('Per Invoice'!S$2:S$401,$U197)="","",INDEX('Per Invoice'!S$2:S$401,$U197)))</f>
        <v/>
      </c>
      <c r="T197" s="7">
        <f>IF($U197="","",IF(INDEX('Per Invoice'!T$2:T$401,$U197)="","",INDEX('Per Invoice'!T$2:T$401,$U197)))</f>
        <v/>
      </c>
      <c r="U197" s="16">
        <f>IFERROR(MATCH(Settings!$C$30&amp;"|"&amp;ROWS($U$2:$U197),'Per Invoice'!$V$2:$V$401,0),"")</f>
        <v/>
      </c>
    </row>
    <row r="198">
      <c r="A198">
        <f>IF($U198="","",IF(INDEX('Per Invoice'!A$2:A$401,$U198)="","",INDEX('Per Invoice'!A$2:A$401,$U198)))</f>
        <v/>
      </c>
      <c r="B198">
        <f>IF($U198="","",IF(INDEX('Per Invoice'!B$2:B$401,$U198)="","",INDEX('Per Invoice'!B$2:B$401,$U198)))</f>
        <v/>
      </c>
      <c r="C198">
        <f>IF($U198="","",IF(INDEX('Per Invoice'!C$2:C$401,$U198)="","",INDEX('Per Invoice'!C$2:C$401,$U198)))</f>
        <v/>
      </c>
      <c r="D198">
        <f>IF($U198="","",IF(INDEX('Per Invoice'!D$2:D$401,$U198)="","",INDEX('Per Invoice'!D$2:D$401,$U198)))</f>
        <v/>
      </c>
      <c r="E198">
        <f>IF($U198="","",IF(INDEX('Per Invoice'!E$2:E$401,$U198)="","",INDEX('Per Invoice'!E$2:E$401,$U198)))</f>
        <v/>
      </c>
      <c r="F198">
        <f>IF($U198="","",IF(INDEX('Per Invoice'!F$2:F$401,$U198)="","",INDEX('Per Invoice'!F$2:F$401,$U198)))</f>
        <v/>
      </c>
      <c r="G198">
        <f>IF($U198="","",IF(INDEX('Per Invoice'!G$2:G$401,$U198)="","",INDEX('Per Invoice'!G$2:G$401,$U198)))</f>
        <v/>
      </c>
      <c r="H198" s="7">
        <f>IF($U198="","",IF(INDEX('Per Invoice'!H$2:H$401,$U198)="","",INDEX('Per Invoice'!H$2:H$401,$U198)))</f>
        <v/>
      </c>
      <c r="I198" s="14">
        <f>IF($U198="","",IF(INDEX('Per Invoice'!I$2:I$401,$U198)="","",INDEX('Per Invoice'!I$2:I$401,$U198)))</f>
        <v/>
      </c>
      <c r="J198">
        <f>IF($U198="","",IF(INDEX('Per Invoice'!J$2:J$401,$U198)="","",INDEX('Per Invoice'!J$2:J$401,$U198)))</f>
        <v/>
      </c>
      <c r="K198">
        <f>IF($U198="","",IF(INDEX('Per Invoice'!K$2:K$401,$U198)="","",INDEX('Per Invoice'!K$2:K$401,$U198)))</f>
        <v/>
      </c>
      <c r="L198" s="7">
        <f>IF($U198="","",IF(INDEX('Per Invoice'!L$2:L$401,$U198)="","",INDEX('Per Invoice'!L$2:L$401,$U198)))</f>
        <v/>
      </c>
      <c r="M198" s="7">
        <f>IF($U198="","",IF(INDEX('Per Invoice'!M$2:M$401,$U198)="","",INDEX('Per Invoice'!M$2:M$401,$U198)))</f>
        <v/>
      </c>
      <c r="N198">
        <f>IF($U198="","",IF(INDEX('Per Invoice'!N$2:N$401,$U198)="","",INDEX('Per Invoice'!N$2:N$401,$U198)))</f>
        <v/>
      </c>
      <c r="O198" s="7">
        <f>IF($U198="","",IF(INDEX('Per Invoice'!O$2:O$401,$U198)="","",INDEX('Per Invoice'!O$2:O$401,$U198)))</f>
        <v/>
      </c>
      <c r="P198" s="7">
        <f>IF($U198="","",IF(INDEX('Per Invoice'!P$2:P$401,$U198)="","",INDEX('Per Invoice'!P$2:P$401,$U198)))</f>
        <v/>
      </c>
      <c r="Q198" s="7">
        <f>IF($U198="","",IF(INDEX('Per Invoice'!Q$2:Q$401,$U198)="","",INDEX('Per Invoice'!Q$2:Q$401,$U198)))</f>
        <v/>
      </c>
      <c r="R198" s="7">
        <f>IF($U198="","",IF(INDEX('Per Invoice'!R$2:R$401,$U198)="","",INDEX('Per Invoice'!R$2:R$401,$U198)))</f>
        <v/>
      </c>
      <c r="S198" s="7">
        <f>IF($U198="","",IF(INDEX('Per Invoice'!S$2:S$401,$U198)="","",INDEX('Per Invoice'!S$2:S$401,$U198)))</f>
        <v/>
      </c>
      <c r="T198" s="7">
        <f>IF($U198="","",IF(INDEX('Per Invoice'!T$2:T$401,$U198)="","",INDEX('Per Invoice'!T$2:T$401,$U198)))</f>
        <v/>
      </c>
      <c r="U198" s="16">
        <f>IFERROR(MATCH(Settings!$C$30&amp;"|"&amp;ROWS($U$2:$U198),'Per Invoice'!$V$2:$V$401,0),"")</f>
        <v/>
      </c>
    </row>
    <row r="199">
      <c r="A199">
        <f>IF($U199="","",IF(INDEX('Per Invoice'!A$2:A$401,$U199)="","",INDEX('Per Invoice'!A$2:A$401,$U199)))</f>
        <v/>
      </c>
      <c r="B199">
        <f>IF($U199="","",IF(INDEX('Per Invoice'!B$2:B$401,$U199)="","",INDEX('Per Invoice'!B$2:B$401,$U199)))</f>
        <v/>
      </c>
      <c r="C199">
        <f>IF($U199="","",IF(INDEX('Per Invoice'!C$2:C$401,$U199)="","",INDEX('Per Invoice'!C$2:C$401,$U199)))</f>
        <v/>
      </c>
      <c r="D199">
        <f>IF($U199="","",IF(INDEX('Per Invoice'!D$2:D$401,$U199)="","",INDEX('Per Invoice'!D$2:D$401,$U199)))</f>
        <v/>
      </c>
      <c r="E199">
        <f>IF($U199="","",IF(INDEX('Per Invoice'!E$2:E$401,$U199)="","",INDEX('Per Invoice'!E$2:E$401,$U199)))</f>
        <v/>
      </c>
      <c r="F199">
        <f>IF($U199="","",IF(INDEX('Per Invoice'!F$2:F$401,$U199)="","",INDEX('Per Invoice'!F$2:F$401,$U199)))</f>
        <v/>
      </c>
      <c r="G199">
        <f>IF($U199="","",IF(INDEX('Per Invoice'!G$2:G$401,$U199)="","",INDEX('Per Invoice'!G$2:G$401,$U199)))</f>
        <v/>
      </c>
      <c r="H199" s="7">
        <f>IF($U199="","",IF(INDEX('Per Invoice'!H$2:H$401,$U199)="","",INDEX('Per Invoice'!H$2:H$401,$U199)))</f>
        <v/>
      </c>
      <c r="I199" s="14">
        <f>IF($U199="","",IF(INDEX('Per Invoice'!I$2:I$401,$U199)="","",INDEX('Per Invoice'!I$2:I$401,$U199)))</f>
        <v/>
      </c>
      <c r="J199">
        <f>IF($U199="","",IF(INDEX('Per Invoice'!J$2:J$401,$U199)="","",INDEX('Per Invoice'!J$2:J$401,$U199)))</f>
        <v/>
      </c>
      <c r="K199">
        <f>IF($U199="","",IF(INDEX('Per Invoice'!K$2:K$401,$U199)="","",INDEX('Per Invoice'!K$2:K$401,$U199)))</f>
        <v/>
      </c>
      <c r="L199" s="7">
        <f>IF($U199="","",IF(INDEX('Per Invoice'!L$2:L$401,$U199)="","",INDEX('Per Invoice'!L$2:L$401,$U199)))</f>
        <v/>
      </c>
      <c r="M199" s="7">
        <f>IF($U199="","",IF(INDEX('Per Invoice'!M$2:M$401,$U199)="","",INDEX('Per Invoice'!M$2:M$401,$U199)))</f>
        <v/>
      </c>
      <c r="N199">
        <f>IF($U199="","",IF(INDEX('Per Invoice'!N$2:N$401,$U199)="","",INDEX('Per Invoice'!N$2:N$401,$U199)))</f>
        <v/>
      </c>
      <c r="O199" s="7">
        <f>IF($U199="","",IF(INDEX('Per Invoice'!O$2:O$401,$U199)="","",INDEX('Per Invoice'!O$2:O$401,$U199)))</f>
        <v/>
      </c>
      <c r="P199" s="7">
        <f>IF($U199="","",IF(INDEX('Per Invoice'!P$2:P$401,$U199)="","",INDEX('Per Invoice'!P$2:P$401,$U199)))</f>
        <v/>
      </c>
      <c r="Q199" s="7">
        <f>IF($U199="","",IF(INDEX('Per Invoice'!Q$2:Q$401,$U199)="","",INDEX('Per Invoice'!Q$2:Q$401,$U199)))</f>
        <v/>
      </c>
      <c r="R199" s="7">
        <f>IF($U199="","",IF(INDEX('Per Invoice'!R$2:R$401,$U199)="","",INDEX('Per Invoice'!R$2:R$401,$U199)))</f>
        <v/>
      </c>
      <c r="S199" s="7">
        <f>IF($U199="","",IF(INDEX('Per Invoice'!S$2:S$401,$U199)="","",INDEX('Per Invoice'!S$2:S$401,$U199)))</f>
        <v/>
      </c>
      <c r="T199" s="7">
        <f>IF($U199="","",IF(INDEX('Per Invoice'!T$2:T$401,$U199)="","",INDEX('Per Invoice'!T$2:T$401,$U199)))</f>
        <v/>
      </c>
      <c r="U199" s="16">
        <f>IFERROR(MATCH(Settings!$C$30&amp;"|"&amp;ROWS($U$2:$U199),'Per Invoice'!$V$2:$V$401,0),"")</f>
        <v/>
      </c>
    </row>
    <row r="200">
      <c r="A200">
        <f>IF($U200="","",IF(INDEX('Per Invoice'!A$2:A$401,$U200)="","",INDEX('Per Invoice'!A$2:A$401,$U200)))</f>
        <v/>
      </c>
      <c r="B200">
        <f>IF($U200="","",IF(INDEX('Per Invoice'!B$2:B$401,$U200)="","",INDEX('Per Invoice'!B$2:B$401,$U200)))</f>
        <v/>
      </c>
      <c r="C200">
        <f>IF($U200="","",IF(INDEX('Per Invoice'!C$2:C$401,$U200)="","",INDEX('Per Invoice'!C$2:C$401,$U200)))</f>
        <v/>
      </c>
      <c r="D200">
        <f>IF($U200="","",IF(INDEX('Per Invoice'!D$2:D$401,$U200)="","",INDEX('Per Invoice'!D$2:D$401,$U200)))</f>
        <v/>
      </c>
      <c r="E200">
        <f>IF($U200="","",IF(INDEX('Per Invoice'!E$2:E$401,$U200)="","",INDEX('Per Invoice'!E$2:E$401,$U200)))</f>
        <v/>
      </c>
      <c r="F200">
        <f>IF($U200="","",IF(INDEX('Per Invoice'!F$2:F$401,$U200)="","",INDEX('Per Invoice'!F$2:F$401,$U200)))</f>
        <v/>
      </c>
      <c r="G200">
        <f>IF($U200="","",IF(INDEX('Per Invoice'!G$2:G$401,$U200)="","",INDEX('Per Invoice'!G$2:G$401,$U200)))</f>
        <v/>
      </c>
      <c r="H200" s="7">
        <f>IF($U200="","",IF(INDEX('Per Invoice'!H$2:H$401,$U200)="","",INDEX('Per Invoice'!H$2:H$401,$U200)))</f>
        <v/>
      </c>
      <c r="I200" s="14">
        <f>IF($U200="","",IF(INDEX('Per Invoice'!I$2:I$401,$U200)="","",INDEX('Per Invoice'!I$2:I$401,$U200)))</f>
        <v/>
      </c>
      <c r="J200">
        <f>IF($U200="","",IF(INDEX('Per Invoice'!J$2:J$401,$U200)="","",INDEX('Per Invoice'!J$2:J$401,$U200)))</f>
        <v/>
      </c>
      <c r="K200">
        <f>IF($U200="","",IF(INDEX('Per Invoice'!K$2:K$401,$U200)="","",INDEX('Per Invoice'!K$2:K$401,$U200)))</f>
        <v/>
      </c>
      <c r="L200" s="7">
        <f>IF($U200="","",IF(INDEX('Per Invoice'!L$2:L$401,$U200)="","",INDEX('Per Invoice'!L$2:L$401,$U200)))</f>
        <v/>
      </c>
      <c r="M200" s="7">
        <f>IF($U200="","",IF(INDEX('Per Invoice'!M$2:M$401,$U200)="","",INDEX('Per Invoice'!M$2:M$401,$U200)))</f>
        <v/>
      </c>
      <c r="N200">
        <f>IF($U200="","",IF(INDEX('Per Invoice'!N$2:N$401,$U200)="","",INDEX('Per Invoice'!N$2:N$401,$U200)))</f>
        <v/>
      </c>
      <c r="O200" s="7">
        <f>IF($U200="","",IF(INDEX('Per Invoice'!O$2:O$401,$U200)="","",INDEX('Per Invoice'!O$2:O$401,$U200)))</f>
        <v/>
      </c>
      <c r="P200" s="7">
        <f>IF($U200="","",IF(INDEX('Per Invoice'!P$2:P$401,$U200)="","",INDEX('Per Invoice'!P$2:P$401,$U200)))</f>
        <v/>
      </c>
      <c r="Q200" s="7">
        <f>IF($U200="","",IF(INDEX('Per Invoice'!Q$2:Q$401,$U200)="","",INDEX('Per Invoice'!Q$2:Q$401,$U200)))</f>
        <v/>
      </c>
      <c r="R200" s="7">
        <f>IF($U200="","",IF(INDEX('Per Invoice'!R$2:R$401,$U200)="","",INDEX('Per Invoice'!R$2:R$401,$U200)))</f>
        <v/>
      </c>
      <c r="S200" s="7">
        <f>IF($U200="","",IF(INDEX('Per Invoice'!S$2:S$401,$U200)="","",INDEX('Per Invoice'!S$2:S$401,$U200)))</f>
        <v/>
      </c>
      <c r="T200" s="7">
        <f>IF($U200="","",IF(INDEX('Per Invoice'!T$2:T$401,$U200)="","",INDEX('Per Invoice'!T$2:T$401,$U200)))</f>
        <v/>
      </c>
      <c r="U200" s="16">
        <f>IFERROR(MATCH(Settings!$C$30&amp;"|"&amp;ROWS($U$2:$U200),'Per Invoice'!$V$2:$V$401,0),"")</f>
        <v/>
      </c>
    </row>
    <row r="201">
      <c r="A201">
        <f>IF($U201="","",IF(INDEX('Per Invoice'!A$2:A$401,$U201)="","",INDEX('Per Invoice'!A$2:A$401,$U201)))</f>
        <v/>
      </c>
      <c r="B201">
        <f>IF($U201="","",IF(INDEX('Per Invoice'!B$2:B$401,$U201)="","",INDEX('Per Invoice'!B$2:B$401,$U201)))</f>
        <v/>
      </c>
      <c r="C201">
        <f>IF($U201="","",IF(INDEX('Per Invoice'!C$2:C$401,$U201)="","",INDEX('Per Invoice'!C$2:C$401,$U201)))</f>
        <v/>
      </c>
      <c r="D201">
        <f>IF($U201="","",IF(INDEX('Per Invoice'!D$2:D$401,$U201)="","",INDEX('Per Invoice'!D$2:D$401,$U201)))</f>
        <v/>
      </c>
      <c r="E201">
        <f>IF($U201="","",IF(INDEX('Per Invoice'!E$2:E$401,$U201)="","",INDEX('Per Invoice'!E$2:E$401,$U201)))</f>
        <v/>
      </c>
      <c r="F201">
        <f>IF($U201="","",IF(INDEX('Per Invoice'!F$2:F$401,$U201)="","",INDEX('Per Invoice'!F$2:F$401,$U201)))</f>
        <v/>
      </c>
      <c r="G201">
        <f>IF($U201="","",IF(INDEX('Per Invoice'!G$2:G$401,$U201)="","",INDEX('Per Invoice'!G$2:G$401,$U201)))</f>
        <v/>
      </c>
      <c r="H201" s="7">
        <f>IF($U201="","",IF(INDEX('Per Invoice'!H$2:H$401,$U201)="","",INDEX('Per Invoice'!H$2:H$401,$U201)))</f>
        <v/>
      </c>
      <c r="I201" s="14">
        <f>IF($U201="","",IF(INDEX('Per Invoice'!I$2:I$401,$U201)="","",INDEX('Per Invoice'!I$2:I$401,$U201)))</f>
        <v/>
      </c>
      <c r="J201">
        <f>IF($U201="","",IF(INDEX('Per Invoice'!J$2:J$401,$U201)="","",INDEX('Per Invoice'!J$2:J$401,$U201)))</f>
        <v/>
      </c>
      <c r="K201">
        <f>IF($U201="","",IF(INDEX('Per Invoice'!K$2:K$401,$U201)="","",INDEX('Per Invoice'!K$2:K$401,$U201)))</f>
        <v/>
      </c>
      <c r="L201" s="7">
        <f>IF($U201="","",IF(INDEX('Per Invoice'!L$2:L$401,$U201)="","",INDEX('Per Invoice'!L$2:L$401,$U201)))</f>
        <v/>
      </c>
      <c r="M201" s="7">
        <f>IF($U201="","",IF(INDEX('Per Invoice'!M$2:M$401,$U201)="","",INDEX('Per Invoice'!M$2:M$401,$U201)))</f>
        <v/>
      </c>
      <c r="N201">
        <f>IF($U201="","",IF(INDEX('Per Invoice'!N$2:N$401,$U201)="","",INDEX('Per Invoice'!N$2:N$401,$U201)))</f>
        <v/>
      </c>
      <c r="O201" s="7">
        <f>IF($U201="","",IF(INDEX('Per Invoice'!O$2:O$401,$U201)="","",INDEX('Per Invoice'!O$2:O$401,$U201)))</f>
        <v/>
      </c>
      <c r="P201" s="7">
        <f>IF($U201="","",IF(INDEX('Per Invoice'!P$2:P$401,$U201)="","",INDEX('Per Invoice'!P$2:P$401,$U201)))</f>
        <v/>
      </c>
      <c r="Q201" s="7">
        <f>IF($U201="","",IF(INDEX('Per Invoice'!Q$2:Q$401,$U201)="","",INDEX('Per Invoice'!Q$2:Q$401,$U201)))</f>
        <v/>
      </c>
      <c r="R201" s="7">
        <f>IF($U201="","",IF(INDEX('Per Invoice'!R$2:R$401,$U201)="","",INDEX('Per Invoice'!R$2:R$401,$U201)))</f>
        <v/>
      </c>
      <c r="S201" s="7">
        <f>IF($U201="","",IF(INDEX('Per Invoice'!S$2:S$401,$U201)="","",INDEX('Per Invoice'!S$2:S$401,$U201)))</f>
        <v/>
      </c>
      <c r="T201" s="7">
        <f>IF($U201="","",IF(INDEX('Per Invoice'!T$2:T$401,$U201)="","",INDEX('Per Invoice'!T$2:T$401,$U201)))</f>
        <v/>
      </c>
      <c r="U201" s="16">
        <f>IFERROR(MATCH(Settings!$C$30&amp;"|"&amp;ROWS($U$2:$U201),'Per Invoice'!$V$2:$V$401,0),"")</f>
        <v/>
      </c>
    </row>
    <row r="202">
      <c r="A202">
        <f>IF($U202="","",IF(INDEX('Per Invoice'!A$2:A$401,$U202)="","",INDEX('Per Invoice'!A$2:A$401,$U202)))</f>
        <v/>
      </c>
      <c r="B202">
        <f>IF($U202="","",IF(INDEX('Per Invoice'!B$2:B$401,$U202)="","",INDEX('Per Invoice'!B$2:B$401,$U202)))</f>
        <v/>
      </c>
      <c r="C202">
        <f>IF($U202="","",IF(INDEX('Per Invoice'!C$2:C$401,$U202)="","",INDEX('Per Invoice'!C$2:C$401,$U202)))</f>
        <v/>
      </c>
      <c r="D202">
        <f>IF($U202="","",IF(INDEX('Per Invoice'!D$2:D$401,$U202)="","",INDEX('Per Invoice'!D$2:D$401,$U202)))</f>
        <v/>
      </c>
      <c r="E202">
        <f>IF($U202="","",IF(INDEX('Per Invoice'!E$2:E$401,$U202)="","",INDEX('Per Invoice'!E$2:E$401,$U202)))</f>
        <v/>
      </c>
      <c r="F202">
        <f>IF($U202="","",IF(INDEX('Per Invoice'!F$2:F$401,$U202)="","",INDEX('Per Invoice'!F$2:F$401,$U202)))</f>
        <v/>
      </c>
      <c r="G202">
        <f>IF($U202="","",IF(INDEX('Per Invoice'!G$2:G$401,$U202)="","",INDEX('Per Invoice'!G$2:G$401,$U202)))</f>
        <v/>
      </c>
      <c r="H202" s="7">
        <f>IF($U202="","",IF(INDEX('Per Invoice'!H$2:H$401,$U202)="","",INDEX('Per Invoice'!H$2:H$401,$U202)))</f>
        <v/>
      </c>
      <c r="I202" s="14">
        <f>IF($U202="","",IF(INDEX('Per Invoice'!I$2:I$401,$U202)="","",INDEX('Per Invoice'!I$2:I$401,$U202)))</f>
        <v/>
      </c>
      <c r="J202">
        <f>IF($U202="","",IF(INDEX('Per Invoice'!J$2:J$401,$U202)="","",INDEX('Per Invoice'!J$2:J$401,$U202)))</f>
        <v/>
      </c>
      <c r="K202">
        <f>IF($U202="","",IF(INDEX('Per Invoice'!K$2:K$401,$U202)="","",INDEX('Per Invoice'!K$2:K$401,$U202)))</f>
        <v/>
      </c>
      <c r="L202" s="7">
        <f>IF($U202="","",IF(INDEX('Per Invoice'!L$2:L$401,$U202)="","",INDEX('Per Invoice'!L$2:L$401,$U202)))</f>
        <v/>
      </c>
      <c r="M202" s="7">
        <f>IF($U202="","",IF(INDEX('Per Invoice'!M$2:M$401,$U202)="","",INDEX('Per Invoice'!M$2:M$401,$U202)))</f>
        <v/>
      </c>
      <c r="N202">
        <f>IF($U202="","",IF(INDEX('Per Invoice'!N$2:N$401,$U202)="","",INDEX('Per Invoice'!N$2:N$401,$U202)))</f>
        <v/>
      </c>
      <c r="O202" s="7">
        <f>IF($U202="","",IF(INDEX('Per Invoice'!O$2:O$401,$U202)="","",INDEX('Per Invoice'!O$2:O$401,$U202)))</f>
        <v/>
      </c>
      <c r="P202" s="7">
        <f>IF($U202="","",IF(INDEX('Per Invoice'!P$2:P$401,$U202)="","",INDEX('Per Invoice'!P$2:P$401,$U202)))</f>
        <v/>
      </c>
      <c r="Q202" s="7">
        <f>IF($U202="","",IF(INDEX('Per Invoice'!Q$2:Q$401,$U202)="","",INDEX('Per Invoice'!Q$2:Q$401,$U202)))</f>
        <v/>
      </c>
      <c r="R202" s="7">
        <f>IF($U202="","",IF(INDEX('Per Invoice'!R$2:R$401,$U202)="","",INDEX('Per Invoice'!R$2:R$401,$U202)))</f>
        <v/>
      </c>
      <c r="S202" s="7">
        <f>IF($U202="","",IF(INDEX('Per Invoice'!S$2:S$401,$U202)="","",INDEX('Per Invoice'!S$2:S$401,$U202)))</f>
        <v/>
      </c>
      <c r="T202" s="7">
        <f>IF($U202="","",IF(INDEX('Per Invoice'!T$2:T$401,$U202)="","",INDEX('Per Invoice'!T$2:T$401,$U202)))</f>
        <v/>
      </c>
      <c r="U202" s="16">
        <f>IFERROR(MATCH(Settings!$C$30&amp;"|"&amp;ROWS($U$2:$U202),'Per Invoice'!$V$2:$V$401,0),"")</f>
        <v/>
      </c>
    </row>
    <row r="203">
      <c r="A203">
        <f>IF($U203="","",IF(INDEX('Per Invoice'!A$2:A$401,$U203)="","",INDEX('Per Invoice'!A$2:A$401,$U203)))</f>
        <v/>
      </c>
      <c r="B203">
        <f>IF($U203="","",IF(INDEX('Per Invoice'!B$2:B$401,$U203)="","",INDEX('Per Invoice'!B$2:B$401,$U203)))</f>
        <v/>
      </c>
      <c r="C203">
        <f>IF($U203="","",IF(INDEX('Per Invoice'!C$2:C$401,$U203)="","",INDEX('Per Invoice'!C$2:C$401,$U203)))</f>
        <v/>
      </c>
      <c r="D203">
        <f>IF($U203="","",IF(INDEX('Per Invoice'!D$2:D$401,$U203)="","",INDEX('Per Invoice'!D$2:D$401,$U203)))</f>
        <v/>
      </c>
      <c r="E203">
        <f>IF($U203="","",IF(INDEX('Per Invoice'!E$2:E$401,$U203)="","",INDEX('Per Invoice'!E$2:E$401,$U203)))</f>
        <v/>
      </c>
      <c r="F203">
        <f>IF($U203="","",IF(INDEX('Per Invoice'!F$2:F$401,$U203)="","",INDEX('Per Invoice'!F$2:F$401,$U203)))</f>
        <v/>
      </c>
      <c r="G203">
        <f>IF($U203="","",IF(INDEX('Per Invoice'!G$2:G$401,$U203)="","",INDEX('Per Invoice'!G$2:G$401,$U203)))</f>
        <v/>
      </c>
      <c r="H203" s="7">
        <f>IF($U203="","",IF(INDEX('Per Invoice'!H$2:H$401,$U203)="","",INDEX('Per Invoice'!H$2:H$401,$U203)))</f>
        <v/>
      </c>
      <c r="I203" s="14">
        <f>IF($U203="","",IF(INDEX('Per Invoice'!I$2:I$401,$U203)="","",INDEX('Per Invoice'!I$2:I$401,$U203)))</f>
        <v/>
      </c>
      <c r="J203">
        <f>IF($U203="","",IF(INDEX('Per Invoice'!J$2:J$401,$U203)="","",INDEX('Per Invoice'!J$2:J$401,$U203)))</f>
        <v/>
      </c>
      <c r="K203">
        <f>IF($U203="","",IF(INDEX('Per Invoice'!K$2:K$401,$U203)="","",INDEX('Per Invoice'!K$2:K$401,$U203)))</f>
        <v/>
      </c>
      <c r="L203" s="7">
        <f>IF($U203="","",IF(INDEX('Per Invoice'!L$2:L$401,$U203)="","",INDEX('Per Invoice'!L$2:L$401,$U203)))</f>
        <v/>
      </c>
      <c r="M203" s="7">
        <f>IF($U203="","",IF(INDEX('Per Invoice'!M$2:M$401,$U203)="","",INDEX('Per Invoice'!M$2:M$401,$U203)))</f>
        <v/>
      </c>
      <c r="N203">
        <f>IF($U203="","",IF(INDEX('Per Invoice'!N$2:N$401,$U203)="","",INDEX('Per Invoice'!N$2:N$401,$U203)))</f>
        <v/>
      </c>
      <c r="O203" s="7">
        <f>IF($U203="","",IF(INDEX('Per Invoice'!O$2:O$401,$U203)="","",INDEX('Per Invoice'!O$2:O$401,$U203)))</f>
        <v/>
      </c>
      <c r="P203" s="7">
        <f>IF($U203="","",IF(INDEX('Per Invoice'!P$2:P$401,$U203)="","",INDEX('Per Invoice'!P$2:P$401,$U203)))</f>
        <v/>
      </c>
      <c r="Q203" s="7">
        <f>IF($U203="","",IF(INDEX('Per Invoice'!Q$2:Q$401,$U203)="","",INDEX('Per Invoice'!Q$2:Q$401,$U203)))</f>
        <v/>
      </c>
      <c r="R203" s="7">
        <f>IF($U203="","",IF(INDEX('Per Invoice'!R$2:R$401,$U203)="","",INDEX('Per Invoice'!R$2:R$401,$U203)))</f>
        <v/>
      </c>
      <c r="S203" s="7">
        <f>IF($U203="","",IF(INDEX('Per Invoice'!S$2:S$401,$U203)="","",INDEX('Per Invoice'!S$2:S$401,$U203)))</f>
        <v/>
      </c>
      <c r="T203" s="7">
        <f>IF($U203="","",IF(INDEX('Per Invoice'!T$2:T$401,$U203)="","",INDEX('Per Invoice'!T$2:T$401,$U203)))</f>
        <v/>
      </c>
      <c r="U203" s="16">
        <f>IFERROR(MATCH(Settings!$C$30&amp;"|"&amp;ROWS($U$2:$U203),'Per Invoice'!$V$2:$V$401,0),"")</f>
        <v/>
      </c>
    </row>
    <row r="204">
      <c r="A204">
        <f>IF($U204="","",IF(INDEX('Per Invoice'!A$2:A$401,$U204)="","",INDEX('Per Invoice'!A$2:A$401,$U204)))</f>
        <v/>
      </c>
      <c r="B204">
        <f>IF($U204="","",IF(INDEX('Per Invoice'!B$2:B$401,$U204)="","",INDEX('Per Invoice'!B$2:B$401,$U204)))</f>
        <v/>
      </c>
      <c r="C204">
        <f>IF($U204="","",IF(INDEX('Per Invoice'!C$2:C$401,$U204)="","",INDEX('Per Invoice'!C$2:C$401,$U204)))</f>
        <v/>
      </c>
      <c r="D204">
        <f>IF($U204="","",IF(INDEX('Per Invoice'!D$2:D$401,$U204)="","",INDEX('Per Invoice'!D$2:D$401,$U204)))</f>
        <v/>
      </c>
      <c r="E204">
        <f>IF($U204="","",IF(INDEX('Per Invoice'!E$2:E$401,$U204)="","",INDEX('Per Invoice'!E$2:E$401,$U204)))</f>
        <v/>
      </c>
      <c r="F204">
        <f>IF($U204="","",IF(INDEX('Per Invoice'!F$2:F$401,$U204)="","",INDEX('Per Invoice'!F$2:F$401,$U204)))</f>
        <v/>
      </c>
      <c r="G204">
        <f>IF($U204="","",IF(INDEX('Per Invoice'!G$2:G$401,$U204)="","",INDEX('Per Invoice'!G$2:G$401,$U204)))</f>
        <v/>
      </c>
      <c r="H204" s="7">
        <f>IF($U204="","",IF(INDEX('Per Invoice'!H$2:H$401,$U204)="","",INDEX('Per Invoice'!H$2:H$401,$U204)))</f>
        <v/>
      </c>
      <c r="I204" s="14">
        <f>IF($U204="","",IF(INDEX('Per Invoice'!I$2:I$401,$U204)="","",INDEX('Per Invoice'!I$2:I$401,$U204)))</f>
        <v/>
      </c>
      <c r="J204">
        <f>IF($U204="","",IF(INDEX('Per Invoice'!J$2:J$401,$U204)="","",INDEX('Per Invoice'!J$2:J$401,$U204)))</f>
        <v/>
      </c>
      <c r="K204">
        <f>IF($U204="","",IF(INDEX('Per Invoice'!K$2:K$401,$U204)="","",INDEX('Per Invoice'!K$2:K$401,$U204)))</f>
        <v/>
      </c>
      <c r="L204" s="7">
        <f>IF($U204="","",IF(INDEX('Per Invoice'!L$2:L$401,$U204)="","",INDEX('Per Invoice'!L$2:L$401,$U204)))</f>
        <v/>
      </c>
      <c r="M204" s="7">
        <f>IF($U204="","",IF(INDEX('Per Invoice'!M$2:M$401,$U204)="","",INDEX('Per Invoice'!M$2:M$401,$U204)))</f>
        <v/>
      </c>
      <c r="N204">
        <f>IF($U204="","",IF(INDEX('Per Invoice'!N$2:N$401,$U204)="","",INDEX('Per Invoice'!N$2:N$401,$U204)))</f>
        <v/>
      </c>
      <c r="O204" s="7">
        <f>IF($U204="","",IF(INDEX('Per Invoice'!O$2:O$401,$U204)="","",INDEX('Per Invoice'!O$2:O$401,$U204)))</f>
        <v/>
      </c>
      <c r="P204" s="7">
        <f>IF($U204="","",IF(INDEX('Per Invoice'!P$2:P$401,$U204)="","",INDEX('Per Invoice'!P$2:P$401,$U204)))</f>
        <v/>
      </c>
      <c r="Q204" s="7">
        <f>IF($U204="","",IF(INDEX('Per Invoice'!Q$2:Q$401,$U204)="","",INDEX('Per Invoice'!Q$2:Q$401,$U204)))</f>
        <v/>
      </c>
      <c r="R204" s="7">
        <f>IF($U204="","",IF(INDEX('Per Invoice'!R$2:R$401,$U204)="","",INDEX('Per Invoice'!R$2:R$401,$U204)))</f>
        <v/>
      </c>
      <c r="S204" s="7">
        <f>IF($U204="","",IF(INDEX('Per Invoice'!S$2:S$401,$U204)="","",INDEX('Per Invoice'!S$2:S$401,$U204)))</f>
        <v/>
      </c>
      <c r="T204" s="7">
        <f>IF($U204="","",IF(INDEX('Per Invoice'!T$2:T$401,$U204)="","",INDEX('Per Invoice'!T$2:T$401,$U204)))</f>
        <v/>
      </c>
      <c r="U204" s="16">
        <f>IFERROR(MATCH(Settings!$C$30&amp;"|"&amp;ROWS($U$2:$U204),'Per Invoice'!$V$2:$V$401,0),"")</f>
        <v/>
      </c>
    </row>
    <row r="205">
      <c r="A205">
        <f>IF($U205="","",IF(INDEX('Per Invoice'!A$2:A$401,$U205)="","",INDEX('Per Invoice'!A$2:A$401,$U205)))</f>
        <v/>
      </c>
      <c r="B205">
        <f>IF($U205="","",IF(INDEX('Per Invoice'!B$2:B$401,$U205)="","",INDEX('Per Invoice'!B$2:B$401,$U205)))</f>
        <v/>
      </c>
      <c r="C205">
        <f>IF($U205="","",IF(INDEX('Per Invoice'!C$2:C$401,$U205)="","",INDEX('Per Invoice'!C$2:C$401,$U205)))</f>
        <v/>
      </c>
      <c r="D205">
        <f>IF($U205="","",IF(INDEX('Per Invoice'!D$2:D$401,$U205)="","",INDEX('Per Invoice'!D$2:D$401,$U205)))</f>
        <v/>
      </c>
      <c r="E205">
        <f>IF($U205="","",IF(INDEX('Per Invoice'!E$2:E$401,$U205)="","",INDEX('Per Invoice'!E$2:E$401,$U205)))</f>
        <v/>
      </c>
      <c r="F205">
        <f>IF($U205="","",IF(INDEX('Per Invoice'!F$2:F$401,$U205)="","",INDEX('Per Invoice'!F$2:F$401,$U205)))</f>
        <v/>
      </c>
      <c r="G205">
        <f>IF($U205="","",IF(INDEX('Per Invoice'!G$2:G$401,$U205)="","",INDEX('Per Invoice'!G$2:G$401,$U205)))</f>
        <v/>
      </c>
      <c r="H205" s="7">
        <f>IF($U205="","",IF(INDEX('Per Invoice'!H$2:H$401,$U205)="","",INDEX('Per Invoice'!H$2:H$401,$U205)))</f>
        <v/>
      </c>
      <c r="I205" s="14">
        <f>IF($U205="","",IF(INDEX('Per Invoice'!I$2:I$401,$U205)="","",INDEX('Per Invoice'!I$2:I$401,$U205)))</f>
        <v/>
      </c>
      <c r="J205">
        <f>IF($U205="","",IF(INDEX('Per Invoice'!J$2:J$401,$U205)="","",INDEX('Per Invoice'!J$2:J$401,$U205)))</f>
        <v/>
      </c>
      <c r="K205">
        <f>IF($U205="","",IF(INDEX('Per Invoice'!K$2:K$401,$U205)="","",INDEX('Per Invoice'!K$2:K$401,$U205)))</f>
        <v/>
      </c>
      <c r="L205" s="7">
        <f>IF($U205="","",IF(INDEX('Per Invoice'!L$2:L$401,$U205)="","",INDEX('Per Invoice'!L$2:L$401,$U205)))</f>
        <v/>
      </c>
      <c r="M205" s="7">
        <f>IF($U205="","",IF(INDEX('Per Invoice'!M$2:M$401,$U205)="","",INDEX('Per Invoice'!M$2:M$401,$U205)))</f>
        <v/>
      </c>
      <c r="N205">
        <f>IF($U205="","",IF(INDEX('Per Invoice'!N$2:N$401,$U205)="","",INDEX('Per Invoice'!N$2:N$401,$U205)))</f>
        <v/>
      </c>
      <c r="O205" s="7">
        <f>IF($U205="","",IF(INDEX('Per Invoice'!O$2:O$401,$U205)="","",INDEX('Per Invoice'!O$2:O$401,$U205)))</f>
        <v/>
      </c>
      <c r="P205" s="7">
        <f>IF($U205="","",IF(INDEX('Per Invoice'!P$2:P$401,$U205)="","",INDEX('Per Invoice'!P$2:P$401,$U205)))</f>
        <v/>
      </c>
      <c r="Q205" s="7">
        <f>IF($U205="","",IF(INDEX('Per Invoice'!Q$2:Q$401,$U205)="","",INDEX('Per Invoice'!Q$2:Q$401,$U205)))</f>
        <v/>
      </c>
      <c r="R205" s="7">
        <f>IF($U205="","",IF(INDEX('Per Invoice'!R$2:R$401,$U205)="","",INDEX('Per Invoice'!R$2:R$401,$U205)))</f>
        <v/>
      </c>
      <c r="S205" s="7">
        <f>IF($U205="","",IF(INDEX('Per Invoice'!S$2:S$401,$U205)="","",INDEX('Per Invoice'!S$2:S$401,$U205)))</f>
        <v/>
      </c>
      <c r="T205" s="7">
        <f>IF($U205="","",IF(INDEX('Per Invoice'!T$2:T$401,$U205)="","",INDEX('Per Invoice'!T$2:T$401,$U205)))</f>
        <v/>
      </c>
      <c r="U205" s="16">
        <f>IFERROR(MATCH(Settings!$C$30&amp;"|"&amp;ROWS($U$2:$U205),'Per Invoice'!$V$2:$V$401,0),"")</f>
        <v/>
      </c>
    </row>
    <row r="206">
      <c r="A206">
        <f>IF($U206="","",IF(INDEX('Per Invoice'!A$2:A$401,$U206)="","",INDEX('Per Invoice'!A$2:A$401,$U206)))</f>
        <v/>
      </c>
      <c r="B206">
        <f>IF($U206="","",IF(INDEX('Per Invoice'!B$2:B$401,$U206)="","",INDEX('Per Invoice'!B$2:B$401,$U206)))</f>
        <v/>
      </c>
      <c r="C206">
        <f>IF($U206="","",IF(INDEX('Per Invoice'!C$2:C$401,$U206)="","",INDEX('Per Invoice'!C$2:C$401,$U206)))</f>
        <v/>
      </c>
      <c r="D206">
        <f>IF($U206="","",IF(INDEX('Per Invoice'!D$2:D$401,$U206)="","",INDEX('Per Invoice'!D$2:D$401,$U206)))</f>
        <v/>
      </c>
      <c r="E206">
        <f>IF($U206="","",IF(INDEX('Per Invoice'!E$2:E$401,$U206)="","",INDEX('Per Invoice'!E$2:E$401,$U206)))</f>
        <v/>
      </c>
      <c r="F206">
        <f>IF($U206="","",IF(INDEX('Per Invoice'!F$2:F$401,$U206)="","",INDEX('Per Invoice'!F$2:F$401,$U206)))</f>
        <v/>
      </c>
      <c r="G206">
        <f>IF($U206="","",IF(INDEX('Per Invoice'!G$2:G$401,$U206)="","",INDEX('Per Invoice'!G$2:G$401,$U206)))</f>
        <v/>
      </c>
      <c r="H206" s="7">
        <f>IF($U206="","",IF(INDEX('Per Invoice'!H$2:H$401,$U206)="","",INDEX('Per Invoice'!H$2:H$401,$U206)))</f>
        <v/>
      </c>
      <c r="I206" s="14">
        <f>IF($U206="","",IF(INDEX('Per Invoice'!I$2:I$401,$U206)="","",INDEX('Per Invoice'!I$2:I$401,$U206)))</f>
        <v/>
      </c>
      <c r="J206">
        <f>IF($U206="","",IF(INDEX('Per Invoice'!J$2:J$401,$U206)="","",INDEX('Per Invoice'!J$2:J$401,$U206)))</f>
        <v/>
      </c>
      <c r="K206">
        <f>IF($U206="","",IF(INDEX('Per Invoice'!K$2:K$401,$U206)="","",INDEX('Per Invoice'!K$2:K$401,$U206)))</f>
        <v/>
      </c>
      <c r="L206" s="7">
        <f>IF($U206="","",IF(INDEX('Per Invoice'!L$2:L$401,$U206)="","",INDEX('Per Invoice'!L$2:L$401,$U206)))</f>
        <v/>
      </c>
      <c r="M206" s="7">
        <f>IF($U206="","",IF(INDEX('Per Invoice'!M$2:M$401,$U206)="","",INDEX('Per Invoice'!M$2:M$401,$U206)))</f>
        <v/>
      </c>
      <c r="N206">
        <f>IF($U206="","",IF(INDEX('Per Invoice'!N$2:N$401,$U206)="","",INDEX('Per Invoice'!N$2:N$401,$U206)))</f>
        <v/>
      </c>
      <c r="O206" s="7">
        <f>IF($U206="","",IF(INDEX('Per Invoice'!O$2:O$401,$U206)="","",INDEX('Per Invoice'!O$2:O$401,$U206)))</f>
        <v/>
      </c>
      <c r="P206" s="7">
        <f>IF($U206="","",IF(INDEX('Per Invoice'!P$2:P$401,$U206)="","",INDEX('Per Invoice'!P$2:P$401,$U206)))</f>
        <v/>
      </c>
      <c r="Q206" s="7">
        <f>IF($U206="","",IF(INDEX('Per Invoice'!Q$2:Q$401,$U206)="","",INDEX('Per Invoice'!Q$2:Q$401,$U206)))</f>
        <v/>
      </c>
      <c r="R206" s="7">
        <f>IF($U206="","",IF(INDEX('Per Invoice'!R$2:R$401,$U206)="","",INDEX('Per Invoice'!R$2:R$401,$U206)))</f>
        <v/>
      </c>
      <c r="S206" s="7">
        <f>IF($U206="","",IF(INDEX('Per Invoice'!S$2:S$401,$U206)="","",INDEX('Per Invoice'!S$2:S$401,$U206)))</f>
        <v/>
      </c>
      <c r="T206" s="7">
        <f>IF($U206="","",IF(INDEX('Per Invoice'!T$2:T$401,$U206)="","",INDEX('Per Invoice'!T$2:T$401,$U206)))</f>
        <v/>
      </c>
      <c r="U206" s="16">
        <f>IFERROR(MATCH(Settings!$C$30&amp;"|"&amp;ROWS($U$2:$U206),'Per Invoice'!$V$2:$V$401,0),"")</f>
        <v/>
      </c>
    </row>
    <row r="207">
      <c r="A207">
        <f>IF($U207="","",IF(INDEX('Per Invoice'!A$2:A$401,$U207)="","",INDEX('Per Invoice'!A$2:A$401,$U207)))</f>
        <v/>
      </c>
      <c r="B207">
        <f>IF($U207="","",IF(INDEX('Per Invoice'!B$2:B$401,$U207)="","",INDEX('Per Invoice'!B$2:B$401,$U207)))</f>
        <v/>
      </c>
      <c r="C207">
        <f>IF($U207="","",IF(INDEX('Per Invoice'!C$2:C$401,$U207)="","",INDEX('Per Invoice'!C$2:C$401,$U207)))</f>
        <v/>
      </c>
      <c r="D207">
        <f>IF($U207="","",IF(INDEX('Per Invoice'!D$2:D$401,$U207)="","",INDEX('Per Invoice'!D$2:D$401,$U207)))</f>
        <v/>
      </c>
      <c r="E207">
        <f>IF($U207="","",IF(INDEX('Per Invoice'!E$2:E$401,$U207)="","",INDEX('Per Invoice'!E$2:E$401,$U207)))</f>
        <v/>
      </c>
      <c r="F207">
        <f>IF($U207="","",IF(INDEX('Per Invoice'!F$2:F$401,$U207)="","",INDEX('Per Invoice'!F$2:F$401,$U207)))</f>
        <v/>
      </c>
      <c r="G207">
        <f>IF($U207="","",IF(INDEX('Per Invoice'!G$2:G$401,$U207)="","",INDEX('Per Invoice'!G$2:G$401,$U207)))</f>
        <v/>
      </c>
      <c r="H207" s="7">
        <f>IF($U207="","",IF(INDEX('Per Invoice'!H$2:H$401,$U207)="","",INDEX('Per Invoice'!H$2:H$401,$U207)))</f>
        <v/>
      </c>
      <c r="I207" s="14">
        <f>IF($U207="","",IF(INDEX('Per Invoice'!I$2:I$401,$U207)="","",INDEX('Per Invoice'!I$2:I$401,$U207)))</f>
        <v/>
      </c>
      <c r="J207">
        <f>IF($U207="","",IF(INDEX('Per Invoice'!J$2:J$401,$U207)="","",INDEX('Per Invoice'!J$2:J$401,$U207)))</f>
        <v/>
      </c>
      <c r="K207">
        <f>IF($U207="","",IF(INDEX('Per Invoice'!K$2:K$401,$U207)="","",INDEX('Per Invoice'!K$2:K$401,$U207)))</f>
        <v/>
      </c>
      <c r="L207" s="7">
        <f>IF($U207="","",IF(INDEX('Per Invoice'!L$2:L$401,$U207)="","",INDEX('Per Invoice'!L$2:L$401,$U207)))</f>
        <v/>
      </c>
      <c r="M207" s="7">
        <f>IF($U207="","",IF(INDEX('Per Invoice'!M$2:M$401,$U207)="","",INDEX('Per Invoice'!M$2:M$401,$U207)))</f>
        <v/>
      </c>
      <c r="N207">
        <f>IF($U207="","",IF(INDEX('Per Invoice'!N$2:N$401,$U207)="","",INDEX('Per Invoice'!N$2:N$401,$U207)))</f>
        <v/>
      </c>
      <c r="O207" s="7">
        <f>IF($U207="","",IF(INDEX('Per Invoice'!O$2:O$401,$U207)="","",INDEX('Per Invoice'!O$2:O$401,$U207)))</f>
        <v/>
      </c>
      <c r="P207" s="7">
        <f>IF($U207="","",IF(INDEX('Per Invoice'!P$2:P$401,$U207)="","",INDEX('Per Invoice'!P$2:P$401,$U207)))</f>
        <v/>
      </c>
      <c r="Q207" s="7">
        <f>IF($U207="","",IF(INDEX('Per Invoice'!Q$2:Q$401,$U207)="","",INDEX('Per Invoice'!Q$2:Q$401,$U207)))</f>
        <v/>
      </c>
      <c r="R207" s="7">
        <f>IF($U207="","",IF(INDEX('Per Invoice'!R$2:R$401,$U207)="","",INDEX('Per Invoice'!R$2:R$401,$U207)))</f>
        <v/>
      </c>
      <c r="S207" s="7">
        <f>IF($U207="","",IF(INDEX('Per Invoice'!S$2:S$401,$U207)="","",INDEX('Per Invoice'!S$2:S$401,$U207)))</f>
        <v/>
      </c>
      <c r="T207" s="7">
        <f>IF($U207="","",IF(INDEX('Per Invoice'!T$2:T$401,$U207)="","",INDEX('Per Invoice'!T$2:T$401,$U207)))</f>
        <v/>
      </c>
      <c r="U207" s="16">
        <f>IFERROR(MATCH(Settings!$C$30&amp;"|"&amp;ROWS($U$2:$U207),'Per Invoice'!$V$2:$V$401,0),"")</f>
        <v/>
      </c>
    </row>
    <row r="208">
      <c r="A208">
        <f>IF($U208="","",IF(INDEX('Per Invoice'!A$2:A$401,$U208)="","",INDEX('Per Invoice'!A$2:A$401,$U208)))</f>
        <v/>
      </c>
      <c r="B208">
        <f>IF($U208="","",IF(INDEX('Per Invoice'!B$2:B$401,$U208)="","",INDEX('Per Invoice'!B$2:B$401,$U208)))</f>
        <v/>
      </c>
      <c r="C208">
        <f>IF($U208="","",IF(INDEX('Per Invoice'!C$2:C$401,$U208)="","",INDEX('Per Invoice'!C$2:C$401,$U208)))</f>
        <v/>
      </c>
      <c r="D208">
        <f>IF($U208="","",IF(INDEX('Per Invoice'!D$2:D$401,$U208)="","",INDEX('Per Invoice'!D$2:D$401,$U208)))</f>
        <v/>
      </c>
      <c r="E208">
        <f>IF($U208="","",IF(INDEX('Per Invoice'!E$2:E$401,$U208)="","",INDEX('Per Invoice'!E$2:E$401,$U208)))</f>
        <v/>
      </c>
      <c r="F208">
        <f>IF($U208="","",IF(INDEX('Per Invoice'!F$2:F$401,$U208)="","",INDEX('Per Invoice'!F$2:F$401,$U208)))</f>
        <v/>
      </c>
      <c r="G208">
        <f>IF($U208="","",IF(INDEX('Per Invoice'!G$2:G$401,$U208)="","",INDEX('Per Invoice'!G$2:G$401,$U208)))</f>
        <v/>
      </c>
      <c r="H208" s="7">
        <f>IF($U208="","",IF(INDEX('Per Invoice'!H$2:H$401,$U208)="","",INDEX('Per Invoice'!H$2:H$401,$U208)))</f>
        <v/>
      </c>
      <c r="I208" s="14">
        <f>IF($U208="","",IF(INDEX('Per Invoice'!I$2:I$401,$U208)="","",INDEX('Per Invoice'!I$2:I$401,$U208)))</f>
        <v/>
      </c>
      <c r="J208">
        <f>IF($U208="","",IF(INDEX('Per Invoice'!J$2:J$401,$U208)="","",INDEX('Per Invoice'!J$2:J$401,$U208)))</f>
        <v/>
      </c>
      <c r="K208">
        <f>IF($U208="","",IF(INDEX('Per Invoice'!K$2:K$401,$U208)="","",INDEX('Per Invoice'!K$2:K$401,$U208)))</f>
        <v/>
      </c>
      <c r="L208" s="7">
        <f>IF($U208="","",IF(INDEX('Per Invoice'!L$2:L$401,$U208)="","",INDEX('Per Invoice'!L$2:L$401,$U208)))</f>
        <v/>
      </c>
      <c r="M208" s="7">
        <f>IF($U208="","",IF(INDEX('Per Invoice'!M$2:M$401,$U208)="","",INDEX('Per Invoice'!M$2:M$401,$U208)))</f>
        <v/>
      </c>
      <c r="N208">
        <f>IF($U208="","",IF(INDEX('Per Invoice'!N$2:N$401,$U208)="","",INDEX('Per Invoice'!N$2:N$401,$U208)))</f>
        <v/>
      </c>
      <c r="O208" s="7">
        <f>IF($U208="","",IF(INDEX('Per Invoice'!O$2:O$401,$U208)="","",INDEX('Per Invoice'!O$2:O$401,$U208)))</f>
        <v/>
      </c>
      <c r="P208" s="7">
        <f>IF($U208="","",IF(INDEX('Per Invoice'!P$2:P$401,$U208)="","",INDEX('Per Invoice'!P$2:P$401,$U208)))</f>
        <v/>
      </c>
      <c r="Q208" s="7">
        <f>IF($U208="","",IF(INDEX('Per Invoice'!Q$2:Q$401,$U208)="","",INDEX('Per Invoice'!Q$2:Q$401,$U208)))</f>
        <v/>
      </c>
      <c r="R208" s="7">
        <f>IF($U208="","",IF(INDEX('Per Invoice'!R$2:R$401,$U208)="","",INDEX('Per Invoice'!R$2:R$401,$U208)))</f>
        <v/>
      </c>
      <c r="S208" s="7">
        <f>IF($U208="","",IF(INDEX('Per Invoice'!S$2:S$401,$U208)="","",INDEX('Per Invoice'!S$2:S$401,$U208)))</f>
        <v/>
      </c>
      <c r="T208" s="7">
        <f>IF($U208="","",IF(INDEX('Per Invoice'!T$2:T$401,$U208)="","",INDEX('Per Invoice'!T$2:T$401,$U208)))</f>
        <v/>
      </c>
      <c r="U208" s="16">
        <f>IFERROR(MATCH(Settings!$C$30&amp;"|"&amp;ROWS($U$2:$U208),'Per Invoice'!$V$2:$V$401,0),"")</f>
        <v/>
      </c>
    </row>
    <row r="209">
      <c r="A209">
        <f>IF($U209="","",IF(INDEX('Per Invoice'!A$2:A$401,$U209)="","",INDEX('Per Invoice'!A$2:A$401,$U209)))</f>
        <v/>
      </c>
      <c r="B209">
        <f>IF($U209="","",IF(INDEX('Per Invoice'!B$2:B$401,$U209)="","",INDEX('Per Invoice'!B$2:B$401,$U209)))</f>
        <v/>
      </c>
      <c r="C209">
        <f>IF($U209="","",IF(INDEX('Per Invoice'!C$2:C$401,$U209)="","",INDEX('Per Invoice'!C$2:C$401,$U209)))</f>
        <v/>
      </c>
      <c r="D209">
        <f>IF($U209="","",IF(INDEX('Per Invoice'!D$2:D$401,$U209)="","",INDEX('Per Invoice'!D$2:D$401,$U209)))</f>
        <v/>
      </c>
      <c r="E209">
        <f>IF($U209="","",IF(INDEX('Per Invoice'!E$2:E$401,$U209)="","",INDEX('Per Invoice'!E$2:E$401,$U209)))</f>
        <v/>
      </c>
      <c r="F209">
        <f>IF($U209="","",IF(INDEX('Per Invoice'!F$2:F$401,$U209)="","",INDEX('Per Invoice'!F$2:F$401,$U209)))</f>
        <v/>
      </c>
      <c r="G209">
        <f>IF($U209="","",IF(INDEX('Per Invoice'!G$2:G$401,$U209)="","",INDEX('Per Invoice'!G$2:G$401,$U209)))</f>
        <v/>
      </c>
      <c r="H209" s="7">
        <f>IF($U209="","",IF(INDEX('Per Invoice'!H$2:H$401,$U209)="","",INDEX('Per Invoice'!H$2:H$401,$U209)))</f>
        <v/>
      </c>
      <c r="I209" s="14">
        <f>IF($U209="","",IF(INDEX('Per Invoice'!I$2:I$401,$U209)="","",INDEX('Per Invoice'!I$2:I$401,$U209)))</f>
        <v/>
      </c>
      <c r="J209">
        <f>IF($U209="","",IF(INDEX('Per Invoice'!J$2:J$401,$U209)="","",INDEX('Per Invoice'!J$2:J$401,$U209)))</f>
        <v/>
      </c>
      <c r="K209">
        <f>IF($U209="","",IF(INDEX('Per Invoice'!K$2:K$401,$U209)="","",INDEX('Per Invoice'!K$2:K$401,$U209)))</f>
        <v/>
      </c>
      <c r="L209" s="7">
        <f>IF($U209="","",IF(INDEX('Per Invoice'!L$2:L$401,$U209)="","",INDEX('Per Invoice'!L$2:L$401,$U209)))</f>
        <v/>
      </c>
      <c r="M209" s="7">
        <f>IF($U209="","",IF(INDEX('Per Invoice'!M$2:M$401,$U209)="","",INDEX('Per Invoice'!M$2:M$401,$U209)))</f>
        <v/>
      </c>
      <c r="N209">
        <f>IF($U209="","",IF(INDEX('Per Invoice'!N$2:N$401,$U209)="","",INDEX('Per Invoice'!N$2:N$401,$U209)))</f>
        <v/>
      </c>
      <c r="O209" s="7">
        <f>IF($U209="","",IF(INDEX('Per Invoice'!O$2:O$401,$U209)="","",INDEX('Per Invoice'!O$2:O$401,$U209)))</f>
        <v/>
      </c>
      <c r="P209" s="7">
        <f>IF($U209="","",IF(INDEX('Per Invoice'!P$2:P$401,$U209)="","",INDEX('Per Invoice'!P$2:P$401,$U209)))</f>
        <v/>
      </c>
      <c r="Q209" s="7">
        <f>IF($U209="","",IF(INDEX('Per Invoice'!Q$2:Q$401,$U209)="","",INDEX('Per Invoice'!Q$2:Q$401,$U209)))</f>
        <v/>
      </c>
      <c r="R209" s="7">
        <f>IF($U209="","",IF(INDEX('Per Invoice'!R$2:R$401,$U209)="","",INDEX('Per Invoice'!R$2:R$401,$U209)))</f>
        <v/>
      </c>
      <c r="S209" s="7">
        <f>IF($U209="","",IF(INDEX('Per Invoice'!S$2:S$401,$U209)="","",INDEX('Per Invoice'!S$2:S$401,$U209)))</f>
        <v/>
      </c>
      <c r="T209" s="7">
        <f>IF($U209="","",IF(INDEX('Per Invoice'!T$2:T$401,$U209)="","",INDEX('Per Invoice'!T$2:T$401,$U209)))</f>
        <v/>
      </c>
      <c r="U209" s="16">
        <f>IFERROR(MATCH(Settings!$C$30&amp;"|"&amp;ROWS($U$2:$U209),'Per Invoice'!$V$2:$V$401,0),"")</f>
        <v/>
      </c>
    </row>
    <row r="210">
      <c r="A210">
        <f>IF($U210="","",IF(INDEX('Per Invoice'!A$2:A$401,$U210)="","",INDEX('Per Invoice'!A$2:A$401,$U210)))</f>
        <v/>
      </c>
      <c r="B210">
        <f>IF($U210="","",IF(INDEX('Per Invoice'!B$2:B$401,$U210)="","",INDEX('Per Invoice'!B$2:B$401,$U210)))</f>
        <v/>
      </c>
      <c r="C210">
        <f>IF($U210="","",IF(INDEX('Per Invoice'!C$2:C$401,$U210)="","",INDEX('Per Invoice'!C$2:C$401,$U210)))</f>
        <v/>
      </c>
      <c r="D210">
        <f>IF($U210="","",IF(INDEX('Per Invoice'!D$2:D$401,$U210)="","",INDEX('Per Invoice'!D$2:D$401,$U210)))</f>
        <v/>
      </c>
      <c r="E210">
        <f>IF($U210="","",IF(INDEX('Per Invoice'!E$2:E$401,$U210)="","",INDEX('Per Invoice'!E$2:E$401,$U210)))</f>
        <v/>
      </c>
      <c r="F210">
        <f>IF($U210="","",IF(INDEX('Per Invoice'!F$2:F$401,$U210)="","",INDEX('Per Invoice'!F$2:F$401,$U210)))</f>
        <v/>
      </c>
      <c r="G210">
        <f>IF($U210="","",IF(INDEX('Per Invoice'!G$2:G$401,$U210)="","",INDEX('Per Invoice'!G$2:G$401,$U210)))</f>
        <v/>
      </c>
      <c r="H210" s="7">
        <f>IF($U210="","",IF(INDEX('Per Invoice'!H$2:H$401,$U210)="","",INDEX('Per Invoice'!H$2:H$401,$U210)))</f>
        <v/>
      </c>
      <c r="I210" s="14">
        <f>IF($U210="","",IF(INDEX('Per Invoice'!I$2:I$401,$U210)="","",INDEX('Per Invoice'!I$2:I$401,$U210)))</f>
        <v/>
      </c>
      <c r="J210">
        <f>IF($U210="","",IF(INDEX('Per Invoice'!J$2:J$401,$U210)="","",INDEX('Per Invoice'!J$2:J$401,$U210)))</f>
        <v/>
      </c>
      <c r="K210">
        <f>IF($U210="","",IF(INDEX('Per Invoice'!K$2:K$401,$U210)="","",INDEX('Per Invoice'!K$2:K$401,$U210)))</f>
        <v/>
      </c>
      <c r="L210" s="7">
        <f>IF($U210="","",IF(INDEX('Per Invoice'!L$2:L$401,$U210)="","",INDEX('Per Invoice'!L$2:L$401,$U210)))</f>
        <v/>
      </c>
      <c r="M210" s="7">
        <f>IF($U210="","",IF(INDEX('Per Invoice'!M$2:M$401,$U210)="","",INDEX('Per Invoice'!M$2:M$401,$U210)))</f>
        <v/>
      </c>
      <c r="N210">
        <f>IF($U210="","",IF(INDEX('Per Invoice'!N$2:N$401,$U210)="","",INDEX('Per Invoice'!N$2:N$401,$U210)))</f>
        <v/>
      </c>
      <c r="O210" s="7">
        <f>IF($U210="","",IF(INDEX('Per Invoice'!O$2:O$401,$U210)="","",INDEX('Per Invoice'!O$2:O$401,$U210)))</f>
        <v/>
      </c>
      <c r="P210" s="7">
        <f>IF($U210="","",IF(INDEX('Per Invoice'!P$2:P$401,$U210)="","",INDEX('Per Invoice'!P$2:P$401,$U210)))</f>
        <v/>
      </c>
      <c r="Q210" s="7">
        <f>IF($U210="","",IF(INDEX('Per Invoice'!Q$2:Q$401,$U210)="","",INDEX('Per Invoice'!Q$2:Q$401,$U210)))</f>
        <v/>
      </c>
      <c r="R210" s="7">
        <f>IF($U210="","",IF(INDEX('Per Invoice'!R$2:R$401,$U210)="","",INDEX('Per Invoice'!R$2:R$401,$U210)))</f>
        <v/>
      </c>
      <c r="S210" s="7">
        <f>IF($U210="","",IF(INDEX('Per Invoice'!S$2:S$401,$U210)="","",INDEX('Per Invoice'!S$2:S$401,$U210)))</f>
        <v/>
      </c>
      <c r="T210" s="7">
        <f>IF($U210="","",IF(INDEX('Per Invoice'!T$2:T$401,$U210)="","",INDEX('Per Invoice'!T$2:T$401,$U210)))</f>
        <v/>
      </c>
      <c r="U210" s="16">
        <f>IFERROR(MATCH(Settings!$C$30&amp;"|"&amp;ROWS($U$2:$U210),'Per Invoice'!$V$2:$V$401,0),"")</f>
        <v/>
      </c>
    </row>
    <row r="211">
      <c r="A211">
        <f>IF($U211="","",IF(INDEX('Per Invoice'!A$2:A$401,$U211)="","",INDEX('Per Invoice'!A$2:A$401,$U211)))</f>
        <v/>
      </c>
      <c r="B211">
        <f>IF($U211="","",IF(INDEX('Per Invoice'!B$2:B$401,$U211)="","",INDEX('Per Invoice'!B$2:B$401,$U211)))</f>
        <v/>
      </c>
      <c r="C211">
        <f>IF($U211="","",IF(INDEX('Per Invoice'!C$2:C$401,$U211)="","",INDEX('Per Invoice'!C$2:C$401,$U211)))</f>
        <v/>
      </c>
      <c r="D211">
        <f>IF($U211="","",IF(INDEX('Per Invoice'!D$2:D$401,$U211)="","",INDEX('Per Invoice'!D$2:D$401,$U211)))</f>
        <v/>
      </c>
      <c r="E211">
        <f>IF($U211="","",IF(INDEX('Per Invoice'!E$2:E$401,$U211)="","",INDEX('Per Invoice'!E$2:E$401,$U211)))</f>
        <v/>
      </c>
      <c r="F211">
        <f>IF($U211="","",IF(INDEX('Per Invoice'!F$2:F$401,$U211)="","",INDEX('Per Invoice'!F$2:F$401,$U211)))</f>
        <v/>
      </c>
      <c r="G211">
        <f>IF($U211="","",IF(INDEX('Per Invoice'!G$2:G$401,$U211)="","",INDEX('Per Invoice'!G$2:G$401,$U211)))</f>
        <v/>
      </c>
      <c r="H211" s="7">
        <f>IF($U211="","",IF(INDEX('Per Invoice'!H$2:H$401,$U211)="","",INDEX('Per Invoice'!H$2:H$401,$U211)))</f>
        <v/>
      </c>
      <c r="I211" s="14">
        <f>IF($U211="","",IF(INDEX('Per Invoice'!I$2:I$401,$U211)="","",INDEX('Per Invoice'!I$2:I$401,$U211)))</f>
        <v/>
      </c>
      <c r="J211">
        <f>IF($U211="","",IF(INDEX('Per Invoice'!J$2:J$401,$U211)="","",INDEX('Per Invoice'!J$2:J$401,$U211)))</f>
        <v/>
      </c>
      <c r="K211">
        <f>IF($U211="","",IF(INDEX('Per Invoice'!K$2:K$401,$U211)="","",INDEX('Per Invoice'!K$2:K$401,$U211)))</f>
        <v/>
      </c>
      <c r="L211" s="7">
        <f>IF($U211="","",IF(INDEX('Per Invoice'!L$2:L$401,$U211)="","",INDEX('Per Invoice'!L$2:L$401,$U211)))</f>
        <v/>
      </c>
      <c r="M211" s="7">
        <f>IF($U211="","",IF(INDEX('Per Invoice'!M$2:M$401,$U211)="","",INDEX('Per Invoice'!M$2:M$401,$U211)))</f>
        <v/>
      </c>
      <c r="N211">
        <f>IF($U211="","",IF(INDEX('Per Invoice'!N$2:N$401,$U211)="","",INDEX('Per Invoice'!N$2:N$401,$U211)))</f>
        <v/>
      </c>
      <c r="O211" s="7">
        <f>IF($U211="","",IF(INDEX('Per Invoice'!O$2:O$401,$U211)="","",INDEX('Per Invoice'!O$2:O$401,$U211)))</f>
        <v/>
      </c>
      <c r="P211" s="7">
        <f>IF($U211="","",IF(INDEX('Per Invoice'!P$2:P$401,$U211)="","",INDEX('Per Invoice'!P$2:P$401,$U211)))</f>
        <v/>
      </c>
      <c r="Q211" s="7">
        <f>IF($U211="","",IF(INDEX('Per Invoice'!Q$2:Q$401,$U211)="","",INDEX('Per Invoice'!Q$2:Q$401,$U211)))</f>
        <v/>
      </c>
      <c r="R211" s="7">
        <f>IF($U211="","",IF(INDEX('Per Invoice'!R$2:R$401,$U211)="","",INDEX('Per Invoice'!R$2:R$401,$U211)))</f>
        <v/>
      </c>
      <c r="S211" s="7">
        <f>IF($U211="","",IF(INDEX('Per Invoice'!S$2:S$401,$U211)="","",INDEX('Per Invoice'!S$2:S$401,$U211)))</f>
        <v/>
      </c>
      <c r="T211" s="7">
        <f>IF($U211="","",IF(INDEX('Per Invoice'!T$2:T$401,$U211)="","",INDEX('Per Invoice'!T$2:T$401,$U211)))</f>
        <v/>
      </c>
      <c r="U211" s="16">
        <f>IFERROR(MATCH(Settings!$C$30&amp;"|"&amp;ROWS($U$2:$U211),'Per Invoice'!$V$2:$V$401,0),"")</f>
        <v/>
      </c>
    </row>
    <row r="212">
      <c r="A212">
        <f>IF($U212="","",IF(INDEX('Per Invoice'!A$2:A$401,$U212)="","",INDEX('Per Invoice'!A$2:A$401,$U212)))</f>
        <v/>
      </c>
      <c r="B212">
        <f>IF($U212="","",IF(INDEX('Per Invoice'!B$2:B$401,$U212)="","",INDEX('Per Invoice'!B$2:B$401,$U212)))</f>
        <v/>
      </c>
      <c r="C212">
        <f>IF($U212="","",IF(INDEX('Per Invoice'!C$2:C$401,$U212)="","",INDEX('Per Invoice'!C$2:C$401,$U212)))</f>
        <v/>
      </c>
      <c r="D212">
        <f>IF($U212="","",IF(INDEX('Per Invoice'!D$2:D$401,$U212)="","",INDEX('Per Invoice'!D$2:D$401,$U212)))</f>
        <v/>
      </c>
      <c r="E212">
        <f>IF($U212="","",IF(INDEX('Per Invoice'!E$2:E$401,$U212)="","",INDEX('Per Invoice'!E$2:E$401,$U212)))</f>
        <v/>
      </c>
      <c r="F212">
        <f>IF($U212="","",IF(INDEX('Per Invoice'!F$2:F$401,$U212)="","",INDEX('Per Invoice'!F$2:F$401,$U212)))</f>
        <v/>
      </c>
      <c r="G212">
        <f>IF($U212="","",IF(INDEX('Per Invoice'!G$2:G$401,$U212)="","",INDEX('Per Invoice'!G$2:G$401,$U212)))</f>
        <v/>
      </c>
      <c r="H212" s="7">
        <f>IF($U212="","",IF(INDEX('Per Invoice'!H$2:H$401,$U212)="","",INDEX('Per Invoice'!H$2:H$401,$U212)))</f>
        <v/>
      </c>
      <c r="I212" s="14">
        <f>IF($U212="","",IF(INDEX('Per Invoice'!I$2:I$401,$U212)="","",INDEX('Per Invoice'!I$2:I$401,$U212)))</f>
        <v/>
      </c>
      <c r="J212">
        <f>IF($U212="","",IF(INDEX('Per Invoice'!J$2:J$401,$U212)="","",INDEX('Per Invoice'!J$2:J$401,$U212)))</f>
        <v/>
      </c>
      <c r="K212">
        <f>IF($U212="","",IF(INDEX('Per Invoice'!K$2:K$401,$U212)="","",INDEX('Per Invoice'!K$2:K$401,$U212)))</f>
        <v/>
      </c>
      <c r="L212" s="7">
        <f>IF($U212="","",IF(INDEX('Per Invoice'!L$2:L$401,$U212)="","",INDEX('Per Invoice'!L$2:L$401,$U212)))</f>
        <v/>
      </c>
      <c r="M212" s="7">
        <f>IF($U212="","",IF(INDEX('Per Invoice'!M$2:M$401,$U212)="","",INDEX('Per Invoice'!M$2:M$401,$U212)))</f>
        <v/>
      </c>
      <c r="N212">
        <f>IF($U212="","",IF(INDEX('Per Invoice'!N$2:N$401,$U212)="","",INDEX('Per Invoice'!N$2:N$401,$U212)))</f>
        <v/>
      </c>
      <c r="O212" s="7">
        <f>IF($U212="","",IF(INDEX('Per Invoice'!O$2:O$401,$U212)="","",INDEX('Per Invoice'!O$2:O$401,$U212)))</f>
        <v/>
      </c>
      <c r="P212" s="7">
        <f>IF($U212="","",IF(INDEX('Per Invoice'!P$2:P$401,$U212)="","",INDEX('Per Invoice'!P$2:P$401,$U212)))</f>
        <v/>
      </c>
      <c r="Q212" s="7">
        <f>IF($U212="","",IF(INDEX('Per Invoice'!Q$2:Q$401,$U212)="","",INDEX('Per Invoice'!Q$2:Q$401,$U212)))</f>
        <v/>
      </c>
      <c r="R212" s="7">
        <f>IF($U212="","",IF(INDEX('Per Invoice'!R$2:R$401,$U212)="","",INDEX('Per Invoice'!R$2:R$401,$U212)))</f>
        <v/>
      </c>
      <c r="S212" s="7">
        <f>IF($U212="","",IF(INDEX('Per Invoice'!S$2:S$401,$U212)="","",INDEX('Per Invoice'!S$2:S$401,$U212)))</f>
        <v/>
      </c>
      <c r="T212" s="7">
        <f>IF($U212="","",IF(INDEX('Per Invoice'!T$2:T$401,$U212)="","",INDEX('Per Invoice'!T$2:T$401,$U212)))</f>
        <v/>
      </c>
      <c r="U212" s="16">
        <f>IFERROR(MATCH(Settings!$C$30&amp;"|"&amp;ROWS($U$2:$U212),'Per Invoice'!$V$2:$V$401,0),"")</f>
        <v/>
      </c>
    </row>
    <row r="213">
      <c r="A213">
        <f>IF($U213="","",IF(INDEX('Per Invoice'!A$2:A$401,$U213)="","",INDEX('Per Invoice'!A$2:A$401,$U213)))</f>
        <v/>
      </c>
      <c r="B213">
        <f>IF($U213="","",IF(INDEX('Per Invoice'!B$2:B$401,$U213)="","",INDEX('Per Invoice'!B$2:B$401,$U213)))</f>
        <v/>
      </c>
      <c r="C213">
        <f>IF($U213="","",IF(INDEX('Per Invoice'!C$2:C$401,$U213)="","",INDEX('Per Invoice'!C$2:C$401,$U213)))</f>
        <v/>
      </c>
      <c r="D213">
        <f>IF($U213="","",IF(INDEX('Per Invoice'!D$2:D$401,$U213)="","",INDEX('Per Invoice'!D$2:D$401,$U213)))</f>
        <v/>
      </c>
      <c r="E213">
        <f>IF($U213="","",IF(INDEX('Per Invoice'!E$2:E$401,$U213)="","",INDEX('Per Invoice'!E$2:E$401,$U213)))</f>
        <v/>
      </c>
      <c r="F213">
        <f>IF($U213="","",IF(INDEX('Per Invoice'!F$2:F$401,$U213)="","",INDEX('Per Invoice'!F$2:F$401,$U213)))</f>
        <v/>
      </c>
      <c r="G213">
        <f>IF($U213="","",IF(INDEX('Per Invoice'!G$2:G$401,$U213)="","",INDEX('Per Invoice'!G$2:G$401,$U213)))</f>
        <v/>
      </c>
      <c r="H213" s="7">
        <f>IF($U213="","",IF(INDEX('Per Invoice'!H$2:H$401,$U213)="","",INDEX('Per Invoice'!H$2:H$401,$U213)))</f>
        <v/>
      </c>
      <c r="I213" s="14">
        <f>IF($U213="","",IF(INDEX('Per Invoice'!I$2:I$401,$U213)="","",INDEX('Per Invoice'!I$2:I$401,$U213)))</f>
        <v/>
      </c>
      <c r="J213">
        <f>IF($U213="","",IF(INDEX('Per Invoice'!J$2:J$401,$U213)="","",INDEX('Per Invoice'!J$2:J$401,$U213)))</f>
        <v/>
      </c>
      <c r="K213">
        <f>IF($U213="","",IF(INDEX('Per Invoice'!K$2:K$401,$U213)="","",INDEX('Per Invoice'!K$2:K$401,$U213)))</f>
        <v/>
      </c>
      <c r="L213" s="7">
        <f>IF($U213="","",IF(INDEX('Per Invoice'!L$2:L$401,$U213)="","",INDEX('Per Invoice'!L$2:L$401,$U213)))</f>
        <v/>
      </c>
      <c r="M213" s="7">
        <f>IF($U213="","",IF(INDEX('Per Invoice'!M$2:M$401,$U213)="","",INDEX('Per Invoice'!M$2:M$401,$U213)))</f>
        <v/>
      </c>
      <c r="N213">
        <f>IF($U213="","",IF(INDEX('Per Invoice'!N$2:N$401,$U213)="","",INDEX('Per Invoice'!N$2:N$401,$U213)))</f>
        <v/>
      </c>
      <c r="O213" s="7">
        <f>IF($U213="","",IF(INDEX('Per Invoice'!O$2:O$401,$U213)="","",INDEX('Per Invoice'!O$2:O$401,$U213)))</f>
        <v/>
      </c>
      <c r="P213" s="7">
        <f>IF($U213="","",IF(INDEX('Per Invoice'!P$2:P$401,$U213)="","",INDEX('Per Invoice'!P$2:P$401,$U213)))</f>
        <v/>
      </c>
      <c r="Q213" s="7">
        <f>IF($U213="","",IF(INDEX('Per Invoice'!Q$2:Q$401,$U213)="","",INDEX('Per Invoice'!Q$2:Q$401,$U213)))</f>
        <v/>
      </c>
      <c r="R213" s="7">
        <f>IF($U213="","",IF(INDEX('Per Invoice'!R$2:R$401,$U213)="","",INDEX('Per Invoice'!R$2:R$401,$U213)))</f>
        <v/>
      </c>
      <c r="S213" s="7">
        <f>IF($U213="","",IF(INDEX('Per Invoice'!S$2:S$401,$U213)="","",INDEX('Per Invoice'!S$2:S$401,$U213)))</f>
        <v/>
      </c>
      <c r="T213" s="7">
        <f>IF($U213="","",IF(INDEX('Per Invoice'!T$2:T$401,$U213)="","",INDEX('Per Invoice'!T$2:T$401,$U213)))</f>
        <v/>
      </c>
      <c r="U213" s="16">
        <f>IFERROR(MATCH(Settings!$C$30&amp;"|"&amp;ROWS($U$2:$U213),'Per Invoice'!$V$2:$V$401,0),"")</f>
        <v/>
      </c>
    </row>
    <row r="214">
      <c r="A214">
        <f>IF($U214="","",IF(INDEX('Per Invoice'!A$2:A$401,$U214)="","",INDEX('Per Invoice'!A$2:A$401,$U214)))</f>
        <v/>
      </c>
      <c r="B214">
        <f>IF($U214="","",IF(INDEX('Per Invoice'!B$2:B$401,$U214)="","",INDEX('Per Invoice'!B$2:B$401,$U214)))</f>
        <v/>
      </c>
      <c r="C214">
        <f>IF($U214="","",IF(INDEX('Per Invoice'!C$2:C$401,$U214)="","",INDEX('Per Invoice'!C$2:C$401,$U214)))</f>
        <v/>
      </c>
      <c r="D214">
        <f>IF($U214="","",IF(INDEX('Per Invoice'!D$2:D$401,$U214)="","",INDEX('Per Invoice'!D$2:D$401,$U214)))</f>
        <v/>
      </c>
      <c r="E214">
        <f>IF($U214="","",IF(INDEX('Per Invoice'!E$2:E$401,$U214)="","",INDEX('Per Invoice'!E$2:E$401,$U214)))</f>
        <v/>
      </c>
      <c r="F214">
        <f>IF($U214="","",IF(INDEX('Per Invoice'!F$2:F$401,$U214)="","",INDEX('Per Invoice'!F$2:F$401,$U214)))</f>
        <v/>
      </c>
      <c r="G214">
        <f>IF($U214="","",IF(INDEX('Per Invoice'!G$2:G$401,$U214)="","",INDEX('Per Invoice'!G$2:G$401,$U214)))</f>
        <v/>
      </c>
      <c r="H214" s="7">
        <f>IF($U214="","",IF(INDEX('Per Invoice'!H$2:H$401,$U214)="","",INDEX('Per Invoice'!H$2:H$401,$U214)))</f>
        <v/>
      </c>
      <c r="I214" s="14">
        <f>IF($U214="","",IF(INDEX('Per Invoice'!I$2:I$401,$U214)="","",INDEX('Per Invoice'!I$2:I$401,$U214)))</f>
        <v/>
      </c>
      <c r="J214">
        <f>IF($U214="","",IF(INDEX('Per Invoice'!J$2:J$401,$U214)="","",INDEX('Per Invoice'!J$2:J$401,$U214)))</f>
        <v/>
      </c>
      <c r="K214">
        <f>IF($U214="","",IF(INDEX('Per Invoice'!K$2:K$401,$U214)="","",INDEX('Per Invoice'!K$2:K$401,$U214)))</f>
        <v/>
      </c>
      <c r="L214" s="7">
        <f>IF($U214="","",IF(INDEX('Per Invoice'!L$2:L$401,$U214)="","",INDEX('Per Invoice'!L$2:L$401,$U214)))</f>
        <v/>
      </c>
      <c r="M214" s="7">
        <f>IF($U214="","",IF(INDEX('Per Invoice'!M$2:M$401,$U214)="","",INDEX('Per Invoice'!M$2:M$401,$U214)))</f>
        <v/>
      </c>
      <c r="N214">
        <f>IF($U214="","",IF(INDEX('Per Invoice'!N$2:N$401,$U214)="","",INDEX('Per Invoice'!N$2:N$401,$U214)))</f>
        <v/>
      </c>
      <c r="O214" s="7">
        <f>IF($U214="","",IF(INDEX('Per Invoice'!O$2:O$401,$U214)="","",INDEX('Per Invoice'!O$2:O$401,$U214)))</f>
        <v/>
      </c>
      <c r="P214" s="7">
        <f>IF($U214="","",IF(INDEX('Per Invoice'!P$2:P$401,$U214)="","",INDEX('Per Invoice'!P$2:P$401,$U214)))</f>
        <v/>
      </c>
      <c r="Q214" s="7">
        <f>IF($U214="","",IF(INDEX('Per Invoice'!Q$2:Q$401,$U214)="","",INDEX('Per Invoice'!Q$2:Q$401,$U214)))</f>
        <v/>
      </c>
      <c r="R214" s="7">
        <f>IF($U214="","",IF(INDEX('Per Invoice'!R$2:R$401,$U214)="","",INDEX('Per Invoice'!R$2:R$401,$U214)))</f>
        <v/>
      </c>
      <c r="S214" s="7">
        <f>IF($U214="","",IF(INDEX('Per Invoice'!S$2:S$401,$U214)="","",INDEX('Per Invoice'!S$2:S$401,$U214)))</f>
        <v/>
      </c>
      <c r="T214" s="7">
        <f>IF($U214="","",IF(INDEX('Per Invoice'!T$2:T$401,$U214)="","",INDEX('Per Invoice'!T$2:T$401,$U214)))</f>
        <v/>
      </c>
      <c r="U214" s="16">
        <f>IFERROR(MATCH(Settings!$C$30&amp;"|"&amp;ROWS($U$2:$U214),'Per Invoice'!$V$2:$V$401,0),"")</f>
        <v/>
      </c>
    </row>
    <row r="215">
      <c r="A215">
        <f>IF($U215="","",IF(INDEX('Per Invoice'!A$2:A$401,$U215)="","",INDEX('Per Invoice'!A$2:A$401,$U215)))</f>
        <v/>
      </c>
      <c r="B215">
        <f>IF($U215="","",IF(INDEX('Per Invoice'!B$2:B$401,$U215)="","",INDEX('Per Invoice'!B$2:B$401,$U215)))</f>
        <v/>
      </c>
      <c r="C215">
        <f>IF($U215="","",IF(INDEX('Per Invoice'!C$2:C$401,$U215)="","",INDEX('Per Invoice'!C$2:C$401,$U215)))</f>
        <v/>
      </c>
      <c r="D215">
        <f>IF($U215="","",IF(INDEX('Per Invoice'!D$2:D$401,$U215)="","",INDEX('Per Invoice'!D$2:D$401,$U215)))</f>
        <v/>
      </c>
      <c r="E215">
        <f>IF($U215="","",IF(INDEX('Per Invoice'!E$2:E$401,$U215)="","",INDEX('Per Invoice'!E$2:E$401,$U215)))</f>
        <v/>
      </c>
      <c r="F215">
        <f>IF($U215="","",IF(INDEX('Per Invoice'!F$2:F$401,$U215)="","",INDEX('Per Invoice'!F$2:F$401,$U215)))</f>
        <v/>
      </c>
      <c r="G215">
        <f>IF($U215="","",IF(INDEX('Per Invoice'!G$2:G$401,$U215)="","",INDEX('Per Invoice'!G$2:G$401,$U215)))</f>
        <v/>
      </c>
      <c r="H215" s="7">
        <f>IF($U215="","",IF(INDEX('Per Invoice'!H$2:H$401,$U215)="","",INDEX('Per Invoice'!H$2:H$401,$U215)))</f>
        <v/>
      </c>
      <c r="I215" s="14">
        <f>IF($U215="","",IF(INDEX('Per Invoice'!I$2:I$401,$U215)="","",INDEX('Per Invoice'!I$2:I$401,$U215)))</f>
        <v/>
      </c>
      <c r="J215">
        <f>IF($U215="","",IF(INDEX('Per Invoice'!J$2:J$401,$U215)="","",INDEX('Per Invoice'!J$2:J$401,$U215)))</f>
        <v/>
      </c>
      <c r="K215">
        <f>IF($U215="","",IF(INDEX('Per Invoice'!K$2:K$401,$U215)="","",INDEX('Per Invoice'!K$2:K$401,$U215)))</f>
        <v/>
      </c>
      <c r="L215" s="7">
        <f>IF($U215="","",IF(INDEX('Per Invoice'!L$2:L$401,$U215)="","",INDEX('Per Invoice'!L$2:L$401,$U215)))</f>
        <v/>
      </c>
      <c r="M215" s="7">
        <f>IF($U215="","",IF(INDEX('Per Invoice'!M$2:M$401,$U215)="","",INDEX('Per Invoice'!M$2:M$401,$U215)))</f>
        <v/>
      </c>
      <c r="N215">
        <f>IF($U215="","",IF(INDEX('Per Invoice'!N$2:N$401,$U215)="","",INDEX('Per Invoice'!N$2:N$401,$U215)))</f>
        <v/>
      </c>
      <c r="O215" s="7">
        <f>IF($U215="","",IF(INDEX('Per Invoice'!O$2:O$401,$U215)="","",INDEX('Per Invoice'!O$2:O$401,$U215)))</f>
        <v/>
      </c>
      <c r="P215" s="7">
        <f>IF($U215="","",IF(INDEX('Per Invoice'!P$2:P$401,$U215)="","",INDEX('Per Invoice'!P$2:P$401,$U215)))</f>
        <v/>
      </c>
      <c r="Q215" s="7">
        <f>IF($U215="","",IF(INDEX('Per Invoice'!Q$2:Q$401,$U215)="","",INDEX('Per Invoice'!Q$2:Q$401,$U215)))</f>
        <v/>
      </c>
      <c r="R215" s="7">
        <f>IF($U215="","",IF(INDEX('Per Invoice'!R$2:R$401,$U215)="","",INDEX('Per Invoice'!R$2:R$401,$U215)))</f>
        <v/>
      </c>
      <c r="S215" s="7">
        <f>IF($U215="","",IF(INDEX('Per Invoice'!S$2:S$401,$U215)="","",INDEX('Per Invoice'!S$2:S$401,$U215)))</f>
        <v/>
      </c>
      <c r="T215" s="7">
        <f>IF($U215="","",IF(INDEX('Per Invoice'!T$2:T$401,$U215)="","",INDEX('Per Invoice'!T$2:T$401,$U215)))</f>
        <v/>
      </c>
      <c r="U215" s="16">
        <f>IFERROR(MATCH(Settings!$C$30&amp;"|"&amp;ROWS($U$2:$U215),'Per Invoice'!$V$2:$V$401,0),"")</f>
        <v/>
      </c>
    </row>
    <row r="216">
      <c r="A216">
        <f>IF($U216="","",IF(INDEX('Per Invoice'!A$2:A$401,$U216)="","",INDEX('Per Invoice'!A$2:A$401,$U216)))</f>
        <v/>
      </c>
      <c r="B216">
        <f>IF($U216="","",IF(INDEX('Per Invoice'!B$2:B$401,$U216)="","",INDEX('Per Invoice'!B$2:B$401,$U216)))</f>
        <v/>
      </c>
      <c r="C216">
        <f>IF($U216="","",IF(INDEX('Per Invoice'!C$2:C$401,$U216)="","",INDEX('Per Invoice'!C$2:C$401,$U216)))</f>
        <v/>
      </c>
      <c r="D216">
        <f>IF($U216="","",IF(INDEX('Per Invoice'!D$2:D$401,$U216)="","",INDEX('Per Invoice'!D$2:D$401,$U216)))</f>
        <v/>
      </c>
      <c r="E216">
        <f>IF($U216="","",IF(INDEX('Per Invoice'!E$2:E$401,$U216)="","",INDEX('Per Invoice'!E$2:E$401,$U216)))</f>
        <v/>
      </c>
      <c r="F216">
        <f>IF($U216="","",IF(INDEX('Per Invoice'!F$2:F$401,$U216)="","",INDEX('Per Invoice'!F$2:F$401,$U216)))</f>
        <v/>
      </c>
      <c r="G216">
        <f>IF($U216="","",IF(INDEX('Per Invoice'!G$2:G$401,$U216)="","",INDEX('Per Invoice'!G$2:G$401,$U216)))</f>
        <v/>
      </c>
      <c r="H216" s="7">
        <f>IF($U216="","",IF(INDEX('Per Invoice'!H$2:H$401,$U216)="","",INDEX('Per Invoice'!H$2:H$401,$U216)))</f>
        <v/>
      </c>
      <c r="I216" s="14">
        <f>IF($U216="","",IF(INDEX('Per Invoice'!I$2:I$401,$U216)="","",INDEX('Per Invoice'!I$2:I$401,$U216)))</f>
        <v/>
      </c>
      <c r="J216">
        <f>IF($U216="","",IF(INDEX('Per Invoice'!J$2:J$401,$U216)="","",INDEX('Per Invoice'!J$2:J$401,$U216)))</f>
        <v/>
      </c>
      <c r="K216">
        <f>IF($U216="","",IF(INDEX('Per Invoice'!K$2:K$401,$U216)="","",INDEX('Per Invoice'!K$2:K$401,$U216)))</f>
        <v/>
      </c>
      <c r="L216" s="7">
        <f>IF($U216="","",IF(INDEX('Per Invoice'!L$2:L$401,$U216)="","",INDEX('Per Invoice'!L$2:L$401,$U216)))</f>
        <v/>
      </c>
      <c r="M216" s="7">
        <f>IF($U216="","",IF(INDEX('Per Invoice'!M$2:M$401,$U216)="","",INDEX('Per Invoice'!M$2:M$401,$U216)))</f>
        <v/>
      </c>
      <c r="N216">
        <f>IF($U216="","",IF(INDEX('Per Invoice'!N$2:N$401,$U216)="","",INDEX('Per Invoice'!N$2:N$401,$U216)))</f>
        <v/>
      </c>
      <c r="O216" s="7">
        <f>IF($U216="","",IF(INDEX('Per Invoice'!O$2:O$401,$U216)="","",INDEX('Per Invoice'!O$2:O$401,$U216)))</f>
        <v/>
      </c>
      <c r="P216" s="7">
        <f>IF($U216="","",IF(INDEX('Per Invoice'!P$2:P$401,$U216)="","",INDEX('Per Invoice'!P$2:P$401,$U216)))</f>
        <v/>
      </c>
      <c r="Q216" s="7">
        <f>IF($U216="","",IF(INDEX('Per Invoice'!Q$2:Q$401,$U216)="","",INDEX('Per Invoice'!Q$2:Q$401,$U216)))</f>
        <v/>
      </c>
      <c r="R216" s="7">
        <f>IF($U216="","",IF(INDEX('Per Invoice'!R$2:R$401,$U216)="","",INDEX('Per Invoice'!R$2:R$401,$U216)))</f>
        <v/>
      </c>
      <c r="S216" s="7">
        <f>IF($U216="","",IF(INDEX('Per Invoice'!S$2:S$401,$U216)="","",INDEX('Per Invoice'!S$2:S$401,$U216)))</f>
        <v/>
      </c>
      <c r="T216" s="7">
        <f>IF($U216="","",IF(INDEX('Per Invoice'!T$2:T$401,$U216)="","",INDEX('Per Invoice'!T$2:T$401,$U216)))</f>
        <v/>
      </c>
      <c r="U216" s="16">
        <f>IFERROR(MATCH(Settings!$C$30&amp;"|"&amp;ROWS($U$2:$U216),'Per Invoice'!$V$2:$V$401,0),"")</f>
        <v/>
      </c>
    </row>
    <row r="217">
      <c r="A217">
        <f>IF($U217="","",IF(INDEX('Per Invoice'!A$2:A$401,$U217)="","",INDEX('Per Invoice'!A$2:A$401,$U217)))</f>
        <v/>
      </c>
      <c r="B217">
        <f>IF($U217="","",IF(INDEX('Per Invoice'!B$2:B$401,$U217)="","",INDEX('Per Invoice'!B$2:B$401,$U217)))</f>
        <v/>
      </c>
      <c r="C217">
        <f>IF($U217="","",IF(INDEX('Per Invoice'!C$2:C$401,$U217)="","",INDEX('Per Invoice'!C$2:C$401,$U217)))</f>
        <v/>
      </c>
      <c r="D217">
        <f>IF($U217="","",IF(INDEX('Per Invoice'!D$2:D$401,$U217)="","",INDEX('Per Invoice'!D$2:D$401,$U217)))</f>
        <v/>
      </c>
      <c r="E217">
        <f>IF($U217="","",IF(INDEX('Per Invoice'!E$2:E$401,$U217)="","",INDEX('Per Invoice'!E$2:E$401,$U217)))</f>
        <v/>
      </c>
      <c r="F217">
        <f>IF($U217="","",IF(INDEX('Per Invoice'!F$2:F$401,$U217)="","",INDEX('Per Invoice'!F$2:F$401,$U217)))</f>
        <v/>
      </c>
      <c r="G217">
        <f>IF($U217="","",IF(INDEX('Per Invoice'!G$2:G$401,$U217)="","",INDEX('Per Invoice'!G$2:G$401,$U217)))</f>
        <v/>
      </c>
      <c r="H217" s="7">
        <f>IF($U217="","",IF(INDEX('Per Invoice'!H$2:H$401,$U217)="","",INDEX('Per Invoice'!H$2:H$401,$U217)))</f>
        <v/>
      </c>
      <c r="I217" s="14">
        <f>IF($U217="","",IF(INDEX('Per Invoice'!I$2:I$401,$U217)="","",INDEX('Per Invoice'!I$2:I$401,$U217)))</f>
        <v/>
      </c>
      <c r="J217">
        <f>IF($U217="","",IF(INDEX('Per Invoice'!J$2:J$401,$U217)="","",INDEX('Per Invoice'!J$2:J$401,$U217)))</f>
        <v/>
      </c>
      <c r="K217">
        <f>IF($U217="","",IF(INDEX('Per Invoice'!K$2:K$401,$U217)="","",INDEX('Per Invoice'!K$2:K$401,$U217)))</f>
        <v/>
      </c>
      <c r="L217" s="7">
        <f>IF($U217="","",IF(INDEX('Per Invoice'!L$2:L$401,$U217)="","",INDEX('Per Invoice'!L$2:L$401,$U217)))</f>
        <v/>
      </c>
      <c r="M217" s="7">
        <f>IF($U217="","",IF(INDEX('Per Invoice'!M$2:M$401,$U217)="","",INDEX('Per Invoice'!M$2:M$401,$U217)))</f>
        <v/>
      </c>
      <c r="N217">
        <f>IF($U217="","",IF(INDEX('Per Invoice'!N$2:N$401,$U217)="","",INDEX('Per Invoice'!N$2:N$401,$U217)))</f>
        <v/>
      </c>
      <c r="O217" s="7">
        <f>IF($U217="","",IF(INDEX('Per Invoice'!O$2:O$401,$U217)="","",INDEX('Per Invoice'!O$2:O$401,$U217)))</f>
        <v/>
      </c>
      <c r="P217" s="7">
        <f>IF($U217="","",IF(INDEX('Per Invoice'!P$2:P$401,$U217)="","",INDEX('Per Invoice'!P$2:P$401,$U217)))</f>
        <v/>
      </c>
      <c r="Q217" s="7">
        <f>IF($U217="","",IF(INDEX('Per Invoice'!Q$2:Q$401,$U217)="","",INDEX('Per Invoice'!Q$2:Q$401,$U217)))</f>
        <v/>
      </c>
      <c r="R217" s="7">
        <f>IF($U217="","",IF(INDEX('Per Invoice'!R$2:R$401,$U217)="","",INDEX('Per Invoice'!R$2:R$401,$U217)))</f>
        <v/>
      </c>
      <c r="S217" s="7">
        <f>IF($U217="","",IF(INDEX('Per Invoice'!S$2:S$401,$U217)="","",INDEX('Per Invoice'!S$2:S$401,$U217)))</f>
        <v/>
      </c>
      <c r="T217" s="7">
        <f>IF($U217="","",IF(INDEX('Per Invoice'!T$2:T$401,$U217)="","",INDEX('Per Invoice'!T$2:T$401,$U217)))</f>
        <v/>
      </c>
      <c r="U217" s="16">
        <f>IFERROR(MATCH(Settings!$C$30&amp;"|"&amp;ROWS($U$2:$U217),'Per Invoice'!$V$2:$V$401,0),"")</f>
        <v/>
      </c>
    </row>
    <row r="218">
      <c r="A218">
        <f>IF($U218="","",IF(INDEX('Per Invoice'!A$2:A$401,$U218)="","",INDEX('Per Invoice'!A$2:A$401,$U218)))</f>
        <v/>
      </c>
      <c r="B218">
        <f>IF($U218="","",IF(INDEX('Per Invoice'!B$2:B$401,$U218)="","",INDEX('Per Invoice'!B$2:B$401,$U218)))</f>
        <v/>
      </c>
      <c r="C218">
        <f>IF($U218="","",IF(INDEX('Per Invoice'!C$2:C$401,$U218)="","",INDEX('Per Invoice'!C$2:C$401,$U218)))</f>
        <v/>
      </c>
      <c r="D218">
        <f>IF($U218="","",IF(INDEX('Per Invoice'!D$2:D$401,$U218)="","",INDEX('Per Invoice'!D$2:D$401,$U218)))</f>
        <v/>
      </c>
      <c r="E218">
        <f>IF($U218="","",IF(INDEX('Per Invoice'!E$2:E$401,$U218)="","",INDEX('Per Invoice'!E$2:E$401,$U218)))</f>
        <v/>
      </c>
      <c r="F218">
        <f>IF($U218="","",IF(INDEX('Per Invoice'!F$2:F$401,$U218)="","",INDEX('Per Invoice'!F$2:F$401,$U218)))</f>
        <v/>
      </c>
      <c r="G218">
        <f>IF($U218="","",IF(INDEX('Per Invoice'!G$2:G$401,$U218)="","",INDEX('Per Invoice'!G$2:G$401,$U218)))</f>
        <v/>
      </c>
      <c r="H218" s="7">
        <f>IF($U218="","",IF(INDEX('Per Invoice'!H$2:H$401,$U218)="","",INDEX('Per Invoice'!H$2:H$401,$U218)))</f>
        <v/>
      </c>
      <c r="I218" s="14">
        <f>IF($U218="","",IF(INDEX('Per Invoice'!I$2:I$401,$U218)="","",INDEX('Per Invoice'!I$2:I$401,$U218)))</f>
        <v/>
      </c>
      <c r="J218">
        <f>IF($U218="","",IF(INDEX('Per Invoice'!J$2:J$401,$U218)="","",INDEX('Per Invoice'!J$2:J$401,$U218)))</f>
        <v/>
      </c>
      <c r="K218">
        <f>IF($U218="","",IF(INDEX('Per Invoice'!K$2:K$401,$U218)="","",INDEX('Per Invoice'!K$2:K$401,$U218)))</f>
        <v/>
      </c>
      <c r="L218" s="7">
        <f>IF($U218="","",IF(INDEX('Per Invoice'!L$2:L$401,$U218)="","",INDEX('Per Invoice'!L$2:L$401,$U218)))</f>
        <v/>
      </c>
      <c r="M218" s="7">
        <f>IF($U218="","",IF(INDEX('Per Invoice'!M$2:M$401,$U218)="","",INDEX('Per Invoice'!M$2:M$401,$U218)))</f>
        <v/>
      </c>
      <c r="N218">
        <f>IF($U218="","",IF(INDEX('Per Invoice'!N$2:N$401,$U218)="","",INDEX('Per Invoice'!N$2:N$401,$U218)))</f>
        <v/>
      </c>
      <c r="O218" s="7">
        <f>IF($U218="","",IF(INDEX('Per Invoice'!O$2:O$401,$U218)="","",INDEX('Per Invoice'!O$2:O$401,$U218)))</f>
        <v/>
      </c>
      <c r="P218" s="7">
        <f>IF($U218="","",IF(INDEX('Per Invoice'!P$2:P$401,$U218)="","",INDEX('Per Invoice'!P$2:P$401,$U218)))</f>
        <v/>
      </c>
      <c r="Q218" s="7">
        <f>IF($U218="","",IF(INDEX('Per Invoice'!Q$2:Q$401,$U218)="","",INDEX('Per Invoice'!Q$2:Q$401,$U218)))</f>
        <v/>
      </c>
      <c r="R218" s="7">
        <f>IF($U218="","",IF(INDEX('Per Invoice'!R$2:R$401,$U218)="","",INDEX('Per Invoice'!R$2:R$401,$U218)))</f>
        <v/>
      </c>
      <c r="S218" s="7">
        <f>IF($U218="","",IF(INDEX('Per Invoice'!S$2:S$401,$U218)="","",INDEX('Per Invoice'!S$2:S$401,$U218)))</f>
        <v/>
      </c>
      <c r="T218" s="7">
        <f>IF($U218="","",IF(INDEX('Per Invoice'!T$2:T$401,$U218)="","",INDEX('Per Invoice'!T$2:T$401,$U218)))</f>
        <v/>
      </c>
      <c r="U218" s="16">
        <f>IFERROR(MATCH(Settings!$C$30&amp;"|"&amp;ROWS($U$2:$U218),'Per Invoice'!$V$2:$V$401,0),"")</f>
        <v/>
      </c>
    </row>
    <row r="219">
      <c r="A219">
        <f>IF($U219="","",IF(INDEX('Per Invoice'!A$2:A$401,$U219)="","",INDEX('Per Invoice'!A$2:A$401,$U219)))</f>
        <v/>
      </c>
      <c r="B219">
        <f>IF($U219="","",IF(INDEX('Per Invoice'!B$2:B$401,$U219)="","",INDEX('Per Invoice'!B$2:B$401,$U219)))</f>
        <v/>
      </c>
      <c r="C219">
        <f>IF($U219="","",IF(INDEX('Per Invoice'!C$2:C$401,$U219)="","",INDEX('Per Invoice'!C$2:C$401,$U219)))</f>
        <v/>
      </c>
      <c r="D219">
        <f>IF($U219="","",IF(INDEX('Per Invoice'!D$2:D$401,$U219)="","",INDEX('Per Invoice'!D$2:D$401,$U219)))</f>
        <v/>
      </c>
      <c r="E219">
        <f>IF($U219="","",IF(INDEX('Per Invoice'!E$2:E$401,$U219)="","",INDEX('Per Invoice'!E$2:E$401,$U219)))</f>
        <v/>
      </c>
      <c r="F219">
        <f>IF($U219="","",IF(INDEX('Per Invoice'!F$2:F$401,$U219)="","",INDEX('Per Invoice'!F$2:F$401,$U219)))</f>
        <v/>
      </c>
      <c r="G219">
        <f>IF($U219="","",IF(INDEX('Per Invoice'!G$2:G$401,$U219)="","",INDEX('Per Invoice'!G$2:G$401,$U219)))</f>
        <v/>
      </c>
      <c r="H219" s="7">
        <f>IF($U219="","",IF(INDEX('Per Invoice'!H$2:H$401,$U219)="","",INDEX('Per Invoice'!H$2:H$401,$U219)))</f>
        <v/>
      </c>
      <c r="I219" s="14">
        <f>IF($U219="","",IF(INDEX('Per Invoice'!I$2:I$401,$U219)="","",INDEX('Per Invoice'!I$2:I$401,$U219)))</f>
        <v/>
      </c>
      <c r="J219">
        <f>IF($U219="","",IF(INDEX('Per Invoice'!J$2:J$401,$U219)="","",INDEX('Per Invoice'!J$2:J$401,$U219)))</f>
        <v/>
      </c>
      <c r="K219">
        <f>IF($U219="","",IF(INDEX('Per Invoice'!K$2:K$401,$U219)="","",INDEX('Per Invoice'!K$2:K$401,$U219)))</f>
        <v/>
      </c>
      <c r="L219" s="7">
        <f>IF($U219="","",IF(INDEX('Per Invoice'!L$2:L$401,$U219)="","",INDEX('Per Invoice'!L$2:L$401,$U219)))</f>
        <v/>
      </c>
      <c r="M219" s="7">
        <f>IF($U219="","",IF(INDEX('Per Invoice'!M$2:M$401,$U219)="","",INDEX('Per Invoice'!M$2:M$401,$U219)))</f>
        <v/>
      </c>
      <c r="N219">
        <f>IF($U219="","",IF(INDEX('Per Invoice'!N$2:N$401,$U219)="","",INDEX('Per Invoice'!N$2:N$401,$U219)))</f>
        <v/>
      </c>
      <c r="O219" s="7">
        <f>IF($U219="","",IF(INDEX('Per Invoice'!O$2:O$401,$U219)="","",INDEX('Per Invoice'!O$2:O$401,$U219)))</f>
        <v/>
      </c>
      <c r="P219" s="7">
        <f>IF($U219="","",IF(INDEX('Per Invoice'!P$2:P$401,$U219)="","",INDEX('Per Invoice'!P$2:P$401,$U219)))</f>
        <v/>
      </c>
      <c r="Q219" s="7">
        <f>IF($U219="","",IF(INDEX('Per Invoice'!Q$2:Q$401,$U219)="","",INDEX('Per Invoice'!Q$2:Q$401,$U219)))</f>
        <v/>
      </c>
      <c r="R219" s="7">
        <f>IF($U219="","",IF(INDEX('Per Invoice'!R$2:R$401,$U219)="","",INDEX('Per Invoice'!R$2:R$401,$U219)))</f>
        <v/>
      </c>
      <c r="S219" s="7">
        <f>IF($U219="","",IF(INDEX('Per Invoice'!S$2:S$401,$U219)="","",INDEX('Per Invoice'!S$2:S$401,$U219)))</f>
        <v/>
      </c>
      <c r="T219" s="7">
        <f>IF($U219="","",IF(INDEX('Per Invoice'!T$2:T$401,$U219)="","",INDEX('Per Invoice'!T$2:T$401,$U219)))</f>
        <v/>
      </c>
      <c r="U219" s="16">
        <f>IFERROR(MATCH(Settings!$C$30&amp;"|"&amp;ROWS($U$2:$U219),'Per Invoice'!$V$2:$V$401,0),"")</f>
        <v/>
      </c>
    </row>
    <row r="220">
      <c r="A220">
        <f>IF($U220="","",IF(INDEX('Per Invoice'!A$2:A$401,$U220)="","",INDEX('Per Invoice'!A$2:A$401,$U220)))</f>
        <v/>
      </c>
      <c r="B220">
        <f>IF($U220="","",IF(INDEX('Per Invoice'!B$2:B$401,$U220)="","",INDEX('Per Invoice'!B$2:B$401,$U220)))</f>
        <v/>
      </c>
      <c r="C220">
        <f>IF($U220="","",IF(INDEX('Per Invoice'!C$2:C$401,$U220)="","",INDEX('Per Invoice'!C$2:C$401,$U220)))</f>
        <v/>
      </c>
      <c r="D220">
        <f>IF($U220="","",IF(INDEX('Per Invoice'!D$2:D$401,$U220)="","",INDEX('Per Invoice'!D$2:D$401,$U220)))</f>
        <v/>
      </c>
      <c r="E220">
        <f>IF($U220="","",IF(INDEX('Per Invoice'!E$2:E$401,$U220)="","",INDEX('Per Invoice'!E$2:E$401,$U220)))</f>
        <v/>
      </c>
      <c r="F220">
        <f>IF($U220="","",IF(INDEX('Per Invoice'!F$2:F$401,$U220)="","",INDEX('Per Invoice'!F$2:F$401,$U220)))</f>
        <v/>
      </c>
      <c r="G220">
        <f>IF($U220="","",IF(INDEX('Per Invoice'!G$2:G$401,$U220)="","",INDEX('Per Invoice'!G$2:G$401,$U220)))</f>
        <v/>
      </c>
      <c r="H220" s="7">
        <f>IF($U220="","",IF(INDEX('Per Invoice'!H$2:H$401,$U220)="","",INDEX('Per Invoice'!H$2:H$401,$U220)))</f>
        <v/>
      </c>
      <c r="I220" s="14">
        <f>IF($U220="","",IF(INDEX('Per Invoice'!I$2:I$401,$U220)="","",INDEX('Per Invoice'!I$2:I$401,$U220)))</f>
        <v/>
      </c>
      <c r="J220">
        <f>IF($U220="","",IF(INDEX('Per Invoice'!J$2:J$401,$U220)="","",INDEX('Per Invoice'!J$2:J$401,$U220)))</f>
        <v/>
      </c>
      <c r="K220">
        <f>IF($U220="","",IF(INDEX('Per Invoice'!K$2:K$401,$U220)="","",INDEX('Per Invoice'!K$2:K$401,$U220)))</f>
        <v/>
      </c>
      <c r="L220" s="7">
        <f>IF($U220="","",IF(INDEX('Per Invoice'!L$2:L$401,$U220)="","",INDEX('Per Invoice'!L$2:L$401,$U220)))</f>
        <v/>
      </c>
      <c r="M220" s="7">
        <f>IF($U220="","",IF(INDEX('Per Invoice'!M$2:M$401,$U220)="","",INDEX('Per Invoice'!M$2:M$401,$U220)))</f>
        <v/>
      </c>
      <c r="N220">
        <f>IF($U220="","",IF(INDEX('Per Invoice'!N$2:N$401,$U220)="","",INDEX('Per Invoice'!N$2:N$401,$U220)))</f>
        <v/>
      </c>
      <c r="O220" s="7">
        <f>IF($U220="","",IF(INDEX('Per Invoice'!O$2:O$401,$U220)="","",INDEX('Per Invoice'!O$2:O$401,$U220)))</f>
        <v/>
      </c>
      <c r="P220" s="7">
        <f>IF($U220="","",IF(INDEX('Per Invoice'!P$2:P$401,$U220)="","",INDEX('Per Invoice'!P$2:P$401,$U220)))</f>
        <v/>
      </c>
      <c r="Q220" s="7">
        <f>IF($U220="","",IF(INDEX('Per Invoice'!Q$2:Q$401,$U220)="","",INDEX('Per Invoice'!Q$2:Q$401,$U220)))</f>
        <v/>
      </c>
      <c r="R220" s="7">
        <f>IF($U220="","",IF(INDEX('Per Invoice'!R$2:R$401,$U220)="","",INDEX('Per Invoice'!R$2:R$401,$U220)))</f>
        <v/>
      </c>
      <c r="S220" s="7">
        <f>IF($U220="","",IF(INDEX('Per Invoice'!S$2:S$401,$U220)="","",INDEX('Per Invoice'!S$2:S$401,$U220)))</f>
        <v/>
      </c>
      <c r="T220" s="7">
        <f>IF($U220="","",IF(INDEX('Per Invoice'!T$2:T$401,$U220)="","",INDEX('Per Invoice'!T$2:T$401,$U220)))</f>
        <v/>
      </c>
      <c r="U220" s="16">
        <f>IFERROR(MATCH(Settings!$C$30&amp;"|"&amp;ROWS($U$2:$U220),'Per Invoice'!$V$2:$V$401,0),"")</f>
        <v/>
      </c>
    </row>
    <row r="221">
      <c r="A221">
        <f>IF($U221="","",IF(INDEX('Per Invoice'!A$2:A$401,$U221)="","",INDEX('Per Invoice'!A$2:A$401,$U221)))</f>
        <v/>
      </c>
      <c r="B221">
        <f>IF($U221="","",IF(INDEX('Per Invoice'!B$2:B$401,$U221)="","",INDEX('Per Invoice'!B$2:B$401,$U221)))</f>
        <v/>
      </c>
      <c r="C221">
        <f>IF($U221="","",IF(INDEX('Per Invoice'!C$2:C$401,$U221)="","",INDEX('Per Invoice'!C$2:C$401,$U221)))</f>
        <v/>
      </c>
      <c r="D221">
        <f>IF($U221="","",IF(INDEX('Per Invoice'!D$2:D$401,$U221)="","",INDEX('Per Invoice'!D$2:D$401,$U221)))</f>
        <v/>
      </c>
      <c r="E221">
        <f>IF($U221="","",IF(INDEX('Per Invoice'!E$2:E$401,$U221)="","",INDEX('Per Invoice'!E$2:E$401,$U221)))</f>
        <v/>
      </c>
      <c r="F221">
        <f>IF($U221="","",IF(INDEX('Per Invoice'!F$2:F$401,$U221)="","",INDEX('Per Invoice'!F$2:F$401,$U221)))</f>
        <v/>
      </c>
      <c r="G221">
        <f>IF($U221="","",IF(INDEX('Per Invoice'!G$2:G$401,$U221)="","",INDEX('Per Invoice'!G$2:G$401,$U221)))</f>
        <v/>
      </c>
      <c r="H221" s="7">
        <f>IF($U221="","",IF(INDEX('Per Invoice'!H$2:H$401,$U221)="","",INDEX('Per Invoice'!H$2:H$401,$U221)))</f>
        <v/>
      </c>
      <c r="I221" s="14">
        <f>IF($U221="","",IF(INDEX('Per Invoice'!I$2:I$401,$U221)="","",INDEX('Per Invoice'!I$2:I$401,$U221)))</f>
        <v/>
      </c>
      <c r="J221">
        <f>IF($U221="","",IF(INDEX('Per Invoice'!J$2:J$401,$U221)="","",INDEX('Per Invoice'!J$2:J$401,$U221)))</f>
        <v/>
      </c>
      <c r="K221">
        <f>IF($U221="","",IF(INDEX('Per Invoice'!K$2:K$401,$U221)="","",INDEX('Per Invoice'!K$2:K$401,$U221)))</f>
        <v/>
      </c>
      <c r="L221" s="7">
        <f>IF($U221="","",IF(INDEX('Per Invoice'!L$2:L$401,$U221)="","",INDEX('Per Invoice'!L$2:L$401,$U221)))</f>
        <v/>
      </c>
      <c r="M221" s="7">
        <f>IF($U221="","",IF(INDEX('Per Invoice'!M$2:M$401,$U221)="","",INDEX('Per Invoice'!M$2:M$401,$U221)))</f>
        <v/>
      </c>
      <c r="N221">
        <f>IF($U221="","",IF(INDEX('Per Invoice'!N$2:N$401,$U221)="","",INDEX('Per Invoice'!N$2:N$401,$U221)))</f>
        <v/>
      </c>
      <c r="O221" s="7">
        <f>IF($U221="","",IF(INDEX('Per Invoice'!O$2:O$401,$U221)="","",INDEX('Per Invoice'!O$2:O$401,$U221)))</f>
        <v/>
      </c>
      <c r="P221" s="7">
        <f>IF($U221="","",IF(INDEX('Per Invoice'!P$2:P$401,$U221)="","",INDEX('Per Invoice'!P$2:P$401,$U221)))</f>
        <v/>
      </c>
      <c r="Q221" s="7">
        <f>IF($U221="","",IF(INDEX('Per Invoice'!Q$2:Q$401,$U221)="","",INDEX('Per Invoice'!Q$2:Q$401,$U221)))</f>
        <v/>
      </c>
      <c r="R221" s="7">
        <f>IF($U221="","",IF(INDEX('Per Invoice'!R$2:R$401,$U221)="","",INDEX('Per Invoice'!R$2:R$401,$U221)))</f>
        <v/>
      </c>
      <c r="S221" s="7">
        <f>IF($U221="","",IF(INDEX('Per Invoice'!S$2:S$401,$U221)="","",INDEX('Per Invoice'!S$2:S$401,$U221)))</f>
        <v/>
      </c>
      <c r="T221" s="7">
        <f>IF($U221="","",IF(INDEX('Per Invoice'!T$2:T$401,$U221)="","",INDEX('Per Invoice'!T$2:T$401,$U221)))</f>
        <v/>
      </c>
      <c r="U221" s="16">
        <f>IFERROR(MATCH(Settings!$C$30&amp;"|"&amp;ROWS($U$2:$U221),'Per Invoice'!$V$2:$V$401,0),"")</f>
        <v/>
      </c>
    </row>
    <row r="222">
      <c r="A222">
        <f>IF($U222="","",IF(INDEX('Per Invoice'!A$2:A$401,$U222)="","",INDEX('Per Invoice'!A$2:A$401,$U222)))</f>
        <v/>
      </c>
      <c r="B222">
        <f>IF($U222="","",IF(INDEX('Per Invoice'!B$2:B$401,$U222)="","",INDEX('Per Invoice'!B$2:B$401,$U222)))</f>
        <v/>
      </c>
      <c r="C222">
        <f>IF($U222="","",IF(INDEX('Per Invoice'!C$2:C$401,$U222)="","",INDEX('Per Invoice'!C$2:C$401,$U222)))</f>
        <v/>
      </c>
      <c r="D222">
        <f>IF($U222="","",IF(INDEX('Per Invoice'!D$2:D$401,$U222)="","",INDEX('Per Invoice'!D$2:D$401,$U222)))</f>
        <v/>
      </c>
      <c r="E222">
        <f>IF($U222="","",IF(INDEX('Per Invoice'!E$2:E$401,$U222)="","",INDEX('Per Invoice'!E$2:E$401,$U222)))</f>
        <v/>
      </c>
      <c r="F222">
        <f>IF($U222="","",IF(INDEX('Per Invoice'!F$2:F$401,$U222)="","",INDEX('Per Invoice'!F$2:F$401,$U222)))</f>
        <v/>
      </c>
      <c r="G222">
        <f>IF($U222="","",IF(INDEX('Per Invoice'!G$2:G$401,$U222)="","",INDEX('Per Invoice'!G$2:G$401,$U222)))</f>
        <v/>
      </c>
      <c r="H222" s="7">
        <f>IF($U222="","",IF(INDEX('Per Invoice'!H$2:H$401,$U222)="","",INDEX('Per Invoice'!H$2:H$401,$U222)))</f>
        <v/>
      </c>
      <c r="I222" s="14">
        <f>IF($U222="","",IF(INDEX('Per Invoice'!I$2:I$401,$U222)="","",INDEX('Per Invoice'!I$2:I$401,$U222)))</f>
        <v/>
      </c>
      <c r="J222">
        <f>IF($U222="","",IF(INDEX('Per Invoice'!J$2:J$401,$U222)="","",INDEX('Per Invoice'!J$2:J$401,$U222)))</f>
        <v/>
      </c>
      <c r="K222">
        <f>IF($U222="","",IF(INDEX('Per Invoice'!K$2:K$401,$U222)="","",INDEX('Per Invoice'!K$2:K$401,$U222)))</f>
        <v/>
      </c>
      <c r="L222" s="7">
        <f>IF($U222="","",IF(INDEX('Per Invoice'!L$2:L$401,$U222)="","",INDEX('Per Invoice'!L$2:L$401,$U222)))</f>
        <v/>
      </c>
      <c r="M222" s="7">
        <f>IF($U222="","",IF(INDEX('Per Invoice'!M$2:M$401,$U222)="","",INDEX('Per Invoice'!M$2:M$401,$U222)))</f>
        <v/>
      </c>
      <c r="N222">
        <f>IF($U222="","",IF(INDEX('Per Invoice'!N$2:N$401,$U222)="","",INDEX('Per Invoice'!N$2:N$401,$U222)))</f>
        <v/>
      </c>
      <c r="O222" s="7">
        <f>IF($U222="","",IF(INDEX('Per Invoice'!O$2:O$401,$U222)="","",INDEX('Per Invoice'!O$2:O$401,$U222)))</f>
        <v/>
      </c>
      <c r="P222" s="7">
        <f>IF($U222="","",IF(INDEX('Per Invoice'!P$2:P$401,$U222)="","",INDEX('Per Invoice'!P$2:P$401,$U222)))</f>
        <v/>
      </c>
      <c r="Q222" s="7">
        <f>IF($U222="","",IF(INDEX('Per Invoice'!Q$2:Q$401,$U222)="","",INDEX('Per Invoice'!Q$2:Q$401,$U222)))</f>
        <v/>
      </c>
      <c r="R222" s="7">
        <f>IF($U222="","",IF(INDEX('Per Invoice'!R$2:R$401,$U222)="","",INDEX('Per Invoice'!R$2:R$401,$U222)))</f>
        <v/>
      </c>
      <c r="S222" s="7">
        <f>IF($U222="","",IF(INDEX('Per Invoice'!S$2:S$401,$U222)="","",INDEX('Per Invoice'!S$2:S$401,$U222)))</f>
        <v/>
      </c>
      <c r="T222" s="7">
        <f>IF($U222="","",IF(INDEX('Per Invoice'!T$2:T$401,$U222)="","",INDEX('Per Invoice'!T$2:T$401,$U222)))</f>
        <v/>
      </c>
      <c r="U222" s="16">
        <f>IFERROR(MATCH(Settings!$C$30&amp;"|"&amp;ROWS($U$2:$U222),'Per Invoice'!$V$2:$V$401,0),"")</f>
        <v/>
      </c>
    </row>
    <row r="223">
      <c r="A223">
        <f>IF($U223="","",IF(INDEX('Per Invoice'!A$2:A$401,$U223)="","",INDEX('Per Invoice'!A$2:A$401,$U223)))</f>
        <v/>
      </c>
      <c r="B223">
        <f>IF($U223="","",IF(INDEX('Per Invoice'!B$2:B$401,$U223)="","",INDEX('Per Invoice'!B$2:B$401,$U223)))</f>
        <v/>
      </c>
      <c r="C223">
        <f>IF($U223="","",IF(INDEX('Per Invoice'!C$2:C$401,$U223)="","",INDEX('Per Invoice'!C$2:C$401,$U223)))</f>
        <v/>
      </c>
      <c r="D223">
        <f>IF($U223="","",IF(INDEX('Per Invoice'!D$2:D$401,$U223)="","",INDEX('Per Invoice'!D$2:D$401,$U223)))</f>
        <v/>
      </c>
      <c r="E223">
        <f>IF($U223="","",IF(INDEX('Per Invoice'!E$2:E$401,$U223)="","",INDEX('Per Invoice'!E$2:E$401,$U223)))</f>
        <v/>
      </c>
      <c r="F223">
        <f>IF($U223="","",IF(INDEX('Per Invoice'!F$2:F$401,$U223)="","",INDEX('Per Invoice'!F$2:F$401,$U223)))</f>
        <v/>
      </c>
      <c r="G223">
        <f>IF($U223="","",IF(INDEX('Per Invoice'!G$2:G$401,$U223)="","",INDEX('Per Invoice'!G$2:G$401,$U223)))</f>
        <v/>
      </c>
      <c r="H223" s="7">
        <f>IF($U223="","",IF(INDEX('Per Invoice'!H$2:H$401,$U223)="","",INDEX('Per Invoice'!H$2:H$401,$U223)))</f>
        <v/>
      </c>
      <c r="I223" s="14">
        <f>IF($U223="","",IF(INDEX('Per Invoice'!I$2:I$401,$U223)="","",INDEX('Per Invoice'!I$2:I$401,$U223)))</f>
        <v/>
      </c>
      <c r="J223">
        <f>IF($U223="","",IF(INDEX('Per Invoice'!J$2:J$401,$U223)="","",INDEX('Per Invoice'!J$2:J$401,$U223)))</f>
        <v/>
      </c>
      <c r="K223">
        <f>IF($U223="","",IF(INDEX('Per Invoice'!K$2:K$401,$U223)="","",INDEX('Per Invoice'!K$2:K$401,$U223)))</f>
        <v/>
      </c>
      <c r="L223" s="7">
        <f>IF($U223="","",IF(INDEX('Per Invoice'!L$2:L$401,$U223)="","",INDEX('Per Invoice'!L$2:L$401,$U223)))</f>
        <v/>
      </c>
      <c r="M223" s="7">
        <f>IF($U223="","",IF(INDEX('Per Invoice'!M$2:M$401,$U223)="","",INDEX('Per Invoice'!M$2:M$401,$U223)))</f>
        <v/>
      </c>
      <c r="N223">
        <f>IF($U223="","",IF(INDEX('Per Invoice'!N$2:N$401,$U223)="","",INDEX('Per Invoice'!N$2:N$401,$U223)))</f>
        <v/>
      </c>
      <c r="O223" s="7">
        <f>IF($U223="","",IF(INDEX('Per Invoice'!O$2:O$401,$U223)="","",INDEX('Per Invoice'!O$2:O$401,$U223)))</f>
        <v/>
      </c>
      <c r="P223" s="7">
        <f>IF($U223="","",IF(INDEX('Per Invoice'!P$2:P$401,$U223)="","",INDEX('Per Invoice'!P$2:P$401,$U223)))</f>
        <v/>
      </c>
      <c r="Q223" s="7">
        <f>IF($U223="","",IF(INDEX('Per Invoice'!Q$2:Q$401,$U223)="","",INDEX('Per Invoice'!Q$2:Q$401,$U223)))</f>
        <v/>
      </c>
      <c r="R223" s="7">
        <f>IF($U223="","",IF(INDEX('Per Invoice'!R$2:R$401,$U223)="","",INDEX('Per Invoice'!R$2:R$401,$U223)))</f>
        <v/>
      </c>
      <c r="S223" s="7">
        <f>IF($U223="","",IF(INDEX('Per Invoice'!S$2:S$401,$U223)="","",INDEX('Per Invoice'!S$2:S$401,$U223)))</f>
        <v/>
      </c>
      <c r="T223" s="7">
        <f>IF($U223="","",IF(INDEX('Per Invoice'!T$2:T$401,$U223)="","",INDEX('Per Invoice'!T$2:T$401,$U223)))</f>
        <v/>
      </c>
      <c r="U223" s="16">
        <f>IFERROR(MATCH(Settings!$C$30&amp;"|"&amp;ROWS($U$2:$U223),'Per Invoice'!$V$2:$V$401,0),"")</f>
        <v/>
      </c>
    </row>
    <row r="224">
      <c r="A224">
        <f>IF($U224="","",IF(INDEX('Per Invoice'!A$2:A$401,$U224)="","",INDEX('Per Invoice'!A$2:A$401,$U224)))</f>
        <v/>
      </c>
      <c r="B224">
        <f>IF($U224="","",IF(INDEX('Per Invoice'!B$2:B$401,$U224)="","",INDEX('Per Invoice'!B$2:B$401,$U224)))</f>
        <v/>
      </c>
      <c r="C224">
        <f>IF($U224="","",IF(INDEX('Per Invoice'!C$2:C$401,$U224)="","",INDEX('Per Invoice'!C$2:C$401,$U224)))</f>
        <v/>
      </c>
      <c r="D224">
        <f>IF($U224="","",IF(INDEX('Per Invoice'!D$2:D$401,$U224)="","",INDEX('Per Invoice'!D$2:D$401,$U224)))</f>
        <v/>
      </c>
      <c r="E224">
        <f>IF($U224="","",IF(INDEX('Per Invoice'!E$2:E$401,$U224)="","",INDEX('Per Invoice'!E$2:E$401,$U224)))</f>
        <v/>
      </c>
      <c r="F224">
        <f>IF($U224="","",IF(INDEX('Per Invoice'!F$2:F$401,$U224)="","",INDEX('Per Invoice'!F$2:F$401,$U224)))</f>
        <v/>
      </c>
      <c r="G224">
        <f>IF($U224="","",IF(INDEX('Per Invoice'!G$2:G$401,$U224)="","",INDEX('Per Invoice'!G$2:G$401,$U224)))</f>
        <v/>
      </c>
      <c r="H224" s="7">
        <f>IF($U224="","",IF(INDEX('Per Invoice'!H$2:H$401,$U224)="","",INDEX('Per Invoice'!H$2:H$401,$U224)))</f>
        <v/>
      </c>
      <c r="I224" s="14">
        <f>IF($U224="","",IF(INDEX('Per Invoice'!I$2:I$401,$U224)="","",INDEX('Per Invoice'!I$2:I$401,$U224)))</f>
        <v/>
      </c>
      <c r="J224">
        <f>IF($U224="","",IF(INDEX('Per Invoice'!J$2:J$401,$U224)="","",INDEX('Per Invoice'!J$2:J$401,$U224)))</f>
        <v/>
      </c>
      <c r="K224">
        <f>IF($U224="","",IF(INDEX('Per Invoice'!K$2:K$401,$U224)="","",INDEX('Per Invoice'!K$2:K$401,$U224)))</f>
        <v/>
      </c>
      <c r="L224" s="7">
        <f>IF($U224="","",IF(INDEX('Per Invoice'!L$2:L$401,$U224)="","",INDEX('Per Invoice'!L$2:L$401,$U224)))</f>
        <v/>
      </c>
      <c r="M224" s="7">
        <f>IF($U224="","",IF(INDEX('Per Invoice'!M$2:M$401,$U224)="","",INDEX('Per Invoice'!M$2:M$401,$U224)))</f>
        <v/>
      </c>
      <c r="N224">
        <f>IF($U224="","",IF(INDEX('Per Invoice'!N$2:N$401,$U224)="","",INDEX('Per Invoice'!N$2:N$401,$U224)))</f>
        <v/>
      </c>
      <c r="O224" s="7">
        <f>IF($U224="","",IF(INDEX('Per Invoice'!O$2:O$401,$U224)="","",INDEX('Per Invoice'!O$2:O$401,$U224)))</f>
        <v/>
      </c>
      <c r="P224" s="7">
        <f>IF($U224="","",IF(INDEX('Per Invoice'!P$2:P$401,$U224)="","",INDEX('Per Invoice'!P$2:P$401,$U224)))</f>
        <v/>
      </c>
      <c r="Q224" s="7">
        <f>IF($U224="","",IF(INDEX('Per Invoice'!Q$2:Q$401,$U224)="","",INDEX('Per Invoice'!Q$2:Q$401,$U224)))</f>
        <v/>
      </c>
      <c r="R224" s="7">
        <f>IF($U224="","",IF(INDEX('Per Invoice'!R$2:R$401,$U224)="","",INDEX('Per Invoice'!R$2:R$401,$U224)))</f>
        <v/>
      </c>
      <c r="S224" s="7">
        <f>IF($U224="","",IF(INDEX('Per Invoice'!S$2:S$401,$U224)="","",INDEX('Per Invoice'!S$2:S$401,$U224)))</f>
        <v/>
      </c>
      <c r="T224" s="7">
        <f>IF($U224="","",IF(INDEX('Per Invoice'!T$2:T$401,$U224)="","",INDEX('Per Invoice'!T$2:T$401,$U224)))</f>
        <v/>
      </c>
      <c r="U224" s="16">
        <f>IFERROR(MATCH(Settings!$C$30&amp;"|"&amp;ROWS($U$2:$U224),'Per Invoice'!$V$2:$V$401,0),"")</f>
        <v/>
      </c>
    </row>
    <row r="225">
      <c r="A225">
        <f>IF($U225="","",IF(INDEX('Per Invoice'!A$2:A$401,$U225)="","",INDEX('Per Invoice'!A$2:A$401,$U225)))</f>
        <v/>
      </c>
      <c r="B225">
        <f>IF($U225="","",IF(INDEX('Per Invoice'!B$2:B$401,$U225)="","",INDEX('Per Invoice'!B$2:B$401,$U225)))</f>
        <v/>
      </c>
      <c r="C225">
        <f>IF($U225="","",IF(INDEX('Per Invoice'!C$2:C$401,$U225)="","",INDEX('Per Invoice'!C$2:C$401,$U225)))</f>
        <v/>
      </c>
      <c r="D225">
        <f>IF($U225="","",IF(INDEX('Per Invoice'!D$2:D$401,$U225)="","",INDEX('Per Invoice'!D$2:D$401,$U225)))</f>
        <v/>
      </c>
      <c r="E225">
        <f>IF($U225="","",IF(INDEX('Per Invoice'!E$2:E$401,$U225)="","",INDEX('Per Invoice'!E$2:E$401,$U225)))</f>
        <v/>
      </c>
      <c r="F225">
        <f>IF($U225="","",IF(INDEX('Per Invoice'!F$2:F$401,$U225)="","",INDEX('Per Invoice'!F$2:F$401,$U225)))</f>
        <v/>
      </c>
      <c r="G225">
        <f>IF($U225="","",IF(INDEX('Per Invoice'!G$2:G$401,$U225)="","",INDEX('Per Invoice'!G$2:G$401,$U225)))</f>
        <v/>
      </c>
      <c r="H225" s="7">
        <f>IF($U225="","",IF(INDEX('Per Invoice'!H$2:H$401,$U225)="","",INDEX('Per Invoice'!H$2:H$401,$U225)))</f>
        <v/>
      </c>
      <c r="I225" s="14">
        <f>IF($U225="","",IF(INDEX('Per Invoice'!I$2:I$401,$U225)="","",INDEX('Per Invoice'!I$2:I$401,$U225)))</f>
        <v/>
      </c>
      <c r="J225">
        <f>IF($U225="","",IF(INDEX('Per Invoice'!J$2:J$401,$U225)="","",INDEX('Per Invoice'!J$2:J$401,$U225)))</f>
        <v/>
      </c>
      <c r="K225">
        <f>IF($U225="","",IF(INDEX('Per Invoice'!K$2:K$401,$U225)="","",INDEX('Per Invoice'!K$2:K$401,$U225)))</f>
        <v/>
      </c>
      <c r="L225" s="7">
        <f>IF($U225="","",IF(INDEX('Per Invoice'!L$2:L$401,$U225)="","",INDEX('Per Invoice'!L$2:L$401,$U225)))</f>
        <v/>
      </c>
      <c r="M225" s="7">
        <f>IF($U225="","",IF(INDEX('Per Invoice'!M$2:M$401,$U225)="","",INDEX('Per Invoice'!M$2:M$401,$U225)))</f>
        <v/>
      </c>
      <c r="N225">
        <f>IF($U225="","",IF(INDEX('Per Invoice'!N$2:N$401,$U225)="","",INDEX('Per Invoice'!N$2:N$401,$U225)))</f>
        <v/>
      </c>
      <c r="O225" s="7">
        <f>IF($U225="","",IF(INDEX('Per Invoice'!O$2:O$401,$U225)="","",INDEX('Per Invoice'!O$2:O$401,$U225)))</f>
        <v/>
      </c>
      <c r="P225" s="7">
        <f>IF($U225="","",IF(INDEX('Per Invoice'!P$2:P$401,$U225)="","",INDEX('Per Invoice'!P$2:P$401,$U225)))</f>
        <v/>
      </c>
      <c r="Q225" s="7">
        <f>IF($U225="","",IF(INDEX('Per Invoice'!Q$2:Q$401,$U225)="","",INDEX('Per Invoice'!Q$2:Q$401,$U225)))</f>
        <v/>
      </c>
      <c r="R225" s="7">
        <f>IF($U225="","",IF(INDEX('Per Invoice'!R$2:R$401,$U225)="","",INDEX('Per Invoice'!R$2:R$401,$U225)))</f>
        <v/>
      </c>
      <c r="S225" s="7">
        <f>IF($U225="","",IF(INDEX('Per Invoice'!S$2:S$401,$U225)="","",INDEX('Per Invoice'!S$2:S$401,$U225)))</f>
        <v/>
      </c>
      <c r="T225" s="7">
        <f>IF($U225="","",IF(INDEX('Per Invoice'!T$2:T$401,$U225)="","",INDEX('Per Invoice'!T$2:T$401,$U225)))</f>
        <v/>
      </c>
      <c r="U225" s="16">
        <f>IFERROR(MATCH(Settings!$C$30&amp;"|"&amp;ROWS($U$2:$U225),'Per Invoice'!$V$2:$V$401,0),"")</f>
        <v/>
      </c>
    </row>
    <row r="226">
      <c r="A226">
        <f>IF($U226="","",IF(INDEX('Per Invoice'!A$2:A$401,$U226)="","",INDEX('Per Invoice'!A$2:A$401,$U226)))</f>
        <v/>
      </c>
      <c r="B226">
        <f>IF($U226="","",IF(INDEX('Per Invoice'!B$2:B$401,$U226)="","",INDEX('Per Invoice'!B$2:B$401,$U226)))</f>
        <v/>
      </c>
      <c r="C226">
        <f>IF($U226="","",IF(INDEX('Per Invoice'!C$2:C$401,$U226)="","",INDEX('Per Invoice'!C$2:C$401,$U226)))</f>
        <v/>
      </c>
      <c r="D226">
        <f>IF($U226="","",IF(INDEX('Per Invoice'!D$2:D$401,$U226)="","",INDEX('Per Invoice'!D$2:D$401,$U226)))</f>
        <v/>
      </c>
      <c r="E226">
        <f>IF($U226="","",IF(INDEX('Per Invoice'!E$2:E$401,$U226)="","",INDEX('Per Invoice'!E$2:E$401,$U226)))</f>
        <v/>
      </c>
      <c r="F226">
        <f>IF($U226="","",IF(INDEX('Per Invoice'!F$2:F$401,$U226)="","",INDEX('Per Invoice'!F$2:F$401,$U226)))</f>
        <v/>
      </c>
      <c r="G226">
        <f>IF($U226="","",IF(INDEX('Per Invoice'!G$2:G$401,$U226)="","",INDEX('Per Invoice'!G$2:G$401,$U226)))</f>
        <v/>
      </c>
      <c r="H226" s="7">
        <f>IF($U226="","",IF(INDEX('Per Invoice'!H$2:H$401,$U226)="","",INDEX('Per Invoice'!H$2:H$401,$U226)))</f>
        <v/>
      </c>
      <c r="I226" s="14">
        <f>IF($U226="","",IF(INDEX('Per Invoice'!I$2:I$401,$U226)="","",INDEX('Per Invoice'!I$2:I$401,$U226)))</f>
        <v/>
      </c>
      <c r="J226">
        <f>IF($U226="","",IF(INDEX('Per Invoice'!J$2:J$401,$U226)="","",INDEX('Per Invoice'!J$2:J$401,$U226)))</f>
        <v/>
      </c>
      <c r="K226">
        <f>IF($U226="","",IF(INDEX('Per Invoice'!K$2:K$401,$U226)="","",INDEX('Per Invoice'!K$2:K$401,$U226)))</f>
        <v/>
      </c>
      <c r="L226" s="7">
        <f>IF($U226="","",IF(INDEX('Per Invoice'!L$2:L$401,$U226)="","",INDEX('Per Invoice'!L$2:L$401,$U226)))</f>
        <v/>
      </c>
      <c r="M226" s="7">
        <f>IF($U226="","",IF(INDEX('Per Invoice'!M$2:M$401,$U226)="","",INDEX('Per Invoice'!M$2:M$401,$U226)))</f>
        <v/>
      </c>
      <c r="N226">
        <f>IF($U226="","",IF(INDEX('Per Invoice'!N$2:N$401,$U226)="","",INDEX('Per Invoice'!N$2:N$401,$U226)))</f>
        <v/>
      </c>
      <c r="O226" s="7">
        <f>IF($U226="","",IF(INDEX('Per Invoice'!O$2:O$401,$U226)="","",INDEX('Per Invoice'!O$2:O$401,$U226)))</f>
        <v/>
      </c>
      <c r="P226" s="7">
        <f>IF($U226="","",IF(INDEX('Per Invoice'!P$2:P$401,$U226)="","",INDEX('Per Invoice'!P$2:P$401,$U226)))</f>
        <v/>
      </c>
      <c r="Q226" s="7">
        <f>IF($U226="","",IF(INDEX('Per Invoice'!Q$2:Q$401,$U226)="","",INDEX('Per Invoice'!Q$2:Q$401,$U226)))</f>
        <v/>
      </c>
      <c r="R226" s="7">
        <f>IF($U226="","",IF(INDEX('Per Invoice'!R$2:R$401,$U226)="","",INDEX('Per Invoice'!R$2:R$401,$U226)))</f>
        <v/>
      </c>
      <c r="S226" s="7">
        <f>IF($U226="","",IF(INDEX('Per Invoice'!S$2:S$401,$U226)="","",INDEX('Per Invoice'!S$2:S$401,$U226)))</f>
        <v/>
      </c>
      <c r="T226" s="7">
        <f>IF($U226="","",IF(INDEX('Per Invoice'!T$2:T$401,$U226)="","",INDEX('Per Invoice'!T$2:T$401,$U226)))</f>
        <v/>
      </c>
      <c r="U226" s="16">
        <f>IFERROR(MATCH(Settings!$C$30&amp;"|"&amp;ROWS($U$2:$U226),'Per Invoice'!$V$2:$V$401,0),"")</f>
        <v/>
      </c>
    </row>
    <row r="227">
      <c r="A227">
        <f>IF($U227="","",IF(INDEX('Per Invoice'!A$2:A$401,$U227)="","",INDEX('Per Invoice'!A$2:A$401,$U227)))</f>
        <v/>
      </c>
      <c r="B227">
        <f>IF($U227="","",IF(INDEX('Per Invoice'!B$2:B$401,$U227)="","",INDEX('Per Invoice'!B$2:B$401,$U227)))</f>
        <v/>
      </c>
      <c r="C227">
        <f>IF($U227="","",IF(INDEX('Per Invoice'!C$2:C$401,$U227)="","",INDEX('Per Invoice'!C$2:C$401,$U227)))</f>
        <v/>
      </c>
      <c r="D227">
        <f>IF($U227="","",IF(INDEX('Per Invoice'!D$2:D$401,$U227)="","",INDEX('Per Invoice'!D$2:D$401,$U227)))</f>
        <v/>
      </c>
      <c r="E227">
        <f>IF($U227="","",IF(INDEX('Per Invoice'!E$2:E$401,$U227)="","",INDEX('Per Invoice'!E$2:E$401,$U227)))</f>
        <v/>
      </c>
      <c r="F227">
        <f>IF($U227="","",IF(INDEX('Per Invoice'!F$2:F$401,$U227)="","",INDEX('Per Invoice'!F$2:F$401,$U227)))</f>
        <v/>
      </c>
      <c r="G227">
        <f>IF($U227="","",IF(INDEX('Per Invoice'!G$2:G$401,$U227)="","",INDEX('Per Invoice'!G$2:G$401,$U227)))</f>
        <v/>
      </c>
      <c r="H227" s="7">
        <f>IF($U227="","",IF(INDEX('Per Invoice'!H$2:H$401,$U227)="","",INDEX('Per Invoice'!H$2:H$401,$U227)))</f>
        <v/>
      </c>
      <c r="I227" s="14">
        <f>IF($U227="","",IF(INDEX('Per Invoice'!I$2:I$401,$U227)="","",INDEX('Per Invoice'!I$2:I$401,$U227)))</f>
        <v/>
      </c>
      <c r="J227">
        <f>IF($U227="","",IF(INDEX('Per Invoice'!J$2:J$401,$U227)="","",INDEX('Per Invoice'!J$2:J$401,$U227)))</f>
        <v/>
      </c>
      <c r="K227">
        <f>IF($U227="","",IF(INDEX('Per Invoice'!K$2:K$401,$U227)="","",INDEX('Per Invoice'!K$2:K$401,$U227)))</f>
        <v/>
      </c>
      <c r="L227" s="7">
        <f>IF($U227="","",IF(INDEX('Per Invoice'!L$2:L$401,$U227)="","",INDEX('Per Invoice'!L$2:L$401,$U227)))</f>
        <v/>
      </c>
      <c r="M227" s="7">
        <f>IF($U227="","",IF(INDEX('Per Invoice'!M$2:M$401,$U227)="","",INDEX('Per Invoice'!M$2:M$401,$U227)))</f>
        <v/>
      </c>
      <c r="N227">
        <f>IF($U227="","",IF(INDEX('Per Invoice'!N$2:N$401,$U227)="","",INDEX('Per Invoice'!N$2:N$401,$U227)))</f>
        <v/>
      </c>
      <c r="O227" s="7">
        <f>IF($U227="","",IF(INDEX('Per Invoice'!O$2:O$401,$U227)="","",INDEX('Per Invoice'!O$2:O$401,$U227)))</f>
        <v/>
      </c>
      <c r="P227" s="7">
        <f>IF($U227="","",IF(INDEX('Per Invoice'!P$2:P$401,$U227)="","",INDEX('Per Invoice'!P$2:P$401,$U227)))</f>
        <v/>
      </c>
      <c r="Q227" s="7">
        <f>IF($U227="","",IF(INDEX('Per Invoice'!Q$2:Q$401,$U227)="","",INDEX('Per Invoice'!Q$2:Q$401,$U227)))</f>
        <v/>
      </c>
      <c r="R227" s="7">
        <f>IF($U227="","",IF(INDEX('Per Invoice'!R$2:R$401,$U227)="","",INDEX('Per Invoice'!R$2:R$401,$U227)))</f>
        <v/>
      </c>
      <c r="S227" s="7">
        <f>IF($U227="","",IF(INDEX('Per Invoice'!S$2:S$401,$U227)="","",INDEX('Per Invoice'!S$2:S$401,$U227)))</f>
        <v/>
      </c>
      <c r="T227" s="7">
        <f>IF($U227="","",IF(INDEX('Per Invoice'!T$2:T$401,$U227)="","",INDEX('Per Invoice'!T$2:T$401,$U227)))</f>
        <v/>
      </c>
      <c r="U227" s="16">
        <f>IFERROR(MATCH(Settings!$C$30&amp;"|"&amp;ROWS($U$2:$U227),'Per Invoice'!$V$2:$V$401,0),"")</f>
        <v/>
      </c>
    </row>
    <row r="228">
      <c r="A228">
        <f>IF($U228="","",IF(INDEX('Per Invoice'!A$2:A$401,$U228)="","",INDEX('Per Invoice'!A$2:A$401,$U228)))</f>
        <v/>
      </c>
      <c r="B228">
        <f>IF($U228="","",IF(INDEX('Per Invoice'!B$2:B$401,$U228)="","",INDEX('Per Invoice'!B$2:B$401,$U228)))</f>
        <v/>
      </c>
      <c r="C228">
        <f>IF($U228="","",IF(INDEX('Per Invoice'!C$2:C$401,$U228)="","",INDEX('Per Invoice'!C$2:C$401,$U228)))</f>
        <v/>
      </c>
      <c r="D228">
        <f>IF($U228="","",IF(INDEX('Per Invoice'!D$2:D$401,$U228)="","",INDEX('Per Invoice'!D$2:D$401,$U228)))</f>
        <v/>
      </c>
      <c r="E228">
        <f>IF($U228="","",IF(INDEX('Per Invoice'!E$2:E$401,$U228)="","",INDEX('Per Invoice'!E$2:E$401,$U228)))</f>
        <v/>
      </c>
      <c r="F228">
        <f>IF($U228="","",IF(INDEX('Per Invoice'!F$2:F$401,$U228)="","",INDEX('Per Invoice'!F$2:F$401,$U228)))</f>
        <v/>
      </c>
      <c r="G228">
        <f>IF($U228="","",IF(INDEX('Per Invoice'!G$2:G$401,$U228)="","",INDEX('Per Invoice'!G$2:G$401,$U228)))</f>
        <v/>
      </c>
      <c r="H228" s="7">
        <f>IF($U228="","",IF(INDEX('Per Invoice'!H$2:H$401,$U228)="","",INDEX('Per Invoice'!H$2:H$401,$U228)))</f>
        <v/>
      </c>
      <c r="I228" s="14">
        <f>IF($U228="","",IF(INDEX('Per Invoice'!I$2:I$401,$U228)="","",INDEX('Per Invoice'!I$2:I$401,$U228)))</f>
        <v/>
      </c>
      <c r="J228">
        <f>IF($U228="","",IF(INDEX('Per Invoice'!J$2:J$401,$U228)="","",INDEX('Per Invoice'!J$2:J$401,$U228)))</f>
        <v/>
      </c>
      <c r="K228">
        <f>IF($U228="","",IF(INDEX('Per Invoice'!K$2:K$401,$U228)="","",INDEX('Per Invoice'!K$2:K$401,$U228)))</f>
        <v/>
      </c>
      <c r="L228" s="7">
        <f>IF($U228="","",IF(INDEX('Per Invoice'!L$2:L$401,$U228)="","",INDEX('Per Invoice'!L$2:L$401,$U228)))</f>
        <v/>
      </c>
      <c r="M228" s="7">
        <f>IF($U228="","",IF(INDEX('Per Invoice'!M$2:M$401,$U228)="","",INDEX('Per Invoice'!M$2:M$401,$U228)))</f>
        <v/>
      </c>
      <c r="N228">
        <f>IF($U228="","",IF(INDEX('Per Invoice'!N$2:N$401,$U228)="","",INDEX('Per Invoice'!N$2:N$401,$U228)))</f>
        <v/>
      </c>
      <c r="O228" s="7">
        <f>IF($U228="","",IF(INDEX('Per Invoice'!O$2:O$401,$U228)="","",INDEX('Per Invoice'!O$2:O$401,$U228)))</f>
        <v/>
      </c>
      <c r="P228" s="7">
        <f>IF($U228="","",IF(INDEX('Per Invoice'!P$2:P$401,$U228)="","",INDEX('Per Invoice'!P$2:P$401,$U228)))</f>
        <v/>
      </c>
      <c r="Q228" s="7">
        <f>IF($U228="","",IF(INDEX('Per Invoice'!Q$2:Q$401,$U228)="","",INDEX('Per Invoice'!Q$2:Q$401,$U228)))</f>
        <v/>
      </c>
      <c r="R228" s="7">
        <f>IF($U228="","",IF(INDEX('Per Invoice'!R$2:R$401,$U228)="","",INDEX('Per Invoice'!R$2:R$401,$U228)))</f>
        <v/>
      </c>
      <c r="S228" s="7">
        <f>IF($U228="","",IF(INDEX('Per Invoice'!S$2:S$401,$U228)="","",INDEX('Per Invoice'!S$2:S$401,$U228)))</f>
        <v/>
      </c>
      <c r="T228" s="7">
        <f>IF($U228="","",IF(INDEX('Per Invoice'!T$2:T$401,$U228)="","",INDEX('Per Invoice'!T$2:T$401,$U228)))</f>
        <v/>
      </c>
      <c r="U228" s="16">
        <f>IFERROR(MATCH(Settings!$C$30&amp;"|"&amp;ROWS($U$2:$U228),'Per Invoice'!$V$2:$V$401,0),"")</f>
        <v/>
      </c>
    </row>
    <row r="229">
      <c r="A229">
        <f>IF($U229="","",IF(INDEX('Per Invoice'!A$2:A$401,$U229)="","",INDEX('Per Invoice'!A$2:A$401,$U229)))</f>
        <v/>
      </c>
      <c r="B229">
        <f>IF($U229="","",IF(INDEX('Per Invoice'!B$2:B$401,$U229)="","",INDEX('Per Invoice'!B$2:B$401,$U229)))</f>
        <v/>
      </c>
      <c r="C229">
        <f>IF($U229="","",IF(INDEX('Per Invoice'!C$2:C$401,$U229)="","",INDEX('Per Invoice'!C$2:C$401,$U229)))</f>
        <v/>
      </c>
      <c r="D229">
        <f>IF($U229="","",IF(INDEX('Per Invoice'!D$2:D$401,$U229)="","",INDEX('Per Invoice'!D$2:D$401,$U229)))</f>
        <v/>
      </c>
      <c r="E229">
        <f>IF($U229="","",IF(INDEX('Per Invoice'!E$2:E$401,$U229)="","",INDEX('Per Invoice'!E$2:E$401,$U229)))</f>
        <v/>
      </c>
      <c r="F229">
        <f>IF($U229="","",IF(INDEX('Per Invoice'!F$2:F$401,$U229)="","",INDEX('Per Invoice'!F$2:F$401,$U229)))</f>
        <v/>
      </c>
      <c r="G229">
        <f>IF($U229="","",IF(INDEX('Per Invoice'!G$2:G$401,$U229)="","",INDEX('Per Invoice'!G$2:G$401,$U229)))</f>
        <v/>
      </c>
      <c r="H229" s="7">
        <f>IF($U229="","",IF(INDEX('Per Invoice'!H$2:H$401,$U229)="","",INDEX('Per Invoice'!H$2:H$401,$U229)))</f>
        <v/>
      </c>
      <c r="I229" s="14">
        <f>IF($U229="","",IF(INDEX('Per Invoice'!I$2:I$401,$U229)="","",INDEX('Per Invoice'!I$2:I$401,$U229)))</f>
        <v/>
      </c>
      <c r="J229">
        <f>IF($U229="","",IF(INDEX('Per Invoice'!J$2:J$401,$U229)="","",INDEX('Per Invoice'!J$2:J$401,$U229)))</f>
        <v/>
      </c>
      <c r="K229">
        <f>IF($U229="","",IF(INDEX('Per Invoice'!K$2:K$401,$U229)="","",INDEX('Per Invoice'!K$2:K$401,$U229)))</f>
        <v/>
      </c>
      <c r="L229" s="7">
        <f>IF($U229="","",IF(INDEX('Per Invoice'!L$2:L$401,$U229)="","",INDEX('Per Invoice'!L$2:L$401,$U229)))</f>
        <v/>
      </c>
      <c r="M229" s="7">
        <f>IF($U229="","",IF(INDEX('Per Invoice'!M$2:M$401,$U229)="","",INDEX('Per Invoice'!M$2:M$401,$U229)))</f>
        <v/>
      </c>
      <c r="N229">
        <f>IF($U229="","",IF(INDEX('Per Invoice'!N$2:N$401,$U229)="","",INDEX('Per Invoice'!N$2:N$401,$U229)))</f>
        <v/>
      </c>
      <c r="O229" s="7">
        <f>IF($U229="","",IF(INDEX('Per Invoice'!O$2:O$401,$U229)="","",INDEX('Per Invoice'!O$2:O$401,$U229)))</f>
        <v/>
      </c>
      <c r="P229" s="7">
        <f>IF($U229="","",IF(INDEX('Per Invoice'!P$2:P$401,$U229)="","",INDEX('Per Invoice'!P$2:P$401,$U229)))</f>
        <v/>
      </c>
      <c r="Q229" s="7">
        <f>IF($U229="","",IF(INDEX('Per Invoice'!Q$2:Q$401,$U229)="","",INDEX('Per Invoice'!Q$2:Q$401,$U229)))</f>
        <v/>
      </c>
      <c r="R229" s="7">
        <f>IF($U229="","",IF(INDEX('Per Invoice'!R$2:R$401,$U229)="","",INDEX('Per Invoice'!R$2:R$401,$U229)))</f>
        <v/>
      </c>
      <c r="S229" s="7">
        <f>IF($U229="","",IF(INDEX('Per Invoice'!S$2:S$401,$U229)="","",INDEX('Per Invoice'!S$2:S$401,$U229)))</f>
        <v/>
      </c>
      <c r="T229" s="7">
        <f>IF($U229="","",IF(INDEX('Per Invoice'!T$2:T$401,$U229)="","",INDEX('Per Invoice'!T$2:T$401,$U229)))</f>
        <v/>
      </c>
      <c r="U229" s="16">
        <f>IFERROR(MATCH(Settings!$C$30&amp;"|"&amp;ROWS($U$2:$U229),'Per Invoice'!$V$2:$V$401,0),"")</f>
        <v/>
      </c>
    </row>
    <row r="230">
      <c r="A230">
        <f>IF($U230="","",IF(INDEX('Per Invoice'!A$2:A$401,$U230)="","",INDEX('Per Invoice'!A$2:A$401,$U230)))</f>
        <v/>
      </c>
      <c r="B230">
        <f>IF($U230="","",IF(INDEX('Per Invoice'!B$2:B$401,$U230)="","",INDEX('Per Invoice'!B$2:B$401,$U230)))</f>
        <v/>
      </c>
      <c r="C230">
        <f>IF($U230="","",IF(INDEX('Per Invoice'!C$2:C$401,$U230)="","",INDEX('Per Invoice'!C$2:C$401,$U230)))</f>
        <v/>
      </c>
      <c r="D230">
        <f>IF($U230="","",IF(INDEX('Per Invoice'!D$2:D$401,$U230)="","",INDEX('Per Invoice'!D$2:D$401,$U230)))</f>
        <v/>
      </c>
      <c r="E230">
        <f>IF($U230="","",IF(INDEX('Per Invoice'!E$2:E$401,$U230)="","",INDEX('Per Invoice'!E$2:E$401,$U230)))</f>
        <v/>
      </c>
      <c r="F230">
        <f>IF($U230="","",IF(INDEX('Per Invoice'!F$2:F$401,$U230)="","",INDEX('Per Invoice'!F$2:F$401,$U230)))</f>
        <v/>
      </c>
      <c r="G230">
        <f>IF($U230="","",IF(INDEX('Per Invoice'!G$2:G$401,$U230)="","",INDEX('Per Invoice'!G$2:G$401,$U230)))</f>
        <v/>
      </c>
      <c r="H230" s="7">
        <f>IF($U230="","",IF(INDEX('Per Invoice'!H$2:H$401,$U230)="","",INDEX('Per Invoice'!H$2:H$401,$U230)))</f>
        <v/>
      </c>
      <c r="I230" s="14">
        <f>IF($U230="","",IF(INDEX('Per Invoice'!I$2:I$401,$U230)="","",INDEX('Per Invoice'!I$2:I$401,$U230)))</f>
        <v/>
      </c>
      <c r="J230">
        <f>IF($U230="","",IF(INDEX('Per Invoice'!J$2:J$401,$U230)="","",INDEX('Per Invoice'!J$2:J$401,$U230)))</f>
        <v/>
      </c>
      <c r="K230">
        <f>IF($U230="","",IF(INDEX('Per Invoice'!K$2:K$401,$U230)="","",INDEX('Per Invoice'!K$2:K$401,$U230)))</f>
        <v/>
      </c>
      <c r="L230" s="7">
        <f>IF($U230="","",IF(INDEX('Per Invoice'!L$2:L$401,$U230)="","",INDEX('Per Invoice'!L$2:L$401,$U230)))</f>
        <v/>
      </c>
      <c r="M230" s="7">
        <f>IF($U230="","",IF(INDEX('Per Invoice'!M$2:M$401,$U230)="","",INDEX('Per Invoice'!M$2:M$401,$U230)))</f>
        <v/>
      </c>
      <c r="N230">
        <f>IF($U230="","",IF(INDEX('Per Invoice'!N$2:N$401,$U230)="","",INDEX('Per Invoice'!N$2:N$401,$U230)))</f>
        <v/>
      </c>
      <c r="O230" s="7">
        <f>IF($U230="","",IF(INDEX('Per Invoice'!O$2:O$401,$U230)="","",INDEX('Per Invoice'!O$2:O$401,$U230)))</f>
        <v/>
      </c>
      <c r="P230" s="7">
        <f>IF($U230="","",IF(INDEX('Per Invoice'!P$2:P$401,$U230)="","",INDEX('Per Invoice'!P$2:P$401,$U230)))</f>
        <v/>
      </c>
      <c r="Q230" s="7">
        <f>IF($U230="","",IF(INDEX('Per Invoice'!Q$2:Q$401,$U230)="","",INDEX('Per Invoice'!Q$2:Q$401,$U230)))</f>
        <v/>
      </c>
      <c r="R230" s="7">
        <f>IF($U230="","",IF(INDEX('Per Invoice'!R$2:R$401,$U230)="","",INDEX('Per Invoice'!R$2:R$401,$U230)))</f>
        <v/>
      </c>
      <c r="S230" s="7">
        <f>IF($U230="","",IF(INDEX('Per Invoice'!S$2:S$401,$U230)="","",INDEX('Per Invoice'!S$2:S$401,$U230)))</f>
        <v/>
      </c>
      <c r="T230" s="7">
        <f>IF($U230="","",IF(INDEX('Per Invoice'!T$2:T$401,$U230)="","",INDEX('Per Invoice'!T$2:T$401,$U230)))</f>
        <v/>
      </c>
      <c r="U230" s="16">
        <f>IFERROR(MATCH(Settings!$C$30&amp;"|"&amp;ROWS($U$2:$U230),'Per Invoice'!$V$2:$V$401,0),"")</f>
        <v/>
      </c>
    </row>
    <row r="231">
      <c r="A231">
        <f>IF($U231="","",IF(INDEX('Per Invoice'!A$2:A$401,$U231)="","",INDEX('Per Invoice'!A$2:A$401,$U231)))</f>
        <v/>
      </c>
      <c r="B231">
        <f>IF($U231="","",IF(INDEX('Per Invoice'!B$2:B$401,$U231)="","",INDEX('Per Invoice'!B$2:B$401,$U231)))</f>
        <v/>
      </c>
      <c r="C231">
        <f>IF($U231="","",IF(INDEX('Per Invoice'!C$2:C$401,$U231)="","",INDEX('Per Invoice'!C$2:C$401,$U231)))</f>
        <v/>
      </c>
      <c r="D231">
        <f>IF($U231="","",IF(INDEX('Per Invoice'!D$2:D$401,$U231)="","",INDEX('Per Invoice'!D$2:D$401,$U231)))</f>
        <v/>
      </c>
      <c r="E231">
        <f>IF($U231="","",IF(INDEX('Per Invoice'!E$2:E$401,$U231)="","",INDEX('Per Invoice'!E$2:E$401,$U231)))</f>
        <v/>
      </c>
      <c r="F231">
        <f>IF($U231="","",IF(INDEX('Per Invoice'!F$2:F$401,$U231)="","",INDEX('Per Invoice'!F$2:F$401,$U231)))</f>
        <v/>
      </c>
      <c r="G231">
        <f>IF($U231="","",IF(INDEX('Per Invoice'!G$2:G$401,$U231)="","",INDEX('Per Invoice'!G$2:G$401,$U231)))</f>
        <v/>
      </c>
      <c r="H231" s="7">
        <f>IF($U231="","",IF(INDEX('Per Invoice'!H$2:H$401,$U231)="","",INDEX('Per Invoice'!H$2:H$401,$U231)))</f>
        <v/>
      </c>
      <c r="I231" s="14">
        <f>IF($U231="","",IF(INDEX('Per Invoice'!I$2:I$401,$U231)="","",INDEX('Per Invoice'!I$2:I$401,$U231)))</f>
        <v/>
      </c>
      <c r="J231">
        <f>IF($U231="","",IF(INDEX('Per Invoice'!J$2:J$401,$U231)="","",INDEX('Per Invoice'!J$2:J$401,$U231)))</f>
        <v/>
      </c>
      <c r="K231">
        <f>IF($U231="","",IF(INDEX('Per Invoice'!K$2:K$401,$U231)="","",INDEX('Per Invoice'!K$2:K$401,$U231)))</f>
        <v/>
      </c>
      <c r="L231" s="7">
        <f>IF($U231="","",IF(INDEX('Per Invoice'!L$2:L$401,$U231)="","",INDEX('Per Invoice'!L$2:L$401,$U231)))</f>
        <v/>
      </c>
      <c r="M231" s="7">
        <f>IF($U231="","",IF(INDEX('Per Invoice'!M$2:M$401,$U231)="","",INDEX('Per Invoice'!M$2:M$401,$U231)))</f>
        <v/>
      </c>
      <c r="N231">
        <f>IF($U231="","",IF(INDEX('Per Invoice'!N$2:N$401,$U231)="","",INDEX('Per Invoice'!N$2:N$401,$U231)))</f>
        <v/>
      </c>
      <c r="O231" s="7">
        <f>IF($U231="","",IF(INDEX('Per Invoice'!O$2:O$401,$U231)="","",INDEX('Per Invoice'!O$2:O$401,$U231)))</f>
        <v/>
      </c>
      <c r="P231" s="7">
        <f>IF($U231="","",IF(INDEX('Per Invoice'!P$2:P$401,$U231)="","",INDEX('Per Invoice'!P$2:P$401,$U231)))</f>
        <v/>
      </c>
      <c r="Q231" s="7">
        <f>IF($U231="","",IF(INDEX('Per Invoice'!Q$2:Q$401,$U231)="","",INDEX('Per Invoice'!Q$2:Q$401,$U231)))</f>
        <v/>
      </c>
      <c r="R231" s="7">
        <f>IF($U231="","",IF(INDEX('Per Invoice'!R$2:R$401,$U231)="","",INDEX('Per Invoice'!R$2:R$401,$U231)))</f>
        <v/>
      </c>
      <c r="S231" s="7">
        <f>IF($U231="","",IF(INDEX('Per Invoice'!S$2:S$401,$U231)="","",INDEX('Per Invoice'!S$2:S$401,$U231)))</f>
        <v/>
      </c>
      <c r="T231" s="7">
        <f>IF($U231="","",IF(INDEX('Per Invoice'!T$2:T$401,$U231)="","",INDEX('Per Invoice'!T$2:T$401,$U231)))</f>
        <v/>
      </c>
      <c r="U231" s="16">
        <f>IFERROR(MATCH(Settings!$C$30&amp;"|"&amp;ROWS($U$2:$U231),'Per Invoice'!$V$2:$V$401,0),"")</f>
        <v/>
      </c>
    </row>
    <row r="232">
      <c r="A232">
        <f>IF($U232="","",IF(INDEX('Per Invoice'!A$2:A$401,$U232)="","",INDEX('Per Invoice'!A$2:A$401,$U232)))</f>
        <v/>
      </c>
      <c r="B232">
        <f>IF($U232="","",IF(INDEX('Per Invoice'!B$2:B$401,$U232)="","",INDEX('Per Invoice'!B$2:B$401,$U232)))</f>
        <v/>
      </c>
      <c r="C232">
        <f>IF($U232="","",IF(INDEX('Per Invoice'!C$2:C$401,$U232)="","",INDEX('Per Invoice'!C$2:C$401,$U232)))</f>
        <v/>
      </c>
      <c r="D232">
        <f>IF($U232="","",IF(INDEX('Per Invoice'!D$2:D$401,$U232)="","",INDEX('Per Invoice'!D$2:D$401,$U232)))</f>
        <v/>
      </c>
      <c r="E232">
        <f>IF($U232="","",IF(INDEX('Per Invoice'!E$2:E$401,$U232)="","",INDEX('Per Invoice'!E$2:E$401,$U232)))</f>
        <v/>
      </c>
      <c r="F232">
        <f>IF($U232="","",IF(INDEX('Per Invoice'!F$2:F$401,$U232)="","",INDEX('Per Invoice'!F$2:F$401,$U232)))</f>
        <v/>
      </c>
      <c r="G232">
        <f>IF($U232="","",IF(INDEX('Per Invoice'!G$2:G$401,$U232)="","",INDEX('Per Invoice'!G$2:G$401,$U232)))</f>
        <v/>
      </c>
      <c r="H232" s="7">
        <f>IF($U232="","",IF(INDEX('Per Invoice'!H$2:H$401,$U232)="","",INDEX('Per Invoice'!H$2:H$401,$U232)))</f>
        <v/>
      </c>
      <c r="I232" s="14">
        <f>IF($U232="","",IF(INDEX('Per Invoice'!I$2:I$401,$U232)="","",INDEX('Per Invoice'!I$2:I$401,$U232)))</f>
        <v/>
      </c>
      <c r="J232">
        <f>IF($U232="","",IF(INDEX('Per Invoice'!J$2:J$401,$U232)="","",INDEX('Per Invoice'!J$2:J$401,$U232)))</f>
        <v/>
      </c>
      <c r="K232">
        <f>IF($U232="","",IF(INDEX('Per Invoice'!K$2:K$401,$U232)="","",INDEX('Per Invoice'!K$2:K$401,$U232)))</f>
        <v/>
      </c>
      <c r="L232" s="7">
        <f>IF($U232="","",IF(INDEX('Per Invoice'!L$2:L$401,$U232)="","",INDEX('Per Invoice'!L$2:L$401,$U232)))</f>
        <v/>
      </c>
      <c r="M232" s="7">
        <f>IF($U232="","",IF(INDEX('Per Invoice'!M$2:M$401,$U232)="","",INDEX('Per Invoice'!M$2:M$401,$U232)))</f>
        <v/>
      </c>
      <c r="N232">
        <f>IF($U232="","",IF(INDEX('Per Invoice'!N$2:N$401,$U232)="","",INDEX('Per Invoice'!N$2:N$401,$U232)))</f>
        <v/>
      </c>
      <c r="O232" s="7">
        <f>IF($U232="","",IF(INDEX('Per Invoice'!O$2:O$401,$U232)="","",INDEX('Per Invoice'!O$2:O$401,$U232)))</f>
        <v/>
      </c>
      <c r="P232" s="7">
        <f>IF($U232="","",IF(INDEX('Per Invoice'!P$2:P$401,$U232)="","",INDEX('Per Invoice'!P$2:P$401,$U232)))</f>
        <v/>
      </c>
      <c r="Q232" s="7">
        <f>IF($U232="","",IF(INDEX('Per Invoice'!Q$2:Q$401,$U232)="","",INDEX('Per Invoice'!Q$2:Q$401,$U232)))</f>
        <v/>
      </c>
      <c r="R232" s="7">
        <f>IF($U232="","",IF(INDEX('Per Invoice'!R$2:R$401,$U232)="","",INDEX('Per Invoice'!R$2:R$401,$U232)))</f>
        <v/>
      </c>
      <c r="S232" s="7">
        <f>IF($U232="","",IF(INDEX('Per Invoice'!S$2:S$401,$U232)="","",INDEX('Per Invoice'!S$2:S$401,$U232)))</f>
        <v/>
      </c>
      <c r="T232" s="7">
        <f>IF($U232="","",IF(INDEX('Per Invoice'!T$2:T$401,$U232)="","",INDEX('Per Invoice'!T$2:T$401,$U232)))</f>
        <v/>
      </c>
      <c r="U232" s="16">
        <f>IFERROR(MATCH(Settings!$C$30&amp;"|"&amp;ROWS($U$2:$U232),'Per Invoice'!$V$2:$V$401,0),"")</f>
        <v/>
      </c>
    </row>
    <row r="233">
      <c r="A233">
        <f>IF($U233="","",IF(INDEX('Per Invoice'!A$2:A$401,$U233)="","",INDEX('Per Invoice'!A$2:A$401,$U233)))</f>
        <v/>
      </c>
      <c r="B233">
        <f>IF($U233="","",IF(INDEX('Per Invoice'!B$2:B$401,$U233)="","",INDEX('Per Invoice'!B$2:B$401,$U233)))</f>
        <v/>
      </c>
      <c r="C233">
        <f>IF($U233="","",IF(INDEX('Per Invoice'!C$2:C$401,$U233)="","",INDEX('Per Invoice'!C$2:C$401,$U233)))</f>
        <v/>
      </c>
      <c r="D233">
        <f>IF($U233="","",IF(INDEX('Per Invoice'!D$2:D$401,$U233)="","",INDEX('Per Invoice'!D$2:D$401,$U233)))</f>
        <v/>
      </c>
      <c r="E233">
        <f>IF($U233="","",IF(INDEX('Per Invoice'!E$2:E$401,$U233)="","",INDEX('Per Invoice'!E$2:E$401,$U233)))</f>
        <v/>
      </c>
      <c r="F233">
        <f>IF($U233="","",IF(INDEX('Per Invoice'!F$2:F$401,$U233)="","",INDEX('Per Invoice'!F$2:F$401,$U233)))</f>
        <v/>
      </c>
      <c r="G233">
        <f>IF($U233="","",IF(INDEX('Per Invoice'!G$2:G$401,$U233)="","",INDEX('Per Invoice'!G$2:G$401,$U233)))</f>
        <v/>
      </c>
      <c r="H233" s="7">
        <f>IF($U233="","",IF(INDEX('Per Invoice'!H$2:H$401,$U233)="","",INDEX('Per Invoice'!H$2:H$401,$U233)))</f>
        <v/>
      </c>
      <c r="I233" s="14">
        <f>IF($U233="","",IF(INDEX('Per Invoice'!I$2:I$401,$U233)="","",INDEX('Per Invoice'!I$2:I$401,$U233)))</f>
        <v/>
      </c>
      <c r="J233">
        <f>IF($U233="","",IF(INDEX('Per Invoice'!J$2:J$401,$U233)="","",INDEX('Per Invoice'!J$2:J$401,$U233)))</f>
        <v/>
      </c>
      <c r="K233">
        <f>IF($U233="","",IF(INDEX('Per Invoice'!K$2:K$401,$U233)="","",INDEX('Per Invoice'!K$2:K$401,$U233)))</f>
        <v/>
      </c>
      <c r="L233" s="7">
        <f>IF($U233="","",IF(INDEX('Per Invoice'!L$2:L$401,$U233)="","",INDEX('Per Invoice'!L$2:L$401,$U233)))</f>
        <v/>
      </c>
      <c r="M233" s="7">
        <f>IF($U233="","",IF(INDEX('Per Invoice'!M$2:M$401,$U233)="","",INDEX('Per Invoice'!M$2:M$401,$U233)))</f>
        <v/>
      </c>
      <c r="N233">
        <f>IF($U233="","",IF(INDEX('Per Invoice'!N$2:N$401,$U233)="","",INDEX('Per Invoice'!N$2:N$401,$U233)))</f>
        <v/>
      </c>
      <c r="O233" s="7">
        <f>IF($U233="","",IF(INDEX('Per Invoice'!O$2:O$401,$U233)="","",INDEX('Per Invoice'!O$2:O$401,$U233)))</f>
        <v/>
      </c>
      <c r="P233" s="7">
        <f>IF($U233="","",IF(INDEX('Per Invoice'!P$2:P$401,$U233)="","",INDEX('Per Invoice'!P$2:P$401,$U233)))</f>
        <v/>
      </c>
      <c r="Q233" s="7">
        <f>IF($U233="","",IF(INDEX('Per Invoice'!Q$2:Q$401,$U233)="","",INDEX('Per Invoice'!Q$2:Q$401,$U233)))</f>
        <v/>
      </c>
      <c r="R233" s="7">
        <f>IF($U233="","",IF(INDEX('Per Invoice'!R$2:R$401,$U233)="","",INDEX('Per Invoice'!R$2:R$401,$U233)))</f>
        <v/>
      </c>
      <c r="S233" s="7">
        <f>IF($U233="","",IF(INDEX('Per Invoice'!S$2:S$401,$U233)="","",INDEX('Per Invoice'!S$2:S$401,$U233)))</f>
        <v/>
      </c>
      <c r="T233" s="7">
        <f>IF($U233="","",IF(INDEX('Per Invoice'!T$2:T$401,$U233)="","",INDEX('Per Invoice'!T$2:T$401,$U233)))</f>
        <v/>
      </c>
      <c r="U233" s="16">
        <f>IFERROR(MATCH(Settings!$C$30&amp;"|"&amp;ROWS($U$2:$U233),'Per Invoice'!$V$2:$V$401,0),"")</f>
        <v/>
      </c>
    </row>
    <row r="234">
      <c r="A234">
        <f>IF($U234="","",IF(INDEX('Per Invoice'!A$2:A$401,$U234)="","",INDEX('Per Invoice'!A$2:A$401,$U234)))</f>
        <v/>
      </c>
      <c r="B234">
        <f>IF($U234="","",IF(INDEX('Per Invoice'!B$2:B$401,$U234)="","",INDEX('Per Invoice'!B$2:B$401,$U234)))</f>
        <v/>
      </c>
      <c r="C234">
        <f>IF($U234="","",IF(INDEX('Per Invoice'!C$2:C$401,$U234)="","",INDEX('Per Invoice'!C$2:C$401,$U234)))</f>
        <v/>
      </c>
      <c r="D234">
        <f>IF($U234="","",IF(INDEX('Per Invoice'!D$2:D$401,$U234)="","",INDEX('Per Invoice'!D$2:D$401,$U234)))</f>
        <v/>
      </c>
      <c r="E234">
        <f>IF($U234="","",IF(INDEX('Per Invoice'!E$2:E$401,$U234)="","",INDEX('Per Invoice'!E$2:E$401,$U234)))</f>
        <v/>
      </c>
      <c r="F234">
        <f>IF($U234="","",IF(INDEX('Per Invoice'!F$2:F$401,$U234)="","",INDEX('Per Invoice'!F$2:F$401,$U234)))</f>
        <v/>
      </c>
      <c r="G234">
        <f>IF($U234="","",IF(INDEX('Per Invoice'!G$2:G$401,$U234)="","",INDEX('Per Invoice'!G$2:G$401,$U234)))</f>
        <v/>
      </c>
      <c r="H234" s="7">
        <f>IF($U234="","",IF(INDEX('Per Invoice'!H$2:H$401,$U234)="","",INDEX('Per Invoice'!H$2:H$401,$U234)))</f>
        <v/>
      </c>
      <c r="I234" s="14">
        <f>IF($U234="","",IF(INDEX('Per Invoice'!I$2:I$401,$U234)="","",INDEX('Per Invoice'!I$2:I$401,$U234)))</f>
        <v/>
      </c>
      <c r="J234">
        <f>IF($U234="","",IF(INDEX('Per Invoice'!J$2:J$401,$U234)="","",INDEX('Per Invoice'!J$2:J$401,$U234)))</f>
        <v/>
      </c>
      <c r="K234">
        <f>IF($U234="","",IF(INDEX('Per Invoice'!K$2:K$401,$U234)="","",INDEX('Per Invoice'!K$2:K$401,$U234)))</f>
        <v/>
      </c>
      <c r="L234" s="7">
        <f>IF($U234="","",IF(INDEX('Per Invoice'!L$2:L$401,$U234)="","",INDEX('Per Invoice'!L$2:L$401,$U234)))</f>
        <v/>
      </c>
      <c r="M234" s="7">
        <f>IF($U234="","",IF(INDEX('Per Invoice'!M$2:M$401,$U234)="","",INDEX('Per Invoice'!M$2:M$401,$U234)))</f>
        <v/>
      </c>
      <c r="N234">
        <f>IF($U234="","",IF(INDEX('Per Invoice'!N$2:N$401,$U234)="","",INDEX('Per Invoice'!N$2:N$401,$U234)))</f>
        <v/>
      </c>
      <c r="O234" s="7">
        <f>IF($U234="","",IF(INDEX('Per Invoice'!O$2:O$401,$U234)="","",INDEX('Per Invoice'!O$2:O$401,$U234)))</f>
        <v/>
      </c>
      <c r="P234" s="7">
        <f>IF($U234="","",IF(INDEX('Per Invoice'!P$2:P$401,$U234)="","",INDEX('Per Invoice'!P$2:P$401,$U234)))</f>
        <v/>
      </c>
      <c r="Q234" s="7">
        <f>IF($U234="","",IF(INDEX('Per Invoice'!Q$2:Q$401,$U234)="","",INDEX('Per Invoice'!Q$2:Q$401,$U234)))</f>
        <v/>
      </c>
      <c r="R234" s="7">
        <f>IF($U234="","",IF(INDEX('Per Invoice'!R$2:R$401,$U234)="","",INDEX('Per Invoice'!R$2:R$401,$U234)))</f>
        <v/>
      </c>
      <c r="S234" s="7">
        <f>IF($U234="","",IF(INDEX('Per Invoice'!S$2:S$401,$U234)="","",INDEX('Per Invoice'!S$2:S$401,$U234)))</f>
        <v/>
      </c>
      <c r="T234" s="7">
        <f>IF($U234="","",IF(INDEX('Per Invoice'!T$2:T$401,$U234)="","",INDEX('Per Invoice'!T$2:T$401,$U234)))</f>
        <v/>
      </c>
      <c r="U234" s="16">
        <f>IFERROR(MATCH(Settings!$C$30&amp;"|"&amp;ROWS($U$2:$U234),'Per Invoice'!$V$2:$V$401,0),"")</f>
        <v/>
      </c>
    </row>
    <row r="235">
      <c r="A235">
        <f>IF($U235="","",IF(INDEX('Per Invoice'!A$2:A$401,$U235)="","",INDEX('Per Invoice'!A$2:A$401,$U235)))</f>
        <v/>
      </c>
      <c r="B235">
        <f>IF($U235="","",IF(INDEX('Per Invoice'!B$2:B$401,$U235)="","",INDEX('Per Invoice'!B$2:B$401,$U235)))</f>
        <v/>
      </c>
      <c r="C235">
        <f>IF($U235="","",IF(INDEX('Per Invoice'!C$2:C$401,$U235)="","",INDEX('Per Invoice'!C$2:C$401,$U235)))</f>
        <v/>
      </c>
      <c r="D235">
        <f>IF($U235="","",IF(INDEX('Per Invoice'!D$2:D$401,$U235)="","",INDEX('Per Invoice'!D$2:D$401,$U235)))</f>
        <v/>
      </c>
      <c r="E235">
        <f>IF($U235="","",IF(INDEX('Per Invoice'!E$2:E$401,$U235)="","",INDEX('Per Invoice'!E$2:E$401,$U235)))</f>
        <v/>
      </c>
      <c r="F235">
        <f>IF($U235="","",IF(INDEX('Per Invoice'!F$2:F$401,$U235)="","",INDEX('Per Invoice'!F$2:F$401,$U235)))</f>
        <v/>
      </c>
      <c r="G235">
        <f>IF($U235="","",IF(INDEX('Per Invoice'!G$2:G$401,$U235)="","",INDEX('Per Invoice'!G$2:G$401,$U235)))</f>
        <v/>
      </c>
      <c r="H235" s="7">
        <f>IF($U235="","",IF(INDEX('Per Invoice'!H$2:H$401,$U235)="","",INDEX('Per Invoice'!H$2:H$401,$U235)))</f>
        <v/>
      </c>
      <c r="I235" s="14">
        <f>IF($U235="","",IF(INDEX('Per Invoice'!I$2:I$401,$U235)="","",INDEX('Per Invoice'!I$2:I$401,$U235)))</f>
        <v/>
      </c>
      <c r="J235">
        <f>IF($U235="","",IF(INDEX('Per Invoice'!J$2:J$401,$U235)="","",INDEX('Per Invoice'!J$2:J$401,$U235)))</f>
        <v/>
      </c>
      <c r="K235">
        <f>IF($U235="","",IF(INDEX('Per Invoice'!K$2:K$401,$U235)="","",INDEX('Per Invoice'!K$2:K$401,$U235)))</f>
        <v/>
      </c>
      <c r="L235" s="7">
        <f>IF($U235="","",IF(INDEX('Per Invoice'!L$2:L$401,$U235)="","",INDEX('Per Invoice'!L$2:L$401,$U235)))</f>
        <v/>
      </c>
      <c r="M235" s="7">
        <f>IF($U235="","",IF(INDEX('Per Invoice'!M$2:M$401,$U235)="","",INDEX('Per Invoice'!M$2:M$401,$U235)))</f>
        <v/>
      </c>
      <c r="N235">
        <f>IF($U235="","",IF(INDEX('Per Invoice'!N$2:N$401,$U235)="","",INDEX('Per Invoice'!N$2:N$401,$U235)))</f>
        <v/>
      </c>
      <c r="O235" s="7">
        <f>IF($U235="","",IF(INDEX('Per Invoice'!O$2:O$401,$U235)="","",INDEX('Per Invoice'!O$2:O$401,$U235)))</f>
        <v/>
      </c>
      <c r="P235" s="7">
        <f>IF($U235="","",IF(INDEX('Per Invoice'!P$2:P$401,$U235)="","",INDEX('Per Invoice'!P$2:P$401,$U235)))</f>
        <v/>
      </c>
      <c r="Q235" s="7">
        <f>IF($U235="","",IF(INDEX('Per Invoice'!Q$2:Q$401,$U235)="","",INDEX('Per Invoice'!Q$2:Q$401,$U235)))</f>
        <v/>
      </c>
      <c r="R235" s="7">
        <f>IF($U235="","",IF(INDEX('Per Invoice'!R$2:R$401,$U235)="","",INDEX('Per Invoice'!R$2:R$401,$U235)))</f>
        <v/>
      </c>
      <c r="S235" s="7">
        <f>IF($U235="","",IF(INDEX('Per Invoice'!S$2:S$401,$U235)="","",INDEX('Per Invoice'!S$2:S$401,$U235)))</f>
        <v/>
      </c>
      <c r="T235" s="7">
        <f>IF($U235="","",IF(INDEX('Per Invoice'!T$2:T$401,$U235)="","",INDEX('Per Invoice'!T$2:T$401,$U235)))</f>
        <v/>
      </c>
      <c r="U235" s="16">
        <f>IFERROR(MATCH(Settings!$C$30&amp;"|"&amp;ROWS($U$2:$U235),'Per Invoice'!$V$2:$V$401,0),"")</f>
        <v/>
      </c>
    </row>
    <row r="236">
      <c r="A236">
        <f>IF($U236="","",IF(INDEX('Per Invoice'!A$2:A$401,$U236)="","",INDEX('Per Invoice'!A$2:A$401,$U236)))</f>
        <v/>
      </c>
      <c r="B236">
        <f>IF($U236="","",IF(INDEX('Per Invoice'!B$2:B$401,$U236)="","",INDEX('Per Invoice'!B$2:B$401,$U236)))</f>
        <v/>
      </c>
      <c r="C236">
        <f>IF($U236="","",IF(INDEX('Per Invoice'!C$2:C$401,$U236)="","",INDEX('Per Invoice'!C$2:C$401,$U236)))</f>
        <v/>
      </c>
      <c r="D236">
        <f>IF($U236="","",IF(INDEX('Per Invoice'!D$2:D$401,$U236)="","",INDEX('Per Invoice'!D$2:D$401,$U236)))</f>
        <v/>
      </c>
      <c r="E236">
        <f>IF($U236="","",IF(INDEX('Per Invoice'!E$2:E$401,$U236)="","",INDEX('Per Invoice'!E$2:E$401,$U236)))</f>
        <v/>
      </c>
      <c r="F236">
        <f>IF($U236="","",IF(INDEX('Per Invoice'!F$2:F$401,$U236)="","",INDEX('Per Invoice'!F$2:F$401,$U236)))</f>
        <v/>
      </c>
      <c r="G236">
        <f>IF($U236="","",IF(INDEX('Per Invoice'!G$2:G$401,$U236)="","",INDEX('Per Invoice'!G$2:G$401,$U236)))</f>
        <v/>
      </c>
      <c r="H236" s="7">
        <f>IF($U236="","",IF(INDEX('Per Invoice'!H$2:H$401,$U236)="","",INDEX('Per Invoice'!H$2:H$401,$U236)))</f>
        <v/>
      </c>
      <c r="I236" s="14">
        <f>IF($U236="","",IF(INDEX('Per Invoice'!I$2:I$401,$U236)="","",INDEX('Per Invoice'!I$2:I$401,$U236)))</f>
        <v/>
      </c>
      <c r="J236">
        <f>IF($U236="","",IF(INDEX('Per Invoice'!J$2:J$401,$U236)="","",INDEX('Per Invoice'!J$2:J$401,$U236)))</f>
        <v/>
      </c>
      <c r="K236">
        <f>IF($U236="","",IF(INDEX('Per Invoice'!K$2:K$401,$U236)="","",INDEX('Per Invoice'!K$2:K$401,$U236)))</f>
        <v/>
      </c>
      <c r="L236" s="7">
        <f>IF($U236="","",IF(INDEX('Per Invoice'!L$2:L$401,$U236)="","",INDEX('Per Invoice'!L$2:L$401,$U236)))</f>
        <v/>
      </c>
      <c r="M236" s="7">
        <f>IF($U236="","",IF(INDEX('Per Invoice'!M$2:M$401,$U236)="","",INDEX('Per Invoice'!M$2:M$401,$U236)))</f>
        <v/>
      </c>
      <c r="N236">
        <f>IF($U236="","",IF(INDEX('Per Invoice'!N$2:N$401,$U236)="","",INDEX('Per Invoice'!N$2:N$401,$U236)))</f>
        <v/>
      </c>
      <c r="O236" s="7">
        <f>IF($U236="","",IF(INDEX('Per Invoice'!O$2:O$401,$U236)="","",INDEX('Per Invoice'!O$2:O$401,$U236)))</f>
        <v/>
      </c>
      <c r="P236" s="7">
        <f>IF($U236="","",IF(INDEX('Per Invoice'!P$2:P$401,$U236)="","",INDEX('Per Invoice'!P$2:P$401,$U236)))</f>
        <v/>
      </c>
      <c r="Q236" s="7">
        <f>IF($U236="","",IF(INDEX('Per Invoice'!Q$2:Q$401,$U236)="","",INDEX('Per Invoice'!Q$2:Q$401,$U236)))</f>
        <v/>
      </c>
      <c r="R236" s="7">
        <f>IF($U236="","",IF(INDEX('Per Invoice'!R$2:R$401,$U236)="","",INDEX('Per Invoice'!R$2:R$401,$U236)))</f>
        <v/>
      </c>
      <c r="S236" s="7">
        <f>IF($U236="","",IF(INDEX('Per Invoice'!S$2:S$401,$U236)="","",INDEX('Per Invoice'!S$2:S$401,$U236)))</f>
        <v/>
      </c>
      <c r="T236" s="7">
        <f>IF($U236="","",IF(INDEX('Per Invoice'!T$2:T$401,$U236)="","",INDEX('Per Invoice'!T$2:T$401,$U236)))</f>
        <v/>
      </c>
      <c r="U236" s="16">
        <f>IFERROR(MATCH(Settings!$C$30&amp;"|"&amp;ROWS($U$2:$U236),'Per Invoice'!$V$2:$V$401,0),"")</f>
        <v/>
      </c>
    </row>
    <row r="237">
      <c r="A237">
        <f>IF($U237="","",IF(INDEX('Per Invoice'!A$2:A$401,$U237)="","",INDEX('Per Invoice'!A$2:A$401,$U237)))</f>
        <v/>
      </c>
      <c r="B237">
        <f>IF($U237="","",IF(INDEX('Per Invoice'!B$2:B$401,$U237)="","",INDEX('Per Invoice'!B$2:B$401,$U237)))</f>
        <v/>
      </c>
      <c r="C237">
        <f>IF($U237="","",IF(INDEX('Per Invoice'!C$2:C$401,$U237)="","",INDEX('Per Invoice'!C$2:C$401,$U237)))</f>
        <v/>
      </c>
      <c r="D237">
        <f>IF($U237="","",IF(INDEX('Per Invoice'!D$2:D$401,$U237)="","",INDEX('Per Invoice'!D$2:D$401,$U237)))</f>
        <v/>
      </c>
      <c r="E237">
        <f>IF($U237="","",IF(INDEX('Per Invoice'!E$2:E$401,$U237)="","",INDEX('Per Invoice'!E$2:E$401,$U237)))</f>
        <v/>
      </c>
      <c r="F237">
        <f>IF($U237="","",IF(INDEX('Per Invoice'!F$2:F$401,$U237)="","",INDEX('Per Invoice'!F$2:F$401,$U237)))</f>
        <v/>
      </c>
      <c r="G237">
        <f>IF($U237="","",IF(INDEX('Per Invoice'!G$2:G$401,$U237)="","",INDEX('Per Invoice'!G$2:G$401,$U237)))</f>
        <v/>
      </c>
      <c r="H237" s="7">
        <f>IF($U237="","",IF(INDEX('Per Invoice'!H$2:H$401,$U237)="","",INDEX('Per Invoice'!H$2:H$401,$U237)))</f>
        <v/>
      </c>
      <c r="I237" s="14">
        <f>IF($U237="","",IF(INDEX('Per Invoice'!I$2:I$401,$U237)="","",INDEX('Per Invoice'!I$2:I$401,$U237)))</f>
        <v/>
      </c>
      <c r="J237">
        <f>IF($U237="","",IF(INDEX('Per Invoice'!J$2:J$401,$U237)="","",INDEX('Per Invoice'!J$2:J$401,$U237)))</f>
        <v/>
      </c>
      <c r="K237">
        <f>IF($U237="","",IF(INDEX('Per Invoice'!K$2:K$401,$U237)="","",INDEX('Per Invoice'!K$2:K$401,$U237)))</f>
        <v/>
      </c>
      <c r="L237" s="7">
        <f>IF($U237="","",IF(INDEX('Per Invoice'!L$2:L$401,$U237)="","",INDEX('Per Invoice'!L$2:L$401,$U237)))</f>
        <v/>
      </c>
      <c r="M237" s="7">
        <f>IF($U237="","",IF(INDEX('Per Invoice'!M$2:M$401,$U237)="","",INDEX('Per Invoice'!M$2:M$401,$U237)))</f>
        <v/>
      </c>
      <c r="N237">
        <f>IF($U237="","",IF(INDEX('Per Invoice'!N$2:N$401,$U237)="","",INDEX('Per Invoice'!N$2:N$401,$U237)))</f>
        <v/>
      </c>
      <c r="O237" s="7">
        <f>IF($U237="","",IF(INDEX('Per Invoice'!O$2:O$401,$U237)="","",INDEX('Per Invoice'!O$2:O$401,$U237)))</f>
        <v/>
      </c>
      <c r="P237" s="7">
        <f>IF($U237="","",IF(INDEX('Per Invoice'!P$2:P$401,$U237)="","",INDEX('Per Invoice'!P$2:P$401,$U237)))</f>
        <v/>
      </c>
      <c r="Q237" s="7">
        <f>IF($U237="","",IF(INDEX('Per Invoice'!Q$2:Q$401,$U237)="","",INDEX('Per Invoice'!Q$2:Q$401,$U237)))</f>
        <v/>
      </c>
      <c r="R237" s="7">
        <f>IF($U237="","",IF(INDEX('Per Invoice'!R$2:R$401,$U237)="","",INDEX('Per Invoice'!R$2:R$401,$U237)))</f>
        <v/>
      </c>
      <c r="S237" s="7">
        <f>IF($U237="","",IF(INDEX('Per Invoice'!S$2:S$401,$U237)="","",INDEX('Per Invoice'!S$2:S$401,$U237)))</f>
        <v/>
      </c>
      <c r="T237" s="7">
        <f>IF($U237="","",IF(INDEX('Per Invoice'!T$2:T$401,$U237)="","",INDEX('Per Invoice'!T$2:T$401,$U237)))</f>
        <v/>
      </c>
      <c r="U237" s="16">
        <f>IFERROR(MATCH(Settings!$C$30&amp;"|"&amp;ROWS($U$2:$U237),'Per Invoice'!$V$2:$V$401,0),"")</f>
        <v/>
      </c>
    </row>
    <row r="238">
      <c r="A238">
        <f>IF($U238="","",IF(INDEX('Per Invoice'!A$2:A$401,$U238)="","",INDEX('Per Invoice'!A$2:A$401,$U238)))</f>
        <v/>
      </c>
      <c r="B238">
        <f>IF($U238="","",IF(INDEX('Per Invoice'!B$2:B$401,$U238)="","",INDEX('Per Invoice'!B$2:B$401,$U238)))</f>
        <v/>
      </c>
      <c r="C238">
        <f>IF($U238="","",IF(INDEX('Per Invoice'!C$2:C$401,$U238)="","",INDEX('Per Invoice'!C$2:C$401,$U238)))</f>
        <v/>
      </c>
      <c r="D238">
        <f>IF($U238="","",IF(INDEX('Per Invoice'!D$2:D$401,$U238)="","",INDEX('Per Invoice'!D$2:D$401,$U238)))</f>
        <v/>
      </c>
      <c r="E238">
        <f>IF($U238="","",IF(INDEX('Per Invoice'!E$2:E$401,$U238)="","",INDEX('Per Invoice'!E$2:E$401,$U238)))</f>
        <v/>
      </c>
      <c r="F238">
        <f>IF($U238="","",IF(INDEX('Per Invoice'!F$2:F$401,$U238)="","",INDEX('Per Invoice'!F$2:F$401,$U238)))</f>
        <v/>
      </c>
      <c r="G238">
        <f>IF($U238="","",IF(INDEX('Per Invoice'!G$2:G$401,$U238)="","",INDEX('Per Invoice'!G$2:G$401,$U238)))</f>
        <v/>
      </c>
      <c r="H238" s="7">
        <f>IF($U238="","",IF(INDEX('Per Invoice'!H$2:H$401,$U238)="","",INDEX('Per Invoice'!H$2:H$401,$U238)))</f>
        <v/>
      </c>
      <c r="I238" s="14">
        <f>IF($U238="","",IF(INDEX('Per Invoice'!I$2:I$401,$U238)="","",INDEX('Per Invoice'!I$2:I$401,$U238)))</f>
        <v/>
      </c>
      <c r="J238">
        <f>IF($U238="","",IF(INDEX('Per Invoice'!J$2:J$401,$U238)="","",INDEX('Per Invoice'!J$2:J$401,$U238)))</f>
        <v/>
      </c>
      <c r="K238">
        <f>IF($U238="","",IF(INDEX('Per Invoice'!K$2:K$401,$U238)="","",INDEX('Per Invoice'!K$2:K$401,$U238)))</f>
        <v/>
      </c>
      <c r="L238" s="7">
        <f>IF($U238="","",IF(INDEX('Per Invoice'!L$2:L$401,$U238)="","",INDEX('Per Invoice'!L$2:L$401,$U238)))</f>
        <v/>
      </c>
      <c r="M238" s="7">
        <f>IF($U238="","",IF(INDEX('Per Invoice'!M$2:M$401,$U238)="","",INDEX('Per Invoice'!M$2:M$401,$U238)))</f>
        <v/>
      </c>
      <c r="N238">
        <f>IF($U238="","",IF(INDEX('Per Invoice'!N$2:N$401,$U238)="","",INDEX('Per Invoice'!N$2:N$401,$U238)))</f>
        <v/>
      </c>
      <c r="O238" s="7">
        <f>IF($U238="","",IF(INDEX('Per Invoice'!O$2:O$401,$U238)="","",INDEX('Per Invoice'!O$2:O$401,$U238)))</f>
        <v/>
      </c>
      <c r="P238" s="7">
        <f>IF($U238="","",IF(INDEX('Per Invoice'!P$2:P$401,$U238)="","",INDEX('Per Invoice'!P$2:P$401,$U238)))</f>
        <v/>
      </c>
      <c r="Q238" s="7">
        <f>IF($U238="","",IF(INDEX('Per Invoice'!Q$2:Q$401,$U238)="","",INDEX('Per Invoice'!Q$2:Q$401,$U238)))</f>
        <v/>
      </c>
      <c r="R238" s="7">
        <f>IF($U238="","",IF(INDEX('Per Invoice'!R$2:R$401,$U238)="","",INDEX('Per Invoice'!R$2:R$401,$U238)))</f>
        <v/>
      </c>
      <c r="S238" s="7">
        <f>IF($U238="","",IF(INDEX('Per Invoice'!S$2:S$401,$U238)="","",INDEX('Per Invoice'!S$2:S$401,$U238)))</f>
        <v/>
      </c>
      <c r="T238" s="7">
        <f>IF($U238="","",IF(INDEX('Per Invoice'!T$2:T$401,$U238)="","",INDEX('Per Invoice'!T$2:T$401,$U238)))</f>
        <v/>
      </c>
      <c r="U238" s="16">
        <f>IFERROR(MATCH(Settings!$C$30&amp;"|"&amp;ROWS($U$2:$U238),'Per Invoice'!$V$2:$V$401,0),"")</f>
        <v/>
      </c>
    </row>
    <row r="239">
      <c r="A239">
        <f>IF($U239="","",IF(INDEX('Per Invoice'!A$2:A$401,$U239)="","",INDEX('Per Invoice'!A$2:A$401,$U239)))</f>
        <v/>
      </c>
      <c r="B239">
        <f>IF($U239="","",IF(INDEX('Per Invoice'!B$2:B$401,$U239)="","",INDEX('Per Invoice'!B$2:B$401,$U239)))</f>
        <v/>
      </c>
      <c r="C239">
        <f>IF($U239="","",IF(INDEX('Per Invoice'!C$2:C$401,$U239)="","",INDEX('Per Invoice'!C$2:C$401,$U239)))</f>
        <v/>
      </c>
      <c r="D239">
        <f>IF($U239="","",IF(INDEX('Per Invoice'!D$2:D$401,$U239)="","",INDEX('Per Invoice'!D$2:D$401,$U239)))</f>
        <v/>
      </c>
      <c r="E239">
        <f>IF($U239="","",IF(INDEX('Per Invoice'!E$2:E$401,$U239)="","",INDEX('Per Invoice'!E$2:E$401,$U239)))</f>
        <v/>
      </c>
      <c r="F239">
        <f>IF($U239="","",IF(INDEX('Per Invoice'!F$2:F$401,$U239)="","",INDEX('Per Invoice'!F$2:F$401,$U239)))</f>
        <v/>
      </c>
      <c r="G239">
        <f>IF($U239="","",IF(INDEX('Per Invoice'!G$2:G$401,$U239)="","",INDEX('Per Invoice'!G$2:G$401,$U239)))</f>
        <v/>
      </c>
      <c r="H239" s="7">
        <f>IF($U239="","",IF(INDEX('Per Invoice'!H$2:H$401,$U239)="","",INDEX('Per Invoice'!H$2:H$401,$U239)))</f>
        <v/>
      </c>
      <c r="I239" s="14">
        <f>IF($U239="","",IF(INDEX('Per Invoice'!I$2:I$401,$U239)="","",INDEX('Per Invoice'!I$2:I$401,$U239)))</f>
        <v/>
      </c>
      <c r="J239">
        <f>IF($U239="","",IF(INDEX('Per Invoice'!J$2:J$401,$U239)="","",INDEX('Per Invoice'!J$2:J$401,$U239)))</f>
        <v/>
      </c>
      <c r="K239">
        <f>IF($U239="","",IF(INDEX('Per Invoice'!K$2:K$401,$U239)="","",INDEX('Per Invoice'!K$2:K$401,$U239)))</f>
        <v/>
      </c>
      <c r="L239" s="7">
        <f>IF($U239="","",IF(INDEX('Per Invoice'!L$2:L$401,$U239)="","",INDEX('Per Invoice'!L$2:L$401,$U239)))</f>
        <v/>
      </c>
      <c r="M239" s="7">
        <f>IF($U239="","",IF(INDEX('Per Invoice'!M$2:M$401,$U239)="","",INDEX('Per Invoice'!M$2:M$401,$U239)))</f>
        <v/>
      </c>
      <c r="N239">
        <f>IF($U239="","",IF(INDEX('Per Invoice'!N$2:N$401,$U239)="","",INDEX('Per Invoice'!N$2:N$401,$U239)))</f>
        <v/>
      </c>
      <c r="O239" s="7">
        <f>IF($U239="","",IF(INDEX('Per Invoice'!O$2:O$401,$U239)="","",INDEX('Per Invoice'!O$2:O$401,$U239)))</f>
        <v/>
      </c>
      <c r="P239" s="7">
        <f>IF($U239="","",IF(INDEX('Per Invoice'!P$2:P$401,$U239)="","",INDEX('Per Invoice'!P$2:P$401,$U239)))</f>
        <v/>
      </c>
      <c r="Q239" s="7">
        <f>IF($U239="","",IF(INDEX('Per Invoice'!Q$2:Q$401,$U239)="","",INDEX('Per Invoice'!Q$2:Q$401,$U239)))</f>
        <v/>
      </c>
      <c r="R239" s="7">
        <f>IF($U239="","",IF(INDEX('Per Invoice'!R$2:R$401,$U239)="","",INDEX('Per Invoice'!R$2:R$401,$U239)))</f>
        <v/>
      </c>
      <c r="S239" s="7">
        <f>IF($U239="","",IF(INDEX('Per Invoice'!S$2:S$401,$U239)="","",INDEX('Per Invoice'!S$2:S$401,$U239)))</f>
        <v/>
      </c>
      <c r="T239" s="7">
        <f>IF($U239="","",IF(INDEX('Per Invoice'!T$2:T$401,$U239)="","",INDEX('Per Invoice'!T$2:T$401,$U239)))</f>
        <v/>
      </c>
      <c r="U239" s="16">
        <f>IFERROR(MATCH(Settings!$C$30&amp;"|"&amp;ROWS($U$2:$U239),'Per Invoice'!$V$2:$V$401,0),"")</f>
        <v/>
      </c>
    </row>
    <row r="240">
      <c r="A240">
        <f>IF($U240="","",IF(INDEX('Per Invoice'!A$2:A$401,$U240)="","",INDEX('Per Invoice'!A$2:A$401,$U240)))</f>
        <v/>
      </c>
      <c r="B240">
        <f>IF($U240="","",IF(INDEX('Per Invoice'!B$2:B$401,$U240)="","",INDEX('Per Invoice'!B$2:B$401,$U240)))</f>
        <v/>
      </c>
      <c r="C240">
        <f>IF($U240="","",IF(INDEX('Per Invoice'!C$2:C$401,$U240)="","",INDEX('Per Invoice'!C$2:C$401,$U240)))</f>
        <v/>
      </c>
      <c r="D240">
        <f>IF($U240="","",IF(INDEX('Per Invoice'!D$2:D$401,$U240)="","",INDEX('Per Invoice'!D$2:D$401,$U240)))</f>
        <v/>
      </c>
      <c r="E240">
        <f>IF($U240="","",IF(INDEX('Per Invoice'!E$2:E$401,$U240)="","",INDEX('Per Invoice'!E$2:E$401,$U240)))</f>
        <v/>
      </c>
      <c r="F240">
        <f>IF($U240="","",IF(INDEX('Per Invoice'!F$2:F$401,$U240)="","",INDEX('Per Invoice'!F$2:F$401,$U240)))</f>
        <v/>
      </c>
      <c r="G240">
        <f>IF($U240="","",IF(INDEX('Per Invoice'!G$2:G$401,$U240)="","",INDEX('Per Invoice'!G$2:G$401,$U240)))</f>
        <v/>
      </c>
      <c r="H240" s="7">
        <f>IF($U240="","",IF(INDEX('Per Invoice'!H$2:H$401,$U240)="","",INDEX('Per Invoice'!H$2:H$401,$U240)))</f>
        <v/>
      </c>
      <c r="I240" s="14">
        <f>IF($U240="","",IF(INDEX('Per Invoice'!I$2:I$401,$U240)="","",INDEX('Per Invoice'!I$2:I$401,$U240)))</f>
        <v/>
      </c>
      <c r="J240">
        <f>IF($U240="","",IF(INDEX('Per Invoice'!J$2:J$401,$U240)="","",INDEX('Per Invoice'!J$2:J$401,$U240)))</f>
        <v/>
      </c>
      <c r="K240">
        <f>IF($U240="","",IF(INDEX('Per Invoice'!K$2:K$401,$U240)="","",INDEX('Per Invoice'!K$2:K$401,$U240)))</f>
        <v/>
      </c>
      <c r="L240" s="7">
        <f>IF($U240="","",IF(INDEX('Per Invoice'!L$2:L$401,$U240)="","",INDEX('Per Invoice'!L$2:L$401,$U240)))</f>
        <v/>
      </c>
      <c r="M240" s="7">
        <f>IF($U240="","",IF(INDEX('Per Invoice'!M$2:M$401,$U240)="","",INDEX('Per Invoice'!M$2:M$401,$U240)))</f>
        <v/>
      </c>
      <c r="N240">
        <f>IF($U240="","",IF(INDEX('Per Invoice'!N$2:N$401,$U240)="","",INDEX('Per Invoice'!N$2:N$401,$U240)))</f>
        <v/>
      </c>
      <c r="O240" s="7">
        <f>IF($U240="","",IF(INDEX('Per Invoice'!O$2:O$401,$U240)="","",INDEX('Per Invoice'!O$2:O$401,$U240)))</f>
        <v/>
      </c>
      <c r="P240" s="7">
        <f>IF($U240="","",IF(INDEX('Per Invoice'!P$2:P$401,$U240)="","",INDEX('Per Invoice'!P$2:P$401,$U240)))</f>
        <v/>
      </c>
      <c r="Q240" s="7">
        <f>IF($U240="","",IF(INDEX('Per Invoice'!Q$2:Q$401,$U240)="","",INDEX('Per Invoice'!Q$2:Q$401,$U240)))</f>
        <v/>
      </c>
      <c r="R240" s="7">
        <f>IF($U240="","",IF(INDEX('Per Invoice'!R$2:R$401,$U240)="","",INDEX('Per Invoice'!R$2:R$401,$U240)))</f>
        <v/>
      </c>
      <c r="S240" s="7">
        <f>IF($U240="","",IF(INDEX('Per Invoice'!S$2:S$401,$U240)="","",INDEX('Per Invoice'!S$2:S$401,$U240)))</f>
        <v/>
      </c>
      <c r="T240" s="7">
        <f>IF($U240="","",IF(INDEX('Per Invoice'!T$2:T$401,$U240)="","",INDEX('Per Invoice'!T$2:T$401,$U240)))</f>
        <v/>
      </c>
      <c r="U240" s="16">
        <f>IFERROR(MATCH(Settings!$C$30&amp;"|"&amp;ROWS($U$2:$U240),'Per Invoice'!$V$2:$V$401,0),"")</f>
        <v/>
      </c>
    </row>
    <row r="241">
      <c r="A241">
        <f>IF($U241="","",IF(INDEX('Per Invoice'!A$2:A$401,$U241)="","",INDEX('Per Invoice'!A$2:A$401,$U241)))</f>
        <v/>
      </c>
      <c r="B241">
        <f>IF($U241="","",IF(INDEX('Per Invoice'!B$2:B$401,$U241)="","",INDEX('Per Invoice'!B$2:B$401,$U241)))</f>
        <v/>
      </c>
      <c r="C241">
        <f>IF($U241="","",IF(INDEX('Per Invoice'!C$2:C$401,$U241)="","",INDEX('Per Invoice'!C$2:C$401,$U241)))</f>
        <v/>
      </c>
      <c r="D241">
        <f>IF($U241="","",IF(INDEX('Per Invoice'!D$2:D$401,$U241)="","",INDEX('Per Invoice'!D$2:D$401,$U241)))</f>
        <v/>
      </c>
      <c r="E241">
        <f>IF($U241="","",IF(INDEX('Per Invoice'!E$2:E$401,$U241)="","",INDEX('Per Invoice'!E$2:E$401,$U241)))</f>
        <v/>
      </c>
      <c r="F241">
        <f>IF($U241="","",IF(INDEX('Per Invoice'!F$2:F$401,$U241)="","",INDEX('Per Invoice'!F$2:F$401,$U241)))</f>
        <v/>
      </c>
      <c r="G241">
        <f>IF($U241="","",IF(INDEX('Per Invoice'!G$2:G$401,$U241)="","",INDEX('Per Invoice'!G$2:G$401,$U241)))</f>
        <v/>
      </c>
      <c r="H241" s="7">
        <f>IF($U241="","",IF(INDEX('Per Invoice'!H$2:H$401,$U241)="","",INDEX('Per Invoice'!H$2:H$401,$U241)))</f>
        <v/>
      </c>
      <c r="I241" s="14">
        <f>IF($U241="","",IF(INDEX('Per Invoice'!I$2:I$401,$U241)="","",INDEX('Per Invoice'!I$2:I$401,$U241)))</f>
        <v/>
      </c>
      <c r="J241">
        <f>IF($U241="","",IF(INDEX('Per Invoice'!J$2:J$401,$U241)="","",INDEX('Per Invoice'!J$2:J$401,$U241)))</f>
        <v/>
      </c>
      <c r="K241">
        <f>IF($U241="","",IF(INDEX('Per Invoice'!K$2:K$401,$U241)="","",INDEX('Per Invoice'!K$2:K$401,$U241)))</f>
        <v/>
      </c>
      <c r="L241" s="7">
        <f>IF($U241="","",IF(INDEX('Per Invoice'!L$2:L$401,$U241)="","",INDEX('Per Invoice'!L$2:L$401,$U241)))</f>
        <v/>
      </c>
      <c r="M241" s="7">
        <f>IF($U241="","",IF(INDEX('Per Invoice'!M$2:M$401,$U241)="","",INDEX('Per Invoice'!M$2:M$401,$U241)))</f>
        <v/>
      </c>
      <c r="N241">
        <f>IF($U241="","",IF(INDEX('Per Invoice'!N$2:N$401,$U241)="","",INDEX('Per Invoice'!N$2:N$401,$U241)))</f>
        <v/>
      </c>
      <c r="O241" s="7">
        <f>IF($U241="","",IF(INDEX('Per Invoice'!O$2:O$401,$U241)="","",INDEX('Per Invoice'!O$2:O$401,$U241)))</f>
        <v/>
      </c>
      <c r="P241" s="7">
        <f>IF($U241="","",IF(INDEX('Per Invoice'!P$2:P$401,$U241)="","",INDEX('Per Invoice'!P$2:P$401,$U241)))</f>
        <v/>
      </c>
      <c r="Q241" s="7">
        <f>IF($U241="","",IF(INDEX('Per Invoice'!Q$2:Q$401,$U241)="","",INDEX('Per Invoice'!Q$2:Q$401,$U241)))</f>
        <v/>
      </c>
      <c r="R241" s="7">
        <f>IF($U241="","",IF(INDEX('Per Invoice'!R$2:R$401,$U241)="","",INDEX('Per Invoice'!R$2:R$401,$U241)))</f>
        <v/>
      </c>
      <c r="S241" s="7">
        <f>IF($U241="","",IF(INDEX('Per Invoice'!S$2:S$401,$U241)="","",INDEX('Per Invoice'!S$2:S$401,$U241)))</f>
        <v/>
      </c>
      <c r="T241" s="7">
        <f>IF($U241="","",IF(INDEX('Per Invoice'!T$2:T$401,$U241)="","",INDEX('Per Invoice'!T$2:T$401,$U241)))</f>
        <v/>
      </c>
      <c r="U241" s="16">
        <f>IFERROR(MATCH(Settings!$C$30&amp;"|"&amp;ROWS($U$2:$U241),'Per Invoice'!$V$2:$V$401,0),"")</f>
        <v/>
      </c>
    </row>
    <row r="242">
      <c r="A242">
        <f>IF($U242="","",IF(INDEX('Per Invoice'!A$2:A$401,$U242)="","",INDEX('Per Invoice'!A$2:A$401,$U242)))</f>
        <v/>
      </c>
      <c r="B242">
        <f>IF($U242="","",IF(INDEX('Per Invoice'!B$2:B$401,$U242)="","",INDEX('Per Invoice'!B$2:B$401,$U242)))</f>
        <v/>
      </c>
      <c r="C242">
        <f>IF($U242="","",IF(INDEX('Per Invoice'!C$2:C$401,$U242)="","",INDEX('Per Invoice'!C$2:C$401,$U242)))</f>
        <v/>
      </c>
      <c r="D242">
        <f>IF($U242="","",IF(INDEX('Per Invoice'!D$2:D$401,$U242)="","",INDEX('Per Invoice'!D$2:D$401,$U242)))</f>
        <v/>
      </c>
      <c r="E242">
        <f>IF($U242="","",IF(INDEX('Per Invoice'!E$2:E$401,$U242)="","",INDEX('Per Invoice'!E$2:E$401,$U242)))</f>
        <v/>
      </c>
      <c r="F242">
        <f>IF($U242="","",IF(INDEX('Per Invoice'!F$2:F$401,$U242)="","",INDEX('Per Invoice'!F$2:F$401,$U242)))</f>
        <v/>
      </c>
      <c r="G242">
        <f>IF($U242="","",IF(INDEX('Per Invoice'!G$2:G$401,$U242)="","",INDEX('Per Invoice'!G$2:G$401,$U242)))</f>
        <v/>
      </c>
      <c r="H242" s="7">
        <f>IF($U242="","",IF(INDEX('Per Invoice'!H$2:H$401,$U242)="","",INDEX('Per Invoice'!H$2:H$401,$U242)))</f>
        <v/>
      </c>
      <c r="I242" s="14">
        <f>IF($U242="","",IF(INDEX('Per Invoice'!I$2:I$401,$U242)="","",INDEX('Per Invoice'!I$2:I$401,$U242)))</f>
        <v/>
      </c>
      <c r="J242">
        <f>IF($U242="","",IF(INDEX('Per Invoice'!J$2:J$401,$U242)="","",INDEX('Per Invoice'!J$2:J$401,$U242)))</f>
        <v/>
      </c>
      <c r="K242">
        <f>IF($U242="","",IF(INDEX('Per Invoice'!K$2:K$401,$U242)="","",INDEX('Per Invoice'!K$2:K$401,$U242)))</f>
        <v/>
      </c>
      <c r="L242" s="7">
        <f>IF($U242="","",IF(INDEX('Per Invoice'!L$2:L$401,$U242)="","",INDEX('Per Invoice'!L$2:L$401,$U242)))</f>
        <v/>
      </c>
      <c r="M242" s="7">
        <f>IF($U242="","",IF(INDEX('Per Invoice'!M$2:M$401,$U242)="","",INDEX('Per Invoice'!M$2:M$401,$U242)))</f>
        <v/>
      </c>
      <c r="N242">
        <f>IF($U242="","",IF(INDEX('Per Invoice'!N$2:N$401,$U242)="","",INDEX('Per Invoice'!N$2:N$401,$U242)))</f>
        <v/>
      </c>
      <c r="O242" s="7">
        <f>IF($U242="","",IF(INDEX('Per Invoice'!O$2:O$401,$U242)="","",INDEX('Per Invoice'!O$2:O$401,$U242)))</f>
        <v/>
      </c>
      <c r="P242" s="7">
        <f>IF($U242="","",IF(INDEX('Per Invoice'!P$2:P$401,$U242)="","",INDEX('Per Invoice'!P$2:P$401,$U242)))</f>
        <v/>
      </c>
      <c r="Q242" s="7">
        <f>IF($U242="","",IF(INDEX('Per Invoice'!Q$2:Q$401,$U242)="","",INDEX('Per Invoice'!Q$2:Q$401,$U242)))</f>
        <v/>
      </c>
      <c r="R242" s="7">
        <f>IF($U242="","",IF(INDEX('Per Invoice'!R$2:R$401,$U242)="","",INDEX('Per Invoice'!R$2:R$401,$U242)))</f>
        <v/>
      </c>
      <c r="S242" s="7">
        <f>IF($U242="","",IF(INDEX('Per Invoice'!S$2:S$401,$U242)="","",INDEX('Per Invoice'!S$2:S$401,$U242)))</f>
        <v/>
      </c>
      <c r="T242" s="7">
        <f>IF($U242="","",IF(INDEX('Per Invoice'!T$2:T$401,$U242)="","",INDEX('Per Invoice'!T$2:T$401,$U242)))</f>
        <v/>
      </c>
      <c r="U242" s="16">
        <f>IFERROR(MATCH(Settings!$C$30&amp;"|"&amp;ROWS($U$2:$U242),'Per Invoice'!$V$2:$V$401,0),"")</f>
        <v/>
      </c>
    </row>
    <row r="243">
      <c r="A243">
        <f>IF($U243="","",IF(INDEX('Per Invoice'!A$2:A$401,$U243)="","",INDEX('Per Invoice'!A$2:A$401,$U243)))</f>
        <v/>
      </c>
      <c r="B243">
        <f>IF($U243="","",IF(INDEX('Per Invoice'!B$2:B$401,$U243)="","",INDEX('Per Invoice'!B$2:B$401,$U243)))</f>
        <v/>
      </c>
      <c r="C243">
        <f>IF($U243="","",IF(INDEX('Per Invoice'!C$2:C$401,$U243)="","",INDEX('Per Invoice'!C$2:C$401,$U243)))</f>
        <v/>
      </c>
      <c r="D243">
        <f>IF($U243="","",IF(INDEX('Per Invoice'!D$2:D$401,$U243)="","",INDEX('Per Invoice'!D$2:D$401,$U243)))</f>
        <v/>
      </c>
      <c r="E243">
        <f>IF($U243="","",IF(INDEX('Per Invoice'!E$2:E$401,$U243)="","",INDEX('Per Invoice'!E$2:E$401,$U243)))</f>
        <v/>
      </c>
      <c r="F243">
        <f>IF($U243="","",IF(INDEX('Per Invoice'!F$2:F$401,$U243)="","",INDEX('Per Invoice'!F$2:F$401,$U243)))</f>
        <v/>
      </c>
      <c r="G243">
        <f>IF($U243="","",IF(INDEX('Per Invoice'!G$2:G$401,$U243)="","",INDEX('Per Invoice'!G$2:G$401,$U243)))</f>
        <v/>
      </c>
      <c r="H243" s="7">
        <f>IF($U243="","",IF(INDEX('Per Invoice'!H$2:H$401,$U243)="","",INDEX('Per Invoice'!H$2:H$401,$U243)))</f>
        <v/>
      </c>
      <c r="I243" s="14">
        <f>IF($U243="","",IF(INDEX('Per Invoice'!I$2:I$401,$U243)="","",INDEX('Per Invoice'!I$2:I$401,$U243)))</f>
        <v/>
      </c>
      <c r="J243">
        <f>IF($U243="","",IF(INDEX('Per Invoice'!J$2:J$401,$U243)="","",INDEX('Per Invoice'!J$2:J$401,$U243)))</f>
        <v/>
      </c>
      <c r="K243">
        <f>IF($U243="","",IF(INDEX('Per Invoice'!K$2:K$401,$U243)="","",INDEX('Per Invoice'!K$2:K$401,$U243)))</f>
        <v/>
      </c>
      <c r="L243" s="7">
        <f>IF($U243="","",IF(INDEX('Per Invoice'!L$2:L$401,$U243)="","",INDEX('Per Invoice'!L$2:L$401,$U243)))</f>
        <v/>
      </c>
      <c r="M243" s="7">
        <f>IF($U243="","",IF(INDEX('Per Invoice'!M$2:M$401,$U243)="","",INDEX('Per Invoice'!M$2:M$401,$U243)))</f>
        <v/>
      </c>
      <c r="N243">
        <f>IF($U243="","",IF(INDEX('Per Invoice'!N$2:N$401,$U243)="","",INDEX('Per Invoice'!N$2:N$401,$U243)))</f>
        <v/>
      </c>
      <c r="O243" s="7">
        <f>IF($U243="","",IF(INDEX('Per Invoice'!O$2:O$401,$U243)="","",INDEX('Per Invoice'!O$2:O$401,$U243)))</f>
        <v/>
      </c>
      <c r="P243" s="7">
        <f>IF($U243="","",IF(INDEX('Per Invoice'!P$2:P$401,$U243)="","",INDEX('Per Invoice'!P$2:P$401,$U243)))</f>
        <v/>
      </c>
      <c r="Q243" s="7">
        <f>IF($U243="","",IF(INDEX('Per Invoice'!Q$2:Q$401,$U243)="","",INDEX('Per Invoice'!Q$2:Q$401,$U243)))</f>
        <v/>
      </c>
      <c r="R243" s="7">
        <f>IF($U243="","",IF(INDEX('Per Invoice'!R$2:R$401,$U243)="","",INDEX('Per Invoice'!R$2:R$401,$U243)))</f>
        <v/>
      </c>
      <c r="S243" s="7">
        <f>IF($U243="","",IF(INDEX('Per Invoice'!S$2:S$401,$U243)="","",INDEX('Per Invoice'!S$2:S$401,$U243)))</f>
        <v/>
      </c>
      <c r="T243" s="7">
        <f>IF($U243="","",IF(INDEX('Per Invoice'!T$2:T$401,$U243)="","",INDEX('Per Invoice'!T$2:T$401,$U243)))</f>
        <v/>
      </c>
      <c r="U243" s="16">
        <f>IFERROR(MATCH(Settings!$C$30&amp;"|"&amp;ROWS($U$2:$U243),'Per Invoice'!$V$2:$V$401,0),"")</f>
        <v/>
      </c>
    </row>
    <row r="244">
      <c r="A244">
        <f>IF($U244="","",IF(INDEX('Per Invoice'!A$2:A$401,$U244)="","",INDEX('Per Invoice'!A$2:A$401,$U244)))</f>
        <v/>
      </c>
      <c r="B244">
        <f>IF($U244="","",IF(INDEX('Per Invoice'!B$2:B$401,$U244)="","",INDEX('Per Invoice'!B$2:B$401,$U244)))</f>
        <v/>
      </c>
      <c r="C244">
        <f>IF($U244="","",IF(INDEX('Per Invoice'!C$2:C$401,$U244)="","",INDEX('Per Invoice'!C$2:C$401,$U244)))</f>
        <v/>
      </c>
      <c r="D244">
        <f>IF($U244="","",IF(INDEX('Per Invoice'!D$2:D$401,$U244)="","",INDEX('Per Invoice'!D$2:D$401,$U244)))</f>
        <v/>
      </c>
      <c r="E244">
        <f>IF($U244="","",IF(INDEX('Per Invoice'!E$2:E$401,$U244)="","",INDEX('Per Invoice'!E$2:E$401,$U244)))</f>
        <v/>
      </c>
      <c r="F244">
        <f>IF($U244="","",IF(INDEX('Per Invoice'!F$2:F$401,$U244)="","",INDEX('Per Invoice'!F$2:F$401,$U244)))</f>
        <v/>
      </c>
      <c r="G244">
        <f>IF($U244="","",IF(INDEX('Per Invoice'!G$2:G$401,$U244)="","",INDEX('Per Invoice'!G$2:G$401,$U244)))</f>
        <v/>
      </c>
      <c r="H244" s="7">
        <f>IF($U244="","",IF(INDEX('Per Invoice'!H$2:H$401,$U244)="","",INDEX('Per Invoice'!H$2:H$401,$U244)))</f>
        <v/>
      </c>
      <c r="I244" s="14">
        <f>IF($U244="","",IF(INDEX('Per Invoice'!I$2:I$401,$U244)="","",INDEX('Per Invoice'!I$2:I$401,$U244)))</f>
        <v/>
      </c>
      <c r="J244">
        <f>IF($U244="","",IF(INDEX('Per Invoice'!J$2:J$401,$U244)="","",INDEX('Per Invoice'!J$2:J$401,$U244)))</f>
        <v/>
      </c>
      <c r="K244">
        <f>IF($U244="","",IF(INDEX('Per Invoice'!K$2:K$401,$U244)="","",INDEX('Per Invoice'!K$2:K$401,$U244)))</f>
        <v/>
      </c>
      <c r="L244" s="7">
        <f>IF($U244="","",IF(INDEX('Per Invoice'!L$2:L$401,$U244)="","",INDEX('Per Invoice'!L$2:L$401,$U244)))</f>
        <v/>
      </c>
      <c r="M244" s="7">
        <f>IF($U244="","",IF(INDEX('Per Invoice'!M$2:M$401,$U244)="","",INDEX('Per Invoice'!M$2:M$401,$U244)))</f>
        <v/>
      </c>
      <c r="N244">
        <f>IF($U244="","",IF(INDEX('Per Invoice'!N$2:N$401,$U244)="","",INDEX('Per Invoice'!N$2:N$401,$U244)))</f>
        <v/>
      </c>
      <c r="O244" s="7">
        <f>IF($U244="","",IF(INDEX('Per Invoice'!O$2:O$401,$U244)="","",INDEX('Per Invoice'!O$2:O$401,$U244)))</f>
        <v/>
      </c>
      <c r="P244" s="7">
        <f>IF($U244="","",IF(INDEX('Per Invoice'!P$2:P$401,$U244)="","",INDEX('Per Invoice'!P$2:P$401,$U244)))</f>
        <v/>
      </c>
      <c r="Q244" s="7">
        <f>IF($U244="","",IF(INDEX('Per Invoice'!Q$2:Q$401,$U244)="","",INDEX('Per Invoice'!Q$2:Q$401,$U244)))</f>
        <v/>
      </c>
      <c r="R244" s="7">
        <f>IF($U244="","",IF(INDEX('Per Invoice'!R$2:R$401,$U244)="","",INDEX('Per Invoice'!R$2:R$401,$U244)))</f>
        <v/>
      </c>
      <c r="S244" s="7">
        <f>IF($U244="","",IF(INDEX('Per Invoice'!S$2:S$401,$U244)="","",INDEX('Per Invoice'!S$2:S$401,$U244)))</f>
        <v/>
      </c>
      <c r="T244" s="7">
        <f>IF($U244="","",IF(INDEX('Per Invoice'!T$2:T$401,$U244)="","",INDEX('Per Invoice'!T$2:T$401,$U244)))</f>
        <v/>
      </c>
      <c r="U244" s="16">
        <f>IFERROR(MATCH(Settings!$C$30&amp;"|"&amp;ROWS($U$2:$U244),'Per Invoice'!$V$2:$V$401,0),"")</f>
        <v/>
      </c>
    </row>
    <row r="245">
      <c r="A245">
        <f>IF($U245="","",IF(INDEX('Per Invoice'!A$2:A$401,$U245)="","",INDEX('Per Invoice'!A$2:A$401,$U245)))</f>
        <v/>
      </c>
      <c r="B245">
        <f>IF($U245="","",IF(INDEX('Per Invoice'!B$2:B$401,$U245)="","",INDEX('Per Invoice'!B$2:B$401,$U245)))</f>
        <v/>
      </c>
      <c r="C245">
        <f>IF($U245="","",IF(INDEX('Per Invoice'!C$2:C$401,$U245)="","",INDEX('Per Invoice'!C$2:C$401,$U245)))</f>
        <v/>
      </c>
      <c r="D245">
        <f>IF($U245="","",IF(INDEX('Per Invoice'!D$2:D$401,$U245)="","",INDEX('Per Invoice'!D$2:D$401,$U245)))</f>
        <v/>
      </c>
      <c r="E245">
        <f>IF($U245="","",IF(INDEX('Per Invoice'!E$2:E$401,$U245)="","",INDEX('Per Invoice'!E$2:E$401,$U245)))</f>
        <v/>
      </c>
      <c r="F245">
        <f>IF($U245="","",IF(INDEX('Per Invoice'!F$2:F$401,$U245)="","",INDEX('Per Invoice'!F$2:F$401,$U245)))</f>
        <v/>
      </c>
      <c r="G245">
        <f>IF($U245="","",IF(INDEX('Per Invoice'!G$2:G$401,$U245)="","",INDEX('Per Invoice'!G$2:G$401,$U245)))</f>
        <v/>
      </c>
      <c r="H245" s="7">
        <f>IF($U245="","",IF(INDEX('Per Invoice'!H$2:H$401,$U245)="","",INDEX('Per Invoice'!H$2:H$401,$U245)))</f>
        <v/>
      </c>
      <c r="I245" s="14">
        <f>IF($U245="","",IF(INDEX('Per Invoice'!I$2:I$401,$U245)="","",INDEX('Per Invoice'!I$2:I$401,$U245)))</f>
        <v/>
      </c>
      <c r="J245">
        <f>IF($U245="","",IF(INDEX('Per Invoice'!J$2:J$401,$U245)="","",INDEX('Per Invoice'!J$2:J$401,$U245)))</f>
        <v/>
      </c>
      <c r="K245">
        <f>IF($U245="","",IF(INDEX('Per Invoice'!K$2:K$401,$U245)="","",INDEX('Per Invoice'!K$2:K$401,$U245)))</f>
        <v/>
      </c>
      <c r="L245" s="7">
        <f>IF($U245="","",IF(INDEX('Per Invoice'!L$2:L$401,$U245)="","",INDEX('Per Invoice'!L$2:L$401,$U245)))</f>
        <v/>
      </c>
      <c r="M245" s="7">
        <f>IF($U245="","",IF(INDEX('Per Invoice'!M$2:M$401,$U245)="","",INDEX('Per Invoice'!M$2:M$401,$U245)))</f>
        <v/>
      </c>
      <c r="N245">
        <f>IF($U245="","",IF(INDEX('Per Invoice'!N$2:N$401,$U245)="","",INDEX('Per Invoice'!N$2:N$401,$U245)))</f>
        <v/>
      </c>
      <c r="O245" s="7">
        <f>IF($U245="","",IF(INDEX('Per Invoice'!O$2:O$401,$U245)="","",INDEX('Per Invoice'!O$2:O$401,$U245)))</f>
        <v/>
      </c>
      <c r="P245" s="7">
        <f>IF($U245="","",IF(INDEX('Per Invoice'!P$2:P$401,$U245)="","",INDEX('Per Invoice'!P$2:P$401,$U245)))</f>
        <v/>
      </c>
      <c r="Q245" s="7">
        <f>IF($U245="","",IF(INDEX('Per Invoice'!Q$2:Q$401,$U245)="","",INDEX('Per Invoice'!Q$2:Q$401,$U245)))</f>
        <v/>
      </c>
      <c r="R245" s="7">
        <f>IF($U245="","",IF(INDEX('Per Invoice'!R$2:R$401,$U245)="","",INDEX('Per Invoice'!R$2:R$401,$U245)))</f>
        <v/>
      </c>
      <c r="S245" s="7">
        <f>IF($U245="","",IF(INDEX('Per Invoice'!S$2:S$401,$U245)="","",INDEX('Per Invoice'!S$2:S$401,$U245)))</f>
        <v/>
      </c>
      <c r="T245" s="7">
        <f>IF($U245="","",IF(INDEX('Per Invoice'!T$2:T$401,$U245)="","",INDEX('Per Invoice'!T$2:T$401,$U245)))</f>
        <v/>
      </c>
      <c r="U245" s="16">
        <f>IFERROR(MATCH(Settings!$C$30&amp;"|"&amp;ROWS($U$2:$U245),'Per Invoice'!$V$2:$V$401,0),"")</f>
        <v/>
      </c>
    </row>
    <row r="246">
      <c r="A246">
        <f>IF($U246="","",IF(INDEX('Per Invoice'!A$2:A$401,$U246)="","",INDEX('Per Invoice'!A$2:A$401,$U246)))</f>
        <v/>
      </c>
      <c r="B246">
        <f>IF($U246="","",IF(INDEX('Per Invoice'!B$2:B$401,$U246)="","",INDEX('Per Invoice'!B$2:B$401,$U246)))</f>
        <v/>
      </c>
      <c r="C246">
        <f>IF($U246="","",IF(INDEX('Per Invoice'!C$2:C$401,$U246)="","",INDEX('Per Invoice'!C$2:C$401,$U246)))</f>
        <v/>
      </c>
      <c r="D246">
        <f>IF($U246="","",IF(INDEX('Per Invoice'!D$2:D$401,$U246)="","",INDEX('Per Invoice'!D$2:D$401,$U246)))</f>
        <v/>
      </c>
      <c r="E246">
        <f>IF($U246="","",IF(INDEX('Per Invoice'!E$2:E$401,$U246)="","",INDEX('Per Invoice'!E$2:E$401,$U246)))</f>
        <v/>
      </c>
      <c r="F246">
        <f>IF($U246="","",IF(INDEX('Per Invoice'!F$2:F$401,$U246)="","",INDEX('Per Invoice'!F$2:F$401,$U246)))</f>
        <v/>
      </c>
      <c r="G246">
        <f>IF($U246="","",IF(INDEX('Per Invoice'!G$2:G$401,$U246)="","",INDEX('Per Invoice'!G$2:G$401,$U246)))</f>
        <v/>
      </c>
      <c r="H246" s="7">
        <f>IF($U246="","",IF(INDEX('Per Invoice'!H$2:H$401,$U246)="","",INDEX('Per Invoice'!H$2:H$401,$U246)))</f>
        <v/>
      </c>
      <c r="I246" s="14">
        <f>IF($U246="","",IF(INDEX('Per Invoice'!I$2:I$401,$U246)="","",INDEX('Per Invoice'!I$2:I$401,$U246)))</f>
        <v/>
      </c>
      <c r="J246">
        <f>IF($U246="","",IF(INDEX('Per Invoice'!J$2:J$401,$U246)="","",INDEX('Per Invoice'!J$2:J$401,$U246)))</f>
        <v/>
      </c>
      <c r="K246">
        <f>IF($U246="","",IF(INDEX('Per Invoice'!K$2:K$401,$U246)="","",INDEX('Per Invoice'!K$2:K$401,$U246)))</f>
        <v/>
      </c>
      <c r="L246" s="7">
        <f>IF($U246="","",IF(INDEX('Per Invoice'!L$2:L$401,$U246)="","",INDEX('Per Invoice'!L$2:L$401,$U246)))</f>
        <v/>
      </c>
      <c r="M246" s="7">
        <f>IF($U246="","",IF(INDEX('Per Invoice'!M$2:M$401,$U246)="","",INDEX('Per Invoice'!M$2:M$401,$U246)))</f>
        <v/>
      </c>
      <c r="N246">
        <f>IF($U246="","",IF(INDEX('Per Invoice'!N$2:N$401,$U246)="","",INDEX('Per Invoice'!N$2:N$401,$U246)))</f>
        <v/>
      </c>
      <c r="O246" s="7">
        <f>IF($U246="","",IF(INDEX('Per Invoice'!O$2:O$401,$U246)="","",INDEX('Per Invoice'!O$2:O$401,$U246)))</f>
        <v/>
      </c>
      <c r="P246" s="7">
        <f>IF($U246="","",IF(INDEX('Per Invoice'!P$2:P$401,$U246)="","",INDEX('Per Invoice'!P$2:P$401,$U246)))</f>
        <v/>
      </c>
      <c r="Q246" s="7">
        <f>IF($U246="","",IF(INDEX('Per Invoice'!Q$2:Q$401,$U246)="","",INDEX('Per Invoice'!Q$2:Q$401,$U246)))</f>
        <v/>
      </c>
      <c r="R246" s="7">
        <f>IF($U246="","",IF(INDEX('Per Invoice'!R$2:R$401,$U246)="","",INDEX('Per Invoice'!R$2:R$401,$U246)))</f>
        <v/>
      </c>
      <c r="S246" s="7">
        <f>IF($U246="","",IF(INDEX('Per Invoice'!S$2:S$401,$U246)="","",INDEX('Per Invoice'!S$2:S$401,$U246)))</f>
        <v/>
      </c>
      <c r="T246" s="7">
        <f>IF($U246="","",IF(INDEX('Per Invoice'!T$2:T$401,$U246)="","",INDEX('Per Invoice'!T$2:T$401,$U246)))</f>
        <v/>
      </c>
      <c r="U246" s="16">
        <f>IFERROR(MATCH(Settings!$C$30&amp;"|"&amp;ROWS($U$2:$U246),'Per Invoice'!$V$2:$V$401,0),"")</f>
        <v/>
      </c>
    </row>
    <row r="247">
      <c r="A247">
        <f>IF($U247="","",IF(INDEX('Per Invoice'!A$2:A$401,$U247)="","",INDEX('Per Invoice'!A$2:A$401,$U247)))</f>
        <v/>
      </c>
      <c r="B247">
        <f>IF($U247="","",IF(INDEX('Per Invoice'!B$2:B$401,$U247)="","",INDEX('Per Invoice'!B$2:B$401,$U247)))</f>
        <v/>
      </c>
      <c r="C247">
        <f>IF($U247="","",IF(INDEX('Per Invoice'!C$2:C$401,$U247)="","",INDEX('Per Invoice'!C$2:C$401,$U247)))</f>
        <v/>
      </c>
      <c r="D247">
        <f>IF($U247="","",IF(INDEX('Per Invoice'!D$2:D$401,$U247)="","",INDEX('Per Invoice'!D$2:D$401,$U247)))</f>
        <v/>
      </c>
      <c r="E247">
        <f>IF($U247="","",IF(INDEX('Per Invoice'!E$2:E$401,$U247)="","",INDEX('Per Invoice'!E$2:E$401,$U247)))</f>
        <v/>
      </c>
      <c r="F247">
        <f>IF($U247="","",IF(INDEX('Per Invoice'!F$2:F$401,$U247)="","",INDEX('Per Invoice'!F$2:F$401,$U247)))</f>
        <v/>
      </c>
      <c r="G247">
        <f>IF($U247="","",IF(INDEX('Per Invoice'!G$2:G$401,$U247)="","",INDEX('Per Invoice'!G$2:G$401,$U247)))</f>
        <v/>
      </c>
      <c r="H247" s="7">
        <f>IF($U247="","",IF(INDEX('Per Invoice'!H$2:H$401,$U247)="","",INDEX('Per Invoice'!H$2:H$401,$U247)))</f>
        <v/>
      </c>
      <c r="I247" s="14">
        <f>IF($U247="","",IF(INDEX('Per Invoice'!I$2:I$401,$U247)="","",INDEX('Per Invoice'!I$2:I$401,$U247)))</f>
        <v/>
      </c>
      <c r="J247">
        <f>IF($U247="","",IF(INDEX('Per Invoice'!J$2:J$401,$U247)="","",INDEX('Per Invoice'!J$2:J$401,$U247)))</f>
        <v/>
      </c>
      <c r="K247">
        <f>IF($U247="","",IF(INDEX('Per Invoice'!K$2:K$401,$U247)="","",INDEX('Per Invoice'!K$2:K$401,$U247)))</f>
        <v/>
      </c>
      <c r="L247" s="7">
        <f>IF($U247="","",IF(INDEX('Per Invoice'!L$2:L$401,$U247)="","",INDEX('Per Invoice'!L$2:L$401,$U247)))</f>
        <v/>
      </c>
      <c r="M247" s="7">
        <f>IF($U247="","",IF(INDEX('Per Invoice'!M$2:M$401,$U247)="","",INDEX('Per Invoice'!M$2:M$401,$U247)))</f>
        <v/>
      </c>
      <c r="N247">
        <f>IF($U247="","",IF(INDEX('Per Invoice'!N$2:N$401,$U247)="","",INDEX('Per Invoice'!N$2:N$401,$U247)))</f>
        <v/>
      </c>
      <c r="O247" s="7">
        <f>IF($U247="","",IF(INDEX('Per Invoice'!O$2:O$401,$U247)="","",INDEX('Per Invoice'!O$2:O$401,$U247)))</f>
        <v/>
      </c>
      <c r="P247" s="7">
        <f>IF($U247="","",IF(INDEX('Per Invoice'!P$2:P$401,$U247)="","",INDEX('Per Invoice'!P$2:P$401,$U247)))</f>
        <v/>
      </c>
      <c r="Q247" s="7">
        <f>IF($U247="","",IF(INDEX('Per Invoice'!Q$2:Q$401,$U247)="","",INDEX('Per Invoice'!Q$2:Q$401,$U247)))</f>
        <v/>
      </c>
      <c r="R247" s="7">
        <f>IF($U247="","",IF(INDEX('Per Invoice'!R$2:R$401,$U247)="","",INDEX('Per Invoice'!R$2:R$401,$U247)))</f>
        <v/>
      </c>
      <c r="S247" s="7">
        <f>IF($U247="","",IF(INDEX('Per Invoice'!S$2:S$401,$U247)="","",INDEX('Per Invoice'!S$2:S$401,$U247)))</f>
        <v/>
      </c>
      <c r="T247" s="7">
        <f>IF($U247="","",IF(INDEX('Per Invoice'!T$2:T$401,$U247)="","",INDEX('Per Invoice'!T$2:T$401,$U247)))</f>
        <v/>
      </c>
      <c r="U247" s="16">
        <f>IFERROR(MATCH(Settings!$C$30&amp;"|"&amp;ROWS($U$2:$U247),'Per Invoice'!$V$2:$V$401,0),"")</f>
        <v/>
      </c>
    </row>
    <row r="248">
      <c r="A248">
        <f>IF($U248="","",IF(INDEX('Per Invoice'!A$2:A$401,$U248)="","",INDEX('Per Invoice'!A$2:A$401,$U248)))</f>
        <v/>
      </c>
      <c r="B248">
        <f>IF($U248="","",IF(INDEX('Per Invoice'!B$2:B$401,$U248)="","",INDEX('Per Invoice'!B$2:B$401,$U248)))</f>
        <v/>
      </c>
      <c r="C248">
        <f>IF($U248="","",IF(INDEX('Per Invoice'!C$2:C$401,$U248)="","",INDEX('Per Invoice'!C$2:C$401,$U248)))</f>
        <v/>
      </c>
      <c r="D248">
        <f>IF($U248="","",IF(INDEX('Per Invoice'!D$2:D$401,$U248)="","",INDEX('Per Invoice'!D$2:D$401,$U248)))</f>
        <v/>
      </c>
      <c r="E248">
        <f>IF($U248="","",IF(INDEX('Per Invoice'!E$2:E$401,$U248)="","",INDEX('Per Invoice'!E$2:E$401,$U248)))</f>
        <v/>
      </c>
      <c r="F248">
        <f>IF($U248="","",IF(INDEX('Per Invoice'!F$2:F$401,$U248)="","",INDEX('Per Invoice'!F$2:F$401,$U248)))</f>
        <v/>
      </c>
      <c r="G248">
        <f>IF($U248="","",IF(INDEX('Per Invoice'!G$2:G$401,$U248)="","",INDEX('Per Invoice'!G$2:G$401,$U248)))</f>
        <v/>
      </c>
      <c r="H248" s="7">
        <f>IF($U248="","",IF(INDEX('Per Invoice'!H$2:H$401,$U248)="","",INDEX('Per Invoice'!H$2:H$401,$U248)))</f>
        <v/>
      </c>
      <c r="I248" s="14">
        <f>IF($U248="","",IF(INDEX('Per Invoice'!I$2:I$401,$U248)="","",INDEX('Per Invoice'!I$2:I$401,$U248)))</f>
        <v/>
      </c>
      <c r="J248">
        <f>IF($U248="","",IF(INDEX('Per Invoice'!J$2:J$401,$U248)="","",INDEX('Per Invoice'!J$2:J$401,$U248)))</f>
        <v/>
      </c>
      <c r="K248">
        <f>IF($U248="","",IF(INDEX('Per Invoice'!K$2:K$401,$U248)="","",INDEX('Per Invoice'!K$2:K$401,$U248)))</f>
        <v/>
      </c>
      <c r="L248" s="7">
        <f>IF($U248="","",IF(INDEX('Per Invoice'!L$2:L$401,$U248)="","",INDEX('Per Invoice'!L$2:L$401,$U248)))</f>
        <v/>
      </c>
      <c r="M248" s="7">
        <f>IF($U248="","",IF(INDEX('Per Invoice'!M$2:M$401,$U248)="","",INDEX('Per Invoice'!M$2:M$401,$U248)))</f>
        <v/>
      </c>
      <c r="N248">
        <f>IF($U248="","",IF(INDEX('Per Invoice'!N$2:N$401,$U248)="","",INDEX('Per Invoice'!N$2:N$401,$U248)))</f>
        <v/>
      </c>
      <c r="O248" s="7">
        <f>IF($U248="","",IF(INDEX('Per Invoice'!O$2:O$401,$U248)="","",INDEX('Per Invoice'!O$2:O$401,$U248)))</f>
        <v/>
      </c>
      <c r="P248" s="7">
        <f>IF($U248="","",IF(INDEX('Per Invoice'!P$2:P$401,$U248)="","",INDEX('Per Invoice'!P$2:P$401,$U248)))</f>
        <v/>
      </c>
      <c r="Q248" s="7">
        <f>IF($U248="","",IF(INDEX('Per Invoice'!Q$2:Q$401,$U248)="","",INDEX('Per Invoice'!Q$2:Q$401,$U248)))</f>
        <v/>
      </c>
      <c r="R248" s="7">
        <f>IF($U248="","",IF(INDEX('Per Invoice'!R$2:R$401,$U248)="","",INDEX('Per Invoice'!R$2:R$401,$U248)))</f>
        <v/>
      </c>
      <c r="S248" s="7">
        <f>IF($U248="","",IF(INDEX('Per Invoice'!S$2:S$401,$U248)="","",INDEX('Per Invoice'!S$2:S$401,$U248)))</f>
        <v/>
      </c>
      <c r="T248" s="7">
        <f>IF($U248="","",IF(INDEX('Per Invoice'!T$2:T$401,$U248)="","",INDEX('Per Invoice'!T$2:T$401,$U248)))</f>
        <v/>
      </c>
      <c r="U248" s="16">
        <f>IFERROR(MATCH(Settings!$C$30&amp;"|"&amp;ROWS($U$2:$U248),'Per Invoice'!$V$2:$V$401,0),"")</f>
        <v/>
      </c>
    </row>
    <row r="249">
      <c r="A249">
        <f>IF($U249="","",IF(INDEX('Per Invoice'!A$2:A$401,$U249)="","",INDEX('Per Invoice'!A$2:A$401,$U249)))</f>
        <v/>
      </c>
      <c r="B249">
        <f>IF($U249="","",IF(INDEX('Per Invoice'!B$2:B$401,$U249)="","",INDEX('Per Invoice'!B$2:B$401,$U249)))</f>
        <v/>
      </c>
      <c r="C249">
        <f>IF($U249="","",IF(INDEX('Per Invoice'!C$2:C$401,$U249)="","",INDEX('Per Invoice'!C$2:C$401,$U249)))</f>
        <v/>
      </c>
      <c r="D249">
        <f>IF($U249="","",IF(INDEX('Per Invoice'!D$2:D$401,$U249)="","",INDEX('Per Invoice'!D$2:D$401,$U249)))</f>
        <v/>
      </c>
      <c r="E249">
        <f>IF($U249="","",IF(INDEX('Per Invoice'!E$2:E$401,$U249)="","",INDEX('Per Invoice'!E$2:E$401,$U249)))</f>
        <v/>
      </c>
      <c r="F249">
        <f>IF($U249="","",IF(INDEX('Per Invoice'!F$2:F$401,$U249)="","",INDEX('Per Invoice'!F$2:F$401,$U249)))</f>
        <v/>
      </c>
      <c r="G249">
        <f>IF($U249="","",IF(INDEX('Per Invoice'!G$2:G$401,$U249)="","",INDEX('Per Invoice'!G$2:G$401,$U249)))</f>
        <v/>
      </c>
      <c r="H249" s="7">
        <f>IF($U249="","",IF(INDEX('Per Invoice'!H$2:H$401,$U249)="","",INDEX('Per Invoice'!H$2:H$401,$U249)))</f>
        <v/>
      </c>
      <c r="I249" s="14">
        <f>IF($U249="","",IF(INDEX('Per Invoice'!I$2:I$401,$U249)="","",INDEX('Per Invoice'!I$2:I$401,$U249)))</f>
        <v/>
      </c>
      <c r="J249">
        <f>IF($U249="","",IF(INDEX('Per Invoice'!J$2:J$401,$U249)="","",INDEX('Per Invoice'!J$2:J$401,$U249)))</f>
        <v/>
      </c>
      <c r="K249">
        <f>IF($U249="","",IF(INDEX('Per Invoice'!K$2:K$401,$U249)="","",INDEX('Per Invoice'!K$2:K$401,$U249)))</f>
        <v/>
      </c>
      <c r="L249" s="7">
        <f>IF($U249="","",IF(INDEX('Per Invoice'!L$2:L$401,$U249)="","",INDEX('Per Invoice'!L$2:L$401,$U249)))</f>
        <v/>
      </c>
      <c r="M249" s="7">
        <f>IF($U249="","",IF(INDEX('Per Invoice'!M$2:M$401,$U249)="","",INDEX('Per Invoice'!M$2:M$401,$U249)))</f>
        <v/>
      </c>
      <c r="N249">
        <f>IF($U249="","",IF(INDEX('Per Invoice'!N$2:N$401,$U249)="","",INDEX('Per Invoice'!N$2:N$401,$U249)))</f>
        <v/>
      </c>
      <c r="O249" s="7">
        <f>IF($U249="","",IF(INDEX('Per Invoice'!O$2:O$401,$U249)="","",INDEX('Per Invoice'!O$2:O$401,$U249)))</f>
        <v/>
      </c>
      <c r="P249" s="7">
        <f>IF($U249="","",IF(INDEX('Per Invoice'!P$2:P$401,$U249)="","",INDEX('Per Invoice'!P$2:P$401,$U249)))</f>
        <v/>
      </c>
      <c r="Q249" s="7">
        <f>IF($U249="","",IF(INDEX('Per Invoice'!Q$2:Q$401,$U249)="","",INDEX('Per Invoice'!Q$2:Q$401,$U249)))</f>
        <v/>
      </c>
      <c r="R249" s="7">
        <f>IF($U249="","",IF(INDEX('Per Invoice'!R$2:R$401,$U249)="","",INDEX('Per Invoice'!R$2:R$401,$U249)))</f>
        <v/>
      </c>
      <c r="S249" s="7">
        <f>IF($U249="","",IF(INDEX('Per Invoice'!S$2:S$401,$U249)="","",INDEX('Per Invoice'!S$2:S$401,$U249)))</f>
        <v/>
      </c>
      <c r="T249" s="7">
        <f>IF($U249="","",IF(INDEX('Per Invoice'!T$2:T$401,$U249)="","",INDEX('Per Invoice'!T$2:T$401,$U249)))</f>
        <v/>
      </c>
      <c r="U249" s="16">
        <f>IFERROR(MATCH(Settings!$C$30&amp;"|"&amp;ROWS($U$2:$U249),'Per Invoice'!$V$2:$V$401,0),"")</f>
        <v/>
      </c>
    </row>
    <row r="250">
      <c r="A250">
        <f>IF($U250="","",IF(INDEX('Per Invoice'!A$2:A$401,$U250)="","",INDEX('Per Invoice'!A$2:A$401,$U250)))</f>
        <v/>
      </c>
      <c r="B250">
        <f>IF($U250="","",IF(INDEX('Per Invoice'!B$2:B$401,$U250)="","",INDEX('Per Invoice'!B$2:B$401,$U250)))</f>
        <v/>
      </c>
      <c r="C250">
        <f>IF($U250="","",IF(INDEX('Per Invoice'!C$2:C$401,$U250)="","",INDEX('Per Invoice'!C$2:C$401,$U250)))</f>
        <v/>
      </c>
      <c r="D250">
        <f>IF($U250="","",IF(INDEX('Per Invoice'!D$2:D$401,$U250)="","",INDEX('Per Invoice'!D$2:D$401,$U250)))</f>
        <v/>
      </c>
      <c r="E250">
        <f>IF($U250="","",IF(INDEX('Per Invoice'!E$2:E$401,$U250)="","",INDEX('Per Invoice'!E$2:E$401,$U250)))</f>
        <v/>
      </c>
      <c r="F250">
        <f>IF($U250="","",IF(INDEX('Per Invoice'!F$2:F$401,$U250)="","",INDEX('Per Invoice'!F$2:F$401,$U250)))</f>
        <v/>
      </c>
      <c r="G250">
        <f>IF($U250="","",IF(INDEX('Per Invoice'!G$2:G$401,$U250)="","",INDEX('Per Invoice'!G$2:G$401,$U250)))</f>
        <v/>
      </c>
      <c r="H250" s="7">
        <f>IF($U250="","",IF(INDEX('Per Invoice'!H$2:H$401,$U250)="","",INDEX('Per Invoice'!H$2:H$401,$U250)))</f>
        <v/>
      </c>
      <c r="I250" s="14">
        <f>IF($U250="","",IF(INDEX('Per Invoice'!I$2:I$401,$U250)="","",INDEX('Per Invoice'!I$2:I$401,$U250)))</f>
        <v/>
      </c>
      <c r="J250">
        <f>IF($U250="","",IF(INDEX('Per Invoice'!J$2:J$401,$U250)="","",INDEX('Per Invoice'!J$2:J$401,$U250)))</f>
        <v/>
      </c>
      <c r="K250">
        <f>IF($U250="","",IF(INDEX('Per Invoice'!K$2:K$401,$U250)="","",INDEX('Per Invoice'!K$2:K$401,$U250)))</f>
        <v/>
      </c>
      <c r="L250" s="7">
        <f>IF($U250="","",IF(INDEX('Per Invoice'!L$2:L$401,$U250)="","",INDEX('Per Invoice'!L$2:L$401,$U250)))</f>
        <v/>
      </c>
      <c r="M250" s="7">
        <f>IF($U250="","",IF(INDEX('Per Invoice'!M$2:M$401,$U250)="","",INDEX('Per Invoice'!M$2:M$401,$U250)))</f>
        <v/>
      </c>
      <c r="N250">
        <f>IF($U250="","",IF(INDEX('Per Invoice'!N$2:N$401,$U250)="","",INDEX('Per Invoice'!N$2:N$401,$U250)))</f>
        <v/>
      </c>
      <c r="O250" s="7">
        <f>IF($U250="","",IF(INDEX('Per Invoice'!O$2:O$401,$U250)="","",INDEX('Per Invoice'!O$2:O$401,$U250)))</f>
        <v/>
      </c>
      <c r="P250" s="7">
        <f>IF($U250="","",IF(INDEX('Per Invoice'!P$2:P$401,$U250)="","",INDEX('Per Invoice'!P$2:P$401,$U250)))</f>
        <v/>
      </c>
      <c r="Q250" s="7">
        <f>IF($U250="","",IF(INDEX('Per Invoice'!Q$2:Q$401,$U250)="","",INDEX('Per Invoice'!Q$2:Q$401,$U250)))</f>
        <v/>
      </c>
      <c r="R250" s="7">
        <f>IF($U250="","",IF(INDEX('Per Invoice'!R$2:R$401,$U250)="","",INDEX('Per Invoice'!R$2:R$401,$U250)))</f>
        <v/>
      </c>
      <c r="S250" s="7">
        <f>IF($U250="","",IF(INDEX('Per Invoice'!S$2:S$401,$U250)="","",INDEX('Per Invoice'!S$2:S$401,$U250)))</f>
        <v/>
      </c>
      <c r="T250" s="7">
        <f>IF($U250="","",IF(INDEX('Per Invoice'!T$2:T$401,$U250)="","",INDEX('Per Invoice'!T$2:T$401,$U250)))</f>
        <v/>
      </c>
      <c r="U250" s="16">
        <f>IFERROR(MATCH(Settings!$C$30&amp;"|"&amp;ROWS($U$2:$U250),'Per Invoice'!$V$2:$V$401,0),"")</f>
        <v/>
      </c>
    </row>
    <row r="251">
      <c r="A251">
        <f>IF($U251="","",IF(INDEX('Per Invoice'!A$2:A$401,$U251)="","",INDEX('Per Invoice'!A$2:A$401,$U251)))</f>
        <v/>
      </c>
      <c r="B251">
        <f>IF($U251="","",IF(INDEX('Per Invoice'!B$2:B$401,$U251)="","",INDEX('Per Invoice'!B$2:B$401,$U251)))</f>
        <v/>
      </c>
      <c r="C251">
        <f>IF($U251="","",IF(INDEX('Per Invoice'!C$2:C$401,$U251)="","",INDEX('Per Invoice'!C$2:C$401,$U251)))</f>
        <v/>
      </c>
      <c r="D251">
        <f>IF($U251="","",IF(INDEX('Per Invoice'!D$2:D$401,$U251)="","",INDEX('Per Invoice'!D$2:D$401,$U251)))</f>
        <v/>
      </c>
      <c r="E251">
        <f>IF($U251="","",IF(INDEX('Per Invoice'!E$2:E$401,$U251)="","",INDEX('Per Invoice'!E$2:E$401,$U251)))</f>
        <v/>
      </c>
      <c r="F251">
        <f>IF($U251="","",IF(INDEX('Per Invoice'!F$2:F$401,$U251)="","",INDEX('Per Invoice'!F$2:F$401,$U251)))</f>
        <v/>
      </c>
      <c r="G251">
        <f>IF($U251="","",IF(INDEX('Per Invoice'!G$2:G$401,$U251)="","",INDEX('Per Invoice'!G$2:G$401,$U251)))</f>
        <v/>
      </c>
      <c r="H251" s="7">
        <f>IF($U251="","",IF(INDEX('Per Invoice'!H$2:H$401,$U251)="","",INDEX('Per Invoice'!H$2:H$401,$U251)))</f>
        <v/>
      </c>
      <c r="I251" s="14">
        <f>IF($U251="","",IF(INDEX('Per Invoice'!I$2:I$401,$U251)="","",INDEX('Per Invoice'!I$2:I$401,$U251)))</f>
        <v/>
      </c>
      <c r="J251">
        <f>IF($U251="","",IF(INDEX('Per Invoice'!J$2:J$401,$U251)="","",INDEX('Per Invoice'!J$2:J$401,$U251)))</f>
        <v/>
      </c>
      <c r="K251">
        <f>IF($U251="","",IF(INDEX('Per Invoice'!K$2:K$401,$U251)="","",INDEX('Per Invoice'!K$2:K$401,$U251)))</f>
        <v/>
      </c>
      <c r="L251" s="7">
        <f>IF($U251="","",IF(INDEX('Per Invoice'!L$2:L$401,$U251)="","",INDEX('Per Invoice'!L$2:L$401,$U251)))</f>
        <v/>
      </c>
      <c r="M251" s="7">
        <f>IF($U251="","",IF(INDEX('Per Invoice'!M$2:M$401,$U251)="","",INDEX('Per Invoice'!M$2:M$401,$U251)))</f>
        <v/>
      </c>
      <c r="N251">
        <f>IF($U251="","",IF(INDEX('Per Invoice'!N$2:N$401,$U251)="","",INDEX('Per Invoice'!N$2:N$401,$U251)))</f>
        <v/>
      </c>
      <c r="O251" s="7">
        <f>IF($U251="","",IF(INDEX('Per Invoice'!O$2:O$401,$U251)="","",INDEX('Per Invoice'!O$2:O$401,$U251)))</f>
        <v/>
      </c>
      <c r="P251" s="7">
        <f>IF($U251="","",IF(INDEX('Per Invoice'!P$2:P$401,$U251)="","",INDEX('Per Invoice'!P$2:P$401,$U251)))</f>
        <v/>
      </c>
      <c r="Q251" s="7">
        <f>IF($U251="","",IF(INDEX('Per Invoice'!Q$2:Q$401,$U251)="","",INDEX('Per Invoice'!Q$2:Q$401,$U251)))</f>
        <v/>
      </c>
      <c r="R251" s="7">
        <f>IF($U251="","",IF(INDEX('Per Invoice'!R$2:R$401,$U251)="","",INDEX('Per Invoice'!R$2:R$401,$U251)))</f>
        <v/>
      </c>
      <c r="S251" s="7">
        <f>IF($U251="","",IF(INDEX('Per Invoice'!S$2:S$401,$U251)="","",INDEX('Per Invoice'!S$2:S$401,$U251)))</f>
        <v/>
      </c>
      <c r="T251" s="7">
        <f>IF($U251="","",IF(INDEX('Per Invoice'!T$2:T$401,$U251)="","",INDEX('Per Invoice'!T$2:T$401,$U251)))</f>
        <v/>
      </c>
      <c r="U251" s="16">
        <f>IFERROR(MATCH(Settings!$C$30&amp;"|"&amp;ROWS($U$2:$U251),'Per Invoice'!$V$2:$V$401,0),"")</f>
        <v/>
      </c>
    </row>
    <row r="252">
      <c r="A252">
        <f>IF($U252="","",IF(INDEX('Per Invoice'!A$2:A$401,$U252)="","",INDEX('Per Invoice'!A$2:A$401,$U252)))</f>
        <v/>
      </c>
      <c r="B252">
        <f>IF($U252="","",IF(INDEX('Per Invoice'!B$2:B$401,$U252)="","",INDEX('Per Invoice'!B$2:B$401,$U252)))</f>
        <v/>
      </c>
      <c r="C252">
        <f>IF($U252="","",IF(INDEX('Per Invoice'!C$2:C$401,$U252)="","",INDEX('Per Invoice'!C$2:C$401,$U252)))</f>
        <v/>
      </c>
      <c r="D252">
        <f>IF($U252="","",IF(INDEX('Per Invoice'!D$2:D$401,$U252)="","",INDEX('Per Invoice'!D$2:D$401,$U252)))</f>
        <v/>
      </c>
      <c r="E252">
        <f>IF($U252="","",IF(INDEX('Per Invoice'!E$2:E$401,$U252)="","",INDEX('Per Invoice'!E$2:E$401,$U252)))</f>
        <v/>
      </c>
      <c r="F252">
        <f>IF($U252="","",IF(INDEX('Per Invoice'!F$2:F$401,$U252)="","",INDEX('Per Invoice'!F$2:F$401,$U252)))</f>
        <v/>
      </c>
      <c r="G252">
        <f>IF($U252="","",IF(INDEX('Per Invoice'!G$2:G$401,$U252)="","",INDEX('Per Invoice'!G$2:G$401,$U252)))</f>
        <v/>
      </c>
      <c r="H252" s="7">
        <f>IF($U252="","",IF(INDEX('Per Invoice'!H$2:H$401,$U252)="","",INDEX('Per Invoice'!H$2:H$401,$U252)))</f>
        <v/>
      </c>
      <c r="I252" s="14">
        <f>IF($U252="","",IF(INDEX('Per Invoice'!I$2:I$401,$U252)="","",INDEX('Per Invoice'!I$2:I$401,$U252)))</f>
        <v/>
      </c>
      <c r="J252">
        <f>IF($U252="","",IF(INDEX('Per Invoice'!J$2:J$401,$U252)="","",INDEX('Per Invoice'!J$2:J$401,$U252)))</f>
        <v/>
      </c>
      <c r="K252">
        <f>IF($U252="","",IF(INDEX('Per Invoice'!K$2:K$401,$U252)="","",INDEX('Per Invoice'!K$2:K$401,$U252)))</f>
        <v/>
      </c>
      <c r="L252" s="7">
        <f>IF($U252="","",IF(INDEX('Per Invoice'!L$2:L$401,$U252)="","",INDEX('Per Invoice'!L$2:L$401,$U252)))</f>
        <v/>
      </c>
      <c r="M252" s="7">
        <f>IF($U252="","",IF(INDEX('Per Invoice'!M$2:M$401,$U252)="","",INDEX('Per Invoice'!M$2:M$401,$U252)))</f>
        <v/>
      </c>
      <c r="N252">
        <f>IF($U252="","",IF(INDEX('Per Invoice'!N$2:N$401,$U252)="","",INDEX('Per Invoice'!N$2:N$401,$U252)))</f>
        <v/>
      </c>
      <c r="O252" s="7">
        <f>IF($U252="","",IF(INDEX('Per Invoice'!O$2:O$401,$U252)="","",INDEX('Per Invoice'!O$2:O$401,$U252)))</f>
        <v/>
      </c>
      <c r="P252" s="7">
        <f>IF($U252="","",IF(INDEX('Per Invoice'!P$2:P$401,$U252)="","",INDEX('Per Invoice'!P$2:P$401,$U252)))</f>
        <v/>
      </c>
      <c r="Q252" s="7">
        <f>IF($U252="","",IF(INDEX('Per Invoice'!Q$2:Q$401,$U252)="","",INDEX('Per Invoice'!Q$2:Q$401,$U252)))</f>
        <v/>
      </c>
      <c r="R252" s="7">
        <f>IF($U252="","",IF(INDEX('Per Invoice'!R$2:R$401,$U252)="","",INDEX('Per Invoice'!R$2:R$401,$U252)))</f>
        <v/>
      </c>
      <c r="S252" s="7">
        <f>IF($U252="","",IF(INDEX('Per Invoice'!S$2:S$401,$U252)="","",INDEX('Per Invoice'!S$2:S$401,$U252)))</f>
        <v/>
      </c>
      <c r="T252" s="7">
        <f>IF($U252="","",IF(INDEX('Per Invoice'!T$2:T$401,$U252)="","",INDEX('Per Invoice'!T$2:T$401,$U252)))</f>
        <v/>
      </c>
      <c r="U252" s="16">
        <f>IFERROR(MATCH(Settings!$C$30&amp;"|"&amp;ROWS($U$2:$U252),'Per Invoice'!$V$2:$V$401,0),"")</f>
        <v/>
      </c>
    </row>
    <row r="253">
      <c r="A253">
        <f>IF($U253="","",IF(INDEX('Per Invoice'!A$2:A$401,$U253)="","",INDEX('Per Invoice'!A$2:A$401,$U253)))</f>
        <v/>
      </c>
      <c r="B253">
        <f>IF($U253="","",IF(INDEX('Per Invoice'!B$2:B$401,$U253)="","",INDEX('Per Invoice'!B$2:B$401,$U253)))</f>
        <v/>
      </c>
      <c r="C253">
        <f>IF($U253="","",IF(INDEX('Per Invoice'!C$2:C$401,$U253)="","",INDEX('Per Invoice'!C$2:C$401,$U253)))</f>
        <v/>
      </c>
      <c r="D253">
        <f>IF($U253="","",IF(INDEX('Per Invoice'!D$2:D$401,$U253)="","",INDEX('Per Invoice'!D$2:D$401,$U253)))</f>
        <v/>
      </c>
      <c r="E253">
        <f>IF($U253="","",IF(INDEX('Per Invoice'!E$2:E$401,$U253)="","",INDEX('Per Invoice'!E$2:E$401,$U253)))</f>
        <v/>
      </c>
      <c r="F253">
        <f>IF($U253="","",IF(INDEX('Per Invoice'!F$2:F$401,$U253)="","",INDEX('Per Invoice'!F$2:F$401,$U253)))</f>
        <v/>
      </c>
      <c r="G253">
        <f>IF($U253="","",IF(INDEX('Per Invoice'!G$2:G$401,$U253)="","",INDEX('Per Invoice'!G$2:G$401,$U253)))</f>
        <v/>
      </c>
      <c r="H253" s="7">
        <f>IF($U253="","",IF(INDEX('Per Invoice'!H$2:H$401,$U253)="","",INDEX('Per Invoice'!H$2:H$401,$U253)))</f>
        <v/>
      </c>
      <c r="I253" s="14">
        <f>IF($U253="","",IF(INDEX('Per Invoice'!I$2:I$401,$U253)="","",INDEX('Per Invoice'!I$2:I$401,$U253)))</f>
        <v/>
      </c>
      <c r="J253">
        <f>IF($U253="","",IF(INDEX('Per Invoice'!J$2:J$401,$U253)="","",INDEX('Per Invoice'!J$2:J$401,$U253)))</f>
        <v/>
      </c>
      <c r="K253">
        <f>IF($U253="","",IF(INDEX('Per Invoice'!K$2:K$401,$U253)="","",INDEX('Per Invoice'!K$2:K$401,$U253)))</f>
        <v/>
      </c>
      <c r="L253" s="7">
        <f>IF($U253="","",IF(INDEX('Per Invoice'!L$2:L$401,$U253)="","",INDEX('Per Invoice'!L$2:L$401,$U253)))</f>
        <v/>
      </c>
      <c r="M253" s="7">
        <f>IF($U253="","",IF(INDEX('Per Invoice'!M$2:M$401,$U253)="","",INDEX('Per Invoice'!M$2:M$401,$U253)))</f>
        <v/>
      </c>
      <c r="N253">
        <f>IF($U253="","",IF(INDEX('Per Invoice'!N$2:N$401,$U253)="","",INDEX('Per Invoice'!N$2:N$401,$U253)))</f>
        <v/>
      </c>
      <c r="O253" s="7">
        <f>IF($U253="","",IF(INDEX('Per Invoice'!O$2:O$401,$U253)="","",INDEX('Per Invoice'!O$2:O$401,$U253)))</f>
        <v/>
      </c>
      <c r="P253" s="7">
        <f>IF($U253="","",IF(INDEX('Per Invoice'!P$2:P$401,$U253)="","",INDEX('Per Invoice'!P$2:P$401,$U253)))</f>
        <v/>
      </c>
      <c r="Q253" s="7">
        <f>IF($U253="","",IF(INDEX('Per Invoice'!Q$2:Q$401,$U253)="","",INDEX('Per Invoice'!Q$2:Q$401,$U253)))</f>
        <v/>
      </c>
      <c r="R253" s="7">
        <f>IF($U253="","",IF(INDEX('Per Invoice'!R$2:R$401,$U253)="","",INDEX('Per Invoice'!R$2:R$401,$U253)))</f>
        <v/>
      </c>
      <c r="S253" s="7">
        <f>IF($U253="","",IF(INDEX('Per Invoice'!S$2:S$401,$U253)="","",INDEX('Per Invoice'!S$2:S$401,$U253)))</f>
        <v/>
      </c>
      <c r="T253" s="7">
        <f>IF($U253="","",IF(INDEX('Per Invoice'!T$2:T$401,$U253)="","",INDEX('Per Invoice'!T$2:T$401,$U253)))</f>
        <v/>
      </c>
      <c r="U253" s="16">
        <f>IFERROR(MATCH(Settings!$C$30&amp;"|"&amp;ROWS($U$2:$U253),'Per Invoice'!$V$2:$V$401,0),"")</f>
        <v/>
      </c>
    </row>
    <row r="254">
      <c r="A254">
        <f>IF($U254="","",IF(INDEX('Per Invoice'!A$2:A$401,$U254)="","",INDEX('Per Invoice'!A$2:A$401,$U254)))</f>
        <v/>
      </c>
      <c r="B254">
        <f>IF($U254="","",IF(INDEX('Per Invoice'!B$2:B$401,$U254)="","",INDEX('Per Invoice'!B$2:B$401,$U254)))</f>
        <v/>
      </c>
      <c r="C254">
        <f>IF($U254="","",IF(INDEX('Per Invoice'!C$2:C$401,$U254)="","",INDEX('Per Invoice'!C$2:C$401,$U254)))</f>
        <v/>
      </c>
      <c r="D254">
        <f>IF($U254="","",IF(INDEX('Per Invoice'!D$2:D$401,$U254)="","",INDEX('Per Invoice'!D$2:D$401,$U254)))</f>
        <v/>
      </c>
      <c r="E254">
        <f>IF($U254="","",IF(INDEX('Per Invoice'!E$2:E$401,$U254)="","",INDEX('Per Invoice'!E$2:E$401,$U254)))</f>
        <v/>
      </c>
      <c r="F254">
        <f>IF($U254="","",IF(INDEX('Per Invoice'!F$2:F$401,$U254)="","",INDEX('Per Invoice'!F$2:F$401,$U254)))</f>
        <v/>
      </c>
      <c r="G254">
        <f>IF($U254="","",IF(INDEX('Per Invoice'!G$2:G$401,$U254)="","",INDEX('Per Invoice'!G$2:G$401,$U254)))</f>
        <v/>
      </c>
      <c r="H254" s="7">
        <f>IF($U254="","",IF(INDEX('Per Invoice'!H$2:H$401,$U254)="","",INDEX('Per Invoice'!H$2:H$401,$U254)))</f>
        <v/>
      </c>
      <c r="I254" s="14">
        <f>IF($U254="","",IF(INDEX('Per Invoice'!I$2:I$401,$U254)="","",INDEX('Per Invoice'!I$2:I$401,$U254)))</f>
        <v/>
      </c>
      <c r="J254">
        <f>IF($U254="","",IF(INDEX('Per Invoice'!J$2:J$401,$U254)="","",INDEX('Per Invoice'!J$2:J$401,$U254)))</f>
        <v/>
      </c>
      <c r="K254">
        <f>IF($U254="","",IF(INDEX('Per Invoice'!K$2:K$401,$U254)="","",INDEX('Per Invoice'!K$2:K$401,$U254)))</f>
        <v/>
      </c>
      <c r="L254" s="7">
        <f>IF($U254="","",IF(INDEX('Per Invoice'!L$2:L$401,$U254)="","",INDEX('Per Invoice'!L$2:L$401,$U254)))</f>
        <v/>
      </c>
      <c r="M254" s="7">
        <f>IF($U254="","",IF(INDEX('Per Invoice'!M$2:M$401,$U254)="","",INDEX('Per Invoice'!M$2:M$401,$U254)))</f>
        <v/>
      </c>
      <c r="N254">
        <f>IF($U254="","",IF(INDEX('Per Invoice'!N$2:N$401,$U254)="","",INDEX('Per Invoice'!N$2:N$401,$U254)))</f>
        <v/>
      </c>
      <c r="O254" s="7">
        <f>IF($U254="","",IF(INDEX('Per Invoice'!O$2:O$401,$U254)="","",INDEX('Per Invoice'!O$2:O$401,$U254)))</f>
        <v/>
      </c>
      <c r="P254" s="7">
        <f>IF($U254="","",IF(INDEX('Per Invoice'!P$2:P$401,$U254)="","",INDEX('Per Invoice'!P$2:P$401,$U254)))</f>
        <v/>
      </c>
      <c r="Q254" s="7">
        <f>IF($U254="","",IF(INDEX('Per Invoice'!Q$2:Q$401,$U254)="","",INDEX('Per Invoice'!Q$2:Q$401,$U254)))</f>
        <v/>
      </c>
      <c r="R254" s="7">
        <f>IF($U254="","",IF(INDEX('Per Invoice'!R$2:R$401,$U254)="","",INDEX('Per Invoice'!R$2:R$401,$U254)))</f>
        <v/>
      </c>
      <c r="S254" s="7">
        <f>IF($U254="","",IF(INDEX('Per Invoice'!S$2:S$401,$U254)="","",INDEX('Per Invoice'!S$2:S$401,$U254)))</f>
        <v/>
      </c>
      <c r="T254" s="7">
        <f>IF($U254="","",IF(INDEX('Per Invoice'!T$2:T$401,$U254)="","",INDEX('Per Invoice'!T$2:T$401,$U254)))</f>
        <v/>
      </c>
      <c r="U254" s="16">
        <f>IFERROR(MATCH(Settings!$C$30&amp;"|"&amp;ROWS($U$2:$U254),'Per Invoice'!$V$2:$V$401,0),"")</f>
        <v/>
      </c>
    </row>
    <row r="255">
      <c r="A255">
        <f>IF($U255="","",IF(INDEX('Per Invoice'!A$2:A$401,$U255)="","",INDEX('Per Invoice'!A$2:A$401,$U255)))</f>
        <v/>
      </c>
      <c r="B255">
        <f>IF($U255="","",IF(INDEX('Per Invoice'!B$2:B$401,$U255)="","",INDEX('Per Invoice'!B$2:B$401,$U255)))</f>
        <v/>
      </c>
      <c r="C255">
        <f>IF($U255="","",IF(INDEX('Per Invoice'!C$2:C$401,$U255)="","",INDEX('Per Invoice'!C$2:C$401,$U255)))</f>
        <v/>
      </c>
      <c r="D255">
        <f>IF($U255="","",IF(INDEX('Per Invoice'!D$2:D$401,$U255)="","",INDEX('Per Invoice'!D$2:D$401,$U255)))</f>
        <v/>
      </c>
      <c r="E255">
        <f>IF($U255="","",IF(INDEX('Per Invoice'!E$2:E$401,$U255)="","",INDEX('Per Invoice'!E$2:E$401,$U255)))</f>
        <v/>
      </c>
      <c r="F255">
        <f>IF($U255="","",IF(INDEX('Per Invoice'!F$2:F$401,$U255)="","",INDEX('Per Invoice'!F$2:F$401,$U255)))</f>
        <v/>
      </c>
      <c r="G255">
        <f>IF($U255="","",IF(INDEX('Per Invoice'!G$2:G$401,$U255)="","",INDEX('Per Invoice'!G$2:G$401,$U255)))</f>
        <v/>
      </c>
      <c r="H255" s="7">
        <f>IF($U255="","",IF(INDEX('Per Invoice'!H$2:H$401,$U255)="","",INDEX('Per Invoice'!H$2:H$401,$U255)))</f>
        <v/>
      </c>
      <c r="I255" s="14">
        <f>IF($U255="","",IF(INDEX('Per Invoice'!I$2:I$401,$U255)="","",INDEX('Per Invoice'!I$2:I$401,$U255)))</f>
        <v/>
      </c>
      <c r="J255">
        <f>IF($U255="","",IF(INDEX('Per Invoice'!J$2:J$401,$U255)="","",INDEX('Per Invoice'!J$2:J$401,$U255)))</f>
        <v/>
      </c>
      <c r="K255">
        <f>IF($U255="","",IF(INDEX('Per Invoice'!K$2:K$401,$U255)="","",INDEX('Per Invoice'!K$2:K$401,$U255)))</f>
        <v/>
      </c>
      <c r="L255" s="7">
        <f>IF($U255="","",IF(INDEX('Per Invoice'!L$2:L$401,$U255)="","",INDEX('Per Invoice'!L$2:L$401,$U255)))</f>
        <v/>
      </c>
      <c r="M255" s="7">
        <f>IF($U255="","",IF(INDEX('Per Invoice'!M$2:M$401,$U255)="","",INDEX('Per Invoice'!M$2:M$401,$U255)))</f>
        <v/>
      </c>
      <c r="N255">
        <f>IF($U255="","",IF(INDEX('Per Invoice'!N$2:N$401,$U255)="","",INDEX('Per Invoice'!N$2:N$401,$U255)))</f>
        <v/>
      </c>
      <c r="O255" s="7">
        <f>IF($U255="","",IF(INDEX('Per Invoice'!O$2:O$401,$U255)="","",INDEX('Per Invoice'!O$2:O$401,$U255)))</f>
        <v/>
      </c>
      <c r="P255" s="7">
        <f>IF($U255="","",IF(INDEX('Per Invoice'!P$2:P$401,$U255)="","",INDEX('Per Invoice'!P$2:P$401,$U255)))</f>
        <v/>
      </c>
      <c r="Q255" s="7">
        <f>IF($U255="","",IF(INDEX('Per Invoice'!Q$2:Q$401,$U255)="","",INDEX('Per Invoice'!Q$2:Q$401,$U255)))</f>
        <v/>
      </c>
      <c r="R255" s="7">
        <f>IF($U255="","",IF(INDEX('Per Invoice'!R$2:R$401,$U255)="","",INDEX('Per Invoice'!R$2:R$401,$U255)))</f>
        <v/>
      </c>
      <c r="S255" s="7">
        <f>IF($U255="","",IF(INDEX('Per Invoice'!S$2:S$401,$U255)="","",INDEX('Per Invoice'!S$2:S$401,$U255)))</f>
        <v/>
      </c>
      <c r="T255" s="7">
        <f>IF($U255="","",IF(INDEX('Per Invoice'!T$2:T$401,$U255)="","",INDEX('Per Invoice'!T$2:T$401,$U255)))</f>
        <v/>
      </c>
      <c r="U255" s="16">
        <f>IFERROR(MATCH(Settings!$C$30&amp;"|"&amp;ROWS($U$2:$U255),'Per Invoice'!$V$2:$V$401,0),"")</f>
        <v/>
      </c>
    </row>
    <row r="256">
      <c r="A256">
        <f>IF($U256="","",IF(INDEX('Per Invoice'!A$2:A$401,$U256)="","",INDEX('Per Invoice'!A$2:A$401,$U256)))</f>
        <v/>
      </c>
      <c r="B256">
        <f>IF($U256="","",IF(INDEX('Per Invoice'!B$2:B$401,$U256)="","",INDEX('Per Invoice'!B$2:B$401,$U256)))</f>
        <v/>
      </c>
      <c r="C256">
        <f>IF($U256="","",IF(INDEX('Per Invoice'!C$2:C$401,$U256)="","",INDEX('Per Invoice'!C$2:C$401,$U256)))</f>
        <v/>
      </c>
      <c r="D256">
        <f>IF($U256="","",IF(INDEX('Per Invoice'!D$2:D$401,$U256)="","",INDEX('Per Invoice'!D$2:D$401,$U256)))</f>
        <v/>
      </c>
      <c r="E256">
        <f>IF($U256="","",IF(INDEX('Per Invoice'!E$2:E$401,$U256)="","",INDEX('Per Invoice'!E$2:E$401,$U256)))</f>
        <v/>
      </c>
      <c r="F256">
        <f>IF($U256="","",IF(INDEX('Per Invoice'!F$2:F$401,$U256)="","",INDEX('Per Invoice'!F$2:F$401,$U256)))</f>
        <v/>
      </c>
      <c r="G256">
        <f>IF($U256="","",IF(INDEX('Per Invoice'!G$2:G$401,$U256)="","",INDEX('Per Invoice'!G$2:G$401,$U256)))</f>
        <v/>
      </c>
      <c r="H256" s="7">
        <f>IF($U256="","",IF(INDEX('Per Invoice'!H$2:H$401,$U256)="","",INDEX('Per Invoice'!H$2:H$401,$U256)))</f>
        <v/>
      </c>
      <c r="I256" s="14">
        <f>IF($U256="","",IF(INDEX('Per Invoice'!I$2:I$401,$U256)="","",INDEX('Per Invoice'!I$2:I$401,$U256)))</f>
        <v/>
      </c>
      <c r="J256">
        <f>IF($U256="","",IF(INDEX('Per Invoice'!J$2:J$401,$U256)="","",INDEX('Per Invoice'!J$2:J$401,$U256)))</f>
        <v/>
      </c>
      <c r="K256">
        <f>IF($U256="","",IF(INDEX('Per Invoice'!K$2:K$401,$U256)="","",INDEX('Per Invoice'!K$2:K$401,$U256)))</f>
        <v/>
      </c>
      <c r="L256" s="7">
        <f>IF($U256="","",IF(INDEX('Per Invoice'!L$2:L$401,$U256)="","",INDEX('Per Invoice'!L$2:L$401,$U256)))</f>
        <v/>
      </c>
      <c r="M256" s="7">
        <f>IF($U256="","",IF(INDEX('Per Invoice'!M$2:M$401,$U256)="","",INDEX('Per Invoice'!M$2:M$401,$U256)))</f>
        <v/>
      </c>
      <c r="N256">
        <f>IF($U256="","",IF(INDEX('Per Invoice'!N$2:N$401,$U256)="","",INDEX('Per Invoice'!N$2:N$401,$U256)))</f>
        <v/>
      </c>
      <c r="O256" s="7">
        <f>IF($U256="","",IF(INDEX('Per Invoice'!O$2:O$401,$U256)="","",INDEX('Per Invoice'!O$2:O$401,$U256)))</f>
        <v/>
      </c>
      <c r="P256" s="7">
        <f>IF($U256="","",IF(INDEX('Per Invoice'!P$2:P$401,$U256)="","",INDEX('Per Invoice'!P$2:P$401,$U256)))</f>
        <v/>
      </c>
      <c r="Q256" s="7">
        <f>IF($U256="","",IF(INDEX('Per Invoice'!Q$2:Q$401,$U256)="","",INDEX('Per Invoice'!Q$2:Q$401,$U256)))</f>
        <v/>
      </c>
      <c r="R256" s="7">
        <f>IF($U256="","",IF(INDEX('Per Invoice'!R$2:R$401,$U256)="","",INDEX('Per Invoice'!R$2:R$401,$U256)))</f>
        <v/>
      </c>
      <c r="S256" s="7">
        <f>IF($U256="","",IF(INDEX('Per Invoice'!S$2:S$401,$U256)="","",INDEX('Per Invoice'!S$2:S$401,$U256)))</f>
        <v/>
      </c>
      <c r="T256" s="7">
        <f>IF($U256="","",IF(INDEX('Per Invoice'!T$2:T$401,$U256)="","",INDEX('Per Invoice'!T$2:T$401,$U256)))</f>
        <v/>
      </c>
      <c r="U256" s="16">
        <f>IFERROR(MATCH(Settings!$C$30&amp;"|"&amp;ROWS($U$2:$U256),'Per Invoice'!$V$2:$V$401,0),"")</f>
        <v/>
      </c>
    </row>
    <row r="257">
      <c r="A257">
        <f>IF($U257="","",IF(INDEX('Per Invoice'!A$2:A$401,$U257)="","",INDEX('Per Invoice'!A$2:A$401,$U257)))</f>
        <v/>
      </c>
      <c r="B257">
        <f>IF($U257="","",IF(INDEX('Per Invoice'!B$2:B$401,$U257)="","",INDEX('Per Invoice'!B$2:B$401,$U257)))</f>
        <v/>
      </c>
      <c r="C257">
        <f>IF($U257="","",IF(INDEX('Per Invoice'!C$2:C$401,$U257)="","",INDEX('Per Invoice'!C$2:C$401,$U257)))</f>
        <v/>
      </c>
      <c r="D257">
        <f>IF($U257="","",IF(INDEX('Per Invoice'!D$2:D$401,$U257)="","",INDEX('Per Invoice'!D$2:D$401,$U257)))</f>
        <v/>
      </c>
      <c r="E257">
        <f>IF($U257="","",IF(INDEX('Per Invoice'!E$2:E$401,$U257)="","",INDEX('Per Invoice'!E$2:E$401,$U257)))</f>
        <v/>
      </c>
      <c r="F257">
        <f>IF($U257="","",IF(INDEX('Per Invoice'!F$2:F$401,$U257)="","",INDEX('Per Invoice'!F$2:F$401,$U257)))</f>
        <v/>
      </c>
      <c r="G257">
        <f>IF($U257="","",IF(INDEX('Per Invoice'!G$2:G$401,$U257)="","",INDEX('Per Invoice'!G$2:G$401,$U257)))</f>
        <v/>
      </c>
      <c r="H257" s="7">
        <f>IF($U257="","",IF(INDEX('Per Invoice'!H$2:H$401,$U257)="","",INDEX('Per Invoice'!H$2:H$401,$U257)))</f>
        <v/>
      </c>
      <c r="I257" s="14">
        <f>IF($U257="","",IF(INDEX('Per Invoice'!I$2:I$401,$U257)="","",INDEX('Per Invoice'!I$2:I$401,$U257)))</f>
        <v/>
      </c>
      <c r="J257">
        <f>IF($U257="","",IF(INDEX('Per Invoice'!J$2:J$401,$U257)="","",INDEX('Per Invoice'!J$2:J$401,$U257)))</f>
        <v/>
      </c>
      <c r="K257">
        <f>IF($U257="","",IF(INDEX('Per Invoice'!K$2:K$401,$U257)="","",INDEX('Per Invoice'!K$2:K$401,$U257)))</f>
        <v/>
      </c>
      <c r="L257" s="7">
        <f>IF($U257="","",IF(INDEX('Per Invoice'!L$2:L$401,$U257)="","",INDEX('Per Invoice'!L$2:L$401,$U257)))</f>
        <v/>
      </c>
      <c r="M257" s="7">
        <f>IF($U257="","",IF(INDEX('Per Invoice'!M$2:M$401,$U257)="","",INDEX('Per Invoice'!M$2:M$401,$U257)))</f>
        <v/>
      </c>
      <c r="N257">
        <f>IF($U257="","",IF(INDEX('Per Invoice'!N$2:N$401,$U257)="","",INDEX('Per Invoice'!N$2:N$401,$U257)))</f>
        <v/>
      </c>
      <c r="O257" s="7">
        <f>IF($U257="","",IF(INDEX('Per Invoice'!O$2:O$401,$U257)="","",INDEX('Per Invoice'!O$2:O$401,$U257)))</f>
        <v/>
      </c>
      <c r="P257" s="7">
        <f>IF($U257="","",IF(INDEX('Per Invoice'!P$2:P$401,$U257)="","",INDEX('Per Invoice'!P$2:P$401,$U257)))</f>
        <v/>
      </c>
      <c r="Q257" s="7">
        <f>IF($U257="","",IF(INDEX('Per Invoice'!Q$2:Q$401,$U257)="","",INDEX('Per Invoice'!Q$2:Q$401,$U257)))</f>
        <v/>
      </c>
      <c r="R257" s="7">
        <f>IF($U257="","",IF(INDEX('Per Invoice'!R$2:R$401,$U257)="","",INDEX('Per Invoice'!R$2:R$401,$U257)))</f>
        <v/>
      </c>
      <c r="S257" s="7">
        <f>IF($U257="","",IF(INDEX('Per Invoice'!S$2:S$401,$U257)="","",INDEX('Per Invoice'!S$2:S$401,$U257)))</f>
        <v/>
      </c>
      <c r="T257" s="7">
        <f>IF($U257="","",IF(INDEX('Per Invoice'!T$2:T$401,$U257)="","",INDEX('Per Invoice'!T$2:T$401,$U257)))</f>
        <v/>
      </c>
      <c r="U257" s="16">
        <f>IFERROR(MATCH(Settings!$C$30&amp;"|"&amp;ROWS($U$2:$U257),'Per Invoice'!$V$2:$V$401,0),"")</f>
        <v/>
      </c>
    </row>
    <row r="258">
      <c r="A258">
        <f>IF($U258="","",IF(INDEX('Per Invoice'!A$2:A$401,$U258)="","",INDEX('Per Invoice'!A$2:A$401,$U258)))</f>
        <v/>
      </c>
      <c r="B258">
        <f>IF($U258="","",IF(INDEX('Per Invoice'!B$2:B$401,$U258)="","",INDEX('Per Invoice'!B$2:B$401,$U258)))</f>
        <v/>
      </c>
      <c r="C258">
        <f>IF($U258="","",IF(INDEX('Per Invoice'!C$2:C$401,$U258)="","",INDEX('Per Invoice'!C$2:C$401,$U258)))</f>
        <v/>
      </c>
      <c r="D258">
        <f>IF($U258="","",IF(INDEX('Per Invoice'!D$2:D$401,$U258)="","",INDEX('Per Invoice'!D$2:D$401,$U258)))</f>
        <v/>
      </c>
      <c r="E258">
        <f>IF($U258="","",IF(INDEX('Per Invoice'!E$2:E$401,$U258)="","",INDEX('Per Invoice'!E$2:E$401,$U258)))</f>
        <v/>
      </c>
      <c r="F258">
        <f>IF($U258="","",IF(INDEX('Per Invoice'!F$2:F$401,$U258)="","",INDEX('Per Invoice'!F$2:F$401,$U258)))</f>
        <v/>
      </c>
      <c r="G258">
        <f>IF($U258="","",IF(INDEX('Per Invoice'!G$2:G$401,$U258)="","",INDEX('Per Invoice'!G$2:G$401,$U258)))</f>
        <v/>
      </c>
      <c r="H258" s="7">
        <f>IF($U258="","",IF(INDEX('Per Invoice'!H$2:H$401,$U258)="","",INDEX('Per Invoice'!H$2:H$401,$U258)))</f>
        <v/>
      </c>
      <c r="I258" s="14">
        <f>IF($U258="","",IF(INDEX('Per Invoice'!I$2:I$401,$U258)="","",INDEX('Per Invoice'!I$2:I$401,$U258)))</f>
        <v/>
      </c>
      <c r="J258">
        <f>IF($U258="","",IF(INDEX('Per Invoice'!J$2:J$401,$U258)="","",INDEX('Per Invoice'!J$2:J$401,$U258)))</f>
        <v/>
      </c>
      <c r="K258">
        <f>IF($U258="","",IF(INDEX('Per Invoice'!K$2:K$401,$U258)="","",INDEX('Per Invoice'!K$2:K$401,$U258)))</f>
        <v/>
      </c>
      <c r="L258" s="7">
        <f>IF($U258="","",IF(INDEX('Per Invoice'!L$2:L$401,$U258)="","",INDEX('Per Invoice'!L$2:L$401,$U258)))</f>
        <v/>
      </c>
      <c r="M258" s="7">
        <f>IF($U258="","",IF(INDEX('Per Invoice'!M$2:M$401,$U258)="","",INDEX('Per Invoice'!M$2:M$401,$U258)))</f>
        <v/>
      </c>
      <c r="N258">
        <f>IF($U258="","",IF(INDEX('Per Invoice'!N$2:N$401,$U258)="","",INDEX('Per Invoice'!N$2:N$401,$U258)))</f>
        <v/>
      </c>
      <c r="O258" s="7">
        <f>IF($U258="","",IF(INDEX('Per Invoice'!O$2:O$401,$U258)="","",INDEX('Per Invoice'!O$2:O$401,$U258)))</f>
        <v/>
      </c>
      <c r="P258" s="7">
        <f>IF($U258="","",IF(INDEX('Per Invoice'!P$2:P$401,$U258)="","",INDEX('Per Invoice'!P$2:P$401,$U258)))</f>
        <v/>
      </c>
      <c r="Q258" s="7">
        <f>IF($U258="","",IF(INDEX('Per Invoice'!Q$2:Q$401,$U258)="","",INDEX('Per Invoice'!Q$2:Q$401,$U258)))</f>
        <v/>
      </c>
      <c r="R258" s="7">
        <f>IF($U258="","",IF(INDEX('Per Invoice'!R$2:R$401,$U258)="","",INDEX('Per Invoice'!R$2:R$401,$U258)))</f>
        <v/>
      </c>
      <c r="S258" s="7">
        <f>IF($U258="","",IF(INDEX('Per Invoice'!S$2:S$401,$U258)="","",INDEX('Per Invoice'!S$2:S$401,$U258)))</f>
        <v/>
      </c>
      <c r="T258" s="7">
        <f>IF($U258="","",IF(INDEX('Per Invoice'!T$2:T$401,$U258)="","",INDEX('Per Invoice'!T$2:T$401,$U258)))</f>
        <v/>
      </c>
      <c r="U258" s="16">
        <f>IFERROR(MATCH(Settings!$C$30&amp;"|"&amp;ROWS($U$2:$U258),'Per Invoice'!$V$2:$V$401,0),"")</f>
        <v/>
      </c>
    </row>
    <row r="259">
      <c r="A259">
        <f>IF($U259="","",IF(INDEX('Per Invoice'!A$2:A$401,$U259)="","",INDEX('Per Invoice'!A$2:A$401,$U259)))</f>
        <v/>
      </c>
      <c r="B259">
        <f>IF($U259="","",IF(INDEX('Per Invoice'!B$2:B$401,$U259)="","",INDEX('Per Invoice'!B$2:B$401,$U259)))</f>
        <v/>
      </c>
      <c r="C259">
        <f>IF($U259="","",IF(INDEX('Per Invoice'!C$2:C$401,$U259)="","",INDEX('Per Invoice'!C$2:C$401,$U259)))</f>
        <v/>
      </c>
      <c r="D259">
        <f>IF($U259="","",IF(INDEX('Per Invoice'!D$2:D$401,$U259)="","",INDEX('Per Invoice'!D$2:D$401,$U259)))</f>
        <v/>
      </c>
      <c r="E259">
        <f>IF($U259="","",IF(INDEX('Per Invoice'!E$2:E$401,$U259)="","",INDEX('Per Invoice'!E$2:E$401,$U259)))</f>
        <v/>
      </c>
      <c r="F259">
        <f>IF($U259="","",IF(INDEX('Per Invoice'!F$2:F$401,$U259)="","",INDEX('Per Invoice'!F$2:F$401,$U259)))</f>
        <v/>
      </c>
      <c r="G259">
        <f>IF($U259="","",IF(INDEX('Per Invoice'!G$2:G$401,$U259)="","",INDEX('Per Invoice'!G$2:G$401,$U259)))</f>
        <v/>
      </c>
      <c r="H259" s="7">
        <f>IF($U259="","",IF(INDEX('Per Invoice'!H$2:H$401,$U259)="","",INDEX('Per Invoice'!H$2:H$401,$U259)))</f>
        <v/>
      </c>
      <c r="I259" s="14">
        <f>IF($U259="","",IF(INDEX('Per Invoice'!I$2:I$401,$U259)="","",INDEX('Per Invoice'!I$2:I$401,$U259)))</f>
        <v/>
      </c>
      <c r="J259">
        <f>IF($U259="","",IF(INDEX('Per Invoice'!J$2:J$401,$U259)="","",INDEX('Per Invoice'!J$2:J$401,$U259)))</f>
        <v/>
      </c>
      <c r="K259">
        <f>IF($U259="","",IF(INDEX('Per Invoice'!K$2:K$401,$U259)="","",INDEX('Per Invoice'!K$2:K$401,$U259)))</f>
        <v/>
      </c>
      <c r="L259" s="7">
        <f>IF($U259="","",IF(INDEX('Per Invoice'!L$2:L$401,$U259)="","",INDEX('Per Invoice'!L$2:L$401,$U259)))</f>
        <v/>
      </c>
      <c r="M259" s="7">
        <f>IF($U259="","",IF(INDEX('Per Invoice'!M$2:M$401,$U259)="","",INDEX('Per Invoice'!M$2:M$401,$U259)))</f>
        <v/>
      </c>
      <c r="N259">
        <f>IF($U259="","",IF(INDEX('Per Invoice'!N$2:N$401,$U259)="","",INDEX('Per Invoice'!N$2:N$401,$U259)))</f>
        <v/>
      </c>
      <c r="O259" s="7">
        <f>IF($U259="","",IF(INDEX('Per Invoice'!O$2:O$401,$U259)="","",INDEX('Per Invoice'!O$2:O$401,$U259)))</f>
        <v/>
      </c>
      <c r="P259" s="7">
        <f>IF($U259="","",IF(INDEX('Per Invoice'!P$2:P$401,$U259)="","",INDEX('Per Invoice'!P$2:P$401,$U259)))</f>
        <v/>
      </c>
      <c r="Q259" s="7">
        <f>IF($U259="","",IF(INDEX('Per Invoice'!Q$2:Q$401,$U259)="","",INDEX('Per Invoice'!Q$2:Q$401,$U259)))</f>
        <v/>
      </c>
      <c r="R259" s="7">
        <f>IF($U259="","",IF(INDEX('Per Invoice'!R$2:R$401,$U259)="","",INDEX('Per Invoice'!R$2:R$401,$U259)))</f>
        <v/>
      </c>
      <c r="S259" s="7">
        <f>IF($U259="","",IF(INDEX('Per Invoice'!S$2:S$401,$U259)="","",INDEX('Per Invoice'!S$2:S$401,$U259)))</f>
        <v/>
      </c>
      <c r="T259" s="7">
        <f>IF($U259="","",IF(INDEX('Per Invoice'!T$2:T$401,$U259)="","",INDEX('Per Invoice'!T$2:T$401,$U259)))</f>
        <v/>
      </c>
      <c r="U259" s="16">
        <f>IFERROR(MATCH(Settings!$C$30&amp;"|"&amp;ROWS($U$2:$U259),'Per Invoice'!$V$2:$V$401,0),"")</f>
        <v/>
      </c>
    </row>
    <row r="260">
      <c r="A260">
        <f>IF($U260="","",IF(INDEX('Per Invoice'!A$2:A$401,$U260)="","",INDEX('Per Invoice'!A$2:A$401,$U260)))</f>
        <v/>
      </c>
      <c r="B260">
        <f>IF($U260="","",IF(INDEX('Per Invoice'!B$2:B$401,$U260)="","",INDEX('Per Invoice'!B$2:B$401,$U260)))</f>
        <v/>
      </c>
      <c r="C260">
        <f>IF($U260="","",IF(INDEX('Per Invoice'!C$2:C$401,$U260)="","",INDEX('Per Invoice'!C$2:C$401,$U260)))</f>
        <v/>
      </c>
      <c r="D260">
        <f>IF($U260="","",IF(INDEX('Per Invoice'!D$2:D$401,$U260)="","",INDEX('Per Invoice'!D$2:D$401,$U260)))</f>
        <v/>
      </c>
      <c r="E260">
        <f>IF($U260="","",IF(INDEX('Per Invoice'!E$2:E$401,$U260)="","",INDEX('Per Invoice'!E$2:E$401,$U260)))</f>
        <v/>
      </c>
      <c r="F260">
        <f>IF($U260="","",IF(INDEX('Per Invoice'!F$2:F$401,$U260)="","",INDEX('Per Invoice'!F$2:F$401,$U260)))</f>
        <v/>
      </c>
      <c r="G260">
        <f>IF($U260="","",IF(INDEX('Per Invoice'!G$2:G$401,$U260)="","",INDEX('Per Invoice'!G$2:G$401,$U260)))</f>
        <v/>
      </c>
      <c r="H260" s="7">
        <f>IF($U260="","",IF(INDEX('Per Invoice'!H$2:H$401,$U260)="","",INDEX('Per Invoice'!H$2:H$401,$U260)))</f>
        <v/>
      </c>
      <c r="I260" s="14">
        <f>IF($U260="","",IF(INDEX('Per Invoice'!I$2:I$401,$U260)="","",INDEX('Per Invoice'!I$2:I$401,$U260)))</f>
        <v/>
      </c>
      <c r="J260">
        <f>IF($U260="","",IF(INDEX('Per Invoice'!J$2:J$401,$U260)="","",INDEX('Per Invoice'!J$2:J$401,$U260)))</f>
        <v/>
      </c>
      <c r="K260">
        <f>IF($U260="","",IF(INDEX('Per Invoice'!K$2:K$401,$U260)="","",INDEX('Per Invoice'!K$2:K$401,$U260)))</f>
        <v/>
      </c>
      <c r="L260" s="7">
        <f>IF($U260="","",IF(INDEX('Per Invoice'!L$2:L$401,$U260)="","",INDEX('Per Invoice'!L$2:L$401,$U260)))</f>
        <v/>
      </c>
      <c r="M260" s="7">
        <f>IF($U260="","",IF(INDEX('Per Invoice'!M$2:M$401,$U260)="","",INDEX('Per Invoice'!M$2:M$401,$U260)))</f>
        <v/>
      </c>
      <c r="N260">
        <f>IF($U260="","",IF(INDEX('Per Invoice'!N$2:N$401,$U260)="","",INDEX('Per Invoice'!N$2:N$401,$U260)))</f>
        <v/>
      </c>
      <c r="O260" s="7">
        <f>IF($U260="","",IF(INDEX('Per Invoice'!O$2:O$401,$U260)="","",INDEX('Per Invoice'!O$2:O$401,$U260)))</f>
        <v/>
      </c>
      <c r="P260" s="7">
        <f>IF($U260="","",IF(INDEX('Per Invoice'!P$2:P$401,$U260)="","",INDEX('Per Invoice'!P$2:P$401,$U260)))</f>
        <v/>
      </c>
      <c r="Q260" s="7">
        <f>IF($U260="","",IF(INDEX('Per Invoice'!Q$2:Q$401,$U260)="","",INDEX('Per Invoice'!Q$2:Q$401,$U260)))</f>
        <v/>
      </c>
      <c r="R260" s="7">
        <f>IF($U260="","",IF(INDEX('Per Invoice'!R$2:R$401,$U260)="","",INDEX('Per Invoice'!R$2:R$401,$U260)))</f>
        <v/>
      </c>
      <c r="S260" s="7">
        <f>IF($U260="","",IF(INDEX('Per Invoice'!S$2:S$401,$U260)="","",INDEX('Per Invoice'!S$2:S$401,$U260)))</f>
        <v/>
      </c>
      <c r="T260" s="7">
        <f>IF($U260="","",IF(INDEX('Per Invoice'!T$2:T$401,$U260)="","",INDEX('Per Invoice'!T$2:T$401,$U260)))</f>
        <v/>
      </c>
      <c r="U260" s="16">
        <f>IFERROR(MATCH(Settings!$C$30&amp;"|"&amp;ROWS($U$2:$U260),'Per Invoice'!$V$2:$V$401,0),"")</f>
        <v/>
      </c>
    </row>
    <row r="261">
      <c r="A261">
        <f>IF($U261="","",IF(INDEX('Per Invoice'!A$2:A$401,$U261)="","",INDEX('Per Invoice'!A$2:A$401,$U261)))</f>
        <v/>
      </c>
      <c r="B261">
        <f>IF($U261="","",IF(INDEX('Per Invoice'!B$2:B$401,$U261)="","",INDEX('Per Invoice'!B$2:B$401,$U261)))</f>
        <v/>
      </c>
      <c r="C261">
        <f>IF($U261="","",IF(INDEX('Per Invoice'!C$2:C$401,$U261)="","",INDEX('Per Invoice'!C$2:C$401,$U261)))</f>
        <v/>
      </c>
      <c r="D261">
        <f>IF($U261="","",IF(INDEX('Per Invoice'!D$2:D$401,$U261)="","",INDEX('Per Invoice'!D$2:D$401,$U261)))</f>
        <v/>
      </c>
      <c r="E261">
        <f>IF($U261="","",IF(INDEX('Per Invoice'!E$2:E$401,$U261)="","",INDEX('Per Invoice'!E$2:E$401,$U261)))</f>
        <v/>
      </c>
      <c r="F261">
        <f>IF($U261="","",IF(INDEX('Per Invoice'!F$2:F$401,$U261)="","",INDEX('Per Invoice'!F$2:F$401,$U261)))</f>
        <v/>
      </c>
      <c r="G261">
        <f>IF($U261="","",IF(INDEX('Per Invoice'!G$2:G$401,$U261)="","",INDEX('Per Invoice'!G$2:G$401,$U261)))</f>
        <v/>
      </c>
      <c r="H261" s="7">
        <f>IF($U261="","",IF(INDEX('Per Invoice'!H$2:H$401,$U261)="","",INDEX('Per Invoice'!H$2:H$401,$U261)))</f>
        <v/>
      </c>
      <c r="I261" s="14">
        <f>IF($U261="","",IF(INDEX('Per Invoice'!I$2:I$401,$U261)="","",INDEX('Per Invoice'!I$2:I$401,$U261)))</f>
        <v/>
      </c>
      <c r="J261">
        <f>IF($U261="","",IF(INDEX('Per Invoice'!J$2:J$401,$U261)="","",INDEX('Per Invoice'!J$2:J$401,$U261)))</f>
        <v/>
      </c>
      <c r="K261">
        <f>IF($U261="","",IF(INDEX('Per Invoice'!K$2:K$401,$U261)="","",INDEX('Per Invoice'!K$2:K$401,$U261)))</f>
        <v/>
      </c>
      <c r="L261" s="7">
        <f>IF($U261="","",IF(INDEX('Per Invoice'!L$2:L$401,$U261)="","",INDEX('Per Invoice'!L$2:L$401,$U261)))</f>
        <v/>
      </c>
      <c r="M261" s="7">
        <f>IF($U261="","",IF(INDEX('Per Invoice'!M$2:M$401,$U261)="","",INDEX('Per Invoice'!M$2:M$401,$U261)))</f>
        <v/>
      </c>
      <c r="N261">
        <f>IF($U261="","",IF(INDEX('Per Invoice'!N$2:N$401,$U261)="","",INDEX('Per Invoice'!N$2:N$401,$U261)))</f>
        <v/>
      </c>
      <c r="O261" s="7">
        <f>IF($U261="","",IF(INDEX('Per Invoice'!O$2:O$401,$U261)="","",INDEX('Per Invoice'!O$2:O$401,$U261)))</f>
        <v/>
      </c>
      <c r="P261" s="7">
        <f>IF($U261="","",IF(INDEX('Per Invoice'!P$2:P$401,$U261)="","",INDEX('Per Invoice'!P$2:P$401,$U261)))</f>
        <v/>
      </c>
      <c r="Q261" s="7">
        <f>IF($U261="","",IF(INDEX('Per Invoice'!Q$2:Q$401,$U261)="","",INDEX('Per Invoice'!Q$2:Q$401,$U261)))</f>
        <v/>
      </c>
      <c r="R261" s="7">
        <f>IF($U261="","",IF(INDEX('Per Invoice'!R$2:R$401,$U261)="","",INDEX('Per Invoice'!R$2:R$401,$U261)))</f>
        <v/>
      </c>
      <c r="S261" s="7">
        <f>IF($U261="","",IF(INDEX('Per Invoice'!S$2:S$401,$U261)="","",INDEX('Per Invoice'!S$2:S$401,$U261)))</f>
        <v/>
      </c>
      <c r="T261" s="7">
        <f>IF($U261="","",IF(INDEX('Per Invoice'!T$2:T$401,$U261)="","",INDEX('Per Invoice'!T$2:T$401,$U261)))</f>
        <v/>
      </c>
      <c r="U261" s="16">
        <f>IFERROR(MATCH(Settings!$C$30&amp;"|"&amp;ROWS($U$2:$U261),'Per Invoice'!$V$2:$V$401,0),"")</f>
        <v/>
      </c>
    </row>
    <row r="262">
      <c r="A262">
        <f>IF($U262="","",IF(INDEX('Per Invoice'!A$2:A$401,$U262)="","",INDEX('Per Invoice'!A$2:A$401,$U262)))</f>
        <v/>
      </c>
      <c r="B262">
        <f>IF($U262="","",IF(INDEX('Per Invoice'!B$2:B$401,$U262)="","",INDEX('Per Invoice'!B$2:B$401,$U262)))</f>
        <v/>
      </c>
      <c r="C262">
        <f>IF($U262="","",IF(INDEX('Per Invoice'!C$2:C$401,$U262)="","",INDEX('Per Invoice'!C$2:C$401,$U262)))</f>
        <v/>
      </c>
      <c r="D262">
        <f>IF($U262="","",IF(INDEX('Per Invoice'!D$2:D$401,$U262)="","",INDEX('Per Invoice'!D$2:D$401,$U262)))</f>
        <v/>
      </c>
      <c r="E262">
        <f>IF($U262="","",IF(INDEX('Per Invoice'!E$2:E$401,$U262)="","",INDEX('Per Invoice'!E$2:E$401,$U262)))</f>
        <v/>
      </c>
      <c r="F262">
        <f>IF($U262="","",IF(INDEX('Per Invoice'!F$2:F$401,$U262)="","",INDEX('Per Invoice'!F$2:F$401,$U262)))</f>
        <v/>
      </c>
      <c r="G262">
        <f>IF($U262="","",IF(INDEX('Per Invoice'!G$2:G$401,$U262)="","",INDEX('Per Invoice'!G$2:G$401,$U262)))</f>
        <v/>
      </c>
      <c r="H262" s="7">
        <f>IF($U262="","",IF(INDEX('Per Invoice'!H$2:H$401,$U262)="","",INDEX('Per Invoice'!H$2:H$401,$U262)))</f>
        <v/>
      </c>
      <c r="I262" s="14">
        <f>IF($U262="","",IF(INDEX('Per Invoice'!I$2:I$401,$U262)="","",INDEX('Per Invoice'!I$2:I$401,$U262)))</f>
        <v/>
      </c>
      <c r="J262">
        <f>IF($U262="","",IF(INDEX('Per Invoice'!J$2:J$401,$U262)="","",INDEX('Per Invoice'!J$2:J$401,$U262)))</f>
        <v/>
      </c>
      <c r="K262">
        <f>IF($U262="","",IF(INDEX('Per Invoice'!K$2:K$401,$U262)="","",INDEX('Per Invoice'!K$2:K$401,$U262)))</f>
        <v/>
      </c>
      <c r="L262" s="7">
        <f>IF($U262="","",IF(INDEX('Per Invoice'!L$2:L$401,$U262)="","",INDEX('Per Invoice'!L$2:L$401,$U262)))</f>
        <v/>
      </c>
      <c r="M262" s="7">
        <f>IF($U262="","",IF(INDEX('Per Invoice'!M$2:M$401,$U262)="","",INDEX('Per Invoice'!M$2:M$401,$U262)))</f>
        <v/>
      </c>
      <c r="N262">
        <f>IF($U262="","",IF(INDEX('Per Invoice'!N$2:N$401,$U262)="","",INDEX('Per Invoice'!N$2:N$401,$U262)))</f>
        <v/>
      </c>
      <c r="O262" s="7">
        <f>IF($U262="","",IF(INDEX('Per Invoice'!O$2:O$401,$U262)="","",INDEX('Per Invoice'!O$2:O$401,$U262)))</f>
        <v/>
      </c>
      <c r="P262" s="7">
        <f>IF($U262="","",IF(INDEX('Per Invoice'!P$2:P$401,$U262)="","",INDEX('Per Invoice'!P$2:P$401,$U262)))</f>
        <v/>
      </c>
      <c r="Q262" s="7">
        <f>IF($U262="","",IF(INDEX('Per Invoice'!Q$2:Q$401,$U262)="","",INDEX('Per Invoice'!Q$2:Q$401,$U262)))</f>
        <v/>
      </c>
      <c r="R262" s="7">
        <f>IF($U262="","",IF(INDEX('Per Invoice'!R$2:R$401,$U262)="","",INDEX('Per Invoice'!R$2:R$401,$U262)))</f>
        <v/>
      </c>
      <c r="S262" s="7">
        <f>IF($U262="","",IF(INDEX('Per Invoice'!S$2:S$401,$U262)="","",INDEX('Per Invoice'!S$2:S$401,$U262)))</f>
        <v/>
      </c>
      <c r="T262" s="7">
        <f>IF($U262="","",IF(INDEX('Per Invoice'!T$2:T$401,$U262)="","",INDEX('Per Invoice'!T$2:T$401,$U262)))</f>
        <v/>
      </c>
      <c r="U262" s="16">
        <f>IFERROR(MATCH(Settings!$C$30&amp;"|"&amp;ROWS($U$2:$U262),'Per Invoice'!$V$2:$V$401,0),"")</f>
        <v/>
      </c>
    </row>
    <row r="263">
      <c r="A263">
        <f>IF($U263="","",IF(INDEX('Per Invoice'!A$2:A$401,$U263)="","",INDEX('Per Invoice'!A$2:A$401,$U263)))</f>
        <v/>
      </c>
      <c r="B263">
        <f>IF($U263="","",IF(INDEX('Per Invoice'!B$2:B$401,$U263)="","",INDEX('Per Invoice'!B$2:B$401,$U263)))</f>
        <v/>
      </c>
      <c r="C263">
        <f>IF($U263="","",IF(INDEX('Per Invoice'!C$2:C$401,$U263)="","",INDEX('Per Invoice'!C$2:C$401,$U263)))</f>
        <v/>
      </c>
      <c r="D263">
        <f>IF($U263="","",IF(INDEX('Per Invoice'!D$2:D$401,$U263)="","",INDEX('Per Invoice'!D$2:D$401,$U263)))</f>
        <v/>
      </c>
      <c r="E263">
        <f>IF($U263="","",IF(INDEX('Per Invoice'!E$2:E$401,$U263)="","",INDEX('Per Invoice'!E$2:E$401,$U263)))</f>
        <v/>
      </c>
      <c r="F263">
        <f>IF($U263="","",IF(INDEX('Per Invoice'!F$2:F$401,$U263)="","",INDEX('Per Invoice'!F$2:F$401,$U263)))</f>
        <v/>
      </c>
      <c r="G263">
        <f>IF($U263="","",IF(INDEX('Per Invoice'!G$2:G$401,$U263)="","",INDEX('Per Invoice'!G$2:G$401,$U263)))</f>
        <v/>
      </c>
      <c r="H263" s="7">
        <f>IF($U263="","",IF(INDEX('Per Invoice'!H$2:H$401,$U263)="","",INDEX('Per Invoice'!H$2:H$401,$U263)))</f>
        <v/>
      </c>
      <c r="I263" s="14">
        <f>IF($U263="","",IF(INDEX('Per Invoice'!I$2:I$401,$U263)="","",INDEX('Per Invoice'!I$2:I$401,$U263)))</f>
        <v/>
      </c>
      <c r="J263">
        <f>IF($U263="","",IF(INDEX('Per Invoice'!J$2:J$401,$U263)="","",INDEX('Per Invoice'!J$2:J$401,$U263)))</f>
        <v/>
      </c>
      <c r="K263">
        <f>IF($U263="","",IF(INDEX('Per Invoice'!K$2:K$401,$U263)="","",INDEX('Per Invoice'!K$2:K$401,$U263)))</f>
        <v/>
      </c>
      <c r="L263" s="7">
        <f>IF($U263="","",IF(INDEX('Per Invoice'!L$2:L$401,$U263)="","",INDEX('Per Invoice'!L$2:L$401,$U263)))</f>
        <v/>
      </c>
      <c r="M263" s="7">
        <f>IF($U263="","",IF(INDEX('Per Invoice'!M$2:M$401,$U263)="","",INDEX('Per Invoice'!M$2:M$401,$U263)))</f>
        <v/>
      </c>
      <c r="N263">
        <f>IF($U263="","",IF(INDEX('Per Invoice'!N$2:N$401,$U263)="","",INDEX('Per Invoice'!N$2:N$401,$U263)))</f>
        <v/>
      </c>
      <c r="O263" s="7">
        <f>IF($U263="","",IF(INDEX('Per Invoice'!O$2:O$401,$U263)="","",INDEX('Per Invoice'!O$2:O$401,$U263)))</f>
        <v/>
      </c>
      <c r="P263" s="7">
        <f>IF($U263="","",IF(INDEX('Per Invoice'!P$2:P$401,$U263)="","",INDEX('Per Invoice'!P$2:P$401,$U263)))</f>
        <v/>
      </c>
      <c r="Q263" s="7">
        <f>IF($U263="","",IF(INDEX('Per Invoice'!Q$2:Q$401,$U263)="","",INDEX('Per Invoice'!Q$2:Q$401,$U263)))</f>
        <v/>
      </c>
      <c r="R263" s="7">
        <f>IF($U263="","",IF(INDEX('Per Invoice'!R$2:R$401,$U263)="","",INDEX('Per Invoice'!R$2:R$401,$U263)))</f>
        <v/>
      </c>
      <c r="S263" s="7">
        <f>IF($U263="","",IF(INDEX('Per Invoice'!S$2:S$401,$U263)="","",INDEX('Per Invoice'!S$2:S$401,$U263)))</f>
        <v/>
      </c>
      <c r="T263" s="7">
        <f>IF($U263="","",IF(INDEX('Per Invoice'!T$2:T$401,$U263)="","",INDEX('Per Invoice'!T$2:T$401,$U263)))</f>
        <v/>
      </c>
      <c r="U263" s="16">
        <f>IFERROR(MATCH(Settings!$C$30&amp;"|"&amp;ROWS($U$2:$U263),'Per Invoice'!$V$2:$V$401,0),"")</f>
        <v/>
      </c>
    </row>
    <row r="264">
      <c r="A264">
        <f>IF($U264="","",IF(INDEX('Per Invoice'!A$2:A$401,$U264)="","",INDEX('Per Invoice'!A$2:A$401,$U264)))</f>
        <v/>
      </c>
      <c r="B264">
        <f>IF($U264="","",IF(INDEX('Per Invoice'!B$2:B$401,$U264)="","",INDEX('Per Invoice'!B$2:B$401,$U264)))</f>
        <v/>
      </c>
      <c r="C264">
        <f>IF($U264="","",IF(INDEX('Per Invoice'!C$2:C$401,$U264)="","",INDEX('Per Invoice'!C$2:C$401,$U264)))</f>
        <v/>
      </c>
      <c r="D264">
        <f>IF($U264="","",IF(INDEX('Per Invoice'!D$2:D$401,$U264)="","",INDEX('Per Invoice'!D$2:D$401,$U264)))</f>
        <v/>
      </c>
      <c r="E264">
        <f>IF($U264="","",IF(INDEX('Per Invoice'!E$2:E$401,$U264)="","",INDEX('Per Invoice'!E$2:E$401,$U264)))</f>
        <v/>
      </c>
      <c r="F264">
        <f>IF($U264="","",IF(INDEX('Per Invoice'!F$2:F$401,$U264)="","",INDEX('Per Invoice'!F$2:F$401,$U264)))</f>
        <v/>
      </c>
      <c r="G264">
        <f>IF($U264="","",IF(INDEX('Per Invoice'!G$2:G$401,$U264)="","",INDEX('Per Invoice'!G$2:G$401,$U264)))</f>
        <v/>
      </c>
      <c r="H264" s="7">
        <f>IF($U264="","",IF(INDEX('Per Invoice'!H$2:H$401,$U264)="","",INDEX('Per Invoice'!H$2:H$401,$U264)))</f>
        <v/>
      </c>
      <c r="I264" s="14">
        <f>IF($U264="","",IF(INDEX('Per Invoice'!I$2:I$401,$U264)="","",INDEX('Per Invoice'!I$2:I$401,$U264)))</f>
        <v/>
      </c>
      <c r="J264">
        <f>IF($U264="","",IF(INDEX('Per Invoice'!J$2:J$401,$U264)="","",INDEX('Per Invoice'!J$2:J$401,$U264)))</f>
        <v/>
      </c>
      <c r="K264">
        <f>IF($U264="","",IF(INDEX('Per Invoice'!K$2:K$401,$U264)="","",INDEX('Per Invoice'!K$2:K$401,$U264)))</f>
        <v/>
      </c>
      <c r="L264" s="7">
        <f>IF($U264="","",IF(INDEX('Per Invoice'!L$2:L$401,$U264)="","",INDEX('Per Invoice'!L$2:L$401,$U264)))</f>
        <v/>
      </c>
      <c r="M264" s="7">
        <f>IF($U264="","",IF(INDEX('Per Invoice'!M$2:M$401,$U264)="","",INDEX('Per Invoice'!M$2:M$401,$U264)))</f>
        <v/>
      </c>
      <c r="N264">
        <f>IF($U264="","",IF(INDEX('Per Invoice'!N$2:N$401,$U264)="","",INDEX('Per Invoice'!N$2:N$401,$U264)))</f>
        <v/>
      </c>
      <c r="O264" s="7">
        <f>IF($U264="","",IF(INDEX('Per Invoice'!O$2:O$401,$U264)="","",INDEX('Per Invoice'!O$2:O$401,$U264)))</f>
        <v/>
      </c>
      <c r="P264" s="7">
        <f>IF($U264="","",IF(INDEX('Per Invoice'!P$2:P$401,$U264)="","",INDEX('Per Invoice'!P$2:P$401,$U264)))</f>
        <v/>
      </c>
      <c r="Q264" s="7">
        <f>IF($U264="","",IF(INDEX('Per Invoice'!Q$2:Q$401,$U264)="","",INDEX('Per Invoice'!Q$2:Q$401,$U264)))</f>
        <v/>
      </c>
      <c r="R264" s="7">
        <f>IF($U264="","",IF(INDEX('Per Invoice'!R$2:R$401,$U264)="","",INDEX('Per Invoice'!R$2:R$401,$U264)))</f>
        <v/>
      </c>
      <c r="S264" s="7">
        <f>IF($U264="","",IF(INDEX('Per Invoice'!S$2:S$401,$U264)="","",INDEX('Per Invoice'!S$2:S$401,$U264)))</f>
        <v/>
      </c>
      <c r="T264" s="7">
        <f>IF($U264="","",IF(INDEX('Per Invoice'!T$2:T$401,$U264)="","",INDEX('Per Invoice'!T$2:T$401,$U264)))</f>
        <v/>
      </c>
      <c r="U264" s="16">
        <f>IFERROR(MATCH(Settings!$C$30&amp;"|"&amp;ROWS($U$2:$U264),'Per Invoice'!$V$2:$V$401,0),"")</f>
        <v/>
      </c>
    </row>
    <row r="265">
      <c r="A265">
        <f>IF($U265="","",IF(INDEX('Per Invoice'!A$2:A$401,$U265)="","",INDEX('Per Invoice'!A$2:A$401,$U265)))</f>
        <v/>
      </c>
      <c r="B265">
        <f>IF($U265="","",IF(INDEX('Per Invoice'!B$2:B$401,$U265)="","",INDEX('Per Invoice'!B$2:B$401,$U265)))</f>
        <v/>
      </c>
      <c r="C265">
        <f>IF($U265="","",IF(INDEX('Per Invoice'!C$2:C$401,$U265)="","",INDEX('Per Invoice'!C$2:C$401,$U265)))</f>
        <v/>
      </c>
      <c r="D265">
        <f>IF($U265="","",IF(INDEX('Per Invoice'!D$2:D$401,$U265)="","",INDEX('Per Invoice'!D$2:D$401,$U265)))</f>
        <v/>
      </c>
      <c r="E265">
        <f>IF($U265="","",IF(INDEX('Per Invoice'!E$2:E$401,$U265)="","",INDEX('Per Invoice'!E$2:E$401,$U265)))</f>
        <v/>
      </c>
      <c r="F265">
        <f>IF($U265="","",IF(INDEX('Per Invoice'!F$2:F$401,$U265)="","",INDEX('Per Invoice'!F$2:F$401,$U265)))</f>
        <v/>
      </c>
      <c r="G265">
        <f>IF($U265="","",IF(INDEX('Per Invoice'!G$2:G$401,$U265)="","",INDEX('Per Invoice'!G$2:G$401,$U265)))</f>
        <v/>
      </c>
      <c r="H265" s="7">
        <f>IF($U265="","",IF(INDEX('Per Invoice'!H$2:H$401,$U265)="","",INDEX('Per Invoice'!H$2:H$401,$U265)))</f>
        <v/>
      </c>
      <c r="I265" s="14">
        <f>IF($U265="","",IF(INDEX('Per Invoice'!I$2:I$401,$U265)="","",INDEX('Per Invoice'!I$2:I$401,$U265)))</f>
        <v/>
      </c>
      <c r="J265">
        <f>IF($U265="","",IF(INDEX('Per Invoice'!J$2:J$401,$U265)="","",INDEX('Per Invoice'!J$2:J$401,$U265)))</f>
        <v/>
      </c>
      <c r="K265">
        <f>IF($U265="","",IF(INDEX('Per Invoice'!K$2:K$401,$U265)="","",INDEX('Per Invoice'!K$2:K$401,$U265)))</f>
        <v/>
      </c>
      <c r="L265" s="7">
        <f>IF($U265="","",IF(INDEX('Per Invoice'!L$2:L$401,$U265)="","",INDEX('Per Invoice'!L$2:L$401,$U265)))</f>
        <v/>
      </c>
      <c r="M265" s="7">
        <f>IF($U265="","",IF(INDEX('Per Invoice'!M$2:M$401,$U265)="","",INDEX('Per Invoice'!M$2:M$401,$U265)))</f>
        <v/>
      </c>
      <c r="N265">
        <f>IF($U265="","",IF(INDEX('Per Invoice'!N$2:N$401,$U265)="","",INDEX('Per Invoice'!N$2:N$401,$U265)))</f>
        <v/>
      </c>
      <c r="O265" s="7">
        <f>IF($U265="","",IF(INDEX('Per Invoice'!O$2:O$401,$U265)="","",INDEX('Per Invoice'!O$2:O$401,$U265)))</f>
        <v/>
      </c>
      <c r="P265" s="7">
        <f>IF($U265="","",IF(INDEX('Per Invoice'!P$2:P$401,$U265)="","",INDEX('Per Invoice'!P$2:P$401,$U265)))</f>
        <v/>
      </c>
      <c r="Q265" s="7">
        <f>IF($U265="","",IF(INDEX('Per Invoice'!Q$2:Q$401,$U265)="","",INDEX('Per Invoice'!Q$2:Q$401,$U265)))</f>
        <v/>
      </c>
      <c r="R265" s="7">
        <f>IF($U265="","",IF(INDEX('Per Invoice'!R$2:R$401,$U265)="","",INDEX('Per Invoice'!R$2:R$401,$U265)))</f>
        <v/>
      </c>
      <c r="S265" s="7">
        <f>IF($U265="","",IF(INDEX('Per Invoice'!S$2:S$401,$U265)="","",INDEX('Per Invoice'!S$2:S$401,$U265)))</f>
        <v/>
      </c>
      <c r="T265" s="7">
        <f>IF($U265="","",IF(INDEX('Per Invoice'!T$2:T$401,$U265)="","",INDEX('Per Invoice'!T$2:T$401,$U265)))</f>
        <v/>
      </c>
      <c r="U265" s="16">
        <f>IFERROR(MATCH(Settings!$C$30&amp;"|"&amp;ROWS($U$2:$U265),'Per Invoice'!$V$2:$V$401,0),"")</f>
        <v/>
      </c>
    </row>
    <row r="266">
      <c r="A266">
        <f>IF($U266="","",IF(INDEX('Per Invoice'!A$2:A$401,$U266)="","",INDEX('Per Invoice'!A$2:A$401,$U266)))</f>
        <v/>
      </c>
      <c r="B266">
        <f>IF($U266="","",IF(INDEX('Per Invoice'!B$2:B$401,$U266)="","",INDEX('Per Invoice'!B$2:B$401,$U266)))</f>
        <v/>
      </c>
      <c r="C266">
        <f>IF($U266="","",IF(INDEX('Per Invoice'!C$2:C$401,$U266)="","",INDEX('Per Invoice'!C$2:C$401,$U266)))</f>
        <v/>
      </c>
      <c r="D266">
        <f>IF($U266="","",IF(INDEX('Per Invoice'!D$2:D$401,$U266)="","",INDEX('Per Invoice'!D$2:D$401,$U266)))</f>
        <v/>
      </c>
      <c r="E266">
        <f>IF($U266="","",IF(INDEX('Per Invoice'!E$2:E$401,$U266)="","",INDEX('Per Invoice'!E$2:E$401,$U266)))</f>
        <v/>
      </c>
      <c r="F266">
        <f>IF($U266="","",IF(INDEX('Per Invoice'!F$2:F$401,$U266)="","",INDEX('Per Invoice'!F$2:F$401,$U266)))</f>
        <v/>
      </c>
      <c r="G266">
        <f>IF($U266="","",IF(INDEX('Per Invoice'!G$2:G$401,$U266)="","",INDEX('Per Invoice'!G$2:G$401,$U266)))</f>
        <v/>
      </c>
      <c r="H266" s="7">
        <f>IF($U266="","",IF(INDEX('Per Invoice'!H$2:H$401,$U266)="","",INDEX('Per Invoice'!H$2:H$401,$U266)))</f>
        <v/>
      </c>
      <c r="I266" s="14">
        <f>IF($U266="","",IF(INDEX('Per Invoice'!I$2:I$401,$U266)="","",INDEX('Per Invoice'!I$2:I$401,$U266)))</f>
        <v/>
      </c>
      <c r="J266">
        <f>IF($U266="","",IF(INDEX('Per Invoice'!J$2:J$401,$U266)="","",INDEX('Per Invoice'!J$2:J$401,$U266)))</f>
        <v/>
      </c>
      <c r="K266">
        <f>IF($U266="","",IF(INDEX('Per Invoice'!K$2:K$401,$U266)="","",INDEX('Per Invoice'!K$2:K$401,$U266)))</f>
        <v/>
      </c>
      <c r="L266" s="7">
        <f>IF($U266="","",IF(INDEX('Per Invoice'!L$2:L$401,$U266)="","",INDEX('Per Invoice'!L$2:L$401,$U266)))</f>
        <v/>
      </c>
      <c r="M266" s="7">
        <f>IF($U266="","",IF(INDEX('Per Invoice'!M$2:M$401,$U266)="","",INDEX('Per Invoice'!M$2:M$401,$U266)))</f>
        <v/>
      </c>
      <c r="N266">
        <f>IF($U266="","",IF(INDEX('Per Invoice'!N$2:N$401,$U266)="","",INDEX('Per Invoice'!N$2:N$401,$U266)))</f>
        <v/>
      </c>
      <c r="O266" s="7">
        <f>IF($U266="","",IF(INDEX('Per Invoice'!O$2:O$401,$U266)="","",INDEX('Per Invoice'!O$2:O$401,$U266)))</f>
        <v/>
      </c>
      <c r="P266" s="7">
        <f>IF($U266="","",IF(INDEX('Per Invoice'!P$2:P$401,$U266)="","",INDEX('Per Invoice'!P$2:P$401,$U266)))</f>
        <v/>
      </c>
      <c r="Q266" s="7">
        <f>IF($U266="","",IF(INDEX('Per Invoice'!Q$2:Q$401,$U266)="","",INDEX('Per Invoice'!Q$2:Q$401,$U266)))</f>
        <v/>
      </c>
      <c r="R266" s="7">
        <f>IF($U266="","",IF(INDEX('Per Invoice'!R$2:R$401,$U266)="","",INDEX('Per Invoice'!R$2:R$401,$U266)))</f>
        <v/>
      </c>
      <c r="S266" s="7">
        <f>IF($U266="","",IF(INDEX('Per Invoice'!S$2:S$401,$U266)="","",INDEX('Per Invoice'!S$2:S$401,$U266)))</f>
        <v/>
      </c>
      <c r="T266" s="7">
        <f>IF($U266="","",IF(INDEX('Per Invoice'!T$2:T$401,$U266)="","",INDEX('Per Invoice'!T$2:T$401,$U266)))</f>
        <v/>
      </c>
      <c r="U266" s="16">
        <f>IFERROR(MATCH(Settings!$C$30&amp;"|"&amp;ROWS($U$2:$U266),'Per Invoice'!$V$2:$V$401,0),"")</f>
        <v/>
      </c>
    </row>
    <row r="267">
      <c r="A267">
        <f>IF($U267="","",IF(INDEX('Per Invoice'!A$2:A$401,$U267)="","",INDEX('Per Invoice'!A$2:A$401,$U267)))</f>
        <v/>
      </c>
      <c r="B267">
        <f>IF($U267="","",IF(INDEX('Per Invoice'!B$2:B$401,$U267)="","",INDEX('Per Invoice'!B$2:B$401,$U267)))</f>
        <v/>
      </c>
      <c r="C267">
        <f>IF($U267="","",IF(INDEX('Per Invoice'!C$2:C$401,$U267)="","",INDEX('Per Invoice'!C$2:C$401,$U267)))</f>
        <v/>
      </c>
      <c r="D267">
        <f>IF($U267="","",IF(INDEX('Per Invoice'!D$2:D$401,$U267)="","",INDEX('Per Invoice'!D$2:D$401,$U267)))</f>
        <v/>
      </c>
      <c r="E267">
        <f>IF($U267="","",IF(INDEX('Per Invoice'!E$2:E$401,$U267)="","",INDEX('Per Invoice'!E$2:E$401,$U267)))</f>
        <v/>
      </c>
      <c r="F267">
        <f>IF($U267="","",IF(INDEX('Per Invoice'!F$2:F$401,$U267)="","",INDEX('Per Invoice'!F$2:F$401,$U267)))</f>
        <v/>
      </c>
      <c r="G267">
        <f>IF($U267="","",IF(INDEX('Per Invoice'!G$2:G$401,$U267)="","",INDEX('Per Invoice'!G$2:G$401,$U267)))</f>
        <v/>
      </c>
      <c r="H267" s="7">
        <f>IF($U267="","",IF(INDEX('Per Invoice'!H$2:H$401,$U267)="","",INDEX('Per Invoice'!H$2:H$401,$U267)))</f>
        <v/>
      </c>
      <c r="I267" s="14">
        <f>IF($U267="","",IF(INDEX('Per Invoice'!I$2:I$401,$U267)="","",INDEX('Per Invoice'!I$2:I$401,$U267)))</f>
        <v/>
      </c>
      <c r="J267">
        <f>IF($U267="","",IF(INDEX('Per Invoice'!J$2:J$401,$U267)="","",INDEX('Per Invoice'!J$2:J$401,$U267)))</f>
        <v/>
      </c>
      <c r="K267">
        <f>IF($U267="","",IF(INDEX('Per Invoice'!K$2:K$401,$U267)="","",INDEX('Per Invoice'!K$2:K$401,$U267)))</f>
        <v/>
      </c>
      <c r="L267" s="7">
        <f>IF($U267="","",IF(INDEX('Per Invoice'!L$2:L$401,$U267)="","",INDEX('Per Invoice'!L$2:L$401,$U267)))</f>
        <v/>
      </c>
      <c r="M267" s="7">
        <f>IF($U267="","",IF(INDEX('Per Invoice'!M$2:M$401,$U267)="","",INDEX('Per Invoice'!M$2:M$401,$U267)))</f>
        <v/>
      </c>
      <c r="N267">
        <f>IF($U267="","",IF(INDEX('Per Invoice'!N$2:N$401,$U267)="","",INDEX('Per Invoice'!N$2:N$401,$U267)))</f>
        <v/>
      </c>
      <c r="O267" s="7">
        <f>IF($U267="","",IF(INDEX('Per Invoice'!O$2:O$401,$U267)="","",INDEX('Per Invoice'!O$2:O$401,$U267)))</f>
        <v/>
      </c>
      <c r="P267" s="7">
        <f>IF($U267="","",IF(INDEX('Per Invoice'!P$2:P$401,$U267)="","",INDEX('Per Invoice'!P$2:P$401,$U267)))</f>
        <v/>
      </c>
      <c r="Q267" s="7">
        <f>IF($U267="","",IF(INDEX('Per Invoice'!Q$2:Q$401,$U267)="","",INDEX('Per Invoice'!Q$2:Q$401,$U267)))</f>
        <v/>
      </c>
      <c r="R267" s="7">
        <f>IF($U267="","",IF(INDEX('Per Invoice'!R$2:R$401,$U267)="","",INDEX('Per Invoice'!R$2:R$401,$U267)))</f>
        <v/>
      </c>
      <c r="S267" s="7">
        <f>IF($U267="","",IF(INDEX('Per Invoice'!S$2:S$401,$U267)="","",INDEX('Per Invoice'!S$2:S$401,$U267)))</f>
        <v/>
      </c>
      <c r="T267" s="7">
        <f>IF($U267="","",IF(INDEX('Per Invoice'!T$2:T$401,$U267)="","",INDEX('Per Invoice'!T$2:T$401,$U267)))</f>
        <v/>
      </c>
      <c r="U267" s="16">
        <f>IFERROR(MATCH(Settings!$C$30&amp;"|"&amp;ROWS($U$2:$U267),'Per Invoice'!$V$2:$V$401,0),"")</f>
        <v/>
      </c>
    </row>
    <row r="268">
      <c r="A268">
        <f>IF($U268="","",IF(INDEX('Per Invoice'!A$2:A$401,$U268)="","",INDEX('Per Invoice'!A$2:A$401,$U268)))</f>
        <v/>
      </c>
      <c r="B268">
        <f>IF($U268="","",IF(INDEX('Per Invoice'!B$2:B$401,$U268)="","",INDEX('Per Invoice'!B$2:B$401,$U268)))</f>
        <v/>
      </c>
      <c r="C268">
        <f>IF($U268="","",IF(INDEX('Per Invoice'!C$2:C$401,$U268)="","",INDEX('Per Invoice'!C$2:C$401,$U268)))</f>
        <v/>
      </c>
      <c r="D268">
        <f>IF($U268="","",IF(INDEX('Per Invoice'!D$2:D$401,$U268)="","",INDEX('Per Invoice'!D$2:D$401,$U268)))</f>
        <v/>
      </c>
      <c r="E268">
        <f>IF($U268="","",IF(INDEX('Per Invoice'!E$2:E$401,$U268)="","",INDEX('Per Invoice'!E$2:E$401,$U268)))</f>
        <v/>
      </c>
      <c r="F268">
        <f>IF($U268="","",IF(INDEX('Per Invoice'!F$2:F$401,$U268)="","",INDEX('Per Invoice'!F$2:F$401,$U268)))</f>
        <v/>
      </c>
      <c r="G268">
        <f>IF($U268="","",IF(INDEX('Per Invoice'!G$2:G$401,$U268)="","",INDEX('Per Invoice'!G$2:G$401,$U268)))</f>
        <v/>
      </c>
      <c r="H268" s="7">
        <f>IF($U268="","",IF(INDEX('Per Invoice'!H$2:H$401,$U268)="","",INDEX('Per Invoice'!H$2:H$401,$U268)))</f>
        <v/>
      </c>
      <c r="I268" s="14">
        <f>IF($U268="","",IF(INDEX('Per Invoice'!I$2:I$401,$U268)="","",INDEX('Per Invoice'!I$2:I$401,$U268)))</f>
        <v/>
      </c>
      <c r="J268">
        <f>IF($U268="","",IF(INDEX('Per Invoice'!J$2:J$401,$U268)="","",INDEX('Per Invoice'!J$2:J$401,$U268)))</f>
        <v/>
      </c>
      <c r="K268">
        <f>IF($U268="","",IF(INDEX('Per Invoice'!K$2:K$401,$U268)="","",INDEX('Per Invoice'!K$2:K$401,$U268)))</f>
        <v/>
      </c>
      <c r="L268" s="7">
        <f>IF($U268="","",IF(INDEX('Per Invoice'!L$2:L$401,$U268)="","",INDEX('Per Invoice'!L$2:L$401,$U268)))</f>
        <v/>
      </c>
      <c r="M268" s="7">
        <f>IF($U268="","",IF(INDEX('Per Invoice'!M$2:M$401,$U268)="","",INDEX('Per Invoice'!M$2:M$401,$U268)))</f>
        <v/>
      </c>
      <c r="N268">
        <f>IF($U268="","",IF(INDEX('Per Invoice'!N$2:N$401,$U268)="","",INDEX('Per Invoice'!N$2:N$401,$U268)))</f>
        <v/>
      </c>
      <c r="O268" s="7">
        <f>IF($U268="","",IF(INDEX('Per Invoice'!O$2:O$401,$U268)="","",INDEX('Per Invoice'!O$2:O$401,$U268)))</f>
        <v/>
      </c>
      <c r="P268" s="7">
        <f>IF($U268="","",IF(INDEX('Per Invoice'!P$2:P$401,$U268)="","",INDEX('Per Invoice'!P$2:P$401,$U268)))</f>
        <v/>
      </c>
      <c r="Q268" s="7">
        <f>IF($U268="","",IF(INDEX('Per Invoice'!Q$2:Q$401,$U268)="","",INDEX('Per Invoice'!Q$2:Q$401,$U268)))</f>
        <v/>
      </c>
      <c r="R268" s="7">
        <f>IF($U268="","",IF(INDEX('Per Invoice'!R$2:R$401,$U268)="","",INDEX('Per Invoice'!R$2:R$401,$U268)))</f>
        <v/>
      </c>
      <c r="S268" s="7">
        <f>IF($U268="","",IF(INDEX('Per Invoice'!S$2:S$401,$U268)="","",INDEX('Per Invoice'!S$2:S$401,$U268)))</f>
        <v/>
      </c>
      <c r="T268" s="7">
        <f>IF($U268="","",IF(INDEX('Per Invoice'!T$2:T$401,$U268)="","",INDEX('Per Invoice'!T$2:T$401,$U268)))</f>
        <v/>
      </c>
      <c r="U268" s="16">
        <f>IFERROR(MATCH(Settings!$C$30&amp;"|"&amp;ROWS($U$2:$U268),'Per Invoice'!$V$2:$V$401,0),"")</f>
        <v/>
      </c>
    </row>
    <row r="269">
      <c r="A269">
        <f>IF($U269="","",IF(INDEX('Per Invoice'!A$2:A$401,$U269)="","",INDEX('Per Invoice'!A$2:A$401,$U269)))</f>
        <v/>
      </c>
      <c r="B269">
        <f>IF($U269="","",IF(INDEX('Per Invoice'!B$2:B$401,$U269)="","",INDEX('Per Invoice'!B$2:B$401,$U269)))</f>
        <v/>
      </c>
      <c r="C269">
        <f>IF($U269="","",IF(INDEX('Per Invoice'!C$2:C$401,$U269)="","",INDEX('Per Invoice'!C$2:C$401,$U269)))</f>
        <v/>
      </c>
      <c r="D269">
        <f>IF($U269="","",IF(INDEX('Per Invoice'!D$2:D$401,$U269)="","",INDEX('Per Invoice'!D$2:D$401,$U269)))</f>
        <v/>
      </c>
      <c r="E269">
        <f>IF($U269="","",IF(INDEX('Per Invoice'!E$2:E$401,$U269)="","",INDEX('Per Invoice'!E$2:E$401,$U269)))</f>
        <v/>
      </c>
      <c r="F269">
        <f>IF($U269="","",IF(INDEX('Per Invoice'!F$2:F$401,$U269)="","",INDEX('Per Invoice'!F$2:F$401,$U269)))</f>
        <v/>
      </c>
      <c r="G269">
        <f>IF($U269="","",IF(INDEX('Per Invoice'!G$2:G$401,$U269)="","",INDEX('Per Invoice'!G$2:G$401,$U269)))</f>
        <v/>
      </c>
      <c r="H269" s="7">
        <f>IF($U269="","",IF(INDEX('Per Invoice'!H$2:H$401,$U269)="","",INDEX('Per Invoice'!H$2:H$401,$U269)))</f>
        <v/>
      </c>
      <c r="I269" s="14">
        <f>IF($U269="","",IF(INDEX('Per Invoice'!I$2:I$401,$U269)="","",INDEX('Per Invoice'!I$2:I$401,$U269)))</f>
        <v/>
      </c>
      <c r="J269">
        <f>IF($U269="","",IF(INDEX('Per Invoice'!J$2:J$401,$U269)="","",INDEX('Per Invoice'!J$2:J$401,$U269)))</f>
        <v/>
      </c>
      <c r="K269">
        <f>IF($U269="","",IF(INDEX('Per Invoice'!K$2:K$401,$U269)="","",INDEX('Per Invoice'!K$2:K$401,$U269)))</f>
        <v/>
      </c>
      <c r="L269" s="7">
        <f>IF($U269="","",IF(INDEX('Per Invoice'!L$2:L$401,$U269)="","",INDEX('Per Invoice'!L$2:L$401,$U269)))</f>
        <v/>
      </c>
      <c r="M269" s="7">
        <f>IF($U269="","",IF(INDEX('Per Invoice'!M$2:M$401,$U269)="","",INDEX('Per Invoice'!M$2:M$401,$U269)))</f>
        <v/>
      </c>
      <c r="N269">
        <f>IF($U269="","",IF(INDEX('Per Invoice'!N$2:N$401,$U269)="","",INDEX('Per Invoice'!N$2:N$401,$U269)))</f>
        <v/>
      </c>
      <c r="O269" s="7">
        <f>IF($U269="","",IF(INDEX('Per Invoice'!O$2:O$401,$U269)="","",INDEX('Per Invoice'!O$2:O$401,$U269)))</f>
        <v/>
      </c>
      <c r="P269" s="7">
        <f>IF($U269="","",IF(INDEX('Per Invoice'!P$2:P$401,$U269)="","",INDEX('Per Invoice'!P$2:P$401,$U269)))</f>
        <v/>
      </c>
      <c r="Q269" s="7">
        <f>IF($U269="","",IF(INDEX('Per Invoice'!Q$2:Q$401,$U269)="","",INDEX('Per Invoice'!Q$2:Q$401,$U269)))</f>
        <v/>
      </c>
      <c r="R269" s="7">
        <f>IF($U269="","",IF(INDEX('Per Invoice'!R$2:R$401,$U269)="","",INDEX('Per Invoice'!R$2:R$401,$U269)))</f>
        <v/>
      </c>
      <c r="S269" s="7">
        <f>IF($U269="","",IF(INDEX('Per Invoice'!S$2:S$401,$U269)="","",INDEX('Per Invoice'!S$2:S$401,$U269)))</f>
        <v/>
      </c>
      <c r="T269" s="7">
        <f>IF($U269="","",IF(INDEX('Per Invoice'!T$2:T$401,$U269)="","",INDEX('Per Invoice'!T$2:T$401,$U269)))</f>
        <v/>
      </c>
      <c r="U269" s="16">
        <f>IFERROR(MATCH(Settings!$C$30&amp;"|"&amp;ROWS($U$2:$U269),'Per Invoice'!$V$2:$V$401,0),"")</f>
        <v/>
      </c>
    </row>
    <row r="270">
      <c r="A270">
        <f>IF($U270="","",IF(INDEX('Per Invoice'!A$2:A$401,$U270)="","",INDEX('Per Invoice'!A$2:A$401,$U270)))</f>
        <v/>
      </c>
      <c r="B270">
        <f>IF($U270="","",IF(INDEX('Per Invoice'!B$2:B$401,$U270)="","",INDEX('Per Invoice'!B$2:B$401,$U270)))</f>
        <v/>
      </c>
      <c r="C270">
        <f>IF($U270="","",IF(INDEX('Per Invoice'!C$2:C$401,$U270)="","",INDEX('Per Invoice'!C$2:C$401,$U270)))</f>
        <v/>
      </c>
      <c r="D270">
        <f>IF($U270="","",IF(INDEX('Per Invoice'!D$2:D$401,$U270)="","",INDEX('Per Invoice'!D$2:D$401,$U270)))</f>
        <v/>
      </c>
      <c r="E270">
        <f>IF($U270="","",IF(INDEX('Per Invoice'!E$2:E$401,$U270)="","",INDEX('Per Invoice'!E$2:E$401,$U270)))</f>
        <v/>
      </c>
      <c r="F270">
        <f>IF($U270="","",IF(INDEX('Per Invoice'!F$2:F$401,$U270)="","",INDEX('Per Invoice'!F$2:F$401,$U270)))</f>
        <v/>
      </c>
      <c r="G270">
        <f>IF($U270="","",IF(INDEX('Per Invoice'!G$2:G$401,$U270)="","",INDEX('Per Invoice'!G$2:G$401,$U270)))</f>
        <v/>
      </c>
      <c r="H270" s="7">
        <f>IF($U270="","",IF(INDEX('Per Invoice'!H$2:H$401,$U270)="","",INDEX('Per Invoice'!H$2:H$401,$U270)))</f>
        <v/>
      </c>
      <c r="I270" s="14">
        <f>IF($U270="","",IF(INDEX('Per Invoice'!I$2:I$401,$U270)="","",INDEX('Per Invoice'!I$2:I$401,$U270)))</f>
        <v/>
      </c>
      <c r="J270">
        <f>IF($U270="","",IF(INDEX('Per Invoice'!J$2:J$401,$U270)="","",INDEX('Per Invoice'!J$2:J$401,$U270)))</f>
        <v/>
      </c>
      <c r="K270">
        <f>IF($U270="","",IF(INDEX('Per Invoice'!K$2:K$401,$U270)="","",INDEX('Per Invoice'!K$2:K$401,$U270)))</f>
        <v/>
      </c>
      <c r="L270" s="7">
        <f>IF($U270="","",IF(INDEX('Per Invoice'!L$2:L$401,$U270)="","",INDEX('Per Invoice'!L$2:L$401,$U270)))</f>
        <v/>
      </c>
      <c r="M270" s="7">
        <f>IF($U270="","",IF(INDEX('Per Invoice'!M$2:M$401,$U270)="","",INDEX('Per Invoice'!M$2:M$401,$U270)))</f>
        <v/>
      </c>
      <c r="N270">
        <f>IF($U270="","",IF(INDEX('Per Invoice'!N$2:N$401,$U270)="","",INDEX('Per Invoice'!N$2:N$401,$U270)))</f>
        <v/>
      </c>
      <c r="O270" s="7">
        <f>IF($U270="","",IF(INDEX('Per Invoice'!O$2:O$401,$U270)="","",INDEX('Per Invoice'!O$2:O$401,$U270)))</f>
        <v/>
      </c>
      <c r="P270" s="7">
        <f>IF($U270="","",IF(INDEX('Per Invoice'!P$2:P$401,$U270)="","",INDEX('Per Invoice'!P$2:P$401,$U270)))</f>
        <v/>
      </c>
      <c r="Q270" s="7">
        <f>IF($U270="","",IF(INDEX('Per Invoice'!Q$2:Q$401,$U270)="","",INDEX('Per Invoice'!Q$2:Q$401,$U270)))</f>
        <v/>
      </c>
      <c r="R270" s="7">
        <f>IF($U270="","",IF(INDEX('Per Invoice'!R$2:R$401,$U270)="","",INDEX('Per Invoice'!R$2:R$401,$U270)))</f>
        <v/>
      </c>
      <c r="S270" s="7">
        <f>IF($U270="","",IF(INDEX('Per Invoice'!S$2:S$401,$U270)="","",INDEX('Per Invoice'!S$2:S$401,$U270)))</f>
        <v/>
      </c>
      <c r="T270" s="7">
        <f>IF($U270="","",IF(INDEX('Per Invoice'!T$2:T$401,$U270)="","",INDEX('Per Invoice'!T$2:T$401,$U270)))</f>
        <v/>
      </c>
      <c r="U270" s="16">
        <f>IFERROR(MATCH(Settings!$C$30&amp;"|"&amp;ROWS($U$2:$U270),'Per Invoice'!$V$2:$V$401,0),"")</f>
        <v/>
      </c>
    </row>
    <row r="271">
      <c r="A271">
        <f>IF($U271="","",IF(INDEX('Per Invoice'!A$2:A$401,$U271)="","",INDEX('Per Invoice'!A$2:A$401,$U271)))</f>
        <v/>
      </c>
      <c r="B271">
        <f>IF($U271="","",IF(INDEX('Per Invoice'!B$2:B$401,$U271)="","",INDEX('Per Invoice'!B$2:B$401,$U271)))</f>
        <v/>
      </c>
      <c r="C271">
        <f>IF($U271="","",IF(INDEX('Per Invoice'!C$2:C$401,$U271)="","",INDEX('Per Invoice'!C$2:C$401,$U271)))</f>
        <v/>
      </c>
      <c r="D271">
        <f>IF($U271="","",IF(INDEX('Per Invoice'!D$2:D$401,$U271)="","",INDEX('Per Invoice'!D$2:D$401,$U271)))</f>
        <v/>
      </c>
      <c r="E271">
        <f>IF($U271="","",IF(INDEX('Per Invoice'!E$2:E$401,$U271)="","",INDEX('Per Invoice'!E$2:E$401,$U271)))</f>
        <v/>
      </c>
      <c r="F271">
        <f>IF($U271="","",IF(INDEX('Per Invoice'!F$2:F$401,$U271)="","",INDEX('Per Invoice'!F$2:F$401,$U271)))</f>
        <v/>
      </c>
      <c r="G271">
        <f>IF($U271="","",IF(INDEX('Per Invoice'!G$2:G$401,$U271)="","",INDEX('Per Invoice'!G$2:G$401,$U271)))</f>
        <v/>
      </c>
      <c r="H271" s="7">
        <f>IF($U271="","",IF(INDEX('Per Invoice'!H$2:H$401,$U271)="","",INDEX('Per Invoice'!H$2:H$401,$U271)))</f>
        <v/>
      </c>
      <c r="I271" s="14">
        <f>IF($U271="","",IF(INDEX('Per Invoice'!I$2:I$401,$U271)="","",INDEX('Per Invoice'!I$2:I$401,$U271)))</f>
        <v/>
      </c>
      <c r="J271">
        <f>IF($U271="","",IF(INDEX('Per Invoice'!J$2:J$401,$U271)="","",INDEX('Per Invoice'!J$2:J$401,$U271)))</f>
        <v/>
      </c>
      <c r="K271">
        <f>IF($U271="","",IF(INDEX('Per Invoice'!K$2:K$401,$U271)="","",INDEX('Per Invoice'!K$2:K$401,$U271)))</f>
        <v/>
      </c>
      <c r="L271" s="7">
        <f>IF($U271="","",IF(INDEX('Per Invoice'!L$2:L$401,$U271)="","",INDEX('Per Invoice'!L$2:L$401,$U271)))</f>
        <v/>
      </c>
      <c r="M271" s="7">
        <f>IF($U271="","",IF(INDEX('Per Invoice'!M$2:M$401,$U271)="","",INDEX('Per Invoice'!M$2:M$401,$U271)))</f>
        <v/>
      </c>
      <c r="N271">
        <f>IF($U271="","",IF(INDEX('Per Invoice'!N$2:N$401,$U271)="","",INDEX('Per Invoice'!N$2:N$401,$U271)))</f>
        <v/>
      </c>
      <c r="O271" s="7">
        <f>IF($U271="","",IF(INDEX('Per Invoice'!O$2:O$401,$U271)="","",INDEX('Per Invoice'!O$2:O$401,$U271)))</f>
        <v/>
      </c>
      <c r="P271" s="7">
        <f>IF($U271="","",IF(INDEX('Per Invoice'!P$2:P$401,$U271)="","",INDEX('Per Invoice'!P$2:P$401,$U271)))</f>
        <v/>
      </c>
      <c r="Q271" s="7">
        <f>IF($U271="","",IF(INDEX('Per Invoice'!Q$2:Q$401,$U271)="","",INDEX('Per Invoice'!Q$2:Q$401,$U271)))</f>
        <v/>
      </c>
      <c r="R271" s="7">
        <f>IF($U271="","",IF(INDEX('Per Invoice'!R$2:R$401,$U271)="","",INDEX('Per Invoice'!R$2:R$401,$U271)))</f>
        <v/>
      </c>
      <c r="S271" s="7">
        <f>IF($U271="","",IF(INDEX('Per Invoice'!S$2:S$401,$U271)="","",INDEX('Per Invoice'!S$2:S$401,$U271)))</f>
        <v/>
      </c>
      <c r="T271" s="7">
        <f>IF($U271="","",IF(INDEX('Per Invoice'!T$2:T$401,$U271)="","",INDEX('Per Invoice'!T$2:T$401,$U271)))</f>
        <v/>
      </c>
      <c r="U271" s="16">
        <f>IFERROR(MATCH(Settings!$C$30&amp;"|"&amp;ROWS($U$2:$U271),'Per Invoice'!$V$2:$V$401,0),"")</f>
        <v/>
      </c>
    </row>
    <row r="272">
      <c r="A272">
        <f>IF($U272="","",IF(INDEX('Per Invoice'!A$2:A$401,$U272)="","",INDEX('Per Invoice'!A$2:A$401,$U272)))</f>
        <v/>
      </c>
      <c r="B272">
        <f>IF($U272="","",IF(INDEX('Per Invoice'!B$2:B$401,$U272)="","",INDEX('Per Invoice'!B$2:B$401,$U272)))</f>
        <v/>
      </c>
      <c r="C272">
        <f>IF($U272="","",IF(INDEX('Per Invoice'!C$2:C$401,$U272)="","",INDEX('Per Invoice'!C$2:C$401,$U272)))</f>
        <v/>
      </c>
      <c r="D272">
        <f>IF($U272="","",IF(INDEX('Per Invoice'!D$2:D$401,$U272)="","",INDEX('Per Invoice'!D$2:D$401,$U272)))</f>
        <v/>
      </c>
      <c r="E272">
        <f>IF($U272="","",IF(INDEX('Per Invoice'!E$2:E$401,$U272)="","",INDEX('Per Invoice'!E$2:E$401,$U272)))</f>
        <v/>
      </c>
      <c r="F272">
        <f>IF($U272="","",IF(INDEX('Per Invoice'!F$2:F$401,$U272)="","",INDEX('Per Invoice'!F$2:F$401,$U272)))</f>
        <v/>
      </c>
      <c r="G272">
        <f>IF($U272="","",IF(INDEX('Per Invoice'!G$2:G$401,$U272)="","",INDEX('Per Invoice'!G$2:G$401,$U272)))</f>
        <v/>
      </c>
      <c r="H272" s="7">
        <f>IF($U272="","",IF(INDEX('Per Invoice'!H$2:H$401,$U272)="","",INDEX('Per Invoice'!H$2:H$401,$U272)))</f>
        <v/>
      </c>
      <c r="I272" s="14">
        <f>IF($U272="","",IF(INDEX('Per Invoice'!I$2:I$401,$U272)="","",INDEX('Per Invoice'!I$2:I$401,$U272)))</f>
        <v/>
      </c>
      <c r="J272">
        <f>IF($U272="","",IF(INDEX('Per Invoice'!J$2:J$401,$U272)="","",INDEX('Per Invoice'!J$2:J$401,$U272)))</f>
        <v/>
      </c>
      <c r="K272">
        <f>IF($U272="","",IF(INDEX('Per Invoice'!K$2:K$401,$U272)="","",INDEX('Per Invoice'!K$2:K$401,$U272)))</f>
        <v/>
      </c>
      <c r="L272" s="7">
        <f>IF($U272="","",IF(INDEX('Per Invoice'!L$2:L$401,$U272)="","",INDEX('Per Invoice'!L$2:L$401,$U272)))</f>
        <v/>
      </c>
      <c r="M272" s="7">
        <f>IF($U272="","",IF(INDEX('Per Invoice'!M$2:M$401,$U272)="","",INDEX('Per Invoice'!M$2:M$401,$U272)))</f>
        <v/>
      </c>
      <c r="N272">
        <f>IF($U272="","",IF(INDEX('Per Invoice'!N$2:N$401,$U272)="","",INDEX('Per Invoice'!N$2:N$401,$U272)))</f>
        <v/>
      </c>
      <c r="O272" s="7">
        <f>IF($U272="","",IF(INDEX('Per Invoice'!O$2:O$401,$U272)="","",INDEX('Per Invoice'!O$2:O$401,$U272)))</f>
        <v/>
      </c>
      <c r="P272" s="7">
        <f>IF($U272="","",IF(INDEX('Per Invoice'!P$2:P$401,$U272)="","",INDEX('Per Invoice'!P$2:P$401,$U272)))</f>
        <v/>
      </c>
      <c r="Q272" s="7">
        <f>IF($U272="","",IF(INDEX('Per Invoice'!Q$2:Q$401,$U272)="","",INDEX('Per Invoice'!Q$2:Q$401,$U272)))</f>
        <v/>
      </c>
      <c r="R272" s="7">
        <f>IF($U272="","",IF(INDEX('Per Invoice'!R$2:R$401,$U272)="","",INDEX('Per Invoice'!R$2:R$401,$U272)))</f>
        <v/>
      </c>
      <c r="S272" s="7">
        <f>IF($U272="","",IF(INDEX('Per Invoice'!S$2:S$401,$U272)="","",INDEX('Per Invoice'!S$2:S$401,$U272)))</f>
        <v/>
      </c>
      <c r="T272" s="7">
        <f>IF($U272="","",IF(INDEX('Per Invoice'!T$2:T$401,$U272)="","",INDEX('Per Invoice'!T$2:T$401,$U272)))</f>
        <v/>
      </c>
      <c r="U272" s="16">
        <f>IFERROR(MATCH(Settings!$C$30&amp;"|"&amp;ROWS($U$2:$U272),'Per Invoice'!$V$2:$V$401,0),"")</f>
        <v/>
      </c>
    </row>
    <row r="273">
      <c r="A273">
        <f>IF($U273="","",IF(INDEX('Per Invoice'!A$2:A$401,$U273)="","",INDEX('Per Invoice'!A$2:A$401,$U273)))</f>
        <v/>
      </c>
      <c r="B273">
        <f>IF($U273="","",IF(INDEX('Per Invoice'!B$2:B$401,$U273)="","",INDEX('Per Invoice'!B$2:B$401,$U273)))</f>
        <v/>
      </c>
      <c r="C273">
        <f>IF($U273="","",IF(INDEX('Per Invoice'!C$2:C$401,$U273)="","",INDEX('Per Invoice'!C$2:C$401,$U273)))</f>
        <v/>
      </c>
      <c r="D273">
        <f>IF($U273="","",IF(INDEX('Per Invoice'!D$2:D$401,$U273)="","",INDEX('Per Invoice'!D$2:D$401,$U273)))</f>
        <v/>
      </c>
      <c r="E273">
        <f>IF($U273="","",IF(INDEX('Per Invoice'!E$2:E$401,$U273)="","",INDEX('Per Invoice'!E$2:E$401,$U273)))</f>
        <v/>
      </c>
      <c r="F273">
        <f>IF($U273="","",IF(INDEX('Per Invoice'!F$2:F$401,$U273)="","",INDEX('Per Invoice'!F$2:F$401,$U273)))</f>
        <v/>
      </c>
      <c r="G273">
        <f>IF($U273="","",IF(INDEX('Per Invoice'!G$2:G$401,$U273)="","",INDEX('Per Invoice'!G$2:G$401,$U273)))</f>
        <v/>
      </c>
      <c r="H273" s="7">
        <f>IF($U273="","",IF(INDEX('Per Invoice'!H$2:H$401,$U273)="","",INDEX('Per Invoice'!H$2:H$401,$U273)))</f>
        <v/>
      </c>
      <c r="I273" s="14">
        <f>IF($U273="","",IF(INDEX('Per Invoice'!I$2:I$401,$U273)="","",INDEX('Per Invoice'!I$2:I$401,$U273)))</f>
        <v/>
      </c>
      <c r="J273">
        <f>IF($U273="","",IF(INDEX('Per Invoice'!J$2:J$401,$U273)="","",INDEX('Per Invoice'!J$2:J$401,$U273)))</f>
        <v/>
      </c>
      <c r="K273">
        <f>IF($U273="","",IF(INDEX('Per Invoice'!K$2:K$401,$U273)="","",INDEX('Per Invoice'!K$2:K$401,$U273)))</f>
        <v/>
      </c>
      <c r="L273" s="7">
        <f>IF($U273="","",IF(INDEX('Per Invoice'!L$2:L$401,$U273)="","",INDEX('Per Invoice'!L$2:L$401,$U273)))</f>
        <v/>
      </c>
      <c r="M273" s="7">
        <f>IF($U273="","",IF(INDEX('Per Invoice'!M$2:M$401,$U273)="","",INDEX('Per Invoice'!M$2:M$401,$U273)))</f>
        <v/>
      </c>
      <c r="N273">
        <f>IF($U273="","",IF(INDEX('Per Invoice'!N$2:N$401,$U273)="","",INDEX('Per Invoice'!N$2:N$401,$U273)))</f>
        <v/>
      </c>
      <c r="O273" s="7">
        <f>IF($U273="","",IF(INDEX('Per Invoice'!O$2:O$401,$U273)="","",INDEX('Per Invoice'!O$2:O$401,$U273)))</f>
        <v/>
      </c>
      <c r="P273" s="7">
        <f>IF($U273="","",IF(INDEX('Per Invoice'!P$2:P$401,$U273)="","",INDEX('Per Invoice'!P$2:P$401,$U273)))</f>
        <v/>
      </c>
      <c r="Q273" s="7">
        <f>IF($U273="","",IF(INDEX('Per Invoice'!Q$2:Q$401,$U273)="","",INDEX('Per Invoice'!Q$2:Q$401,$U273)))</f>
        <v/>
      </c>
      <c r="R273" s="7">
        <f>IF($U273="","",IF(INDEX('Per Invoice'!R$2:R$401,$U273)="","",INDEX('Per Invoice'!R$2:R$401,$U273)))</f>
        <v/>
      </c>
      <c r="S273" s="7">
        <f>IF($U273="","",IF(INDEX('Per Invoice'!S$2:S$401,$U273)="","",INDEX('Per Invoice'!S$2:S$401,$U273)))</f>
        <v/>
      </c>
      <c r="T273" s="7">
        <f>IF($U273="","",IF(INDEX('Per Invoice'!T$2:T$401,$U273)="","",INDEX('Per Invoice'!T$2:T$401,$U273)))</f>
        <v/>
      </c>
      <c r="U273" s="16">
        <f>IFERROR(MATCH(Settings!$C$30&amp;"|"&amp;ROWS($U$2:$U273),'Per Invoice'!$V$2:$V$401,0),"")</f>
        <v/>
      </c>
    </row>
    <row r="274">
      <c r="A274">
        <f>IF($U274="","",IF(INDEX('Per Invoice'!A$2:A$401,$U274)="","",INDEX('Per Invoice'!A$2:A$401,$U274)))</f>
        <v/>
      </c>
      <c r="B274">
        <f>IF($U274="","",IF(INDEX('Per Invoice'!B$2:B$401,$U274)="","",INDEX('Per Invoice'!B$2:B$401,$U274)))</f>
        <v/>
      </c>
      <c r="C274">
        <f>IF($U274="","",IF(INDEX('Per Invoice'!C$2:C$401,$U274)="","",INDEX('Per Invoice'!C$2:C$401,$U274)))</f>
        <v/>
      </c>
      <c r="D274">
        <f>IF($U274="","",IF(INDEX('Per Invoice'!D$2:D$401,$U274)="","",INDEX('Per Invoice'!D$2:D$401,$U274)))</f>
        <v/>
      </c>
      <c r="E274">
        <f>IF($U274="","",IF(INDEX('Per Invoice'!E$2:E$401,$U274)="","",INDEX('Per Invoice'!E$2:E$401,$U274)))</f>
        <v/>
      </c>
      <c r="F274">
        <f>IF($U274="","",IF(INDEX('Per Invoice'!F$2:F$401,$U274)="","",INDEX('Per Invoice'!F$2:F$401,$U274)))</f>
        <v/>
      </c>
      <c r="G274">
        <f>IF($U274="","",IF(INDEX('Per Invoice'!G$2:G$401,$U274)="","",INDEX('Per Invoice'!G$2:G$401,$U274)))</f>
        <v/>
      </c>
      <c r="H274" s="7">
        <f>IF($U274="","",IF(INDEX('Per Invoice'!H$2:H$401,$U274)="","",INDEX('Per Invoice'!H$2:H$401,$U274)))</f>
        <v/>
      </c>
      <c r="I274" s="14">
        <f>IF($U274="","",IF(INDEX('Per Invoice'!I$2:I$401,$U274)="","",INDEX('Per Invoice'!I$2:I$401,$U274)))</f>
        <v/>
      </c>
      <c r="J274">
        <f>IF($U274="","",IF(INDEX('Per Invoice'!J$2:J$401,$U274)="","",INDEX('Per Invoice'!J$2:J$401,$U274)))</f>
        <v/>
      </c>
      <c r="K274">
        <f>IF($U274="","",IF(INDEX('Per Invoice'!K$2:K$401,$U274)="","",INDEX('Per Invoice'!K$2:K$401,$U274)))</f>
        <v/>
      </c>
      <c r="L274" s="7">
        <f>IF($U274="","",IF(INDEX('Per Invoice'!L$2:L$401,$U274)="","",INDEX('Per Invoice'!L$2:L$401,$U274)))</f>
        <v/>
      </c>
      <c r="M274" s="7">
        <f>IF($U274="","",IF(INDEX('Per Invoice'!M$2:M$401,$U274)="","",INDEX('Per Invoice'!M$2:M$401,$U274)))</f>
        <v/>
      </c>
      <c r="N274">
        <f>IF($U274="","",IF(INDEX('Per Invoice'!N$2:N$401,$U274)="","",INDEX('Per Invoice'!N$2:N$401,$U274)))</f>
        <v/>
      </c>
      <c r="O274" s="7">
        <f>IF($U274="","",IF(INDEX('Per Invoice'!O$2:O$401,$U274)="","",INDEX('Per Invoice'!O$2:O$401,$U274)))</f>
        <v/>
      </c>
      <c r="P274" s="7">
        <f>IF($U274="","",IF(INDEX('Per Invoice'!P$2:P$401,$U274)="","",INDEX('Per Invoice'!P$2:P$401,$U274)))</f>
        <v/>
      </c>
      <c r="Q274" s="7">
        <f>IF($U274="","",IF(INDEX('Per Invoice'!Q$2:Q$401,$U274)="","",INDEX('Per Invoice'!Q$2:Q$401,$U274)))</f>
        <v/>
      </c>
      <c r="R274" s="7">
        <f>IF($U274="","",IF(INDEX('Per Invoice'!R$2:R$401,$U274)="","",INDEX('Per Invoice'!R$2:R$401,$U274)))</f>
        <v/>
      </c>
      <c r="S274" s="7">
        <f>IF($U274="","",IF(INDEX('Per Invoice'!S$2:S$401,$U274)="","",INDEX('Per Invoice'!S$2:S$401,$U274)))</f>
        <v/>
      </c>
      <c r="T274" s="7">
        <f>IF($U274="","",IF(INDEX('Per Invoice'!T$2:T$401,$U274)="","",INDEX('Per Invoice'!T$2:T$401,$U274)))</f>
        <v/>
      </c>
      <c r="U274" s="16">
        <f>IFERROR(MATCH(Settings!$C$30&amp;"|"&amp;ROWS($U$2:$U274),'Per Invoice'!$V$2:$V$401,0),"")</f>
        <v/>
      </c>
    </row>
    <row r="275">
      <c r="A275">
        <f>IF($U275="","",IF(INDEX('Per Invoice'!A$2:A$401,$U275)="","",INDEX('Per Invoice'!A$2:A$401,$U275)))</f>
        <v/>
      </c>
      <c r="B275">
        <f>IF($U275="","",IF(INDEX('Per Invoice'!B$2:B$401,$U275)="","",INDEX('Per Invoice'!B$2:B$401,$U275)))</f>
        <v/>
      </c>
      <c r="C275">
        <f>IF($U275="","",IF(INDEX('Per Invoice'!C$2:C$401,$U275)="","",INDEX('Per Invoice'!C$2:C$401,$U275)))</f>
        <v/>
      </c>
      <c r="D275">
        <f>IF($U275="","",IF(INDEX('Per Invoice'!D$2:D$401,$U275)="","",INDEX('Per Invoice'!D$2:D$401,$U275)))</f>
        <v/>
      </c>
      <c r="E275">
        <f>IF($U275="","",IF(INDEX('Per Invoice'!E$2:E$401,$U275)="","",INDEX('Per Invoice'!E$2:E$401,$U275)))</f>
        <v/>
      </c>
      <c r="F275">
        <f>IF($U275="","",IF(INDEX('Per Invoice'!F$2:F$401,$U275)="","",INDEX('Per Invoice'!F$2:F$401,$U275)))</f>
        <v/>
      </c>
      <c r="G275">
        <f>IF($U275="","",IF(INDEX('Per Invoice'!G$2:G$401,$U275)="","",INDEX('Per Invoice'!G$2:G$401,$U275)))</f>
        <v/>
      </c>
      <c r="H275" s="7">
        <f>IF($U275="","",IF(INDEX('Per Invoice'!H$2:H$401,$U275)="","",INDEX('Per Invoice'!H$2:H$401,$U275)))</f>
        <v/>
      </c>
      <c r="I275" s="14">
        <f>IF($U275="","",IF(INDEX('Per Invoice'!I$2:I$401,$U275)="","",INDEX('Per Invoice'!I$2:I$401,$U275)))</f>
        <v/>
      </c>
      <c r="J275">
        <f>IF($U275="","",IF(INDEX('Per Invoice'!J$2:J$401,$U275)="","",INDEX('Per Invoice'!J$2:J$401,$U275)))</f>
        <v/>
      </c>
      <c r="K275">
        <f>IF($U275="","",IF(INDEX('Per Invoice'!K$2:K$401,$U275)="","",INDEX('Per Invoice'!K$2:K$401,$U275)))</f>
        <v/>
      </c>
      <c r="L275" s="7">
        <f>IF($U275="","",IF(INDEX('Per Invoice'!L$2:L$401,$U275)="","",INDEX('Per Invoice'!L$2:L$401,$U275)))</f>
        <v/>
      </c>
      <c r="M275" s="7">
        <f>IF($U275="","",IF(INDEX('Per Invoice'!M$2:M$401,$U275)="","",INDEX('Per Invoice'!M$2:M$401,$U275)))</f>
        <v/>
      </c>
      <c r="N275">
        <f>IF($U275="","",IF(INDEX('Per Invoice'!N$2:N$401,$U275)="","",INDEX('Per Invoice'!N$2:N$401,$U275)))</f>
        <v/>
      </c>
      <c r="O275" s="7">
        <f>IF($U275="","",IF(INDEX('Per Invoice'!O$2:O$401,$U275)="","",INDEX('Per Invoice'!O$2:O$401,$U275)))</f>
        <v/>
      </c>
      <c r="P275" s="7">
        <f>IF($U275="","",IF(INDEX('Per Invoice'!P$2:P$401,$U275)="","",INDEX('Per Invoice'!P$2:P$401,$U275)))</f>
        <v/>
      </c>
      <c r="Q275" s="7">
        <f>IF($U275="","",IF(INDEX('Per Invoice'!Q$2:Q$401,$U275)="","",INDEX('Per Invoice'!Q$2:Q$401,$U275)))</f>
        <v/>
      </c>
      <c r="R275" s="7">
        <f>IF($U275="","",IF(INDEX('Per Invoice'!R$2:R$401,$U275)="","",INDEX('Per Invoice'!R$2:R$401,$U275)))</f>
        <v/>
      </c>
      <c r="S275" s="7">
        <f>IF($U275="","",IF(INDEX('Per Invoice'!S$2:S$401,$U275)="","",INDEX('Per Invoice'!S$2:S$401,$U275)))</f>
        <v/>
      </c>
      <c r="T275" s="7">
        <f>IF($U275="","",IF(INDEX('Per Invoice'!T$2:T$401,$U275)="","",INDEX('Per Invoice'!T$2:T$401,$U275)))</f>
        <v/>
      </c>
      <c r="U275" s="16">
        <f>IFERROR(MATCH(Settings!$C$30&amp;"|"&amp;ROWS($U$2:$U275),'Per Invoice'!$V$2:$V$401,0),"")</f>
        <v/>
      </c>
    </row>
    <row r="276">
      <c r="A276">
        <f>IF($U276="","",IF(INDEX('Per Invoice'!A$2:A$401,$U276)="","",INDEX('Per Invoice'!A$2:A$401,$U276)))</f>
        <v/>
      </c>
      <c r="B276">
        <f>IF($U276="","",IF(INDEX('Per Invoice'!B$2:B$401,$U276)="","",INDEX('Per Invoice'!B$2:B$401,$U276)))</f>
        <v/>
      </c>
      <c r="C276">
        <f>IF($U276="","",IF(INDEX('Per Invoice'!C$2:C$401,$U276)="","",INDEX('Per Invoice'!C$2:C$401,$U276)))</f>
        <v/>
      </c>
      <c r="D276">
        <f>IF($U276="","",IF(INDEX('Per Invoice'!D$2:D$401,$U276)="","",INDEX('Per Invoice'!D$2:D$401,$U276)))</f>
        <v/>
      </c>
      <c r="E276">
        <f>IF($U276="","",IF(INDEX('Per Invoice'!E$2:E$401,$U276)="","",INDEX('Per Invoice'!E$2:E$401,$U276)))</f>
        <v/>
      </c>
      <c r="F276">
        <f>IF($U276="","",IF(INDEX('Per Invoice'!F$2:F$401,$U276)="","",INDEX('Per Invoice'!F$2:F$401,$U276)))</f>
        <v/>
      </c>
      <c r="G276">
        <f>IF($U276="","",IF(INDEX('Per Invoice'!G$2:G$401,$U276)="","",INDEX('Per Invoice'!G$2:G$401,$U276)))</f>
        <v/>
      </c>
      <c r="H276" s="7">
        <f>IF($U276="","",IF(INDEX('Per Invoice'!H$2:H$401,$U276)="","",INDEX('Per Invoice'!H$2:H$401,$U276)))</f>
        <v/>
      </c>
      <c r="I276" s="14">
        <f>IF($U276="","",IF(INDEX('Per Invoice'!I$2:I$401,$U276)="","",INDEX('Per Invoice'!I$2:I$401,$U276)))</f>
        <v/>
      </c>
      <c r="J276">
        <f>IF($U276="","",IF(INDEX('Per Invoice'!J$2:J$401,$U276)="","",INDEX('Per Invoice'!J$2:J$401,$U276)))</f>
        <v/>
      </c>
      <c r="K276">
        <f>IF($U276="","",IF(INDEX('Per Invoice'!K$2:K$401,$U276)="","",INDEX('Per Invoice'!K$2:K$401,$U276)))</f>
        <v/>
      </c>
      <c r="L276" s="7">
        <f>IF($U276="","",IF(INDEX('Per Invoice'!L$2:L$401,$U276)="","",INDEX('Per Invoice'!L$2:L$401,$U276)))</f>
        <v/>
      </c>
      <c r="M276" s="7">
        <f>IF($U276="","",IF(INDEX('Per Invoice'!M$2:M$401,$U276)="","",INDEX('Per Invoice'!M$2:M$401,$U276)))</f>
        <v/>
      </c>
      <c r="N276">
        <f>IF($U276="","",IF(INDEX('Per Invoice'!N$2:N$401,$U276)="","",INDEX('Per Invoice'!N$2:N$401,$U276)))</f>
        <v/>
      </c>
      <c r="O276" s="7">
        <f>IF($U276="","",IF(INDEX('Per Invoice'!O$2:O$401,$U276)="","",INDEX('Per Invoice'!O$2:O$401,$U276)))</f>
        <v/>
      </c>
      <c r="P276" s="7">
        <f>IF($U276="","",IF(INDEX('Per Invoice'!P$2:P$401,$U276)="","",INDEX('Per Invoice'!P$2:P$401,$U276)))</f>
        <v/>
      </c>
      <c r="Q276" s="7">
        <f>IF($U276="","",IF(INDEX('Per Invoice'!Q$2:Q$401,$U276)="","",INDEX('Per Invoice'!Q$2:Q$401,$U276)))</f>
        <v/>
      </c>
      <c r="R276" s="7">
        <f>IF($U276="","",IF(INDEX('Per Invoice'!R$2:R$401,$U276)="","",INDEX('Per Invoice'!R$2:R$401,$U276)))</f>
        <v/>
      </c>
      <c r="S276" s="7">
        <f>IF($U276="","",IF(INDEX('Per Invoice'!S$2:S$401,$U276)="","",INDEX('Per Invoice'!S$2:S$401,$U276)))</f>
        <v/>
      </c>
      <c r="T276" s="7">
        <f>IF($U276="","",IF(INDEX('Per Invoice'!T$2:T$401,$U276)="","",INDEX('Per Invoice'!T$2:T$401,$U276)))</f>
        <v/>
      </c>
      <c r="U276" s="16">
        <f>IFERROR(MATCH(Settings!$C$30&amp;"|"&amp;ROWS($U$2:$U276),'Per Invoice'!$V$2:$V$401,0),"")</f>
        <v/>
      </c>
    </row>
    <row r="277">
      <c r="A277">
        <f>IF($U277="","",IF(INDEX('Per Invoice'!A$2:A$401,$U277)="","",INDEX('Per Invoice'!A$2:A$401,$U277)))</f>
        <v/>
      </c>
      <c r="B277">
        <f>IF($U277="","",IF(INDEX('Per Invoice'!B$2:B$401,$U277)="","",INDEX('Per Invoice'!B$2:B$401,$U277)))</f>
        <v/>
      </c>
      <c r="C277">
        <f>IF($U277="","",IF(INDEX('Per Invoice'!C$2:C$401,$U277)="","",INDEX('Per Invoice'!C$2:C$401,$U277)))</f>
        <v/>
      </c>
      <c r="D277">
        <f>IF($U277="","",IF(INDEX('Per Invoice'!D$2:D$401,$U277)="","",INDEX('Per Invoice'!D$2:D$401,$U277)))</f>
        <v/>
      </c>
      <c r="E277">
        <f>IF($U277="","",IF(INDEX('Per Invoice'!E$2:E$401,$U277)="","",INDEX('Per Invoice'!E$2:E$401,$U277)))</f>
        <v/>
      </c>
      <c r="F277">
        <f>IF($U277="","",IF(INDEX('Per Invoice'!F$2:F$401,$U277)="","",INDEX('Per Invoice'!F$2:F$401,$U277)))</f>
        <v/>
      </c>
      <c r="G277">
        <f>IF($U277="","",IF(INDEX('Per Invoice'!G$2:G$401,$U277)="","",INDEX('Per Invoice'!G$2:G$401,$U277)))</f>
        <v/>
      </c>
      <c r="H277" s="7">
        <f>IF($U277="","",IF(INDEX('Per Invoice'!H$2:H$401,$U277)="","",INDEX('Per Invoice'!H$2:H$401,$U277)))</f>
        <v/>
      </c>
      <c r="I277" s="14">
        <f>IF($U277="","",IF(INDEX('Per Invoice'!I$2:I$401,$U277)="","",INDEX('Per Invoice'!I$2:I$401,$U277)))</f>
        <v/>
      </c>
      <c r="J277">
        <f>IF($U277="","",IF(INDEX('Per Invoice'!J$2:J$401,$U277)="","",INDEX('Per Invoice'!J$2:J$401,$U277)))</f>
        <v/>
      </c>
      <c r="K277">
        <f>IF($U277="","",IF(INDEX('Per Invoice'!K$2:K$401,$U277)="","",INDEX('Per Invoice'!K$2:K$401,$U277)))</f>
        <v/>
      </c>
      <c r="L277" s="7">
        <f>IF($U277="","",IF(INDEX('Per Invoice'!L$2:L$401,$U277)="","",INDEX('Per Invoice'!L$2:L$401,$U277)))</f>
        <v/>
      </c>
      <c r="M277" s="7">
        <f>IF($U277="","",IF(INDEX('Per Invoice'!M$2:M$401,$U277)="","",INDEX('Per Invoice'!M$2:M$401,$U277)))</f>
        <v/>
      </c>
      <c r="N277">
        <f>IF($U277="","",IF(INDEX('Per Invoice'!N$2:N$401,$U277)="","",INDEX('Per Invoice'!N$2:N$401,$U277)))</f>
        <v/>
      </c>
      <c r="O277" s="7">
        <f>IF($U277="","",IF(INDEX('Per Invoice'!O$2:O$401,$U277)="","",INDEX('Per Invoice'!O$2:O$401,$U277)))</f>
        <v/>
      </c>
      <c r="P277" s="7">
        <f>IF($U277="","",IF(INDEX('Per Invoice'!P$2:P$401,$U277)="","",INDEX('Per Invoice'!P$2:P$401,$U277)))</f>
        <v/>
      </c>
      <c r="Q277" s="7">
        <f>IF($U277="","",IF(INDEX('Per Invoice'!Q$2:Q$401,$U277)="","",INDEX('Per Invoice'!Q$2:Q$401,$U277)))</f>
        <v/>
      </c>
      <c r="R277" s="7">
        <f>IF($U277="","",IF(INDEX('Per Invoice'!R$2:R$401,$U277)="","",INDEX('Per Invoice'!R$2:R$401,$U277)))</f>
        <v/>
      </c>
      <c r="S277" s="7">
        <f>IF($U277="","",IF(INDEX('Per Invoice'!S$2:S$401,$U277)="","",INDEX('Per Invoice'!S$2:S$401,$U277)))</f>
        <v/>
      </c>
      <c r="T277" s="7">
        <f>IF($U277="","",IF(INDEX('Per Invoice'!T$2:T$401,$U277)="","",INDEX('Per Invoice'!T$2:T$401,$U277)))</f>
        <v/>
      </c>
      <c r="U277" s="16">
        <f>IFERROR(MATCH(Settings!$C$30&amp;"|"&amp;ROWS($U$2:$U277),'Per Invoice'!$V$2:$V$401,0),"")</f>
        <v/>
      </c>
    </row>
    <row r="278">
      <c r="A278">
        <f>IF($U278="","",IF(INDEX('Per Invoice'!A$2:A$401,$U278)="","",INDEX('Per Invoice'!A$2:A$401,$U278)))</f>
        <v/>
      </c>
      <c r="B278">
        <f>IF($U278="","",IF(INDEX('Per Invoice'!B$2:B$401,$U278)="","",INDEX('Per Invoice'!B$2:B$401,$U278)))</f>
        <v/>
      </c>
      <c r="C278">
        <f>IF($U278="","",IF(INDEX('Per Invoice'!C$2:C$401,$U278)="","",INDEX('Per Invoice'!C$2:C$401,$U278)))</f>
        <v/>
      </c>
      <c r="D278">
        <f>IF($U278="","",IF(INDEX('Per Invoice'!D$2:D$401,$U278)="","",INDEX('Per Invoice'!D$2:D$401,$U278)))</f>
        <v/>
      </c>
      <c r="E278">
        <f>IF($U278="","",IF(INDEX('Per Invoice'!E$2:E$401,$U278)="","",INDEX('Per Invoice'!E$2:E$401,$U278)))</f>
        <v/>
      </c>
      <c r="F278">
        <f>IF($U278="","",IF(INDEX('Per Invoice'!F$2:F$401,$U278)="","",INDEX('Per Invoice'!F$2:F$401,$U278)))</f>
        <v/>
      </c>
      <c r="G278">
        <f>IF($U278="","",IF(INDEX('Per Invoice'!G$2:G$401,$U278)="","",INDEX('Per Invoice'!G$2:G$401,$U278)))</f>
        <v/>
      </c>
      <c r="H278" s="7">
        <f>IF($U278="","",IF(INDEX('Per Invoice'!H$2:H$401,$U278)="","",INDEX('Per Invoice'!H$2:H$401,$U278)))</f>
        <v/>
      </c>
      <c r="I278" s="14">
        <f>IF($U278="","",IF(INDEX('Per Invoice'!I$2:I$401,$U278)="","",INDEX('Per Invoice'!I$2:I$401,$U278)))</f>
        <v/>
      </c>
      <c r="J278">
        <f>IF($U278="","",IF(INDEX('Per Invoice'!J$2:J$401,$U278)="","",INDEX('Per Invoice'!J$2:J$401,$U278)))</f>
        <v/>
      </c>
      <c r="K278">
        <f>IF($U278="","",IF(INDEX('Per Invoice'!K$2:K$401,$U278)="","",INDEX('Per Invoice'!K$2:K$401,$U278)))</f>
        <v/>
      </c>
      <c r="L278" s="7">
        <f>IF($U278="","",IF(INDEX('Per Invoice'!L$2:L$401,$U278)="","",INDEX('Per Invoice'!L$2:L$401,$U278)))</f>
        <v/>
      </c>
      <c r="M278" s="7">
        <f>IF($U278="","",IF(INDEX('Per Invoice'!M$2:M$401,$U278)="","",INDEX('Per Invoice'!M$2:M$401,$U278)))</f>
        <v/>
      </c>
      <c r="N278">
        <f>IF($U278="","",IF(INDEX('Per Invoice'!N$2:N$401,$U278)="","",INDEX('Per Invoice'!N$2:N$401,$U278)))</f>
        <v/>
      </c>
      <c r="O278" s="7">
        <f>IF($U278="","",IF(INDEX('Per Invoice'!O$2:O$401,$U278)="","",INDEX('Per Invoice'!O$2:O$401,$U278)))</f>
        <v/>
      </c>
      <c r="P278" s="7">
        <f>IF($U278="","",IF(INDEX('Per Invoice'!P$2:P$401,$U278)="","",INDEX('Per Invoice'!P$2:P$401,$U278)))</f>
        <v/>
      </c>
      <c r="Q278" s="7">
        <f>IF($U278="","",IF(INDEX('Per Invoice'!Q$2:Q$401,$U278)="","",INDEX('Per Invoice'!Q$2:Q$401,$U278)))</f>
        <v/>
      </c>
      <c r="R278" s="7">
        <f>IF($U278="","",IF(INDEX('Per Invoice'!R$2:R$401,$U278)="","",INDEX('Per Invoice'!R$2:R$401,$U278)))</f>
        <v/>
      </c>
      <c r="S278" s="7">
        <f>IF($U278="","",IF(INDEX('Per Invoice'!S$2:S$401,$U278)="","",INDEX('Per Invoice'!S$2:S$401,$U278)))</f>
        <v/>
      </c>
      <c r="T278" s="7">
        <f>IF($U278="","",IF(INDEX('Per Invoice'!T$2:T$401,$U278)="","",INDEX('Per Invoice'!T$2:T$401,$U278)))</f>
        <v/>
      </c>
      <c r="U278" s="16">
        <f>IFERROR(MATCH(Settings!$C$30&amp;"|"&amp;ROWS($U$2:$U278),'Per Invoice'!$V$2:$V$401,0),"")</f>
        <v/>
      </c>
    </row>
    <row r="279">
      <c r="A279">
        <f>IF($U279="","",IF(INDEX('Per Invoice'!A$2:A$401,$U279)="","",INDEX('Per Invoice'!A$2:A$401,$U279)))</f>
        <v/>
      </c>
      <c r="B279">
        <f>IF($U279="","",IF(INDEX('Per Invoice'!B$2:B$401,$U279)="","",INDEX('Per Invoice'!B$2:B$401,$U279)))</f>
        <v/>
      </c>
      <c r="C279">
        <f>IF($U279="","",IF(INDEX('Per Invoice'!C$2:C$401,$U279)="","",INDEX('Per Invoice'!C$2:C$401,$U279)))</f>
        <v/>
      </c>
      <c r="D279">
        <f>IF($U279="","",IF(INDEX('Per Invoice'!D$2:D$401,$U279)="","",INDEX('Per Invoice'!D$2:D$401,$U279)))</f>
        <v/>
      </c>
      <c r="E279">
        <f>IF($U279="","",IF(INDEX('Per Invoice'!E$2:E$401,$U279)="","",INDEX('Per Invoice'!E$2:E$401,$U279)))</f>
        <v/>
      </c>
      <c r="F279">
        <f>IF($U279="","",IF(INDEX('Per Invoice'!F$2:F$401,$U279)="","",INDEX('Per Invoice'!F$2:F$401,$U279)))</f>
        <v/>
      </c>
      <c r="G279">
        <f>IF($U279="","",IF(INDEX('Per Invoice'!G$2:G$401,$U279)="","",INDEX('Per Invoice'!G$2:G$401,$U279)))</f>
        <v/>
      </c>
      <c r="H279" s="7">
        <f>IF($U279="","",IF(INDEX('Per Invoice'!H$2:H$401,$U279)="","",INDEX('Per Invoice'!H$2:H$401,$U279)))</f>
        <v/>
      </c>
      <c r="I279" s="14">
        <f>IF($U279="","",IF(INDEX('Per Invoice'!I$2:I$401,$U279)="","",INDEX('Per Invoice'!I$2:I$401,$U279)))</f>
        <v/>
      </c>
      <c r="J279">
        <f>IF($U279="","",IF(INDEX('Per Invoice'!J$2:J$401,$U279)="","",INDEX('Per Invoice'!J$2:J$401,$U279)))</f>
        <v/>
      </c>
      <c r="K279">
        <f>IF($U279="","",IF(INDEX('Per Invoice'!K$2:K$401,$U279)="","",INDEX('Per Invoice'!K$2:K$401,$U279)))</f>
        <v/>
      </c>
      <c r="L279" s="7">
        <f>IF($U279="","",IF(INDEX('Per Invoice'!L$2:L$401,$U279)="","",INDEX('Per Invoice'!L$2:L$401,$U279)))</f>
        <v/>
      </c>
      <c r="M279" s="7">
        <f>IF($U279="","",IF(INDEX('Per Invoice'!M$2:M$401,$U279)="","",INDEX('Per Invoice'!M$2:M$401,$U279)))</f>
        <v/>
      </c>
      <c r="N279">
        <f>IF($U279="","",IF(INDEX('Per Invoice'!N$2:N$401,$U279)="","",INDEX('Per Invoice'!N$2:N$401,$U279)))</f>
        <v/>
      </c>
      <c r="O279" s="7">
        <f>IF($U279="","",IF(INDEX('Per Invoice'!O$2:O$401,$U279)="","",INDEX('Per Invoice'!O$2:O$401,$U279)))</f>
        <v/>
      </c>
      <c r="P279" s="7">
        <f>IF($U279="","",IF(INDEX('Per Invoice'!P$2:P$401,$U279)="","",INDEX('Per Invoice'!P$2:P$401,$U279)))</f>
        <v/>
      </c>
      <c r="Q279" s="7">
        <f>IF($U279="","",IF(INDEX('Per Invoice'!Q$2:Q$401,$U279)="","",INDEX('Per Invoice'!Q$2:Q$401,$U279)))</f>
        <v/>
      </c>
      <c r="R279" s="7">
        <f>IF($U279="","",IF(INDEX('Per Invoice'!R$2:R$401,$U279)="","",INDEX('Per Invoice'!R$2:R$401,$U279)))</f>
        <v/>
      </c>
      <c r="S279" s="7">
        <f>IF($U279="","",IF(INDEX('Per Invoice'!S$2:S$401,$U279)="","",INDEX('Per Invoice'!S$2:S$401,$U279)))</f>
        <v/>
      </c>
      <c r="T279" s="7">
        <f>IF($U279="","",IF(INDEX('Per Invoice'!T$2:T$401,$U279)="","",INDEX('Per Invoice'!T$2:T$401,$U279)))</f>
        <v/>
      </c>
      <c r="U279" s="16">
        <f>IFERROR(MATCH(Settings!$C$30&amp;"|"&amp;ROWS($U$2:$U279),'Per Invoice'!$V$2:$V$401,0),"")</f>
        <v/>
      </c>
    </row>
    <row r="280">
      <c r="A280">
        <f>IF($U280="","",IF(INDEX('Per Invoice'!A$2:A$401,$U280)="","",INDEX('Per Invoice'!A$2:A$401,$U280)))</f>
        <v/>
      </c>
      <c r="B280">
        <f>IF($U280="","",IF(INDEX('Per Invoice'!B$2:B$401,$U280)="","",INDEX('Per Invoice'!B$2:B$401,$U280)))</f>
        <v/>
      </c>
      <c r="C280">
        <f>IF($U280="","",IF(INDEX('Per Invoice'!C$2:C$401,$U280)="","",INDEX('Per Invoice'!C$2:C$401,$U280)))</f>
        <v/>
      </c>
      <c r="D280">
        <f>IF($U280="","",IF(INDEX('Per Invoice'!D$2:D$401,$U280)="","",INDEX('Per Invoice'!D$2:D$401,$U280)))</f>
        <v/>
      </c>
      <c r="E280">
        <f>IF($U280="","",IF(INDEX('Per Invoice'!E$2:E$401,$U280)="","",INDEX('Per Invoice'!E$2:E$401,$U280)))</f>
        <v/>
      </c>
      <c r="F280">
        <f>IF($U280="","",IF(INDEX('Per Invoice'!F$2:F$401,$U280)="","",INDEX('Per Invoice'!F$2:F$401,$U280)))</f>
        <v/>
      </c>
      <c r="G280">
        <f>IF($U280="","",IF(INDEX('Per Invoice'!G$2:G$401,$U280)="","",INDEX('Per Invoice'!G$2:G$401,$U280)))</f>
        <v/>
      </c>
      <c r="H280" s="7">
        <f>IF($U280="","",IF(INDEX('Per Invoice'!H$2:H$401,$U280)="","",INDEX('Per Invoice'!H$2:H$401,$U280)))</f>
        <v/>
      </c>
      <c r="I280" s="14">
        <f>IF($U280="","",IF(INDEX('Per Invoice'!I$2:I$401,$U280)="","",INDEX('Per Invoice'!I$2:I$401,$U280)))</f>
        <v/>
      </c>
      <c r="J280">
        <f>IF($U280="","",IF(INDEX('Per Invoice'!J$2:J$401,$U280)="","",INDEX('Per Invoice'!J$2:J$401,$U280)))</f>
        <v/>
      </c>
      <c r="K280">
        <f>IF($U280="","",IF(INDEX('Per Invoice'!K$2:K$401,$U280)="","",INDEX('Per Invoice'!K$2:K$401,$U280)))</f>
        <v/>
      </c>
      <c r="L280" s="7">
        <f>IF($U280="","",IF(INDEX('Per Invoice'!L$2:L$401,$U280)="","",INDEX('Per Invoice'!L$2:L$401,$U280)))</f>
        <v/>
      </c>
      <c r="M280" s="7">
        <f>IF($U280="","",IF(INDEX('Per Invoice'!M$2:M$401,$U280)="","",INDEX('Per Invoice'!M$2:M$401,$U280)))</f>
        <v/>
      </c>
      <c r="N280">
        <f>IF($U280="","",IF(INDEX('Per Invoice'!N$2:N$401,$U280)="","",INDEX('Per Invoice'!N$2:N$401,$U280)))</f>
        <v/>
      </c>
      <c r="O280" s="7">
        <f>IF($U280="","",IF(INDEX('Per Invoice'!O$2:O$401,$U280)="","",INDEX('Per Invoice'!O$2:O$401,$U280)))</f>
        <v/>
      </c>
      <c r="P280" s="7">
        <f>IF($U280="","",IF(INDEX('Per Invoice'!P$2:P$401,$U280)="","",INDEX('Per Invoice'!P$2:P$401,$U280)))</f>
        <v/>
      </c>
      <c r="Q280" s="7">
        <f>IF($U280="","",IF(INDEX('Per Invoice'!Q$2:Q$401,$U280)="","",INDEX('Per Invoice'!Q$2:Q$401,$U280)))</f>
        <v/>
      </c>
      <c r="R280" s="7">
        <f>IF($U280="","",IF(INDEX('Per Invoice'!R$2:R$401,$U280)="","",INDEX('Per Invoice'!R$2:R$401,$U280)))</f>
        <v/>
      </c>
      <c r="S280" s="7">
        <f>IF($U280="","",IF(INDEX('Per Invoice'!S$2:S$401,$U280)="","",INDEX('Per Invoice'!S$2:S$401,$U280)))</f>
        <v/>
      </c>
      <c r="T280" s="7">
        <f>IF($U280="","",IF(INDEX('Per Invoice'!T$2:T$401,$U280)="","",INDEX('Per Invoice'!T$2:T$401,$U280)))</f>
        <v/>
      </c>
      <c r="U280" s="16">
        <f>IFERROR(MATCH(Settings!$C$30&amp;"|"&amp;ROWS($U$2:$U280),'Per Invoice'!$V$2:$V$401,0),"")</f>
        <v/>
      </c>
    </row>
    <row r="281">
      <c r="A281">
        <f>IF($U281="","",IF(INDEX('Per Invoice'!A$2:A$401,$U281)="","",INDEX('Per Invoice'!A$2:A$401,$U281)))</f>
        <v/>
      </c>
      <c r="B281">
        <f>IF($U281="","",IF(INDEX('Per Invoice'!B$2:B$401,$U281)="","",INDEX('Per Invoice'!B$2:B$401,$U281)))</f>
        <v/>
      </c>
      <c r="C281">
        <f>IF($U281="","",IF(INDEX('Per Invoice'!C$2:C$401,$U281)="","",INDEX('Per Invoice'!C$2:C$401,$U281)))</f>
        <v/>
      </c>
      <c r="D281">
        <f>IF($U281="","",IF(INDEX('Per Invoice'!D$2:D$401,$U281)="","",INDEX('Per Invoice'!D$2:D$401,$U281)))</f>
        <v/>
      </c>
      <c r="E281">
        <f>IF($U281="","",IF(INDEX('Per Invoice'!E$2:E$401,$U281)="","",INDEX('Per Invoice'!E$2:E$401,$U281)))</f>
        <v/>
      </c>
      <c r="F281">
        <f>IF($U281="","",IF(INDEX('Per Invoice'!F$2:F$401,$U281)="","",INDEX('Per Invoice'!F$2:F$401,$U281)))</f>
        <v/>
      </c>
      <c r="G281">
        <f>IF($U281="","",IF(INDEX('Per Invoice'!G$2:G$401,$U281)="","",INDEX('Per Invoice'!G$2:G$401,$U281)))</f>
        <v/>
      </c>
      <c r="H281" s="7">
        <f>IF($U281="","",IF(INDEX('Per Invoice'!H$2:H$401,$U281)="","",INDEX('Per Invoice'!H$2:H$401,$U281)))</f>
        <v/>
      </c>
      <c r="I281" s="14">
        <f>IF($U281="","",IF(INDEX('Per Invoice'!I$2:I$401,$U281)="","",INDEX('Per Invoice'!I$2:I$401,$U281)))</f>
        <v/>
      </c>
      <c r="J281">
        <f>IF($U281="","",IF(INDEX('Per Invoice'!J$2:J$401,$U281)="","",INDEX('Per Invoice'!J$2:J$401,$U281)))</f>
        <v/>
      </c>
      <c r="K281">
        <f>IF($U281="","",IF(INDEX('Per Invoice'!K$2:K$401,$U281)="","",INDEX('Per Invoice'!K$2:K$401,$U281)))</f>
        <v/>
      </c>
      <c r="L281" s="7">
        <f>IF($U281="","",IF(INDEX('Per Invoice'!L$2:L$401,$U281)="","",INDEX('Per Invoice'!L$2:L$401,$U281)))</f>
        <v/>
      </c>
      <c r="M281" s="7">
        <f>IF($U281="","",IF(INDEX('Per Invoice'!M$2:M$401,$U281)="","",INDEX('Per Invoice'!M$2:M$401,$U281)))</f>
        <v/>
      </c>
      <c r="N281">
        <f>IF($U281="","",IF(INDEX('Per Invoice'!N$2:N$401,$U281)="","",INDEX('Per Invoice'!N$2:N$401,$U281)))</f>
        <v/>
      </c>
      <c r="O281" s="7">
        <f>IF($U281="","",IF(INDEX('Per Invoice'!O$2:O$401,$U281)="","",INDEX('Per Invoice'!O$2:O$401,$U281)))</f>
        <v/>
      </c>
      <c r="P281" s="7">
        <f>IF($U281="","",IF(INDEX('Per Invoice'!P$2:P$401,$U281)="","",INDEX('Per Invoice'!P$2:P$401,$U281)))</f>
        <v/>
      </c>
      <c r="Q281" s="7">
        <f>IF($U281="","",IF(INDEX('Per Invoice'!Q$2:Q$401,$U281)="","",INDEX('Per Invoice'!Q$2:Q$401,$U281)))</f>
        <v/>
      </c>
      <c r="R281" s="7">
        <f>IF($U281="","",IF(INDEX('Per Invoice'!R$2:R$401,$U281)="","",INDEX('Per Invoice'!R$2:R$401,$U281)))</f>
        <v/>
      </c>
      <c r="S281" s="7">
        <f>IF($U281="","",IF(INDEX('Per Invoice'!S$2:S$401,$U281)="","",INDEX('Per Invoice'!S$2:S$401,$U281)))</f>
        <v/>
      </c>
      <c r="T281" s="7">
        <f>IF($U281="","",IF(INDEX('Per Invoice'!T$2:T$401,$U281)="","",INDEX('Per Invoice'!T$2:T$401,$U281)))</f>
        <v/>
      </c>
      <c r="U281" s="16">
        <f>IFERROR(MATCH(Settings!$C$30&amp;"|"&amp;ROWS($U$2:$U281),'Per Invoice'!$V$2:$V$401,0),"")</f>
        <v/>
      </c>
    </row>
    <row r="282">
      <c r="A282">
        <f>IF($U282="","",IF(INDEX('Per Invoice'!A$2:A$401,$U282)="","",INDEX('Per Invoice'!A$2:A$401,$U282)))</f>
        <v/>
      </c>
      <c r="B282">
        <f>IF($U282="","",IF(INDEX('Per Invoice'!B$2:B$401,$U282)="","",INDEX('Per Invoice'!B$2:B$401,$U282)))</f>
        <v/>
      </c>
      <c r="C282">
        <f>IF($U282="","",IF(INDEX('Per Invoice'!C$2:C$401,$U282)="","",INDEX('Per Invoice'!C$2:C$401,$U282)))</f>
        <v/>
      </c>
      <c r="D282">
        <f>IF($U282="","",IF(INDEX('Per Invoice'!D$2:D$401,$U282)="","",INDEX('Per Invoice'!D$2:D$401,$U282)))</f>
        <v/>
      </c>
      <c r="E282">
        <f>IF($U282="","",IF(INDEX('Per Invoice'!E$2:E$401,$U282)="","",INDEX('Per Invoice'!E$2:E$401,$U282)))</f>
        <v/>
      </c>
      <c r="F282">
        <f>IF($U282="","",IF(INDEX('Per Invoice'!F$2:F$401,$U282)="","",INDEX('Per Invoice'!F$2:F$401,$U282)))</f>
        <v/>
      </c>
      <c r="G282">
        <f>IF($U282="","",IF(INDEX('Per Invoice'!G$2:G$401,$U282)="","",INDEX('Per Invoice'!G$2:G$401,$U282)))</f>
        <v/>
      </c>
      <c r="H282" s="7">
        <f>IF($U282="","",IF(INDEX('Per Invoice'!H$2:H$401,$U282)="","",INDEX('Per Invoice'!H$2:H$401,$U282)))</f>
        <v/>
      </c>
      <c r="I282" s="14">
        <f>IF($U282="","",IF(INDEX('Per Invoice'!I$2:I$401,$U282)="","",INDEX('Per Invoice'!I$2:I$401,$U282)))</f>
        <v/>
      </c>
      <c r="J282">
        <f>IF($U282="","",IF(INDEX('Per Invoice'!J$2:J$401,$U282)="","",INDEX('Per Invoice'!J$2:J$401,$U282)))</f>
        <v/>
      </c>
      <c r="K282">
        <f>IF($U282="","",IF(INDEX('Per Invoice'!K$2:K$401,$U282)="","",INDEX('Per Invoice'!K$2:K$401,$U282)))</f>
        <v/>
      </c>
      <c r="L282" s="7">
        <f>IF($U282="","",IF(INDEX('Per Invoice'!L$2:L$401,$U282)="","",INDEX('Per Invoice'!L$2:L$401,$U282)))</f>
        <v/>
      </c>
      <c r="M282" s="7">
        <f>IF($U282="","",IF(INDEX('Per Invoice'!M$2:M$401,$U282)="","",INDEX('Per Invoice'!M$2:M$401,$U282)))</f>
        <v/>
      </c>
      <c r="N282">
        <f>IF($U282="","",IF(INDEX('Per Invoice'!N$2:N$401,$U282)="","",INDEX('Per Invoice'!N$2:N$401,$U282)))</f>
        <v/>
      </c>
      <c r="O282" s="7">
        <f>IF($U282="","",IF(INDEX('Per Invoice'!O$2:O$401,$U282)="","",INDEX('Per Invoice'!O$2:O$401,$U282)))</f>
        <v/>
      </c>
      <c r="P282" s="7">
        <f>IF($U282="","",IF(INDEX('Per Invoice'!P$2:P$401,$U282)="","",INDEX('Per Invoice'!P$2:P$401,$U282)))</f>
        <v/>
      </c>
      <c r="Q282" s="7">
        <f>IF($U282="","",IF(INDEX('Per Invoice'!Q$2:Q$401,$U282)="","",INDEX('Per Invoice'!Q$2:Q$401,$U282)))</f>
        <v/>
      </c>
      <c r="R282" s="7">
        <f>IF($U282="","",IF(INDEX('Per Invoice'!R$2:R$401,$U282)="","",INDEX('Per Invoice'!R$2:R$401,$U282)))</f>
        <v/>
      </c>
      <c r="S282" s="7">
        <f>IF($U282="","",IF(INDEX('Per Invoice'!S$2:S$401,$U282)="","",INDEX('Per Invoice'!S$2:S$401,$U282)))</f>
        <v/>
      </c>
      <c r="T282" s="7">
        <f>IF($U282="","",IF(INDEX('Per Invoice'!T$2:T$401,$U282)="","",INDEX('Per Invoice'!T$2:T$401,$U282)))</f>
        <v/>
      </c>
      <c r="U282" s="16">
        <f>IFERROR(MATCH(Settings!$C$30&amp;"|"&amp;ROWS($U$2:$U282),'Per Invoice'!$V$2:$V$401,0),"")</f>
        <v/>
      </c>
    </row>
    <row r="283">
      <c r="A283">
        <f>IF($U283="","",IF(INDEX('Per Invoice'!A$2:A$401,$U283)="","",INDEX('Per Invoice'!A$2:A$401,$U283)))</f>
        <v/>
      </c>
      <c r="B283">
        <f>IF($U283="","",IF(INDEX('Per Invoice'!B$2:B$401,$U283)="","",INDEX('Per Invoice'!B$2:B$401,$U283)))</f>
        <v/>
      </c>
      <c r="C283">
        <f>IF($U283="","",IF(INDEX('Per Invoice'!C$2:C$401,$U283)="","",INDEX('Per Invoice'!C$2:C$401,$U283)))</f>
        <v/>
      </c>
      <c r="D283">
        <f>IF($U283="","",IF(INDEX('Per Invoice'!D$2:D$401,$U283)="","",INDEX('Per Invoice'!D$2:D$401,$U283)))</f>
        <v/>
      </c>
      <c r="E283">
        <f>IF($U283="","",IF(INDEX('Per Invoice'!E$2:E$401,$U283)="","",INDEX('Per Invoice'!E$2:E$401,$U283)))</f>
        <v/>
      </c>
      <c r="F283">
        <f>IF($U283="","",IF(INDEX('Per Invoice'!F$2:F$401,$U283)="","",INDEX('Per Invoice'!F$2:F$401,$U283)))</f>
        <v/>
      </c>
      <c r="G283">
        <f>IF($U283="","",IF(INDEX('Per Invoice'!G$2:G$401,$U283)="","",INDEX('Per Invoice'!G$2:G$401,$U283)))</f>
        <v/>
      </c>
      <c r="H283" s="7">
        <f>IF($U283="","",IF(INDEX('Per Invoice'!H$2:H$401,$U283)="","",INDEX('Per Invoice'!H$2:H$401,$U283)))</f>
        <v/>
      </c>
      <c r="I283" s="14">
        <f>IF($U283="","",IF(INDEX('Per Invoice'!I$2:I$401,$U283)="","",INDEX('Per Invoice'!I$2:I$401,$U283)))</f>
        <v/>
      </c>
      <c r="J283">
        <f>IF($U283="","",IF(INDEX('Per Invoice'!J$2:J$401,$U283)="","",INDEX('Per Invoice'!J$2:J$401,$U283)))</f>
        <v/>
      </c>
      <c r="K283">
        <f>IF($U283="","",IF(INDEX('Per Invoice'!K$2:K$401,$U283)="","",INDEX('Per Invoice'!K$2:K$401,$U283)))</f>
        <v/>
      </c>
      <c r="L283" s="7">
        <f>IF($U283="","",IF(INDEX('Per Invoice'!L$2:L$401,$U283)="","",INDEX('Per Invoice'!L$2:L$401,$U283)))</f>
        <v/>
      </c>
      <c r="M283" s="7">
        <f>IF($U283="","",IF(INDEX('Per Invoice'!M$2:M$401,$U283)="","",INDEX('Per Invoice'!M$2:M$401,$U283)))</f>
        <v/>
      </c>
      <c r="N283">
        <f>IF($U283="","",IF(INDEX('Per Invoice'!N$2:N$401,$U283)="","",INDEX('Per Invoice'!N$2:N$401,$U283)))</f>
        <v/>
      </c>
      <c r="O283" s="7">
        <f>IF($U283="","",IF(INDEX('Per Invoice'!O$2:O$401,$U283)="","",INDEX('Per Invoice'!O$2:O$401,$U283)))</f>
        <v/>
      </c>
      <c r="P283" s="7">
        <f>IF($U283="","",IF(INDEX('Per Invoice'!P$2:P$401,$U283)="","",INDEX('Per Invoice'!P$2:P$401,$U283)))</f>
        <v/>
      </c>
      <c r="Q283" s="7">
        <f>IF($U283="","",IF(INDEX('Per Invoice'!Q$2:Q$401,$U283)="","",INDEX('Per Invoice'!Q$2:Q$401,$U283)))</f>
        <v/>
      </c>
      <c r="R283" s="7">
        <f>IF($U283="","",IF(INDEX('Per Invoice'!R$2:R$401,$U283)="","",INDEX('Per Invoice'!R$2:R$401,$U283)))</f>
        <v/>
      </c>
      <c r="S283" s="7">
        <f>IF($U283="","",IF(INDEX('Per Invoice'!S$2:S$401,$U283)="","",INDEX('Per Invoice'!S$2:S$401,$U283)))</f>
        <v/>
      </c>
      <c r="T283" s="7">
        <f>IF($U283="","",IF(INDEX('Per Invoice'!T$2:T$401,$U283)="","",INDEX('Per Invoice'!T$2:T$401,$U283)))</f>
        <v/>
      </c>
      <c r="U283" s="16">
        <f>IFERROR(MATCH(Settings!$C$30&amp;"|"&amp;ROWS($U$2:$U283),'Per Invoice'!$V$2:$V$401,0),"")</f>
        <v/>
      </c>
    </row>
    <row r="284">
      <c r="A284">
        <f>IF($U284="","",IF(INDEX('Per Invoice'!A$2:A$401,$U284)="","",INDEX('Per Invoice'!A$2:A$401,$U284)))</f>
        <v/>
      </c>
      <c r="B284">
        <f>IF($U284="","",IF(INDEX('Per Invoice'!B$2:B$401,$U284)="","",INDEX('Per Invoice'!B$2:B$401,$U284)))</f>
        <v/>
      </c>
      <c r="C284">
        <f>IF($U284="","",IF(INDEX('Per Invoice'!C$2:C$401,$U284)="","",INDEX('Per Invoice'!C$2:C$401,$U284)))</f>
        <v/>
      </c>
      <c r="D284">
        <f>IF($U284="","",IF(INDEX('Per Invoice'!D$2:D$401,$U284)="","",INDEX('Per Invoice'!D$2:D$401,$U284)))</f>
        <v/>
      </c>
      <c r="E284">
        <f>IF($U284="","",IF(INDEX('Per Invoice'!E$2:E$401,$U284)="","",INDEX('Per Invoice'!E$2:E$401,$U284)))</f>
        <v/>
      </c>
      <c r="F284">
        <f>IF($U284="","",IF(INDEX('Per Invoice'!F$2:F$401,$U284)="","",INDEX('Per Invoice'!F$2:F$401,$U284)))</f>
        <v/>
      </c>
      <c r="G284">
        <f>IF($U284="","",IF(INDEX('Per Invoice'!G$2:G$401,$U284)="","",INDEX('Per Invoice'!G$2:G$401,$U284)))</f>
        <v/>
      </c>
      <c r="H284" s="7">
        <f>IF($U284="","",IF(INDEX('Per Invoice'!H$2:H$401,$U284)="","",INDEX('Per Invoice'!H$2:H$401,$U284)))</f>
        <v/>
      </c>
      <c r="I284" s="14">
        <f>IF($U284="","",IF(INDEX('Per Invoice'!I$2:I$401,$U284)="","",INDEX('Per Invoice'!I$2:I$401,$U284)))</f>
        <v/>
      </c>
      <c r="J284">
        <f>IF($U284="","",IF(INDEX('Per Invoice'!J$2:J$401,$U284)="","",INDEX('Per Invoice'!J$2:J$401,$U284)))</f>
        <v/>
      </c>
      <c r="K284">
        <f>IF($U284="","",IF(INDEX('Per Invoice'!K$2:K$401,$U284)="","",INDEX('Per Invoice'!K$2:K$401,$U284)))</f>
        <v/>
      </c>
      <c r="L284" s="7">
        <f>IF($U284="","",IF(INDEX('Per Invoice'!L$2:L$401,$U284)="","",INDEX('Per Invoice'!L$2:L$401,$U284)))</f>
        <v/>
      </c>
      <c r="M284" s="7">
        <f>IF($U284="","",IF(INDEX('Per Invoice'!M$2:M$401,$U284)="","",INDEX('Per Invoice'!M$2:M$401,$U284)))</f>
        <v/>
      </c>
      <c r="N284">
        <f>IF($U284="","",IF(INDEX('Per Invoice'!N$2:N$401,$U284)="","",INDEX('Per Invoice'!N$2:N$401,$U284)))</f>
        <v/>
      </c>
      <c r="O284" s="7">
        <f>IF($U284="","",IF(INDEX('Per Invoice'!O$2:O$401,$U284)="","",INDEX('Per Invoice'!O$2:O$401,$U284)))</f>
        <v/>
      </c>
      <c r="P284" s="7">
        <f>IF($U284="","",IF(INDEX('Per Invoice'!P$2:P$401,$U284)="","",INDEX('Per Invoice'!P$2:P$401,$U284)))</f>
        <v/>
      </c>
      <c r="Q284" s="7">
        <f>IF($U284="","",IF(INDEX('Per Invoice'!Q$2:Q$401,$U284)="","",INDEX('Per Invoice'!Q$2:Q$401,$U284)))</f>
        <v/>
      </c>
      <c r="R284" s="7">
        <f>IF($U284="","",IF(INDEX('Per Invoice'!R$2:R$401,$U284)="","",INDEX('Per Invoice'!R$2:R$401,$U284)))</f>
        <v/>
      </c>
      <c r="S284" s="7">
        <f>IF($U284="","",IF(INDEX('Per Invoice'!S$2:S$401,$U284)="","",INDEX('Per Invoice'!S$2:S$401,$U284)))</f>
        <v/>
      </c>
      <c r="T284" s="7">
        <f>IF($U284="","",IF(INDEX('Per Invoice'!T$2:T$401,$U284)="","",INDEX('Per Invoice'!T$2:T$401,$U284)))</f>
        <v/>
      </c>
      <c r="U284" s="16">
        <f>IFERROR(MATCH(Settings!$C$30&amp;"|"&amp;ROWS($U$2:$U284),'Per Invoice'!$V$2:$V$401,0),"")</f>
        <v/>
      </c>
    </row>
    <row r="285">
      <c r="A285">
        <f>IF($U285="","",IF(INDEX('Per Invoice'!A$2:A$401,$U285)="","",INDEX('Per Invoice'!A$2:A$401,$U285)))</f>
        <v/>
      </c>
      <c r="B285">
        <f>IF($U285="","",IF(INDEX('Per Invoice'!B$2:B$401,$U285)="","",INDEX('Per Invoice'!B$2:B$401,$U285)))</f>
        <v/>
      </c>
      <c r="C285">
        <f>IF($U285="","",IF(INDEX('Per Invoice'!C$2:C$401,$U285)="","",INDEX('Per Invoice'!C$2:C$401,$U285)))</f>
        <v/>
      </c>
      <c r="D285">
        <f>IF($U285="","",IF(INDEX('Per Invoice'!D$2:D$401,$U285)="","",INDEX('Per Invoice'!D$2:D$401,$U285)))</f>
        <v/>
      </c>
      <c r="E285">
        <f>IF($U285="","",IF(INDEX('Per Invoice'!E$2:E$401,$U285)="","",INDEX('Per Invoice'!E$2:E$401,$U285)))</f>
        <v/>
      </c>
      <c r="F285">
        <f>IF($U285="","",IF(INDEX('Per Invoice'!F$2:F$401,$U285)="","",INDEX('Per Invoice'!F$2:F$401,$U285)))</f>
        <v/>
      </c>
      <c r="G285">
        <f>IF($U285="","",IF(INDEX('Per Invoice'!G$2:G$401,$U285)="","",INDEX('Per Invoice'!G$2:G$401,$U285)))</f>
        <v/>
      </c>
      <c r="H285" s="7">
        <f>IF($U285="","",IF(INDEX('Per Invoice'!H$2:H$401,$U285)="","",INDEX('Per Invoice'!H$2:H$401,$U285)))</f>
        <v/>
      </c>
      <c r="I285" s="14">
        <f>IF($U285="","",IF(INDEX('Per Invoice'!I$2:I$401,$U285)="","",INDEX('Per Invoice'!I$2:I$401,$U285)))</f>
        <v/>
      </c>
      <c r="J285">
        <f>IF($U285="","",IF(INDEX('Per Invoice'!J$2:J$401,$U285)="","",INDEX('Per Invoice'!J$2:J$401,$U285)))</f>
        <v/>
      </c>
      <c r="K285">
        <f>IF($U285="","",IF(INDEX('Per Invoice'!K$2:K$401,$U285)="","",INDEX('Per Invoice'!K$2:K$401,$U285)))</f>
        <v/>
      </c>
      <c r="L285" s="7">
        <f>IF($U285="","",IF(INDEX('Per Invoice'!L$2:L$401,$U285)="","",INDEX('Per Invoice'!L$2:L$401,$U285)))</f>
        <v/>
      </c>
      <c r="M285" s="7">
        <f>IF($U285="","",IF(INDEX('Per Invoice'!M$2:M$401,$U285)="","",INDEX('Per Invoice'!M$2:M$401,$U285)))</f>
        <v/>
      </c>
      <c r="N285">
        <f>IF($U285="","",IF(INDEX('Per Invoice'!N$2:N$401,$U285)="","",INDEX('Per Invoice'!N$2:N$401,$U285)))</f>
        <v/>
      </c>
      <c r="O285" s="7">
        <f>IF($U285="","",IF(INDEX('Per Invoice'!O$2:O$401,$U285)="","",INDEX('Per Invoice'!O$2:O$401,$U285)))</f>
        <v/>
      </c>
      <c r="P285" s="7">
        <f>IF($U285="","",IF(INDEX('Per Invoice'!P$2:P$401,$U285)="","",INDEX('Per Invoice'!P$2:P$401,$U285)))</f>
        <v/>
      </c>
      <c r="Q285" s="7">
        <f>IF($U285="","",IF(INDEX('Per Invoice'!Q$2:Q$401,$U285)="","",INDEX('Per Invoice'!Q$2:Q$401,$U285)))</f>
        <v/>
      </c>
      <c r="R285" s="7">
        <f>IF($U285="","",IF(INDEX('Per Invoice'!R$2:R$401,$U285)="","",INDEX('Per Invoice'!R$2:R$401,$U285)))</f>
        <v/>
      </c>
      <c r="S285" s="7">
        <f>IF($U285="","",IF(INDEX('Per Invoice'!S$2:S$401,$U285)="","",INDEX('Per Invoice'!S$2:S$401,$U285)))</f>
        <v/>
      </c>
      <c r="T285" s="7">
        <f>IF($U285="","",IF(INDEX('Per Invoice'!T$2:T$401,$U285)="","",INDEX('Per Invoice'!T$2:T$401,$U285)))</f>
        <v/>
      </c>
      <c r="U285" s="16">
        <f>IFERROR(MATCH(Settings!$C$30&amp;"|"&amp;ROWS($U$2:$U285),'Per Invoice'!$V$2:$V$401,0),"")</f>
        <v/>
      </c>
    </row>
    <row r="286">
      <c r="A286">
        <f>IF($U286="","",IF(INDEX('Per Invoice'!A$2:A$401,$U286)="","",INDEX('Per Invoice'!A$2:A$401,$U286)))</f>
        <v/>
      </c>
      <c r="B286">
        <f>IF($U286="","",IF(INDEX('Per Invoice'!B$2:B$401,$U286)="","",INDEX('Per Invoice'!B$2:B$401,$U286)))</f>
        <v/>
      </c>
      <c r="C286">
        <f>IF($U286="","",IF(INDEX('Per Invoice'!C$2:C$401,$U286)="","",INDEX('Per Invoice'!C$2:C$401,$U286)))</f>
        <v/>
      </c>
      <c r="D286">
        <f>IF($U286="","",IF(INDEX('Per Invoice'!D$2:D$401,$U286)="","",INDEX('Per Invoice'!D$2:D$401,$U286)))</f>
        <v/>
      </c>
      <c r="E286">
        <f>IF($U286="","",IF(INDEX('Per Invoice'!E$2:E$401,$U286)="","",INDEX('Per Invoice'!E$2:E$401,$U286)))</f>
        <v/>
      </c>
      <c r="F286">
        <f>IF($U286="","",IF(INDEX('Per Invoice'!F$2:F$401,$U286)="","",INDEX('Per Invoice'!F$2:F$401,$U286)))</f>
        <v/>
      </c>
      <c r="G286">
        <f>IF($U286="","",IF(INDEX('Per Invoice'!G$2:G$401,$U286)="","",INDEX('Per Invoice'!G$2:G$401,$U286)))</f>
        <v/>
      </c>
      <c r="H286" s="7">
        <f>IF($U286="","",IF(INDEX('Per Invoice'!H$2:H$401,$U286)="","",INDEX('Per Invoice'!H$2:H$401,$U286)))</f>
        <v/>
      </c>
      <c r="I286" s="14">
        <f>IF($U286="","",IF(INDEX('Per Invoice'!I$2:I$401,$U286)="","",INDEX('Per Invoice'!I$2:I$401,$U286)))</f>
        <v/>
      </c>
      <c r="J286">
        <f>IF($U286="","",IF(INDEX('Per Invoice'!J$2:J$401,$U286)="","",INDEX('Per Invoice'!J$2:J$401,$U286)))</f>
        <v/>
      </c>
      <c r="K286">
        <f>IF($U286="","",IF(INDEX('Per Invoice'!K$2:K$401,$U286)="","",INDEX('Per Invoice'!K$2:K$401,$U286)))</f>
        <v/>
      </c>
      <c r="L286" s="7">
        <f>IF($U286="","",IF(INDEX('Per Invoice'!L$2:L$401,$U286)="","",INDEX('Per Invoice'!L$2:L$401,$U286)))</f>
        <v/>
      </c>
      <c r="M286" s="7">
        <f>IF($U286="","",IF(INDEX('Per Invoice'!M$2:M$401,$U286)="","",INDEX('Per Invoice'!M$2:M$401,$U286)))</f>
        <v/>
      </c>
      <c r="N286">
        <f>IF($U286="","",IF(INDEX('Per Invoice'!N$2:N$401,$U286)="","",INDEX('Per Invoice'!N$2:N$401,$U286)))</f>
        <v/>
      </c>
      <c r="O286" s="7">
        <f>IF($U286="","",IF(INDEX('Per Invoice'!O$2:O$401,$U286)="","",INDEX('Per Invoice'!O$2:O$401,$U286)))</f>
        <v/>
      </c>
      <c r="P286" s="7">
        <f>IF($U286="","",IF(INDEX('Per Invoice'!P$2:P$401,$U286)="","",INDEX('Per Invoice'!P$2:P$401,$U286)))</f>
        <v/>
      </c>
      <c r="Q286" s="7">
        <f>IF($U286="","",IF(INDEX('Per Invoice'!Q$2:Q$401,$U286)="","",INDEX('Per Invoice'!Q$2:Q$401,$U286)))</f>
        <v/>
      </c>
      <c r="R286" s="7">
        <f>IF($U286="","",IF(INDEX('Per Invoice'!R$2:R$401,$U286)="","",INDEX('Per Invoice'!R$2:R$401,$U286)))</f>
        <v/>
      </c>
      <c r="S286" s="7">
        <f>IF($U286="","",IF(INDEX('Per Invoice'!S$2:S$401,$U286)="","",INDEX('Per Invoice'!S$2:S$401,$U286)))</f>
        <v/>
      </c>
      <c r="T286" s="7">
        <f>IF($U286="","",IF(INDEX('Per Invoice'!T$2:T$401,$U286)="","",INDEX('Per Invoice'!T$2:T$401,$U286)))</f>
        <v/>
      </c>
      <c r="U286" s="16">
        <f>IFERROR(MATCH(Settings!$C$30&amp;"|"&amp;ROWS($U$2:$U286),'Per Invoice'!$V$2:$V$401,0),"")</f>
        <v/>
      </c>
    </row>
    <row r="287">
      <c r="A287">
        <f>IF($U287="","",IF(INDEX('Per Invoice'!A$2:A$401,$U287)="","",INDEX('Per Invoice'!A$2:A$401,$U287)))</f>
        <v/>
      </c>
      <c r="B287">
        <f>IF($U287="","",IF(INDEX('Per Invoice'!B$2:B$401,$U287)="","",INDEX('Per Invoice'!B$2:B$401,$U287)))</f>
        <v/>
      </c>
      <c r="C287">
        <f>IF($U287="","",IF(INDEX('Per Invoice'!C$2:C$401,$U287)="","",INDEX('Per Invoice'!C$2:C$401,$U287)))</f>
        <v/>
      </c>
      <c r="D287">
        <f>IF($U287="","",IF(INDEX('Per Invoice'!D$2:D$401,$U287)="","",INDEX('Per Invoice'!D$2:D$401,$U287)))</f>
        <v/>
      </c>
      <c r="E287">
        <f>IF($U287="","",IF(INDEX('Per Invoice'!E$2:E$401,$U287)="","",INDEX('Per Invoice'!E$2:E$401,$U287)))</f>
        <v/>
      </c>
      <c r="F287">
        <f>IF($U287="","",IF(INDEX('Per Invoice'!F$2:F$401,$U287)="","",INDEX('Per Invoice'!F$2:F$401,$U287)))</f>
        <v/>
      </c>
      <c r="G287">
        <f>IF($U287="","",IF(INDEX('Per Invoice'!G$2:G$401,$U287)="","",INDEX('Per Invoice'!G$2:G$401,$U287)))</f>
        <v/>
      </c>
      <c r="H287" s="7">
        <f>IF($U287="","",IF(INDEX('Per Invoice'!H$2:H$401,$U287)="","",INDEX('Per Invoice'!H$2:H$401,$U287)))</f>
        <v/>
      </c>
      <c r="I287" s="14">
        <f>IF($U287="","",IF(INDEX('Per Invoice'!I$2:I$401,$U287)="","",INDEX('Per Invoice'!I$2:I$401,$U287)))</f>
        <v/>
      </c>
      <c r="J287">
        <f>IF($U287="","",IF(INDEX('Per Invoice'!J$2:J$401,$U287)="","",INDEX('Per Invoice'!J$2:J$401,$U287)))</f>
        <v/>
      </c>
      <c r="K287">
        <f>IF($U287="","",IF(INDEX('Per Invoice'!K$2:K$401,$U287)="","",INDEX('Per Invoice'!K$2:K$401,$U287)))</f>
        <v/>
      </c>
      <c r="L287" s="7">
        <f>IF($U287="","",IF(INDEX('Per Invoice'!L$2:L$401,$U287)="","",INDEX('Per Invoice'!L$2:L$401,$U287)))</f>
        <v/>
      </c>
      <c r="M287" s="7">
        <f>IF($U287="","",IF(INDEX('Per Invoice'!M$2:M$401,$U287)="","",INDEX('Per Invoice'!M$2:M$401,$U287)))</f>
        <v/>
      </c>
      <c r="N287">
        <f>IF($U287="","",IF(INDEX('Per Invoice'!N$2:N$401,$U287)="","",INDEX('Per Invoice'!N$2:N$401,$U287)))</f>
        <v/>
      </c>
      <c r="O287" s="7">
        <f>IF($U287="","",IF(INDEX('Per Invoice'!O$2:O$401,$U287)="","",INDEX('Per Invoice'!O$2:O$401,$U287)))</f>
        <v/>
      </c>
      <c r="P287" s="7">
        <f>IF($U287="","",IF(INDEX('Per Invoice'!P$2:P$401,$U287)="","",INDEX('Per Invoice'!P$2:P$401,$U287)))</f>
        <v/>
      </c>
      <c r="Q287" s="7">
        <f>IF($U287="","",IF(INDEX('Per Invoice'!Q$2:Q$401,$U287)="","",INDEX('Per Invoice'!Q$2:Q$401,$U287)))</f>
        <v/>
      </c>
      <c r="R287" s="7">
        <f>IF($U287="","",IF(INDEX('Per Invoice'!R$2:R$401,$U287)="","",INDEX('Per Invoice'!R$2:R$401,$U287)))</f>
        <v/>
      </c>
      <c r="S287" s="7">
        <f>IF($U287="","",IF(INDEX('Per Invoice'!S$2:S$401,$U287)="","",INDEX('Per Invoice'!S$2:S$401,$U287)))</f>
        <v/>
      </c>
      <c r="T287" s="7">
        <f>IF($U287="","",IF(INDEX('Per Invoice'!T$2:T$401,$U287)="","",INDEX('Per Invoice'!T$2:T$401,$U287)))</f>
        <v/>
      </c>
      <c r="U287" s="16">
        <f>IFERROR(MATCH(Settings!$C$30&amp;"|"&amp;ROWS($U$2:$U287),'Per Invoice'!$V$2:$V$401,0),"")</f>
        <v/>
      </c>
    </row>
    <row r="288">
      <c r="A288">
        <f>IF($U288="","",IF(INDEX('Per Invoice'!A$2:A$401,$U288)="","",INDEX('Per Invoice'!A$2:A$401,$U288)))</f>
        <v/>
      </c>
      <c r="B288">
        <f>IF($U288="","",IF(INDEX('Per Invoice'!B$2:B$401,$U288)="","",INDEX('Per Invoice'!B$2:B$401,$U288)))</f>
        <v/>
      </c>
      <c r="C288">
        <f>IF($U288="","",IF(INDEX('Per Invoice'!C$2:C$401,$U288)="","",INDEX('Per Invoice'!C$2:C$401,$U288)))</f>
        <v/>
      </c>
      <c r="D288">
        <f>IF($U288="","",IF(INDEX('Per Invoice'!D$2:D$401,$U288)="","",INDEX('Per Invoice'!D$2:D$401,$U288)))</f>
        <v/>
      </c>
      <c r="E288">
        <f>IF($U288="","",IF(INDEX('Per Invoice'!E$2:E$401,$U288)="","",INDEX('Per Invoice'!E$2:E$401,$U288)))</f>
        <v/>
      </c>
      <c r="F288">
        <f>IF($U288="","",IF(INDEX('Per Invoice'!F$2:F$401,$U288)="","",INDEX('Per Invoice'!F$2:F$401,$U288)))</f>
        <v/>
      </c>
      <c r="G288">
        <f>IF($U288="","",IF(INDEX('Per Invoice'!G$2:G$401,$U288)="","",INDEX('Per Invoice'!G$2:G$401,$U288)))</f>
        <v/>
      </c>
      <c r="H288" s="7">
        <f>IF($U288="","",IF(INDEX('Per Invoice'!H$2:H$401,$U288)="","",INDEX('Per Invoice'!H$2:H$401,$U288)))</f>
        <v/>
      </c>
      <c r="I288" s="14">
        <f>IF($U288="","",IF(INDEX('Per Invoice'!I$2:I$401,$U288)="","",INDEX('Per Invoice'!I$2:I$401,$U288)))</f>
        <v/>
      </c>
      <c r="J288">
        <f>IF($U288="","",IF(INDEX('Per Invoice'!J$2:J$401,$U288)="","",INDEX('Per Invoice'!J$2:J$401,$U288)))</f>
        <v/>
      </c>
      <c r="K288">
        <f>IF($U288="","",IF(INDEX('Per Invoice'!K$2:K$401,$U288)="","",INDEX('Per Invoice'!K$2:K$401,$U288)))</f>
        <v/>
      </c>
      <c r="L288" s="7">
        <f>IF($U288="","",IF(INDEX('Per Invoice'!L$2:L$401,$U288)="","",INDEX('Per Invoice'!L$2:L$401,$U288)))</f>
        <v/>
      </c>
      <c r="M288" s="7">
        <f>IF($U288="","",IF(INDEX('Per Invoice'!M$2:M$401,$U288)="","",INDEX('Per Invoice'!M$2:M$401,$U288)))</f>
        <v/>
      </c>
      <c r="N288">
        <f>IF($U288="","",IF(INDEX('Per Invoice'!N$2:N$401,$U288)="","",INDEX('Per Invoice'!N$2:N$401,$U288)))</f>
        <v/>
      </c>
      <c r="O288" s="7">
        <f>IF($U288="","",IF(INDEX('Per Invoice'!O$2:O$401,$U288)="","",INDEX('Per Invoice'!O$2:O$401,$U288)))</f>
        <v/>
      </c>
      <c r="P288" s="7">
        <f>IF($U288="","",IF(INDEX('Per Invoice'!P$2:P$401,$U288)="","",INDEX('Per Invoice'!P$2:P$401,$U288)))</f>
        <v/>
      </c>
      <c r="Q288" s="7">
        <f>IF($U288="","",IF(INDEX('Per Invoice'!Q$2:Q$401,$U288)="","",INDEX('Per Invoice'!Q$2:Q$401,$U288)))</f>
        <v/>
      </c>
      <c r="R288" s="7">
        <f>IF($U288="","",IF(INDEX('Per Invoice'!R$2:R$401,$U288)="","",INDEX('Per Invoice'!R$2:R$401,$U288)))</f>
        <v/>
      </c>
      <c r="S288" s="7">
        <f>IF($U288="","",IF(INDEX('Per Invoice'!S$2:S$401,$U288)="","",INDEX('Per Invoice'!S$2:S$401,$U288)))</f>
        <v/>
      </c>
      <c r="T288" s="7">
        <f>IF($U288="","",IF(INDEX('Per Invoice'!T$2:T$401,$U288)="","",INDEX('Per Invoice'!T$2:T$401,$U288)))</f>
        <v/>
      </c>
      <c r="U288" s="16">
        <f>IFERROR(MATCH(Settings!$C$30&amp;"|"&amp;ROWS($U$2:$U288),'Per Invoice'!$V$2:$V$401,0),"")</f>
        <v/>
      </c>
    </row>
    <row r="289">
      <c r="A289">
        <f>IF($U289="","",IF(INDEX('Per Invoice'!A$2:A$401,$U289)="","",INDEX('Per Invoice'!A$2:A$401,$U289)))</f>
        <v/>
      </c>
      <c r="B289">
        <f>IF($U289="","",IF(INDEX('Per Invoice'!B$2:B$401,$U289)="","",INDEX('Per Invoice'!B$2:B$401,$U289)))</f>
        <v/>
      </c>
      <c r="C289">
        <f>IF($U289="","",IF(INDEX('Per Invoice'!C$2:C$401,$U289)="","",INDEX('Per Invoice'!C$2:C$401,$U289)))</f>
        <v/>
      </c>
      <c r="D289">
        <f>IF($U289="","",IF(INDEX('Per Invoice'!D$2:D$401,$U289)="","",INDEX('Per Invoice'!D$2:D$401,$U289)))</f>
        <v/>
      </c>
      <c r="E289">
        <f>IF($U289="","",IF(INDEX('Per Invoice'!E$2:E$401,$U289)="","",INDEX('Per Invoice'!E$2:E$401,$U289)))</f>
        <v/>
      </c>
      <c r="F289">
        <f>IF($U289="","",IF(INDEX('Per Invoice'!F$2:F$401,$U289)="","",INDEX('Per Invoice'!F$2:F$401,$U289)))</f>
        <v/>
      </c>
      <c r="G289">
        <f>IF($U289="","",IF(INDEX('Per Invoice'!G$2:G$401,$U289)="","",INDEX('Per Invoice'!G$2:G$401,$U289)))</f>
        <v/>
      </c>
      <c r="H289" s="7">
        <f>IF($U289="","",IF(INDEX('Per Invoice'!H$2:H$401,$U289)="","",INDEX('Per Invoice'!H$2:H$401,$U289)))</f>
        <v/>
      </c>
      <c r="I289" s="14">
        <f>IF($U289="","",IF(INDEX('Per Invoice'!I$2:I$401,$U289)="","",INDEX('Per Invoice'!I$2:I$401,$U289)))</f>
        <v/>
      </c>
      <c r="J289">
        <f>IF($U289="","",IF(INDEX('Per Invoice'!J$2:J$401,$U289)="","",INDEX('Per Invoice'!J$2:J$401,$U289)))</f>
        <v/>
      </c>
      <c r="K289">
        <f>IF($U289="","",IF(INDEX('Per Invoice'!K$2:K$401,$U289)="","",INDEX('Per Invoice'!K$2:K$401,$U289)))</f>
        <v/>
      </c>
      <c r="L289" s="7">
        <f>IF($U289="","",IF(INDEX('Per Invoice'!L$2:L$401,$U289)="","",INDEX('Per Invoice'!L$2:L$401,$U289)))</f>
        <v/>
      </c>
      <c r="M289" s="7">
        <f>IF($U289="","",IF(INDEX('Per Invoice'!M$2:M$401,$U289)="","",INDEX('Per Invoice'!M$2:M$401,$U289)))</f>
        <v/>
      </c>
      <c r="N289">
        <f>IF($U289="","",IF(INDEX('Per Invoice'!N$2:N$401,$U289)="","",INDEX('Per Invoice'!N$2:N$401,$U289)))</f>
        <v/>
      </c>
      <c r="O289" s="7">
        <f>IF($U289="","",IF(INDEX('Per Invoice'!O$2:O$401,$U289)="","",INDEX('Per Invoice'!O$2:O$401,$U289)))</f>
        <v/>
      </c>
      <c r="P289" s="7">
        <f>IF($U289="","",IF(INDEX('Per Invoice'!P$2:P$401,$U289)="","",INDEX('Per Invoice'!P$2:P$401,$U289)))</f>
        <v/>
      </c>
      <c r="Q289" s="7">
        <f>IF($U289="","",IF(INDEX('Per Invoice'!Q$2:Q$401,$U289)="","",INDEX('Per Invoice'!Q$2:Q$401,$U289)))</f>
        <v/>
      </c>
      <c r="R289" s="7">
        <f>IF($U289="","",IF(INDEX('Per Invoice'!R$2:R$401,$U289)="","",INDEX('Per Invoice'!R$2:R$401,$U289)))</f>
        <v/>
      </c>
      <c r="S289" s="7">
        <f>IF($U289="","",IF(INDEX('Per Invoice'!S$2:S$401,$U289)="","",INDEX('Per Invoice'!S$2:S$401,$U289)))</f>
        <v/>
      </c>
      <c r="T289" s="7">
        <f>IF($U289="","",IF(INDEX('Per Invoice'!T$2:T$401,$U289)="","",INDEX('Per Invoice'!T$2:T$401,$U289)))</f>
        <v/>
      </c>
      <c r="U289" s="16">
        <f>IFERROR(MATCH(Settings!$C$30&amp;"|"&amp;ROWS($U$2:$U289),'Per Invoice'!$V$2:$V$401,0),"")</f>
        <v/>
      </c>
    </row>
    <row r="290">
      <c r="A290">
        <f>IF($U290="","",IF(INDEX('Per Invoice'!A$2:A$401,$U290)="","",INDEX('Per Invoice'!A$2:A$401,$U290)))</f>
        <v/>
      </c>
      <c r="B290">
        <f>IF($U290="","",IF(INDEX('Per Invoice'!B$2:B$401,$U290)="","",INDEX('Per Invoice'!B$2:B$401,$U290)))</f>
        <v/>
      </c>
      <c r="C290">
        <f>IF($U290="","",IF(INDEX('Per Invoice'!C$2:C$401,$U290)="","",INDEX('Per Invoice'!C$2:C$401,$U290)))</f>
        <v/>
      </c>
      <c r="D290">
        <f>IF($U290="","",IF(INDEX('Per Invoice'!D$2:D$401,$U290)="","",INDEX('Per Invoice'!D$2:D$401,$U290)))</f>
        <v/>
      </c>
      <c r="E290">
        <f>IF($U290="","",IF(INDEX('Per Invoice'!E$2:E$401,$U290)="","",INDEX('Per Invoice'!E$2:E$401,$U290)))</f>
        <v/>
      </c>
      <c r="F290">
        <f>IF($U290="","",IF(INDEX('Per Invoice'!F$2:F$401,$U290)="","",INDEX('Per Invoice'!F$2:F$401,$U290)))</f>
        <v/>
      </c>
      <c r="G290">
        <f>IF($U290="","",IF(INDEX('Per Invoice'!G$2:G$401,$U290)="","",INDEX('Per Invoice'!G$2:G$401,$U290)))</f>
        <v/>
      </c>
      <c r="H290" s="7">
        <f>IF($U290="","",IF(INDEX('Per Invoice'!H$2:H$401,$U290)="","",INDEX('Per Invoice'!H$2:H$401,$U290)))</f>
        <v/>
      </c>
      <c r="I290" s="14">
        <f>IF($U290="","",IF(INDEX('Per Invoice'!I$2:I$401,$U290)="","",INDEX('Per Invoice'!I$2:I$401,$U290)))</f>
        <v/>
      </c>
      <c r="J290">
        <f>IF($U290="","",IF(INDEX('Per Invoice'!J$2:J$401,$U290)="","",INDEX('Per Invoice'!J$2:J$401,$U290)))</f>
        <v/>
      </c>
      <c r="K290">
        <f>IF($U290="","",IF(INDEX('Per Invoice'!K$2:K$401,$U290)="","",INDEX('Per Invoice'!K$2:K$401,$U290)))</f>
        <v/>
      </c>
      <c r="L290" s="7">
        <f>IF($U290="","",IF(INDEX('Per Invoice'!L$2:L$401,$U290)="","",INDEX('Per Invoice'!L$2:L$401,$U290)))</f>
        <v/>
      </c>
      <c r="M290" s="7">
        <f>IF($U290="","",IF(INDEX('Per Invoice'!M$2:M$401,$U290)="","",INDEX('Per Invoice'!M$2:M$401,$U290)))</f>
        <v/>
      </c>
      <c r="N290">
        <f>IF($U290="","",IF(INDEX('Per Invoice'!N$2:N$401,$U290)="","",INDEX('Per Invoice'!N$2:N$401,$U290)))</f>
        <v/>
      </c>
      <c r="O290" s="7">
        <f>IF($U290="","",IF(INDEX('Per Invoice'!O$2:O$401,$U290)="","",INDEX('Per Invoice'!O$2:O$401,$U290)))</f>
        <v/>
      </c>
      <c r="P290" s="7">
        <f>IF($U290="","",IF(INDEX('Per Invoice'!P$2:P$401,$U290)="","",INDEX('Per Invoice'!P$2:P$401,$U290)))</f>
        <v/>
      </c>
      <c r="Q290" s="7">
        <f>IF($U290="","",IF(INDEX('Per Invoice'!Q$2:Q$401,$U290)="","",INDEX('Per Invoice'!Q$2:Q$401,$U290)))</f>
        <v/>
      </c>
      <c r="R290" s="7">
        <f>IF($U290="","",IF(INDEX('Per Invoice'!R$2:R$401,$U290)="","",INDEX('Per Invoice'!R$2:R$401,$U290)))</f>
        <v/>
      </c>
      <c r="S290" s="7">
        <f>IF($U290="","",IF(INDEX('Per Invoice'!S$2:S$401,$U290)="","",INDEX('Per Invoice'!S$2:S$401,$U290)))</f>
        <v/>
      </c>
      <c r="T290" s="7">
        <f>IF($U290="","",IF(INDEX('Per Invoice'!T$2:T$401,$U290)="","",INDEX('Per Invoice'!T$2:T$401,$U290)))</f>
        <v/>
      </c>
      <c r="U290" s="16">
        <f>IFERROR(MATCH(Settings!$C$30&amp;"|"&amp;ROWS($U$2:$U290),'Per Invoice'!$V$2:$V$401,0),"")</f>
        <v/>
      </c>
    </row>
    <row r="291">
      <c r="A291">
        <f>IF($U291="","",IF(INDEX('Per Invoice'!A$2:A$401,$U291)="","",INDEX('Per Invoice'!A$2:A$401,$U291)))</f>
        <v/>
      </c>
      <c r="B291">
        <f>IF($U291="","",IF(INDEX('Per Invoice'!B$2:B$401,$U291)="","",INDEX('Per Invoice'!B$2:B$401,$U291)))</f>
        <v/>
      </c>
      <c r="C291">
        <f>IF($U291="","",IF(INDEX('Per Invoice'!C$2:C$401,$U291)="","",INDEX('Per Invoice'!C$2:C$401,$U291)))</f>
        <v/>
      </c>
      <c r="D291">
        <f>IF($U291="","",IF(INDEX('Per Invoice'!D$2:D$401,$U291)="","",INDEX('Per Invoice'!D$2:D$401,$U291)))</f>
        <v/>
      </c>
      <c r="E291">
        <f>IF($U291="","",IF(INDEX('Per Invoice'!E$2:E$401,$U291)="","",INDEX('Per Invoice'!E$2:E$401,$U291)))</f>
        <v/>
      </c>
      <c r="F291">
        <f>IF($U291="","",IF(INDEX('Per Invoice'!F$2:F$401,$U291)="","",INDEX('Per Invoice'!F$2:F$401,$U291)))</f>
        <v/>
      </c>
      <c r="G291">
        <f>IF($U291="","",IF(INDEX('Per Invoice'!G$2:G$401,$U291)="","",INDEX('Per Invoice'!G$2:G$401,$U291)))</f>
        <v/>
      </c>
      <c r="H291" s="7">
        <f>IF($U291="","",IF(INDEX('Per Invoice'!H$2:H$401,$U291)="","",INDEX('Per Invoice'!H$2:H$401,$U291)))</f>
        <v/>
      </c>
      <c r="I291" s="14">
        <f>IF($U291="","",IF(INDEX('Per Invoice'!I$2:I$401,$U291)="","",INDEX('Per Invoice'!I$2:I$401,$U291)))</f>
        <v/>
      </c>
      <c r="J291">
        <f>IF($U291="","",IF(INDEX('Per Invoice'!J$2:J$401,$U291)="","",INDEX('Per Invoice'!J$2:J$401,$U291)))</f>
        <v/>
      </c>
      <c r="K291">
        <f>IF($U291="","",IF(INDEX('Per Invoice'!K$2:K$401,$U291)="","",INDEX('Per Invoice'!K$2:K$401,$U291)))</f>
        <v/>
      </c>
      <c r="L291" s="7">
        <f>IF($U291="","",IF(INDEX('Per Invoice'!L$2:L$401,$U291)="","",INDEX('Per Invoice'!L$2:L$401,$U291)))</f>
        <v/>
      </c>
      <c r="M291" s="7">
        <f>IF($U291="","",IF(INDEX('Per Invoice'!M$2:M$401,$U291)="","",INDEX('Per Invoice'!M$2:M$401,$U291)))</f>
        <v/>
      </c>
      <c r="N291">
        <f>IF($U291="","",IF(INDEX('Per Invoice'!N$2:N$401,$U291)="","",INDEX('Per Invoice'!N$2:N$401,$U291)))</f>
        <v/>
      </c>
      <c r="O291" s="7">
        <f>IF($U291="","",IF(INDEX('Per Invoice'!O$2:O$401,$U291)="","",INDEX('Per Invoice'!O$2:O$401,$U291)))</f>
        <v/>
      </c>
      <c r="P291" s="7">
        <f>IF($U291="","",IF(INDEX('Per Invoice'!P$2:P$401,$U291)="","",INDEX('Per Invoice'!P$2:P$401,$U291)))</f>
        <v/>
      </c>
      <c r="Q291" s="7">
        <f>IF($U291="","",IF(INDEX('Per Invoice'!Q$2:Q$401,$U291)="","",INDEX('Per Invoice'!Q$2:Q$401,$U291)))</f>
        <v/>
      </c>
      <c r="R291" s="7">
        <f>IF($U291="","",IF(INDEX('Per Invoice'!R$2:R$401,$U291)="","",INDEX('Per Invoice'!R$2:R$401,$U291)))</f>
        <v/>
      </c>
      <c r="S291" s="7">
        <f>IF($U291="","",IF(INDEX('Per Invoice'!S$2:S$401,$U291)="","",INDEX('Per Invoice'!S$2:S$401,$U291)))</f>
        <v/>
      </c>
      <c r="T291" s="7">
        <f>IF($U291="","",IF(INDEX('Per Invoice'!T$2:T$401,$U291)="","",INDEX('Per Invoice'!T$2:T$401,$U291)))</f>
        <v/>
      </c>
      <c r="U291" s="16">
        <f>IFERROR(MATCH(Settings!$C$30&amp;"|"&amp;ROWS($U$2:$U291),'Per Invoice'!$V$2:$V$401,0),"")</f>
        <v/>
      </c>
    </row>
    <row r="292">
      <c r="A292">
        <f>IF($U292="","",IF(INDEX('Per Invoice'!A$2:A$401,$U292)="","",INDEX('Per Invoice'!A$2:A$401,$U292)))</f>
        <v/>
      </c>
      <c r="B292">
        <f>IF($U292="","",IF(INDEX('Per Invoice'!B$2:B$401,$U292)="","",INDEX('Per Invoice'!B$2:B$401,$U292)))</f>
        <v/>
      </c>
      <c r="C292">
        <f>IF($U292="","",IF(INDEX('Per Invoice'!C$2:C$401,$U292)="","",INDEX('Per Invoice'!C$2:C$401,$U292)))</f>
        <v/>
      </c>
      <c r="D292">
        <f>IF($U292="","",IF(INDEX('Per Invoice'!D$2:D$401,$U292)="","",INDEX('Per Invoice'!D$2:D$401,$U292)))</f>
        <v/>
      </c>
      <c r="E292">
        <f>IF($U292="","",IF(INDEX('Per Invoice'!E$2:E$401,$U292)="","",INDEX('Per Invoice'!E$2:E$401,$U292)))</f>
        <v/>
      </c>
      <c r="F292">
        <f>IF($U292="","",IF(INDEX('Per Invoice'!F$2:F$401,$U292)="","",INDEX('Per Invoice'!F$2:F$401,$U292)))</f>
        <v/>
      </c>
      <c r="G292">
        <f>IF($U292="","",IF(INDEX('Per Invoice'!G$2:G$401,$U292)="","",INDEX('Per Invoice'!G$2:G$401,$U292)))</f>
        <v/>
      </c>
      <c r="H292" s="7">
        <f>IF($U292="","",IF(INDEX('Per Invoice'!H$2:H$401,$U292)="","",INDEX('Per Invoice'!H$2:H$401,$U292)))</f>
        <v/>
      </c>
      <c r="I292" s="14">
        <f>IF($U292="","",IF(INDEX('Per Invoice'!I$2:I$401,$U292)="","",INDEX('Per Invoice'!I$2:I$401,$U292)))</f>
        <v/>
      </c>
      <c r="J292">
        <f>IF($U292="","",IF(INDEX('Per Invoice'!J$2:J$401,$U292)="","",INDEX('Per Invoice'!J$2:J$401,$U292)))</f>
        <v/>
      </c>
      <c r="K292">
        <f>IF($U292="","",IF(INDEX('Per Invoice'!K$2:K$401,$U292)="","",INDEX('Per Invoice'!K$2:K$401,$U292)))</f>
        <v/>
      </c>
      <c r="L292" s="7">
        <f>IF($U292="","",IF(INDEX('Per Invoice'!L$2:L$401,$U292)="","",INDEX('Per Invoice'!L$2:L$401,$U292)))</f>
        <v/>
      </c>
      <c r="M292" s="7">
        <f>IF($U292="","",IF(INDEX('Per Invoice'!M$2:M$401,$U292)="","",INDEX('Per Invoice'!M$2:M$401,$U292)))</f>
        <v/>
      </c>
      <c r="N292">
        <f>IF($U292="","",IF(INDEX('Per Invoice'!N$2:N$401,$U292)="","",INDEX('Per Invoice'!N$2:N$401,$U292)))</f>
        <v/>
      </c>
      <c r="O292" s="7">
        <f>IF($U292="","",IF(INDEX('Per Invoice'!O$2:O$401,$U292)="","",INDEX('Per Invoice'!O$2:O$401,$U292)))</f>
        <v/>
      </c>
      <c r="P292" s="7">
        <f>IF($U292="","",IF(INDEX('Per Invoice'!P$2:P$401,$U292)="","",INDEX('Per Invoice'!P$2:P$401,$U292)))</f>
        <v/>
      </c>
      <c r="Q292" s="7">
        <f>IF($U292="","",IF(INDEX('Per Invoice'!Q$2:Q$401,$U292)="","",INDEX('Per Invoice'!Q$2:Q$401,$U292)))</f>
        <v/>
      </c>
      <c r="R292" s="7">
        <f>IF($U292="","",IF(INDEX('Per Invoice'!R$2:R$401,$U292)="","",INDEX('Per Invoice'!R$2:R$401,$U292)))</f>
        <v/>
      </c>
      <c r="S292" s="7">
        <f>IF($U292="","",IF(INDEX('Per Invoice'!S$2:S$401,$U292)="","",INDEX('Per Invoice'!S$2:S$401,$U292)))</f>
        <v/>
      </c>
      <c r="T292" s="7">
        <f>IF($U292="","",IF(INDEX('Per Invoice'!T$2:T$401,$U292)="","",INDEX('Per Invoice'!T$2:T$401,$U292)))</f>
        <v/>
      </c>
      <c r="U292" s="16">
        <f>IFERROR(MATCH(Settings!$C$30&amp;"|"&amp;ROWS($U$2:$U292),'Per Invoice'!$V$2:$V$401,0),"")</f>
        <v/>
      </c>
    </row>
    <row r="293">
      <c r="A293">
        <f>IF($U293="","",IF(INDEX('Per Invoice'!A$2:A$401,$U293)="","",INDEX('Per Invoice'!A$2:A$401,$U293)))</f>
        <v/>
      </c>
      <c r="B293">
        <f>IF($U293="","",IF(INDEX('Per Invoice'!B$2:B$401,$U293)="","",INDEX('Per Invoice'!B$2:B$401,$U293)))</f>
        <v/>
      </c>
      <c r="C293">
        <f>IF($U293="","",IF(INDEX('Per Invoice'!C$2:C$401,$U293)="","",INDEX('Per Invoice'!C$2:C$401,$U293)))</f>
        <v/>
      </c>
      <c r="D293">
        <f>IF($U293="","",IF(INDEX('Per Invoice'!D$2:D$401,$U293)="","",INDEX('Per Invoice'!D$2:D$401,$U293)))</f>
        <v/>
      </c>
      <c r="E293">
        <f>IF($U293="","",IF(INDEX('Per Invoice'!E$2:E$401,$U293)="","",INDEX('Per Invoice'!E$2:E$401,$U293)))</f>
        <v/>
      </c>
      <c r="F293">
        <f>IF($U293="","",IF(INDEX('Per Invoice'!F$2:F$401,$U293)="","",INDEX('Per Invoice'!F$2:F$401,$U293)))</f>
        <v/>
      </c>
      <c r="G293">
        <f>IF($U293="","",IF(INDEX('Per Invoice'!G$2:G$401,$U293)="","",INDEX('Per Invoice'!G$2:G$401,$U293)))</f>
        <v/>
      </c>
      <c r="H293" s="7">
        <f>IF($U293="","",IF(INDEX('Per Invoice'!H$2:H$401,$U293)="","",INDEX('Per Invoice'!H$2:H$401,$U293)))</f>
        <v/>
      </c>
      <c r="I293" s="14">
        <f>IF($U293="","",IF(INDEX('Per Invoice'!I$2:I$401,$U293)="","",INDEX('Per Invoice'!I$2:I$401,$U293)))</f>
        <v/>
      </c>
      <c r="J293">
        <f>IF($U293="","",IF(INDEX('Per Invoice'!J$2:J$401,$U293)="","",INDEX('Per Invoice'!J$2:J$401,$U293)))</f>
        <v/>
      </c>
      <c r="K293">
        <f>IF($U293="","",IF(INDEX('Per Invoice'!K$2:K$401,$U293)="","",INDEX('Per Invoice'!K$2:K$401,$U293)))</f>
        <v/>
      </c>
      <c r="L293" s="7">
        <f>IF($U293="","",IF(INDEX('Per Invoice'!L$2:L$401,$U293)="","",INDEX('Per Invoice'!L$2:L$401,$U293)))</f>
        <v/>
      </c>
      <c r="M293" s="7">
        <f>IF($U293="","",IF(INDEX('Per Invoice'!M$2:M$401,$U293)="","",INDEX('Per Invoice'!M$2:M$401,$U293)))</f>
        <v/>
      </c>
      <c r="N293">
        <f>IF($U293="","",IF(INDEX('Per Invoice'!N$2:N$401,$U293)="","",INDEX('Per Invoice'!N$2:N$401,$U293)))</f>
        <v/>
      </c>
      <c r="O293" s="7">
        <f>IF($U293="","",IF(INDEX('Per Invoice'!O$2:O$401,$U293)="","",INDEX('Per Invoice'!O$2:O$401,$U293)))</f>
        <v/>
      </c>
      <c r="P293" s="7">
        <f>IF($U293="","",IF(INDEX('Per Invoice'!P$2:P$401,$U293)="","",INDEX('Per Invoice'!P$2:P$401,$U293)))</f>
        <v/>
      </c>
      <c r="Q293" s="7">
        <f>IF($U293="","",IF(INDEX('Per Invoice'!Q$2:Q$401,$U293)="","",INDEX('Per Invoice'!Q$2:Q$401,$U293)))</f>
        <v/>
      </c>
      <c r="R293" s="7">
        <f>IF($U293="","",IF(INDEX('Per Invoice'!R$2:R$401,$U293)="","",INDEX('Per Invoice'!R$2:R$401,$U293)))</f>
        <v/>
      </c>
      <c r="S293" s="7">
        <f>IF($U293="","",IF(INDEX('Per Invoice'!S$2:S$401,$U293)="","",INDEX('Per Invoice'!S$2:S$401,$U293)))</f>
        <v/>
      </c>
      <c r="T293" s="7">
        <f>IF($U293="","",IF(INDEX('Per Invoice'!T$2:T$401,$U293)="","",INDEX('Per Invoice'!T$2:T$401,$U293)))</f>
        <v/>
      </c>
      <c r="U293" s="16">
        <f>IFERROR(MATCH(Settings!$C$30&amp;"|"&amp;ROWS($U$2:$U293),'Per Invoice'!$V$2:$V$401,0),"")</f>
        <v/>
      </c>
    </row>
    <row r="294">
      <c r="A294">
        <f>IF($U294="","",IF(INDEX('Per Invoice'!A$2:A$401,$U294)="","",INDEX('Per Invoice'!A$2:A$401,$U294)))</f>
        <v/>
      </c>
      <c r="B294">
        <f>IF($U294="","",IF(INDEX('Per Invoice'!B$2:B$401,$U294)="","",INDEX('Per Invoice'!B$2:B$401,$U294)))</f>
        <v/>
      </c>
      <c r="C294">
        <f>IF($U294="","",IF(INDEX('Per Invoice'!C$2:C$401,$U294)="","",INDEX('Per Invoice'!C$2:C$401,$U294)))</f>
        <v/>
      </c>
      <c r="D294">
        <f>IF($U294="","",IF(INDEX('Per Invoice'!D$2:D$401,$U294)="","",INDEX('Per Invoice'!D$2:D$401,$U294)))</f>
        <v/>
      </c>
      <c r="E294">
        <f>IF($U294="","",IF(INDEX('Per Invoice'!E$2:E$401,$U294)="","",INDEX('Per Invoice'!E$2:E$401,$U294)))</f>
        <v/>
      </c>
      <c r="F294">
        <f>IF($U294="","",IF(INDEX('Per Invoice'!F$2:F$401,$U294)="","",INDEX('Per Invoice'!F$2:F$401,$U294)))</f>
        <v/>
      </c>
      <c r="G294">
        <f>IF($U294="","",IF(INDEX('Per Invoice'!G$2:G$401,$U294)="","",INDEX('Per Invoice'!G$2:G$401,$U294)))</f>
        <v/>
      </c>
      <c r="H294" s="7">
        <f>IF($U294="","",IF(INDEX('Per Invoice'!H$2:H$401,$U294)="","",INDEX('Per Invoice'!H$2:H$401,$U294)))</f>
        <v/>
      </c>
      <c r="I294" s="14">
        <f>IF($U294="","",IF(INDEX('Per Invoice'!I$2:I$401,$U294)="","",INDEX('Per Invoice'!I$2:I$401,$U294)))</f>
        <v/>
      </c>
      <c r="J294">
        <f>IF($U294="","",IF(INDEX('Per Invoice'!J$2:J$401,$U294)="","",INDEX('Per Invoice'!J$2:J$401,$U294)))</f>
        <v/>
      </c>
      <c r="K294">
        <f>IF($U294="","",IF(INDEX('Per Invoice'!K$2:K$401,$U294)="","",INDEX('Per Invoice'!K$2:K$401,$U294)))</f>
        <v/>
      </c>
      <c r="L294" s="7">
        <f>IF($U294="","",IF(INDEX('Per Invoice'!L$2:L$401,$U294)="","",INDEX('Per Invoice'!L$2:L$401,$U294)))</f>
        <v/>
      </c>
      <c r="M294" s="7">
        <f>IF($U294="","",IF(INDEX('Per Invoice'!M$2:M$401,$U294)="","",INDEX('Per Invoice'!M$2:M$401,$U294)))</f>
        <v/>
      </c>
      <c r="N294">
        <f>IF($U294="","",IF(INDEX('Per Invoice'!N$2:N$401,$U294)="","",INDEX('Per Invoice'!N$2:N$401,$U294)))</f>
        <v/>
      </c>
      <c r="O294" s="7">
        <f>IF($U294="","",IF(INDEX('Per Invoice'!O$2:O$401,$U294)="","",INDEX('Per Invoice'!O$2:O$401,$U294)))</f>
        <v/>
      </c>
      <c r="P294" s="7">
        <f>IF($U294="","",IF(INDEX('Per Invoice'!P$2:P$401,$U294)="","",INDEX('Per Invoice'!P$2:P$401,$U294)))</f>
        <v/>
      </c>
      <c r="Q294" s="7">
        <f>IF($U294="","",IF(INDEX('Per Invoice'!Q$2:Q$401,$U294)="","",INDEX('Per Invoice'!Q$2:Q$401,$U294)))</f>
        <v/>
      </c>
      <c r="R294" s="7">
        <f>IF($U294="","",IF(INDEX('Per Invoice'!R$2:R$401,$U294)="","",INDEX('Per Invoice'!R$2:R$401,$U294)))</f>
        <v/>
      </c>
      <c r="S294" s="7">
        <f>IF($U294="","",IF(INDEX('Per Invoice'!S$2:S$401,$U294)="","",INDEX('Per Invoice'!S$2:S$401,$U294)))</f>
        <v/>
      </c>
      <c r="T294" s="7">
        <f>IF($U294="","",IF(INDEX('Per Invoice'!T$2:T$401,$U294)="","",INDEX('Per Invoice'!T$2:T$401,$U294)))</f>
        <v/>
      </c>
      <c r="U294" s="16">
        <f>IFERROR(MATCH(Settings!$C$30&amp;"|"&amp;ROWS($U$2:$U294),'Per Invoice'!$V$2:$V$401,0),"")</f>
        <v/>
      </c>
    </row>
    <row r="295">
      <c r="A295">
        <f>IF($U295="","",IF(INDEX('Per Invoice'!A$2:A$401,$U295)="","",INDEX('Per Invoice'!A$2:A$401,$U295)))</f>
        <v/>
      </c>
      <c r="B295">
        <f>IF($U295="","",IF(INDEX('Per Invoice'!B$2:B$401,$U295)="","",INDEX('Per Invoice'!B$2:B$401,$U295)))</f>
        <v/>
      </c>
      <c r="C295">
        <f>IF($U295="","",IF(INDEX('Per Invoice'!C$2:C$401,$U295)="","",INDEX('Per Invoice'!C$2:C$401,$U295)))</f>
        <v/>
      </c>
      <c r="D295">
        <f>IF($U295="","",IF(INDEX('Per Invoice'!D$2:D$401,$U295)="","",INDEX('Per Invoice'!D$2:D$401,$U295)))</f>
        <v/>
      </c>
      <c r="E295">
        <f>IF($U295="","",IF(INDEX('Per Invoice'!E$2:E$401,$U295)="","",INDEX('Per Invoice'!E$2:E$401,$U295)))</f>
        <v/>
      </c>
      <c r="F295">
        <f>IF($U295="","",IF(INDEX('Per Invoice'!F$2:F$401,$U295)="","",INDEX('Per Invoice'!F$2:F$401,$U295)))</f>
        <v/>
      </c>
      <c r="G295">
        <f>IF($U295="","",IF(INDEX('Per Invoice'!G$2:G$401,$U295)="","",INDEX('Per Invoice'!G$2:G$401,$U295)))</f>
        <v/>
      </c>
      <c r="H295" s="7">
        <f>IF($U295="","",IF(INDEX('Per Invoice'!H$2:H$401,$U295)="","",INDEX('Per Invoice'!H$2:H$401,$U295)))</f>
        <v/>
      </c>
      <c r="I295" s="14">
        <f>IF($U295="","",IF(INDEX('Per Invoice'!I$2:I$401,$U295)="","",INDEX('Per Invoice'!I$2:I$401,$U295)))</f>
        <v/>
      </c>
      <c r="J295">
        <f>IF($U295="","",IF(INDEX('Per Invoice'!J$2:J$401,$U295)="","",INDEX('Per Invoice'!J$2:J$401,$U295)))</f>
        <v/>
      </c>
      <c r="K295">
        <f>IF($U295="","",IF(INDEX('Per Invoice'!K$2:K$401,$U295)="","",INDEX('Per Invoice'!K$2:K$401,$U295)))</f>
        <v/>
      </c>
      <c r="L295" s="7">
        <f>IF($U295="","",IF(INDEX('Per Invoice'!L$2:L$401,$U295)="","",INDEX('Per Invoice'!L$2:L$401,$U295)))</f>
        <v/>
      </c>
      <c r="M295" s="7">
        <f>IF($U295="","",IF(INDEX('Per Invoice'!M$2:M$401,$U295)="","",INDEX('Per Invoice'!M$2:M$401,$U295)))</f>
        <v/>
      </c>
      <c r="N295">
        <f>IF($U295="","",IF(INDEX('Per Invoice'!N$2:N$401,$U295)="","",INDEX('Per Invoice'!N$2:N$401,$U295)))</f>
        <v/>
      </c>
      <c r="O295" s="7">
        <f>IF($U295="","",IF(INDEX('Per Invoice'!O$2:O$401,$U295)="","",INDEX('Per Invoice'!O$2:O$401,$U295)))</f>
        <v/>
      </c>
      <c r="P295" s="7">
        <f>IF($U295="","",IF(INDEX('Per Invoice'!P$2:P$401,$U295)="","",INDEX('Per Invoice'!P$2:P$401,$U295)))</f>
        <v/>
      </c>
      <c r="Q295" s="7">
        <f>IF($U295="","",IF(INDEX('Per Invoice'!Q$2:Q$401,$U295)="","",INDEX('Per Invoice'!Q$2:Q$401,$U295)))</f>
        <v/>
      </c>
      <c r="R295" s="7">
        <f>IF($U295="","",IF(INDEX('Per Invoice'!R$2:R$401,$U295)="","",INDEX('Per Invoice'!R$2:R$401,$U295)))</f>
        <v/>
      </c>
      <c r="S295" s="7">
        <f>IF($U295="","",IF(INDEX('Per Invoice'!S$2:S$401,$U295)="","",INDEX('Per Invoice'!S$2:S$401,$U295)))</f>
        <v/>
      </c>
      <c r="T295" s="7">
        <f>IF($U295="","",IF(INDEX('Per Invoice'!T$2:T$401,$U295)="","",INDEX('Per Invoice'!T$2:T$401,$U295)))</f>
        <v/>
      </c>
      <c r="U295" s="16">
        <f>IFERROR(MATCH(Settings!$C$30&amp;"|"&amp;ROWS($U$2:$U295),'Per Invoice'!$V$2:$V$401,0),"")</f>
        <v/>
      </c>
    </row>
    <row r="296">
      <c r="A296">
        <f>IF($U296="","",IF(INDEX('Per Invoice'!A$2:A$401,$U296)="","",INDEX('Per Invoice'!A$2:A$401,$U296)))</f>
        <v/>
      </c>
      <c r="B296">
        <f>IF($U296="","",IF(INDEX('Per Invoice'!B$2:B$401,$U296)="","",INDEX('Per Invoice'!B$2:B$401,$U296)))</f>
        <v/>
      </c>
      <c r="C296">
        <f>IF($U296="","",IF(INDEX('Per Invoice'!C$2:C$401,$U296)="","",INDEX('Per Invoice'!C$2:C$401,$U296)))</f>
        <v/>
      </c>
      <c r="D296">
        <f>IF($U296="","",IF(INDEX('Per Invoice'!D$2:D$401,$U296)="","",INDEX('Per Invoice'!D$2:D$401,$U296)))</f>
        <v/>
      </c>
      <c r="E296">
        <f>IF($U296="","",IF(INDEX('Per Invoice'!E$2:E$401,$U296)="","",INDEX('Per Invoice'!E$2:E$401,$U296)))</f>
        <v/>
      </c>
      <c r="F296">
        <f>IF($U296="","",IF(INDEX('Per Invoice'!F$2:F$401,$U296)="","",INDEX('Per Invoice'!F$2:F$401,$U296)))</f>
        <v/>
      </c>
      <c r="G296">
        <f>IF($U296="","",IF(INDEX('Per Invoice'!G$2:G$401,$U296)="","",INDEX('Per Invoice'!G$2:G$401,$U296)))</f>
        <v/>
      </c>
      <c r="H296" s="7">
        <f>IF($U296="","",IF(INDEX('Per Invoice'!H$2:H$401,$U296)="","",INDEX('Per Invoice'!H$2:H$401,$U296)))</f>
        <v/>
      </c>
      <c r="I296" s="14">
        <f>IF($U296="","",IF(INDEX('Per Invoice'!I$2:I$401,$U296)="","",INDEX('Per Invoice'!I$2:I$401,$U296)))</f>
        <v/>
      </c>
      <c r="J296">
        <f>IF($U296="","",IF(INDEX('Per Invoice'!J$2:J$401,$U296)="","",INDEX('Per Invoice'!J$2:J$401,$U296)))</f>
        <v/>
      </c>
      <c r="K296">
        <f>IF($U296="","",IF(INDEX('Per Invoice'!K$2:K$401,$U296)="","",INDEX('Per Invoice'!K$2:K$401,$U296)))</f>
        <v/>
      </c>
      <c r="L296" s="7">
        <f>IF($U296="","",IF(INDEX('Per Invoice'!L$2:L$401,$U296)="","",INDEX('Per Invoice'!L$2:L$401,$U296)))</f>
        <v/>
      </c>
      <c r="M296" s="7">
        <f>IF($U296="","",IF(INDEX('Per Invoice'!M$2:M$401,$U296)="","",INDEX('Per Invoice'!M$2:M$401,$U296)))</f>
        <v/>
      </c>
      <c r="N296">
        <f>IF($U296="","",IF(INDEX('Per Invoice'!N$2:N$401,$U296)="","",INDEX('Per Invoice'!N$2:N$401,$U296)))</f>
        <v/>
      </c>
      <c r="O296" s="7">
        <f>IF($U296="","",IF(INDEX('Per Invoice'!O$2:O$401,$U296)="","",INDEX('Per Invoice'!O$2:O$401,$U296)))</f>
        <v/>
      </c>
      <c r="P296" s="7">
        <f>IF($U296="","",IF(INDEX('Per Invoice'!P$2:P$401,$U296)="","",INDEX('Per Invoice'!P$2:P$401,$U296)))</f>
        <v/>
      </c>
      <c r="Q296" s="7">
        <f>IF($U296="","",IF(INDEX('Per Invoice'!Q$2:Q$401,$U296)="","",INDEX('Per Invoice'!Q$2:Q$401,$U296)))</f>
        <v/>
      </c>
      <c r="R296" s="7">
        <f>IF($U296="","",IF(INDEX('Per Invoice'!R$2:R$401,$U296)="","",INDEX('Per Invoice'!R$2:R$401,$U296)))</f>
        <v/>
      </c>
      <c r="S296" s="7">
        <f>IF($U296="","",IF(INDEX('Per Invoice'!S$2:S$401,$U296)="","",INDEX('Per Invoice'!S$2:S$401,$U296)))</f>
        <v/>
      </c>
      <c r="T296" s="7">
        <f>IF($U296="","",IF(INDEX('Per Invoice'!T$2:T$401,$U296)="","",INDEX('Per Invoice'!T$2:T$401,$U296)))</f>
        <v/>
      </c>
      <c r="U296" s="16">
        <f>IFERROR(MATCH(Settings!$C$30&amp;"|"&amp;ROWS($U$2:$U296),'Per Invoice'!$V$2:$V$401,0),"")</f>
        <v/>
      </c>
    </row>
    <row r="297">
      <c r="A297">
        <f>IF($U297="","",IF(INDEX('Per Invoice'!A$2:A$401,$U297)="","",INDEX('Per Invoice'!A$2:A$401,$U297)))</f>
        <v/>
      </c>
      <c r="B297">
        <f>IF($U297="","",IF(INDEX('Per Invoice'!B$2:B$401,$U297)="","",INDEX('Per Invoice'!B$2:B$401,$U297)))</f>
        <v/>
      </c>
      <c r="C297">
        <f>IF($U297="","",IF(INDEX('Per Invoice'!C$2:C$401,$U297)="","",INDEX('Per Invoice'!C$2:C$401,$U297)))</f>
        <v/>
      </c>
      <c r="D297">
        <f>IF($U297="","",IF(INDEX('Per Invoice'!D$2:D$401,$U297)="","",INDEX('Per Invoice'!D$2:D$401,$U297)))</f>
        <v/>
      </c>
      <c r="E297">
        <f>IF($U297="","",IF(INDEX('Per Invoice'!E$2:E$401,$U297)="","",INDEX('Per Invoice'!E$2:E$401,$U297)))</f>
        <v/>
      </c>
      <c r="F297">
        <f>IF($U297="","",IF(INDEX('Per Invoice'!F$2:F$401,$U297)="","",INDEX('Per Invoice'!F$2:F$401,$U297)))</f>
        <v/>
      </c>
      <c r="G297">
        <f>IF($U297="","",IF(INDEX('Per Invoice'!G$2:G$401,$U297)="","",INDEX('Per Invoice'!G$2:G$401,$U297)))</f>
        <v/>
      </c>
      <c r="H297" s="7">
        <f>IF($U297="","",IF(INDEX('Per Invoice'!H$2:H$401,$U297)="","",INDEX('Per Invoice'!H$2:H$401,$U297)))</f>
        <v/>
      </c>
      <c r="I297" s="14">
        <f>IF($U297="","",IF(INDEX('Per Invoice'!I$2:I$401,$U297)="","",INDEX('Per Invoice'!I$2:I$401,$U297)))</f>
        <v/>
      </c>
      <c r="J297">
        <f>IF($U297="","",IF(INDEX('Per Invoice'!J$2:J$401,$U297)="","",INDEX('Per Invoice'!J$2:J$401,$U297)))</f>
        <v/>
      </c>
      <c r="K297">
        <f>IF($U297="","",IF(INDEX('Per Invoice'!K$2:K$401,$U297)="","",INDEX('Per Invoice'!K$2:K$401,$U297)))</f>
        <v/>
      </c>
      <c r="L297" s="7">
        <f>IF($U297="","",IF(INDEX('Per Invoice'!L$2:L$401,$U297)="","",INDEX('Per Invoice'!L$2:L$401,$U297)))</f>
        <v/>
      </c>
      <c r="M297" s="7">
        <f>IF($U297="","",IF(INDEX('Per Invoice'!M$2:M$401,$U297)="","",INDEX('Per Invoice'!M$2:M$401,$U297)))</f>
        <v/>
      </c>
      <c r="N297">
        <f>IF($U297="","",IF(INDEX('Per Invoice'!N$2:N$401,$U297)="","",INDEX('Per Invoice'!N$2:N$401,$U297)))</f>
        <v/>
      </c>
      <c r="O297" s="7">
        <f>IF($U297="","",IF(INDEX('Per Invoice'!O$2:O$401,$U297)="","",INDEX('Per Invoice'!O$2:O$401,$U297)))</f>
        <v/>
      </c>
      <c r="P297" s="7">
        <f>IF($U297="","",IF(INDEX('Per Invoice'!P$2:P$401,$U297)="","",INDEX('Per Invoice'!P$2:P$401,$U297)))</f>
        <v/>
      </c>
      <c r="Q297" s="7">
        <f>IF($U297="","",IF(INDEX('Per Invoice'!Q$2:Q$401,$U297)="","",INDEX('Per Invoice'!Q$2:Q$401,$U297)))</f>
        <v/>
      </c>
      <c r="R297" s="7">
        <f>IF($U297="","",IF(INDEX('Per Invoice'!R$2:R$401,$U297)="","",INDEX('Per Invoice'!R$2:R$401,$U297)))</f>
        <v/>
      </c>
      <c r="S297" s="7">
        <f>IF($U297="","",IF(INDEX('Per Invoice'!S$2:S$401,$U297)="","",INDEX('Per Invoice'!S$2:S$401,$U297)))</f>
        <v/>
      </c>
      <c r="T297" s="7">
        <f>IF($U297="","",IF(INDEX('Per Invoice'!T$2:T$401,$U297)="","",INDEX('Per Invoice'!T$2:T$401,$U297)))</f>
        <v/>
      </c>
      <c r="U297" s="16">
        <f>IFERROR(MATCH(Settings!$C$30&amp;"|"&amp;ROWS($U$2:$U297),'Per Invoice'!$V$2:$V$401,0),"")</f>
        <v/>
      </c>
    </row>
    <row r="298">
      <c r="A298">
        <f>IF($U298="","",IF(INDEX('Per Invoice'!A$2:A$401,$U298)="","",INDEX('Per Invoice'!A$2:A$401,$U298)))</f>
        <v/>
      </c>
      <c r="B298">
        <f>IF($U298="","",IF(INDEX('Per Invoice'!B$2:B$401,$U298)="","",INDEX('Per Invoice'!B$2:B$401,$U298)))</f>
        <v/>
      </c>
      <c r="C298">
        <f>IF($U298="","",IF(INDEX('Per Invoice'!C$2:C$401,$U298)="","",INDEX('Per Invoice'!C$2:C$401,$U298)))</f>
        <v/>
      </c>
      <c r="D298">
        <f>IF($U298="","",IF(INDEX('Per Invoice'!D$2:D$401,$U298)="","",INDEX('Per Invoice'!D$2:D$401,$U298)))</f>
        <v/>
      </c>
      <c r="E298">
        <f>IF($U298="","",IF(INDEX('Per Invoice'!E$2:E$401,$U298)="","",INDEX('Per Invoice'!E$2:E$401,$U298)))</f>
        <v/>
      </c>
      <c r="F298">
        <f>IF($U298="","",IF(INDEX('Per Invoice'!F$2:F$401,$U298)="","",INDEX('Per Invoice'!F$2:F$401,$U298)))</f>
        <v/>
      </c>
      <c r="G298">
        <f>IF($U298="","",IF(INDEX('Per Invoice'!G$2:G$401,$U298)="","",INDEX('Per Invoice'!G$2:G$401,$U298)))</f>
        <v/>
      </c>
      <c r="H298" s="7">
        <f>IF($U298="","",IF(INDEX('Per Invoice'!H$2:H$401,$U298)="","",INDEX('Per Invoice'!H$2:H$401,$U298)))</f>
        <v/>
      </c>
      <c r="I298" s="14">
        <f>IF($U298="","",IF(INDEX('Per Invoice'!I$2:I$401,$U298)="","",INDEX('Per Invoice'!I$2:I$401,$U298)))</f>
        <v/>
      </c>
      <c r="J298">
        <f>IF($U298="","",IF(INDEX('Per Invoice'!J$2:J$401,$U298)="","",INDEX('Per Invoice'!J$2:J$401,$U298)))</f>
        <v/>
      </c>
      <c r="K298">
        <f>IF($U298="","",IF(INDEX('Per Invoice'!K$2:K$401,$U298)="","",INDEX('Per Invoice'!K$2:K$401,$U298)))</f>
        <v/>
      </c>
      <c r="L298" s="7">
        <f>IF($U298="","",IF(INDEX('Per Invoice'!L$2:L$401,$U298)="","",INDEX('Per Invoice'!L$2:L$401,$U298)))</f>
        <v/>
      </c>
      <c r="M298" s="7">
        <f>IF($U298="","",IF(INDEX('Per Invoice'!M$2:M$401,$U298)="","",INDEX('Per Invoice'!M$2:M$401,$U298)))</f>
        <v/>
      </c>
      <c r="N298">
        <f>IF($U298="","",IF(INDEX('Per Invoice'!N$2:N$401,$U298)="","",INDEX('Per Invoice'!N$2:N$401,$U298)))</f>
        <v/>
      </c>
      <c r="O298" s="7">
        <f>IF($U298="","",IF(INDEX('Per Invoice'!O$2:O$401,$U298)="","",INDEX('Per Invoice'!O$2:O$401,$U298)))</f>
        <v/>
      </c>
      <c r="P298" s="7">
        <f>IF($U298="","",IF(INDEX('Per Invoice'!P$2:P$401,$U298)="","",INDEX('Per Invoice'!P$2:P$401,$U298)))</f>
        <v/>
      </c>
      <c r="Q298" s="7">
        <f>IF($U298="","",IF(INDEX('Per Invoice'!Q$2:Q$401,$U298)="","",INDEX('Per Invoice'!Q$2:Q$401,$U298)))</f>
        <v/>
      </c>
      <c r="R298" s="7">
        <f>IF($U298="","",IF(INDEX('Per Invoice'!R$2:R$401,$U298)="","",INDEX('Per Invoice'!R$2:R$401,$U298)))</f>
        <v/>
      </c>
      <c r="S298" s="7">
        <f>IF($U298="","",IF(INDEX('Per Invoice'!S$2:S$401,$U298)="","",INDEX('Per Invoice'!S$2:S$401,$U298)))</f>
        <v/>
      </c>
      <c r="T298" s="7">
        <f>IF($U298="","",IF(INDEX('Per Invoice'!T$2:T$401,$U298)="","",INDEX('Per Invoice'!T$2:T$401,$U298)))</f>
        <v/>
      </c>
      <c r="U298" s="16">
        <f>IFERROR(MATCH(Settings!$C$30&amp;"|"&amp;ROWS($U$2:$U298),'Per Invoice'!$V$2:$V$401,0),"")</f>
        <v/>
      </c>
    </row>
    <row r="299">
      <c r="A299">
        <f>IF($U299="","",IF(INDEX('Per Invoice'!A$2:A$401,$U299)="","",INDEX('Per Invoice'!A$2:A$401,$U299)))</f>
        <v/>
      </c>
      <c r="B299">
        <f>IF($U299="","",IF(INDEX('Per Invoice'!B$2:B$401,$U299)="","",INDEX('Per Invoice'!B$2:B$401,$U299)))</f>
        <v/>
      </c>
      <c r="C299">
        <f>IF($U299="","",IF(INDEX('Per Invoice'!C$2:C$401,$U299)="","",INDEX('Per Invoice'!C$2:C$401,$U299)))</f>
        <v/>
      </c>
      <c r="D299">
        <f>IF($U299="","",IF(INDEX('Per Invoice'!D$2:D$401,$U299)="","",INDEX('Per Invoice'!D$2:D$401,$U299)))</f>
        <v/>
      </c>
      <c r="E299">
        <f>IF($U299="","",IF(INDEX('Per Invoice'!E$2:E$401,$U299)="","",INDEX('Per Invoice'!E$2:E$401,$U299)))</f>
        <v/>
      </c>
      <c r="F299">
        <f>IF($U299="","",IF(INDEX('Per Invoice'!F$2:F$401,$U299)="","",INDEX('Per Invoice'!F$2:F$401,$U299)))</f>
        <v/>
      </c>
      <c r="G299">
        <f>IF($U299="","",IF(INDEX('Per Invoice'!G$2:G$401,$U299)="","",INDEX('Per Invoice'!G$2:G$401,$U299)))</f>
        <v/>
      </c>
      <c r="H299" s="7">
        <f>IF($U299="","",IF(INDEX('Per Invoice'!H$2:H$401,$U299)="","",INDEX('Per Invoice'!H$2:H$401,$U299)))</f>
        <v/>
      </c>
      <c r="I299" s="14">
        <f>IF($U299="","",IF(INDEX('Per Invoice'!I$2:I$401,$U299)="","",INDEX('Per Invoice'!I$2:I$401,$U299)))</f>
        <v/>
      </c>
      <c r="J299">
        <f>IF($U299="","",IF(INDEX('Per Invoice'!J$2:J$401,$U299)="","",INDEX('Per Invoice'!J$2:J$401,$U299)))</f>
        <v/>
      </c>
      <c r="K299">
        <f>IF($U299="","",IF(INDEX('Per Invoice'!K$2:K$401,$U299)="","",INDEX('Per Invoice'!K$2:K$401,$U299)))</f>
        <v/>
      </c>
      <c r="L299" s="7">
        <f>IF($U299="","",IF(INDEX('Per Invoice'!L$2:L$401,$U299)="","",INDEX('Per Invoice'!L$2:L$401,$U299)))</f>
        <v/>
      </c>
      <c r="M299" s="7">
        <f>IF($U299="","",IF(INDEX('Per Invoice'!M$2:M$401,$U299)="","",INDEX('Per Invoice'!M$2:M$401,$U299)))</f>
        <v/>
      </c>
      <c r="N299">
        <f>IF($U299="","",IF(INDEX('Per Invoice'!N$2:N$401,$U299)="","",INDEX('Per Invoice'!N$2:N$401,$U299)))</f>
        <v/>
      </c>
      <c r="O299" s="7">
        <f>IF($U299="","",IF(INDEX('Per Invoice'!O$2:O$401,$U299)="","",INDEX('Per Invoice'!O$2:O$401,$U299)))</f>
        <v/>
      </c>
      <c r="P299" s="7">
        <f>IF($U299="","",IF(INDEX('Per Invoice'!P$2:P$401,$U299)="","",INDEX('Per Invoice'!P$2:P$401,$U299)))</f>
        <v/>
      </c>
      <c r="Q299" s="7">
        <f>IF($U299="","",IF(INDEX('Per Invoice'!Q$2:Q$401,$U299)="","",INDEX('Per Invoice'!Q$2:Q$401,$U299)))</f>
        <v/>
      </c>
      <c r="R299" s="7">
        <f>IF($U299="","",IF(INDEX('Per Invoice'!R$2:R$401,$U299)="","",INDEX('Per Invoice'!R$2:R$401,$U299)))</f>
        <v/>
      </c>
      <c r="S299" s="7">
        <f>IF($U299="","",IF(INDEX('Per Invoice'!S$2:S$401,$U299)="","",INDEX('Per Invoice'!S$2:S$401,$U299)))</f>
        <v/>
      </c>
      <c r="T299" s="7">
        <f>IF($U299="","",IF(INDEX('Per Invoice'!T$2:T$401,$U299)="","",INDEX('Per Invoice'!T$2:T$401,$U299)))</f>
        <v/>
      </c>
      <c r="U299" s="16">
        <f>IFERROR(MATCH(Settings!$C$30&amp;"|"&amp;ROWS($U$2:$U299),'Per Invoice'!$V$2:$V$401,0),"")</f>
        <v/>
      </c>
    </row>
    <row r="300">
      <c r="A300">
        <f>IF($U300="","",IF(INDEX('Per Invoice'!A$2:A$401,$U300)="","",INDEX('Per Invoice'!A$2:A$401,$U300)))</f>
        <v/>
      </c>
      <c r="B300">
        <f>IF($U300="","",IF(INDEX('Per Invoice'!B$2:B$401,$U300)="","",INDEX('Per Invoice'!B$2:B$401,$U300)))</f>
        <v/>
      </c>
      <c r="C300">
        <f>IF($U300="","",IF(INDEX('Per Invoice'!C$2:C$401,$U300)="","",INDEX('Per Invoice'!C$2:C$401,$U300)))</f>
        <v/>
      </c>
      <c r="D300">
        <f>IF($U300="","",IF(INDEX('Per Invoice'!D$2:D$401,$U300)="","",INDEX('Per Invoice'!D$2:D$401,$U300)))</f>
        <v/>
      </c>
      <c r="E300">
        <f>IF($U300="","",IF(INDEX('Per Invoice'!E$2:E$401,$U300)="","",INDEX('Per Invoice'!E$2:E$401,$U300)))</f>
        <v/>
      </c>
      <c r="F300">
        <f>IF($U300="","",IF(INDEX('Per Invoice'!F$2:F$401,$U300)="","",INDEX('Per Invoice'!F$2:F$401,$U300)))</f>
        <v/>
      </c>
      <c r="G300">
        <f>IF($U300="","",IF(INDEX('Per Invoice'!G$2:G$401,$U300)="","",INDEX('Per Invoice'!G$2:G$401,$U300)))</f>
        <v/>
      </c>
      <c r="H300" s="7">
        <f>IF($U300="","",IF(INDEX('Per Invoice'!H$2:H$401,$U300)="","",INDEX('Per Invoice'!H$2:H$401,$U300)))</f>
        <v/>
      </c>
      <c r="I300" s="14">
        <f>IF($U300="","",IF(INDEX('Per Invoice'!I$2:I$401,$U300)="","",INDEX('Per Invoice'!I$2:I$401,$U300)))</f>
        <v/>
      </c>
      <c r="J300">
        <f>IF($U300="","",IF(INDEX('Per Invoice'!J$2:J$401,$U300)="","",INDEX('Per Invoice'!J$2:J$401,$U300)))</f>
        <v/>
      </c>
      <c r="K300">
        <f>IF($U300="","",IF(INDEX('Per Invoice'!K$2:K$401,$U300)="","",INDEX('Per Invoice'!K$2:K$401,$U300)))</f>
        <v/>
      </c>
      <c r="L300" s="7">
        <f>IF($U300="","",IF(INDEX('Per Invoice'!L$2:L$401,$U300)="","",INDEX('Per Invoice'!L$2:L$401,$U300)))</f>
        <v/>
      </c>
      <c r="M300" s="7">
        <f>IF($U300="","",IF(INDEX('Per Invoice'!M$2:M$401,$U300)="","",INDEX('Per Invoice'!M$2:M$401,$U300)))</f>
        <v/>
      </c>
      <c r="N300">
        <f>IF($U300="","",IF(INDEX('Per Invoice'!N$2:N$401,$U300)="","",INDEX('Per Invoice'!N$2:N$401,$U300)))</f>
        <v/>
      </c>
      <c r="O300" s="7">
        <f>IF($U300="","",IF(INDEX('Per Invoice'!O$2:O$401,$U300)="","",INDEX('Per Invoice'!O$2:O$401,$U300)))</f>
        <v/>
      </c>
      <c r="P300" s="7">
        <f>IF($U300="","",IF(INDEX('Per Invoice'!P$2:P$401,$U300)="","",INDEX('Per Invoice'!P$2:P$401,$U300)))</f>
        <v/>
      </c>
      <c r="Q300" s="7">
        <f>IF($U300="","",IF(INDEX('Per Invoice'!Q$2:Q$401,$U300)="","",INDEX('Per Invoice'!Q$2:Q$401,$U300)))</f>
        <v/>
      </c>
      <c r="R300" s="7">
        <f>IF($U300="","",IF(INDEX('Per Invoice'!R$2:R$401,$U300)="","",INDEX('Per Invoice'!R$2:R$401,$U300)))</f>
        <v/>
      </c>
      <c r="S300" s="7">
        <f>IF($U300="","",IF(INDEX('Per Invoice'!S$2:S$401,$U300)="","",INDEX('Per Invoice'!S$2:S$401,$U300)))</f>
        <v/>
      </c>
      <c r="T300" s="7">
        <f>IF($U300="","",IF(INDEX('Per Invoice'!T$2:T$401,$U300)="","",INDEX('Per Invoice'!T$2:T$401,$U300)))</f>
        <v/>
      </c>
      <c r="U300" s="16">
        <f>IFERROR(MATCH(Settings!$C$30&amp;"|"&amp;ROWS($U$2:$U300),'Per Invoice'!$V$2:$V$401,0),"")</f>
        <v/>
      </c>
    </row>
    <row r="301">
      <c r="A301">
        <f>IF($U301="","",IF(INDEX('Per Invoice'!A$2:A$401,$U301)="","",INDEX('Per Invoice'!A$2:A$401,$U301)))</f>
        <v/>
      </c>
      <c r="B301">
        <f>IF($U301="","",IF(INDEX('Per Invoice'!B$2:B$401,$U301)="","",INDEX('Per Invoice'!B$2:B$401,$U301)))</f>
        <v/>
      </c>
      <c r="C301">
        <f>IF($U301="","",IF(INDEX('Per Invoice'!C$2:C$401,$U301)="","",INDEX('Per Invoice'!C$2:C$401,$U301)))</f>
        <v/>
      </c>
      <c r="D301">
        <f>IF($U301="","",IF(INDEX('Per Invoice'!D$2:D$401,$U301)="","",INDEX('Per Invoice'!D$2:D$401,$U301)))</f>
        <v/>
      </c>
      <c r="E301">
        <f>IF($U301="","",IF(INDEX('Per Invoice'!E$2:E$401,$U301)="","",INDEX('Per Invoice'!E$2:E$401,$U301)))</f>
        <v/>
      </c>
      <c r="F301">
        <f>IF($U301="","",IF(INDEX('Per Invoice'!F$2:F$401,$U301)="","",INDEX('Per Invoice'!F$2:F$401,$U301)))</f>
        <v/>
      </c>
      <c r="G301">
        <f>IF($U301="","",IF(INDEX('Per Invoice'!G$2:G$401,$U301)="","",INDEX('Per Invoice'!G$2:G$401,$U301)))</f>
        <v/>
      </c>
      <c r="H301" s="7">
        <f>IF($U301="","",IF(INDEX('Per Invoice'!H$2:H$401,$U301)="","",INDEX('Per Invoice'!H$2:H$401,$U301)))</f>
        <v/>
      </c>
      <c r="I301" s="14">
        <f>IF($U301="","",IF(INDEX('Per Invoice'!I$2:I$401,$U301)="","",INDEX('Per Invoice'!I$2:I$401,$U301)))</f>
        <v/>
      </c>
      <c r="J301">
        <f>IF($U301="","",IF(INDEX('Per Invoice'!J$2:J$401,$U301)="","",INDEX('Per Invoice'!J$2:J$401,$U301)))</f>
        <v/>
      </c>
      <c r="K301">
        <f>IF($U301="","",IF(INDEX('Per Invoice'!K$2:K$401,$U301)="","",INDEX('Per Invoice'!K$2:K$401,$U301)))</f>
        <v/>
      </c>
      <c r="L301" s="7">
        <f>IF($U301="","",IF(INDEX('Per Invoice'!L$2:L$401,$U301)="","",INDEX('Per Invoice'!L$2:L$401,$U301)))</f>
        <v/>
      </c>
      <c r="M301" s="7">
        <f>IF($U301="","",IF(INDEX('Per Invoice'!M$2:M$401,$U301)="","",INDEX('Per Invoice'!M$2:M$401,$U301)))</f>
        <v/>
      </c>
      <c r="N301">
        <f>IF($U301="","",IF(INDEX('Per Invoice'!N$2:N$401,$U301)="","",INDEX('Per Invoice'!N$2:N$401,$U301)))</f>
        <v/>
      </c>
      <c r="O301" s="7">
        <f>IF($U301="","",IF(INDEX('Per Invoice'!O$2:O$401,$U301)="","",INDEX('Per Invoice'!O$2:O$401,$U301)))</f>
        <v/>
      </c>
      <c r="P301" s="7">
        <f>IF($U301="","",IF(INDEX('Per Invoice'!P$2:P$401,$U301)="","",INDEX('Per Invoice'!P$2:P$401,$U301)))</f>
        <v/>
      </c>
      <c r="Q301" s="7">
        <f>IF($U301="","",IF(INDEX('Per Invoice'!Q$2:Q$401,$U301)="","",INDEX('Per Invoice'!Q$2:Q$401,$U301)))</f>
        <v/>
      </c>
      <c r="R301" s="7">
        <f>IF($U301="","",IF(INDEX('Per Invoice'!R$2:R$401,$U301)="","",INDEX('Per Invoice'!R$2:R$401,$U301)))</f>
        <v/>
      </c>
      <c r="S301" s="7">
        <f>IF($U301="","",IF(INDEX('Per Invoice'!S$2:S$401,$U301)="","",INDEX('Per Invoice'!S$2:S$401,$U301)))</f>
        <v/>
      </c>
      <c r="T301" s="7">
        <f>IF($U301="","",IF(INDEX('Per Invoice'!T$2:T$401,$U301)="","",INDEX('Per Invoice'!T$2:T$401,$U301)))</f>
        <v/>
      </c>
      <c r="U301" s="16">
        <f>IFERROR(MATCH(Settings!$C$30&amp;"|"&amp;ROWS($U$2:$U301),'Per Invoice'!$V$2:$V$401,0),"")</f>
        <v/>
      </c>
    </row>
  </sheetData>
  <autoFilter ref="A1:U3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10" t="inlineStr">
        <is>
          <t>م</t>
        </is>
      </c>
      <c r="B1" s="10" t="inlineStr">
        <is>
          <t>الاسم</t>
        </is>
      </c>
      <c r="C1" s="10" t="inlineStr">
        <is>
          <t>رقم الاداء</t>
        </is>
      </c>
      <c r="D1" s="10" t="inlineStr">
        <is>
          <t>التاريخ</t>
        </is>
      </c>
      <c r="E1" s="10" t="inlineStr">
        <is>
          <t>محلي قبل الخصم</t>
        </is>
      </c>
      <c r="F1" s="10" t="inlineStr">
        <is>
          <t>مستورد قبل الخصم</t>
        </is>
      </c>
      <c r="G1" s="10" t="inlineStr">
        <is>
          <t>الاجمالي قبل الخصم</t>
        </is>
      </c>
      <c r="H1" s="10" t="inlineStr">
        <is>
          <t>قيمه خصم المحلي</t>
        </is>
      </c>
      <c r="I1" s="10" t="inlineStr">
        <is>
          <t>قيمه خصم المستورد</t>
        </is>
      </c>
      <c r="J1" s="10" t="inlineStr">
        <is>
          <t>اجمالي قيمه الخصم</t>
        </is>
      </c>
      <c r="K1" s="10" t="inlineStr">
        <is>
          <t>تحمل المريض</t>
        </is>
      </c>
      <c r="L1" s="10" t="inlineStr">
        <is>
          <t>الصافي</t>
        </is>
      </c>
      <c r="M1" s="10" t="inlineStr">
        <is>
          <t>نسبه التحمل</t>
        </is>
      </c>
    </row>
    <row r="2">
      <c r="A2">
        <f>IF('COPY 30 %'!$A2="","",ROWS($A$2:$A2))</f>
        <v/>
      </c>
      <c r="B2">
        <f>IF('COPY 30 %'!$A2="","",'COPY 30 %'!E2)</f>
        <v/>
      </c>
      <c r="C2">
        <f>IF('COPY 30 %'!$A2="","",'COPY 30 %'!F2)</f>
        <v/>
      </c>
      <c r="D2" s="14">
        <f>IF('COPY 30 %'!$A2="","",'COPY 30 %'!I2)</f>
        <v/>
      </c>
      <c r="E2" s="7">
        <f>IF('COPY 30 %'!$A2="","",'COPY 30 %'!O2)</f>
        <v/>
      </c>
      <c r="F2" s="7">
        <f>IF('COPY 30 %'!$A2="","",'COPY 30 %'!L2)</f>
        <v/>
      </c>
      <c r="G2" s="7">
        <f>IF('COPY 30 %'!$A2="","",'COPY 30 %'!S2)</f>
        <v/>
      </c>
      <c r="H2">
        <f>IF('COPY 30 %'!$A2="","",'COPY 30 %'!P2)</f>
        <v/>
      </c>
      <c r="I2">
        <f>IF('COPY 30 %'!$A2="","",'COPY 30 %'!M2)</f>
        <v/>
      </c>
      <c r="J2" s="7">
        <f>IF('COPY 30 %'!$A2="","",'COPY 30 %'!Q2)</f>
        <v/>
      </c>
      <c r="K2" s="7">
        <f>IF('COPY 30 %'!$A2="","",'COPY 30 %'!H2)</f>
        <v/>
      </c>
      <c r="L2" s="7">
        <f>IF('COPY 30 %'!$A2="","",'COPY 30 %'!T2)</f>
        <v/>
      </c>
      <c r="M2">
        <f>IF('COPY 30 %'!$A2="","",'COPY 30 %'!G2)</f>
        <v/>
      </c>
    </row>
    <row r="3">
      <c r="A3">
        <f>IF('COPY 30 %'!$A3="","",ROWS($A$2:$A3))</f>
        <v/>
      </c>
      <c r="B3">
        <f>IF('COPY 30 %'!$A3="","",'COPY 30 %'!E3)</f>
        <v/>
      </c>
      <c r="C3">
        <f>IF('COPY 30 %'!$A3="","",'COPY 30 %'!F3)</f>
        <v/>
      </c>
      <c r="D3" s="14">
        <f>IF('COPY 30 %'!$A3="","",'COPY 30 %'!I3)</f>
        <v/>
      </c>
      <c r="E3" s="7">
        <f>IF('COPY 30 %'!$A3="","",'COPY 30 %'!O3)</f>
        <v/>
      </c>
      <c r="F3" s="7">
        <f>IF('COPY 30 %'!$A3="","",'COPY 30 %'!L3)</f>
        <v/>
      </c>
      <c r="G3" s="7">
        <f>IF('COPY 30 %'!$A3="","",'COPY 30 %'!S3)</f>
        <v/>
      </c>
      <c r="H3">
        <f>IF('COPY 30 %'!$A3="","",'COPY 30 %'!P3)</f>
        <v/>
      </c>
      <c r="I3">
        <f>IF('COPY 30 %'!$A3="","",'COPY 30 %'!M3)</f>
        <v/>
      </c>
      <c r="J3" s="7">
        <f>IF('COPY 30 %'!$A3="","",'COPY 30 %'!Q3)</f>
        <v/>
      </c>
      <c r="K3" s="7">
        <f>IF('COPY 30 %'!$A3="","",'COPY 30 %'!H3)</f>
        <v/>
      </c>
      <c r="L3" s="7">
        <f>IF('COPY 30 %'!$A3="","",'COPY 30 %'!T3)</f>
        <v/>
      </c>
      <c r="M3">
        <f>IF('COPY 30 %'!$A3="","",'COPY 30 %'!G3)</f>
        <v/>
      </c>
    </row>
    <row r="4">
      <c r="A4">
        <f>IF('COPY 30 %'!$A4="","",ROWS($A$2:$A4))</f>
        <v/>
      </c>
      <c r="B4">
        <f>IF('COPY 30 %'!$A4="","",'COPY 30 %'!E4)</f>
        <v/>
      </c>
      <c r="C4">
        <f>IF('COPY 30 %'!$A4="","",'COPY 30 %'!F4)</f>
        <v/>
      </c>
      <c r="D4" s="14">
        <f>IF('COPY 30 %'!$A4="","",'COPY 30 %'!I4)</f>
        <v/>
      </c>
      <c r="E4" s="7">
        <f>IF('COPY 30 %'!$A4="","",'COPY 30 %'!O4)</f>
        <v/>
      </c>
      <c r="F4" s="7">
        <f>IF('COPY 30 %'!$A4="","",'COPY 30 %'!L4)</f>
        <v/>
      </c>
      <c r="G4" s="7">
        <f>IF('COPY 30 %'!$A4="","",'COPY 30 %'!S4)</f>
        <v/>
      </c>
      <c r="H4">
        <f>IF('COPY 30 %'!$A4="","",'COPY 30 %'!P4)</f>
        <v/>
      </c>
      <c r="I4">
        <f>IF('COPY 30 %'!$A4="","",'COPY 30 %'!M4)</f>
        <v/>
      </c>
      <c r="J4" s="7">
        <f>IF('COPY 30 %'!$A4="","",'COPY 30 %'!Q4)</f>
        <v/>
      </c>
      <c r="K4" s="7">
        <f>IF('COPY 30 %'!$A4="","",'COPY 30 %'!H4)</f>
        <v/>
      </c>
      <c r="L4" s="7">
        <f>IF('COPY 30 %'!$A4="","",'COPY 30 %'!T4)</f>
        <v/>
      </c>
      <c r="M4">
        <f>IF('COPY 30 %'!$A4="","",'COPY 30 %'!G4)</f>
        <v/>
      </c>
    </row>
    <row r="5">
      <c r="A5">
        <f>IF('COPY 30 %'!$A5="","",ROWS($A$2:$A5))</f>
        <v/>
      </c>
      <c r="B5">
        <f>IF('COPY 30 %'!$A5="","",'COPY 30 %'!E5)</f>
        <v/>
      </c>
      <c r="C5">
        <f>IF('COPY 30 %'!$A5="","",'COPY 30 %'!F5)</f>
        <v/>
      </c>
      <c r="D5" s="14">
        <f>IF('COPY 30 %'!$A5="","",'COPY 30 %'!I5)</f>
        <v/>
      </c>
      <c r="E5" s="7">
        <f>IF('COPY 30 %'!$A5="","",'COPY 30 %'!O5)</f>
        <v/>
      </c>
      <c r="F5" s="7">
        <f>IF('COPY 30 %'!$A5="","",'COPY 30 %'!L5)</f>
        <v/>
      </c>
      <c r="G5" s="7">
        <f>IF('COPY 30 %'!$A5="","",'COPY 30 %'!S5)</f>
        <v/>
      </c>
      <c r="H5">
        <f>IF('COPY 30 %'!$A5="","",'COPY 30 %'!P5)</f>
        <v/>
      </c>
      <c r="I5">
        <f>IF('COPY 30 %'!$A5="","",'COPY 30 %'!M5)</f>
        <v/>
      </c>
      <c r="J5" s="7">
        <f>IF('COPY 30 %'!$A5="","",'COPY 30 %'!Q5)</f>
        <v/>
      </c>
      <c r="K5" s="7">
        <f>IF('COPY 30 %'!$A5="","",'COPY 30 %'!H5)</f>
        <v/>
      </c>
      <c r="L5" s="7">
        <f>IF('COPY 30 %'!$A5="","",'COPY 30 %'!T5)</f>
        <v/>
      </c>
      <c r="M5">
        <f>IF('COPY 30 %'!$A5="","",'COPY 30 %'!G5)</f>
        <v/>
      </c>
    </row>
    <row r="6">
      <c r="A6">
        <f>IF('COPY 30 %'!$A6="","",ROWS($A$2:$A6))</f>
        <v/>
      </c>
      <c r="B6">
        <f>IF('COPY 30 %'!$A6="","",'COPY 30 %'!E6)</f>
        <v/>
      </c>
      <c r="C6">
        <f>IF('COPY 30 %'!$A6="","",'COPY 30 %'!F6)</f>
        <v/>
      </c>
      <c r="D6" s="14">
        <f>IF('COPY 30 %'!$A6="","",'COPY 30 %'!I6)</f>
        <v/>
      </c>
      <c r="E6" s="7">
        <f>IF('COPY 30 %'!$A6="","",'COPY 30 %'!O6)</f>
        <v/>
      </c>
      <c r="F6" s="7">
        <f>IF('COPY 30 %'!$A6="","",'COPY 30 %'!L6)</f>
        <v/>
      </c>
      <c r="G6" s="7">
        <f>IF('COPY 30 %'!$A6="","",'COPY 30 %'!S6)</f>
        <v/>
      </c>
      <c r="H6">
        <f>IF('COPY 30 %'!$A6="","",'COPY 30 %'!P6)</f>
        <v/>
      </c>
      <c r="I6">
        <f>IF('COPY 30 %'!$A6="","",'COPY 30 %'!M6)</f>
        <v/>
      </c>
      <c r="J6" s="7">
        <f>IF('COPY 30 %'!$A6="","",'COPY 30 %'!Q6)</f>
        <v/>
      </c>
      <c r="K6" s="7">
        <f>IF('COPY 30 %'!$A6="","",'COPY 30 %'!H6)</f>
        <v/>
      </c>
      <c r="L6" s="7">
        <f>IF('COPY 30 %'!$A6="","",'COPY 30 %'!T6)</f>
        <v/>
      </c>
      <c r="M6">
        <f>IF('COPY 30 %'!$A6="","",'COPY 30 %'!G6)</f>
        <v/>
      </c>
    </row>
    <row r="7">
      <c r="A7">
        <f>IF('COPY 30 %'!$A7="","",ROWS($A$2:$A7))</f>
        <v/>
      </c>
      <c r="B7">
        <f>IF('COPY 30 %'!$A7="","",'COPY 30 %'!E7)</f>
        <v/>
      </c>
      <c r="C7">
        <f>IF('COPY 30 %'!$A7="","",'COPY 30 %'!F7)</f>
        <v/>
      </c>
      <c r="D7" s="14">
        <f>IF('COPY 30 %'!$A7="","",'COPY 30 %'!I7)</f>
        <v/>
      </c>
      <c r="E7" s="7">
        <f>IF('COPY 30 %'!$A7="","",'COPY 30 %'!O7)</f>
        <v/>
      </c>
      <c r="F7" s="7">
        <f>IF('COPY 30 %'!$A7="","",'COPY 30 %'!L7)</f>
        <v/>
      </c>
      <c r="G7" s="7">
        <f>IF('COPY 30 %'!$A7="","",'COPY 30 %'!S7)</f>
        <v/>
      </c>
      <c r="H7">
        <f>IF('COPY 30 %'!$A7="","",'COPY 30 %'!P7)</f>
        <v/>
      </c>
      <c r="I7">
        <f>IF('COPY 30 %'!$A7="","",'COPY 30 %'!M7)</f>
        <v/>
      </c>
      <c r="J7" s="7">
        <f>IF('COPY 30 %'!$A7="","",'COPY 30 %'!Q7)</f>
        <v/>
      </c>
      <c r="K7" s="7">
        <f>IF('COPY 30 %'!$A7="","",'COPY 30 %'!H7)</f>
        <v/>
      </c>
      <c r="L7" s="7">
        <f>IF('COPY 30 %'!$A7="","",'COPY 30 %'!T7)</f>
        <v/>
      </c>
      <c r="M7">
        <f>IF('COPY 30 %'!$A7="","",'COPY 30 %'!G7)</f>
        <v/>
      </c>
    </row>
    <row r="8">
      <c r="A8">
        <f>IF('COPY 30 %'!$A8="","",ROWS($A$2:$A8))</f>
        <v/>
      </c>
      <c r="B8">
        <f>IF('COPY 30 %'!$A8="","",'COPY 30 %'!E8)</f>
        <v/>
      </c>
      <c r="C8">
        <f>IF('COPY 30 %'!$A8="","",'COPY 30 %'!F8)</f>
        <v/>
      </c>
      <c r="D8" s="14">
        <f>IF('COPY 30 %'!$A8="","",'COPY 30 %'!I8)</f>
        <v/>
      </c>
      <c r="E8" s="7">
        <f>IF('COPY 30 %'!$A8="","",'COPY 30 %'!O8)</f>
        <v/>
      </c>
      <c r="F8" s="7">
        <f>IF('COPY 30 %'!$A8="","",'COPY 30 %'!L8)</f>
        <v/>
      </c>
      <c r="G8" s="7">
        <f>IF('COPY 30 %'!$A8="","",'COPY 30 %'!S8)</f>
        <v/>
      </c>
      <c r="H8">
        <f>IF('COPY 30 %'!$A8="","",'COPY 30 %'!P8)</f>
        <v/>
      </c>
      <c r="I8">
        <f>IF('COPY 30 %'!$A8="","",'COPY 30 %'!M8)</f>
        <v/>
      </c>
      <c r="J8" s="7">
        <f>IF('COPY 30 %'!$A8="","",'COPY 30 %'!Q8)</f>
        <v/>
      </c>
      <c r="K8" s="7">
        <f>IF('COPY 30 %'!$A8="","",'COPY 30 %'!H8)</f>
        <v/>
      </c>
      <c r="L8" s="7">
        <f>IF('COPY 30 %'!$A8="","",'COPY 30 %'!T8)</f>
        <v/>
      </c>
      <c r="M8">
        <f>IF('COPY 30 %'!$A8="","",'COPY 30 %'!G8)</f>
        <v/>
      </c>
    </row>
    <row r="9">
      <c r="A9">
        <f>IF('COPY 30 %'!$A9="","",ROWS($A$2:$A9))</f>
        <v/>
      </c>
      <c r="B9">
        <f>IF('COPY 30 %'!$A9="","",'COPY 30 %'!E9)</f>
        <v/>
      </c>
      <c r="C9">
        <f>IF('COPY 30 %'!$A9="","",'COPY 30 %'!F9)</f>
        <v/>
      </c>
      <c r="D9" s="14">
        <f>IF('COPY 30 %'!$A9="","",'COPY 30 %'!I9)</f>
        <v/>
      </c>
      <c r="E9" s="7">
        <f>IF('COPY 30 %'!$A9="","",'COPY 30 %'!O9)</f>
        <v/>
      </c>
      <c r="F9" s="7">
        <f>IF('COPY 30 %'!$A9="","",'COPY 30 %'!L9)</f>
        <v/>
      </c>
      <c r="G9" s="7">
        <f>IF('COPY 30 %'!$A9="","",'COPY 30 %'!S9)</f>
        <v/>
      </c>
      <c r="H9">
        <f>IF('COPY 30 %'!$A9="","",'COPY 30 %'!P9)</f>
        <v/>
      </c>
      <c r="I9">
        <f>IF('COPY 30 %'!$A9="","",'COPY 30 %'!M9)</f>
        <v/>
      </c>
      <c r="J9" s="7">
        <f>IF('COPY 30 %'!$A9="","",'COPY 30 %'!Q9)</f>
        <v/>
      </c>
      <c r="K9" s="7">
        <f>IF('COPY 30 %'!$A9="","",'COPY 30 %'!H9)</f>
        <v/>
      </c>
      <c r="L9" s="7">
        <f>IF('COPY 30 %'!$A9="","",'COPY 30 %'!T9)</f>
        <v/>
      </c>
      <c r="M9">
        <f>IF('COPY 30 %'!$A9="","",'COPY 30 %'!G9)</f>
        <v/>
      </c>
    </row>
    <row r="10">
      <c r="A10">
        <f>IF('COPY 30 %'!$A10="","",ROWS($A$2:$A10))</f>
        <v/>
      </c>
      <c r="B10">
        <f>IF('COPY 30 %'!$A10="","",'COPY 30 %'!E10)</f>
        <v/>
      </c>
      <c r="C10">
        <f>IF('COPY 30 %'!$A10="","",'COPY 30 %'!F10)</f>
        <v/>
      </c>
      <c r="D10" s="14">
        <f>IF('COPY 30 %'!$A10="","",'COPY 30 %'!I10)</f>
        <v/>
      </c>
      <c r="E10" s="7">
        <f>IF('COPY 30 %'!$A10="","",'COPY 30 %'!O10)</f>
        <v/>
      </c>
      <c r="F10" s="7">
        <f>IF('COPY 30 %'!$A10="","",'COPY 30 %'!L10)</f>
        <v/>
      </c>
      <c r="G10" s="7">
        <f>IF('COPY 30 %'!$A10="","",'COPY 30 %'!S10)</f>
        <v/>
      </c>
      <c r="H10">
        <f>IF('COPY 30 %'!$A10="","",'COPY 30 %'!P10)</f>
        <v/>
      </c>
      <c r="I10">
        <f>IF('COPY 30 %'!$A10="","",'COPY 30 %'!M10)</f>
        <v/>
      </c>
      <c r="J10" s="7">
        <f>IF('COPY 30 %'!$A10="","",'COPY 30 %'!Q10)</f>
        <v/>
      </c>
      <c r="K10" s="7">
        <f>IF('COPY 30 %'!$A10="","",'COPY 30 %'!H10)</f>
        <v/>
      </c>
      <c r="L10" s="7">
        <f>IF('COPY 30 %'!$A10="","",'COPY 30 %'!T10)</f>
        <v/>
      </c>
      <c r="M10">
        <f>IF('COPY 30 %'!$A10="","",'COPY 30 %'!G10)</f>
        <v/>
      </c>
    </row>
    <row r="11">
      <c r="A11">
        <f>IF('COPY 30 %'!$A11="","",ROWS($A$2:$A11))</f>
        <v/>
      </c>
      <c r="B11">
        <f>IF('COPY 30 %'!$A11="","",'COPY 30 %'!E11)</f>
        <v/>
      </c>
      <c r="C11">
        <f>IF('COPY 30 %'!$A11="","",'COPY 30 %'!F11)</f>
        <v/>
      </c>
      <c r="D11" s="14">
        <f>IF('COPY 30 %'!$A11="","",'COPY 30 %'!I11)</f>
        <v/>
      </c>
      <c r="E11" s="7">
        <f>IF('COPY 30 %'!$A11="","",'COPY 30 %'!O11)</f>
        <v/>
      </c>
      <c r="F11" s="7">
        <f>IF('COPY 30 %'!$A11="","",'COPY 30 %'!L11)</f>
        <v/>
      </c>
      <c r="G11" s="7">
        <f>IF('COPY 30 %'!$A11="","",'COPY 30 %'!S11)</f>
        <v/>
      </c>
      <c r="H11">
        <f>IF('COPY 30 %'!$A11="","",'COPY 30 %'!P11)</f>
        <v/>
      </c>
      <c r="I11">
        <f>IF('COPY 30 %'!$A11="","",'COPY 30 %'!M11)</f>
        <v/>
      </c>
      <c r="J11" s="7">
        <f>IF('COPY 30 %'!$A11="","",'COPY 30 %'!Q11)</f>
        <v/>
      </c>
      <c r="K11" s="7">
        <f>IF('COPY 30 %'!$A11="","",'COPY 30 %'!H11)</f>
        <v/>
      </c>
      <c r="L11" s="7">
        <f>IF('COPY 30 %'!$A11="","",'COPY 30 %'!T11)</f>
        <v/>
      </c>
      <c r="M11">
        <f>IF('COPY 30 %'!$A11="","",'COPY 30 %'!G11)</f>
        <v/>
      </c>
    </row>
    <row r="12">
      <c r="A12">
        <f>IF('COPY 30 %'!$A12="","",ROWS($A$2:$A12))</f>
        <v/>
      </c>
      <c r="B12">
        <f>IF('COPY 30 %'!$A12="","",'COPY 30 %'!E12)</f>
        <v/>
      </c>
      <c r="C12">
        <f>IF('COPY 30 %'!$A12="","",'COPY 30 %'!F12)</f>
        <v/>
      </c>
      <c r="D12" s="14">
        <f>IF('COPY 30 %'!$A12="","",'COPY 30 %'!I12)</f>
        <v/>
      </c>
      <c r="E12" s="7">
        <f>IF('COPY 30 %'!$A12="","",'COPY 30 %'!O12)</f>
        <v/>
      </c>
      <c r="F12" s="7">
        <f>IF('COPY 30 %'!$A12="","",'COPY 30 %'!L12)</f>
        <v/>
      </c>
      <c r="G12" s="7">
        <f>IF('COPY 30 %'!$A12="","",'COPY 30 %'!S12)</f>
        <v/>
      </c>
      <c r="H12">
        <f>IF('COPY 30 %'!$A12="","",'COPY 30 %'!P12)</f>
        <v/>
      </c>
      <c r="I12">
        <f>IF('COPY 30 %'!$A12="","",'COPY 30 %'!M12)</f>
        <v/>
      </c>
      <c r="J12" s="7">
        <f>IF('COPY 30 %'!$A12="","",'COPY 30 %'!Q12)</f>
        <v/>
      </c>
      <c r="K12" s="7">
        <f>IF('COPY 30 %'!$A12="","",'COPY 30 %'!H12)</f>
        <v/>
      </c>
      <c r="L12" s="7">
        <f>IF('COPY 30 %'!$A12="","",'COPY 30 %'!T12)</f>
        <v/>
      </c>
      <c r="M12">
        <f>IF('COPY 30 %'!$A12="","",'COPY 30 %'!G12)</f>
        <v/>
      </c>
    </row>
    <row r="13">
      <c r="A13">
        <f>IF('COPY 30 %'!$A13="","",ROWS($A$2:$A13))</f>
        <v/>
      </c>
      <c r="B13">
        <f>IF('COPY 30 %'!$A13="","",'COPY 30 %'!E13)</f>
        <v/>
      </c>
      <c r="C13">
        <f>IF('COPY 30 %'!$A13="","",'COPY 30 %'!F13)</f>
        <v/>
      </c>
      <c r="D13" s="14">
        <f>IF('COPY 30 %'!$A13="","",'COPY 30 %'!I13)</f>
        <v/>
      </c>
      <c r="E13" s="7">
        <f>IF('COPY 30 %'!$A13="","",'COPY 30 %'!O13)</f>
        <v/>
      </c>
      <c r="F13" s="7">
        <f>IF('COPY 30 %'!$A13="","",'COPY 30 %'!L13)</f>
        <v/>
      </c>
      <c r="G13" s="7">
        <f>IF('COPY 30 %'!$A13="","",'COPY 30 %'!S13)</f>
        <v/>
      </c>
      <c r="H13">
        <f>IF('COPY 30 %'!$A13="","",'COPY 30 %'!P13)</f>
        <v/>
      </c>
      <c r="I13">
        <f>IF('COPY 30 %'!$A13="","",'COPY 30 %'!M13)</f>
        <v/>
      </c>
      <c r="J13" s="7">
        <f>IF('COPY 30 %'!$A13="","",'COPY 30 %'!Q13)</f>
        <v/>
      </c>
      <c r="K13" s="7">
        <f>IF('COPY 30 %'!$A13="","",'COPY 30 %'!H13)</f>
        <v/>
      </c>
      <c r="L13" s="7">
        <f>IF('COPY 30 %'!$A13="","",'COPY 30 %'!T13)</f>
        <v/>
      </c>
      <c r="M13">
        <f>IF('COPY 30 %'!$A13="","",'COPY 30 %'!G13)</f>
        <v/>
      </c>
    </row>
    <row r="14">
      <c r="A14">
        <f>IF('COPY 30 %'!$A14="","",ROWS($A$2:$A14))</f>
        <v/>
      </c>
      <c r="B14">
        <f>IF('COPY 30 %'!$A14="","",'COPY 30 %'!E14)</f>
        <v/>
      </c>
      <c r="C14">
        <f>IF('COPY 30 %'!$A14="","",'COPY 30 %'!F14)</f>
        <v/>
      </c>
      <c r="D14" s="14">
        <f>IF('COPY 30 %'!$A14="","",'COPY 30 %'!I14)</f>
        <v/>
      </c>
      <c r="E14" s="7">
        <f>IF('COPY 30 %'!$A14="","",'COPY 30 %'!O14)</f>
        <v/>
      </c>
      <c r="F14" s="7">
        <f>IF('COPY 30 %'!$A14="","",'COPY 30 %'!L14)</f>
        <v/>
      </c>
      <c r="G14" s="7">
        <f>IF('COPY 30 %'!$A14="","",'COPY 30 %'!S14)</f>
        <v/>
      </c>
      <c r="H14">
        <f>IF('COPY 30 %'!$A14="","",'COPY 30 %'!P14)</f>
        <v/>
      </c>
      <c r="I14">
        <f>IF('COPY 30 %'!$A14="","",'COPY 30 %'!M14)</f>
        <v/>
      </c>
      <c r="J14" s="7">
        <f>IF('COPY 30 %'!$A14="","",'COPY 30 %'!Q14)</f>
        <v/>
      </c>
      <c r="K14" s="7">
        <f>IF('COPY 30 %'!$A14="","",'COPY 30 %'!H14)</f>
        <v/>
      </c>
      <c r="L14" s="7">
        <f>IF('COPY 30 %'!$A14="","",'COPY 30 %'!T14)</f>
        <v/>
      </c>
      <c r="M14">
        <f>IF('COPY 30 %'!$A14="","",'COPY 30 %'!G14)</f>
        <v/>
      </c>
    </row>
    <row r="15">
      <c r="A15">
        <f>IF('COPY 30 %'!$A15="","",ROWS($A$2:$A15))</f>
        <v/>
      </c>
      <c r="B15">
        <f>IF('COPY 30 %'!$A15="","",'COPY 30 %'!E15)</f>
        <v/>
      </c>
      <c r="C15">
        <f>IF('COPY 30 %'!$A15="","",'COPY 30 %'!F15)</f>
        <v/>
      </c>
      <c r="D15" s="14">
        <f>IF('COPY 30 %'!$A15="","",'COPY 30 %'!I15)</f>
        <v/>
      </c>
      <c r="E15" s="7">
        <f>IF('COPY 30 %'!$A15="","",'COPY 30 %'!O15)</f>
        <v/>
      </c>
      <c r="F15" s="7">
        <f>IF('COPY 30 %'!$A15="","",'COPY 30 %'!L15)</f>
        <v/>
      </c>
      <c r="G15" s="7">
        <f>IF('COPY 30 %'!$A15="","",'COPY 30 %'!S15)</f>
        <v/>
      </c>
      <c r="H15">
        <f>IF('COPY 30 %'!$A15="","",'COPY 30 %'!P15)</f>
        <v/>
      </c>
      <c r="I15">
        <f>IF('COPY 30 %'!$A15="","",'COPY 30 %'!M15)</f>
        <v/>
      </c>
      <c r="J15" s="7">
        <f>IF('COPY 30 %'!$A15="","",'COPY 30 %'!Q15)</f>
        <v/>
      </c>
      <c r="K15" s="7">
        <f>IF('COPY 30 %'!$A15="","",'COPY 30 %'!H15)</f>
        <v/>
      </c>
      <c r="L15" s="7">
        <f>IF('COPY 30 %'!$A15="","",'COPY 30 %'!T15)</f>
        <v/>
      </c>
      <c r="M15">
        <f>IF('COPY 30 %'!$A15="","",'COPY 30 %'!G15)</f>
        <v/>
      </c>
    </row>
    <row r="16">
      <c r="A16">
        <f>IF('COPY 30 %'!$A16="","",ROWS($A$2:$A16))</f>
        <v/>
      </c>
      <c r="B16">
        <f>IF('COPY 30 %'!$A16="","",'COPY 30 %'!E16)</f>
        <v/>
      </c>
      <c r="C16">
        <f>IF('COPY 30 %'!$A16="","",'COPY 30 %'!F16)</f>
        <v/>
      </c>
      <c r="D16" s="14">
        <f>IF('COPY 30 %'!$A16="","",'COPY 30 %'!I16)</f>
        <v/>
      </c>
      <c r="E16" s="7">
        <f>IF('COPY 30 %'!$A16="","",'COPY 30 %'!O16)</f>
        <v/>
      </c>
      <c r="F16" s="7">
        <f>IF('COPY 30 %'!$A16="","",'COPY 30 %'!L16)</f>
        <v/>
      </c>
      <c r="G16" s="7">
        <f>IF('COPY 30 %'!$A16="","",'COPY 30 %'!S16)</f>
        <v/>
      </c>
      <c r="H16">
        <f>IF('COPY 30 %'!$A16="","",'COPY 30 %'!P16)</f>
        <v/>
      </c>
      <c r="I16">
        <f>IF('COPY 30 %'!$A16="","",'COPY 30 %'!M16)</f>
        <v/>
      </c>
      <c r="J16" s="7">
        <f>IF('COPY 30 %'!$A16="","",'COPY 30 %'!Q16)</f>
        <v/>
      </c>
      <c r="K16" s="7">
        <f>IF('COPY 30 %'!$A16="","",'COPY 30 %'!H16)</f>
        <v/>
      </c>
      <c r="L16" s="7">
        <f>IF('COPY 30 %'!$A16="","",'COPY 30 %'!T16)</f>
        <v/>
      </c>
      <c r="M16">
        <f>IF('COPY 30 %'!$A16="","",'COPY 30 %'!G16)</f>
        <v/>
      </c>
    </row>
    <row r="17">
      <c r="A17">
        <f>IF('COPY 30 %'!$A17="","",ROWS($A$2:$A17))</f>
        <v/>
      </c>
      <c r="B17">
        <f>IF('COPY 30 %'!$A17="","",'COPY 30 %'!E17)</f>
        <v/>
      </c>
      <c r="C17">
        <f>IF('COPY 30 %'!$A17="","",'COPY 30 %'!F17)</f>
        <v/>
      </c>
      <c r="D17" s="14">
        <f>IF('COPY 30 %'!$A17="","",'COPY 30 %'!I17)</f>
        <v/>
      </c>
      <c r="E17" s="7">
        <f>IF('COPY 30 %'!$A17="","",'COPY 30 %'!O17)</f>
        <v/>
      </c>
      <c r="F17" s="7">
        <f>IF('COPY 30 %'!$A17="","",'COPY 30 %'!L17)</f>
        <v/>
      </c>
      <c r="G17" s="7">
        <f>IF('COPY 30 %'!$A17="","",'COPY 30 %'!S17)</f>
        <v/>
      </c>
      <c r="H17">
        <f>IF('COPY 30 %'!$A17="","",'COPY 30 %'!P17)</f>
        <v/>
      </c>
      <c r="I17">
        <f>IF('COPY 30 %'!$A17="","",'COPY 30 %'!M17)</f>
        <v/>
      </c>
      <c r="J17" s="7">
        <f>IF('COPY 30 %'!$A17="","",'COPY 30 %'!Q17)</f>
        <v/>
      </c>
      <c r="K17" s="7">
        <f>IF('COPY 30 %'!$A17="","",'COPY 30 %'!H17)</f>
        <v/>
      </c>
      <c r="L17" s="7">
        <f>IF('COPY 30 %'!$A17="","",'COPY 30 %'!T17)</f>
        <v/>
      </c>
      <c r="M17">
        <f>IF('COPY 30 %'!$A17="","",'COPY 30 %'!G17)</f>
        <v/>
      </c>
    </row>
    <row r="18">
      <c r="A18">
        <f>IF('COPY 30 %'!$A18="","",ROWS($A$2:$A18))</f>
        <v/>
      </c>
      <c r="B18">
        <f>IF('COPY 30 %'!$A18="","",'COPY 30 %'!E18)</f>
        <v/>
      </c>
      <c r="C18">
        <f>IF('COPY 30 %'!$A18="","",'COPY 30 %'!F18)</f>
        <v/>
      </c>
      <c r="D18" s="14">
        <f>IF('COPY 30 %'!$A18="","",'COPY 30 %'!I18)</f>
        <v/>
      </c>
      <c r="E18" s="7">
        <f>IF('COPY 30 %'!$A18="","",'COPY 30 %'!O18)</f>
        <v/>
      </c>
      <c r="F18" s="7">
        <f>IF('COPY 30 %'!$A18="","",'COPY 30 %'!L18)</f>
        <v/>
      </c>
      <c r="G18" s="7">
        <f>IF('COPY 30 %'!$A18="","",'COPY 30 %'!S18)</f>
        <v/>
      </c>
      <c r="H18">
        <f>IF('COPY 30 %'!$A18="","",'COPY 30 %'!P18)</f>
        <v/>
      </c>
      <c r="I18">
        <f>IF('COPY 30 %'!$A18="","",'COPY 30 %'!M18)</f>
        <v/>
      </c>
      <c r="J18" s="7">
        <f>IF('COPY 30 %'!$A18="","",'COPY 30 %'!Q18)</f>
        <v/>
      </c>
      <c r="K18" s="7">
        <f>IF('COPY 30 %'!$A18="","",'COPY 30 %'!H18)</f>
        <v/>
      </c>
      <c r="L18" s="7">
        <f>IF('COPY 30 %'!$A18="","",'COPY 30 %'!T18)</f>
        <v/>
      </c>
      <c r="M18">
        <f>IF('COPY 30 %'!$A18="","",'COPY 30 %'!G18)</f>
        <v/>
      </c>
    </row>
    <row r="19">
      <c r="A19">
        <f>IF('COPY 30 %'!$A19="","",ROWS($A$2:$A19))</f>
        <v/>
      </c>
      <c r="B19">
        <f>IF('COPY 30 %'!$A19="","",'COPY 30 %'!E19)</f>
        <v/>
      </c>
      <c r="C19">
        <f>IF('COPY 30 %'!$A19="","",'COPY 30 %'!F19)</f>
        <v/>
      </c>
      <c r="D19" s="14">
        <f>IF('COPY 30 %'!$A19="","",'COPY 30 %'!I19)</f>
        <v/>
      </c>
      <c r="E19" s="7">
        <f>IF('COPY 30 %'!$A19="","",'COPY 30 %'!O19)</f>
        <v/>
      </c>
      <c r="F19" s="7">
        <f>IF('COPY 30 %'!$A19="","",'COPY 30 %'!L19)</f>
        <v/>
      </c>
      <c r="G19" s="7">
        <f>IF('COPY 30 %'!$A19="","",'COPY 30 %'!S19)</f>
        <v/>
      </c>
      <c r="H19">
        <f>IF('COPY 30 %'!$A19="","",'COPY 30 %'!P19)</f>
        <v/>
      </c>
      <c r="I19">
        <f>IF('COPY 30 %'!$A19="","",'COPY 30 %'!M19)</f>
        <v/>
      </c>
      <c r="J19" s="7">
        <f>IF('COPY 30 %'!$A19="","",'COPY 30 %'!Q19)</f>
        <v/>
      </c>
      <c r="K19" s="7">
        <f>IF('COPY 30 %'!$A19="","",'COPY 30 %'!H19)</f>
        <v/>
      </c>
      <c r="L19" s="7">
        <f>IF('COPY 30 %'!$A19="","",'COPY 30 %'!T19)</f>
        <v/>
      </c>
      <c r="M19">
        <f>IF('COPY 30 %'!$A19="","",'COPY 30 %'!G19)</f>
        <v/>
      </c>
    </row>
    <row r="20">
      <c r="A20">
        <f>IF('COPY 30 %'!$A20="","",ROWS($A$2:$A20))</f>
        <v/>
      </c>
      <c r="B20">
        <f>IF('COPY 30 %'!$A20="","",'COPY 30 %'!E20)</f>
        <v/>
      </c>
      <c r="C20">
        <f>IF('COPY 30 %'!$A20="","",'COPY 30 %'!F20)</f>
        <v/>
      </c>
      <c r="D20" s="14">
        <f>IF('COPY 30 %'!$A20="","",'COPY 30 %'!I20)</f>
        <v/>
      </c>
      <c r="E20" s="7">
        <f>IF('COPY 30 %'!$A20="","",'COPY 30 %'!O20)</f>
        <v/>
      </c>
      <c r="F20" s="7">
        <f>IF('COPY 30 %'!$A20="","",'COPY 30 %'!L20)</f>
        <v/>
      </c>
      <c r="G20" s="7">
        <f>IF('COPY 30 %'!$A20="","",'COPY 30 %'!S20)</f>
        <v/>
      </c>
      <c r="H20">
        <f>IF('COPY 30 %'!$A20="","",'COPY 30 %'!P20)</f>
        <v/>
      </c>
      <c r="I20">
        <f>IF('COPY 30 %'!$A20="","",'COPY 30 %'!M20)</f>
        <v/>
      </c>
      <c r="J20" s="7">
        <f>IF('COPY 30 %'!$A20="","",'COPY 30 %'!Q20)</f>
        <v/>
      </c>
      <c r="K20" s="7">
        <f>IF('COPY 30 %'!$A20="","",'COPY 30 %'!H20)</f>
        <v/>
      </c>
      <c r="L20" s="7">
        <f>IF('COPY 30 %'!$A20="","",'COPY 30 %'!T20)</f>
        <v/>
      </c>
      <c r="M20">
        <f>IF('COPY 30 %'!$A20="","",'COPY 30 %'!G20)</f>
        <v/>
      </c>
    </row>
    <row r="21">
      <c r="A21">
        <f>IF('COPY 30 %'!$A21="","",ROWS($A$2:$A21))</f>
        <v/>
      </c>
      <c r="B21">
        <f>IF('COPY 30 %'!$A21="","",'COPY 30 %'!E21)</f>
        <v/>
      </c>
      <c r="C21">
        <f>IF('COPY 30 %'!$A21="","",'COPY 30 %'!F21)</f>
        <v/>
      </c>
      <c r="D21" s="14">
        <f>IF('COPY 30 %'!$A21="","",'COPY 30 %'!I21)</f>
        <v/>
      </c>
      <c r="E21" s="7">
        <f>IF('COPY 30 %'!$A21="","",'COPY 30 %'!O21)</f>
        <v/>
      </c>
      <c r="F21" s="7">
        <f>IF('COPY 30 %'!$A21="","",'COPY 30 %'!L21)</f>
        <v/>
      </c>
      <c r="G21" s="7">
        <f>IF('COPY 30 %'!$A21="","",'COPY 30 %'!S21)</f>
        <v/>
      </c>
      <c r="H21">
        <f>IF('COPY 30 %'!$A21="","",'COPY 30 %'!P21)</f>
        <v/>
      </c>
      <c r="I21">
        <f>IF('COPY 30 %'!$A21="","",'COPY 30 %'!M21)</f>
        <v/>
      </c>
      <c r="J21" s="7">
        <f>IF('COPY 30 %'!$A21="","",'COPY 30 %'!Q21)</f>
        <v/>
      </c>
      <c r="K21" s="7">
        <f>IF('COPY 30 %'!$A21="","",'COPY 30 %'!H21)</f>
        <v/>
      </c>
      <c r="L21" s="7">
        <f>IF('COPY 30 %'!$A21="","",'COPY 30 %'!T21)</f>
        <v/>
      </c>
      <c r="M21">
        <f>IF('COPY 30 %'!$A21="","",'COPY 30 %'!G21)</f>
        <v/>
      </c>
    </row>
    <row r="22">
      <c r="A22">
        <f>IF('COPY 30 %'!$A22="","",ROWS($A$2:$A22))</f>
        <v/>
      </c>
      <c r="B22">
        <f>IF('COPY 30 %'!$A22="","",'COPY 30 %'!E22)</f>
        <v/>
      </c>
      <c r="C22">
        <f>IF('COPY 30 %'!$A22="","",'COPY 30 %'!F22)</f>
        <v/>
      </c>
      <c r="D22" s="14">
        <f>IF('COPY 30 %'!$A22="","",'COPY 30 %'!I22)</f>
        <v/>
      </c>
      <c r="E22" s="7">
        <f>IF('COPY 30 %'!$A22="","",'COPY 30 %'!O22)</f>
        <v/>
      </c>
      <c r="F22" s="7">
        <f>IF('COPY 30 %'!$A22="","",'COPY 30 %'!L22)</f>
        <v/>
      </c>
      <c r="G22" s="7">
        <f>IF('COPY 30 %'!$A22="","",'COPY 30 %'!S22)</f>
        <v/>
      </c>
      <c r="H22">
        <f>IF('COPY 30 %'!$A22="","",'COPY 30 %'!P22)</f>
        <v/>
      </c>
      <c r="I22">
        <f>IF('COPY 30 %'!$A22="","",'COPY 30 %'!M22)</f>
        <v/>
      </c>
      <c r="J22" s="7">
        <f>IF('COPY 30 %'!$A22="","",'COPY 30 %'!Q22)</f>
        <v/>
      </c>
      <c r="K22" s="7">
        <f>IF('COPY 30 %'!$A22="","",'COPY 30 %'!H22)</f>
        <v/>
      </c>
      <c r="L22" s="7">
        <f>IF('COPY 30 %'!$A22="","",'COPY 30 %'!T22)</f>
        <v/>
      </c>
      <c r="M22">
        <f>IF('COPY 30 %'!$A22="","",'COPY 30 %'!G22)</f>
        <v/>
      </c>
    </row>
    <row r="23">
      <c r="A23">
        <f>IF('COPY 30 %'!$A23="","",ROWS($A$2:$A23))</f>
        <v/>
      </c>
      <c r="B23">
        <f>IF('COPY 30 %'!$A23="","",'COPY 30 %'!E23)</f>
        <v/>
      </c>
      <c r="C23">
        <f>IF('COPY 30 %'!$A23="","",'COPY 30 %'!F23)</f>
        <v/>
      </c>
      <c r="D23" s="14">
        <f>IF('COPY 30 %'!$A23="","",'COPY 30 %'!I23)</f>
        <v/>
      </c>
      <c r="E23" s="7">
        <f>IF('COPY 30 %'!$A23="","",'COPY 30 %'!O23)</f>
        <v/>
      </c>
      <c r="F23" s="7">
        <f>IF('COPY 30 %'!$A23="","",'COPY 30 %'!L23)</f>
        <v/>
      </c>
      <c r="G23" s="7">
        <f>IF('COPY 30 %'!$A23="","",'COPY 30 %'!S23)</f>
        <v/>
      </c>
      <c r="H23">
        <f>IF('COPY 30 %'!$A23="","",'COPY 30 %'!P23)</f>
        <v/>
      </c>
      <c r="I23">
        <f>IF('COPY 30 %'!$A23="","",'COPY 30 %'!M23)</f>
        <v/>
      </c>
      <c r="J23" s="7">
        <f>IF('COPY 30 %'!$A23="","",'COPY 30 %'!Q23)</f>
        <v/>
      </c>
      <c r="K23" s="7">
        <f>IF('COPY 30 %'!$A23="","",'COPY 30 %'!H23)</f>
        <v/>
      </c>
      <c r="L23" s="7">
        <f>IF('COPY 30 %'!$A23="","",'COPY 30 %'!T23)</f>
        <v/>
      </c>
      <c r="M23">
        <f>IF('COPY 30 %'!$A23="","",'COPY 30 %'!G23)</f>
        <v/>
      </c>
    </row>
    <row r="24">
      <c r="A24">
        <f>IF('COPY 30 %'!$A24="","",ROWS($A$2:$A24))</f>
        <v/>
      </c>
      <c r="B24">
        <f>IF('COPY 30 %'!$A24="","",'COPY 30 %'!E24)</f>
        <v/>
      </c>
      <c r="C24">
        <f>IF('COPY 30 %'!$A24="","",'COPY 30 %'!F24)</f>
        <v/>
      </c>
      <c r="D24" s="14">
        <f>IF('COPY 30 %'!$A24="","",'COPY 30 %'!I24)</f>
        <v/>
      </c>
      <c r="E24" s="7">
        <f>IF('COPY 30 %'!$A24="","",'COPY 30 %'!O24)</f>
        <v/>
      </c>
      <c r="F24" s="7">
        <f>IF('COPY 30 %'!$A24="","",'COPY 30 %'!L24)</f>
        <v/>
      </c>
      <c r="G24" s="7">
        <f>IF('COPY 30 %'!$A24="","",'COPY 30 %'!S24)</f>
        <v/>
      </c>
      <c r="H24">
        <f>IF('COPY 30 %'!$A24="","",'COPY 30 %'!P24)</f>
        <v/>
      </c>
      <c r="I24">
        <f>IF('COPY 30 %'!$A24="","",'COPY 30 %'!M24)</f>
        <v/>
      </c>
      <c r="J24" s="7">
        <f>IF('COPY 30 %'!$A24="","",'COPY 30 %'!Q24)</f>
        <v/>
      </c>
      <c r="K24" s="7">
        <f>IF('COPY 30 %'!$A24="","",'COPY 30 %'!H24)</f>
        <v/>
      </c>
      <c r="L24" s="7">
        <f>IF('COPY 30 %'!$A24="","",'COPY 30 %'!T24)</f>
        <v/>
      </c>
      <c r="M24">
        <f>IF('COPY 30 %'!$A24="","",'COPY 30 %'!G24)</f>
        <v/>
      </c>
    </row>
    <row r="25">
      <c r="A25">
        <f>IF('COPY 30 %'!$A25="","",ROWS($A$2:$A25))</f>
        <v/>
      </c>
      <c r="B25">
        <f>IF('COPY 30 %'!$A25="","",'COPY 30 %'!E25)</f>
        <v/>
      </c>
      <c r="C25">
        <f>IF('COPY 30 %'!$A25="","",'COPY 30 %'!F25)</f>
        <v/>
      </c>
      <c r="D25" s="14">
        <f>IF('COPY 30 %'!$A25="","",'COPY 30 %'!I25)</f>
        <v/>
      </c>
      <c r="E25" s="7">
        <f>IF('COPY 30 %'!$A25="","",'COPY 30 %'!O25)</f>
        <v/>
      </c>
      <c r="F25" s="7">
        <f>IF('COPY 30 %'!$A25="","",'COPY 30 %'!L25)</f>
        <v/>
      </c>
      <c r="G25" s="7">
        <f>IF('COPY 30 %'!$A25="","",'COPY 30 %'!S25)</f>
        <v/>
      </c>
      <c r="H25">
        <f>IF('COPY 30 %'!$A25="","",'COPY 30 %'!P25)</f>
        <v/>
      </c>
      <c r="I25">
        <f>IF('COPY 30 %'!$A25="","",'COPY 30 %'!M25)</f>
        <v/>
      </c>
      <c r="J25" s="7">
        <f>IF('COPY 30 %'!$A25="","",'COPY 30 %'!Q25)</f>
        <v/>
      </c>
      <c r="K25" s="7">
        <f>IF('COPY 30 %'!$A25="","",'COPY 30 %'!H25)</f>
        <v/>
      </c>
      <c r="L25" s="7">
        <f>IF('COPY 30 %'!$A25="","",'COPY 30 %'!T25)</f>
        <v/>
      </c>
      <c r="M25">
        <f>IF('COPY 30 %'!$A25="","",'COPY 30 %'!G25)</f>
        <v/>
      </c>
    </row>
    <row r="26">
      <c r="A26">
        <f>IF('COPY 30 %'!$A26="","",ROWS($A$2:$A26))</f>
        <v/>
      </c>
      <c r="B26">
        <f>IF('COPY 30 %'!$A26="","",'COPY 30 %'!E26)</f>
        <v/>
      </c>
      <c r="C26">
        <f>IF('COPY 30 %'!$A26="","",'COPY 30 %'!F26)</f>
        <v/>
      </c>
      <c r="D26" s="14">
        <f>IF('COPY 30 %'!$A26="","",'COPY 30 %'!I26)</f>
        <v/>
      </c>
      <c r="E26" s="7">
        <f>IF('COPY 30 %'!$A26="","",'COPY 30 %'!O26)</f>
        <v/>
      </c>
      <c r="F26" s="7">
        <f>IF('COPY 30 %'!$A26="","",'COPY 30 %'!L26)</f>
        <v/>
      </c>
      <c r="G26" s="7">
        <f>IF('COPY 30 %'!$A26="","",'COPY 30 %'!S26)</f>
        <v/>
      </c>
      <c r="H26">
        <f>IF('COPY 30 %'!$A26="","",'COPY 30 %'!P26)</f>
        <v/>
      </c>
      <c r="I26">
        <f>IF('COPY 30 %'!$A26="","",'COPY 30 %'!M26)</f>
        <v/>
      </c>
      <c r="J26" s="7">
        <f>IF('COPY 30 %'!$A26="","",'COPY 30 %'!Q26)</f>
        <v/>
      </c>
      <c r="K26" s="7">
        <f>IF('COPY 30 %'!$A26="","",'COPY 30 %'!H26)</f>
        <v/>
      </c>
      <c r="L26" s="7">
        <f>IF('COPY 30 %'!$A26="","",'COPY 30 %'!T26)</f>
        <v/>
      </c>
      <c r="M26">
        <f>IF('COPY 30 %'!$A26="","",'COPY 30 %'!G26)</f>
        <v/>
      </c>
    </row>
    <row r="27">
      <c r="A27">
        <f>IF('COPY 30 %'!$A27="","",ROWS($A$2:$A27))</f>
        <v/>
      </c>
      <c r="B27">
        <f>IF('COPY 30 %'!$A27="","",'COPY 30 %'!E27)</f>
        <v/>
      </c>
      <c r="C27">
        <f>IF('COPY 30 %'!$A27="","",'COPY 30 %'!F27)</f>
        <v/>
      </c>
      <c r="D27" s="14">
        <f>IF('COPY 30 %'!$A27="","",'COPY 30 %'!I27)</f>
        <v/>
      </c>
      <c r="E27" s="7">
        <f>IF('COPY 30 %'!$A27="","",'COPY 30 %'!O27)</f>
        <v/>
      </c>
      <c r="F27" s="7">
        <f>IF('COPY 30 %'!$A27="","",'COPY 30 %'!L27)</f>
        <v/>
      </c>
      <c r="G27" s="7">
        <f>IF('COPY 30 %'!$A27="","",'COPY 30 %'!S27)</f>
        <v/>
      </c>
      <c r="H27">
        <f>IF('COPY 30 %'!$A27="","",'COPY 30 %'!P27)</f>
        <v/>
      </c>
      <c r="I27">
        <f>IF('COPY 30 %'!$A27="","",'COPY 30 %'!M27)</f>
        <v/>
      </c>
      <c r="J27" s="7">
        <f>IF('COPY 30 %'!$A27="","",'COPY 30 %'!Q27)</f>
        <v/>
      </c>
      <c r="K27" s="7">
        <f>IF('COPY 30 %'!$A27="","",'COPY 30 %'!H27)</f>
        <v/>
      </c>
      <c r="L27" s="7">
        <f>IF('COPY 30 %'!$A27="","",'COPY 30 %'!T27)</f>
        <v/>
      </c>
      <c r="M27">
        <f>IF('COPY 30 %'!$A27="","",'COPY 30 %'!G27)</f>
        <v/>
      </c>
    </row>
    <row r="28">
      <c r="A28">
        <f>IF('COPY 30 %'!$A28="","",ROWS($A$2:$A28))</f>
        <v/>
      </c>
      <c r="B28">
        <f>IF('COPY 30 %'!$A28="","",'COPY 30 %'!E28)</f>
        <v/>
      </c>
      <c r="C28">
        <f>IF('COPY 30 %'!$A28="","",'COPY 30 %'!F28)</f>
        <v/>
      </c>
      <c r="D28" s="14">
        <f>IF('COPY 30 %'!$A28="","",'COPY 30 %'!I28)</f>
        <v/>
      </c>
      <c r="E28" s="7">
        <f>IF('COPY 30 %'!$A28="","",'COPY 30 %'!O28)</f>
        <v/>
      </c>
      <c r="F28" s="7">
        <f>IF('COPY 30 %'!$A28="","",'COPY 30 %'!L28)</f>
        <v/>
      </c>
      <c r="G28" s="7">
        <f>IF('COPY 30 %'!$A28="","",'COPY 30 %'!S28)</f>
        <v/>
      </c>
      <c r="H28">
        <f>IF('COPY 30 %'!$A28="","",'COPY 30 %'!P28)</f>
        <v/>
      </c>
      <c r="I28">
        <f>IF('COPY 30 %'!$A28="","",'COPY 30 %'!M28)</f>
        <v/>
      </c>
      <c r="J28" s="7">
        <f>IF('COPY 30 %'!$A28="","",'COPY 30 %'!Q28)</f>
        <v/>
      </c>
      <c r="K28" s="7">
        <f>IF('COPY 30 %'!$A28="","",'COPY 30 %'!H28)</f>
        <v/>
      </c>
      <c r="L28" s="7">
        <f>IF('COPY 30 %'!$A28="","",'COPY 30 %'!T28)</f>
        <v/>
      </c>
      <c r="M28">
        <f>IF('COPY 30 %'!$A28="","",'COPY 30 %'!G28)</f>
        <v/>
      </c>
    </row>
    <row r="29">
      <c r="A29">
        <f>IF('COPY 30 %'!$A29="","",ROWS($A$2:$A29))</f>
        <v/>
      </c>
      <c r="B29">
        <f>IF('COPY 30 %'!$A29="","",'COPY 30 %'!E29)</f>
        <v/>
      </c>
      <c r="C29">
        <f>IF('COPY 30 %'!$A29="","",'COPY 30 %'!F29)</f>
        <v/>
      </c>
      <c r="D29" s="14">
        <f>IF('COPY 30 %'!$A29="","",'COPY 30 %'!I29)</f>
        <v/>
      </c>
      <c r="E29" s="7">
        <f>IF('COPY 30 %'!$A29="","",'COPY 30 %'!O29)</f>
        <v/>
      </c>
      <c r="F29" s="7">
        <f>IF('COPY 30 %'!$A29="","",'COPY 30 %'!L29)</f>
        <v/>
      </c>
      <c r="G29" s="7">
        <f>IF('COPY 30 %'!$A29="","",'COPY 30 %'!S29)</f>
        <v/>
      </c>
      <c r="H29">
        <f>IF('COPY 30 %'!$A29="","",'COPY 30 %'!P29)</f>
        <v/>
      </c>
      <c r="I29">
        <f>IF('COPY 30 %'!$A29="","",'COPY 30 %'!M29)</f>
        <v/>
      </c>
      <c r="J29" s="7">
        <f>IF('COPY 30 %'!$A29="","",'COPY 30 %'!Q29)</f>
        <v/>
      </c>
      <c r="K29" s="7">
        <f>IF('COPY 30 %'!$A29="","",'COPY 30 %'!H29)</f>
        <v/>
      </c>
      <c r="L29" s="7">
        <f>IF('COPY 30 %'!$A29="","",'COPY 30 %'!T29)</f>
        <v/>
      </c>
      <c r="M29">
        <f>IF('COPY 30 %'!$A29="","",'COPY 30 %'!G29)</f>
        <v/>
      </c>
    </row>
    <row r="30">
      <c r="A30">
        <f>IF('COPY 30 %'!$A30="","",ROWS($A$2:$A30))</f>
        <v/>
      </c>
      <c r="B30">
        <f>IF('COPY 30 %'!$A30="","",'COPY 30 %'!E30)</f>
        <v/>
      </c>
      <c r="C30">
        <f>IF('COPY 30 %'!$A30="","",'COPY 30 %'!F30)</f>
        <v/>
      </c>
      <c r="D30" s="14">
        <f>IF('COPY 30 %'!$A30="","",'COPY 30 %'!I30)</f>
        <v/>
      </c>
      <c r="E30" s="7">
        <f>IF('COPY 30 %'!$A30="","",'COPY 30 %'!O30)</f>
        <v/>
      </c>
      <c r="F30" s="7">
        <f>IF('COPY 30 %'!$A30="","",'COPY 30 %'!L30)</f>
        <v/>
      </c>
      <c r="G30" s="7">
        <f>IF('COPY 30 %'!$A30="","",'COPY 30 %'!S30)</f>
        <v/>
      </c>
      <c r="H30">
        <f>IF('COPY 30 %'!$A30="","",'COPY 30 %'!P30)</f>
        <v/>
      </c>
      <c r="I30">
        <f>IF('COPY 30 %'!$A30="","",'COPY 30 %'!M30)</f>
        <v/>
      </c>
      <c r="J30" s="7">
        <f>IF('COPY 30 %'!$A30="","",'COPY 30 %'!Q30)</f>
        <v/>
      </c>
      <c r="K30" s="7">
        <f>IF('COPY 30 %'!$A30="","",'COPY 30 %'!H30)</f>
        <v/>
      </c>
      <c r="L30" s="7">
        <f>IF('COPY 30 %'!$A30="","",'COPY 30 %'!T30)</f>
        <v/>
      </c>
      <c r="M30">
        <f>IF('COPY 30 %'!$A30="","",'COPY 30 %'!G30)</f>
        <v/>
      </c>
    </row>
    <row r="31">
      <c r="A31">
        <f>IF('COPY 30 %'!$A31="","",ROWS($A$2:$A31))</f>
        <v/>
      </c>
      <c r="B31">
        <f>IF('COPY 30 %'!$A31="","",'COPY 30 %'!E31)</f>
        <v/>
      </c>
      <c r="C31">
        <f>IF('COPY 30 %'!$A31="","",'COPY 30 %'!F31)</f>
        <v/>
      </c>
      <c r="D31" s="14">
        <f>IF('COPY 30 %'!$A31="","",'COPY 30 %'!I31)</f>
        <v/>
      </c>
      <c r="E31" s="7">
        <f>IF('COPY 30 %'!$A31="","",'COPY 30 %'!O31)</f>
        <v/>
      </c>
      <c r="F31" s="7">
        <f>IF('COPY 30 %'!$A31="","",'COPY 30 %'!L31)</f>
        <v/>
      </c>
      <c r="G31" s="7">
        <f>IF('COPY 30 %'!$A31="","",'COPY 30 %'!S31)</f>
        <v/>
      </c>
      <c r="H31">
        <f>IF('COPY 30 %'!$A31="","",'COPY 30 %'!P31)</f>
        <v/>
      </c>
      <c r="I31">
        <f>IF('COPY 30 %'!$A31="","",'COPY 30 %'!M31)</f>
        <v/>
      </c>
      <c r="J31" s="7">
        <f>IF('COPY 30 %'!$A31="","",'COPY 30 %'!Q31)</f>
        <v/>
      </c>
      <c r="K31" s="7">
        <f>IF('COPY 30 %'!$A31="","",'COPY 30 %'!H31)</f>
        <v/>
      </c>
      <c r="L31" s="7">
        <f>IF('COPY 30 %'!$A31="","",'COPY 30 %'!T31)</f>
        <v/>
      </c>
      <c r="M31">
        <f>IF('COPY 30 %'!$A31="","",'COPY 30 %'!G31)</f>
        <v/>
      </c>
    </row>
    <row r="32">
      <c r="A32">
        <f>IF('COPY 30 %'!$A32="","",ROWS($A$2:$A32))</f>
        <v/>
      </c>
      <c r="B32">
        <f>IF('COPY 30 %'!$A32="","",'COPY 30 %'!E32)</f>
        <v/>
      </c>
      <c r="C32">
        <f>IF('COPY 30 %'!$A32="","",'COPY 30 %'!F32)</f>
        <v/>
      </c>
      <c r="D32" s="14">
        <f>IF('COPY 30 %'!$A32="","",'COPY 30 %'!I32)</f>
        <v/>
      </c>
      <c r="E32" s="7">
        <f>IF('COPY 30 %'!$A32="","",'COPY 30 %'!O32)</f>
        <v/>
      </c>
      <c r="F32" s="7">
        <f>IF('COPY 30 %'!$A32="","",'COPY 30 %'!L32)</f>
        <v/>
      </c>
      <c r="G32" s="7">
        <f>IF('COPY 30 %'!$A32="","",'COPY 30 %'!S32)</f>
        <v/>
      </c>
      <c r="H32">
        <f>IF('COPY 30 %'!$A32="","",'COPY 30 %'!P32)</f>
        <v/>
      </c>
      <c r="I32">
        <f>IF('COPY 30 %'!$A32="","",'COPY 30 %'!M32)</f>
        <v/>
      </c>
      <c r="J32" s="7">
        <f>IF('COPY 30 %'!$A32="","",'COPY 30 %'!Q32)</f>
        <v/>
      </c>
      <c r="K32" s="7">
        <f>IF('COPY 30 %'!$A32="","",'COPY 30 %'!H32)</f>
        <v/>
      </c>
      <c r="L32" s="7">
        <f>IF('COPY 30 %'!$A32="","",'COPY 30 %'!T32)</f>
        <v/>
      </c>
      <c r="M32">
        <f>IF('COPY 30 %'!$A32="","",'COPY 30 %'!G32)</f>
        <v/>
      </c>
    </row>
    <row r="33">
      <c r="A33">
        <f>IF('COPY 30 %'!$A33="","",ROWS($A$2:$A33))</f>
        <v/>
      </c>
      <c r="B33">
        <f>IF('COPY 30 %'!$A33="","",'COPY 30 %'!E33)</f>
        <v/>
      </c>
      <c r="C33">
        <f>IF('COPY 30 %'!$A33="","",'COPY 30 %'!F33)</f>
        <v/>
      </c>
      <c r="D33" s="14">
        <f>IF('COPY 30 %'!$A33="","",'COPY 30 %'!I33)</f>
        <v/>
      </c>
      <c r="E33" s="7">
        <f>IF('COPY 30 %'!$A33="","",'COPY 30 %'!O33)</f>
        <v/>
      </c>
      <c r="F33" s="7">
        <f>IF('COPY 30 %'!$A33="","",'COPY 30 %'!L33)</f>
        <v/>
      </c>
      <c r="G33" s="7">
        <f>IF('COPY 30 %'!$A33="","",'COPY 30 %'!S33)</f>
        <v/>
      </c>
      <c r="H33">
        <f>IF('COPY 30 %'!$A33="","",'COPY 30 %'!P33)</f>
        <v/>
      </c>
      <c r="I33">
        <f>IF('COPY 30 %'!$A33="","",'COPY 30 %'!M33)</f>
        <v/>
      </c>
      <c r="J33" s="7">
        <f>IF('COPY 30 %'!$A33="","",'COPY 30 %'!Q33)</f>
        <v/>
      </c>
      <c r="K33" s="7">
        <f>IF('COPY 30 %'!$A33="","",'COPY 30 %'!H33)</f>
        <v/>
      </c>
      <c r="L33" s="7">
        <f>IF('COPY 30 %'!$A33="","",'COPY 30 %'!T33)</f>
        <v/>
      </c>
      <c r="M33">
        <f>IF('COPY 30 %'!$A33="","",'COPY 30 %'!G33)</f>
        <v/>
      </c>
    </row>
    <row r="34">
      <c r="A34">
        <f>IF('COPY 30 %'!$A34="","",ROWS($A$2:$A34))</f>
        <v/>
      </c>
      <c r="B34">
        <f>IF('COPY 30 %'!$A34="","",'COPY 30 %'!E34)</f>
        <v/>
      </c>
      <c r="C34">
        <f>IF('COPY 30 %'!$A34="","",'COPY 30 %'!F34)</f>
        <v/>
      </c>
      <c r="D34" s="14">
        <f>IF('COPY 30 %'!$A34="","",'COPY 30 %'!I34)</f>
        <v/>
      </c>
      <c r="E34" s="7">
        <f>IF('COPY 30 %'!$A34="","",'COPY 30 %'!O34)</f>
        <v/>
      </c>
      <c r="F34" s="7">
        <f>IF('COPY 30 %'!$A34="","",'COPY 30 %'!L34)</f>
        <v/>
      </c>
      <c r="G34" s="7">
        <f>IF('COPY 30 %'!$A34="","",'COPY 30 %'!S34)</f>
        <v/>
      </c>
      <c r="H34">
        <f>IF('COPY 30 %'!$A34="","",'COPY 30 %'!P34)</f>
        <v/>
      </c>
      <c r="I34">
        <f>IF('COPY 30 %'!$A34="","",'COPY 30 %'!M34)</f>
        <v/>
      </c>
      <c r="J34" s="7">
        <f>IF('COPY 30 %'!$A34="","",'COPY 30 %'!Q34)</f>
        <v/>
      </c>
      <c r="K34" s="7">
        <f>IF('COPY 30 %'!$A34="","",'COPY 30 %'!H34)</f>
        <v/>
      </c>
      <c r="L34" s="7">
        <f>IF('COPY 30 %'!$A34="","",'COPY 30 %'!T34)</f>
        <v/>
      </c>
      <c r="M34">
        <f>IF('COPY 30 %'!$A34="","",'COPY 30 %'!G34)</f>
        <v/>
      </c>
    </row>
    <row r="35">
      <c r="A35">
        <f>IF('COPY 30 %'!$A35="","",ROWS($A$2:$A35))</f>
        <v/>
      </c>
      <c r="B35">
        <f>IF('COPY 30 %'!$A35="","",'COPY 30 %'!E35)</f>
        <v/>
      </c>
      <c r="C35">
        <f>IF('COPY 30 %'!$A35="","",'COPY 30 %'!F35)</f>
        <v/>
      </c>
      <c r="D35" s="14">
        <f>IF('COPY 30 %'!$A35="","",'COPY 30 %'!I35)</f>
        <v/>
      </c>
      <c r="E35" s="7">
        <f>IF('COPY 30 %'!$A35="","",'COPY 30 %'!O35)</f>
        <v/>
      </c>
      <c r="F35" s="7">
        <f>IF('COPY 30 %'!$A35="","",'COPY 30 %'!L35)</f>
        <v/>
      </c>
      <c r="G35" s="7">
        <f>IF('COPY 30 %'!$A35="","",'COPY 30 %'!S35)</f>
        <v/>
      </c>
      <c r="H35">
        <f>IF('COPY 30 %'!$A35="","",'COPY 30 %'!P35)</f>
        <v/>
      </c>
      <c r="I35">
        <f>IF('COPY 30 %'!$A35="","",'COPY 30 %'!M35)</f>
        <v/>
      </c>
      <c r="J35" s="7">
        <f>IF('COPY 30 %'!$A35="","",'COPY 30 %'!Q35)</f>
        <v/>
      </c>
      <c r="K35" s="7">
        <f>IF('COPY 30 %'!$A35="","",'COPY 30 %'!H35)</f>
        <v/>
      </c>
      <c r="L35" s="7">
        <f>IF('COPY 30 %'!$A35="","",'COPY 30 %'!T35)</f>
        <v/>
      </c>
      <c r="M35">
        <f>IF('COPY 30 %'!$A35="","",'COPY 30 %'!G35)</f>
        <v/>
      </c>
    </row>
    <row r="36">
      <c r="A36">
        <f>IF('COPY 30 %'!$A36="","",ROWS($A$2:$A36))</f>
        <v/>
      </c>
      <c r="B36">
        <f>IF('COPY 30 %'!$A36="","",'COPY 30 %'!E36)</f>
        <v/>
      </c>
      <c r="C36">
        <f>IF('COPY 30 %'!$A36="","",'COPY 30 %'!F36)</f>
        <v/>
      </c>
      <c r="D36" s="14">
        <f>IF('COPY 30 %'!$A36="","",'COPY 30 %'!I36)</f>
        <v/>
      </c>
      <c r="E36" s="7">
        <f>IF('COPY 30 %'!$A36="","",'COPY 30 %'!O36)</f>
        <v/>
      </c>
      <c r="F36" s="7">
        <f>IF('COPY 30 %'!$A36="","",'COPY 30 %'!L36)</f>
        <v/>
      </c>
      <c r="G36" s="7">
        <f>IF('COPY 30 %'!$A36="","",'COPY 30 %'!S36)</f>
        <v/>
      </c>
      <c r="H36">
        <f>IF('COPY 30 %'!$A36="","",'COPY 30 %'!P36)</f>
        <v/>
      </c>
      <c r="I36">
        <f>IF('COPY 30 %'!$A36="","",'COPY 30 %'!M36)</f>
        <v/>
      </c>
      <c r="J36" s="7">
        <f>IF('COPY 30 %'!$A36="","",'COPY 30 %'!Q36)</f>
        <v/>
      </c>
      <c r="K36" s="7">
        <f>IF('COPY 30 %'!$A36="","",'COPY 30 %'!H36)</f>
        <v/>
      </c>
      <c r="L36" s="7">
        <f>IF('COPY 30 %'!$A36="","",'COPY 30 %'!T36)</f>
        <v/>
      </c>
      <c r="M36">
        <f>IF('COPY 30 %'!$A36="","",'COPY 30 %'!G36)</f>
        <v/>
      </c>
    </row>
    <row r="37">
      <c r="A37">
        <f>IF('COPY 30 %'!$A37="","",ROWS($A$2:$A37))</f>
        <v/>
      </c>
      <c r="B37">
        <f>IF('COPY 30 %'!$A37="","",'COPY 30 %'!E37)</f>
        <v/>
      </c>
      <c r="C37">
        <f>IF('COPY 30 %'!$A37="","",'COPY 30 %'!F37)</f>
        <v/>
      </c>
      <c r="D37" s="14">
        <f>IF('COPY 30 %'!$A37="","",'COPY 30 %'!I37)</f>
        <v/>
      </c>
      <c r="E37" s="7">
        <f>IF('COPY 30 %'!$A37="","",'COPY 30 %'!O37)</f>
        <v/>
      </c>
      <c r="F37" s="7">
        <f>IF('COPY 30 %'!$A37="","",'COPY 30 %'!L37)</f>
        <v/>
      </c>
      <c r="G37" s="7">
        <f>IF('COPY 30 %'!$A37="","",'COPY 30 %'!S37)</f>
        <v/>
      </c>
      <c r="H37">
        <f>IF('COPY 30 %'!$A37="","",'COPY 30 %'!P37)</f>
        <v/>
      </c>
      <c r="I37">
        <f>IF('COPY 30 %'!$A37="","",'COPY 30 %'!M37)</f>
        <v/>
      </c>
      <c r="J37" s="7">
        <f>IF('COPY 30 %'!$A37="","",'COPY 30 %'!Q37)</f>
        <v/>
      </c>
      <c r="K37" s="7">
        <f>IF('COPY 30 %'!$A37="","",'COPY 30 %'!H37)</f>
        <v/>
      </c>
      <c r="L37" s="7">
        <f>IF('COPY 30 %'!$A37="","",'COPY 30 %'!T37)</f>
        <v/>
      </c>
      <c r="M37">
        <f>IF('COPY 30 %'!$A37="","",'COPY 30 %'!G37)</f>
        <v/>
      </c>
    </row>
    <row r="38">
      <c r="A38">
        <f>IF('COPY 30 %'!$A38="","",ROWS($A$2:$A38))</f>
        <v/>
      </c>
      <c r="B38">
        <f>IF('COPY 30 %'!$A38="","",'COPY 30 %'!E38)</f>
        <v/>
      </c>
      <c r="C38">
        <f>IF('COPY 30 %'!$A38="","",'COPY 30 %'!F38)</f>
        <v/>
      </c>
      <c r="D38" s="14">
        <f>IF('COPY 30 %'!$A38="","",'COPY 30 %'!I38)</f>
        <v/>
      </c>
      <c r="E38" s="7">
        <f>IF('COPY 30 %'!$A38="","",'COPY 30 %'!O38)</f>
        <v/>
      </c>
      <c r="F38" s="7">
        <f>IF('COPY 30 %'!$A38="","",'COPY 30 %'!L38)</f>
        <v/>
      </c>
      <c r="G38" s="7">
        <f>IF('COPY 30 %'!$A38="","",'COPY 30 %'!S38)</f>
        <v/>
      </c>
      <c r="H38">
        <f>IF('COPY 30 %'!$A38="","",'COPY 30 %'!P38)</f>
        <v/>
      </c>
      <c r="I38">
        <f>IF('COPY 30 %'!$A38="","",'COPY 30 %'!M38)</f>
        <v/>
      </c>
      <c r="J38" s="7">
        <f>IF('COPY 30 %'!$A38="","",'COPY 30 %'!Q38)</f>
        <v/>
      </c>
      <c r="K38" s="7">
        <f>IF('COPY 30 %'!$A38="","",'COPY 30 %'!H38)</f>
        <v/>
      </c>
      <c r="L38" s="7">
        <f>IF('COPY 30 %'!$A38="","",'COPY 30 %'!T38)</f>
        <v/>
      </c>
      <c r="M38">
        <f>IF('COPY 30 %'!$A38="","",'COPY 30 %'!G38)</f>
        <v/>
      </c>
    </row>
    <row r="39">
      <c r="A39">
        <f>IF('COPY 30 %'!$A39="","",ROWS($A$2:$A39))</f>
        <v/>
      </c>
      <c r="B39">
        <f>IF('COPY 30 %'!$A39="","",'COPY 30 %'!E39)</f>
        <v/>
      </c>
      <c r="C39">
        <f>IF('COPY 30 %'!$A39="","",'COPY 30 %'!F39)</f>
        <v/>
      </c>
      <c r="D39" s="14">
        <f>IF('COPY 30 %'!$A39="","",'COPY 30 %'!I39)</f>
        <v/>
      </c>
      <c r="E39" s="7">
        <f>IF('COPY 30 %'!$A39="","",'COPY 30 %'!O39)</f>
        <v/>
      </c>
      <c r="F39" s="7">
        <f>IF('COPY 30 %'!$A39="","",'COPY 30 %'!L39)</f>
        <v/>
      </c>
      <c r="G39" s="7">
        <f>IF('COPY 30 %'!$A39="","",'COPY 30 %'!S39)</f>
        <v/>
      </c>
      <c r="H39">
        <f>IF('COPY 30 %'!$A39="","",'COPY 30 %'!P39)</f>
        <v/>
      </c>
      <c r="I39">
        <f>IF('COPY 30 %'!$A39="","",'COPY 30 %'!M39)</f>
        <v/>
      </c>
      <c r="J39" s="7">
        <f>IF('COPY 30 %'!$A39="","",'COPY 30 %'!Q39)</f>
        <v/>
      </c>
      <c r="K39" s="7">
        <f>IF('COPY 30 %'!$A39="","",'COPY 30 %'!H39)</f>
        <v/>
      </c>
      <c r="L39" s="7">
        <f>IF('COPY 30 %'!$A39="","",'COPY 30 %'!T39)</f>
        <v/>
      </c>
      <c r="M39">
        <f>IF('COPY 30 %'!$A39="","",'COPY 30 %'!G39)</f>
        <v/>
      </c>
    </row>
    <row r="40">
      <c r="A40">
        <f>IF('COPY 30 %'!$A40="","",ROWS($A$2:$A40))</f>
        <v/>
      </c>
      <c r="B40">
        <f>IF('COPY 30 %'!$A40="","",'COPY 30 %'!E40)</f>
        <v/>
      </c>
      <c r="C40">
        <f>IF('COPY 30 %'!$A40="","",'COPY 30 %'!F40)</f>
        <v/>
      </c>
      <c r="D40" s="14">
        <f>IF('COPY 30 %'!$A40="","",'COPY 30 %'!I40)</f>
        <v/>
      </c>
      <c r="E40" s="7">
        <f>IF('COPY 30 %'!$A40="","",'COPY 30 %'!O40)</f>
        <v/>
      </c>
      <c r="F40" s="7">
        <f>IF('COPY 30 %'!$A40="","",'COPY 30 %'!L40)</f>
        <v/>
      </c>
      <c r="G40" s="7">
        <f>IF('COPY 30 %'!$A40="","",'COPY 30 %'!S40)</f>
        <v/>
      </c>
      <c r="H40">
        <f>IF('COPY 30 %'!$A40="","",'COPY 30 %'!P40)</f>
        <v/>
      </c>
      <c r="I40">
        <f>IF('COPY 30 %'!$A40="","",'COPY 30 %'!M40)</f>
        <v/>
      </c>
      <c r="J40" s="7">
        <f>IF('COPY 30 %'!$A40="","",'COPY 30 %'!Q40)</f>
        <v/>
      </c>
      <c r="K40" s="7">
        <f>IF('COPY 30 %'!$A40="","",'COPY 30 %'!H40)</f>
        <v/>
      </c>
      <c r="L40" s="7">
        <f>IF('COPY 30 %'!$A40="","",'COPY 30 %'!T40)</f>
        <v/>
      </c>
      <c r="M40">
        <f>IF('COPY 30 %'!$A40="","",'COPY 30 %'!G40)</f>
        <v/>
      </c>
    </row>
    <row r="41">
      <c r="A41">
        <f>IF('COPY 30 %'!$A41="","",ROWS($A$2:$A41))</f>
        <v/>
      </c>
      <c r="B41">
        <f>IF('COPY 30 %'!$A41="","",'COPY 30 %'!E41)</f>
        <v/>
      </c>
      <c r="C41">
        <f>IF('COPY 30 %'!$A41="","",'COPY 30 %'!F41)</f>
        <v/>
      </c>
      <c r="D41" s="14">
        <f>IF('COPY 30 %'!$A41="","",'COPY 30 %'!I41)</f>
        <v/>
      </c>
      <c r="E41" s="7">
        <f>IF('COPY 30 %'!$A41="","",'COPY 30 %'!O41)</f>
        <v/>
      </c>
      <c r="F41" s="7">
        <f>IF('COPY 30 %'!$A41="","",'COPY 30 %'!L41)</f>
        <v/>
      </c>
      <c r="G41" s="7">
        <f>IF('COPY 30 %'!$A41="","",'COPY 30 %'!S41)</f>
        <v/>
      </c>
      <c r="H41">
        <f>IF('COPY 30 %'!$A41="","",'COPY 30 %'!P41)</f>
        <v/>
      </c>
      <c r="I41">
        <f>IF('COPY 30 %'!$A41="","",'COPY 30 %'!M41)</f>
        <v/>
      </c>
      <c r="J41" s="7">
        <f>IF('COPY 30 %'!$A41="","",'COPY 30 %'!Q41)</f>
        <v/>
      </c>
      <c r="K41" s="7">
        <f>IF('COPY 30 %'!$A41="","",'COPY 30 %'!H41)</f>
        <v/>
      </c>
      <c r="L41" s="7">
        <f>IF('COPY 30 %'!$A41="","",'COPY 30 %'!T41)</f>
        <v/>
      </c>
      <c r="M41">
        <f>IF('COPY 30 %'!$A41="","",'COPY 30 %'!G41)</f>
        <v/>
      </c>
    </row>
    <row r="42">
      <c r="A42">
        <f>IF('COPY 30 %'!$A42="","",ROWS($A$2:$A42))</f>
        <v/>
      </c>
      <c r="B42">
        <f>IF('COPY 30 %'!$A42="","",'COPY 30 %'!E42)</f>
        <v/>
      </c>
      <c r="C42">
        <f>IF('COPY 30 %'!$A42="","",'COPY 30 %'!F42)</f>
        <v/>
      </c>
      <c r="D42" s="14">
        <f>IF('COPY 30 %'!$A42="","",'COPY 30 %'!I42)</f>
        <v/>
      </c>
      <c r="E42" s="7">
        <f>IF('COPY 30 %'!$A42="","",'COPY 30 %'!O42)</f>
        <v/>
      </c>
      <c r="F42" s="7">
        <f>IF('COPY 30 %'!$A42="","",'COPY 30 %'!L42)</f>
        <v/>
      </c>
      <c r="G42" s="7">
        <f>IF('COPY 30 %'!$A42="","",'COPY 30 %'!S42)</f>
        <v/>
      </c>
      <c r="H42">
        <f>IF('COPY 30 %'!$A42="","",'COPY 30 %'!P42)</f>
        <v/>
      </c>
      <c r="I42">
        <f>IF('COPY 30 %'!$A42="","",'COPY 30 %'!M42)</f>
        <v/>
      </c>
      <c r="J42" s="7">
        <f>IF('COPY 30 %'!$A42="","",'COPY 30 %'!Q42)</f>
        <v/>
      </c>
      <c r="K42" s="7">
        <f>IF('COPY 30 %'!$A42="","",'COPY 30 %'!H42)</f>
        <v/>
      </c>
      <c r="L42" s="7">
        <f>IF('COPY 30 %'!$A42="","",'COPY 30 %'!T42)</f>
        <v/>
      </c>
      <c r="M42">
        <f>IF('COPY 30 %'!$A42="","",'COPY 30 %'!G42)</f>
        <v/>
      </c>
    </row>
    <row r="43">
      <c r="A43">
        <f>IF('COPY 30 %'!$A43="","",ROWS($A$2:$A43))</f>
        <v/>
      </c>
      <c r="B43">
        <f>IF('COPY 30 %'!$A43="","",'COPY 30 %'!E43)</f>
        <v/>
      </c>
      <c r="C43">
        <f>IF('COPY 30 %'!$A43="","",'COPY 30 %'!F43)</f>
        <v/>
      </c>
      <c r="D43" s="14">
        <f>IF('COPY 30 %'!$A43="","",'COPY 30 %'!I43)</f>
        <v/>
      </c>
      <c r="E43" s="7">
        <f>IF('COPY 30 %'!$A43="","",'COPY 30 %'!O43)</f>
        <v/>
      </c>
      <c r="F43" s="7">
        <f>IF('COPY 30 %'!$A43="","",'COPY 30 %'!L43)</f>
        <v/>
      </c>
      <c r="G43" s="7">
        <f>IF('COPY 30 %'!$A43="","",'COPY 30 %'!S43)</f>
        <v/>
      </c>
      <c r="H43">
        <f>IF('COPY 30 %'!$A43="","",'COPY 30 %'!P43)</f>
        <v/>
      </c>
      <c r="I43">
        <f>IF('COPY 30 %'!$A43="","",'COPY 30 %'!M43)</f>
        <v/>
      </c>
      <c r="J43" s="7">
        <f>IF('COPY 30 %'!$A43="","",'COPY 30 %'!Q43)</f>
        <v/>
      </c>
      <c r="K43" s="7">
        <f>IF('COPY 30 %'!$A43="","",'COPY 30 %'!H43)</f>
        <v/>
      </c>
      <c r="L43" s="7">
        <f>IF('COPY 30 %'!$A43="","",'COPY 30 %'!T43)</f>
        <v/>
      </c>
      <c r="M43">
        <f>IF('COPY 30 %'!$A43="","",'COPY 30 %'!G43)</f>
        <v/>
      </c>
    </row>
    <row r="44">
      <c r="A44">
        <f>IF('COPY 30 %'!$A44="","",ROWS($A$2:$A44))</f>
        <v/>
      </c>
      <c r="B44">
        <f>IF('COPY 30 %'!$A44="","",'COPY 30 %'!E44)</f>
        <v/>
      </c>
      <c r="C44">
        <f>IF('COPY 30 %'!$A44="","",'COPY 30 %'!F44)</f>
        <v/>
      </c>
      <c r="D44" s="14">
        <f>IF('COPY 30 %'!$A44="","",'COPY 30 %'!I44)</f>
        <v/>
      </c>
      <c r="E44" s="7">
        <f>IF('COPY 30 %'!$A44="","",'COPY 30 %'!O44)</f>
        <v/>
      </c>
      <c r="F44" s="7">
        <f>IF('COPY 30 %'!$A44="","",'COPY 30 %'!L44)</f>
        <v/>
      </c>
      <c r="G44" s="7">
        <f>IF('COPY 30 %'!$A44="","",'COPY 30 %'!S44)</f>
        <v/>
      </c>
      <c r="H44">
        <f>IF('COPY 30 %'!$A44="","",'COPY 30 %'!P44)</f>
        <v/>
      </c>
      <c r="I44">
        <f>IF('COPY 30 %'!$A44="","",'COPY 30 %'!M44)</f>
        <v/>
      </c>
      <c r="J44" s="7">
        <f>IF('COPY 30 %'!$A44="","",'COPY 30 %'!Q44)</f>
        <v/>
      </c>
      <c r="K44" s="7">
        <f>IF('COPY 30 %'!$A44="","",'COPY 30 %'!H44)</f>
        <v/>
      </c>
      <c r="L44" s="7">
        <f>IF('COPY 30 %'!$A44="","",'COPY 30 %'!T44)</f>
        <v/>
      </c>
      <c r="M44">
        <f>IF('COPY 30 %'!$A44="","",'COPY 30 %'!G44)</f>
        <v/>
      </c>
    </row>
    <row r="45">
      <c r="A45">
        <f>IF('COPY 30 %'!$A45="","",ROWS($A$2:$A45))</f>
        <v/>
      </c>
      <c r="B45">
        <f>IF('COPY 30 %'!$A45="","",'COPY 30 %'!E45)</f>
        <v/>
      </c>
      <c r="C45">
        <f>IF('COPY 30 %'!$A45="","",'COPY 30 %'!F45)</f>
        <v/>
      </c>
      <c r="D45" s="14">
        <f>IF('COPY 30 %'!$A45="","",'COPY 30 %'!I45)</f>
        <v/>
      </c>
      <c r="E45" s="7">
        <f>IF('COPY 30 %'!$A45="","",'COPY 30 %'!O45)</f>
        <v/>
      </c>
      <c r="F45" s="7">
        <f>IF('COPY 30 %'!$A45="","",'COPY 30 %'!L45)</f>
        <v/>
      </c>
      <c r="G45" s="7">
        <f>IF('COPY 30 %'!$A45="","",'COPY 30 %'!S45)</f>
        <v/>
      </c>
      <c r="H45">
        <f>IF('COPY 30 %'!$A45="","",'COPY 30 %'!P45)</f>
        <v/>
      </c>
      <c r="I45">
        <f>IF('COPY 30 %'!$A45="","",'COPY 30 %'!M45)</f>
        <v/>
      </c>
      <c r="J45" s="7">
        <f>IF('COPY 30 %'!$A45="","",'COPY 30 %'!Q45)</f>
        <v/>
      </c>
      <c r="K45" s="7">
        <f>IF('COPY 30 %'!$A45="","",'COPY 30 %'!H45)</f>
        <v/>
      </c>
      <c r="L45" s="7">
        <f>IF('COPY 30 %'!$A45="","",'COPY 30 %'!T45)</f>
        <v/>
      </c>
      <c r="M45">
        <f>IF('COPY 30 %'!$A45="","",'COPY 30 %'!G45)</f>
        <v/>
      </c>
    </row>
    <row r="46">
      <c r="A46">
        <f>IF('COPY 30 %'!$A46="","",ROWS($A$2:$A46))</f>
        <v/>
      </c>
      <c r="B46">
        <f>IF('COPY 30 %'!$A46="","",'COPY 30 %'!E46)</f>
        <v/>
      </c>
      <c r="C46">
        <f>IF('COPY 30 %'!$A46="","",'COPY 30 %'!F46)</f>
        <v/>
      </c>
      <c r="D46" s="14">
        <f>IF('COPY 30 %'!$A46="","",'COPY 30 %'!I46)</f>
        <v/>
      </c>
      <c r="E46" s="7">
        <f>IF('COPY 30 %'!$A46="","",'COPY 30 %'!O46)</f>
        <v/>
      </c>
      <c r="F46" s="7">
        <f>IF('COPY 30 %'!$A46="","",'COPY 30 %'!L46)</f>
        <v/>
      </c>
      <c r="G46" s="7">
        <f>IF('COPY 30 %'!$A46="","",'COPY 30 %'!S46)</f>
        <v/>
      </c>
      <c r="H46">
        <f>IF('COPY 30 %'!$A46="","",'COPY 30 %'!P46)</f>
        <v/>
      </c>
      <c r="I46">
        <f>IF('COPY 30 %'!$A46="","",'COPY 30 %'!M46)</f>
        <v/>
      </c>
      <c r="J46" s="7">
        <f>IF('COPY 30 %'!$A46="","",'COPY 30 %'!Q46)</f>
        <v/>
      </c>
      <c r="K46" s="7">
        <f>IF('COPY 30 %'!$A46="","",'COPY 30 %'!H46)</f>
        <v/>
      </c>
      <c r="L46" s="7">
        <f>IF('COPY 30 %'!$A46="","",'COPY 30 %'!T46)</f>
        <v/>
      </c>
      <c r="M46">
        <f>IF('COPY 30 %'!$A46="","",'COPY 30 %'!G46)</f>
        <v/>
      </c>
    </row>
    <row r="47">
      <c r="A47">
        <f>IF('COPY 30 %'!$A47="","",ROWS($A$2:$A47))</f>
        <v/>
      </c>
      <c r="B47">
        <f>IF('COPY 30 %'!$A47="","",'COPY 30 %'!E47)</f>
        <v/>
      </c>
      <c r="C47">
        <f>IF('COPY 30 %'!$A47="","",'COPY 30 %'!F47)</f>
        <v/>
      </c>
      <c r="D47" s="14">
        <f>IF('COPY 30 %'!$A47="","",'COPY 30 %'!I47)</f>
        <v/>
      </c>
      <c r="E47" s="7">
        <f>IF('COPY 30 %'!$A47="","",'COPY 30 %'!O47)</f>
        <v/>
      </c>
      <c r="F47" s="7">
        <f>IF('COPY 30 %'!$A47="","",'COPY 30 %'!L47)</f>
        <v/>
      </c>
      <c r="G47" s="7">
        <f>IF('COPY 30 %'!$A47="","",'COPY 30 %'!S47)</f>
        <v/>
      </c>
      <c r="H47">
        <f>IF('COPY 30 %'!$A47="","",'COPY 30 %'!P47)</f>
        <v/>
      </c>
      <c r="I47">
        <f>IF('COPY 30 %'!$A47="","",'COPY 30 %'!M47)</f>
        <v/>
      </c>
      <c r="J47" s="7">
        <f>IF('COPY 30 %'!$A47="","",'COPY 30 %'!Q47)</f>
        <v/>
      </c>
      <c r="K47" s="7">
        <f>IF('COPY 30 %'!$A47="","",'COPY 30 %'!H47)</f>
        <v/>
      </c>
      <c r="L47" s="7">
        <f>IF('COPY 30 %'!$A47="","",'COPY 30 %'!T47)</f>
        <v/>
      </c>
      <c r="M47">
        <f>IF('COPY 30 %'!$A47="","",'COPY 30 %'!G47)</f>
        <v/>
      </c>
    </row>
    <row r="48">
      <c r="A48">
        <f>IF('COPY 30 %'!$A48="","",ROWS($A$2:$A48))</f>
        <v/>
      </c>
      <c r="B48">
        <f>IF('COPY 30 %'!$A48="","",'COPY 30 %'!E48)</f>
        <v/>
      </c>
      <c r="C48">
        <f>IF('COPY 30 %'!$A48="","",'COPY 30 %'!F48)</f>
        <v/>
      </c>
      <c r="D48" s="14">
        <f>IF('COPY 30 %'!$A48="","",'COPY 30 %'!I48)</f>
        <v/>
      </c>
      <c r="E48" s="7">
        <f>IF('COPY 30 %'!$A48="","",'COPY 30 %'!O48)</f>
        <v/>
      </c>
      <c r="F48" s="7">
        <f>IF('COPY 30 %'!$A48="","",'COPY 30 %'!L48)</f>
        <v/>
      </c>
      <c r="G48" s="7">
        <f>IF('COPY 30 %'!$A48="","",'COPY 30 %'!S48)</f>
        <v/>
      </c>
      <c r="H48">
        <f>IF('COPY 30 %'!$A48="","",'COPY 30 %'!P48)</f>
        <v/>
      </c>
      <c r="I48">
        <f>IF('COPY 30 %'!$A48="","",'COPY 30 %'!M48)</f>
        <v/>
      </c>
      <c r="J48" s="7">
        <f>IF('COPY 30 %'!$A48="","",'COPY 30 %'!Q48)</f>
        <v/>
      </c>
      <c r="K48" s="7">
        <f>IF('COPY 30 %'!$A48="","",'COPY 30 %'!H48)</f>
        <v/>
      </c>
      <c r="L48" s="7">
        <f>IF('COPY 30 %'!$A48="","",'COPY 30 %'!T48)</f>
        <v/>
      </c>
      <c r="M48">
        <f>IF('COPY 30 %'!$A48="","",'COPY 30 %'!G48)</f>
        <v/>
      </c>
    </row>
    <row r="49">
      <c r="A49">
        <f>IF('COPY 30 %'!$A49="","",ROWS($A$2:$A49))</f>
        <v/>
      </c>
      <c r="B49">
        <f>IF('COPY 30 %'!$A49="","",'COPY 30 %'!E49)</f>
        <v/>
      </c>
      <c r="C49">
        <f>IF('COPY 30 %'!$A49="","",'COPY 30 %'!F49)</f>
        <v/>
      </c>
      <c r="D49" s="14">
        <f>IF('COPY 30 %'!$A49="","",'COPY 30 %'!I49)</f>
        <v/>
      </c>
      <c r="E49" s="7">
        <f>IF('COPY 30 %'!$A49="","",'COPY 30 %'!O49)</f>
        <v/>
      </c>
      <c r="F49" s="7">
        <f>IF('COPY 30 %'!$A49="","",'COPY 30 %'!L49)</f>
        <v/>
      </c>
      <c r="G49" s="7">
        <f>IF('COPY 30 %'!$A49="","",'COPY 30 %'!S49)</f>
        <v/>
      </c>
      <c r="H49">
        <f>IF('COPY 30 %'!$A49="","",'COPY 30 %'!P49)</f>
        <v/>
      </c>
      <c r="I49">
        <f>IF('COPY 30 %'!$A49="","",'COPY 30 %'!M49)</f>
        <v/>
      </c>
      <c r="J49" s="7">
        <f>IF('COPY 30 %'!$A49="","",'COPY 30 %'!Q49)</f>
        <v/>
      </c>
      <c r="K49" s="7">
        <f>IF('COPY 30 %'!$A49="","",'COPY 30 %'!H49)</f>
        <v/>
      </c>
      <c r="L49" s="7">
        <f>IF('COPY 30 %'!$A49="","",'COPY 30 %'!T49)</f>
        <v/>
      </c>
      <c r="M49">
        <f>IF('COPY 30 %'!$A49="","",'COPY 30 %'!G49)</f>
        <v/>
      </c>
    </row>
    <row r="50">
      <c r="A50">
        <f>IF('COPY 30 %'!$A50="","",ROWS($A$2:$A50))</f>
        <v/>
      </c>
      <c r="B50">
        <f>IF('COPY 30 %'!$A50="","",'COPY 30 %'!E50)</f>
        <v/>
      </c>
      <c r="C50">
        <f>IF('COPY 30 %'!$A50="","",'COPY 30 %'!F50)</f>
        <v/>
      </c>
      <c r="D50" s="14">
        <f>IF('COPY 30 %'!$A50="","",'COPY 30 %'!I50)</f>
        <v/>
      </c>
      <c r="E50" s="7">
        <f>IF('COPY 30 %'!$A50="","",'COPY 30 %'!O50)</f>
        <v/>
      </c>
      <c r="F50" s="7">
        <f>IF('COPY 30 %'!$A50="","",'COPY 30 %'!L50)</f>
        <v/>
      </c>
      <c r="G50" s="7">
        <f>IF('COPY 30 %'!$A50="","",'COPY 30 %'!S50)</f>
        <v/>
      </c>
      <c r="H50">
        <f>IF('COPY 30 %'!$A50="","",'COPY 30 %'!P50)</f>
        <v/>
      </c>
      <c r="I50">
        <f>IF('COPY 30 %'!$A50="","",'COPY 30 %'!M50)</f>
        <v/>
      </c>
      <c r="J50" s="7">
        <f>IF('COPY 30 %'!$A50="","",'COPY 30 %'!Q50)</f>
        <v/>
      </c>
      <c r="K50" s="7">
        <f>IF('COPY 30 %'!$A50="","",'COPY 30 %'!H50)</f>
        <v/>
      </c>
      <c r="L50" s="7">
        <f>IF('COPY 30 %'!$A50="","",'COPY 30 %'!T50)</f>
        <v/>
      </c>
      <c r="M50">
        <f>IF('COPY 30 %'!$A50="","",'COPY 30 %'!G50)</f>
        <v/>
      </c>
    </row>
    <row r="51">
      <c r="A51">
        <f>IF('COPY 30 %'!$A51="","",ROWS($A$2:$A51))</f>
        <v/>
      </c>
      <c r="B51">
        <f>IF('COPY 30 %'!$A51="","",'COPY 30 %'!E51)</f>
        <v/>
      </c>
      <c r="C51">
        <f>IF('COPY 30 %'!$A51="","",'COPY 30 %'!F51)</f>
        <v/>
      </c>
      <c r="D51" s="14">
        <f>IF('COPY 30 %'!$A51="","",'COPY 30 %'!I51)</f>
        <v/>
      </c>
      <c r="E51" s="7">
        <f>IF('COPY 30 %'!$A51="","",'COPY 30 %'!O51)</f>
        <v/>
      </c>
      <c r="F51" s="7">
        <f>IF('COPY 30 %'!$A51="","",'COPY 30 %'!L51)</f>
        <v/>
      </c>
      <c r="G51" s="7">
        <f>IF('COPY 30 %'!$A51="","",'COPY 30 %'!S51)</f>
        <v/>
      </c>
      <c r="H51">
        <f>IF('COPY 30 %'!$A51="","",'COPY 30 %'!P51)</f>
        <v/>
      </c>
      <c r="I51">
        <f>IF('COPY 30 %'!$A51="","",'COPY 30 %'!M51)</f>
        <v/>
      </c>
      <c r="J51" s="7">
        <f>IF('COPY 30 %'!$A51="","",'COPY 30 %'!Q51)</f>
        <v/>
      </c>
      <c r="K51" s="7">
        <f>IF('COPY 30 %'!$A51="","",'COPY 30 %'!H51)</f>
        <v/>
      </c>
      <c r="L51" s="7">
        <f>IF('COPY 30 %'!$A51="","",'COPY 30 %'!T51)</f>
        <v/>
      </c>
      <c r="M51">
        <f>IF('COPY 30 %'!$A51="","",'COPY 30 %'!G51)</f>
        <v/>
      </c>
    </row>
    <row r="52">
      <c r="A52">
        <f>IF('COPY 30 %'!$A52="","",ROWS($A$2:$A52))</f>
        <v/>
      </c>
      <c r="B52">
        <f>IF('COPY 30 %'!$A52="","",'COPY 30 %'!E52)</f>
        <v/>
      </c>
      <c r="C52">
        <f>IF('COPY 30 %'!$A52="","",'COPY 30 %'!F52)</f>
        <v/>
      </c>
      <c r="D52" s="14">
        <f>IF('COPY 30 %'!$A52="","",'COPY 30 %'!I52)</f>
        <v/>
      </c>
      <c r="E52" s="7">
        <f>IF('COPY 30 %'!$A52="","",'COPY 30 %'!O52)</f>
        <v/>
      </c>
      <c r="F52" s="7">
        <f>IF('COPY 30 %'!$A52="","",'COPY 30 %'!L52)</f>
        <v/>
      </c>
      <c r="G52" s="7">
        <f>IF('COPY 30 %'!$A52="","",'COPY 30 %'!S52)</f>
        <v/>
      </c>
      <c r="H52">
        <f>IF('COPY 30 %'!$A52="","",'COPY 30 %'!P52)</f>
        <v/>
      </c>
      <c r="I52">
        <f>IF('COPY 30 %'!$A52="","",'COPY 30 %'!M52)</f>
        <v/>
      </c>
      <c r="J52" s="7">
        <f>IF('COPY 30 %'!$A52="","",'COPY 30 %'!Q52)</f>
        <v/>
      </c>
      <c r="K52" s="7">
        <f>IF('COPY 30 %'!$A52="","",'COPY 30 %'!H52)</f>
        <v/>
      </c>
      <c r="L52" s="7">
        <f>IF('COPY 30 %'!$A52="","",'COPY 30 %'!T52)</f>
        <v/>
      </c>
      <c r="M52">
        <f>IF('COPY 30 %'!$A52="","",'COPY 30 %'!G52)</f>
        <v/>
      </c>
    </row>
    <row r="53">
      <c r="A53">
        <f>IF('COPY 30 %'!$A53="","",ROWS($A$2:$A53))</f>
        <v/>
      </c>
      <c r="B53">
        <f>IF('COPY 30 %'!$A53="","",'COPY 30 %'!E53)</f>
        <v/>
      </c>
      <c r="C53">
        <f>IF('COPY 30 %'!$A53="","",'COPY 30 %'!F53)</f>
        <v/>
      </c>
      <c r="D53" s="14">
        <f>IF('COPY 30 %'!$A53="","",'COPY 30 %'!I53)</f>
        <v/>
      </c>
      <c r="E53" s="7">
        <f>IF('COPY 30 %'!$A53="","",'COPY 30 %'!O53)</f>
        <v/>
      </c>
      <c r="F53" s="7">
        <f>IF('COPY 30 %'!$A53="","",'COPY 30 %'!L53)</f>
        <v/>
      </c>
      <c r="G53" s="7">
        <f>IF('COPY 30 %'!$A53="","",'COPY 30 %'!S53)</f>
        <v/>
      </c>
      <c r="H53">
        <f>IF('COPY 30 %'!$A53="","",'COPY 30 %'!P53)</f>
        <v/>
      </c>
      <c r="I53">
        <f>IF('COPY 30 %'!$A53="","",'COPY 30 %'!M53)</f>
        <v/>
      </c>
      <c r="J53" s="7">
        <f>IF('COPY 30 %'!$A53="","",'COPY 30 %'!Q53)</f>
        <v/>
      </c>
      <c r="K53" s="7">
        <f>IF('COPY 30 %'!$A53="","",'COPY 30 %'!H53)</f>
        <v/>
      </c>
      <c r="L53" s="7">
        <f>IF('COPY 30 %'!$A53="","",'COPY 30 %'!T53)</f>
        <v/>
      </c>
      <c r="M53">
        <f>IF('COPY 30 %'!$A53="","",'COPY 30 %'!G53)</f>
        <v/>
      </c>
    </row>
    <row r="54">
      <c r="A54">
        <f>IF('COPY 30 %'!$A54="","",ROWS($A$2:$A54))</f>
        <v/>
      </c>
      <c r="B54">
        <f>IF('COPY 30 %'!$A54="","",'COPY 30 %'!E54)</f>
        <v/>
      </c>
      <c r="C54">
        <f>IF('COPY 30 %'!$A54="","",'COPY 30 %'!F54)</f>
        <v/>
      </c>
      <c r="D54" s="14">
        <f>IF('COPY 30 %'!$A54="","",'COPY 30 %'!I54)</f>
        <v/>
      </c>
      <c r="E54" s="7">
        <f>IF('COPY 30 %'!$A54="","",'COPY 30 %'!O54)</f>
        <v/>
      </c>
      <c r="F54" s="7">
        <f>IF('COPY 30 %'!$A54="","",'COPY 30 %'!L54)</f>
        <v/>
      </c>
      <c r="G54" s="7">
        <f>IF('COPY 30 %'!$A54="","",'COPY 30 %'!S54)</f>
        <v/>
      </c>
      <c r="H54">
        <f>IF('COPY 30 %'!$A54="","",'COPY 30 %'!P54)</f>
        <v/>
      </c>
      <c r="I54">
        <f>IF('COPY 30 %'!$A54="","",'COPY 30 %'!M54)</f>
        <v/>
      </c>
      <c r="J54" s="7">
        <f>IF('COPY 30 %'!$A54="","",'COPY 30 %'!Q54)</f>
        <v/>
      </c>
      <c r="K54" s="7">
        <f>IF('COPY 30 %'!$A54="","",'COPY 30 %'!H54)</f>
        <v/>
      </c>
      <c r="L54" s="7">
        <f>IF('COPY 30 %'!$A54="","",'COPY 30 %'!T54)</f>
        <v/>
      </c>
      <c r="M54">
        <f>IF('COPY 30 %'!$A54="","",'COPY 30 %'!G54)</f>
        <v/>
      </c>
    </row>
    <row r="55">
      <c r="A55">
        <f>IF('COPY 30 %'!$A55="","",ROWS($A$2:$A55))</f>
        <v/>
      </c>
      <c r="B55">
        <f>IF('COPY 30 %'!$A55="","",'COPY 30 %'!E55)</f>
        <v/>
      </c>
      <c r="C55">
        <f>IF('COPY 30 %'!$A55="","",'COPY 30 %'!F55)</f>
        <v/>
      </c>
      <c r="D55" s="14">
        <f>IF('COPY 30 %'!$A55="","",'COPY 30 %'!I55)</f>
        <v/>
      </c>
      <c r="E55" s="7">
        <f>IF('COPY 30 %'!$A55="","",'COPY 30 %'!O55)</f>
        <v/>
      </c>
      <c r="F55" s="7">
        <f>IF('COPY 30 %'!$A55="","",'COPY 30 %'!L55)</f>
        <v/>
      </c>
      <c r="G55" s="7">
        <f>IF('COPY 30 %'!$A55="","",'COPY 30 %'!S55)</f>
        <v/>
      </c>
      <c r="H55">
        <f>IF('COPY 30 %'!$A55="","",'COPY 30 %'!P55)</f>
        <v/>
      </c>
      <c r="I55">
        <f>IF('COPY 30 %'!$A55="","",'COPY 30 %'!M55)</f>
        <v/>
      </c>
      <c r="J55" s="7">
        <f>IF('COPY 30 %'!$A55="","",'COPY 30 %'!Q55)</f>
        <v/>
      </c>
      <c r="K55" s="7">
        <f>IF('COPY 30 %'!$A55="","",'COPY 30 %'!H55)</f>
        <v/>
      </c>
      <c r="L55" s="7">
        <f>IF('COPY 30 %'!$A55="","",'COPY 30 %'!T55)</f>
        <v/>
      </c>
      <c r="M55">
        <f>IF('COPY 30 %'!$A55="","",'COPY 30 %'!G55)</f>
        <v/>
      </c>
    </row>
    <row r="56">
      <c r="A56">
        <f>IF('COPY 30 %'!$A56="","",ROWS($A$2:$A56))</f>
        <v/>
      </c>
      <c r="B56">
        <f>IF('COPY 30 %'!$A56="","",'COPY 30 %'!E56)</f>
        <v/>
      </c>
      <c r="C56">
        <f>IF('COPY 30 %'!$A56="","",'COPY 30 %'!F56)</f>
        <v/>
      </c>
      <c r="D56" s="14">
        <f>IF('COPY 30 %'!$A56="","",'COPY 30 %'!I56)</f>
        <v/>
      </c>
      <c r="E56" s="7">
        <f>IF('COPY 30 %'!$A56="","",'COPY 30 %'!O56)</f>
        <v/>
      </c>
      <c r="F56" s="7">
        <f>IF('COPY 30 %'!$A56="","",'COPY 30 %'!L56)</f>
        <v/>
      </c>
      <c r="G56" s="7">
        <f>IF('COPY 30 %'!$A56="","",'COPY 30 %'!S56)</f>
        <v/>
      </c>
      <c r="H56">
        <f>IF('COPY 30 %'!$A56="","",'COPY 30 %'!P56)</f>
        <v/>
      </c>
      <c r="I56">
        <f>IF('COPY 30 %'!$A56="","",'COPY 30 %'!M56)</f>
        <v/>
      </c>
      <c r="J56" s="7">
        <f>IF('COPY 30 %'!$A56="","",'COPY 30 %'!Q56)</f>
        <v/>
      </c>
      <c r="K56" s="7">
        <f>IF('COPY 30 %'!$A56="","",'COPY 30 %'!H56)</f>
        <v/>
      </c>
      <c r="L56" s="7">
        <f>IF('COPY 30 %'!$A56="","",'COPY 30 %'!T56)</f>
        <v/>
      </c>
      <c r="M56">
        <f>IF('COPY 30 %'!$A56="","",'COPY 30 %'!G56)</f>
        <v/>
      </c>
    </row>
    <row r="57">
      <c r="A57">
        <f>IF('COPY 30 %'!$A57="","",ROWS($A$2:$A57))</f>
        <v/>
      </c>
      <c r="B57">
        <f>IF('COPY 30 %'!$A57="","",'COPY 30 %'!E57)</f>
        <v/>
      </c>
      <c r="C57">
        <f>IF('COPY 30 %'!$A57="","",'COPY 30 %'!F57)</f>
        <v/>
      </c>
      <c r="D57" s="14">
        <f>IF('COPY 30 %'!$A57="","",'COPY 30 %'!I57)</f>
        <v/>
      </c>
      <c r="E57" s="7">
        <f>IF('COPY 30 %'!$A57="","",'COPY 30 %'!O57)</f>
        <v/>
      </c>
      <c r="F57" s="7">
        <f>IF('COPY 30 %'!$A57="","",'COPY 30 %'!L57)</f>
        <v/>
      </c>
      <c r="G57" s="7">
        <f>IF('COPY 30 %'!$A57="","",'COPY 30 %'!S57)</f>
        <v/>
      </c>
      <c r="H57">
        <f>IF('COPY 30 %'!$A57="","",'COPY 30 %'!P57)</f>
        <v/>
      </c>
      <c r="I57">
        <f>IF('COPY 30 %'!$A57="","",'COPY 30 %'!M57)</f>
        <v/>
      </c>
      <c r="J57" s="7">
        <f>IF('COPY 30 %'!$A57="","",'COPY 30 %'!Q57)</f>
        <v/>
      </c>
      <c r="K57" s="7">
        <f>IF('COPY 30 %'!$A57="","",'COPY 30 %'!H57)</f>
        <v/>
      </c>
      <c r="L57" s="7">
        <f>IF('COPY 30 %'!$A57="","",'COPY 30 %'!T57)</f>
        <v/>
      </c>
      <c r="M57">
        <f>IF('COPY 30 %'!$A57="","",'COPY 30 %'!G57)</f>
        <v/>
      </c>
    </row>
    <row r="58">
      <c r="A58">
        <f>IF('COPY 30 %'!$A58="","",ROWS($A$2:$A58))</f>
        <v/>
      </c>
      <c r="B58">
        <f>IF('COPY 30 %'!$A58="","",'COPY 30 %'!E58)</f>
        <v/>
      </c>
      <c r="C58">
        <f>IF('COPY 30 %'!$A58="","",'COPY 30 %'!F58)</f>
        <v/>
      </c>
      <c r="D58" s="14">
        <f>IF('COPY 30 %'!$A58="","",'COPY 30 %'!I58)</f>
        <v/>
      </c>
      <c r="E58" s="7">
        <f>IF('COPY 30 %'!$A58="","",'COPY 30 %'!O58)</f>
        <v/>
      </c>
      <c r="F58" s="7">
        <f>IF('COPY 30 %'!$A58="","",'COPY 30 %'!L58)</f>
        <v/>
      </c>
      <c r="G58" s="7">
        <f>IF('COPY 30 %'!$A58="","",'COPY 30 %'!S58)</f>
        <v/>
      </c>
      <c r="H58">
        <f>IF('COPY 30 %'!$A58="","",'COPY 30 %'!P58)</f>
        <v/>
      </c>
      <c r="I58">
        <f>IF('COPY 30 %'!$A58="","",'COPY 30 %'!M58)</f>
        <v/>
      </c>
      <c r="J58" s="7">
        <f>IF('COPY 30 %'!$A58="","",'COPY 30 %'!Q58)</f>
        <v/>
      </c>
      <c r="K58" s="7">
        <f>IF('COPY 30 %'!$A58="","",'COPY 30 %'!H58)</f>
        <v/>
      </c>
      <c r="L58" s="7">
        <f>IF('COPY 30 %'!$A58="","",'COPY 30 %'!T58)</f>
        <v/>
      </c>
      <c r="M58">
        <f>IF('COPY 30 %'!$A58="","",'COPY 30 %'!G58)</f>
        <v/>
      </c>
    </row>
    <row r="59">
      <c r="A59">
        <f>IF('COPY 30 %'!$A59="","",ROWS($A$2:$A59))</f>
        <v/>
      </c>
      <c r="B59">
        <f>IF('COPY 30 %'!$A59="","",'COPY 30 %'!E59)</f>
        <v/>
      </c>
      <c r="C59">
        <f>IF('COPY 30 %'!$A59="","",'COPY 30 %'!F59)</f>
        <v/>
      </c>
      <c r="D59" s="14">
        <f>IF('COPY 30 %'!$A59="","",'COPY 30 %'!I59)</f>
        <v/>
      </c>
      <c r="E59" s="7">
        <f>IF('COPY 30 %'!$A59="","",'COPY 30 %'!O59)</f>
        <v/>
      </c>
      <c r="F59" s="7">
        <f>IF('COPY 30 %'!$A59="","",'COPY 30 %'!L59)</f>
        <v/>
      </c>
      <c r="G59" s="7">
        <f>IF('COPY 30 %'!$A59="","",'COPY 30 %'!S59)</f>
        <v/>
      </c>
      <c r="H59">
        <f>IF('COPY 30 %'!$A59="","",'COPY 30 %'!P59)</f>
        <v/>
      </c>
      <c r="I59">
        <f>IF('COPY 30 %'!$A59="","",'COPY 30 %'!M59)</f>
        <v/>
      </c>
      <c r="J59" s="7">
        <f>IF('COPY 30 %'!$A59="","",'COPY 30 %'!Q59)</f>
        <v/>
      </c>
      <c r="K59" s="7">
        <f>IF('COPY 30 %'!$A59="","",'COPY 30 %'!H59)</f>
        <v/>
      </c>
      <c r="L59" s="7">
        <f>IF('COPY 30 %'!$A59="","",'COPY 30 %'!T59)</f>
        <v/>
      </c>
      <c r="M59">
        <f>IF('COPY 30 %'!$A59="","",'COPY 30 %'!G59)</f>
        <v/>
      </c>
    </row>
    <row r="60">
      <c r="A60">
        <f>IF('COPY 30 %'!$A60="","",ROWS($A$2:$A60))</f>
        <v/>
      </c>
      <c r="B60">
        <f>IF('COPY 30 %'!$A60="","",'COPY 30 %'!E60)</f>
        <v/>
      </c>
      <c r="C60">
        <f>IF('COPY 30 %'!$A60="","",'COPY 30 %'!F60)</f>
        <v/>
      </c>
      <c r="D60" s="14">
        <f>IF('COPY 30 %'!$A60="","",'COPY 30 %'!I60)</f>
        <v/>
      </c>
      <c r="E60" s="7">
        <f>IF('COPY 30 %'!$A60="","",'COPY 30 %'!O60)</f>
        <v/>
      </c>
      <c r="F60" s="7">
        <f>IF('COPY 30 %'!$A60="","",'COPY 30 %'!L60)</f>
        <v/>
      </c>
      <c r="G60" s="7">
        <f>IF('COPY 30 %'!$A60="","",'COPY 30 %'!S60)</f>
        <v/>
      </c>
      <c r="H60">
        <f>IF('COPY 30 %'!$A60="","",'COPY 30 %'!P60)</f>
        <v/>
      </c>
      <c r="I60">
        <f>IF('COPY 30 %'!$A60="","",'COPY 30 %'!M60)</f>
        <v/>
      </c>
      <c r="J60" s="7">
        <f>IF('COPY 30 %'!$A60="","",'COPY 30 %'!Q60)</f>
        <v/>
      </c>
      <c r="K60" s="7">
        <f>IF('COPY 30 %'!$A60="","",'COPY 30 %'!H60)</f>
        <v/>
      </c>
      <c r="L60" s="7">
        <f>IF('COPY 30 %'!$A60="","",'COPY 30 %'!T60)</f>
        <v/>
      </c>
      <c r="M60">
        <f>IF('COPY 30 %'!$A60="","",'COPY 30 %'!G60)</f>
        <v/>
      </c>
    </row>
    <row r="61">
      <c r="A61">
        <f>IF('COPY 30 %'!$A61="","",ROWS($A$2:$A61))</f>
        <v/>
      </c>
      <c r="B61">
        <f>IF('COPY 30 %'!$A61="","",'COPY 30 %'!E61)</f>
        <v/>
      </c>
      <c r="C61">
        <f>IF('COPY 30 %'!$A61="","",'COPY 30 %'!F61)</f>
        <v/>
      </c>
      <c r="D61" s="14">
        <f>IF('COPY 30 %'!$A61="","",'COPY 30 %'!I61)</f>
        <v/>
      </c>
      <c r="E61" s="7">
        <f>IF('COPY 30 %'!$A61="","",'COPY 30 %'!O61)</f>
        <v/>
      </c>
      <c r="F61" s="7">
        <f>IF('COPY 30 %'!$A61="","",'COPY 30 %'!L61)</f>
        <v/>
      </c>
      <c r="G61" s="7">
        <f>IF('COPY 30 %'!$A61="","",'COPY 30 %'!S61)</f>
        <v/>
      </c>
      <c r="H61">
        <f>IF('COPY 30 %'!$A61="","",'COPY 30 %'!P61)</f>
        <v/>
      </c>
      <c r="I61">
        <f>IF('COPY 30 %'!$A61="","",'COPY 30 %'!M61)</f>
        <v/>
      </c>
      <c r="J61" s="7">
        <f>IF('COPY 30 %'!$A61="","",'COPY 30 %'!Q61)</f>
        <v/>
      </c>
      <c r="K61" s="7">
        <f>IF('COPY 30 %'!$A61="","",'COPY 30 %'!H61)</f>
        <v/>
      </c>
      <c r="L61" s="7">
        <f>IF('COPY 30 %'!$A61="","",'COPY 30 %'!T61)</f>
        <v/>
      </c>
      <c r="M61">
        <f>IF('COPY 30 %'!$A61="","",'COPY 30 %'!G61)</f>
        <v/>
      </c>
    </row>
    <row r="62">
      <c r="A62">
        <f>IF('COPY 30 %'!$A62="","",ROWS($A$2:$A62))</f>
        <v/>
      </c>
      <c r="B62">
        <f>IF('COPY 30 %'!$A62="","",'COPY 30 %'!E62)</f>
        <v/>
      </c>
      <c r="C62">
        <f>IF('COPY 30 %'!$A62="","",'COPY 30 %'!F62)</f>
        <v/>
      </c>
      <c r="D62" s="14">
        <f>IF('COPY 30 %'!$A62="","",'COPY 30 %'!I62)</f>
        <v/>
      </c>
      <c r="E62" s="7">
        <f>IF('COPY 30 %'!$A62="","",'COPY 30 %'!O62)</f>
        <v/>
      </c>
      <c r="F62" s="7">
        <f>IF('COPY 30 %'!$A62="","",'COPY 30 %'!L62)</f>
        <v/>
      </c>
      <c r="G62" s="7">
        <f>IF('COPY 30 %'!$A62="","",'COPY 30 %'!S62)</f>
        <v/>
      </c>
      <c r="H62">
        <f>IF('COPY 30 %'!$A62="","",'COPY 30 %'!P62)</f>
        <v/>
      </c>
      <c r="I62">
        <f>IF('COPY 30 %'!$A62="","",'COPY 30 %'!M62)</f>
        <v/>
      </c>
      <c r="J62" s="7">
        <f>IF('COPY 30 %'!$A62="","",'COPY 30 %'!Q62)</f>
        <v/>
      </c>
      <c r="K62" s="7">
        <f>IF('COPY 30 %'!$A62="","",'COPY 30 %'!H62)</f>
        <v/>
      </c>
      <c r="L62" s="7">
        <f>IF('COPY 30 %'!$A62="","",'COPY 30 %'!T62)</f>
        <v/>
      </c>
      <c r="M62">
        <f>IF('COPY 30 %'!$A62="","",'COPY 30 %'!G62)</f>
        <v/>
      </c>
    </row>
    <row r="63">
      <c r="A63">
        <f>IF('COPY 30 %'!$A63="","",ROWS($A$2:$A63))</f>
        <v/>
      </c>
      <c r="B63">
        <f>IF('COPY 30 %'!$A63="","",'COPY 30 %'!E63)</f>
        <v/>
      </c>
      <c r="C63">
        <f>IF('COPY 30 %'!$A63="","",'COPY 30 %'!F63)</f>
        <v/>
      </c>
      <c r="D63" s="14">
        <f>IF('COPY 30 %'!$A63="","",'COPY 30 %'!I63)</f>
        <v/>
      </c>
      <c r="E63" s="7">
        <f>IF('COPY 30 %'!$A63="","",'COPY 30 %'!O63)</f>
        <v/>
      </c>
      <c r="F63" s="7">
        <f>IF('COPY 30 %'!$A63="","",'COPY 30 %'!L63)</f>
        <v/>
      </c>
      <c r="G63" s="7">
        <f>IF('COPY 30 %'!$A63="","",'COPY 30 %'!S63)</f>
        <v/>
      </c>
      <c r="H63">
        <f>IF('COPY 30 %'!$A63="","",'COPY 30 %'!P63)</f>
        <v/>
      </c>
      <c r="I63">
        <f>IF('COPY 30 %'!$A63="","",'COPY 30 %'!M63)</f>
        <v/>
      </c>
      <c r="J63" s="7">
        <f>IF('COPY 30 %'!$A63="","",'COPY 30 %'!Q63)</f>
        <v/>
      </c>
      <c r="K63" s="7">
        <f>IF('COPY 30 %'!$A63="","",'COPY 30 %'!H63)</f>
        <v/>
      </c>
      <c r="L63" s="7">
        <f>IF('COPY 30 %'!$A63="","",'COPY 30 %'!T63)</f>
        <v/>
      </c>
      <c r="M63">
        <f>IF('COPY 30 %'!$A63="","",'COPY 30 %'!G63)</f>
        <v/>
      </c>
    </row>
    <row r="64">
      <c r="A64">
        <f>IF('COPY 30 %'!$A64="","",ROWS($A$2:$A64))</f>
        <v/>
      </c>
      <c r="B64">
        <f>IF('COPY 30 %'!$A64="","",'COPY 30 %'!E64)</f>
        <v/>
      </c>
      <c r="C64">
        <f>IF('COPY 30 %'!$A64="","",'COPY 30 %'!F64)</f>
        <v/>
      </c>
      <c r="D64" s="14">
        <f>IF('COPY 30 %'!$A64="","",'COPY 30 %'!I64)</f>
        <v/>
      </c>
      <c r="E64" s="7">
        <f>IF('COPY 30 %'!$A64="","",'COPY 30 %'!O64)</f>
        <v/>
      </c>
      <c r="F64" s="7">
        <f>IF('COPY 30 %'!$A64="","",'COPY 30 %'!L64)</f>
        <v/>
      </c>
      <c r="G64" s="7">
        <f>IF('COPY 30 %'!$A64="","",'COPY 30 %'!S64)</f>
        <v/>
      </c>
      <c r="H64">
        <f>IF('COPY 30 %'!$A64="","",'COPY 30 %'!P64)</f>
        <v/>
      </c>
      <c r="I64">
        <f>IF('COPY 30 %'!$A64="","",'COPY 30 %'!M64)</f>
        <v/>
      </c>
      <c r="J64" s="7">
        <f>IF('COPY 30 %'!$A64="","",'COPY 30 %'!Q64)</f>
        <v/>
      </c>
      <c r="K64" s="7">
        <f>IF('COPY 30 %'!$A64="","",'COPY 30 %'!H64)</f>
        <v/>
      </c>
      <c r="L64" s="7">
        <f>IF('COPY 30 %'!$A64="","",'COPY 30 %'!T64)</f>
        <v/>
      </c>
      <c r="M64">
        <f>IF('COPY 30 %'!$A64="","",'COPY 30 %'!G64)</f>
        <v/>
      </c>
    </row>
    <row r="65">
      <c r="A65">
        <f>IF('COPY 30 %'!$A65="","",ROWS($A$2:$A65))</f>
        <v/>
      </c>
      <c r="B65">
        <f>IF('COPY 30 %'!$A65="","",'COPY 30 %'!E65)</f>
        <v/>
      </c>
      <c r="C65">
        <f>IF('COPY 30 %'!$A65="","",'COPY 30 %'!F65)</f>
        <v/>
      </c>
      <c r="D65" s="14">
        <f>IF('COPY 30 %'!$A65="","",'COPY 30 %'!I65)</f>
        <v/>
      </c>
      <c r="E65" s="7">
        <f>IF('COPY 30 %'!$A65="","",'COPY 30 %'!O65)</f>
        <v/>
      </c>
      <c r="F65" s="7">
        <f>IF('COPY 30 %'!$A65="","",'COPY 30 %'!L65)</f>
        <v/>
      </c>
      <c r="G65" s="7">
        <f>IF('COPY 30 %'!$A65="","",'COPY 30 %'!S65)</f>
        <v/>
      </c>
      <c r="H65">
        <f>IF('COPY 30 %'!$A65="","",'COPY 30 %'!P65)</f>
        <v/>
      </c>
      <c r="I65">
        <f>IF('COPY 30 %'!$A65="","",'COPY 30 %'!M65)</f>
        <v/>
      </c>
      <c r="J65" s="7">
        <f>IF('COPY 30 %'!$A65="","",'COPY 30 %'!Q65)</f>
        <v/>
      </c>
      <c r="K65" s="7">
        <f>IF('COPY 30 %'!$A65="","",'COPY 30 %'!H65)</f>
        <v/>
      </c>
      <c r="L65" s="7">
        <f>IF('COPY 30 %'!$A65="","",'COPY 30 %'!T65)</f>
        <v/>
      </c>
      <c r="M65">
        <f>IF('COPY 30 %'!$A65="","",'COPY 30 %'!G65)</f>
        <v/>
      </c>
    </row>
    <row r="66">
      <c r="A66">
        <f>IF('COPY 30 %'!$A66="","",ROWS($A$2:$A66))</f>
        <v/>
      </c>
      <c r="B66">
        <f>IF('COPY 30 %'!$A66="","",'COPY 30 %'!E66)</f>
        <v/>
      </c>
      <c r="C66">
        <f>IF('COPY 30 %'!$A66="","",'COPY 30 %'!F66)</f>
        <v/>
      </c>
      <c r="D66" s="14">
        <f>IF('COPY 30 %'!$A66="","",'COPY 30 %'!I66)</f>
        <v/>
      </c>
      <c r="E66" s="7">
        <f>IF('COPY 30 %'!$A66="","",'COPY 30 %'!O66)</f>
        <v/>
      </c>
      <c r="F66" s="7">
        <f>IF('COPY 30 %'!$A66="","",'COPY 30 %'!L66)</f>
        <v/>
      </c>
      <c r="G66" s="7">
        <f>IF('COPY 30 %'!$A66="","",'COPY 30 %'!S66)</f>
        <v/>
      </c>
      <c r="H66">
        <f>IF('COPY 30 %'!$A66="","",'COPY 30 %'!P66)</f>
        <v/>
      </c>
      <c r="I66">
        <f>IF('COPY 30 %'!$A66="","",'COPY 30 %'!M66)</f>
        <v/>
      </c>
      <c r="J66" s="7">
        <f>IF('COPY 30 %'!$A66="","",'COPY 30 %'!Q66)</f>
        <v/>
      </c>
      <c r="K66" s="7">
        <f>IF('COPY 30 %'!$A66="","",'COPY 30 %'!H66)</f>
        <v/>
      </c>
      <c r="L66" s="7">
        <f>IF('COPY 30 %'!$A66="","",'COPY 30 %'!T66)</f>
        <v/>
      </c>
      <c r="M66">
        <f>IF('COPY 30 %'!$A66="","",'COPY 30 %'!G66)</f>
        <v/>
      </c>
    </row>
    <row r="67">
      <c r="A67">
        <f>IF('COPY 30 %'!$A67="","",ROWS($A$2:$A67))</f>
        <v/>
      </c>
      <c r="B67">
        <f>IF('COPY 30 %'!$A67="","",'COPY 30 %'!E67)</f>
        <v/>
      </c>
      <c r="C67">
        <f>IF('COPY 30 %'!$A67="","",'COPY 30 %'!F67)</f>
        <v/>
      </c>
      <c r="D67" s="14">
        <f>IF('COPY 30 %'!$A67="","",'COPY 30 %'!I67)</f>
        <v/>
      </c>
      <c r="E67" s="7">
        <f>IF('COPY 30 %'!$A67="","",'COPY 30 %'!O67)</f>
        <v/>
      </c>
      <c r="F67" s="7">
        <f>IF('COPY 30 %'!$A67="","",'COPY 30 %'!L67)</f>
        <v/>
      </c>
      <c r="G67" s="7">
        <f>IF('COPY 30 %'!$A67="","",'COPY 30 %'!S67)</f>
        <v/>
      </c>
      <c r="H67">
        <f>IF('COPY 30 %'!$A67="","",'COPY 30 %'!P67)</f>
        <v/>
      </c>
      <c r="I67">
        <f>IF('COPY 30 %'!$A67="","",'COPY 30 %'!M67)</f>
        <v/>
      </c>
      <c r="J67" s="7">
        <f>IF('COPY 30 %'!$A67="","",'COPY 30 %'!Q67)</f>
        <v/>
      </c>
      <c r="K67" s="7">
        <f>IF('COPY 30 %'!$A67="","",'COPY 30 %'!H67)</f>
        <v/>
      </c>
      <c r="L67" s="7">
        <f>IF('COPY 30 %'!$A67="","",'COPY 30 %'!T67)</f>
        <v/>
      </c>
      <c r="M67">
        <f>IF('COPY 30 %'!$A67="","",'COPY 30 %'!G67)</f>
        <v/>
      </c>
    </row>
    <row r="68">
      <c r="A68">
        <f>IF('COPY 30 %'!$A68="","",ROWS($A$2:$A68))</f>
        <v/>
      </c>
      <c r="B68">
        <f>IF('COPY 30 %'!$A68="","",'COPY 30 %'!E68)</f>
        <v/>
      </c>
      <c r="C68">
        <f>IF('COPY 30 %'!$A68="","",'COPY 30 %'!F68)</f>
        <v/>
      </c>
      <c r="D68" s="14">
        <f>IF('COPY 30 %'!$A68="","",'COPY 30 %'!I68)</f>
        <v/>
      </c>
      <c r="E68" s="7">
        <f>IF('COPY 30 %'!$A68="","",'COPY 30 %'!O68)</f>
        <v/>
      </c>
      <c r="F68" s="7">
        <f>IF('COPY 30 %'!$A68="","",'COPY 30 %'!L68)</f>
        <v/>
      </c>
      <c r="G68" s="7">
        <f>IF('COPY 30 %'!$A68="","",'COPY 30 %'!S68)</f>
        <v/>
      </c>
      <c r="H68">
        <f>IF('COPY 30 %'!$A68="","",'COPY 30 %'!P68)</f>
        <v/>
      </c>
      <c r="I68">
        <f>IF('COPY 30 %'!$A68="","",'COPY 30 %'!M68)</f>
        <v/>
      </c>
      <c r="J68" s="7">
        <f>IF('COPY 30 %'!$A68="","",'COPY 30 %'!Q68)</f>
        <v/>
      </c>
      <c r="K68" s="7">
        <f>IF('COPY 30 %'!$A68="","",'COPY 30 %'!H68)</f>
        <v/>
      </c>
      <c r="L68" s="7">
        <f>IF('COPY 30 %'!$A68="","",'COPY 30 %'!T68)</f>
        <v/>
      </c>
      <c r="M68">
        <f>IF('COPY 30 %'!$A68="","",'COPY 30 %'!G68)</f>
        <v/>
      </c>
    </row>
    <row r="69">
      <c r="A69">
        <f>IF('COPY 30 %'!$A69="","",ROWS($A$2:$A69))</f>
        <v/>
      </c>
      <c r="B69">
        <f>IF('COPY 30 %'!$A69="","",'COPY 30 %'!E69)</f>
        <v/>
      </c>
      <c r="C69">
        <f>IF('COPY 30 %'!$A69="","",'COPY 30 %'!F69)</f>
        <v/>
      </c>
      <c r="D69" s="14">
        <f>IF('COPY 30 %'!$A69="","",'COPY 30 %'!I69)</f>
        <v/>
      </c>
      <c r="E69" s="7">
        <f>IF('COPY 30 %'!$A69="","",'COPY 30 %'!O69)</f>
        <v/>
      </c>
      <c r="F69" s="7">
        <f>IF('COPY 30 %'!$A69="","",'COPY 30 %'!L69)</f>
        <v/>
      </c>
      <c r="G69" s="7">
        <f>IF('COPY 30 %'!$A69="","",'COPY 30 %'!S69)</f>
        <v/>
      </c>
      <c r="H69">
        <f>IF('COPY 30 %'!$A69="","",'COPY 30 %'!P69)</f>
        <v/>
      </c>
      <c r="I69">
        <f>IF('COPY 30 %'!$A69="","",'COPY 30 %'!M69)</f>
        <v/>
      </c>
      <c r="J69" s="7">
        <f>IF('COPY 30 %'!$A69="","",'COPY 30 %'!Q69)</f>
        <v/>
      </c>
      <c r="K69" s="7">
        <f>IF('COPY 30 %'!$A69="","",'COPY 30 %'!H69)</f>
        <v/>
      </c>
      <c r="L69" s="7">
        <f>IF('COPY 30 %'!$A69="","",'COPY 30 %'!T69)</f>
        <v/>
      </c>
      <c r="M69">
        <f>IF('COPY 30 %'!$A69="","",'COPY 30 %'!G69)</f>
        <v/>
      </c>
    </row>
    <row r="70">
      <c r="A70">
        <f>IF('COPY 30 %'!$A70="","",ROWS($A$2:$A70))</f>
        <v/>
      </c>
      <c r="B70">
        <f>IF('COPY 30 %'!$A70="","",'COPY 30 %'!E70)</f>
        <v/>
      </c>
      <c r="C70">
        <f>IF('COPY 30 %'!$A70="","",'COPY 30 %'!F70)</f>
        <v/>
      </c>
      <c r="D70" s="14">
        <f>IF('COPY 30 %'!$A70="","",'COPY 30 %'!I70)</f>
        <v/>
      </c>
      <c r="E70" s="7">
        <f>IF('COPY 30 %'!$A70="","",'COPY 30 %'!O70)</f>
        <v/>
      </c>
      <c r="F70" s="7">
        <f>IF('COPY 30 %'!$A70="","",'COPY 30 %'!L70)</f>
        <v/>
      </c>
      <c r="G70" s="7">
        <f>IF('COPY 30 %'!$A70="","",'COPY 30 %'!S70)</f>
        <v/>
      </c>
      <c r="H70">
        <f>IF('COPY 30 %'!$A70="","",'COPY 30 %'!P70)</f>
        <v/>
      </c>
      <c r="I70">
        <f>IF('COPY 30 %'!$A70="","",'COPY 30 %'!M70)</f>
        <v/>
      </c>
      <c r="J70" s="7">
        <f>IF('COPY 30 %'!$A70="","",'COPY 30 %'!Q70)</f>
        <v/>
      </c>
      <c r="K70" s="7">
        <f>IF('COPY 30 %'!$A70="","",'COPY 30 %'!H70)</f>
        <v/>
      </c>
      <c r="L70" s="7">
        <f>IF('COPY 30 %'!$A70="","",'COPY 30 %'!T70)</f>
        <v/>
      </c>
      <c r="M70">
        <f>IF('COPY 30 %'!$A70="","",'COPY 30 %'!G70)</f>
        <v/>
      </c>
    </row>
    <row r="71">
      <c r="A71">
        <f>IF('COPY 30 %'!$A71="","",ROWS($A$2:$A71))</f>
        <v/>
      </c>
      <c r="B71">
        <f>IF('COPY 30 %'!$A71="","",'COPY 30 %'!E71)</f>
        <v/>
      </c>
      <c r="C71">
        <f>IF('COPY 30 %'!$A71="","",'COPY 30 %'!F71)</f>
        <v/>
      </c>
      <c r="D71" s="14">
        <f>IF('COPY 30 %'!$A71="","",'COPY 30 %'!I71)</f>
        <v/>
      </c>
      <c r="E71" s="7">
        <f>IF('COPY 30 %'!$A71="","",'COPY 30 %'!O71)</f>
        <v/>
      </c>
      <c r="F71" s="7">
        <f>IF('COPY 30 %'!$A71="","",'COPY 30 %'!L71)</f>
        <v/>
      </c>
      <c r="G71" s="7">
        <f>IF('COPY 30 %'!$A71="","",'COPY 30 %'!S71)</f>
        <v/>
      </c>
      <c r="H71">
        <f>IF('COPY 30 %'!$A71="","",'COPY 30 %'!P71)</f>
        <v/>
      </c>
      <c r="I71">
        <f>IF('COPY 30 %'!$A71="","",'COPY 30 %'!M71)</f>
        <v/>
      </c>
      <c r="J71" s="7">
        <f>IF('COPY 30 %'!$A71="","",'COPY 30 %'!Q71)</f>
        <v/>
      </c>
      <c r="K71" s="7">
        <f>IF('COPY 30 %'!$A71="","",'COPY 30 %'!H71)</f>
        <v/>
      </c>
      <c r="L71" s="7">
        <f>IF('COPY 30 %'!$A71="","",'COPY 30 %'!T71)</f>
        <v/>
      </c>
      <c r="M71">
        <f>IF('COPY 30 %'!$A71="","",'COPY 30 %'!G71)</f>
        <v/>
      </c>
    </row>
    <row r="72">
      <c r="A72">
        <f>IF('COPY 30 %'!$A72="","",ROWS($A$2:$A72))</f>
        <v/>
      </c>
      <c r="B72">
        <f>IF('COPY 30 %'!$A72="","",'COPY 30 %'!E72)</f>
        <v/>
      </c>
      <c r="C72">
        <f>IF('COPY 30 %'!$A72="","",'COPY 30 %'!F72)</f>
        <v/>
      </c>
      <c r="D72" s="14">
        <f>IF('COPY 30 %'!$A72="","",'COPY 30 %'!I72)</f>
        <v/>
      </c>
      <c r="E72" s="7">
        <f>IF('COPY 30 %'!$A72="","",'COPY 30 %'!O72)</f>
        <v/>
      </c>
      <c r="F72" s="7">
        <f>IF('COPY 30 %'!$A72="","",'COPY 30 %'!L72)</f>
        <v/>
      </c>
      <c r="G72" s="7">
        <f>IF('COPY 30 %'!$A72="","",'COPY 30 %'!S72)</f>
        <v/>
      </c>
      <c r="H72">
        <f>IF('COPY 30 %'!$A72="","",'COPY 30 %'!P72)</f>
        <v/>
      </c>
      <c r="I72">
        <f>IF('COPY 30 %'!$A72="","",'COPY 30 %'!M72)</f>
        <v/>
      </c>
      <c r="J72" s="7">
        <f>IF('COPY 30 %'!$A72="","",'COPY 30 %'!Q72)</f>
        <v/>
      </c>
      <c r="K72" s="7">
        <f>IF('COPY 30 %'!$A72="","",'COPY 30 %'!H72)</f>
        <v/>
      </c>
      <c r="L72" s="7">
        <f>IF('COPY 30 %'!$A72="","",'COPY 30 %'!T72)</f>
        <v/>
      </c>
      <c r="M72">
        <f>IF('COPY 30 %'!$A72="","",'COPY 30 %'!G72)</f>
        <v/>
      </c>
    </row>
    <row r="73">
      <c r="A73">
        <f>IF('COPY 30 %'!$A73="","",ROWS($A$2:$A73))</f>
        <v/>
      </c>
      <c r="B73">
        <f>IF('COPY 30 %'!$A73="","",'COPY 30 %'!E73)</f>
        <v/>
      </c>
      <c r="C73">
        <f>IF('COPY 30 %'!$A73="","",'COPY 30 %'!F73)</f>
        <v/>
      </c>
      <c r="D73" s="14">
        <f>IF('COPY 30 %'!$A73="","",'COPY 30 %'!I73)</f>
        <v/>
      </c>
      <c r="E73" s="7">
        <f>IF('COPY 30 %'!$A73="","",'COPY 30 %'!O73)</f>
        <v/>
      </c>
      <c r="F73" s="7">
        <f>IF('COPY 30 %'!$A73="","",'COPY 30 %'!L73)</f>
        <v/>
      </c>
      <c r="G73" s="7">
        <f>IF('COPY 30 %'!$A73="","",'COPY 30 %'!S73)</f>
        <v/>
      </c>
      <c r="H73">
        <f>IF('COPY 30 %'!$A73="","",'COPY 30 %'!P73)</f>
        <v/>
      </c>
      <c r="I73">
        <f>IF('COPY 30 %'!$A73="","",'COPY 30 %'!M73)</f>
        <v/>
      </c>
      <c r="J73" s="7">
        <f>IF('COPY 30 %'!$A73="","",'COPY 30 %'!Q73)</f>
        <v/>
      </c>
      <c r="K73" s="7">
        <f>IF('COPY 30 %'!$A73="","",'COPY 30 %'!H73)</f>
        <v/>
      </c>
      <c r="L73" s="7">
        <f>IF('COPY 30 %'!$A73="","",'COPY 30 %'!T73)</f>
        <v/>
      </c>
      <c r="M73">
        <f>IF('COPY 30 %'!$A73="","",'COPY 30 %'!G73)</f>
        <v/>
      </c>
    </row>
    <row r="74">
      <c r="A74">
        <f>IF('COPY 30 %'!$A74="","",ROWS($A$2:$A74))</f>
        <v/>
      </c>
      <c r="B74">
        <f>IF('COPY 30 %'!$A74="","",'COPY 30 %'!E74)</f>
        <v/>
      </c>
      <c r="C74">
        <f>IF('COPY 30 %'!$A74="","",'COPY 30 %'!F74)</f>
        <v/>
      </c>
      <c r="D74" s="14">
        <f>IF('COPY 30 %'!$A74="","",'COPY 30 %'!I74)</f>
        <v/>
      </c>
      <c r="E74" s="7">
        <f>IF('COPY 30 %'!$A74="","",'COPY 30 %'!O74)</f>
        <v/>
      </c>
      <c r="F74" s="7">
        <f>IF('COPY 30 %'!$A74="","",'COPY 30 %'!L74)</f>
        <v/>
      </c>
      <c r="G74" s="7">
        <f>IF('COPY 30 %'!$A74="","",'COPY 30 %'!S74)</f>
        <v/>
      </c>
      <c r="H74">
        <f>IF('COPY 30 %'!$A74="","",'COPY 30 %'!P74)</f>
        <v/>
      </c>
      <c r="I74">
        <f>IF('COPY 30 %'!$A74="","",'COPY 30 %'!M74)</f>
        <v/>
      </c>
      <c r="J74" s="7">
        <f>IF('COPY 30 %'!$A74="","",'COPY 30 %'!Q74)</f>
        <v/>
      </c>
      <c r="K74" s="7">
        <f>IF('COPY 30 %'!$A74="","",'COPY 30 %'!H74)</f>
        <v/>
      </c>
      <c r="L74" s="7">
        <f>IF('COPY 30 %'!$A74="","",'COPY 30 %'!T74)</f>
        <v/>
      </c>
      <c r="M74">
        <f>IF('COPY 30 %'!$A74="","",'COPY 30 %'!G74)</f>
        <v/>
      </c>
    </row>
    <row r="75">
      <c r="A75">
        <f>IF('COPY 30 %'!$A75="","",ROWS($A$2:$A75))</f>
        <v/>
      </c>
      <c r="B75">
        <f>IF('COPY 30 %'!$A75="","",'COPY 30 %'!E75)</f>
        <v/>
      </c>
      <c r="C75">
        <f>IF('COPY 30 %'!$A75="","",'COPY 30 %'!F75)</f>
        <v/>
      </c>
      <c r="D75" s="14">
        <f>IF('COPY 30 %'!$A75="","",'COPY 30 %'!I75)</f>
        <v/>
      </c>
      <c r="E75" s="7">
        <f>IF('COPY 30 %'!$A75="","",'COPY 30 %'!O75)</f>
        <v/>
      </c>
      <c r="F75" s="7">
        <f>IF('COPY 30 %'!$A75="","",'COPY 30 %'!L75)</f>
        <v/>
      </c>
      <c r="G75" s="7">
        <f>IF('COPY 30 %'!$A75="","",'COPY 30 %'!S75)</f>
        <v/>
      </c>
      <c r="H75">
        <f>IF('COPY 30 %'!$A75="","",'COPY 30 %'!P75)</f>
        <v/>
      </c>
      <c r="I75">
        <f>IF('COPY 30 %'!$A75="","",'COPY 30 %'!M75)</f>
        <v/>
      </c>
      <c r="J75" s="7">
        <f>IF('COPY 30 %'!$A75="","",'COPY 30 %'!Q75)</f>
        <v/>
      </c>
      <c r="K75" s="7">
        <f>IF('COPY 30 %'!$A75="","",'COPY 30 %'!H75)</f>
        <v/>
      </c>
      <c r="L75" s="7">
        <f>IF('COPY 30 %'!$A75="","",'COPY 30 %'!T75)</f>
        <v/>
      </c>
      <c r="M75">
        <f>IF('COPY 30 %'!$A75="","",'COPY 30 %'!G75)</f>
        <v/>
      </c>
    </row>
    <row r="76">
      <c r="A76">
        <f>IF('COPY 30 %'!$A76="","",ROWS($A$2:$A76))</f>
        <v/>
      </c>
      <c r="B76">
        <f>IF('COPY 30 %'!$A76="","",'COPY 30 %'!E76)</f>
        <v/>
      </c>
      <c r="C76">
        <f>IF('COPY 30 %'!$A76="","",'COPY 30 %'!F76)</f>
        <v/>
      </c>
      <c r="D76" s="14">
        <f>IF('COPY 30 %'!$A76="","",'COPY 30 %'!I76)</f>
        <v/>
      </c>
      <c r="E76" s="7">
        <f>IF('COPY 30 %'!$A76="","",'COPY 30 %'!O76)</f>
        <v/>
      </c>
      <c r="F76" s="7">
        <f>IF('COPY 30 %'!$A76="","",'COPY 30 %'!L76)</f>
        <v/>
      </c>
      <c r="G76" s="7">
        <f>IF('COPY 30 %'!$A76="","",'COPY 30 %'!S76)</f>
        <v/>
      </c>
      <c r="H76">
        <f>IF('COPY 30 %'!$A76="","",'COPY 30 %'!P76)</f>
        <v/>
      </c>
      <c r="I76">
        <f>IF('COPY 30 %'!$A76="","",'COPY 30 %'!M76)</f>
        <v/>
      </c>
      <c r="J76" s="7">
        <f>IF('COPY 30 %'!$A76="","",'COPY 30 %'!Q76)</f>
        <v/>
      </c>
      <c r="K76" s="7">
        <f>IF('COPY 30 %'!$A76="","",'COPY 30 %'!H76)</f>
        <v/>
      </c>
      <c r="L76" s="7">
        <f>IF('COPY 30 %'!$A76="","",'COPY 30 %'!T76)</f>
        <v/>
      </c>
      <c r="M76">
        <f>IF('COPY 30 %'!$A76="","",'COPY 30 %'!G76)</f>
        <v/>
      </c>
    </row>
    <row r="77">
      <c r="A77">
        <f>IF('COPY 30 %'!$A77="","",ROWS($A$2:$A77))</f>
        <v/>
      </c>
      <c r="B77">
        <f>IF('COPY 30 %'!$A77="","",'COPY 30 %'!E77)</f>
        <v/>
      </c>
      <c r="C77">
        <f>IF('COPY 30 %'!$A77="","",'COPY 30 %'!F77)</f>
        <v/>
      </c>
      <c r="D77" s="14">
        <f>IF('COPY 30 %'!$A77="","",'COPY 30 %'!I77)</f>
        <v/>
      </c>
      <c r="E77" s="7">
        <f>IF('COPY 30 %'!$A77="","",'COPY 30 %'!O77)</f>
        <v/>
      </c>
      <c r="F77" s="7">
        <f>IF('COPY 30 %'!$A77="","",'COPY 30 %'!L77)</f>
        <v/>
      </c>
      <c r="G77" s="7">
        <f>IF('COPY 30 %'!$A77="","",'COPY 30 %'!S77)</f>
        <v/>
      </c>
      <c r="H77">
        <f>IF('COPY 30 %'!$A77="","",'COPY 30 %'!P77)</f>
        <v/>
      </c>
      <c r="I77">
        <f>IF('COPY 30 %'!$A77="","",'COPY 30 %'!M77)</f>
        <v/>
      </c>
      <c r="J77" s="7">
        <f>IF('COPY 30 %'!$A77="","",'COPY 30 %'!Q77)</f>
        <v/>
      </c>
      <c r="K77" s="7">
        <f>IF('COPY 30 %'!$A77="","",'COPY 30 %'!H77)</f>
        <v/>
      </c>
      <c r="L77" s="7">
        <f>IF('COPY 30 %'!$A77="","",'COPY 30 %'!T77)</f>
        <v/>
      </c>
      <c r="M77">
        <f>IF('COPY 30 %'!$A77="","",'COPY 30 %'!G77)</f>
        <v/>
      </c>
    </row>
    <row r="78">
      <c r="A78">
        <f>IF('COPY 30 %'!$A78="","",ROWS($A$2:$A78))</f>
        <v/>
      </c>
      <c r="B78">
        <f>IF('COPY 30 %'!$A78="","",'COPY 30 %'!E78)</f>
        <v/>
      </c>
      <c r="C78">
        <f>IF('COPY 30 %'!$A78="","",'COPY 30 %'!F78)</f>
        <v/>
      </c>
      <c r="D78" s="14">
        <f>IF('COPY 30 %'!$A78="","",'COPY 30 %'!I78)</f>
        <v/>
      </c>
      <c r="E78" s="7">
        <f>IF('COPY 30 %'!$A78="","",'COPY 30 %'!O78)</f>
        <v/>
      </c>
      <c r="F78" s="7">
        <f>IF('COPY 30 %'!$A78="","",'COPY 30 %'!L78)</f>
        <v/>
      </c>
      <c r="G78" s="7">
        <f>IF('COPY 30 %'!$A78="","",'COPY 30 %'!S78)</f>
        <v/>
      </c>
      <c r="H78">
        <f>IF('COPY 30 %'!$A78="","",'COPY 30 %'!P78)</f>
        <v/>
      </c>
      <c r="I78">
        <f>IF('COPY 30 %'!$A78="","",'COPY 30 %'!M78)</f>
        <v/>
      </c>
      <c r="J78" s="7">
        <f>IF('COPY 30 %'!$A78="","",'COPY 30 %'!Q78)</f>
        <v/>
      </c>
      <c r="K78" s="7">
        <f>IF('COPY 30 %'!$A78="","",'COPY 30 %'!H78)</f>
        <v/>
      </c>
      <c r="L78" s="7">
        <f>IF('COPY 30 %'!$A78="","",'COPY 30 %'!T78)</f>
        <v/>
      </c>
      <c r="M78">
        <f>IF('COPY 30 %'!$A78="","",'COPY 30 %'!G78)</f>
        <v/>
      </c>
    </row>
    <row r="79">
      <c r="A79">
        <f>IF('COPY 30 %'!$A79="","",ROWS($A$2:$A79))</f>
        <v/>
      </c>
      <c r="B79">
        <f>IF('COPY 30 %'!$A79="","",'COPY 30 %'!E79)</f>
        <v/>
      </c>
      <c r="C79">
        <f>IF('COPY 30 %'!$A79="","",'COPY 30 %'!F79)</f>
        <v/>
      </c>
      <c r="D79" s="14">
        <f>IF('COPY 30 %'!$A79="","",'COPY 30 %'!I79)</f>
        <v/>
      </c>
      <c r="E79" s="7">
        <f>IF('COPY 30 %'!$A79="","",'COPY 30 %'!O79)</f>
        <v/>
      </c>
      <c r="F79" s="7">
        <f>IF('COPY 30 %'!$A79="","",'COPY 30 %'!L79)</f>
        <v/>
      </c>
      <c r="G79" s="7">
        <f>IF('COPY 30 %'!$A79="","",'COPY 30 %'!S79)</f>
        <v/>
      </c>
      <c r="H79">
        <f>IF('COPY 30 %'!$A79="","",'COPY 30 %'!P79)</f>
        <v/>
      </c>
      <c r="I79">
        <f>IF('COPY 30 %'!$A79="","",'COPY 30 %'!M79)</f>
        <v/>
      </c>
      <c r="J79" s="7">
        <f>IF('COPY 30 %'!$A79="","",'COPY 30 %'!Q79)</f>
        <v/>
      </c>
      <c r="K79" s="7">
        <f>IF('COPY 30 %'!$A79="","",'COPY 30 %'!H79)</f>
        <v/>
      </c>
      <c r="L79" s="7">
        <f>IF('COPY 30 %'!$A79="","",'COPY 30 %'!T79)</f>
        <v/>
      </c>
      <c r="M79">
        <f>IF('COPY 30 %'!$A79="","",'COPY 30 %'!G79)</f>
        <v/>
      </c>
    </row>
    <row r="80">
      <c r="A80">
        <f>IF('COPY 30 %'!$A80="","",ROWS($A$2:$A80))</f>
        <v/>
      </c>
      <c r="B80">
        <f>IF('COPY 30 %'!$A80="","",'COPY 30 %'!E80)</f>
        <v/>
      </c>
      <c r="C80">
        <f>IF('COPY 30 %'!$A80="","",'COPY 30 %'!F80)</f>
        <v/>
      </c>
      <c r="D80" s="14">
        <f>IF('COPY 30 %'!$A80="","",'COPY 30 %'!I80)</f>
        <v/>
      </c>
      <c r="E80" s="7">
        <f>IF('COPY 30 %'!$A80="","",'COPY 30 %'!O80)</f>
        <v/>
      </c>
      <c r="F80" s="7">
        <f>IF('COPY 30 %'!$A80="","",'COPY 30 %'!L80)</f>
        <v/>
      </c>
      <c r="G80" s="7">
        <f>IF('COPY 30 %'!$A80="","",'COPY 30 %'!S80)</f>
        <v/>
      </c>
      <c r="H80">
        <f>IF('COPY 30 %'!$A80="","",'COPY 30 %'!P80)</f>
        <v/>
      </c>
      <c r="I80">
        <f>IF('COPY 30 %'!$A80="","",'COPY 30 %'!M80)</f>
        <v/>
      </c>
      <c r="J80" s="7">
        <f>IF('COPY 30 %'!$A80="","",'COPY 30 %'!Q80)</f>
        <v/>
      </c>
      <c r="K80" s="7">
        <f>IF('COPY 30 %'!$A80="","",'COPY 30 %'!H80)</f>
        <v/>
      </c>
      <c r="L80" s="7">
        <f>IF('COPY 30 %'!$A80="","",'COPY 30 %'!T80)</f>
        <v/>
      </c>
      <c r="M80">
        <f>IF('COPY 30 %'!$A80="","",'COPY 30 %'!G80)</f>
        <v/>
      </c>
    </row>
    <row r="81">
      <c r="A81">
        <f>IF('COPY 30 %'!$A81="","",ROWS($A$2:$A81))</f>
        <v/>
      </c>
      <c r="B81">
        <f>IF('COPY 30 %'!$A81="","",'COPY 30 %'!E81)</f>
        <v/>
      </c>
      <c r="C81">
        <f>IF('COPY 30 %'!$A81="","",'COPY 30 %'!F81)</f>
        <v/>
      </c>
      <c r="D81" s="14">
        <f>IF('COPY 30 %'!$A81="","",'COPY 30 %'!I81)</f>
        <v/>
      </c>
      <c r="E81" s="7">
        <f>IF('COPY 30 %'!$A81="","",'COPY 30 %'!O81)</f>
        <v/>
      </c>
      <c r="F81" s="7">
        <f>IF('COPY 30 %'!$A81="","",'COPY 30 %'!L81)</f>
        <v/>
      </c>
      <c r="G81" s="7">
        <f>IF('COPY 30 %'!$A81="","",'COPY 30 %'!S81)</f>
        <v/>
      </c>
      <c r="H81">
        <f>IF('COPY 30 %'!$A81="","",'COPY 30 %'!P81)</f>
        <v/>
      </c>
      <c r="I81">
        <f>IF('COPY 30 %'!$A81="","",'COPY 30 %'!M81)</f>
        <v/>
      </c>
      <c r="J81" s="7">
        <f>IF('COPY 30 %'!$A81="","",'COPY 30 %'!Q81)</f>
        <v/>
      </c>
      <c r="K81" s="7">
        <f>IF('COPY 30 %'!$A81="","",'COPY 30 %'!H81)</f>
        <v/>
      </c>
      <c r="L81" s="7">
        <f>IF('COPY 30 %'!$A81="","",'COPY 30 %'!T81)</f>
        <v/>
      </c>
      <c r="M81">
        <f>IF('COPY 30 %'!$A81="","",'COPY 30 %'!G81)</f>
        <v/>
      </c>
    </row>
    <row r="82">
      <c r="A82">
        <f>IF('COPY 30 %'!$A82="","",ROWS($A$2:$A82))</f>
        <v/>
      </c>
      <c r="B82">
        <f>IF('COPY 30 %'!$A82="","",'COPY 30 %'!E82)</f>
        <v/>
      </c>
      <c r="C82">
        <f>IF('COPY 30 %'!$A82="","",'COPY 30 %'!F82)</f>
        <v/>
      </c>
      <c r="D82" s="14">
        <f>IF('COPY 30 %'!$A82="","",'COPY 30 %'!I82)</f>
        <v/>
      </c>
      <c r="E82" s="7">
        <f>IF('COPY 30 %'!$A82="","",'COPY 30 %'!O82)</f>
        <v/>
      </c>
      <c r="F82" s="7">
        <f>IF('COPY 30 %'!$A82="","",'COPY 30 %'!L82)</f>
        <v/>
      </c>
      <c r="G82" s="7">
        <f>IF('COPY 30 %'!$A82="","",'COPY 30 %'!S82)</f>
        <v/>
      </c>
      <c r="H82">
        <f>IF('COPY 30 %'!$A82="","",'COPY 30 %'!P82)</f>
        <v/>
      </c>
      <c r="I82">
        <f>IF('COPY 30 %'!$A82="","",'COPY 30 %'!M82)</f>
        <v/>
      </c>
      <c r="J82" s="7">
        <f>IF('COPY 30 %'!$A82="","",'COPY 30 %'!Q82)</f>
        <v/>
      </c>
      <c r="K82" s="7">
        <f>IF('COPY 30 %'!$A82="","",'COPY 30 %'!H82)</f>
        <v/>
      </c>
      <c r="L82" s="7">
        <f>IF('COPY 30 %'!$A82="","",'COPY 30 %'!T82)</f>
        <v/>
      </c>
      <c r="M82">
        <f>IF('COPY 30 %'!$A82="","",'COPY 30 %'!G82)</f>
        <v/>
      </c>
    </row>
    <row r="83">
      <c r="A83">
        <f>IF('COPY 30 %'!$A83="","",ROWS($A$2:$A83))</f>
        <v/>
      </c>
      <c r="B83">
        <f>IF('COPY 30 %'!$A83="","",'COPY 30 %'!E83)</f>
        <v/>
      </c>
      <c r="C83">
        <f>IF('COPY 30 %'!$A83="","",'COPY 30 %'!F83)</f>
        <v/>
      </c>
      <c r="D83" s="14">
        <f>IF('COPY 30 %'!$A83="","",'COPY 30 %'!I83)</f>
        <v/>
      </c>
      <c r="E83" s="7">
        <f>IF('COPY 30 %'!$A83="","",'COPY 30 %'!O83)</f>
        <v/>
      </c>
      <c r="F83" s="7">
        <f>IF('COPY 30 %'!$A83="","",'COPY 30 %'!L83)</f>
        <v/>
      </c>
      <c r="G83" s="7">
        <f>IF('COPY 30 %'!$A83="","",'COPY 30 %'!S83)</f>
        <v/>
      </c>
      <c r="H83">
        <f>IF('COPY 30 %'!$A83="","",'COPY 30 %'!P83)</f>
        <v/>
      </c>
      <c r="I83">
        <f>IF('COPY 30 %'!$A83="","",'COPY 30 %'!M83)</f>
        <v/>
      </c>
      <c r="J83" s="7">
        <f>IF('COPY 30 %'!$A83="","",'COPY 30 %'!Q83)</f>
        <v/>
      </c>
      <c r="K83" s="7">
        <f>IF('COPY 30 %'!$A83="","",'COPY 30 %'!H83)</f>
        <v/>
      </c>
      <c r="L83" s="7">
        <f>IF('COPY 30 %'!$A83="","",'COPY 30 %'!T83)</f>
        <v/>
      </c>
      <c r="M83">
        <f>IF('COPY 30 %'!$A83="","",'COPY 30 %'!G83)</f>
        <v/>
      </c>
    </row>
    <row r="84">
      <c r="A84">
        <f>IF('COPY 30 %'!$A84="","",ROWS($A$2:$A84))</f>
        <v/>
      </c>
      <c r="B84">
        <f>IF('COPY 30 %'!$A84="","",'COPY 30 %'!E84)</f>
        <v/>
      </c>
      <c r="C84">
        <f>IF('COPY 30 %'!$A84="","",'COPY 30 %'!F84)</f>
        <v/>
      </c>
      <c r="D84" s="14">
        <f>IF('COPY 30 %'!$A84="","",'COPY 30 %'!I84)</f>
        <v/>
      </c>
      <c r="E84" s="7">
        <f>IF('COPY 30 %'!$A84="","",'COPY 30 %'!O84)</f>
        <v/>
      </c>
      <c r="F84" s="7">
        <f>IF('COPY 30 %'!$A84="","",'COPY 30 %'!L84)</f>
        <v/>
      </c>
      <c r="G84" s="7">
        <f>IF('COPY 30 %'!$A84="","",'COPY 30 %'!S84)</f>
        <v/>
      </c>
      <c r="H84">
        <f>IF('COPY 30 %'!$A84="","",'COPY 30 %'!P84)</f>
        <v/>
      </c>
      <c r="I84">
        <f>IF('COPY 30 %'!$A84="","",'COPY 30 %'!M84)</f>
        <v/>
      </c>
      <c r="J84" s="7">
        <f>IF('COPY 30 %'!$A84="","",'COPY 30 %'!Q84)</f>
        <v/>
      </c>
      <c r="K84" s="7">
        <f>IF('COPY 30 %'!$A84="","",'COPY 30 %'!H84)</f>
        <v/>
      </c>
      <c r="L84" s="7">
        <f>IF('COPY 30 %'!$A84="","",'COPY 30 %'!T84)</f>
        <v/>
      </c>
      <c r="M84">
        <f>IF('COPY 30 %'!$A84="","",'COPY 30 %'!G84)</f>
        <v/>
      </c>
    </row>
    <row r="85">
      <c r="A85">
        <f>IF('COPY 30 %'!$A85="","",ROWS($A$2:$A85))</f>
        <v/>
      </c>
      <c r="B85">
        <f>IF('COPY 30 %'!$A85="","",'COPY 30 %'!E85)</f>
        <v/>
      </c>
      <c r="C85">
        <f>IF('COPY 30 %'!$A85="","",'COPY 30 %'!F85)</f>
        <v/>
      </c>
      <c r="D85" s="14">
        <f>IF('COPY 30 %'!$A85="","",'COPY 30 %'!I85)</f>
        <v/>
      </c>
      <c r="E85" s="7">
        <f>IF('COPY 30 %'!$A85="","",'COPY 30 %'!O85)</f>
        <v/>
      </c>
      <c r="F85" s="7">
        <f>IF('COPY 30 %'!$A85="","",'COPY 30 %'!L85)</f>
        <v/>
      </c>
      <c r="G85" s="7">
        <f>IF('COPY 30 %'!$A85="","",'COPY 30 %'!S85)</f>
        <v/>
      </c>
      <c r="H85">
        <f>IF('COPY 30 %'!$A85="","",'COPY 30 %'!P85)</f>
        <v/>
      </c>
      <c r="I85">
        <f>IF('COPY 30 %'!$A85="","",'COPY 30 %'!M85)</f>
        <v/>
      </c>
      <c r="J85" s="7">
        <f>IF('COPY 30 %'!$A85="","",'COPY 30 %'!Q85)</f>
        <v/>
      </c>
      <c r="K85" s="7">
        <f>IF('COPY 30 %'!$A85="","",'COPY 30 %'!H85)</f>
        <v/>
      </c>
      <c r="L85" s="7">
        <f>IF('COPY 30 %'!$A85="","",'COPY 30 %'!T85)</f>
        <v/>
      </c>
      <c r="M85">
        <f>IF('COPY 30 %'!$A85="","",'COPY 30 %'!G85)</f>
        <v/>
      </c>
    </row>
    <row r="86">
      <c r="A86">
        <f>IF('COPY 30 %'!$A86="","",ROWS($A$2:$A86))</f>
        <v/>
      </c>
      <c r="B86">
        <f>IF('COPY 30 %'!$A86="","",'COPY 30 %'!E86)</f>
        <v/>
      </c>
      <c r="C86">
        <f>IF('COPY 30 %'!$A86="","",'COPY 30 %'!F86)</f>
        <v/>
      </c>
      <c r="D86" s="14">
        <f>IF('COPY 30 %'!$A86="","",'COPY 30 %'!I86)</f>
        <v/>
      </c>
      <c r="E86" s="7">
        <f>IF('COPY 30 %'!$A86="","",'COPY 30 %'!O86)</f>
        <v/>
      </c>
      <c r="F86" s="7">
        <f>IF('COPY 30 %'!$A86="","",'COPY 30 %'!L86)</f>
        <v/>
      </c>
      <c r="G86" s="7">
        <f>IF('COPY 30 %'!$A86="","",'COPY 30 %'!S86)</f>
        <v/>
      </c>
      <c r="H86">
        <f>IF('COPY 30 %'!$A86="","",'COPY 30 %'!P86)</f>
        <v/>
      </c>
      <c r="I86">
        <f>IF('COPY 30 %'!$A86="","",'COPY 30 %'!M86)</f>
        <v/>
      </c>
      <c r="J86" s="7">
        <f>IF('COPY 30 %'!$A86="","",'COPY 30 %'!Q86)</f>
        <v/>
      </c>
      <c r="K86" s="7">
        <f>IF('COPY 30 %'!$A86="","",'COPY 30 %'!H86)</f>
        <v/>
      </c>
      <c r="L86" s="7">
        <f>IF('COPY 30 %'!$A86="","",'COPY 30 %'!T86)</f>
        <v/>
      </c>
      <c r="M86">
        <f>IF('COPY 30 %'!$A86="","",'COPY 30 %'!G86)</f>
        <v/>
      </c>
    </row>
    <row r="87">
      <c r="A87">
        <f>IF('COPY 30 %'!$A87="","",ROWS($A$2:$A87))</f>
        <v/>
      </c>
      <c r="B87">
        <f>IF('COPY 30 %'!$A87="","",'COPY 30 %'!E87)</f>
        <v/>
      </c>
      <c r="C87">
        <f>IF('COPY 30 %'!$A87="","",'COPY 30 %'!F87)</f>
        <v/>
      </c>
      <c r="D87" s="14">
        <f>IF('COPY 30 %'!$A87="","",'COPY 30 %'!I87)</f>
        <v/>
      </c>
      <c r="E87" s="7">
        <f>IF('COPY 30 %'!$A87="","",'COPY 30 %'!O87)</f>
        <v/>
      </c>
      <c r="F87" s="7">
        <f>IF('COPY 30 %'!$A87="","",'COPY 30 %'!L87)</f>
        <v/>
      </c>
      <c r="G87" s="7">
        <f>IF('COPY 30 %'!$A87="","",'COPY 30 %'!S87)</f>
        <v/>
      </c>
      <c r="H87">
        <f>IF('COPY 30 %'!$A87="","",'COPY 30 %'!P87)</f>
        <v/>
      </c>
      <c r="I87">
        <f>IF('COPY 30 %'!$A87="","",'COPY 30 %'!M87)</f>
        <v/>
      </c>
      <c r="J87" s="7">
        <f>IF('COPY 30 %'!$A87="","",'COPY 30 %'!Q87)</f>
        <v/>
      </c>
      <c r="K87" s="7">
        <f>IF('COPY 30 %'!$A87="","",'COPY 30 %'!H87)</f>
        <v/>
      </c>
      <c r="L87" s="7">
        <f>IF('COPY 30 %'!$A87="","",'COPY 30 %'!T87)</f>
        <v/>
      </c>
      <c r="M87">
        <f>IF('COPY 30 %'!$A87="","",'COPY 30 %'!G87)</f>
        <v/>
      </c>
    </row>
    <row r="88">
      <c r="A88">
        <f>IF('COPY 30 %'!$A88="","",ROWS($A$2:$A88))</f>
        <v/>
      </c>
      <c r="B88">
        <f>IF('COPY 30 %'!$A88="","",'COPY 30 %'!E88)</f>
        <v/>
      </c>
      <c r="C88">
        <f>IF('COPY 30 %'!$A88="","",'COPY 30 %'!F88)</f>
        <v/>
      </c>
      <c r="D88" s="14">
        <f>IF('COPY 30 %'!$A88="","",'COPY 30 %'!I88)</f>
        <v/>
      </c>
      <c r="E88" s="7">
        <f>IF('COPY 30 %'!$A88="","",'COPY 30 %'!O88)</f>
        <v/>
      </c>
      <c r="F88" s="7">
        <f>IF('COPY 30 %'!$A88="","",'COPY 30 %'!L88)</f>
        <v/>
      </c>
      <c r="G88" s="7">
        <f>IF('COPY 30 %'!$A88="","",'COPY 30 %'!S88)</f>
        <v/>
      </c>
      <c r="H88">
        <f>IF('COPY 30 %'!$A88="","",'COPY 30 %'!P88)</f>
        <v/>
      </c>
      <c r="I88">
        <f>IF('COPY 30 %'!$A88="","",'COPY 30 %'!M88)</f>
        <v/>
      </c>
      <c r="J88" s="7">
        <f>IF('COPY 30 %'!$A88="","",'COPY 30 %'!Q88)</f>
        <v/>
      </c>
      <c r="K88" s="7">
        <f>IF('COPY 30 %'!$A88="","",'COPY 30 %'!H88)</f>
        <v/>
      </c>
      <c r="L88" s="7">
        <f>IF('COPY 30 %'!$A88="","",'COPY 30 %'!T88)</f>
        <v/>
      </c>
      <c r="M88">
        <f>IF('COPY 30 %'!$A88="","",'COPY 30 %'!G88)</f>
        <v/>
      </c>
    </row>
    <row r="89">
      <c r="A89">
        <f>IF('COPY 30 %'!$A89="","",ROWS($A$2:$A89))</f>
        <v/>
      </c>
      <c r="B89">
        <f>IF('COPY 30 %'!$A89="","",'COPY 30 %'!E89)</f>
        <v/>
      </c>
      <c r="C89">
        <f>IF('COPY 30 %'!$A89="","",'COPY 30 %'!F89)</f>
        <v/>
      </c>
      <c r="D89" s="14">
        <f>IF('COPY 30 %'!$A89="","",'COPY 30 %'!I89)</f>
        <v/>
      </c>
      <c r="E89" s="7">
        <f>IF('COPY 30 %'!$A89="","",'COPY 30 %'!O89)</f>
        <v/>
      </c>
      <c r="F89" s="7">
        <f>IF('COPY 30 %'!$A89="","",'COPY 30 %'!L89)</f>
        <v/>
      </c>
      <c r="G89" s="7">
        <f>IF('COPY 30 %'!$A89="","",'COPY 30 %'!S89)</f>
        <v/>
      </c>
      <c r="H89">
        <f>IF('COPY 30 %'!$A89="","",'COPY 30 %'!P89)</f>
        <v/>
      </c>
      <c r="I89">
        <f>IF('COPY 30 %'!$A89="","",'COPY 30 %'!M89)</f>
        <v/>
      </c>
      <c r="J89" s="7">
        <f>IF('COPY 30 %'!$A89="","",'COPY 30 %'!Q89)</f>
        <v/>
      </c>
      <c r="K89" s="7">
        <f>IF('COPY 30 %'!$A89="","",'COPY 30 %'!H89)</f>
        <v/>
      </c>
      <c r="L89" s="7">
        <f>IF('COPY 30 %'!$A89="","",'COPY 30 %'!T89)</f>
        <v/>
      </c>
      <c r="M89">
        <f>IF('COPY 30 %'!$A89="","",'COPY 30 %'!G89)</f>
        <v/>
      </c>
    </row>
    <row r="90">
      <c r="A90">
        <f>IF('COPY 30 %'!$A90="","",ROWS($A$2:$A90))</f>
        <v/>
      </c>
      <c r="B90">
        <f>IF('COPY 30 %'!$A90="","",'COPY 30 %'!E90)</f>
        <v/>
      </c>
      <c r="C90">
        <f>IF('COPY 30 %'!$A90="","",'COPY 30 %'!F90)</f>
        <v/>
      </c>
      <c r="D90" s="14">
        <f>IF('COPY 30 %'!$A90="","",'COPY 30 %'!I90)</f>
        <v/>
      </c>
      <c r="E90" s="7">
        <f>IF('COPY 30 %'!$A90="","",'COPY 30 %'!O90)</f>
        <v/>
      </c>
      <c r="F90" s="7">
        <f>IF('COPY 30 %'!$A90="","",'COPY 30 %'!L90)</f>
        <v/>
      </c>
      <c r="G90" s="7">
        <f>IF('COPY 30 %'!$A90="","",'COPY 30 %'!S90)</f>
        <v/>
      </c>
      <c r="H90">
        <f>IF('COPY 30 %'!$A90="","",'COPY 30 %'!P90)</f>
        <v/>
      </c>
      <c r="I90">
        <f>IF('COPY 30 %'!$A90="","",'COPY 30 %'!M90)</f>
        <v/>
      </c>
      <c r="J90" s="7">
        <f>IF('COPY 30 %'!$A90="","",'COPY 30 %'!Q90)</f>
        <v/>
      </c>
      <c r="K90" s="7">
        <f>IF('COPY 30 %'!$A90="","",'COPY 30 %'!H90)</f>
        <v/>
      </c>
      <c r="L90" s="7">
        <f>IF('COPY 30 %'!$A90="","",'COPY 30 %'!T90)</f>
        <v/>
      </c>
      <c r="M90">
        <f>IF('COPY 30 %'!$A90="","",'COPY 30 %'!G90)</f>
        <v/>
      </c>
    </row>
    <row r="91">
      <c r="A91">
        <f>IF('COPY 30 %'!$A91="","",ROWS($A$2:$A91))</f>
        <v/>
      </c>
      <c r="B91">
        <f>IF('COPY 30 %'!$A91="","",'COPY 30 %'!E91)</f>
        <v/>
      </c>
      <c r="C91">
        <f>IF('COPY 30 %'!$A91="","",'COPY 30 %'!F91)</f>
        <v/>
      </c>
      <c r="D91" s="14">
        <f>IF('COPY 30 %'!$A91="","",'COPY 30 %'!I91)</f>
        <v/>
      </c>
      <c r="E91" s="7">
        <f>IF('COPY 30 %'!$A91="","",'COPY 30 %'!O91)</f>
        <v/>
      </c>
      <c r="F91" s="7">
        <f>IF('COPY 30 %'!$A91="","",'COPY 30 %'!L91)</f>
        <v/>
      </c>
      <c r="G91" s="7">
        <f>IF('COPY 30 %'!$A91="","",'COPY 30 %'!S91)</f>
        <v/>
      </c>
      <c r="H91">
        <f>IF('COPY 30 %'!$A91="","",'COPY 30 %'!P91)</f>
        <v/>
      </c>
      <c r="I91">
        <f>IF('COPY 30 %'!$A91="","",'COPY 30 %'!M91)</f>
        <v/>
      </c>
      <c r="J91" s="7">
        <f>IF('COPY 30 %'!$A91="","",'COPY 30 %'!Q91)</f>
        <v/>
      </c>
      <c r="K91" s="7">
        <f>IF('COPY 30 %'!$A91="","",'COPY 30 %'!H91)</f>
        <v/>
      </c>
      <c r="L91" s="7">
        <f>IF('COPY 30 %'!$A91="","",'COPY 30 %'!T91)</f>
        <v/>
      </c>
      <c r="M91">
        <f>IF('COPY 30 %'!$A91="","",'COPY 30 %'!G91)</f>
        <v/>
      </c>
    </row>
    <row r="92">
      <c r="A92">
        <f>IF('COPY 30 %'!$A92="","",ROWS($A$2:$A92))</f>
        <v/>
      </c>
      <c r="B92">
        <f>IF('COPY 30 %'!$A92="","",'COPY 30 %'!E92)</f>
        <v/>
      </c>
      <c r="C92">
        <f>IF('COPY 30 %'!$A92="","",'COPY 30 %'!F92)</f>
        <v/>
      </c>
      <c r="D92" s="14">
        <f>IF('COPY 30 %'!$A92="","",'COPY 30 %'!I92)</f>
        <v/>
      </c>
      <c r="E92" s="7">
        <f>IF('COPY 30 %'!$A92="","",'COPY 30 %'!O92)</f>
        <v/>
      </c>
      <c r="F92" s="7">
        <f>IF('COPY 30 %'!$A92="","",'COPY 30 %'!L92)</f>
        <v/>
      </c>
      <c r="G92" s="7">
        <f>IF('COPY 30 %'!$A92="","",'COPY 30 %'!S92)</f>
        <v/>
      </c>
      <c r="H92">
        <f>IF('COPY 30 %'!$A92="","",'COPY 30 %'!P92)</f>
        <v/>
      </c>
      <c r="I92">
        <f>IF('COPY 30 %'!$A92="","",'COPY 30 %'!M92)</f>
        <v/>
      </c>
      <c r="J92" s="7">
        <f>IF('COPY 30 %'!$A92="","",'COPY 30 %'!Q92)</f>
        <v/>
      </c>
      <c r="K92" s="7">
        <f>IF('COPY 30 %'!$A92="","",'COPY 30 %'!H92)</f>
        <v/>
      </c>
      <c r="L92" s="7">
        <f>IF('COPY 30 %'!$A92="","",'COPY 30 %'!T92)</f>
        <v/>
      </c>
      <c r="M92">
        <f>IF('COPY 30 %'!$A92="","",'COPY 30 %'!G92)</f>
        <v/>
      </c>
    </row>
    <row r="93">
      <c r="A93">
        <f>IF('COPY 30 %'!$A93="","",ROWS($A$2:$A93))</f>
        <v/>
      </c>
      <c r="B93">
        <f>IF('COPY 30 %'!$A93="","",'COPY 30 %'!E93)</f>
        <v/>
      </c>
      <c r="C93">
        <f>IF('COPY 30 %'!$A93="","",'COPY 30 %'!F93)</f>
        <v/>
      </c>
      <c r="D93" s="14">
        <f>IF('COPY 30 %'!$A93="","",'COPY 30 %'!I93)</f>
        <v/>
      </c>
      <c r="E93" s="7">
        <f>IF('COPY 30 %'!$A93="","",'COPY 30 %'!O93)</f>
        <v/>
      </c>
      <c r="F93" s="7">
        <f>IF('COPY 30 %'!$A93="","",'COPY 30 %'!L93)</f>
        <v/>
      </c>
      <c r="G93" s="7">
        <f>IF('COPY 30 %'!$A93="","",'COPY 30 %'!S93)</f>
        <v/>
      </c>
      <c r="H93">
        <f>IF('COPY 30 %'!$A93="","",'COPY 30 %'!P93)</f>
        <v/>
      </c>
      <c r="I93">
        <f>IF('COPY 30 %'!$A93="","",'COPY 30 %'!M93)</f>
        <v/>
      </c>
      <c r="J93" s="7">
        <f>IF('COPY 30 %'!$A93="","",'COPY 30 %'!Q93)</f>
        <v/>
      </c>
      <c r="K93" s="7">
        <f>IF('COPY 30 %'!$A93="","",'COPY 30 %'!H93)</f>
        <v/>
      </c>
      <c r="L93" s="7">
        <f>IF('COPY 30 %'!$A93="","",'COPY 30 %'!T93)</f>
        <v/>
      </c>
      <c r="M93">
        <f>IF('COPY 30 %'!$A93="","",'COPY 30 %'!G93)</f>
        <v/>
      </c>
    </row>
    <row r="94">
      <c r="A94">
        <f>IF('COPY 30 %'!$A94="","",ROWS($A$2:$A94))</f>
        <v/>
      </c>
      <c r="B94">
        <f>IF('COPY 30 %'!$A94="","",'COPY 30 %'!E94)</f>
        <v/>
      </c>
      <c r="C94">
        <f>IF('COPY 30 %'!$A94="","",'COPY 30 %'!F94)</f>
        <v/>
      </c>
      <c r="D94" s="14">
        <f>IF('COPY 30 %'!$A94="","",'COPY 30 %'!I94)</f>
        <v/>
      </c>
      <c r="E94" s="7">
        <f>IF('COPY 30 %'!$A94="","",'COPY 30 %'!O94)</f>
        <v/>
      </c>
      <c r="F94" s="7">
        <f>IF('COPY 30 %'!$A94="","",'COPY 30 %'!L94)</f>
        <v/>
      </c>
      <c r="G94" s="7">
        <f>IF('COPY 30 %'!$A94="","",'COPY 30 %'!S94)</f>
        <v/>
      </c>
      <c r="H94">
        <f>IF('COPY 30 %'!$A94="","",'COPY 30 %'!P94)</f>
        <v/>
      </c>
      <c r="I94">
        <f>IF('COPY 30 %'!$A94="","",'COPY 30 %'!M94)</f>
        <v/>
      </c>
      <c r="J94" s="7">
        <f>IF('COPY 30 %'!$A94="","",'COPY 30 %'!Q94)</f>
        <v/>
      </c>
      <c r="K94" s="7">
        <f>IF('COPY 30 %'!$A94="","",'COPY 30 %'!H94)</f>
        <v/>
      </c>
      <c r="L94" s="7">
        <f>IF('COPY 30 %'!$A94="","",'COPY 30 %'!T94)</f>
        <v/>
      </c>
      <c r="M94">
        <f>IF('COPY 30 %'!$A94="","",'COPY 30 %'!G94)</f>
        <v/>
      </c>
    </row>
    <row r="95">
      <c r="A95">
        <f>IF('COPY 30 %'!$A95="","",ROWS($A$2:$A95))</f>
        <v/>
      </c>
      <c r="B95">
        <f>IF('COPY 30 %'!$A95="","",'COPY 30 %'!E95)</f>
        <v/>
      </c>
      <c r="C95">
        <f>IF('COPY 30 %'!$A95="","",'COPY 30 %'!F95)</f>
        <v/>
      </c>
      <c r="D95" s="14">
        <f>IF('COPY 30 %'!$A95="","",'COPY 30 %'!I95)</f>
        <v/>
      </c>
      <c r="E95" s="7">
        <f>IF('COPY 30 %'!$A95="","",'COPY 30 %'!O95)</f>
        <v/>
      </c>
      <c r="F95" s="7">
        <f>IF('COPY 30 %'!$A95="","",'COPY 30 %'!L95)</f>
        <v/>
      </c>
      <c r="G95" s="7">
        <f>IF('COPY 30 %'!$A95="","",'COPY 30 %'!S95)</f>
        <v/>
      </c>
      <c r="H95">
        <f>IF('COPY 30 %'!$A95="","",'COPY 30 %'!P95)</f>
        <v/>
      </c>
      <c r="I95">
        <f>IF('COPY 30 %'!$A95="","",'COPY 30 %'!M95)</f>
        <v/>
      </c>
      <c r="J95" s="7">
        <f>IF('COPY 30 %'!$A95="","",'COPY 30 %'!Q95)</f>
        <v/>
      </c>
      <c r="K95" s="7">
        <f>IF('COPY 30 %'!$A95="","",'COPY 30 %'!H95)</f>
        <v/>
      </c>
      <c r="L95" s="7">
        <f>IF('COPY 30 %'!$A95="","",'COPY 30 %'!T95)</f>
        <v/>
      </c>
      <c r="M95">
        <f>IF('COPY 30 %'!$A95="","",'COPY 30 %'!G95)</f>
        <v/>
      </c>
    </row>
    <row r="96">
      <c r="A96">
        <f>IF('COPY 30 %'!$A96="","",ROWS($A$2:$A96))</f>
        <v/>
      </c>
      <c r="B96">
        <f>IF('COPY 30 %'!$A96="","",'COPY 30 %'!E96)</f>
        <v/>
      </c>
      <c r="C96">
        <f>IF('COPY 30 %'!$A96="","",'COPY 30 %'!F96)</f>
        <v/>
      </c>
      <c r="D96" s="14">
        <f>IF('COPY 30 %'!$A96="","",'COPY 30 %'!I96)</f>
        <v/>
      </c>
      <c r="E96" s="7">
        <f>IF('COPY 30 %'!$A96="","",'COPY 30 %'!O96)</f>
        <v/>
      </c>
      <c r="F96" s="7">
        <f>IF('COPY 30 %'!$A96="","",'COPY 30 %'!L96)</f>
        <v/>
      </c>
      <c r="G96" s="7">
        <f>IF('COPY 30 %'!$A96="","",'COPY 30 %'!S96)</f>
        <v/>
      </c>
      <c r="H96">
        <f>IF('COPY 30 %'!$A96="","",'COPY 30 %'!P96)</f>
        <v/>
      </c>
      <c r="I96">
        <f>IF('COPY 30 %'!$A96="","",'COPY 30 %'!M96)</f>
        <v/>
      </c>
      <c r="J96" s="7">
        <f>IF('COPY 30 %'!$A96="","",'COPY 30 %'!Q96)</f>
        <v/>
      </c>
      <c r="K96" s="7">
        <f>IF('COPY 30 %'!$A96="","",'COPY 30 %'!H96)</f>
        <v/>
      </c>
      <c r="L96" s="7">
        <f>IF('COPY 30 %'!$A96="","",'COPY 30 %'!T96)</f>
        <v/>
      </c>
      <c r="M96">
        <f>IF('COPY 30 %'!$A96="","",'COPY 30 %'!G96)</f>
        <v/>
      </c>
    </row>
    <row r="97">
      <c r="A97">
        <f>IF('COPY 30 %'!$A97="","",ROWS($A$2:$A97))</f>
        <v/>
      </c>
      <c r="B97">
        <f>IF('COPY 30 %'!$A97="","",'COPY 30 %'!E97)</f>
        <v/>
      </c>
      <c r="C97">
        <f>IF('COPY 30 %'!$A97="","",'COPY 30 %'!F97)</f>
        <v/>
      </c>
      <c r="D97" s="14">
        <f>IF('COPY 30 %'!$A97="","",'COPY 30 %'!I97)</f>
        <v/>
      </c>
      <c r="E97" s="7">
        <f>IF('COPY 30 %'!$A97="","",'COPY 30 %'!O97)</f>
        <v/>
      </c>
      <c r="F97" s="7">
        <f>IF('COPY 30 %'!$A97="","",'COPY 30 %'!L97)</f>
        <v/>
      </c>
      <c r="G97" s="7">
        <f>IF('COPY 30 %'!$A97="","",'COPY 30 %'!S97)</f>
        <v/>
      </c>
      <c r="H97">
        <f>IF('COPY 30 %'!$A97="","",'COPY 30 %'!P97)</f>
        <v/>
      </c>
      <c r="I97">
        <f>IF('COPY 30 %'!$A97="","",'COPY 30 %'!M97)</f>
        <v/>
      </c>
      <c r="J97" s="7">
        <f>IF('COPY 30 %'!$A97="","",'COPY 30 %'!Q97)</f>
        <v/>
      </c>
      <c r="K97" s="7">
        <f>IF('COPY 30 %'!$A97="","",'COPY 30 %'!H97)</f>
        <v/>
      </c>
      <c r="L97" s="7">
        <f>IF('COPY 30 %'!$A97="","",'COPY 30 %'!T97)</f>
        <v/>
      </c>
      <c r="M97">
        <f>IF('COPY 30 %'!$A97="","",'COPY 30 %'!G97)</f>
        <v/>
      </c>
    </row>
    <row r="98">
      <c r="A98">
        <f>IF('COPY 30 %'!$A98="","",ROWS($A$2:$A98))</f>
        <v/>
      </c>
      <c r="B98">
        <f>IF('COPY 30 %'!$A98="","",'COPY 30 %'!E98)</f>
        <v/>
      </c>
      <c r="C98">
        <f>IF('COPY 30 %'!$A98="","",'COPY 30 %'!F98)</f>
        <v/>
      </c>
      <c r="D98" s="14">
        <f>IF('COPY 30 %'!$A98="","",'COPY 30 %'!I98)</f>
        <v/>
      </c>
      <c r="E98" s="7">
        <f>IF('COPY 30 %'!$A98="","",'COPY 30 %'!O98)</f>
        <v/>
      </c>
      <c r="F98" s="7">
        <f>IF('COPY 30 %'!$A98="","",'COPY 30 %'!L98)</f>
        <v/>
      </c>
      <c r="G98" s="7">
        <f>IF('COPY 30 %'!$A98="","",'COPY 30 %'!S98)</f>
        <v/>
      </c>
      <c r="H98">
        <f>IF('COPY 30 %'!$A98="","",'COPY 30 %'!P98)</f>
        <v/>
      </c>
      <c r="I98">
        <f>IF('COPY 30 %'!$A98="","",'COPY 30 %'!M98)</f>
        <v/>
      </c>
      <c r="J98" s="7">
        <f>IF('COPY 30 %'!$A98="","",'COPY 30 %'!Q98)</f>
        <v/>
      </c>
      <c r="K98" s="7">
        <f>IF('COPY 30 %'!$A98="","",'COPY 30 %'!H98)</f>
        <v/>
      </c>
      <c r="L98" s="7">
        <f>IF('COPY 30 %'!$A98="","",'COPY 30 %'!T98)</f>
        <v/>
      </c>
      <c r="M98">
        <f>IF('COPY 30 %'!$A98="","",'COPY 30 %'!G98)</f>
        <v/>
      </c>
    </row>
    <row r="99">
      <c r="A99">
        <f>IF('COPY 30 %'!$A99="","",ROWS($A$2:$A99))</f>
        <v/>
      </c>
      <c r="B99">
        <f>IF('COPY 30 %'!$A99="","",'COPY 30 %'!E99)</f>
        <v/>
      </c>
      <c r="C99">
        <f>IF('COPY 30 %'!$A99="","",'COPY 30 %'!F99)</f>
        <v/>
      </c>
      <c r="D99" s="14">
        <f>IF('COPY 30 %'!$A99="","",'COPY 30 %'!I99)</f>
        <v/>
      </c>
      <c r="E99" s="7">
        <f>IF('COPY 30 %'!$A99="","",'COPY 30 %'!O99)</f>
        <v/>
      </c>
      <c r="F99" s="7">
        <f>IF('COPY 30 %'!$A99="","",'COPY 30 %'!L99)</f>
        <v/>
      </c>
      <c r="G99" s="7">
        <f>IF('COPY 30 %'!$A99="","",'COPY 30 %'!S99)</f>
        <v/>
      </c>
      <c r="H99">
        <f>IF('COPY 30 %'!$A99="","",'COPY 30 %'!P99)</f>
        <v/>
      </c>
      <c r="I99">
        <f>IF('COPY 30 %'!$A99="","",'COPY 30 %'!M99)</f>
        <v/>
      </c>
      <c r="J99" s="7">
        <f>IF('COPY 30 %'!$A99="","",'COPY 30 %'!Q99)</f>
        <v/>
      </c>
      <c r="K99" s="7">
        <f>IF('COPY 30 %'!$A99="","",'COPY 30 %'!H99)</f>
        <v/>
      </c>
      <c r="L99" s="7">
        <f>IF('COPY 30 %'!$A99="","",'COPY 30 %'!T99)</f>
        <v/>
      </c>
      <c r="M99">
        <f>IF('COPY 30 %'!$A99="","",'COPY 30 %'!G99)</f>
        <v/>
      </c>
    </row>
    <row r="100">
      <c r="A100">
        <f>IF('COPY 30 %'!$A100="","",ROWS($A$2:$A100))</f>
        <v/>
      </c>
      <c r="B100">
        <f>IF('COPY 30 %'!$A100="","",'COPY 30 %'!E100)</f>
        <v/>
      </c>
      <c r="C100">
        <f>IF('COPY 30 %'!$A100="","",'COPY 30 %'!F100)</f>
        <v/>
      </c>
      <c r="D100" s="14">
        <f>IF('COPY 30 %'!$A100="","",'COPY 30 %'!I100)</f>
        <v/>
      </c>
      <c r="E100" s="7">
        <f>IF('COPY 30 %'!$A100="","",'COPY 30 %'!O100)</f>
        <v/>
      </c>
      <c r="F100" s="7">
        <f>IF('COPY 30 %'!$A100="","",'COPY 30 %'!L100)</f>
        <v/>
      </c>
      <c r="G100" s="7">
        <f>IF('COPY 30 %'!$A100="","",'COPY 30 %'!S100)</f>
        <v/>
      </c>
      <c r="H100">
        <f>IF('COPY 30 %'!$A100="","",'COPY 30 %'!P100)</f>
        <v/>
      </c>
      <c r="I100">
        <f>IF('COPY 30 %'!$A100="","",'COPY 30 %'!M100)</f>
        <v/>
      </c>
      <c r="J100" s="7">
        <f>IF('COPY 30 %'!$A100="","",'COPY 30 %'!Q100)</f>
        <v/>
      </c>
      <c r="K100" s="7">
        <f>IF('COPY 30 %'!$A100="","",'COPY 30 %'!H100)</f>
        <v/>
      </c>
      <c r="L100" s="7">
        <f>IF('COPY 30 %'!$A100="","",'COPY 30 %'!T100)</f>
        <v/>
      </c>
      <c r="M100">
        <f>IF('COPY 30 %'!$A100="","",'COPY 30 %'!G100)</f>
        <v/>
      </c>
    </row>
    <row r="101">
      <c r="A101">
        <f>IF('COPY 30 %'!$A101="","",ROWS($A$2:$A101))</f>
        <v/>
      </c>
      <c r="B101">
        <f>IF('COPY 30 %'!$A101="","",'COPY 30 %'!E101)</f>
        <v/>
      </c>
      <c r="C101">
        <f>IF('COPY 30 %'!$A101="","",'COPY 30 %'!F101)</f>
        <v/>
      </c>
      <c r="D101" s="14">
        <f>IF('COPY 30 %'!$A101="","",'COPY 30 %'!I101)</f>
        <v/>
      </c>
      <c r="E101" s="7">
        <f>IF('COPY 30 %'!$A101="","",'COPY 30 %'!O101)</f>
        <v/>
      </c>
      <c r="F101" s="7">
        <f>IF('COPY 30 %'!$A101="","",'COPY 30 %'!L101)</f>
        <v/>
      </c>
      <c r="G101" s="7">
        <f>IF('COPY 30 %'!$A101="","",'COPY 30 %'!S101)</f>
        <v/>
      </c>
      <c r="H101">
        <f>IF('COPY 30 %'!$A101="","",'COPY 30 %'!P101)</f>
        <v/>
      </c>
      <c r="I101">
        <f>IF('COPY 30 %'!$A101="","",'COPY 30 %'!M101)</f>
        <v/>
      </c>
      <c r="J101" s="7">
        <f>IF('COPY 30 %'!$A101="","",'COPY 30 %'!Q101)</f>
        <v/>
      </c>
      <c r="K101" s="7">
        <f>IF('COPY 30 %'!$A101="","",'COPY 30 %'!H101)</f>
        <v/>
      </c>
      <c r="L101" s="7">
        <f>IF('COPY 30 %'!$A101="","",'COPY 30 %'!T101)</f>
        <v/>
      </c>
      <c r="M101">
        <f>IF('COPY 30 %'!$A101="","",'COPY 30 %'!G101)</f>
        <v/>
      </c>
    </row>
    <row r="102">
      <c r="A102">
        <f>IF('COPY 30 %'!$A102="","",ROWS($A$2:$A102))</f>
        <v/>
      </c>
      <c r="B102">
        <f>IF('COPY 30 %'!$A102="","",'COPY 30 %'!E102)</f>
        <v/>
      </c>
      <c r="C102">
        <f>IF('COPY 30 %'!$A102="","",'COPY 30 %'!F102)</f>
        <v/>
      </c>
      <c r="D102" s="14">
        <f>IF('COPY 30 %'!$A102="","",'COPY 30 %'!I102)</f>
        <v/>
      </c>
      <c r="E102" s="7">
        <f>IF('COPY 30 %'!$A102="","",'COPY 30 %'!O102)</f>
        <v/>
      </c>
      <c r="F102" s="7">
        <f>IF('COPY 30 %'!$A102="","",'COPY 30 %'!L102)</f>
        <v/>
      </c>
      <c r="G102" s="7">
        <f>IF('COPY 30 %'!$A102="","",'COPY 30 %'!S102)</f>
        <v/>
      </c>
      <c r="H102">
        <f>IF('COPY 30 %'!$A102="","",'COPY 30 %'!P102)</f>
        <v/>
      </c>
      <c r="I102">
        <f>IF('COPY 30 %'!$A102="","",'COPY 30 %'!M102)</f>
        <v/>
      </c>
      <c r="J102" s="7">
        <f>IF('COPY 30 %'!$A102="","",'COPY 30 %'!Q102)</f>
        <v/>
      </c>
      <c r="K102" s="7">
        <f>IF('COPY 30 %'!$A102="","",'COPY 30 %'!H102)</f>
        <v/>
      </c>
      <c r="L102" s="7">
        <f>IF('COPY 30 %'!$A102="","",'COPY 30 %'!T102)</f>
        <v/>
      </c>
      <c r="M102">
        <f>IF('COPY 30 %'!$A102="","",'COPY 30 %'!G102)</f>
        <v/>
      </c>
    </row>
    <row r="103">
      <c r="A103">
        <f>IF('COPY 30 %'!$A103="","",ROWS($A$2:$A103))</f>
        <v/>
      </c>
      <c r="B103">
        <f>IF('COPY 30 %'!$A103="","",'COPY 30 %'!E103)</f>
        <v/>
      </c>
      <c r="C103">
        <f>IF('COPY 30 %'!$A103="","",'COPY 30 %'!F103)</f>
        <v/>
      </c>
      <c r="D103" s="14">
        <f>IF('COPY 30 %'!$A103="","",'COPY 30 %'!I103)</f>
        <v/>
      </c>
      <c r="E103" s="7">
        <f>IF('COPY 30 %'!$A103="","",'COPY 30 %'!O103)</f>
        <v/>
      </c>
      <c r="F103" s="7">
        <f>IF('COPY 30 %'!$A103="","",'COPY 30 %'!L103)</f>
        <v/>
      </c>
      <c r="G103" s="7">
        <f>IF('COPY 30 %'!$A103="","",'COPY 30 %'!S103)</f>
        <v/>
      </c>
      <c r="H103">
        <f>IF('COPY 30 %'!$A103="","",'COPY 30 %'!P103)</f>
        <v/>
      </c>
      <c r="I103">
        <f>IF('COPY 30 %'!$A103="","",'COPY 30 %'!M103)</f>
        <v/>
      </c>
      <c r="J103" s="7">
        <f>IF('COPY 30 %'!$A103="","",'COPY 30 %'!Q103)</f>
        <v/>
      </c>
      <c r="K103" s="7">
        <f>IF('COPY 30 %'!$A103="","",'COPY 30 %'!H103)</f>
        <v/>
      </c>
      <c r="L103" s="7">
        <f>IF('COPY 30 %'!$A103="","",'COPY 30 %'!T103)</f>
        <v/>
      </c>
      <c r="M103">
        <f>IF('COPY 30 %'!$A103="","",'COPY 30 %'!G103)</f>
        <v/>
      </c>
    </row>
    <row r="104">
      <c r="A104">
        <f>IF('COPY 30 %'!$A104="","",ROWS($A$2:$A104))</f>
        <v/>
      </c>
      <c r="B104">
        <f>IF('COPY 30 %'!$A104="","",'COPY 30 %'!E104)</f>
        <v/>
      </c>
      <c r="C104">
        <f>IF('COPY 30 %'!$A104="","",'COPY 30 %'!F104)</f>
        <v/>
      </c>
      <c r="D104" s="14">
        <f>IF('COPY 30 %'!$A104="","",'COPY 30 %'!I104)</f>
        <v/>
      </c>
      <c r="E104" s="7">
        <f>IF('COPY 30 %'!$A104="","",'COPY 30 %'!O104)</f>
        <v/>
      </c>
      <c r="F104" s="7">
        <f>IF('COPY 30 %'!$A104="","",'COPY 30 %'!L104)</f>
        <v/>
      </c>
      <c r="G104" s="7">
        <f>IF('COPY 30 %'!$A104="","",'COPY 30 %'!S104)</f>
        <v/>
      </c>
      <c r="H104">
        <f>IF('COPY 30 %'!$A104="","",'COPY 30 %'!P104)</f>
        <v/>
      </c>
      <c r="I104">
        <f>IF('COPY 30 %'!$A104="","",'COPY 30 %'!M104)</f>
        <v/>
      </c>
      <c r="J104" s="7">
        <f>IF('COPY 30 %'!$A104="","",'COPY 30 %'!Q104)</f>
        <v/>
      </c>
      <c r="K104" s="7">
        <f>IF('COPY 30 %'!$A104="","",'COPY 30 %'!H104)</f>
        <v/>
      </c>
      <c r="L104" s="7">
        <f>IF('COPY 30 %'!$A104="","",'COPY 30 %'!T104)</f>
        <v/>
      </c>
      <c r="M104">
        <f>IF('COPY 30 %'!$A104="","",'COPY 30 %'!G104)</f>
        <v/>
      </c>
    </row>
    <row r="105">
      <c r="A105">
        <f>IF('COPY 30 %'!$A105="","",ROWS($A$2:$A105))</f>
        <v/>
      </c>
      <c r="B105">
        <f>IF('COPY 30 %'!$A105="","",'COPY 30 %'!E105)</f>
        <v/>
      </c>
      <c r="C105">
        <f>IF('COPY 30 %'!$A105="","",'COPY 30 %'!F105)</f>
        <v/>
      </c>
      <c r="D105" s="14">
        <f>IF('COPY 30 %'!$A105="","",'COPY 30 %'!I105)</f>
        <v/>
      </c>
      <c r="E105" s="7">
        <f>IF('COPY 30 %'!$A105="","",'COPY 30 %'!O105)</f>
        <v/>
      </c>
      <c r="F105" s="7">
        <f>IF('COPY 30 %'!$A105="","",'COPY 30 %'!L105)</f>
        <v/>
      </c>
      <c r="G105" s="7">
        <f>IF('COPY 30 %'!$A105="","",'COPY 30 %'!S105)</f>
        <v/>
      </c>
      <c r="H105">
        <f>IF('COPY 30 %'!$A105="","",'COPY 30 %'!P105)</f>
        <v/>
      </c>
      <c r="I105">
        <f>IF('COPY 30 %'!$A105="","",'COPY 30 %'!M105)</f>
        <v/>
      </c>
      <c r="J105" s="7">
        <f>IF('COPY 30 %'!$A105="","",'COPY 30 %'!Q105)</f>
        <v/>
      </c>
      <c r="K105" s="7">
        <f>IF('COPY 30 %'!$A105="","",'COPY 30 %'!H105)</f>
        <v/>
      </c>
      <c r="L105" s="7">
        <f>IF('COPY 30 %'!$A105="","",'COPY 30 %'!T105)</f>
        <v/>
      </c>
      <c r="M105">
        <f>IF('COPY 30 %'!$A105="","",'COPY 30 %'!G105)</f>
        <v/>
      </c>
    </row>
    <row r="106">
      <c r="A106">
        <f>IF('COPY 30 %'!$A106="","",ROWS($A$2:$A106))</f>
        <v/>
      </c>
      <c r="B106">
        <f>IF('COPY 30 %'!$A106="","",'COPY 30 %'!E106)</f>
        <v/>
      </c>
      <c r="C106">
        <f>IF('COPY 30 %'!$A106="","",'COPY 30 %'!F106)</f>
        <v/>
      </c>
      <c r="D106" s="14">
        <f>IF('COPY 30 %'!$A106="","",'COPY 30 %'!I106)</f>
        <v/>
      </c>
      <c r="E106" s="7">
        <f>IF('COPY 30 %'!$A106="","",'COPY 30 %'!O106)</f>
        <v/>
      </c>
      <c r="F106" s="7">
        <f>IF('COPY 30 %'!$A106="","",'COPY 30 %'!L106)</f>
        <v/>
      </c>
      <c r="G106" s="7">
        <f>IF('COPY 30 %'!$A106="","",'COPY 30 %'!S106)</f>
        <v/>
      </c>
      <c r="H106">
        <f>IF('COPY 30 %'!$A106="","",'COPY 30 %'!P106)</f>
        <v/>
      </c>
      <c r="I106">
        <f>IF('COPY 30 %'!$A106="","",'COPY 30 %'!M106)</f>
        <v/>
      </c>
      <c r="J106" s="7">
        <f>IF('COPY 30 %'!$A106="","",'COPY 30 %'!Q106)</f>
        <v/>
      </c>
      <c r="K106" s="7">
        <f>IF('COPY 30 %'!$A106="","",'COPY 30 %'!H106)</f>
        <v/>
      </c>
      <c r="L106" s="7">
        <f>IF('COPY 30 %'!$A106="","",'COPY 30 %'!T106)</f>
        <v/>
      </c>
      <c r="M106">
        <f>IF('COPY 30 %'!$A106="","",'COPY 30 %'!G106)</f>
        <v/>
      </c>
    </row>
    <row r="107">
      <c r="A107">
        <f>IF('COPY 30 %'!$A107="","",ROWS($A$2:$A107))</f>
        <v/>
      </c>
      <c r="B107">
        <f>IF('COPY 30 %'!$A107="","",'COPY 30 %'!E107)</f>
        <v/>
      </c>
      <c r="C107">
        <f>IF('COPY 30 %'!$A107="","",'COPY 30 %'!F107)</f>
        <v/>
      </c>
      <c r="D107" s="14">
        <f>IF('COPY 30 %'!$A107="","",'COPY 30 %'!I107)</f>
        <v/>
      </c>
      <c r="E107" s="7">
        <f>IF('COPY 30 %'!$A107="","",'COPY 30 %'!O107)</f>
        <v/>
      </c>
      <c r="F107" s="7">
        <f>IF('COPY 30 %'!$A107="","",'COPY 30 %'!L107)</f>
        <v/>
      </c>
      <c r="G107" s="7">
        <f>IF('COPY 30 %'!$A107="","",'COPY 30 %'!S107)</f>
        <v/>
      </c>
      <c r="H107">
        <f>IF('COPY 30 %'!$A107="","",'COPY 30 %'!P107)</f>
        <v/>
      </c>
      <c r="I107">
        <f>IF('COPY 30 %'!$A107="","",'COPY 30 %'!M107)</f>
        <v/>
      </c>
      <c r="J107" s="7">
        <f>IF('COPY 30 %'!$A107="","",'COPY 30 %'!Q107)</f>
        <v/>
      </c>
      <c r="K107" s="7">
        <f>IF('COPY 30 %'!$A107="","",'COPY 30 %'!H107)</f>
        <v/>
      </c>
      <c r="L107" s="7">
        <f>IF('COPY 30 %'!$A107="","",'COPY 30 %'!T107)</f>
        <v/>
      </c>
      <c r="M107">
        <f>IF('COPY 30 %'!$A107="","",'COPY 30 %'!G107)</f>
        <v/>
      </c>
    </row>
    <row r="108">
      <c r="A108">
        <f>IF('COPY 30 %'!$A108="","",ROWS($A$2:$A108))</f>
        <v/>
      </c>
      <c r="B108">
        <f>IF('COPY 30 %'!$A108="","",'COPY 30 %'!E108)</f>
        <v/>
      </c>
      <c r="C108">
        <f>IF('COPY 30 %'!$A108="","",'COPY 30 %'!F108)</f>
        <v/>
      </c>
      <c r="D108" s="14">
        <f>IF('COPY 30 %'!$A108="","",'COPY 30 %'!I108)</f>
        <v/>
      </c>
      <c r="E108" s="7">
        <f>IF('COPY 30 %'!$A108="","",'COPY 30 %'!O108)</f>
        <v/>
      </c>
      <c r="F108" s="7">
        <f>IF('COPY 30 %'!$A108="","",'COPY 30 %'!L108)</f>
        <v/>
      </c>
      <c r="G108" s="7">
        <f>IF('COPY 30 %'!$A108="","",'COPY 30 %'!S108)</f>
        <v/>
      </c>
      <c r="H108">
        <f>IF('COPY 30 %'!$A108="","",'COPY 30 %'!P108)</f>
        <v/>
      </c>
      <c r="I108">
        <f>IF('COPY 30 %'!$A108="","",'COPY 30 %'!M108)</f>
        <v/>
      </c>
      <c r="J108" s="7">
        <f>IF('COPY 30 %'!$A108="","",'COPY 30 %'!Q108)</f>
        <v/>
      </c>
      <c r="K108" s="7">
        <f>IF('COPY 30 %'!$A108="","",'COPY 30 %'!H108)</f>
        <v/>
      </c>
      <c r="L108" s="7">
        <f>IF('COPY 30 %'!$A108="","",'COPY 30 %'!T108)</f>
        <v/>
      </c>
      <c r="M108">
        <f>IF('COPY 30 %'!$A108="","",'COPY 30 %'!G108)</f>
        <v/>
      </c>
    </row>
    <row r="109">
      <c r="A109">
        <f>IF('COPY 30 %'!$A109="","",ROWS($A$2:$A109))</f>
        <v/>
      </c>
      <c r="B109">
        <f>IF('COPY 30 %'!$A109="","",'COPY 30 %'!E109)</f>
        <v/>
      </c>
      <c r="C109">
        <f>IF('COPY 30 %'!$A109="","",'COPY 30 %'!F109)</f>
        <v/>
      </c>
      <c r="D109" s="14">
        <f>IF('COPY 30 %'!$A109="","",'COPY 30 %'!I109)</f>
        <v/>
      </c>
      <c r="E109" s="7">
        <f>IF('COPY 30 %'!$A109="","",'COPY 30 %'!O109)</f>
        <v/>
      </c>
      <c r="F109" s="7">
        <f>IF('COPY 30 %'!$A109="","",'COPY 30 %'!L109)</f>
        <v/>
      </c>
      <c r="G109" s="7">
        <f>IF('COPY 30 %'!$A109="","",'COPY 30 %'!S109)</f>
        <v/>
      </c>
      <c r="H109">
        <f>IF('COPY 30 %'!$A109="","",'COPY 30 %'!P109)</f>
        <v/>
      </c>
      <c r="I109">
        <f>IF('COPY 30 %'!$A109="","",'COPY 30 %'!M109)</f>
        <v/>
      </c>
      <c r="J109" s="7">
        <f>IF('COPY 30 %'!$A109="","",'COPY 30 %'!Q109)</f>
        <v/>
      </c>
      <c r="K109" s="7">
        <f>IF('COPY 30 %'!$A109="","",'COPY 30 %'!H109)</f>
        <v/>
      </c>
      <c r="L109" s="7">
        <f>IF('COPY 30 %'!$A109="","",'COPY 30 %'!T109)</f>
        <v/>
      </c>
      <c r="M109">
        <f>IF('COPY 30 %'!$A109="","",'COPY 30 %'!G109)</f>
        <v/>
      </c>
    </row>
    <row r="110">
      <c r="A110">
        <f>IF('COPY 30 %'!$A110="","",ROWS($A$2:$A110))</f>
        <v/>
      </c>
      <c r="B110">
        <f>IF('COPY 30 %'!$A110="","",'COPY 30 %'!E110)</f>
        <v/>
      </c>
      <c r="C110">
        <f>IF('COPY 30 %'!$A110="","",'COPY 30 %'!F110)</f>
        <v/>
      </c>
      <c r="D110" s="14">
        <f>IF('COPY 30 %'!$A110="","",'COPY 30 %'!I110)</f>
        <v/>
      </c>
      <c r="E110" s="7">
        <f>IF('COPY 30 %'!$A110="","",'COPY 30 %'!O110)</f>
        <v/>
      </c>
      <c r="F110" s="7">
        <f>IF('COPY 30 %'!$A110="","",'COPY 30 %'!L110)</f>
        <v/>
      </c>
      <c r="G110" s="7">
        <f>IF('COPY 30 %'!$A110="","",'COPY 30 %'!S110)</f>
        <v/>
      </c>
      <c r="H110">
        <f>IF('COPY 30 %'!$A110="","",'COPY 30 %'!P110)</f>
        <v/>
      </c>
      <c r="I110">
        <f>IF('COPY 30 %'!$A110="","",'COPY 30 %'!M110)</f>
        <v/>
      </c>
      <c r="J110" s="7">
        <f>IF('COPY 30 %'!$A110="","",'COPY 30 %'!Q110)</f>
        <v/>
      </c>
      <c r="K110" s="7">
        <f>IF('COPY 30 %'!$A110="","",'COPY 30 %'!H110)</f>
        <v/>
      </c>
      <c r="L110" s="7">
        <f>IF('COPY 30 %'!$A110="","",'COPY 30 %'!T110)</f>
        <v/>
      </c>
      <c r="M110">
        <f>IF('COPY 30 %'!$A110="","",'COPY 30 %'!G110)</f>
        <v/>
      </c>
    </row>
    <row r="111">
      <c r="A111">
        <f>IF('COPY 30 %'!$A111="","",ROWS($A$2:$A111))</f>
        <v/>
      </c>
      <c r="B111">
        <f>IF('COPY 30 %'!$A111="","",'COPY 30 %'!E111)</f>
        <v/>
      </c>
      <c r="C111">
        <f>IF('COPY 30 %'!$A111="","",'COPY 30 %'!F111)</f>
        <v/>
      </c>
      <c r="D111" s="14">
        <f>IF('COPY 30 %'!$A111="","",'COPY 30 %'!I111)</f>
        <v/>
      </c>
      <c r="E111" s="7">
        <f>IF('COPY 30 %'!$A111="","",'COPY 30 %'!O111)</f>
        <v/>
      </c>
      <c r="F111" s="7">
        <f>IF('COPY 30 %'!$A111="","",'COPY 30 %'!L111)</f>
        <v/>
      </c>
      <c r="G111" s="7">
        <f>IF('COPY 30 %'!$A111="","",'COPY 30 %'!S111)</f>
        <v/>
      </c>
      <c r="H111">
        <f>IF('COPY 30 %'!$A111="","",'COPY 30 %'!P111)</f>
        <v/>
      </c>
      <c r="I111">
        <f>IF('COPY 30 %'!$A111="","",'COPY 30 %'!M111)</f>
        <v/>
      </c>
      <c r="J111" s="7">
        <f>IF('COPY 30 %'!$A111="","",'COPY 30 %'!Q111)</f>
        <v/>
      </c>
      <c r="K111" s="7">
        <f>IF('COPY 30 %'!$A111="","",'COPY 30 %'!H111)</f>
        <v/>
      </c>
      <c r="L111" s="7">
        <f>IF('COPY 30 %'!$A111="","",'COPY 30 %'!T111)</f>
        <v/>
      </c>
      <c r="M111">
        <f>IF('COPY 30 %'!$A111="","",'COPY 30 %'!G111)</f>
        <v/>
      </c>
    </row>
    <row r="112">
      <c r="A112">
        <f>IF('COPY 30 %'!$A112="","",ROWS($A$2:$A112))</f>
        <v/>
      </c>
      <c r="B112">
        <f>IF('COPY 30 %'!$A112="","",'COPY 30 %'!E112)</f>
        <v/>
      </c>
      <c r="C112">
        <f>IF('COPY 30 %'!$A112="","",'COPY 30 %'!F112)</f>
        <v/>
      </c>
      <c r="D112" s="14">
        <f>IF('COPY 30 %'!$A112="","",'COPY 30 %'!I112)</f>
        <v/>
      </c>
      <c r="E112" s="7">
        <f>IF('COPY 30 %'!$A112="","",'COPY 30 %'!O112)</f>
        <v/>
      </c>
      <c r="F112" s="7">
        <f>IF('COPY 30 %'!$A112="","",'COPY 30 %'!L112)</f>
        <v/>
      </c>
      <c r="G112" s="7">
        <f>IF('COPY 30 %'!$A112="","",'COPY 30 %'!S112)</f>
        <v/>
      </c>
      <c r="H112">
        <f>IF('COPY 30 %'!$A112="","",'COPY 30 %'!P112)</f>
        <v/>
      </c>
      <c r="I112">
        <f>IF('COPY 30 %'!$A112="","",'COPY 30 %'!M112)</f>
        <v/>
      </c>
      <c r="J112" s="7">
        <f>IF('COPY 30 %'!$A112="","",'COPY 30 %'!Q112)</f>
        <v/>
      </c>
      <c r="K112" s="7">
        <f>IF('COPY 30 %'!$A112="","",'COPY 30 %'!H112)</f>
        <v/>
      </c>
      <c r="L112" s="7">
        <f>IF('COPY 30 %'!$A112="","",'COPY 30 %'!T112)</f>
        <v/>
      </c>
      <c r="M112">
        <f>IF('COPY 30 %'!$A112="","",'COPY 30 %'!G112)</f>
        <v/>
      </c>
    </row>
    <row r="113">
      <c r="A113">
        <f>IF('COPY 30 %'!$A113="","",ROWS($A$2:$A113))</f>
        <v/>
      </c>
      <c r="B113">
        <f>IF('COPY 30 %'!$A113="","",'COPY 30 %'!E113)</f>
        <v/>
      </c>
      <c r="C113">
        <f>IF('COPY 30 %'!$A113="","",'COPY 30 %'!F113)</f>
        <v/>
      </c>
      <c r="D113" s="14">
        <f>IF('COPY 30 %'!$A113="","",'COPY 30 %'!I113)</f>
        <v/>
      </c>
      <c r="E113" s="7">
        <f>IF('COPY 30 %'!$A113="","",'COPY 30 %'!O113)</f>
        <v/>
      </c>
      <c r="F113" s="7">
        <f>IF('COPY 30 %'!$A113="","",'COPY 30 %'!L113)</f>
        <v/>
      </c>
      <c r="G113" s="7">
        <f>IF('COPY 30 %'!$A113="","",'COPY 30 %'!S113)</f>
        <v/>
      </c>
      <c r="H113">
        <f>IF('COPY 30 %'!$A113="","",'COPY 30 %'!P113)</f>
        <v/>
      </c>
      <c r="I113">
        <f>IF('COPY 30 %'!$A113="","",'COPY 30 %'!M113)</f>
        <v/>
      </c>
      <c r="J113" s="7">
        <f>IF('COPY 30 %'!$A113="","",'COPY 30 %'!Q113)</f>
        <v/>
      </c>
      <c r="K113" s="7">
        <f>IF('COPY 30 %'!$A113="","",'COPY 30 %'!H113)</f>
        <v/>
      </c>
      <c r="L113" s="7">
        <f>IF('COPY 30 %'!$A113="","",'COPY 30 %'!T113)</f>
        <v/>
      </c>
      <c r="M113">
        <f>IF('COPY 30 %'!$A113="","",'COPY 30 %'!G113)</f>
        <v/>
      </c>
    </row>
    <row r="114">
      <c r="A114">
        <f>IF('COPY 30 %'!$A114="","",ROWS($A$2:$A114))</f>
        <v/>
      </c>
      <c r="B114">
        <f>IF('COPY 30 %'!$A114="","",'COPY 30 %'!E114)</f>
        <v/>
      </c>
      <c r="C114">
        <f>IF('COPY 30 %'!$A114="","",'COPY 30 %'!F114)</f>
        <v/>
      </c>
      <c r="D114" s="14">
        <f>IF('COPY 30 %'!$A114="","",'COPY 30 %'!I114)</f>
        <v/>
      </c>
      <c r="E114" s="7">
        <f>IF('COPY 30 %'!$A114="","",'COPY 30 %'!O114)</f>
        <v/>
      </c>
      <c r="F114" s="7">
        <f>IF('COPY 30 %'!$A114="","",'COPY 30 %'!L114)</f>
        <v/>
      </c>
      <c r="G114" s="7">
        <f>IF('COPY 30 %'!$A114="","",'COPY 30 %'!S114)</f>
        <v/>
      </c>
      <c r="H114">
        <f>IF('COPY 30 %'!$A114="","",'COPY 30 %'!P114)</f>
        <v/>
      </c>
      <c r="I114">
        <f>IF('COPY 30 %'!$A114="","",'COPY 30 %'!M114)</f>
        <v/>
      </c>
      <c r="J114" s="7">
        <f>IF('COPY 30 %'!$A114="","",'COPY 30 %'!Q114)</f>
        <v/>
      </c>
      <c r="K114" s="7">
        <f>IF('COPY 30 %'!$A114="","",'COPY 30 %'!H114)</f>
        <v/>
      </c>
      <c r="L114" s="7">
        <f>IF('COPY 30 %'!$A114="","",'COPY 30 %'!T114)</f>
        <v/>
      </c>
      <c r="M114">
        <f>IF('COPY 30 %'!$A114="","",'COPY 30 %'!G114)</f>
        <v/>
      </c>
    </row>
    <row r="115">
      <c r="A115">
        <f>IF('COPY 30 %'!$A115="","",ROWS($A$2:$A115))</f>
        <v/>
      </c>
      <c r="B115">
        <f>IF('COPY 30 %'!$A115="","",'COPY 30 %'!E115)</f>
        <v/>
      </c>
      <c r="C115">
        <f>IF('COPY 30 %'!$A115="","",'COPY 30 %'!F115)</f>
        <v/>
      </c>
      <c r="D115" s="14">
        <f>IF('COPY 30 %'!$A115="","",'COPY 30 %'!I115)</f>
        <v/>
      </c>
      <c r="E115" s="7">
        <f>IF('COPY 30 %'!$A115="","",'COPY 30 %'!O115)</f>
        <v/>
      </c>
      <c r="F115" s="7">
        <f>IF('COPY 30 %'!$A115="","",'COPY 30 %'!L115)</f>
        <v/>
      </c>
      <c r="G115" s="7">
        <f>IF('COPY 30 %'!$A115="","",'COPY 30 %'!S115)</f>
        <v/>
      </c>
      <c r="H115">
        <f>IF('COPY 30 %'!$A115="","",'COPY 30 %'!P115)</f>
        <v/>
      </c>
      <c r="I115">
        <f>IF('COPY 30 %'!$A115="","",'COPY 30 %'!M115)</f>
        <v/>
      </c>
      <c r="J115" s="7">
        <f>IF('COPY 30 %'!$A115="","",'COPY 30 %'!Q115)</f>
        <v/>
      </c>
      <c r="K115" s="7">
        <f>IF('COPY 30 %'!$A115="","",'COPY 30 %'!H115)</f>
        <v/>
      </c>
      <c r="L115" s="7">
        <f>IF('COPY 30 %'!$A115="","",'COPY 30 %'!T115)</f>
        <v/>
      </c>
      <c r="M115">
        <f>IF('COPY 30 %'!$A115="","",'COPY 30 %'!G115)</f>
        <v/>
      </c>
    </row>
    <row r="116">
      <c r="A116">
        <f>IF('COPY 30 %'!$A116="","",ROWS($A$2:$A116))</f>
        <v/>
      </c>
      <c r="B116">
        <f>IF('COPY 30 %'!$A116="","",'COPY 30 %'!E116)</f>
        <v/>
      </c>
      <c r="C116">
        <f>IF('COPY 30 %'!$A116="","",'COPY 30 %'!F116)</f>
        <v/>
      </c>
      <c r="D116" s="14">
        <f>IF('COPY 30 %'!$A116="","",'COPY 30 %'!I116)</f>
        <v/>
      </c>
      <c r="E116" s="7">
        <f>IF('COPY 30 %'!$A116="","",'COPY 30 %'!O116)</f>
        <v/>
      </c>
      <c r="F116" s="7">
        <f>IF('COPY 30 %'!$A116="","",'COPY 30 %'!L116)</f>
        <v/>
      </c>
      <c r="G116" s="7">
        <f>IF('COPY 30 %'!$A116="","",'COPY 30 %'!S116)</f>
        <v/>
      </c>
      <c r="H116">
        <f>IF('COPY 30 %'!$A116="","",'COPY 30 %'!P116)</f>
        <v/>
      </c>
      <c r="I116">
        <f>IF('COPY 30 %'!$A116="","",'COPY 30 %'!M116)</f>
        <v/>
      </c>
      <c r="J116" s="7">
        <f>IF('COPY 30 %'!$A116="","",'COPY 30 %'!Q116)</f>
        <v/>
      </c>
      <c r="K116" s="7">
        <f>IF('COPY 30 %'!$A116="","",'COPY 30 %'!H116)</f>
        <v/>
      </c>
      <c r="L116" s="7">
        <f>IF('COPY 30 %'!$A116="","",'COPY 30 %'!T116)</f>
        <v/>
      </c>
      <c r="M116">
        <f>IF('COPY 30 %'!$A116="","",'COPY 30 %'!G116)</f>
        <v/>
      </c>
    </row>
    <row r="117">
      <c r="A117">
        <f>IF('COPY 30 %'!$A117="","",ROWS($A$2:$A117))</f>
        <v/>
      </c>
      <c r="B117">
        <f>IF('COPY 30 %'!$A117="","",'COPY 30 %'!E117)</f>
        <v/>
      </c>
      <c r="C117">
        <f>IF('COPY 30 %'!$A117="","",'COPY 30 %'!F117)</f>
        <v/>
      </c>
      <c r="D117" s="14">
        <f>IF('COPY 30 %'!$A117="","",'COPY 30 %'!I117)</f>
        <v/>
      </c>
      <c r="E117" s="7">
        <f>IF('COPY 30 %'!$A117="","",'COPY 30 %'!O117)</f>
        <v/>
      </c>
      <c r="F117" s="7">
        <f>IF('COPY 30 %'!$A117="","",'COPY 30 %'!L117)</f>
        <v/>
      </c>
      <c r="G117" s="7">
        <f>IF('COPY 30 %'!$A117="","",'COPY 30 %'!S117)</f>
        <v/>
      </c>
      <c r="H117">
        <f>IF('COPY 30 %'!$A117="","",'COPY 30 %'!P117)</f>
        <v/>
      </c>
      <c r="I117">
        <f>IF('COPY 30 %'!$A117="","",'COPY 30 %'!M117)</f>
        <v/>
      </c>
      <c r="J117" s="7">
        <f>IF('COPY 30 %'!$A117="","",'COPY 30 %'!Q117)</f>
        <v/>
      </c>
      <c r="K117" s="7">
        <f>IF('COPY 30 %'!$A117="","",'COPY 30 %'!H117)</f>
        <v/>
      </c>
      <c r="L117" s="7">
        <f>IF('COPY 30 %'!$A117="","",'COPY 30 %'!T117)</f>
        <v/>
      </c>
      <c r="M117">
        <f>IF('COPY 30 %'!$A117="","",'COPY 30 %'!G117)</f>
        <v/>
      </c>
    </row>
    <row r="118">
      <c r="A118">
        <f>IF('COPY 30 %'!$A118="","",ROWS($A$2:$A118))</f>
        <v/>
      </c>
      <c r="B118">
        <f>IF('COPY 30 %'!$A118="","",'COPY 30 %'!E118)</f>
        <v/>
      </c>
      <c r="C118">
        <f>IF('COPY 30 %'!$A118="","",'COPY 30 %'!F118)</f>
        <v/>
      </c>
      <c r="D118" s="14">
        <f>IF('COPY 30 %'!$A118="","",'COPY 30 %'!I118)</f>
        <v/>
      </c>
      <c r="E118" s="7">
        <f>IF('COPY 30 %'!$A118="","",'COPY 30 %'!O118)</f>
        <v/>
      </c>
      <c r="F118" s="7">
        <f>IF('COPY 30 %'!$A118="","",'COPY 30 %'!L118)</f>
        <v/>
      </c>
      <c r="G118" s="7">
        <f>IF('COPY 30 %'!$A118="","",'COPY 30 %'!S118)</f>
        <v/>
      </c>
      <c r="H118">
        <f>IF('COPY 30 %'!$A118="","",'COPY 30 %'!P118)</f>
        <v/>
      </c>
      <c r="I118">
        <f>IF('COPY 30 %'!$A118="","",'COPY 30 %'!M118)</f>
        <v/>
      </c>
      <c r="J118" s="7">
        <f>IF('COPY 30 %'!$A118="","",'COPY 30 %'!Q118)</f>
        <v/>
      </c>
      <c r="K118" s="7">
        <f>IF('COPY 30 %'!$A118="","",'COPY 30 %'!H118)</f>
        <v/>
      </c>
      <c r="L118" s="7">
        <f>IF('COPY 30 %'!$A118="","",'COPY 30 %'!T118)</f>
        <v/>
      </c>
      <c r="M118">
        <f>IF('COPY 30 %'!$A118="","",'COPY 30 %'!G118)</f>
        <v/>
      </c>
    </row>
    <row r="119">
      <c r="A119">
        <f>IF('COPY 30 %'!$A119="","",ROWS($A$2:$A119))</f>
        <v/>
      </c>
      <c r="B119">
        <f>IF('COPY 30 %'!$A119="","",'COPY 30 %'!E119)</f>
        <v/>
      </c>
      <c r="C119">
        <f>IF('COPY 30 %'!$A119="","",'COPY 30 %'!F119)</f>
        <v/>
      </c>
      <c r="D119" s="14">
        <f>IF('COPY 30 %'!$A119="","",'COPY 30 %'!I119)</f>
        <v/>
      </c>
      <c r="E119" s="7">
        <f>IF('COPY 30 %'!$A119="","",'COPY 30 %'!O119)</f>
        <v/>
      </c>
      <c r="F119" s="7">
        <f>IF('COPY 30 %'!$A119="","",'COPY 30 %'!L119)</f>
        <v/>
      </c>
      <c r="G119" s="7">
        <f>IF('COPY 30 %'!$A119="","",'COPY 30 %'!S119)</f>
        <v/>
      </c>
      <c r="H119">
        <f>IF('COPY 30 %'!$A119="","",'COPY 30 %'!P119)</f>
        <v/>
      </c>
      <c r="I119">
        <f>IF('COPY 30 %'!$A119="","",'COPY 30 %'!M119)</f>
        <v/>
      </c>
      <c r="J119" s="7">
        <f>IF('COPY 30 %'!$A119="","",'COPY 30 %'!Q119)</f>
        <v/>
      </c>
      <c r="K119" s="7">
        <f>IF('COPY 30 %'!$A119="","",'COPY 30 %'!H119)</f>
        <v/>
      </c>
      <c r="L119" s="7">
        <f>IF('COPY 30 %'!$A119="","",'COPY 30 %'!T119)</f>
        <v/>
      </c>
      <c r="M119">
        <f>IF('COPY 30 %'!$A119="","",'COPY 30 %'!G119)</f>
        <v/>
      </c>
    </row>
    <row r="120">
      <c r="A120">
        <f>IF('COPY 30 %'!$A120="","",ROWS($A$2:$A120))</f>
        <v/>
      </c>
      <c r="B120">
        <f>IF('COPY 30 %'!$A120="","",'COPY 30 %'!E120)</f>
        <v/>
      </c>
      <c r="C120">
        <f>IF('COPY 30 %'!$A120="","",'COPY 30 %'!F120)</f>
        <v/>
      </c>
      <c r="D120" s="14">
        <f>IF('COPY 30 %'!$A120="","",'COPY 30 %'!I120)</f>
        <v/>
      </c>
      <c r="E120" s="7">
        <f>IF('COPY 30 %'!$A120="","",'COPY 30 %'!O120)</f>
        <v/>
      </c>
      <c r="F120" s="7">
        <f>IF('COPY 30 %'!$A120="","",'COPY 30 %'!L120)</f>
        <v/>
      </c>
      <c r="G120" s="7">
        <f>IF('COPY 30 %'!$A120="","",'COPY 30 %'!S120)</f>
        <v/>
      </c>
      <c r="H120">
        <f>IF('COPY 30 %'!$A120="","",'COPY 30 %'!P120)</f>
        <v/>
      </c>
      <c r="I120">
        <f>IF('COPY 30 %'!$A120="","",'COPY 30 %'!M120)</f>
        <v/>
      </c>
      <c r="J120" s="7">
        <f>IF('COPY 30 %'!$A120="","",'COPY 30 %'!Q120)</f>
        <v/>
      </c>
      <c r="K120" s="7">
        <f>IF('COPY 30 %'!$A120="","",'COPY 30 %'!H120)</f>
        <v/>
      </c>
      <c r="L120" s="7">
        <f>IF('COPY 30 %'!$A120="","",'COPY 30 %'!T120)</f>
        <v/>
      </c>
      <c r="M120">
        <f>IF('COPY 30 %'!$A120="","",'COPY 30 %'!G120)</f>
        <v/>
      </c>
    </row>
    <row r="121">
      <c r="A121">
        <f>IF('COPY 30 %'!$A121="","",ROWS($A$2:$A121))</f>
        <v/>
      </c>
      <c r="B121">
        <f>IF('COPY 30 %'!$A121="","",'COPY 30 %'!E121)</f>
        <v/>
      </c>
      <c r="C121">
        <f>IF('COPY 30 %'!$A121="","",'COPY 30 %'!F121)</f>
        <v/>
      </c>
      <c r="D121" s="14">
        <f>IF('COPY 30 %'!$A121="","",'COPY 30 %'!I121)</f>
        <v/>
      </c>
      <c r="E121" s="7">
        <f>IF('COPY 30 %'!$A121="","",'COPY 30 %'!O121)</f>
        <v/>
      </c>
      <c r="F121" s="7">
        <f>IF('COPY 30 %'!$A121="","",'COPY 30 %'!L121)</f>
        <v/>
      </c>
      <c r="G121" s="7">
        <f>IF('COPY 30 %'!$A121="","",'COPY 30 %'!S121)</f>
        <v/>
      </c>
      <c r="H121">
        <f>IF('COPY 30 %'!$A121="","",'COPY 30 %'!P121)</f>
        <v/>
      </c>
      <c r="I121">
        <f>IF('COPY 30 %'!$A121="","",'COPY 30 %'!M121)</f>
        <v/>
      </c>
      <c r="J121" s="7">
        <f>IF('COPY 30 %'!$A121="","",'COPY 30 %'!Q121)</f>
        <v/>
      </c>
      <c r="K121" s="7">
        <f>IF('COPY 30 %'!$A121="","",'COPY 30 %'!H121)</f>
        <v/>
      </c>
      <c r="L121" s="7">
        <f>IF('COPY 30 %'!$A121="","",'COPY 30 %'!T121)</f>
        <v/>
      </c>
      <c r="M121">
        <f>IF('COPY 30 %'!$A121="","",'COPY 30 %'!G121)</f>
        <v/>
      </c>
    </row>
    <row r="122">
      <c r="A122">
        <f>IF('COPY 30 %'!$A122="","",ROWS($A$2:$A122))</f>
        <v/>
      </c>
      <c r="B122">
        <f>IF('COPY 30 %'!$A122="","",'COPY 30 %'!E122)</f>
        <v/>
      </c>
      <c r="C122">
        <f>IF('COPY 30 %'!$A122="","",'COPY 30 %'!F122)</f>
        <v/>
      </c>
      <c r="D122" s="14">
        <f>IF('COPY 30 %'!$A122="","",'COPY 30 %'!I122)</f>
        <v/>
      </c>
      <c r="E122" s="7">
        <f>IF('COPY 30 %'!$A122="","",'COPY 30 %'!O122)</f>
        <v/>
      </c>
      <c r="F122" s="7">
        <f>IF('COPY 30 %'!$A122="","",'COPY 30 %'!L122)</f>
        <v/>
      </c>
      <c r="G122" s="7">
        <f>IF('COPY 30 %'!$A122="","",'COPY 30 %'!S122)</f>
        <v/>
      </c>
      <c r="H122">
        <f>IF('COPY 30 %'!$A122="","",'COPY 30 %'!P122)</f>
        <v/>
      </c>
      <c r="I122">
        <f>IF('COPY 30 %'!$A122="","",'COPY 30 %'!M122)</f>
        <v/>
      </c>
      <c r="J122" s="7">
        <f>IF('COPY 30 %'!$A122="","",'COPY 30 %'!Q122)</f>
        <v/>
      </c>
      <c r="K122" s="7">
        <f>IF('COPY 30 %'!$A122="","",'COPY 30 %'!H122)</f>
        <v/>
      </c>
      <c r="L122" s="7">
        <f>IF('COPY 30 %'!$A122="","",'COPY 30 %'!T122)</f>
        <v/>
      </c>
      <c r="M122">
        <f>IF('COPY 30 %'!$A122="","",'COPY 30 %'!G122)</f>
        <v/>
      </c>
    </row>
    <row r="123">
      <c r="A123">
        <f>IF('COPY 30 %'!$A123="","",ROWS($A$2:$A123))</f>
        <v/>
      </c>
      <c r="B123">
        <f>IF('COPY 30 %'!$A123="","",'COPY 30 %'!E123)</f>
        <v/>
      </c>
      <c r="C123">
        <f>IF('COPY 30 %'!$A123="","",'COPY 30 %'!F123)</f>
        <v/>
      </c>
      <c r="D123" s="14">
        <f>IF('COPY 30 %'!$A123="","",'COPY 30 %'!I123)</f>
        <v/>
      </c>
      <c r="E123" s="7">
        <f>IF('COPY 30 %'!$A123="","",'COPY 30 %'!O123)</f>
        <v/>
      </c>
      <c r="F123" s="7">
        <f>IF('COPY 30 %'!$A123="","",'COPY 30 %'!L123)</f>
        <v/>
      </c>
      <c r="G123" s="7">
        <f>IF('COPY 30 %'!$A123="","",'COPY 30 %'!S123)</f>
        <v/>
      </c>
      <c r="H123">
        <f>IF('COPY 30 %'!$A123="","",'COPY 30 %'!P123)</f>
        <v/>
      </c>
      <c r="I123">
        <f>IF('COPY 30 %'!$A123="","",'COPY 30 %'!M123)</f>
        <v/>
      </c>
      <c r="J123" s="7">
        <f>IF('COPY 30 %'!$A123="","",'COPY 30 %'!Q123)</f>
        <v/>
      </c>
      <c r="K123" s="7">
        <f>IF('COPY 30 %'!$A123="","",'COPY 30 %'!H123)</f>
        <v/>
      </c>
      <c r="L123" s="7">
        <f>IF('COPY 30 %'!$A123="","",'COPY 30 %'!T123)</f>
        <v/>
      </c>
      <c r="M123">
        <f>IF('COPY 30 %'!$A123="","",'COPY 30 %'!G123)</f>
        <v/>
      </c>
    </row>
    <row r="124">
      <c r="A124">
        <f>IF('COPY 30 %'!$A124="","",ROWS($A$2:$A124))</f>
        <v/>
      </c>
      <c r="B124">
        <f>IF('COPY 30 %'!$A124="","",'COPY 30 %'!E124)</f>
        <v/>
      </c>
      <c r="C124">
        <f>IF('COPY 30 %'!$A124="","",'COPY 30 %'!F124)</f>
        <v/>
      </c>
      <c r="D124" s="14">
        <f>IF('COPY 30 %'!$A124="","",'COPY 30 %'!I124)</f>
        <v/>
      </c>
      <c r="E124" s="7">
        <f>IF('COPY 30 %'!$A124="","",'COPY 30 %'!O124)</f>
        <v/>
      </c>
      <c r="F124" s="7">
        <f>IF('COPY 30 %'!$A124="","",'COPY 30 %'!L124)</f>
        <v/>
      </c>
      <c r="G124" s="7">
        <f>IF('COPY 30 %'!$A124="","",'COPY 30 %'!S124)</f>
        <v/>
      </c>
      <c r="H124">
        <f>IF('COPY 30 %'!$A124="","",'COPY 30 %'!P124)</f>
        <v/>
      </c>
      <c r="I124">
        <f>IF('COPY 30 %'!$A124="","",'COPY 30 %'!M124)</f>
        <v/>
      </c>
      <c r="J124" s="7">
        <f>IF('COPY 30 %'!$A124="","",'COPY 30 %'!Q124)</f>
        <v/>
      </c>
      <c r="K124" s="7">
        <f>IF('COPY 30 %'!$A124="","",'COPY 30 %'!H124)</f>
        <v/>
      </c>
      <c r="L124" s="7">
        <f>IF('COPY 30 %'!$A124="","",'COPY 30 %'!T124)</f>
        <v/>
      </c>
      <c r="M124">
        <f>IF('COPY 30 %'!$A124="","",'COPY 30 %'!G124)</f>
        <v/>
      </c>
    </row>
    <row r="125">
      <c r="A125">
        <f>IF('COPY 30 %'!$A125="","",ROWS($A$2:$A125))</f>
        <v/>
      </c>
      <c r="B125">
        <f>IF('COPY 30 %'!$A125="","",'COPY 30 %'!E125)</f>
        <v/>
      </c>
      <c r="C125">
        <f>IF('COPY 30 %'!$A125="","",'COPY 30 %'!F125)</f>
        <v/>
      </c>
      <c r="D125" s="14">
        <f>IF('COPY 30 %'!$A125="","",'COPY 30 %'!I125)</f>
        <v/>
      </c>
      <c r="E125" s="7">
        <f>IF('COPY 30 %'!$A125="","",'COPY 30 %'!O125)</f>
        <v/>
      </c>
      <c r="F125" s="7">
        <f>IF('COPY 30 %'!$A125="","",'COPY 30 %'!L125)</f>
        <v/>
      </c>
      <c r="G125" s="7">
        <f>IF('COPY 30 %'!$A125="","",'COPY 30 %'!S125)</f>
        <v/>
      </c>
      <c r="H125">
        <f>IF('COPY 30 %'!$A125="","",'COPY 30 %'!P125)</f>
        <v/>
      </c>
      <c r="I125">
        <f>IF('COPY 30 %'!$A125="","",'COPY 30 %'!M125)</f>
        <v/>
      </c>
      <c r="J125" s="7">
        <f>IF('COPY 30 %'!$A125="","",'COPY 30 %'!Q125)</f>
        <v/>
      </c>
      <c r="K125" s="7">
        <f>IF('COPY 30 %'!$A125="","",'COPY 30 %'!H125)</f>
        <v/>
      </c>
      <c r="L125" s="7">
        <f>IF('COPY 30 %'!$A125="","",'COPY 30 %'!T125)</f>
        <v/>
      </c>
      <c r="M125">
        <f>IF('COPY 30 %'!$A125="","",'COPY 30 %'!G125)</f>
        <v/>
      </c>
    </row>
    <row r="126">
      <c r="A126">
        <f>IF('COPY 30 %'!$A126="","",ROWS($A$2:$A126))</f>
        <v/>
      </c>
      <c r="B126">
        <f>IF('COPY 30 %'!$A126="","",'COPY 30 %'!E126)</f>
        <v/>
      </c>
      <c r="C126">
        <f>IF('COPY 30 %'!$A126="","",'COPY 30 %'!F126)</f>
        <v/>
      </c>
      <c r="D126" s="14">
        <f>IF('COPY 30 %'!$A126="","",'COPY 30 %'!I126)</f>
        <v/>
      </c>
      <c r="E126" s="7">
        <f>IF('COPY 30 %'!$A126="","",'COPY 30 %'!O126)</f>
        <v/>
      </c>
      <c r="F126" s="7">
        <f>IF('COPY 30 %'!$A126="","",'COPY 30 %'!L126)</f>
        <v/>
      </c>
      <c r="G126" s="7">
        <f>IF('COPY 30 %'!$A126="","",'COPY 30 %'!S126)</f>
        <v/>
      </c>
      <c r="H126">
        <f>IF('COPY 30 %'!$A126="","",'COPY 30 %'!P126)</f>
        <v/>
      </c>
      <c r="I126">
        <f>IF('COPY 30 %'!$A126="","",'COPY 30 %'!M126)</f>
        <v/>
      </c>
      <c r="J126" s="7">
        <f>IF('COPY 30 %'!$A126="","",'COPY 30 %'!Q126)</f>
        <v/>
      </c>
      <c r="K126" s="7">
        <f>IF('COPY 30 %'!$A126="","",'COPY 30 %'!H126)</f>
        <v/>
      </c>
      <c r="L126" s="7">
        <f>IF('COPY 30 %'!$A126="","",'COPY 30 %'!T126)</f>
        <v/>
      </c>
      <c r="M126">
        <f>IF('COPY 30 %'!$A126="","",'COPY 30 %'!G126)</f>
        <v/>
      </c>
    </row>
    <row r="127">
      <c r="A127">
        <f>IF('COPY 30 %'!$A127="","",ROWS($A$2:$A127))</f>
        <v/>
      </c>
      <c r="B127">
        <f>IF('COPY 30 %'!$A127="","",'COPY 30 %'!E127)</f>
        <v/>
      </c>
      <c r="C127">
        <f>IF('COPY 30 %'!$A127="","",'COPY 30 %'!F127)</f>
        <v/>
      </c>
      <c r="D127" s="14">
        <f>IF('COPY 30 %'!$A127="","",'COPY 30 %'!I127)</f>
        <v/>
      </c>
      <c r="E127" s="7">
        <f>IF('COPY 30 %'!$A127="","",'COPY 30 %'!O127)</f>
        <v/>
      </c>
      <c r="F127" s="7">
        <f>IF('COPY 30 %'!$A127="","",'COPY 30 %'!L127)</f>
        <v/>
      </c>
      <c r="G127" s="7">
        <f>IF('COPY 30 %'!$A127="","",'COPY 30 %'!S127)</f>
        <v/>
      </c>
      <c r="H127">
        <f>IF('COPY 30 %'!$A127="","",'COPY 30 %'!P127)</f>
        <v/>
      </c>
      <c r="I127">
        <f>IF('COPY 30 %'!$A127="","",'COPY 30 %'!M127)</f>
        <v/>
      </c>
      <c r="J127" s="7">
        <f>IF('COPY 30 %'!$A127="","",'COPY 30 %'!Q127)</f>
        <v/>
      </c>
      <c r="K127" s="7">
        <f>IF('COPY 30 %'!$A127="","",'COPY 30 %'!H127)</f>
        <v/>
      </c>
      <c r="L127" s="7">
        <f>IF('COPY 30 %'!$A127="","",'COPY 30 %'!T127)</f>
        <v/>
      </c>
      <c r="M127">
        <f>IF('COPY 30 %'!$A127="","",'COPY 30 %'!G127)</f>
        <v/>
      </c>
    </row>
    <row r="128">
      <c r="A128">
        <f>IF('COPY 30 %'!$A128="","",ROWS($A$2:$A128))</f>
        <v/>
      </c>
      <c r="B128">
        <f>IF('COPY 30 %'!$A128="","",'COPY 30 %'!E128)</f>
        <v/>
      </c>
      <c r="C128">
        <f>IF('COPY 30 %'!$A128="","",'COPY 30 %'!F128)</f>
        <v/>
      </c>
      <c r="D128" s="14">
        <f>IF('COPY 30 %'!$A128="","",'COPY 30 %'!I128)</f>
        <v/>
      </c>
      <c r="E128" s="7">
        <f>IF('COPY 30 %'!$A128="","",'COPY 30 %'!O128)</f>
        <v/>
      </c>
      <c r="F128" s="7">
        <f>IF('COPY 30 %'!$A128="","",'COPY 30 %'!L128)</f>
        <v/>
      </c>
      <c r="G128" s="7">
        <f>IF('COPY 30 %'!$A128="","",'COPY 30 %'!S128)</f>
        <v/>
      </c>
      <c r="H128">
        <f>IF('COPY 30 %'!$A128="","",'COPY 30 %'!P128)</f>
        <v/>
      </c>
      <c r="I128">
        <f>IF('COPY 30 %'!$A128="","",'COPY 30 %'!M128)</f>
        <v/>
      </c>
      <c r="J128" s="7">
        <f>IF('COPY 30 %'!$A128="","",'COPY 30 %'!Q128)</f>
        <v/>
      </c>
      <c r="K128" s="7">
        <f>IF('COPY 30 %'!$A128="","",'COPY 30 %'!H128)</f>
        <v/>
      </c>
      <c r="L128" s="7">
        <f>IF('COPY 30 %'!$A128="","",'COPY 30 %'!T128)</f>
        <v/>
      </c>
      <c r="M128">
        <f>IF('COPY 30 %'!$A128="","",'COPY 30 %'!G128)</f>
        <v/>
      </c>
    </row>
    <row r="129">
      <c r="A129">
        <f>IF('COPY 30 %'!$A129="","",ROWS($A$2:$A129))</f>
        <v/>
      </c>
      <c r="B129">
        <f>IF('COPY 30 %'!$A129="","",'COPY 30 %'!E129)</f>
        <v/>
      </c>
      <c r="C129">
        <f>IF('COPY 30 %'!$A129="","",'COPY 30 %'!F129)</f>
        <v/>
      </c>
      <c r="D129" s="14">
        <f>IF('COPY 30 %'!$A129="","",'COPY 30 %'!I129)</f>
        <v/>
      </c>
      <c r="E129" s="7">
        <f>IF('COPY 30 %'!$A129="","",'COPY 30 %'!O129)</f>
        <v/>
      </c>
      <c r="F129" s="7">
        <f>IF('COPY 30 %'!$A129="","",'COPY 30 %'!L129)</f>
        <v/>
      </c>
      <c r="G129" s="7">
        <f>IF('COPY 30 %'!$A129="","",'COPY 30 %'!S129)</f>
        <v/>
      </c>
      <c r="H129">
        <f>IF('COPY 30 %'!$A129="","",'COPY 30 %'!P129)</f>
        <v/>
      </c>
      <c r="I129">
        <f>IF('COPY 30 %'!$A129="","",'COPY 30 %'!M129)</f>
        <v/>
      </c>
      <c r="J129" s="7">
        <f>IF('COPY 30 %'!$A129="","",'COPY 30 %'!Q129)</f>
        <v/>
      </c>
      <c r="K129" s="7">
        <f>IF('COPY 30 %'!$A129="","",'COPY 30 %'!H129)</f>
        <v/>
      </c>
      <c r="L129" s="7">
        <f>IF('COPY 30 %'!$A129="","",'COPY 30 %'!T129)</f>
        <v/>
      </c>
      <c r="M129">
        <f>IF('COPY 30 %'!$A129="","",'COPY 30 %'!G129)</f>
        <v/>
      </c>
    </row>
    <row r="130">
      <c r="A130">
        <f>IF('COPY 30 %'!$A130="","",ROWS($A$2:$A130))</f>
        <v/>
      </c>
      <c r="B130">
        <f>IF('COPY 30 %'!$A130="","",'COPY 30 %'!E130)</f>
        <v/>
      </c>
      <c r="C130">
        <f>IF('COPY 30 %'!$A130="","",'COPY 30 %'!F130)</f>
        <v/>
      </c>
      <c r="D130" s="14">
        <f>IF('COPY 30 %'!$A130="","",'COPY 30 %'!I130)</f>
        <v/>
      </c>
      <c r="E130" s="7">
        <f>IF('COPY 30 %'!$A130="","",'COPY 30 %'!O130)</f>
        <v/>
      </c>
      <c r="F130" s="7">
        <f>IF('COPY 30 %'!$A130="","",'COPY 30 %'!L130)</f>
        <v/>
      </c>
      <c r="G130" s="7">
        <f>IF('COPY 30 %'!$A130="","",'COPY 30 %'!S130)</f>
        <v/>
      </c>
      <c r="H130">
        <f>IF('COPY 30 %'!$A130="","",'COPY 30 %'!P130)</f>
        <v/>
      </c>
      <c r="I130">
        <f>IF('COPY 30 %'!$A130="","",'COPY 30 %'!M130)</f>
        <v/>
      </c>
      <c r="J130" s="7">
        <f>IF('COPY 30 %'!$A130="","",'COPY 30 %'!Q130)</f>
        <v/>
      </c>
      <c r="K130" s="7">
        <f>IF('COPY 30 %'!$A130="","",'COPY 30 %'!H130)</f>
        <v/>
      </c>
      <c r="L130" s="7">
        <f>IF('COPY 30 %'!$A130="","",'COPY 30 %'!T130)</f>
        <v/>
      </c>
      <c r="M130">
        <f>IF('COPY 30 %'!$A130="","",'COPY 30 %'!G130)</f>
        <v/>
      </c>
    </row>
    <row r="131">
      <c r="A131">
        <f>IF('COPY 30 %'!$A131="","",ROWS($A$2:$A131))</f>
        <v/>
      </c>
      <c r="B131">
        <f>IF('COPY 30 %'!$A131="","",'COPY 30 %'!E131)</f>
        <v/>
      </c>
      <c r="C131">
        <f>IF('COPY 30 %'!$A131="","",'COPY 30 %'!F131)</f>
        <v/>
      </c>
      <c r="D131" s="14">
        <f>IF('COPY 30 %'!$A131="","",'COPY 30 %'!I131)</f>
        <v/>
      </c>
      <c r="E131" s="7">
        <f>IF('COPY 30 %'!$A131="","",'COPY 30 %'!O131)</f>
        <v/>
      </c>
      <c r="F131" s="7">
        <f>IF('COPY 30 %'!$A131="","",'COPY 30 %'!L131)</f>
        <v/>
      </c>
      <c r="G131" s="7">
        <f>IF('COPY 30 %'!$A131="","",'COPY 30 %'!S131)</f>
        <v/>
      </c>
      <c r="H131">
        <f>IF('COPY 30 %'!$A131="","",'COPY 30 %'!P131)</f>
        <v/>
      </c>
      <c r="I131">
        <f>IF('COPY 30 %'!$A131="","",'COPY 30 %'!M131)</f>
        <v/>
      </c>
      <c r="J131" s="7">
        <f>IF('COPY 30 %'!$A131="","",'COPY 30 %'!Q131)</f>
        <v/>
      </c>
      <c r="K131" s="7">
        <f>IF('COPY 30 %'!$A131="","",'COPY 30 %'!H131)</f>
        <v/>
      </c>
      <c r="L131" s="7">
        <f>IF('COPY 30 %'!$A131="","",'COPY 30 %'!T131)</f>
        <v/>
      </c>
      <c r="M131">
        <f>IF('COPY 30 %'!$A131="","",'COPY 30 %'!G131)</f>
        <v/>
      </c>
    </row>
    <row r="132">
      <c r="A132">
        <f>IF('COPY 30 %'!$A132="","",ROWS($A$2:$A132))</f>
        <v/>
      </c>
      <c r="B132">
        <f>IF('COPY 30 %'!$A132="","",'COPY 30 %'!E132)</f>
        <v/>
      </c>
      <c r="C132">
        <f>IF('COPY 30 %'!$A132="","",'COPY 30 %'!F132)</f>
        <v/>
      </c>
      <c r="D132" s="14">
        <f>IF('COPY 30 %'!$A132="","",'COPY 30 %'!I132)</f>
        <v/>
      </c>
      <c r="E132" s="7">
        <f>IF('COPY 30 %'!$A132="","",'COPY 30 %'!O132)</f>
        <v/>
      </c>
      <c r="F132" s="7">
        <f>IF('COPY 30 %'!$A132="","",'COPY 30 %'!L132)</f>
        <v/>
      </c>
      <c r="G132" s="7">
        <f>IF('COPY 30 %'!$A132="","",'COPY 30 %'!S132)</f>
        <v/>
      </c>
      <c r="H132">
        <f>IF('COPY 30 %'!$A132="","",'COPY 30 %'!P132)</f>
        <v/>
      </c>
      <c r="I132">
        <f>IF('COPY 30 %'!$A132="","",'COPY 30 %'!M132)</f>
        <v/>
      </c>
      <c r="J132" s="7">
        <f>IF('COPY 30 %'!$A132="","",'COPY 30 %'!Q132)</f>
        <v/>
      </c>
      <c r="K132" s="7">
        <f>IF('COPY 30 %'!$A132="","",'COPY 30 %'!H132)</f>
        <v/>
      </c>
      <c r="L132" s="7">
        <f>IF('COPY 30 %'!$A132="","",'COPY 30 %'!T132)</f>
        <v/>
      </c>
      <c r="M132">
        <f>IF('COPY 30 %'!$A132="","",'COPY 30 %'!G132)</f>
        <v/>
      </c>
    </row>
    <row r="133">
      <c r="A133">
        <f>IF('COPY 30 %'!$A133="","",ROWS($A$2:$A133))</f>
        <v/>
      </c>
      <c r="B133">
        <f>IF('COPY 30 %'!$A133="","",'COPY 30 %'!E133)</f>
        <v/>
      </c>
      <c r="C133">
        <f>IF('COPY 30 %'!$A133="","",'COPY 30 %'!F133)</f>
        <v/>
      </c>
      <c r="D133" s="14">
        <f>IF('COPY 30 %'!$A133="","",'COPY 30 %'!I133)</f>
        <v/>
      </c>
      <c r="E133" s="7">
        <f>IF('COPY 30 %'!$A133="","",'COPY 30 %'!O133)</f>
        <v/>
      </c>
      <c r="F133" s="7">
        <f>IF('COPY 30 %'!$A133="","",'COPY 30 %'!L133)</f>
        <v/>
      </c>
      <c r="G133" s="7">
        <f>IF('COPY 30 %'!$A133="","",'COPY 30 %'!S133)</f>
        <v/>
      </c>
      <c r="H133">
        <f>IF('COPY 30 %'!$A133="","",'COPY 30 %'!P133)</f>
        <v/>
      </c>
      <c r="I133">
        <f>IF('COPY 30 %'!$A133="","",'COPY 30 %'!M133)</f>
        <v/>
      </c>
      <c r="J133" s="7">
        <f>IF('COPY 30 %'!$A133="","",'COPY 30 %'!Q133)</f>
        <v/>
      </c>
      <c r="K133" s="7">
        <f>IF('COPY 30 %'!$A133="","",'COPY 30 %'!H133)</f>
        <v/>
      </c>
      <c r="L133" s="7">
        <f>IF('COPY 30 %'!$A133="","",'COPY 30 %'!T133)</f>
        <v/>
      </c>
      <c r="M133">
        <f>IF('COPY 30 %'!$A133="","",'COPY 30 %'!G133)</f>
        <v/>
      </c>
    </row>
    <row r="134">
      <c r="A134">
        <f>IF('COPY 30 %'!$A134="","",ROWS($A$2:$A134))</f>
        <v/>
      </c>
      <c r="B134">
        <f>IF('COPY 30 %'!$A134="","",'COPY 30 %'!E134)</f>
        <v/>
      </c>
      <c r="C134">
        <f>IF('COPY 30 %'!$A134="","",'COPY 30 %'!F134)</f>
        <v/>
      </c>
      <c r="D134" s="14">
        <f>IF('COPY 30 %'!$A134="","",'COPY 30 %'!I134)</f>
        <v/>
      </c>
      <c r="E134" s="7">
        <f>IF('COPY 30 %'!$A134="","",'COPY 30 %'!O134)</f>
        <v/>
      </c>
      <c r="F134" s="7">
        <f>IF('COPY 30 %'!$A134="","",'COPY 30 %'!L134)</f>
        <v/>
      </c>
      <c r="G134" s="7">
        <f>IF('COPY 30 %'!$A134="","",'COPY 30 %'!S134)</f>
        <v/>
      </c>
      <c r="H134">
        <f>IF('COPY 30 %'!$A134="","",'COPY 30 %'!P134)</f>
        <v/>
      </c>
      <c r="I134">
        <f>IF('COPY 30 %'!$A134="","",'COPY 30 %'!M134)</f>
        <v/>
      </c>
      <c r="J134" s="7">
        <f>IF('COPY 30 %'!$A134="","",'COPY 30 %'!Q134)</f>
        <v/>
      </c>
      <c r="K134" s="7">
        <f>IF('COPY 30 %'!$A134="","",'COPY 30 %'!H134)</f>
        <v/>
      </c>
      <c r="L134" s="7">
        <f>IF('COPY 30 %'!$A134="","",'COPY 30 %'!T134)</f>
        <v/>
      </c>
      <c r="M134">
        <f>IF('COPY 30 %'!$A134="","",'COPY 30 %'!G134)</f>
        <v/>
      </c>
    </row>
    <row r="135">
      <c r="A135">
        <f>IF('COPY 30 %'!$A135="","",ROWS($A$2:$A135))</f>
        <v/>
      </c>
      <c r="B135">
        <f>IF('COPY 30 %'!$A135="","",'COPY 30 %'!E135)</f>
        <v/>
      </c>
      <c r="C135">
        <f>IF('COPY 30 %'!$A135="","",'COPY 30 %'!F135)</f>
        <v/>
      </c>
      <c r="D135" s="14">
        <f>IF('COPY 30 %'!$A135="","",'COPY 30 %'!I135)</f>
        <v/>
      </c>
      <c r="E135" s="7">
        <f>IF('COPY 30 %'!$A135="","",'COPY 30 %'!O135)</f>
        <v/>
      </c>
      <c r="F135" s="7">
        <f>IF('COPY 30 %'!$A135="","",'COPY 30 %'!L135)</f>
        <v/>
      </c>
      <c r="G135" s="7">
        <f>IF('COPY 30 %'!$A135="","",'COPY 30 %'!S135)</f>
        <v/>
      </c>
      <c r="H135">
        <f>IF('COPY 30 %'!$A135="","",'COPY 30 %'!P135)</f>
        <v/>
      </c>
      <c r="I135">
        <f>IF('COPY 30 %'!$A135="","",'COPY 30 %'!M135)</f>
        <v/>
      </c>
      <c r="J135" s="7">
        <f>IF('COPY 30 %'!$A135="","",'COPY 30 %'!Q135)</f>
        <v/>
      </c>
      <c r="K135" s="7">
        <f>IF('COPY 30 %'!$A135="","",'COPY 30 %'!H135)</f>
        <v/>
      </c>
      <c r="L135" s="7">
        <f>IF('COPY 30 %'!$A135="","",'COPY 30 %'!T135)</f>
        <v/>
      </c>
      <c r="M135">
        <f>IF('COPY 30 %'!$A135="","",'COPY 30 %'!G135)</f>
        <v/>
      </c>
    </row>
    <row r="136">
      <c r="A136">
        <f>IF('COPY 30 %'!$A136="","",ROWS($A$2:$A136))</f>
        <v/>
      </c>
      <c r="B136">
        <f>IF('COPY 30 %'!$A136="","",'COPY 30 %'!E136)</f>
        <v/>
      </c>
      <c r="C136">
        <f>IF('COPY 30 %'!$A136="","",'COPY 30 %'!F136)</f>
        <v/>
      </c>
      <c r="D136" s="14">
        <f>IF('COPY 30 %'!$A136="","",'COPY 30 %'!I136)</f>
        <v/>
      </c>
      <c r="E136" s="7">
        <f>IF('COPY 30 %'!$A136="","",'COPY 30 %'!O136)</f>
        <v/>
      </c>
      <c r="F136" s="7">
        <f>IF('COPY 30 %'!$A136="","",'COPY 30 %'!L136)</f>
        <v/>
      </c>
      <c r="G136" s="7">
        <f>IF('COPY 30 %'!$A136="","",'COPY 30 %'!S136)</f>
        <v/>
      </c>
      <c r="H136">
        <f>IF('COPY 30 %'!$A136="","",'COPY 30 %'!P136)</f>
        <v/>
      </c>
      <c r="I136">
        <f>IF('COPY 30 %'!$A136="","",'COPY 30 %'!M136)</f>
        <v/>
      </c>
      <c r="J136" s="7">
        <f>IF('COPY 30 %'!$A136="","",'COPY 30 %'!Q136)</f>
        <v/>
      </c>
      <c r="K136" s="7">
        <f>IF('COPY 30 %'!$A136="","",'COPY 30 %'!H136)</f>
        <v/>
      </c>
      <c r="L136" s="7">
        <f>IF('COPY 30 %'!$A136="","",'COPY 30 %'!T136)</f>
        <v/>
      </c>
      <c r="M136">
        <f>IF('COPY 30 %'!$A136="","",'COPY 30 %'!G136)</f>
        <v/>
      </c>
    </row>
    <row r="137">
      <c r="A137">
        <f>IF('COPY 30 %'!$A137="","",ROWS($A$2:$A137))</f>
        <v/>
      </c>
      <c r="B137">
        <f>IF('COPY 30 %'!$A137="","",'COPY 30 %'!E137)</f>
        <v/>
      </c>
      <c r="C137">
        <f>IF('COPY 30 %'!$A137="","",'COPY 30 %'!F137)</f>
        <v/>
      </c>
      <c r="D137" s="14">
        <f>IF('COPY 30 %'!$A137="","",'COPY 30 %'!I137)</f>
        <v/>
      </c>
      <c r="E137" s="7">
        <f>IF('COPY 30 %'!$A137="","",'COPY 30 %'!O137)</f>
        <v/>
      </c>
      <c r="F137" s="7">
        <f>IF('COPY 30 %'!$A137="","",'COPY 30 %'!L137)</f>
        <v/>
      </c>
      <c r="G137" s="7">
        <f>IF('COPY 30 %'!$A137="","",'COPY 30 %'!S137)</f>
        <v/>
      </c>
      <c r="H137">
        <f>IF('COPY 30 %'!$A137="","",'COPY 30 %'!P137)</f>
        <v/>
      </c>
      <c r="I137">
        <f>IF('COPY 30 %'!$A137="","",'COPY 30 %'!M137)</f>
        <v/>
      </c>
      <c r="J137" s="7">
        <f>IF('COPY 30 %'!$A137="","",'COPY 30 %'!Q137)</f>
        <v/>
      </c>
      <c r="K137" s="7">
        <f>IF('COPY 30 %'!$A137="","",'COPY 30 %'!H137)</f>
        <v/>
      </c>
      <c r="L137" s="7">
        <f>IF('COPY 30 %'!$A137="","",'COPY 30 %'!T137)</f>
        <v/>
      </c>
      <c r="M137">
        <f>IF('COPY 30 %'!$A137="","",'COPY 30 %'!G137)</f>
        <v/>
      </c>
    </row>
    <row r="138">
      <c r="A138">
        <f>IF('COPY 30 %'!$A138="","",ROWS($A$2:$A138))</f>
        <v/>
      </c>
      <c r="B138">
        <f>IF('COPY 30 %'!$A138="","",'COPY 30 %'!E138)</f>
        <v/>
      </c>
      <c r="C138">
        <f>IF('COPY 30 %'!$A138="","",'COPY 30 %'!F138)</f>
        <v/>
      </c>
      <c r="D138" s="14">
        <f>IF('COPY 30 %'!$A138="","",'COPY 30 %'!I138)</f>
        <v/>
      </c>
      <c r="E138" s="7">
        <f>IF('COPY 30 %'!$A138="","",'COPY 30 %'!O138)</f>
        <v/>
      </c>
      <c r="F138" s="7">
        <f>IF('COPY 30 %'!$A138="","",'COPY 30 %'!L138)</f>
        <v/>
      </c>
      <c r="G138" s="7">
        <f>IF('COPY 30 %'!$A138="","",'COPY 30 %'!S138)</f>
        <v/>
      </c>
      <c r="H138">
        <f>IF('COPY 30 %'!$A138="","",'COPY 30 %'!P138)</f>
        <v/>
      </c>
      <c r="I138">
        <f>IF('COPY 30 %'!$A138="","",'COPY 30 %'!M138)</f>
        <v/>
      </c>
      <c r="J138" s="7">
        <f>IF('COPY 30 %'!$A138="","",'COPY 30 %'!Q138)</f>
        <v/>
      </c>
      <c r="K138" s="7">
        <f>IF('COPY 30 %'!$A138="","",'COPY 30 %'!H138)</f>
        <v/>
      </c>
      <c r="L138" s="7">
        <f>IF('COPY 30 %'!$A138="","",'COPY 30 %'!T138)</f>
        <v/>
      </c>
      <c r="M138">
        <f>IF('COPY 30 %'!$A138="","",'COPY 30 %'!G138)</f>
        <v/>
      </c>
    </row>
    <row r="139">
      <c r="A139">
        <f>IF('COPY 30 %'!$A139="","",ROWS($A$2:$A139))</f>
        <v/>
      </c>
      <c r="B139">
        <f>IF('COPY 30 %'!$A139="","",'COPY 30 %'!E139)</f>
        <v/>
      </c>
      <c r="C139">
        <f>IF('COPY 30 %'!$A139="","",'COPY 30 %'!F139)</f>
        <v/>
      </c>
      <c r="D139" s="14">
        <f>IF('COPY 30 %'!$A139="","",'COPY 30 %'!I139)</f>
        <v/>
      </c>
      <c r="E139" s="7">
        <f>IF('COPY 30 %'!$A139="","",'COPY 30 %'!O139)</f>
        <v/>
      </c>
      <c r="F139" s="7">
        <f>IF('COPY 30 %'!$A139="","",'COPY 30 %'!L139)</f>
        <v/>
      </c>
      <c r="G139" s="7">
        <f>IF('COPY 30 %'!$A139="","",'COPY 30 %'!S139)</f>
        <v/>
      </c>
      <c r="H139">
        <f>IF('COPY 30 %'!$A139="","",'COPY 30 %'!P139)</f>
        <v/>
      </c>
      <c r="I139">
        <f>IF('COPY 30 %'!$A139="","",'COPY 30 %'!M139)</f>
        <v/>
      </c>
      <c r="J139" s="7">
        <f>IF('COPY 30 %'!$A139="","",'COPY 30 %'!Q139)</f>
        <v/>
      </c>
      <c r="K139" s="7">
        <f>IF('COPY 30 %'!$A139="","",'COPY 30 %'!H139)</f>
        <v/>
      </c>
      <c r="L139" s="7">
        <f>IF('COPY 30 %'!$A139="","",'COPY 30 %'!T139)</f>
        <v/>
      </c>
      <c r="M139">
        <f>IF('COPY 30 %'!$A139="","",'COPY 30 %'!G139)</f>
        <v/>
      </c>
    </row>
    <row r="140">
      <c r="A140">
        <f>IF('COPY 30 %'!$A140="","",ROWS($A$2:$A140))</f>
        <v/>
      </c>
      <c r="B140">
        <f>IF('COPY 30 %'!$A140="","",'COPY 30 %'!E140)</f>
        <v/>
      </c>
      <c r="C140">
        <f>IF('COPY 30 %'!$A140="","",'COPY 30 %'!F140)</f>
        <v/>
      </c>
      <c r="D140" s="14">
        <f>IF('COPY 30 %'!$A140="","",'COPY 30 %'!I140)</f>
        <v/>
      </c>
      <c r="E140" s="7">
        <f>IF('COPY 30 %'!$A140="","",'COPY 30 %'!O140)</f>
        <v/>
      </c>
      <c r="F140" s="7">
        <f>IF('COPY 30 %'!$A140="","",'COPY 30 %'!L140)</f>
        <v/>
      </c>
      <c r="G140" s="7">
        <f>IF('COPY 30 %'!$A140="","",'COPY 30 %'!S140)</f>
        <v/>
      </c>
      <c r="H140">
        <f>IF('COPY 30 %'!$A140="","",'COPY 30 %'!P140)</f>
        <v/>
      </c>
      <c r="I140">
        <f>IF('COPY 30 %'!$A140="","",'COPY 30 %'!M140)</f>
        <v/>
      </c>
      <c r="J140" s="7">
        <f>IF('COPY 30 %'!$A140="","",'COPY 30 %'!Q140)</f>
        <v/>
      </c>
      <c r="K140" s="7">
        <f>IF('COPY 30 %'!$A140="","",'COPY 30 %'!H140)</f>
        <v/>
      </c>
      <c r="L140" s="7">
        <f>IF('COPY 30 %'!$A140="","",'COPY 30 %'!T140)</f>
        <v/>
      </c>
      <c r="M140">
        <f>IF('COPY 30 %'!$A140="","",'COPY 30 %'!G140)</f>
        <v/>
      </c>
    </row>
    <row r="141">
      <c r="A141">
        <f>IF('COPY 30 %'!$A141="","",ROWS($A$2:$A141))</f>
        <v/>
      </c>
      <c r="B141">
        <f>IF('COPY 30 %'!$A141="","",'COPY 30 %'!E141)</f>
        <v/>
      </c>
      <c r="C141">
        <f>IF('COPY 30 %'!$A141="","",'COPY 30 %'!F141)</f>
        <v/>
      </c>
      <c r="D141" s="14">
        <f>IF('COPY 30 %'!$A141="","",'COPY 30 %'!I141)</f>
        <v/>
      </c>
      <c r="E141" s="7">
        <f>IF('COPY 30 %'!$A141="","",'COPY 30 %'!O141)</f>
        <v/>
      </c>
      <c r="F141" s="7">
        <f>IF('COPY 30 %'!$A141="","",'COPY 30 %'!L141)</f>
        <v/>
      </c>
      <c r="G141" s="7">
        <f>IF('COPY 30 %'!$A141="","",'COPY 30 %'!S141)</f>
        <v/>
      </c>
      <c r="H141">
        <f>IF('COPY 30 %'!$A141="","",'COPY 30 %'!P141)</f>
        <v/>
      </c>
      <c r="I141">
        <f>IF('COPY 30 %'!$A141="","",'COPY 30 %'!M141)</f>
        <v/>
      </c>
      <c r="J141" s="7">
        <f>IF('COPY 30 %'!$A141="","",'COPY 30 %'!Q141)</f>
        <v/>
      </c>
      <c r="K141" s="7">
        <f>IF('COPY 30 %'!$A141="","",'COPY 30 %'!H141)</f>
        <v/>
      </c>
      <c r="L141" s="7">
        <f>IF('COPY 30 %'!$A141="","",'COPY 30 %'!T141)</f>
        <v/>
      </c>
      <c r="M141">
        <f>IF('COPY 30 %'!$A141="","",'COPY 30 %'!G141)</f>
        <v/>
      </c>
    </row>
    <row r="142">
      <c r="A142">
        <f>IF('COPY 30 %'!$A142="","",ROWS($A$2:$A142))</f>
        <v/>
      </c>
      <c r="B142">
        <f>IF('COPY 30 %'!$A142="","",'COPY 30 %'!E142)</f>
        <v/>
      </c>
      <c r="C142">
        <f>IF('COPY 30 %'!$A142="","",'COPY 30 %'!F142)</f>
        <v/>
      </c>
      <c r="D142" s="14">
        <f>IF('COPY 30 %'!$A142="","",'COPY 30 %'!I142)</f>
        <v/>
      </c>
      <c r="E142" s="7">
        <f>IF('COPY 30 %'!$A142="","",'COPY 30 %'!O142)</f>
        <v/>
      </c>
      <c r="F142" s="7">
        <f>IF('COPY 30 %'!$A142="","",'COPY 30 %'!L142)</f>
        <v/>
      </c>
      <c r="G142" s="7">
        <f>IF('COPY 30 %'!$A142="","",'COPY 30 %'!S142)</f>
        <v/>
      </c>
      <c r="H142">
        <f>IF('COPY 30 %'!$A142="","",'COPY 30 %'!P142)</f>
        <v/>
      </c>
      <c r="I142">
        <f>IF('COPY 30 %'!$A142="","",'COPY 30 %'!M142)</f>
        <v/>
      </c>
      <c r="J142" s="7">
        <f>IF('COPY 30 %'!$A142="","",'COPY 30 %'!Q142)</f>
        <v/>
      </c>
      <c r="K142" s="7">
        <f>IF('COPY 30 %'!$A142="","",'COPY 30 %'!H142)</f>
        <v/>
      </c>
      <c r="L142" s="7">
        <f>IF('COPY 30 %'!$A142="","",'COPY 30 %'!T142)</f>
        <v/>
      </c>
      <c r="M142">
        <f>IF('COPY 30 %'!$A142="","",'COPY 30 %'!G142)</f>
        <v/>
      </c>
    </row>
    <row r="143">
      <c r="A143">
        <f>IF('COPY 30 %'!$A143="","",ROWS($A$2:$A143))</f>
        <v/>
      </c>
      <c r="B143">
        <f>IF('COPY 30 %'!$A143="","",'COPY 30 %'!E143)</f>
        <v/>
      </c>
      <c r="C143">
        <f>IF('COPY 30 %'!$A143="","",'COPY 30 %'!F143)</f>
        <v/>
      </c>
      <c r="D143" s="14">
        <f>IF('COPY 30 %'!$A143="","",'COPY 30 %'!I143)</f>
        <v/>
      </c>
      <c r="E143" s="7">
        <f>IF('COPY 30 %'!$A143="","",'COPY 30 %'!O143)</f>
        <v/>
      </c>
      <c r="F143" s="7">
        <f>IF('COPY 30 %'!$A143="","",'COPY 30 %'!L143)</f>
        <v/>
      </c>
      <c r="G143" s="7">
        <f>IF('COPY 30 %'!$A143="","",'COPY 30 %'!S143)</f>
        <v/>
      </c>
      <c r="H143">
        <f>IF('COPY 30 %'!$A143="","",'COPY 30 %'!P143)</f>
        <v/>
      </c>
      <c r="I143">
        <f>IF('COPY 30 %'!$A143="","",'COPY 30 %'!M143)</f>
        <v/>
      </c>
      <c r="J143" s="7">
        <f>IF('COPY 30 %'!$A143="","",'COPY 30 %'!Q143)</f>
        <v/>
      </c>
      <c r="K143" s="7">
        <f>IF('COPY 30 %'!$A143="","",'COPY 30 %'!H143)</f>
        <v/>
      </c>
      <c r="L143" s="7">
        <f>IF('COPY 30 %'!$A143="","",'COPY 30 %'!T143)</f>
        <v/>
      </c>
      <c r="M143">
        <f>IF('COPY 30 %'!$A143="","",'COPY 30 %'!G143)</f>
        <v/>
      </c>
    </row>
    <row r="144">
      <c r="A144">
        <f>IF('COPY 30 %'!$A144="","",ROWS($A$2:$A144))</f>
        <v/>
      </c>
      <c r="B144">
        <f>IF('COPY 30 %'!$A144="","",'COPY 30 %'!E144)</f>
        <v/>
      </c>
      <c r="C144">
        <f>IF('COPY 30 %'!$A144="","",'COPY 30 %'!F144)</f>
        <v/>
      </c>
      <c r="D144" s="14">
        <f>IF('COPY 30 %'!$A144="","",'COPY 30 %'!I144)</f>
        <v/>
      </c>
      <c r="E144" s="7">
        <f>IF('COPY 30 %'!$A144="","",'COPY 30 %'!O144)</f>
        <v/>
      </c>
      <c r="F144" s="7">
        <f>IF('COPY 30 %'!$A144="","",'COPY 30 %'!L144)</f>
        <v/>
      </c>
      <c r="G144" s="7">
        <f>IF('COPY 30 %'!$A144="","",'COPY 30 %'!S144)</f>
        <v/>
      </c>
      <c r="H144">
        <f>IF('COPY 30 %'!$A144="","",'COPY 30 %'!P144)</f>
        <v/>
      </c>
      <c r="I144">
        <f>IF('COPY 30 %'!$A144="","",'COPY 30 %'!M144)</f>
        <v/>
      </c>
      <c r="J144" s="7">
        <f>IF('COPY 30 %'!$A144="","",'COPY 30 %'!Q144)</f>
        <v/>
      </c>
      <c r="K144" s="7">
        <f>IF('COPY 30 %'!$A144="","",'COPY 30 %'!H144)</f>
        <v/>
      </c>
      <c r="L144" s="7">
        <f>IF('COPY 30 %'!$A144="","",'COPY 30 %'!T144)</f>
        <v/>
      </c>
      <c r="M144">
        <f>IF('COPY 30 %'!$A144="","",'COPY 30 %'!G144)</f>
        <v/>
      </c>
    </row>
    <row r="145">
      <c r="A145">
        <f>IF('COPY 30 %'!$A145="","",ROWS($A$2:$A145))</f>
        <v/>
      </c>
      <c r="B145">
        <f>IF('COPY 30 %'!$A145="","",'COPY 30 %'!E145)</f>
        <v/>
      </c>
      <c r="C145">
        <f>IF('COPY 30 %'!$A145="","",'COPY 30 %'!F145)</f>
        <v/>
      </c>
      <c r="D145" s="14">
        <f>IF('COPY 30 %'!$A145="","",'COPY 30 %'!I145)</f>
        <v/>
      </c>
      <c r="E145" s="7">
        <f>IF('COPY 30 %'!$A145="","",'COPY 30 %'!O145)</f>
        <v/>
      </c>
      <c r="F145" s="7">
        <f>IF('COPY 30 %'!$A145="","",'COPY 30 %'!L145)</f>
        <v/>
      </c>
      <c r="G145" s="7">
        <f>IF('COPY 30 %'!$A145="","",'COPY 30 %'!S145)</f>
        <v/>
      </c>
      <c r="H145">
        <f>IF('COPY 30 %'!$A145="","",'COPY 30 %'!P145)</f>
        <v/>
      </c>
      <c r="I145">
        <f>IF('COPY 30 %'!$A145="","",'COPY 30 %'!M145)</f>
        <v/>
      </c>
      <c r="J145" s="7">
        <f>IF('COPY 30 %'!$A145="","",'COPY 30 %'!Q145)</f>
        <v/>
      </c>
      <c r="K145" s="7">
        <f>IF('COPY 30 %'!$A145="","",'COPY 30 %'!H145)</f>
        <v/>
      </c>
      <c r="L145" s="7">
        <f>IF('COPY 30 %'!$A145="","",'COPY 30 %'!T145)</f>
        <v/>
      </c>
      <c r="M145">
        <f>IF('COPY 30 %'!$A145="","",'COPY 30 %'!G145)</f>
        <v/>
      </c>
    </row>
    <row r="146">
      <c r="A146">
        <f>IF('COPY 30 %'!$A146="","",ROWS($A$2:$A146))</f>
        <v/>
      </c>
      <c r="B146">
        <f>IF('COPY 30 %'!$A146="","",'COPY 30 %'!E146)</f>
        <v/>
      </c>
      <c r="C146">
        <f>IF('COPY 30 %'!$A146="","",'COPY 30 %'!F146)</f>
        <v/>
      </c>
      <c r="D146" s="14">
        <f>IF('COPY 30 %'!$A146="","",'COPY 30 %'!I146)</f>
        <v/>
      </c>
      <c r="E146" s="7">
        <f>IF('COPY 30 %'!$A146="","",'COPY 30 %'!O146)</f>
        <v/>
      </c>
      <c r="F146" s="7">
        <f>IF('COPY 30 %'!$A146="","",'COPY 30 %'!L146)</f>
        <v/>
      </c>
      <c r="G146" s="7">
        <f>IF('COPY 30 %'!$A146="","",'COPY 30 %'!S146)</f>
        <v/>
      </c>
      <c r="H146">
        <f>IF('COPY 30 %'!$A146="","",'COPY 30 %'!P146)</f>
        <v/>
      </c>
      <c r="I146">
        <f>IF('COPY 30 %'!$A146="","",'COPY 30 %'!M146)</f>
        <v/>
      </c>
      <c r="J146" s="7">
        <f>IF('COPY 30 %'!$A146="","",'COPY 30 %'!Q146)</f>
        <v/>
      </c>
      <c r="K146" s="7">
        <f>IF('COPY 30 %'!$A146="","",'COPY 30 %'!H146)</f>
        <v/>
      </c>
      <c r="L146" s="7">
        <f>IF('COPY 30 %'!$A146="","",'COPY 30 %'!T146)</f>
        <v/>
      </c>
      <c r="M146">
        <f>IF('COPY 30 %'!$A146="","",'COPY 30 %'!G146)</f>
        <v/>
      </c>
    </row>
    <row r="147">
      <c r="A147">
        <f>IF('COPY 30 %'!$A147="","",ROWS($A$2:$A147))</f>
        <v/>
      </c>
      <c r="B147">
        <f>IF('COPY 30 %'!$A147="","",'COPY 30 %'!E147)</f>
        <v/>
      </c>
      <c r="C147">
        <f>IF('COPY 30 %'!$A147="","",'COPY 30 %'!F147)</f>
        <v/>
      </c>
      <c r="D147" s="14">
        <f>IF('COPY 30 %'!$A147="","",'COPY 30 %'!I147)</f>
        <v/>
      </c>
      <c r="E147" s="7">
        <f>IF('COPY 30 %'!$A147="","",'COPY 30 %'!O147)</f>
        <v/>
      </c>
      <c r="F147" s="7">
        <f>IF('COPY 30 %'!$A147="","",'COPY 30 %'!L147)</f>
        <v/>
      </c>
      <c r="G147" s="7">
        <f>IF('COPY 30 %'!$A147="","",'COPY 30 %'!S147)</f>
        <v/>
      </c>
      <c r="H147">
        <f>IF('COPY 30 %'!$A147="","",'COPY 30 %'!P147)</f>
        <v/>
      </c>
      <c r="I147">
        <f>IF('COPY 30 %'!$A147="","",'COPY 30 %'!M147)</f>
        <v/>
      </c>
      <c r="J147" s="7">
        <f>IF('COPY 30 %'!$A147="","",'COPY 30 %'!Q147)</f>
        <v/>
      </c>
      <c r="K147" s="7">
        <f>IF('COPY 30 %'!$A147="","",'COPY 30 %'!H147)</f>
        <v/>
      </c>
      <c r="L147" s="7">
        <f>IF('COPY 30 %'!$A147="","",'COPY 30 %'!T147)</f>
        <v/>
      </c>
      <c r="M147">
        <f>IF('COPY 30 %'!$A147="","",'COPY 30 %'!G147)</f>
        <v/>
      </c>
    </row>
    <row r="148">
      <c r="A148">
        <f>IF('COPY 30 %'!$A148="","",ROWS($A$2:$A148))</f>
        <v/>
      </c>
      <c r="B148">
        <f>IF('COPY 30 %'!$A148="","",'COPY 30 %'!E148)</f>
        <v/>
      </c>
      <c r="C148">
        <f>IF('COPY 30 %'!$A148="","",'COPY 30 %'!F148)</f>
        <v/>
      </c>
      <c r="D148" s="14">
        <f>IF('COPY 30 %'!$A148="","",'COPY 30 %'!I148)</f>
        <v/>
      </c>
      <c r="E148" s="7">
        <f>IF('COPY 30 %'!$A148="","",'COPY 30 %'!O148)</f>
        <v/>
      </c>
      <c r="F148" s="7">
        <f>IF('COPY 30 %'!$A148="","",'COPY 30 %'!L148)</f>
        <v/>
      </c>
      <c r="G148" s="7">
        <f>IF('COPY 30 %'!$A148="","",'COPY 30 %'!S148)</f>
        <v/>
      </c>
      <c r="H148">
        <f>IF('COPY 30 %'!$A148="","",'COPY 30 %'!P148)</f>
        <v/>
      </c>
      <c r="I148">
        <f>IF('COPY 30 %'!$A148="","",'COPY 30 %'!M148)</f>
        <v/>
      </c>
      <c r="J148" s="7">
        <f>IF('COPY 30 %'!$A148="","",'COPY 30 %'!Q148)</f>
        <v/>
      </c>
      <c r="K148" s="7">
        <f>IF('COPY 30 %'!$A148="","",'COPY 30 %'!H148)</f>
        <v/>
      </c>
      <c r="L148" s="7">
        <f>IF('COPY 30 %'!$A148="","",'COPY 30 %'!T148)</f>
        <v/>
      </c>
      <c r="M148">
        <f>IF('COPY 30 %'!$A148="","",'COPY 30 %'!G148)</f>
        <v/>
      </c>
    </row>
    <row r="149">
      <c r="A149">
        <f>IF('COPY 30 %'!$A149="","",ROWS($A$2:$A149))</f>
        <v/>
      </c>
      <c r="B149">
        <f>IF('COPY 30 %'!$A149="","",'COPY 30 %'!E149)</f>
        <v/>
      </c>
      <c r="C149">
        <f>IF('COPY 30 %'!$A149="","",'COPY 30 %'!F149)</f>
        <v/>
      </c>
      <c r="D149" s="14">
        <f>IF('COPY 30 %'!$A149="","",'COPY 30 %'!I149)</f>
        <v/>
      </c>
      <c r="E149" s="7">
        <f>IF('COPY 30 %'!$A149="","",'COPY 30 %'!O149)</f>
        <v/>
      </c>
      <c r="F149" s="7">
        <f>IF('COPY 30 %'!$A149="","",'COPY 30 %'!L149)</f>
        <v/>
      </c>
      <c r="G149" s="7">
        <f>IF('COPY 30 %'!$A149="","",'COPY 30 %'!S149)</f>
        <v/>
      </c>
      <c r="H149">
        <f>IF('COPY 30 %'!$A149="","",'COPY 30 %'!P149)</f>
        <v/>
      </c>
      <c r="I149">
        <f>IF('COPY 30 %'!$A149="","",'COPY 30 %'!M149)</f>
        <v/>
      </c>
      <c r="J149" s="7">
        <f>IF('COPY 30 %'!$A149="","",'COPY 30 %'!Q149)</f>
        <v/>
      </c>
      <c r="K149" s="7">
        <f>IF('COPY 30 %'!$A149="","",'COPY 30 %'!H149)</f>
        <v/>
      </c>
      <c r="L149" s="7">
        <f>IF('COPY 30 %'!$A149="","",'COPY 30 %'!T149)</f>
        <v/>
      </c>
      <c r="M149">
        <f>IF('COPY 30 %'!$A149="","",'COPY 30 %'!G149)</f>
        <v/>
      </c>
    </row>
    <row r="150">
      <c r="A150">
        <f>IF('COPY 30 %'!$A150="","",ROWS($A$2:$A150))</f>
        <v/>
      </c>
      <c r="B150">
        <f>IF('COPY 30 %'!$A150="","",'COPY 30 %'!E150)</f>
        <v/>
      </c>
      <c r="C150">
        <f>IF('COPY 30 %'!$A150="","",'COPY 30 %'!F150)</f>
        <v/>
      </c>
      <c r="D150" s="14">
        <f>IF('COPY 30 %'!$A150="","",'COPY 30 %'!I150)</f>
        <v/>
      </c>
      <c r="E150" s="7">
        <f>IF('COPY 30 %'!$A150="","",'COPY 30 %'!O150)</f>
        <v/>
      </c>
      <c r="F150" s="7">
        <f>IF('COPY 30 %'!$A150="","",'COPY 30 %'!L150)</f>
        <v/>
      </c>
      <c r="G150" s="7">
        <f>IF('COPY 30 %'!$A150="","",'COPY 30 %'!S150)</f>
        <v/>
      </c>
      <c r="H150">
        <f>IF('COPY 30 %'!$A150="","",'COPY 30 %'!P150)</f>
        <v/>
      </c>
      <c r="I150">
        <f>IF('COPY 30 %'!$A150="","",'COPY 30 %'!M150)</f>
        <v/>
      </c>
      <c r="J150" s="7">
        <f>IF('COPY 30 %'!$A150="","",'COPY 30 %'!Q150)</f>
        <v/>
      </c>
      <c r="K150" s="7">
        <f>IF('COPY 30 %'!$A150="","",'COPY 30 %'!H150)</f>
        <v/>
      </c>
      <c r="L150" s="7">
        <f>IF('COPY 30 %'!$A150="","",'COPY 30 %'!T150)</f>
        <v/>
      </c>
      <c r="M150">
        <f>IF('COPY 30 %'!$A150="","",'COPY 30 %'!G150)</f>
        <v/>
      </c>
    </row>
    <row r="151">
      <c r="A151">
        <f>IF('COPY 30 %'!$A151="","",ROWS($A$2:$A151))</f>
        <v/>
      </c>
      <c r="B151">
        <f>IF('COPY 30 %'!$A151="","",'COPY 30 %'!E151)</f>
        <v/>
      </c>
      <c r="C151">
        <f>IF('COPY 30 %'!$A151="","",'COPY 30 %'!F151)</f>
        <v/>
      </c>
      <c r="D151" s="14">
        <f>IF('COPY 30 %'!$A151="","",'COPY 30 %'!I151)</f>
        <v/>
      </c>
      <c r="E151" s="7">
        <f>IF('COPY 30 %'!$A151="","",'COPY 30 %'!O151)</f>
        <v/>
      </c>
      <c r="F151" s="7">
        <f>IF('COPY 30 %'!$A151="","",'COPY 30 %'!L151)</f>
        <v/>
      </c>
      <c r="G151" s="7">
        <f>IF('COPY 30 %'!$A151="","",'COPY 30 %'!S151)</f>
        <v/>
      </c>
      <c r="H151">
        <f>IF('COPY 30 %'!$A151="","",'COPY 30 %'!P151)</f>
        <v/>
      </c>
      <c r="I151">
        <f>IF('COPY 30 %'!$A151="","",'COPY 30 %'!M151)</f>
        <v/>
      </c>
      <c r="J151" s="7">
        <f>IF('COPY 30 %'!$A151="","",'COPY 30 %'!Q151)</f>
        <v/>
      </c>
      <c r="K151" s="7">
        <f>IF('COPY 30 %'!$A151="","",'COPY 30 %'!H151)</f>
        <v/>
      </c>
      <c r="L151" s="7">
        <f>IF('COPY 30 %'!$A151="","",'COPY 30 %'!T151)</f>
        <v/>
      </c>
      <c r="M151">
        <f>IF('COPY 30 %'!$A151="","",'COPY 30 %'!G151)</f>
        <v/>
      </c>
    </row>
    <row r="152">
      <c r="A152">
        <f>IF('COPY 30 %'!$A152="","",ROWS($A$2:$A152))</f>
        <v/>
      </c>
      <c r="B152">
        <f>IF('COPY 30 %'!$A152="","",'COPY 30 %'!E152)</f>
        <v/>
      </c>
      <c r="C152">
        <f>IF('COPY 30 %'!$A152="","",'COPY 30 %'!F152)</f>
        <v/>
      </c>
      <c r="D152" s="14">
        <f>IF('COPY 30 %'!$A152="","",'COPY 30 %'!I152)</f>
        <v/>
      </c>
      <c r="E152" s="7">
        <f>IF('COPY 30 %'!$A152="","",'COPY 30 %'!O152)</f>
        <v/>
      </c>
      <c r="F152" s="7">
        <f>IF('COPY 30 %'!$A152="","",'COPY 30 %'!L152)</f>
        <v/>
      </c>
      <c r="G152" s="7">
        <f>IF('COPY 30 %'!$A152="","",'COPY 30 %'!S152)</f>
        <v/>
      </c>
      <c r="H152">
        <f>IF('COPY 30 %'!$A152="","",'COPY 30 %'!P152)</f>
        <v/>
      </c>
      <c r="I152">
        <f>IF('COPY 30 %'!$A152="","",'COPY 30 %'!M152)</f>
        <v/>
      </c>
      <c r="J152" s="7">
        <f>IF('COPY 30 %'!$A152="","",'COPY 30 %'!Q152)</f>
        <v/>
      </c>
      <c r="K152" s="7">
        <f>IF('COPY 30 %'!$A152="","",'COPY 30 %'!H152)</f>
        <v/>
      </c>
      <c r="L152" s="7">
        <f>IF('COPY 30 %'!$A152="","",'COPY 30 %'!T152)</f>
        <v/>
      </c>
      <c r="M152">
        <f>IF('COPY 30 %'!$A152="","",'COPY 30 %'!G152)</f>
        <v/>
      </c>
    </row>
    <row r="153">
      <c r="A153">
        <f>IF('COPY 30 %'!$A153="","",ROWS($A$2:$A153))</f>
        <v/>
      </c>
      <c r="B153">
        <f>IF('COPY 30 %'!$A153="","",'COPY 30 %'!E153)</f>
        <v/>
      </c>
      <c r="C153">
        <f>IF('COPY 30 %'!$A153="","",'COPY 30 %'!F153)</f>
        <v/>
      </c>
      <c r="D153" s="14">
        <f>IF('COPY 30 %'!$A153="","",'COPY 30 %'!I153)</f>
        <v/>
      </c>
      <c r="E153" s="7">
        <f>IF('COPY 30 %'!$A153="","",'COPY 30 %'!O153)</f>
        <v/>
      </c>
      <c r="F153" s="7">
        <f>IF('COPY 30 %'!$A153="","",'COPY 30 %'!L153)</f>
        <v/>
      </c>
      <c r="G153" s="7">
        <f>IF('COPY 30 %'!$A153="","",'COPY 30 %'!S153)</f>
        <v/>
      </c>
      <c r="H153">
        <f>IF('COPY 30 %'!$A153="","",'COPY 30 %'!P153)</f>
        <v/>
      </c>
      <c r="I153">
        <f>IF('COPY 30 %'!$A153="","",'COPY 30 %'!M153)</f>
        <v/>
      </c>
      <c r="J153" s="7">
        <f>IF('COPY 30 %'!$A153="","",'COPY 30 %'!Q153)</f>
        <v/>
      </c>
      <c r="K153" s="7">
        <f>IF('COPY 30 %'!$A153="","",'COPY 30 %'!H153)</f>
        <v/>
      </c>
      <c r="L153" s="7">
        <f>IF('COPY 30 %'!$A153="","",'COPY 30 %'!T153)</f>
        <v/>
      </c>
      <c r="M153">
        <f>IF('COPY 30 %'!$A153="","",'COPY 30 %'!G153)</f>
        <v/>
      </c>
    </row>
    <row r="154">
      <c r="A154">
        <f>IF('COPY 30 %'!$A154="","",ROWS($A$2:$A154))</f>
        <v/>
      </c>
      <c r="B154">
        <f>IF('COPY 30 %'!$A154="","",'COPY 30 %'!E154)</f>
        <v/>
      </c>
      <c r="C154">
        <f>IF('COPY 30 %'!$A154="","",'COPY 30 %'!F154)</f>
        <v/>
      </c>
      <c r="D154" s="14">
        <f>IF('COPY 30 %'!$A154="","",'COPY 30 %'!I154)</f>
        <v/>
      </c>
      <c r="E154" s="7">
        <f>IF('COPY 30 %'!$A154="","",'COPY 30 %'!O154)</f>
        <v/>
      </c>
      <c r="F154" s="7">
        <f>IF('COPY 30 %'!$A154="","",'COPY 30 %'!L154)</f>
        <v/>
      </c>
      <c r="G154" s="7">
        <f>IF('COPY 30 %'!$A154="","",'COPY 30 %'!S154)</f>
        <v/>
      </c>
      <c r="H154">
        <f>IF('COPY 30 %'!$A154="","",'COPY 30 %'!P154)</f>
        <v/>
      </c>
      <c r="I154">
        <f>IF('COPY 30 %'!$A154="","",'COPY 30 %'!M154)</f>
        <v/>
      </c>
      <c r="J154" s="7">
        <f>IF('COPY 30 %'!$A154="","",'COPY 30 %'!Q154)</f>
        <v/>
      </c>
      <c r="K154" s="7">
        <f>IF('COPY 30 %'!$A154="","",'COPY 30 %'!H154)</f>
        <v/>
      </c>
      <c r="L154" s="7">
        <f>IF('COPY 30 %'!$A154="","",'COPY 30 %'!T154)</f>
        <v/>
      </c>
      <c r="M154">
        <f>IF('COPY 30 %'!$A154="","",'COPY 30 %'!G154)</f>
        <v/>
      </c>
    </row>
    <row r="155">
      <c r="A155">
        <f>IF('COPY 30 %'!$A155="","",ROWS($A$2:$A155))</f>
        <v/>
      </c>
      <c r="B155">
        <f>IF('COPY 30 %'!$A155="","",'COPY 30 %'!E155)</f>
        <v/>
      </c>
      <c r="C155">
        <f>IF('COPY 30 %'!$A155="","",'COPY 30 %'!F155)</f>
        <v/>
      </c>
      <c r="D155" s="14">
        <f>IF('COPY 30 %'!$A155="","",'COPY 30 %'!I155)</f>
        <v/>
      </c>
      <c r="E155" s="7">
        <f>IF('COPY 30 %'!$A155="","",'COPY 30 %'!O155)</f>
        <v/>
      </c>
      <c r="F155" s="7">
        <f>IF('COPY 30 %'!$A155="","",'COPY 30 %'!L155)</f>
        <v/>
      </c>
      <c r="G155" s="7">
        <f>IF('COPY 30 %'!$A155="","",'COPY 30 %'!S155)</f>
        <v/>
      </c>
      <c r="H155">
        <f>IF('COPY 30 %'!$A155="","",'COPY 30 %'!P155)</f>
        <v/>
      </c>
      <c r="I155">
        <f>IF('COPY 30 %'!$A155="","",'COPY 30 %'!M155)</f>
        <v/>
      </c>
      <c r="J155" s="7">
        <f>IF('COPY 30 %'!$A155="","",'COPY 30 %'!Q155)</f>
        <v/>
      </c>
      <c r="K155" s="7">
        <f>IF('COPY 30 %'!$A155="","",'COPY 30 %'!H155)</f>
        <v/>
      </c>
      <c r="L155" s="7">
        <f>IF('COPY 30 %'!$A155="","",'COPY 30 %'!T155)</f>
        <v/>
      </c>
      <c r="M155">
        <f>IF('COPY 30 %'!$A155="","",'COPY 30 %'!G155)</f>
        <v/>
      </c>
    </row>
    <row r="156">
      <c r="A156">
        <f>IF('COPY 30 %'!$A156="","",ROWS($A$2:$A156))</f>
        <v/>
      </c>
      <c r="B156">
        <f>IF('COPY 30 %'!$A156="","",'COPY 30 %'!E156)</f>
        <v/>
      </c>
      <c r="C156">
        <f>IF('COPY 30 %'!$A156="","",'COPY 30 %'!F156)</f>
        <v/>
      </c>
      <c r="D156" s="14">
        <f>IF('COPY 30 %'!$A156="","",'COPY 30 %'!I156)</f>
        <v/>
      </c>
      <c r="E156" s="7">
        <f>IF('COPY 30 %'!$A156="","",'COPY 30 %'!O156)</f>
        <v/>
      </c>
      <c r="F156" s="7">
        <f>IF('COPY 30 %'!$A156="","",'COPY 30 %'!L156)</f>
        <v/>
      </c>
      <c r="G156" s="7">
        <f>IF('COPY 30 %'!$A156="","",'COPY 30 %'!S156)</f>
        <v/>
      </c>
      <c r="H156">
        <f>IF('COPY 30 %'!$A156="","",'COPY 30 %'!P156)</f>
        <v/>
      </c>
      <c r="I156">
        <f>IF('COPY 30 %'!$A156="","",'COPY 30 %'!M156)</f>
        <v/>
      </c>
      <c r="J156" s="7">
        <f>IF('COPY 30 %'!$A156="","",'COPY 30 %'!Q156)</f>
        <v/>
      </c>
      <c r="K156" s="7">
        <f>IF('COPY 30 %'!$A156="","",'COPY 30 %'!H156)</f>
        <v/>
      </c>
      <c r="L156" s="7">
        <f>IF('COPY 30 %'!$A156="","",'COPY 30 %'!T156)</f>
        <v/>
      </c>
      <c r="M156">
        <f>IF('COPY 30 %'!$A156="","",'COPY 30 %'!G156)</f>
        <v/>
      </c>
    </row>
    <row r="157">
      <c r="A157">
        <f>IF('COPY 30 %'!$A157="","",ROWS($A$2:$A157))</f>
        <v/>
      </c>
      <c r="B157">
        <f>IF('COPY 30 %'!$A157="","",'COPY 30 %'!E157)</f>
        <v/>
      </c>
      <c r="C157">
        <f>IF('COPY 30 %'!$A157="","",'COPY 30 %'!F157)</f>
        <v/>
      </c>
      <c r="D157" s="14">
        <f>IF('COPY 30 %'!$A157="","",'COPY 30 %'!I157)</f>
        <v/>
      </c>
      <c r="E157" s="7">
        <f>IF('COPY 30 %'!$A157="","",'COPY 30 %'!O157)</f>
        <v/>
      </c>
      <c r="F157" s="7">
        <f>IF('COPY 30 %'!$A157="","",'COPY 30 %'!L157)</f>
        <v/>
      </c>
      <c r="G157" s="7">
        <f>IF('COPY 30 %'!$A157="","",'COPY 30 %'!S157)</f>
        <v/>
      </c>
      <c r="H157">
        <f>IF('COPY 30 %'!$A157="","",'COPY 30 %'!P157)</f>
        <v/>
      </c>
      <c r="I157">
        <f>IF('COPY 30 %'!$A157="","",'COPY 30 %'!M157)</f>
        <v/>
      </c>
      <c r="J157" s="7">
        <f>IF('COPY 30 %'!$A157="","",'COPY 30 %'!Q157)</f>
        <v/>
      </c>
      <c r="K157" s="7">
        <f>IF('COPY 30 %'!$A157="","",'COPY 30 %'!H157)</f>
        <v/>
      </c>
      <c r="L157" s="7">
        <f>IF('COPY 30 %'!$A157="","",'COPY 30 %'!T157)</f>
        <v/>
      </c>
      <c r="M157">
        <f>IF('COPY 30 %'!$A157="","",'COPY 30 %'!G157)</f>
        <v/>
      </c>
    </row>
    <row r="158">
      <c r="A158">
        <f>IF('COPY 30 %'!$A158="","",ROWS($A$2:$A158))</f>
        <v/>
      </c>
      <c r="B158">
        <f>IF('COPY 30 %'!$A158="","",'COPY 30 %'!E158)</f>
        <v/>
      </c>
      <c r="C158">
        <f>IF('COPY 30 %'!$A158="","",'COPY 30 %'!F158)</f>
        <v/>
      </c>
      <c r="D158" s="14">
        <f>IF('COPY 30 %'!$A158="","",'COPY 30 %'!I158)</f>
        <v/>
      </c>
      <c r="E158" s="7">
        <f>IF('COPY 30 %'!$A158="","",'COPY 30 %'!O158)</f>
        <v/>
      </c>
      <c r="F158" s="7">
        <f>IF('COPY 30 %'!$A158="","",'COPY 30 %'!L158)</f>
        <v/>
      </c>
      <c r="G158" s="7">
        <f>IF('COPY 30 %'!$A158="","",'COPY 30 %'!S158)</f>
        <v/>
      </c>
      <c r="H158">
        <f>IF('COPY 30 %'!$A158="","",'COPY 30 %'!P158)</f>
        <v/>
      </c>
      <c r="I158">
        <f>IF('COPY 30 %'!$A158="","",'COPY 30 %'!M158)</f>
        <v/>
      </c>
      <c r="J158" s="7">
        <f>IF('COPY 30 %'!$A158="","",'COPY 30 %'!Q158)</f>
        <v/>
      </c>
      <c r="K158" s="7">
        <f>IF('COPY 30 %'!$A158="","",'COPY 30 %'!H158)</f>
        <v/>
      </c>
      <c r="L158" s="7">
        <f>IF('COPY 30 %'!$A158="","",'COPY 30 %'!T158)</f>
        <v/>
      </c>
      <c r="M158">
        <f>IF('COPY 30 %'!$A158="","",'COPY 30 %'!G158)</f>
        <v/>
      </c>
    </row>
    <row r="159">
      <c r="A159">
        <f>IF('COPY 30 %'!$A159="","",ROWS($A$2:$A159))</f>
        <v/>
      </c>
      <c r="B159">
        <f>IF('COPY 30 %'!$A159="","",'COPY 30 %'!E159)</f>
        <v/>
      </c>
      <c r="C159">
        <f>IF('COPY 30 %'!$A159="","",'COPY 30 %'!F159)</f>
        <v/>
      </c>
      <c r="D159" s="14">
        <f>IF('COPY 30 %'!$A159="","",'COPY 30 %'!I159)</f>
        <v/>
      </c>
      <c r="E159" s="7">
        <f>IF('COPY 30 %'!$A159="","",'COPY 30 %'!O159)</f>
        <v/>
      </c>
      <c r="F159" s="7">
        <f>IF('COPY 30 %'!$A159="","",'COPY 30 %'!L159)</f>
        <v/>
      </c>
      <c r="G159" s="7">
        <f>IF('COPY 30 %'!$A159="","",'COPY 30 %'!S159)</f>
        <v/>
      </c>
      <c r="H159">
        <f>IF('COPY 30 %'!$A159="","",'COPY 30 %'!P159)</f>
        <v/>
      </c>
      <c r="I159">
        <f>IF('COPY 30 %'!$A159="","",'COPY 30 %'!M159)</f>
        <v/>
      </c>
      <c r="J159" s="7">
        <f>IF('COPY 30 %'!$A159="","",'COPY 30 %'!Q159)</f>
        <v/>
      </c>
      <c r="K159" s="7">
        <f>IF('COPY 30 %'!$A159="","",'COPY 30 %'!H159)</f>
        <v/>
      </c>
      <c r="L159" s="7">
        <f>IF('COPY 30 %'!$A159="","",'COPY 30 %'!T159)</f>
        <v/>
      </c>
      <c r="M159">
        <f>IF('COPY 30 %'!$A159="","",'COPY 30 %'!G159)</f>
        <v/>
      </c>
    </row>
    <row r="160">
      <c r="A160">
        <f>IF('COPY 30 %'!$A160="","",ROWS($A$2:$A160))</f>
        <v/>
      </c>
      <c r="B160">
        <f>IF('COPY 30 %'!$A160="","",'COPY 30 %'!E160)</f>
        <v/>
      </c>
      <c r="C160">
        <f>IF('COPY 30 %'!$A160="","",'COPY 30 %'!F160)</f>
        <v/>
      </c>
      <c r="D160" s="14">
        <f>IF('COPY 30 %'!$A160="","",'COPY 30 %'!I160)</f>
        <v/>
      </c>
      <c r="E160" s="7">
        <f>IF('COPY 30 %'!$A160="","",'COPY 30 %'!O160)</f>
        <v/>
      </c>
      <c r="F160" s="7">
        <f>IF('COPY 30 %'!$A160="","",'COPY 30 %'!L160)</f>
        <v/>
      </c>
      <c r="G160" s="7">
        <f>IF('COPY 30 %'!$A160="","",'COPY 30 %'!S160)</f>
        <v/>
      </c>
      <c r="H160">
        <f>IF('COPY 30 %'!$A160="","",'COPY 30 %'!P160)</f>
        <v/>
      </c>
      <c r="I160">
        <f>IF('COPY 30 %'!$A160="","",'COPY 30 %'!M160)</f>
        <v/>
      </c>
      <c r="J160" s="7">
        <f>IF('COPY 30 %'!$A160="","",'COPY 30 %'!Q160)</f>
        <v/>
      </c>
      <c r="K160" s="7">
        <f>IF('COPY 30 %'!$A160="","",'COPY 30 %'!H160)</f>
        <v/>
      </c>
      <c r="L160" s="7">
        <f>IF('COPY 30 %'!$A160="","",'COPY 30 %'!T160)</f>
        <v/>
      </c>
      <c r="M160">
        <f>IF('COPY 30 %'!$A160="","",'COPY 30 %'!G160)</f>
        <v/>
      </c>
    </row>
    <row r="161">
      <c r="A161">
        <f>IF('COPY 30 %'!$A161="","",ROWS($A$2:$A161))</f>
        <v/>
      </c>
      <c r="B161">
        <f>IF('COPY 30 %'!$A161="","",'COPY 30 %'!E161)</f>
        <v/>
      </c>
      <c r="C161">
        <f>IF('COPY 30 %'!$A161="","",'COPY 30 %'!F161)</f>
        <v/>
      </c>
      <c r="D161" s="14">
        <f>IF('COPY 30 %'!$A161="","",'COPY 30 %'!I161)</f>
        <v/>
      </c>
      <c r="E161" s="7">
        <f>IF('COPY 30 %'!$A161="","",'COPY 30 %'!O161)</f>
        <v/>
      </c>
      <c r="F161" s="7">
        <f>IF('COPY 30 %'!$A161="","",'COPY 30 %'!L161)</f>
        <v/>
      </c>
      <c r="G161" s="7">
        <f>IF('COPY 30 %'!$A161="","",'COPY 30 %'!S161)</f>
        <v/>
      </c>
      <c r="H161">
        <f>IF('COPY 30 %'!$A161="","",'COPY 30 %'!P161)</f>
        <v/>
      </c>
      <c r="I161">
        <f>IF('COPY 30 %'!$A161="","",'COPY 30 %'!M161)</f>
        <v/>
      </c>
      <c r="J161" s="7">
        <f>IF('COPY 30 %'!$A161="","",'COPY 30 %'!Q161)</f>
        <v/>
      </c>
      <c r="K161" s="7">
        <f>IF('COPY 30 %'!$A161="","",'COPY 30 %'!H161)</f>
        <v/>
      </c>
      <c r="L161" s="7">
        <f>IF('COPY 30 %'!$A161="","",'COPY 30 %'!T161)</f>
        <v/>
      </c>
      <c r="M161">
        <f>IF('COPY 30 %'!$A161="","",'COPY 30 %'!G161)</f>
        <v/>
      </c>
    </row>
    <row r="162">
      <c r="A162">
        <f>IF('COPY 30 %'!$A162="","",ROWS($A$2:$A162))</f>
        <v/>
      </c>
      <c r="B162">
        <f>IF('COPY 30 %'!$A162="","",'COPY 30 %'!E162)</f>
        <v/>
      </c>
      <c r="C162">
        <f>IF('COPY 30 %'!$A162="","",'COPY 30 %'!F162)</f>
        <v/>
      </c>
      <c r="D162" s="14">
        <f>IF('COPY 30 %'!$A162="","",'COPY 30 %'!I162)</f>
        <v/>
      </c>
      <c r="E162" s="7">
        <f>IF('COPY 30 %'!$A162="","",'COPY 30 %'!O162)</f>
        <v/>
      </c>
      <c r="F162" s="7">
        <f>IF('COPY 30 %'!$A162="","",'COPY 30 %'!L162)</f>
        <v/>
      </c>
      <c r="G162" s="7">
        <f>IF('COPY 30 %'!$A162="","",'COPY 30 %'!S162)</f>
        <v/>
      </c>
      <c r="H162">
        <f>IF('COPY 30 %'!$A162="","",'COPY 30 %'!P162)</f>
        <v/>
      </c>
      <c r="I162">
        <f>IF('COPY 30 %'!$A162="","",'COPY 30 %'!M162)</f>
        <v/>
      </c>
      <c r="J162" s="7">
        <f>IF('COPY 30 %'!$A162="","",'COPY 30 %'!Q162)</f>
        <v/>
      </c>
      <c r="K162" s="7">
        <f>IF('COPY 30 %'!$A162="","",'COPY 30 %'!H162)</f>
        <v/>
      </c>
      <c r="L162" s="7">
        <f>IF('COPY 30 %'!$A162="","",'COPY 30 %'!T162)</f>
        <v/>
      </c>
      <c r="M162">
        <f>IF('COPY 30 %'!$A162="","",'COPY 30 %'!G162)</f>
        <v/>
      </c>
    </row>
    <row r="163">
      <c r="A163">
        <f>IF('COPY 30 %'!$A163="","",ROWS($A$2:$A163))</f>
        <v/>
      </c>
      <c r="B163">
        <f>IF('COPY 30 %'!$A163="","",'COPY 30 %'!E163)</f>
        <v/>
      </c>
      <c r="C163">
        <f>IF('COPY 30 %'!$A163="","",'COPY 30 %'!F163)</f>
        <v/>
      </c>
      <c r="D163" s="14">
        <f>IF('COPY 30 %'!$A163="","",'COPY 30 %'!I163)</f>
        <v/>
      </c>
      <c r="E163" s="7">
        <f>IF('COPY 30 %'!$A163="","",'COPY 30 %'!O163)</f>
        <v/>
      </c>
      <c r="F163" s="7">
        <f>IF('COPY 30 %'!$A163="","",'COPY 30 %'!L163)</f>
        <v/>
      </c>
      <c r="G163" s="7">
        <f>IF('COPY 30 %'!$A163="","",'COPY 30 %'!S163)</f>
        <v/>
      </c>
      <c r="H163">
        <f>IF('COPY 30 %'!$A163="","",'COPY 30 %'!P163)</f>
        <v/>
      </c>
      <c r="I163">
        <f>IF('COPY 30 %'!$A163="","",'COPY 30 %'!M163)</f>
        <v/>
      </c>
      <c r="J163" s="7">
        <f>IF('COPY 30 %'!$A163="","",'COPY 30 %'!Q163)</f>
        <v/>
      </c>
      <c r="K163" s="7">
        <f>IF('COPY 30 %'!$A163="","",'COPY 30 %'!H163)</f>
        <v/>
      </c>
      <c r="L163" s="7">
        <f>IF('COPY 30 %'!$A163="","",'COPY 30 %'!T163)</f>
        <v/>
      </c>
      <c r="M163">
        <f>IF('COPY 30 %'!$A163="","",'COPY 30 %'!G163)</f>
        <v/>
      </c>
    </row>
    <row r="164">
      <c r="A164">
        <f>IF('COPY 30 %'!$A164="","",ROWS($A$2:$A164))</f>
        <v/>
      </c>
      <c r="B164">
        <f>IF('COPY 30 %'!$A164="","",'COPY 30 %'!E164)</f>
        <v/>
      </c>
      <c r="C164">
        <f>IF('COPY 30 %'!$A164="","",'COPY 30 %'!F164)</f>
        <v/>
      </c>
      <c r="D164" s="14">
        <f>IF('COPY 30 %'!$A164="","",'COPY 30 %'!I164)</f>
        <v/>
      </c>
      <c r="E164" s="7">
        <f>IF('COPY 30 %'!$A164="","",'COPY 30 %'!O164)</f>
        <v/>
      </c>
      <c r="F164" s="7">
        <f>IF('COPY 30 %'!$A164="","",'COPY 30 %'!L164)</f>
        <v/>
      </c>
      <c r="G164" s="7">
        <f>IF('COPY 30 %'!$A164="","",'COPY 30 %'!S164)</f>
        <v/>
      </c>
      <c r="H164">
        <f>IF('COPY 30 %'!$A164="","",'COPY 30 %'!P164)</f>
        <v/>
      </c>
      <c r="I164">
        <f>IF('COPY 30 %'!$A164="","",'COPY 30 %'!M164)</f>
        <v/>
      </c>
      <c r="J164" s="7">
        <f>IF('COPY 30 %'!$A164="","",'COPY 30 %'!Q164)</f>
        <v/>
      </c>
      <c r="K164" s="7">
        <f>IF('COPY 30 %'!$A164="","",'COPY 30 %'!H164)</f>
        <v/>
      </c>
      <c r="L164" s="7">
        <f>IF('COPY 30 %'!$A164="","",'COPY 30 %'!T164)</f>
        <v/>
      </c>
      <c r="M164">
        <f>IF('COPY 30 %'!$A164="","",'COPY 30 %'!G164)</f>
        <v/>
      </c>
    </row>
    <row r="165">
      <c r="A165">
        <f>IF('COPY 30 %'!$A165="","",ROWS($A$2:$A165))</f>
        <v/>
      </c>
      <c r="B165">
        <f>IF('COPY 30 %'!$A165="","",'COPY 30 %'!E165)</f>
        <v/>
      </c>
      <c r="C165">
        <f>IF('COPY 30 %'!$A165="","",'COPY 30 %'!F165)</f>
        <v/>
      </c>
      <c r="D165" s="14">
        <f>IF('COPY 30 %'!$A165="","",'COPY 30 %'!I165)</f>
        <v/>
      </c>
      <c r="E165" s="7">
        <f>IF('COPY 30 %'!$A165="","",'COPY 30 %'!O165)</f>
        <v/>
      </c>
      <c r="F165" s="7">
        <f>IF('COPY 30 %'!$A165="","",'COPY 30 %'!L165)</f>
        <v/>
      </c>
      <c r="G165" s="7">
        <f>IF('COPY 30 %'!$A165="","",'COPY 30 %'!S165)</f>
        <v/>
      </c>
      <c r="H165">
        <f>IF('COPY 30 %'!$A165="","",'COPY 30 %'!P165)</f>
        <v/>
      </c>
      <c r="I165">
        <f>IF('COPY 30 %'!$A165="","",'COPY 30 %'!M165)</f>
        <v/>
      </c>
      <c r="J165" s="7">
        <f>IF('COPY 30 %'!$A165="","",'COPY 30 %'!Q165)</f>
        <v/>
      </c>
      <c r="K165" s="7">
        <f>IF('COPY 30 %'!$A165="","",'COPY 30 %'!H165)</f>
        <v/>
      </c>
      <c r="L165" s="7">
        <f>IF('COPY 30 %'!$A165="","",'COPY 30 %'!T165)</f>
        <v/>
      </c>
      <c r="M165">
        <f>IF('COPY 30 %'!$A165="","",'COPY 30 %'!G165)</f>
        <v/>
      </c>
    </row>
    <row r="166">
      <c r="A166">
        <f>IF('COPY 30 %'!$A166="","",ROWS($A$2:$A166))</f>
        <v/>
      </c>
      <c r="B166">
        <f>IF('COPY 30 %'!$A166="","",'COPY 30 %'!E166)</f>
        <v/>
      </c>
      <c r="C166">
        <f>IF('COPY 30 %'!$A166="","",'COPY 30 %'!F166)</f>
        <v/>
      </c>
      <c r="D166" s="14">
        <f>IF('COPY 30 %'!$A166="","",'COPY 30 %'!I166)</f>
        <v/>
      </c>
      <c r="E166" s="7">
        <f>IF('COPY 30 %'!$A166="","",'COPY 30 %'!O166)</f>
        <v/>
      </c>
      <c r="F166" s="7">
        <f>IF('COPY 30 %'!$A166="","",'COPY 30 %'!L166)</f>
        <v/>
      </c>
      <c r="G166" s="7">
        <f>IF('COPY 30 %'!$A166="","",'COPY 30 %'!S166)</f>
        <v/>
      </c>
      <c r="H166">
        <f>IF('COPY 30 %'!$A166="","",'COPY 30 %'!P166)</f>
        <v/>
      </c>
      <c r="I166">
        <f>IF('COPY 30 %'!$A166="","",'COPY 30 %'!M166)</f>
        <v/>
      </c>
      <c r="J166" s="7">
        <f>IF('COPY 30 %'!$A166="","",'COPY 30 %'!Q166)</f>
        <v/>
      </c>
      <c r="K166" s="7">
        <f>IF('COPY 30 %'!$A166="","",'COPY 30 %'!H166)</f>
        <v/>
      </c>
      <c r="L166" s="7">
        <f>IF('COPY 30 %'!$A166="","",'COPY 30 %'!T166)</f>
        <v/>
      </c>
      <c r="M166">
        <f>IF('COPY 30 %'!$A166="","",'COPY 30 %'!G166)</f>
        <v/>
      </c>
    </row>
    <row r="167">
      <c r="A167">
        <f>IF('COPY 30 %'!$A167="","",ROWS($A$2:$A167))</f>
        <v/>
      </c>
      <c r="B167">
        <f>IF('COPY 30 %'!$A167="","",'COPY 30 %'!E167)</f>
        <v/>
      </c>
      <c r="C167">
        <f>IF('COPY 30 %'!$A167="","",'COPY 30 %'!F167)</f>
        <v/>
      </c>
      <c r="D167" s="14">
        <f>IF('COPY 30 %'!$A167="","",'COPY 30 %'!I167)</f>
        <v/>
      </c>
      <c r="E167" s="7">
        <f>IF('COPY 30 %'!$A167="","",'COPY 30 %'!O167)</f>
        <v/>
      </c>
      <c r="F167" s="7">
        <f>IF('COPY 30 %'!$A167="","",'COPY 30 %'!L167)</f>
        <v/>
      </c>
      <c r="G167" s="7">
        <f>IF('COPY 30 %'!$A167="","",'COPY 30 %'!S167)</f>
        <v/>
      </c>
      <c r="H167">
        <f>IF('COPY 30 %'!$A167="","",'COPY 30 %'!P167)</f>
        <v/>
      </c>
      <c r="I167">
        <f>IF('COPY 30 %'!$A167="","",'COPY 30 %'!M167)</f>
        <v/>
      </c>
      <c r="J167" s="7">
        <f>IF('COPY 30 %'!$A167="","",'COPY 30 %'!Q167)</f>
        <v/>
      </c>
      <c r="K167" s="7">
        <f>IF('COPY 30 %'!$A167="","",'COPY 30 %'!H167)</f>
        <v/>
      </c>
      <c r="L167" s="7">
        <f>IF('COPY 30 %'!$A167="","",'COPY 30 %'!T167)</f>
        <v/>
      </c>
      <c r="M167">
        <f>IF('COPY 30 %'!$A167="","",'COPY 30 %'!G167)</f>
        <v/>
      </c>
    </row>
    <row r="168">
      <c r="A168">
        <f>IF('COPY 30 %'!$A168="","",ROWS($A$2:$A168))</f>
        <v/>
      </c>
      <c r="B168">
        <f>IF('COPY 30 %'!$A168="","",'COPY 30 %'!E168)</f>
        <v/>
      </c>
      <c r="C168">
        <f>IF('COPY 30 %'!$A168="","",'COPY 30 %'!F168)</f>
        <v/>
      </c>
      <c r="D168" s="14">
        <f>IF('COPY 30 %'!$A168="","",'COPY 30 %'!I168)</f>
        <v/>
      </c>
      <c r="E168" s="7">
        <f>IF('COPY 30 %'!$A168="","",'COPY 30 %'!O168)</f>
        <v/>
      </c>
      <c r="F168" s="7">
        <f>IF('COPY 30 %'!$A168="","",'COPY 30 %'!L168)</f>
        <v/>
      </c>
      <c r="G168" s="7">
        <f>IF('COPY 30 %'!$A168="","",'COPY 30 %'!S168)</f>
        <v/>
      </c>
      <c r="H168">
        <f>IF('COPY 30 %'!$A168="","",'COPY 30 %'!P168)</f>
        <v/>
      </c>
      <c r="I168">
        <f>IF('COPY 30 %'!$A168="","",'COPY 30 %'!M168)</f>
        <v/>
      </c>
      <c r="J168" s="7">
        <f>IF('COPY 30 %'!$A168="","",'COPY 30 %'!Q168)</f>
        <v/>
      </c>
      <c r="K168" s="7">
        <f>IF('COPY 30 %'!$A168="","",'COPY 30 %'!H168)</f>
        <v/>
      </c>
      <c r="L168" s="7">
        <f>IF('COPY 30 %'!$A168="","",'COPY 30 %'!T168)</f>
        <v/>
      </c>
      <c r="M168">
        <f>IF('COPY 30 %'!$A168="","",'COPY 30 %'!G168)</f>
        <v/>
      </c>
    </row>
    <row r="169">
      <c r="A169">
        <f>IF('COPY 30 %'!$A169="","",ROWS($A$2:$A169))</f>
        <v/>
      </c>
      <c r="B169">
        <f>IF('COPY 30 %'!$A169="","",'COPY 30 %'!E169)</f>
        <v/>
      </c>
      <c r="C169">
        <f>IF('COPY 30 %'!$A169="","",'COPY 30 %'!F169)</f>
        <v/>
      </c>
      <c r="D169" s="14">
        <f>IF('COPY 30 %'!$A169="","",'COPY 30 %'!I169)</f>
        <v/>
      </c>
      <c r="E169" s="7">
        <f>IF('COPY 30 %'!$A169="","",'COPY 30 %'!O169)</f>
        <v/>
      </c>
      <c r="F169" s="7">
        <f>IF('COPY 30 %'!$A169="","",'COPY 30 %'!L169)</f>
        <v/>
      </c>
      <c r="G169" s="7">
        <f>IF('COPY 30 %'!$A169="","",'COPY 30 %'!S169)</f>
        <v/>
      </c>
      <c r="H169">
        <f>IF('COPY 30 %'!$A169="","",'COPY 30 %'!P169)</f>
        <v/>
      </c>
      <c r="I169">
        <f>IF('COPY 30 %'!$A169="","",'COPY 30 %'!M169)</f>
        <v/>
      </c>
      <c r="J169" s="7">
        <f>IF('COPY 30 %'!$A169="","",'COPY 30 %'!Q169)</f>
        <v/>
      </c>
      <c r="K169" s="7">
        <f>IF('COPY 30 %'!$A169="","",'COPY 30 %'!H169)</f>
        <v/>
      </c>
      <c r="L169" s="7">
        <f>IF('COPY 30 %'!$A169="","",'COPY 30 %'!T169)</f>
        <v/>
      </c>
      <c r="M169">
        <f>IF('COPY 30 %'!$A169="","",'COPY 30 %'!G169)</f>
        <v/>
      </c>
    </row>
    <row r="170">
      <c r="A170">
        <f>IF('COPY 30 %'!$A170="","",ROWS($A$2:$A170))</f>
        <v/>
      </c>
      <c r="B170">
        <f>IF('COPY 30 %'!$A170="","",'COPY 30 %'!E170)</f>
        <v/>
      </c>
      <c r="C170">
        <f>IF('COPY 30 %'!$A170="","",'COPY 30 %'!F170)</f>
        <v/>
      </c>
      <c r="D170" s="14">
        <f>IF('COPY 30 %'!$A170="","",'COPY 30 %'!I170)</f>
        <v/>
      </c>
      <c r="E170" s="7">
        <f>IF('COPY 30 %'!$A170="","",'COPY 30 %'!O170)</f>
        <v/>
      </c>
      <c r="F170" s="7">
        <f>IF('COPY 30 %'!$A170="","",'COPY 30 %'!L170)</f>
        <v/>
      </c>
      <c r="G170" s="7">
        <f>IF('COPY 30 %'!$A170="","",'COPY 30 %'!S170)</f>
        <v/>
      </c>
      <c r="H170">
        <f>IF('COPY 30 %'!$A170="","",'COPY 30 %'!P170)</f>
        <v/>
      </c>
      <c r="I170">
        <f>IF('COPY 30 %'!$A170="","",'COPY 30 %'!M170)</f>
        <v/>
      </c>
      <c r="J170" s="7">
        <f>IF('COPY 30 %'!$A170="","",'COPY 30 %'!Q170)</f>
        <v/>
      </c>
      <c r="K170" s="7">
        <f>IF('COPY 30 %'!$A170="","",'COPY 30 %'!H170)</f>
        <v/>
      </c>
      <c r="L170" s="7">
        <f>IF('COPY 30 %'!$A170="","",'COPY 30 %'!T170)</f>
        <v/>
      </c>
      <c r="M170">
        <f>IF('COPY 30 %'!$A170="","",'COPY 30 %'!G170)</f>
        <v/>
      </c>
    </row>
    <row r="171">
      <c r="A171">
        <f>IF('COPY 30 %'!$A171="","",ROWS($A$2:$A171))</f>
        <v/>
      </c>
      <c r="B171">
        <f>IF('COPY 30 %'!$A171="","",'COPY 30 %'!E171)</f>
        <v/>
      </c>
      <c r="C171">
        <f>IF('COPY 30 %'!$A171="","",'COPY 30 %'!F171)</f>
        <v/>
      </c>
      <c r="D171" s="14">
        <f>IF('COPY 30 %'!$A171="","",'COPY 30 %'!I171)</f>
        <v/>
      </c>
      <c r="E171" s="7">
        <f>IF('COPY 30 %'!$A171="","",'COPY 30 %'!O171)</f>
        <v/>
      </c>
      <c r="F171" s="7">
        <f>IF('COPY 30 %'!$A171="","",'COPY 30 %'!L171)</f>
        <v/>
      </c>
      <c r="G171" s="7">
        <f>IF('COPY 30 %'!$A171="","",'COPY 30 %'!S171)</f>
        <v/>
      </c>
      <c r="H171">
        <f>IF('COPY 30 %'!$A171="","",'COPY 30 %'!P171)</f>
        <v/>
      </c>
      <c r="I171">
        <f>IF('COPY 30 %'!$A171="","",'COPY 30 %'!M171)</f>
        <v/>
      </c>
      <c r="J171" s="7">
        <f>IF('COPY 30 %'!$A171="","",'COPY 30 %'!Q171)</f>
        <v/>
      </c>
      <c r="K171" s="7">
        <f>IF('COPY 30 %'!$A171="","",'COPY 30 %'!H171)</f>
        <v/>
      </c>
      <c r="L171" s="7">
        <f>IF('COPY 30 %'!$A171="","",'COPY 30 %'!T171)</f>
        <v/>
      </c>
      <c r="M171">
        <f>IF('COPY 30 %'!$A171="","",'COPY 30 %'!G171)</f>
        <v/>
      </c>
    </row>
    <row r="172">
      <c r="A172">
        <f>IF('COPY 30 %'!$A172="","",ROWS($A$2:$A172))</f>
        <v/>
      </c>
      <c r="B172">
        <f>IF('COPY 30 %'!$A172="","",'COPY 30 %'!E172)</f>
        <v/>
      </c>
      <c r="C172">
        <f>IF('COPY 30 %'!$A172="","",'COPY 30 %'!F172)</f>
        <v/>
      </c>
      <c r="D172" s="14">
        <f>IF('COPY 30 %'!$A172="","",'COPY 30 %'!I172)</f>
        <v/>
      </c>
      <c r="E172" s="7">
        <f>IF('COPY 30 %'!$A172="","",'COPY 30 %'!O172)</f>
        <v/>
      </c>
      <c r="F172" s="7">
        <f>IF('COPY 30 %'!$A172="","",'COPY 30 %'!L172)</f>
        <v/>
      </c>
      <c r="G172" s="7">
        <f>IF('COPY 30 %'!$A172="","",'COPY 30 %'!S172)</f>
        <v/>
      </c>
      <c r="H172">
        <f>IF('COPY 30 %'!$A172="","",'COPY 30 %'!P172)</f>
        <v/>
      </c>
      <c r="I172">
        <f>IF('COPY 30 %'!$A172="","",'COPY 30 %'!M172)</f>
        <v/>
      </c>
      <c r="J172" s="7">
        <f>IF('COPY 30 %'!$A172="","",'COPY 30 %'!Q172)</f>
        <v/>
      </c>
      <c r="K172" s="7">
        <f>IF('COPY 30 %'!$A172="","",'COPY 30 %'!H172)</f>
        <v/>
      </c>
      <c r="L172" s="7">
        <f>IF('COPY 30 %'!$A172="","",'COPY 30 %'!T172)</f>
        <v/>
      </c>
      <c r="M172">
        <f>IF('COPY 30 %'!$A172="","",'COPY 30 %'!G172)</f>
        <v/>
      </c>
    </row>
    <row r="173">
      <c r="A173">
        <f>IF('COPY 30 %'!$A173="","",ROWS($A$2:$A173))</f>
        <v/>
      </c>
      <c r="B173">
        <f>IF('COPY 30 %'!$A173="","",'COPY 30 %'!E173)</f>
        <v/>
      </c>
      <c r="C173">
        <f>IF('COPY 30 %'!$A173="","",'COPY 30 %'!F173)</f>
        <v/>
      </c>
      <c r="D173" s="14">
        <f>IF('COPY 30 %'!$A173="","",'COPY 30 %'!I173)</f>
        <v/>
      </c>
      <c r="E173" s="7">
        <f>IF('COPY 30 %'!$A173="","",'COPY 30 %'!O173)</f>
        <v/>
      </c>
      <c r="F173" s="7">
        <f>IF('COPY 30 %'!$A173="","",'COPY 30 %'!L173)</f>
        <v/>
      </c>
      <c r="G173" s="7">
        <f>IF('COPY 30 %'!$A173="","",'COPY 30 %'!S173)</f>
        <v/>
      </c>
      <c r="H173">
        <f>IF('COPY 30 %'!$A173="","",'COPY 30 %'!P173)</f>
        <v/>
      </c>
      <c r="I173">
        <f>IF('COPY 30 %'!$A173="","",'COPY 30 %'!M173)</f>
        <v/>
      </c>
      <c r="J173" s="7">
        <f>IF('COPY 30 %'!$A173="","",'COPY 30 %'!Q173)</f>
        <v/>
      </c>
      <c r="K173" s="7">
        <f>IF('COPY 30 %'!$A173="","",'COPY 30 %'!H173)</f>
        <v/>
      </c>
      <c r="L173" s="7">
        <f>IF('COPY 30 %'!$A173="","",'COPY 30 %'!T173)</f>
        <v/>
      </c>
      <c r="M173">
        <f>IF('COPY 30 %'!$A173="","",'COPY 30 %'!G173)</f>
        <v/>
      </c>
    </row>
    <row r="174">
      <c r="A174">
        <f>IF('COPY 30 %'!$A174="","",ROWS($A$2:$A174))</f>
        <v/>
      </c>
      <c r="B174">
        <f>IF('COPY 30 %'!$A174="","",'COPY 30 %'!E174)</f>
        <v/>
      </c>
      <c r="C174">
        <f>IF('COPY 30 %'!$A174="","",'COPY 30 %'!F174)</f>
        <v/>
      </c>
      <c r="D174" s="14">
        <f>IF('COPY 30 %'!$A174="","",'COPY 30 %'!I174)</f>
        <v/>
      </c>
      <c r="E174" s="7">
        <f>IF('COPY 30 %'!$A174="","",'COPY 30 %'!O174)</f>
        <v/>
      </c>
      <c r="F174" s="7">
        <f>IF('COPY 30 %'!$A174="","",'COPY 30 %'!L174)</f>
        <v/>
      </c>
      <c r="G174" s="7">
        <f>IF('COPY 30 %'!$A174="","",'COPY 30 %'!S174)</f>
        <v/>
      </c>
      <c r="H174">
        <f>IF('COPY 30 %'!$A174="","",'COPY 30 %'!P174)</f>
        <v/>
      </c>
      <c r="I174">
        <f>IF('COPY 30 %'!$A174="","",'COPY 30 %'!M174)</f>
        <v/>
      </c>
      <c r="J174" s="7">
        <f>IF('COPY 30 %'!$A174="","",'COPY 30 %'!Q174)</f>
        <v/>
      </c>
      <c r="K174" s="7">
        <f>IF('COPY 30 %'!$A174="","",'COPY 30 %'!H174)</f>
        <v/>
      </c>
      <c r="L174" s="7">
        <f>IF('COPY 30 %'!$A174="","",'COPY 30 %'!T174)</f>
        <v/>
      </c>
      <c r="M174">
        <f>IF('COPY 30 %'!$A174="","",'COPY 30 %'!G174)</f>
        <v/>
      </c>
    </row>
    <row r="175">
      <c r="A175">
        <f>IF('COPY 30 %'!$A175="","",ROWS($A$2:$A175))</f>
        <v/>
      </c>
      <c r="B175">
        <f>IF('COPY 30 %'!$A175="","",'COPY 30 %'!E175)</f>
        <v/>
      </c>
      <c r="C175">
        <f>IF('COPY 30 %'!$A175="","",'COPY 30 %'!F175)</f>
        <v/>
      </c>
      <c r="D175" s="14">
        <f>IF('COPY 30 %'!$A175="","",'COPY 30 %'!I175)</f>
        <v/>
      </c>
      <c r="E175" s="7">
        <f>IF('COPY 30 %'!$A175="","",'COPY 30 %'!O175)</f>
        <v/>
      </c>
      <c r="F175" s="7">
        <f>IF('COPY 30 %'!$A175="","",'COPY 30 %'!L175)</f>
        <v/>
      </c>
      <c r="G175" s="7">
        <f>IF('COPY 30 %'!$A175="","",'COPY 30 %'!S175)</f>
        <v/>
      </c>
      <c r="H175">
        <f>IF('COPY 30 %'!$A175="","",'COPY 30 %'!P175)</f>
        <v/>
      </c>
      <c r="I175">
        <f>IF('COPY 30 %'!$A175="","",'COPY 30 %'!M175)</f>
        <v/>
      </c>
      <c r="J175" s="7">
        <f>IF('COPY 30 %'!$A175="","",'COPY 30 %'!Q175)</f>
        <v/>
      </c>
      <c r="K175" s="7">
        <f>IF('COPY 30 %'!$A175="","",'COPY 30 %'!H175)</f>
        <v/>
      </c>
      <c r="L175" s="7">
        <f>IF('COPY 30 %'!$A175="","",'COPY 30 %'!T175)</f>
        <v/>
      </c>
      <c r="M175">
        <f>IF('COPY 30 %'!$A175="","",'COPY 30 %'!G175)</f>
        <v/>
      </c>
    </row>
    <row r="176">
      <c r="A176">
        <f>IF('COPY 30 %'!$A176="","",ROWS($A$2:$A176))</f>
        <v/>
      </c>
      <c r="B176">
        <f>IF('COPY 30 %'!$A176="","",'COPY 30 %'!E176)</f>
        <v/>
      </c>
      <c r="C176">
        <f>IF('COPY 30 %'!$A176="","",'COPY 30 %'!F176)</f>
        <v/>
      </c>
      <c r="D176" s="14">
        <f>IF('COPY 30 %'!$A176="","",'COPY 30 %'!I176)</f>
        <v/>
      </c>
      <c r="E176" s="7">
        <f>IF('COPY 30 %'!$A176="","",'COPY 30 %'!O176)</f>
        <v/>
      </c>
      <c r="F176" s="7">
        <f>IF('COPY 30 %'!$A176="","",'COPY 30 %'!L176)</f>
        <v/>
      </c>
      <c r="G176" s="7">
        <f>IF('COPY 30 %'!$A176="","",'COPY 30 %'!S176)</f>
        <v/>
      </c>
      <c r="H176">
        <f>IF('COPY 30 %'!$A176="","",'COPY 30 %'!P176)</f>
        <v/>
      </c>
      <c r="I176">
        <f>IF('COPY 30 %'!$A176="","",'COPY 30 %'!M176)</f>
        <v/>
      </c>
      <c r="J176" s="7">
        <f>IF('COPY 30 %'!$A176="","",'COPY 30 %'!Q176)</f>
        <v/>
      </c>
      <c r="K176" s="7">
        <f>IF('COPY 30 %'!$A176="","",'COPY 30 %'!H176)</f>
        <v/>
      </c>
      <c r="L176" s="7">
        <f>IF('COPY 30 %'!$A176="","",'COPY 30 %'!T176)</f>
        <v/>
      </c>
      <c r="M176">
        <f>IF('COPY 30 %'!$A176="","",'COPY 30 %'!G176)</f>
        <v/>
      </c>
    </row>
    <row r="177">
      <c r="A177">
        <f>IF('COPY 30 %'!$A177="","",ROWS($A$2:$A177))</f>
        <v/>
      </c>
      <c r="B177">
        <f>IF('COPY 30 %'!$A177="","",'COPY 30 %'!E177)</f>
        <v/>
      </c>
      <c r="C177">
        <f>IF('COPY 30 %'!$A177="","",'COPY 30 %'!F177)</f>
        <v/>
      </c>
      <c r="D177" s="14">
        <f>IF('COPY 30 %'!$A177="","",'COPY 30 %'!I177)</f>
        <v/>
      </c>
      <c r="E177" s="7">
        <f>IF('COPY 30 %'!$A177="","",'COPY 30 %'!O177)</f>
        <v/>
      </c>
      <c r="F177" s="7">
        <f>IF('COPY 30 %'!$A177="","",'COPY 30 %'!L177)</f>
        <v/>
      </c>
      <c r="G177" s="7">
        <f>IF('COPY 30 %'!$A177="","",'COPY 30 %'!S177)</f>
        <v/>
      </c>
      <c r="H177">
        <f>IF('COPY 30 %'!$A177="","",'COPY 30 %'!P177)</f>
        <v/>
      </c>
      <c r="I177">
        <f>IF('COPY 30 %'!$A177="","",'COPY 30 %'!M177)</f>
        <v/>
      </c>
      <c r="J177" s="7">
        <f>IF('COPY 30 %'!$A177="","",'COPY 30 %'!Q177)</f>
        <v/>
      </c>
      <c r="K177" s="7">
        <f>IF('COPY 30 %'!$A177="","",'COPY 30 %'!H177)</f>
        <v/>
      </c>
      <c r="L177" s="7">
        <f>IF('COPY 30 %'!$A177="","",'COPY 30 %'!T177)</f>
        <v/>
      </c>
      <c r="M177">
        <f>IF('COPY 30 %'!$A177="","",'COPY 30 %'!G177)</f>
        <v/>
      </c>
    </row>
    <row r="178">
      <c r="A178">
        <f>IF('COPY 30 %'!$A178="","",ROWS($A$2:$A178))</f>
        <v/>
      </c>
      <c r="B178">
        <f>IF('COPY 30 %'!$A178="","",'COPY 30 %'!E178)</f>
        <v/>
      </c>
      <c r="C178">
        <f>IF('COPY 30 %'!$A178="","",'COPY 30 %'!F178)</f>
        <v/>
      </c>
      <c r="D178" s="14">
        <f>IF('COPY 30 %'!$A178="","",'COPY 30 %'!I178)</f>
        <v/>
      </c>
      <c r="E178" s="7">
        <f>IF('COPY 30 %'!$A178="","",'COPY 30 %'!O178)</f>
        <v/>
      </c>
      <c r="F178" s="7">
        <f>IF('COPY 30 %'!$A178="","",'COPY 30 %'!L178)</f>
        <v/>
      </c>
      <c r="G178" s="7">
        <f>IF('COPY 30 %'!$A178="","",'COPY 30 %'!S178)</f>
        <v/>
      </c>
      <c r="H178">
        <f>IF('COPY 30 %'!$A178="","",'COPY 30 %'!P178)</f>
        <v/>
      </c>
      <c r="I178">
        <f>IF('COPY 30 %'!$A178="","",'COPY 30 %'!M178)</f>
        <v/>
      </c>
      <c r="J178" s="7">
        <f>IF('COPY 30 %'!$A178="","",'COPY 30 %'!Q178)</f>
        <v/>
      </c>
      <c r="K178" s="7">
        <f>IF('COPY 30 %'!$A178="","",'COPY 30 %'!H178)</f>
        <v/>
      </c>
      <c r="L178" s="7">
        <f>IF('COPY 30 %'!$A178="","",'COPY 30 %'!T178)</f>
        <v/>
      </c>
      <c r="M178">
        <f>IF('COPY 30 %'!$A178="","",'COPY 30 %'!G178)</f>
        <v/>
      </c>
    </row>
    <row r="179">
      <c r="A179">
        <f>IF('COPY 30 %'!$A179="","",ROWS($A$2:$A179))</f>
        <v/>
      </c>
      <c r="B179">
        <f>IF('COPY 30 %'!$A179="","",'COPY 30 %'!E179)</f>
        <v/>
      </c>
      <c r="C179">
        <f>IF('COPY 30 %'!$A179="","",'COPY 30 %'!F179)</f>
        <v/>
      </c>
      <c r="D179" s="14">
        <f>IF('COPY 30 %'!$A179="","",'COPY 30 %'!I179)</f>
        <v/>
      </c>
      <c r="E179" s="7">
        <f>IF('COPY 30 %'!$A179="","",'COPY 30 %'!O179)</f>
        <v/>
      </c>
      <c r="F179" s="7">
        <f>IF('COPY 30 %'!$A179="","",'COPY 30 %'!L179)</f>
        <v/>
      </c>
      <c r="G179" s="7">
        <f>IF('COPY 30 %'!$A179="","",'COPY 30 %'!S179)</f>
        <v/>
      </c>
      <c r="H179">
        <f>IF('COPY 30 %'!$A179="","",'COPY 30 %'!P179)</f>
        <v/>
      </c>
      <c r="I179">
        <f>IF('COPY 30 %'!$A179="","",'COPY 30 %'!M179)</f>
        <v/>
      </c>
      <c r="J179" s="7">
        <f>IF('COPY 30 %'!$A179="","",'COPY 30 %'!Q179)</f>
        <v/>
      </c>
      <c r="K179" s="7">
        <f>IF('COPY 30 %'!$A179="","",'COPY 30 %'!H179)</f>
        <v/>
      </c>
      <c r="L179" s="7">
        <f>IF('COPY 30 %'!$A179="","",'COPY 30 %'!T179)</f>
        <v/>
      </c>
      <c r="M179">
        <f>IF('COPY 30 %'!$A179="","",'COPY 30 %'!G179)</f>
        <v/>
      </c>
    </row>
    <row r="180">
      <c r="A180">
        <f>IF('COPY 30 %'!$A180="","",ROWS($A$2:$A180))</f>
        <v/>
      </c>
      <c r="B180">
        <f>IF('COPY 30 %'!$A180="","",'COPY 30 %'!E180)</f>
        <v/>
      </c>
      <c r="C180">
        <f>IF('COPY 30 %'!$A180="","",'COPY 30 %'!F180)</f>
        <v/>
      </c>
      <c r="D180" s="14">
        <f>IF('COPY 30 %'!$A180="","",'COPY 30 %'!I180)</f>
        <v/>
      </c>
      <c r="E180" s="7">
        <f>IF('COPY 30 %'!$A180="","",'COPY 30 %'!O180)</f>
        <v/>
      </c>
      <c r="F180" s="7">
        <f>IF('COPY 30 %'!$A180="","",'COPY 30 %'!L180)</f>
        <v/>
      </c>
      <c r="G180" s="7">
        <f>IF('COPY 30 %'!$A180="","",'COPY 30 %'!S180)</f>
        <v/>
      </c>
      <c r="H180">
        <f>IF('COPY 30 %'!$A180="","",'COPY 30 %'!P180)</f>
        <v/>
      </c>
      <c r="I180">
        <f>IF('COPY 30 %'!$A180="","",'COPY 30 %'!M180)</f>
        <v/>
      </c>
      <c r="J180" s="7">
        <f>IF('COPY 30 %'!$A180="","",'COPY 30 %'!Q180)</f>
        <v/>
      </c>
      <c r="K180" s="7">
        <f>IF('COPY 30 %'!$A180="","",'COPY 30 %'!H180)</f>
        <v/>
      </c>
      <c r="L180" s="7">
        <f>IF('COPY 30 %'!$A180="","",'COPY 30 %'!T180)</f>
        <v/>
      </c>
      <c r="M180">
        <f>IF('COPY 30 %'!$A180="","",'COPY 30 %'!G180)</f>
        <v/>
      </c>
    </row>
    <row r="181">
      <c r="A181">
        <f>IF('COPY 30 %'!$A181="","",ROWS($A$2:$A181))</f>
        <v/>
      </c>
      <c r="B181">
        <f>IF('COPY 30 %'!$A181="","",'COPY 30 %'!E181)</f>
        <v/>
      </c>
      <c r="C181">
        <f>IF('COPY 30 %'!$A181="","",'COPY 30 %'!F181)</f>
        <v/>
      </c>
      <c r="D181" s="14">
        <f>IF('COPY 30 %'!$A181="","",'COPY 30 %'!I181)</f>
        <v/>
      </c>
      <c r="E181" s="7">
        <f>IF('COPY 30 %'!$A181="","",'COPY 30 %'!O181)</f>
        <v/>
      </c>
      <c r="F181" s="7">
        <f>IF('COPY 30 %'!$A181="","",'COPY 30 %'!L181)</f>
        <v/>
      </c>
      <c r="G181" s="7">
        <f>IF('COPY 30 %'!$A181="","",'COPY 30 %'!S181)</f>
        <v/>
      </c>
      <c r="H181">
        <f>IF('COPY 30 %'!$A181="","",'COPY 30 %'!P181)</f>
        <v/>
      </c>
      <c r="I181">
        <f>IF('COPY 30 %'!$A181="","",'COPY 30 %'!M181)</f>
        <v/>
      </c>
      <c r="J181" s="7">
        <f>IF('COPY 30 %'!$A181="","",'COPY 30 %'!Q181)</f>
        <v/>
      </c>
      <c r="K181" s="7">
        <f>IF('COPY 30 %'!$A181="","",'COPY 30 %'!H181)</f>
        <v/>
      </c>
      <c r="L181" s="7">
        <f>IF('COPY 30 %'!$A181="","",'COPY 30 %'!T181)</f>
        <v/>
      </c>
      <c r="M181">
        <f>IF('COPY 30 %'!$A181="","",'COPY 30 %'!G181)</f>
        <v/>
      </c>
    </row>
    <row r="182">
      <c r="A182">
        <f>IF('COPY 30 %'!$A182="","",ROWS($A$2:$A182))</f>
        <v/>
      </c>
      <c r="B182">
        <f>IF('COPY 30 %'!$A182="","",'COPY 30 %'!E182)</f>
        <v/>
      </c>
      <c r="C182">
        <f>IF('COPY 30 %'!$A182="","",'COPY 30 %'!F182)</f>
        <v/>
      </c>
      <c r="D182" s="14">
        <f>IF('COPY 30 %'!$A182="","",'COPY 30 %'!I182)</f>
        <v/>
      </c>
      <c r="E182" s="7">
        <f>IF('COPY 30 %'!$A182="","",'COPY 30 %'!O182)</f>
        <v/>
      </c>
      <c r="F182" s="7">
        <f>IF('COPY 30 %'!$A182="","",'COPY 30 %'!L182)</f>
        <v/>
      </c>
      <c r="G182" s="7">
        <f>IF('COPY 30 %'!$A182="","",'COPY 30 %'!S182)</f>
        <v/>
      </c>
      <c r="H182">
        <f>IF('COPY 30 %'!$A182="","",'COPY 30 %'!P182)</f>
        <v/>
      </c>
      <c r="I182">
        <f>IF('COPY 30 %'!$A182="","",'COPY 30 %'!M182)</f>
        <v/>
      </c>
      <c r="J182" s="7">
        <f>IF('COPY 30 %'!$A182="","",'COPY 30 %'!Q182)</f>
        <v/>
      </c>
      <c r="K182" s="7">
        <f>IF('COPY 30 %'!$A182="","",'COPY 30 %'!H182)</f>
        <v/>
      </c>
      <c r="L182" s="7">
        <f>IF('COPY 30 %'!$A182="","",'COPY 30 %'!T182)</f>
        <v/>
      </c>
      <c r="M182">
        <f>IF('COPY 30 %'!$A182="","",'COPY 30 %'!G182)</f>
        <v/>
      </c>
    </row>
    <row r="183">
      <c r="A183">
        <f>IF('COPY 30 %'!$A183="","",ROWS($A$2:$A183))</f>
        <v/>
      </c>
      <c r="B183">
        <f>IF('COPY 30 %'!$A183="","",'COPY 30 %'!E183)</f>
        <v/>
      </c>
      <c r="C183">
        <f>IF('COPY 30 %'!$A183="","",'COPY 30 %'!F183)</f>
        <v/>
      </c>
      <c r="D183" s="14">
        <f>IF('COPY 30 %'!$A183="","",'COPY 30 %'!I183)</f>
        <v/>
      </c>
      <c r="E183" s="7">
        <f>IF('COPY 30 %'!$A183="","",'COPY 30 %'!O183)</f>
        <v/>
      </c>
      <c r="F183" s="7">
        <f>IF('COPY 30 %'!$A183="","",'COPY 30 %'!L183)</f>
        <v/>
      </c>
      <c r="G183" s="7">
        <f>IF('COPY 30 %'!$A183="","",'COPY 30 %'!S183)</f>
        <v/>
      </c>
      <c r="H183">
        <f>IF('COPY 30 %'!$A183="","",'COPY 30 %'!P183)</f>
        <v/>
      </c>
      <c r="I183">
        <f>IF('COPY 30 %'!$A183="","",'COPY 30 %'!M183)</f>
        <v/>
      </c>
      <c r="J183" s="7">
        <f>IF('COPY 30 %'!$A183="","",'COPY 30 %'!Q183)</f>
        <v/>
      </c>
      <c r="K183" s="7">
        <f>IF('COPY 30 %'!$A183="","",'COPY 30 %'!H183)</f>
        <v/>
      </c>
      <c r="L183" s="7">
        <f>IF('COPY 30 %'!$A183="","",'COPY 30 %'!T183)</f>
        <v/>
      </c>
      <c r="M183">
        <f>IF('COPY 30 %'!$A183="","",'COPY 30 %'!G183)</f>
        <v/>
      </c>
    </row>
    <row r="184">
      <c r="A184">
        <f>IF('COPY 30 %'!$A184="","",ROWS($A$2:$A184))</f>
        <v/>
      </c>
      <c r="B184">
        <f>IF('COPY 30 %'!$A184="","",'COPY 30 %'!E184)</f>
        <v/>
      </c>
      <c r="C184">
        <f>IF('COPY 30 %'!$A184="","",'COPY 30 %'!F184)</f>
        <v/>
      </c>
      <c r="D184" s="14">
        <f>IF('COPY 30 %'!$A184="","",'COPY 30 %'!I184)</f>
        <v/>
      </c>
      <c r="E184" s="7">
        <f>IF('COPY 30 %'!$A184="","",'COPY 30 %'!O184)</f>
        <v/>
      </c>
      <c r="F184" s="7">
        <f>IF('COPY 30 %'!$A184="","",'COPY 30 %'!L184)</f>
        <v/>
      </c>
      <c r="G184" s="7">
        <f>IF('COPY 30 %'!$A184="","",'COPY 30 %'!S184)</f>
        <v/>
      </c>
      <c r="H184">
        <f>IF('COPY 30 %'!$A184="","",'COPY 30 %'!P184)</f>
        <v/>
      </c>
      <c r="I184">
        <f>IF('COPY 30 %'!$A184="","",'COPY 30 %'!M184)</f>
        <v/>
      </c>
      <c r="J184" s="7">
        <f>IF('COPY 30 %'!$A184="","",'COPY 30 %'!Q184)</f>
        <v/>
      </c>
      <c r="K184" s="7">
        <f>IF('COPY 30 %'!$A184="","",'COPY 30 %'!H184)</f>
        <v/>
      </c>
      <c r="L184" s="7">
        <f>IF('COPY 30 %'!$A184="","",'COPY 30 %'!T184)</f>
        <v/>
      </c>
      <c r="M184">
        <f>IF('COPY 30 %'!$A184="","",'COPY 30 %'!G184)</f>
        <v/>
      </c>
    </row>
    <row r="185">
      <c r="A185">
        <f>IF('COPY 30 %'!$A185="","",ROWS($A$2:$A185))</f>
        <v/>
      </c>
      <c r="B185">
        <f>IF('COPY 30 %'!$A185="","",'COPY 30 %'!E185)</f>
        <v/>
      </c>
      <c r="C185">
        <f>IF('COPY 30 %'!$A185="","",'COPY 30 %'!F185)</f>
        <v/>
      </c>
      <c r="D185" s="14">
        <f>IF('COPY 30 %'!$A185="","",'COPY 30 %'!I185)</f>
        <v/>
      </c>
      <c r="E185" s="7">
        <f>IF('COPY 30 %'!$A185="","",'COPY 30 %'!O185)</f>
        <v/>
      </c>
      <c r="F185" s="7">
        <f>IF('COPY 30 %'!$A185="","",'COPY 30 %'!L185)</f>
        <v/>
      </c>
      <c r="G185" s="7">
        <f>IF('COPY 30 %'!$A185="","",'COPY 30 %'!S185)</f>
        <v/>
      </c>
      <c r="H185">
        <f>IF('COPY 30 %'!$A185="","",'COPY 30 %'!P185)</f>
        <v/>
      </c>
      <c r="I185">
        <f>IF('COPY 30 %'!$A185="","",'COPY 30 %'!M185)</f>
        <v/>
      </c>
      <c r="J185" s="7">
        <f>IF('COPY 30 %'!$A185="","",'COPY 30 %'!Q185)</f>
        <v/>
      </c>
      <c r="K185" s="7">
        <f>IF('COPY 30 %'!$A185="","",'COPY 30 %'!H185)</f>
        <v/>
      </c>
      <c r="L185" s="7">
        <f>IF('COPY 30 %'!$A185="","",'COPY 30 %'!T185)</f>
        <v/>
      </c>
      <c r="M185">
        <f>IF('COPY 30 %'!$A185="","",'COPY 30 %'!G185)</f>
        <v/>
      </c>
    </row>
    <row r="186">
      <c r="A186">
        <f>IF('COPY 30 %'!$A186="","",ROWS($A$2:$A186))</f>
        <v/>
      </c>
      <c r="B186">
        <f>IF('COPY 30 %'!$A186="","",'COPY 30 %'!E186)</f>
        <v/>
      </c>
      <c r="C186">
        <f>IF('COPY 30 %'!$A186="","",'COPY 30 %'!F186)</f>
        <v/>
      </c>
      <c r="D186" s="14">
        <f>IF('COPY 30 %'!$A186="","",'COPY 30 %'!I186)</f>
        <v/>
      </c>
      <c r="E186" s="7">
        <f>IF('COPY 30 %'!$A186="","",'COPY 30 %'!O186)</f>
        <v/>
      </c>
      <c r="F186" s="7">
        <f>IF('COPY 30 %'!$A186="","",'COPY 30 %'!L186)</f>
        <v/>
      </c>
      <c r="G186" s="7">
        <f>IF('COPY 30 %'!$A186="","",'COPY 30 %'!S186)</f>
        <v/>
      </c>
      <c r="H186">
        <f>IF('COPY 30 %'!$A186="","",'COPY 30 %'!P186)</f>
        <v/>
      </c>
      <c r="I186">
        <f>IF('COPY 30 %'!$A186="","",'COPY 30 %'!M186)</f>
        <v/>
      </c>
      <c r="J186" s="7">
        <f>IF('COPY 30 %'!$A186="","",'COPY 30 %'!Q186)</f>
        <v/>
      </c>
      <c r="K186" s="7">
        <f>IF('COPY 30 %'!$A186="","",'COPY 30 %'!H186)</f>
        <v/>
      </c>
      <c r="L186" s="7">
        <f>IF('COPY 30 %'!$A186="","",'COPY 30 %'!T186)</f>
        <v/>
      </c>
      <c r="M186">
        <f>IF('COPY 30 %'!$A186="","",'COPY 30 %'!G186)</f>
        <v/>
      </c>
    </row>
    <row r="187">
      <c r="A187">
        <f>IF('COPY 30 %'!$A187="","",ROWS($A$2:$A187))</f>
        <v/>
      </c>
      <c r="B187">
        <f>IF('COPY 30 %'!$A187="","",'COPY 30 %'!E187)</f>
        <v/>
      </c>
      <c r="C187">
        <f>IF('COPY 30 %'!$A187="","",'COPY 30 %'!F187)</f>
        <v/>
      </c>
      <c r="D187" s="14">
        <f>IF('COPY 30 %'!$A187="","",'COPY 30 %'!I187)</f>
        <v/>
      </c>
      <c r="E187" s="7">
        <f>IF('COPY 30 %'!$A187="","",'COPY 30 %'!O187)</f>
        <v/>
      </c>
      <c r="F187" s="7">
        <f>IF('COPY 30 %'!$A187="","",'COPY 30 %'!L187)</f>
        <v/>
      </c>
      <c r="G187" s="7">
        <f>IF('COPY 30 %'!$A187="","",'COPY 30 %'!S187)</f>
        <v/>
      </c>
      <c r="H187">
        <f>IF('COPY 30 %'!$A187="","",'COPY 30 %'!P187)</f>
        <v/>
      </c>
      <c r="I187">
        <f>IF('COPY 30 %'!$A187="","",'COPY 30 %'!M187)</f>
        <v/>
      </c>
      <c r="J187" s="7">
        <f>IF('COPY 30 %'!$A187="","",'COPY 30 %'!Q187)</f>
        <v/>
      </c>
      <c r="K187" s="7">
        <f>IF('COPY 30 %'!$A187="","",'COPY 30 %'!H187)</f>
        <v/>
      </c>
      <c r="L187" s="7">
        <f>IF('COPY 30 %'!$A187="","",'COPY 30 %'!T187)</f>
        <v/>
      </c>
      <c r="M187">
        <f>IF('COPY 30 %'!$A187="","",'COPY 30 %'!G187)</f>
        <v/>
      </c>
    </row>
    <row r="188">
      <c r="A188">
        <f>IF('COPY 30 %'!$A188="","",ROWS($A$2:$A188))</f>
        <v/>
      </c>
      <c r="B188">
        <f>IF('COPY 30 %'!$A188="","",'COPY 30 %'!E188)</f>
        <v/>
      </c>
      <c r="C188">
        <f>IF('COPY 30 %'!$A188="","",'COPY 30 %'!F188)</f>
        <v/>
      </c>
      <c r="D188" s="14">
        <f>IF('COPY 30 %'!$A188="","",'COPY 30 %'!I188)</f>
        <v/>
      </c>
      <c r="E188" s="7">
        <f>IF('COPY 30 %'!$A188="","",'COPY 30 %'!O188)</f>
        <v/>
      </c>
      <c r="F188" s="7">
        <f>IF('COPY 30 %'!$A188="","",'COPY 30 %'!L188)</f>
        <v/>
      </c>
      <c r="G188" s="7">
        <f>IF('COPY 30 %'!$A188="","",'COPY 30 %'!S188)</f>
        <v/>
      </c>
      <c r="H188">
        <f>IF('COPY 30 %'!$A188="","",'COPY 30 %'!P188)</f>
        <v/>
      </c>
      <c r="I188">
        <f>IF('COPY 30 %'!$A188="","",'COPY 30 %'!M188)</f>
        <v/>
      </c>
      <c r="J188" s="7">
        <f>IF('COPY 30 %'!$A188="","",'COPY 30 %'!Q188)</f>
        <v/>
      </c>
      <c r="K188" s="7">
        <f>IF('COPY 30 %'!$A188="","",'COPY 30 %'!H188)</f>
        <v/>
      </c>
      <c r="L188" s="7">
        <f>IF('COPY 30 %'!$A188="","",'COPY 30 %'!T188)</f>
        <v/>
      </c>
      <c r="M188">
        <f>IF('COPY 30 %'!$A188="","",'COPY 30 %'!G188)</f>
        <v/>
      </c>
    </row>
    <row r="189">
      <c r="A189">
        <f>IF('COPY 30 %'!$A189="","",ROWS($A$2:$A189))</f>
        <v/>
      </c>
      <c r="B189">
        <f>IF('COPY 30 %'!$A189="","",'COPY 30 %'!E189)</f>
        <v/>
      </c>
      <c r="C189">
        <f>IF('COPY 30 %'!$A189="","",'COPY 30 %'!F189)</f>
        <v/>
      </c>
      <c r="D189" s="14">
        <f>IF('COPY 30 %'!$A189="","",'COPY 30 %'!I189)</f>
        <v/>
      </c>
      <c r="E189" s="7">
        <f>IF('COPY 30 %'!$A189="","",'COPY 30 %'!O189)</f>
        <v/>
      </c>
      <c r="F189" s="7">
        <f>IF('COPY 30 %'!$A189="","",'COPY 30 %'!L189)</f>
        <v/>
      </c>
      <c r="G189" s="7">
        <f>IF('COPY 30 %'!$A189="","",'COPY 30 %'!S189)</f>
        <v/>
      </c>
      <c r="H189">
        <f>IF('COPY 30 %'!$A189="","",'COPY 30 %'!P189)</f>
        <v/>
      </c>
      <c r="I189">
        <f>IF('COPY 30 %'!$A189="","",'COPY 30 %'!M189)</f>
        <v/>
      </c>
      <c r="J189" s="7">
        <f>IF('COPY 30 %'!$A189="","",'COPY 30 %'!Q189)</f>
        <v/>
      </c>
      <c r="K189" s="7">
        <f>IF('COPY 30 %'!$A189="","",'COPY 30 %'!H189)</f>
        <v/>
      </c>
      <c r="L189" s="7">
        <f>IF('COPY 30 %'!$A189="","",'COPY 30 %'!T189)</f>
        <v/>
      </c>
      <c r="M189">
        <f>IF('COPY 30 %'!$A189="","",'COPY 30 %'!G189)</f>
        <v/>
      </c>
    </row>
    <row r="190">
      <c r="A190">
        <f>IF('COPY 30 %'!$A190="","",ROWS($A$2:$A190))</f>
        <v/>
      </c>
      <c r="B190">
        <f>IF('COPY 30 %'!$A190="","",'COPY 30 %'!E190)</f>
        <v/>
      </c>
      <c r="C190">
        <f>IF('COPY 30 %'!$A190="","",'COPY 30 %'!F190)</f>
        <v/>
      </c>
      <c r="D190" s="14">
        <f>IF('COPY 30 %'!$A190="","",'COPY 30 %'!I190)</f>
        <v/>
      </c>
      <c r="E190" s="7">
        <f>IF('COPY 30 %'!$A190="","",'COPY 30 %'!O190)</f>
        <v/>
      </c>
      <c r="F190" s="7">
        <f>IF('COPY 30 %'!$A190="","",'COPY 30 %'!L190)</f>
        <v/>
      </c>
      <c r="G190" s="7">
        <f>IF('COPY 30 %'!$A190="","",'COPY 30 %'!S190)</f>
        <v/>
      </c>
      <c r="H190">
        <f>IF('COPY 30 %'!$A190="","",'COPY 30 %'!P190)</f>
        <v/>
      </c>
      <c r="I190">
        <f>IF('COPY 30 %'!$A190="","",'COPY 30 %'!M190)</f>
        <v/>
      </c>
      <c r="J190" s="7">
        <f>IF('COPY 30 %'!$A190="","",'COPY 30 %'!Q190)</f>
        <v/>
      </c>
      <c r="K190" s="7">
        <f>IF('COPY 30 %'!$A190="","",'COPY 30 %'!H190)</f>
        <v/>
      </c>
      <c r="L190" s="7">
        <f>IF('COPY 30 %'!$A190="","",'COPY 30 %'!T190)</f>
        <v/>
      </c>
      <c r="M190">
        <f>IF('COPY 30 %'!$A190="","",'COPY 30 %'!G190)</f>
        <v/>
      </c>
    </row>
    <row r="191">
      <c r="A191">
        <f>IF('COPY 30 %'!$A191="","",ROWS($A$2:$A191))</f>
        <v/>
      </c>
      <c r="B191">
        <f>IF('COPY 30 %'!$A191="","",'COPY 30 %'!E191)</f>
        <v/>
      </c>
      <c r="C191">
        <f>IF('COPY 30 %'!$A191="","",'COPY 30 %'!F191)</f>
        <v/>
      </c>
      <c r="D191" s="14">
        <f>IF('COPY 30 %'!$A191="","",'COPY 30 %'!I191)</f>
        <v/>
      </c>
      <c r="E191" s="7">
        <f>IF('COPY 30 %'!$A191="","",'COPY 30 %'!O191)</f>
        <v/>
      </c>
      <c r="F191" s="7">
        <f>IF('COPY 30 %'!$A191="","",'COPY 30 %'!L191)</f>
        <v/>
      </c>
      <c r="G191" s="7">
        <f>IF('COPY 30 %'!$A191="","",'COPY 30 %'!S191)</f>
        <v/>
      </c>
      <c r="H191">
        <f>IF('COPY 30 %'!$A191="","",'COPY 30 %'!P191)</f>
        <v/>
      </c>
      <c r="I191">
        <f>IF('COPY 30 %'!$A191="","",'COPY 30 %'!M191)</f>
        <v/>
      </c>
      <c r="J191" s="7">
        <f>IF('COPY 30 %'!$A191="","",'COPY 30 %'!Q191)</f>
        <v/>
      </c>
      <c r="K191" s="7">
        <f>IF('COPY 30 %'!$A191="","",'COPY 30 %'!H191)</f>
        <v/>
      </c>
      <c r="L191" s="7">
        <f>IF('COPY 30 %'!$A191="","",'COPY 30 %'!T191)</f>
        <v/>
      </c>
      <c r="M191">
        <f>IF('COPY 30 %'!$A191="","",'COPY 30 %'!G191)</f>
        <v/>
      </c>
    </row>
    <row r="192">
      <c r="A192">
        <f>IF('COPY 30 %'!$A192="","",ROWS($A$2:$A192))</f>
        <v/>
      </c>
      <c r="B192">
        <f>IF('COPY 30 %'!$A192="","",'COPY 30 %'!E192)</f>
        <v/>
      </c>
      <c r="C192">
        <f>IF('COPY 30 %'!$A192="","",'COPY 30 %'!F192)</f>
        <v/>
      </c>
      <c r="D192" s="14">
        <f>IF('COPY 30 %'!$A192="","",'COPY 30 %'!I192)</f>
        <v/>
      </c>
      <c r="E192" s="7">
        <f>IF('COPY 30 %'!$A192="","",'COPY 30 %'!O192)</f>
        <v/>
      </c>
      <c r="F192" s="7">
        <f>IF('COPY 30 %'!$A192="","",'COPY 30 %'!L192)</f>
        <v/>
      </c>
      <c r="G192" s="7">
        <f>IF('COPY 30 %'!$A192="","",'COPY 30 %'!S192)</f>
        <v/>
      </c>
      <c r="H192">
        <f>IF('COPY 30 %'!$A192="","",'COPY 30 %'!P192)</f>
        <v/>
      </c>
      <c r="I192">
        <f>IF('COPY 30 %'!$A192="","",'COPY 30 %'!M192)</f>
        <v/>
      </c>
      <c r="J192" s="7">
        <f>IF('COPY 30 %'!$A192="","",'COPY 30 %'!Q192)</f>
        <v/>
      </c>
      <c r="K192" s="7">
        <f>IF('COPY 30 %'!$A192="","",'COPY 30 %'!H192)</f>
        <v/>
      </c>
      <c r="L192" s="7">
        <f>IF('COPY 30 %'!$A192="","",'COPY 30 %'!T192)</f>
        <v/>
      </c>
      <c r="M192">
        <f>IF('COPY 30 %'!$A192="","",'COPY 30 %'!G192)</f>
        <v/>
      </c>
    </row>
    <row r="193">
      <c r="A193">
        <f>IF('COPY 30 %'!$A193="","",ROWS($A$2:$A193))</f>
        <v/>
      </c>
      <c r="B193">
        <f>IF('COPY 30 %'!$A193="","",'COPY 30 %'!E193)</f>
        <v/>
      </c>
      <c r="C193">
        <f>IF('COPY 30 %'!$A193="","",'COPY 30 %'!F193)</f>
        <v/>
      </c>
      <c r="D193" s="14">
        <f>IF('COPY 30 %'!$A193="","",'COPY 30 %'!I193)</f>
        <v/>
      </c>
      <c r="E193" s="7">
        <f>IF('COPY 30 %'!$A193="","",'COPY 30 %'!O193)</f>
        <v/>
      </c>
      <c r="F193" s="7">
        <f>IF('COPY 30 %'!$A193="","",'COPY 30 %'!L193)</f>
        <v/>
      </c>
      <c r="G193" s="7">
        <f>IF('COPY 30 %'!$A193="","",'COPY 30 %'!S193)</f>
        <v/>
      </c>
      <c r="H193">
        <f>IF('COPY 30 %'!$A193="","",'COPY 30 %'!P193)</f>
        <v/>
      </c>
      <c r="I193">
        <f>IF('COPY 30 %'!$A193="","",'COPY 30 %'!M193)</f>
        <v/>
      </c>
      <c r="J193" s="7">
        <f>IF('COPY 30 %'!$A193="","",'COPY 30 %'!Q193)</f>
        <v/>
      </c>
      <c r="K193" s="7">
        <f>IF('COPY 30 %'!$A193="","",'COPY 30 %'!H193)</f>
        <v/>
      </c>
      <c r="L193" s="7">
        <f>IF('COPY 30 %'!$A193="","",'COPY 30 %'!T193)</f>
        <v/>
      </c>
      <c r="M193">
        <f>IF('COPY 30 %'!$A193="","",'COPY 30 %'!G193)</f>
        <v/>
      </c>
    </row>
    <row r="194">
      <c r="A194">
        <f>IF('COPY 30 %'!$A194="","",ROWS($A$2:$A194))</f>
        <v/>
      </c>
      <c r="B194">
        <f>IF('COPY 30 %'!$A194="","",'COPY 30 %'!E194)</f>
        <v/>
      </c>
      <c r="C194">
        <f>IF('COPY 30 %'!$A194="","",'COPY 30 %'!F194)</f>
        <v/>
      </c>
      <c r="D194" s="14">
        <f>IF('COPY 30 %'!$A194="","",'COPY 30 %'!I194)</f>
        <v/>
      </c>
      <c r="E194" s="7">
        <f>IF('COPY 30 %'!$A194="","",'COPY 30 %'!O194)</f>
        <v/>
      </c>
      <c r="F194" s="7">
        <f>IF('COPY 30 %'!$A194="","",'COPY 30 %'!L194)</f>
        <v/>
      </c>
      <c r="G194" s="7">
        <f>IF('COPY 30 %'!$A194="","",'COPY 30 %'!S194)</f>
        <v/>
      </c>
      <c r="H194">
        <f>IF('COPY 30 %'!$A194="","",'COPY 30 %'!P194)</f>
        <v/>
      </c>
      <c r="I194">
        <f>IF('COPY 30 %'!$A194="","",'COPY 30 %'!M194)</f>
        <v/>
      </c>
      <c r="J194" s="7">
        <f>IF('COPY 30 %'!$A194="","",'COPY 30 %'!Q194)</f>
        <v/>
      </c>
      <c r="K194" s="7">
        <f>IF('COPY 30 %'!$A194="","",'COPY 30 %'!H194)</f>
        <v/>
      </c>
      <c r="L194" s="7">
        <f>IF('COPY 30 %'!$A194="","",'COPY 30 %'!T194)</f>
        <v/>
      </c>
      <c r="M194">
        <f>IF('COPY 30 %'!$A194="","",'COPY 30 %'!G194)</f>
        <v/>
      </c>
    </row>
    <row r="195">
      <c r="A195">
        <f>IF('COPY 30 %'!$A195="","",ROWS($A$2:$A195))</f>
        <v/>
      </c>
      <c r="B195">
        <f>IF('COPY 30 %'!$A195="","",'COPY 30 %'!E195)</f>
        <v/>
      </c>
      <c r="C195">
        <f>IF('COPY 30 %'!$A195="","",'COPY 30 %'!F195)</f>
        <v/>
      </c>
      <c r="D195" s="14">
        <f>IF('COPY 30 %'!$A195="","",'COPY 30 %'!I195)</f>
        <v/>
      </c>
      <c r="E195" s="7">
        <f>IF('COPY 30 %'!$A195="","",'COPY 30 %'!O195)</f>
        <v/>
      </c>
      <c r="F195" s="7">
        <f>IF('COPY 30 %'!$A195="","",'COPY 30 %'!L195)</f>
        <v/>
      </c>
      <c r="G195" s="7">
        <f>IF('COPY 30 %'!$A195="","",'COPY 30 %'!S195)</f>
        <v/>
      </c>
      <c r="H195">
        <f>IF('COPY 30 %'!$A195="","",'COPY 30 %'!P195)</f>
        <v/>
      </c>
      <c r="I195">
        <f>IF('COPY 30 %'!$A195="","",'COPY 30 %'!M195)</f>
        <v/>
      </c>
      <c r="J195" s="7">
        <f>IF('COPY 30 %'!$A195="","",'COPY 30 %'!Q195)</f>
        <v/>
      </c>
      <c r="K195" s="7">
        <f>IF('COPY 30 %'!$A195="","",'COPY 30 %'!H195)</f>
        <v/>
      </c>
      <c r="L195" s="7">
        <f>IF('COPY 30 %'!$A195="","",'COPY 30 %'!T195)</f>
        <v/>
      </c>
      <c r="M195">
        <f>IF('COPY 30 %'!$A195="","",'COPY 30 %'!G195)</f>
        <v/>
      </c>
    </row>
    <row r="196">
      <c r="A196">
        <f>IF('COPY 30 %'!$A196="","",ROWS($A$2:$A196))</f>
        <v/>
      </c>
      <c r="B196">
        <f>IF('COPY 30 %'!$A196="","",'COPY 30 %'!E196)</f>
        <v/>
      </c>
      <c r="C196">
        <f>IF('COPY 30 %'!$A196="","",'COPY 30 %'!F196)</f>
        <v/>
      </c>
      <c r="D196" s="14">
        <f>IF('COPY 30 %'!$A196="","",'COPY 30 %'!I196)</f>
        <v/>
      </c>
      <c r="E196" s="7">
        <f>IF('COPY 30 %'!$A196="","",'COPY 30 %'!O196)</f>
        <v/>
      </c>
      <c r="F196" s="7">
        <f>IF('COPY 30 %'!$A196="","",'COPY 30 %'!L196)</f>
        <v/>
      </c>
      <c r="G196" s="7">
        <f>IF('COPY 30 %'!$A196="","",'COPY 30 %'!S196)</f>
        <v/>
      </c>
      <c r="H196">
        <f>IF('COPY 30 %'!$A196="","",'COPY 30 %'!P196)</f>
        <v/>
      </c>
      <c r="I196">
        <f>IF('COPY 30 %'!$A196="","",'COPY 30 %'!M196)</f>
        <v/>
      </c>
      <c r="J196" s="7">
        <f>IF('COPY 30 %'!$A196="","",'COPY 30 %'!Q196)</f>
        <v/>
      </c>
      <c r="K196" s="7">
        <f>IF('COPY 30 %'!$A196="","",'COPY 30 %'!H196)</f>
        <v/>
      </c>
      <c r="L196" s="7">
        <f>IF('COPY 30 %'!$A196="","",'COPY 30 %'!T196)</f>
        <v/>
      </c>
      <c r="M196">
        <f>IF('COPY 30 %'!$A196="","",'COPY 30 %'!G196)</f>
        <v/>
      </c>
    </row>
    <row r="197">
      <c r="A197">
        <f>IF('COPY 30 %'!$A197="","",ROWS($A$2:$A197))</f>
        <v/>
      </c>
      <c r="B197">
        <f>IF('COPY 30 %'!$A197="","",'COPY 30 %'!E197)</f>
        <v/>
      </c>
      <c r="C197">
        <f>IF('COPY 30 %'!$A197="","",'COPY 30 %'!F197)</f>
        <v/>
      </c>
      <c r="D197" s="14">
        <f>IF('COPY 30 %'!$A197="","",'COPY 30 %'!I197)</f>
        <v/>
      </c>
      <c r="E197" s="7">
        <f>IF('COPY 30 %'!$A197="","",'COPY 30 %'!O197)</f>
        <v/>
      </c>
      <c r="F197" s="7">
        <f>IF('COPY 30 %'!$A197="","",'COPY 30 %'!L197)</f>
        <v/>
      </c>
      <c r="G197" s="7">
        <f>IF('COPY 30 %'!$A197="","",'COPY 30 %'!S197)</f>
        <v/>
      </c>
      <c r="H197">
        <f>IF('COPY 30 %'!$A197="","",'COPY 30 %'!P197)</f>
        <v/>
      </c>
      <c r="I197">
        <f>IF('COPY 30 %'!$A197="","",'COPY 30 %'!M197)</f>
        <v/>
      </c>
      <c r="J197" s="7">
        <f>IF('COPY 30 %'!$A197="","",'COPY 30 %'!Q197)</f>
        <v/>
      </c>
      <c r="K197" s="7">
        <f>IF('COPY 30 %'!$A197="","",'COPY 30 %'!H197)</f>
        <v/>
      </c>
      <c r="L197" s="7">
        <f>IF('COPY 30 %'!$A197="","",'COPY 30 %'!T197)</f>
        <v/>
      </c>
      <c r="M197">
        <f>IF('COPY 30 %'!$A197="","",'COPY 30 %'!G197)</f>
        <v/>
      </c>
    </row>
    <row r="198">
      <c r="A198">
        <f>IF('COPY 30 %'!$A198="","",ROWS($A$2:$A198))</f>
        <v/>
      </c>
      <c r="B198">
        <f>IF('COPY 30 %'!$A198="","",'COPY 30 %'!E198)</f>
        <v/>
      </c>
      <c r="C198">
        <f>IF('COPY 30 %'!$A198="","",'COPY 30 %'!F198)</f>
        <v/>
      </c>
      <c r="D198" s="14">
        <f>IF('COPY 30 %'!$A198="","",'COPY 30 %'!I198)</f>
        <v/>
      </c>
      <c r="E198" s="7">
        <f>IF('COPY 30 %'!$A198="","",'COPY 30 %'!O198)</f>
        <v/>
      </c>
      <c r="F198" s="7">
        <f>IF('COPY 30 %'!$A198="","",'COPY 30 %'!L198)</f>
        <v/>
      </c>
      <c r="G198" s="7">
        <f>IF('COPY 30 %'!$A198="","",'COPY 30 %'!S198)</f>
        <v/>
      </c>
      <c r="H198">
        <f>IF('COPY 30 %'!$A198="","",'COPY 30 %'!P198)</f>
        <v/>
      </c>
      <c r="I198">
        <f>IF('COPY 30 %'!$A198="","",'COPY 30 %'!M198)</f>
        <v/>
      </c>
      <c r="J198" s="7">
        <f>IF('COPY 30 %'!$A198="","",'COPY 30 %'!Q198)</f>
        <v/>
      </c>
      <c r="K198" s="7">
        <f>IF('COPY 30 %'!$A198="","",'COPY 30 %'!H198)</f>
        <v/>
      </c>
      <c r="L198" s="7">
        <f>IF('COPY 30 %'!$A198="","",'COPY 30 %'!T198)</f>
        <v/>
      </c>
      <c r="M198">
        <f>IF('COPY 30 %'!$A198="","",'COPY 30 %'!G198)</f>
        <v/>
      </c>
    </row>
    <row r="199">
      <c r="A199">
        <f>IF('COPY 30 %'!$A199="","",ROWS($A$2:$A199))</f>
        <v/>
      </c>
      <c r="B199">
        <f>IF('COPY 30 %'!$A199="","",'COPY 30 %'!E199)</f>
        <v/>
      </c>
      <c r="C199">
        <f>IF('COPY 30 %'!$A199="","",'COPY 30 %'!F199)</f>
        <v/>
      </c>
      <c r="D199" s="14">
        <f>IF('COPY 30 %'!$A199="","",'COPY 30 %'!I199)</f>
        <v/>
      </c>
      <c r="E199" s="7">
        <f>IF('COPY 30 %'!$A199="","",'COPY 30 %'!O199)</f>
        <v/>
      </c>
      <c r="F199" s="7">
        <f>IF('COPY 30 %'!$A199="","",'COPY 30 %'!L199)</f>
        <v/>
      </c>
      <c r="G199" s="7">
        <f>IF('COPY 30 %'!$A199="","",'COPY 30 %'!S199)</f>
        <v/>
      </c>
      <c r="H199">
        <f>IF('COPY 30 %'!$A199="","",'COPY 30 %'!P199)</f>
        <v/>
      </c>
      <c r="I199">
        <f>IF('COPY 30 %'!$A199="","",'COPY 30 %'!M199)</f>
        <v/>
      </c>
      <c r="J199" s="7">
        <f>IF('COPY 30 %'!$A199="","",'COPY 30 %'!Q199)</f>
        <v/>
      </c>
      <c r="K199" s="7">
        <f>IF('COPY 30 %'!$A199="","",'COPY 30 %'!H199)</f>
        <v/>
      </c>
      <c r="L199" s="7">
        <f>IF('COPY 30 %'!$A199="","",'COPY 30 %'!T199)</f>
        <v/>
      </c>
      <c r="M199">
        <f>IF('COPY 30 %'!$A199="","",'COPY 30 %'!G199)</f>
        <v/>
      </c>
    </row>
    <row r="200">
      <c r="A200">
        <f>IF('COPY 30 %'!$A200="","",ROWS($A$2:$A200))</f>
        <v/>
      </c>
      <c r="B200">
        <f>IF('COPY 30 %'!$A200="","",'COPY 30 %'!E200)</f>
        <v/>
      </c>
      <c r="C200">
        <f>IF('COPY 30 %'!$A200="","",'COPY 30 %'!F200)</f>
        <v/>
      </c>
      <c r="D200" s="14">
        <f>IF('COPY 30 %'!$A200="","",'COPY 30 %'!I200)</f>
        <v/>
      </c>
      <c r="E200" s="7">
        <f>IF('COPY 30 %'!$A200="","",'COPY 30 %'!O200)</f>
        <v/>
      </c>
      <c r="F200" s="7">
        <f>IF('COPY 30 %'!$A200="","",'COPY 30 %'!L200)</f>
        <v/>
      </c>
      <c r="G200" s="7">
        <f>IF('COPY 30 %'!$A200="","",'COPY 30 %'!S200)</f>
        <v/>
      </c>
      <c r="H200">
        <f>IF('COPY 30 %'!$A200="","",'COPY 30 %'!P200)</f>
        <v/>
      </c>
      <c r="I200">
        <f>IF('COPY 30 %'!$A200="","",'COPY 30 %'!M200)</f>
        <v/>
      </c>
      <c r="J200" s="7">
        <f>IF('COPY 30 %'!$A200="","",'COPY 30 %'!Q200)</f>
        <v/>
      </c>
      <c r="K200" s="7">
        <f>IF('COPY 30 %'!$A200="","",'COPY 30 %'!H200)</f>
        <v/>
      </c>
      <c r="L200" s="7">
        <f>IF('COPY 30 %'!$A200="","",'COPY 30 %'!T200)</f>
        <v/>
      </c>
      <c r="M200">
        <f>IF('COPY 30 %'!$A200="","",'COPY 30 %'!G200)</f>
        <v/>
      </c>
    </row>
    <row r="201">
      <c r="A201">
        <f>IF('COPY 30 %'!$A201="","",ROWS($A$2:$A201))</f>
        <v/>
      </c>
      <c r="B201">
        <f>IF('COPY 30 %'!$A201="","",'COPY 30 %'!E201)</f>
        <v/>
      </c>
      <c r="C201">
        <f>IF('COPY 30 %'!$A201="","",'COPY 30 %'!F201)</f>
        <v/>
      </c>
      <c r="D201" s="14">
        <f>IF('COPY 30 %'!$A201="","",'COPY 30 %'!I201)</f>
        <v/>
      </c>
      <c r="E201" s="7">
        <f>IF('COPY 30 %'!$A201="","",'COPY 30 %'!O201)</f>
        <v/>
      </c>
      <c r="F201" s="7">
        <f>IF('COPY 30 %'!$A201="","",'COPY 30 %'!L201)</f>
        <v/>
      </c>
      <c r="G201" s="7">
        <f>IF('COPY 30 %'!$A201="","",'COPY 30 %'!S201)</f>
        <v/>
      </c>
      <c r="H201">
        <f>IF('COPY 30 %'!$A201="","",'COPY 30 %'!P201)</f>
        <v/>
      </c>
      <c r="I201">
        <f>IF('COPY 30 %'!$A201="","",'COPY 30 %'!M201)</f>
        <v/>
      </c>
      <c r="J201" s="7">
        <f>IF('COPY 30 %'!$A201="","",'COPY 30 %'!Q201)</f>
        <v/>
      </c>
      <c r="K201" s="7">
        <f>IF('COPY 30 %'!$A201="","",'COPY 30 %'!H201)</f>
        <v/>
      </c>
      <c r="L201" s="7">
        <f>IF('COPY 30 %'!$A201="","",'COPY 30 %'!T201)</f>
        <v/>
      </c>
      <c r="M201">
        <f>IF('COPY 30 %'!$A201="","",'COPY 30 %'!G201)</f>
        <v/>
      </c>
    </row>
    <row r="202">
      <c r="A202">
        <f>IF('COPY 30 %'!$A202="","",ROWS($A$2:$A202))</f>
        <v/>
      </c>
      <c r="B202">
        <f>IF('COPY 30 %'!$A202="","",'COPY 30 %'!E202)</f>
        <v/>
      </c>
      <c r="C202">
        <f>IF('COPY 30 %'!$A202="","",'COPY 30 %'!F202)</f>
        <v/>
      </c>
      <c r="D202" s="14">
        <f>IF('COPY 30 %'!$A202="","",'COPY 30 %'!I202)</f>
        <v/>
      </c>
      <c r="E202" s="7">
        <f>IF('COPY 30 %'!$A202="","",'COPY 30 %'!O202)</f>
        <v/>
      </c>
      <c r="F202" s="7">
        <f>IF('COPY 30 %'!$A202="","",'COPY 30 %'!L202)</f>
        <v/>
      </c>
      <c r="G202" s="7">
        <f>IF('COPY 30 %'!$A202="","",'COPY 30 %'!S202)</f>
        <v/>
      </c>
      <c r="H202">
        <f>IF('COPY 30 %'!$A202="","",'COPY 30 %'!P202)</f>
        <v/>
      </c>
      <c r="I202">
        <f>IF('COPY 30 %'!$A202="","",'COPY 30 %'!M202)</f>
        <v/>
      </c>
      <c r="J202" s="7">
        <f>IF('COPY 30 %'!$A202="","",'COPY 30 %'!Q202)</f>
        <v/>
      </c>
      <c r="K202" s="7">
        <f>IF('COPY 30 %'!$A202="","",'COPY 30 %'!H202)</f>
        <v/>
      </c>
      <c r="L202" s="7">
        <f>IF('COPY 30 %'!$A202="","",'COPY 30 %'!T202)</f>
        <v/>
      </c>
      <c r="M202">
        <f>IF('COPY 30 %'!$A202="","",'COPY 30 %'!G202)</f>
        <v/>
      </c>
    </row>
    <row r="203">
      <c r="A203">
        <f>IF('COPY 30 %'!$A203="","",ROWS($A$2:$A203))</f>
        <v/>
      </c>
      <c r="B203">
        <f>IF('COPY 30 %'!$A203="","",'COPY 30 %'!E203)</f>
        <v/>
      </c>
      <c r="C203">
        <f>IF('COPY 30 %'!$A203="","",'COPY 30 %'!F203)</f>
        <v/>
      </c>
      <c r="D203" s="14">
        <f>IF('COPY 30 %'!$A203="","",'COPY 30 %'!I203)</f>
        <v/>
      </c>
      <c r="E203" s="7">
        <f>IF('COPY 30 %'!$A203="","",'COPY 30 %'!O203)</f>
        <v/>
      </c>
      <c r="F203" s="7">
        <f>IF('COPY 30 %'!$A203="","",'COPY 30 %'!L203)</f>
        <v/>
      </c>
      <c r="G203" s="7">
        <f>IF('COPY 30 %'!$A203="","",'COPY 30 %'!S203)</f>
        <v/>
      </c>
      <c r="H203">
        <f>IF('COPY 30 %'!$A203="","",'COPY 30 %'!P203)</f>
        <v/>
      </c>
      <c r="I203">
        <f>IF('COPY 30 %'!$A203="","",'COPY 30 %'!M203)</f>
        <v/>
      </c>
      <c r="J203" s="7">
        <f>IF('COPY 30 %'!$A203="","",'COPY 30 %'!Q203)</f>
        <v/>
      </c>
      <c r="K203" s="7">
        <f>IF('COPY 30 %'!$A203="","",'COPY 30 %'!H203)</f>
        <v/>
      </c>
      <c r="L203" s="7">
        <f>IF('COPY 30 %'!$A203="","",'COPY 30 %'!T203)</f>
        <v/>
      </c>
      <c r="M203">
        <f>IF('COPY 30 %'!$A203="","",'COPY 30 %'!G203)</f>
        <v/>
      </c>
    </row>
    <row r="204">
      <c r="A204">
        <f>IF('COPY 30 %'!$A204="","",ROWS($A$2:$A204))</f>
        <v/>
      </c>
      <c r="B204">
        <f>IF('COPY 30 %'!$A204="","",'COPY 30 %'!E204)</f>
        <v/>
      </c>
      <c r="C204">
        <f>IF('COPY 30 %'!$A204="","",'COPY 30 %'!F204)</f>
        <v/>
      </c>
      <c r="D204" s="14">
        <f>IF('COPY 30 %'!$A204="","",'COPY 30 %'!I204)</f>
        <v/>
      </c>
      <c r="E204" s="7">
        <f>IF('COPY 30 %'!$A204="","",'COPY 30 %'!O204)</f>
        <v/>
      </c>
      <c r="F204" s="7">
        <f>IF('COPY 30 %'!$A204="","",'COPY 30 %'!L204)</f>
        <v/>
      </c>
      <c r="G204" s="7">
        <f>IF('COPY 30 %'!$A204="","",'COPY 30 %'!S204)</f>
        <v/>
      </c>
      <c r="H204">
        <f>IF('COPY 30 %'!$A204="","",'COPY 30 %'!P204)</f>
        <v/>
      </c>
      <c r="I204">
        <f>IF('COPY 30 %'!$A204="","",'COPY 30 %'!M204)</f>
        <v/>
      </c>
      <c r="J204" s="7">
        <f>IF('COPY 30 %'!$A204="","",'COPY 30 %'!Q204)</f>
        <v/>
      </c>
      <c r="K204" s="7">
        <f>IF('COPY 30 %'!$A204="","",'COPY 30 %'!H204)</f>
        <v/>
      </c>
      <c r="L204" s="7">
        <f>IF('COPY 30 %'!$A204="","",'COPY 30 %'!T204)</f>
        <v/>
      </c>
      <c r="M204">
        <f>IF('COPY 30 %'!$A204="","",'COPY 30 %'!G204)</f>
        <v/>
      </c>
    </row>
    <row r="205">
      <c r="A205">
        <f>IF('COPY 30 %'!$A205="","",ROWS($A$2:$A205))</f>
        <v/>
      </c>
      <c r="B205">
        <f>IF('COPY 30 %'!$A205="","",'COPY 30 %'!E205)</f>
        <v/>
      </c>
      <c r="C205">
        <f>IF('COPY 30 %'!$A205="","",'COPY 30 %'!F205)</f>
        <v/>
      </c>
      <c r="D205" s="14">
        <f>IF('COPY 30 %'!$A205="","",'COPY 30 %'!I205)</f>
        <v/>
      </c>
      <c r="E205" s="7">
        <f>IF('COPY 30 %'!$A205="","",'COPY 30 %'!O205)</f>
        <v/>
      </c>
      <c r="F205" s="7">
        <f>IF('COPY 30 %'!$A205="","",'COPY 30 %'!L205)</f>
        <v/>
      </c>
      <c r="G205" s="7">
        <f>IF('COPY 30 %'!$A205="","",'COPY 30 %'!S205)</f>
        <v/>
      </c>
      <c r="H205">
        <f>IF('COPY 30 %'!$A205="","",'COPY 30 %'!P205)</f>
        <v/>
      </c>
      <c r="I205">
        <f>IF('COPY 30 %'!$A205="","",'COPY 30 %'!M205)</f>
        <v/>
      </c>
      <c r="J205" s="7">
        <f>IF('COPY 30 %'!$A205="","",'COPY 30 %'!Q205)</f>
        <v/>
      </c>
      <c r="K205" s="7">
        <f>IF('COPY 30 %'!$A205="","",'COPY 30 %'!H205)</f>
        <v/>
      </c>
      <c r="L205" s="7">
        <f>IF('COPY 30 %'!$A205="","",'COPY 30 %'!T205)</f>
        <v/>
      </c>
      <c r="M205">
        <f>IF('COPY 30 %'!$A205="","",'COPY 30 %'!G205)</f>
        <v/>
      </c>
    </row>
    <row r="206">
      <c r="A206">
        <f>IF('COPY 30 %'!$A206="","",ROWS($A$2:$A206))</f>
        <v/>
      </c>
      <c r="B206">
        <f>IF('COPY 30 %'!$A206="","",'COPY 30 %'!E206)</f>
        <v/>
      </c>
      <c r="C206">
        <f>IF('COPY 30 %'!$A206="","",'COPY 30 %'!F206)</f>
        <v/>
      </c>
      <c r="D206" s="14">
        <f>IF('COPY 30 %'!$A206="","",'COPY 30 %'!I206)</f>
        <v/>
      </c>
      <c r="E206" s="7">
        <f>IF('COPY 30 %'!$A206="","",'COPY 30 %'!O206)</f>
        <v/>
      </c>
      <c r="F206" s="7">
        <f>IF('COPY 30 %'!$A206="","",'COPY 30 %'!L206)</f>
        <v/>
      </c>
      <c r="G206" s="7">
        <f>IF('COPY 30 %'!$A206="","",'COPY 30 %'!S206)</f>
        <v/>
      </c>
      <c r="H206">
        <f>IF('COPY 30 %'!$A206="","",'COPY 30 %'!P206)</f>
        <v/>
      </c>
      <c r="I206">
        <f>IF('COPY 30 %'!$A206="","",'COPY 30 %'!M206)</f>
        <v/>
      </c>
      <c r="J206" s="7">
        <f>IF('COPY 30 %'!$A206="","",'COPY 30 %'!Q206)</f>
        <v/>
      </c>
      <c r="K206" s="7">
        <f>IF('COPY 30 %'!$A206="","",'COPY 30 %'!H206)</f>
        <v/>
      </c>
      <c r="L206" s="7">
        <f>IF('COPY 30 %'!$A206="","",'COPY 30 %'!T206)</f>
        <v/>
      </c>
      <c r="M206">
        <f>IF('COPY 30 %'!$A206="","",'COPY 30 %'!G206)</f>
        <v/>
      </c>
    </row>
    <row r="207">
      <c r="A207">
        <f>IF('COPY 30 %'!$A207="","",ROWS($A$2:$A207))</f>
        <v/>
      </c>
      <c r="B207">
        <f>IF('COPY 30 %'!$A207="","",'COPY 30 %'!E207)</f>
        <v/>
      </c>
      <c r="C207">
        <f>IF('COPY 30 %'!$A207="","",'COPY 30 %'!F207)</f>
        <v/>
      </c>
      <c r="D207" s="14">
        <f>IF('COPY 30 %'!$A207="","",'COPY 30 %'!I207)</f>
        <v/>
      </c>
      <c r="E207" s="7">
        <f>IF('COPY 30 %'!$A207="","",'COPY 30 %'!O207)</f>
        <v/>
      </c>
      <c r="F207" s="7">
        <f>IF('COPY 30 %'!$A207="","",'COPY 30 %'!L207)</f>
        <v/>
      </c>
      <c r="G207" s="7">
        <f>IF('COPY 30 %'!$A207="","",'COPY 30 %'!S207)</f>
        <v/>
      </c>
      <c r="H207">
        <f>IF('COPY 30 %'!$A207="","",'COPY 30 %'!P207)</f>
        <v/>
      </c>
      <c r="I207">
        <f>IF('COPY 30 %'!$A207="","",'COPY 30 %'!M207)</f>
        <v/>
      </c>
      <c r="J207" s="7">
        <f>IF('COPY 30 %'!$A207="","",'COPY 30 %'!Q207)</f>
        <v/>
      </c>
      <c r="K207" s="7">
        <f>IF('COPY 30 %'!$A207="","",'COPY 30 %'!H207)</f>
        <v/>
      </c>
      <c r="L207" s="7">
        <f>IF('COPY 30 %'!$A207="","",'COPY 30 %'!T207)</f>
        <v/>
      </c>
      <c r="M207">
        <f>IF('COPY 30 %'!$A207="","",'COPY 30 %'!G207)</f>
        <v/>
      </c>
    </row>
    <row r="208">
      <c r="A208">
        <f>IF('COPY 30 %'!$A208="","",ROWS($A$2:$A208))</f>
        <v/>
      </c>
      <c r="B208">
        <f>IF('COPY 30 %'!$A208="","",'COPY 30 %'!E208)</f>
        <v/>
      </c>
      <c r="C208">
        <f>IF('COPY 30 %'!$A208="","",'COPY 30 %'!F208)</f>
        <v/>
      </c>
      <c r="D208" s="14">
        <f>IF('COPY 30 %'!$A208="","",'COPY 30 %'!I208)</f>
        <v/>
      </c>
      <c r="E208" s="7">
        <f>IF('COPY 30 %'!$A208="","",'COPY 30 %'!O208)</f>
        <v/>
      </c>
      <c r="F208" s="7">
        <f>IF('COPY 30 %'!$A208="","",'COPY 30 %'!L208)</f>
        <v/>
      </c>
      <c r="G208" s="7">
        <f>IF('COPY 30 %'!$A208="","",'COPY 30 %'!S208)</f>
        <v/>
      </c>
      <c r="H208">
        <f>IF('COPY 30 %'!$A208="","",'COPY 30 %'!P208)</f>
        <v/>
      </c>
      <c r="I208">
        <f>IF('COPY 30 %'!$A208="","",'COPY 30 %'!M208)</f>
        <v/>
      </c>
      <c r="J208" s="7">
        <f>IF('COPY 30 %'!$A208="","",'COPY 30 %'!Q208)</f>
        <v/>
      </c>
      <c r="K208" s="7">
        <f>IF('COPY 30 %'!$A208="","",'COPY 30 %'!H208)</f>
        <v/>
      </c>
      <c r="L208" s="7">
        <f>IF('COPY 30 %'!$A208="","",'COPY 30 %'!T208)</f>
        <v/>
      </c>
      <c r="M208">
        <f>IF('COPY 30 %'!$A208="","",'COPY 30 %'!G208)</f>
        <v/>
      </c>
    </row>
    <row r="209">
      <c r="A209">
        <f>IF('COPY 30 %'!$A209="","",ROWS($A$2:$A209))</f>
        <v/>
      </c>
      <c r="B209">
        <f>IF('COPY 30 %'!$A209="","",'COPY 30 %'!E209)</f>
        <v/>
      </c>
      <c r="C209">
        <f>IF('COPY 30 %'!$A209="","",'COPY 30 %'!F209)</f>
        <v/>
      </c>
      <c r="D209" s="14">
        <f>IF('COPY 30 %'!$A209="","",'COPY 30 %'!I209)</f>
        <v/>
      </c>
      <c r="E209" s="7">
        <f>IF('COPY 30 %'!$A209="","",'COPY 30 %'!O209)</f>
        <v/>
      </c>
      <c r="F209" s="7">
        <f>IF('COPY 30 %'!$A209="","",'COPY 30 %'!L209)</f>
        <v/>
      </c>
      <c r="G209" s="7">
        <f>IF('COPY 30 %'!$A209="","",'COPY 30 %'!S209)</f>
        <v/>
      </c>
      <c r="H209">
        <f>IF('COPY 30 %'!$A209="","",'COPY 30 %'!P209)</f>
        <v/>
      </c>
      <c r="I209">
        <f>IF('COPY 30 %'!$A209="","",'COPY 30 %'!M209)</f>
        <v/>
      </c>
      <c r="J209" s="7">
        <f>IF('COPY 30 %'!$A209="","",'COPY 30 %'!Q209)</f>
        <v/>
      </c>
      <c r="K209" s="7">
        <f>IF('COPY 30 %'!$A209="","",'COPY 30 %'!H209)</f>
        <v/>
      </c>
      <c r="L209" s="7">
        <f>IF('COPY 30 %'!$A209="","",'COPY 30 %'!T209)</f>
        <v/>
      </c>
      <c r="M209">
        <f>IF('COPY 30 %'!$A209="","",'COPY 30 %'!G209)</f>
        <v/>
      </c>
    </row>
    <row r="210">
      <c r="A210">
        <f>IF('COPY 30 %'!$A210="","",ROWS($A$2:$A210))</f>
        <v/>
      </c>
      <c r="B210">
        <f>IF('COPY 30 %'!$A210="","",'COPY 30 %'!E210)</f>
        <v/>
      </c>
      <c r="C210">
        <f>IF('COPY 30 %'!$A210="","",'COPY 30 %'!F210)</f>
        <v/>
      </c>
      <c r="D210" s="14">
        <f>IF('COPY 30 %'!$A210="","",'COPY 30 %'!I210)</f>
        <v/>
      </c>
      <c r="E210" s="7">
        <f>IF('COPY 30 %'!$A210="","",'COPY 30 %'!O210)</f>
        <v/>
      </c>
      <c r="F210" s="7">
        <f>IF('COPY 30 %'!$A210="","",'COPY 30 %'!L210)</f>
        <v/>
      </c>
      <c r="G210" s="7">
        <f>IF('COPY 30 %'!$A210="","",'COPY 30 %'!S210)</f>
        <v/>
      </c>
      <c r="H210">
        <f>IF('COPY 30 %'!$A210="","",'COPY 30 %'!P210)</f>
        <v/>
      </c>
      <c r="I210">
        <f>IF('COPY 30 %'!$A210="","",'COPY 30 %'!M210)</f>
        <v/>
      </c>
      <c r="J210" s="7">
        <f>IF('COPY 30 %'!$A210="","",'COPY 30 %'!Q210)</f>
        <v/>
      </c>
      <c r="K210" s="7">
        <f>IF('COPY 30 %'!$A210="","",'COPY 30 %'!H210)</f>
        <v/>
      </c>
      <c r="L210" s="7">
        <f>IF('COPY 30 %'!$A210="","",'COPY 30 %'!T210)</f>
        <v/>
      </c>
      <c r="M210">
        <f>IF('COPY 30 %'!$A210="","",'COPY 30 %'!G210)</f>
        <v/>
      </c>
    </row>
    <row r="211">
      <c r="A211">
        <f>IF('COPY 30 %'!$A211="","",ROWS($A$2:$A211))</f>
        <v/>
      </c>
      <c r="B211">
        <f>IF('COPY 30 %'!$A211="","",'COPY 30 %'!E211)</f>
        <v/>
      </c>
      <c r="C211">
        <f>IF('COPY 30 %'!$A211="","",'COPY 30 %'!F211)</f>
        <v/>
      </c>
      <c r="D211" s="14">
        <f>IF('COPY 30 %'!$A211="","",'COPY 30 %'!I211)</f>
        <v/>
      </c>
      <c r="E211" s="7">
        <f>IF('COPY 30 %'!$A211="","",'COPY 30 %'!O211)</f>
        <v/>
      </c>
      <c r="F211" s="7">
        <f>IF('COPY 30 %'!$A211="","",'COPY 30 %'!L211)</f>
        <v/>
      </c>
      <c r="G211" s="7">
        <f>IF('COPY 30 %'!$A211="","",'COPY 30 %'!S211)</f>
        <v/>
      </c>
      <c r="H211">
        <f>IF('COPY 30 %'!$A211="","",'COPY 30 %'!P211)</f>
        <v/>
      </c>
      <c r="I211">
        <f>IF('COPY 30 %'!$A211="","",'COPY 30 %'!M211)</f>
        <v/>
      </c>
      <c r="J211" s="7">
        <f>IF('COPY 30 %'!$A211="","",'COPY 30 %'!Q211)</f>
        <v/>
      </c>
      <c r="K211" s="7">
        <f>IF('COPY 30 %'!$A211="","",'COPY 30 %'!H211)</f>
        <v/>
      </c>
      <c r="L211" s="7">
        <f>IF('COPY 30 %'!$A211="","",'COPY 30 %'!T211)</f>
        <v/>
      </c>
      <c r="M211">
        <f>IF('COPY 30 %'!$A211="","",'COPY 30 %'!G211)</f>
        <v/>
      </c>
    </row>
    <row r="212">
      <c r="A212">
        <f>IF('COPY 30 %'!$A212="","",ROWS($A$2:$A212))</f>
        <v/>
      </c>
      <c r="B212">
        <f>IF('COPY 30 %'!$A212="","",'COPY 30 %'!E212)</f>
        <v/>
      </c>
      <c r="C212">
        <f>IF('COPY 30 %'!$A212="","",'COPY 30 %'!F212)</f>
        <v/>
      </c>
      <c r="D212" s="14">
        <f>IF('COPY 30 %'!$A212="","",'COPY 30 %'!I212)</f>
        <v/>
      </c>
      <c r="E212" s="7">
        <f>IF('COPY 30 %'!$A212="","",'COPY 30 %'!O212)</f>
        <v/>
      </c>
      <c r="F212" s="7">
        <f>IF('COPY 30 %'!$A212="","",'COPY 30 %'!L212)</f>
        <v/>
      </c>
      <c r="G212" s="7">
        <f>IF('COPY 30 %'!$A212="","",'COPY 30 %'!S212)</f>
        <v/>
      </c>
      <c r="H212">
        <f>IF('COPY 30 %'!$A212="","",'COPY 30 %'!P212)</f>
        <v/>
      </c>
      <c r="I212">
        <f>IF('COPY 30 %'!$A212="","",'COPY 30 %'!M212)</f>
        <v/>
      </c>
      <c r="J212" s="7">
        <f>IF('COPY 30 %'!$A212="","",'COPY 30 %'!Q212)</f>
        <v/>
      </c>
      <c r="K212" s="7">
        <f>IF('COPY 30 %'!$A212="","",'COPY 30 %'!H212)</f>
        <v/>
      </c>
      <c r="L212" s="7">
        <f>IF('COPY 30 %'!$A212="","",'COPY 30 %'!T212)</f>
        <v/>
      </c>
      <c r="M212">
        <f>IF('COPY 30 %'!$A212="","",'COPY 30 %'!G212)</f>
        <v/>
      </c>
    </row>
    <row r="213">
      <c r="A213">
        <f>IF('COPY 30 %'!$A213="","",ROWS($A$2:$A213))</f>
        <v/>
      </c>
      <c r="B213">
        <f>IF('COPY 30 %'!$A213="","",'COPY 30 %'!E213)</f>
        <v/>
      </c>
      <c r="C213">
        <f>IF('COPY 30 %'!$A213="","",'COPY 30 %'!F213)</f>
        <v/>
      </c>
      <c r="D213" s="14">
        <f>IF('COPY 30 %'!$A213="","",'COPY 30 %'!I213)</f>
        <v/>
      </c>
      <c r="E213" s="7">
        <f>IF('COPY 30 %'!$A213="","",'COPY 30 %'!O213)</f>
        <v/>
      </c>
      <c r="F213" s="7">
        <f>IF('COPY 30 %'!$A213="","",'COPY 30 %'!L213)</f>
        <v/>
      </c>
      <c r="G213" s="7">
        <f>IF('COPY 30 %'!$A213="","",'COPY 30 %'!S213)</f>
        <v/>
      </c>
      <c r="H213">
        <f>IF('COPY 30 %'!$A213="","",'COPY 30 %'!P213)</f>
        <v/>
      </c>
      <c r="I213">
        <f>IF('COPY 30 %'!$A213="","",'COPY 30 %'!M213)</f>
        <v/>
      </c>
      <c r="J213" s="7">
        <f>IF('COPY 30 %'!$A213="","",'COPY 30 %'!Q213)</f>
        <v/>
      </c>
      <c r="K213" s="7">
        <f>IF('COPY 30 %'!$A213="","",'COPY 30 %'!H213)</f>
        <v/>
      </c>
      <c r="L213" s="7">
        <f>IF('COPY 30 %'!$A213="","",'COPY 30 %'!T213)</f>
        <v/>
      </c>
      <c r="M213">
        <f>IF('COPY 30 %'!$A213="","",'COPY 30 %'!G213)</f>
        <v/>
      </c>
    </row>
    <row r="214">
      <c r="A214">
        <f>IF('COPY 30 %'!$A214="","",ROWS($A$2:$A214))</f>
        <v/>
      </c>
      <c r="B214">
        <f>IF('COPY 30 %'!$A214="","",'COPY 30 %'!E214)</f>
        <v/>
      </c>
      <c r="C214">
        <f>IF('COPY 30 %'!$A214="","",'COPY 30 %'!F214)</f>
        <v/>
      </c>
      <c r="D214" s="14">
        <f>IF('COPY 30 %'!$A214="","",'COPY 30 %'!I214)</f>
        <v/>
      </c>
      <c r="E214" s="7">
        <f>IF('COPY 30 %'!$A214="","",'COPY 30 %'!O214)</f>
        <v/>
      </c>
      <c r="F214" s="7">
        <f>IF('COPY 30 %'!$A214="","",'COPY 30 %'!L214)</f>
        <v/>
      </c>
      <c r="G214" s="7">
        <f>IF('COPY 30 %'!$A214="","",'COPY 30 %'!S214)</f>
        <v/>
      </c>
      <c r="H214">
        <f>IF('COPY 30 %'!$A214="","",'COPY 30 %'!P214)</f>
        <v/>
      </c>
      <c r="I214">
        <f>IF('COPY 30 %'!$A214="","",'COPY 30 %'!M214)</f>
        <v/>
      </c>
      <c r="J214" s="7">
        <f>IF('COPY 30 %'!$A214="","",'COPY 30 %'!Q214)</f>
        <v/>
      </c>
      <c r="K214" s="7">
        <f>IF('COPY 30 %'!$A214="","",'COPY 30 %'!H214)</f>
        <v/>
      </c>
      <c r="L214" s="7">
        <f>IF('COPY 30 %'!$A214="","",'COPY 30 %'!T214)</f>
        <v/>
      </c>
      <c r="M214">
        <f>IF('COPY 30 %'!$A214="","",'COPY 30 %'!G214)</f>
        <v/>
      </c>
    </row>
    <row r="215">
      <c r="A215">
        <f>IF('COPY 30 %'!$A215="","",ROWS($A$2:$A215))</f>
        <v/>
      </c>
      <c r="B215">
        <f>IF('COPY 30 %'!$A215="","",'COPY 30 %'!E215)</f>
        <v/>
      </c>
      <c r="C215">
        <f>IF('COPY 30 %'!$A215="","",'COPY 30 %'!F215)</f>
        <v/>
      </c>
      <c r="D215" s="14">
        <f>IF('COPY 30 %'!$A215="","",'COPY 30 %'!I215)</f>
        <v/>
      </c>
      <c r="E215" s="7">
        <f>IF('COPY 30 %'!$A215="","",'COPY 30 %'!O215)</f>
        <v/>
      </c>
      <c r="F215" s="7">
        <f>IF('COPY 30 %'!$A215="","",'COPY 30 %'!L215)</f>
        <v/>
      </c>
      <c r="G215" s="7">
        <f>IF('COPY 30 %'!$A215="","",'COPY 30 %'!S215)</f>
        <v/>
      </c>
      <c r="H215">
        <f>IF('COPY 30 %'!$A215="","",'COPY 30 %'!P215)</f>
        <v/>
      </c>
      <c r="I215">
        <f>IF('COPY 30 %'!$A215="","",'COPY 30 %'!M215)</f>
        <v/>
      </c>
      <c r="J215" s="7">
        <f>IF('COPY 30 %'!$A215="","",'COPY 30 %'!Q215)</f>
        <v/>
      </c>
      <c r="K215" s="7">
        <f>IF('COPY 30 %'!$A215="","",'COPY 30 %'!H215)</f>
        <v/>
      </c>
      <c r="L215" s="7">
        <f>IF('COPY 30 %'!$A215="","",'COPY 30 %'!T215)</f>
        <v/>
      </c>
      <c r="M215">
        <f>IF('COPY 30 %'!$A215="","",'COPY 30 %'!G215)</f>
        <v/>
      </c>
    </row>
    <row r="216">
      <c r="A216">
        <f>IF('COPY 30 %'!$A216="","",ROWS($A$2:$A216))</f>
        <v/>
      </c>
      <c r="B216">
        <f>IF('COPY 30 %'!$A216="","",'COPY 30 %'!E216)</f>
        <v/>
      </c>
      <c r="C216">
        <f>IF('COPY 30 %'!$A216="","",'COPY 30 %'!F216)</f>
        <v/>
      </c>
      <c r="D216" s="14">
        <f>IF('COPY 30 %'!$A216="","",'COPY 30 %'!I216)</f>
        <v/>
      </c>
      <c r="E216" s="7">
        <f>IF('COPY 30 %'!$A216="","",'COPY 30 %'!O216)</f>
        <v/>
      </c>
      <c r="F216" s="7">
        <f>IF('COPY 30 %'!$A216="","",'COPY 30 %'!L216)</f>
        <v/>
      </c>
      <c r="G216" s="7">
        <f>IF('COPY 30 %'!$A216="","",'COPY 30 %'!S216)</f>
        <v/>
      </c>
      <c r="H216">
        <f>IF('COPY 30 %'!$A216="","",'COPY 30 %'!P216)</f>
        <v/>
      </c>
      <c r="I216">
        <f>IF('COPY 30 %'!$A216="","",'COPY 30 %'!M216)</f>
        <v/>
      </c>
      <c r="J216" s="7">
        <f>IF('COPY 30 %'!$A216="","",'COPY 30 %'!Q216)</f>
        <v/>
      </c>
      <c r="K216" s="7">
        <f>IF('COPY 30 %'!$A216="","",'COPY 30 %'!H216)</f>
        <v/>
      </c>
      <c r="L216" s="7">
        <f>IF('COPY 30 %'!$A216="","",'COPY 30 %'!T216)</f>
        <v/>
      </c>
      <c r="M216">
        <f>IF('COPY 30 %'!$A216="","",'COPY 30 %'!G216)</f>
        <v/>
      </c>
    </row>
    <row r="217">
      <c r="A217">
        <f>IF('COPY 30 %'!$A217="","",ROWS($A$2:$A217))</f>
        <v/>
      </c>
      <c r="B217">
        <f>IF('COPY 30 %'!$A217="","",'COPY 30 %'!E217)</f>
        <v/>
      </c>
      <c r="C217">
        <f>IF('COPY 30 %'!$A217="","",'COPY 30 %'!F217)</f>
        <v/>
      </c>
      <c r="D217" s="14">
        <f>IF('COPY 30 %'!$A217="","",'COPY 30 %'!I217)</f>
        <v/>
      </c>
      <c r="E217" s="7">
        <f>IF('COPY 30 %'!$A217="","",'COPY 30 %'!O217)</f>
        <v/>
      </c>
      <c r="F217" s="7">
        <f>IF('COPY 30 %'!$A217="","",'COPY 30 %'!L217)</f>
        <v/>
      </c>
      <c r="G217" s="7">
        <f>IF('COPY 30 %'!$A217="","",'COPY 30 %'!S217)</f>
        <v/>
      </c>
      <c r="H217">
        <f>IF('COPY 30 %'!$A217="","",'COPY 30 %'!P217)</f>
        <v/>
      </c>
      <c r="I217">
        <f>IF('COPY 30 %'!$A217="","",'COPY 30 %'!M217)</f>
        <v/>
      </c>
      <c r="J217" s="7">
        <f>IF('COPY 30 %'!$A217="","",'COPY 30 %'!Q217)</f>
        <v/>
      </c>
      <c r="K217" s="7">
        <f>IF('COPY 30 %'!$A217="","",'COPY 30 %'!H217)</f>
        <v/>
      </c>
      <c r="L217" s="7">
        <f>IF('COPY 30 %'!$A217="","",'COPY 30 %'!T217)</f>
        <v/>
      </c>
      <c r="M217">
        <f>IF('COPY 30 %'!$A217="","",'COPY 30 %'!G217)</f>
        <v/>
      </c>
    </row>
    <row r="218">
      <c r="A218">
        <f>IF('COPY 30 %'!$A218="","",ROWS($A$2:$A218))</f>
        <v/>
      </c>
      <c r="B218">
        <f>IF('COPY 30 %'!$A218="","",'COPY 30 %'!E218)</f>
        <v/>
      </c>
      <c r="C218">
        <f>IF('COPY 30 %'!$A218="","",'COPY 30 %'!F218)</f>
        <v/>
      </c>
      <c r="D218" s="14">
        <f>IF('COPY 30 %'!$A218="","",'COPY 30 %'!I218)</f>
        <v/>
      </c>
      <c r="E218" s="7">
        <f>IF('COPY 30 %'!$A218="","",'COPY 30 %'!O218)</f>
        <v/>
      </c>
      <c r="F218" s="7">
        <f>IF('COPY 30 %'!$A218="","",'COPY 30 %'!L218)</f>
        <v/>
      </c>
      <c r="G218" s="7">
        <f>IF('COPY 30 %'!$A218="","",'COPY 30 %'!S218)</f>
        <v/>
      </c>
      <c r="H218">
        <f>IF('COPY 30 %'!$A218="","",'COPY 30 %'!P218)</f>
        <v/>
      </c>
      <c r="I218">
        <f>IF('COPY 30 %'!$A218="","",'COPY 30 %'!M218)</f>
        <v/>
      </c>
      <c r="J218" s="7">
        <f>IF('COPY 30 %'!$A218="","",'COPY 30 %'!Q218)</f>
        <v/>
      </c>
      <c r="K218" s="7">
        <f>IF('COPY 30 %'!$A218="","",'COPY 30 %'!H218)</f>
        <v/>
      </c>
      <c r="L218" s="7">
        <f>IF('COPY 30 %'!$A218="","",'COPY 30 %'!T218)</f>
        <v/>
      </c>
      <c r="M218">
        <f>IF('COPY 30 %'!$A218="","",'COPY 30 %'!G218)</f>
        <v/>
      </c>
    </row>
    <row r="219">
      <c r="A219">
        <f>IF('COPY 30 %'!$A219="","",ROWS($A$2:$A219))</f>
        <v/>
      </c>
      <c r="B219">
        <f>IF('COPY 30 %'!$A219="","",'COPY 30 %'!E219)</f>
        <v/>
      </c>
      <c r="C219">
        <f>IF('COPY 30 %'!$A219="","",'COPY 30 %'!F219)</f>
        <v/>
      </c>
      <c r="D219" s="14">
        <f>IF('COPY 30 %'!$A219="","",'COPY 30 %'!I219)</f>
        <v/>
      </c>
      <c r="E219" s="7">
        <f>IF('COPY 30 %'!$A219="","",'COPY 30 %'!O219)</f>
        <v/>
      </c>
      <c r="F219" s="7">
        <f>IF('COPY 30 %'!$A219="","",'COPY 30 %'!L219)</f>
        <v/>
      </c>
      <c r="G219" s="7">
        <f>IF('COPY 30 %'!$A219="","",'COPY 30 %'!S219)</f>
        <v/>
      </c>
      <c r="H219">
        <f>IF('COPY 30 %'!$A219="","",'COPY 30 %'!P219)</f>
        <v/>
      </c>
      <c r="I219">
        <f>IF('COPY 30 %'!$A219="","",'COPY 30 %'!M219)</f>
        <v/>
      </c>
      <c r="J219" s="7">
        <f>IF('COPY 30 %'!$A219="","",'COPY 30 %'!Q219)</f>
        <v/>
      </c>
      <c r="K219" s="7">
        <f>IF('COPY 30 %'!$A219="","",'COPY 30 %'!H219)</f>
        <v/>
      </c>
      <c r="L219" s="7">
        <f>IF('COPY 30 %'!$A219="","",'COPY 30 %'!T219)</f>
        <v/>
      </c>
      <c r="M219">
        <f>IF('COPY 30 %'!$A219="","",'COPY 30 %'!G219)</f>
        <v/>
      </c>
    </row>
    <row r="220">
      <c r="A220">
        <f>IF('COPY 30 %'!$A220="","",ROWS($A$2:$A220))</f>
        <v/>
      </c>
      <c r="B220">
        <f>IF('COPY 30 %'!$A220="","",'COPY 30 %'!E220)</f>
        <v/>
      </c>
      <c r="C220">
        <f>IF('COPY 30 %'!$A220="","",'COPY 30 %'!F220)</f>
        <v/>
      </c>
      <c r="D220" s="14">
        <f>IF('COPY 30 %'!$A220="","",'COPY 30 %'!I220)</f>
        <v/>
      </c>
      <c r="E220" s="7">
        <f>IF('COPY 30 %'!$A220="","",'COPY 30 %'!O220)</f>
        <v/>
      </c>
      <c r="F220" s="7">
        <f>IF('COPY 30 %'!$A220="","",'COPY 30 %'!L220)</f>
        <v/>
      </c>
      <c r="G220" s="7">
        <f>IF('COPY 30 %'!$A220="","",'COPY 30 %'!S220)</f>
        <v/>
      </c>
      <c r="H220">
        <f>IF('COPY 30 %'!$A220="","",'COPY 30 %'!P220)</f>
        <v/>
      </c>
      <c r="I220">
        <f>IF('COPY 30 %'!$A220="","",'COPY 30 %'!M220)</f>
        <v/>
      </c>
      <c r="J220" s="7">
        <f>IF('COPY 30 %'!$A220="","",'COPY 30 %'!Q220)</f>
        <v/>
      </c>
      <c r="K220" s="7">
        <f>IF('COPY 30 %'!$A220="","",'COPY 30 %'!H220)</f>
        <v/>
      </c>
      <c r="L220" s="7">
        <f>IF('COPY 30 %'!$A220="","",'COPY 30 %'!T220)</f>
        <v/>
      </c>
      <c r="M220">
        <f>IF('COPY 30 %'!$A220="","",'COPY 30 %'!G220)</f>
        <v/>
      </c>
    </row>
    <row r="221">
      <c r="A221">
        <f>IF('COPY 30 %'!$A221="","",ROWS($A$2:$A221))</f>
        <v/>
      </c>
      <c r="B221">
        <f>IF('COPY 30 %'!$A221="","",'COPY 30 %'!E221)</f>
        <v/>
      </c>
      <c r="C221">
        <f>IF('COPY 30 %'!$A221="","",'COPY 30 %'!F221)</f>
        <v/>
      </c>
      <c r="D221" s="14">
        <f>IF('COPY 30 %'!$A221="","",'COPY 30 %'!I221)</f>
        <v/>
      </c>
      <c r="E221" s="7">
        <f>IF('COPY 30 %'!$A221="","",'COPY 30 %'!O221)</f>
        <v/>
      </c>
      <c r="F221" s="7">
        <f>IF('COPY 30 %'!$A221="","",'COPY 30 %'!L221)</f>
        <v/>
      </c>
      <c r="G221" s="7">
        <f>IF('COPY 30 %'!$A221="","",'COPY 30 %'!S221)</f>
        <v/>
      </c>
      <c r="H221">
        <f>IF('COPY 30 %'!$A221="","",'COPY 30 %'!P221)</f>
        <v/>
      </c>
      <c r="I221">
        <f>IF('COPY 30 %'!$A221="","",'COPY 30 %'!M221)</f>
        <v/>
      </c>
      <c r="J221" s="7">
        <f>IF('COPY 30 %'!$A221="","",'COPY 30 %'!Q221)</f>
        <v/>
      </c>
      <c r="K221" s="7">
        <f>IF('COPY 30 %'!$A221="","",'COPY 30 %'!H221)</f>
        <v/>
      </c>
      <c r="L221" s="7">
        <f>IF('COPY 30 %'!$A221="","",'COPY 30 %'!T221)</f>
        <v/>
      </c>
      <c r="M221">
        <f>IF('COPY 30 %'!$A221="","",'COPY 30 %'!G221)</f>
        <v/>
      </c>
    </row>
    <row r="222">
      <c r="A222">
        <f>IF('COPY 30 %'!$A222="","",ROWS($A$2:$A222))</f>
        <v/>
      </c>
      <c r="B222">
        <f>IF('COPY 30 %'!$A222="","",'COPY 30 %'!E222)</f>
        <v/>
      </c>
      <c r="C222">
        <f>IF('COPY 30 %'!$A222="","",'COPY 30 %'!F222)</f>
        <v/>
      </c>
      <c r="D222" s="14">
        <f>IF('COPY 30 %'!$A222="","",'COPY 30 %'!I222)</f>
        <v/>
      </c>
      <c r="E222" s="7">
        <f>IF('COPY 30 %'!$A222="","",'COPY 30 %'!O222)</f>
        <v/>
      </c>
      <c r="F222" s="7">
        <f>IF('COPY 30 %'!$A222="","",'COPY 30 %'!L222)</f>
        <v/>
      </c>
      <c r="G222" s="7">
        <f>IF('COPY 30 %'!$A222="","",'COPY 30 %'!S222)</f>
        <v/>
      </c>
      <c r="H222">
        <f>IF('COPY 30 %'!$A222="","",'COPY 30 %'!P222)</f>
        <v/>
      </c>
      <c r="I222">
        <f>IF('COPY 30 %'!$A222="","",'COPY 30 %'!M222)</f>
        <v/>
      </c>
      <c r="J222" s="7">
        <f>IF('COPY 30 %'!$A222="","",'COPY 30 %'!Q222)</f>
        <v/>
      </c>
      <c r="K222" s="7">
        <f>IF('COPY 30 %'!$A222="","",'COPY 30 %'!H222)</f>
        <v/>
      </c>
      <c r="L222" s="7">
        <f>IF('COPY 30 %'!$A222="","",'COPY 30 %'!T222)</f>
        <v/>
      </c>
      <c r="M222">
        <f>IF('COPY 30 %'!$A222="","",'COPY 30 %'!G222)</f>
        <v/>
      </c>
    </row>
    <row r="223">
      <c r="A223">
        <f>IF('COPY 30 %'!$A223="","",ROWS($A$2:$A223))</f>
        <v/>
      </c>
      <c r="B223">
        <f>IF('COPY 30 %'!$A223="","",'COPY 30 %'!E223)</f>
        <v/>
      </c>
      <c r="C223">
        <f>IF('COPY 30 %'!$A223="","",'COPY 30 %'!F223)</f>
        <v/>
      </c>
      <c r="D223" s="14">
        <f>IF('COPY 30 %'!$A223="","",'COPY 30 %'!I223)</f>
        <v/>
      </c>
      <c r="E223" s="7">
        <f>IF('COPY 30 %'!$A223="","",'COPY 30 %'!O223)</f>
        <v/>
      </c>
      <c r="F223" s="7">
        <f>IF('COPY 30 %'!$A223="","",'COPY 30 %'!L223)</f>
        <v/>
      </c>
      <c r="G223" s="7">
        <f>IF('COPY 30 %'!$A223="","",'COPY 30 %'!S223)</f>
        <v/>
      </c>
      <c r="H223">
        <f>IF('COPY 30 %'!$A223="","",'COPY 30 %'!P223)</f>
        <v/>
      </c>
      <c r="I223">
        <f>IF('COPY 30 %'!$A223="","",'COPY 30 %'!M223)</f>
        <v/>
      </c>
      <c r="J223" s="7">
        <f>IF('COPY 30 %'!$A223="","",'COPY 30 %'!Q223)</f>
        <v/>
      </c>
      <c r="K223" s="7">
        <f>IF('COPY 30 %'!$A223="","",'COPY 30 %'!H223)</f>
        <v/>
      </c>
      <c r="L223" s="7">
        <f>IF('COPY 30 %'!$A223="","",'COPY 30 %'!T223)</f>
        <v/>
      </c>
      <c r="M223">
        <f>IF('COPY 30 %'!$A223="","",'COPY 30 %'!G223)</f>
        <v/>
      </c>
    </row>
    <row r="224">
      <c r="A224">
        <f>IF('COPY 30 %'!$A224="","",ROWS($A$2:$A224))</f>
        <v/>
      </c>
      <c r="B224">
        <f>IF('COPY 30 %'!$A224="","",'COPY 30 %'!E224)</f>
        <v/>
      </c>
      <c r="C224">
        <f>IF('COPY 30 %'!$A224="","",'COPY 30 %'!F224)</f>
        <v/>
      </c>
      <c r="D224" s="14">
        <f>IF('COPY 30 %'!$A224="","",'COPY 30 %'!I224)</f>
        <v/>
      </c>
      <c r="E224" s="7">
        <f>IF('COPY 30 %'!$A224="","",'COPY 30 %'!O224)</f>
        <v/>
      </c>
      <c r="F224" s="7">
        <f>IF('COPY 30 %'!$A224="","",'COPY 30 %'!L224)</f>
        <v/>
      </c>
      <c r="G224" s="7">
        <f>IF('COPY 30 %'!$A224="","",'COPY 30 %'!S224)</f>
        <v/>
      </c>
      <c r="H224">
        <f>IF('COPY 30 %'!$A224="","",'COPY 30 %'!P224)</f>
        <v/>
      </c>
      <c r="I224">
        <f>IF('COPY 30 %'!$A224="","",'COPY 30 %'!M224)</f>
        <v/>
      </c>
      <c r="J224" s="7">
        <f>IF('COPY 30 %'!$A224="","",'COPY 30 %'!Q224)</f>
        <v/>
      </c>
      <c r="K224" s="7">
        <f>IF('COPY 30 %'!$A224="","",'COPY 30 %'!H224)</f>
        <v/>
      </c>
      <c r="L224" s="7">
        <f>IF('COPY 30 %'!$A224="","",'COPY 30 %'!T224)</f>
        <v/>
      </c>
      <c r="M224">
        <f>IF('COPY 30 %'!$A224="","",'COPY 30 %'!G224)</f>
        <v/>
      </c>
    </row>
    <row r="225">
      <c r="A225">
        <f>IF('COPY 30 %'!$A225="","",ROWS($A$2:$A225))</f>
        <v/>
      </c>
      <c r="B225">
        <f>IF('COPY 30 %'!$A225="","",'COPY 30 %'!E225)</f>
        <v/>
      </c>
      <c r="C225">
        <f>IF('COPY 30 %'!$A225="","",'COPY 30 %'!F225)</f>
        <v/>
      </c>
      <c r="D225" s="14">
        <f>IF('COPY 30 %'!$A225="","",'COPY 30 %'!I225)</f>
        <v/>
      </c>
      <c r="E225" s="7">
        <f>IF('COPY 30 %'!$A225="","",'COPY 30 %'!O225)</f>
        <v/>
      </c>
      <c r="F225" s="7">
        <f>IF('COPY 30 %'!$A225="","",'COPY 30 %'!L225)</f>
        <v/>
      </c>
      <c r="G225" s="7">
        <f>IF('COPY 30 %'!$A225="","",'COPY 30 %'!S225)</f>
        <v/>
      </c>
      <c r="H225">
        <f>IF('COPY 30 %'!$A225="","",'COPY 30 %'!P225)</f>
        <v/>
      </c>
      <c r="I225">
        <f>IF('COPY 30 %'!$A225="","",'COPY 30 %'!M225)</f>
        <v/>
      </c>
      <c r="J225" s="7">
        <f>IF('COPY 30 %'!$A225="","",'COPY 30 %'!Q225)</f>
        <v/>
      </c>
      <c r="K225" s="7">
        <f>IF('COPY 30 %'!$A225="","",'COPY 30 %'!H225)</f>
        <v/>
      </c>
      <c r="L225" s="7">
        <f>IF('COPY 30 %'!$A225="","",'COPY 30 %'!T225)</f>
        <v/>
      </c>
      <c r="M225">
        <f>IF('COPY 30 %'!$A225="","",'COPY 30 %'!G225)</f>
        <v/>
      </c>
    </row>
    <row r="226">
      <c r="A226">
        <f>IF('COPY 30 %'!$A226="","",ROWS($A$2:$A226))</f>
        <v/>
      </c>
      <c r="B226">
        <f>IF('COPY 30 %'!$A226="","",'COPY 30 %'!E226)</f>
        <v/>
      </c>
      <c r="C226">
        <f>IF('COPY 30 %'!$A226="","",'COPY 30 %'!F226)</f>
        <v/>
      </c>
      <c r="D226" s="14">
        <f>IF('COPY 30 %'!$A226="","",'COPY 30 %'!I226)</f>
        <v/>
      </c>
      <c r="E226" s="7">
        <f>IF('COPY 30 %'!$A226="","",'COPY 30 %'!O226)</f>
        <v/>
      </c>
      <c r="F226" s="7">
        <f>IF('COPY 30 %'!$A226="","",'COPY 30 %'!L226)</f>
        <v/>
      </c>
      <c r="G226" s="7">
        <f>IF('COPY 30 %'!$A226="","",'COPY 30 %'!S226)</f>
        <v/>
      </c>
      <c r="H226">
        <f>IF('COPY 30 %'!$A226="","",'COPY 30 %'!P226)</f>
        <v/>
      </c>
      <c r="I226">
        <f>IF('COPY 30 %'!$A226="","",'COPY 30 %'!M226)</f>
        <v/>
      </c>
      <c r="J226" s="7">
        <f>IF('COPY 30 %'!$A226="","",'COPY 30 %'!Q226)</f>
        <v/>
      </c>
      <c r="K226" s="7">
        <f>IF('COPY 30 %'!$A226="","",'COPY 30 %'!H226)</f>
        <v/>
      </c>
      <c r="L226" s="7">
        <f>IF('COPY 30 %'!$A226="","",'COPY 30 %'!T226)</f>
        <v/>
      </c>
      <c r="M226">
        <f>IF('COPY 30 %'!$A226="","",'COPY 30 %'!G226)</f>
        <v/>
      </c>
    </row>
    <row r="227">
      <c r="A227">
        <f>IF('COPY 30 %'!$A227="","",ROWS($A$2:$A227))</f>
        <v/>
      </c>
      <c r="B227">
        <f>IF('COPY 30 %'!$A227="","",'COPY 30 %'!E227)</f>
        <v/>
      </c>
      <c r="C227">
        <f>IF('COPY 30 %'!$A227="","",'COPY 30 %'!F227)</f>
        <v/>
      </c>
      <c r="D227" s="14">
        <f>IF('COPY 30 %'!$A227="","",'COPY 30 %'!I227)</f>
        <v/>
      </c>
      <c r="E227" s="7">
        <f>IF('COPY 30 %'!$A227="","",'COPY 30 %'!O227)</f>
        <v/>
      </c>
      <c r="F227" s="7">
        <f>IF('COPY 30 %'!$A227="","",'COPY 30 %'!L227)</f>
        <v/>
      </c>
      <c r="G227" s="7">
        <f>IF('COPY 30 %'!$A227="","",'COPY 30 %'!S227)</f>
        <v/>
      </c>
      <c r="H227">
        <f>IF('COPY 30 %'!$A227="","",'COPY 30 %'!P227)</f>
        <v/>
      </c>
      <c r="I227">
        <f>IF('COPY 30 %'!$A227="","",'COPY 30 %'!M227)</f>
        <v/>
      </c>
      <c r="J227" s="7">
        <f>IF('COPY 30 %'!$A227="","",'COPY 30 %'!Q227)</f>
        <v/>
      </c>
      <c r="K227" s="7">
        <f>IF('COPY 30 %'!$A227="","",'COPY 30 %'!H227)</f>
        <v/>
      </c>
      <c r="L227" s="7">
        <f>IF('COPY 30 %'!$A227="","",'COPY 30 %'!T227)</f>
        <v/>
      </c>
      <c r="M227">
        <f>IF('COPY 30 %'!$A227="","",'COPY 30 %'!G227)</f>
        <v/>
      </c>
    </row>
    <row r="228">
      <c r="A228">
        <f>IF('COPY 30 %'!$A228="","",ROWS($A$2:$A228))</f>
        <v/>
      </c>
      <c r="B228">
        <f>IF('COPY 30 %'!$A228="","",'COPY 30 %'!E228)</f>
        <v/>
      </c>
      <c r="C228">
        <f>IF('COPY 30 %'!$A228="","",'COPY 30 %'!F228)</f>
        <v/>
      </c>
      <c r="D228" s="14">
        <f>IF('COPY 30 %'!$A228="","",'COPY 30 %'!I228)</f>
        <v/>
      </c>
      <c r="E228" s="7">
        <f>IF('COPY 30 %'!$A228="","",'COPY 30 %'!O228)</f>
        <v/>
      </c>
      <c r="F228" s="7">
        <f>IF('COPY 30 %'!$A228="","",'COPY 30 %'!L228)</f>
        <v/>
      </c>
      <c r="G228" s="7">
        <f>IF('COPY 30 %'!$A228="","",'COPY 30 %'!S228)</f>
        <v/>
      </c>
      <c r="H228">
        <f>IF('COPY 30 %'!$A228="","",'COPY 30 %'!P228)</f>
        <v/>
      </c>
      <c r="I228">
        <f>IF('COPY 30 %'!$A228="","",'COPY 30 %'!M228)</f>
        <v/>
      </c>
      <c r="J228" s="7">
        <f>IF('COPY 30 %'!$A228="","",'COPY 30 %'!Q228)</f>
        <v/>
      </c>
      <c r="K228" s="7">
        <f>IF('COPY 30 %'!$A228="","",'COPY 30 %'!H228)</f>
        <v/>
      </c>
      <c r="L228" s="7">
        <f>IF('COPY 30 %'!$A228="","",'COPY 30 %'!T228)</f>
        <v/>
      </c>
      <c r="M228">
        <f>IF('COPY 30 %'!$A228="","",'COPY 30 %'!G228)</f>
        <v/>
      </c>
    </row>
    <row r="229">
      <c r="A229">
        <f>IF('COPY 30 %'!$A229="","",ROWS($A$2:$A229))</f>
        <v/>
      </c>
      <c r="B229">
        <f>IF('COPY 30 %'!$A229="","",'COPY 30 %'!E229)</f>
        <v/>
      </c>
      <c r="C229">
        <f>IF('COPY 30 %'!$A229="","",'COPY 30 %'!F229)</f>
        <v/>
      </c>
      <c r="D229" s="14">
        <f>IF('COPY 30 %'!$A229="","",'COPY 30 %'!I229)</f>
        <v/>
      </c>
      <c r="E229" s="7">
        <f>IF('COPY 30 %'!$A229="","",'COPY 30 %'!O229)</f>
        <v/>
      </c>
      <c r="F229" s="7">
        <f>IF('COPY 30 %'!$A229="","",'COPY 30 %'!L229)</f>
        <v/>
      </c>
      <c r="G229" s="7">
        <f>IF('COPY 30 %'!$A229="","",'COPY 30 %'!S229)</f>
        <v/>
      </c>
      <c r="H229">
        <f>IF('COPY 30 %'!$A229="","",'COPY 30 %'!P229)</f>
        <v/>
      </c>
      <c r="I229">
        <f>IF('COPY 30 %'!$A229="","",'COPY 30 %'!M229)</f>
        <v/>
      </c>
      <c r="J229" s="7">
        <f>IF('COPY 30 %'!$A229="","",'COPY 30 %'!Q229)</f>
        <v/>
      </c>
      <c r="K229" s="7">
        <f>IF('COPY 30 %'!$A229="","",'COPY 30 %'!H229)</f>
        <v/>
      </c>
      <c r="L229" s="7">
        <f>IF('COPY 30 %'!$A229="","",'COPY 30 %'!T229)</f>
        <v/>
      </c>
      <c r="M229">
        <f>IF('COPY 30 %'!$A229="","",'COPY 30 %'!G229)</f>
        <v/>
      </c>
    </row>
    <row r="230">
      <c r="A230">
        <f>IF('COPY 30 %'!$A230="","",ROWS($A$2:$A230))</f>
        <v/>
      </c>
      <c r="B230">
        <f>IF('COPY 30 %'!$A230="","",'COPY 30 %'!E230)</f>
        <v/>
      </c>
      <c r="C230">
        <f>IF('COPY 30 %'!$A230="","",'COPY 30 %'!F230)</f>
        <v/>
      </c>
      <c r="D230" s="14">
        <f>IF('COPY 30 %'!$A230="","",'COPY 30 %'!I230)</f>
        <v/>
      </c>
      <c r="E230" s="7">
        <f>IF('COPY 30 %'!$A230="","",'COPY 30 %'!O230)</f>
        <v/>
      </c>
      <c r="F230" s="7">
        <f>IF('COPY 30 %'!$A230="","",'COPY 30 %'!L230)</f>
        <v/>
      </c>
      <c r="G230" s="7">
        <f>IF('COPY 30 %'!$A230="","",'COPY 30 %'!S230)</f>
        <v/>
      </c>
      <c r="H230">
        <f>IF('COPY 30 %'!$A230="","",'COPY 30 %'!P230)</f>
        <v/>
      </c>
      <c r="I230">
        <f>IF('COPY 30 %'!$A230="","",'COPY 30 %'!M230)</f>
        <v/>
      </c>
      <c r="J230" s="7">
        <f>IF('COPY 30 %'!$A230="","",'COPY 30 %'!Q230)</f>
        <v/>
      </c>
      <c r="K230" s="7">
        <f>IF('COPY 30 %'!$A230="","",'COPY 30 %'!H230)</f>
        <v/>
      </c>
      <c r="L230" s="7">
        <f>IF('COPY 30 %'!$A230="","",'COPY 30 %'!T230)</f>
        <v/>
      </c>
      <c r="M230">
        <f>IF('COPY 30 %'!$A230="","",'COPY 30 %'!G230)</f>
        <v/>
      </c>
    </row>
    <row r="231">
      <c r="A231">
        <f>IF('COPY 30 %'!$A231="","",ROWS($A$2:$A231))</f>
        <v/>
      </c>
      <c r="B231">
        <f>IF('COPY 30 %'!$A231="","",'COPY 30 %'!E231)</f>
        <v/>
      </c>
      <c r="C231">
        <f>IF('COPY 30 %'!$A231="","",'COPY 30 %'!F231)</f>
        <v/>
      </c>
      <c r="D231" s="14">
        <f>IF('COPY 30 %'!$A231="","",'COPY 30 %'!I231)</f>
        <v/>
      </c>
      <c r="E231" s="7">
        <f>IF('COPY 30 %'!$A231="","",'COPY 30 %'!O231)</f>
        <v/>
      </c>
      <c r="F231" s="7">
        <f>IF('COPY 30 %'!$A231="","",'COPY 30 %'!L231)</f>
        <v/>
      </c>
      <c r="G231" s="7">
        <f>IF('COPY 30 %'!$A231="","",'COPY 30 %'!S231)</f>
        <v/>
      </c>
      <c r="H231">
        <f>IF('COPY 30 %'!$A231="","",'COPY 30 %'!P231)</f>
        <v/>
      </c>
      <c r="I231">
        <f>IF('COPY 30 %'!$A231="","",'COPY 30 %'!M231)</f>
        <v/>
      </c>
      <c r="J231" s="7">
        <f>IF('COPY 30 %'!$A231="","",'COPY 30 %'!Q231)</f>
        <v/>
      </c>
      <c r="K231" s="7">
        <f>IF('COPY 30 %'!$A231="","",'COPY 30 %'!H231)</f>
        <v/>
      </c>
      <c r="L231" s="7">
        <f>IF('COPY 30 %'!$A231="","",'COPY 30 %'!T231)</f>
        <v/>
      </c>
      <c r="M231">
        <f>IF('COPY 30 %'!$A231="","",'COPY 30 %'!G231)</f>
        <v/>
      </c>
    </row>
    <row r="232">
      <c r="A232">
        <f>IF('COPY 30 %'!$A232="","",ROWS($A$2:$A232))</f>
        <v/>
      </c>
      <c r="B232">
        <f>IF('COPY 30 %'!$A232="","",'COPY 30 %'!E232)</f>
        <v/>
      </c>
      <c r="C232">
        <f>IF('COPY 30 %'!$A232="","",'COPY 30 %'!F232)</f>
        <v/>
      </c>
      <c r="D232" s="14">
        <f>IF('COPY 30 %'!$A232="","",'COPY 30 %'!I232)</f>
        <v/>
      </c>
      <c r="E232" s="7">
        <f>IF('COPY 30 %'!$A232="","",'COPY 30 %'!O232)</f>
        <v/>
      </c>
      <c r="F232" s="7">
        <f>IF('COPY 30 %'!$A232="","",'COPY 30 %'!L232)</f>
        <v/>
      </c>
      <c r="G232" s="7">
        <f>IF('COPY 30 %'!$A232="","",'COPY 30 %'!S232)</f>
        <v/>
      </c>
      <c r="H232">
        <f>IF('COPY 30 %'!$A232="","",'COPY 30 %'!P232)</f>
        <v/>
      </c>
      <c r="I232">
        <f>IF('COPY 30 %'!$A232="","",'COPY 30 %'!M232)</f>
        <v/>
      </c>
      <c r="J232" s="7">
        <f>IF('COPY 30 %'!$A232="","",'COPY 30 %'!Q232)</f>
        <v/>
      </c>
      <c r="K232" s="7">
        <f>IF('COPY 30 %'!$A232="","",'COPY 30 %'!H232)</f>
        <v/>
      </c>
      <c r="L232" s="7">
        <f>IF('COPY 30 %'!$A232="","",'COPY 30 %'!T232)</f>
        <v/>
      </c>
      <c r="M232">
        <f>IF('COPY 30 %'!$A232="","",'COPY 30 %'!G232)</f>
        <v/>
      </c>
    </row>
    <row r="233">
      <c r="A233">
        <f>IF('COPY 30 %'!$A233="","",ROWS($A$2:$A233))</f>
        <v/>
      </c>
      <c r="B233">
        <f>IF('COPY 30 %'!$A233="","",'COPY 30 %'!E233)</f>
        <v/>
      </c>
      <c r="C233">
        <f>IF('COPY 30 %'!$A233="","",'COPY 30 %'!F233)</f>
        <v/>
      </c>
      <c r="D233" s="14">
        <f>IF('COPY 30 %'!$A233="","",'COPY 30 %'!I233)</f>
        <v/>
      </c>
      <c r="E233" s="7">
        <f>IF('COPY 30 %'!$A233="","",'COPY 30 %'!O233)</f>
        <v/>
      </c>
      <c r="F233" s="7">
        <f>IF('COPY 30 %'!$A233="","",'COPY 30 %'!L233)</f>
        <v/>
      </c>
      <c r="G233" s="7">
        <f>IF('COPY 30 %'!$A233="","",'COPY 30 %'!S233)</f>
        <v/>
      </c>
      <c r="H233">
        <f>IF('COPY 30 %'!$A233="","",'COPY 30 %'!P233)</f>
        <v/>
      </c>
      <c r="I233">
        <f>IF('COPY 30 %'!$A233="","",'COPY 30 %'!M233)</f>
        <v/>
      </c>
      <c r="J233" s="7">
        <f>IF('COPY 30 %'!$A233="","",'COPY 30 %'!Q233)</f>
        <v/>
      </c>
      <c r="K233" s="7">
        <f>IF('COPY 30 %'!$A233="","",'COPY 30 %'!H233)</f>
        <v/>
      </c>
      <c r="L233" s="7">
        <f>IF('COPY 30 %'!$A233="","",'COPY 30 %'!T233)</f>
        <v/>
      </c>
      <c r="M233">
        <f>IF('COPY 30 %'!$A233="","",'COPY 30 %'!G233)</f>
        <v/>
      </c>
    </row>
    <row r="234">
      <c r="A234">
        <f>IF('COPY 30 %'!$A234="","",ROWS($A$2:$A234))</f>
        <v/>
      </c>
      <c r="B234">
        <f>IF('COPY 30 %'!$A234="","",'COPY 30 %'!E234)</f>
        <v/>
      </c>
      <c r="C234">
        <f>IF('COPY 30 %'!$A234="","",'COPY 30 %'!F234)</f>
        <v/>
      </c>
      <c r="D234" s="14">
        <f>IF('COPY 30 %'!$A234="","",'COPY 30 %'!I234)</f>
        <v/>
      </c>
      <c r="E234" s="7">
        <f>IF('COPY 30 %'!$A234="","",'COPY 30 %'!O234)</f>
        <v/>
      </c>
      <c r="F234" s="7">
        <f>IF('COPY 30 %'!$A234="","",'COPY 30 %'!L234)</f>
        <v/>
      </c>
      <c r="G234" s="7">
        <f>IF('COPY 30 %'!$A234="","",'COPY 30 %'!S234)</f>
        <v/>
      </c>
      <c r="H234">
        <f>IF('COPY 30 %'!$A234="","",'COPY 30 %'!P234)</f>
        <v/>
      </c>
      <c r="I234">
        <f>IF('COPY 30 %'!$A234="","",'COPY 30 %'!M234)</f>
        <v/>
      </c>
      <c r="J234" s="7">
        <f>IF('COPY 30 %'!$A234="","",'COPY 30 %'!Q234)</f>
        <v/>
      </c>
      <c r="K234" s="7">
        <f>IF('COPY 30 %'!$A234="","",'COPY 30 %'!H234)</f>
        <v/>
      </c>
      <c r="L234" s="7">
        <f>IF('COPY 30 %'!$A234="","",'COPY 30 %'!T234)</f>
        <v/>
      </c>
      <c r="M234">
        <f>IF('COPY 30 %'!$A234="","",'COPY 30 %'!G234)</f>
        <v/>
      </c>
    </row>
    <row r="235">
      <c r="A235">
        <f>IF('COPY 30 %'!$A235="","",ROWS($A$2:$A235))</f>
        <v/>
      </c>
      <c r="B235">
        <f>IF('COPY 30 %'!$A235="","",'COPY 30 %'!E235)</f>
        <v/>
      </c>
      <c r="C235">
        <f>IF('COPY 30 %'!$A235="","",'COPY 30 %'!F235)</f>
        <v/>
      </c>
      <c r="D235" s="14">
        <f>IF('COPY 30 %'!$A235="","",'COPY 30 %'!I235)</f>
        <v/>
      </c>
      <c r="E235" s="7">
        <f>IF('COPY 30 %'!$A235="","",'COPY 30 %'!O235)</f>
        <v/>
      </c>
      <c r="F235" s="7">
        <f>IF('COPY 30 %'!$A235="","",'COPY 30 %'!L235)</f>
        <v/>
      </c>
      <c r="G235" s="7">
        <f>IF('COPY 30 %'!$A235="","",'COPY 30 %'!S235)</f>
        <v/>
      </c>
      <c r="H235">
        <f>IF('COPY 30 %'!$A235="","",'COPY 30 %'!P235)</f>
        <v/>
      </c>
      <c r="I235">
        <f>IF('COPY 30 %'!$A235="","",'COPY 30 %'!M235)</f>
        <v/>
      </c>
      <c r="J235" s="7">
        <f>IF('COPY 30 %'!$A235="","",'COPY 30 %'!Q235)</f>
        <v/>
      </c>
      <c r="K235" s="7">
        <f>IF('COPY 30 %'!$A235="","",'COPY 30 %'!H235)</f>
        <v/>
      </c>
      <c r="L235" s="7">
        <f>IF('COPY 30 %'!$A235="","",'COPY 30 %'!T235)</f>
        <v/>
      </c>
      <c r="M235">
        <f>IF('COPY 30 %'!$A235="","",'COPY 30 %'!G235)</f>
        <v/>
      </c>
    </row>
    <row r="236">
      <c r="A236">
        <f>IF('COPY 30 %'!$A236="","",ROWS($A$2:$A236))</f>
        <v/>
      </c>
      <c r="B236">
        <f>IF('COPY 30 %'!$A236="","",'COPY 30 %'!E236)</f>
        <v/>
      </c>
      <c r="C236">
        <f>IF('COPY 30 %'!$A236="","",'COPY 30 %'!F236)</f>
        <v/>
      </c>
      <c r="D236" s="14">
        <f>IF('COPY 30 %'!$A236="","",'COPY 30 %'!I236)</f>
        <v/>
      </c>
      <c r="E236" s="7">
        <f>IF('COPY 30 %'!$A236="","",'COPY 30 %'!O236)</f>
        <v/>
      </c>
      <c r="F236" s="7">
        <f>IF('COPY 30 %'!$A236="","",'COPY 30 %'!L236)</f>
        <v/>
      </c>
      <c r="G236" s="7">
        <f>IF('COPY 30 %'!$A236="","",'COPY 30 %'!S236)</f>
        <v/>
      </c>
      <c r="H236">
        <f>IF('COPY 30 %'!$A236="","",'COPY 30 %'!P236)</f>
        <v/>
      </c>
      <c r="I236">
        <f>IF('COPY 30 %'!$A236="","",'COPY 30 %'!M236)</f>
        <v/>
      </c>
      <c r="J236" s="7">
        <f>IF('COPY 30 %'!$A236="","",'COPY 30 %'!Q236)</f>
        <v/>
      </c>
      <c r="K236" s="7">
        <f>IF('COPY 30 %'!$A236="","",'COPY 30 %'!H236)</f>
        <v/>
      </c>
      <c r="L236" s="7">
        <f>IF('COPY 30 %'!$A236="","",'COPY 30 %'!T236)</f>
        <v/>
      </c>
      <c r="M236">
        <f>IF('COPY 30 %'!$A236="","",'COPY 30 %'!G236)</f>
        <v/>
      </c>
    </row>
    <row r="237">
      <c r="A237">
        <f>IF('COPY 30 %'!$A237="","",ROWS($A$2:$A237))</f>
        <v/>
      </c>
      <c r="B237">
        <f>IF('COPY 30 %'!$A237="","",'COPY 30 %'!E237)</f>
        <v/>
      </c>
      <c r="C237">
        <f>IF('COPY 30 %'!$A237="","",'COPY 30 %'!F237)</f>
        <v/>
      </c>
      <c r="D237" s="14">
        <f>IF('COPY 30 %'!$A237="","",'COPY 30 %'!I237)</f>
        <v/>
      </c>
      <c r="E237" s="7">
        <f>IF('COPY 30 %'!$A237="","",'COPY 30 %'!O237)</f>
        <v/>
      </c>
      <c r="F237" s="7">
        <f>IF('COPY 30 %'!$A237="","",'COPY 30 %'!L237)</f>
        <v/>
      </c>
      <c r="G237" s="7">
        <f>IF('COPY 30 %'!$A237="","",'COPY 30 %'!S237)</f>
        <v/>
      </c>
      <c r="H237">
        <f>IF('COPY 30 %'!$A237="","",'COPY 30 %'!P237)</f>
        <v/>
      </c>
      <c r="I237">
        <f>IF('COPY 30 %'!$A237="","",'COPY 30 %'!M237)</f>
        <v/>
      </c>
      <c r="J237" s="7">
        <f>IF('COPY 30 %'!$A237="","",'COPY 30 %'!Q237)</f>
        <v/>
      </c>
      <c r="K237" s="7">
        <f>IF('COPY 30 %'!$A237="","",'COPY 30 %'!H237)</f>
        <v/>
      </c>
      <c r="L237" s="7">
        <f>IF('COPY 30 %'!$A237="","",'COPY 30 %'!T237)</f>
        <v/>
      </c>
      <c r="M237">
        <f>IF('COPY 30 %'!$A237="","",'COPY 30 %'!G237)</f>
        <v/>
      </c>
    </row>
    <row r="238">
      <c r="A238">
        <f>IF('COPY 30 %'!$A238="","",ROWS($A$2:$A238))</f>
        <v/>
      </c>
      <c r="B238">
        <f>IF('COPY 30 %'!$A238="","",'COPY 30 %'!E238)</f>
        <v/>
      </c>
      <c r="C238">
        <f>IF('COPY 30 %'!$A238="","",'COPY 30 %'!F238)</f>
        <v/>
      </c>
      <c r="D238" s="14">
        <f>IF('COPY 30 %'!$A238="","",'COPY 30 %'!I238)</f>
        <v/>
      </c>
      <c r="E238" s="7">
        <f>IF('COPY 30 %'!$A238="","",'COPY 30 %'!O238)</f>
        <v/>
      </c>
      <c r="F238" s="7">
        <f>IF('COPY 30 %'!$A238="","",'COPY 30 %'!L238)</f>
        <v/>
      </c>
      <c r="G238" s="7">
        <f>IF('COPY 30 %'!$A238="","",'COPY 30 %'!S238)</f>
        <v/>
      </c>
      <c r="H238">
        <f>IF('COPY 30 %'!$A238="","",'COPY 30 %'!P238)</f>
        <v/>
      </c>
      <c r="I238">
        <f>IF('COPY 30 %'!$A238="","",'COPY 30 %'!M238)</f>
        <v/>
      </c>
      <c r="J238" s="7">
        <f>IF('COPY 30 %'!$A238="","",'COPY 30 %'!Q238)</f>
        <v/>
      </c>
      <c r="K238" s="7">
        <f>IF('COPY 30 %'!$A238="","",'COPY 30 %'!H238)</f>
        <v/>
      </c>
      <c r="L238" s="7">
        <f>IF('COPY 30 %'!$A238="","",'COPY 30 %'!T238)</f>
        <v/>
      </c>
      <c r="M238">
        <f>IF('COPY 30 %'!$A238="","",'COPY 30 %'!G238)</f>
        <v/>
      </c>
    </row>
    <row r="239">
      <c r="A239">
        <f>IF('COPY 30 %'!$A239="","",ROWS($A$2:$A239))</f>
        <v/>
      </c>
      <c r="B239">
        <f>IF('COPY 30 %'!$A239="","",'COPY 30 %'!E239)</f>
        <v/>
      </c>
      <c r="C239">
        <f>IF('COPY 30 %'!$A239="","",'COPY 30 %'!F239)</f>
        <v/>
      </c>
      <c r="D239" s="14">
        <f>IF('COPY 30 %'!$A239="","",'COPY 30 %'!I239)</f>
        <v/>
      </c>
      <c r="E239" s="7">
        <f>IF('COPY 30 %'!$A239="","",'COPY 30 %'!O239)</f>
        <v/>
      </c>
      <c r="F239" s="7">
        <f>IF('COPY 30 %'!$A239="","",'COPY 30 %'!L239)</f>
        <v/>
      </c>
      <c r="G239" s="7">
        <f>IF('COPY 30 %'!$A239="","",'COPY 30 %'!S239)</f>
        <v/>
      </c>
      <c r="H239">
        <f>IF('COPY 30 %'!$A239="","",'COPY 30 %'!P239)</f>
        <v/>
      </c>
      <c r="I239">
        <f>IF('COPY 30 %'!$A239="","",'COPY 30 %'!M239)</f>
        <v/>
      </c>
      <c r="J239" s="7">
        <f>IF('COPY 30 %'!$A239="","",'COPY 30 %'!Q239)</f>
        <v/>
      </c>
      <c r="K239" s="7">
        <f>IF('COPY 30 %'!$A239="","",'COPY 30 %'!H239)</f>
        <v/>
      </c>
      <c r="L239" s="7">
        <f>IF('COPY 30 %'!$A239="","",'COPY 30 %'!T239)</f>
        <v/>
      </c>
      <c r="M239">
        <f>IF('COPY 30 %'!$A239="","",'COPY 30 %'!G239)</f>
        <v/>
      </c>
    </row>
    <row r="240">
      <c r="A240">
        <f>IF('COPY 30 %'!$A240="","",ROWS($A$2:$A240))</f>
        <v/>
      </c>
      <c r="B240">
        <f>IF('COPY 30 %'!$A240="","",'COPY 30 %'!E240)</f>
        <v/>
      </c>
      <c r="C240">
        <f>IF('COPY 30 %'!$A240="","",'COPY 30 %'!F240)</f>
        <v/>
      </c>
      <c r="D240" s="14">
        <f>IF('COPY 30 %'!$A240="","",'COPY 30 %'!I240)</f>
        <v/>
      </c>
      <c r="E240" s="7">
        <f>IF('COPY 30 %'!$A240="","",'COPY 30 %'!O240)</f>
        <v/>
      </c>
      <c r="F240" s="7">
        <f>IF('COPY 30 %'!$A240="","",'COPY 30 %'!L240)</f>
        <v/>
      </c>
      <c r="G240" s="7">
        <f>IF('COPY 30 %'!$A240="","",'COPY 30 %'!S240)</f>
        <v/>
      </c>
      <c r="H240">
        <f>IF('COPY 30 %'!$A240="","",'COPY 30 %'!P240)</f>
        <v/>
      </c>
      <c r="I240">
        <f>IF('COPY 30 %'!$A240="","",'COPY 30 %'!M240)</f>
        <v/>
      </c>
      <c r="J240" s="7">
        <f>IF('COPY 30 %'!$A240="","",'COPY 30 %'!Q240)</f>
        <v/>
      </c>
      <c r="K240" s="7">
        <f>IF('COPY 30 %'!$A240="","",'COPY 30 %'!H240)</f>
        <v/>
      </c>
      <c r="L240" s="7">
        <f>IF('COPY 30 %'!$A240="","",'COPY 30 %'!T240)</f>
        <v/>
      </c>
      <c r="M240">
        <f>IF('COPY 30 %'!$A240="","",'COPY 30 %'!G240)</f>
        <v/>
      </c>
    </row>
    <row r="241">
      <c r="A241">
        <f>IF('COPY 30 %'!$A241="","",ROWS($A$2:$A241))</f>
        <v/>
      </c>
      <c r="B241">
        <f>IF('COPY 30 %'!$A241="","",'COPY 30 %'!E241)</f>
        <v/>
      </c>
      <c r="C241">
        <f>IF('COPY 30 %'!$A241="","",'COPY 30 %'!F241)</f>
        <v/>
      </c>
      <c r="D241" s="14">
        <f>IF('COPY 30 %'!$A241="","",'COPY 30 %'!I241)</f>
        <v/>
      </c>
      <c r="E241" s="7">
        <f>IF('COPY 30 %'!$A241="","",'COPY 30 %'!O241)</f>
        <v/>
      </c>
      <c r="F241" s="7">
        <f>IF('COPY 30 %'!$A241="","",'COPY 30 %'!L241)</f>
        <v/>
      </c>
      <c r="G241" s="7">
        <f>IF('COPY 30 %'!$A241="","",'COPY 30 %'!S241)</f>
        <v/>
      </c>
      <c r="H241">
        <f>IF('COPY 30 %'!$A241="","",'COPY 30 %'!P241)</f>
        <v/>
      </c>
      <c r="I241">
        <f>IF('COPY 30 %'!$A241="","",'COPY 30 %'!M241)</f>
        <v/>
      </c>
      <c r="J241" s="7">
        <f>IF('COPY 30 %'!$A241="","",'COPY 30 %'!Q241)</f>
        <v/>
      </c>
      <c r="K241" s="7">
        <f>IF('COPY 30 %'!$A241="","",'COPY 30 %'!H241)</f>
        <v/>
      </c>
      <c r="L241" s="7">
        <f>IF('COPY 30 %'!$A241="","",'COPY 30 %'!T241)</f>
        <v/>
      </c>
      <c r="M241">
        <f>IF('COPY 30 %'!$A241="","",'COPY 30 %'!G241)</f>
        <v/>
      </c>
    </row>
    <row r="242">
      <c r="A242">
        <f>IF('COPY 30 %'!$A242="","",ROWS($A$2:$A242))</f>
        <v/>
      </c>
      <c r="B242">
        <f>IF('COPY 30 %'!$A242="","",'COPY 30 %'!E242)</f>
        <v/>
      </c>
      <c r="C242">
        <f>IF('COPY 30 %'!$A242="","",'COPY 30 %'!F242)</f>
        <v/>
      </c>
      <c r="D242" s="14">
        <f>IF('COPY 30 %'!$A242="","",'COPY 30 %'!I242)</f>
        <v/>
      </c>
      <c r="E242" s="7">
        <f>IF('COPY 30 %'!$A242="","",'COPY 30 %'!O242)</f>
        <v/>
      </c>
      <c r="F242" s="7">
        <f>IF('COPY 30 %'!$A242="","",'COPY 30 %'!L242)</f>
        <v/>
      </c>
      <c r="G242" s="7">
        <f>IF('COPY 30 %'!$A242="","",'COPY 30 %'!S242)</f>
        <v/>
      </c>
      <c r="H242">
        <f>IF('COPY 30 %'!$A242="","",'COPY 30 %'!P242)</f>
        <v/>
      </c>
      <c r="I242">
        <f>IF('COPY 30 %'!$A242="","",'COPY 30 %'!M242)</f>
        <v/>
      </c>
      <c r="J242" s="7">
        <f>IF('COPY 30 %'!$A242="","",'COPY 30 %'!Q242)</f>
        <v/>
      </c>
      <c r="K242" s="7">
        <f>IF('COPY 30 %'!$A242="","",'COPY 30 %'!H242)</f>
        <v/>
      </c>
      <c r="L242" s="7">
        <f>IF('COPY 30 %'!$A242="","",'COPY 30 %'!T242)</f>
        <v/>
      </c>
      <c r="M242">
        <f>IF('COPY 30 %'!$A242="","",'COPY 30 %'!G242)</f>
        <v/>
      </c>
    </row>
    <row r="243">
      <c r="A243">
        <f>IF('COPY 30 %'!$A243="","",ROWS($A$2:$A243))</f>
        <v/>
      </c>
      <c r="B243">
        <f>IF('COPY 30 %'!$A243="","",'COPY 30 %'!E243)</f>
        <v/>
      </c>
      <c r="C243">
        <f>IF('COPY 30 %'!$A243="","",'COPY 30 %'!F243)</f>
        <v/>
      </c>
      <c r="D243" s="14">
        <f>IF('COPY 30 %'!$A243="","",'COPY 30 %'!I243)</f>
        <v/>
      </c>
      <c r="E243" s="7">
        <f>IF('COPY 30 %'!$A243="","",'COPY 30 %'!O243)</f>
        <v/>
      </c>
      <c r="F243" s="7">
        <f>IF('COPY 30 %'!$A243="","",'COPY 30 %'!L243)</f>
        <v/>
      </c>
      <c r="G243" s="7">
        <f>IF('COPY 30 %'!$A243="","",'COPY 30 %'!S243)</f>
        <v/>
      </c>
      <c r="H243">
        <f>IF('COPY 30 %'!$A243="","",'COPY 30 %'!P243)</f>
        <v/>
      </c>
      <c r="I243">
        <f>IF('COPY 30 %'!$A243="","",'COPY 30 %'!M243)</f>
        <v/>
      </c>
      <c r="J243" s="7">
        <f>IF('COPY 30 %'!$A243="","",'COPY 30 %'!Q243)</f>
        <v/>
      </c>
      <c r="K243" s="7">
        <f>IF('COPY 30 %'!$A243="","",'COPY 30 %'!H243)</f>
        <v/>
      </c>
      <c r="L243" s="7">
        <f>IF('COPY 30 %'!$A243="","",'COPY 30 %'!T243)</f>
        <v/>
      </c>
      <c r="M243">
        <f>IF('COPY 30 %'!$A243="","",'COPY 30 %'!G243)</f>
        <v/>
      </c>
    </row>
    <row r="244">
      <c r="A244">
        <f>IF('COPY 30 %'!$A244="","",ROWS($A$2:$A244))</f>
        <v/>
      </c>
      <c r="B244">
        <f>IF('COPY 30 %'!$A244="","",'COPY 30 %'!E244)</f>
        <v/>
      </c>
      <c r="C244">
        <f>IF('COPY 30 %'!$A244="","",'COPY 30 %'!F244)</f>
        <v/>
      </c>
      <c r="D244" s="14">
        <f>IF('COPY 30 %'!$A244="","",'COPY 30 %'!I244)</f>
        <v/>
      </c>
      <c r="E244" s="7">
        <f>IF('COPY 30 %'!$A244="","",'COPY 30 %'!O244)</f>
        <v/>
      </c>
      <c r="F244" s="7">
        <f>IF('COPY 30 %'!$A244="","",'COPY 30 %'!L244)</f>
        <v/>
      </c>
      <c r="G244" s="7">
        <f>IF('COPY 30 %'!$A244="","",'COPY 30 %'!S244)</f>
        <v/>
      </c>
      <c r="H244">
        <f>IF('COPY 30 %'!$A244="","",'COPY 30 %'!P244)</f>
        <v/>
      </c>
      <c r="I244">
        <f>IF('COPY 30 %'!$A244="","",'COPY 30 %'!M244)</f>
        <v/>
      </c>
      <c r="J244" s="7">
        <f>IF('COPY 30 %'!$A244="","",'COPY 30 %'!Q244)</f>
        <v/>
      </c>
      <c r="K244" s="7">
        <f>IF('COPY 30 %'!$A244="","",'COPY 30 %'!H244)</f>
        <v/>
      </c>
      <c r="L244" s="7">
        <f>IF('COPY 30 %'!$A244="","",'COPY 30 %'!T244)</f>
        <v/>
      </c>
      <c r="M244">
        <f>IF('COPY 30 %'!$A244="","",'COPY 30 %'!G244)</f>
        <v/>
      </c>
    </row>
    <row r="245">
      <c r="A245">
        <f>IF('COPY 30 %'!$A245="","",ROWS($A$2:$A245))</f>
        <v/>
      </c>
      <c r="B245">
        <f>IF('COPY 30 %'!$A245="","",'COPY 30 %'!E245)</f>
        <v/>
      </c>
      <c r="C245">
        <f>IF('COPY 30 %'!$A245="","",'COPY 30 %'!F245)</f>
        <v/>
      </c>
      <c r="D245" s="14">
        <f>IF('COPY 30 %'!$A245="","",'COPY 30 %'!I245)</f>
        <v/>
      </c>
      <c r="E245" s="7">
        <f>IF('COPY 30 %'!$A245="","",'COPY 30 %'!O245)</f>
        <v/>
      </c>
      <c r="F245" s="7">
        <f>IF('COPY 30 %'!$A245="","",'COPY 30 %'!L245)</f>
        <v/>
      </c>
      <c r="G245" s="7">
        <f>IF('COPY 30 %'!$A245="","",'COPY 30 %'!S245)</f>
        <v/>
      </c>
      <c r="H245">
        <f>IF('COPY 30 %'!$A245="","",'COPY 30 %'!P245)</f>
        <v/>
      </c>
      <c r="I245">
        <f>IF('COPY 30 %'!$A245="","",'COPY 30 %'!M245)</f>
        <v/>
      </c>
      <c r="J245" s="7">
        <f>IF('COPY 30 %'!$A245="","",'COPY 30 %'!Q245)</f>
        <v/>
      </c>
      <c r="K245" s="7">
        <f>IF('COPY 30 %'!$A245="","",'COPY 30 %'!H245)</f>
        <v/>
      </c>
      <c r="L245" s="7">
        <f>IF('COPY 30 %'!$A245="","",'COPY 30 %'!T245)</f>
        <v/>
      </c>
      <c r="M245">
        <f>IF('COPY 30 %'!$A245="","",'COPY 30 %'!G245)</f>
        <v/>
      </c>
    </row>
    <row r="246">
      <c r="A246">
        <f>IF('COPY 30 %'!$A246="","",ROWS($A$2:$A246))</f>
        <v/>
      </c>
      <c r="B246">
        <f>IF('COPY 30 %'!$A246="","",'COPY 30 %'!E246)</f>
        <v/>
      </c>
      <c r="C246">
        <f>IF('COPY 30 %'!$A246="","",'COPY 30 %'!F246)</f>
        <v/>
      </c>
      <c r="D246" s="14">
        <f>IF('COPY 30 %'!$A246="","",'COPY 30 %'!I246)</f>
        <v/>
      </c>
      <c r="E246" s="7">
        <f>IF('COPY 30 %'!$A246="","",'COPY 30 %'!O246)</f>
        <v/>
      </c>
      <c r="F246" s="7">
        <f>IF('COPY 30 %'!$A246="","",'COPY 30 %'!L246)</f>
        <v/>
      </c>
      <c r="G246" s="7">
        <f>IF('COPY 30 %'!$A246="","",'COPY 30 %'!S246)</f>
        <v/>
      </c>
      <c r="H246">
        <f>IF('COPY 30 %'!$A246="","",'COPY 30 %'!P246)</f>
        <v/>
      </c>
      <c r="I246">
        <f>IF('COPY 30 %'!$A246="","",'COPY 30 %'!M246)</f>
        <v/>
      </c>
      <c r="J246" s="7">
        <f>IF('COPY 30 %'!$A246="","",'COPY 30 %'!Q246)</f>
        <v/>
      </c>
      <c r="K246" s="7">
        <f>IF('COPY 30 %'!$A246="","",'COPY 30 %'!H246)</f>
        <v/>
      </c>
      <c r="L246" s="7">
        <f>IF('COPY 30 %'!$A246="","",'COPY 30 %'!T246)</f>
        <v/>
      </c>
      <c r="M246">
        <f>IF('COPY 30 %'!$A246="","",'COPY 30 %'!G246)</f>
        <v/>
      </c>
    </row>
    <row r="247">
      <c r="A247">
        <f>IF('COPY 30 %'!$A247="","",ROWS($A$2:$A247))</f>
        <v/>
      </c>
      <c r="B247">
        <f>IF('COPY 30 %'!$A247="","",'COPY 30 %'!E247)</f>
        <v/>
      </c>
      <c r="C247">
        <f>IF('COPY 30 %'!$A247="","",'COPY 30 %'!F247)</f>
        <v/>
      </c>
      <c r="D247" s="14">
        <f>IF('COPY 30 %'!$A247="","",'COPY 30 %'!I247)</f>
        <v/>
      </c>
      <c r="E247" s="7">
        <f>IF('COPY 30 %'!$A247="","",'COPY 30 %'!O247)</f>
        <v/>
      </c>
      <c r="F247" s="7">
        <f>IF('COPY 30 %'!$A247="","",'COPY 30 %'!L247)</f>
        <v/>
      </c>
      <c r="G247" s="7">
        <f>IF('COPY 30 %'!$A247="","",'COPY 30 %'!S247)</f>
        <v/>
      </c>
      <c r="H247">
        <f>IF('COPY 30 %'!$A247="","",'COPY 30 %'!P247)</f>
        <v/>
      </c>
      <c r="I247">
        <f>IF('COPY 30 %'!$A247="","",'COPY 30 %'!M247)</f>
        <v/>
      </c>
      <c r="J247" s="7">
        <f>IF('COPY 30 %'!$A247="","",'COPY 30 %'!Q247)</f>
        <v/>
      </c>
      <c r="K247" s="7">
        <f>IF('COPY 30 %'!$A247="","",'COPY 30 %'!H247)</f>
        <v/>
      </c>
      <c r="L247" s="7">
        <f>IF('COPY 30 %'!$A247="","",'COPY 30 %'!T247)</f>
        <v/>
      </c>
      <c r="M247">
        <f>IF('COPY 30 %'!$A247="","",'COPY 30 %'!G247)</f>
        <v/>
      </c>
    </row>
    <row r="248">
      <c r="A248">
        <f>IF('COPY 30 %'!$A248="","",ROWS($A$2:$A248))</f>
        <v/>
      </c>
      <c r="B248">
        <f>IF('COPY 30 %'!$A248="","",'COPY 30 %'!E248)</f>
        <v/>
      </c>
      <c r="C248">
        <f>IF('COPY 30 %'!$A248="","",'COPY 30 %'!F248)</f>
        <v/>
      </c>
      <c r="D248" s="14">
        <f>IF('COPY 30 %'!$A248="","",'COPY 30 %'!I248)</f>
        <v/>
      </c>
      <c r="E248" s="7">
        <f>IF('COPY 30 %'!$A248="","",'COPY 30 %'!O248)</f>
        <v/>
      </c>
      <c r="F248" s="7">
        <f>IF('COPY 30 %'!$A248="","",'COPY 30 %'!L248)</f>
        <v/>
      </c>
      <c r="G248" s="7">
        <f>IF('COPY 30 %'!$A248="","",'COPY 30 %'!S248)</f>
        <v/>
      </c>
      <c r="H248">
        <f>IF('COPY 30 %'!$A248="","",'COPY 30 %'!P248)</f>
        <v/>
      </c>
      <c r="I248">
        <f>IF('COPY 30 %'!$A248="","",'COPY 30 %'!M248)</f>
        <v/>
      </c>
      <c r="J248" s="7">
        <f>IF('COPY 30 %'!$A248="","",'COPY 30 %'!Q248)</f>
        <v/>
      </c>
      <c r="K248" s="7">
        <f>IF('COPY 30 %'!$A248="","",'COPY 30 %'!H248)</f>
        <v/>
      </c>
      <c r="L248" s="7">
        <f>IF('COPY 30 %'!$A248="","",'COPY 30 %'!T248)</f>
        <v/>
      </c>
      <c r="M248">
        <f>IF('COPY 30 %'!$A248="","",'COPY 30 %'!G248)</f>
        <v/>
      </c>
    </row>
    <row r="249">
      <c r="A249">
        <f>IF('COPY 30 %'!$A249="","",ROWS($A$2:$A249))</f>
        <v/>
      </c>
      <c r="B249">
        <f>IF('COPY 30 %'!$A249="","",'COPY 30 %'!E249)</f>
        <v/>
      </c>
      <c r="C249">
        <f>IF('COPY 30 %'!$A249="","",'COPY 30 %'!F249)</f>
        <v/>
      </c>
      <c r="D249" s="14">
        <f>IF('COPY 30 %'!$A249="","",'COPY 30 %'!I249)</f>
        <v/>
      </c>
      <c r="E249" s="7">
        <f>IF('COPY 30 %'!$A249="","",'COPY 30 %'!O249)</f>
        <v/>
      </c>
      <c r="F249" s="7">
        <f>IF('COPY 30 %'!$A249="","",'COPY 30 %'!L249)</f>
        <v/>
      </c>
      <c r="G249" s="7">
        <f>IF('COPY 30 %'!$A249="","",'COPY 30 %'!S249)</f>
        <v/>
      </c>
      <c r="H249">
        <f>IF('COPY 30 %'!$A249="","",'COPY 30 %'!P249)</f>
        <v/>
      </c>
      <c r="I249">
        <f>IF('COPY 30 %'!$A249="","",'COPY 30 %'!M249)</f>
        <v/>
      </c>
      <c r="J249" s="7">
        <f>IF('COPY 30 %'!$A249="","",'COPY 30 %'!Q249)</f>
        <v/>
      </c>
      <c r="K249" s="7">
        <f>IF('COPY 30 %'!$A249="","",'COPY 30 %'!H249)</f>
        <v/>
      </c>
      <c r="L249" s="7">
        <f>IF('COPY 30 %'!$A249="","",'COPY 30 %'!T249)</f>
        <v/>
      </c>
      <c r="M249">
        <f>IF('COPY 30 %'!$A249="","",'COPY 30 %'!G249)</f>
        <v/>
      </c>
    </row>
    <row r="250">
      <c r="A250">
        <f>IF('COPY 30 %'!$A250="","",ROWS($A$2:$A250))</f>
        <v/>
      </c>
      <c r="B250">
        <f>IF('COPY 30 %'!$A250="","",'COPY 30 %'!E250)</f>
        <v/>
      </c>
      <c r="C250">
        <f>IF('COPY 30 %'!$A250="","",'COPY 30 %'!F250)</f>
        <v/>
      </c>
      <c r="D250" s="14">
        <f>IF('COPY 30 %'!$A250="","",'COPY 30 %'!I250)</f>
        <v/>
      </c>
      <c r="E250" s="7">
        <f>IF('COPY 30 %'!$A250="","",'COPY 30 %'!O250)</f>
        <v/>
      </c>
      <c r="F250" s="7">
        <f>IF('COPY 30 %'!$A250="","",'COPY 30 %'!L250)</f>
        <v/>
      </c>
      <c r="G250" s="7">
        <f>IF('COPY 30 %'!$A250="","",'COPY 30 %'!S250)</f>
        <v/>
      </c>
      <c r="H250">
        <f>IF('COPY 30 %'!$A250="","",'COPY 30 %'!P250)</f>
        <v/>
      </c>
      <c r="I250">
        <f>IF('COPY 30 %'!$A250="","",'COPY 30 %'!M250)</f>
        <v/>
      </c>
      <c r="J250" s="7">
        <f>IF('COPY 30 %'!$A250="","",'COPY 30 %'!Q250)</f>
        <v/>
      </c>
      <c r="K250" s="7">
        <f>IF('COPY 30 %'!$A250="","",'COPY 30 %'!H250)</f>
        <v/>
      </c>
      <c r="L250" s="7">
        <f>IF('COPY 30 %'!$A250="","",'COPY 30 %'!T250)</f>
        <v/>
      </c>
      <c r="M250">
        <f>IF('COPY 30 %'!$A250="","",'COPY 30 %'!G250)</f>
        <v/>
      </c>
    </row>
    <row r="251">
      <c r="A251">
        <f>IF('COPY 30 %'!$A251="","",ROWS($A$2:$A251))</f>
        <v/>
      </c>
      <c r="B251">
        <f>IF('COPY 30 %'!$A251="","",'COPY 30 %'!E251)</f>
        <v/>
      </c>
      <c r="C251">
        <f>IF('COPY 30 %'!$A251="","",'COPY 30 %'!F251)</f>
        <v/>
      </c>
      <c r="D251" s="14">
        <f>IF('COPY 30 %'!$A251="","",'COPY 30 %'!I251)</f>
        <v/>
      </c>
      <c r="E251" s="7">
        <f>IF('COPY 30 %'!$A251="","",'COPY 30 %'!O251)</f>
        <v/>
      </c>
      <c r="F251" s="7">
        <f>IF('COPY 30 %'!$A251="","",'COPY 30 %'!L251)</f>
        <v/>
      </c>
      <c r="G251" s="7">
        <f>IF('COPY 30 %'!$A251="","",'COPY 30 %'!S251)</f>
        <v/>
      </c>
      <c r="H251">
        <f>IF('COPY 30 %'!$A251="","",'COPY 30 %'!P251)</f>
        <v/>
      </c>
      <c r="I251">
        <f>IF('COPY 30 %'!$A251="","",'COPY 30 %'!M251)</f>
        <v/>
      </c>
      <c r="J251" s="7">
        <f>IF('COPY 30 %'!$A251="","",'COPY 30 %'!Q251)</f>
        <v/>
      </c>
      <c r="K251" s="7">
        <f>IF('COPY 30 %'!$A251="","",'COPY 30 %'!H251)</f>
        <v/>
      </c>
      <c r="L251" s="7">
        <f>IF('COPY 30 %'!$A251="","",'COPY 30 %'!T251)</f>
        <v/>
      </c>
      <c r="M251">
        <f>IF('COPY 30 %'!$A251="","",'COPY 30 %'!G251)</f>
        <v/>
      </c>
    </row>
    <row r="252">
      <c r="A252">
        <f>IF('COPY 30 %'!$A252="","",ROWS($A$2:$A252))</f>
        <v/>
      </c>
      <c r="B252">
        <f>IF('COPY 30 %'!$A252="","",'COPY 30 %'!E252)</f>
        <v/>
      </c>
      <c r="C252">
        <f>IF('COPY 30 %'!$A252="","",'COPY 30 %'!F252)</f>
        <v/>
      </c>
      <c r="D252" s="14">
        <f>IF('COPY 30 %'!$A252="","",'COPY 30 %'!I252)</f>
        <v/>
      </c>
      <c r="E252" s="7">
        <f>IF('COPY 30 %'!$A252="","",'COPY 30 %'!O252)</f>
        <v/>
      </c>
      <c r="F252" s="7">
        <f>IF('COPY 30 %'!$A252="","",'COPY 30 %'!L252)</f>
        <v/>
      </c>
      <c r="G252" s="7">
        <f>IF('COPY 30 %'!$A252="","",'COPY 30 %'!S252)</f>
        <v/>
      </c>
      <c r="H252">
        <f>IF('COPY 30 %'!$A252="","",'COPY 30 %'!P252)</f>
        <v/>
      </c>
      <c r="I252">
        <f>IF('COPY 30 %'!$A252="","",'COPY 30 %'!M252)</f>
        <v/>
      </c>
      <c r="J252" s="7">
        <f>IF('COPY 30 %'!$A252="","",'COPY 30 %'!Q252)</f>
        <v/>
      </c>
      <c r="K252" s="7">
        <f>IF('COPY 30 %'!$A252="","",'COPY 30 %'!H252)</f>
        <v/>
      </c>
      <c r="L252" s="7">
        <f>IF('COPY 30 %'!$A252="","",'COPY 30 %'!T252)</f>
        <v/>
      </c>
      <c r="M252">
        <f>IF('COPY 30 %'!$A252="","",'COPY 30 %'!G252)</f>
        <v/>
      </c>
    </row>
    <row r="253">
      <c r="A253">
        <f>IF('COPY 30 %'!$A253="","",ROWS($A$2:$A253))</f>
        <v/>
      </c>
      <c r="B253">
        <f>IF('COPY 30 %'!$A253="","",'COPY 30 %'!E253)</f>
        <v/>
      </c>
      <c r="C253">
        <f>IF('COPY 30 %'!$A253="","",'COPY 30 %'!F253)</f>
        <v/>
      </c>
      <c r="D253" s="14">
        <f>IF('COPY 30 %'!$A253="","",'COPY 30 %'!I253)</f>
        <v/>
      </c>
      <c r="E253" s="7">
        <f>IF('COPY 30 %'!$A253="","",'COPY 30 %'!O253)</f>
        <v/>
      </c>
      <c r="F253" s="7">
        <f>IF('COPY 30 %'!$A253="","",'COPY 30 %'!L253)</f>
        <v/>
      </c>
      <c r="G253" s="7">
        <f>IF('COPY 30 %'!$A253="","",'COPY 30 %'!S253)</f>
        <v/>
      </c>
      <c r="H253">
        <f>IF('COPY 30 %'!$A253="","",'COPY 30 %'!P253)</f>
        <v/>
      </c>
      <c r="I253">
        <f>IF('COPY 30 %'!$A253="","",'COPY 30 %'!M253)</f>
        <v/>
      </c>
      <c r="J253" s="7">
        <f>IF('COPY 30 %'!$A253="","",'COPY 30 %'!Q253)</f>
        <v/>
      </c>
      <c r="K253" s="7">
        <f>IF('COPY 30 %'!$A253="","",'COPY 30 %'!H253)</f>
        <v/>
      </c>
      <c r="L253" s="7">
        <f>IF('COPY 30 %'!$A253="","",'COPY 30 %'!T253)</f>
        <v/>
      </c>
      <c r="M253">
        <f>IF('COPY 30 %'!$A253="","",'COPY 30 %'!G253)</f>
        <v/>
      </c>
    </row>
    <row r="254">
      <c r="A254">
        <f>IF('COPY 30 %'!$A254="","",ROWS($A$2:$A254))</f>
        <v/>
      </c>
      <c r="B254">
        <f>IF('COPY 30 %'!$A254="","",'COPY 30 %'!E254)</f>
        <v/>
      </c>
      <c r="C254">
        <f>IF('COPY 30 %'!$A254="","",'COPY 30 %'!F254)</f>
        <v/>
      </c>
      <c r="D254" s="14">
        <f>IF('COPY 30 %'!$A254="","",'COPY 30 %'!I254)</f>
        <v/>
      </c>
      <c r="E254" s="7">
        <f>IF('COPY 30 %'!$A254="","",'COPY 30 %'!O254)</f>
        <v/>
      </c>
      <c r="F254" s="7">
        <f>IF('COPY 30 %'!$A254="","",'COPY 30 %'!L254)</f>
        <v/>
      </c>
      <c r="G254" s="7">
        <f>IF('COPY 30 %'!$A254="","",'COPY 30 %'!S254)</f>
        <v/>
      </c>
      <c r="H254">
        <f>IF('COPY 30 %'!$A254="","",'COPY 30 %'!P254)</f>
        <v/>
      </c>
      <c r="I254">
        <f>IF('COPY 30 %'!$A254="","",'COPY 30 %'!M254)</f>
        <v/>
      </c>
      <c r="J254" s="7">
        <f>IF('COPY 30 %'!$A254="","",'COPY 30 %'!Q254)</f>
        <v/>
      </c>
      <c r="K254" s="7">
        <f>IF('COPY 30 %'!$A254="","",'COPY 30 %'!H254)</f>
        <v/>
      </c>
      <c r="L254" s="7">
        <f>IF('COPY 30 %'!$A254="","",'COPY 30 %'!T254)</f>
        <v/>
      </c>
      <c r="M254">
        <f>IF('COPY 30 %'!$A254="","",'COPY 30 %'!G254)</f>
        <v/>
      </c>
    </row>
    <row r="255">
      <c r="A255">
        <f>IF('COPY 30 %'!$A255="","",ROWS($A$2:$A255))</f>
        <v/>
      </c>
      <c r="B255">
        <f>IF('COPY 30 %'!$A255="","",'COPY 30 %'!E255)</f>
        <v/>
      </c>
      <c r="C255">
        <f>IF('COPY 30 %'!$A255="","",'COPY 30 %'!F255)</f>
        <v/>
      </c>
      <c r="D255" s="14">
        <f>IF('COPY 30 %'!$A255="","",'COPY 30 %'!I255)</f>
        <v/>
      </c>
      <c r="E255" s="7">
        <f>IF('COPY 30 %'!$A255="","",'COPY 30 %'!O255)</f>
        <v/>
      </c>
      <c r="F255" s="7">
        <f>IF('COPY 30 %'!$A255="","",'COPY 30 %'!L255)</f>
        <v/>
      </c>
      <c r="G255" s="7">
        <f>IF('COPY 30 %'!$A255="","",'COPY 30 %'!S255)</f>
        <v/>
      </c>
      <c r="H255">
        <f>IF('COPY 30 %'!$A255="","",'COPY 30 %'!P255)</f>
        <v/>
      </c>
      <c r="I255">
        <f>IF('COPY 30 %'!$A255="","",'COPY 30 %'!M255)</f>
        <v/>
      </c>
      <c r="J255" s="7">
        <f>IF('COPY 30 %'!$A255="","",'COPY 30 %'!Q255)</f>
        <v/>
      </c>
      <c r="K255" s="7">
        <f>IF('COPY 30 %'!$A255="","",'COPY 30 %'!H255)</f>
        <v/>
      </c>
      <c r="L255" s="7">
        <f>IF('COPY 30 %'!$A255="","",'COPY 30 %'!T255)</f>
        <v/>
      </c>
      <c r="M255">
        <f>IF('COPY 30 %'!$A255="","",'COPY 30 %'!G255)</f>
        <v/>
      </c>
    </row>
    <row r="256">
      <c r="A256">
        <f>IF('COPY 30 %'!$A256="","",ROWS($A$2:$A256))</f>
        <v/>
      </c>
      <c r="B256">
        <f>IF('COPY 30 %'!$A256="","",'COPY 30 %'!E256)</f>
        <v/>
      </c>
      <c r="C256">
        <f>IF('COPY 30 %'!$A256="","",'COPY 30 %'!F256)</f>
        <v/>
      </c>
      <c r="D256" s="14">
        <f>IF('COPY 30 %'!$A256="","",'COPY 30 %'!I256)</f>
        <v/>
      </c>
      <c r="E256" s="7">
        <f>IF('COPY 30 %'!$A256="","",'COPY 30 %'!O256)</f>
        <v/>
      </c>
      <c r="F256" s="7">
        <f>IF('COPY 30 %'!$A256="","",'COPY 30 %'!L256)</f>
        <v/>
      </c>
      <c r="G256" s="7">
        <f>IF('COPY 30 %'!$A256="","",'COPY 30 %'!S256)</f>
        <v/>
      </c>
      <c r="H256">
        <f>IF('COPY 30 %'!$A256="","",'COPY 30 %'!P256)</f>
        <v/>
      </c>
      <c r="I256">
        <f>IF('COPY 30 %'!$A256="","",'COPY 30 %'!M256)</f>
        <v/>
      </c>
      <c r="J256" s="7">
        <f>IF('COPY 30 %'!$A256="","",'COPY 30 %'!Q256)</f>
        <v/>
      </c>
      <c r="K256" s="7">
        <f>IF('COPY 30 %'!$A256="","",'COPY 30 %'!H256)</f>
        <v/>
      </c>
      <c r="L256" s="7">
        <f>IF('COPY 30 %'!$A256="","",'COPY 30 %'!T256)</f>
        <v/>
      </c>
      <c r="M256">
        <f>IF('COPY 30 %'!$A256="","",'COPY 30 %'!G256)</f>
        <v/>
      </c>
    </row>
    <row r="257">
      <c r="A257">
        <f>IF('COPY 30 %'!$A257="","",ROWS($A$2:$A257))</f>
        <v/>
      </c>
      <c r="B257">
        <f>IF('COPY 30 %'!$A257="","",'COPY 30 %'!E257)</f>
        <v/>
      </c>
      <c r="C257">
        <f>IF('COPY 30 %'!$A257="","",'COPY 30 %'!F257)</f>
        <v/>
      </c>
      <c r="D257" s="14">
        <f>IF('COPY 30 %'!$A257="","",'COPY 30 %'!I257)</f>
        <v/>
      </c>
      <c r="E257" s="7">
        <f>IF('COPY 30 %'!$A257="","",'COPY 30 %'!O257)</f>
        <v/>
      </c>
      <c r="F257" s="7">
        <f>IF('COPY 30 %'!$A257="","",'COPY 30 %'!L257)</f>
        <v/>
      </c>
      <c r="G257" s="7">
        <f>IF('COPY 30 %'!$A257="","",'COPY 30 %'!S257)</f>
        <v/>
      </c>
      <c r="H257">
        <f>IF('COPY 30 %'!$A257="","",'COPY 30 %'!P257)</f>
        <v/>
      </c>
      <c r="I257">
        <f>IF('COPY 30 %'!$A257="","",'COPY 30 %'!M257)</f>
        <v/>
      </c>
      <c r="J257" s="7">
        <f>IF('COPY 30 %'!$A257="","",'COPY 30 %'!Q257)</f>
        <v/>
      </c>
      <c r="K257" s="7">
        <f>IF('COPY 30 %'!$A257="","",'COPY 30 %'!H257)</f>
        <v/>
      </c>
      <c r="L257" s="7">
        <f>IF('COPY 30 %'!$A257="","",'COPY 30 %'!T257)</f>
        <v/>
      </c>
      <c r="M257">
        <f>IF('COPY 30 %'!$A257="","",'COPY 30 %'!G257)</f>
        <v/>
      </c>
    </row>
    <row r="258">
      <c r="A258">
        <f>IF('COPY 30 %'!$A258="","",ROWS($A$2:$A258))</f>
        <v/>
      </c>
      <c r="B258">
        <f>IF('COPY 30 %'!$A258="","",'COPY 30 %'!E258)</f>
        <v/>
      </c>
      <c r="C258">
        <f>IF('COPY 30 %'!$A258="","",'COPY 30 %'!F258)</f>
        <v/>
      </c>
      <c r="D258" s="14">
        <f>IF('COPY 30 %'!$A258="","",'COPY 30 %'!I258)</f>
        <v/>
      </c>
      <c r="E258" s="7">
        <f>IF('COPY 30 %'!$A258="","",'COPY 30 %'!O258)</f>
        <v/>
      </c>
      <c r="F258" s="7">
        <f>IF('COPY 30 %'!$A258="","",'COPY 30 %'!L258)</f>
        <v/>
      </c>
      <c r="G258" s="7">
        <f>IF('COPY 30 %'!$A258="","",'COPY 30 %'!S258)</f>
        <v/>
      </c>
      <c r="H258">
        <f>IF('COPY 30 %'!$A258="","",'COPY 30 %'!P258)</f>
        <v/>
      </c>
      <c r="I258">
        <f>IF('COPY 30 %'!$A258="","",'COPY 30 %'!M258)</f>
        <v/>
      </c>
      <c r="J258" s="7">
        <f>IF('COPY 30 %'!$A258="","",'COPY 30 %'!Q258)</f>
        <v/>
      </c>
      <c r="K258" s="7">
        <f>IF('COPY 30 %'!$A258="","",'COPY 30 %'!H258)</f>
        <v/>
      </c>
      <c r="L258" s="7">
        <f>IF('COPY 30 %'!$A258="","",'COPY 30 %'!T258)</f>
        <v/>
      </c>
      <c r="M258">
        <f>IF('COPY 30 %'!$A258="","",'COPY 30 %'!G258)</f>
        <v/>
      </c>
    </row>
    <row r="259">
      <c r="A259">
        <f>IF('COPY 30 %'!$A259="","",ROWS($A$2:$A259))</f>
        <v/>
      </c>
      <c r="B259">
        <f>IF('COPY 30 %'!$A259="","",'COPY 30 %'!E259)</f>
        <v/>
      </c>
      <c r="C259">
        <f>IF('COPY 30 %'!$A259="","",'COPY 30 %'!F259)</f>
        <v/>
      </c>
      <c r="D259" s="14">
        <f>IF('COPY 30 %'!$A259="","",'COPY 30 %'!I259)</f>
        <v/>
      </c>
      <c r="E259" s="7">
        <f>IF('COPY 30 %'!$A259="","",'COPY 30 %'!O259)</f>
        <v/>
      </c>
      <c r="F259" s="7">
        <f>IF('COPY 30 %'!$A259="","",'COPY 30 %'!L259)</f>
        <v/>
      </c>
      <c r="G259" s="7">
        <f>IF('COPY 30 %'!$A259="","",'COPY 30 %'!S259)</f>
        <v/>
      </c>
      <c r="H259">
        <f>IF('COPY 30 %'!$A259="","",'COPY 30 %'!P259)</f>
        <v/>
      </c>
      <c r="I259">
        <f>IF('COPY 30 %'!$A259="","",'COPY 30 %'!M259)</f>
        <v/>
      </c>
      <c r="J259" s="7">
        <f>IF('COPY 30 %'!$A259="","",'COPY 30 %'!Q259)</f>
        <v/>
      </c>
      <c r="K259" s="7">
        <f>IF('COPY 30 %'!$A259="","",'COPY 30 %'!H259)</f>
        <v/>
      </c>
      <c r="L259" s="7">
        <f>IF('COPY 30 %'!$A259="","",'COPY 30 %'!T259)</f>
        <v/>
      </c>
      <c r="M259">
        <f>IF('COPY 30 %'!$A259="","",'COPY 30 %'!G259)</f>
        <v/>
      </c>
    </row>
    <row r="260">
      <c r="A260">
        <f>IF('COPY 30 %'!$A260="","",ROWS($A$2:$A260))</f>
        <v/>
      </c>
      <c r="B260">
        <f>IF('COPY 30 %'!$A260="","",'COPY 30 %'!E260)</f>
        <v/>
      </c>
      <c r="C260">
        <f>IF('COPY 30 %'!$A260="","",'COPY 30 %'!F260)</f>
        <v/>
      </c>
      <c r="D260" s="14">
        <f>IF('COPY 30 %'!$A260="","",'COPY 30 %'!I260)</f>
        <v/>
      </c>
      <c r="E260" s="7">
        <f>IF('COPY 30 %'!$A260="","",'COPY 30 %'!O260)</f>
        <v/>
      </c>
      <c r="F260" s="7">
        <f>IF('COPY 30 %'!$A260="","",'COPY 30 %'!L260)</f>
        <v/>
      </c>
      <c r="G260" s="7">
        <f>IF('COPY 30 %'!$A260="","",'COPY 30 %'!S260)</f>
        <v/>
      </c>
      <c r="H260">
        <f>IF('COPY 30 %'!$A260="","",'COPY 30 %'!P260)</f>
        <v/>
      </c>
      <c r="I260">
        <f>IF('COPY 30 %'!$A260="","",'COPY 30 %'!M260)</f>
        <v/>
      </c>
      <c r="J260" s="7">
        <f>IF('COPY 30 %'!$A260="","",'COPY 30 %'!Q260)</f>
        <v/>
      </c>
      <c r="K260" s="7">
        <f>IF('COPY 30 %'!$A260="","",'COPY 30 %'!H260)</f>
        <v/>
      </c>
      <c r="L260" s="7">
        <f>IF('COPY 30 %'!$A260="","",'COPY 30 %'!T260)</f>
        <v/>
      </c>
      <c r="M260">
        <f>IF('COPY 30 %'!$A260="","",'COPY 30 %'!G260)</f>
        <v/>
      </c>
    </row>
    <row r="261">
      <c r="A261">
        <f>IF('COPY 30 %'!$A261="","",ROWS($A$2:$A261))</f>
        <v/>
      </c>
      <c r="B261">
        <f>IF('COPY 30 %'!$A261="","",'COPY 30 %'!E261)</f>
        <v/>
      </c>
      <c r="C261">
        <f>IF('COPY 30 %'!$A261="","",'COPY 30 %'!F261)</f>
        <v/>
      </c>
      <c r="D261" s="14">
        <f>IF('COPY 30 %'!$A261="","",'COPY 30 %'!I261)</f>
        <v/>
      </c>
      <c r="E261" s="7">
        <f>IF('COPY 30 %'!$A261="","",'COPY 30 %'!O261)</f>
        <v/>
      </c>
      <c r="F261" s="7">
        <f>IF('COPY 30 %'!$A261="","",'COPY 30 %'!L261)</f>
        <v/>
      </c>
      <c r="G261" s="7">
        <f>IF('COPY 30 %'!$A261="","",'COPY 30 %'!S261)</f>
        <v/>
      </c>
      <c r="H261">
        <f>IF('COPY 30 %'!$A261="","",'COPY 30 %'!P261)</f>
        <v/>
      </c>
      <c r="I261">
        <f>IF('COPY 30 %'!$A261="","",'COPY 30 %'!M261)</f>
        <v/>
      </c>
      <c r="J261" s="7">
        <f>IF('COPY 30 %'!$A261="","",'COPY 30 %'!Q261)</f>
        <v/>
      </c>
      <c r="K261" s="7">
        <f>IF('COPY 30 %'!$A261="","",'COPY 30 %'!H261)</f>
        <v/>
      </c>
      <c r="L261" s="7">
        <f>IF('COPY 30 %'!$A261="","",'COPY 30 %'!T261)</f>
        <v/>
      </c>
      <c r="M261">
        <f>IF('COPY 30 %'!$A261="","",'COPY 30 %'!G261)</f>
        <v/>
      </c>
    </row>
    <row r="262">
      <c r="A262">
        <f>IF('COPY 30 %'!$A262="","",ROWS($A$2:$A262))</f>
        <v/>
      </c>
      <c r="B262">
        <f>IF('COPY 30 %'!$A262="","",'COPY 30 %'!E262)</f>
        <v/>
      </c>
      <c r="C262">
        <f>IF('COPY 30 %'!$A262="","",'COPY 30 %'!F262)</f>
        <v/>
      </c>
      <c r="D262" s="14">
        <f>IF('COPY 30 %'!$A262="","",'COPY 30 %'!I262)</f>
        <v/>
      </c>
      <c r="E262" s="7">
        <f>IF('COPY 30 %'!$A262="","",'COPY 30 %'!O262)</f>
        <v/>
      </c>
      <c r="F262" s="7">
        <f>IF('COPY 30 %'!$A262="","",'COPY 30 %'!L262)</f>
        <v/>
      </c>
      <c r="G262" s="7">
        <f>IF('COPY 30 %'!$A262="","",'COPY 30 %'!S262)</f>
        <v/>
      </c>
      <c r="H262">
        <f>IF('COPY 30 %'!$A262="","",'COPY 30 %'!P262)</f>
        <v/>
      </c>
      <c r="I262">
        <f>IF('COPY 30 %'!$A262="","",'COPY 30 %'!M262)</f>
        <v/>
      </c>
      <c r="J262" s="7">
        <f>IF('COPY 30 %'!$A262="","",'COPY 30 %'!Q262)</f>
        <v/>
      </c>
      <c r="K262" s="7">
        <f>IF('COPY 30 %'!$A262="","",'COPY 30 %'!H262)</f>
        <v/>
      </c>
      <c r="L262" s="7">
        <f>IF('COPY 30 %'!$A262="","",'COPY 30 %'!T262)</f>
        <v/>
      </c>
      <c r="M262">
        <f>IF('COPY 30 %'!$A262="","",'COPY 30 %'!G262)</f>
        <v/>
      </c>
    </row>
    <row r="263">
      <c r="A263">
        <f>IF('COPY 30 %'!$A263="","",ROWS($A$2:$A263))</f>
        <v/>
      </c>
      <c r="B263">
        <f>IF('COPY 30 %'!$A263="","",'COPY 30 %'!E263)</f>
        <v/>
      </c>
      <c r="C263">
        <f>IF('COPY 30 %'!$A263="","",'COPY 30 %'!F263)</f>
        <v/>
      </c>
      <c r="D263" s="14">
        <f>IF('COPY 30 %'!$A263="","",'COPY 30 %'!I263)</f>
        <v/>
      </c>
      <c r="E263" s="7">
        <f>IF('COPY 30 %'!$A263="","",'COPY 30 %'!O263)</f>
        <v/>
      </c>
      <c r="F263" s="7">
        <f>IF('COPY 30 %'!$A263="","",'COPY 30 %'!L263)</f>
        <v/>
      </c>
      <c r="G263" s="7">
        <f>IF('COPY 30 %'!$A263="","",'COPY 30 %'!S263)</f>
        <v/>
      </c>
      <c r="H263">
        <f>IF('COPY 30 %'!$A263="","",'COPY 30 %'!P263)</f>
        <v/>
      </c>
      <c r="I263">
        <f>IF('COPY 30 %'!$A263="","",'COPY 30 %'!M263)</f>
        <v/>
      </c>
      <c r="J263" s="7">
        <f>IF('COPY 30 %'!$A263="","",'COPY 30 %'!Q263)</f>
        <v/>
      </c>
      <c r="K263" s="7">
        <f>IF('COPY 30 %'!$A263="","",'COPY 30 %'!H263)</f>
        <v/>
      </c>
      <c r="L263" s="7">
        <f>IF('COPY 30 %'!$A263="","",'COPY 30 %'!T263)</f>
        <v/>
      </c>
      <c r="M263">
        <f>IF('COPY 30 %'!$A263="","",'COPY 30 %'!G263)</f>
        <v/>
      </c>
    </row>
    <row r="264">
      <c r="A264">
        <f>IF('COPY 30 %'!$A264="","",ROWS($A$2:$A264))</f>
        <v/>
      </c>
      <c r="B264">
        <f>IF('COPY 30 %'!$A264="","",'COPY 30 %'!E264)</f>
        <v/>
      </c>
      <c r="C264">
        <f>IF('COPY 30 %'!$A264="","",'COPY 30 %'!F264)</f>
        <v/>
      </c>
      <c r="D264" s="14">
        <f>IF('COPY 30 %'!$A264="","",'COPY 30 %'!I264)</f>
        <v/>
      </c>
      <c r="E264" s="7">
        <f>IF('COPY 30 %'!$A264="","",'COPY 30 %'!O264)</f>
        <v/>
      </c>
      <c r="F264" s="7">
        <f>IF('COPY 30 %'!$A264="","",'COPY 30 %'!L264)</f>
        <v/>
      </c>
      <c r="G264" s="7">
        <f>IF('COPY 30 %'!$A264="","",'COPY 30 %'!S264)</f>
        <v/>
      </c>
      <c r="H264">
        <f>IF('COPY 30 %'!$A264="","",'COPY 30 %'!P264)</f>
        <v/>
      </c>
      <c r="I264">
        <f>IF('COPY 30 %'!$A264="","",'COPY 30 %'!M264)</f>
        <v/>
      </c>
      <c r="J264" s="7">
        <f>IF('COPY 30 %'!$A264="","",'COPY 30 %'!Q264)</f>
        <v/>
      </c>
      <c r="K264" s="7">
        <f>IF('COPY 30 %'!$A264="","",'COPY 30 %'!H264)</f>
        <v/>
      </c>
      <c r="L264" s="7">
        <f>IF('COPY 30 %'!$A264="","",'COPY 30 %'!T264)</f>
        <v/>
      </c>
      <c r="M264">
        <f>IF('COPY 30 %'!$A264="","",'COPY 30 %'!G264)</f>
        <v/>
      </c>
    </row>
    <row r="265">
      <c r="A265">
        <f>IF('COPY 30 %'!$A265="","",ROWS($A$2:$A265))</f>
        <v/>
      </c>
      <c r="B265">
        <f>IF('COPY 30 %'!$A265="","",'COPY 30 %'!E265)</f>
        <v/>
      </c>
      <c r="C265">
        <f>IF('COPY 30 %'!$A265="","",'COPY 30 %'!F265)</f>
        <v/>
      </c>
      <c r="D265" s="14">
        <f>IF('COPY 30 %'!$A265="","",'COPY 30 %'!I265)</f>
        <v/>
      </c>
      <c r="E265" s="7">
        <f>IF('COPY 30 %'!$A265="","",'COPY 30 %'!O265)</f>
        <v/>
      </c>
      <c r="F265" s="7">
        <f>IF('COPY 30 %'!$A265="","",'COPY 30 %'!L265)</f>
        <v/>
      </c>
      <c r="G265" s="7">
        <f>IF('COPY 30 %'!$A265="","",'COPY 30 %'!S265)</f>
        <v/>
      </c>
      <c r="H265">
        <f>IF('COPY 30 %'!$A265="","",'COPY 30 %'!P265)</f>
        <v/>
      </c>
      <c r="I265">
        <f>IF('COPY 30 %'!$A265="","",'COPY 30 %'!M265)</f>
        <v/>
      </c>
      <c r="J265" s="7">
        <f>IF('COPY 30 %'!$A265="","",'COPY 30 %'!Q265)</f>
        <v/>
      </c>
      <c r="K265" s="7">
        <f>IF('COPY 30 %'!$A265="","",'COPY 30 %'!H265)</f>
        <v/>
      </c>
      <c r="L265" s="7">
        <f>IF('COPY 30 %'!$A265="","",'COPY 30 %'!T265)</f>
        <v/>
      </c>
      <c r="M265">
        <f>IF('COPY 30 %'!$A265="","",'COPY 30 %'!G265)</f>
        <v/>
      </c>
    </row>
    <row r="266">
      <c r="A266">
        <f>IF('COPY 30 %'!$A266="","",ROWS($A$2:$A266))</f>
        <v/>
      </c>
      <c r="B266">
        <f>IF('COPY 30 %'!$A266="","",'COPY 30 %'!E266)</f>
        <v/>
      </c>
      <c r="C266">
        <f>IF('COPY 30 %'!$A266="","",'COPY 30 %'!F266)</f>
        <v/>
      </c>
      <c r="D266" s="14">
        <f>IF('COPY 30 %'!$A266="","",'COPY 30 %'!I266)</f>
        <v/>
      </c>
      <c r="E266" s="7">
        <f>IF('COPY 30 %'!$A266="","",'COPY 30 %'!O266)</f>
        <v/>
      </c>
      <c r="F266" s="7">
        <f>IF('COPY 30 %'!$A266="","",'COPY 30 %'!L266)</f>
        <v/>
      </c>
      <c r="G266" s="7">
        <f>IF('COPY 30 %'!$A266="","",'COPY 30 %'!S266)</f>
        <v/>
      </c>
      <c r="H266">
        <f>IF('COPY 30 %'!$A266="","",'COPY 30 %'!P266)</f>
        <v/>
      </c>
      <c r="I266">
        <f>IF('COPY 30 %'!$A266="","",'COPY 30 %'!M266)</f>
        <v/>
      </c>
      <c r="J266" s="7">
        <f>IF('COPY 30 %'!$A266="","",'COPY 30 %'!Q266)</f>
        <v/>
      </c>
      <c r="K266" s="7">
        <f>IF('COPY 30 %'!$A266="","",'COPY 30 %'!H266)</f>
        <v/>
      </c>
      <c r="L266" s="7">
        <f>IF('COPY 30 %'!$A266="","",'COPY 30 %'!T266)</f>
        <v/>
      </c>
      <c r="M266">
        <f>IF('COPY 30 %'!$A266="","",'COPY 30 %'!G266)</f>
        <v/>
      </c>
    </row>
    <row r="267">
      <c r="A267">
        <f>IF('COPY 30 %'!$A267="","",ROWS($A$2:$A267))</f>
        <v/>
      </c>
      <c r="B267">
        <f>IF('COPY 30 %'!$A267="","",'COPY 30 %'!E267)</f>
        <v/>
      </c>
      <c r="C267">
        <f>IF('COPY 30 %'!$A267="","",'COPY 30 %'!F267)</f>
        <v/>
      </c>
      <c r="D267" s="14">
        <f>IF('COPY 30 %'!$A267="","",'COPY 30 %'!I267)</f>
        <v/>
      </c>
      <c r="E267" s="7">
        <f>IF('COPY 30 %'!$A267="","",'COPY 30 %'!O267)</f>
        <v/>
      </c>
      <c r="F267" s="7">
        <f>IF('COPY 30 %'!$A267="","",'COPY 30 %'!L267)</f>
        <v/>
      </c>
      <c r="G267" s="7">
        <f>IF('COPY 30 %'!$A267="","",'COPY 30 %'!S267)</f>
        <v/>
      </c>
      <c r="H267">
        <f>IF('COPY 30 %'!$A267="","",'COPY 30 %'!P267)</f>
        <v/>
      </c>
      <c r="I267">
        <f>IF('COPY 30 %'!$A267="","",'COPY 30 %'!M267)</f>
        <v/>
      </c>
      <c r="J267" s="7">
        <f>IF('COPY 30 %'!$A267="","",'COPY 30 %'!Q267)</f>
        <v/>
      </c>
      <c r="K267" s="7">
        <f>IF('COPY 30 %'!$A267="","",'COPY 30 %'!H267)</f>
        <v/>
      </c>
      <c r="L267" s="7">
        <f>IF('COPY 30 %'!$A267="","",'COPY 30 %'!T267)</f>
        <v/>
      </c>
      <c r="M267">
        <f>IF('COPY 30 %'!$A267="","",'COPY 30 %'!G267)</f>
        <v/>
      </c>
    </row>
    <row r="268">
      <c r="A268">
        <f>IF('COPY 30 %'!$A268="","",ROWS($A$2:$A268))</f>
        <v/>
      </c>
      <c r="B268">
        <f>IF('COPY 30 %'!$A268="","",'COPY 30 %'!E268)</f>
        <v/>
      </c>
      <c r="C268">
        <f>IF('COPY 30 %'!$A268="","",'COPY 30 %'!F268)</f>
        <v/>
      </c>
      <c r="D268" s="14">
        <f>IF('COPY 30 %'!$A268="","",'COPY 30 %'!I268)</f>
        <v/>
      </c>
      <c r="E268" s="7">
        <f>IF('COPY 30 %'!$A268="","",'COPY 30 %'!O268)</f>
        <v/>
      </c>
      <c r="F268" s="7">
        <f>IF('COPY 30 %'!$A268="","",'COPY 30 %'!L268)</f>
        <v/>
      </c>
      <c r="G268" s="7">
        <f>IF('COPY 30 %'!$A268="","",'COPY 30 %'!S268)</f>
        <v/>
      </c>
      <c r="H268">
        <f>IF('COPY 30 %'!$A268="","",'COPY 30 %'!P268)</f>
        <v/>
      </c>
      <c r="I268">
        <f>IF('COPY 30 %'!$A268="","",'COPY 30 %'!M268)</f>
        <v/>
      </c>
      <c r="J268" s="7">
        <f>IF('COPY 30 %'!$A268="","",'COPY 30 %'!Q268)</f>
        <v/>
      </c>
      <c r="K268" s="7">
        <f>IF('COPY 30 %'!$A268="","",'COPY 30 %'!H268)</f>
        <v/>
      </c>
      <c r="L268" s="7">
        <f>IF('COPY 30 %'!$A268="","",'COPY 30 %'!T268)</f>
        <v/>
      </c>
      <c r="M268">
        <f>IF('COPY 30 %'!$A268="","",'COPY 30 %'!G268)</f>
        <v/>
      </c>
    </row>
    <row r="269">
      <c r="A269">
        <f>IF('COPY 30 %'!$A269="","",ROWS($A$2:$A269))</f>
        <v/>
      </c>
      <c r="B269">
        <f>IF('COPY 30 %'!$A269="","",'COPY 30 %'!E269)</f>
        <v/>
      </c>
      <c r="C269">
        <f>IF('COPY 30 %'!$A269="","",'COPY 30 %'!F269)</f>
        <v/>
      </c>
      <c r="D269" s="14">
        <f>IF('COPY 30 %'!$A269="","",'COPY 30 %'!I269)</f>
        <v/>
      </c>
      <c r="E269" s="7">
        <f>IF('COPY 30 %'!$A269="","",'COPY 30 %'!O269)</f>
        <v/>
      </c>
      <c r="F269" s="7">
        <f>IF('COPY 30 %'!$A269="","",'COPY 30 %'!L269)</f>
        <v/>
      </c>
      <c r="G269" s="7">
        <f>IF('COPY 30 %'!$A269="","",'COPY 30 %'!S269)</f>
        <v/>
      </c>
      <c r="H269">
        <f>IF('COPY 30 %'!$A269="","",'COPY 30 %'!P269)</f>
        <v/>
      </c>
      <c r="I269">
        <f>IF('COPY 30 %'!$A269="","",'COPY 30 %'!M269)</f>
        <v/>
      </c>
      <c r="J269" s="7">
        <f>IF('COPY 30 %'!$A269="","",'COPY 30 %'!Q269)</f>
        <v/>
      </c>
      <c r="K269" s="7">
        <f>IF('COPY 30 %'!$A269="","",'COPY 30 %'!H269)</f>
        <v/>
      </c>
      <c r="L269" s="7">
        <f>IF('COPY 30 %'!$A269="","",'COPY 30 %'!T269)</f>
        <v/>
      </c>
      <c r="M269">
        <f>IF('COPY 30 %'!$A269="","",'COPY 30 %'!G269)</f>
        <v/>
      </c>
    </row>
    <row r="270">
      <c r="A270">
        <f>IF('COPY 30 %'!$A270="","",ROWS($A$2:$A270))</f>
        <v/>
      </c>
      <c r="B270">
        <f>IF('COPY 30 %'!$A270="","",'COPY 30 %'!E270)</f>
        <v/>
      </c>
      <c r="C270">
        <f>IF('COPY 30 %'!$A270="","",'COPY 30 %'!F270)</f>
        <v/>
      </c>
      <c r="D270" s="14">
        <f>IF('COPY 30 %'!$A270="","",'COPY 30 %'!I270)</f>
        <v/>
      </c>
      <c r="E270" s="7">
        <f>IF('COPY 30 %'!$A270="","",'COPY 30 %'!O270)</f>
        <v/>
      </c>
      <c r="F270" s="7">
        <f>IF('COPY 30 %'!$A270="","",'COPY 30 %'!L270)</f>
        <v/>
      </c>
      <c r="G270" s="7">
        <f>IF('COPY 30 %'!$A270="","",'COPY 30 %'!S270)</f>
        <v/>
      </c>
      <c r="H270">
        <f>IF('COPY 30 %'!$A270="","",'COPY 30 %'!P270)</f>
        <v/>
      </c>
      <c r="I270">
        <f>IF('COPY 30 %'!$A270="","",'COPY 30 %'!M270)</f>
        <v/>
      </c>
      <c r="J270" s="7">
        <f>IF('COPY 30 %'!$A270="","",'COPY 30 %'!Q270)</f>
        <v/>
      </c>
      <c r="K270" s="7">
        <f>IF('COPY 30 %'!$A270="","",'COPY 30 %'!H270)</f>
        <v/>
      </c>
      <c r="L270" s="7">
        <f>IF('COPY 30 %'!$A270="","",'COPY 30 %'!T270)</f>
        <v/>
      </c>
      <c r="M270">
        <f>IF('COPY 30 %'!$A270="","",'COPY 30 %'!G270)</f>
        <v/>
      </c>
    </row>
    <row r="271">
      <c r="A271">
        <f>IF('COPY 30 %'!$A271="","",ROWS($A$2:$A271))</f>
        <v/>
      </c>
      <c r="B271">
        <f>IF('COPY 30 %'!$A271="","",'COPY 30 %'!E271)</f>
        <v/>
      </c>
      <c r="C271">
        <f>IF('COPY 30 %'!$A271="","",'COPY 30 %'!F271)</f>
        <v/>
      </c>
      <c r="D271" s="14">
        <f>IF('COPY 30 %'!$A271="","",'COPY 30 %'!I271)</f>
        <v/>
      </c>
      <c r="E271" s="7">
        <f>IF('COPY 30 %'!$A271="","",'COPY 30 %'!O271)</f>
        <v/>
      </c>
      <c r="F271" s="7">
        <f>IF('COPY 30 %'!$A271="","",'COPY 30 %'!L271)</f>
        <v/>
      </c>
      <c r="G271" s="7">
        <f>IF('COPY 30 %'!$A271="","",'COPY 30 %'!S271)</f>
        <v/>
      </c>
      <c r="H271">
        <f>IF('COPY 30 %'!$A271="","",'COPY 30 %'!P271)</f>
        <v/>
      </c>
      <c r="I271">
        <f>IF('COPY 30 %'!$A271="","",'COPY 30 %'!M271)</f>
        <v/>
      </c>
      <c r="J271" s="7">
        <f>IF('COPY 30 %'!$A271="","",'COPY 30 %'!Q271)</f>
        <v/>
      </c>
      <c r="K271" s="7">
        <f>IF('COPY 30 %'!$A271="","",'COPY 30 %'!H271)</f>
        <v/>
      </c>
      <c r="L271" s="7">
        <f>IF('COPY 30 %'!$A271="","",'COPY 30 %'!T271)</f>
        <v/>
      </c>
      <c r="M271">
        <f>IF('COPY 30 %'!$A271="","",'COPY 30 %'!G271)</f>
        <v/>
      </c>
    </row>
    <row r="272">
      <c r="A272">
        <f>IF('COPY 30 %'!$A272="","",ROWS($A$2:$A272))</f>
        <v/>
      </c>
      <c r="B272">
        <f>IF('COPY 30 %'!$A272="","",'COPY 30 %'!E272)</f>
        <v/>
      </c>
      <c r="C272">
        <f>IF('COPY 30 %'!$A272="","",'COPY 30 %'!F272)</f>
        <v/>
      </c>
      <c r="D272" s="14">
        <f>IF('COPY 30 %'!$A272="","",'COPY 30 %'!I272)</f>
        <v/>
      </c>
      <c r="E272" s="7">
        <f>IF('COPY 30 %'!$A272="","",'COPY 30 %'!O272)</f>
        <v/>
      </c>
      <c r="F272" s="7">
        <f>IF('COPY 30 %'!$A272="","",'COPY 30 %'!L272)</f>
        <v/>
      </c>
      <c r="G272" s="7">
        <f>IF('COPY 30 %'!$A272="","",'COPY 30 %'!S272)</f>
        <v/>
      </c>
      <c r="H272">
        <f>IF('COPY 30 %'!$A272="","",'COPY 30 %'!P272)</f>
        <v/>
      </c>
      <c r="I272">
        <f>IF('COPY 30 %'!$A272="","",'COPY 30 %'!M272)</f>
        <v/>
      </c>
      <c r="J272" s="7">
        <f>IF('COPY 30 %'!$A272="","",'COPY 30 %'!Q272)</f>
        <v/>
      </c>
      <c r="K272" s="7">
        <f>IF('COPY 30 %'!$A272="","",'COPY 30 %'!H272)</f>
        <v/>
      </c>
      <c r="L272" s="7">
        <f>IF('COPY 30 %'!$A272="","",'COPY 30 %'!T272)</f>
        <v/>
      </c>
      <c r="M272">
        <f>IF('COPY 30 %'!$A272="","",'COPY 30 %'!G272)</f>
        <v/>
      </c>
    </row>
    <row r="273">
      <c r="A273">
        <f>IF('COPY 30 %'!$A273="","",ROWS($A$2:$A273))</f>
        <v/>
      </c>
      <c r="B273">
        <f>IF('COPY 30 %'!$A273="","",'COPY 30 %'!E273)</f>
        <v/>
      </c>
      <c r="C273">
        <f>IF('COPY 30 %'!$A273="","",'COPY 30 %'!F273)</f>
        <v/>
      </c>
      <c r="D273" s="14">
        <f>IF('COPY 30 %'!$A273="","",'COPY 30 %'!I273)</f>
        <v/>
      </c>
      <c r="E273" s="7">
        <f>IF('COPY 30 %'!$A273="","",'COPY 30 %'!O273)</f>
        <v/>
      </c>
      <c r="F273" s="7">
        <f>IF('COPY 30 %'!$A273="","",'COPY 30 %'!L273)</f>
        <v/>
      </c>
      <c r="G273" s="7">
        <f>IF('COPY 30 %'!$A273="","",'COPY 30 %'!S273)</f>
        <v/>
      </c>
      <c r="H273">
        <f>IF('COPY 30 %'!$A273="","",'COPY 30 %'!P273)</f>
        <v/>
      </c>
      <c r="I273">
        <f>IF('COPY 30 %'!$A273="","",'COPY 30 %'!M273)</f>
        <v/>
      </c>
      <c r="J273" s="7">
        <f>IF('COPY 30 %'!$A273="","",'COPY 30 %'!Q273)</f>
        <v/>
      </c>
      <c r="K273" s="7">
        <f>IF('COPY 30 %'!$A273="","",'COPY 30 %'!H273)</f>
        <v/>
      </c>
      <c r="L273" s="7">
        <f>IF('COPY 30 %'!$A273="","",'COPY 30 %'!T273)</f>
        <v/>
      </c>
      <c r="M273">
        <f>IF('COPY 30 %'!$A273="","",'COPY 30 %'!G273)</f>
        <v/>
      </c>
    </row>
    <row r="274">
      <c r="A274">
        <f>IF('COPY 30 %'!$A274="","",ROWS($A$2:$A274))</f>
        <v/>
      </c>
      <c r="B274">
        <f>IF('COPY 30 %'!$A274="","",'COPY 30 %'!E274)</f>
        <v/>
      </c>
      <c r="C274">
        <f>IF('COPY 30 %'!$A274="","",'COPY 30 %'!F274)</f>
        <v/>
      </c>
      <c r="D274" s="14">
        <f>IF('COPY 30 %'!$A274="","",'COPY 30 %'!I274)</f>
        <v/>
      </c>
      <c r="E274" s="7">
        <f>IF('COPY 30 %'!$A274="","",'COPY 30 %'!O274)</f>
        <v/>
      </c>
      <c r="F274" s="7">
        <f>IF('COPY 30 %'!$A274="","",'COPY 30 %'!L274)</f>
        <v/>
      </c>
      <c r="G274" s="7">
        <f>IF('COPY 30 %'!$A274="","",'COPY 30 %'!S274)</f>
        <v/>
      </c>
      <c r="H274">
        <f>IF('COPY 30 %'!$A274="","",'COPY 30 %'!P274)</f>
        <v/>
      </c>
      <c r="I274">
        <f>IF('COPY 30 %'!$A274="","",'COPY 30 %'!M274)</f>
        <v/>
      </c>
      <c r="J274" s="7">
        <f>IF('COPY 30 %'!$A274="","",'COPY 30 %'!Q274)</f>
        <v/>
      </c>
      <c r="K274" s="7">
        <f>IF('COPY 30 %'!$A274="","",'COPY 30 %'!H274)</f>
        <v/>
      </c>
      <c r="L274" s="7">
        <f>IF('COPY 30 %'!$A274="","",'COPY 30 %'!T274)</f>
        <v/>
      </c>
      <c r="M274">
        <f>IF('COPY 30 %'!$A274="","",'COPY 30 %'!G274)</f>
        <v/>
      </c>
    </row>
    <row r="275">
      <c r="A275">
        <f>IF('COPY 30 %'!$A275="","",ROWS($A$2:$A275))</f>
        <v/>
      </c>
      <c r="B275">
        <f>IF('COPY 30 %'!$A275="","",'COPY 30 %'!E275)</f>
        <v/>
      </c>
      <c r="C275">
        <f>IF('COPY 30 %'!$A275="","",'COPY 30 %'!F275)</f>
        <v/>
      </c>
      <c r="D275" s="14">
        <f>IF('COPY 30 %'!$A275="","",'COPY 30 %'!I275)</f>
        <v/>
      </c>
      <c r="E275" s="7">
        <f>IF('COPY 30 %'!$A275="","",'COPY 30 %'!O275)</f>
        <v/>
      </c>
      <c r="F275" s="7">
        <f>IF('COPY 30 %'!$A275="","",'COPY 30 %'!L275)</f>
        <v/>
      </c>
      <c r="G275" s="7">
        <f>IF('COPY 30 %'!$A275="","",'COPY 30 %'!S275)</f>
        <v/>
      </c>
      <c r="H275">
        <f>IF('COPY 30 %'!$A275="","",'COPY 30 %'!P275)</f>
        <v/>
      </c>
      <c r="I275">
        <f>IF('COPY 30 %'!$A275="","",'COPY 30 %'!M275)</f>
        <v/>
      </c>
      <c r="J275" s="7">
        <f>IF('COPY 30 %'!$A275="","",'COPY 30 %'!Q275)</f>
        <v/>
      </c>
      <c r="K275" s="7">
        <f>IF('COPY 30 %'!$A275="","",'COPY 30 %'!H275)</f>
        <v/>
      </c>
      <c r="L275" s="7">
        <f>IF('COPY 30 %'!$A275="","",'COPY 30 %'!T275)</f>
        <v/>
      </c>
      <c r="M275">
        <f>IF('COPY 30 %'!$A275="","",'COPY 30 %'!G275)</f>
        <v/>
      </c>
    </row>
    <row r="276">
      <c r="A276">
        <f>IF('COPY 30 %'!$A276="","",ROWS($A$2:$A276))</f>
        <v/>
      </c>
      <c r="B276">
        <f>IF('COPY 30 %'!$A276="","",'COPY 30 %'!E276)</f>
        <v/>
      </c>
      <c r="C276">
        <f>IF('COPY 30 %'!$A276="","",'COPY 30 %'!F276)</f>
        <v/>
      </c>
      <c r="D276" s="14">
        <f>IF('COPY 30 %'!$A276="","",'COPY 30 %'!I276)</f>
        <v/>
      </c>
      <c r="E276" s="7">
        <f>IF('COPY 30 %'!$A276="","",'COPY 30 %'!O276)</f>
        <v/>
      </c>
      <c r="F276" s="7">
        <f>IF('COPY 30 %'!$A276="","",'COPY 30 %'!L276)</f>
        <v/>
      </c>
      <c r="G276" s="7">
        <f>IF('COPY 30 %'!$A276="","",'COPY 30 %'!S276)</f>
        <v/>
      </c>
      <c r="H276">
        <f>IF('COPY 30 %'!$A276="","",'COPY 30 %'!P276)</f>
        <v/>
      </c>
      <c r="I276">
        <f>IF('COPY 30 %'!$A276="","",'COPY 30 %'!M276)</f>
        <v/>
      </c>
      <c r="J276" s="7">
        <f>IF('COPY 30 %'!$A276="","",'COPY 30 %'!Q276)</f>
        <v/>
      </c>
      <c r="K276" s="7">
        <f>IF('COPY 30 %'!$A276="","",'COPY 30 %'!H276)</f>
        <v/>
      </c>
      <c r="L276" s="7">
        <f>IF('COPY 30 %'!$A276="","",'COPY 30 %'!T276)</f>
        <v/>
      </c>
      <c r="M276">
        <f>IF('COPY 30 %'!$A276="","",'COPY 30 %'!G276)</f>
        <v/>
      </c>
    </row>
    <row r="277">
      <c r="A277">
        <f>IF('COPY 30 %'!$A277="","",ROWS($A$2:$A277))</f>
        <v/>
      </c>
      <c r="B277">
        <f>IF('COPY 30 %'!$A277="","",'COPY 30 %'!E277)</f>
        <v/>
      </c>
      <c r="C277">
        <f>IF('COPY 30 %'!$A277="","",'COPY 30 %'!F277)</f>
        <v/>
      </c>
      <c r="D277" s="14">
        <f>IF('COPY 30 %'!$A277="","",'COPY 30 %'!I277)</f>
        <v/>
      </c>
      <c r="E277" s="7">
        <f>IF('COPY 30 %'!$A277="","",'COPY 30 %'!O277)</f>
        <v/>
      </c>
      <c r="F277" s="7">
        <f>IF('COPY 30 %'!$A277="","",'COPY 30 %'!L277)</f>
        <v/>
      </c>
      <c r="G277" s="7">
        <f>IF('COPY 30 %'!$A277="","",'COPY 30 %'!S277)</f>
        <v/>
      </c>
      <c r="H277">
        <f>IF('COPY 30 %'!$A277="","",'COPY 30 %'!P277)</f>
        <v/>
      </c>
      <c r="I277">
        <f>IF('COPY 30 %'!$A277="","",'COPY 30 %'!M277)</f>
        <v/>
      </c>
      <c r="J277" s="7">
        <f>IF('COPY 30 %'!$A277="","",'COPY 30 %'!Q277)</f>
        <v/>
      </c>
      <c r="K277" s="7">
        <f>IF('COPY 30 %'!$A277="","",'COPY 30 %'!H277)</f>
        <v/>
      </c>
      <c r="L277" s="7">
        <f>IF('COPY 30 %'!$A277="","",'COPY 30 %'!T277)</f>
        <v/>
      </c>
      <c r="M277">
        <f>IF('COPY 30 %'!$A277="","",'COPY 30 %'!G277)</f>
        <v/>
      </c>
    </row>
    <row r="278">
      <c r="A278">
        <f>IF('COPY 30 %'!$A278="","",ROWS($A$2:$A278))</f>
        <v/>
      </c>
      <c r="B278">
        <f>IF('COPY 30 %'!$A278="","",'COPY 30 %'!E278)</f>
        <v/>
      </c>
      <c r="C278">
        <f>IF('COPY 30 %'!$A278="","",'COPY 30 %'!F278)</f>
        <v/>
      </c>
      <c r="D278" s="14">
        <f>IF('COPY 30 %'!$A278="","",'COPY 30 %'!I278)</f>
        <v/>
      </c>
      <c r="E278" s="7">
        <f>IF('COPY 30 %'!$A278="","",'COPY 30 %'!O278)</f>
        <v/>
      </c>
      <c r="F278" s="7">
        <f>IF('COPY 30 %'!$A278="","",'COPY 30 %'!L278)</f>
        <v/>
      </c>
      <c r="G278" s="7">
        <f>IF('COPY 30 %'!$A278="","",'COPY 30 %'!S278)</f>
        <v/>
      </c>
      <c r="H278">
        <f>IF('COPY 30 %'!$A278="","",'COPY 30 %'!P278)</f>
        <v/>
      </c>
      <c r="I278">
        <f>IF('COPY 30 %'!$A278="","",'COPY 30 %'!M278)</f>
        <v/>
      </c>
      <c r="J278" s="7">
        <f>IF('COPY 30 %'!$A278="","",'COPY 30 %'!Q278)</f>
        <v/>
      </c>
      <c r="K278" s="7">
        <f>IF('COPY 30 %'!$A278="","",'COPY 30 %'!H278)</f>
        <v/>
      </c>
      <c r="L278" s="7">
        <f>IF('COPY 30 %'!$A278="","",'COPY 30 %'!T278)</f>
        <v/>
      </c>
      <c r="M278">
        <f>IF('COPY 30 %'!$A278="","",'COPY 30 %'!G278)</f>
        <v/>
      </c>
    </row>
    <row r="279">
      <c r="A279">
        <f>IF('COPY 30 %'!$A279="","",ROWS($A$2:$A279))</f>
        <v/>
      </c>
      <c r="B279">
        <f>IF('COPY 30 %'!$A279="","",'COPY 30 %'!E279)</f>
        <v/>
      </c>
      <c r="C279">
        <f>IF('COPY 30 %'!$A279="","",'COPY 30 %'!F279)</f>
        <v/>
      </c>
      <c r="D279" s="14">
        <f>IF('COPY 30 %'!$A279="","",'COPY 30 %'!I279)</f>
        <v/>
      </c>
      <c r="E279" s="7">
        <f>IF('COPY 30 %'!$A279="","",'COPY 30 %'!O279)</f>
        <v/>
      </c>
      <c r="F279" s="7">
        <f>IF('COPY 30 %'!$A279="","",'COPY 30 %'!L279)</f>
        <v/>
      </c>
      <c r="G279" s="7">
        <f>IF('COPY 30 %'!$A279="","",'COPY 30 %'!S279)</f>
        <v/>
      </c>
      <c r="H279">
        <f>IF('COPY 30 %'!$A279="","",'COPY 30 %'!P279)</f>
        <v/>
      </c>
      <c r="I279">
        <f>IF('COPY 30 %'!$A279="","",'COPY 30 %'!M279)</f>
        <v/>
      </c>
      <c r="J279" s="7">
        <f>IF('COPY 30 %'!$A279="","",'COPY 30 %'!Q279)</f>
        <v/>
      </c>
      <c r="K279" s="7">
        <f>IF('COPY 30 %'!$A279="","",'COPY 30 %'!H279)</f>
        <v/>
      </c>
      <c r="L279" s="7">
        <f>IF('COPY 30 %'!$A279="","",'COPY 30 %'!T279)</f>
        <v/>
      </c>
      <c r="M279">
        <f>IF('COPY 30 %'!$A279="","",'COPY 30 %'!G279)</f>
        <v/>
      </c>
    </row>
    <row r="280">
      <c r="A280">
        <f>IF('COPY 30 %'!$A280="","",ROWS($A$2:$A280))</f>
        <v/>
      </c>
      <c r="B280">
        <f>IF('COPY 30 %'!$A280="","",'COPY 30 %'!E280)</f>
        <v/>
      </c>
      <c r="C280">
        <f>IF('COPY 30 %'!$A280="","",'COPY 30 %'!F280)</f>
        <v/>
      </c>
      <c r="D280" s="14">
        <f>IF('COPY 30 %'!$A280="","",'COPY 30 %'!I280)</f>
        <v/>
      </c>
      <c r="E280" s="7">
        <f>IF('COPY 30 %'!$A280="","",'COPY 30 %'!O280)</f>
        <v/>
      </c>
      <c r="F280" s="7">
        <f>IF('COPY 30 %'!$A280="","",'COPY 30 %'!L280)</f>
        <v/>
      </c>
      <c r="G280" s="7">
        <f>IF('COPY 30 %'!$A280="","",'COPY 30 %'!S280)</f>
        <v/>
      </c>
      <c r="H280">
        <f>IF('COPY 30 %'!$A280="","",'COPY 30 %'!P280)</f>
        <v/>
      </c>
      <c r="I280">
        <f>IF('COPY 30 %'!$A280="","",'COPY 30 %'!M280)</f>
        <v/>
      </c>
      <c r="J280" s="7">
        <f>IF('COPY 30 %'!$A280="","",'COPY 30 %'!Q280)</f>
        <v/>
      </c>
      <c r="K280" s="7">
        <f>IF('COPY 30 %'!$A280="","",'COPY 30 %'!H280)</f>
        <v/>
      </c>
      <c r="L280" s="7">
        <f>IF('COPY 30 %'!$A280="","",'COPY 30 %'!T280)</f>
        <v/>
      </c>
      <c r="M280">
        <f>IF('COPY 30 %'!$A280="","",'COPY 30 %'!G280)</f>
        <v/>
      </c>
    </row>
    <row r="281">
      <c r="A281">
        <f>IF('COPY 30 %'!$A281="","",ROWS($A$2:$A281))</f>
        <v/>
      </c>
      <c r="B281">
        <f>IF('COPY 30 %'!$A281="","",'COPY 30 %'!E281)</f>
        <v/>
      </c>
      <c r="C281">
        <f>IF('COPY 30 %'!$A281="","",'COPY 30 %'!F281)</f>
        <v/>
      </c>
      <c r="D281" s="14">
        <f>IF('COPY 30 %'!$A281="","",'COPY 30 %'!I281)</f>
        <v/>
      </c>
      <c r="E281" s="7">
        <f>IF('COPY 30 %'!$A281="","",'COPY 30 %'!O281)</f>
        <v/>
      </c>
      <c r="F281" s="7">
        <f>IF('COPY 30 %'!$A281="","",'COPY 30 %'!L281)</f>
        <v/>
      </c>
      <c r="G281" s="7">
        <f>IF('COPY 30 %'!$A281="","",'COPY 30 %'!S281)</f>
        <v/>
      </c>
      <c r="H281">
        <f>IF('COPY 30 %'!$A281="","",'COPY 30 %'!P281)</f>
        <v/>
      </c>
      <c r="I281">
        <f>IF('COPY 30 %'!$A281="","",'COPY 30 %'!M281)</f>
        <v/>
      </c>
      <c r="J281" s="7">
        <f>IF('COPY 30 %'!$A281="","",'COPY 30 %'!Q281)</f>
        <v/>
      </c>
      <c r="K281" s="7">
        <f>IF('COPY 30 %'!$A281="","",'COPY 30 %'!H281)</f>
        <v/>
      </c>
      <c r="L281" s="7">
        <f>IF('COPY 30 %'!$A281="","",'COPY 30 %'!T281)</f>
        <v/>
      </c>
      <c r="M281">
        <f>IF('COPY 30 %'!$A281="","",'COPY 30 %'!G281)</f>
        <v/>
      </c>
    </row>
    <row r="282">
      <c r="A282">
        <f>IF('COPY 30 %'!$A282="","",ROWS($A$2:$A282))</f>
        <v/>
      </c>
      <c r="B282">
        <f>IF('COPY 30 %'!$A282="","",'COPY 30 %'!E282)</f>
        <v/>
      </c>
      <c r="C282">
        <f>IF('COPY 30 %'!$A282="","",'COPY 30 %'!F282)</f>
        <v/>
      </c>
      <c r="D282" s="14">
        <f>IF('COPY 30 %'!$A282="","",'COPY 30 %'!I282)</f>
        <v/>
      </c>
      <c r="E282" s="7">
        <f>IF('COPY 30 %'!$A282="","",'COPY 30 %'!O282)</f>
        <v/>
      </c>
      <c r="F282" s="7">
        <f>IF('COPY 30 %'!$A282="","",'COPY 30 %'!L282)</f>
        <v/>
      </c>
      <c r="G282" s="7">
        <f>IF('COPY 30 %'!$A282="","",'COPY 30 %'!S282)</f>
        <v/>
      </c>
      <c r="H282">
        <f>IF('COPY 30 %'!$A282="","",'COPY 30 %'!P282)</f>
        <v/>
      </c>
      <c r="I282">
        <f>IF('COPY 30 %'!$A282="","",'COPY 30 %'!M282)</f>
        <v/>
      </c>
      <c r="J282" s="7">
        <f>IF('COPY 30 %'!$A282="","",'COPY 30 %'!Q282)</f>
        <v/>
      </c>
      <c r="K282" s="7">
        <f>IF('COPY 30 %'!$A282="","",'COPY 30 %'!H282)</f>
        <v/>
      </c>
      <c r="L282" s="7">
        <f>IF('COPY 30 %'!$A282="","",'COPY 30 %'!T282)</f>
        <v/>
      </c>
      <c r="M282">
        <f>IF('COPY 30 %'!$A282="","",'COPY 30 %'!G282)</f>
        <v/>
      </c>
    </row>
    <row r="283">
      <c r="A283">
        <f>IF('COPY 30 %'!$A283="","",ROWS($A$2:$A283))</f>
        <v/>
      </c>
      <c r="B283">
        <f>IF('COPY 30 %'!$A283="","",'COPY 30 %'!E283)</f>
        <v/>
      </c>
      <c r="C283">
        <f>IF('COPY 30 %'!$A283="","",'COPY 30 %'!F283)</f>
        <v/>
      </c>
      <c r="D283" s="14">
        <f>IF('COPY 30 %'!$A283="","",'COPY 30 %'!I283)</f>
        <v/>
      </c>
      <c r="E283" s="7">
        <f>IF('COPY 30 %'!$A283="","",'COPY 30 %'!O283)</f>
        <v/>
      </c>
      <c r="F283" s="7">
        <f>IF('COPY 30 %'!$A283="","",'COPY 30 %'!L283)</f>
        <v/>
      </c>
      <c r="G283" s="7">
        <f>IF('COPY 30 %'!$A283="","",'COPY 30 %'!S283)</f>
        <v/>
      </c>
      <c r="H283">
        <f>IF('COPY 30 %'!$A283="","",'COPY 30 %'!P283)</f>
        <v/>
      </c>
      <c r="I283">
        <f>IF('COPY 30 %'!$A283="","",'COPY 30 %'!M283)</f>
        <v/>
      </c>
      <c r="J283" s="7">
        <f>IF('COPY 30 %'!$A283="","",'COPY 30 %'!Q283)</f>
        <v/>
      </c>
      <c r="K283" s="7">
        <f>IF('COPY 30 %'!$A283="","",'COPY 30 %'!H283)</f>
        <v/>
      </c>
      <c r="L283" s="7">
        <f>IF('COPY 30 %'!$A283="","",'COPY 30 %'!T283)</f>
        <v/>
      </c>
      <c r="M283">
        <f>IF('COPY 30 %'!$A283="","",'COPY 30 %'!G283)</f>
        <v/>
      </c>
    </row>
    <row r="284">
      <c r="A284">
        <f>IF('COPY 30 %'!$A284="","",ROWS($A$2:$A284))</f>
        <v/>
      </c>
      <c r="B284">
        <f>IF('COPY 30 %'!$A284="","",'COPY 30 %'!E284)</f>
        <v/>
      </c>
      <c r="C284">
        <f>IF('COPY 30 %'!$A284="","",'COPY 30 %'!F284)</f>
        <v/>
      </c>
      <c r="D284" s="14">
        <f>IF('COPY 30 %'!$A284="","",'COPY 30 %'!I284)</f>
        <v/>
      </c>
      <c r="E284" s="7">
        <f>IF('COPY 30 %'!$A284="","",'COPY 30 %'!O284)</f>
        <v/>
      </c>
      <c r="F284" s="7">
        <f>IF('COPY 30 %'!$A284="","",'COPY 30 %'!L284)</f>
        <v/>
      </c>
      <c r="G284" s="7">
        <f>IF('COPY 30 %'!$A284="","",'COPY 30 %'!S284)</f>
        <v/>
      </c>
      <c r="H284">
        <f>IF('COPY 30 %'!$A284="","",'COPY 30 %'!P284)</f>
        <v/>
      </c>
      <c r="I284">
        <f>IF('COPY 30 %'!$A284="","",'COPY 30 %'!M284)</f>
        <v/>
      </c>
      <c r="J284" s="7">
        <f>IF('COPY 30 %'!$A284="","",'COPY 30 %'!Q284)</f>
        <v/>
      </c>
      <c r="K284" s="7">
        <f>IF('COPY 30 %'!$A284="","",'COPY 30 %'!H284)</f>
        <v/>
      </c>
      <c r="L284" s="7">
        <f>IF('COPY 30 %'!$A284="","",'COPY 30 %'!T284)</f>
        <v/>
      </c>
      <c r="M284">
        <f>IF('COPY 30 %'!$A284="","",'COPY 30 %'!G284)</f>
        <v/>
      </c>
    </row>
    <row r="285">
      <c r="A285">
        <f>IF('COPY 30 %'!$A285="","",ROWS($A$2:$A285))</f>
        <v/>
      </c>
      <c r="B285">
        <f>IF('COPY 30 %'!$A285="","",'COPY 30 %'!E285)</f>
        <v/>
      </c>
      <c r="C285">
        <f>IF('COPY 30 %'!$A285="","",'COPY 30 %'!F285)</f>
        <v/>
      </c>
      <c r="D285" s="14">
        <f>IF('COPY 30 %'!$A285="","",'COPY 30 %'!I285)</f>
        <v/>
      </c>
      <c r="E285" s="7">
        <f>IF('COPY 30 %'!$A285="","",'COPY 30 %'!O285)</f>
        <v/>
      </c>
      <c r="F285" s="7">
        <f>IF('COPY 30 %'!$A285="","",'COPY 30 %'!L285)</f>
        <v/>
      </c>
      <c r="G285" s="7">
        <f>IF('COPY 30 %'!$A285="","",'COPY 30 %'!S285)</f>
        <v/>
      </c>
      <c r="H285">
        <f>IF('COPY 30 %'!$A285="","",'COPY 30 %'!P285)</f>
        <v/>
      </c>
      <c r="I285">
        <f>IF('COPY 30 %'!$A285="","",'COPY 30 %'!M285)</f>
        <v/>
      </c>
      <c r="J285" s="7">
        <f>IF('COPY 30 %'!$A285="","",'COPY 30 %'!Q285)</f>
        <v/>
      </c>
      <c r="K285" s="7">
        <f>IF('COPY 30 %'!$A285="","",'COPY 30 %'!H285)</f>
        <v/>
      </c>
      <c r="L285" s="7">
        <f>IF('COPY 30 %'!$A285="","",'COPY 30 %'!T285)</f>
        <v/>
      </c>
      <c r="M285">
        <f>IF('COPY 30 %'!$A285="","",'COPY 30 %'!G285)</f>
        <v/>
      </c>
    </row>
    <row r="286">
      <c r="A286">
        <f>IF('COPY 30 %'!$A286="","",ROWS($A$2:$A286))</f>
        <v/>
      </c>
      <c r="B286">
        <f>IF('COPY 30 %'!$A286="","",'COPY 30 %'!E286)</f>
        <v/>
      </c>
      <c r="C286">
        <f>IF('COPY 30 %'!$A286="","",'COPY 30 %'!F286)</f>
        <v/>
      </c>
      <c r="D286" s="14">
        <f>IF('COPY 30 %'!$A286="","",'COPY 30 %'!I286)</f>
        <v/>
      </c>
      <c r="E286" s="7">
        <f>IF('COPY 30 %'!$A286="","",'COPY 30 %'!O286)</f>
        <v/>
      </c>
      <c r="F286" s="7">
        <f>IF('COPY 30 %'!$A286="","",'COPY 30 %'!L286)</f>
        <v/>
      </c>
      <c r="G286" s="7">
        <f>IF('COPY 30 %'!$A286="","",'COPY 30 %'!S286)</f>
        <v/>
      </c>
      <c r="H286">
        <f>IF('COPY 30 %'!$A286="","",'COPY 30 %'!P286)</f>
        <v/>
      </c>
      <c r="I286">
        <f>IF('COPY 30 %'!$A286="","",'COPY 30 %'!M286)</f>
        <v/>
      </c>
      <c r="J286" s="7">
        <f>IF('COPY 30 %'!$A286="","",'COPY 30 %'!Q286)</f>
        <v/>
      </c>
      <c r="K286" s="7">
        <f>IF('COPY 30 %'!$A286="","",'COPY 30 %'!H286)</f>
        <v/>
      </c>
      <c r="L286" s="7">
        <f>IF('COPY 30 %'!$A286="","",'COPY 30 %'!T286)</f>
        <v/>
      </c>
      <c r="M286">
        <f>IF('COPY 30 %'!$A286="","",'COPY 30 %'!G286)</f>
        <v/>
      </c>
    </row>
    <row r="287">
      <c r="A287">
        <f>IF('COPY 30 %'!$A287="","",ROWS($A$2:$A287))</f>
        <v/>
      </c>
      <c r="B287">
        <f>IF('COPY 30 %'!$A287="","",'COPY 30 %'!E287)</f>
        <v/>
      </c>
      <c r="C287">
        <f>IF('COPY 30 %'!$A287="","",'COPY 30 %'!F287)</f>
        <v/>
      </c>
      <c r="D287" s="14">
        <f>IF('COPY 30 %'!$A287="","",'COPY 30 %'!I287)</f>
        <v/>
      </c>
      <c r="E287" s="7">
        <f>IF('COPY 30 %'!$A287="","",'COPY 30 %'!O287)</f>
        <v/>
      </c>
      <c r="F287" s="7">
        <f>IF('COPY 30 %'!$A287="","",'COPY 30 %'!L287)</f>
        <v/>
      </c>
      <c r="G287" s="7">
        <f>IF('COPY 30 %'!$A287="","",'COPY 30 %'!S287)</f>
        <v/>
      </c>
      <c r="H287">
        <f>IF('COPY 30 %'!$A287="","",'COPY 30 %'!P287)</f>
        <v/>
      </c>
      <c r="I287">
        <f>IF('COPY 30 %'!$A287="","",'COPY 30 %'!M287)</f>
        <v/>
      </c>
      <c r="J287" s="7">
        <f>IF('COPY 30 %'!$A287="","",'COPY 30 %'!Q287)</f>
        <v/>
      </c>
      <c r="K287" s="7">
        <f>IF('COPY 30 %'!$A287="","",'COPY 30 %'!H287)</f>
        <v/>
      </c>
      <c r="L287" s="7">
        <f>IF('COPY 30 %'!$A287="","",'COPY 30 %'!T287)</f>
        <v/>
      </c>
      <c r="M287">
        <f>IF('COPY 30 %'!$A287="","",'COPY 30 %'!G287)</f>
        <v/>
      </c>
    </row>
    <row r="288">
      <c r="A288">
        <f>IF('COPY 30 %'!$A288="","",ROWS($A$2:$A288))</f>
        <v/>
      </c>
      <c r="B288">
        <f>IF('COPY 30 %'!$A288="","",'COPY 30 %'!E288)</f>
        <v/>
      </c>
      <c r="C288">
        <f>IF('COPY 30 %'!$A288="","",'COPY 30 %'!F288)</f>
        <v/>
      </c>
      <c r="D288" s="14">
        <f>IF('COPY 30 %'!$A288="","",'COPY 30 %'!I288)</f>
        <v/>
      </c>
      <c r="E288" s="7">
        <f>IF('COPY 30 %'!$A288="","",'COPY 30 %'!O288)</f>
        <v/>
      </c>
      <c r="F288" s="7">
        <f>IF('COPY 30 %'!$A288="","",'COPY 30 %'!L288)</f>
        <v/>
      </c>
      <c r="G288" s="7">
        <f>IF('COPY 30 %'!$A288="","",'COPY 30 %'!S288)</f>
        <v/>
      </c>
      <c r="H288">
        <f>IF('COPY 30 %'!$A288="","",'COPY 30 %'!P288)</f>
        <v/>
      </c>
      <c r="I288">
        <f>IF('COPY 30 %'!$A288="","",'COPY 30 %'!M288)</f>
        <v/>
      </c>
      <c r="J288" s="7">
        <f>IF('COPY 30 %'!$A288="","",'COPY 30 %'!Q288)</f>
        <v/>
      </c>
      <c r="K288" s="7">
        <f>IF('COPY 30 %'!$A288="","",'COPY 30 %'!H288)</f>
        <v/>
      </c>
      <c r="L288" s="7">
        <f>IF('COPY 30 %'!$A288="","",'COPY 30 %'!T288)</f>
        <v/>
      </c>
      <c r="M288">
        <f>IF('COPY 30 %'!$A288="","",'COPY 30 %'!G288)</f>
        <v/>
      </c>
    </row>
    <row r="289">
      <c r="A289">
        <f>IF('COPY 30 %'!$A289="","",ROWS($A$2:$A289))</f>
        <v/>
      </c>
      <c r="B289">
        <f>IF('COPY 30 %'!$A289="","",'COPY 30 %'!E289)</f>
        <v/>
      </c>
      <c r="C289">
        <f>IF('COPY 30 %'!$A289="","",'COPY 30 %'!F289)</f>
        <v/>
      </c>
      <c r="D289" s="14">
        <f>IF('COPY 30 %'!$A289="","",'COPY 30 %'!I289)</f>
        <v/>
      </c>
      <c r="E289" s="7">
        <f>IF('COPY 30 %'!$A289="","",'COPY 30 %'!O289)</f>
        <v/>
      </c>
      <c r="F289" s="7">
        <f>IF('COPY 30 %'!$A289="","",'COPY 30 %'!L289)</f>
        <v/>
      </c>
      <c r="G289" s="7">
        <f>IF('COPY 30 %'!$A289="","",'COPY 30 %'!S289)</f>
        <v/>
      </c>
      <c r="H289">
        <f>IF('COPY 30 %'!$A289="","",'COPY 30 %'!P289)</f>
        <v/>
      </c>
      <c r="I289">
        <f>IF('COPY 30 %'!$A289="","",'COPY 30 %'!M289)</f>
        <v/>
      </c>
      <c r="J289" s="7">
        <f>IF('COPY 30 %'!$A289="","",'COPY 30 %'!Q289)</f>
        <v/>
      </c>
      <c r="K289" s="7">
        <f>IF('COPY 30 %'!$A289="","",'COPY 30 %'!H289)</f>
        <v/>
      </c>
      <c r="L289" s="7">
        <f>IF('COPY 30 %'!$A289="","",'COPY 30 %'!T289)</f>
        <v/>
      </c>
      <c r="M289">
        <f>IF('COPY 30 %'!$A289="","",'COPY 30 %'!G289)</f>
        <v/>
      </c>
    </row>
    <row r="290">
      <c r="A290">
        <f>IF('COPY 30 %'!$A290="","",ROWS($A$2:$A290))</f>
        <v/>
      </c>
      <c r="B290">
        <f>IF('COPY 30 %'!$A290="","",'COPY 30 %'!E290)</f>
        <v/>
      </c>
      <c r="C290">
        <f>IF('COPY 30 %'!$A290="","",'COPY 30 %'!F290)</f>
        <v/>
      </c>
      <c r="D290" s="14">
        <f>IF('COPY 30 %'!$A290="","",'COPY 30 %'!I290)</f>
        <v/>
      </c>
      <c r="E290" s="7">
        <f>IF('COPY 30 %'!$A290="","",'COPY 30 %'!O290)</f>
        <v/>
      </c>
      <c r="F290" s="7">
        <f>IF('COPY 30 %'!$A290="","",'COPY 30 %'!L290)</f>
        <v/>
      </c>
      <c r="G290" s="7">
        <f>IF('COPY 30 %'!$A290="","",'COPY 30 %'!S290)</f>
        <v/>
      </c>
      <c r="H290">
        <f>IF('COPY 30 %'!$A290="","",'COPY 30 %'!P290)</f>
        <v/>
      </c>
      <c r="I290">
        <f>IF('COPY 30 %'!$A290="","",'COPY 30 %'!M290)</f>
        <v/>
      </c>
      <c r="J290" s="7">
        <f>IF('COPY 30 %'!$A290="","",'COPY 30 %'!Q290)</f>
        <v/>
      </c>
      <c r="K290" s="7">
        <f>IF('COPY 30 %'!$A290="","",'COPY 30 %'!H290)</f>
        <v/>
      </c>
      <c r="L290" s="7">
        <f>IF('COPY 30 %'!$A290="","",'COPY 30 %'!T290)</f>
        <v/>
      </c>
      <c r="M290">
        <f>IF('COPY 30 %'!$A290="","",'COPY 30 %'!G290)</f>
        <v/>
      </c>
    </row>
    <row r="291">
      <c r="A291">
        <f>IF('COPY 30 %'!$A291="","",ROWS($A$2:$A291))</f>
        <v/>
      </c>
      <c r="B291">
        <f>IF('COPY 30 %'!$A291="","",'COPY 30 %'!E291)</f>
        <v/>
      </c>
      <c r="C291">
        <f>IF('COPY 30 %'!$A291="","",'COPY 30 %'!F291)</f>
        <v/>
      </c>
      <c r="D291" s="14">
        <f>IF('COPY 30 %'!$A291="","",'COPY 30 %'!I291)</f>
        <v/>
      </c>
      <c r="E291" s="7">
        <f>IF('COPY 30 %'!$A291="","",'COPY 30 %'!O291)</f>
        <v/>
      </c>
      <c r="F291" s="7">
        <f>IF('COPY 30 %'!$A291="","",'COPY 30 %'!L291)</f>
        <v/>
      </c>
      <c r="G291" s="7">
        <f>IF('COPY 30 %'!$A291="","",'COPY 30 %'!S291)</f>
        <v/>
      </c>
      <c r="H291">
        <f>IF('COPY 30 %'!$A291="","",'COPY 30 %'!P291)</f>
        <v/>
      </c>
      <c r="I291">
        <f>IF('COPY 30 %'!$A291="","",'COPY 30 %'!M291)</f>
        <v/>
      </c>
      <c r="J291" s="7">
        <f>IF('COPY 30 %'!$A291="","",'COPY 30 %'!Q291)</f>
        <v/>
      </c>
      <c r="K291" s="7">
        <f>IF('COPY 30 %'!$A291="","",'COPY 30 %'!H291)</f>
        <v/>
      </c>
      <c r="L291" s="7">
        <f>IF('COPY 30 %'!$A291="","",'COPY 30 %'!T291)</f>
        <v/>
      </c>
      <c r="M291">
        <f>IF('COPY 30 %'!$A291="","",'COPY 30 %'!G291)</f>
        <v/>
      </c>
    </row>
    <row r="292">
      <c r="A292">
        <f>IF('COPY 30 %'!$A292="","",ROWS($A$2:$A292))</f>
        <v/>
      </c>
      <c r="B292">
        <f>IF('COPY 30 %'!$A292="","",'COPY 30 %'!E292)</f>
        <v/>
      </c>
      <c r="C292">
        <f>IF('COPY 30 %'!$A292="","",'COPY 30 %'!F292)</f>
        <v/>
      </c>
      <c r="D292" s="14">
        <f>IF('COPY 30 %'!$A292="","",'COPY 30 %'!I292)</f>
        <v/>
      </c>
      <c r="E292" s="7">
        <f>IF('COPY 30 %'!$A292="","",'COPY 30 %'!O292)</f>
        <v/>
      </c>
      <c r="F292" s="7">
        <f>IF('COPY 30 %'!$A292="","",'COPY 30 %'!L292)</f>
        <v/>
      </c>
      <c r="G292" s="7">
        <f>IF('COPY 30 %'!$A292="","",'COPY 30 %'!S292)</f>
        <v/>
      </c>
      <c r="H292">
        <f>IF('COPY 30 %'!$A292="","",'COPY 30 %'!P292)</f>
        <v/>
      </c>
      <c r="I292">
        <f>IF('COPY 30 %'!$A292="","",'COPY 30 %'!M292)</f>
        <v/>
      </c>
      <c r="J292" s="7">
        <f>IF('COPY 30 %'!$A292="","",'COPY 30 %'!Q292)</f>
        <v/>
      </c>
      <c r="K292" s="7">
        <f>IF('COPY 30 %'!$A292="","",'COPY 30 %'!H292)</f>
        <v/>
      </c>
      <c r="L292" s="7">
        <f>IF('COPY 30 %'!$A292="","",'COPY 30 %'!T292)</f>
        <v/>
      </c>
      <c r="M292">
        <f>IF('COPY 30 %'!$A292="","",'COPY 30 %'!G292)</f>
        <v/>
      </c>
    </row>
    <row r="293">
      <c r="A293">
        <f>IF('COPY 30 %'!$A293="","",ROWS($A$2:$A293))</f>
        <v/>
      </c>
      <c r="B293">
        <f>IF('COPY 30 %'!$A293="","",'COPY 30 %'!E293)</f>
        <v/>
      </c>
      <c r="C293">
        <f>IF('COPY 30 %'!$A293="","",'COPY 30 %'!F293)</f>
        <v/>
      </c>
      <c r="D293" s="14">
        <f>IF('COPY 30 %'!$A293="","",'COPY 30 %'!I293)</f>
        <v/>
      </c>
      <c r="E293" s="7">
        <f>IF('COPY 30 %'!$A293="","",'COPY 30 %'!O293)</f>
        <v/>
      </c>
      <c r="F293" s="7">
        <f>IF('COPY 30 %'!$A293="","",'COPY 30 %'!L293)</f>
        <v/>
      </c>
      <c r="G293" s="7">
        <f>IF('COPY 30 %'!$A293="","",'COPY 30 %'!S293)</f>
        <v/>
      </c>
      <c r="H293">
        <f>IF('COPY 30 %'!$A293="","",'COPY 30 %'!P293)</f>
        <v/>
      </c>
      <c r="I293">
        <f>IF('COPY 30 %'!$A293="","",'COPY 30 %'!M293)</f>
        <v/>
      </c>
      <c r="J293" s="7">
        <f>IF('COPY 30 %'!$A293="","",'COPY 30 %'!Q293)</f>
        <v/>
      </c>
      <c r="K293" s="7">
        <f>IF('COPY 30 %'!$A293="","",'COPY 30 %'!H293)</f>
        <v/>
      </c>
      <c r="L293" s="7">
        <f>IF('COPY 30 %'!$A293="","",'COPY 30 %'!T293)</f>
        <v/>
      </c>
      <c r="M293">
        <f>IF('COPY 30 %'!$A293="","",'COPY 30 %'!G293)</f>
        <v/>
      </c>
    </row>
    <row r="294">
      <c r="A294">
        <f>IF('COPY 30 %'!$A294="","",ROWS($A$2:$A294))</f>
        <v/>
      </c>
      <c r="B294">
        <f>IF('COPY 30 %'!$A294="","",'COPY 30 %'!E294)</f>
        <v/>
      </c>
      <c r="C294">
        <f>IF('COPY 30 %'!$A294="","",'COPY 30 %'!F294)</f>
        <v/>
      </c>
      <c r="D294" s="14">
        <f>IF('COPY 30 %'!$A294="","",'COPY 30 %'!I294)</f>
        <v/>
      </c>
      <c r="E294" s="7">
        <f>IF('COPY 30 %'!$A294="","",'COPY 30 %'!O294)</f>
        <v/>
      </c>
      <c r="F294" s="7">
        <f>IF('COPY 30 %'!$A294="","",'COPY 30 %'!L294)</f>
        <v/>
      </c>
      <c r="G294" s="7">
        <f>IF('COPY 30 %'!$A294="","",'COPY 30 %'!S294)</f>
        <v/>
      </c>
      <c r="H294">
        <f>IF('COPY 30 %'!$A294="","",'COPY 30 %'!P294)</f>
        <v/>
      </c>
      <c r="I294">
        <f>IF('COPY 30 %'!$A294="","",'COPY 30 %'!M294)</f>
        <v/>
      </c>
      <c r="J294" s="7">
        <f>IF('COPY 30 %'!$A294="","",'COPY 30 %'!Q294)</f>
        <v/>
      </c>
      <c r="K294" s="7">
        <f>IF('COPY 30 %'!$A294="","",'COPY 30 %'!H294)</f>
        <v/>
      </c>
      <c r="L294" s="7">
        <f>IF('COPY 30 %'!$A294="","",'COPY 30 %'!T294)</f>
        <v/>
      </c>
      <c r="M294">
        <f>IF('COPY 30 %'!$A294="","",'COPY 30 %'!G294)</f>
        <v/>
      </c>
    </row>
    <row r="295">
      <c r="A295">
        <f>IF('COPY 30 %'!$A295="","",ROWS($A$2:$A295))</f>
        <v/>
      </c>
      <c r="B295">
        <f>IF('COPY 30 %'!$A295="","",'COPY 30 %'!E295)</f>
        <v/>
      </c>
      <c r="C295">
        <f>IF('COPY 30 %'!$A295="","",'COPY 30 %'!F295)</f>
        <v/>
      </c>
      <c r="D295" s="14">
        <f>IF('COPY 30 %'!$A295="","",'COPY 30 %'!I295)</f>
        <v/>
      </c>
      <c r="E295" s="7">
        <f>IF('COPY 30 %'!$A295="","",'COPY 30 %'!O295)</f>
        <v/>
      </c>
      <c r="F295" s="7">
        <f>IF('COPY 30 %'!$A295="","",'COPY 30 %'!L295)</f>
        <v/>
      </c>
      <c r="G295" s="7">
        <f>IF('COPY 30 %'!$A295="","",'COPY 30 %'!S295)</f>
        <v/>
      </c>
      <c r="H295">
        <f>IF('COPY 30 %'!$A295="","",'COPY 30 %'!P295)</f>
        <v/>
      </c>
      <c r="I295">
        <f>IF('COPY 30 %'!$A295="","",'COPY 30 %'!M295)</f>
        <v/>
      </c>
      <c r="J295" s="7">
        <f>IF('COPY 30 %'!$A295="","",'COPY 30 %'!Q295)</f>
        <v/>
      </c>
      <c r="K295" s="7">
        <f>IF('COPY 30 %'!$A295="","",'COPY 30 %'!H295)</f>
        <v/>
      </c>
      <c r="L295" s="7">
        <f>IF('COPY 30 %'!$A295="","",'COPY 30 %'!T295)</f>
        <v/>
      </c>
      <c r="M295">
        <f>IF('COPY 30 %'!$A295="","",'COPY 30 %'!G295)</f>
        <v/>
      </c>
    </row>
    <row r="296">
      <c r="A296">
        <f>IF('COPY 30 %'!$A296="","",ROWS($A$2:$A296))</f>
        <v/>
      </c>
      <c r="B296">
        <f>IF('COPY 30 %'!$A296="","",'COPY 30 %'!E296)</f>
        <v/>
      </c>
      <c r="C296">
        <f>IF('COPY 30 %'!$A296="","",'COPY 30 %'!F296)</f>
        <v/>
      </c>
      <c r="D296" s="14">
        <f>IF('COPY 30 %'!$A296="","",'COPY 30 %'!I296)</f>
        <v/>
      </c>
      <c r="E296" s="7">
        <f>IF('COPY 30 %'!$A296="","",'COPY 30 %'!O296)</f>
        <v/>
      </c>
      <c r="F296" s="7">
        <f>IF('COPY 30 %'!$A296="","",'COPY 30 %'!L296)</f>
        <v/>
      </c>
      <c r="G296" s="7">
        <f>IF('COPY 30 %'!$A296="","",'COPY 30 %'!S296)</f>
        <v/>
      </c>
      <c r="H296">
        <f>IF('COPY 30 %'!$A296="","",'COPY 30 %'!P296)</f>
        <v/>
      </c>
      <c r="I296">
        <f>IF('COPY 30 %'!$A296="","",'COPY 30 %'!M296)</f>
        <v/>
      </c>
      <c r="J296" s="7">
        <f>IF('COPY 30 %'!$A296="","",'COPY 30 %'!Q296)</f>
        <v/>
      </c>
      <c r="K296" s="7">
        <f>IF('COPY 30 %'!$A296="","",'COPY 30 %'!H296)</f>
        <v/>
      </c>
      <c r="L296" s="7">
        <f>IF('COPY 30 %'!$A296="","",'COPY 30 %'!T296)</f>
        <v/>
      </c>
      <c r="M296">
        <f>IF('COPY 30 %'!$A296="","",'COPY 30 %'!G296)</f>
        <v/>
      </c>
    </row>
    <row r="297">
      <c r="A297">
        <f>IF('COPY 30 %'!$A297="","",ROWS($A$2:$A297))</f>
        <v/>
      </c>
      <c r="B297">
        <f>IF('COPY 30 %'!$A297="","",'COPY 30 %'!E297)</f>
        <v/>
      </c>
      <c r="C297">
        <f>IF('COPY 30 %'!$A297="","",'COPY 30 %'!F297)</f>
        <v/>
      </c>
      <c r="D297" s="14">
        <f>IF('COPY 30 %'!$A297="","",'COPY 30 %'!I297)</f>
        <v/>
      </c>
      <c r="E297" s="7">
        <f>IF('COPY 30 %'!$A297="","",'COPY 30 %'!O297)</f>
        <v/>
      </c>
      <c r="F297" s="7">
        <f>IF('COPY 30 %'!$A297="","",'COPY 30 %'!L297)</f>
        <v/>
      </c>
      <c r="G297" s="7">
        <f>IF('COPY 30 %'!$A297="","",'COPY 30 %'!S297)</f>
        <v/>
      </c>
      <c r="H297">
        <f>IF('COPY 30 %'!$A297="","",'COPY 30 %'!P297)</f>
        <v/>
      </c>
      <c r="I297">
        <f>IF('COPY 30 %'!$A297="","",'COPY 30 %'!M297)</f>
        <v/>
      </c>
      <c r="J297" s="7">
        <f>IF('COPY 30 %'!$A297="","",'COPY 30 %'!Q297)</f>
        <v/>
      </c>
      <c r="K297" s="7">
        <f>IF('COPY 30 %'!$A297="","",'COPY 30 %'!H297)</f>
        <v/>
      </c>
      <c r="L297" s="7">
        <f>IF('COPY 30 %'!$A297="","",'COPY 30 %'!T297)</f>
        <v/>
      </c>
      <c r="M297">
        <f>IF('COPY 30 %'!$A297="","",'COPY 30 %'!G297)</f>
        <v/>
      </c>
    </row>
    <row r="298">
      <c r="A298">
        <f>IF('COPY 30 %'!$A298="","",ROWS($A$2:$A298))</f>
        <v/>
      </c>
      <c r="B298">
        <f>IF('COPY 30 %'!$A298="","",'COPY 30 %'!E298)</f>
        <v/>
      </c>
      <c r="C298">
        <f>IF('COPY 30 %'!$A298="","",'COPY 30 %'!F298)</f>
        <v/>
      </c>
      <c r="D298" s="14">
        <f>IF('COPY 30 %'!$A298="","",'COPY 30 %'!I298)</f>
        <v/>
      </c>
      <c r="E298" s="7">
        <f>IF('COPY 30 %'!$A298="","",'COPY 30 %'!O298)</f>
        <v/>
      </c>
      <c r="F298" s="7">
        <f>IF('COPY 30 %'!$A298="","",'COPY 30 %'!L298)</f>
        <v/>
      </c>
      <c r="G298" s="7">
        <f>IF('COPY 30 %'!$A298="","",'COPY 30 %'!S298)</f>
        <v/>
      </c>
      <c r="H298">
        <f>IF('COPY 30 %'!$A298="","",'COPY 30 %'!P298)</f>
        <v/>
      </c>
      <c r="I298">
        <f>IF('COPY 30 %'!$A298="","",'COPY 30 %'!M298)</f>
        <v/>
      </c>
      <c r="J298" s="7">
        <f>IF('COPY 30 %'!$A298="","",'COPY 30 %'!Q298)</f>
        <v/>
      </c>
      <c r="K298" s="7">
        <f>IF('COPY 30 %'!$A298="","",'COPY 30 %'!H298)</f>
        <v/>
      </c>
      <c r="L298" s="7">
        <f>IF('COPY 30 %'!$A298="","",'COPY 30 %'!T298)</f>
        <v/>
      </c>
      <c r="M298">
        <f>IF('COPY 30 %'!$A298="","",'COPY 30 %'!G298)</f>
        <v/>
      </c>
    </row>
    <row r="299">
      <c r="A299">
        <f>IF('COPY 30 %'!$A299="","",ROWS($A$2:$A299))</f>
        <v/>
      </c>
      <c r="B299">
        <f>IF('COPY 30 %'!$A299="","",'COPY 30 %'!E299)</f>
        <v/>
      </c>
      <c r="C299">
        <f>IF('COPY 30 %'!$A299="","",'COPY 30 %'!F299)</f>
        <v/>
      </c>
      <c r="D299" s="14">
        <f>IF('COPY 30 %'!$A299="","",'COPY 30 %'!I299)</f>
        <v/>
      </c>
      <c r="E299" s="7">
        <f>IF('COPY 30 %'!$A299="","",'COPY 30 %'!O299)</f>
        <v/>
      </c>
      <c r="F299" s="7">
        <f>IF('COPY 30 %'!$A299="","",'COPY 30 %'!L299)</f>
        <v/>
      </c>
      <c r="G299" s="7">
        <f>IF('COPY 30 %'!$A299="","",'COPY 30 %'!S299)</f>
        <v/>
      </c>
      <c r="H299">
        <f>IF('COPY 30 %'!$A299="","",'COPY 30 %'!P299)</f>
        <v/>
      </c>
      <c r="I299">
        <f>IF('COPY 30 %'!$A299="","",'COPY 30 %'!M299)</f>
        <v/>
      </c>
      <c r="J299" s="7">
        <f>IF('COPY 30 %'!$A299="","",'COPY 30 %'!Q299)</f>
        <v/>
      </c>
      <c r="K299" s="7">
        <f>IF('COPY 30 %'!$A299="","",'COPY 30 %'!H299)</f>
        <v/>
      </c>
      <c r="L299" s="7">
        <f>IF('COPY 30 %'!$A299="","",'COPY 30 %'!T299)</f>
        <v/>
      </c>
      <c r="M299">
        <f>IF('COPY 30 %'!$A299="","",'COPY 30 %'!G299)</f>
        <v/>
      </c>
    </row>
    <row r="300">
      <c r="A300">
        <f>IF('COPY 30 %'!$A300="","",ROWS($A$2:$A300))</f>
        <v/>
      </c>
      <c r="B300">
        <f>IF('COPY 30 %'!$A300="","",'COPY 30 %'!E300)</f>
        <v/>
      </c>
      <c r="C300">
        <f>IF('COPY 30 %'!$A300="","",'COPY 30 %'!F300)</f>
        <v/>
      </c>
      <c r="D300" s="14">
        <f>IF('COPY 30 %'!$A300="","",'COPY 30 %'!I300)</f>
        <v/>
      </c>
      <c r="E300" s="7">
        <f>IF('COPY 30 %'!$A300="","",'COPY 30 %'!O300)</f>
        <v/>
      </c>
      <c r="F300" s="7">
        <f>IF('COPY 30 %'!$A300="","",'COPY 30 %'!L300)</f>
        <v/>
      </c>
      <c r="G300" s="7">
        <f>IF('COPY 30 %'!$A300="","",'COPY 30 %'!S300)</f>
        <v/>
      </c>
      <c r="H300">
        <f>IF('COPY 30 %'!$A300="","",'COPY 30 %'!P300)</f>
        <v/>
      </c>
      <c r="I300">
        <f>IF('COPY 30 %'!$A300="","",'COPY 30 %'!M300)</f>
        <v/>
      </c>
      <c r="J300" s="7">
        <f>IF('COPY 30 %'!$A300="","",'COPY 30 %'!Q300)</f>
        <v/>
      </c>
      <c r="K300" s="7">
        <f>IF('COPY 30 %'!$A300="","",'COPY 30 %'!H300)</f>
        <v/>
      </c>
      <c r="L300" s="7">
        <f>IF('COPY 30 %'!$A300="","",'COPY 30 %'!T300)</f>
        <v/>
      </c>
      <c r="M300">
        <f>IF('COPY 30 %'!$A300="","",'COPY 30 %'!G300)</f>
        <v/>
      </c>
    </row>
    <row r="301">
      <c r="A301">
        <f>IF('COPY 30 %'!$A301="","",ROWS($A$2:$A301))</f>
        <v/>
      </c>
      <c r="B301">
        <f>IF('COPY 30 %'!$A301="","",'COPY 30 %'!E301)</f>
        <v/>
      </c>
      <c r="C301">
        <f>IF('COPY 30 %'!$A301="","",'COPY 30 %'!F301)</f>
        <v/>
      </c>
      <c r="D301" s="14">
        <f>IF('COPY 30 %'!$A301="","",'COPY 30 %'!I301)</f>
        <v/>
      </c>
      <c r="E301" s="7">
        <f>IF('COPY 30 %'!$A301="","",'COPY 30 %'!O301)</f>
        <v/>
      </c>
      <c r="F301" s="7">
        <f>IF('COPY 30 %'!$A301="","",'COPY 30 %'!L301)</f>
        <v/>
      </c>
      <c r="G301" s="7">
        <f>IF('COPY 30 %'!$A301="","",'COPY 30 %'!S301)</f>
        <v/>
      </c>
      <c r="H301">
        <f>IF('COPY 30 %'!$A301="","",'COPY 30 %'!P301)</f>
        <v/>
      </c>
      <c r="I301">
        <f>IF('COPY 30 %'!$A301="","",'COPY 30 %'!M301)</f>
        <v/>
      </c>
      <c r="J301" s="7">
        <f>IF('COPY 30 %'!$A301="","",'COPY 30 %'!Q301)</f>
        <v/>
      </c>
      <c r="K301" s="7">
        <f>IF('COPY 30 %'!$A301="","",'COPY 30 %'!H301)</f>
        <v/>
      </c>
      <c r="L301" s="7">
        <f>IF('COPY 30 %'!$A301="","",'COPY 30 %'!T301)</f>
        <v/>
      </c>
      <c r="M301">
        <f>IF('COPY 30 %'!$A301="","",'COPY 30 %'!G301)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10" t="inlineStr">
        <is>
          <t>م</t>
        </is>
      </c>
      <c r="B1" s="10" t="inlineStr">
        <is>
          <t>الاسم</t>
        </is>
      </c>
      <c r="C1" s="10" t="inlineStr">
        <is>
          <t>رقم الاداء</t>
        </is>
      </c>
      <c r="D1" s="10" t="inlineStr">
        <is>
          <t>التاريخ</t>
        </is>
      </c>
      <c r="E1" s="10" t="inlineStr">
        <is>
          <t>محلي قبل الخصم</t>
        </is>
      </c>
      <c r="F1" s="10" t="inlineStr">
        <is>
          <t>مستورد قبل الخصم</t>
        </is>
      </c>
      <c r="G1" s="10" t="inlineStr">
        <is>
          <t>الاجمالي قبل الخصم</t>
        </is>
      </c>
      <c r="H1" s="10" t="inlineStr">
        <is>
          <t>قيمه خصم المحلي</t>
        </is>
      </c>
      <c r="I1" s="10" t="inlineStr">
        <is>
          <t>قيمه خصم المستورد</t>
        </is>
      </c>
      <c r="J1" s="10" t="inlineStr">
        <is>
          <t>اجمالي قيمه الخصم</t>
        </is>
      </c>
      <c r="K1" s="10" t="inlineStr">
        <is>
          <t>تحمل المريض</t>
        </is>
      </c>
      <c r="L1" s="10" t="inlineStr">
        <is>
          <t>الصافي</t>
        </is>
      </c>
      <c r="M1" s="10" t="inlineStr">
        <is>
          <t>نسبه التحمل</t>
        </is>
      </c>
    </row>
    <row r="2">
      <c r="A2">
        <f>IF('COPY 20 %'!$A2="","",ROWS($A$2:$A2))</f>
        <v/>
      </c>
      <c r="B2">
        <f>IF('COPY 20 %'!$A2="","",'COPY 20 %'!E2)</f>
        <v/>
      </c>
      <c r="C2">
        <f>IF('COPY 20 %'!$A2="","",'COPY 20 %'!F2)</f>
        <v/>
      </c>
      <c r="D2" s="14">
        <f>IF('COPY 20 %'!$A2="","",'COPY 20 %'!I2)</f>
        <v/>
      </c>
      <c r="E2" s="7">
        <f>IF('COPY 20 %'!$A2="","",'COPY 20 %'!O2)</f>
        <v/>
      </c>
      <c r="F2" s="7">
        <f>IF('COPY 20 %'!$A2="","",'COPY 20 %'!L2)</f>
        <v/>
      </c>
      <c r="G2" s="7">
        <f>IF('COPY 20 %'!$A2="","",'COPY 20 %'!S2)</f>
        <v/>
      </c>
      <c r="H2">
        <f>IF('COPY 20 %'!$A2="","",'COPY 20 %'!P2)</f>
        <v/>
      </c>
      <c r="I2">
        <f>IF('COPY 20 %'!$A2="","",'COPY 20 %'!M2)</f>
        <v/>
      </c>
      <c r="J2" s="7">
        <f>IF('COPY 20 %'!$A2="","",'COPY 20 %'!Q2)</f>
        <v/>
      </c>
      <c r="K2" s="7">
        <f>IF('COPY 20 %'!$A2="","",'COPY 20 %'!H2)</f>
        <v/>
      </c>
      <c r="L2" s="7">
        <f>IF('COPY 20 %'!$A2="","",'COPY 20 %'!T2)</f>
        <v/>
      </c>
      <c r="M2">
        <f>IF('COPY 20 %'!$A2="","",'COPY 20 %'!G2)</f>
        <v/>
      </c>
    </row>
    <row r="3">
      <c r="A3">
        <f>IF('COPY 20 %'!$A3="","",ROWS($A$2:$A3))</f>
        <v/>
      </c>
      <c r="B3">
        <f>IF('COPY 20 %'!$A3="","",'COPY 20 %'!E3)</f>
        <v/>
      </c>
      <c r="C3">
        <f>IF('COPY 20 %'!$A3="","",'COPY 20 %'!F3)</f>
        <v/>
      </c>
      <c r="D3" s="14">
        <f>IF('COPY 20 %'!$A3="","",'COPY 20 %'!I3)</f>
        <v/>
      </c>
      <c r="E3" s="7">
        <f>IF('COPY 20 %'!$A3="","",'COPY 20 %'!O3)</f>
        <v/>
      </c>
      <c r="F3" s="7">
        <f>IF('COPY 20 %'!$A3="","",'COPY 20 %'!L3)</f>
        <v/>
      </c>
      <c r="G3" s="7">
        <f>IF('COPY 20 %'!$A3="","",'COPY 20 %'!S3)</f>
        <v/>
      </c>
      <c r="H3">
        <f>IF('COPY 20 %'!$A3="","",'COPY 20 %'!P3)</f>
        <v/>
      </c>
      <c r="I3">
        <f>IF('COPY 20 %'!$A3="","",'COPY 20 %'!M3)</f>
        <v/>
      </c>
      <c r="J3" s="7">
        <f>IF('COPY 20 %'!$A3="","",'COPY 20 %'!Q3)</f>
        <v/>
      </c>
      <c r="K3" s="7">
        <f>IF('COPY 20 %'!$A3="","",'COPY 20 %'!H3)</f>
        <v/>
      </c>
      <c r="L3" s="7">
        <f>IF('COPY 20 %'!$A3="","",'COPY 20 %'!T3)</f>
        <v/>
      </c>
      <c r="M3">
        <f>IF('COPY 20 %'!$A3="","",'COPY 20 %'!G3)</f>
        <v/>
      </c>
    </row>
    <row r="4">
      <c r="A4">
        <f>IF('COPY 20 %'!$A4="","",ROWS($A$2:$A4))</f>
        <v/>
      </c>
      <c r="B4">
        <f>IF('COPY 20 %'!$A4="","",'COPY 20 %'!E4)</f>
        <v/>
      </c>
      <c r="C4">
        <f>IF('COPY 20 %'!$A4="","",'COPY 20 %'!F4)</f>
        <v/>
      </c>
      <c r="D4" s="14">
        <f>IF('COPY 20 %'!$A4="","",'COPY 20 %'!I4)</f>
        <v/>
      </c>
      <c r="E4" s="7">
        <f>IF('COPY 20 %'!$A4="","",'COPY 20 %'!O4)</f>
        <v/>
      </c>
      <c r="F4" s="7">
        <f>IF('COPY 20 %'!$A4="","",'COPY 20 %'!L4)</f>
        <v/>
      </c>
      <c r="G4" s="7">
        <f>IF('COPY 20 %'!$A4="","",'COPY 20 %'!S4)</f>
        <v/>
      </c>
      <c r="H4">
        <f>IF('COPY 20 %'!$A4="","",'COPY 20 %'!P4)</f>
        <v/>
      </c>
      <c r="I4">
        <f>IF('COPY 20 %'!$A4="","",'COPY 20 %'!M4)</f>
        <v/>
      </c>
      <c r="J4" s="7">
        <f>IF('COPY 20 %'!$A4="","",'COPY 20 %'!Q4)</f>
        <v/>
      </c>
      <c r="K4" s="7">
        <f>IF('COPY 20 %'!$A4="","",'COPY 20 %'!H4)</f>
        <v/>
      </c>
      <c r="L4" s="7">
        <f>IF('COPY 20 %'!$A4="","",'COPY 20 %'!T4)</f>
        <v/>
      </c>
      <c r="M4">
        <f>IF('COPY 20 %'!$A4="","",'COPY 20 %'!G4)</f>
        <v/>
      </c>
    </row>
    <row r="5">
      <c r="A5">
        <f>IF('COPY 20 %'!$A5="","",ROWS($A$2:$A5))</f>
        <v/>
      </c>
      <c r="B5">
        <f>IF('COPY 20 %'!$A5="","",'COPY 20 %'!E5)</f>
        <v/>
      </c>
      <c r="C5">
        <f>IF('COPY 20 %'!$A5="","",'COPY 20 %'!F5)</f>
        <v/>
      </c>
      <c r="D5" s="14">
        <f>IF('COPY 20 %'!$A5="","",'COPY 20 %'!I5)</f>
        <v/>
      </c>
      <c r="E5" s="7">
        <f>IF('COPY 20 %'!$A5="","",'COPY 20 %'!O5)</f>
        <v/>
      </c>
      <c r="F5" s="7">
        <f>IF('COPY 20 %'!$A5="","",'COPY 20 %'!L5)</f>
        <v/>
      </c>
      <c r="G5" s="7">
        <f>IF('COPY 20 %'!$A5="","",'COPY 20 %'!S5)</f>
        <v/>
      </c>
      <c r="H5">
        <f>IF('COPY 20 %'!$A5="","",'COPY 20 %'!P5)</f>
        <v/>
      </c>
      <c r="I5">
        <f>IF('COPY 20 %'!$A5="","",'COPY 20 %'!M5)</f>
        <v/>
      </c>
      <c r="J5" s="7">
        <f>IF('COPY 20 %'!$A5="","",'COPY 20 %'!Q5)</f>
        <v/>
      </c>
      <c r="K5" s="7">
        <f>IF('COPY 20 %'!$A5="","",'COPY 20 %'!H5)</f>
        <v/>
      </c>
      <c r="L5" s="7">
        <f>IF('COPY 20 %'!$A5="","",'COPY 20 %'!T5)</f>
        <v/>
      </c>
      <c r="M5">
        <f>IF('COPY 20 %'!$A5="","",'COPY 20 %'!G5)</f>
        <v/>
      </c>
    </row>
    <row r="6">
      <c r="A6">
        <f>IF('COPY 20 %'!$A6="","",ROWS($A$2:$A6))</f>
        <v/>
      </c>
      <c r="B6">
        <f>IF('COPY 20 %'!$A6="","",'COPY 20 %'!E6)</f>
        <v/>
      </c>
      <c r="C6">
        <f>IF('COPY 20 %'!$A6="","",'COPY 20 %'!F6)</f>
        <v/>
      </c>
      <c r="D6" s="14">
        <f>IF('COPY 20 %'!$A6="","",'COPY 20 %'!I6)</f>
        <v/>
      </c>
      <c r="E6" s="7">
        <f>IF('COPY 20 %'!$A6="","",'COPY 20 %'!O6)</f>
        <v/>
      </c>
      <c r="F6" s="7">
        <f>IF('COPY 20 %'!$A6="","",'COPY 20 %'!L6)</f>
        <v/>
      </c>
      <c r="G6" s="7">
        <f>IF('COPY 20 %'!$A6="","",'COPY 20 %'!S6)</f>
        <v/>
      </c>
      <c r="H6">
        <f>IF('COPY 20 %'!$A6="","",'COPY 20 %'!P6)</f>
        <v/>
      </c>
      <c r="I6">
        <f>IF('COPY 20 %'!$A6="","",'COPY 20 %'!M6)</f>
        <v/>
      </c>
      <c r="J6" s="7">
        <f>IF('COPY 20 %'!$A6="","",'COPY 20 %'!Q6)</f>
        <v/>
      </c>
      <c r="K6" s="7">
        <f>IF('COPY 20 %'!$A6="","",'COPY 20 %'!H6)</f>
        <v/>
      </c>
      <c r="L6" s="7">
        <f>IF('COPY 20 %'!$A6="","",'COPY 20 %'!T6)</f>
        <v/>
      </c>
      <c r="M6">
        <f>IF('COPY 20 %'!$A6="","",'COPY 20 %'!G6)</f>
        <v/>
      </c>
    </row>
    <row r="7">
      <c r="A7">
        <f>IF('COPY 20 %'!$A7="","",ROWS($A$2:$A7))</f>
        <v/>
      </c>
      <c r="B7">
        <f>IF('COPY 20 %'!$A7="","",'COPY 20 %'!E7)</f>
        <v/>
      </c>
      <c r="C7">
        <f>IF('COPY 20 %'!$A7="","",'COPY 20 %'!F7)</f>
        <v/>
      </c>
      <c r="D7" s="14">
        <f>IF('COPY 20 %'!$A7="","",'COPY 20 %'!I7)</f>
        <v/>
      </c>
      <c r="E7" s="7">
        <f>IF('COPY 20 %'!$A7="","",'COPY 20 %'!O7)</f>
        <v/>
      </c>
      <c r="F7" s="7">
        <f>IF('COPY 20 %'!$A7="","",'COPY 20 %'!L7)</f>
        <v/>
      </c>
      <c r="G7" s="7">
        <f>IF('COPY 20 %'!$A7="","",'COPY 20 %'!S7)</f>
        <v/>
      </c>
      <c r="H7">
        <f>IF('COPY 20 %'!$A7="","",'COPY 20 %'!P7)</f>
        <v/>
      </c>
      <c r="I7">
        <f>IF('COPY 20 %'!$A7="","",'COPY 20 %'!M7)</f>
        <v/>
      </c>
      <c r="J7" s="7">
        <f>IF('COPY 20 %'!$A7="","",'COPY 20 %'!Q7)</f>
        <v/>
      </c>
      <c r="K7" s="7">
        <f>IF('COPY 20 %'!$A7="","",'COPY 20 %'!H7)</f>
        <v/>
      </c>
      <c r="L7" s="7">
        <f>IF('COPY 20 %'!$A7="","",'COPY 20 %'!T7)</f>
        <v/>
      </c>
      <c r="M7">
        <f>IF('COPY 20 %'!$A7="","",'COPY 20 %'!G7)</f>
        <v/>
      </c>
    </row>
    <row r="8">
      <c r="A8">
        <f>IF('COPY 20 %'!$A8="","",ROWS($A$2:$A8))</f>
        <v/>
      </c>
      <c r="B8">
        <f>IF('COPY 20 %'!$A8="","",'COPY 20 %'!E8)</f>
        <v/>
      </c>
      <c r="C8">
        <f>IF('COPY 20 %'!$A8="","",'COPY 20 %'!F8)</f>
        <v/>
      </c>
      <c r="D8" s="14">
        <f>IF('COPY 20 %'!$A8="","",'COPY 20 %'!I8)</f>
        <v/>
      </c>
      <c r="E8" s="7">
        <f>IF('COPY 20 %'!$A8="","",'COPY 20 %'!O8)</f>
        <v/>
      </c>
      <c r="F8" s="7">
        <f>IF('COPY 20 %'!$A8="","",'COPY 20 %'!L8)</f>
        <v/>
      </c>
      <c r="G8" s="7">
        <f>IF('COPY 20 %'!$A8="","",'COPY 20 %'!S8)</f>
        <v/>
      </c>
      <c r="H8">
        <f>IF('COPY 20 %'!$A8="","",'COPY 20 %'!P8)</f>
        <v/>
      </c>
      <c r="I8">
        <f>IF('COPY 20 %'!$A8="","",'COPY 20 %'!M8)</f>
        <v/>
      </c>
      <c r="J8" s="7">
        <f>IF('COPY 20 %'!$A8="","",'COPY 20 %'!Q8)</f>
        <v/>
      </c>
      <c r="K8" s="7">
        <f>IF('COPY 20 %'!$A8="","",'COPY 20 %'!H8)</f>
        <v/>
      </c>
      <c r="L8" s="7">
        <f>IF('COPY 20 %'!$A8="","",'COPY 20 %'!T8)</f>
        <v/>
      </c>
      <c r="M8">
        <f>IF('COPY 20 %'!$A8="","",'COPY 20 %'!G8)</f>
        <v/>
      </c>
    </row>
    <row r="9">
      <c r="A9">
        <f>IF('COPY 20 %'!$A9="","",ROWS($A$2:$A9))</f>
        <v/>
      </c>
      <c r="B9">
        <f>IF('COPY 20 %'!$A9="","",'COPY 20 %'!E9)</f>
        <v/>
      </c>
      <c r="C9">
        <f>IF('COPY 20 %'!$A9="","",'COPY 20 %'!F9)</f>
        <v/>
      </c>
      <c r="D9" s="14">
        <f>IF('COPY 20 %'!$A9="","",'COPY 20 %'!I9)</f>
        <v/>
      </c>
      <c r="E9" s="7">
        <f>IF('COPY 20 %'!$A9="","",'COPY 20 %'!O9)</f>
        <v/>
      </c>
      <c r="F9" s="7">
        <f>IF('COPY 20 %'!$A9="","",'COPY 20 %'!L9)</f>
        <v/>
      </c>
      <c r="G9" s="7">
        <f>IF('COPY 20 %'!$A9="","",'COPY 20 %'!S9)</f>
        <v/>
      </c>
      <c r="H9">
        <f>IF('COPY 20 %'!$A9="","",'COPY 20 %'!P9)</f>
        <v/>
      </c>
      <c r="I9">
        <f>IF('COPY 20 %'!$A9="","",'COPY 20 %'!M9)</f>
        <v/>
      </c>
      <c r="J9" s="7">
        <f>IF('COPY 20 %'!$A9="","",'COPY 20 %'!Q9)</f>
        <v/>
      </c>
      <c r="K9" s="7">
        <f>IF('COPY 20 %'!$A9="","",'COPY 20 %'!H9)</f>
        <v/>
      </c>
      <c r="L9" s="7">
        <f>IF('COPY 20 %'!$A9="","",'COPY 20 %'!T9)</f>
        <v/>
      </c>
      <c r="M9">
        <f>IF('COPY 20 %'!$A9="","",'COPY 20 %'!G9)</f>
        <v/>
      </c>
    </row>
    <row r="10">
      <c r="A10">
        <f>IF('COPY 20 %'!$A10="","",ROWS($A$2:$A10))</f>
        <v/>
      </c>
      <c r="B10">
        <f>IF('COPY 20 %'!$A10="","",'COPY 20 %'!E10)</f>
        <v/>
      </c>
      <c r="C10">
        <f>IF('COPY 20 %'!$A10="","",'COPY 20 %'!F10)</f>
        <v/>
      </c>
      <c r="D10" s="14">
        <f>IF('COPY 20 %'!$A10="","",'COPY 20 %'!I10)</f>
        <v/>
      </c>
      <c r="E10" s="7">
        <f>IF('COPY 20 %'!$A10="","",'COPY 20 %'!O10)</f>
        <v/>
      </c>
      <c r="F10" s="7">
        <f>IF('COPY 20 %'!$A10="","",'COPY 20 %'!L10)</f>
        <v/>
      </c>
      <c r="G10" s="7">
        <f>IF('COPY 20 %'!$A10="","",'COPY 20 %'!S10)</f>
        <v/>
      </c>
      <c r="H10">
        <f>IF('COPY 20 %'!$A10="","",'COPY 20 %'!P10)</f>
        <v/>
      </c>
      <c r="I10">
        <f>IF('COPY 20 %'!$A10="","",'COPY 20 %'!M10)</f>
        <v/>
      </c>
      <c r="J10" s="7">
        <f>IF('COPY 20 %'!$A10="","",'COPY 20 %'!Q10)</f>
        <v/>
      </c>
      <c r="K10" s="7">
        <f>IF('COPY 20 %'!$A10="","",'COPY 20 %'!H10)</f>
        <v/>
      </c>
      <c r="L10" s="7">
        <f>IF('COPY 20 %'!$A10="","",'COPY 20 %'!T10)</f>
        <v/>
      </c>
      <c r="M10">
        <f>IF('COPY 20 %'!$A10="","",'COPY 20 %'!G10)</f>
        <v/>
      </c>
    </row>
    <row r="11">
      <c r="A11">
        <f>IF('COPY 20 %'!$A11="","",ROWS($A$2:$A11))</f>
        <v/>
      </c>
      <c r="B11">
        <f>IF('COPY 20 %'!$A11="","",'COPY 20 %'!E11)</f>
        <v/>
      </c>
      <c r="C11">
        <f>IF('COPY 20 %'!$A11="","",'COPY 20 %'!F11)</f>
        <v/>
      </c>
      <c r="D11" s="14">
        <f>IF('COPY 20 %'!$A11="","",'COPY 20 %'!I11)</f>
        <v/>
      </c>
      <c r="E11" s="7">
        <f>IF('COPY 20 %'!$A11="","",'COPY 20 %'!O11)</f>
        <v/>
      </c>
      <c r="F11" s="7">
        <f>IF('COPY 20 %'!$A11="","",'COPY 20 %'!L11)</f>
        <v/>
      </c>
      <c r="G11" s="7">
        <f>IF('COPY 20 %'!$A11="","",'COPY 20 %'!S11)</f>
        <v/>
      </c>
      <c r="H11">
        <f>IF('COPY 20 %'!$A11="","",'COPY 20 %'!P11)</f>
        <v/>
      </c>
      <c r="I11">
        <f>IF('COPY 20 %'!$A11="","",'COPY 20 %'!M11)</f>
        <v/>
      </c>
      <c r="J11" s="7">
        <f>IF('COPY 20 %'!$A11="","",'COPY 20 %'!Q11)</f>
        <v/>
      </c>
      <c r="K11" s="7">
        <f>IF('COPY 20 %'!$A11="","",'COPY 20 %'!H11)</f>
        <v/>
      </c>
      <c r="L11" s="7">
        <f>IF('COPY 20 %'!$A11="","",'COPY 20 %'!T11)</f>
        <v/>
      </c>
      <c r="M11">
        <f>IF('COPY 20 %'!$A11="","",'COPY 20 %'!G11)</f>
        <v/>
      </c>
    </row>
    <row r="12">
      <c r="A12">
        <f>IF('COPY 20 %'!$A12="","",ROWS($A$2:$A12))</f>
        <v/>
      </c>
      <c r="B12">
        <f>IF('COPY 20 %'!$A12="","",'COPY 20 %'!E12)</f>
        <v/>
      </c>
      <c r="C12">
        <f>IF('COPY 20 %'!$A12="","",'COPY 20 %'!F12)</f>
        <v/>
      </c>
      <c r="D12" s="14">
        <f>IF('COPY 20 %'!$A12="","",'COPY 20 %'!I12)</f>
        <v/>
      </c>
      <c r="E12" s="7">
        <f>IF('COPY 20 %'!$A12="","",'COPY 20 %'!O12)</f>
        <v/>
      </c>
      <c r="F12" s="7">
        <f>IF('COPY 20 %'!$A12="","",'COPY 20 %'!L12)</f>
        <v/>
      </c>
      <c r="G12" s="7">
        <f>IF('COPY 20 %'!$A12="","",'COPY 20 %'!S12)</f>
        <v/>
      </c>
      <c r="H12">
        <f>IF('COPY 20 %'!$A12="","",'COPY 20 %'!P12)</f>
        <v/>
      </c>
      <c r="I12">
        <f>IF('COPY 20 %'!$A12="","",'COPY 20 %'!M12)</f>
        <v/>
      </c>
      <c r="J12" s="7">
        <f>IF('COPY 20 %'!$A12="","",'COPY 20 %'!Q12)</f>
        <v/>
      </c>
      <c r="K12" s="7">
        <f>IF('COPY 20 %'!$A12="","",'COPY 20 %'!H12)</f>
        <v/>
      </c>
      <c r="L12" s="7">
        <f>IF('COPY 20 %'!$A12="","",'COPY 20 %'!T12)</f>
        <v/>
      </c>
      <c r="M12">
        <f>IF('COPY 20 %'!$A12="","",'COPY 20 %'!G12)</f>
        <v/>
      </c>
    </row>
    <row r="13">
      <c r="A13">
        <f>IF('COPY 20 %'!$A13="","",ROWS($A$2:$A13))</f>
        <v/>
      </c>
      <c r="B13">
        <f>IF('COPY 20 %'!$A13="","",'COPY 20 %'!E13)</f>
        <v/>
      </c>
      <c r="C13">
        <f>IF('COPY 20 %'!$A13="","",'COPY 20 %'!F13)</f>
        <v/>
      </c>
      <c r="D13" s="14">
        <f>IF('COPY 20 %'!$A13="","",'COPY 20 %'!I13)</f>
        <v/>
      </c>
      <c r="E13" s="7">
        <f>IF('COPY 20 %'!$A13="","",'COPY 20 %'!O13)</f>
        <v/>
      </c>
      <c r="F13" s="7">
        <f>IF('COPY 20 %'!$A13="","",'COPY 20 %'!L13)</f>
        <v/>
      </c>
      <c r="G13" s="7">
        <f>IF('COPY 20 %'!$A13="","",'COPY 20 %'!S13)</f>
        <v/>
      </c>
      <c r="H13">
        <f>IF('COPY 20 %'!$A13="","",'COPY 20 %'!P13)</f>
        <v/>
      </c>
      <c r="I13">
        <f>IF('COPY 20 %'!$A13="","",'COPY 20 %'!M13)</f>
        <v/>
      </c>
      <c r="J13" s="7">
        <f>IF('COPY 20 %'!$A13="","",'COPY 20 %'!Q13)</f>
        <v/>
      </c>
      <c r="K13" s="7">
        <f>IF('COPY 20 %'!$A13="","",'COPY 20 %'!H13)</f>
        <v/>
      </c>
      <c r="L13" s="7">
        <f>IF('COPY 20 %'!$A13="","",'COPY 20 %'!T13)</f>
        <v/>
      </c>
      <c r="M13">
        <f>IF('COPY 20 %'!$A13="","",'COPY 20 %'!G13)</f>
        <v/>
      </c>
    </row>
    <row r="14">
      <c r="A14">
        <f>IF('COPY 20 %'!$A14="","",ROWS($A$2:$A14))</f>
        <v/>
      </c>
      <c r="B14">
        <f>IF('COPY 20 %'!$A14="","",'COPY 20 %'!E14)</f>
        <v/>
      </c>
      <c r="C14">
        <f>IF('COPY 20 %'!$A14="","",'COPY 20 %'!F14)</f>
        <v/>
      </c>
      <c r="D14" s="14">
        <f>IF('COPY 20 %'!$A14="","",'COPY 20 %'!I14)</f>
        <v/>
      </c>
      <c r="E14" s="7">
        <f>IF('COPY 20 %'!$A14="","",'COPY 20 %'!O14)</f>
        <v/>
      </c>
      <c r="F14" s="7">
        <f>IF('COPY 20 %'!$A14="","",'COPY 20 %'!L14)</f>
        <v/>
      </c>
      <c r="G14" s="7">
        <f>IF('COPY 20 %'!$A14="","",'COPY 20 %'!S14)</f>
        <v/>
      </c>
      <c r="H14">
        <f>IF('COPY 20 %'!$A14="","",'COPY 20 %'!P14)</f>
        <v/>
      </c>
      <c r="I14">
        <f>IF('COPY 20 %'!$A14="","",'COPY 20 %'!M14)</f>
        <v/>
      </c>
      <c r="J14" s="7">
        <f>IF('COPY 20 %'!$A14="","",'COPY 20 %'!Q14)</f>
        <v/>
      </c>
      <c r="K14" s="7">
        <f>IF('COPY 20 %'!$A14="","",'COPY 20 %'!H14)</f>
        <v/>
      </c>
      <c r="L14" s="7">
        <f>IF('COPY 20 %'!$A14="","",'COPY 20 %'!T14)</f>
        <v/>
      </c>
      <c r="M14">
        <f>IF('COPY 20 %'!$A14="","",'COPY 20 %'!G14)</f>
        <v/>
      </c>
    </row>
    <row r="15">
      <c r="A15">
        <f>IF('COPY 20 %'!$A15="","",ROWS($A$2:$A15))</f>
        <v/>
      </c>
      <c r="B15">
        <f>IF('COPY 20 %'!$A15="","",'COPY 20 %'!E15)</f>
        <v/>
      </c>
      <c r="C15">
        <f>IF('COPY 20 %'!$A15="","",'COPY 20 %'!F15)</f>
        <v/>
      </c>
      <c r="D15" s="14">
        <f>IF('COPY 20 %'!$A15="","",'COPY 20 %'!I15)</f>
        <v/>
      </c>
      <c r="E15" s="7">
        <f>IF('COPY 20 %'!$A15="","",'COPY 20 %'!O15)</f>
        <v/>
      </c>
      <c r="F15" s="7">
        <f>IF('COPY 20 %'!$A15="","",'COPY 20 %'!L15)</f>
        <v/>
      </c>
      <c r="G15" s="7">
        <f>IF('COPY 20 %'!$A15="","",'COPY 20 %'!S15)</f>
        <v/>
      </c>
      <c r="H15">
        <f>IF('COPY 20 %'!$A15="","",'COPY 20 %'!P15)</f>
        <v/>
      </c>
      <c r="I15">
        <f>IF('COPY 20 %'!$A15="","",'COPY 20 %'!M15)</f>
        <v/>
      </c>
      <c r="J15" s="7">
        <f>IF('COPY 20 %'!$A15="","",'COPY 20 %'!Q15)</f>
        <v/>
      </c>
      <c r="K15" s="7">
        <f>IF('COPY 20 %'!$A15="","",'COPY 20 %'!H15)</f>
        <v/>
      </c>
      <c r="L15" s="7">
        <f>IF('COPY 20 %'!$A15="","",'COPY 20 %'!T15)</f>
        <v/>
      </c>
      <c r="M15">
        <f>IF('COPY 20 %'!$A15="","",'COPY 20 %'!G15)</f>
        <v/>
      </c>
    </row>
    <row r="16">
      <c r="A16">
        <f>IF('COPY 20 %'!$A16="","",ROWS($A$2:$A16))</f>
        <v/>
      </c>
      <c r="B16">
        <f>IF('COPY 20 %'!$A16="","",'COPY 20 %'!E16)</f>
        <v/>
      </c>
      <c r="C16">
        <f>IF('COPY 20 %'!$A16="","",'COPY 20 %'!F16)</f>
        <v/>
      </c>
      <c r="D16" s="14">
        <f>IF('COPY 20 %'!$A16="","",'COPY 20 %'!I16)</f>
        <v/>
      </c>
      <c r="E16" s="7">
        <f>IF('COPY 20 %'!$A16="","",'COPY 20 %'!O16)</f>
        <v/>
      </c>
      <c r="F16" s="7">
        <f>IF('COPY 20 %'!$A16="","",'COPY 20 %'!L16)</f>
        <v/>
      </c>
      <c r="G16" s="7">
        <f>IF('COPY 20 %'!$A16="","",'COPY 20 %'!S16)</f>
        <v/>
      </c>
      <c r="H16">
        <f>IF('COPY 20 %'!$A16="","",'COPY 20 %'!P16)</f>
        <v/>
      </c>
      <c r="I16">
        <f>IF('COPY 20 %'!$A16="","",'COPY 20 %'!M16)</f>
        <v/>
      </c>
      <c r="J16" s="7">
        <f>IF('COPY 20 %'!$A16="","",'COPY 20 %'!Q16)</f>
        <v/>
      </c>
      <c r="K16" s="7">
        <f>IF('COPY 20 %'!$A16="","",'COPY 20 %'!H16)</f>
        <v/>
      </c>
      <c r="L16" s="7">
        <f>IF('COPY 20 %'!$A16="","",'COPY 20 %'!T16)</f>
        <v/>
      </c>
      <c r="M16">
        <f>IF('COPY 20 %'!$A16="","",'COPY 20 %'!G16)</f>
        <v/>
      </c>
    </row>
    <row r="17">
      <c r="A17">
        <f>IF('COPY 20 %'!$A17="","",ROWS($A$2:$A17))</f>
        <v/>
      </c>
      <c r="B17">
        <f>IF('COPY 20 %'!$A17="","",'COPY 20 %'!E17)</f>
        <v/>
      </c>
      <c r="C17">
        <f>IF('COPY 20 %'!$A17="","",'COPY 20 %'!F17)</f>
        <v/>
      </c>
      <c r="D17" s="14">
        <f>IF('COPY 20 %'!$A17="","",'COPY 20 %'!I17)</f>
        <v/>
      </c>
      <c r="E17" s="7">
        <f>IF('COPY 20 %'!$A17="","",'COPY 20 %'!O17)</f>
        <v/>
      </c>
      <c r="F17" s="7">
        <f>IF('COPY 20 %'!$A17="","",'COPY 20 %'!L17)</f>
        <v/>
      </c>
      <c r="G17" s="7">
        <f>IF('COPY 20 %'!$A17="","",'COPY 20 %'!S17)</f>
        <v/>
      </c>
      <c r="H17">
        <f>IF('COPY 20 %'!$A17="","",'COPY 20 %'!P17)</f>
        <v/>
      </c>
      <c r="I17">
        <f>IF('COPY 20 %'!$A17="","",'COPY 20 %'!M17)</f>
        <v/>
      </c>
      <c r="J17" s="7">
        <f>IF('COPY 20 %'!$A17="","",'COPY 20 %'!Q17)</f>
        <v/>
      </c>
      <c r="K17" s="7">
        <f>IF('COPY 20 %'!$A17="","",'COPY 20 %'!H17)</f>
        <v/>
      </c>
      <c r="L17" s="7">
        <f>IF('COPY 20 %'!$A17="","",'COPY 20 %'!T17)</f>
        <v/>
      </c>
      <c r="M17">
        <f>IF('COPY 20 %'!$A17="","",'COPY 20 %'!G17)</f>
        <v/>
      </c>
    </row>
    <row r="18">
      <c r="A18">
        <f>IF('COPY 20 %'!$A18="","",ROWS($A$2:$A18))</f>
        <v/>
      </c>
      <c r="B18">
        <f>IF('COPY 20 %'!$A18="","",'COPY 20 %'!E18)</f>
        <v/>
      </c>
      <c r="C18">
        <f>IF('COPY 20 %'!$A18="","",'COPY 20 %'!F18)</f>
        <v/>
      </c>
      <c r="D18" s="14">
        <f>IF('COPY 20 %'!$A18="","",'COPY 20 %'!I18)</f>
        <v/>
      </c>
      <c r="E18" s="7">
        <f>IF('COPY 20 %'!$A18="","",'COPY 20 %'!O18)</f>
        <v/>
      </c>
      <c r="F18" s="7">
        <f>IF('COPY 20 %'!$A18="","",'COPY 20 %'!L18)</f>
        <v/>
      </c>
      <c r="G18" s="7">
        <f>IF('COPY 20 %'!$A18="","",'COPY 20 %'!S18)</f>
        <v/>
      </c>
      <c r="H18">
        <f>IF('COPY 20 %'!$A18="","",'COPY 20 %'!P18)</f>
        <v/>
      </c>
      <c r="I18">
        <f>IF('COPY 20 %'!$A18="","",'COPY 20 %'!M18)</f>
        <v/>
      </c>
      <c r="J18" s="7">
        <f>IF('COPY 20 %'!$A18="","",'COPY 20 %'!Q18)</f>
        <v/>
      </c>
      <c r="K18" s="7">
        <f>IF('COPY 20 %'!$A18="","",'COPY 20 %'!H18)</f>
        <v/>
      </c>
      <c r="L18" s="7">
        <f>IF('COPY 20 %'!$A18="","",'COPY 20 %'!T18)</f>
        <v/>
      </c>
      <c r="M18">
        <f>IF('COPY 20 %'!$A18="","",'COPY 20 %'!G18)</f>
        <v/>
      </c>
    </row>
    <row r="19">
      <c r="A19">
        <f>IF('COPY 20 %'!$A19="","",ROWS($A$2:$A19))</f>
        <v/>
      </c>
      <c r="B19">
        <f>IF('COPY 20 %'!$A19="","",'COPY 20 %'!E19)</f>
        <v/>
      </c>
      <c r="C19">
        <f>IF('COPY 20 %'!$A19="","",'COPY 20 %'!F19)</f>
        <v/>
      </c>
      <c r="D19" s="14">
        <f>IF('COPY 20 %'!$A19="","",'COPY 20 %'!I19)</f>
        <v/>
      </c>
      <c r="E19" s="7">
        <f>IF('COPY 20 %'!$A19="","",'COPY 20 %'!O19)</f>
        <v/>
      </c>
      <c r="F19" s="7">
        <f>IF('COPY 20 %'!$A19="","",'COPY 20 %'!L19)</f>
        <v/>
      </c>
      <c r="G19" s="7">
        <f>IF('COPY 20 %'!$A19="","",'COPY 20 %'!S19)</f>
        <v/>
      </c>
      <c r="H19">
        <f>IF('COPY 20 %'!$A19="","",'COPY 20 %'!P19)</f>
        <v/>
      </c>
      <c r="I19">
        <f>IF('COPY 20 %'!$A19="","",'COPY 20 %'!M19)</f>
        <v/>
      </c>
      <c r="J19" s="7">
        <f>IF('COPY 20 %'!$A19="","",'COPY 20 %'!Q19)</f>
        <v/>
      </c>
      <c r="K19" s="7">
        <f>IF('COPY 20 %'!$A19="","",'COPY 20 %'!H19)</f>
        <v/>
      </c>
      <c r="L19" s="7">
        <f>IF('COPY 20 %'!$A19="","",'COPY 20 %'!T19)</f>
        <v/>
      </c>
      <c r="M19">
        <f>IF('COPY 20 %'!$A19="","",'COPY 20 %'!G19)</f>
        <v/>
      </c>
    </row>
    <row r="20">
      <c r="A20">
        <f>IF('COPY 20 %'!$A20="","",ROWS($A$2:$A20))</f>
        <v/>
      </c>
      <c r="B20">
        <f>IF('COPY 20 %'!$A20="","",'COPY 20 %'!E20)</f>
        <v/>
      </c>
      <c r="C20">
        <f>IF('COPY 20 %'!$A20="","",'COPY 20 %'!F20)</f>
        <v/>
      </c>
      <c r="D20" s="14">
        <f>IF('COPY 20 %'!$A20="","",'COPY 20 %'!I20)</f>
        <v/>
      </c>
      <c r="E20" s="7">
        <f>IF('COPY 20 %'!$A20="","",'COPY 20 %'!O20)</f>
        <v/>
      </c>
      <c r="F20" s="7">
        <f>IF('COPY 20 %'!$A20="","",'COPY 20 %'!L20)</f>
        <v/>
      </c>
      <c r="G20" s="7">
        <f>IF('COPY 20 %'!$A20="","",'COPY 20 %'!S20)</f>
        <v/>
      </c>
      <c r="H20">
        <f>IF('COPY 20 %'!$A20="","",'COPY 20 %'!P20)</f>
        <v/>
      </c>
      <c r="I20">
        <f>IF('COPY 20 %'!$A20="","",'COPY 20 %'!M20)</f>
        <v/>
      </c>
      <c r="J20" s="7">
        <f>IF('COPY 20 %'!$A20="","",'COPY 20 %'!Q20)</f>
        <v/>
      </c>
      <c r="K20" s="7">
        <f>IF('COPY 20 %'!$A20="","",'COPY 20 %'!H20)</f>
        <v/>
      </c>
      <c r="L20" s="7">
        <f>IF('COPY 20 %'!$A20="","",'COPY 20 %'!T20)</f>
        <v/>
      </c>
      <c r="M20">
        <f>IF('COPY 20 %'!$A20="","",'COPY 20 %'!G20)</f>
        <v/>
      </c>
    </row>
    <row r="21">
      <c r="A21">
        <f>IF('COPY 20 %'!$A21="","",ROWS($A$2:$A21))</f>
        <v/>
      </c>
      <c r="B21">
        <f>IF('COPY 20 %'!$A21="","",'COPY 20 %'!E21)</f>
        <v/>
      </c>
      <c r="C21">
        <f>IF('COPY 20 %'!$A21="","",'COPY 20 %'!F21)</f>
        <v/>
      </c>
      <c r="D21" s="14">
        <f>IF('COPY 20 %'!$A21="","",'COPY 20 %'!I21)</f>
        <v/>
      </c>
      <c r="E21" s="7">
        <f>IF('COPY 20 %'!$A21="","",'COPY 20 %'!O21)</f>
        <v/>
      </c>
      <c r="F21" s="7">
        <f>IF('COPY 20 %'!$A21="","",'COPY 20 %'!L21)</f>
        <v/>
      </c>
      <c r="G21" s="7">
        <f>IF('COPY 20 %'!$A21="","",'COPY 20 %'!S21)</f>
        <v/>
      </c>
      <c r="H21">
        <f>IF('COPY 20 %'!$A21="","",'COPY 20 %'!P21)</f>
        <v/>
      </c>
      <c r="I21">
        <f>IF('COPY 20 %'!$A21="","",'COPY 20 %'!M21)</f>
        <v/>
      </c>
      <c r="J21" s="7">
        <f>IF('COPY 20 %'!$A21="","",'COPY 20 %'!Q21)</f>
        <v/>
      </c>
      <c r="K21" s="7">
        <f>IF('COPY 20 %'!$A21="","",'COPY 20 %'!H21)</f>
        <v/>
      </c>
      <c r="L21" s="7">
        <f>IF('COPY 20 %'!$A21="","",'COPY 20 %'!T21)</f>
        <v/>
      </c>
      <c r="M21">
        <f>IF('COPY 20 %'!$A21="","",'COPY 20 %'!G21)</f>
        <v/>
      </c>
    </row>
    <row r="22">
      <c r="A22">
        <f>IF('COPY 20 %'!$A22="","",ROWS($A$2:$A22))</f>
        <v/>
      </c>
      <c r="B22">
        <f>IF('COPY 20 %'!$A22="","",'COPY 20 %'!E22)</f>
        <v/>
      </c>
      <c r="C22">
        <f>IF('COPY 20 %'!$A22="","",'COPY 20 %'!F22)</f>
        <v/>
      </c>
      <c r="D22" s="14">
        <f>IF('COPY 20 %'!$A22="","",'COPY 20 %'!I22)</f>
        <v/>
      </c>
      <c r="E22" s="7">
        <f>IF('COPY 20 %'!$A22="","",'COPY 20 %'!O22)</f>
        <v/>
      </c>
      <c r="F22" s="7">
        <f>IF('COPY 20 %'!$A22="","",'COPY 20 %'!L22)</f>
        <v/>
      </c>
      <c r="G22" s="7">
        <f>IF('COPY 20 %'!$A22="","",'COPY 20 %'!S22)</f>
        <v/>
      </c>
      <c r="H22">
        <f>IF('COPY 20 %'!$A22="","",'COPY 20 %'!P22)</f>
        <v/>
      </c>
      <c r="I22">
        <f>IF('COPY 20 %'!$A22="","",'COPY 20 %'!M22)</f>
        <v/>
      </c>
      <c r="J22" s="7">
        <f>IF('COPY 20 %'!$A22="","",'COPY 20 %'!Q22)</f>
        <v/>
      </c>
      <c r="K22" s="7">
        <f>IF('COPY 20 %'!$A22="","",'COPY 20 %'!H22)</f>
        <v/>
      </c>
      <c r="L22" s="7">
        <f>IF('COPY 20 %'!$A22="","",'COPY 20 %'!T22)</f>
        <v/>
      </c>
      <c r="M22">
        <f>IF('COPY 20 %'!$A22="","",'COPY 20 %'!G22)</f>
        <v/>
      </c>
    </row>
    <row r="23">
      <c r="A23">
        <f>IF('COPY 20 %'!$A23="","",ROWS($A$2:$A23))</f>
        <v/>
      </c>
      <c r="B23">
        <f>IF('COPY 20 %'!$A23="","",'COPY 20 %'!E23)</f>
        <v/>
      </c>
      <c r="C23">
        <f>IF('COPY 20 %'!$A23="","",'COPY 20 %'!F23)</f>
        <v/>
      </c>
      <c r="D23" s="14">
        <f>IF('COPY 20 %'!$A23="","",'COPY 20 %'!I23)</f>
        <v/>
      </c>
      <c r="E23" s="7">
        <f>IF('COPY 20 %'!$A23="","",'COPY 20 %'!O23)</f>
        <v/>
      </c>
      <c r="F23" s="7">
        <f>IF('COPY 20 %'!$A23="","",'COPY 20 %'!L23)</f>
        <v/>
      </c>
      <c r="G23" s="7">
        <f>IF('COPY 20 %'!$A23="","",'COPY 20 %'!S23)</f>
        <v/>
      </c>
      <c r="H23">
        <f>IF('COPY 20 %'!$A23="","",'COPY 20 %'!P23)</f>
        <v/>
      </c>
      <c r="I23">
        <f>IF('COPY 20 %'!$A23="","",'COPY 20 %'!M23)</f>
        <v/>
      </c>
      <c r="J23" s="7">
        <f>IF('COPY 20 %'!$A23="","",'COPY 20 %'!Q23)</f>
        <v/>
      </c>
      <c r="K23" s="7">
        <f>IF('COPY 20 %'!$A23="","",'COPY 20 %'!H23)</f>
        <v/>
      </c>
      <c r="L23" s="7">
        <f>IF('COPY 20 %'!$A23="","",'COPY 20 %'!T23)</f>
        <v/>
      </c>
      <c r="M23">
        <f>IF('COPY 20 %'!$A23="","",'COPY 20 %'!G23)</f>
        <v/>
      </c>
    </row>
    <row r="24">
      <c r="A24">
        <f>IF('COPY 20 %'!$A24="","",ROWS($A$2:$A24))</f>
        <v/>
      </c>
      <c r="B24">
        <f>IF('COPY 20 %'!$A24="","",'COPY 20 %'!E24)</f>
        <v/>
      </c>
      <c r="C24">
        <f>IF('COPY 20 %'!$A24="","",'COPY 20 %'!F24)</f>
        <v/>
      </c>
      <c r="D24" s="14">
        <f>IF('COPY 20 %'!$A24="","",'COPY 20 %'!I24)</f>
        <v/>
      </c>
      <c r="E24" s="7">
        <f>IF('COPY 20 %'!$A24="","",'COPY 20 %'!O24)</f>
        <v/>
      </c>
      <c r="F24" s="7">
        <f>IF('COPY 20 %'!$A24="","",'COPY 20 %'!L24)</f>
        <v/>
      </c>
      <c r="G24" s="7">
        <f>IF('COPY 20 %'!$A24="","",'COPY 20 %'!S24)</f>
        <v/>
      </c>
      <c r="H24">
        <f>IF('COPY 20 %'!$A24="","",'COPY 20 %'!P24)</f>
        <v/>
      </c>
      <c r="I24">
        <f>IF('COPY 20 %'!$A24="","",'COPY 20 %'!M24)</f>
        <v/>
      </c>
      <c r="J24" s="7">
        <f>IF('COPY 20 %'!$A24="","",'COPY 20 %'!Q24)</f>
        <v/>
      </c>
      <c r="K24" s="7">
        <f>IF('COPY 20 %'!$A24="","",'COPY 20 %'!H24)</f>
        <v/>
      </c>
      <c r="L24" s="7">
        <f>IF('COPY 20 %'!$A24="","",'COPY 20 %'!T24)</f>
        <v/>
      </c>
      <c r="M24">
        <f>IF('COPY 20 %'!$A24="","",'COPY 20 %'!G24)</f>
        <v/>
      </c>
    </row>
    <row r="25">
      <c r="A25">
        <f>IF('COPY 20 %'!$A25="","",ROWS($A$2:$A25))</f>
        <v/>
      </c>
      <c r="B25">
        <f>IF('COPY 20 %'!$A25="","",'COPY 20 %'!E25)</f>
        <v/>
      </c>
      <c r="C25">
        <f>IF('COPY 20 %'!$A25="","",'COPY 20 %'!F25)</f>
        <v/>
      </c>
      <c r="D25" s="14">
        <f>IF('COPY 20 %'!$A25="","",'COPY 20 %'!I25)</f>
        <v/>
      </c>
      <c r="E25" s="7">
        <f>IF('COPY 20 %'!$A25="","",'COPY 20 %'!O25)</f>
        <v/>
      </c>
      <c r="F25" s="7">
        <f>IF('COPY 20 %'!$A25="","",'COPY 20 %'!L25)</f>
        <v/>
      </c>
      <c r="G25" s="7">
        <f>IF('COPY 20 %'!$A25="","",'COPY 20 %'!S25)</f>
        <v/>
      </c>
      <c r="H25">
        <f>IF('COPY 20 %'!$A25="","",'COPY 20 %'!P25)</f>
        <v/>
      </c>
      <c r="I25">
        <f>IF('COPY 20 %'!$A25="","",'COPY 20 %'!M25)</f>
        <v/>
      </c>
      <c r="J25" s="7">
        <f>IF('COPY 20 %'!$A25="","",'COPY 20 %'!Q25)</f>
        <v/>
      </c>
      <c r="K25" s="7">
        <f>IF('COPY 20 %'!$A25="","",'COPY 20 %'!H25)</f>
        <v/>
      </c>
      <c r="L25" s="7">
        <f>IF('COPY 20 %'!$A25="","",'COPY 20 %'!T25)</f>
        <v/>
      </c>
      <c r="M25">
        <f>IF('COPY 20 %'!$A25="","",'COPY 20 %'!G25)</f>
        <v/>
      </c>
    </row>
    <row r="26">
      <c r="A26">
        <f>IF('COPY 20 %'!$A26="","",ROWS($A$2:$A26))</f>
        <v/>
      </c>
      <c r="B26">
        <f>IF('COPY 20 %'!$A26="","",'COPY 20 %'!E26)</f>
        <v/>
      </c>
      <c r="C26">
        <f>IF('COPY 20 %'!$A26="","",'COPY 20 %'!F26)</f>
        <v/>
      </c>
      <c r="D26" s="14">
        <f>IF('COPY 20 %'!$A26="","",'COPY 20 %'!I26)</f>
        <v/>
      </c>
      <c r="E26" s="7">
        <f>IF('COPY 20 %'!$A26="","",'COPY 20 %'!O26)</f>
        <v/>
      </c>
      <c r="F26" s="7">
        <f>IF('COPY 20 %'!$A26="","",'COPY 20 %'!L26)</f>
        <v/>
      </c>
      <c r="G26" s="7">
        <f>IF('COPY 20 %'!$A26="","",'COPY 20 %'!S26)</f>
        <v/>
      </c>
      <c r="H26">
        <f>IF('COPY 20 %'!$A26="","",'COPY 20 %'!P26)</f>
        <v/>
      </c>
      <c r="I26">
        <f>IF('COPY 20 %'!$A26="","",'COPY 20 %'!M26)</f>
        <v/>
      </c>
      <c r="J26" s="7">
        <f>IF('COPY 20 %'!$A26="","",'COPY 20 %'!Q26)</f>
        <v/>
      </c>
      <c r="K26" s="7">
        <f>IF('COPY 20 %'!$A26="","",'COPY 20 %'!H26)</f>
        <v/>
      </c>
      <c r="L26" s="7">
        <f>IF('COPY 20 %'!$A26="","",'COPY 20 %'!T26)</f>
        <v/>
      </c>
      <c r="M26">
        <f>IF('COPY 20 %'!$A26="","",'COPY 20 %'!G26)</f>
        <v/>
      </c>
    </row>
    <row r="27">
      <c r="A27">
        <f>IF('COPY 20 %'!$A27="","",ROWS($A$2:$A27))</f>
        <v/>
      </c>
      <c r="B27">
        <f>IF('COPY 20 %'!$A27="","",'COPY 20 %'!E27)</f>
        <v/>
      </c>
      <c r="C27">
        <f>IF('COPY 20 %'!$A27="","",'COPY 20 %'!F27)</f>
        <v/>
      </c>
      <c r="D27" s="14">
        <f>IF('COPY 20 %'!$A27="","",'COPY 20 %'!I27)</f>
        <v/>
      </c>
      <c r="E27" s="7">
        <f>IF('COPY 20 %'!$A27="","",'COPY 20 %'!O27)</f>
        <v/>
      </c>
      <c r="F27" s="7">
        <f>IF('COPY 20 %'!$A27="","",'COPY 20 %'!L27)</f>
        <v/>
      </c>
      <c r="G27" s="7">
        <f>IF('COPY 20 %'!$A27="","",'COPY 20 %'!S27)</f>
        <v/>
      </c>
      <c r="H27">
        <f>IF('COPY 20 %'!$A27="","",'COPY 20 %'!P27)</f>
        <v/>
      </c>
      <c r="I27">
        <f>IF('COPY 20 %'!$A27="","",'COPY 20 %'!M27)</f>
        <v/>
      </c>
      <c r="J27" s="7">
        <f>IF('COPY 20 %'!$A27="","",'COPY 20 %'!Q27)</f>
        <v/>
      </c>
      <c r="K27" s="7">
        <f>IF('COPY 20 %'!$A27="","",'COPY 20 %'!H27)</f>
        <v/>
      </c>
      <c r="L27" s="7">
        <f>IF('COPY 20 %'!$A27="","",'COPY 20 %'!T27)</f>
        <v/>
      </c>
      <c r="M27">
        <f>IF('COPY 20 %'!$A27="","",'COPY 20 %'!G27)</f>
        <v/>
      </c>
    </row>
    <row r="28">
      <c r="A28">
        <f>IF('COPY 20 %'!$A28="","",ROWS($A$2:$A28))</f>
        <v/>
      </c>
      <c r="B28">
        <f>IF('COPY 20 %'!$A28="","",'COPY 20 %'!E28)</f>
        <v/>
      </c>
      <c r="C28">
        <f>IF('COPY 20 %'!$A28="","",'COPY 20 %'!F28)</f>
        <v/>
      </c>
      <c r="D28" s="14">
        <f>IF('COPY 20 %'!$A28="","",'COPY 20 %'!I28)</f>
        <v/>
      </c>
      <c r="E28" s="7">
        <f>IF('COPY 20 %'!$A28="","",'COPY 20 %'!O28)</f>
        <v/>
      </c>
      <c r="F28" s="7">
        <f>IF('COPY 20 %'!$A28="","",'COPY 20 %'!L28)</f>
        <v/>
      </c>
      <c r="G28" s="7">
        <f>IF('COPY 20 %'!$A28="","",'COPY 20 %'!S28)</f>
        <v/>
      </c>
      <c r="H28">
        <f>IF('COPY 20 %'!$A28="","",'COPY 20 %'!P28)</f>
        <v/>
      </c>
      <c r="I28">
        <f>IF('COPY 20 %'!$A28="","",'COPY 20 %'!M28)</f>
        <v/>
      </c>
      <c r="J28" s="7">
        <f>IF('COPY 20 %'!$A28="","",'COPY 20 %'!Q28)</f>
        <v/>
      </c>
      <c r="K28" s="7">
        <f>IF('COPY 20 %'!$A28="","",'COPY 20 %'!H28)</f>
        <v/>
      </c>
      <c r="L28" s="7">
        <f>IF('COPY 20 %'!$A28="","",'COPY 20 %'!T28)</f>
        <v/>
      </c>
      <c r="M28">
        <f>IF('COPY 20 %'!$A28="","",'COPY 20 %'!G28)</f>
        <v/>
      </c>
    </row>
    <row r="29">
      <c r="A29">
        <f>IF('COPY 20 %'!$A29="","",ROWS($A$2:$A29))</f>
        <v/>
      </c>
      <c r="B29">
        <f>IF('COPY 20 %'!$A29="","",'COPY 20 %'!E29)</f>
        <v/>
      </c>
      <c r="C29">
        <f>IF('COPY 20 %'!$A29="","",'COPY 20 %'!F29)</f>
        <v/>
      </c>
      <c r="D29" s="14">
        <f>IF('COPY 20 %'!$A29="","",'COPY 20 %'!I29)</f>
        <v/>
      </c>
      <c r="E29" s="7">
        <f>IF('COPY 20 %'!$A29="","",'COPY 20 %'!O29)</f>
        <v/>
      </c>
      <c r="F29" s="7">
        <f>IF('COPY 20 %'!$A29="","",'COPY 20 %'!L29)</f>
        <v/>
      </c>
      <c r="G29" s="7">
        <f>IF('COPY 20 %'!$A29="","",'COPY 20 %'!S29)</f>
        <v/>
      </c>
      <c r="H29">
        <f>IF('COPY 20 %'!$A29="","",'COPY 20 %'!P29)</f>
        <v/>
      </c>
      <c r="I29">
        <f>IF('COPY 20 %'!$A29="","",'COPY 20 %'!M29)</f>
        <v/>
      </c>
      <c r="J29" s="7">
        <f>IF('COPY 20 %'!$A29="","",'COPY 20 %'!Q29)</f>
        <v/>
      </c>
      <c r="K29" s="7">
        <f>IF('COPY 20 %'!$A29="","",'COPY 20 %'!H29)</f>
        <v/>
      </c>
      <c r="L29" s="7">
        <f>IF('COPY 20 %'!$A29="","",'COPY 20 %'!T29)</f>
        <v/>
      </c>
      <c r="M29">
        <f>IF('COPY 20 %'!$A29="","",'COPY 20 %'!G29)</f>
        <v/>
      </c>
    </row>
    <row r="30">
      <c r="A30">
        <f>IF('COPY 20 %'!$A30="","",ROWS($A$2:$A30))</f>
        <v/>
      </c>
      <c r="B30">
        <f>IF('COPY 20 %'!$A30="","",'COPY 20 %'!E30)</f>
        <v/>
      </c>
      <c r="C30">
        <f>IF('COPY 20 %'!$A30="","",'COPY 20 %'!F30)</f>
        <v/>
      </c>
      <c r="D30" s="14">
        <f>IF('COPY 20 %'!$A30="","",'COPY 20 %'!I30)</f>
        <v/>
      </c>
      <c r="E30" s="7">
        <f>IF('COPY 20 %'!$A30="","",'COPY 20 %'!O30)</f>
        <v/>
      </c>
      <c r="F30" s="7">
        <f>IF('COPY 20 %'!$A30="","",'COPY 20 %'!L30)</f>
        <v/>
      </c>
      <c r="G30" s="7">
        <f>IF('COPY 20 %'!$A30="","",'COPY 20 %'!S30)</f>
        <v/>
      </c>
      <c r="H30">
        <f>IF('COPY 20 %'!$A30="","",'COPY 20 %'!P30)</f>
        <v/>
      </c>
      <c r="I30">
        <f>IF('COPY 20 %'!$A30="","",'COPY 20 %'!M30)</f>
        <v/>
      </c>
      <c r="J30" s="7">
        <f>IF('COPY 20 %'!$A30="","",'COPY 20 %'!Q30)</f>
        <v/>
      </c>
      <c r="K30" s="7">
        <f>IF('COPY 20 %'!$A30="","",'COPY 20 %'!H30)</f>
        <v/>
      </c>
      <c r="L30" s="7">
        <f>IF('COPY 20 %'!$A30="","",'COPY 20 %'!T30)</f>
        <v/>
      </c>
      <c r="M30">
        <f>IF('COPY 20 %'!$A30="","",'COPY 20 %'!G30)</f>
        <v/>
      </c>
    </row>
    <row r="31">
      <c r="A31">
        <f>IF('COPY 20 %'!$A31="","",ROWS($A$2:$A31))</f>
        <v/>
      </c>
      <c r="B31">
        <f>IF('COPY 20 %'!$A31="","",'COPY 20 %'!E31)</f>
        <v/>
      </c>
      <c r="C31">
        <f>IF('COPY 20 %'!$A31="","",'COPY 20 %'!F31)</f>
        <v/>
      </c>
      <c r="D31" s="14">
        <f>IF('COPY 20 %'!$A31="","",'COPY 20 %'!I31)</f>
        <v/>
      </c>
      <c r="E31" s="7">
        <f>IF('COPY 20 %'!$A31="","",'COPY 20 %'!O31)</f>
        <v/>
      </c>
      <c r="F31" s="7">
        <f>IF('COPY 20 %'!$A31="","",'COPY 20 %'!L31)</f>
        <v/>
      </c>
      <c r="G31" s="7">
        <f>IF('COPY 20 %'!$A31="","",'COPY 20 %'!S31)</f>
        <v/>
      </c>
      <c r="H31">
        <f>IF('COPY 20 %'!$A31="","",'COPY 20 %'!P31)</f>
        <v/>
      </c>
      <c r="I31">
        <f>IF('COPY 20 %'!$A31="","",'COPY 20 %'!M31)</f>
        <v/>
      </c>
      <c r="J31" s="7">
        <f>IF('COPY 20 %'!$A31="","",'COPY 20 %'!Q31)</f>
        <v/>
      </c>
      <c r="K31" s="7">
        <f>IF('COPY 20 %'!$A31="","",'COPY 20 %'!H31)</f>
        <v/>
      </c>
      <c r="L31" s="7">
        <f>IF('COPY 20 %'!$A31="","",'COPY 20 %'!T31)</f>
        <v/>
      </c>
      <c r="M31">
        <f>IF('COPY 20 %'!$A31="","",'COPY 20 %'!G31)</f>
        <v/>
      </c>
    </row>
    <row r="32">
      <c r="A32">
        <f>IF('COPY 20 %'!$A32="","",ROWS($A$2:$A32))</f>
        <v/>
      </c>
      <c r="B32">
        <f>IF('COPY 20 %'!$A32="","",'COPY 20 %'!E32)</f>
        <v/>
      </c>
      <c r="C32">
        <f>IF('COPY 20 %'!$A32="","",'COPY 20 %'!F32)</f>
        <v/>
      </c>
      <c r="D32" s="14">
        <f>IF('COPY 20 %'!$A32="","",'COPY 20 %'!I32)</f>
        <v/>
      </c>
      <c r="E32" s="7">
        <f>IF('COPY 20 %'!$A32="","",'COPY 20 %'!O32)</f>
        <v/>
      </c>
      <c r="F32" s="7">
        <f>IF('COPY 20 %'!$A32="","",'COPY 20 %'!L32)</f>
        <v/>
      </c>
      <c r="G32" s="7">
        <f>IF('COPY 20 %'!$A32="","",'COPY 20 %'!S32)</f>
        <v/>
      </c>
      <c r="H32">
        <f>IF('COPY 20 %'!$A32="","",'COPY 20 %'!P32)</f>
        <v/>
      </c>
      <c r="I32">
        <f>IF('COPY 20 %'!$A32="","",'COPY 20 %'!M32)</f>
        <v/>
      </c>
      <c r="J32" s="7">
        <f>IF('COPY 20 %'!$A32="","",'COPY 20 %'!Q32)</f>
        <v/>
      </c>
      <c r="K32" s="7">
        <f>IF('COPY 20 %'!$A32="","",'COPY 20 %'!H32)</f>
        <v/>
      </c>
      <c r="L32" s="7">
        <f>IF('COPY 20 %'!$A32="","",'COPY 20 %'!T32)</f>
        <v/>
      </c>
      <c r="M32">
        <f>IF('COPY 20 %'!$A32="","",'COPY 20 %'!G32)</f>
        <v/>
      </c>
    </row>
    <row r="33">
      <c r="A33">
        <f>IF('COPY 20 %'!$A33="","",ROWS($A$2:$A33))</f>
        <v/>
      </c>
      <c r="B33">
        <f>IF('COPY 20 %'!$A33="","",'COPY 20 %'!E33)</f>
        <v/>
      </c>
      <c r="C33">
        <f>IF('COPY 20 %'!$A33="","",'COPY 20 %'!F33)</f>
        <v/>
      </c>
      <c r="D33" s="14">
        <f>IF('COPY 20 %'!$A33="","",'COPY 20 %'!I33)</f>
        <v/>
      </c>
      <c r="E33" s="7">
        <f>IF('COPY 20 %'!$A33="","",'COPY 20 %'!O33)</f>
        <v/>
      </c>
      <c r="F33" s="7">
        <f>IF('COPY 20 %'!$A33="","",'COPY 20 %'!L33)</f>
        <v/>
      </c>
      <c r="G33" s="7">
        <f>IF('COPY 20 %'!$A33="","",'COPY 20 %'!S33)</f>
        <v/>
      </c>
      <c r="H33">
        <f>IF('COPY 20 %'!$A33="","",'COPY 20 %'!P33)</f>
        <v/>
      </c>
      <c r="I33">
        <f>IF('COPY 20 %'!$A33="","",'COPY 20 %'!M33)</f>
        <v/>
      </c>
      <c r="J33" s="7">
        <f>IF('COPY 20 %'!$A33="","",'COPY 20 %'!Q33)</f>
        <v/>
      </c>
      <c r="K33" s="7">
        <f>IF('COPY 20 %'!$A33="","",'COPY 20 %'!H33)</f>
        <v/>
      </c>
      <c r="L33" s="7">
        <f>IF('COPY 20 %'!$A33="","",'COPY 20 %'!T33)</f>
        <v/>
      </c>
      <c r="M33">
        <f>IF('COPY 20 %'!$A33="","",'COPY 20 %'!G33)</f>
        <v/>
      </c>
    </row>
    <row r="34">
      <c r="A34">
        <f>IF('COPY 20 %'!$A34="","",ROWS($A$2:$A34))</f>
        <v/>
      </c>
      <c r="B34">
        <f>IF('COPY 20 %'!$A34="","",'COPY 20 %'!E34)</f>
        <v/>
      </c>
      <c r="C34">
        <f>IF('COPY 20 %'!$A34="","",'COPY 20 %'!F34)</f>
        <v/>
      </c>
      <c r="D34" s="14">
        <f>IF('COPY 20 %'!$A34="","",'COPY 20 %'!I34)</f>
        <v/>
      </c>
      <c r="E34" s="7">
        <f>IF('COPY 20 %'!$A34="","",'COPY 20 %'!O34)</f>
        <v/>
      </c>
      <c r="F34" s="7">
        <f>IF('COPY 20 %'!$A34="","",'COPY 20 %'!L34)</f>
        <v/>
      </c>
      <c r="G34" s="7">
        <f>IF('COPY 20 %'!$A34="","",'COPY 20 %'!S34)</f>
        <v/>
      </c>
      <c r="H34">
        <f>IF('COPY 20 %'!$A34="","",'COPY 20 %'!P34)</f>
        <v/>
      </c>
      <c r="I34">
        <f>IF('COPY 20 %'!$A34="","",'COPY 20 %'!M34)</f>
        <v/>
      </c>
      <c r="J34" s="7">
        <f>IF('COPY 20 %'!$A34="","",'COPY 20 %'!Q34)</f>
        <v/>
      </c>
      <c r="K34" s="7">
        <f>IF('COPY 20 %'!$A34="","",'COPY 20 %'!H34)</f>
        <v/>
      </c>
      <c r="L34" s="7">
        <f>IF('COPY 20 %'!$A34="","",'COPY 20 %'!T34)</f>
        <v/>
      </c>
      <c r="M34">
        <f>IF('COPY 20 %'!$A34="","",'COPY 20 %'!G34)</f>
        <v/>
      </c>
    </row>
    <row r="35">
      <c r="A35">
        <f>IF('COPY 20 %'!$A35="","",ROWS($A$2:$A35))</f>
        <v/>
      </c>
      <c r="B35">
        <f>IF('COPY 20 %'!$A35="","",'COPY 20 %'!E35)</f>
        <v/>
      </c>
      <c r="C35">
        <f>IF('COPY 20 %'!$A35="","",'COPY 20 %'!F35)</f>
        <v/>
      </c>
      <c r="D35" s="14">
        <f>IF('COPY 20 %'!$A35="","",'COPY 20 %'!I35)</f>
        <v/>
      </c>
      <c r="E35" s="7">
        <f>IF('COPY 20 %'!$A35="","",'COPY 20 %'!O35)</f>
        <v/>
      </c>
      <c r="F35" s="7">
        <f>IF('COPY 20 %'!$A35="","",'COPY 20 %'!L35)</f>
        <v/>
      </c>
      <c r="G35" s="7">
        <f>IF('COPY 20 %'!$A35="","",'COPY 20 %'!S35)</f>
        <v/>
      </c>
      <c r="H35">
        <f>IF('COPY 20 %'!$A35="","",'COPY 20 %'!P35)</f>
        <v/>
      </c>
      <c r="I35">
        <f>IF('COPY 20 %'!$A35="","",'COPY 20 %'!M35)</f>
        <v/>
      </c>
      <c r="J35" s="7">
        <f>IF('COPY 20 %'!$A35="","",'COPY 20 %'!Q35)</f>
        <v/>
      </c>
      <c r="K35" s="7">
        <f>IF('COPY 20 %'!$A35="","",'COPY 20 %'!H35)</f>
        <v/>
      </c>
      <c r="L35" s="7">
        <f>IF('COPY 20 %'!$A35="","",'COPY 20 %'!T35)</f>
        <v/>
      </c>
      <c r="M35">
        <f>IF('COPY 20 %'!$A35="","",'COPY 20 %'!G35)</f>
        <v/>
      </c>
    </row>
    <row r="36">
      <c r="A36">
        <f>IF('COPY 20 %'!$A36="","",ROWS($A$2:$A36))</f>
        <v/>
      </c>
      <c r="B36">
        <f>IF('COPY 20 %'!$A36="","",'COPY 20 %'!E36)</f>
        <v/>
      </c>
      <c r="C36">
        <f>IF('COPY 20 %'!$A36="","",'COPY 20 %'!F36)</f>
        <v/>
      </c>
      <c r="D36" s="14">
        <f>IF('COPY 20 %'!$A36="","",'COPY 20 %'!I36)</f>
        <v/>
      </c>
      <c r="E36" s="7">
        <f>IF('COPY 20 %'!$A36="","",'COPY 20 %'!O36)</f>
        <v/>
      </c>
      <c r="F36" s="7">
        <f>IF('COPY 20 %'!$A36="","",'COPY 20 %'!L36)</f>
        <v/>
      </c>
      <c r="G36" s="7">
        <f>IF('COPY 20 %'!$A36="","",'COPY 20 %'!S36)</f>
        <v/>
      </c>
      <c r="H36">
        <f>IF('COPY 20 %'!$A36="","",'COPY 20 %'!P36)</f>
        <v/>
      </c>
      <c r="I36">
        <f>IF('COPY 20 %'!$A36="","",'COPY 20 %'!M36)</f>
        <v/>
      </c>
      <c r="J36" s="7">
        <f>IF('COPY 20 %'!$A36="","",'COPY 20 %'!Q36)</f>
        <v/>
      </c>
      <c r="K36" s="7">
        <f>IF('COPY 20 %'!$A36="","",'COPY 20 %'!H36)</f>
        <v/>
      </c>
      <c r="L36" s="7">
        <f>IF('COPY 20 %'!$A36="","",'COPY 20 %'!T36)</f>
        <v/>
      </c>
      <c r="M36">
        <f>IF('COPY 20 %'!$A36="","",'COPY 20 %'!G36)</f>
        <v/>
      </c>
    </row>
    <row r="37">
      <c r="A37">
        <f>IF('COPY 20 %'!$A37="","",ROWS($A$2:$A37))</f>
        <v/>
      </c>
      <c r="B37">
        <f>IF('COPY 20 %'!$A37="","",'COPY 20 %'!E37)</f>
        <v/>
      </c>
      <c r="C37">
        <f>IF('COPY 20 %'!$A37="","",'COPY 20 %'!F37)</f>
        <v/>
      </c>
      <c r="D37" s="14">
        <f>IF('COPY 20 %'!$A37="","",'COPY 20 %'!I37)</f>
        <v/>
      </c>
      <c r="E37" s="7">
        <f>IF('COPY 20 %'!$A37="","",'COPY 20 %'!O37)</f>
        <v/>
      </c>
      <c r="F37" s="7">
        <f>IF('COPY 20 %'!$A37="","",'COPY 20 %'!L37)</f>
        <v/>
      </c>
      <c r="G37" s="7">
        <f>IF('COPY 20 %'!$A37="","",'COPY 20 %'!S37)</f>
        <v/>
      </c>
      <c r="H37">
        <f>IF('COPY 20 %'!$A37="","",'COPY 20 %'!P37)</f>
        <v/>
      </c>
      <c r="I37">
        <f>IF('COPY 20 %'!$A37="","",'COPY 20 %'!M37)</f>
        <v/>
      </c>
      <c r="J37" s="7">
        <f>IF('COPY 20 %'!$A37="","",'COPY 20 %'!Q37)</f>
        <v/>
      </c>
      <c r="K37" s="7">
        <f>IF('COPY 20 %'!$A37="","",'COPY 20 %'!H37)</f>
        <v/>
      </c>
      <c r="L37" s="7">
        <f>IF('COPY 20 %'!$A37="","",'COPY 20 %'!T37)</f>
        <v/>
      </c>
      <c r="M37">
        <f>IF('COPY 20 %'!$A37="","",'COPY 20 %'!G37)</f>
        <v/>
      </c>
    </row>
    <row r="38">
      <c r="A38">
        <f>IF('COPY 20 %'!$A38="","",ROWS($A$2:$A38))</f>
        <v/>
      </c>
      <c r="B38">
        <f>IF('COPY 20 %'!$A38="","",'COPY 20 %'!E38)</f>
        <v/>
      </c>
      <c r="C38">
        <f>IF('COPY 20 %'!$A38="","",'COPY 20 %'!F38)</f>
        <v/>
      </c>
      <c r="D38" s="14">
        <f>IF('COPY 20 %'!$A38="","",'COPY 20 %'!I38)</f>
        <v/>
      </c>
      <c r="E38" s="7">
        <f>IF('COPY 20 %'!$A38="","",'COPY 20 %'!O38)</f>
        <v/>
      </c>
      <c r="F38" s="7">
        <f>IF('COPY 20 %'!$A38="","",'COPY 20 %'!L38)</f>
        <v/>
      </c>
      <c r="G38" s="7">
        <f>IF('COPY 20 %'!$A38="","",'COPY 20 %'!S38)</f>
        <v/>
      </c>
      <c r="H38">
        <f>IF('COPY 20 %'!$A38="","",'COPY 20 %'!P38)</f>
        <v/>
      </c>
      <c r="I38">
        <f>IF('COPY 20 %'!$A38="","",'COPY 20 %'!M38)</f>
        <v/>
      </c>
      <c r="J38" s="7">
        <f>IF('COPY 20 %'!$A38="","",'COPY 20 %'!Q38)</f>
        <v/>
      </c>
      <c r="K38" s="7">
        <f>IF('COPY 20 %'!$A38="","",'COPY 20 %'!H38)</f>
        <v/>
      </c>
      <c r="L38" s="7">
        <f>IF('COPY 20 %'!$A38="","",'COPY 20 %'!T38)</f>
        <v/>
      </c>
      <c r="M38">
        <f>IF('COPY 20 %'!$A38="","",'COPY 20 %'!G38)</f>
        <v/>
      </c>
    </row>
    <row r="39">
      <c r="A39">
        <f>IF('COPY 20 %'!$A39="","",ROWS($A$2:$A39))</f>
        <v/>
      </c>
      <c r="B39">
        <f>IF('COPY 20 %'!$A39="","",'COPY 20 %'!E39)</f>
        <v/>
      </c>
      <c r="C39">
        <f>IF('COPY 20 %'!$A39="","",'COPY 20 %'!F39)</f>
        <v/>
      </c>
      <c r="D39" s="14">
        <f>IF('COPY 20 %'!$A39="","",'COPY 20 %'!I39)</f>
        <v/>
      </c>
      <c r="E39" s="7">
        <f>IF('COPY 20 %'!$A39="","",'COPY 20 %'!O39)</f>
        <v/>
      </c>
      <c r="F39" s="7">
        <f>IF('COPY 20 %'!$A39="","",'COPY 20 %'!L39)</f>
        <v/>
      </c>
      <c r="G39" s="7">
        <f>IF('COPY 20 %'!$A39="","",'COPY 20 %'!S39)</f>
        <v/>
      </c>
      <c r="H39">
        <f>IF('COPY 20 %'!$A39="","",'COPY 20 %'!P39)</f>
        <v/>
      </c>
      <c r="I39">
        <f>IF('COPY 20 %'!$A39="","",'COPY 20 %'!M39)</f>
        <v/>
      </c>
      <c r="J39" s="7">
        <f>IF('COPY 20 %'!$A39="","",'COPY 20 %'!Q39)</f>
        <v/>
      </c>
      <c r="K39" s="7">
        <f>IF('COPY 20 %'!$A39="","",'COPY 20 %'!H39)</f>
        <v/>
      </c>
      <c r="L39" s="7">
        <f>IF('COPY 20 %'!$A39="","",'COPY 20 %'!T39)</f>
        <v/>
      </c>
      <c r="M39">
        <f>IF('COPY 20 %'!$A39="","",'COPY 20 %'!G39)</f>
        <v/>
      </c>
    </row>
    <row r="40">
      <c r="A40">
        <f>IF('COPY 20 %'!$A40="","",ROWS($A$2:$A40))</f>
        <v/>
      </c>
      <c r="B40">
        <f>IF('COPY 20 %'!$A40="","",'COPY 20 %'!E40)</f>
        <v/>
      </c>
      <c r="C40">
        <f>IF('COPY 20 %'!$A40="","",'COPY 20 %'!F40)</f>
        <v/>
      </c>
      <c r="D40" s="14">
        <f>IF('COPY 20 %'!$A40="","",'COPY 20 %'!I40)</f>
        <v/>
      </c>
      <c r="E40" s="7">
        <f>IF('COPY 20 %'!$A40="","",'COPY 20 %'!O40)</f>
        <v/>
      </c>
      <c r="F40" s="7">
        <f>IF('COPY 20 %'!$A40="","",'COPY 20 %'!L40)</f>
        <v/>
      </c>
      <c r="G40" s="7">
        <f>IF('COPY 20 %'!$A40="","",'COPY 20 %'!S40)</f>
        <v/>
      </c>
      <c r="H40">
        <f>IF('COPY 20 %'!$A40="","",'COPY 20 %'!P40)</f>
        <v/>
      </c>
      <c r="I40">
        <f>IF('COPY 20 %'!$A40="","",'COPY 20 %'!M40)</f>
        <v/>
      </c>
      <c r="J40" s="7">
        <f>IF('COPY 20 %'!$A40="","",'COPY 20 %'!Q40)</f>
        <v/>
      </c>
      <c r="K40" s="7">
        <f>IF('COPY 20 %'!$A40="","",'COPY 20 %'!H40)</f>
        <v/>
      </c>
      <c r="L40" s="7">
        <f>IF('COPY 20 %'!$A40="","",'COPY 20 %'!T40)</f>
        <v/>
      </c>
      <c r="M40">
        <f>IF('COPY 20 %'!$A40="","",'COPY 20 %'!G40)</f>
        <v/>
      </c>
    </row>
    <row r="41">
      <c r="A41">
        <f>IF('COPY 20 %'!$A41="","",ROWS($A$2:$A41))</f>
        <v/>
      </c>
      <c r="B41">
        <f>IF('COPY 20 %'!$A41="","",'COPY 20 %'!E41)</f>
        <v/>
      </c>
      <c r="C41">
        <f>IF('COPY 20 %'!$A41="","",'COPY 20 %'!F41)</f>
        <v/>
      </c>
      <c r="D41" s="14">
        <f>IF('COPY 20 %'!$A41="","",'COPY 20 %'!I41)</f>
        <v/>
      </c>
      <c r="E41" s="7">
        <f>IF('COPY 20 %'!$A41="","",'COPY 20 %'!O41)</f>
        <v/>
      </c>
      <c r="F41" s="7">
        <f>IF('COPY 20 %'!$A41="","",'COPY 20 %'!L41)</f>
        <v/>
      </c>
      <c r="G41" s="7">
        <f>IF('COPY 20 %'!$A41="","",'COPY 20 %'!S41)</f>
        <v/>
      </c>
      <c r="H41">
        <f>IF('COPY 20 %'!$A41="","",'COPY 20 %'!P41)</f>
        <v/>
      </c>
      <c r="I41">
        <f>IF('COPY 20 %'!$A41="","",'COPY 20 %'!M41)</f>
        <v/>
      </c>
      <c r="J41" s="7">
        <f>IF('COPY 20 %'!$A41="","",'COPY 20 %'!Q41)</f>
        <v/>
      </c>
      <c r="K41" s="7">
        <f>IF('COPY 20 %'!$A41="","",'COPY 20 %'!H41)</f>
        <v/>
      </c>
      <c r="L41" s="7">
        <f>IF('COPY 20 %'!$A41="","",'COPY 20 %'!T41)</f>
        <v/>
      </c>
      <c r="M41">
        <f>IF('COPY 20 %'!$A41="","",'COPY 20 %'!G41)</f>
        <v/>
      </c>
    </row>
    <row r="42">
      <c r="A42">
        <f>IF('COPY 20 %'!$A42="","",ROWS($A$2:$A42))</f>
        <v/>
      </c>
      <c r="B42">
        <f>IF('COPY 20 %'!$A42="","",'COPY 20 %'!E42)</f>
        <v/>
      </c>
      <c r="C42">
        <f>IF('COPY 20 %'!$A42="","",'COPY 20 %'!F42)</f>
        <v/>
      </c>
      <c r="D42" s="14">
        <f>IF('COPY 20 %'!$A42="","",'COPY 20 %'!I42)</f>
        <v/>
      </c>
      <c r="E42" s="7">
        <f>IF('COPY 20 %'!$A42="","",'COPY 20 %'!O42)</f>
        <v/>
      </c>
      <c r="F42" s="7">
        <f>IF('COPY 20 %'!$A42="","",'COPY 20 %'!L42)</f>
        <v/>
      </c>
      <c r="G42" s="7">
        <f>IF('COPY 20 %'!$A42="","",'COPY 20 %'!S42)</f>
        <v/>
      </c>
      <c r="H42">
        <f>IF('COPY 20 %'!$A42="","",'COPY 20 %'!P42)</f>
        <v/>
      </c>
      <c r="I42">
        <f>IF('COPY 20 %'!$A42="","",'COPY 20 %'!M42)</f>
        <v/>
      </c>
      <c r="J42" s="7">
        <f>IF('COPY 20 %'!$A42="","",'COPY 20 %'!Q42)</f>
        <v/>
      </c>
      <c r="K42" s="7">
        <f>IF('COPY 20 %'!$A42="","",'COPY 20 %'!H42)</f>
        <v/>
      </c>
      <c r="L42" s="7">
        <f>IF('COPY 20 %'!$A42="","",'COPY 20 %'!T42)</f>
        <v/>
      </c>
      <c r="M42">
        <f>IF('COPY 20 %'!$A42="","",'COPY 20 %'!G42)</f>
        <v/>
      </c>
    </row>
    <row r="43">
      <c r="A43">
        <f>IF('COPY 20 %'!$A43="","",ROWS($A$2:$A43))</f>
        <v/>
      </c>
      <c r="B43">
        <f>IF('COPY 20 %'!$A43="","",'COPY 20 %'!E43)</f>
        <v/>
      </c>
      <c r="C43">
        <f>IF('COPY 20 %'!$A43="","",'COPY 20 %'!F43)</f>
        <v/>
      </c>
      <c r="D43" s="14">
        <f>IF('COPY 20 %'!$A43="","",'COPY 20 %'!I43)</f>
        <v/>
      </c>
      <c r="E43" s="7">
        <f>IF('COPY 20 %'!$A43="","",'COPY 20 %'!O43)</f>
        <v/>
      </c>
      <c r="F43" s="7">
        <f>IF('COPY 20 %'!$A43="","",'COPY 20 %'!L43)</f>
        <v/>
      </c>
      <c r="G43" s="7">
        <f>IF('COPY 20 %'!$A43="","",'COPY 20 %'!S43)</f>
        <v/>
      </c>
      <c r="H43">
        <f>IF('COPY 20 %'!$A43="","",'COPY 20 %'!P43)</f>
        <v/>
      </c>
      <c r="I43">
        <f>IF('COPY 20 %'!$A43="","",'COPY 20 %'!M43)</f>
        <v/>
      </c>
      <c r="J43" s="7">
        <f>IF('COPY 20 %'!$A43="","",'COPY 20 %'!Q43)</f>
        <v/>
      </c>
      <c r="K43" s="7">
        <f>IF('COPY 20 %'!$A43="","",'COPY 20 %'!H43)</f>
        <v/>
      </c>
      <c r="L43" s="7">
        <f>IF('COPY 20 %'!$A43="","",'COPY 20 %'!T43)</f>
        <v/>
      </c>
      <c r="M43">
        <f>IF('COPY 20 %'!$A43="","",'COPY 20 %'!G43)</f>
        <v/>
      </c>
    </row>
    <row r="44">
      <c r="A44">
        <f>IF('COPY 20 %'!$A44="","",ROWS($A$2:$A44))</f>
        <v/>
      </c>
      <c r="B44">
        <f>IF('COPY 20 %'!$A44="","",'COPY 20 %'!E44)</f>
        <v/>
      </c>
      <c r="C44">
        <f>IF('COPY 20 %'!$A44="","",'COPY 20 %'!F44)</f>
        <v/>
      </c>
      <c r="D44" s="14">
        <f>IF('COPY 20 %'!$A44="","",'COPY 20 %'!I44)</f>
        <v/>
      </c>
      <c r="E44" s="7">
        <f>IF('COPY 20 %'!$A44="","",'COPY 20 %'!O44)</f>
        <v/>
      </c>
      <c r="F44" s="7">
        <f>IF('COPY 20 %'!$A44="","",'COPY 20 %'!L44)</f>
        <v/>
      </c>
      <c r="G44" s="7">
        <f>IF('COPY 20 %'!$A44="","",'COPY 20 %'!S44)</f>
        <v/>
      </c>
      <c r="H44">
        <f>IF('COPY 20 %'!$A44="","",'COPY 20 %'!P44)</f>
        <v/>
      </c>
      <c r="I44">
        <f>IF('COPY 20 %'!$A44="","",'COPY 20 %'!M44)</f>
        <v/>
      </c>
      <c r="J44" s="7">
        <f>IF('COPY 20 %'!$A44="","",'COPY 20 %'!Q44)</f>
        <v/>
      </c>
      <c r="K44" s="7">
        <f>IF('COPY 20 %'!$A44="","",'COPY 20 %'!H44)</f>
        <v/>
      </c>
      <c r="L44" s="7">
        <f>IF('COPY 20 %'!$A44="","",'COPY 20 %'!T44)</f>
        <v/>
      </c>
      <c r="M44">
        <f>IF('COPY 20 %'!$A44="","",'COPY 20 %'!G44)</f>
        <v/>
      </c>
    </row>
    <row r="45">
      <c r="A45">
        <f>IF('COPY 20 %'!$A45="","",ROWS($A$2:$A45))</f>
        <v/>
      </c>
      <c r="B45">
        <f>IF('COPY 20 %'!$A45="","",'COPY 20 %'!E45)</f>
        <v/>
      </c>
      <c r="C45">
        <f>IF('COPY 20 %'!$A45="","",'COPY 20 %'!F45)</f>
        <v/>
      </c>
      <c r="D45" s="14">
        <f>IF('COPY 20 %'!$A45="","",'COPY 20 %'!I45)</f>
        <v/>
      </c>
      <c r="E45" s="7">
        <f>IF('COPY 20 %'!$A45="","",'COPY 20 %'!O45)</f>
        <v/>
      </c>
      <c r="F45" s="7">
        <f>IF('COPY 20 %'!$A45="","",'COPY 20 %'!L45)</f>
        <v/>
      </c>
      <c r="G45" s="7">
        <f>IF('COPY 20 %'!$A45="","",'COPY 20 %'!S45)</f>
        <v/>
      </c>
      <c r="H45">
        <f>IF('COPY 20 %'!$A45="","",'COPY 20 %'!P45)</f>
        <v/>
      </c>
      <c r="I45">
        <f>IF('COPY 20 %'!$A45="","",'COPY 20 %'!M45)</f>
        <v/>
      </c>
      <c r="J45" s="7">
        <f>IF('COPY 20 %'!$A45="","",'COPY 20 %'!Q45)</f>
        <v/>
      </c>
      <c r="K45" s="7">
        <f>IF('COPY 20 %'!$A45="","",'COPY 20 %'!H45)</f>
        <v/>
      </c>
      <c r="L45" s="7">
        <f>IF('COPY 20 %'!$A45="","",'COPY 20 %'!T45)</f>
        <v/>
      </c>
      <c r="M45">
        <f>IF('COPY 20 %'!$A45="","",'COPY 20 %'!G45)</f>
        <v/>
      </c>
    </row>
    <row r="46">
      <c r="A46">
        <f>IF('COPY 20 %'!$A46="","",ROWS($A$2:$A46))</f>
        <v/>
      </c>
      <c r="B46">
        <f>IF('COPY 20 %'!$A46="","",'COPY 20 %'!E46)</f>
        <v/>
      </c>
      <c r="C46">
        <f>IF('COPY 20 %'!$A46="","",'COPY 20 %'!F46)</f>
        <v/>
      </c>
      <c r="D46" s="14">
        <f>IF('COPY 20 %'!$A46="","",'COPY 20 %'!I46)</f>
        <v/>
      </c>
      <c r="E46" s="7">
        <f>IF('COPY 20 %'!$A46="","",'COPY 20 %'!O46)</f>
        <v/>
      </c>
      <c r="F46" s="7">
        <f>IF('COPY 20 %'!$A46="","",'COPY 20 %'!L46)</f>
        <v/>
      </c>
      <c r="G46" s="7">
        <f>IF('COPY 20 %'!$A46="","",'COPY 20 %'!S46)</f>
        <v/>
      </c>
      <c r="H46">
        <f>IF('COPY 20 %'!$A46="","",'COPY 20 %'!P46)</f>
        <v/>
      </c>
      <c r="I46">
        <f>IF('COPY 20 %'!$A46="","",'COPY 20 %'!M46)</f>
        <v/>
      </c>
      <c r="J46" s="7">
        <f>IF('COPY 20 %'!$A46="","",'COPY 20 %'!Q46)</f>
        <v/>
      </c>
      <c r="K46" s="7">
        <f>IF('COPY 20 %'!$A46="","",'COPY 20 %'!H46)</f>
        <v/>
      </c>
      <c r="L46" s="7">
        <f>IF('COPY 20 %'!$A46="","",'COPY 20 %'!T46)</f>
        <v/>
      </c>
      <c r="M46">
        <f>IF('COPY 20 %'!$A46="","",'COPY 20 %'!G46)</f>
        <v/>
      </c>
    </row>
    <row r="47">
      <c r="A47">
        <f>IF('COPY 20 %'!$A47="","",ROWS($A$2:$A47))</f>
        <v/>
      </c>
      <c r="B47">
        <f>IF('COPY 20 %'!$A47="","",'COPY 20 %'!E47)</f>
        <v/>
      </c>
      <c r="C47">
        <f>IF('COPY 20 %'!$A47="","",'COPY 20 %'!F47)</f>
        <v/>
      </c>
      <c r="D47" s="14">
        <f>IF('COPY 20 %'!$A47="","",'COPY 20 %'!I47)</f>
        <v/>
      </c>
      <c r="E47" s="7">
        <f>IF('COPY 20 %'!$A47="","",'COPY 20 %'!O47)</f>
        <v/>
      </c>
      <c r="F47" s="7">
        <f>IF('COPY 20 %'!$A47="","",'COPY 20 %'!L47)</f>
        <v/>
      </c>
      <c r="G47" s="7">
        <f>IF('COPY 20 %'!$A47="","",'COPY 20 %'!S47)</f>
        <v/>
      </c>
      <c r="H47">
        <f>IF('COPY 20 %'!$A47="","",'COPY 20 %'!P47)</f>
        <v/>
      </c>
      <c r="I47">
        <f>IF('COPY 20 %'!$A47="","",'COPY 20 %'!M47)</f>
        <v/>
      </c>
      <c r="J47" s="7">
        <f>IF('COPY 20 %'!$A47="","",'COPY 20 %'!Q47)</f>
        <v/>
      </c>
      <c r="K47" s="7">
        <f>IF('COPY 20 %'!$A47="","",'COPY 20 %'!H47)</f>
        <v/>
      </c>
      <c r="L47" s="7">
        <f>IF('COPY 20 %'!$A47="","",'COPY 20 %'!T47)</f>
        <v/>
      </c>
      <c r="M47">
        <f>IF('COPY 20 %'!$A47="","",'COPY 20 %'!G47)</f>
        <v/>
      </c>
    </row>
    <row r="48">
      <c r="A48">
        <f>IF('COPY 20 %'!$A48="","",ROWS($A$2:$A48))</f>
        <v/>
      </c>
      <c r="B48">
        <f>IF('COPY 20 %'!$A48="","",'COPY 20 %'!E48)</f>
        <v/>
      </c>
      <c r="C48">
        <f>IF('COPY 20 %'!$A48="","",'COPY 20 %'!F48)</f>
        <v/>
      </c>
      <c r="D48" s="14">
        <f>IF('COPY 20 %'!$A48="","",'COPY 20 %'!I48)</f>
        <v/>
      </c>
      <c r="E48" s="7">
        <f>IF('COPY 20 %'!$A48="","",'COPY 20 %'!O48)</f>
        <v/>
      </c>
      <c r="F48" s="7">
        <f>IF('COPY 20 %'!$A48="","",'COPY 20 %'!L48)</f>
        <v/>
      </c>
      <c r="G48" s="7">
        <f>IF('COPY 20 %'!$A48="","",'COPY 20 %'!S48)</f>
        <v/>
      </c>
      <c r="H48">
        <f>IF('COPY 20 %'!$A48="","",'COPY 20 %'!P48)</f>
        <v/>
      </c>
      <c r="I48">
        <f>IF('COPY 20 %'!$A48="","",'COPY 20 %'!M48)</f>
        <v/>
      </c>
      <c r="J48" s="7">
        <f>IF('COPY 20 %'!$A48="","",'COPY 20 %'!Q48)</f>
        <v/>
      </c>
      <c r="K48" s="7">
        <f>IF('COPY 20 %'!$A48="","",'COPY 20 %'!H48)</f>
        <v/>
      </c>
      <c r="L48" s="7">
        <f>IF('COPY 20 %'!$A48="","",'COPY 20 %'!T48)</f>
        <v/>
      </c>
      <c r="M48">
        <f>IF('COPY 20 %'!$A48="","",'COPY 20 %'!G48)</f>
        <v/>
      </c>
    </row>
    <row r="49">
      <c r="A49">
        <f>IF('COPY 20 %'!$A49="","",ROWS($A$2:$A49))</f>
        <v/>
      </c>
      <c r="B49">
        <f>IF('COPY 20 %'!$A49="","",'COPY 20 %'!E49)</f>
        <v/>
      </c>
      <c r="C49">
        <f>IF('COPY 20 %'!$A49="","",'COPY 20 %'!F49)</f>
        <v/>
      </c>
      <c r="D49" s="14">
        <f>IF('COPY 20 %'!$A49="","",'COPY 20 %'!I49)</f>
        <v/>
      </c>
      <c r="E49" s="7">
        <f>IF('COPY 20 %'!$A49="","",'COPY 20 %'!O49)</f>
        <v/>
      </c>
      <c r="F49" s="7">
        <f>IF('COPY 20 %'!$A49="","",'COPY 20 %'!L49)</f>
        <v/>
      </c>
      <c r="G49" s="7">
        <f>IF('COPY 20 %'!$A49="","",'COPY 20 %'!S49)</f>
        <v/>
      </c>
      <c r="H49">
        <f>IF('COPY 20 %'!$A49="","",'COPY 20 %'!P49)</f>
        <v/>
      </c>
      <c r="I49">
        <f>IF('COPY 20 %'!$A49="","",'COPY 20 %'!M49)</f>
        <v/>
      </c>
      <c r="J49" s="7">
        <f>IF('COPY 20 %'!$A49="","",'COPY 20 %'!Q49)</f>
        <v/>
      </c>
      <c r="K49" s="7">
        <f>IF('COPY 20 %'!$A49="","",'COPY 20 %'!H49)</f>
        <v/>
      </c>
      <c r="L49" s="7">
        <f>IF('COPY 20 %'!$A49="","",'COPY 20 %'!T49)</f>
        <v/>
      </c>
      <c r="M49">
        <f>IF('COPY 20 %'!$A49="","",'COPY 20 %'!G49)</f>
        <v/>
      </c>
    </row>
    <row r="50">
      <c r="A50">
        <f>IF('COPY 20 %'!$A50="","",ROWS($A$2:$A50))</f>
        <v/>
      </c>
      <c r="B50">
        <f>IF('COPY 20 %'!$A50="","",'COPY 20 %'!E50)</f>
        <v/>
      </c>
      <c r="C50">
        <f>IF('COPY 20 %'!$A50="","",'COPY 20 %'!F50)</f>
        <v/>
      </c>
      <c r="D50" s="14">
        <f>IF('COPY 20 %'!$A50="","",'COPY 20 %'!I50)</f>
        <v/>
      </c>
      <c r="E50" s="7">
        <f>IF('COPY 20 %'!$A50="","",'COPY 20 %'!O50)</f>
        <v/>
      </c>
      <c r="F50" s="7">
        <f>IF('COPY 20 %'!$A50="","",'COPY 20 %'!L50)</f>
        <v/>
      </c>
      <c r="G50" s="7">
        <f>IF('COPY 20 %'!$A50="","",'COPY 20 %'!S50)</f>
        <v/>
      </c>
      <c r="H50">
        <f>IF('COPY 20 %'!$A50="","",'COPY 20 %'!P50)</f>
        <v/>
      </c>
      <c r="I50">
        <f>IF('COPY 20 %'!$A50="","",'COPY 20 %'!M50)</f>
        <v/>
      </c>
      <c r="J50" s="7">
        <f>IF('COPY 20 %'!$A50="","",'COPY 20 %'!Q50)</f>
        <v/>
      </c>
      <c r="K50" s="7">
        <f>IF('COPY 20 %'!$A50="","",'COPY 20 %'!H50)</f>
        <v/>
      </c>
      <c r="L50" s="7">
        <f>IF('COPY 20 %'!$A50="","",'COPY 20 %'!T50)</f>
        <v/>
      </c>
      <c r="M50">
        <f>IF('COPY 20 %'!$A50="","",'COPY 20 %'!G50)</f>
        <v/>
      </c>
    </row>
    <row r="51">
      <c r="A51">
        <f>IF('COPY 20 %'!$A51="","",ROWS($A$2:$A51))</f>
        <v/>
      </c>
      <c r="B51">
        <f>IF('COPY 20 %'!$A51="","",'COPY 20 %'!E51)</f>
        <v/>
      </c>
      <c r="C51">
        <f>IF('COPY 20 %'!$A51="","",'COPY 20 %'!F51)</f>
        <v/>
      </c>
      <c r="D51" s="14">
        <f>IF('COPY 20 %'!$A51="","",'COPY 20 %'!I51)</f>
        <v/>
      </c>
      <c r="E51" s="7">
        <f>IF('COPY 20 %'!$A51="","",'COPY 20 %'!O51)</f>
        <v/>
      </c>
      <c r="F51" s="7">
        <f>IF('COPY 20 %'!$A51="","",'COPY 20 %'!L51)</f>
        <v/>
      </c>
      <c r="G51" s="7">
        <f>IF('COPY 20 %'!$A51="","",'COPY 20 %'!S51)</f>
        <v/>
      </c>
      <c r="H51">
        <f>IF('COPY 20 %'!$A51="","",'COPY 20 %'!P51)</f>
        <v/>
      </c>
      <c r="I51">
        <f>IF('COPY 20 %'!$A51="","",'COPY 20 %'!M51)</f>
        <v/>
      </c>
      <c r="J51" s="7">
        <f>IF('COPY 20 %'!$A51="","",'COPY 20 %'!Q51)</f>
        <v/>
      </c>
      <c r="K51" s="7">
        <f>IF('COPY 20 %'!$A51="","",'COPY 20 %'!H51)</f>
        <v/>
      </c>
      <c r="L51" s="7">
        <f>IF('COPY 20 %'!$A51="","",'COPY 20 %'!T51)</f>
        <v/>
      </c>
      <c r="M51">
        <f>IF('COPY 20 %'!$A51="","",'COPY 20 %'!G51)</f>
        <v/>
      </c>
    </row>
    <row r="52">
      <c r="A52">
        <f>IF('COPY 20 %'!$A52="","",ROWS($A$2:$A52))</f>
        <v/>
      </c>
      <c r="B52">
        <f>IF('COPY 20 %'!$A52="","",'COPY 20 %'!E52)</f>
        <v/>
      </c>
      <c r="C52">
        <f>IF('COPY 20 %'!$A52="","",'COPY 20 %'!F52)</f>
        <v/>
      </c>
      <c r="D52" s="14">
        <f>IF('COPY 20 %'!$A52="","",'COPY 20 %'!I52)</f>
        <v/>
      </c>
      <c r="E52" s="7">
        <f>IF('COPY 20 %'!$A52="","",'COPY 20 %'!O52)</f>
        <v/>
      </c>
      <c r="F52" s="7">
        <f>IF('COPY 20 %'!$A52="","",'COPY 20 %'!L52)</f>
        <v/>
      </c>
      <c r="G52" s="7">
        <f>IF('COPY 20 %'!$A52="","",'COPY 20 %'!S52)</f>
        <v/>
      </c>
      <c r="H52">
        <f>IF('COPY 20 %'!$A52="","",'COPY 20 %'!P52)</f>
        <v/>
      </c>
      <c r="I52">
        <f>IF('COPY 20 %'!$A52="","",'COPY 20 %'!M52)</f>
        <v/>
      </c>
      <c r="J52" s="7">
        <f>IF('COPY 20 %'!$A52="","",'COPY 20 %'!Q52)</f>
        <v/>
      </c>
      <c r="K52" s="7">
        <f>IF('COPY 20 %'!$A52="","",'COPY 20 %'!H52)</f>
        <v/>
      </c>
      <c r="L52" s="7">
        <f>IF('COPY 20 %'!$A52="","",'COPY 20 %'!T52)</f>
        <v/>
      </c>
      <c r="M52">
        <f>IF('COPY 20 %'!$A52="","",'COPY 20 %'!G52)</f>
        <v/>
      </c>
    </row>
    <row r="53">
      <c r="A53">
        <f>IF('COPY 20 %'!$A53="","",ROWS($A$2:$A53))</f>
        <v/>
      </c>
      <c r="B53">
        <f>IF('COPY 20 %'!$A53="","",'COPY 20 %'!E53)</f>
        <v/>
      </c>
      <c r="C53">
        <f>IF('COPY 20 %'!$A53="","",'COPY 20 %'!F53)</f>
        <v/>
      </c>
      <c r="D53" s="14">
        <f>IF('COPY 20 %'!$A53="","",'COPY 20 %'!I53)</f>
        <v/>
      </c>
      <c r="E53" s="7">
        <f>IF('COPY 20 %'!$A53="","",'COPY 20 %'!O53)</f>
        <v/>
      </c>
      <c r="F53" s="7">
        <f>IF('COPY 20 %'!$A53="","",'COPY 20 %'!L53)</f>
        <v/>
      </c>
      <c r="G53" s="7">
        <f>IF('COPY 20 %'!$A53="","",'COPY 20 %'!S53)</f>
        <v/>
      </c>
      <c r="H53">
        <f>IF('COPY 20 %'!$A53="","",'COPY 20 %'!P53)</f>
        <v/>
      </c>
      <c r="I53">
        <f>IF('COPY 20 %'!$A53="","",'COPY 20 %'!M53)</f>
        <v/>
      </c>
      <c r="J53" s="7">
        <f>IF('COPY 20 %'!$A53="","",'COPY 20 %'!Q53)</f>
        <v/>
      </c>
      <c r="K53" s="7">
        <f>IF('COPY 20 %'!$A53="","",'COPY 20 %'!H53)</f>
        <v/>
      </c>
      <c r="L53" s="7">
        <f>IF('COPY 20 %'!$A53="","",'COPY 20 %'!T53)</f>
        <v/>
      </c>
      <c r="M53">
        <f>IF('COPY 20 %'!$A53="","",'COPY 20 %'!G53)</f>
        <v/>
      </c>
    </row>
    <row r="54">
      <c r="A54">
        <f>IF('COPY 20 %'!$A54="","",ROWS($A$2:$A54))</f>
        <v/>
      </c>
      <c r="B54">
        <f>IF('COPY 20 %'!$A54="","",'COPY 20 %'!E54)</f>
        <v/>
      </c>
      <c r="C54">
        <f>IF('COPY 20 %'!$A54="","",'COPY 20 %'!F54)</f>
        <v/>
      </c>
      <c r="D54" s="14">
        <f>IF('COPY 20 %'!$A54="","",'COPY 20 %'!I54)</f>
        <v/>
      </c>
      <c r="E54" s="7">
        <f>IF('COPY 20 %'!$A54="","",'COPY 20 %'!O54)</f>
        <v/>
      </c>
      <c r="F54" s="7">
        <f>IF('COPY 20 %'!$A54="","",'COPY 20 %'!L54)</f>
        <v/>
      </c>
      <c r="G54" s="7">
        <f>IF('COPY 20 %'!$A54="","",'COPY 20 %'!S54)</f>
        <v/>
      </c>
      <c r="H54">
        <f>IF('COPY 20 %'!$A54="","",'COPY 20 %'!P54)</f>
        <v/>
      </c>
      <c r="I54">
        <f>IF('COPY 20 %'!$A54="","",'COPY 20 %'!M54)</f>
        <v/>
      </c>
      <c r="J54" s="7">
        <f>IF('COPY 20 %'!$A54="","",'COPY 20 %'!Q54)</f>
        <v/>
      </c>
      <c r="K54" s="7">
        <f>IF('COPY 20 %'!$A54="","",'COPY 20 %'!H54)</f>
        <v/>
      </c>
      <c r="L54" s="7">
        <f>IF('COPY 20 %'!$A54="","",'COPY 20 %'!T54)</f>
        <v/>
      </c>
      <c r="M54">
        <f>IF('COPY 20 %'!$A54="","",'COPY 20 %'!G54)</f>
        <v/>
      </c>
    </row>
    <row r="55">
      <c r="A55">
        <f>IF('COPY 20 %'!$A55="","",ROWS($A$2:$A55))</f>
        <v/>
      </c>
      <c r="B55">
        <f>IF('COPY 20 %'!$A55="","",'COPY 20 %'!E55)</f>
        <v/>
      </c>
      <c r="C55">
        <f>IF('COPY 20 %'!$A55="","",'COPY 20 %'!F55)</f>
        <v/>
      </c>
      <c r="D55" s="14">
        <f>IF('COPY 20 %'!$A55="","",'COPY 20 %'!I55)</f>
        <v/>
      </c>
      <c r="E55" s="7">
        <f>IF('COPY 20 %'!$A55="","",'COPY 20 %'!O55)</f>
        <v/>
      </c>
      <c r="F55" s="7">
        <f>IF('COPY 20 %'!$A55="","",'COPY 20 %'!L55)</f>
        <v/>
      </c>
      <c r="G55" s="7">
        <f>IF('COPY 20 %'!$A55="","",'COPY 20 %'!S55)</f>
        <v/>
      </c>
      <c r="H55">
        <f>IF('COPY 20 %'!$A55="","",'COPY 20 %'!P55)</f>
        <v/>
      </c>
      <c r="I55">
        <f>IF('COPY 20 %'!$A55="","",'COPY 20 %'!M55)</f>
        <v/>
      </c>
      <c r="J55" s="7">
        <f>IF('COPY 20 %'!$A55="","",'COPY 20 %'!Q55)</f>
        <v/>
      </c>
      <c r="K55" s="7">
        <f>IF('COPY 20 %'!$A55="","",'COPY 20 %'!H55)</f>
        <v/>
      </c>
      <c r="L55" s="7">
        <f>IF('COPY 20 %'!$A55="","",'COPY 20 %'!T55)</f>
        <v/>
      </c>
      <c r="M55">
        <f>IF('COPY 20 %'!$A55="","",'COPY 20 %'!G55)</f>
        <v/>
      </c>
    </row>
    <row r="56">
      <c r="A56">
        <f>IF('COPY 20 %'!$A56="","",ROWS($A$2:$A56))</f>
        <v/>
      </c>
      <c r="B56">
        <f>IF('COPY 20 %'!$A56="","",'COPY 20 %'!E56)</f>
        <v/>
      </c>
      <c r="C56">
        <f>IF('COPY 20 %'!$A56="","",'COPY 20 %'!F56)</f>
        <v/>
      </c>
      <c r="D56" s="14">
        <f>IF('COPY 20 %'!$A56="","",'COPY 20 %'!I56)</f>
        <v/>
      </c>
      <c r="E56" s="7">
        <f>IF('COPY 20 %'!$A56="","",'COPY 20 %'!O56)</f>
        <v/>
      </c>
      <c r="F56" s="7">
        <f>IF('COPY 20 %'!$A56="","",'COPY 20 %'!L56)</f>
        <v/>
      </c>
      <c r="G56" s="7">
        <f>IF('COPY 20 %'!$A56="","",'COPY 20 %'!S56)</f>
        <v/>
      </c>
      <c r="H56">
        <f>IF('COPY 20 %'!$A56="","",'COPY 20 %'!P56)</f>
        <v/>
      </c>
      <c r="I56">
        <f>IF('COPY 20 %'!$A56="","",'COPY 20 %'!M56)</f>
        <v/>
      </c>
      <c r="J56" s="7">
        <f>IF('COPY 20 %'!$A56="","",'COPY 20 %'!Q56)</f>
        <v/>
      </c>
      <c r="K56" s="7">
        <f>IF('COPY 20 %'!$A56="","",'COPY 20 %'!H56)</f>
        <v/>
      </c>
      <c r="L56" s="7">
        <f>IF('COPY 20 %'!$A56="","",'COPY 20 %'!T56)</f>
        <v/>
      </c>
      <c r="M56">
        <f>IF('COPY 20 %'!$A56="","",'COPY 20 %'!G56)</f>
        <v/>
      </c>
    </row>
    <row r="57">
      <c r="A57">
        <f>IF('COPY 20 %'!$A57="","",ROWS($A$2:$A57))</f>
        <v/>
      </c>
      <c r="B57">
        <f>IF('COPY 20 %'!$A57="","",'COPY 20 %'!E57)</f>
        <v/>
      </c>
      <c r="C57">
        <f>IF('COPY 20 %'!$A57="","",'COPY 20 %'!F57)</f>
        <v/>
      </c>
      <c r="D57" s="14">
        <f>IF('COPY 20 %'!$A57="","",'COPY 20 %'!I57)</f>
        <v/>
      </c>
      <c r="E57" s="7">
        <f>IF('COPY 20 %'!$A57="","",'COPY 20 %'!O57)</f>
        <v/>
      </c>
      <c r="F57" s="7">
        <f>IF('COPY 20 %'!$A57="","",'COPY 20 %'!L57)</f>
        <v/>
      </c>
      <c r="G57" s="7">
        <f>IF('COPY 20 %'!$A57="","",'COPY 20 %'!S57)</f>
        <v/>
      </c>
      <c r="H57">
        <f>IF('COPY 20 %'!$A57="","",'COPY 20 %'!P57)</f>
        <v/>
      </c>
      <c r="I57">
        <f>IF('COPY 20 %'!$A57="","",'COPY 20 %'!M57)</f>
        <v/>
      </c>
      <c r="J57" s="7">
        <f>IF('COPY 20 %'!$A57="","",'COPY 20 %'!Q57)</f>
        <v/>
      </c>
      <c r="K57" s="7">
        <f>IF('COPY 20 %'!$A57="","",'COPY 20 %'!H57)</f>
        <v/>
      </c>
      <c r="L57" s="7">
        <f>IF('COPY 20 %'!$A57="","",'COPY 20 %'!T57)</f>
        <v/>
      </c>
      <c r="M57">
        <f>IF('COPY 20 %'!$A57="","",'COPY 20 %'!G57)</f>
        <v/>
      </c>
    </row>
    <row r="58">
      <c r="A58">
        <f>IF('COPY 20 %'!$A58="","",ROWS($A$2:$A58))</f>
        <v/>
      </c>
      <c r="B58">
        <f>IF('COPY 20 %'!$A58="","",'COPY 20 %'!E58)</f>
        <v/>
      </c>
      <c r="C58">
        <f>IF('COPY 20 %'!$A58="","",'COPY 20 %'!F58)</f>
        <v/>
      </c>
      <c r="D58" s="14">
        <f>IF('COPY 20 %'!$A58="","",'COPY 20 %'!I58)</f>
        <v/>
      </c>
      <c r="E58" s="7">
        <f>IF('COPY 20 %'!$A58="","",'COPY 20 %'!O58)</f>
        <v/>
      </c>
      <c r="F58" s="7">
        <f>IF('COPY 20 %'!$A58="","",'COPY 20 %'!L58)</f>
        <v/>
      </c>
      <c r="G58" s="7">
        <f>IF('COPY 20 %'!$A58="","",'COPY 20 %'!S58)</f>
        <v/>
      </c>
      <c r="H58">
        <f>IF('COPY 20 %'!$A58="","",'COPY 20 %'!P58)</f>
        <v/>
      </c>
      <c r="I58">
        <f>IF('COPY 20 %'!$A58="","",'COPY 20 %'!M58)</f>
        <v/>
      </c>
      <c r="J58" s="7">
        <f>IF('COPY 20 %'!$A58="","",'COPY 20 %'!Q58)</f>
        <v/>
      </c>
      <c r="K58" s="7">
        <f>IF('COPY 20 %'!$A58="","",'COPY 20 %'!H58)</f>
        <v/>
      </c>
      <c r="L58" s="7">
        <f>IF('COPY 20 %'!$A58="","",'COPY 20 %'!T58)</f>
        <v/>
      </c>
      <c r="M58">
        <f>IF('COPY 20 %'!$A58="","",'COPY 20 %'!G58)</f>
        <v/>
      </c>
    </row>
    <row r="59">
      <c r="A59">
        <f>IF('COPY 20 %'!$A59="","",ROWS($A$2:$A59))</f>
        <v/>
      </c>
      <c r="B59">
        <f>IF('COPY 20 %'!$A59="","",'COPY 20 %'!E59)</f>
        <v/>
      </c>
      <c r="C59">
        <f>IF('COPY 20 %'!$A59="","",'COPY 20 %'!F59)</f>
        <v/>
      </c>
      <c r="D59" s="14">
        <f>IF('COPY 20 %'!$A59="","",'COPY 20 %'!I59)</f>
        <v/>
      </c>
      <c r="E59" s="7">
        <f>IF('COPY 20 %'!$A59="","",'COPY 20 %'!O59)</f>
        <v/>
      </c>
      <c r="F59" s="7">
        <f>IF('COPY 20 %'!$A59="","",'COPY 20 %'!L59)</f>
        <v/>
      </c>
      <c r="G59" s="7">
        <f>IF('COPY 20 %'!$A59="","",'COPY 20 %'!S59)</f>
        <v/>
      </c>
      <c r="H59">
        <f>IF('COPY 20 %'!$A59="","",'COPY 20 %'!P59)</f>
        <v/>
      </c>
      <c r="I59">
        <f>IF('COPY 20 %'!$A59="","",'COPY 20 %'!M59)</f>
        <v/>
      </c>
      <c r="J59" s="7">
        <f>IF('COPY 20 %'!$A59="","",'COPY 20 %'!Q59)</f>
        <v/>
      </c>
      <c r="K59" s="7">
        <f>IF('COPY 20 %'!$A59="","",'COPY 20 %'!H59)</f>
        <v/>
      </c>
      <c r="L59" s="7">
        <f>IF('COPY 20 %'!$A59="","",'COPY 20 %'!T59)</f>
        <v/>
      </c>
      <c r="M59">
        <f>IF('COPY 20 %'!$A59="","",'COPY 20 %'!G59)</f>
        <v/>
      </c>
    </row>
    <row r="60">
      <c r="A60">
        <f>IF('COPY 20 %'!$A60="","",ROWS($A$2:$A60))</f>
        <v/>
      </c>
      <c r="B60">
        <f>IF('COPY 20 %'!$A60="","",'COPY 20 %'!E60)</f>
        <v/>
      </c>
      <c r="C60">
        <f>IF('COPY 20 %'!$A60="","",'COPY 20 %'!F60)</f>
        <v/>
      </c>
      <c r="D60" s="14">
        <f>IF('COPY 20 %'!$A60="","",'COPY 20 %'!I60)</f>
        <v/>
      </c>
      <c r="E60" s="7">
        <f>IF('COPY 20 %'!$A60="","",'COPY 20 %'!O60)</f>
        <v/>
      </c>
      <c r="F60" s="7">
        <f>IF('COPY 20 %'!$A60="","",'COPY 20 %'!L60)</f>
        <v/>
      </c>
      <c r="G60" s="7">
        <f>IF('COPY 20 %'!$A60="","",'COPY 20 %'!S60)</f>
        <v/>
      </c>
      <c r="H60">
        <f>IF('COPY 20 %'!$A60="","",'COPY 20 %'!P60)</f>
        <v/>
      </c>
      <c r="I60">
        <f>IF('COPY 20 %'!$A60="","",'COPY 20 %'!M60)</f>
        <v/>
      </c>
      <c r="J60" s="7">
        <f>IF('COPY 20 %'!$A60="","",'COPY 20 %'!Q60)</f>
        <v/>
      </c>
      <c r="K60" s="7">
        <f>IF('COPY 20 %'!$A60="","",'COPY 20 %'!H60)</f>
        <v/>
      </c>
      <c r="L60" s="7">
        <f>IF('COPY 20 %'!$A60="","",'COPY 20 %'!T60)</f>
        <v/>
      </c>
      <c r="M60">
        <f>IF('COPY 20 %'!$A60="","",'COPY 20 %'!G60)</f>
        <v/>
      </c>
    </row>
    <row r="61">
      <c r="A61">
        <f>IF('COPY 20 %'!$A61="","",ROWS($A$2:$A61))</f>
        <v/>
      </c>
      <c r="B61">
        <f>IF('COPY 20 %'!$A61="","",'COPY 20 %'!E61)</f>
        <v/>
      </c>
      <c r="C61">
        <f>IF('COPY 20 %'!$A61="","",'COPY 20 %'!F61)</f>
        <v/>
      </c>
      <c r="D61" s="14">
        <f>IF('COPY 20 %'!$A61="","",'COPY 20 %'!I61)</f>
        <v/>
      </c>
      <c r="E61" s="7">
        <f>IF('COPY 20 %'!$A61="","",'COPY 20 %'!O61)</f>
        <v/>
      </c>
      <c r="F61" s="7">
        <f>IF('COPY 20 %'!$A61="","",'COPY 20 %'!L61)</f>
        <v/>
      </c>
      <c r="G61" s="7">
        <f>IF('COPY 20 %'!$A61="","",'COPY 20 %'!S61)</f>
        <v/>
      </c>
      <c r="H61">
        <f>IF('COPY 20 %'!$A61="","",'COPY 20 %'!P61)</f>
        <v/>
      </c>
      <c r="I61">
        <f>IF('COPY 20 %'!$A61="","",'COPY 20 %'!M61)</f>
        <v/>
      </c>
      <c r="J61" s="7">
        <f>IF('COPY 20 %'!$A61="","",'COPY 20 %'!Q61)</f>
        <v/>
      </c>
      <c r="K61" s="7">
        <f>IF('COPY 20 %'!$A61="","",'COPY 20 %'!H61)</f>
        <v/>
      </c>
      <c r="L61" s="7">
        <f>IF('COPY 20 %'!$A61="","",'COPY 20 %'!T61)</f>
        <v/>
      </c>
      <c r="M61">
        <f>IF('COPY 20 %'!$A61="","",'COPY 20 %'!G61)</f>
        <v/>
      </c>
    </row>
    <row r="62">
      <c r="A62">
        <f>IF('COPY 20 %'!$A62="","",ROWS($A$2:$A62))</f>
        <v/>
      </c>
      <c r="B62">
        <f>IF('COPY 20 %'!$A62="","",'COPY 20 %'!E62)</f>
        <v/>
      </c>
      <c r="C62">
        <f>IF('COPY 20 %'!$A62="","",'COPY 20 %'!F62)</f>
        <v/>
      </c>
      <c r="D62" s="14">
        <f>IF('COPY 20 %'!$A62="","",'COPY 20 %'!I62)</f>
        <v/>
      </c>
      <c r="E62" s="7">
        <f>IF('COPY 20 %'!$A62="","",'COPY 20 %'!O62)</f>
        <v/>
      </c>
      <c r="F62" s="7">
        <f>IF('COPY 20 %'!$A62="","",'COPY 20 %'!L62)</f>
        <v/>
      </c>
      <c r="G62" s="7">
        <f>IF('COPY 20 %'!$A62="","",'COPY 20 %'!S62)</f>
        <v/>
      </c>
      <c r="H62">
        <f>IF('COPY 20 %'!$A62="","",'COPY 20 %'!P62)</f>
        <v/>
      </c>
      <c r="I62">
        <f>IF('COPY 20 %'!$A62="","",'COPY 20 %'!M62)</f>
        <v/>
      </c>
      <c r="J62" s="7">
        <f>IF('COPY 20 %'!$A62="","",'COPY 20 %'!Q62)</f>
        <v/>
      </c>
      <c r="K62" s="7">
        <f>IF('COPY 20 %'!$A62="","",'COPY 20 %'!H62)</f>
        <v/>
      </c>
      <c r="L62" s="7">
        <f>IF('COPY 20 %'!$A62="","",'COPY 20 %'!T62)</f>
        <v/>
      </c>
      <c r="M62">
        <f>IF('COPY 20 %'!$A62="","",'COPY 20 %'!G62)</f>
        <v/>
      </c>
    </row>
    <row r="63">
      <c r="A63">
        <f>IF('COPY 20 %'!$A63="","",ROWS($A$2:$A63))</f>
        <v/>
      </c>
      <c r="B63">
        <f>IF('COPY 20 %'!$A63="","",'COPY 20 %'!E63)</f>
        <v/>
      </c>
      <c r="C63">
        <f>IF('COPY 20 %'!$A63="","",'COPY 20 %'!F63)</f>
        <v/>
      </c>
      <c r="D63" s="14">
        <f>IF('COPY 20 %'!$A63="","",'COPY 20 %'!I63)</f>
        <v/>
      </c>
      <c r="E63" s="7">
        <f>IF('COPY 20 %'!$A63="","",'COPY 20 %'!O63)</f>
        <v/>
      </c>
      <c r="F63" s="7">
        <f>IF('COPY 20 %'!$A63="","",'COPY 20 %'!L63)</f>
        <v/>
      </c>
      <c r="G63" s="7">
        <f>IF('COPY 20 %'!$A63="","",'COPY 20 %'!S63)</f>
        <v/>
      </c>
      <c r="H63">
        <f>IF('COPY 20 %'!$A63="","",'COPY 20 %'!P63)</f>
        <v/>
      </c>
      <c r="I63">
        <f>IF('COPY 20 %'!$A63="","",'COPY 20 %'!M63)</f>
        <v/>
      </c>
      <c r="J63" s="7">
        <f>IF('COPY 20 %'!$A63="","",'COPY 20 %'!Q63)</f>
        <v/>
      </c>
      <c r="K63" s="7">
        <f>IF('COPY 20 %'!$A63="","",'COPY 20 %'!H63)</f>
        <v/>
      </c>
      <c r="L63" s="7">
        <f>IF('COPY 20 %'!$A63="","",'COPY 20 %'!T63)</f>
        <v/>
      </c>
      <c r="M63">
        <f>IF('COPY 20 %'!$A63="","",'COPY 20 %'!G63)</f>
        <v/>
      </c>
    </row>
    <row r="64">
      <c r="A64">
        <f>IF('COPY 20 %'!$A64="","",ROWS($A$2:$A64))</f>
        <v/>
      </c>
      <c r="B64">
        <f>IF('COPY 20 %'!$A64="","",'COPY 20 %'!E64)</f>
        <v/>
      </c>
      <c r="C64">
        <f>IF('COPY 20 %'!$A64="","",'COPY 20 %'!F64)</f>
        <v/>
      </c>
      <c r="D64" s="14">
        <f>IF('COPY 20 %'!$A64="","",'COPY 20 %'!I64)</f>
        <v/>
      </c>
      <c r="E64" s="7">
        <f>IF('COPY 20 %'!$A64="","",'COPY 20 %'!O64)</f>
        <v/>
      </c>
      <c r="F64" s="7">
        <f>IF('COPY 20 %'!$A64="","",'COPY 20 %'!L64)</f>
        <v/>
      </c>
      <c r="G64" s="7">
        <f>IF('COPY 20 %'!$A64="","",'COPY 20 %'!S64)</f>
        <v/>
      </c>
      <c r="H64">
        <f>IF('COPY 20 %'!$A64="","",'COPY 20 %'!P64)</f>
        <v/>
      </c>
      <c r="I64">
        <f>IF('COPY 20 %'!$A64="","",'COPY 20 %'!M64)</f>
        <v/>
      </c>
      <c r="J64" s="7">
        <f>IF('COPY 20 %'!$A64="","",'COPY 20 %'!Q64)</f>
        <v/>
      </c>
      <c r="K64" s="7">
        <f>IF('COPY 20 %'!$A64="","",'COPY 20 %'!H64)</f>
        <v/>
      </c>
      <c r="L64" s="7">
        <f>IF('COPY 20 %'!$A64="","",'COPY 20 %'!T64)</f>
        <v/>
      </c>
      <c r="M64">
        <f>IF('COPY 20 %'!$A64="","",'COPY 20 %'!G64)</f>
        <v/>
      </c>
    </row>
    <row r="65">
      <c r="A65">
        <f>IF('COPY 20 %'!$A65="","",ROWS($A$2:$A65))</f>
        <v/>
      </c>
      <c r="B65">
        <f>IF('COPY 20 %'!$A65="","",'COPY 20 %'!E65)</f>
        <v/>
      </c>
      <c r="C65">
        <f>IF('COPY 20 %'!$A65="","",'COPY 20 %'!F65)</f>
        <v/>
      </c>
      <c r="D65" s="14">
        <f>IF('COPY 20 %'!$A65="","",'COPY 20 %'!I65)</f>
        <v/>
      </c>
      <c r="E65" s="7">
        <f>IF('COPY 20 %'!$A65="","",'COPY 20 %'!O65)</f>
        <v/>
      </c>
      <c r="F65" s="7">
        <f>IF('COPY 20 %'!$A65="","",'COPY 20 %'!L65)</f>
        <v/>
      </c>
      <c r="G65" s="7">
        <f>IF('COPY 20 %'!$A65="","",'COPY 20 %'!S65)</f>
        <v/>
      </c>
      <c r="H65">
        <f>IF('COPY 20 %'!$A65="","",'COPY 20 %'!P65)</f>
        <v/>
      </c>
      <c r="I65">
        <f>IF('COPY 20 %'!$A65="","",'COPY 20 %'!M65)</f>
        <v/>
      </c>
      <c r="J65" s="7">
        <f>IF('COPY 20 %'!$A65="","",'COPY 20 %'!Q65)</f>
        <v/>
      </c>
      <c r="K65" s="7">
        <f>IF('COPY 20 %'!$A65="","",'COPY 20 %'!H65)</f>
        <v/>
      </c>
      <c r="L65" s="7">
        <f>IF('COPY 20 %'!$A65="","",'COPY 20 %'!T65)</f>
        <v/>
      </c>
      <c r="M65">
        <f>IF('COPY 20 %'!$A65="","",'COPY 20 %'!G65)</f>
        <v/>
      </c>
    </row>
    <row r="66">
      <c r="A66">
        <f>IF('COPY 20 %'!$A66="","",ROWS($A$2:$A66))</f>
        <v/>
      </c>
      <c r="B66">
        <f>IF('COPY 20 %'!$A66="","",'COPY 20 %'!E66)</f>
        <v/>
      </c>
      <c r="C66">
        <f>IF('COPY 20 %'!$A66="","",'COPY 20 %'!F66)</f>
        <v/>
      </c>
      <c r="D66" s="14">
        <f>IF('COPY 20 %'!$A66="","",'COPY 20 %'!I66)</f>
        <v/>
      </c>
      <c r="E66" s="7">
        <f>IF('COPY 20 %'!$A66="","",'COPY 20 %'!O66)</f>
        <v/>
      </c>
      <c r="F66" s="7">
        <f>IF('COPY 20 %'!$A66="","",'COPY 20 %'!L66)</f>
        <v/>
      </c>
      <c r="G66" s="7">
        <f>IF('COPY 20 %'!$A66="","",'COPY 20 %'!S66)</f>
        <v/>
      </c>
      <c r="H66">
        <f>IF('COPY 20 %'!$A66="","",'COPY 20 %'!P66)</f>
        <v/>
      </c>
      <c r="I66">
        <f>IF('COPY 20 %'!$A66="","",'COPY 20 %'!M66)</f>
        <v/>
      </c>
      <c r="J66" s="7">
        <f>IF('COPY 20 %'!$A66="","",'COPY 20 %'!Q66)</f>
        <v/>
      </c>
      <c r="K66" s="7">
        <f>IF('COPY 20 %'!$A66="","",'COPY 20 %'!H66)</f>
        <v/>
      </c>
      <c r="L66" s="7">
        <f>IF('COPY 20 %'!$A66="","",'COPY 20 %'!T66)</f>
        <v/>
      </c>
      <c r="M66">
        <f>IF('COPY 20 %'!$A66="","",'COPY 20 %'!G66)</f>
        <v/>
      </c>
    </row>
    <row r="67">
      <c r="A67">
        <f>IF('COPY 20 %'!$A67="","",ROWS($A$2:$A67))</f>
        <v/>
      </c>
      <c r="B67">
        <f>IF('COPY 20 %'!$A67="","",'COPY 20 %'!E67)</f>
        <v/>
      </c>
      <c r="C67">
        <f>IF('COPY 20 %'!$A67="","",'COPY 20 %'!F67)</f>
        <v/>
      </c>
      <c r="D67" s="14">
        <f>IF('COPY 20 %'!$A67="","",'COPY 20 %'!I67)</f>
        <v/>
      </c>
      <c r="E67" s="7">
        <f>IF('COPY 20 %'!$A67="","",'COPY 20 %'!O67)</f>
        <v/>
      </c>
      <c r="F67" s="7">
        <f>IF('COPY 20 %'!$A67="","",'COPY 20 %'!L67)</f>
        <v/>
      </c>
      <c r="G67" s="7">
        <f>IF('COPY 20 %'!$A67="","",'COPY 20 %'!S67)</f>
        <v/>
      </c>
      <c r="H67">
        <f>IF('COPY 20 %'!$A67="","",'COPY 20 %'!P67)</f>
        <v/>
      </c>
      <c r="I67">
        <f>IF('COPY 20 %'!$A67="","",'COPY 20 %'!M67)</f>
        <v/>
      </c>
      <c r="J67" s="7">
        <f>IF('COPY 20 %'!$A67="","",'COPY 20 %'!Q67)</f>
        <v/>
      </c>
      <c r="K67" s="7">
        <f>IF('COPY 20 %'!$A67="","",'COPY 20 %'!H67)</f>
        <v/>
      </c>
      <c r="L67" s="7">
        <f>IF('COPY 20 %'!$A67="","",'COPY 20 %'!T67)</f>
        <v/>
      </c>
      <c r="M67">
        <f>IF('COPY 20 %'!$A67="","",'COPY 20 %'!G67)</f>
        <v/>
      </c>
    </row>
    <row r="68">
      <c r="A68">
        <f>IF('COPY 20 %'!$A68="","",ROWS($A$2:$A68))</f>
        <v/>
      </c>
      <c r="B68">
        <f>IF('COPY 20 %'!$A68="","",'COPY 20 %'!E68)</f>
        <v/>
      </c>
      <c r="C68">
        <f>IF('COPY 20 %'!$A68="","",'COPY 20 %'!F68)</f>
        <v/>
      </c>
      <c r="D68" s="14">
        <f>IF('COPY 20 %'!$A68="","",'COPY 20 %'!I68)</f>
        <v/>
      </c>
      <c r="E68" s="7">
        <f>IF('COPY 20 %'!$A68="","",'COPY 20 %'!O68)</f>
        <v/>
      </c>
      <c r="F68" s="7">
        <f>IF('COPY 20 %'!$A68="","",'COPY 20 %'!L68)</f>
        <v/>
      </c>
      <c r="G68" s="7">
        <f>IF('COPY 20 %'!$A68="","",'COPY 20 %'!S68)</f>
        <v/>
      </c>
      <c r="H68">
        <f>IF('COPY 20 %'!$A68="","",'COPY 20 %'!P68)</f>
        <v/>
      </c>
      <c r="I68">
        <f>IF('COPY 20 %'!$A68="","",'COPY 20 %'!M68)</f>
        <v/>
      </c>
      <c r="J68" s="7">
        <f>IF('COPY 20 %'!$A68="","",'COPY 20 %'!Q68)</f>
        <v/>
      </c>
      <c r="K68" s="7">
        <f>IF('COPY 20 %'!$A68="","",'COPY 20 %'!H68)</f>
        <v/>
      </c>
      <c r="L68" s="7">
        <f>IF('COPY 20 %'!$A68="","",'COPY 20 %'!T68)</f>
        <v/>
      </c>
      <c r="M68">
        <f>IF('COPY 20 %'!$A68="","",'COPY 20 %'!G68)</f>
        <v/>
      </c>
    </row>
    <row r="69">
      <c r="A69">
        <f>IF('COPY 20 %'!$A69="","",ROWS($A$2:$A69))</f>
        <v/>
      </c>
      <c r="B69">
        <f>IF('COPY 20 %'!$A69="","",'COPY 20 %'!E69)</f>
        <v/>
      </c>
      <c r="C69">
        <f>IF('COPY 20 %'!$A69="","",'COPY 20 %'!F69)</f>
        <v/>
      </c>
      <c r="D69" s="14">
        <f>IF('COPY 20 %'!$A69="","",'COPY 20 %'!I69)</f>
        <v/>
      </c>
      <c r="E69" s="7">
        <f>IF('COPY 20 %'!$A69="","",'COPY 20 %'!O69)</f>
        <v/>
      </c>
      <c r="F69" s="7">
        <f>IF('COPY 20 %'!$A69="","",'COPY 20 %'!L69)</f>
        <v/>
      </c>
      <c r="G69" s="7">
        <f>IF('COPY 20 %'!$A69="","",'COPY 20 %'!S69)</f>
        <v/>
      </c>
      <c r="H69">
        <f>IF('COPY 20 %'!$A69="","",'COPY 20 %'!P69)</f>
        <v/>
      </c>
      <c r="I69">
        <f>IF('COPY 20 %'!$A69="","",'COPY 20 %'!M69)</f>
        <v/>
      </c>
      <c r="J69" s="7">
        <f>IF('COPY 20 %'!$A69="","",'COPY 20 %'!Q69)</f>
        <v/>
      </c>
      <c r="K69" s="7">
        <f>IF('COPY 20 %'!$A69="","",'COPY 20 %'!H69)</f>
        <v/>
      </c>
      <c r="L69" s="7">
        <f>IF('COPY 20 %'!$A69="","",'COPY 20 %'!T69)</f>
        <v/>
      </c>
      <c r="M69">
        <f>IF('COPY 20 %'!$A69="","",'COPY 20 %'!G69)</f>
        <v/>
      </c>
    </row>
    <row r="70">
      <c r="A70">
        <f>IF('COPY 20 %'!$A70="","",ROWS($A$2:$A70))</f>
        <v/>
      </c>
      <c r="B70">
        <f>IF('COPY 20 %'!$A70="","",'COPY 20 %'!E70)</f>
        <v/>
      </c>
      <c r="C70">
        <f>IF('COPY 20 %'!$A70="","",'COPY 20 %'!F70)</f>
        <v/>
      </c>
      <c r="D70" s="14">
        <f>IF('COPY 20 %'!$A70="","",'COPY 20 %'!I70)</f>
        <v/>
      </c>
      <c r="E70" s="7">
        <f>IF('COPY 20 %'!$A70="","",'COPY 20 %'!O70)</f>
        <v/>
      </c>
      <c r="F70" s="7">
        <f>IF('COPY 20 %'!$A70="","",'COPY 20 %'!L70)</f>
        <v/>
      </c>
      <c r="G70" s="7">
        <f>IF('COPY 20 %'!$A70="","",'COPY 20 %'!S70)</f>
        <v/>
      </c>
      <c r="H70">
        <f>IF('COPY 20 %'!$A70="","",'COPY 20 %'!P70)</f>
        <v/>
      </c>
      <c r="I70">
        <f>IF('COPY 20 %'!$A70="","",'COPY 20 %'!M70)</f>
        <v/>
      </c>
      <c r="J70" s="7">
        <f>IF('COPY 20 %'!$A70="","",'COPY 20 %'!Q70)</f>
        <v/>
      </c>
      <c r="K70" s="7">
        <f>IF('COPY 20 %'!$A70="","",'COPY 20 %'!H70)</f>
        <v/>
      </c>
      <c r="L70" s="7">
        <f>IF('COPY 20 %'!$A70="","",'COPY 20 %'!T70)</f>
        <v/>
      </c>
      <c r="M70">
        <f>IF('COPY 20 %'!$A70="","",'COPY 20 %'!G70)</f>
        <v/>
      </c>
    </row>
    <row r="71">
      <c r="A71">
        <f>IF('COPY 20 %'!$A71="","",ROWS($A$2:$A71))</f>
        <v/>
      </c>
      <c r="B71">
        <f>IF('COPY 20 %'!$A71="","",'COPY 20 %'!E71)</f>
        <v/>
      </c>
      <c r="C71">
        <f>IF('COPY 20 %'!$A71="","",'COPY 20 %'!F71)</f>
        <v/>
      </c>
      <c r="D71" s="14">
        <f>IF('COPY 20 %'!$A71="","",'COPY 20 %'!I71)</f>
        <v/>
      </c>
      <c r="E71" s="7">
        <f>IF('COPY 20 %'!$A71="","",'COPY 20 %'!O71)</f>
        <v/>
      </c>
      <c r="F71" s="7">
        <f>IF('COPY 20 %'!$A71="","",'COPY 20 %'!L71)</f>
        <v/>
      </c>
      <c r="G71" s="7">
        <f>IF('COPY 20 %'!$A71="","",'COPY 20 %'!S71)</f>
        <v/>
      </c>
      <c r="H71">
        <f>IF('COPY 20 %'!$A71="","",'COPY 20 %'!P71)</f>
        <v/>
      </c>
      <c r="I71">
        <f>IF('COPY 20 %'!$A71="","",'COPY 20 %'!M71)</f>
        <v/>
      </c>
      <c r="J71" s="7">
        <f>IF('COPY 20 %'!$A71="","",'COPY 20 %'!Q71)</f>
        <v/>
      </c>
      <c r="K71" s="7">
        <f>IF('COPY 20 %'!$A71="","",'COPY 20 %'!H71)</f>
        <v/>
      </c>
      <c r="L71" s="7">
        <f>IF('COPY 20 %'!$A71="","",'COPY 20 %'!T71)</f>
        <v/>
      </c>
      <c r="M71">
        <f>IF('COPY 20 %'!$A71="","",'COPY 20 %'!G71)</f>
        <v/>
      </c>
    </row>
    <row r="72">
      <c r="A72">
        <f>IF('COPY 20 %'!$A72="","",ROWS($A$2:$A72))</f>
        <v/>
      </c>
      <c r="B72">
        <f>IF('COPY 20 %'!$A72="","",'COPY 20 %'!E72)</f>
        <v/>
      </c>
      <c r="C72">
        <f>IF('COPY 20 %'!$A72="","",'COPY 20 %'!F72)</f>
        <v/>
      </c>
      <c r="D72" s="14">
        <f>IF('COPY 20 %'!$A72="","",'COPY 20 %'!I72)</f>
        <v/>
      </c>
      <c r="E72" s="7">
        <f>IF('COPY 20 %'!$A72="","",'COPY 20 %'!O72)</f>
        <v/>
      </c>
      <c r="F72" s="7">
        <f>IF('COPY 20 %'!$A72="","",'COPY 20 %'!L72)</f>
        <v/>
      </c>
      <c r="G72" s="7">
        <f>IF('COPY 20 %'!$A72="","",'COPY 20 %'!S72)</f>
        <v/>
      </c>
      <c r="H72">
        <f>IF('COPY 20 %'!$A72="","",'COPY 20 %'!P72)</f>
        <v/>
      </c>
      <c r="I72">
        <f>IF('COPY 20 %'!$A72="","",'COPY 20 %'!M72)</f>
        <v/>
      </c>
      <c r="J72" s="7">
        <f>IF('COPY 20 %'!$A72="","",'COPY 20 %'!Q72)</f>
        <v/>
      </c>
      <c r="K72" s="7">
        <f>IF('COPY 20 %'!$A72="","",'COPY 20 %'!H72)</f>
        <v/>
      </c>
      <c r="L72" s="7">
        <f>IF('COPY 20 %'!$A72="","",'COPY 20 %'!T72)</f>
        <v/>
      </c>
      <c r="M72">
        <f>IF('COPY 20 %'!$A72="","",'COPY 20 %'!G72)</f>
        <v/>
      </c>
    </row>
    <row r="73">
      <c r="A73">
        <f>IF('COPY 20 %'!$A73="","",ROWS($A$2:$A73))</f>
        <v/>
      </c>
      <c r="B73">
        <f>IF('COPY 20 %'!$A73="","",'COPY 20 %'!E73)</f>
        <v/>
      </c>
      <c r="C73">
        <f>IF('COPY 20 %'!$A73="","",'COPY 20 %'!F73)</f>
        <v/>
      </c>
      <c r="D73" s="14">
        <f>IF('COPY 20 %'!$A73="","",'COPY 20 %'!I73)</f>
        <v/>
      </c>
      <c r="E73" s="7">
        <f>IF('COPY 20 %'!$A73="","",'COPY 20 %'!O73)</f>
        <v/>
      </c>
      <c r="F73" s="7">
        <f>IF('COPY 20 %'!$A73="","",'COPY 20 %'!L73)</f>
        <v/>
      </c>
      <c r="G73" s="7">
        <f>IF('COPY 20 %'!$A73="","",'COPY 20 %'!S73)</f>
        <v/>
      </c>
      <c r="H73">
        <f>IF('COPY 20 %'!$A73="","",'COPY 20 %'!P73)</f>
        <v/>
      </c>
      <c r="I73">
        <f>IF('COPY 20 %'!$A73="","",'COPY 20 %'!M73)</f>
        <v/>
      </c>
      <c r="J73" s="7">
        <f>IF('COPY 20 %'!$A73="","",'COPY 20 %'!Q73)</f>
        <v/>
      </c>
      <c r="K73" s="7">
        <f>IF('COPY 20 %'!$A73="","",'COPY 20 %'!H73)</f>
        <v/>
      </c>
      <c r="L73" s="7">
        <f>IF('COPY 20 %'!$A73="","",'COPY 20 %'!T73)</f>
        <v/>
      </c>
      <c r="M73">
        <f>IF('COPY 20 %'!$A73="","",'COPY 20 %'!G73)</f>
        <v/>
      </c>
    </row>
    <row r="74">
      <c r="A74">
        <f>IF('COPY 20 %'!$A74="","",ROWS($A$2:$A74))</f>
        <v/>
      </c>
      <c r="B74">
        <f>IF('COPY 20 %'!$A74="","",'COPY 20 %'!E74)</f>
        <v/>
      </c>
      <c r="C74">
        <f>IF('COPY 20 %'!$A74="","",'COPY 20 %'!F74)</f>
        <v/>
      </c>
      <c r="D74" s="14">
        <f>IF('COPY 20 %'!$A74="","",'COPY 20 %'!I74)</f>
        <v/>
      </c>
      <c r="E74" s="7">
        <f>IF('COPY 20 %'!$A74="","",'COPY 20 %'!O74)</f>
        <v/>
      </c>
      <c r="F74" s="7">
        <f>IF('COPY 20 %'!$A74="","",'COPY 20 %'!L74)</f>
        <v/>
      </c>
      <c r="G74" s="7">
        <f>IF('COPY 20 %'!$A74="","",'COPY 20 %'!S74)</f>
        <v/>
      </c>
      <c r="H74">
        <f>IF('COPY 20 %'!$A74="","",'COPY 20 %'!P74)</f>
        <v/>
      </c>
      <c r="I74">
        <f>IF('COPY 20 %'!$A74="","",'COPY 20 %'!M74)</f>
        <v/>
      </c>
      <c r="J74" s="7">
        <f>IF('COPY 20 %'!$A74="","",'COPY 20 %'!Q74)</f>
        <v/>
      </c>
      <c r="K74" s="7">
        <f>IF('COPY 20 %'!$A74="","",'COPY 20 %'!H74)</f>
        <v/>
      </c>
      <c r="L74" s="7">
        <f>IF('COPY 20 %'!$A74="","",'COPY 20 %'!T74)</f>
        <v/>
      </c>
      <c r="M74">
        <f>IF('COPY 20 %'!$A74="","",'COPY 20 %'!G74)</f>
        <v/>
      </c>
    </row>
    <row r="75">
      <c r="A75">
        <f>IF('COPY 20 %'!$A75="","",ROWS($A$2:$A75))</f>
        <v/>
      </c>
      <c r="B75">
        <f>IF('COPY 20 %'!$A75="","",'COPY 20 %'!E75)</f>
        <v/>
      </c>
      <c r="C75">
        <f>IF('COPY 20 %'!$A75="","",'COPY 20 %'!F75)</f>
        <v/>
      </c>
      <c r="D75" s="14">
        <f>IF('COPY 20 %'!$A75="","",'COPY 20 %'!I75)</f>
        <v/>
      </c>
      <c r="E75" s="7">
        <f>IF('COPY 20 %'!$A75="","",'COPY 20 %'!O75)</f>
        <v/>
      </c>
      <c r="F75" s="7">
        <f>IF('COPY 20 %'!$A75="","",'COPY 20 %'!L75)</f>
        <v/>
      </c>
      <c r="G75" s="7">
        <f>IF('COPY 20 %'!$A75="","",'COPY 20 %'!S75)</f>
        <v/>
      </c>
      <c r="H75">
        <f>IF('COPY 20 %'!$A75="","",'COPY 20 %'!P75)</f>
        <v/>
      </c>
      <c r="I75">
        <f>IF('COPY 20 %'!$A75="","",'COPY 20 %'!M75)</f>
        <v/>
      </c>
      <c r="J75" s="7">
        <f>IF('COPY 20 %'!$A75="","",'COPY 20 %'!Q75)</f>
        <v/>
      </c>
      <c r="K75" s="7">
        <f>IF('COPY 20 %'!$A75="","",'COPY 20 %'!H75)</f>
        <v/>
      </c>
      <c r="L75" s="7">
        <f>IF('COPY 20 %'!$A75="","",'COPY 20 %'!T75)</f>
        <v/>
      </c>
      <c r="M75">
        <f>IF('COPY 20 %'!$A75="","",'COPY 20 %'!G75)</f>
        <v/>
      </c>
    </row>
    <row r="76">
      <c r="A76">
        <f>IF('COPY 20 %'!$A76="","",ROWS($A$2:$A76))</f>
        <v/>
      </c>
      <c r="B76">
        <f>IF('COPY 20 %'!$A76="","",'COPY 20 %'!E76)</f>
        <v/>
      </c>
      <c r="C76">
        <f>IF('COPY 20 %'!$A76="","",'COPY 20 %'!F76)</f>
        <v/>
      </c>
      <c r="D76" s="14">
        <f>IF('COPY 20 %'!$A76="","",'COPY 20 %'!I76)</f>
        <v/>
      </c>
      <c r="E76" s="7">
        <f>IF('COPY 20 %'!$A76="","",'COPY 20 %'!O76)</f>
        <v/>
      </c>
      <c r="F76" s="7">
        <f>IF('COPY 20 %'!$A76="","",'COPY 20 %'!L76)</f>
        <v/>
      </c>
      <c r="G76" s="7">
        <f>IF('COPY 20 %'!$A76="","",'COPY 20 %'!S76)</f>
        <v/>
      </c>
      <c r="H76">
        <f>IF('COPY 20 %'!$A76="","",'COPY 20 %'!P76)</f>
        <v/>
      </c>
      <c r="I76">
        <f>IF('COPY 20 %'!$A76="","",'COPY 20 %'!M76)</f>
        <v/>
      </c>
      <c r="J76" s="7">
        <f>IF('COPY 20 %'!$A76="","",'COPY 20 %'!Q76)</f>
        <v/>
      </c>
      <c r="K76" s="7">
        <f>IF('COPY 20 %'!$A76="","",'COPY 20 %'!H76)</f>
        <v/>
      </c>
      <c r="L76" s="7">
        <f>IF('COPY 20 %'!$A76="","",'COPY 20 %'!T76)</f>
        <v/>
      </c>
      <c r="M76">
        <f>IF('COPY 20 %'!$A76="","",'COPY 20 %'!G76)</f>
        <v/>
      </c>
    </row>
    <row r="77">
      <c r="A77">
        <f>IF('COPY 20 %'!$A77="","",ROWS($A$2:$A77))</f>
        <v/>
      </c>
      <c r="B77">
        <f>IF('COPY 20 %'!$A77="","",'COPY 20 %'!E77)</f>
        <v/>
      </c>
      <c r="C77">
        <f>IF('COPY 20 %'!$A77="","",'COPY 20 %'!F77)</f>
        <v/>
      </c>
      <c r="D77" s="14">
        <f>IF('COPY 20 %'!$A77="","",'COPY 20 %'!I77)</f>
        <v/>
      </c>
      <c r="E77" s="7">
        <f>IF('COPY 20 %'!$A77="","",'COPY 20 %'!O77)</f>
        <v/>
      </c>
      <c r="F77" s="7">
        <f>IF('COPY 20 %'!$A77="","",'COPY 20 %'!L77)</f>
        <v/>
      </c>
      <c r="G77" s="7">
        <f>IF('COPY 20 %'!$A77="","",'COPY 20 %'!S77)</f>
        <v/>
      </c>
      <c r="H77">
        <f>IF('COPY 20 %'!$A77="","",'COPY 20 %'!P77)</f>
        <v/>
      </c>
      <c r="I77">
        <f>IF('COPY 20 %'!$A77="","",'COPY 20 %'!M77)</f>
        <v/>
      </c>
      <c r="J77" s="7">
        <f>IF('COPY 20 %'!$A77="","",'COPY 20 %'!Q77)</f>
        <v/>
      </c>
      <c r="K77" s="7">
        <f>IF('COPY 20 %'!$A77="","",'COPY 20 %'!H77)</f>
        <v/>
      </c>
      <c r="L77" s="7">
        <f>IF('COPY 20 %'!$A77="","",'COPY 20 %'!T77)</f>
        <v/>
      </c>
      <c r="M77">
        <f>IF('COPY 20 %'!$A77="","",'COPY 20 %'!G77)</f>
        <v/>
      </c>
    </row>
    <row r="78">
      <c r="A78">
        <f>IF('COPY 20 %'!$A78="","",ROWS($A$2:$A78))</f>
        <v/>
      </c>
      <c r="B78">
        <f>IF('COPY 20 %'!$A78="","",'COPY 20 %'!E78)</f>
        <v/>
      </c>
      <c r="C78">
        <f>IF('COPY 20 %'!$A78="","",'COPY 20 %'!F78)</f>
        <v/>
      </c>
      <c r="D78" s="14">
        <f>IF('COPY 20 %'!$A78="","",'COPY 20 %'!I78)</f>
        <v/>
      </c>
      <c r="E78" s="7">
        <f>IF('COPY 20 %'!$A78="","",'COPY 20 %'!O78)</f>
        <v/>
      </c>
      <c r="F78" s="7">
        <f>IF('COPY 20 %'!$A78="","",'COPY 20 %'!L78)</f>
        <v/>
      </c>
      <c r="G78" s="7">
        <f>IF('COPY 20 %'!$A78="","",'COPY 20 %'!S78)</f>
        <v/>
      </c>
      <c r="H78">
        <f>IF('COPY 20 %'!$A78="","",'COPY 20 %'!P78)</f>
        <v/>
      </c>
      <c r="I78">
        <f>IF('COPY 20 %'!$A78="","",'COPY 20 %'!M78)</f>
        <v/>
      </c>
      <c r="J78" s="7">
        <f>IF('COPY 20 %'!$A78="","",'COPY 20 %'!Q78)</f>
        <v/>
      </c>
      <c r="K78" s="7">
        <f>IF('COPY 20 %'!$A78="","",'COPY 20 %'!H78)</f>
        <v/>
      </c>
      <c r="L78" s="7">
        <f>IF('COPY 20 %'!$A78="","",'COPY 20 %'!T78)</f>
        <v/>
      </c>
      <c r="M78">
        <f>IF('COPY 20 %'!$A78="","",'COPY 20 %'!G78)</f>
        <v/>
      </c>
    </row>
    <row r="79">
      <c r="A79">
        <f>IF('COPY 20 %'!$A79="","",ROWS($A$2:$A79))</f>
        <v/>
      </c>
      <c r="B79">
        <f>IF('COPY 20 %'!$A79="","",'COPY 20 %'!E79)</f>
        <v/>
      </c>
      <c r="C79">
        <f>IF('COPY 20 %'!$A79="","",'COPY 20 %'!F79)</f>
        <v/>
      </c>
      <c r="D79" s="14">
        <f>IF('COPY 20 %'!$A79="","",'COPY 20 %'!I79)</f>
        <v/>
      </c>
      <c r="E79" s="7">
        <f>IF('COPY 20 %'!$A79="","",'COPY 20 %'!O79)</f>
        <v/>
      </c>
      <c r="F79" s="7">
        <f>IF('COPY 20 %'!$A79="","",'COPY 20 %'!L79)</f>
        <v/>
      </c>
      <c r="G79" s="7">
        <f>IF('COPY 20 %'!$A79="","",'COPY 20 %'!S79)</f>
        <v/>
      </c>
      <c r="H79">
        <f>IF('COPY 20 %'!$A79="","",'COPY 20 %'!P79)</f>
        <v/>
      </c>
      <c r="I79">
        <f>IF('COPY 20 %'!$A79="","",'COPY 20 %'!M79)</f>
        <v/>
      </c>
      <c r="J79" s="7">
        <f>IF('COPY 20 %'!$A79="","",'COPY 20 %'!Q79)</f>
        <v/>
      </c>
      <c r="K79" s="7">
        <f>IF('COPY 20 %'!$A79="","",'COPY 20 %'!H79)</f>
        <v/>
      </c>
      <c r="L79" s="7">
        <f>IF('COPY 20 %'!$A79="","",'COPY 20 %'!T79)</f>
        <v/>
      </c>
      <c r="M79">
        <f>IF('COPY 20 %'!$A79="","",'COPY 20 %'!G79)</f>
        <v/>
      </c>
    </row>
    <row r="80">
      <c r="A80">
        <f>IF('COPY 20 %'!$A80="","",ROWS($A$2:$A80))</f>
        <v/>
      </c>
      <c r="B80">
        <f>IF('COPY 20 %'!$A80="","",'COPY 20 %'!E80)</f>
        <v/>
      </c>
      <c r="C80">
        <f>IF('COPY 20 %'!$A80="","",'COPY 20 %'!F80)</f>
        <v/>
      </c>
      <c r="D80" s="14">
        <f>IF('COPY 20 %'!$A80="","",'COPY 20 %'!I80)</f>
        <v/>
      </c>
      <c r="E80" s="7">
        <f>IF('COPY 20 %'!$A80="","",'COPY 20 %'!O80)</f>
        <v/>
      </c>
      <c r="F80" s="7">
        <f>IF('COPY 20 %'!$A80="","",'COPY 20 %'!L80)</f>
        <v/>
      </c>
      <c r="G80" s="7">
        <f>IF('COPY 20 %'!$A80="","",'COPY 20 %'!S80)</f>
        <v/>
      </c>
      <c r="H80">
        <f>IF('COPY 20 %'!$A80="","",'COPY 20 %'!P80)</f>
        <v/>
      </c>
      <c r="I80">
        <f>IF('COPY 20 %'!$A80="","",'COPY 20 %'!M80)</f>
        <v/>
      </c>
      <c r="J80" s="7">
        <f>IF('COPY 20 %'!$A80="","",'COPY 20 %'!Q80)</f>
        <v/>
      </c>
      <c r="K80" s="7">
        <f>IF('COPY 20 %'!$A80="","",'COPY 20 %'!H80)</f>
        <v/>
      </c>
      <c r="L80" s="7">
        <f>IF('COPY 20 %'!$A80="","",'COPY 20 %'!T80)</f>
        <v/>
      </c>
      <c r="M80">
        <f>IF('COPY 20 %'!$A80="","",'COPY 20 %'!G80)</f>
        <v/>
      </c>
    </row>
    <row r="81">
      <c r="A81">
        <f>IF('COPY 20 %'!$A81="","",ROWS($A$2:$A81))</f>
        <v/>
      </c>
      <c r="B81">
        <f>IF('COPY 20 %'!$A81="","",'COPY 20 %'!E81)</f>
        <v/>
      </c>
      <c r="C81">
        <f>IF('COPY 20 %'!$A81="","",'COPY 20 %'!F81)</f>
        <v/>
      </c>
      <c r="D81" s="14">
        <f>IF('COPY 20 %'!$A81="","",'COPY 20 %'!I81)</f>
        <v/>
      </c>
      <c r="E81" s="7">
        <f>IF('COPY 20 %'!$A81="","",'COPY 20 %'!O81)</f>
        <v/>
      </c>
      <c r="F81" s="7">
        <f>IF('COPY 20 %'!$A81="","",'COPY 20 %'!L81)</f>
        <v/>
      </c>
      <c r="G81" s="7">
        <f>IF('COPY 20 %'!$A81="","",'COPY 20 %'!S81)</f>
        <v/>
      </c>
      <c r="H81">
        <f>IF('COPY 20 %'!$A81="","",'COPY 20 %'!P81)</f>
        <v/>
      </c>
      <c r="I81">
        <f>IF('COPY 20 %'!$A81="","",'COPY 20 %'!M81)</f>
        <v/>
      </c>
      <c r="J81" s="7">
        <f>IF('COPY 20 %'!$A81="","",'COPY 20 %'!Q81)</f>
        <v/>
      </c>
      <c r="K81" s="7">
        <f>IF('COPY 20 %'!$A81="","",'COPY 20 %'!H81)</f>
        <v/>
      </c>
      <c r="L81" s="7">
        <f>IF('COPY 20 %'!$A81="","",'COPY 20 %'!T81)</f>
        <v/>
      </c>
      <c r="M81">
        <f>IF('COPY 20 %'!$A81="","",'COPY 20 %'!G81)</f>
        <v/>
      </c>
    </row>
    <row r="82">
      <c r="A82">
        <f>IF('COPY 20 %'!$A82="","",ROWS($A$2:$A82))</f>
        <v/>
      </c>
      <c r="B82">
        <f>IF('COPY 20 %'!$A82="","",'COPY 20 %'!E82)</f>
        <v/>
      </c>
      <c r="C82">
        <f>IF('COPY 20 %'!$A82="","",'COPY 20 %'!F82)</f>
        <v/>
      </c>
      <c r="D82" s="14">
        <f>IF('COPY 20 %'!$A82="","",'COPY 20 %'!I82)</f>
        <v/>
      </c>
      <c r="E82" s="7">
        <f>IF('COPY 20 %'!$A82="","",'COPY 20 %'!O82)</f>
        <v/>
      </c>
      <c r="F82" s="7">
        <f>IF('COPY 20 %'!$A82="","",'COPY 20 %'!L82)</f>
        <v/>
      </c>
      <c r="G82" s="7">
        <f>IF('COPY 20 %'!$A82="","",'COPY 20 %'!S82)</f>
        <v/>
      </c>
      <c r="H82">
        <f>IF('COPY 20 %'!$A82="","",'COPY 20 %'!P82)</f>
        <v/>
      </c>
      <c r="I82">
        <f>IF('COPY 20 %'!$A82="","",'COPY 20 %'!M82)</f>
        <v/>
      </c>
      <c r="J82" s="7">
        <f>IF('COPY 20 %'!$A82="","",'COPY 20 %'!Q82)</f>
        <v/>
      </c>
      <c r="K82" s="7">
        <f>IF('COPY 20 %'!$A82="","",'COPY 20 %'!H82)</f>
        <v/>
      </c>
      <c r="L82" s="7">
        <f>IF('COPY 20 %'!$A82="","",'COPY 20 %'!T82)</f>
        <v/>
      </c>
      <c r="M82">
        <f>IF('COPY 20 %'!$A82="","",'COPY 20 %'!G82)</f>
        <v/>
      </c>
    </row>
    <row r="83">
      <c r="A83">
        <f>IF('COPY 20 %'!$A83="","",ROWS($A$2:$A83))</f>
        <v/>
      </c>
      <c r="B83">
        <f>IF('COPY 20 %'!$A83="","",'COPY 20 %'!E83)</f>
        <v/>
      </c>
      <c r="C83">
        <f>IF('COPY 20 %'!$A83="","",'COPY 20 %'!F83)</f>
        <v/>
      </c>
      <c r="D83" s="14">
        <f>IF('COPY 20 %'!$A83="","",'COPY 20 %'!I83)</f>
        <v/>
      </c>
      <c r="E83" s="7">
        <f>IF('COPY 20 %'!$A83="","",'COPY 20 %'!O83)</f>
        <v/>
      </c>
      <c r="F83" s="7">
        <f>IF('COPY 20 %'!$A83="","",'COPY 20 %'!L83)</f>
        <v/>
      </c>
      <c r="G83" s="7">
        <f>IF('COPY 20 %'!$A83="","",'COPY 20 %'!S83)</f>
        <v/>
      </c>
      <c r="H83">
        <f>IF('COPY 20 %'!$A83="","",'COPY 20 %'!P83)</f>
        <v/>
      </c>
      <c r="I83">
        <f>IF('COPY 20 %'!$A83="","",'COPY 20 %'!M83)</f>
        <v/>
      </c>
      <c r="J83" s="7">
        <f>IF('COPY 20 %'!$A83="","",'COPY 20 %'!Q83)</f>
        <v/>
      </c>
      <c r="K83" s="7">
        <f>IF('COPY 20 %'!$A83="","",'COPY 20 %'!H83)</f>
        <v/>
      </c>
      <c r="L83" s="7">
        <f>IF('COPY 20 %'!$A83="","",'COPY 20 %'!T83)</f>
        <v/>
      </c>
      <c r="M83">
        <f>IF('COPY 20 %'!$A83="","",'COPY 20 %'!G83)</f>
        <v/>
      </c>
    </row>
    <row r="84">
      <c r="A84">
        <f>IF('COPY 20 %'!$A84="","",ROWS($A$2:$A84))</f>
        <v/>
      </c>
      <c r="B84">
        <f>IF('COPY 20 %'!$A84="","",'COPY 20 %'!E84)</f>
        <v/>
      </c>
      <c r="C84">
        <f>IF('COPY 20 %'!$A84="","",'COPY 20 %'!F84)</f>
        <v/>
      </c>
      <c r="D84" s="14">
        <f>IF('COPY 20 %'!$A84="","",'COPY 20 %'!I84)</f>
        <v/>
      </c>
      <c r="E84" s="7">
        <f>IF('COPY 20 %'!$A84="","",'COPY 20 %'!O84)</f>
        <v/>
      </c>
      <c r="F84" s="7">
        <f>IF('COPY 20 %'!$A84="","",'COPY 20 %'!L84)</f>
        <v/>
      </c>
      <c r="G84" s="7">
        <f>IF('COPY 20 %'!$A84="","",'COPY 20 %'!S84)</f>
        <v/>
      </c>
      <c r="H84">
        <f>IF('COPY 20 %'!$A84="","",'COPY 20 %'!P84)</f>
        <v/>
      </c>
      <c r="I84">
        <f>IF('COPY 20 %'!$A84="","",'COPY 20 %'!M84)</f>
        <v/>
      </c>
      <c r="J84" s="7">
        <f>IF('COPY 20 %'!$A84="","",'COPY 20 %'!Q84)</f>
        <v/>
      </c>
      <c r="K84" s="7">
        <f>IF('COPY 20 %'!$A84="","",'COPY 20 %'!H84)</f>
        <v/>
      </c>
      <c r="L84" s="7">
        <f>IF('COPY 20 %'!$A84="","",'COPY 20 %'!T84)</f>
        <v/>
      </c>
      <c r="M84">
        <f>IF('COPY 20 %'!$A84="","",'COPY 20 %'!G84)</f>
        <v/>
      </c>
    </row>
    <row r="85">
      <c r="A85">
        <f>IF('COPY 20 %'!$A85="","",ROWS($A$2:$A85))</f>
        <v/>
      </c>
      <c r="B85">
        <f>IF('COPY 20 %'!$A85="","",'COPY 20 %'!E85)</f>
        <v/>
      </c>
      <c r="C85">
        <f>IF('COPY 20 %'!$A85="","",'COPY 20 %'!F85)</f>
        <v/>
      </c>
      <c r="D85" s="14">
        <f>IF('COPY 20 %'!$A85="","",'COPY 20 %'!I85)</f>
        <v/>
      </c>
      <c r="E85" s="7">
        <f>IF('COPY 20 %'!$A85="","",'COPY 20 %'!O85)</f>
        <v/>
      </c>
      <c r="F85" s="7">
        <f>IF('COPY 20 %'!$A85="","",'COPY 20 %'!L85)</f>
        <v/>
      </c>
      <c r="G85" s="7">
        <f>IF('COPY 20 %'!$A85="","",'COPY 20 %'!S85)</f>
        <v/>
      </c>
      <c r="H85">
        <f>IF('COPY 20 %'!$A85="","",'COPY 20 %'!P85)</f>
        <v/>
      </c>
      <c r="I85">
        <f>IF('COPY 20 %'!$A85="","",'COPY 20 %'!M85)</f>
        <v/>
      </c>
      <c r="J85" s="7">
        <f>IF('COPY 20 %'!$A85="","",'COPY 20 %'!Q85)</f>
        <v/>
      </c>
      <c r="K85" s="7">
        <f>IF('COPY 20 %'!$A85="","",'COPY 20 %'!H85)</f>
        <v/>
      </c>
      <c r="L85" s="7">
        <f>IF('COPY 20 %'!$A85="","",'COPY 20 %'!T85)</f>
        <v/>
      </c>
      <c r="M85">
        <f>IF('COPY 20 %'!$A85="","",'COPY 20 %'!G85)</f>
        <v/>
      </c>
    </row>
    <row r="86">
      <c r="A86">
        <f>IF('COPY 20 %'!$A86="","",ROWS($A$2:$A86))</f>
        <v/>
      </c>
      <c r="B86">
        <f>IF('COPY 20 %'!$A86="","",'COPY 20 %'!E86)</f>
        <v/>
      </c>
      <c r="C86">
        <f>IF('COPY 20 %'!$A86="","",'COPY 20 %'!F86)</f>
        <v/>
      </c>
      <c r="D86" s="14">
        <f>IF('COPY 20 %'!$A86="","",'COPY 20 %'!I86)</f>
        <v/>
      </c>
      <c r="E86" s="7">
        <f>IF('COPY 20 %'!$A86="","",'COPY 20 %'!O86)</f>
        <v/>
      </c>
      <c r="F86" s="7">
        <f>IF('COPY 20 %'!$A86="","",'COPY 20 %'!L86)</f>
        <v/>
      </c>
      <c r="G86" s="7">
        <f>IF('COPY 20 %'!$A86="","",'COPY 20 %'!S86)</f>
        <v/>
      </c>
      <c r="H86">
        <f>IF('COPY 20 %'!$A86="","",'COPY 20 %'!P86)</f>
        <v/>
      </c>
      <c r="I86">
        <f>IF('COPY 20 %'!$A86="","",'COPY 20 %'!M86)</f>
        <v/>
      </c>
      <c r="J86" s="7">
        <f>IF('COPY 20 %'!$A86="","",'COPY 20 %'!Q86)</f>
        <v/>
      </c>
      <c r="K86" s="7">
        <f>IF('COPY 20 %'!$A86="","",'COPY 20 %'!H86)</f>
        <v/>
      </c>
      <c r="L86" s="7">
        <f>IF('COPY 20 %'!$A86="","",'COPY 20 %'!T86)</f>
        <v/>
      </c>
      <c r="M86">
        <f>IF('COPY 20 %'!$A86="","",'COPY 20 %'!G86)</f>
        <v/>
      </c>
    </row>
    <row r="87">
      <c r="A87">
        <f>IF('COPY 20 %'!$A87="","",ROWS($A$2:$A87))</f>
        <v/>
      </c>
      <c r="B87">
        <f>IF('COPY 20 %'!$A87="","",'COPY 20 %'!E87)</f>
        <v/>
      </c>
      <c r="C87">
        <f>IF('COPY 20 %'!$A87="","",'COPY 20 %'!F87)</f>
        <v/>
      </c>
      <c r="D87" s="14">
        <f>IF('COPY 20 %'!$A87="","",'COPY 20 %'!I87)</f>
        <v/>
      </c>
      <c r="E87" s="7">
        <f>IF('COPY 20 %'!$A87="","",'COPY 20 %'!O87)</f>
        <v/>
      </c>
      <c r="F87" s="7">
        <f>IF('COPY 20 %'!$A87="","",'COPY 20 %'!L87)</f>
        <v/>
      </c>
      <c r="G87" s="7">
        <f>IF('COPY 20 %'!$A87="","",'COPY 20 %'!S87)</f>
        <v/>
      </c>
      <c r="H87">
        <f>IF('COPY 20 %'!$A87="","",'COPY 20 %'!P87)</f>
        <v/>
      </c>
      <c r="I87">
        <f>IF('COPY 20 %'!$A87="","",'COPY 20 %'!M87)</f>
        <v/>
      </c>
      <c r="J87" s="7">
        <f>IF('COPY 20 %'!$A87="","",'COPY 20 %'!Q87)</f>
        <v/>
      </c>
      <c r="K87" s="7">
        <f>IF('COPY 20 %'!$A87="","",'COPY 20 %'!H87)</f>
        <v/>
      </c>
      <c r="L87" s="7">
        <f>IF('COPY 20 %'!$A87="","",'COPY 20 %'!T87)</f>
        <v/>
      </c>
      <c r="M87">
        <f>IF('COPY 20 %'!$A87="","",'COPY 20 %'!G87)</f>
        <v/>
      </c>
    </row>
    <row r="88">
      <c r="A88">
        <f>IF('COPY 20 %'!$A88="","",ROWS($A$2:$A88))</f>
        <v/>
      </c>
      <c r="B88">
        <f>IF('COPY 20 %'!$A88="","",'COPY 20 %'!E88)</f>
        <v/>
      </c>
      <c r="C88">
        <f>IF('COPY 20 %'!$A88="","",'COPY 20 %'!F88)</f>
        <v/>
      </c>
      <c r="D88" s="14">
        <f>IF('COPY 20 %'!$A88="","",'COPY 20 %'!I88)</f>
        <v/>
      </c>
      <c r="E88" s="7">
        <f>IF('COPY 20 %'!$A88="","",'COPY 20 %'!O88)</f>
        <v/>
      </c>
      <c r="F88" s="7">
        <f>IF('COPY 20 %'!$A88="","",'COPY 20 %'!L88)</f>
        <v/>
      </c>
      <c r="G88" s="7">
        <f>IF('COPY 20 %'!$A88="","",'COPY 20 %'!S88)</f>
        <v/>
      </c>
      <c r="H88">
        <f>IF('COPY 20 %'!$A88="","",'COPY 20 %'!P88)</f>
        <v/>
      </c>
      <c r="I88">
        <f>IF('COPY 20 %'!$A88="","",'COPY 20 %'!M88)</f>
        <v/>
      </c>
      <c r="J88" s="7">
        <f>IF('COPY 20 %'!$A88="","",'COPY 20 %'!Q88)</f>
        <v/>
      </c>
      <c r="K88" s="7">
        <f>IF('COPY 20 %'!$A88="","",'COPY 20 %'!H88)</f>
        <v/>
      </c>
      <c r="L88" s="7">
        <f>IF('COPY 20 %'!$A88="","",'COPY 20 %'!T88)</f>
        <v/>
      </c>
      <c r="M88">
        <f>IF('COPY 20 %'!$A88="","",'COPY 20 %'!G88)</f>
        <v/>
      </c>
    </row>
    <row r="89">
      <c r="A89">
        <f>IF('COPY 20 %'!$A89="","",ROWS($A$2:$A89))</f>
        <v/>
      </c>
      <c r="B89">
        <f>IF('COPY 20 %'!$A89="","",'COPY 20 %'!E89)</f>
        <v/>
      </c>
      <c r="C89">
        <f>IF('COPY 20 %'!$A89="","",'COPY 20 %'!F89)</f>
        <v/>
      </c>
      <c r="D89" s="14">
        <f>IF('COPY 20 %'!$A89="","",'COPY 20 %'!I89)</f>
        <v/>
      </c>
      <c r="E89" s="7">
        <f>IF('COPY 20 %'!$A89="","",'COPY 20 %'!O89)</f>
        <v/>
      </c>
      <c r="F89" s="7">
        <f>IF('COPY 20 %'!$A89="","",'COPY 20 %'!L89)</f>
        <v/>
      </c>
      <c r="G89" s="7">
        <f>IF('COPY 20 %'!$A89="","",'COPY 20 %'!S89)</f>
        <v/>
      </c>
      <c r="H89">
        <f>IF('COPY 20 %'!$A89="","",'COPY 20 %'!P89)</f>
        <v/>
      </c>
      <c r="I89">
        <f>IF('COPY 20 %'!$A89="","",'COPY 20 %'!M89)</f>
        <v/>
      </c>
      <c r="J89" s="7">
        <f>IF('COPY 20 %'!$A89="","",'COPY 20 %'!Q89)</f>
        <v/>
      </c>
      <c r="K89" s="7">
        <f>IF('COPY 20 %'!$A89="","",'COPY 20 %'!H89)</f>
        <v/>
      </c>
      <c r="L89" s="7">
        <f>IF('COPY 20 %'!$A89="","",'COPY 20 %'!T89)</f>
        <v/>
      </c>
      <c r="M89">
        <f>IF('COPY 20 %'!$A89="","",'COPY 20 %'!G89)</f>
        <v/>
      </c>
    </row>
    <row r="90">
      <c r="A90">
        <f>IF('COPY 20 %'!$A90="","",ROWS($A$2:$A90))</f>
        <v/>
      </c>
      <c r="B90">
        <f>IF('COPY 20 %'!$A90="","",'COPY 20 %'!E90)</f>
        <v/>
      </c>
      <c r="C90">
        <f>IF('COPY 20 %'!$A90="","",'COPY 20 %'!F90)</f>
        <v/>
      </c>
      <c r="D90" s="14">
        <f>IF('COPY 20 %'!$A90="","",'COPY 20 %'!I90)</f>
        <v/>
      </c>
      <c r="E90" s="7">
        <f>IF('COPY 20 %'!$A90="","",'COPY 20 %'!O90)</f>
        <v/>
      </c>
      <c r="F90" s="7">
        <f>IF('COPY 20 %'!$A90="","",'COPY 20 %'!L90)</f>
        <v/>
      </c>
      <c r="G90" s="7">
        <f>IF('COPY 20 %'!$A90="","",'COPY 20 %'!S90)</f>
        <v/>
      </c>
      <c r="H90">
        <f>IF('COPY 20 %'!$A90="","",'COPY 20 %'!P90)</f>
        <v/>
      </c>
      <c r="I90">
        <f>IF('COPY 20 %'!$A90="","",'COPY 20 %'!M90)</f>
        <v/>
      </c>
      <c r="J90" s="7">
        <f>IF('COPY 20 %'!$A90="","",'COPY 20 %'!Q90)</f>
        <v/>
      </c>
      <c r="K90" s="7">
        <f>IF('COPY 20 %'!$A90="","",'COPY 20 %'!H90)</f>
        <v/>
      </c>
      <c r="L90" s="7">
        <f>IF('COPY 20 %'!$A90="","",'COPY 20 %'!T90)</f>
        <v/>
      </c>
      <c r="M90">
        <f>IF('COPY 20 %'!$A90="","",'COPY 20 %'!G90)</f>
        <v/>
      </c>
    </row>
    <row r="91">
      <c r="A91">
        <f>IF('COPY 20 %'!$A91="","",ROWS($A$2:$A91))</f>
        <v/>
      </c>
      <c r="B91">
        <f>IF('COPY 20 %'!$A91="","",'COPY 20 %'!E91)</f>
        <v/>
      </c>
      <c r="C91">
        <f>IF('COPY 20 %'!$A91="","",'COPY 20 %'!F91)</f>
        <v/>
      </c>
      <c r="D91" s="14">
        <f>IF('COPY 20 %'!$A91="","",'COPY 20 %'!I91)</f>
        <v/>
      </c>
      <c r="E91" s="7">
        <f>IF('COPY 20 %'!$A91="","",'COPY 20 %'!O91)</f>
        <v/>
      </c>
      <c r="F91" s="7">
        <f>IF('COPY 20 %'!$A91="","",'COPY 20 %'!L91)</f>
        <v/>
      </c>
      <c r="G91" s="7">
        <f>IF('COPY 20 %'!$A91="","",'COPY 20 %'!S91)</f>
        <v/>
      </c>
      <c r="H91">
        <f>IF('COPY 20 %'!$A91="","",'COPY 20 %'!P91)</f>
        <v/>
      </c>
      <c r="I91">
        <f>IF('COPY 20 %'!$A91="","",'COPY 20 %'!M91)</f>
        <v/>
      </c>
      <c r="J91" s="7">
        <f>IF('COPY 20 %'!$A91="","",'COPY 20 %'!Q91)</f>
        <v/>
      </c>
      <c r="K91" s="7">
        <f>IF('COPY 20 %'!$A91="","",'COPY 20 %'!H91)</f>
        <v/>
      </c>
      <c r="L91" s="7">
        <f>IF('COPY 20 %'!$A91="","",'COPY 20 %'!T91)</f>
        <v/>
      </c>
      <c r="M91">
        <f>IF('COPY 20 %'!$A91="","",'COPY 20 %'!G91)</f>
        <v/>
      </c>
    </row>
    <row r="92">
      <c r="A92">
        <f>IF('COPY 20 %'!$A92="","",ROWS($A$2:$A92))</f>
        <v/>
      </c>
      <c r="B92">
        <f>IF('COPY 20 %'!$A92="","",'COPY 20 %'!E92)</f>
        <v/>
      </c>
      <c r="C92">
        <f>IF('COPY 20 %'!$A92="","",'COPY 20 %'!F92)</f>
        <v/>
      </c>
      <c r="D92" s="14">
        <f>IF('COPY 20 %'!$A92="","",'COPY 20 %'!I92)</f>
        <v/>
      </c>
      <c r="E92" s="7">
        <f>IF('COPY 20 %'!$A92="","",'COPY 20 %'!O92)</f>
        <v/>
      </c>
      <c r="F92" s="7">
        <f>IF('COPY 20 %'!$A92="","",'COPY 20 %'!L92)</f>
        <v/>
      </c>
      <c r="G92" s="7">
        <f>IF('COPY 20 %'!$A92="","",'COPY 20 %'!S92)</f>
        <v/>
      </c>
      <c r="H92">
        <f>IF('COPY 20 %'!$A92="","",'COPY 20 %'!P92)</f>
        <v/>
      </c>
      <c r="I92">
        <f>IF('COPY 20 %'!$A92="","",'COPY 20 %'!M92)</f>
        <v/>
      </c>
      <c r="J92" s="7">
        <f>IF('COPY 20 %'!$A92="","",'COPY 20 %'!Q92)</f>
        <v/>
      </c>
      <c r="K92" s="7">
        <f>IF('COPY 20 %'!$A92="","",'COPY 20 %'!H92)</f>
        <v/>
      </c>
      <c r="L92" s="7">
        <f>IF('COPY 20 %'!$A92="","",'COPY 20 %'!T92)</f>
        <v/>
      </c>
      <c r="M92">
        <f>IF('COPY 20 %'!$A92="","",'COPY 20 %'!G92)</f>
        <v/>
      </c>
    </row>
    <row r="93">
      <c r="A93">
        <f>IF('COPY 20 %'!$A93="","",ROWS($A$2:$A93))</f>
        <v/>
      </c>
      <c r="B93">
        <f>IF('COPY 20 %'!$A93="","",'COPY 20 %'!E93)</f>
        <v/>
      </c>
      <c r="C93">
        <f>IF('COPY 20 %'!$A93="","",'COPY 20 %'!F93)</f>
        <v/>
      </c>
      <c r="D93" s="14">
        <f>IF('COPY 20 %'!$A93="","",'COPY 20 %'!I93)</f>
        <v/>
      </c>
      <c r="E93" s="7">
        <f>IF('COPY 20 %'!$A93="","",'COPY 20 %'!O93)</f>
        <v/>
      </c>
      <c r="F93" s="7">
        <f>IF('COPY 20 %'!$A93="","",'COPY 20 %'!L93)</f>
        <v/>
      </c>
      <c r="G93" s="7">
        <f>IF('COPY 20 %'!$A93="","",'COPY 20 %'!S93)</f>
        <v/>
      </c>
      <c r="H93">
        <f>IF('COPY 20 %'!$A93="","",'COPY 20 %'!P93)</f>
        <v/>
      </c>
      <c r="I93">
        <f>IF('COPY 20 %'!$A93="","",'COPY 20 %'!M93)</f>
        <v/>
      </c>
      <c r="J93" s="7">
        <f>IF('COPY 20 %'!$A93="","",'COPY 20 %'!Q93)</f>
        <v/>
      </c>
      <c r="K93" s="7">
        <f>IF('COPY 20 %'!$A93="","",'COPY 20 %'!H93)</f>
        <v/>
      </c>
      <c r="L93" s="7">
        <f>IF('COPY 20 %'!$A93="","",'COPY 20 %'!T93)</f>
        <v/>
      </c>
      <c r="M93">
        <f>IF('COPY 20 %'!$A93="","",'COPY 20 %'!G93)</f>
        <v/>
      </c>
    </row>
    <row r="94">
      <c r="A94">
        <f>IF('COPY 20 %'!$A94="","",ROWS($A$2:$A94))</f>
        <v/>
      </c>
      <c r="B94">
        <f>IF('COPY 20 %'!$A94="","",'COPY 20 %'!E94)</f>
        <v/>
      </c>
      <c r="C94">
        <f>IF('COPY 20 %'!$A94="","",'COPY 20 %'!F94)</f>
        <v/>
      </c>
      <c r="D94" s="14">
        <f>IF('COPY 20 %'!$A94="","",'COPY 20 %'!I94)</f>
        <v/>
      </c>
      <c r="E94" s="7">
        <f>IF('COPY 20 %'!$A94="","",'COPY 20 %'!O94)</f>
        <v/>
      </c>
      <c r="F94" s="7">
        <f>IF('COPY 20 %'!$A94="","",'COPY 20 %'!L94)</f>
        <v/>
      </c>
      <c r="G94" s="7">
        <f>IF('COPY 20 %'!$A94="","",'COPY 20 %'!S94)</f>
        <v/>
      </c>
      <c r="H94">
        <f>IF('COPY 20 %'!$A94="","",'COPY 20 %'!P94)</f>
        <v/>
      </c>
      <c r="I94">
        <f>IF('COPY 20 %'!$A94="","",'COPY 20 %'!M94)</f>
        <v/>
      </c>
      <c r="J94" s="7">
        <f>IF('COPY 20 %'!$A94="","",'COPY 20 %'!Q94)</f>
        <v/>
      </c>
      <c r="K94" s="7">
        <f>IF('COPY 20 %'!$A94="","",'COPY 20 %'!H94)</f>
        <v/>
      </c>
      <c r="L94" s="7">
        <f>IF('COPY 20 %'!$A94="","",'COPY 20 %'!T94)</f>
        <v/>
      </c>
      <c r="M94">
        <f>IF('COPY 20 %'!$A94="","",'COPY 20 %'!G94)</f>
        <v/>
      </c>
    </row>
    <row r="95">
      <c r="A95">
        <f>IF('COPY 20 %'!$A95="","",ROWS($A$2:$A95))</f>
        <v/>
      </c>
      <c r="B95">
        <f>IF('COPY 20 %'!$A95="","",'COPY 20 %'!E95)</f>
        <v/>
      </c>
      <c r="C95">
        <f>IF('COPY 20 %'!$A95="","",'COPY 20 %'!F95)</f>
        <v/>
      </c>
      <c r="D95" s="14">
        <f>IF('COPY 20 %'!$A95="","",'COPY 20 %'!I95)</f>
        <v/>
      </c>
      <c r="E95" s="7">
        <f>IF('COPY 20 %'!$A95="","",'COPY 20 %'!O95)</f>
        <v/>
      </c>
      <c r="F95" s="7">
        <f>IF('COPY 20 %'!$A95="","",'COPY 20 %'!L95)</f>
        <v/>
      </c>
      <c r="G95" s="7">
        <f>IF('COPY 20 %'!$A95="","",'COPY 20 %'!S95)</f>
        <v/>
      </c>
      <c r="H95">
        <f>IF('COPY 20 %'!$A95="","",'COPY 20 %'!P95)</f>
        <v/>
      </c>
      <c r="I95">
        <f>IF('COPY 20 %'!$A95="","",'COPY 20 %'!M95)</f>
        <v/>
      </c>
      <c r="J95" s="7">
        <f>IF('COPY 20 %'!$A95="","",'COPY 20 %'!Q95)</f>
        <v/>
      </c>
      <c r="K95" s="7">
        <f>IF('COPY 20 %'!$A95="","",'COPY 20 %'!H95)</f>
        <v/>
      </c>
      <c r="L95" s="7">
        <f>IF('COPY 20 %'!$A95="","",'COPY 20 %'!T95)</f>
        <v/>
      </c>
      <c r="M95">
        <f>IF('COPY 20 %'!$A95="","",'COPY 20 %'!G95)</f>
        <v/>
      </c>
    </row>
    <row r="96">
      <c r="A96">
        <f>IF('COPY 20 %'!$A96="","",ROWS($A$2:$A96))</f>
        <v/>
      </c>
      <c r="B96">
        <f>IF('COPY 20 %'!$A96="","",'COPY 20 %'!E96)</f>
        <v/>
      </c>
      <c r="C96">
        <f>IF('COPY 20 %'!$A96="","",'COPY 20 %'!F96)</f>
        <v/>
      </c>
      <c r="D96" s="14">
        <f>IF('COPY 20 %'!$A96="","",'COPY 20 %'!I96)</f>
        <v/>
      </c>
      <c r="E96" s="7">
        <f>IF('COPY 20 %'!$A96="","",'COPY 20 %'!O96)</f>
        <v/>
      </c>
      <c r="F96" s="7">
        <f>IF('COPY 20 %'!$A96="","",'COPY 20 %'!L96)</f>
        <v/>
      </c>
      <c r="G96" s="7">
        <f>IF('COPY 20 %'!$A96="","",'COPY 20 %'!S96)</f>
        <v/>
      </c>
      <c r="H96">
        <f>IF('COPY 20 %'!$A96="","",'COPY 20 %'!P96)</f>
        <v/>
      </c>
      <c r="I96">
        <f>IF('COPY 20 %'!$A96="","",'COPY 20 %'!M96)</f>
        <v/>
      </c>
      <c r="J96" s="7">
        <f>IF('COPY 20 %'!$A96="","",'COPY 20 %'!Q96)</f>
        <v/>
      </c>
      <c r="K96" s="7">
        <f>IF('COPY 20 %'!$A96="","",'COPY 20 %'!H96)</f>
        <v/>
      </c>
      <c r="L96" s="7">
        <f>IF('COPY 20 %'!$A96="","",'COPY 20 %'!T96)</f>
        <v/>
      </c>
      <c r="M96">
        <f>IF('COPY 20 %'!$A96="","",'COPY 20 %'!G96)</f>
        <v/>
      </c>
    </row>
    <row r="97">
      <c r="A97">
        <f>IF('COPY 20 %'!$A97="","",ROWS($A$2:$A97))</f>
        <v/>
      </c>
      <c r="B97">
        <f>IF('COPY 20 %'!$A97="","",'COPY 20 %'!E97)</f>
        <v/>
      </c>
      <c r="C97">
        <f>IF('COPY 20 %'!$A97="","",'COPY 20 %'!F97)</f>
        <v/>
      </c>
      <c r="D97" s="14">
        <f>IF('COPY 20 %'!$A97="","",'COPY 20 %'!I97)</f>
        <v/>
      </c>
      <c r="E97" s="7">
        <f>IF('COPY 20 %'!$A97="","",'COPY 20 %'!O97)</f>
        <v/>
      </c>
      <c r="F97" s="7">
        <f>IF('COPY 20 %'!$A97="","",'COPY 20 %'!L97)</f>
        <v/>
      </c>
      <c r="G97" s="7">
        <f>IF('COPY 20 %'!$A97="","",'COPY 20 %'!S97)</f>
        <v/>
      </c>
      <c r="H97">
        <f>IF('COPY 20 %'!$A97="","",'COPY 20 %'!P97)</f>
        <v/>
      </c>
      <c r="I97">
        <f>IF('COPY 20 %'!$A97="","",'COPY 20 %'!M97)</f>
        <v/>
      </c>
      <c r="J97" s="7">
        <f>IF('COPY 20 %'!$A97="","",'COPY 20 %'!Q97)</f>
        <v/>
      </c>
      <c r="K97" s="7">
        <f>IF('COPY 20 %'!$A97="","",'COPY 20 %'!H97)</f>
        <v/>
      </c>
      <c r="L97" s="7">
        <f>IF('COPY 20 %'!$A97="","",'COPY 20 %'!T97)</f>
        <v/>
      </c>
      <c r="M97">
        <f>IF('COPY 20 %'!$A97="","",'COPY 20 %'!G97)</f>
        <v/>
      </c>
    </row>
    <row r="98">
      <c r="A98">
        <f>IF('COPY 20 %'!$A98="","",ROWS($A$2:$A98))</f>
        <v/>
      </c>
      <c r="B98">
        <f>IF('COPY 20 %'!$A98="","",'COPY 20 %'!E98)</f>
        <v/>
      </c>
      <c r="C98">
        <f>IF('COPY 20 %'!$A98="","",'COPY 20 %'!F98)</f>
        <v/>
      </c>
      <c r="D98" s="14">
        <f>IF('COPY 20 %'!$A98="","",'COPY 20 %'!I98)</f>
        <v/>
      </c>
      <c r="E98" s="7">
        <f>IF('COPY 20 %'!$A98="","",'COPY 20 %'!O98)</f>
        <v/>
      </c>
      <c r="F98" s="7">
        <f>IF('COPY 20 %'!$A98="","",'COPY 20 %'!L98)</f>
        <v/>
      </c>
      <c r="G98" s="7">
        <f>IF('COPY 20 %'!$A98="","",'COPY 20 %'!S98)</f>
        <v/>
      </c>
      <c r="H98">
        <f>IF('COPY 20 %'!$A98="","",'COPY 20 %'!P98)</f>
        <v/>
      </c>
      <c r="I98">
        <f>IF('COPY 20 %'!$A98="","",'COPY 20 %'!M98)</f>
        <v/>
      </c>
      <c r="J98" s="7">
        <f>IF('COPY 20 %'!$A98="","",'COPY 20 %'!Q98)</f>
        <v/>
      </c>
      <c r="K98" s="7">
        <f>IF('COPY 20 %'!$A98="","",'COPY 20 %'!H98)</f>
        <v/>
      </c>
      <c r="L98" s="7">
        <f>IF('COPY 20 %'!$A98="","",'COPY 20 %'!T98)</f>
        <v/>
      </c>
      <c r="M98">
        <f>IF('COPY 20 %'!$A98="","",'COPY 20 %'!G98)</f>
        <v/>
      </c>
    </row>
    <row r="99">
      <c r="A99">
        <f>IF('COPY 20 %'!$A99="","",ROWS($A$2:$A99))</f>
        <v/>
      </c>
      <c r="B99">
        <f>IF('COPY 20 %'!$A99="","",'COPY 20 %'!E99)</f>
        <v/>
      </c>
      <c r="C99">
        <f>IF('COPY 20 %'!$A99="","",'COPY 20 %'!F99)</f>
        <v/>
      </c>
      <c r="D99" s="14">
        <f>IF('COPY 20 %'!$A99="","",'COPY 20 %'!I99)</f>
        <v/>
      </c>
      <c r="E99" s="7">
        <f>IF('COPY 20 %'!$A99="","",'COPY 20 %'!O99)</f>
        <v/>
      </c>
      <c r="F99" s="7">
        <f>IF('COPY 20 %'!$A99="","",'COPY 20 %'!L99)</f>
        <v/>
      </c>
      <c r="G99" s="7">
        <f>IF('COPY 20 %'!$A99="","",'COPY 20 %'!S99)</f>
        <v/>
      </c>
      <c r="H99">
        <f>IF('COPY 20 %'!$A99="","",'COPY 20 %'!P99)</f>
        <v/>
      </c>
      <c r="I99">
        <f>IF('COPY 20 %'!$A99="","",'COPY 20 %'!M99)</f>
        <v/>
      </c>
      <c r="J99" s="7">
        <f>IF('COPY 20 %'!$A99="","",'COPY 20 %'!Q99)</f>
        <v/>
      </c>
      <c r="K99" s="7">
        <f>IF('COPY 20 %'!$A99="","",'COPY 20 %'!H99)</f>
        <v/>
      </c>
      <c r="L99" s="7">
        <f>IF('COPY 20 %'!$A99="","",'COPY 20 %'!T99)</f>
        <v/>
      </c>
      <c r="M99">
        <f>IF('COPY 20 %'!$A99="","",'COPY 20 %'!G99)</f>
        <v/>
      </c>
    </row>
    <row r="100">
      <c r="A100">
        <f>IF('COPY 20 %'!$A100="","",ROWS($A$2:$A100))</f>
        <v/>
      </c>
      <c r="B100">
        <f>IF('COPY 20 %'!$A100="","",'COPY 20 %'!E100)</f>
        <v/>
      </c>
      <c r="C100">
        <f>IF('COPY 20 %'!$A100="","",'COPY 20 %'!F100)</f>
        <v/>
      </c>
      <c r="D100" s="14">
        <f>IF('COPY 20 %'!$A100="","",'COPY 20 %'!I100)</f>
        <v/>
      </c>
      <c r="E100" s="7">
        <f>IF('COPY 20 %'!$A100="","",'COPY 20 %'!O100)</f>
        <v/>
      </c>
      <c r="F100" s="7">
        <f>IF('COPY 20 %'!$A100="","",'COPY 20 %'!L100)</f>
        <v/>
      </c>
      <c r="G100" s="7">
        <f>IF('COPY 20 %'!$A100="","",'COPY 20 %'!S100)</f>
        <v/>
      </c>
      <c r="H100">
        <f>IF('COPY 20 %'!$A100="","",'COPY 20 %'!P100)</f>
        <v/>
      </c>
      <c r="I100">
        <f>IF('COPY 20 %'!$A100="","",'COPY 20 %'!M100)</f>
        <v/>
      </c>
      <c r="J100" s="7">
        <f>IF('COPY 20 %'!$A100="","",'COPY 20 %'!Q100)</f>
        <v/>
      </c>
      <c r="K100" s="7">
        <f>IF('COPY 20 %'!$A100="","",'COPY 20 %'!H100)</f>
        <v/>
      </c>
      <c r="L100" s="7">
        <f>IF('COPY 20 %'!$A100="","",'COPY 20 %'!T100)</f>
        <v/>
      </c>
      <c r="M100">
        <f>IF('COPY 20 %'!$A100="","",'COPY 20 %'!G100)</f>
        <v/>
      </c>
    </row>
    <row r="101">
      <c r="A101">
        <f>IF('COPY 20 %'!$A101="","",ROWS($A$2:$A101))</f>
        <v/>
      </c>
      <c r="B101">
        <f>IF('COPY 20 %'!$A101="","",'COPY 20 %'!E101)</f>
        <v/>
      </c>
      <c r="C101">
        <f>IF('COPY 20 %'!$A101="","",'COPY 20 %'!F101)</f>
        <v/>
      </c>
      <c r="D101" s="14">
        <f>IF('COPY 20 %'!$A101="","",'COPY 20 %'!I101)</f>
        <v/>
      </c>
      <c r="E101" s="7">
        <f>IF('COPY 20 %'!$A101="","",'COPY 20 %'!O101)</f>
        <v/>
      </c>
      <c r="F101" s="7">
        <f>IF('COPY 20 %'!$A101="","",'COPY 20 %'!L101)</f>
        <v/>
      </c>
      <c r="G101" s="7">
        <f>IF('COPY 20 %'!$A101="","",'COPY 20 %'!S101)</f>
        <v/>
      </c>
      <c r="H101">
        <f>IF('COPY 20 %'!$A101="","",'COPY 20 %'!P101)</f>
        <v/>
      </c>
      <c r="I101">
        <f>IF('COPY 20 %'!$A101="","",'COPY 20 %'!M101)</f>
        <v/>
      </c>
      <c r="J101" s="7">
        <f>IF('COPY 20 %'!$A101="","",'COPY 20 %'!Q101)</f>
        <v/>
      </c>
      <c r="K101" s="7">
        <f>IF('COPY 20 %'!$A101="","",'COPY 20 %'!H101)</f>
        <v/>
      </c>
      <c r="L101" s="7">
        <f>IF('COPY 20 %'!$A101="","",'COPY 20 %'!T101)</f>
        <v/>
      </c>
      <c r="M101">
        <f>IF('COPY 20 %'!$A101="","",'COPY 20 %'!G101)</f>
        <v/>
      </c>
    </row>
    <row r="102">
      <c r="A102">
        <f>IF('COPY 20 %'!$A102="","",ROWS($A$2:$A102))</f>
        <v/>
      </c>
      <c r="B102">
        <f>IF('COPY 20 %'!$A102="","",'COPY 20 %'!E102)</f>
        <v/>
      </c>
      <c r="C102">
        <f>IF('COPY 20 %'!$A102="","",'COPY 20 %'!F102)</f>
        <v/>
      </c>
      <c r="D102" s="14">
        <f>IF('COPY 20 %'!$A102="","",'COPY 20 %'!I102)</f>
        <v/>
      </c>
      <c r="E102" s="7">
        <f>IF('COPY 20 %'!$A102="","",'COPY 20 %'!O102)</f>
        <v/>
      </c>
      <c r="F102" s="7">
        <f>IF('COPY 20 %'!$A102="","",'COPY 20 %'!L102)</f>
        <v/>
      </c>
      <c r="G102" s="7">
        <f>IF('COPY 20 %'!$A102="","",'COPY 20 %'!S102)</f>
        <v/>
      </c>
      <c r="H102">
        <f>IF('COPY 20 %'!$A102="","",'COPY 20 %'!P102)</f>
        <v/>
      </c>
      <c r="I102">
        <f>IF('COPY 20 %'!$A102="","",'COPY 20 %'!M102)</f>
        <v/>
      </c>
      <c r="J102" s="7">
        <f>IF('COPY 20 %'!$A102="","",'COPY 20 %'!Q102)</f>
        <v/>
      </c>
      <c r="K102" s="7">
        <f>IF('COPY 20 %'!$A102="","",'COPY 20 %'!H102)</f>
        <v/>
      </c>
      <c r="L102" s="7">
        <f>IF('COPY 20 %'!$A102="","",'COPY 20 %'!T102)</f>
        <v/>
      </c>
      <c r="M102">
        <f>IF('COPY 20 %'!$A102="","",'COPY 20 %'!G102)</f>
        <v/>
      </c>
    </row>
    <row r="103">
      <c r="A103">
        <f>IF('COPY 20 %'!$A103="","",ROWS($A$2:$A103))</f>
        <v/>
      </c>
      <c r="B103">
        <f>IF('COPY 20 %'!$A103="","",'COPY 20 %'!E103)</f>
        <v/>
      </c>
      <c r="C103">
        <f>IF('COPY 20 %'!$A103="","",'COPY 20 %'!F103)</f>
        <v/>
      </c>
      <c r="D103" s="14">
        <f>IF('COPY 20 %'!$A103="","",'COPY 20 %'!I103)</f>
        <v/>
      </c>
      <c r="E103" s="7">
        <f>IF('COPY 20 %'!$A103="","",'COPY 20 %'!O103)</f>
        <v/>
      </c>
      <c r="F103" s="7">
        <f>IF('COPY 20 %'!$A103="","",'COPY 20 %'!L103)</f>
        <v/>
      </c>
      <c r="G103" s="7">
        <f>IF('COPY 20 %'!$A103="","",'COPY 20 %'!S103)</f>
        <v/>
      </c>
      <c r="H103">
        <f>IF('COPY 20 %'!$A103="","",'COPY 20 %'!P103)</f>
        <v/>
      </c>
      <c r="I103">
        <f>IF('COPY 20 %'!$A103="","",'COPY 20 %'!M103)</f>
        <v/>
      </c>
      <c r="J103" s="7">
        <f>IF('COPY 20 %'!$A103="","",'COPY 20 %'!Q103)</f>
        <v/>
      </c>
      <c r="K103" s="7">
        <f>IF('COPY 20 %'!$A103="","",'COPY 20 %'!H103)</f>
        <v/>
      </c>
      <c r="L103" s="7">
        <f>IF('COPY 20 %'!$A103="","",'COPY 20 %'!T103)</f>
        <v/>
      </c>
      <c r="M103">
        <f>IF('COPY 20 %'!$A103="","",'COPY 20 %'!G103)</f>
        <v/>
      </c>
    </row>
    <row r="104">
      <c r="A104">
        <f>IF('COPY 20 %'!$A104="","",ROWS($A$2:$A104))</f>
        <v/>
      </c>
      <c r="B104">
        <f>IF('COPY 20 %'!$A104="","",'COPY 20 %'!E104)</f>
        <v/>
      </c>
      <c r="C104">
        <f>IF('COPY 20 %'!$A104="","",'COPY 20 %'!F104)</f>
        <v/>
      </c>
      <c r="D104" s="14">
        <f>IF('COPY 20 %'!$A104="","",'COPY 20 %'!I104)</f>
        <v/>
      </c>
      <c r="E104" s="7">
        <f>IF('COPY 20 %'!$A104="","",'COPY 20 %'!O104)</f>
        <v/>
      </c>
      <c r="F104" s="7">
        <f>IF('COPY 20 %'!$A104="","",'COPY 20 %'!L104)</f>
        <v/>
      </c>
      <c r="G104" s="7">
        <f>IF('COPY 20 %'!$A104="","",'COPY 20 %'!S104)</f>
        <v/>
      </c>
      <c r="H104">
        <f>IF('COPY 20 %'!$A104="","",'COPY 20 %'!P104)</f>
        <v/>
      </c>
      <c r="I104">
        <f>IF('COPY 20 %'!$A104="","",'COPY 20 %'!M104)</f>
        <v/>
      </c>
      <c r="J104" s="7">
        <f>IF('COPY 20 %'!$A104="","",'COPY 20 %'!Q104)</f>
        <v/>
      </c>
      <c r="K104" s="7">
        <f>IF('COPY 20 %'!$A104="","",'COPY 20 %'!H104)</f>
        <v/>
      </c>
      <c r="L104" s="7">
        <f>IF('COPY 20 %'!$A104="","",'COPY 20 %'!T104)</f>
        <v/>
      </c>
      <c r="M104">
        <f>IF('COPY 20 %'!$A104="","",'COPY 20 %'!G104)</f>
        <v/>
      </c>
    </row>
    <row r="105">
      <c r="A105">
        <f>IF('COPY 20 %'!$A105="","",ROWS($A$2:$A105))</f>
        <v/>
      </c>
      <c r="B105">
        <f>IF('COPY 20 %'!$A105="","",'COPY 20 %'!E105)</f>
        <v/>
      </c>
      <c r="C105">
        <f>IF('COPY 20 %'!$A105="","",'COPY 20 %'!F105)</f>
        <v/>
      </c>
      <c r="D105" s="14">
        <f>IF('COPY 20 %'!$A105="","",'COPY 20 %'!I105)</f>
        <v/>
      </c>
      <c r="E105" s="7">
        <f>IF('COPY 20 %'!$A105="","",'COPY 20 %'!O105)</f>
        <v/>
      </c>
      <c r="F105" s="7">
        <f>IF('COPY 20 %'!$A105="","",'COPY 20 %'!L105)</f>
        <v/>
      </c>
      <c r="G105" s="7">
        <f>IF('COPY 20 %'!$A105="","",'COPY 20 %'!S105)</f>
        <v/>
      </c>
      <c r="H105">
        <f>IF('COPY 20 %'!$A105="","",'COPY 20 %'!P105)</f>
        <v/>
      </c>
      <c r="I105">
        <f>IF('COPY 20 %'!$A105="","",'COPY 20 %'!M105)</f>
        <v/>
      </c>
      <c r="J105" s="7">
        <f>IF('COPY 20 %'!$A105="","",'COPY 20 %'!Q105)</f>
        <v/>
      </c>
      <c r="K105" s="7">
        <f>IF('COPY 20 %'!$A105="","",'COPY 20 %'!H105)</f>
        <v/>
      </c>
      <c r="L105" s="7">
        <f>IF('COPY 20 %'!$A105="","",'COPY 20 %'!T105)</f>
        <v/>
      </c>
      <c r="M105">
        <f>IF('COPY 20 %'!$A105="","",'COPY 20 %'!G105)</f>
        <v/>
      </c>
    </row>
    <row r="106">
      <c r="A106">
        <f>IF('COPY 20 %'!$A106="","",ROWS($A$2:$A106))</f>
        <v/>
      </c>
      <c r="B106">
        <f>IF('COPY 20 %'!$A106="","",'COPY 20 %'!E106)</f>
        <v/>
      </c>
      <c r="C106">
        <f>IF('COPY 20 %'!$A106="","",'COPY 20 %'!F106)</f>
        <v/>
      </c>
      <c r="D106" s="14">
        <f>IF('COPY 20 %'!$A106="","",'COPY 20 %'!I106)</f>
        <v/>
      </c>
      <c r="E106" s="7">
        <f>IF('COPY 20 %'!$A106="","",'COPY 20 %'!O106)</f>
        <v/>
      </c>
      <c r="F106" s="7">
        <f>IF('COPY 20 %'!$A106="","",'COPY 20 %'!L106)</f>
        <v/>
      </c>
      <c r="G106" s="7">
        <f>IF('COPY 20 %'!$A106="","",'COPY 20 %'!S106)</f>
        <v/>
      </c>
      <c r="H106">
        <f>IF('COPY 20 %'!$A106="","",'COPY 20 %'!P106)</f>
        <v/>
      </c>
      <c r="I106">
        <f>IF('COPY 20 %'!$A106="","",'COPY 20 %'!M106)</f>
        <v/>
      </c>
      <c r="J106" s="7">
        <f>IF('COPY 20 %'!$A106="","",'COPY 20 %'!Q106)</f>
        <v/>
      </c>
      <c r="K106" s="7">
        <f>IF('COPY 20 %'!$A106="","",'COPY 20 %'!H106)</f>
        <v/>
      </c>
      <c r="L106" s="7">
        <f>IF('COPY 20 %'!$A106="","",'COPY 20 %'!T106)</f>
        <v/>
      </c>
      <c r="M106">
        <f>IF('COPY 20 %'!$A106="","",'COPY 20 %'!G106)</f>
        <v/>
      </c>
    </row>
    <row r="107">
      <c r="A107">
        <f>IF('COPY 20 %'!$A107="","",ROWS($A$2:$A107))</f>
        <v/>
      </c>
      <c r="B107">
        <f>IF('COPY 20 %'!$A107="","",'COPY 20 %'!E107)</f>
        <v/>
      </c>
      <c r="C107">
        <f>IF('COPY 20 %'!$A107="","",'COPY 20 %'!F107)</f>
        <v/>
      </c>
      <c r="D107" s="14">
        <f>IF('COPY 20 %'!$A107="","",'COPY 20 %'!I107)</f>
        <v/>
      </c>
      <c r="E107" s="7">
        <f>IF('COPY 20 %'!$A107="","",'COPY 20 %'!O107)</f>
        <v/>
      </c>
      <c r="F107" s="7">
        <f>IF('COPY 20 %'!$A107="","",'COPY 20 %'!L107)</f>
        <v/>
      </c>
      <c r="G107" s="7">
        <f>IF('COPY 20 %'!$A107="","",'COPY 20 %'!S107)</f>
        <v/>
      </c>
      <c r="H107">
        <f>IF('COPY 20 %'!$A107="","",'COPY 20 %'!P107)</f>
        <v/>
      </c>
      <c r="I107">
        <f>IF('COPY 20 %'!$A107="","",'COPY 20 %'!M107)</f>
        <v/>
      </c>
      <c r="J107" s="7">
        <f>IF('COPY 20 %'!$A107="","",'COPY 20 %'!Q107)</f>
        <v/>
      </c>
      <c r="K107" s="7">
        <f>IF('COPY 20 %'!$A107="","",'COPY 20 %'!H107)</f>
        <v/>
      </c>
      <c r="L107" s="7">
        <f>IF('COPY 20 %'!$A107="","",'COPY 20 %'!T107)</f>
        <v/>
      </c>
      <c r="M107">
        <f>IF('COPY 20 %'!$A107="","",'COPY 20 %'!G107)</f>
        <v/>
      </c>
    </row>
    <row r="108">
      <c r="A108">
        <f>IF('COPY 20 %'!$A108="","",ROWS($A$2:$A108))</f>
        <v/>
      </c>
      <c r="B108">
        <f>IF('COPY 20 %'!$A108="","",'COPY 20 %'!E108)</f>
        <v/>
      </c>
      <c r="C108">
        <f>IF('COPY 20 %'!$A108="","",'COPY 20 %'!F108)</f>
        <v/>
      </c>
      <c r="D108" s="14">
        <f>IF('COPY 20 %'!$A108="","",'COPY 20 %'!I108)</f>
        <v/>
      </c>
      <c r="E108" s="7">
        <f>IF('COPY 20 %'!$A108="","",'COPY 20 %'!O108)</f>
        <v/>
      </c>
      <c r="F108" s="7">
        <f>IF('COPY 20 %'!$A108="","",'COPY 20 %'!L108)</f>
        <v/>
      </c>
      <c r="G108" s="7">
        <f>IF('COPY 20 %'!$A108="","",'COPY 20 %'!S108)</f>
        <v/>
      </c>
      <c r="H108">
        <f>IF('COPY 20 %'!$A108="","",'COPY 20 %'!P108)</f>
        <v/>
      </c>
      <c r="I108">
        <f>IF('COPY 20 %'!$A108="","",'COPY 20 %'!M108)</f>
        <v/>
      </c>
      <c r="J108" s="7">
        <f>IF('COPY 20 %'!$A108="","",'COPY 20 %'!Q108)</f>
        <v/>
      </c>
      <c r="K108" s="7">
        <f>IF('COPY 20 %'!$A108="","",'COPY 20 %'!H108)</f>
        <v/>
      </c>
      <c r="L108" s="7">
        <f>IF('COPY 20 %'!$A108="","",'COPY 20 %'!T108)</f>
        <v/>
      </c>
      <c r="M108">
        <f>IF('COPY 20 %'!$A108="","",'COPY 20 %'!G108)</f>
        <v/>
      </c>
    </row>
    <row r="109">
      <c r="A109">
        <f>IF('COPY 20 %'!$A109="","",ROWS($A$2:$A109))</f>
        <v/>
      </c>
      <c r="B109">
        <f>IF('COPY 20 %'!$A109="","",'COPY 20 %'!E109)</f>
        <v/>
      </c>
      <c r="C109">
        <f>IF('COPY 20 %'!$A109="","",'COPY 20 %'!F109)</f>
        <v/>
      </c>
      <c r="D109" s="14">
        <f>IF('COPY 20 %'!$A109="","",'COPY 20 %'!I109)</f>
        <v/>
      </c>
      <c r="E109" s="7">
        <f>IF('COPY 20 %'!$A109="","",'COPY 20 %'!O109)</f>
        <v/>
      </c>
      <c r="F109" s="7">
        <f>IF('COPY 20 %'!$A109="","",'COPY 20 %'!L109)</f>
        <v/>
      </c>
      <c r="G109" s="7">
        <f>IF('COPY 20 %'!$A109="","",'COPY 20 %'!S109)</f>
        <v/>
      </c>
      <c r="H109">
        <f>IF('COPY 20 %'!$A109="","",'COPY 20 %'!P109)</f>
        <v/>
      </c>
      <c r="I109">
        <f>IF('COPY 20 %'!$A109="","",'COPY 20 %'!M109)</f>
        <v/>
      </c>
      <c r="J109" s="7">
        <f>IF('COPY 20 %'!$A109="","",'COPY 20 %'!Q109)</f>
        <v/>
      </c>
      <c r="K109" s="7">
        <f>IF('COPY 20 %'!$A109="","",'COPY 20 %'!H109)</f>
        <v/>
      </c>
      <c r="L109" s="7">
        <f>IF('COPY 20 %'!$A109="","",'COPY 20 %'!T109)</f>
        <v/>
      </c>
      <c r="M109">
        <f>IF('COPY 20 %'!$A109="","",'COPY 20 %'!G109)</f>
        <v/>
      </c>
    </row>
    <row r="110">
      <c r="A110">
        <f>IF('COPY 20 %'!$A110="","",ROWS($A$2:$A110))</f>
        <v/>
      </c>
      <c r="B110">
        <f>IF('COPY 20 %'!$A110="","",'COPY 20 %'!E110)</f>
        <v/>
      </c>
      <c r="C110">
        <f>IF('COPY 20 %'!$A110="","",'COPY 20 %'!F110)</f>
        <v/>
      </c>
      <c r="D110" s="14">
        <f>IF('COPY 20 %'!$A110="","",'COPY 20 %'!I110)</f>
        <v/>
      </c>
      <c r="E110" s="7">
        <f>IF('COPY 20 %'!$A110="","",'COPY 20 %'!O110)</f>
        <v/>
      </c>
      <c r="F110" s="7">
        <f>IF('COPY 20 %'!$A110="","",'COPY 20 %'!L110)</f>
        <v/>
      </c>
      <c r="G110" s="7">
        <f>IF('COPY 20 %'!$A110="","",'COPY 20 %'!S110)</f>
        <v/>
      </c>
      <c r="H110">
        <f>IF('COPY 20 %'!$A110="","",'COPY 20 %'!P110)</f>
        <v/>
      </c>
      <c r="I110">
        <f>IF('COPY 20 %'!$A110="","",'COPY 20 %'!M110)</f>
        <v/>
      </c>
      <c r="J110" s="7">
        <f>IF('COPY 20 %'!$A110="","",'COPY 20 %'!Q110)</f>
        <v/>
      </c>
      <c r="K110" s="7">
        <f>IF('COPY 20 %'!$A110="","",'COPY 20 %'!H110)</f>
        <v/>
      </c>
      <c r="L110" s="7">
        <f>IF('COPY 20 %'!$A110="","",'COPY 20 %'!T110)</f>
        <v/>
      </c>
      <c r="M110">
        <f>IF('COPY 20 %'!$A110="","",'COPY 20 %'!G110)</f>
        <v/>
      </c>
    </row>
    <row r="111">
      <c r="A111">
        <f>IF('COPY 20 %'!$A111="","",ROWS($A$2:$A111))</f>
        <v/>
      </c>
      <c r="B111">
        <f>IF('COPY 20 %'!$A111="","",'COPY 20 %'!E111)</f>
        <v/>
      </c>
      <c r="C111">
        <f>IF('COPY 20 %'!$A111="","",'COPY 20 %'!F111)</f>
        <v/>
      </c>
      <c r="D111" s="14">
        <f>IF('COPY 20 %'!$A111="","",'COPY 20 %'!I111)</f>
        <v/>
      </c>
      <c r="E111" s="7">
        <f>IF('COPY 20 %'!$A111="","",'COPY 20 %'!O111)</f>
        <v/>
      </c>
      <c r="F111" s="7">
        <f>IF('COPY 20 %'!$A111="","",'COPY 20 %'!L111)</f>
        <v/>
      </c>
      <c r="G111" s="7">
        <f>IF('COPY 20 %'!$A111="","",'COPY 20 %'!S111)</f>
        <v/>
      </c>
      <c r="H111">
        <f>IF('COPY 20 %'!$A111="","",'COPY 20 %'!P111)</f>
        <v/>
      </c>
      <c r="I111">
        <f>IF('COPY 20 %'!$A111="","",'COPY 20 %'!M111)</f>
        <v/>
      </c>
      <c r="J111" s="7">
        <f>IF('COPY 20 %'!$A111="","",'COPY 20 %'!Q111)</f>
        <v/>
      </c>
      <c r="K111" s="7">
        <f>IF('COPY 20 %'!$A111="","",'COPY 20 %'!H111)</f>
        <v/>
      </c>
      <c r="L111" s="7">
        <f>IF('COPY 20 %'!$A111="","",'COPY 20 %'!T111)</f>
        <v/>
      </c>
      <c r="M111">
        <f>IF('COPY 20 %'!$A111="","",'COPY 20 %'!G111)</f>
        <v/>
      </c>
    </row>
    <row r="112">
      <c r="A112">
        <f>IF('COPY 20 %'!$A112="","",ROWS($A$2:$A112))</f>
        <v/>
      </c>
      <c r="B112">
        <f>IF('COPY 20 %'!$A112="","",'COPY 20 %'!E112)</f>
        <v/>
      </c>
      <c r="C112">
        <f>IF('COPY 20 %'!$A112="","",'COPY 20 %'!F112)</f>
        <v/>
      </c>
      <c r="D112" s="14">
        <f>IF('COPY 20 %'!$A112="","",'COPY 20 %'!I112)</f>
        <v/>
      </c>
      <c r="E112" s="7">
        <f>IF('COPY 20 %'!$A112="","",'COPY 20 %'!O112)</f>
        <v/>
      </c>
      <c r="F112" s="7">
        <f>IF('COPY 20 %'!$A112="","",'COPY 20 %'!L112)</f>
        <v/>
      </c>
      <c r="G112" s="7">
        <f>IF('COPY 20 %'!$A112="","",'COPY 20 %'!S112)</f>
        <v/>
      </c>
      <c r="H112">
        <f>IF('COPY 20 %'!$A112="","",'COPY 20 %'!P112)</f>
        <v/>
      </c>
      <c r="I112">
        <f>IF('COPY 20 %'!$A112="","",'COPY 20 %'!M112)</f>
        <v/>
      </c>
      <c r="J112" s="7">
        <f>IF('COPY 20 %'!$A112="","",'COPY 20 %'!Q112)</f>
        <v/>
      </c>
      <c r="K112" s="7">
        <f>IF('COPY 20 %'!$A112="","",'COPY 20 %'!H112)</f>
        <v/>
      </c>
      <c r="L112" s="7">
        <f>IF('COPY 20 %'!$A112="","",'COPY 20 %'!T112)</f>
        <v/>
      </c>
      <c r="M112">
        <f>IF('COPY 20 %'!$A112="","",'COPY 20 %'!G112)</f>
        <v/>
      </c>
    </row>
    <row r="113">
      <c r="A113">
        <f>IF('COPY 20 %'!$A113="","",ROWS($A$2:$A113))</f>
        <v/>
      </c>
      <c r="B113">
        <f>IF('COPY 20 %'!$A113="","",'COPY 20 %'!E113)</f>
        <v/>
      </c>
      <c r="C113">
        <f>IF('COPY 20 %'!$A113="","",'COPY 20 %'!F113)</f>
        <v/>
      </c>
      <c r="D113" s="14">
        <f>IF('COPY 20 %'!$A113="","",'COPY 20 %'!I113)</f>
        <v/>
      </c>
      <c r="E113" s="7">
        <f>IF('COPY 20 %'!$A113="","",'COPY 20 %'!O113)</f>
        <v/>
      </c>
      <c r="F113" s="7">
        <f>IF('COPY 20 %'!$A113="","",'COPY 20 %'!L113)</f>
        <v/>
      </c>
      <c r="G113" s="7">
        <f>IF('COPY 20 %'!$A113="","",'COPY 20 %'!S113)</f>
        <v/>
      </c>
      <c r="H113">
        <f>IF('COPY 20 %'!$A113="","",'COPY 20 %'!P113)</f>
        <v/>
      </c>
      <c r="I113">
        <f>IF('COPY 20 %'!$A113="","",'COPY 20 %'!M113)</f>
        <v/>
      </c>
      <c r="J113" s="7">
        <f>IF('COPY 20 %'!$A113="","",'COPY 20 %'!Q113)</f>
        <v/>
      </c>
      <c r="K113" s="7">
        <f>IF('COPY 20 %'!$A113="","",'COPY 20 %'!H113)</f>
        <v/>
      </c>
      <c r="L113" s="7">
        <f>IF('COPY 20 %'!$A113="","",'COPY 20 %'!T113)</f>
        <v/>
      </c>
      <c r="M113">
        <f>IF('COPY 20 %'!$A113="","",'COPY 20 %'!G113)</f>
        <v/>
      </c>
    </row>
    <row r="114">
      <c r="A114">
        <f>IF('COPY 20 %'!$A114="","",ROWS($A$2:$A114))</f>
        <v/>
      </c>
      <c r="B114">
        <f>IF('COPY 20 %'!$A114="","",'COPY 20 %'!E114)</f>
        <v/>
      </c>
      <c r="C114">
        <f>IF('COPY 20 %'!$A114="","",'COPY 20 %'!F114)</f>
        <v/>
      </c>
      <c r="D114" s="14">
        <f>IF('COPY 20 %'!$A114="","",'COPY 20 %'!I114)</f>
        <v/>
      </c>
      <c r="E114" s="7">
        <f>IF('COPY 20 %'!$A114="","",'COPY 20 %'!O114)</f>
        <v/>
      </c>
      <c r="F114" s="7">
        <f>IF('COPY 20 %'!$A114="","",'COPY 20 %'!L114)</f>
        <v/>
      </c>
      <c r="G114" s="7">
        <f>IF('COPY 20 %'!$A114="","",'COPY 20 %'!S114)</f>
        <v/>
      </c>
      <c r="H114">
        <f>IF('COPY 20 %'!$A114="","",'COPY 20 %'!P114)</f>
        <v/>
      </c>
      <c r="I114">
        <f>IF('COPY 20 %'!$A114="","",'COPY 20 %'!M114)</f>
        <v/>
      </c>
      <c r="J114" s="7">
        <f>IF('COPY 20 %'!$A114="","",'COPY 20 %'!Q114)</f>
        <v/>
      </c>
      <c r="K114" s="7">
        <f>IF('COPY 20 %'!$A114="","",'COPY 20 %'!H114)</f>
        <v/>
      </c>
      <c r="L114" s="7">
        <f>IF('COPY 20 %'!$A114="","",'COPY 20 %'!T114)</f>
        <v/>
      </c>
      <c r="M114">
        <f>IF('COPY 20 %'!$A114="","",'COPY 20 %'!G114)</f>
        <v/>
      </c>
    </row>
    <row r="115">
      <c r="A115">
        <f>IF('COPY 20 %'!$A115="","",ROWS($A$2:$A115))</f>
        <v/>
      </c>
      <c r="B115">
        <f>IF('COPY 20 %'!$A115="","",'COPY 20 %'!E115)</f>
        <v/>
      </c>
      <c r="C115">
        <f>IF('COPY 20 %'!$A115="","",'COPY 20 %'!F115)</f>
        <v/>
      </c>
      <c r="D115" s="14">
        <f>IF('COPY 20 %'!$A115="","",'COPY 20 %'!I115)</f>
        <v/>
      </c>
      <c r="E115" s="7">
        <f>IF('COPY 20 %'!$A115="","",'COPY 20 %'!O115)</f>
        <v/>
      </c>
      <c r="F115" s="7">
        <f>IF('COPY 20 %'!$A115="","",'COPY 20 %'!L115)</f>
        <v/>
      </c>
      <c r="G115" s="7">
        <f>IF('COPY 20 %'!$A115="","",'COPY 20 %'!S115)</f>
        <v/>
      </c>
      <c r="H115">
        <f>IF('COPY 20 %'!$A115="","",'COPY 20 %'!P115)</f>
        <v/>
      </c>
      <c r="I115">
        <f>IF('COPY 20 %'!$A115="","",'COPY 20 %'!M115)</f>
        <v/>
      </c>
      <c r="J115" s="7">
        <f>IF('COPY 20 %'!$A115="","",'COPY 20 %'!Q115)</f>
        <v/>
      </c>
      <c r="K115" s="7">
        <f>IF('COPY 20 %'!$A115="","",'COPY 20 %'!H115)</f>
        <v/>
      </c>
      <c r="L115" s="7">
        <f>IF('COPY 20 %'!$A115="","",'COPY 20 %'!T115)</f>
        <v/>
      </c>
      <c r="M115">
        <f>IF('COPY 20 %'!$A115="","",'COPY 20 %'!G115)</f>
        <v/>
      </c>
    </row>
    <row r="116">
      <c r="A116">
        <f>IF('COPY 20 %'!$A116="","",ROWS($A$2:$A116))</f>
        <v/>
      </c>
      <c r="B116">
        <f>IF('COPY 20 %'!$A116="","",'COPY 20 %'!E116)</f>
        <v/>
      </c>
      <c r="C116">
        <f>IF('COPY 20 %'!$A116="","",'COPY 20 %'!F116)</f>
        <v/>
      </c>
      <c r="D116" s="14">
        <f>IF('COPY 20 %'!$A116="","",'COPY 20 %'!I116)</f>
        <v/>
      </c>
      <c r="E116" s="7">
        <f>IF('COPY 20 %'!$A116="","",'COPY 20 %'!O116)</f>
        <v/>
      </c>
      <c r="F116" s="7">
        <f>IF('COPY 20 %'!$A116="","",'COPY 20 %'!L116)</f>
        <v/>
      </c>
      <c r="G116" s="7">
        <f>IF('COPY 20 %'!$A116="","",'COPY 20 %'!S116)</f>
        <v/>
      </c>
      <c r="H116">
        <f>IF('COPY 20 %'!$A116="","",'COPY 20 %'!P116)</f>
        <v/>
      </c>
      <c r="I116">
        <f>IF('COPY 20 %'!$A116="","",'COPY 20 %'!M116)</f>
        <v/>
      </c>
      <c r="J116" s="7">
        <f>IF('COPY 20 %'!$A116="","",'COPY 20 %'!Q116)</f>
        <v/>
      </c>
      <c r="K116" s="7">
        <f>IF('COPY 20 %'!$A116="","",'COPY 20 %'!H116)</f>
        <v/>
      </c>
      <c r="L116" s="7">
        <f>IF('COPY 20 %'!$A116="","",'COPY 20 %'!T116)</f>
        <v/>
      </c>
      <c r="M116">
        <f>IF('COPY 20 %'!$A116="","",'COPY 20 %'!G116)</f>
        <v/>
      </c>
    </row>
    <row r="117">
      <c r="A117">
        <f>IF('COPY 20 %'!$A117="","",ROWS($A$2:$A117))</f>
        <v/>
      </c>
      <c r="B117">
        <f>IF('COPY 20 %'!$A117="","",'COPY 20 %'!E117)</f>
        <v/>
      </c>
      <c r="C117">
        <f>IF('COPY 20 %'!$A117="","",'COPY 20 %'!F117)</f>
        <v/>
      </c>
      <c r="D117" s="14">
        <f>IF('COPY 20 %'!$A117="","",'COPY 20 %'!I117)</f>
        <v/>
      </c>
      <c r="E117" s="7">
        <f>IF('COPY 20 %'!$A117="","",'COPY 20 %'!O117)</f>
        <v/>
      </c>
      <c r="F117" s="7">
        <f>IF('COPY 20 %'!$A117="","",'COPY 20 %'!L117)</f>
        <v/>
      </c>
      <c r="G117" s="7">
        <f>IF('COPY 20 %'!$A117="","",'COPY 20 %'!S117)</f>
        <v/>
      </c>
      <c r="H117">
        <f>IF('COPY 20 %'!$A117="","",'COPY 20 %'!P117)</f>
        <v/>
      </c>
      <c r="I117">
        <f>IF('COPY 20 %'!$A117="","",'COPY 20 %'!M117)</f>
        <v/>
      </c>
      <c r="J117" s="7">
        <f>IF('COPY 20 %'!$A117="","",'COPY 20 %'!Q117)</f>
        <v/>
      </c>
      <c r="K117" s="7">
        <f>IF('COPY 20 %'!$A117="","",'COPY 20 %'!H117)</f>
        <v/>
      </c>
      <c r="L117" s="7">
        <f>IF('COPY 20 %'!$A117="","",'COPY 20 %'!T117)</f>
        <v/>
      </c>
      <c r="M117">
        <f>IF('COPY 20 %'!$A117="","",'COPY 20 %'!G117)</f>
        <v/>
      </c>
    </row>
    <row r="118">
      <c r="A118">
        <f>IF('COPY 20 %'!$A118="","",ROWS($A$2:$A118))</f>
        <v/>
      </c>
      <c r="B118">
        <f>IF('COPY 20 %'!$A118="","",'COPY 20 %'!E118)</f>
        <v/>
      </c>
      <c r="C118">
        <f>IF('COPY 20 %'!$A118="","",'COPY 20 %'!F118)</f>
        <v/>
      </c>
      <c r="D118" s="14">
        <f>IF('COPY 20 %'!$A118="","",'COPY 20 %'!I118)</f>
        <v/>
      </c>
      <c r="E118" s="7">
        <f>IF('COPY 20 %'!$A118="","",'COPY 20 %'!O118)</f>
        <v/>
      </c>
      <c r="F118" s="7">
        <f>IF('COPY 20 %'!$A118="","",'COPY 20 %'!L118)</f>
        <v/>
      </c>
      <c r="G118" s="7">
        <f>IF('COPY 20 %'!$A118="","",'COPY 20 %'!S118)</f>
        <v/>
      </c>
      <c r="H118">
        <f>IF('COPY 20 %'!$A118="","",'COPY 20 %'!P118)</f>
        <v/>
      </c>
      <c r="I118">
        <f>IF('COPY 20 %'!$A118="","",'COPY 20 %'!M118)</f>
        <v/>
      </c>
      <c r="J118" s="7">
        <f>IF('COPY 20 %'!$A118="","",'COPY 20 %'!Q118)</f>
        <v/>
      </c>
      <c r="K118" s="7">
        <f>IF('COPY 20 %'!$A118="","",'COPY 20 %'!H118)</f>
        <v/>
      </c>
      <c r="L118" s="7">
        <f>IF('COPY 20 %'!$A118="","",'COPY 20 %'!T118)</f>
        <v/>
      </c>
      <c r="M118">
        <f>IF('COPY 20 %'!$A118="","",'COPY 20 %'!G118)</f>
        <v/>
      </c>
    </row>
    <row r="119">
      <c r="A119">
        <f>IF('COPY 20 %'!$A119="","",ROWS($A$2:$A119))</f>
        <v/>
      </c>
      <c r="B119">
        <f>IF('COPY 20 %'!$A119="","",'COPY 20 %'!E119)</f>
        <v/>
      </c>
      <c r="C119">
        <f>IF('COPY 20 %'!$A119="","",'COPY 20 %'!F119)</f>
        <v/>
      </c>
      <c r="D119" s="14">
        <f>IF('COPY 20 %'!$A119="","",'COPY 20 %'!I119)</f>
        <v/>
      </c>
      <c r="E119" s="7">
        <f>IF('COPY 20 %'!$A119="","",'COPY 20 %'!O119)</f>
        <v/>
      </c>
      <c r="F119" s="7">
        <f>IF('COPY 20 %'!$A119="","",'COPY 20 %'!L119)</f>
        <v/>
      </c>
      <c r="G119" s="7">
        <f>IF('COPY 20 %'!$A119="","",'COPY 20 %'!S119)</f>
        <v/>
      </c>
      <c r="H119">
        <f>IF('COPY 20 %'!$A119="","",'COPY 20 %'!P119)</f>
        <v/>
      </c>
      <c r="I119">
        <f>IF('COPY 20 %'!$A119="","",'COPY 20 %'!M119)</f>
        <v/>
      </c>
      <c r="J119" s="7">
        <f>IF('COPY 20 %'!$A119="","",'COPY 20 %'!Q119)</f>
        <v/>
      </c>
      <c r="K119" s="7">
        <f>IF('COPY 20 %'!$A119="","",'COPY 20 %'!H119)</f>
        <v/>
      </c>
      <c r="L119" s="7">
        <f>IF('COPY 20 %'!$A119="","",'COPY 20 %'!T119)</f>
        <v/>
      </c>
      <c r="M119">
        <f>IF('COPY 20 %'!$A119="","",'COPY 20 %'!G119)</f>
        <v/>
      </c>
    </row>
    <row r="120">
      <c r="A120">
        <f>IF('COPY 20 %'!$A120="","",ROWS($A$2:$A120))</f>
        <v/>
      </c>
      <c r="B120">
        <f>IF('COPY 20 %'!$A120="","",'COPY 20 %'!E120)</f>
        <v/>
      </c>
      <c r="C120">
        <f>IF('COPY 20 %'!$A120="","",'COPY 20 %'!F120)</f>
        <v/>
      </c>
      <c r="D120" s="14">
        <f>IF('COPY 20 %'!$A120="","",'COPY 20 %'!I120)</f>
        <v/>
      </c>
      <c r="E120" s="7">
        <f>IF('COPY 20 %'!$A120="","",'COPY 20 %'!O120)</f>
        <v/>
      </c>
      <c r="F120" s="7">
        <f>IF('COPY 20 %'!$A120="","",'COPY 20 %'!L120)</f>
        <v/>
      </c>
      <c r="G120" s="7">
        <f>IF('COPY 20 %'!$A120="","",'COPY 20 %'!S120)</f>
        <v/>
      </c>
      <c r="H120">
        <f>IF('COPY 20 %'!$A120="","",'COPY 20 %'!P120)</f>
        <v/>
      </c>
      <c r="I120">
        <f>IF('COPY 20 %'!$A120="","",'COPY 20 %'!M120)</f>
        <v/>
      </c>
      <c r="J120" s="7">
        <f>IF('COPY 20 %'!$A120="","",'COPY 20 %'!Q120)</f>
        <v/>
      </c>
      <c r="K120" s="7">
        <f>IF('COPY 20 %'!$A120="","",'COPY 20 %'!H120)</f>
        <v/>
      </c>
      <c r="L120" s="7">
        <f>IF('COPY 20 %'!$A120="","",'COPY 20 %'!T120)</f>
        <v/>
      </c>
      <c r="M120">
        <f>IF('COPY 20 %'!$A120="","",'COPY 20 %'!G120)</f>
        <v/>
      </c>
    </row>
    <row r="121">
      <c r="A121">
        <f>IF('COPY 20 %'!$A121="","",ROWS($A$2:$A121))</f>
        <v/>
      </c>
      <c r="B121">
        <f>IF('COPY 20 %'!$A121="","",'COPY 20 %'!E121)</f>
        <v/>
      </c>
      <c r="C121">
        <f>IF('COPY 20 %'!$A121="","",'COPY 20 %'!F121)</f>
        <v/>
      </c>
      <c r="D121" s="14">
        <f>IF('COPY 20 %'!$A121="","",'COPY 20 %'!I121)</f>
        <v/>
      </c>
      <c r="E121" s="7">
        <f>IF('COPY 20 %'!$A121="","",'COPY 20 %'!O121)</f>
        <v/>
      </c>
      <c r="F121" s="7">
        <f>IF('COPY 20 %'!$A121="","",'COPY 20 %'!L121)</f>
        <v/>
      </c>
      <c r="G121" s="7">
        <f>IF('COPY 20 %'!$A121="","",'COPY 20 %'!S121)</f>
        <v/>
      </c>
      <c r="H121">
        <f>IF('COPY 20 %'!$A121="","",'COPY 20 %'!P121)</f>
        <v/>
      </c>
      <c r="I121">
        <f>IF('COPY 20 %'!$A121="","",'COPY 20 %'!M121)</f>
        <v/>
      </c>
      <c r="J121" s="7">
        <f>IF('COPY 20 %'!$A121="","",'COPY 20 %'!Q121)</f>
        <v/>
      </c>
      <c r="K121" s="7">
        <f>IF('COPY 20 %'!$A121="","",'COPY 20 %'!H121)</f>
        <v/>
      </c>
      <c r="L121" s="7">
        <f>IF('COPY 20 %'!$A121="","",'COPY 20 %'!T121)</f>
        <v/>
      </c>
      <c r="M121">
        <f>IF('COPY 20 %'!$A121="","",'COPY 20 %'!G121)</f>
        <v/>
      </c>
    </row>
    <row r="122">
      <c r="A122">
        <f>IF('COPY 20 %'!$A122="","",ROWS($A$2:$A122))</f>
        <v/>
      </c>
      <c r="B122">
        <f>IF('COPY 20 %'!$A122="","",'COPY 20 %'!E122)</f>
        <v/>
      </c>
      <c r="C122">
        <f>IF('COPY 20 %'!$A122="","",'COPY 20 %'!F122)</f>
        <v/>
      </c>
      <c r="D122" s="14">
        <f>IF('COPY 20 %'!$A122="","",'COPY 20 %'!I122)</f>
        <v/>
      </c>
      <c r="E122" s="7">
        <f>IF('COPY 20 %'!$A122="","",'COPY 20 %'!O122)</f>
        <v/>
      </c>
      <c r="F122" s="7">
        <f>IF('COPY 20 %'!$A122="","",'COPY 20 %'!L122)</f>
        <v/>
      </c>
      <c r="G122" s="7">
        <f>IF('COPY 20 %'!$A122="","",'COPY 20 %'!S122)</f>
        <v/>
      </c>
      <c r="H122">
        <f>IF('COPY 20 %'!$A122="","",'COPY 20 %'!P122)</f>
        <v/>
      </c>
      <c r="I122">
        <f>IF('COPY 20 %'!$A122="","",'COPY 20 %'!M122)</f>
        <v/>
      </c>
      <c r="J122" s="7">
        <f>IF('COPY 20 %'!$A122="","",'COPY 20 %'!Q122)</f>
        <v/>
      </c>
      <c r="K122" s="7">
        <f>IF('COPY 20 %'!$A122="","",'COPY 20 %'!H122)</f>
        <v/>
      </c>
      <c r="L122" s="7">
        <f>IF('COPY 20 %'!$A122="","",'COPY 20 %'!T122)</f>
        <v/>
      </c>
      <c r="M122">
        <f>IF('COPY 20 %'!$A122="","",'COPY 20 %'!G122)</f>
        <v/>
      </c>
    </row>
    <row r="123">
      <c r="A123">
        <f>IF('COPY 20 %'!$A123="","",ROWS($A$2:$A123))</f>
        <v/>
      </c>
      <c r="B123">
        <f>IF('COPY 20 %'!$A123="","",'COPY 20 %'!E123)</f>
        <v/>
      </c>
      <c r="C123">
        <f>IF('COPY 20 %'!$A123="","",'COPY 20 %'!F123)</f>
        <v/>
      </c>
      <c r="D123" s="14">
        <f>IF('COPY 20 %'!$A123="","",'COPY 20 %'!I123)</f>
        <v/>
      </c>
      <c r="E123" s="7">
        <f>IF('COPY 20 %'!$A123="","",'COPY 20 %'!O123)</f>
        <v/>
      </c>
      <c r="F123" s="7">
        <f>IF('COPY 20 %'!$A123="","",'COPY 20 %'!L123)</f>
        <v/>
      </c>
      <c r="G123" s="7">
        <f>IF('COPY 20 %'!$A123="","",'COPY 20 %'!S123)</f>
        <v/>
      </c>
      <c r="H123">
        <f>IF('COPY 20 %'!$A123="","",'COPY 20 %'!P123)</f>
        <v/>
      </c>
      <c r="I123">
        <f>IF('COPY 20 %'!$A123="","",'COPY 20 %'!M123)</f>
        <v/>
      </c>
      <c r="J123" s="7">
        <f>IF('COPY 20 %'!$A123="","",'COPY 20 %'!Q123)</f>
        <v/>
      </c>
      <c r="K123" s="7">
        <f>IF('COPY 20 %'!$A123="","",'COPY 20 %'!H123)</f>
        <v/>
      </c>
      <c r="L123" s="7">
        <f>IF('COPY 20 %'!$A123="","",'COPY 20 %'!T123)</f>
        <v/>
      </c>
      <c r="M123">
        <f>IF('COPY 20 %'!$A123="","",'COPY 20 %'!G123)</f>
        <v/>
      </c>
    </row>
    <row r="124">
      <c r="A124">
        <f>IF('COPY 20 %'!$A124="","",ROWS($A$2:$A124))</f>
        <v/>
      </c>
      <c r="B124">
        <f>IF('COPY 20 %'!$A124="","",'COPY 20 %'!E124)</f>
        <v/>
      </c>
      <c r="C124">
        <f>IF('COPY 20 %'!$A124="","",'COPY 20 %'!F124)</f>
        <v/>
      </c>
      <c r="D124" s="14">
        <f>IF('COPY 20 %'!$A124="","",'COPY 20 %'!I124)</f>
        <v/>
      </c>
      <c r="E124" s="7">
        <f>IF('COPY 20 %'!$A124="","",'COPY 20 %'!O124)</f>
        <v/>
      </c>
      <c r="F124" s="7">
        <f>IF('COPY 20 %'!$A124="","",'COPY 20 %'!L124)</f>
        <v/>
      </c>
      <c r="G124" s="7">
        <f>IF('COPY 20 %'!$A124="","",'COPY 20 %'!S124)</f>
        <v/>
      </c>
      <c r="H124">
        <f>IF('COPY 20 %'!$A124="","",'COPY 20 %'!P124)</f>
        <v/>
      </c>
      <c r="I124">
        <f>IF('COPY 20 %'!$A124="","",'COPY 20 %'!M124)</f>
        <v/>
      </c>
      <c r="J124" s="7">
        <f>IF('COPY 20 %'!$A124="","",'COPY 20 %'!Q124)</f>
        <v/>
      </c>
      <c r="K124" s="7">
        <f>IF('COPY 20 %'!$A124="","",'COPY 20 %'!H124)</f>
        <v/>
      </c>
      <c r="L124" s="7">
        <f>IF('COPY 20 %'!$A124="","",'COPY 20 %'!T124)</f>
        <v/>
      </c>
      <c r="M124">
        <f>IF('COPY 20 %'!$A124="","",'COPY 20 %'!G124)</f>
        <v/>
      </c>
    </row>
    <row r="125">
      <c r="A125">
        <f>IF('COPY 20 %'!$A125="","",ROWS($A$2:$A125))</f>
        <v/>
      </c>
      <c r="B125">
        <f>IF('COPY 20 %'!$A125="","",'COPY 20 %'!E125)</f>
        <v/>
      </c>
      <c r="C125">
        <f>IF('COPY 20 %'!$A125="","",'COPY 20 %'!F125)</f>
        <v/>
      </c>
      <c r="D125" s="14">
        <f>IF('COPY 20 %'!$A125="","",'COPY 20 %'!I125)</f>
        <v/>
      </c>
      <c r="E125" s="7">
        <f>IF('COPY 20 %'!$A125="","",'COPY 20 %'!O125)</f>
        <v/>
      </c>
      <c r="F125" s="7">
        <f>IF('COPY 20 %'!$A125="","",'COPY 20 %'!L125)</f>
        <v/>
      </c>
      <c r="G125" s="7">
        <f>IF('COPY 20 %'!$A125="","",'COPY 20 %'!S125)</f>
        <v/>
      </c>
      <c r="H125">
        <f>IF('COPY 20 %'!$A125="","",'COPY 20 %'!P125)</f>
        <v/>
      </c>
      <c r="I125">
        <f>IF('COPY 20 %'!$A125="","",'COPY 20 %'!M125)</f>
        <v/>
      </c>
      <c r="J125" s="7">
        <f>IF('COPY 20 %'!$A125="","",'COPY 20 %'!Q125)</f>
        <v/>
      </c>
      <c r="K125" s="7">
        <f>IF('COPY 20 %'!$A125="","",'COPY 20 %'!H125)</f>
        <v/>
      </c>
      <c r="L125" s="7">
        <f>IF('COPY 20 %'!$A125="","",'COPY 20 %'!T125)</f>
        <v/>
      </c>
      <c r="M125">
        <f>IF('COPY 20 %'!$A125="","",'COPY 20 %'!G125)</f>
        <v/>
      </c>
    </row>
    <row r="126">
      <c r="A126">
        <f>IF('COPY 20 %'!$A126="","",ROWS($A$2:$A126))</f>
        <v/>
      </c>
      <c r="B126">
        <f>IF('COPY 20 %'!$A126="","",'COPY 20 %'!E126)</f>
        <v/>
      </c>
      <c r="C126">
        <f>IF('COPY 20 %'!$A126="","",'COPY 20 %'!F126)</f>
        <v/>
      </c>
      <c r="D126" s="14">
        <f>IF('COPY 20 %'!$A126="","",'COPY 20 %'!I126)</f>
        <v/>
      </c>
      <c r="E126" s="7">
        <f>IF('COPY 20 %'!$A126="","",'COPY 20 %'!O126)</f>
        <v/>
      </c>
      <c r="F126" s="7">
        <f>IF('COPY 20 %'!$A126="","",'COPY 20 %'!L126)</f>
        <v/>
      </c>
      <c r="G126" s="7">
        <f>IF('COPY 20 %'!$A126="","",'COPY 20 %'!S126)</f>
        <v/>
      </c>
      <c r="H126">
        <f>IF('COPY 20 %'!$A126="","",'COPY 20 %'!P126)</f>
        <v/>
      </c>
      <c r="I126">
        <f>IF('COPY 20 %'!$A126="","",'COPY 20 %'!M126)</f>
        <v/>
      </c>
      <c r="J126" s="7">
        <f>IF('COPY 20 %'!$A126="","",'COPY 20 %'!Q126)</f>
        <v/>
      </c>
      <c r="K126" s="7">
        <f>IF('COPY 20 %'!$A126="","",'COPY 20 %'!H126)</f>
        <v/>
      </c>
      <c r="L126" s="7">
        <f>IF('COPY 20 %'!$A126="","",'COPY 20 %'!T126)</f>
        <v/>
      </c>
      <c r="M126">
        <f>IF('COPY 20 %'!$A126="","",'COPY 20 %'!G126)</f>
        <v/>
      </c>
    </row>
    <row r="127">
      <c r="A127">
        <f>IF('COPY 20 %'!$A127="","",ROWS($A$2:$A127))</f>
        <v/>
      </c>
      <c r="B127">
        <f>IF('COPY 20 %'!$A127="","",'COPY 20 %'!E127)</f>
        <v/>
      </c>
      <c r="C127">
        <f>IF('COPY 20 %'!$A127="","",'COPY 20 %'!F127)</f>
        <v/>
      </c>
      <c r="D127" s="14">
        <f>IF('COPY 20 %'!$A127="","",'COPY 20 %'!I127)</f>
        <v/>
      </c>
      <c r="E127" s="7">
        <f>IF('COPY 20 %'!$A127="","",'COPY 20 %'!O127)</f>
        <v/>
      </c>
      <c r="F127" s="7">
        <f>IF('COPY 20 %'!$A127="","",'COPY 20 %'!L127)</f>
        <v/>
      </c>
      <c r="G127" s="7">
        <f>IF('COPY 20 %'!$A127="","",'COPY 20 %'!S127)</f>
        <v/>
      </c>
      <c r="H127">
        <f>IF('COPY 20 %'!$A127="","",'COPY 20 %'!P127)</f>
        <v/>
      </c>
      <c r="I127">
        <f>IF('COPY 20 %'!$A127="","",'COPY 20 %'!M127)</f>
        <v/>
      </c>
      <c r="J127" s="7">
        <f>IF('COPY 20 %'!$A127="","",'COPY 20 %'!Q127)</f>
        <v/>
      </c>
      <c r="K127" s="7">
        <f>IF('COPY 20 %'!$A127="","",'COPY 20 %'!H127)</f>
        <v/>
      </c>
      <c r="L127" s="7">
        <f>IF('COPY 20 %'!$A127="","",'COPY 20 %'!T127)</f>
        <v/>
      </c>
      <c r="M127">
        <f>IF('COPY 20 %'!$A127="","",'COPY 20 %'!G127)</f>
        <v/>
      </c>
    </row>
    <row r="128">
      <c r="A128">
        <f>IF('COPY 20 %'!$A128="","",ROWS($A$2:$A128))</f>
        <v/>
      </c>
      <c r="B128">
        <f>IF('COPY 20 %'!$A128="","",'COPY 20 %'!E128)</f>
        <v/>
      </c>
      <c r="C128">
        <f>IF('COPY 20 %'!$A128="","",'COPY 20 %'!F128)</f>
        <v/>
      </c>
      <c r="D128" s="14">
        <f>IF('COPY 20 %'!$A128="","",'COPY 20 %'!I128)</f>
        <v/>
      </c>
      <c r="E128" s="7">
        <f>IF('COPY 20 %'!$A128="","",'COPY 20 %'!O128)</f>
        <v/>
      </c>
      <c r="F128" s="7">
        <f>IF('COPY 20 %'!$A128="","",'COPY 20 %'!L128)</f>
        <v/>
      </c>
      <c r="G128" s="7">
        <f>IF('COPY 20 %'!$A128="","",'COPY 20 %'!S128)</f>
        <v/>
      </c>
      <c r="H128">
        <f>IF('COPY 20 %'!$A128="","",'COPY 20 %'!P128)</f>
        <v/>
      </c>
      <c r="I128">
        <f>IF('COPY 20 %'!$A128="","",'COPY 20 %'!M128)</f>
        <v/>
      </c>
      <c r="J128" s="7">
        <f>IF('COPY 20 %'!$A128="","",'COPY 20 %'!Q128)</f>
        <v/>
      </c>
      <c r="K128" s="7">
        <f>IF('COPY 20 %'!$A128="","",'COPY 20 %'!H128)</f>
        <v/>
      </c>
      <c r="L128" s="7">
        <f>IF('COPY 20 %'!$A128="","",'COPY 20 %'!T128)</f>
        <v/>
      </c>
      <c r="M128">
        <f>IF('COPY 20 %'!$A128="","",'COPY 20 %'!G128)</f>
        <v/>
      </c>
    </row>
    <row r="129">
      <c r="A129">
        <f>IF('COPY 20 %'!$A129="","",ROWS($A$2:$A129))</f>
        <v/>
      </c>
      <c r="B129">
        <f>IF('COPY 20 %'!$A129="","",'COPY 20 %'!E129)</f>
        <v/>
      </c>
      <c r="C129">
        <f>IF('COPY 20 %'!$A129="","",'COPY 20 %'!F129)</f>
        <v/>
      </c>
      <c r="D129" s="14">
        <f>IF('COPY 20 %'!$A129="","",'COPY 20 %'!I129)</f>
        <v/>
      </c>
      <c r="E129" s="7">
        <f>IF('COPY 20 %'!$A129="","",'COPY 20 %'!O129)</f>
        <v/>
      </c>
      <c r="F129" s="7">
        <f>IF('COPY 20 %'!$A129="","",'COPY 20 %'!L129)</f>
        <v/>
      </c>
      <c r="G129" s="7">
        <f>IF('COPY 20 %'!$A129="","",'COPY 20 %'!S129)</f>
        <v/>
      </c>
      <c r="H129">
        <f>IF('COPY 20 %'!$A129="","",'COPY 20 %'!P129)</f>
        <v/>
      </c>
      <c r="I129">
        <f>IF('COPY 20 %'!$A129="","",'COPY 20 %'!M129)</f>
        <v/>
      </c>
      <c r="J129" s="7">
        <f>IF('COPY 20 %'!$A129="","",'COPY 20 %'!Q129)</f>
        <v/>
      </c>
      <c r="K129" s="7">
        <f>IF('COPY 20 %'!$A129="","",'COPY 20 %'!H129)</f>
        <v/>
      </c>
      <c r="L129" s="7">
        <f>IF('COPY 20 %'!$A129="","",'COPY 20 %'!T129)</f>
        <v/>
      </c>
      <c r="M129">
        <f>IF('COPY 20 %'!$A129="","",'COPY 20 %'!G129)</f>
        <v/>
      </c>
    </row>
    <row r="130">
      <c r="A130">
        <f>IF('COPY 20 %'!$A130="","",ROWS($A$2:$A130))</f>
        <v/>
      </c>
      <c r="B130">
        <f>IF('COPY 20 %'!$A130="","",'COPY 20 %'!E130)</f>
        <v/>
      </c>
      <c r="C130">
        <f>IF('COPY 20 %'!$A130="","",'COPY 20 %'!F130)</f>
        <v/>
      </c>
      <c r="D130" s="14">
        <f>IF('COPY 20 %'!$A130="","",'COPY 20 %'!I130)</f>
        <v/>
      </c>
      <c r="E130" s="7">
        <f>IF('COPY 20 %'!$A130="","",'COPY 20 %'!O130)</f>
        <v/>
      </c>
      <c r="F130" s="7">
        <f>IF('COPY 20 %'!$A130="","",'COPY 20 %'!L130)</f>
        <v/>
      </c>
      <c r="G130" s="7">
        <f>IF('COPY 20 %'!$A130="","",'COPY 20 %'!S130)</f>
        <v/>
      </c>
      <c r="H130">
        <f>IF('COPY 20 %'!$A130="","",'COPY 20 %'!P130)</f>
        <v/>
      </c>
      <c r="I130">
        <f>IF('COPY 20 %'!$A130="","",'COPY 20 %'!M130)</f>
        <v/>
      </c>
      <c r="J130" s="7">
        <f>IF('COPY 20 %'!$A130="","",'COPY 20 %'!Q130)</f>
        <v/>
      </c>
      <c r="K130" s="7">
        <f>IF('COPY 20 %'!$A130="","",'COPY 20 %'!H130)</f>
        <v/>
      </c>
      <c r="L130" s="7">
        <f>IF('COPY 20 %'!$A130="","",'COPY 20 %'!T130)</f>
        <v/>
      </c>
      <c r="M130">
        <f>IF('COPY 20 %'!$A130="","",'COPY 20 %'!G130)</f>
        <v/>
      </c>
    </row>
    <row r="131">
      <c r="A131">
        <f>IF('COPY 20 %'!$A131="","",ROWS($A$2:$A131))</f>
        <v/>
      </c>
      <c r="B131">
        <f>IF('COPY 20 %'!$A131="","",'COPY 20 %'!E131)</f>
        <v/>
      </c>
      <c r="C131">
        <f>IF('COPY 20 %'!$A131="","",'COPY 20 %'!F131)</f>
        <v/>
      </c>
      <c r="D131" s="14">
        <f>IF('COPY 20 %'!$A131="","",'COPY 20 %'!I131)</f>
        <v/>
      </c>
      <c r="E131" s="7">
        <f>IF('COPY 20 %'!$A131="","",'COPY 20 %'!O131)</f>
        <v/>
      </c>
      <c r="F131" s="7">
        <f>IF('COPY 20 %'!$A131="","",'COPY 20 %'!L131)</f>
        <v/>
      </c>
      <c r="G131" s="7">
        <f>IF('COPY 20 %'!$A131="","",'COPY 20 %'!S131)</f>
        <v/>
      </c>
      <c r="H131">
        <f>IF('COPY 20 %'!$A131="","",'COPY 20 %'!P131)</f>
        <v/>
      </c>
      <c r="I131">
        <f>IF('COPY 20 %'!$A131="","",'COPY 20 %'!M131)</f>
        <v/>
      </c>
      <c r="J131" s="7">
        <f>IF('COPY 20 %'!$A131="","",'COPY 20 %'!Q131)</f>
        <v/>
      </c>
      <c r="K131" s="7">
        <f>IF('COPY 20 %'!$A131="","",'COPY 20 %'!H131)</f>
        <v/>
      </c>
      <c r="L131" s="7">
        <f>IF('COPY 20 %'!$A131="","",'COPY 20 %'!T131)</f>
        <v/>
      </c>
      <c r="M131">
        <f>IF('COPY 20 %'!$A131="","",'COPY 20 %'!G131)</f>
        <v/>
      </c>
    </row>
    <row r="132">
      <c r="A132">
        <f>IF('COPY 20 %'!$A132="","",ROWS($A$2:$A132))</f>
        <v/>
      </c>
      <c r="B132">
        <f>IF('COPY 20 %'!$A132="","",'COPY 20 %'!E132)</f>
        <v/>
      </c>
      <c r="C132">
        <f>IF('COPY 20 %'!$A132="","",'COPY 20 %'!F132)</f>
        <v/>
      </c>
      <c r="D132" s="14">
        <f>IF('COPY 20 %'!$A132="","",'COPY 20 %'!I132)</f>
        <v/>
      </c>
      <c r="E132" s="7">
        <f>IF('COPY 20 %'!$A132="","",'COPY 20 %'!O132)</f>
        <v/>
      </c>
      <c r="F132" s="7">
        <f>IF('COPY 20 %'!$A132="","",'COPY 20 %'!L132)</f>
        <v/>
      </c>
      <c r="G132" s="7">
        <f>IF('COPY 20 %'!$A132="","",'COPY 20 %'!S132)</f>
        <v/>
      </c>
      <c r="H132">
        <f>IF('COPY 20 %'!$A132="","",'COPY 20 %'!P132)</f>
        <v/>
      </c>
      <c r="I132">
        <f>IF('COPY 20 %'!$A132="","",'COPY 20 %'!M132)</f>
        <v/>
      </c>
      <c r="J132" s="7">
        <f>IF('COPY 20 %'!$A132="","",'COPY 20 %'!Q132)</f>
        <v/>
      </c>
      <c r="K132" s="7">
        <f>IF('COPY 20 %'!$A132="","",'COPY 20 %'!H132)</f>
        <v/>
      </c>
      <c r="L132" s="7">
        <f>IF('COPY 20 %'!$A132="","",'COPY 20 %'!T132)</f>
        <v/>
      </c>
      <c r="M132">
        <f>IF('COPY 20 %'!$A132="","",'COPY 20 %'!G132)</f>
        <v/>
      </c>
    </row>
    <row r="133">
      <c r="A133">
        <f>IF('COPY 20 %'!$A133="","",ROWS($A$2:$A133))</f>
        <v/>
      </c>
      <c r="B133">
        <f>IF('COPY 20 %'!$A133="","",'COPY 20 %'!E133)</f>
        <v/>
      </c>
      <c r="C133">
        <f>IF('COPY 20 %'!$A133="","",'COPY 20 %'!F133)</f>
        <v/>
      </c>
      <c r="D133" s="14">
        <f>IF('COPY 20 %'!$A133="","",'COPY 20 %'!I133)</f>
        <v/>
      </c>
      <c r="E133" s="7">
        <f>IF('COPY 20 %'!$A133="","",'COPY 20 %'!O133)</f>
        <v/>
      </c>
      <c r="F133" s="7">
        <f>IF('COPY 20 %'!$A133="","",'COPY 20 %'!L133)</f>
        <v/>
      </c>
      <c r="G133" s="7">
        <f>IF('COPY 20 %'!$A133="","",'COPY 20 %'!S133)</f>
        <v/>
      </c>
      <c r="H133">
        <f>IF('COPY 20 %'!$A133="","",'COPY 20 %'!P133)</f>
        <v/>
      </c>
      <c r="I133">
        <f>IF('COPY 20 %'!$A133="","",'COPY 20 %'!M133)</f>
        <v/>
      </c>
      <c r="J133" s="7">
        <f>IF('COPY 20 %'!$A133="","",'COPY 20 %'!Q133)</f>
        <v/>
      </c>
      <c r="K133" s="7">
        <f>IF('COPY 20 %'!$A133="","",'COPY 20 %'!H133)</f>
        <v/>
      </c>
      <c r="L133" s="7">
        <f>IF('COPY 20 %'!$A133="","",'COPY 20 %'!T133)</f>
        <v/>
      </c>
      <c r="M133">
        <f>IF('COPY 20 %'!$A133="","",'COPY 20 %'!G133)</f>
        <v/>
      </c>
    </row>
    <row r="134">
      <c r="A134">
        <f>IF('COPY 20 %'!$A134="","",ROWS($A$2:$A134))</f>
        <v/>
      </c>
      <c r="B134">
        <f>IF('COPY 20 %'!$A134="","",'COPY 20 %'!E134)</f>
        <v/>
      </c>
      <c r="C134">
        <f>IF('COPY 20 %'!$A134="","",'COPY 20 %'!F134)</f>
        <v/>
      </c>
      <c r="D134" s="14">
        <f>IF('COPY 20 %'!$A134="","",'COPY 20 %'!I134)</f>
        <v/>
      </c>
      <c r="E134" s="7">
        <f>IF('COPY 20 %'!$A134="","",'COPY 20 %'!O134)</f>
        <v/>
      </c>
      <c r="F134" s="7">
        <f>IF('COPY 20 %'!$A134="","",'COPY 20 %'!L134)</f>
        <v/>
      </c>
      <c r="G134" s="7">
        <f>IF('COPY 20 %'!$A134="","",'COPY 20 %'!S134)</f>
        <v/>
      </c>
      <c r="H134">
        <f>IF('COPY 20 %'!$A134="","",'COPY 20 %'!P134)</f>
        <v/>
      </c>
      <c r="I134">
        <f>IF('COPY 20 %'!$A134="","",'COPY 20 %'!M134)</f>
        <v/>
      </c>
      <c r="J134" s="7">
        <f>IF('COPY 20 %'!$A134="","",'COPY 20 %'!Q134)</f>
        <v/>
      </c>
      <c r="K134" s="7">
        <f>IF('COPY 20 %'!$A134="","",'COPY 20 %'!H134)</f>
        <v/>
      </c>
      <c r="L134" s="7">
        <f>IF('COPY 20 %'!$A134="","",'COPY 20 %'!T134)</f>
        <v/>
      </c>
      <c r="M134">
        <f>IF('COPY 20 %'!$A134="","",'COPY 20 %'!G134)</f>
        <v/>
      </c>
    </row>
    <row r="135">
      <c r="A135">
        <f>IF('COPY 20 %'!$A135="","",ROWS($A$2:$A135))</f>
        <v/>
      </c>
      <c r="B135">
        <f>IF('COPY 20 %'!$A135="","",'COPY 20 %'!E135)</f>
        <v/>
      </c>
      <c r="C135">
        <f>IF('COPY 20 %'!$A135="","",'COPY 20 %'!F135)</f>
        <v/>
      </c>
      <c r="D135" s="14">
        <f>IF('COPY 20 %'!$A135="","",'COPY 20 %'!I135)</f>
        <v/>
      </c>
      <c r="E135" s="7">
        <f>IF('COPY 20 %'!$A135="","",'COPY 20 %'!O135)</f>
        <v/>
      </c>
      <c r="F135" s="7">
        <f>IF('COPY 20 %'!$A135="","",'COPY 20 %'!L135)</f>
        <v/>
      </c>
      <c r="G135" s="7">
        <f>IF('COPY 20 %'!$A135="","",'COPY 20 %'!S135)</f>
        <v/>
      </c>
      <c r="H135">
        <f>IF('COPY 20 %'!$A135="","",'COPY 20 %'!P135)</f>
        <v/>
      </c>
      <c r="I135">
        <f>IF('COPY 20 %'!$A135="","",'COPY 20 %'!M135)</f>
        <v/>
      </c>
      <c r="J135" s="7">
        <f>IF('COPY 20 %'!$A135="","",'COPY 20 %'!Q135)</f>
        <v/>
      </c>
      <c r="K135" s="7">
        <f>IF('COPY 20 %'!$A135="","",'COPY 20 %'!H135)</f>
        <v/>
      </c>
      <c r="L135" s="7">
        <f>IF('COPY 20 %'!$A135="","",'COPY 20 %'!T135)</f>
        <v/>
      </c>
      <c r="M135">
        <f>IF('COPY 20 %'!$A135="","",'COPY 20 %'!G135)</f>
        <v/>
      </c>
    </row>
    <row r="136">
      <c r="A136">
        <f>IF('COPY 20 %'!$A136="","",ROWS($A$2:$A136))</f>
        <v/>
      </c>
      <c r="B136">
        <f>IF('COPY 20 %'!$A136="","",'COPY 20 %'!E136)</f>
        <v/>
      </c>
      <c r="C136">
        <f>IF('COPY 20 %'!$A136="","",'COPY 20 %'!F136)</f>
        <v/>
      </c>
      <c r="D136" s="14">
        <f>IF('COPY 20 %'!$A136="","",'COPY 20 %'!I136)</f>
        <v/>
      </c>
      <c r="E136" s="7">
        <f>IF('COPY 20 %'!$A136="","",'COPY 20 %'!O136)</f>
        <v/>
      </c>
      <c r="F136" s="7">
        <f>IF('COPY 20 %'!$A136="","",'COPY 20 %'!L136)</f>
        <v/>
      </c>
      <c r="G136" s="7">
        <f>IF('COPY 20 %'!$A136="","",'COPY 20 %'!S136)</f>
        <v/>
      </c>
      <c r="H136">
        <f>IF('COPY 20 %'!$A136="","",'COPY 20 %'!P136)</f>
        <v/>
      </c>
      <c r="I136">
        <f>IF('COPY 20 %'!$A136="","",'COPY 20 %'!M136)</f>
        <v/>
      </c>
      <c r="J136" s="7">
        <f>IF('COPY 20 %'!$A136="","",'COPY 20 %'!Q136)</f>
        <v/>
      </c>
      <c r="K136" s="7">
        <f>IF('COPY 20 %'!$A136="","",'COPY 20 %'!H136)</f>
        <v/>
      </c>
      <c r="L136" s="7">
        <f>IF('COPY 20 %'!$A136="","",'COPY 20 %'!T136)</f>
        <v/>
      </c>
      <c r="M136">
        <f>IF('COPY 20 %'!$A136="","",'COPY 20 %'!G136)</f>
        <v/>
      </c>
    </row>
    <row r="137">
      <c r="A137">
        <f>IF('COPY 20 %'!$A137="","",ROWS($A$2:$A137))</f>
        <v/>
      </c>
      <c r="B137">
        <f>IF('COPY 20 %'!$A137="","",'COPY 20 %'!E137)</f>
        <v/>
      </c>
      <c r="C137">
        <f>IF('COPY 20 %'!$A137="","",'COPY 20 %'!F137)</f>
        <v/>
      </c>
      <c r="D137" s="14">
        <f>IF('COPY 20 %'!$A137="","",'COPY 20 %'!I137)</f>
        <v/>
      </c>
      <c r="E137" s="7">
        <f>IF('COPY 20 %'!$A137="","",'COPY 20 %'!O137)</f>
        <v/>
      </c>
      <c r="F137" s="7">
        <f>IF('COPY 20 %'!$A137="","",'COPY 20 %'!L137)</f>
        <v/>
      </c>
      <c r="G137" s="7">
        <f>IF('COPY 20 %'!$A137="","",'COPY 20 %'!S137)</f>
        <v/>
      </c>
      <c r="H137">
        <f>IF('COPY 20 %'!$A137="","",'COPY 20 %'!P137)</f>
        <v/>
      </c>
      <c r="I137">
        <f>IF('COPY 20 %'!$A137="","",'COPY 20 %'!M137)</f>
        <v/>
      </c>
      <c r="J137" s="7">
        <f>IF('COPY 20 %'!$A137="","",'COPY 20 %'!Q137)</f>
        <v/>
      </c>
      <c r="K137" s="7">
        <f>IF('COPY 20 %'!$A137="","",'COPY 20 %'!H137)</f>
        <v/>
      </c>
      <c r="L137" s="7">
        <f>IF('COPY 20 %'!$A137="","",'COPY 20 %'!T137)</f>
        <v/>
      </c>
      <c r="M137">
        <f>IF('COPY 20 %'!$A137="","",'COPY 20 %'!G137)</f>
        <v/>
      </c>
    </row>
    <row r="138">
      <c r="A138">
        <f>IF('COPY 20 %'!$A138="","",ROWS($A$2:$A138))</f>
        <v/>
      </c>
      <c r="B138">
        <f>IF('COPY 20 %'!$A138="","",'COPY 20 %'!E138)</f>
        <v/>
      </c>
      <c r="C138">
        <f>IF('COPY 20 %'!$A138="","",'COPY 20 %'!F138)</f>
        <v/>
      </c>
      <c r="D138" s="14">
        <f>IF('COPY 20 %'!$A138="","",'COPY 20 %'!I138)</f>
        <v/>
      </c>
      <c r="E138" s="7">
        <f>IF('COPY 20 %'!$A138="","",'COPY 20 %'!O138)</f>
        <v/>
      </c>
      <c r="F138" s="7">
        <f>IF('COPY 20 %'!$A138="","",'COPY 20 %'!L138)</f>
        <v/>
      </c>
      <c r="G138" s="7">
        <f>IF('COPY 20 %'!$A138="","",'COPY 20 %'!S138)</f>
        <v/>
      </c>
      <c r="H138">
        <f>IF('COPY 20 %'!$A138="","",'COPY 20 %'!P138)</f>
        <v/>
      </c>
      <c r="I138">
        <f>IF('COPY 20 %'!$A138="","",'COPY 20 %'!M138)</f>
        <v/>
      </c>
      <c r="J138" s="7">
        <f>IF('COPY 20 %'!$A138="","",'COPY 20 %'!Q138)</f>
        <v/>
      </c>
      <c r="K138" s="7">
        <f>IF('COPY 20 %'!$A138="","",'COPY 20 %'!H138)</f>
        <v/>
      </c>
      <c r="L138" s="7">
        <f>IF('COPY 20 %'!$A138="","",'COPY 20 %'!T138)</f>
        <v/>
      </c>
      <c r="M138">
        <f>IF('COPY 20 %'!$A138="","",'COPY 20 %'!G138)</f>
        <v/>
      </c>
    </row>
    <row r="139">
      <c r="A139">
        <f>IF('COPY 20 %'!$A139="","",ROWS($A$2:$A139))</f>
        <v/>
      </c>
      <c r="B139">
        <f>IF('COPY 20 %'!$A139="","",'COPY 20 %'!E139)</f>
        <v/>
      </c>
      <c r="C139">
        <f>IF('COPY 20 %'!$A139="","",'COPY 20 %'!F139)</f>
        <v/>
      </c>
      <c r="D139" s="14">
        <f>IF('COPY 20 %'!$A139="","",'COPY 20 %'!I139)</f>
        <v/>
      </c>
      <c r="E139" s="7">
        <f>IF('COPY 20 %'!$A139="","",'COPY 20 %'!O139)</f>
        <v/>
      </c>
      <c r="F139" s="7">
        <f>IF('COPY 20 %'!$A139="","",'COPY 20 %'!L139)</f>
        <v/>
      </c>
      <c r="G139" s="7">
        <f>IF('COPY 20 %'!$A139="","",'COPY 20 %'!S139)</f>
        <v/>
      </c>
      <c r="H139">
        <f>IF('COPY 20 %'!$A139="","",'COPY 20 %'!P139)</f>
        <v/>
      </c>
      <c r="I139">
        <f>IF('COPY 20 %'!$A139="","",'COPY 20 %'!M139)</f>
        <v/>
      </c>
      <c r="J139" s="7">
        <f>IF('COPY 20 %'!$A139="","",'COPY 20 %'!Q139)</f>
        <v/>
      </c>
      <c r="K139" s="7">
        <f>IF('COPY 20 %'!$A139="","",'COPY 20 %'!H139)</f>
        <v/>
      </c>
      <c r="L139" s="7">
        <f>IF('COPY 20 %'!$A139="","",'COPY 20 %'!T139)</f>
        <v/>
      </c>
      <c r="M139">
        <f>IF('COPY 20 %'!$A139="","",'COPY 20 %'!G139)</f>
        <v/>
      </c>
    </row>
    <row r="140">
      <c r="A140">
        <f>IF('COPY 20 %'!$A140="","",ROWS($A$2:$A140))</f>
        <v/>
      </c>
      <c r="B140">
        <f>IF('COPY 20 %'!$A140="","",'COPY 20 %'!E140)</f>
        <v/>
      </c>
      <c r="C140">
        <f>IF('COPY 20 %'!$A140="","",'COPY 20 %'!F140)</f>
        <v/>
      </c>
      <c r="D140" s="14">
        <f>IF('COPY 20 %'!$A140="","",'COPY 20 %'!I140)</f>
        <v/>
      </c>
      <c r="E140" s="7">
        <f>IF('COPY 20 %'!$A140="","",'COPY 20 %'!O140)</f>
        <v/>
      </c>
      <c r="F140" s="7">
        <f>IF('COPY 20 %'!$A140="","",'COPY 20 %'!L140)</f>
        <v/>
      </c>
      <c r="G140" s="7">
        <f>IF('COPY 20 %'!$A140="","",'COPY 20 %'!S140)</f>
        <v/>
      </c>
      <c r="H140">
        <f>IF('COPY 20 %'!$A140="","",'COPY 20 %'!P140)</f>
        <v/>
      </c>
      <c r="I140">
        <f>IF('COPY 20 %'!$A140="","",'COPY 20 %'!M140)</f>
        <v/>
      </c>
      <c r="J140" s="7">
        <f>IF('COPY 20 %'!$A140="","",'COPY 20 %'!Q140)</f>
        <v/>
      </c>
      <c r="K140" s="7">
        <f>IF('COPY 20 %'!$A140="","",'COPY 20 %'!H140)</f>
        <v/>
      </c>
      <c r="L140" s="7">
        <f>IF('COPY 20 %'!$A140="","",'COPY 20 %'!T140)</f>
        <v/>
      </c>
      <c r="M140">
        <f>IF('COPY 20 %'!$A140="","",'COPY 20 %'!G140)</f>
        <v/>
      </c>
    </row>
    <row r="141">
      <c r="A141">
        <f>IF('COPY 20 %'!$A141="","",ROWS($A$2:$A141))</f>
        <v/>
      </c>
      <c r="B141">
        <f>IF('COPY 20 %'!$A141="","",'COPY 20 %'!E141)</f>
        <v/>
      </c>
      <c r="C141">
        <f>IF('COPY 20 %'!$A141="","",'COPY 20 %'!F141)</f>
        <v/>
      </c>
      <c r="D141" s="14">
        <f>IF('COPY 20 %'!$A141="","",'COPY 20 %'!I141)</f>
        <v/>
      </c>
      <c r="E141" s="7">
        <f>IF('COPY 20 %'!$A141="","",'COPY 20 %'!O141)</f>
        <v/>
      </c>
      <c r="F141" s="7">
        <f>IF('COPY 20 %'!$A141="","",'COPY 20 %'!L141)</f>
        <v/>
      </c>
      <c r="G141" s="7">
        <f>IF('COPY 20 %'!$A141="","",'COPY 20 %'!S141)</f>
        <v/>
      </c>
      <c r="H141">
        <f>IF('COPY 20 %'!$A141="","",'COPY 20 %'!P141)</f>
        <v/>
      </c>
      <c r="I141">
        <f>IF('COPY 20 %'!$A141="","",'COPY 20 %'!M141)</f>
        <v/>
      </c>
      <c r="J141" s="7">
        <f>IF('COPY 20 %'!$A141="","",'COPY 20 %'!Q141)</f>
        <v/>
      </c>
      <c r="K141" s="7">
        <f>IF('COPY 20 %'!$A141="","",'COPY 20 %'!H141)</f>
        <v/>
      </c>
      <c r="L141" s="7">
        <f>IF('COPY 20 %'!$A141="","",'COPY 20 %'!T141)</f>
        <v/>
      </c>
      <c r="M141">
        <f>IF('COPY 20 %'!$A141="","",'COPY 20 %'!G141)</f>
        <v/>
      </c>
    </row>
    <row r="142">
      <c r="A142">
        <f>IF('COPY 20 %'!$A142="","",ROWS($A$2:$A142))</f>
        <v/>
      </c>
      <c r="B142">
        <f>IF('COPY 20 %'!$A142="","",'COPY 20 %'!E142)</f>
        <v/>
      </c>
      <c r="C142">
        <f>IF('COPY 20 %'!$A142="","",'COPY 20 %'!F142)</f>
        <v/>
      </c>
      <c r="D142" s="14">
        <f>IF('COPY 20 %'!$A142="","",'COPY 20 %'!I142)</f>
        <v/>
      </c>
      <c r="E142" s="7">
        <f>IF('COPY 20 %'!$A142="","",'COPY 20 %'!O142)</f>
        <v/>
      </c>
      <c r="F142" s="7">
        <f>IF('COPY 20 %'!$A142="","",'COPY 20 %'!L142)</f>
        <v/>
      </c>
      <c r="G142" s="7">
        <f>IF('COPY 20 %'!$A142="","",'COPY 20 %'!S142)</f>
        <v/>
      </c>
      <c r="H142">
        <f>IF('COPY 20 %'!$A142="","",'COPY 20 %'!P142)</f>
        <v/>
      </c>
      <c r="I142">
        <f>IF('COPY 20 %'!$A142="","",'COPY 20 %'!M142)</f>
        <v/>
      </c>
      <c r="J142" s="7">
        <f>IF('COPY 20 %'!$A142="","",'COPY 20 %'!Q142)</f>
        <v/>
      </c>
      <c r="K142" s="7">
        <f>IF('COPY 20 %'!$A142="","",'COPY 20 %'!H142)</f>
        <v/>
      </c>
      <c r="L142" s="7">
        <f>IF('COPY 20 %'!$A142="","",'COPY 20 %'!T142)</f>
        <v/>
      </c>
      <c r="M142">
        <f>IF('COPY 20 %'!$A142="","",'COPY 20 %'!G142)</f>
        <v/>
      </c>
    </row>
    <row r="143">
      <c r="A143">
        <f>IF('COPY 20 %'!$A143="","",ROWS($A$2:$A143))</f>
        <v/>
      </c>
      <c r="B143">
        <f>IF('COPY 20 %'!$A143="","",'COPY 20 %'!E143)</f>
        <v/>
      </c>
      <c r="C143">
        <f>IF('COPY 20 %'!$A143="","",'COPY 20 %'!F143)</f>
        <v/>
      </c>
      <c r="D143" s="14">
        <f>IF('COPY 20 %'!$A143="","",'COPY 20 %'!I143)</f>
        <v/>
      </c>
      <c r="E143" s="7">
        <f>IF('COPY 20 %'!$A143="","",'COPY 20 %'!O143)</f>
        <v/>
      </c>
      <c r="F143" s="7">
        <f>IF('COPY 20 %'!$A143="","",'COPY 20 %'!L143)</f>
        <v/>
      </c>
      <c r="G143" s="7">
        <f>IF('COPY 20 %'!$A143="","",'COPY 20 %'!S143)</f>
        <v/>
      </c>
      <c r="H143">
        <f>IF('COPY 20 %'!$A143="","",'COPY 20 %'!P143)</f>
        <v/>
      </c>
      <c r="I143">
        <f>IF('COPY 20 %'!$A143="","",'COPY 20 %'!M143)</f>
        <v/>
      </c>
      <c r="J143" s="7">
        <f>IF('COPY 20 %'!$A143="","",'COPY 20 %'!Q143)</f>
        <v/>
      </c>
      <c r="K143" s="7">
        <f>IF('COPY 20 %'!$A143="","",'COPY 20 %'!H143)</f>
        <v/>
      </c>
      <c r="L143" s="7">
        <f>IF('COPY 20 %'!$A143="","",'COPY 20 %'!T143)</f>
        <v/>
      </c>
      <c r="M143">
        <f>IF('COPY 20 %'!$A143="","",'COPY 20 %'!G143)</f>
        <v/>
      </c>
    </row>
    <row r="144">
      <c r="A144">
        <f>IF('COPY 20 %'!$A144="","",ROWS($A$2:$A144))</f>
        <v/>
      </c>
      <c r="B144">
        <f>IF('COPY 20 %'!$A144="","",'COPY 20 %'!E144)</f>
        <v/>
      </c>
      <c r="C144">
        <f>IF('COPY 20 %'!$A144="","",'COPY 20 %'!F144)</f>
        <v/>
      </c>
      <c r="D144" s="14">
        <f>IF('COPY 20 %'!$A144="","",'COPY 20 %'!I144)</f>
        <v/>
      </c>
      <c r="E144" s="7">
        <f>IF('COPY 20 %'!$A144="","",'COPY 20 %'!O144)</f>
        <v/>
      </c>
      <c r="F144" s="7">
        <f>IF('COPY 20 %'!$A144="","",'COPY 20 %'!L144)</f>
        <v/>
      </c>
      <c r="G144" s="7">
        <f>IF('COPY 20 %'!$A144="","",'COPY 20 %'!S144)</f>
        <v/>
      </c>
      <c r="H144">
        <f>IF('COPY 20 %'!$A144="","",'COPY 20 %'!P144)</f>
        <v/>
      </c>
      <c r="I144">
        <f>IF('COPY 20 %'!$A144="","",'COPY 20 %'!M144)</f>
        <v/>
      </c>
      <c r="J144" s="7">
        <f>IF('COPY 20 %'!$A144="","",'COPY 20 %'!Q144)</f>
        <v/>
      </c>
      <c r="K144" s="7">
        <f>IF('COPY 20 %'!$A144="","",'COPY 20 %'!H144)</f>
        <v/>
      </c>
      <c r="L144" s="7">
        <f>IF('COPY 20 %'!$A144="","",'COPY 20 %'!T144)</f>
        <v/>
      </c>
      <c r="M144">
        <f>IF('COPY 20 %'!$A144="","",'COPY 20 %'!G144)</f>
        <v/>
      </c>
    </row>
    <row r="145">
      <c r="A145">
        <f>IF('COPY 20 %'!$A145="","",ROWS($A$2:$A145))</f>
        <v/>
      </c>
      <c r="B145">
        <f>IF('COPY 20 %'!$A145="","",'COPY 20 %'!E145)</f>
        <v/>
      </c>
      <c r="C145">
        <f>IF('COPY 20 %'!$A145="","",'COPY 20 %'!F145)</f>
        <v/>
      </c>
      <c r="D145" s="14">
        <f>IF('COPY 20 %'!$A145="","",'COPY 20 %'!I145)</f>
        <v/>
      </c>
      <c r="E145" s="7">
        <f>IF('COPY 20 %'!$A145="","",'COPY 20 %'!O145)</f>
        <v/>
      </c>
      <c r="F145" s="7">
        <f>IF('COPY 20 %'!$A145="","",'COPY 20 %'!L145)</f>
        <v/>
      </c>
      <c r="G145" s="7">
        <f>IF('COPY 20 %'!$A145="","",'COPY 20 %'!S145)</f>
        <v/>
      </c>
      <c r="H145">
        <f>IF('COPY 20 %'!$A145="","",'COPY 20 %'!P145)</f>
        <v/>
      </c>
      <c r="I145">
        <f>IF('COPY 20 %'!$A145="","",'COPY 20 %'!M145)</f>
        <v/>
      </c>
      <c r="J145" s="7">
        <f>IF('COPY 20 %'!$A145="","",'COPY 20 %'!Q145)</f>
        <v/>
      </c>
      <c r="K145" s="7">
        <f>IF('COPY 20 %'!$A145="","",'COPY 20 %'!H145)</f>
        <v/>
      </c>
      <c r="L145" s="7">
        <f>IF('COPY 20 %'!$A145="","",'COPY 20 %'!T145)</f>
        <v/>
      </c>
      <c r="M145">
        <f>IF('COPY 20 %'!$A145="","",'COPY 20 %'!G145)</f>
        <v/>
      </c>
    </row>
    <row r="146">
      <c r="A146">
        <f>IF('COPY 20 %'!$A146="","",ROWS($A$2:$A146))</f>
        <v/>
      </c>
      <c r="B146">
        <f>IF('COPY 20 %'!$A146="","",'COPY 20 %'!E146)</f>
        <v/>
      </c>
      <c r="C146">
        <f>IF('COPY 20 %'!$A146="","",'COPY 20 %'!F146)</f>
        <v/>
      </c>
      <c r="D146" s="14">
        <f>IF('COPY 20 %'!$A146="","",'COPY 20 %'!I146)</f>
        <v/>
      </c>
      <c r="E146" s="7">
        <f>IF('COPY 20 %'!$A146="","",'COPY 20 %'!O146)</f>
        <v/>
      </c>
      <c r="F146" s="7">
        <f>IF('COPY 20 %'!$A146="","",'COPY 20 %'!L146)</f>
        <v/>
      </c>
      <c r="G146" s="7">
        <f>IF('COPY 20 %'!$A146="","",'COPY 20 %'!S146)</f>
        <v/>
      </c>
      <c r="H146">
        <f>IF('COPY 20 %'!$A146="","",'COPY 20 %'!P146)</f>
        <v/>
      </c>
      <c r="I146">
        <f>IF('COPY 20 %'!$A146="","",'COPY 20 %'!M146)</f>
        <v/>
      </c>
      <c r="J146" s="7">
        <f>IF('COPY 20 %'!$A146="","",'COPY 20 %'!Q146)</f>
        <v/>
      </c>
      <c r="K146" s="7">
        <f>IF('COPY 20 %'!$A146="","",'COPY 20 %'!H146)</f>
        <v/>
      </c>
      <c r="L146" s="7">
        <f>IF('COPY 20 %'!$A146="","",'COPY 20 %'!T146)</f>
        <v/>
      </c>
      <c r="M146">
        <f>IF('COPY 20 %'!$A146="","",'COPY 20 %'!G146)</f>
        <v/>
      </c>
    </row>
    <row r="147">
      <c r="A147">
        <f>IF('COPY 20 %'!$A147="","",ROWS($A$2:$A147))</f>
        <v/>
      </c>
      <c r="B147">
        <f>IF('COPY 20 %'!$A147="","",'COPY 20 %'!E147)</f>
        <v/>
      </c>
      <c r="C147">
        <f>IF('COPY 20 %'!$A147="","",'COPY 20 %'!F147)</f>
        <v/>
      </c>
      <c r="D147" s="14">
        <f>IF('COPY 20 %'!$A147="","",'COPY 20 %'!I147)</f>
        <v/>
      </c>
      <c r="E147" s="7">
        <f>IF('COPY 20 %'!$A147="","",'COPY 20 %'!O147)</f>
        <v/>
      </c>
      <c r="F147" s="7">
        <f>IF('COPY 20 %'!$A147="","",'COPY 20 %'!L147)</f>
        <v/>
      </c>
      <c r="G147" s="7">
        <f>IF('COPY 20 %'!$A147="","",'COPY 20 %'!S147)</f>
        <v/>
      </c>
      <c r="H147">
        <f>IF('COPY 20 %'!$A147="","",'COPY 20 %'!P147)</f>
        <v/>
      </c>
      <c r="I147">
        <f>IF('COPY 20 %'!$A147="","",'COPY 20 %'!M147)</f>
        <v/>
      </c>
      <c r="J147" s="7">
        <f>IF('COPY 20 %'!$A147="","",'COPY 20 %'!Q147)</f>
        <v/>
      </c>
      <c r="K147" s="7">
        <f>IF('COPY 20 %'!$A147="","",'COPY 20 %'!H147)</f>
        <v/>
      </c>
      <c r="L147" s="7">
        <f>IF('COPY 20 %'!$A147="","",'COPY 20 %'!T147)</f>
        <v/>
      </c>
      <c r="M147">
        <f>IF('COPY 20 %'!$A147="","",'COPY 20 %'!G147)</f>
        <v/>
      </c>
    </row>
    <row r="148">
      <c r="A148">
        <f>IF('COPY 20 %'!$A148="","",ROWS($A$2:$A148))</f>
        <v/>
      </c>
      <c r="B148">
        <f>IF('COPY 20 %'!$A148="","",'COPY 20 %'!E148)</f>
        <v/>
      </c>
      <c r="C148">
        <f>IF('COPY 20 %'!$A148="","",'COPY 20 %'!F148)</f>
        <v/>
      </c>
      <c r="D148" s="14">
        <f>IF('COPY 20 %'!$A148="","",'COPY 20 %'!I148)</f>
        <v/>
      </c>
      <c r="E148" s="7">
        <f>IF('COPY 20 %'!$A148="","",'COPY 20 %'!O148)</f>
        <v/>
      </c>
      <c r="F148" s="7">
        <f>IF('COPY 20 %'!$A148="","",'COPY 20 %'!L148)</f>
        <v/>
      </c>
      <c r="G148" s="7">
        <f>IF('COPY 20 %'!$A148="","",'COPY 20 %'!S148)</f>
        <v/>
      </c>
      <c r="H148">
        <f>IF('COPY 20 %'!$A148="","",'COPY 20 %'!P148)</f>
        <v/>
      </c>
      <c r="I148">
        <f>IF('COPY 20 %'!$A148="","",'COPY 20 %'!M148)</f>
        <v/>
      </c>
      <c r="J148" s="7">
        <f>IF('COPY 20 %'!$A148="","",'COPY 20 %'!Q148)</f>
        <v/>
      </c>
      <c r="K148" s="7">
        <f>IF('COPY 20 %'!$A148="","",'COPY 20 %'!H148)</f>
        <v/>
      </c>
      <c r="L148" s="7">
        <f>IF('COPY 20 %'!$A148="","",'COPY 20 %'!T148)</f>
        <v/>
      </c>
      <c r="M148">
        <f>IF('COPY 20 %'!$A148="","",'COPY 20 %'!G148)</f>
        <v/>
      </c>
    </row>
    <row r="149">
      <c r="A149">
        <f>IF('COPY 20 %'!$A149="","",ROWS($A$2:$A149))</f>
        <v/>
      </c>
      <c r="B149">
        <f>IF('COPY 20 %'!$A149="","",'COPY 20 %'!E149)</f>
        <v/>
      </c>
      <c r="C149">
        <f>IF('COPY 20 %'!$A149="","",'COPY 20 %'!F149)</f>
        <v/>
      </c>
      <c r="D149" s="14">
        <f>IF('COPY 20 %'!$A149="","",'COPY 20 %'!I149)</f>
        <v/>
      </c>
      <c r="E149" s="7">
        <f>IF('COPY 20 %'!$A149="","",'COPY 20 %'!O149)</f>
        <v/>
      </c>
      <c r="F149" s="7">
        <f>IF('COPY 20 %'!$A149="","",'COPY 20 %'!L149)</f>
        <v/>
      </c>
      <c r="G149" s="7">
        <f>IF('COPY 20 %'!$A149="","",'COPY 20 %'!S149)</f>
        <v/>
      </c>
      <c r="H149">
        <f>IF('COPY 20 %'!$A149="","",'COPY 20 %'!P149)</f>
        <v/>
      </c>
      <c r="I149">
        <f>IF('COPY 20 %'!$A149="","",'COPY 20 %'!M149)</f>
        <v/>
      </c>
      <c r="J149" s="7">
        <f>IF('COPY 20 %'!$A149="","",'COPY 20 %'!Q149)</f>
        <v/>
      </c>
      <c r="K149" s="7">
        <f>IF('COPY 20 %'!$A149="","",'COPY 20 %'!H149)</f>
        <v/>
      </c>
      <c r="L149" s="7">
        <f>IF('COPY 20 %'!$A149="","",'COPY 20 %'!T149)</f>
        <v/>
      </c>
      <c r="M149">
        <f>IF('COPY 20 %'!$A149="","",'COPY 20 %'!G149)</f>
        <v/>
      </c>
    </row>
    <row r="150">
      <c r="A150">
        <f>IF('COPY 20 %'!$A150="","",ROWS($A$2:$A150))</f>
        <v/>
      </c>
      <c r="B150">
        <f>IF('COPY 20 %'!$A150="","",'COPY 20 %'!E150)</f>
        <v/>
      </c>
      <c r="C150">
        <f>IF('COPY 20 %'!$A150="","",'COPY 20 %'!F150)</f>
        <v/>
      </c>
      <c r="D150" s="14">
        <f>IF('COPY 20 %'!$A150="","",'COPY 20 %'!I150)</f>
        <v/>
      </c>
      <c r="E150" s="7">
        <f>IF('COPY 20 %'!$A150="","",'COPY 20 %'!O150)</f>
        <v/>
      </c>
      <c r="F150" s="7">
        <f>IF('COPY 20 %'!$A150="","",'COPY 20 %'!L150)</f>
        <v/>
      </c>
      <c r="G150" s="7">
        <f>IF('COPY 20 %'!$A150="","",'COPY 20 %'!S150)</f>
        <v/>
      </c>
      <c r="H150">
        <f>IF('COPY 20 %'!$A150="","",'COPY 20 %'!P150)</f>
        <v/>
      </c>
      <c r="I150">
        <f>IF('COPY 20 %'!$A150="","",'COPY 20 %'!M150)</f>
        <v/>
      </c>
      <c r="J150" s="7">
        <f>IF('COPY 20 %'!$A150="","",'COPY 20 %'!Q150)</f>
        <v/>
      </c>
      <c r="K150" s="7">
        <f>IF('COPY 20 %'!$A150="","",'COPY 20 %'!H150)</f>
        <v/>
      </c>
      <c r="L150" s="7">
        <f>IF('COPY 20 %'!$A150="","",'COPY 20 %'!T150)</f>
        <v/>
      </c>
      <c r="M150">
        <f>IF('COPY 20 %'!$A150="","",'COPY 20 %'!G150)</f>
        <v/>
      </c>
    </row>
    <row r="151">
      <c r="A151">
        <f>IF('COPY 20 %'!$A151="","",ROWS($A$2:$A151))</f>
        <v/>
      </c>
      <c r="B151">
        <f>IF('COPY 20 %'!$A151="","",'COPY 20 %'!E151)</f>
        <v/>
      </c>
      <c r="C151">
        <f>IF('COPY 20 %'!$A151="","",'COPY 20 %'!F151)</f>
        <v/>
      </c>
      <c r="D151" s="14">
        <f>IF('COPY 20 %'!$A151="","",'COPY 20 %'!I151)</f>
        <v/>
      </c>
      <c r="E151" s="7">
        <f>IF('COPY 20 %'!$A151="","",'COPY 20 %'!O151)</f>
        <v/>
      </c>
      <c r="F151" s="7">
        <f>IF('COPY 20 %'!$A151="","",'COPY 20 %'!L151)</f>
        <v/>
      </c>
      <c r="G151" s="7">
        <f>IF('COPY 20 %'!$A151="","",'COPY 20 %'!S151)</f>
        <v/>
      </c>
      <c r="H151">
        <f>IF('COPY 20 %'!$A151="","",'COPY 20 %'!P151)</f>
        <v/>
      </c>
      <c r="I151">
        <f>IF('COPY 20 %'!$A151="","",'COPY 20 %'!M151)</f>
        <v/>
      </c>
      <c r="J151" s="7">
        <f>IF('COPY 20 %'!$A151="","",'COPY 20 %'!Q151)</f>
        <v/>
      </c>
      <c r="K151" s="7">
        <f>IF('COPY 20 %'!$A151="","",'COPY 20 %'!H151)</f>
        <v/>
      </c>
      <c r="L151" s="7">
        <f>IF('COPY 20 %'!$A151="","",'COPY 20 %'!T151)</f>
        <v/>
      </c>
      <c r="M151">
        <f>IF('COPY 20 %'!$A151="","",'COPY 20 %'!G151)</f>
        <v/>
      </c>
    </row>
    <row r="152">
      <c r="A152">
        <f>IF('COPY 20 %'!$A152="","",ROWS($A$2:$A152))</f>
        <v/>
      </c>
      <c r="B152">
        <f>IF('COPY 20 %'!$A152="","",'COPY 20 %'!E152)</f>
        <v/>
      </c>
      <c r="C152">
        <f>IF('COPY 20 %'!$A152="","",'COPY 20 %'!F152)</f>
        <v/>
      </c>
      <c r="D152" s="14">
        <f>IF('COPY 20 %'!$A152="","",'COPY 20 %'!I152)</f>
        <v/>
      </c>
      <c r="E152" s="7">
        <f>IF('COPY 20 %'!$A152="","",'COPY 20 %'!O152)</f>
        <v/>
      </c>
      <c r="F152" s="7">
        <f>IF('COPY 20 %'!$A152="","",'COPY 20 %'!L152)</f>
        <v/>
      </c>
      <c r="G152" s="7">
        <f>IF('COPY 20 %'!$A152="","",'COPY 20 %'!S152)</f>
        <v/>
      </c>
      <c r="H152">
        <f>IF('COPY 20 %'!$A152="","",'COPY 20 %'!P152)</f>
        <v/>
      </c>
      <c r="I152">
        <f>IF('COPY 20 %'!$A152="","",'COPY 20 %'!M152)</f>
        <v/>
      </c>
      <c r="J152" s="7">
        <f>IF('COPY 20 %'!$A152="","",'COPY 20 %'!Q152)</f>
        <v/>
      </c>
      <c r="K152" s="7">
        <f>IF('COPY 20 %'!$A152="","",'COPY 20 %'!H152)</f>
        <v/>
      </c>
      <c r="L152" s="7">
        <f>IF('COPY 20 %'!$A152="","",'COPY 20 %'!T152)</f>
        <v/>
      </c>
      <c r="M152">
        <f>IF('COPY 20 %'!$A152="","",'COPY 20 %'!G152)</f>
        <v/>
      </c>
    </row>
    <row r="153">
      <c r="A153">
        <f>IF('COPY 20 %'!$A153="","",ROWS($A$2:$A153))</f>
        <v/>
      </c>
      <c r="B153">
        <f>IF('COPY 20 %'!$A153="","",'COPY 20 %'!E153)</f>
        <v/>
      </c>
      <c r="C153">
        <f>IF('COPY 20 %'!$A153="","",'COPY 20 %'!F153)</f>
        <v/>
      </c>
      <c r="D153" s="14">
        <f>IF('COPY 20 %'!$A153="","",'COPY 20 %'!I153)</f>
        <v/>
      </c>
      <c r="E153" s="7">
        <f>IF('COPY 20 %'!$A153="","",'COPY 20 %'!O153)</f>
        <v/>
      </c>
      <c r="F153" s="7">
        <f>IF('COPY 20 %'!$A153="","",'COPY 20 %'!L153)</f>
        <v/>
      </c>
      <c r="G153" s="7">
        <f>IF('COPY 20 %'!$A153="","",'COPY 20 %'!S153)</f>
        <v/>
      </c>
      <c r="H153">
        <f>IF('COPY 20 %'!$A153="","",'COPY 20 %'!P153)</f>
        <v/>
      </c>
      <c r="I153">
        <f>IF('COPY 20 %'!$A153="","",'COPY 20 %'!M153)</f>
        <v/>
      </c>
      <c r="J153" s="7">
        <f>IF('COPY 20 %'!$A153="","",'COPY 20 %'!Q153)</f>
        <v/>
      </c>
      <c r="K153" s="7">
        <f>IF('COPY 20 %'!$A153="","",'COPY 20 %'!H153)</f>
        <v/>
      </c>
      <c r="L153" s="7">
        <f>IF('COPY 20 %'!$A153="","",'COPY 20 %'!T153)</f>
        <v/>
      </c>
      <c r="M153">
        <f>IF('COPY 20 %'!$A153="","",'COPY 20 %'!G153)</f>
        <v/>
      </c>
    </row>
    <row r="154">
      <c r="A154">
        <f>IF('COPY 20 %'!$A154="","",ROWS($A$2:$A154))</f>
        <v/>
      </c>
      <c r="B154">
        <f>IF('COPY 20 %'!$A154="","",'COPY 20 %'!E154)</f>
        <v/>
      </c>
      <c r="C154">
        <f>IF('COPY 20 %'!$A154="","",'COPY 20 %'!F154)</f>
        <v/>
      </c>
      <c r="D154" s="14">
        <f>IF('COPY 20 %'!$A154="","",'COPY 20 %'!I154)</f>
        <v/>
      </c>
      <c r="E154" s="7">
        <f>IF('COPY 20 %'!$A154="","",'COPY 20 %'!O154)</f>
        <v/>
      </c>
      <c r="F154" s="7">
        <f>IF('COPY 20 %'!$A154="","",'COPY 20 %'!L154)</f>
        <v/>
      </c>
      <c r="G154" s="7">
        <f>IF('COPY 20 %'!$A154="","",'COPY 20 %'!S154)</f>
        <v/>
      </c>
      <c r="H154">
        <f>IF('COPY 20 %'!$A154="","",'COPY 20 %'!P154)</f>
        <v/>
      </c>
      <c r="I154">
        <f>IF('COPY 20 %'!$A154="","",'COPY 20 %'!M154)</f>
        <v/>
      </c>
      <c r="J154" s="7">
        <f>IF('COPY 20 %'!$A154="","",'COPY 20 %'!Q154)</f>
        <v/>
      </c>
      <c r="K154" s="7">
        <f>IF('COPY 20 %'!$A154="","",'COPY 20 %'!H154)</f>
        <v/>
      </c>
      <c r="L154" s="7">
        <f>IF('COPY 20 %'!$A154="","",'COPY 20 %'!T154)</f>
        <v/>
      </c>
      <c r="M154">
        <f>IF('COPY 20 %'!$A154="","",'COPY 20 %'!G154)</f>
        <v/>
      </c>
    </row>
    <row r="155">
      <c r="A155">
        <f>IF('COPY 20 %'!$A155="","",ROWS($A$2:$A155))</f>
        <v/>
      </c>
      <c r="B155">
        <f>IF('COPY 20 %'!$A155="","",'COPY 20 %'!E155)</f>
        <v/>
      </c>
      <c r="C155">
        <f>IF('COPY 20 %'!$A155="","",'COPY 20 %'!F155)</f>
        <v/>
      </c>
      <c r="D155" s="14">
        <f>IF('COPY 20 %'!$A155="","",'COPY 20 %'!I155)</f>
        <v/>
      </c>
      <c r="E155" s="7">
        <f>IF('COPY 20 %'!$A155="","",'COPY 20 %'!O155)</f>
        <v/>
      </c>
      <c r="F155" s="7">
        <f>IF('COPY 20 %'!$A155="","",'COPY 20 %'!L155)</f>
        <v/>
      </c>
      <c r="G155" s="7">
        <f>IF('COPY 20 %'!$A155="","",'COPY 20 %'!S155)</f>
        <v/>
      </c>
      <c r="H155">
        <f>IF('COPY 20 %'!$A155="","",'COPY 20 %'!P155)</f>
        <v/>
      </c>
      <c r="I155">
        <f>IF('COPY 20 %'!$A155="","",'COPY 20 %'!M155)</f>
        <v/>
      </c>
      <c r="J155" s="7">
        <f>IF('COPY 20 %'!$A155="","",'COPY 20 %'!Q155)</f>
        <v/>
      </c>
      <c r="K155" s="7">
        <f>IF('COPY 20 %'!$A155="","",'COPY 20 %'!H155)</f>
        <v/>
      </c>
      <c r="L155" s="7">
        <f>IF('COPY 20 %'!$A155="","",'COPY 20 %'!T155)</f>
        <v/>
      </c>
      <c r="M155">
        <f>IF('COPY 20 %'!$A155="","",'COPY 20 %'!G155)</f>
        <v/>
      </c>
    </row>
    <row r="156">
      <c r="A156">
        <f>IF('COPY 20 %'!$A156="","",ROWS($A$2:$A156))</f>
        <v/>
      </c>
      <c r="B156">
        <f>IF('COPY 20 %'!$A156="","",'COPY 20 %'!E156)</f>
        <v/>
      </c>
      <c r="C156">
        <f>IF('COPY 20 %'!$A156="","",'COPY 20 %'!F156)</f>
        <v/>
      </c>
      <c r="D156" s="14">
        <f>IF('COPY 20 %'!$A156="","",'COPY 20 %'!I156)</f>
        <v/>
      </c>
      <c r="E156" s="7">
        <f>IF('COPY 20 %'!$A156="","",'COPY 20 %'!O156)</f>
        <v/>
      </c>
      <c r="F156" s="7">
        <f>IF('COPY 20 %'!$A156="","",'COPY 20 %'!L156)</f>
        <v/>
      </c>
      <c r="G156" s="7">
        <f>IF('COPY 20 %'!$A156="","",'COPY 20 %'!S156)</f>
        <v/>
      </c>
      <c r="H156">
        <f>IF('COPY 20 %'!$A156="","",'COPY 20 %'!P156)</f>
        <v/>
      </c>
      <c r="I156">
        <f>IF('COPY 20 %'!$A156="","",'COPY 20 %'!M156)</f>
        <v/>
      </c>
      <c r="J156" s="7">
        <f>IF('COPY 20 %'!$A156="","",'COPY 20 %'!Q156)</f>
        <v/>
      </c>
      <c r="K156" s="7">
        <f>IF('COPY 20 %'!$A156="","",'COPY 20 %'!H156)</f>
        <v/>
      </c>
      <c r="L156" s="7">
        <f>IF('COPY 20 %'!$A156="","",'COPY 20 %'!T156)</f>
        <v/>
      </c>
      <c r="M156">
        <f>IF('COPY 20 %'!$A156="","",'COPY 20 %'!G156)</f>
        <v/>
      </c>
    </row>
    <row r="157">
      <c r="A157">
        <f>IF('COPY 20 %'!$A157="","",ROWS($A$2:$A157))</f>
        <v/>
      </c>
      <c r="B157">
        <f>IF('COPY 20 %'!$A157="","",'COPY 20 %'!E157)</f>
        <v/>
      </c>
      <c r="C157">
        <f>IF('COPY 20 %'!$A157="","",'COPY 20 %'!F157)</f>
        <v/>
      </c>
      <c r="D157" s="14">
        <f>IF('COPY 20 %'!$A157="","",'COPY 20 %'!I157)</f>
        <v/>
      </c>
      <c r="E157" s="7">
        <f>IF('COPY 20 %'!$A157="","",'COPY 20 %'!O157)</f>
        <v/>
      </c>
      <c r="F157" s="7">
        <f>IF('COPY 20 %'!$A157="","",'COPY 20 %'!L157)</f>
        <v/>
      </c>
      <c r="G157" s="7">
        <f>IF('COPY 20 %'!$A157="","",'COPY 20 %'!S157)</f>
        <v/>
      </c>
      <c r="H157">
        <f>IF('COPY 20 %'!$A157="","",'COPY 20 %'!P157)</f>
        <v/>
      </c>
      <c r="I157">
        <f>IF('COPY 20 %'!$A157="","",'COPY 20 %'!M157)</f>
        <v/>
      </c>
      <c r="J157" s="7">
        <f>IF('COPY 20 %'!$A157="","",'COPY 20 %'!Q157)</f>
        <v/>
      </c>
      <c r="K157" s="7">
        <f>IF('COPY 20 %'!$A157="","",'COPY 20 %'!H157)</f>
        <v/>
      </c>
      <c r="L157" s="7">
        <f>IF('COPY 20 %'!$A157="","",'COPY 20 %'!T157)</f>
        <v/>
      </c>
      <c r="M157">
        <f>IF('COPY 20 %'!$A157="","",'COPY 20 %'!G157)</f>
        <v/>
      </c>
    </row>
    <row r="158">
      <c r="A158">
        <f>IF('COPY 20 %'!$A158="","",ROWS($A$2:$A158))</f>
        <v/>
      </c>
      <c r="B158">
        <f>IF('COPY 20 %'!$A158="","",'COPY 20 %'!E158)</f>
        <v/>
      </c>
      <c r="C158">
        <f>IF('COPY 20 %'!$A158="","",'COPY 20 %'!F158)</f>
        <v/>
      </c>
      <c r="D158" s="14">
        <f>IF('COPY 20 %'!$A158="","",'COPY 20 %'!I158)</f>
        <v/>
      </c>
      <c r="E158" s="7">
        <f>IF('COPY 20 %'!$A158="","",'COPY 20 %'!O158)</f>
        <v/>
      </c>
      <c r="F158" s="7">
        <f>IF('COPY 20 %'!$A158="","",'COPY 20 %'!L158)</f>
        <v/>
      </c>
      <c r="G158" s="7">
        <f>IF('COPY 20 %'!$A158="","",'COPY 20 %'!S158)</f>
        <v/>
      </c>
      <c r="H158">
        <f>IF('COPY 20 %'!$A158="","",'COPY 20 %'!P158)</f>
        <v/>
      </c>
      <c r="I158">
        <f>IF('COPY 20 %'!$A158="","",'COPY 20 %'!M158)</f>
        <v/>
      </c>
      <c r="J158" s="7">
        <f>IF('COPY 20 %'!$A158="","",'COPY 20 %'!Q158)</f>
        <v/>
      </c>
      <c r="K158" s="7">
        <f>IF('COPY 20 %'!$A158="","",'COPY 20 %'!H158)</f>
        <v/>
      </c>
      <c r="L158" s="7">
        <f>IF('COPY 20 %'!$A158="","",'COPY 20 %'!T158)</f>
        <v/>
      </c>
      <c r="M158">
        <f>IF('COPY 20 %'!$A158="","",'COPY 20 %'!G158)</f>
        <v/>
      </c>
    </row>
    <row r="159">
      <c r="A159">
        <f>IF('COPY 20 %'!$A159="","",ROWS($A$2:$A159))</f>
        <v/>
      </c>
      <c r="B159">
        <f>IF('COPY 20 %'!$A159="","",'COPY 20 %'!E159)</f>
        <v/>
      </c>
      <c r="C159">
        <f>IF('COPY 20 %'!$A159="","",'COPY 20 %'!F159)</f>
        <v/>
      </c>
      <c r="D159" s="14">
        <f>IF('COPY 20 %'!$A159="","",'COPY 20 %'!I159)</f>
        <v/>
      </c>
      <c r="E159" s="7">
        <f>IF('COPY 20 %'!$A159="","",'COPY 20 %'!O159)</f>
        <v/>
      </c>
      <c r="F159" s="7">
        <f>IF('COPY 20 %'!$A159="","",'COPY 20 %'!L159)</f>
        <v/>
      </c>
      <c r="G159" s="7">
        <f>IF('COPY 20 %'!$A159="","",'COPY 20 %'!S159)</f>
        <v/>
      </c>
      <c r="H159">
        <f>IF('COPY 20 %'!$A159="","",'COPY 20 %'!P159)</f>
        <v/>
      </c>
      <c r="I159">
        <f>IF('COPY 20 %'!$A159="","",'COPY 20 %'!M159)</f>
        <v/>
      </c>
      <c r="J159" s="7">
        <f>IF('COPY 20 %'!$A159="","",'COPY 20 %'!Q159)</f>
        <v/>
      </c>
      <c r="K159" s="7">
        <f>IF('COPY 20 %'!$A159="","",'COPY 20 %'!H159)</f>
        <v/>
      </c>
      <c r="L159" s="7">
        <f>IF('COPY 20 %'!$A159="","",'COPY 20 %'!T159)</f>
        <v/>
      </c>
      <c r="M159">
        <f>IF('COPY 20 %'!$A159="","",'COPY 20 %'!G159)</f>
        <v/>
      </c>
    </row>
    <row r="160">
      <c r="A160">
        <f>IF('COPY 20 %'!$A160="","",ROWS($A$2:$A160))</f>
        <v/>
      </c>
      <c r="B160">
        <f>IF('COPY 20 %'!$A160="","",'COPY 20 %'!E160)</f>
        <v/>
      </c>
      <c r="C160">
        <f>IF('COPY 20 %'!$A160="","",'COPY 20 %'!F160)</f>
        <v/>
      </c>
      <c r="D160" s="14">
        <f>IF('COPY 20 %'!$A160="","",'COPY 20 %'!I160)</f>
        <v/>
      </c>
      <c r="E160" s="7">
        <f>IF('COPY 20 %'!$A160="","",'COPY 20 %'!O160)</f>
        <v/>
      </c>
      <c r="F160" s="7">
        <f>IF('COPY 20 %'!$A160="","",'COPY 20 %'!L160)</f>
        <v/>
      </c>
      <c r="G160" s="7">
        <f>IF('COPY 20 %'!$A160="","",'COPY 20 %'!S160)</f>
        <v/>
      </c>
      <c r="H160">
        <f>IF('COPY 20 %'!$A160="","",'COPY 20 %'!P160)</f>
        <v/>
      </c>
      <c r="I160">
        <f>IF('COPY 20 %'!$A160="","",'COPY 20 %'!M160)</f>
        <v/>
      </c>
      <c r="J160" s="7">
        <f>IF('COPY 20 %'!$A160="","",'COPY 20 %'!Q160)</f>
        <v/>
      </c>
      <c r="K160" s="7">
        <f>IF('COPY 20 %'!$A160="","",'COPY 20 %'!H160)</f>
        <v/>
      </c>
      <c r="L160" s="7">
        <f>IF('COPY 20 %'!$A160="","",'COPY 20 %'!T160)</f>
        <v/>
      </c>
      <c r="M160">
        <f>IF('COPY 20 %'!$A160="","",'COPY 20 %'!G160)</f>
        <v/>
      </c>
    </row>
    <row r="161">
      <c r="A161">
        <f>IF('COPY 20 %'!$A161="","",ROWS($A$2:$A161))</f>
        <v/>
      </c>
      <c r="B161">
        <f>IF('COPY 20 %'!$A161="","",'COPY 20 %'!E161)</f>
        <v/>
      </c>
      <c r="C161">
        <f>IF('COPY 20 %'!$A161="","",'COPY 20 %'!F161)</f>
        <v/>
      </c>
      <c r="D161" s="14">
        <f>IF('COPY 20 %'!$A161="","",'COPY 20 %'!I161)</f>
        <v/>
      </c>
      <c r="E161" s="7">
        <f>IF('COPY 20 %'!$A161="","",'COPY 20 %'!O161)</f>
        <v/>
      </c>
      <c r="F161" s="7">
        <f>IF('COPY 20 %'!$A161="","",'COPY 20 %'!L161)</f>
        <v/>
      </c>
      <c r="G161" s="7">
        <f>IF('COPY 20 %'!$A161="","",'COPY 20 %'!S161)</f>
        <v/>
      </c>
      <c r="H161">
        <f>IF('COPY 20 %'!$A161="","",'COPY 20 %'!P161)</f>
        <v/>
      </c>
      <c r="I161">
        <f>IF('COPY 20 %'!$A161="","",'COPY 20 %'!M161)</f>
        <v/>
      </c>
      <c r="J161" s="7">
        <f>IF('COPY 20 %'!$A161="","",'COPY 20 %'!Q161)</f>
        <v/>
      </c>
      <c r="K161" s="7">
        <f>IF('COPY 20 %'!$A161="","",'COPY 20 %'!H161)</f>
        <v/>
      </c>
      <c r="L161" s="7">
        <f>IF('COPY 20 %'!$A161="","",'COPY 20 %'!T161)</f>
        <v/>
      </c>
      <c r="M161">
        <f>IF('COPY 20 %'!$A161="","",'COPY 20 %'!G161)</f>
        <v/>
      </c>
    </row>
    <row r="162">
      <c r="A162">
        <f>IF('COPY 20 %'!$A162="","",ROWS($A$2:$A162))</f>
        <v/>
      </c>
      <c r="B162">
        <f>IF('COPY 20 %'!$A162="","",'COPY 20 %'!E162)</f>
        <v/>
      </c>
      <c r="C162">
        <f>IF('COPY 20 %'!$A162="","",'COPY 20 %'!F162)</f>
        <v/>
      </c>
      <c r="D162" s="14">
        <f>IF('COPY 20 %'!$A162="","",'COPY 20 %'!I162)</f>
        <v/>
      </c>
      <c r="E162" s="7">
        <f>IF('COPY 20 %'!$A162="","",'COPY 20 %'!O162)</f>
        <v/>
      </c>
      <c r="F162" s="7">
        <f>IF('COPY 20 %'!$A162="","",'COPY 20 %'!L162)</f>
        <v/>
      </c>
      <c r="G162" s="7">
        <f>IF('COPY 20 %'!$A162="","",'COPY 20 %'!S162)</f>
        <v/>
      </c>
      <c r="H162">
        <f>IF('COPY 20 %'!$A162="","",'COPY 20 %'!P162)</f>
        <v/>
      </c>
      <c r="I162">
        <f>IF('COPY 20 %'!$A162="","",'COPY 20 %'!M162)</f>
        <v/>
      </c>
      <c r="J162" s="7">
        <f>IF('COPY 20 %'!$A162="","",'COPY 20 %'!Q162)</f>
        <v/>
      </c>
      <c r="K162" s="7">
        <f>IF('COPY 20 %'!$A162="","",'COPY 20 %'!H162)</f>
        <v/>
      </c>
      <c r="L162" s="7">
        <f>IF('COPY 20 %'!$A162="","",'COPY 20 %'!T162)</f>
        <v/>
      </c>
      <c r="M162">
        <f>IF('COPY 20 %'!$A162="","",'COPY 20 %'!G162)</f>
        <v/>
      </c>
    </row>
    <row r="163">
      <c r="A163">
        <f>IF('COPY 20 %'!$A163="","",ROWS($A$2:$A163))</f>
        <v/>
      </c>
      <c r="B163">
        <f>IF('COPY 20 %'!$A163="","",'COPY 20 %'!E163)</f>
        <v/>
      </c>
      <c r="C163">
        <f>IF('COPY 20 %'!$A163="","",'COPY 20 %'!F163)</f>
        <v/>
      </c>
      <c r="D163" s="14">
        <f>IF('COPY 20 %'!$A163="","",'COPY 20 %'!I163)</f>
        <v/>
      </c>
      <c r="E163" s="7">
        <f>IF('COPY 20 %'!$A163="","",'COPY 20 %'!O163)</f>
        <v/>
      </c>
      <c r="F163" s="7">
        <f>IF('COPY 20 %'!$A163="","",'COPY 20 %'!L163)</f>
        <v/>
      </c>
      <c r="G163" s="7">
        <f>IF('COPY 20 %'!$A163="","",'COPY 20 %'!S163)</f>
        <v/>
      </c>
      <c r="H163">
        <f>IF('COPY 20 %'!$A163="","",'COPY 20 %'!P163)</f>
        <v/>
      </c>
      <c r="I163">
        <f>IF('COPY 20 %'!$A163="","",'COPY 20 %'!M163)</f>
        <v/>
      </c>
      <c r="J163" s="7">
        <f>IF('COPY 20 %'!$A163="","",'COPY 20 %'!Q163)</f>
        <v/>
      </c>
      <c r="K163" s="7">
        <f>IF('COPY 20 %'!$A163="","",'COPY 20 %'!H163)</f>
        <v/>
      </c>
      <c r="L163" s="7">
        <f>IF('COPY 20 %'!$A163="","",'COPY 20 %'!T163)</f>
        <v/>
      </c>
      <c r="M163">
        <f>IF('COPY 20 %'!$A163="","",'COPY 20 %'!G163)</f>
        <v/>
      </c>
    </row>
    <row r="164">
      <c r="A164">
        <f>IF('COPY 20 %'!$A164="","",ROWS($A$2:$A164))</f>
        <v/>
      </c>
      <c r="B164">
        <f>IF('COPY 20 %'!$A164="","",'COPY 20 %'!E164)</f>
        <v/>
      </c>
      <c r="C164">
        <f>IF('COPY 20 %'!$A164="","",'COPY 20 %'!F164)</f>
        <v/>
      </c>
      <c r="D164" s="14">
        <f>IF('COPY 20 %'!$A164="","",'COPY 20 %'!I164)</f>
        <v/>
      </c>
      <c r="E164" s="7">
        <f>IF('COPY 20 %'!$A164="","",'COPY 20 %'!O164)</f>
        <v/>
      </c>
      <c r="F164" s="7">
        <f>IF('COPY 20 %'!$A164="","",'COPY 20 %'!L164)</f>
        <v/>
      </c>
      <c r="G164" s="7">
        <f>IF('COPY 20 %'!$A164="","",'COPY 20 %'!S164)</f>
        <v/>
      </c>
      <c r="H164">
        <f>IF('COPY 20 %'!$A164="","",'COPY 20 %'!P164)</f>
        <v/>
      </c>
      <c r="I164">
        <f>IF('COPY 20 %'!$A164="","",'COPY 20 %'!M164)</f>
        <v/>
      </c>
      <c r="J164" s="7">
        <f>IF('COPY 20 %'!$A164="","",'COPY 20 %'!Q164)</f>
        <v/>
      </c>
      <c r="K164" s="7">
        <f>IF('COPY 20 %'!$A164="","",'COPY 20 %'!H164)</f>
        <v/>
      </c>
      <c r="L164" s="7">
        <f>IF('COPY 20 %'!$A164="","",'COPY 20 %'!T164)</f>
        <v/>
      </c>
      <c r="M164">
        <f>IF('COPY 20 %'!$A164="","",'COPY 20 %'!G164)</f>
        <v/>
      </c>
    </row>
    <row r="165">
      <c r="A165">
        <f>IF('COPY 20 %'!$A165="","",ROWS($A$2:$A165))</f>
        <v/>
      </c>
      <c r="B165">
        <f>IF('COPY 20 %'!$A165="","",'COPY 20 %'!E165)</f>
        <v/>
      </c>
      <c r="C165">
        <f>IF('COPY 20 %'!$A165="","",'COPY 20 %'!F165)</f>
        <v/>
      </c>
      <c r="D165" s="14">
        <f>IF('COPY 20 %'!$A165="","",'COPY 20 %'!I165)</f>
        <v/>
      </c>
      <c r="E165" s="7">
        <f>IF('COPY 20 %'!$A165="","",'COPY 20 %'!O165)</f>
        <v/>
      </c>
      <c r="F165" s="7">
        <f>IF('COPY 20 %'!$A165="","",'COPY 20 %'!L165)</f>
        <v/>
      </c>
      <c r="G165" s="7">
        <f>IF('COPY 20 %'!$A165="","",'COPY 20 %'!S165)</f>
        <v/>
      </c>
      <c r="H165">
        <f>IF('COPY 20 %'!$A165="","",'COPY 20 %'!P165)</f>
        <v/>
      </c>
      <c r="I165">
        <f>IF('COPY 20 %'!$A165="","",'COPY 20 %'!M165)</f>
        <v/>
      </c>
      <c r="J165" s="7">
        <f>IF('COPY 20 %'!$A165="","",'COPY 20 %'!Q165)</f>
        <v/>
      </c>
      <c r="K165" s="7">
        <f>IF('COPY 20 %'!$A165="","",'COPY 20 %'!H165)</f>
        <v/>
      </c>
      <c r="L165" s="7">
        <f>IF('COPY 20 %'!$A165="","",'COPY 20 %'!T165)</f>
        <v/>
      </c>
      <c r="M165">
        <f>IF('COPY 20 %'!$A165="","",'COPY 20 %'!G165)</f>
        <v/>
      </c>
    </row>
    <row r="166">
      <c r="A166">
        <f>IF('COPY 20 %'!$A166="","",ROWS($A$2:$A166))</f>
        <v/>
      </c>
      <c r="B166">
        <f>IF('COPY 20 %'!$A166="","",'COPY 20 %'!E166)</f>
        <v/>
      </c>
      <c r="C166">
        <f>IF('COPY 20 %'!$A166="","",'COPY 20 %'!F166)</f>
        <v/>
      </c>
      <c r="D166" s="14">
        <f>IF('COPY 20 %'!$A166="","",'COPY 20 %'!I166)</f>
        <v/>
      </c>
      <c r="E166" s="7">
        <f>IF('COPY 20 %'!$A166="","",'COPY 20 %'!O166)</f>
        <v/>
      </c>
      <c r="F166" s="7">
        <f>IF('COPY 20 %'!$A166="","",'COPY 20 %'!L166)</f>
        <v/>
      </c>
      <c r="G166" s="7">
        <f>IF('COPY 20 %'!$A166="","",'COPY 20 %'!S166)</f>
        <v/>
      </c>
      <c r="H166">
        <f>IF('COPY 20 %'!$A166="","",'COPY 20 %'!P166)</f>
        <v/>
      </c>
      <c r="I166">
        <f>IF('COPY 20 %'!$A166="","",'COPY 20 %'!M166)</f>
        <v/>
      </c>
      <c r="J166" s="7">
        <f>IF('COPY 20 %'!$A166="","",'COPY 20 %'!Q166)</f>
        <v/>
      </c>
      <c r="K166" s="7">
        <f>IF('COPY 20 %'!$A166="","",'COPY 20 %'!H166)</f>
        <v/>
      </c>
      <c r="L166" s="7">
        <f>IF('COPY 20 %'!$A166="","",'COPY 20 %'!T166)</f>
        <v/>
      </c>
      <c r="M166">
        <f>IF('COPY 20 %'!$A166="","",'COPY 20 %'!G166)</f>
        <v/>
      </c>
    </row>
    <row r="167">
      <c r="A167">
        <f>IF('COPY 20 %'!$A167="","",ROWS($A$2:$A167))</f>
        <v/>
      </c>
      <c r="B167">
        <f>IF('COPY 20 %'!$A167="","",'COPY 20 %'!E167)</f>
        <v/>
      </c>
      <c r="C167">
        <f>IF('COPY 20 %'!$A167="","",'COPY 20 %'!F167)</f>
        <v/>
      </c>
      <c r="D167" s="14">
        <f>IF('COPY 20 %'!$A167="","",'COPY 20 %'!I167)</f>
        <v/>
      </c>
      <c r="E167" s="7">
        <f>IF('COPY 20 %'!$A167="","",'COPY 20 %'!O167)</f>
        <v/>
      </c>
      <c r="F167" s="7">
        <f>IF('COPY 20 %'!$A167="","",'COPY 20 %'!L167)</f>
        <v/>
      </c>
      <c r="G167" s="7">
        <f>IF('COPY 20 %'!$A167="","",'COPY 20 %'!S167)</f>
        <v/>
      </c>
      <c r="H167">
        <f>IF('COPY 20 %'!$A167="","",'COPY 20 %'!P167)</f>
        <v/>
      </c>
      <c r="I167">
        <f>IF('COPY 20 %'!$A167="","",'COPY 20 %'!M167)</f>
        <v/>
      </c>
      <c r="J167" s="7">
        <f>IF('COPY 20 %'!$A167="","",'COPY 20 %'!Q167)</f>
        <v/>
      </c>
      <c r="K167" s="7">
        <f>IF('COPY 20 %'!$A167="","",'COPY 20 %'!H167)</f>
        <v/>
      </c>
      <c r="L167" s="7">
        <f>IF('COPY 20 %'!$A167="","",'COPY 20 %'!T167)</f>
        <v/>
      </c>
      <c r="M167">
        <f>IF('COPY 20 %'!$A167="","",'COPY 20 %'!G167)</f>
        <v/>
      </c>
    </row>
    <row r="168">
      <c r="A168">
        <f>IF('COPY 20 %'!$A168="","",ROWS($A$2:$A168))</f>
        <v/>
      </c>
      <c r="B168">
        <f>IF('COPY 20 %'!$A168="","",'COPY 20 %'!E168)</f>
        <v/>
      </c>
      <c r="C168">
        <f>IF('COPY 20 %'!$A168="","",'COPY 20 %'!F168)</f>
        <v/>
      </c>
      <c r="D168" s="14">
        <f>IF('COPY 20 %'!$A168="","",'COPY 20 %'!I168)</f>
        <v/>
      </c>
      <c r="E168" s="7">
        <f>IF('COPY 20 %'!$A168="","",'COPY 20 %'!O168)</f>
        <v/>
      </c>
      <c r="F168" s="7">
        <f>IF('COPY 20 %'!$A168="","",'COPY 20 %'!L168)</f>
        <v/>
      </c>
      <c r="G168" s="7">
        <f>IF('COPY 20 %'!$A168="","",'COPY 20 %'!S168)</f>
        <v/>
      </c>
      <c r="H168">
        <f>IF('COPY 20 %'!$A168="","",'COPY 20 %'!P168)</f>
        <v/>
      </c>
      <c r="I168">
        <f>IF('COPY 20 %'!$A168="","",'COPY 20 %'!M168)</f>
        <v/>
      </c>
      <c r="J168" s="7">
        <f>IF('COPY 20 %'!$A168="","",'COPY 20 %'!Q168)</f>
        <v/>
      </c>
      <c r="K168" s="7">
        <f>IF('COPY 20 %'!$A168="","",'COPY 20 %'!H168)</f>
        <v/>
      </c>
      <c r="L168" s="7">
        <f>IF('COPY 20 %'!$A168="","",'COPY 20 %'!T168)</f>
        <v/>
      </c>
      <c r="M168">
        <f>IF('COPY 20 %'!$A168="","",'COPY 20 %'!G168)</f>
        <v/>
      </c>
    </row>
    <row r="169">
      <c r="A169">
        <f>IF('COPY 20 %'!$A169="","",ROWS($A$2:$A169))</f>
        <v/>
      </c>
      <c r="B169">
        <f>IF('COPY 20 %'!$A169="","",'COPY 20 %'!E169)</f>
        <v/>
      </c>
      <c r="C169">
        <f>IF('COPY 20 %'!$A169="","",'COPY 20 %'!F169)</f>
        <v/>
      </c>
      <c r="D169" s="14">
        <f>IF('COPY 20 %'!$A169="","",'COPY 20 %'!I169)</f>
        <v/>
      </c>
      <c r="E169" s="7">
        <f>IF('COPY 20 %'!$A169="","",'COPY 20 %'!O169)</f>
        <v/>
      </c>
      <c r="F169" s="7">
        <f>IF('COPY 20 %'!$A169="","",'COPY 20 %'!L169)</f>
        <v/>
      </c>
      <c r="G169" s="7">
        <f>IF('COPY 20 %'!$A169="","",'COPY 20 %'!S169)</f>
        <v/>
      </c>
      <c r="H169">
        <f>IF('COPY 20 %'!$A169="","",'COPY 20 %'!P169)</f>
        <v/>
      </c>
      <c r="I169">
        <f>IF('COPY 20 %'!$A169="","",'COPY 20 %'!M169)</f>
        <v/>
      </c>
      <c r="J169" s="7">
        <f>IF('COPY 20 %'!$A169="","",'COPY 20 %'!Q169)</f>
        <v/>
      </c>
      <c r="K169" s="7">
        <f>IF('COPY 20 %'!$A169="","",'COPY 20 %'!H169)</f>
        <v/>
      </c>
      <c r="L169" s="7">
        <f>IF('COPY 20 %'!$A169="","",'COPY 20 %'!T169)</f>
        <v/>
      </c>
      <c r="M169">
        <f>IF('COPY 20 %'!$A169="","",'COPY 20 %'!G169)</f>
        <v/>
      </c>
    </row>
    <row r="170">
      <c r="A170">
        <f>IF('COPY 20 %'!$A170="","",ROWS($A$2:$A170))</f>
        <v/>
      </c>
      <c r="B170">
        <f>IF('COPY 20 %'!$A170="","",'COPY 20 %'!E170)</f>
        <v/>
      </c>
      <c r="C170">
        <f>IF('COPY 20 %'!$A170="","",'COPY 20 %'!F170)</f>
        <v/>
      </c>
      <c r="D170" s="14">
        <f>IF('COPY 20 %'!$A170="","",'COPY 20 %'!I170)</f>
        <v/>
      </c>
      <c r="E170" s="7">
        <f>IF('COPY 20 %'!$A170="","",'COPY 20 %'!O170)</f>
        <v/>
      </c>
      <c r="F170" s="7">
        <f>IF('COPY 20 %'!$A170="","",'COPY 20 %'!L170)</f>
        <v/>
      </c>
      <c r="G170" s="7">
        <f>IF('COPY 20 %'!$A170="","",'COPY 20 %'!S170)</f>
        <v/>
      </c>
      <c r="H170">
        <f>IF('COPY 20 %'!$A170="","",'COPY 20 %'!P170)</f>
        <v/>
      </c>
      <c r="I170">
        <f>IF('COPY 20 %'!$A170="","",'COPY 20 %'!M170)</f>
        <v/>
      </c>
      <c r="J170" s="7">
        <f>IF('COPY 20 %'!$A170="","",'COPY 20 %'!Q170)</f>
        <v/>
      </c>
      <c r="K170" s="7">
        <f>IF('COPY 20 %'!$A170="","",'COPY 20 %'!H170)</f>
        <v/>
      </c>
      <c r="L170" s="7">
        <f>IF('COPY 20 %'!$A170="","",'COPY 20 %'!T170)</f>
        <v/>
      </c>
      <c r="M170">
        <f>IF('COPY 20 %'!$A170="","",'COPY 20 %'!G170)</f>
        <v/>
      </c>
    </row>
    <row r="171">
      <c r="A171">
        <f>IF('COPY 20 %'!$A171="","",ROWS($A$2:$A171))</f>
        <v/>
      </c>
      <c r="B171">
        <f>IF('COPY 20 %'!$A171="","",'COPY 20 %'!E171)</f>
        <v/>
      </c>
      <c r="C171">
        <f>IF('COPY 20 %'!$A171="","",'COPY 20 %'!F171)</f>
        <v/>
      </c>
      <c r="D171" s="14">
        <f>IF('COPY 20 %'!$A171="","",'COPY 20 %'!I171)</f>
        <v/>
      </c>
      <c r="E171" s="7">
        <f>IF('COPY 20 %'!$A171="","",'COPY 20 %'!O171)</f>
        <v/>
      </c>
      <c r="F171" s="7">
        <f>IF('COPY 20 %'!$A171="","",'COPY 20 %'!L171)</f>
        <v/>
      </c>
      <c r="G171" s="7">
        <f>IF('COPY 20 %'!$A171="","",'COPY 20 %'!S171)</f>
        <v/>
      </c>
      <c r="H171">
        <f>IF('COPY 20 %'!$A171="","",'COPY 20 %'!P171)</f>
        <v/>
      </c>
      <c r="I171">
        <f>IF('COPY 20 %'!$A171="","",'COPY 20 %'!M171)</f>
        <v/>
      </c>
      <c r="J171" s="7">
        <f>IF('COPY 20 %'!$A171="","",'COPY 20 %'!Q171)</f>
        <v/>
      </c>
      <c r="K171" s="7">
        <f>IF('COPY 20 %'!$A171="","",'COPY 20 %'!H171)</f>
        <v/>
      </c>
      <c r="L171" s="7">
        <f>IF('COPY 20 %'!$A171="","",'COPY 20 %'!T171)</f>
        <v/>
      </c>
      <c r="M171">
        <f>IF('COPY 20 %'!$A171="","",'COPY 20 %'!G171)</f>
        <v/>
      </c>
    </row>
    <row r="172">
      <c r="A172">
        <f>IF('COPY 20 %'!$A172="","",ROWS($A$2:$A172))</f>
        <v/>
      </c>
      <c r="B172">
        <f>IF('COPY 20 %'!$A172="","",'COPY 20 %'!E172)</f>
        <v/>
      </c>
      <c r="C172">
        <f>IF('COPY 20 %'!$A172="","",'COPY 20 %'!F172)</f>
        <v/>
      </c>
      <c r="D172" s="14">
        <f>IF('COPY 20 %'!$A172="","",'COPY 20 %'!I172)</f>
        <v/>
      </c>
      <c r="E172" s="7">
        <f>IF('COPY 20 %'!$A172="","",'COPY 20 %'!O172)</f>
        <v/>
      </c>
      <c r="F172" s="7">
        <f>IF('COPY 20 %'!$A172="","",'COPY 20 %'!L172)</f>
        <v/>
      </c>
      <c r="G172" s="7">
        <f>IF('COPY 20 %'!$A172="","",'COPY 20 %'!S172)</f>
        <v/>
      </c>
      <c r="H172">
        <f>IF('COPY 20 %'!$A172="","",'COPY 20 %'!P172)</f>
        <v/>
      </c>
      <c r="I172">
        <f>IF('COPY 20 %'!$A172="","",'COPY 20 %'!M172)</f>
        <v/>
      </c>
      <c r="J172" s="7">
        <f>IF('COPY 20 %'!$A172="","",'COPY 20 %'!Q172)</f>
        <v/>
      </c>
      <c r="K172" s="7">
        <f>IF('COPY 20 %'!$A172="","",'COPY 20 %'!H172)</f>
        <v/>
      </c>
      <c r="L172" s="7">
        <f>IF('COPY 20 %'!$A172="","",'COPY 20 %'!T172)</f>
        <v/>
      </c>
      <c r="M172">
        <f>IF('COPY 20 %'!$A172="","",'COPY 20 %'!G172)</f>
        <v/>
      </c>
    </row>
    <row r="173">
      <c r="A173">
        <f>IF('COPY 20 %'!$A173="","",ROWS($A$2:$A173))</f>
        <v/>
      </c>
      <c r="B173">
        <f>IF('COPY 20 %'!$A173="","",'COPY 20 %'!E173)</f>
        <v/>
      </c>
      <c r="C173">
        <f>IF('COPY 20 %'!$A173="","",'COPY 20 %'!F173)</f>
        <v/>
      </c>
      <c r="D173" s="14">
        <f>IF('COPY 20 %'!$A173="","",'COPY 20 %'!I173)</f>
        <v/>
      </c>
      <c r="E173" s="7">
        <f>IF('COPY 20 %'!$A173="","",'COPY 20 %'!O173)</f>
        <v/>
      </c>
      <c r="F173" s="7">
        <f>IF('COPY 20 %'!$A173="","",'COPY 20 %'!L173)</f>
        <v/>
      </c>
      <c r="G173" s="7">
        <f>IF('COPY 20 %'!$A173="","",'COPY 20 %'!S173)</f>
        <v/>
      </c>
      <c r="H173">
        <f>IF('COPY 20 %'!$A173="","",'COPY 20 %'!P173)</f>
        <v/>
      </c>
      <c r="I173">
        <f>IF('COPY 20 %'!$A173="","",'COPY 20 %'!M173)</f>
        <v/>
      </c>
      <c r="J173" s="7">
        <f>IF('COPY 20 %'!$A173="","",'COPY 20 %'!Q173)</f>
        <v/>
      </c>
      <c r="K173" s="7">
        <f>IF('COPY 20 %'!$A173="","",'COPY 20 %'!H173)</f>
        <v/>
      </c>
      <c r="L173" s="7">
        <f>IF('COPY 20 %'!$A173="","",'COPY 20 %'!T173)</f>
        <v/>
      </c>
      <c r="M173">
        <f>IF('COPY 20 %'!$A173="","",'COPY 20 %'!G173)</f>
        <v/>
      </c>
    </row>
    <row r="174">
      <c r="A174">
        <f>IF('COPY 20 %'!$A174="","",ROWS($A$2:$A174))</f>
        <v/>
      </c>
      <c r="B174">
        <f>IF('COPY 20 %'!$A174="","",'COPY 20 %'!E174)</f>
        <v/>
      </c>
      <c r="C174">
        <f>IF('COPY 20 %'!$A174="","",'COPY 20 %'!F174)</f>
        <v/>
      </c>
      <c r="D174" s="14">
        <f>IF('COPY 20 %'!$A174="","",'COPY 20 %'!I174)</f>
        <v/>
      </c>
      <c r="E174" s="7">
        <f>IF('COPY 20 %'!$A174="","",'COPY 20 %'!O174)</f>
        <v/>
      </c>
      <c r="F174" s="7">
        <f>IF('COPY 20 %'!$A174="","",'COPY 20 %'!L174)</f>
        <v/>
      </c>
      <c r="G174" s="7">
        <f>IF('COPY 20 %'!$A174="","",'COPY 20 %'!S174)</f>
        <v/>
      </c>
      <c r="H174">
        <f>IF('COPY 20 %'!$A174="","",'COPY 20 %'!P174)</f>
        <v/>
      </c>
      <c r="I174">
        <f>IF('COPY 20 %'!$A174="","",'COPY 20 %'!M174)</f>
        <v/>
      </c>
      <c r="J174" s="7">
        <f>IF('COPY 20 %'!$A174="","",'COPY 20 %'!Q174)</f>
        <v/>
      </c>
      <c r="K174" s="7">
        <f>IF('COPY 20 %'!$A174="","",'COPY 20 %'!H174)</f>
        <v/>
      </c>
      <c r="L174" s="7">
        <f>IF('COPY 20 %'!$A174="","",'COPY 20 %'!T174)</f>
        <v/>
      </c>
      <c r="M174">
        <f>IF('COPY 20 %'!$A174="","",'COPY 20 %'!G174)</f>
        <v/>
      </c>
    </row>
    <row r="175">
      <c r="A175">
        <f>IF('COPY 20 %'!$A175="","",ROWS($A$2:$A175))</f>
        <v/>
      </c>
      <c r="B175">
        <f>IF('COPY 20 %'!$A175="","",'COPY 20 %'!E175)</f>
        <v/>
      </c>
      <c r="C175">
        <f>IF('COPY 20 %'!$A175="","",'COPY 20 %'!F175)</f>
        <v/>
      </c>
      <c r="D175" s="14">
        <f>IF('COPY 20 %'!$A175="","",'COPY 20 %'!I175)</f>
        <v/>
      </c>
      <c r="E175" s="7">
        <f>IF('COPY 20 %'!$A175="","",'COPY 20 %'!O175)</f>
        <v/>
      </c>
      <c r="F175" s="7">
        <f>IF('COPY 20 %'!$A175="","",'COPY 20 %'!L175)</f>
        <v/>
      </c>
      <c r="G175" s="7">
        <f>IF('COPY 20 %'!$A175="","",'COPY 20 %'!S175)</f>
        <v/>
      </c>
      <c r="H175">
        <f>IF('COPY 20 %'!$A175="","",'COPY 20 %'!P175)</f>
        <v/>
      </c>
      <c r="I175">
        <f>IF('COPY 20 %'!$A175="","",'COPY 20 %'!M175)</f>
        <v/>
      </c>
      <c r="J175" s="7">
        <f>IF('COPY 20 %'!$A175="","",'COPY 20 %'!Q175)</f>
        <v/>
      </c>
      <c r="K175" s="7">
        <f>IF('COPY 20 %'!$A175="","",'COPY 20 %'!H175)</f>
        <v/>
      </c>
      <c r="L175" s="7">
        <f>IF('COPY 20 %'!$A175="","",'COPY 20 %'!T175)</f>
        <v/>
      </c>
      <c r="M175">
        <f>IF('COPY 20 %'!$A175="","",'COPY 20 %'!G175)</f>
        <v/>
      </c>
    </row>
    <row r="176">
      <c r="A176">
        <f>IF('COPY 20 %'!$A176="","",ROWS($A$2:$A176))</f>
        <v/>
      </c>
      <c r="B176">
        <f>IF('COPY 20 %'!$A176="","",'COPY 20 %'!E176)</f>
        <v/>
      </c>
      <c r="C176">
        <f>IF('COPY 20 %'!$A176="","",'COPY 20 %'!F176)</f>
        <v/>
      </c>
      <c r="D176" s="14">
        <f>IF('COPY 20 %'!$A176="","",'COPY 20 %'!I176)</f>
        <v/>
      </c>
      <c r="E176" s="7">
        <f>IF('COPY 20 %'!$A176="","",'COPY 20 %'!O176)</f>
        <v/>
      </c>
      <c r="F176" s="7">
        <f>IF('COPY 20 %'!$A176="","",'COPY 20 %'!L176)</f>
        <v/>
      </c>
      <c r="G176" s="7">
        <f>IF('COPY 20 %'!$A176="","",'COPY 20 %'!S176)</f>
        <v/>
      </c>
      <c r="H176">
        <f>IF('COPY 20 %'!$A176="","",'COPY 20 %'!P176)</f>
        <v/>
      </c>
      <c r="I176">
        <f>IF('COPY 20 %'!$A176="","",'COPY 20 %'!M176)</f>
        <v/>
      </c>
      <c r="J176" s="7">
        <f>IF('COPY 20 %'!$A176="","",'COPY 20 %'!Q176)</f>
        <v/>
      </c>
      <c r="K176" s="7">
        <f>IF('COPY 20 %'!$A176="","",'COPY 20 %'!H176)</f>
        <v/>
      </c>
      <c r="L176" s="7">
        <f>IF('COPY 20 %'!$A176="","",'COPY 20 %'!T176)</f>
        <v/>
      </c>
      <c r="M176">
        <f>IF('COPY 20 %'!$A176="","",'COPY 20 %'!G176)</f>
        <v/>
      </c>
    </row>
    <row r="177">
      <c r="A177">
        <f>IF('COPY 20 %'!$A177="","",ROWS($A$2:$A177))</f>
        <v/>
      </c>
      <c r="B177">
        <f>IF('COPY 20 %'!$A177="","",'COPY 20 %'!E177)</f>
        <v/>
      </c>
      <c r="C177">
        <f>IF('COPY 20 %'!$A177="","",'COPY 20 %'!F177)</f>
        <v/>
      </c>
      <c r="D177" s="14">
        <f>IF('COPY 20 %'!$A177="","",'COPY 20 %'!I177)</f>
        <v/>
      </c>
      <c r="E177" s="7">
        <f>IF('COPY 20 %'!$A177="","",'COPY 20 %'!O177)</f>
        <v/>
      </c>
      <c r="F177" s="7">
        <f>IF('COPY 20 %'!$A177="","",'COPY 20 %'!L177)</f>
        <v/>
      </c>
      <c r="G177" s="7">
        <f>IF('COPY 20 %'!$A177="","",'COPY 20 %'!S177)</f>
        <v/>
      </c>
      <c r="H177">
        <f>IF('COPY 20 %'!$A177="","",'COPY 20 %'!P177)</f>
        <v/>
      </c>
      <c r="I177">
        <f>IF('COPY 20 %'!$A177="","",'COPY 20 %'!M177)</f>
        <v/>
      </c>
      <c r="J177" s="7">
        <f>IF('COPY 20 %'!$A177="","",'COPY 20 %'!Q177)</f>
        <v/>
      </c>
      <c r="K177" s="7">
        <f>IF('COPY 20 %'!$A177="","",'COPY 20 %'!H177)</f>
        <v/>
      </c>
      <c r="L177" s="7">
        <f>IF('COPY 20 %'!$A177="","",'COPY 20 %'!T177)</f>
        <v/>
      </c>
      <c r="M177">
        <f>IF('COPY 20 %'!$A177="","",'COPY 20 %'!G177)</f>
        <v/>
      </c>
    </row>
    <row r="178">
      <c r="A178">
        <f>IF('COPY 20 %'!$A178="","",ROWS($A$2:$A178))</f>
        <v/>
      </c>
      <c r="B178">
        <f>IF('COPY 20 %'!$A178="","",'COPY 20 %'!E178)</f>
        <v/>
      </c>
      <c r="C178">
        <f>IF('COPY 20 %'!$A178="","",'COPY 20 %'!F178)</f>
        <v/>
      </c>
      <c r="D178" s="14">
        <f>IF('COPY 20 %'!$A178="","",'COPY 20 %'!I178)</f>
        <v/>
      </c>
      <c r="E178" s="7">
        <f>IF('COPY 20 %'!$A178="","",'COPY 20 %'!O178)</f>
        <v/>
      </c>
      <c r="F178" s="7">
        <f>IF('COPY 20 %'!$A178="","",'COPY 20 %'!L178)</f>
        <v/>
      </c>
      <c r="G178" s="7">
        <f>IF('COPY 20 %'!$A178="","",'COPY 20 %'!S178)</f>
        <v/>
      </c>
      <c r="H178">
        <f>IF('COPY 20 %'!$A178="","",'COPY 20 %'!P178)</f>
        <v/>
      </c>
      <c r="I178">
        <f>IF('COPY 20 %'!$A178="","",'COPY 20 %'!M178)</f>
        <v/>
      </c>
      <c r="J178" s="7">
        <f>IF('COPY 20 %'!$A178="","",'COPY 20 %'!Q178)</f>
        <v/>
      </c>
      <c r="K178" s="7">
        <f>IF('COPY 20 %'!$A178="","",'COPY 20 %'!H178)</f>
        <v/>
      </c>
      <c r="L178" s="7">
        <f>IF('COPY 20 %'!$A178="","",'COPY 20 %'!T178)</f>
        <v/>
      </c>
      <c r="M178">
        <f>IF('COPY 20 %'!$A178="","",'COPY 20 %'!G178)</f>
        <v/>
      </c>
    </row>
    <row r="179">
      <c r="A179">
        <f>IF('COPY 20 %'!$A179="","",ROWS($A$2:$A179))</f>
        <v/>
      </c>
      <c r="B179">
        <f>IF('COPY 20 %'!$A179="","",'COPY 20 %'!E179)</f>
        <v/>
      </c>
      <c r="C179">
        <f>IF('COPY 20 %'!$A179="","",'COPY 20 %'!F179)</f>
        <v/>
      </c>
      <c r="D179" s="14">
        <f>IF('COPY 20 %'!$A179="","",'COPY 20 %'!I179)</f>
        <v/>
      </c>
      <c r="E179" s="7">
        <f>IF('COPY 20 %'!$A179="","",'COPY 20 %'!O179)</f>
        <v/>
      </c>
      <c r="F179" s="7">
        <f>IF('COPY 20 %'!$A179="","",'COPY 20 %'!L179)</f>
        <v/>
      </c>
      <c r="G179" s="7">
        <f>IF('COPY 20 %'!$A179="","",'COPY 20 %'!S179)</f>
        <v/>
      </c>
      <c r="H179">
        <f>IF('COPY 20 %'!$A179="","",'COPY 20 %'!P179)</f>
        <v/>
      </c>
      <c r="I179">
        <f>IF('COPY 20 %'!$A179="","",'COPY 20 %'!M179)</f>
        <v/>
      </c>
      <c r="J179" s="7">
        <f>IF('COPY 20 %'!$A179="","",'COPY 20 %'!Q179)</f>
        <v/>
      </c>
      <c r="K179" s="7">
        <f>IF('COPY 20 %'!$A179="","",'COPY 20 %'!H179)</f>
        <v/>
      </c>
      <c r="L179" s="7">
        <f>IF('COPY 20 %'!$A179="","",'COPY 20 %'!T179)</f>
        <v/>
      </c>
      <c r="M179">
        <f>IF('COPY 20 %'!$A179="","",'COPY 20 %'!G179)</f>
        <v/>
      </c>
    </row>
    <row r="180">
      <c r="A180">
        <f>IF('COPY 20 %'!$A180="","",ROWS($A$2:$A180))</f>
        <v/>
      </c>
      <c r="B180">
        <f>IF('COPY 20 %'!$A180="","",'COPY 20 %'!E180)</f>
        <v/>
      </c>
      <c r="C180">
        <f>IF('COPY 20 %'!$A180="","",'COPY 20 %'!F180)</f>
        <v/>
      </c>
      <c r="D180" s="14">
        <f>IF('COPY 20 %'!$A180="","",'COPY 20 %'!I180)</f>
        <v/>
      </c>
      <c r="E180" s="7">
        <f>IF('COPY 20 %'!$A180="","",'COPY 20 %'!O180)</f>
        <v/>
      </c>
      <c r="F180" s="7">
        <f>IF('COPY 20 %'!$A180="","",'COPY 20 %'!L180)</f>
        <v/>
      </c>
      <c r="G180" s="7">
        <f>IF('COPY 20 %'!$A180="","",'COPY 20 %'!S180)</f>
        <v/>
      </c>
      <c r="H180">
        <f>IF('COPY 20 %'!$A180="","",'COPY 20 %'!P180)</f>
        <v/>
      </c>
      <c r="I180">
        <f>IF('COPY 20 %'!$A180="","",'COPY 20 %'!M180)</f>
        <v/>
      </c>
      <c r="J180" s="7">
        <f>IF('COPY 20 %'!$A180="","",'COPY 20 %'!Q180)</f>
        <v/>
      </c>
      <c r="K180" s="7">
        <f>IF('COPY 20 %'!$A180="","",'COPY 20 %'!H180)</f>
        <v/>
      </c>
      <c r="L180" s="7">
        <f>IF('COPY 20 %'!$A180="","",'COPY 20 %'!T180)</f>
        <v/>
      </c>
      <c r="M180">
        <f>IF('COPY 20 %'!$A180="","",'COPY 20 %'!G180)</f>
        <v/>
      </c>
    </row>
    <row r="181">
      <c r="A181">
        <f>IF('COPY 20 %'!$A181="","",ROWS($A$2:$A181))</f>
        <v/>
      </c>
      <c r="B181">
        <f>IF('COPY 20 %'!$A181="","",'COPY 20 %'!E181)</f>
        <v/>
      </c>
      <c r="C181">
        <f>IF('COPY 20 %'!$A181="","",'COPY 20 %'!F181)</f>
        <v/>
      </c>
      <c r="D181" s="14">
        <f>IF('COPY 20 %'!$A181="","",'COPY 20 %'!I181)</f>
        <v/>
      </c>
      <c r="E181" s="7">
        <f>IF('COPY 20 %'!$A181="","",'COPY 20 %'!O181)</f>
        <v/>
      </c>
      <c r="F181" s="7">
        <f>IF('COPY 20 %'!$A181="","",'COPY 20 %'!L181)</f>
        <v/>
      </c>
      <c r="G181" s="7">
        <f>IF('COPY 20 %'!$A181="","",'COPY 20 %'!S181)</f>
        <v/>
      </c>
      <c r="H181">
        <f>IF('COPY 20 %'!$A181="","",'COPY 20 %'!P181)</f>
        <v/>
      </c>
      <c r="I181">
        <f>IF('COPY 20 %'!$A181="","",'COPY 20 %'!M181)</f>
        <v/>
      </c>
      <c r="J181" s="7">
        <f>IF('COPY 20 %'!$A181="","",'COPY 20 %'!Q181)</f>
        <v/>
      </c>
      <c r="K181" s="7">
        <f>IF('COPY 20 %'!$A181="","",'COPY 20 %'!H181)</f>
        <v/>
      </c>
      <c r="L181" s="7">
        <f>IF('COPY 20 %'!$A181="","",'COPY 20 %'!T181)</f>
        <v/>
      </c>
      <c r="M181">
        <f>IF('COPY 20 %'!$A181="","",'COPY 20 %'!G181)</f>
        <v/>
      </c>
    </row>
    <row r="182">
      <c r="A182">
        <f>IF('COPY 20 %'!$A182="","",ROWS($A$2:$A182))</f>
        <v/>
      </c>
      <c r="B182">
        <f>IF('COPY 20 %'!$A182="","",'COPY 20 %'!E182)</f>
        <v/>
      </c>
      <c r="C182">
        <f>IF('COPY 20 %'!$A182="","",'COPY 20 %'!F182)</f>
        <v/>
      </c>
      <c r="D182" s="14">
        <f>IF('COPY 20 %'!$A182="","",'COPY 20 %'!I182)</f>
        <v/>
      </c>
      <c r="E182" s="7">
        <f>IF('COPY 20 %'!$A182="","",'COPY 20 %'!O182)</f>
        <v/>
      </c>
      <c r="F182" s="7">
        <f>IF('COPY 20 %'!$A182="","",'COPY 20 %'!L182)</f>
        <v/>
      </c>
      <c r="G182" s="7">
        <f>IF('COPY 20 %'!$A182="","",'COPY 20 %'!S182)</f>
        <v/>
      </c>
      <c r="H182">
        <f>IF('COPY 20 %'!$A182="","",'COPY 20 %'!P182)</f>
        <v/>
      </c>
      <c r="I182">
        <f>IF('COPY 20 %'!$A182="","",'COPY 20 %'!M182)</f>
        <v/>
      </c>
      <c r="J182" s="7">
        <f>IF('COPY 20 %'!$A182="","",'COPY 20 %'!Q182)</f>
        <v/>
      </c>
      <c r="K182" s="7">
        <f>IF('COPY 20 %'!$A182="","",'COPY 20 %'!H182)</f>
        <v/>
      </c>
      <c r="L182" s="7">
        <f>IF('COPY 20 %'!$A182="","",'COPY 20 %'!T182)</f>
        <v/>
      </c>
      <c r="M182">
        <f>IF('COPY 20 %'!$A182="","",'COPY 20 %'!G182)</f>
        <v/>
      </c>
    </row>
    <row r="183">
      <c r="A183">
        <f>IF('COPY 20 %'!$A183="","",ROWS($A$2:$A183))</f>
        <v/>
      </c>
      <c r="B183">
        <f>IF('COPY 20 %'!$A183="","",'COPY 20 %'!E183)</f>
        <v/>
      </c>
      <c r="C183">
        <f>IF('COPY 20 %'!$A183="","",'COPY 20 %'!F183)</f>
        <v/>
      </c>
      <c r="D183" s="14">
        <f>IF('COPY 20 %'!$A183="","",'COPY 20 %'!I183)</f>
        <v/>
      </c>
      <c r="E183" s="7">
        <f>IF('COPY 20 %'!$A183="","",'COPY 20 %'!O183)</f>
        <v/>
      </c>
      <c r="F183" s="7">
        <f>IF('COPY 20 %'!$A183="","",'COPY 20 %'!L183)</f>
        <v/>
      </c>
      <c r="G183" s="7">
        <f>IF('COPY 20 %'!$A183="","",'COPY 20 %'!S183)</f>
        <v/>
      </c>
      <c r="H183">
        <f>IF('COPY 20 %'!$A183="","",'COPY 20 %'!P183)</f>
        <v/>
      </c>
      <c r="I183">
        <f>IF('COPY 20 %'!$A183="","",'COPY 20 %'!M183)</f>
        <v/>
      </c>
      <c r="J183" s="7">
        <f>IF('COPY 20 %'!$A183="","",'COPY 20 %'!Q183)</f>
        <v/>
      </c>
      <c r="K183" s="7">
        <f>IF('COPY 20 %'!$A183="","",'COPY 20 %'!H183)</f>
        <v/>
      </c>
      <c r="L183" s="7">
        <f>IF('COPY 20 %'!$A183="","",'COPY 20 %'!T183)</f>
        <v/>
      </c>
      <c r="M183">
        <f>IF('COPY 20 %'!$A183="","",'COPY 20 %'!G183)</f>
        <v/>
      </c>
    </row>
    <row r="184">
      <c r="A184">
        <f>IF('COPY 20 %'!$A184="","",ROWS($A$2:$A184))</f>
        <v/>
      </c>
      <c r="B184">
        <f>IF('COPY 20 %'!$A184="","",'COPY 20 %'!E184)</f>
        <v/>
      </c>
      <c r="C184">
        <f>IF('COPY 20 %'!$A184="","",'COPY 20 %'!F184)</f>
        <v/>
      </c>
      <c r="D184" s="14">
        <f>IF('COPY 20 %'!$A184="","",'COPY 20 %'!I184)</f>
        <v/>
      </c>
      <c r="E184" s="7">
        <f>IF('COPY 20 %'!$A184="","",'COPY 20 %'!O184)</f>
        <v/>
      </c>
      <c r="F184" s="7">
        <f>IF('COPY 20 %'!$A184="","",'COPY 20 %'!L184)</f>
        <v/>
      </c>
      <c r="G184" s="7">
        <f>IF('COPY 20 %'!$A184="","",'COPY 20 %'!S184)</f>
        <v/>
      </c>
      <c r="H184">
        <f>IF('COPY 20 %'!$A184="","",'COPY 20 %'!P184)</f>
        <v/>
      </c>
      <c r="I184">
        <f>IF('COPY 20 %'!$A184="","",'COPY 20 %'!M184)</f>
        <v/>
      </c>
      <c r="J184" s="7">
        <f>IF('COPY 20 %'!$A184="","",'COPY 20 %'!Q184)</f>
        <v/>
      </c>
      <c r="K184" s="7">
        <f>IF('COPY 20 %'!$A184="","",'COPY 20 %'!H184)</f>
        <v/>
      </c>
      <c r="L184" s="7">
        <f>IF('COPY 20 %'!$A184="","",'COPY 20 %'!T184)</f>
        <v/>
      </c>
      <c r="M184">
        <f>IF('COPY 20 %'!$A184="","",'COPY 20 %'!G184)</f>
        <v/>
      </c>
    </row>
    <row r="185">
      <c r="A185">
        <f>IF('COPY 20 %'!$A185="","",ROWS($A$2:$A185))</f>
        <v/>
      </c>
      <c r="B185">
        <f>IF('COPY 20 %'!$A185="","",'COPY 20 %'!E185)</f>
        <v/>
      </c>
      <c r="C185">
        <f>IF('COPY 20 %'!$A185="","",'COPY 20 %'!F185)</f>
        <v/>
      </c>
      <c r="D185" s="14">
        <f>IF('COPY 20 %'!$A185="","",'COPY 20 %'!I185)</f>
        <v/>
      </c>
      <c r="E185" s="7">
        <f>IF('COPY 20 %'!$A185="","",'COPY 20 %'!O185)</f>
        <v/>
      </c>
      <c r="F185" s="7">
        <f>IF('COPY 20 %'!$A185="","",'COPY 20 %'!L185)</f>
        <v/>
      </c>
      <c r="G185" s="7">
        <f>IF('COPY 20 %'!$A185="","",'COPY 20 %'!S185)</f>
        <v/>
      </c>
      <c r="H185">
        <f>IF('COPY 20 %'!$A185="","",'COPY 20 %'!P185)</f>
        <v/>
      </c>
      <c r="I185">
        <f>IF('COPY 20 %'!$A185="","",'COPY 20 %'!M185)</f>
        <v/>
      </c>
      <c r="J185" s="7">
        <f>IF('COPY 20 %'!$A185="","",'COPY 20 %'!Q185)</f>
        <v/>
      </c>
      <c r="K185" s="7">
        <f>IF('COPY 20 %'!$A185="","",'COPY 20 %'!H185)</f>
        <v/>
      </c>
      <c r="L185" s="7">
        <f>IF('COPY 20 %'!$A185="","",'COPY 20 %'!T185)</f>
        <v/>
      </c>
      <c r="M185">
        <f>IF('COPY 20 %'!$A185="","",'COPY 20 %'!G185)</f>
        <v/>
      </c>
    </row>
    <row r="186">
      <c r="A186">
        <f>IF('COPY 20 %'!$A186="","",ROWS($A$2:$A186))</f>
        <v/>
      </c>
      <c r="B186">
        <f>IF('COPY 20 %'!$A186="","",'COPY 20 %'!E186)</f>
        <v/>
      </c>
      <c r="C186">
        <f>IF('COPY 20 %'!$A186="","",'COPY 20 %'!F186)</f>
        <v/>
      </c>
      <c r="D186" s="14">
        <f>IF('COPY 20 %'!$A186="","",'COPY 20 %'!I186)</f>
        <v/>
      </c>
      <c r="E186" s="7">
        <f>IF('COPY 20 %'!$A186="","",'COPY 20 %'!O186)</f>
        <v/>
      </c>
      <c r="F186" s="7">
        <f>IF('COPY 20 %'!$A186="","",'COPY 20 %'!L186)</f>
        <v/>
      </c>
      <c r="G186" s="7">
        <f>IF('COPY 20 %'!$A186="","",'COPY 20 %'!S186)</f>
        <v/>
      </c>
      <c r="H186">
        <f>IF('COPY 20 %'!$A186="","",'COPY 20 %'!P186)</f>
        <v/>
      </c>
      <c r="I186">
        <f>IF('COPY 20 %'!$A186="","",'COPY 20 %'!M186)</f>
        <v/>
      </c>
      <c r="J186" s="7">
        <f>IF('COPY 20 %'!$A186="","",'COPY 20 %'!Q186)</f>
        <v/>
      </c>
      <c r="K186" s="7">
        <f>IF('COPY 20 %'!$A186="","",'COPY 20 %'!H186)</f>
        <v/>
      </c>
      <c r="L186" s="7">
        <f>IF('COPY 20 %'!$A186="","",'COPY 20 %'!T186)</f>
        <v/>
      </c>
      <c r="M186">
        <f>IF('COPY 20 %'!$A186="","",'COPY 20 %'!G186)</f>
        <v/>
      </c>
    </row>
    <row r="187">
      <c r="A187">
        <f>IF('COPY 20 %'!$A187="","",ROWS($A$2:$A187))</f>
        <v/>
      </c>
      <c r="B187">
        <f>IF('COPY 20 %'!$A187="","",'COPY 20 %'!E187)</f>
        <v/>
      </c>
      <c r="C187">
        <f>IF('COPY 20 %'!$A187="","",'COPY 20 %'!F187)</f>
        <v/>
      </c>
      <c r="D187" s="14">
        <f>IF('COPY 20 %'!$A187="","",'COPY 20 %'!I187)</f>
        <v/>
      </c>
      <c r="E187" s="7">
        <f>IF('COPY 20 %'!$A187="","",'COPY 20 %'!O187)</f>
        <v/>
      </c>
      <c r="F187" s="7">
        <f>IF('COPY 20 %'!$A187="","",'COPY 20 %'!L187)</f>
        <v/>
      </c>
      <c r="G187" s="7">
        <f>IF('COPY 20 %'!$A187="","",'COPY 20 %'!S187)</f>
        <v/>
      </c>
      <c r="H187">
        <f>IF('COPY 20 %'!$A187="","",'COPY 20 %'!P187)</f>
        <v/>
      </c>
      <c r="I187">
        <f>IF('COPY 20 %'!$A187="","",'COPY 20 %'!M187)</f>
        <v/>
      </c>
      <c r="J187" s="7">
        <f>IF('COPY 20 %'!$A187="","",'COPY 20 %'!Q187)</f>
        <v/>
      </c>
      <c r="K187" s="7">
        <f>IF('COPY 20 %'!$A187="","",'COPY 20 %'!H187)</f>
        <v/>
      </c>
      <c r="L187" s="7">
        <f>IF('COPY 20 %'!$A187="","",'COPY 20 %'!T187)</f>
        <v/>
      </c>
      <c r="M187">
        <f>IF('COPY 20 %'!$A187="","",'COPY 20 %'!G187)</f>
        <v/>
      </c>
    </row>
    <row r="188">
      <c r="A188">
        <f>IF('COPY 20 %'!$A188="","",ROWS($A$2:$A188))</f>
        <v/>
      </c>
      <c r="B188">
        <f>IF('COPY 20 %'!$A188="","",'COPY 20 %'!E188)</f>
        <v/>
      </c>
      <c r="C188">
        <f>IF('COPY 20 %'!$A188="","",'COPY 20 %'!F188)</f>
        <v/>
      </c>
      <c r="D188" s="14">
        <f>IF('COPY 20 %'!$A188="","",'COPY 20 %'!I188)</f>
        <v/>
      </c>
      <c r="E188" s="7">
        <f>IF('COPY 20 %'!$A188="","",'COPY 20 %'!O188)</f>
        <v/>
      </c>
      <c r="F188" s="7">
        <f>IF('COPY 20 %'!$A188="","",'COPY 20 %'!L188)</f>
        <v/>
      </c>
      <c r="G188" s="7">
        <f>IF('COPY 20 %'!$A188="","",'COPY 20 %'!S188)</f>
        <v/>
      </c>
      <c r="H188">
        <f>IF('COPY 20 %'!$A188="","",'COPY 20 %'!P188)</f>
        <v/>
      </c>
      <c r="I188">
        <f>IF('COPY 20 %'!$A188="","",'COPY 20 %'!M188)</f>
        <v/>
      </c>
      <c r="J188" s="7">
        <f>IF('COPY 20 %'!$A188="","",'COPY 20 %'!Q188)</f>
        <v/>
      </c>
      <c r="K188" s="7">
        <f>IF('COPY 20 %'!$A188="","",'COPY 20 %'!H188)</f>
        <v/>
      </c>
      <c r="L188" s="7">
        <f>IF('COPY 20 %'!$A188="","",'COPY 20 %'!T188)</f>
        <v/>
      </c>
      <c r="M188">
        <f>IF('COPY 20 %'!$A188="","",'COPY 20 %'!G188)</f>
        <v/>
      </c>
    </row>
    <row r="189">
      <c r="A189">
        <f>IF('COPY 20 %'!$A189="","",ROWS($A$2:$A189))</f>
        <v/>
      </c>
      <c r="B189">
        <f>IF('COPY 20 %'!$A189="","",'COPY 20 %'!E189)</f>
        <v/>
      </c>
      <c r="C189">
        <f>IF('COPY 20 %'!$A189="","",'COPY 20 %'!F189)</f>
        <v/>
      </c>
      <c r="D189" s="14">
        <f>IF('COPY 20 %'!$A189="","",'COPY 20 %'!I189)</f>
        <v/>
      </c>
      <c r="E189" s="7">
        <f>IF('COPY 20 %'!$A189="","",'COPY 20 %'!O189)</f>
        <v/>
      </c>
      <c r="F189" s="7">
        <f>IF('COPY 20 %'!$A189="","",'COPY 20 %'!L189)</f>
        <v/>
      </c>
      <c r="G189" s="7">
        <f>IF('COPY 20 %'!$A189="","",'COPY 20 %'!S189)</f>
        <v/>
      </c>
      <c r="H189">
        <f>IF('COPY 20 %'!$A189="","",'COPY 20 %'!P189)</f>
        <v/>
      </c>
      <c r="I189">
        <f>IF('COPY 20 %'!$A189="","",'COPY 20 %'!M189)</f>
        <v/>
      </c>
      <c r="J189" s="7">
        <f>IF('COPY 20 %'!$A189="","",'COPY 20 %'!Q189)</f>
        <v/>
      </c>
      <c r="K189" s="7">
        <f>IF('COPY 20 %'!$A189="","",'COPY 20 %'!H189)</f>
        <v/>
      </c>
      <c r="L189" s="7">
        <f>IF('COPY 20 %'!$A189="","",'COPY 20 %'!T189)</f>
        <v/>
      </c>
      <c r="M189">
        <f>IF('COPY 20 %'!$A189="","",'COPY 20 %'!G189)</f>
        <v/>
      </c>
    </row>
    <row r="190">
      <c r="A190">
        <f>IF('COPY 20 %'!$A190="","",ROWS($A$2:$A190))</f>
        <v/>
      </c>
      <c r="B190">
        <f>IF('COPY 20 %'!$A190="","",'COPY 20 %'!E190)</f>
        <v/>
      </c>
      <c r="C190">
        <f>IF('COPY 20 %'!$A190="","",'COPY 20 %'!F190)</f>
        <v/>
      </c>
      <c r="D190" s="14">
        <f>IF('COPY 20 %'!$A190="","",'COPY 20 %'!I190)</f>
        <v/>
      </c>
      <c r="E190" s="7">
        <f>IF('COPY 20 %'!$A190="","",'COPY 20 %'!O190)</f>
        <v/>
      </c>
      <c r="F190" s="7">
        <f>IF('COPY 20 %'!$A190="","",'COPY 20 %'!L190)</f>
        <v/>
      </c>
      <c r="G190" s="7">
        <f>IF('COPY 20 %'!$A190="","",'COPY 20 %'!S190)</f>
        <v/>
      </c>
      <c r="H190">
        <f>IF('COPY 20 %'!$A190="","",'COPY 20 %'!P190)</f>
        <v/>
      </c>
      <c r="I190">
        <f>IF('COPY 20 %'!$A190="","",'COPY 20 %'!M190)</f>
        <v/>
      </c>
      <c r="J190" s="7">
        <f>IF('COPY 20 %'!$A190="","",'COPY 20 %'!Q190)</f>
        <v/>
      </c>
      <c r="K190" s="7">
        <f>IF('COPY 20 %'!$A190="","",'COPY 20 %'!H190)</f>
        <v/>
      </c>
      <c r="L190" s="7">
        <f>IF('COPY 20 %'!$A190="","",'COPY 20 %'!T190)</f>
        <v/>
      </c>
      <c r="M190">
        <f>IF('COPY 20 %'!$A190="","",'COPY 20 %'!G190)</f>
        <v/>
      </c>
    </row>
    <row r="191">
      <c r="A191">
        <f>IF('COPY 20 %'!$A191="","",ROWS($A$2:$A191))</f>
        <v/>
      </c>
      <c r="B191">
        <f>IF('COPY 20 %'!$A191="","",'COPY 20 %'!E191)</f>
        <v/>
      </c>
      <c r="C191">
        <f>IF('COPY 20 %'!$A191="","",'COPY 20 %'!F191)</f>
        <v/>
      </c>
      <c r="D191" s="14">
        <f>IF('COPY 20 %'!$A191="","",'COPY 20 %'!I191)</f>
        <v/>
      </c>
      <c r="E191" s="7">
        <f>IF('COPY 20 %'!$A191="","",'COPY 20 %'!O191)</f>
        <v/>
      </c>
      <c r="F191" s="7">
        <f>IF('COPY 20 %'!$A191="","",'COPY 20 %'!L191)</f>
        <v/>
      </c>
      <c r="G191" s="7">
        <f>IF('COPY 20 %'!$A191="","",'COPY 20 %'!S191)</f>
        <v/>
      </c>
      <c r="H191">
        <f>IF('COPY 20 %'!$A191="","",'COPY 20 %'!P191)</f>
        <v/>
      </c>
      <c r="I191">
        <f>IF('COPY 20 %'!$A191="","",'COPY 20 %'!M191)</f>
        <v/>
      </c>
      <c r="J191" s="7">
        <f>IF('COPY 20 %'!$A191="","",'COPY 20 %'!Q191)</f>
        <v/>
      </c>
      <c r="K191" s="7">
        <f>IF('COPY 20 %'!$A191="","",'COPY 20 %'!H191)</f>
        <v/>
      </c>
      <c r="L191" s="7">
        <f>IF('COPY 20 %'!$A191="","",'COPY 20 %'!T191)</f>
        <v/>
      </c>
      <c r="M191">
        <f>IF('COPY 20 %'!$A191="","",'COPY 20 %'!G191)</f>
        <v/>
      </c>
    </row>
    <row r="192">
      <c r="A192">
        <f>IF('COPY 20 %'!$A192="","",ROWS($A$2:$A192))</f>
        <v/>
      </c>
      <c r="B192">
        <f>IF('COPY 20 %'!$A192="","",'COPY 20 %'!E192)</f>
        <v/>
      </c>
      <c r="C192">
        <f>IF('COPY 20 %'!$A192="","",'COPY 20 %'!F192)</f>
        <v/>
      </c>
      <c r="D192" s="14">
        <f>IF('COPY 20 %'!$A192="","",'COPY 20 %'!I192)</f>
        <v/>
      </c>
      <c r="E192" s="7">
        <f>IF('COPY 20 %'!$A192="","",'COPY 20 %'!O192)</f>
        <v/>
      </c>
      <c r="F192" s="7">
        <f>IF('COPY 20 %'!$A192="","",'COPY 20 %'!L192)</f>
        <v/>
      </c>
      <c r="G192" s="7">
        <f>IF('COPY 20 %'!$A192="","",'COPY 20 %'!S192)</f>
        <v/>
      </c>
      <c r="H192">
        <f>IF('COPY 20 %'!$A192="","",'COPY 20 %'!P192)</f>
        <v/>
      </c>
      <c r="I192">
        <f>IF('COPY 20 %'!$A192="","",'COPY 20 %'!M192)</f>
        <v/>
      </c>
      <c r="J192" s="7">
        <f>IF('COPY 20 %'!$A192="","",'COPY 20 %'!Q192)</f>
        <v/>
      </c>
      <c r="K192" s="7">
        <f>IF('COPY 20 %'!$A192="","",'COPY 20 %'!H192)</f>
        <v/>
      </c>
      <c r="L192" s="7">
        <f>IF('COPY 20 %'!$A192="","",'COPY 20 %'!T192)</f>
        <v/>
      </c>
      <c r="M192">
        <f>IF('COPY 20 %'!$A192="","",'COPY 20 %'!G192)</f>
        <v/>
      </c>
    </row>
    <row r="193">
      <c r="A193">
        <f>IF('COPY 20 %'!$A193="","",ROWS($A$2:$A193))</f>
        <v/>
      </c>
      <c r="B193">
        <f>IF('COPY 20 %'!$A193="","",'COPY 20 %'!E193)</f>
        <v/>
      </c>
      <c r="C193">
        <f>IF('COPY 20 %'!$A193="","",'COPY 20 %'!F193)</f>
        <v/>
      </c>
      <c r="D193" s="14">
        <f>IF('COPY 20 %'!$A193="","",'COPY 20 %'!I193)</f>
        <v/>
      </c>
      <c r="E193" s="7">
        <f>IF('COPY 20 %'!$A193="","",'COPY 20 %'!O193)</f>
        <v/>
      </c>
      <c r="F193" s="7">
        <f>IF('COPY 20 %'!$A193="","",'COPY 20 %'!L193)</f>
        <v/>
      </c>
      <c r="G193" s="7">
        <f>IF('COPY 20 %'!$A193="","",'COPY 20 %'!S193)</f>
        <v/>
      </c>
      <c r="H193">
        <f>IF('COPY 20 %'!$A193="","",'COPY 20 %'!P193)</f>
        <v/>
      </c>
      <c r="I193">
        <f>IF('COPY 20 %'!$A193="","",'COPY 20 %'!M193)</f>
        <v/>
      </c>
      <c r="J193" s="7">
        <f>IF('COPY 20 %'!$A193="","",'COPY 20 %'!Q193)</f>
        <v/>
      </c>
      <c r="K193" s="7">
        <f>IF('COPY 20 %'!$A193="","",'COPY 20 %'!H193)</f>
        <v/>
      </c>
      <c r="L193" s="7">
        <f>IF('COPY 20 %'!$A193="","",'COPY 20 %'!T193)</f>
        <v/>
      </c>
      <c r="M193">
        <f>IF('COPY 20 %'!$A193="","",'COPY 20 %'!G193)</f>
        <v/>
      </c>
    </row>
    <row r="194">
      <c r="A194">
        <f>IF('COPY 20 %'!$A194="","",ROWS($A$2:$A194))</f>
        <v/>
      </c>
      <c r="B194">
        <f>IF('COPY 20 %'!$A194="","",'COPY 20 %'!E194)</f>
        <v/>
      </c>
      <c r="C194">
        <f>IF('COPY 20 %'!$A194="","",'COPY 20 %'!F194)</f>
        <v/>
      </c>
      <c r="D194" s="14">
        <f>IF('COPY 20 %'!$A194="","",'COPY 20 %'!I194)</f>
        <v/>
      </c>
      <c r="E194" s="7">
        <f>IF('COPY 20 %'!$A194="","",'COPY 20 %'!O194)</f>
        <v/>
      </c>
      <c r="F194" s="7">
        <f>IF('COPY 20 %'!$A194="","",'COPY 20 %'!L194)</f>
        <v/>
      </c>
      <c r="G194" s="7">
        <f>IF('COPY 20 %'!$A194="","",'COPY 20 %'!S194)</f>
        <v/>
      </c>
      <c r="H194">
        <f>IF('COPY 20 %'!$A194="","",'COPY 20 %'!P194)</f>
        <v/>
      </c>
      <c r="I194">
        <f>IF('COPY 20 %'!$A194="","",'COPY 20 %'!M194)</f>
        <v/>
      </c>
      <c r="J194" s="7">
        <f>IF('COPY 20 %'!$A194="","",'COPY 20 %'!Q194)</f>
        <v/>
      </c>
      <c r="K194" s="7">
        <f>IF('COPY 20 %'!$A194="","",'COPY 20 %'!H194)</f>
        <v/>
      </c>
      <c r="L194" s="7">
        <f>IF('COPY 20 %'!$A194="","",'COPY 20 %'!T194)</f>
        <v/>
      </c>
      <c r="M194">
        <f>IF('COPY 20 %'!$A194="","",'COPY 20 %'!G194)</f>
        <v/>
      </c>
    </row>
    <row r="195">
      <c r="A195">
        <f>IF('COPY 20 %'!$A195="","",ROWS($A$2:$A195))</f>
        <v/>
      </c>
      <c r="B195">
        <f>IF('COPY 20 %'!$A195="","",'COPY 20 %'!E195)</f>
        <v/>
      </c>
      <c r="C195">
        <f>IF('COPY 20 %'!$A195="","",'COPY 20 %'!F195)</f>
        <v/>
      </c>
      <c r="D195" s="14">
        <f>IF('COPY 20 %'!$A195="","",'COPY 20 %'!I195)</f>
        <v/>
      </c>
      <c r="E195" s="7">
        <f>IF('COPY 20 %'!$A195="","",'COPY 20 %'!O195)</f>
        <v/>
      </c>
      <c r="F195" s="7">
        <f>IF('COPY 20 %'!$A195="","",'COPY 20 %'!L195)</f>
        <v/>
      </c>
      <c r="G195" s="7">
        <f>IF('COPY 20 %'!$A195="","",'COPY 20 %'!S195)</f>
        <v/>
      </c>
      <c r="H195">
        <f>IF('COPY 20 %'!$A195="","",'COPY 20 %'!P195)</f>
        <v/>
      </c>
      <c r="I195">
        <f>IF('COPY 20 %'!$A195="","",'COPY 20 %'!M195)</f>
        <v/>
      </c>
      <c r="J195" s="7">
        <f>IF('COPY 20 %'!$A195="","",'COPY 20 %'!Q195)</f>
        <v/>
      </c>
      <c r="K195" s="7">
        <f>IF('COPY 20 %'!$A195="","",'COPY 20 %'!H195)</f>
        <v/>
      </c>
      <c r="L195" s="7">
        <f>IF('COPY 20 %'!$A195="","",'COPY 20 %'!T195)</f>
        <v/>
      </c>
      <c r="M195">
        <f>IF('COPY 20 %'!$A195="","",'COPY 20 %'!G195)</f>
        <v/>
      </c>
    </row>
    <row r="196">
      <c r="A196">
        <f>IF('COPY 20 %'!$A196="","",ROWS($A$2:$A196))</f>
        <v/>
      </c>
      <c r="B196">
        <f>IF('COPY 20 %'!$A196="","",'COPY 20 %'!E196)</f>
        <v/>
      </c>
      <c r="C196">
        <f>IF('COPY 20 %'!$A196="","",'COPY 20 %'!F196)</f>
        <v/>
      </c>
      <c r="D196" s="14">
        <f>IF('COPY 20 %'!$A196="","",'COPY 20 %'!I196)</f>
        <v/>
      </c>
      <c r="E196" s="7">
        <f>IF('COPY 20 %'!$A196="","",'COPY 20 %'!O196)</f>
        <v/>
      </c>
      <c r="F196" s="7">
        <f>IF('COPY 20 %'!$A196="","",'COPY 20 %'!L196)</f>
        <v/>
      </c>
      <c r="G196" s="7">
        <f>IF('COPY 20 %'!$A196="","",'COPY 20 %'!S196)</f>
        <v/>
      </c>
      <c r="H196">
        <f>IF('COPY 20 %'!$A196="","",'COPY 20 %'!P196)</f>
        <v/>
      </c>
      <c r="I196">
        <f>IF('COPY 20 %'!$A196="","",'COPY 20 %'!M196)</f>
        <v/>
      </c>
      <c r="J196" s="7">
        <f>IF('COPY 20 %'!$A196="","",'COPY 20 %'!Q196)</f>
        <v/>
      </c>
      <c r="K196" s="7">
        <f>IF('COPY 20 %'!$A196="","",'COPY 20 %'!H196)</f>
        <v/>
      </c>
      <c r="L196" s="7">
        <f>IF('COPY 20 %'!$A196="","",'COPY 20 %'!T196)</f>
        <v/>
      </c>
      <c r="M196">
        <f>IF('COPY 20 %'!$A196="","",'COPY 20 %'!G196)</f>
        <v/>
      </c>
    </row>
    <row r="197">
      <c r="A197">
        <f>IF('COPY 20 %'!$A197="","",ROWS($A$2:$A197))</f>
        <v/>
      </c>
      <c r="B197">
        <f>IF('COPY 20 %'!$A197="","",'COPY 20 %'!E197)</f>
        <v/>
      </c>
      <c r="C197">
        <f>IF('COPY 20 %'!$A197="","",'COPY 20 %'!F197)</f>
        <v/>
      </c>
      <c r="D197" s="14">
        <f>IF('COPY 20 %'!$A197="","",'COPY 20 %'!I197)</f>
        <v/>
      </c>
      <c r="E197" s="7">
        <f>IF('COPY 20 %'!$A197="","",'COPY 20 %'!O197)</f>
        <v/>
      </c>
      <c r="F197" s="7">
        <f>IF('COPY 20 %'!$A197="","",'COPY 20 %'!L197)</f>
        <v/>
      </c>
      <c r="G197" s="7">
        <f>IF('COPY 20 %'!$A197="","",'COPY 20 %'!S197)</f>
        <v/>
      </c>
      <c r="H197">
        <f>IF('COPY 20 %'!$A197="","",'COPY 20 %'!P197)</f>
        <v/>
      </c>
      <c r="I197">
        <f>IF('COPY 20 %'!$A197="","",'COPY 20 %'!M197)</f>
        <v/>
      </c>
      <c r="J197" s="7">
        <f>IF('COPY 20 %'!$A197="","",'COPY 20 %'!Q197)</f>
        <v/>
      </c>
      <c r="K197" s="7">
        <f>IF('COPY 20 %'!$A197="","",'COPY 20 %'!H197)</f>
        <v/>
      </c>
      <c r="L197" s="7">
        <f>IF('COPY 20 %'!$A197="","",'COPY 20 %'!T197)</f>
        <v/>
      </c>
      <c r="M197">
        <f>IF('COPY 20 %'!$A197="","",'COPY 20 %'!G197)</f>
        <v/>
      </c>
    </row>
    <row r="198">
      <c r="A198">
        <f>IF('COPY 20 %'!$A198="","",ROWS($A$2:$A198))</f>
        <v/>
      </c>
      <c r="B198">
        <f>IF('COPY 20 %'!$A198="","",'COPY 20 %'!E198)</f>
        <v/>
      </c>
      <c r="C198">
        <f>IF('COPY 20 %'!$A198="","",'COPY 20 %'!F198)</f>
        <v/>
      </c>
      <c r="D198" s="14">
        <f>IF('COPY 20 %'!$A198="","",'COPY 20 %'!I198)</f>
        <v/>
      </c>
      <c r="E198" s="7">
        <f>IF('COPY 20 %'!$A198="","",'COPY 20 %'!O198)</f>
        <v/>
      </c>
      <c r="F198" s="7">
        <f>IF('COPY 20 %'!$A198="","",'COPY 20 %'!L198)</f>
        <v/>
      </c>
      <c r="G198" s="7">
        <f>IF('COPY 20 %'!$A198="","",'COPY 20 %'!S198)</f>
        <v/>
      </c>
      <c r="H198">
        <f>IF('COPY 20 %'!$A198="","",'COPY 20 %'!P198)</f>
        <v/>
      </c>
      <c r="I198">
        <f>IF('COPY 20 %'!$A198="","",'COPY 20 %'!M198)</f>
        <v/>
      </c>
      <c r="J198" s="7">
        <f>IF('COPY 20 %'!$A198="","",'COPY 20 %'!Q198)</f>
        <v/>
      </c>
      <c r="K198" s="7">
        <f>IF('COPY 20 %'!$A198="","",'COPY 20 %'!H198)</f>
        <v/>
      </c>
      <c r="L198" s="7">
        <f>IF('COPY 20 %'!$A198="","",'COPY 20 %'!T198)</f>
        <v/>
      </c>
      <c r="M198">
        <f>IF('COPY 20 %'!$A198="","",'COPY 20 %'!G198)</f>
        <v/>
      </c>
    </row>
    <row r="199">
      <c r="A199">
        <f>IF('COPY 20 %'!$A199="","",ROWS($A$2:$A199))</f>
        <v/>
      </c>
      <c r="B199">
        <f>IF('COPY 20 %'!$A199="","",'COPY 20 %'!E199)</f>
        <v/>
      </c>
      <c r="C199">
        <f>IF('COPY 20 %'!$A199="","",'COPY 20 %'!F199)</f>
        <v/>
      </c>
      <c r="D199" s="14">
        <f>IF('COPY 20 %'!$A199="","",'COPY 20 %'!I199)</f>
        <v/>
      </c>
      <c r="E199" s="7">
        <f>IF('COPY 20 %'!$A199="","",'COPY 20 %'!O199)</f>
        <v/>
      </c>
      <c r="F199" s="7">
        <f>IF('COPY 20 %'!$A199="","",'COPY 20 %'!L199)</f>
        <v/>
      </c>
      <c r="G199" s="7">
        <f>IF('COPY 20 %'!$A199="","",'COPY 20 %'!S199)</f>
        <v/>
      </c>
      <c r="H199">
        <f>IF('COPY 20 %'!$A199="","",'COPY 20 %'!P199)</f>
        <v/>
      </c>
      <c r="I199">
        <f>IF('COPY 20 %'!$A199="","",'COPY 20 %'!M199)</f>
        <v/>
      </c>
      <c r="J199" s="7">
        <f>IF('COPY 20 %'!$A199="","",'COPY 20 %'!Q199)</f>
        <v/>
      </c>
      <c r="K199" s="7">
        <f>IF('COPY 20 %'!$A199="","",'COPY 20 %'!H199)</f>
        <v/>
      </c>
      <c r="L199" s="7">
        <f>IF('COPY 20 %'!$A199="","",'COPY 20 %'!T199)</f>
        <v/>
      </c>
      <c r="M199">
        <f>IF('COPY 20 %'!$A199="","",'COPY 20 %'!G199)</f>
        <v/>
      </c>
    </row>
    <row r="200">
      <c r="A200">
        <f>IF('COPY 20 %'!$A200="","",ROWS($A$2:$A200))</f>
        <v/>
      </c>
      <c r="B200">
        <f>IF('COPY 20 %'!$A200="","",'COPY 20 %'!E200)</f>
        <v/>
      </c>
      <c r="C200">
        <f>IF('COPY 20 %'!$A200="","",'COPY 20 %'!F200)</f>
        <v/>
      </c>
      <c r="D200" s="14">
        <f>IF('COPY 20 %'!$A200="","",'COPY 20 %'!I200)</f>
        <v/>
      </c>
      <c r="E200" s="7">
        <f>IF('COPY 20 %'!$A200="","",'COPY 20 %'!O200)</f>
        <v/>
      </c>
      <c r="F200" s="7">
        <f>IF('COPY 20 %'!$A200="","",'COPY 20 %'!L200)</f>
        <v/>
      </c>
      <c r="G200" s="7">
        <f>IF('COPY 20 %'!$A200="","",'COPY 20 %'!S200)</f>
        <v/>
      </c>
      <c r="H200">
        <f>IF('COPY 20 %'!$A200="","",'COPY 20 %'!P200)</f>
        <v/>
      </c>
      <c r="I200">
        <f>IF('COPY 20 %'!$A200="","",'COPY 20 %'!M200)</f>
        <v/>
      </c>
      <c r="J200" s="7">
        <f>IF('COPY 20 %'!$A200="","",'COPY 20 %'!Q200)</f>
        <v/>
      </c>
      <c r="K200" s="7">
        <f>IF('COPY 20 %'!$A200="","",'COPY 20 %'!H200)</f>
        <v/>
      </c>
      <c r="L200" s="7">
        <f>IF('COPY 20 %'!$A200="","",'COPY 20 %'!T200)</f>
        <v/>
      </c>
      <c r="M200">
        <f>IF('COPY 20 %'!$A200="","",'COPY 20 %'!G200)</f>
        <v/>
      </c>
    </row>
    <row r="201">
      <c r="A201">
        <f>IF('COPY 20 %'!$A201="","",ROWS($A$2:$A201))</f>
        <v/>
      </c>
      <c r="B201">
        <f>IF('COPY 20 %'!$A201="","",'COPY 20 %'!E201)</f>
        <v/>
      </c>
      <c r="C201">
        <f>IF('COPY 20 %'!$A201="","",'COPY 20 %'!F201)</f>
        <v/>
      </c>
      <c r="D201" s="14">
        <f>IF('COPY 20 %'!$A201="","",'COPY 20 %'!I201)</f>
        <v/>
      </c>
      <c r="E201" s="7">
        <f>IF('COPY 20 %'!$A201="","",'COPY 20 %'!O201)</f>
        <v/>
      </c>
      <c r="F201" s="7">
        <f>IF('COPY 20 %'!$A201="","",'COPY 20 %'!L201)</f>
        <v/>
      </c>
      <c r="G201" s="7">
        <f>IF('COPY 20 %'!$A201="","",'COPY 20 %'!S201)</f>
        <v/>
      </c>
      <c r="H201">
        <f>IF('COPY 20 %'!$A201="","",'COPY 20 %'!P201)</f>
        <v/>
      </c>
      <c r="I201">
        <f>IF('COPY 20 %'!$A201="","",'COPY 20 %'!M201)</f>
        <v/>
      </c>
      <c r="J201" s="7">
        <f>IF('COPY 20 %'!$A201="","",'COPY 20 %'!Q201)</f>
        <v/>
      </c>
      <c r="K201" s="7">
        <f>IF('COPY 20 %'!$A201="","",'COPY 20 %'!H201)</f>
        <v/>
      </c>
      <c r="L201" s="7">
        <f>IF('COPY 20 %'!$A201="","",'COPY 20 %'!T201)</f>
        <v/>
      </c>
      <c r="M201">
        <f>IF('COPY 20 %'!$A201="","",'COPY 20 %'!G201)</f>
        <v/>
      </c>
    </row>
    <row r="202">
      <c r="A202">
        <f>IF('COPY 20 %'!$A202="","",ROWS($A$2:$A202))</f>
        <v/>
      </c>
      <c r="B202">
        <f>IF('COPY 20 %'!$A202="","",'COPY 20 %'!E202)</f>
        <v/>
      </c>
      <c r="C202">
        <f>IF('COPY 20 %'!$A202="","",'COPY 20 %'!F202)</f>
        <v/>
      </c>
      <c r="D202" s="14">
        <f>IF('COPY 20 %'!$A202="","",'COPY 20 %'!I202)</f>
        <v/>
      </c>
      <c r="E202" s="7">
        <f>IF('COPY 20 %'!$A202="","",'COPY 20 %'!O202)</f>
        <v/>
      </c>
      <c r="F202" s="7">
        <f>IF('COPY 20 %'!$A202="","",'COPY 20 %'!L202)</f>
        <v/>
      </c>
      <c r="G202" s="7">
        <f>IF('COPY 20 %'!$A202="","",'COPY 20 %'!S202)</f>
        <v/>
      </c>
      <c r="H202">
        <f>IF('COPY 20 %'!$A202="","",'COPY 20 %'!P202)</f>
        <v/>
      </c>
      <c r="I202">
        <f>IF('COPY 20 %'!$A202="","",'COPY 20 %'!M202)</f>
        <v/>
      </c>
      <c r="J202" s="7">
        <f>IF('COPY 20 %'!$A202="","",'COPY 20 %'!Q202)</f>
        <v/>
      </c>
      <c r="K202" s="7">
        <f>IF('COPY 20 %'!$A202="","",'COPY 20 %'!H202)</f>
        <v/>
      </c>
      <c r="L202" s="7">
        <f>IF('COPY 20 %'!$A202="","",'COPY 20 %'!T202)</f>
        <v/>
      </c>
      <c r="M202">
        <f>IF('COPY 20 %'!$A202="","",'COPY 20 %'!G202)</f>
        <v/>
      </c>
    </row>
    <row r="203">
      <c r="A203">
        <f>IF('COPY 20 %'!$A203="","",ROWS($A$2:$A203))</f>
        <v/>
      </c>
      <c r="B203">
        <f>IF('COPY 20 %'!$A203="","",'COPY 20 %'!E203)</f>
        <v/>
      </c>
      <c r="C203">
        <f>IF('COPY 20 %'!$A203="","",'COPY 20 %'!F203)</f>
        <v/>
      </c>
      <c r="D203" s="14">
        <f>IF('COPY 20 %'!$A203="","",'COPY 20 %'!I203)</f>
        <v/>
      </c>
      <c r="E203" s="7">
        <f>IF('COPY 20 %'!$A203="","",'COPY 20 %'!O203)</f>
        <v/>
      </c>
      <c r="F203" s="7">
        <f>IF('COPY 20 %'!$A203="","",'COPY 20 %'!L203)</f>
        <v/>
      </c>
      <c r="G203" s="7">
        <f>IF('COPY 20 %'!$A203="","",'COPY 20 %'!S203)</f>
        <v/>
      </c>
      <c r="H203">
        <f>IF('COPY 20 %'!$A203="","",'COPY 20 %'!P203)</f>
        <v/>
      </c>
      <c r="I203">
        <f>IF('COPY 20 %'!$A203="","",'COPY 20 %'!M203)</f>
        <v/>
      </c>
      <c r="J203" s="7">
        <f>IF('COPY 20 %'!$A203="","",'COPY 20 %'!Q203)</f>
        <v/>
      </c>
      <c r="K203" s="7">
        <f>IF('COPY 20 %'!$A203="","",'COPY 20 %'!H203)</f>
        <v/>
      </c>
      <c r="L203" s="7">
        <f>IF('COPY 20 %'!$A203="","",'COPY 20 %'!T203)</f>
        <v/>
      </c>
      <c r="M203">
        <f>IF('COPY 20 %'!$A203="","",'COPY 20 %'!G203)</f>
        <v/>
      </c>
    </row>
    <row r="204">
      <c r="A204">
        <f>IF('COPY 20 %'!$A204="","",ROWS($A$2:$A204))</f>
        <v/>
      </c>
      <c r="B204">
        <f>IF('COPY 20 %'!$A204="","",'COPY 20 %'!E204)</f>
        <v/>
      </c>
      <c r="C204">
        <f>IF('COPY 20 %'!$A204="","",'COPY 20 %'!F204)</f>
        <v/>
      </c>
      <c r="D204" s="14">
        <f>IF('COPY 20 %'!$A204="","",'COPY 20 %'!I204)</f>
        <v/>
      </c>
      <c r="E204" s="7">
        <f>IF('COPY 20 %'!$A204="","",'COPY 20 %'!O204)</f>
        <v/>
      </c>
      <c r="F204" s="7">
        <f>IF('COPY 20 %'!$A204="","",'COPY 20 %'!L204)</f>
        <v/>
      </c>
      <c r="G204" s="7">
        <f>IF('COPY 20 %'!$A204="","",'COPY 20 %'!S204)</f>
        <v/>
      </c>
      <c r="H204">
        <f>IF('COPY 20 %'!$A204="","",'COPY 20 %'!P204)</f>
        <v/>
      </c>
      <c r="I204">
        <f>IF('COPY 20 %'!$A204="","",'COPY 20 %'!M204)</f>
        <v/>
      </c>
      <c r="J204" s="7">
        <f>IF('COPY 20 %'!$A204="","",'COPY 20 %'!Q204)</f>
        <v/>
      </c>
      <c r="K204" s="7">
        <f>IF('COPY 20 %'!$A204="","",'COPY 20 %'!H204)</f>
        <v/>
      </c>
      <c r="L204" s="7">
        <f>IF('COPY 20 %'!$A204="","",'COPY 20 %'!T204)</f>
        <v/>
      </c>
      <c r="M204">
        <f>IF('COPY 20 %'!$A204="","",'COPY 20 %'!G204)</f>
        <v/>
      </c>
    </row>
    <row r="205">
      <c r="A205">
        <f>IF('COPY 20 %'!$A205="","",ROWS($A$2:$A205))</f>
        <v/>
      </c>
      <c r="B205">
        <f>IF('COPY 20 %'!$A205="","",'COPY 20 %'!E205)</f>
        <v/>
      </c>
      <c r="C205">
        <f>IF('COPY 20 %'!$A205="","",'COPY 20 %'!F205)</f>
        <v/>
      </c>
      <c r="D205" s="14">
        <f>IF('COPY 20 %'!$A205="","",'COPY 20 %'!I205)</f>
        <v/>
      </c>
      <c r="E205" s="7">
        <f>IF('COPY 20 %'!$A205="","",'COPY 20 %'!O205)</f>
        <v/>
      </c>
      <c r="F205" s="7">
        <f>IF('COPY 20 %'!$A205="","",'COPY 20 %'!L205)</f>
        <v/>
      </c>
      <c r="G205" s="7">
        <f>IF('COPY 20 %'!$A205="","",'COPY 20 %'!S205)</f>
        <v/>
      </c>
      <c r="H205">
        <f>IF('COPY 20 %'!$A205="","",'COPY 20 %'!P205)</f>
        <v/>
      </c>
      <c r="I205">
        <f>IF('COPY 20 %'!$A205="","",'COPY 20 %'!M205)</f>
        <v/>
      </c>
      <c r="J205" s="7">
        <f>IF('COPY 20 %'!$A205="","",'COPY 20 %'!Q205)</f>
        <v/>
      </c>
      <c r="K205" s="7">
        <f>IF('COPY 20 %'!$A205="","",'COPY 20 %'!H205)</f>
        <v/>
      </c>
      <c r="L205" s="7">
        <f>IF('COPY 20 %'!$A205="","",'COPY 20 %'!T205)</f>
        <v/>
      </c>
      <c r="M205">
        <f>IF('COPY 20 %'!$A205="","",'COPY 20 %'!G205)</f>
        <v/>
      </c>
    </row>
    <row r="206">
      <c r="A206">
        <f>IF('COPY 20 %'!$A206="","",ROWS($A$2:$A206))</f>
        <v/>
      </c>
      <c r="B206">
        <f>IF('COPY 20 %'!$A206="","",'COPY 20 %'!E206)</f>
        <v/>
      </c>
      <c r="C206">
        <f>IF('COPY 20 %'!$A206="","",'COPY 20 %'!F206)</f>
        <v/>
      </c>
      <c r="D206" s="14">
        <f>IF('COPY 20 %'!$A206="","",'COPY 20 %'!I206)</f>
        <v/>
      </c>
      <c r="E206" s="7">
        <f>IF('COPY 20 %'!$A206="","",'COPY 20 %'!O206)</f>
        <v/>
      </c>
      <c r="F206" s="7">
        <f>IF('COPY 20 %'!$A206="","",'COPY 20 %'!L206)</f>
        <v/>
      </c>
      <c r="G206" s="7">
        <f>IF('COPY 20 %'!$A206="","",'COPY 20 %'!S206)</f>
        <v/>
      </c>
      <c r="H206">
        <f>IF('COPY 20 %'!$A206="","",'COPY 20 %'!P206)</f>
        <v/>
      </c>
      <c r="I206">
        <f>IF('COPY 20 %'!$A206="","",'COPY 20 %'!M206)</f>
        <v/>
      </c>
      <c r="J206" s="7">
        <f>IF('COPY 20 %'!$A206="","",'COPY 20 %'!Q206)</f>
        <v/>
      </c>
      <c r="K206" s="7">
        <f>IF('COPY 20 %'!$A206="","",'COPY 20 %'!H206)</f>
        <v/>
      </c>
      <c r="L206" s="7">
        <f>IF('COPY 20 %'!$A206="","",'COPY 20 %'!T206)</f>
        <v/>
      </c>
      <c r="M206">
        <f>IF('COPY 20 %'!$A206="","",'COPY 20 %'!G206)</f>
        <v/>
      </c>
    </row>
    <row r="207">
      <c r="A207">
        <f>IF('COPY 20 %'!$A207="","",ROWS($A$2:$A207))</f>
        <v/>
      </c>
      <c r="B207">
        <f>IF('COPY 20 %'!$A207="","",'COPY 20 %'!E207)</f>
        <v/>
      </c>
      <c r="C207">
        <f>IF('COPY 20 %'!$A207="","",'COPY 20 %'!F207)</f>
        <v/>
      </c>
      <c r="D207" s="14">
        <f>IF('COPY 20 %'!$A207="","",'COPY 20 %'!I207)</f>
        <v/>
      </c>
      <c r="E207" s="7">
        <f>IF('COPY 20 %'!$A207="","",'COPY 20 %'!O207)</f>
        <v/>
      </c>
      <c r="F207" s="7">
        <f>IF('COPY 20 %'!$A207="","",'COPY 20 %'!L207)</f>
        <v/>
      </c>
      <c r="G207" s="7">
        <f>IF('COPY 20 %'!$A207="","",'COPY 20 %'!S207)</f>
        <v/>
      </c>
      <c r="H207">
        <f>IF('COPY 20 %'!$A207="","",'COPY 20 %'!P207)</f>
        <v/>
      </c>
      <c r="I207">
        <f>IF('COPY 20 %'!$A207="","",'COPY 20 %'!M207)</f>
        <v/>
      </c>
      <c r="J207" s="7">
        <f>IF('COPY 20 %'!$A207="","",'COPY 20 %'!Q207)</f>
        <v/>
      </c>
      <c r="K207" s="7">
        <f>IF('COPY 20 %'!$A207="","",'COPY 20 %'!H207)</f>
        <v/>
      </c>
      <c r="L207" s="7">
        <f>IF('COPY 20 %'!$A207="","",'COPY 20 %'!T207)</f>
        <v/>
      </c>
      <c r="M207">
        <f>IF('COPY 20 %'!$A207="","",'COPY 20 %'!G207)</f>
        <v/>
      </c>
    </row>
    <row r="208">
      <c r="A208">
        <f>IF('COPY 20 %'!$A208="","",ROWS($A$2:$A208))</f>
        <v/>
      </c>
      <c r="B208">
        <f>IF('COPY 20 %'!$A208="","",'COPY 20 %'!E208)</f>
        <v/>
      </c>
      <c r="C208">
        <f>IF('COPY 20 %'!$A208="","",'COPY 20 %'!F208)</f>
        <v/>
      </c>
      <c r="D208" s="14">
        <f>IF('COPY 20 %'!$A208="","",'COPY 20 %'!I208)</f>
        <v/>
      </c>
      <c r="E208" s="7">
        <f>IF('COPY 20 %'!$A208="","",'COPY 20 %'!O208)</f>
        <v/>
      </c>
      <c r="F208" s="7">
        <f>IF('COPY 20 %'!$A208="","",'COPY 20 %'!L208)</f>
        <v/>
      </c>
      <c r="G208" s="7">
        <f>IF('COPY 20 %'!$A208="","",'COPY 20 %'!S208)</f>
        <v/>
      </c>
      <c r="H208">
        <f>IF('COPY 20 %'!$A208="","",'COPY 20 %'!P208)</f>
        <v/>
      </c>
      <c r="I208">
        <f>IF('COPY 20 %'!$A208="","",'COPY 20 %'!M208)</f>
        <v/>
      </c>
      <c r="J208" s="7">
        <f>IF('COPY 20 %'!$A208="","",'COPY 20 %'!Q208)</f>
        <v/>
      </c>
      <c r="K208" s="7">
        <f>IF('COPY 20 %'!$A208="","",'COPY 20 %'!H208)</f>
        <v/>
      </c>
      <c r="L208" s="7">
        <f>IF('COPY 20 %'!$A208="","",'COPY 20 %'!T208)</f>
        <v/>
      </c>
      <c r="M208">
        <f>IF('COPY 20 %'!$A208="","",'COPY 20 %'!G208)</f>
        <v/>
      </c>
    </row>
    <row r="209">
      <c r="A209">
        <f>IF('COPY 20 %'!$A209="","",ROWS($A$2:$A209))</f>
        <v/>
      </c>
      <c r="B209">
        <f>IF('COPY 20 %'!$A209="","",'COPY 20 %'!E209)</f>
        <v/>
      </c>
      <c r="C209">
        <f>IF('COPY 20 %'!$A209="","",'COPY 20 %'!F209)</f>
        <v/>
      </c>
      <c r="D209" s="14">
        <f>IF('COPY 20 %'!$A209="","",'COPY 20 %'!I209)</f>
        <v/>
      </c>
      <c r="E209" s="7">
        <f>IF('COPY 20 %'!$A209="","",'COPY 20 %'!O209)</f>
        <v/>
      </c>
      <c r="F209" s="7">
        <f>IF('COPY 20 %'!$A209="","",'COPY 20 %'!L209)</f>
        <v/>
      </c>
      <c r="G209" s="7">
        <f>IF('COPY 20 %'!$A209="","",'COPY 20 %'!S209)</f>
        <v/>
      </c>
      <c r="H209">
        <f>IF('COPY 20 %'!$A209="","",'COPY 20 %'!P209)</f>
        <v/>
      </c>
      <c r="I209">
        <f>IF('COPY 20 %'!$A209="","",'COPY 20 %'!M209)</f>
        <v/>
      </c>
      <c r="J209" s="7">
        <f>IF('COPY 20 %'!$A209="","",'COPY 20 %'!Q209)</f>
        <v/>
      </c>
      <c r="K209" s="7">
        <f>IF('COPY 20 %'!$A209="","",'COPY 20 %'!H209)</f>
        <v/>
      </c>
      <c r="L209" s="7">
        <f>IF('COPY 20 %'!$A209="","",'COPY 20 %'!T209)</f>
        <v/>
      </c>
      <c r="M209">
        <f>IF('COPY 20 %'!$A209="","",'COPY 20 %'!G209)</f>
        <v/>
      </c>
    </row>
    <row r="210">
      <c r="A210">
        <f>IF('COPY 20 %'!$A210="","",ROWS($A$2:$A210))</f>
        <v/>
      </c>
      <c r="B210">
        <f>IF('COPY 20 %'!$A210="","",'COPY 20 %'!E210)</f>
        <v/>
      </c>
      <c r="C210">
        <f>IF('COPY 20 %'!$A210="","",'COPY 20 %'!F210)</f>
        <v/>
      </c>
      <c r="D210" s="14">
        <f>IF('COPY 20 %'!$A210="","",'COPY 20 %'!I210)</f>
        <v/>
      </c>
      <c r="E210" s="7">
        <f>IF('COPY 20 %'!$A210="","",'COPY 20 %'!O210)</f>
        <v/>
      </c>
      <c r="F210" s="7">
        <f>IF('COPY 20 %'!$A210="","",'COPY 20 %'!L210)</f>
        <v/>
      </c>
      <c r="G210" s="7">
        <f>IF('COPY 20 %'!$A210="","",'COPY 20 %'!S210)</f>
        <v/>
      </c>
      <c r="H210">
        <f>IF('COPY 20 %'!$A210="","",'COPY 20 %'!P210)</f>
        <v/>
      </c>
      <c r="I210">
        <f>IF('COPY 20 %'!$A210="","",'COPY 20 %'!M210)</f>
        <v/>
      </c>
      <c r="J210" s="7">
        <f>IF('COPY 20 %'!$A210="","",'COPY 20 %'!Q210)</f>
        <v/>
      </c>
      <c r="K210" s="7">
        <f>IF('COPY 20 %'!$A210="","",'COPY 20 %'!H210)</f>
        <v/>
      </c>
      <c r="L210" s="7">
        <f>IF('COPY 20 %'!$A210="","",'COPY 20 %'!T210)</f>
        <v/>
      </c>
      <c r="M210">
        <f>IF('COPY 20 %'!$A210="","",'COPY 20 %'!G210)</f>
        <v/>
      </c>
    </row>
    <row r="211">
      <c r="A211">
        <f>IF('COPY 20 %'!$A211="","",ROWS($A$2:$A211))</f>
        <v/>
      </c>
      <c r="B211">
        <f>IF('COPY 20 %'!$A211="","",'COPY 20 %'!E211)</f>
        <v/>
      </c>
      <c r="C211">
        <f>IF('COPY 20 %'!$A211="","",'COPY 20 %'!F211)</f>
        <v/>
      </c>
      <c r="D211" s="14">
        <f>IF('COPY 20 %'!$A211="","",'COPY 20 %'!I211)</f>
        <v/>
      </c>
      <c r="E211" s="7">
        <f>IF('COPY 20 %'!$A211="","",'COPY 20 %'!O211)</f>
        <v/>
      </c>
      <c r="F211" s="7">
        <f>IF('COPY 20 %'!$A211="","",'COPY 20 %'!L211)</f>
        <v/>
      </c>
      <c r="G211" s="7">
        <f>IF('COPY 20 %'!$A211="","",'COPY 20 %'!S211)</f>
        <v/>
      </c>
      <c r="H211">
        <f>IF('COPY 20 %'!$A211="","",'COPY 20 %'!P211)</f>
        <v/>
      </c>
      <c r="I211">
        <f>IF('COPY 20 %'!$A211="","",'COPY 20 %'!M211)</f>
        <v/>
      </c>
      <c r="J211" s="7">
        <f>IF('COPY 20 %'!$A211="","",'COPY 20 %'!Q211)</f>
        <v/>
      </c>
      <c r="K211" s="7">
        <f>IF('COPY 20 %'!$A211="","",'COPY 20 %'!H211)</f>
        <v/>
      </c>
      <c r="L211" s="7">
        <f>IF('COPY 20 %'!$A211="","",'COPY 20 %'!T211)</f>
        <v/>
      </c>
      <c r="M211">
        <f>IF('COPY 20 %'!$A211="","",'COPY 20 %'!G211)</f>
        <v/>
      </c>
    </row>
    <row r="212">
      <c r="A212">
        <f>IF('COPY 20 %'!$A212="","",ROWS($A$2:$A212))</f>
        <v/>
      </c>
      <c r="B212">
        <f>IF('COPY 20 %'!$A212="","",'COPY 20 %'!E212)</f>
        <v/>
      </c>
      <c r="C212">
        <f>IF('COPY 20 %'!$A212="","",'COPY 20 %'!F212)</f>
        <v/>
      </c>
      <c r="D212" s="14">
        <f>IF('COPY 20 %'!$A212="","",'COPY 20 %'!I212)</f>
        <v/>
      </c>
      <c r="E212" s="7">
        <f>IF('COPY 20 %'!$A212="","",'COPY 20 %'!O212)</f>
        <v/>
      </c>
      <c r="F212" s="7">
        <f>IF('COPY 20 %'!$A212="","",'COPY 20 %'!L212)</f>
        <v/>
      </c>
      <c r="G212" s="7">
        <f>IF('COPY 20 %'!$A212="","",'COPY 20 %'!S212)</f>
        <v/>
      </c>
      <c r="H212">
        <f>IF('COPY 20 %'!$A212="","",'COPY 20 %'!P212)</f>
        <v/>
      </c>
      <c r="I212">
        <f>IF('COPY 20 %'!$A212="","",'COPY 20 %'!M212)</f>
        <v/>
      </c>
      <c r="J212" s="7">
        <f>IF('COPY 20 %'!$A212="","",'COPY 20 %'!Q212)</f>
        <v/>
      </c>
      <c r="K212" s="7">
        <f>IF('COPY 20 %'!$A212="","",'COPY 20 %'!H212)</f>
        <v/>
      </c>
      <c r="L212" s="7">
        <f>IF('COPY 20 %'!$A212="","",'COPY 20 %'!T212)</f>
        <v/>
      </c>
      <c r="M212">
        <f>IF('COPY 20 %'!$A212="","",'COPY 20 %'!G212)</f>
        <v/>
      </c>
    </row>
    <row r="213">
      <c r="A213">
        <f>IF('COPY 20 %'!$A213="","",ROWS($A$2:$A213))</f>
        <v/>
      </c>
      <c r="B213">
        <f>IF('COPY 20 %'!$A213="","",'COPY 20 %'!E213)</f>
        <v/>
      </c>
      <c r="C213">
        <f>IF('COPY 20 %'!$A213="","",'COPY 20 %'!F213)</f>
        <v/>
      </c>
      <c r="D213" s="14">
        <f>IF('COPY 20 %'!$A213="","",'COPY 20 %'!I213)</f>
        <v/>
      </c>
      <c r="E213" s="7">
        <f>IF('COPY 20 %'!$A213="","",'COPY 20 %'!O213)</f>
        <v/>
      </c>
      <c r="F213" s="7">
        <f>IF('COPY 20 %'!$A213="","",'COPY 20 %'!L213)</f>
        <v/>
      </c>
      <c r="G213" s="7">
        <f>IF('COPY 20 %'!$A213="","",'COPY 20 %'!S213)</f>
        <v/>
      </c>
      <c r="H213">
        <f>IF('COPY 20 %'!$A213="","",'COPY 20 %'!P213)</f>
        <v/>
      </c>
      <c r="I213">
        <f>IF('COPY 20 %'!$A213="","",'COPY 20 %'!M213)</f>
        <v/>
      </c>
      <c r="J213" s="7">
        <f>IF('COPY 20 %'!$A213="","",'COPY 20 %'!Q213)</f>
        <v/>
      </c>
      <c r="K213" s="7">
        <f>IF('COPY 20 %'!$A213="","",'COPY 20 %'!H213)</f>
        <v/>
      </c>
      <c r="L213" s="7">
        <f>IF('COPY 20 %'!$A213="","",'COPY 20 %'!T213)</f>
        <v/>
      </c>
      <c r="M213">
        <f>IF('COPY 20 %'!$A213="","",'COPY 20 %'!G213)</f>
        <v/>
      </c>
    </row>
    <row r="214">
      <c r="A214">
        <f>IF('COPY 20 %'!$A214="","",ROWS($A$2:$A214))</f>
        <v/>
      </c>
      <c r="B214">
        <f>IF('COPY 20 %'!$A214="","",'COPY 20 %'!E214)</f>
        <v/>
      </c>
      <c r="C214">
        <f>IF('COPY 20 %'!$A214="","",'COPY 20 %'!F214)</f>
        <v/>
      </c>
      <c r="D214" s="14">
        <f>IF('COPY 20 %'!$A214="","",'COPY 20 %'!I214)</f>
        <v/>
      </c>
      <c r="E214" s="7">
        <f>IF('COPY 20 %'!$A214="","",'COPY 20 %'!O214)</f>
        <v/>
      </c>
      <c r="F214" s="7">
        <f>IF('COPY 20 %'!$A214="","",'COPY 20 %'!L214)</f>
        <v/>
      </c>
      <c r="G214" s="7">
        <f>IF('COPY 20 %'!$A214="","",'COPY 20 %'!S214)</f>
        <v/>
      </c>
      <c r="H214">
        <f>IF('COPY 20 %'!$A214="","",'COPY 20 %'!P214)</f>
        <v/>
      </c>
      <c r="I214">
        <f>IF('COPY 20 %'!$A214="","",'COPY 20 %'!M214)</f>
        <v/>
      </c>
      <c r="J214" s="7">
        <f>IF('COPY 20 %'!$A214="","",'COPY 20 %'!Q214)</f>
        <v/>
      </c>
      <c r="K214" s="7">
        <f>IF('COPY 20 %'!$A214="","",'COPY 20 %'!H214)</f>
        <v/>
      </c>
      <c r="L214" s="7">
        <f>IF('COPY 20 %'!$A214="","",'COPY 20 %'!T214)</f>
        <v/>
      </c>
      <c r="M214">
        <f>IF('COPY 20 %'!$A214="","",'COPY 20 %'!G214)</f>
        <v/>
      </c>
    </row>
    <row r="215">
      <c r="A215">
        <f>IF('COPY 20 %'!$A215="","",ROWS($A$2:$A215))</f>
        <v/>
      </c>
      <c r="B215">
        <f>IF('COPY 20 %'!$A215="","",'COPY 20 %'!E215)</f>
        <v/>
      </c>
      <c r="C215">
        <f>IF('COPY 20 %'!$A215="","",'COPY 20 %'!F215)</f>
        <v/>
      </c>
      <c r="D215" s="14">
        <f>IF('COPY 20 %'!$A215="","",'COPY 20 %'!I215)</f>
        <v/>
      </c>
      <c r="E215" s="7">
        <f>IF('COPY 20 %'!$A215="","",'COPY 20 %'!O215)</f>
        <v/>
      </c>
      <c r="F215" s="7">
        <f>IF('COPY 20 %'!$A215="","",'COPY 20 %'!L215)</f>
        <v/>
      </c>
      <c r="G215" s="7">
        <f>IF('COPY 20 %'!$A215="","",'COPY 20 %'!S215)</f>
        <v/>
      </c>
      <c r="H215">
        <f>IF('COPY 20 %'!$A215="","",'COPY 20 %'!P215)</f>
        <v/>
      </c>
      <c r="I215">
        <f>IF('COPY 20 %'!$A215="","",'COPY 20 %'!M215)</f>
        <v/>
      </c>
      <c r="J215" s="7">
        <f>IF('COPY 20 %'!$A215="","",'COPY 20 %'!Q215)</f>
        <v/>
      </c>
      <c r="K215" s="7">
        <f>IF('COPY 20 %'!$A215="","",'COPY 20 %'!H215)</f>
        <v/>
      </c>
      <c r="L215" s="7">
        <f>IF('COPY 20 %'!$A215="","",'COPY 20 %'!T215)</f>
        <v/>
      </c>
      <c r="M215">
        <f>IF('COPY 20 %'!$A215="","",'COPY 20 %'!G215)</f>
        <v/>
      </c>
    </row>
    <row r="216">
      <c r="A216">
        <f>IF('COPY 20 %'!$A216="","",ROWS($A$2:$A216))</f>
        <v/>
      </c>
      <c r="B216">
        <f>IF('COPY 20 %'!$A216="","",'COPY 20 %'!E216)</f>
        <v/>
      </c>
      <c r="C216">
        <f>IF('COPY 20 %'!$A216="","",'COPY 20 %'!F216)</f>
        <v/>
      </c>
      <c r="D216" s="14">
        <f>IF('COPY 20 %'!$A216="","",'COPY 20 %'!I216)</f>
        <v/>
      </c>
      <c r="E216" s="7">
        <f>IF('COPY 20 %'!$A216="","",'COPY 20 %'!O216)</f>
        <v/>
      </c>
      <c r="F216" s="7">
        <f>IF('COPY 20 %'!$A216="","",'COPY 20 %'!L216)</f>
        <v/>
      </c>
      <c r="G216" s="7">
        <f>IF('COPY 20 %'!$A216="","",'COPY 20 %'!S216)</f>
        <v/>
      </c>
      <c r="H216">
        <f>IF('COPY 20 %'!$A216="","",'COPY 20 %'!P216)</f>
        <v/>
      </c>
      <c r="I216">
        <f>IF('COPY 20 %'!$A216="","",'COPY 20 %'!M216)</f>
        <v/>
      </c>
      <c r="J216" s="7">
        <f>IF('COPY 20 %'!$A216="","",'COPY 20 %'!Q216)</f>
        <v/>
      </c>
      <c r="K216" s="7">
        <f>IF('COPY 20 %'!$A216="","",'COPY 20 %'!H216)</f>
        <v/>
      </c>
      <c r="L216" s="7">
        <f>IF('COPY 20 %'!$A216="","",'COPY 20 %'!T216)</f>
        <v/>
      </c>
      <c r="M216">
        <f>IF('COPY 20 %'!$A216="","",'COPY 20 %'!G216)</f>
        <v/>
      </c>
    </row>
    <row r="217">
      <c r="A217">
        <f>IF('COPY 20 %'!$A217="","",ROWS($A$2:$A217))</f>
        <v/>
      </c>
      <c r="B217">
        <f>IF('COPY 20 %'!$A217="","",'COPY 20 %'!E217)</f>
        <v/>
      </c>
      <c r="C217">
        <f>IF('COPY 20 %'!$A217="","",'COPY 20 %'!F217)</f>
        <v/>
      </c>
      <c r="D217" s="14">
        <f>IF('COPY 20 %'!$A217="","",'COPY 20 %'!I217)</f>
        <v/>
      </c>
      <c r="E217" s="7">
        <f>IF('COPY 20 %'!$A217="","",'COPY 20 %'!O217)</f>
        <v/>
      </c>
      <c r="F217" s="7">
        <f>IF('COPY 20 %'!$A217="","",'COPY 20 %'!L217)</f>
        <v/>
      </c>
      <c r="G217" s="7">
        <f>IF('COPY 20 %'!$A217="","",'COPY 20 %'!S217)</f>
        <v/>
      </c>
      <c r="H217">
        <f>IF('COPY 20 %'!$A217="","",'COPY 20 %'!P217)</f>
        <v/>
      </c>
      <c r="I217">
        <f>IF('COPY 20 %'!$A217="","",'COPY 20 %'!M217)</f>
        <v/>
      </c>
      <c r="J217" s="7">
        <f>IF('COPY 20 %'!$A217="","",'COPY 20 %'!Q217)</f>
        <v/>
      </c>
      <c r="K217" s="7">
        <f>IF('COPY 20 %'!$A217="","",'COPY 20 %'!H217)</f>
        <v/>
      </c>
      <c r="L217" s="7">
        <f>IF('COPY 20 %'!$A217="","",'COPY 20 %'!T217)</f>
        <v/>
      </c>
      <c r="M217">
        <f>IF('COPY 20 %'!$A217="","",'COPY 20 %'!G217)</f>
        <v/>
      </c>
    </row>
    <row r="218">
      <c r="A218">
        <f>IF('COPY 20 %'!$A218="","",ROWS($A$2:$A218))</f>
        <v/>
      </c>
      <c r="B218">
        <f>IF('COPY 20 %'!$A218="","",'COPY 20 %'!E218)</f>
        <v/>
      </c>
      <c r="C218">
        <f>IF('COPY 20 %'!$A218="","",'COPY 20 %'!F218)</f>
        <v/>
      </c>
      <c r="D218" s="14">
        <f>IF('COPY 20 %'!$A218="","",'COPY 20 %'!I218)</f>
        <v/>
      </c>
      <c r="E218" s="7">
        <f>IF('COPY 20 %'!$A218="","",'COPY 20 %'!O218)</f>
        <v/>
      </c>
      <c r="F218" s="7">
        <f>IF('COPY 20 %'!$A218="","",'COPY 20 %'!L218)</f>
        <v/>
      </c>
      <c r="G218" s="7">
        <f>IF('COPY 20 %'!$A218="","",'COPY 20 %'!S218)</f>
        <v/>
      </c>
      <c r="H218">
        <f>IF('COPY 20 %'!$A218="","",'COPY 20 %'!P218)</f>
        <v/>
      </c>
      <c r="I218">
        <f>IF('COPY 20 %'!$A218="","",'COPY 20 %'!M218)</f>
        <v/>
      </c>
      <c r="J218" s="7">
        <f>IF('COPY 20 %'!$A218="","",'COPY 20 %'!Q218)</f>
        <v/>
      </c>
      <c r="K218" s="7">
        <f>IF('COPY 20 %'!$A218="","",'COPY 20 %'!H218)</f>
        <v/>
      </c>
      <c r="L218" s="7">
        <f>IF('COPY 20 %'!$A218="","",'COPY 20 %'!T218)</f>
        <v/>
      </c>
      <c r="M218">
        <f>IF('COPY 20 %'!$A218="","",'COPY 20 %'!G218)</f>
        <v/>
      </c>
    </row>
    <row r="219">
      <c r="A219">
        <f>IF('COPY 20 %'!$A219="","",ROWS($A$2:$A219))</f>
        <v/>
      </c>
      <c r="B219">
        <f>IF('COPY 20 %'!$A219="","",'COPY 20 %'!E219)</f>
        <v/>
      </c>
      <c r="C219">
        <f>IF('COPY 20 %'!$A219="","",'COPY 20 %'!F219)</f>
        <v/>
      </c>
      <c r="D219" s="14">
        <f>IF('COPY 20 %'!$A219="","",'COPY 20 %'!I219)</f>
        <v/>
      </c>
      <c r="E219" s="7">
        <f>IF('COPY 20 %'!$A219="","",'COPY 20 %'!O219)</f>
        <v/>
      </c>
      <c r="F219" s="7">
        <f>IF('COPY 20 %'!$A219="","",'COPY 20 %'!L219)</f>
        <v/>
      </c>
      <c r="G219" s="7">
        <f>IF('COPY 20 %'!$A219="","",'COPY 20 %'!S219)</f>
        <v/>
      </c>
      <c r="H219">
        <f>IF('COPY 20 %'!$A219="","",'COPY 20 %'!P219)</f>
        <v/>
      </c>
      <c r="I219">
        <f>IF('COPY 20 %'!$A219="","",'COPY 20 %'!M219)</f>
        <v/>
      </c>
      <c r="J219" s="7">
        <f>IF('COPY 20 %'!$A219="","",'COPY 20 %'!Q219)</f>
        <v/>
      </c>
      <c r="K219" s="7">
        <f>IF('COPY 20 %'!$A219="","",'COPY 20 %'!H219)</f>
        <v/>
      </c>
      <c r="L219" s="7">
        <f>IF('COPY 20 %'!$A219="","",'COPY 20 %'!T219)</f>
        <v/>
      </c>
      <c r="M219">
        <f>IF('COPY 20 %'!$A219="","",'COPY 20 %'!G219)</f>
        <v/>
      </c>
    </row>
    <row r="220">
      <c r="A220">
        <f>IF('COPY 20 %'!$A220="","",ROWS($A$2:$A220))</f>
        <v/>
      </c>
      <c r="B220">
        <f>IF('COPY 20 %'!$A220="","",'COPY 20 %'!E220)</f>
        <v/>
      </c>
      <c r="C220">
        <f>IF('COPY 20 %'!$A220="","",'COPY 20 %'!F220)</f>
        <v/>
      </c>
      <c r="D220" s="14">
        <f>IF('COPY 20 %'!$A220="","",'COPY 20 %'!I220)</f>
        <v/>
      </c>
      <c r="E220" s="7">
        <f>IF('COPY 20 %'!$A220="","",'COPY 20 %'!O220)</f>
        <v/>
      </c>
      <c r="F220" s="7">
        <f>IF('COPY 20 %'!$A220="","",'COPY 20 %'!L220)</f>
        <v/>
      </c>
      <c r="G220" s="7">
        <f>IF('COPY 20 %'!$A220="","",'COPY 20 %'!S220)</f>
        <v/>
      </c>
      <c r="H220">
        <f>IF('COPY 20 %'!$A220="","",'COPY 20 %'!P220)</f>
        <v/>
      </c>
      <c r="I220">
        <f>IF('COPY 20 %'!$A220="","",'COPY 20 %'!M220)</f>
        <v/>
      </c>
      <c r="J220" s="7">
        <f>IF('COPY 20 %'!$A220="","",'COPY 20 %'!Q220)</f>
        <v/>
      </c>
      <c r="K220" s="7">
        <f>IF('COPY 20 %'!$A220="","",'COPY 20 %'!H220)</f>
        <v/>
      </c>
      <c r="L220" s="7">
        <f>IF('COPY 20 %'!$A220="","",'COPY 20 %'!T220)</f>
        <v/>
      </c>
      <c r="M220">
        <f>IF('COPY 20 %'!$A220="","",'COPY 20 %'!G220)</f>
        <v/>
      </c>
    </row>
    <row r="221">
      <c r="A221">
        <f>IF('COPY 20 %'!$A221="","",ROWS($A$2:$A221))</f>
        <v/>
      </c>
      <c r="B221">
        <f>IF('COPY 20 %'!$A221="","",'COPY 20 %'!E221)</f>
        <v/>
      </c>
      <c r="C221">
        <f>IF('COPY 20 %'!$A221="","",'COPY 20 %'!F221)</f>
        <v/>
      </c>
      <c r="D221" s="14">
        <f>IF('COPY 20 %'!$A221="","",'COPY 20 %'!I221)</f>
        <v/>
      </c>
      <c r="E221" s="7">
        <f>IF('COPY 20 %'!$A221="","",'COPY 20 %'!O221)</f>
        <v/>
      </c>
      <c r="F221" s="7">
        <f>IF('COPY 20 %'!$A221="","",'COPY 20 %'!L221)</f>
        <v/>
      </c>
      <c r="G221" s="7">
        <f>IF('COPY 20 %'!$A221="","",'COPY 20 %'!S221)</f>
        <v/>
      </c>
      <c r="H221">
        <f>IF('COPY 20 %'!$A221="","",'COPY 20 %'!P221)</f>
        <v/>
      </c>
      <c r="I221">
        <f>IF('COPY 20 %'!$A221="","",'COPY 20 %'!M221)</f>
        <v/>
      </c>
      <c r="J221" s="7">
        <f>IF('COPY 20 %'!$A221="","",'COPY 20 %'!Q221)</f>
        <v/>
      </c>
      <c r="K221" s="7">
        <f>IF('COPY 20 %'!$A221="","",'COPY 20 %'!H221)</f>
        <v/>
      </c>
      <c r="L221" s="7">
        <f>IF('COPY 20 %'!$A221="","",'COPY 20 %'!T221)</f>
        <v/>
      </c>
      <c r="M221">
        <f>IF('COPY 20 %'!$A221="","",'COPY 20 %'!G221)</f>
        <v/>
      </c>
    </row>
    <row r="222">
      <c r="A222">
        <f>IF('COPY 20 %'!$A222="","",ROWS($A$2:$A222))</f>
        <v/>
      </c>
      <c r="B222">
        <f>IF('COPY 20 %'!$A222="","",'COPY 20 %'!E222)</f>
        <v/>
      </c>
      <c r="C222">
        <f>IF('COPY 20 %'!$A222="","",'COPY 20 %'!F222)</f>
        <v/>
      </c>
      <c r="D222" s="14">
        <f>IF('COPY 20 %'!$A222="","",'COPY 20 %'!I222)</f>
        <v/>
      </c>
      <c r="E222" s="7">
        <f>IF('COPY 20 %'!$A222="","",'COPY 20 %'!O222)</f>
        <v/>
      </c>
      <c r="F222" s="7">
        <f>IF('COPY 20 %'!$A222="","",'COPY 20 %'!L222)</f>
        <v/>
      </c>
      <c r="G222" s="7">
        <f>IF('COPY 20 %'!$A222="","",'COPY 20 %'!S222)</f>
        <v/>
      </c>
      <c r="H222">
        <f>IF('COPY 20 %'!$A222="","",'COPY 20 %'!P222)</f>
        <v/>
      </c>
      <c r="I222">
        <f>IF('COPY 20 %'!$A222="","",'COPY 20 %'!M222)</f>
        <v/>
      </c>
      <c r="J222" s="7">
        <f>IF('COPY 20 %'!$A222="","",'COPY 20 %'!Q222)</f>
        <v/>
      </c>
      <c r="K222" s="7">
        <f>IF('COPY 20 %'!$A222="","",'COPY 20 %'!H222)</f>
        <v/>
      </c>
      <c r="L222" s="7">
        <f>IF('COPY 20 %'!$A222="","",'COPY 20 %'!T222)</f>
        <v/>
      </c>
      <c r="M222">
        <f>IF('COPY 20 %'!$A222="","",'COPY 20 %'!G222)</f>
        <v/>
      </c>
    </row>
    <row r="223">
      <c r="A223">
        <f>IF('COPY 20 %'!$A223="","",ROWS($A$2:$A223))</f>
        <v/>
      </c>
      <c r="B223">
        <f>IF('COPY 20 %'!$A223="","",'COPY 20 %'!E223)</f>
        <v/>
      </c>
      <c r="C223">
        <f>IF('COPY 20 %'!$A223="","",'COPY 20 %'!F223)</f>
        <v/>
      </c>
      <c r="D223" s="14">
        <f>IF('COPY 20 %'!$A223="","",'COPY 20 %'!I223)</f>
        <v/>
      </c>
      <c r="E223" s="7">
        <f>IF('COPY 20 %'!$A223="","",'COPY 20 %'!O223)</f>
        <v/>
      </c>
      <c r="F223" s="7">
        <f>IF('COPY 20 %'!$A223="","",'COPY 20 %'!L223)</f>
        <v/>
      </c>
      <c r="G223" s="7">
        <f>IF('COPY 20 %'!$A223="","",'COPY 20 %'!S223)</f>
        <v/>
      </c>
      <c r="H223">
        <f>IF('COPY 20 %'!$A223="","",'COPY 20 %'!P223)</f>
        <v/>
      </c>
      <c r="I223">
        <f>IF('COPY 20 %'!$A223="","",'COPY 20 %'!M223)</f>
        <v/>
      </c>
      <c r="J223" s="7">
        <f>IF('COPY 20 %'!$A223="","",'COPY 20 %'!Q223)</f>
        <v/>
      </c>
      <c r="K223" s="7">
        <f>IF('COPY 20 %'!$A223="","",'COPY 20 %'!H223)</f>
        <v/>
      </c>
      <c r="L223" s="7">
        <f>IF('COPY 20 %'!$A223="","",'COPY 20 %'!T223)</f>
        <v/>
      </c>
      <c r="M223">
        <f>IF('COPY 20 %'!$A223="","",'COPY 20 %'!G223)</f>
        <v/>
      </c>
    </row>
    <row r="224">
      <c r="A224">
        <f>IF('COPY 20 %'!$A224="","",ROWS($A$2:$A224))</f>
        <v/>
      </c>
      <c r="B224">
        <f>IF('COPY 20 %'!$A224="","",'COPY 20 %'!E224)</f>
        <v/>
      </c>
      <c r="C224">
        <f>IF('COPY 20 %'!$A224="","",'COPY 20 %'!F224)</f>
        <v/>
      </c>
      <c r="D224" s="14">
        <f>IF('COPY 20 %'!$A224="","",'COPY 20 %'!I224)</f>
        <v/>
      </c>
      <c r="E224" s="7">
        <f>IF('COPY 20 %'!$A224="","",'COPY 20 %'!O224)</f>
        <v/>
      </c>
      <c r="F224" s="7">
        <f>IF('COPY 20 %'!$A224="","",'COPY 20 %'!L224)</f>
        <v/>
      </c>
      <c r="G224" s="7">
        <f>IF('COPY 20 %'!$A224="","",'COPY 20 %'!S224)</f>
        <v/>
      </c>
      <c r="H224">
        <f>IF('COPY 20 %'!$A224="","",'COPY 20 %'!P224)</f>
        <v/>
      </c>
      <c r="I224">
        <f>IF('COPY 20 %'!$A224="","",'COPY 20 %'!M224)</f>
        <v/>
      </c>
      <c r="J224" s="7">
        <f>IF('COPY 20 %'!$A224="","",'COPY 20 %'!Q224)</f>
        <v/>
      </c>
      <c r="K224" s="7">
        <f>IF('COPY 20 %'!$A224="","",'COPY 20 %'!H224)</f>
        <v/>
      </c>
      <c r="L224" s="7">
        <f>IF('COPY 20 %'!$A224="","",'COPY 20 %'!T224)</f>
        <v/>
      </c>
      <c r="M224">
        <f>IF('COPY 20 %'!$A224="","",'COPY 20 %'!G224)</f>
        <v/>
      </c>
    </row>
    <row r="225">
      <c r="A225">
        <f>IF('COPY 20 %'!$A225="","",ROWS($A$2:$A225))</f>
        <v/>
      </c>
      <c r="B225">
        <f>IF('COPY 20 %'!$A225="","",'COPY 20 %'!E225)</f>
        <v/>
      </c>
      <c r="C225">
        <f>IF('COPY 20 %'!$A225="","",'COPY 20 %'!F225)</f>
        <v/>
      </c>
      <c r="D225" s="14">
        <f>IF('COPY 20 %'!$A225="","",'COPY 20 %'!I225)</f>
        <v/>
      </c>
      <c r="E225" s="7">
        <f>IF('COPY 20 %'!$A225="","",'COPY 20 %'!O225)</f>
        <v/>
      </c>
      <c r="F225" s="7">
        <f>IF('COPY 20 %'!$A225="","",'COPY 20 %'!L225)</f>
        <v/>
      </c>
      <c r="G225" s="7">
        <f>IF('COPY 20 %'!$A225="","",'COPY 20 %'!S225)</f>
        <v/>
      </c>
      <c r="H225">
        <f>IF('COPY 20 %'!$A225="","",'COPY 20 %'!P225)</f>
        <v/>
      </c>
      <c r="I225">
        <f>IF('COPY 20 %'!$A225="","",'COPY 20 %'!M225)</f>
        <v/>
      </c>
      <c r="J225" s="7">
        <f>IF('COPY 20 %'!$A225="","",'COPY 20 %'!Q225)</f>
        <v/>
      </c>
      <c r="K225" s="7">
        <f>IF('COPY 20 %'!$A225="","",'COPY 20 %'!H225)</f>
        <v/>
      </c>
      <c r="L225" s="7">
        <f>IF('COPY 20 %'!$A225="","",'COPY 20 %'!T225)</f>
        <v/>
      </c>
      <c r="M225">
        <f>IF('COPY 20 %'!$A225="","",'COPY 20 %'!G225)</f>
        <v/>
      </c>
    </row>
    <row r="226">
      <c r="A226">
        <f>IF('COPY 20 %'!$A226="","",ROWS($A$2:$A226))</f>
        <v/>
      </c>
      <c r="B226">
        <f>IF('COPY 20 %'!$A226="","",'COPY 20 %'!E226)</f>
        <v/>
      </c>
      <c r="C226">
        <f>IF('COPY 20 %'!$A226="","",'COPY 20 %'!F226)</f>
        <v/>
      </c>
      <c r="D226" s="14">
        <f>IF('COPY 20 %'!$A226="","",'COPY 20 %'!I226)</f>
        <v/>
      </c>
      <c r="E226" s="7">
        <f>IF('COPY 20 %'!$A226="","",'COPY 20 %'!O226)</f>
        <v/>
      </c>
      <c r="F226" s="7">
        <f>IF('COPY 20 %'!$A226="","",'COPY 20 %'!L226)</f>
        <v/>
      </c>
      <c r="G226" s="7">
        <f>IF('COPY 20 %'!$A226="","",'COPY 20 %'!S226)</f>
        <v/>
      </c>
      <c r="H226">
        <f>IF('COPY 20 %'!$A226="","",'COPY 20 %'!P226)</f>
        <v/>
      </c>
      <c r="I226">
        <f>IF('COPY 20 %'!$A226="","",'COPY 20 %'!M226)</f>
        <v/>
      </c>
      <c r="J226" s="7">
        <f>IF('COPY 20 %'!$A226="","",'COPY 20 %'!Q226)</f>
        <v/>
      </c>
      <c r="K226" s="7">
        <f>IF('COPY 20 %'!$A226="","",'COPY 20 %'!H226)</f>
        <v/>
      </c>
      <c r="L226" s="7">
        <f>IF('COPY 20 %'!$A226="","",'COPY 20 %'!T226)</f>
        <v/>
      </c>
      <c r="M226">
        <f>IF('COPY 20 %'!$A226="","",'COPY 20 %'!G226)</f>
        <v/>
      </c>
    </row>
    <row r="227">
      <c r="A227">
        <f>IF('COPY 20 %'!$A227="","",ROWS($A$2:$A227))</f>
        <v/>
      </c>
      <c r="B227">
        <f>IF('COPY 20 %'!$A227="","",'COPY 20 %'!E227)</f>
        <v/>
      </c>
      <c r="C227">
        <f>IF('COPY 20 %'!$A227="","",'COPY 20 %'!F227)</f>
        <v/>
      </c>
      <c r="D227" s="14">
        <f>IF('COPY 20 %'!$A227="","",'COPY 20 %'!I227)</f>
        <v/>
      </c>
      <c r="E227" s="7">
        <f>IF('COPY 20 %'!$A227="","",'COPY 20 %'!O227)</f>
        <v/>
      </c>
      <c r="F227" s="7">
        <f>IF('COPY 20 %'!$A227="","",'COPY 20 %'!L227)</f>
        <v/>
      </c>
      <c r="G227" s="7">
        <f>IF('COPY 20 %'!$A227="","",'COPY 20 %'!S227)</f>
        <v/>
      </c>
      <c r="H227">
        <f>IF('COPY 20 %'!$A227="","",'COPY 20 %'!P227)</f>
        <v/>
      </c>
      <c r="I227">
        <f>IF('COPY 20 %'!$A227="","",'COPY 20 %'!M227)</f>
        <v/>
      </c>
      <c r="J227" s="7">
        <f>IF('COPY 20 %'!$A227="","",'COPY 20 %'!Q227)</f>
        <v/>
      </c>
      <c r="K227" s="7">
        <f>IF('COPY 20 %'!$A227="","",'COPY 20 %'!H227)</f>
        <v/>
      </c>
      <c r="L227" s="7">
        <f>IF('COPY 20 %'!$A227="","",'COPY 20 %'!T227)</f>
        <v/>
      </c>
      <c r="M227">
        <f>IF('COPY 20 %'!$A227="","",'COPY 20 %'!G227)</f>
        <v/>
      </c>
    </row>
    <row r="228">
      <c r="A228">
        <f>IF('COPY 20 %'!$A228="","",ROWS($A$2:$A228))</f>
        <v/>
      </c>
      <c r="B228">
        <f>IF('COPY 20 %'!$A228="","",'COPY 20 %'!E228)</f>
        <v/>
      </c>
      <c r="C228">
        <f>IF('COPY 20 %'!$A228="","",'COPY 20 %'!F228)</f>
        <v/>
      </c>
      <c r="D228" s="14">
        <f>IF('COPY 20 %'!$A228="","",'COPY 20 %'!I228)</f>
        <v/>
      </c>
      <c r="E228" s="7">
        <f>IF('COPY 20 %'!$A228="","",'COPY 20 %'!O228)</f>
        <v/>
      </c>
      <c r="F228" s="7">
        <f>IF('COPY 20 %'!$A228="","",'COPY 20 %'!L228)</f>
        <v/>
      </c>
      <c r="G228" s="7">
        <f>IF('COPY 20 %'!$A228="","",'COPY 20 %'!S228)</f>
        <v/>
      </c>
      <c r="H228">
        <f>IF('COPY 20 %'!$A228="","",'COPY 20 %'!P228)</f>
        <v/>
      </c>
      <c r="I228">
        <f>IF('COPY 20 %'!$A228="","",'COPY 20 %'!M228)</f>
        <v/>
      </c>
      <c r="J228" s="7">
        <f>IF('COPY 20 %'!$A228="","",'COPY 20 %'!Q228)</f>
        <v/>
      </c>
      <c r="K228" s="7">
        <f>IF('COPY 20 %'!$A228="","",'COPY 20 %'!H228)</f>
        <v/>
      </c>
      <c r="L228" s="7">
        <f>IF('COPY 20 %'!$A228="","",'COPY 20 %'!T228)</f>
        <v/>
      </c>
      <c r="M228">
        <f>IF('COPY 20 %'!$A228="","",'COPY 20 %'!G228)</f>
        <v/>
      </c>
    </row>
    <row r="229">
      <c r="A229">
        <f>IF('COPY 20 %'!$A229="","",ROWS($A$2:$A229))</f>
        <v/>
      </c>
      <c r="B229">
        <f>IF('COPY 20 %'!$A229="","",'COPY 20 %'!E229)</f>
        <v/>
      </c>
      <c r="C229">
        <f>IF('COPY 20 %'!$A229="","",'COPY 20 %'!F229)</f>
        <v/>
      </c>
      <c r="D229" s="14">
        <f>IF('COPY 20 %'!$A229="","",'COPY 20 %'!I229)</f>
        <v/>
      </c>
      <c r="E229" s="7">
        <f>IF('COPY 20 %'!$A229="","",'COPY 20 %'!O229)</f>
        <v/>
      </c>
      <c r="F229" s="7">
        <f>IF('COPY 20 %'!$A229="","",'COPY 20 %'!L229)</f>
        <v/>
      </c>
      <c r="G229" s="7">
        <f>IF('COPY 20 %'!$A229="","",'COPY 20 %'!S229)</f>
        <v/>
      </c>
      <c r="H229">
        <f>IF('COPY 20 %'!$A229="","",'COPY 20 %'!P229)</f>
        <v/>
      </c>
      <c r="I229">
        <f>IF('COPY 20 %'!$A229="","",'COPY 20 %'!M229)</f>
        <v/>
      </c>
      <c r="J229" s="7">
        <f>IF('COPY 20 %'!$A229="","",'COPY 20 %'!Q229)</f>
        <v/>
      </c>
      <c r="K229" s="7">
        <f>IF('COPY 20 %'!$A229="","",'COPY 20 %'!H229)</f>
        <v/>
      </c>
      <c r="L229" s="7">
        <f>IF('COPY 20 %'!$A229="","",'COPY 20 %'!T229)</f>
        <v/>
      </c>
      <c r="M229">
        <f>IF('COPY 20 %'!$A229="","",'COPY 20 %'!G229)</f>
        <v/>
      </c>
    </row>
    <row r="230">
      <c r="A230">
        <f>IF('COPY 20 %'!$A230="","",ROWS($A$2:$A230))</f>
        <v/>
      </c>
      <c r="B230">
        <f>IF('COPY 20 %'!$A230="","",'COPY 20 %'!E230)</f>
        <v/>
      </c>
      <c r="C230">
        <f>IF('COPY 20 %'!$A230="","",'COPY 20 %'!F230)</f>
        <v/>
      </c>
      <c r="D230" s="14">
        <f>IF('COPY 20 %'!$A230="","",'COPY 20 %'!I230)</f>
        <v/>
      </c>
      <c r="E230" s="7">
        <f>IF('COPY 20 %'!$A230="","",'COPY 20 %'!O230)</f>
        <v/>
      </c>
      <c r="F230" s="7">
        <f>IF('COPY 20 %'!$A230="","",'COPY 20 %'!L230)</f>
        <v/>
      </c>
      <c r="G230" s="7">
        <f>IF('COPY 20 %'!$A230="","",'COPY 20 %'!S230)</f>
        <v/>
      </c>
      <c r="H230">
        <f>IF('COPY 20 %'!$A230="","",'COPY 20 %'!P230)</f>
        <v/>
      </c>
      <c r="I230">
        <f>IF('COPY 20 %'!$A230="","",'COPY 20 %'!M230)</f>
        <v/>
      </c>
      <c r="J230" s="7">
        <f>IF('COPY 20 %'!$A230="","",'COPY 20 %'!Q230)</f>
        <v/>
      </c>
      <c r="K230" s="7">
        <f>IF('COPY 20 %'!$A230="","",'COPY 20 %'!H230)</f>
        <v/>
      </c>
      <c r="L230" s="7">
        <f>IF('COPY 20 %'!$A230="","",'COPY 20 %'!T230)</f>
        <v/>
      </c>
      <c r="M230">
        <f>IF('COPY 20 %'!$A230="","",'COPY 20 %'!G230)</f>
        <v/>
      </c>
    </row>
    <row r="231">
      <c r="A231">
        <f>IF('COPY 20 %'!$A231="","",ROWS($A$2:$A231))</f>
        <v/>
      </c>
      <c r="B231">
        <f>IF('COPY 20 %'!$A231="","",'COPY 20 %'!E231)</f>
        <v/>
      </c>
      <c r="C231">
        <f>IF('COPY 20 %'!$A231="","",'COPY 20 %'!F231)</f>
        <v/>
      </c>
      <c r="D231" s="14">
        <f>IF('COPY 20 %'!$A231="","",'COPY 20 %'!I231)</f>
        <v/>
      </c>
      <c r="E231" s="7">
        <f>IF('COPY 20 %'!$A231="","",'COPY 20 %'!O231)</f>
        <v/>
      </c>
      <c r="F231" s="7">
        <f>IF('COPY 20 %'!$A231="","",'COPY 20 %'!L231)</f>
        <v/>
      </c>
      <c r="G231" s="7">
        <f>IF('COPY 20 %'!$A231="","",'COPY 20 %'!S231)</f>
        <v/>
      </c>
      <c r="H231">
        <f>IF('COPY 20 %'!$A231="","",'COPY 20 %'!P231)</f>
        <v/>
      </c>
      <c r="I231">
        <f>IF('COPY 20 %'!$A231="","",'COPY 20 %'!M231)</f>
        <v/>
      </c>
      <c r="J231" s="7">
        <f>IF('COPY 20 %'!$A231="","",'COPY 20 %'!Q231)</f>
        <v/>
      </c>
      <c r="K231" s="7">
        <f>IF('COPY 20 %'!$A231="","",'COPY 20 %'!H231)</f>
        <v/>
      </c>
      <c r="L231" s="7">
        <f>IF('COPY 20 %'!$A231="","",'COPY 20 %'!T231)</f>
        <v/>
      </c>
      <c r="M231">
        <f>IF('COPY 20 %'!$A231="","",'COPY 20 %'!G231)</f>
        <v/>
      </c>
    </row>
    <row r="232">
      <c r="A232">
        <f>IF('COPY 20 %'!$A232="","",ROWS($A$2:$A232))</f>
        <v/>
      </c>
      <c r="B232">
        <f>IF('COPY 20 %'!$A232="","",'COPY 20 %'!E232)</f>
        <v/>
      </c>
      <c r="C232">
        <f>IF('COPY 20 %'!$A232="","",'COPY 20 %'!F232)</f>
        <v/>
      </c>
      <c r="D232" s="14">
        <f>IF('COPY 20 %'!$A232="","",'COPY 20 %'!I232)</f>
        <v/>
      </c>
      <c r="E232" s="7">
        <f>IF('COPY 20 %'!$A232="","",'COPY 20 %'!O232)</f>
        <v/>
      </c>
      <c r="F232" s="7">
        <f>IF('COPY 20 %'!$A232="","",'COPY 20 %'!L232)</f>
        <v/>
      </c>
      <c r="G232" s="7">
        <f>IF('COPY 20 %'!$A232="","",'COPY 20 %'!S232)</f>
        <v/>
      </c>
      <c r="H232">
        <f>IF('COPY 20 %'!$A232="","",'COPY 20 %'!P232)</f>
        <v/>
      </c>
      <c r="I232">
        <f>IF('COPY 20 %'!$A232="","",'COPY 20 %'!M232)</f>
        <v/>
      </c>
      <c r="J232" s="7">
        <f>IF('COPY 20 %'!$A232="","",'COPY 20 %'!Q232)</f>
        <v/>
      </c>
      <c r="K232" s="7">
        <f>IF('COPY 20 %'!$A232="","",'COPY 20 %'!H232)</f>
        <v/>
      </c>
      <c r="L232" s="7">
        <f>IF('COPY 20 %'!$A232="","",'COPY 20 %'!T232)</f>
        <v/>
      </c>
      <c r="M232">
        <f>IF('COPY 20 %'!$A232="","",'COPY 20 %'!G232)</f>
        <v/>
      </c>
    </row>
    <row r="233">
      <c r="A233">
        <f>IF('COPY 20 %'!$A233="","",ROWS($A$2:$A233))</f>
        <v/>
      </c>
      <c r="B233">
        <f>IF('COPY 20 %'!$A233="","",'COPY 20 %'!E233)</f>
        <v/>
      </c>
      <c r="C233">
        <f>IF('COPY 20 %'!$A233="","",'COPY 20 %'!F233)</f>
        <v/>
      </c>
      <c r="D233" s="14">
        <f>IF('COPY 20 %'!$A233="","",'COPY 20 %'!I233)</f>
        <v/>
      </c>
      <c r="E233" s="7">
        <f>IF('COPY 20 %'!$A233="","",'COPY 20 %'!O233)</f>
        <v/>
      </c>
      <c r="F233" s="7">
        <f>IF('COPY 20 %'!$A233="","",'COPY 20 %'!L233)</f>
        <v/>
      </c>
      <c r="G233" s="7">
        <f>IF('COPY 20 %'!$A233="","",'COPY 20 %'!S233)</f>
        <v/>
      </c>
      <c r="H233">
        <f>IF('COPY 20 %'!$A233="","",'COPY 20 %'!P233)</f>
        <v/>
      </c>
      <c r="I233">
        <f>IF('COPY 20 %'!$A233="","",'COPY 20 %'!M233)</f>
        <v/>
      </c>
      <c r="J233" s="7">
        <f>IF('COPY 20 %'!$A233="","",'COPY 20 %'!Q233)</f>
        <v/>
      </c>
      <c r="K233" s="7">
        <f>IF('COPY 20 %'!$A233="","",'COPY 20 %'!H233)</f>
        <v/>
      </c>
      <c r="L233" s="7">
        <f>IF('COPY 20 %'!$A233="","",'COPY 20 %'!T233)</f>
        <v/>
      </c>
      <c r="M233">
        <f>IF('COPY 20 %'!$A233="","",'COPY 20 %'!G233)</f>
        <v/>
      </c>
    </row>
    <row r="234">
      <c r="A234">
        <f>IF('COPY 20 %'!$A234="","",ROWS($A$2:$A234))</f>
        <v/>
      </c>
      <c r="B234">
        <f>IF('COPY 20 %'!$A234="","",'COPY 20 %'!E234)</f>
        <v/>
      </c>
      <c r="C234">
        <f>IF('COPY 20 %'!$A234="","",'COPY 20 %'!F234)</f>
        <v/>
      </c>
      <c r="D234" s="14">
        <f>IF('COPY 20 %'!$A234="","",'COPY 20 %'!I234)</f>
        <v/>
      </c>
      <c r="E234" s="7">
        <f>IF('COPY 20 %'!$A234="","",'COPY 20 %'!O234)</f>
        <v/>
      </c>
      <c r="F234" s="7">
        <f>IF('COPY 20 %'!$A234="","",'COPY 20 %'!L234)</f>
        <v/>
      </c>
      <c r="G234" s="7">
        <f>IF('COPY 20 %'!$A234="","",'COPY 20 %'!S234)</f>
        <v/>
      </c>
      <c r="H234">
        <f>IF('COPY 20 %'!$A234="","",'COPY 20 %'!P234)</f>
        <v/>
      </c>
      <c r="I234">
        <f>IF('COPY 20 %'!$A234="","",'COPY 20 %'!M234)</f>
        <v/>
      </c>
      <c r="J234" s="7">
        <f>IF('COPY 20 %'!$A234="","",'COPY 20 %'!Q234)</f>
        <v/>
      </c>
      <c r="K234" s="7">
        <f>IF('COPY 20 %'!$A234="","",'COPY 20 %'!H234)</f>
        <v/>
      </c>
      <c r="L234" s="7">
        <f>IF('COPY 20 %'!$A234="","",'COPY 20 %'!T234)</f>
        <v/>
      </c>
      <c r="M234">
        <f>IF('COPY 20 %'!$A234="","",'COPY 20 %'!G234)</f>
        <v/>
      </c>
    </row>
    <row r="235">
      <c r="A235">
        <f>IF('COPY 20 %'!$A235="","",ROWS($A$2:$A235))</f>
        <v/>
      </c>
      <c r="B235">
        <f>IF('COPY 20 %'!$A235="","",'COPY 20 %'!E235)</f>
        <v/>
      </c>
      <c r="C235">
        <f>IF('COPY 20 %'!$A235="","",'COPY 20 %'!F235)</f>
        <v/>
      </c>
      <c r="D235" s="14">
        <f>IF('COPY 20 %'!$A235="","",'COPY 20 %'!I235)</f>
        <v/>
      </c>
      <c r="E235" s="7">
        <f>IF('COPY 20 %'!$A235="","",'COPY 20 %'!O235)</f>
        <v/>
      </c>
      <c r="F235" s="7">
        <f>IF('COPY 20 %'!$A235="","",'COPY 20 %'!L235)</f>
        <v/>
      </c>
      <c r="G235" s="7">
        <f>IF('COPY 20 %'!$A235="","",'COPY 20 %'!S235)</f>
        <v/>
      </c>
      <c r="H235">
        <f>IF('COPY 20 %'!$A235="","",'COPY 20 %'!P235)</f>
        <v/>
      </c>
      <c r="I235">
        <f>IF('COPY 20 %'!$A235="","",'COPY 20 %'!M235)</f>
        <v/>
      </c>
      <c r="J235" s="7">
        <f>IF('COPY 20 %'!$A235="","",'COPY 20 %'!Q235)</f>
        <v/>
      </c>
      <c r="K235" s="7">
        <f>IF('COPY 20 %'!$A235="","",'COPY 20 %'!H235)</f>
        <v/>
      </c>
      <c r="L235" s="7">
        <f>IF('COPY 20 %'!$A235="","",'COPY 20 %'!T235)</f>
        <v/>
      </c>
      <c r="M235">
        <f>IF('COPY 20 %'!$A235="","",'COPY 20 %'!G235)</f>
        <v/>
      </c>
    </row>
    <row r="236">
      <c r="A236">
        <f>IF('COPY 20 %'!$A236="","",ROWS($A$2:$A236))</f>
        <v/>
      </c>
      <c r="B236">
        <f>IF('COPY 20 %'!$A236="","",'COPY 20 %'!E236)</f>
        <v/>
      </c>
      <c r="C236">
        <f>IF('COPY 20 %'!$A236="","",'COPY 20 %'!F236)</f>
        <v/>
      </c>
      <c r="D236" s="14">
        <f>IF('COPY 20 %'!$A236="","",'COPY 20 %'!I236)</f>
        <v/>
      </c>
      <c r="E236" s="7">
        <f>IF('COPY 20 %'!$A236="","",'COPY 20 %'!O236)</f>
        <v/>
      </c>
      <c r="F236" s="7">
        <f>IF('COPY 20 %'!$A236="","",'COPY 20 %'!L236)</f>
        <v/>
      </c>
      <c r="G236" s="7">
        <f>IF('COPY 20 %'!$A236="","",'COPY 20 %'!S236)</f>
        <v/>
      </c>
      <c r="H236">
        <f>IF('COPY 20 %'!$A236="","",'COPY 20 %'!P236)</f>
        <v/>
      </c>
      <c r="I236">
        <f>IF('COPY 20 %'!$A236="","",'COPY 20 %'!M236)</f>
        <v/>
      </c>
      <c r="J236" s="7">
        <f>IF('COPY 20 %'!$A236="","",'COPY 20 %'!Q236)</f>
        <v/>
      </c>
      <c r="K236" s="7">
        <f>IF('COPY 20 %'!$A236="","",'COPY 20 %'!H236)</f>
        <v/>
      </c>
      <c r="L236" s="7">
        <f>IF('COPY 20 %'!$A236="","",'COPY 20 %'!T236)</f>
        <v/>
      </c>
      <c r="M236">
        <f>IF('COPY 20 %'!$A236="","",'COPY 20 %'!G236)</f>
        <v/>
      </c>
    </row>
    <row r="237">
      <c r="A237">
        <f>IF('COPY 20 %'!$A237="","",ROWS($A$2:$A237))</f>
        <v/>
      </c>
      <c r="B237">
        <f>IF('COPY 20 %'!$A237="","",'COPY 20 %'!E237)</f>
        <v/>
      </c>
      <c r="C237">
        <f>IF('COPY 20 %'!$A237="","",'COPY 20 %'!F237)</f>
        <v/>
      </c>
      <c r="D237" s="14">
        <f>IF('COPY 20 %'!$A237="","",'COPY 20 %'!I237)</f>
        <v/>
      </c>
      <c r="E237" s="7">
        <f>IF('COPY 20 %'!$A237="","",'COPY 20 %'!O237)</f>
        <v/>
      </c>
      <c r="F237" s="7">
        <f>IF('COPY 20 %'!$A237="","",'COPY 20 %'!L237)</f>
        <v/>
      </c>
      <c r="G237" s="7">
        <f>IF('COPY 20 %'!$A237="","",'COPY 20 %'!S237)</f>
        <v/>
      </c>
      <c r="H237">
        <f>IF('COPY 20 %'!$A237="","",'COPY 20 %'!P237)</f>
        <v/>
      </c>
      <c r="I237">
        <f>IF('COPY 20 %'!$A237="","",'COPY 20 %'!M237)</f>
        <v/>
      </c>
      <c r="J237" s="7">
        <f>IF('COPY 20 %'!$A237="","",'COPY 20 %'!Q237)</f>
        <v/>
      </c>
      <c r="K237" s="7">
        <f>IF('COPY 20 %'!$A237="","",'COPY 20 %'!H237)</f>
        <v/>
      </c>
      <c r="L237" s="7">
        <f>IF('COPY 20 %'!$A237="","",'COPY 20 %'!T237)</f>
        <v/>
      </c>
      <c r="M237">
        <f>IF('COPY 20 %'!$A237="","",'COPY 20 %'!G237)</f>
        <v/>
      </c>
    </row>
    <row r="238">
      <c r="A238">
        <f>IF('COPY 20 %'!$A238="","",ROWS($A$2:$A238))</f>
        <v/>
      </c>
      <c r="B238">
        <f>IF('COPY 20 %'!$A238="","",'COPY 20 %'!E238)</f>
        <v/>
      </c>
      <c r="C238">
        <f>IF('COPY 20 %'!$A238="","",'COPY 20 %'!F238)</f>
        <v/>
      </c>
      <c r="D238" s="14">
        <f>IF('COPY 20 %'!$A238="","",'COPY 20 %'!I238)</f>
        <v/>
      </c>
      <c r="E238" s="7">
        <f>IF('COPY 20 %'!$A238="","",'COPY 20 %'!O238)</f>
        <v/>
      </c>
      <c r="F238" s="7">
        <f>IF('COPY 20 %'!$A238="","",'COPY 20 %'!L238)</f>
        <v/>
      </c>
      <c r="G238" s="7">
        <f>IF('COPY 20 %'!$A238="","",'COPY 20 %'!S238)</f>
        <v/>
      </c>
      <c r="H238">
        <f>IF('COPY 20 %'!$A238="","",'COPY 20 %'!P238)</f>
        <v/>
      </c>
      <c r="I238">
        <f>IF('COPY 20 %'!$A238="","",'COPY 20 %'!M238)</f>
        <v/>
      </c>
      <c r="J238" s="7">
        <f>IF('COPY 20 %'!$A238="","",'COPY 20 %'!Q238)</f>
        <v/>
      </c>
      <c r="K238" s="7">
        <f>IF('COPY 20 %'!$A238="","",'COPY 20 %'!H238)</f>
        <v/>
      </c>
      <c r="L238" s="7">
        <f>IF('COPY 20 %'!$A238="","",'COPY 20 %'!T238)</f>
        <v/>
      </c>
      <c r="M238">
        <f>IF('COPY 20 %'!$A238="","",'COPY 20 %'!G238)</f>
        <v/>
      </c>
    </row>
    <row r="239">
      <c r="A239">
        <f>IF('COPY 20 %'!$A239="","",ROWS($A$2:$A239))</f>
        <v/>
      </c>
      <c r="B239">
        <f>IF('COPY 20 %'!$A239="","",'COPY 20 %'!E239)</f>
        <v/>
      </c>
      <c r="C239">
        <f>IF('COPY 20 %'!$A239="","",'COPY 20 %'!F239)</f>
        <v/>
      </c>
      <c r="D239" s="14">
        <f>IF('COPY 20 %'!$A239="","",'COPY 20 %'!I239)</f>
        <v/>
      </c>
      <c r="E239" s="7">
        <f>IF('COPY 20 %'!$A239="","",'COPY 20 %'!O239)</f>
        <v/>
      </c>
      <c r="F239" s="7">
        <f>IF('COPY 20 %'!$A239="","",'COPY 20 %'!L239)</f>
        <v/>
      </c>
      <c r="G239" s="7">
        <f>IF('COPY 20 %'!$A239="","",'COPY 20 %'!S239)</f>
        <v/>
      </c>
      <c r="H239">
        <f>IF('COPY 20 %'!$A239="","",'COPY 20 %'!P239)</f>
        <v/>
      </c>
      <c r="I239">
        <f>IF('COPY 20 %'!$A239="","",'COPY 20 %'!M239)</f>
        <v/>
      </c>
      <c r="J239" s="7">
        <f>IF('COPY 20 %'!$A239="","",'COPY 20 %'!Q239)</f>
        <v/>
      </c>
      <c r="K239" s="7">
        <f>IF('COPY 20 %'!$A239="","",'COPY 20 %'!H239)</f>
        <v/>
      </c>
      <c r="L239" s="7">
        <f>IF('COPY 20 %'!$A239="","",'COPY 20 %'!T239)</f>
        <v/>
      </c>
      <c r="M239">
        <f>IF('COPY 20 %'!$A239="","",'COPY 20 %'!G239)</f>
        <v/>
      </c>
    </row>
    <row r="240">
      <c r="A240">
        <f>IF('COPY 20 %'!$A240="","",ROWS($A$2:$A240))</f>
        <v/>
      </c>
      <c r="B240">
        <f>IF('COPY 20 %'!$A240="","",'COPY 20 %'!E240)</f>
        <v/>
      </c>
      <c r="C240">
        <f>IF('COPY 20 %'!$A240="","",'COPY 20 %'!F240)</f>
        <v/>
      </c>
      <c r="D240" s="14">
        <f>IF('COPY 20 %'!$A240="","",'COPY 20 %'!I240)</f>
        <v/>
      </c>
      <c r="E240" s="7">
        <f>IF('COPY 20 %'!$A240="","",'COPY 20 %'!O240)</f>
        <v/>
      </c>
      <c r="F240" s="7">
        <f>IF('COPY 20 %'!$A240="","",'COPY 20 %'!L240)</f>
        <v/>
      </c>
      <c r="G240" s="7">
        <f>IF('COPY 20 %'!$A240="","",'COPY 20 %'!S240)</f>
        <v/>
      </c>
      <c r="H240">
        <f>IF('COPY 20 %'!$A240="","",'COPY 20 %'!P240)</f>
        <v/>
      </c>
      <c r="I240">
        <f>IF('COPY 20 %'!$A240="","",'COPY 20 %'!M240)</f>
        <v/>
      </c>
      <c r="J240" s="7">
        <f>IF('COPY 20 %'!$A240="","",'COPY 20 %'!Q240)</f>
        <v/>
      </c>
      <c r="K240" s="7">
        <f>IF('COPY 20 %'!$A240="","",'COPY 20 %'!H240)</f>
        <v/>
      </c>
      <c r="L240" s="7">
        <f>IF('COPY 20 %'!$A240="","",'COPY 20 %'!T240)</f>
        <v/>
      </c>
      <c r="M240">
        <f>IF('COPY 20 %'!$A240="","",'COPY 20 %'!G240)</f>
        <v/>
      </c>
    </row>
    <row r="241">
      <c r="A241">
        <f>IF('COPY 20 %'!$A241="","",ROWS($A$2:$A241))</f>
        <v/>
      </c>
      <c r="B241">
        <f>IF('COPY 20 %'!$A241="","",'COPY 20 %'!E241)</f>
        <v/>
      </c>
      <c r="C241">
        <f>IF('COPY 20 %'!$A241="","",'COPY 20 %'!F241)</f>
        <v/>
      </c>
      <c r="D241" s="14">
        <f>IF('COPY 20 %'!$A241="","",'COPY 20 %'!I241)</f>
        <v/>
      </c>
      <c r="E241" s="7">
        <f>IF('COPY 20 %'!$A241="","",'COPY 20 %'!O241)</f>
        <v/>
      </c>
      <c r="F241" s="7">
        <f>IF('COPY 20 %'!$A241="","",'COPY 20 %'!L241)</f>
        <v/>
      </c>
      <c r="G241" s="7">
        <f>IF('COPY 20 %'!$A241="","",'COPY 20 %'!S241)</f>
        <v/>
      </c>
      <c r="H241">
        <f>IF('COPY 20 %'!$A241="","",'COPY 20 %'!P241)</f>
        <v/>
      </c>
      <c r="I241">
        <f>IF('COPY 20 %'!$A241="","",'COPY 20 %'!M241)</f>
        <v/>
      </c>
      <c r="J241" s="7">
        <f>IF('COPY 20 %'!$A241="","",'COPY 20 %'!Q241)</f>
        <v/>
      </c>
      <c r="K241" s="7">
        <f>IF('COPY 20 %'!$A241="","",'COPY 20 %'!H241)</f>
        <v/>
      </c>
      <c r="L241" s="7">
        <f>IF('COPY 20 %'!$A241="","",'COPY 20 %'!T241)</f>
        <v/>
      </c>
      <c r="M241">
        <f>IF('COPY 20 %'!$A241="","",'COPY 20 %'!G241)</f>
        <v/>
      </c>
    </row>
    <row r="242">
      <c r="A242">
        <f>IF('COPY 20 %'!$A242="","",ROWS($A$2:$A242))</f>
        <v/>
      </c>
      <c r="B242">
        <f>IF('COPY 20 %'!$A242="","",'COPY 20 %'!E242)</f>
        <v/>
      </c>
      <c r="C242">
        <f>IF('COPY 20 %'!$A242="","",'COPY 20 %'!F242)</f>
        <v/>
      </c>
      <c r="D242" s="14">
        <f>IF('COPY 20 %'!$A242="","",'COPY 20 %'!I242)</f>
        <v/>
      </c>
      <c r="E242" s="7">
        <f>IF('COPY 20 %'!$A242="","",'COPY 20 %'!O242)</f>
        <v/>
      </c>
      <c r="F242" s="7">
        <f>IF('COPY 20 %'!$A242="","",'COPY 20 %'!L242)</f>
        <v/>
      </c>
      <c r="G242" s="7">
        <f>IF('COPY 20 %'!$A242="","",'COPY 20 %'!S242)</f>
        <v/>
      </c>
      <c r="H242">
        <f>IF('COPY 20 %'!$A242="","",'COPY 20 %'!P242)</f>
        <v/>
      </c>
      <c r="I242">
        <f>IF('COPY 20 %'!$A242="","",'COPY 20 %'!M242)</f>
        <v/>
      </c>
      <c r="J242" s="7">
        <f>IF('COPY 20 %'!$A242="","",'COPY 20 %'!Q242)</f>
        <v/>
      </c>
      <c r="K242" s="7">
        <f>IF('COPY 20 %'!$A242="","",'COPY 20 %'!H242)</f>
        <v/>
      </c>
      <c r="L242" s="7">
        <f>IF('COPY 20 %'!$A242="","",'COPY 20 %'!T242)</f>
        <v/>
      </c>
      <c r="M242">
        <f>IF('COPY 20 %'!$A242="","",'COPY 20 %'!G242)</f>
        <v/>
      </c>
    </row>
    <row r="243">
      <c r="A243">
        <f>IF('COPY 20 %'!$A243="","",ROWS($A$2:$A243))</f>
        <v/>
      </c>
      <c r="B243">
        <f>IF('COPY 20 %'!$A243="","",'COPY 20 %'!E243)</f>
        <v/>
      </c>
      <c r="C243">
        <f>IF('COPY 20 %'!$A243="","",'COPY 20 %'!F243)</f>
        <v/>
      </c>
      <c r="D243" s="14">
        <f>IF('COPY 20 %'!$A243="","",'COPY 20 %'!I243)</f>
        <v/>
      </c>
      <c r="E243" s="7">
        <f>IF('COPY 20 %'!$A243="","",'COPY 20 %'!O243)</f>
        <v/>
      </c>
      <c r="F243" s="7">
        <f>IF('COPY 20 %'!$A243="","",'COPY 20 %'!L243)</f>
        <v/>
      </c>
      <c r="G243" s="7">
        <f>IF('COPY 20 %'!$A243="","",'COPY 20 %'!S243)</f>
        <v/>
      </c>
      <c r="H243">
        <f>IF('COPY 20 %'!$A243="","",'COPY 20 %'!P243)</f>
        <v/>
      </c>
      <c r="I243">
        <f>IF('COPY 20 %'!$A243="","",'COPY 20 %'!M243)</f>
        <v/>
      </c>
      <c r="J243" s="7">
        <f>IF('COPY 20 %'!$A243="","",'COPY 20 %'!Q243)</f>
        <v/>
      </c>
      <c r="K243" s="7">
        <f>IF('COPY 20 %'!$A243="","",'COPY 20 %'!H243)</f>
        <v/>
      </c>
      <c r="L243" s="7">
        <f>IF('COPY 20 %'!$A243="","",'COPY 20 %'!T243)</f>
        <v/>
      </c>
      <c r="M243">
        <f>IF('COPY 20 %'!$A243="","",'COPY 20 %'!G243)</f>
        <v/>
      </c>
    </row>
    <row r="244">
      <c r="A244">
        <f>IF('COPY 20 %'!$A244="","",ROWS($A$2:$A244))</f>
        <v/>
      </c>
      <c r="B244">
        <f>IF('COPY 20 %'!$A244="","",'COPY 20 %'!E244)</f>
        <v/>
      </c>
      <c r="C244">
        <f>IF('COPY 20 %'!$A244="","",'COPY 20 %'!F244)</f>
        <v/>
      </c>
      <c r="D244" s="14">
        <f>IF('COPY 20 %'!$A244="","",'COPY 20 %'!I244)</f>
        <v/>
      </c>
      <c r="E244" s="7">
        <f>IF('COPY 20 %'!$A244="","",'COPY 20 %'!O244)</f>
        <v/>
      </c>
      <c r="F244" s="7">
        <f>IF('COPY 20 %'!$A244="","",'COPY 20 %'!L244)</f>
        <v/>
      </c>
      <c r="G244" s="7">
        <f>IF('COPY 20 %'!$A244="","",'COPY 20 %'!S244)</f>
        <v/>
      </c>
      <c r="H244">
        <f>IF('COPY 20 %'!$A244="","",'COPY 20 %'!P244)</f>
        <v/>
      </c>
      <c r="I244">
        <f>IF('COPY 20 %'!$A244="","",'COPY 20 %'!M244)</f>
        <v/>
      </c>
      <c r="J244" s="7">
        <f>IF('COPY 20 %'!$A244="","",'COPY 20 %'!Q244)</f>
        <v/>
      </c>
      <c r="K244" s="7">
        <f>IF('COPY 20 %'!$A244="","",'COPY 20 %'!H244)</f>
        <v/>
      </c>
      <c r="L244" s="7">
        <f>IF('COPY 20 %'!$A244="","",'COPY 20 %'!T244)</f>
        <v/>
      </c>
      <c r="M244">
        <f>IF('COPY 20 %'!$A244="","",'COPY 20 %'!G244)</f>
        <v/>
      </c>
    </row>
    <row r="245">
      <c r="A245">
        <f>IF('COPY 20 %'!$A245="","",ROWS($A$2:$A245))</f>
        <v/>
      </c>
      <c r="B245">
        <f>IF('COPY 20 %'!$A245="","",'COPY 20 %'!E245)</f>
        <v/>
      </c>
      <c r="C245">
        <f>IF('COPY 20 %'!$A245="","",'COPY 20 %'!F245)</f>
        <v/>
      </c>
      <c r="D245" s="14">
        <f>IF('COPY 20 %'!$A245="","",'COPY 20 %'!I245)</f>
        <v/>
      </c>
      <c r="E245" s="7">
        <f>IF('COPY 20 %'!$A245="","",'COPY 20 %'!O245)</f>
        <v/>
      </c>
      <c r="F245" s="7">
        <f>IF('COPY 20 %'!$A245="","",'COPY 20 %'!L245)</f>
        <v/>
      </c>
      <c r="G245" s="7">
        <f>IF('COPY 20 %'!$A245="","",'COPY 20 %'!S245)</f>
        <v/>
      </c>
      <c r="H245">
        <f>IF('COPY 20 %'!$A245="","",'COPY 20 %'!P245)</f>
        <v/>
      </c>
      <c r="I245">
        <f>IF('COPY 20 %'!$A245="","",'COPY 20 %'!M245)</f>
        <v/>
      </c>
      <c r="J245" s="7">
        <f>IF('COPY 20 %'!$A245="","",'COPY 20 %'!Q245)</f>
        <v/>
      </c>
      <c r="K245" s="7">
        <f>IF('COPY 20 %'!$A245="","",'COPY 20 %'!H245)</f>
        <v/>
      </c>
      <c r="L245" s="7">
        <f>IF('COPY 20 %'!$A245="","",'COPY 20 %'!T245)</f>
        <v/>
      </c>
      <c r="M245">
        <f>IF('COPY 20 %'!$A245="","",'COPY 20 %'!G245)</f>
        <v/>
      </c>
    </row>
    <row r="246">
      <c r="A246">
        <f>IF('COPY 20 %'!$A246="","",ROWS($A$2:$A246))</f>
        <v/>
      </c>
      <c r="B246">
        <f>IF('COPY 20 %'!$A246="","",'COPY 20 %'!E246)</f>
        <v/>
      </c>
      <c r="C246">
        <f>IF('COPY 20 %'!$A246="","",'COPY 20 %'!F246)</f>
        <v/>
      </c>
      <c r="D246" s="14">
        <f>IF('COPY 20 %'!$A246="","",'COPY 20 %'!I246)</f>
        <v/>
      </c>
      <c r="E246" s="7">
        <f>IF('COPY 20 %'!$A246="","",'COPY 20 %'!O246)</f>
        <v/>
      </c>
      <c r="F246" s="7">
        <f>IF('COPY 20 %'!$A246="","",'COPY 20 %'!L246)</f>
        <v/>
      </c>
      <c r="G246" s="7">
        <f>IF('COPY 20 %'!$A246="","",'COPY 20 %'!S246)</f>
        <v/>
      </c>
      <c r="H246">
        <f>IF('COPY 20 %'!$A246="","",'COPY 20 %'!P246)</f>
        <v/>
      </c>
      <c r="I246">
        <f>IF('COPY 20 %'!$A246="","",'COPY 20 %'!M246)</f>
        <v/>
      </c>
      <c r="J246" s="7">
        <f>IF('COPY 20 %'!$A246="","",'COPY 20 %'!Q246)</f>
        <v/>
      </c>
      <c r="K246" s="7">
        <f>IF('COPY 20 %'!$A246="","",'COPY 20 %'!H246)</f>
        <v/>
      </c>
      <c r="L246" s="7">
        <f>IF('COPY 20 %'!$A246="","",'COPY 20 %'!T246)</f>
        <v/>
      </c>
      <c r="M246">
        <f>IF('COPY 20 %'!$A246="","",'COPY 20 %'!G246)</f>
        <v/>
      </c>
    </row>
    <row r="247">
      <c r="A247">
        <f>IF('COPY 20 %'!$A247="","",ROWS($A$2:$A247))</f>
        <v/>
      </c>
      <c r="B247">
        <f>IF('COPY 20 %'!$A247="","",'COPY 20 %'!E247)</f>
        <v/>
      </c>
      <c r="C247">
        <f>IF('COPY 20 %'!$A247="","",'COPY 20 %'!F247)</f>
        <v/>
      </c>
      <c r="D247" s="14">
        <f>IF('COPY 20 %'!$A247="","",'COPY 20 %'!I247)</f>
        <v/>
      </c>
      <c r="E247" s="7">
        <f>IF('COPY 20 %'!$A247="","",'COPY 20 %'!O247)</f>
        <v/>
      </c>
      <c r="F247" s="7">
        <f>IF('COPY 20 %'!$A247="","",'COPY 20 %'!L247)</f>
        <v/>
      </c>
      <c r="G247" s="7">
        <f>IF('COPY 20 %'!$A247="","",'COPY 20 %'!S247)</f>
        <v/>
      </c>
      <c r="H247">
        <f>IF('COPY 20 %'!$A247="","",'COPY 20 %'!P247)</f>
        <v/>
      </c>
      <c r="I247">
        <f>IF('COPY 20 %'!$A247="","",'COPY 20 %'!M247)</f>
        <v/>
      </c>
      <c r="J247" s="7">
        <f>IF('COPY 20 %'!$A247="","",'COPY 20 %'!Q247)</f>
        <v/>
      </c>
      <c r="K247" s="7">
        <f>IF('COPY 20 %'!$A247="","",'COPY 20 %'!H247)</f>
        <v/>
      </c>
      <c r="L247" s="7">
        <f>IF('COPY 20 %'!$A247="","",'COPY 20 %'!T247)</f>
        <v/>
      </c>
      <c r="M247">
        <f>IF('COPY 20 %'!$A247="","",'COPY 20 %'!G247)</f>
        <v/>
      </c>
    </row>
    <row r="248">
      <c r="A248">
        <f>IF('COPY 20 %'!$A248="","",ROWS($A$2:$A248))</f>
        <v/>
      </c>
      <c r="B248">
        <f>IF('COPY 20 %'!$A248="","",'COPY 20 %'!E248)</f>
        <v/>
      </c>
      <c r="C248">
        <f>IF('COPY 20 %'!$A248="","",'COPY 20 %'!F248)</f>
        <v/>
      </c>
      <c r="D248" s="14">
        <f>IF('COPY 20 %'!$A248="","",'COPY 20 %'!I248)</f>
        <v/>
      </c>
      <c r="E248" s="7">
        <f>IF('COPY 20 %'!$A248="","",'COPY 20 %'!O248)</f>
        <v/>
      </c>
      <c r="F248" s="7">
        <f>IF('COPY 20 %'!$A248="","",'COPY 20 %'!L248)</f>
        <v/>
      </c>
      <c r="G248" s="7">
        <f>IF('COPY 20 %'!$A248="","",'COPY 20 %'!S248)</f>
        <v/>
      </c>
      <c r="H248">
        <f>IF('COPY 20 %'!$A248="","",'COPY 20 %'!P248)</f>
        <v/>
      </c>
      <c r="I248">
        <f>IF('COPY 20 %'!$A248="","",'COPY 20 %'!M248)</f>
        <v/>
      </c>
      <c r="J248" s="7">
        <f>IF('COPY 20 %'!$A248="","",'COPY 20 %'!Q248)</f>
        <v/>
      </c>
      <c r="K248" s="7">
        <f>IF('COPY 20 %'!$A248="","",'COPY 20 %'!H248)</f>
        <v/>
      </c>
      <c r="L248" s="7">
        <f>IF('COPY 20 %'!$A248="","",'COPY 20 %'!T248)</f>
        <v/>
      </c>
      <c r="M248">
        <f>IF('COPY 20 %'!$A248="","",'COPY 20 %'!G248)</f>
        <v/>
      </c>
    </row>
    <row r="249">
      <c r="A249">
        <f>IF('COPY 20 %'!$A249="","",ROWS($A$2:$A249))</f>
        <v/>
      </c>
      <c r="B249">
        <f>IF('COPY 20 %'!$A249="","",'COPY 20 %'!E249)</f>
        <v/>
      </c>
      <c r="C249">
        <f>IF('COPY 20 %'!$A249="","",'COPY 20 %'!F249)</f>
        <v/>
      </c>
      <c r="D249" s="14">
        <f>IF('COPY 20 %'!$A249="","",'COPY 20 %'!I249)</f>
        <v/>
      </c>
      <c r="E249" s="7">
        <f>IF('COPY 20 %'!$A249="","",'COPY 20 %'!O249)</f>
        <v/>
      </c>
      <c r="F249" s="7">
        <f>IF('COPY 20 %'!$A249="","",'COPY 20 %'!L249)</f>
        <v/>
      </c>
      <c r="G249" s="7">
        <f>IF('COPY 20 %'!$A249="","",'COPY 20 %'!S249)</f>
        <v/>
      </c>
      <c r="H249">
        <f>IF('COPY 20 %'!$A249="","",'COPY 20 %'!P249)</f>
        <v/>
      </c>
      <c r="I249">
        <f>IF('COPY 20 %'!$A249="","",'COPY 20 %'!M249)</f>
        <v/>
      </c>
      <c r="J249" s="7">
        <f>IF('COPY 20 %'!$A249="","",'COPY 20 %'!Q249)</f>
        <v/>
      </c>
      <c r="K249" s="7">
        <f>IF('COPY 20 %'!$A249="","",'COPY 20 %'!H249)</f>
        <v/>
      </c>
      <c r="L249" s="7">
        <f>IF('COPY 20 %'!$A249="","",'COPY 20 %'!T249)</f>
        <v/>
      </c>
      <c r="M249">
        <f>IF('COPY 20 %'!$A249="","",'COPY 20 %'!G249)</f>
        <v/>
      </c>
    </row>
    <row r="250">
      <c r="A250">
        <f>IF('COPY 20 %'!$A250="","",ROWS($A$2:$A250))</f>
        <v/>
      </c>
      <c r="B250">
        <f>IF('COPY 20 %'!$A250="","",'COPY 20 %'!E250)</f>
        <v/>
      </c>
      <c r="C250">
        <f>IF('COPY 20 %'!$A250="","",'COPY 20 %'!F250)</f>
        <v/>
      </c>
      <c r="D250" s="14">
        <f>IF('COPY 20 %'!$A250="","",'COPY 20 %'!I250)</f>
        <v/>
      </c>
      <c r="E250" s="7">
        <f>IF('COPY 20 %'!$A250="","",'COPY 20 %'!O250)</f>
        <v/>
      </c>
      <c r="F250" s="7">
        <f>IF('COPY 20 %'!$A250="","",'COPY 20 %'!L250)</f>
        <v/>
      </c>
      <c r="G250" s="7">
        <f>IF('COPY 20 %'!$A250="","",'COPY 20 %'!S250)</f>
        <v/>
      </c>
      <c r="H250">
        <f>IF('COPY 20 %'!$A250="","",'COPY 20 %'!P250)</f>
        <v/>
      </c>
      <c r="I250">
        <f>IF('COPY 20 %'!$A250="","",'COPY 20 %'!M250)</f>
        <v/>
      </c>
      <c r="J250" s="7">
        <f>IF('COPY 20 %'!$A250="","",'COPY 20 %'!Q250)</f>
        <v/>
      </c>
      <c r="K250" s="7">
        <f>IF('COPY 20 %'!$A250="","",'COPY 20 %'!H250)</f>
        <v/>
      </c>
      <c r="L250" s="7">
        <f>IF('COPY 20 %'!$A250="","",'COPY 20 %'!T250)</f>
        <v/>
      </c>
      <c r="M250">
        <f>IF('COPY 20 %'!$A250="","",'COPY 20 %'!G250)</f>
        <v/>
      </c>
    </row>
    <row r="251">
      <c r="A251">
        <f>IF('COPY 20 %'!$A251="","",ROWS($A$2:$A251))</f>
        <v/>
      </c>
      <c r="B251">
        <f>IF('COPY 20 %'!$A251="","",'COPY 20 %'!E251)</f>
        <v/>
      </c>
      <c r="C251">
        <f>IF('COPY 20 %'!$A251="","",'COPY 20 %'!F251)</f>
        <v/>
      </c>
      <c r="D251" s="14">
        <f>IF('COPY 20 %'!$A251="","",'COPY 20 %'!I251)</f>
        <v/>
      </c>
      <c r="E251" s="7">
        <f>IF('COPY 20 %'!$A251="","",'COPY 20 %'!O251)</f>
        <v/>
      </c>
      <c r="F251" s="7">
        <f>IF('COPY 20 %'!$A251="","",'COPY 20 %'!L251)</f>
        <v/>
      </c>
      <c r="G251" s="7">
        <f>IF('COPY 20 %'!$A251="","",'COPY 20 %'!S251)</f>
        <v/>
      </c>
      <c r="H251">
        <f>IF('COPY 20 %'!$A251="","",'COPY 20 %'!P251)</f>
        <v/>
      </c>
      <c r="I251">
        <f>IF('COPY 20 %'!$A251="","",'COPY 20 %'!M251)</f>
        <v/>
      </c>
      <c r="J251" s="7">
        <f>IF('COPY 20 %'!$A251="","",'COPY 20 %'!Q251)</f>
        <v/>
      </c>
      <c r="K251" s="7">
        <f>IF('COPY 20 %'!$A251="","",'COPY 20 %'!H251)</f>
        <v/>
      </c>
      <c r="L251" s="7">
        <f>IF('COPY 20 %'!$A251="","",'COPY 20 %'!T251)</f>
        <v/>
      </c>
      <c r="M251">
        <f>IF('COPY 20 %'!$A251="","",'COPY 20 %'!G251)</f>
        <v/>
      </c>
    </row>
    <row r="252">
      <c r="A252">
        <f>IF('COPY 20 %'!$A252="","",ROWS($A$2:$A252))</f>
        <v/>
      </c>
      <c r="B252">
        <f>IF('COPY 20 %'!$A252="","",'COPY 20 %'!E252)</f>
        <v/>
      </c>
      <c r="C252">
        <f>IF('COPY 20 %'!$A252="","",'COPY 20 %'!F252)</f>
        <v/>
      </c>
      <c r="D252" s="14">
        <f>IF('COPY 20 %'!$A252="","",'COPY 20 %'!I252)</f>
        <v/>
      </c>
      <c r="E252" s="7">
        <f>IF('COPY 20 %'!$A252="","",'COPY 20 %'!O252)</f>
        <v/>
      </c>
      <c r="F252" s="7">
        <f>IF('COPY 20 %'!$A252="","",'COPY 20 %'!L252)</f>
        <v/>
      </c>
      <c r="G252" s="7">
        <f>IF('COPY 20 %'!$A252="","",'COPY 20 %'!S252)</f>
        <v/>
      </c>
      <c r="H252">
        <f>IF('COPY 20 %'!$A252="","",'COPY 20 %'!P252)</f>
        <v/>
      </c>
      <c r="I252">
        <f>IF('COPY 20 %'!$A252="","",'COPY 20 %'!M252)</f>
        <v/>
      </c>
      <c r="J252" s="7">
        <f>IF('COPY 20 %'!$A252="","",'COPY 20 %'!Q252)</f>
        <v/>
      </c>
      <c r="K252" s="7">
        <f>IF('COPY 20 %'!$A252="","",'COPY 20 %'!H252)</f>
        <v/>
      </c>
      <c r="L252" s="7">
        <f>IF('COPY 20 %'!$A252="","",'COPY 20 %'!T252)</f>
        <v/>
      </c>
      <c r="M252">
        <f>IF('COPY 20 %'!$A252="","",'COPY 20 %'!G252)</f>
        <v/>
      </c>
    </row>
    <row r="253">
      <c r="A253">
        <f>IF('COPY 20 %'!$A253="","",ROWS($A$2:$A253))</f>
        <v/>
      </c>
      <c r="B253">
        <f>IF('COPY 20 %'!$A253="","",'COPY 20 %'!E253)</f>
        <v/>
      </c>
      <c r="C253">
        <f>IF('COPY 20 %'!$A253="","",'COPY 20 %'!F253)</f>
        <v/>
      </c>
      <c r="D253" s="14">
        <f>IF('COPY 20 %'!$A253="","",'COPY 20 %'!I253)</f>
        <v/>
      </c>
      <c r="E253" s="7">
        <f>IF('COPY 20 %'!$A253="","",'COPY 20 %'!O253)</f>
        <v/>
      </c>
      <c r="F253" s="7">
        <f>IF('COPY 20 %'!$A253="","",'COPY 20 %'!L253)</f>
        <v/>
      </c>
      <c r="G253" s="7">
        <f>IF('COPY 20 %'!$A253="","",'COPY 20 %'!S253)</f>
        <v/>
      </c>
      <c r="H253">
        <f>IF('COPY 20 %'!$A253="","",'COPY 20 %'!P253)</f>
        <v/>
      </c>
      <c r="I253">
        <f>IF('COPY 20 %'!$A253="","",'COPY 20 %'!M253)</f>
        <v/>
      </c>
      <c r="J253" s="7">
        <f>IF('COPY 20 %'!$A253="","",'COPY 20 %'!Q253)</f>
        <v/>
      </c>
      <c r="K253" s="7">
        <f>IF('COPY 20 %'!$A253="","",'COPY 20 %'!H253)</f>
        <v/>
      </c>
      <c r="L253" s="7">
        <f>IF('COPY 20 %'!$A253="","",'COPY 20 %'!T253)</f>
        <v/>
      </c>
      <c r="M253">
        <f>IF('COPY 20 %'!$A253="","",'COPY 20 %'!G253)</f>
        <v/>
      </c>
    </row>
    <row r="254">
      <c r="A254">
        <f>IF('COPY 20 %'!$A254="","",ROWS($A$2:$A254))</f>
        <v/>
      </c>
      <c r="B254">
        <f>IF('COPY 20 %'!$A254="","",'COPY 20 %'!E254)</f>
        <v/>
      </c>
      <c r="C254">
        <f>IF('COPY 20 %'!$A254="","",'COPY 20 %'!F254)</f>
        <v/>
      </c>
      <c r="D254" s="14">
        <f>IF('COPY 20 %'!$A254="","",'COPY 20 %'!I254)</f>
        <v/>
      </c>
      <c r="E254" s="7">
        <f>IF('COPY 20 %'!$A254="","",'COPY 20 %'!O254)</f>
        <v/>
      </c>
      <c r="F254" s="7">
        <f>IF('COPY 20 %'!$A254="","",'COPY 20 %'!L254)</f>
        <v/>
      </c>
      <c r="G254" s="7">
        <f>IF('COPY 20 %'!$A254="","",'COPY 20 %'!S254)</f>
        <v/>
      </c>
      <c r="H254">
        <f>IF('COPY 20 %'!$A254="","",'COPY 20 %'!P254)</f>
        <v/>
      </c>
      <c r="I254">
        <f>IF('COPY 20 %'!$A254="","",'COPY 20 %'!M254)</f>
        <v/>
      </c>
      <c r="J254" s="7">
        <f>IF('COPY 20 %'!$A254="","",'COPY 20 %'!Q254)</f>
        <v/>
      </c>
      <c r="K254" s="7">
        <f>IF('COPY 20 %'!$A254="","",'COPY 20 %'!H254)</f>
        <v/>
      </c>
      <c r="L254" s="7">
        <f>IF('COPY 20 %'!$A254="","",'COPY 20 %'!T254)</f>
        <v/>
      </c>
      <c r="M254">
        <f>IF('COPY 20 %'!$A254="","",'COPY 20 %'!G254)</f>
        <v/>
      </c>
    </row>
    <row r="255">
      <c r="A255">
        <f>IF('COPY 20 %'!$A255="","",ROWS($A$2:$A255))</f>
        <v/>
      </c>
      <c r="B255">
        <f>IF('COPY 20 %'!$A255="","",'COPY 20 %'!E255)</f>
        <v/>
      </c>
      <c r="C255">
        <f>IF('COPY 20 %'!$A255="","",'COPY 20 %'!F255)</f>
        <v/>
      </c>
      <c r="D255" s="14">
        <f>IF('COPY 20 %'!$A255="","",'COPY 20 %'!I255)</f>
        <v/>
      </c>
      <c r="E255" s="7">
        <f>IF('COPY 20 %'!$A255="","",'COPY 20 %'!O255)</f>
        <v/>
      </c>
      <c r="F255" s="7">
        <f>IF('COPY 20 %'!$A255="","",'COPY 20 %'!L255)</f>
        <v/>
      </c>
      <c r="G255" s="7">
        <f>IF('COPY 20 %'!$A255="","",'COPY 20 %'!S255)</f>
        <v/>
      </c>
      <c r="H255">
        <f>IF('COPY 20 %'!$A255="","",'COPY 20 %'!P255)</f>
        <v/>
      </c>
      <c r="I255">
        <f>IF('COPY 20 %'!$A255="","",'COPY 20 %'!M255)</f>
        <v/>
      </c>
      <c r="J255" s="7">
        <f>IF('COPY 20 %'!$A255="","",'COPY 20 %'!Q255)</f>
        <v/>
      </c>
      <c r="K255" s="7">
        <f>IF('COPY 20 %'!$A255="","",'COPY 20 %'!H255)</f>
        <v/>
      </c>
      <c r="L255" s="7">
        <f>IF('COPY 20 %'!$A255="","",'COPY 20 %'!T255)</f>
        <v/>
      </c>
      <c r="M255">
        <f>IF('COPY 20 %'!$A255="","",'COPY 20 %'!G255)</f>
        <v/>
      </c>
    </row>
    <row r="256">
      <c r="A256">
        <f>IF('COPY 20 %'!$A256="","",ROWS($A$2:$A256))</f>
        <v/>
      </c>
      <c r="B256">
        <f>IF('COPY 20 %'!$A256="","",'COPY 20 %'!E256)</f>
        <v/>
      </c>
      <c r="C256">
        <f>IF('COPY 20 %'!$A256="","",'COPY 20 %'!F256)</f>
        <v/>
      </c>
      <c r="D256" s="14">
        <f>IF('COPY 20 %'!$A256="","",'COPY 20 %'!I256)</f>
        <v/>
      </c>
      <c r="E256" s="7">
        <f>IF('COPY 20 %'!$A256="","",'COPY 20 %'!O256)</f>
        <v/>
      </c>
      <c r="F256" s="7">
        <f>IF('COPY 20 %'!$A256="","",'COPY 20 %'!L256)</f>
        <v/>
      </c>
      <c r="G256" s="7">
        <f>IF('COPY 20 %'!$A256="","",'COPY 20 %'!S256)</f>
        <v/>
      </c>
      <c r="H256">
        <f>IF('COPY 20 %'!$A256="","",'COPY 20 %'!P256)</f>
        <v/>
      </c>
      <c r="I256">
        <f>IF('COPY 20 %'!$A256="","",'COPY 20 %'!M256)</f>
        <v/>
      </c>
      <c r="J256" s="7">
        <f>IF('COPY 20 %'!$A256="","",'COPY 20 %'!Q256)</f>
        <v/>
      </c>
      <c r="K256" s="7">
        <f>IF('COPY 20 %'!$A256="","",'COPY 20 %'!H256)</f>
        <v/>
      </c>
      <c r="L256" s="7">
        <f>IF('COPY 20 %'!$A256="","",'COPY 20 %'!T256)</f>
        <v/>
      </c>
      <c r="M256">
        <f>IF('COPY 20 %'!$A256="","",'COPY 20 %'!G256)</f>
        <v/>
      </c>
    </row>
    <row r="257">
      <c r="A257">
        <f>IF('COPY 20 %'!$A257="","",ROWS($A$2:$A257))</f>
        <v/>
      </c>
      <c r="B257">
        <f>IF('COPY 20 %'!$A257="","",'COPY 20 %'!E257)</f>
        <v/>
      </c>
      <c r="C257">
        <f>IF('COPY 20 %'!$A257="","",'COPY 20 %'!F257)</f>
        <v/>
      </c>
      <c r="D257" s="14">
        <f>IF('COPY 20 %'!$A257="","",'COPY 20 %'!I257)</f>
        <v/>
      </c>
      <c r="E257" s="7">
        <f>IF('COPY 20 %'!$A257="","",'COPY 20 %'!O257)</f>
        <v/>
      </c>
      <c r="F257" s="7">
        <f>IF('COPY 20 %'!$A257="","",'COPY 20 %'!L257)</f>
        <v/>
      </c>
      <c r="G257" s="7">
        <f>IF('COPY 20 %'!$A257="","",'COPY 20 %'!S257)</f>
        <v/>
      </c>
      <c r="H257">
        <f>IF('COPY 20 %'!$A257="","",'COPY 20 %'!P257)</f>
        <v/>
      </c>
      <c r="I257">
        <f>IF('COPY 20 %'!$A257="","",'COPY 20 %'!M257)</f>
        <v/>
      </c>
      <c r="J257" s="7">
        <f>IF('COPY 20 %'!$A257="","",'COPY 20 %'!Q257)</f>
        <v/>
      </c>
      <c r="K257" s="7">
        <f>IF('COPY 20 %'!$A257="","",'COPY 20 %'!H257)</f>
        <v/>
      </c>
      <c r="L257" s="7">
        <f>IF('COPY 20 %'!$A257="","",'COPY 20 %'!T257)</f>
        <v/>
      </c>
      <c r="M257">
        <f>IF('COPY 20 %'!$A257="","",'COPY 20 %'!G257)</f>
        <v/>
      </c>
    </row>
    <row r="258">
      <c r="A258">
        <f>IF('COPY 20 %'!$A258="","",ROWS($A$2:$A258))</f>
        <v/>
      </c>
      <c r="B258">
        <f>IF('COPY 20 %'!$A258="","",'COPY 20 %'!E258)</f>
        <v/>
      </c>
      <c r="C258">
        <f>IF('COPY 20 %'!$A258="","",'COPY 20 %'!F258)</f>
        <v/>
      </c>
      <c r="D258" s="14">
        <f>IF('COPY 20 %'!$A258="","",'COPY 20 %'!I258)</f>
        <v/>
      </c>
      <c r="E258" s="7">
        <f>IF('COPY 20 %'!$A258="","",'COPY 20 %'!O258)</f>
        <v/>
      </c>
      <c r="F258" s="7">
        <f>IF('COPY 20 %'!$A258="","",'COPY 20 %'!L258)</f>
        <v/>
      </c>
      <c r="G258" s="7">
        <f>IF('COPY 20 %'!$A258="","",'COPY 20 %'!S258)</f>
        <v/>
      </c>
      <c r="H258">
        <f>IF('COPY 20 %'!$A258="","",'COPY 20 %'!P258)</f>
        <v/>
      </c>
      <c r="I258">
        <f>IF('COPY 20 %'!$A258="","",'COPY 20 %'!M258)</f>
        <v/>
      </c>
      <c r="J258" s="7">
        <f>IF('COPY 20 %'!$A258="","",'COPY 20 %'!Q258)</f>
        <v/>
      </c>
      <c r="K258" s="7">
        <f>IF('COPY 20 %'!$A258="","",'COPY 20 %'!H258)</f>
        <v/>
      </c>
      <c r="L258" s="7">
        <f>IF('COPY 20 %'!$A258="","",'COPY 20 %'!T258)</f>
        <v/>
      </c>
      <c r="M258">
        <f>IF('COPY 20 %'!$A258="","",'COPY 20 %'!G258)</f>
        <v/>
      </c>
    </row>
    <row r="259">
      <c r="A259">
        <f>IF('COPY 20 %'!$A259="","",ROWS($A$2:$A259))</f>
        <v/>
      </c>
      <c r="B259">
        <f>IF('COPY 20 %'!$A259="","",'COPY 20 %'!E259)</f>
        <v/>
      </c>
      <c r="C259">
        <f>IF('COPY 20 %'!$A259="","",'COPY 20 %'!F259)</f>
        <v/>
      </c>
      <c r="D259" s="14">
        <f>IF('COPY 20 %'!$A259="","",'COPY 20 %'!I259)</f>
        <v/>
      </c>
      <c r="E259" s="7">
        <f>IF('COPY 20 %'!$A259="","",'COPY 20 %'!O259)</f>
        <v/>
      </c>
      <c r="F259" s="7">
        <f>IF('COPY 20 %'!$A259="","",'COPY 20 %'!L259)</f>
        <v/>
      </c>
      <c r="G259" s="7">
        <f>IF('COPY 20 %'!$A259="","",'COPY 20 %'!S259)</f>
        <v/>
      </c>
      <c r="H259">
        <f>IF('COPY 20 %'!$A259="","",'COPY 20 %'!P259)</f>
        <v/>
      </c>
      <c r="I259">
        <f>IF('COPY 20 %'!$A259="","",'COPY 20 %'!M259)</f>
        <v/>
      </c>
      <c r="J259" s="7">
        <f>IF('COPY 20 %'!$A259="","",'COPY 20 %'!Q259)</f>
        <v/>
      </c>
      <c r="K259" s="7">
        <f>IF('COPY 20 %'!$A259="","",'COPY 20 %'!H259)</f>
        <v/>
      </c>
      <c r="L259" s="7">
        <f>IF('COPY 20 %'!$A259="","",'COPY 20 %'!T259)</f>
        <v/>
      </c>
      <c r="M259">
        <f>IF('COPY 20 %'!$A259="","",'COPY 20 %'!G259)</f>
        <v/>
      </c>
    </row>
    <row r="260">
      <c r="A260">
        <f>IF('COPY 20 %'!$A260="","",ROWS($A$2:$A260))</f>
        <v/>
      </c>
      <c r="B260">
        <f>IF('COPY 20 %'!$A260="","",'COPY 20 %'!E260)</f>
        <v/>
      </c>
      <c r="C260">
        <f>IF('COPY 20 %'!$A260="","",'COPY 20 %'!F260)</f>
        <v/>
      </c>
      <c r="D260" s="14">
        <f>IF('COPY 20 %'!$A260="","",'COPY 20 %'!I260)</f>
        <v/>
      </c>
      <c r="E260" s="7">
        <f>IF('COPY 20 %'!$A260="","",'COPY 20 %'!O260)</f>
        <v/>
      </c>
      <c r="F260" s="7">
        <f>IF('COPY 20 %'!$A260="","",'COPY 20 %'!L260)</f>
        <v/>
      </c>
      <c r="G260" s="7">
        <f>IF('COPY 20 %'!$A260="","",'COPY 20 %'!S260)</f>
        <v/>
      </c>
      <c r="H260">
        <f>IF('COPY 20 %'!$A260="","",'COPY 20 %'!P260)</f>
        <v/>
      </c>
      <c r="I260">
        <f>IF('COPY 20 %'!$A260="","",'COPY 20 %'!M260)</f>
        <v/>
      </c>
      <c r="J260" s="7">
        <f>IF('COPY 20 %'!$A260="","",'COPY 20 %'!Q260)</f>
        <v/>
      </c>
      <c r="K260" s="7">
        <f>IF('COPY 20 %'!$A260="","",'COPY 20 %'!H260)</f>
        <v/>
      </c>
      <c r="L260" s="7">
        <f>IF('COPY 20 %'!$A260="","",'COPY 20 %'!T260)</f>
        <v/>
      </c>
      <c r="M260">
        <f>IF('COPY 20 %'!$A260="","",'COPY 20 %'!G260)</f>
        <v/>
      </c>
    </row>
    <row r="261">
      <c r="A261">
        <f>IF('COPY 20 %'!$A261="","",ROWS($A$2:$A261))</f>
        <v/>
      </c>
      <c r="B261">
        <f>IF('COPY 20 %'!$A261="","",'COPY 20 %'!E261)</f>
        <v/>
      </c>
      <c r="C261">
        <f>IF('COPY 20 %'!$A261="","",'COPY 20 %'!F261)</f>
        <v/>
      </c>
      <c r="D261" s="14">
        <f>IF('COPY 20 %'!$A261="","",'COPY 20 %'!I261)</f>
        <v/>
      </c>
      <c r="E261" s="7">
        <f>IF('COPY 20 %'!$A261="","",'COPY 20 %'!O261)</f>
        <v/>
      </c>
      <c r="F261" s="7">
        <f>IF('COPY 20 %'!$A261="","",'COPY 20 %'!L261)</f>
        <v/>
      </c>
      <c r="G261" s="7">
        <f>IF('COPY 20 %'!$A261="","",'COPY 20 %'!S261)</f>
        <v/>
      </c>
      <c r="H261">
        <f>IF('COPY 20 %'!$A261="","",'COPY 20 %'!P261)</f>
        <v/>
      </c>
      <c r="I261">
        <f>IF('COPY 20 %'!$A261="","",'COPY 20 %'!M261)</f>
        <v/>
      </c>
      <c r="J261" s="7">
        <f>IF('COPY 20 %'!$A261="","",'COPY 20 %'!Q261)</f>
        <v/>
      </c>
      <c r="K261" s="7">
        <f>IF('COPY 20 %'!$A261="","",'COPY 20 %'!H261)</f>
        <v/>
      </c>
      <c r="L261" s="7">
        <f>IF('COPY 20 %'!$A261="","",'COPY 20 %'!T261)</f>
        <v/>
      </c>
      <c r="M261">
        <f>IF('COPY 20 %'!$A261="","",'COPY 20 %'!G261)</f>
        <v/>
      </c>
    </row>
    <row r="262">
      <c r="A262">
        <f>IF('COPY 20 %'!$A262="","",ROWS($A$2:$A262))</f>
        <v/>
      </c>
      <c r="B262">
        <f>IF('COPY 20 %'!$A262="","",'COPY 20 %'!E262)</f>
        <v/>
      </c>
      <c r="C262">
        <f>IF('COPY 20 %'!$A262="","",'COPY 20 %'!F262)</f>
        <v/>
      </c>
      <c r="D262" s="14">
        <f>IF('COPY 20 %'!$A262="","",'COPY 20 %'!I262)</f>
        <v/>
      </c>
      <c r="E262" s="7">
        <f>IF('COPY 20 %'!$A262="","",'COPY 20 %'!O262)</f>
        <v/>
      </c>
      <c r="F262" s="7">
        <f>IF('COPY 20 %'!$A262="","",'COPY 20 %'!L262)</f>
        <v/>
      </c>
      <c r="G262" s="7">
        <f>IF('COPY 20 %'!$A262="","",'COPY 20 %'!S262)</f>
        <v/>
      </c>
      <c r="H262">
        <f>IF('COPY 20 %'!$A262="","",'COPY 20 %'!P262)</f>
        <v/>
      </c>
      <c r="I262">
        <f>IF('COPY 20 %'!$A262="","",'COPY 20 %'!M262)</f>
        <v/>
      </c>
      <c r="J262" s="7">
        <f>IF('COPY 20 %'!$A262="","",'COPY 20 %'!Q262)</f>
        <v/>
      </c>
      <c r="K262" s="7">
        <f>IF('COPY 20 %'!$A262="","",'COPY 20 %'!H262)</f>
        <v/>
      </c>
      <c r="L262" s="7">
        <f>IF('COPY 20 %'!$A262="","",'COPY 20 %'!T262)</f>
        <v/>
      </c>
      <c r="M262">
        <f>IF('COPY 20 %'!$A262="","",'COPY 20 %'!G262)</f>
        <v/>
      </c>
    </row>
    <row r="263">
      <c r="A263">
        <f>IF('COPY 20 %'!$A263="","",ROWS($A$2:$A263))</f>
        <v/>
      </c>
      <c r="B263">
        <f>IF('COPY 20 %'!$A263="","",'COPY 20 %'!E263)</f>
        <v/>
      </c>
      <c r="C263">
        <f>IF('COPY 20 %'!$A263="","",'COPY 20 %'!F263)</f>
        <v/>
      </c>
      <c r="D263" s="14">
        <f>IF('COPY 20 %'!$A263="","",'COPY 20 %'!I263)</f>
        <v/>
      </c>
      <c r="E263" s="7">
        <f>IF('COPY 20 %'!$A263="","",'COPY 20 %'!O263)</f>
        <v/>
      </c>
      <c r="F263" s="7">
        <f>IF('COPY 20 %'!$A263="","",'COPY 20 %'!L263)</f>
        <v/>
      </c>
      <c r="G263" s="7">
        <f>IF('COPY 20 %'!$A263="","",'COPY 20 %'!S263)</f>
        <v/>
      </c>
      <c r="H263">
        <f>IF('COPY 20 %'!$A263="","",'COPY 20 %'!P263)</f>
        <v/>
      </c>
      <c r="I263">
        <f>IF('COPY 20 %'!$A263="","",'COPY 20 %'!M263)</f>
        <v/>
      </c>
      <c r="J263" s="7">
        <f>IF('COPY 20 %'!$A263="","",'COPY 20 %'!Q263)</f>
        <v/>
      </c>
      <c r="K263" s="7">
        <f>IF('COPY 20 %'!$A263="","",'COPY 20 %'!H263)</f>
        <v/>
      </c>
      <c r="L263" s="7">
        <f>IF('COPY 20 %'!$A263="","",'COPY 20 %'!T263)</f>
        <v/>
      </c>
      <c r="M263">
        <f>IF('COPY 20 %'!$A263="","",'COPY 20 %'!G263)</f>
        <v/>
      </c>
    </row>
    <row r="264">
      <c r="A264">
        <f>IF('COPY 20 %'!$A264="","",ROWS($A$2:$A264))</f>
        <v/>
      </c>
      <c r="B264">
        <f>IF('COPY 20 %'!$A264="","",'COPY 20 %'!E264)</f>
        <v/>
      </c>
      <c r="C264">
        <f>IF('COPY 20 %'!$A264="","",'COPY 20 %'!F264)</f>
        <v/>
      </c>
      <c r="D264" s="14">
        <f>IF('COPY 20 %'!$A264="","",'COPY 20 %'!I264)</f>
        <v/>
      </c>
      <c r="E264" s="7">
        <f>IF('COPY 20 %'!$A264="","",'COPY 20 %'!O264)</f>
        <v/>
      </c>
      <c r="F264" s="7">
        <f>IF('COPY 20 %'!$A264="","",'COPY 20 %'!L264)</f>
        <v/>
      </c>
      <c r="G264" s="7">
        <f>IF('COPY 20 %'!$A264="","",'COPY 20 %'!S264)</f>
        <v/>
      </c>
      <c r="H264">
        <f>IF('COPY 20 %'!$A264="","",'COPY 20 %'!P264)</f>
        <v/>
      </c>
      <c r="I264">
        <f>IF('COPY 20 %'!$A264="","",'COPY 20 %'!M264)</f>
        <v/>
      </c>
      <c r="J264" s="7">
        <f>IF('COPY 20 %'!$A264="","",'COPY 20 %'!Q264)</f>
        <v/>
      </c>
      <c r="K264" s="7">
        <f>IF('COPY 20 %'!$A264="","",'COPY 20 %'!H264)</f>
        <v/>
      </c>
      <c r="L264" s="7">
        <f>IF('COPY 20 %'!$A264="","",'COPY 20 %'!T264)</f>
        <v/>
      </c>
      <c r="M264">
        <f>IF('COPY 20 %'!$A264="","",'COPY 20 %'!G264)</f>
        <v/>
      </c>
    </row>
    <row r="265">
      <c r="A265">
        <f>IF('COPY 20 %'!$A265="","",ROWS($A$2:$A265))</f>
        <v/>
      </c>
      <c r="B265">
        <f>IF('COPY 20 %'!$A265="","",'COPY 20 %'!E265)</f>
        <v/>
      </c>
      <c r="C265">
        <f>IF('COPY 20 %'!$A265="","",'COPY 20 %'!F265)</f>
        <v/>
      </c>
      <c r="D265" s="14">
        <f>IF('COPY 20 %'!$A265="","",'COPY 20 %'!I265)</f>
        <v/>
      </c>
      <c r="E265" s="7">
        <f>IF('COPY 20 %'!$A265="","",'COPY 20 %'!O265)</f>
        <v/>
      </c>
      <c r="F265" s="7">
        <f>IF('COPY 20 %'!$A265="","",'COPY 20 %'!L265)</f>
        <v/>
      </c>
      <c r="G265" s="7">
        <f>IF('COPY 20 %'!$A265="","",'COPY 20 %'!S265)</f>
        <v/>
      </c>
      <c r="H265">
        <f>IF('COPY 20 %'!$A265="","",'COPY 20 %'!P265)</f>
        <v/>
      </c>
      <c r="I265">
        <f>IF('COPY 20 %'!$A265="","",'COPY 20 %'!M265)</f>
        <v/>
      </c>
      <c r="J265" s="7">
        <f>IF('COPY 20 %'!$A265="","",'COPY 20 %'!Q265)</f>
        <v/>
      </c>
      <c r="K265" s="7">
        <f>IF('COPY 20 %'!$A265="","",'COPY 20 %'!H265)</f>
        <v/>
      </c>
      <c r="L265" s="7">
        <f>IF('COPY 20 %'!$A265="","",'COPY 20 %'!T265)</f>
        <v/>
      </c>
      <c r="M265">
        <f>IF('COPY 20 %'!$A265="","",'COPY 20 %'!G265)</f>
        <v/>
      </c>
    </row>
    <row r="266">
      <c r="A266">
        <f>IF('COPY 20 %'!$A266="","",ROWS($A$2:$A266))</f>
        <v/>
      </c>
      <c r="B266">
        <f>IF('COPY 20 %'!$A266="","",'COPY 20 %'!E266)</f>
        <v/>
      </c>
      <c r="C266">
        <f>IF('COPY 20 %'!$A266="","",'COPY 20 %'!F266)</f>
        <v/>
      </c>
      <c r="D266" s="14">
        <f>IF('COPY 20 %'!$A266="","",'COPY 20 %'!I266)</f>
        <v/>
      </c>
      <c r="E266" s="7">
        <f>IF('COPY 20 %'!$A266="","",'COPY 20 %'!O266)</f>
        <v/>
      </c>
      <c r="F266" s="7">
        <f>IF('COPY 20 %'!$A266="","",'COPY 20 %'!L266)</f>
        <v/>
      </c>
      <c r="G266" s="7">
        <f>IF('COPY 20 %'!$A266="","",'COPY 20 %'!S266)</f>
        <v/>
      </c>
      <c r="H266">
        <f>IF('COPY 20 %'!$A266="","",'COPY 20 %'!P266)</f>
        <v/>
      </c>
      <c r="I266">
        <f>IF('COPY 20 %'!$A266="","",'COPY 20 %'!M266)</f>
        <v/>
      </c>
      <c r="J266" s="7">
        <f>IF('COPY 20 %'!$A266="","",'COPY 20 %'!Q266)</f>
        <v/>
      </c>
      <c r="K266" s="7">
        <f>IF('COPY 20 %'!$A266="","",'COPY 20 %'!H266)</f>
        <v/>
      </c>
      <c r="L266" s="7">
        <f>IF('COPY 20 %'!$A266="","",'COPY 20 %'!T266)</f>
        <v/>
      </c>
      <c r="M266">
        <f>IF('COPY 20 %'!$A266="","",'COPY 20 %'!G266)</f>
        <v/>
      </c>
    </row>
    <row r="267">
      <c r="A267">
        <f>IF('COPY 20 %'!$A267="","",ROWS($A$2:$A267))</f>
        <v/>
      </c>
      <c r="B267">
        <f>IF('COPY 20 %'!$A267="","",'COPY 20 %'!E267)</f>
        <v/>
      </c>
      <c r="C267">
        <f>IF('COPY 20 %'!$A267="","",'COPY 20 %'!F267)</f>
        <v/>
      </c>
      <c r="D267" s="14">
        <f>IF('COPY 20 %'!$A267="","",'COPY 20 %'!I267)</f>
        <v/>
      </c>
      <c r="E267" s="7">
        <f>IF('COPY 20 %'!$A267="","",'COPY 20 %'!O267)</f>
        <v/>
      </c>
      <c r="F267" s="7">
        <f>IF('COPY 20 %'!$A267="","",'COPY 20 %'!L267)</f>
        <v/>
      </c>
      <c r="G267" s="7">
        <f>IF('COPY 20 %'!$A267="","",'COPY 20 %'!S267)</f>
        <v/>
      </c>
      <c r="H267">
        <f>IF('COPY 20 %'!$A267="","",'COPY 20 %'!P267)</f>
        <v/>
      </c>
      <c r="I267">
        <f>IF('COPY 20 %'!$A267="","",'COPY 20 %'!M267)</f>
        <v/>
      </c>
      <c r="J267" s="7">
        <f>IF('COPY 20 %'!$A267="","",'COPY 20 %'!Q267)</f>
        <v/>
      </c>
      <c r="K267" s="7">
        <f>IF('COPY 20 %'!$A267="","",'COPY 20 %'!H267)</f>
        <v/>
      </c>
      <c r="L267" s="7">
        <f>IF('COPY 20 %'!$A267="","",'COPY 20 %'!T267)</f>
        <v/>
      </c>
      <c r="M267">
        <f>IF('COPY 20 %'!$A267="","",'COPY 20 %'!G267)</f>
        <v/>
      </c>
    </row>
    <row r="268">
      <c r="A268">
        <f>IF('COPY 20 %'!$A268="","",ROWS($A$2:$A268))</f>
        <v/>
      </c>
      <c r="B268">
        <f>IF('COPY 20 %'!$A268="","",'COPY 20 %'!E268)</f>
        <v/>
      </c>
      <c r="C268">
        <f>IF('COPY 20 %'!$A268="","",'COPY 20 %'!F268)</f>
        <v/>
      </c>
      <c r="D268" s="14">
        <f>IF('COPY 20 %'!$A268="","",'COPY 20 %'!I268)</f>
        <v/>
      </c>
      <c r="E268" s="7">
        <f>IF('COPY 20 %'!$A268="","",'COPY 20 %'!O268)</f>
        <v/>
      </c>
      <c r="F268" s="7">
        <f>IF('COPY 20 %'!$A268="","",'COPY 20 %'!L268)</f>
        <v/>
      </c>
      <c r="G268" s="7">
        <f>IF('COPY 20 %'!$A268="","",'COPY 20 %'!S268)</f>
        <v/>
      </c>
      <c r="H268">
        <f>IF('COPY 20 %'!$A268="","",'COPY 20 %'!P268)</f>
        <v/>
      </c>
      <c r="I268">
        <f>IF('COPY 20 %'!$A268="","",'COPY 20 %'!M268)</f>
        <v/>
      </c>
      <c r="J268" s="7">
        <f>IF('COPY 20 %'!$A268="","",'COPY 20 %'!Q268)</f>
        <v/>
      </c>
      <c r="K268" s="7">
        <f>IF('COPY 20 %'!$A268="","",'COPY 20 %'!H268)</f>
        <v/>
      </c>
      <c r="L268" s="7">
        <f>IF('COPY 20 %'!$A268="","",'COPY 20 %'!T268)</f>
        <v/>
      </c>
      <c r="M268">
        <f>IF('COPY 20 %'!$A268="","",'COPY 20 %'!G268)</f>
        <v/>
      </c>
    </row>
    <row r="269">
      <c r="A269">
        <f>IF('COPY 20 %'!$A269="","",ROWS($A$2:$A269))</f>
        <v/>
      </c>
      <c r="B269">
        <f>IF('COPY 20 %'!$A269="","",'COPY 20 %'!E269)</f>
        <v/>
      </c>
      <c r="C269">
        <f>IF('COPY 20 %'!$A269="","",'COPY 20 %'!F269)</f>
        <v/>
      </c>
      <c r="D269" s="14">
        <f>IF('COPY 20 %'!$A269="","",'COPY 20 %'!I269)</f>
        <v/>
      </c>
      <c r="E269" s="7">
        <f>IF('COPY 20 %'!$A269="","",'COPY 20 %'!O269)</f>
        <v/>
      </c>
      <c r="F269" s="7">
        <f>IF('COPY 20 %'!$A269="","",'COPY 20 %'!L269)</f>
        <v/>
      </c>
      <c r="G269" s="7">
        <f>IF('COPY 20 %'!$A269="","",'COPY 20 %'!S269)</f>
        <v/>
      </c>
      <c r="H269">
        <f>IF('COPY 20 %'!$A269="","",'COPY 20 %'!P269)</f>
        <v/>
      </c>
      <c r="I269">
        <f>IF('COPY 20 %'!$A269="","",'COPY 20 %'!M269)</f>
        <v/>
      </c>
      <c r="J269" s="7">
        <f>IF('COPY 20 %'!$A269="","",'COPY 20 %'!Q269)</f>
        <v/>
      </c>
      <c r="K269" s="7">
        <f>IF('COPY 20 %'!$A269="","",'COPY 20 %'!H269)</f>
        <v/>
      </c>
      <c r="L269" s="7">
        <f>IF('COPY 20 %'!$A269="","",'COPY 20 %'!T269)</f>
        <v/>
      </c>
      <c r="M269">
        <f>IF('COPY 20 %'!$A269="","",'COPY 20 %'!G269)</f>
        <v/>
      </c>
    </row>
    <row r="270">
      <c r="A270">
        <f>IF('COPY 20 %'!$A270="","",ROWS($A$2:$A270))</f>
        <v/>
      </c>
      <c r="B270">
        <f>IF('COPY 20 %'!$A270="","",'COPY 20 %'!E270)</f>
        <v/>
      </c>
      <c r="C270">
        <f>IF('COPY 20 %'!$A270="","",'COPY 20 %'!F270)</f>
        <v/>
      </c>
      <c r="D270" s="14">
        <f>IF('COPY 20 %'!$A270="","",'COPY 20 %'!I270)</f>
        <v/>
      </c>
      <c r="E270" s="7">
        <f>IF('COPY 20 %'!$A270="","",'COPY 20 %'!O270)</f>
        <v/>
      </c>
      <c r="F270" s="7">
        <f>IF('COPY 20 %'!$A270="","",'COPY 20 %'!L270)</f>
        <v/>
      </c>
      <c r="G270" s="7">
        <f>IF('COPY 20 %'!$A270="","",'COPY 20 %'!S270)</f>
        <v/>
      </c>
      <c r="H270">
        <f>IF('COPY 20 %'!$A270="","",'COPY 20 %'!P270)</f>
        <v/>
      </c>
      <c r="I270">
        <f>IF('COPY 20 %'!$A270="","",'COPY 20 %'!M270)</f>
        <v/>
      </c>
      <c r="J270" s="7">
        <f>IF('COPY 20 %'!$A270="","",'COPY 20 %'!Q270)</f>
        <v/>
      </c>
      <c r="K270" s="7">
        <f>IF('COPY 20 %'!$A270="","",'COPY 20 %'!H270)</f>
        <v/>
      </c>
      <c r="L270" s="7">
        <f>IF('COPY 20 %'!$A270="","",'COPY 20 %'!T270)</f>
        <v/>
      </c>
      <c r="M270">
        <f>IF('COPY 20 %'!$A270="","",'COPY 20 %'!G270)</f>
        <v/>
      </c>
    </row>
    <row r="271">
      <c r="A271">
        <f>IF('COPY 20 %'!$A271="","",ROWS($A$2:$A271))</f>
        <v/>
      </c>
      <c r="B271">
        <f>IF('COPY 20 %'!$A271="","",'COPY 20 %'!E271)</f>
        <v/>
      </c>
      <c r="C271">
        <f>IF('COPY 20 %'!$A271="","",'COPY 20 %'!F271)</f>
        <v/>
      </c>
      <c r="D271" s="14">
        <f>IF('COPY 20 %'!$A271="","",'COPY 20 %'!I271)</f>
        <v/>
      </c>
      <c r="E271" s="7">
        <f>IF('COPY 20 %'!$A271="","",'COPY 20 %'!O271)</f>
        <v/>
      </c>
      <c r="F271" s="7">
        <f>IF('COPY 20 %'!$A271="","",'COPY 20 %'!L271)</f>
        <v/>
      </c>
      <c r="G271" s="7">
        <f>IF('COPY 20 %'!$A271="","",'COPY 20 %'!S271)</f>
        <v/>
      </c>
      <c r="H271">
        <f>IF('COPY 20 %'!$A271="","",'COPY 20 %'!P271)</f>
        <v/>
      </c>
      <c r="I271">
        <f>IF('COPY 20 %'!$A271="","",'COPY 20 %'!M271)</f>
        <v/>
      </c>
      <c r="J271" s="7">
        <f>IF('COPY 20 %'!$A271="","",'COPY 20 %'!Q271)</f>
        <v/>
      </c>
      <c r="K271" s="7">
        <f>IF('COPY 20 %'!$A271="","",'COPY 20 %'!H271)</f>
        <v/>
      </c>
      <c r="L271" s="7">
        <f>IF('COPY 20 %'!$A271="","",'COPY 20 %'!T271)</f>
        <v/>
      </c>
      <c r="M271">
        <f>IF('COPY 20 %'!$A271="","",'COPY 20 %'!G271)</f>
        <v/>
      </c>
    </row>
    <row r="272">
      <c r="A272">
        <f>IF('COPY 20 %'!$A272="","",ROWS($A$2:$A272))</f>
        <v/>
      </c>
      <c r="B272">
        <f>IF('COPY 20 %'!$A272="","",'COPY 20 %'!E272)</f>
        <v/>
      </c>
      <c r="C272">
        <f>IF('COPY 20 %'!$A272="","",'COPY 20 %'!F272)</f>
        <v/>
      </c>
      <c r="D272" s="14">
        <f>IF('COPY 20 %'!$A272="","",'COPY 20 %'!I272)</f>
        <v/>
      </c>
      <c r="E272" s="7">
        <f>IF('COPY 20 %'!$A272="","",'COPY 20 %'!O272)</f>
        <v/>
      </c>
      <c r="F272" s="7">
        <f>IF('COPY 20 %'!$A272="","",'COPY 20 %'!L272)</f>
        <v/>
      </c>
      <c r="G272" s="7">
        <f>IF('COPY 20 %'!$A272="","",'COPY 20 %'!S272)</f>
        <v/>
      </c>
      <c r="H272">
        <f>IF('COPY 20 %'!$A272="","",'COPY 20 %'!P272)</f>
        <v/>
      </c>
      <c r="I272">
        <f>IF('COPY 20 %'!$A272="","",'COPY 20 %'!M272)</f>
        <v/>
      </c>
      <c r="J272" s="7">
        <f>IF('COPY 20 %'!$A272="","",'COPY 20 %'!Q272)</f>
        <v/>
      </c>
      <c r="K272" s="7">
        <f>IF('COPY 20 %'!$A272="","",'COPY 20 %'!H272)</f>
        <v/>
      </c>
      <c r="L272" s="7">
        <f>IF('COPY 20 %'!$A272="","",'COPY 20 %'!T272)</f>
        <v/>
      </c>
      <c r="M272">
        <f>IF('COPY 20 %'!$A272="","",'COPY 20 %'!G272)</f>
        <v/>
      </c>
    </row>
    <row r="273">
      <c r="A273">
        <f>IF('COPY 20 %'!$A273="","",ROWS($A$2:$A273))</f>
        <v/>
      </c>
      <c r="B273">
        <f>IF('COPY 20 %'!$A273="","",'COPY 20 %'!E273)</f>
        <v/>
      </c>
      <c r="C273">
        <f>IF('COPY 20 %'!$A273="","",'COPY 20 %'!F273)</f>
        <v/>
      </c>
      <c r="D273" s="14">
        <f>IF('COPY 20 %'!$A273="","",'COPY 20 %'!I273)</f>
        <v/>
      </c>
      <c r="E273" s="7">
        <f>IF('COPY 20 %'!$A273="","",'COPY 20 %'!O273)</f>
        <v/>
      </c>
      <c r="F273" s="7">
        <f>IF('COPY 20 %'!$A273="","",'COPY 20 %'!L273)</f>
        <v/>
      </c>
      <c r="G273" s="7">
        <f>IF('COPY 20 %'!$A273="","",'COPY 20 %'!S273)</f>
        <v/>
      </c>
      <c r="H273">
        <f>IF('COPY 20 %'!$A273="","",'COPY 20 %'!P273)</f>
        <v/>
      </c>
      <c r="I273">
        <f>IF('COPY 20 %'!$A273="","",'COPY 20 %'!M273)</f>
        <v/>
      </c>
      <c r="J273" s="7">
        <f>IF('COPY 20 %'!$A273="","",'COPY 20 %'!Q273)</f>
        <v/>
      </c>
      <c r="K273" s="7">
        <f>IF('COPY 20 %'!$A273="","",'COPY 20 %'!H273)</f>
        <v/>
      </c>
      <c r="L273" s="7">
        <f>IF('COPY 20 %'!$A273="","",'COPY 20 %'!T273)</f>
        <v/>
      </c>
      <c r="M273">
        <f>IF('COPY 20 %'!$A273="","",'COPY 20 %'!G273)</f>
        <v/>
      </c>
    </row>
    <row r="274">
      <c r="A274">
        <f>IF('COPY 20 %'!$A274="","",ROWS($A$2:$A274))</f>
        <v/>
      </c>
      <c r="B274">
        <f>IF('COPY 20 %'!$A274="","",'COPY 20 %'!E274)</f>
        <v/>
      </c>
      <c r="C274">
        <f>IF('COPY 20 %'!$A274="","",'COPY 20 %'!F274)</f>
        <v/>
      </c>
      <c r="D274" s="14">
        <f>IF('COPY 20 %'!$A274="","",'COPY 20 %'!I274)</f>
        <v/>
      </c>
      <c r="E274" s="7">
        <f>IF('COPY 20 %'!$A274="","",'COPY 20 %'!O274)</f>
        <v/>
      </c>
      <c r="F274" s="7">
        <f>IF('COPY 20 %'!$A274="","",'COPY 20 %'!L274)</f>
        <v/>
      </c>
      <c r="G274" s="7">
        <f>IF('COPY 20 %'!$A274="","",'COPY 20 %'!S274)</f>
        <v/>
      </c>
      <c r="H274">
        <f>IF('COPY 20 %'!$A274="","",'COPY 20 %'!P274)</f>
        <v/>
      </c>
      <c r="I274">
        <f>IF('COPY 20 %'!$A274="","",'COPY 20 %'!M274)</f>
        <v/>
      </c>
      <c r="J274" s="7">
        <f>IF('COPY 20 %'!$A274="","",'COPY 20 %'!Q274)</f>
        <v/>
      </c>
      <c r="K274" s="7">
        <f>IF('COPY 20 %'!$A274="","",'COPY 20 %'!H274)</f>
        <v/>
      </c>
      <c r="L274" s="7">
        <f>IF('COPY 20 %'!$A274="","",'COPY 20 %'!T274)</f>
        <v/>
      </c>
      <c r="M274">
        <f>IF('COPY 20 %'!$A274="","",'COPY 20 %'!G274)</f>
        <v/>
      </c>
    </row>
    <row r="275">
      <c r="A275">
        <f>IF('COPY 20 %'!$A275="","",ROWS($A$2:$A275))</f>
        <v/>
      </c>
      <c r="B275">
        <f>IF('COPY 20 %'!$A275="","",'COPY 20 %'!E275)</f>
        <v/>
      </c>
      <c r="C275">
        <f>IF('COPY 20 %'!$A275="","",'COPY 20 %'!F275)</f>
        <v/>
      </c>
      <c r="D275" s="14">
        <f>IF('COPY 20 %'!$A275="","",'COPY 20 %'!I275)</f>
        <v/>
      </c>
      <c r="E275" s="7">
        <f>IF('COPY 20 %'!$A275="","",'COPY 20 %'!O275)</f>
        <v/>
      </c>
      <c r="F275" s="7">
        <f>IF('COPY 20 %'!$A275="","",'COPY 20 %'!L275)</f>
        <v/>
      </c>
      <c r="G275" s="7">
        <f>IF('COPY 20 %'!$A275="","",'COPY 20 %'!S275)</f>
        <v/>
      </c>
      <c r="H275">
        <f>IF('COPY 20 %'!$A275="","",'COPY 20 %'!P275)</f>
        <v/>
      </c>
      <c r="I275">
        <f>IF('COPY 20 %'!$A275="","",'COPY 20 %'!M275)</f>
        <v/>
      </c>
      <c r="J275" s="7">
        <f>IF('COPY 20 %'!$A275="","",'COPY 20 %'!Q275)</f>
        <v/>
      </c>
      <c r="K275" s="7">
        <f>IF('COPY 20 %'!$A275="","",'COPY 20 %'!H275)</f>
        <v/>
      </c>
      <c r="L275" s="7">
        <f>IF('COPY 20 %'!$A275="","",'COPY 20 %'!T275)</f>
        <v/>
      </c>
      <c r="M275">
        <f>IF('COPY 20 %'!$A275="","",'COPY 20 %'!G275)</f>
        <v/>
      </c>
    </row>
    <row r="276">
      <c r="A276">
        <f>IF('COPY 20 %'!$A276="","",ROWS($A$2:$A276))</f>
        <v/>
      </c>
      <c r="B276">
        <f>IF('COPY 20 %'!$A276="","",'COPY 20 %'!E276)</f>
        <v/>
      </c>
      <c r="C276">
        <f>IF('COPY 20 %'!$A276="","",'COPY 20 %'!F276)</f>
        <v/>
      </c>
      <c r="D276" s="14">
        <f>IF('COPY 20 %'!$A276="","",'COPY 20 %'!I276)</f>
        <v/>
      </c>
      <c r="E276" s="7">
        <f>IF('COPY 20 %'!$A276="","",'COPY 20 %'!O276)</f>
        <v/>
      </c>
      <c r="F276" s="7">
        <f>IF('COPY 20 %'!$A276="","",'COPY 20 %'!L276)</f>
        <v/>
      </c>
      <c r="G276" s="7">
        <f>IF('COPY 20 %'!$A276="","",'COPY 20 %'!S276)</f>
        <v/>
      </c>
      <c r="H276">
        <f>IF('COPY 20 %'!$A276="","",'COPY 20 %'!P276)</f>
        <v/>
      </c>
      <c r="I276">
        <f>IF('COPY 20 %'!$A276="","",'COPY 20 %'!M276)</f>
        <v/>
      </c>
      <c r="J276" s="7">
        <f>IF('COPY 20 %'!$A276="","",'COPY 20 %'!Q276)</f>
        <v/>
      </c>
      <c r="K276" s="7">
        <f>IF('COPY 20 %'!$A276="","",'COPY 20 %'!H276)</f>
        <v/>
      </c>
      <c r="L276" s="7">
        <f>IF('COPY 20 %'!$A276="","",'COPY 20 %'!T276)</f>
        <v/>
      </c>
      <c r="M276">
        <f>IF('COPY 20 %'!$A276="","",'COPY 20 %'!G276)</f>
        <v/>
      </c>
    </row>
    <row r="277">
      <c r="A277">
        <f>IF('COPY 20 %'!$A277="","",ROWS($A$2:$A277))</f>
        <v/>
      </c>
      <c r="B277">
        <f>IF('COPY 20 %'!$A277="","",'COPY 20 %'!E277)</f>
        <v/>
      </c>
      <c r="C277">
        <f>IF('COPY 20 %'!$A277="","",'COPY 20 %'!F277)</f>
        <v/>
      </c>
      <c r="D277" s="14">
        <f>IF('COPY 20 %'!$A277="","",'COPY 20 %'!I277)</f>
        <v/>
      </c>
      <c r="E277" s="7">
        <f>IF('COPY 20 %'!$A277="","",'COPY 20 %'!O277)</f>
        <v/>
      </c>
      <c r="F277" s="7">
        <f>IF('COPY 20 %'!$A277="","",'COPY 20 %'!L277)</f>
        <v/>
      </c>
      <c r="G277" s="7">
        <f>IF('COPY 20 %'!$A277="","",'COPY 20 %'!S277)</f>
        <v/>
      </c>
      <c r="H277">
        <f>IF('COPY 20 %'!$A277="","",'COPY 20 %'!P277)</f>
        <v/>
      </c>
      <c r="I277">
        <f>IF('COPY 20 %'!$A277="","",'COPY 20 %'!M277)</f>
        <v/>
      </c>
      <c r="J277" s="7">
        <f>IF('COPY 20 %'!$A277="","",'COPY 20 %'!Q277)</f>
        <v/>
      </c>
      <c r="K277" s="7">
        <f>IF('COPY 20 %'!$A277="","",'COPY 20 %'!H277)</f>
        <v/>
      </c>
      <c r="L277" s="7">
        <f>IF('COPY 20 %'!$A277="","",'COPY 20 %'!T277)</f>
        <v/>
      </c>
      <c r="M277">
        <f>IF('COPY 20 %'!$A277="","",'COPY 20 %'!G277)</f>
        <v/>
      </c>
    </row>
    <row r="278">
      <c r="A278">
        <f>IF('COPY 20 %'!$A278="","",ROWS($A$2:$A278))</f>
        <v/>
      </c>
      <c r="B278">
        <f>IF('COPY 20 %'!$A278="","",'COPY 20 %'!E278)</f>
        <v/>
      </c>
      <c r="C278">
        <f>IF('COPY 20 %'!$A278="","",'COPY 20 %'!F278)</f>
        <v/>
      </c>
      <c r="D278" s="14">
        <f>IF('COPY 20 %'!$A278="","",'COPY 20 %'!I278)</f>
        <v/>
      </c>
      <c r="E278" s="7">
        <f>IF('COPY 20 %'!$A278="","",'COPY 20 %'!O278)</f>
        <v/>
      </c>
      <c r="F278" s="7">
        <f>IF('COPY 20 %'!$A278="","",'COPY 20 %'!L278)</f>
        <v/>
      </c>
      <c r="G278" s="7">
        <f>IF('COPY 20 %'!$A278="","",'COPY 20 %'!S278)</f>
        <v/>
      </c>
      <c r="H278">
        <f>IF('COPY 20 %'!$A278="","",'COPY 20 %'!P278)</f>
        <v/>
      </c>
      <c r="I278">
        <f>IF('COPY 20 %'!$A278="","",'COPY 20 %'!M278)</f>
        <v/>
      </c>
      <c r="J278" s="7">
        <f>IF('COPY 20 %'!$A278="","",'COPY 20 %'!Q278)</f>
        <v/>
      </c>
      <c r="K278" s="7">
        <f>IF('COPY 20 %'!$A278="","",'COPY 20 %'!H278)</f>
        <v/>
      </c>
      <c r="L278" s="7">
        <f>IF('COPY 20 %'!$A278="","",'COPY 20 %'!T278)</f>
        <v/>
      </c>
      <c r="M278">
        <f>IF('COPY 20 %'!$A278="","",'COPY 20 %'!G278)</f>
        <v/>
      </c>
    </row>
    <row r="279">
      <c r="A279">
        <f>IF('COPY 20 %'!$A279="","",ROWS($A$2:$A279))</f>
        <v/>
      </c>
      <c r="B279">
        <f>IF('COPY 20 %'!$A279="","",'COPY 20 %'!E279)</f>
        <v/>
      </c>
      <c r="C279">
        <f>IF('COPY 20 %'!$A279="","",'COPY 20 %'!F279)</f>
        <v/>
      </c>
      <c r="D279" s="14">
        <f>IF('COPY 20 %'!$A279="","",'COPY 20 %'!I279)</f>
        <v/>
      </c>
      <c r="E279" s="7">
        <f>IF('COPY 20 %'!$A279="","",'COPY 20 %'!O279)</f>
        <v/>
      </c>
      <c r="F279" s="7">
        <f>IF('COPY 20 %'!$A279="","",'COPY 20 %'!L279)</f>
        <v/>
      </c>
      <c r="G279" s="7">
        <f>IF('COPY 20 %'!$A279="","",'COPY 20 %'!S279)</f>
        <v/>
      </c>
      <c r="H279">
        <f>IF('COPY 20 %'!$A279="","",'COPY 20 %'!P279)</f>
        <v/>
      </c>
      <c r="I279">
        <f>IF('COPY 20 %'!$A279="","",'COPY 20 %'!M279)</f>
        <v/>
      </c>
      <c r="J279" s="7">
        <f>IF('COPY 20 %'!$A279="","",'COPY 20 %'!Q279)</f>
        <v/>
      </c>
      <c r="K279" s="7">
        <f>IF('COPY 20 %'!$A279="","",'COPY 20 %'!H279)</f>
        <v/>
      </c>
      <c r="L279" s="7">
        <f>IF('COPY 20 %'!$A279="","",'COPY 20 %'!T279)</f>
        <v/>
      </c>
      <c r="M279">
        <f>IF('COPY 20 %'!$A279="","",'COPY 20 %'!G279)</f>
        <v/>
      </c>
    </row>
    <row r="280">
      <c r="A280">
        <f>IF('COPY 20 %'!$A280="","",ROWS($A$2:$A280))</f>
        <v/>
      </c>
      <c r="B280">
        <f>IF('COPY 20 %'!$A280="","",'COPY 20 %'!E280)</f>
        <v/>
      </c>
      <c r="C280">
        <f>IF('COPY 20 %'!$A280="","",'COPY 20 %'!F280)</f>
        <v/>
      </c>
      <c r="D280" s="14">
        <f>IF('COPY 20 %'!$A280="","",'COPY 20 %'!I280)</f>
        <v/>
      </c>
      <c r="E280" s="7">
        <f>IF('COPY 20 %'!$A280="","",'COPY 20 %'!O280)</f>
        <v/>
      </c>
      <c r="F280" s="7">
        <f>IF('COPY 20 %'!$A280="","",'COPY 20 %'!L280)</f>
        <v/>
      </c>
      <c r="G280" s="7">
        <f>IF('COPY 20 %'!$A280="","",'COPY 20 %'!S280)</f>
        <v/>
      </c>
      <c r="H280">
        <f>IF('COPY 20 %'!$A280="","",'COPY 20 %'!P280)</f>
        <v/>
      </c>
      <c r="I280">
        <f>IF('COPY 20 %'!$A280="","",'COPY 20 %'!M280)</f>
        <v/>
      </c>
      <c r="J280" s="7">
        <f>IF('COPY 20 %'!$A280="","",'COPY 20 %'!Q280)</f>
        <v/>
      </c>
      <c r="K280" s="7">
        <f>IF('COPY 20 %'!$A280="","",'COPY 20 %'!H280)</f>
        <v/>
      </c>
      <c r="L280" s="7">
        <f>IF('COPY 20 %'!$A280="","",'COPY 20 %'!T280)</f>
        <v/>
      </c>
      <c r="M280">
        <f>IF('COPY 20 %'!$A280="","",'COPY 20 %'!G280)</f>
        <v/>
      </c>
    </row>
    <row r="281">
      <c r="A281">
        <f>IF('COPY 20 %'!$A281="","",ROWS($A$2:$A281))</f>
        <v/>
      </c>
      <c r="B281">
        <f>IF('COPY 20 %'!$A281="","",'COPY 20 %'!E281)</f>
        <v/>
      </c>
      <c r="C281">
        <f>IF('COPY 20 %'!$A281="","",'COPY 20 %'!F281)</f>
        <v/>
      </c>
      <c r="D281" s="14">
        <f>IF('COPY 20 %'!$A281="","",'COPY 20 %'!I281)</f>
        <v/>
      </c>
      <c r="E281" s="7">
        <f>IF('COPY 20 %'!$A281="","",'COPY 20 %'!O281)</f>
        <v/>
      </c>
      <c r="F281" s="7">
        <f>IF('COPY 20 %'!$A281="","",'COPY 20 %'!L281)</f>
        <v/>
      </c>
      <c r="G281" s="7">
        <f>IF('COPY 20 %'!$A281="","",'COPY 20 %'!S281)</f>
        <v/>
      </c>
      <c r="H281">
        <f>IF('COPY 20 %'!$A281="","",'COPY 20 %'!P281)</f>
        <v/>
      </c>
      <c r="I281">
        <f>IF('COPY 20 %'!$A281="","",'COPY 20 %'!M281)</f>
        <v/>
      </c>
      <c r="J281" s="7">
        <f>IF('COPY 20 %'!$A281="","",'COPY 20 %'!Q281)</f>
        <v/>
      </c>
      <c r="K281" s="7">
        <f>IF('COPY 20 %'!$A281="","",'COPY 20 %'!H281)</f>
        <v/>
      </c>
      <c r="L281" s="7">
        <f>IF('COPY 20 %'!$A281="","",'COPY 20 %'!T281)</f>
        <v/>
      </c>
      <c r="M281">
        <f>IF('COPY 20 %'!$A281="","",'COPY 20 %'!G281)</f>
        <v/>
      </c>
    </row>
    <row r="282">
      <c r="A282">
        <f>IF('COPY 20 %'!$A282="","",ROWS($A$2:$A282))</f>
        <v/>
      </c>
      <c r="B282">
        <f>IF('COPY 20 %'!$A282="","",'COPY 20 %'!E282)</f>
        <v/>
      </c>
      <c r="C282">
        <f>IF('COPY 20 %'!$A282="","",'COPY 20 %'!F282)</f>
        <v/>
      </c>
      <c r="D282" s="14">
        <f>IF('COPY 20 %'!$A282="","",'COPY 20 %'!I282)</f>
        <v/>
      </c>
      <c r="E282" s="7">
        <f>IF('COPY 20 %'!$A282="","",'COPY 20 %'!O282)</f>
        <v/>
      </c>
      <c r="F282" s="7">
        <f>IF('COPY 20 %'!$A282="","",'COPY 20 %'!L282)</f>
        <v/>
      </c>
      <c r="G282" s="7">
        <f>IF('COPY 20 %'!$A282="","",'COPY 20 %'!S282)</f>
        <v/>
      </c>
      <c r="H282">
        <f>IF('COPY 20 %'!$A282="","",'COPY 20 %'!P282)</f>
        <v/>
      </c>
      <c r="I282">
        <f>IF('COPY 20 %'!$A282="","",'COPY 20 %'!M282)</f>
        <v/>
      </c>
      <c r="J282" s="7">
        <f>IF('COPY 20 %'!$A282="","",'COPY 20 %'!Q282)</f>
        <v/>
      </c>
      <c r="K282" s="7">
        <f>IF('COPY 20 %'!$A282="","",'COPY 20 %'!H282)</f>
        <v/>
      </c>
      <c r="L282" s="7">
        <f>IF('COPY 20 %'!$A282="","",'COPY 20 %'!T282)</f>
        <v/>
      </c>
      <c r="M282">
        <f>IF('COPY 20 %'!$A282="","",'COPY 20 %'!G282)</f>
        <v/>
      </c>
    </row>
    <row r="283">
      <c r="A283">
        <f>IF('COPY 20 %'!$A283="","",ROWS($A$2:$A283))</f>
        <v/>
      </c>
      <c r="B283">
        <f>IF('COPY 20 %'!$A283="","",'COPY 20 %'!E283)</f>
        <v/>
      </c>
      <c r="C283">
        <f>IF('COPY 20 %'!$A283="","",'COPY 20 %'!F283)</f>
        <v/>
      </c>
      <c r="D283" s="14">
        <f>IF('COPY 20 %'!$A283="","",'COPY 20 %'!I283)</f>
        <v/>
      </c>
      <c r="E283" s="7">
        <f>IF('COPY 20 %'!$A283="","",'COPY 20 %'!O283)</f>
        <v/>
      </c>
      <c r="F283" s="7">
        <f>IF('COPY 20 %'!$A283="","",'COPY 20 %'!L283)</f>
        <v/>
      </c>
      <c r="G283" s="7">
        <f>IF('COPY 20 %'!$A283="","",'COPY 20 %'!S283)</f>
        <v/>
      </c>
      <c r="H283">
        <f>IF('COPY 20 %'!$A283="","",'COPY 20 %'!P283)</f>
        <v/>
      </c>
      <c r="I283">
        <f>IF('COPY 20 %'!$A283="","",'COPY 20 %'!M283)</f>
        <v/>
      </c>
      <c r="J283" s="7">
        <f>IF('COPY 20 %'!$A283="","",'COPY 20 %'!Q283)</f>
        <v/>
      </c>
      <c r="K283" s="7">
        <f>IF('COPY 20 %'!$A283="","",'COPY 20 %'!H283)</f>
        <v/>
      </c>
      <c r="L283" s="7">
        <f>IF('COPY 20 %'!$A283="","",'COPY 20 %'!T283)</f>
        <v/>
      </c>
      <c r="M283">
        <f>IF('COPY 20 %'!$A283="","",'COPY 20 %'!G283)</f>
        <v/>
      </c>
    </row>
    <row r="284">
      <c r="A284">
        <f>IF('COPY 20 %'!$A284="","",ROWS($A$2:$A284))</f>
        <v/>
      </c>
      <c r="B284">
        <f>IF('COPY 20 %'!$A284="","",'COPY 20 %'!E284)</f>
        <v/>
      </c>
      <c r="C284">
        <f>IF('COPY 20 %'!$A284="","",'COPY 20 %'!F284)</f>
        <v/>
      </c>
      <c r="D284" s="14">
        <f>IF('COPY 20 %'!$A284="","",'COPY 20 %'!I284)</f>
        <v/>
      </c>
      <c r="E284" s="7">
        <f>IF('COPY 20 %'!$A284="","",'COPY 20 %'!O284)</f>
        <v/>
      </c>
      <c r="F284" s="7">
        <f>IF('COPY 20 %'!$A284="","",'COPY 20 %'!L284)</f>
        <v/>
      </c>
      <c r="G284" s="7">
        <f>IF('COPY 20 %'!$A284="","",'COPY 20 %'!S284)</f>
        <v/>
      </c>
      <c r="H284">
        <f>IF('COPY 20 %'!$A284="","",'COPY 20 %'!P284)</f>
        <v/>
      </c>
      <c r="I284">
        <f>IF('COPY 20 %'!$A284="","",'COPY 20 %'!M284)</f>
        <v/>
      </c>
      <c r="J284" s="7">
        <f>IF('COPY 20 %'!$A284="","",'COPY 20 %'!Q284)</f>
        <v/>
      </c>
      <c r="K284" s="7">
        <f>IF('COPY 20 %'!$A284="","",'COPY 20 %'!H284)</f>
        <v/>
      </c>
      <c r="L284" s="7">
        <f>IF('COPY 20 %'!$A284="","",'COPY 20 %'!T284)</f>
        <v/>
      </c>
      <c r="M284">
        <f>IF('COPY 20 %'!$A284="","",'COPY 20 %'!G284)</f>
        <v/>
      </c>
    </row>
    <row r="285">
      <c r="A285">
        <f>IF('COPY 20 %'!$A285="","",ROWS($A$2:$A285))</f>
        <v/>
      </c>
      <c r="B285">
        <f>IF('COPY 20 %'!$A285="","",'COPY 20 %'!E285)</f>
        <v/>
      </c>
      <c r="C285">
        <f>IF('COPY 20 %'!$A285="","",'COPY 20 %'!F285)</f>
        <v/>
      </c>
      <c r="D285" s="14">
        <f>IF('COPY 20 %'!$A285="","",'COPY 20 %'!I285)</f>
        <v/>
      </c>
      <c r="E285" s="7">
        <f>IF('COPY 20 %'!$A285="","",'COPY 20 %'!O285)</f>
        <v/>
      </c>
      <c r="F285" s="7">
        <f>IF('COPY 20 %'!$A285="","",'COPY 20 %'!L285)</f>
        <v/>
      </c>
      <c r="G285" s="7">
        <f>IF('COPY 20 %'!$A285="","",'COPY 20 %'!S285)</f>
        <v/>
      </c>
      <c r="H285">
        <f>IF('COPY 20 %'!$A285="","",'COPY 20 %'!P285)</f>
        <v/>
      </c>
      <c r="I285">
        <f>IF('COPY 20 %'!$A285="","",'COPY 20 %'!M285)</f>
        <v/>
      </c>
      <c r="J285" s="7">
        <f>IF('COPY 20 %'!$A285="","",'COPY 20 %'!Q285)</f>
        <v/>
      </c>
      <c r="K285" s="7">
        <f>IF('COPY 20 %'!$A285="","",'COPY 20 %'!H285)</f>
        <v/>
      </c>
      <c r="L285" s="7">
        <f>IF('COPY 20 %'!$A285="","",'COPY 20 %'!T285)</f>
        <v/>
      </c>
      <c r="M285">
        <f>IF('COPY 20 %'!$A285="","",'COPY 20 %'!G285)</f>
        <v/>
      </c>
    </row>
    <row r="286">
      <c r="A286">
        <f>IF('COPY 20 %'!$A286="","",ROWS($A$2:$A286))</f>
        <v/>
      </c>
      <c r="B286">
        <f>IF('COPY 20 %'!$A286="","",'COPY 20 %'!E286)</f>
        <v/>
      </c>
      <c r="C286">
        <f>IF('COPY 20 %'!$A286="","",'COPY 20 %'!F286)</f>
        <v/>
      </c>
      <c r="D286" s="14">
        <f>IF('COPY 20 %'!$A286="","",'COPY 20 %'!I286)</f>
        <v/>
      </c>
      <c r="E286" s="7">
        <f>IF('COPY 20 %'!$A286="","",'COPY 20 %'!O286)</f>
        <v/>
      </c>
      <c r="F286" s="7">
        <f>IF('COPY 20 %'!$A286="","",'COPY 20 %'!L286)</f>
        <v/>
      </c>
      <c r="G286" s="7">
        <f>IF('COPY 20 %'!$A286="","",'COPY 20 %'!S286)</f>
        <v/>
      </c>
      <c r="H286">
        <f>IF('COPY 20 %'!$A286="","",'COPY 20 %'!P286)</f>
        <v/>
      </c>
      <c r="I286">
        <f>IF('COPY 20 %'!$A286="","",'COPY 20 %'!M286)</f>
        <v/>
      </c>
      <c r="J286" s="7">
        <f>IF('COPY 20 %'!$A286="","",'COPY 20 %'!Q286)</f>
        <v/>
      </c>
      <c r="K286" s="7">
        <f>IF('COPY 20 %'!$A286="","",'COPY 20 %'!H286)</f>
        <v/>
      </c>
      <c r="L286" s="7">
        <f>IF('COPY 20 %'!$A286="","",'COPY 20 %'!T286)</f>
        <v/>
      </c>
      <c r="M286">
        <f>IF('COPY 20 %'!$A286="","",'COPY 20 %'!G286)</f>
        <v/>
      </c>
    </row>
    <row r="287">
      <c r="A287">
        <f>IF('COPY 20 %'!$A287="","",ROWS($A$2:$A287))</f>
        <v/>
      </c>
      <c r="B287">
        <f>IF('COPY 20 %'!$A287="","",'COPY 20 %'!E287)</f>
        <v/>
      </c>
      <c r="C287">
        <f>IF('COPY 20 %'!$A287="","",'COPY 20 %'!F287)</f>
        <v/>
      </c>
      <c r="D287" s="14">
        <f>IF('COPY 20 %'!$A287="","",'COPY 20 %'!I287)</f>
        <v/>
      </c>
      <c r="E287" s="7">
        <f>IF('COPY 20 %'!$A287="","",'COPY 20 %'!O287)</f>
        <v/>
      </c>
      <c r="F287" s="7">
        <f>IF('COPY 20 %'!$A287="","",'COPY 20 %'!L287)</f>
        <v/>
      </c>
      <c r="G287" s="7">
        <f>IF('COPY 20 %'!$A287="","",'COPY 20 %'!S287)</f>
        <v/>
      </c>
      <c r="H287">
        <f>IF('COPY 20 %'!$A287="","",'COPY 20 %'!P287)</f>
        <v/>
      </c>
      <c r="I287">
        <f>IF('COPY 20 %'!$A287="","",'COPY 20 %'!M287)</f>
        <v/>
      </c>
      <c r="J287" s="7">
        <f>IF('COPY 20 %'!$A287="","",'COPY 20 %'!Q287)</f>
        <v/>
      </c>
      <c r="K287" s="7">
        <f>IF('COPY 20 %'!$A287="","",'COPY 20 %'!H287)</f>
        <v/>
      </c>
      <c r="L287" s="7">
        <f>IF('COPY 20 %'!$A287="","",'COPY 20 %'!T287)</f>
        <v/>
      </c>
      <c r="M287">
        <f>IF('COPY 20 %'!$A287="","",'COPY 20 %'!G287)</f>
        <v/>
      </c>
    </row>
    <row r="288">
      <c r="A288">
        <f>IF('COPY 20 %'!$A288="","",ROWS($A$2:$A288))</f>
        <v/>
      </c>
      <c r="B288">
        <f>IF('COPY 20 %'!$A288="","",'COPY 20 %'!E288)</f>
        <v/>
      </c>
      <c r="C288">
        <f>IF('COPY 20 %'!$A288="","",'COPY 20 %'!F288)</f>
        <v/>
      </c>
      <c r="D288" s="14">
        <f>IF('COPY 20 %'!$A288="","",'COPY 20 %'!I288)</f>
        <v/>
      </c>
      <c r="E288" s="7">
        <f>IF('COPY 20 %'!$A288="","",'COPY 20 %'!O288)</f>
        <v/>
      </c>
      <c r="F288" s="7">
        <f>IF('COPY 20 %'!$A288="","",'COPY 20 %'!L288)</f>
        <v/>
      </c>
      <c r="G288" s="7">
        <f>IF('COPY 20 %'!$A288="","",'COPY 20 %'!S288)</f>
        <v/>
      </c>
      <c r="H288">
        <f>IF('COPY 20 %'!$A288="","",'COPY 20 %'!P288)</f>
        <v/>
      </c>
      <c r="I288">
        <f>IF('COPY 20 %'!$A288="","",'COPY 20 %'!M288)</f>
        <v/>
      </c>
      <c r="J288" s="7">
        <f>IF('COPY 20 %'!$A288="","",'COPY 20 %'!Q288)</f>
        <v/>
      </c>
      <c r="K288" s="7">
        <f>IF('COPY 20 %'!$A288="","",'COPY 20 %'!H288)</f>
        <v/>
      </c>
      <c r="L288" s="7">
        <f>IF('COPY 20 %'!$A288="","",'COPY 20 %'!T288)</f>
        <v/>
      </c>
      <c r="M288">
        <f>IF('COPY 20 %'!$A288="","",'COPY 20 %'!G288)</f>
        <v/>
      </c>
    </row>
    <row r="289">
      <c r="A289">
        <f>IF('COPY 20 %'!$A289="","",ROWS($A$2:$A289))</f>
        <v/>
      </c>
      <c r="B289">
        <f>IF('COPY 20 %'!$A289="","",'COPY 20 %'!E289)</f>
        <v/>
      </c>
      <c r="C289">
        <f>IF('COPY 20 %'!$A289="","",'COPY 20 %'!F289)</f>
        <v/>
      </c>
      <c r="D289" s="14">
        <f>IF('COPY 20 %'!$A289="","",'COPY 20 %'!I289)</f>
        <v/>
      </c>
      <c r="E289" s="7">
        <f>IF('COPY 20 %'!$A289="","",'COPY 20 %'!O289)</f>
        <v/>
      </c>
      <c r="F289" s="7">
        <f>IF('COPY 20 %'!$A289="","",'COPY 20 %'!L289)</f>
        <v/>
      </c>
      <c r="G289" s="7">
        <f>IF('COPY 20 %'!$A289="","",'COPY 20 %'!S289)</f>
        <v/>
      </c>
      <c r="H289">
        <f>IF('COPY 20 %'!$A289="","",'COPY 20 %'!P289)</f>
        <v/>
      </c>
      <c r="I289">
        <f>IF('COPY 20 %'!$A289="","",'COPY 20 %'!M289)</f>
        <v/>
      </c>
      <c r="J289" s="7">
        <f>IF('COPY 20 %'!$A289="","",'COPY 20 %'!Q289)</f>
        <v/>
      </c>
      <c r="K289" s="7">
        <f>IF('COPY 20 %'!$A289="","",'COPY 20 %'!H289)</f>
        <v/>
      </c>
      <c r="L289" s="7">
        <f>IF('COPY 20 %'!$A289="","",'COPY 20 %'!T289)</f>
        <v/>
      </c>
      <c r="M289">
        <f>IF('COPY 20 %'!$A289="","",'COPY 20 %'!G289)</f>
        <v/>
      </c>
    </row>
    <row r="290">
      <c r="A290">
        <f>IF('COPY 20 %'!$A290="","",ROWS($A$2:$A290))</f>
        <v/>
      </c>
      <c r="B290">
        <f>IF('COPY 20 %'!$A290="","",'COPY 20 %'!E290)</f>
        <v/>
      </c>
      <c r="C290">
        <f>IF('COPY 20 %'!$A290="","",'COPY 20 %'!F290)</f>
        <v/>
      </c>
      <c r="D290" s="14">
        <f>IF('COPY 20 %'!$A290="","",'COPY 20 %'!I290)</f>
        <v/>
      </c>
      <c r="E290" s="7">
        <f>IF('COPY 20 %'!$A290="","",'COPY 20 %'!O290)</f>
        <v/>
      </c>
      <c r="F290" s="7">
        <f>IF('COPY 20 %'!$A290="","",'COPY 20 %'!L290)</f>
        <v/>
      </c>
      <c r="G290" s="7">
        <f>IF('COPY 20 %'!$A290="","",'COPY 20 %'!S290)</f>
        <v/>
      </c>
      <c r="H290">
        <f>IF('COPY 20 %'!$A290="","",'COPY 20 %'!P290)</f>
        <v/>
      </c>
      <c r="I290">
        <f>IF('COPY 20 %'!$A290="","",'COPY 20 %'!M290)</f>
        <v/>
      </c>
      <c r="J290" s="7">
        <f>IF('COPY 20 %'!$A290="","",'COPY 20 %'!Q290)</f>
        <v/>
      </c>
      <c r="K290" s="7">
        <f>IF('COPY 20 %'!$A290="","",'COPY 20 %'!H290)</f>
        <v/>
      </c>
      <c r="L290" s="7">
        <f>IF('COPY 20 %'!$A290="","",'COPY 20 %'!T290)</f>
        <v/>
      </c>
      <c r="M290">
        <f>IF('COPY 20 %'!$A290="","",'COPY 20 %'!G290)</f>
        <v/>
      </c>
    </row>
    <row r="291">
      <c r="A291">
        <f>IF('COPY 20 %'!$A291="","",ROWS($A$2:$A291))</f>
        <v/>
      </c>
      <c r="B291">
        <f>IF('COPY 20 %'!$A291="","",'COPY 20 %'!E291)</f>
        <v/>
      </c>
      <c r="C291">
        <f>IF('COPY 20 %'!$A291="","",'COPY 20 %'!F291)</f>
        <v/>
      </c>
      <c r="D291" s="14">
        <f>IF('COPY 20 %'!$A291="","",'COPY 20 %'!I291)</f>
        <v/>
      </c>
      <c r="E291" s="7">
        <f>IF('COPY 20 %'!$A291="","",'COPY 20 %'!O291)</f>
        <v/>
      </c>
      <c r="F291" s="7">
        <f>IF('COPY 20 %'!$A291="","",'COPY 20 %'!L291)</f>
        <v/>
      </c>
      <c r="G291" s="7">
        <f>IF('COPY 20 %'!$A291="","",'COPY 20 %'!S291)</f>
        <v/>
      </c>
      <c r="H291">
        <f>IF('COPY 20 %'!$A291="","",'COPY 20 %'!P291)</f>
        <v/>
      </c>
      <c r="I291">
        <f>IF('COPY 20 %'!$A291="","",'COPY 20 %'!M291)</f>
        <v/>
      </c>
      <c r="J291" s="7">
        <f>IF('COPY 20 %'!$A291="","",'COPY 20 %'!Q291)</f>
        <v/>
      </c>
      <c r="K291" s="7">
        <f>IF('COPY 20 %'!$A291="","",'COPY 20 %'!H291)</f>
        <v/>
      </c>
      <c r="L291" s="7">
        <f>IF('COPY 20 %'!$A291="","",'COPY 20 %'!T291)</f>
        <v/>
      </c>
      <c r="M291">
        <f>IF('COPY 20 %'!$A291="","",'COPY 20 %'!G291)</f>
        <v/>
      </c>
    </row>
    <row r="292">
      <c r="A292">
        <f>IF('COPY 20 %'!$A292="","",ROWS($A$2:$A292))</f>
        <v/>
      </c>
      <c r="B292">
        <f>IF('COPY 20 %'!$A292="","",'COPY 20 %'!E292)</f>
        <v/>
      </c>
      <c r="C292">
        <f>IF('COPY 20 %'!$A292="","",'COPY 20 %'!F292)</f>
        <v/>
      </c>
      <c r="D292" s="14">
        <f>IF('COPY 20 %'!$A292="","",'COPY 20 %'!I292)</f>
        <v/>
      </c>
      <c r="E292" s="7">
        <f>IF('COPY 20 %'!$A292="","",'COPY 20 %'!O292)</f>
        <v/>
      </c>
      <c r="F292" s="7">
        <f>IF('COPY 20 %'!$A292="","",'COPY 20 %'!L292)</f>
        <v/>
      </c>
      <c r="G292" s="7">
        <f>IF('COPY 20 %'!$A292="","",'COPY 20 %'!S292)</f>
        <v/>
      </c>
      <c r="H292">
        <f>IF('COPY 20 %'!$A292="","",'COPY 20 %'!P292)</f>
        <v/>
      </c>
      <c r="I292">
        <f>IF('COPY 20 %'!$A292="","",'COPY 20 %'!M292)</f>
        <v/>
      </c>
      <c r="J292" s="7">
        <f>IF('COPY 20 %'!$A292="","",'COPY 20 %'!Q292)</f>
        <v/>
      </c>
      <c r="K292" s="7">
        <f>IF('COPY 20 %'!$A292="","",'COPY 20 %'!H292)</f>
        <v/>
      </c>
      <c r="L292" s="7">
        <f>IF('COPY 20 %'!$A292="","",'COPY 20 %'!T292)</f>
        <v/>
      </c>
      <c r="M292">
        <f>IF('COPY 20 %'!$A292="","",'COPY 20 %'!G292)</f>
        <v/>
      </c>
    </row>
    <row r="293">
      <c r="A293">
        <f>IF('COPY 20 %'!$A293="","",ROWS($A$2:$A293))</f>
        <v/>
      </c>
      <c r="B293">
        <f>IF('COPY 20 %'!$A293="","",'COPY 20 %'!E293)</f>
        <v/>
      </c>
      <c r="C293">
        <f>IF('COPY 20 %'!$A293="","",'COPY 20 %'!F293)</f>
        <v/>
      </c>
      <c r="D293" s="14">
        <f>IF('COPY 20 %'!$A293="","",'COPY 20 %'!I293)</f>
        <v/>
      </c>
      <c r="E293" s="7">
        <f>IF('COPY 20 %'!$A293="","",'COPY 20 %'!O293)</f>
        <v/>
      </c>
      <c r="F293" s="7">
        <f>IF('COPY 20 %'!$A293="","",'COPY 20 %'!L293)</f>
        <v/>
      </c>
      <c r="G293" s="7">
        <f>IF('COPY 20 %'!$A293="","",'COPY 20 %'!S293)</f>
        <v/>
      </c>
      <c r="H293">
        <f>IF('COPY 20 %'!$A293="","",'COPY 20 %'!P293)</f>
        <v/>
      </c>
      <c r="I293">
        <f>IF('COPY 20 %'!$A293="","",'COPY 20 %'!M293)</f>
        <v/>
      </c>
      <c r="J293" s="7">
        <f>IF('COPY 20 %'!$A293="","",'COPY 20 %'!Q293)</f>
        <v/>
      </c>
      <c r="K293" s="7">
        <f>IF('COPY 20 %'!$A293="","",'COPY 20 %'!H293)</f>
        <v/>
      </c>
      <c r="L293" s="7">
        <f>IF('COPY 20 %'!$A293="","",'COPY 20 %'!T293)</f>
        <v/>
      </c>
      <c r="M293">
        <f>IF('COPY 20 %'!$A293="","",'COPY 20 %'!G293)</f>
        <v/>
      </c>
    </row>
    <row r="294">
      <c r="A294">
        <f>IF('COPY 20 %'!$A294="","",ROWS($A$2:$A294))</f>
        <v/>
      </c>
      <c r="B294">
        <f>IF('COPY 20 %'!$A294="","",'COPY 20 %'!E294)</f>
        <v/>
      </c>
      <c r="C294">
        <f>IF('COPY 20 %'!$A294="","",'COPY 20 %'!F294)</f>
        <v/>
      </c>
      <c r="D294" s="14">
        <f>IF('COPY 20 %'!$A294="","",'COPY 20 %'!I294)</f>
        <v/>
      </c>
      <c r="E294" s="7">
        <f>IF('COPY 20 %'!$A294="","",'COPY 20 %'!O294)</f>
        <v/>
      </c>
      <c r="F294" s="7">
        <f>IF('COPY 20 %'!$A294="","",'COPY 20 %'!L294)</f>
        <v/>
      </c>
      <c r="G294" s="7">
        <f>IF('COPY 20 %'!$A294="","",'COPY 20 %'!S294)</f>
        <v/>
      </c>
      <c r="H294">
        <f>IF('COPY 20 %'!$A294="","",'COPY 20 %'!P294)</f>
        <v/>
      </c>
      <c r="I294">
        <f>IF('COPY 20 %'!$A294="","",'COPY 20 %'!M294)</f>
        <v/>
      </c>
      <c r="J294" s="7">
        <f>IF('COPY 20 %'!$A294="","",'COPY 20 %'!Q294)</f>
        <v/>
      </c>
      <c r="K294" s="7">
        <f>IF('COPY 20 %'!$A294="","",'COPY 20 %'!H294)</f>
        <v/>
      </c>
      <c r="L294" s="7">
        <f>IF('COPY 20 %'!$A294="","",'COPY 20 %'!T294)</f>
        <v/>
      </c>
      <c r="M294">
        <f>IF('COPY 20 %'!$A294="","",'COPY 20 %'!G294)</f>
        <v/>
      </c>
    </row>
    <row r="295">
      <c r="A295">
        <f>IF('COPY 20 %'!$A295="","",ROWS($A$2:$A295))</f>
        <v/>
      </c>
      <c r="B295">
        <f>IF('COPY 20 %'!$A295="","",'COPY 20 %'!E295)</f>
        <v/>
      </c>
      <c r="C295">
        <f>IF('COPY 20 %'!$A295="","",'COPY 20 %'!F295)</f>
        <v/>
      </c>
      <c r="D295" s="14">
        <f>IF('COPY 20 %'!$A295="","",'COPY 20 %'!I295)</f>
        <v/>
      </c>
      <c r="E295" s="7">
        <f>IF('COPY 20 %'!$A295="","",'COPY 20 %'!O295)</f>
        <v/>
      </c>
      <c r="F295" s="7">
        <f>IF('COPY 20 %'!$A295="","",'COPY 20 %'!L295)</f>
        <v/>
      </c>
      <c r="G295" s="7">
        <f>IF('COPY 20 %'!$A295="","",'COPY 20 %'!S295)</f>
        <v/>
      </c>
      <c r="H295">
        <f>IF('COPY 20 %'!$A295="","",'COPY 20 %'!P295)</f>
        <v/>
      </c>
      <c r="I295">
        <f>IF('COPY 20 %'!$A295="","",'COPY 20 %'!M295)</f>
        <v/>
      </c>
      <c r="J295" s="7">
        <f>IF('COPY 20 %'!$A295="","",'COPY 20 %'!Q295)</f>
        <v/>
      </c>
      <c r="K295" s="7">
        <f>IF('COPY 20 %'!$A295="","",'COPY 20 %'!H295)</f>
        <v/>
      </c>
      <c r="L295" s="7">
        <f>IF('COPY 20 %'!$A295="","",'COPY 20 %'!T295)</f>
        <v/>
      </c>
      <c r="M295">
        <f>IF('COPY 20 %'!$A295="","",'COPY 20 %'!G295)</f>
        <v/>
      </c>
    </row>
    <row r="296">
      <c r="A296">
        <f>IF('COPY 20 %'!$A296="","",ROWS($A$2:$A296))</f>
        <v/>
      </c>
      <c r="B296">
        <f>IF('COPY 20 %'!$A296="","",'COPY 20 %'!E296)</f>
        <v/>
      </c>
      <c r="C296">
        <f>IF('COPY 20 %'!$A296="","",'COPY 20 %'!F296)</f>
        <v/>
      </c>
      <c r="D296" s="14">
        <f>IF('COPY 20 %'!$A296="","",'COPY 20 %'!I296)</f>
        <v/>
      </c>
      <c r="E296" s="7">
        <f>IF('COPY 20 %'!$A296="","",'COPY 20 %'!O296)</f>
        <v/>
      </c>
      <c r="F296" s="7">
        <f>IF('COPY 20 %'!$A296="","",'COPY 20 %'!L296)</f>
        <v/>
      </c>
      <c r="G296" s="7">
        <f>IF('COPY 20 %'!$A296="","",'COPY 20 %'!S296)</f>
        <v/>
      </c>
      <c r="H296">
        <f>IF('COPY 20 %'!$A296="","",'COPY 20 %'!P296)</f>
        <v/>
      </c>
      <c r="I296">
        <f>IF('COPY 20 %'!$A296="","",'COPY 20 %'!M296)</f>
        <v/>
      </c>
      <c r="J296" s="7">
        <f>IF('COPY 20 %'!$A296="","",'COPY 20 %'!Q296)</f>
        <v/>
      </c>
      <c r="K296" s="7">
        <f>IF('COPY 20 %'!$A296="","",'COPY 20 %'!H296)</f>
        <v/>
      </c>
      <c r="L296" s="7">
        <f>IF('COPY 20 %'!$A296="","",'COPY 20 %'!T296)</f>
        <v/>
      </c>
      <c r="M296">
        <f>IF('COPY 20 %'!$A296="","",'COPY 20 %'!G296)</f>
        <v/>
      </c>
    </row>
    <row r="297">
      <c r="A297">
        <f>IF('COPY 20 %'!$A297="","",ROWS($A$2:$A297))</f>
        <v/>
      </c>
      <c r="B297">
        <f>IF('COPY 20 %'!$A297="","",'COPY 20 %'!E297)</f>
        <v/>
      </c>
      <c r="C297">
        <f>IF('COPY 20 %'!$A297="","",'COPY 20 %'!F297)</f>
        <v/>
      </c>
      <c r="D297" s="14">
        <f>IF('COPY 20 %'!$A297="","",'COPY 20 %'!I297)</f>
        <v/>
      </c>
      <c r="E297" s="7">
        <f>IF('COPY 20 %'!$A297="","",'COPY 20 %'!O297)</f>
        <v/>
      </c>
      <c r="F297" s="7">
        <f>IF('COPY 20 %'!$A297="","",'COPY 20 %'!L297)</f>
        <v/>
      </c>
      <c r="G297" s="7">
        <f>IF('COPY 20 %'!$A297="","",'COPY 20 %'!S297)</f>
        <v/>
      </c>
      <c r="H297">
        <f>IF('COPY 20 %'!$A297="","",'COPY 20 %'!P297)</f>
        <v/>
      </c>
      <c r="I297">
        <f>IF('COPY 20 %'!$A297="","",'COPY 20 %'!M297)</f>
        <v/>
      </c>
      <c r="J297" s="7">
        <f>IF('COPY 20 %'!$A297="","",'COPY 20 %'!Q297)</f>
        <v/>
      </c>
      <c r="K297" s="7">
        <f>IF('COPY 20 %'!$A297="","",'COPY 20 %'!H297)</f>
        <v/>
      </c>
      <c r="L297" s="7">
        <f>IF('COPY 20 %'!$A297="","",'COPY 20 %'!T297)</f>
        <v/>
      </c>
      <c r="M297">
        <f>IF('COPY 20 %'!$A297="","",'COPY 20 %'!G297)</f>
        <v/>
      </c>
    </row>
    <row r="298">
      <c r="A298">
        <f>IF('COPY 20 %'!$A298="","",ROWS($A$2:$A298))</f>
        <v/>
      </c>
      <c r="B298">
        <f>IF('COPY 20 %'!$A298="","",'COPY 20 %'!E298)</f>
        <v/>
      </c>
      <c r="C298">
        <f>IF('COPY 20 %'!$A298="","",'COPY 20 %'!F298)</f>
        <v/>
      </c>
      <c r="D298" s="14">
        <f>IF('COPY 20 %'!$A298="","",'COPY 20 %'!I298)</f>
        <v/>
      </c>
      <c r="E298" s="7">
        <f>IF('COPY 20 %'!$A298="","",'COPY 20 %'!O298)</f>
        <v/>
      </c>
      <c r="F298" s="7">
        <f>IF('COPY 20 %'!$A298="","",'COPY 20 %'!L298)</f>
        <v/>
      </c>
      <c r="G298" s="7">
        <f>IF('COPY 20 %'!$A298="","",'COPY 20 %'!S298)</f>
        <v/>
      </c>
      <c r="H298">
        <f>IF('COPY 20 %'!$A298="","",'COPY 20 %'!P298)</f>
        <v/>
      </c>
      <c r="I298">
        <f>IF('COPY 20 %'!$A298="","",'COPY 20 %'!M298)</f>
        <v/>
      </c>
      <c r="J298" s="7">
        <f>IF('COPY 20 %'!$A298="","",'COPY 20 %'!Q298)</f>
        <v/>
      </c>
      <c r="K298" s="7">
        <f>IF('COPY 20 %'!$A298="","",'COPY 20 %'!H298)</f>
        <v/>
      </c>
      <c r="L298" s="7">
        <f>IF('COPY 20 %'!$A298="","",'COPY 20 %'!T298)</f>
        <v/>
      </c>
      <c r="M298">
        <f>IF('COPY 20 %'!$A298="","",'COPY 20 %'!G298)</f>
        <v/>
      </c>
    </row>
    <row r="299">
      <c r="A299">
        <f>IF('COPY 20 %'!$A299="","",ROWS($A$2:$A299))</f>
        <v/>
      </c>
      <c r="B299">
        <f>IF('COPY 20 %'!$A299="","",'COPY 20 %'!E299)</f>
        <v/>
      </c>
      <c r="C299">
        <f>IF('COPY 20 %'!$A299="","",'COPY 20 %'!F299)</f>
        <v/>
      </c>
      <c r="D299" s="14">
        <f>IF('COPY 20 %'!$A299="","",'COPY 20 %'!I299)</f>
        <v/>
      </c>
      <c r="E299" s="7">
        <f>IF('COPY 20 %'!$A299="","",'COPY 20 %'!O299)</f>
        <v/>
      </c>
      <c r="F299" s="7">
        <f>IF('COPY 20 %'!$A299="","",'COPY 20 %'!L299)</f>
        <v/>
      </c>
      <c r="G299" s="7">
        <f>IF('COPY 20 %'!$A299="","",'COPY 20 %'!S299)</f>
        <v/>
      </c>
      <c r="H299">
        <f>IF('COPY 20 %'!$A299="","",'COPY 20 %'!P299)</f>
        <v/>
      </c>
      <c r="I299">
        <f>IF('COPY 20 %'!$A299="","",'COPY 20 %'!M299)</f>
        <v/>
      </c>
      <c r="J299" s="7">
        <f>IF('COPY 20 %'!$A299="","",'COPY 20 %'!Q299)</f>
        <v/>
      </c>
      <c r="K299" s="7">
        <f>IF('COPY 20 %'!$A299="","",'COPY 20 %'!H299)</f>
        <v/>
      </c>
      <c r="L299" s="7">
        <f>IF('COPY 20 %'!$A299="","",'COPY 20 %'!T299)</f>
        <v/>
      </c>
      <c r="M299">
        <f>IF('COPY 20 %'!$A299="","",'COPY 20 %'!G299)</f>
        <v/>
      </c>
    </row>
    <row r="300">
      <c r="A300">
        <f>IF('COPY 20 %'!$A300="","",ROWS($A$2:$A300))</f>
        <v/>
      </c>
      <c r="B300">
        <f>IF('COPY 20 %'!$A300="","",'COPY 20 %'!E300)</f>
        <v/>
      </c>
      <c r="C300">
        <f>IF('COPY 20 %'!$A300="","",'COPY 20 %'!F300)</f>
        <v/>
      </c>
      <c r="D300" s="14">
        <f>IF('COPY 20 %'!$A300="","",'COPY 20 %'!I300)</f>
        <v/>
      </c>
      <c r="E300" s="7">
        <f>IF('COPY 20 %'!$A300="","",'COPY 20 %'!O300)</f>
        <v/>
      </c>
      <c r="F300" s="7">
        <f>IF('COPY 20 %'!$A300="","",'COPY 20 %'!L300)</f>
        <v/>
      </c>
      <c r="G300" s="7">
        <f>IF('COPY 20 %'!$A300="","",'COPY 20 %'!S300)</f>
        <v/>
      </c>
      <c r="H300">
        <f>IF('COPY 20 %'!$A300="","",'COPY 20 %'!P300)</f>
        <v/>
      </c>
      <c r="I300">
        <f>IF('COPY 20 %'!$A300="","",'COPY 20 %'!M300)</f>
        <v/>
      </c>
      <c r="J300" s="7">
        <f>IF('COPY 20 %'!$A300="","",'COPY 20 %'!Q300)</f>
        <v/>
      </c>
      <c r="K300" s="7">
        <f>IF('COPY 20 %'!$A300="","",'COPY 20 %'!H300)</f>
        <v/>
      </c>
      <c r="L300" s="7">
        <f>IF('COPY 20 %'!$A300="","",'COPY 20 %'!T300)</f>
        <v/>
      </c>
      <c r="M300">
        <f>IF('COPY 20 %'!$A300="","",'COPY 20 %'!G300)</f>
        <v/>
      </c>
    </row>
    <row r="301">
      <c r="A301">
        <f>IF('COPY 20 %'!$A301="","",ROWS($A$2:$A301))</f>
        <v/>
      </c>
      <c r="B301">
        <f>IF('COPY 20 %'!$A301="","",'COPY 20 %'!E301)</f>
        <v/>
      </c>
      <c r="C301">
        <f>IF('COPY 20 %'!$A301="","",'COPY 20 %'!F301)</f>
        <v/>
      </c>
      <c r="D301" s="14">
        <f>IF('COPY 20 %'!$A301="","",'COPY 20 %'!I301)</f>
        <v/>
      </c>
      <c r="E301" s="7">
        <f>IF('COPY 20 %'!$A301="","",'COPY 20 %'!O301)</f>
        <v/>
      </c>
      <c r="F301" s="7">
        <f>IF('COPY 20 %'!$A301="","",'COPY 20 %'!L301)</f>
        <v/>
      </c>
      <c r="G301" s="7">
        <f>IF('COPY 20 %'!$A301="","",'COPY 20 %'!S301)</f>
        <v/>
      </c>
      <c r="H301">
        <f>IF('COPY 20 %'!$A301="","",'COPY 20 %'!P301)</f>
        <v/>
      </c>
      <c r="I301">
        <f>IF('COPY 20 %'!$A301="","",'COPY 20 %'!M301)</f>
        <v/>
      </c>
      <c r="J301" s="7">
        <f>IF('COPY 20 %'!$A301="","",'COPY 20 %'!Q301)</f>
        <v/>
      </c>
      <c r="K301" s="7">
        <f>IF('COPY 20 %'!$A301="","",'COPY 20 %'!H301)</f>
        <v/>
      </c>
      <c r="L301" s="7">
        <f>IF('COPY 20 %'!$A301="","",'COPY 20 %'!T301)</f>
        <v/>
      </c>
      <c r="M301">
        <f>IF('COPY 20 %'!$A301="","",'COPY 20 %'!G301)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10" t="inlineStr">
        <is>
          <t>م</t>
        </is>
      </c>
      <c r="B1" s="10" t="inlineStr">
        <is>
          <t>الاسم</t>
        </is>
      </c>
      <c r="C1" s="10" t="inlineStr">
        <is>
          <t>رقم الاداء</t>
        </is>
      </c>
      <c r="D1" s="10" t="inlineStr">
        <is>
          <t>التاريخ</t>
        </is>
      </c>
      <c r="E1" s="10" t="inlineStr">
        <is>
          <t>محلي قبل الخصم</t>
        </is>
      </c>
      <c r="F1" s="10" t="inlineStr">
        <is>
          <t>مستورد قبل الخصم</t>
        </is>
      </c>
      <c r="G1" s="10" t="inlineStr">
        <is>
          <t>الاجمالي قبل الخصم</t>
        </is>
      </c>
      <c r="H1" s="10" t="inlineStr">
        <is>
          <t>قيمه خصم المحلي</t>
        </is>
      </c>
      <c r="I1" s="10" t="inlineStr">
        <is>
          <t>قيمه خصم المستورد</t>
        </is>
      </c>
      <c r="J1" s="10" t="inlineStr">
        <is>
          <t>اجمالي قيمه الخصم</t>
        </is>
      </c>
      <c r="K1" s="10" t="inlineStr">
        <is>
          <t>تحمل المريض</t>
        </is>
      </c>
      <c r="L1" s="10" t="inlineStr">
        <is>
          <t>الصافي</t>
        </is>
      </c>
      <c r="M1" s="10" t="inlineStr">
        <is>
          <t>نسبه التحمل</t>
        </is>
      </c>
    </row>
    <row r="2">
      <c r="A2">
        <f>IF('COPY 10 %'!$A2="","",ROWS($A$2:$A2))</f>
        <v/>
      </c>
      <c r="B2">
        <f>IF('COPY 10 %'!$A2="","",'COPY 10 %'!E2)</f>
        <v/>
      </c>
      <c r="C2">
        <f>IF('COPY 10 %'!$A2="","",'COPY 10 %'!F2)</f>
        <v/>
      </c>
      <c r="D2" s="14">
        <f>IF('COPY 10 %'!$A2="","",'COPY 10 %'!I2)</f>
        <v/>
      </c>
      <c r="E2" s="7">
        <f>IF('COPY 10 %'!$A2="","",'COPY 10 %'!O2)</f>
        <v/>
      </c>
      <c r="F2" s="7">
        <f>IF('COPY 10 %'!$A2="","",'COPY 10 %'!L2)</f>
        <v/>
      </c>
      <c r="G2" s="7">
        <f>IF('COPY 10 %'!$A2="","",'COPY 10 %'!S2)</f>
        <v/>
      </c>
      <c r="H2">
        <f>IF('COPY 10 %'!$A2="","",'COPY 10 %'!P2)</f>
        <v/>
      </c>
      <c r="I2">
        <f>IF('COPY 10 %'!$A2="","",'COPY 10 %'!M2)</f>
        <v/>
      </c>
      <c r="J2" s="7">
        <f>IF('COPY 10 %'!$A2="","",'COPY 10 %'!Q2)</f>
        <v/>
      </c>
      <c r="K2" s="7">
        <f>IF('COPY 10 %'!$A2="","",'COPY 10 %'!H2)</f>
        <v/>
      </c>
      <c r="L2" s="7">
        <f>IF('COPY 10 %'!$A2="","",'COPY 10 %'!T2)</f>
        <v/>
      </c>
      <c r="M2">
        <f>IF('COPY 10 %'!$A2="","",'COPY 10 %'!G2)</f>
        <v/>
      </c>
    </row>
    <row r="3">
      <c r="A3">
        <f>IF('COPY 10 %'!$A3="","",ROWS($A$2:$A3))</f>
        <v/>
      </c>
      <c r="B3">
        <f>IF('COPY 10 %'!$A3="","",'COPY 10 %'!E3)</f>
        <v/>
      </c>
      <c r="C3">
        <f>IF('COPY 10 %'!$A3="","",'COPY 10 %'!F3)</f>
        <v/>
      </c>
      <c r="D3" s="14">
        <f>IF('COPY 10 %'!$A3="","",'COPY 10 %'!I3)</f>
        <v/>
      </c>
      <c r="E3" s="7">
        <f>IF('COPY 10 %'!$A3="","",'COPY 10 %'!O3)</f>
        <v/>
      </c>
      <c r="F3" s="7">
        <f>IF('COPY 10 %'!$A3="","",'COPY 10 %'!L3)</f>
        <v/>
      </c>
      <c r="G3" s="7">
        <f>IF('COPY 10 %'!$A3="","",'COPY 10 %'!S3)</f>
        <v/>
      </c>
      <c r="H3">
        <f>IF('COPY 10 %'!$A3="","",'COPY 10 %'!P3)</f>
        <v/>
      </c>
      <c r="I3">
        <f>IF('COPY 10 %'!$A3="","",'COPY 10 %'!M3)</f>
        <v/>
      </c>
      <c r="J3" s="7">
        <f>IF('COPY 10 %'!$A3="","",'COPY 10 %'!Q3)</f>
        <v/>
      </c>
      <c r="K3" s="7">
        <f>IF('COPY 10 %'!$A3="","",'COPY 10 %'!H3)</f>
        <v/>
      </c>
      <c r="L3" s="7">
        <f>IF('COPY 10 %'!$A3="","",'COPY 10 %'!T3)</f>
        <v/>
      </c>
      <c r="M3">
        <f>IF('COPY 10 %'!$A3="","",'COPY 10 %'!G3)</f>
        <v/>
      </c>
    </row>
    <row r="4">
      <c r="A4">
        <f>IF('COPY 10 %'!$A4="","",ROWS($A$2:$A4))</f>
        <v/>
      </c>
      <c r="B4">
        <f>IF('COPY 10 %'!$A4="","",'COPY 10 %'!E4)</f>
        <v/>
      </c>
      <c r="C4">
        <f>IF('COPY 10 %'!$A4="","",'COPY 10 %'!F4)</f>
        <v/>
      </c>
      <c r="D4" s="14">
        <f>IF('COPY 10 %'!$A4="","",'COPY 10 %'!I4)</f>
        <v/>
      </c>
      <c r="E4" s="7">
        <f>IF('COPY 10 %'!$A4="","",'COPY 10 %'!O4)</f>
        <v/>
      </c>
      <c r="F4" s="7">
        <f>IF('COPY 10 %'!$A4="","",'COPY 10 %'!L4)</f>
        <v/>
      </c>
      <c r="G4" s="7">
        <f>IF('COPY 10 %'!$A4="","",'COPY 10 %'!S4)</f>
        <v/>
      </c>
      <c r="H4">
        <f>IF('COPY 10 %'!$A4="","",'COPY 10 %'!P4)</f>
        <v/>
      </c>
      <c r="I4">
        <f>IF('COPY 10 %'!$A4="","",'COPY 10 %'!M4)</f>
        <v/>
      </c>
      <c r="J4" s="7">
        <f>IF('COPY 10 %'!$A4="","",'COPY 10 %'!Q4)</f>
        <v/>
      </c>
      <c r="K4" s="7">
        <f>IF('COPY 10 %'!$A4="","",'COPY 10 %'!H4)</f>
        <v/>
      </c>
      <c r="L4" s="7">
        <f>IF('COPY 10 %'!$A4="","",'COPY 10 %'!T4)</f>
        <v/>
      </c>
      <c r="M4">
        <f>IF('COPY 10 %'!$A4="","",'COPY 10 %'!G4)</f>
        <v/>
      </c>
    </row>
    <row r="5">
      <c r="A5">
        <f>IF('COPY 10 %'!$A5="","",ROWS($A$2:$A5))</f>
        <v/>
      </c>
      <c r="B5">
        <f>IF('COPY 10 %'!$A5="","",'COPY 10 %'!E5)</f>
        <v/>
      </c>
      <c r="C5">
        <f>IF('COPY 10 %'!$A5="","",'COPY 10 %'!F5)</f>
        <v/>
      </c>
      <c r="D5" s="14">
        <f>IF('COPY 10 %'!$A5="","",'COPY 10 %'!I5)</f>
        <v/>
      </c>
      <c r="E5" s="7">
        <f>IF('COPY 10 %'!$A5="","",'COPY 10 %'!O5)</f>
        <v/>
      </c>
      <c r="F5" s="7">
        <f>IF('COPY 10 %'!$A5="","",'COPY 10 %'!L5)</f>
        <v/>
      </c>
      <c r="G5" s="7">
        <f>IF('COPY 10 %'!$A5="","",'COPY 10 %'!S5)</f>
        <v/>
      </c>
      <c r="H5">
        <f>IF('COPY 10 %'!$A5="","",'COPY 10 %'!P5)</f>
        <v/>
      </c>
      <c r="I5">
        <f>IF('COPY 10 %'!$A5="","",'COPY 10 %'!M5)</f>
        <v/>
      </c>
      <c r="J5" s="7">
        <f>IF('COPY 10 %'!$A5="","",'COPY 10 %'!Q5)</f>
        <v/>
      </c>
      <c r="K5" s="7">
        <f>IF('COPY 10 %'!$A5="","",'COPY 10 %'!H5)</f>
        <v/>
      </c>
      <c r="L5" s="7">
        <f>IF('COPY 10 %'!$A5="","",'COPY 10 %'!T5)</f>
        <v/>
      </c>
      <c r="M5">
        <f>IF('COPY 10 %'!$A5="","",'COPY 10 %'!G5)</f>
        <v/>
      </c>
    </row>
    <row r="6">
      <c r="A6">
        <f>IF('COPY 10 %'!$A6="","",ROWS($A$2:$A6))</f>
        <v/>
      </c>
      <c r="B6">
        <f>IF('COPY 10 %'!$A6="","",'COPY 10 %'!E6)</f>
        <v/>
      </c>
      <c r="C6">
        <f>IF('COPY 10 %'!$A6="","",'COPY 10 %'!F6)</f>
        <v/>
      </c>
      <c r="D6" s="14">
        <f>IF('COPY 10 %'!$A6="","",'COPY 10 %'!I6)</f>
        <v/>
      </c>
      <c r="E6" s="7">
        <f>IF('COPY 10 %'!$A6="","",'COPY 10 %'!O6)</f>
        <v/>
      </c>
      <c r="F6" s="7">
        <f>IF('COPY 10 %'!$A6="","",'COPY 10 %'!L6)</f>
        <v/>
      </c>
      <c r="G6" s="7">
        <f>IF('COPY 10 %'!$A6="","",'COPY 10 %'!S6)</f>
        <v/>
      </c>
      <c r="H6">
        <f>IF('COPY 10 %'!$A6="","",'COPY 10 %'!P6)</f>
        <v/>
      </c>
      <c r="I6">
        <f>IF('COPY 10 %'!$A6="","",'COPY 10 %'!M6)</f>
        <v/>
      </c>
      <c r="J6" s="7">
        <f>IF('COPY 10 %'!$A6="","",'COPY 10 %'!Q6)</f>
        <v/>
      </c>
      <c r="K6" s="7">
        <f>IF('COPY 10 %'!$A6="","",'COPY 10 %'!H6)</f>
        <v/>
      </c>
      <c r="L6" s="7">
        <f>IF('COPY 10 %'!$A6="","",'COPY 10 %'!T6)</f>
        <v/>
      </c>
      <c r="M6">
        <f>IF('COPY 10 %'!$A6="","",'COPY 10 %'!G6)</f>
        <v/>
      </c>
    </row>
    <row r="7">
      <c r="A7">
        <f>IF('COPY 10 %'!$A7="","",ROWS($A$2:$A7))</f>
        <v/>
      </c>
      <c r="B7">
        <f>IF('COPY 10 %'!$A7="","",'COPY 10 %'!E7)</f>
        <v/>
      </c>
      <c r="C7">
        <f>IF('COPY 10 %'!$A7="","",'COPY 10 %'!F7)</f>
        <v/>
      </c>
      <c r="D7" s="14">
        <f>IF('COPY 10 %'!$A7="","",'COPY 10 %'!I7)</f>
        <v/>
      </c>
      <c r="E7" s="7">
        <f>IF('COPY 10 %'!$A7="","",'COPY 10 %'!O7)</f>
        <v/>
      </c>
      <c r="F7" s="7">
        <f>IF('COPY 10 %'!$A7="","",'COPY 10 %'!L7)</f>
        <v/>
      </c>
      <c r="G7" s="7">
        <f>IF('COPY 10 %'!$A7="","",'COPY 10 %'!S7)</f>
        <v/>
      </c>
      <c r="H7">
        <f>IF('COPY 10 %'!$A7="","",'COPY 10 %'!P7)</f>
        <v/>
      </c>
      <c r="I7">
        <f>IF('COPY 10 %'!$A7="","",'COPY 10 %'!M7)</f>
        <v/>
      </c>
      <c r="J7" s="7">
        <f>IF('COPY 10 %'!$A7="","",'COPY 10 %'!Q7)</f>
        <v/>
      </c>
      <c r="K7" s="7">
        <f>IF('COPY 10 %'!$A7="","",'COPY 10 %'!H7)</f>
        <v/>
      </c>
      <c r="L7" s="7">
        <f>IF('COPY 10 %'!$A7="","",'COPY 10 %'!T7)</f>
        <v/>
      </c>
      <c r="M7">
        <f>IF('COPY 10 %'!$A7="","",'COPY 10 %'!G7)</f>
        <v/>
      </c>
    </row>
    <row r="8">
      <c r="A8">
        <f>IF('COPY 10 %'!$A8="","",ROWS($A$2:$A8))</f>
        <v/>
      </c>
      <c r="B8">
        <f>IF('COPY 10 %'!$A8="","",'COPY 10 %'!E8)</f>
        <v/>
      </c>
      <c r="C8">
        <f>IF('COPY 10 %'!$A8="","",'COPY 10 %'!F8)</f>
        <v/>
      </c>
      <c r="D8" s="14">
        <f>IF('COPY 10 %'!$A8="","",'COPY 10 %'!I8)</f>
        <v/>
      </c>
      <c r="E8" s="7">
        <f>IF('COPY 10 %'!$A8="","",'COPY 10 %'!O8)</f>
        <v/>
      </c>
      <c r="F8" s="7">
        <f>IF('COPY 10 %'!$A8="","",'COPY 10 %'!L8)</f>
        <v/>
      </c>
      <c r="G8" s="7">
        <f>IF('COPY 10 %'!$A8="","",'COPY 10 %'!S8)</f>
        <v/>
      </c>
      <c r="H8">
        <f>IF('COPY 10 %'!$A8="","",'COPY 10 %'!P8)</f>
        <v/>
      </c>
      <c r="I8">
        <f>IF('COPY 10 %'!$A8="","",'COPY 10 %'!M8)</f>
        <v/>
      </c>
      <c r="J8" s="7">
        <f>IF('COPY 10 %'!$A8="","",'COPY 10 %'!Q8)</f>
        <v/>
      </c>
      <c r="K8" s="7">
        <f>IF('COPY 10 %'!$A8="","",'COPY 10 %'!H8)</f>
        <v/>
      </c>
      <c r="L8" s="7">
        <f>IF('COPY 10 %'!$A8="","",'COPY 10 %'!T8)</f>
        <v/>
      </c>
      <c r="M8">
        <f>IF('COPY 10 %'!$A8="","",'COPY 10 %'!G8)</f>
        <v/>
      </c>
    </row>
    <row r="9">
      <c r="A9">
        <f>IF('COPY 10 %'!$A9="","",ROWS($A$2:$A9))</f>
        <v/>
      </c>
      <c r="B9">
        <f>IF('COPY 10 %'!$A9="","",'COPY 10 %'!E9)</f>
        <v/>
      </c>
      <c r="C9">
        <f>IF('COPY 10 %'!$A9="","",'COPY 10 %'!F9)</f>
        <v/>
      </c>
      <c r="D9" s="14">
        <f>IF('COPY 10 %'!$A9="","",'COPY 10 %'!I9)</f>
        <v/>
      </c>
      <c r="E9" s="7">
        <f>IF('COPY 10 %'!$A9="","",'COPY 10 %'!O9)</f>
        <v/>
      </c>
      <c r="F9" s="7">
        <f>IF('COPY 10 %'!$A9="","",'COPY 10 %'!L9)</f>
        <v/>
      </c>
      <c r="G9" s="7">
        <f>IF('COPY 10 %'!$A9="","",'COPY 10 %'!S9)</f>
        <v/>
      </c>
      <c r="H9">
        <f>IF('COPY 10 %'!$A9="","",'COPY 10 %'!P9)</f>
        <v/>
      </c>
      <c r="I9">
        <f>IF('COPY 10 %'!$A9="","",'COPY 10 %'!M9)</f>
        <v/>
      </c>
      <c r="J9" s="7">
        <f>IF('COPY 10 %'!$A9="","",'COPY 10 %'!Q9)</f>
        <v/>
      </c>
      <c r="K9" s="7">
        <f>IF('COPY 10 %'!$A9="","",'COPY 10 %'!H9)</f>
        <v/>
      </c>
      <c r="L9" s="7">
        <f>IF('COPY 10 %'!$A9="","",'COPY 10 %'!T9)</f>
        <v/>
      </c>
      <c r="M9">
        <f>IF('COPY 10 %'!$A9="","",'COPY 10 %'!G9)</f>
        <v/>
      </c>
    </row>
    <row r="10">
      <c r="A10">
        <f>IF('COPY 10 %'!$A10="","",ROWS($A$2:$A10))</f>
        <v/>
      </c>
      <c r="B10">
        <f>IF('COPY 10 %'!$A10="","",'COPY 10 %'!E10)</f>
        <v/>
      </c>
      <c r="C10">
        <f>IF('COPY 10 %'!$A10="","",'COPY 10 %'!F10)</f>
        <v/>
      </c>
      <c r="D10" s="14">
        <f>IF('COPY 10 %'!$A10="","",'COPY 10 %'!I10)</f>
        <v/>
      </c>
      <c r="E10" s="7">
        <f>IF('COPY 10 %'!$A10="","",'COPY 10 %'!O10)</f>
        <v/>
      </c>
      <c r="F10" s="7">
        <f>IF('COPY 10 %'!$A10="","",'COPY 10 %'!L10)</f>
        <v/>
      </c>
      <c r="G10" s="7">
        <f>IF('COPY 10 %'!$A10="","",'COPY 10 %'!S10)</f>
        <v/>
      </c>
      <c r="H10">
        <f>IF('COPY 10 %'!$A10="","",'COPY 10 %'!P10)</f>
        <v/>
      </c>
      <c r="I10">
        <f>IF('COPY 10 %'!$A10="","",'COPY 10 %'!M10)</f>
        <v/>
      </c>
      <c r="J10" s="7">
        <f>IF('COPY 10 %'!$A10="","",'COPY 10 %'!Q10)</f>
        <v/>
      </c>
      <c r="K10" s="7">
        <f>IF('COPY 10 %'!$A10="","",'COPY 10 %'!H10)</f>
        <v/>
      </c>
      <c r="L10" s="7">
        <f>IF('COPY 10 %'!$A10="","",'COPY 10 %'!T10)</f>
        <v/>
      </c>
      <c r="M10">
        <f>IF('COPY 10 %'!$A10="","",'COPY 10 %'!G10)</f>
        <v/>
      </c>
    </row>
    <row r="11">
      <c r="A11">
        <f>IF('COPY 10 %'!$A11="","",ROWS($A$2:$A11))</f>
        <v/>
      </c>
      <c r="B11">
        <f>IF('COPY 10 %'!$A11="","",'COPY 10 %'!E11)</f>
        <v/>
      </c>
      <c r="C11">
        <f>IF('COPY 10 %'!$A11="","",'COPY 10 %'!F11)</f>
        <v/>
      </c>
      <c r="D11" s="14">
        <f>IF('COPY 10 %'!$A11="","",'COPY 10 %'!I11)</f>
        <v/>
      </c>
      <c r="E11" s="7">
        <f>IF('COPY 10 %'!$A11="","",'COPY 10 %'!O11)</f>
        <v/>
      </c>
      <c r="F11" s="7">
        <f>IF('COPY 10 %'!$A11="","",'COPY 10 %'!L11)</f>
        <v/>
      </c>
      <c r="G11" s="7">
        <f>IF('COPY 10 %'!$A11="","",'COPY 10 %'!S11)</f>
        <v/>
      </c>
      <c r="H11">
        <f>IF('COPY 10 %'!$A11="","",'COPY 10 %'!P11)</f>
        <v/>
      </c>
      <c r="I11">
        <f>IF('COPY 10 %'!$A11="","",'COPY 10 %'!M11)</f>
        <v/>
      </c>
      <c r="J11" s="7">
        <f>IF('COPY 10 %'!$A11="","",'COPY 10 %'!Q11)</f>
        <v/>
      </c>
      <c r="K11" s="7">
        <f>IF('COPY 10 %'!$A11="","",'COPY 10 %'!H11)</f>
        <v/>
      </c>
      <c r="L11" s="7">
        <f>IF('COPY 10 %'!$A11="","",'COPY 10 %'!T11)</f>
        <v/>
      </c>
      <c r="M11">
        <f>IF('COPY 10 %'!$A11="","",'COPY 10 %'!G11)</f>
        <v/>
      </c>
    </row>
    <row r="12">
      <c r="A12">
        <f>IF('COPY 10 %'!$A12="","",ROWS($A$2:$A12))</f>
        <v/>
      </c>
      <c r="B12">
        <f>IF('COPY 10 %'!$A12="","",'COPY 10 %'!E12)</f>
        <v/>
      </c>
      <c r="C12">
        <f>IF('COPY 10 %'!$A12="","",'COPY 10 %'!F12)</f>
        <v/>
      </c>
      <c r="D12" s="14">
        <f>IF('COPY 10 %'!$A12="","",'COPY 10 %'!I12)</f>
        <v/>
      </c>
      <c r="E12" s="7">
        <f>IF('COPY 10 %'!$A12="","",'COPY 10 %'!O12)</f>
        <v/>
      </c>
      <c r="F12" s="7">
        <f>IF('COPY 10 %'!$A12="","",'COPY 10 %'!L12)</f>
        <v/>
      </c>
      <c r="G12" s="7">
        <f>IF('COPY 10 %'!$A12="","",'COPY 10 %'!S12)</f>
        <v/>
      </c>
      <c r="H12">
        <f>IF('COPY 10 %'!$A12="","",'COPY 10 %'!P12)</f>
        <v/>
      </c>
      <c r="I12">
        <f>IF('COPY 10 %'!$A12="","",'COPY 10 %'!M12)</f>
        <v/>
      </c>
      <c r="J12" s="7">
        <f>IF('COPY 10 %'!$A12="","",'COPY 10 %'!Q12)</f>
        <v/>
      </c>
      <c r="K12" s="7">
        <f>IF('COPY 10 %'!$A12="","",'COPY 10 %'!H12)</f>
        <v/>
      </c>
      <c r="L12" s="7">
        <f>IF('COPY 10 %'!$A12="","",'COPY 10 %'!T12)</f>
        <v/>
      </c>
      <c r="M12">
        <f>IF('COPY 10 %'!$A12="","",'COPY 10 %'!G12)</f>
        <v/>
      </c>
    </row>
    <row r="13">
      <c r="A13">
        <f>IF('COPY 10 %'!$A13="","",ROWS($A$2:$A13))</f>
        <v/>
      </c>
      <c r="B13">
        <f>IF('COPY 10 %'!$A13="","",'COPY 10 %'!E13)</f>
        <v/>
      </c>
      <c r="C13">
        <f>IF('COPY 10 %'!$A13="","",'COPY 10 %'!F13)</f>
        <v/>
      </c>
      <c r="D13" s="14">
        <f>IF('COPY 10 %'!$A13="","",'COPY 10 %'!I13)</f>
        <v/>
      </c>
      <c r="E13" s="7">
        <f>IF('COPY 10 %'!$A13="","",'COPY 10 %'!O13)</f>
        <v/>
      </c>
      <c r="F13" s="7">
        <f>IF('COPY 10 %'!$A13="","",'COPY 10 %'!L13)</f>
        <v/>
      </c>
      <c r="G13" s="7">
        <f>IF('COPY 10 %'!$A13="","",'COPY 10 %'!S13)</f>
        <v/>
      </c>
      <c r="H13">
        <f>IF('COPY 10 %'!$A13="","",'COPY 10 %'!P13)</f>
        <v/>
      </c>
      <c r="I13">
        <f>IF('COPY 10 %'!$A13="","",'COPY 10 %'!M13)</f>
        <v/>
      </c>
      <c r="J13" s="7">
        <f>IF('COPY 10 %'!$A13="","",'COPY 10 %'!Q13)</f>
        <v/>
      </c>
      <c r="K13" s="7">
        <f>IF('COPY 10 %'!$A13="","",'COPY 10 %'!H13)</f>
        <v/>
      </c>
      <c r="L13" s="7">
        <f>IF('COPY 10 %'!$A13="","",'COPY 10 %'!T13)</f>
        <v/>
      </c>
      <c r="M13">
        <f>IF('COPY 10 %'!$A13="","",'COPY 10 %'!G13)</f>
        <v/>
      </c>
    </row>
    <row r="14">
      <c r="A14">
        <f>IF('COPY 10 %'!$A14="","",ROWS($A$2:$A14))</f>
        <v/>
      </c>
      <c r="B14">
        <f>IF('COPY 10 %'!$A14="","",'COPY 10 %'!E14)</f>
        <v/>
      </c>
      <c r="C14">
        <f>IF('COPY 10 %'!$A14="","",'COPY 10 %'!F14)</f>
        <v/>
      </c>
      <c r="D14" s="14">
        <f>IF('COPY 10 %'!$A14="","",'COPY 10 %'!I14)</f>
        <v/>
      </c>
      <c r="E14" s="7">
        <f>IF('COPY 10 %'!$A14="","",'COPY 10 %'!O14)</f>
        <v/>
      </c>
      <c r="F14" s="7">
        <f>IF('COPY 10 %'!$A14="","",'COPY 10 %'!L14)</f>
        <v/>
      </c>
      <c r="G14" s="7">
        <f>IF('COPY 10 %'!$A14="","",'COPY 10 %'!S14)</f>
        <v/>
      </c>
      <c r="H14">
        <f>IF('COPY 10 %'!$A14="","",'COPY 10 %'!P14)</f>
        <v/>
      </c>
      <c r="I14">
        <f>IF('COPY 10 %'!$A14="","",'COPY 10 %'!M14)</f>
        <v/>
      </c>
      <c r="J14" s="7">
        <f>IF('COPY 10 %'!$A14="","",'COPY 10 %'!Q14)</f>
        <v/>
      </c>
      <c r="K14" s="7">
        <f>IF('COPY 10 %'!$A14="","",'COPY 10 %'!H14)</f>
        <v/>
      </c>
      <c r="L14" s="7">
        <f>IF('COPY 10 %'!$A14="","",'COPY 10 %'!T14)</f>
        <v/>
      </c>
      <c r="M14">
        <f>IF('COPY 10 %'!$A14="","",'COPY 10 %'!G14)</f>
        <v/>
      </c>
    </row>
    <row r="15">
      <c r="A15">
        <f>IF('COPY 10 %'!$A15="","",ROWS($A$2:$A15))</f>
        <v/>
      </c>
      <c r="B15">
        <f>IF('COPY 10 %'!$A15="","",'COPY 10 %'!E15)</f>
        <v/>
      </c>
      <c r="C15">
        <f>IF('COPY 10 %'!$A15="","",'COPY 10 %'!F15)</f>
        <v/>
      </c>
      <c r="D15" s="14">
        <f>IF('COPY 10 %'!$A15="","",'COPY 10 %'!I15)</f>
        <v/>
      </c>
      <c r="E15" s="7">
        <f>IF('COPY 10 %'!$A15="","",'COPY 10 %'!O15)</f>
        <v/>
      </c>
      <c r="F15" s="7">
        <f>IF('COPY 10 %'!$A15="","",'COPY 10 %'!L15)</f>
        <v/>
      </c>
      <c r="G15" s="7">
        <f>IF('COPY 10 %'!$A15="","",'COPY 10 %'!S15)</f>
        <v/>
      </c>
      <c r="H15">
        <f>IF('COPY 10 %'!$A15="","",'COPY 10 %'!P15)</f>
        <v/>
      </c>
      <c r="I15">
        <f>IF('COPY 10 %'!$A15="","",'COPY 10 %'!M15)</f>
        <v/>
      </c>
      <c r="J15" s="7">
        <f>IF('COPY 10 %'!$A15="","",'COPY 10 %'!Q15)</f>
        <v/>
      </c>
      <c r="K15" s="7">
        <f>IF('COPY 10 %'!$A15="","",'COPY 10 %'!H15)</f>
        <v/>
      </c>
      <c r="L15" s="7">
        <f>IF('COPY 10 %'!$A15="","",'COPY 10 %'!T15)</f>
        <v/>
      </c>
      <c r="M15">
        <f>IF('COPY 10 %'!$A15="","",'COPY 10 %'!G15)</f>
        <v/>
      </c>
    </row>
    <row r="16">
      <c r="A16">
        <f>IF('COPY 10 %'!$A16="","",ROWS($A$2:$A16))</f>
        <v/>
      </c>
      <c r="B16">
        <f>IF('COPY 10 %'!$A16="","",'COPY 10 %'!E16)</f>
        <v/>
      </c>
      <c r="C16">
        <f>IF('COPY 10 %'!$A16="","",'COPY 10 %'!F16)</f>
        <v/>
      </c>
      <c r="D16" s="14">
        <f>IF('COPY 10 %'!$A16="","",'COPY 10 %'!I16)</f>
        <v/>
      </c>
      <c r="E16" s="7">
        <f>IF('COPY 10 %'!$A16="","",'COPY 10 %'!O16)</f>
        <v/>
      </c>
      <c r="F16" s="7">
        <f>IF('COPY 10 %'!$A16="","",'COPY 10 %'!L16)</f>
        <v/>
      </c>
      <c r="G16" s="7">
        <f>IF('COPY 10 %'!$A16="","",'COPY 10 %'!S16)</f>
        <v/>
      </c>
      <c r="H16">
        <f>IF('COPY 10 %'!$A16="","",'COPY 10 %'!P16)</f>
        <v/>
      </c>
      <c r="I16">
        <f>IF('COPY 10 %'!$A16="","",'COPY 10 %'!M16)</f>
        <v/>
      </c>
      <c r="J16" s="7">
        <f>IF('COPY 10 %'!$A16="","",'COPY 10 %'!Q16)</f>
        <v/>
      </c>
      <c r="K16" s="7">
        <f>IF('COPY 10 %'!$A16="","",'COPY 10 %'!H16)</f>
        <v/>
      </c>
      <c r="L16" s="7">
        <f>IF('COPY 10 %'!$A16="","",'COPY 10 %'!T16)</f>
        <v/>
      </c>
      <c r="M16">
        <f>IF('COPY 10 %'!$A16="","",'COPY 10 %'!G16)</f>
        <v/>
      </c>
    </row>
    <row r="17">
      <c r="A17">
        <f>IF('COPY 10 %'!$A17="","",ROWS($A$2:$A17))</f>
        <v/>
      </c>
      <c r="B17">
        <f>IF('COPY 10 %'!$A17="","",'COPY 10 %'!E17)</f>
        <v/>
      </c>
      <c r="C17">
        <f>IF('COPY 10 %'!$A17="","",'COPY 10 %'!F17)</f>
        <v/>
      </c>
      <c r="D17" s="14">
        <f>IF('COPY 10 %'!$A17="","",'COPY 10 %'!I17)</f>
        <v/>
      </c>
      <c r="E17" s="7">
        <f>IF('COPY 10 %'!$A17="","",'COPY 10 %'!O17)</f>
        <v/>
      </c>
      <c r="F17" s="7">
        <f>IF('COPY 10 %'!$A17="","",'COPY 10 %'!L17)</f>
        <v/>
      </c>
      <c r="G17" s="7">
        <f>IF('COPY 10 %'!$A17="","",'COPY 10 %'!S17)</f>
        <v/>
      </c>
      <c r="H17">
        <f>IF('COPY 10 %'!$A17="","",'COPY 10 %'!P17)</f>
        <v/>
      </c>
      <c r="I17">
        <f>IF('COPY 10 %'!$A17="","",'COPY 10 %'!M17)</f>
        <v/>
      </c>
      <c r="J17" s="7">
        <f>IF('COPY 10 %'!$A17="","",'COPY 10 %'!Q17)</f>
        <v/>
      </c>
      <c r="K17" s="7">
        <f>IF('COPY 10 %'!$A17="","",'COPY 10 %'!H17)</f>
        <v/>
      </c>
      <c r="L17" s="7">
        <f>IF('COPY 10 %'!$A17="","",'COPY 10 %'!T17)</f>
        <v/>
      </c>
      <c r="M17">
        <f>IF('COPY 10 %'!$A17="","",'COPY 10 %'!G17)</f>
        <v/>
      </c>
    </row>
    <row r="18">
      <c r="A18">
        <f>IF('COPY 10 %'!$A18="","",ROWS($A$2:$A18))</f>
        <v/>
      </c>
      <c r="B18">
        <f>IF('COPY 10 %'!$A18="","",'COPY 10 %'!E18)</f>
        <v/>
      </c>
      <c r="C18">
        <f>IF('COPY 10 %'!$A18="","",'COPY 10 %'!F18)</f>
        <v/>
      </c>
      <c r="D18" s="14">
        <f>IF('COPY 10 %'!$A18="","",'COPY 10 %'!I18)</f>
        <v/>
      </c>
      <c r="E18" s="7">
        <f>IF('COPY 10 %'!$A18="","",'COPY 10 %'!O18)</f>
        <v/>
      </c>
      <c r="F18" s="7">
        <f>IF('COPY 10 %'!$A18="","",'COPY 10 %'!L18)</f>
        <v/>
      </c>
      <c r="G18" s="7">
        <f>IF('COPY 10 %'!$A18="","",'COPY 10 %'!S18)</f>
        <v/>
      </c>
      <c r="H18">
        <f>IF('COPY 10 %'!$A18="","",'COPY 10 %'!P18)</f>
        <v/>
      </c>
      <c r="I18">
        <f>IF('COPY 10 %'!$A18="","",'COPY 10 %'!M18)</f>
        <v/>
      </c>
      <c r="J18" s="7">
        <f>IF('COPY 10 %'!$A18="","",'COPY 10 %'!Q18)</f>
        <v/>
      </c>
      <c r="K18" s="7">
        <f>IF('COPY 10 %'!$A18="","",'COPY 10 %'!H18)</f>
        <v/>
      </c>
      <c r="L18" s="7">
        <f>IF('COPY 10 %'!$A18="","",'COPY 10 %'!T18)</f>
        <v/>
      </c>
      <c r="M18">
        <f>IF('COPY 10 %'!$A18="","",'COPY 10 %'!G18)</f>
        <v/>
      </c>
    </row>
    <row r="19">
      <c r="A19">
        <f>IF('COPY 10 %'!$A19="","",ROWS($A$2:$A19))</f>
        <v/>
      </c>
      <c r="B19">
        <f>IF('COPY 10 %'!$A19="","",'COPY 10 %'!E19)</f>
        <v/>
      </c>
      <c r="C19">
        <f>IF('COPY 10 %'!$A19="","",'COPY 10 %'!F19)</f>
        <v/>
      </c>
      <c r="D19" s="14">
        <f>IF('COPY 10 %'!$A19="","",'COPY 10 %'!I19)</f>
        <v/>
      </c>
      <c r="E19" s="7">
        <f>IF('COPY 10 %'!$A19="","",'COPY 10 %'!O19)</f>
        <v/>
      </c>
      <c r="F19" s="7">
        <f>IF('COPY 10 %'!$A19="","",'COPY 10 %'!L19)</f>
        <v/>
      </c>
      <c r="G19" s="7">
        <f>IF('COPY 10 %'!$A19="","",'COPY 10 %'!S19)</f>
        <v/>
      </c>
      <c r="H19">
        <f>IF('COPY 10 %'!$A19="","",'COPY 10 %'!P19)</f>
        <v/>
      </c>
      <c r="I19">
        <f>IF('COPY 10 %'!$A19="","",'COPY 10 %'!M19)</f>
        <v/>
      </c>
      <c r="J19" s="7">
        <f>IF('COPY 10 %'!$A19="","",'COPY 10 %'!Q19)</f>
        <v/>
      </c>
      <c r="K19" s="7">
        <f>IF('COPY 10 %'!$A19="","",'COPY 10 %'!H19)</f>
        <v/>
      </c>
      <c r="L19" s="7">
        <f>IF('COPY 10 %'!$A19="","",'COPY 10 %'!T19)</f>
        <v/>
      </c>
      <c r="M19">
        <f>IF('COPY 10 %'!$A19="","",'COPY 10 %'!G19)</f>
        <v/>
      </c>
    </row>
    <row r="20">
      <c r="A20">
        <f>IF('COPY 10 %'!$A20="","",ROWS($A$2:$A20))</f>
        <v/>
      </c>
      <c r="B20">
        <f>IF('COPY 10 %'!$A20="","",'COPY 10 %'!E20)</f>
        <v/>
      </c>
      <c r="C20">
        <f>IF('COPY 10 %'!$A20="","",'COPY 10 %'!F20)</f>
        <v/>
      </c>
      <c r="D20" s="14">
        <f>IF('COPY 10 %'!$A20="","",'COPY 10 %'!I20)</f>
        <v/>
      </c>
      <c r="E20" s="7">
        <f>IF('COPY 10 %'!$A20="","",'COPY 10 %'!O20)</f>
        <v/>
      </c>
      <c r="F20" s="7">
        <f>IF('COPY 10 %'!$A20="","",'COPY 10 %'!L20)</f>
        <v/>
      </c>
      <c r="G20" s="7">
        <f>IF('COPY 10 %'!$A20="","",'COPY 10 %'!S20)</f>
        <v/>
      </c>
      <c r="H20">
        <f>IF('COPY 10 %'!$A20="","",'COPY 10 %'!P20)</f>
        <v/>
      </c>
      <c r="I20">
        <f>IF('COPY 10 %'!$A20="","",'COPY 10 %'!M20)</f>
        <v/>
      </c>
      <c r="J20" s="7">
        <f>IF('COPY 10 %'!$A20="","",'COPY 10 %'!Q20)</f>
        <v/>
      </c>
      <c r="K20" s="7">
        <f>IF('COPY 10 %'!$A20="","",'COPY 10 %'!H20)</f>
        <v/>
      </c>
      <c r="L20" s="7">
        <f>IF('COPY 10 %'!$A20="","",'COPY 10 %'!T20)</f>
        <v/>
      </c>
      <c r="M20">
        <f>IF('COPY 10 %'!$A20="","",'COPY 10 %'!G20)</f>
        <v/>
      </c>
    </row>
    <row r="21">
      <c r="A21">
        <f>IF('COPY 10 %'!$A21="","",ROWS($A$2:$A21))</f>
        <v/>
      </c>
      <c r="B21">
        <f>IF('COPY 10 %'!$A21="","",'COPY 10 %'!E21)</f>
        <v/>
      </c>
      <c r="C21">
        <f>IF('COPY 10 %'!$A21="","",'COPY 10 %'!F21)</f>
        <v/>
      </c>
      <c r="D21" s="14">
        <f>IF('COPY 10 %'!$A21="","",'COPY 10 %'!I21)</f>
        <v/>
      </c>
      <c r="E21" s="7">
        <f>IF('COPY 10 %'!$A21="","",'COPY 10 %'!O21)</f>
        <v/>
      </c>
      <c r="F21" s="7">
        <f>IF('COPY 10 %'!$A21="","",'COPY 10 %'!L21)</f>
        <v/>
      </c>
      <c r="G21" s="7">
        <f>IF('COPY 10 %'!$A21="","",'COPY 10 %'!S21)</f>
        <v/>
      </c>
      <c r="H21">
        <f>IF('COPY 10 %'!$A21="","",'COPY 10 %'!P21)</f>
        <v/>
      </c>
      <c r="I21">
        <f>IF('COPY 10 %'!$A21="","",'COPY 10 %'!M21)</f>
        <v/>
      </c>
      <c r="J21" s="7">
        <f>IF('COPY 10 %'!$A21="","",'COPY 10 %'!Q21)</f>
        <v/>
      </c>
      <c r="K21" s="7">
        <f>IF('COPY 10 %'!$A21="","",'COPY 10 %'!H21)</f>
        <v/>
      </c>
      <c r="L21" s="7">
        <f>IF('COPY 10 %'!$A21="","",'COPY 10 %'!T21)</f>
        <v/>
      </c>
      <c r="M21">
        <f>IF('COPY 10 %'!$A21="","",'COPY 10 %'!G21)</f>
        <v/>
      </c>
    </row>
    <row r="22">
      <c r="A22">
        <f>IF('COPY 10 %'!$A22="","",ROWS($A$2:$A22))</f>
        <v/>
      </c>
      <c r="B22">
        <f>IF('COPY 10 %'!$A22="","",'COPY 10 %'!E22)</f>
        <v/>
      </c>
      <c r="C22">
        <f>IF('COPY 10 %'!$A22="","",'COPY 10 %'!F22)</f>
        <v/>
      </c>
      <c r="D22" s="14">
        <f>IF('COPY 10 %'!$A22="","",'COPY 10 %'!I22)</f>
        <v/>
      </c>
      <c r="E22" s="7">
        <f>IF('COPY 10 %'!$A22="","",'COPY 10 %'!O22)</f>
        <v/>
      </c>
      <c r="F22" s="7">
        <f>IF('COPY 10 %'!$A22="","",'COPY 10 %'!L22)</f>
        <v/>
      </c>
      <c r="G22" s="7">
        <f>IF('COPY 10 %'!$A22="","",'COPY 10 %'!S22)</f>
        <v/>
      </c>
      <c r="H22">
        <f>IF('COPY 10 %'!$A22="","",'COPY 10 %'!P22)</f>
        <v/>
      </c>
      <c r="I22">
        <f>IF('COPY 10 %'!$A22="","",'COPY 10 %'!M22)</f>
        <v/>
      </c>
      <c r="J22" s="7">
        <f>IF('COPY 10 %'!$A22="","",'COPY 10 %'!Q22)</f>
        <v/>
      </c>
      <c r="K22" s="7">
        <f>IF('COPY 10 %'!$A22="","",'COPY 10 %'!H22)</f>
        <v/>
      </c>
      <c r="L22" s="7">
        <f>IF('COPY 10 %'!$A22="","",'COPY 10 %'!T22)</f>
        <v/>
      </c>
      <c r="M22">
        <f>IF('COPY 10 %'!$A22="","",'COPY 10 %'!G22)</f>
        <v/>
      </c>
    </row>
    <row r="23">
      <c r="A23">
        <f>IF('COPY 10 %'!$A23="","",ROWS($A$2:$A23))</f>
        <v/>
      </c>
      <c r="B23">
        <f>IF('COPY 10 %'!$A23="","",'COPY 10 %'!E23)</f>
        <v/>
      </c>
      <c r="C23">
        <f>IF('COPY 10 %'!$A23="","",'COPY 10 %'!F23)</f>
        <v/>
      </c>
      <c r="D23" s="14">
        <f>IF('COPY 10 %'!$A23="","",'COPY 10 %'!I23)</f>
        <v/>
      </c>
      <c r="E23" s="7">
        <f>IF('COPY 10 %'!$A23="","",'COPY 10 %'!O23)</f>
        <v/>
      </c>
      <c r="F23" s="7">
        <f>IF('COPY 10 %'!$A23="","",'COPY 10 %'!L23)</f>
        <v/>
      </c>
      <c r="G23" s="7">
        <f>IF('COPY 10 %'!$A23="","",'COPY 10 %'!S23)</f>
        <v/>
      </c>
      <c r="H23">
        <f>IF('COPY 10 %'!$A23="","",'COPY 10 %'!P23)</f>
        <v/>
      </c>
      <c r="I23">
        <f>IF('COPY 10 %'!$A23="","",'COPY 10 %'!M23)</f>
        <v/>
      </c>
      <c r="J23" s="7">
        <f>IF('COPY 10 %'!$A23="","",'COPY 10 %'!Q23)</f>
        <v/>
      </c>
      <c r="K23" s="7">
        <f>IF('COPY 10 %'!$A23="","",'COPY 10 %'!H23)</f>
        <v/>
      </c>
      <c r="L23" s="7">
        <f>IF('COPY 10 %'!$A23="","",'COPY 10 %'!T23)</f>
        <v/>
      </c>
      <c r="M23">
        <f>IF('COPY 10 %'!$A23="","",'COPY 10 %'!G23)</f>
        <v/>
      </c>
    </row>
    <row r="24">
      <c r="A24">
        <f>IF('COPY 10 %'!$A24="","",ROWS($A$2:$A24))</f>
        <v/>
      </c>
      <c r="B24">
        <f>IF('COPY 10 %'!$A24="","",'COPY 10 %'!E24)</f>
        <v/>
      </c>
      <c r="C24">
        <f>IF('COPY 10 %'!$A24="","",'COPY 10 %'!F24)</f>
        <v/>
      </c>
      <c r="D24" s="14">
        <f>IF('COPY 10 %'!$A24="","",'COPY 10 %'!I24)</f>
        <v/>
      </c>
      <c r="E24" s="7">
        <f>IF('COPY 10 %'!$A24="","",'COPY 10 %'!O24)</f>
        <v/>
      </c>
      <c r="F24" s="7">
        <f>IF('COPY 10 %'!$A24="","",'COPY 10 %'!L24)</f>
        <v/>
      </c>
      <c r="G24" s="7">
        <f>IF('COPY 10 %'!$A24="","",'COPY 10 %'!S24)</f>
        <v/>
      </c>
      <c r="H24">
        <f>IF('COPY 10 %'!$A24="","",'COPY 10 %'!P24)</f>
        <v/>
      </c>
      <c r="I24">
        <f>IF('COPY 10 %'!$A24="","",'COPY 10 %'!M24)</f>
        <v/>
      </c>
      <c r="J24" s="7">
        <f>IF('COPY 10 %'!$A24="","",'COPY 10 %'!Q24)</f>
        <v/>
      </c>
      <c r="K24" s="7">
        <f>IF('COPY 10 %'!$A24="","",'COPY 10 %'!H24)</f>
        <v/>
      </c>
      <c r="L24" s="7">
        <f>IF('COPY 10 %'!$A24="","",'COPY 10 %'!T24)</f>
        <v/>
      </c>
      <c r="M24">
        <f>IF('COPY 10 %'!$A24="","",'COPY 10 %'!G24)</f>
        <v/>
      </c>
    </row>
    <row r="25">
      <c r="A25">
        <f>IF('COPY 10 %'!$A25="","",ROWS($A$2:$A25))</f>
        <v/>
      </c>
      <c r="B25">
        <f>IF('COPY 10 %'!$A25="","",'COPY 10 %'!E25)</f>
        <v/>
      </c>
      <c r="C25">
        <f>IF('COPY 10 %'!$A25="","",'COPY 10 %'!F25)</f>
        <v/>
      </c>
      <c r="D25" s="14">
        <f>IF('COPY 10 %'!$A25="","",'COPY 10 %'!I25)</f>
        <v/>
      </c>
      <c r="E25" s="7">
        <f>IF('COPY 10 %'!$A25="","",'COPY 10 %'!O25)</f>
        <v/>
      </c>
      <c r="F25" s="7">
        <f>IF('COPY 10 %'!$A25="","",'COPY 10 %'!L25)</f>
        <v/>
      </c>
      <c r="G25" s="7">
        <f>IF('COPY 10 %'!$A25="","",'COPY 10 %'!S25)</f>
        <v/>
      </c>
      <c r="H25">
        <f>IF('COPY 10 %'!$A25="","",'COPY 10 %'!P25)</f>
        <v/>
      </c>
      <c r="I25">
        <f>IF('COPY 10 %'!$A25="","",'COPY 10 %'!M25)</f>
        <v/>
      </c>
      <c r="J25" s="7">
        <f>IF('COPY 10 %'!$A25="","",'COPY 10 %'!Q25)</f>
        <v/>
      </c>
      <c r="K25" s="7">
        <f>IF('COPY 10 %'!$A25="","",'COPY 10 %'!H25)</f>
        <v/>
      </c>
      <c r="L25" s="7">
        <f>IF('COPY 10 %'!$A25="","",'COPY 10 %'!T25)</f>
        <v/>
      </c>
      <c r="M25">
        <f>IF('COPY 10 %'!$A25="","",'COPY 10 %'!G25)</f>
        <v/>
      </c>
    </row>
    <row r="26">
      <c r="A26">
        <f>IF('COPY 10 %'!$A26="","",ROWS($A$2:$A26))</f>
        <v/>
      </c>
      <c r="B26">
        <f>IF('COPY 10 %'!$A26="","",'COPY 10 %'!E26)</f>
        <v/>
      </c>
      <c r="C26">
        <f>IF('COPY 10 %'!$A26="","",'COPY 10 %'!F26)</f>
        <v/>
      </c>
      <c r="D26" s="14">
        <f>IF('COPY 10 %'!$A26="","",'COPY 10 %'!I26)</f>
        <v/>
      </c>
      <c r="E26" s="7">
        <f>IF('COPY 10 %'!$A26="","",'COPY 10 %'!O26)</f>
        <v/>
      </c>
      <c r="F26" s="7">
        <f>IF('COPY 10 %'!$A26="","",'COPY 10 %'!L26)</f>
        <v/>
      </c>
      <c r="G26" s="7">
        <f>IF('COPY 10 %'!$A26="","",'COPY 10 %'!S26)</f>
        <v/>
      </c>
      <c r="H26">
        <f>IF('COPY 10 %'!$A26="","",'COPY 10 %'!P26)</f>
        <v/>
      </c>
      <c r="I26">
        <f>IF('COPY 10 %'!$A26="","",'COPY 10 %'!M26)</f>
        <v/>
      </c>
      <c r="J26" s="7">
        <f>IF('COPY 10 %'!$A26="","",'COPY 10 %'!Q26)</f>
        <v/>
      </c>
      <c r="K26" s="7">
        <f>IF('COPY 10 %'!$A26="","",'COPY 10 %'!H26)</f>
        <v/>
      </c>
      <c r="L26" s="7">
        <f>IF('COPY 10 %'!$A26="","",'COPY 10 %'!T26)</f>
        <v/>
      </c>
      <c r="M26">
        <f>IF('COPY 10 %'!$A26="","",'COPY 10 %'!G26)</f>
        <v/>
      </c>
    </row>
    <row r="27">
      <c r="A27">
        <f>IF('COPY 10 %'!$A27="","",ROWS($A$2:$A27))</f>
        <v/>
      </c>
      <c r="B27">
        <f>IF('COPY 10 %'!$A27="","",'COPY 10 %'!E27)</f>
        <v/>
      </c>
      <c r="C27">
        <f>IF('COPY 10 %'!$A27="","",'COPY 10 %'!F27)</f>
        <v/>
      </c>
      <c r="D27" s="14">
        <f>IF('COPY 10 %'!$A27="","",'COPY 10 %'!I27)</f>
        <v/>
      </c>
      <c r="E27" s="7">
        <f>IF('COPY 10 %'!$A27="","",'COPY 10 %'!O27)</f>
        <v/>
      </c>
      <c r="F27" s="7">
        <f>IF('COPY 10 %'!$A27="","",'COPY 10 %'!L27)</f>
        <v/>
      </c>
      <c r="G27" s="7">
        <f>IF('COPY 10 %'!$A27="","",'COPY 10 %'!S27)</f>
        <v/>
      </c>
      <c r="H27">
        <f>IF('COPY 10 %'!$A27="","",'COPY 10 %'!P27)</f>
        <v/>
      </c>
      <c r="I27">
        <f>IF('COPY 10 %'!$A27="","",'COPY 10 %'!M27)</f>
        <v/>
      </c>
      <c r="J27" s="7">
        <f>IF('COPY 10 %'!$A27="","",'COPY 10 %'!Q27)</f>
        <v/>
      </c>
      <c r="K27" s="7">
        <f>IF('COPY 10 %'!$A27="","",'COPY 10 %'!H27)</f>
        <v/>
      </c>
      <c r="L27" s="7">
        <f>IF('COPY 10 %'!$A27="","",'COPY 10 %'!T27)</f>
        <v/>
      </c>
      <c r="M27">
        <f>IF('COPY 10 %'!$A27="","",'COPY 10 %'!G27)</f>
        <v/>
      </c>
    </row>
    <row r="28">
      <c r="A28">
        <f>IF('COPY 10 %'!$A28="","",ROWS($A$2:$A28))</f>
        <v/>
      </c>
      <c r="B28">
        <f>IF('COPY 10 %'!$A28="","",'COPY 10 %'!E28)</f>
        <v/>
      </c>
      <c r="C28">
        <f>IF('COPY 10 %'!$A28="","",'COPY 10 %'!F28)</f>
        <v/>
      </c>
      <c r="D28" s="14">
        <f>IF('COPY 10 %'!$A28="","",'COPY 10 %'!I28)</f>
        <v/>
      </c>
      <c r="E28" s="7">
        <f>IF('COPY 10 %'!$A28="","",'COPY 10 %'!O28)</f>
        <v/>
      </c>
      <c r="F28" s="7">
        <f>IF('COPY 10 %'!$A28="","",'COPY 10 %'!L28)</f>
        <v/>
      </c>
      <c r="G28" s="7">
        <f>IF('COPY 10 %'!$A28="","",'COPY 10 %'!S28)</f>
        <v/>
      </c>
      <c r="H28">
        <f>IF('COPY 10 %'!$A28="","",'COPY 10 %'!P28)</f>
        <v/>
      </c>
      <c r="I28">
        <f>IF('COPY 10 %'!$A28="","",'COPY 10 %'!M28)</f>
        <v/>
      </c>
      <c r="J28" s="7">
        <f>IF('COPY 10 %'!$A28="","",'COPY 10 %'!Q28)</f>
        <v/>
      </c>
      <c r="K28" s="7">
        <f>IF('COPY 10 %'!$A28="","",'COPY 10 %'!H28)</f>
        <v/>
      </c>
      <c r="L28" s="7">
        <f>IF('COPY 10 %'!$A28="","",'COPY 10 %'!T28)</f>
        <v/>
      </c>
      <c r="M28">
        <f>IF('COPY 10 %'!$A28="","",'COPY 10 %'!G28)</f>
        <v/>
      </c>
    </row>
    <row r="29">
      <c r="A29">
        <f>IF('COPY 10 %'!$A29="","",ROWS($A$2:$A29))</f>
        <v/>
      </c>
      <c r="B29">
        <f>IF('COPY 10 %'!$A29="","",'COPY 10 %'!E29)</f>
        <v/>
      </c>
      <c r="C29">
        <f>IF('COPY 10 %'!$A29="","",'COPY 10 %'!F29)</f>
        <v/>
      </c>
      <c r="D29" s="14">
        <f>IF('COPY 10 %'!$A29="","",'COPY 10 %'!I29)</f>
        <v/>
      </c>
      <c r="E29" s="7">
        <f>IF('COPY 10 %'!$A29="","",'COPY 10 %'!O29)</f>
        <v/>
      </c>
      <c r="F29" s="7">
        <f>IF('COPY 10 %'!$A29="","",'COPY 10 %'!L29)</f>
        <v/>
      </c>
      <c r="G29" s="7">
        <f>IF('COPY 10 %'!$A29="","",'COPY 10 %'!S29)</f>
        <v/>
      </c>
      <c r="H29">
        <f>IF('COPY 10 %'!$A29="","",'COPY 10 %'!P29)</f>
        <v/>
      </c>
      <c r="I29">
        <f>IF('COPY 10 %'!$A29="","",'COPY 10 %'!M29)</f>
        <v/>
      </c>
      <c r="J29" s="7">
        <f>IF('COPY 10 %'!$A29="","",'COPY 10 %'!Q29)</f>
        <v/>
      </c>
      <c r="K29" s="7">
        <f>IF('COPY 10 %'!$A29="","",'COPY 10 %'!H29)</f>
        <v/>
      </c>
      <c r="L29" s="7">
        <f>IF('COPY 10 %'!$A29="","",'COPY 10 %'!T29)</f>
        <v/>
      </c>
      <c r="M29">
        <f>IF('COPY 10 %'!$A29="","",'COPY 10 %'!G29)</f>
        <v/>
      </c>
    </row>
    <row r="30">
      <c r="A30">
        <f>IF('COPY 10 %'!$A30="","",ROWS($A$2:$A30))</f>
        <v/>
      </c>
      <c r="B30">
        <f>IF('COPY 10 %'!$A30="","",'COPY 10 %'!E30)</f>
        <v/>
      </c>
      <c r="C30">
        <f>IF('COPY 10 %'!$A30="","",'COPY 10 %'!F30)</f>
        <v/>
      </c>
      <c r="D30" s="14">
        <f>IF('COPY 10 %'!$A30="","",'COPY 10 %'!I30)</f>
        <v/>
      </c>
      <c r="E30" s="7">
        <f>IF('COPY 10 %'!$A30="","",'COPY 10 %'!O30)</f>
        <v/>
      </c>
      <c r="F30" s="7">
        <f>IF('COPY 10 %'!$A30="","",'COPY 10 %'!L30)</f>
        <v/>
      </c>
      <c r="G30" s="7">
        <f>IF('COPY 10 %'!$A30="","",'COPY 10 %'!S30)</f>
        <v/>
      </c>
      <c r="H30">
        <f>IF('COPY 10 %'!$A30="","",'COPY 10 %'!P30)</f>
        <v/>
      </c>
      <c r="I30">
        <f>IF('COPY 10 %'!$A30="","",'COPY 10 %'!M30)</f>
        <v/>
      </c>
      <c r="J30" s="7">
        <f>IF('COPY 10 %'!$A30="","",'COPY 10 %'!Q30)</f>
        <v/>
      </c>
      <c r="K30" s="7">
        <f>IF('COPY 10 %'!$A30="","",'COPY 10 %'!H30)</f>
        <v/>
      </c>
      <c r="L30" s="7">
        <f>IF('COPY 10 %'!$A30="","",'COPY 10 %'!T30)</f>
        <v/>
      </c>
      <c r="M30">
        <f>IF('COPY 10 %'!$A30="","",'COPY 10 %'!G30)</f>
        <v/>
      </c>
    </row>
    <row r="31">
      <c r="A31">
        <f>IF('COPY 10 %'!$A31="","",ROWS($A$2:$A31))</f>
        <v/>
      </c>
      <c r="B31">
        <f>IF('COPY 10 %'!$A31="","",'COPY 10 %'!E31)</f>
        <v/>
      </c>
      <c r="C31">
        <f>IF('COPY 10 %'!$A31="","",'COPY 10 %'!F31)</f>
        <v/>
      </c>
      <c r="D31" s="14">
        <f>IF('COPY 10 %'!$A31="","",'COPY 10 %'!I31)</f>
        <v/>
      </c>
      <c r="E31" s="7">
        <f>IF('COPY 10 %'!$A31="","",'COPY 10 %'!O31)</f>
        <v/>
      </c>
      <c r="F31" s="7">
        <f>IF('COPY 10 %'!$A31="","",'COPY 10 %'!L31)</f>
        <v/>
      </c>
      <c r="G31" s="7">
        <f>IF('COPY 10 %'!$A31="","",'COPY 10 %'!S31)</f>
        <v/>
      </c>
      <c r="H31">
        <f>IF('COPY 10 %'!$A31="","",'COPY 10 %'!P31)</f>
        <v/>
      </c>
      <c r="I31">
        <f>IF('COPY 10 %'!$A31="","",'COPY 10 %'!M31)</f>
        <v/>
      </c>
      <c r="J31" s="7">
        <f>IF('COPY 10 %'!$A31="","",'COPY 10 %'!Q31)</f>
        <v/>
      </c>
      <c r="K31" s="7">
        <f>IF('COPY 10 %'!$A31="","",'COPY 10 %'!H31)</f>
        <v/>
      </c>
      <c r="L31" s="7">
        <f>IF('COPY 10 %'!$A31="","",'COPY 10 %'!T31)</f>
        <v/>
      </c>
      <c r="M31">
        <f>IF('COPY 10 %'!$A31="","",'COPY 10 %'!G31)</f>
        <v/>
      </c>
    </row>
    <row r="32">
      <c r="A32">
        <f>IF('COPY 10 %'!$A32="","",ROWS($A$2:$A32))</f>
        <v/>
      </c>
      <c r="B32">
        <f>IF('COPY 10 %'!$A32="","",'COPY 10 %'!E32)</f>
        <v/>
      </c>
      <c r="C32">
        <f>IF('COPY 10 %'!$A32="","",'COPY 10 %'!F32)</f>
        <v/>
      </c>
      <c r="D32" s="14">
        <f>IF('COPY 10 %'!$A32="","",'COPY 10 %'!I32)</f>
        <v/>
      </c>
      <c r="E32" s="7">
        <f>IF('COPY 10 %'!$A32="","",'COPY 10 %'!O32)</f>
        <v/>
      </c>
      <c r="F32" s="7">
        <f>IF('COPY 10 %'!$A32="","",'COPY 10 %'!L32)</f>
        <v/>
      </c>
      <c r="G32" s="7">
        <f>IF('COPY 10 %'!$A32="","",'COPY 10 %'!S32)</f>
        <v/>
      </c>
      <c r="H32">
        <f>IF('COPY 10 %'!$A32="","",'COPY 10 %'!P32)</f>
        <v/>
      </c>
      <c r="I32">
        <f>IF('COPY 10 %'!$A32="","",'COPY 10 %'!M32)</f>
        <v/>
      </c>
      <c r="J32" s="7">
        <f>IF('COPY 10 %'!$A32="","",'COPY 10 %'!Q32)</f>
        <v/>
      </c>
      <c r="K32" s="7">
        <f>IF('COPY 10 %'!$A32="","",'COPY 10 %'!H32)</f>
        <v/>
      </c>
      <c r="L32" s="7">
        <f>IF('COPY 10 %'!$A32="","",'COPY 10 %'!T32)</f>
        <v/>
      </c>
      <c r="M32">
        <f>IF('COPY 10 %'!$A32="","",'COPY 10 %'!G32)</f>
        <v/>
      </c>
    </row>
    <row r="33">
      <c r="A33">
        <f>IF('COPY 10 %'!$A33="","",ROWS($A$2:$A33))</f>
        <v/>
      </c>
      <c r="B33">
        <f>IF('COPY 10 %'!$A33="","",'COPY 10 %'!E33)</f>
        <v/>
      </c>
      <c r="C33">
        <f>IF('COPY 10 %'!$A33="","",'COPY 10 %'!F33)</f>
        <v/>
      </c>
      <c r="D33" s="14">
        <f>IF('COPY 10 %'!$A33="","",'COPY 10 %'!I33)</f>
        <v/>
      </c>
      <c r="E33" s="7">
        <f>IF('COPY 10 %'!$A33="","",'COPY 10 %'!O33)</f>
        <v/>
      </c>
      <c r="F33" s="7">
        <f>IF('COPY 10 %'!$A33="","",'COPY 10 %'!L33)</f>
        <v/>
      </c>
      <c r="G33" s="7">
        <f>IF('COPY 10 %'!$A33="","",'COPY 10 %'!S33)</f>
        <v/>
      </c>
      <c r="H33">
        <f>IF('COPY 10 %'!$A33="","",'COPY 10 %'!P33)</f>
        <v/>
      </c>
      <c r="I33">
        <f>IF('COPY 10 %'!$A33="","",'COPY 10 %'!M33)</f>
        <v/>
      </c>
      <c r="J33" s="7">
        <f>IF('COPY 10 %'!$A33="","",'COPY 10 %'!Q33)</f>
        <v/>
      </c>
      <c r="K33" s="7">
        <f>IF('COPY 10 %'!$A33="","",'COPY 10 %'!H33)</f>
        <v/>
      </c>
      <c r="L33" s="7">
        <f>IF('COPY 10 %'!$A33="","",'COPY 10 %'!T33)</f>
        <v/>
      </c>
      <c r="M33">
        <f>IF('COPY 10 %'!$A33="","",'COPY 10 %'!G33)</f>
        <v/>
      </c>
    </row>
    <row r="34">
      <c r="A34">
        <f>IF('COPY 10 %'!$A34="","",ROWS($A$2:$A34))</f>
        <v/>
      </c>
      <c r="B34">
        <f>IF('COPY 10 %'!$A34="","",'COPY 10 %'!E34)</f>
        <v/>
      </c>
      <c r="C34">
        <f>IF('COPY 10 %'!$A34="","",'COPY 10 %'!F34)</f>
        <v/>
      </c>
      <c r="D34" s="14">
        <f>IF('COPY 10 %'!$A34="","",'COPY 10 %'!I34)</f>
        <v/>
      </c>
      <c r="E34" s="7">
        <f>IF('COPY 10 %'!$A34="","",'COPY 10 %'!O34)</f>
        <v/>
      </c>
      <c r="F34" s="7">
        <f>IF('COPY 10 %'!$A34="","",'COPY 10 %'!L34)</f>
        <v/>
      </c>
      <c r="G34" s="7">
        <f>IF('COPY 10 %'!$A34="","",'COPY 10 %'!S34)</f>
        <v/>
      </c>
      <c r="H34">
        <f>IF('COPY 10 %'!$A34="","",'COPY 10 %'!P34)</f>
        <v/>
      </c>
      <c r="I34">
        <f>IF('COPY 10 %'!$A34="","",'COPY 10 %'!M34)</f>
        <v/>
      </c>
      <c r="J34" s="7">
        <f>IF('COPY 10 %'!$A34="","",'COPY 10 %'!Q34)</f>
        <v/>
      </c>
      <c r="K34" s="7">
        <f>IF('COPY 10 %'!$A34="","",'COPY 10 %'!H34)</f>
        <v/>
      </c>
      <c r="L34" s="7">
        <f>IF('COPY 10 %'!$A34="","",'COPY 10 %'!T34)</f>
        <v/>
      </c>
      <c r="M34">
        <f>IF('COPY 10 %'!$A34="","",'COPY 10 %'!G34)</f>
        <v/>
      </c>
    </row>
    <row r="35">
      <c r="A35">
        <f>IF('COPY 10 %'!$A35="","",ROWS($A$2:$A35))</f>
        <v/>
      </c>
      <c r="B35">
        <f>IF('COPY 10 %'!$A35="","",'COPY 10 %'!E35)</f>
        <v/>
      </c>
      <c r="C35">
        <f>IF('COPY 10 %'!$A35="","",'COPY 10 %'!F35)</f>
        <v/>
      </c>
      <c r="D35" s="14">
        <f>IF('COPY 10 %'!$A35="","",'COPY 10 %'!I35)</f>
        <v/>
      </c>
      <c r="E35" s="7">
        <f>IF('COPY 10 %'!$A35="","",'COPY 10 %'!O35)</f>
        <v/>
      </c>
      <c r="F35" s="7">
        <f>IF('COPY 10 %'!$A35="","",'COPY 10 %'!L35)</f>
        <v/>
      </c>
      <c r="G35" s="7">
        <f>IF('COPY 10 %'!$A35="","",'COPY 10 %'!S35)</f>
        <v/>
      </c>
      <c r="H35">
        <f>IF('COPY 10 %'!$A35="","",'COPY 10 %'!P35)</f>
        <v/>
      </c>
      <c r="I35">
        <f>IF('COPY 10 %'!$A35="","",'COPY 10 %'!M35)</f>
        <v/>
      </c>
      <c r="J35" s="7">
        <f>IF('COPY 10 %'!$A35="","",'COPY 10 %'!Q35)</f>
        <v/>
      </c>
      <c r="K35" s="7">
        <f>IF('COPY 10 %'!$A35="","",'COPY 10 %'!H35)</f>
        <v/>
      </c>
      <c r="L35" s="7">
        <f>IF('COPY 10 %'!$A35="","",'COPY 10 %'!T35)</f>
        <v/>
      </c>
      <c r="M35">
        <f>IF('COPY 10 %'!$A35="","",'COPY 10 %'!G35)</f>
        <v/>
      </c>
    </row>
    <row r="36">
      <c r="A36">
        <f>IF('COPY 10 %'!$A36="","",ROWS($A$2:$A36))</f>
        <v/>
      </c>
      <c r="B36">
        <f>IF('COPY 10 %'!$A36="","",'COPY 10 %'!E36)</f>
        <v/>
      </c>
      <c r="C36">
        <f>IF('COPY 10 %'!$A36="","",'COPY 10 %'!F36)</f>
        <v/>
      </c>
      <c r="D36" s="14">
        <f>IF('COPY 10 %'!$A36="","",'COPY 10 %'!I36)</f>
        <v/>
      </c>
      <c r="E36" s="7">
        <f>IF('COPY 10 %'!$A36="","",'COPY 10 %'!O36)</f>
        <v/>
      </c>
      <c r="F36" s="7">
        <f>IF('COPY 10 %'!$A36="","",'COPY 10 %'!L36)</f>
        <v/>
      </c>
      <c r="G36" s="7">
        <f>IF('COPY 10 %'!$A36="","",'COPY 10 %'!S36)</f>
        <v/>
      </c>
      <c r="H36">
        <f>IF('COPY 10 %'!$A36="","",'COPY 10 %'!P36)</f>
        <v/>
      </c>
      <c r="I36">
        <f>IF('COPY 10 %'!$A36="","",'COPY 10 %'!M36)</f>
        <v/>
      </c>
      <c r="J36" s="7">
        <f>IF('COPY 10 %'!$A36="","",'COPY 10 %'!Q36)</f>
        <v/>
      </c>
      <c r="K36" s="7">
        <f>IF('COPY 10 %'!$A36="","",'COPY 10 %'!H36)</f>
        <v/>
      </c>
      <c r="L36" s="7">
        <f>IF('COPY 10 %'!$A36="","",'COPY 10 %'!T36)</f>
        <v/>
      </c>
      <c r="M36">
        <f>IF('COPY 10 %'!$A36="","",'COPY 10 %'!G36)</f>
        <v/>
      </c>
    </row>
    <row r="37">
      <c r="A37">
        <f>IF('COPY 10 %'!$A37="","",ROWS($A$2:$A37))</f>
        <v/>
      </c>
      <c r="B37">
        <f>IF('COPY 10 %'!$A37="","",'COPY 10 %'!E37)</f>
        <v/>
      </c>
      <c r="C37">
        <f>IF('COPY 10 %'!$A37="","",'COPY 10 %'!F37)</f>
        <v/>
      </c>
      <c r="D37" s="14">
        <f>IF('COPY 10 %'!$A37="","",'COPY 10 %'!I37)</f>
        <v/>
      </c>
      <c r="E37" s="7">
        <f>IF('COPY 10 %'!$A37="","",'COPY 10 %'!O37)</f>
        <v/>
      </c>
      <c r="F37" s="7">
        <f>IF('COPY 10 %'!$A37="","",'COPY 10 %'!L37)</f>
        <v/>
      </c>
      <c r="G37" s="7">
        <f>IF('COPY 10 %'!$A37="","",'COPY 10 %'!S37)</f>
        <v/>
      </c>
      <c r="H37">
        <f>IF('COPY 10 %'!$A37="","",'COPY 10 %'!P37)</f>
        <v/>
      </c>
      <c r="I37">
        <f>IF('COPY 10 %'!$A37="","",'COPY 10 %'!M37)</f>
        <v/>
      </c>
      <c r="J37" s="7">
        <f>IF('COPY 10 %'!$A37="","",'COPY 10 %'!Q37)</f>
        <v/>
      </c>
      <c r="K37" s="7">
        <f>IF('COPY 10 %'!$A37="","",'COPY 10 %'!H37)</f>
        <v/>
      </c>
      <c r="L37" s="7">
        <f>IF('COPY 10 %'!$A37="","",'COPY 10 %'!T37)</f>
        <v/>
      </c>
      <c r="M37">
        <f>IF('COPY 10 %'!$A37="","",'COPY 10 %'!G37)</f>
        <v/>
      </c>
    </row>
    <row r="38">
      <c r="A38">
        <f>IF('COPY 10 %'!$A38="","",ROWS($A$2:$A38))</f>
        <v/>
      </c>
      <c r="B38">
        <f>IF('COPY 10 %'!$A38="","",'COPY 10 %'!E38)</f>
        <v/>
      </c>
      <c r="C38">
        <f>IF('COPY 10 %'!$A38="","",'COPY 10 %'!F38)</f>
        <v/>
      </c>
      <c r="D38" s="14">
        <f>IF('COPY 10 %'!$A38="","",'COPY 10 %'!I38)</f>
        <v/>
      </c>
      <c r="E38" s="7">
        <f>IF('COPY 10 %'!$A38="","",'COPY 10 %'!O38)</f>
        <v/>
      </c>
      <c r="F38" s="7">
        <f>IF('COPY 10 %'!$A38="","",'COPY 10 %'!L38)</f>
        <v/>
      </c>
      <c r="G38" s="7">
        <f>IF('COPY 10 %'!$A38="","",'COPY 10 %'!S38)</f>
        <v/>
      </c>
      <c r="H38">
        <f>IF('COPY 10 %'!$A38="","",'COPY 10 %'!P38)</f>
        <v/>
      </c>
      <c r="I38">
        <f>IF('COPY 10 %'!$A38="","",'COPY 10 %'!M38)</f>
        <v/>
      </c>
      <c r="J38" s="7">
        <f>IF('COPY 10 %'!$A38="","",'COPY 10 %'!Q38)</f>
        <v/>
      </c>
      <c r="K38" s="7">
        <f>IF('COPY 10 %'!$A38="","",'COPY 10 %'!H38)</f>
        <v/>
      </c>
      <c r="L38" s="7">
        <f>IF('COPY 10 %'!$A38="","",'COPY 10 %'!T38)</f>
        <v/>
      </c>
      <c r="M38">
        <f>IF('COPY 10 %'!$A38="","",'COPY 10 %'!G38)</f>
        <v/>
      </c>
    </row>
    <row r="39">
      <c r="A39">
        <f>IF('COPY 10 %'!$A39="","",ROWS($A$2:$A39))</f>
        <v/>
      </c>
      <c r="B39">
        <f>IF('COPY 10 %'!$A39="","",'COPY 10 %'!E39)</f>
        <v/>
      </c>
      <c r="C39">
        <f>IF('COPY 10 %'!$A39="","",'COPY 10 %'!F39)</f>
        <v/>
      </c>
      <c r="D39" s="14">
        <f>IF('COPY 10 %'!$A39="","",'COPY 10 %'!I39)</f>
        <v/>
      </c>
      <c r="E39" s="7">
        <f>IF('COPY 10 %'!$A39="","",'COPY 10 %'!O39)</f>
        <v/>
      </c>
      <c r="F39" s="7">
        <f>IF('COPY 10 %'!$A39="","",'COPY 10 %'!L39)</f>
        <v/>
      </c>
      <c r="G39" s="7">
        <f>IF('COPY 10 %'!$A39="","",'COPY 10 %'!S39)</f>
        <v/>
      </c>
      <c r="H39">
        <f>IF('COPY 10 %'!$A39="","",'COPY 10 %'!P39)</f>
        <v/>
      </c>
      <c r="I39">
        <f>IF('COPY 10 %'!$A39="","",'COPY 10 %'!M39)</f>
        <v/>
      </c>
      <c r="J39" s="7">
        <f>IF('COPY 10 %'!$A39="","",'COPY 10 %'!Q39)</f>
        <v/>
      </c>
      <c r="K39" s="7">
        <f>IF('COPY 10 %'!$A39="","",'COPY 10 %'!H39)</f>
        <v/>
      </c>
      <c r="L39" s="7">
        <f>IF('COPY 10 %'!$A39="","",'COPY 10 %'!T39)</f>
        <v/>
      </c>
      <c r="M39">
        <f>IF('COPY 10 %'!$A39="","",'COPY 10 %'!G39)</f>
        <v/>
      </c>
    </row>
    <row r="40">
      <c r="A40">
        <f>IF('COPY 10 %'!$A40="","",ROWS($A$2:$A40))</f>
        <v/>
      </c>
      <c r="B40">
        <f>IF('COPY 10 %'!$A40="","",'COPY 10 %'!E40)</f>
        <v/>
      </c>
      <c r="C40">
        <f>IF('COPY 10 %'!$A40="","",'COPY 10 %'!F40)</f>
        <v/>
      </c>
      <c r="D40" s="14">
        <f>IF('COPY 10 %'!$A40="","",'COPY 10 %'!I40)</f>
        <v/>
      </c>
      <c r="E40" s="7">
        <f>IF('COPY 10 %'!$A40="","",'COPY 10 %'!O40)</f>
        <v/>
      </c>
      <c r="F40" s="7">
        <f>IF('COPY 10 %'!$A40="","",'COPY 10 %'!L40)</f>
        <v/>
      </c>
      <c r="G40" s="7">
        <f>IF('COPY 10 %'!$A40="","",'COPY 10 %'!S40)</f>
        <v/>
      </c>
      <c r="H40">
        <f>IF('COPY 10 %'!$A40="","",'COPY 10 %'!P40)</f>
        <v/>
      </c>
      <c r="I40">
        <f>IF('COPY 10 %'!$A40="","",'COPY 10 %'!M40)</f>
        <v/>
      </c>
      <c r="J40" s="7">
        <f>IF('COPY 10 %'!$A40="","",'COPY 10 %'!Q40)</f>
        <v/>
      </c>
      <c r="K40" s="7">
        <f>IF('COPY 10 %'!$A40="","",'COPY 10 %'!H40)</f>
        <v/>
      </c>
      <c r="L40" s="7">
        <f>IF('COPY 10 %'!$A40="","",'COPY 10 %'!T40)</f>
        <v/>
      </c>
      <c r="M40">
        <f>IF('COPY 10 %'!$A40="","",'COPY 10 %'!G40)</f>
        <v/>
      </c>
    </row>
    <row r="41">
      <c r="A41">
        <f>IF('COPY 10 %'!$A41="","",ROWS($A$2:$A41))</f>
        <v/>
      </c>
      <c r="B41">
        <f>IF('COPY 10 %'!$A41="","",'COPY 10 %'!E41)</f>
        <v/>
      </c>
      <c r="C41">
        <f>IF('COPY 10 %'!$A41="","",'COPY 10 %'!F41)</f>
        <v/>
      </c>
      <c r="D41" s="14">
        <f>IF('COPY 10 %'!$A41="","",'COPY 10 %'!I41)</f>
        <v/>
      </c>
      <c r="E41" s="7">
        <f>IF('COPY 10 %'!$A41="","",'COPY 10 %'!O41)</f>
        <v/>
      </c>
      <c r="F41" s="7">
        <f>IF('COPY 10 %'!$A41="","",'COPY 10 %'!L41)</f>
        <v/>
      </c>
      <c r="G41" s="7">
        <f>IF('COPY 10 %'!$A41="","",'COPY 10 %'!S41)</f>
        <v/>
      </c>
      <c r="H41">
        <f>IF('COPY 10 %'!$A41="","",'COPY 10 %'!P41)</f>
        <v/>
      </c>
      <c r="I41">
        <f>IF('COPY 10 %'!$A41="","",'COPY 10 %'!M41)</f>
        <v/>
      </c>
      <c r="J41" s="7">
        <f>IF('COPY 10 %'!$A41="","",'COPY 10 %'!Q41)</f>
        <v/>
      </c>
      <c r="K41" s="7">
        <f>IF('COPY 10 %'!$A41="","",'COPY 10 %'!H41)</f>
        <v/>
      </c>
      <c r="L41" s="7">
        <f>IF('COPY 10 %'!$A41="","",'COPY 10 %'!T41)</f>
        <v/>
      </c>
      <c r="M41">
        <f>IF('COPY 10 %'!$A41="","",'COPY 10 %'!G41)</f>
        <v/>
      </c>
    </row>
    <row r="42">
      <c r="A42">
        <f>IF('COPY 10 %'!$A42="","",ROWS($A$2:$A42))</f>
        <v/>
      </c>
      <c r="B42">
        <f>IF('COPY 10 %'!$A42="","",'COPY 10 %'!E42)</f>
        <v/>
      </c>
      <c r="C42">
        <f>IF('COPY 10 %'!$A42="","",'COPY 10 %'!F42)</f>
        <v/>
      </c>
      <c r="D42" s="14">
        <f>IF('COPY 10 %'!$A42="","",'COPY 10 %'!I42)</f>
        <v/>
      </c>
      <c r="E42" s="7">
        <f>IF('COPY 10 %'!$A42="","",'COPY 10 %'!O42)</f>
        <v/>
      </c>
      <c r="F42" s="7">
        <f>IF('COPY 10 %'!$A42="","",'COPY 10 %'!L42)</f>
        <v/>
      </c>
      <c r="G42" s="7">
        <f>IF('COPY 10 %'!$A42="","",'COPY 10 %'!S42)</f>
        <v/>
      </c>
      <c r="H42">
        <f>IF('COPY 10 %'!$A42="","",'COPY 10 %'!P42)</f>
        <v/>
      </c>
      <c r="I42">
        <f>IF('COPY 10 %'!$A42="","",'COPY 10 %'!M42)</f>
        <v/>
      </c>
      <c r="J42" s="7">
        <f>IF('COPY 10 %'!$A42="","",'COPY 10 %'!Q42)</f>
        <v/>
      </c>
      <c r="K42" s="7">
        <f>IF('COPY 10 %'!$A42="","",'COPY 10 %'!H42)</f>
        <v/>
      </c>
      <c r="L42" s="7">
        <f>IF('COPY 10 %'!$A42="","",'COPY 10 %'!T42)</f>
        <v/>
      </c>
      <c r="M42">
        <f>IF('COPY 10 %'!$A42="","",'COPY 10 %'!G42)</f>
        <v/>
      </c>
    </row>
    <row r="43">
      <c r="A43">
        <f>IF('COPY 10 %'!$A43="","",ROWS($A$2:$A43))</f>
        <v/>
      </c>
      <c r="B43">
        <f>IF('COPY 10 %'!$A43="","",'COPY 10 %'!E43)</f>
        <v/>
      </c>
      <c r="C43">
        <f>IF('COPY 10 %'!$A43="","",'COPY 10 %'!F43)</f>
        <v/>
      </c>
      <c r="D43" s="14">
        <f>IF('COPY 10 %'!$A43="","",'COPY 10 %'!I43)</f>
        <v/>
      </c>
      <c r="E43" s="7">
        <f>IF('COPY 10 %'!$A43="","",'COPY 10 %'!O43)</f>
        <v/>
      </c>
      <c r="F43" s="7">
        <f>IF('COPY 10 %'!$A43="","",'COPY 10 %'!L43)</f>
        <v/>
      </c>
      <c r="G43" s="7">
        <f>IF('COPY 10 %'!$A43="","",'COPY 10 %'!S43)</f>
        <v/>
      </c>
      <c r="H43">
        <f>IF('COPY 10 %'!$A43="","",'COPY 10 %'!P43)</f>
        <v/>
      </c>
      <c r="I43">
        <f>IF('COPY 10 %'!$A43="","",'COPY 10 %'!M43)</f>
        <v/>
      </c>
      <c r="J43" s="7">
        <f>IF('COPY 10 %'!$A43="","",'COPY 10 %'!Q43)</f>
        <v/>
      </c>
      <c r="K43" s="7">
        <f>IF('COPY 10 %'!$A43="","",'COPY 10 %'!H43)</f>
        <v/>
      </c>
      <c r="L43" s="7">
        <f>IF('COPY 10 %'!$A43="","",'COPY 10 %'!T43)</f>
        <v/>
      </c>
      <c r="M43">
        <f>IF('COPY 10 %'!$A43="","",'COPY 10 %'!G43)</f>
        <v/>
      </c>
    </row>
    <row r="44">
      <c r="A44">
        <f>IF('COPY 10 %'!$A44="","",ROWS($A$2:$A44))</f>
        <v/>
      </c>
      <c r="B44">
        <f>IF('COPY 10 %'!$A44="","",'COPY 10 %'!E44)</f>
        <v/>
      </c>
      <c r="C44">
        <f>IF('COPY 10 %'!$A44="","",'COPY 10 %'!F44)</f>
        <v/>
      </c>
      <c r="D44" s="14">
        <f>IF('COPY 10 %'!$A44="","",'COPY 10 %'!I44)</f>
        <v/>
      </c>
      <c r="E44" s="7">
        <f>IF('COPY 10 %'!$A44="","",'COPY 10 %'!O44)</f>
        <v/>
      </c>
      <c r="F44" s="7">
        <f>IF('COPY 10 %'!$A44="","",'COPY 10 %'!L44)</f>
        <v/>
      </c>
      <c r="G44" s="7">
        <f>IF('COPY 10 %'!$A44="","",'COPY 10 %'!S44)</f>
        <v/>
      </c>
      <c r="H44">
        <f>IF('COPY 10 %'!$A44="","",'COPY 10 %'!P44)</f>
        <v/>
      </c>
      <c r="I44">
        <f>IF('COPY 10 %'!$A44="","",'COPY 10 %'!M44)</f>
        <v/>
      </c>
      <c r="J44" s="7">
        <f>IF('COPY 10 %'!$A44="","",'COPY 10 %'!Q44)</f>
        <v/>
      </c>
      <c r="K44" s="7">
        <f>IF('COPY 10 %'!$A44="","",'COPY 10 %'!H44)</f>
        <v/>
      </c>
      <c r="L44" s="7">
        <f>IF('COPY 10 %'!$A44="","",'COPY 10 %'!T44)</f>
        <v/>
      </c>
      <c r="M44">
        <f>IF('COPY 10 %'!$A44="","",'COPY 10 %'!G44)</f>
        <v/>
      </c>
    </row>
    <row r="45">
      <c r="A45">
        <f>IF('COPY 10 %'!$A45="","",ROWS($A$2:$A45))</f>
        <v/>
      </c>
      <c r="B45">
        <f>IF('COPY 10 %'!$A45="","",'COPY 10 %'!E45)</f>
        <v/>
      </c>
      <c r="C45">
        <f>IF('COPY 10 %'!$A45="","",'COPY 10 %'!F45)</f>
        <v/>
      </c>
      <c r="D45" s="14">
        <f>IF('COPY 10 %'!$A45="","",'COPY 10 %'!I45)</f>
        <v/>
      </c>
      <c r="E45" s="7">
        <f>IF('COPY 10 %'!$A45="","",'COPY 10 %'!O45)</f>
        <v/>
      </c>
      <c r="F45" s="7">
        <f>IF('COPY 10 %'!$A45="","",'COPY 10 %'!L45)</f>
        <v/>
      </c>
      <c r="G45" s="7">
        <f>IF('COPY 10 %'!$A45="","",'COPY 10 %'!S45)</f>
        <v/>
      </c>
      <c r="H45">
        <f>IF('COPY 10 %'!$A45="","",'COPY 10 %'!P45)</f>
        <v/>
      </c>
      <c r="I45">
        <f>IF('COPY 10 %'!$A45="","",'COPY 10 %'!M45)</f>
        <v/>
      </c>
      <c r="J45" s="7">
        <f>IF('COPY 10 %'!$A45="","",'COPY 10 %'!Q45)</f>
        <v/>
      </c>
      <c r="K45" s="7">
        <f>IF('COPY 10 %'!$A45="","",'COPY 10 %'!H45)</f>
        <v/>
      </c>
      <c r="L45" s="7">
        <f>IF('COPY 10 %'!$A45="","",'COPY 10 %'!T45)</f>
        <v/>
      </c>
      <c r="M45">
        <f>IF('COPY 10 %'!$A45="","",'COPY 10 %'!G45)</f>
        <v/>
      </c>
    </row>
    <row r="46">
      <c r="A46">
        <f>IF('COPY 10 %'!$A46="","",ROWS($A$2:$A46))</f>
        <v/>
      </c>
      <c r="B46">
        <f>IF('COPY 10 %'!$A46="","",'COPY 10 %'!E46)</f>
        <v/>
      </c>
      <c r="C46">
        <f>IF('COPY 10 %'!$A46="","",'COPY 10 %'!F46)</f>
        <v/>
      </c>
      <c r="D46" s="14">
        <f>IF('COPY 10 %'!$A46="","",'COPY 10 %'!I46)</f>
        <v/>
      </c>
      <c r="E46" s="7">
        <f>IF('COPY 10 %'!$A46="","",'COPY 10 %'!O46)</f>
        <v/>
      </c>
      <c r="F46" s="7">
        <f>IF('COPY 10 %'!$A46="","",'COPY 10 %'!L46)</f>
        <v/>
      </c>
      <c r="G46" s="7">
        <f>IF('COPY 10 %'!$A46="","",'COPY 10 %'!S46)</f>
        <v/>
      </c>
      <c r="H46">
        <f>IF('COPY 10 %'!$A46="","",'COPY 10 %'!P46)</f>
        <v/>
      </c>
      <c r="I46">
        <f>IF('COPY 10 %'!$A46="","",'COPY 10 %'!M46)</f>
        <v/>
      </c>
      <c r="J46" s="7">
        <f>IF('COPY 10 %'!$A46="","",'COPY 10 %'!Q46)</f>
        <v/>
      </c>
      <c r="K46" s="7">
        <f>IF('COPY 10 %'!$A46="","",'COPY 10 %'!H46)</f>
        <v/>
      </c>
      <c r="L46" s="7">
        <f>IF('COPY 10 %'!$A46="","",'COPY 10 %'!T46)</f>
        <v/>
      </c>
      <c r="M46">
        <f>IF('COPY 10 %'!$A46="","",'COPY 10 %'!G46)</f>
        <v/>
      </c>
    </row>
    <row r="47">
      <c r="A47">
        <f>IF('COPY 10 %'!$A47="","",ROWS($A$2:$A47))</f>
        <v/>
      </c>
      <c r="B47">
        <f>IF('COPY 10 %'!$A47="","",'COPY 10 %'!E47)</f>
        <v/>
      </c>
      <c r="C47">
        <f>IF('COPY 10 %'!$A47="","",'COPY 10 %'!F47)</f>
        <v/>
      </c>
      <c r="D47" s="14">
        <f>IF('COPY 10 %'!$A47="","",'COPY 10 %'!I47)</f>
        <v/>
      </c>
      <c r="E47" s="7">
        <f>IF('COPY 10 %'!$A47="","",'COPY 10 %'!O47)</f>
        <v/>
      </c>
      <c r="F47" s="7">
        <f>IF('COPY 10 %'!$A47="","",'COPY 10 %'!L47)</f>
        <v/>
      </c>
      <c r="G47" s="7">
        <f>IF('COPY 10 %'!$A47="","",'COPY 10 %'!S47)</f>
        <v/>
      </c>
      <c r="H47">
        <f>IF('COPY 10 %'!$A47="","",'COPY 10 %'!P47)</f>
        <v/>
      </c>
      <c r="I47">
        <f>IF('COPY 10 %'!$A47="","",'COPY 10 %'!M47)</f>
        <v/>
      </c>
      <c r="J47" s="7">
        <f>IF('COPY 10 %'!$A47="","",'COPY 10 %'!Q47)</f>
        <v/>
      </c>
      <c r="K47" s="7">
        <f>IF('COPY 10 %'!$A47="","",'COPY 10 %'!H47)</f>
        <v/>
      </c>
      <c r="L47" s="7">
        <f>IF('COPY 10 %'!$A47="","",'COPY 10 %'!T47)</f>
        <v/>
      </c>
      <c r="M47">
        <f>IF('COPY 10 %'!$A47="","",'COPY 10 %'!G47)</f>
        <v/>
      </c>
    </row>
    <row r="48">
      <c r="A48">
        <f>IF('COPY 10 %'!$A48="","",ROWS($A$2:$A48))</f>
        <v/>
      </c>
      <c r="B48">
        <f>IF('COPY 10 %'!$A48="","",'COPY 10 %'!E48)</f>
        <v/>
      </c>
      <c r="C48">
        <f>IF('COPY 10 %'!$A48="","",'COPY 10 %'!F48)</f>
        <v/>
      </c>
      <c r="D48" s="14">
        <f>IF('COPY 10 %'!$A48="","",'COPY 10 %'!I48)</f>
        <v/>
      </c>
      <c r="E48" s="7">
        <f>IF('COPY 10 %'!$A48="","",'COPY 10 %'!O48)</f>
        <v/>
      </c>
      <c r="F48" s="7">
        <f>IF('COPY 10 %'!$A48="","",'COPY 10 %'!L48)</f>
        <v/>
      </c>
      <c r="G48" s="7">
        <f>IF('COPY 10 %'!$A48="","",'COPY 10 %'!S48)</f>
        <v/>
      </c>
      <c r="H48">
        <f>IF('COPY 10 %'!$A48="","",'COPY 10 %'!P48)</f>
        <v/>
      </c>
      <c r="I48">
        <f>IF('COPY 10 %'!$A48="","",'COPY 10 %'!M48)</f>
        <v/>
      </c>
      <c r="J48" s="7">
        <f>IF('COPY 10 %'!$A48="","",'COPY 10 %'!Q48)</f>
        <v/>
      </c>
      <c r="K48" s="7">
        <f>IF('COPY 10 %'!$A48="","",'COPY 10 %'!H48)</f>
        <v/>
      </c>
      <c r="L48" s="7">
        <f>IF('COPY 10 %'!$A48="","",'COPY 10 %'!T48)</f>
        <v/>
      </c>
      <c r="M48">
        <f>IF('COPY 10 %'!$A48="","",'COPY 10 %'!G48)</f>
        <v/>
      </c>
    </row>
    <row r="49">
      <c r="A49">
        <f>IF('COPY 10 %'!$A49="","",ROWS($A$2:$A49))</f>
        <v/>
      </c>
      <c r="B49">
        <f>IF('COPY 10 %'!$A49="","",'COPY 10 %'!E49)</f>
        <v/>
      </c>
      <c r="C49">
        <f>IF('COPY 10 %'!$A49="","",'COPY 10 %'!F49)</f>
        <v/>
      </c>
      <c r="D49" s="14">
        <f>IF('COPY 10 %'!$A49="","",'COPY 10 %'!I49)</f>
        <v/>
      </c>
      <c r="E49" s="7">
        <f>IF('COPY 10 %'!$A49="","",'COPY 10 %'!O49)</f>
        <v/>
      </c>
      <c r="F49" s="7">
        <f>IF('COPY 10 %'!$A49="","",'COPY 10 %'!L49)</f>
        <v/>
      </c>
      <c r="G49" s="7">
        <f>IF('COPY 10 %'!$A49="","",'COPY 10 %'!S49)</f>
        <v/>
      </c>
      <c r="H49">
        <f>IF('COPY 10 %'!$A49="","",'COPY 10 %'!P49)</f>
        <v/>
      </c>
      <c r="I49">
        <f>IF('COPY 10 %'!$A49="","",'COPY 10 %'!M49)</f>
        <v/>
      </c>
      <c r="J49" s="7">
        <f>IF('COPY 10 %'!$A49="","",'COPY 10 %'!Q49)</f>
        <v/>
      </c>
      <c r="K49" s="7">
        <f>IF('COPY 10 %'!$A49="","",'COPY 10 %'!H49)</f>
        <v/>
      </c>
      <c r="L49" s="7">
        <f>IF('COPY 10 %'!$A49="","",'COPY 10 %'!T49)</f>
        <v/>
      </c>
      <c r="M49">
        <f>IF('COPY 10 %'!$A49="","",'COPY 10 %'!G49)</f>
        <v/>
      </c>
    </row>
    <row r="50">
      <c r="A50">
        <f>IF('COPY 10 %'!$A50="","",ROWS($A$2:$A50))</f>
        <v/>
      </c>
      <c r="B50">
        <f>IF('COPY 10 %'!$A50="","",'COPY 10 %'!E50)</f>
        <v/>
      </c>
      <c r="C50">
        <f>IF('COPY 10 %'!$A50="","",'COPY 10 %'!F50)</f>
        <v/>
      </c>
      <c r="D50" s="14">
        <f>IF('COPY 10 %'!$A50="","",'COPY 10 %'!I50)</f>
        <v/>
      </c>
      <c r="E50" s="7">
        <f>IF('COPY 10 %'!$A50="","",'COPY 10 %'!O50)</f>
        <v/>
      </c>
      <c r="F50" s="7">
        <f>IF('COPY 10 %'!$A50="","",'COPY 10 %'!L50)</f>
        <v/>
      </c>
      <c r="G50" s="7">
        <f>IF('COPY 10 %'!$A50="","",'COPY 10 %'!S50)</f>
        <v/>
      </c>
      <c r="H50">
        <f>IF('COPY 10 %'!$A50="","",'COPY 10 %'!P50)</f>
        <v/>
      </c>
      <c r="I50">
        <f>IF('COPY 10 %'!$A50="","",'COPY 10 %'!M50)</f>
        <v/>
      </c>
      <c r="J50" s="7">
        <f>IF('COPY 10 %'!$A50="","",'COPY 10 %'!Q50)</f>
        <v/>
      </c>
      <c r="K50" s="7">
        <f>IF('COPY 10 %'!$A50="","",'COPY 10 %'!H50)</f>
        <v/>
      </c>
      <c r="L50" s="7">
        <f>IF('COPY 10 %'!$A50="","",'COPY 10 %'!T50)</f>
        <v/>
      </c>
      <c r="M50">
        <f>IF('COPY 10 %'!$A50="","",'COPY 10 %'!G50)</f>
        <v/>
      </c>
    </row>
    <row r="51">
      <c r="A51">
        <f>IF('COPY 10 %'!$A51="","",ROWS($A$2:$A51))</f>
        <v/>
      </c>
      <c r="B51">
        <f>IF('COPY 10 %'!$A51="","",'COPY 10 %'!E51)</f>
        <v/>
      </c>
      <c r="C51">
        <f>IF('COPY 10 %'!$A51="","",'COPY 10 %'!F51)</f>
        <v/>
      </c>
      <c r="D51" s="14">
        <f>IF('COPY 10 %'!$A51="","",'COPY 10 %'!I51)</f>
        <v/>
      </c>
      <c r="E51" s="7">
        <f>IF('COPY 10 %'!$A51="","",'COPY 10 %'!O51)</f>
        <v/>
      </c>
      <c r="F51" s="7">
        <f>IF('COPY 10 %'!$A51="","",'COPY 10 %'!L51)</f>
        <v/>
      </c>
      <c r="G51" s="7">
        <f>IF('COPY 10 %'!$A51="","",'COPY 10 %'!S51)</f>
        <v/>
      </c>
      <c r="H51">
        <f>IF('COPY 10 %'!$A51="","",'COPY 10 %'!P51)</f>
        <v/>
      </c>
      <c r="I51">
        <f>IF('COPY 10 %'!$A51="","",'COPY 10 %'!M51)</f>
        <v/>
      </c>
      <c r="J51" s="7">
        <f>IF('COPY 10 %'!$A51="","",'COPY 10 %'!Q51)</f>
        <v/>
      </c>
      <c r="K51" s="7">
        <f>IF('COPY 10 %'!$A51="","",'COPY 10 %'!H51)</f>
        <v/>
      </c>
      <c r="L51" s="7">
        <f>IF('COPY 10 %'!$A51="","",'COPY 10 %'!T51)</f>
        <v/>
      </c>
      <c r="M51">
        <f>IF('COPY 10 %'!$A51="","",'COPY 10 %'!G51)</f>
        <v/>
      </c>
    </row>
    <row r="52">
      <c r="A52">
        <f>IF('COPY 10 %'!$A52="","",ROWS($A$2:$A52))</f>
        <v/>
      </c>
      <c r="B52">
        <f>IF('COPY 10 %'!$A52="","",'COPY 10 %'!E52)</f>
        <v/>
      </c>
      <c r="C52">
        <f>IF('COPY 10 %'!$A52="","",'COPY 10 %'!F52)</f>
        <v/>
      </c>
      <c r="D52" s="14">
        <f>IF('COPY 10 %'!$A52="","",'COPY 10 %'!I52)</f>
        <v/>
      </c>
      <c r="E52" s="7">
        <f>IF('COPY 10 %'!$A52="","",'COPY 10 %'!O52)</f>
        <v/>
      </c>
      <c r="F52" s="7">
        <f>IF('COPY 10 %'!$A52="","",'COPY 10 %'!L52)</f>
        <v/>
      </c>
      <c r="G52" s="7">
        <f>IF('COPY 10 %'!$A52="","",'COPY 10 %'!S52)</f>
        <v/>
      </c>
      <c r="H52">
        <f>IF('COPY 10 %'!$A52="","",'COPY 10 %'!P52)</f>
        <v/>
      </c>
      <c r="I52">
        <f>IF('COPY 10 %'!$A52="","",'COPY 10 %'!M52)</f>
        <v/>
      </c>
      <c r="J52" s="7">
        <f>IF('COPY 10 %'!$A52="","",'COPY 10 %'!Q52)</f>
        <v/>
      </c>
      <c r="K52" s="7">
        <f>IF('COPY 10 %'!$A52="","",'COPY 10 %'!H52)</f>
        <v/>
      </c>
      <c r="L52" s="7">
        <f>IF('COPY 10 %'!$A52="","",'COPY 10 %'!T52)</f>
        <v/>
      </c>
      <c r="M52">
        <f>IF('COPY 10 %'!$A52="","",'COPY 10 %'!G52)</f>
        <v/>
      </c>
    </row>
    <row r="53">
      <c r="A53">
        <f>IF('COPY 10 %'!$A53="","",ROWS($A$2:$A53))</f>
        <v/>
      </c>
      <c r="B53">
        <f>IF('COPY 10 %'!$A53="","",'COPY 10 %'!E53)</f>
        <v/>
      </c>
      <c r="C53">
        <f>IF('COPY 10 %'!$A53="","",'COPY 10 %'!F53)</f>
        <v/>
      </c>
      <c r="D53" s="14">
        <f>IF('COPY 10 %'!$A53="","",'COPY 10 %'!I53)</f>
        <v/>
      </c>
      <c r="E53" s="7">
        <f>IF('COPY 10 %'!$A53="","",'COPY 10 %'!O53)</f>
        <v/>
      </c>
      <c r="F53" s="7">
        <f>IF('COPY 10 %'!$A53="","",'COPY 10 %'!L53)</f>
        <v/>
      </c>
      <c r="G53" s="7">
        <f>IF('COPY 10 %'!$A53="","",'COPY 10 %'!S53)</f>
        <v/>
      </c>
      <c r="H53">
        <f>IF('COPY 10 %'!$A53="","",'COPY 10 %'!P53)</f>
        <v/>
      </c>
      <c r="I53">
        <f>IF('COPY 10 %'!$A53="","",'COPY 10 %'!M53)</f>
        <v/>
      </c>
      <c r="J53" s="7">
        <f>IF('COPY 10 %'!$A53="","",'COPY 10 %'!Q53)</f>
        <v/>
      </c>
      <c r="K53" s="7">
        <f>IF('COPY 10 %'!$A53="","",'COPY 10 %'!H53)</f>
        <v/>
      </c>
      <c r="L53" s="7">
        <f>IF('COPY 10 %'!$A53="","",'COPY 10 %'!T53)</f>
        <v/>
      </c>
      <c r="M53">
        <f>IF('COPY 10 %'!$A53="","",'COPY 10 %'!G53)</f>
        <v/>
      </c>
    </row>
    <row r="54">
      <c r="A54">
        <f>IF('COPY 10 %'!$A54="","",ROWS($A$2:$A54))</f>
        <v/>
      </c>
      <c r="B54">
        <f>IF('COPY 10 %'!$A54="","",'COPY 10 %'!E54)</f>
        <v/>
      </c>
      <c r="C54">
        <f>IF('COPY 10 %'!$A54="","",'COPY 10 %'!F54)</f>
        <v/>
      </c>
      <c r="D54" s="14">
        <f>IF('COPY 10 %'!$A54="","",'COPY 10 %'!I54)</f>
        <v/>
      </c>
      <c r="E54" s="7">
        <f>IF('COPY 10 %'!$A54="","",'COPY 10 %'!O54)</f>
        <v/>
      </c>
      <c r="F54" s="7">
        <f>IF('COPY 10 %'!$A54="","",'COPY 10 %'!L54)</f>
        <v/>
      </c>
      <c r="G54" s="7">
        <f>IF('COPY 10 %'!$A54="","",'COPY 10 %'!S54)</f>
        <v/>
      </c>
      <c r="H54">
        <f>IF('COPY 10 %'!$A54="","",'COPY 10 %'!P54)</f>
        <v/>
      </c>
      <c r="I54">
        <f>IF('COPY 10 %'!$A54="","",'COPY 10 %'!M54)</f>
        <v/>
      </c>
      <c r="J54" s="7">
        <f>IF('COPY 10 %'!$A54="","",'COPY 10 %'!Q54)</f>
        <v/>
      </c>
      <c r="K54" s="7">
        <f>IF('COPY 10 %'!$A54="","",'COPY 10 %'!H54)</f>
        <v/>
      </c>
      <c r="L54" s="7">
        <f>IF('COPY 10 %'!$A54="","",'COPY 10 %'!T54)</f>
        <v/>
      </c>
      <c r="M54">
        <f>IF('COPY 10 %'!$A54="","",'COPY 10 %'!G54)</f>
        <v/>
      </c>
    </row>
    <row r="55">
      <c r="A55">
        <f>IF('COPY 10 %'!$A55="","",ROWS($A$2:$A55))</f>
        <v/>
      </c>
      <c r="B55">
        <f>IF('COPY 10 %'!$A55="","",'COPY 10 %'!E55)</f>
        <v/>
      </c>
      <c r="C55">
        <f>IF('COPY 10 %'!$A55="","",'COPY 10 %'!F55)</f>
        <v/>
      </c>
      <c r="D55" s="14">
        <f>IF('COPY 10 %'!$A55="","",'COPY 10 %'!I55)</f>
        <v/>
      </c>
      <c r="E55" s="7">
        <f>IF('COPY 10 %'!$A55="","",'COPY 10 %'!O55)</f>
        <v/>
      </c>
      <c r="F55" s="7">
        <f>IF('COPY 10 %'!$A55="","",'COPY 10 %'!L55)</f>
        <v/>
      </c>
      <c r="G55" s="7">
        <f>IF('COPY 10 %'!$A55="","",'COPY 10 %'!S55)</f>
        <v/>
      </c>
      <c r="H55">
        <f>IF('COPY 10 %'!$A55="","",'COPY 10 %'!P55)</f>
        <v/>
      </c>
      <c r="I55">
        <f>IF('COPY 10 %'!$A55="","",'COPY 10 %'!M55)</f>
        <v/>
      </c>
      <c r="J55" s="7">
        <f>IF('COPY 10 %'!$A55="","",'COPY 10 %'!Q55)</f>
        <v/>
      </c>
      <c r="K55" s="7">
        <f>IF('COPY 10 %'!$A55="","",'COPY 10 %'!H55)</f>
        <v/>
      </c>
      <c r="L55" s="7">
        <f>IF('COPY 10 %'!$A55="","",'COPY 10 %'!T55)</f>
        <v/>
      </c>
      <c r="M55">
        <f>IF('COPY 10 %'!$A55="","",'COPY 10 %'!G55)</f>
        <v/>
      </c>
    </row>
    <row r="56">
      <c r="A56">
        <f>IF('COPY 10 %'!$A56="","",ROWS($A$2:$A56))</f>
        <v/>
      </c>
      <c r="B56">
        <f>IF('COPY 10 %'!$A56="","",'COPY 10 %'!E56)</f>
        <v/>
      </c>
      <c r="C56">
        <f>IF('COPY 10 %'!$A56="","",'COPY 10 %'!F56)</f>
        <v/>
      </c>
      <c r="D56" s="14">
        <f>IF('COPY 10 %'!$A56="","",'COPY 10 %'!I56)</f>
        <v/>
      </c>
      <c r="E56" s="7">
        <f>IF('COPY 10 %'!$A56="","",'COPY 10 %'!O56)</f>
        <v/>
      </c>
      <c r="F56" s="7">
        <f>IF('COPY 10 %'!$A56="","",'COPY 10 %'!L56)</f>
        <v/>
      </c>
      <c r="G56" s="7">
        <f>IF('COPY 10 %'!$A56="","",'COPY 10 %'!S56)</f>
        <v/>
      </c>
      <c r="H56">
        <f>IF('COPY 10 %'!$A56="","",'COPY 10 %'!P56)</f>
        <v/>
      </c>
      <c r="I56">
        <f>IF('COPY 10 %'!$A56="","",'COPY 10 %'!M56)</f>
        <v/>
      </c>
      <c r="J56" s="7">
        <f>IF('COPY 10 %'!$A56="","",'COPY 10 %'!Q56)</f>
        <v/>
      </c>
      <c r="K56" s="7">
        <f>IF('COPY 10 %'!$A56="","",'COPY 10 %'!H56)</f>
        <v/>
      </c>
      <c r="L56" s="7">
        <f>IF('COPY 10 %'!$A56="","",'COPY 10 %'!T56)</f>
        <v/>
      </c>
      <c r="M56">
        <f>IF('COPY 10 %'!$A56="","",'COPY 10 %'!G56)</f>
        <v/>
      </c>
    </row>
    <row r="57">
      <c r="A57">
        <f>IF('COPY 10 %'!$A57="","",ROWS($A$2:$A57))</f>
        <v/>
      </c>
      <c r="B57">
        <f>IF('COPY 10 %'!$A57="","",'COPY 10 %'!E57)</f>
        <v/>
      </c>
      <c r="C57">
        <f>IF('COPY 10 %'!$A57="","",'COPY 10 %'!F57)</f>
        <v/>
      </c>
      <c r="D57" s="14">
        <f>IF('COPY 10 %'!$A57="","",'COPY 10 %'!I57)</f>
        <v/>
      </c>
      <c r="E57" s="7">
        <f>IF('COPY 10 %'!$A57="","",'COPY 10 %'!O57)</f>
        <v/>
      </c>
      <c r="F57" s="7">
        <f>IF('COPY 10 %'!$A57="","",'COPY 10 %'!L57)</f>
        <v/>
      </c>
      <c r="G57" s="7">
        <f>IF('COPY 10 %'!$A57="","",'COPY 10 %'!S57)</f>
        <v/>
      </c>
      <c r="H57">
        <f>IF('COPY 10 %'!$A57="","",'COPY 10 %'!P57)</f>
        <v/>
      </c>
      <c r="I57">
        <f>IF('COPY 10 %'!$A57="","",'COPY 10 %'!M57)</f>
        <v/>
      </c>
      <c r="J57" s="7">
        <f>IF('COPY 10 %'!$A57="","",'COPY 10 %'!Q57)</f>
        <v/>
      </c>
      <c r="K57" s="7">
        <f>IF('COPY 10 %'!$A57="","",'COPY 10 %'!H57)</f>
        <v/>
      </c>
      <c r="L57" s="7">
        <f>IF('COPY 10 %'!$A57="","",'COPY 10 %'!T57)</f>
        <v/>
      </c>
      <c r="M57">
        <f>IF('COPY 10 %'!$A57="","",'COPY 10 %'!G57)</f>
        <v/>
      </c>
    </row>
    <row r="58">
      <c r="A58">
        <f>IF('COPY 10 %'!$A58="","",ROWS($A$2:$A58))</f>
        <v/>
      </c>
      <c r="B58">
        <f>IF('COPY 10 %'!$A58="","",'COPY 10 %'!E58)</f>
        <v/>
      </c>
      <c r="C58">
        <f>IF('COPY 10 %'!$A58="","",'COPY 10 %'!F58)</f>
        <v/>
      </c>
      <c r="D58" s="14">
        <f>IF('COPY 10 %'!$A58="","",'COPY 10 %'!I58)</f>
        <v/>
      </c>
      <c r="E58" s="7">
        <f>IF('COPY 10 %'!$A58="","",'COPY 10 %'!O58)</f>
        <v/>
      </c>
      <c r="F58" s="7">
        <f>IF('COPY 10 %'!$A58="","",'COPY 10 %'!L58)</f>
        <v/>
      </c>
      <c r="G58" s="7">
        <f>IF('COPY 10 %'!$A58="","",'COPY 10 %'!S58)</f>
        <v/>
      </c>
      <c r="H58">
        <f>IF('COPY 10 %'!$A58="","",'COPY 10 %'!P58)</f>
        <v/>
      </c>
      <c r="I58">
        <f>IF('COPY 10 %'!$A58="","",'COPY 10 %'!M58)</f>
        <v/>
      </c>
      <c r="J58" s="7">
        <f>IF('COPY 10 %'!$A58="","",'COPY 10 %'!Q58)</f>
        <v/>
      </c>
      <c r="K58" s="7">
        <f>IF('COPY 10 %'!$A58="","",'COPY 10 %'!H58)</f>
        <v/>
      </c>
      <c r="L58" s="7">
        <f>IF('COPY 10 %'!$A58="","",'COPY 10 %'!T58)</f>
        <v/>
      </c>
      <c r="M58">
        <f>IF('COPY 10 %'!$A58="","",'COPY 10 %'!G58)</f>
        <v/>
      </c>
    </row>
    <row r="59">
      <c r="A59">
        <f>IF('COPY 10 %'!$A59="","",ROWS($A$2:$A59))</f>
        <v/>
      </c>
      <c r="B59">
        <f>IF('COPY 10 %'!$A59="","",'COPY 10 %'!E59)</f>
        <v/>
      </c>
      <c r="C59">
        <f>IF('COPY 10 %'!$A59="","",'COPY 10 %'!F59)</f>
        <v/>
      </c>
      <c r="D59" s="14">
        <f>IF('COPY 10 %'!$A59="","",'COPY 10 %'!I59)</f>
        <v/>
      </c>
      <c r="E59" s="7">
        <f>IF('COPY 10 %'!$A59="","",'COPY 10 %'!O59)</f>
        <v/>
      </c>
      <c r="F59" s="7">
        <f>IF('COPY 10 %'!$A59="","",'COPY 10 %'!L59)</f>
        <v/>
      </c>
      <c r="G59" s="7">
        <f>IF('COPY 10 %'!$A59="","",'COPY 10 %'!S59)</f>
        <v/>
      </c>
      <c r="H59">
        <f>IF('COPY 10 %'!$A59="","",'COPY 10 %'!P59)</f>
        <v/>
      </c>
      <c r="I59">
        <f>IF('COPY 10 %'!$A59="","",'COPY 10 %'!M59)</f>
        <v/>
      </c>
      <c r="J59" s="7">
        <f>IF('COPY 10 %'!$A59="","",'COPY 10 %'!Q59)</f>
        <v/>
      </c>
      <c r="K59" s="7">
        <f>IF('COPY 10 %'!$A59="","",'COPY 10 %'!H59)</f>
        <v/>
      </c>
      <c r="L59" s="7">
        <f>IF('COPY 10 %'!$A59="","",'COPY 10 %'!T59)</f>
        <v/>
      </c>
      <c r="M59">
        <f>IF('COPY 10 %'!$A59="","",'COPY 10 %'!G59)</f>
        <v/>
      </c>
    </row>
    <row r="60">
      <c r="A60">
        <f>IF('COPY 10 %'!$A60="","",ROWS($A$2:$A60))</f>
        <v/>
      </c>
      <c r="B60">
        <f>IF('COPY 10 %'!$A60="","",'COPY 10 %'!E60)</f>
        <v/>
      </c>
      <c r="C60">
        <f>IF('COPY 10 %'!$A60="","",'COPY 10 %'!F60)</f>
        <v/>
      </c>
      <c r="D60" s="14">
        <f>IF('COPY 10 %'!$A60="","",'COPY 10 %'!I60)</f>
        <v/>
      </c>
      <c r="E60" s="7">
        <f>IF('COPY 10 %'!$A60="","",'COPY 10 %'!O60)</f>
        <v/>
      </c>
      <c r="F60" s="7">
        <f>IF('COPY 10 %'!$A60="","",'COPY 10 %'!L60)</f>
        <v/>
      </c>
      <c r="G60" s="7">
        <f>IF('COPY 10 %'!$A60="","",'COPY 10 %'!S60)</f>
        <v/>
      </c>
      <c r="H60">
        <f>IF('COPY 10 %'!$A60="","",'COPY 10 %'!P60)</f>
        <v/>
      </c>
      <c r="I60">
        <f>IF('COPY 10 %'!$A60="","",'COPY 10 %'!M60)</f>
        <v/>
      </c>
      <c r="J60" s="7">
        <f>IF('COPY 10 %'!$A60="","",'COPY 10 %'!Q60)</f>
        <v/>
      </c>
      <c r="K60" s="7">
        <f>IF('COPY 10 %'!$A60="","",'COPY 10 %'!H60)</f>
        <v/>
      </c>
      <c r="L60" s="7">
        <f>IF('COPY 10 %'!$A60="","",'COPY 10 %'!T60)</f>
        <v/>
      </c>
      <c r="M60">
        <f>IF('COPY 10 %'!$A60="","",'COPY 10 %'!G60)</f>
        <v/>
      </c>
    </row>
    <row r="61">
      <c r="A61">
        <f>IF('COPY 10 %'!$A61="","",ROWS($A$2:$A61))</f>
        <v/>
      </c>
      <c r="B61">
        <f>IF('COPY 10 %'!$A61="","",'COPY 10 %'!E61)</f>
        <v/>
      </c>
      <c r="C61">
        <f>IF('COPY 10 %'!$A61="","",'COPY 10 %'!F61)</f>
        <v/>
      </c>
      <c r="D61" s="14">
        <f>IF('COPY 10 %'!$A61="","",'COPY 10 %'!I61)</f>
        <v/>
      </c>
      <c r="E61" s="7">
        <f>IF('COPY 10 %'!$A61="","",'COPY 10 %'!O61)</f>
        <v/>
      </c>
      <c r="F61" s="7">
        <f>IF('COPY 10 %'!$A61="","",'COPY 10 %'!L61)</f>
        <v/>
      </c>
      <c r="G61" s="7">
        <f>IF('COPY 10 %'!$A61="","",'COPY 10 %'!S61)</f>
        <v/>
      </c>
      <c r="H61">
        <f>IF('COPY 10 %'!$A61="","",'COPY 10 %'!P61)</f>
        <v/>
      </c>
      <c r="I61">
        <f>IF('COPY 10 %'!$A61="","",'COPY 10 %'!M61)</f>
        <v/>
      </c>
      <c r="J61" s="7">
        <f>IF('COPY 10 %'!$A61="","",'COPY 10 %'!Q61)</f>
        <v/>
      </c>
      <c r="K61" s="7">
        <f>IF('COPY 10 %'!$A61="","",'COPY 10 %'!H61)</f>
        <v/>
      </c>
      <c r="L61" s="7">
        <f>IF('COPY 10 %'!$A61="","",'COPY 10 %'!T61)</f>
        <v/>
      </c>
      <c r="M61">
        <f>IF('COPY 10 %'!$A61="","",'COPY 10 %'!G61)</f>
        <v/>
      </c>
    </row>
    <row r="62">
      <c r="A62">
        <f>IF('COPY 10 %'!$A62="","",ROWS($A$2:$A62))</f>
        <v/>
      </c>
      <c r="B62">
        <f>IF('COPY 10 %'!$A62="","",'COPY 10 %'!E62)</f>
        <v/>
      </c>
      <c r="C62">
        <f>IF('COPY 10 %'!$A62="","",'COPY 10 %'!F62)</f>
        <v/>
      </c>
      <c r="D62" s="14">
        <f>IF('COPY 10 %'!$A62="","",'COPY 10 %'!I62)</f>
        <v/>
      </c>
      <c r="E62" s="7">
        <f>IF('COPY 10 %'!$A62="","",'COPY 10 %'!O62)</f>
        <v/>
      </c>
      <c r="F62" s="7">
        <f>IF('COPY 10 %'!$A62="","",'COPY 10 %'!L62)</f>
        <v/>
      </c>
      <c r="G62" s="7">
        <f>IF('COPY 10 %'!$A62="","",'COPY 10 %'!S62)</f>
        <v/>
      </c>
      <c r="H62">
        <f>IF('COPY 10 %'!$A62="","",'COPY 10 %'!P62)</f>
        <v/>
      </c>
      <c r="I62">
        <f>IF('COPY 10 %'!$A62="","",'COPY 10 %'!M62)</f>
        <v/>
      </c>
      <c r="J62" s="7">
        <f>IF('COPY 10 %'!$A62="","",'COPY 10 %'!Q62)</f>
        <v/>
      </c>
      <c r="K62" s="7">
        <f>IF('COPY 10 %'!$A62="","",'COPY 10 %'!H62)</f>
        <v/>
      </c>
      <c r="L62" s="7">
        <f>IF('COPY 10 %'!$A62="","",'COPY 10 %'!T62)</f>
        <v/>
      </c>
      <c r="M62">
        <f>IF('COPY 10 %'!$A62="","",'COPY 10 %'!G62)</f>
        <v/>
      </c>
    </row>
    <row r="63">
      <c r="A63">
        <f>IF('COPY 10 %'!$A63="","",ROWS($A$2:$A63))</f>
        <v/>
      </c>
      <c r="B63">
        <f>IF('COPY 10 %'!$A63="","",'COPY 10 %'!E63)</f>
        <v/>
      </c>
      <c r="C63">
        <f>IF('COPY 10 %'!$A63="","",'COPY 10 %'!F63)</f>
        <v/>
      </c>
      <c r="D63" s="14">
        <f>IF('COPY 10 %'!$A63="","",'COPY 10 %'!I63)</f>
        <v/>
      </c>
      <c r="E63" s="7">
        <f>IF('COPY 10 %'!$A63="","",'COPY 10 %'!O63)</f>
        <v/>
      </c>
      <c r="F63" s="7">
        <f>IF('COPY 10 %'!$A63="","",'COPY 10 %'!L63)</f>
        <v/>
      </c>
      <c r="G63" s="7">
        <f>IF('COPY 10 %'!$A63="","",'COPY 10 %'!S63)</f>
        <v/>
      </c>
      <c r="H63">
        <f>IF('COPY 10 %'!$A63="","",'COPY 10 %'!P63)</f>
        <v/>
      </c>
      <c r="I63">
        <f>IF('COPY 10 %'!$A63="","",'COPY 10 %'!M63)</f>
        <v/>
      </c>
      <c r="J63" s="7">
        <f>IF('COPY 10 %'!$A63="","",'COPY 10 %'!Q63)</f>
        <v/>
      </c>
      <c r="K63" s="7">
        <f>IF('COPY 10 %'!$A63="","",'COPY 10 %'!H63)</f>
        <v/>
      </c>
      <c r="L63" s="7">
        <f>IF('COPY 10 %'!$A63="","",'COPY 10 %'!T63)</f>
        <v/>
      </c>
      <c r="M63">
        <f>IF('COPY 10 %'!$A63="","",'COPY 10 %'!G63)</f>
        <v/>
      </c>
    </row>
    <row r="64">
      <c r="A64">
        <f>IF('COPY 10 %'!$A64="","",ROWS($A$2:$A64))</f>
        <v/>
      </c>
      <c r="B64">
        <f>IF('COPY 10 %'!$A64="","",'COPY 10 %'!E64)</f>
        <v/>
      </c>
      <c r="C64">
        <f>IF('COPY 10 %'!$A64="","",'COPY 10 %'!F64)</f>
        <v/>
      </c>
      <c r="D64" s="14">
        <f>IF('COPY 10 %'!$A64="","",'COPY 10 %'!I64)</f>
        <v/>
      </c>
      <c r="E64" s="7">
        <f>IF('COPY 10 %'!$A64="","",'COPY 10 %'!O64)</f>
        <v/>
      </c>
      <c r="F64" s="7">
        <f>IF('COPY 10 %'!$A64="","",'COPY 10 %'!L64)</f>
        <v/>
      </c>
      <c r="G64" s="7">
        <f>IF('COPY 10 %'!$A64="","",'COPY 10 %'!S64)</f>
        <v/>
      </c>
      <c r="H64">
        <f>IF('COPY 10 %'!$A64="","",'COPY 10 %'!P64)</f>
        <v/>
      </c>
      <c r="I64">
        <f>IF('COPY 10 %'!$A64="","",'COPY 10 %'!M64)</f>
        <v/>
      </c>
      <c r="J64" s="7">
        <f>IF('COPY 10 %'!$A64="","",'COPY 10 %'!Q64)</f>
        <v/>
      </c>
      <c r="K64" s="7">
        <f>IF('COPY 10 %'!$A64="","",'COPY 10 %'!H64)</f>
        <v/>
      </c>
      <c r="L64" s="7">
        <f>IF('COPY 10 %'!$A64="","",'COPY 10 %'!T64)</f>
        <v/>
      </c>
      <c r="M64">
        <f>IF('COPY 10 %'!$A64="","",'COPY 10 %'!G64)</f>
        <v/>
      </c>
    </row>
    <row r="65">
      <c r="A65">
        <f>IF('COPY 10 %'!$A65="","",ROWS($A$2:$A65))</f>
        <v/>
      </c>
      <c r="B65">
        <f>IF('COPY 10 %'!$A65="","",'COPY 10 %'!E65)</f>
        <v/>
      </c>
      <c r="C65">
        <f>IF('COPY 10 %'!$A65="","",'COPY 10 %'!F65)</f>
        <v/>
      </c>
      <c r="D65" s="14">
        <f>IF('COPY 10 %'!$A65="","",'COPY 10 %'!I65)</f>
        <v/>
      </c>
      <c r="E65" s="7">
        <f>IF('COPY 10 %'!$A65="","",'COPY 10 %'!O65)</f>
        <v/>
      </c>
      <c r="F65" s="7">
        <f>IF('COPY 10 %'!$A65="","",'COPY 10 %'!L65)</f>
        <v/>
      </c>
      <c r="G65" s="7">
        <f>IF('COPY 10 %'!$A65="","",'COPY 10 %'!S65)</f>
        <v/>
      </c>
      <c r="H65">
        <f>IF('COPY 10 %'!$A65="","",'COPY 10 %'!P65)</f>
        <v/>
      </c>
      <c r="I65">
        <f>IF('COPY 10 %'!$A65="","",'COPY 10 %'!M65)</f>
        <v/>
      </c>
      <c r="J65" s="7">
        <f>IF('COPY 10 %'!$A65="","",'COPY 10 %'!Q65)</f>
        <v/>
      </c>
      <c r="K65" s="7">
        <f>IF('COPY 10 %'!$A65="","",'COPY 10 %'!H65)</f>
        <v/>
      </c>
      <c r="L65" s="7">
        <f>IF('COPY 10 %'!$A65="","",'COPY 10 %'!T65)</f>
        <v/>
      </c>
      <c r="M65">
        <f>IF('COPY 10 %'!$A65="","",'COPY 10 %'!G65)</f>
        <v/>
      </c>
    </row>
    <row r="66">
      <c r="A66">
        <f>IF('COPY 10 %'!$A66="","",ROWS($A$2:$A66))</f>
        <v/>
      </c>
      <c r="B66">
        <f>IF('COPY 10 %'!$A66="","",'COPY 10 %'!E66)</f>
        <v/>
      </c>
      <c r="C66">
        <f>IF('COPY 10 %'!$A66="","",'COPY 10 %'!F66)</f>
        <v/>
      </c>
      <c r="D66" s="14">
        <f>IF('COPY 10 %'!$A66="","",'COPY 10 %'!I66)</f>
        <v/>
      </c>
      <c r="E66" s="7">
        <f>IF('COPY 10 %'!$A66="","",'COPY 10 %'!O66)</f>
        <v/>
      </c>
      <c r="F66" s="7">
        <f>IF('COPY 10 %'!$A66="","",'COPY 10 %'!L66)</f>
        <v/>
      </c>
      <c r="G66" s="7">
        <f>IF('COPY 10 %'!$A66="","",'COPY 10 %'!S66)</f>
        <v/>
      </c>
      <c r="H66">
        <f>IF('COPY 10 %'!$A66="","",'COPY 10 %'!P66)</f>
        <v/>
      </c>
      <c r="I66">
        <f>IF('COPY 10 %'!$A66="","",'COPY 10 %'!M66)</f>
        <v/>
      </c>
      <c r="J66" s="7">
        <f>IF('COPY 10 %'!$A66="","",'COPY 10 %'!Q66)</f>
        <v/>
      </c>
      <c r="K66" s="7">
        <f>IF('COPY 10 %'!$A66="","",'COPY 10 %'!H66)</f>
        <v/>
      </c>
      <c r="L66" s="7">
        <f>IF('COPY 10 %'!$A66="","",'COPY 10 %'!T66)</f>
        <v/>
      </c>
      <c r="M66">
        <f>IF('COPY 10 %'!$A66="","",'COPY 10 %'!G66)</f>
        <v/>
      </c>
    </row>
    <row r="67">
      <c r="A67">
        <f>IF('COPY 10 %'!$A67="","",ROWS($A$2:$A67))</f>
        <v/>
      </c>
      <c r="B67">
        <f>IF('COPY 10 %'!$A67="","",'COPY 10 %'!E67)</f>
        <v/>
      </c>
      <c r="C67">
        <f>IF('COPY 10 %'!$A67="","",'COPY 10 %'!F67)</f>
        <v/>
      </c>
      <c r="D67" s="14">
        <f>IF('COPY 10 %'!$A67="","",'COPY 10 %'!I67)</f>
        <v/>
      </c>
      <c r="E67" s="7">
        <f>IF('COPY 10 %'!$A67="","",'COPY 10 %'!O67)</f>
        <v/>
      </c>
      <c r="F67" s="7">
        <f>IF('COPY 10 %'!$A67="","",'COPY 10 %'!L67)</f>
        <v/>
      </c>
      <c r="G67" s="7">
        <f>IF('COPY 10 %'!$A67="","",'COPY 10 %'!S67)</f>
        <v/>
      </c>
      <c r="H67">
        <f>IF('COPY 10 %'!$A67="","",'COPY 10 %'!P67)</f>
        <v/>
      </c>
      <c r="I67">
        <f>IF('COPY 10 %'!$A67="","",'COPY 10 %'!M67)</f>
        <v/>
      </c>
      <c r="J67" s="7">
        <f>IF('COPY 10 %'!$A67="","",'COPY 10 %'!Q67)</f>
        <v/>
      </c>
      <c r="K67" s="7">
        <f>IF('COPY 10 %'!$A67="","",'COPY 10 %'!H67)</f>
        <v/>
      </c>
      <c r="L67" s="7">
        <f>IF('COPY 10 %'!$A67="","",'COPY 10 %'!T67)</f>
        <v/>
      </c>
      <c r="M67">
        <f>IF('COPY 10 %'!$A67="","",'COPY 10 %'!G67)</f>
        <v/>
      </c>
    </row>
    <row r="68">
      <c r="A68">
        <f>IF('COPY 10 %'!$A68="","",ROWS($A$2:$A68))</f>
        <v/>
      </c>
      <c r="B68">
        <f>IF('COPY 10 %'!$A68="","",'COPY 10 %'!E68)</f>
        <v/>
      </c>
      <c r="C68">
        <f>IF('COPY 10 %'!$A68="","",'COPY 10 %'!F68)</f>
        <v/>
      </c>
      <c r="D68" s="14">
        <f>IF('COPY 10 %'!$A68="","",'COPY 10 %'!I68)</f>
        <v/>
      </c>
      <c r="E68" s="7">
        <f>IF('COPY 10 %'!$A68="","",'COPY 10 %'!O68)</f>
        <v/>
      </c>
      <c r="F68" s="7">
        <f>IF('COPY 10 %'!$A68="","",'COPY 10 %'!L68)</f>
        <v/>
      </c>
      <c r="G68" s="7">
        <f>IF('COPY 10 %'!$A68="","",'COPY 10 %'!S68)</f>
        <v/>
      </c>
      <c r="H68">
        <f>IF('COPY 10 %'!$A68="","",'COPY 10 %'!P68)</f>
        <v/>
      </c>
      <c r="I68">
        <f>IF('COPY 10 %'!$A68="","",'COPY 10 %'!M68)</f>
        <v/>
      </c>
      <c r="J68" s="7">
        <f>IF('COPY 10 %'!$A68="","",'COPY 10 %'!Q68)</f>
        <v/>
      </c>
      <c r="K68" s="7">
        <f>IF('COPY 10 %'!$A68="","",'COPY 10 %'!H68)</f>
        <v/>
      </c>
      <c r="L68" s="7">
        <f>IF('COPY 10 %'!$A68="","",'COPY 10 %'!T68)</f>
        <v/>
      </c>
      <c r="M68">
        <f>IF('COPY 10 %'!$A68="","",'COPY 10 %'!G68)</f>
        <v/>
      </c>
    </row>
    <row r="69">
      <c r="A69">
        <f>IF('COPY 10 %'!$A69="","",ROWS($A$2:$A69))</f>
        <v/>
      </c>
      <c r="B69">
        <f>IF('COPY 10 %'!$A69="","",'COPY 10 %'!E69)</f>
        <v/>
      </c>
      <c r="C69">
        <f>IF('COPY 10 %'!$A69="","",'COPY 10 %'!F69)</f>
        <v/>
      </c>
      <c r="D69" s="14">
        <f>IF('COPY 10 %'!$A69="","",'COPY 10 %'!I69)</f>
        <v/>
      </c>
      <c r="E69" s="7">
        <f>IF('COPY 10 %'!$A69="","",'COPY 10 %'!O69)</f>
        <v/>
      </c>
      <c r="F69" s="7">
        <f>IF('COPY 10 %'!$A69="","",'COPY 10 %'!L69)</f>
        <v/>
      </c>
      <c r="G69" s="7">
        <f>IF('COPY 10 %'!$A69="","",'COPY 10 %'!S69)</f>
        <v/>
      </c>
      <c r="H69">
        <f>IF('COPY 10 %'!$A69="","",'COPY 10 %'!P69)</f>
        <v/>
      </c>
      <c r="I69">
        <f>IF('COPY 10 %'!$A69="","",'COPY 10 %'!M69)</f>
        <v/>
      </c>
      <c r="J69" s="7">
        <f>IF('COPY 10 %'!$A69="","",'COPY 10 %'!Q69)</f>
        <v/>
      </c>
      <c r="K69" s="7">
        <f>IF('COPY 10 %'!$A69="","",'COPY 10 %'!H69)</f>
        <v/>
      </c>
      <c r="L69" s="7">
        <f>IF('COPY 10 %'!$A69="","",'COPY 10 %'!T69)</f>
        <v/>
      </c>
      <c r="M69">
        <f>IF('COPY 10 %'!$A69="","",'COPY 10 %'!G69)</f>
        <v/>
      </c>
    </row>
    <row r="70">
      <c r="A70">
        <f>IF('COPY 10 %'!$A70="","",ROWS($A$2:$A70))</f>
        <v/>
      </c>
      <c r="B70">
        <f>IF('COPY 10 %'!$A70="","",'COPY 10 %'!E70)</f>
        <v/>
      </c>
      <c r="C70">
        <f>IF('COPY 10 %'!$A70="","",'COPY 10 %'!F70)</f>
        <v/>
      </c>
      <c r="D70" s="14">
        <f>IF('COPY 10 %'!$A70="","",'COPY 10 %'!I70)</f>
        <v/>
      </c>
      <c r="E70" s="7">
        <f>IF('COPY 10 %'!$A70="","",'COPY 10 %'!O70)</f>
        <v/>
      </c>
      <c r="F70" s="7">
        <f>IF('COPY 10 %'!$A70="","",'COPY 10 %'!L70)</f>
        <v/>
      </c>
      <c r="G70" s="7">
        <f>IF('COPY 10 %'!$A70="","",'COPY 10 %'!S70)</f>
        <v/>
      </c>
      <c r="H70">
        <f>IF('COPY 10 %'!$A70="","",'COPY 10 %'!P70)</f>
        <v/>
      </c>
      <c r="I70">
        <f>IF('COPY 10 %'!$A70="","",'COPY 10 %'!M70)</f>
        <v/>
      </c>
      <c r="J70" s="7">
        <f>IF('COPY 10 %'!$A70="","",'COPY 10 %'!Q70)</f>
        <v/>
      </c>
      <c r="K70" s="7">
        <f>IF('COPY 10 %'!$A70="","",'COPY 10 %'!H70)</f>
        <v/>
      </c>
      <c r="L70" s="7">
        <f>IF('COPY 10 %'!$A70="","",'COPY 10 %'!T70)</f>
        <v/>
      </c>
      <c r="M70">
        <f>IF('COPY 10 %'!$A70="","",'COPY 10 %'!G70)</f>
        <v/>
      </c>
    </row>
    <row r="71">
      <c r="A71">
        <f>IF('COPY 10 %'!$A71="","",ROWS($A$2:$A71))</f>
        <v/>
      </c>
      <c r="B71">
        <f>IF('COPY 10 %'!$A71="","",'COPY 10 %'!E71)</f>
        <v/>
      </c>
      <c r="C71">
        <f>IF('COPY 10 %'!$A71="","",'COPY 10 %'!F71)</f>
        <v/>
      </c>
      <c r="D71" s="14">
        <f>IF('COPY 10 %'!$A71="","",'COPY 10 %'!I71)</f>
        <v/>
      </c>
      <c r="E71" s="7">
        <f>IF('COPY 10 %'!$A71="","",'COPY 10 %'!O71)</f>
        <v/>
      </c>
      <c r="F71" s="7">
        <f>IF('COPY 10 %'!$A71="","",'COPY 10 %'!L71)</f>
        <v/>
      </c>
      <c r="G71" s="7">
        <f>IF('COPY 10 %'!$A71="","",'COPY 10 %'!S71)</f>
        <v/>
      </c>
      <c r="H71">
        <f>IF('COPY 10 %'!$A71="","",'COPY 10 %'!P71)</f>
        <v/>
      </c>
      <c r="I71">
        <f>IF('COPY 10 %'!$A71="","",'COPY 10 %'!M71)</f>
        <v/>
      </c>
      <c r="J71" s="7">
        <f>IF('COPY 10 %'!$A71="","",'COPY 10 %'!Q71)</f>
        <v/>
      </c>
      <c r="K71" s="7">
        <f>IF('COPY 10 %'!$A71="","",'COPY 10 %'!H71)</f>
        <v/>
      </c>
      <c r="L71" s="7">
        <f>IF('COPY 10 %'!$A71="","",'COPY 10 %'!T71)</f>
        <v/>
      </c>
      <c r="M71">
        <f>IF('COPY 10 %'!$A71="","",'COPY 10 %'!G71)</f>
        <v/>
      </c>
    </row>
    <row r="72">
      <c r="A72">
        <f>IF('COPY 10 %'!$A72="","",ROWS($A$2:$A72))</f>
        <v/>
      </c>
      <c r="B72">
        <f>IF('COPY 10 %'!$A72="","",'COPY 10 %'!E72)</f>
        <v/>
      </c>
      <c r="C72">
        <f>IF('COPY 10 %'!$A72="","",'COPY 10 %'!F72)</f>
        <v/>
      </c>
      <c r="D72" s="14">
        <f>IF('COPY 10 %'!$A72="","",'COPY 10 %'!I72)</f>
        <v/>
      </c>
      <c r="E72" s="7">
        <f>IF('COPY 10 %'!$A72="","",'COPY 10 %'!O72)</f>
        <v/>
      </c>
      <c r="F72" s="7">
        <f>IF('COPY 10 %'!$A72="","",'COPY 10 %'!L72)</f>
        <v/>
      </c>
      <c r="G72" s="7">
        <f>IF('COPY 10 %'!$A72="","",'COPY 10 %'!S72)</f>
        <v/>
      </c>
      <c r="H72">
        <f>IF('COPY 10 %'!$A72="","",'COPY 10 %'!P72)</f>
        <v/>
      </c>
      <c r="I72">
        <f>IF('COPY 10 %'!$A72="","",'COPY 10 %'!M72)</f>
        <v/>
      </c>
      <c r="J72" s="7">
        <f>IF('COPY 10 %'!$A72="","",'COPY 10 %'!Q72)</f>
        <v/>
      </c>
      <c r="K72" s="7">
        <f>IF('COPY 10 %'!$A72="","",'COPY 10 %'!H72)</f>
        <v/>
      </c>
      <c r="L72" s="7">
        <f>IF('COPY 10 %'!$A72="","",'COPY 10 %'!T72)</f>
        <v/>
      </c>
      <c r="M72">
        <f>IF('COPY 10 %'!$A72="","",'COPY 10 %'!G72)</f>
        <v/>
      </c>
    </row>
    <row r="73">
      <c r="A73">
        <f>IF('COPY 10 %'!$A73="","",ROWS($A$2:$A73))</f>
        <v/>
      </c>
      <c r="B73">
        <f>IF('COPY 10 %'!$A73="","",'COPY 10 %'!E73)</f>
        <v/>
      </c>
      <c r="C73">
        <f>IF('COPY 10 %'!$A73="","",'COPY 10 %'!F73)</f>
        <v/>
      </c>
      <c r="D73" s="14">
        <f>IF('COPY 10 %'!$A73="","",'COPY 10 %'!I73)</f>
        <v/>
      </c>
      <c r="E73" s="7">
        <f>IF('COPY 10 %'!$A73="","",'COPY 10 %'!O73)</f>
        <v/>
      </c>
      <c r="F73" s="7">
        <f>IF('COPY 10 %'!$A73="","",'COPY 10 %'!L73)</f>
        <v/>
      </c>
      <c r="G73" s="7">
        <f>IF('COPY 10 %'!$A73="","",'COPY 10 %'!S73)</f>
        <v/>
      </c>
      <c r="H73">
        <f>IF('COPY 10 %'!$A73="","",'COPY 10 %'!P73)</f>
        <v/>
      </c>
      <c r="I73">
        <f>IF('COPY 10 %'!$A73="","",'COPY 10 %'!M73)</f>
        <v/>
      </c>
      <c r="J73" s="7">
        <f>IF('COPY 10 %'!$A73="","",'COPY 10 %'!Q73)</f>
        <v/>
      </c>
      <c r="K73" s="7">
        <f>IF('COPY 10 %'!$A73="","",'COPY 10 %'!H73)</f>
        <v/>
      </c>
      <c r="L73" s="7">
        <f>IF('COPY 10 %'!$A73="","",'COPY 10 %'!T73)</f>
        <v/>
      </c>
      <c r="M73">
        <f>IF('COPY 10 %'!$A73="","",'COPY 10 %'!G73)</f>
        <v/>
      </c>
    </row>
    <row r="74">
      <c r="A74">
        <f>IF('COPY 10 %'!$A74="","",ROWS($A$2:$A74))</f>
        <v/>
      </c>
      <c r="B74">
        <f>IF('COPY 10 %'!$A74="","",'COPY 10 %'!E74)</f>
        <v/>
      </c>
      <c r="C74">
        <f>IF('COPY 10 %'!$A74="","",'COPY 10 %'!F74)</f>
        <v/>
      </c>
      <c r="D74" s="14">
        <f>IF('COPY 10 %'!$A74="","",'COPY 10 %'!I74)</f>
        <v/>
      </c>
      <c r="E74" s="7">
        <f>IF('COPY 10 %'!$A74="","",'COPY 10 %'!O74)</f>
        <v/>
      </c>
      <c r="F74" s="7">
        <f>IF('COPY 10 %'!$A74="","",'COPY 10 %'!L74)</f>
        <v/>
      </c>
      <c r="G74" s="7">
        <f>IF('COPY 10 %'!$A74="","",'COPY 10 %'!S74)</f>
        <v/>
      </c>
      <c r="H74">
        <f>IF('COPY 10 %'!$A74="","",'COPY 10 %'!P74)</f>
        <v/>
      </c>
      <c r="I74">
        <f>IF('COPY 10 %'!$A74="","",'COPY 10 %'!M74)</f>
        <v/>
      </c>
      <c r="J74" s="7">
        <f>IF('COPY 10 %'!$A74="","",'COPY 10 %'!Q74)</f>
        <v/>
      </c>
      <c r="K74" s="7">
        <f>IF('COPY 10 %'!$A74="","",'COPY 10 %'!H74)</f>
        <v/>
      </c>
      <c r="L74" s="7">
        <f>IF('COPY 10 %'!$A74="","",'COPY 10 %'!T74)</f>
        <v/>
      </c>
      <c r="M74">
        <f>IF('COPY 10 %'!$A74="","",'COPY 10 %'!G74)</f>
        <v/>
      </c>
    </row>
    <row r="75">
      <c r="A75">
        <f>IF('COPY 10 %'!$A75="","",ROWS($A$2:$A75))</f>
        <v/>
      </c>
      <c r="B75">
        <f>IF('COPY 10 %'!$A75="","",'COPY 10 %'!E75)</f>
        <v/>
      </c>
      <c r="C75">
        <f>IF('COPY 10 %'!$A75="","",'COPY 10 %'!F75)</f>
        <v/>
      </c>
      <c r="D75" s="14">
        <f>IF('COPY 10 %'!$A75="","",'COPY 10 %'!I75)</f>
        <v/>
      </c>
      <c r="E75" s="7">
        <f>IF('COPY 10 %'!$A75="","",'COPY 10 %'!O75)</f>
        <v/>
      </c>
      <c r="F75" s="7">
        <f>IF('COPY 10 %'!$A75="","",'COPY 10 %'!L75)</f>
        <v/>
      </c>
      <c r="G75" s="7">
        <f>IF('COPY 10 %'!$A75="","",'COPY 10 %'!S75)</f>
        <v/>
      </c>
      <c r="H75">
        <f>IF('COPY 10 %'!$A75="","",'COPY 10 %'!P75)</f>
        <v/>
      </c>
      <c r="I75">
        <f>IF('COPY 10 %'!$A75="","",'COPY 10 %'!M75)</f>
        <v/>
      </c>
      <c r="J75" s="7">
        <f>IF('COPY 10 %'!$A75="","",'COPY 10 %'!Q75)</f>
        <v/>
      </c>
      <c r="K75" s="7">
        <f>IF('COPY 10 %'!$A75="","",'COPY 10 %'!H75)</f>
        <v/>
      </c>
      <c r="L75" s="7">
        <f>IF('COPY 10 %'!$A75="","",'COPY 10 %'!T75)</f>
        <v/>
      </c>
      <c r="M75">
        <f>IF('COPY 10 %'!$A75="","",'COPY 10 %'!G75)</f>
        <v/>
      </c>
    </row>
    <row r="76">
      <c r="A76">
        <f>IF('COPY 10 %'!$A76="","",ROWS($A$2:$A76))</f>
        <v/>
      </c>
      <c r="B76">
        <f>IF('COPY 10 %'!$A76="","",'COPY 10 %'!E76)</f>
        <v/>
      </c>
      <c r="C76">
        <f>IF('COPY 10 %'!$A76="","",'COPY 10 %'!F76)</f>
        <v/>
      </c>
      <c r="D76" s="14">
        <f>IF('COPY 10 %'!$A76="","",'COPY 10 %'!I76)</f>
        <v/>
      </c>
      <c r="E76" s="7">
        <f>IF('COPY 10 %'!$A76="","",'COPY 10 %'!O76)</f>
        <v/>
      </c>
      <c r="F76" s="7">
        <f>IF('COPY 10 %'!$A76="","",'COPY 10 %'!L76)</f>
        <v/>
      </c>
      <c r="G76" s="7">
        <f>IF('COPY 10 %'!$A76="","",'COPY 10 %'!S76)</f>
        <v/>
      </c>
      <c r="H76">
        <f>IF('COPY 10 %'!$A76="","",'COPY 10 %'!P76)</f>
        <v/>
      </c>
      <c r="I76">
        <f>IF('COPY 10 %'!$A76="","",'COPY 10 %'!M76)</f>
        <v/>
      </c>
      <c r="J76" s="7">
        <f>IF('COPY 10 %'!$A76="","",'COPY 10 %'!Q76)</f>
        <v/>
      </c>
      <c r="K76" s="7">
        <f>IF('COPY 10 %'!$A76="","",'COPY 10 %'!H76)</f>
        <v/>
      </c>
      <c r="L76" s="7">
        <f>IF('COPY 10 %'!$A76="","",'COPY 10 %'!T76)</f>
        <v/>
      </c>
      <c r="M76">
        <f>IF('COPY 10 %'!$A76="","",'COPY 10 %'!G76)</f>
        <v/>
      </c>
    </row>
    <row r="77">
      <c r="A77">
        <f>IF('COPY 10 %'!$A77="","",ROWS($A$2:$A77))</f>
        <v/>
      </c>
      <c r="B77">
        <f>IF('COPY 10 %'!$A77="","",'COPY 10 %'!E77)</f>
        <v/>
      </c>
      <c r="C77">
        <f>IF('COPY 10 %'!$A77="","",'COPY 10 %'!F77)</f>
        <v/>
      </c>
      <c r="D77" s="14">
        <f>IF('COPY 10 %'!$A77="","",'COPY 10 %'!I77)</f>
        <v/>
      </c>
      <c r="E77" s="7">
        <f>IF('COPY 10 %'!$A77="","",'COPY 10 %'!O77)</f>
        <v/>
      </c>
      <c r="F77" s="7">
        <f>IF('COPY 10 %'!$A77="","",'COPY 10 %'!L77)</f>
        <v/>
      </c>
      <c r="G77" s="7">
        <f>IF('COPY 10 %'!$A77="","",'COPY 10 %'!S77)</f>
        <v/>
      </c>
      <c r="H77">
        <f>IF('COPY 10 %'!$A77="","",'COPY 10 %'!P77)</f>
        <v/>
      </c>
      <c r="I77">
        <f>IF('COPY 10 %'!$A77="","",'COPY 10 %'!M77)</f>
        <v/>
      </c>
      <c r="J77" s="7">
        <f>IF('COPY 10 %'!$A77="","",'COPY 10 %'!Q77)</f>
        <v/>
      </c>
      <c r="K77" s="7">
        <f>IF('COPY 10 %'!$A77="","",'COPY 10 %'!H77)</f>
        <v/>
      </c>
      <c r="L77" s="7">
        <f>IF('COPY 10 %'!$A77="","",'COPY 10 %'!T77)</f>
        <v/>
      </c>
      <c r="M77">
        <f>IF('COPY 10 %'!$A77="","",'COPY 10 %'!G77)</f>
        <v/>
      </c>
    </row>
    <row r="78">
      <c r="A78">
        <f>IF('COPY 10 %'!$A78="","",ROWS($A$2:$A78))</f>
        <v/>
      </c>
      <c r="B78">
        <f>IF('COPY 10 %'!$A78="","",'COPY 10 %'!E78)</f>
        <v/>
      </c>
      <c r="C78">
        <f>IF('COPY 10 %'!$A78="","",'COPY 10 %'!F78)</f>
        <v/>
      </c>
      <c r="D78" s="14">
        <f>IF('COPY 10 %'!$A78="","",'COPY 10 %'!I78)</f>
        <v/>
      </c>
      <c r="E78" s="7">
        <f>IF('COPY 10 %'!$A78="","",'COPY 10 %'!O78)</f>
        <v/>
      </c>
      <c r="F78" s="7">
        <f>IF('COPY 10 %'!$A78="","",'COPY 10 %'!L78)</f>
        <v/>
      </c>
      <c r="G78" s="7">
        <f>IF('COPY 10 %'!$A78="","",'COPY 10 %'!S78)</f>
        <v/>
      </c>
      <c r="H78">
        <f>IF('COPY 10 %'!$A78="","",'COPY 10 %'!P78)</f>
        <v/>
      </c>
      <c r="I78">
        <f>IF('COPY 10 %'!$A78="","",'COPY 10 %'!M78)</f>
        <v/>
      </c>
      <c r="J78" s="7">
        <f>IF('COPY 10 %'!$A78="","",'COPY 10 %'!Q78)</f>
        <v/>
      </c>
      <c r="K78" s="7">
        <f>IF('COPY 10 %'!$A78="","",'COPY 10 %'!H78)</f>
        <v/>
      </c>
      <c r="L78" s="7">
        <f>IF('COPY 10 %'!$A78="","",'COPY 10 %'!T78)</f>
        <v/>
      </c>
      <c r="M78">
        <f>IF('COPY 10 %'!$A78="","",'COPY 10 %'!G78)</f>
        <v/>
      </c>
    </row>
    <row r="79">
      <c r="A79">
        <f>IF('COPY 10 %'!$A79="","",ROWS($A$2:$A79))</f>
        <v/>
      </c>
      <c r="B79">
        <f>IF('COPY 10 %'!$A79="","",'COPY 10 %'!E79)</f>
        <v/>
      </c>
      <c r="C79">
        <f>IF('COPY 10 %'!$A79="","",'COPY 10 %'!F79)</f>
        <v/>
      </c>
      <c r="D79" s="14">
        <f>IF('COPY 10 %'!$A79="","",'COPY 10 %'!I79)</f>
        <v/>
      </c>
      <c r="E79" s="7">
        <f>IF('COPY 10 %'!$A79="","",'COPY 10 %'!O79)</f>
        <v/>
      </c>
      <c r="F79" s="7">
        <f>IF('COPY 10 %'!$A79="","",'COPY 10 %'!L79)</f>
        <v/>
      </c>
      <c r="G79" s="7">
        <f>IF('COPY 10 %'!$A79="","",'COPY 10 %'!S79)</f>
        <v/>
      </c>
      <c r="H79">
        <f>IF('COPY 10 %'!$A79="","",'COPY 10 %'!P79)</f>
        <v/>
      </c>
      <c r="I79">
        <f>IF('COPY 10 %'!$A79="","",'COPY 10 %'!M79)</f>
        <v/>
      </c>
      <c r="J79" s="7">
        <f>IF('COPY 10 %'!$A79="","",'COPY 10 %'!Q79)</f>
        <v/>
      </c>
      <c r="K79" s="7">
        <f>IF('COPY 10 %'!$A79="","",'COPY 10 %'!H79)</f>
        <v/>
      </c>
      <c r="L79" s="7">
        <f>IF('COPY 10 %'!$A79="","",'COPY 10 %'!T79)</f>
        <v/>
      </c>
      <c r="M79">
        <f>IF('COPY 10 %'!$A79="","",'COPY 10 %'!G79)</f>
        <v/>
      </c>
    </row>
    <row r="80">
      <c r="A80">
        <f>IF('COPY 10 %'!$A80="","",ROWS($A$2:$A80))</f>
        <v/>
      </c>
      <c r="B80">
        <f>IF('COPY 10 %'!$A80="","",'COPY 10 %'!E80)</f>
        <v/>
      </c>
      <c r="C80">
        <f>IF('COPY 10 %'!$A80="","",'COPY 10 %'!F80)</f>
        <v/>
      </c>
      <c r="D80" s="14">
        <f>IF('COPY 10 %'!$A80="","",'COPY 10 %'!I80)</f>
        <v/>
      </c>
      <c r="E80" s="7">
        <f>IF('COPY 10 %'!$A80="","",'COPY 10 %'!O80)</f>
        <v/>
      </c>
      <c r="F80" s="7">
        <f>IF('COPY 10 %'!$A80="","",'COPY 10 %'!L80)</f>
        <v/>
      </c>
      <c r="G80" s="7">
        <f>IF('COPY 10 %'!$A80="","",'COPY 10 %'!S80)</f>
        <v/>
      </c>
      <c r="H80">
        <f>IF('COPY 10 %'!$A80="","",'COPY 10 %'!P80)</f>
        <v/>
      </c>
      <c r="I80">
        <f>IF('COPY 10 %'!$A80="","",'COPY 10 %'!M80)</f>
        <v/>
      </c>
      <c r="J80" s="7">
        <f>IF('COPY 10 %'!$A80="","",'COPY 10 %'!Q80)</f>
        <v/>
      </c>
      <c r="K80" s="7">
        <f>IF('COPY 10 %'!$A80="","",'COPY 10 %'!H80)</f>
        <v/>
      </c>
      <c r="L80" s="7">
        <f>IF('COPY 10 %'!$A80="","",'COPY 10 %'!T80)</f>
        <v/>
      </c>
      <c r="M80">
        <f>IF('COPY 10 %'!$A80="","",'COPY 10 %'!G80)</f>
        <v/>
      </c>
    </row>
    <row r="81">
      <c r="A81">
        <f>IF('COPY 10 %'!$A81="","",ROWS($A$2:$A81))</f>
        <v/>
      </c>
      <c r="B81">
        <f>IF('COPY 10 %'!$A81="","",'COPY 10 %'!E81)</f>
        <v/>
      </c>
      <c r="C81">
        <f>IF('COPY 10 %'!$A81="","",'COPY 10 %'!F81)</f>
        <v/>
      </c>
      <c r="D81" s="14">
        <f>IF('COPY 10 %'!$A81="","",'COPY 10 %'!I81)</f>
        <v/>
      </c>
      <c r="E81" s="7">
        <f>IF('COPY 10 %'!$A81="","",'COPY 10 %'!O81)</f>
        <v/>
      </c>
      <c r="F81" s="7">
        <f>IF('COPY 10 %'!$A81="","",'COPY 10 %'!L81)</f>
        <v/>
      </c>
      <c r="G81" s="7">
        <f>IF('COPY 10 %'!$A81="","",'COPY 10 %'!S81)</f>
        <v/>
      </c>
      <c r="H81">
        <f>IF('COPY 10 %'!$A81="","",'COPY 10 %'!P81)</f>
        <v/>
      </c>
      <c r="I81">
        <f>IF('COPY 10 %'!$A81="","",'COPY 10 %'!M81)</f>
        <v/>
      </c>
      <c r="J81" s="7">
        <f>IF('COPY 10 %'!$A81="","",'COPY 10 %'!Q81)</f>
        <v/>
      </c>
      <c r="K81" s="7">
        <f>IF('COPY 10 %'!$A81="","",'COPY 10 %'!H81)</f>
        <v/>
      </c>
      <c r="L81" s="7">
        <f>IF('COPY 10 %'!$A81="","",'COPY 10 %'!T81)</f>
        <v/>
      </c>
      <c r="M81">
        <f>IF('COPY 10 %'!$A81="","",'COPY 10 %'!G81)</f>
        <v/>
      </c>
    </row>
    <row r="82">
      <c r="A82">
        <f>IF('COPY 10 %'!$A82="","",ROWS($A$2:$A82))</f>
        <v/>
      </c>
      <c r="B82">
        <f>IF('COPY 10 %'!$A82="","",'COPY 10 %'!E82)</f>
        <v/>
      </c>
      <c r="C82">
        <f>IF('COPY 10 %'!$A82="","",'COPY 10 %'!F82)</f>
        <v/>
      </c>
      <c r="D82" s="14">
        <f>IF('COPY 10 %'!$A82="","",'COPY 10 %'!I82)</f>
        <v/>
      </c>
      <c r="E82" s="7">
        <f>IF('COPY 10 %'!$A82="","",'COPY 10 %'!O82)</f>
        <v/>
      </c>
      <c r="F82" s="7">
        <f>IF('COPY 10 %'!$A82="","",'COPY 10 %'!L82)</f>
        <v/>
      </c>
      <c r="G82" s="7">
        <f>IF('COPY 10 %'!$A82="","",'COPY 10 %'!S82)</f>
        <v/>
      </c>
      <c r="H82">
        <f>IF('COPY 10 %'!$A82="","",'COPY 10 %'!P82)</f>
        <v/>
      </c>
      <c r="I82">
        <f>IF('COPY 10 %'!$A82="","",'COPY 10 %'!M82)</f>
        <v/>
      </c>
      <c r="J82" s="7">
        <f>IF('COPY 10 %'!$A82="","",'COPY 10 %'!Q82)</f>
        <v/>
      </c>
      <c r="K82" s="7">
        <f>IF('COPY 10 %'!$A82="","",'COPY 10 %'!H82)</f>
        <v/>
      </c>
      <c r="L82" s="7">
        <f>IF('COPY 10 %'!$A82="","",'COPY 10 %'!T82)</f>
        <v/>
      </c>
      <c r="M82">
        <f>IF('COPY 10 %'!$A82="","",'COPY 10 %'!G82)</f>
        <v/>
      </c>
    </row>
    <row r="83">
      <c r="A83">
        <f>IF('COPY 10 %'!$A83="","",ROWS($A$2:$A83))</f>
        <v/>
      </c>
      <c r="B83">
        <f>IF('COPY 10 %'!$A83="","",'COPY 10 %'!E83)</f>
        <v/>
      </c>
      <c r="C83">
        <f>IF('COPY 10 %'!$A83="","",'COPY 10 %'!F83)</f>
        <v/>
      </c>
      <c r="D83" s="14">
        <f>IF('COPY 10 %'!$A83="","",'COPY 10 %'!I83)</f>
        <v/>
      </c>
      <c r="E83" s="7">
        <f>IF('COPY 10 %'!$A83="","",'COPY 10 %'!O83)</f>
        <v/>
      </c>
      <c r="F83" s="7">
        <f>IF('COPY 10 %'!$A83="","",'COPY 10 %'!L83)</f>
        <v/>
      </c>
      <c r="G83" s="7">
        <f>IF('COPY 10 %'!$A83="","",'COPY 10 %'!S83)</f>
        <v/>
      </c>
      <c r="H83">
        <f>IF('COPY 10 %'!$A83="","",'COPY 10 %'!P83)</f>
        <v/>
      </c>
      <c r="I83">
        <f>IF('COPY 10 %'!$A83="","",'COPY 10 %'!M83)</f>
        <v/>
      </c>
      <c r="J83" s="7">
        <f>IF('COPY 10 %'!$A83="","",'COPY 10 %'!Q83)</f>
        <v/>
      </c>
      <c r="K83" s="7">
        <f>IF('COPY 10 %'!$A83="","",'COPY 10 %'!H83)</f>
        <v/>
      </c>
      <c r="L83" s="7">
        <f>IF('COPY 10 %'!$A83="","",'COPY 10 %'!T83)</f>
        <v/>
      </c>
      <c r="M83">
        <f>IF('COPY 10 %'!$A83="","",'COPY 10 %'!G83)</f>
        <v/>
      </c>
    </row>
    <row r="84">
      <c r="A84">
        <f>IF('COPY 10 %'!$A84="","",ROWS($A$2:$A84))</f>
        <v/>
      </c>
      <c r="B84">
        <f>IF('COPY 10 %'!$A84="","",'COPY 10 %'!E84)</f>
        <v/>
      </c>
      <c r="C84">
        <f>IF('COPY 10 %'!$A84="","",'COPY 10 %'!F84)</f>
        <v/>
      </c>
      <c r="D84" s="14">
        <f>IF('COPY 10 %'!$A84="","",'COPY 10 %'!I84)</f>
        <v/>
      </c>
      <c r="E84" s="7">
        <f>IF('COPY 10 %'!$A84="","",'COPY 10 %'!O84)</f>
        <v/>
      </c>
      <c r="F84" s="7">
        <f>IF('COPY 10 %'!$A84="","",'COPY 10 %'!L84)</f>
        <v/>
      </c>
      <c r="G84" s="7">
        <f>IF('COPY 10 %'!$A84="","",'COPY 10 %'!S84)</f>
        <v/>
      </c>
      <c r="H84">
        <f>IF('COPY 10 %'!$A84="","",'COPY 10 %'!P84)</f>
        <v/>
      </c>
      <c r="I84">
        <f>IF('COPY 10 %'!$A84="","",'COPY 10 %'!M84)</f>
        <v/>
      </c>
      <c r="J84" s="7">
        <f>IF('COPY 10 %'!$A84="","",'COPY 10 %'!Q84)</f>
        <v/>
      </c>
      <c r="K84" s="7">
        <f>IF('COPY 10 %'!$A84="","",'COPY 10 %'!H84)</f>
        <v/>
      </c>
      <c r="L84" s="7">
        <f>IF('COPY 10 %'!$A84="","",'COPY 10 %'!T84)</f>
        <v/>
      </c>
      <c r="M84">
        <f>IF('COPY 10 %'!$A84="","",'COPY 10 %'!G84)</f>
        <v/>
      </c>
    </row>
    <row r="85">
      <c r="A85">
        <f>IF('COPY 10 %'!$A85="","",ROWS($A$2:$A85))</f>
        <v/>
      </c>
      <c r="B85">
        <f>IF('COPY 10 %'!$A85="","",'COPY 10 %'!E85)</f>
        <v/>
      </c>
      <c r="C85">
        <f>IF('COPY 10 %'!$A85="","",'COPY 10 %'!F85)</f>
        <v/>
      </c>
      <c r="D85" s="14">
        <f>IF('COPY 10 %'!$A85="","",'COPY 10 %'!I85)</f>
        <v/>
      </c>
      <c r="E85" s="7">
        <f>IF('COPY 10 %'!$A85="","",'COPY 10 %'!O85)</f>
        <v/>
      </c>
      <c r="F85" s="7">
        <f>IF('COPY 10 %'!$A85="","",'COPY 10 %'!L85)</f>
        <v/>
      </c>
      <c r="G85" s="7">
        <f>IF('COPY 10 %'!$A85="","",'COPY 10 %'!S85)</f>
        <v/>
      </c>
      <c r="H85">
        <f>IF('COPY 10 %'!$A85="","",'COPY 10 %'!P85)</f>
        <v/>
      </c>
      <c r="I85">
        <f>IF('COPY 10 %'!$A85="","",'COPY 10 %'!M85)</f>
        <v/>
      </c>
      <c r="J85" s="7">
        <f>IF('COPY 10 %'!$A85="","",'COPY 10 %'!Q85)</f>
        <v/>
      </c>
      <c r="K85" s="7">
        <f>IF('COPY 10 %'!$A85="","",'COPY 10 %'!H85)</f>
        <v/>
      </c>
      <c r="L85" s="7">
        <f>IF('COPY 10 %'!$A85="","",'COPY 10 %'!T85)</f>
        <v/>
      </c>
      <c r="M85">
        <f>IF('COPY 10 %'!$A85="","",'COPY 10 %'!G85)</f>
        <v/>
      </c>
    </row>
    <row r="86">
      <c r="A86">
        <f>IF('COPY 10 %'!$A86="","",ROWS($A$2:$A86))</f>
        <v/>
      </c>
      <c r="B86">
        <f>IF('COPY 10 %'!$A86="","",'COPY 10 %'!E86)</f>
        <v/>
      </c>
      <c r="C86">
        <f>IF('COPY 10 %'!$A86="","",'COPY 10 %'!F86)</f>
        <v/>
      </c>
      <c r="D86" s="14">
        <f>IF('COPY 10 %'!$A86="","",'COPY 10 %'!I86)</f>
        <v/>
      </c>
      <c r="E86" s="7">
        <f>IF('COPY 10 %'!$A86="","",'COPY 10 %'!O86)</f>
        <v/>
      </c>
      <c r="F86" s="7">
        <f>IF('COPY 10 %'!$A86="","",'COPY 10 %'!L86)</f>
        <v/>
      </c>
      <c r="G86" s="7">
        <f>IF('COPY 10 %'!$A86="","",'COPY 10 %'!S86)</f>
        <v/>
      </c>
      <c r="H86">
        <f>IF('COPY 10 %'!$A86="","",'COPY 10 %'!P86)</f>
        <v/>
      </c>
      <c r="I86">
        <f>IF('COPY 10 %'!$A86="","",'COPY 10 %'!M86)</f>
        <v/>
      </c>
      <c r="J86" s="7">
        <f>IF('COPY 10 %'!$A86="","",'COPY 10 %'!Q86)</f>
        <v/>
      </c>
      <c r="K86" s="7">
        <f>IF('COPY 10 %'!$A86="","",'COPY 10 %'!H86)</f>
        <v/>
      </c>
      <c r="L86" s="7">
        <f>IF('COPY 10 %'!$A86="","",'COPY 10 %'!T86)</f>
        <v/>
      </c>
      <c r="M86">
        <f>IF('COPY 10 %'!$A86="","",'COPY 10 %'!G86)</f>
        <v/>
      </c>
    </row>
    <row r="87">
      <c r="A87">
        <f>IF('COPY 10 %'!$A87="","",ROWS($A$2:$A87))</f>
        <v/>
      </c>
      <c r="B87">
        <f>IF('COPY 10 %'!$A87="","",'COPY 10 %'!E87)</f>
        <v/>
      </c>
      <c r="C87">
        <f>IF('COPY 10 %'!$A87="","",'COPY 10 %'!F87)</f>
        <v/>
      </c>
      <c r="D87" s="14">
        <f>IF('COPY 10 %'!$A87="","",'COPY 10 %'!I87)</f>
        <v/>
      </c>
      <c r="E87" s="7">
        <f>IF('COPY 10 %'!$A87="","",'COPY 10 %'!O87)</f>
        <v/>
      </c>
      <c r="F87" s="7">
        <f>IF('COPY 10 %'!$A87="","",'COPY 10 %'!L87)</f>
        <v/>
      </c>
      <c r="G87" s="7">
        <f>IF('COPY 10 %'!$A87="","",'COPY 10 %'!S87)</f>
        <v/>
      </c>
      <c r="H87">
        <f>IF('COPY 10 %'!$A87="","",'COPY 10 %'!P87)</f>
        <v/>
      </c>
      <c r="I87">
        <f>IF('COPY 10 %'!$A87="","",'COPY 10 %'!M87)</f>
        <v/>
      </c>
      <c r="J87" s="7">
        <f>IF('COPY 10 %'!$A87="","",'COPY 10 %'!Q87)</f>
        <v/>
      </c>
      <c r="K87" s="7">
        <f>IF('COPY 10 %'!$A87="","",'COPY 10 %'!H87)</f>
        <v/>
      </c>
      <c r="L87" s="7">
        <f>IF('COPY 10 %'!$A87="","",'COPY 10 %'!T87)</f>
        <v/>
      </c>
      <c r="M87">
        <f>IF('COPY 10 %'!$A87="","",'COPY 10 %'!G87)</f>
        <v/>
      </c>
    </row>
    <row r="88">
      <c r="A88">
        <f>IF('COPY 10 %'!$A88="","",ROWS($A$2:$A88))</f>
        <v/>
      </c>
      <c r="B88">
        <f>IF('COPY 10 %'!$A88="","",'COPY 10 %'!E88)</f>
        <v/>
      </c>
      <c r="C88">
        <f>IF('COPY 10 %'!$A88="","",'COPY 10 %'!F88)</f>
        <v/>
      </c>
      <c r="D88" s="14">
        <f>IF('COPY 10 %'!$A88="","",'COPY 10 %'!I88)</f>
        <v/>
      </c>
      <c r="E88" s="7">
        <f>IF('COPY 10 %'!$A88="","",'COPY 10 %'!O88)</f>
        <v/>
      </c>
      <c r="F88" s="7">
        <f>IF('COPY 10 %'!$A88="","",'COPY 10 %'!L88)</f>
        <v/>
      </c>
      <c r="G88" s="7">
        <f>IF('COPY 10 %'!$A88="","",'COPY 10 %'!S88)</f>
        <v/>
      </c>
      <c r="H88">
        <f>IF('COPY 10 %'!$A88="","",'COPY 10 %'!P88)</f>
        <v/>
      </c>
      <c r="I88">
        <f>IF('COPY 10 %'!$A88="","",'COPY 10 %'!M88)</f>
        <v/>
      </c>
      <c r="J88" s="7">
        <f>IF('COPY 10 %'!$A88="","",'COPY 10 %'!Q88)</f>
        <v/>
      </c>
      <c r="K88" s="7">
        <f>IF('COPY 10 %'!$A88="","",'COPY 10 %'!H88)</f>
        <v/>
      </c>
      <c r="L88" s="7">
        <f>IF('COPY 10 %'!$A88="","",'COPY 10 %'!T88)</f>
        <v/>
      </c>
      <c r="M88">
        <f>IF('COPY 10 %'!$A88="","",'COPY 10 %'!G88)</f>
        <v/>
      </c>
    </row>
    <row r="89">
      <c r="A89">
        <f>IF('COPY 10 %'!$A89="","",ROWS($A$2:$A89))</f>
        <v/>
      </c>
      <c r="B89">
        <f>IF('COPY 10 %'!$A89="","",'COPY 10 %'!E89)</f>
        <v/>
      </c>
      <c r="C89">
        <f>IF('COPY 10 %'!$A89="","",'COPY 10 %'!F89)</f>
        <v/>
      </c>
      <c r="D89" s="14">
        <f>IF('COPY 10 %'!$A89="","",'COPY 10 %'!I89)</f>
        <v/>
      </c>
      <c r="E89" s="7">
        <f>IF('COPY 10 %'!$A89="","",'COPY 10 %'!O89)</f>
        <v/>
      </c>
      <c r="F89" s="7">
        <f>IF('COPY 10 %'!$A89="","",'COPY 10 %'!L89)</f>
        <v/>
      </c>
      <c r="G89" s="7">
        <f>IF('COPY 10 %'!$A89="","",'COPY 10 %'!S89)</f>
        <v/>
      </c>
      <c r="H89">
        <f>IF('COPY 10 %'!$A89="","",'COPY 10 %'!P89)</f>
        <v/>
      </c>
      <c r="I89">
        <f>IF('COPY 10 %'!$A89="","",'COPY 10 %'!M89)</f>
        <v/>
      </c>
      <c r="J89" s="7">
        <f>IF('COPY 10 %'!$A89="","",'COPY 10 %'!Q89)</f>
        <v/>
      </c>
      <c r="K89" s="7">
        <f>IF('COPY 10 %'!$A89="","",'COPY 10 %'!H89)</f>
        <v/>
      </c>
      <c r="L89" s="7">
        <f>IF('COPY 10 %'!$A89="","",'COPY 10 %'!T89)</f>
        <v/>
      </c>
      <c r="M89">
        <f>IF('COPY 10 %'!$A89="","",'COPY 10 %'!G89)</f>
        <v/>
      </c>
    </row>
    <row r="90">
      <c r="A90">
        <f>IF('COPY 10 %'!$A90="","",ROWS($A$2:$A90))</f>
        <v/>
      </c>
      <c r="B90">
        <f>IF('COPY 10 %'!$A90="","",'COPY 10 %'!E90)</f>
        <v/>
      </c>
      <c r="C90">
        <f>IF('COPY 10 %'!$A90="","",'COPY 10 %'!F90)</f>
        <v/>
      </c>
      <c r="D90" s="14">
        <f>IF('COPY 10 %'!$A90="","",'COPY 10 %'!I90)</f>
        <v/>
      </c>
      <c r="E90" s="7">
        <f>IF('COPY 10 %'!$A90="","",'COPY 10 %'!O90)</f>
        <v/>
      </c>
      <c r="F90" s="7">
        <f>IF('COPY 10 %'!$A90="","",'COPY 10 %'!L90)</f>
        <v/>
      </c>
      <c r="G90" s="7">
        <f>IF('COPY 10 %'!$A90="","",'COPY 10 %'!S90)</f>
        <v/>
      </c>
      <c r="H90">
        <f>IF('COPY 10 %'!$A90="","",'COPY 10 %'!P90)</f>
        <v/>
      </c>
      <c r="I90">
        <f>IF('COPY 10 %'!$A90="","",'COPY 10 %'!M90)</f>
        <v/>
      </c>
      <c r="J90" s="7">
        <f>IF('COPY 10 %'!$A90="","",'COPY 10 %'!Q90)</f>
        <v/>
      </c>
      <c r="K90" s="7">
        <f>IF('COPY 10 %'!$A90="","",'COPY 10 %'!H90)</f>
        <v/>
      </c>
      <c r="L90" s="7">
        <f>IF('COPY 10 %'!$A90="","",'COPY 10 %'!T90)</f>
        <v/>
      </c>
      <c r="M90">
        <f>IF('COPY 10 %'!$A90="","",'COPY 10 %'!G90)</f>
        <v/>
      </c>
    </row>
    <row r="91">
      <c r="A91">
        <f>IF('COPY 10 %'!$A91="","",ROWS($A$2:$A91))</f>
        <v/>
      </c>
      <c r="B91">
        <f>IF('COPY 10 %'!$A91="","",'COPY 10 %'!E91)</f>
        <v/>
      </c>
      <c r="C91">
        <f>IF('COPY 10 %'!$A91="","",'COPY 10 %'!F91)</f>
        <v/>
      </c>
      <c r="D91" s="14">
        <f>IF('COPY 10 %'!$A91="","",'COPY 10 %'!I91)</f>
        <v/>
      </c>
      <c r="E91" s="7">
        <f>IF('COPY 10 %'!$A91="","",'COPY 10 %'!O91)</f>
        <v/>
      </c>
      <c r="F91" s="7">
        <f>IF('COPY 10 %'!$A91="","",'COPY 10 %'!L91)</f>
        <v/>
      </c>
      <c r="G91" s="7">
        <f>IF('COPY 10 %'!$A91="","",'COPY 10 %'!S91)</f>
        <v/>
      </c>
      <c r="H91">
        <f>IF('COPY 10 %'!$A91="","",'COPY 10 %'!P91)</f>
        <v/>
      </c>
      <c r="I91">
        <f>IF('COPY 10 %'!$A91="","",'COPY 10 %'!M91)</f>
        <v/>
      </c>
      <c r="J91" s="7">
        <f>IF('COPY 10 %'!$A91="","",'COPY 10 %'!Q91)</f>
        <v/>
      </c>
      <c r="K91" s="7">
        <f>IF('COPY 10 %'!$A91="","",'COPY 10 %'!H91)</f>
        <v/>
      </c>
      <c r="L91" s="7">
        <f>IF('COPY 10 %'!$A91="","",'COPY 10 %'!T91)</f>
        <v/>
      </c>
      <c r="M91">
        <f>IF('COPY 10 %'!$A91="","",'COPY 10 %'!G91)</f>
        <v/>
      </c>
    </row>
    <row r="92">
      <c r="A92">
        <f>IF('COPY 10 %'!$A92="","",ROWS($A$2:$A92))</f>
        <v/>
      </c>
      <c r="B92">
        <f>IF('COPY 10 %'!$A92="","",'COPY 10 %'!E92)</f>
        <v/>
      </c>
      <c r="C92">
        <f>IF('COPY 10 %'!$A92="","",'COPY 10 %'!F92)</f>
        <v/>
      </c>
      <c r="D92" s="14">
        <f>IF('COPY 10 %'!$A92="","",'COPY 10 %'!I92)</f>
        <v/>
      </c>
      <c r="E92" s="7">
        <f>IF('COPY 10 %'!$A92="","",'COPY 10 %'!O92)</f>
        <v/>
      </c>
      <c r="F92" s="7">
        <f>IF('COPY 10 %'!$A92="","",'COPY 10 %'!L92)</f>
        <v/>
      </c>
      <c r="G92" s="7">
        <f>IF('COPY 10 %'!$A92="","",'COPY 10 %'!S92)</f>
        <v/>
      </c>
      <c r="H92">
        <f>IF('COPY 10 %'!$A92="","",'COPY 10 %'!P92)</f>
        <v/>
      </c>
      <c r="I92">
        <f>IF('COPY 10 %'!$A92="","",'COPY 10 %'!M92)</f>
        <v/>
      </c>
      <c r="J92" s="7">
        <f>IF('COPY 10 %'!$A92="","",'COPY 10 %'!Q92)</f>
        <v/>
      </c>
      <c r="K92" s="7">
        <f>IF('COPY 10 %'!$A92="","",'COPY 10 %'!H92)</f>
        <v/>
      </c>
      <c r="L92" s="7">
        <f>IF('COPY 10 %'!$A92="","",'COPY 10 %'!T92)</f>
        <v/>
      </c>
      <c r="M92">
        <f>IF('COPY 10 %'!$A92="","",'COPY 10 %'!G92)</f>
        <v/>
      </c>
    </row>
    <row r="93">
      <c r="A93">
        <f>IF('COPY 10 %'!$A93="","",ROWS($A$2:$A93))</f>
        <v/>
      </c>
      <c r="B93">
        <f>IF('COPY 10 %'!$A93="","",'COPY 10 %'!E93)</f>
        <v/>
      </c>
      <c r="C93">
        <f>IF('COPY 10 %'!$A93="","",'COPY 10 %'!F93)</f>
        <v/>
      </c>
      <c r="D93" s="14">
        <f>IF('COPY 10 %'!$A93="","",'COPY 10 %'!I93)</f>
        <v/>
      </c>
      <c r="E93" s="7">
        <f>IF('COPY 10 %'!$A93="","",'COPY 10 %'!O93)</f>
        <v/>
      </c>
      <c r="F93" s="7">
        <f>IF('COPY 10 %'!$A93="","",'COPY 10 %'!L93)</f>
        <v/>
      </c>
      <c r="G93" s="7">
        <f>IF('COPY 10 %'!$A93="","",'COPY 10 %'!S93)</f>
        <v/>
      </c>
      <c r="H93">
        <f>IF('COPY 10 %'!$A93="","",'COPY 10 %'!P93)</f>
        <v/>
      </c>
      <c r="I93">
        <f>IF('COPY 10 %'!$A93="","",'COPY 10 %'!M93)</f>
        <v/>
      </c>
      <c r="J93" s="7">
        <f>IF('COPY 10 %'!$A93="","",'COPY 10 %'!Q93)</f>
        <v/>
      </c>
      <c r="K93" s="7">
        <f>IF('COPY 10 %'!$A93="","",'COPY 10 %'!H93)</f>
        <v/>
      </c>
      <c r="L93" s="7">
        <f>IF('COPY 10 %'!$A93="","",'COPY 10 %'!T93)</f>
        <v/>
      </c>
      <c r="M93">
        <f>IF('COPY 10 %'!$A93="","",'COPY 10 %'!G93)</f>
        <v/>
      </c>
    </row>
    <row r="94">
      <c r="A94">
        <f>IF('COPY 10 %'!$A94="","",ROWS($A$2:$A94))</f>
        <v/>
      </c>
      <c r="B94">
        <f>IF('COPY 10 %'!$A94="","",'COPY 10 %'!E94)</f>
        <v/>
      </c>
      <c r="C94">
        <f>IF('COPY 10 %'!$A94="","",'COPY 10 %'!F94)</f>
        <v/>
      </c>
      <c r="D94" s="14">
        <f>IF('COPY 10 %'!$A94="","",'COPY 10 %'!I94)</f>
        <v/>
      </c>
      <c r="E94" s="7">
        <f>IF('COPY 10 %'!$A94="","",'COPY 10 %'!O94)</f>
        <v/>
      </c>
      <c r="F94" s="7">
        <f>IF('COPY 10 %'!$A94="","",'COPY 10 %'!L94)</f>
        <v/>
      </c>
      <c r="G94" s="7">
        <f>IF('COPY 10 %'!$A94="","",'COPY 10 %'!S94)</f>
        <v/>
      </c>
      <c r="H94">
        <f>IF('COPY 10 %'!$A94="","",'COPY 10 %'!P94)</f>
        <v/>
      </c>
      <c r="I94">
        <f>IF('COPY 10 %'!$A94="","",'COPY 10 %'!M94)</f>
        <v/>
      </c>
      <c r="J94" s="7">
        <f>IF('COPY 10 %'!$A94="","",'COPY 10 %'!Q94)</f>
        <v/>
      </c>
      <c r="K94" s="7">
        <f>IF('COPY 10 %'!$A94="","",'COPY 10 %'!H94)</f>
        <v/>
      </c>
      <c r="L94" s="7">
        <f>IF('COPY 10 %'!$A94="","",'COPY 10 %'!T94)</f>
        <v/>
      </c>
      <c r="M94">
        <f>IF('COPY 10 %'!$A94="","",'COPY 10 %'!G94)</f>
        <v/>
      </c>
    </row>
    <row r="95">
      <c r="A95">
        <f>IF('COPY 10 %'!$A95="","",ROWS($A$2:$A95))</f>
        <v/>
      </c>
      <c r="B95">
        <f>IF('COPY 10 %'!$A95="","",'COPY 10 %'!E95)</f>
        <v/>
      </c>
      <c r="C95">
        <f>IF('COPY 10 %'!$A95="","",'COPY 10 %'!F95)</f>
        <v/>
      </c>
      <c r="D95" s="14">
        <f>IF('COPY 10 %'!$A95="","",'COPY 10 %'!I95)</f>
        <v/>
      </c>
      <c r="E95" s="7">
        <f>IF('COPY 10 %'!$A95="","",'COPY 10 %'!O95)</f>
        <v/>
      </c>
      <c r="F95" s="7">
        <f>IF('COPY 10 %'!$A95="","",'COPY 10 %'!L95)</f>
        <v/>
      </c>
      <c r="G95" s="7">
        <f>IF('COPY 10 %'!$A95="","",'COPY 10 %'!S95)</f>
        <v/>
      </c>
      <c r="H95">
        <f>IF('COPY 10 %'!$A95="","",'COPY 10 %'!P95)</f>
        <v/>
      </c>
      <c r="I95">
        <f>IF('COPY 10 %'!$A95="","",'COPY 10 %'!M95)</f>
        <v/>
      </c>
      <c r="J95" s="7">
        <f>IF('COPY 10 %'!$A95="","",'COPY 10 %'!Q95)</f>
        <v/>
      </c>
      <c r="K95" s="7">
        <f>IF('COPY 10 %'!$A95="","",'COPY 10 %'!H95)</f>
        <v/>
      </c>
      <c r="L95" s="7">
        <f>IF('COPY 10 %'!$A95="","",'COPY 10 %'!T95)</f>
        <v/>
      </c>
      <c r="M95">
        <f>IF('COPY 10 %'!$A95="","",'COPY 10 %'!G95)</f>
        <v/>
      </c>
    </row>
    <row r="96">
      <c r="A96">
        <f>IF('COPY 10 %'!$A96="","",ROWS($A$2:$A96))</f>
        <v/>
      </c>
      <c r="B96">
        <f>IF('COPY 10 %'!$A96="","",'COPY 10 %'!E96)</f>
        <v/>
      </c>
      <c r="C96">
        <f>IF('COPY 10 %'!$A96="","",'COPY 10 %'!F96)</f>
        <v/>
      </c>
      <c r="D96" s="14">
        <f>IF('COPY 10 %'!$A96="","",'COPY 10 %'!I96)</f>
        <v/>
      </c>
      <c r="E96" s="7">
        <f>IF('COPY 10 %'!$A96="","",'COPY 10 %'!O96)</f>
        <v/>
      </c>
      <c r="F96" s="7">
        <f>IF('COPY 10 %'!$A96="","",'COPY 10 %'!L96)</f>
        <v/>
      </c>
      <c r="G96" s="7">
        <f>IF('COPY 10 %'!$A96="","",'COPY 10 %'!S96)</f>
        <v/>
      </c>
      <c r="H96">
        <f>IF('COPY 10 %'!$A96="","",'COPY 10 %'!P96)</f>
        <v/>
      </c>
      <c r="I96">
        <f>IF('COPY 10 %'!$A96="","",'COPY 10 %'!M96)</f>
        <v/>
      </c>
      <c r="J96" s="7">
        <f>IF('COPY 10 %'!$A96="","",'COPY 10 %'!Q96)</f>
        <v/>
      </c>
      <c r="K96" s="7">
        <f>IF('COPY 10 %'!$A96="","",'COPY 10 %'!H96)</f>
        <v/>
      </c>
      <c r="L96" s="7">
        <f>IF('COPY 10 %'!$A96="","",'COPY 10 %'!T96)</f>
        <v/>
      </c>
      <c r="M96">
        <f>IF('COPY 10 %'!$A96="","",'COPY 10 %'!G96)</f>
        <v/>
      </c>
    </row>
    <row r="97">
      <c r="A97">
        <f>IF('COPY 10 %'!$A97="","",ROWS($A$2:$A97))</f>
        <v/>
      </c>
      <c r="B97">
        <f>IF('COPY 10 %'!$A97="","",'COPY 10 %'!E97)</f>
        <v/>
      </c>
      <c r="C97">
        <f>IF('COPY 10 %'!$A97="","",'COPY 10 %'!F97)</f>
        <v/>
      </c>
      <c r="D97" s="14">
        <f>IF('COPY 10 %'!$A97="","",'COPY 10 %'!I97)</f>
        <v/>
      </c>
      <c r="E97" s="7">
        <f>IF('COPY 10 %'!$A97="","",'COPY 10 %'!O97)</f>
        <v/>
      </c>
      <c r="F97" s="7">
        <f>IF('COPY 10 %'!$A97="","",'COPY 10 %'!L97)</f>
        <v/>
      </c>
      <c r="G97" s="7">
        <f>IF('COPY 10 %'!$A97="","",'COPY 10 %'!S97)</f>
        <v/>
      </c>
      <c r="H97">
        <f>IF('COPY 10 %'!$A97="","",'COPY 10 %'!P97)</f>
        <v/>
      </c>
      <c r="I97">
        <f>IF('COPY 10 %'!$A97="","",'COPY 10 %'!M97)</f>
        <v/>
      </c>
      <c r="J97" s="7">
        <f>IF('COPY 10 %'!$A97="","",'COPY 10 %'!Q97)</f>
        <v/>
      </c>
      <c r="K97" s="7">
        <f>IF('COPY 10 %'!$A97="","",'COPY 10 %'!H97)</f>
        <v/>
      </c>
      <c r="L97" s="7">
        <f>IF('COPY 10 %'!$A97="","",'COPY 10 %'!T97)</f>
        <v/>
      </c>
      <c r="M97">
        <f>IF('COPY 10 %'!$A97="","",'COPY 10 %'!G97)</f>
        <v/>
      </c>
    </row>
    <row r="98">
      <c r="A98">
        <f>IF('COPY 10 %'!$A98="","",ROWS($A$2:$A98))</f>
        <v/>
      </c>
      <c r="B98">
        <f>IF('COPY 10 %'!$A98="","",'COPY 10 %'!E98)</f>
        <v/>
      </c>
      <c r="C98">
        <f>IF('COPY 10 %'!$A98="","",'COPY 10 %'!F98)</f>
        <v/>
      </c>
      <c r="D98" s="14">
        <f>IF('COPY 10 %'!$A98="","",'COPY 10 %'!I98)</f>
        <v/>
      </c>
      <c r="E98" s="7">
        <f>IF('COPY 10 %'!$A98="","",'COPY 10 %'!O98)</f>
        <v/>
      </c>
      <c r="F98" s="7">
        <f>IF('COPY 10 %'!$A98="","",'COPY 10 %'!L98)</f>
        <v/>
      </c>
      <c r="G98" s="7">
        <f>IF('COPY 10 %'!$A98="","",'COPY 10 %'!S98)</f>
        <v/>
      </c>
      <c r="H98">
        <f>IF('COPY 10 %'!$A98="","",'COPY 10 %'!P98)</f>
        <v/>
      </c>
      <c r="I98">
        <f>IF('COPY 10 %'!$A98="","",'COPY 10 %'!M98)</f>
        <v/>
      </c>
      <c r="J98" s="7">
        <f>IF('COPY 10 %'!$A98="","",'COPY 10 %'!Q98)</f>
        <v/>
      </c>
      <c r="K98" s="7">
        <f>IF('COPY 10 %'!$A98="","",'COPY 10 %'!H98)</f>
        <v/>
      </c>
      <c r="L98" s="7">
        <f>IF('COPY 10 %'!$A98="","",'COPY 10 %'!T98)</f>
        <v/>
      </c>
      <c r="M98">
        <f>IF('COPY 10 %'!$A98="","",'COPY 10 %'!G98)</f>
        <v/>
      </c>
    </row>
    <row r="99">
      <c r="A99">
        <f>IF('COPY 10 %'!$A99="","",ROWS($A$2:$A99))</f>
        <v/>
      </c>
      <c r="B99">
        <f>IF('COPY 10 %'!$A99="","",'COPY 10 %'!E99)</f>
        <v/>
      </c>
      <c r="C99">
        <f>IF('COPY 10 %'!$A99="","",'COPY 10 %'!F99)</f>
        <v/>
      </c>
      <c r="D99" s="14">
        <f>IF('COPY 10 %'!$A99="","",'COPY 10 %'!I99)</f>
        <v/>
      </c>
      <c r="E99" s="7">
        <f>IF('COPY 10 %'!$A99="","",'COPY 10 %'!O99)</f>
        <v/>
      </c>
      <c r="F99" s="7">
        <f>IF('COPY 10 %'!$A99="","",'COPY 10 %'!L99)</f>
        <v/>
      </c>
      <c r="G99" s="7">
        <f>IF('COPY 10 %'!$A99="","",'COPY 10 %'!S99)</f>
        <v/>
      </c>
      <c r="H99">
        <f>IF('COPY 10 %'!$A99="","",'COPY 10 %'!P99)</f>
        <v/>
      </c>
      <c r="I99">
        <f>IF('COPY 10 %'!$A99="","",'COPY 10 %'!M99)</f>
        <v/>
      </c>
      <c r="J99" s="7">
        <f>IF('COPY 10 %'!$A99="","",'COPY 10 %'!Q99)</f>
        <v/>
      </c>
      <c r="K99" s="7">
        <f>IF('COPY 10 %'!$A99="","",'COPY 10 %'!H99)</f>
        <v/>
      </c>
      <c r="L99" s="7">
        <f>IF('COPY 10 %'!$A99="","",'COPY 10 %'!T99)</f>
        <v/>
      </c>
      <c r="M99">
        <f>IF('COPY 10 %'!$A99="","",'COPY 10 %'!G99)</f>
        <v/>
      </c>
    </row>
    <row r="100">
      <c r="A100">
        <f>IF('COPY 10 %'!$A100="","",ROWS($A$2:$A100))</f>
        <v/>
      </c>
      <c r="B100">
        <f>IF('COPY 10 %'!$A100="","",'COPY 10 %'!E100)</f>
        <v/>
      </c>
      <c r="C100">
        <f>IF('COPY 10 %'!$A100="","",'COPY 10 %'!F100)</f>
        <v/>
      </c>
      <c r="D100" s="14">
        <f>IF('COPY 10 %'!$A100="","",'COPY 10 %'!I100)</f>
        <v/>
      </c>
      <c r="E100" s="7">
        <f>IF('COPY 10 %'!$A100="","",'COPY 10 %'!O100)</f>
        <v/>
      </c>
      <c r="F100" s="7">
        <f>IF('COPY 10 %'!$A100="","",'COPY 10 %'!L100)</f>
        <v/>
      </c>
      <c r="G100" s="7">
        <f>IF('COPY 10 %'!$A100="","",'COPY 10 %'!S100)</f>
        <v/>
      </c>
      <c r="H100">
        <f>IF('COPY 10 %'!$A100="","",'COPY 10 %'!P100)</f>
        <v/>
      </c>
      <c r="I100">
        <f>IF('COPY 10 %'!$A100="","",'COPY 10 %'!M100)</f>
        <v/>
      </c>
      <c r="J100" s="7">
        <f>IF('COPY 10 %'!$A100="","",'COPY 10 %'!Q100)</f>
        <v/>
      </c>
      <c r="K100" s="7">
        <f>IF('COPY 10 %'!$A100="","",'COPY 10 %'!H100)</f>
        <v/>
      </c>
      <c r="L100" s="7">
        <f>IF('COPY 10 %'!$A100="","",'COPY 10 %'!T100)</f>
        <v/>
      </c>
      <c r="M100">
        <f>IF('COPY 10 %'!$A100="","",'COPY 10 %'!G100)</f>
        <v/>
      </c>
    </row>
    <row r="101">
      <c r="A101">
        <f>IF('COPY 10 %'!$A101="","",ROWS($A$2:$A101))</f>
        <v/>
      </c>
      <c r="B101">
        <f>IF('COPY 10 %'!$A101="","",'COPY 10 %'!E101)</f>
        <v/>
      </c>
      <c r="C101">
        <f>IF('COPY 10 %'!$A101="","",'COPY 10 %'!F101)</f>
        <v/>
      </c>
      <c r="D101" s="14">
        <f>IF('COPY 10 %'!$A101="","",'COPY 10 %'!I101)</f>
        <v/>
      </c>
      <c r="E101" s="7">
        <f>IF('COPY 10 %'!$A101="","",'COPY 10 %'!O101)</f>
        <v/>
      </c>
      <c r="F101" s="7">
        <f>IF('COPY 10 %'!$A101="","",'COPY 10 %'!L101)</f>
        <v/>
      </c>
      <c r="G101" s="7">
        <f>IF('COPY 10 %'!$A101="","",'COPY 10 %'!S101)</f>
        <v/>
      </c>
      <c r="H101">
        <f>IF('COPY 10 %'!$A101="","",'COPY 10 %'!P101)</f>
        <v/>
      </c>
      <c r="I101">
        <f>IF('COPY 10 %'!$A101="","",'COPY 10 %'!M101)</f>
        <v/>
      </c>
      <c r="J101" s="7">
        <f>IF('COPY 10 %'!$A101="","",'COPY 10 %'!Q101)</f>
        <v/>
      </c>
      <c r="K101" s="7">
        <f>IF('COPY 10 %'!$A101="","",'COPY 10 %'!H101)</f>
        <v/>
      </c>
      <c r="L101" s="7">
        <f>IF('COPY 10 %'!$A101="","",'COPY 10 %'!T101)</f>
        <v/>
      </c>
      <c r="M101">
        <f>IF('COPY 10 %'!$A101="","",'COPY 10 %'!G101)</f>
        <v/>
      </c>
    </row>
    <row r="102">
      <c r="A102">
        <f>IF('COPY 10 %'!$A102="","",ROWS($A$2:$A102))</f>
        <v/>
      </c>
      <c r="B102">
        <f>IF('COPY 10 %'!$A102="","",'COPY 10 %'!E102)</f>
        <v/>
      </c>
      <c r="C102">
        <f>IF('COPY 10 %'!$A102="","",'COPY 10 %'!F102)</f>
        <v/>
      </c>
      <c r="D102" s="14">
        <f>IF('COPY 10 %'!$A102="","",'COPY 10 %'!I102)</f>
        <v/>
      </c>
      <c r="E102" s="7">
        <f>IF('COPY 10 %'!$A102="","",'COPY 10 %'!O102)</f>
        <v/>
      </c>
      <c r="F102" s="7">
        <f>IF('COPY 10 %'!$A102="","",'COPY 10 %'!L102)</f>
        <v/>
      </c>
      <c r="G102" s="7">
        <f>IF('COPY 10 %'!$A102="","",'COPY 10 %'!S102)</f>
        <v/>
      </c>
      <c r="H102">
        <f>IF('COPY 10 %'!$A102="","",'COPY 10 %'!P102)</f>
        <v/>
      </c>
      <c r="I102">
        <f>IF('COPY 10 %'!$A102="","",'COPY 10 %'!M102)</f>
        <v/>
      </c>
      <c r="J102" s="7">
        <f>IF('COPY 10 %'!$A102="","",'COPY 10 %'!Q102)</f>
        <v/>
      </c>
      <c r="K102" s="7">
        <f>IF('COPY 10 %'!$A102="","",'COPY 10 %'!H102)</f>
        <v/>
      </c>
      <c r="L102" s="7">
        <f>IF('COPY 10 %'!$A102="","",'COPY 10 %'!T102)</f>
        <v/>
      </c>
      <c r="M102">
        <f>IF('COPY 10 %'!$A102="","",'COPY 10 %'!G102)</f>
        <v/>
      </c>
    </row>
    <row r="103">
      <c r="A103">
        <f>IF('COPY 10 %'!$A103="","",ROWS($A$2:$A103))</f>
        <v/>
      </c>
      <c r="B103">
        <f>IF('COPY 10 %'!$A103="","",'COPY 10 %'!E103)</f>
        <v/>
      </c>
      <c r="C103">
        <f>IF('COPY 10 %'!$A103="","",'COPY 10 %'!F103)</f>
        <v/>
      </c>
      <c r="D103" s="14">
        <f>IF('COPY 10 %'!$A103="","",'COPY 10 %'!I103)</f>
        <v/>
      </c>
      <c r="E103" s="7">
        <f>IF('COPY 10 %'!$A103="","",'COPY 10 %'!O103)</f>
        <v/>
      </c>
      <c r="F103" s="7">
        <f>IF('COPY 10 %'!$A103="","",'COPY 10 %'!L103)</f>
        <v/>
      </c>
      <c r="G103" s="7">
        <f>IF('COPY 10 %'!$A103="","",'COPY 10 %'!S103)</f>
        <v/>
      </c>
      <c r="H103">
        <f>IF('COPY 10 %'!$A103="","",'COPY 10 %'!P103)</f>
        <v/>
      </c>
      <c r="I103">
        <f>IF('COPY 10 %'!$A103="","",'COPY 10 %'!M103)</f>
        <v/>
      </c>
      <c r="J103" s="7">
        <f>IF('COPY 10 %'!$A103="","",'COPY 10 %'!Q103)</f>
        <v/>
      </c>
      <c r="K103" s="7">
        <f>IF('COPY 10 %'!$A103="","",'COPY 10 %'!H103)</f>
        <v/>
      </c>
      <c r="L103" s="7">
        <f>IF('COPY 10 %'!$A103="","",'COPY 10 %'!T103)</f>
        <v/>
      </c>
      <c r="M103">
        <f>IF('COPY 10 %'!$A103="","",'COPY 10 %'!G103)</f>
        <v/>
      </c>
    </row>
    <row r="104">
      <c r="A104">
        <f>IF('COPY 10 %'!$A104="","",ROWS($A$2:$A104))</f>
        <v/>
      </c>
      <c r="B104">
        <f>IF('COPY 10 %'!$A104="","",'COPY 10 %'!E104)</f>
        <v/>
      </c>
      <c r="C104">
        <f>IF('COPY 10 %'!$A104="","",'COPY 10 %'!F104)</f>
        <v/>
      </c>
      <c r="D104" s="14">
        <f>IF('COPY 10 %'!$A104="","",'COPY 10 %'!I104)</f>
        <v/>
      </c>
      <c r="E104" s="7">
        <f>IF('COPY 10 %'!$A104="","",'COPY 10 %'!O104)</f>
        <v/>
      </c>
      <c r="F104" s="7">
        <f>IF('COPY 10 %'!$A104="","",'COPY 10 %'!L104)</f>
        <v/>
      </c>
      <c r="G104" s="7">
        <f>IF('COPY 10 %'!$A104="","",'COPY 10 %'!S104)</f>
        <v/>
      </c>
      <c r="H104">
        <f>IF('COPY 10 %'!$A104="","",'COPY 10 %'!P104)</f>
        <v/>
      </c>
      <c r="I104">
        <f>IF('COPY 10 %'!$A104="","",'COPY 10 %'!M104)</f>
        <v/>
      </c>
      <c r="J104" s="7">
        <f>IF('COPY 10 %'!$A104="","",'COPY 10 %'!Q104)</f>
        <v/>
      </c>
      <c r="K104" s="7">
        <f>IF('COPY 10 %'!$A104="","",'COPY 10 %'!H104)</f>
        <v/>
      </c>
      <c r="L104" s="7">
        <f>IF('COPY 10 %'!$A104="","",'COPY 10 %'!T104)</f>
        <v/>
      </c>
      <c r="M104">
        <f>IF('COPY 10 %'!$A104="","",'COPY 10 %'!G104)</f>
        <v/>
      </c>
    </row>
    <row r="105">
      <c r="A105">
        <f>IF('COPY 10 %'!$A105="","",ROWS($A$2:$A105))</f>
        <v/>
      </c>
      <c r="B105">
        <f>IF('COPY 10 %'!$A105="","",'COPY 10 %'!E105)</f>
        <v/>
      </c>
      <c r="C105">
        <f>IF('COPY 10 %'!$A105="","",'COPY 10 %'!F105)</f>
        <v/>
      </c>
      <c r="D105" s="14">
        <f>IF('COPY 10 %'!$A105="","",'COPY 10 %'!I105)</f>
        <v/>
      </c>
      <c r="E105" s="7">
        <f>IF('COPY 10 %'!$A105="","",'COPY 10 %'!O105)</f>
        <v/>
      </c>
      <c r="F105" s="7">
        <f>IF('COPY 10 %'!$A105="","",'COPY 10 %'!L105)</f>
        <v/>
      </c>
      <c r="G105" s="7">
        <f>IF('COPY 10 %'!$A105="","",'COPY 10 %'!S105)</f>
        <v/>
      </c>
      <c r="H105">
        <f>IF('COPY 10 %'!$A105="","",'COPY 10 %'!P105)</f>
        <v/>
      </c>
      <c r="I105">
        <f>IF('COPY 10 %'!$A105="","",'COPY 10 %'!M105)</f>
        <v/>
      </c>
      <c r="J105" s="7">
        <f>IF('COPY 10 %'!$A105="","",'COPY 10 %'!Q105)</f>
        <v/>
      </c>
      <c r="K105" s="7">
        <f>IF('COPY 10 %'!$A105="","",'COPY 10 %'!H105)</f>
        <v/>
      </c>
      <c r="L105" s="7">
        <f>IF('COPY 10 %'!$A105="","",'COPY 10 %'!T105)</f>
        <v/>
      </c>
      <c r="M105">
        <f>IF('COPY 10 %'!$A105="","",'COPY 10 %'!G105)</f>
        <v/>
      </c>
    </row>
    <row r="106">
      <c r="A106">
        <f>IF('COPY 10 %'!$A106="","",ROWS($A$2:$A106))</f>
        <v/>
      </c>
      <c r="B106">
        <f>IF('COPY 10 %'!$A106="","",'COPY 10 %'!E106)</f>
        <v/>
      </c>
      <c r="C106">
        <f>IF('COPY 10 %'!$A106="","",'COPY 10 %'!F106)</f>
        <v/>
      </c>
      <c r="D106" s="14">
        <f>IF('COPY 10 %'!$A106="","",'COPY 10 %'!I106)</f>
        <v/>
      </c>
      <c r="E106" s="7">
        <f>IF('COPY 10 %'!$A106="","",'COPY 10 %'!O106)</f>
        <v/>
      </c>
      <c r="F106" s="7">
        <f>IF('COPY 10 %'!$A106="","",'COPY 10 %'!L106)</f>
        <v/>
      </c>
      <c r="G106" s="7">
        <f>IF('COPY 10 %'!$A106="","",'COPY 10 %'!S106)</f>
        <v/>
      </c>
      <c r="H106">
        <f>IF('COPY 10 %'!$A106="","",'COPY 10 %'!P106)</f>
        <v/>
      </c>
      <c r="I106">
        <f>IF('COPY 10 %'!$A106="","",'COPY 10 %'!M106)</f>
        <v/>
      </c>
      <c r="J106" s="7">
        <f>IF('COPY 10 %'!$A106="","",'COPY 10 %'!Q106)</f>
        <v/>
      </c>
      <c r="K106" s="7">
        <f>IF('COPY 10 %'!$A106="","",'COPY 10 %'!H106)</f>
        <v/>
      </c>
      <c r="L106" s="7">
        <f>IF('COPY 10 %'!$A106="","",'COPY 10 %'!T106)</f>
        <v/>
      </c>
      <c r="M106">
        <f>IF('COPY 10 %'!$A106="","",'COPY 10 %'!G106)</f>
        <v/>
      </c>
    </row>
    <row r="107">
      <c r="A107">
        <f>IF('COPY 10 %'!$A107="","",ROWS($A$2:$A107))</f>
        <v/>
      </c>
      <c r="B107">
        <f>IF('COPY 10 %'!$A107="","",'COPY 10 %'!E107)</f>
        <v/>
      </c>
      <c r="C107">
        <f>IF('COPY 10 %'!$A107="","",'COPY 10 %'!F107)</f>
        <v/>
      </c>
      <c r="D107" s="14">
        <f>IF('COPY 10 %'!$A107="","",'COPY 10 %'!I107)</f>
        <v/>
      </c>
      <c r="E107" s="7">
        <f>IF('COPY 10 %'!$A107="","",'COPY 10 %'!O107)</f>
        <v/>
      </c>
      <c r="F107" s="7">
        <f>IF('COPY 10 %'!$A107="","",'COPY 10 %'!L107)</f>
        <v/>
      </c>
      <c r="G107" s="7">
        <f>IF('COPY 10 %'!$A107="","",'COPY 10 %'!S107)</f>
        <v/>
      </c>
      <c r="H107">
        <f>IF('COPY 10 %'!$A107="","",'COPY 10 %'!P107)</f>
        <v/>
      </c>
      <c r="I107">
        <f>IF('COPY 10 %'!$A107="","",'COPY 10 %'!M107)</f>
        <v/>
      </c>
      <c r="J107" s="7">
        <f>IF('COPY 10 %'!$A107="","",'COPY 10 %'!Q107)</f>
        <v/>
      </c>
      <c r="K107" s="7">
        <f>IF('COPY 10 %'!$A107="","",'COPY 10 %'!H107)</f>
        <v/>
      </c>
      <c r="L107" s="7">
        <f>IF('COPY 10 %'!$A107="","",'COPY 10 %'!T107)</f>
        <v/>
      </c>
      <c r="M107">
        <f>IF('COPY 10 %'!$A107="","",'COPY 10 %'!G107)</f>
        <v/>
      </c>
    </row>
    <row r="108">
      <c r="A108">
        <f>IF('COPY 10 %'!$A108="","",ROWS($A$2:$A108))</f>
        <v/>
      </c>
      <c r="B108">
        <f>IF('COPY 10 %'!$A108="","",'COPY 10 %'!E108)</f>
        <v/>
      </c>
      <c r="C108">
        <f>IF('COPY 10 %'!$A108="","",'COPY 10 %'!F108)</f>
        <v/>
      </c>
      <c r="D108" s="14">
        <f>IF('COPY 10 %'!$A108="","",'COPY 10 %'!I108)</f>
        <v/>
      </c>
      <c r="E108" s="7">
        <f>IF('COPY 10 %'!$A108="","",'COPY 10 %'!O108)</f>
        <v/>
      </c>
      <c r="F108" s="7">
        <f>IF('COPY 10 %'!$A108="","",'COPY 10 %'!L108)</f>
        <v/>
      </c>
      <c r="G108" s="7">
        <f>IF('COPY 10 %'!$A108="","",'COPY 10 %'!S108)</f>
        <v/>
      </c>
      <c r="H108">
        <f>IF('COPY 10 %'!$A108="","",'COPY 10 %'!P108)</f>
        <v/>
      </c>
      <c r="I108">
        <f>IF('COPY 10 %'!$A108="","",'COPY 10 %'!M108)</f>
        <v/>
      </c>
      <c r="J108" s="7">
        <f>IF('COPY 10 %'!$A108="","",'COPY 10 %'!Q108)</f>
        <v/>
      </c>
      <c r="K108" s="7">
        <f>IF('COPY 10 %'!$A108="","",'COPY 10 %'!H108)</f>
        <v/>
      </c>
      <c r="L108" s="7">
        <f>IF('COPY 10 %'!$A108="","",'COPY 10 %'!T108)</f>
        <v/>
      </c>
      <c r="M108">
        <f>IF('COPY 10 %'!$A108="","",'COPY 10 %'!G108)</f>
        <v/>
      </c>
    </row>
    <row r="109">
      <c r="A109">
        <f>IF('COPY 10 %'!$A109="","",ROWS($A$2:$A109))</f>
        <v/>
      </c>
      <c r="B109">
        <f>IF('COPY 10 %'!$A109="","",'COPY 10 %'!E109)</f>
        <v/>
      </c>
      <c r="C109">
        <f>IF('COPY 10 %'!$A109="","",'COPY 10 %'!F109)</f>
        <v/>
      </c>
      <c r="D109" s="14">
        <f>IF('COPY 10 %'!$A109="","",'COPY 10 %'!I109)</f>
        <v/>
      </c>
      <c r="E109" s="7">
        <f>IF('COPY 10 %'!$A109="","",'COPY 10 %'!O109)</f>
        <v/>
      </c>
      <c r="F109" s="7">
        <f>IF('COPY 10 %'!$A109="","",'COPY 10 %'!L109)</f>
        <v/>
      </c>
      <c r="G109" s="7">
        <f>IF('COPY 10 %'!$A109="","",'COPY 10 %'!S109)</f>
        <v/>
      </c>
      <c r="H109">
        <f>IF('COPY 10 %'!$A109="","",'COPY 10 %'!P109)</f>
        <v/>
      </c>
      <c r="I109">
        <f>IF('COPY 10 %'!$A109="","",'COPY 10 %'!M109)</f>
        <v/>
      </c>
      <c r="J109" s="7">
        <f>IF('COPY 10 %'!$A109="","",'COPY 10 %'!Q109)</f>
        <v/>
      </c>
      <c r="K109" s="7">
        <f>IF('COPY 10 %'!$A109="","",'COPY 10 %'!H109)</f>
        <v/>
      </c>
      <c r="L109" s="7">
        <f>IF('COPY 10 %'!$A109="","",'COPY 10 %'!T109)</f>
        <v/>
      </c>
      <c r="M109">
        <f>IF('COPY 10 %'!$A109="","",'COPY 10 %'!G109)</f>
        <v/>
      </c>
    </row>
    <row r="110">
      <c r="A110">
        <f>IF('COPY 10 %'!$A110="","",ROWS($A$2:$A110))</f>
        <v/>
      </c>
      <c r="B110">
        <f>IF('COPY 10 %'!$A110="","",'COPY 10 %'!E110)</f>
        <v/>
      </c>
      <c r="C110">
        <f>IF('COPY 10 %'!$A110="","",'COPY 10 %'!F110)</f>
        <v/>
      </c>
      <c r="D110" s="14">
        <f>IF('COPY 10 %'!$A110="","",'COPY 10 %'!I110)</f>
        <v/>
      </c>
      <c r="E110" s="7">
        <f>IF('COPY 10 %'!$A110="","",'COPY 10 %'!O110)</f>
        <v/>
      </c>
      <c r="F110" s="7">
        <f>IF('COPY 10 %'!$A110="","",'COPY 10 %'!L110)</f>
        <v/>
      </c>
      <c r="G110" s="7">
        <f>IF('COPY 10 %'!$A110="","",'COPY 10 %'!S110)</f>
        <v/>
      </c>
      <c r="H110">
        <f>IF('COPY 10 %'!$A110="","",'COPY 10 %'!P110)</f>
        <v/>
      </c>
      <c r="I110">
        <f>IF('COPY 10 %'!$A110="","",'COPY 10 %'!M110)</f>
        <v/>
      </c>
      <c r="J110" s="7">
        <f>IF('COPY 10 %'!$A110="","",'COPY 10 %'!Q110)</f>
        <v/>
      </c>
      <c r="K110" s="7">
        <f>IF('COPY 10 %'!$A110="","",'COPY 10 %'!H110)</f>
        <v/>
      </c>
      <c r="L110" s="7">
        <f>IF('COPY 10 %'!$A110="","",'COPY 10 %'!T110)</f>
        <v/>
      </c>
      <c r="M110">
        <f>IF('COPY 10 %'!$A110="","",'COPY 10 %'!G110)</f>
        <v/>
      </c>
    </row>
    <row r="111">
      <c r="A111">
        <f>IF('COPY 10 %'!$A111="","",ROWS($A$2:$A111))</f>
        <v/>
      </c>
      <c r="B111">
        <f>IF('COPY 10 %'!$A111="","",'COPY 10 %'!E111)</f>
        <v/>
      </c>
      <c r="C111">
        <f>IF('COPY 10 %'!$A111="","",'COPY 10 %'!F111)</f>
        <v/>
      </c>
      <c r="D111" s="14">
        <f>IF('COPY 10 %'!$A111="","",'COPY 10 %'!I111)</f>
        <v/>
      </c>
      <c r="E111" s="7">
        <f>IF('COPY 10 %'!$A111="","",'COPY 10 %'!O111)</f>
        <v/>
      </c>
      <c r="F111" s="7">
        <f>IF('COPY 10 %'!$A111="","",'COPY 10 %'!L111)</f>
        <v/>
      </c>
      <c r="G111" s="7">
        <f>IF('COPY 10 %'!$A111="","",'COPY 10 %'!S111)</f>
        <v/>
      </c>
      <c r="H111">
        <f>IF('COPY 10 %'!$A111="","",'COPY 10 %'!P111)</f>
        <v/>
      </c>
      <c r="I111">
        <f>IF('COPY 10 %'!$A111="","",'COPY 10 %'!M111)</f>
        <v/>
      </c>
      <c r="J111" s="7">
        <f>IF('COPY 10 %'!$A111="","",'COPY 10 %'!Q111)</f>
        <v/>
      </c>
      <c r="K111" s="7">
        <f>IF('COPY 10 %'!$A111="","",'COPY 10 %'!H111)</f>
        <v/>
      </c>
      <c r="L111" s="7">
        <f>IF('COPY 10 %'!$A111="","",'COPY 10 %'!T111)</f>
        <v/>
      </c>
      <c r="M111">
        <f>IF('COPY 10 %'!$A111="","",'COPY 10 %'!G111)</f>
        <v/>
      </c>
    </row>
    <row r="112">
      <c r="A112">
        <f>IF('COPY 10 %'!$A112="","",ROWS($A$2:$A112))</f>
        <v/>
      </c>
      <c r="B112">
        <f>IF('COPY 10 %'!$A112="","",'COPY 10 %'!E112)</f>
        <v/>
      </c>
      <c r="C112">
        <f>IF('COPY 10 %'!$A112="","",'COPY 10 %'!F112)</f>
        <v/>
      </c>
      <c r="D112" s="14">
        <f>IF('COPY 10 %'!$A112="","",'COPY 10 %'!I112)</f>
        <v/>
      </c>
      <c r="E112" s="7">
        <f>IF('COPY 10 %'!$A112="","",'COPY 10 %'!O112)</f>
        <v/>
      </c>
      <c r="F112" s="7">
        <f>IF('COPY 10 %'!$A112="","",'COPY 10 %'!L112)</f>
        <v/>
      </c>
      <c r="G112" s="7">
        <f>IF('COPY 10 %'!$A112="","",'COPY 10 %'!S112)</f>
        <v/>
      </c>
      <c r="H112">
        <f>IF('COPY 10 %'!$A112="","",'COPY 10 %'!P112)</f>
        <v/>
      </c>
      <c r="I112">
        <f>IF('COPY 10 %'!$A112="","",'COPY 10 %'!M112)</f>
        <v/>
      </c>
      <c r="J112" s="7">
        <f>IF('COPY 10 %'!$A112="","",'COPY 10 %'!Q112)</f>
        <v/>
      </c>
      <c r="K112" s="7">
        <f>IF('COPY 10 %'!$A112="","",'COPY 10 %'!H112)</f>
        <v/>
      </c>
      <c r="L112" s="7">
        <f>IF('COPY 10 %'!$A112="","",'COPY 10 %'!T112)</f>
        <v/>
      </c>
      <c r="M112">
        <f>IF('COPY 10 %'!$A112="","",'COPY 10 %'!G112)</f>
        <v/>
      </c>
    </row>
    <row r="113">
      <c r="A113">
        <f>IF('COPY 10 %'!$A113="","",ROWS($A$2:$A113))</f>
        <v/>
      </c>
      <c r="B113">
        <f>IF('COPY 10 %'!$A113="","",'COPY 10 %'!E113)</f>
        <v/>
      </c>
      <c r="C113">
        <f>IF('COPY 10 %'!$A113="","",'COPY 10 %'!F113)</f>
        <v/>
      </c>
      <c r="D113" s="14">
        <f>IF('COPY 10 %'!$A113="","",'COPY 10 %'!I113)</f>
        <v/>
      </c>
      <c r="E113" s="7">
        <f>IF('COPY 10 %'!$A113="","",'COPY 10 %'!O113)</f>
        <v/>
      </c>
      <c r="F113" s="7">
        <f>IF('COPY 10 %'!$A113="","",'COPY 10 %'!L113)</f>
        <v/>
      </c>
      <c r="G113" s="7">
        <f>IF('COPY 10 %'!$A113="","",'COPY 10 %'!S113)</f>
        <v/>
      </c>
      <c r="H113">
        <f>IF('COPY 10 %'!$A113="","",'COPY 10 %'!P113)</f>
        <v/>
      </c>
      <c r="I113">
        <f>IF('COPY 10 %'!$A113="","",'COPY 10 %'!M113)</f>
        <v/>
      </c>
      <c r="J113" s="7">
        <f>IF('COPY 10 %'!$A113="","",'COPY 10 %'!Q113)</f>
        <v/>
      </c>
      <c r="K113" s="7">
        <f>IF('COPY 10 %'!$A113="","",'COPY 10 %'!H113)</f>
        <v/>
      </c>
      <c r="L113" s="7">
        <f>IF('COPY 10 %'!$A113="","",'COPY 10 %'!T113)</f>
        <v/>
      </c>
      <c r="M113">
        <f>IF('COPY 10 %'!$A113="","",'COPY 10 %'!G113)</f>
        <v/>
      </c>
    </row>
    <row r="114">
      <c r="A114">
        <f>IF('COPY 10 %'!$A114="","",ROWS($A$2:$A114))</f>
        <v/>
      </c>
      <c r="B114">
        <f>IF('COPY 10 %'!$A114="","",'COPY 10 %'!E114)</f>
        <v/>
      </c>
      <c r="C114">
        <f>IF('COPY 10 %'!$A114="","",'COPY 10 %'!F114)</f>
        <v/>
      </c>
      <c r="D114" s="14">
        <f>IF('COPY 10 %'!$A114="","",'COPY 10 %'!I114)</f>
        <v/>
      </c>
      <c r="E114" s="7">
        <f>IF('COPY 10 %'!$A114="","",'COPY 10 %'!O114)</f>
        <v/>
      </c>
      <c r="F114" s="7">
        <f>IF('COPY 10 %'!$A114="","",'COPY 10 %'!L114)</f>
        <v/>
      </c>
      <c r="G114" s="7">
        <f>IF('COPY 10 %'!$A114="","",'COPY 10 %'!S114)</f>
        <v/>
      </c>
      <c r="H114">
        <f>IF('COPY 10 %'!$A114="","",'COPY 10 %'!P114)</f>
        <v/>
      </c>
      <c r="I114">
        <f>IF('COPY 10 %'!$A114="","",'COPY 10 %'!M114)</f>
        <v/>
      </c>
      <c r="J114" s="7">
        <f>IF('COPY 10 %'!$A114="","",'COPY 10 %'!Q114)</f>
        <v/>
      </c>
      <c r="K114" s="7">
        <f>IF('COPY 10 %'!$A114="","",'COPY 10 %'!H114)</f>
        <v/>
      </c>
      <c r="L114" s="7">
        <f>IF('COPY 10 %'!$A114="","",'COPY 10 %'!T114)</f>
        <v/>
      </c>
      <c r="M114">
        <f>IF('COPY 10 %'!$A114="","",'COPY 10 %'!G114)</f>
        <v/>
      </c>
    </row>
    <row r="115">
      <c r="A115">
        <f>IF('COPY 10 %'!$A115="","",ROWS($A$2:$A115))</f>
        <v/>
      </c>
      <c r="B115">
        <f>IF('COPY 10 %'!$A115="","",'COPY 10 %'!E115)</f>
        <v/>
      </c>
      <c r="C115">
        <f>IF('COPY 10 %'!$A115="","",'COPY 10 %'!F115)</f>
        <v/>
      </c>
      <c r="D115" s="14">
        <f>IF('COPY 10 %'!$A115="","",'COPY 10 %'!I115)</f>
        <v/>
      </c>
      <c r="E115" s="7">
        <f>IF('COPY 10 %'!$A115="","",'COPY 10 %'!O115)</f>
        <v/>
      </c>
      <c r="F115" s="7">
        <f>IF('COPY 10 %'!$A115="","",'COPY 10 %'!L115)</f>
        <v/>
      </c>
      <c r="G115" s="7">
        <f>IF('COPY 10 %'!$A115="","",'COPY 10 %'!S115)</f>
        <v/>
      </c>
      <c r="H115">
        <f>IF('COPY 10 %'!$A115="","",'COPY 10 %'!P115)</f>
        <v/>
      </c>
      <c r="I115">
        <f>IF('COPY 10 %'!$A115="","",'COPY 10 %'!M115)</f>
        <v/>
      </c>
      <c r="J115" s="7">
        <f>IF('COPY 10 %'!$A115="","",'COPY 10 %'!Q115)</f>
        <v/>
      </c>
      <c r="K115" s="7">
        <f>IF('COPY 10 %'!$A115="","",'COPY 10 %'!H115)</f>
        <v/>
      </c>
      <c r="L115" s="7">
        <f>IF('COPY 10 %'!$A115="","",'COPY 10 %'!T115)</f>
        <v/>
      </c>
      <c r="M115">
        <f>IF('COPY 10 %'!$A115="","",'COPY 10 %'!G115)</f>
        <v/>
      </c>
    </row>
    <row r="116">
      <c r="A116">
        <f>IF('COPY 10 %'!$A116="","",ROWS($A$2:$A116))</f>
        <v/>
      </c>
      <c r="B116">
        <f>IF('COPY 10 %'!$A116="","",'COPY 10 %'!E116)</f>
        <v/>
      </c>
      <c r="C116">
        <f>IF('COPY 10 %'!$A116="","",'COPY 10 %'!F116)</f>
        <v/>
      </c>
      <c r="D116" s="14">
        <f>IF('COPY 10 %'!$A116="","",'COPY 10 %'!I116)</f>
        <v/>
      </c>
      <c r="E116" s="7">
        <f>IF('COPY 10 %'!$A116="","",'COPY 10 %'!O116)</f>
        <v/>
      </c>
      <c r="F116" s="7">
        <f>IF('COPY 10 %'!$A116="","",'COPY 10 %'!L116)</f>
        <v/>
      </c>
      <c r="G116" s="7">
        <f>IF('COPY 10 %'!$A116="","",'COPY 10 %'!S116)</f>
        <v/>
      </c>
      <c r="H116">
        <f>IF('COPY 10 %'!$A116="","",'COPY 10 %'!P116)</f>
        <v/>
      </c>
      <c r="I116">
        <f>IF('COPY 10 %'!$A116="","",'COPY 10 %'!M116)</f>
        <v/>
      </c>
      <c r="J116" s="7">
        <f>IF('COPY 10 %'!$A116="","",'COPY 10 %'!Q116)</f>
        <v/>
      </c>
      <c r="K116" s="7">
        <f>IF('COPY 10 %'!$A116="","",'COPY 10 %'!H116)</f>
        <v/>
      </c>
      <c r="L116" s="7">
        <f>IF('COPY 10 %'!$A116="","",'COPY 10 %'!T116)</f>
        <v/>
      </c>
      <c r="M116">
        <f>IF('COPY 10 %'!$A116="","",'COPY 10 %'!G116)</f>
        <v/>
      </c>
    </row>
    <row r="117">
      <c r="A117">
        <f>IF('COPY 10 %'!$A117="","",ROWS($A$2:$A117))</f>
        <v/>
      </c>
      <c r="B117">
        <f>IF('COPY 10 %'!$A117="","",'COPY 10 %'!E117)</f>
        <v/>
      </c>
      <c r="C117">
        <f>IF('COPY 10 %'!$A117="","",'COPY 10 %'!F117)</f>
        <v/>
      </c>
      <c r="D117" s="14">
        <f>IF('COPY 10 %'!$A117="","",'COPY 10 %'!I117)</f>
        <v/>
      </c>
      <c r="E117" s="7">
        <f>IF('COPY 10 %'!$A117="","",'COPY 10 %'!O117)</f>
        <v/>
      </c>
      <c r="F117" s="7">
        <f>IF('COPY 10 %'!$A117="","",'COPY 10 %'!L117)</f>
        <v/>
      </c>
      <c r="G117" s="7">
        <f>IF('COPY 10 %'!$A117="","",'COPY 10 %'!S117)</f>
        <v/>
      </c>
      <c r="H117">
        <f>IF('COPY 10 %'!$A117="","",'COPY 10 %'!P117)</f>
        <v/>
      </c>
      <c r="I117">
        <f>IF('COPY 10 %'!$A117="","",'COPY 10 %'!M117)</f>
        <v/>
      </c>
      <c r="J117" s="7">
        <f>IF('COPY 10 %'!$A117="","",'COPY 10 %'!Q117)</f>
        <v/>
      </c>
      <c r="K117" s="7">
        <f>IF('COPY 10 %'!$A117="","",'COPY 10 %'!H117)</f>
        <v/>
      </c>
      <c r="L117" s="7">
        <f>IF('COPY 10 %'!$A117="","",'COPY 10 %'!T117)</f>
        <v/>
      </c>
      <c r="M117">
        <f>IF('COPY 10 %'!$A117="","",'COPY 10 %'!G117)</f>
        <v/>
      </c>
    </row>
    <row r="118">
      <c r="A118">
        <f>IF('COPY 10 %'!$A118="","",ROWS($A$2:$A118))</f>
        <v/>
      </c>
      <c r="B118">
        <f>IF('COPY 10 %'!$A118="","",'COPY 10 %'!E118)</f>
        <v/>
      </c>
      <c r="C118">
        <f>IF('COPY 10 %'!$A118="","",'COPY 10 %'!F118)</f>
        <v/>
      </c>
      <c r="D118" s="14">
        <f>IF('COPY 10 %'!$A118="","",'COPY 10 %'!I118)</f>
        <v/>
      </c>
      <c r="E118" s="7">
        <f>IF('COPY 10 %'!$A118="","",'COPY 10 %'!O118)</f>
        <v/>
      </c>
      <c r="F118" s="7">
        <f>IF('COPY 10 %'!$A118="","",'COPY 10 %'!L118)</f>
        <v/>
      </c>
      <c r="G118" s="7">
        <f>IF('COPY 10 %'!$A118="","",'COPY 10 %'!S118)</f>
        <v/>
      </c>
      <c r="H118">
        <f>IF('COPY 10 %'!$A118="","",'COPY 10 %'!P118)</f>
        <v/>
      </c>
      <c r="I118">
        <f>IF('COPY 10 %'!$A118="","",'COPY 10 %'!M118)</f>
        <v/>
      </c>
      <c r="J118" s="7">
        <f>IF('COPY 10 %'!$A118="","",'COPY 10 %'!Q118)</f>
        <v/>
      </c>
      <c r="K118" s="7">
        <f>IF('COPY 10 %'!$A118="","",'COPY 10 %'!H118)</f>
        <v/>
      </c>
      <c r="L118" s="7">
        <f>IF('COPY 10 %'!$A118="","",'COPY 10 %'!T118)</f>
        <v/>
      </c>
      <c r="M118">
        <f>IF('COPY 10 %'!$A118="","",'COPY 10 %'!G118)</f>
        <v/>
      </c>
    </row>
    <row r="119">
      <c r="A119">
        <f>IF('COPY 10 %'!$A119="","",ROWS($A$2:$A119))</f>
        <v/>
      </c>
      <c r="B119">
        <f>IF('COPY 10 %'!$A119="","",'COPY 10 %'!E119)</f>
        <v/>
      </c>
      <c r="C119">
        <f>IF('COPY 10 %'!$A119="","",'COPY 10 %'!F119)</f>
        <v/>
      </c>
      <c r="D119" s="14">
        <f>IF('COPY 10 %'!$A119="","",'COPY 10 %'!I119)</f>
        <v/>
      </c>
      <c r="E119" s="7">
        <f>IF('COPY 10 %'!$A119="","",'COPY 10 %'!O119)</f>
        <v/>
      </c>
      <c r="F119" s="7">
        <f>IF('COPY 10 %'!$A119="","",'COPY 10 %'!L119)</f>
        <v/>
      </c>
      <c r="G119" s="7">
        <f>IF('COPY 10 %'!$A119="","",'COPY 10 %'!S119)</f>
        <v/>
      </c>
      <c r="H119">
        <f>IF('COPY 10 %'!$A119="","",'COPY 10 %'!P119)</f>
        <v/>
      </c>
      <c r="I119">
        <f>IF('COPY 10 %'!$A119="","",'COPY 10 %'!M119)</f>
        <v/>
      </c>
      <c r="J119" s="7">
        <f>IF('COPY 10 %'!$A119="","",'COPY 10 %'!Q119)</f>
        <v/>
      </c>
      <c r="K119" s="7">
        <f>IF('COPY 10 %'!$A119="","",'COPY 10 %'!H119)</f>
        <v/>
      </c>
      <c r="L119" s="7">
        <f>IF('COPY 10 %'!$A119="","",'COPY 10 %'!T119)</f>
        <v/>
      </c>
      <c r="M119">
        <f>IF('COPY 10 %'!$A119="","",'COPY 10 %'!G119)</f>
        <v/>
      </c>
    </row>
    <row r="120">
      <c r="A120">
        <f>IF('COPY 10 %'!$A120="","",ROWS($A$2:$A120))</f>
        <v/>
      </c>
      <c r="B120">
        <f>IF('COPY 10 %'!$A120="","",'COPY 10 %'!E120)</f>
        <v/>
      </c>
      <c r="C120">
        <f>IF('COPY 10 %'!$A120="","",'COPY 10 %'!F120)</f>
        <v/>
      </c>
      <c r="D120" s="14">
        <f>IF('COPY 10 %'!$A120="","",'COPY 10 %'!I120)</f>
        <v/>
      </c>
      <c r="E120" s="7">
        <f>IF('COPY 10 %'!$A120="","",'COPY 10 %'!O120)</f>
        <v/>
      </c>
      <c r="F120" s="7">
        <f>IF('COPY 10 %'!$A120="","",'COPY 10 %'!L120)</f>
        <v/>
      </c>
      <c r="G120" s="7">
        <f>IF('COPY 10 %'!$A120="","",'COPY 10 %'!S120)</f>
        <v/>
      </c>
      <c r="H120">
        <f>IF('COPY 10 %'!$A120="","",'COPY 10 %'!P120)</f>
        <v/>
      </c>
      <c r="I120">
        <f>IF('COPY 10 %'!$A120="","",'COPY 10 %'!M120)</f>
        <v/>
      </c>
      <c r="J120" s="7">
        <f>IF('COPY 10 %'!$A120="","",'COPY 10 %'!Q120)</f>
        <v/>
      </c>
      <c r="K120" s="7">
        <f>IF('COPY 10 %'!$A120="","",'COPY 10 %'!H120)</f>
        <v/>
      </c>
      <c r="L120" s="7">
        <f>IF('COPY 10 %'!$A120="","",'COPY 10 %'!T120)</f>
        <v/>
      </c>
      <c r="M120">
        <f>IF('COPY 10 %'!$A120="","",'COPY 10 %'!G120)</f>
        <v/>
      </c>
    </row>
    <row r="121">
      <c r="A121">
        <f>IF('COPY 10 %'!$A121="","",ROWS($A$2:$A121))</f>
        <v/>
      </c>
      <c r="B121">
        <f>IF('COPY 10 %'!$A121="","",'COPY 10 %'!E121)</f>
        <v/>
      </c>
      <c r="C121">
        <f>IF('COPY 10 %'!$A121="","",'COPY 10 %'!F121)</f>
        <v/>
      </c>
      <c r="D121" s="14">
        <f>IF('COPY 10 %'!$A121="","",'COPY 10 %'!I121)</f>
        <v/>
      </c>
      <c r="E121" s="7">
        <f>IF('COPY 10 %'!$A121="","",'COPY 10 %'!O121)</f>
        <v/>
      </c>
      <c r="F121" s="7">
        <f>IF('COPY 10 %'!$A121="","",'COPY 10 %'!L121)</f>
        <v/>
      </c>
      <c r="G121" s="7">
        <f>IF('COPY 10 %'!$A121="","",'COPY 10 %'!S121)</f>
        <v/>
      </c>
      <c r="H121">
        <f>IF('COPY 10 %'!$A121="","",'COPY 10 %'!P121)</f>
        <v/>
      </c>
      <c r="I121">
        <f>IF('COPY 10 %'!$A121="","",'COPY 10 %'!M121)</f>
        <v/>
      </c>
      <c r="J121" s="7">
        <f>IF('COPY 10 %'!$A121="","",'COPY 10 %'!Q121)</f>
        <v/>
      </c>
      <c r="K121" s="7">
        <f>IF('COPY 10 %'!$A121="","",'COPY 10 %'!H121)</f>
        <v/>
      </c>
      <c r="L121" s="7">
        <f>IF('COPY 10 %'!$A121="","",'COPY 10 %'!T121)</f>
        <v/>
      </c>
      <c r="M121">
        <f>IF('COPY 10 %'!$A121="","",'COPY 10 %'!G121)</f>
        <v/>
      </c>
    </row>
    <row r="122">
      <c r="A122">
        <f>IF('COPY 10 %'!$A122="","",ROWS($A$2:$A122))</f>
        <v/>
      </c>
      <c r="B122">
        <f>IF('COPY 10 %'!$A122="","",'COPY 10 %'!E122)</f>
        <v/>
      </c>
      <c r="C122">
        <f>IF('COPY 10 %'!$A122="","",'COPY 10 %'!F122)</f>
        <v/>
      </c>
      <c r="D122" s="14">
        <f>IF('COPY 10 %'!$A122="","",'COPY 10 %'!I122)</f>
        <v/>
      </c>
      <c r="E122" s="7">
        <f>IF('COPY 10 %'!$A122="","",'COPY 10 %'!O122)</f>
        <v/>
      </c>
      <c r="F122" s="7">
        <f>IF('COPY 10 %'!$A122="","",'COPY 10 %'!L122)</f>
        <v/>
      </c>
      <c r="G122" s="7">
        <f>IF('COPY 10 %'!$A122="","",'COPY 10 %'!S122)</f>
        <v/>
      </c>
      <c r="H122">
        <f>IF('COPY 10 %'!$A122="","",'COPY 10 %'!P122)</f>
        <v/>
      </c>
      <c r="I122">
        <f>IF('COPY 10 %'!$A122="","",'COPY 10 %'!M122)</f>
        <v/>
      </c>
      <c r="J122" s="7">
        <f>IF('COPY 10 %'!$A122="","",'COPY 10 %'!Q122)</f>
        <v/>
      </c>
      <c r="K122" s="7">
        <f>IF('COPY 10 %'!$A122="","",'COPY 10 %'!H122)</f>
        <v/>
      </c>
      <c r="L122" s="7">
        <f>IF('COPY 10 %'!$A122="","",'COPY 10 %'!T122)</f>
        <v/>
      </c>
      <c r="M122">
        <f>IF('COPY 10 %'!$A122="","",'COPY 10 %'!G122)</f>
        <v/>
      </c>
    </row>
    <row r="123">
      <c r="A123">
        <f>IF('COPY 10 %'!$A123="","",ROWS($A$2:$A123))</f>
        <v/>
      </c>
      <c r="B123">
        <f>IF('COPY 10 %'!$A123="","",'COPY 10 %'!E123)</f>
        <v/>
      </c>
      <c r="C123">
        <f>IF('COPY 10 %'!$A123="","",'COPY 10 %'!F123)</f>
        <v/>
      </c>
      <c r="D123" s="14">
        <f>IF('COPY 10 %'!$A123="","",'COPY 10 %'!I123)</f>
        <v/>
      </c>
      <c r="E123" s="7">
        <f>IF('COPY 10 %'!$A123="","",'COPY 10 %'!O123)</f>
        <v/>
      </c>
      <c r="F123" s="7">
        <f>IF('COPY 10 %'!$A123="","",'COPY 10 %'!L123)</f>
        <v/>
      </c>
      <c r="G123" s="7">
        <f>IF('COPY 10 %'!$A123="","",'COPY 10 %'!S123)</f>
        <v/>
      </c>
      <c r="H123">
        <f>IF('COPY 10 %'!$A123="","",'COPY 10 %'!P123)</f>
        <v/>
      </c>
      <c r="I123">
        <f>IF('COPY 10 %'!$A123="","",'COPY 10 %'!M123)</f>
        <v/>
      </c>
      <c r="J123" s="7">
        <f>IF('COPY 10 %'!$A123="","",'COPY 10 %'!Q123)</f>
        <v/>
      </c>
      <c r="K123" s="7">
        <f>IF('COPY 10 %'!$A123="","",'COPY 10 %'!H123)</f>
        <v/>
      </c>
      <c r="L123" s="7">
        <f>IF('COPY 10 %'!$A123="","",'COPY 10 %'!T123)</f>
        <v/>
      </c>
      <c r="M123">
        <f>IF('COPY 10 %'!$A123="","",'COPY 10 %'!G123)</f>
        <v/>
      </c>
    </row>
    <row r="124">
      <c r="A124">
        <f>IF('COPY 10 %'!$A124="","",ROWS($A$2:$A124))</f>
        <v/>
      </c>
      <c r="B124">
        <f>IF('COPY 10 %'!$A124="","",'COPY 10 %'!E124)</f>
        <v/>
      </c>
      <c r="C124">
        <f>IF('COPY 10 %'!$A124="","",'COPY 10 %'!F124)</f>
        <v/>
      </c>
      <c r="D124" s="14">
        <f>IF('COPY 10 %'!$A124="","",'COPY 10 %'!I124)</f>
        <v/>
      </c>
      <c r="E124" s="7">
        <f>IF('COPY 10 %'!$A124="","",'COPY 10 %'!O124)</f>
        <v/>
      </c>
      <c r="F124" s="7">
        <f>IF('COPY 10 %'!$A124="","",'COPY 10 %'!L124)</f>
        <v/>
      </c>
      <c r="G124" s="7">
        <f>IF('COPY 10 %'!$A124="","",'COPY 10 %'!S124)</f>
        <v/>
      </c>
      <c r="H124">
        <f>IF('COPY 10 %'!$A124="","",'COPY 10 %'!P124)</f>
        <v/>
      </c>
      <c r="I124">
        <f>IF('COPY 10 %'!$A124="","",'COPY 10 %'!M124)</f>
        <v/>
      </c>
      <c r="J124" s="7">
        <f>IF('COPY 10 %'!$A124="","",'COPY 10 %'!Q124)</f>
        <v/>
      </c>
      <c r="K124" s="7">
        <f>IF('COPY 10 %'!$A124="","",'COPY 10 %'!H124)</f>
        <v/>
      </c>
      <c r="L124" s="7">
        <f>IF('COPY 10 %'!$A124="","",'COPY 10 %'!T124)</f>
        <v/>
      </c>
      <c r="M124">
        <f>IF('COPY 10 %'!$A124="","",'COPY 10 %'!G124)</f>
        <v/>
      </c>
    </row>
    <row r="125">
      <c r="A125">
        <f>IF('COPY 10 %'!$A125="","",ROWS($A$2:$A125))</f>
        <v/>
      </c>
      <c r="B125">
        <f>IF('COPY 10 %'!$A125="","",'COPY 10 %'!E125)</f>
        <v/>
      </c>
      <c r="C125">
        <f>IF('COPY 10 %'!$A125="","",'COPY 10 %'!F125)</f>
        <v/>
      </c>
      <c r="D125" s="14">
        <f>IF('COPY 10 %'!$A125="","",'COPY 10 %'!I125)</f>
        <v/>
      </c>
      <c r="E125" s="7">
        <f>IF('COPY 10 %'!$A125="","",'COPY 10 %'!O125)</f>
        <v/>
      </c>
      <c r="F125" s="7">
        <f>IF('COPY 10 %'!$A125="","",'COPY 10 %'!L125)</f>
        <v/>
      </c>
      <c r="G125" s="7">
        <f>IF('COPY 10 %'!$A125="","",'COPY 10 %'!S125)</f>
        <v/>
      </c>
      <c r="H125">
        <f>IF('COPY 10 %'!$A125="","",'COPY 10 %'!P125)</f>
        <v/>
      </c>
      <c r="I125">
        <f>IF('COPY 10 %'!$A125="","",'COPY 10 %'!M125)</f>
        <v/>
      </c>
      <c r="J125" s="7">
        <f>IF('COPY 10 %'!$A125="","",'COPY 10 %'!Q125)</f>
        <v/>
      </c>
      <c r="K125" s="7">
        <f>IF('COPY 10 %'!$A125="","",'COPY 10 %'!H125)</f>
        <v/>
      </c>
      <c r="L125" s="7">
        <f>IF('COPY 10 %'!$A125="","",'COPY 10 %'!T125)</f>
        <v/>
      </c>
      <c r="M125">
        <f>IF('COPY 10 %'!$A125="","",'COPY 10 %'!G125)</f>
        <v/>
      </c>
    </row>
    <row r="126">
      <c r="A126">
        <f>IF('COPY 10 %'!$A126="","",ROWS($A$2:$A126))</f>
        <v/>
      </c>
      <c r="B126">
        <f>IF('COPY 10 %'!$A126="","",'COPY 10 %'!E126)</f>
        <v/>
      </c>
      <c r="C126">
        <f>IF('COPY 10 %'!$A126="","",'COPY 10 %'!F126)</f>
        <v/>
      </c>
      <c r="D126" s="14">
        <f>IF('COPY 10 %'!$A126="","",'COPY 10 %'!I126)</f>
        <v/>
      </c>
      <c r="E126" s="7">
        <f>IF('COPY 10 %'!$A126="","",'COPY 10 %'!O126)</f>
        <v/>
      </c>
      <c r="F126" s="7">
        <f>IF('COPY 10 %'!$A126="","",'COPY 10 %'!L126)</f>
        <v/>
      </c>
      <c r="G126" s="7">
        <f>IF('COPY 10 %'!$A126="","",'COPY 10 %'!S126)</f>
        <v/>
      </c>
      <c r="H126">
        <f>IF('COPY 10 %'!$A126="","",'COPY 10 %'!P126)</f>
        <v/>
      </c>
      <c r="I126">
        <f>IF('COPY 10 %'!$A126="","",'COPY 10 %'!M126)</f>
        <v/>
      </c>
      <c r="J126" s="7">
        <f>IF('COPY 10 %'!$A126="","",'COPY 10 %'!Q126)</f>
        <v/>
      </c>
      <c r="K126" s="7">
        <f>IF('COPY 10 %'!$A126="","",'COPY 10 %'!H126)</f>
        <v/>
      </c>
      <c r="L126" s="7">
        <f>IF('COPY 10 %'!$A126="","",'COPY 10 %'!T126)</f>
        <v/>
      </c>
      <c r="M126">
        <f>IF('COPY 10 %'!$A126="","",'COPY 10 %'!G126)</f>
        <v/>
      </c>
    </row>
    <row r="127">
      <c r="A127">
        <f>IF('COPY 10 %'!$A127="","",ROWS($A$2:$A127))</f>
        <v/>
      </c>
      <c r="B127">
        <f>IF('COPY 10 %'!$A127="","",'COPY 10 %'!E127)</f>
        <v/>
      </c>
      <c r="C127">
        <f>IF('COPY 10 %'!$A127="","",'COPY 10 %'!F127)</f>
        <v/>
      </c>
      <c r="D127" s="14">
        <f>IF('COPY 10 %'!$A127="","",'COPY 10 %'!I127)</f>
        <v/>
      </c>
      <c r="E127" s="7">
        <f>IF('COPY 10 %'!$A127="","",'COPY 10 %'!O127)</f>
        <v/>
      </c>
      <c r="F127" s="7">
        <f>IF('COPY 10 %'!$A127="","",'COPY 10 %'!L127)</f>
        <v/>
      </c>
      <c r="G127" s="7">
        <f>IF('COPY 10 %'!$A127="","",'COPY 10 %'!S127)</f>
        <v/>
      </c>
      <c r="H127">
        <f>IF('COPY 10 %'!$A127="","",'COPY 10 %'!P127)</f>
        <v/>
      </c>
      <c r="I127">
        <f>IF('COPY 10 %'!$A127="","",'COPY 10 %'!M127)</f>
        <v/>
      </c>
      <c r="J127" s="7">
        <f>IF('COPY 10 %'!$A127="","",'COPY 10 %'!Q127)</f>
        <v/>
      </c>
      <c r="K127" s="7">
        <f>IF('COPY 10 %'!$A127="","",'COPY 10 %'!H127)</f>
        <v/>
      </c>
      <c r="L127" s="7">
        <f>IF('COPY 10 %'!$A127="","",'COPY 10 %'!T127)</f>
        <v/>
      </c>
      <c r="M127">
        <f>IF('COPY 10 %'!$A127="","",'COPY 10 %'!G127)</f>
        <v/>
      </c>
    </row>
    <row r="128">
      <c r="A128">
        <f>IF('COPY 10 %'!$A128="","",ROWS($A$2:$A128))</f>
        <v/>
      </c>
      <c r="B128">
        <f>IF('COPY 10 %'!$A128="","",'COPY 10 %'!E128)</f>
        <v/>
      </c>
      <c r="C128">
        <f>IF('COPY 10 %'!$A128="","",'COPY 10 %'!F128)</f>
        <v/>
      </c>
      <c r="D128" s="14">
        <f>IF('COPY 10 %'!$A128="","",'COPY 10 %'!I128)</f>
        <v/>
      </c>
      <c r="E128" s="7">
        <f>IF('COPY 10 %'!$A128="","",'COPY 10 %'!O128)</f>
        <v/>
      </c>
      <c r="F128" s="7">
        <f>IF('COPY 10 %'!$A128="","",'COPY 10 %'!L128)</f>
        <v/>
      </c>
      <c r="G128" s="7">
        <f>IF('COPY 10 %'!$A128="","",'COPY 10 %'!S128)</f>
        <v/>
      </c>
      <c r="H128">
        <f>IF('COPY 10 %'!$A128="","",'COPY 10 %'!P128)</f>
        <v/>
      </c>
      <c r="I128">
        <f>IF('COPY 10 %'!$A128="","",'COPY 10 %'!M128)</f>
        <v/>
      </c>
      <c r="J128" s="7">
        <f>IF('COPY 10 %'!$A128="","",'COPY 10 %'!Q128)</f>
        <v/>
      </c>
      <c r="K128" s="7">
        <f>IF('COPY 10 %'!$A128="","",'COPY 10 %'!H128)</f>
        <v/>
      </c>
      <c r="L128" s="7">
        <f>IF('COPY 10 %'!$A128="","",'COPY 10 %'!T128)</f>
        <v/>
      </c>
      <c r="M128">
        <f>IF('COPY 10 %'!$A128="","",'COPY 10 %'!G128)</f>
        <v/>
      </c>
    </row>
    <row r="129">
      <c r="A129">
        <f>IF('COPY 10 %'!$A129="","",ROWS($A$2:$A129))</f>
        <v/>
      </c>
      <c r="B129">
        <f>IF('COPY 10 %'!$A129="","",'COPY 10 %'!E129)</f>
        <v/>
      </c>
      <c r="C129">
        <f>IF('COPY 10 %'!$A129="","",'COPY 10 %'!F129)</f>
        <v/>
      </c>
      <c r="D129" s="14">
        <f>IF('COPY 10 %'!$A129="","",'COPY 10 %'!I129)</f>
        <v/>
      </c>
      <c r="E129" s="7">
        <f>IF('COPY 10 %'!$A129="","",'COPY 10 %'!O129)</f>
        <v/>
      </c>
      <c r="F129" s="7">
        <f>IF('COPY 10 %'!$A129="","",'COPY 10 %'!L129)</f>
        <v/>
      </c>
      <c r="G129" s="7">
        <f>IF('COPY 10 %'!$A129="","",'COPY 10 %'!S129)</f>
        <v/>
      </c>
      <c r="H129">
        <f>IF('COPY 10 %'!$A129="","",'COPY 10 %'!P129)</f>
        <v/>
      </c>
      <c r="I129">
        <f>IF('COPY 10 %'!$A129="","",'COPY 10 %'!M129)</f>
        <v/>
      </c>
      <c r="J129" s="7">
        <f>IF('COPY 10 %'!$A129="","",'COPY 10 %'!Q129)</f>
        <v/>
      </c>
      <c r="K129" s="7">
        <f>IF('COPY 10 %'!$A129="","",'COPY 10 %'!H129)</f>
        <v/>
      </c>
      <c r="L129" s="7">
        <f>IF('COPY 10 %'!$A129="","",'COPY 10 %'!T129)</f>
        <v/>
      </c>
      <c r="M129">
        <f>IF('COPY 10 %'!$A129="","",'COPY 10 %'!G129)</f>
        <v/>
      </c>
    </row>
    <row r="130">
      <c r="A130">
        <f>IF('COPY 10 %'!$A130="","",ROWS($A$2:$A130))</f>
        <v/>
      </c>
      <c r="B130">
        <f>IF('COPY 10 %'!$A130="","",'COPY 10 %'!E130)</f>
        <v/>
      </c>
      <c r="C130">
        <f>IF('COPY 10 %'!$A130="","",'COPY 10 %'!F130)</f>
        <v/>
      </c>
      <c r="D130" s="14">
        <f>IF('COPY 10 %'!$A130="","",'COPY 10 %'!I130)</f>
        <v/>
      </c>
      <c r="E130" s="7">
        <f>IF('COPY 10 %'!$A130="","",'COPY 10 %'!O130)</f>
        <v/>
      </c>
      <c r="F130" s="7">
        <f>IF('COPY 10 %'!$A130="","",'COPY 10 %'!L130)</f>
        <v/>
      </c>
      <c r="G130" s="7">
        <f>IF('COPY 10 %'!$A130="","",'COPY 10 %'!S130)</f>
        <v/>
      </c>
      <c r="H130">
        <f>IF('COPY 10 %'!$A130="","",'COPY 10 %'!P130)</f>
        <v/>
      </c>
      <c r="I130">
        <f>IF('COPY 10 %'!$A130="","",'COPY 10 %'!M130)</f>
        <v/>
      </c>
      <c r="J130" s="7">
        <f>IF('COPY 10 %'!$A130="","",'COPY 10 %'!Q130)</f>
        <v/>
      </c>
      <c r="K130" s="7">
        <f>IF('COPY 10 %'!$A130="","",'COPY 10 %'!H130)</f>
        <v/>
      </c>
      <c r="L130" s="7">
        <f>IF('COPY 10 %'!$A130="","",'COPY 10 %'!T130)</f>
        <v/>
      </c>
      <c r="M130">
        <f>IF('COPY 10 %'!$A130="","",'COPY 10 %'!G130)</f>
        <v/>
      </c>
    </row>
    <row r="131">
      <c r="A131">
        <f>IF('COPY 10 %'!$A131="","",ROWS($A$2:$A131))</f>
        <v/>
      </c>
      <c r="B131">
        <f>IF('COPY 10 %'!$A131="","",'COPY 10 %'!E131)</f>
        <v/>
      </c>
      <c r="C131">
        <f>IF('COPY 10 %'!$A131="","",'COPY 10 %'!F131)</f>
        <v/>
      </c>
      <c r="D131" s="14">
        <f>IF('COPY 10 %'!$A131="","",'COPY 10 %'!I131)</f>
        <v/>
      </c>
      <c r="E131" s="7">
        <f>IF('COPY 10 %'!$A131="","",'COPY 10 %'!O131)</f>
        <v/>
      </c>
      <c r="F131" s="7">
        <f>IF('COPY 10 %'!$A131="","",'COPY 10 %'!L131)</f>
        <v/>
      </c>
      <c r="G131" s="7">
        <f>IF('COPY 10 %'!$A131="","",'COPY 10 %'!S131)</f>
        <v/>
      </c>
      <c r="H131">
        <f>IF('COPY 10 %'!$A131="","",'COPY 10 %'!P131)</f>
        <v/>
      </c>
      <c r="I131">
        <f>IF('COPY 10 %'!$A131="","",'COPY 10 %'!M131)</f>
        <v/>
      </c>
      <c r="J131" s="7">
        <f>IF('COPY 10 %'!$A131="","",'COPY 10 %'!Q131)</f>
        <v/>
      </c>
      <c r="K131" s="7">
        <f>IF('COPY 10 %'!$A131="","",'COPY 10 %'!H131)</f>
        <v/>
      </c>
      <c r="L131" s="7">
        <f>IF('COPY 10 %'!$A131="","",'COPY 10 %'!T131)</f>
        <v/>
      </c>
      <c r="M131">
        <f>IF('COPY 10 %'!$A131="","",'COPY 10 %'!G131)</f>
        <v/>
      </c>
    </row>
    <row r="132">
      <c r="A132">
        <f>IF('COPY 10 %'!$A132="","",ROWS($A$2:$A132))</f>
        <v/>
      </c>
      <c r="B132">
        <f>IF('COPY 10 %'!$A132="","",'COPY 10 %'!E132)</f>
        <v/>
      </c>
      <c r="C132">
        <f>IF('COPY 10 %'!$A132="","",'COPY 10 %'!F132)</f>
        <v/>
      </c>
      <c r="D132" s="14">
        <f>IF('COPY 10 %'!$A132="","",'COPY 10 %'!I132)</f>
        <v/>
      </c>
      <c r="E132" s="7">
        <f>IF('COPY 10 %'!$A132="","",'COPY 10 %'!O132)</f>
        <v/>
      </c>
      <c r="F132" s="7">
        <f>IF('COPY 10 %'!$A132="","",'COPY 10 %'!L132)</f>
        <v/>
      </c>
      <c r="G132" s="7">
        <f>IF('COPY 10 %'!$A132="","",'COPY 10 %'!S132)</f>
        <v/>
      </c>
      <c r="H132">
        <f>IF('COPY 10 %'!$A132="","",'COPY 10 %'!P132)</f>
        <v/>
      </c>
      <c r="I132">
        <f>IF('COPY 10 %'!$A132="","",'COPY 10 %'!M132)</f>
        <v/>
      </c>
      <c r="J132" s="7">
        <f>IF('COPY 10 %'!$A132="","",'COPY 10 %'!Q132)</f>
        <v/>
      </c>
      <c r="K132" s="7">
        <f>IF('COPY 10 %'!$A132="","",'COPY 10 %'!H132)</f>
        <v/>
      </c>
      <c r="L132" s="7">
        <f>IF('COPY 10 %'!$A132="","",'COPY 10 %'!T132)</f>
        <v/>
      </c>
      <c r="M132">
        <f>IF('COPY 10 %'!$A132="","",'COPY 10 %'!G132)</f>
        <v/>
      </c>
    </row>
    <row r="133">
      <c r="A133">
        <f>IF('COPY 10 %'!$A133="","",ROWS($A$2:$A133))</f>
        <v/>
      </c>
      <c r="B133">
        <f>IF('COPY 10 %'!$A133="","",'COPY 10 %'!E133)</f>
        <v/>
      </c>
      <c r="C133">
        <f>IF('COPY 10 %'!$A133="","",'COPY 10 %'!F133)</f>
        <v/>
      </c>
      <c r="D133" s="14">
        <f>IF('COPY 10 %'!$A133="","",'COPY 10 %'!I133)</f>
        <v/>
      </c>
      <c r="E133" s="7">
        <f>IF('COPY 10 %'!$A133="","",'COPY 10 %'!O133)</f>
        <v/>
      </c>
      <c r="F133" s="7">
        <f>IF('COPY 10 %'!$A133="","",'COPY 10 %'!L133)</f>
        <v/>
      </c>
      <c r="G133" s="7">
        <f>IF('COPY 10 %'!$A133="","",'COPY 10 %'!S133)</f>
        <v/>
      </c>
      <c r="H133">
        <f>IF('COPY 10 %'!$A133="","",'COPY 10 %'!P133)</f>
        <v/>
      </c>
      <c r="I133">
        <f>IF('COPY 10 %'!$A133="","",'COPY 10 %'!M133)</f>
        <v/>
      </c>
      <c r="J133" s="7">
        <f>IF('COPY 10 %'!$A133="","",'COPY 10 %'!Q133)</f>
        <v/>
      </c>
      <c r="K133" s="7">
        <f>IF('COPY 10 %'!$A133="","",'COPY 10 %'!H133)</f>
        <v/>
      </c>
      <c r="L133" s="7">
        <f>IF('COPY 10 %'!$A133="","",'COPY 10 %'!T133)</f>
        <v/>
      </c>
      <c r="M133">
        <f>IF('COPY 10 %'!$A133="","",'COPY 10 %'!G133)</f>
        <v/>
      </c>
    </row>
    <row r="134">
      <c r="A134">
        <f>IF('COPY 10 %'!$A134="","",ROWS($A$2:$A134))</f>
        <v/>
      </c>
      <c r="B134">
        <f>IF('COPY 10 %'!$A134="","",'COPY 10 %'!E134)</f>
        <v/>
      </c>
      <c r="C134">
        <f>IF('COPY 10 %'!$A134="","",'COPY 10 %'!F134)</f>
        <v/>
      </c>
      <c r="D134" s="14">
        <f>IF('COPY 10 %'!$A134="","",'COPY 10 %'!I134)</f>
        <v/>
      </c>
      <c r="E134" s="7">
        <f>IF('COPY 10 %'!$A134="","",'COPY 10 %'!O134)</f>
        <v/>
      </c>
      <c r="F134" s="7">
        <f>IF('COPY 10 %'!$A134="","",'COPY 10 %'!L134)</f>
        <v/>
      </c>
      <c r="G134" s="7">
        <f>IF('COPY 10 %'!$A134="","",'COPY 10 %'!S134)</f>
        <v/>
      </c>
      <c r="H134">
        <f>IF('COPY 10 %'!$A134="","",'COPY 10 %'!P134)</f>
        <v/>
      </c>
      <c r="I134">
        <f>IF('COPY 10 %'!$A134="","",'COPY 10 %'!M134)</f>
        <v/>
      </c>
      <c r="J134" s="7">
        <f>IF('COPY 10 %'!$A134="","",'COPY 10 %'!Q134)</f>
        <v/>
      </c>
      <c r="K134" s="7">
        <f>IF('COPY 10 %'!$A134="","",'COPY 10 %'!H134)</f>
        <v/>
      </c>
      <c r="L134" s="7">
        <f>IF('COPY 10 %'!$A134="","",'COPY 10 %'!T134)</f>
        <v/>
      </c>
      <c r="M134">
        <f>IF('COPY 10 %'!$A134="","",'COPY 10 %'!G134)</f>
        <v/>
      </c>
    </row>
    <row r="135">
      <c r="A135">
        <f>IF('COPY 10 %'!$A135="","",ROWS($A$2:$A135))</f>
        <v/>
      </c>
      <c r="B135">
        <f>IF('COPY 10 %'!$A135="","",'COPY 10 %'!E135)</f>
        <v/>
      </c>
      <c r="C135">
        <f>IF('COPY 10 %'!$A135="","",'COPY 10 %'!F135)</f>
        <v/>
      </c>
      <c r="D135" s="14">
        <f>IF('COPY 10 %'!$A135="","",'COPY 10 %'!I135)</f>
        <v/>
      </c>
      <c r="E135" s="7">
        <f>IF('COPY 10 %'!$A135="","",'COPY 10 %'!O135)</f>
        <v/>
      </c>
      <c r="F135" s="7">
        <f>IF('COPY 10 %'!$A135="","",'COPY 10 %'!L135)</f>
        <v/>
      </c>
      <c r="G135" s="7">
        <f>IF('COPY 10 %'!$A135="","",'COPY 10 %'!S135)</f>
        <v/>
      </c>
      <c r="H135">
        <f>IF('COPY 10 %'!$A135="","",'COPY 10 %'!P135)</f>
        <v/>
      </c>
      <c r="I135">
        <f>IF('COPY 10 %'!$A135="","",'COPY 10 %'!M135)</f>
        <v/>
      </c>
      <c r="J135" s="7">
        <f>IF('COPY 10 %'!$A135="","",'COPY 10 %'!Q135)</f>
        <v/>
      </c>
      <c r="K135" s="7">
        <f>IF('COPY 10 %'!$A135="","",'COPY 10 %'!H135)</f>
        <v/>
      </c>
      <c r="L135" s="7">
        <f>IF('COPY 10 %'!$A135="","",'COPY 10 %'!T135)</f>
        <v/>
      </c>
      <c r="M135">
        <f>IF('COPY 10 %'!$A135="","",'COPY 10 %'!G135)</f>
        <v/>
      </c>
    </row>
    <row r="136">
      <c r="A136">
        <f>IF('COPY 10 %'!$A136="","",ROWS($A$2:$A136))</f>
        <v/>
      </c>
      <c r="B136">
        <f>IF('COPY 10 %'!$A136="","",'COPY 10 %'!E136)</f>
        <v/>
      </c>
      <c r="C136">
        <f>IF('COPY 10 %'!$A136="","",'COPY 10 %'!F136)</f>
        <v/>
      </c>
      <c r="D136" s="14">
        <f>IF('COPY 10 %'!$A136="","",'COPY 10 %'!I136)</f>
        <v/>
      </c>
      <c r="E136" s="7">
        <f>IF('COPY 10 %'!$A136="","",'COPY 10 %'!O136)</f>
        <v/>
      </c>
      <c r="F136" s="7">
        <f>IF('COPY 10 %'!$A136="","",'COPY 10 %'!L136)</f>
        <v/>
      </c>
      <c r="G136" s="7">
        <f>IF('COPY 10 %'!$A136="","",'COPY 10 %'!S136)</f>
        <v/>
      </c>
      <c r="H136">
        <f>IF('COPY 10 %'!$A136="","",'COPY 10 %'!P136)</f>
        <v/>
      </c>
      <c r="I136">
        <f>IF('COPY 10 %'!$A136="","",'COPY 10 %'!M136)</f>
        <v/>
      </c>
      <c r="J136" s="7">
        <f>IF('COPY 10 %'!$A136="","",'COPY 10 %'!Q136)</f>
        <v/>
      </c>
      <c r="K136" s="7">
        <f>IF('COPY 10 %'!$A136="","",'COPY 10 %'!H136)</f>
        <v/>
      </c>
      <c r="L136" s="7">
        <f>IF('COPY 10 %'!$A136="","",'COPY 10 %'!T136)</f>
        <v/>
      </c>
      <c r="M136">
        <f>IF('COPY 10 %'!$A136="","",'COPY 10 %'!G136)</f>
        <v/>
      </c>
    </row>
    <row r="137">
      <c r="A137">
        <f>IF('COPY 10 %'!$A137="","",ROWS($A$2:$A137))</f>
        <v/>
      </c>
      <c r="B137">
        <f>IF('COPY 10 %'!$A137="","",'COPY 10 %'!E137)</f>
        <v/>
      </c>
      <c r="C137">
        <f>IF('COPY 10 %'!$A137="","",'COPY 10 %'!F137)</f>
        <v/>
      </c>
      <c r="D137" s="14">
        <f>IF('COPY 10 %'!$A137="","",'COPY 10 %'!I137)</f>
        <v/>
      </c>
      <c r="E137" s="7">
        <f>IF('COPY 10 %'!$A137="","",'COPY 10 %'!O137)</f>
        <v/>
      </c>
      <c r="F137" s="7">
        <f>IF('COPY 10 %'!$A137="","",'COPY 10 %'!L137)</f>
        <v/>
      </c>
      <c r="G137" s="7">
        <f>IF('COPY 10 %'!$A137="","",'COPY 10 %'!S137)</f>
        <v/>
      </c>
      <c r="H137">
        <f>IF('COPY 10 %'!$A137="","",'COPY 10 %'!P137)</f>
        <v/>
      </c>
      <c r="I137">
        <f>IF('COPY 10 %'!$A137="","",'COPY 10 %'!M137)</f>
        <v/>
      </c>
      <c r="J137" s="7">
        <f>IF('COPY 10 %'!$A137="","",'COPY 10 %'!Q137)</f>
        <v/>
      </c>
      <c r="K137" s="7">
        <f>IF('COPY 10 %'!$A137="","",'COPY 10 %'!H137)</f>
        <v/>
      </c>
      <c r="L137" s="7">
        <f>IF('COPY 10 %'!$A137="","",'COPY 10 %'!T137)</f>
        <v/>
      </c>
      <c r="M137">
        <f>IF('COPY 10 %'!$A137="","",'COPY 10 %'!G137)</f>
        <v/>
      </c>
    </row>
    <row r="138">
      <c r="A138">
        <f>IF('COPY 10 %'!$A138="","",ROWS($A$2:$A138))</f>
        <v/>
      </c>
      <c r="B138">
        <f>IF('COPY 10 %'!$A138="","",'COPY 10 %'!E138)</f>
        <v/>
      </c>
      <c r="C138">
        <f>IF('COPY 10 %'!$A138="","",'COPY 10 %'!F138)</f>
        <v/>
      </c>
      <c r="D138" s="14">
        <f>IF('COPY 10 %'!$A138="","",'COPY 10 %'!I138)</f>
        <v/>
      </c>
      <c r="E138" s="7">
        <f>IF('COPY 10 %'!$A138="","",'COPY 10 %'!O138)</f>
        <v/>
      </c>
      <c r="F138" s="7">
        <f>IF('COPY 10 %'!$A138="","",'COPY 10 %'!L138)</f>
        <v/>
      </c>
      <c r="G138" s="7">
        <f>IF('COPY 10 %'!$A138="","",'COPY 10 %'!S138)</f>
        <v/>
      </c>
      <c r="H138">
        <f>IF('COPY 10 %'!$A138="","",'COPY 10 %'!P138)</f>
        <v/>
      </c>
      <c r="I138">
        <f>IF('COPY 10 %'!$A138="","",'COPY 10 %'!M138)</f>
        <v/>
      </c>
      <c r="J138" s="7">
        <f>IF('COPY 10 %'!$A138="","",'COPY 10 %'!Q138)</f>
        <v/>
      </c>
      <c r="K138" s="7">
        <f>IF('COPY 10 %'!$A138="","",'COPY 10 %'!H138)</f>
        <v/>
      </c>
      <c r="L138" s="7">
        <f>IF('COPY 10 %'!$A138="","",'COPY 10 %'!T138)</f>
        <v/>
      </c>
      <c r="M138">
        <f>IF('COPY 10 %'!$A138="","",'COPY 10 %'!G138)</f>
        <v/>
      </c>
    </row>
    <row r="139">
      <c r="A139">
        <f>IF('COPY 10 %'!$A139="","",ROWS($A$2:$A139))</f>
        <v/>
      </c>
      <c r="B139">
        <f>IF('COPY 10 %'!$A139="","",'COPY 10 %'!E139)</f>
        <v/>
      </c>
      <c r="C139">
        <f>IF('COPY 10 %'!$A139="","",'COPY 10 %'!F139)</f>
        <v/>
      </c>
      <c r="D139" s="14">
        <f>IF('COPY 10 %'!$A139="","",'COPY 10 %'!I139)</f>
        <v/>
      </c>
      <c r="E139" s="7">
        <f>IF('COPY 10 %'!$A139="","",'COPY 10 %'!O139)</f>
        <v/>
      </c>
      <c r="F139" s="7">
        <f>IF('COPY 10 %'!$A139="","",'COPY 10 %'!L139)</f>
        <v/>
      </c>
      <c r="G139" s="7">
        <f>IF('COPY 10 %'!$A139="","",'COPY 10 %'!S139)</f>
        <v/>
      </c>
      <c r="H139">
        <f>IF('COPY 10 %'!$A139="","",'COPY 10 %'!P139)</f>
        <v/>
      </c>
      <c r="I139">
        <f>IF('COPY 10 %'!$A139="","",'COPY 10 %'!M139)</f>
        <v/>
      </c>
      <c r="J139" s="7">
        <f>IF('COPY 10 %'!$A139="","",'COPY 10 %'!Q139)</f>
        <v/>
      </c>
      <c r="K139" s="7">
        <f>IF('COPY 10 %'!$A139="","",'COPY 10 %'!H139)</f>
        <v/>
      </c>
      <c r="L139" s="7">
        <f>IF('COPY 10 %'!$A139="","",'COPY 10 %'!T139)</f>
        <v/>
      </c>
      <c r="M139">
        <f>IF('COPY 10 %'!$A139="","",'COPY 10 %'!G139)</f>
        <v/>
      </c>
    </row>
    <row r="140">
      <c r="A140">
        <f>IF('COPY 10 %'!$A140="","",ROWS($A$2:$A140))</f>
        <v/>
      </c>
      <c r="B140">
        <f>IF('COPY 10 %'!$A140="","",'COPY 10 %'!E140)</f>
        <v/>
      </c>
      <c r="C140">
        <f>IF('COPY 10 %'!$A140="","",'COPY 10 %'!F140)</f>
        <v/>
      </c>
      <c r="D140" s="14">
        <f>IF('COPY 10 %'!$A140="","",'COPY 10 %'!I140)</f>
        <v/>
      </c>
      <c r="E140" s="7">
        <f>IF('COPY 10 %'!$A140="","",'COPY 10 %'!O140)</f>
        <v/>
      </c>
      <c r="F140" s="7">
        <f>IF('COPY 10 %'!$A140="","",'COPY 10 %'!L140)</f>
        <v/>
      </c>
      <c r="G140" s="7">
        <f>IF('COPY 10 %'!$A140="","",'COPY 10 %'!S140)</f>
        <v/>
      </c>
      <c r="H140">
        <f>IF('COPY 10 %'!$A140="","",'COPY 10 %'!P140)</f>
        <v/>
      </c>
      <c r="I140">
        <f>IF('COPY 10 %'!$A140="","",'COPY 10 %'!M140)</f>
        <v/>
      </c>
      <c r="J140" s="7">
        <f>IF('COPY 10 %'!$A140="","",'COPY 10 %'!Q140)</f>
        <v/>
      </c>
      <c r="K140" s="7">
        <f>IF('COPY 10 %'!$A140="","",'COPY 10 %'!H140)</f>
        <v/>
      </c>
      <c r="L140" s="7">
        <f>IF('COPY 10 %'!$A140="","",'COPY 10 %'!T140)</f>
        <v/>
      </c>
      <c r="M140">
        <f>IF('COPY 10 %'!$A140="","",'COPY 10 %'!G140)</f>
        <v/>
      </c>
    </row>
    <row r="141">
      <c r="A141">
        <f>IF('COPY 10 %'!$A141="","",ROWS($A$2:$A141))</f>
        <v/>
      </c>
      <c r="B141">
        <f>IF('COPY 10 %'!$A141="","",'COPY 10 %'!E141)</f>
        <v/>
      </c>
      <c r="C141">
        <f>IF('COPY 10 %'!$A141="","",'COPY 10 %'!F141)</f>
        <v/>
      </c>
      <c r="D141" s="14">
        <f>IF('COPY 10 %'!$A141="","",'COPY 10 %'!I141)</f>
        <v/>
      </c>
      <c r="E141" s="7">
        <f>IF('COPY 10 %'!$A141="","",'COPY 10 %'!O141)</f>
        <v/>
      </c>
      <c r="F141" s="7">
        <f>IF('COPY 10 %'!$A141="","",'COPY 10 %'!L141)</f>
        <v/>
      </c>
      <c r="G141" s="7">
        <f>IF('COPY 10 %'!$A141="","",'COPY 10 %'!S141)</f>
        <v/>
      </c>
      <c r="H141">
        <f>IF('COPY 10 %'!$A141="","",'COPY 10 %'!P141)</f>
        <v/>
      </c>
      <c r="I141">
        <f>IF('COPY 10 %'!$A141="","",'COPY 10 %'!M141)</f>
        <v/>
      </c>
      <c r="J141" s="7">
        <f>IF('COPY 10 %'!$A141="","",'COPY 10 %'!Q141)</f>
        <v/>
      </c>
      <c r="K141" s="7">
        <f>IF('COPY 10 %'!$A141="","",'COPY 10 %'!H141)</f>
        <v/>
      </c>
      <c r="L141" s="7">
        <f>IF('COPY 10 %'!$A141="","",'COPY 10 %'!T141)</f>
        <v/>
      </c>
      <c r="M141">
        <f>IF('COPY 10 %'!$A141="","",'COPY 10 %'!G141)</f>
        <v/>
      </c>
    </row>
    <row r="142">
      <c r="A142">
        <f>IF('COPY 10 %'!$A142="","",ROWS($A$2:$A142))</f>
        <v/>
      </c>
      <c r="B142">
        <f>IF('COPY 10 %'!$A142="","",'COPY 10 %'!E142)</f>
        <v/>
      </c>
      <c r="C142">
        <f>IF('COPY 10 %'!$A142="","",'COPY 10 %'!F142)</f>
        <v/>
      </c>
      <c r="D142" s="14">
        <f>IF('COPY 10 %'!$A142="","",'COPY 10 %'!I142)</f>
        <v/>
      </c>
      <c r="E142" s="7">
        <f>IF('COPY 10 %'!$A142="","",'COPY 10 %'!O142)</f>
        <v/>
      </c>
      <c r="F142" s="7">
        <f>IF('COPY 10 %'!$A142="","",'COPY 10 %'!L142)</f>
        <v/>
      </c>
      <c r="G142" s="7">
        <f>IF('COPY 10 %'!$A142="","",'COPY 10 %'!S142)</f>
        <v/>
      </c>
      <c r="H142">
        <f>IF('COPY 10 %'!$A142="","",'COPY 10 %'!P142)</f>
        <v/>
      </c>
      <c r="I142">
        <f>IF('COPY 10 %'!$A142="","",'COPY 10 %'!M142)</f>
        <v/>
      </c>
      <c r="J142" s="7">
        <f>IF('COPY 10 %'!$A142="","",'COPY 10 %'!Q142)</f>
        <v/>
      </c>
      <c r="K142" s="7">
        <f>IF('COPY 10 %'!$A142="","",'COPY 10 %'!H142)</f>
        <v/>
      </c>
      <c r="L142" s="7">
        <f>IF('COPY 10 %'!$A142="","",'COPY 10 %'!T142)</f>
        <v/>
      </c>
      <c r="M142">
        <f>IF('COPY 10 %'!$A142="","",'COPY 10 %'!G142)</f>
        <v/>
      </c>
    </row>
    <row r="143">
      <c r="A143">
        <f>IF('COPY 10 %'!$A143="","",ROWS($A$2:$A143))</f>
        <v/>
      </c>
      <c r="B143">
        <f>IF('COPY 10 %'!$A143="","",'COPY 10 %'!E143)</f>
        <v/>
      </c>
      <c r="C143">
        <f>IF('COPY 10 %'!$A143="","",'COPY 10 %'!F143)</f>
        <v/>
      </c>
      <c r="D143" s="14">
        <f>IF('COPY 10 %'!$A143="","",'COPY 10 %'!I143)</f>
        <v/>
      </c>
      <c r="E143" s="7">
        <f>IF('COPY 10 %'!$A143="","",'COPY 10 %'!O143)</f>
        <v/>
      </c>
      <c r="F143" s="7">
        <f>IF('COPY 10 %'!$A143="","",'COPY 10 %'!L143)</f>
        <v/>
      </c>
      <c r="G143" s="7">
        <f>IF('COPY 10 %'!$A143="","",'COPY 10 %'!S143)</f>
        <v/>
      </c>
      <c r="H143">
        <f>IF('COPY 10 %'!$A143="","",'COPY 10 %'!P143)</f>
        <v/>
      </c>
      <c r="I143">
        <f>IF('COPY 10 %'!$A143="","",'COPY 10 %'!M143)</f>
        <v/>
      </c>
      <c r="J143" s="7">
        <f>IF('COPY 10 %'!$A143="","",'COPY 10 %'!Q143)</f>
        <v/>
      </c>
      <c r="K143" s="7">
        <f>IF('COPY 10 %'!$A143="","",'COPY 10 %'!H143)</f>
        <v/>
      </c>
      <c r="L143" s="7">
        <f>IF('COPY 10 %'!$A143="","",'COPY 10 %'!T143)</f>
        <v/>
      </c>
      <c r="M143">
        <f>IF('COPY 10 %'!$A143="","",'COPY 10 %'!G143)</f>
        <v/>
      </c>
    </row>
    <row r="144">
      <c r="A144">
        <f>IF('COPY 10 %'!$A144="","",ROWS($A$2:$A144))</f>
        <v/>
      </c>
      <c r="B144">
        <f>IF('COPY 10 %'!$A144="","",'COPY 10 %'!E144)</f>
        <v/>
      </c>
      <c r="C144">
        <f>IF('COPY 10 %'!$A144="","",'COPY 10 %'!F144)</f>
        <v/>
      </c>
      <c r="D144" s="14">
        <f>IF('COPY 10 %'!$A144="","",'COPY 10 %'!I144)</f>
        <v/>
      </c>
      <c r="E144" s="7">
        <f>IF('COPY 10 %'!$A144="","",'COPY 10 %'!O144)</f>
        <v/>
      </c>
      <c r="F144" s="7">
        <f>IF('COPY 10 %'!$A144="","",'COPY 10 %'!L144)</f>
        <v/>
      </c>
      <c r="G144" s="7">
        <f>IF('COPY 10 %'!$A144="","",'COPY 10 %'!S144)</f>
        <v/>
      </c>
      <c r="H144">
        <f>IF('COPY 10 %'!$A144="","",'COPY 10 %'!P144)</f>
        <v/>
      </c>
      <c r="I144">
        <f>IF('COPY 10 %'!$A144="","",'COPY 10 %'!M144)</f>
        <v/>
      </c>
      <c r="J144" s="7">
        <f>IF('COPY 10 %'!$A144="","",'COPY 10 %'!Q144)</f>
        <v/>
      </c>
      <c r="K144" s="7">
        <f>IF('COPY 10 %'!$A144="","",'COPY 10 %'!H144)</f>
        <v/>
      </c>
      <c r="L144" s="7">
        <f>IF('COPY 10 %'!$A144="","",'COPY 10 %'!T144)</f>
        <v/>
      </c>
      <c r="M144">
        <f>IF('COPY 10 %'!$A144="","",'COPY 10 %'!G144)</f>
        <v/>
      </c>
    </row>
    <row r="145">
      <c r="A145">
        <f>IF('COPY 10 %'!$A145="","",ROWS($A$2:$A145))</f>
        <v/>
      </c>
      <c r="B145">
        <f>IF('COPY 10 %'!$A145="","",'COPY 10 %'!E145)</f>
        <v/>
      </c>
      <c r="C145">
        <f>IF('COPY 10 %'!$A145="","",'COPY 10 %'!F145)</f>
        <v/>
      </c>
      <c r="D145" s="14">
        <f>IF('COPY 10 %'!$A145="","",'COPY 10 %'!I145)</f>
        <v/>
      </c>
      <c r="E145" s="7">
        <f>IF('COPY 10 %'!$A145="","",'COPY 10 %'!O145)</f>
        <v/>
      </c>
      <c r="F145" s="7">
        <f>IF('COPY 10 %'!$A145="","",'COPY 10 %'!L145)</f>
        <v/>
      </c>
      <c r="G145" s="7">
        <f>IF('COPY 10 %'!$A145="","",'COPY 10 %'!S145)</f>
        <v/>
      </c>
      <c r="H145">
        <f>IF('COPY 10 %'!$A145="","",'COPY 10 %'!P145)</f>
        <v/>
      </c>
      <c r="I145">
        <f>IF('COPY 10 %'!$A145="","",'COPY 10 %'!M145)</f>
        <v/>
      </c>
      <c r="J145" s="7">
        <f>IF('COPY 10 %'!$A145="","",'COPY 10 %'!Q145)</f>
        <v/>
      </c>
      <c r="K145" s="7">
        <f>IF('COPY 10 %'!$A145="","",'COPY 10 %'!H145)</f>
        <v/>
      </c>
      <c r="L145" s="7">
        <f>IF('COPY 10 %'!$A145="","",'COPY 10 %'!T145)</f>
        <v/>
      </c>
      <c r="M145">
        <f>IF('COPY 10 %'!$A145="","",'COPY 10 %'!G145)</f>
        <v/>
      </c>
    </row>
    <row r="146">
      <c r="A146">
        <f>IF('COPY 10 %'!$A146="","",ROWS($A$2:$A146))</f>
        <v/>
      </c>
      <c r="B146">
        <f>IF('COPY 10 %'!$A146="","",'COPY 10 %'!E146)</f>
        <v/>
      </c>
      <c r="C146">
        <f>IF('COPY 10 %'!$A146="","",'COPY 10 %'!F146)</f>
        <v/>
      </c>
      <c r="D146" s="14">
        <f>IF('COPY 10 %'!$A146="","",'COPY 10 %'!I146)</f>
        <v/>
      </c>
      <c r="E146" s="7">
        <f>IF('COPY 10 %'!$A146="","",'COPY 10 %'!O146)</f>
        <v/>
      </c>
      <c r="F146" s="7">
        <f>IF('COPY 10 %'!$A146="","",'COPY 10 %'!L146)</f>
        <v/>
      </c>
      <c r="G146" s="7">
        <f>IF('COPY 10 %'!$A146="","",'COPY 10 %'!S146)</f>
        <v/>
      </c>
      <c r="H146">
        <f>IF('COPY 10 %'!$A146="","",'COPY 10 %'!P146)</f>
        <v/>
      </c>
      <c r="I146">
        <f>IF('COPY 10 %'!$A146="","",'COPY 10 %'!M146)</f>
        <v/>
      </c>
      <c r="J146" s="7">
        <f>IF('COPY 10 %'!$A146="","",'COPY 10 %'!Q146)</f>
        <v/>
      </c>
      <c r="K146" s="7">
        <f>IF('COPY 10 %'!$A146="","",'COPY 10 %'!H146)</f>
        <v/>
      </c>
      <c r="L146" s="7">
        <f>IF('COPY 10 %'!$A146="","",'COPY 10 %'!T146)</f>
        <v/>
      </c>
      <c r="M146">
        <f>IF('COPY 10 %'!$A146="","",'COPY 10 %'!G146)</f>
        <v/>
      </c>
    </row>
    <row r="147">
      <c r="A147">
        <f>IF('COPY 10 %'!$A147="","",ROWS($A$2:$A147))</f>
        <v/>
      </c>
      <c r="B147">
        <f>IF('COPY 10 %'!$A147="","",'COPY 10 %'!E147)</f>
        <v/>
      </c>
      <c r="C147">
        <f>IF('COPY 10 %'!$A147="","",'COPY 10 %'!F147)</f>
        <v/>
      </c>
      <c r="D147" s="14">
        <f>IF('COPY 10 %'!$A147="","",'COPY 10 %'!I147)</f>
        <v/>
      </c>
      <c r="E147" s="7">
        <f>IF('COPY 10 %'!$A147="","",'COPY 10 %'!O147)</f>
        <v/>
      </c>
      <c r="F147" s="7">
        <f>IF('COPY 10 %'!$A147="","",'COPY 10 %'!L147)</f>
        <v/>
      </c>
      <c r="G147" s="7">
        <f>IF('COPY 10 %'!$A147="","",'COPY 10 %'!S147)</f>
        <v/>
      </c>
      <c r="H147">
        <f>IF('COPY 10 %'!$A147="","",'COPY 10 %'!P147)</f>
        <v/>
      </c>
      <c r="I147">
        <f>IF('COPY 10 %'!$A147="","",'COPY 10 %'!M147)</f>
        <v/>
      </c>
      <c r="J147" s="7">
        <f>IF('COPY 10 %'!$A147="","",'COPY 10 %'!Q147)</f>
        <v/>
      </c>
      <c r="K147" s="7">
        <f>IF('COPY 10 %'!$A147="","",'COPY 10 %'!H147)</f>
        <v/>
      </c>
      <c r="L147" s="7">
        <f>IF('COPY 10 %'!$A147="","",'COPY 10 %'!T147)</f>
        <v/>
      </c>
      <c r="M147">
        <f>IF('COPY 10 %'!$A147="","",'COPY 10 %'!G147)</f>
        <v/>
      </c>
    </row>
    <row r="148">
      <c r="A148">
        <f>IF('COPY 10 %'!$A148="","",ROWS($A$2:$A148))</f>
        <v/>
      </c>
      <c r="B148">
        <f>IF('COPY 10 %'!$A148="","",'COPY 10 %'!E148)</f>
        <v/>
      </c>
      <c r="C148">
        <f>IF('COPY 10 %'!$A148="","",'COPY 10 %'!F148)</f>
        <v/>
      </c>
      <c r="D148" s="14">
        <f>IF('COPY 10 %'!$A148="","",'COPY 10 %'!I148)</f>
        <v/>
      </c>
      <c r="E148" s="7">
        <f>IF('COPY 10 %'!$A148="","",'COPY 10 %'!O148)</f>
        <v/>
      </c>
      <c r="F148" s="7">
        <f>IF('COPY 10 %'!$A148="","",'COPY 10 %'!L148)</f>
        <v/>
      </c>
      <c r="G148" s="7">
        <f>IF('COPY 10 %'!$A148="","",'COPY 10 %'!S148)</f>
        <v/>
      </c>
      <c r="H148">
        <f>IF('COPY 10 %'!$A148="","",'COPY 10 %'!P148)</f>
        <v/>
      </c>
      <c r="I148">
        <f>IF('COPY 10 %'!$A148="","",'COPY 10 %'!M148)</f>
        <v/>
      </c>
      <c r="J148" s="7">
        <f>IF('COPY 10 %'!$A148="","",'COPY 10 %'!Q148)</f>
        <v/>
      </c>
      <c r="K148" s="7">
        <f>IF('COPY 10 %'!$A148="","",'COPY 10 %'!H148)</f>
        <v/>
      </c>
      <c r="L148" s="7">
        <f>IF('COPY 10 %'!$A148="","",'COPY 10 %'!T148)</f>
        <v/>
      </c>
      <c r="M148">
        <f>IF('COPY 10 %'!$A148="","",'COPY 10 %'!G148)</f>
        <v/>
      </c>
    </row>
    <row r="149">
      <c r="A149">
        <f>IF('COPY 10 %'!$A149="","",ROWS($A$2:$A149))</f>
        <v/>
      </c>
      <c r="B149">
        <f>IF('COPY 10 %'!$A149="","",'COPY 10 %'!E149)</f>
        <v/>
      </c>
      <c r="C149">
        <f>IF('COPY 10 %'!$A149="","",'COPY 10 %'!F149)</f>
        <v/>
      </c>
      <c r="D149" s="14">
        <f>IF('COPY 10 %'!$A149="","",'COPY 10 %'!I149)</f>
        <v/>
      </c>
      <c r="E149" s="7">
        <f>IF('COPY 10 %'!$A149="","",'COPY 10 %'!O149)</f>
        <v/>
      </c>
      <c r="F149" s="7">
        <f>IF('COPY 10 %'!$A149="","",'COPY 10 %'!L149)</f>
        <v/>
      </c>
      <c r="G149" s="7">
        <f>IF('COPY 10 %'!$A149="","",'COPY 10 %'!S149)</f>
        <v/>
      </c>
      <c r="H149">
        <f>IF('COPY 10 %'!$A149="","",'COPY 10 %'!P149)</f>
        <v/>
      </c>
      <c r="I149">
        <f>IF('COPY 10 %'!$A149="","",'COPY 10 %'!M149)</f>
        <v/>
      </c>
      <c r="J149" s="7">
        <f>IF('COPY 10 %'!$A149="","",'COPY 10 %'!Q149)</f>
        <v/>
      </c>
      <c r="K149" s="7">
        <f>IF('COPY 10 %'!$A149="","",'COPY 10 %'!H149)</f>
        <v/>
      </c>
      <c r="L149" s="7">
        <f>IF('COPY 10 %'!$A149="","",'COPY 10 %'!T149)</f>
        <v/>
      </c>
      <c r="M149">
        <f>IF('COPY 10 %'!$A149="","",'COPY 10 %'!G149)</f>
        <v/>
      </c>
    </row>
    <row r="150">
      <c r="A150">
        <f>IF('COPY 10 %'!$A150="","",ROWS($A$2:$A150))</f>
        <v/>
      </c>
      <c r="B150">
        <f>IF('COPY 10 %'!$A150="","",'COPY 10 %'!E150)</f>
        <v/>
      </c>
      <c r="C150">
        <f>IF('COPY 10 %'!$A150="","",'COPY 10 %'!F150)</f>
        <v/>
      </c>
      <c r="D150" s="14">
        <f>IF('COPY 10 %'!$A150="","",'COPY 10 %'!I150)</f>
        <v/>
      </c>
      <c r="E150" s="7">
        <f>IF('COPY 10 %'!$A150="","",'COPY 10 %'!O150)</f>
        <v/>
      </c>
      <c r="F150" s="7">
        <f>IF('COPY 10 %'!$A150="","",'COPY 10 %'!L150)</f>
        <v/>
      </c>
      <c r="G150" s="7">
        <f>IF('COPY 10 %'!$A150="","",'COPY 10 %'!S150)</f>
        <v/>
      </c>
      <c r="H150">
        <f>IF('COPY 10 %'!$A150="","",'COPY 10 %'!P150)</f>
        <v/>
      </c>
      <c r="I150">
        <f>IF('COPY 10 %'!$A150="","",'COPY 10 %'!M150)</f>
        <v/>
      </c>
      <c r="J150" s="7">
        <f>IF('COPY 10 %'!$A150="","",'COPY 10 %'!Q150)</f>
        <v/>
      </c>
      <c r="K150" s="7">
        <f>IF('COPY 10 %'!$A150="","",'COPY 10 %'!H150)</f>
        <v/>
      </c>
      <c r="L150" s="7">
        <f>IF('COPY 10 %'!$A150="","",'COPY 10 %'!T150)</f>
        <v/>
      </c>
      <c r="M150">
        <f>IF('COPY 10 %'!$A150="","",'COPY 10 %'!G150)</f>
        <v/>
      </c>
    </row>
    <row r="151">
      <c r="A151">
        <f>IF('COPY 10 %'!$A151="","",ROWS($A$2:$A151))</f>
        <v/>
      </c>
      <c r="B151">
        <f>IF('COPY 10 %'!$A151="","",'COPY 10 %'!E151)</f>
        <v/>
      </c>
      <c r="C151">
        <f>IF('COPY 10 %'!$A151="","",'COPY 10 %'!F151)</f>
        <v/>
      </c>
      <c r="D151" s="14">
        <f>IF('COPY 10 %'!$A151="","",'COPY 10 %'!I151)</f>
        <v/>
      </c>
      <c r="E151" s="7">
        <f>IF('COPY 10 %'!$A151="","",'COPY 10 %'!O151)</f>
        <v/>
      </c>
      <c r="F151" s="7">
        <f>IF('COPY 10 %'!$A151="","",'COPY 10 %'!L151)</f>
        <v/>
      </c>
      <c r="G151" s="7">
        <f>IF('COPY 10 %'!$A151="","",'COPY 10 %'!S151)</f>
        <v/>
      </c>
      <c r="H151">
        <f>IF('COPY 10 %'!$A151="","",'COPY 10 %'!P151)</f>
        <v/>
      </c>
      <c r="I151">
        <f>IF('COPY 10 %'!$A151="","",'COPY 10 %'!M151)</f>
        <v/>
      </c>
      <c r="J151" s="7">
        <f>IF('COPY 10 %'!$A151="","",'COPY 10 %'!Q151)</f>
        <v/>
      </c>
      <c r="K151" s="7">
        <f>IF('COPY 10 %'!$A151="","",'COPY 10 %'!H151)</f>
        <v/>
      </c>
      <c r="L151" s="7">
        <f>IF('COPY 10 %'!$A151="","",'COPY 10 %'!T151)</f>
        <v/>
      </c>
      <c r="M151">
        <f>IF('COPY 10 %'!$A151="","",'COPY 10 %'!G151)</f>
        <v/>
      </c>
    </row>
    <row r="152">
      <c r="A152">
        <f>IF('COPY 10 %'!$A152="","",ROWS($A$2:$A152))</f>
        <v/>
      </c>
      <c r="B152">
        <f>IF('COPY 10 %'!$A152="","",'COPY 10 %'!E152)</f>
        <v/>
      </c>
      <c r="C152">
        <f>IF('COPY 10 %'!$A152="","",'COPY 10 %'!F152)</f>
        <v/>
      </c>
      <c r="D152" s="14">
        <f>IF('COPY 10 %'!$A152="","",'COPY 10 %'!I152)</f>
        <v/>
      </c>
      <c r="E152" s="7">
        <f>IF('COPY 10 %'!$A152="","",'COPY 10 %'!O152)</f>
        <v/>
      </c>
      <c r="F152" s="7">
        <f>IF('COPY 10 %'!$A152="","",'COPY 10 %'!L152)</f>
        <v/>
      </c>
      <c r="G152" s="7">
        <f>IF('COPY 10 %'!$A152="","",'COPY 10 %'!S152)</f>
        <v/>
      </c>
      <c r="H152">
        <f>IF('COPY 10 %'!$A152="","",'COPY 10 %'!P152)</f>
        <v/>
      </c>
      <c r="I152">
        <f>IF('COPY 10 %'!$A152="","",'COPY 10 %'!M152)</f>
        <v/>
      </c>
      <c r="J152" s="7">
        <f>IF('COPY 10 %'!$A152="","",'COPY 10 %'!Q152)</f>
        <v/>
      </c>
      <c r="K152" s="7">
        <f>IF('COPY 10 %'!$A152="","",'COPY 10 %'!H152)</f>
        <v/>
      </c>
      <c r="L152" s="7">
        <f>IF('COPY 10 %'!$A152="","",'COPY 10 %'!T152)</f>
        <v/>
      </c>
      <c r="M152">
        <f>IF('COPY 10 %'!$A152="","",'COPY 10 %'!G152)</f>
        <v/>
      </c>
    </row>
    <row r="153">
      <c r="A153">
        <f>IF('COPY 10 %'!$A153="","",ROWS($A$2:$A153))</f>
        <v/>
      </c>
      <c r="B153">
        <f>IF('COPY 10 %'!$A153="","",'COPY 10 %'!E153)</f>
        <v/>
      </c>
      <c r="C153">
        <f>IF('COPY 10 %'!$A153="","",'COPY 10 %'!F153)</f>
        <v/>
      </c>
      <c r="D153" s="14">
        <f>IF('COPY 10 %'!$A153="","",'COPY 10 %'!I153)</f>
        <v/>
      </c>
      <c r="E153" s="7">
        <f>IF('COPY 10 %'!$A153="","",'COPY 10 %'!O153)</f>
        <v/>
      </c>
      <c r="F153" s="7">
        <f>IF('COPY 10 %'!$A153="","",'COPY 10 %'!L153)</f>
        <v/>
      </c>
      <c r="G153" s="7">
        <f>IF('COPY 10 %'!$A153="","",'COPY 10 %'!S153)</f>
        <v/>
      </c>
      <c r="H153">
        <f>IF('COPY 10 %'!$A153="","",'COPY 10 %'!P153)</f>
        <v/>
      </c>
      <c r="I153">
        <f>IF('COPY 10 %'!$A153="","",'COPY 10 %'!M153)</f>
        <v/>
      </c>
      <c r="J153" s="7">
        <f>IF('COPY 10 %'!$A153="","",'COPY 10 %'!Q153)</f>
        <v/>
      </c>
      <c r="K153" s="7">
        <f>IF('COPY 10 %'!$A153="","",'COPY 10 %'!H153)</f>
        <v/>
      </c>
      <c r="L153" s="7">
        <f>IF('COPY 10 %'!$A153="","",'COPY 10 %'!T153)</f>
        <v/>
      </c>
      <c r="M153">
        <f>IF('COPY 10 %'!$A153="","",'COPY 10 %'!G153)</f>
        <v/>
      </c>
    </row>
    <row r="154">
      <c r="A154">
        <f>IF('COPY 10 %'!$A154="","",ROWS($A$2:$A154))</f>
        <v/>
      </c>
      <c r="B154">
        <f>IF('COPY 10 %'!$A154="","",'COPY 10 %'!E154)</f>
        <v/>
      </c>
      <c r="C154">
        <f>IF('COPY 10 %'!$A154="","",'COPY 10 %'!F154)</f>
        <v/>
      </c>
      <c r="D154" s="14">
        <f>IF('COPY 10 %'!$A154="","",'COPY 10 %'!I154)</f>
        <v/>
      </c>
      <c r="E154" s="7">
        <f>IF('COPY 10 %'!$A154="","",'COPY 10 %'!O154)</f>
        <v/>
      </c>
      <c r="F154" s="7">
        <f>IF('COPY 10 %'!$A154="","",'COPY 10 %'!L154)</f>
        <v/>
      </c>
      <c r="G154" s="7">
        <f>IF('COPY 10 %'!$A154="","",'COPY 10 %'!S154)</f>
        <v/>
      </c>
      <c r="H154">
        <f>IF('COPY 10 %'!$A154="","",'COPY 10 %'!P154)</f>
        <v/>
      </c>
      <c r="I154">
        <f>IF('COPY 10 %'!$A154="","",'COPY 10 %'!M154)</f>
        <v/>
      </c>
      <c r="J154" s="7">
        <f>IF('COPY 10 %'!$A154="","",'COPY 10 %'!Q154)</f>
        <v/>
      </c>
      <c r="K154" s="7">
        <f>IF('COPY 10 %'!$A154="","",'COPY 10 %'!H154)</f>
        <v/>
      </c>
      <c r="L154" s="7">
        <f>IF('COPY 10 %'!$A154="","",'COPY 10 %'!T154)</f>
        <v/>
      </c>
      <c r="M154">
        <f>IF('COPY 10 %'!$A154="","",'COPY 10 %'!G154)</f>
        <v/>
      </c>
    </row>
    <row r="155">
      <c r="A155">
        <f>IF('COPY 10 %'!$A155="","",ROWS($A$2:$A155))</f>
        <v/>
      </c>
      <c r="B155">
        <f>IF('COPY 10 %'!$A155="","",'COPY 10 %'!E155)</f>
        <v/>
      </c>
      <c r="C155">
        <f>IF('COPY 10 %'!$A155="","",'COPY 10 %'!F155)</f>
        <v/>
      </c>
      <c r="D155" s="14">
        <f>IF('COPY 10 %'!$A155="","",'COPY 10 %'!I155)</f>
        <v/>
      </c>
      <c r="E155" s="7">
        <f>IF('COPY 10 %'!$A155="","",'COPY 10 %'!O155)</f>
        <v/>
      </c>
      <c r="F155" s="7">
        <f>IF('COPY 10 %'!$A155="","",'COPY 10 %'!L155)</f>
        <v/>
      </c>
      <c r="G155" s="7">
        <f>IF('COPY 10 %'!$A155="","",'COPY 10 %'!S155)</f>
        <v/>
      </c>
      <c r="H155">
        <f>IF('COPY 10 %'!$A155="","",'COPY 10 %'!P155)</f>
        <v/>
      </c>
      <c r="I155">
        <f>IF('COPY 10 %'!$A155="","",'COPY 10 %'!M155)</f>
        <v/>
      </c>
      <c r="J155" s="7">
        <f>IF('COPY 10 %'!$A155="","",'COPY 10 %'!Q155)</f>
        <v/>
      </c>
      <c r="K155" s="7">
        <f>IF('COPY 10 %'!$A155="","",'COPY 10 %'!H155)</f>
        <v/>
      </c>
      <c r="L155" s="7">
        <f>IF('COPY 10 %'!$A155="","",'COPY 10 %'!T155)</f>
        <v/>
      </c>
      <c r="M155">
        <f>IF('COPY 10 %'!$A155="","",'COPY 10 %'!G155)</f>
        <v/>
      </c>
    </row>
    <row r="156">
      <c r="A156">
        <f>IF('COPY 10 %'!$A156="","",ROWS($A$2:$A156))</f>
        <v/>
      </c>
      <c r="B156">
        <f>IF('COPY 10 %'!$A156="","",'COPY 10 %'!E156)</f>
        <v/>
      </c>
      <c r="C156">
        <f>IF('COPY 10 %'!$A156="","",'COPY 10 %'!F156)</f>
        <v/>
      </c>
      <c r="D156" s="14">
        <f>IF('COPY 10 %'!$A156="","",'COPY 10 %'!I156)</f>
        <v/>
      </c>
      <c r="E156" s="7">
        <f>IF('COPY 10 %'!$A156="","",'COPY 10 %'!O156)</f>
        <v/>
      </c>
      <c r="F156" s="7">
        <f>IF('COPY 10 %'!$A156="","",'COPY 10 %'!L156)</f>
        <v/>
      </c>
      <c r="G156" s="7">
        <f>IF('COPY 10 %'!$A156="","",'COPY 10 %'!S156)</f>
        <v/>
      </c>
      <c r="H156">
        <f>IF('COPY 10 %'!$A156="","",'COPY 10 %'!P156)</f>
        <v/>
      </c>
      <c r="I156">
        <f>IF('COPY 10 %'!$A156="","",'COPY 10 %'!M156)</f>
        <v/>
      </c>
      <c r="J156" s="7">
        <f>IF('COPY 10 %'!$A156="","",'COPY 10 %'!Q156)</f>
        <v/>
      </c>
      <c r="K156" s="7">
        <f>IF('COPY 10 %'!$A156="","",'COPY 10 %'!H156)</f>
        <v/>
      </c>
      <c r="L156" s="7">
        <f>IF('COPY 10 %'!$A156="","",'COPY 10 %'!T156)</f>
        <v/>
      </c>
      <c r="M156">
        <f>IF('COPY 10 %'!$A156="","",'COPY 10 %'!G156)</f>
        <v/>
      </c>
    </row>
    <row r="157">
      <c r="A157">
        <f>IF('COPY 10 %'!$A157="","",ROWS($A$2:$A157))</f>
        <v/>
      </c>
      <c r="B157">
        <f>IF('COPY 10 %'!$A157="","",'COPY 10 %'!E157)</f>
        <v/>
      </c>
      <c r="C157">
        <f>IF('COPY 10 %'!$A157="","",'COPY 10 %'!F157)</f>
        <v/>
      </c>
      <c r="D157" s="14">
        <f>IF('COPY 10 %'!$A157="","",'COPY 10 %'!I157)</f>
        <v/>
      </c>
      <c r="E157" s="7">
        <f>IF('COPY 10 %'!$A157="","",'COPY 10 %'!O157)</f>
        <v/>
      </c>
      <c r="F157" s="7">
        <f>IF('COPY 10 %'!$A157="","",'COPY 10 %'!L157)</f>
        <v/>
      </c>
      <c r="G157" s="7">
        <f>IF('COPY 10 %'!$A157="","",'COPY 10 %'!S157)</f>
        <v/>
      </c>
      <c r="H157">
        <f>IF('COPY 10 %'!$A157="","",'COPY 10 %'!P157)</f>
        <v/>
      </c>
      <c r="I157">
        <f>IF('COPY 10 %'!$A157="","",'COPY 10 %'!M157)</f>
        <v/>
      </c>
      <c r="J157" s="7">
        <f>IF('COPY 10 %'!$A157="","",'COPY 10 %'!Q157)</f>
        <v/>
      </c>
      <c r="K157" s="7">
        <f>IF('COPY 10 %'!$A157="","",'COPY 10 %'!H157)</f>
        <v/>
      </c>
      <c r="L157" s="7">
        <f>IF('COPY 10 %'!$A157="","",'COPY 10 %'!T157)</f>
        <v/>
      </c>
      <c r="M157">
        <f>IF('COPY 10 %'!$A157="","",'COPY 10 %'!G157)</f>
        <v/>
      </c>
    </row>
    <row r="158">
      <c r="A158">
        <f>IF('COPY 10 %'!$A158="","",ROWS($A$2:$A158))</f>
        <v/>
      </c>
      <c r="B158">
        <f>IF('COPY 10 %'!$A158="","",'COPY 10 %'!E158)</f>
        <v/>
      </c>
      <c r="C158">
        <f>IF('COPY 10 %'!$A158="","",'COPY 10 %'!F158)</f>
        <v/>
      </c>
      <c r="D158" s="14">
        <f>IF('COPY 10 %'!$A158="","",'COPY 10 %'!I158)</f>
        <v/>
      </c>
      <c r="E158" s="7">
        <f>IF('COPY 10 %'!$A158="","",'COPY 10 %'!O158)</f>
        <v/>
      </c>
      <c r="F158" s="7">
        <f>IF('COPY 10 %'!$A158="","",'COPY 10 %'!L158)</f>
        <v/>
      </c>
      <c r="G158" s="7">
        <f>IF('COPY 10 %'!$A158="","",'COPY 10 %'!S158)</f>
        <v/>
      </c>
      <c r="H158">
        <f>IF('COPY 10 %'!$A158="","",'COPY 10 %'!P158)</f>
        <v/>
      </c>
      <c r="I158">
        <f>IF('COPY 10 %'!$A158="","",'COPY 10 %'!M158)</f>
        <v/>
      </c>
      <c r="J158" s="7">
        <f>IF('COPY 10 %'!$A158="","",'COPY 10 %'!Q158)</f>
        <v/>
      </c>
      <c r="K158" s="7">
        <f>IF('COPY 10 %'!$A158="","",'COPY 10 %'!H158)</f>
        <v/>
      </c>
      <c r="L158" s="7">
        <f>IF('COPY 10 %'!$A158="","",'COPY 10 %'!T158)</f>
        <v/>
      </c>
      <c r="M158">
        <f>IF('COPY 10 %'!$A158="","",'COPY 10 %'!G158)</f>
        <v/>
      </c>
    </row>
    <row r="159">
      <c r="A159">
        <f>IF('COPY 10 %'!$A159="","",ROWS($A$2:$A159))</f>
        <v/>
      </c>
      <c r="B159">
        <f>IF('COPY 10 %'!$A159="","",'COPY 10 %'!E159)</f>
        <v/>
      </c>
      <c r="C159">
        <f>IF('COPY 10 %'!$A159="","",'COPY 10 %'!F159)</f>
        <v/>
      </c>
      <c r="D159" s="14">
        <f>IF('COPY 10 %'!$A159="","",'COPY 10 %'!I159)</f>
        <v/>
      </c>
      <c r="E159" s="7">
        <f>IF('COPY 10 %'!$A159="","",'COPY 10 %'!O159)</f>
        <v/>
      </c>
      <c r="F159" s="7">
        <f>IF('COPY 10 %'!$A159="","",'COPY 10 %'!L159)</f>
        <v/>
      </c>
      <c r="G159" s="7">
        <f>IF('COPY 10 %'!$A159="","",'COPY 10 %'!S159)</f>
        <v/>
      </c>
      <c r="H159">
        <f>IF('COPY 10 %'!$A159="","",'COPY 10 %'!P159)</f>
        <v/>
      </c>
      <c r="I159">
        <f>IF('COPY 10 %'!$A159="","",'COPY 10 %'!M159)</f>
        <v/>
      </c>
      <c r="J159" s="7">
        <f>IF('COPY 10 %'!$A159="","",'COPY 10 %'!Q159)</f>
        <v/>
      </c>
      <c r="K159" s="7">
        <f>IF('COPY 10 %'!$A159="","",'COPY 10 %'!H159)</f>
        <v/>
      </c>
      <c r="L159" s="7">
        <f>IF('COPY 10 %'!$A159="","",'COPY 10 %'!T159)</f>
        <v/>
      </c>
      <c r="M159">
        <f>IF('COPY 10 %'!$A159="","",'COPY 10 %'!G159)</f>
        <v/>
      </c>
    </row>
    <row r="160">
      <c r="A160">
        <f>IF('COPY 10 %'!$A160="","",ROWS($A$2:$A160))</f>
        <v/>
      </c>
      <c r="B160">
        <f>IF('COPY 10 %'!$A160="","",'COPY 10 %'!E160)</f>
        <v/>
      </c>
      <c r="C160">
        <f>IF('COPY 10 %'!$A160="","",'COPY 10 %'!F160)</f>
        <v/>
      </c>
      <c r="D160" s="14">
        <f>IF('COPY 10 %'!$A160="","",'COPY 10 %'!I160)</f>
        <v/>
      </c>
      <c r="E160" s="7">
        <f>IF('COPY 10 %'!$A160="","",'COPY 10 %'!O160)</f>
        <v/>
      </c>
      <c r="F160" s="7">
        <f>IF('COPY 10 %'!$A160="","",'COPY 10 %'!L160)</f>
        <v/>
      </c>
      <c r="G160" s="7">
        <f>IF('COPY 10 %'!$A160="","",'COPY 10 %'!S160)</f>
        <v/>
      </c>
      <c r="H160">
        <f>IF('COPY 10 %'!$A160="","",'COPY 10 %'!P160)</f>
        <v/>
      </c>
      <c r="I160">
        <f>IF('COPY 10 %'!$A160="","",'COPY 10 %'!M160)</f>
        <v/>
      </c>
      <c r="J160" s="7">
        <f>IF('COPY 10 %'!$A160="","",'COPY 10 %'!Q160)</f>
        <v/>
      </c>
      <c r="K160" s="7">
        <f>IF('COPY 10 %'!$A160="","",'COPY 10 %'!H160)</f>
        <v/>
      </c>
      <c r="L160" s="7">
        <f>IF('COPY 10 %'!$A160="","",'COPY 10 %'!T160)</f>
        <v/>
      </c>
      <c r="M160">
        <f>IF('COPY 10 %'!$A160="","",'COPY 10 %'!G160)</f>
        <v/>
      </c>
    </row>
    <row r="161">
      <c r="A161">
        <f>IF('COPY 10 %'!$A161="","",ROWS($A$2:$A161))</f>
        <v/>
      </c>
      <c r="B161">
        <f>IF('COPY 10 %'!$A161="","",'COPY 10 %'!E161)</f>
        <v/>
      </c>
      <c r="C161">
        <f>IF('COPY 10 %'!$A161="","",'COPY 10 %'!F161)</f>
        <v/>
      </c>
      <c r="D161" s="14">
        <f>IF('COPY 10 %'!$A161="","",'COPY 10 %'!I161)</f>
        <v/>
      </c>
      <c r="E161" s="7">
        <f>IF('COPY 10 %'!$A161="","",'COPY 10 %'!O161)</f>
        <v/>
      </c>
      <c r="F161" s="7">
        <f>IF('COPY 10 %'!$A161="","",'COPY 10 %'!L161)</f>
        <v/>
      </c>
      <c r="G161" s="7">
        <f>IF('COPY 10 %'!$A161="","",'COPY 10 %'!S161)</f>
        <v/>
      </c>
      <c r="H161">
        <f>IF('COPY 10 %'!$A161="","",'COPY 10 %'!P161)</f>
        <v/>
      </c>
      <c r="I161">
        <f>IF('COPY 10 %'!$A161="","",'COPY 10 %'!M161)</f>
        <v/>
      </c>
      <c r="J161" s="7">
        <f>IF('COPY 10 %'!$A161="","",'COPY 10 %'!Q161)</f>
        <v/>
      </c>
      <c r="K161" s="7">
        <f>IF('COPY 10 %'!$A161="","",'COPY 10 %'!H161)</f>
        <v/>
      </c>
      <c r="L161" s="7">
        <f>IF('COPY 10 %'!$A161="","",'COPY 10 %'!T161)</f>
        <v/>
      </c>
      <c r="M161">
        <f>IF('COPY 10 %'!$A161="","",'COPY 10 %'!G161)</f>
        <v/>
      </c>
    </row>
    <row r="162">
      <c r="A162">
        <f>IF('COPY 10 %'!$A162="","",ROWS($A$2:$A162))</f>
        <v/>
      </c>
      <c r="B162">
        <f>IF('COPY 10 %'!$A162="","",'COPY 10 %'!E162)</f>
        <v/>
      </c>
      <c r="C162">
        <f>IF('COPY 10 %'!$A162="","",'COPY 10 %'!F162)</f>
        <v/>
      </c>
      <c r="D162" s="14">
        <f>IF('COPY 10 %'!$A162="","",'COPY 10 %'!I162)</f>
        <v/>
      </c>
      <c r="E162" s="7">
        <f>IF('COPY 10 %'!$A162="","",'COPY 10 %'!O162)</f>
        <v/>
      </c>
      <c r="F162" s="7">
        <f>IF('COPY 10 %'!$A162="","",'COPY 10 %'!L162)</f>
        <v/>
      </c>
      <c r="G162" s="7">
        <f>IF('COPY 10 %'!$A162="","",'COPY 10 %'!S162)</f>
        <v/>
      </c>
      <c r="H162">
        <f>IF('COPY 10 %'!$A162="","",'COPY 10 %'!P162)</f>
        <v/>
      </c>
      <c r="I162">
        <f>IF('COPY 10 %'!$A162="","",'COPY 10 %'!M162)</f>
        <v/>
      </c>
      <c r="J162" s="7">
        <f>IF('COPY 10 %'!$A162="","",'COPY 10 %'!Q162)</f>
        <v/>
      </c>
      <c r="K162" s="7">
        <f>IF('COPY 10 %'!$A162="","",'COPY 10 %'!H162)</f>
        <v/>
      </c>
      <c r="L162" s="7">
        <f>IF('COPY 10 %'!$A162="","",'COPY 10 %'!T162)</f>
        <v/>
      </c>
      <c r="M162">
        <f>IF('COPY 10 %'!$A162="","",'COPY 10 %'!G162)</f>
        <v/>
      </c>
    </row>
    <row r="163">
      <c r="A163">
        <f>IF('COPY 10 %'!$A163="","",ROWS($A$2:$A163))</f>
        <v/>
      </c>
      <c r="B163">
        <f>IF('COPY 10 %'!$A163="","",'COPY 10 %'!E163)</f>
        <v/>
      </c>
      <c r="C163">
        <f>IF('COPY 10 %'!$A163="","",'COPY 10 %'!F163)</f>
        <v/>
      </c>
      <c r="D163" s="14">
        <f>IF('COPY 10 %'!$A163="","",'COPY 10 %'!I163)</f>
        <v/>
      </c>
      <c r="E163" s="7">
        <f>IF('COPY 10 %'!$A163="","",'COPY 10 %'!O163)</f>
        <v/>
      </c>
      <c r="F163" s="7">
        <f>IF('COPY 10 %'!$A163="","",'COPY 10 %'!L163)</f>
        <v/>
      </c>
      <c r="G163" s="7">
        <f>IF('COPY 10 %'!$A163="","",'COPY 10 %'!S163)</f>
        <v/>
      </c>
      <c r="H163">
        <f>IF('COPY 10 %'!$A163="","",'COPY 10 %'!P163)</f>
        <v/>
      </c>
      <c r="I163">
        <f>IF('COPY 10 %'!$A163="","",'COPY 10 %'!M163)</f>
        <v/>
      </c>
      <c r="J163" s="7">
        <f>IF('COPY 10 %'!$A163="","",'COPY 10 %'!Q163)</f>
        <v/>
      </c>
      <c r="K163" s="7">
        <f>IF('COPY 10 %'!$A163="","",'COPY 10 %'!H163)</f>
        <v/>
      </c>
      <c r="L163" s="7">
        <f>IF('COPY 10 %'!$A163="","",'COPY 10 %'!T163)</f>
        <v/>
      </c>
      <c r="M163">
        <f>IF('COPY 10 %'!$A163="","",'COPY 10 %'!G163)</f>
        <v/>
      </c>
    </row>
    <row r="164">
      <c r="A164">
        <f>IF('COPY 10 %'!$A164="","",ROWS($A$2:$A164))</f>
        <v/>
      </c>
      <c r="B164">
        <f>IF('COPY 10 %'!$A164="","",'COPY 10 %'!E164)</f>
        <v/>
      </c>
      <c r="C164">
        <f>IF('COPY 10 %'!$A164="","",'COPY 10 %'!F164)</f>
        <v/>
      </c>
      <c r="D164" s="14">
        <f>IF('COPY 10 %'!$A164="","",'COPY 10 %'!I164)</f>
        <v/>
      </c>
      <c r="E164" s="7">
        <f>IF('COPY 10 %'!$A164="","",'COPY 10 %'!O164)</f>
        <v/>
      </c>
      <c r="F164" s="7">
        <f>IF('COPY 10 %'!$A164="","",'COPY 10 %'!L164)</f>
        <v/>
      </c>
      <c r="G164" s="7">
        <f>IF('COPY 10 %'!$A164="","",'COPY 10 %'!S164)</f>
        <v/>
      </c>
      <c r="H164">
        <f>IF('COPY 10 %'!$A164="","",'COPY 10 %'!P164)</f>
        <v/>
      </c>
      <c r="I164">
        <f>IF('COPY 10 %'!$A164="","",'COPY 10 %'!M164)</f>
        <v/>
      </c>
      <c r="J164" s="7">
        <f>IF('COPY 10 %'!$A164="","",'COPY 10 %'!Q164)</f>
        <v/>
      </c>
      <c r="K164" s="7">
        <f>IF('COPY 10 %'!$A164="","",'COPY 10 %'!H164)</f>
        <v/>
      </c>
      <c r="L164" s="7">
        <f>IF('COPY 10 %'!$A164="","",'COPY 10 %'!T164)</f>
        <v/>
      </c>
      <c r="M164">
        <f>IF('COPY 10 %'!$A164="","",'COPY 10 %'!G164)</f>
        <v/>
      </c>
    </row>
    <row r="165">
      <c r="A165">
        <f>IF('COPY 10 %'!$A165="","",ROWS($A$2:$A165))</f>
        <v/>
      </c>
      <c r="B165">
        <f>IF('COPY 10 %'!$A165="","",'COPY 10 %'!E165)</f>
        <v/>
      </c>
      <c r="C165">
        <f>IF('COPY 10 %'!$A165="","",'COPY 10 %'!F165)</f>
        <v/>
      </c>
      <c r="D165" s="14">
        <f>IF('COPY 10 %'!$A165="","",'COPY 10 %'!I165)</f>
        <v/>
      </c>
      <c r="E165" s="7">
        <f>IF('COPY 10 %'!$A165="","",'COPY 10 %'!O165)</f>
        <v/>
      </c>
      <c r="F165" s="7">
        <f>IF('COPY 10 %'!$A165="","",'COPY 10 %'!L165)</f>
        <v/>
      </c>
      <c r="G165" s="7">
        <f>IF('COPY 10 %'!$A165="","",'COPY 10 %'!S165)</f>
        <v/>
      </c>
      <c r="H165">
        <f>IF('COPY 10 %'!$A165="","",'COPY 10 %'!P165)</f>
        <v/>
      </c>
      <c r="I165">
        <f>IF('COPY 10 %'!$A165="","",'COPY 10 %'!M165)</f>
        <v/>
      </c>
      <c r="J165" s="7">
        <f>IF('COPY 10 %'!$A165="","",'COPY 10 %'!Q165)</f>
        <v/>
      </c>
      <c r="K165" s="7">
        <f>IF('COPY 10 %'!$A165="","",'COPY 10 %'!H165)</f>
        <v/>
      </c>
      <c r="L165" s="7">
        <f>IF('COPY 10 %'!$A165="","",'COPY 10 %'!T165)</f>
        <v/>
      </c>
      <c r="M165">
        <f>IF('COPY 10 %'!$A165="","",'COPY 10 %'!G165)</f>
        <v/>
      </c>
    </row>
    <row r="166">
      <c r="A166">
        <f>IF('COPY 10 %'!$A166="","",ROWS($A$2:$A166))</f>
        <v/>
      </c>
      <c r="B166">
        <f>IF('COPY 10 %'!$A166="","",'COPY 10 %'!E166)</f>
        <v/>
      </c>
      <c r="C166">
        <f>IF('COPY 10 %'!$A166="","",'COPY 10 %'!F166)</f>
        <v/>
      </c>
      <c r="D166" s="14">
        <f>IF('COPY 10 %'!$A166="","",'COPY 10 %'!I166)</f>
        <v/>
      </c>
      <c r="E166" s="7">
        <f>IF('COPY 10 %'!$A166="","",'COPY 10 %'!O166)</f>
        <v/>
      </c>
      <c r="F166" s="7">
        <f>IF('COPY 10 %'!$A166="","",'COPY 10 %'!L166)</f>
        <v/>
      </c>
      <c r="G166" s="7">
        <f>IF('COPY 10 %'!$A166="","",'COPY 10 %'!S166)</f>
        <v/>
      </c>
      <c r="H166">
        <f>IF('COPY 10 %'!$A166="","",'COPY 10 %'!P166)</f>
        <v/>
      </c>
      <c r="I166">
        <f>IF('COPY 10 %'!$A166="","",'COPY 10 %'!M166)</f>
        <v/>
      </c>
      <c r="J166" s="7">
        <f>IF('COPY 10 %'!$A166="","",'COPY 10 %'!Q166)</f>
        <v/>
      </c>
      <c r="K166" s="7">
        <f>IF('COPY 10 %'!$A166="","",'COPY 10 %'!H166)</f>
        <v/>
      </c>
      <c r="L166" s="7">
        <f>IF('COPY 10 %'!$A166="","",'COPY 10 %'!T166)</f>
        <v/>
      </c>
      <c r="M166">
        <f>IF('COPY 10 %'!$A166="","",'COPY 10 %'!G166)</f>
        <v/>
      </c>
    </row>
    <row r="167">
      <c r="A167">
        <f>IF('COPY 10 %'!$A167="","",ROWS($A$2:$A167))</f>
        <v/>
      </c>
      <c r="B167">
        <f>IF('COPY 10 %'!$A167="","",'COPY 10 %'!E167)</f>
        <v/>
      </c>
      <c r="C167">
        <f>IF('COPY 10 %'!$A167="","",'COPY 10 %'!F167)</f>
        <v/>
      </c>
      <c r="D167" s="14">
        <f>IF('COPY 10 %'!$A167="","",'COPY 10 %'!I167)</f>
        <v/>
      </c>
      <c r="E167" s="7">
        <f>IF('COPY 10 %'!$A167="","",'COPY 10 %'!O167)</f>
        <v/>
      </c>
      <c r="F167" s="7">
        <f>IF('COPY 10 %'!$A167="","",'COPY 10 %'!L167)</f>
        <v/>
      </c>
      <c r="G167" s="7">
        <f>IF('COPY 10 %'!$A167="","",'COPY 10 %'!S167)</f>
        <v/>
      </c>
      <c r="H167">
        <f>IF('COPY 10 %'!$A167="","",'COPY 10 %'!P167)</f>
        <v/>
      </c>
      <c r="I167">
        <f>IF('COPY 10 %'!$A167="","",'COPY 10 %'!M167)</f>
        <v/>
      </c>
      <c r="J167" s="7">
        <f>IF('COPY 10 %'!$A167="","",'COPY 10 %'!Q167)</f>
        <v/>
      </c>
      <c r="K167" s="7">
        <f>IF('COPY 10 %'!$A167="","",'COPY 10 %'!H167)</f>
        <v/>
      </c>
      <c r="L167" s="7">
        <f>IF('COPY 10 %'!$A167="","",'COPY 10 %'!T167)</f>
        <v/>
      </c>
      <c r="M167">
        <f>IF('COPY 10 %'!$A167="","",'COPY 10 %'!G167)</f>
        <v/>
      </c>
    </row>
    <row r="168">
      <c r="A168">
        <f>IF('COPY 10 %'!$A168="","",ROWS($A$2:$A168))</f>
        <v/>
      </c>
      <c r="B168">
        <f>IF('COPY 10 %'!$A168="","",'COPY 10 %'!E168)</f>
        <v/>
      </c>
      <c r="C168">
        <f>IF('COPY 10 %'!$A168="","",'COPY 10 %'!F168)</f>
        <v/>
      </c>
      <c r="D168" s="14">
        <f>IF('COPY 10 %'!$A168="","",'COPY 10 %'!I168)</f>
        <v/>
      </c>
      <c r="E168" s="7">
        <f>IF('COPY 10 %'!$A168="","",'COPY 10 %'!O168)</f>
        <v/>
      </c>
      <c r="F168" s="7">
        <f>IF('COPY 10 %'!$A168="","",'COPY 10 %'!L168)</f>
        <v/>
      </c>
      <c r="G168" s="7">
        <f>IF('COPY 10 %'!$A168="","",'COPY 10 %'!S168)</f>
        <v/>
      </c>
      <c r="H168">
        <f>IF('COPY 10 %'!$A168="","",'COPY 10 %'!P168)</f>
        <v/>
      </c>
      <c r="I168">
        <f>IF('COPY 10 %'!$A168="","",'COPY 10 %'!M168)</f>
        <v/>
      </c>
      <c r="J168" s="7">
        <f>IF('COPY 10 %'!$A168="","",'COPY 10 %'!Q168)</f>
        <v/>
      </c>
      <c r="K168" s="7">
        <f>IF('COPY 10 %'!$A168="","",'COPY 10 %'!H168)</f>
        <v/>
      </c>
      <c r="L168" s="7">
        <f>IF('COPY 10 %'!$A168="","",'COPY 10 %'!T168)</f>
        <v/>
      </c>
      <c r="M168">
        <f>IF('COPY 10 %'!$A168="","",'COPY 10 %'!G168)</f>
        <v/>
      </c>
    </row>
    <row r="169">
      <c r="A169">
        <f>IF('COPY 10 %'!$A169="","",ROWS($A$2:$A169))</f>
        <v/>
      </c>
      <c r="B169">
        <f>IF('COPY 10 %'!$A169="","",'COPY 10 %'!E169)</f>
        <v/>
      </c>
      <c r="C169">
        <f>IF('COPY 10 %'!$A169="","",'COPY 10 %'!F169)</f>
        <v/>
      </c>
      <c r="D169" s="14">
        <f>IF('COPY 10 %'!$A169="","",'COPY 10 %'!I169)</f>
        <v/>
      </c>
      <c r="E169" s="7">
        <f>IF('COPY 10 %'!$A169="","",'COPY 10 %'!O169)</f>
        <v/>
      </c>
      <c r="F169" s="7">
        <f>IF('COPY 10 %'!$A169="","",'COPY 10 %'!L169)</f>
        <v/>
      </c>
      <c r="G169" s="7">
        <f>IF('COPY 10 %'!$A169="","",'COPY 10 %'!S169)</f>
        <v/>
      </c>
      <c r="H169">
        <f>IF('COPY 10 %'!$A169="","",'COPY 10 %'!P169)</f>
        <v/>
      </c>
      <c r="I169">
        <f>IF('COPY 10 %'!$A169="","",'COPY 10 %'!M169)</f>
        <v/>
      </c>
      <c r="J169" s="7">
        <f>IF('COPY 10 %'!$A169="","",'COPY 10 %'!Q169)</f>
        <v/>
      </c>
      <c r="K169" s="7">
        <f>IF('COPY 10 %'!$A169="","",'COPY 10 %'!H169)</f>
        <v/>
      </c>
      <c r="L169" s="7">
        <f>IF('COPY 10 %'!$A169="","",'COPY 10 %'!T169)</f>
        <v/>
      </c>
      <c r="M169">
        <f>IF('COPY 10 %'!$A169="","",'COPY 10 %'!G169)</f>
        <v/>
      </c>
    </row>
    <row r="170">
      <c r="A170">
        <f>IF('COPY 10 %'!$A170="","",ROWS($A$2:$A170))</f>
        <v/>
      </c>
      <c r="B170">
        <f>IF('COPY 10 %'!$A170="","",'COPY 10 %'!E170)</f>
        <v/>
      </c>
      <c r="C170">
        <f>IF('COPY 10 %'!$A170="","",'COPY 10 %'!F170)</f>
        <v/>
      </c>
      <c r="D170" s="14">
        <f>IF('COPY 10 %'!$A170="","",'COPY 10 %'!I170)</f>
        <v/>
      </c>
      <c r="E170" s="7">
        <f>IF('COPY 10 %'!$A170="","",'COPY 10 %'!O170)</f>
        <v/>
      </c>
      <c r="F170" s="7">
        <f>IF('COPY 10 %'!$A170="","",'COPY 10 %'!L170)</f>
        <v/>
      </c>
      <c r="G170" s="7">
        <f>IF('COPY 10 %'!$A170="","",'COPY 10 %'!S170)</f>
        <v/>
      </c>
      <c r="H170">
        <f>IF('COPY 10 %'!$A170="","",'COPY 10 %'!P170)</f>
        <v/>
      </c>
      <c r="I170">
        <f>IF('COPY 10 %'!$A170="","",'COPY 10 %'!M170)</f>
        <v/>
      </c>
      <c r="J170" s="7">
        <f>IF('COPY 10 %'!$A170="","",'COPY 10 %'!Q170)</f>
        <v/>
      </c>
      <c r="K170" s="7">
        <f>IF('COPY 10 %'!$A170="","",'COPY 10 %'!H170)</f>
        <v/>
      </c>
      <c r="L170" s="7">
        <f>IF('COPY 10 %'!$A170="","",'COPY 10 %'!T170)</f>
        <v/>
      </c>
      <c r="M170">
        <f>IF('COPY 10 %'!$A170="","",'COPY 10 %'!G170)</f>
        <v/>
      </c>
    </row>
    <row r="171">
      <c r="A171">
        <f>IF('COPY 10 %'!$A171="","",ROWS($A$2:$A171))</f>
        <v/>
      </c>
      <c r="B171">
        <f>IF('COPY 10 %'!$A171="","",'COPY 10 %'!E171)</f>
        <v/>
      </c>
      <c r="C171">
        <f>IF('COPY 10 %'!$A171="","",'COPY 10 %'!F171)</f>
        <v/>
      </c>
      <c r="D171" s="14">
        <f>IF('COPY 10 %'!$A171="","",'COPY 10 %'!I171)</f>
        <v/>
      </c>
      <c r="E171" s="7">
        <f>IF('COPY 10 %'!$A171="","",'COPY 10 %'!O171)</f>
        <v/>
      </c>
      <c r="F171" s="7">
        <f>IF('COPY 10 %'!$A171="","",'COPY 10 %'!L171)</f>
        <v/>
      </c>
      <c r="G171" s="7">
        <f>IF('COPY 10 %'!$A171="","",'COPY 10 %'!S171)</f>
        <v/>
      </c>
      <c r="H171">
        <f>IF('COPY 10 %'!$A171="","",'COPY 10 %'!P171)</f>
        <v/>
      </c>
      <c r="I171">
        <f>IF('COPY 10 %'!$A171="","",'COPY 10 %'!M171)</f>
        <v/>
      </c>
      <c r="J171" s="7">
        <f>IF('COPY 10 %'!$A171="","",'COPY 10 %'!Q171)</f>
        <v/>
      </c>
      <c r="K171" s="7">
        <f>IF('COPY 10 %'!$A171="","",'COPY 10 %'!H171)</f>
        <v/>
      </c>
      <c r="L171" s="7">
        <f>IF('COPY 10 %'!$A171="","",'COPY 10 %'!T171)</f>
        <v/>
      </c>
      <c r="M171">
        <f>IF('COPY 10 %'!$A171="","",'COPY 10 %'!G171)</f>
        <v/>
      </c>
    </row>
    <row r="172">
      <c r="A172">
        <f>IF('COPY 10 %'!$A172="","",ROWS($A$2:$A172))</f>
        <v/>
      </c>
      <c r="B172">
        <f>IF('COPY 10 %'!$A172="","",'COPY 10 %'!E172)</f>
        <v/>
      </c>
      <c r="C172">
        <f>IF('COPY 10 %'!$A172="","",'COPY 10 %'!F172)</f>
        <v/>
      </c>
      <c r="D172" s="14">
        <f>IF('COPY 10 %'!$A172="","",'COPY 10 %'!I172)</f>
        <v/>
      </c>
      <c r="E172" s="7">
        <f>IF('COPY 10 %'!$A172="","",'COPY 10 %'!O172)</f>
        <v/>
      </c>
      <c r="F172" s="7">
        <f>IF('COPY 10 %'!$A172="","",'COPY 10 %'!L172)</f>
        <v/>
      </c>
      <c r="G172" s="7">
        <f>IF('COPY 10 %'!$A172="","",'COPY 10 %'!S172)</f>
        <v/>
      </c>
      <c r="H172">
        <f>IF('COPY 10 %'!$A172="","",'COPY 10 %'!P172)</f>
        <v/>
      </c>
      <c r="I172">
        <f>IF('COPY 10 %'!$A172="","",'COPY 10 %'!M172)</f>
        <v/>
      </c>
      <c r="J172" s="7">
        <f>IF('COPY 10 %'!$A172="","",'COPY 10 %'!Q172)</f>
        <v/>
      </c>
      <c r="K172" s="7">
        <f>IF('COPY 10 %'!$A172="","",'COPY 10 %'!H172)</f>
        <v/>
      </c>
      <c r="L172" s="7">
        <f>IF('COPY 10 %'!$A172="","",'COPY 10 %'!T172)</f>
        <v/>
      </c>
      <c r="M172">
        <f>IF('COPY 10 %'!$A172="","",'COPY 10 %'!G172)</f>
        <v/>
      </c>
    </row>
    <row r="173">
      <c r="A173">
        <f>IF('COPY 10 %'!$A173="","",ROWS($A$2:$A173))</f>
        <v/>
      </c>
      <c r="B173">
        <f>IF('COPY 10 %'!$A173="","",'COPY 10 %'!E173)</f>
        <v/>
      </c>
      <c r="C173">
        <f>IF('COPY 10 %'!$A173="","",'COPY 10 %'!F173)</f>
        <v/>
      </c>
      <c r="D173" s="14">
        <f>IF('COPY 10 %'!$A173="","",'COPY 10 %'!I173)</f>
        <v/>
      </c>
      <c r="E173" s="7">
        <f>IF('COPY 10 %'!$A173="","",'COPY 10 %'!O173)</f>
        <v/>
      </c>
      <c r="F173" s="7">
        <f>IF('COPY 10 %'!$A173="","",'COPY 10 %'!L173)</f>
        <v/>
      </c>
      <c r="G173" s="7">
        <f>IF('COPY 10 %'!$A173="","",'COPY 10 %'!S173)</f>
        <v/>
      </c>
      <c r="H173">
        <f>IF('COPY 10 %'!$A173="","",'COPY 10 %'!P173)</f>
        <v/>
      </c>
      <c r="I173">
        <f>IF('COPY 10 %'!$A173="","",'COPY 10 %'!M173)</f>
        <v/>
      </c>
      <c r="J173" s="7">
        <f>IF('COPY 10 %'!$A173="","",'COPY 10 %'!Q173)</f>
        <v/>
      </c>
      <c r="K173" s="7">
        <f>IF('COPY 10 %'!$A173="","",'COPY 10 %'!H173)</f>
        <v/>
      </c>
      <c r="L173" s="7">
        <f>IF('COPY 10 %'!$A173="","",'COPY 10 %'!T173)</f>
        <v/>
      </c>
      <c r="M173">
        <f>IF('COPY 10 %'!$A173="","",'COPY 10 %'!G173)</f>
        <v/>
      </c>
    </row>
    <row r="174">
      <c r="A174">
        <f>IF('COPY 10 %'!$A174="","",ROWS($A$2:$A174))</f>
        <v/>
      </c>
      <c r="B174">
        <f>IF('COPY 10 %'!$A174="","",'COPY 10 %'!E174)</f>
        <v/>
      </c>
      <c r="C174">
        <f>IF('COPY 10 %'!$A174="","",'COPY 10 %'!F174)</f>
        <v/>
      </c>
      <c r="D174" s="14">
        <f>IF('COPY 10 %'!$A174="","",'COPY 10 %'!I174)</f>
        <v/>
      </c>
      <c r="E174" s="7">
        <f>IF('COPY 10 %'!$A174="","",'COPY 10 %'!O174)</f>
        <v/>
      </c>
      <c r="F174" s="7">
        <f>IF('COPY 10 %'!$A174="","",'COPY 10 %'!L174)</f>
        <v/>
      </c>
      <c r="G174" s="7">
        <f>IF('COPY 10 %'!$A174="","",'COPY 10 %'!S174)</f>
        <v/>
      </c>
      <c r="H174">
        <f>IF('COPY 10 %'!$A174="","",'COPY 10 %'!P174)</f>
        <v/>
      </c>
      <c r="I174">
        <f>IF('COPY 10 %'!$A174="","",'COPY 10 %'!M174)</f>
        <v/>
      </c>
      <c r="J174" s="7">
        <f>IF('COPY 10 %'!$A174="","",'COPY 10 %'!Q174)</f>
        <v/>
      </c>
      <c r="K174" s="7">
        <f>IF('COPY 10 %'!$A174="","",'COPY 10 %'!H174)</f>
        <v/>
      </c>
      <c r="L174" s="7">
        <f>IF('COPY 10 %'!$A174="","",'COPY 10 %'!T174)</f>
        <v/>
      </c>
      <c r="M174">
        <f>IF('COPY 10 %'!$A174="","",'COPY 10 %'!G174)</f>
        <v/>
      </c>
    </row>
    <row r="175">
      <c r="A175">
        <f>IF('COPY 10 %'!$A175="","",ROWS($A$2:$A175))</f>
        <v/>
      </c>
      <c r="B175">
        <f>IF('COPY 10 %'!$A175="","",'COPY 10 %'!E175)</f>
        <v/>
      </c>
      <c r="C175">
        <f>IF('COPY 10 %'!$A175="","",'COPY 10 %'!F175)</f>
        <v/>
      </c>
      <c r="D175" s="14">
        <f>IF('COPY 10 %'!$A175="","",'COPY 10 %'!I175)</f>
        <v/>
      </c>
      <c r="E175" s="7">
        <f>IF('COPY 10 %'!$A175="","",'COPY 10 %'!O175)</f>
        <v/>
      </c>
      <c r="F175" s="7">
        <f>IF('COPY 10 %'!$A175="","",'COPY 10 %'!L175)</f>
        <v/>
      </c>
      <c r="G175" s="7">
        <f>IF('COPY 10 %'!$A175="","",'COPY 10 %'!S175)</f>
        <v/>
      </c>
      <c r="H175">
        <f>IF('COPY 10 %'!$A175="","",'COPY 10 %'!P175)</f>
        <v/>
      </c>
      <c r="I175">
        <f>IF('COPY 10 %'!$A175="","",'COPY 10 %'!M175)</f>
        <v/>
      </c>
      <c r="J175" s="7">
        <f>IF('COPY 10 %'!$A175="","",'COPY 10 %'!Q175)</f>
        <v/>
      </c>
      <c r="K175" s="7">
        <f>IF('COPY 10 %'!$A175="","",'COPY 10 %'!H175)</f>
        <v/>
      </c>
      <c r="L175" s="7">
        <f>IF('COPY 10 %'!$A175="","",'COPY 10 %'!T175)</f>
        <v/>
      </c>
      <c r="M175">
        <f>IF('COPY 10 %'!$A175="","",'COPY 10 %'!G175)</f>
        <v/>
      </c>
    </row>
    <row r="176">
      <c r="A176">
        <f>IF('COPY 10 %'!$A176="","",ROWS($A$2:$A176))</f>
        <v/>
      </c>
      <c r="B176">
        <f>IF('COPY 10 %'!$A176="","",'COPY 10 %'!E176)</f>
        <v/>
      </c>
      <c r="C176">
        <f>IF('COPY 10 %'!$A176="","",'COPY 10 %'!F176)</f>
        <v/>
      </c>
      <c r="D176" s="14">
        <f>IF('COPY 10 %'!$A176="","",'COPY 10 %'!I176)</f>
        <v/>
      </c>
      <c r="E176" s="7">
        <f>IF('COPY 10 %'!$A176="","",'COPY 10 %'!O176)</f>
        <v/>
      </c>
      <c r="F176" s="7">
        <f>IF('COPY 10 %'!$A176="","",'COPY 10 %'!L176)</f>
        <v/>
      </c>
      <c r="G176" s="7">
        <f>IF('COPY 10 %'!$A176="","",'COPY 10 %'!S176)</f>
        <v/>
      </c>
      <c r="H176">
        <f>IF('COPY 10 %'!$A176="","",'COPY 10 %'!P176)</f>
        <v/>
      </c>
      <c r="I176">
        <f>IF('COPY 10 %'!$A176="","",'COPY 10 %'!M176)</f>
        <v/>
      </c>
      <c r="J176" s="7">
        <f>IF('COPY 10 %'!$A176="","",'COPY 10 %'!Q176)</f>
        <v/>
      </c>
      <c r="K176" s="7">
        <f>IF('COPY 10 %'!$A176="","",'COPY 10 %'!H176)</f>
        <v/>
      </c>
      <c r="L176" s="7">
        <f>IF('COPY 10 %'!$A176="","",'COPY 10 %'!T176)</f>
        <v/>
      </c>
      <c r="M176">
        <f>IF('COPY 10 %'!$A176="","",'COPY 10 %'!G176)</f>
        <v/>
      </c>
    </row>
    <row r="177">
      <c r="A177">
        <f>IF('COPY 10 %'!$A177="","",ROWS($A$2:$A177))</f>
        <v/>
      </c>
      <c r="B177">
        <f>IF('COPY 10 %'!$A177="","",'COPY 10 %'!E177)</f>
        <v/>
      </c>
      <c r="C177">
        <f>IF('COPY 10 %'!$A177="","",'COPY 10 %'!F177)</f>
        <v/>
      </c>
      <c r="D177" s="14">
        <f>IF('COPY 10 %'!$A177="","",'COPY 10 %'!I177)</f>
        <v/>
      </c>
      <c r="E177" s="7">
        <f>IF('COPY 10 %'!$A177="","",'COPY 10 %'!O177)</f>
        <v/>
      </c>
      <c r="F177" s="7">
        <f>IF('COPY 10 %'!$A177="","",'COPY 10 %'!L177)</f>
        <v/>
      </c>
      <c r="G177" s="7">
        <f>IF('COPY 10 %'!$A177="","",'COPY 10 %'!S177)</f>
        <v/>
      </c>
      <c r="H177">
        <f>IF('COPY 10 %'!$A177="","",'COPY 10 %'!P177)</f>
        <v/>
      </c>
      <c r="I177">
        <f>IF('COPY 10 %'!$A177="","",'COPY 10 %'!M177)</f>
        <v/>
      </c>
      <c r="J177" s="7">
        <f>IF('COPY 10 %'!$A177="","",'COPY 10 %'!Q177)</f>
        <v/>
      </c>
      <c r="K177" s="7">
        <f>IF('COPY 10 %'!$A177="","",'COPY 10 %'!H177)</f>
        <v/>
      </c>
      <c r="L177" s="7">
        <f>IF('COPY 10 %'!$A177="","",'COPY 10 %'!T177)</f>
        <v/>
      </c>
      <c r="M177">
        <f>IF('COPY 10 %'!$A177="","",'COPY 10 %'!G177)</f>
        <v/>
      </c>
    </row>
    <row r="178">
      <c r="A178">
        <f>IF('COPY 10 %'!$A178="","",ROWS($A$2:$A178))</f>
        <v/>
      </c>
      <c r="B178">
        <f>IF('COPY 10 %'!$A178="","",'COPY 10 %'!E178)</f>
        <v/>
      </c>
      <c r="C178">
        <f>IF('COPY 10 %'!$A178="","",'COPY 10 %'!F178)</f>
        <v/>
      </c>
      <c r="D178" s="14">
        <f>IF('COPY 10 %'!$A178="","",'COPY 10 %'!I178)</f>
        <v/>
      </c>
      <c r="E178" s="7">
        <f>IF('COPY 10 %'!$A178="","",'COPY 10 %'!O178)</f>
        <v/>
      </c>
      <c r="F178" s="7">
        <f>IF('COPY 10 %'!$A178="","",'COPY 10 %'!L178)</f>
        <v/>
      </c>
      <c r="G178" s="7">
        <f>IF('COPY 10 %'!$A178="","",'COPY 10 %'!S178)</f>
        <v/>
      </c>
      <c r="H178">
        <f>IF('COPY 10 %'!$A178="","",'COPY 10 %'!P178)</f>
        <v/>
      </c>
      <c r="I178">
        <f>IF('COPY 10 %'!$A178="","",'COPY 10 %'!M178)</f>
        <v/>
      </c>
      <c r="J178" s="7">
        <f>IF('COPY 10 %'!$A178="","",'COPY 10 %'!Q178)</f>
        <v/>
      </c>
      <c r="K178" s="7">
        <f>IF('COPY 10 %'!$A178="","",'COPY 10 %'!H178)</f>
        <v/>
      </c>
      <c r="L178" s="7">
        <f>IF('COPY 10 %'!$A178="","",'COPY 10 %'!T178)</f>
        <v/>
      </c>
      <c r="M178">
        <f>IF('COPY 10 %'!$A178="","",'COPY 10 %'!G178)</f>
        <v/>
      </c>
    </row>
    <row r="179">
      <c r="A179">
        <f>IF('COPY 10 %'!$A179="","",ROWS($A$2:$A179))</f>
        <v/>
      </c>
      <c r="B179">
        <f>IF('COPY 10 %'!$A179="","",'COPY 10 %'!E179)</f>
        <v/>
      </c>
      <c r="C179">
        <f>IF('COPY 10 %'!$A179="","",'COPY 10 %'!F179)</f>
        <v/>
      </c>
      <c r="D179" s="14">
        <f>IF('COPY 10 %'!$A179="","",'COPY 10 %'!I179)</f>
        <v/>
      </c>
      <c r="E179" s="7">
        <f>IF('COPY 10 %'!$A179="","",'COPY 10 %'!O179)</f>
        <v/>
      </c>
      <c r="F179" s="7">
        <f>IF('COPY 10 %'!$A179="","",'COPY 10 %'!L179)</f>
        <v/>
      </c>
      <c r="G179" s="7">
        <f>IF('COPY 10 %'!$A179="","",'COPY 10 %'!S179)</f>
        <v/>
      </c>
      <c r="H179">
        <f>IF('COPY 10 %'!$A179="","",'COPY 10 %'!P179)</f>
        <v/>
      </c>
      <c r="I179">
        <f>IF('COPY 10 %'!$A179="","",'COPY 10 %'!M179)</f>
        <v/>
      </c>
      <c r="J179" s="7">
        <f>IF('COPY 10 %'!$A179="","",'COPY 10 %'!Q179)</f>
        <v/>
      </c>
      <c r="K179" s="7">
        <f>IF('COPY 10 %'!$A179="","",'COPY 10 %'!H179)</f>
        <v/>
      </c>
      <c r="L179" s="7">
        <f>IF('COPY 10 %'!$A179="","",'COPY 10 %'!T179)</f>
        <v/>
      </c>
      <c r="M179">
        <f>IF('COPY 10 %'!$A179="","",'COPY 10 %'!G179)</f>
        <v/>
      </c>
    </row>
    <row r="180">
      <c r="A180">
        <f>IF('COPY 10 %'!$A180="","",ROWS($A$2:$A180))</f>
        <v/>
      </c>
      <c r="B180">
        <f>IF('COPY 10 %'!$A180="","",'COPY 10 %'!E180)</f>
        <v/>
      </c>
      <c r="C180">
        <f>IF('COPY 10 %'!$A180="","",'COPY 10 %'!F180)</f>
        <v/>
      </c>
      <c r="D180" s="14">
        <f>IF('COPY 10 %'!$A180="","",'COPY 10 %'!I180)</f>
        <v/>
      </c>
      <c r="E180" s="7">
        <f>IF('COPY 10 %'!$A180="","",'COPY 10 %'!O180)</f>
        <v/>
      </c>
      <c r="F180" s="7">
        <f>IF('COPY 10 %'!$A180="","",'COPY 10 %'!L180)</f>
        <v/>
      </c>
      <c r="G180" s="7">
        <f>IF('COPY 10 %'!$A180="","",'COPY 10 %'!S180)</f>
        <v/>
      </c>
      <c r="H180">
        <f>IF('COPY 10 %'!$A180="","",'COPY 10 %'!P180)</f>
        <v/>
      </c>
      <c r="I180">
        <f>IF('COPY 10 %'!$A180="","",'COPY 10 %'!M180)</f>
        <v/>
      </c>
      <c r="J180" s="7">
        <f>IF('COPY 10 %'!$A180="","",'COPY 10 %'!Q180)</f>
        <v/>
      </c>
      <c r="K180" s="7">
        <f>IF('COPY 10 %'!$A180="","",'COPY 10 %'!H180)</f>
        <v/>
      </c>
      <c r="L180" s="7">
        <f>IF('COPY 10 %'!$A180="","",'COPY 10 %'!T180)</f>
        <v/>
      </c>
      <c r="M180">
        <f>IF('COPY 10 %'!$A180="","",'COPY 10 %'!G180)</f>
        <v/>
      </c>
    </row>
    <row r="181">
      <c r="A181">
        <f>IF('COPY 10 %'!$A181="","",ROWS($A$2:$A181))</f>
        <v/>
      </c>
      <c r="B181">
        <f>IF('COPY 10 %'!$A181="","",'COPY 10 %'!E181)</f>
        <v/>
      </c>
      <c r="C181">
        <f>IF('COPY 10 %'!$A181="","",'COPY 10 %'!F181)</f>
        <v/>
      </c>
      <c r="D181" s="14">
        <f>IF('COPY 10 %'!$A181="","",'COPY 10 %'!I181)</f>
        <v/>
      </c>
      <c r="E181" s="7">
        <f>IF('COPY 10 %'!$A181="","",'COPY 10 %'!O181)</f>
        <v/>
      </c>
      <c r="F181" s="7">
        <f>IF('COPY 10 %'!$A181="","",'COPY 10 %'!L181)</f>
        <v/>
      </c>
      <c r="G181" s="7">
        <f>IF('COPY 10 %'!$A181="","",'COPY 10 %'!S181)</f>
        <v/>
      </c>
      <c r="H181">
        <f>IF('COPY 10 %'!$A181="","",'COPY 10 %'!P181)</f>
        <v/>
      </c>
      <c r="I181">
        <f>IF('COPY 10 %'!$A181="","",'COPY 10 %'!M181)</f>
        <v/>
      </c>
      <c r="J181" s="7">
        <f>IF('COPY 10 %'!$A181="","",'COPY 10 %'!Q181)</f>
        <v/>
      </c>
      <c r="K181" s="7">
        <f>IF('COPY 10 %'!$A181="","",'COPY 10 %'!H181)</f>
        <v/>
      </c>
      <c r="L181" s="7">
        <f>IF('COPY 10 %'!$A181="","",'COPY 10 %'!T181)</f>
        <v/>
      </c>
      <c r="M181">
        <f>IF('COPY 10 %'!$A181="","",'COPY 10 %'!G181)</f>
        <v/>
      </c>
    </row>
    <row r="182">
      <c r="A182">
        <f>IF('COPY 10 %'!$A182="","",ROWS($A$2:$A182))</f>
        <v/>
      </c>
      <c r="B182">
        <f>IF('COPY 10 %'!$A182="","",'COPY 10 %'!E182)</f>
        <v/>
      </c>
      <c r="C182">
        <f>IF('COPY 10 %'!$A182="","",'COPY 10 %'!F182)</f>
        <v/>
      </c>
      <c r="D182" s="14">
        <f>IF('COPY 10 %'!$A182="","",'COPY 10 %'!I182)</f>
        <v/>
      </c>
      <c r="E182" s="7">
        <f>IF('COPY 10 %'!$A182="","",'COPY 10 %'!O182)</f>
        <v/>
      </c>
      <c r="F182" s="7">
        <f>IF('COPY 10 %'!$A182="","",'COPY 10 %'!L182)</f>
        <v/>
      </c>
      <c r="G182" s="7">
        <f>IF('COPY 10 %'!$A182="","",'COPY 10 %'!S182)</f>
        <v/>
      </c>
      <c r="H182">
        <f>IF('COPY 10 %'!$A182="","",'COPY 10 %'!P182)</f>
        <v/>
      </c>
      <c r="I182">
        <f>IF('COPY 10 %'!$A182="","",'COPY 10 %'!M182)</f>
        <v/>
      </c>
      <c r="J182" s="7">
        <f>IF('COPY 10 %'!$A182="","",'COPY 10 %'!Q182)</f>
        <v/>
      </c>
      <c r="K182" s="7">
        <f>IF('COPY 10 %'!$A182="","",'COPY 10 %'!H182)</f>
        <v/>
      </c>
      <c r="L182" s="7">
        <f>IF('COPY 10 %'!$A182="","",'COPY 10 %'!T182)</f>
        <v/>
      </c>
      <c r="M182">
        <f>IF('COPY 10 %'!$A182="","",'COPY 10 %'!G182)</f>
        <v/>
      </c>
    </row>
    <row r="183">
      <c r="A183">
        <f>IF('COPY 10 %'!$A183="","",ROWS($A$2:$A183))</f>
        <v/>
      </c>
      <c r="B183">
        <f>IF('COPY 10 %'!$A183="","",'COPY 10 %'!E183)</f>
        <v/>
      </c>
      <c r="C183">
        <f>IF('COPY 10 %'!$A183="","",'COPY 10 %'!F183)</f>
        <v/>
      </c>
      <c r="D183" s="14">
        <f>IF('COPY 10 %'!$A183="","",'COPY 10 %'!I183)</f>
        <v/>
      </c>
      <c r="E183" s="7">
        <f>IF('COPY 10 %'!$A183="","",'COPY 10 %'!O183)</f>
        <v/>
      </c>
      <c r="F183" s="7">
        <f>IF('COPY 10 %'!$A183="","",'COPY 10 %'!L183)</f>
        <v/>
      </c>
      <c r="G183" s="7">
        <f>IF('COPY 10 %'!$A183="","",'COPY 10 %'!S183)</f>
        <v/>
      </c>
      <c r="H183">
        <f>IF('COPY 10 %'!$A183="","",'COPY 10 %'!P183)</f>
        <v/>
      </c>
      <c r="I183">
        <f>IF('COPY 10 %'!$A183="","",'COPY 10 %'!M183)</f>
        <v/>
      </c>
      <c r="J183" s="7">
        <f>IF('COPY 10 %'!$A183="","",'COPY 10 %'!Q183)</f>
        <v/>
      </c>
      <c r="K183" s="7">
        <f>IF('COPY 10 %'!$A183="","",'COPY 10 %'!H183)</f>
        <v/>
      </c>
      <c r="L183" s="7">
        <f>IF('COPY 10 %'!$A183="","",'COPY 10 %'!T183)</f>
        <v/>
      </c>
      <c r="M183">
        <f>IF('COPY 10 %'!$A183="","",'COPY 10 %'!G183)</f>
        <v/>
      </c>
    </row>
    <row r="184">
      <c r="A184">
        <f>IF('COPY 10 %'!$A184="","",ROWS($A$2:$A184))</f>
        <v/>
      </c>
      <c r="B184">
        <f>IF('COPY 10 %'!$A184="","",'COPY 10 %'!E184)</f>
        <v/>
      </c>
      <c r="C184">
        <f>IF('COPY 10 %'!$A184="","",'COPY 10 %'!F184)</f>
        <v/>
      </c>
      <c r="D184" s="14">
        <f>IF('COPY 10 %'!$A184="","",'COPY 10 %'!I184)</f>
        <v/>
      </c>
      <c r="E184" s="7">
        <f>IF('COPY 10 %'!$A184="","",'COPY 10 %'!O184)</f>
        <v/>
      </c>
      <c r="F184" s="7">
        <f>IF('COPY 10 %'!$A184="","",'COPY 10 %'!L184)</f>
        <v/>
      </c>
      <c r="G184" s="7">
        <f>IF('COPY 10 %'!$A184="","",'COPY 10 %'!S184)</f>
        <v/>
      </c>
      <c r="H184">
        <f>IF('COPY 10 %'!$A184="","",'COPY 10 %'!P184)</f>
        <v/>
      </c>
      <c r="I184">
        <f>IF('COPY 10 %'!$A184="","",'COPY 10 %'!M184)</f>
        <v/>
      </c>
      <c r="J184" s="7">
        <f>IF('COPY 10 %'!$A184="","",'COPY 10 %'!Q184)</f>
        <v/>
      </c>
      <c r="K184" s="7">
        <f>IF('COPY 10 %'!$A184="","",'COPY 10 %'!H184)</f>
        <v/>
      </c>
      <c r="L184" s="7">
        <f>IF('COPY 10 %'!$A184="","",'COPY 10 %'!T184)</f>
        <v/>
      </c>
      <c r="M184">
        <f>IF('COPY 10 %'!$A184="","",'COPY 10 %'!G184)</f>
        <v/>
      </c>
    </row>
    <row r="185">
      <c r="A185">
        <f>IF('COPY 10 %'!$A185="","",ROWS($A$2:$A185))</f>
        <v/>
      </c>
      <c r="B185">
        <f>IF('COPY 10 %'!$A185="","",'COPY 10 %'!E185)</f>
        <v/>
      </c>
      <c r="C185">
        <f>IF('COPY 10 %'!$A185="","",'COPY 10 %'!F185)</f>
        <v/>
      </c>
      <c r="D185" s="14">
        <f>IF('COPY 10 %'!$A185="","",'COPY 10 %'!I185)</f>
        <v/>
      </c>
      <c r="E185" s="7">
        <f>IF('COPY 10 %'!$A185="","",'COPY 10 %'!O185)</f>
        <v/>
      </c>
      <c r="F185" s="7">
        <f>IF('COPY 10 %'!$A185="","",'COPY 10 %'!L185)</f>
        <v/>
      </c>
      <c r="G185" s="7">
        <f>IF('COPY 10 %'!$A185="","",'COPY 10 %'!S185)</f>
        <v/>
      </c>
      <c r="H185">
        <f>IF('COPY 10 %'!$A185="","",'COPY 10 %'!P185)</f>
        <v/>
      </c>
      <c r="I185">
        <f>IF('COPY 10 %'!$A185="","",'COPY 10 %'!M185)</f>
        <v/>
      </c>
      <c r="J185" s="7">
        <f>IF('COPY 10 %'!$A185="","",'COPY 10 %'!Q185)</f>
        <v/>
      </c>
      <c r="K185" s="7">
        <f>IF('COPY 10 %'!$A185="","",'COPY 10 %'!H185)</f>
        <v/>
      </c>
      <c r="L185" s="7">
        <f>IF('COPY 10 %'!$A185="","",'COPY 10 %'!T185)</f>
        <v/>
      </c>
      <c r="M185">
        <f>IF('COPY 10 %'!$A185="","",'COPY 10 %'!G185)</f>
        <v/>
      </c>
    </row>
    <row r="186">
      <c r="A186">
        <f>IF('COPY 10 %'!$A186="","",ROWS($A$2:$A186))</f>
        <v/>
      </c>
      <c r="B186">
        <f>IF('COPY 10 %'!$A186="","",'COPY 10 %'!E186)</f>
        <v/>
      </c>
      <c r="C186">
        <f>IF('COPY 10 %'!$A186="","",'COPY 10 %'!F186)</f>
        <v/>
      </c>
      <c r="D186" s="14">
        <f>IF('COPY 10 %'!$A186="","",'COPY 10 %'!I186)</f>
        <v/>
      </c>
      <c r="E186" s="7">
        <f>IF('COPY 10 %'!$A186="","",'COPY 10 %'!O186)</f>
        <v/>
      </c>
      <c r="F186" s="7">
        <f>IF('COPY 10 %'!$A186="","",'COPY 10 %'!L186)</f>
        <v/>
      </c>
      <c r="G186" s="7">
        <f>IF('COPY 10 %'!$A186="","",'COPY 10 %'!S186)</f>
        <v/>
      </c>
      <c r="H186">
        <f>IF('COPY 10 %'!$A186="","",'COPY 10 %'!P186)</f>
        <v/>
      </c>
      <c r="I186">
        <f>IF('COPY 10 %'!$A186="","",'COPY 10 %'!M186)</f>
        <v/>
      </c>
      <c r="J186" s="7">
        <f>IF('COPY 10 %'!$A186="","",'COPY 10 %'!Q186)</f>
        <v/>
      </c>
      <c r="K186" s="7">
        <f>IF('COPY 10 %'!$A186="","",'COPY 10 %'!H186)</f>
        <v/>
      </c>
      <c r="L186" s="7">
        <f>IF('COPY 10 %'!$A186="","",'COPY 10 %'!T186)</f>
        <v/>
      </c>
      <c r="M186">
        <f>IF('COPY 10 %'!$A186="","",'COPY 10 %'!G186)</f>
        <v/>
      </c>
    </row>
    <row r="187">
      <c r="A187">
        <f>IF('COPY 10 %'!$A187="","",ROWS($A$2:$A187))</f>
        <v/>
      </c>
      <c r="B187">
        <f>IF('COPY 10 %'!$A187="","",'COPY 10 %'!E187)</f>
        <v/>
      </c>
      <c r="C187">
        <f>IF('COPY 10 %'!$A187="","",'COPY 10 %'!F187)</f>
        <v/>
      </c>
      <c r="D187" s="14">
        <f>IF('COPY 10 %'!$A187="","",'COPY 10 %'!I187)</f>
        <v/>
      </c>
      <c r="E187" s="7">
        <f>IF('COPY 10 %'!$A187="","",'COPY 10 %'!O187)</f>
        <v/>
      </c>
      <c r="F187" s="7">
        <f>IF('COPY 10 %'!$A187="","",'COPY 10 %'!L187)</f>
        <v/>
      </c>
      <c r="G187" s="7">
        <f>IF('COPY 10 %'!$A187="","",'COPY 10 %'!S187)</f>
        <v/>
      </c>
      <c r="H187">
        <f>IF('COPY 10 %'!$A187="","",'COPY 10 %'!P187)</f>
        <v/>
      </c>
      <c r="I187">
        <f>IF('COPY 10 %'!$A187="","",'COPY 10 %'!M187)</f>
        <v/>
      </c>
      <c r="J187" s="7">
        <f>IF('COPY 10 %'!$A187="","",'COPY 10 %'!Q187)</f>
        <v/>
      </c>
      <c r="K187" s="7">
        <f>IF('COPY 10 %'!$A187="","",'COPY 10 %'!H187)</f>
        <v/>
      </c>
      <c r="L187" s="7">
        <f>IF('COPY 10 %'!$A187="","",'COPY 10 %'!T187)</f>
        <v/>
      </c>
      <c r="M187">
        <f>IF('COPY 10 %'!$A187="","",'COPY 10 %'!G187)</f>
        <v/>
      </c>
    </row>
    <row r="188">
      <c r="A188">
        <f>IF('COPY 10 %'!$A188="","",ROWS($A$2:$A188))</f>
        <v/>
      </c>
      <c r="B188">
        <f>IF('COPY 10 %'!$A188="","",'COPY 10 %'!E188)</f>
        <v/>
      </c>
      <c r="C188">
        <f>IF('COPY 10 %'!$A188="","",'COPY 10 %'!F188)</f>
        <v/>
      </c>
      <c r="D188" s="14">
        <f>IF('COPY 10 %'!$A188="","",'COPY 10 %'!I188)</f>
        <v/>
      </c>
      <c r="E188" s="7">
        <f>IF('COPY 10 %'!$A188="","",'COPY 10 %'!O188)</f>
        <v/>
      </c>
      <c r="F188" s="7">
        <f>IF('COPY 10 %'!$A188="","",'COPY 10 %'!L188)</f>
        <v/>
      </c>
      <c r="G188" s="7">
        <f>IF('COPY 10 %'!$A188="","",'COPY 10 %'!S188)</f>
        <v/>
      </c>
      <c r="H188">
        <f>IF('COPY 10 %'!$A188="","",'COPY 10 %'!P188)</f>
        <v/>
      </c>
      <c r="I188">
        <f>IF('COPY 10 %'!$A188="","",'COPY 10 %'!M188)</f>
        <v/>
      </c>
      <c r="J188" s="7">
        <f>IF('COPY 10 %'!$A188="","",'COPY 10 %'!Q188)</f>
        <v/>
      </c>
      <c r="K188" s="7">
        <f>IF('COPY 10 %'!$A188="","",'COPY 10 %'!H188)</f>
        <v/>
      </c>
      <c r="L188" s="7">
        <f>IF('COPY 10 %'!$A188="","",'COPY 10 %'!T188)</f>
        <v/>
      </c>
      <c r="M188">
        <f>IF('COPY 10 %'!$A188="","",'COPY 10 %'!G188)</f>
        <v/>
      </c>
    </row>
    <row r="189">
      <c r="A189">
        <f>IF('COPY 10 %'!$A189="","",ROWS($A$2:$A189))</f>
        <v/>
      </c>
      <c r="B189">
        <f>IF('COPY 10 %'!$A189="","",'COPY 10 %'!E189)</f>
        <v/>
      </c>
      <c r="C189">
        <f>IF('COPY 10 %'!$A189="","",'COPY 10 %'!F189)</f>
        <v/>
      </c>
      <c r="D189" s="14">
        <f>IF('COPY 10 %'!$A189="","",'COPY 10 %'!I189)</f>
        <v/>
      </c>
      <c r="E189" s="7">
        <f>IF('COPY 10 %'!$A189="","",'COPY 10 %'!O189)</f>
        <v/>
      </c>
      <c r="F189" s="7">
        <f>IF('COPY 10 %'!$A189="","",'COPY 10 %'!L189)</f>
        <v/>
      </c>
      <c r="G189" s="7">
        <f>IF('COPY 10 %'!$A189="","",'COPY 10 %'!S189)</f>
        <v/>
      </c>
      <c r="H189">
        <f>IF('COPY 10 %'!$A189="","",'COPY 10 %'!P189)</f>
        <v/>
      </c>
      <c r="I189">
        <f>IF('COPY 10 %'!$A189="","",'COPY 10 %'!M189)</f>
        <v/>
      </c>
      <c r="J189" s="7">
        <f>IF('COPY 10 %'!$A189="","",'COPY 10 %'!Q189)</f>
        <v/>
      </c>
      <c r="K189" s="7">
        <f>IF('COPY 10 %'!$A189="","",'COPY 10 %'!H189)</f>
        <v/>
      </c>
      <c r="L189" s="7">
        <f>IF('COPY 10 %'!$A189="","",'COPY 10 %'!T189)</f>
        <v/>
      </c>
      <c r="M189">
        <f>IF('COPY 10 %'!$A189="","",'COPY 10 %'!G189)</f>
        <v/>
      </c>
    </row>
    <row r="190">
      <c r="A190">
        <f>IF('COPY 10 %'!$A190="","",ROWS($A$2:$A190))</f>
        <v/>
      </c>
      <c r="B190">
        <f>IF('COPY 10 %'!$A190="","",'COPY 10 %'!E190)</f>
        <v/>
      </c>
      <c r="C190">
        <f>IF('COPY 10 %'!$A190="","",'COPY 10 %'!F190)</f>
        <v/>
      </c>
      <c r="D190" s="14">
        <f>IF('COPY 10 %'!$A190="","",'COPY 10 %'!I190)</f>
        <v/>
      </c>
      <c r="E190" s="7">
        <f>IF('COPY 10 %'!$A190="","",'COPY 10 %'!O190)</f>
        <v/>
      </c>
      <c r="F190" s="7">
        <f>IF('COPY 10 %'!$A190="","",'COPY 10 %'!L190)</f>
        <v/>
      </c>
      <c r="G190" s="7">
        <f>IF('COPY 10 %'!$A190="","",'COPY 10 %'!S190)</f>
        <v/>
      </c>
      <c r="H190">
        <f>IF('COPY 10 %'!$A190="","",'COPY 10 %'!P190)</f>
        <v/>
      </c>
      <c r="I190">
        <f>IF('COPY 10 %'!$A190="","",'COPY 10 %'!M190)</f>
        <v/>
      </c>
      <c r="J190" s="7">
        <f>IF('COPY 10 %'!$A190="","",'COPY 10 %'!Q190)</f>
        <v/>
      </c>
      <c r="K190" s="7">
        <f>IF('COPY 10 %'!$A190="","",'COPY 10 %'!H190)</f>
        <v/>
      </c>
      <c r="L190" s="7">
        <f>IF('COPY 10 %'!$A190="","",'COPY 10 %'!T190)</f>
        <v/>
      </c>
      <c r="M190">
        <f>IF('COPY 10 %'!$A190="","",'COPY 10 %'!G190)</f>
        <v/>
      </c>
    </row>
    <row r="191">
      <c r="A191">
        <f>IF('COPY 10 %'!$A191="","",ROWS($A$2:$A191))</f>
        <v/>
      </c>
      <c r="B191">
        <f>IF('COPY 10 %'!$A191="","",'COPY 10 %'!E191)</f>
        <v/>
      </c>
      <c r="C191">
        <f>IF('COPY 10 %'!$A191="","",'COPY 10 %'!F191)</f>
        <v/>
      </c>
      <c r="D191" s="14">
        <f>IF('COPY 10 %'!$A191="","",'COPY 10 %'!I191)</f>
        <v/>
      </c>
      <c r="E191" s="7">
        <f>IF('COPY 10 %'!$A191="","",'COPY 10 %'!O191)</f>
        <v/>
      </c>
      <c r="F191" s="7">
        <f>IF('COPY 10 %'!$A191="","",'COPY 10 %'!L191)</f>
        <v/>
      </c>
      <c r="G191" s="7">
        <f>IF('COPY 10 %'!$A191="","",'COPY 10 %'!S191)</f>
        <v/>
      </c>
      <c r="H191">
        <f>IF('COPY 10 %'!$A191="","",'COPY 10 %'!P191)</f>
        <v/>
      </c>
      <c r="I191">
        <f>IF('COPY 10 %'!$A191="","",'COPY 10 %'!M191)</f>
        <v/>
      </c>
      <c r="J191" s="7">
        <f>IF('COPY 10 %'!$A191="","",'COPY 10 %'!Q191)</f>
        <v/>
      </c>
      <c r="K191" s="7">
        <f>IF('COPY 10 %'!$A191="","",'COPY 10 %'!H191)</f>
        <v/>
      </c>
      <c r="L191" s="7">
        <f>IF('COPY 10 %'!$A191="","",'COPY 10 %'!T191)</f>
        <v/>
      </c>
      <c r="M191">
        <f>IF('COPY 10 %'!$A191="","",'COPY 10 %'!G191)</f>
        <v/>
      </c>
    </row>
    <row r="192">
      <c r="A192">
        <f>IF('COPY 10 %'!$A192="","",ROWS($A$2:$A192))</f>
        <v/>
      </c>
      <c r="B192">
        <f>IF('COPY 10 %'!$A192="","",'COPY 10 %'!E192)</f>
        <v/>
      </c>
      <c r="C192">
        <f>IF('COPY 10 %'!$A192="","",'COPY 10 %'!F192)</f>
        <v/>
      </c>
      <c r="D192" s="14">
        <f>IF('COPY 10 %'!$A192="","",'COPY 10 %'!I192)</f>
        <v/>
      </c>
      <c r="E192" s="7">
        <f>IF('COPY 10 %'!$A192="","",'COPY 10 %'!O192)</f>
        <v/>
      </c>
      <c r="F192" s="7">
        <f>IF('COPY 10 %'!$A192="","",'COPY 10 %'!L192)</f>
        <v/>
      </c>
      <c r="G192" s="7">
        <f>IF('COPY 10 %'!$A192="","",'COPY 10 %'!S192)</f>
        <v/>
      </c>
      <c r="H192">
        <f>IF('COPY 10 %'!$A192="","",'COPY 10 %'!P192)</f>
        <v/>
      </c>
      <c r="I192">
        <f>IF('COPY 10 %'!$A192="","",'COPY 10 %'!M192)</f>
        <v/>
      </c>
      <c r="J192" s="7">
        <f>IF('COPY 10 %'!$A192="","",'COPY 10 %'!Q192)</f>
        <v/>
      </c>
      <c r="K192" s="7">
        <f>IF('COPY 10 %'!$A192="","",'COPY 10 %'!H192)</f>
        <v/>
      </c>
      <c r="L192" s="7">
        <f>IF('COPY 10 %'!$A192="","",'COPY 10 %'!T192)</f>
        <v/>
      </c>
      <c r="M192">
        <f>IF('COPY 10 %'!$A192="","",'COPY 10 %'!G192)</f>
        <v/>
      </c>
    </row>
    <row r="193">
      <c r="A193">
        <f>IF('COPY 10 %'!$A193="","",ROWS($A$2:$A193))</f>
        <v/>
      </c>
      <c r="B193">
        <f>IF('COPY 10 %'!$A193="","",'COPY 10 %'!E193)</f>
        <v/>
      </c>
      <c r="C193">
        <f>IF('COPY 10 %'!$A193="","",'COPY 10 %'!F193)</f>
        <v/>
      </c>
      <c r="D193" s="14">
        <f>IF('COPY 10 %'!$A193="","",'COPY 10 %'!I193)</f>
        <v/>
      </c>
      <c r="E193" s="7">
        <f>IF('COPY 10 %'!$A193="","",'COPY 10 %'!O193)</f>
        <v/>
      </c>
      <c r="F193" s="7">
        <f>IF('COPY 10 %'!$A193="","",'COPY 10 %'!L193)</f>
        <v/>
      </c>
      <c r="G193" s="7">
        <f>IF('COPY 10 %'!$A193="","",'COPY 10 %'!S193)</f>
        <v/>
      </c>
      <c r="H193">
        <f>IF('COPY 10 %'!$A193="","",'COPY 10 %'!P193)</f>
        <v/>
      </c>
      <c r="I193">
        <f>IF('COPY 10 %'!$A193="","",'COPY 10 %'!M193)</f>
        <v/>
      </c>
      <c r="J193" s="7">
        <f>IF('COPY 10 %'!$A193="","",'COPY 10 %'!Q193)</f>
        <v/>
      </c>
      <c r="K193" s="7">
        <f>IF('COPY 10 %'!$A193="","",'COPY 10 %'!H193)</f>
        <v/>
      </c>
      <c r="L193" s="7">
        <f>IF('COPY 10 %'!$A193="","",'COPY 10 %'!T193)</f>
        <v/>
      </c>
      <c r="M193">
        <f>IF('COPY 10 %'!$A193="","",'COPY 10 %'!G193)</f>
        <v/>
      </c>
    </row>
    <row r="194">
      <c r="A194">
        <f>IF('COPY 10 %'!$A194="","",ROWS($A$2:$A194))</f>
        <v/>
      </c>
      <c r="B194">
        <f>IF('COPY 10 %'!$A194="","",'COPY 10 %'!E194)</f>
        <v/>
      </c>
      <c r="C194">
        <f>IF('COPY 10 %'!$A194="","",'COPY 10 %'!F194)</f>
        <v/>
      </c>
      <c r="D194" s="14">
        <f>IF('COPY 10 %'!$A194="","",'COPY 10 %'!I194)</f>
        <v/>
      </c>
      <c r="E194" s="7">
        <f>IF('COPY 10 %'!$A194="","",'COPY 10 %'!O194)</f>
        <v/>
      </c>
      <c r="F194" s="7">
        <f>IF('COPY 10 %'!$A194="","",'COPY 10 %'!L194)</f>
        <v/>
      </c>
      <c r="G194" s="7">
        <f>IF('COPY 10 %'!$A194="","",'COPY 10 %'!S194)</f>
        <v/>
      </c>
      <c r="H194">
        <f>IF('COPY 10 %'!$A194="","",'COPY 10 %'!P194)</f>
        <v/>
      </c>
      <c r="I194">
        <f>IF('COPY 10 %'!$A194="","",'COPY 10 %'!M194)</f>
        <v/>
      </c>
      <c r="J194" s="7">
        <f>IF('COPY 10 %'!$A194="","",'COPY 10 %'!Q194)</f>
        <v/>
      </c>
      <c r="K194" s="7">
        <f>IF('COPY 10 %'!$A194="","",'COPY 10 %'!H194)</f>
        <v/>
      </c>
      <c r="L194" s="7">
        <f>IF('COPY 10 %'!$A194="","",'COPY 10 %'!T194)</f>
        <v/>
      </c>
      <c r="M194">
        <f>IF('COPY 10 %'!$A194="","",'COPY 10 %'!G194)</f>
        <v/>
      </c>
    </row>
    <row r="195">
      <c r="A195">
        <f>IF('COPY 10 %'!$A195="","",ROWS($A$2:$A195))</f>
        <v/>
      </c>
      <c r="B195">
        <f>IF('COPY 10 %'!$A195="","",'COPY 10 %'!E195)</f>
        <v/>
      </c>
      <c r="C195">
        <f>IF('COPY 10 %'!$A195="","",'COPY 10 %'!F195)</f>
        <v/>
      </c>
      <c r="D195" s="14">
        <f>IF('COPY 10 %'!$A195="","",'COPY 10 %'!I195)</f>
        <v/>
      </c>
      <c r="E195" s="7">
        <f>IF('COPY 10 %'!$A195="","",'COPY 10 %'!O195)</f>
        <v/>
      </c>
      <c r="F195" s="7">
        <f>IF('COPY 10 %'!$A195="","",'COPY 10 %'!L195)</f>
        <v/>
      </c>
      <c r="G195" s="7">
        <f>IF('COPY 10 %'!$A195="","",'COPY 10 %'!S195)</f>
        <v/>
      </c>
      <c r="H195">
        <f>IF('COPY 10 %'!$A195="","",'COPY 10 %'!P195)</f>
        <v/>
      </c>
      <c r="I195">
        <f>IF('COPY 10 %'!$A195="","",'COPY 10 %'!M195)</f>
        <v/>
      </c>
      <c r="J195" s="7">
        <f>IF('COPY 10 %'!$A195="","",'COPY 10 %'!Q195)</f>
        <v/>
      </c>
      <c r="K195" s="7">
        <f>IF('COPY 10 %'!$A195="","",'COPY 10 %'!H195)</f>
        <v/>
      </c>
      <c r="L195" s="7">
        <f>IF('COPY 10 %'!$A195="","",'COPY 10 %'!T195)</f>
        <v/>
      </c>
      <c r="M195">
        <f>IF('COPY 10 %'!$A195="","",'COPY 10 %'!G195)</f>
        <v/>
      </c>
    </row>
    <row r="196">
      <c r="A196">
        <f>IF('COPY 10 %'!$A196="","",ROWS($A$2:$A196))</f>
        <v/>
      </c>
      <c r="B196">
        <f>IF('COPY 10 %'!$A196="","",'COPY 10 %'!E196)</f>
        <v/>
      </c>
      <c r="C196">
        <f>IF('COPY 10 %'!$A196="","",'COPY 10 %'!F196)</f>
        <v/>
      </c>
      <c r="D196" s="14">
        <f>IF('COPY 10 %'!$A196="","",'COPY 10 %'!I196)</f>
        <v/>
      </c>
      <c r="E196" s="7">
        <f>IF('COPY 10 %'!$A196="","",'COPY 10 %'!O196)</f>
        <v/>
      </c>
      <c r="F196" s="7">
        <f>IF('COPY 10 %'!$A196="","",'COPY 10 %'!L196)</f>
        <v/>
      </c>
      <c r="G196" s="7">
        <f>IF('COPY 10 %'!$A196="","",'COPY 10 %'!S196)</f>
        <v/>
      </c>
      <c r="H196">
        <f>IF('COPY 10 %'!$A196="","",'COPY 10 %'!P196)</f>
        <v/>
      </c>
      <c r="I196">
        <f>IF('COPY 10 %'!$A196="","",'COPY 10 %'!M196)</f>
        <v/>
      </c>
      <c r="J196" s="7">
        <f>IF('COPY 10 %'!$A196="","",'COPY 10 %'!Q196)</f>
        <v/>
      </c>
      <c r="K196" s="7">
        <f>IF('COPY 10 %'!$A196="","",'COPY 10 %'!H196)</f>
        <v/>
      </c>
      <c r="L196" s="7">
        <f>IF('COPY 10 %'!$A196="","",'COPY 10 %'!T196)</f>
        <v/>
      </c>
      <c r="M196">
        <f>IF('COPY 10 %'!$A196="","",'COPY 10 %'!G196)</f>
        <v/>
      </c>
    </row>
    <row r="197">
      <c r="A197">
        <f>IF('COPY 10 %'!$A197="","",ROWS($A$2:$A197))</f>
        <v/>
      </c>
      <c r="B197">
        <f>IF('COPY 10 %'!$A197="","",'COPY 10 %'!E197)</f>
        <v/>
      </c>
      <c r="C197">
        <f>IF('COPY 10 %'!$A197="","",'COPY 10 %'!F197)</f>
        <v/>
      </c>
      <c r="D197" s="14">
        <f>IF('COPY 10 %'!$A197="","",'COPY 10 %'!I197)</f>
        <v/>
      </c>
      <c r="E197" s="7">
        <f>IF('COPY 10 %'!$A197="","",'COPY 10 %'!O197)</f>
        <v/>
      </c>
      <c r="F197" s="7">
        <f>IF('COPY 10 %'!$A197="","",'COPY 10 %'!L197)</f>
        <v/>
      </c>
      <c r="G197" s="7">
        <f>IF('COPY 10 %'!$A197="","",'COPY 10 %'!S197)</f>
        <v/>
      </c>
      <c r="H197">
        <f>IF('COPY 10 %'!$A197="","",'COPY 10 %'!P197)</f>
        <v/>
      </c>
      <c r="I197">
        <f>IF('COPY 10 %'!$A197="","",'COPY 10 %'!M197)</f>
        <v/>
      </c>
      <c r="J197" s="7">
        <f>IF('COPY 10 %'!$A197="","",'COPY 10 %'!Q197)</f>
        <v/>
      </c>
      <c r="K197" s="7">
        <f>IF('COPY 10 %'!$A197="","",'COPY 10 %'!H197)</f>
        <v/>
      </c>
      <c r="L197" s="7">
        <f>IF('COPY 10 %'!$A197="","",'COPY 10 %'!T197)</f>
        <v/>
      </c>
      <c r="M197">
        <f>IF('COPY 10 %'!$A197="","",'COPY 10 %'!G197)</f>
        <v/>
      </c>
    </row>
    <row r="198">
      <c r="A198">
        <f>IF('COPY 10 %'!$A198="","",ROWS($A$2:$A198))</f>
        <v/>
      </c>
      <c r="B198">
        <f>IF('COPY 10 %'!$A198="","",'COPY 10 %'!E198)</f>
        <v/>
      </c>
      <c r="C198">
        <f>IF('COPY 10 %'!$A198="","",'COPY 10 %'!F198)</f>
        <v/>
      </c>
      <c r="D198" s="14">
        <f>IF('COPY 10 %'!$A198="","",'COPY 10 %'!I198)</f>
        <v/>
      </c>
      <c r="E198" s="7">
        <f>IF('COPY 10 %'!$A198="","",'COPY 10 %'!O198)</f>
        <v/>
      </c>
      <c r="F198" s="7">
        <f>IF('COPY 10 %'!$A198="","",'COPY 10 %'!L198)</f>
        <v/>
      </c>
      <c r="G198" s="7">
        <f>IF('COPY 10 %'!$A198="","",'COPY 10 %'!S198)</f>
        <v/>
      </c>
      <c r="H198">
        <f>IF('COPY 10 %'!$A198="","",'COPY 10 %'!P198)</f>
        <v/>
      </c>
      <c r="I198">
        <f>IF('COPY 10 %'!$A198="","",'COPY 10 %'!M198)</f>
        <v/>
      </c>
      <c r="J198" s="7">
        <f>IF('COPY 10 %'!$A198="","",'COPY 10 %'!Q198)</f>
        <v/>
      </c>
      <c r="K198" s="7">
        <f>IF('COPY 10 %'!$A198="","",'COPY 10 %'!H198)</f>
        <v/>
      </c>
      <c r="L198" s="7">
        <f>IF('COPY 10 %'!$A198="","",'COPY 10 %'!T198)</f>
        <v/>
      </c>
      <c r="M198">
        <f>IF('COPY 10 %'!$A198="","",'COPY 10 %'!G198)</f>
        <v/>
      </c>
    </row>
    <row r="199">
      <c r="A199">
        <f>IF('COPY 10 %'!$A199="","",ROWS($A$2:$A199))</f>
        <v/>
      </c>
      <c r="B199">
        <f>IF('COPY 10 %'!$A199="","",'COPY 10 %'!E199)</f>
        <v/>
      </c>
      <c r="C199">
        <f>IF('COPY 10 %'!$A199="","",'COPY 10 %'!F199)</f>
        <v/>
      </c>
      <c r="D199" s="14">
        <f>IF('COPY 10 %'!$A199="","",'COPY 10 %'!I199)</f>
        <v/>
      </c>
      <c r="E199" s="7">
        <f>IF('COPY 10 %'!$A199="","",'COPY 10 %'!O199)</f>
        <v/>
      </c>
      <c r="F199" s="7">
        <f>IF('COPY 10 %'!$A199="","",'COPY 10 %'!L199)</f>
        <v/>
      </c>
      <c r="G199" s="7">
        <f>IF('COPY 10 %'!$A199="","",'COPY 10 %'!S199)</f>
        <v/>
      </c>
      <c r="H199">
        <f>IF('COPY 10 %'!$A199="","",'COPY 10 %'!P199)</f>
        <v/>
      </c>
      <c r="I199">
        <f>IF('COPY 10 %'!$A199="","",'COPY 10 %'!M199)</f>
        <v/>
      </c>
      <c r="J199" s="7">
        <f>IF('COPY 10 %'!$A199="","",'COPY 10 %'!Q199)</f>
        <v/>
      </c>
      <c r="K199" s="7">
        <f>IF('COPY 10 %'!$A199="","",'COPY 10 %'!H199)</f>
        <v/>
      </c>
      <c r="L199" s="7">
        <f>IF('COPY 10 %'!$A199="","",'COPY 10 %'!T199)</f>
        <v/>
      </c>
      <c r="M199">
        <f>IF('COPY 10 %'!$A199="","",'COPY 10 %'!G199)</f>
        <v/>
      </c>
    </row>
    <row r="200">
      <c r="A200">
        <f>IF('COPY 10 %'!$A200="","",ROWS($A$2:$A200))</f>
        <v/>
      </c>
      <c r="B200">
        <f>IF('COPY 10 %'!$A200="","",'COPY 10 %'!E200)</f>
        <v/>
      </c>
      <c r="C200">
        <f>IF('COPY 10 %'!$A200="","",'COPY 10 %'!F200)</f>
        <v/>
      </c>
      <c r="D200" s="14">
        <f>IF('COPY 10 %'!$A200="","",'COPY 10 %'!I200)</f>
        <v/>
      </c>
      <c r="E200" s="7">
        <f>IF('COPY 10 %'!$A200="","",'COPY 10 %'!O200)</f>
        <v/>
      </c>
      <c r="F200" s="7">
        <f>IF('COPY 10 %'!$A200="","",'COPY 10 %'!L200)</f>
        <v/>
      </c>
      <c r="G200" s="7">
        <f>IF('COPY 10 %'!$A200="","",'COPY 10 %'!S200)</f>
        <v/>
      </c>
      <c r="H200">
        <f>IF('COPY 10 %'!$A200="","",'COPY 10 %'!P200)</f>
        <v/>
      </c>
      <c r="I200">
        <f>IF('COPY 10 %'!$A200="","",'COPY 10 %'!M200)</f>
        <v/>
      </c>
      <c r="J200" s="7">
        <f>IF('COPY 10 %'!$A200="","",'COPY 10 %'!Q200)</f>
        <v/>
      </c>
      <c r="K200" s="7">
        <f>IF('COPY 10 %'!$A200="","",'COPY 10 %'!H200)</f>
        <v/>
      </c>
      <c r="L200" s="7">
        <f>IF('COPY 10 %'!$A200="","",'COPY 10 %'!T200)</f>
        <v/>
      </c>
      <c r="M200">
        <f>IF('COPY 10 %'!$A200="","",'COPY 10 %'!G200)</f>
        <v/>
      </c>
    </row>
    <row r="201">
      <c r="A201">
        <f>IF('COPY 10 %'!$A201="","",ROWS($A$2:$A201))</f>
        <v/>
      </c>
      <c r="B201">
        <f>IF('COPY 10 %'!$A201="","",'COPY 10 %'!E201)</f>
        <v/>
      </c>
      <c r="C201">
        <f>IF('COPY 10 %'!$A201="","",'COPY 10 %'!F201)</f>
        <v/>
      </c>
      <c r="D201" s="14">
        <f>IF('COPY 10 %'!$A201="","",'COPY 10 %'!I201)</f>
        <v/>
      </c>
      <c r="E201" s="7">
        <f>IF('COPY 10 %'!$A201="","",'COPY 10 %'!O201)</f>
        <v/>
      </c>
      <c r="F201" s="7">
        <f>IF('COPY 10 %'!$A201="","",'COPY 10 %'!L201)</f>
        <v/>
      </c>
      <c r="G201" s="7">
        <f>IF('COPY 10 %'!$A201="","",'COPY 10 %'!S201)</f>
        <v/>
      </c>
      <c r="H201">
        <f>IF('COPY 10 %'!$A201="","",'COPY 10 %'!P201)</f>
        <v/>
      </c>
      <c r="I201">
        <f>IF('COPY 10 %'!$A201="","",'COPY 10 %'!M201)</f>
        <v/>
      </c>
      <c r="J201" s="7">
        <f>IF('COPY 10 %'!$A201="","",'COPY 10 %'!Q201)</f>
        <v/>
      </c>
      <c r="K201" s="7">
        <f>IF('COPY 10 %'!$A201="","",'COPY 10 %'!H201)</f>
        <v/>
      </c>
      <c r="L201" s="7">
        <f>IF('COPY 10 %'!$A201="","",'COPY 10 %'!T201)</f>
        <v/>
      </c>
      <c r="M201">
        <f>IF('COPY 10 %'!$A201="","",'COPY 10 %'!G201)</f>
        <v/>
      </c>
    </row>
    <row r="202">
      <c r="A202">
        <f>IF('COPY 10 %'!$A202="","",ROWS($A$2:$A202))</f>
        <v/>
      </c>
      <c r="B202">
        <f>IF('COPY 10 %'!$A202="","",'COPY 10 %'!E202)</f>
        <v/>
      </c>
      <c r="C202">
        <f>IF('COPY 10 %'!$A202="","",'COPY 10 %'!F202)</f>
        <v/>
      </c>
      <c r="D202" s="14">
        <f>IF('COPY 10 %'!$A202="","",'COPY 10 %'!I202)</f>
        <v/>
      </c>
      <c r="E202" s="7">
        <f>IF('COPY 10 %'!$A202="","",'COPY 10 %'!O202)</f>
        <v/>
      </c>
      <c r="F202" s="7">
        <f>IF('COPY 10 %'!$A202="","",'COPY 10 %'!L202)</f>
        <v/>
      </c>
      <c r="G202" s="7">
        <f>IF('COPY 10 %'!$A202="","",'COPY 10 %'!S202)</f>
        <v/>
      </c>
      <c r="H202">
        <f>IF('COPY 10 %'!$A202="","",'COPY 10 %'!P202)</f>
        <v/>
      </c>
      <c r="I202">
        <f>IF('COPY 10 %'!$A202="","",'COPY 10 %'!M202)</f>
        <v/>
      </c>
      <c r="J202" s="7">
        <f>IF('COPY 10 %'!$A202="","",'COPY 10 %'!Q202)</f>
        <v/>
      </c>
      <c r="K202" s="7">
        <f>IF('COPY 10 %'!$A202="","",'COPY 10 %'!H202)</f>
        <v/>
      </c>
      <c r="L202" s="7">
        <f>IF('COPY 10 %'!$A202="","",'COPY 10 %'!T202)</f>
        <v/>
      </c>
      <c r="M202">
        <f>IF('COPY 10 %'!$A202="","",'COPY 10 %'!G202)</f>
        <v/>
      </c>
    </row>
    <row r="203">
      <c r="A203">
        <f>IF('COPY 10 %'!$A203="","",ROWS($A$2:$A203))</f>
        <v/>
      </c>
      <c r="B203">
        <f>IF('COPY 10 %'!$A203="","",'COPY 10 %'!E203)</f>
        <v/>
      </c>
      <c r="C203">
        <f>IF('COPY 10 %'!$A203="","",'COPY 10 %'!F203)</f>
        <v/>
      </c>
      <c r="D203" s="14">
        <f>IF('COPY 10 %'!$A203="","",'COPY 10 %'!I203)</f>
        <v/>
      </c>
      <c r="E203" s="7">
        <f>IF('COPY 10 %'!$A203="","",'COPY 10 %'!O203)</f>
        <v/>
      </c>
      <c r="F203" s="7">
        <f>IF('COPY 10 %'!$A203="","",'COPY 10 %'!L203)</f>
        <v/>
      </c>
      <c r="G203" s="7">
        <f>IF('COPY 10 %'!$A203="","",'COPY 10 %'!S203)</f>
        <v/>
      </c>
      <c r="H203">
        <f>IF('COPY 10 %'!$A203="","",'COPY 10 %'!P203)</f>
        <v/>
      </c>
      <c r="I203">
        <f>IF('COPY 10 %'!$A203="","",'COPY 10 %'!M203)</f>
        <v/>
      </c>
      <c r="J203" s="7">
        <f>IF('COPY 10 %'!$A203="","",'COPY 10 %'!Q203)</f>
        <v/>
      </c>
      <c r="K203" s="7">
        <f>IF('COPY 10 %'!$A203="","",'COPY 10 %'!H203)</f>
        <v/>
      </c>
      <c r="L203" s="7">
        <f>IF('COPY 10 %'!$A203="","",'COPY 10 %'!T203)</f>
        <v/>
      </c>
      <c r="M203">
        <f>IF('COPY 10 %'!$A203="","",'COPY 10 %'!G203)</f>
        <v/>
      </c>
    </row>
    <row r="204">
      <c r="A204">
        <f>IF('COPY 10 %'!$A204="","",ROWS($A$2:$A204))</f>
        <v/>
      </c>
      <c r="B204">
        <f>IF('COPY 10 %'!$A204="","",'COPY 10 %'!E204)</f>
        <v/>
      </c>
      <c r="C204">
        <f>IF('COPY 10 %'!$A204="","",'COPY 10 %'!F204)</f>
        <v/>
      </c>
      <c r="D204" s="14">
        <f>IF('COPY 10 %'!$A204="","",'COPY 10 %'!I204)</f>
        <v/>
      </c>
      <c r="E204" s="7">
        <f>IF('COPY 10 %'!$A204="","",'COPY 10 %'!O204)</f>
        <v/>
      </c>
      <c r="F204" s="7">
        <f>IF('COPY 10 %'!$A204="","",'COPY 10 %'!L204)</f>
        <v/>
      </c>
      <c r="G204" s="7">
        <f>IF('COPY 10 %'!$A204="","",'COPY 10 %'!S204)</f>
        <v/>
      </c>
      <c r="H204">
        <f>IF('COPY 10 %'!$A204="","",'COPY 10 %'!P204)</f>
        <v/>
      </c>
      <c r="I204">
        <f>IF('COPY 10 %'!$A204="","",'COPY 10 %'!M204)</f>
        <v/>
      </c>
      <c r="J204" s="7">
        <f>IF('COPY 10 %'!$A204="","",'COPY 10 %'!Q204)</f>
        <v/>
      </c>
      <c r="K204" s="7">
        <f>IF('COPY 10 %'!$A204="","",'COPY 10 %'!H204)</f>
        <v/>
      </c>
      <c r="L204" s="7">
        <f>IF('COPY 10 %'!$A204="","",'COPY 10 %'!T204)</f>
        <v/>
      </c>
      <c r="M204">
        <f>IF('COPY 10 %'!$A204="","",'COPY 10 %'!G204)</f>
        <v/>
      </c>
    </row>
    <row r="205">
      <c r="A205">
        <f>IF('COPY 10 %'!$A205="","",ROWS($A$2:$A205))</f>
        <v/>
      </c>
      <c r="B205">
        <f>IF('COPY 10 %'!$A205="","",'COPY 10 %'!E205)</f>
        <v/>
      </c>
      <c r="C205">
        <f>IF('COPY 10 %'!$A205="","",'COPY 10 %'!F205)</f>
        <v/>
      </c>
      <c r="D205" s="14">
        <f>IF('COPY 10 %'!$A205="","",'COPY 10 %'!I205)</f>
        <v/>
      </c>
      <c r="E205" s="7">
        <f>IF('COPY 10 %'!$A205="","",'COPY 10 %'!O205)</f>
        <v/>
      </c>
      <c r="F205" s="7">
        <f>IF('COPY 10 %'!$A205="","",'COPY 10 %'!L205)</f>
        <v/>
      </c>
      <c r="G205" s="7">
        <f>IF('COPY 10 %'!$A205="","",'COPY 10 %'!S205)</f>
        <v/>
      </c>
      <c r="H205">
        <f>IF('COPY 10 %'!$A205="","",'COPY 10 %'!P205)</f>
        <v/>
      </c>
      <c r="I205">
        <f>IF('COPY 10 %'!$A205="","",'COPY 10 %'!M205)</f>
        <v/>
      </c>
      <c r="J205" s="7">
        <f>IF('COPY 10 %'!$A205="","",'COPY 10 %'!Q205)</f>
        <v/>
      </c>
      <c r="K205" s="7">
        <f>IF('COPY 10 %'!$A205="","",'COPY 10 %'!H205)</f>
        <v/>
      </c>
      <c r="L205" s="7">
        <f>IF('COPY 10 %'!$A205="","",'COPY 10 %'!T205)</f>
        <v/>
      </c>
      <c r="M205">
        <f>IF('COPY 10 %'!$A205="","",'COPY 10 %'!G205)</f>
        <v/>
      </c>
    </row>
    <row r="206">
      <c r="A206">
        <f>IF('COPY 10 %'!$A206="","",ROWS($A$2:$A206))</f>
        <v/>
      </c>
      <c r="B206">
        <f>IF('COPY 10 %'!$A206="","",'COPY 10 %'!E206)</f>
        <v/>
      </c>
      <c r="C206">
        <f>IF('COPY 10 %'!$A206="","",'COPY 10 %'!F206)</f>
        <v/>
      </c>
      <c r="D206" s="14">
        <f>IF('COPY 10 %'!$A206="","",'COPY 10 %'!I206)</f>
        <v/>
      </c>
      <c r="E206" s="7">
        <f>IF('COPY 10 %'!$A206="","",'COPY 10 %'!O206)</f>
        <v/>
      </c>
      <c r="F206" s="7">
        <f>IF('COPY 10 %'!$A206="","",'COPY 10 %'!L206)</f>
        <v/>
      </c>
      <c r="G206" s="7">
        <f>IF('COPY 10 %'!$A206="","",'COPY 10 %'!S206)</f>
        <v/>
      </c>
      <c r="H206">
        <f>IF('COPY 10 %'!$A206="","",'COPY 10 %'!P206)</f>
        <v/>
      </c>
      <c r="I206">
        <f>IF('COPY 10 %'!$A206="","",'COPY 10 %'!M206)</f>
        <v/>
      </c>
      <c r="J206" s="7">
        <f>IF('COPY 10 %'!$A206="","",'COPY 10 %'!Q206)</f>
        <v/>
      </c>
      <c r="K206" s="7">
        <f>IF('COPY 10 %'!$A206="","",'COPY 10 %'!H206)</f>
        <v/>
      </c>
      <c r="L206" s="7">
        <f>IF('COPY 10 %'!$A206="","",'COPY 10 %'!T206)</f>
        <v/>
      </c>
      <c r="M206">
        <f>IF('COPY 10 %'!$A206="","",'COPY 10 %'!G206)</f>
        <v/>
      </c>
    </row>
    <row r="207">
      <c r="A207">
        <f>IF('COPY 10 %'!$A207="","",ROWS($A$2:$A207))</f>
        <v/>
      </c>
      <c r="B207">
        <f>IF('COPY 10 %'!$A207="","",'COPY 10 %'!E207)</f>
        <v/>
      </c>
      <c r="C207">
        <f>IF('COPY 10 %'!$A207="","",'COPY 10 %'!F207)</f>
        <v/>
      </c>
      <c r="D207" s="14">
        <f>IF('COPY 10 %'!$A207="","",'COPY 10 %'!I207)</f>
        <v/>
      </c>
      <c r="E207" s="7">
        <f>IF('COPY 10 %'!$A207="","",'COPY 10 %'!O207)</f>
        <v/>
      </c>
      <c r="F207" s="7">
        <f>IF('COPY 10 %'!$A207="","",'COPY 10 %'!L207)</f>
        <v/>
      </c>
      <c r="G207" s="7">
        <f>IF('COPY 10 %'!$A207="","",'COPY 10 %'!S207)</f>
        <v/>
      </c>
      <c r="H207">
        <f>IF('COPY 10 %'!$A207="","",'COPY 10 %'!P207)</f>
        <v/>
      </c>
      <c r="I207">
        <f>IF('COPY 10 %'!$A207="","",'COPY 10 %'!M207)</f>
        <v/>
      </c>
      <c r="J207" s="7">
        <f>IF('COPY 10 %'!$A207="","",'COPY 10 %'!Q207)</f>
        <v/>
      </c>
      <c r="K207" s="7">
        <f>IF('COPY 10 %'!$A207="","",'COPY 10 %'!H207)</f>
        <v/>
      </c>
      <c r="L207" s="7">
        <f>IF('COPY 10 %'!$A207="","",'COPY 10 %'!T207)</f>
        <v/>
      </c>
      <c r="M207">
        <f>IF('COPY 10 %'!$A207="","",'COPY 10 %'!G207)</f>
        <v/>
      </c>
    </row>
    <row r="208">
      <c r="A208">
        <f>IF('COPY 10 %'!$A208="","",ROWS($A$2:$A208))</f>
        <v/>
      </c>
      <c r="B208">
        <f>IF('COPY 10 %'!$A208="","",'COPY 10 %'!E208)</f>
        <v/>
      </c>
      <c r="C208">
        <f>IF('COPY 10 %'!$A208="","",'COPY 10 %'!F208)</f>
        <v/>
      </c>
      <c r="D208" s="14">
        <f>IF('COPY 10 %'!$A208="","",'COPY 10 %'!I208)</f>
        <v/>
      </c>
      <c r="E208" s="7">
        <f>IF('COPY 10 %'!$A208="","",'COPY 10 %'!O208)</f>
        <v/>
      </c>
      <c r="F208" s="7">
        <f>IF('COPY 10 %'!$A208="","",'COPY 10 %'!L208)</f>
        <v/>
      </c>
      <c r="G208" s="7">
        <f>IF('COPY 10 %'!$A208="","",'COPY 10 %'!S208)</f>
        <v/>
      </c>
      <c r="H208">
        <f>IF('COPY 10 %'!$A208="","",'COPY 10 %'!P208)</f>
        <v/>
      </c>
      <c r="I208">
        <f>IF('COPY 10 %'!$A208="","",'COPY 10 %'!M208)</f>
        <v/>
      </c>
      <c r="J208" s="7">
        <f>IF('COPY 10 %'!$A208="","",'COPY 10 %'!Q208)</f>
        <v/>
      </c>
      <c r="K208" s="7">
        <f>IF('COPY 10 %'!$A208="","",'COPY 10 %'!H208)</f>
        <v/>
      </c>
      <c r="L208" s="7">
        <f>IF('COPY 10 %'!$A208="","",'COPY 10 %'!T208)</f>
        <v/>
      </c>
      <c r="M208">
        <f>IF('COPY 10 %'!$A208="","",'COPY 10 %'!G208)</f>
        <v/>
      </c>
    </row>
    <row r="209">
      <c r="A209">
        <f>IF('COPY 10 %'!$A209="","",ROWS($A$2:$A209))</f>
        <v/>
      </c>
      <c r="B209">
        <f>IF('COPY 10 %'!$A209="","",'COPY 10 %'!E209)</f>
        <v/>
      </c>
      <c r="C209">
        <f>IF('COPY 10 %'!$A209="","",'COPY 10 %'!F209)</f>
        <v/>
      </c>
      <c r="D209" s="14">
        <f>IF('COPY 10 %'!$A209="","",'COPY 10 %'!I209)</f>
        <v/>
      </c>
      <c r="E209" s="7">
        <f>IF('COPY 10 %'!$A209="","",'COPY 10 %'!O209)</f>
        <v/>
      </c>
      <c r="F209" s="7">
        <f>IF('COPY 10 %'!$A209="","",'COPY 10 %'!L209)</f>
        <v/>
      </c>
      <c r="G209" s="7">
        <f>IF('COPY 10 %'!$A209="","",'COPY 10 %'!S209)</f>
        <v/>
      </c>
      <c r="H209">
        <f>IF('COPY 10 %'!$A209="","",'COPY 10 %'!P209)</f>
        <v/>
      </c>
      <c r="I209">
        <f>IF('COPY 10 %'!$A209="","",'COPY 10 %'!M209)</f>
        <v/>
      </c>
      <c r="J209" s="7">
        <f>IF('COPY 10 %'!$A209="","",'COPY 10 %'!Q209)</f>
        <v/>
      </c>
      <c r="K209" s="7">
        <f>IF('COPY 10 %'!$A209="","",'COPY 10 %'!H209)</f>
        <v/>
      </c>
      <c r="L209" s="7">
        <f>IF('COPY 10 %'!$A209="","",'COPY 10 %'!T209)</f>
        <v/>
      </c>
      <c r="M209">
        <f>IF('COPY 10 %'!$A209="","",'COPY 10 %'!G209)</f>
        <v/>
      </c>
    </row>
    <row r="210">
      <c r="A210">
        <f>IF('COPY 10 %'!$A210="","",ROWS($A$2:$A210))</f>
        <v/>
      </c>
      <c r="B210">
        <f>IF('COPY 10 %'!$A210="","",'COPY 10 %'!E210)</f>
        <v/>
      </c>
      <c r="C210">
        <f>IF('COPY 10 %'!$A210="","",'COPY 10 %'!F210)</f>
        <v/>
      </c>
      <c r="D210" s="14">
        <f>IF('COPY 10 %'!$A210="","",'COPY 10 %'!I210)</f>
        <v/>
      </c>
      <c r="E210" s="7">
        <f>IF('COPY 10 %'!$A210="","",'COPY 10 %'!O210)</f>
        <v/>
      </c>
      <c r="F210" s="7">
        <f>IF('COPY 10 %'!$A210="","",'COPY 10 %'!L210)</f>
        <v/>
      </c>
      <c r="G210" s="7">
        <f>IF('COPY 10 %'!$A210="","",'COPY 10 %'!S210)</f>
        <v/>
      </c>
      <c r="H210">
        <f>IF('COPY 10 %'!$A210="","",'COPY 10 %'!P210)</f>
        <v/>
      </c>
      <c r="I210">
        <f>IF('COPY 10 %'!$A210="","",'COPY 10 %'!M210)</f>
        <v/>
      </c>
      <c r="J210" s="7">
        <f>IF('COPY 10 %'!$A210="","",'COPY 10 %'!Q210)</f>
        <v/>
      </c>
      <c r="K210" s="7">
        <f>IF('COPY 10 %'!$A210="","",'COPY 10 %'!H210)</f>
        <v/>
      </c>
      <c r="L210" s="7">
        <f>IF('COPY 10 %'!$A210="","",'COPY 10 %'!T210)</f>
        <v/>
      </c>
      <c r="M210">
        <f>IF('COPY 10 %'!$A210="","",'COPY 10 %'!G210)</f>
        <v/>
      </c>
    </row>
    <row r="211">
      <c r="A211">
        <f>IF('COPY 10 %'!$A211="","",ROWS($A$2:$A211))</f>
        <v/>
      </c>
      <c r="B211">
        <f>IF('COPY 10 %'!$A211="","",'COPY 10 %'!E211)</f>
        <v/>
      </c>
      <c r="C211">
        <f>IF('COPY 10 %'!$A211="","",'COPY 10 %'!F211)</f>
        <v/>
      </c>
      <c r="D211" s="14">
        <f>IF('COPY 10 %'!$A211="","",'COPY 10 %'!I211)</f>
        <v/>
      </c>
      <c r="E211" s="7">
        <f>IF('COPY 10 %'!$A211="","",'COPY 10 %'!O211)</f>
        <v/>
      </c>
      <c r="F211" s="7">
        <f>IF('COPY 10 %'!$A211="","",'COPY 10 %'!L211)</f>
        <v/>
      </c>
      <c r="G211" s="7">
        <f>IF('COPY 10 %'!$A211="","",'COPY 10 %'!S211)</f>
        <v/>
      </c>
      <c r="H211">
        <f>IF('COPY 10 %'!$A211="","",'COPY 10 %'!P211)</f>
        <v/>
      </c>
      <c r="I211">
        <f>IF('COPY 10 %'!$A211="","",'COPY 10 %'!M211)</f>
        <v/>
      </c>
      <c r="J211" s="7">
        <f>IF('COPY 10 %'!$A211="","",'COPY 10 %'!Q211)</f>
        <v/>
      </c>
      <c r="K211" s="7">
        <f>IF('COPY 10 %'!$A211="","",'COPY 10 %'!H211)</f>
        <v/>
      </c>
      <c r="L211" s="7">
        <f>IF('COPY 10 %'!$A211="","",'COPY 10 %'!T211)</f>
        <v/>
      </c>
      <c r="M211">
        <f>IF('COPY 10 %'!$A211="","",'COPY 10 %'!G211)</f>
        <v/>
      </c>
    </row>
    <row r="212">
      <c r="A212">
        <f>IF('COPY 10 %'!$A212="","",ROWS($A$2:$A212))</f>
        <v/>
      </c>
      <c r="B212">
        <f>IF('COPY 10 %'!$A212="","",'COPY 10 %'!E212)</f>
        <v/>
      </c>
      <c r="C212">
        <f>IF('COPY 10 %'!$A212="","",'COPY 10 %'!F212)</f>
        <v/>
      </c>
      <c r="D212" s="14">
        <f>IF('COPY 10 %'!$A212="","",'COPY 10 %'!I212)</f>
        <v/>
      </c>
      <c r="E212" s="7">
        <f>IF('COPY 10 %'!$A212="","",'COPY 10 %'!O212)</f>
        <v/>
      </c>
      <c r="F212" s="7">
        <f>IF('COPY 10 %'!$A212="","",'COPY 10 %'!L212)</f>
        <v/>
      </c>
      <c r="G212" s="7">
        <f>IF('COPY 10 %'!$A212="","",'COPY 10 %'!S212)</f>
        <v/>
      </c>
      <c r="H212">
        <f>IF('COPY 10 %'!$A212="","",'COPY 10 %'!P212)</f>
        <v/>
      </c>
      <c r="I212">
        <f>IF('COPY 10 %'!$A212="","",'COPY 10 %'!M212)</f>
        <v/>
      </c>
      <c r="J212" s="7">
        <f>IF('COPY 10 %'!$A212="","",'COPY 10 %'!Q212)</f>
        <v/>
      </c>
      <c r="K212" s="7">
        <f>IF('COPY 10 %'!$A212="","",'COPY 10 %'!H212)</f>
        <v/>
      </c>
      <c r="L212" s="7">
        <f>IF('COPY 10 %'!$A212="","",'COPY 10 %'!T212)</f>
        <v/>
      </c>
      <c r="M212">
        <f>IF('COPY 10 %'!$A212="","",'COPY 10 %'!G212)</f>
        <v/>
      </c>
    </row>
    <row r="213">
      <c r="A213">
        <f>IF('COPY 10 %'!$A213="","",ROWS($A$2:$A213))</f>
        <v/>
      </c>
      <c r="B213">
        <f>IF('COPY 10 %'!$A213="","",'COPY 10 %'!E213)</f>
        <v/>
      </c>
      <c r="C213">
        <f>IF('COPY 10 %'!$A213="","",'COPY 10 %'!F213)</f>
        <v/>
      </c>
      <c r="D213" s="14">
        <f>IF('COPY 10 %'!$A213="","",'COPY 10 %'!I213)</f>
        <v/>
      </c>
      <c r="E213" s="7">
        <f>IF('COPY 10 %'!$A213="","",'COPY 10 %'!O213)</f>
        <v/>
      </c>
      <c r="F213" s="7">
        <f>IF('COPY 10 %'!$A213="","",'COPY 10 %'!L213)</f>
        <v/>
      </c>
      <c r="G213" s="7">
        <f>IF('COPY 10 %'!$A213="","",'COPY 10 %'!S213)</f>
        <v/>
      </c>
      <c r="H213">
        <f>IF('COPY 10 %'!$A213="","",'COPY 10 %'!P213)</f>
        <v/>
      </c>
      <c r="I213">
        <f>IF('COPY 10 %'!$A213="","",'COPY 10 %'!M213)</f>
        <v/>
      </c>
      <c r="J213" s="7">
        <f>IF('COPY 10 %'!$A213="","",'COPY 10 %'!Q213)</f>
        <v/>
      </c>
      <c r="K213" s="7">
        <f>IF('COPY 10 %'!$A213="","",'COPY 10 %'!H213)</f>
        <v/>
      </c>
      <c r="L213" s="7">
        <f>IF('COPY 10 %'!$A213="","",'COPY 10 %'!T213)</f>
        <v/>
      </c>
      <c r="M213">
        <f>IF('COPY 10 %'!$A213="","",'COPY 10 %'!G213)</f>
        <v/>
      </c>
    </row>
    <row r="214">
      <c r="A214">
        <f>IF('COPY 10 %'!$A214="","",ROWS($A$2:$A214))</f>
        <v/>
      </c>
      <c r="B214">
        <f>IF('COPY 10 %'!$A214="","",'COPY 10 %'!E214)</f>
        <v/>
      </c>
      <c r="C214">
        <f>IF('COPY 10 %'!$A214="","",'COPY 10 %'!F214)</f>
        <v/>
      </c>
      <c r="D214" s="14">
        <f>IF('COPY 10 %'!$A214="","",'COPY 10 %'!I214)</f>
        <v/>
      </c>
      <c r="E214" s="7">
        <f>IF('COPY 10 %'!$A214="","",'COPY 10 %'!O214)</f>
        <v/>
      </c>
      <c r="F214" s="7">
        <f>IF('COPY 10 %'!$A214="","",'COPY 10 %'!L214)</f>
        <v/>
      </c>
      <c r="G214" s="7">
        <f>IF('COPY 10 %'!$A214="","",'COPY 10 %'!S214)</f>
        <v/>
      </c>
      <c r="H214">
        <f>IF('COPY 10 %'!$A214="","",'COPY 10 %'!P214)</f>
        <v/>
      </c>
      <c r="I214">
        <f>IF('COPY 10 %'!$A214="","",'COPY 10 %'!M214)</f>
        <v/>
      </c>
      <c r="J214" s="7">
        <f>IF('COPY 10 %'!$A214="","",'COPY 10 %'!Q214)</f>
        <v/>
      </c>
      <c r="K214" s="7">
        <f>IF('COPY 10 %'!$A214="","",'COPY 10 %'!H214)</f>
        <v/>
      </c>
      <c r="L214" s="7">
        <f>IF('COPY 10 %'!$A214="","",'COPY 10 %'!T214)</f>
        <v/>
      </c>
      <c r="M214">
        <f>IF('COPY 10 %'!$A214="","",'COPY 10 %'!G214)</f>
        <v/>
      </c>
    </row>
    <row r="215">
      <c r="A215">
        <f>IF('COPY 10 %'!$A215="","",ROWS($A$2:$A215))</f>
        <v/>
      </c>
      <c r="B215">
        <f>IF('COPY 10 %'!$A215="","",'COPY 10 %'!E215)</f>
        <v/>
      </c>
      <c r="C215">
        <f>IF('COPY 10 %'!$A215="","",'COPY 10 %'!F215)</f>
        <v/>
      </c>
      <c r="D215" s="14">
        <f>IF('COPY 10 %'!$A215="","",'COPY 10 %'!I215)</f>
        <v/>
      </c>
      <c r="E215" s="7">
        <f>IF('COPY 10 %'!$A215="","",'COPY 10 %'!O215)</f>
        <v/>
      </c>
      <c r="F215" s="7">
        <f>IF('COPY 10 %'!$A215="","",'COPY 10 %'!L215)</f>
        <v/>
      </c>
      <c r="G215" s="7">
        <f>IF('COPY 10 %'!$A215="","",'COPY 10 %'!S215)</f>
        <v/>
      </c>
      <c r="H215">
        <f>IF('COPY 10 %'!$A215="","",'COPY 10 %'!P215)</f>
        <v/>
      </c>
      <c r="I215">
        <f>IF('COPY 10 %'!$A215="","",'COPY 10 %'!M215)</f>
        <v/>
      </c>
      <c r="J215" s="7">
        <f>IF('COPY 10 %'!$A215="","",'COPY 10 %'!Q215)</f>
        <v/>
      </c>
      <c r="K215" s="7">
        <f>IF('COPY 10 %'!$A215="","",'COPY 10 %'!H215)</f>
        <v/>
      </c>
      <c r="L215" s="7">
        <f>IF('COPY 10 %'!$A215="","",'COPY 10 %'!T215)</f>
        <v/>
      </c>
      <c r="M215">
        <f>IF('COPY 10 %'!$A215="","",'COPY 10 %'!G215)</f>
        <v/>
      </c>
    </row>
    <row r="216">
      <c r="A216">
        <f>IF('COPY 10 %'!$A216="","",ROWS($A$2:$A216))</f>
        <v/>
      </c>
      <c r="B216">
        <f>IF('COPY 10 %'!$A216="","",'COPY 10 %'!E216)</f>
        <v/>
      </c>
      <c r="C216">
        <f>IF('COPY 10 %'!$A216="","",'COPY 10 %'!F216)</f>
        <v/>
      </c>
      <c r="D216" s="14">
        <f>IF('COPY 10 %'!$A216="","",'COPY 10 %'!I216)</f>
        <v/>
      </c>
      <c r="E216" s="7">
        <f>IF('COPY 10 %'!$A216="","",'COPY 10 %'!O216)</f>
        <v/>
      </c>
      <c r="F216" s="7">
        <f>IF('COPY 10 %'!$A216="","",'COPY 10 %'!L216)</f>
        <v/>
      </c>
      <c r="G216" s="7">
        <f>IF('COPY 10 %'!$A216="","",'COPY 10 %'!S216)</f>
        <v/>
      </c>
      <c r="H216">
        <f>IF('COPY 10 %'!$A216="","",'COPY 10 %'!P216)</f>
        <v/>
      </c>
      <c r="I216">
        <f>IF('COPY 10 %'!$A216="","",'COPY 10 %'!M216)</f>
        <v/>
      </c>
      <c r="J216" s="7">
        <f>IF('COPY 10 %'!$A216="","",'COPY 10 %'!Q216)</f>
        <v/>
      </c>
      <c r="K216" s="7">
        <f>IF('COPY 10 %'!$A216="","",'COPY 10 %'!H216)</f>
        <v/>
      </c>
      <c r="L216" s="7">
        <f>IF('COPY 10 %'!$A216="","",'COPY 10 %'!T216)</f>
        <v/>
      </c>
      <c r="M216">
        <f>IF('COPY 10 %'!$A216="","",'COPY 10 %'!G216)</f>
        <v/>
      </c>
    </row>
    <row r="217">
      <c r="A217">
        <f>IF('COPY 10 %'!$A217="","",ROWS($A$2:$A217))</f>
        <v/>
      </c>
      <c r="B217">
        <f>IF('COPY 10 %'!$A217="","",'COPY 10 %'!E217)</f>
        <v/>
      </c>
      <c r="C217">
        <f>IF('COPY 10 %'!$A217="","",'COPY 10 %'!F217)</f>
        <v/>
      </c>
      <c r="D217" s="14">
        <f>IF('COPY 10 %'!$A217="","",'COPY 10 %'!I217)</f>
        <v/>
      </c>
      <c r="E217" s="7">
        <f>IF('COPY 10 %'!$A217="","",'COPY 10 %'!O217)</f>
        <v/>
      </c>
      <c r="F217" s="7">
        <f>IF('COPY 10 %'!$A217="","",'COPY 10 %'!L217)</f>
        <v/>
      </c>
      <c r="G217" s="7">
        <f>IF('COPY 10 %'!$A217="","",'COPY 10 %'!S217)</f>
        <v/>
      </c>
      <c r="H217">
        <f>IF('COPY 10 %'!$A217="","",'COPY 10 %'!P217)</f>
        <v/>
      </c>
      <c r="I217">
        <f>IF('COPY 10 %'!$A217="","",'COPY 10 %'!M217)</f>
        <v/>
      </c>
      <c r="J217" s="7">
        <f>IF('COPY 10 %'!$A217="","",'COPY 10 %'!Q217)</f>
        <v/>
      </c>
      <c r="K217" s="7">
        <f>IF('COPY 10 %'!$A217="","",'COPY 10 %'!H217)</f>
        <v/>
      </c>
      <c r="L217" s="7">
        <f>IF('COPY 10 %'!$A217="","",'COPY 10 %'!T217)</f>
        <v/>
      </c>
      <c r="M217">
        <f>IF('COPY 10 %'!$A217="","",'COPY 10 %'!G217)</f>
        <v/>
      </c>
    </row>
    <row r="218">
      <c r="A218">
        <f>IF('COPY 10 %'!$A218="","",ROWS($A$2:$A218))</f>
        <v/>
      </c>
      <c r="B218">
        <f>IF('COPY 10 %'!$A218="","",'COPY 10 %'!E218)</f>
        <v/>
      </c>
      <c r="C218">
        <f>IF('COPY 10 %'!$A218="","",'COPY 10 %'!F218)</f>
        <v/>
      </c>
      <c r="D218" s="14">
        <f>IF('COPY 10 %'!$A218="","",'COPY 10 %'!I218)</f>
        <v/>
      </c>
      <c r="E218" s="7">
        <f>IF('COPY 10 %'!$A218="","",'COPY 10 %'!O218)</f>
        <v/>
      </c>
      <c r="F218" s="7">
        <f>IF('COPY 10 %'!$A218="","",'COPY 10 %'!L218)</f>
        <v/>
      </c>
      <c r="G218" s="7">
        <f>IF('COPY 10 %'!$A218="","",'COPY 10 %'!S218)</f>
        <v/>
      </c>
      <c r="H218">
        <f>IF('COPY 10 %'!$A218="","",'COPY 10 %'!P218)</f>
        <v/>
      </c>
      <c r="I218">
        <f>IF('COPY 10 %'!$A218="","",'COPY 10 %'!M218)</f>
        <v/>
      </c>
      <c r="J218" s="7">
        <f>IF('COPY 10 %'!$A218="","",'COPY 10 %'!Q218)</f>
        <v/>
      </c>
      <c r="K218" s="7">
        <f>IF('COPY 10 %'!$A218="","",'COPY 10 %'!H218)</f>
        <v/>
      </c>
      <c r="L218" s="7">
        <f>IF('COPY 10 %'!$A218="","",'COPY 10 %'!T218)</f>
        <v/>
      </c>
      <c r="M218">
        <f>IF('COPY 10 %'!$A218="","",'COPY 10 %'!G218)</f>
        <v/>
      </c>
    </row>
    <row r="219">
      <c r="A219">
        <f>IF('COPY 10 %'!$A219="","",ROWS($A$2:$A219))</f>
        <v/>
      </c>
      <c r="B219">
        <f>IF('COPY 10 %'!$A219="","",'COPY 10 %'!E219)</f>
        <v/>
      </c>
      <c r="C219">
        <f>IF('COPY 10 %'!$A219="","",'COPY 10 %'!F219)</f>
        <v/>
      </c>
      <c r="D219" s="14">
        <f>IF('COPY 10 %'!$A219="","",'COPY 10 %'!I219)</f>
        <v/>
      </c>
      <c r="E219" s="7">
        <f>IF('COPY 10 %'!$A219="","",'COPY 10 %'!O219)</f>
        <v/>
      </c>
      <c r="F219" s="7">
        <f>IF('COPY 10 %'!$A219="","",'COPY 10 %'!L219)</f>
        <v/>
      </c>
      <c r="G219" s="7">
        <f>IF('COPY 10 %'!$A219="","",'COPY 10 %'!S219)</f>
        <v/>
      </c>
      <c r="H219">
        <f>IF('COPY 10 %'!$A219="","",'COPY 10 %'!P219)</f>
        <v/>
      </c>
      <c r="I219">
        <f>IF('COPY 10 %'!$A219="","",'COPY 10 %'!M219)</f>
        <v/>
      </c>
      <c r="J219" s="7">
        <f>IF('COPY 10 %'!$A219="","",'COPY 10 %'!Q219)</f>
        <v/>
      </c>
      <c r="K219" s="7">
        <f>IF('COPY 10 %'!$A219="","",'COPY 10 %'!H219)</f>
        <v/>
      </c>
      <c r="L219" s="7">
        <f>IF('COPY 10 %'!$A219="","",'COPY 10 %'!T219)</f>
        <v/>
      </c>
      <c r="M219">
        <f>IF('COPY 10 %'!$A219="","",'COPY 10 %'!G219)</f>
        <v/>
      </c>
    </row>
    <row r="220">
      <c r="A220">
        <f>IF('COPY 10 %'!$A220="","",ROWS($A$2:$A220))</f>
        <v/>
      </c>
      <c r="B220">
        <f>IF('COPY 10 %'!$A220="","",'COPY 10 %'!E220)</f>
        <v/>
      </c>
      <c r="C220">
        <f>IF('COPY 10 %'!$A220="","",'COPY 10 %'!F220)</f>
        <v/>
      </c>
      <c r="D220" s="14">
        <f>IF('COPY 10 %'!$A220="","",'COPY 10 %'!I220)</f>
        <v/>
      </c>
      <c r="E220" s="7">
        <f>IF('COPY 10 %'!$A220="","",'COPY 10 %'!O220)</f>
        <v/>
      </c>
      <c r="F220" s="7">
        <f>IF('COPY 10 %'!$A220="","",'COPY 10 %'!L220)</f>
        <v/>
      </c>
      <c r="G220" s="7">
        <f>IF('COPY 10 %'!$A220="","",'COPY 10 %'!S220)</f>
        <v/>
      </c>
      <c r="H220">
        <f>IF('COPY 10 %'!$A220="","",'COPY 10 %'!P220)</f>
        <v/>
      </c>
      <c r="I220">
        <f>IF('COPY 10 %'!$A220="","",'COPY 10 %'!M220)</f>
        <v/>
      </c>
      <c r="J220" s="7">
        <f>IF('COPY 10 %'!$A220="","",'COPY 10 %'!Q220)</f>
        <v/>
      </c>
      <c r="K220" s="7">
        <f>IF('COPY 10 %'!$A220="","",'COPY 10 %'!H220)</f>
        <v/>
      </c>
      <c r="L220" s="7">
        <f>IF('COPY 10 %'!$A220="","",'COPY 10 %'!T220)</f>
        <v/>
      </c>
      <c r="M220">
        <f>IF('COPY 10 %'!$A220="","",'COPY 10 %'!G220)</f>
        <v/>
      </c>
    </row>
    <row r="221">
      <c r="A221">
        <f>IF('COPY 10 %'!$A221="","",ROWS($A$2:$A221))</f>
        <v/>
      </c>
      <c r="B221">
        <f>IF('COPY 10 %'!$A221="","",'COPY 10 %'!E221)</f>
        <v/>
      </c>
      <c r="C221">
        <f>IF('COPY 10 %'!$A221="","",'COPY 10 %'!F221)</f>
        <v/>
      </c>
      <c r="D221" s="14">
        <f>IF('COPY 10 %'!$A221="","",'COPY 10 %'!I221)</f>
        <v/>
      </c>
      <c r="E221" s="7">
        <f>IF('COPY 10 %'!$A221="","",'COPY 10 %'!O221)</f>
        <v/>
      </c>
      <c r="F221" s="7">
        <f>IF('COPY 10 %'!$A221="","",'COPY 10 %'!L221)</f>
        <v/>
      </c>
      <c r="G221" s="7">
        <f>IF('COPY 10 %'!$A221="","",'COPY 10 %'!S221)</f>
        <v/>
      </c>
      <c r="H221">
        <f>IF('COPY 10 %'!$A221="","",'COPY 10 %'!P221)</f>
        <v/>
      </c>
      <c r="I221">
        <f>IF('COPY 10 %'!$A221="","",'COPY 10 %'!M221)</f>
        <v/>
      </c>
      <c r="J221" s="7">
        <f>IF('COPY 10 %'!$A221="","",'COPY 10 %'!Q221)</f>
        <v/>
      </c>
      <c r="K221" s="7">
        <f>IF('COPY 10 %'!$A221="","",'COPY 10 %'!H221)</f>
        <v/>
      </c>
      <c r="L221" s="7">
        <f>IF('COPY 10 %'!$A221="","",'COPY 10 %'!T221)</f>
        <v/>
      </c>
      <c r="M221">
        <f>IF('COPY 10 %'!$A221="","",'COPY 10 %'!G221)</f>
        <v/>
      </c>
    </row>
    <row r="222">
      <c r="A222">
        <f>IF('COPY 10 %'!$A222="","",ROWS($A$2:$A222))</f>
        <v/>
      </c>
      <c r="B222">
        <f>IF('COPY 10 %'!$A222="","",'COPY 10 %'!E222)</f>
        <v/>
      </c>
      <c r="C222">
        <f>IF('COPY 10 %'!$A222="","",'COPY 10 %'!F222)</f>
        <v/>
      </c>
      <c r="D222" s="14">
        <f>IF('COPY 10 %'!$A222="","",'COPY 10 %'!I222)</f>
        <v/>
      </c>
      <c r="E222" s="7">
        <f>IF('COPY 10 %'!$A222="","",'COPY 10 %'!O222)</f>
        <v/>
      </c>
      <c r="F222" s="7">
        <f>IF('COPY 10 %'!$A222="","",'COPY 10 %'!L222)</f>
        <v/>
      </c>
      <c r="G222" s="7">
        <f>IF('COPY 10 %'!$A222="","",'COPY 10 %'!S222)</f>
        <v/>
      </c>
      <c r="H222">
        <f>IF('COPY 10 %'!$A222="","",'COPY 10 %'!P222)</f>
        <v/>
      </c>
      <c r="I222">
        <f>IF('COPY 10 %'!$A222="","",'COPY 10 %'!M222)</f>
        <v/>
      </c>
      <c r="J222" s="7">
        <f>IF('COPY 10 %'!$A222="","",'COPY 10 %'!Q222)</f>
        <v/>
      </c>
      <c r="K222" s="7">
        <f>IF('COPY 10 %'!$A222="","",'COPY 10 %'!H222)</f>
        <v/>
      </c>
      <c r="L222" s="7">
        <f>IF('COPY 10 %'!$A222="","",'COPY 10 %'!T222)</f>
        <v/>
      </c>
      <c r="M222">
        <f>IF('COPY 10 %'!$A222="","",'COPY 10 %'!G222)</f>
        <v/>
      </c>
    </row>
    <row r="223">
      <c r="A223">
        <f>IF('COPY 10 %'!$A223="","",ROWS($A$2:$A223))</f>
        <v/>
      </c>
      <c r="B223">
        <f>IF('COPY 10 %'!$A223="","",'COPY 10 %'!E223)</f>
        <v/>
      </c>
      <c r="C223">
        <f>IF('COPY 10 %'!$A223="","",'COPY 10 %'!F223)</f>
        <v/>
      </c>
      <c r="D223" s="14">
        <f>IF('COPY 10 %'!$A223="","",'COPY 10 %'!I223)</f>
        <v/>
      </c>
      <c r="E223" s="7">
        <f>IF('COPY 10 %'!$A223="","",'COPY 10 %'!O223)</f>
        <v/>
      </c>
      <c r="F223" s="7">
        <f>IF('COPY 10 %'!$A223="","",'COPY 10 %'!L223)</f>
        <v/>
      </c>
      <c r="G223" s="7">
        <f>IF('COPY 10 %'!$A223="","",'COPY 10 %'!S223)</f>
        <v/>
      </c>
      <c r="H223">
        <f>IF('COPY 10 %'!$A223="","",'COPY 10 %'!P223)</f>
        <v/>
      </c>
      <c r="I223">
        <f>IF('COPY 10 %'!$A223="","",'COPY 10 %'!M223)</f>
        <v/>
      </c>
      <c r="J223" s="7">
        <f>IF('COPY 10 %'!$A223="","",'COPY 10 %'!Q223)</f>
        <v/>
      </c>
      <c r="K223" s="7">
        <f>IF('COPY 10 %'!$A223="","",'COPY 10 %'!H223)</f>
        <v/>
      </c>
      <c r="L223" s="7">
        <f>IF('COPY 10 %'!$A223="","",'COPY 10 %'!T223)</f>
        <v/>
      </c>
      <c r="M223">
        <f>IF('COPY 10 %'!$A223="","",'COPY 10 %'!G223)</f>
        <v/>
      </c>
    </row>
    <row r="224">
      <c r="A224">
        <f>IF('COPY 10 %'!$A224="","",ROWS($A$2:$A224))</f>
        <v/>
      </c>
      <c r="B224">
        <f>IF('COPY 10 %'!$A224="","",'COPY 10 %'!E224)</f>
        <v/>
      </c>
      <c r="C224">
        <f>IF('COPY 10 %'!$A224="","",'COPY 10 %'!F224)</f>
        <v/>
      </c>
      <c r="D224" s="14">
        <f>IF('COPY 10 %'!$A224="","",'COPY 10 %'!I224)</f>
        <v/>
      </c>
      <c r="E224" s="7">
        <f>IF('COPY 10 %'!$A224="","",'COPY 10 %'!O224)</f>
        <v/>
      </c>
      <c r="F224" s="7">
        <f>IF('COPY 10 %'!$A224="","",'COPY 10 %'!L224)</f>
        <v/>
      </c>
      <c r="G224" s="7">
        <f>IF('COPY 10 %'!$A224="","",'COPY 10 %'!S224)</f>
        <v/>
      </c>
      <c r="H224">
        <f>IF('COPY 10 %'!$A224="","",'COPY 10 %'!P224)</f>
        <v/>
      </c>
      <c r="I224">
        <f>IF('COPY 10 %'!$A224="","",'COPY 10 %'!M224)</f>
        <v/>
      </c>
      <c r="J224" s="7">
        <f>IF('COPY 10 %'!$A224="","",'COPY 10 %'!Q224)</f>
        <v/>
      </c>
      <c r="K224" s="7">
        <f>IF('COPY 10 %'!$A224="","",'COPY 10 %'!H224)</f>
        <v/>
      </c>
      <c r="L224" s="7">
        <f>IF('COPY 10 %'!$A224="","",'COPY 10 %'!T224)</f>
        <v/>
      </c>
      <c r="M224">
        <f>IF('COPY 10 %'!$A224="","",'COPY 10 %'!G224)</f>
        <v/>
      </c>
    </row>
    <row r="225">
      <c r="A225">
        <f>IF('COPY 10 %'!$A225="","",ROWS($A$2:$A225))</f>
        <v/>
      </c>
      <c r="B225">
        <f>IF('COPY 10 %'!$A225="","",'COPY 10 %'!E225)</f>
        <v/>
      </c>
      <c r="C225">
        <f>IF('COPY 10 %'!$A225="","",'COPY 10 %'!F225)</f>
        <v/>
      </c>
      <c r="D225" s="14">
        <f>IF('COPY 10 %'!$A225="","",'COPY 10 %'!I225)</f>
        <v/>
      </c>
      <c r="E225" s="7">
        <f>IF('COPY 10 %'!$A225="","",'COPY 10 %'!O225)</f>
        <v/>
      </c>
      <c r="F225" s="7">
        <f>IF('COPY 10 %'!$A225="","",'COPY 10 %'!L225)</f>
        <v/>
      </c>
      <c r="G225" s="7">
        <f>IF('COPY 10 %'!$A225="","",'COPY 10 %'!S225)</f>
        <v/>
      </c>
      <c r="H225">
        <f>IF('COPY 10 %'!$A225="","",'COPY 10 %'!P225)</f>
        <v/>
      </c>
      <c r="I225">
        <f>IF('COPY 10 %'!$A225="","",'COPY 10 %'!M225)</f>
        <v/>
      </c>
      <c r="J225" s="7">
        <f>IF('COPY 10 %'!$A225="","",'COPY 10 %'!Q225)</f>
        <v/>
      </c>
      <c r="K225" s="7">
        <f>IF('COPY 10 %'!$A225="","",'COPY 10 %'!H225)</f>
        <v/>
      </c>
      <c r="L225" s="7">
        <f>IF('COPY 10 %'!$A225="","",'COPY 10 %'!T225)</f>
        <v/>
      </c>
      <c r="M225">
        <f>IF('COPY 10 %'!$A225="","",'COPY 10 %'!G225)</f>
        <v/>
      </c>
    </row>
    <row r="226">
      <c r="A226">
        <f>IF('COPY 10 %'!$A226="","",ROWS($A$2:$A226))</f>
        <v/>
      </c>
      <c r="B226">
        <f>IF('COPY 10 %'!$A226="","",'COPY 10 %'!E226)</f>
        <v/>
      </c>
      <c r="C226">
        <f>IF('COPY 10 %'!$A226="","",'COPY 10 %'!F226)</f>
        <v/>
      </c>
      <c r="D226" s="14">
        <f>IF('COPY 10 %'!$A226="","",'COPY 10 %'!I226)</f>
        <v/>
      </c>
      <c r="E226" s="7">
        <f>IF('COPY 10 %'!$A226="","",'COPY 10 %'!O226)</f>
        <v/>
      </c>
      <c r="F226" s="7">
        <f>IF('COPY 10 %'!$A226="","",'COPY 10 %'!L226)</f>
        <v/>
      </c>
      <c r="G226" s="7">
        <f>IF('COPY 10 %'!$A226="","",'COPY 10 %'!S226)</f>
        <v/>
      </c>
      <c r="H226">
        <f>IF('COPY 10 %'!$A226="","",'COPY 10 %'!P226)</f>
        <v/>
      </c>
      <c r="I226">
        <f>IF('COPY 10 %'!$A226="","",'COPY 10 %'!M226)</f>
        <v/>
      </c>
      <c r="J226" s="7">
        <f>IF('COPY 10 %'!$A226="","",'COPY 10 %'!Q226)</f>
        <v/>
      </c>
      <c r="K226" s="7">
        <f>IF('COPY 10 %'!$A226="","",'COPY 10 %'!H226)</f>
        <v/>
      </c>
      <c r="L226" s="7">
        <f>IF('COPY 10 %'!$A226="","",'COPY 10 %'!T226)</f>
        <v/>
      </c>
      <c r="M226">
        <f>IF('COPY 10 %'!$A226="","",'COPY 10 %'!G226)</f>
        <v/>
      </c>
    </row>
    <row r="227">
      <c r="A227">
        <f>IF('COPY 10 %'!$A227="","",ROWS($A$2:$A227))</f>
        <v/>
      </c>
      <c r="B227">
        <f>IF('COPY 10 %'!$A227="","",'COPY 10 %'!E227)</f>
        <v/>
      </c>
      <c r="C227">
        <f>IF('COPY 10 %'!$A227="","",'COPY 10 %'!F227)</f>
        <v/>
      </c>
      <c r="D227" s="14">
        <f>IF('COPY 10 %'!$A227="","",'COPY 10 %'!I227)</f>
        <v/>
      </c>
      <c r="E227" s="7">
        <f>IF('COPY 10 %'!$A227="","",'COPY 10 %'!O227)</f>
        <v/>
      </c>
      <c r="F227" s="7">
        <f>IF('COPY 10 %'!$A227="","",'COPY 10 %'!L227)</f>
        <v/>
      </c>
      <c r="G227" s="7">
        <f>IF('COPY 10 %'!$A227="","",'COPY 10 %'!S227)</f>
        <v/>
      </c>
      <c r="H227">
        <f>IF('COPY 10 %'!$A227="","",'COPY 10 %'!P227)</f>
        <v/>
      </c>
      <c r="I227">
        <f>IF('COPY 10 %'!$A227="","",'COPY 10 %'!M227)</f>
        <v/>
      </c>
      <c r="J227" s="7">
        <f>IF('COPY 10 %'!$A227="","",'COPY 10 %'!Q227)</f>
        <v/>
      </c>
      <c r="K227" s="7">
        <f>IF('COPY 10 %'!$A227="","",'COPY 10 %'!H227)</f>
        <v/>
      </c>
      <c r="L227" s="7">
        <f>IF('COPY 10 %'!$A227="","",'COPY 10 %'!T227)</f>
        <v/>
      </c>
      <c r="M227">
        <f>IF('COPY 10 %'!$A227="","",'COPY 10 %'!G227)</f>
        <v/>
      </c>
    </row>
    <row r="228">
      <c r="A228">
        <f>IF('COPY 10 %'!$A228="","",ROWS($A$2:$A228))</f>
        <v/>
      </c>
      <c r="B228">
        <f>IF('COPY 10 %'!$A228="","",'COPY 10 %'!E228)</f>
        <v/>
      </c>
      <c r="C228">
        <f>IF('COPY 10 %'!$A228="","",'COPY 10 %'!F228)</f>
        <v/>
      </c>
      <c r="D228" s="14">
        <f>IF('COPY 10 %'!$A228="","",'COPY 10 %'!I228)</f>
        <v/>
      </c>
      <c r="E228" s="7">
        <f>IF('COPY 10 %'!$A228="","",'COPY 10 %'!O228)</f>
        <v/>
      </c>
      <c r="F228" s="7">
        <f>IF('COPY 10 %'!$A228="","",'COPY 10 %'!L228)</f>
        <v/>
      </c>
      <c r="G228" s="7">
        <f>IF('COPY 10 %'!$A228="","",'COPY 10 %'!S228)</f>
        <v/>
      </c>
      <c r="H228">
        <f>IF('COPY 10 %'!$A228="","",'COPY 10 %'!P228)</f>
        <v/>
      </c>
      <c r="I228">
        <f>IF('COPY 10 %'!$A228="","",'COPY 10 %'!M228)</f>
        <v/>
      </c>
      <c r="J228" s="7">
        <f>IF('COPY 10 %'!$A228="","",'COPY 10 %'!Q228)</f>
        <v/>
      </c>
      <c r="K228" s="7">
        <f>IF('COPY 10 %'!$A228="","",'COPY 10 %'!H228)</f>
        <v/>
      </c>
      <c r="L228" s="7">
        <f>IF('COPY 10 %'!$A228="","",'COPY 10 %'!T228)</f>
        <v/>
      </c>
      <c r="M228">
        <f>IF('COPY 10 %'!$A228="","",'COPY 10 %'!G228)</f>
        <v/>
      </c>
    </row>
    <row r="229">
      <c r="A229">
        <f>IF('COPY 10 %'!$A229="","",ROWS($A$2:$A229))</f>
        <v/>
      </c>
      <c r="B229">
        <f>IF('COPY 10 %'!$A229="","",'COPY 10 %'!E229)</f>
        <v/>
      </c>
      <c r="C229">
        <f>IF('COPY 10 %'!$A229="","",'COPY 10 %'!F229)</f>
        <v/>
      </c>
      <c r="D229" s="14">
        <f>IF('COPY 10 %'!$A229="","",'COPY 10 %'!I229)</f>
        <v/>
      </c>
      <c r="E229" s="7">
        <f>IF('COPY 10 %'!$A229="","",'COPY 10 %'!O229)</f>
        <v/>
      </c>
      <c r="F229" s="7">
        <f>IF('COPY 10 %'!$A229="","",'COPY 10 %'!L229)</f>
        <v/>
      </c>
      <c r="G229" s="7">
        <f>IF('COPY 10 %'!$A229="","",'COPY 10 %'!S229)</f>
        <v/>
      </c>
      <c r="H229">
        <f>IF('COPY 10 %'!$A229="","",'COPY 10 %'!P229)</f>
        <v/>
      </c>
      <c r="I229">
        <f>IF('COPY 10 %'!$A229="","",'COPY 10 %'!M229)</f>
        <v/>
      </c>
      <c r="J229" s="7">
        <f>IF('COPY 10 %'!$A229="","",'COPY 10 %'!Q229)</f>
        <v/>
      </c>
      <c r="K229" s="7">
        <f>IF('COPY 10 %'!$A229="","",'COPY 10 %'!H229)</f>
        <v/>
      </c>
      <c r="L229" s="7">
        <f>IF('COPY 10 %'!$A229="","",'COPY 10 %'!T229)</f>
        <v/>
      </c>
      <c r="M229">
        <f>IF('COPY 10 %'!$A229="","",'COPY 10 %'!G229)</f>
        <v/>
      </c>
    </row>
    <row r="230">
      <c r="A230">
        <f>IF('COPY 10 %'!$A230="","",ROWS($A$2:$A230))</f>
        <v/>
      </c>
      <c r="B230">
        <f>IF('COPY 10 %'!$A230="","",'COPY 10 %'!E230)</f>
        <v/>
      </c>
      <c r="C230">
        <f>IF('COPY 10 %'!$A230="","",'COPY 10 %'!F230)</f>
        <v/>
      </c>
      <c r="D230" s="14">
        <f>IF('COPY 10 %'!$A230="","",'COPY 10 %'!I230)</f>
        <v/>
      </c>
      <c r="E230" s="7">
        <f>IF('COPY 10 %'!$A230="","",'COPY 10 %'!O230)</f>
        <v/>
      </c>
      <c r="F230" s="7">
        <f>IF('COPY 10 %'!$A230="","",'COPY 10 %'!L230)</f>
        <v/>
      </c>
      <c r="G230" s="7">
        <f>IF('COPY 10 %'!$A230="","",'COPY 10 %'!S230)</f>
        <v/>
      </c>
      <c r="H230">
        <f>IF('COPY 10 %'!$A230="","",'COPY 10 %'!P230)</f>
        <v/>
      </c>
      <c r="I230">
        <f>IF('COPY 10 %'!$A230="","",'COPY 10 %'!M230)</f>
        <v/>
      </c>
      <c r="J230" s="7">
        <f>IF('COPY 10 %'!$A230="","",'COPY 10 %'!Q230)</f>
        <v/>
      </c>
      <c r="K230" s="7">
        <f>IF('COPY 10 %'!$A230="","",'COPY 10 %'!H230)</f>
        <v/>
      </c>
      <c r="L230" s="7">
        <f>IF('COPY 10 %'!$A230="","",'COPY 10 %'!T230)</f>
        <v/>
      </c>
      <c r="M230">
        <f>IF('COPY 10 %'!$A230="","",'COPY 10 %'!G230)</f>
        <v/>
      </c>
    </row>
    <row r="231">
      <c r="A231">
        <f>IF('COPY 10 %'!$A231="","",ROWS($A$2:$A231))</f>
        <v/>
      </c>
      <c r="B231">
        <f>IF('COPY 10 %'!$A231="","",'COPY 10 %'!E231)</f>
        <v/>
      </c>
      <c r="C231">
        <f>IF('COPY 10 %'!$A231="","",'COPY 10 %'!F231)</f>
        <v/>
      </c>
      <c r="D231" s="14">
        <f>IF('COPY 10 %'!$A231="","",'COPY 10 %'!I231)</f>
        <v/>
      </c>
      <c r="E231" s="7">
        <f>IF('COPY 10 %'!$A231="","",'COPY 10 %'!O231)</f>
        <v/>
      </c>
      <c r="F231" s="7">
        <f>IF('COPY 10 %'!$A231="","",'COPY 10 %'!L231)</f>
        <v/>
      </c>
      <c r="G231" s="7">
        <f>IF('COPY 10 %'!$A231="","",'COPY 10 %'!S231)</f>
        <v/>
      </c>
      <c r="H231">
        <f>IF('COPY 10 %'!$A231="","",'COPY 10 %'!P231)</f>
        <v/>
      </c>
      <c r="I231">
        <f>IF('COPY 10 %'!$A231="","",'COPY 10 %'!M231)</f>
        <v/>
      </c>
      <c r="J231" s="7">
        <f>IF('COPY 10 %'!$A231="","",'COPY 10 %'!Q231)</f>
        <v/>
      </c>
      <c r="K231" s="7">
        <f>IF('COPY 10 %'!$A231="","",'COPY 10 %'!H231)</f>
        <v/>
      </c>
      <c r="L231" s="7">
        <f>IF('COPY 10 %'!$A231="","",'COPY 10 %'!T231)</f>
        <v/>
      </c>
      <c r="M231">
        <f>IF('COPY 10 %'!$A231="","",'COPY 10 %'!G231)</f>
        <v/>
      </c>
    </row>
    <row r="232">
      <c r="A232">
        <f>IF('COPY 10 %'!$A232="","",ROWS($A$2:$A232))</f>
        <v/>
      </c>
      <c r="B232">
        <f>IF('COPY 10 %'!$A232="","",'COPY 10 %'!E232)</f>
        <v/>
      </c>
      <c r="C232">
        <f>IF('COPY 10 %'!$A232="","",'COPY 10 %'!F232)</f>
        <v/>
      </c>
      <c r="D232" s="14">
        <f>IF('COPY 10 %'!$A232="","",'COPY 10 %'!I232)</f>
        <v/>
      </c>
      <c r="E232" s="7">
        <f>IF('COPY 10 %'!$A232="","",'COPY 10 %'!O232)</f>
        <v/>
      </c>
      <c r="F232" s="7">
        <f>IF('COPY 10 %'!$A232="","",'COPY 10 %'!L232)</f>
        <v/>
      </c>
      <c r="G232" s="7">
        <f>IF('COPY 10 %'!$A232="","",'COPY 10 %'!S232)</f>
        <v/>
      </c>
      <c r="H232">
        <f>IF('COPY 10 %'!$A232="","",'COPY 10 %'!P232)</f>
        <v/>
      </c>
      <c r="I232">
        <f>IF('COPY 10 %'!$A232="","",'COPY 10 %'!M232)</f>
        <v/>
      </c>
      <c r="J232" s="7">
        <f>IF('COPY 10 %'!$A232="","",'COPY 10 %'!Q232)</f>
        <v/>
      </c>
      <c r="K232" s="7">
        <f>IF('COPY 10 %'!$A232="","",'COPY 10 %'!H232)</f>
        <v/>
      </c>
      <c r="L232" s="7">
        <f>IF('COPY 10 %'!$A232="","",'COPY 10 %'!T232)</f>
        <v/>
      </c>
      <c r="M232">
        <f>IF('COPY 10 %'!$A232="","",'COPY 10 %'!G232)</f>
        <v/>
      </c>
    </row>
    <row r="233">
      <c r="A233">
        <f>IF('COPY 10 %'!$A233="","",ROWS($A$2:$A233))</f>
        <v/>
      </c>
      <c r="B233">
        <f>IF('COPY 10 %'!$A233="","",'COPY 10 %'!E233)</f>
        <v/>
      </c>
      <c r="C233">
        <f>IF('COPY 10 %'!$A233="","",'COPY 10 %'!F233)</f>
        <v/>
      </c>
      <c r="D233" s="14">
        <f>IF('COPY 10 %'!$A233="","",'COPY 10 %'!I233)</f>
        <v/>
      </c>
      <c r="E233" s="7">
        <f>IF('COPY 10 %'!$A233="","",'COPY 10 %'!O233)</f>
        <v/>
      </c>
      <c r="F233" s="7">
        <f>IF('COPY 10 %'!$A233="","",'COPY 10 %'!L233)</f>
        <v/>
      </c>
      <c r="G233" s="7">
        <f>IF('COPY 10 %'!$A233="","",'COPY 10 %'!S233)</f>
        <v/>
      </c>
      <c r="H233">
        <f>IF('COPY 10 %'!$A233="","",'COPY 10 %'!P233)</f>
        <v/>
      </c>
      <c r="I233">
        <f>IF('COPY 10 %'!$A233="","",'COPY 10 %'!M233)</f>
        <v/>
      </c>
      <c r="J233" s="7">
        <f>IF('COPY 10 %'!$A233="","",'COPY 10 %'!Q233)</f>
        <v/>
      </c>
      <c r="K233" s="7">
        <f>IF('COPY 10 %'!$A233="","",'COPY 10 %'!H233)</f>
        <v/>
      </c>
      <c r="L233" s="7">
        <f>IF('COPY 10 %'!$A233="","",'COPY 10 %'!T233)</f>
        <v/>
      </c>
      <c r="M233">
        <f>IF('COPY 10 %'!$A233="","",'COPY 10 %'!G233)</f>
        <v/>
      </c>
    </row>
    <row r="234">
      <c r="A234">
        <f>IF('COPY 10 %'!$A234="","",ROWS($A$2:$A234))</f>
        <v/>
      </c>
      <c r="B234">
        <f>IF('COPY 10 %'!$A234="","",'COPY 10 %'!E234)</f>
        <v/>
      </c>
      <c r="C234">
        <f>IF('COPY 10 %'!$A234="","",'COPY 10 %'!F234)</f>
        <v/>
      </c>
      <c r="D234" s="14">
        <f>IF('COPY 10 %'!$A234="","",'COPY 10 %'!I234)</f>
        <v/>
      </c>
      <c r="E234" s="7">
        <f>IF('COPY 10 %'!$A234="","",'COPY 10 %'!O234)</f>
        <v/>
      </c>
      <c r="F234" s="7">
        <f>IF('COPY 10 %'!$A234="","",'COPY 10 %'!L234)</f>
        <v/>
      </c>
      <c r="G234" s="7">
        <f>IF('COPY 10 %'!$A234="","",'COPY 10 %'!S234)</f>
        <v/>
      </c>
      <c r="H234">
        <f>IF('COPY 10 %'!$A234="","",'COPY 10 %'!P234)</f>
        <v/>
      </c>
      <c r="I234">
        <f>IF('COPY 10 %'!$A234="","",'COPY 10 %'!M234)</f>
        <v/>
      </c>
      <c r="J234" s="7">
        <f>IF('COPY 10 %'!$A234="","",'COPY 10 %'!Q234)</f>
        <v/>
      </c>
      <c r="K234" s="7">
        <f>IF('COPY 10 %'!$A234="","",'COPY 10 %'!H234)</f>
        <v/>
      </c>
      <c r="L234" s="7">
        <f>IF('COPY 10 %'!$A234="","",'COPY 10 %'!T234)</f>
        <v/>
      </c>
      <c r="M234">
        <f>IF('COPY 10 %'!$A234="","",'COPY 10 %'!G234)</f>
        <v/>
      </c>
    </row>
    <row r="235">
      <c r="A235">
        <f>IF('COPY 10 %'!$A235="","",ROWS($A$2:$A235))</f>
        <v/>
      </c>
      <c r="B235">
        <f>IF('COPY 10 %'!$A235="","",'COPY 10 %'!E235)</f>
        <v/>
      </c>
      <c r="C235">
        <f>IF('COPY 10 %'!$A235="","",'COPY 10 %'!F235)</f>
        <v/>
      </c>
      <c r="D235" s="14">
        <f>IF('COPY 10 %'!$A235="","",'COPY 10 %'!I235)</f>
        <v/>
      </c>
      <c r="E235" s="7">
        <f>IF('COPY 10 %'!$A235="","",'COPY 10 %'!O235)</f>
        <v/>
      </c>
      <c r="F235" s="7">
        <f>IF('COPY 10 %'!$A235="","",'COPY 10 %'!L235)</f>
        <v/>
      </c>
      <c r="G235" s="7">
        <f>IF('COPY 10 %'!$A235="","",'COPY 10 %'!S235)</f>
        <v/>
      </c>
      <c r="H235">
        <f>IF('COPY 10 %'!$A235="","",'COPY 10 %'!P235)</f>
        <v/>
      </c>
      <c r="I235">
        <f>IF('COPY 10 %'!$A235="","",'COPY 10 %'!M235)</f>
        <v/>
      </c>
      <c r="J235" s="7">
        <f>IF('COPY 10 %'!$A235="","",'COPY 10 %'!Q235)</f>
        <v/>
      </c>
      <c r="K235" s="7">
        <f>IF('COPY 10 %'!$A235="","",'COPY 10 %'!H235)</f>
        <v/>
      </c>
      <c r="L235" s="7">
        <f>IF('COPY 10 %'!$A235="","",'COPY 10 %'!T235)</f>
        <v/>
      </c>
      <c r="M235">
        <f>IF('COPY 10 %'!$A235="","",'COPY 10 %'!G235)</f>
        <v/>
      </c>
    </row>
    <row r="236">
      <c r="A236">
        <f>IF('COPY 10 %'!$A236="","",ROWS($A$2:$A236))</f>
        <v/>
      </c>
      <c r="B236">
        <f>IF('COPY 10 %'!$A236="","",'COPY 10 %'!E236)</f>
        <v/>
      </c>
      <c r="C236">
        <f>IF('COPY 10 %'!$A236="","",'COPY 10 %'!F236)</f>
        <v/>
      </c>
      <c r="D236" s="14">
        <f>IF('COPY 10 %'!$A236="","",'COPY 10 %'!I236)</f>
        <v/>
      </c>
      <c r="E236" s="7">
        <f>IF('COPY 10 %'!$A236="","",'COPY 10 %'!O236)</f>
        <v/>
      </c>
      <c r="F236" s="7">
        <f>IF('COPY 10 %'!$A236="","",'COPY 10 %'!L236)</f>
        <v/>
      </c>
      <c r="G236" s="7">
        <f>IF('COPY 10 %'!$A236="","",'COPY 10 %'!S236)</f>
        <v/>
      </c>
      <c r="H236">
        <f>IF('COPY 10 %'!$A236="","",'COPY 10 %'!P236)</f>
        <v/>
      </c>
      <c r="I236">
        <f>IF('COPY 10 %'!$A236="","",'COPY 10 %'!M236)</f>
        <v/>
      </c>
      <c r="J236" s="7">
        <f>IF('COPY 10 %'!$A236="","",'COPY 10 %'!Q236)</f>
        <v/>
      </c>
      <c r="K236" s="7">
        <f>IF('COPY 10 %'!$A236="","",'COPY 10 %'!H236)</f>
        <v/>
      </c>
      <c r="L236" s="7">
        <f>IF('COPY 10 %'!$A236="","",'COPY 10 %'!T236)</f>
        <v/>
      </c>
      <c r="M236">
        <f>IF('COPY 10 %'!$A236="","",'COPY 10 %'!G236)</f>
        <v/>
      </c>
    </row>
    <row r="237">
      <c r="A237">
        <f>IF('COPY 10 %'!$A237="","",ROWS($A$2:$A237))</f>
        <v/>
      </c>
      <c r="B237">
        <f>IF('COPY 10 %'!$A237="","",'COPY 10 %'!E237)</f>
        <v/>
      </c>
      <c r="C237">
        <f>IF('COPY 10 %'!$A237="","",'COPY 10 %'!F237)</f>
        <v/>
      </c>
      <c r="D237" s="14">
        <f>IF('COPY 10 %'!$A237="","",'COPY 10 %'!I237)</f>
        <v/>
      </c>
      <c r="E237" s="7">
        <f>IF('COPY 10 %'!$A237="","",'COPY 10 %'!O237)</f>
        <v/>
      </c>
      <c r="F237" s="7">
        <f>IF('COPY 10 %'!$A237="","",'COPY 10 %'!L237)</f>
        <v/>
      </c>
      <c r="G237" s="7">
        <f>IF('COPY 10 %'!$A237="","",'COPY 10 %'!S237)</f>
        <v/>
      </c>
      <c r="H237">
        <f>IF('COPY 10 %'!$A237="","",'COPY 10 %'!P237)</f>
        <v/>
      </c>
      <c r="I237">
        <f>IF('COPY 10 %'!$A237="","",'COPY 10 %'!M237)</f>
        <v/>
      </c>
      <c r="J237" s="7">
        <f>IF('COPY 10 %'!$A237="","",'COPY 10 %'!Q237)</f>
        <v/>
      </c>
      <c r="K237" s="7">
        <f>IF('COPY 10 %'!$A237="","",'COPY 10 %'!H237)</f>
        <v/>
      </c>
      <c r="L237" s="7">
        <f>IF('COPY 10 %'!$A237="","",'COPY 10 %'!T237)</f>
        <v/>
      </c>
      <c r="M237">
        <f>IF('COPY 10 %'!$A237="","",'COPY 10 %'!G237)</f>
        <v/>
      </c>
    </row>
    <row r="238">
      <c r="A238">
        <f>IF('COPY 10 %'!$A238="","",ROWS($A$2:$A238))</f>
        <v/>
      </c>
      <c r="B238">
        <f>IF('COPY 10 %'!$A238="","",'COPY 10 %'!E238)</f>
        <v/>
      </c>
      <c r="C238">
        <f>IF('COPY 10 %'!$A238="","",'COPY 10 %'!F238)</f>
        <v/>
      </c>
      <c r="D238" s="14">
        <f>IF('COPY 10 %'!$A238="","",'COPY 10 %'!I238)</f>
        <v/>
      </c>
      <c r="E238" s="7">
        <f>IF('COPY 10 %'!$A238="","",'COPY 10 %'!O238)</f>
        <v/>
      </c>
      <c r="F238" s="7">
        <f>IF('COPY 10 %'!$A238="","",'COPY 10 %'!L238)</f>
        <v/>
      </c>
      <c r="G238" s="7">
        <f>IF('COPY 10 %'!$A238="","",'COPY 10 %'!S238)</f>
        <v/>
      </c>
      <c r="H238">
        <f>IF('COPY 10 %'!$A238="","",'COPY 10 %'!P238)</f>
        <v/>
      </c>
      <c r="I238">
        <f>IF('COPY 10 %'!$A238="","",'COPY 10 %'!M238)</f>
        <v/>
      </c>
      <c r="J238" s="7">
        <f>IF('COPY 10 %'!$A238="","",'COPY 10 %'!Q238)</f>
        <v/>
      </c>
      <c r="K238" s="7">
        <f>IF('COPY 10 %'!$A238="","",'COPY 10 %'!H238)</f>
        <v/>
      </c>
      <c r="L238" s="7">
        <f>IF('COPY 10 %'!$A238="","",'COPY 10 %'!T238)</f>
        <v/>
      </c>
      <c r="M238">
        <f>IF('COPY 10 %'!$A238="","",'COPY 10 %'!G238)</f>
        <v/>
      </c>
    </row>
    <row r="239">
      <c r="A239">
        <f>IF('COPY 10 %'!$A239="","",ROWS($A$2:$A239))</f>
        <v/>
      </c>
      <c r="B239">
        <f>IF('COPY 10 %'!$A239="","",'COPY 10 %'!E239)</f>
        <v/>
      </c>
      <c r="C239">
        <f>IF('COPY 10 %'!$A239="","",'COPY 10 %'!F239)</f>
        <v/>
      </c>
      <c r="D239" s="14">
        <f>IF('COPY 10 %'!$A239="","",'COPY 10 %'!I239)</f>
        <v/>
      </c>
      <c r="E239" s="7">
        <f>IF('COPY 10 %'!$A239="","",'COPY 10 %'!O239)</f>
        <v/>
      </c>
      <c r="F239" s="7">
        <f>IF('COPY 10 %'!$A239="","",'COPY 10 %'!L239)</f>
        <v/>
      </c>
      <c r="G239" s="7">
        <f>IF('COPY 10 %'!$A239="","",'COPY 10 %'!S239)</f>
        <v/>
      </c>
      <c r="H239">
        <f>IF('COPY 10 %'!$A239="","",'COPY 10 %'!P239)</f>
        <v/>
      </c>
      <c r="I239">
        <f>IF('COPY 10 %'!$A239="","",'COPY 10 %'!M239)</f>
        <v/>
      </c>
      <c r="J239" s="7">
        <f>IF('COPY 10 %'!$A239="","",'COPY 10 %'!Q239)</f>
        <v/>
      </c>
      <c r="K239" s="7">
        <f>IF('COPY 10 %'!$A239="","",'COPY 10 %'!H239)</f>
        <v/>
      </c>
      <c r="L239" s="7">
        <f>IF('COPY 10 %'!$A239="","",'COPY 10 %'!T239)</f>
        <v/>
      </c>
      <c r="M239">
        <f>IF('COPY 10 %'!$A239="","",'COPY 10 %'!G239)</f>
        <v/>
      </c>
    </row>
    <row r="240">
      <c r="A240">
        <f>IF('COPY 10 %'!$A240="","",ROWS($A$2:$A240))</f>
        <v/>
      </c>
      <c r="B240">
        <f>IF('COPY 10 %'!$A240="","",'COPY 10 %'!E240)</f>
        <v/>
      </c>
      <c r="C240">
        <f>IF('COPY 10 %'!$A240="","",'COPY 10 %'!F240)</f>
        <v/>
      </c>
      <c r="D240" s="14">
        <f>IF('COPY 10 %'!$A240="","",'COPY 10 %'!I240)</f>
        <v/>
      </c>
      <c r="E240" s="7">
        <f>IF('COPY 10 %'!$A240="","",'COPY 10 %'!O240)</f>
        <v/>
      </c>
      <c r="F240" s="7">
        <f>IF('COPY 10 %'!$A240="","",'COPY 10 %'!L240)</f>
        <v/>
      </c>
      <c r="G240" s="7">
        <f>IF('COPY 10 %'!$A240="","",'COPY 10 %'!S240)</f>
        <v/>
      </c>
      <c r="H240">
        <f>IF('COPY 10 %'!$A240="","",'COPY 10 %'!P240)</f>
        <v/>
      </c>
      <c r="I240">
        <f>IF('COPY 10 %'!$A240="","",'COPY 10 %'!M240)</f>
        <v/>
      </c>
      <c r="J240" s="7">
        <f>IF('COPY 10 %'!$A240="","",'COPY 10 %'!Q240)</f>
        <v/>
      </c>
      <c r="K240" s="7">
        <f>IF('COPY 10 %'!$A240="","",'COPY 10 %'!H240)</f>
        <v/>
      </c>
      <c r="L240" s="7">
        <f>IF('COPY 10 %'!$A240="","",'COPY 10 %'!T240)</f>
        <v/>
      </c>
      <c r="M240">
        <f>IF('COPY 10 %'!$A240="","",'COPY 10 %'!G240)</f>
        <v/>
      </c>
    </row>
    <row r="241">
      <c r="A241">
        <f>IF('COPY 10 %'!$A241="","",ROWS($A$2:$A241))</f>
        <v/>
      </c>
      <c r="B241">
        <f>IF('COPY 10 %'!$A241="","",'COPY 10 %'!E241)</f>
        <v/>
      </c>
      <c r="C241">
        <f>IF('COPY 10 %'!$A241="","",'COPY 10 %'!F241)</f>
        <v/>
      </c>
      <c r="D241" s="14">
        <f>IF('COPY 10 %'!$A241="","",'COPY 10 %'!I241)</f>
        <v/>
      </c>
      <c r="E241" s="7">
        <f>IF('COPY 10 %'!$A241="","",'COPY 10 %'!O241)</f>
        <v/>
      </c>
      <c r="F241" s="7">
        <f>IF('COPY 10 %'!$A241="","",'COPY 10 %'!L241)</f>
        <v/>
      </c>
      <c r="G241" s="7">
        <f>IF('COPY 10 %'!$A241="","",'COPY 10 %'!S241)</f>
        <v/>
      </c>
      <c r="H241">
        <f>IF('COPY 10 %'!$A241="","",'COPY 10 %'!P241)</f>
        <v/>
      </c>
      <c r="I241">
        <f>IF('COPY 10 %'!$A241="","",'COPY 10 %'!M241)</f>
        <v/>
      </c>
      <c r="J241" s="7">
        <f>IF('COPY 10 %'!$A241="","",'COPY 10 %'!Q241)</f>
        <v/>
      </c>
      <c r="K241" s="7">
        <f>IF('COPY 10 %'!$A241="","",'COPY 10 %'!H241)</f>
        <v/>
      </c>
      <c r="L241" s="7">
        <f>IF('COPY 10 %'!$A241="","",'COPY 10 %'!T241)</f>
        <v/>
      </c>
      <c r="M241">
        <f>IF('COPY 10 %'!$A241="","",'COPY 10 %'!G241)</f>
        <v/>
      </c>
    </row>
    <row r="242">
      <c r="A242">
        <f>IF('COPY 10 %'!$A242="","",ROWS($A$2:$A242))</f>
        <v/>
      </c>
      <c r="B242">
        <f>IF('COPY 10 %'!$A242="","",'COPY 10 %'!E242)</f>
        <v/>
      </c>
      <c r="C242">
        <f>IF('COPY 10 %'!$A242="","",'COPY 10 %'!F242)</f>
        <v/>
      </c>
      <c r="D242" s="14">
        <f>IF('COPY 10 %'!$A242="","",'COPY 10 %'!I242)</f>
        <v/>
      </c>
      <c r="E242" s="7">
        <f>IF('COPY 10 %'!$A242="","",'COPY 10 %'!O242)</f>
        <v/>
      </c>
      <c r="F242" s="7">
        <f>IF('COPY 10 %'!$A242="","",'COPY 10 %'!L242)</f>
        <v/>
      </c>
      <c r="G242" s="7">
        <f>IF('COPY 10 %'!$A242="","",'COPY 10 %'!S242)</f>
        <v/>
      </c>
      <c r="H242">
        <f>IF('COPY 10 %'!$A242="","",'COPY 10 %'!P242)</f>
        <v/>
      </c>
      <c r="I242">
        <f>IF('COPY 10 %'!$A242="","",'COPY 10 %'!M242)</f>
        <v/>
      </c>
      <c r="J242" s="7">
        <f>IF('COPY 10 %'!$A242="","",'COPY 10 %'!Q242)</f>
        <v/>
      </c>
      <c r="K242" s="7">
        <f>IF('COPY 10 %'!$A242="","",'COPY 10 %'!H242)</f>
        <v/>
      </c>
      <c r="L242" s="7">
        <f>IF('COPY 10 %'!$A242="","",'COPY 10 %'!T242)</f>
        <v/>
      </c>
      <c r="M242">
        <f>IF('COPY 10 %'!$A242="","",'COPY 10 %'!G242)</f>
        <v/>
      </c>
    </row>
    <row r="243">
      <c r="A243">
        <f>IF('COPY 10 %'!$A243="","",ROWS($A$2:$A243))</f>
        <v/>
      </c>
      <c r="B243">
        <f>IF('COPY 10 %'!$A243="","",'COPY 10 %'!E243)</f>
        <v/>
      </c>
      <c r="C243">
        <f>IF('COPY 10 %'!$A243="","",'COPY 10 %'!F243)</f>
        <v/>
      </c>
      <c r="D243" s="14">
        <f>IF('COPY 10 %'!$A243="","",'COPY 10 %'!I243)</f>
        <v/>
      </c>
      <c r="E243" s="7">
        <f>IF('COPY 10 %'!$A243="","",'COPY 10 %'!O243)</f>
        <v/>
      </c>
      <c r="F243" s="7">
        <f>IF('COPY 10 %'!$A243="","",'COPY 10 %'!L243)</f>
        <v/>
      </c>
      <c r="G243" s="7">
        <f>IF('COPY 10 %'!$A243="","",'COPY 10 %'!S243)</f>
        <v/>
      </c>
      <c r="H243">
        <f>IF('COPY 10 %'!$A243="","",'COPY 10 %'!P243)</f>
        <v/>
      </c>
      <c r="I243">
        <f>IF('COPY 10 %'!$A243="","",'COPY 10 %'!M243)</f>
        <v/>
      </c>
      <c r="J243" s="7">
        <f>IF('COPY 10 %'!$A243="","",'COPY 10 %'!Q243)</f>
        <v/>
      </c>
      <c r="K243" s="7">
        <f>IF('COPY 10 %'!$A243="","",'COPY 10 %'!H243)</f>
        <v/>
      </c>
      <c r="L243" s="7">
        <f>IF('COPY 10 %'!$A243="","",'COPY 10 %'!T243)</f>
        <v/>
      </c>
      <c r="M243">
        <f>IF('COPY 10 %'!$A243="","",'COPY 10 %'!G243)</f>
        <v/>
      </c>
    </row>
    <row r="244">
      <c r="A244">
        <f>IF('COPY 10 %'!$A244="","",ROWS($A$2:$A244))</f>
        <v/>
      </c>
      <c r="B244">
        <f>IF('COPY 10 %'!$A244="","",'COPY 10 %'!E244)</f>
        <v/>
      </c>
      <c r="C244">
        <f>IF('COPY 10 %'!$A244="","",'COPY 10 %'!F244)</f>
        <v/>
      </c>
      <c r="D244" s="14">
        <f>IF('COPY 10 %'!$A244="","",'COPY 10 %'!I244)</f>
        <v/>
      </c>
      <c r="E244" s="7">
        <f>IF('COPY 10 %'!$A244="","",'COPY 10 %'!O244)</f>
        <v/>
      </c>
      <c r="F244" s="7">
        <f>IF('COPY 10 %'!$A244="","",'COPY 10 %'!L244)</f>
        <v/>
      </c>
      <c r="G244" s="7">
        <f>IF('COPY 10 %'!$A244="","",'COPY 10 %'!S244)</f>
        <v/>
      </c>
      <c r="H244">
        <f>IF('COPY 10 %'!$A244="","",'COPY 10 %'!P244)</f>
        <v/>
      </c>
      <c r="I244">
        <f>IF('COPY 10 %'!$A244="","",'COPY 10 %'!M244)</f>
        <v/>
      </c>
      <c r="J244" s="7">
        <f>IF('COPY 10 %'!$A244="","",'COPY 10 %'!Q244)</f>
        <v/>
      </c>
      <c r="K244" s="7">
        <f>IF('COPY 10 %'!$A244="","",'COPY 10 %'!H244)</f>
        <v/>
      </c>
      <c r="L244" s="7">
        <f>IF('COPY 10 %'!$A244="","",'COPY 10 %'!T244)</f>
        <v/>
      </c>
      <c r="M244">
        <f>IF('COPY 10 %'!$A244="","",'COPY 10 %'!G244)</f>
        <v/>
      </c>
    </row>
    <row r="245">
      <c r="A245">
        <f>IF('COPY 10 %'!$A245="","",ROWS($A$2:$A245))</f>
        <v/>
      </c>
      <c r="B245">
        <f>IF('COPY 10 %'!$A245="","",'COPY 10 %'!E245)</f>
        <v/>
      </c>
      <c r="C245">
        <f>IF('COPY 10 %'!$A245="","",'COPY 10 %'!F245)</f>
        <v/>
      </c>
      <c r="D245" s="14">
        <f>IF('COPY 10 %'!$A245="","",'COPY 10 %'!I245)</f>
        <v/>
      </c>
      <c r="E245" s="7">
        <f>IF('COPY 10 %'!$A245="","",'COPY 10 %'!O245)</f>
        <v/>
      </c>
      <c r="F245" s="7">
        <f>IF('COPY 10 %'!$A245="","",'COPY 10 %'!L245)</f>
        <v/>
      </c>
      <c r="G245" s="7">
        <f>IF('COPY 10 %'!$A245="","",'COPY 10 %'!S245)</f>
        <v/>
      </c>
      <c r="H245">
        <f>IF('COPY 10 %'!$A245="","",'COPY 10 %'!P245)</f>
        <v/>
      </c>
      <c r="I245">
        <f>IF('COPY 10 %'!$A245="","",'COPY 10 %'!M245)</f>
        <v/>
      </c>
      <c r="J245" s="7">
        <f>IF('COPY 10 %'!$A245="","",'COPY 10 %'!Q245)</f>
        <v/>
      </c>
      <c r="K245" s="7">
        <f>IF('COPY 10 %'!$A245="","",'COPY 10 %'!H245)</f>
        <v/>
      </c>
      <c r="L245" s="7">
        <f>IF('COPY 10 %'!$A245="","",'COPY 10 %'!T245)</f>
        <v/>
      </c>
      <c r="M245">
        <f>IF('COPY 10 %'!$A245="","",'COPY 10 %'!G245)</f>
        <v/>
      </c>
    </row>
    <row r="246">
      <c r="A246">
        <f>IF('COPY 10 %'!$A246="","",ROWS($A$2:$A246))</f>
        <v/>
      </c>
      <c r="B246">
        <f>IF('COPY 10 %'!$A246="","",'COPY 10 %'!E246)</f>
        <v/>
      </c>
      <c r="C246">
        <f>IF('COPY 10 %'!$A246="","",'COPY 10 %'!F246)</f>
        <v/>
      </c>
      <c r="D246" s="14">
        <f>IF('COPY 10 %'!$A246="","",'COPY 10 %'!I246)</f>
        <v/>
      </c>
      <c r="E246" s="7">
        <f>IF('COPY 10 %'!$A246="","",'COPY 10 %'!O246)</f>
        <v/>
      </c>
      <c r="F246" s="7">
        <f>IF('COPY 10 %'!$A246="","",'COPY 10 %'!L246)</f>
        <v/>
      </c>
      <c r="G246" s="7">
        <f>IF('COPY 10 %'!$A246="","",'COPY 10 %'!S246)</f>
        <v/>
      </c>
      <c r="H246">
        <f>IF('COPY 10 %'!$A246="","",'COPY 10 %'!P246)</f>
        <v/>
      </c>
      <c r="I246">
        <f>IF('COPY 10 %'!$A246="","",'COPY 10 %'!M246)</f>
        <v/>
      </c>
      <c r="J246" s="7">
        <f>IF('COPY 10 %'!$A246="","",'COPY 10 %'!Q246)</f>
        <v/>
      </c>
      <c r="K246" s="7">
        <f>IF('COPY 10 %'!$A246="","",'COPY 10 %'!H246)</f>
        <v/>
      </c>
      <c r="L246" s="7">
        <f>IF('COPY 10 %'!$A246="","",'COPY 10 %'!T246)</f>
        <v/>
      </c>
      <c r="M246">
        <f>IF('COPY 10 %'!$A246="","",'COPY 10 %'!G246)</f>
        <v/>
      </c>
    </row>
    <row r="247">
      <c r="A247">
        <f>IF('COPY 10 %'!$A247="","",ROWS($A$2:$A247))</f>
        <v/>
      </c>
      <c r="B247">
        <f>IF('COPY 10 %'!$A247="","",'COPY 10 %'!E247)</f>
        <v/>
      </c>
      <c r="C247">
        <f>IF('COPY 10 %'!$A247="","",'COPY 10 %'!F247)</f>
        <v/>
      </c>
      <c r="D247" s="14">
        <f>IF('COPY 10 %'!$A247="","",'COPY 10 %'!I247)</f>
        <v/>
      </c>
      <c r="E247" s="7">
        <f>IF('COPY 10 %'!$A247="","",'COPY 10 %'!O247)</f>
        <v/>
      </c>
      <c r="F247" s="7">
        <f>IF('COPY 10 %'!$A247="","",'COPY 10 %'!L247)</f>
        <v/>
      </c>
      <c r="G247" s="7">
        <f>IF('COPY 10 %'!$A247="","",'COPY 10 %'!S247)</f>
        <v/>
      </c>
      <c r="H247">
        <f>IF('COPY 10 %'!$A247="","",'COPY 10 %'!P247)</f>
        <v/>
      </c>
      <c r="I247">
        <f>IF('COPY 10 %'!$A247="","",'COPY 10 %'!M247)</f>
        <v/>
      </c>
      <c r="J247" s="7">
        <f>IF('COPY 10 %'!$A247="","",'COPY 10 %'!Q247)</f>
        <v/>
      </c>
      <c r="K247" s="7">
        <f>IF('COPY 10 %'!$A247="","",'COPY 10 %'!H247)</f>
        <v/>
      </c>
      <c r="L247" s="7">
        <f>IF('COPY 10 %'!$A247="","",'COPY 10 %'!T247)</f>
        <v/>
      </c>
      <c r="M247">
        <f>IF('COPY 10 %'!$A247="","",'COPY 10 %'!G247)</f>
        <v/>
      </c>
    </row>
    <row r="248">
      <c r="A248">
        <f>IF('COPY 10 %'!$A248="","",ROWS($A$2:$A248))</f>
        <v/>
      </c>
      <c r="B248">
        <f>IF('COPY 10 %'!$A248="","",'COPY 10 %'!E248)</f>
        <v/>
      </c>
      <c r="C248">
        <f>IF('COPY 10 %'!$A248="","",'COPY 10 %'!F248)</f>
        <v/>
      </c>
      <c r="D248" s="14">
        <f>IF('COPY 10 %'!$A248="","",'COPY 10 %'!I248)</f>
        <v/>
      </c>
      <c r="E248" s="7">
        <f>IF('COPY 10 %'!$A248="","",'COPY 10 %'!O248)</f>
        <v/>
      </c>
      <c r="F248" s="7">
        <f>IF('COPY 10 %'!$A248="","",'COPY 10 %'!L248)</f>
        <v/>
      </c>
      <c r="G248" s="7">
        <f>IF('COPY 10 %'!$A248="","",'COPY 10 %'!S248)</f>
        <v/>
      </c>
      <c r="H248">
        <f>IF('COPY 10 %'!$A248="","",'COPY 10 %'!P248)</f>
        <v/>
      </c>
      <c r="I248">
        <f>IF('COPY 10 %'!$A248="","",'COPY 10 %'!M248)</f>
        <v/>
      </c>
      <c r="J248" s="7">
        <f>IF('COPY 10 %'!$A248="","",'COPY 10 %'!Q248)</f>
        <v/>
      </c>
      <c r="K248" s="7">
        <f>IF('COPY 10 %'!$A248="","",'COPY 10 %'!H248)</f>
        <v/>
      </c>
      <c r="L248" s="7">
        <f>IF('COPY 10 %'!$A248="","",'COPY 10 %'!T248)</f>
        <v/>
      </c>
      <c r="M248">
        <f>IF('COPY 10 %'!$A248="","",'COPY 10 %'!G248)</f>
        <v/>
      </c>
    </row>
    <row r="249">
      <c r="A249">
        <f>IF('COPY 10 %'!$A249="","",ROWS($A$2:$A249))</f>
        <v/>
      </c>
      <c r="B249">
        <f>IF('COPY 10 %'!$A249="","",'COPY 10 %'!E249)</f>
        <v/>
      </c>
      <c r="C249">
        <f>IF('COPY 10 %'!$A249="","",'COPY 10 %'!F249)</f>
        <v/>
      </c>
      <c r="D249" s="14">
        <f>IF('COPY 10 %'!$A249="","",'COPY 10 %'!I249)</f>
        <v/>
      </c>
      <c r="E249" s="7">
        <f>IF('COPY 10 %'!$A249="","",'COPY 10 %'!O249)</f>
        <v/>
      </c>
      <c r="F249" s="7">
        <f>IF('COPY 10 %'!$A249="","",'COPY 10 %'!L249)</f>
        <v/>
      </c>
      <c r="G249" s="7">
        <f>IF('COPY 10 %'!$A249="","",'COPY 10 %'!S249)</f>
        <v/>
      </c>
      <c r="H249">
        <f>IF('COPY 10 %'!$A249="","",'COPY 10 %'!P249)</f>
        <v/>
      </c>
      <c r="I249">
        <f>IF('COPY 10 %'!$A249="","",'COPY 10 %'!M249)</f>
        <v/>
      </c>
      <c r="J249" s="7">
        <f>IF('COPY 10 %'!$A249="","",'COPY 10 %'!Q249)</f>
        <v/>
      </c>
      <c r="K249" s="7">
        <f>IF('COPY 10 %'!$A249="","",'COPY 10 %'!H249)</f>
        <v/>
      </c>
      <c r="L249" s="7">
        <f>IF('COPY 10 %'!$A249="","",'COPY 10 %'!T249)</f>
        <v/>
      </c>
      <c r="M249">
        <f>IF('COPY 10 %'!$A249="","",'COPY 10 %'!G249)</f>
        <v/>
      </c>
    </row>
    <row r="250">
      <c r="A250">
        <f>IF('COPY 10 %'!$A250="","",ROWS($A$2:$A250))</f>
        <v/>
      </c>
      <c r="B250">
        <f>IF('COPY 10 %'!$A250="","",'COPY 10 %'!E250)</f>
        <v/>
      </c>
      <c r="C250">
        <f>IF('COPY 10 %'!$A250="","",'COPY 10 %'!F250)</f>
        <v/>
      </c>
      <c r="D250" s="14">
        <f>IF('COPY 10 %'!$A250="","",'COPY 10 %'!I250)</f>
        <v/>
      </c>
      <c r="E250" s="7">
        <f>IF('COPY 10 %'!$A250="","",'COPY 10 %'!O250)</f>
        <v/>
      </c>
      <c r="F250" s="7">
        <f>IF('COPY 10 %'!$A250="","",'COPY 10 %'!L250)</f>
        <v/>
      </c>
      <c r="G250" s="7">
        <f>IF('COPY 10 %'!$A250="","",'COPY 10 %'!S250)</f>
        <v/>
      </c>
      <c r="H250">
        <f>IF('COPY 10 %'!$A250="","",'COPY 10 %'!P250)</f>
        <v/>
      </c>
      <c r="I250">
        <f>IF('COPY 10 %'!$A250="","",'COPY 10 %'!M250)</f>
        <v/>
      </c>
      <c r="J250" s="7">
        <f>IF('COPY 10 %'!$A250="","",'COPY 10 %'!Q250)</f>
        <v/>
      </c>
      <c r="K250" s="7">
        <f>IF('COPY 10 %'!$A250="","",'COPY 10 %'!H250)</f>
        <v/>
      </c>
      <c r="L250" s="7">
        <f>IF('COPY 10 %'!$A250="","",'COPY 10 %'!T250)</f>
        <v/>
      </c>
      <c r="M250">
        <f>IF('COPY 10 %'!$A250="","",'COPY 10 %'!G250)</f>
        <v/>
      </c>
    </row>
    <row r="251">
      <c r="A251">
        <f>IF('COPY 10 %'!$A251="","",ROWS($A$2:$A251))</f>
        <v/>
      </c>
      <c r="B251">
        <f>IF('COPY 10 %'!$A251="","",'COPY 10 %'!E251)</f>
        <v/>
      </c>
      <c r="C251">
        <f>IF('COPY 10 %'!$A251="","",'COPY 10 %'!F251)</f>
        <v/>
      </c>
      <c r="D251" s="14">
        <f>IF('COPY 10 %'!$A251="","",'COPY 10 %'!I251)</f>
        <v/>
      </c>
      <c r="E251" s="7">
        <f>IF('COPY 10 %'!$A251="","",'COPY 10 %'!O251)</f>
        <v/>
      </c>
      <c r="F251" s="7">
        <f>IF('COPY 10 %'!$A251="","",'COPY 10 %'!L251)</f>
        <v/>
      </c>
      <c r="G251" s="7">
        <f>IF('COPY 10 %'!$A251="","",'COPY 10 %'!S251)</f>
        <v/>
      </c>
      <c r="H251">
        <f>IF('COPY 10 %'!$A251="","",'COPY 10 %'!P251)</f>
        <v/>
      </c>
      <c r="I251">
        <f>IF('COPY 10 %'!$A251="","",'COPY 10 %'!M251)</f>
        <v/>
      </c>
      <c r="J251" s="7">
        <f>IF('COPY 10 %'!$A251="","",'COPY 10 %'!Q251)</f>
        <v/>
      </c>
      <c r="K251" s="7">
        <f>IF('COPY 10 %'!$A251="","",'COPY 10 %'!H251)</f>
        <v/>
      </c>
      <c r="L251" s="7">
        <f>IF('COPY 10 %'!$A251="","",'COPY 10 %'!T251)</f>
        <v/>
      </c>
      <c r="M251">
        <f>IF('COPY 10 %'!$A251="","",'COPY 10 %'!G251)</f>
        <v/>
      </c>
    </row>
    <row r="252">
      <c r="A252">
        <f>IF('COPY 10 %'!$A252="","",ROWS($A$2:$A252))</f>
        <v/>
      </c>
      <c r="B252">
        <f>IF('COPY 10 %'!$A252="","",'COPY 10 %'!E252)</f>
        <v/>
      </c>
      <c r="C252">
        <f>IF('COPY 10 %'!$A252="","",'COPY 10 %'!F252)</f>
        <v/>
      </c>
      <c r="D252" s="14">
        <f>IF('COPY 10 %'!$A252="","",'COPY 10 %'!I252)</f>
        <v/>
      </c>
      <c r="E252" s="7">
        <f>IF('COPY 10 %'!$A252="","",'COPY 10 %'!O252)</f>
        <v/>
      </c>
      <c r="F252" s="7">
        <f>IF('COPY 10 %'!$A252="","",'COPY 10 %'!L252)</f>
        <v/>
      </c>
      <c r="G252" s="7">
        <f>IF('COPY 10 %'!$A252="","",'COPY 10 %'!S252)</f>
        <v/>
      </c>
      <c r="H252">
        <f>IF('COPY 10 %'!$A252="","",'COPY 10 %'!P252)</f>
        <v/>
      </c>
      <c r="I252">
        <f>IF('COPY 10 %'!$A252="","",'COPY 10 %'!M252)</f>
        <v/>
      </c>
      <c r="J252" s="7">
        <f>IF('COPY 10 %'!$A252="","",'COPY 10 %'!Q252)</f>
        <v/>
      </c>
      <c r="K252" s="7">
        <f>IF('COPY 10 %'!$A252="","",'COPY 10 %'!H252)</f>
        <v/>
      </c>
      <c r="L252" s="7">
        <f>IF('COPY 10 %'!$A252="","",'COPY 10 %'!T252)</f>
        <v/>
      </c>
      <c r="M252">
        <f>IF('COPY 10 %'!$A252="","",'COPY 10 %'!G252)</f>
        <v/>
      </c>
    </row>
    <row r="253">
      <c r="A253">
        <f>IF('COPY 10 %'!$A253="","",ROWS($A$2:$A253))</f>
        <v/>
      </c>
      <c r="B253">
        <f>IF('COPY 10 %'!$A253="","",'COPY 10 %'!E253)</f>
        <v/>
      </c>
      <c r="C253">
        <f>IF('COPY 10 %'!$A253="","",'COPY 10 %'!F253)</f>
        <v/>
      </c>
      <c r="D253" s="14">
        <f>IF('COPY 10 %'!$A253="","",'COPY 10 %'!I253)</f>
        <v/>
      </c>
      <c r="E253" s="7">
        <f>IF('COPY 10 %'!$A253="","",'COPY 10 %'!O253)</f>
        <v/>
      </c>
      <c r="F253" s="7">
        <f>IF('COPY 10 %'!$A253="","",'COPY 10 %'!L253)</f>
        <v/>
      </c>
      <c r="G253" s="7">
        <f>IF('COPY 10 %'!$A253="","",'COPY 10 %'!S253)</f>
        <v/>
      </c>
      <c r="H253">
        <f>IF('COPY 10 %'!$A253="","",'COPY 10 %'!P253)</f>
        <v/>
      </c>
      <c r="I253">
        <f>IF('COPY 10 %'!$A253="","",'COPY 10 %'!M253)</f>
        <v/>
      </c>
      <c r="J253" s="7">
        <f>IF('COPY 10 %'!$A253="","",'COPY 10 %'!Q253)</f>
        <v/>
      </c>
      <c r="K253" s="7">
        <f>IF('COPY 10 %'!$A253="","",'COPY 10 %'!H253)</f>
        <v/>
      </c>
      <c r="L253" s="7">
        <f>IF('COPY 10 %'!$A253="","",'COPY 10 %'!T253)</f>
        <v/>
      </c>
      <c r="M253">
        <f>IF('COPY 10 %'!$A253="","",'COPY 10 %'!G253)</f>
        <v/>
      </c>
    </row>
    <row r="254">
      <c r="A254">
        <f>IF('COPY 10 %'!$A254="","",ROWS($A$2:$A254))</f>
        <v/>
      </c>
      <c r="B254">
        <f>IF('COPY 10 %'!$A254="","",'COPY 10 %'!E254)</f>
        <v/>
      </c>
      <c r="C254">
        <f>IF('COPY 10 %'!$A254="","",'COPY 10 %'!F254)</f>
        <v/>
      </c>
      <c r="D254" s="14">
        <f>IF('COPY 10 %'!$A254="","",'COPY 10 %'!I254)</f>
        <v/>
      </c>
      <c r="E254" s="7">
        <f>IF('COPY 10 %'!$A254="","",'COPY 10 %'!O254)</f>
        <v/>
      </c>
      <c r="F254" s="7">
        <f>IF('COPY 10 %'!$A254="","",'COPY 10 %'!L254)</f>
        <v/>
      </c>
      <c r="G254" s="7">
        <f>IF('COPY 10 %'!$A254="","",'COPY 10 %'!S254)</f>
        <v/>
      </c>
      <c r="H254">
        <f>IF('COPY 10 %'!$A254="","",'COPY 10 %'!P254)</f>
        <v/>
      </c>
      <c r="I254">
        <f>IF('COPY 10 %'!$A254="","",'COPY 10 %'!M254)</f>
        <v/>
      </c>
      <c r="J254" s="7">
        <f>IF('COPY 10 %'!$A254="","",'COPY 10 %'!Q254)</f>
        <v/>
      </c>
      <c r="K254" s="7">
        <f>IF('COPY 10 %'!$A254="","",'COPY 10 %'!H254)</f>
        <v/>
      </c>
      <c r="L254" s="7">
        <f>IF('COPY 10 %'!$A254="","",'COPY 10 %'!T254)</f>
        <v/>
      </c>
      <c r="M254">
        <f>IF('COPY 10 %'!$A254="","",'COPY 10 %'!G254)</f>
        <v/>
      </c>
    </row>
    <row r="255">
      <c r="A255">
        <f>IF('COPY 10 %'!$A255="","",ROWS($A$2:$A255))</f>
        <v/>
      </c>
      <c r="B255">
        <f>IF('COPY 10 %'!$A255="","",'COPY 10 %'!E255)</f>
        <v/>
      </c>
      <c r="C255">
        <f>IF('COPY 10 %'!$A255="","",'COPY 10 %'!F255)</f>
        <v/>
      </c>
      <c r="D255" s="14">
        <f>IF('COPY 10 %'!$A255="","",'COPY 10 %'!I255)</f>
        <v/>
      </c>
      <c r="E255" s="7">
        <f>IF('COPY 10 %'!$A255="","",'COPY 10 %'!O255)</f>
        <v/>
      </c>
      <c r="F255" s="7">
        <f>IF('COPY 10 %'!$A255="","",'COPY 10 %'!L255)</f>
        <v/>
      </c>
      <c r="G255" s="7">
        <f>IF('COPY 10 %'!$A255="","",'COPY 10 %'!S255)</f>
        <v/>
      </c>
      <c r="H255">
        <f>IF('COPY 10 %'!$A255="","",'COPY 10 %'!P255)</f>
        <v/>
      </c>
      <c r="I255">
        <f>IF('COPY 10 %'!$A255="","",'COPY 10 %'!M255)</f>
        <v/>
      </c>
      <c r="J255" s="7">
        <f>IF('COPY 10 %'!$A255="","",'COPY 10 %'!Q255)</f>
        <v/>
      </c>
      <c r="K255" s="7">
        <f>IF('COPY 10 %'!$A255="","",'COPY 10 %'!H255)</f>
        <v/>
      </c>
      <c r="L255" s="7">
        <f>IF('COPY 10 %'!$A255="","",'COPY 10 %'!T255)</f>
        <v/>
      </c>
      <c r="M255">
        <f>IF('COPY 10 %'!$A255="","",'COPY 10 %'!G255)</f>
        <v/>
      </c>
    </row>
    <row r="256">
      <c r="A256">
        <f>IF('COPY 10 %'!$A256="","",ROWS($A$2:$A256))</f>
        <v/>
      </c>
      <c r="B256">
        <f>IF('COPY 10 %'!$A256="","",'COPY 10 %'!E256)</f>
        <v/>
      </c>
      <c r="C256">
        <f>IF('COPY 10 %'!$A256="","",'COPY 10 %'!F256)</f>
        <v/>
      </c>
      <c r="D256" s="14">
        <f>IF('COPY 10 %'!$A256="","",'COPY 10 %'!I256)</f>
        <v/>
      </c>
      <c r="E256" s="7">
        <f>IF('COPY 10 %'!$A256="","",'COPY 10 %'!O256)</f>
        <v/>
      </c>
      <c r="F256" s="7">
        <f>IF('COPY 10 %'!$A256="","",'COPY 10 %'!L256)</f>
        <v/>
      </c>
      <c r="G256" s="7">
        <f>IF('COPY 10 %'!$A256="","",'COPY 10 %'!S256)</f>
        <v/>
      </c>
      <c r="H256">
        <f>IF('COPY 10 %'!$A256="","",'COPY 10 %'!P256)</f>
        <v/>
      </c>
      <c r="I256">
        <f>IF('COPY 10 %'!$A256="","",'COPY 10 %'!M256)</f>
        <v/>
      </c>
      <c r="J256" s="7">
        <f>IF('COPY 10 %'!$A256="","",'COPY 10 %'!Q256)</f>
        <v/>
      </c>
      <c r="K256" s="7">
        <f>IF('COPY 10 %'!$A256="","",'COPY 10 %'!H256)</f>
        <v/>
      </c>
      <c r="L256" s="7">
        <f>IF('COPY 10 %'!$A256="","",'COPY 10 %'!T256)</f>
        <v/>
      </c>
      <c r="M256">
        <f>IF('COPY 10 %'!$A256="","",'COPY 10 %'!G256)</f>
        <v/>
      </c>
    </row>
    <row r="257">
      <c r="A257">
        <f>IF('COPY 10 %'!$A257="","",ROWS($A$2:$A257))</f>
        <v/>
      </c>
      <c r="B257">
        <f>IF('COPY 10 %'!$A257="","",'COPY 10 %'!E257)</f>
        <v/>
      </c>
      <c r="C257">
        <f>IF('COPY 10 %'!$A257="","",'COPY 10 %'!F257)</f>
        <v/>
      </c>
      <c r="D257" s="14">
        <f>IF('COPY 10 %'!$A257="","",'COPY 10 %'!I257)</f>
        <v/>
      </c>
      <c r="E257" s="7">
        <f>IF('COPY 10 %'!$A257="","",'COPY 10 %'!O257)</f>
        <v/>
      </c>
      <c r="F257" s="7">
        <f>IF('COPY 10 %'!$A257="","",'COPY 10 %'!L257)</f>
        <v/>
      </c>
      <c r="G257" s="7">
        <f>IF('COPY 10 %'!$A257="","",'COPY 10 %'!S257)</f>
        <v/>
      </c>
      <c r="H257">
        <f>IF('COPY 10 %'!$A257="","",'COPY 10 %'!P257)</f>
        <v/>
      </c>
      <c r="I257">
        <f>IF('COPY 10 %'!$A257="","",'COPY 10 %'!M257)</f>
        <v/>
      </c>
      <c r="J257" s="7">
        <f>IF('COPY 10 %'!$A257="","",'COPY 10 %'!Q257)</f>
        <v/>
      </c>
      <c r="K257" s="7">
        <f>IF('COPY 10 %'!$A257="","",'COPY 10 %'!H257)</f>
        <v/>
      </c>
      <c r="L257" s="7">
        <f>IF('COPY 10 %'!$A257="","",'COPY 10 %'!T257)</f>
        <v/>
      </c>
      <c r="M257">
        <f>IF('COPY 10 %'!$A257="","",'COPY 10 %'!G257)</f>
        <v/>
      </c>
    </row>
    <row r="258">
      <c r="A258">
        <f>IF('COPY 10 %'!$A258="","",ROWS($A$2:$A258))</f>
        <v/>
      </c>
      <c r="B258">
        <f>IF('COPY 10 %'!$A258="","",'COPY 10 %'!E258)</f>
        <v/>
      </c>
      <c r="C258">
        <f>IF('COPY 10 %'!$A258="","",'COPY 10 %'!F258)</f>
        <v/>
      </c>
      <c r="D258" s="14">
        <f>IF('COPY 10 %'!$A258="","",'COPY 10 %'!I258)</f>
        <v/>
      </c>
      <c r="E258" s="7">
        <f>IF('COPY 10 %'!$A258="","",'COPY 10 %'!O258)</f>
        <v/>
      </c>
      <c r="F258" s="7">
        <f>IF('COPY 10 %'!$A258="","",'COPY 10 %'!L258)</f>
        <v/>
      </c>
      <c r="G258" s="7">
        <f>IF('COPY 10 %'!$A258="","",'COPY 10 %'!S258)</f>
        <v/>
      </c>
      <c r="H258">
        <f>IF('COPY 10 %'!$A258="","",'COPY 10 %'!P258)</f>
        <v/>
      </c>
      <c r="I258">
        <f>IF('COPY 10 %'!$A258="","",'COPY 10 %'!M258)</f>
        <v/>
      </c>
      <c r="J258" s="7">
        <f>IF('COPY 10 %'!$A258="","",'COPY 10 %'!Q258)</f>
        <v/>
      </c>
      <c r="K258" s="7">
        <f>IF('COPY 10 %'!$A258="","",'COPY 10 %'!H258)</f>
        <v/>
      </c>
      <c r="L258" s="7">
        <f>IF('COPY 10 %'!$A258="","",'COPY 10 %'!T258)</f>
        <v/>
      </c>
      <c r="M258">
        <f>IF('COPY 10 %'!$A258="","",'COPY 10 %'!G258)</f>
        <v/>
      </c>
    </row>
    <row r="259">
      <c r="A259">
        <f>IF('COPY 10 %'!$A259="","",ROWS($A$2:$A259))</f>
        <v/>
      </c>
      <c r="B259">
        <f>IF('COPY 10 %'!$A259="","",'COPY 10 %'!E259)</f>
        <v/>
      </c>
      <c r="C259">
        <f>IF('COPY 10 %'!$A259="","",'COPY 10 %'!F259)</f>
        <v/>
      </c>
      <c r="D259" s="14">
        <f>IF('COPY 10 %'!$A259="","",'COPY 10 %'!I259)</f>
        <v/>
      </c>
      <c r="E259" s="7">
        <f>IF('COPY 10 %'!$A259="","",'COPY 10 %'!O259)</f>
        <v/>
      </c>
      <c r="F259" s="7">
        <f>IF('COPY 10 %'!$A259="","",'COPY 10 %'!L259)</f>
        <v/>
      </c>
      <c r="G259" s="7">
        <f>IF('COPY 10 %'!$A259="","",'COPY 10 %'!S259)</f>
        <v/>
      </c>
      <c r="H259">
        <f>IF('COPY 10 %'!$A259="","",'COPY 10 %'!P259)</f>
        <v/>
      </c>
      <c r="I259">
        <f>IF('COPY 10 %'!$A259="","",'COPY 10 %'!M259)</f>
        <v/>
      </c>
      <c r="J259" s="7">
        <f>IF('COPY 10 %'!$A259="","",'COPY 10 %'!Q259)</f>
        <v/>
      </c>
      <c r="K259" s="7">
        <f>IF('COPY 10 %'!$A259="","",'COPY 10 %'!H259)</f>
        <v/>
      </c>
      <c r="L259" s="7">
        <f>IF('COPY 10 %'!$A259="","",'COPY 10 %'!T259)</f>
        <v/>
      </c>
      <c r="M259">
        <f>IF('COPY 10 %'!$A259="","",'COPY 10 %'!G259)</f>
        <v/>
      </c>
    </row>
    <row r="260">
      <c r="A260">
        <f>IF('COPY 10 %'!$A260="","",ROWS($A$2:$A260))</f>
        <v/>
      </c>
      <c r="B260">
        <f>IF('COPY 10 %'!$A260="","",'COPY 10 %'!E260)</f>
        <v/>
      </c>
      <c r="C260">
        <f>IF('COPY 10 %'!$A260="","",'COPY 10 %'!F260)</f>
        <v/>
      </c>
      <c r="D260" s="14">
        <f>IF('COPY 10 %'!$A260="","",'COPY 10 %'!I260)</f>
        <v/>
      </c>
      <c r="E260" s="7">
        <f>IF('COPY 10 %'!$A260="","",'COPY 10 %'!O260)</f>
        <v/>
      </c>
      <c r="F260" s="7">
        <f>IF('COPY 10 %'!$A260="","",'COPY 10 %'!L260)</f>
        <v/>
      </c>
      <c r="G260" s="7">
        <f>IF('COPY 10 %'!$A260="","",'COPY 10 %'!S260)</f>
        <v/>
      </c>
      <c r="H260">
        <f>IF('COPY 10 %'!$A260="","",'COPY 10 %'!P260)</f>
        <v/>
      </c>
      <c r="I260">
        <f>IF('COPY 10 %'!$A260="","",'COPY 10 %'!M260)</f>
        <v/>
      </c>
      <c r="J260" s="7">
        <f>IF('COPY 10 %'!$A260="","",'COPY 10 %'!Q260)</f>
        <v/>
      </c>
      <c r="K260" s="7">
        <f>IF('COPY 10 %'!$A260="","",'COPY 10 %'!H260)</f>
        <v/>
      </c>
      <c r="L260" s="7">
        <f>IF('COPY 10 %'!$A260="","",'COPY 10 %'!T260)</f>
        <v/>
      </c>
      <c r="M260">
        <f>IF('COPY 10 %'!$A260="","",'COPY 10 %'!G260)</f>
        <v/>
      </c>
    </row>
    <row r="261">
      <c r="A261">
        <f>IF('COPY 10 %'!$A261="","",ROWS($A$2:$A261))</f>
        <v/>
      </c>
      <c r="B261">
        <f>IF('COPY 10 %'!$A261="","",'COPY 10 %'!E261)</f>
        <v/>
      </c>
      <c r="C261">
        <f>IF('COPY 10 %'!$A261="","",'COPY 10 %'!F261)</f>
        <v/>
      </c>
      <c r="D261" s="14">
        <f>IF('COPY 10 %'!$A261="","",'COPY 10 %'!I261)</f>
        <v/>
      </c>
      <c r="E261" s="7">
        <f>IF('COPY 10 %'!$A261="","",'COPY 10 %'!O261)</f>
        <v/>
      </c>
      <c r="F261" s="7">
        <f>IF('COPY 10 %'!$A261="","",'COPY 10 %'!L261)</f>
        <v/>
      </c>
      <c r="G261" s="7">
        <f>IF('COPY 10 %'!$A261="","",'COPY 10 %'!S261)</f>
        <v/>
      </c>
      <c r="H261">
        <f>IF('COPY 10 %'!$A261="","",'COPY 10 %'!P261)</f>
        <v/>
      </c>
      <c r="I261">
        <f>IF('COPY 10 %'!$A261="","",'COPY 10 %'!M261)</f>
        <v/>
      </c>
      <c r="J261" s="7">
        <f>IF('COPY 10 %'!$A261="","",'COPY 10 %'!Q261)</f>
        <v/>
      </c>
      <c r="K261" s="7">
        <f>IF('COPY 10 %'!$A261="","",'COPY 10 %'!H261)</f>
        <v/>
      </c>
      <c r="L261" s="7">
        <f>IF('COPY 10 %'!$A261="","",'COPY 10 %'!T261)</f>
        <v/>
      </c>
      <c r="M261">
        <f>IF('COPY 10 %'!$A261="","",'COPY 10 %'!G261)</f>
        <v/>
      </c>
    </row>
    <row r="262">
      <c r="A262">
        <f>IF('COPY 10 %'!$A262="","",ROWS($A$2:$A262))</f>
        <v/>
      </c>
      <c r="B262">
        <f>IF('COPY 10 %'!$A262="","",'COPY 10 %'!E262)</f>
        <v/>
      </c>
      <c r="C262">
        <f>IF('COPY 10 %'!$A262="","",'COPY 10 %'!F262)</f>
        <v/>
      </c>
      <c r="D262" s="14">
        <f>IF('COPY 10 %'!$A262="","",'COPY 10 %'!I262)</f>
        <v/>
      </c>
      <c r="E262" s="7">
        <f>IF('COPY 10 %'!$A262="","",'COPY 10 %'!O262)</f>
        <v/>
      </c>
      <c r="F262" s="7">
        <f>IF('COPY 10 %'!$A262="","",'COPY 10 %'!L262)</f>
        <v/>
      </c>
      <c r="G262" s="7">
        <f>IF('COPY 10 %'!$A262="","",'COPY 10 %'!S262)</f>
        <v/>
      </c>
      <c r="H262">
        <f>IF('COPY 10 %'!$A262="","",'COPY 10 %'!P262)</f>
        <v/>
      </c>
      <c r="I262">
        <f>IF('COPY 10 %'!$A262="","",'COPY 10 %'!M262)</f>
        <v/>
      </c>
      <c r="J262" s="7">
        <f>IF('COPY 10 %'!$A262="","",'COPY 10 %'!Q262)</f>
        <v/>
      </c>
      <c r="K262" s="7">
        <f>IF('COPY 10 %'!$A262="","",'COPY 10 %'!H262)</f>
        <v/>
      </c>
      <c r="L262" s="7">
        <f>IF('COPY 10 %'!$A262="","",'COPY 10 %'!T262)</f>
        <v/>
      </c>
      <c r="M262">
        <f>IF('COPY 10 %'!$A262="","",'COPY 10 %'!G262)</f>
        <v/>
      </c>
    </row>
    <row r="263">
      <c r="A263">
        <f>IF('COPY 10 %'!$A263="","",ROWS($A$2:$A263))</f>
        <v/>
      </c>
      <c r="B263">
        <f>IF('COPY 10 %'!$A263="","",'COPY 10 %'!E263)</f>
        <v/>
      </c>
      <c r="C263">
        <f>IF('COPY 10 %'!$A263="","",'COPY 10 %'!F263)</f>
        <v/>
      </c>
      <c r="D263" s="14">
        <f>IF('COPY 10 %'!$A263="","",'COPY 10 %'!I263)</f>
        <v/>
      </c>
      <c r="E263" s="7">
        <f>IF('COPY 10 %'!$A263="","",'COPY 10 %'!O263)</f>
        <v/>
      </c>
      <c r="F263" s="7">
        <f>IF('COPY 10 %'!$A263="","",'COPY 10 %'!L263)</f>
        <v/>
      </c>
      <c r="G263" s="7">
        <f>IF('COPY 10 %'!$A263="","",'COPY 10 %'!S263)</f>
        <v/>
      </c>
      <c r="H263">
        <f>IF('COPY 10 %'!$A263="","",'COPY 10 %'!P263)</f>
        <v/>
      </c>
      <c r="I263">
        <f>IF('COPY 10 %'!$A263="","",'COPY 10 %'!M263)</f>
        <v/>
      </c>
      <c r="J263" s="7">
        <f>IF('COPY 10 %'!$A263="","",'COPY 10 %'!Q263)</f>
        <v/>
      </c>
      <c r="K263" s="7">
        <f>IF('COPY 10 %'!$A263="","",'COPY 10 %'!H263)</f>
        <v/>
      </c>
      <c r="L263" s="7">
        <f>IF('COPY 10 %'!$A263="","",'COPY 10 %'!T263)</f>
        <v/>
      </c>
      <c r="M263">
        <f>IF('COPY 10 %'!$A263="","",'COPY 10 %'!G263)</f>
        <v/>
      </c>
    </row>
    <row r="264">
      <c r="A264">
        <f>IF('COPY 10 %'!$A264="","",ROWS($A$2:$A264))</f>
        <v/>
      </c>
      <c r="B264">
        <f>IF('COPY 10 %'!$A264="","",'COPY 10 %'!E264)</f>
        <v/>
      </c>
      <c r="C264">
        <f>IF('COPY 10 %'!$A264="","",'COPY 10 %'!F264)</f>
        <v/>
      </c>
      <c r="D264" s="14">
        <f>IF('COPY 10 %'!$A264="","",'COPY 10 %'!I264)</f>
        <v/>
      </c>
      <c r="E264" s="7">
        <f>IF('COPY 10 %'!$A264="","",'COPY 10 %'!O264)</f>
        <v/>
      </c>
      <c r="F264" s="7">
        <f>IF('COPY 10 %'!$A264="","",'COPY 10 %'!L264)</f>
        <v/>
      </c>
      <c r="G264" s="7">
        <f>IF('COPY 10 %'!$A264="","",'COPY 10 %'!S264)</f>
        <v/>
      </c>
      <c r="H264">
        <f>IF('COPY 10 %'!$A264="","",'COPY 10 %'!P264)</f>
        <v/>
      </c>
      <c r="I264">
        <f>IF('COPY 10 %'!$A264="","",'COPY 10 %'!M264)</f>
        <v/>
      </c>
      <c r="J264" s="7">
        <f>IF('COPY 10 %'!$A264="","",'COPY 10 %'!Q264)</f>
        <v/>
      </c>
      <c r="K264" s="7">
        <f>IF('COPY 10 %'!$A264="","",'COPY 10 %'!H264)</f>
        <v/>
      </c>
      <c r="L264" s="7">
        <f>IF('COPY 10 %'!$A264="","",'COPY 10 %'!T264)</f>
        <v/>
      </c>
      <c r="M264">
        <f>IF('COPY 10 %'!$A264="","",'COPY 10 %'!G264)</f>
        <v/>
      </c>
    </row>
    <row r="265">
      <c r="A265">
        <f>IF('COPY 10 %'!$A265="","",ROWS($A$2:$A265))</f>
        <v/>
      </c>
      <c r="B265">
        <f>IF('COPY 10 %'!$A265="","",'COPY 10 %'!E265)</f>
        <v/>
      </c>
      <c r="C265">
        <f>IF('COPY 10 %'!$A265="","",'COPY 10 %'!F265)</f>
        <v/>
      </c>
      <c r="D265" s="14">
        <f>IF('COPY 10 %'!$A265="","",'COPY 10 %'!I265)</f>
        <v/>
      </c>
      <c r="E265" s="7">
        <f>IF('COPY 10 %'!$A265="","",'COPY 10 %'!O265)</f>
        <v/>
      </c>
      <c r="F265" s="7">
        <f>IF('COPY 10 %'!$A265="","",'COPY 10 %'!L265)</f>
        <v/>
      </c>
      <c r="G265" s="7">
        <f>IF('COPY 10 %'!$A265="","",'COPY 10 %'!S265)</f>
        <v/>
      </c>
      <c r="H265">
        <f>IF('COPY 10 %'!$A265="","",'COPY 10 %'!P265)</f>
        <v/>
      </c>
      <c r="I265">
        <f>IF('COPY 10 %'!$A265="","",'COPY 10 %'!M265)</f>
        <v/>
      </c>
      <c r="J265" s="7">
        <f>IF('COPY 10 %'!$A265="","",'COPY 10 %'!Q265)</f>
        <v/>
      </c>
      <c r="K265" s="7">
        <f>IF('COPY 10 %'!$A265="","",'COPY 10 %'!H265)</f>
        <v/>
      </c>
      <c r="L265" s="7">
        <f>IF('COPY 10 %'!$A265="","",'COPY 10 %'!T265)</f>
        <v/>
      </c>
      <c r="M265">
        <f>IF('COPY 10 %'!$A265="","",'COPY 10 %'!G265)</f>
        <v/>
      </c>
    </row>
    <row r="266">
      <c r="A266">
        <f>IF('COPY 10 %'!$A266="","",ROWS($A$2:$A266))</f>
        <v/>
      </c>
      <c r="B266">
        <f>IF('COPY 10 %'!$A266="","",'COPY 10 %'!E266)</f>
        <v/>
      </c>
      <c r="C266">
        <f>IF('COPY 10 %'!$A266="","",'COPY 10 %'!F266)</f>
        <v/>
      </c>
      <c r="D266" s="14">
        <f>IF('COPY 10 %'!$A266="","",'COPY 10 %'!I266)</f>
        <v/>
      </c>
      <c r="E266" s="7">
        <f>IF('COPY 10 %'!$A266="","",'COPY 10 %'!O266)</f>
        <v/>
      </c>
      <c r="F266" s="7">
        <f>IF('COPY 10 %'!$A266="","",'COPY 10 %'!L266)</f>
        <v/>
      </c>
      <c r="G266" s="7">
        <f>IF('COPY 10 %'!$A266="","",'COPY 10 %'!S266)</f>
        <v/>
      </c>
      <c r="H266">
        <f>IF('COPY 10 %'!$A266="","",'COPY 10 %'!P266)</f>
        <v/>
      </c>
      <c r="I266">
        <f>IF('COPY 10 %'!$A266="","",'COPY 10 %'!M266)</f>
        <v/>
      </c>
      <c r="J266" s="7">
        <f>IF('COPY 10 %'!$A266="","",'COPY 10 %'!Q266)</f>
        <v/>
      </c>
      <c r="K266" s="7">
        <f>IF('COPY 10 %'!$A266="","",'COPY 10 %'!H266)</f>
        <v/>
      </c>
      <c r="L266" s="7">
        <f>IF('COPY 10 %'!$A266="","",'COPY 10 %'!T266)</f>
        <v/>
      </c>
      <c r="M266">
        <f>IF('COPY 10 %'!$A266="","",'COPY 10 %'!G266)</f>
        <v/>
      </c>
    </row>
    <row r="267">
      <c r="A267">
        <f>IF('COPY 10 %'!$A267="","",ROWS($A$2:$A267))</f>
        <v/>
      </c>
      <c r="B267">
        <f>IF('COPY 10 %'!$A267="","",'COPY 10 %'!E267)</f>
        <v/>
      </c>
      <c r="C267">
        <f>IF('COPY 10 %'!$A267="","",'COPY 10 %'!F267)</f>
        <v/>
      </c>
      <c r="D267" s="14">
        <f>IF('COPY 10 %'!$A267="","",'COPY 10 %'!I267)</f>
        <v/>
      </c>
      <c r="E267" s="7">
        <f>IF('COPY 10 %'!$A267="","",'COPY 10 %'!O267)</f>
        <v/>
      </c>
      <c r="F267" s="7">
        <f>IF('COPY 10 %'!$A267="","",'COPY 10 %'!L267)</f>
        <v/>
      </c>
      <c r="G267" s="7">
        <f>IF('COPY 10 %'!$A267="","",'COPY 10 %'!S267)</f>
        <v/>
      </c>
      <c r="H267">
        <f>IF('COPY 10 %'!$A267="","",'COPY 10 %'!P267)</f>
        <v/>
      </c>
      <c r="I267">
        <f>IF('COPY 10 %'!$A267="","",'COPY 10 %'!M267)</f>
        <v/>
      </c>
      <c r="J267" s="7">
        <f>IF('COPY 10 %'!$A267="","",'COPY 10 %'!Q267)</f>
        <v/>
      </c>
      <c r="K267" s="7">
        <f>IF('COPY 10 %'!$A267="","",'COPY 10 %'!H267)</f>
        <v/>
      </c>
      <c r="L267" s="7">
        <f>IF('COPY 10 %'!$A267="","",'COPY 10 %'!T267)</f>
        <v/>
      </c>
      <c r="M267">
        <f>IF('COPY 10 %'!$A267="","",'COPY 10 %'!G267)</f>
        <v/>
      </c>
    </row>
    <row r="268">
      <c r="A268">
        <f>IF('COPY 10 %'!$A268="","",ROWS($A$2:$A268))</f>
        <v/>
      </c>
      <c r="B268">
        <f>IF('COPY 10 %'!$A268="","",'COPY 10 %'!E268)</f>
        <v/>
      </c>
      <c r="C268">
        <f>IF('COPY 10 %'!$A268="","",'COPY 10 %'!F268)</f>
        <v/>
      </c>
      <c r="D268" s="14">
        <f>IF('COPY 10 %'!$A268="","",'COPY 10 %'!I268)</f>
        <v/>
      </c>
      <c r="E268" s="7">
        <f>IF('COPY 10 %'!$A268="","",'COPY 10 %'!O268)</f>
        <v/>
      </c>
      <c r="F268" s="7">
        <f>IF('COPY 10 %'!$A268="","",'COPY 10 %'!L268)</f>
        <v/>
      </c>
      <c r="G268" s="7">
        <f>IF('COPY 10 %'!$A268="","",'COPY 10 %'!S268)</f>
        <v/>
      </c>
      <c r="H268">
        <f>IF('COPY 10 %'!$A268="","",'COPY 10 %'!P268)</f>
        <v/>
      </c>
      <c r="I268">
        <f>IF('COPY 10 %'!$A268="","",'COPY 10 %'!M268)</f>
        <v/>
      </c>
      <c r="J268" s="7">
        <f>IF('COPY 10 %'!$A268="","",'COPY 10 %'!Q268)</f>
        <v/>
      </c>
      <c r="K268" s="7">
        <f>IF('COPY 10 %'!$A268="","",'COPY 10 %'!H268)</f>
        <v/>
      </c>
      <c r="L268" s="7">
        <f>IF('COPY 10 %'!$A268="","",'COPY 10 %'!T268)</f>
        <v/>
      </c>
      <c r="M268">
        <f>IF('COPY 10 %'!$A268="","",'COPY 10 %'!G268)</f>
        <v/>
      </c>
    </row>
    <row r="269">
      <c r="A269">
        <f>IF('COPY 10 %'!$A269="","",ROWS($A$2:$A269))</f>
        <v/>
      </c>
      <c r="B269">
        <f>IF('COPY 10 %'!$A269="","",'COPY 10 %'!E269)</f>
        <v/>
      </c>
      <c r="C269">
        <f>IF('COPY 10 %'!$A269="","",'COPY 10 %'!F269)</f>
        <v/>
      </c>
      <c r="D269" s="14">
        <f>IF('COPY 10 %'!$A269="","",'COPY 10 %'!I269)</f>
        <v/>
      </c>
      <c r="E269" s="7">
        <f>IF('COPY 10 %'!$A269="","",'COPY 10 %'!O269)</f>
        <v/>
      </c>
      <c r="F269" s="7">
        <f>IF('COPY 10 %'!$A269="","",'COPY 10 %'!L269)</f>
        <v/>
      </c>
      <c r="G269" s="7">
        <f>IF('COPY 10 %'!$A269="","",'COPY 10 %'!S269)</f>
        <v/>
      </c>
      <c r="H269">
        <f>IF('COPY 10 %'!$A269="","",'COPY 10 %'!P269)</f>
        <v/>
      </c>
      <c r="I269">
        <f>IF('COPY 10 %'!$A269="","",'COPY 10 %'!M269)</f>
        <v/>
      </c>
      <c r="J269" s="7">
        <f>IF('COPY 10 %'!$A269="","",'COPY 10 %'!Q269)</f>
        <v/>
      </c>
      <c r="K269" s="7">
        <f>IF('COPY 10 %'!$A269="","",'COPY 10 %'!H269)</f>
        <v/>
      </c>
      <c r="L269" s="7">
        <f>IF('COPY 10 %'!$A269="","",'COPY 10 %'!T269)</f>
        <v/>
      </c>
      <c r="M269">
        <f>IF('COPY 10 %'!$A269="","",'COPY 10 %'!G269)</f>
        <v/>
      </c>
    </row>
    <row r="270">
      <c r="A270">
        <f>IF('COPY 10 %'!$A270="","",ROWS($A$2:$A270))</f>
        <v/>
      </c>
      <c r="B270">
        <f>IF('COPY 10 %'!$A270="","",'COPY 10 %'!E270)</f>
        <v/>
      </c>
      <c r="C270">
        <f>IF('COPY 10 %'!$A270="","",'COPY 10 %'!F270)</f>
        <v/>
      </c>
      <c r="D270" s="14">
        <f>IF('COPY 10 %'!$A270="","",'COPY 10 %'!I270)</f>
        <v/>
      </c>
      <c r="E270" s="7">
        <f>IF('COPY 10 %'!$A270="","",'COPY 10 %'!O270)</f>
        <v/>
      </c>
      <c r="F270" s="7">
        <f>IF('COPY 10 %'!$A270="","",'COPY 10 %'!L270)</f>
        <v/>
      </c>
      <c r="G270" s="7">
        <f>IF('COPY 10 %'!$A270="","",'COPY 10 %'!S270)</f>
        <v/>
      </c>
      <c r="H270">
        <f>IF('COPY 10 %'!$A270="","",'COPY 10 %'!P270)</f>
        <v/>
      </c>
      <c r="I270">
        <f>IF('COPY 10 %'!$A270="","",'COPY 10 %'!M270)</f>
        <v/>
      </c>
      <c r="J270" s="7">
        <f>IF('COPY 10 %'!$A270="","",'COPY 10 %'!Q270)</f>
        <v/>
      </c>
      <c r="K270" s="7">
        <f>IF('COPY 10 %'!$A270="","",'COPY 10 %'!H270)</f>
        <v/>
      </c>
      <c r="L270" s="7">
        <f>IF('COPY 10 %'!$A270="","",'COPY 10 %'!T270)</f>
        <v/>
      </c>
      <c r="M270">
        <f>IF('COPY 10 %'!$A270="","",'COPY 10 %'!G270)</f>
        <v/>
      </c>
    </row>
    <row r="271">
      <c r="A271">
        <f>IF('COPY 10 %'!$A271="","",ROWS($A$2:$A271))</f>
        <v/>
      </c>
      <c r="B271">
        <f>IF('COPY 10 %'!$A271="","",'COPY 10 %'!E271)</f>
        <v/>
      </c>
      <c r="C271">
        <f>IF('COPY 10 %'!$A271="","",'COPY 10 %'!F271)</f>
        <v/>
      </c>
      <c r="D271" s="14">
        <f>IF('COPY 10 %'!$A271="","",'COPY 10 %'!I271)</f>
        <v/>
      </c>
      <c r="E271" s="7">
        <f>IF('COPY 10 %'!$A271="","",'COPY 10 %'!O271)</f>
        <v/>
      </c>
      <c r="F271" s="7">
        <f>IF('COPY 10 %'!$A271="","",'COPY 10 %'!L271)</f>
        <v/>
      </c>
      <c r="G271" s="7">
        <f>IF('COPY 10 %'!$A271="","",'COPY 10 %'!S271)</f>
        <v/>
      </c>
      <c r="H271">
        <f>IF('COPY 10 %'!$A271="","",'COPY 10 %'!P271)</f>
        <v/>
      </c>
      <c r="I271">
        <f>IF('COPY 10 %'!$A271="","",'COPY 10 %'!M271)</f>
        <v/>
      </c>
      <c r="J271" s="7">
        <f>IF('COPY 10 %'!$A271="","",'COPY 10 %'!Q271)</f>
        <v/>
      </c>
      <c r="K271" s="7">
        <f>IF('COPY 10 %'!$A271="","",'COPY 10 %'!H271)</f>
        <v/>
      </c>
      <c r="L271" s="7">
        <f>IF('COPY 10 %'!$A271="","",'COPY 10 %'!T271)</f>
        <v/>
      </c>
      <c r="M271">
        <f>IF('COPY 10 %'!$A271="","",'COPY 10 %'!G271)</f>
        <v/>
      </c>
    </row>
    <row r="272">
      <c r="A272">
        <f>IF('COPY 10 %'!$A272="","",ROWS($A$2:$A272))</f>
        <v/>
      </c>
      <c r="B272">
        <f>IF('COPY 10 %'!$A272="","",'COPY 10 %'!E272)</f>
        <v/>
      </c>
      <c r="C272">
        <f>IF('COPY 10 %'!$A272="","",'COPY 10 %'!F272)</f>
        <v/>
      </c>
      <c r="D272" s="14">
        <f>IF('COPY 10 %'!$A272="","",'COPY 10 %'!I272)</f>
        <v/>
      </c>
      <c r="E272" s="7">
        <f>IF('COPY 10 %'!$A272="","",'COPY 10 %'!O272)</f>
        <v/>
      </c>
      <c r="F272" s="7">
        <f>IF('COPY 10 %'!$A272="","",'COPY 10 %'!L272)</f>
        <v/>
      </c>
      <c r="G272" s="7">
        <f>IF('COPY 10 %'!$A272="","",'COPY 10 %'!S272)</f>
        <v/>
      </c>
      <c r="H272">
        <f>IF('COPY 10 %'!$A272="","",'COPY 10 %'!P272)</f>
        <v/>
      </c>
      <c r="I272">
        <f>IF('COPY 10 %'!$A272="","",'COPY 10 %'!M272)</f>
        <v/>
      </c>
      <c r="J272" s="7">
        <f>IF('COPY 10 %'!$A272="","",'COPY 10 %'!Q272)</f>
        <v/>
      </c>
      <c r="K272" s="7">
        <f>IF('COPY 10 %'!$A272="","",'COPY 10 %'!H272)</f>
        <v/>
      </c>
      <c r="L272" s="7">
        <f>IF('COPY 10 %'!$A272="","",'COPY 10 %'!T272)</f>
        <v/>
      </c>
      <c r="M272">
        <f>IF('COPY 10 %'!$A272="","",'COPY 10 %'!G272)</f>
        <v/>
      </c>
    </row>
    <row r="273">
      <c r="A273">
        <f>IF('COPY 10 %'!$A273="","",ROWS($A$2:$A273))</f>
        <v/>
      </c>
      <c r="B273">
        <f>IF('COPY 10 %'!$A273="","",'COPY 10 %'!E273)</f>
        <v/>
      </c>
      <c r="C273">
        <f>IF('COPY 10 %'!$A273="","",'COPY 10 %'!F273)</f>
        <v/>
      </c>
      <c r="D273" s="14">
        <f>IF('COPY 10 %'!$A273="","",'COPY 10 %'!I273)</f>
        <v/>
      </c>
      <c r="E273" s="7">
        <f>IF('COPY 10 %'!$A273="","",'COPY 10 %'!O273)</f>
        <v/>
      </c>
      <c r="F273" s="7">
        <f>IF('COPY 10 %'!$A273="","",'COPY 10 %'!L273)</f>
        <v/>
      </c>
      <c r="G273" s="7">
        <f>IF('COPY 10 %'!$A273="","",'COPY 10 %'!S273)</f>
        <v/>
      </c>
      <c r="H273">
        <f>IF('COPY 10 %'!$A273="","",'COPY 10 %'!P273)</f>
        <v/>
      </c>
      <c r="I273">
        <f>IF('COPY 10 %'!$A273="","",'COPY 10 %'!M273)</f>
        <v/>
      </c>
      <c r="J273" s="7">
        <f>IF('COPY 10 %'!$A273="","",'COPY 10 %'!Q273)</f>
        <v/>
      </c>
      <c r="K273" s="7">
        <f>IF('COPY 10 %'!$A273="","",'COPY 10 %'!H273)</f>
        <v/>
      </c>
      <c r="L273" s="7">
        <f>IF('COPY 10 %'!$A273="","",'COPY 10 %'!T273)</f>
        <v/>
      </c>
      <c r="M273">
        <f>IF('COPY 10 %'!$A273="","",'COPY 10 %'!G273)</f>
        <v/>
      </c>
    </row>
    <row r="274">
      <c r="A274">
        <f>IF('COPY 10 %'!$A274="","",ROWS($A$2:$A274))</f>
        <v/>
      </c>
      <c r="B274">
        <f>IF('COPY 10 %'!$A274="","",'COPY 10 %'!E274)</f>
        <v/>
      </c>
      <c r="C274">
        <f>IF('COPY 10 %'!$A274="","",'COPY 10 %'!F274)</f>
        <v/>
      </c>
      <c r="D274" s="14">
        <f>IF('COPY 10 %'!$A274="","",'COPY 10 %'!I274)</f>
        <v/>
      </c>
      <c r="E274" s="7">
        <f>IF('COPY 10 %'!$A274="","",'COPY 10 %'!O274)</f>
        <v/>
      </c>
      <c r="F274" s="7">
        <f>IF('COPY 10 %'!$A274="","",'COPY 10 %'!L274)</f>
        <v/>
      </c>
      <c r="G274" s="7">
        <f>IF('COPY 10 %'!$A274="","",'COPY 10 %'!S274)</f>
        <v/>
      </c>
      <c r="H274">
        <f>IF('COPY 10 %'!$A274="","",'COPY 10 %'!P274)</f>
        <v/>
      </c>
      <c r="I274">
        <f>IF('COPY 10 %'!$A274="","",'COPY 10 %'!M274)</f>
        <v/>
      </c>
      <c r="J274" s="7">
        <f>IF('COPY 10 %'!$A274="","",'COPY 10 %'!Q274)</f>
        <v/>
      </c>
      <c r="K274" s="7">
        <f>IF('COPY 10 %'!$A274="","",'COPY 10 %'!H274)</f>
        <v/>
      </c>
      <c r="L274" s="7">
        <f>IF('COPY 10 %'!$A274="","",'COPY 10 %'!T274)</f>
        <v/>
      </c>
      <c r="M274">
        <f>IF('COPY 10 %'!$A274="","",'COPY 10 %'!G274)</f>
        <v/>
      </c>
    </row>
    <row r="275">
      <c r="A275">
        <f>IF('COPY 10 %'!$A275="","",ROWS($A$2:$A275))</f>
        <v/>
      </c>
      <c r="B275">
        <f>IF('COPY 10 %'!$A275="","",'COPY 10 %'!E275)</f>
        <v/>
      </c>
      <c r="C275">
        <f>IF('COPY 10 %'!$A275="","",'COPY 10 %'!F275)</f>
        <v/>
      </c>
      <c r="D275" s="14">
        <f>IF('COPY 10 %'!$A275="","",'COPY 10 %'!I275)</f>
        <v/>
      </c>
      <c r="E275" s="7">
        <f>IF('COPY 10 %'!$A275="","",'COPY 10 %'!O275)</f>
        <v/>
      </c>
      <c r="F275" s="7">
        <f>IF('COPY 10 %'!$A275="","",'COPY 10 %'!L275)</f>
        <v/>
      </c>
      <c r="G275" s="7">
        <f>IF('COPY 10 %'!$A275="","",'COPY 10 %'!S275)</f>
        <v/>
      </c>
      <c r="H275">
        <f>IF('COPY 10 %'!$A275="","",'COPY 10 %'!P275)</f>
        <v/>
      </c>
      <c r="I275">
        <f>IF('COPY 10 %'!$A275="","",'COPY 10 %'!M275)</f>
        <v/>
      </c>
      <c r="J275" s="7">
        <f>IF('COPY 10 %'!$A275="","",'COPY 10 %'!Q275)</f>
        <v/>
      </c>
      <c r="K275" s="7">
        <f>IF('COPY 10 %'!$A275="","",'COPY 10 %'!H275)</f>
        <v/>
      </c>
      <c r="L275" s="7">
        <f>IF('COPY 10 %'!$A275="","",'COPY 10 %'!T275)</f>
        <v/>
      </c>
      <c r="M275">
        <f>IF('COPY 10 %'!$A275="","",'COPY 10 %'!G275)</f>
        <v/>
      </c>
    </row>
    <row r="276">
      <c r="A276">
        <f>IF('COPY 10 %'!$A276="","",ROWS($A$2:$A276))</f>
        <v/>
      </c>
      <c r="B276">
        <f>IF('COPY 10 %'!$A276="","",'COPY 10 %'!E276)</f>
        <v/>
      </c>
      <c r="C276">
        <f>IF('COPY 10 %'!$A276="","",'COPY 10 %'!F276)</f>
        <v/>
      </c>
      <c r="D276" s="14">
        <f>IF('COPY 10 %'!$A276="","",'COPY 10 %'!I276)</f>
        <v/>
      </c>
      <c r="E276" s="7">
        <f>IF('COPY 10 %'!$A276="","",'COPY 10 %'!O276)</f>
        <v/>
      </c>
      <c r="F276" s="7">
        <f>IF('COPY 10 %'!$A276="","",'COPY 10 %'!L276)</f>
        <v/>
      </c>
      <c r="G276" s="7">
        <f>IF('COPY 10 %'!$A276="","",'COPY 10 %'!S276)</f>
        <v/>
      </c>
      <c r="H276">
        <f>IF('COPY 10 %'!$A276="","",'COPY 10 %'!P276)</f>
        <v/>
      </c>
      <c r="I276">
        <f>IF('COPY 10 %'!$A276="","",'COPY 10 %'!M276)</f>
        <v/>
      </c>
      <c r="J276" s="7">
        <f>IF('COPY 10 %'!$A276="","",'COPY 10 %'!Q276)</f>
        <v/>
      </c>
      <c r="K276" s="7">
        <f>IF('COPY 10 %'!$A276="","",'COPY 10 %'!H276)</f>
        <v/>
      </c>
      <c r="L276" s="7">
        <f>IF('COPY 10 %'!$A276="","",'COPY 10 %'!T276)</f>
        <v/>
      </c>
      <c r="M276">
        <f>IF('COPY 10 %'!$A276="","",'COPY 10 %'!G276)</f>
        <v/>
      </c>
    </row>
    <row r="277">
      <c r="A277">
        <f>IF('COPY 10 %'!$A277="","",ROWS($A$2:$A277))</f>
        <v/>
      </c>
      <c r="B277">
        <f>IF('COPY 10 %'!$A277="","",'COPY 10 %'!E277)</f>
        <v/>
      </c>
      <c r="C277">
        <f>IF('COPY 10 %'!$A277="","",'COPY 10 %'!F277)</f>
        <v/>
      </c>
      <c r="D277" s="14">
        <f>IF('COPY 10 %'!$A277="","",'COPY 10 %'!I277)</f>
        <v/>
      </c>
      <c r="E277" s="7">
        <f>IF('COPY 10 %'!$A277="","",'COPY 10 %'!O277)</f>
        <v/>
      </c>
      <c r="F277" s="7">
        <f>IF('COPY 10 %'!$A277="","",'COPY 10 %'!L277)</f>
        <v/>
      </c>
      <c r="G277" s="7">
        <f>IF('COPY 10 %'!$A277="","",'COPY 10 %'!S277)</f>
        <v/>
      </c>
      <c r="H277">
        <f>IF('COPY 10 %'!$A277="","",'COPY 10 %'!P277)</f>
        <v/>
      </c>
      <c r="I277">
        <f>IF('COPY 10 %'!$A277="","",'COPY 10 %'!M277)</f>
        <v/>
      </c>
      <c r="J277" s="7">
        <f>IF('COPY 10 %'!$A277="","",'COPY 10 %'!Q277)</f>
        <v/>
      </c>
      <c r="K277" s="7">
        <f>IF('COPY 10 %'!$A277="","",'COPY 10 %'!H277)</f>
        <v/>
      </c>
      <c r="L277" s="7">
        <f>IF('COPY 10 %'!$A277="","",'COPY 10 %'!T277)</f>
        <v/>
      </c>
      <c r="M277">
        <f>IF('COPY 10 %'!$A277="","",'COPY 10 %'!G277)</f>
        <v/>
      </c>
    </row>
    <row r="278">
      <c r="A278">
        <f>IF('COPY 10 %'!$A278="","",ROWS($A$2:$A278))</f>
        <v/>
      </c>
      <c r="B278">
        <f>IF('COPY 10 %'!$A278="","",'COPY 10 %'!E278)</f>
        <v/>
      </c>
      <c r="C278">
        <f>IF('COPY 10 %'!$A278="","",'COPY 10 %'!F278)</f>
        <v/>
      </c>
      <c r="D278" s="14">
        <f>IF('COPY 10 %'!$A278="","",'COPY 10 %'!I278)</f>
        <v/>
      </c>
      <c r="E278" s="7">
        <f>IF('COPY 10 %'!$A278="","",'COPY 10 %'!O278)</f>
        <v/>
      </c>
      <c r="F278" s="7">
        <f>IF('COPY 10 %'!$A278="","",'COPY 10 %'!L278)</f>
        <v/>
      </c>
      <c r="G278" s="7">
        <f>IF('COPY 10 %'!$A278="","",'COPY 10 %'!S278)</f>
        <v/>
      </c>
      <c r="H278">
        <f>IF('COPY 10 %'!$A278="","",'COPY 10 %'!P278)</f>
        <v/>
      </c>
      <c r="I278">
        <f>IF('COPY 10 %'!$A278="","",'COPY 10 %'!M278)</f>
        <v/>
      </c>
      <c r="J278" s="7">
        <f>IF('COPY 10 %'!$A278="","",'COPY 10 %'!Q278)</f>
        <v/>
      </c>
      <c r="K278" s="7">
        <f>IF('COPY 10 %'!$A278="","",'COPY 10 %'!H278)</f>
        <v/>
      </c>
      <c r="L278" s="7">
        <f>IF('COPY 10 %'!$A278="","",'COPY 10 %'!T278)</f>
        <v/>
      </c>
      <c r="M278">
        <f>IF('COPY 10 %'!$A278="","",'COPY 10 %'!G278)</f>
        <v/>
      </c>
    </row>
    <row r="279">
      <c r="A279">
        <f>IF('COPY 10 %'!$A279="","",ROWS($A$2:$A279))</f>
        <v/>
      </c>
      <c r="B279">
        <f>IF('COPY 10 %'!$A279="","",'COPY 10 %'!E279)</f>
        <v/>
      </c>
      <c r="C279">
        <f>IF('COPY 10 %'!$A279="","",'COPY 10 %'!F279)</f>
        <v/>
      </c>
      <c r="D279" s="14">
        <f>IF('COPY 10 %'!$A279="","",'COPY 10 %'!I279)</f>
        <v/>
      </c>
      <c r="E279" s="7">
        <f>IF('COPY 10 %'!$A279="","",'COPY 10 %'!O279)</f>
        <v/>
      </c>
      <c r="F279" s="7">
        <f>IF('COPY 10 %'!$A279="","",'COPY 10 %'!L279)</f>
        <v/>
      </c>
      <c r="G279" s="7">
        <f>IF('COPY 10 %'!$A279="","",'COPY 10 %'!S279)</f>
        <v/>
      </c>
      <c r="H279">
        <f>IF('COPY 10 %'!$A279="","",'COPY 10 %'!P279)</f>
        <v/>
      </c>
      <c r="I279">
        <f>IF('COPY 10 %'!$A279="","",'COPY 10 %'!M279)</f>
        <v/>
      </c>
      <c r="J279" s="7">
        <f>IF('COPY 10 %'!$A279="","",'COPY 10 %'!Q279)</f>
        <v/>
      </c>
      <c r="K279" s="7">
        <f>IF('COPY 10 %'!$A279="","",'COPY 10 %'!H279)</f>
        <v/>
      </c>
      <c r="L279" s="7">
        <f>IF('COPY 10 %'!$A279="","",'COPY 10 %'!T279)</f>
        <v/>
      </c>
      <c r="M279">
        <f>IF('COPY 10 %'!$A279="","",'COPY 10 %'!G279)</f>
        <v/>
      </c>
    </row>
    <row r="280">
      <c r="A280">
        <f>IF('COPY 10 %'!$A280="","",ROWS($A$2:$A280))</f>
        <v/>
      </c>
      <c r="B280">
        <f>IF('COPY 10 %'!$A280="","",'COPY 10 %'!E280)</f>
        <v/>
      </c>
      <c r="C280">
        <f>IF('COPY 10 %'!$A280="","",'COPY 10 %'!F280)</f>
        <v/>
      </c>
      <c r="D280" s="14">
        <f>IF('COPY 10 %'!$A280="","",'COPY 10 %'!I280)</f>
        <v/>
      </c>
      <c r="E280" s="7">
        <f>IF('COPY 10 %'!$A280="","",'COPY 10 %'!O280)</f>
        <v/>
      </c>
      <c r="F280" s="7">
        <f>IF('COPY 10 %'!$A280="","",'COPY 10 %'!L280)</f>
        <v/>
      </c>
      <c r="G280" s="7">
        <f>IF('COPY 10 %'!$A280="","",'COPY 10 %'!S280)</f>
        <v/>
      </c>
      <c r="H280">
        <f>IF('COPY 10 %'!$A280="","",'COPY 10 %'!P280)</f>
        <v/>
      </c>
      <c r="I280">
        <f>IF('COPY 10 %'!$A280="","",'COPY 10 %'!M280)</f>
        <v/>
      </c>
      <c r="J280" s="7">
        <f>IF('COPY 10 %'!$A280="","",'COPY 10 %'!Q280)</f>
        <v/>
      </c>
      <c r="K280" s="7">
        <f>IF('COPY 10 %'!$A280="","",'COPY 10 %'!H280)</f>
        <v/>
      </c>
      <c r="L280" s="7">
        <f>IF('COPY 10 %'!$A280="","",'COPY 10 %'!T280)</f>
        <v/>
      </c>
      <c r="M280">
        <f>IF('COPY 10 %'!$A280="","",'COPY 10 %'!G280)</f>
        <v/>
      </c>
    </row>
    <row r="281">
      <c r="A281">
        <f>IF('COPY 10 %'!$A281="","",ROWS($A$2:$A281))</f>
        <v/>
      </c>
      <c r="B281">
        <f>IF('COPY 10 %'!$A281="","",'COPY 10 %'!E281)</f>
        <v/>
      </c>
      <c r="C281">
        <f>IF('COPY 10 %'!$A281="","",'COPY 10 %'!F281)</f>
        <v/>
      </c>
      <c r="D281" s="14">
        <f>IF('COPY 10 %'!$A281="","",'COPY 10 %'!I281)</f>
        <v/>
      </c>
      <c r="E281" s="7">
        <f>IF('COPY 10 %'!$A281="","",'COPY 10 %'!O281)</f>
        <v/>
      </c>
      <c r="F281" s="7">
        <f>IF('COPY 10 %'!$A281="","",'COPY 10 %'!L281)</f>
        <v/>
      </c>
      <c r="G281" s="7">
        <f>IF('COPY 10 %'!$A281="","",'COPY 10 %'!S281)</f>
        <v/>
      </c>
      <c r="H281">
        <f>IF('COPY 10 %'!$A281="","",'COPY 10 %'!P281)</f>
        <v/>
      </c>
      <c r="I281">
        <f>IF('COPY 10 %'!$A281="","",'COPY 10 %'!M281)</f>
        <v/>
      </c>
      <c r="J281" s="7">
        <f>IF('COPY 10 %'!$A281="","",'COPY 10 %'!Q281)</f>
        <v/>
      </c>
      <c r="K281" s="7">
        <f>IF('COPY 10 %'!$A281="","",'COPY 10 %'!H281)</f>
        <v/>
      </c>
      <c r="L281" s="7">
        <f>IF('COPY 10 %'!$A281="","",'COPY 10 %'!T281)</f>
        <v/>
      </c>
      <c r="M281">
        <f>IF('COPY 10 %'!$A281="","",'COPY 10 %'!G281)</f>
        <v/>
      </c>
    </row>
    <row r="282">
      <c r="A282">
        <f>IF('COPY 10 %'!$A282="","",ROWS($A$2:$A282))</f>
        <v/>
      </c>
      <c r="B282">
        <f>IF('COPY 10 %'!$A282="","",'COPY 10 %'!E282)</f>
        <v/>
      </c>
      <c r="C282">
        <f>IF('COPY 10 %'!$A282="","",'COPY 10 %'!F282)</f>
        <v/>
      </c>
      <c r="D282" s="14">
        <f>IF('COPY 10 %'!$A282="","",'COPY 10 %'!I282)</f>
        <v/>
      </c>
      <c r="E282" s="7">
        <f>IF('COPY 10 %'!$A282="","",'COPY 10 %'!O282)</f>
        <v/>
      </c>
      <c r="F282" s="7">
        <f>IF('COPY 10 %'!$A282="","",'COPY 10 %'!L282)</f>
        <v/>
      </c>
      <c r="G282" s="7">
        <f>IF('COPY 10 %'!$A282="","",'COPY 10 %'!S282)</f>
        <v/>
      </c>
      <c r="H282">
        <f>IF('COPY 10 %'!$A282="","",'COPY 10 %'!P282)</f>
        <v/>
      </c>
      <c r="I282">
        <f>IF('COPY 10 %'!$A282="","",'COPY 10 %'!M282)</f>
        <v/>
      </c>
      <c r="J282" s="7">
        <f>IF('COPY 10 %'!$A282="","",'COPY 10 %'!Q282)</f>
        <v/>
      </c>
      <c r="K282" s="7">
        <f>IF('COPY 10 %'!$A282="","",'COPY 10 %'!H282)</f>
        <v/>
      </c>
      <c r="L282" s="7">
        <f>IF('COPY 10 %'!$A282="","",'COPY 10 %'!T282)</f>
        <v/>
      </c>
      <c r="M282">
        <f>IF('COPY 10 %'!$A282="","",'COPY 10 %'!G282)</f>
        <v/>
      </c>
    </row>
    <row r="283">
      <c r="A283">
        <f>IF('COPY 10 %'!$A283="","",ROWS($A$2:$A283))</f>
        <v/>
      </c>
      <c r="B283">
        <f>IF('COPY 10 %'!$A283="","",'COPY 10 %'!E283)</f>
        <v/>
      </c>
      <c r="C283">
        <f>IF('COPY 10 %'!$A283="","",'COPY 10 %'!F283)</f>
        <v/>
      </c>
      <c r="D283" s="14">
        <f>IF('COPY 10 %'!$A283="","",'COPY 10 %'!I283)</f>
        <v/>
      </c>
      <c r="E283" s="7">
        <f>IF('COPY 10 %'!$A283="","",'COPY 10 %'!O283)</f>
        <v/>
      </c>
      <c r="F283" s="7">
        <f>IF('COPY 10 %'!$A283="","",'COPY 10 %'!L283)</f>
        <v/>
      </c>
      <c r="G283" s="7">
        <f>IF('COPY 10 %'!$A283="","",'COPY 10 %'!S283)</f>
        <v/>
      </c>
      <c r="H283">
        <f>IF('COPY 10 %'!$A283="","",'COPY 10 %'!P283)</f>
        <v/>
      </c>
      <c r="I283">
        <f>IF('COPY 10 %'!$A283="","",'COPY 10 %'!M283)</f>
        <v/>
      </c>
      <c r="J283" s="7">
        <f>IF('COPY 10 %'!$A283="","",'COPY 10 %'!Q283)</f>
        <v/>
      </c>
      <c r="K283" s="7">
        <f>IF('COPY 10 %'!$A283="","",'COPY 10 %'!H283)</f>
        <v/>
      </c>
      <c r="L283" s="7">
        <f>IF('COPY 10 %'!$A283="","",'COPY 10 %'!T283)</f>
        <v/>
      </c>
      <c r="M283">
        <f>IF('COPY 10 %'!$A283="","",'COPY 10 %'!G283)</f>
        <v/>
      </c>
    </row>
    <row r="284">
      <c r="A284">
        <f>IF('COPY 10 %'!$A284="","",ROWS($A$2:$A284))</f>
        <v/>
      </c>
      <c r="B284">
        <f>IF('COPY 10 %'!$A284="","",'COPY 10 %'!E284)</f>
        <v/>
      </c>
      <c r="C284">
        <f>IF('COPY 10 %'!$A284="","",'COPY 10 %'!F284)</f>
        <v/>
      </c>
      <c r="D284" s="14">
        <f>IF('COPY 10 %'!$A284="","",'COPY 10 %'!I284)</f>
        <v/>
      </c>
      <c r="E284" s="7">
        <f>IF('COPY 10 %'!$A284="","",'COPY 10 %'!O284)</f>
        <v/>
      </c>
      <c r="F284" s="7">
        <f>IF('COPY 10 %'!$A284="","",'COPY 10 %'!L284)</f>
        <v/>
      </c>
      <c r="G284" s="7">
        <f>IF('COPY 10 %'!$A284="","",'COPY 10 %'!S284)</f>
        <v/>
      </c>
      <c r="H284">
        <f>IF('COPY 10 %'!$A284="","",'COPY 10 %'!P284)</f>
        <v/>
      </c>
      <c r="I284">
        <f>IF('COPY 10 %'!$A284="","",'COPY 10 %'!M284)</f>
        <v/>
      </c>
      <c r="J284" s="7">
        <f>IF('COPY 10 %'!$A284="","",'COPY 10 %'!Q284)</f>
        <v/>
      </c>
      <c r="K284" s="7">
        <f>IF('COPY 10 %'!$A284="","",'COPY 10 %'!H284)</f>
        <v/>
      </c>
      <c r="L284" s="7">
        <f>IF('COPY 10 %'!$A284="","",'COPY 10 %'!T284)</f>
        <v/>
      </c>
      <c r="M284">
        <f>IF('COPY 10 %'!$A284="","",'COPY 10 %'!G284)</f>
        <v/>
      </c>
    </row>
    <row r="285">
      <c r="A285">
        <f>IF('COPY 10 %'!$A285="","",ROWS($A$2:$A285))</f>
        <v/>
      </c>
      <c r="B285">
        <f>IF('COPY 10 %'!$A285="","",'COPY 10 %'!E285)</f>
        <v/>
      </c>
      <c r="C285">
        <f>IF('COPY 10 %'!$A285="","",'COPY 10 %'!F285)</f>
        <v/>
      </c>
      <c r="D285" s="14">
        <f>IF('COPY 10 %'!$A285="","",'COPY 10 %'!I285)</f>
        <v/>
      </c>
      <c r="E285" s="7">
        <f>IF('COPY 10 %'!$A285="","",'COPY 10 %'!O285)</f>
        <v/>
      </c>
      <c r="F285" s="7">
        <f>IF('COPY 10 %'!$A285="","",'COPY 10 %'!L285)</f>
        <v/>
      </c>
      <c r="G285" s="7">
        <f>IF('COPY 10 %'!$A285="","",'COPY 10 %'!S285)</f>
        <v/>
      </c>
      <c r="H285">
        <f>IF('COPY 10 %'!$A285="","",'COPY 10 %'!P285)</f>
        <v/>
      </c>
      <c r="I285">
        <f>IF('COPY 10 %'!$A285="","",'COPY 10 %'!M285)</f>
        <v/>
      </c>
      <c r="J285" s="7">
        <f>IF('COPY 10 %'!$A285="","",'COPY 10 %'!Q285)</f>
        <v/>
      </c>
      <c r="K285" s="7">
        <f>IF('COPY 10 %'!$A285="","",'COPY 10 %'!H285)</f>
        <v/>
      </c>
      <c r="L285" s="7">
        <f>IF('COPY 10 %'!$A285="","",'COPY 10 %'!T285)</f>
        <v/>
      </c>
      <c r="M285">
        <f>IF('COPY 10 %'!$A285="","",'COPY 10 %'!G285)</f>
        <v/>
      </c>
    </row>
    <row r="286">
      <c r="A286">
        <f>IF('COPY 10 %'!$A286="","",ROWS($A$2:$A286))</f>
        <v/>
      </c>
      <c r="B286">
        <f>IF('COPY 10 %'!$A286="","",'COPY 10 %'!E286)</f>
        <v/>
      </c>
      <c r="C286">
        <f>IF('COPY 10 %'!$A286="","",'COPY 10 %'!F286)</f>
        <v/>
      </c>
      <c r="D286" s="14">
        <f>IF('COPY 10 %'!$A286="","",'COPY 10 %'!I286)</f>
        <v/>
      </c>
      <c r="E286" s="7">
        <f>IF('COPY 10 %'!$A286="","",'COPY 10 %'!O286)</f>
        <v/>
      </c>
      <c r="F286" s="7">
        <f>IF('COPY 10 %'!$A286="","",'COPY 10 %'!L286)</f>
        <v/>
      </c>
      <c r="G286" s="7">
        <f>IF('COPY 10 %'!$A286="","",'COPY 10 %'!S286)</f>
        <v/>
      </c>
      <c r="H286">
        <f>IF('COPY 10 %'!$A286="","",'COPY 10 %'!P286)</f>
        <v/>
      </c>
      <c r="I286">
        <f>IF('COPY 10 %'!$A286="","",'COPY 10 %'!M286)</f>
        <v/>
      </c>
      <c r="J286" s="7">
        <f>IF('COPY 10 %'!$A286="","",'COPY 10 %'!Q286)</f>
        <v/>
      </c>
      <c r="K286" s="7">
        <f>IF('COPY 10 %'!$A286="","",'COPY 10 %'!H286)</f>
        <v/>
      </c>
      <c r="L286" s="7">
        <f>IF('COPY 10 %'!$A286="","",'COPY 10 %'!T286)</f>
        <v/>
      </c>
      <c r="M286">
        <f>IF('COPY 10 %'!$A286="","",'COPY 10 %'!G286)</f>
        <v/>
      </c>
    </row>
    <row r="287">
      <c r="A287">
        <f>IF('COPY 10 %'!$A287="","",ROWS($A$2:$A287))</f>
        <v/>
      </c>
      <c r="B287">
        <f>IF('COPY 10 %'!$A287="","",'COPY 10 %'!E287)</f>
        <v/>
      </c>
      <c r="C287">
        <f>IF('COPY 10 %'!$A287="","",'COPY 10 %'!F287)</f>
        <v/>
      </c>
      <c r="D287" s="14">
        <f>IF('COPY 10 %'!$A287="","",'COPY 10 %'!I287)</f>
        <v/>
      </c>
      <c r="E287" s="7">
        <f>IF('COPY 10 %'!$A287="","",'COPY 10 %'!O287)</f>
        <v/>
      </c>
      <c r="F287" s="7">
        <f>IF('COPY 10 %'!$A287="","",'COPY 10 %'!L287)</f>
        <v/>
      </c>
      <c r="G287" s="7">
        <f>IF('COPY 10 %'!$A287="","",'COPY 10 %'!S287)</f>
        <v/>
      </c>
      <c r="H287">
        <f>IF('COPY 10 %'!$A287="","",'COPY 10 %'!P287)</f>
        <v/>
      </c>
      <c r="I287">
        <f>IF('COPY 10 %'!$A287="","",'COPY 10 %'!M287)</f>
        <v/>
      </c>
      <c r="J287" s="7">
        <f>IF('COPY 10 %'!$A287="","",'COPY 10 %'!Q287)</f>
        <v/>
      </c>
      <c r="K287" s="7">
        <f>IF('COPY 10 %'!$A287="","",'COPY 10 %'!H287)</f>
        <v/>
      </c>
      <c r="L287" s="7">
        <f>IF('COPY 10 %'!$A287="","",'COPY 10 %'!T287)</f>
        <v/>
      </c>
      <c r="M287">
        <f>IF('COPY 10 %'!$A287="","",'COPY 10 %'!G287)</f>
        <v/>
      </c>
    </row>
    <row r="288">
      <c r="A288">
        <f>IF('COPY 10 %'!$A288="","",ROWS($A$2:$A288))</f>
        <v/>
      </c>
      <c r="B288">
        <f>IF('COPY 10 %'!$A288="","",'COPY 10 %'!E288)</f>
        <v/>
      </c>
      <c r="C288">
        <f>IF('COPY 10 %'!$A288="","",'COPY 10 %'!F288)</f>
        <v/>
      </c>
      <c r="D288" s="14">
        <f>IF('COPY 10 %'!$A288="","",'COPY 10 %'!I288)</f>
        <v/>
      </c>
      <c r="E288" s="7">
        <f>IF('COPY 10 %'!$A288="","",'COPY 10 %'!O288)</f>
        <v/>
      </c>
      <c r="F288" s="7">
        <f>IF('COPY 10 %'!$A288="","",'COPY 10 %'!L288)</f>
        <v/>
      </c>
      <c r="G288" s="7">
        <f>IF('COPY 10 %'!$A288="","",'COPY 10 %'!S288)</f>
        <v/>
      </c>
      <c r="H288">
        <f>IF('COPY 10 %'!$A288="","",'COPY 10 %'!P288)</f>
        <v/>
      </c>
      <c r="I288">
        <f>IF('COPY 10 %'!$A288="","",'COPY 10 %'!M288)</f>
        <v/>
      </c>
      <c r="J288" s="7">
        <f>IF('COPY 10 %'!$A288="","",'COPY 10 %'!Q288)</f>
        <v/>
      </c>
      <c r="K288" s="7">
        <f>IF('COPY 10 %'!$A288="","",'COPY 10 %'!H288)</f>
        <v/>
      </c>
      <c r="L288" s="7">
        <f>IF('COPY 10 %'!$A288="","",'COPY 10 %'!T288)</f>
        <v/>
      </c>
      <c r="M288">
        <f>IF('COPY 10 %'!$A288="","",'COPY 10 %'!G288)</f>
        <v/>
      </c>
    </row>
    <row r="289">
      <c r="A289">
        <f>IF('COPY 10 %'!$A289="","",ROWS($A$2:$A289))</f>
        <v/>
      </c>
      <c r="B289">
        <f>IF('COPY 10 %'!$A289="","",'COPY 10 %'!E289)</f>
        <v/>
      </c>
      <c r="C289">
        <f>IF('COPY 10 %'!$A289="","",'COPY 10 %'!F289)</f>
        <v/>
      </c>
      <c r="D289" s="14">
        <f>IF('COPY 10 %'!$A289="","",'COPY 10 %'!I289)</f>
        <v/>
      </c>
      <c r="E289" s="7">
        <f>IF('COPY 10 %'!$A289="","",'COPY 10 %'!O289)</f>
        <v/>
      </c>
      <c r="F289" s="7">
        <f>IF('COPY 10 %'!$A289="","",'COPY 10 %'!L289)</f>
        <v/>
      </c>
      <c r="G289" s="7">
        <f>IF('COPY 10 %'!$A289="","",'COPY 10 %'!S289)</f>
        <v/>
      </c>
      <c r="H289">
        <f>IF('COPY 10 %'!$A289="","",'COPY 10 %'!P289)</f>
        <v/>
      </c>
      <c r="I289">
        <f>IF('COPY 10 %'!$A289="","",'COPY 10 %'!M289)</f>
        <v/>
      </c>
      <c r="J289" s="7">
        <f>IF('COPY 10 %'!$A289="","",'COPY 10 %'!Q289)</f>
        <v/>
      </c>
      <c r="K289" s="7">
        <f>IF('COPY 10 %'!$A289="","",'COPY 10 %'!H289)</f>
        <v/>
      </c>
      <c r="L289" s="7">
        <f>IF('COPY 10 %'!$A289="","",'COPY 10 %'!T289)</f>
        <v/>
      </c>
      <c r="M289">
        <f>IF('COPY 10 %'!$A289="","",'COPY 10 %'!G289)</f>
        <v/>
      </c>
    </row>
    <row r="290">
      <c r="A290">
        <f>IF('COPY 10 %'!$A290="","",ROWS($A$2:$A290))</f>
        <v/>
      </c>
      <c r="B290">
        <f>IF('COPY 10 %'!$A290="","",'COPY 10 %'!E290)</f>
        <v/>
      </c>
      <c r="C290">
        <f>IF('COPY 10 %'!$A290="","",'COPY 10 %'!F290)</f>
        <v/>
      </c>
      <c r="D290" s="14">
        <f>IF('COPY 10 %'!$A290="","",'COPY 10 %'!I290)</f>
        <v/>
      </c>
      <c r="E290" s="7">
        <f>IF('COPY 10 %'!$A290="","",'COPY 10 %'!O290)</f>
        <v/>
      </c>
      <c r="F290" s="7">
        <f>IF('COPY 10 %'!$A290="","",'COPY 10 %'!L290)</f>
        <v/>
      </c>
      <c r="G290" s="7">
        <f>IF('COPY 10 %'!$A290="","",'COPY 10 %'!S290)</f>
        <v/>
      </c>
      <c r="H290">
        <f>IF('COPY 10 %'!$A290="","",'COPY 10 %'!P290)</f>
        <v/>
      </c>
      <c r="I290">
        <f>IF('COPY 10 %'!$A290="","",'COPY 10 %'!M290)</f>
        <v/>
      </c>
      <c r="J290" s="7">
        <f>IF('COPY 10 %'!$A290="","",'COPY 10 %'!Q290)</f>
        <v/>
      </c>
      <c r="K290" s="7">
        <f>IF('COPY 10 %'!$A290="","",'COPY 10 %'!H290)</f>
        <v/>
      </c>
      <c r="L290" s="7">
        <f>IF('COPY 10 %'!$A290="","",'COPY 10 %'!T290)</f>
        <v/>
      </c>
      <c r="M290">
        <f>IF('COPY 10 %'!$A290="","",'COPY 10 %'!G290)</f>
        <v/>
      </c>
    </row>
    <row r="291">
      <c r="A291">
        <f>IF('COPY 10 %'!$A291="","",ROWS($A$2:$A291))</f>
        <v/>
      </c>
      <c r="B291">
        <f>IF('COPY 10 %'!$A291="","",'COPY 10 %'!E291)</f>
        <v/>
      </c>
      <c r="C291">
        <f>IF('COPY 10 %'!$A291="","",'COPY 10 %'!F291)</f>
        <v/>
      </c>
      <c r="D291" s="14">
        <f>IF('COPY 10 %'!$A291="","",'COPY 10 %'!I291)</f>
        <v/>
      </c>
      <c r="E291" s="7">
        <f>IF('COPY 10 %'!$A291="","",'COPY 10 %'!O291)</f>
        <v/>
      </c>
      <c r="F291" s="7">
        <f>IF('COPY 10 %'!$A291="","",'COPY 10 %'!L291)</f>
        <v/>
      </c>
      <c r="G291" s="7">
        <f>IF('COPY 10 %'!$A291="","",'COPY 10 %'!S291)</f>
        <v/>
      </c>
      <c r="H291">
        <f>IF('COPY 10 %'!$A291="","",'COPY 10 %'!P291)</f>
        <v/>
      </c>
      <c r="I291">
        <f>IF('COPY 10 %'!$A291="","",'COPY 10 %'!M291)</f>
        <v/>
      </c>
      <c r="J291" s="7">
        <f>IF('COPY 10 %'!$A291="","",'COPY 10 %'!Q291)</f>
        <v/>
      </c>
      <c r="K291" s="7">
        <f>IF('COPY 10 %'!$A291="","",'COPY 10 %'!H291)</f>
        <v/>
      </c>
      <c r="L291" s="7">
        <f>IF('COPY 10 %'!$A291="","",'COPY 10 %'!T291)</f>
        <v/>
      </c>
      <c r="M291">
        <f>IF('COPY 10 %'!$A291="","",'COPY 10 %'!G291)</f>
        <v/>
      </c>
    </row>
    <row r="292">
      <c r="A292">
        <f>IF('COPY 10 %'!$A292="","",ROWS($A$2:$A292))</f>
        <v/>
      </c>
      <c r="B292">
        <f>IF('COPY 10 %'!$A292="","",'COPY 10 %'!E292)</f>
        <v/>
      </c>
      <c r="C292">
        <f>IF('COPY 10 %'!$A292="","",'COPY 10 %'!F292)</f>
        <v/>
      </c>
      <c r="D292" s="14">
        <f>IF('COPY 10 %'!$A292="","",'COPY 10 %'!I292)</f>
        <v/>
      </c>
      <c r="E292" s="7">
        <f>IF('COPY 10 %'!$A292="","",'COPY 10 %'!O292)</f>
        <v/>
      </c>
      <c r="F292" s="7">
        <f>IF('COPY 10 %'!$A292="","",'COPY 10 %'!L292)</f>
        <v/>
      </c>
      <c r="G292" s="7">
        <f>IF('COPY 10 %'!$A292="","",'COPY 10 %'!S292)</f>
        <v/>
      </c>
      <c r="H292">
        <f>IF('COPY 10 %'!$A292="","",'COPY 10 %'!P292)</f>
        <v/>
      </c>
      <c r="I292">
        <f>IF('COPY 10 %'!$A292="","",'COPY 10 %'!M292)</f>
        <v/>
      </c>
      <c r="J292" s="7">
        <f>IF('COPY 10 %'!$A292="","",'COPY 10 %'!Q292)</f>
        <v/>
      </c>
      <c r="K292" s="7">
        <f>IF('COPY 10 %'!$A292="","",'COPY 10 %'!H292)</f>
        <v/>
      </c>
      <c r="L292" s="7">
        <f>IF('COPY 10 %'!$A292="","",'COPY 10 %'!T292)</f>
        <v/>
      </c>
      <c r="M292">
        <f>IF('COPY 10 %'!$A292="","",'COPY 10 %'!G292)</f>
        <v/>
      </c>
    </row>
    <row r="293">
      <c r="A293">
        <f>IF('COPY 10 %'!$A293="","",ROWS($A$2:$A293))</f>
        <v/>
      </c>
      <c r="B293">
        <f>IF('COPY 10 %'!$A293="","",'COPY 10 %'!E293)</f>
        <v/>
      </c>
      <c r="C293">
        <f>IF('COPY 10 %'!$A293="","",'COPY 10 %'!F293)</f>
        <v/>
      </c>
      <c r="D293" s="14">
        <f>IF('COPY 10 %'!$A293="","",'COPY 10 %'!I293)</f>
        <v/>
      </c>
      <c r="E293" s="7">
        <f>IF('COPY 10 %'!$A293="","",'COPY 10 %'!O293)</f>
        <v/>
      </c>
      <c r="F293" s="7">
        <f>IF('COPY 10 %'!$A293="","",'COPY 10 %'!L293)</f>
        <v/>
      </c>
      <c r="G293" s="7">
        <f>IF('COPY 10 %'!$A293="","",'COPY 10 %'!S293)</f>
        <v/>
      </c>
      <c r="H293">
        <f>IF('COPY 10 %'!$A293="","",'COPY 10 %'!P293)</f>
        <v/>
      </c>
      <c r="I293">
        <f>IF('COPY 10 %'!$A293="","",'COPY 10 %'!M293)</f>
        <v/>
      </c>
      <c r="J293" s="7">
        <f>IF('COPY 10 %'!$A293="","",'COPY 10 %'!Q293)</f>
        <v/>
      </c>
      <c r="K293" s="7">
        <f>IF('COPY 10 %'!$A293="","",'COPY 10 %'!H293)</f>
        <v/>
      </c>
      <c r="L293" s="7">
        <f>IF('COPY 10 %'!$A293="","",'COPY 10 %'!T293)</f>
        <v/>
      </c>
      <c r="M293">
        <f>IF('COPY 10 %'!$A293="","",'COPY 10 %'!G293)</f>
        <v/>
      </c>
    </row>
    <row r="294">
      <c r="A294">
        <f>IF('COPY 10 %'!$A294="","",ROWS($A$2:$A294))</f>
        <v/>
      </c>
      <c r="B294">
        <f>IF('COPY 10 %'!$A294="","",'COPY 10 %'!E294)</f>
        <v/>
      </c>
      <c r="C294">
        <f>IF('COPY 10 %'!$A294="","",'COPY 10 %'!F294)</f>
        <v/>
      </c>
      <c r="D294" s="14">
        <f>IF('COPY 10 %'!$A294="","",'COPY 10 %'!I294)</f>
        <v/>
      </c>
      <c r="E294" s="7">
        <f>IF('COPY 10 %'!$A294="","",'COPY 10 %'!O294)</f>
        <v/>
      </c>
      <c r="F294" s="7">
        <f>IF('COPY 10 %'!$A294="","",'COPY 10 %'!L294)</f>
        <v/>
      </c>
      <c r="G294" s="7">
        <f>IF('COPY 10 %'!$A294="","",'COPY 10 %'!S294)</f>
        <v/>
      </c>
      <c r="H294">
        <f>IF('COPY 10 %'!$A294="","",'COPY 10 %'!P294)</f>
        <v/>
      </c>
      <c r="I294">
        <f>IF('COPY 10 %'!$A294="","",'COPY 10 %'!M294)</f>
        <v/>
      </c>
      <c r="J294" s="7">
        <f>IF('COPY 10 %'!$A294="","",'COPY 10 %'!Q294)</f>
        <v/>
      </c>
      <c r="K294" s="7">
        <f>IF('COPY 10 %'!$A294="","",'COPY 10 %'!H294)</f>
        <v/>
      </c>
      <c r="L294" s="7">
        <f>IF('COPY 10 %'!$A294="","",'COPY 10 %'!T294)</f>
        <v/>
      </c>
      <c r="M294">
        <f>IF('COPY 10 %'!$A294="","",'COPY 10 %'!G294)</f>
        <v/>
      </c>
    </row>
    <row r="295">
      <c r="A295">
        <f>IF('COPY 10 %'!$A295="","",ROWS($A$2:$A295))</f>
        <v/>
      </c>
      <c r="B295">
        <f>IF('COPY 10 %'!$A295="","",'COPY 10 %'!E295)</f>
        <v/>
      </c>
      <c r="C295">
        <f>IF('COPY 10 %'!$A295="","",'COPY 10 %'!F295)</f>
        <v/>
      </c>
      <c r="D295" s="14">
        <f>IF('COPY 10 %'!$A295="","",'COPY 10 %'!I295)</f>
        <v/>
      </c>
      <c r="E295" s="7">
        <f>IF('COPY 10 %'!$A295="","",'COPY 10 %'!O295)</f>
        <v/>
      </c>
      <c r="F295" s="7">
        <f>IF('COPY 10 %'!$A295="","",'COPY 10 %'!L295)</f>
        <v/>
      </c>
      <c r="G295" s="7">
        <f>IF('COPY 10 %'!$A295="","",'COPY 10 %'!S295)</f>
        <v/>
      </c>
      <c r="H295">
        <f>IF('COPY 10 %'!$A295="","",'COPY 10 %'!P295)</f>
        <v/>
      </c>
      <c r="I295">
        <f>IF('COPY 10 %'!$A295="","",'COPY 10 %'!M295)</f>
        <v/>
      </c>
      <c r="J295" s="7">
        <f>IF('COPY 10 %'!$A295="","",'COPY 10 %'!Q295)</f>
        <v/>
      </c>
      <c r="K295" s="7">
        <f>IF('COPY 10 %'!$A295="","",'COPY 10 %'!H295)</f>
        <v/>
      </c>
      <c r="L295" s="7">
        <f>IF('COPY 10 %'!$A295="","",'COPY 10 %'!T295)</f>
        <v/>
      </c>
      <c r="M295">
        <f>IF('COPY 10 %'!$A295="","",'COPY 10 %'!G295)</f>
        <v/>
      </c>
    </row>
    <row r="296">
      <c r="A296">
        <f>IF('COPY 10 %'!$A296="","",ROWS($A$2:$A296))</f>
        <v/>
      </c>
      <c r="B296">
        <f>IF('COPY 10 %'!$A296="","",'COPY 10 %'!E296)</f>
        <v/>
      </c>
      <c r="C296">
        <f>IF('COPY 10 %'!$A296="","",'COPY 10 %'!F296)</f>
        <v/>
      </c>
      <c r="D296" s="14">
        <f>IF('COPY 10 %'!$A296="","",'COPY 10 %'!I296)</f>
        <v/>
      </c>
      <c r="E296" s="7">
        <f>IF('COPY 10 %'!$A296="","",'COPY 10 %'!O296)</f>
        <v/>
      </c>
      <c r="F296" s="7">
        <f>IF('COPY 10 %'!$A296="","",'COPY 10 %'!L296)</f>
        <v/>
      </c>
      <c r="G296" s="7">
        <f>IF('COPY 10 %'!$A296="","",'COPY 10 %'!S296)</f>
        <v/>
      </c>
      <c r="H296">
        <f>IF('COPY 10 %'!$A296="","",'COPY 10 %'!P296)</f>
        <v/>
      </c>
      <c r="I296">
        <f>IF('COPY 10 %'!$A296="","",'COPY 10 %'!M296)</f>
        <v/>
      </c>
      <c r="J296" s="7">
        <f>IF('COPY 10 %'!$A296="","",'COPY 10 %'!Q296)</f>
        <v/>
      </c>
      <c r="K296" s="7">
        <f>IF('COPY 10 %'!$A296="","",'COPY 10 %'!H296)</f>
        <v/>
      </c>
      <c r="L296" s="7">
        <f>IF('COPY 10 %'!$A296="","",'COPY 10 %'!T296)</f>
        <v/>
      </c>
      <c r="M296">
        <f>IF('COPY 10 %'!$A296="","",'COPY 10 %'!G296)</f>
        <v/>
      </c>
    </row>
    <row r="297">
      <c r="A297">
        <f>IF('COPY 10 %'!$A297="","",ROWS($A$2:$A297))</f>
        <v/>
      </c>
      <c r="B297">
        <f>IF('COPY 10 %'!$A297="","",'COPY 10 %'!E297)</f>
        <v/>
      </c>
      <c r="C297">
        <f>IF('COPY 10 %'!$A297="","",'COPY 10 %'!F297)</f>
        <v/>
      </c>
      <c r="D297" s="14">
        <f>IF('COPY 10 %'!$A297="","",'COPY 10 %'!I297)</f>
        <v/>
      </c>
      <c r="E297" s="7">
        <f>IF('COPY 10 %'!$A297="","",'COPY 10 %'!O297)</f>
        <v/>
      </c>
      <c r="F297" s="7">
        <f>IF('COPY 10 %'!$A297="","",'COPY 10 %'!L297)</f>
        <v/>
      </c>
      <c r="G297" s="7">
        <f>IF('COPY 10 %'!$A297="","",'COPY 10 %'!S297)</f>
        <v/>
      </c>
      <c r="H297">
        <f>IF('COPY 10 %'!$A297="","",'COPY 10 %'!P297)</f>
        <v/>
      </c>
      <c r="I297">
        <f>IF('COPY 10 %'!$A297="","",'COPY 10 %'!M297)</f>
        <v/>
      </c>
      <c r="J297" s="7">
        <f>IF('COPY 10 %'!$A297="","",'COPY 10 %'!Q297)</f>
        <v/>
      </c>
      <c r="K297" s="7">
        <f>IF('COPY 10 %'!$A297="","",'COPY 10 %'!H297)</f>
        <v/>
      </c>
      <c r="L297" s="7">
        <f>IF('COPY 10 %'!$A297="","",'COPY 10 %'!T297)</f>
        <v/>
      </c>
      <c r="M297">
        <f>IF('COPY 10 %'!$A297="","",'COPY 10 %'!G297)</f>
        <v/>
      </c>
    </row>
    <row r="298">
      <c r="A298">
        <f>IF('COPY 10 %'!$A298="","",ROWS($A$2:$A298))</f>
        <v/>
      </c>
      <c r="B298">
        <f>IF('COPY 10 %'!$A298="","",'COPY 10 %'!E298)</f>
        <v/>
      </c>
      <c r="C298">
        <f>IF('COPY 10 %'!$A298="","",'COPY 10 %'!F298)</f>
        <v/>
      </c>
      <c r="D298" s="14">
        <f>IF('COPY 10 %'!$A298="","",'COPY 10 %'!I298)</f>
        <v/>
      </c>
      <c r="E298" s="7">
        <f>IF('COPY 10 %'!$A298="","",'COPY 10 %'!O298)</f>
        <v/>
      </c>
      <c r="F298" s="7">
        <f>IF('COPY 10 %'!$A298="","",'COPY 10 %'!L298)</f>
        <v/>
      </c>
      <c r="G298" s="7">
        <f>IF('COPY 10 %'!$A298="","",'COPY 10 %'!S298)</f>
        <v/>
      </c>
      <c r="H298">
        <f>IF('COPY 10 %'!$A298="","",'COPY 10 %'!P298)</f>
        <v/>
      </c>
      <c r="I298">
        <f>IF('COPY 10 %'!$A298="","",'COPY 10 %'!M298)</f>
        <v/>
      </c>
      <c r="J298" s="7">
        <f>IF('COPY 10 %'!$A298="","",'COPY 10 %'!Q298)</f>
        <v/>
      </c>
      <c r="K298" s="7">
        <f>IF('COPY 10 %'!$A298="","",'COPY 10 %'!H298)</f>
        <v/>
      </c>
      <c r="L298" s="7">
        <f>IF('COPY 10 %'!$A298="","",'COPY 10 %'!T298)</f>
        <v/>
      </c>
      <c r="M298">
        <f>IF('COPY 10 %'!$A298="","",'COPY 10 %'!G298)</f>
        <v/>
      </c>
    </row>
    <row r="299">
      <c r="A299">
        <f>IF('COPY 10 %'!$A299="","",ROWS($A$2:$A299))</f>
        <v/>
      </c>
      <c r="B299">
        <f>IF('COPY 10 %'!$A299="","",'COPY 10 %'!E299)</f>
        <v/>
      </c>
      <c r="C299">
        <f>IF('COPY 10 %'!$A299="","",'COPY 10 %'!F299)</f>
        <v/>
      </c>
      <c r="D299" s="14">
        <f>IF('COPY 10 %'!$A299="","",'COPY 10 %'!I299)</f>
        <v/>
      </c>
      <c r="E299" s="7">
        <f>IF('COPY 10 %'!$A299="","",'COPY 10 %'!O299)</f>
        <v/>
      </c>
      <c r="F299" s="7">
        <f>IF('COPY 10 %'!$A299="","",'COPY 10 %'!L299)</f>
        <v/>
      </c>
      <c r="G299" s="7">
        <f>IF('COPY 10 %'!$A299="","",'COPY 10 %'!S299)</f>
        <v/>
      </c>
      <c r="H299">
        <f>IF('COPY 10 %'!$A299="","",'COPY 10 %'!P299)</f>
        <v/>
      </c>
      <c r="I299">
        <f>IF('COPY 10 %'!$A299="","",'COPY 10 %'!M299)</f>
        <v/>
      </c>
      <c r="J299" s="7">
        <f>IF('COPY 10 %'!$A299="","",'COPY 10 %'!Q299)</f>
        <v/>
      </c>
      <c r="K299" s="7">
        <f>IF('COPY 10 %'!$A299="","",'COPY 10 %'!H299)</f>
        <v/>
      </c>
      <c r="L299" s="7">
        <f>IF('COPY 10 %'!$A299="","",'COPY 10 %'!T299)</f>
        <v/>
      </c>
      <c r="M299">
        <f>IF('COPY 10 %'!$A299="","",'COPY 10 %'!G299)</f>
        <v/>
      </c>
    </row>
    <row r="300">
      <c r="A300">
        <f>IF('COPY 10 %'!$A300="","",ROWS($A$2:$A300))</f>
        <v/>
      </c>
      <c r="B300">
        <f>IF('COPY 10 %'!$A300="","",'COPY 10 %'!E300)</f>
        <v/>
      </c>
      <c r="C300">
        <f>IF('COPY 10 %'!$A300="","",'COPY 10 %'!F300)</f>
        <v/>
      </c>
      <c r="D300" s="14">
        <f>IF('COPY 10 %'!$A300="","",'COPY 10 %'!I300)</f>
        <v/>
      </c>
      <c r="E300" s="7">
        <f>IF('COPY 10 %'!$A300="","",'COPY 10 %'!O300)</f>
        <v/>
      </c>
      <c r="F300" s="7">
        <f>IF('COPY 10 %'!$A300="","",'COPY 10 %'!L300)</f>
        <v/>
      </c>
      <c r="G300" s="7">
        <f>IF('COPY 10 %'!$A300="","",'COPY 10 %'!S300)</f>
        <v/>
      </c>
      <c r="H300">
        <f>IF('COPY 10 %'!$A300="","",'COPY 10 %'!P300)</f>
        <v/>
      </c>
      <c r="I300">
        <f>IF('COPY 10 %'!$A300="","",'COPY 10 %'!M300)</f>
        <v/>
      </c>
      <c r="J300" s="7">
        <f>IF('COPY 10 %'!$A300="","",'COPY 10 %'!Q300)</f>
        <v/>
      </c>
      <c r="K300" s="7">
        <f>IF('COPY 10 %'!$A300="","",'COPY 10 %'!H300)</f>
        <v/>
      </c>
      <c r="L300" s="7">
        <f>IF('COPY 10 %'!$A300="","",'COPY 10 %'!T300)</f>
        <v/>
      </c>
      <c r="M300">
        <f>IF('COPY 10 %'!$A300="","",'COPY 10 %'!G300)</f>
        <v/>
      </c>
    </row>
    <row r="301">
      <c r="A301">
        <f>IF('COPY 10 %'!$A301="","",ROWS($A$2:$A301))</f>
        <v/>
      </c>
      <c r="B301">
        <f>IF('COPY 10 %'!$A301="","",'COPY 10 %'!E301)</f>
        <v/>
      </c>
      <c r="C301">
        <f>IF('COPY 10 %'!$A301="","",'COPY 10 %'!F301)</f>
        <v/>
      </c>
      <c r="D301" s="14">
        <f>IF('COPY 10 %'!$A301="","",'COPY 10 %'!I301)</f>
        <v/>
      </c>
      <c r="E301" s="7">
        <f>IF('COPY 10 %'!$A301="","",'COPY 10 %'!O301)</f>
        <v/>
      </c>
      <c r="F301" s="7">
        <f>IF('COPY 10 %'!$A301="","",'COPY 10 %'!L301)</f>
        <v/>
      </c>
      <c r="G301" s="7">
        <f>IF('COPY 10 %'!$A301="","",'COPY 10 %'!S301)</f>
        <v/>
      </c>
      <c r="H301">
        <f>IF('COPY 10 %'!$A301="","",'COPY 10 %'!P301)</f>
        <v/>
      </c>
      <c r="I301">
        <f>IF('COPY 10 %'!$A301="","",'COPY 10 %'!M301)</f>
        <v/>
      </c>
      <c r="J301" s="7">
        <f>IF('COPY 10 %'!$A301="","",'COPY 10 %'!Q301)</f>
        <v/>
      </c>
      <c r="K301" s="7">
        <f>IF('COPY 10 %'!$A301="","",'COPY 10 %'!H301)</f>
        <v/>
      </c>
      <c r="L301" s="7">
        <f>IF('COPY 10 %'!$A301="","",'COPY 10 %'!T301)</f>
        <v/>
      </c>
      <c r="M301">
        <f>IF('COPY 10 %'!$A301="","",'COPY 10 %'!G301)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10" t="inlineStr">
        <is>
          <t>م</t>
        </is>
      </c>
      <c r="B1" s="10" t="inlineStr">
        <is>
          <t>الاسم</t>
        </is>
      </c>
      <c r="C1" s="10" t="inlineStr">
        <is>
          <t>رقم الاداء</t>
        </is>
      </c>
      <c r="D1" s="10" t="inlineStr">
        <is>
          <t>التاريخ</t>
        </is>
      </c>
      <c r="E1" s="10" t="inlineStr">
        <is>
          <t>محلي قبل الخصم</t>
        </is>
      </c>
      <c r="F1" s="10" t="inlineStr">
        <is>
          <t>مستورد قبل الخصم</t>
        </is>
      </c>
      <c r="G1" s="10" t="inlineStr">
        <is>
          <t>الاجمالي قبل الخصم</t>
        </is>
      </c>
      <c r="H1" s="10" t="inlineStr">
        <is>
          <t>قيمه خصم المحلي</t>
        </is>
      </c>
      <c r="I1" s="10" t="inlineStr">
        <is>
          <t>قيمه خصم المستورد</t>
        </is>
      </c>
      <c r="J1" s="10" t="inlineStr">
        <is>
          <t>اجمالي قيمه الخصم</t>
        </is>
      </c>
      <c r="K1" s="10" t="inlineStr">
        <is>
          <t>تحمل المريض</t>
        </is>
      </c>
      <c r="L1" s="10" t="inlineStr">
        <is>
          <t>الصافي</t>
        </is>
      </c>
      <c r="M1" s="10" t="inlineStr">
        <is>
          <t>نسبه التحمل</t>
        </is>
      </c>
    </row>
    <row r="2">
      <c r="A2">
        <f>IF('Extra 1'!$A2="","",ROWS($A$2:$A2))</f>
        <v/>
      </c>
      <c r="B2">
        <f>IF('Extra 1'!$A2="","",'Extra 1'!E2)</f>
        <v/>
      </c>
      <c r="C2">
        <f>IF('Extra 1'!$A2="","",'Extra 1'!F2)</f>
        <v/>
      </c>
      <c r="D2" s="14">
        <f>IF('Extra 1'!$A2="","",'Extra 1'!I2)</f>
        <v/>
      </c>
      <c r="E2" s="7">
        <f>IF('Extra 1'!$A2="","",'Extra 1'!O2)</f>
        <v/>
      </c>
      <c r="F2" s="7">
        <f>IF('Extra 1'!$A2="","",'Extra 1'!L2)</f>
        <v/>
      </c>
      <c r="G2" s="7">
        <f>IF('Extra 1'!$A2="","",'Extra 1'!S2)</f>
        <v/>
      </c>
      <c r="H2">
        <f>IF('Extra 1'!$A2="","",'Extra 1'!P2)</f>
        <v/>
      </c>
      <c r="I2">
        <f>IF('Extra 1'!$A2="","",'Extra 1'!M2)</f>
        <v/>
      </c>
      <c r="J2" s="7">
        <f>IF('Extra 1'!$A2="","",'Extra 1'!Q2)</f>
        <v/>
      </c>
      <c r="K2" s="7">
        <f>IF('Extra 1'!$A2="","",'Extra 1'!H2)</f>
        <v/>
      </c>
      <c r="L2" s="7">
        <f>IF('Extra 1'!$A2="","",'Extra 1'!T2)</f>
        <v/>
      </c>
      <c r="M2">
        <f>IF('Extra 1'!$A2="","",'Extra 1'!G2)</f>
        <v/>
      </c>
    </row>
    <row r="3">
      <c r="A3">
        <f>IF('Extra 1'!$A3="","",ROWS($A$2:$A3))</f>
        <v/>
      </c>
      <c r="B3">
        <f>IF('Extra 1'!$A3="","",'Extra 1'!E3)</f>
        <v/>
      </c>
      <c r="C3">
        <f>IF('Extra 1'!$A3="","",'Extra 1'!F3)</f>
        <v/>
      </c>
      <c r="D3" s="14">
        <f>IF('Extra 1'!$A3="","",'Extra 1'!I3)</f>
        <v/>
      </c>
      <c r="E3" s="7">
        <f>IF('Extra 1'!$A3="","",'Extra 1'!O3)</f>
        <v/>
      </c>
      <c r="F3" s="7">
        <f>IF('Extra 1'!$A3="","",'Extra 1'!L3)</f>
        <v/>
      </c>
      <c r="G3" s="7">
        <f>IF('Extra 1'!$A3="","",'Extra 1'!S3)</f>
        <v/>
      </c>
      <c r="H3">
        <f>IF('Extra 1'!$A3="","",'Extra 1'!P3)</f>
        <v/>
      </c>
      <c r="I3">
        <f>IF('Extra 1'!$A3="","",'Extra 1'!M3)</f>
        <v/>
      </c>
      <c r="J3" s="7">
        <f>IF('Extra 1'!$A3="","",'Extra 1'!Q3)</f>
        <v/>
      </c>
      <c r="K3" s="7">
        <f>IF('Extra 1'!$A3="","",'Extra 1'!H3)</f>
        <v/>
      </c>
      <c r="L3" s="7">
        <f>IF('Extra 1'!$A3="","",'Extra 1'!T3)</f>
        <v/>
      </c>
      <c r="M3">
        <f>IF('Extra 1'!$A3="","",'Extra 1'!G3)</f>
        <v/>
      </c>
    </row>
    <row r="4">
      <c r="A4">
        <f>IF('Extra 1'!$A4="","",ROWS($A$2:$A4))</f>
        <v/>
      </c>
      <c r="B4">
        <f>IF('Extra 1'!$A4="","",'Extra 1'!E4)</f>
        <v/>
      </c>
      <c r="C4">
        <f>IF('Extra 1'!$A4="","",'Extra 1'!F4)</f>
        <v/>
      </c>
      <c r="D4" s="14">
        <f>IF('Extra 1'!$A4="","",'Extra 1'!I4)</f>
        <v/>
      </c>
      <c r="E4" s="7">
        <f>IF('Extra 1'!$A4="","",'Extra 1'!O4)</f>
        <v/>
      </c>
      <c r="F4" s="7">
        <f>IF('Extra 1'!$A4="","",'Extra 1'!L4)</f>
        <v/>
      </c>
      <c r="G4" s="7">
        <f>IF('Extra 1'!$A4="","",'Extra 1'!S4)</f>
        <v/>
      </c>
      <c r="H4">
        <f>IF('Extra 1'!$A4="","",'Extra 1'!P4)</f>
        <v/>
      </c>
      <c r="I4">
        <f>IF('Extra 1'!$A4="","",'Extra 1'!M4)</f>
        <v/>
      </c>
      <c r="J4" s="7">
        <f>IF('Extra 1'!$A4="","",'Extra 1'!Q4)</f>
        <v/>
      </c>
      <c r="K4" s="7">
        <f>IF('Extra 1'!$A4="","",'Extra 1'!H4)</f>
        <v/>
      </c>
      <c r="L4" s="7">
        <f>IF('Extra 1'!$A4="","",'Extra 1'!T4)</f>
        <v/>
      </c>
      <c r="M4">
        <f>IF('Extra 1'!$A4="","",'Extra 1'!G4)</f>
        <v/>
      </c>
    </row>
    <row r="5">
      <c r="A5">
        <f>IF('Extra 1'!$A5="","",ROWS($A$2:$A5))</f>
        <v/>
      </c>
      <c r="B5">
        <f>IF('Extra 1'!$A5="","",'Extra 1'!E5)</f>
        <v/>
      </c>
      <c r="C5">
        <f>IF('Extra 1'!$A5="","",'Extra 1'!F5)</f>
        <v/>
      </c>
      <c r="D5" s="14">
        <f>IF('Extra 1'!$A5="","",'Extra 1'!I5)</f>
        <v/>
      </c>
      <c r="E5" s="7">
        <f>IF('Extra 1'!$A5="","",'Extra 1'!O5)</f>
        <v/>
      </c>
      <c r="F5" s="7">
        <f>IF('Extra 1'!$A5="","",'Extra 1'!L5)</f>
        <v/>
      </c>
      <c r="G5" s="7">
        <f>IF('Extra 1'!$A5="","",'Extra 1'!S5)</f>
        <v/>
      </c>
      <c r="H5">
        <f>IF('Extra 1'!$A5="","",'Extra 1'!P5)</f>
        <v/>
      </c>
      <c r="I5">
        <f>IF('Extra 1'!$A5="","",'Extra 1'!M5)</f>
        <v/>
      </c>
      <c r="J5" s="7">
        <f>IF('Extra 1'!$A5="","",'Extra 1'!Q5)</f>
        <v/>
      </c>
      <c r="K5" s="7">
        <f>IF('Extra 1'!$A5="","",'Extra 1'!H5)</f>
        <v/>
      </c>
      <c r="L5" s="7">
        <f>IF('Extra 1'!$A5="","",'Extra 1'!T5)</f>
        <v/>
      </c>
      <c r="M5">
        <f>IF('Extra 1'!$A5="","",'Extra 1'!G5)</f>
        <v/>
      </c>
    </row>
    <row r="6">
      <c r="A6">
        <f>IF('Extra 1'!$A6="","",ROWS($A$2:$A6))</f>
        <v/>
      </c>
      <c r="B6">
        <f>IF('Extra 1'!$A6="","",'Extra 1'!E6)</f>
        <v/>
      </c>
      <c r="C6">
        <f>IF('Extra 1'!$A6="","",'Extra 1'!F6)</f>
        <v/>
      </c>
      <c r="D6" s="14">
        <f>IF('Extra 1'!$A6="","",'Extra 1'!I6)</f>
        <v/>
      </c>
      <c r="E6" s="7">
        <f>IF('Extra 1'!$A6="","",'Extra 1'!O6)</f>
        <v/>
      </c>
      <c r="F6" s="7">
        <f>IF('Extra 1'!$A6="","",'Extra 1'!L6)</f>
        <v/>
      </c>
      <c r="G6" s="7">
        <f>IF('Extra 1'!$A6="","",'Extra 1'!S6)</f>
        <v/>
      </c>
      <c r="H6">
        <f>IF('Extra 1'!$A6="","",'Extra 1'!P6)</f>
        <v/>
      </c>
      <c r="I6">
        <f>IF('Extra 1'!$A6="","",'Extra 1'!M6)</f>
        <v/>
      </c>
      <c r="J6" s="7">
        <f>IF('Extra 1'!$A6="","",'Extra 1'!Q6)</f>
        <v/>
      </c>
      <c r="K6" s="7">
        <f>IF('Extra 1'!$A6="","",'Extra 1'!H6)</f>
        <v/>
      </c>
      <c r="L6" s="7">
        <f>IF('Extra 1'!$A6="","",'Extra 1'!T6)</f>
        <v/>
      </c>
      <c r="M6">
        <f>IF('Extra 1'!$A6="","",'Extra 1'!G6)</f>
        <v/>
      </c>
    </row>
    <row r="7">
      <c r="A7">
        <f>IF('Extra 1'!$A7="","",ROWS($A$2:$A7))</f>
        <v/>
      </c>
      <c r="B7">
        <f>IF('Extra 1'!$A7="","",'Extra 1'!E7)</f>
        <v/>
      </c>
      <c r="C7">
        <f>IF('Extra 1'!$A7="","",'Extra 1'!F7)</f>
        <v/>
      </c>
      <c r="D7" s="14">
        <f>IF('Extra 1'!$A7="","",'Extra 1'!I7)</f>
        <v/>
      </c>
      <c r="E7" s="7">
        <f>IF('Extra 1'!$A7="","",'Extra 1'!O7)</f>
        <v/>
      </c>
      <c r="F7" s="7">
        <f>IF('Extra 1'!$A7="","",'Extra 1'!L7)</f>
        <v/>
      </c>
      <c r="G7" s="7">
        <f>IF('Extra 1'!$A7="","",'Extra 1'!S7)</f>
        <v/>
      </c>
      <c r="H7">
        <f>IF('Extra 1'!$A7="","",'Extra 1'!P7)</f>
        <v/>
      </c>
      <c r="I7">
        <f>IF('Extra 1'!$A7="","",'Extra 1'!M7)</f>
        <v/>
      </c>
      <c r="J7" s="7">
        <f>IF('Extra 1'!$A7="","",'Extra 1'!Q7)</f>
        <v/>
      </c>
      <c r="K7" s="7">
        <f>IF('Extra 1'!$A7="","",'Extra 1'!H7)</f>
        <v/>
      </c>
      <c r="L7" s="7">
        <f>IF('Extra 1'!$A7="","",'Extra 1'!T7)</f>
        <v/>
      </c>
      <c r="M7">
        <f>IF('Extra 1'!$A7="","",'Extra 1'!G7)</f>
        <v/>
      </c>
    </row>
    <row r="8">
      <c r="A8">
        <f>IF('Extra 1'!$A8="","",ROWS($A$2:$A8))</f>
        <v/>
      </c>
      <c r="B8">
        <f>IF('Extra 1'!$A8="","",'Extra 1'!E8)</f>
        <v/>
      </c>
      <c r="C8">
        <f>IF('Extra 1'!$A8="","",'Extra 1'!F8)</f>
        <v/>
      </c>
      <c r="D8" s="14">
        <f>IF('Extra 1'!$A8="","",'Extra 1'!I8)</f>
        <v/>
      </c>
      <c r="E8" s="7">
        <f>IF('Extra 1'!$A8="","",'Extra 1'!O8)</f>
        <v/>
      </c>
      <c r="F8" s="7">
        <f>IF('Extra 1'!$A8="","",'Extra 1'!L8)</f>
        <v/>
      </c>
      <c r="G8" s="7">
        <f>IF('Extra 1'!$A8="","",'Extra 1'!S8)</f>
        <v/>
      </c>
      <c r="H8">
        <f>IF('Extra 1'!$A8="","",'Extra 1'!P8)</f>
        <v/>
      </c>
      <c r="I8">
        <f>IF('Extra 1'!$A8="","",'Extra 1'!M8)</f>
        <v/>
      </c>
      <c r="J8" s="7">
        <f>IF('Extra 1'!$A8="","",'Extra 1'!Q8)</f>
        <v/>
      </c>
      <c r="K8" s="7">
        <f>IF('Extra 1'!$A8="","",'Extra 1'!H8)</f>
        <v/>
      </c>
      <c r="L8" s="7">
        <f>IF('Extra 1'!$A8="","",'Extra 1'!T8)</f>
        <v/>
      </c>
      <c r="M8">
        <f>IF('Extra 1'!$A8="","",'Extra 1'!G8)</f>
        <v/>
      </c>
    </row>
    <row r="9">
      <c r="A9">
        <f>IF('Extra 1'!$A9="","",ROWS($A$2:$A9))</f>
        <v/>
      </c>
      <c r="B9">
        <f>IF('Extra 1'!$A9="","",'Extra 1'!E9)</f>
        <v/>
      </c>
      <c r="C9">
        <f>IF('Extra 1'!$A9="","",'Extra 1'!F9)</f>
        <v/>
      </c>
      <c r="D9" s="14">
        <f>IF('Extra 1'!$A9="","",'Extra 1'!I9)</f>
        <v/>
      </c>
      <c r="E9" s="7">
        <f>IF('Extra 1'!$A9="","",'Extra 1'!O9)</f>
        <v/>
      </c>
      <c r="F9" s="7">
        <f>IF('Extra 1'!$A9="","",'Extra 1'!L9)</f>
        <v/>
      </c>
      <c r="G9" s="7">
        <f>IF('Extra 1'!$A9="","",'Extra 1'!S9)</f>
        <v/>
      </c>
      <c r="H9">
        <f>IF('Extra 1'!$A9="","",'Extra 1'!P9)</f>
        <v/>
      </c>
      <c r="I9">
        <f>IF('Extra 1'!$A9="","",'Extra 1'!M9)</f>
        <v/>
      </c>
      <c r="J9" s="7">
        <f>IF('Extra 1'!$A9="","",'Extra 1'!Q9)</f>
        <v/>
      </c>
      <c r="K9" s="7">
        <f>IF('Extra 1'!$A9="","",'Extra 1'!H9)</f>
        <v/>
      </c>
      <c r="L9" s="7">
        <f>IF('Extra 1'!$A9="","",'Extra 1'!T9)</f>
        <v/>
      </c>
      <c r="M9">
        <f>IF('Extra 1'!$A9="","",'Extra 1'!G9)</f>
        <v/>
      </c>
    </row>
    <row r="10">
      <c r="A10">
        <f>IF('Extra 1'!$A10="","",ROWS($A$2:$A10))</f>
        <v/>
      </c>
      <c r="B10">
        <f>IF('Extra 1'!$A10="","",'Extra 1'!E10)</f>
        <v/>
      </c>
      <c r="C10">
        <f>IF('Extra 1'!$A10="","",'Extra 1'!F10)</f>
        <v/>
      </c>
      <c r="D10" s="14">
        <f>IF('Extra 1'!$A10="","",'Extra 1'!I10)</f>
        <v/>
      </c>
      <c r="E10" s="7">
        <f>IF('Extra 1'!$A10="","",'Extra 1'!O10)</f>
        <v/>
      </c>
      <c r="F10" s="7">
        <f>IF('Extra 1'!$A10="","",'Extra 1'!L10)</f>
        <v/>
      </c>
      <c r="G10" s="7">
        <f>IF('Extra 1'!$A10="","",'Extra 1'!S10)</f>
        <v/>
      </c>
      <c r="H10">
        <f>IF('Extra 1'!$A10="","",'Extra 1'!P10)</f>
        <v/>
      </c>
      <c r="I10">
        <f>IF('Extra 1'!$A10="","",'Extra 1'!M10)</f>
        <v/>
      </c>
      <c r="J10" s="7">
        <f>IF('Extra 1'!$A10="","",'Extra 1'!Q10)</f>
        <v/>
      </c>
      <c r="K10" s="7">
        <f>IF('Extra 1'!$A10="","",'Extra 1'!H10)</f>
        <v/>
      </c>
      <c r="L10" s="7">
        <f>IF('Extra 1'!$A10="","",'Extra 1'!T10)</f>
        <v/>
      </c>
      <c r="M10">
        <f>IF('Extra 1'!$A10="","",'Extra 1'!G10)</f>
        <v/>
      </c>
    </row>
    <row r="11">
      <c r="A11">
        <f>IF('Extra 1'!$A11="","",ROWS($A$2:$A11))</f>
        <v/>
      </c>
      <c r="B11">
        <f>IF('Extra 1'!$A11="","",'Extra 1'!E11)</f>
        <v/>
      </c>
      <c r="C11">
        <f>IF('Extra 1'!$A11="","",'Extra 1'!F11)</f>
        <v/>
      </c>
      <c r="D11" s="14">
        <f>IF('Extra 1'!$A11="","",'Extra 1'!I11)</f>
        <v/>
      </c>
      <c r="E11" s="7">
        <f>IF('Extra 1'!$A11="","",'Extra 1'!O11)</f>
        <v/>
      </c>
      <c r="F11" s="7">
        <f>IF('Extra 1'!$A11="","",'Extra 1'!L11)</f>
        <v/>
      </c>
      <c r="G11" s="7">
        <f>IF('Extra 1'!$A11="","",'Extra 1'!S11)</f>
        <v/>
      </c>
      <c r="H11">
        <f>IF('Extra 1'!$A11="","",'Extra 1'!P11)</f>
        <v/>
      </c>
      <c r="I11">
        <f>IF('Extra 1'!$A11="","",'Extra 1'!M11)</f>
        <v/>
      </c>
      <c r="J11" s="7">
        <f>IF('Extra 1'!$A11="","",'Extra 1'!Q11)</f>
        <v/>
      </c>
      <c r="K11" s="7">
        <f>IF('Extra 1'!$A11="","",'Extra 1'!H11)</f>
        <v/>
      </c>
      <c r="L11" s="7">
        <f>IF('Extra 1'!$A11="","",'Extra 1'!T11)</f>
        <v/>
      </c>
      <c r="M11">
        <f>IF('Extra 1'!$A11="","",'Extra 1'!G11)</f>
        <v/>
      </c>
    </row>
    <row r="12">
      <c r="A12">
        <f>IF('Extra 1'!$A12="","",ROWS($A$2:$A12))</f>
        <v/>
      </c>
      <c r="B12">
        <f>IF('Extra 1'!$A12="","",'Extra 1'!E12)</f>
        <v/>
      </c>
      <c r="C12">
        <f>IF('Extra 1'!$A12="","",'Extra 1'!F12)</f>
        <v/>
      </c>
      <c r="D12" s="14">
        <f>IF('Extra 1'!$A12="","",'Extra 1'!I12)</f>
        <v/>
      </c>
      <c r="E12" s="7">
        <f>IF('Extra 1'!$A12="","",'Extra 1'!O12)</f>
        <v/>
      </c>
      <c r="F12" s="7">
        <f>IF('Extra 1'!$A12="","",'Extra 1'!L12)</f>
        <v/>
      </c>
      <c r="G12" s="7">
        <f>IF('Extra 1'!$A12="","",'Extra 1'!S12)</f>
        <v/>
      </c>
      <c r="H12">
        <f>IF('Extra 1'!$A12="","",'Extra 1'!P12)</f>
        <v/>
      </c>
      <c r="I12">
        <f>IF('Extra 1'!$A12="","",'Extra 1'!M12)</f>
        <v/>
      </c>
      <c r="J12" s="7">
        <f>IF('Extra 1'!$A12="","",'Extra 1'!Q12)</f>
        <v/>
      </c>
      <c r="K12" s="7">
        <f>IF('Extra 1'!$A12="","",'Extra 1'!H12)</f>
        <v/>
      </c>
      <c r="L12" s="7">
        <f>IF('Extra 1'!$A12="","",'Extra 1'!T12)</f>
        <v/>
      </c>
      <c r="M12">
        <f>IF('Extra 1'!$A12="","",'Extra 1'!G12)</f>
        <v/>
      </c>
    </row>
    <row r="13">
      <c r="A13">
        <f>IF('Extra 1'!$A13="","",ROWS($A$2:$A13))</f>
        <v/>
      </c>
      <c r="B13">
        <f>IF('Extra 1'!$A13="","",'Extra 1'!E13)</f>
        <v/>
      </c>
      <c r="C13">
        <f>IF('Extra 1'!$A13="","",'Extra 1'!F13)</f>
        <v/>
      </c>
      <c r="D13" s="14">
        <f>IF('Extra 1'!$A13="","",'Extra 1'!I13)</f>
        <v/>
      </c>
      <c r="E13" s="7">
        <f>IF('Extra 1'!$A13="","",'Extra 1'!O13)</f>
        <v/>
      </c>
      <c r="F13" s="7">
        <f>IF('Extra 1'!$A13="","",'Extra 1'!L13)</f>
        <v/>
      </c>
      <c r="G13" s="7">
        <f>IF('Extra 1'!$A13="","",'Extra 1'!S13)</f>
        <v/>
      </c>
      <c r="H13">
        <f>IF('Extra 1'!$A13="","",'Extra 1'!P13)</f>
        <v/>
      </c>
      <c r="I13">
        <f>IF('Extra 1'!$A13="","",'Extra 1'!M13)</f>
        <v/>
      </c>
      <c r="J13" s="7">
        <f>IF('Extra 1'!$A13="","",'Extra 1'!Q13)</f>
        <v/>
      </c>
      <c r="K13" s="7">
        <f>IF('Extra 1'!$A13="","",'Extra 1'!H13)</f>
        <v/>
      </c>
      <c r="L13" s="7">
        <f>IF('Extra 1'!$A13="","",'Extra 1'!T13)</f>
        <v/>
      </c>
      <c r="M13">
        <f>IF('Extra 1'!$A13="","",'Extra 1'!G13)</f>
        <v/>
      </c>
    </row>
    <row r="14">
      <c r="A14">
        <f>IF('Extra 1'!$A14="","",ROWS($A$2:$A14))</f>
        <v/>
      </c>
      <c r="B14">
        <f>IF('Extra 1'!$A14="","",'Extra 1'!E14)</f>
        <v/>
      </c>
      <c r="C14">
        <f>IF('Extra 1'!$A14="","",'Extra 1'!F14)</f>
        <v/>
      </c>
      <c r="D14" s="14">
        <f>IF('Extra 1'!$A14="","",'Extra 1'!I14)</f>
        <v/>
      </c>
      <c r="E14" s="7">
        <f>IF('Extra 1'!$A14="","",'Extra 1'!O14)</f>
        <v/>
      </c>
      <c r="F14" s="7">
        <f>IF('Extra 1'!$A14="","",'Extra 1'!L14)</f>
        <v/>
      </c>
      <c r="G14" s="7">
        <f>IF('Extra 1'!$A14="","",'Extra 1'!S14)</f>
        <v/>
      </c>
      <c r="H14">
        <f>IF('Extra 1'!$A14="","",'Extra 1'!P14)</f>
        <v/>
      </c>
      <c r="I14">
        <f>IF('Extra 1'!$A14="","",'Extra 1'!M14)</f>
        <v/>
      </c>
      <c r="J14" s="7">
        <f>IF('Extra 1'!$A14="","",'Extra 1'!Q14)</f>
        <v/>
      </c>
      <c r="K14" s="7">
        <f>IF('Extra 1'!$A14="","",'Extra 1'!H14)</f>
        <v/>
      </c>
      <c r="L14" s="7">
        <f>IF('Extra 1'!$A14="","",'Extra 1'!T14)</f>
        <v/>
      </c>
      <c r="M14">
        <f>IF('Extra 1'!$A14="","",'Extra 1'!G14)</f>
        <v/>
      </c>
    </row>
    <row r="15">
      <c r="A15">
        <f>IF('Extra 1'!$A15="","",ROWS($A$2:$A15))</f>
        <v/>
      </c>
      <c r="B15">
        <f>IF('Extra 1'!$A15="","",'Extra 1'!E15)</f>
        <v/>
      </c>
      <c r="C15">
        <f>IF('Extra 1'!$A15="","",'Extra 1'!F15)</f>
        <v/>
      </c>
      <c r="D15" s="14">
        <f>IF('Extra 1'!$A15="","",'Extra 1'!I15)</f>
        <v/>
      </c>
      <c r="E15" s="7">
        <f>IF('Extra 1'!$A15="","",'Extra 1'!O15)</f>
        <v/>
      </c>
      <c r="F15" s="7">
        <f>IF('Extra 1'!$A15="","",'Extra 1'!L15)</f>
        <v/>
      </c>
      <c r="G15" s="7">
        <f>IF('Extra 1'!$A15="","",'Extra 1'!S15)</f>
        <v/>
      </c>
      <c r="H15">
        <f>IF('Extra 1'!$A15="","",'Extra 1'!P15)</f>
        <v/>
      </c>
      <c r="I15">
        <f>IF('Extra 1'!$A15="","",'Extra 1'!M15)</f>
        <v/>
      </c>
      <c r="J15" s="7">
        <f>IF('Extra 1'!$A15="","",'Extra 1'!Q15)</f>
        <v/>
      </c>
      <c r="K15" s="7">
        <f>IF('Extra 1'!$A15="","",'Extra 1'!H15)</f>
        <v/>
      </c>
      <c r="L15" s="7">
        <f>IF('Extra 1'!$A15="","",'Extra 1'!T15)</f>
        <v/>
      </c>
      <c r="M15">
        <f>IF('Extra 1'!$A15="","",'Extra 1'!G15)</f>
        <v/>
      </c>
    </row>
    <row r="16">
      <c r="A16">
        <f>IF('Extra 1'!$A16="","",ROWS($A$2:$A16))</f>
        <v/>
      </c>
      <c r="B16">
        <f>IF('Extra 1'!$A16="","",'Extra 1'!E16)</f>
        <v/>
      </c>
      <c r="C16">
        <f>IF('Extra 1'!$A16="","",'Extra 1'!F16)</f>
        <v/>
      </c>
      <c r="D16" s="14">
        <f>IF('Extra 1'!$A16="","",'Extra 1'!I16)</f>
        <v/>
      </c>
      <c r="E16" s="7">
        <f>IF('Extra 1'!$A16="","",'Extra 1'!O16)</f>
        <v/>
      </c>
      <c r="F16" s="7">
        <f>IF('Extra 1'!$A16="","",'Extra 1'!L16)</f>
        <v/>
      </c>
      <c r="G16" s="7">
        <f>IF('Extra 1'!$A16="","",'Extra 1'!S16)</f>
        <v/>
      </c>
      <c r="H16">
        <f>IF('Extra 1'!$A16="","",'Extra 1'!P16)</f>
        <v/>
      </c>
      <c r="I16">
        <f>IF('Extra 1'!$A16="","",'Extra 1'!M16)</f>
        <v/>
      </c>
      <c r="J16" s="7">
        <f>IF('Extra 1'!$A16="","",'Extra 1'!Q16)</f>
        <v/>
      </c>
      <c r="K16" s="7">
        <f>IF('Extra 1'!$A16="","",'Extra 1'!H16)</f>
        <v/>
      </c>
      <c r="L16" s="7">
        <f>IF('Extra 1'!$A16="","",'Extra 1'!T16)</f>
        <v/>
      </c>
      <c r="M16">
        <f>IF('Extra 1'!$A16="","",'Extra 1'!G16)</f>
        <v/>
      </c>
    </row>
    <row r="17">
      <c r="A17">
        <f>IF('Extra 1'!$A17="","",ROWS($A$2:$A17))</f>
        <v/>
      </c>
      <c r="B17">
        <f>IF('Extra 1'!$A17="","",'Extra 1'!E17)</f>
        <v/>
      </c>
      <c r="C17">
        <f>IF('Extra 1'!$A17="","",'Extra 1'!F17)</f>
        <v/>
      </c>
      <c r="D17" s="14">
        <f>IF('Extra 1'!$A17="","",'Extra 1'!I17)</f>
        <v/>
      </c>
      <c r="E17" s="7">
        <f>IF('Extra 1'!$A17="","",'Extra 1'!O17)</f>
        <v/>
      </c>
      <c r="F17" s="7">
        <f>IF('Extra 1'!$A17="","",'Extra 1'!L17)</f>
        <v/>
      </c>
      <c r="G17" s="7">
        <f>IF('Extra 1'!$A17="","",'Extra 1'!S17)</f>
        <v/>
      </c>
      <c r="H17">
        <f>IF('Extra 1'!$A17="","",'Extra 1'!P17)</f>
        <v/>
      </c>
      <c r="I17">
        <f>IF('Extra 1'!$A17="","",'Extra 1'!M17)</f>
        <v/>
      </c>
      <c r="J17" s="7">
        <f>IF('Extra 1'!$A17="","",'Extra 1'!Q17)</f>
        <v/>
      </c>
      <c r="K17" s="7">
        <f>IF('Extra 1'!$A17="","",'Extra 1'!H17)</f>
        <v/>
      </c>
      <c r="L17" s="7">
        <f>IF('Extra 1'!$A17="","",'Extra 1'!T17)</f>
        <v/>
      </c>
      <c r="M17">
        <f>IF('Extra 1'!$A17="","",'Extra 1'!G17)</f>
        <v/>
      </c>
    </row>
    <row r="18">
      <c r="A18">
        <f>IF('Extra 1'!$A18="","",ROWS($A$2:$A18))</f>
        <v/>
      </c>
      <c r="B18">
        <f>IF('Extra 1'!$A18="","",'Extra 1'!E18)</f>
        <v/>
      </c>
      <c r="C18">
        <f>IF('Extra 1'!$A18="","",'Extra 1'!F18)</f>
        <v/>
      </c>
      <c r="D18" s="14">
        <f>IF('Extra 1'!$A18="","",'Extra 1'!I18)</f>
        <v/>
      </c>
      <c r="E18" s="7">
        <f>IF('Extra 1'!$A18="","",'Extra 1'!O18)</f>
        <v/>
      </c>
      <c r="F18" s="7">
        <f>IF('Extra 1'!$A18="","",'Extra 1'!L18)</f>
        <v/>
      </c>
      <c r="G18" s="7">
        <f>IF('Extra 1'!$A18="","",'Extra 1'!S18)</f>
        <v/>
      </c>
      <c r="H18">
        <f>IF('Extra 1'!$A18="","",'Extra 1'!P18)</f>
        <v/>
      </c>
      <c r="I18">
        <f>IF('Extra 1'!$A18="","",'Extra 1'!M18)</f>
        <v/>
      </c>
      <c r="J18" s="7">
        <f>IF('Extra 1'!$A18="","",'Extra 1'!Q18)</f>
        <v/>
      </c>
      <c r="K18" s="7">
        <f>IF('Extra 1'!$A18="","",'Extra 1'!H18)</f>
        <v/>
      </c>
      <c r="L18" s="7">
        <f>IF('Extra 1'!$A18="","",'Extra 1'!T18)</f>
        <v/>
      </c>
      <c r="M18">
        <f>IF('Extra 1'!$A18="","",'Extra 1'!G18)</f>
        <v/>
      </c>
    </row>
    <row r="19">
      <c r="A19">
        <f>IF('Extra 1'!$A19="","",ROWS($A$2:$A19))</f>
        <v/>
      </c>
      <c r="B19">
        <f>IF('Extra 1'!$A19="","",'Extra 1'!E19)</f>
        <v/>
      </c>
      <c r="C19">
        <f>IF('Extra 1'!$A19="","",'Extra 1'!F19)</f>
        <v/>
      </c>
      <c r="D19" s="14">
        <f>IF('Extra 1'!$A19="","",'Extra 1'!I19)</f>
        <v/>
      </c>
      <c r="E19" s="7">
        <f>IF('Extra 1'!$A19="","",'Extra 1'!O19)</f>
        <v/>
      </c>
      <c r="F19" s="7">
        <f>IF('Extra 1'!$A19="","",'Extra 1'!L19)</f>
        <v/>
      </c>
      <c r="G19" s="7">
        <f>IF('Extra 1'!$A19="","",'Extra 1'!S19)</f>
        <v/>
      </c>
      <c r="H19">
        <f>IF('Extra 1'!$A19="","",'Extra 1'!P19)</f>
        <v/>
      </c>
      <c r="I19">
        <f>IF('Extra 1'!$A19="","",'Extra 1'!M19)</f>
        <v/>
      </c>
      <c r="J19" s="7">
        <f>IF('Extra 1'!$A19="","",'Extra 1'!Q19)</f>
        <v/>
      </c>
      <c r="K19" s="7">
        <f>IF('Extra 1'!$A19="","",'Extra 1'!H19)</f>
        <v/>
      </c>
      <c r="L19" s="7">
        <f>IF('Extra 1'!$A19="","",'Extra 1'!T19)</f>
        <v/>
      </c>
      <c r="M19">
        <f>IF('Extra 1'!$A19="","",'Extra 1'!G19)</f>
        <v/>
      </c>
    </row>
    <row r="20">
      <c r="A20">
        <f>IF('Extra 1'!$A20="","",ROWS($A$2:$A20))</f>
        <v/>
      </c>
      <c r="B20">
        <f>IF('Extra 1'!$A20="","",'Extra 1'!E20)</f>
        <v/>
      </c>
      <c r="C20">
        <f>IF('Extra 1'!$A20="","",'Extra 1'!F20)</f>
        <v/>
      </c>
      <c r="D20" s="14">
        <f>IF('Extra 1'!$A20="","",'Extra 1'!I20)</f>
        <v/>
      </c>
      <c r="E20" s="7">
        <f>IF('Extra 1'!$A20="","",'Extra 1'!O20)</f>
        <v/>
      </c>
      <c r="F20" s="7">
        <f>IF('Extra 1'!$A20="","",'Extra 1'!L20)</f>
        <v/>
      </c>
      <c r="G20" s="7">
        <f>IF('Extra 1'!$A20="","",'Extra 1'!S20)</f>
        <v/>
      </c>
      <c r="H20">
        <f>IF('Extra 1'!$A20="","",'Extra 1'!P20)</f>
        <v/>
      </c>
      <c r="I20">
        <f>IF('Extra 1'!$A20="","",'Extra 1'!M20)</f>
        <v/>
      </c>
      <c r="J20" s="7">
        <f>IF('Extra 1'!$A20="","",'Extra 1'!Q20)</f>
        <v/>
      </c>
      <c r="K20" s="7">
        <f>IF('Extra 1'!$A20="","",'Extra 1'!H20)</f>
        <v/>
      </c>
      <c r="L20" s="7">
        <f>IF('Extra 1'!$A20="","",'Extra 1'!T20)</f>
        <v/>
      </c>
      <c r="M20">
        <f>IF('Extra 1'!$A20="","",'Extra 1'!G20)</f>
        <v/>
      </c>
    </row>
    <row r="21">
      <c r="A21">
        <f>IF('Extra 1'!$A21="","",ROWS($A$2:$A21))</f>
        <v/>
      </c>
      <c r="B21">
        <f>IF('Extra 1'!$A21="","",'Extra 1'!E21)</f>
        <v/>
      </c>
      <c r="C21">
        <f>IF('Extra 1'!$A21="","",'Extra 1'!F21)</f>
        <v/>
      </c>
      <c r="D21" s="14">
        <f>IF('Extra 1'!$A21="","",'Extra 1'!I21)</f>
        <v/>
      </c>
      <c r="E21" s="7">
        <f>IF('Extra 1'!$A21="","",'Extra 1'!O21)</f>
        <v/>
      </c>
      <c r="F21" s="7">
        <f>IF('Extra 1'!$A21="","",'Extra 1'!L21)</f>
        <v/>
      </c>
      <c r="G21" s="7">
        <f>IF('Extra 1'!$A21="","",'Extra 1'!S21)</f>
        <v/>
      </c>
      <c r="H21">
        <f>IF('Extra 1'!$A21="","",'Extra 1'!P21)</f>
        <v/>
      </c>
      <c r="I21">
        <f>IF('Extra 1'!$A21="","",'Extra 1'!M21)</f>
        <v/>
      </c>
      <c r="J21" s="7">
        <f>IF('Extra 1'!$A21="","",'Extra 1'!Q21)</f>
        <v/>
      </c>
      <c r="K21" s="7">
        <f>IF('Extra 1'!$A21="","",'Extra 1'!H21)</f>
        <v/>
      </c>
      <c r="L21" s="7">
        <f>IF('Extra 1'!$A21="","",'Extra 1'!T21)</f>
        <v/>
      </c>
      <c r="M21">
        <f>IF('Extra 1'!$A21="","",'Extra 1'!G21)</f>
        <v/>
      </c>
    </row>
    <row r="22">
      <c r="A22">
        <f>IF('Extra 1'!$A22="","",ROWS($A$2:$A22))</f>
        <v/>
      </c>
      <c r="B22">
        <f>IF('Extra 1'!$A22="","",'Extra 1'!E22)</f>
        <v/>
      </c>
      <c r="C22">
        <f>IF('Extra 1'!$A22="","",'Extra 1'!F22)</f>
        <v/>
      </c>
      <c r="D22" s="14">
        <f>IF('Extra 1'!$A22="","",'Extra 1'!I22)</f>
        <v/>
      </c>
      <c r="E22" s="7">
        <f>IF('Extra 1'!$A22="","",'Extra 1'!O22)</f>
        <v/>
      </c>
      <c r="F22" s="7">
        <f>IF('Extra 1'!$A22="","",'Extra 1'!L22)</f>
        <v/>
      </c>
      <c r="G22" s="7">
        <f>IF('Extra 1'!$A22="","",'Extra 1'!S22)</f>
        <v/>
      </c>
      <c r="H22">
        <f>IF('Extra 1'!$A22="","",'Extra 1'!P22)</f>
        <v/>
      </c>
      <c r="I22">
        <f>IF('Extra 1'!$A22="","",'Extra 1'!M22)</f>
        <v/>
      </c>
      <c r="J22" s="7">
        <f>IF('Extra 1'!$A22="","",'Extra 1'!Q22)</f>
        <v/>
      </c>
      <c r="K22" s="7">
        <f>IF('Extra 1'!$A22="","",'Extra 1'!H22)</f>
        <v/>
      </c>
      <c r="L22" s="7">
        <f>IF('Extra 1'!$A22="","",'Extra 1'!T22)</f>
        <v/>
      </c>
      <c r="M22">
        <f>IF('Extra 1'!$A22="","",'Extra 1'!G22)</f>
        <v/>
      </c>
    </row>
    <row r="23">
      <c r="A23">
        <f>IF('Extra 1'!$A23="","",ROWS($A$2:$A23))</f>
        <v/>
      </c>
      <c r="B23">
        <f>IF('Extra 1'!$A23="","",'Extra 1'!E23)</f>
        <v/>
      </c>
      <c r="C23">
        <f>IF('Extra 1'!$A23="","",'Extra 1'!F23)</f>
        <v/>
      </c>
      <c r="D23" s="14">
        <f>IF('Extra 1'!$A23="","",'Extra 1'!I23)</f>
        <v/>
      </c>
      <c r="E23" s="7">
        <f>IF('Extra 1'!$A23="","",'Extra 1'!O23)</f>
        <v/>
      </c>
      <c r="F23" s="7">
        <f>IF('Extra 1'!$A23="","",'Extra 1'!L23)</f>
        <v/>
      </c>
      <c r="G23" s="7">
        <f>IF('Extra 1'!$A23="","",'Extra 1'!S23)</f>
        <v/>
      </c>
      <c r="H23">
        <f>IF('Extra 1'!$A23="","",'Extra 1'!P23)</f>
        <v/>
      </c>
      <c r="I23">
        <f>IF('Extra 1'!$A23="","",'Extra 1'!M23)</f>
        <v/>
      </c>
      <c r="J23" s="7">
        <f>IF('Extra 1'!$A23="","",'Extra 1'!Q23)</f>
        <v/>
      </c>
      <c r="K23" s="7">
        <f>IF('Extra 1'!$A23="","",'Extra 1'!H23)</f>
        <v/>
      </c>
      <c r="L23" s="7">
        <f>IF('Extra 1'!$A23="","",'Extra 1'!T23)</f>
        <v/>
      </c>
      <c r="M23">
        <f>IF('Extra 1'!$A23="","",'Extra 1'!G23)</f>
        <v/>
      </c>
    </row>
    <row r="24">
      <c r="A24">
        <f>IF('Extra 1'!$A24="","",ROWS($A$2:$A24))</f>
        <v/>
      </c>
      <c r="B24">
        <f>IF('Extra 1'!$A24="","",'Extra 1'!E24)</f>
        <v/>
      </c>
      <c r="C24">
        <f>IF('Extra 1'!$A24="","",'Extra 1'!F24)</f>
        <v/>
      </c>
      <c r="D24" s="14">
        <f>IF('Extra 1'!$A24="","",'Extra 1'!I24)</f>
        <v/>
      </c>
      <c r="E24" s="7">
        <f>IF('Extra 1'!$A24="","",'Extra 1'!O24)</f>
        <v/>
      </c>
      <c r="F24" s="7">
        <f>IF('Extra 1'!$A24="","",'Extra 1'!L24)</f>
        <v/>
      </c>
      <c r="G24" s="7">
        <f>IF('Extra 1'!$A24="","",'Extra 1'!S24)</f>
        <v/>
      </c>
      <c r="H24">
        <f>IF('Extra 1'!$A24="","",'Extra 1'!P24)</f>
        <v/>
      </c>
      <c r="I24">
        <f>IF('Extra 1'!$A24="","",'Extra 1'!M24)</f>
        <v/>
      </c>
      <c r="J24" s="7">
        <f>IF('Extra 1'!$A24="","",'Extra 1'!Q24)</f>
        <v/>
      </c>
      <c r="K24" s="7">
        <f>IF('Extra 1'!$A24="","",'Extra 1'!H24)</f>
        <v/>
      </c>
      <c r="L24" s="7">
        <f>IF('Extra 1'!$A24="","",'Extra 1'!T24)</f>
        <v/>
      </c>
      <c r="M24">
        <f>IF('Extra 1'!$A24="","",'Extra 1'!G24)</f>
        <v/>
      </c>
    </row>
    <row r="25">
      <c r="A25">
        <f>IF('Extra 1'!$A25="","",ROWS($A$2:$A25))</f>
        <v/>
      </c>
      <c r="B25">
        <f>IF('Extra 1'!$A25="","",'Extra 1'!E25)</f>
        <v/>
      </c>
      <c r="C25">
        <f>IF('Extra 1'!$A25="","",'Extra 1'!F25)</f>
        <v/>
      </c>
      <c r="D25" s="14">
        <f>IF('Extra 1'!$A25="","",'Extra 1'!I25)</f>
        <v/>
      </c>
      <c r="E25" s="7">
        <f>IF('Extra 1'!$A25="","",'Extra 1'!O25)</f>
        <v/>
      </c>
      <c r="F25" s="7">
        <f>IF('Extra 1'!$A25="","",'Extra 1'!L25)</f>
        <v/>
      </c>
      <c r="G25" s="7">
        <f>IF('Extra 1'!$A25="","",'Extra 1'!S25)</f>
        <v/>
      </c>
      <c r="H25">
        <f>IF('Extra 1'!$A25="","",'Extra 1'!P25)</f>
        <v/>
      </c>
      <c r="I25">
        <f>IF('Extra 1'!$A25="","",'Extra 1'!M25)</f>
        <v/>
      </c>
      <c r="J25" s="7">
        <f>IF('Extra 1'!$A25="","",'Extra 1'!Q25)</f>
        <v/>
      </c>
      <c r="K25" s="7">
        <f>IF('Extra 1'!$A25="","",'Extra 1'!H25)</f>
        <v/>
      </c>
      <c r="L25" s="7">
        <f>IF('Extra 1'!$A25="","",'Extra 1'!T25)</f>
        <v/>
      </c>
      <c r="M25">
        <f>IF('Extra 1'!$A25="","",'Extra 1'!G25)</f>
        <v/>
      </c>
    </row>
    <row r="26">
      <c r="A26">
        <f>IF('Extra 1'!$A26="","",ROWS($A$2:$A26))</f>
        <v/>
      </c>
      <c r="B26">
        <f>IF('Extra 1'!$A26="","",'Extra 1'!E26)</f>
        <v/>
      </c>
      <c r="C26">
        <f>IF('Extra 1'!$A26="","",'Extra 1'!F26)</f>
        <v/>
      </c>
      <c r="D26" s="14">
        <f>IF('Extra 1'!$A26="","",'Extra 1'!I26)</f>
        <v/>
      </c>
      <c r="E26" s="7">
        <f>IF('Extra 1'!$A26="","",'Extra 1'!O26)</f>
        <v/>
      </c>
      <c r="F26" s="7">
        <f>IF('Extra 1'!$A26="","",'Extra 1'!L26)</f>
        <v/>
      </c>
      <c r="G26" s="7">
        <f>IF('Extra 1'!$A26="","",'Extra 1'!S26)</f>
        <v/>
      </c>
      <c r="H26">
        <f>IF('Extra 1'!$A26="","",'Extra 1'!P26)</f>
        <v/>
      </c>
      <c r="I26">
        <f>IF('Extra 1'!$A26="","",'Extra 1'!M26)</f>
        <v/>
      </c>
      <c r="J26" s="7">
        <f>IF('Extra 1'!$A26="","",'Extra 1'!Q26)</f>
        <v/>
      </c>
      <c r="K26" s="7">
        <f>IF('Extra 1'!$A26="","",'Extra 1'!H26)</f>
        <v/>
      </c>
      <c r="L26" s="7">
        <f>IF('Extra 1'!$A26="","",'Extra 1'!T26)</f>
        <v/>
      </c>
      <c r="M26">
        <f>IF('Extra 1'!$A26="","",'Extra 1'!G26)</f>
        <v/>
      </c>
    </row>
    <row r="27">
      <c r="A27">
        <f>IF('Extra 1'!$A27="","",ROWS($A$2:$A27))</f>
        <v/>
      </c>
      <c r="B27">
        <f>IF('Extra 1'!$A27="","",'Extra 1'!E27)</f>
        <v/>
      </c>
      <c r="C27">
        <f>IF('Extra 1'!$A27="","",'Extra 1'!F27)</f>
        <v/>
      </c>
      <c r="D27" s="14">
        <f>IF('Extra 1'!$A27="","",'Extra 1'!I27)</f>
        <v/>
      </c>
      <c r="E27" s="7">
        <f>IF('Extra 1'!$A27="","",'Extra 1'!O27)</f>
        <v/>
      </c>
      <c r="F27" s="7">
        <f>IF('Extra 1'!$A27="","",'Extra 1'!L27)</f>
        <v/>
      </c>
      <c r="G27" s="7">
        <f>IF('Extra 1'!$A27="","",'Extra 1'!S27)</f>
        <v/>
      </c>
      <c r="H27">
        <f>IF('Extra 1'!$A27="","",'Extra 1'!P27)</f>
        <v/>
      </c>
      <c r="I27">
        <f>IF('Extra 1'!$A27="","",'Extra 1'!M27)</f>
        <v/>
      </c>
      <c r="J27" s="7">
        <f>IF('Extra 1'!$A27="","",'Extra 1'!Q27)</f>
        <v/>
      </c>
      <c r="K27" s="7">
        <f>IF('Extra 1'!$A27="","",'Extra 1'!H27)</f>
        <v/>
      </c>
      <c r="L27" s="7">
        <f>IF('Extra 1'!$A27="","",'Extra 1'!T27)</f>
        <v/>
      </c>
      <c r="M27">
        <f>IF('Extra 1'!$A27="","",'Extra 1'!G27)</f>
        <v/>
      </c>
    </row>
    <row r="28">
      <c r="A28">
        <f>IF('Extra 1'!$A28="","",ROWS($A$2:$A28))</f>
        <v/>
      </c>
      <c r="B28">
        <f>IF('Extra 1'!$A28="","",'Extra 1'!E28)</f>
        <v/>
      </c>
      <c r="C28">
        <f>IF('Extra 1'!$A28="","",'Extra 1'!F28)</f>
        <v/>
      </c>
      <c r="D28" s="14">
        <f>IF('Extra 1'!$A28="","",'Extra 1'!I28)</f>
        <v/>
      </c>
      <c r="E28" s="7">
        <f>IF('Extra 1'!$A28="","",'Extra 1'!O28)</f>
        <v/>
      </c>
      <c r="F28" s="7">
        <f>IF('Extra 1'!$A28="","",'Extra 1'!L28)</f>
        <v/>
      </c>
      <c r="G28" s="7">
        <f>IF('Extra 1'!$A28="","",'Extra 1'!S28)</f>
        <v/>
      </c>
      <c r="H28">
        <f>IF('Extra 1'!$A28="","",'Extra 1'!P28)</f>
        <v/>
      </c>
      <c r="I28">
        <f>IF('Extra 1'!$A28="","",'Extra 1'!M28)</f>
        <v/>
      </c>
      <c r="J28" s="7">
        <f>IF('Extra 1'!$A28="","",'Extra 1'!Q28)</f>
        <v/>
      </c>
      <c r="K28" s="7">
        <f>IF('Extra 1'!$A28="","",'Extra 1'!H28)</f>
        <v/>
      </c>
      <c r="L28" s="7">
        <f>IF('Extra 1'!$A28="","",'Extra 1'!T28)</f>
        <v/>
      </c>
      <c r="M28">
        <f>IF('Extra 1'!$A28="","",'Extra 1'!G28)</f>
        <v/>
      </c>
    </row>
    <row r="29">
      <c r="A29">
        <f>IF('Extra 1'!$A29="","",ROWS($A$2:$A29))</f>
        <v/>
      </c>
      <c r="B29">
        <f>IF('Extra 1'!$A29="","",'Extra 1'!E29)</f>
        <v/>
      </c>
      <c r="C29">
        <f>IF('Extra 1'!$A29="","",'Extra 1'!F29)</f>
        <v/>
      </c>
      <c r="D29" s="14">
        <f>IF('Extra 1'!$A29="","",'Extra 1'!I29)</f>
        <v/>
      </c>
      <c r="E29" s="7">
        <f>IF('Extra 1'!$A29="","",'Extra 1'!O29)</f>
        <v/>
      </c>
      <c r="F29" s="7">
        <f>IF('Extra 1'!$A29="","",'Extra 1'!L29)</f>
        <v/>
      </c>
      <c r="G29" s="7">
        <f>IF('Extra 1'!$A29="","",'Extra 1'!S29)</f>
        <v/>
      </c>
      <c r="H29">
        <f>IF('Extra 1'!$A29="","",'Extra 1'!P29)</f>
        <v/>
      </c>
      <c r="I29">
        <f>IF('Extra 1'!$A29="","",'Extra 1'!M29)</f>
        <v/>
      </c>
      <c r="J29" s="7">
        <f>IF('Extra 1'!$A29="","",'Extra 1'!Q29)</f>
        <v/>
      </c>
      <c r="K29" s="7">
        <f>IF('Extra 1'!$A29="","",'Extra 1'!H29)</f>
        <v/>
      </c>
      <c r="L29" s="7">
        <f>IF('Extra 1'!$A29="","",'Extra 1'!T29)</f>
        <v/>
      </c>
      <c r="M29">
        <f>IF('Extra 1'!$A29="","",'Extra 1'!G29)</f>
        <v/>
      </c>
    </row>
    <row r="30">
      <c r="A30">
        <f>IF('Extra 1'!$A30="","",ROWS($A$2:$A30))</f>
        <v/>
      </c>
      <c r="B30">
        <f>IF('Extra 1'!$A30="","",'Extra 1'!E30)</f>
        <v/>
      </c>
      <c r="C30">
        <f>IF('Extra 1'!$A30="","",'Extra 1'!F30)</f>
        <v/>
      </c>
      <c r="D30" s="14">
        <f>IF('Extra 1'!$A30="","",'Extra 1'!I30)</f>
        <v/>
      </c>
      <c r="E30" s="7">
        <f>IF('Extra 1'!$A30="","",'Extra 1'!O30)</f>
        <v/>
      </c>
      <c r="F30" s="7">
        <f>IF('Extra 1'!$A30="","",'Extra 1'!L30)</f>
        <v/>
      </c>
      <c r="G30" s="7">
        <f>IF('Extra 1'!$A30="","",'Extra 1'!S30)</f>
        <v/>
      </c>
      <c r="H30">
        <f>IF('Extra 1'!$A30="","",'Extra 1'!P30)</f>
        <v/>
      </c>
      <c r="I30">
        <f>IF('Extra 1'!$A30="","",'Extra 1'!M30)</f>
        <v/>
      </c>
      <c r="J30" s="7">
        <f>IF('Extra 1'!$A30="","",'Extra 1'!Q30)</f>
        <v/>
      </c>
      <c r="K30" s="7">
        <f>IF('Extra 1'!$A30="","",'Extra 1'!H30)</f>
        <v/>
      </c>
      <c r="L30" s="7">
        <f>IF('Extra 1'!$A30="","",'Extra 1'!T30)</f>
        <v/>
      </c>
      <c r="M30">
        <f>IF('Extra 1'!$A30="","",'Extra 1'!G30)</f>
        <v/>
      </c>
    </row>
    <row r="31">
      <c r="A31">
        <f>IF('Extra 1'!$A31="","",ROWS($A$2:$A31))</f>
        <v/>
      </c>
      <c r="B31">
        <f>IF('Extra 1'!$A31="","",'Extra 1'!E31)</f>
        <v/>
      </c>
      <c r="C31">
        <f>IF('Extra 1'!$A31="","",'Extra 1'!F31)</f>
        <v/>
      </c>
      <c r="D31" s="14">
        <f>IF('Extra 1'!$A31="","",'Extra 1'!I31)</f>
        <v/>
      </c>
      <c r="E31" s="7">
        <f>IF('Extra 1'!$A31="","",'Extra 1'!O31)</f>
        <v/>
      </c>
      <c r="F31" s="7">
        <f>IF('Extra 1'!$A31="","",'Extra 1'!L31)</f>
        <v/>
      </c>
      <c r="G31" s="7">
        <f>IF('Extra 1'!$A31="","",'Extra 1'!S31)</f>
        <v/>
      </c>
      <c r="H31">
        <f>IF('Extra 1'!$A31="","",'Extra 1'!P31)</f>
        <v/>
      </c>
      <c r="I31">
        <f>IF('Extra 1'!$A31="","",'Extra 1'!M31)</f>
        <v/>
      </c>
      <c r="J31" s="7">
        <f>IF('Extra 1'!$A31="","",'Extra 1'!Q31)</f>
        <v/>
      </c>
      <c r="K31" s="7">
        <f>IF('Extra 1'!$A31="","",'Extra 1'!H31)</f>
        <v/>
      </c>
      <c r="L31" s="7">
        <f>IF('Extra 1'!$A31="","",'Extra 1'!T31)</f>
        <v/>
      </c>
      <c r="M31">
        <f>IF('Extra 1'!$A31="","",'Extra 1'!G31)</f>
        <v/>
      </c>
    </row>
    <row r="32">
      <c r="A32">
        <f>IF('Extra 1'!$A32="","",ROWS($A$2:$A32))</f>
        <v/>
      </c>
      <c r="B32">
        <f>IF('Extra 1'!$A32="","",'Extra 1'!E32)</f>
        <v/>
      </c>
      <c r="C32">
        <f>IF('Extra 1'!$A32="","",'Extra 1'!F32)</f>
        <v/>
      </c>
      <c r="D32" s="14">
        <f>IF('Extra 1'!$A32="","",'Extra 1'!I32)</f>
        <v/>
      </c>
      <c r="E32" s="7">
        <f>IF('Extra 1'!$A32="","",'Extra 1'!O32)</f>
        <v/>
      </c>
      <c r="F32" s="7">
        <f>IF('Extra 1'!$A32="","",'Extra 1'!L32)</f>
        <v/>
      </c>
      <c r="G32" s="7">
        <f>IF('Extra 1'!$A32="","",'Extra 1'!S32)</f>
        <v/>
      </c>
      <c r="H32">
        <f>IF('Extra 1'!$A32="","",'Extra 1'!P32)</f>
        <v/>
      </c>
      <c r="I32">
        <f>IF('Extra 1'!$A32="","",'Extra 1'!M32)</f>
        <v/>
      </c>
      <c r="J32" s="7">
        <f>IF('Extra 1'!$A32="","",'Extra 1'!Q32)</f>
        <v/>
      </c>
      <c r="K32" s="7">
        <f>IF('Extra 1'!$A32="","",'Extra 1'!H32)</f>
        <v/>
      </c>
      <c r="L32" s="7">
        <f>IF('Extra 1'!$A32="","",'Extra 1'!T32)</f>
        <v/>
      </c>
      <c r="M32">
        <f>IF('Extra 1'!$A32="","",'Extra 1'!G32)</f>
        <v/>
      </c>
    </row>
    <row r="33">
      <c r="A33">
        <f>IF('Extra 1'!$A33="","",ROWS($A$2:$A33))</f>
        <v/>
      </c>
      <c r="B33">
        <f>IF('Extra 1'!$A33="","",'Extra 1'!E33)</f>
        <v/>
      </c>
      <c r="C33">
        <f>IF('Extra 1'!$A33="","",'Extra 1'!F33)</f>
        <v/>
      </c>
      <c r="D33" s="14">
        <f>IF('Extra 1'!$A33="","",'Extra 1'!I33)</f>
        <v/>
      </c>
      <c r="E33" s="7">
        <f>IF('Extra 1'!$A33="","",'Extra 1'!O33)</f>
        <v/>
      </c>
      <c r="F33" s="7">
        <f>IF('Extra 1'!$A33="","",'Extra 1'!L33)</f>
        <v/>
      </c>
      <c r="G33" s="7">
        <f>IF('Extra 1'!$A33="","",'Extra 1'!S33)</f>
        <v/>
      </c>
      <c r="H33">
        <f>IF('Extra 1'!$A33="","",'Extra 1'!P33)</f>
        <v/>
      </c>
      <c r="I33">
        <f>IF('Extra 1'!$A33="","",'Extra 1'!M33)</f>
        <v/>
      </c>
      <c r="J33" s="7">
        <f>IF('Extra 1'!$A33="","",'Extra 1'!Q33)</f>
        <v/>
      </c>
      <c r="K33" s="7">
        <f>IF('Extra 1'!$A33="","",'Extra 1'!H33)</f>
        <v/>
      </c>
      <c r="L33" s="7">
        <f>IF('Extra 1'!$A33="","",'Extra 1'!T33)</f>
        <v/>
      </c>
      <c r="M33">
        <f>IF('Extra 1'!$A33="","",'Extra 1'!G33)</f>
        <v/>
      </c>
    </row>
    <row r="34">
      <c r="A34">
        <f>IF('Extra 1'!$A34="","",ROWS($A$2:$A34))</f>
        <v/>
      </c>
      <c r="B34">
        <f>IF('Extra 1'!$A34="","",'Extra 1'!E34)</f>
        <v/>
      </c>
      <c r="C34">
        <f>IF('Extra 1'!$A34="","",'Extra 1'!F34)</f>
        <v/>
      </c>
      <c r="D34" s="14">
        <f>IF('Extra 1'!$A34="","",'Extra 1'!I34)</f>
        <v/>
      </c>
      <c r="E34" s="7">
        <f>IF('Extra 1'!$A34="","",'Extra 1'!O34)</f>
        <v/>
      </c>
      <c r="F34" s="7">
        <f>IF('Extra 1'!$A34="","",'Extra 1'!L34)</f>
        <v/>
      </c>
      <c r="G34" s="7">
        <f>IF('Extra 1'!$A34="","",'Extra 1'!S34)</f>
        <v/>
      </c>
      <c r="H34">
        <f>IF('Extra 1'!$A34="","",'Extra 1'!P34)</f>
        <v/>
      </c>
      <c r="I34">
        <f>IF('Extra 1'!$A34="","",'Extra 1'!M34)</f>
        <v/>
      </c>
      <c r="J34" s="7">
        <f>IF('Extra 1'!$A34="","",'Extra 1'!Q34)</f>
        <v/>
      </c>
      <c r="K34" s="7">
        <f>IF('Extra 1'!$A34="","",'Extra 1'!H34)</f>
        <v/>
      </c>
      <c r="L34" s="7">
        <f>IF('Extra 1'!$A34="","",'Extra 1'!T34)</f>
        <v/>
      </c>
      <c r="M34">
        <f>IF('Extra 1'!$A34="","",'Extra 1'!G34)</f>
        <v/>
      </c>
    </row>
    <row r="35">
      <c r="A35">
        <f>IF('Extra 1'!$A35="","",ROWS($A$2:$A35))</f>
        <v/>
      </c>
      <c r="B35">
        <f>IF('Extra 1'!$A35="","",'Extra 1'!E35)</f>
        <v/>
      </c>
      <c r="C35">
        <f>IF('Extra 1'!$A35="","",'Extra 1'!F35)</f>
        <v/>
      </c>
      <c r="D35" s="14">
        <f>IF('Extra 1'!$A35="","",'Extra 1'!I35)</f>
        <v/>
      </c>
      <c r="E35" s="7">
        <f>IF('Extra 1'!$A35="","",'Extra 1'!O35)</f>
        <v/>
      </c>
      <c r="F35" s="7">
        <f>IF('Extra 1'!$A35="","",'Extra 1'!L35)</f>
        <v/>
      </c>
      <c r="G35" s="7">
        <f>IF('Extra 1'!$A35="","",'Extra 1'!S35)</f>
        <v/>
      </c>
      <c r="H35">
        <f>IF('Extra 1'!$A35="","",'Extra 1'!P35)</f>
        <v/>
      </c>
      <c r="I35">
        <f>IF('Extra 1'!$A35="","",'Extra 1'!M35)</f>
        <v/>
      </c>
      <c r="J35" s="7">
        <f>IF('Extra 1'!$A35="","",'Extra 1'!Q35)</f>
        <v/>
      </c>
      <c r="K35" s="7">
        <f>IF('Extra 1'!$A35="","",'Extra 1'!H35)</f>
        <v/>
      </c>
      <c r="L35" s="7">
        <f>IF('Extra 1'!$A35="","",'Extra 1'!T35)</f>
        <v/>
      </c>
      <c r="M35">
        <f>IF('Extra 1'!$A35="","",'Extra 1'!G35)</f>
        <v/>
      </c>
    </row>
    <row r="36">
      <c r="A36">
        <f>IF('Extra 1'!$A36="","",ROWS($A$2:$A36))</f>
        <v/>
      </c>
      <c r="B36">
        <f>IF('Extra 1'!$A36="","",'Extra 1'!E36)</f>
        <v/>
      </c>
      <c r="C36">
        <f>IF('Extra 1'!$A36="","",'Extra 1'!F36)</f>
        <v/>
      </c>
      <c r="D36" s="14">
        <f>IF('Extra 1'!$A36="","",'Extra 1'!I36)</f>
        <v/>
      </c>
      <c r="E36" s="7">
        <f>IF('Extra 1'!$A36="","",'Extra 1'!O36)</f>
        <v/>
      </c>
      <c r="F36" s="7">
        <f>IF('Extra 1'!$A36="","",'Extra 1'!L36)</f>
        <v/>
      </c>
      <c r="G36" s="7">
        <f>IF('Extra 1'!$A36="","",'Extra 1'!S36)</f>
        <v/>
      </c>
      <c r="H36">
        <f>IF('Extra 1'!$A36="","",'Extra 1'!P36)</f>
        <v/>
      </c>
      <c r="I36">
        <f>IF('Extra 1'!$A36="","",'Extra 1'!M36)</f>
        <v/>
      </c>
      <c r="J36" s="7">
        <f>IF('Extra 1'!$A36="","",'Extra 1'!Q36)</f>
        <v/>
      </c>
      <c r="K36" s="7">
        <f>IF('Extra 1'!$A36="","",'Extra 1'!H36)</f>
        <v/>
      </c>
      <c r="L36" s="7">
        <f>IF('Extra 1'!$A36="","",'Extra 1'!T36)</f>
        <v/>
      </c>
      <c r="M36">
        <f>IF('Extra 1'!$A36="","",'Extra 1'!G36)</f>
        <v/>
      </c>
    </row>
    <row r="37">
      <c r="A37">
        <f>IF('Extra 1'!$A37="","",ROWS($A$2:$A37))</f>
        <v/>
      </c>
      <c r="B37">
        <f>IF('Extra 1'!$A37="","",'Extra 1'!E37)</f>
        <v/>
      </c>
      <c r="C37">
        <f>IF('Extra 1'!$A37="","",'Extra 1'!F37)</f>
        <v/>
      </c>
      <c r="D37" s="14">
        <f>IF('Extra 1'!$A37="","",'Extra 1'!I37)</f>
        <v/>
      </c>
      <c r="E37" s="7">
        <f>IF('Extra 1'!$A37="","",'Extra 1'!O37)</f>
        <v/>
      </c>
      <c r="F37" s="7">
        <f>IF('Extra 1'!$A37="","",'Extra 1'!L37)</f>
        <v/>
      </c>
      <c r="G37" s="7">
        <f>IF('Extra 1'!$A37="","",'Extra 1'!S37)</f>
        <v/>
      </c>
      <c r="H37">
        <f>IF('Extra 1'!$A37="","",'Extra 1'!P37)</f>
        <v/>
      </c>
      <c r="I37">
        <f>IF('Extra 1'!$A37="","",'Extra 1'!M37)</f>
        <v/>
      </c>
      <c r="J37" s="7">
        <f>IF('Extra 1'!$A37="","",'Extra 1'!Q37)</f>
        <v/>
      </c>
      <c r="K37" s="7">
        <f>IF('Extra 1'!$A37="","",'Extra 1'!H37)</f>
        <v/>
      </c>
      <c r="L37" s="7">
        <f>IF('Extra 1'!$A37="","",'Extra 1'!T37)</f>
        <v/>
      </c>
      <c r="M37">
        <f>IF('Extra 1'!$A37="","",'Extra 1'!G37)</f>
        <v/>
      </c>
    </row>
    <row r="38">
      <c r="A38">
        <f>IF('Extra 1'!$A38="","",ROWS($A$2:$A38))</f>
        <v/>
      </c>
      <c r="B38">
        <f>IF('Extra 1'!$A38="","",'Extra 1'!E38)</f>
        <v/>
      </c>
      <c r="C38">
        <f>IF('Extra 1'!$A38="","",'Extra 1'!F38)</f>
        <v/>
      </c>
      <c r="D38" s="14">
        <f>IF('Extra 1'!$A38="","",'Extra 1'!I38)</f>
        <v/>
      </c>
      <c r="E38" s="7">
        <f>IF('Extra 1'!$A38="","",'Extra 1'!O38)</f>
        <v/>
      </c>
      <c r="F38" s="7">
        <f>IF('Extra 1'!$A38="","",'Extra 1'!L38)</f>
        <v/>
      </c>
      <c r="G38" s="7">
        <f>IF('Extra 1'!$A38="","",'Extra 1'!S38)</f>
        <v/>
      </c>
      <c r="H38">
        <f>IF('Extra 1'!$A38="","",'Extra 1'!P38)</f>
        <v/>
      </c>
      <c r="I38">
        <f>IF('Extra 1'!$A38="","",'Extra 1'!M38)</f>
        <v/>
      </c>
      <c r="J38" s="7">
        <f>IF('Extra 1'!$A38="","",'Extra 1'!Q38)</f>
        <v/>
      </c>
      <c r="K38" s="7">
        <f>IF('Extra 1'!$A38="","",'Extra 1'!H38)</f>
        <v/>
      </c>
      <c r="L38" s="7">
        <f>IF('Extra 1'!$A38="","",'Extra 1'!T38)</f>
        <v/>
      </c>
      <c r="M38">
        <f>IF('Extra 1'!$A38="","",'Extra 1'!G38)</f>
        <v/>
      </c>
    </row>
    <row r="39">
      <c r="A39">
        <f>IF('Extra 1'!$A39="","",ROWS($A$2:$A39))</f>
        <v/>
      </c>
      <c r="B39">
        <f>IF('Extra 1'!$A39="","",'Extra 1'!E39)</f>
        <v/>
      </c>
      <c r="C39">
        <f>IF('Extra 1'!$A39="","",'Extra 1'!F39)</f>
        <v/>
      </c>
      <c r="D39" s="14">
        <f>IF('Extra 1'!$A39="","",'Extra 1'!I39)</f>
        <v/>
      </c>
      <c r="E39" s="7">
        <f>IF('Extra 1'!$A39="","",'Extra 1'!O39)</f>
        <v/>
      </c>
      <c r="F39" s="7">
        <f>IF('Extra 1'!$A39="","",'Extra 1'!L39)</f>
        <v/>
      </c>
      <c r="G39" s="7">
        <f>IF('Extra 1'!$A39="","",'Extra 1'!S39)</f>
        <v/>
      </c>
      <c r="H39">
        <f>IF('Extra 1'!$A39="","",'Extra 1'!P39)</f>
        <v/>
      </c>
      <c r="I39">
        <f>IF('Extra 1'!$A39="","",'Extra 1'!M39)</f>
        <v/>
      </c>
      <c r="J39" s="7">
        <f>IF('Extra 1'!$A39="","",'Extra 1'!Q39)</f>
        <v/>
      </c>
      <c r="K39" s="7">
        <f>IF('Extra 1'!$A39="","",'Extra 1'!H39)</f>
        <v/>
      </c>
      <c r="L39" s="7">
        <f>IF('Extra 1'!$A39="","",'Extra 1'!T39)</f>
        <v/>
      </c>
      <c r="M39">
        <f>IF('Extra 1'!$A39="","",'Extra 1'!G39)</f>
        <v/>
      </c>
    </row>
    <row r="40">
      <c r="A40">
        <f>IF('Extra 1'!$A40="","",ROWS($A$2:$A40))</f>
        <v/>
      </c>
      <c r="B40">
        <f>IF('Extra 1'!$A40="","",'Extra 1'!E40)</f>
        <v/>
      </c>
      <c r="C40">
        <f>IF('Extra 1'!$A40="","",'Extra 1'!F40)</f>
        <v/>
      </c>
      <c r="D40" s="14">
        <f>IF('Extra 1'!$A40="","",'Extra 1'!I40)</f>
        <v/>
      </c>
      <c r="E40" s="7">
        <f>IF('Extra 1'!$A40="","",'Extra 1'!O40)</f>
        <v/>
      </c>
      <c r="F40" s="7">
        <f>IF('Extra 1'!$A40="","",'Extra 1'!L40)</f>
        <v/>
      </c>
      <c r="G40" s="7">
        <f>IF('Extra 1'!$A40="","",'Extra 1'!S40)</f>
        <v/>
      </c>
      <c r="H40">
        <f>IF('Extra 1'!$A40="","",'Extra 1'!P40)</f>
        <v/>
      </c>
      <c r="I40">
        <f>IF('Extra 1'!$A40="","",'Extra 1'!M40)</f>
        <v/>
      </c>
      <c r="J40" s="7">
        <f>IF('Extra 1'!$A40="","",'Extra 1'!Q40)</f>
        <v/>
      </c>
      <c r="K40" s="7">
        <f>IF('Extra 1'!$A40="","",'Extra 1'!H40)</f>
        <v/>
      </c>
      <c r="L40" s="7">
        <f>IF('Extra 1'!$A40="","",'Extra 1'!T40)</f>
        <v/>
      </c>
      <c r="M40">
        <f>IF('Extra 1'!$A40="","",'Extra 1'!G40)</f>
        <v/>
      </c>
    </row>
    <row r="41">
      <c r="A41">
        <f>IF('Extra 1'!$A41="","",ROWS($A$2:$A41))</f>
        <v/>
      </c>
      <c r="B41">
        <f>IF('Extra 1'!$A41="","",'Extra 1'!E41)</f>
        <v/>
      </c>
      <c r="C41">
        <f>IF('Extra 1'!$A41="","",'Extra 1'!F41)</f>
        <v/>
      </c>
      <c r="D41" s="14">
        <f>IF('Extra 1'!$A41="","",'Extra 1'!I41)</f>
        <v/>
      </c>
      <c r="E41" s="7">
        <f>IF('Extra 1'!$A41="","",'Extra 1'!O41)</f>
        <v/>
      </c>
      <c r="F41" s="7">
        <f>IF('Extra 1'!$A41="","",'Extra 1'!L41)</f>
        <v/>
      </c>
      <c r="G41" s="7">
        <f>IF('Extra 1'!$A41="","",'Extra 1'!S41)</f>
        <v/>
      </c>
      <c r="H41">
        <f>IF('Extra 1'!$A41="","",'Extra 1'!P41)</f>
        <v/>
      </c>
      <c r="I41">
        <f>IF('Extra 1'!$A41="","",'Extra 1'!M41)</f>
        <v/>
      </c>
      <c r="J41" s="7">
        <f>IF('Extra 1'!$A41="","",'Extra 1'!Q41)</f>
        <v/>
      </c>
      <c r="K41" s="7">
        <f>IF('Extra 1'!$A41="","",'Extra 1'!H41)</f>
        <v/>
      </c>
      <c r="L41" s="7">
        <f>IF('Extra 1'!$A41="","",'Extra 1'!T41)</f>
        <v/>
      </c>
      <c r="M41">
        <f>IF('Extra 1'!$A41="","",'Extra 1'!G41)</f>
        <v/>
      </c>
    </row>
    <row r="42">
      <c r="A42">
        <f>IF('Extra 1'!$A42="","",ROWS($A$2:$A42))</f>
        <v/>
      </c>
      <c r="B42">
        <f>IF('Extra 1'!$A42="","",'Extra 1'!E42)</f>
        <v/>
      </c>
      <c r="C42">
        <f>IF('Extra 1'!$A42="","",'Extra 1'!F42)</f>
        <v/>
      </c>
      <c r="D42" s="14">
        <f>IF('Extra 1'!$A42="","",'Extra 1'!I42)</f>
        <v/>
      </c>
      <c r="E42" s="7">
        <f>IF('Extra 1'!$A42="","",'Extra 1'!O42)</f>
        <v/>
      </c>
      <c r="F42" s="7">
        <f>IF('Extra 1'!$A42="","",'Extra 1'!L42)</f>
        <v/>
      </c>
      <c r="G42" s="7">
        <f>IF('Extra 1'!$A42="","",'Extra 1'!S42)</f>
        <v/>
      </c>
      <c r="H42">
        <f>IF('Extra 1'!$A42="","",'Extra 1'!P42)</f>
        <v/>
      </c>
      <c r="I42">
        <f>IF('Extra 1'!$A42="","",'Extra 1'!M42)</f>
        <v/>
      </c>
      <c r="J42" s="7">
        <f>IF('Extra 1'!$A42="","",'Extra 1'!Q42)</f>
        <v/>
      </c>
      <c r="K42" s="7">
        <f>IF('Extra 1'!$A42="","",'Extra 1'!H42)</f>
        <v/>
      </c>
      <c r="L42" s="7">
        <f>IF('Extra 1'!$A42="","",'Extra 1'!T42)</f>
        <v/>
      </c>
      <c r="M42">
        <f>IF('Extra 1'!$A42="","",'Extra 1'!G42)</f>
        <v/>
      </c>
    </row>
    <row r="43">
      <c r="A43">
        <f>IF('Extra 1'!$A43="","",ROWS($A$2:$A43))</f>
        <v/>
      </c>
      <c r="B43">
        <f>IF('Extra 1'!$A43="","",'Extra 1'!E43)</f>
        <v/>
      </c>
      <c r="C43">
        <f>IF('Extra 1'!$A43="","",'Extra 1'!F43)</f>
        <v/>
      </c>
      <c r="D43" s="14">
        <f>IF('Extra 1'!$A43="","",'Extra 1'!I43)</f>
        <v/>
      </c>
      <c r="E43" s="7">
        <f>IF('Extra 1'!$A43="","",'Extra 1'!O43)</f>
        <v/>
      </c>
      <c r="F43" s="7">
        <f>IF('Extra 1'!$A43="","",'Extra 1'!L43)</f>
        <v/>
      </c>
      <c r="G43" s="7">
        <f>IF('Extra 1'!$A43="","",'Extra 1'!S43)</f>
        <v/>
      </c>
      <c r="H43">
        <f>IF('Extra 1'!$A43="","",'Extra 1'!P43)</f>
        <v/>
      </c>
      <c r="I43">
        <f>IF('Extra 1'!$A43="","",'Extra 1'!M43)</f>
        <v/>
      </c>
      <c r="J43" s="7">
        <f>IF('Extra 1'!$A43="","",'Extra 1'!Q43)</f>
        <v/>
      </c>
      <c r="K43" s="7">
        <f>IF('Extra 1'!$A43="","",'Extra 1'!H43)</f>
        <v/>
      </c>
      <c r="L43" s="7">
        <f>IF('Extra 1'!$A43="","",'Extra 1'!T43)</f>
        <v/>
      </c>
      <c r="M43">
        <f>IF('Extra 1'!$A43="","",'Extra 1'!G43)</f>
        <v/>
      </c>
    </row>
    <row r="44">
      <c r="A44">
        <f>IF('Extra 1'!$A44="","",ROWS($A$2:$A44))</f>
        <v/>
      </c>
      <c r="B44">
        <f>IF('Extra 1'!$A44="","",'Extra 1'!E44)</f>
        <v/>
      </c>
      <c r="C44">
        <f>IF('Extra 1'!$A44="","",'Extra 1'!F44)</f>
        <v/>
      </c>
      <c r="D44" s="14">
        <f>IF('Extra 1'!$A44="","",'Extra 1'!I44)</f>
        <v/>
      </c>
      <c r="E44" s="7">
        <f>IF('Extra 1'!$A44="","",'Extra 1'!O44)</f>
        <v/>
      </c>
      <c r="F44" s="7">
        <f>IF('Extra 1'!$A44="","",'Extra 1'!L44)</f>
        <v/>
      </c>
      <c r="G44" s="7">
        <f>IF('Extra 1'!$A44="","",'Extra 1'!S44)</f>
        <v/>
      </c>
      <c r="H44">
        <f>IF('Extra 1'!$A44="","",'Extra 1'!P44)</f>
        <v/>
      </c>
      <c r="I44">
        <f>IF('Extra 1'!$A44="","",'Extra 1'!M44)</f>
        <v/>
      </c>
      <c r="J44" s="7">
        <f>IF('Extra 1'!$A44="","",'Extra 1'!Q44)</f>
        <v/>
      </c>
      <c r="K44" s="7">
        <f>IF('Extra 1'!$A44="","",'Extra 1'!H44)</f>
        <v/>
      </c>
      <c r="L44" s="7">
        <f>IF('Extra 1'!$A44="","",'Extra 1'!T44)</f>
        <v/>
      </c>
      <c r="M44">
        <f>IF('Extra 1'!$A44="","",'Extra 1'!G44)</f>
        <v/>
      </c>
    </row>
    <row r="45">
      <c r="A45">
        <f>IF('Extra 1'!$A45="","",ROWS($A$2:$A45))</f>
        <v/>
      </c>
      <c r="B45">
        <f>IF('Extra 1'!$A45="","",'Extra 1'!E45)</f>
        <v/>
      </c>
      <c r="C45">
        <f>IF('Extra 1'!$A45="","",'Extra 1'!F45)</f>
        <v/>
      </c>
      <c r="D45" s="14">
        <f>IF('Extra 1'!$A45="","",'Extra 1'!I45)</f>
        <v/>
      </c>
      <c r="E45" s="7">
        <f>IF('Extra 1'!$A45="","",'Extra 1'!O45)</f>
        <v/>
      </c>
      <c r="F45" s="7">
        <f>IF('Extra 1'!$A45="","",'Extra 1'!L45)</f>
        <v/>
      </c>
      <c r="G45" s="7">
        <f>IF('Extra 1'!$A45="","",'Extra 1'!S45)</f>
        <v/>
      </c>
      <c r="H45">
        <f>IF('Extra 1'!$A45="","",'Extra 1'!P45)</f>
        <v/>
      </c>
      <c r="I45">
        <f>IF('Extra 1'!$A45="","",'Extra 1'!M45)</f>
        <v/>
      </c>
      <c r="J45" s="7">
        <f>IF('Extra 1'!$A45="","",'Extra 1'!Q45)</f>
        <v/>
      </c>
      <c r="K45" s="7">
        <f>IF('Extra 1'!$A45="","",'Extra 1'!H45)</f>
        <v/>
      </c>
      <c r="L45" s="7">
        <f>IF('Extra 1'!$A45="","",'Extra 1'!T45)</f>
        <v/>
      </c>
      <c r="M45">
        <f>IF('Extra 1'!$A45="","",'Extra 1'!G45)</f>
        <v/>
      </c>
    </row>
    <row r="46">
      <c r="A46">
        <f>IF('Extra 1'!$A46="","",ROWS($A$2:$A46))</f>
        <v/>
      </c>
      <c r="B46">
        <f>IF('Extra 1'!$A46="","",'Extra 1'!E46)</f>
        <v/>
      </c>
      <c r="C46">
        <f>IF('Extra 1'!$A46="","",'Extra 1'!F46)</f>
        <v/>
      </c>
      <c r="D46" s="14">
        <f>IF('Extra 1'!$A46="","",'Extra 1'!I46)</f>
        <v/>
      </c>
      <c r="E46" s="7">
        <f>IF('Extra 1'!$A46="","",'Extra 1'!O46)</f>
        <v/>
      </c>
      <c r="F46" s="7">
        <f>IF('Extra 1'!$A46="","",'Extra 1'!L46)</f>
        <v/>
      </c>
      <c r="G46" s="7">
        <f>IF('Extra 1'!$A46="","",'Extra 1'!S46)</f>
        <v/>
      </c>
      <c r="H46">
        <f>IF('Extra 1'!$A46="","",'Extra 1'!P46)</f>
        <v/>
      </c>
      <c r="I46">
        <f>IF('Extra 1'!$A46="","",'Extra 1'!M46)</f>
        <v/>
      </c>
      <c r="J46" s="7">
        <f>IF('Extra 1'!$A46="","",'Extra 1'!Q46)</f>
        <v/>
      </c>
      <c r="K46" s="7">
        <f>IF('Extra 1'!$A46="","",'Extra 1'!H46)</f>
        <v/>
      </c>
      <c r="L46" s="7">
        <f>IF('Extra 1'!$A46="","",'Extra 1'!T46)</f>
        <v/>
      </c>
      <c r="M46">
        <f>IF('Extra 1'!$A46="","",'Extra 1'!G46)</f>
        <v/>
      </c>
    </row>
    <row r="47">
      <c r="A47">
        <f>IF('Extra 1'!$A47="","",ROWS($A$2:$A47))</f>
        <v/>
      </c>
      <c r="B47">
        <f>IF('Extra 1'!$A47="","",'Extra 1'!E47)</f>
        <v/>
      </c>
      <c r="C47">
        <f>IF('Extra 1'!$A47="","",'Extra 1'!F47)</f>
        <v/>
      </c>
      <c r="D47" s="14">
        <f>IF('Extra 1'!$A47="","",'Extra 1'!I47)</f>
        <v/>
      </c>
      <c r="E47" s="7">
        <f>IF('Extra 1'!$A47="","",'Extra 1'!O47)</f>
        <v/>
      </c>
      <c r="F47" s="7">
        <f>IF('Extra 1'!$A47="","",'Extra 1'!L47)</f>
        <v/>
      </c>
      <c r="G47" s="7">
        <f>IF('Extra 1'!$A47="","",'Extra 1'!S47)</f>
        <v/>
      </c>
      <c r="H47">
        <f>IF('Extra 1'!$A47="","",'Extra 1'!P47)</f>
        <v/>
      </c>
      <c r="I47">
        <f>IF('Extra 1'!$A47="","",'Extra 1'!M47)</f>
        <v/>
      </c>
      <c r="J47" s="7">
        <f>IF('Extra 1'!$A47="","",'Extra 1'!Q47)</f>
        <v/>
      </c>
      <c r="K47" s="7">
        <f>IF('Extra 1'!$A47="","",'Extra 1'!H47)</f>
        <v/>
      </c>
      <c r="L47" s="7">
        <f>IF('Extra 1'!$A47="","",'Extra 1'!T47)</f>
        <v/>
      </c>
      <c r="M47">
        <f>IF('Extra 1'!$A47="","",'Extra 1'!G47)</f>
        <v/>
      </c>
    </row>
    <row r="48">
      <c r="A48">
        <f>IF('Extra 1'!$A48="","",ROWS($A$2:$A48))</f>
        <v/>
      </c>
      <c r="B48">
        <f>IF('Extra 1'!$A48="","",'Extra 1'!E48)</f>
        <v/>
      </c>
      <c r="C48">
        <f>IF('Extra 1'!$A48="","",'Extra 1'!F48)</f>
        <v/>
      </c>
      <c r="D48" s="14">
        <f>IF('Extra 1'!$A48="","",'Extra 1'!I48)</f>
        <v/>
      </c>
      <c r="E48" s="7">
        <f>IF('Extra 1'!$A48="","",'Extra 1'!O48)</f>
        <v/>
      </c>
      <c r="F48" s="7">
        <f>IF('Extra 1'!$A48="","",'Extra 1'!L48)</f>
        <v/>
      </c>
      <c r="G48" s="7">
        <f>IF('Extra 1'!$A48="","",'Extra 1'!S48)</f>
        <v/>
      </c>
      <c r="H48">
        <f>IF('Extra 1'!$A48="","",'Extra 1'!P48)</f>
        <v/>
      </c>
      <c r="I48">
        <f>IF('Extra 1'!$A48="","",'Extra 1'!M48)</f>
        <v/>
      </c>
      <c r="J48" s="7">
        <f>IF('Extra 1'!$A48="","",'Extra 1'!Q48)</f>
        <v/>
      </c>
      <c r="K48" s="7">
        <f>IF('Extra 1'!$A48="","",'Extra 1'!H48)</f>
        <v/>
      </c>
      <c r="L48" s="7">
        <f>IF('Extra 1'!$A48="","",'Extra 1'!T48)</f>
        <v/>
      </c>
      <c r="M48">
        <f>IF('Extra 1'!$A48="","",'Extra 1'!G48)</f>
        <v/>
      </c>
    </row>
    <row r="49">
      <c r="A49">
        <f>IF('Extra 1'!$A49="","",ROWS($A$2:$A49))</f>
        <v/>
      </c>
      <c r="B49">
        <f>IF('Extra 1'!$A49="","",'Extra 1'!E49)</f>
        <v/>
      </c>
      <c r="C49">
        <f>IF('Extra 1'!$A49="","",'Extra 1'!F49)</f>
        <v/>
      </c>
      <c r="D49" s="14">
        <f>IF('Extra 1'!$A49="","",'Extra 1'!I49)</f>
        <v/>
      </c>
      <c r="E49" s="7">
        <f>IF('Extra 1'!$A49="","",'Extra 1'!O49)</f>
        <v/>
      </c>
      <c r="F49" s="7">
        <f>IF('Extra 1'!$A49="","",'Extra 1'!L49)</f>
        <v/>
      </c>
      <c r="G49" s="7">
        <f>IF('Extra 1'!$A49="","",'Extra 1'!S49)</f>
        <v/>
      </c>
      <c r="H49">
        <f>IF('Extra 1'!$A49="","",'Extra 1'!P49)</f>
        <v/>
      </c>
      <c r="I49">
        <f>IF('Extra 1'!$A49="","",'Extra 1'!M49)</f>
        <v/>
      </c>
      <c r="J49" s="7">
        <f>IF('Extra 1'!$A49="","",'Extra 1'!Q49)</f>
        <v/>
      </c>
      <c r="K49" s="7">
        <f>IF('Extra 1'!$A49="","",'Extra 1'!H49)</f>
        <v/>
      </c>
      <c r="L49" s="7">
        <f>IF('Extra 1'!$A49="","",'Extra 1'!T49)</f>
        <v/>
      </c>
      <c r="M49">
        <f>IF('Extra 1'!$A49="","",'Extra 1'!G49)</f>
        <v/>
      </c>
    </row>
    <row r="50">
      <c r="A50">
        <f>IF('Extra 1'!$A50="","",ROWS($A$2:$A50))</f>
        <v/>
      </c>
      <c r="B50">
        <f>IF('Extra 1'!$A50="","",'Extra 1'!E50)</f>
        <v/>
      </c>
      <c r="C50">
        <f>IF('Extra 1'!$A50="","",'Extra 1'!F50)</f>
        <v/>
      </c>
      <c r="D50" s="14">
        <f>IF('Extra 1'!$A50="","",'Extra 1'!I50)</f>
        <v/>
      </c>
      <c r="E50" s="7">
        <f>IF('Extra 1'!$A50="","",'Extra 1'!O50)</f>
        <v/>
      </c>
      <c r="F50" s="7">
        <f>IF('Extra 1'!$A50="","",'Extra 1'!L50)</f>
        <v/>
      </c>
      <c r="G50" s="7">
        <f>IF('Extra 1'!$A50="","",'Extra 1'!S50)</f>
        <v/>
      </c>
      <c r="H50">
        <f>IF('Extra 1'!$A50="","",'Extra 1'!P50)</f>
        <v/>
      </c>
      <c r="I50">
        <f>IF('Extra 1'!$A50="","",'Extra 1'!M50)</f>
        <v/>
      </c>
      <c r="J50" s="7">
        <f>IF('Extra 1'!$A50="","",'Extra 1'!Q50)</f>
        <v/>
      </c>
      <c r="K50" s="7">
        <f>IF('Extra 1'!$A50="","",'Extra 1'!H50)</f>
        <v/>
      </c>
      <c r="L50" s="7">
        <f>IF('Extra 1'!$A50="","",'Extra 1'!T50)</f>
        <v/>
      </c>
      <c r="M50">
        <f>IF('Extra 1'!$A50="","",'Extra 1'!G50)</f>
        <v/>
      </c>
    </row>
    <row r="51">
      <c r="A51">
        <f>IF('Extra 1'!$A51="","",ROWS($A$2:$A51))</f>
        <v/>
      </c>
      <c r="B51">
        <f>IF('Extra 1'!$A51="","",'Extra 1'!E51)</f>
        <v/>
      </c>
      <c r="C51">
        <f>IF('Extra 1'!$A51="","",'Extra 1'!F51)</f>
        <v/>
      </c>
      <c r="D51" s="14">
        <f>IF('Extra 1'!$A51="","",'Extra 1'!I51)</f>
        <v/>
      </c>
      <c r="E51" s="7">
        <f>IF('Extra 1'!$A51="","",'Extra 1'!O51)</f>
        <v/>
      </c>
      <c r="F51" s="7">
        <f>IF('Extra 1'!$A51="","",'Extra 1'!L51)</f>
        <v/>
      </c>
      <c r="G51" s="7">
        <f>IF('Extra 1'!$A51="","",'Extra 1'!S51)</f>
        <v/>
      </c>
      <c r="H51">
        <f>IF('Extra 1'!$A51="","",'Extra 1'!P51)</f>
        <v/>
      </c>
      <c r="I51">
        <f>IF('Extra 1'!$A51="","",'Extra 1'!M51)</f>
        <v/>
      </c>
      <c r="J51" s="7">
        <f>IF('Extra 1'!$A51="","",'Extra 1'!Q51)</f>
        <v/>
      </c>
      <c r="K51" s="7">
        <f>IF('Extra 1'!$A51="","",'Extra 1'!H51)</f>
        <v/>
      </c>
      <c r="L51" s="7">
        <f>IF('Extra 1'!$A51="","",'Extra 1'!T51)</f>
        <v/>
      </c>
      <c r="M51">
        <f>IF('Extra 1'!$A51="","",'Extra 1'!G51)</f>
        <v/>
      </c>
    </row>
    <row r="52">
      <c r="A52">
        <f>IF('Extra 1'!$A52="","",ROWS($A$2:$A52))</f>
        <v/>
      </c>
      <c r="B52">
        <f>IF('Extra 1'!$A52="","",'Extra 1'!E52)</f>
        <v/>
      </c>
      <c r="C52">
        <f>IF('Extra 1'!$A52="","",'Extra 1'!F52)</f>
        <v/>
      </c>
      <c r="D52" s="14">
        <f>IF('Extra 1'!$A52="","",'Extra 1'!I52)</f>
        <v/>
      </c>
      <c r="E52" s="7">
        <f>IF('Extra 1'!$A52="","",'Extra 1'!O52)</f>
        <v/>
      </c>
      <c r="F52" s="7">
        <f>IF('Extra 1'!$A52="","",'Extra 1'!L52)</f>
        <v/>
      </c>
      <c r="G52" s="7">
        <f>IF('Extra 1'!$A52="","",'Extra 1'!S52)</f>
        <v/>
      </c>
      <c r="H52">
        <f>IF('Extra 1'!$A52="","",'Extra 1'!P52)</f>
        <v/>
      </c>
      <c r="I52">
        <f>IF('Extra 1'!$A52="","",'Extra 1'!M52)</f>
        <v/>
      </c>
      <c r="J52" s="7">
        <f>IF('Extra 1'!$A52="","",'Extra 1'!Q52)</f>
        <v/>
      </c>
      <c r="K52" s="7">
        <f>IF('Extra 1'!$A52="","",'Extra 1'!H52)</f>
        <v/>
      </c>
      <c r="L52" s="7">
        <f>IF('Extra 1'!$A52="","",'Extra 1'!T52)</f>
        <v/>
      </c>
      <c r="M52">
        <f>IF('Extra 1'!$A52="","",'Extra 1'!G52)</f>
        <v/>
      </c>
    </row>
    <row r="53">
      <c r="A53">
        <f>IF('Extra 1'!$A53="","",ROWS($A$2:$A53))</f>
        <v/>
      </c>
      <c r="B53">
        <f>IF('Extra 1'!$A53="","",'Extra 1'!E53)</f>
        <v/>
      </c>
      <c r="C53">
        <f>IF('Extra 1'!$A53="","",'Extra 1'!F53)</f>
        <v/>
      </c>
      <c r="D53" s="14">
        <f>IF('Extra 1'!$A53="","",'Extra 1'!I53)</f>
        <v/>
      </c>
      <c r="E53" s="7">
        <f>IF('Extra 1'!$A53="","",'Extra 1'!O53)</f>
        <v/>
      </c>
      <c r="F53" s="7">
        <f>IF('Extra 1'!$A53="","",'Extra 1'!L53)</f>
        <v/>
      </c>
      <c r="G53" s="7">
        <f>IF('Extra 1'!$A53="","",'Extra 1'!S53)</f>
        <v/>
      </c>
      <c r="H53">
        <f>IF('Extra 1'!$A53="","",'Extra 1'!P53)</f>
        <v/>
      </c>
      <c r="I53">
        <f>IF('Extra 1'!$A53="","",'Extra 1'!M53)</f>
        <v/>
      </c>
      <c r="J53" s="7">
        <f>IF('Extra 1'!$A53="","",'Extra 1'!Q53)</f>
        <v/>
      </c>
      <c r="K53" s="7">
        <f>IF('Extra 1'!$A53="","",'Extra 1'!H53)</f>
        <v/>
      </c>
      <c r="L53" s="7">
        <f>IF('Extra 1'!$A53="","",'Extra 1'!T53)</f>
        <v/>
      </c>
      <c r="M53">
        <f>IF('Extra 1'!$A53="","",'Extra 1'!G53)</f>
        <v/>
      </c>
    </row>
    <row r="54">
      <c r="A54">
        <f>IF('Extra 1'!$A54="","",ROWS($A$2:$A54))</f>
        <v/>
      </c>
      <c r="B54">
        <f>IF('Extra 1'!$A54="","",'Extra 1'!E54)</f>
        <v/>
      </c>
      <c r="C54">
        <f>IF('Extra 1'!$A54="","",'Extra 1'!F54)</f>
        <v/>
      </c>
      <c r="D54" s="14">
        <f>IF('Extra 1'!$A54="","",'Extra 1'!I54)</f>
        <v/>
      </c>
      <c r="E54" s="7">
        <f>IF('Extra 1'!$A54="","",'Extra 1'!O54)</f>
        <v/>
      </c>
      <c r="F54" s="7">
        <f>IF('Extra 1'!$A54="","",'Extra 1'!L54)</f>
        <v/>
      </c>
      <c r="G54" s="7">
        <f>IF('Extra 1'!$A54="","",'Extra 1'!S54)</f>
        <v/>
      </c>
      <c r="H54">
        <f>IF('Extra 1'!$A54="","",'Extra 1'!P54)</f>
        <v/>
      </c>
      <c r="I54">
        <f>IF('Extra 1'!$A54="","",'Extra 1'!M54)</f>
        <v/>
      </c>
      <c r="J54" s="7">
        <f>IF('Extra 1'!$A54="","",'Extra 1'!Q54)</f>
        <v/>
      </c>
      <c r="K54" s="7">
        <f>IF('Extra 1'!$A54="","",'Extra 1'!H54)</f>
        <v/>
      </c>
      <c r="L54" s="7">
        <f>IF('Extra 1'!$A54="","",'Extra 1'!T54)</f>
        <v/>
      </c>
      <c r="M54">
        <f>IF('Extra 1'!$A54="","",'Extra 1'!G54)</f>
        <v/>
      </c>
    </row>
    <row r="55">
      <c r="A55">
        <f>IF('Extra 1'!$A55="","",ROWS($A$2:$A55))</f>
        <v/>
      </c>
      <c r="B55">
        <f>IF('Extra 1'!$A55="","",'Extra 1'!E55)</f>
        <v/>
      </c>
      <c r="C55">
        <f>IF('Extra 1'!$A55="","",'Extra 1'!F55)</f>
        <v/>
      </c>
      <c r="D55" s="14">
        <f>IF('Extra 1'!$A55="","",'Extra 1'!I55)</f>
        <v/>
      </c>
      <c r="E55" s="7">
        <f>IF('Extra 1'!$A55="","",'Extra 1'!O55)</f>
        <v/>
      </c>
      <c r="F55" s="7">
        <f>IF('Extra 1'!$A55="","",'Extra 1'!L55)</f>
        <v/>
      </c>
      <c r="G55" s="7">
        <f>IF('Extra 1'!$A55="","",'Extra 1'!S55)</f>
        <v/>
      </c>
      <c r="H55">
        <f>IF('Extra 1'!$A55="","",'Extra 1'!P55)</f>
        <v/>
      </c>
      <c r="I55">
        <f>IF('Extra 1'!$A55="","",'Extra 1'!M55)</f>
        <v/>
      </c>
      <c r="J55" s="7">
        <f>IF('Extra 1'!$A55="","",'Extra 1'!Q55)</f>
        <v/>
      </c>
      <c r="K55" s="7">
        <f>IF('Extra 1'!$A55="","",'Extra 1'!H55)</f>
        <v/>
      </c>
      <c r="L55" s="7">
        <f>IF('Extra 1'!$A55="","",'Extra 1'!T55)</f>
        <v/>
      </c>
      <c r="M55">
        <f>IF('Extra 1'!$A55="","",'Extra 1'!G55)</f>
        <v/>
      </c>
    </row>
    <row r="56">
      <c r="A56">
        <f>IF('Extra 1'!$A56="","",ROWS($A$2:$A56))</f>
        <v/>
      </c>
      <c r="B56">
        <f>IF('Extra 1'!$A56="","",'Extra 1'!E56)</f>
        <v/>
      </c>
      <c r="C56">
        <f>IF('Extra 1'!$A56="","",'Extra 1'!F56)</f>
        <v/>
      </c>
      <c r="D56" s="14">
        <f>IF('Extra 1'!$A56="","",'Extra 1'!I56)</f>
        <v/>
      </c>
      <c r="E56" s="7">
        <f>IF('Extra 1'!$A56="","",'Extra 1'!O56)</f>
        <v/>
      </c>
      <c r="F56" s="7">
        <f>IF('Extra 1'!$A56="","",'Extra 1'!L56)</f>
        <v/>
      </c>
      <c r="G56" s="7">
        <f>IF('Extra 1'!$A56="","",'Extra 1'!S56)</f>
        <v/>
      </c>
      <c r="H56">
        <f>IF('Extra 1'!$A56="","",'Extra 1'!P56)</f>
        <v/>
      </c>
      <c r="I56">
        <f>IF('Extra 1'!$A56="","",'Extra 1'!M56)</f>
        <v/>
      </c>
      <c r="J56" s="7">
        <f>IF('Extra 1'!$A56="","",'Extra 1'!Q56)</f>
        <v/>
      </c>
      <c r="K56" s="7">
        <f>IF('Extra 1'!$A56="","",'Extra 1'!H56)</f>
        <v/>
      </c>
      <c r="L56" s="7">
        <f>IF('Extra 1'!$A56="","",'Extra 1'!T56)</f>
        <v/>
      </c>
      <c r="M56">
        <f>IF('Extra 1'!$A56="","",'Extra 1'!G56)</f>
        <v/>
      </c>
    </row>
    <row r="57">
      <c r="A57">
        <f>IF('Extra 1'!$A57="","",ROWS($A$2:$A57))</f>
        <v/>
      </c>
      <c r="B57">
        <f>IF('Extra 1'!$A57="","",'Extra 1'!E57)</f>
        <v/>
      </c>
      <c r="C57">
        <f>IF('Extra 1'!$A57="","",'Extra 1'!F57)</f>
        <v/>
      </c>
      <c r="D57" s="14">
        <f>IF('Extra 1'!$A57="","",'Extra 1'!I57)</f>
        <v/>
      </c>
      <c r="E57" s="7">
        <f>IF('Extra 1'!$A57="","",'Extra 1'!O57)</f>
        <v/>
      </c>
      <c r="F57" s="7">
        <f>IF('Extra 1'!$A57="","",'Extra 1'!L57)</f>
        <v/>
      </c>
      <c r="G57" s="7">
        <f>IF('Extra 1'!$A57="","",'Extra 1'!S57)</f>
        <v/>
      </c>
      <c r="H57">
        <f>IF('Extra 1'!$A57="","",'Extra 1'!P57)</f>
        <v/>
      </c>
      <c r="I57">
        <f>IF('Extra 1'!$A57="","",'Extra 1'!M57)</f>
        <v/>
      </c>
      <c r="J57" s="7">
        <f>IF('Extra 1'!$A57="","",'Extra 1'!Q57)</f>
        <v/>
      </c>
      <c r="K57" s="7">
        <f>IF('Extra 1'!$A57="","",'Extra 1'!H57)</f>
        <v/>
      </c>
      <c r="L57" s="7">
        <f>IF('Extra 1'!$A57="","",'Extra 1'!T57)</f>
        <v/>
      </c>
      <c r="M57">
        <f>IF('Extra 1'!$A57="","",'Extra 1'!G57)</f>
        <v/>
      </c>
    </row>
    <row r="58">
      <c r="A58">
        <f>IF('Extra 1'!$A58="","",ROWS($A$2:$A58))</f>
        <v/>
      </c>
      <c r="B58">
        <f>IF('Extra 1'!$A58="","",'Extra 1'!E58)</f>
        <v/>
      </c>
      <c r="C58">
        <f>IF('Extra 1'!$A58="","",'Extra 1'!F58)</f>
        <v/>
      </c>
      <c r="D58" s="14">
        <f>IF('Extra 1'!$A58="","",'Extra 1'!I58)</f>
        <v/>
      </c>
      <c r="E58" s="7">
        <f>IF('Extra 1'!$A58="","",'Extra 1'!O58)</f>
        <v/>
      </c>
      <c r="F58" s="7">
        <f>IF('Extra 1'!$A58="","",'Extra 1'!L58)</f>
        <v/>
      </c>
      <c r="G58" s="7">
        <f>IF('Extra 1'!$A58="","",'Extra 1'!S58)</f>
        <v/>
      </c>
      <c r="H58">
        <f>IF('Extra 1'!$A58="","",'Extra 1'!P58)</f>
        <v/>
      </c>
      <c r="I58">
        <f>IF('Extra 1'!$A58="","",'Extra 1'!M58)</f>
        <v/>
      </c>
      <c r="J58" s="7">
        <f>IF('Extra 1'!$A58="","",'Extra 1'!Q58)</f>
        <v/>
      </c>
      <c r="K58" s="7">
        <f>IF('Extra 1'!$A58="","",'Extra 1'!H58)</f>
        <v/>
      </c>
      <c r="L58" s="7">
        <f>IF('Extra 1'!$A58="","",'Extra 1'!T58)</f>
        <v/>
      </c>
      <c r="M58">
        <f>IF('Extra 1'!$A58="","",'Extra 1'!G58)</f>
        <v/>
      </c>
    </row>
    <row r="59">
      <c r="A59">
        <f>IF('Extra 1'!$A59="","",ROWS($A$2:$A59))</f>
        <v/>
      </c>
      <c r="B59">
        <f>IF('Extra 1'!$A59="","",'Extra 1'!E59)</f>
        <v/>
      </c>
      <c r="C59">
        <f>IF('Extra 1'!$A59="","",'Extra 1'!F59)</f>
        <v/>
      </c>
      <c r="D59" s="14">
        <f>IF('Extra 1'!$A59="","",'Extra 1'!I59)</f>
        <v/>
      </c>
      <c r="E59" s="7">
        <f>IF('Extra 1'!$A59="","",'Extra 1'!O59)</f>
        <v/>
      </c>
      <c r="F59" s="7">
        <f>IF('Extra 1'!$A59="","",'Extra 1'!L59)</f>
        <v/>
      </c>
      <c r="G59" s="7">
        <f>IF('Extra 1'!$A59="","",'Extra 1'!S59)</f>
        <v/>
      </c>
      <c r="H59">
        <f>IF('Extra 1'!$A59="","",'Extra 1'!P59)</f>
        <v/>
      </c>
      <c r="I59">
        <f>IF('Extra 1'!$A59="","",'Extra 1'!M59)</f>
        <v/>
      </c>
      <c r="J59" s="7">
        <f>IF('Extra 1'!$A59="","",'Extra 1'!Q59)</f>
        <v/>
      </c>
      <c r="K59" s="7">
        <f>IF('Extra 1'!$A59="","",'Extra 1'!H59)</f>
        <v/>
      </c>
      <c r="L59" s="7">
        <f>IF('Extra 1'!$A59="","",'Extra 1'!T59)</f>
        <v/>
      </c>
      <c r="M59">
        <f>IF('Extra 1'!$A59="","",'Extra 1'!G59)</f>
        <v/>
      </c>
    </row>
    <row r="60">
      <c r="A60">
        <f>IF('Extra 1'!$A60="","",ROWS($A$2:$A60))</f>
        <v/>
      </c>
      <c r="B60">
        <f>IF('Extra 1'!$A60="","",'Extra 1'!E60)</f>
        <v/>
      </c>
      <c r="C60">
        <f>IF('Extra 1'!$A60="","",'Extra 1'!F60)</f>
        <v/>
      </c>
      <c r="D60" s="14">
        <f>IF('Extra 1'!$A60="","",'Extra 1'!I60)</f>
        <v/>
      </c>
      <c r="E60" s="7">
        <f>IF('Extra 1'!$A60="","",'Extra 1'!O60)</f>
        <v/>
      </c>
      <c r="F60" s="7">
        <f>IF('Extra 1'!$A60="","",'Extra 1'!L60)</f>
        <v/>
      </c>
      <c r="G60" s="7">
        <f>IF('Extra 1'!$A60="","",'Extra 1'!S60)</f>
        <v/>
      </c>
      <c r="H60">
        <f>IF('Extra 1'!$A60="","",'Extra 1'!P60)</f>
        <v/>
      </c>
      <c r="I60">
        <f>IF('Extra 1'!$A60="","",'Extra 1'!M60)</f>
        <v/>
      </c>
      <c r="J60" s="7">
        <f>IF('Extra 1'!$A60="","",'Extra 1'!Q60)</f>
        <v/>
      </c>
      <c r="K60" s="7">
        <f>IF('Extra 1'!$A60="","",'Extra 1'!H60)</f>
        <v/>
      </c>
      <c r="L60" s="7">
        <f>IF('Extra 1'!$A60="","",'Extra 1'!T60)</f>
        <v/>
      </c>
      <c r="M60">
        <f>IF('Extra 1'!$A60="","",'Extra 1'!G60)</f>
        <v/>
      </c>
    </row>
    <row r="61">
      <c r="A61">
        <f>IF('Extra 1'!$A61="","",ROWS($A$2:$A61))</f>
        <v/>
      </c>
      <c r="B61">
        <f>IF('Extra 1'!$A61="","",'Extra 1'!E61)</f>
        <v/>
      </c>
      <c r="C61">
        <f>IF('Extra 1'!$A61="","",'Extra 1'!F61)</f>
        <v/>
      </c>
      <c r="D61" s="14">
        <f>IF('Extra 1'!$A61="","",'Extra 1'!I61)</f>
        <v/>
      </c>
      <c r="E61" s="7">
        <f>IF('Extra 1'!$A61="","",'Extra 1'!O61)</f>
        <v/>
      </c>
      <c r="F61" s="7">
        <f>IF('Extra 1'!$A61="","",'Extra 1'!L61)</f>
        <v/>
      </c>
      <c r="G61" s="7">
        <f>IF('Extra 1'!$A61="","",'Extra 1'!S61)</f>
        <v/>
      </c>
      <c r="H61">
        <f>IF('Extra 1'!$A61="","",'Extra 1'!P61)</f>
        <v/>
      </c>
      <c r="I61">
        <f>IF('Extra 1'!$A61="","",'Extra 1'!M61)</f>
        <v/>
      </c>
      <c r="J61" s="7">
        <f>IF('Extra 1'!$A61="","",'Extra 1'!Q61)</f>
        <v/>
      </c>
      <c r="K61" s="7">
        <f>IF('Extra 1'!$A61="","",'Extra 1'!H61)</f>
        <v/>
      </c>
      <c r="L61" s="7">
        <f>IF('Extra 1'!$A61="","",'Extra 1'!T61)</f>
        <v/>
      </c>
      <c r="M61">
        <f>IF('Extra 1'!$A61="","",'Extra 1'!G61)</f>
        <v/>
      </c>
    </row>
    <row r="62">
      <c r="A62">
        <f>IF('Extra 1'!$A62="","",ROWS($A$2:$A62))</f>
        <v/>
      </c>
      <c r="B62">
        <f>IF('Extra 1'!$A62="","",'Extra 1'!E62)</f>
        <v/>
      </c>
      <c r="C62">
        <f>IF('Extra 1'!$A62="","",'Extra 1'!F62)</f>
        <v/>
      </c>
      <c r="D62" s="14">
        <f>IF('Extra 1'!$A62="","",'Extra 1'!I62)</f>
        <v/>
      </c>
      <c r="E62" s="7">
        <f>IF('Extra 1'!$A62="","",'Extra 1'!O62)</f>
        <v/>
      </c>
      <c r="F62" s="7">
        <f>IF('Extra 1'!$A62="","",'Extra 1'!L62)</f>
        <v/>
      </c>
      <c r="G62" s="7">
        <f>IF('Extra 1'!$A62="","",'Extra 1'!S62)</f>
        <v/>
      </c>
      <c r="H62">
        <f>IF('Extra 1'!$A62="","",'Extra 1'!P62)</f>
        <v/>
      </c>
      <c r="I62">
        <f>IF('Extra 1'!$A62="","",'Extra 1'!M62)</f>
        <v/>
      </c>
      <c r="J62" s="7">
        <f>IF('Extra 1'!$A62="","",'Extra 1'!Q62)</f>
        <v/>
      </c>
      <c r="K62" s="7">
        <f>IF('Extra 1'!$A62="","",'Extra 1'!H62)</f>
        <v/>
      </c>
      <c r="L62" s="7">
        <f>IF('Extra 1'!$A62="","",'Extra 1'!T62)</f>
        <v/>
      </c>
      <c r="M62">
        <f>IF('Extra 1'!$A62="","",'Extra 1'!G62)</f>
        <v/>
      </c>
    </row>
    <row r="63">
      <c r="A63">
        <f>IF('Extra 1'!$A63="","",ROWS($A$2:$A63))</f>
        <v/>
      </c>
      <c r="B63">
        <f>IF('Extra 1'!$A63="","",'Extra 1'!E63)</f>
        <v/>
      </c>
      <c r="C63">
        <f>IF('Extra 1'!$A63="","",'Extra 1'!F63)</f>
        <v/>
      </c>
      <c r="D63" s="14">
        <f>IF('Extra 1'!$A63="","",'Extra 1'!I63)</f>
        <v/>
      </c>
      <c r="E63" s="7">
        <f>IF('Extra 1'!$A63="","",'Extra 1'!O63)</f>
        <v/>
      </c>
      <c r="F63" s="7">
        <f>IF('Extra 1'!$A63="","",'Extra 1'!L63)</f>
        <v/>
      </c>
      <c r="G63" s="7">
        <f>IF('Extra 1'!$A63="","",'Extra 1'!S63)</f>
        <v/>
      </c>
      <c r="H63">
        <f>IF('Extra 1'!$A63="","",'Extra 1'!P63)</f>
        <v/>
      </c>
      <c r="I63">
        <f>IF('Extra 1'!$A63="","",'Extra 1'!M63)</f>
        <v/>
      </c>
      <c r="J63" s="7">
        <f>IF('Extra 1'!$A63="","",'Extra 1'!Q63)</f>
        <v/>
      </c>
      <c r="K63" s="7">
        <f>IF('Extra 1'!$A63="","",'Extra 1'!H63)</f>
        <v/>
      </c>
      <c r="L63" s="7">
        <f>IF('Extra 1'!$A63="","",'Extra 1'!T63)</f>
        <v/>
      </c>
      <c r="M63">
        <f>IF('Extra 1'!$A63="","",'Extra 1'!G63)</f>
        <v/>
      </c>
    </row>
    <row r="64">
      <c r="A64">
        <f>IF('Extra 1'!$A64="","",ROWS($A$2:$A64))</f>
        <v/>
      </c>
      <c r="B64">
        <f>IF('Extra 1'!$A64="","",'Extra 1'!E64)</f>
        <v/>
      </c>
      <c r="C64">
        <f>IF('Extra 1'!$A64="","",'Extra 1'!F64)</f>
        <v/>
      </c>
      <c r="D64" s="14">
        <f>IF('Extra 1'!$A64="","",'Extra 1'!I64)</f>
        <v/>
      </c>
      <c r="E64" s="7">
        <f>IF('Extra 1'!$A64="","",'Extra 1'!O64)</f>
        <v/>
      </c>
      <c r="F64" s="7">
        <f>IF('Extra 1'!$A64="","",'Extra 1'!L64)</f>
        <v/>
      </c>
      <c r="G64" s="7">
        <f>IF('Extra 1'!$A64="","",'Extra 1'!S64)</f>
        <v/>
      </c>
      <c r="H64">
        <f>IF('Extra 1'!$A64="","",'Extra 1'!P64)</f>
        <v/>
      </c>
      <c r="I64">
        <f>IF('Extra 1'!$A64="","",'Extra 1'!M64)</f>
        <v/>
      </c>
      <c r="J64" s="7">
        <f>IF('Extra 1'!$A64="","",'Extra 1'!Q64)</f>
        <v/>
      </c>
      <c r="K64" s="7">
        <f>IF('Extra 1'!$A64="","",'Extra 1'!H64)</f>
        <v/>
      </c>
      <c r="L64" s="7">
        <f>IF('Extra 1'!$A64="","",'Extra 1'!T64)</f>
        <v/>
      </c>
      <c r="M64">
        <f>IF('Extra 1'!$A64="","",'Extra 1'!G64)</f>
        <v/>
      </c>
    </row>
    <row r="65">
      <c r="A65">
        <f>IF('Extra 1'!$A65="","",ROWS($A$2:$A65))</f>
        <v/>
      </c>
      <c r="B65">
        <f>IF('Extra 1'!$A65="","",'Extra 1'!E65)</f>
        <v/>
      </c>
      <c r="C65">
        <f>IF('Extra 1'!$A65="","",'Extra 1'!F65)</f>
        <v/>
      </c>
      <c r="D65" s="14">
        <f>IF('Extra 1'!$A65="","",'Extra 1'!I65)</f>
        <v/>
      </c>
      <c r="E65" s="7">
        <f>IF('Extra 1'!$A65="","",'Extra 1'!O65)</f>
        <v/>
      </c>
      <c r="F65" s="7">
        <f>IF('Extra 1'!$A65="","",'Extra 1'!L65)</f>
        <v/>
      </c>
      <c r="G65" s="7">
        <f>IF('Extra 1'!$A65="","",'Extra 1'!S65)</f>
        <v/>
      </c>
      <c r="H65">
        <f>IF('Extra 1'!$A65="","",'Extra 1'!P65)</f>
        <v/>
      </c>
      <c r="I65">
        <f>IF('Extra 1'!$A65="","",'Extra 1'!M65)</f>
        <v/>
      </c>
      <c r="J65" s="7">
        <f>IF('Extra 1'!$A65="","",'Extra 1'!Q65)</f>
        <v/>
      </c>
      <c r="K65" s="7">
        <f>IF('Extra 1'!$A65="","",'Extra 1'!H65)</f>
        <v/>
      </c>
      <c r="L65" s="7">
        <f>IF('Extra 1'!$A65="","",'Extra 1'!T65)</f>
        <v/>
      </c>
      <c r="M65">
        <f>IF('Extra 1'!$A65="","",'Extra 1'!G65)</f>
        <v/>
      </c>
    </row>
    <row r="66">
      <c r="A66">
        <f>IF('Extra 1'!$A66="","",ROWS($A$2:$A66))</f>
        <v/>
      </c>
      <c r="B66">
        <f>IF('Extra 1'!$A66="","",'Extra 1'!E66)</f>
        <v/>
      </c>
      <c r="C66">
        <f>IF('Extra 1'!$A66="","",'Extra 1'!F66)</f>
        <v/>
      </c>
      <c r="D66" s="14">
        <f>IF('Extra 1'!$A66="","",'Extra 1'!I66)</f>
        <v/>
      </c>
      <c r="E66" s="7">
        <f>IF('Extra 1'!$A66="","",'Extra 1'!O66)</f>
        <v/>
      </c>
      <c r="F66" s="7">
        <f>IF('Extra 1'!$A66="","",'Extra 1'!L66)</f>
        <v/>
      </c>
      <c r="G66" s="7">
        <f>IF('Extra 1'!$A66="","",'Extra 1'!S66)</f>
        <v/>
      </c>
      <c r="H66">
        <f>IF('Extra 1'!$A66="","",'Extra 1'!P66)</f>
        <v/>
      </c>
      <c r="I66">
        <f>IF('Extra 1'!$A66="","",'Extra 1'!M66)</f>
        <v/>
      </c>
      <c r="J66" s="7">
        <f>IF('Extra 1'!$A66="","",'Extra 1'!Q66)</f>
        <v/>
      </c>
      <c r="K66" s="7">
        <f>IF('Extra 1'!$A66="","",'Extra 1'!H66)</f>
        <v/>
      </c>
      <c r="L66" s="7">
        <f>IF('Extra 1'!$A66="","",'Extra 1'!T66)</f>
        <v/>
      </c>
      <c r="M66">
        <f>IF('Extra 1'!$A66="","",'Extra 1'!G66)</f>
        <v/>
      </c>
    </row>
    <row r="67">
      <c r="A67">
        <f>IF('Extra 1'!$A67="","",ROWS($A$2:$A67))</f>
        <v/>
      </c>
      <c r="B67">
        <f>IF('Extra 1'!$A67="","",'Extra 1'!E67)</f>
        <v/>
      </c>
      <c r="C67">
        <f>IF('Extra 1'!$A67="","",'Extra 1'!F67)</f>
        <v/>
      </c>
      <c r="D67" s="14">
        <f>IF('Extra 1'!$A67="","",'Extra 1'!I67)</f>
        <v/>
      </c>
      <c r="E67" s="7">
        <f>IF('Extra 1'!$A67="","",'Extra 1'!O67)</f>
        <v/>
      </c>
      <c r="F67" s="7">
        <f>IF('Extra 1'!$A67="","",'Extra 1'!L67)</f>
        <v/>
      </c>
      <c r="G67" s="7">
        <f>IF('Extra 1'!$A67="","",'Extra 1'!S67)</f>
        <v/>
      </c>
      <c r="H67">
        <f>IF('Extra 1'!$A67="","",'Extra 1'!P67)</f>
        <v/>
      </c>
      <c r="I67">
        <f>IF('Extra 1'!$A67="","",'Extra 1'!M67)</f>
        <v/>
      </c>
      <c r="J67" s="7">
        <f>IF('Extra 1'!$A67="","",'Extra 1'!Q67)</f>
        <v/>
      </c>
      <c r="K67" s="7">
        <f>IF('Extra 1'!$A67="","",'Extra 1'!H67)</f>
        <v/>
      </c>
      <c r="L67" s="7">
        <f>IF('Extra 1'!$A67="","",'Extra 1'!T67)</f>
        <v/>
      </c>
      <c r="M67">
        <f>IF('Extra 1'!$A67="","",'Extra 1'!G67)</f>
        <v/>
      </c>
    </row>
    <row r="68">
      <c r="A68">
        <f>IF('Extra 1'!$A68="","",ROWS($A$2:$A68))</f>
        <v/>
      </c>
      <c r="B68">
        <f>IF('Extra 1'!$A68="","",'Extra 1'!E68)</f>
        <v/>
      </c>
      <c r="C68">
        <f>IF('Extra 1'!$A68="","",'Extra 1'!F68)</f>
        <v/>
      </c>
      <c r="D68" s="14">
        <f>IF('Extra 1'!$A68="","",'Extra 1'!I68)</f>
        <v/>
      </c>
      <c r="E68" s="7">
        <f>IF('Extra 1'!$A68="","",'Extra 1'!O68)</f>
        <v/>
      </c>
      <c r="F68" s="7">
        <f>IF('Extra 1'!$A68="","",'Extra 1'!L68)</f>
        <v/>
      </c>
      <c r="G68" s="7">
        <f>IF('Extra 1'!$A68="","",'Extra 1'!S68)</f>
        <v/>
      </c>
      <c r="H68">
        <f>IF('Extra 1'!$A68="","",'Extra 1'!P68)</f>
        <v/>
      </c>
      <c r="I68">
        <f>IF('Extra 1'!$A68="","",'Extra 1'!M68)</f>
        <v/>
      </c>
      <c r="J68" s="7">
        <f>IF('Extra 1'!$A68="","",'Extra 1'!Q68)</f>
        <v/>
      </c>
      <c r="K68" s="7">
        <f>IF('Extra 1'!$A68="","",'Extra 1'!H68)</f>
        <v/>
      </c>
      <c r="L68" s="7">
        <f>IF('Extra 1'!$A68="","",'Extra 1'!T68)</f>
        <v/>
      </c>
      <c r="M68">
        <f>IF('Extra 1'!$A68="","",'Extra 1'!G68)</f>
        <v/>
      </c>
    </row>
    <row r="69">
      <c r="A69">
        <f>IF('Extra 1'!$A69="","",ROWS($A$2:$A69))</f>
        <v/>
      </c>
      <c r="B69">
        <f>IF('Extra 1'!$A69="","",'Extra 1'!E69)</f>
        <v/>
      </c>
      <c r="C69">
        <f>IF('Extra 1'!$A69="","",'Extra 1'!F69)</f>
        <v/>
      </c>
      <c r="D69" s="14">
        <f>IF('Extra 1'!$A69="","",'Extra 1'!I69)</f>
        <v/>
      </c>
      <c r="E69" s="7">
        <f>IF('Extra 1'!$A69="","",'Extra 1'!O69)</f>
        <v/>
      </c>
      <c r="F69" s="7">
        <f>IF('Extra 1'!$A69="","",'Extra 1'!L69)</f>
        <v/>
      </c>
      <c r="G69" s="7">
        <f>IF('Extra 1'!$A69="","",'Extra 1'!S69)</f>
        <v/>
      </c>
      <c r="H69">
        <f>IF('Extra 1'!$A69="","",'Extra 1'!P69)</f>
        <v/>
      </c>
      <c r="I69">
        <f>IF('Extra 1'!$A69="","",'Extra 1'!M69)</f>
        <v/>
      </c>
      <c r="J69" s="7">
        <f>IF('Extra 1'!$A69="","",'Extra 1'!Q69)</f>
        <v/>
      </c>
      <c r="K69" s="7">
        <f>IF('Extra 1'!$A69="","",'Extra 1'!H69)</f>
        <v/>
      </c>
      <c r="L69" s="7">
        <f>IF('Extra 1'!$A69="","",'Extra 1'!T69)</f>
        <v/>
      </c>
      <c r="M69">
        <f>IF('Extra 1'!$A69="","",'Extra 1'!G69)</f>
        <v/>
      </c>
    </row>
    <row r="70">
      <c r="A70">
        <f>IF('Extra 1'!$A70="","",ROWS($A$2:$A70))</f>
        <v/>
      </c>
      <c r="B70">
        <f>IF('Extra 1'!$A70="","",'Extra 1'!E70)</f>
        <v/>
      </c>
      <c r="C70">
        <f>IF('Extra 1'!$A70="","",'Extra 1'!F70)</f>
        <v/>
      </c>
      <c r="D70" s="14">
        <f>IF('Extra 1'!$A70="","",'Extra 1'!I70)</f>
        <v/>
      </c>
      <c r="E70" s="7">
        <f>IF('Extra 1'!$A70="","",'Extra 1'!O70)</f>
        <v/>
      </c>
      <c r="F70" s="7">
        <f>IF('Extra 1'!$A70="","",'Extra 1'!L70)</f>
        <v/>
      </c>
      <c r="G70" s="7">
        <f>IF('Extra 1'!$A70="","",'Extra 1'!S70)</f>
        <v/>
      </c>
      <c r="H70">
        <f>IF('Extra 1'!$A70="","",'Extra 1'!P70)</f>
        <v/>
      </c>
      <c r="I70">
        <f>IF('Extra 1'!$A70="","",'Extra 1'!M70)</f>
        <v/>
      </c>
      <c r="J70" s="7">
        <f>IF('Extra 1'!$A70="","",'Extra 1'!Q70)</f>
        <v/>
      </c>
      <c r="K70" s="7">
        <f>IF('Extra 1'!$A70="","",'Extra 1'!H70)</f>
        <v/>
      </c>
      <c r="L70" s="7">
        <f>IF('Extra 1'!$A70="","",'Extra 1'!T70)</f>
        <v/>
      </c>
      <c r="M70">
        <f>IF('Extra 1'!$A70="","",'Extra 1'!G70)</f>
        <v/>
      </c>
    </row>
    <row r="71">
      <c r="A71">
        <f>IF('Extra 1'!$A71="","",ROWS($A$2:$A71))</f>
        <v/>
      </c>
      <c r="B71">
        <f>IF('Extra 1'!$A71="","",'Extra 1'!E71)</f>
        <v/>
      </c>
      <c r="C71">
        <f>IF('Extra 1'!$A71="","",'Extra 1'!F71)</f>
        <v/>
      </c>
      <c r="D71" s="14">
        <f>IF('Extra 1'!$A71="","",'Extra 1'!I71)</f>
        <v/>
      </c>
      <c r="E71" s="7">
        <f>IF('Extra 1'!$A71="","",'Extra 1'!O71)</f>
        <v/>
      </c>
      <c r="F71" s="7">
        <f>IF('Extra 1'!$A71="","",'Extra 1'!L71)</f>
        <v/>
      </c>
      <c r="G71" s="7">
        <f>IF('Extra 1'!$A71="","",'Extra 1'!S71)</f>
        <v/>
      </c>
      <c r="H71">
        <f>IF('Extra 1'!$A71="","",'Extra 1'!P71)</f>
        <v/>
      </c>
      <c r="I71">
        <f>IF('Extra 1'!$A71="","",'Extra 1'!M71)</f>
        <v/>
      </c>
      <c r="J71" s="7">
        <f>IF('Extra 1'!$A71="","",'Extra 1'!Q71)</f>
        <v/>
      </c>
      <c r="K71" s="7">
        <f>IF('Extra 1'!$A71="","",'Extra 1'!H71)</f>
        <v/>
      </c>
      <c r="L71" s="7">
        <f>IF('Extra 1'!$A71="","",'Extra 1'!T71)</f>
        <v/>
      </c>
      <c r="M71">
        <f>IF('Extra 1'!$A71="","",'Extra 1'!G71)</f>
        <v/>
      </c>
    </row>
    <row r="72">
      <c r="A72">
        <f>IF('Extra 1'!$A72="","",ROWS($A$2:$A72))</f>
        <v/>
      </c>
      <c r="B72">
        <f>IF('Extra 1'!$A72="","",'Extra 1'!E72)</f>
        <v/>
      </c>
      <c r="C72">
        <f>IF('Extra 1'!$A72="","",'Extra 1'!F72)</f>
        <v/>
      </c>
      <c r="D72" s="14">
        <f>IF('Extra 1'!$A72="","",'Extra 1'!I72)</f>
        <v/>
      </c>
      <c r="E72" s="7">
        <f>IF('Extra 1'!$A72="","",'Extra 1'!O72)</f>
        <v/>
      </c>
      <c r="F72" s="7">
        <f>IF('Extra 1'!$A72="","",'Extra 1'!L72)</f>
        <v/>
      </c>
      <c r="G72" s="7">
        <f>IF('Extra 1'!$A72="","",'Extra 1'!S72)</f>
        <v/>
      </c>
      <c r="H72">
        <f>IF('Extra 1'!$A72="","",'Extra 1'!P72)</f>
        <v/>
      </c>
      <c r="I72">
        <f>IF('Extra 1'!$A72="","",'Extra 1'!M72)</f>
        <v/>
      </c>
      <c r="J72" s="7">
        <f>IF('Extra 1'!$A72="","",'Extra 1'!Q72)</f>
        <v/>
      </c>
      <c r="K72" s="7">
        <f>IF('Extra 1'!$A72="","",'Extra 1'!H72)</f>
        <v/>
      </c>
      <c r="L72" s="7">
        <f>IF('Extra 1'!$A72="","",'Extra 1'!T72)</f>
        <v/>
      </c>
      <c r="M72">
        <f>IF('Extra 1'!$A72="","",'Extra 1'!G72)</f>
        <v/>
      </c>
    </row>
    <row r="73">
      <c r="A73">
        <f>IF('Extra 1'!$A73="","",ROWS($A$2:$A73))</f>
        <v/>
      </c>
      <c r="B73">
        <f>IF('Extra 1'!$A73="","",'Extra 1'!E73)</f>
        <v/>
      </c>
      <c r="C73">
        <f>IF('Extra 1'!$A73="","",'Extra 1'!F73)</f>
        <v/>
      </c>
      <c r="D73" s="14">
        <f>IF('Extra 1'!$A73="","",'Extra 1'!I73)</f>
        <v/>
      </c>
      <c r="E73" s="7">
        <f>IF('Extra 1'!$A73="","",'Extra 1'!O73)</f>
        <v/>
      </c>
      <c r="F73" s="7">
        <f>IF('Extra 1'!$A73="","",'Extra 1'!L73)</f>
        <v/>
      </c>
      <c r="G73" s="7">
        <f>IF('Extra 1'!$A73="","",'Extra 1'!S73)</f>
        <v/>
      </c>
      <c r="H73">
        <f>IF('Extra 1'!$A73="","",'Extra 1'!P73)</f>
        <v/>
      </c>
      <c r="I73">
        <f>IF('Extra 1'!$A73="","",'Extra 1'!M73)</f>
        <v/>
      </c>
      <c r="J73" s="7">
        <f>IF('Extra 1'!$A73="","",'Extra 1'!Q73)</f>
        <v/>
      </c>
      <c r="K73" s="7">
        <f>IF('Extra 1'!$A73="","",'Extra 1'!H73)</f>
        <v/>
      </c>
      <c r="L73" s="7">
        <f>IF('Extra 1'!$A73="","",'Extra 1'!T73)</f>
        <v/>
      </c>
      <c r="M73">
        <f>IF('Extra 1'!$A73="","",'Extra 1'!G73)</f>
        <v/>
      </c>
    </row>
    <row r="74">
      <c r="A74">
        <f>IF('Extra 1'!$A74="","",ROWS($A$2:$A74))</f>
        <v/>
      </c>
      <c r="B74">
        <f>IF('Extra 1'!$A74="","",'Extra 1'!E74)</f>
        <v/>
      </c>
      <c r="C74">
        <f>IF('Extra 1'!$A74="","",'Extra 1'!F74)</f>
        <v/>
      </c>
      <c r="D74" s="14">
        <f>IF('Extra 1'!$A74="","",'Extra 1'!I74)</f>
        <v/>
      </c>
      <c r="E74" s="7">
        <f>IF('Extra 1'!$A74="","",'Extra 1'!O74)</f>
        <v/>
      </c>
      <c r="F74" s="7">
        <f>IF('Extra 1'!$A74="","",'Extra 1'!L74)</f>
        <v/>
      </c>
      <c r="G74" s="7">
        <f>IF('Extra 1'!$A74="","",'Extra 1'!S74)</f>
        <v/>
      </c>
      <c r="H74">
        <f>IF('Extra 1'!$A74="","",'Extra 1'!P74)</f>
        <v/>
      </c>
      <c r="I74">
        <f>IF('Extra 1'!$A74="","",'Extra 1'!M74)</f>
        <v/>
      </c>
      <c r="J74" s="7">
        <f>IF('Extra 1'!$A74="","",'Extra 1'!Q74)</f>
        <v/>
      </c>
      <c r="K74" s="7">
        <f>IF('Extra 1'!$A74="","",'Extra 1'!H74)</f>
        <v/>
      </c>
      <c r="L74" s="7">
        <f>IF('Extra 1'!$A74="","",'Extra 1'!T74)</f>
        <v/>
      </c>
      <c r="M74">
        <f>IF('Extra 1'!$A74="","",'Extra 1'!G74)</f>
        <v/>
      </c>
    </row>
    <row r="75">
      <c r="A75">
        <f>IF('Extra 1'!$A75="","",ROWS($A$2:$A75))</f>
        <v/>
      </c>
      <c r="B75">
        <f>IF('Extra 1'!$A75="","",'Extra 1'!E75)</f>
        <v/>
      </c>
      <c r="C75">
        <f>IF('Extra 1'!$A75="","",'Extra 1'!F75)</f>
        <v/>
      </c>
      <c r="D75" s="14">
        <f>IF('Extra 1'!$A75="","",'Extra 1'!I75)</f>
        <v/>
      </c>
      <c r="E75" s="7">
        <f>IF('Extra 1'!$A75="","",'Extra 1'!O75)</f>
        <v/>
      </c>
      <c r="F75" s="7">
        <f>IF('Extra 1'!$A75="","",'Extra 1'!L75)</f>
        <v/>
      </c>
      <c r="G75" s="7">
        <f>IF('Extra 1'!$A75="","",'Extra 1'!S75)</f>
        <v/>
      </c>
      <c r="H75">
        <f>IF('Extra 1'!$A75="","",'Extra 1'!P75)</f>
        <v/>
      </c>
      <c r="I75">
        <f>IF('Extra 1'!$A75="","",'Extra 1'!M75)</f>
        <v/>
      </c>
      <c r="J75" s="7">
        <f>IF('Extra 1'!$A75="","",'Extra 1'!Q75)</f>
        <v/>
      </c>
      <c r="K75" s="7">
        <f>IF('Extra 1'!$A75="","",'Extra 1'!H75)</f>
        <v/>
      </c>
      <c r="L75" s="7">
        <f>IF('Extra 1'!$A75="","",'Extra 1'!T75)</f>
        <v/>
      </c>
      <c r="M75">
        <f>IF('Extra 1'!$A75="","",'Extra 1'!G75)</f>
        <v/>
      </c>
    </row>
    <row r="76">
      <c r="A76">
        <f>IF('Extra 1'!$A76="","",ROWS($A$2:$A76))</f>
        <v/>
      </c>
      <c r="B76">
        <f>IF('Extra 1'!$A76="","",'Extra 1'!E76)</f>
        <v/>
      </c>
      <c r="C76">
        <f>IF('Extra 1'!$A76="","",'Extra 1'!F76)</f>
        <v/>
      </c>
      <c r="D76" s="14">
        <f>IF('Extra 1'!$A76="","",'Extra 1'!I76)</f>
        <v/>
      </c>
      <c r="E76" s="7">
        <f>IF('Extra 1'!$A76="","",'Extra 1'!O76)</f>
        <v/>
      </c>
      <c r="F76" s="7">
        <f>IF('Extra 1'!$A76="","",'Extra 1'!L76)</f>
        <v/>
      </c>
      <c r="G76" s="7">
        <f>IF('Extra 1'!$A76="","",'Extra 1'!S76)</f>
        <v/>
      </c>
      <c r="H76">
        <f>IF('Extra 1'!$A76="","",'Extra 1'!P76)</f>
        <v/>
      </c>
      <c r="I76">
        <f>IF('Extra 1'!$A76="","",'Extra 1'!M76)</f>
        <v/>
      </c>
      <c r="J76" s="7">
        <f>IF('Extra 1'!$A76="","",'Extra 1'!Q76)</f>
        <v/>
      </c>
      <c r="K76" s="7">
        <f>IF('Extra 1'!$A76="","",'Extra 1'!H76)</f>
        <v/>
      </c>
      <c r="L76" s="7">
        <f>IF('Extra 1'!$A76="","",'Extra 1'!T76)</f>
        <v/>
      </c>
      <c r="M76">
        <f>IF('Extra 1'!$A76="","",'Extra 1'!G76)</f>
        <v/>
      </c>
    </row>
    <row r="77">
      <c r="A77">
        <f>IF('Extra 1'!$A77="","",ROWS($A$2:$A77))</f>
        <v/>
      </c>
      <c r="B77">
        <f>IF('Extra 1'!$A77="","",'Extra 1'!E77)</f>
        <v/>
      </c>
      <c r="C77">
        <f>IF('Extra 1'!$A77="","",'Extra 1'!F77)</f>
        <v/>
      </c>
      <c r="D77" s="14">
        <f>IF('Extra 1'!$A77="","",'Extra 1'!I77)</f>
        <v/>
      </c>
      <c r="E77" s="7">
        <f>IF('Extra 1'!$A77="","",'Extra 1'!O77)</f>
        <v/>
      </c>
      <c r="F77" s="7">
        <f>IF('Extra 1'!$A77="","",'Extra 1'!L77)</f>
        <v/>
      </c>
      <c r="G77" s="7">
        <f>IF('Extra 1'!$A77="","",'Extra 1'!S77)</f>
        <v/>
      </c>
      <c r="H77">
        <f>IF('Extra 1'!$A77="","",'Extra 1'!P77)</f>
        <v/>
      </c>
      <c r="I77">
        <f>IF('Extra 1'!$A77="","",'Extra 1'!M77)</f>
        <v/>
      </c>
      <c r="J77" s="7">
        <f>IF('Extra 1'!$A77="","",'Extra 1'!Q77)</f>
        <v/>
      </c>
      <c r="K77" s="7">
        <f>IF('Extra 1'!$A77="","",'Extra 1'!H77)</f>
        <v/>
      </c>
      <c r="L77" s="7">
        <f>IF('Extra 1'!$A77="","",'Extra 1'!T77)</f>
        <v/>
      </c>
      <c r="M77">
        <f>IF('Extra 1'!$A77="","",'Extra 1'!G77)</f>
        <v/>
      </c>
    </row>
    <row r="78">
      <c r="A78">
        <f>IF('Extra 1'!$A78="","",ROWS($A$2:$A78))</f>
        <v/>
      </c>
      <c r="B78">
        <f>IF('Extra 1'!$A78="","",'Extra 1'!E78)</f>
        <v/>
      </c>
      <c r="C78">
        <f>IF('Extra 1'!$A78="","",'Extra 1'!F78)</f>
        <v/>
      </c>
      <c r="D78" s="14">
        <f>IF('Extra 1'!$A78="","",'Extra 1'!I78)</f>
        <v/>
      </c>
      <c r="E78" s="7">
        <f>IF('Extra 1'!$A78="","",'Extra 1'!O78)</f>
        <v/>
      </c>
      <c r="F78" s="7">
        <f>IF('Extra 1'!$A78="","",'Extra 1'!L78)</f>
        <v/>
      </c>
      <c r="G78" s="7">
        <f>IF('Extra 1'!$A78="","",'Extra 1'!S78)</f>
        <v/>
      </c>
      <c r="H78">
        <f>IF('Extra 1'!$A78="","",'Extra 1'!P78)</f>
        <v/>
      </c>
      <c r="I78">
        <f>IF('Extra 1'!$A78="","",'Extra 1'!M78)</f>
        <v/>
      </c>
      <c r="J78" s="7">
        <f>IF('Extra 1'!$A78="","",'Extra 1'!Q78)</f>
        <v/>
      </c>
      <c r="K78" s="7">
        <f>IF('Extra 1'!$A78="","",'Extra 1'!H78)</f>
        <v/>
      </c>
      <c r="L78" s="7">
        <f>IF('Extra 1'!$A78="","",'Extra 1'!T78)</f>
        <v/>
      </c>
      <c r="M78">
        <f>IF('Extra 1'!$A78="","",'Extra 1'!G78)</f>
        <v/>
      </c>
    </row>
    <row r="79">
      <c r="A79">
        <f>IF('Extra 1'!$A79="","",ROWS($A$2:$A79))</f>
        <v/>
      </c>
      <c r="B79">
        <f>IF('Extra 1'!$A79="","",'Extra 1'!E79)</f>
        <v/>
      </c>
      <c r="C79">
        <f>IF('Extra 1'!$A79="","",'Extra 1'!F79)</f>
        <v/>
      </c>
      <c r="D79" s="14">
        <f>IF('Extra 1'!$A79="","",'Extra 1'!I79)</f>
        <v/>
      </c>
      <c r="E79" s="7">
        <f>IF('Extra 1'!$A79="","",'Extra 1'!O79)</f>
        <v/>
      </c>
      <c r="F79" s="7">
        <f>IF('Extra 1'!$A79="","",'Extra 1'!L79)</f>
        <v/>
      </c>
      <c r="G79" s="7">
        <f>IF('Extra 1'!$A79="","",'Extra 1'!S79)</f>
        <v/>
      </c>
      <c r="H79">
        <f>IF('Extra 1'!$A79="","",'Extra 1'!P79)</f>
        <v/>
      </c>
      <c r="I79">
        <f>IF('Extra 1'!$A79="","",'Extra 1'!M79)</f>
        <v/>
      </c>
      <c r="J79" s="7">
        <f>IF('Extra 1'!$A79="","",'Extra 1'!Q79)</f>
        <v/>
      </c>
      <c r="K79" s="7">
        <f>IF('Extra 1'!$A79="","",'Extra 1'!H79)</f>
        <v/>
      </c>
      <c r="L79" s="7">
        <f>IF('Extra 1'!$A79="","",'Extra 1'!T79)</f>
        <v/>
      </c>
      <c r="M79">
        <f>IF('Extra 1'!$A79="","",'Extra 1'!G79)</f>
        <v/>
      </c>
    </row>
    <row r="80">
      <c r="A80">
        <f>IF('Extra 1'!$A80="","",ROWS($A$2:$A80))</f>
        <v/>
      </c>
      <c r="B80">
        <f>IF('Extra 1'!$A80="","",'Extra 1'!E80)</f>
        <v/>
      </c>
      <c r="C80">
        <f>IF('Extra 1'!$A80="","",'Extra 1'!F80)</f>
        <v/>
      </c>
      <c r="D80" s="14">
        <f>IF('Extra 1'!$A80="","",'Extra 1'!I80)</f>
        <v/>
      </c>
      <c r="E80" s="7">
        <f>IF('Extra 1'!$A80="","",'Extra 1'!O80)</f>
        <v/>
      </c>
      <c r="F80" s="7">
        <f>IF('Extra 1'!$A80="","",'Extra 1'!L80)</f>
        <v/>
      </c>
      <c r="G80" s="7">
        <f>IF('Extra 1'!$A80="","",'Extra 1'!S80)</f>
        <v/>
      </c>
      <c r="H80">
        <f>IF('Extra 1'!$A80="","",'Extra 1'!P80)</f>
        <v/>
      </c>
      <c r="I80">
        <f>IF('Extra 1'!$A80="","",'Extra 1'!M80)</f>
        <v/>
      </c>
      <c r="J80" s="7">
        <f>IF('Extra 1'!$A80="","",'Extra 1'!Q80)</f>
        <v/>
      </c>
      <c r="K80" s="7">
        <f>IF('Extra 1'!$A80="","",'Extra 1'!H80)</f>
        <v/>
      </c>
      <c r="L80" s="7">
        <f>IF('Extra 1'!$A80="","",'Extra 1'!T80)</f>
        <v/>
      </c>
      <c r="M80">
        <f>IF('Extra 1'!$A80="","",'Extra 1'!G80)</f>
        <v/>
      </c>
    </row>
    <row r="81">
      <c r="A81">
        <f>IF('Extra 1'!$A81="","",ROWS($A$2:$A81))</f>
        <v/>
      </c>
      <c r="B81">
        <f>IF('Extra 1'!$A81="","",'Extra 1'!E81)</f>
        <v/>
      </c>
      <c r="C81">
        <f>IF('Extra 1'!$A81="","",'Extra 1'!F81)</f>
        <v/>
      </c>
      <c r="D81" s="14">
        <f>IF('Extra 1'!$A81="","",'Extra 1'!I81)</f>
        <v/>
      </c>
      <c r="E81" s="7">
        <f>IF('Extra 1'!$A81="","",'Extra 1'!O81)</f>
        <v/>
      </c>
      <c r="F81" s="7">
        <f>IF('Extra 1'!$A81="","",'Extra 1'!L81)</f>
        <v/>
      </c>
      <c r="G81" s="7">
        <f>IF('Extra 1'!$A81="","",'Extra 1'!S81)</f>
        <v/>
      </c>
      <c r="H81">
        <f>IF('Extra 1'!$A81="","",'Extra 1'!P81)</f>
        <v/>
      </c>
      <c r="I81">
        <f>IF('Extra 1'!$A81="","",'Extra 1'!M81)</f>
        <v/>
      </c>
      <c r="J81" s="7">
        <f>IF('Extra 1'!$A81="","",'Extra 1'!Q81)</f>
        <v/>
      </c>
      <c r="K81" s="7">
        <f>IF('Extra 1'!$A81="","",'Extra 1'!H81)</f>
        <v/>
      </c>
      <c r="L81" s="7">
        <f>IF('Extra 1'!$A81="","",'Extra 1'!T81)</f>
        <v/>
      </c>
      <c r="M81">
        <f>IF('Extra 1'!$A81="","",'Extra 1'!G81)</f>
        <v/>
      </c>
    </row>
    <row r="82">
      <c r="A82">
        <f>IF('Extra 1'!$A82="","",ROWS($A$2:$A82))</f>
        <v/>
      </c>
      <c r="B82">
        <f>IF('Extra 1'!$A82="","",'Extra 1'!E82)</f>
        <v/>
      </c>
      <c r="C82">
        <f>IF('Extra 1'!$A82="","",'Extra 1'!F82)</f>
        <v/>
      </c>
      <c r="D82" s="14">
        <f>IF('Extra 1'!$A82="","",'Extra 1'!I82)</f>
        <v/>
      </c>
      <c r="E82" s="7">
        <f>IF('Extra 1'!$A82="","",'Extra 1'!O82)</f>
        <v/>
      </c>
      <c r="F82" s="7">
        <f>IF('Extra 1'!$A82="","",'Extra 1'!L82)</f>
        <v/>
      </c>
      <c r="G82" s="7">
        <f>IF('Extra 1'!$A82="","",'Extra 1'!S82)</f>
        <v/>
      </c>
      <c r="H82">
        <f>IF('Extra 1'!$A82="","",'Extra 1'!P82)</f>
        <v/>
      </c>
      <c r="I82">
        <f>IF('Extra 1'!$A82="","",'Extra 1'!M82)</f>
        <v/>
      </c>
      <c r="J82" s="7">
        <f>IF('Extra 1'!$A82="","",'Extra 1'!Q82)</f>
        <v/>
      </c>
      <c r="K82" s="7">
        <f>IF('Extra 1'!$A82="","",'Extra 1'!H82)</f>
        <v/>
      </c>
      <c r="L82" s="7">
        <f>IF('Extra 1'!$A82="","",'Extra 1'!T82)</f>
        <v/>
      </c>
      <c r="M82">
        <f>IF('Extra 1'!$A82="","",'Extra 1'!G82)</f>
        <v/>
      </c>
    </row>
    <row r="83">
      <c r="A83">
        <f>IF('Extra 1'!$A83="","",ROWS($A$2:$A83))</f>
        <v/>
      </c>
      <c r="B83">
        <f>IF('Extra 1'!$A83="","",'Extra 1'!E83)</f>
        <v/>
      </c>
      <c r="C83">
        <f>IF('Extra 1'!$A83="","",'Extra 1'!F83)</f>
        <v/>
      </c>
      <c r="D83" s="14">
        <f>IF('Extra 1'!$A83="","",'Extra 1'!I83)</f>
        <v/>
      </c>
      <c r="E83" s="7">
        <f>IF('Extra 1'!$A83="","",'Extra 1'!O83)</f>
        <v/>
      </c>
      <c r="F83" s="7">
        <f>IF('Extra 1'!$A83="","",'Extra 1'!L83)</f>
        <v/>
      </c>
      <c r="G83" s="7">
        <f>IF('Extra 1'!$A83="","",'Extra 1'!S83)</f>
        <v/>
      </c>
      <c r="H83">
        <f>IF('Extra 1'!$A83="","",'Extra 1'!P83)</f>
        <v/>
      </c>
      <c r="I83">
        <f>IF('Extra 1'!$A83="","",'Extra 1'!M83)</f>
        <v/>
      </c>
      <c r="J83" s="7">
        <f>IF('Extra 1'!$A83="","",'Extra 1'!Q83)</f>
        <v/>
      </c>
      <c r="K83" s="7">
        <f>IF('Extra 1'!$A83="","",'Extra 1'!H83)</f>
        <v/>
      </c>
      <c r="L83" s="7">
        <f>IF('Extra 1'!$A83="","",'Extra 1'!T83)</f>
        <v/>
      </c>
      <c r="M83">
        <f>IF('Extra 1'!$A83="","",'Extra 1'!G83)</f>
        <v/>
      </c>
    </row>
    <row r="84">
      <c r="A84">
        <f>IF('Extra 1'!$A84="","",ROWS($A$2:$A84))</f>
        <v/>
      </c>
      <c r="B84">
        <f>IF('Extra 1'!$A84="","",'Extra 1'!E84)</f>
        <v/>
      </c>
      <c r="C84">
        <f>IF('Extra 1'!$A84="","",'Extra 1'!F84)</f>
        <v/>
      </c>
      <c r="D84" s="14">
        <f>IF('Extra 1'!$A84="","",'Extra 1'!I84)</f>
        <v/>
      </c>
      <c r="E84" s="7">
        <f>IF('Extra 1'!$A84="","",'Extra 1'!O84)</f>
        <v/>
      </c>
      <c r="F84" s="7">
        <f>IF('Extra 1'!$A84="","",'Extra 1'!L84)</f>
        <v/>
      </c>
      <c r="G84" s="7">
        <f>IF('Extra 1'!$A84="","",'Extra 1'!S84)</f>
        <v/>
      </c>
      <c r="H84">
        <f>IF('Extra 1'!$A84="","",'Extra 1'!P84)</f>
        <v/>
      </c>
      <c r="I84">
        <f>IF('Extra 1'!$A84="","",'Extra 1'!M84)</f>
        <v/>
      </c>
      <c r="J84" s="7">
        <f>IF('Extra 1'!$A84="","",'Extra 1'!Q84)</f>
        <v/>
      </c>
      <c r="K84" s="7">
        <f>IF('Extra 1'!$A84="","",'Extra 1'!H84)</f>
        <v/>
      </c>
      <c r="L84" s="7">
        <f>IF('Extra 1'!$A84="","",'Extra 1'!T84)</f>
        <v/>
      </c>
      <c r="M84">
        <f>IF('Extra 1'!$A84="","",'Extra 1'!G84)</f>
        <v/>
      </c>
    </row>
    <row r="85">
      <c r="A85">
        <f>IF('Extra 1'!$A85="","",ROWS($A$2:$A85))</f>
        <v/>
      </c>
      <c r="B85">
        <f>IF('Extra 1'!$A85="","",'Extra 1'!E85)</f>
        <v/>
      </c>
      <c r="C85">
        <f>IF('Extra 1'!$A85="","",'Extra 1'!F85)</f>
        <v/>
      </c>
      <c r="D85" s="14">
        <f>IF('Extra 1'!$A85="","",'Extra 1'!I85)</f>
        <v/>
      </c>
      <c r="E85" s="7">
        <f>IF('Extra 1'!$A85="","",'Extra 1'!O85)</f>
        <v/>
      </c>
      <c r="F85" s="7">
        <f>IF('Extra 1'!$A85="","",'Extra 1'!L85)</f>
        <v/>
      </c>
      <c r="G85" s="7">
        <f>IF('Extra 1'!$A85="","",'Extra 1'!S85)</f>
        <v/>
      </c>
      <c r="H85">
        <f>IF('Extra 1'!$A85="","",'Extra 1'!P85)</f>
        <v/>
      </c>
      <c r="I85">
        <f>IF('Extra 1'!$A85="","",'Extra 1'!M85)</f>
        <v/>
      </c>
      <c r="J85" s="7">
        <f>IF('Extra 1'!$A85="","",'Extra 1'!Q85)</f>
        <v/>
      </c>
      <c r="K85" s="7">
        <f>IF('Extra 1'!$A85="","",'Extra 1'!H85)</f>
        <v/>
      </c>
      <c r="L85" s="7">
        <f>IF('Extra 1'!$A85="","",'Extra 1'!T85)</f>
        <v/>
      </c>
      <c r="M85">
        <f>IF('Extra 1'!$A85="","",'Extra 1'!G85)</f>
        <v/>
      </c>
    </row>
    <row r="86">
      <c r="A86">
        <f>IF('Extra 1'!$A86="","",ROWS($A$2:$A86))</f>
        <v/>
      </c>
      <c r="B86">
        <f>IF('Extra 1'!$A86="","",'Extra 1'!E86)</f>
        <v/>
      </c>
      <c r="C86">
        <f>IF('Extra 1'!$A86="","",'Extra 1'!F86)</f>
        <v/>
      </c>
      <c r="D86" s="14">
        <f>IF('Extra 1'!$A86="","",'Extra 1'!I86)</f>
        <v/>
      </c>
      <c r="E86" s="7">
        <f>IF('Extra 1'!$A86="","",'Extra 1'!O86)</f>
        <v/>
      </c>
      <c r="F86" s="7">
        <f>IF('Extra 1'!$A86="","",'Extra 1'!L86)</f>
        <v/>
      </c>
      <c r="G86" s="7">
        <f>IF('Extra 1'!$A86="","",'Extra 1'!S86)</f>
        <v/>
      </c>
      <c r="H86">
        <f>IF('Extra 1'!$A86="","",'Extra 1'!P86)</f>
        <v/>
      </c>
      <c r="I86">
        <f>IF('Extra 1'!$A86="","",'Extra 1'!M86)</f>
        <v/>
      </c>
      <c r="J86" s="7">
        <f>IF('Extra 1'!$A86="","",'Extra 1'!Q86)</f>
        <v/>
      </c>
      <c r="K86" s="7">
        <f>IF('Extra 1'!$A86="","",'Extra 1'!H86)</f>
        <v/>
      </c>
      <c r="L86" s="7">
        <f>IF('Extra 1'!$A86="","",'Extra 1'!T86)</f>
        <v/>
      </c>
      <c r="M86">
        <f>IF('Extra 1'!$A86="","",'Extra 1'!G86)</f>
        <v/>
      </c>
    </row>
    <row r="87">
      <c r="A87">
        <f>IF('Extra 1'!$A87="","",ROWS($A$2:$A87))</f>
        <v/>
      </c>
      <c r="B87">
        <f>IF('Extra 1'!$A87="","",'Extra 1'!E87)</f>
        <v/>
      </c>
      <c r="C87">
        <f>IF('Extra 1'!$A87="","",'Extra 1'!F87)</f>
        <v/>
      </c>
      <c r="D87" s="14">
        <f>IF('Extra 1'!$A87="","",'Extra 1'!I87)</f>
        <v/>
      </c>
      <c r="E87" s="7">
        <f>IF('Extra 1'!$A87="","",'Extra 1'!O87)</f>
        <v/>
      </c>
      <c r="F87" s="7">
        <f>IF('Extra 1'!$A87="","",'Extra 1'!L87)</f>
        <v/>
      </c>
      <c r="G87" s="7">
        <f>IF('Extra 1'!$A87="","",'Extra 1'!S87)</f>
        <v/>
      </c>
      <c r="H87">
        <f>IF('Extra 1'!$A87="","",'Extra 1'!P87)</f>
        <v/>
      </c>
      <c r="I87">
        <f>IF('Extra 1'!$A87="","",'Extra 1'!M87)</f>
        <v/>
      </c>
      <c r="J87" s="7">
        <f>IF('Extra 1'!$A87="","",'Extra 1'!Q87)</f>
        <v/>
      </c>
      <c r="K87" s="7">
        <f>IF('Extra 1'!$A87="","",'Extra 1'!H87)</f>
        <v/>
      </c>
      <c r="L87" s="7">
        <f>IF('Extra 1'!$A87="","",'Extra 1'!T87)</f>
        <v/>
      </c>
      <c r="M87">
        <f>IF('Extra 1'!$A87="","",'Extra 1'!G87)</f>
        <v/>
      </c>
    </row>
    <row r="88">
      <c r="A88">
        <f>IF('Extra 1'!$A88="","",ROWS($A$2:$A88))</f>
        <v/>
      </c>
      <c r="B88">
        <f>IF('Extra 1'!$A88="","",'Extra 1'!E88)</f>
        <v/>
      </c>
      <c r="C88">
        <f>IF('Extra 1'!$A88="","",'Extra 1'!F88)</f>
        <v/>
      </c>
      <c r="D88" s="14">
        <f>IF('Extra 1'!$A88="","",'Extra 1'!I88)</f>
        <v/>
      </c>
      <c r="E88" s="7">
        <f>IF('Extra 1'!$A88="","",'Extra 1'!O88)</f>
        <v/>
      </c>
      <c r="F88" s="7">
        <f>IF('Extra 1'!$A88="","",'Extra 1'!L88)</f>
        <v/>
      </c>
      <c r="G88" s="7">
        <f>IF('Extra 1'!$A88="","",'Extra 1'!S88)</f>
        <v/>
      </c>
      <c r="H88">
        <f>IF('Extra 1'!$A88="","",'Extra 1'!P88)</f>
        <v/>
      </c>
      <c r="I88">
        <f>IF('Extra 1'!$A88="","",'Extra 1'!M88)</f>
        <v/>
      </c>
      <c r="J88" s="7">
        <f>IF('Extra 1'!$A88="","",'Extra 1'!Q88)</f>
        <v/>
      </c>
      <c r="K88" s="7">
        <f>IF('Extra 1'!$A88="","",'Extra 1'!H88)</f>
        <v/>
      </c>
      <c r="L88" s="7">
        <f>IF('Extra 1'!$A88="","",'Extra 1'!T88)</f>
        <v/>
      </c>
      <c r="M88">
        <f>IF('Extra 1'!$A88="","",'Extra 1'!G88)</f>
        <v/>
      </c>
    </row>
    <row r="89">
      <c r="A89">
        <f>IF('Extra 1'!$A89="","",ROWS($A$2:$A89))</f>
        <v/>
      </c>
      <c r="B89">
        <f>IF('Extra 1'!$A89="","",'Extra 1'!E89)</f>
        <v/>
      </c>
      <c r="C89">
        <f>IF('Extra 1'!$A89="","",'Extra 1'!F89)</f>
        <v/>
      </c>
      <c r="D89" s="14">
        <f>IF('Extra 1'!$A89="","",'Extra 1'!I89)</f>
        <v/>
      </c>
      <c r="E89" s="7">
        <f>IF('Extra 1'!$A89="","",'Extra 1'!O89)</f>
        <v/>
      </c>
      <c r="F89" s="7">
        <f>IF('Extra 1'!$A89="","",'Extra 1'!L89)</f>
        <v/>
      </c>
      <c r="G89" s="7">
        <f>IF('Extra 1'!$A89="","",'Extra 1'!S89)</f>
        <v/>
      </c>
      <c r="H89">
        <f>IF('Extra 1'!$A89="","",'Extra 1'!P89)</f>
        <v/>
      </c>
      <c r="I89">
        <f>IF('Extra 1'!$A89="","",'Extra 1'!M89)</f>
        <v/>
      </c>
      <c r="J89" s="7">
        <f>IF('Extra 1'!$A89="","",'Extra 1'!Q89)</f>
        <v/>
      </c>
      <c r="K89" s="7">
        <f>IF('Extra 1'!$A89="","",'Extra 1'!H89)</f>
        <v/>
      </c>
      <c r="L89" s="7">
        <f>IF('Extra 1'!$A89="","",'Extra 1'!T89)</f>
        <v/>
      </c>
      <c r="M89">
        <f>IF('Extra 1'!$A89="","",'Extra 1'!G89)</f>
        <v/>
      </c>
    </row>
    <row r="90">
      <c r="A90">
        <f>IF('Extra 1'!$A90="","",ROWS($A$2:$A90))</f>
        <v/>
      </c>
      <c r="B90">
        <f>IF('Extra 1'!$A90="","",'Extra 1'!E90)</f>
        <v/>
      </c>
      <c r="C90">
        <f>IF('Extra 1'!$A90="","",'Extra 1'!F90)</f>
        <v/>
      </c>
      <c r="D90" s="14">
        <f>IF('Extra 1'!$A90="","",'Extra 1'!I90)</f>
        <v/>
      </c>
      <c r="E90" s="7">
        <f>IF('Extra 1'!$A90="","",'Extra 1'!O90)</f>
        <v/>
      </c>
      <c r="F90" s="7">
        <f>IF('Extra 1'!$A90="","",'Extra 1'!L90)</f>
        <v/>
      </c>
      <c r="G90" s="7">
        <f>IF('Extra 1'!$A90="","",'Extra 1'!S90)</f>
        <v/>
      </c>
      <c r="H90">
        <f>IF('Extra 1'!$A90="","",'Extra 1'!P90)</f>
        <v/>
      </c>
      <c r="I90">
        <f>IF('Extra 1'!$A90="","",'Extra 1'!M90)</f>
        <v/>
      </c>
      <c r="J90" s="7">
        <f>IF('Extra 1'!$A90="","",'Extra 1'!Q90)</f>
        <v/>
      </c>
      <c r="K90" s="7">
        <f>IF('Extra 1'!$A90="","",'Extra 1'!H90)</f>
        <v/>
      </c>
      <c r="L90" s="7">
        <f>IF('Extra 1'!$A90="","",'Extra 1'!T90)</f>
        <v/>
      </c>
      <c r="M90">
        <f>IF('Extra 1'!$A90="","",'Extra 1'!G90)</f>
        <v/>
      </c>
    </row>
    <row r="91">
      <c r="A91">
        <f>IF('Extra 1'!$A91="","",ROWS($A$2:$A91))</f>
        <v/>
      </c>
      <c r="B91">
        <f>IF('Extra 1'!$A91="","",'Extra 1'!E91)</f>
        <v/>
      </c>
      <c r="C91">
        <f>IF('Extra 1'!$A91="","",'Extra 1'!F91)</f>
        <v/>
      </c>
      <c r="D91" s="14">
        <f>IF('Extra 1'!$A91="","",'Extra 1'!I91)</f>
        <v/>
      </c>
      <c r="E91" s="7">
        <f>IF('Extra 1'!$A91="","",'Extra 1'!O91)</f>
        <v/>
      </c>
      <c r="F91" s="7">
        <f>IF('Extra 1'!$A91="","",'Extra 1'!L91)</f>
        <v/>
      </c>
      <c r="G91" s="7">
        <f>IF('Extra 1'!$A91="","",'Extra 1'!S91)</f>
        <v/>
      </c>
      <c r="H91">
        <f>IF('Extra 1'!$A91="","",'Extra 1'!P91)</f>
        <v/>
      </c>
      <c r="I91">
        <f>IF('Extra 1'!$A91="","",'Extra 1'!M91)</f>
        <v/>
      </c>
      <c r="J91" s="7">
        <f>IF('Extra 1'!$A91="","",'Extra 1'!Q91)</f>
        <v/>
      </c>
      <c r="K91" s="7">
        <f>IF('Extra 1'!$A91="","",'Extra 1'!H91)</f>
        <v/>
      </c>
      <c r="L91" s="7">
        <f>IF('Extra 1'!$A91="","",'Extra 1'!T91)</f>
        <v/>
      </c>
      <c r="M91">
        <f>IF('Extra 1'!$A91="","",'Extra 1'!G91)</f>
        <v/>
      </c>
    </row>
    <row r="92">
      <c r="A92">
        <f>IF('Extra 1'!$A92="","",ROWS($A$2:$A92))</f>
        <v/>
      </c>
      <c r="B92">
        <f>IF('Extra 1'!$A92="","",'Extra 1'!E92)</f>
        <v/>
      </c>
      <c r="C92">
        <f>IF('Extra 1'!$A92="","",'Extra 1'!F92)</f>
        <v/>
      </c>
      <c r="D92" s="14">
        <f>IF('Extra 1'!$A92="","",'Extra 1'!I92)</f>
        <v/>
      </c>
      <c r="E92" s="7">
        <f>IF('Extra 1'!$A92="","",'Extra 1'!O92)</f>
        <v/>
      </c>
      <c r="F92" s="7">
        <f>IF('Extra 1'!$A92="","",'Extra 1'!L92)</f>
        <v/>
      </c>
      <c r="G92" s="7">
        <f>IF('Extra 1'!$A92="","",'Extra 1'!S92)</f>
        <v/>
      </c>
      <c r="H92">
        <f>IF('Extra 1'!$A92="","",'Extra 1'!P92)</f>
        <v/>
      </c>
      <c r="I92">
        <f>IF('Extra 1'!$A92="","",'Extra 1'!M92)</f>
        <v/>
      </c>
      <c r="J92" s="7">
        <f>IF('Extra 1'!$A92="","",'Extra 1'!Q92)</f>
        <v/>
      </c>
      <c r="K92" s="7">
        <f>IF('Extra 1'!$A92="","",'Extra 1'!H92)</f>
        <v/>
      </c>
      <c r="L92" s="7">
        <f>IF('Extra 1'!$A92="","",'Extra 1'!T92)</f>
        <v/>
      </c>
      <c r="M92">
        <f>IF('Extra 1'!$A92="","",'Extra 1'!G92)</f>
        <v/>
      </c>
    </row>
    <row r="93">
      <c r="A93">
        <f>IF('Extra 1'!$A93="","",ROWS($A$2:$A93))</f>
        <v/>
      </c>
      <c r="B93">
        <f>IF('Extra 1'!$A93="","",'Extra 1'!E93)</f>
        <v/>
      </c>
      <c r="C93">
        <f>IF('Extra 1'!$A93="","",'Extra 1'!F93)</f>
        <v/>
      </c>
      <c r="D93" s="14">
        <f>IF('Extra 1'!$A93="","",'Extra 1'!I93)</f>
        <v/>
      </c>
      <c r="E93" s="7">
        <f>IF('Extra 1'!$A93="","",'Extra 1'!O93)</f>
        <v/>
      </c>
      <c r="F93" s="7">
        <f>IF('Extra 1'!$A93="","",'Extra 1'!L93)</f>
        <v/>
      </c>
      <c r="G93" s="7">
        <f>IF('Extra 1'!$A93="","",'Extra 1'!S93)</f>
        <v/>
      </c>
      <c r="H93">
        <f>IF('Extra 1'!$A93="","",'Extra 1'!P93)</f>
        <v/>
      </c>
      <c r="I93">
        <f>IF('Extra 1'!$A93="","",'Extra 1'!M93)</f>
        <v/>
      </c>
      <c r="J93" s="7">
        <f>IF('Extra 1'!$A93="","",'Extra 1'!Q93)</f>
        <v/>
      </c>
      <c r="K93" s="7">
        <f>IF('Extra 1'!$A93="","",'Extra 1'!H93)</f>
        <v/>
      </c>
      <c r="L93" s="7">
        <f>IF('Extra 1'!$A93="","",'Extra 1'!T93)</f>
        <v/>
      </c>
      <c r="M93">
        <f>IF('Extra 1'!$A93="","",'Extra 1'!G93)</f>
        <v/>
      </c>
    </row>
    <row r="94">
      <c r="A94">
        <f>IF('Extra 1'!$A94="","",ROWS($A$2:$A94))</f>
        <v/>
      </c>
      <c r="B94">
        <f>IF('Extra 1'!$A94="","",'Extra 1'!E94)</f>
        <v/>
      </c>
      <c r="C94">
        <f>IF('Extra 1'!$A94="","",'Extra 1'!F94)</f>
        <v/>
      </c>
      <c r="D94" s="14">
        <f>IF('Extra 1'!$A94="","",'Extra 1'!I94)</f>
        <v/>
      </c>
      <c r="E94" s="7">
        <f>IF('Extra 1'!$A94="","",'Extra 1'!O94)</f>
        <v/>
      </c>
      <c r="F94" s="7">
        <f>IF('Extra 1'!$A94="","",'Extra 1'!L94)</f>
        <v/>
      </c>
      <c r="G94" s="7">
        <f>IF('Extra 1'!$A94="","",'Extra 1'!S94)</f>
        <v/>
      </c>
      <c r="H94">
        <f>IF('Extra 1'!$A94="","",'Extra 1'!P94)</f>
        <v/>
      </c>
      <c r="I94">
        <f>IF('Extra 1'!$A94="","",'Extra 1'!M94)</f>
        <v/>
      </c>
      <c r="J94" s="7">
        <f>IF('Extra 1'!$A94="","",'Extra 1'!Q94)</f>
        <v/>
      </c>
      <c r="K94" s="7">
        <f>IF('Extra 1'!$A94="","",'Extra 1'!H94)</f>
        <v/>
      </c>
      <c r="L94" s="7">
        <f>IF('Extra 1'!$A94="","",'Extra 1'!T94)</f>
        <v/>
      </c>
      <c r="M94">
        <f>IF('Extra 1'!$A94="","",'Extra 1'!G94)</f>
        <v/>
      </c>
    </row>
    <row r="95">
      <c r="A95">
        <f>IF('Extra 1'!$A95="","",ROWS($A$2:$A95))</f>
        <v/>
      </c>
      <c r="B95">
        <f>IF('Extra 1'!$A95="","",'Extra 1'!E95)</f>
        <v/>
      </c>
      <c r="C95">
        <f>IF('Extra 1'!$A95="","",'Extra 1'!F95)</f>
        <v/>
      </c>
      <c r="D95" s="14">
        <f>IF('Extra 1'!$A95="","",'Extra 1'!I95)</f>
        <v/>
      </c>
      <c r="E95" s="7">
        <f>IF('Extra 1'!$A95="","",'Extra 1'!O95)</f>
        <v/>
      </c>
      <c r="F95" s="7">
        <f>IF('Extra 1'!$A95="","",'Extra 1'!L95)</f>
        <v/>
      </c>
      <c r="G95" s="7">
        <f>IF('Extra 1'!$A95="","",'Extra 1'!S95)</f>
        <v/>
      </c>
      <c r="H95">
        <f>IF('Extra 1'!$A95="","",'Extra 1'!P95)</f>
        <v/>
      </c>
      <c r="I95">
        <f>IF('Extra 1'!$A95="","",'Extra 1'!M95)</f>
        <v/>
      </c>
      <c r="J95" s="7">
        <f>IF('Extra 1'!$A95="","",'Extra 1'!Q95)</f>
        <v/>
      </c>
      <c r="K95" s="7">
        <f>IF('Extra 1'!$A95="","",'Extra 1'!H95)</f>
        <v/>
      </c>
      <c r="L95" s="7">
        <f>IF('Extra 1'!$A95="","",'Extra 1'!T95)</f>
        <v/>
      </c>
      <c r="M95">
        <f>IF('Extra 1'!$A95="","",'Extra 1'!G95)</f>
        <v/>
      </c>
    </row>
    <row r="96">
      <c r="A96">
        <f>IF('Extra 1'!$A96="","",ROWS($A$2:$A96))</f>
        <v/>
      </c>
      <c r="B96">
        <f>IF('Extra 1'!$A96="","",'Extra 1'!E96)</f>
        <v/>
      </c>
      <c r="C96">
        <f>IF('Extra 1'!$A96="","",'Extra 1'!F96)</f>
        <v/>
      </c>
      <c r="D96" s="14">
        <f>IF('Extra 1'!$A96="","",'Extra 1'!I96)</f>
        <v/>
      </c>
      <c r="E96" s="7">
        <f>IF('Extra 1'!$A96="","",'Extra 1'!O96)</f>
        <v/>
      </c>
      <c r="F96" s="7">
        <f>IF('Extra 1'!$A96="","",'Extra 1'!L96)</f>
        <v/>
      </c>
      <c r="G96" s="7">
        <f>IF('Extra 1'!$A96="","",'Extra 1'!S96)</f>
        <v/>
      </c>
      <c r="H96">
        <f>IF('Extra 1'!$A96="","",'Extra 1'!P96)</f>
        <v/>
      </c>
      <c r="I96">
        <f>IF('Extra 1'!$A96="","",'Extra 1'!M96)</f>
        <v/>
      </c>
      <c r="J96" s="7">
        <f>IF('Extra 1'!$A96="","",'Extra 1'!Q96)</f>
        <v/>
      </c>
      <c r="K96" s="7">
        <f>IF('Extra 1'!$A96="","",'Extra 1'!H96)</f>
        <v/>
      </c>
      <c r="L96" s="7">
        <f>IF('Extra 1'!$A96="","",'Extra 1'!T96)</f>
        <v/>
      </c>
      <c r="M96">
        <f>IF('Extra 1'!$A96="","",'Extra 1'!G96)</f>
        <v/>
      </c>
    </row>
    <row r="97">
      <c r="A97">
        <f>IF('Extra 1'!$A97="","",ROWS($A$2:$A97))</f>
        <v/>
      </c>
      <c r="B97">
        <f>IF('Extra 1'!$A97="","",'Extra 1'!E97)</f>
        <v/>
      </c>
      <c r="C97">
        <f>IF('Extra 1'!$A97="","",'Extra 1'!F97)</f>
        <v/>
      </c>
      <c r="D97" s="14">
        <f>IF('Extra 1'!$A97="","",'Extra 1'!I97)</f>
        <v/>
      </c>
      <c r="E97" s="7">
        <f>IF('Extra 1'!$A97="","",'Extra 1'!O97)</f>
        <v/>
      </c>
      <c r="F97" s="7">
        <f>IF('Extra 1'!$A97="","",'Extra 1'!L97)</f>
        <v/>
      </c>
      <c r="G97" s="7">
        <f>IF('Extra 1'!$A97="","",'Extra 1'!S97)</f>
        <v/>
      </c>
      <c r="H97">
        <f>IF('Extra 1'!$A97="","",'Extra 1'!P97)</f>
        <v/>
      </c>
      <c r="I97">
        <f>IF('Extra 1'!$A97="","",'Extra 1'!M97)</f>
        <v/>
      </c>
      <c r="J97" s="7">
        <f>IF('Extra 1'!$A97="","",'Extra 1'!Q97)</f>
        <v/>
      </c>
      <c r="K97" s="7">
        <f>IF('Extra 1'!$A97="","",'Extra 1'!H97)</f>
        <v/>
      </c>
      <c r="L97" s="7">
        <f>IF('Extra 1'!$A97="","",'Extra 1'!T97)</f>
        <v/>
      </c>
      <c r="M97">
        <f>IF('Extra 1'!$A97="","",'Extra 1'!G97)</f>
        <v/>
      </c>
    </row>
    <row r="98">
      <c r="A98">
        <f>IF('Extra 1'!$A98="","",ROWS($A$2:$A98))</f>
        <v/>
      </c>
      <c r="B98">
        <f>IF('Extra 1'!$A98="","",'Extra 1'!E98)</f>
        <v/>
      </c>
      <c r="C98">
        <f>IF('Extra 1'!$A98="","",'Extra 1'!F98)</f>
        <v/>
      </c>
      <c r="D98" s="14">
        <f>IF('Extra 1'!$A98="","",'Extra 1'!I98)</f>
        <v/>
      </c>
      <c r="E98" s="7">
        <f>IF('Extra 1'!$A98="","",'Extra 1'!O98)</f>
        <v/>
      </c>
      <c r="F98" s="7">
        <f>IF('Extra 1'!$A98="","",'Extra 1'!L98)</f>
        <v/>
      </c>
      <c r="G98" s="7">
        <f>IF('Extra 1'!$A98="","",'Extra 1'!S98)</f>
        <v/>
      </c>
      <c r="H98">
        <f>IF('Extra 1'!$A98="","",'Extra 1'!P98)</f>
        <v/>
      </c>
      <c r="I98">
        <f>IF('Extra 1'!$A98="","",'Extra 1'!M98)</f>
        <v/>
      </c>
      <c r="J98" s="7">
        <f>IF('Extra 1'!$A98="","",'Extra 1'!Q98)</f>
        <v/>
      </c>
      <c r="K98" s="7">
        <f>IF('Extra 1'!$A98="","",'Extra 1'!H98)</f>
        <v/>
      </c>
      <c r="L98" s="7">
        <f>IF('Extra 1'!$A98="","",'Extra 1'!T98)</f>
        <v/>
      </c>
      <c r="M98">
        <f>IF('Extra 1'!$A98="","",'Extra 1'!G98)</f>
        <v/>
      </c>
    </row>
    <row r="99">
      <c r="A99">
        <f>IF('Extra 1'!$A99="","",ROWS($A$2:$A99))</f>
        <v/>
      </c>
      <c r="B99">
        <f>IF('Extra 1'!$A99="","",'Extra 1'!E99)</f>
        <v/>
      </c>
      <c r="C99">
        <f>IF('Extra 1'!$A99="","",'Extra 1'!F99)</f>
        <v/>
      </c>
      <c r="D99" s="14">
        <f>IF('Extra 1'!$A99="","",'Extra 1'!I99)</f>
        <v/>
      </c>
      <c r="E99" s="7">
        <f>IF('Extra 1'!$A99="","",'Extra 1'!O99)</f>
        <v/>
      </c>
      <c r="F99" s="7">
        <f>IF('Extra 1'!$A99="","",'Extra 1'!L99)</f>
        <v/>
      </c>
      <c r="G99" s="7">
        <f>IF('Extra 1'!$A99="","",'Extra 1'!S99)</f>
        <v/>
      </c>
      <c r="H99">
        <f>IF('Extra 1'!$A99="","",'Extra 1'!P99)</f>
        <v/>
      </c>
      <c r="I99">
        <f>IF('Extra 1'!$A99="","",'Extra 1'!M99)</f>
        <v/>
      </c>
      <c r="J99" s="7">
        <f>IF('Extra 1'!$A99="","",'Extra 1'!Q99)</f>
        <v/>
      </c>
      <c r="K99" s="7">
        <f>IF('Extra 1'!$A99="","",'Extra 1'!H99)</f>
        <v/>
      </c>
      <c r="L99" s="7">
        <f>IF('Extra 1'!$A99="","",'Extra 1'!T99)</f>
        <v/>
      </c>
      <c r="M99">
        <f>IF('Extra 1'!$A99="","",'Extra 1'!G99)</f>
        <v/>
      </c>
    </row>
    <row r="100">
      <c r="A100">
        <f>IF('Extra 1'!$A100="","",ROWS($A$2:$A100))</f>
        <v/>
      </c>
      <c r="B100">
        <f>IF('Extra 1'!$A100="","",'Extra 1'!E100)</f>
        <v/>
      </c>
      <c r="C100">
        <f>IF('Extra 1'!$A100="","",'Extra 1'!F100)</f>
        <v/>
      </c>
      <c r="D100" s="14">
        <f>IF('Extra 1'!$A100="","",'Extra 1'!I100)</f>
        <v/>
      </c>
      <c r="E100" s="7">
        <f>IF('Extra 1'!$A100="","",'Extra 1'!O100)</f>
        <v/>
      </c>
      <c r="F100" s="7">
        <f>IF('Extra 1'!$A100="","",'Extra 1'!L100)</f>
        <v/>
      </c>
      <c r="G100" s="7">
        <f>IF('Extra 1'!$A100="","",'Extra 1'!S100)</f>
        <v/>
      </c>
      <c r="H100">
        <f>IF('Extra 1'!$A100="","",'Extra 1'!P100)</f>
        <v/>
      </c>
      <c r="I100">
        <f>IF('Extra 1'!$A100="","",'Extra 1'!M100)</f>
        <v/>
      </c>
      <c r="J100" s="7">
        <f>IF('Extra 1'!$A100="","",'Extra 1'!Q100)</f>
        <v/>
      </c>
      <c r="K100" s="7">
        <f>IF('Extra 1'!$A100="","",'Extra 1'!H100)</f>
        <v/>
      </c>
      <c r="L100" s="7">
        <f>IF('Extra 1'!$A100="","",'Extra 1'!T100)</f>
        <v/>
      </c>
      <c r="M100">
        <f>IF('Extra 1'!$A100="","",'Extra 1'!G100)</f>
        <v/>
      </c>
    </row>
    <row r="101">
      <c r="A101">
        <f>IF('Extra 1'!$A101="","",ROWS($A$2:$A101))</f>
        <v/>
      </c>
      <c r="B101">
        <f>IF('Extra 1'!$A101="","",'Extra 1'!E101)</f>
        <v/>
      </c>
      <c r="C101">
        <f>IF('Extra 1'!$A101="","",'Extra 1'!F101)</f>
        <v/>
      </c>
      <c r="D101" s="14">
        <f>IF('Extra 1'!$A101="","",'Extra 1'!I101)</f>
        <v/>
      </c>
      <c r="E101" s="7">
        <f>IF('Extra 1'!$A101="","",'Extra 1'!O101)</f>
        <v/>
      </c>
      <c r="F101" s="7">
        <f>IF('Extra 1'!$A101="","",'Extra 1'!L101)</f>
        <v/>
      </c>
      <c r="G101" s="7">
        <f>IF('Extra 1'!$A101="","",'Extra 1'!S101)</f>
        <v/>
      </c>
      <c r="H101">
        <f>IF('Extra 1'!$A101="","",'Extra 1'!P101)</f>
        <v/>
      </c>
      <c r="I101">
        <f>IF('Extra 1'!$A101="","",'Extra 1'!M101)</f>
        <v/>
      </c>
      <c r="J101" s="7">
        <f>IF('Extra 1'!$A101="","",'Extra 1'!Q101)</f>
        <v/>
      </c>
      <c r="K101" s="7">
        <f>IF('Extra 1'!$A101="","",'Extra 1'!H101)</f>
        <v/>
      </c>
      <c r="L101" s="7">
        <f>IF('Extra 1'!$A101="","",'Extra 1'!T101)</f>
        <v/>
      </c>
      <c r="M101">
        <f>IF('Extra 1'!$A101="","",'Extra 1'!G101)</f>
        <v/>
      </c>
    </row>
    <row r="102">
      <c r="A102">
        <f>IF('Extra 1'!$A102="","",ROWS($A$2:$A102))</f>
        <v/>
      </c>
      <c r="B102">
        <f>IF('Extra 1'!$A102="","",'Extra 1'!E102)</f>
        <v/>
      </c>
      <c r="C102">
        <f>IF('Extra 1'!$A102="","",'Extra 1'!F102)</f>
        <v/>
      </c>
      <c r="D102" s="14">
        <f>IF('Extra 1'!$A102="","",'Extra 1'!I102)</f>
        <v/>
      </c>
      <c r="E102" s="7">
        <f>IF('Extra 1'!$A102="","",'Extra 1'!O102)</f>
        <v/>
      </c>
      <c r="F102" s="7">
        <f>IF('Extra 1'!$A102="","",'Extra 1'!L102)</f>
        <v/>
      </c>
      <c r="G102" s="7">
        <f>IF('Extra 1'!$A102="","",'Extra 1'!S102)</f>
        <v/>
      </c>
      <c r="H102">
        <f>IF('Extra 1'!$A102="","",'Extra 1'!P102)</f>
        <v/>
      </c>
      <c r="I102">
        <f>IF('Extra 1'!$A102="","",'Extra 1'!M102)</f>
        <v/>
      </c>
      <c r="J102" s="7">
        <f>IF('Extra 1'!$A102="","",'Extra 1'!Q102)</f>
        <v/>
      </c>
      <c r="K102" s="7">
        <f>IF('Extra 1'!$A102="","",'Extra 1'!H102)</f>
        <v/>
      </c>
      <c r="L102" s="7">
        <f>IF('Extra 1'!$A102="","",'Extra 1'!T102)</f>
        <v/>
      </c>
      <c r="M102">
        <f>IF('Extra 1'!$A102="","",'Extra 1'!G102)</f>
        <v/>
      </c>
    </row>
    <row r="103">
      <c r="A103">
        <f>IF('Extra 1'!$A103="","",ROWS($A$2:$A103))</f>
        <v/>
      </c>
      <c r="B103">
        <f>IF('Extra 1'!$A103="","",'Extra 1'!E103)</f>
        <v/>
      </c>
      <c r="C103">
        <f>IF('Extra 1'!$A103="","",'Extra 1'!F103)</f>
        <v/>
      </c>
      <c r="D103" s="14">
        <f>IF('Extra 1'!$A103="","",'Extra 1'!I103)</f>
        <v/>
      </c>
      <c r="E103" s="7">
        <f>IF('Extra 1'!$A103="","",'Extra 1'!O103)</f>
        <v/>
      </c>
      <c r="F103" s="7">
        <f>IF('Extra 1'!$A103="","",'Extra 1'!L103)</f>
        <v/>
      </c>
      <c r="G103" s="7">
        <f>IF('Extra 1'!$A103="","",'Extra 1'!S103)</f>
        <v/>
      </c>
      <c r="H103">
        <f>IF('Extra 1'!$A103="","",'Extra 1'!P103)</f>
        <v/>
      </c>
      <c r="I103">
        <f>IF('Extra 1'!$A103="","",'Extra 1'!M103)</f>
        <v/>
      </c>
      <c r="J103" s="7">
        <f>IF('Extra 1'!$A103="","",'Extra 1'!Q103)</f>
        <v/>
      </c>
      <c r="K103" s="7">
        <f>IF('Extra 1'!$A103="","",'Extra 1'!H103)</f>
        <v/>
      </c>
      <c r="L103" s="7">
        <f>IF('Extra 1'!$A103="","",'Extra 1'!T103)</f>
        <v/>
      </c>
      <c r="M103">
        <f>IF('Extra 1'!$A103="","",'Extra 1'!G103)</f>
        <v/>
      </c>
    </row>
    <row r="104">
      <c r="A104">
        <f>IF('Extra 1'!$A104="","",ROWS($A$2:$A104))</f>
        <v/>
      </c>
      <c r="B104">
        <f>IF('Extra 1'!$A104="","",'Extra 1'!E104)</f>
        <v/>
      </c>
      <c r="C104">
        <f>IF('Extra 1'!$A104="","",'Extra 1'!F104)</f>
        <v/>
      </c>
      <c r="D104" s="14">
        <f>IF('Extra 1'!$A104="","",'Extra 1'!I104)</f>
        <v/>
      </c>
      <c r="E104" s="7">
        <f>IF('Extra 1'!$A104="","",'Extra 1'!O104)</f>
        <v/>
      </c>
      <c r="F104" s="7">
        <f>IF('Extra 1'!$A104="","",'Extra 1'!L104)</f>
        <v/>
      </c>
      <c r="G104" s="7">
        <f>IF('Extra 1'!$A104="","",'Extra 1'!S104)</f>
        <v/>
      </c>
      <c r="H104">
        <f>IF('Extra 1'!$A104="","",'Extra 1'!P104)</f>
        <v/>
      </c>
      <c r="I104">
        <f>IF('Extra 1'!$A104="","",'Extra 1'!M104)</f>
        <v/>
      </c>
      <c r="J104" s="7">
        <f>IF('Extra 1'!$A104="","",'Extra 1'!Q104)</f>
        <v/>
      </c>
      <c r="K104" s="7">
        <f>IF('Extra 1'!$A104="","",'Extra 1'!H104)</f>
        <v/>
      </c>
      <c r="L104" s="7">
        <f>IF('Extra 1'!$A104="","",'Extra 1'!T104)</f>
        <v/>
      </c>
      <c r="M104">
        <f>IF('Extra 1'!$A104="","",'Extra 1'!G104)</f>
        <v/>
      </c>
    </row>
    <row r="105">
      <c r="A105">
        <f>IF('Extra 1'!$A105="","",ROWS($A$2:$A105))</f>
        <v/>
      </c>
      <c r="B105">
        <f>IF('Extra 1'!$A105="","",'Extra 1'!E105)</f>
        <v/>
      </c>
      <c r="C105">
        <f>IF('Extra 1'!$A105="","",'Extra 1'!F105)</f>
        <v/>
      </c>
      <c r="D105" s="14">
        <f>IF('Extra 1'!$A105="","",'Extra 1'!I105)</f>
        <v/>
      </c>
      <c r="E105" s="7">
        <f>IF('Extra 1'!$A105="","",'Extra 1'!O105)</f>
        <v/>
      </c>
      <c r="F105" s="7">
        <f>IF('Extra 1'!$A105="","",'Extra 1'!L105)</f>
        <v/>
      </c>
      <c r="G105" s="7">
        <f>IF('Extra 1'!$A105="","",'Extra 1'!S105)</f>
        <v/>
      </c>
      <c r="H105">
        <f>IF('Extra 1'!$A105="","",'Extra 1'!P105)</f>
        <v/>
      </c>
      <c r="I105">
        <f>IF('Extra 1'!$A105="","",'Extra 1'!M105)</f>
        <v/>
      </c>
      <c r="J105" s="7">
        <f>IF('Extra 1'!$A105="","",'Extra 1'!Q105)</f>
        <v/>
      </c>
      <c r="K105" s="7">
        <f>IF('Extra 1'!$A105="","",'Extra 1'!H105)</f>
        <v/>
      </c>
      <c r="L105" s="7">
        <f>IF('Extra 1'!$A105="","",'Extra 1'!T105)</f>
        <v/>
      </c>
      <c r="M105">
        <f>IF('Extra 1'!$A105="","",'Extra 1'!G105)</f>
        <v/>
      </c>
    </row>
    <row r="106">
      <c r="A106">
        <f>IF('Extra 1'!$A106="","",ROWS($A$2:$A106))</f>
        <v/>
      </c>
      <c r="B106">
        <f>IF('Extra 1'!$A106="","",'Extra 1'!E106)</f>
        <v/>
      </c>
      <c r="C106">
        <f>IF('Extra 1'!$A106="","",'Extra 1'!F106)</f>
        <v/>
      </c>
      <c r="D106" s="14">
        <f>IF('Extra 1'!$A106="","",'Extra 1'!I106)</f>
        <v/>
      </c>
      <c r="E106" s="7">
        <f>IF('Extra 1'!$A106="","",'Extra 1'!O106)</f>
        <v/>
      </c>
      <c r="F106" s="7">
        <f>IF('Extra 1'!$A106="","",'Extra 1'!L106)</f>
        <v/>
      </c>
      <c r="G106" s="7">
        <f>IF('Extra 1'!$A106="","",'Extra 1'!S106)</f>
        <v/>
      </c>
      <c r="H106">
        <f>IF('Extra 1'!$A106="","",'Extra 1'!P106)</f>
        <v/>
      </c>
      <c r="I106">
        <f>IF('Extra 1'!$A106="","",'Extra 1'!M106)</f>
        <v/>
      </c>
      <c r="J106" s="7">
        <f>IF('Extra 1'!$A106="","",'Extra 1'!Q106)</f>
        <v/>
      </c>
      <c r="K106" s="7">
        <f>IF('Extra 1'!$A106="","",'Extra 1'!H106)</f>
        <v/>
      </c>
      <c r="L106" s="7">
        <f>IF('Extra 1'!$A106="","",'Extra 1'!T106)</f>
        <v/>
      </c>
      <c r="M106">
        <f>IF('Extra 1'!$A106="","",'Extra 1'!G106)</f>
        <v/>
      </c>
    </row>
    <row r="107">
      <c r="A107">
        <f>IF('Extra 1'!$A107="","",ROWS($A$2:$A107))</f>
        <v/>
      </c>
      <c r="B107">
        <f>IF('Extra 1'!$A107="","",'Extra 1'!E107)</f>
        <v/>
      </c>
      <c r="C107">
        <f>IF('Extra 1'!$A107="","",'Extra 1'!F107)</f>
        <v/>
      </c>
      <c r="D107" s="14">
        <f>IF('Extra 1'!$A107="","",'Extra 1'!I107)</f>
        <v/>
      </c>
      <c r="E107" s="7">
        <f>IF('Extra 1'!$A107="","",'Extra 1'!O107)</f>
        <v/>
      </c>
      <c r="F107" s="7">
        <f>IF('Extra 1'!$A107="","",'Extra 1'!L107)</f>
        <v/>
      </c>
      <c r="G107" s="7">
        <f>IF('Extra 1'!$A107="","",'Extra 1'!S107)</f>
        <v/>
      </c>
      <c r="H107">
        <f>IF('Extra 1'!$A107="","",'Extra 1'!P107)</f>
        <v/>
      </c>
      <c r="I107">
        <f>IF('Extra 1'!$A107="","",'Extra 1'!M107)</f>
        <v/>
      </c>
      <c r="J107" s="7">
        <f>IF('Extra 1'!$A107="","",'Extra 1'!Q107)</f>
        <v/>
      </c>
      <c r="K107" s="7">
        <f>IF('Extra 1'!$A107="","",'Extra 1'!H107)</f>
        <v/>
      </c>
      <c r="L107" s="7">
        <f>IF('Extra 1'!$A107="","",'Extra 1'!T107)</f>
        <v/>
      </c>
      <c r="M107">
        <f>IF('Extra 1'!$A107="","",'Extra 1'!G107)</f>
        <v/>
      </c>
    </row>
    <row r="108">
      <c r="A108">
        <f>IF('Extra 1'!$A108="","",ROWS($A$2:$A108))</f>
        <v/>
      </c>
      <c r="B108">
        <f>IF('Extra 1'!$A108="","",'Extra 1'!E108)</f>
        <v/>
      </c>
      <c r="C108">
        <f>IF('Extra 1'!$A108="","",'Extra 1'!F108)</f>
        <v/>
      </c>
      <c r="D108" s="14">
        <f>IF('Extra 1'!$A108="","",'Extra 1'!I108)</f>
        <v/>
      </c>
      <c r="E108" s="7">
        <f>IF('Extra 1'!$A108="","",'Extra 1'!O108)</f>
        <v/>
      </c>
      <c r="F108" s="7">
        <f>IF('Extra 1'!$A108="","",'Extra 1'!L108)</f>
        <v/>
      </c>
      <c r="G108" s="7">
        <f>IF('Extra 1'!$A108="","",'Extra 1'!S108)</f>
        <v/>
      </c>
      <c r="H108">
        <f>IF('Extra 1'!$A108="","",'Extra 1'!P108)</f>
        <v/>
      </c>
      <c r="I108">
        <f>IF('Extra 1'!$A108="","",'Extra 1'!M108)</f>
        <v/>
      </c>
      <c r="J108" s="7">
        <f>IF('Extra 1'!$A108="","",'Extra 1'!Q108)</f>
        <v/>
      </c>
      <c r="K108" s="7">
        <f>IF('Extra 1'!$A108="","",'Extra 1'!H108)</f>
        <v/>
      </c>
      <c r="L108" s="7">
        <f>IF('Extra 1'!$A108="","",'Extra 1'!T108)</f>
        <v/>
      </c>
      <c r="M108">
        <f>IF('Extra 1'!$A108="","",'Extra 1'!G108)</f>
        <v/>
      </c>
    </row>
    <row r="109">
      <c r="A109">
        <f>IF('Extra 1'!$A109="","",ROWS($A$2:$A109))</f>
        <v/>
      </c>
      <c r="B109">
        <f>IF('Extra 1'!$A109="","",'Extra 1'!E109)</f>
        <v/>
      </c>
      <c r="C109">
        <f>IF('Extra 1'!$A109="","",'Extra 1'!F109)</f>
        <v/>
      </c>
      <c r="D109" s="14">
        <f>IF('Extra 1'!$A109="","",'Extra 1'!I109)</f>
        <v/>
      </c>
      <c r="E109" s="7">
        <f>IF('Extra 1'!$A109="","",'Extra 1'!O109)</f>
        <v/>
      </c>
      <c r="F109" s="7">
        <f>IF('Extra 1'!$A109="","",'Extra 1'!L109)</f>
        <v/>
      </c>
      <c r="G109" s="7">
        <f>IF('Extra 1'!$A109="","",'Extra 1'!S109)</f>
        <v/>
      </c>
      <c r="H109">
        <f>IF('Extra 1'!$A109="","",'Extra 1'!P109)</f>
        <v/>
      </c>
      <c r="I109">
        <f>IF('Extra 1'!$A109="","",'Extra 1'!M109)</f>
        <v/>
      </c>
      <c r="J109" s="7">
        <f>IF('Extra 1'!$A109="","",'Extra 1'!Q109)</f>
        <v/>
      </c>
      <c r="K109" s="7">
        <f>IF('Extra 1'!$A109="","",'Extra 1'!H109)</f>
        <v/>
      </c>
      <c r="L109" s="7">
        <f>IF('Extra 1'!$A109="","",'Extra 1'!T109)</f>
        <v/>
      </c>
      <c r="M109">
        <f>IF('Extra 1'!$A109="","",'Extra 1'!G109)</f>
        <v/>
      </c>
    </row>
    <row r="110">
      <c r="A110">
        <f>IF('Extra 1'!$A110="","",ROWS($A$2:$A110))</f>
        <v/>
      </c>
      <c r="B110">
        <f>IF('Extra 1'!$A110="","",'Extra 1'!E110)</f>
        <v/>
      </c>
      <c r="C110">
        <f>IF('Extra 1'!$A110="","",'Extra 1'!F110)</f>
        <v/>
      </c>
      <c r="D110" s="14">
        <f>IF('Extra 1'!$A110="","",'Extra 1'!I110)</f>
        <v/>
      </c>
      <c r="E110" s="7">
        <f>IF('Extra 1'!$A110="","",'Extra 1'!O110)</f>
        <v/>
      </c>
      <c r="F110" s="7">
        <f>IF('Extra 1'!$A110="","",'Extra 1'!L110)</f>
        <v/>
      </c>
      <c r="G110" s="7">
        <f>IF('Extra 1'!$A110="","",'Extra 1'!S110)</f>
        <v/>
      </c>
      <c r="H110">
        <f>IF('Extra 1'!$A110="","",'Extra 1'!P110)</f>
        <v/>
      </c>
      <c r="I110">
        <f>IF('Extra 1'!$A110="","",'Extra 1'!M110)</f>
        <v/>
      </c>
      <c r="J110" s="7">
        <f>IF('Extra 1'!$A110="","",'Extra 1'!Q110)</f>
        <v/>
      </c>
      <c r="K110" s="7">
        <f>IF('Extra 1'!$A110="","",'Extra 1'!H110)</f>
        <v/>
      </c>
      <c r="L110" s="7">
        <f>IF('Extra 1'!$A110="","",'Extra 1'!T110)</f>
        <v/>
      </c>
      <c r="M110">
        <f>IF('Extra 1'!$A110="","",'Extra 1'!G110)</f>
        <v/>
      </c>
    </row>
    <row r="111">
      <c r="A111">
        <f>IF('Extra 1'!$A111="","",ROWS($A$2:$A111))</f>
        <v/>
      </c>
      <c r="B111">
        <f>IF('Extra 1'!$A111="","",'Extra 1'!E111)</f>
        <v/>
      </c>
      <c r="C111">
        <f>IF('Extra 1'!$A111="","",'Extra 1'!F111)</f>
        <v/>
      </c>
      <c r="D111" s="14">
        <f>IF('Extra 1'!$A111="","",'Extra 1'!I111)</f>
        <v/>
      </c>
      <c r="E111" s="7">
        <f>IF('Extra 1'!$A111="","",'Extra 1'!O111)</f>
        <v/>
      </c>
      <c r="F111" s="7">
        <f>IF('Extra 1'!$A111="","",'Extra 1'!L111)</f>
        <v/>
      </c>
      <c r="G111" s="7">
        <f>IF('Extra 1'!$A111="","",'Extra 1'!S111)</f>
        <v/>
      </c>
      <c r="H111">
        <f>IF('Extra 1'!$A111="","",'Extra 1'!P111)</f>
        <v/>
      </c>
      <c r="I111">
        <f>IF('Extra 1'!$A111="","",'Extra 1'!M111)</f>
        <v/>
      </c>
      <c r="J111" s="7">
        <f>IF('Extra 1'!$A111="","",'Extra 1'!Q111)</f>
        <v/>
      </c>
      <c r="K111" s="7">
        <f>IF('Extra 1'!$A111="","",'Extra 1'!H111)</f>
        <v/>
      </c>
      <c r="L111" s="7">
        <f>IF('Extra 1'!$A111="","",'Extra 1'!T111)</f>
        <v/>
      </c>
      <c r="M111">
        <f>IF('Extra 1'!$A111="","",'Extra 1'!G111)</f>
        <v/>
      </c>
    </row>
    <row r="112">
      <c r="A112">
        <f>IF('Extra 1'!$A112="","",ROWS($A$2:$A112))</f>
        <v/>
      </c>
      <c r="B112">
        <f>IF('Extra 1'!$A112="","",'Extra 1'!E112)</f>
        <v/>
      </c>
      <c r="C112">
        <f>IF('Extra 1'!$A112="","",'Extra 1'!F112)</f>
        <v/>
      </c>
      <c r="D112" s="14">
        <f>IF('Extra 1'!$A112="","",'Extra 1'!I112)</f>
        <v/>
      </c>
      <c r="E112" s="7">
        <f>IF('Extra 1'!$A112="","",'Extra 1'!O112)</f>
        <v/>
      </c>
      <c r="F112" s="7">
        <f>IF('Extra 1'!$A112="","",'Extra 1'!L112)</f>
        <v/>
      </c>
      <c r="G112" s="7">
        <f>IF('Extra 1'!$A112="","",'Extra 1'!S112)</f>
        <v/>
      </c>
      <c r="H112">
        <f>IF('Extra 1'!$A112="","",'Extra 1'!P112)</f>
        <v/>
      </c>
      <c r="I112">
        <f>IF('Extra 1'!$A112="","",'Extra 1'!M112)</f>
        <v/>
      </c>
      <c r="J112" s="7">
        <f>IF('Extra 1'!$A112="","",'Extra 1'!Q112)</f>
        <v/>
      </c>
      <c r="K112" s="7">
        <f>IF('Extra 1'!$A112="","",'Extra 1'!H112)</f>
        <v/>
      </c>
      <c r="L112" s="7">
        <f>IF('Extra 1'!$A112="","",'Extra 1'!T112)</f>
        <v/>
      </c>
      <c r="M112">
        <f>IF('Extra 1'!$A112="","",'Extra 1'!G112)</f>
        <v/>
      </c>
    </row>
    <row r="113">
      <c r="A113">
        <f>IF('Extra 1'!$A113="","",ROWS($A$2:$A113))</f>
        <v/>
      </c>
      <c r="B113">
        <f>IF('Extra 1'!$A113="","",'Extra 1'!E113)</f>
        <v/>
      </c>
      <c r="C113">
        <f>IF('Extra 1'!$A113="","",'Extra 1'!F113)</f>
        <v/>
      </c>
      <c r="D113" s="14">
        <f>IF('Extra 1'!$A113="","",'Extra 1'!I113)</f>
        <v/>
      </c>
      <c r="E113" s="7">
        <f>IF('Extra 1'!$A113="","",'Extra 1'!O113)</f>
        <v/>
      </c>
      <c r="F113" s="7">
        <f>IF('Extra 1'!$A113="","",'Extra 1'!L113)</f>
        <v/>
      </c>
      <c r="G113" s="7">
        <f>IF('Extra 1'!$A113="","",'Extra 1'!S113)</f>
        <v/>
      </c>
      <c r="H113">
        <f>IF('Extra 1'!$A113="","",'Extra 1'!P113)</f>
        <v/>
      </c>
      <c r="I113">
        <f>IF('Extra 1'!$A113="","",'Extra 1'!M113)</f>
        <v/>
      </c>
      <c r="J113" s="7">
        <f>IF('Extra 1'!$A113="","",'Extra 1'!Q113)</f>
        <v/>
      </c>
      <c r="K113" s="7">
        <f>IF('Extra 1'!$A113="","",'Extra 1'!H113)</f>
        <v/>
      </c>
      <c r="L113" s="7">
        <f>IF('Extra 1'!$A113="","",'Extra 1'!T113)</f>
        <v/>
      </c>
      <c r="M113">
        <f>IF('Extra 1'!$A113="","",'Extra 1'!G113)</f>
        <v/>
      </c>
    </row>
    <row r="114">
      <c r="A114">
        <f>IF('Extra 1'!$A114="","",ROWS($A$2:$A114))</f>
        <v/>
      </c>
      <c r="B114">
        <f>IF('Extra 1'!$A114="","",'Extra 1'!E114)</f>
        <v/>
      </c>
      <c r="C114">
        <f>IF('Extra 1'!$A114="","",'Extra 1'!F114)</f>
        <v/>
      </c>
      <c r="D114" s="14">
        <f>IF('Extra 1'!$A114="","",'Extra 1'!I114)</f>
        <v/>
      </c>
      <c r="E114" s="7">
        <f>IF('Extra 1'!$A114="","",'Extra 1'!O114)</f>
        <v/>
      </c>
      <c r="F114" s="7">
        <f>IF('Extra 1'!$A114="","",'Extra 1'!L114)</f>
        <v/>
      </c>
      <c r="G114" s="7">
        <f>IF('Extra 1'!$A114="","",'Extra 1'!S114)</f>
        <v/>
      </c>
      <c r="H114">
        <f>IF('Extra 1'!$A114="","",'Extra 1'!P114)</f>
        <v/>
      </c>
      <c r="I114">
        <f>IF('Extra 1'!$A114="","",'Extra 1'!M114)</f>
        <v/>
      </c>
      <c r="J114" s="7">
        <f>IF('Extra 1'!$A114="","",'Extra 1'!Q114)</f>
        <v/>
      </c>
      <c r="K114" s="7">
        <f>IF('Extra 1'!$A114="","",'Extra 1'!H114)</f>
        <v/>
      </c>
      <c r="L114" s="7">
        <f>IF('Extra 1'!$A114="","",'Extra 1'!T114)</f>
        <v/>
      </c>
      <c r="M114">
        <f>IF('Extra 1'!$A114="","",'Extra 1'!G114)</f>
        <v/>
      </c>
    </row>
    <row r="115">
      <c r="A115">
        <f>IF('Extra 1'!$A115="","",ROWS($A$2:$A115))</f>
        <v/>
      </c>
      <c r="B115">
        <f>IF('Extra 1'!$A115="","",'Extra 1'!E115)</f>
        <v/>
      </c>
      <c r="C115">
        <f>IF('Extra 1'!$A115="","",'Extra 1'!F115)</f>
        <v/>
      </c>
      <c r="D115" s="14">
        <f>IF('Extra 1'!$A115="","",'Extra 1'!I115)</f>
        <v/>
      </c>
      <c r="E115" s="7">
        <f>IF('Extra 1'!$A115="","",'Extra 1'!O115)</f>
        <v/>
      </c>
      <c r="F115" s="7">
        <f>IF('Extra 1'!$A115="","",'Extra 1'!L115)</f>
        <v/>
      </c>
      <c r="G115" s="7">
        <f>IF('Extra 1'!$A115="","",'Extra 1'!S115)</f>
        <v/>
      </c>
      <c r="H115">
        <f>IF('Extra 1'!$A115="","",'Extra 1'!P115)</f>
        <v/>
      </c>
      <c r="I115">
        <f>IF('Extra 1'!$A115="","",'Extra 1'!M115)</f>
        <v/>
      </c>
      <c r="J115" s="7">
        <f>IF('Extra 1'!$A115="","",'Extra 1'!Q115)</f>
        <v/>
      </c>
      <c r="K115" s="7">
        <f>IF('Extra 1'!$A115="","",'Extra 1'!H115)</f>
        <v/>
      </c>
      <c r="L115" s="7">
        <f>IF('Extra 1'!$A115="","",'Extra 1'!T115)</f>
        <v/>
      </c>
      <c r="M115">
        <f>IF('Extra 1'!$A115="","",'Extra 1'!G115)</f>
        <v/>
      </c>
    </row>
    <row r="116">
      <c r="A116">
        <f>IF('Extra 1'!$A116="","",ROWS($A$2:$A116))</f>
        <v/>
      </c>
      <c r="B116">
        <f>IF('Extra 1'!$A116="","",'Extra 1'!E116)</f>
        <v/>
      </c>
      <c r="C116">
        <f>IF('Extra 1'!$A116="","",'Extra 1'!F116)</f>
        <v/>
      </c>
      <c r="D116" s="14">
        <f>IF('Extra 1'!$A116="","",'Extra 1'!I116)</f>
        <v/>
      </c>
      <c r="E116" s="7">
        <f>IF('Extra 1'!$A116="","",'Extra 1'!O116)</f>
        <v/>
      </c>
      <c r="F116" s="7">
        <f>IF('Extra 1'!$A116="","",'Extra 1'!L116)</f>
        <v/>
      </c>
      <c r="G116" s="7">
        <f>IF('Extra 1'!$A116="","",'Extra 1'!S116)</f>
        <v/>
      </c>
      <c r="H116">
        <f>IF('Extra 1'!$A116="","",'Extra 1'!P116)</f>
        <v/>
      </c>
      <c r="I116">
        <f>IF('Extra 1'!$A116="","",'Extra 1'!M116)</f>
        <v/>
      </c>
      <c r="J116" s="7">
        <f>IF('Extra 1'!$A116="","",'Extra 1'!Q116)</f>
        <v/>
      </c>
      <c r="K116" s="7">
        <f>IF('Extra 1'!$A116="","",'Extra 1'!H116)</f>
        <v/>
      </c>
      <c r="L116" s="7">
        <f>IF('Extra 1'!$A116="","",'Extra 1'!T116)</f>
        <v/>
      </c>
      <c r="M116">
        <f>IF('Extra 1'!$A116="","",'Extra 1'!G116)</f>
        <v/>
      </c>
    </row>
    <row r="117">
      <c r="A117">
        <f>IF('Extra 1'!$A117="","",ROWS($A$2:$A117))</f>
        <v/>
      </c>
      <c r="B117">
        <f>IF('Extra 1'!$A117="","",'Extra 1'!E117)</f>
        <v/>
      </c>
      <c r="C117">
        <f>IF('Extra 1'!$A117="","",'Extra 1'!F117)</f>
        <v/>
      </c>
      <c r="D117" s="14">
        <f>IF('Extra 1'!$A117="","",'Extra 1'!I117)</f>
        <v/>
      </c>
      <c r="E117" s="7">
        <f>IF('Extra 1'!$A117="","",'Extra 1'!O117)</f>
        <v/>
      </c>
      <c r="F117" s="7">
        <f>IF('Extra 1'!$A117="","",'Extra 1'!L117)</f>
        <v/>
      </c>
      <c r="G117" s="7">
        <f>IF('Extra 1'!$A117="","",'Extra 1'!S117)</f>
        <v/>
      </c>
      <c r="H117">
        <f>IF('Extra 1'!$A117="","",'Extra 1'!P117)</f>
        <v/>
      </c>
      <c r="I117">
        <f>IF('Extra 1'!$A117="","",'Extra 1'!M117)</f>
        <v/>
      </c>
      <c r="J117" s="7">
        <f>IF('Extra 1'!$A117="","",'Extra 1'!Q117)</f>
        <v/>
      </c>
      <c r="K117" s="7">
        <f>IF('Extra 1'!$A117="","",'Extra 1'!H117)</f>
        <v/>
      </c>
      <c r="L117" s="7">
        <f>IF('Extra 1'!$A117="","",'Extra 1'!T117)</f>
        <v/>
      </c>
      <c r="M117">
        <f>IF('Extra 1'!$A117="","",'Extra 1'!G117)</f>
        <v/>
      </c>
    </row>
    <row r="118">
      <c r="A118">
        <f>IF('Extra 1'!$A118="","",ROWS($A$2:$A118))</f>
        <v/>
      </c>
      <c r="B118">
        <f>IF('Extra 1'!$A118="","",'Extra 1'!E118)</f>
        <v/>
      </c>
      <c r="C118">
        <f>IF('Extra 1'!$A118="","",'Extra 1'!F118)</f>
        <v/>
      </c>
      <c r="D118" s="14">
        <f>IF('Extra 1'!$A118="","",'Extra 1'!I118)</f>
        <v/>
      </c>
      <c r="E118" s="7">
        <f>IF('Extra 1'!$A118="","",'Extra 1'!O118)</f>
        <v/>
      </c>
      <c r="F118" s="7">
        <f>IF('Extra 1'!$A118="","",'Extra 1'!L118)</f>
        <v/>
      </c>
      <c r="G118" s="7">
        <f>IF('Extra 1'!$A118="","",'Extra 1'!S118)</f>
        <v/>
      </c>
      <c r="H118">
        <f>IF('Extra 1'!$A118="","",'Extra 1'!P118)</f>
        <v/>
      </c>
      <c r="I118">
        <f>IF('Extra 1'!$A118="","",'Extra 1'!M118)</f>
        <v/>
      </c>
      <c r="J118" s="7">
        <f>IF('Extra 1'!$A118="","",'Extra 1'!Q118)</f>
        <v/>
      </c>
      <c r="K118" s="7">
        <f>IF('Extra 1'!$A118="","",'Extra 1'!H118)</f>
        <v/>
      </c>
      <c r="L118" s="7">
        <f>IF('Extra 1'!$A118="","",'Extra 1'!T118)</f>
        <v/>
      </c>
      <c r="M118">
        <f>IF('Extra 1'!$A118="","",'Extra 1'!G118)</f>
        <v/>
      </c>
    </row>
    <row r="119">
      <c r="A119">
        <f>IF('Extra 1'!$A119="","",ROWS($A$2:$A119))</f>
        <v/>
      </c>
      <c r="B119">
        <f>IF('Extra 1'!$A119="","",'Extra 1'!E119)</f>
        <v/>
      </c>
      <c r="C119">
        <f>IF('Extra 1'!$A119="","",'Extra 1'!F119)</f>
        <v/>
      </c>
      <c r="D119" s="14">
        <f>IF('Extra 1'!$A119="","",'Extra 1'!I119)</f>
        <v/>
      </c>
      <c r="E119" s="7">
        <f>IF('Extra 1'!$A119="","",'Extra 1'!O119)</f>
        <v/>
      </c>
      <c r="F119" s="7">
        <f>IF('Extra 1'!$A119="","",'Extra 1'!L119)</f>
        <v/>
      </c>
      <c r="G119" s="7">
        <f>IF('Extra 1'!$A119="","",'Extra 1'!S119)</f>
        <v/>
      </c>
      <c r="H119">
        <f>IF('Extra 1'!$A119="","",'Extra 1'!P119)</f>
        <v/>
      </c>
      <c r="I119">
        <f>IF('Extra 1'!$A119="","",'Extra 1'!M119)</f>
        <v/>
      </c>
      <c r="J119" s="7">
        <f>IF('Extra 1'!$A119="","",'Extra 1'!Q119)</f>
        <v/>
      </c>
      <c r="K119" s="7">
        <f>IF('Extra 1'!$A119="","",'Extra 1'!H119)</f>
        <v/>
      </c>
      <c r="L119" s="7">
        <f>IF('Extra 1'!$A119="","",'Extra 1'!T119)</f>
        <v/>
      </c>
      <c r="M119">
        <f>IF('Extra 1'!$A119="","",'Extra 1'!G119)</f>
        <v/>
      </c>
    </row>
    <row r="120">
      <c r="A120">
        <f>IF('Extra 1'!$A120="","",ROWS($A$2:$A120))</f>
        <v/>
      </c>
      <c r="B120">
        <f>IF('Extra 1'!$A120="","",'Extra 1'!E120)</f>
        <v/>
      </c>
      <c r="C120">
        <f>IF('Extra 1'!$A120="","",'Extra 1'!F120)</f>
        <v/>
      </c>
      <c r="D120" s="14">
        <f>IF('Extra 1'!$A120="","",'Extra 1'!I120)</f>
        <v/>
      </c>
      <c r="E120" s="7">
        <f>IF('Extra 1'!$A120="","",'Extra 1'!O120)</f>
        <v/>
      </c>
      <c r="F120" s="7">
        <f>IF('Extra 1'!$A120="","",'Extra 1'!L120)</f>
        <v/>
      </c>
      <c r="G120" s="7">
        <f>IF('Extra 1'!$A120="","",'Extra 1'!S120)</f>
        <v/>
      </c>
      <c r="H120">
        <f>IF('Extra 1'!$A120="","",'Extra 1'!P120)</f>
        <v/>
      </c>
      <c r="I120">
        <f>IF('Extra 1'!$A120="","",'Extra 1'!M120)</f>
        <v/>
      </c>
      <c r="J120" s="7">
        <f>IF('Extra 1'!$A120="","",'Extra 1'!Q120)</f>
        <v/>
      </c>
      <c r="K120" s="7">
        <f>IF('Extra 1'!$A120="","",'Extra 1'!H120)</f>
        <v/>
      </c>
      <c r="L120" s="7">
        <f>IF('Extra 1'!$A120="","",'Extra 1'!T120)</f>
        <v/>
      </c>
      <c r="M120">
        <f>IF('Extra 1'!$A120="","",'Extra 1'!G120)</f>
        <v/>
      </c>
    </row>
    <row r="121">
      <c r="A121">
        <f>IF('Extra 1'!$A121="","",ROWS($A$2:$A121))</f>
        <v/>
      </c>
      <c r="B121">
        <f>IF('Extra 1'!$A121="","",'Extra 1'!E121)</f>
        <v/>
      </c>
      <c r="C121">
        <f>IF('Extra 1'!$A121="","",'Extra 1'!F121)</f>
        <v/>
      </c>
      <c r="D121" s="14">
        <f>IF('Extra 1'!$A121="","",'Extra 1'!I121)</f>
        <v/>
      </c>
      <c r="E121" s="7">
        <f>IF('Extra 1'!$A121="","",'Extra 1'!O121)</f>
        <v/>
      </c>
      <c r="F121" s="7">
        <f>IF('Extra 1'!$A121="","",'Extra 1'!L121)</f>
        <v/>
      </c>
      <c r="G121" s="7">
        <f>IF('Extra 1'!$A121="","",'Extra 1'!S121)</f>
        <v/>
      </c>
      <c r="H121">
        <f>IF('Extra 1'!$A121="","",'Extra 1'!P121)</f>
        <v/>
      </c>
      <c r="I121">
        <f>IF('Extra 1'!$A121="","",'Extra 1'!M121)</f>
        <v/>
      </c>
      <c r="J121" s="7">
        <f>IF('Extra 1'!$A121="","",'Extra 1'!Q121)</f>
        <v/>
      </c>
      <c r="K121" s="7">
        <f>IF('Extra 1'!$A121="","",'Extra 1'!H121)</f>
        <v/>
      </c>
      <c r="L121" s="7">
        <f>IF('Extra 1'!$A121="","",'Extra 1'!T121)</f>
        <v/>
      </c>
      <c r="M121">
        <f>IF('Extra 1'!$A121="","",'Extra 1'!G121)</f>
        <v/>
      </c>
    </row>
    <row r="122">
      <c r="A122">
        <f>IF('Extra 1'!$A122="","",ROWS($A$2:$A122))</f>
        <v/>
      </c>
      <c r="B122">
        <f>IF('Extra 1'!$A122="","",'Extra 1'!E122)</f>
        <v/>
      </c>
      <c r="C122">
        <f>IF('Extra 1'!$A122="","",'Extra 1'!F122)</f>
        <v/>
      </c>
      <c r="D122" s="14">
        <f>IF('Extra 1'!$A122="","",'Extra 1'!I122)</f>
        <v/>
      </c>
      <c r="E122" s="7">
        <f>IF('Extra 1'!$A122="","",'Extra 1'!O122)</f>
        <v/>
      </c>
      <c r="F122" s="7">
        <f>IF('Extra 1'!$A122="","",'Extra 1'!L122)</f>
        <v/>
      </c>
      <c r="G122" s="7">
        <f>IF('Extra 1'!$A122="","",'Extra 1'!S122)</f>
        <v/>
      </c>
      <c r="H122">
        <f>IF('Extra 1'!$A122="","",'Extra 1'!P122)</f>
        <v/>
      </c>
      <c r="I122">
        <f>IF('Extra 1'!$A122="","",'Extra 1'!M122)</f>
        <v/>
      </c>
      <c r="J122" s="7">
        <f>IF('Extra 1'!$A122="","",'Extra 1'!Q122)</f>
        <v/>
      </c>
      <c r="K122" s="7">
        <f>IF('Extra 1'!$A122="","",'Extra 1'!H122)</f>
        <v/>
      </c>
      <c r="L122" s="7">
        <f>IF('Extra 1'!$A122="","",'Extra 1'!T122)</f>
        <v/>
      </c>
      <c r="M122">
        <f>IF('Extra 1'!$A122="","",'Extra 1'!G122)</f>
        <v/>
      </c>
    </row>
    <row r="123">
      <c r="A123">
        <f>IF('Extra 1'!$A123="","",ROWS($A$2:$A123))</f>
        <v/>
      </c>
      <c r="B123">
        <f>IF('Extra 1'!$A123="","",'Extra 1'!E123)</f>
        <v/>
      </c>
      <c r="C123">
        <f>IF('Extra 1'!$A123="","",'Extra 1'!F123)</f>
        <v/>
      </c>
      <c r="D123" s="14">
        <f>IF('Extra 1'!$A123="","",'Extra 1'!I123)</f>
        <v/>
      </c>
      <c r="E123" s="7">
        <f>IF('Extra 1'!$A123="","",'Extra 1'!O123)</f>
        <v/>
      </c>
      <c r="F123" s="7">
        <f>IF('Extra 1'!$A123="","",'Extra 1'!L123)</f>
        <v/>
      </c>
      <c r="G123" s="7">
        <f>IF('Extra 1'!$A123="","",'Extra 1'!S123)</f>
        <v/>
      </c>
      <c r="H123">
        <f>IF('Extra 1'!$A123="","",'Extra 1'!P123)</f>
        <v/>
      </c>
      <c r="I123">
        <f>IF('Extra 1'!$A123="","",'Extra 1'!M123)</f>
        <v/>
      </c>
      <c r="J123" s="7">
        <f>IF('Extra 1'!$A123="","",'Extra 1'!Q123)</f>
        <v/>
      </c>
      <c r="K123" s="7">
        <f>IF('Extra 1'!$A123="","",'Extra 1'!H123)</f>
        <v/>
      </c>
      <c r="L123" s="7">
        <f>IF('Extra 1'!$A123="","",'Extra 1'!T123)</f>
        <v/>
      </c>
      <c r="M123">
        <f>IF('Extra 1'!$A123="","",'Extra 1'!G123)</f>
        <v/>
      </c>
    </row>
    <row r="124">
      <c r="A124">
        <f>IF('Extra 1'!$A124="","",ROWS($A$2:$A124))</f>
        <v/>
      </c>
      <c r="B124">
        <f>IF('Extra 1'!$A124="","",'Extra 1'!E124)</f>
        <v/>
      </c>
      <c r="C124">
        <f>IF('Extra 1'!$A124="","",'Extra 1'!F124)</f>
        <v/>
      </c>
      <c r="D124" s="14">
        <f>IF('Extra 1'!$A124="","",'Extra 1'!I124)</f>
        <v/>
      </c>
      <c r="E124" s="7">
        <f>IF('Extra 1'!$A124="","",'Extra 1'!O124)</f>
        <v/>
      </c>
      <c r="F124" s="7">
        <f>IF('Extra 1'!$A124="","",'Extra 1'!L124)</f>
        <v/>
      </c>
      <c r="G124" s="7">
        <f>IF('Extra 1'!$A124="","",'Extra 1'!S124)</f>
        <v/>
      </c>
      <c r="H124">
        <f>IF('Extra 1'!$A124="","",'Extra 1'!P124)</f>
        <v/>
      </c>
      <c r="I124">
        <f>IF('Extra 1'!$A124="","",'Extra 1'!M124)</f>
        <v/>
      </c>
      <c r="J124" s="7">
        <f>IF('Extra 1'!$A124="","",'Extra 1'!Q124)</f>
        <v/>
      </c>
      <c r="K124" s="7">
        <f>IF('Extra 1'!$A124="","",'Extra 1'!H124)</f>
        <v/>
      </c>
      <c r="L124" s="7">
        <f>IF('Extra 1'!$A124="","",'Extra 1'!T124)</f>
        <v/>
      </c>
      <c r="M124">
        <f>IF('Extra 1'!$A124="","",'Extra 1'!G124)</f>
        <v/>
      </c>
    </row>
    <row r="125">
      <c r="A125">
        <f>IF('Extra 1'!$A125="","",ROWS($A$2:$A125))</f>
        <v/>
      </c>
      <c r="B125">
        <f>IF('Extra 1'!$A125="","",'Extra 1'!E125)</f>
        <v/>
      </c>
      <c r="C125">
        <f>IF('Extra 1'!$A125="","",'Extra 1'!F125)</f>
        <v/>
      </c>
      <c r="D125" s="14">
        <f>IF('Extra 1'!$A125="","",'Extra 1'!I125)</f>
        <v/>
      </c>
      <c r="E125" s="7">
        <f>IF('Extra 1'!$A125="","",'Extra 1'!O125)</f>
        <v/>
      </c>
      <c r="F125" s="7">
        <f>IF('Extra 1'!$A125="","",'Extra 1'!L125)</f>
        <v/>
      </c>
      <c r="G125" s="7">
        <f>IF('Extra 1'!$A125="","",'Extra 1'!S125)</f>
        <v/>
      </c>
      <c r="H125">
        <f>IF('Extra 1'!$A125="","",'Extra 1'!P125)</f>
        <v/>
      </c>
      <c r="I125">
        <f>IF('Extra 1'!$A125="","",'Extra 1'!M125)</f>
        <v/>
      </c>
      <c r="J125" s="7">
        <f>IF('Extra 1'!$A125="","",'Extra 1'!Q125)</f>
        <v/>
      </c>
      <c r="K125" s="7">
        <f>IF('Extra 1'!$A125="","",'Extra 1'!H125)</f>
        <v/>
      </c>
      <c r="L125" s="7">
        <f>IF('Extra 1'!$A125="","",'Extra 1'!T125)</f>
        <v/>
      </c>
      <c r="M125">
        <f>IF('Extra 1'!$A125="","",'Extra 1'!G125)</f>
        <v/>
      </c>
    </row>
    <row r="126">
      <c r="A126">
        <f>IF('Extra 1'!$A126="","",ROWS($A$2:$A126))</f>
        <v/>
      </c>
      <c r="B126">
        <f>IF('Extra 1'!$A126="","",'Extra 1'!E126)</f>
        <v/>
      </c>
      <c r="C126">
        <f>IF('Extra 1'!$A126="","",'Extra 1'!F126)</f>
        <v/>
      </c>
      <c r="D126" s="14">
        <f>IF('Extra 1'!$A126="","",'Extra 1'!I126)</f>
        <v/>
      </c>
      <c r="E126" s="7">
        <f>IF('Extra 1'!$A126="","",'Extra 1'!O126)</f>
        <v/>
      </c>
      <c r="F126" s="7">
        <f>IF('Extra 1'!$A126="","",'Extra 1'!L126)</f>
        <v/>
      </c>
      <c r="G126" s="7">
        <f>IF('Extra 1'!$A126="","",'Extra 1'!S126)</f>
        <v/>
      </c>
      <c r="H126">
        <f>IF('Extra 1'!$A126="","",'Extra 1'!P126)</f>
        <v/>
      </c>
      <c r="I126">
        <f>IF('Extra 1'!$A126="","",'Extra 1'!M126)</f>
        <v/>
      </c>
      <c r="J126" s="7">
        <f>IF('Extra 1'!$A126="","",'Extra 1'!Q126)</f>
        <v/>
      </c>
      <c r="K126" s="7">
        <f>IF('Extra 1'!$A126="","",'Extra 1'!H126)</f>
        <v/>
      </c>
      <c r="L126" s="7">
        <f>IF('Extra 1'!$A126="","",'Extra 1'!T126)</f>
        <v/>
      </c>
      <c r="M126">
        <f>IF('Extra 1'!$A126="","",'Extra 1'!G126)</f>
        <v/>
      </c>
    </row>
    <row r="127">
      <c r="A127">
        <f>IF('Extra 1'!$A127="","",ROWS($A$2:$A127))</f>
        <v/>
      </c>
      <c r="B127">
        <f>IF('Extra 1'!$A127="","",'Extra 1'!E127)</f>
        <v/>
      </c>
      <c r="C127">
        <f>IF('Extra 1'!$A127="","",'Extra 1'!F127)</f>
        <v/>
      </c>
      <c r="D127" s="14">
        <f>IF('Extra 1'!$A127="","",'Extra 1'!I127)</f>
        <v/>
      </c>
      <c r="E127" s="7">
        <f>IF('Extra 1'!$A127="","",'Extra 1'!O127)</f>
        <v/>
      </c>
      <c r="F127" s="7">
        <f>IF('Extra 1'!$A127="","",'Extra 1'!L127)</f>
        <v/>
      </c>
      <c r="G127" s="7">
        <f>IF('Extra 1'!$A127="","",'Extra 1'!S127)</f>
        <v/>
      </c>
      <c r="H127">
        <f>IF('Extra 1'!$A127="","",'Extra 1'!P127)</f>
        <v/>
      </c>
      <c r="I127">
        <f>IF('Extra 1'!$A127="","",'Extra 1'!M127)</f>
        <v/>
      </c>
      <c r="J127" s="7">
        <f>IF('Extra 1'!$A127="","",'Extra 1'!Q127)</f>
        <v/>
      </c>
      <c r="K127" s="7">
        <f>IF('Extra 1'!$A127="","",'Extra 1'!H127)</f>
        <v/>
      </c>
      <c r="L127" s="7">
        <f>IF('Extra 1'!$A127="","",'Extra 1'!T127)</f>
        <v/>
      </c>
      <c r="M127">
        <f>IF('Extra 1'!$A127="","",'Extra 1'!G127)</f>
        <v/>
      </c>
    </row>
    <row r="128">
      <c r="A128">
        <f>IF('Extra 1'!$A128="","",ROWS($A$2:$A128))</f>
        <v/>
      </c>
      <c r="B128">
        <f>IF('Extra 1'!$A128="","",'Extra 1'!E128)</f>
        <v/>
      </c>
      <c r="C128">
        <f>IF('Extra 1'!$A128="","",'Extra 1'!F128)</f>
        <v/>
      </c>
      <c r="D128" s="14">
        <f>IF('Extra 1'!$A128="","",'Extra 1'!I128)</f>
        <v/>
      </c>
      <c r="E128" s="7">
        <f>IF('Extra 1'!$A128="","",'Extra 1'!O128)</f>
        <v/>
      </c>
      <c r="F128" s="7">
        <f>IF('Extra 1'!$A128="","",'Extra 1'!L128)</f>
        <v/>
      </c>
      <c r="G128" s="7">
        <f>IF('Extra 1'!$A128="","",'Extra 1'!S128)</f>
        <v/>
      </c>
      <c r="H128">
        <f>IF('Extra 1'!$A128="","",'Extra 1'!P128)</f>
        <v/>
      </c>
      <c r="I128">
        <f>IF('Extra 1'!$A128="","",'Extra 1'!M128)</f>
        <v/>
      </c>
      <c r="J128" s="7">
        <f>IF('Extra 1'!$A128="","",'Extra 1'!Q128)</f>
        <v/>
      </c>
      <c r="K128" s="7">
        <f>IF('Extra 1'!$A128="","",'Extra 1'!H128)</f>
        <v/>
      </c>
      <c r="L128" s="7">
        <f>IF('Extra 1'!$A128="","",'Extra 1'!T128)</f>
        <v/>
      </c>
      <c r="M128">
        <f>IF('Extra 1'!$A128="","",'Extra 1'!G128)</f>
        <v/>
      </c>
    </row>
    <row r="129">
      <c r="A129">
        <f>IF('Extra 1'!$A129="","",ROWS($A$2:$A129))</f>
        <v/>
      </c>
      <c r="B129">
        <f>IF('Extra 1'!$A129="","",'Extra 1'!E129)</f>
        <v/>
      </c>
      <c r="C129">
        <f>IF('Extra 1'!$A129="","",'Extra 1'!F129)</f>
        <v/>
      </c>
      <c r="D129" s="14">
        <f>IF('Extra 1'!$A129="","",'Extra 1'!I129)</f>
        <v/>
      </c>
      <c r="E129" s="7">
        <f>IF('Extra 1'!$A129="","",'Extra 1'!O129)</f>
        <v/>
      </c>
      <c r="F129" s="7">
        <f>IF('Extra 1'!$A129="","",'Extra 1'!L129)</f>
        <v/>
      </c>
      <c r="G129" s="7">
        <f>IF('Extra 1'!$A129="","",'Extra 1'!S129)</f>
        <v/>
      </c>
      <c r="H129">
        <f>IF('Extra 1'!$A129="","",'Extra 1'!P129)</f>
        <v/>
      </c>
      <c r="I129">
        <f>IF('Extra 1'!$A129="","",'Extra 1'!M129)</f>
        <v/>
      </c>
      <c r="J129" s="7">
        <f>IF('Extra 1'!$A129="","",'Extra 1'!Q129)</f>
        <v/>
      </c>
      <c r="K129" s="7">
        <f>IF('Extra 1'!$A129="","",'Extra 1'!H129)</f>
        <v/>
      </c>
      <c r="L129" s="7">
        <f>IF('Extra 1'!$A129="","",'Extra 1'!T129)</f>
        <v/>
      </c>
      <c r="M129">
        <f>IF('Extra 1'!$A129="","",'Extra 1'!G129)</f>
        <v/>
      </c>
    </row>
    <row r="130">
      <c r="A130">
        <f>IF('Extra 1'!$A130="","",ROWS($A$2:$A130))</f>
        <v/>
      </c>
      <c r="B130">
        <f>IF('Extra 1'!$A130="","",'Extra 1'!E130)</f>
        <v/>
      </c>
      <c r="C130">
        <f>IF('Extra 1'!$A130="","",'Extra 1'!F130)</f>
        <v/>
      </c>
      <c r="D130" s="14">
        <f>IF('Extra 1'!$A130="","",'Extra 1'!I130)</f>
        <v/>
      </c>
      <c r="E130" s="7">
        <f>IF('Extra 1'!$A130="","",'Extra 1'!O130)</f>
        <v/>
      </c>
      <c r="F130" s="7">
        <f>IF('Extra 1'!$A130="","",'Extra 1'!L130)</f>
        <v/>
      </c>
      <c r="G130" s="7">
        <f>IF('Extra 1'!$A130="","",'Extra 1'!S130)</f>
        <v/>
      </c>
      <c r="H130">
        <f>IF('Extra 1'!$A130="","",'Extra 1'!P130)</f>
        <v/>
      </c>
      <c r="I130">
        <f>IF('Extra 1'!$A130="","",'Extra 1'!M130)</f>
        <v/>
      </c>
      <c r="J130" s="7">
        <f>IF('Extra 1'!$A130="","",'Extra 1'!Q130)</f>
        <v/>
      </c>
      <c r="K130" s="7">
        <f>IF('Extra 1'!$A130="","",'Extra 1'!H130)</f>
        <v/>
      </c>
      <c r="L130" s="7">
        <f>IF('Extra 1'!$A130="","",'Extra 1'!T130)</f>
        <v/>
      </c>
      <c r="M130">
        <f>IF('Extra 1'!$A130="","",'Extra 1'!G130)</f>
        <v/>
      </c>
    </row>
    <row r="131">
      <c r="A131">
        <f>IF('Extra 1'!$A131="","",ROWS($A$2:$A131))</f>
        <v/>
      </c>
      <c r="B131">
        <f>IF('Extra 1'!$A131="","",'Extra 1'!E131)</f>
        <v/>
      </c>
      <c r="C131">
        <f>IF('Extra 1'!$A131="","",'Extra 1'!F131)</f>
        <v/>
      </c>
      <c r="D131" s="14">
        <f>IF('Extra 1'!$A131="","",'Extra 1'!I131)</f>
        <v/>
      </c>
      <c r="E131" s="7">
        <f>IF('Extra 1'!$A131="","",'Extra 1'!O131)</f>
        <v/>
      </c>
      <c r="F131" s="7">
        <f>IF('Extra 1'!$A131="","",'Extra 1'!L131)</f>
        <v/>
      </c>
      <c r="G131" s="7">
        <f>IF('Extra 1'!$A131="","",'Extra 1'!S131)</f>
        <v/>
      </c>
      <c r="H131">
        <f>IF('Extra 1'!$A131="","",'Extra 1'!P131)</f>
        <v/>
      </c>
      <c r="I131">
        <f>IF('Extra 1'!$A131="","",'Extra 1'!M131)</f>
        <v/>
      </c>
      <c r="J131" s="7">
        <f>IF('Extra 1'!$A131="","",'Extra 1'!Q131)</f>
        <v/>
      </c>
      <c r="K131" s="7">
        <f>IF('Extra 1'!$A131="","",'Extra 1'!H131)</f>
        <v/>
      </c>
      <c r="L131" s="7">
        <f>IF('Extra 1'!$A131="","",'Extra 1'!T131)</f>
        <v/>
      </c>
      <c r="M131">
        <f>IF('Extra 1'!$A131="","",'Extra 1'!G131)</f>
        <v/>
      </c>
    </row>
    <row r="132">
      <c r="A132">
        <f>IF('Extra 1'!$A132="","",ROWS($A$2:$A132))</f>
        <v/>
      </c>
      <c r="B132">
        <f>IF('Extra 1'!$A132="","",'Extra 1'!E132)</f>
        <v/>
      </c>
      <c r="C132">
        <f>IF('Extra 1'!$A132="","",'Extra 1'!F132)</f>
        <v/>
      </c>
      <c r="D132" s="14">
        <f>IF('Extra 1'!$A132="","",'Extra 1'!I132)</f>
        <v/>
      </c>
      <c r="E132" s="7">
        <f>IF('Extra 1'!$A132="","",'Extra 1'!O132)</f>
        <v/>
      </c>
      <c r="F132" s="7">
        <f>IF('Extra 1'!$A132="","",'Extra 1'!L132)</f>
        <v/>
      </c>
      <c r="G132" s="7">
        <f>IF('Extra 1'!$A132="","",'Extra 1'!S132)</f>
        <v/>
      </c>
      <c r="H132">
        <f>IF('Extra 1'!$A132="","",'Extra 1'!P132)</f>
        <v/>
      </c>
      <c r="I132">
        <f>IF('Extra 1'!$A132="","",'Extra 1'!M132)</f>
        <v/>
      </c>
      <c r="J132" s="7">
        <f>IF('Extra 1'!$A132="","",'Extra 1'!Q132)</f>
        <v/>
      </c>
      <c r="K132" s="7">
        <f>IF('Extra 1'!$A132="","",'Extra 1'!H132)</f>
        <v/>
      </c>
      <c r="L132" s="7">
        <f>IF('Extra 1'!$A132="","",'Extra 1'!T132)</f>
        <v/>
      </c>
      <c r="M132">
        <f>IF('Extra 1'!$A132="","",'Extra 1'!G132)</f>
        <v/>
      </c>
    </row>
    <row r="133">
      <c r="A133">
        <f>IF('Extra 1'!$A133="","",ROWS($A$2:$A133))</f>
        <v/>
      </c>
      <c r="B133">
        <f>IF('Extra 1'!$A133="","",'Extra 1'!E133)</f>
        <v/>
      </c>
      <c r="C133">
        <f>IF('Extra 1'!$A133="","",'Extra 1'!F133)</f>
        <v/>
      </c>
      <c r="D133" s="14">
        <f>IF('Extra 1'!$A133="","",'Extra 1'!I133)</f>
        <v/>
      </c>
      <c r="E133" s="7">
        <f>IF('Extra 1'!$A133="","",'Extra 1'!O133)</f>
        <v/>
      </c>
      <c r="F133" s="7">
        <f>IF('Extra 1'!$A133="","",'Extra 1'!L133)</f>
        <v/>
      </c>
      <c r="G133" s="7">
        <f>IF('Extra 1'!$A133="","",'Extra 1'!S133)</f>
        <v/>
      </c>
      <c r="H133">
        <f>IF('Extra 1'!$A133="","",'Extra 1'!P133)</f>
        <v/>
      </c>
      <c r="I133">
        <f>IF('Extra 1'!$A133="","",'Extra 1'!M133)</f>
        <v/>
      </c>
      <c r="J133" s="7">
        <f>IF('Extra 1'!$A133="","",'Extra 1'!Q133)</f>
        <v/>
      </c>
      <c r="K133" s="7">
        <f>IF('Extra 1'!$A133="","",'Extra 1'!H133)</f>
        <v/>
      </c>
      <c r="L133" s="7">
        <f>IF('Extra 1'!$A133="","",'Extra 1'!T133)</f>
        <v/>
      </c>
      <c r="M133">
        <f>IF('Extra 1'!$A133="","",'Extra 1'!G133)</f>
        <v/>
      </c>
    </row>
    <row r="134">
      <c r="A134">
        <f>IF('Extra 1'!$A134="","",ROWS($A$2:$A134))</f>
        <v/>
      </c>
      <c r="B134">
        <f>IF('Extra 1'!$A134="","",'Extra 1'!E134)</f>
        <v/>
      </c>
      <c r="C134">
        <f>IF('Extra 1'!$A134="","",'Extra 1'!F134)</f>
        <v/>
      </c>
      <c r="D134" s="14">
        <f>IF('Extra 1'!$A134="","",'Extra 1'!I134)</f>
        <v/>
      </c>
      <c r="E134" s="7">
        <f>IF('Extra 1'!$A134="","",'Extra 1'!O134)</f>
        <v/>
      </c>
      <c r="F134" s="7">
        <f>IF('Extra 1'!$A134="","",'Extra 1'!L134)</f>
        <v/>
      </c>
      <c r="G134" s="7">
        <f>IF('Extra 1'!$A134="","",'Extra 1'!S134)</f>
        <v/>
      </c>
      <c r="H134">
        <f>IF('Extra 1'!$A134="","",'Extra 1'!P134)</f>
        <v/>
      </c>
      <c r="I134">
        <f>IF('Extra 1'!$A134="","",'Extra 1'!M134)</f>
        <v/>
      </c>
      <c r="J134" s="7">
        <f>IF('Extra 1'!$A134="","",'Extra 1'!Q134)</f>
        <v/>
      </c>
      <c r="K134" s="7">
        <f>IF('Extra 1'!$A134="","",'Extra 1'!H134)</f>
        <v/>
      </c>
      <c r="L134" s="7">
        <f>IF('Extra 1'!$A134="","",'Extra 1'!T134)</f>
        <v/>
      </c>
      <c r="M134">
        <f>IF('Extra 1'!$A134="","",'Extra 1'!G134)</f>
        <v/>
      </c>
    </row>
    <row r="135">
      <c r="A135">
        <f>IF('Extra 1'!$A135="","",ROWS($A$2:$A135))</f>
        <v/>
      </c>
      <c r="B135">
        <f>IF('Extra 1'!$A135="","",'Extra 1'!E135)</f>
        <v/>
      </c>
      <c r="C135">
        <f>IF('Extra 1'!$A135="","",'Extra 1'!F135)</f>
        <v/>
      </c>
      <c r="D135" s="14">
        <f>IF('Extra 1'!$A135="","",'Extra 1'!I135)</f>
        <v/>
      </c>
      <c r="E135" s="7">
        <f>IF('Extra 1'!$A135="","",'Extra 1'!O135)</f>
        <v/>
      </c>
      <c r="F135" s="7">
        <f>IF('Extra 1'!$A135="","",'Extra 1'!L135)</f>
        <v/>
      </c>
      <c r="G135" s="7">
        <f>IF('Extra 1'!$A135="","",'Extra 1'!S135)</f>
        <v/>
      </c>
      <c r="H135">
        <f>IF('Extra 1'!$A135="","",'Extra 1'!P135)</f>
        <v/>
      </c>
      <c r="I135">
        <f>IF('Extra 1'!$A135="","",'Extra 1'!M135)</f>
        <v/>
      </c>
      <c r="J135" s="7">
        <f>IF('Extra 1'!$A135="","",'Extra 1'!Q135)</f>
        <v/>
      </c>
      <c r="K135" s="7">
        <f>IF('Extra 1'!$A135="","",'Extra 1'!H135)</f>
        <v/>
      </c>
      <c r="L135" s="7">
        <f>IF('Extra 1'!$A135="","",'Extra 1'!T135)</f>
        <v/>
      </c>
      <c r="M135">
        <f>IF('Extra 1'!$A135="","",'Extra 1'!G135)</f>
        <v/>
      </c>
    </row>
    <row r="136">
      <c r="A136">
        <f>IF('Extra 1'!$A136="","",ROWS($A$2:$A136))</f>
        <v/>
      </c>
      <c r="B136">
        <f>IF('Extra 1'!$A136="","",'Extra 1'!E136)</f>
        <v/>
      </c>
      <c r="C136">
        <f>IF('Extra 1'!$A136="","",'Extra 1'!F136)</f>
        <v/>
      </c>
      <c r="D136" s="14">
        <f>IF('Extra 1'!$A136="","",'Extra 1'!I136)</f>
        <v/>
      </c>
      <c r="E136" s="7">
        <f>IF('Extra 1'!$A136="","",'Extra 1'!O136)</f>
        <v/>
      </c>
      <c r="F136" s="7">
        <f>IF('Extra 1'!$A136="","",'Extra 1'!L136)</f>
        <v/>
      </c>
      <c r="G136" s="7">
        <f>IF('Extra 1'!$A136="","",'Extra 1'!S136)</f>
        <v/>
      </c>
      <c r="H136">
        <f>IF('Extra 1'!$A136="","",'Extra 1'!P136)</f>
        <v/>
      </c>
      <c r="I136">
        <f>IF('Extra 1'!$A136="","",'Extra 1'!M136)</f>
        <v/>
      </c>
      <c r="J136" s="7">
        <f>IF('Extra 1'!$A136="","",'Extra 1'!Q136)</f>
        <v/>
      </c>
      <c r="K136" s="7">
        <f>IF('Extra 1'!$A136="","",'Extra 1'!H136)</f>
        <v/>
      </c>
      <c r="L136" s="7">
        <f>IF('Extra 1'!$A136="","",'Extra 1'!T136)</f>
        <v/>
      </c>
      <c r="M136">
        <f>IF('Extra 1'!$A136="","",'Extra 1'!G136)</f>
        <v/>
      </c>
    </row>
    <row r="137">
      <c r="A137">
        <f>IF('Extra 1'!$A137="","",ROWS($A$2:$A137))</f>
        <v/>
      </c>
      <c r="B137">
        <f>IF('Extra 1'!$A137="","",'Extra 1'!E137)</f>
        <v/>
      </c>
      <c r="C137">
        <f>IF('Extra 1'!$A137="","",'Extra 1'!F137)</f>
        <v/>
      </c>
      <c r="D137" s="14">
        <f>IF('Extra 1'!$A137="","",'Extra 1'!I137)</f>
        <v/>
      </c>
      <c r="E137" s="7">
        <f>IF('Extra 1'!$A137="","",'Extra 1'!O137)</f>
        <v/>
      </c>
      <c r="F137" s="7">
        <f>IF('Extra 1'!$A137="","",'Extra 1'!L137)</f>
        <v/>
      </c>
      <c r="G137" s="7">
        <f>IF('Extra 1'!$A137="","",'Extra 1'!S137)</f>
        <v/>
      </c>
      <c r="H137">
        <f>IF('Extra 1'!$A137="","",'Extra 1'!P137)</f>
        <v/>
      </c>
      <c r="I137">
        <f>IF('Extra 1'!$A137="","",'Extra 1'!M137)</f>
        <v/>
      </c>
      <c r="J137" s="7">
        <f>IF('Extra 1'!$A137="","",'Extra 1'!Q137)</f>
        <v/>
      </c>
      <c r="K137" s="7">
        <f>IF('Extra 1'!$A137="","",'Extra 1'!H137)</f>
        <v/>
      </c>
      <c r="L137" s="7">
        <f>IF('Extra 1'!$A137="","",'Extra 1'!T137)</f>
        <v/>
      </c>
      <c r="M137">
        <f>IF('Extra 1'!$A137="","",'Extra 1'!G137)</f>
        <v/>
      </c>
    </row>
    <row r="138">
      <c r="A138">
        <f>IF('Extra 1'!$A138="","",ROWS($A$2:$A138))</f>
        <v/>
      </c>
      <c r="B138">
        <f>IF('Extra 1'!$A138="","",'Extra 1'!E138)</f>
        <v/>
      </c>
      <c r="C138">
        <f>IF('Extra 1'!$A138="","",'Extra 1'!F138)</f>
        <v/>
      </c>
      <c r="D138" s="14">
        <f>IF('Extra 1'!$A138="","",'Extra 1'!I138)</f>
        <v/>
      </c>
      <c r="E138" s="7">
        <f>IF('Extra 1'!$A138="","",'Extra 1'!O138)</f>
        <v/>
      </c>
      <c r="F138" s="7">
        <f>IF('Extra 1'!$A138="","",'Extra 1'!L138)</f>
        <v/>
      </c>
      <c r="G138" s="7">
        <f>IF('Extra 1'!$A138="","",'Extra 1'!S138)</f>
        <v/>
      </c>
      <c r="H138">
        <f>IF('Extra 1'!$A138="","",'Extra 1'!P138)</f>
        <v/>
      </c>
      <c r="I138">
        <f>IF('Extra 1'!$A138="","",'Extra 1'!M138)</f>
        <v/>
      </c>
      <c r="J138" s="7">
        <f>IF('Extra 1'!$A138="","",'Extra 1'!Q138)</f>
        <v/>
      </c>
      <c r="K138" s="7">
        <f>IF('Extra 1'!$A138="","",'Extra 1'!H138)</f>
        <v/>
      </c>
      <c r="L138" s="7">
        <f>IF('Extra 1'!$A138="","",'Extra 1'!T138)</f>
        <v/>
      </c>
      <c r="M138">
        <f>IF('Extra 1'!$A138="","",'Extra 1'!G138)</f>
        <v/>
      </c>
    </row>
    <row r="139">
      <c r="A139">
        <f>IF('Extra 1'!$A139="","",ROWS($A$2:$A139))</f>
        <v/>
      </c>
      <c r="B139">
        <f>IF('Extra 1'!$A139="","",'Extra 1'!E139)</f>
        <v/>
      </c>
      <c r="C139">
        <f>IF('Extra 1'!$A139="","",'Extra 1'!F139)</f>
        <v/>
      </c>
      <c r="D139" s="14">
        <f>IF('Extra 1'!$A139="","",'Extra 1'!I139)</f>
        <v/>
      </c>
      <c r="E139" s="7">
        <f>IF('Extra 1'!$A139="","",'Extra 1'!O139)</f>
        <v/>
      </c>
      <c r="F139" s="7">
        <f>IF('Extra 1'!$A139="","",'Extra 1'!L139)</f>
        <v/>
      </c>
      <c r="G139" s="7">
        <f>IF('Extra 1'!$A139="","",'Extra 1'!S139)</f>
        <v/>
      </c>
      <c r="H139">
        <f>IF('Extra 1'!$A139="","",'Extra 1'!P139)</f>
        <v/>
      </c>
      <c r="I139">
        <f>IF('Extra 1'!$A139="","",'Extra 1'!M139)</f>
        <v/>
      </c>
      <c r="J139" s="7">
        <f>IF('Extra 1'!$A139="","",'Extra 1'!Q139)</f>
        <v/>
      </c>
      <c r="K139" s="7">
        <f>IF('Extra 1'!$A139="","",'Extra 1'!H139)</f>
        <v/>
      </c>
      <c r="L139" s="7">
        <f>IF('Extra 1'!$A139="","",'Extra 1'!T139)</f>
        <v/>
      </c>
      <c r="M139">
        <f>IF('Extra 1'!$A139="","",'Extra 1'!G139)</f>
        <v/>
      </c>
    </row>
    <row r="140">
      <c r="A140">
        <f>IF('Extra 1'!$A140="","",ROWS($A$2:$A140))</f>
        <v/>
      </c>
      <c r="B140">
        <f>IF('Extra 1'!$A140="","",'Extra 1'!E140)</f>
        <v/>
      </c>
      <c r="C140">
        <f>IF('Extra 1'!$A140="","",'Extra 1'!F140)</f>
        <v/>
      </c>
      <c r="D140" s="14">
        <f>IF('Extra 1'!$A140="","",'Extra 1'!I140)</f>
        <v/>
      </c>
      <c r="E140" s="7">
        <f>IF('Extra 1'!$A140="","",'Extra 1'!O140)</f>
        <v/>
      </c>
      <c r="F140" s="7">
        <f>IF('Extra 1'!$A140="","",'Extra 1'!L140)</f>
        <v/>
      </c>
      <c r="G140" s="7">
        <f>IF('Extra 1'!$A140="","",'Extra 1'!S140)</f>
        <v/>
      </c>
      <c r="H140">
        <f>IF('Extra 1'!$A140="","",'Extra 1'!P140)</f>
        <v/>
      </c>
      <c r="I140">
        <f>IF('Extra 1'!$A140="","",'Extra 1'!M140)</f>
        <v/>
      </c>
      <c r="J140" s="7">
        <f>IF('Extra 1'!$A140="","",'Extra 1'!Q140)</f>
        <v/>
      </c>
      <c r="K140" s="7">
        <f>IF('Extra 1'!$A140="","",'Extra 1'!H140)</f>
        <v/>
      </c>
      <c r="L140" s="7">
        <f>IF('Extra 1'!$A140="","",'Extra 1'!T140)</f>
        <v/>
      </c>
      <c r="M140">
        <f>IF('Extra 1'!$A140="","",'Extra 1'!G140)</f>
        <v/>
      </c>
    </row>
    <row r="141">
      <c r="A141">
        <f>IF('Extra 1'!$A141="","",ROWS($A$2:$A141))</f>
        <v/>
      </c>
      <c r="B141">
        <f>IF('Extra 1'!$A141="","",'Extra 1'!E141)</f>
        <v/>
      </c>
      <c r="C141">
        <f>IF('Extra 1'!$A141="","",'Extra 1'!F141)</f>
        <v/>
      </c>
      <c r="D141" s="14">
        <f>IF('Extra 1'!$A141="","",'Extra 1'!I141)</f>
        <v/>
      </c>
      <c r="E141" s="7">
        <f>IF('Extra 1'!$A141="","",'Extra 1'!O141)</f>
        <v/>
      </c>
      <c r="F141" s="7">
        <f>IF('Extra 1'!$A141="","",'Extra 1'!L141)</f>
        <v/>
      </c>
      <c r="G141" s="7">
        <f>IF('Extra 1'!$A141="","",'Extra 1'!S141)</f>
        <v/>
      </c>
      <c r="H141">
        <f>IF('Extra 1'!$A141="","",'Extra 1'!P141)</f>
        <v/>
      </c>
      <c r="I141">
        <f>IF('Extra 1'!$A141="","",'Extra 1'!M141)</f>
        <v/>
      </c>
      <c r="J141" s="7">
        <f>IF('Extra 1'!$A141="","",'Extra 1'!Q141)</f>
        <v/>
      </c>
      <c r="K141" s="7">
        <f>IF('Extra 1'!$A141="","",'Extra 1'!H141)</f>
        <v/>
      </c>
      <c r="L141" s="7">
        <f>IF('Extra 1'!$A141="","",'Extra 1'!T141)</f>
        <v/>
      </c>
      <c r="M141">
        <f>IF('Extra 1'!$A141="","",'Extra 1'!G141)</f>
        <v/>
      </c>
    </row>
    <row r="142">
      <c r="A142">
        <f>IF('Extra 1'!$A142="","",ROWS($A$2:$A142))</f>
        <v/>
      </c>
      <c r="B142">
        <f>IF('Extra 1'!$A142="","",'Extra 1'!E142)</f>
        <v/>
      </c>
      <c r="C142">
        <f>IF('Extra 1'!$A142="","",'Extra 1'!F142)</f>
        <v/>
      </c>
      <c r="D142" s="14">
        <f>IF('Extra 1'!$A142="","",'Extra 1'!I142)</f>
        <v/>
      </c>
      <c r="E142" s="7">
        <f>IF('Extra 1'!$A142="","",'Extra 1'!O142)</f>
        <v/>
      </c>
      <c r="F142" s="7">
        <f>IF('Extra 1'!$A142="","",'Extra 1'!L142)</f>
        <v/>
      </c>
      <c r="G142" s="7">
        <f>IF('Extra 1'!$A142="","",'Extra 1'!S142)</f>
        <v/>
      </c>
      <c r="H142">
        <f>IF('Extra 1'!$A142="","",'Extra 1'!P142)</f>
        <v/>
      </c>
      <c r="I142">
        <f>IF('Extra 1'!$A142="","",'Extra 1'!M142)</f>
        <v/>
      </c>
      <c r="J142" s="7">
        <f>IF('Extra 1'!$A142="","",'Extra 1'!Q142)</f>
        <v/>
      </c>
      <c r="K142" s="7">
        <f>IF('Extra 1'!$A142="","",'Extra 1'!H142)</f>
        <v/>
      </c>
      <c r="L142" s="7">
        <f>IF('Extra 1'!$A142="","",'Extra 1'!T142)</f>
        <v/>
      </c>
      <c r="M142">
        <f>IF('Extra 1'!$A142="","",'Extra 1'!G142)</f>
        <v/>
      </c>
    </row>
    <row r="143">
      <c r="A143">
        <f>IF('Extra 1'!$A143="","",ROWS($A$2:$A143))</f>
        <v/>
      </c>
      <c r="B143">
        <f>IF('Extra 1'!$A143="","",'Extra 1'!E143)</f>
        <v/>
      </c>
      <c r="C143">
        <f>IF('Extra 1'!$A143="","",'Extra 1'!F143)</f>
        <v/>
      </c>
      <c r="D143" s="14">
        <f>IF('Extra 1'!$A143="","",'Extra 1'!I143)</f>
        <v/>
      </c>
      <c r="E143" s="7">
        <f>IF('Extra 1'!$A143="","",'Extra 1'!O143)</f>
        <v/>
      </c>
      <c r="F143" s="7">
        <f>IF('Extra 1'!$A143="","",'Extra 1'!L143)</f>
        <v/>
      </c>
      <c r="G143" s="7">
        <f>IF('Extra 1'!$A143="","",'Extra 1'!S143)</f>
        <v/>
      </c>
      <c r="H143">
        <f>IF('Extra 1'!$A143="","",'Extra 1'!P143)</f>
        <v/>
      </c>
      <c r="I143">
        <f>IF('Extra 1'!$A143="","",'Extra 1'!M143)</f>
        <v/>
      </c>
      <c r="J143" s="7">
        <f>IF('Extra 1'!$A143="","",'Extra 1'!Q143)</f>
        <v/>
      </c>
      <c r="K143" s="7">
        <f>IF('Extra 1'!$A143="","",'Extra 1'!H143)</f>
        <v/>
      </c>
      <c r="L143" s="7">
        <f>IF('Extra 1'!$A143="","",'Extra 1'!T143)</f>
        <v/>
      </c>
      <c r="M143">
        <f>IF('Extra 1'!$A143="","",'Extra 1'!G143)</f>
        <v/>
      </c>
    </row>
    <row r="144">
      <c r="A144">
        <f>IF('Extra 1'!$A144="","",ROWS($A$2:$A144))</f>
        <v/>
      </c>
      <c r="B144">
        <f>IF('Extra 1'!$A144="","",'Extra 1'!E144)</f>
        <v/>
      </c>
      <c r="C144">
        <f>IF('Extra 1'!$A144="","",'Extra 1'!F144)</f>
        <v/>
      </c>
      <c r="D144" s="14">
        <f>IF('Extra 1'!$A144="","",'Extra 1'!I144)</f>
        <v/>
      </c>
      <c r="E144" s="7">
        <f>IF('Extra 1'!$A144="","",'Extra 1'!O144)</f>
        <v/>
      </c>
      <c r="F144" s="7">
        <f>IF('Extra 1'!$A144="","",'Extra 1'!L144)</f>
        <v/>
      </c>
      <c r="G144" s="7">
        <f>IF('Extra 1'!$A144="","",'Extra 1'!S144)</f>
        <v/>
      </c>
      <c r="H144">
        <f>IF('Extra 1'!$A144="","",'Extra 1'!P144)</f>
        <v/>
      </c>
      <c r="I144">
        <f>IF('Extra 1'!$A144="","",'Extra 1'!M144)</f>
        <v/>
      </c>
      <c r="J144" s="7">
        <f>IF('Extra 1'!$A144="","",'Extra 1'!Q144)</f>
        <v/>
      </c>
      <c r="K144" s="7">
        <f>IF('Extra 1'!$A144="","",'Extra 1'!H144)</f>
        <v/>
      </c>
      <c r="L144" s="7">
        <f>IF('Extra 1'!$A144="","",'Extra 1'!T144)</f>
        <v/>
      </c>
      <c r="M144">
        <f>IF('Extra 1'!$A144="","",'Extra 1'!G144)</f>
        <v/>
      </c>
    </row>
    <row r="145">
      <c r="A145">
        <f>IF('Extra 1'!$A145="","",ROWS($A$2:$A145))</f>
        <v/>
      </c>
      <c r="B145">
        <f>IF('Extra 1'!$A145="","",'Extra 1'!E145)</f>
        <v/>
      </c>
      <c r="C145">
        <f>IF('Extra 1'!$A145="","",'Extra 1'!F145)</f>
        <v/>
      </c>
      <c r="D145" s="14">
        <f>IF('Extra 1'!$A145="","",'Extra 1'!I145)</f>
        <v/>
      </c>
      <c r="E145" s="7">
        <f>IF('Extra 1'!$A145="","",'Extra 1'!O145)</f>
        <v/>
      </c>
      <c r="F145" s="7">
        <f>IF('Extra 1'!$A145="","",'Extra 1'!L145)</f>
        <v/>
      </c>
      <c r="G145" s="7">
        <f>IF('Extra 1'!$A145="","",'Extra 1'!S145)</f>
        <v/>
      </c>
      <c r="H145">
        <f>IF('Extra 1'!$A145="","",'Extra 1'!P145)</f>
        <v/>
      </c>
      <c r="I145">
        <f>IF('Extra 1'!$A145="","",'Extra 1'!M145)</f>
        <v/>
      </c>
      <c r="J145" s="7">
        <f>IF('Extra 1'!$A145="","",'Extra 1'!Q145)</f>
        <v/>
      </c>
      <c r="K145" s="7">
        <f>IF('Extra 1'!$A145="","",'Extra 1'!H145)</f>
        <v/>
      </c>
      <c r="L145" s="7">
        <f>IF('Extra 1'!$A145="","",'Extra 1'!T145)</f>
        <v/>
      </c>
      <c r="M145">
        <f>IF('Extra 1'!$A145="","",'Extra 1'!G145)</f>
        <v/>
      </c>
    </row>
    <row r="146">
      <c r="A146">
        <f>IF('Extra 1'!$A146="","",ROWS($A$2:$A146))</f>
        <v/>
      </c>
      <c r="B146">
        <f>IF('Extra 1'!$A146="","",'Extra 1'!E146)</f>
        <v/>
      </c>
      <c r="C146">
        <f>IF('Extra 1'!$A146="","",'Extra 1'!F146)</f>
        <v/>
      </c>
      <c r="D146" s="14">
        <f>IF('Extra 1'!$A146="","",'Extra 1'!I146)</f>
        <v/>
      </c>
      <c r="E146" s="7">
        <f>IF('Extra 1'!$A146="","",'Extra 1'!O146)</f>
        <v/>
      </c>
      <c r="F146" s="7">
        <f>IF('Extra 1'!$A146="","",'Extra 1'!L146)</f>
        <v/>
      </c>
      <c r="G146" s="7">
        <f>IF('Extra 1'!$A146="","",'Extra 1'!S146)</f>
        <v/>
      </c>
      <c r="H146">
        <f>IF('Extra 1'!$A146="","",'Extra 1'!P146)</f>
        <v/>
      </c>
      <c r="I146">
        <f>IF('Extra 1'!$A146="","",'Extra 1'!M146)</f>
        <v/>
      </c>
      <c r="J146" s="7">
        <f>IF('Extra 1'!$A146="","",'Extra 1'!Q146)</f>
        <v/>
      </c>
      <c r="K146" s="7">
        <f>IF('Extra 1'!$A146="","",'Extra 1'!H146)</f>
        <v/>
      </c>
      <c r="L146" s="7">
        <f>IF('Extra 1'!$A146="","",'Extra 1'!T146)</f>
        <v/>
      </c>
      <c r="M146">
        <f>IF('Extra 1'!$A146="","",'Extra 1'!G146)</f>
        <v/>
      </c>
    </row>
    <row r="147">
      <c r="A147">
        <f>IF('Extra 1'!$A147="","",ROWS($A$2:$A147))</f>
        <v/>
      </c>
      <c r="B147">
        <f>IF('Extra 1'!$A147="","",'Extra 1'!E147)</f>
        <v/>
      </c>
      <c r="C147">
        <f>IF('Extra 1'!$A147="","",'Extra 1'!F147)</f>
        <v/>
      </c>
      <c r="D147" s="14">
        <f>IF('Extra 1'!$A147="","",'Extra 1'!I147)</f>
        <v/>
      </c>
      <c r="E147" s="7">
        <f>IF('Extra 1'!$A147="","",'Extra 1'!O147)</f>
        <v/>
      </c>
      <c r="F147" s="7">
        <f>IF('Extra 1'!$A147="","",'Extra 1'!L147)</f>
        <v/>
      </c>
      <c r="G147" s="7">
        <f>IF('Extra 1'!$A147="","",'Extra 1'!S147)</f>
        <v/>
      </c>
      <c r="H147">
        <f>IF('Extra 1'!$A147="","",'Extra 1'!P147)</f>
        <v/>
      </c>
      <c r="I147">
        <f>IF('Extra 1'!$A147="","",'Extra 1'!M147)</f>
        <v/>
      </c>
      <c r="J147" s="7">
        <f>IF('Extra 1'!$A147="","",'Extra 1'!Q147)</f>
        <v/>
      </c>
      <c r="K147" s="7">
        <f>IF('Extra 1'!$A147="","",'Extra 1'!H147)</f>
        <v/>
      </c>
      <c r="L147" s="7">
        <f>IF('Extra 1'!$A147="","",'Extra 1'!T147)</f>
        <v/>
      </c>
      <c r="M147">
        <f>IF('Extra 1'!$A147="","",'Extra 1'!G147)</f>
        <v/>
      </c>
    </row>
    <row r="148">
      <c r="A148">
        <f>IF('Extra 1'!$A148="","",ROWS($A$2:$A148))</f>
        <v/>
      </c>
      <c r="B148">
        <f>IF('Extra 1'!$A148="","",'Extra 1'!E148)</f>
        <v/>
      </c>
      <c r="C148">
        <f>IF('Extra 1'!$A148="","",'Extra 1'!F148)</f>
        <v/>
      </c>
      <c r="D148" s="14">
        <f>IF('Extra 1'!$A148="","",'Extra 1'!I148)</f>
        <v/>
      </c>
      <c r="E148" s="7">
        <f>IF('Extra 1'!$A148="","",'Extra 1'!O148)</f>
        <v/>
      </c>
      <c r="F148" s="7">
        <f>IF('Extra 1'!$A148="","",'Extra 1'!L148)</f>
        <v/>
      </c>
      <c r="G148" s="7">
        <f>IF('Extra 1'!$A148="","",'Extra 1'!S148)</f>
        <v/>
      </c>
      <c r="H148">
        <f>IF('Extra 1'!$A148="","",'Extra 1'!P148)</f>
        <v/>
      </c>
      <c r="I148">
        <f>IF('Extra 1'!$A148="","",'Extra 1'!M148)</f>
        <v/>
      </c>
      <c r="J148" s="7">
        <f>IF('Extra 1'!$A148="","",'Extra 1'!Q148)</f>
        <v/>
      </c>
      <c r="K148" s="7">
        <f>IF('Extra 1'!$A148="","",'Extra 1'!H148)</f>
        <v/>
      </c>
      <c r="L148" s="7">
        <f>IF('Extra 1'!$A148="","",'Extra 1'!T148)</f>
        <v/>
      </c>
      <c r="M148">
        <f>IF('Extra 1'!$A148="","",'Extra 1'!G148)</f>
        <v/>
      </c>
    </row>
    <row r="149">
      <c r="A149">
        <f>IF('Extra 1'!$A149="","",ROWS($A$2:$A149))</f>
        <v/>
      </c>
      <c r="B149">
        <f>IF('Extra 1'!$A149="","",'Extra 1'!E149)</f>
        <v/>
      </c>
      <c r="C149">
        <f>IF('Extra 1'!$A149="","",'Extra 1'!F149)</f>
        <v/>
      </c>
      <c r="D149" s="14">
        <f>IF('Extra 1'!$A149="","",'Extra 1'!I149)</f>
        <v/>
      </c>
      <c r="E149" s="7">
        <f>IF('Extra 1'!$A149="","",'Extra 1'!O149)</f>
        <v/>
      </c>
      <c r="F149" s="7">
        <f>IF('Extra 1'!$A149="","",'Extra 1'!L149)</f>
        <v/>
      </c>
      <c r="G149" s="7">
        <f>IF('Extra 1'!$A149="","",'Extra 1'!S149)</f>
        <v/>
      </c>
      <c r="H149">
        <f>IF('Extra 1'!$A149="","",'Extra 1'!P149)</f>
        <v/>
      </c>
      <c r="I149">
        <f>IF('Extra 1'!$A149="","",'Extra 1'!M149)</f>
        <v/>
      </c>
      <c r="J149" s="7">
        <f>IF('Extra 1'!$A149="","",'Extra 1'!Q149)</f>
        <v/>
      </c>
      <c r="K149" s="7">
        <f>IF('Extra 1'!$A149="","",'Extra 1'!H149)</f>
        <v/>
      </c>
      <c r="L149" s="7">
        <f>IF('Extra 1'!$A149="","",'Extra 1'!T149)</f>
        <v/>
      </c>
      <c r="M149">
        <f>IF('Extra 1'!$A149="","",'Extra 1'!G149)</f>
        <v/>
      </c>
    </row>
    <row r="150">
      <c r="A150">
        <f>IF('Extra 1'!$A150="","",ROWS($A$2:$A150))</f>
        <v/>
      </c>
      <c r="B150">
        <f>IF('Extra 1'!$A150="","",'Extra 1'!E150)</f>
        <v/>
      </c>
      <c r="C150">
        <f>IF('Extra 1'!$A150="","",'Extra 1'!F150)</f>
        <v/>
      </c>
      <c r="D150" s="14">
        <f>IF('Extra 1'!$A150="","",'Extra 1'!I150)</f>
        <v/>
      </c>
      <c r="E150" s="7">
        <f>IF('Extra 1'!$A150="","",'Extra 1'!O150)</f>
        <v/>
      </c>
      <c r="F150" s="7">
        <f>IF('Extra 1'!$A150="","",'Extra 1'!L150)</f>
        <v/>
      </c>
      <c r="G150" s="7">
        <f>IF('Extra 1'!$A150="","",'Extra 1'!S150)</f>
        <v/>
      </c>
      <c r="H150">
        <f>IF('Extra 1'!$A150="","",'Extra 1'!P150)</f>
        <v/>
      </c>
      <c r="I150">
        <f>IF('Extra 1'!$A150="","",'Extra 1'!M150)</f>
        <v/>
      </c>
      <c r="J150" s="7">
        <f>IF('Extra 1'!$A150="","",'Extra 1'!Q150)</f>
        <v/>
      </c>
      <c r="K150" s="7">
        <f>IF('Extra 1'!$A150="","",'Extra 1'!H150)</f>
        <v/>
      </c>
      <c r="L150" s="7">
        <f>IF('Extra 1'!$A150="","",'Extra 1'!T150)</f>
        <v/>
      </c>
      <c r="M150">
        <f>IF('Extra 1'!$A150="","",'Extra 1'!G150)</f>
        <v/>
      </c>
    </row>
    <row r="151">
      <c r="A151">
        <f>IF('Extra 1'!$A151="","",ROWS($A$2:$A151))</f>
        <v/>
      </c>
      <c r="B151">
        <f>IF('Extra 1'!$A151="","",'Extra 1'!E151)</f>
        <v/>
      </c>
      <c r="C151">
        <f>IF('Extra 1'!$A151="","",'Extra 1'!F151)</f>
        <v/>
      </c>
      <c r="D151" s="14">
        <f>IF('Extra 1'!$A151="","",'Extra 1'!I151)</f>
        <v/>
      </c>
      <c r="E151" s="7">
        <f>IF('Extra 1'!$A151="","",'Extra 1'!O151)</f>
        <v/>
      </c>
      <c r="F151" s="7">
        <f>IF('Extra 1'!$A151="","",'Extra 1'!L151)</f>
        <v/>
      </c>
      <c r="G151" s="7">
        <f>IF('Extra 1'!$A151="","",'Extra 1'!S151)</f>
        <v/>
      </c>
      <c r="H151">
        <f>IF('Extra 1'!$A151="","",'Extra 1'!P151)</f>
        <v/>
      </c>
      <c r="I151">
        <f>IF('Extra 1'!$A151="","",'Extra 1'!M151)</f>
        <v/>
      </c>
      <c r="J151" s="7">
        <f>IF('Extra 1'!$A151="","",'Extra 1'!Q151)</f>
        <v/>
      </c>
      <c r="K151" s="7">
        <f>IF('Extra 1'!$A151="","",'Extra 1'!H151)</f>
        <v/>
      </c>
      <c r="L151" s="7">
        <f>IF('Extra 1'!$A151="","",'Extra 1'!T151)</f>
        <v/>
      </c>
      <c r="M151">
        <f>IF('Extra 1'!$A151="","",'Extra 1'!G151)</f>
        <v/>
      </c>
    </row>
    <row r="152">
      <c r="A152">
        <f>IF('Extra 1'!$A152="","",ROWS($A$2:$A152))</f>
        <v/>
      </c>
      <c r="B152">
        <f>IF('Extra 1'!$A152="","",'Extra 1'!E152)</f>
        <v/>
      </c>
      <c r="C152">
        <f>IF('Extra 1'!$A152="","",'Extra 1'!F152)</f>
        <v/>
      </c>
      <c r="D152" s="14">
        <f>IF('Extra 1'!$A152="","",'Extra 1'!I152)</f>
        <v/>
      </c>
      <c r="E152" s="7">
        <f>IF('Extra 1'!$A152="","",'Extra 1'!O152)</f>
        <v/>
      </c>
      <c r="F152" s="7">
        <f>IF('Extra 1'!$A152="","",'Extra 1'!L152)</f>
        <v/>
      </c>
      <c r="G152" s="7">
        <f>IF('Extra 1'!$A152="","",'Extra 1'!S152)</f>
        <v/>
      </c>
      <c r="H152">
        <f>IF('Extra 1'!$A152="","",'Extra 1'!P152)</f>
        <v/>
      </c>
      <c r="I152">
        <f>IF('Extra 1'!$A152="","",'Extra 1'!M152)</f>
        <v/>
      </c>
      <c r="J152" s="7">
        <f>IF('Extra 1'!$A152="","",'Extra 1'!Q152)</f>
        <v/>
      </c>
      <c r="K152" s="7">
        <f>IF('Extra 1'!$A152="","",'Extra 1'!H152)</f>
        <v/>
      </c>
      <c r="L152" s="7">
        <f>IF('Extra 1'!$A152="","",'Extra 1'!T152)</f>
        <v/>
      </c>
      <c r="M152">
        <f>IF('Extra 1'!$A152="","",'Extra 1'!G152)</f>
        <v/>
      </c>
    </row>
    <row r="153">
      <c r="A153">
        <f>IF('Extra 1'!$A153="","",ROWS($A$2:$A153))</f>
        <v/>
      </c>
      <c r="B153">
        <f>IF('Extra 1'!$A153="","",'Extra 1'!E153)</f>
        <v/>
      </c>
      <c r="C153">
        <f>IF('Extra 1'!$A153="","",'Extra 1'!F153)</f>
        <v/>
      </c>
      <c r="D153" s="14">
        <f>IF('Extra 1'!$A153="","",'Extra 1'!I153)</f>
        <v/>
      </c>
      <c r="E153" s="7">
        <f>IF('Extra 1'!$A153="","",'Extra 1'!O153)</f>
        <v/>
      </c>
      <c r="F153" s="7">
        <f>IF('Extra 1'!$A153="","",'Extra 1'!L153)</f>
        <v/>
      </c>
      <c r="G153" s="7">
        <f>IF('Extra 1'!$A153="","",'Extra 1'!S153)</f>
        <v/>
      </c>
      <c r="H153">
        <f>IF('Extra 1'!$A153="","",'Extra 1'!P153)</f>
        <v/>
      </c>
      <c r="I153">
        <f>IF('Extra 1'!$A153="","",'Extra 1'!M153)</f>
        <v/>
      </c>
      <c r="J153" s="7">
        <f>IF('Extra 1'!$A153="","",'Extra 1'!Q153)</f>
        <v/>
      </c>
      <c r="K153" s="7">
        <f>IF('Extra 1'!$A153="","",'Extra 1'!H153)</f>
        <v/>
      </c>
      <c r="L153" s="7">
        <f>IF('Extra 1'!$A153="","",'Extra 1'!T153)</f>
        <v/>
      </c>
      <c r="M153">
        <f>IF('Extra 1'!$A153="","",'Extra 1'!G153)</f>
        <v/>
      </c>
    </row>
    <row r="154">
      <c r="A154">
        <f>IF('Extra 1'!$A154="","",ROWS($A$2:$A154))</f>
        <v/>
      </c>
      <c r="B154">
        <f>IF('Extra 1'!$A154="","",'Extra 1'!E154)</f>
        <v/>
      </c>
      <c r="C154">
        <f>IF('Extra 1'!$A154="","",'Extra 1'!F154)</f>
        <v/>
      </c>
      <c r="D154" s="14">
        <f>IF('Extra 1'!$A154="","",'Extra 1'!I154)</f>
        <v/>
      </c>
      <c r="E154" s="7">
        <f>IF('Extra 1'!$A154="","",'Extra 1'!O154)</f>
        <v/>
      </c>
      <c r="F154" s="7">
        <f>IF('Extra 1'!$A154="","",'Extra 1'!L154)</f>
        <v/>
      </c>
      <c r="G154" s="7">
        <f>IF('Extra 1'!$A154="","",'Extra 1'!S154)</f>
        <v/>
      </c>
      <c r="H154">
        <f>IF('Extra 1'!$A154="","",'Extra 1'!P154)</f>
        <v/>
      </c>
      <c r="I154">
        <f>IF('Extra 1'!$A154="","",'Extra 1'!M154)</f>
        <v/>
      </c>
      <c r="J154" s="7">
        <f>IF('Extra 1'!$A154="","",'Extra 1'!Q154)</f>
        <v/>
      </c>
      <c r="K154" s="7">
        <f>IF('Extra 1'!$A154="","",'Extra 1'!H154)</f>
        <v/>
      </c>
      <c r="L154" s="7">
        <f>IF('Extra 1'!$A154="","",'Extra 1'!T154)</f>
        <v/>
      </c>
      <c r="M154">
        <f>IF('Extra 1'!$A154="","",'Extra 1'!G154)</f>
        <v/>
      </c>
    </row>
    <row r="155">
      <c r="A155">
        <f>IF('Extra 1'!$A155="","",ROWS($A$2:$A155))</f>
        <v/>
      </c>
      <c r="B155">
        <f>IF('Extra 1'!$A155="","",'Extra 1'!E155)</f>
        <v/>
      </c>
      <c r="C155">
        <f>IF('Extra 1'!$A155="","",'Extra 1'!F155)</f>
        <v/>
      </c>
      <c r="D155" s="14">
        <f>IF('Extra 1'!$A155="","",'Extra 1'!I155)</f>
        <v/>
      </c>
      <c r="E155" s="7">
        <f>IF('Extra 1'!$A155="","",'Extra 1'!O155)</f>
        <v/>
      </c>
      <c r="F155" s="7">
        <f>IF('Extra 1'!$A155="","",'Extra 1'!L155)</f>
        <v/>
      </c>
      <c r="G155" s="7">
        <f>IF('Extra 1'!$A155="","",'Extra 1'!S155)</f>
        <v/>
      </c>
      <c r="H155">
        <f>IF('Extra 1'!$A155="","",'Extra 1'!P155)</f>
        <v/>
      </c>
      <c r="I155">
        <f>IF('Extra 1'!$A155="","",'Extra 1'!M155)</f>
        <v/>
      </c>
      <c r="J155" s="7">
        <f>IF('Extra 1'!$A155="","",'Extra 1'!Q155)</f>
        <v/>
      </c>
      <c r="K155" s="7">
        <f>IF('Extra 1'!$A155="","",'Extra 1'!H155)</f>
        <v/>
      </c>
      <c r="L155" s="7">
        <f>IF('Extra 1'!$A155="","",'Extra 1'!T155)</f>
        <v/>
      </c>
      <c r="M155">
        <f>IF('Extra 1'!$A155="","",'Extra 1'!G155)</f>
        <v/>
      </c>
    </row>
    <row r="156">
      <c r="A156">
        <f>IF('Extra 1'!$A156="","",ROWS($A$2:$A156))</f>
        <v/>
      </c>
      <c r="B156">
        <f>IF('Extra 1'!$A156="","",'Extra 1'!E156)</f>
        <v/>
      </c>
      <c r="C156">
        <f>IF('Extra 1'!$A156="","",'Extra 1'!F156)</f>
        <v/>
      </c>
      <c r="D156" s="14">
        <f>IF('Extra 1'!$A156="","",'Extra 1'!I156)</f>
        <v/>
      </c>
      <c r="E156" s="7">
        <f>IF('Extra 1'!$A156="","",'Extra 1'!O156)</f>
        <v/>
      </c>
      <c r="F156" s="7">
        <f>IF('Extra 1'!$A156="","",'Extra 1'!L156)</f>
        <v/>
      </c>
      <c r="G156" s="7">
        <f>IF('Extra 1'!$A156="","",'Extra 1'!S156)</f>
        <v/>
      </c>
      <c r="H156">
        <f>IF('Extra 1'!$A156="","",'Extra 1'!P156)</f>
        <v/>
      </c>
      <c r="I156">
        <f>IF('Extra 1'!$A156="","",'Extra 1'!M156)</f>
        <v/>
      </c>
      <c r="J156" s="7">
        <f>IF('Extra 1'!$A156="","",'Extra 1'!Q156)</f>
        <v/>
      </c>
      <c r="K156" s="7">
        <f>IF('Extra 1'!$A156="","",'Extra 1'!H156)</f>
        <v/>
      </c>
      <c r="L156" s="7">
        <f>IF('Extra 1'!$A156="","",'Extra 1'!T156)</f>
        <v/>
      </c>
      <c r="M156">
        <f>IF('Extra 1'!$A156="","",'Extra 1'!G156)</f>
        <v/>
      </c>
    </row>
    <row r="157">
      <c r="A157">
        <f>IF('Extra 1'!$A157="","",ROWS($A$2:$A157))</f>
        <v/>
      </c>
      <c r="B157">
        <f>IF('Extra 1'!$A157="","",'Extra 1'!E157)</f>
        <v/>
      </c>
      <c r="C157">
        <f>IF('Extra 1'!$A157="","",'Extra 1'!F157)</f>
        <v/>
      </c>
      <c r="D157" s="14">
        <f>IF('Extra 1'!$A157="","",'Extra 1'!I157)</f>
        <v/>
      </c>
      <c r="E157" s="7">
        <f>IF('Extra 1'!$A157="","",'Extra 1'!O157)</f>
        <v/>
      </c>
      <c r="F157" s="7">
        <f>IF('Extra 1'!$A157="","",'Extra 1'!L157)</f>
        <v/>
      </c>
      <c r="G157" s="7">
        <f>IF('Extra 1'!$A157="","",'Extra 1'!S157)</f>
        <v/>
      </c>
      <c r="H157">
        <f>IF('Extra 1'!$A157="","",'Extra 1'!P157)</f>
        <v/>
      </c>
      <c r="I157">
        <f>IF('Extra 1'!$A157="","",'Extra 1'!M157)</f>
        <v/>
      </c>
      <c r="J157" s="7">
        <f>IF('Extra 1'!$A157="","",'Extra 1'!Q157)</f>
        <v/>
      </c>
      <c r="K157" s="7">
        <f>IF('Extra 1'!$A157="","",'Extra 1'!H157)</f>
        <v/>
      </c>
      <c r="L157" s="7">
        <f>IF('Extra 1'!$A157="","",'Extra 1'!T157)</f>
        <v/>
      </c>
      <c r="M157">
        <f>IF('Extra 1'!$A157="","",'Extra 1'!G157)</f>
        <v/>
      </c>
    </row>
    <row r="158">
      <c r="A158">
        <f>IF('Extra 1'!$A158="","",ROWS($A$2:$A158))</f>
        <v/>
      </c>
      <c r="B158">
        <f>IF('Extra 1'!$A158="","",'Extra 1'!E158)</f>
        <v/>
      </c>
      <c r="C158">
        <f>IF('Extra 1'!$A158="","",'Extra 1'!F158)</f>
        <v/>
      </c>
      <c r="D158" s="14">
        <f>IF('Extra 1'!$A158="","",'Extra 1'!I158)</f>
        <v/>
      </c>
      <c r="E158" s="7">
        <f>IF('Extra 1'!$A158="","",'Extra 1'!O158)</f>
        <v/>
      </c>
      <c r="F158" s="7">
        <f>IF('Extra 1'!$A158="","",'Extra 1'!L158)</f>
        <v/>
      </c>
      <c r="G158" s="7">
        <f>IF('Extra 1'!$A158="","",'Extra 1'!S158)</f>
        <v/>
      </c>
      <c r="H158">
        <f>IF('Extra 1'!$A158="","",'Extra 1'!P158)</f>
        <v/>
      </c>
      <c r="I158">
        <f>IF('Extra 1'!$A158="","",'Extra 1'!M158)</f>
        <v/>
      </c>
      <c r="J158" s="7">
        <f>IF('Extra 1'!$A158="","",'Extra 1'!Q158)</f>
        <v/>
      </c>
      <c r="K158" s="7">
        <f>IF('Extra 1'!$A158="","",'Extra 1'!H158)</f>
        <v/>
      </c>
      <c r="L158" s="7">
        <f>IF('Extra 1'!$A158="","",'Extra 1'!T158)</f>
        <v/>
      </c>
      <c r="M158">
        <f>IF('Extra 1'!$A158="","",'Extra 1'!G158)</f>
        <v/>
      </c>
    </row>
    <row r="159">
      <c r="A159">
        <f>IF('Extra 1'!$A159="","",ROWS($A$2:$A159))</f>
        <v/>
      </c>
      <c r="B159">
        <f>IF('Extra 1'!$A159="","",'Extra 1'!E159)</f>
        <v/>
      </c>
      <c r="C159">
        <f>IF('Extra 1'!$A159="","",'Extra 1'!F159)</f>
        <v/>
      </c>
      <c r="D159" s="14">
        <f>IF('Extra 1'!$A159="","",'Extra 1'!I159)</f>
        <v/>
      </c>
      <c r="E159" s="7">
        <f>IF('Extra 1'!$A159="","",'Extra 1'!O159)</f>
        <v/>
      </c>
      <c r="F159" s="7">
        <f>IF('Extra 1'!$A159="","",'Extra 1'!L159)</f>
        <v/>
      </c>
      <c r="G159" s="7">
        <f>IF('Extra 1'!$A159="","",'Extra 1'!S159)</f>
        <v/>
      </c>
      <c r="H159">
        <f>IF('Extra 1'!$A159="","",'Extra 1'!P159)</f>
        <v/>
      </c>
      <c r="I159">
        <f>IF('Extra 1'!$A159="","",'Extra 1'!M159)</f>
        <v/>
      </c>
      <c r="J159" s="7">
        <f>IF('Extra 1'!$A159="","",'Extra 1'!Q159)</f>
        <v/>
      </c>
      <c r="K159" s="7">
        <f>IF('Extra 1'!$A159="","",'Extra 1'!H159)</f>
        <v/>
      </c>
      <c r="L159" s="7">
        <f>IF('Extra 1'!$A159="","",'Extra 1'!T159)</f>
        <v/>
      </c>
      <c r="M159">
        <f>IF('Extra 1'!$A159="","",'Extra 1'!G159)</f>
        <v/>
      </c>
    </row>
    <row r="160">
      <c r="A160">
        <f>IF('Extra 1'!$A160="","",ROWS($A$2:$A160))</f>
        <v/>
      </c>
      <c r="B160">
        <f>IF('Extra 1'!$A160="","",'Extra 1'!E160)</f>
        <v/>
      </c>
      <c r="C160">
        <f>IF('Extra 1'!$A160="","",'Extra 1'!F160)</f>
        <v/>
      </c>
      <c r="D160" s="14">
        <f>IF('Extra 1'!$A160="","",'Extra 1'!I160)</f>
        <v/>
      </c>
      <c r="E160" s="7">
        <f>IF('Extra 1'!$A160="","",'Extra 1'!O160)</f>
        <v/>
      </c>
      <c r="F160" s="7">
        <f>IF('Extra 1'!$A160="","",'Extra 1'!L160)</f>
        <v/>
      </c>
      <c r="G160" s="7">
        <f>IF('Extra 1'!$A160="","",'Extra 1'!S160)</f>
        <v/>
      </c>
      <c r="H160">
        <f>IF('Extra 1'!$A160="","",'Extra 1'!P160)</f>
        <v/>
      </c>
      <c r="I160">
        <f>IF('Extra 1'!$A160="","",'Extra 1'!M160)</f>
        <v/>
      </c>
      <c r="J160" s="7">
        <f>IF('Extra 1'!$A160="","",'Extra 1'!Q160)</f>
        <v/>
      </c>
      <c r="K160" s="7">
        <f>IF('Extra 1'!$A160="","",'Extra 1'!H160)</f>
        <v/>
      </c>
      <c r="L160" s="7">
        <f>IF('Extra 1'!$A160="","",'Extra 1'!T160)</f>
        <v/>
      </c>
      <c r="M160">
        <f>IF('Extra 1'!$A160="","",'Extra 1'!G160)</f>
        <v/>
      </c>
    </row>
    <row r="161">
      <c r="A161">
        <f>IF('Extra 1'!$A161="","",ROWS($A$2:$A161))</f>
        <v/>
      </c>
      <c r="B161">
        <f>IF('Extra 1'!$A161="","",'Extra 1'!E161)</f>
        <v/>
      </c>
      <c r="C161">
        <f>IF('Extra 1'!$A161="","",'Extra 1'!F161)</f>
        <v/>
      </c>
      <c r="D161" s="14">
        <f>IF('Extra 1'!$A161="","",'Extra 1'!I161)</f>
        <v/>
      </c>
      <c r="E161" s="7">
        <f>IF('Extra 1'!$A161="","",'Extra 1'!O161)</f>
        <v/>
      </c>
      <c r="F161" s="7">
        <f>IF('Extra 1'!$A161="","",'Extra 1'!L161)</f>
        <v/>
      </c>
      <c r="G161" s="7">
        <f>IF('Extra 1'!$A161="","",'Extra 1'!S161)</f>
        <v/>
      </c>
      <c r="H161">
        <f>IF('Extra 1'!$A161="","",'Extra 1'!P161)</f>
        <v/>
      </c>
      <c r="I161">
        <f>IF('Extra 1'!$A161="","",'Extra 1'!M161)</f>
        <v/>
      </c>
      <c r="J161" s="7">
        <f>IF('Extra 1'!$A161="","",'Extra 1'!Q161)</f>
        <v/>
      </c>
      <c r="K161" s="7">
        <f>IF('Extra 1'!$A161="","",'Extra 1'!H161)</f>
        <v/>
      </c>
      <c r="L161" s="7">
        <f>IF('Extra 1'!$A161="","",'Extra 1'!T161)</f>
        <v/>
      </c>
      <c r="M161">
        <f>IF('Extra 1'!$A161="","",'Extra 1'!G161)</f>
        <v/>
      </c>
    </row>
    <row r="162">
      <c r="A162">
        <f>IF('Extra 1'!$A162="","",ROWS($A$2:$A162))</f>
        <v/>
      </c>
      <c r="B162">
        <f>IF('Extra 1'!$A162="","",'Extra 1'!E162)</f>
        <v/>
      </c>
      <c r="C162">
        <f>IF('Extra 1'!$A162="","",'Extra 1'!F162)</f>
        <v/>
      </c>
      <c r="D162" s="14">
        <f>IF('Extra 1'!$A162="","",'Extra 1'!I162)</f>
        <v/>
      </c>
      <c r="E162" s="7">
        <f>IF('Extra 1'!$A162="","",'Extra 1'!O162)</f>
        <v/>
      </c>
      <c r="F162" s="7">
        <f>IF('Extra 1'!$A162="","",'Extra 1'!L162)</f>
        <v/>
      </c>
      <c r="G162" s="7">
        <f>IF('Extra 1'!$A162="","",'Extra 1'!S162)</f>
        <v/>
      </c>
      <c r="H162">
        <f>IF('Extra 1'!$A162="","",'Extra 1'!P162)</f>
        <v/>
      </c>
      <c r="I162">
        <f>IF('Extra 1'!$A162="","",'Extra 1'!M162)</f>
        <v/>
      </c>
      <c r="J162" s="7">
        <f>IF('Extra 1'!$A162="","",'Extra 1'!Q162)</f>
        <v/>
      </c>
      <c r="K162" s="7">
        <f>IF('Extra 1'!$A162="","",'Extra 1'!H162)</f>
        <v/>
      </c>
      <c r="L162" s="7">
        <f>IF('Extra 1'!$A162="","",'Extra 1'!T162)</f>
        <v/>
      </c>
      <c r="M162">
        <f>IF('Extra 1'!$A162="","",'Extra 1'!G162)</f>
        <v/>
      </c>
    </row>
    <row r="163">
      <c r="A163">
        <f>IF('Extra 1'!$A163="","",ROWS($A$2:$A163))</f>
        <v/>
      </c>
      <c r="B163">
        <f>IF('Extra 1'!$A163="","",'Extra 1'!E163)</f>
        <v/>
      </c>
      <c r="C163">
        <f>IF('Extra 1'!$A163="","",'Extra 1'!F163)</f>
        <v/>
      </c>
      <c r="D163" s="14">
        <f>IF('Extra 1'!$A163="","",'Extra 1'!I163)</f>
        <v/>
      </c>
      <c r="E163" s="7">
        <f>IF('Extra 1'!$A163="","",'Extra 1'!O163)</f>
        <v/>
      </c>
      <c r="F163" s="7">
        <f>IF('Extra 1'!$A163="","",'Extra 1'!L163)</f>
        <v/>
      </c>
      <c r="G163" s="7">
        <f>IF('Extra 1'!$A163="","",'Extra 1'!S163)</f>
        <v/>
      </c>
      <c r="H163">
        <f>IF('Extra 1'!$A163="","",'Extra 1'!P163)</f>
        <v/>
      </c>
      <c r="I163">
        <f>IF('Extra 1'!$A163="","",'Extra 1'!M163)</f>
        <v/>
      </c>
      <c r="J163" s="7">
        <f>IF('Extra 1'!$A163="","",'Extra 1'!Q163)</f>
        <v/>
      </c>
      <c r="K163" s="7">
        <f>IF('Extra 1'!$A163="","",'Extra 1'!H163)</f>
        <v/>
      </c>
      <c r="L163" s="7">
        <f>IF('Extra 1'!$A163="","",'Extra 1'!T163)</f>
        <v/>
      </c>
      <c r="M163">
        <f>IF('Extra 1'!$A163="","",'Extra 1'!G163)</f>
        <v/>
      </c>
    </row>
    <row r="164">
      <c r="A164">
        <f>IF('Extra 1'!$A164="","",ROWS($A$2:$A164))</f>
        <v/>
      </c>
      <c r="B164">
        <f>IF('Extra 1'!$A164="","",'Extra 1'!E164)</f>
        <v/>
      </c>
      <c r="C164">
        <f>IF('Extra 1'!$A164="","",'Extra 1'!F164)</f>
        <v/>
      </c>
      <c r="D164" s="14">
        <f>IF('Extra 1'!$A164="","",'Extra 1'!I164)</f>
        <v/>
      </c>
      <c r="E164" s="7">
        <f>IF('Extra 1'!$A164="","",'Extra 1'!O164)</f>
        <v/>
      </c>
      <c r="F164" s="7">
        <f>IF('Extra 1'!$A164="","",'Extra 1'!L164)</f>
        <v/>
      </c>
      <c r="G164" s="7">
        <f>IF('Extra 1'!$A164="","",'Extra 1'!S164)</f>
        <v/>
      </c>
      <c r="H164">
        <f>IF('Extra 1'!$A164="","",'Extra 1'!P164)</f>
        <v/>
      </c>
      <c r="I164">
        <f>IF('Extra 1'!$A164="","",'Extra 1'!M164)</f>
        <v/>
      </c>
      <c r="J164" s="7">
        <f>IF('Extra 1'!$A164="","",'Extra 1'!Q164)</f>
        <v/>
      </c>
      <c r="K164" s="7">
        <f>IF('Extra 1'!$A164="","",'Extra 1'!H164)</f>
        <v/>
      </c>
      <c r="L164" s="7">
        <f>IF('Extra 1'!$A164="","",'Extra 1'!T164)</f>
        <v/>
      </c>
      <c r="M164">
        <f>IF('Extra 1'!$A164="","",'Extra 1'!G164)</f>
        <v/>
      </c>
    </row>
    <row r="165">
      <c r="A165">
        <f>IF('Extra 1'!$A165="","",ROWS($A$2:$A165))</f>
        <v/>
      </c>
      <c r="B165">
        <f>IF('Extra 1'!$A165="","",'Extra 1'!E165)</f>
        <v/>
      </c>
      <c r="C165">
        <f>IF('Extra 1'!$A165="","",'Extra 1'!F165)</f>
        <v/>
      </c>
      <c r="D165" s="14">
        <f>IF('Extra 1'!$A165="","",'Extra 1'!I165)</f>
        <v/>
      </c>
      <c r="E165" s="7">
        <f>IF('Extra 1'!$A165="","",'Extra 1'!O165)</f>
        <v/>
      </c>
      <c r="F165" s="7">
        <f>IF('Extra 1'!$A165="","",'Extra 1'!L165)</f>
        <v/>
      </c>
      <c r="G165" s="7">
        <f>IF('Extra 1'!$A165="","",'Extra 1'!S165)</f>
        <v/>
      </c>
      <c r="H165">
        <f>IF('Extra 1'!$A165="","",'Extra 1'!P165)</f>
        <v/>
      </c>
      <c r="I165">
        <f>IF('Extra 1'!$A165="","",'Extra 1'!M165)</f>
        <v/>
      </c>
      <c r="J165" s="7">
        <f>IF('Extra 1'!$A165="","",'Extra 1'!Q165)</f>
        <v/>
      </c>
      <c r="K165" s="7">
        <f>IF('Extra 1'!$A165="","",'Extra 1'!H165)</f>
        <v/>
      </c>
      <c r="L165" s="7">
        <f>IF('Extra 1'!$A165="","",'Extra 1'!T165)</f>
        <v/>
      </c>
      <c r="M165">
        <f>IF('Extra 1'!$A165="","",'Extra 1'!G165)</f>
        <v/>
      </c>
    </row>
    <row r="166">
      <c r="A166">
        <f>IF('Extra 1'!$A166="","",ROWS($A$2:$A166))</f>
        <v/>
      </c>
      <c r="B166">
        <f>IF('Extra 1'!$A166="","",'Extra 1'!E166)</f>
        <v/>
      </c>
      <c r="C166">
        <f>IF('Extra 1'!$A166="","",'Extra 1'!F166)</f>
        <v/>
      </c>
      <c r="D166" s="14">
        <f>IF('Extra 1'!$A166="","",'Extra 1'!I166)</f>
        <v/>
      </c>
      <c r="E166" s="7">
        <f>IF('Extra 1'!$A166="","",'Extra 1'!O166)</f>
        <v/>
      </c>
      <c r="F166" s="7">
        <f>IF('Extra 1'!$A166="","",'Extra 1'!L166)</f>
        <v/>
      </c>
      <c r="G166" s="7">
        <f>IF('Extra 1'!$A166="","",'Extra 1'!S166)</f>
        <v/>
      </c>
      <c r="H166">
        <f>IF('Extra 1'!$A166="","",'Extra 1'!P166)</f>
        <v/>
      </c>
      <c r="I166">
        <f>IF('Extra 1'!$A166="","",'Extra 1'!M166)</f>
        <v/>
      </c>
      <c r="J166" s="7">
        <f>IF('Extra 1'!$A166="","",'Extra 1'!Q166)</f>
        <v/>
      </c>
      <c r="K166" s="7">
        <f>IF('Extra 1'!$A166="","",'Extra 1'!H166)</f>
        <v/>
      </c>
      <c r="L166" s="7">
        <f>IF('Extra 1'!$A166="","",'Extra 1'!T166)</f>
        <v/>
      </c>
      <c r="M166">
        <f>IF('Extra 1'!$A166="","",'Extra 1'!G166)</f>
        <v/>
      </c>
    </row>
    <row r="167">
      <c r="A167">
        <f>IF('Extra 1'!$A167="","",ROWS($A$2:$A167))</f>
        <v/>
      </c>
      <c r="B167">
        <f>IF('Extra 1'!$A167="","",'Extra 1'!E167)</f>
        <v/>
      </c>
      <c r="C167">
        <f>IF('Extra 1'!$A167="","",'Extra 1'!F167)</f>
        <v/>
      </c>
      <c r="D167" s="14">
        <f>IF('Extra 1'!$A167="","",'Extra 1'!I167)</f>
        <v/>
      </c>
      <c r="E167" s="7">
        <f>IF('Extra 1'!$A167="","",'Extra 1'!O167)</f>
        <v/>
      </c>
      <c r="F167" s="7">
        <f>IF('Extra 1'!$A167="","",'Extra 1'!L167)</f>
        <v/>
      </c>
      <c r="G167" s="7">
        <f>IF('Extra 1'!$A167="","",'Extra 1'!S167)</f>
        <v/>
      </c>
      <c r="H167">
        <f>IF('Extra 1'!$A167="","",'Extra 1'!P167)</f>
        <v/>
      </c>
      <c r="I167">
        <f>IF('Extra 1'!$A167="","",'Extra 1'!M167)</f>
        <v/>
      </c>
      <c r="J167" s="7">
        <f>IF('Extra 1'!$A167="","",'Extra 1'!Q167)</f>
        <v/>
      </c>
      <c r="K167" s="7">
        <f>IF('Extra 1'!$A167="","",'Extra 1'!H167)</f>
        <v/>
      </c>
      <c r="L167" s="7">
        <f>IF('Extra 1'!$A167="","",'Extra 1'!T167)</f>
        <v/>
      </c>
      <c r="M167">
        <f>IF('Extra 1'!$A167="","",'Extra 1'!G167)</f>
        <v/>
      </c>
    </row>
    <row r="168">
      <c r="A168">
        <f>IF('Extra 1'!$A168="","",ROWS($A$2:$A168))</f>
        <v/>
      </c>
      <c r="B168">
        <f>IF('Extra 1'!$A168="","",'Extra 1'!E168)</f>
        <v/>
      </c>
      <c r="C168">
        <f>IF('Extra 1'!$A168="","",'Extra 1'!F168)</f>
        <v/>
      </c>
      <c r="D168" s="14">
        <f>IF('Extra 1'!$A168="","",'Extra 1'!I168)</f>
        <v/>
      </c>
      <c r="E168" s="7">
        <f>IF('Extra 1'!$A168="","",'Extra 1'!O168)</f>
        <v/>
      </c>
      <c r="F168" s="7">
        <f>IF('Extra 1'!$A168="","",'Extra 1'!L168)</f>
        <v/>
      </c>
      <c r="G168" s="7">
        <f>IF('Extra 1'!$A168="","",'Extra 1'!S168)</f>
        <v/>
      </c>
      <c r="H168">
        <f>IF('Extra 1'!$A168="","",'Extra 1'!P168)</f>
        <v/>
      </c>
      <c r="I168">
        <f>IF('Extra 1'!$A168="","",'Extra 1'!M168)</f>
        <v/>
      </c>
      <c r="J168" s="7">
        <f>IF('Extra 1'!$A168="","",'Extra 1'!Q168)</f>
        <v/>
      </c>
      <c r="K168" s="7">
        <f>IF('Extra 1'!$A168="","",'Extra 1'!H168)</f>
        <v/>
      </c>
      <c r="L168" s="7">
        <f>IF('Extra 1'!$A168="","",'Extra 1'!T168)</f>
        <v/>
      </c>
      <c r="M168">
        <f>IF('Extra 1'!$A168="","",'Extra 1'!G168)</f>
        <v/>
      </c>
    </row>
    <row r="169">
      <c r="A169">
        <f>IF('Extra 1'!$A169="","",ROWS($A$2:$A169))</f>
        <v/>
      </c>
      <c r="B169">
        <f>IF('Extra 1'!$A169="","",'Extra 1'!E169)</f>
        <v/>
      </c>
      <c r="C169">
        <f>IF('Extra 1'!$A169="","",'Extra 1'!F169)</f>
        <v/>
      </c>
      <c r="D169" s="14">
        <f>IF('Extra 1'!$A169="","",'Extra 1'!I169)</f>
        <v/>
      </c>
      <c r="E169" s="7">
        <f>IF('Extra 1'!$A169="","",'Extra 1'!O169)</f>
        <v/>
      </c>
      <c r="F169" s="7">
        <f>IF('Extra 1'!$A169="","",'Extra 1'!L169)</f>
        <v/>
      </c>
      <c r="G169" s="7">
        <f>IF('Extra 1'!$A169="","",'Extra 1'!S169)</f>
        <v/>
      </c>
      <c r="H169">
        <f>IF('Extra 1'!$A169="","",'Extra 1'!P169)</f>
        <v/>
      </c>
      <c r="I169">
        <f>IF('Extra 1'!$A169="","",'Extra 1'!M169)</f>
        <v/>
      </c>
      <c r="J169" s="7">
        <f>IF('Extra 1'!$A169="","",'Extra 1'!Q169)</f>
        <v/>
      </c>
      <c r="K169" s="7">
        <f>IF('Extra 1'!$A169="","",'Extra 1'!H169)</f>
        <v/>
      </c>
      <c r="L169" s="7">
        <f>IF('Extra 1'!$A169="","",'Extra 1'!T169)</f>
        <v/>
      </c>
      <c r="M169">
        <f>IF('Extra 1'!$A169="","",'Extra 1'!G169)</f>
        <v/>
      </c>
    </row>
    <row r="170">
      <c r="A170">
        <f>IF('Extra 1'!$A170="","",ROWS($A$2:$A170))</f>
        <v/>
      </c>
      <c r="B170">
        <f>IF('Extra 1'!$A170="","",'Extra 1'!E170)</f>
        <v/>
      </c>
      <c r="C170">
        <f>IF('Extra 1'!$A170="","",'Extra 1'!F170)</f>
        <v/>
      </c>
      <c r="D170" s="14">
        <f>IF('Extra 1'!$A170="","",'Extra 1'!I170)</f>
        <v/>
      </c>
      <c r="E170" s="7">
        <f>IF('Extra 1'!$A170="","",'Extra 1'!O170)</f>
        <v/>
      </c>
      <c r="F170" s="7">
        <f>IF('Extra 1'!$A170="","",'Extra 1'!L170)</f>
        <v/>
      </c>
      <c r="G170" s="7">
        <f>IF('Extra 1'!$A170="","",'Extra 1'!S170)</f>
        <v/>
      </c>
      <c r="H170">
        <f>IF('Extra 1'!$A170="","",'Extra 1'!P170)</f>
        <v/>
      </c>
      <c r="I170">
        <f>IF('Extra 1'!$A170="","",'Extra 1'!M170)</f>
        <v/>
      </c>
      <c r="J170" s="7">
        <f>IF('Extra 1'!$A170="","",'Extra 1'!Q170)</f>
        <v/>
      </c>
      <c r="K170" s="7">
        <f>IF('Extra 1'!$A170="","",'Extra 1'!H170)</f>
        <v/>
      </c>
      <c r="L170" s="7">
        <f>IF('Extra 1'!$A170="","",'Extra 1'!T170)</f>
        <v/>
      </c>
      <c r="M170">
        <f>IF('Extra 1'!$A170="","",'Extra 1'!G170)</f>
        <v/>
      </c>
    </row>
    <row r="171">
      <c r="A171">
        <f>IF('Extra 1'!$A171="","",ROWS($A$2:$A171))</f>
        <v/>
      </c>
      <c r="B171">
        <f>IF('Extra 1'!$A171="","",'Extra 1'!E171)</f>
        <v/>
      </c>
      <c r="C171">
        <f>IF('Extra 1'!$A171="","",'Extra 1'!F171)</f>
        <v/>
      </c>
      <c r="D171" s="14">
        <f>IF('Extra 1'!$A171="","",'Extra 1'!I171)</f>
        <v/>
      </c>
      <c r="E171" s="7">
        <f>IF('Extra 1'!$A171="","",'Extra 1'!O171)</f>
        <v/>
      </c>
      <c r="F171" s="7">
        <f>IF('Extra 1'!$A171="","",'Extra 1'!L171)</f>
        <v/>
      </c>
      <c r="G171" s="7">
        <f>IF('Extra 1'!$A171="","",'Extra 1'!S171)</f>
        <v/>
      </c>
      <c r="H171">
        <f>IF('Extra 1'!$A171="","",'Extra 1'!P171)</f>
        <v/>
      </c>
      <c r="I171">
        <f>IF('Extra 1'!$A171="","",'Extra 1'!M171)</f>
        <v/>
      </c>
      <c r="J171" s="7">
        <f>IF('Extra 1'!$A171="","",'Extra 1'!Q171)</f>
        <v/>
      </c>
      <c r="K171" s="7">
        <f>IF('Extra 1'!$A171="","",'Extra 1'!H171)</f>
        <v/>
      </c>
      <c r="L171" s="7">
        <f>IF('Extra 1'!$A171="","",'Extra 1'!T171)</f>
        <v/>
      </c>
      <c r="M171">
        <f>IF('Extra 1'!$A171="","",'Extra 1'!G171)</f>
        <v/>
      </c>
    </row>
    <row r="172">
      <c r="A172">
        <f>IF('Extra 1'!$A172="","",ROWS($A$2:$A172))</f>
        <v/>
      </c>
      <c r="B172">
        <f>IF('Extra 1'!$A172="","",'Extra 1'!E172)</f>
        <v/>
      </c>
      <c r="C172">
        <f>IF('Extra 1'!$A172="","",'Extra 1'!F172)</f>
        <v/>
      </c>
      <c r="D172" s="14">
        <f>IF('Extra 1'!$A172="","",'Extra 1'!I172)</f>
        <v/>
      </c>
      <c r="E172" s="7">
        <f>IF('Extra 1'!$A172="","",'Extra 1'!O172)</f>
        <v/>
      </c>
      <c r="F172" s="7">
        <f>IF('Extra 1'!$A172="","",'Extra 1'!L172)</f>
        <v/>
      </c>
      <c r="G172" s="7">
        <f>IF('Extra 1'!$A172="","",'Extra 1'!S172)</f>
        <v/>
      </c>
      <c r="H172">
        <f>IF('Extra 1'!$A172="","",'Extra 1'!P172)</f>
        <v/>
      </c>
      <c r="I172">
        <f>IF('Extra 1'!$A172="","",'Extra 1'!M172)</f>
        <v/>
      </c>
      <c r="J172" s="7">
        <f>IF('Extra 1'!$A172="","",'Extra 1'!Q172)</f>
        <v/>
      </c>
      <c r="K172" s="7">
        <f>IF('Extra 1'!$A172="","",'Extra 1'!H172)</f>
        <v/>
      </c>
      <c r="L172" s="7">
        <f>IF('Extra 1'!$A172="","",'Extra 1'!T172)</f>
        <v/>
      </c>
      <c r="M172">
        <f>IF('Extra 1'!$A172="","",'Extra 1'!G172)</f>
        <v/>
      </c>
    </row>
    <row r="173">
      <c r="A173">
        <f>IF('Extra 1'!$A173="","",ROWS($A$2:$A173))</f>
        <v/>
      </c>
      <c r="B173">
        <f>IF('Extra 1'!$A173="","",'Extra 1'!E173)</f>
        <v/>
      </c>
      <c r="C173">
        <f>IF('Extra 1'!$A173="","",'Extra 1'!F173)</f>
        <v/>
      </c>
      <c r="D173" s="14">
        <f>IF('Extra 1'!$A173="","",'Extra 1'!I173)</f>
        <v/>
      </c>
      <c r="E173" s="7">
        <f>IF('Extra 1'!$A173="","",'Extra 1'!O173)</f>
        <v/>
      </c>
      <c r="F173" s="7">
        <f>IF('Extra 1'!$A173="","",'Extra 1'!L173)</f>
        <v/>
      </c>
      <c r="G173" s="7">
        <f>IF('Extra 1'!$A173="","",'Extra 1'!S173)</f>
        <v/>
      </c>
      <c r="H173">
        <f>IF('Extra 1'!$A173="","",'Extra 1'!P173)</f>
        <v/>
      </c>
      <c r="I173">
        <f>IF('Extra 1'!$A173="","",'Extra 1'!M173)</f>
        <v/>
      </c>
      <c r="J173" s="7">
        <f>IF('Extra 1'!$A173="","",'Extra 1'!Q173)</f>
        <v/>
      </c>
      <c r="K173" s="7">
        <f>IF('Extra 1'!$A173="","",'Extra 1'!H173)</f>
        <v/>
      </c>
      <c r="L173" s="7">
        <f>IF('Extra 1'!$A173="","",'Extra 1'!T173)</f>
        <v/>
      </c>
      <c r="M173">
        <f>IF('Extra 1'!$A173="","",'Extra 1'!G173)</f>
        <v/>
      </c>
    </row>
    <row r="174">
      <c r="A174">
        <f>IF('Extra 1'!$A174="","",ROWS($A$2:$A174))</f>
        <v/>
      </c>
      <c r="B174">
        <f>IF('Extra 1'!$A174="","",'Extra 1'!E174)</f>
        <v/>
      </c>
      <c r="C174">
        <f>IF('Extra 1'!$A174="","",'Extra 1'!F174)</f>
        <v/>
      </c>
      <c r="D174" s="14">
        <f>IF('Extra 1'!$A174="","",'Extra 1'!I174)</f>
        <v/>
      </c>
      <c r="E174" s="7">
        <f>IF('Extra 1'!$A174="","",'Extra 1'!O174)</f>
        <v/>
      </c>
      <c r="F174" s="7">
        <f>IF('Extra 1'!$A174="","",'Extra 1'!L174)</f>
        <v/>
      </c>
      <c r="G174" s="7">
        <f>IF('Extra 1'!$A174="","",'Extra 1'!S174)</f>
        <v/>
      </c>
      <c r="H174">
        <f>IF('Extra 1'!$A174="","",'Extra 1'!P174)</f>
        <v/>
      </c>
      <c r="I174">
        <f>IF('Extra 1'!$A174="","",'Extra 1'!M174)</f>
        <v/>
      </c>
      <c r="J174" s="7">
        <f>IF('Extra 1'!$A174="","",'Extra 1'!Q174)</f>
        <v/>
      </c>
      <c r="K174" s="7">
        <f>IF('Extra 1'!$A174="","",'Extra 1'!H174)</f>
        <v/>
      </c>
      <c r="L174" s="7">
        <f>IF('Extra 1'!$A174="","",'Extra 1'!T174)</f>
        <v/>
      </c>
      <c r="M174">
        <f>IF('Extra 1'!$A174="","",'Extra 1'!G174)</f>
        <v/>
      </c>
    </row>
    <row r="175">
      <c r="A175">
        <f>IF('Extra 1'!$A175="","",ROWS($A$2:$A175))</f>
        <v/>
      </c>
      <c r="B175">
        <f>IF('Extra 1'!$A175="","",'Extra 1'!E175)</f>
        <v/>
      </c>
      <c r="C175">
        <f>IF('Extra 1'!$A175="","",'Extra 1'!F175)</f>
        <v/>
      </c>
      <c r="D175" s="14">
        <f>IF('Extra 1'!$A175="","",'Extra 1'!I175)</f>
        <v/>
      </c>
      <c r="E175" s="7">
        <f>IF('Extra 1'!$A175="","",'Extra 1'!O175)</f>
        <v/>
      </c>
      <c r="F175" s="7">
        <f>IF('Extra 1'!$A175="","",'Extra 1'!L175)</f>
        <v/>
      </c>
      <c r="G175" s="7">
        <f>IF('Extra 1'!$A175="","",'Extra 1'!S175)</f>
        <v/>
      </c>
      <c r="H175">
        <f>IF('Extra 1'!$A175="","",'Extra 1'!P175)</f>
        <v/>
      </c>
      <c r="I175">
        <f>IF('Extra 1'!$A175="","",'Extra 1'!M175)</f>
        <v/>
      </c>
      <c r="J175" s="7">
        <f>IF('Extra 1'!$A175="","",'Extra 1'!Q175)</f>
        <v/>
      </c>
      <c r="K175" s="7">
        <f>IF('Extra 1'!$A175="","",'Extra 1'!H175)</f>
        <v/>
      </c>
      <c r="L175" s="7">
        <f>IF('Extra 1'!$A175="","",'Extra 1'!T175)</f>
        <v/>
      </c>
      <c r="M175">
        <f>IF('Extra 1'!$A175="","",'Extra 1'!G175)</f>
        <v/>
      </c>
    </row>
    <row r="176">
      <c r="A176">
        <f>IF('Extra 1'!$A176="","",ROWS($A$2:$A176))</f>
        <v/>
      </c>
      <c r="B176">
        <f>IF('Extra 1'!$A176="","",'Extra 1'!E176)</f>
        <v/>
      </c>
      <c r="C176">
        <f>IF('Extra 1'!$A176="","",'Extra 1'!F176)</f>
        <v/>
      </c>
      <c r="D176" s="14">
        <f>IF('Extra 1'!$A176="","",'Extra 1'!I176)</f>
        <v/>
      </c>
      <c r="E176" s="7">
        <f>IF('Extra 1'!$A176="","",'Extra 1'!O176)</f>
        <v/>
      </c>
      <c r="F176" s="7">
        <f>IF('Extra 1'!$A176="","",'Extra 1'!L176)</f>
        <v/>
      </c>
      <c r="G176" s="7">
        <f>IF('Extra 1'!$A176="","",'Extra 1'!S176)</f>
        <v/>
      </c>
      <c r="H176">
        <f>IF('Extra 1'!$A176="","",'Extra 1'!P176)</f>
        <v/>
      </c>
      <c r="I176">
        <f>IF('Extra 1'!$A176="","",'Extra 1'!M176)</f>
        <v/>
      </c>
      <c r="J176" s="7">
        <f>IF('Extra 1'!$A176="","",'Extra 1'!Q176)</f>
        <v/>
      </c>
      <c r="K176" s="7">
        <f>IF('Extra 1'!$A176="","",'Extra 1'!H176)</f>
        <v/>
      </c>
      <c r="L176" s="7">
        <f>IF('Extra 1'!$A176="","",'Extra 1'!T176)</f>
        <v/>
      </c>
      <c r="M176">
        <f>IF('Extra 1'!$A176="","",'Extra 1'!G176)</f>
        <v/>
      </c>
    </row>
    <row r="177">
      <c r="A177">
        <f>IF('Extra 1'!$A177="","",ROWS($A$2:$A177))</f>
        <v/>
      </c>
      <c r="B177">
        <f>IF('Extra 1'!$A177="","",'Extra 1'!E177)</f>
        <v/>
      </c>
      <c r="C177">
        <f>IF('Extra 1'!$A177="","",'Extra 1'!F177)</f>
        <v/>
      </c>
      <c r="D177" s="14">
        <f>IF('Extra 1'!$A177="","",'Extra 1'!I177)</f>
        <v/>
      </c>
      <c r="E177" s="7">
        <f>IF('Extra 1'!$A177="","",'Extra 1'!O177)</f>
        <v/>
      </c>
      <c r="F177" s="7">
        <f>IF('Extra 1'!$A177="","",'Extra 1'!L177)</f>
        <v/>
      </c>
      <c r="G177" s="7">
        <f>IF('Extra 1'!$A177="","",'Extra 1'!S177)</f>
        <v/>
      </c>
      <c r="H177">
        <f>IF('Extra 1'!$A177="","",'Extra 1'!P177)</f>
        <v/>
      </c>
      <c r="I177">
        <f>IF('Extra 1'!$A177="","",'Extra 1'!M177)</f>
        <v/>
      </c>
      <c r="J177" s="7">
        <f>IF('Extra 1'!$A177="","",'Extra 1'!Q177)</f>
        <v/>
      </c>
      <c r="K177" s="7">
        <f>IF('Extra 1'!$A177="","",'Extra 1'!H177)</f>
        <v/>
      </c>
      <c r="L177" s="7">
        <f>IF('Extra 1'!$A177="","",'Extra 1'!T177)</f>
        <v/>
      </c>
      <c r="M177">
        <f>IF('Extra 1'!$A177="","",'Extra 1'!G177)</f>
        <v/>
      </c>
    </row>
    <row r="178">
      <c r="A178">
        <f>IF('Extra 1'!$A178="","",ROWS($A$2:$A178))</f>
        <v/>
      </c>
      <c r="B178">
        <f>IF('Extra 1'!$A178="","",'Extra 1'!E178)</f>
        <v/>
      </c>
      <c r="C178">
        <f>IF('Extra 1'!$A178="","",'Extra 1'!F178)</f>
        <v/>
      </c>
      <c r="D178" s="14">
        <f>IF('Extra 1'!$A178="","",'Extra 1'!I178)</f>
        <v/>
      </c>
      <c r="E178" s="7">
        <f>IF('Extra 1'!$A178="","",'Extra 1'!O178)</f>
        <v/>
      </c>
      <c r="F178" s="7">
        <f>IF('Extra 1'!$A178="","",'Extra 1'!L178)</f>
        <v/>
      </c>
      <c r="G178" s="7">
        <f>IF('Extra 1'!$A178="","",'Extra 1'!S178)</f>
        <v/>
      </c>
      <c r="H178">
        <f>IF('Extra 1'!$A178="","",'Extra 1'!P178)</f>
        <v/>
      </c>
      <c r="I178">
        <f>IF('Extra 1'!$A178="","",'Extra 1'!M178)</f>
        <v/>
      </c>
      <c r="J178" s="7">
        <f>IF('Extra 1'!$A178="","",'Extra 1'!Q178)</f>
        <v/>
      </c>
      <c r="K178" s="7">
        <f>IF('Extra 1'!$A178="","",'Extra 1'!H178)</f>
        <v/>
      </c>
      <c r="L178" s="7">
        <f>IF('Extra 1'!$A178="","",'Extra 1'!T178)</f>
        <v/>
      </c>
      <c r="M178">
        <f>IF('Extra 1'!$A178="","",'Extra 1'!G178)</f>
        <v/>
      </c>
    </row>
    <row r="179">
      <c r="A179">
        <f>IF('Extra 1'!$A179="","",ROWS($A$2:$A179))</f>
        <v/>
      </c>
      <c r="B179">
        <f>IF('Extra 1'!$A179="","",'Extra 1'!E179)</f>
        <v/>
      </c>
      <c r="C179">
        <f>IF('Extra 1'!$A179="","",'Extra 1'!F179)</f>
        <v/>
      </c>
      <c r="D179" s="14">
        <f>IF('Extra 1'!$A179="","",'Extra 1'!I179)</f>
        <v/>
      </c>
      <c r="E179" s="7">
        <f>IF('Extra 1'!$A179="","",'Extra 1'!O179)</f>
        <v/>
      </c>
      <c r="F179" s="7">
        <f>IF('Extra 1'!$A179="","",'Extra 1'!L179)</f>
        <v/>
      </c>
      <c r="G179" s="7">
        <f>IF('Extra 1'!$A179="","",'Extra 1'!S179)</f>
        <v/>
      </c>
      <c r="H179">
        <f>IF('Extra 1'!$A179="","",'Extra 1'!P179)</f>
        <v/>
      </c>
      <c r="I179">
        <f>IF('Extra 1'!$A179="","",'Extra 1'!M179)</f>
        <v/>
      </c>
      <c r="J179" s="7">
        <f>IF('Extra 1'!$A179="","",'Extra 1'!Q179)</f>
        <v/>
      </c>
      <c r="K179" s="7">
        <f>IF('Extra 1'!$A179="","",'Extra 1'!H179)</f>
        <v/>
      </c>
      <c r="L179" s="7">
        <f>IF('Extra 1'!$A179="","",'Extra 1'!T179)</f>
        <v/>
      </c>
      <c r="M179">
        <f>IF('Extra 1'!$A179="","",'Extra 1'!G179)</f>
        <v/>
      </c>
    </row>
    <row r="180">
      <c r="A180">
        <f>IF('Extra 1'!$A180="","",ROWS($A$2:$A180))</f>
        <v/>
      </c>
      <c r="B180">
        <f>IF('Extra 1'!$A180="","",'Extra 1'!E180)</f>
        <v/>
      </c>
      <c r="C180">
        <f>IF('Extra 1'!$A180="","",'Extra 1'!F180)</f>
        <v/>
      </c>
      <c r="D180" s="14">
        <f>IF('Extra 1'!$A180="","",'Extra 1'!I180)</f>
        <v/>
      </c>
      <c r="E180" s="7">
        <f>IF('Extra 1'!$A180="","",'Extra 1'!O180)</f>
        <v/>
      </c>
      <c r="F180" s="7">
        <f>IF('Extra 1'!$A180="","",'Extra 1'!L180)</f>
        <v/>
      </c>
      <c r="G180" s="7">
        <f>IF('Extra 1'!$A180="","",'Extra 1'!S180)</f>
        <v/>
      </c>
      <c r="H180">
        <f>IF('Extra 1'!$A180="","",'Extra 1'!P180)</f>
        <v/>
      </c>
      <c r="I180">
        <f>IF('Extra 1'!$A180="","",'Extra 1'!M180)</f>
        <v/>
      </c>
      <c r="J180" s="7">
        <f>IF('Extra 1'!$A180="","",'Extra 1'!Q180)</f>
        <v/>
      </c>
      <c r="K180" s="7">
        <f>IF('Extra 1'!$A180="","",'Extra 1'!H180)</f>
        <v/>
      </c>
      <c r="L180" s="7">
        <f>IF('Extra 1'!$A180="","",'Extra 1'!T180)</f>
        <v/>
      </c>
      <c r="M180">
        <f>IF('Extra 1'!$A180="","",'Extra 1'!G180)</f>
        <v/>
      </c>
    </row>
    <row r="181">
      <c r="A181">
        <f>IF('Extra 1'!$A181="","",ROWS($A$2:$A181))</f>
        <v/>
      </c>
      <c r="B181">
        <f>IF('Extra 1'!$A181="","",'Extra 1'!E181)</f>
        <v/>
      </c>
      <c r="C181">
        <f>IF('Extra 1'!$A181="","",'Extra 1'!F181)</f>
        <v/>
      </c>
      <c r="D181" s="14">
        <f>IF('Extra 1'!$A181="","",'Extra 1'!I181)</f>
        <v/>
      </c>
      <c r="E181" s="7">
        <f>IF('Extra 1'!$A181="","",'Extra 1'!O181)</f>
        <v/>
      </c>
      <c r="F181" s="7">
        <f>IF('Extra 1'!$A181="","",'Extra 1'!L181)</f>
        <v/>
      </c>
      <c r="G181" s="7">
        <f>IF('Extra 1'!$A181="","",'Extra 1'!S181)</f>
        <v/>
      </c>
      <c r="H181">
        <f>IF('Extra 1'!$A181="","",'Extra 1'!P181)</f>
        <v/>
      </c>
      <c r="I181">
        <f>IF('Extra 1'!$A181="","",'Extra 1'!M181)</f>
        <v/>
      </c>
      <c r="J181" s="7">
        <f>IF('Extra 1'!$A181="","",'Extra 1'!Q181)</f>
        <v/>
      </c>
      <c r="K181" s="7">
        <f>IF('Extra 1'!$A181="","",'Extra 1'!H181)</f>
        <v/>
      </c>
      <c r="L181" s="7">
        <f>IF('Extra 1'!$A181="","",'Extra 1'!T181)</f>
        <v/>
      </c>
      <c r="M181">
        <f>IF('Extra 1'!$A181="","",'Extra 1'!G181)</f>
        <v/>
      </c>
    </row>
    <row r="182">
      <c r="A182">
        <f>IF('Extra 1'!$A182="","",ROWS($A$2:$A182))</f>
        <v/>
      </c>
      <c r="B182">
        <f>IF('Extra 1'!$A182="","",'Extra 1'!E182)</f>
        <v/>
      </c>
      <c r="C182">
        <f>IF('Extra 1'!$A182="","",'Extra 1'!F182)</f>
        <v/>
      </c>
      <c r="D182" s="14">
        <f>IF('Extra 1'!$A182="","",'Extra 1'!I182)</f>
        <v/>
      </c>
      <c r="E182" s="7">
        <f>IF('Extra 1'!$A182="","",'Extra 1'!O182)</f>
        <v/>
      </c>
      <c r="F182" s="7">
        <f>IF('Extra 1'!$A182="","",'Extra 1'!L182)</f>
        <v/>
      </c>
      <c r="G182" s="7">
        <f>IF('Extra 1'!$A182="","",'Extra 1'!S182)</f>
        <v/>
      </c>
      <c r="H182">
        <f>IF('Extra 1'!$A182="","",'Extra 1'!P182)</f>
        <v/>
      </c>
      <c r="I182">
        <f>IF('Extra 1'!$A182="","",'Extra 1'!M182)</f>
        <v/>
      </c>
      <c r="J182" s="7">
        <f>IF('Extra 1'!$A182="","",'Extra 1'!Q182)</f>
        <v/>
      </c>
      <c r="K182" s="7">
        <f>IF('Extra 1'!$A182="","",'Extra 1'!H182)</f>
        <v/>
      </c>
      <c r="L182" s="7">
        <f>IF('Extra 1'!$A182="","",'Extra 1'!T182)</f>
        <v/>
      </c>
      <c r="M182">
        <f>IF('Extra 1'!$A182="","",'Extra 1'!G182)</f>
        <v/>
      </c>
    </row>
    <row r="183">
      <c r="A183">
        <f>IF('Extra 1'!$A183="","",ROWS($A$2:$A183))</f>
        <v/>
      </c>
      <c r="B183">
        <f>IF('Extra 1'!$A183="","",'Extra 1'!E183)</f>
        <v/>
      </c>
      <c r="C183">
        <f>IF('Extra 1'!$A183="","",'Extra 1'!F183)</f>
        <v/>
      </c>
      <c r="D183" s="14">
        <f>IF('Extra 1'!$A183="","",'Extra 1'!I183)</f>
        <v/>
      </c>
      <c r="E183" s="7">
        <f>IF('Extra 1'!$A183="","",'Extra 1'!O183)</f>
        <v/>
      </c>
      <c r="F183" s="7">
        <f>IF('Extra 1'!$A183="","",'Extra 1'!L183)</f>
        <v/>
      </c>
      <c r="G183" s="7">
        <f>IF('Extra 1'!$A183="","",'Extra 1'!S183)</f>
        <v/>
      </c>
      <c r="H183">
        <f>IF('Extra 1'!$A183="","",'Extra 1'!P183)</f>
        <v/>
      </c>
      <c r="I183">
        <f>IF('Extra 1'!$A183="","",'Extra 1'!M183)</f>
        <v/>
      </c>
      <c r="J183" s="7">
        <f>IF('Extra 1'!$A183="","",'Extra 1'!Q183)</f>
        <v/>
      </c>
      <c r="K183" s="7">
        <f>IF('Extra 1'!$A183="","",'Extra 1'!H183)</f>
        <v/>
      </c>
      <c r="L183" s="7">
        <f>IF('Extra 1'!$A183="","",'Extra 1'!T183)</f>
        <v/>
      </c>
      <c r="M183">
        <f>IF('Extra 1'!$A183="","",'Extra 1'!G183)</f>
        <v/>
      </c>
    </row>
    <row r="184">
      <c r="A184">
        <f>IF('Extra 1'!$A184="","",ROWS($A$2:$A184))</f>
        <v/>
      </c>
      <c r="B184">
        <f>IF('Extra 1'!$A184="","",'Extra 1'!E184)</f>
        <v/>
      </c>
      <c r="C184">
        <f>IF('Extra 1'!$A184="","",'Extra 1'!F184)</f>
        <v/>
      </c>
      <c r="D184" s="14">
        <f>IF('Extra 1'!$A184="","",'Extra 1'!I184)</f>
        <v/>
      </c>
      <c r="E184" s="7">
        <f>IF('Extra 1'!$A184="","",'Extra 1'!O184)</f>
        <v/>
      </c>
      <c r="F184" s="7">
        <f>IF('Extra 1'!$A184="","",'Extra 1'!L184)</f>
        <v/>
      </c>
      <c r="G184" s="7">
        <f>IF('Extra 1'!$A184="","",'Extra 1'!S184)</f>
        <v/>
      </c>
      <c r="H184">
        <f>IF('Extra 1'!$A184="","",'Extra 1'!P184)</f>
        <v/>
      </c>
      <c r="I184">
        <f>IF('Extra 1'!$A184="","",'Extra 1'!M184)</f>
        <v/>
      </c>
      <c r="J184" s="7">
        <f>IF('Extra 1'!$A184="","",'Extra 1'!Q184)</f>
        <v/>
      </c>
      <c r="K184" s="7">
        <f>IF('Extra 1'!$A184="","",'Extra 1'!H184)</f>
        <v/>
      </c>
      <c r="L184" s="7">
        <f>IF('Extra 1'!$A184="","",'Extra 1'!T184)</f>
        <v/>
      </c>
      <c r="M184">
        <f>IF('Extra 1'!$A184="","",'Extra 1'!G184)</f>
        <v/>
      </c>
    </row>
    <row r="185">
      <c r="A185">
        <f>IF('Extra 1'!$A185="","",ROWS($A$2:$A185))</f>
        <v/>
      </c>
      <c r="B185">
        <f>IF('Extra 1'!$A185="","",'Extra 1'!E185)</f>
        <v/>
      </c>
      <c r="C185">
        <f>IF('Extra 1'!$A185="","",'Extra 1'!F185)</f>
        <v/>
      </c>
      <c r="D185" s="14">
        <f>IF('Extra 1'!$A185="","",'Extra 1'!I185)</f>
        <v/>
      </c>
      <c r="E185" s="7">
        <f>IF('Extra 1'!$A185="","",'Extra 1'!O185)</f>
        <v/>
      </c>
      <c r="F185" s="7">
        <f>IF('Extra 1'!$A185="","",'Extra 1'!L185)</f>
        <v/>
      </c>
      <c r="G185" s="7">
        <f>IF('Extra 1'!$A185="","",'Extra 1'!S185)</f>
        <v/>
      </c>
      <c r="H185">
        <f>IF('Extra 1'!$A185="","",'Extra 1'!P185)</f>
        <v/>
      </c>
      <c r="I185">
        <f>IF('Extra 1'!$A185="","",'Extra 1'!M185)</f>
        <v/>
      </c>
      <c r="J185" s="7">
        <f>IF('Extra 1'!$A185="","",'Extra 1'!Q185)</f>
        <v/>
      </c>
      <c r="K185" s="7">
        <f>IF('Extra 1'!$A185="","",'Extra 1'!H185)</f>
        <v/>
      </c>
      <c r="L185" s="7">
        <f>IF('Extra 1'!$A185="","",'Extra 1'!T185)</f>
        <v/>
      </c>
      <c r="M185">
        <f>IF('Extra 1'!$A185="","",'Extra 1'!G185)</f>
        <v/>
      </c>
    </row>
    <row r="186">
      <c r="A186">
        <f>IF('Extra 1'!$A186="","",ROWS($A$2:$A186))</f>
        <v/>
      </c>
      <c r="B186">
        <f>IF('Extra 1'!$A186="","",'Extra 1'!E186)</f>
        <v/>
      </c>
      <c r="C186">
        <f>IF('Extra 1'!$A186="","",'Extra 1'!F186)</f>
        <v/>
      </c>
      <c r="D186" s="14">
        <f>IF('Extra 1'!$A186="","",'Extra 1'!I186)</f>
        <v/>
      </c>
      <c r="E186" s="7">
        <f>IF('Extra 1'!$A186="","",'Extra 1'!O186)</f>
        <v/>
      </c>
      <c r="F186" s="7">
        <f>IF('Extra 1'!$A186="","",'Extra 1'!L186)</f>
        <v/>
      </c>
      <c r="G186" s="7">
        <f>IF('Extra 1'!$A186="","",'Extra 1'!S186)</f>
        <v/>
      </c>
      <c r="H186">
        <f>IF('Extra 1'!$A186="","",'Extra 1'!P186)</f>
        <v/>
      </c>
      <c r="I186">
        <f>IF('Extra 1'!$A186="","",'Extra 1'!M186)</f>
        <v/>
      </c>
      <c r="J186" s="7">
        <f>IF('Extra 1'!$A186="","",'Extra 1'!Q186)</f>
        <v/>
      </c>
      <c r="K186" s="7">
        <f>IF('Extra 1'!$A186="","",'Extra 1'!H186)</f>
        <v/>
      </c>
      <c r="L186" s="7">
        <f>IF('Extra 1'!$A186="","",'Extra 1'!T186)</f>
        <v/>
      </c>
      <c r="M186">
        <f>IF('Extra 1'!$A186="","",'Extra 1'!G186)</f>
        <v/>
      </c>
    </row>
    <row r="187">
      <c r="A187">
        <f>IF('Extra 1'!$A187="","",ROWS($A$2:$A187))</f>
        <v/>
      </c>
      <c r="B187">
        <f>IF('Extra 1'!$A187="","",'Extra 1'!E187)</f>
        <v/>
      </c>
      <c r="C187">
        <f>IF('Extra 1'!$A187="","",'Extra 1'!F187)</f>
        <v/>
      </c>
      <c r="D187" s="14">
        <f>IF('Extra 1'!$A187="","",'Extra 1'!I187)</f>
        <v/>
      </c>
      <c r="E187" s="7">
        <f>IF('Extra 1'!$A187="","",'Extra 1'!O187)</f>
        <v/>
      </c>
      <c r="F187" s="7">
        <f>IF('Extra 1'!$A187="","",'Extra 1'!L187)</f>
        <v/>
      </c>
      <c r="G187" s="7">
        <f>IF('Extra 1'!$A187="","",'Extra 1'!S187)</f>
        <v/>
      </c>
      <c r="H187">
        <f>IF('Extra 1'!$A187="","",'Extra 1'!P187)</f>
        <v/>
      </c>
      <c r="I187">
        <f>IF('Extra 1'!$A187="","",'Extra 1'!M187)</f>
        <v/>
      </c>
      <c r="J187" s="7">
        <f>IF('Extra 1'!$A187="","",'Extra 1'!Q187)</f>
        <v/>
      </c>
      <c r="K187" s="7">
        <f>IF('Extra 1'!$A187="","",'Extra 1'!H187)</f>
        <v/>
      </c>
      <c r="L187" s="7">
        <f>IF('Extra 1'!$A187="","",'Extra 1'!T187)</f>
        <v/>
      </c>
      <c r="M187">
        <f>IF('Extra 1'!$A187="","",'Extra 1'!G187)</f>
        <v/>
      </c>
    </row>
    <row r="188">
      <c r="A188">
        <f>IF('Extra 1'!$A188="","",ROWS($A$2:$A188))</f>
        <v/>
      </c>
      <c r="B188">
        <f>IF('Extra 1'!$A188="","",'Extra 1'!E188)</f>
        <v/>
      </c>
      <c r="C188">
        <f>IF('Extra 1'!$A188="","",'Extra 1'!F188)</f>
        <v/>
      </c>
      <c r="D188" s="14">
        <f>IF('Extra 1'!$A188="","",'Extra 1'!I188)</f>
        <v/>
      </c>
      <c r="E188" s="7">
        <f>IF('Extra 1'!$A188="","",'Extra 1'!O188)</f>
        <v/>
      </c>
      <c r="F188" s="7">
        <f>IF('Extra 1'!$A188="","",'Extra 1'!L188)</f>
        <v/>
      </c>
      <c r="G188" s="7">
        <f>IF('Extra 1'!$A188="","",'Extra 1'!S188)</f>
        <v/>
      </c>
      <c r="H188">
        <f>IF('Extra 1'!$A188="","",'Extra 1'!P188)</f>
        <v/>
      </c>
      <c r="I188">
        <f>IF('Extra 1'!$A188="","",'Extra 1'!M188)</f>
        <v/>
      </c>
      <c r="J188" s="7">
        <f>IF('Extra 1'!$A188="","",'Extra 1'!Q188)</f>
        <v/>
      </c>
      <c r="K188" s="7">
        <f>IF('Extra 1'!$A188="","",'Extra 1'!H188)</f>
        <v/>
      </c>
      <c r="L188" s="7">
        <f>IF('Extra 1'!$A188="","",'Extra 1'!T188)</f>
        <v/>
      </c>
      <c r="M188">
        <f>IF('Extra 1'!$A188="","",'Extra 1'!G188)</f>
        <v/>
      </c>
    </row>
    <row r="189">
      <c r="A189">
        <f>IF('Extra 1'!$A189="","",ROWS($A$2:$A189))</f>
        <v/>
      </c>
      <c r="B189">
        <f>IF('Extra 1'!$A189="","",'Extra 1'!E189)</f>
        <v/>
      </c>
      <c r="C189">
        <f>IF('Extra 1'!$A189="","",'Extra 1'!F189)</f>
        <v/>
      </c>
      <c r="D189" s="14">
        <f>IF('Extra 1'!$A189="","",'Extra 1'!I189)</f>
        <v/>
      </c>
      <c r="E189" s="7">
        <f>IF('Extra 1'!$A189="","",'Extra 1'!O189)</f>
        <v/>
      </c>
      <c r="F189" s="7">
        <f>IF('Extra 1'!$A189="","",'Extra 1'!L189)</f>
        <v/>
      </c>
      <c r="G189" s="7">
        <f>IF('Extra 1'!$A189="","",'Extra 1'!S189)</f>
        <v/>
      </c>
      <c r="H189">
        <f>IF('Extra 1'!$A189="","",'Extra 1'!P189)</f>
        <v/>
      </c>
      <c r="I189">
        <f>IF('Extra 1'!$A189="","",'Extra 1'!M189)</f>
        <v/>
      </c>
      <c r="J189" s="7">
        <f>IF('Extra 1'!$A189="","",'Extra 1'!Q189)</f>
        <v/>
      </c>
      <c r="K189" s="7">
        <f>IF('Extra 1'!$A189="","",'Extra 1'!H189)</f>
        <v/>
      </c>
      <c r="L189" s="7">
        <f>IF('Extra 1'!$A189="","",'Extra 1'!T189)</f>
        <v/>
      </c>
      <c r="M189">
        <f>IF('Extra 1'!$A189="","",'Extra 1'!G189)</f>
        <v/>
      </c>
    </row>
    <row r="190">
      <c r="A190">
        <f>IF('Extra 1'!$A190="","",ROWS($A$2:$A190))</f>
        <v/>
      </c>
      <c r="B190">
        <f>IF('Extra 1'!$A190="","",'Extra 1'!E190)</f>
        <v/>
      </c>
      <c r="C190">
        <f>IF('Extra 1'!$A190="","",'Extra 1'!F190)</f>
        <v/>
      </c>
      <c r="D190" s="14">
        <f>IF('Extra 1'!$A190="","",'Extra 1'!I190)</f>
        <v/>
      </c>
      <c r="E190" s="7">
        <f>IF('Extra 1'!$A190="","",'Extra 1'!O190)</f>
        <v/>
      </c>
      <c r="F190" s="7">
        <f>IF('Extra 1'!$A190="","",'Extra 1'!L190)</f>
        <v/>
      </c>
      <c r="G190" s="7">
        <f>IF('Extra 1'!$A190="","",'Extra 1'!S190)</f>
        <v/>
      </c>
      <c r="H190">
        <f>IF('Extra 1'!$A190="","",'Extra 1'!P190)</f>
        <v/>
      </c>
      <c r="I190">
        <f>IF('Extra 1'!$A190="","",'Extra 1'!M190)</f>
        <v/>
      </c>
      <c r="J190" s="7">
        <f>IF('Extra 1'!$A190="","",'Extra 1'!Q190)</f>
        <v/>
      </c>
      <c r="K190" s="7">
        <f>IF('Extra 1'!$A190="","",'Extra 1'!H190)</f>
        <v/>
      </c>
      <c r="L190" s="7">
        <f>IF('Extra 1'!$A190="","",'Extra 1'!T190)</f>
        <v/>
      </c>
      <c r="M190">
        <f>IF('Extra 1'!$A190="","",'Extra 1'!G190)</f>
        <v/>
      </c>
    </row>
    <row r="191">
      <c r="A191">
        <f>IF('Extra 1'!$A191="","",ROWS($A$2:$A191))</f>
        <v/>
      </c>
      <c r="B191">
        <f>IF('Extra 1'!$A191="","",'Extra 1'!E191)</f>
        <v/>
      </c>
      <c r="C191">
        <f>IF('Extra 1'!$A191="","",'Extra 1'!F191)</f>
        <v/>
      </c>
      <c r="D191" s="14">
        <f>IF('Extra 1'!$A191="","",'Extra 1'!I191)</f>
        <v/>
      </c>
      <c r="E191" s="7">
        <f>IF('Extra 1'!$A191="","",'Extra 1'!O191)</f>
        <v/>
      </c>
      <c r="F191" s="7">
        <f>IF('Extra 1'!$A191="","",'Extra 1'!L191)</f>
        <v/>
      </c>
      <c r="G191" s="7">
        <f>IF('Extra 1'!$A191="","",'Extra 1'!S191)</f>
        <v/>
      </c>
      <c r="H191">
        <f>IF('Extra 1'!$A191="","",'Extra 1'!P191)</f>
        <v/>
      </c>
      <c r="I191">
        <f>IF('Extra 1'!$A191="","",'Extra 1'!M191)</f>
        <v/>
      </c>
      <c r="J191" s="7">
        <f>IF('Extra 1'!$A191="","",'Extra 1'!Q191)</f>
        <v/>
      </c>
      <c r="K191" s="7">
        <f>IF('Extra 1'!$A191="","",'Extra 1'!H191)</f>
        <v/>
      </c>
      <c r="L191" s="7">
        <f>IF('Extra 1'!$A191="","",'Extra 1'!T191)</f>
        <v/>
      </c>
      <c r="M191">
        <f>IF('Extra 1'!$A191="","",'Extra 1'!G191)</f>
        <v/>
      </c>
    </row>
    <row r="192">
      <c r="A192">
        <f>IF('Extra 1'!$A192="","",ROWS($A$2:$A192))</f>
        <v/>
      </c>
      <c r="B192">
        <f>IF('Extra 1'!$A192="","",'Extra 1'!E192)</f>
        <v/>
      </c>
      <c r="C192">
        <f>IF('Extra 1'!$A192="","",'Extra 1'!F192)</f>
        <v/>
      </c>
      <c r="D192" s="14">
        <f>IF('Extra 1'!$A192="","",'Extra 1'!I192)</f>
        <v/>
      </c>
      <c r="E192" s="7">
        <f>IF('Extra 1'!$A192="","",'Extra 1'!O192)</f>
        <v/>
      </c>
      <c r="F192" s="7">
        <f>IF('Extra 1'!$A192="","",'Extra 1'!L192)</f>
        <v/>
      </c>
      <c r="G192" s="7">
        <f>IF('Extra 1'!$A192="","",'Extra 1'!S192)</f>
        <v/>
      </c>
      <c r="H192">
        <f>IF('Extra 1'!$A192="","",'Extra 1'!P192)</f>
        <v/>
      </c>
      <c r="I192">
        <f>IF('Extra 1'!$A192="","",'Extra 1'!M192)</f>
        <v/>
      </c>
      <c r="J192" s="7">
        <f>IF('Extra 1'!$A192="","",'Extra 1'!Q192)</f>
        <v/>
      </c>
      <c r="K192" s="7">
        <f>IF('Extra 1'!$A192="","",'Extra 1'!H192)</f>
        <v/>
      </c>
      <c r="L192" s="7">
        <f>IF('Extra 1'!$A192="","",'Extra 1'!T192)</f>
        <v/>
      </c>
      <c r="M192">
        <f>IF('Extra 1'!$A192="","",'Extra 1'!G192)</f>
        <v/>
      </c>
    </row>
    <row r="193">
      <c r="A193">
        <f>IF('Extra 1'!$A193="","",ROWS($A$2:$A193))</f>
        <v/>
      </c>
      <c r="B193">
        <f>IF('Extra 1'!$A193="","",'Extra 1'!E193)</f>
        <v/>
      </c>
      <c r="C193">
        <f>IF('Extra 1'!$A193="","",'Extra 1'!F193)</f>
        <v/>
      </c>
      <c r="D193" s="14">
        <f>IF('Extra 1'!$A193="","",'Extra 1'!I193)</f>
        <v/>
      </c>
      <c r="E193" s="7">
        <f>IF('Extra 1'!$A193="","",'Extra 1'!O193)</f>
        <v/>
      </c>
      <c r="F193" s="7">
        <f>IF('Extra 1'!$A193="","",'Extra 1'!L193)</f>
        <v/>
      </c>
      <c r="G193" s="7">
        <f>IF('Extra 1'!$A193="","",'Extra 1'!S193)</f>
        <v/>
      </c>
      <c r="H193">
        <f>IF('Extra 1'!$A193="","",'Extra 1'!P193)</f>
        <v/>
      </c>
      <c r="I193">
        <f>IF('Extra 1'!$A193="","",'Extra 1'!M193)</f>
        <v/>
      </c>
      <c r="J193" s="7">
        <f>IF('Extra 1'!$A193="","",'Extra 1'!Q193)</f>
        <v/>
      </c>
      <c r="K193" s="7">
        <f>IF('Extra 1'!$A193="","",'Extra 1'!H193)</f>
        <v/>
      </c>
      <c r="L193" s="7">
        <f>IF('Extra 1'!$A193="","",'Extra 1'!T193)</f>
        <v/>
      </c>
      <c r="M193">
        <f>IF('Extra 1'!$A193="","",'Extra 1'!G193)</f>
        <v/>
      </c>
    </row>
    <row r="194">
      <c r="A194">
        <f>IF('Extra 1'!$A194="","",ROWS($A$2:$A194))</f>
        <v/>
      </c>
      <c r="B194">
        <f>IF('Extra 1'!$A194="","",'Extra 1'!E194)</f>
        <v/>
      </c>
      <c r="C194">
        <f>IF('Extra 1'!$A194="","",'Extra 1'!F194)</f>
        <v/>
      </c>
      <c r="D194" s="14">
        <f>IF('Extra 1'!$A194="","",'Extra 1'!I194)</f>
        <v/>
      </c>
      <c r="E194" s="7">
        <f>IF('Extra 1'!$A194="","",'Extra 1'!O194)</f>
        <v/>
      </c>
      <c r="F194" s="7">
        <f>IF('Extra 1'!$A194="","",'Extra 1'!L194)</f>
        <v/>
      </c>
      <c r="G194" s="7">
        <f>IF('Extra 1'!$A194="","",'Extra 1'!S194)</f>
        <v/>
      </c>
      <c r="H194">
        <f>IF('Extra 1'!$A194="","",'Extra 1'!P194)</f>
        <v/>
      </c>
      <c r="I194">
        <f>IF('Extra 1'!$A194="","",'Extra 1'!M194)</f>
        <v/>
      </c>
      <c r="J194" s="7">
        <f>IF('Extra 1'!$A194="","",'Extra 1'!Q194)</f>
        <v/>
      </c>
      <c r="K194" s="7">
        <f>IF('Extra 1'!$A194="","",'Extra 1'!H194)</f>
        <v/>
      </c>
      <c r="L194" s="7">
        <f>IF('Extra 1'!$A194="","",'Extra 1'!T194)</f>
        <v/>
      </c>
      <c r="M194">
        <f>IF('Extra 1'!$A194="","",'Extra 1'!G194)</f>
        <v/>
      </c>
    </row>
    <row r="195">
      <c r="A195">
        <f>IF('Extra 1'!$A195="","",ROWS($A$2:$A195))</f>
        <v/>
      </c>
      <c r="B195">
        <f>IF('Extra 1'!$A195="","",'Extra 1'!E195)</f>
        <v/>
      </c>
      <c r="C195">
        <f>IF('Extra 1'!$A195="","",'Extra 1'!F195)</f>
        <v/>
      </c>
      <c r="D195" s="14">
        <f>IF('Extra 1'!$A195="","",'Extra 1'!I195)</f>
        <v/>
      </c>
      <c r="E195" s="7">
        <f>IF('Extra 1'!$A195="","",'Extra 1'!O195)</f>
        <v/>
      </c>
      <c r="F195" s="7">
        <f>IF('Extra 1'!$A195="","",'Extra 1'!L195)</f>
        <v/>
      </c>
      <c r="G195" s="7">
        <f>IF('Extra 1'!$A195="","",'Extra 1'!S195)</f>
        <v/>
      </c>
      <c r="H195">
        <f>IF('Extra 1'!$A195="","",'Extra 1'!P195)</f>
        <v/>
      </c>
      <c r="I195">
        <f>IF('Extra 1'!$A195="","",'Extra 1'!M195)</f>
        <v/>
      </c>
      <c r="J195" s="7">
        <f>IF('Extra 1'!$A195="","",'Extra 1'!Q195)</f>
        <v/>
      </c>
      <c r="K195" s="7">
        <f>IF('Extra 1'!$A195="","",'Extra 1'!H195)</f>
        <v/>
      </c>
      <c r="L195" s="7">
        <f>IF('Extra 1'!$A195="","",'Extra 1'!T195)</f>
        <v/>
      </c>
      <c r="M195">
        <f>IF('Extra 1'!$A195="","",'Extra 1'!G195)</f>
        <v/>
      </c>
    </row>
    <row r="196">
      <c r="A196">
        <f>IF('Extra 1'!$A196="","",ROWS($A$2:$A196))</f>
        <v/>
      </c>
      <c r="B196">
        <f>IF('Extra 1'!$A196="","",'Extra 1'!E196)</f>
        <v/>
      </c>
      <c r="C196">
        <f>IF('Extra 1'!$A196="","",'Extra 1'!F196)</f>
        <v/>
      </c>
      <c r="D196" s="14">
        <f>IF('Extra 1'!$A196="","",'Extra 1'!I196)</f>
        <v/>
      </c>
      <c r="E196" s="7">
        <f>IF('Extra 1'!$A196="","",'Extra 1'!O196)</f>
        <v/>
      </c>
      <c r="F196" s="7">
        <f>IF('Extra 1'!$A196="","",'Extra 1'!L196)</f>
        <v/>
      </c>
      <c r="G196" s="7">
        <f>IF('Extra 1'!$A196="","",'Extra 1'!S196)</f>
        <v/>
      </c>
      <c r="H196">
        <f>IF('Extra 1'!$A196="","",'Extra 1'!P196)</f>
        <v/>
      </c>
      <c r="I196">
        <f>IF('Extra 1'!$A196="","",'Extra 1'!M196)</f>
        <v/>
      </c>
      <c r="J196" s="7">
        <f>IF('Extra 1'!$A196="","",'Extra 1'!Q196)</f>
        <v/>
      </c>
      <c r="K196" s="7">
        <f>IF('Extra 1'!$A196="","",'Extra 1'!H196)</f>
        <v/>
      </c>
      <c r="L196" s="7">
        <f>IF('Extra 1'!$A196="","",'Extra 1'!T196)</f>
        <v/>
      </c>
      <c r="M196">
        <f>IF('Extra 1'!$A196="","",'Extra 1'!G196)</f>
        <v/>
      </c>
    </row>
    <row r="197">
      <c r="A197">
        <f>IF('Extra 1'!$A197="","",ROWS($A$2:$A197))</f>
        <v/>
      </c>
      <c r="B197">
        <f>IF('Extra 1'!$A197="","",'Extra 1'!E197)</f>
        <v/>
      </c>
      <c r="C197">
        <f>IF('Extra 1'!$A197="","",'Extra 1'!F197)</f>
        <v/>
      </c>
      <c r="D197" s="14">
        <f>IF('Extra 1'!$A197="","",'Extra 1'!I197)</f>
        <v/>
      </c>
      <c r="E197" s="7">
        <f>IF('Extra 1'!$A197="","",'Extra 1'!O197)</f>
        <v/>
      </c>
      <c r="F197" s="7">
        <f>IF('Extra 1'!$A197="","",'Extra 1'!L197)</f>
        <v/>
      </c>
      <c r="G197" s="7">
        <f>IF('Extra 1'!$A197="","",'Extra 1'!S197)</f>
        <v/>
      </c>
      <c r="H197">
        <f>IF('Extra 1'!$A197="","",'Extra 1'!P197)</f>
        <v/>
      </c>
      <c r="I197">
        <f>IF('Extra 1'!$A197="","",'Extra 1'!M197)</f>
        <v/>
      </c>
      <c r="J197" s="7">
        <f>IF('Extra 1'!$A197="","",'Extra 1'!Q197)</f>
        <v/>
      </c>
      <c r="K197" s="7">
        <f>IF('Extra 1'!$A197="","",'Extra 1'!H197)</f>
        <v/>
      </c>
      <c r="L197" s="7">
        <f>IF('Extra 1'!$A197="","",'Extra 1'!T197)</f>
        <v/>
      </c>
      <c r="M197">
        <f>IF('Extra 1'!$A197="","",'Extra 1'!G197)</f>
        <v/>
      </c>
    </row>
    <row r="198">
      <c r="A198">
        <f>IF('Extra 1'!$A198="","",ROWS($A$2:$A198))</f>
        <v/>
      </c>
      <c r="B198">
        <f>IF('Extra 1'!$A198="","",'Extra 1'!E198)</f>
        <v/>
      </c>
      <c r="C198">
        <f>IF('Extra 1'!$A198="","",'Extra 1'!F198)</f>
        <v/>
      </c>
      <c r="D198" s="14">
        <f>IF('Extra 1'!$A198="","",'Extra 1'!I198)</f>
        <v/>
      </c>
      <c r="E198" s="7">
        <f>IF('Extra 1'!$A198="","",'Extra 1'!O198)</f>
        <v/>
      </c>
      <c r="F198" s="7">
        <f>IF('Extra 1'!$A198="","",'Extra 1'!L198)</f>
        <v/>
      </c>
      <c r="G198" s="7">
        <f>IF('Extra 1'!$A198="","",'Extra 1'!S198)</f>
        <v/>
      </c>
      <c r="H198">
        <f>IF('Extra 1'!$A198="","",'Extra 1'!P198)</f>
        <v/>
      </c>
      <c r="I198">
        <f>IF('Extra 1'!$A198="","",'Extra 1'!M198)</f>
        <v/>
      </c>
      <c r="J198" s="7">
        <f>IF('Extra 1'!$A198="","",'Extra 1'!Q198)</f>
        <v/>
      </c>
      <c r="K198" s="7">
        <f>IF('Extra 1'!$A198="","",'Extra 1'!H198)</f>
        <v/>
      </c>
      <c r="L198" s="7">
        <f>IF('Extra 1'!$A198="","",'Extra 1'!T198)</f>
        <v/>
      </c>
      <c r="M198">
        <f>IF('Extra 1'!$A198="","",'Extra 1'!G198)</f>
        <v/>
      </c>
    </row>
    <row r="199">
      <c r="A199">
        <f>IF('Extra 1'!$A199="","",ROWS($A$2:$A199))</f>
        <v/>
      </c>
      <c r="B199">
        <f>IF('Extra 1'!$A199="","",'Extra 1'!E199)</f>
        <v/>
      </c>
      <c r="C199">
        <f>IF('Extra 1'!$A199="","",'Extra 1'!F199)</f>
        <v/>
      </c>
      <c r="D199" s="14">
        <f>IF('Extra 1'!$A199="","",'Extra 1'!I199)</f>
        <v/>
      </c>
      <c r="E199" s="7">
        <f>IF('Extra 1'!$A199="","",'Extra 1'!O199)</f>
        <v/>
      </c>
      <c r="F199" s="7">
        <f>IF('Extra 1'!$A199="","",'Extra 1'!L199)</f>
        <v/>
      </c>
      <c r="G199" s="7">
        <f>IF('Extra 1'!$A199="","",'Extra 1'!S199)</f>
        <v/>
      </c>
      <c r="H199">
        <f>IF('Extra 1'!$A199="","",'Extra 1'!P199)</f>
        <v/>
      </c>
      <c r="I199">
        <f>IF('Extra 1'!$A199="","",'Extra 1'!M199)</f>
        <v/>
      </c>
      <c r="J199" s="7">
        <f>IF('Extra 1'!$A199="","",'Extra 1'!Q199)</f>
        <v/>
      </c>
      <c r="K199" s="7">
        <f>IF('Extra 1'!$A199="","",'Extra 1'!H199)</f>
        <v/>
      </c>
      <c r="L199" s="7">
        <f>IF('Extra 1'!$A199="","",'Extra 1'!T199)</f>
        <v/>
      </c>
      <c r="M199">
        <f>IF('Extra 1'!$A199="","",'Extra 1'!G199)</f>
        <v/>
      </c>
    </row>
    <row r="200">
      <c r="A200">
        <f>IF('Extra 1'!$A200="","",ROWS($A$2:$A200))</f>
        <v/>
      </c>
      <c r="B200">
        <f>IF('Extra 1'!$A200="","",'Extra 1'!E200)</f>
        <v/>
      </c>
      <c r="C200">
        <f>IF('Extra 1'!$A200="","",'Extra 1'!F200)</f>
        <v/>
      </c>
      <c r="D200" s="14">
        <f>IF('Extra 1'!$A200="","",'Extra 1'!I200)</f>
        <v/>
      </c>
      <c r="E200" s="7">
        <f>IF('Extra 1'!$A200="","",'Extra 1'!O200)</f>
        <v/>
      </c>
      <c r="F200" s="7">
        <f>IF('Extra 1'!$A200="","",'Extra 1'!L200)</f>
        <v/>
      </c>
      <c r="G200" s="7">
        <f>IF('Extra 1'!$A200="","",'Extra 1'!S200)</f>
        <v/>
      </c>
      <c r="H200">
        <f>IF('Extra 1'!$A200="","",'Extra 1'!P200)</f>
        <v/>
      </c>
      <c r="I200">
        <f>IF('Extra 1'!$A200="","",'Extra 1'!M200)</f>
        <v/>
      </c>
      <c r="J200" s="7">
        <f>IF('Extra 1'!$A200="","",'Extra 1'!Q200)</f>
        <v/>
      </c>
      <c r="K200" s="7">
        <f>IF('Extra 1'!$A200="","",'Extra 1'!H200)</f>
        <v/>
      </c>
      <c r="L200" s="7">
        <f>IF('Extra 1'!$A200="","",'Extra 1'!T200)</f>
        <v/>
      </c>
      <c r="M200">
        <f>IF('Extra 1'!$A200="","",'Extra 1'!G200)</f>
        <v/>
      </c>
    </row>
    <row r="201">
      <c r="A201">
        <f>IF('Extra 1'!$A201="","",ROWS($A$2:$A201))</f>
        <v/>
      </c>
      <c r="B201">
        <f>IF('Extra 1'!$A201="","",'Extra 1'!E201)</f>
        <v/>
      </c>
      <c r="C201">
        <f>IF('Extra 1'!$A201="","",'Extra 1'!F201)</f>
        <v/>
      </c>
      <c r="D201" s="14">
        <f>IF('Extra 1'!$A201="","",'Extra 1'!I201)</f>
        <v/>
      </c>
      <c r="E201" s="7">
        <f>IF('Extra 1'!$A201="","",'Extra 1'!O201)</f>
        <v/>
      </c>
      <c r="F201" s="7">
        <f>IF('Extra 1'!$A201="","",'Extra 1'!L201)</f>
        <v/>
      </c>
      <c r="G201" s="7">
        <f>IF('Extra 1'!$A201="","",'Extra 1'!S201)</f>
        <v/>
      </c>
      <c r="H201">
        <f>IF('Extra 1'!$A201="","",'Extra 1'!P201)</f>
        <v/>
      </c>
      <c r="I201">
        <f>IF('Extra 1'!$A201="","",'Extra 1'!M201)</f>
        <v/>
      </c>
      <c r="J201" s="7">
        <f>IF('Extra 1'!$A201="","",'Extra 1'!Q201)</f>
        <v/>
      </c>
      <c r="K201" s="7">
        <f>IF('Extra 1'!$A201="","",'Extra 1'!H201)</f>
        <v/>
      </c>
      <c r="L201" s="7">
        <f>IF('Extra 1'!$A201="","",'Extra 1'!T201)</f>
        <v/>
      </c>
      <c r="M201">
        <f>IF('Extra 1'!$A201="","",'Extra 1'!G201)</f>
        <v/>
      </c>
    </row>
    <row r="202">
      <c r="A202">
        <f>IF('Extra 1'!$A202="","",ROWS($A$2:$A202))</f>
        <v/>
      </c>
      <c r="B202">
        <f>IF('Extra 1'!$A202="","",'Extra 1'!E202)</f>
        <v/>
      </c>
      <c r="C202">
        <f>IF('Extra 1'!$A202="","",'Extra 1'!F202)</f>
        <v/>
      </c>
      <c r="D202" s="14">
        <f>IF('Extra 1'!$A202="","",'Extra 1'!I202)</f>
        <v/>
      </c>
      <c r="E202" s="7">
        <f>IF('Extra 1'!$A202="","",'Extra 1'!O202)</f>
        <v/>
      </c>
      <c r="F202" s="7">
        <f>IF('Extra 1'!$A202="","",'Extra 1'!L202)</f>
        <v/>
      </c>
      <c r="G202" s="7">
        <f>IF('Extra 1'!$A202="","",'Extra 1'!S202)</f>
        <v/>
      </c>
      <c r="H202">
        <f>IF('Extra 1'!$A202="","",'Extra 1'!P202)</f>
        <v/>
      </c>
      <c r="I202">
        <f>IF('Extra 1'!$A202="","",'Extra 1'!M202)</f>
        <v/>
      </c>
      <c r="J202" s="7">
        <f>IF('Extra 1'!$A202="","",'Extra 1'!Q202)</f>
        <v/>
      </c>
      <c r="K202" s="7">
        <f>IF('Extra 1'!$A202="","",'Extra 1'!H202)</f>
        <v/>
      </c>
      <c r="L202" s="7">
        <f>IF('Extra 1'!$A202="","",'Extra 1'!T202)</f>
        <v/>
      </c>
      <c r="M202">
        <f>IF('Extra 1'!$A202="","",'Extra 1'!G202)</f>
        <v/>
      </c>
    </row>
    <row r="203">
      <c r="A203">
        <f>IF('Extra 1'!$A203="","",ROWS($A$2:$A203))</f>
        <v/>
      </c>
      <c r="B203">
        <f>IF('Extra 1'!$A203="","",'Extra 1'!E203)</f>
        <v/>
      </c>
      <c r="C203">
        <f>IF('Extra 1'!$A203="","",'Extra 1'!F203)</f>
        <v/>
      </c>
      <c r="D203" s="14">
        <f>IF('Extra 1'!$A203="","",'Extra 1'!I203)</f>
        <v/>
      </c>
      <c r="E203" s="7">
        <f>IF('Extra 1'!$A203="","",'Extra 1'!O203)</f>
        <v/>
      </c>
      <c r="F203" s="7">
        <f>IF('Extra 1'!$A203="","",'Extra 1'!L203)</f>
        <v/>
      </c>
      <c r="G203" s="7">
        <f>IF('Extra 1'!$A203="","",'Extra 1'!S203)</f>
        <v/>
      </c>
      <c r="H203">
        <f>IF('Extra 1'!$A203="","",'Extra 1'!P203)</f>
        <v/>
      </c>
      <c r="I203">
        <f>IF('Extra 1'!$A203="","",'Extra 1'!M203)</f>
        <v/>
      </c>
      <c r="J203" s="7">
        <f>IF('Extra 1'!$A203="","",'Extra 1'!Q203)</f>
        <v/>
      </c>
      <c r="K203" s="7">
        <f>IF('Extra 1'!$A203="","",'Extra 1'!H203)</f>
        <v/>
      </c>
      <c r="L203" s="7">
        <f>IF('Extra 1'!$A203="","",'Extra 1'!T203)</f>
        <v/>
      </c>
      <c r="M203">
        <f>IF('Extra 1'!$A203="","",'Extra 1'!G203)</f>
        <v/>
      </c>
    </row>
    <row r="204">
      <c r="A204">
        <f>IF('Extra 1'!$A204="","",ROWS($A$2:$A204))</f>
        <v/>
      </c>
      <c r="B204">
        <f>IF('Extra 1'!$A204="","",'Extra 1'!E204)</f>
        <v/>
      </c>
      <c r="C204">
        <f>IF('Extra 1'!$A204="","",'Extra 1'!F204)</f>
        <v/>
      </c>
      <c r="D204" s="14">
        <f>IF('Extra 1'!$A204="","",'Extra 1'!I204)</f>
        <v/>
      </c>
      <c r="E204" s="7">
        <f>IF('Extra 1'!$A204="","",'Extra 1'!O204)</f>
        <v/>
      </c>
      <c r="F204" s="7">
        <f>IF('Extra 1'!$A204="","",'Extra 1'!L204)</f>
        <v/>
      </c>
      <c r="G204" s="7">
        <f>IF('Extra 1'!$A204="","",'Extra 1'!S204)</f>
        <v/>
      </c>
      <c r="H204">
        <f>IF('Extra 1'!$A204="","",'Extra 1'!P204)</f>
        <v/>
      </c>
      <c r="I204">
        <f>IF('Extra 1'!$A204="","",'Extra 1'!M204)</f>
        <v/>
      </c>
      <c r="J204" s="7">
        <f>IF('Extra 1'!$A204="","",'Extra 1'!Q204)</f>
        <v/>
      </c>
      <c r="K204" s="7">
        <f>IF('Extra 1'!$A204="","",'Extra 1'!H204)</f>
        <v/>
      </c>
      <c r="L204" s="7">
        <f>IF('Extra 1'!$A204="","",'Extra 1'!T204)</f>
        <v/>
      </c>
      <c r="M204">
        <f>IF('Extra 1'!$A204="","",'Extra 1'!G204)</f>
        <v/>
      </c>
    </row>
    <row r="205">
      <c r="A205">
        <f>IF('Extra 1'!$A205="","",ROWS($A$2:$A205))</f>
        <v/>
      </c>
      <c r="B205">
        <f>IF('Extra 1'!$A205="","",'Extra 1'!E205)</f>
        <v/>
      </c>
      <c r="C205">
        <f>IF('Extra 1'!$A205="","",'Extra 1'!F205)</f>
        <v/>
      </c>
      <c r="D205" s="14">
        <f>IF('Extra 1'!$A205="","",'Extra 1'!I205)</f>
        <v/>
      </c>
      <c r="E205" s="7">
        <f>IF('Extra 1'!$A205="","",'Extra 1'!O205)</f>
        <v/>
      </c>
      <c r="F205" s="7">
        <f>IF('Extra 1'!$A205="","",'Extra 1'!L205)</f>
        <v/>
      </c>
      <c r="G205" s="7">
        <f>IF('Extra 1'!$A205="","",'Extra 1'!S205)</f>
        <v/>
      </c>
      <c r="H205">
        <f>IF('Extra 1'!$A205="","",'Extra 1'!P205)</f>
        <v/>
      </c>
      <c r="I205">
        <f>IF('Extra 1'!$A205="","",'Extra 1'!M205)</f>
        <v/>
      </c>
      <c r="J205" s="7">
        <f>IF('Extra 1'!$A205="","",'Extra 1'!Q205)</f>
        <v/>
      </c>
      <c r="K205" s="7">
        <f>IF('Extra 1'!$A205="","",'Extra 1'!H205)</f>
        <v/>
      </c>
      <c r="L205" s="7">
        <f>IF('Extra 1'!$A205="","",'Extra 1'!T205)</f>
        <v/>
      </c>
      <c r="M205">
        <f>IF('Extra 1'!$A205="","",'Extra 1'!G205)</f>
        <v/>
      </c>
    </row>
    <row r="206">
      <c r="A206">
        <f>IF('Extra 1'!$A206="","",ROWS($A$2:$A206))</f>
        <v/>
      </c>
      <c r="B206">
        <f>IF('Extra 1'!$A206="","",'Extra 1'!E206)</f>
        <v/>
      </c>
      <c r="C206">
        <f>IF('Extra 1'!$A206="","",'Extra 1'!F206)</f>
        <v/>
      </c>
      <c r="D206" s="14">
        <f>IF('Extra 1'!$A206="","",'Extra 1'!I206)</f>
        <v/>
      </c>
      <c r="E206" s="7">
        <f>IF('Extra 1'!$A206="","",'Extra 1'!O206)</f>
        <v/>
      </c>
      <c r="F206" s="7">
        <f>IF('Extra 1'!$A206="","",'Extra 1'!L206)</f>
        <v/>
      </c>
      <c r="G206" s="7">
        <f>IF('Extra 1'!$A206="","",'Extra 1'!S206)</f>
        <v/>
      </c>
      <c r="H206">
        <f>IF('Extra 1'!$A206="","",'Extra 1'!P206)</f>
        <v/>
      </c>
      <c r="I206">
        <f>IF('Extra 1'!$A206="","",'Extra 1'!M206)</f>
        <v/>
      </c>
      <c r="J206" s="7">
        <f>IF('Extra 1'!$A206="","",'Extra 1'!Q206)</f>
        <v/>
      </c>
      <c r="K206" s="7">
        <f>IF('Extra 1'!$A206="","",'Extra 1'!H206)</f>
        <v/>
      </c>
      <c r="L206" s="7">
        <f>IF('Extra 1'!$A206="","",'Extra 1'!T206)</f>
        <v/>
      </c>
      <c r="M206">
        <f>IF('Extra 1'!$A206="","",'Extra 1'!G206)</f>
        <v/>
      </c>
    </row>
    <row r="207">
      <c r="A207">
        <f>IF('Extra 1'!$A207="","",ROWS($A$2:$A207))</f>
        <v/>
      </c>
      <c r="B207">
        <f>IF('Extra 1'!$A207="","",'Extra 1'!E207)</f>
        <v/>
      </c>
      <c r="C207">
        <f>IF('Extra 1'!$A207="","",'Extra 1'!F207)</f>
        <v/>
      </c>
      <c r="D207" s="14">
        <f>IF('Extra 1'!$A207="","",'Extra 1'!I207)</f>
        <v/>
      </c>
      <c r="E207" s="7">
        <f>IF('Extra 1'!$A207="","",'Extra 1'!O207)</f>
        <v/>
      </c>
      <c r="F207" s="7">
        <f>IF('Extra 1'!$A207="","",'Extra 1'!L207)</f>
        <v/>
      </c>
      <c r="G207" s="7">
        <f>IF('Extra 1'!$A207="","",'Extra 1'!S207)</f>
        <v/>
      </c>
      <c r="H207">
        <f>IF('Extra 1'!$A207="","",'Extra 1'!P207)</f>
        <v/>
      </c>
      <c r="I207">
        <f>IF('Extra 1'!$A207="","",'Extra 1'!M207)</f>
        <v/>
      </c>
      <c r="J207" s="7">
        <f>IF('Extra 1'!$A207="","",'Extra 1'!Q207)</f>
        <v/>
      </c>
      <c r="K207" s="7">
        <f>IF('Extra 1'!$A207="","",'Extra 1'!H207)</f>
        <v/>
      </c>
      <c r="L207" s="7">
        <f>IF('Extra 1'!$A207="","",'Extra 1'!T207)</f>
        <v/>
      </c>
      <c r="M207">
        <f>IF('Extra 1'!$A207="","",'Extra 1'!G207)</f>
        <v/>
      </c>
    </row>
    <row r="208">
      <c r="A208">
        <f>IF('Extra 1'!$A208="","",ROWS($A$2:$A208))</f>
        <v/>
      </c>
      <c r="B208">
        <f>IF('Extra 1'!$A208="","",'Extra 1'!E208)</f>
        <v/>
      </c>
      <c r="C208">
        <f>IF('Extra 1'!$A208="","",'Extra 1'!F208)</f>
        <v/>
      </c>
      <c r="D208" s="14">
        <f>IF('Extra 1'!$A208="","",'Extra 1'!I208)</f>
        <v/>
      </c>
      <c r="E208" s="7">
        <f>IF('Extra 1'!$A208="","",'Extra 1'!O208)</f>
        <v/>
      </c>
      <c r="F208" s="7">
        <f>IF('Extra 1'!$A208="","",'Extra 1'!L208)</f>
        <v/>
      </c>
      <c r="G208" s="7">
        <f>IF('Extra 1'!$A208="","",'Extra 1'!S208)</f>
        <v/>
      </c>
      <c r="H208">
        <f>IF('Extra 1'!$A208="","",'Extra 1'!P208)</f>
        <v/>
      </c>
      <c r="I208">
        <f>IF('Extra 1'!$A208="","",'Extra 1'!M208)</f>
        <v/>
      </c>
      <c r="J208" s="7">
        <f>IF('Extra 1'!$A208="","",'Extra 1'!Q208)</f>
        <v/>
      </c>
      <c r="K208" s="7">
        <f>IF('Extra 1'!$A208="","",'Extra 1'!H208)</f>
        <v/>
      </c>
      <c r="L208" s="7">
        <f>IF('Extra 1'!$A208="","",'Extra 1'!T208)</f>
        <v/>
      </c>
      <c r="M208">
        <f>IF('Extra 1'!$A208="","",'Extra 1'!G208)</f>
        <v/>
      </c>
    </row>
    <row r="209">
      <c r="A209">
        <f>IF('Extra 1'!$A209="","",ROWS($A$2:$A209))</f>
        <v/>
      </c>
      <c r="B209">
        <f>IF('Extra 1'!$A209="","",'Extra 1'!E209)</f>
        <v/>
      </c>
      <c r="C209">
        <f>IF('Extra 1'!$A209="","",'Extra 1'!F209)</f>
        <v/>
      </c>
      <c r="D209" s="14">
        <f>IF('Extra 1'!$A209="","",'Extra 1'!I209)</f>
        <v/>
      </c>
      <c r="E209" s="7">
        <f>IF('Extra 1'!$A209="","",'Extra 1'!O209)</f>
        <v/>
      </c>
      <c r="F209" s="7">
        <f>IF('Extra 1'!$A209="","",'Extra 1'!L209)</f>
        <v/>
      </c>
      <c r="G209" s="7">
        <f>IF('Extra 1'!$A209="","",'Extra 1'!S209)</f>
        <v/>
      </c>
      <c r="H209">
        <f>IF('Extra 1'!$A209="","",'Extra 1'!P209)</f>
        <v/>
      </c>
      <c r="I209">
        <f>IF('Extra 1'!$A209="","",'Extra 1'!M209)</f>
        <v/>
      </c>
      <c r="J209" s="7">
        <f>IF('Extra 1'!$A209="","",'Extra 1'!Q209)</f>
        <v/>
      </c>
      <c r="K209" s="7">
        <f>IF('Extra 1'!$A209="","",'Extra 1'!H209)</f>
        <v/>
      </c>
      <c r="L209" s="7">
        <f>IF('Extra 1'!$A209="","",'Extra 1'!T209)</f>
        <v/>
      </c>
      <c r="M209">
        <f>IF('Extra 1'!$A209="","",'Extra 1'!G209)</f>
        <v/>
      </c>
    </row>
    <row r="210">
      <c r="A210">
        <f>IF('Extra 1'!$A210="","",ROWS($A$2:$A210))</f>
        <v/>
      </c>
      <c r="B210">
        <f>IF('Extra 1'!$A210="","",'Extra 1'!E210)</f>
        <v/>
      </c>
      <c r="C210">
        <f>IF('Extra 1'!$A210="","",'Extra 1'!F210)</f>
        <v/>
      </c>
      <c r="D210" s="14">
        <f>IF('Extra 1'!$A210="","",'Extra 1'!I210)</f>
        <v/>
      </c>
      <c r="E210" s="7">
        <f>IF('Extra 1'!$A210="","",'Extra 1'!O210)</f>
        <v/>
      </c>
      <c r="F210" s="7">
        <f>IF('Extra 1'!$A210="","",'Extra 1'!L210)</f>
        <v/>
      </c>
      <c r="G210" s="7">
        <f>IF('Extra 1'!$A210="","",'Extra 1'!S210)</f>
        <v/>
      </c>
      <c r="H210">
        <f>IF('Extra 1'!$A210="","",'Extra 1'!P210)</f>
        <v/>
      </c>
      <c r="I210">
        <f>IF('Extra 1'!$A210="","",'Extra 1'!M210)</f>
        <v/>
      </c>
      <c r="J210" s="7">
        <f>IF('Extra 1'!$A210="","",'Extra 1'!Q210)</f>
        <v/>
      </c>
      <c r="K210" s="7">
        <f>IF('Extra 1'!$A210="","",'Extra 1'!H210)</f>
        <v/>
      </c>
      <c r="L210" s="7">
        <f>IF('Extra 1'!$A210="","",'Extra 1'!T210)</f>
        <v/>
      </c>
      <c r="M210">
        <f>IF('Extra 1'!$A210="","",'Extra 1'!G210)</f>
        <v/>
      </c>
    </row>
    <row r="211">
      <c r="A211">
        <f>IF('Extra 1'!$A211="","",ROWS($A$2:$A211))</f>
        <v/>
      </c>
      <c r="B211">
        <f>IF('Extra 1'!$A211="","",'Extra 1'!E211)</f>
        <v/>
      </c>
      <c r="C211">
        <f>IF('Extra 1'!$A211="","",'Extra 1'!F211)</f>
        <v/>
      </c>
      <c r="D211" s="14">
        <f>IF('Extra 1'!$A211="","",'Extra 1'!I211)</f>
        <v/>
      </c>
      <c r="E211" s="7">
        <f>IF('Extra 1'!$A211="","",'Extra 1'!O211)</f>
        <v/>
      </c>
      <c r="F211" s="7">
        <f>IF('Extra 1'!$A211="","",'Extra 1'!L211)</f>
        <v/>
      </c>
      <c r="G211" s="7">
        <f>IF('Extra 1'!$A211="","",'Extra 1'!S211)</f>
        <v/>
      </c>
      <c r="H211">
        <f>IF('Extra 1'!$A211="","",'Extra 1'!P211)</f>
        <v/>
      </c>
      <c r="I211">
        <f>IF('Extra 1'!$A211="","",'Extra 1'!M211)</f>
        <v/>
      </c>
      <c r="J211" s="7">
        <f>IF('Extra 1'!$A211="","",'Extra 1'!Q211)</f>
        <v/>
      </c>
      <c r="K211" s="7">
        <f>IF('Extra 1'!$A211="","",'Extra 1'!H211)</f>
        <v/>
      </c>
      <c r="L211" s="7">
        <f>IF('Extra 1'!$A211="","",'Extra 1'!T211)</f>
        <v/>
      </c>
      <c r="M211">
        <f>IF('Extra 1'!$A211="","",'Extra 1'!G211)</f>
        <v/>
      </c>
    </row>
    <row r="212">
      <c r="A212">
        <f>IF('Extra 1'!$A212="","",ROWS($A$2:$A212))</f>
        <v/>
      </c>
      <c r="B212">
        <f>IF('Extra 1'!$A212="","",'Extra 1'!E212)</f>
        <v/>
      </c>
      <c r="C212">
        <f>IF('Extra 1'!$A212="","",'Extra 1'!F212)</f>
        <v/>
      </c>
      <c r="D212" s="14">
        <f>IF('Extra 1'!$A212="","",'Extra 1'!I212)</f>
        <v/>
      </c>
      <c r="E212" s="7">
        <f>IF('Extra 1'!$A212="","",'Extra 1'!O212)</f>
        <v/>
      </c>
      <c r="F212" s="7">
        <f>IF('Extra 1'!$A212="","",'Extra 1'!L212)</f>
        <v/>
      </c>
      <c r="G212" s="7">
        <f>IF('Extra 1'!$A212="","",'Extra 1'!S212)</f>
        <v/>
      </c>
      <c r="H212">
        <f>IF('Extra 1'!$A212="","",'Extra 1'!P212)</f>
        <v/>
      </c>
      <c r="I212">
        <f>IF('Extra 1'!$A212="","",'Extra 1'!M212)</f>
        <v/>
      </c>
      <c r="J212" s="7">
        <f>IF('Extra 1'!$A212="","",'Extra 1'!Q212)</f>
        <v/>
      </c>
      <c r="K212" s="7">
        <f>IF('Extra 1'!$A212="","",'Extra 1'!H212)</f>
        <v/>
      </c>
      <c r="L212" s="7">
        <f>IF('Extra 1'!$A212="","",'Extra 1'!T212)</f>
        <v/>
      </c>
      <c r="M212">
        <f>IF('Extra 1'!$A212="","",'Extra 1'!G212)</f>
        <v/>
      </c>
    </row>
    <row r="213">
      <c r="A213">
        <f>IF('Extra 1'!$A213="","",ROWS($A$2:$A213))</f>
        <v/>
      </c>
      <c r="B213">
        <f>IF('Extra 1'!$A213="","",'Extra 1'!E213)</f>
        <v/>
      </c>
      <c r="C213">
        <f>IF('Extra 1'!$A213="","",'Extra 1'!F213)</f>
        <v/>
      </c>
      <c r="D213" s="14">
        <f>IF('Extra 1'!$A213="","",'Extra 1'!I213)</f>
        <v/>
      </c>
      <c r="E213" s="7">
        <f>IF('Extra 1'!$A213="","",'Extra 1'!O213)</f>
        <v/>
      </c>
      <c r="F213" s="7">
        <f>IF('Extra 1'!$A213="","",'Extra 1'!L213)</f>
        <v/>
      </c>
      <c r="G213" s="7">
        <f>IF('Extra 1'!$A213="","",'Extra 1'!S213)</f>
        <v/>
      </c>
      <c r="H213">
        <f>IF('Extra 1'!$A213="","",'Extra 1'!P213)</f>
        <v/>
      </c>
      <c r="I213">
        <f>IF('Extra 1'!$A213="","",'Extra 1'!M213)</f>
        <v/>
      </c>
      <c r="J213" s="7">
        <f>IF('Extra 1'!$A213="","",'Extra 1'!Q213)</f>
        <v/>
      </c>
      <c r="K213" s="7">
        <f>IF('Extra 1'!$A213="","",'Extra 1'!H213)</f>
        <v/>
      </c>
      <c r="L213" s="7">
        <f>IF('Extra 1'!$A213="","",'Extra 1'!T213)</f>
        <v/>
      </c>
      <c r="M213">
        <f>IF('Extra 1'!$A213="","",'Extra 1'!G213)</f>
        <v/>
      </c>
    </row>
    <row r="214">
      <c r="A214">
        <f>IF('Extra 1'!$A214="","",ROWS($A$2:$A214))</f>
        <v/>
      </c>
      <c r="B214">
        <f>IF('Extra 1'!$A214="","",'Extra 1'!E214)</f>
        <v/>
      </c>
      <c r="C214">
        <f>IF('Extra 1'!$A214="","",'Extra 1'!F214)</f>
        <v/>
      </c>
      <c r="D214" s="14">
        <f>IF('Extra 1'!$A214="","",'Extra 1'!I214)</f>
        <v/>
      </c>
      <c r="E214" s="7">
        <f>IF('Extra 1'!$A214="","",'Extra 1'!O214)</f>
        <v/>
      </c>
      <c r="F214" s="7">
        <f>IF('Extra 1'!$A214="","",'Extra 1'!L214)</f>
        <v/>
      </c>
      <c r="G214" s="7">
        <f>IF('Extra 1'!$A214="","",'Extra 1'!S214)</f>
        <v/>
      </c>
      <c r="H214">
        <f>IF('Extra 1'!$A214="","",'Extra 1'!P214)</f>
        <v/>
      </c>
      <c r="I214">
        <f>IF('Extra 1'!$A214="","",'Extra 1'!M214)</f>
        <v/>
      </c>
      <c r="J214" s="7">
        <f>IF('Extra 1'!$A214="","",'Extra 1'!Q214)</f>
        <v/>
      </c>
      <c r="K214" s="7">
        <f>IF('Extra 1'!$A214="","",'Extra 1'!H214)</f>
        <v/>
      </c>
      <c r="L214" s="7">
        <f>IF('Extra 1'!$A214="","",'Extra 1'!T214)</f>
        <v/>
      </c>
      <c r="M214">
        <f>IF('Extra 1'!$A214="","",'Extra 1'!G214)</f>
        <v/>
      </c>
    </row>
    <row r="215">
      <c r="A215">
        <f>IF('Extra 1'!$A215="","",ROWS($A$2:$A215))</f>
        <v/>
      </c>
      <c r="B215">
        <f>IF('Extra 1'!$A215="","",'Extra 1'!E215)</f>
        <v/>
      </c>
      <c r="C215">
        <f>IF('Extra 1'!$A215="","",'Extra 1'!F215)</f>
        <v/>
      </c>
      <c r="D215" s="14">
        <f>IF('Extra 1'!$A215="","",'Extra 1'!I215)</f>
        <v/>
      </c>
      <c r="E215" s="7">
        <f>IF('Extra 1'!$A215="","",'Extra 1'!O215)</f>
        <v/>
      </c>
      <c r="F215" s="7">
        <f>IF('Extra 1'!$A215="","",'Extra 1'!L215)</f>
        <v/>
      </c>
      <c r="G215" s="7">
        <f>IF('Extra 1'!$A215="","",'Extra 1'!S215)</f>
        <v/>
      </c>
      <c r="H215">
        <f>IF('Extra 1'!$A215="","",'Extra 1'!P215)</f>
        <v/>
      </c>
      <c r="I215">
        <f>IF('Extra 1'!$A215="","",'Extra 1'!M215)</f>
        <v/>
      </c>
      <c r="J215" s="7">
        <f>IF('Extra 1'!$A215="","",'Extra 1'!Q215)</f>
        <v/>
      </c>
      <c r="K215" s="7">
        <f>IF('Extra 1'!$A215="","",'Extra 1'!H215)</f>
        <v/>
      </c>
      <c r="L215" s="7">
        <f>IF('Extra 1'!$A215="","",'Extra 1'!T215)</f>
        <v/>
      </c>
      <c r="M215">
        <f>IF('Extra 1'!$A215="","",'Extra 1'!G215)</f>
        <v/>
      </c>
    </row>
    <row r="216">
      <c r="A216">
        <f>IF('Extra 1'!$A216="","",ROWS($A$2:$A216))</f>
        <v/>
      </c>
      <c r="B216">
        <f>IF('Extra 1'!$A216="","",'Extra 1'!E216)</f>
        <v/>
      </c>
      <c r="C216">
        <f>IF('Extra 1'!$A216="","",'Extra 1'!F216)</f>
        <v/>
      </c>
      <c r="D216" s="14">
        <f>IF('Extra 1'!$A216="","",'Extra 1'!I216)</f>
        <v/>
      </c>
      <c r="E216" s="7">
        <f>IF('Extra 1'!$A216="","",'Extra 1'!O216)</f>
        <v/>
      </c>
      <c r="F216" s="7">
        <f>IF('Extra 1'!$A216="","",'Extra 1'!L216)</f>
        <v/>
      </c>
      <c r="G216" s="7">
        <f>IF('Extra 1'!$A216="","",'Extra 1'!S216)</f>
        <v/>
      </c>
      <c r="H216">
        <f>IF('Extra 1'!$A216="","",'Extra 1'!P216)</f>
        <v/>
      </c>
      <c r="I216">
        <f>IF('Extra 1'!$A216="","",'Extra 1'!M216)</f>
        <v/>
      </c>
      <c r="J216" s="7">
        <f>IF('Extra 1'!$A216="","",'Extra 1'!Q216)</f>
        <v/>
      </c>
      <c r="K216" s="7">
        <f>IF('Extra 1'!$A216="","",'Extra 1'!H216)</f>
        <v/>
      </c>
      <c r="L216" s="7">
        <f>IF('Extra 1'!$A216="","",'Extra 1'!T216)</f>
        <v/>
      </c>
      <c r="M216">
        <f>IF('Extra 1'!$A216="","",'Extra 1'!G216)</f>
        <v/>
      </c>
    </row>
    <row r="217">
      <c r="A217">
        <f>IF('Extra 1'!$A217="","",ROWS($A$2:$A217))</f>
        <v/>
      </c>
      <c r="B217">
        <f>IF('Extra 1'!$A217="","",'Extra 1'!E217)</f>
        <v/>
      </c>
      <c r="C217">
        <f>IF('Extra 1'!$A217="","",'Extra 1'!F217)</f>
        <v/>
      </c>
      <c r="D217" s="14">
        <f>IF('Extra 1'!$A217="","",'Extra 1'!I217)</f>
        <v/>
      </c>
      <c r="E217" s="7">
        <f>IF('Extra 1'!$A217="","",'Extra 1'!O217)</f>
        <v/>
      </c>
      <c r="F217" s="7">
        <f>IF('Extra 1'!$A217="","",'Extra 1'!L217)</f>
        <v/>
      </c>
      <c r="G217" s="7">
        <f>IF('Extra 1'!$A217="","",'Extra 1'!S217)</f>
        <v/>
      </c>
      <c r="H217">
        <f>IF('Extra 1'!$A217="","",'Extra 1'!P217)</f>
        <v/>
      </c>
      <c r="I217">
        <f>IF('Extra 1'!$A217="","",'Extra 1'!M217)</f>
        <v/>
      </c>
      <c r="J217" s="7">
        <f>IF('Extra 1'!$A217="","",'Extra 1'!Q217)</f>
        <v/>
      </c>
      <c r="K217" s="7">
        <f>IF('Extra 1'!$A217="","",'Extra 1'!H217)</f>
        <v/>
      </c>
      <c r="L217" s="7">
        <f>IF('Extra 1'!$A217="","",'Extra 1'!T217)</f>
        <v/>
      </c>
      <c r="M217">
        <f>IF('Extra 1'!$A217="","",'Extra 1'!G217)</f>
        <v/>
      </c>
    </row>
    <row r="218">
      <c r="A218">
        <f>IF('Extra 1'!$A218="","",ROWS($A$2:$A218))</f>
        <v/>
      </c>
      <c r="B218">
        <f>IF('Extra 1'!$A218="","",'Extra 1'!E218)</f>
        <v/>
      </c>
      <c r="C218">
        <f>IF('Extra 1'!$A218="","",'Extra 1'!F218)</f>
        <v/>
      </c>
      <c r="D218" s="14">
        <f>IF('Extra 1'!$A218="","",'Extra 1'!I218)</f>
        <v/>
      </c>
      <c r="E218" s="7">
        <f>IF('Extra 1'!$A218="","",'Extra 1'!O218)</f>
        <v/>
      </c>
      <c r="F218" s="7">
        <f>IF('Extra 1'!$A218="","",'Extra 1'!L218)</f>
        <v/>
      </c>
      <c r="G218" s="7">
        <f>IF('Extra 1'!$A218="","",'Extra 1'!S218)</f>
        <v/>
      </c>
      <c r="H218">
        <f>IF('Extra 1'!$A218="","",'Extra 1'!P218)</f>
        <v/>
      </c>
      <c r="I218">
        <f>IF('Extra 1'!$A218="","",'Extra 1'!M218)</f>
        <v/>
      </c>
      <c r="J218" s="7">
        <f>IF('Extra 1'!$A218="","",'Extra 1'!Q218)</f>
        <v/>
      </c>
      <c r="K218" s="7">
        <f>IF('Extra 1'!$A218="","",'Extra 1'!H218)</f>
        <v/>
      </c>
      <c r="L218" s="7">
        <f>IF('Extra 1'!$A218="","",'Extra 1'!T218)</f>
        <v/>
      </c>
      <c r="M218">
        <f>IF('Extra 1'!$A218="","",'Extra 1'!G218)</f>
        <v/>
      </c>
    </row>
    <row r="219">
      <c r="A219">
        <f>IF('Extra 1'!$A219="","",ROWS($A$2:$A219))</f>
        <v/>
      </c>
      <c r="B219">
        <f>IF('Extra 1'!$A219="","",'Extra 1'!E219)</f>
        <v/>
      </c>
      <c r="C219">
        <f>IF('Extra 1'!$A219="","",'Extra 1'!F219)</f>
        <v/>
      </c>
      <c r="D219" s="14">
        <f>IF('Extra 1'!$A219="","",'Extra 1'!I219)</f>
        <v/>
      </c>
      <c r="E219" s="7">
        <f>IF('Extra 1'!$A219="","",'Extra 1'!O219)</f>
        <v/>
      </c>
      <c r="F219" s="7">
        <f>IF('Extra 1'!$A219="","",'Extra 1'!L219)</f>
        <v/>
      </c>
      <c r="G219" s="7">
        <f>IF('Extra 1'!$A219="","",'Extra 1'!S219)</f>
        <v/>
      </c>
      <c r="H219">
        <f>IF('Extra 1'!$A219="","",'Extra 1'!P219)</f>
        <v/>
      </c>
      <c r="I219">
        <f>IF('Extra 1'!$A219="","",'Extra 1'!M219)</f>
        <v/>
      </c>
      <c r="J219" s="7">
        <f>IF('Extra 1'!$A219="","",'Extra 1'!Q219)</f>
        <v/>
      </c>
      <c r="K219" s="7">
        <f>IF('Extra 1'!$A219="","",'Extra 1'!H219)</f>
        <v/>
      </c>
      <c r="L219" s="7">
        <f>IF('Extra 1'!$A219="","",'Extra 1'!T219)</f>
        <v/>
      </c>
      <c r="M219">
        <f>IF('Extra 1'!$A219="","",'Extra 1'!G219)</f>
        <v/>
      </c>
    </row>
    <row r="220">
      <c r="A220">
        <f>IF('Extra 1'!$A220="","",ROWS($A$2:$A220))</f>
        <v/>
      </c>
      <c r="B220">
        <f>IF('Extra 1'!$A220="","",'Extra 1'!E220)</f>
        <v/>
      </c>
      <c r="C220">
        <f>IF('Extra 1'!$A220="","",'Extra 1'!F220)</f>
        <v/>
      </c>
      <c r="D220" s="14">
        <f>IF('Extra 1'!$A220="","",'Extra 1'!I220)</f>
        <v/>
      </c>
      <c r="E220" s="7">
        <f>IF('Extra 1'!$A220="","",'Extra 1'!O220)</f>
        <v/>
      </c>
      <c r="F220" s="7">
        <f>IF('Extra 1'!$A220="","",'Extra 1'!L220)</f>
        <v/>
      </c>
      <c r="G220" s="7">
        <f>IF('Extra 1'!$A220="","",'Extra 1'!S220)</f>
        <v/>
      </c>
      <c r="H220">
        <f>IF('Extra 1'!$A220="","",'Extra 1'!P220)</f>
        <v/>
      </c>
      <c r="I220">
        <f>IF('Extra 1'!$A220="","",'Extra 1'!M220)</f>
        <v/>
      </c>
      <c r="J220" s="7">
        <f>IF('Extra 1'!$A220="","",'Extra 1'!Q220)</f>
        <v/>
      </c>
      <c r="K220" s="7">
        <f>IF('Extra 1'!$A220="","",'Extra 1'!H220)</f>
        <v/>
      </c>
      <c r="L220" s="7">
        <f>IF('Extra 1'!$A220="","",'Extra 1'!T220)</f>
        <v/>
      </c>
      <c r="M220">
        <f>IF('Extra 1'!$A220="","",'Extra 1'!G220)</f>
        <v/>
      </c>
    </row>
    <row r="221">
      <c r="A221">
        <f>IF('Extra 1'!$A221="","",ROWS($A$2:$A221))</f>
        <v/>
      </c>
      <c r="B221">
        <f>IF('Extra 1'!$A221="","",'Extra 1'!E221)</f>
        <v/>
      </c>
      <c r="C221">
        <f>IF('Extra 1'!$A221="","",'Extra 1'!F221)</f>
        <v/>
      </c>
      <c r="D221" s="14">
        <f>IF('Extra 1'!$A221="","",'Extra 1'!I221)</f>
        <v/>
      </c>
      <c r="E221" s="7">
        <f>IF('Extra 1'!$A221="","",'Extra 1'!O221)</f>
        <v/>
      </c>
      <c r="F221" s="7">
        <f>IF('Extra 1'!$A221="","",'Extra 1'!L221)</f>
        <v/>
      </c>
      <c r="G221" s="7">
        <f>IF('Extra 1'!$A221="","",'Extra 1'!S221)</f>
        <v/>
      </c>
      <c r="H221">
        <f>IF('Extra 1'!$A221="","",'Extra 1'!P221)</f>
        <v/>
      </c>
      <c r="I221">
        <f>IF('Extra 1'!$A221="","",'Extra 1'!M221)</f>
        <v/>
      </c>
      <c r="J221" s="7">
        <f>IF('Extra 1'!$A221="","",'Extra 1'!Q221)</f>
        <v/>
      </c>
      <c r="K221" s="7">
        <f>IF('Extra 1'!$A221="","",'Extra 1'!H221)</f>
        <v/>
      </c>
      <c r="L221" s="7">
        <f>IF('Extra 1'!$A221="","",'Extra 1'!T221)</f>
        <v/>
      </c>
      <c r="M221">
        <f>IF('Extra 1'!$A221="","",'Extra 1'!G221)</f>
        <v/>
      </c>
    </row>
    <row r="222">
      <c r="A222">
        <f>IF('Extra 1'!$A222="","",ROWS($A$2:$A222))</f>
        <v/>
      </c>
      <c r="B222">
        <f>IF('Extra 1'!$A222="","",'Extra 1'!E222)</f>
        <v/>
      </c>
      <c r="C222">
        <f>IF('Extra 1'!$A222="","",'Extra 1'!F222)</f>
        <v/>
      </c>
      <c r="D222" s="14">
        <f>IF('Extra 1'!$A222="","",'Extra 1'!I222)</f>
        <v/>
      </c>
      <c r="E222" s="7">
        <f>IF('Extra 1'!$A222="","",'Extra 1'!O222)</f>
        <v/>
      </c>
      <c r="F222" s="7">
        <f>IF('Extra 1'!$A222="","",'Extra 1'!L222)</f>
        <v/>
      </c>
      <c r="G222" s="7">
        <f>IF('Extra 1'!$A222="","",'Extra 1'!S222)</f>
        <v/>
      </c>
      <c r="H222">
        <f>IF('Extra 1'!$A222="","",'Extra 1'!P222)</f>
        <v/>
      </c>
      <c r="I222">
        <f>IF('Extra 1'!$A222="","",'Extra 1'!M222)</f>
        <v/>
      </c>
      <c r="J222" s="7">
        <f>IF('Extra 1'!$A222="","",'Extra 1'!Q222)</f>
        <v/>
      </c>
      <c r="K222" s="7">
        <f>IF('Extra 1'!$A222="","",'Extra 1'!H222)</f>
        <v/>
      </c>
      <c r="L222" s="7">
        <f>IF('Extra 1'!$A222="","",'Extra 1'!T222)</f>
        <v/>
      </c>
      <c r="M222">
        <f>IF('Extra 1'!$A222="","",'Extra 1'!G222)</f>
        <v/>
      </c>
    </row>
    <row r="223">
      <c r="A223">
        <f>IF('Extra 1'!$A223="","",ROWS($A$2:$A223))</f>
        <v/>
      </c>
      <c r="B223">
        <f>IF('Extra 1'!$A223="","",'Extra 1'!E223)</f>
        <v/>
      </c>
      <c r="C223">
        <f>IF('Extra 1'!$A223="","",'Extra 1'!F223)</f>
        <v/>
      </c>
      <c r="D223" s="14">
        <f>IF('Extra 1'!$A223="","",'Extra 1'!I223)</f>
        <v/>
      </c>
      <c r="E223" s="7">
        <f>IF('Extra 1'!$A223="","",'Extra 1'!O223)</f>
        <v/>
      </c>
      <c r="F223" s="7">
        <f>IF('Extra 1'!$A223="","",'Extra 1'!L223)</f>
        <v/>
      </c>
      <c r="G223" s="7">
        <f>IF('Extra 1'!$A223="","",'Extra 1'!S223)</f>
        <v/>
      </c>
      <c r="H223">
        <f>IF('Extra 1'!$A223="","",'Extra 1'!P223)</f>
        <v/>
      </c>
      <c r="I223">
        <f>IF('Extra 1'!$A223="","",'Extra 1'!M223)</f>
        <v/>
      </c>
      <c r="J223" s="7">
        <f>IF('Extra 1'!$A223="","",'Extra 1'!Q223)</f>
        <v/>
      </c>
      <c r="K223" s="7">
        <f>IF('Extra 1'!$A223="","",'Extra 1'!H223)</f>
        <v/>
      </c>
      <c r="L223" s="7">
        <f>IF('Extra 1'!$A223="","",'Extra 1'!T223)</f>
        <v/>
      </c>
      <c r="M223">
        <f>IF('Extra 1'!$A223="","",'Extra 1'!G223)</f>
        <v/>
      </c>
    </row>
    <row r="224">
      <c r="A224">
        <f>IF('Extra 1'!$A224="","",ROWS($A$2:$A224))</f>
        <v/>
      </c>
      <c r="B224">
        <f>IF('Extra 1'!$A224="","",'Extra 1'!E224)</f>
        <v/>
      </c>
      <c r="C224">
        <f>IF('Extra 1'!$A224="","",'Extra 1'!F224)</f>
        <v/>
      </c>
      <c r="D224" s="14">
        <f>IF('Extra 1'!$A224="","",'Extra 1'!I224)</f>
        <v/>
      </c>
      <c r="E224" s="7">
        <f>IF('Extra 1'!$A224="","",'Extra 1'!O224)</f>
        <v/>
      </c>
      <c r="F224" s="7">
        <f>IF('Extra 1'!$A224="","",'Extra 1'!L224)</f>
        <v/>
      </c>
      <c r="G224" s="7">
        <f>IF('Extra 1'!$A224="","",'Extra 1'!S224)</f>
        <v/>
      </c>
      <c r="H224">
        <f>IF('Extra 1'!$A224="","",'Extra 1'!P224)</f>
        <v/>
      </c>
      <c r="I224">
        <f>IF('Extra 1'!$A224="","",'Extra 1'!M224)</f>
        <v/>
      </c>
      <c r="J224" s="7">
        <f>IF('Extra 1'!$A224="","",'Extra 1'!Q224)</f>
        <v/>
      </c>
      <c r="K224" s="7">
        <f>IF('Extra 1'!$A224="","",'Extra 1'!H224)</f>
        <v/>
      </c>
      <c r="L224" s="7">
        <f>IF('Extra 1'!$A224="","",'Extra 1'!T224)</f>
        <v/>
      </c>
      <c r="M224">
        <f>IF('Extra 1'!$A224="","",'Extra 1'!G224)</f>
        <v/>
      </c>
    </row>
    <row r="225">
      <c r="A225">
        <f>IF('Extra 1'!$A225="","",ROWS($A$2:$A225))</f>
        <v/>
      </c>
      <c r="B225">
        <f>IF('Extra 1'!$A225="","",'Extra 1'!E225)</f>
        <v/>
      </c>
      <c r="C225">
        <f>IF('Extra 1'!$A225="","",'Extra 1'!F225)</f>
        <v/>
      </c>
      <c r="D225" s="14">
        <f>IF('Extra 1'!$A225="","",'Extra 1'!I225)</f>
        <v/>
      </c>
      <c r="E225" s="7">
        <f>IF('Extra 1'!$A225="","",'Extra 1'!O225)</f>
        <v/>
      </c>
      <c r="F225" s="7">
        <f>IF('Extra 1'!$A225="","",'Extra 1'!L225)</f>
        <v/>
      </c>
      <c r="G225" s="7">
        <f>IF('Extra 1'!$A225="","",'Extra 1'!S225)</f>
        <v/>
      </c>
      <c r="H225">
        <f>IF('Extra 1'!$A225="","",'Extra 1'!P225)</f>
        <v/>
      </c>
      <c r="I225">
        <f>IF('Extra 1'!$A225="","",'Extra 1'!M225)</f>
        <v/>
      </c>
      <c r="J225" s="7">
        <f>IF('Extra 1'!$A225="","",'Extra 1'!Q225)</f>
        <v/>
      </c>
      <c r="K225" s="7">
        <f>IF('Extra 1'!$A225="","",'Extra 1'!H225)</f>
        <v/>
      </c>
      <c r="L225" s="7">
        <f>IF('Extra 1'!$A225="","",'Extra 1'!T225)</f>
        <v/>
      </c>
      <c r="M225">
        <f>IF('Extra 1'!$A225="","",'Extra 1'!G225)</f>
        <v/>
      </c>
    </row>
    <row r="226">
      <c r="A226">
        <f>IF('Extra 1'!$A226="","",ROWS($A$2:$A226))</f>
        <v/>
      </c>
      <c r="B226">
        <f>IF('Extra 1'!$A226="","",'Extra 1'!E226)</f>
        <v/>
      </c>
      <c r="C226">
        <f>IF('Extra 1'!$A226="","",'Extra 1'!F226)</f>
        <v/>
      </c>
      <c r="D226" s="14">
        <f>IF('Extra 1'!$A226="","",'Extra 1'!I226)</f>
        <v/>
      </c>
      <c r="E226" s="7">
        <f>IF('Extra 1'!$A226="","",'Extra 1'!O226)</f>
        <v/>
      </c>
      <c r="F226" s="7">
        <f>IF('Extra 1'!$A226="","",'Extra 1'!L226)</f>
        <v/>
      </c>
      <c r="G226" s="7">
        <f>IF('Extra 1'!$A226="","",'Extra 1'!S226)</f>
        <v/>
      </c>
      <c r="H226">
        <f>IF('Extra 1'!$A226="","",'Extra 1'!P226)</f>
        <v/>
      </c>
      <c r="I226">
        <f>IF('Extra 1'!$A226="","",'Extra 1'!M226)</f>
        <v/>
      </c>
      <c r="J226" s="7">
        <f>IF('Extra 1'!$A226="","",'Extra 1'!Q226)</f>
        <v/>
      </c>
      <c r="K226" s="7">
        <f>IF('Extra 1'!$A226="","",'Extra 1'!H226)</f>
        <v/>
      </c>
      <c r="L226" s="7">
        <f>IF('Extra 1'!$A226="","",'Extra 1'!T226)</f>
        <v/>
      </c>
      <c r="M226">
        <f>IF('Extra 1'!$A226="","",'Extra 1'!G226)</f>
        <v/>
      </c>
    </row>
    <row r="227">
      <c r="A227">
        <f>IF('Extra 1'!$A227="","",ROWS($A$2:$A227))</f>
        <v/>
      </c>
      <c r="B227">
        <f>IF('Extra 1'!$A227="","",'Extra 1'!E227)</f>
        <v/>
      </c>
      <c r="C227">
        <f>IF('Extra 1'!$A227="","",'Extra 1'!F227)</f>
        <v/>
      </c>
      <c r="D227" s="14">
        <f>IF('Extra 1'!$A227="","",'Extra 1'!I227)</f>
        <v/>
      </c>
      <c r="E227" s="7">
        <f>IF('Extra 1'!$A227="","",'Extra 1'!O227)</f>
        <v/>
      </c>
      <c r="F227" s="7">
        <f>IF('Extra 1'!$A227="","",'Extra 1'!L227)</f>
        <v/>
      </c>
      <c r="G227" s="7">
        <f>IF('Extra 1'!$A227="","",'Extra 1'!S227)</f>
        <v/>
      </c>
      <c r="H227">
        <f>IF('Extra 1'!$A227="","",'Extra 1'!P227)</f>
        <v/>
      </c>
      <c r="I227">
        <f>IF('Extra 1'!$A227="","",'Extra 1'!M227)</f>
        <v/>
      </c>
      <c r="J227" s="7">
        <f>IF('Extra 1'!$A227="","",'Extra 1'!Q227)</f>
        <v/>
      </c>
      <c r="K227" s="7">
        <f>IF('Extra 1'!$A227="","",'Extra 1'!H227)</f>
        <v/>
      </c>
      <c r="L227" s="7">
        <f>IF('Extra 1'!$A227="","",'Extra 1'!T227)</f>
        <v/>
      </c>
      <c r="M227">
        <f>IF('Extra 1'!$A227="","",'Extra 1'!G227)</f>
        <v/>
      </c>
    </row>
    <row r="228">
      <c r="A228">
        <f>IF('Extra 1'!$A228="","",ROWS($A$2:$A228))</f>
        <v/>
      </c>
      <c r="B228">
        <f>IF('Extra 1'!$A228="","",'Extra 1'!E228)</f>
        <v/>
      </c>
      <c r="C228">
        <f>IF('Extra 1'!$A228="","",'Extra 1'!F228)</f>
        <v/>
      </c>
      <c r="D228" s="14">
        <f>IF('Extra 1'!$A228="","",'Extra 1'!I228)</f>
        <v/>
      </c>
      <c r="E228" s="7">
        <f>IF('Extra 1'!$A228="","",'Extra 1'!O228)</f>
        <v/>
      </c>
      <c r="F228" s="7">
        <f>IF('Extra 1'!$A228="","",'Extra 1'!L228)</f>
        <v/>
      </c>
      <c r="G228" s="7">
        <f>IF('Extra 1'!$A228="","",'Extra 1'!S228)</f>
        <v/>
      </c>
      <c r="H228">
        <f>IF('Extra 1'!$A228="","",'Extra 1'!P228)</f>
        <v/>
      </c>
      <c r="I228">
        <f>IF('Extra 1'!$A228="","",'Extra 1'!M228)</f>
        <v/>
      </c>
      <c r="J228" s="7">
        <f>IF('Extra 1'!$A228="","",'Extra 1'!Q228)</f>
        <v/>
      </c>
      <c r="K228" s="7">
        <f>IF('Extra 1'!$A228="","",'Extra 1'!H228)</f>
        <v/>
      </c>
      <c r="L228" s="7">
        <f>IF('Extra 1'!$A228="","",'Extra 1'!T228)</f>
        <v/>
      </c>
      <c r="M228">
        <f>IF('Extra 1'!$A228="","",'Extra 1'!G228)</f>
        <v/>
      </c>
    </row>
    <row r="229">
      <c r="A229">
        <f>IF('Extra 1'!$A229="","",ROWS($A$2:$A229))</f>
        <v/>
      </c>
      <c r="B229">
        <f>IF('Extra 1'!$A229="","",'Extra 1'!E229)</f>
        <v/>
      </c>
      <c r="C229">
        <f>IF('Extra 1'!$A229="","",'Extra 1'!F229)</f>
        <v/>
      </c>
      <c r="D229" s="14">
        <f>IF('Extra 1'!$A229="","",'Extra 1'!I229)</f>
        <v/>
      </c>
      <c r="E229" s="7">
        <f>IF('Extra 1'!$A229="","",'Extra 1'!O229)</f>
        <v/>
      </c>
      <c r="F229" s="7">
        <f>IF('Extra 1'!$A229="","",'Extra 1'!L229)</f>
        <v/>
      </c>
      <c r="G229" s="7">
        <f>IF('Extra 1'!$A229="","",'Extra 1'!S229)</f>
        <v/>
      </c>
      <c r="H229">
        <f>IF('Extra 1'!$A229="","",'Extra 1'!P229)</f>
        <v/>
      </c>
      <c r="I229">
        <f>IF('Extra 1'!$A229="","",'Extra 1'!M229)</f>
        <v/>
      </c>
      <c r="J229" s="7">
        <f>IF('Extra 1'!$A229="","",'Extra 1'!Q229)</f>
        <v/>
      </c>
      <c r="K229" s="7">
        <f>IF('Extra 1'!$A229="","",'Extra 1'!H229)</f>
        <v/>
      </c>
      <c r="L229" s="7">
        <f>IF('Extra 1'!$A229="","",'Extra 1'!T229)</f>
        <v/>
      </c>
      <c r="M229">
        <f>IF('Extra 1'!$A229="","",'Extra 1'!G229)</f>
        <v/>
      </c>
    </row>
    <row r="230">
      <c r="A230">
        <f>IF('Extra 1'!$A230="","",ROWS($A$2:$A230))</f>
        <v/>
      </c>
      <c r="B230">
        <f>IF('Extra 1'!$A230="","",'Extra 1'!E230)</f>
        <v/>
      </c>
      <c r="C230">
        <f>IF('Extra 1'!$A230="","",'Extra 1'!F230)</f>
        <v/>
      </c>
      <c r="D230" s="14">
        <f>IF('Extra 1'!$A230="","",'Extra 1'!I230)</f>
        <v/>
      </c>
      <c r="E230" s="7">
        <f>IF('Extra 1'!$A230="","",'Extra 1'!O230)</f>
        <v/>
      </c>
      <c r="F230" s="7">
        <f>IF('Extra 1'!$A230="","",'Extra 1'!L230)</f>
        <v/>
      </c>
      <c r="G230" s="7">
        <f>IF('Extra 1'!$A230="","",'Extra 1'!S230)</f>
        <v/>
      </c>
      <c r="H230">
        <f>IF('Extra 1'!$A230="","",'Extra 1'!P230)</f>
        <v/>
      </c>
      <c r="I230">
        <f>IF('Extra 1'!$A230="","",'Extra 1'!M230)</f>
        <v/>
      </c>
      <c r="J230" s="7">
        <f>IF('Extra 1'!$A230="","",'Extra 1'!Q230)</f>
        <v/>
      </c>
      <c r="K230" s="7">
        <f>IF('Extra 1'!$A230="","",'Extra 1'!H230)</f>
        <v/>
      </c>
      <c r="L230" s="7">
        <f>IF('Extra 1'!$A230="","",'Extra 1'!T230)</f>
        <v/>
      </c>
      <c r="M230">
        <f>IF('Extra 1'!$A230="","",'Extra 1'!G230)</f>
        <v/>
      </c>
    </row>
    <row r="231">
      <c r="A231">
        <f>IF('Extra 1'!$A231="","",ROWS($A$2:$A231))</f>
        <v/>
      </c>
      <c r="B231">
        <f>IF('Extra 1'!$A231="","",'Extra 1'!E231)</f>
        <v/>
      </c>
      <c r="C231">
        <f>IF('Extra 1'!$A231="","",'Extra 1'!F231)</f>
        <v/>
      </c>
      <c r="D231" s="14">
        <f>IF('Extra 1'!$A231="","",'Extra 1'!I231)</f>
        <v/>
      </c>
      <c r="E231" s="7">
        <f>IF('Extra 1'!$A231="","",'Extra 1'!O231)</f>
        <v/>
      </c>
      <c r="F231" s="7">
        <f>IF('Extra 1'!$A231="","",'Extra 1'!L231)</f>
        <v/>
      </c>
      <c r="G231" s="7">
        <f>IF('Extra 1'!$A231="","",'Extra 1'!S231)</f>
        <v/>
      </c>
      <c r="H231">
        <f>IF('Extra 1'!$A231="","",'Extra 1'!P231)</f>
        <v/>
      </c>
      <c r="I231">
        <f>IF('Extra 1'!$A231="","",'Extra 1'!M231)</f>
        <v/>
      </c>
      <c r="J231" s="7">
        <f>IF('Extra 1'!$A231="","",'Extra 1'!Q231)</f>
        <v/>
      </c>
      <c r="K231" s="7">
        <f>IF('Extra 1'!$A231="","",'Extra 1'!H231)</f>
        <v/>
      </c>
      <c r="L231" s="7">
        <f>IF('Extra 1'!$A231="","",'Extra 1'!T231)</f>
        <v/>
      </c>
      <c r="M231">
        <f>IF('Extra 1'!$A231="","",'Extra 1'!G231)</f>
        <v/>
      </c>
    </row>
    <row r="232">
      <c r="A232">
        <f>IF('Extra 1'!$A232="","",ROWS($A$2:$A232))</f>
        <v/>
      </c>
      <c r="B232">
        <f>IF('Extra 1'!$A232="","",'Extra 1'!E232)</f>
        <v/>
      </c>
      <c r="C232">
        <f>IF('Extra 1'!$A232="","",'Extra 1'!F232)</f>
        <v/>
      </c>
      <c r="D232" s="14">
        <f>IF('Extra 1'!$A232="","",'Extra 1'!I232)</f>
        <v/>
      </c>
      <c r="E232" s="7">
        <f>IF('Extra 1'!$A232="","",'Extra 1'!O232)</f>
        <v/>
      </c>
      <c r="F232" s="7">
        <f>IF('Extra 1'!$A232="","",'Extra 1'!L232)</f>
        <v/>
      </c>
      <c r="G232" s="7">
        <f>IF('Extra 1'!$A232="","",'Extra 1'!S232)</f>
        <v/>
      </c>
      <c r="H232">
        <f>IF('Extra 1'!$A232="","",'Extra 1'!P232)</f>
        <v/>
      </c>
      <c r="I232">
        <f>IF('Extra 1'!$A232="","",'Extra 1'!M232)</f>
        <v/>
      </c>
      <c r="J232" s="7">
        <f>IF('Extra 1'!$A232="","",'Extra 1'!Q232)</f>
        <v/>
      </c>
      <c r="K232" s="7">
        <f>IF('Extra 1'!$A232="","",'Extra 1'!H232)</f>
        <v/>
      </c>
      <c r="L232" s="7">
        <f>IF('Extra 1'!$A232="","",'Extra 1'!T232)</f>
        <v/>
      </c>
      <c r="M232">
        <f>IF('Extra 1'!$A232="","",'Extra 1'!G232)</f>
        <v/>
      </c>
    </row>
    <row r="233">
      <c r="A233">
        <f>IF('Extra 1'!$A233="","",ROWS($A$2:$A233))</f>
        <v/>
      </c>
      <c r="B233">
        <f>IF('Extra 1'!$A233="","",'Extra 1'!E233)</f>
        <v/>
      </c>
      <c r="C233">
        <f>IF('Extra 1'!$A233="","",'Extra 1'!F233)</f>
        <v/>
      </c>
      <c r="D233" s="14">
        <f>IF('Extra 1'!$A233="","",'Extra 1'!I233)</f>
        <v/>
      </c>
      <c r="E233" s="7">
        <f>IF('Extra 1'!$A233="","",'Extra 1'!O233)</f>
        <v/>
      </c>
      <c r="F233" s="7">
        <f>IF('Extra 1'!$A233="","",'Extra 1'!L233)</f>
        <v/>
      </c>
      <c r="G233" s="7">
        <f>IF('Extra 1'!$A233="","",'Extra 1'!S233)</f>
        <v/>
      </c>
      <c r="H233">
        <f>IF('Extra 1'!$A233="","",'Extra 1'!P233)</f>
        <v/>
      </c>
      <c r="I233">
        <f>IF('Extra 1'!$A233="","",'Extra 1'!M233)</f>
        <v/>
      </c>
      <c r="J233" s="7">
        <f>IF('Extra 1'!$A233="","",'Extra 1'!Q233)</f>
        <v/>
      </c>
      <c r="K233" s="7">
        <f>IF('Extra 1'!$A233="","",'Extra 1'!H233)</f>
        <v/>
      </c>
      <c r="L233" s="7">
        <f>IF('Extra 1'!$A233="","",'Extra 1'!T233)</f>
        <v/>
      </c>
      <c r="M233">
        <f>IF('Extra 1'!$A233="","",'Extra 1'!G233)</f>
        <v/>
      </c>
    </row>
    <row r="234">
      <c r="A234">
        <f>IF('Extra 1'!$A234="","",ROWS($A$2:$A234))</f>
        <v/>
      </c>
      <c r="B234">
        <f>IF('Extra 1'!$A234="","",'Extra 1'!E234)</f>
        <v/>
      </c>
      <c r="C234">
        <f>IF('Extra 1'!$A234="","",'Extra 1'!F234)</f>
        <v/>
      </c>
      <c r="D234" s="14">
        <f>IF('Extra 1'!$A234="","",'Extra 1'!I234)</f>
        <v/>
      </c>
      <c r="E234" s="7">
        <f>IF('Extra 1'!$A234="","",'Extra 1'!O234)</f>
        <v/>
      </c>
      <c r="F234" s="7">
        <f>IF('Extra 1'!$A234="","",'Extra 1'!L234)</f>
        <v/>
      </c>
      <c r="G234" s="7">
        <f>IF('Extra 1'!$A234="","",'Extra 1'!S234)</f>
        <v/>
      </c>
      <c r="H234">
        <f>IF('Extra 1'!$A234="","",'Extra 1'!P234)</f>
        <v/>
      </c>
      <c r="I234">
        <f>IF('Extra 1'!$A234="","",'Extra 1'!M234)</f>
        <v/>
      </c>
      <c r="J234" s="7">
        <f>IF('Extra 1'!$A234="","",'Extra 1'!Q234)</f>
        <v/>
      </c>
      <c r="K234" s="7">
        <f>IF('Extra 1'!$A234="","",'Extra 1'!H234)</f>
        <v/>
      </c>
      <c r="L234" s="7">
        <f>IF('Extra 1'!$A234="","",'Extra 1'!T234)</f>
        <v/>
      </c>
      <c r="M234">
        <f>IF('Extra 1'!$A234="","",'Extra 1'!G234)</f>
        <v/>
      </c>
    </row>
    <row r="235">
      <c r="A235">
        <f>IF('Extra 1'!$A235="","",ROWS($A$2:$A235))</f>
        <v/>
      </c>
      <c r="B235">
        <f>IF('Extra 1'!$A235="","",'Extra 1'!E235)</f>
        <v/>
      </c>
      <c r="C235">
        <f>IF('Extra 1'!$A235="","",'Extra 1'!F235)</f>
        <v/>
      </c>
      <c r="D235" s="14">
        <f>IF('Extra 1'!$A235="","",'Extra 1'!I235)</f>
        <v/>
      </c>
      <c r="E235" s="7">
        <f>IF('Extra 1'!$A235="","",'Extra 1'!O235)</f>
        <v/>
      </c>
      <c r="F235" s="7">
        <f>IF('Extra 1'!$A235="","",'Extra 1'!L235)</f>
        <v/>
      </c>
      <c r="G235" s="7">
        <f>IF('Extra 1'!$A235="","",'Extra 1'!S235)</f>
        <v/>
      </c>
      <c r="H235">
        <f>IF('Extra 1'!$A235="","",'Extra 1'!P235)</f>
        <v/>
      </c>
      <c r="I235">
        <f>IF('Extra 1'!$A235="","",'Extra 1'!M235)</f>
        <v/>
      </c>
      <c r="J235" s="7">
        <f>IF('Extra 1'!$A235="","",'Extra 1'!Q235)</f>
        <v/>
      </c>
      <c r="K235" s="7">
        <f>IF('Extra 1'!$A235="","",'Extra 1'!H235)</f>
        <v/>
      </c>
      <c r="L235" s="7">
        <f>IF('Extra 1'!$A235="","",'Extra 1'!T235)</f>
        <v/>
      </c>
      <c r="M235">
        <f>IF('Extra 1'!$A235="","",'Extra 1'!G235)</f>
        <v/>
      </c>
    </row>
    <row r="236">
      <c r="A236">
        <f>IF('Extra 1'!$A236="","",ROWS($A$2:$A236))</f>
        <v/>
      </c>
      <c r="B236">
        <f>IF('Extra 1'!$A236="","",'Extra 1'!E236)</f>
        <v/>
      </c>
      <c r="C236">
        <f>IF('Extra 1'!$A236="","",'Extra 1'!F236)</f>
        <v/>
      </c>
      <c r="D236" s="14">
        <f>IF('Extra 1'!$A236="","",'Extra 1'!I236)</f>
        <v/>
      </c>
      <c r="E236" s="7">
        <f>IF('Extra 1'!$A236="","",'Extra 1'!O236)</f>
        <v/>
      </c>
      <c r="F236" s="7">
        <f>IF('Extra 1'!$A236="","",'Extra 1'!L236)</f>
        <v/>
      </c>
      <c r="G236" s="7">
        <f>IF('Extra 1'!$A236="","",'Extra 1'!S236)</f>
        <v/>
      </c>
      <c r="H236">
        <f>IF('Extra 1'!$A236="","",'Extra 1'!P236)</f>
        <v/>
      </c>
      <c r="I236">
        <f>IF('Extra 1'!$A236="","",'Extra 1'!M236)</f>
        <v/>
      </c>
      <c r="J236" s="7">
        <f>IF('Extra 1'!$A236="","",'Extra 1'!Q236)</f>
        <v/>
      </c>
      <c r="K236" s="7">
        <f>IF('Extra 1'!$A236="","",'Extra 1'!H236)</f>
        <v/>
      </c>
      <c r="L236" s="7">
        <f>IF('Extra 1'!$A236="","",'Extra 1'!T236)</f>
        <v/>
      </c>
      <c r="M236">
        <f>IF('Extra 1'!$A236="","",'Extra 1'!G236)</f>
        <v/>
      </c>
    </row>
    <row r="237">
      <c r="A237">
        <f>IF('Extra 1'!$A237="","",ROWS($A$2:$A237))</f>
        <v/>
      </c>
      <c r="B237">
        <f>IF('Extra 1'!$A237="","",'Extra 1'!E237)</f>
        <v/>
      </c>
      <c r="C237">
        <f>IF('Extra 1'!$A237="","",'Extra 1'!F237)</f>
        <v/>
      </c>
      <c r="D237" s="14">
        <f>IF('Extra 1'!$A237="","",'Extra 1'!I237)</f>
        <v/>
      </c>
      <c r="E237" s="7">
        <f>IF('Extra 1'!$A237="","",'Extra 1'!O237)</f>
        <v/>
      </c>
      <c r="F237" s="7">
        <f>IF('Extra 1'!$A237="","",'Extra 1'!L237)</f>
        <v/>
      </c>
      <c r="G237" s="7">
        <f>IF('Extra 1'!$A237="","",'Extra 1'!S237)</f>
        <v/>
      </c>
      <c r="H237">
        <f>IF('Extra 1'!$A237="","",'Extra 1'!P237)</f>
        <v/>
      </c>
      <c r="I237">
        <f>IF('Extra 1'!$A237="","",'Extra 1'!M237)</f>
        <v/>
      </c>
      <c r="J237" s="7">
        <f>IF('Extra 1'!$A237="","",'Extra 1'!Q237)</f>
        <v/>
      </c>
      <c r="K237" s="7">
        <f>IF('Extra 1'!$A237="","",'Extra 1'!H237)</f>
        <v/>
      </c>
      <c r="L237" s="7">
        <f>IF('Extra 1'!$A237="","",'Extra 1'!T237)</f>
        <v/>
      </c>
      <c r="M237">
        <f>IF('Extra 1'!$A237="","",'Extra 1'!G237)</f>
        <v/>
      </c>
    </row>
    <row r="238">
      <c r="A238">
        <f>IF('Extra 1'!$A238="","",ROWS($A$2:$A238))</f>
        <v/>
      </c>
      <c r="B238">
        <f>IF('Extra 1'!$A238="","",'Extra 1'!E238)</f>
        <v/>
      </c>
      <c r="C238">
        <f>IF('Extra 1'!$A238="","",'Extra 1'!F238)</f>
        <v/>
      </c>
      <c r="D238" s="14">
        <f>IF('Extra 1'!$A238="","",'Extra 1'!I238)</f>
        <v/>
      </c>
      <c r="E238" s="7">
        <f>IF('Extra 1'!$A238="","",'Extra 1'!O238)</f>
        <v/>
      </c>
      <c r="F238" s="7">
        <f>IF('Extra 1'!$A238="","",'Extra 1'!L238)</f>
        <v/>
      </c>
      <c r="G238" s="7">
        <f>IF('Extra 1'!$A238="","",'Extra 1'!S238)</f>
        <v/>
      </c>
      <c r="H238">
        <f>IF('Extra 1'!$A238="","",'Extra 1'!P238)</f>
        <v/>
      </c>
      <c r="I238">
        <f>IF('Extra 1'!$A238="","",'Extra 1'!M238)</f>
        <v/>
      </c>
      <c r="J238" s="7">
        <f>IF('Extra 1'!$A238="","",'Extra 1'!Q238)</f>
        <v/>
      </c>
      <c r="K238" s="7">
        <f>IF('Extra 1'!$A238="","",'Extra 1'!H238)</f>
        <v/>
      </c>
      <c r="L238" s="7">
        <f>IF('Extra 1'!$A238="","",'Extra 1'!T238)</f>
        <v/>
      </c>
      <c r="M238">
        <f>IF('Extra 1'!$A238="","",'Extra 1'!G238)</f>
        <v/>
      </c>
    </row>
    <row r="239">
      <c r="A239">
        <f>IF('Extra 1'!$A239="","",ROWS($A$2:$A239))</f>
        <v/>
      </c>
      <c r="B239">
        <f>IF('Extra 1'!$A239="","",'Extra 1'!E239)</f>
        <v/>
      </c>
      <c r="C239">
        <f>IF('Extra 1'!$A239="","",'Extra 1'!F239)</f>
        <v/>
      </c>
      <c r="D239" s="14">
        <f>IF('Extra 1'!$A239="","",'Extra 1'!I239)</f>
        <v/>
      </c>
      <c r="E239" s="7">
        <f>IF('Extra 1'!$A239="","",'Extra 1'!O239)</f>
        <v/>
      </c>
      <c r="F239" s="7">
        <f>IF('Extra 1'!$A239="","",'Extra 1'!L239)</f>
        <v/>
      </c>
      <c r="G239" s="7">
        <f>IF('Extra 1'!$A239="","",'Extra 1'!S239)</f>
        <v/>
      </c>
      <c r="H239">
        <f>IF('Extra 1'!$A239="","",'Extra 1'!P239)</f>
        <v/>
      </c>
      <c r="I239">
        <f>IF('Extra 1'!$A239="","",'Extra 1'!M239)</f>
        <v/>
      </c>
      <c r="J239" s="7">
        <f>IF('Extra 1'!$A239="","",'Extra 1'!Q239)</f>
        <v/>
      </c>
      <c r="K239" s="7">
        <f>IF('Extra 1'!$A239="","",'Extra 1'!H239)</f>
        <v/>
      </c>
      <c r="L239" s="7">
        <f>IF('Extra 1'!$A239="","",'Extra 1'!T239)</f>
        <v/>
      </c>
      <c r="M239">
        <f>IF('Extra 1'!$A239="","",'Extra 1'!G239)</f>
        <v/>
      </c>
    </row>
    <row r="240">
      <c r="A240">
        <f>IF('Extra 1'!$A240="","",ROWS($A$2:$A240))</f>
        <v/>
      </c>
      <c r="B240">
        <f>IF('Extra 1'!$A240="","",'Extra 1'!E240)</f>
        <v/>
      </c>
      <c r="C240">
        <f>IF('Extra 1'!$A240="","",'Extra 1'!F240)</f>
        <v/>
      </c>
      <c r="D240" s="14">
        <f>IF('Extra 1'!$A240="","",'Extra 1'!I240)</f>
        <v/>
      </c>
      <c r="E240" s="7">
        <f>IF('Extra 1'!$A240="","",'Extra 1'!O240)</f>
        <v/>
      </c>
      <c r="F240" s="7">
        <f>IF('Extra 1'!$A240="","",'Extra 1'!L240)</f>
        <v/>
      </c>
      <c r="G240" s="7">
        <f>IF('Extra 1'!$A240="","",'Extra 1'!S240)</f>
        <v/>
      </c>
      <c r="H240">
        <f>IF('Extra 1'!$A240="","",'Extra 1'!P240)</f>
        <v/>
      </c>
      <c r="I240">
        <f>IF('Extra 1'!$A240="","",'Extra 1'!M240)</f>
        <v/>
      </c>
      <c r="J240" s="7">
        <f>IF('Extra 1'!$A240="","",'Extra 1'!Q240)</f>
        <v/>
      </c>
      <c r="K240" s="7">
        <f>IF('Extra 1'!$A240="","",'Extra 1'!H240)</f>
        <v/>
      </c>
      <c r="L240" s="7">
        <f>IF('Extra 1'!$A240="","",'Extra 1'!T240)</f>
        <v/>
      </c>
      <c r="M240">
        <f>IF('Extra 1'!$A240="","",'Extra 1'!G240)</f>
        <v/>
      </c>
    </row>
    <row r="241">
      <c r="A241">
        <f>IF('Extra 1'!$A241="","",ROWS($A$2:$A241))</f>
        <v/>
      </c>
      <c r="B241">
        <f>IF('Extra 1'!$A241="","",'Extra 1'!E241)</f>
        <v/>
      </c>
      <c r="C241">
        <f>IF('Extra 1'!$A241="","",'Extra 1'!F241)</f>
        <v/>
      </c>
      <c r="D241" s="14">
        <f>IF('Extra 1'!$A241="","",'Extra 1'!I241)</f>
        <v/>
      </c>
      <c r="E241" s="7">
        <f>IF('Extra 1'!$A241="","",'Extra 1'!O241)</f>
        <v/>
      </c>
      <c r="F241" s="7">
        <f>IF('Extra 1'!$A241="","",'Extra 1'!L241)</f>
        <v/>
      </c>
      <c r="G241" s="7">
        <f>IF('Extra 1'!$A241="","",'Extra 1'!S241)</f>
        <v/>
      </c>
      <c r="H241">
        <f>IF('Extra 1'!$A241="","",'Extra 1'!P241)</f>
        <v/>
      </c>
      <c r="I241">
        <f>IF('Extra 1'!$A241="","",'Extra 1'!M241)</f>
        <v/>
      </c>
      <c r="J241" s="7">
        <f>IF('Extra 1'!$A241="","",'Extra 1'!Q241)</f>
        <v/>
      </c>
      <c r="K241" s="7">
        <f>IF('Extra 1'!$A241="","",'Extra 1'!H241)</f>
        <v/>
      </c>
      <c r="L241" s="7">
        <f>IF('Extra 1'!$A241="","",'Extra 1'!T241)</f>
        <v/>
      </c>
      <c r="M241">
        <f>IF('Extra 1'!$A241="","",'Extra 1'!G241)</f>
        <v/>
      </c>
    </row>
    <row r="242">
      <c r="A242">
        <f>IF('Extra 1'!$A242="","",ROWS($A$2:$A242))</f>
        <v/>
      </c>
      <c r="B242">
        <f>IF('Extra 1'!$A242="","",'Extra 1'!E242)</f>
        <v/>
      </c>
      <c r="C242">
        <f>IF('Extra 1'!$A242="","",'Extra 1'!F242)</f>
        <v/>
      </c>
      <c r="D242" s="14">
        <f>IF('Extra 1'!$A242="","",'Extra 1'!I242)</f>
        <v/>
      </c>
      <c r="E242" s="7">
        <f>IF('Extra 1'!$A242="","",'Extra 1'!O242)</f>
        <v/>
      </c>
      <c r="F242" s="7">
        <f>IF('Extra 1'!$A242="","",'Extra 1'!L242)</f>
        <v/>
      </c>
      <c r="G242" s="7">
        <f>IF('Extra 1'!$A242="","",'Extra 1'!S242)</f>
        <v/>
      </c>
      <c r="H242">
        <f>IF('Extra 1'!$A242="","",'Extra 1'!P242)</f>
        <v/>
      </c>
      <c r="I242">
        <f>IF('Extra 1'!$A242="","",'Extra 1'!M242)</f>
        <v/>
      </c>
      <c r="J242" s="7">
        <f>IF('Extra 1'!$A242="","",'Extra 1'!Q242)</f>
        <v/>
      </c>
      <c r="K242" s="7">
        <f>IF('Extra 1'!$A242="","",'Extra 1'!H242)</f>
        <v/>
      </c>
      <c r="L242" s="7">
        <f>IF('Extra 1'!$A242="","",'Extra 1'!T242)</f>
        <v/>
      </c>
      <c r="M242">
        <f>IF('Extra 1'!$A242="","",'Extra 1'!G242)</f>
        <v/>
      </c>
    </row>
    <row r="243">
      <c r="A243">
        <f>IF('Extra 1'!$A243="","",ROWS($A$2:$A243))</f>
        <v/>
      </c>
      <c r="B243">
        <f>IF('Extra 1'!$A243="","",'Extra 1'!E243)</f>
        <v/>
      </c>
      <c r="C243">
        <f>IF('Extra 1'!$A243="","",'Extra 1'!F243)</f>
        <v/>
      </c>
      <c r="D243" s="14">
        <f>IF('Extra 1'!$A243="","",'Extra 1'!I243)</f>
        <v/>
      </c>
      <c r="E243" s="7">
        <f>IF('Extra 1'!$A243="","",'Extra 1'!O243)</f>
        <v/>
      </c>
      <c r="F243" s="7">
        <f>IF('Extra 1'!$A243="","",'Extra 1'!L243)</f>
        <v/>
      </c>
      <c r="G243" s="7">
        <f>IF('Extra 1'!$A243="","",'Extra 1'!S243)</f>
        <v/>
      </c>
      <c r="H243">
        <f>IF('Extra 1'!$A243="","",'Extra 1'!P243)</f>
        <v/>
      </c>
      <c r="I243">
        <f>IF('Extra 1'!$A243="","",'Extra 1'!M243)</f>
        <v/>
      </c>
      <c r="J243" s="7">
        <f>IF('Extra 1'!$A243="","",'Extra 1'!Q243)</f>
        <v/>
      </c>
      <c r="K243" s="7">
        <f>IF('Extra 1'!$A243="","",'Extra 1'!H243)</f>
        <v/>
      </c>
      <c r="L243" s="7">
        <f>IF('Extra 1'!$A243="","",'Extra 1'!T243)</f>
        <v/>
      </c>
      <c r="M243">
        <f>IF('Extra 1'!$A243="","",'Extra 1'!G243)</f>
        <v/>
      </c>
    </row>
    <row r="244">
      <c r="A244">
        <f>IF('Extra 1'!$A244="","",ROWS($A$2:$A244))</f>
        <v/>
      </c>
      <c r="B244">
        <f>IF('Extra 1'!$A244="","",'Extra 1'!E244)</f>
        <v/>
      </c>
      <c r="C244">
        <f>IF('Extra 1'!$A244="","",'Extra 1'!F244)</f>
        <v/>
      </c>
      <c r="D244" s="14">
        <f>IF('Extra 1'!$A244="","",'Extra 1'!I244)</f>
        <v/>
      </c>
      <c r="E244" s="7">
        <f>IF('Extra 1'!$A244="","",'Extra 1'!O244)</f>
        <v/>
      </c>
      <c r="F244" s="7">
        <f>IF('Extra 1'!$A244="","",'Extra 1'!L244)</f>
        <v/>
      </c>
      <c r="G244" s="7">
        <f>IF('Extra 1'!$A244="","",'Extra 1'!S244)</f>
        <v/>
      </c>
      <c r="H244">
        <f>IF('Extra 1'!$A244="","",'Extra 1'!P244)</f>
        <v/>
      </c>
      <c r="I244">
        <f>IF('Extra 1'!$A244="","",'Extra 1'!M244)</f>
        <v/>
      </c>
      <c r="J244" s="7">
        <f>IF('Extra 1'!$A244="","",'Extra 1'!Q244)</f>
        <v/>
      </c>
      <c r="K244" s="7">
        <f>IF('Extra 1'!$A244="","",'Extra 1'!H244)</f>
        <v/>
      </c>
      <c r="L244" s="7">
        <f>IF('Extra 1'!$A244="","",'Extra 1'!T244)</f>
        <v/>
      </c>
      <c r="M244">
        <f>IF('Extra 1'!$A244="","",'Extra 1'!G244)</f>
        <v/>
      </c>
    </row>
    <row r="245">
      <c r="A245">
        <f>IF('Extra 1'!$A245="","",ROWS($A$2:$A245))</f>
        <v/>
      </c>
      <c r="B245">
        <f>IF('Extra 1'!$A245="","",'Extra 1'!E245)</f>
        <v/>
      </c>
      <c r="C245">
        <f>IF('Extra 1'!$A245="","",'Extra 1'!F245)</f>
        <v/>
      </c>
      <c r="D245" s="14">
        <f>IF('Extra 1'!$A245="","",'Extra 1'!I245)</f>
        <v/>
      </c>
      <c r="E245" s="7">
        <f>IF('Extra 1'!$A245="","",'Extra 1'!O245)</f>
        <v/>
      </c>
      <c r="F245" s="7">
        <f>IF('Extra 1'!$A245="","",'Extra 1'!L245)</f>
        <v/>
      </c>
      <c r="G245" s="7">
        <f>IF('Extra 1'!$A245="","",'Extra 1'!S245)</f>
        <v/>
      </c>
      <c r="H245">
        <f>IF('Extra 1'!$A245="","",'Extra 1'!P245)</f>
        <v/>
      </c>
      <c r="I245">
        <f>IF('Extra 1'!$A245="","",'Extra 1'!M245)</f>
        <v/>
      </c>
      <c r="J245" s="7">
        <f>IF('Extra 1'!$A245="","",'Extra 1'!Q245)</f>
        <v/>
      </c>
      <c r="K245" s="7">
        <f>IF('Extra 1'!$A245="","",'Extra 1'!H245)</f>
        <v/>
      </c>
      <c r="L245" s="7">
        <f>IF('Extra 1'!$A245="","",'Extra 1'!T245)</f>
        <v/>
      </c>
      <c r="M245">
        <f>IF('Extra 1'!$A245="","",'Extra 1'!G245)</f>
        <v/>
      </c>
    </row>
    <row r="246">
      <c r="A246">
        <f>IF('Extra 1'!$A246="","",ROWS($A$2:$A246))</f>
        <v/>
      </c>
      <c r="B246">
        <f>IF('Extra 1'!$A246="","",'Extra 1'!E246)</f>
        <v/>
      </c>
      <c r="C246">
        <f>IF('Extra 1'!$A246="","",'Extra 1'!F246)</f>
        <v/>
      </c>
      <c r="D246" s="14">
        <f>IF('Extra 1'!$A246="","",'Extra 1'!I246)</f>
        <v/>
      </c>
      <c r="E246" s="7">
        <f>IF('Extra 1'!$A246="","",'Extra 1'!O246)</f>
        <v/>
      </c>
      <c r="F246" s="7">
        <f>IF('Extra 1'!$A246="","",'Extra 1'!L246)</f>
        <v/>
      </c>
      <c r="G246" s="7">
        <f>IF('Extra 1'!$A246="","",'Extra 1'!S246)</f>
        <v/>
      </c>
      <c r="H246">
        <f>IF('Extra 1'!$A246="","",'Extra 1'!P246)</f>
        <v/>
      </c>
      <c r="I246">
        <f>IF('Extra 1'!$A246="","",'Extra 1'!M246)</f>
        <v/>
      </c>
      <c r="J246" s="7">
        <f>IF('Extra 1'!$A246="","",'Extra 1'!Q246)</f>
        <v/>
      </c>
      <c r="K246" s="7">
        <f>IF('Extra 1'!$A246="","",'Extra 1'!H246)</f>
        <v/>
      </c>
      <c r="L246" s="7">
        <f>IF('Extra 1'!$A246="","",'Extra 1'!T246)</f>
        <v/>
      </c>
      <c r="M246">
        <f>IF('Extra 1'!$A246="","",'Extra 1'!G246)</f>
        <v/>
      </c>
    </row>
    <row r="247">
      <c r="A247">
        <f>IF('Extra 1'!$A247="","",ROWS($A$2:$A247))</f>
        <v/>
      </c>
      <c r="B247">
        <f>IF('Extra 1'!$A247="","",'Extra 1'!E247)</f>
        <v/>
      </c>
      <c r="C247">
        <f>IF('Extra 1'!$A247="","",'Extra 1'!F247)</f>
        <v/>
      </c>
      <c r="D247" s="14">
        <f>IF('Extra 1'!$A247="","",'Extra 1'!I247)</f>
        <v/>
      </c>
      <c r="E247" s="7">
        <f>IF('Extra 1'!$A247="","",'Extra 1'!O247)</f>
        <v/>
      </c>
      <c r="F247" s="7">
        <f>IF('Extra 1'!$A247="","",'Extra 1'!L247)</f>
        <v/>
      </c>
      <c r="G247" s="7">
        <f>IF('Extra 1'!$A247="","",'Extra 1'!S247)</f>
        <v/>
      </c>
      <c r="H247">
        <f>IF('Extra 1'!$A247="","",'Extra 1'!P247)</f>
        <v/>
      </c>
      <c r="I247">
        <f>IF('Extra 1'!$A247="","",'Extra 1'!M247)</f>
        <v/>
      </c>
      <c r="J247" s="7">
        <f>IF('Extra 1'!$A247="","",'Extra 1'!Q247)</f>
        <v/>
      </c>
      <c r="K247" s="7">
        <f>IF('Extra 1'!$A247="","",'Extra 1'!H247)</f>
        <v/>
      </c>
      <c r="L247" s="7">
        <f>IF('Extra 1'!$A247="","",'Extra 1'!T247)</f>
        <v/>
      </c>
      <c r="M247">
        <f>IF('Extra 1'!$A247="","",'Extra 1'!G247)</f>
        <v/>
      </c>
    </row>
    <row r="248">
      <c r="A248">
        <f>IF('Extra 1'!$A248="","",ROWS($A$2:$A248))</f>
        <v/>
      </c>
      <c r="B248">
        <f>IF('Extra 1'!$A248="","",'Extra 1'!E248)</f>
        <v/>
      </c>
      <c r="C248">
        <f>IF('Extra 1'!$A248="","",'Extra 1'!F248)</f>
        <v/>
      </c>
      <c r="D248" s="14">
        <f>IF('Extra 1'!$A248="","",'Extra 1'!I248)</f>
        <v/>
      </c>
      <c r="E248" s="7">
        <f>IF('Extra 1'!$A248="","",'Extra 1'!O248)</f>
        <v/>
      </c>
      <c r="F248" s="7">
        <f>IF('Extra 1'!$A248="","",'Extra 1'!L248)</f>
        <v/>
      </c>
      <c r="G248" s="7">
        <f>IF('Extra 1'!$A248="","",'Extra 1'!S248)</f>
        <v/>
      </c>
      <c r="H248">
        <f>IF('Extra 1'!$A248="","",'Extra 1'!P248)</f>
        <v/>
      </c>
      <c r="I248">
        <f>IF('Extra 1'!$A248="","",'Extra 1'!M248)</f>
        <v/>
      </c>
      <c r="J248" s="7">
        <f>IF('Extra 1'!$A248="","",'Extra 1'!Q248)</f>
        <v/>
      </c>
      <c r="K248" s="7">
        <f>IF('Extra 1'!$A248="","",'Extra 1'!H248)</f>
        <v/>
      </c>
      <c r="L248" s="7">
        <f>IF('Extra 1'!$A248="","",'Extra 1'!T248)</f>
        <v/>
      </c>
      <c r="M248">
        <f>IF('Extra 1'!$A248="","",'Extra 1'!G248)</f>
        <v/>
      </c>
    </row>
    <row r="249">
      <c r="A249">
        <f>IF('Extra 1'!$A249="","",ROWS($A$2:$A249))</f>
        <v/>
      </c>
      <c r="B249">
        <f>IF('Extra 1'!$A249="","",'Extra 1'!E249)</f>
        <v/>
      </c>
      <c r="C249">
        <f>IF('Extra 1'!$A249="","",'Extra 1'!F249)</f>
        <v/>
      </c>
      <c r="D249" s="14">
        <f>IF('Extra 1'!$A249="","",'Extra 1'!I249)</f>
        <v/>
      </c>
      <c r="E249" s="7">
        <f>IF('Extra 1'!$A249="","",'Extra 1'!O249)</f>
        <v/>
      </c>
      <c r="F249" s="7">
        <f>IF('Extra 1'!$A249="","",'Extra 1'!L249)</f>
        <v/>
      </c>
      <c r="G249" s="7">
        <f>IF('Extra 1'!$A249="","",'Extra 1'!S249)</f>
        <v/>
      </c>
      <c r="H249">
        <f>IF('Extra 1'!$A249="","",'Extra 1'!P249)</f>
        <v/>
      </c>
      <c r="I249">
        <f>IF('Extra 1'!$A249="","",'Extra 1'!M249)</f>
        <v/>
      </c>
      <c r="J249" s="7">
        <f>IF('Extra 1'!$A249="","",'Extra 1'!Q249)</f>
        <v/>
      </c>
      <c r="K249" s="7">
        <f>IF('Extra 1'!$A249="","",'Extra 1'!H249)</f>
        <v/>
      </c>
      <c r="L249" s="7">
        <f>IF('Extra 1'!$A249="","",'Extra 1'!T249)</f>
        <v/>
      </c>
      <c r="M249">
        <f>IF('Extra 1'!$A249="","",'Extra 1'!G249)</f>
        <v/>
      </c>
    </row>
    <row r="250">
      <c r="A250">
        <f>IF('Extra 1'!$A250="","",ROWS($A$2:$A250))</f>
        <v/>
      </c>
      <c r="B250">
        <f>IF('Extra 1'!$A250="","",'Extra 1'!E250)</f>
        <v/>
      </c>
      <c r="C250">
        <f>IF('Extra 1'!$A250="","",'Extra 1'!F250)</f>
        <v/>
      </c>
      <c r="D250" s="14">
        <f>IF('Extra 1'!$A250="","",'Extra 1'!I250)</f>
        <v/>
      </c>
      <c r="E250" s="7">
        <f>IF('Extra 1'!$A250="","",'Extra 1'!O250)</f>
        <v/>
      </c>
      <c r="F250" s="7">
        <f>IF('Extra 1'!$A250="","",'Extra 1'!L250)</f>
        <v/>
      </c>
      <c r="G250" s="7">
        <f>IF('Extra 1'!$A250="","",'Extra 1'!S250)</f>
        <v/>
      </c>
      <c r="H250">
        <f>IF('Extra 1'!$A250="","",'Extra 1'!P250)</f>
        <v/>
      </c>
      <c r="I250">
        <f>IF('Extra 1'!$A250="","",'Extra 1'!M250)</f>
        <v/>
      </c>
      <c r="J250" s="7">
        <f>IF('Extra 1'!$A250="","",'Extra 1'!Q250)</f>
        <v/>
      </c>
      <c r="K250" s="7">
        <f>IF('Extra 1'!$A250="","",'Extra 1'!H250)</f>
        <v/>
      </c>
      <c r="L250" s="7">
        <f>IF('Extra 1'!$A250="","",'Extra 1'!T250)</f>
        <v/>
      </c>
      <c r="M250">
        <f>IF('Extra 1'!$A250="","",'Extra 1'!G250)</f>
        <v/>
      </c>
    </row>
    <row r="251">
      <c r="A251">
        <f>IF('Extra 1'!$A251="","",ROWS($A$2:$A251))</f>
        <v/>
      </c>
      <c r="B251">
        <f>IF('Extra 1'!$A251="","",'Extra 1'!E251)</f>
        <v/>
      </c>
      <c r="C251">
        <f>IF('Extra 1'!$A251="","",'Extra 1'!F251)</f>
        <v/>
      </c>
      <c r="D251" s="14">
        <f>IF('Extra 1'!$A251="","",'Extra 1'!I251)</f>
        <v/>
      </c>
      <c r="E251" s="7">
        <f>IF('Extra 1'!$A251="","",'Extra 1'!O251)</f>
        <v/>
      </c>
      <c r="F251" s="7">
        <f>IF('Extra 1'!$A251="","",'Extra 1'!L251)</f>
        <v/>
      </c>
      <c r="G251" s="7">
        <f>IF('Extra 1'!$A251="","",'Extra 1'!S251)</f>
        <v/>
      </c>
      <c r="H251">
        <f>IF('Extra 1'!$A251="","",'Extra 1'!P251)</f>
        <v/>
      </c>
      <c r="I251">
        <f>IF('Extra 1'!$A251="","",'Extra 1'!M251)</f>
        <v/>
      </c>
      <c r="J251" s="7">
        <f>IF('Extra 1'!$A251="","",'Extra 1'!Q251)</f>
        <v/>
      </c>
      <c r="K251" s="7">
        <f>IF('Extra 1'!$A251="","",'Extra 1'!H251)</f>
        <v/>
      </c>
      <c r="L251" s="7">
        <f>IF('Extra 1'!$A251="","",'Extra 1'!T251)</f>
        <v/>
      </c>
      <c r="M251">
        <f>IF('Extra 1'!$A251="","",'Extra 1'!G251)</f>
        <v/>
      </c>
    </row>
    <row r="252">
      <c r="A252">
        <f>IF('Extra 1'!$A252="","",ROWS($A$2:$A252))</f>
        <v/>
      </c>
      <c r="B252">
        <f>IF('Extra 1'!$A252="","",'Extra 1'!E252)</f>
        <v/>
      </c>
      <c r="C252">
        <f>IF('Extra 1'!$A252="","",'Extra 1'!F252)</f>
        <v/>
      </c>
      <c r="D252" s="14">
        <f>IF('Extra 1'!$A252="","",'Extra 1'!I252)</f>
        <v/>
      </c>
      <c r="E252" s="7">
        <f>IF('Extra 1'!$A252="","",'Extra 1'!O252)</f>
        <v/>
      </c>
      <c r="F252" s="7">
        <f>IF('Extra 1'!$A252="","",'Extra 1'!L252)</f>
        <v/>
      </c>
      <c r="G252" s="7">
        <f>IF('Extra 1'!$A252="","",'Extra 1'!S252)</f>
        <v/>
      </c>
      <c r="H252">
        <f>IF('Extra 1'!$A252="","",'Extra 1'!P252)</f>
        <v/>
      </c>
      <c r="I252">
        <f>IF('Extra 1'!$A252="","",'Extra 1'!M252)</f>
        <v/>
      </c>
      <c r="J252" s="7">
        <f>IF('Extra 1'!$A252="","",'Extra 1'!Q252)</f>
        <v/>
      </c>
      <c r="K252" s="7">
        <f>IF('Extra 1'!$A252="","",'Extra 1'!H252)</f>
        <v/>
      </c>
      <c r="L252" s="7">
        <f>IF('Extra 1'!$A252="","",'Extra 1'!T252)</f>
        <v/>
      </c>
      <c r="M252">
        <f>IF('Extra 1'!$A252="","",'Extra 1'!G252)</f>
        <v/>
      </c>
    </row>
    <row r="253">
      <c r="A253">
        <f>IF('Extra 1'!$A253="","",ROWS($A$2:$A253))</f>
        <v/>
      </c>
      <c r="B253">
        <f>IF('Extra 1'!$A253="","",'Extra 1'!E253)</f>
        <v/>
      </c>
      <c r="C253">
        <f>IF('Extra 1'!$A253="","",'Extra 1'!F253)</f>
        <v/>
      </c>
      <c r="D253" s="14">
        <f>IF('Extra 1'!$A253="","",'Extra 1'!I253)</f>
        <v/>
      </c>
      <c r="E253" s="7">
        <f>IF('Extra 1'!$A253="","",'Extra 1'!O253)</f>
        <v/>
      </c>
      <c r="F253" s="7">
        <f>IF('Extra 1'!$A253="","",'Extra 1'!L253)</f>
        <v/>
      </c>
      <c r="G253" s="7">
        <f>IF('Extra 1'!$A253="","",'Extra 1'!S253)</f>
        <v/>
      </c>
      <c r="H253">
        <f>IF('Extra 1'!$A253="","",'Extra 1'!P253)</f>
        <v/>
      </c>
      <c r="I253">
        <f>IF('Extra 1'!$A253="","",'Extra 1'!M253)</f>
        <v/>
      </c>
      <c r="J253" s="7">
        <f>IF('Extra 1'!$A253="","",'Extra 1'!Q253)</f>
        <v/>
      </c>
      <c r="K253" s="7">
        <f>IF('Extra 1'!$A253="","",'Extra 1'!H253)</f>
        <v/>
      </c>
      <c r="L253" s="7">
        <f>IF('Extra 1'!$A253="","",'Extra 1'!T253)</f>
        <v/>
      </c>
      <c r="M253">
        <f>IF('Extra 1'!$A253="","",'Extra 1'!G253)</f>
        <v/>
      </c>
    </row>
    <row r="254">
      <c r="A254">
        <f>IF('Extra 1'!$A254="","",ROWS($A$2:$A254))</f>
        <v/>
      </c>
      <c r="B254">
        <f>IF('Extra 1'!$A254="","",'Extra 1'!E254)</f>
        <v/>
      </c>
      <c r="C254">
        <f>IF('Extra 1'!$A254="","",'Extra 1'!F254)</f>
        <v/>
      </c>
      <c r="D254" s="14">
        <f>IF('Extra 1'!$A254="","",'Extra 1'!I254)</f>
        <v/>
      </c>
      <c r="E254" s="7">
        <f>IF('Extra 1'!$A254="","",'Extra 1'!O254)</f>
        <v/>
      </c>
      <c r="F254" s="7">
        <f>IF('Extra 1'!$A254="","",'Extra 1'!L254)</f>
        <v/>
      </c>
      <c r="G254" s="7">
        <f>IF('Extra 1'!$A254="","",'Extra 1'!S254)</f>
        <v/>
      </c>
      <c r="H254">
        <f>IF('Extra 1'!$A254="","",'Extra 1'!P254)</f>
        <v/>
      </c>
      <c r="I254">
        <f>IF('Extra 1'!$A254="","",'Extra 1'!M254)</f>
        <v/>
      </c>
      <c r="J254" s="7">
        <f>IF('Extra 1'!$A254="","",'Extra 1'!Q254)</f>
        <v/>
      </c>
      <c r="K254" s="7">
        <f>IF('Extra 1'!$A254="","",'Extra 1'!H254)</f>
        <v/>
      </c>
      <c r="L254" s="7">
        <f>IF('Extra 1'!$A254="","",'Extra 1'!T254)</f>
        <v/>
      </c>
      <c r="M254">
        <f>IF('Extra 1'!$A254="","",'Extra 1'!G254)</f>
        <v/>
      </c>
    </row>
    <row r="255">
      <c r="A255">
        <f>IF('Extra 1'!$A255="","",ROWS($A$2:$A255))</f>
        <v/>
      </c>
      <c r="B255">
        <f>IF('Extra 1'!$A255="","",'Extra 1'!E255)</f>
        <v/>
      </c>
      <c r="C255">
        <f>IF('Extra 1'!$A255="","",'Extra 1'!F255)</f>
        <v/>
      </c>
      <c r="D255" s="14">
        <f>IF('Extra 1'!$A255="","",'Extra 1'!I255)</f>
        <v/>
      </c>
      <c r="E255" s="7">
        <f>IF('Extra 1'!$A255="","",'Extra 1'!O255)</f>
        <v/>
      </c>
      <c r="F255" s="7">
        <f>IF('Extra 1'!$A255="","",'Extra 1'!L255)</f>
        <v/>
      </c>
      <c r="G255" s="7">
        <f>IF('Extra 1'!$A255="","",'Extra 1'!S255)</f>
        <v/>
      </c>
      <c r="H255">
        <f>IF('Extra 1'!$A255="","",'Extra 1'!P255)</f>
        <v/>
      </c>
      <c r="I255">
        <f>IF('Extra 1'!$A255="","",'Extra 1'!M255)</f>
        <v/>
      </c>
      <c r="J255" s="7">
        <f>IF('Extra 1'!$A255="","",'Extra 1'!Q255)</f>
        <v/>
      </c>
      <c r="K255" s="7">
        <f>IF('Extra 1'!$A255="","",'Extra 1'!H255)</f>
        <v/>
      </c>
      <c r="L255" s="7">
        <f>IF('Extra 1'!$A255="","",'Extra 1'!T255)</f>
        <v/>
      </c>
      <c r="M255">
        <f>IF('Extra 1'!$A255="","",'Extra 1'!G255)</f>
        <v/>
      </c>
    </row>
    <row r="256">
      <c r="A256">
        <f>IF('Extra 1'!$A256="","",ROWS($A$2:$A256))</f>
        <v/>
      </c>
      <c r="B256">
        <f>IF('Extra 1'!$A256="","",'Extra 1'!E256)</f>
        <v/>
      </c>
      <c r="C256">
        <f>IF('Extra 1'!$A256="","",'Extra 1'!F256)</f>
        <v/>
      </c>
      <c r="D256" s="14">
        <f>IF('Extra 1'!$A256="","",'Extra 1'!I256)</f>
        <v/>
      </c>
      <c r="E256" s="7">
        <f>IF('Extra 1'!$A256="","",'Extra 1'!O256)</f>
        <v/>
      </c>
      <c r="F256" s="7">
        <f>IF('Extra 1'!$A256="","",'Extra 1'!L256)</f>
        <v/>
      </c>
      <c r="G256" s="7">
        <f>IF('Extra 1'!$A256="","",'Extra 1'!S256)</f>
        <v/>
      </c>
      <c r="H256">
        <f>IF('Extra 1'!$A256="","",'Extra 1'!P256)</f>
        <v/>
      </c>
      <c r="I256">
        <f>IF('Extra 1'!$A256="","",'Extra 1'!M256)</f>
        <v/>
      </c>
      <c r="J256" s="7">
        <f>IF('Extra 1'!$A256="","",'Extra 1'!Q256)</f>
        <v/>
      </c>
      <c r="K256" s="7">
        <f>IF('Extra 1'!$A256="","",'Extra 1'!H256)</f>
        <v/>
      </c>
      <c r="L256" s="7">
        <f>IF('Extra 1'!$A256="","",'Extra 1'!T256)</f>
        <v/>
      </c>
      <c r="M256">
        <f>IF('Extra 1'!$A256="","",'Extra 1'!G256)</f>
        <v/>
      </c>
    </row>
    <row r="257">
      <c r="A257">
        <f>IF('Extra 1'!$A257="","",ROWS($A$2:$A257))</f>
        <v/>
      </c>
      <c r="B257">
        <f>IF('Extra 1'!$A257="","",'Extra 1'!E257)</f>
        <v/>
      </c>
      <c r="C257">
        <f>IF('Extra 1'!$A257="","",'Extra 1'!F257)</f>
        <v/>
      </c>
      <c r="D257" s="14">
        <f>IF('Extra 1'!$A257="","",'Extra 1'!I257)</f>
        <v/>
      </c>
      <c r="E257" s="7">
        <f>IF('Extra 1'!$A257="","",'Extra 1'!O257)</f>
        <v/>
      </c>
      <c r="F257" s="7">
        <f>IF('Extra 1'!$A257="","",'Extra 1'!L257)</f>
        <v/>
      </c>
      <c r="G257" s="7">
        <f>IF('Extra 1'!$A257="","",'Extra 1'!S257)</f>
        <v/>
      </c>
      <c r="H257">
        <f>IF('Extra 1'!$A257="","",'Extra 1'!P257)</f>
        <v/>
      </c>
      <c r="I257">
        <f>IF('Extra 1'!$A257="","",'Extra 1'!M257)</f>
        <v/>
      </c>
      <c r="J257" s="7">
        <f>IF('Extra 1'!$A257="","",'Extra 1'!Q257)</f>
        <v/>
      </c>
      <c r="K257" s="7">
        <f>IF('Extra 1'!$A257="","",'Extra 1'!H257)</f>
        <v/>
      </c>
      <c r="L257" s="7">
        <f>IF('Extra 1'!$A257="","",'Extra 1'!T257)</f>
        <v/>
      </c>
      <c r="M257">
        <f>IF('Extra 1'!$A257="","",'Extra 1'!G257)</f>
        <v/>
      </c>
    </row>
    <row r="258">
      <c r="A258">
        <f>IF('Extra 1'!$A258="","",ROWS($A$2:$A258))</f>
        <v/>
      </c>
      <c r="B258">
        <f>IF('Extra 1'!$A258="","",'Extra 1'!E258)</f>
        <v/>
      </c>
      <c r="C258">
        <f>IF('Extra 1'!$A258="","",'Extra 1'!F258)</f>
        <v/>
      </c>
      <c r="D258" s="14">
        <f>IF('Extra 1'!$A258="","",'Extra 1'!I258)</f>
        <v/>
      </c>
      <c r="E258" s="7">
        <f>IF('Extra 1'!$A258="","",'Extra 1'!O258)</f>
        <v/>
      </c>
      <c r="F258" s="7">
        <f>IF('Extra 1'!$A258="","",'Extra 1'!L258)</f>
        <v/>
      </c>
      <c r="G258" s="7">
        <f>IF('Extra 1'!$A258="","",'Extra 1'!S258)</f>
        <v/>
      </c>
      <c r="H258">
        <f>IF('Extra 1'!$A258="","",'Extra 1'!P258)</f>
        <v/>
      </c>
      <c r="I258">
        <f>IF('Extra 1'!$A258="","",'Extra 1'!M258)</f>
        <v/>
      </c>
      <c r="J258" s="7">
        <f>IF('Extra 1'!$A258="","",'Extra 1'!Q258)</f>
        <v/>
      </c>
      <c r="K258" s="7">
        <f>IF('Extra 1'!$A258="","",'Extra 1'!H258)</f>
        <v/>
      </c>
      <c r="L258" s="7">
        <f>IF('Extra 1'!$A258="","",'Extra 1'!T258)</f>
        <v/>
      </c>
      <c r="M258">
        <f>IF('Extra 1'!$A258="","",'Extra 1'!G258)</f>
        <v/>
      </c>
    </row>
    <row r="259">
      <c r="A259">
        <f>IF('Extra 1'!$A259="","",ROWS($A$2:$A259))</f>
        <v/>
      </c>
      <c r="B259">
        <f>IF('Extra 1'!$A259="","",'Extra 1'!E259)</f>
        <v/>
      </c>
      <c r="C259">
        <f>IF('Extra 1'!$A259="","",'Extra 1'!F259)</f>
        <v/>
      </c>
      <c r="D259" s="14">
        <f>IF('Extra 1'!$A259="","",'Extra 1'!I259)</f>
        <v/>
      </c>
      <c r="E259" s="7">
        <f>IF('Extra 1'!$A259="","",'Extra 1'!O259)</f>
        <v/>
      </c>
      <c r="F259" s="7">
        <f>IF('Extra 1'!$A259="","",'Extra 1'!L259)</f>
        <v/>
      </c>
      <c r="G259" s="7">
        <f>IF('Extra 1'!$A259="","",'Extra 1'!S259)</f>
        <v/>
      </c>
      <c r="H259">
        <f>IF('Extra 1'!$A259="","",'Extra 1'!P259)</f>
        <v/>
      </c>
      <c r="I259">
        <f>IF('Extra 1'!$A259="","",'Extra 1'!M259)</f>
        <v/>
      </c>
      <c r="J259" s="7">
        <f>IF('Extra 1'!$A259="","",'Extra 1'!Q259)</f>
        <v/>
      </c>
      <c r="K259" s="7">
        <f>IF('Extra 1'!$A259="","",'Extra 1'!H259)</f>
        <v/>
      </c>
      <c r="L259" s="7">
        <f>IF('Extra 1'!$A259="","",'Extra 1'!T259)</f>
        <v/>
      </c>
      <c r="M259">
        <f>IF('Extra 1'!$A259="","",'Extra 1'!G259)</f>
        <v/>
      </c>
    </row>
    <row r="260">
      <c r="A260">
        <f>IF('Extra 1'!$A260="","",ROWS($A$2:$A260))</f>
        <v/>
      </c>
      <c r="B260">
        <f>IF('Extra 1'!$A260="","",'Extra 1'!E260)</f>
        <v/>
      </c>
      <c r="C260">
        <f>IF('Extra 1'!$A260="","",'Extra 1'!F260)</f>
        <v/>
      </c>
      <c r="D260" s="14">
        <f>IF('Extra 1'!$A260="","",'Extra 1'!I260)</f>
        <v/>
      </c>
      <c r="E260" s="7">
        <f>IF('Extra 1'!$A260="","",'Extra 1'!O260)</f>
        <v/>
      </c>
      <c r="F260" s="7">
        <f>IF('Extra 1'!$A260="","",'Extra 1'!L260)</f>
        <v/>
      </c>
      <c r="G260" s="7">
        <f>IF('Extra 1'!$A260="","",'Extra 1'!S260)</f>
        <v/>
      </c>
      <c r="H260">
        <f>IF('Extra 1'!$A260="","",'Extra 1'!P260)</f>
        <v/>
      </c>
      <c r="I260">
        <f>IF('Extra 1'!$A260="","",'Extra 1'!M260)</f>
        <v/>
      </c>
      <c r="J260" s="7">
        <f>IF('Extra 1'!$A260="","",'Extra 1'!Q260)</f>
        <v/>
      </c>
      <c r="K260" s="7">
        <f>IF('Extra 1'!$A260="","",'Extra 1'!H260)</f>
        <v/>
      </c>
      <c r="L260" s="7">
        <f>IF('Extra 1'!$A260="","",'Extra 1'!T260)</f>
        <v/>
      </c>
      <c r="M260">
        <f>IF('Extra 1'!$A260="","",'Extra 1'!G260)</f>
        <v/>
      </c>
    </row>
    <row r="261">
      <c r="A261">
        <f>IF('Extra 1'!$A261="","",ROWS($A$2:$A261))</f>
        <v/>
      </c>
      <c r="B261">
        <f>IF('Extra 1'!$A261="","",'Extra 1'!E261)</f>
        <v/>
      </c>
      <c r="C261">
        <f>IF('Extra 1'!$A261="","",'Extra 1'!F261)</f>
        <v/>
      </c>
      <c r="D261" s="14">
        <f>IF('Extra 1'!$A261="","",'Extra 1'!I261)</f>
        <v/>
      </c>
      <c r="E261" s="7">
        <f>IF('Extra 1'!$A261="","",'Extra 1'!O261)</f>
        <v/>
      </c>
      <c r="F261" s="7">
        <f>IF('Extra 1'!$A261="","",'Extra 1'!L261)</f>
        <v/>
      </c>
      <c r="G261" s="7">
        <f>IF('Extra 1'!$A261="","",'Extra 1'!S261)</f>
        <v/>
      </c>
      <c r="H261">
        <f>IF('Extra 1'!$A261="","",'Extra 1'!P261)</f>
        <v/>
      </c>
      <c r="I261">
        <f>IF('Extra 1'!$A261="","",'Extra 1'!M261)</f>
        <v/>
      </c>
      <c r="J261" s="7">
        <f>IF('Extra 1'!$A261="","",'Extra 1'!Q261)</f>
        <v/>
      </c>
      <c r="K261" s="7">
        <f>IF('Extra 1'!$A261="","",'Extra 1'!H261)</f>
        <v/>
      </c>
      <c r="L261" s="7">
        <f>IF('Extra 1'!$A261="","",'Extra 1'!T261)</f>
        <v/>
      </c>
      <c r="M261">
        <f>IF('Extra 1'!$A261="","",'Extra 1'!G261)</f>
        <v/>
      </c>
    </row>
    <row r="262">
      <c r="A262">
        <f>IF('Extra 1'!$A262="","",ROWS($A$2:$A262))</f>
        <v/>
      </c>
      <c r="B262">
        <f>IF('Extra 1'!$A262="","",'Extra 1'!E262)</f>
        <v/>
      </c>
      <c r="C262">
        <f>IF('Extra 1'!$A262="","",'Extra 1'!F262)</f>
        <v/>
      </c>
      <c r="D262" s="14">
        <f>IF('Extra 1'!$A262="","",'Extra 1'!I262)</f>
        <v/>
      </c>
      <c r="E262" s="7">
        <f>IF('Extra 1'!$A262="","",'Extra 1'!O262)</f>
        <v/>
      </c>
      <c r="F262" s="7">
        <f>IF('Extra 1'!$A262="","",'Extra 1'!L262)</f>
        <v/>
      </c>
      <c r="G262" s="7">
        <f>IF('Extra 1'!$A262="","",'Extra 1'!S262)</f>
        <v/>
      </c>
      <c r="H262">
        <f>IF('Extra 1'!$A262="","",'Extra 1'!P262)</f>
        <v/>
      </c>
      <c r="I262">
        <f>IF('Extra 1'!$A262="","",'Extra 1'!M262)</f>
        <v/>
      </c>
      <c r="J262" s="7">
        <f>IF('Extra 1'!$A262="","",'Extra 1'!Q262)</f>
        <v/>
      </c>
      <c r="K262" s="7">
        <f>IF('Extra 1'!$A262="","",'Extra 1'!H262)</f>
        <v/>
      </c>
      <c r="L262" s="7">
        <f>IF('Extra 1'!$A262="","",'Extra 1'!T262)</f>
        <v/>
      </c>
      <c r="M262">
        <f>IF('Extra 1'!$A262="","",'Extra 1'!G262)</f>
        <v/>
      </c>
    </row>
    <row r="263">
      <c r="A263">
        <f>IF('Extra 1'!$A263="","",ROWS($A$2:$A263))</f>
        <v/>
      </c>
      <c r="B263">
        <f>IF('Extra 1'!$A263="","",'Extra 1'!E263)</f>
        <v/>
      </c>
      <c r="C263">
        <f>IF('Extra 1'!$A263="","",'Extra 1'!F263)</f>
        <v/>
      </c>
      <c r="D263" s="14">
        <f>IF('Extra 1'!$A263="","",'Extra 1'!I263)</f>
        <v/>
      </c>
      <c r="E263" s="7">
        <f>IF('Extra 1'!$A263="","",'Extra 1'!O263)</f>
        <v/>
      </c>
      <c r="F263" s="7">
        <f>IF('Extra 1'!$A263="","",'Extra 1'!L263)</f>
        <v/>
      </c>
      <c r="G263" s="7">
        <f>IF('Extra 1'!$A263="","",'Extra 1'!S263)</f>
        <v/>
      </c>
      <c r="H263">
        <f>IF('Extra 1'!$A263="","",'Extra 1'!P263)</f>
        <v/>
      </c>
      <c r="I263">
        <f>IF('Extra 1'!$A263="","",'Extra 1'!M263)</f>
        <v/>
      </c>
      <c r="J263" s="7">
        <f>IF('Extra 1'!$A263="","",'Extra 1'!Q263)</f>
        <v/>
      </c>
      <c r="K263" s="7">
        <f>IF('Extra 1'!$A263="","",'Extra 1'!H263)</f>
        <v/>
      </c>
      <c r="L263" s="7">
        <f>IF('Extra 1'!$A263="","",'Extra 1'!T263)</f>
        <v/>
      </c>
      <c r="M263">
        <f>IF('Extra 1'!$A263="","",'Extra 1'!G263)</f>
        <v/>
      </c>
    </row>
    <row r="264">
      <c r="A264">
        <f>IF('Extra 1'!$A264="","",ROWS($A$2:$A264))</f>
        <v/>
      </c>
      <c r="B264">
        <f>IF('Extra 1'!$A264="","",'Extra 1'!E264)</f>
        <v/>
      </c>
      <c r="C264">
        <f>IF('Extra 1'!$A264="","",'Extra 1'!F264)</f>
        <v/>
      </c>
      <c r="D264" s="14">
        <f>IF('Extra 1'!$A264="","",'Extra 1'!I264)</f>
        <v/>
      </c>
      <c r="E264" s="7">
        <f>IF('Extra 1'!$A264="","",'Extra 1'!O264)</f>
        <v/>
      </c>
      <c r="F264" s="7">
        <f>IF('Extra 1'!$A264="","",'Extra 1'!L264)</f>
        <v/>
      </c>
      <c r="G264" s="7">
        <f>IF('Extra 1'!$A264="","",'Extra 1'!S264)</f>
        <v/>
      </c>
      <c r="H264">
        <f>IF('Extra 1'!$A264="","",'Extra 1'!P264)</f>
        <v/>
      </c>
      <c r="I264">
        <f>IF('Extra 1'!$A264="","",'Extra 1'!M264)</f>
        <v/>
      </c>
      <c r="J264" s="7">
        <f>IF('Extra 1'!$A264="","",'Extra 1'!Q264)</f>
        <v/>
      </c>
      <c r="K264" s="7">
        <f>IF('Extra 1'!$A264="","",'Extra 1'!H264)</f>
        <v/>
      </c>
      <c r="L264" s="7">
        <f>IF('Extra 1'!$A264="","",'Extra 1'!T264)</f>
        <v/>
      </c>
      <c r="M264">
        <f>IF('Extra 1'!$A264="","",'Extra 1'!G264)</f>
        <v/>
      </c>
    </row>
    <row r="265">
      <c r="A265">
        <f>IF('Extra 1'!$A265="","",ROWS($A$2:$A265))</f>
        <v/>
      </c>
      <c r="B265">
        <f>IF('Extra 1'!$A265="","",'Extra 1'!E265)</f>
        <v/>
      </c>
      <c r="C265">
        <f>IF('Extra 1'!$A265="","",'Extra 1'!F265)</f>
        <v/>
      </c>
      <c r="D265" s="14">
        <f>IF('Extra 1'!$A265="","",'Extra 1'!I265)</f>
        <v/>
      </c>
      <c r="E265" s="7">
        <f>IF('Extra 1'!$A265="","",'Extra 1'!O265)</f>
        <v/>
      </c>
      <c r="F265" s="7">
        <f>IF('Extra 1'!$A265="","",'Extra 1'!L265)</f>
        <v/>
      </c>
      <c r="G265" s="7">
        <f>IF('Extra 1'!$A265="","",'Extra 1'!S265)</f>
        <v/>
      </c>
      <c r="H265">
        <f>IF('Extra 1'!$A265="","",'Extra 1'!P265)</f>
        <v/>
      </c>
      <c r="I265">
        <f>IF('Extra 1'!$A265="","",'Extra 1'!M265)</f>
        <v/>
      </c>
      <c r="J265" s="7">
        <f>IF('Extra 1'!$A265="","",'Extra 1'!Q265)</f>
        <v/>
      </c>
      <c r="K265" s="7">
        <f>IF('Extra 1'!$A265="","",'Extra 1'!H265)</f>
        <v/>
      </c>
      <c r="L265" s="7">
        <f>IF('Extra 1'!$A265="","",'Extra 1'!T265)</f>
        <v/>
      </c>
      <c r="M265">
        <f>IF('Extra 1'!$A265="","",'Extra 1'!G265)</f>
        <v/>
      </c>
    </row>
    <row r="266">
      <c r="A266">
        <f>IF('Extra 1'!$A266="","",ROWS($A$2:$A266))</f>
        <v/>
      </c>
      <c r="B266">
        <f>IF('Extra 1'!$A266="","",'Extra 1'!E266)</f>
        <v/>
      </c>
      <c r="C266">
        <f>IF('Extra 1'!$A266="","",'Extra 1'!F266)</f>
        <v/>
      </c>
      <c r="D266" s="14">
        <f>IF('Extra 1'!$A266="","",'Extra 1'!I266)</f>
        <v/>
      </c>
      <c r="E266" s="7">
        <f>IF('Extra 1'!$A266="","",'Extra 1'!O266)</f>
        <v/>
      </c>
      <c r="F266" s="7">
        <f>IF('Extra 1'!$A266="","",'Extra 1'!L266)</f>
        <v/>
      </c>
      <c r="G266" s="7">
        <f>IF('Extra 1'!$A266="","",'Extra 1'!S266)</f>
        <v/>
      </c>
      <c r="H266">
        <f>IF('Extra 1'!$A266="","",'Extra 1'!P266)</f>
        <v/>
      </c>
      <c r="I266">
        <f>IF('Extra 1'!$A266="","",'Extra 1'!M266)</f>
        <v/>
      </c>
      <c r="J266" s="7">
        <f>IF('Extra 1'!$A266="","",'Extra 1'!Q266)</f>
        <v/>
      </c>
      <c r="K266" s="7">
        <f>IF('Extra 1'!$A266="","",'Extra 1'!H266)</f>
        <v/>
      </c>
      <c r="L266" s="7">
        <f>IF('Extra 1'!$A266="","",'Extra 1'!T266)</f>
        <v/>
      </c>
      <c r="M266">
        <f>IF('Extra 1'!$A266="","",'Extra 1'!G266)</f>
        <v/>
      </c>
    </row>
    <row r="267">
      <c r="A267">
        <f>IF('Extra 1'!$A267="","",ROWS($A$2:$A267))</f>
        <v/>
      </c>
      <c r="B267">
        <f>IF('Extra 1'!$A267="","",'Extra 1'!E267)</f>
        <v/>
      </c>
      <c r="C267">
        <f>IF('Extra 1'!$A267="","",'Extra 1'!F267)</f>
        <v/>
      </c>
      <c r="D267" s="14">
        <f>IF('Extra 1'!$A267="","",'Extra 1'!I267)</f>
        <v/>
      </c>
      <c r="E267" s="7">
        <f>IF('Extra 1'!$A267="","",'Extra 1'!O267)</f>
        <v/>
      </c>
      <c r="F267" s="7">
        <f>IF('Extra 1'!$A267="","",'Extra 1'!L267)</f>
        <v/>
      </c>
      <c r="G267" s="7">
        <f>IF('Extra 1'!$A267="","",'Extra 1'!S267)</f>
        <v/>
      </c>
      <c r="H267">
        <f>IF('Extra 1'!$A267="","",'Extra 1'!P267)</f>
        <v/>
      </c>
      <c r="I267">
        <f>IF('Extra 1'!$A267="","",'Extra 1'!M267)</f>
        <v/>
      </c>
      <c r="J267" s="7">
        <f>IF('Extra 1'!$A267="","",'Extra 1'!Q267)</f>
        <v/>
      </c>
      <c r="K267" s="7">
        <f>IF('Extra 1'!$A267="","",'Extra 1'!H267)</f>
        <v/>
      </c>
      <c r="L267" s="7">
        <f>IF('Extra 1'!$A267="","",'Extra 1'!T267)</f>
        <v/>
      </c>
      <c r="M267">
        <f>IF('Extra 1'!$A267="","",'Extra 1'!G267)</f>
        <v/>
      </c>
    </row>
    <row r="268">
      <c r="A268">
        <f>IF('Extra 1'!$A268="","",ROWS($A$2:$A268))</f>
        <v/>
      </c>
      <c r="B268">
        <f>IF('Extra 1'!$A268="","",'Extra 1'!E268)</f>
        <v/>
      </c>
      <c r="C268">
        <f>IF('Extra 1'!$A268="","",'Extra 1'!F268)</f>
        <v/>
      </c>
      <c r="D268" s="14">
        <f>IF('Extra 1'!$A268="","",'Extra 1'!I268)</f>
        <v/>
      </c>
      <c r="E268" s="7">
        <f>IF('Extra 1'!$A268="","",'Extra 1'!O268)</f>
        <v/>
      </c>
      <c r="F268" s="7">
        <f>IF('Extra 1'!$A268="","",'Extra 1'!L268)</f>
        <v/>
      </c>
      <c r="G268" s="7">
        <f>IF('Extra 1'!$A268="","",'Extra 1'!S268)</f>
        <v/>
      </c>
      <c r="H268">
        <f>IF('Extra 1'!$A268="","",'Extra 1'!P268)</f>
        <v/>
      </c>
      <c r="I268">
        <f>IF('Extra 1'!$A268="","",'Extra 1'!M268)</f>
        <v/>
      </c>
      <c r="J268" s="7">
        <f>IF('Extra 1'!$A268="","",'Extra 1'!Q268)</f>
        <v/>
      </c>
      <c r="K268" s="7">
        <f>IF('Extra 1'!$A268="","",'Extra 1'!H268)</f>
        <v/>
      </c>
      <c r="L268" s="7">
        <f>IF('Extra 1'!$A268="","",'Extra 1'!T268)</f>
        <v/>
      </c>
      <c r="M268">
        <f>IF('Extra 1'!$A268="","",'Extra 1'!G268)</f>
        <v/>
      </c>
    </row>
    <row r="269">
      <c r="A269">
        <f>IF('Extra 1'!$A269="","",ROWS($A$2:$A269))</f>
        <v/>
      </c>
      <c r="B269">
        <f>IF('Extra 1'!$A269="","",'Extra 1'!E269)</f>
        <v/>
      </c>
      <c r="C269">
        <f>IF('Extra 1'!$A269="","",'Extra 1'!F269)</f>
        <v/>
      </c>
      <c r="D269" s="14">
        <f>IF('Extra 1'!$A269="","",'Extra 1'!I269)</f>
        <v/>
      </c>
      <c r="E269" s="7">
        <f>IF('Extra 1'!$A269="","",'Extra 1'!O269)</f>
        <v/>
      </c>
      <c r="F269" s="7">
        <f>IF('Extra 1'!$A269="","",'Extra 1'!L269)</f>
        <v/>
      </c>
      <c r="G269" s="7">
        <f>IF('Extra 1'!$A269="","",'Extra 1'!S269)</f>
        <v/>
      </c>
      <c r="H269">
        <f>IF('Extra 1'!$A269="","",'Extra 1'!P269)</f>
        <v/>
      </c>
      <c r="I269">
        <f>IF('Extra 1'!$A269="","",'Extra 1'!M269)</f>
        <v/>
      </c>
      <c r="J269" s="7">
        <f>IF('Extra 1'!$A269="","",'Extra 1'!Q269)</f>
        <v/>
      </c>
      <c r="K269" s="7">
        <f>IF('Extra 1'!$A269="","",'Extra 1'!H269)</f>
        <v/>
      </c>
      <c r="L269" s="7">
        <f>IF('Extra 1'!$A269="","",'Extra 1'!T269)</f>
        <v/>
      </c>
      <c r="M269">
        <f>IF('Extra 1'!$A269="","",'Extra 1'!G269)</f>
        <v/>
      </c>
    </row>
    <row r="270">
      <c r="A270">
        <f>IF('Extra 1'!$A270="","",ROWS($A$2:$A270))</f>
        <v/>
      </c>
      <c r="B270">
        <f>IF('Extra 1'!$A270="","",'Extra 1'!E270)</f>
        <v/>
      </c>
      <c r="C270">
        <f>IF('Extra 1'!$A270="","",'Extra 1'!F270)</f>
        <v/>
      </c>
      <c r="D270" s="14">
        <f>IF('Extra 1'!$A270="","",'Extra 1'!I270)</f>
        <v/>
      </c>
      <c r="E270" s="7">
        <f>IF('Extra 1'!$A270="","",'Extra 1'!O270)</f>
        <v/>
      </c>
      <c r="F270" s="7">
        <f>IF('Extra 1'!$A270="","",'Extra 1'!L270)</f>
        <v/>
      </c>
      <c r="G270" s="7">
        <f>IF('Extra 1'!$A270="","",'Extra 1'!S270)</f>
        <v/>
      </c>
      <c r="H270">
        <f>IF('Extra 1'!$A270="","",'Extra 1'!P270)</f>
        <v/>
      </c>
      <c r="I270">
        <f>IF('Extra 1'!$A270="","",'Extra 1'!M270)</f>
        <v/>
      </c>
      <c r="J270" s="7">
        <f>IF('Extra 1'!$A270="","",'Extra 1'!Q270)</f>
        <v/>
      </c>
      <c r="K270" s="7">
        <f>IF('Extra 1'!$A270="","",'Extra 1'!H270)</f>
        <v/>
      </c>
      <c r="L270" s="7">
        <f>IF('Extra 1'!$A270="","",'Extra 1'!T270)</f>
        <v/>
      </c>
      <c r="M270">
        <f>IF('Extra 1'!$A270="","",'Extra 1'!G270)</f>
        <v/>
      </c>
    </row>
    <row r="271">
      <c r="A271">
        <f>IF('Extra 1'!$A271="","",ROWS($A$2:$A271))</f>
        <v/>
      </c>
      <c r="B271">
        <f>IF('Extra 1'!$A271="","",'Extra 1'!E271)</f>
        <v/>
      </c>
      <c r="C271">
        <f>IF('Extra 1'!$A271="","",'Extra 1'!F271)</f>
        <v/>
      </c>
      <c r="D271" s="14">
        <f>IF('Extra 1'!$A271="","",'Extra 1'!I271)</f>
        <v/>
      </c>
      <c r="E271" s="7">
        <f>IF('Extra 1'!$A271="","",'Extra 1'!O271)</f>
        <v/>
      </c>
      <c r="F271" s="7">
        <f>IF('Extra 1'!$A271="","",'Extra 1'!L271)</f>
        <v/>
      </c>
      <c r="G271" s="7">
        <f>IF('Extra 1'!$A271="","",'Extra 1'!S271)</f>
        <v/>
      </c>
      <c r="H271">
        <f>IF('Extra 1'!$A271="","",'Extra 1'!P271)</f>
        <v/>
      </c>
      <c r="I271">
        <f>IF('Extra 1'!$A271="","",'Extra 1'!M271)</f>
        <v/>
      </c>
      <c r="J271" s="7">
        <f>IF('Extra 1'!$A271="","",'Extra 1'!Q271)</f>
        <v/>
      </c>
      <c r="K271" s="7">
        <f>IF('Extra 1'!$A271="","",'Extra 1'!H271)</f>
        <v/>
      </c>
      <c r="L271" s="7">
        <f>IF('Extra 1'!$A271="","",'Extra 1'!T271)</f>
        <v/>
      </c>
      <c r="M271">
        <f>IF('Extra 1'!$A271="","",'Extra 1'!G271)</f>
        <v/>
      </c>
    </row>
    <row r="272">
      <c r="A272">
        <f>IF('Extra 1'!$A272="","",ROWS($A$2:$A272))</f>
        <v/>
      </c>
      <c r="B272">
        <f>IF('Extra 1'!$A272="","",'Extra 1'!E272)</f>
        <v/>
      </c>
      <c r="C272">
        <f>IF('Extra 1'!$A272="","",'Extra 1'!F272)</f>
        <v/>
      </c>
      <c r="D272" s="14">
        <f>IF('Extra 1'!$A272="","",'Extra 1'!I272)</f>
        <v/>
      </c>
      <c r="E272" s="7">
        <f>IF('Extra 1'!$A272="","",'Extra 1'!O272)</f>
        <v/>
      </c>
      <c r="F272" s="7">
        <f>IF('Extra 1'!$A272="","",'Extra 1'!L272)</f>
        <v/>
      </c>
      <c r="G272" s="7">
        <f>IF('Extra 1'!$A272="","",'Extra 1'!S272)</f>
        <v/>
      </c>
      <c r="H272">
        <f>IF('Extra 1'!$A272="","",'Extra 1'!P272)</f>
        <v/>
      </c>
      <c r="I272">
        <f>IF('Extra 1'!$A272="","",'Extra 1'!M272)</f>
        <v/>
      </c>
      <c r="J272" s="7">
        <f>IF('Extra 1'!$A272="","",'Extra 1'!Q272)</f>
        <v/>
      </c>
      <c r="K272" s="7">
        <f>IF('Extra 1'!$A272="","",'Extra 1'!H272)</f>
        <v/>
      </c>
      <c r="L272" s="7">
        <f>IF('Extra 1'!$A272="","",'Extra 1'!T272)</f>
        <v/>
      </c>
      <c r="M272">
        <f>IF('Extra 1'!$A272="","",'Extra 1'!G272)</f>
        <v/>
      </c>
    </row>
    <row r="273">
      <c r="A273">
        <f>IF('Extra 1'!$A273="","",ROWS($A$2:$A273))</f>
        <v/>
      </c>
      <c r="B273">
        <f>IF('Extra 1'!$A273="","",'Extra 1'!E273)</f>
        <v/>
      </c>
      <c r="C273">
        <f>IF('Extra 1'!$A273="","",'Extra 1'!F273)</f>
        <v/>
      </c>
      <c r="D273" s="14">
        <f>IF('Extra 1'!$A273="","",'Extra 1'!I273)</f>
        <v/>
      </c>
      <c r="E273" s="7">
        <f>IF('Extra 1'!$A273="","",'Extra 1'!O273)</f>
        <v/>
      </c>
      <c r="F273" s="7">
        <f>IF('Extra 1'!$A273="","",'Extra 1'!L273)</f>
        <v/>
      </c>
      <c r="G273" s="7">
        <f>IF('Extra 1'!$A273="","",'Extra 1'!S273)</f>
        <v/>
      </c>
      <c r="H273">
        <f>IF('Extra 1'!$A273="","",'Extra 1'!P273)</f>
        <v/>
      </c>
      <c r="I273">
        <f>IF('Extra 1'!$A273="","",'Extra 1'!M273)</f>
        <v/>
      </c>
      <c r="J273" s="7">
        <f>IF('Extra 1'!$A273="","",'Extra 1'!Q273)</f>
        <v/>
      </c>
      <c r="K273" s="7">
        <f>IF('Extra 1'!$A273="","",'Extra 1'!H273)</f>
        <v/>
      </c>
      <c r="L273" s="7">
        <f>IF('Extra 1'!$A273="","",'Extra 1'!T273)</f>
        <v/>
      </c>
      <c r="M273">
        <f>IF('Extra 1'!$A273="","",'Extra 1'!G273)</f>
        <v/>
      </c>
    </row>
    <row r="274">
      <c r="A274">
        <f>IF('Extra 1'!$A274="","",ROWS($A$2:$A274))</f>
        <v/>
      </c>
      <c r="B274">
        <f>IF('Extra 1'!$A274="","",'Extra 1'!E274)</f>
        <v/>
      </c>
      <c r="C274">
        <f>IF('Extra 1'!$A274="","",'Extra 1'!F274)</f>
        <v/>
      </c>
      <c r="D274" s="14">
        <f>IF('Extra 1'!$A274="","",'Extra 1'!I274)</f>
        <v/>
      </c>
      <c r="E274" s="7">
        <f>IF('Extra 1'!$A274="","",'Extra 1'!O274)</f>
        <v/>
      </c>
      <c r="F274" s="7">
        <f>IF('Extra 1'!$A274="","",'Extra 1'!L274)</f>
        <v/>
      </c>
      <c r="G274" s="7">
        <f>IF('Extra 1'!$A274="","",'Extra 1'!S274)</f>
        <v/>
      </c>
      <c r="H274">
        <f>IF('Extra 1'!$A274="","",'Extra 1'!P274)</f>
        <v/>
      </c>
      <c r="I274">
        <f>IF('Extra 1'!$A274="","",'Extra 1'!M274)</f>
        <v/>
      </c>
      <c r="J274" s="7">
        <f>IF('Extra 1'!$A274="","",'Extra 1'!Q274)</f>
        <v/>
      </c>
      <c r="K274" s="7">
        <f>IF('Extra 1'!$A274="","",'Extra 1'!H274)</f>
        <v/>
      </c>
      <c r="L274" s="7">
        <f>IF('Extra 1'!$A274="","",'Extra 1'!T274)</f>
        <v/>
      </c>
      <c r="M274">
        <f>IF('Extra 1'!$A274="","",'Extra 1'!G274)</f>
        <v/>
      </c>
    </row>
    <row r="275">
      <c r="A275">
        <f>IF('Extra 1'!$A275="","",ROWS($A$2:$A275))</f>
        <v/>
      </c>
      <c r="B275">
        <f>IF('Extra 1'!$A275="","",'Extra 1'!E275)</f>
        <v/>
      </c>
      <c r="C275">
        <f>IF('Extra 1'!$A275="","",'Extra 1'!F275)</f>
        <v/>
      </c>
      <c r="D275" s="14">
        <f>IF('Extra 1'!$A275="","",'Extra 1'!I275)</f>
        <v/>
      </c>
      <c r="E275" s="7">
        <f>IF('Extra 1'!$A275="","",'Extra 1'!O275)</f>
        <v/>
      </c>
      <c r="F275" s="7">
        <f>IF('Extra 1'!$A275="","",'Extra 1'!L275)</f>
        <v/>
      </c>
      <c r="G275" s="7">
        <f>IF('Extra 1'!$A275="","",'Extra 1'!S275)</f>
        <v/>
      </c>
      <c r="H275">
        <f>IF('Extra 1'!$A275="","",'Extra 1'!P275)</f>
        <v/>
      </c>
      <c r="I275">
        <f>IF('Extra 1'!$A275="","",'Extra 1'!M275)</f>
        <v/>
      </c>
      <c r="J275" s="7">
        <f>IF('Extra 1'!$A275="","",'Extra 1'!Q275)</f>
        <v/>
      </c>
      <c r="K275" s="7">
        <f>IF('Extra 1'!$A275="","",'Extra 1'!H275)</f>
        <v/>
      </c>
      <c r="L275" s="7">
        <f>IF('Extra 1'!$A275="","",'Extra 1'!T275)</f>
        <v/>
      </c>
      <c r="M275">
        <f>IF('Extra 1'!$A275="","",'Extra 1'!G275)</f>
        <v/>
      </c>
    </row>
    <row r="276">
      <c r="A276">
        <f>IF('Extra 1'!$A276="","",ROWS($A$2:$A276))</f>
        <v/>
      </c>
      <c r="B276">
        <f>IF('Extra 1'!$A276="","",'Extra 1'!E276)</f>
        <v/>
      </c>
      <c r="C276">
        <f>IF('Extra 1'!$A276="","",'Extra 1'!F276)</f>
        <v/>
      </c>
      <c r="D276" s="14">
        <f>IF('Extra 1'!$A276="","",'Extra 1'!I276)</f>
        <v/>
      </c>
      <c r="E276" s="7">
        <f>IF('Extra 1'!$A276="","",'Extra 1'!O276)</f>
        <v/>
      </c>
      <c r="F276" s="7">
        <f>IF('Extra 1'!$A276="","",'Extra 1'!L276)</f>
        <v/>
      </c>
      <c r="G276" s="7">
        <f>IF('Extra 1'!$A276="","",'Extra 1'!S276)</f>
        <v/>
      </c>
      <c r="H276">
        <f>IF('Extra 1'!$A276="","",'Extra 1'!P276)</f>
        <v/>
      </c>
      <c r="I276">
        <f>IF('Extra 1'!$A276="","",'Extra 1'!M276)</f>
        <v/>
      </c>
      <c r="J276" s="7">
        <f>IF('Extra 1'!$A276="","",'Extra 1'!Q276)</f>
        <v/>
      </c>
      <c r="K276" s="7">
        <f>IF('Extra 1'!$A276="","",'Extra 1'!H276)</f>
        <v/>
      </c>
      <c r="L276" s="7">
        <f>IF('Extra 1'!$A276="","",'Extra 1'!T276)</f>
        <v/>
      </c>
      <c r="M276">
        <f>IF('Extra 1'!$A276="","",'Extra 1'!G276)</f>
        <v/>
      </c>
    </row>
    <row r="277">
      <c r="A277">
        <f>IF('Extra 1'!$A277="","",ROWS($A$2:$A277))</f>
        <v/>
      </c>
      <c r="B277">
        <f>IF('Extra 1'!$A277="","",'Extra 1'!E277)</f>
        <v/>
      </c>
      <c r="C277">
        <f>IF('Extra 1'!$A277="","",'Extra 1'!F277)</f>
        <v/>
      </c>
      <c r="D277" s="14">
        <f>IF('Extra 1'!$A277="","",'Extra 1'!I277)</f>
        <v/>
      </c>
      <c r="E277" s="7">
        <f>IF('Extra 1'!$A277="","",'Extra 1'!O277)</f>
        <v/>
      </c>
      <c r="F277" s="7">
        <f>IF('Extra 1'!$A277="","",'Extra 1'!L277)</f>
        <v/>
      </c>
      <c r="G277" s="7">
        <f>IF('Extra 1'!$A277="","",'Extra 1'!S277)</f>
        <v/>
      </c>
      <c r="H277">
        <f>IF('Extra 1'!$A277="","",'Extra 1'!P277)</f>
        <v/>
      </c>
      <c r="I277">
        <f>IF('Extra 1'!$A277="","",'Extra 1'!M277)</f>
        <v/>
      </c>
      <c r="J277" s="7">
        <f>IF('Extra 1'!$A277="","",'Extra 1'!Q277)</f>
        <v/>
      </c>
      <c r="K277" s="7">
        <f>IF('Extra 1'!$A277="","",'Extra 1'!H277)</f>
        <v/>
      </c>
      <c r="L277" s="7">
        <f>IF('Extra 1'!$A277="","",'Extra 1'!T277)</f>
        <v/>
      </c>
      <c r="M277">
        <f>IF('Extra 1'!$A277="","",'Extra 1'!G277)</f>
        <v/>
      </c>
    </row>
    <row r="278">
      <c r="A278">
        <f>IF('Extra 1'!$A278="","",ROWS($A$2:$A278))</f>
        <v/>
      </c>
      <c r="B278">
        <f>IF('Extra 1'!$A278="","",'Extra 1'!E278)</f>
        <v/>
      </c>
      <c r="C278">
        <f>IF('Extra 1'!$A278="","",'Extra 1'!F278)</f>
        <v/>
      </c>
      <c r="D278" s="14">
        <f>IF('Extra 1'!$A278="","",'Extra 1'!I278)</f>
        <v/>
      </c>
      <c r="E278" s="7">
        <f>IF('Extra 1'!$A278="","",'Extra 1'!O278)</f>
        <v/>
      </c>
      <c r="F278" s="7">
        <f>IF('Extra 1'!$A278="","",'Extra 1'!L278)</f>
        <v/>
      </c>
      <c r="G278" s="7">
        <f>IF('Extra 1'!$A278="","",'Extra 1'!S278)</f>
        <v/>
      </c>
      <c r="H278">
        <f>IF('Extra 1'!$A278="","",'Extra 1'!P278)</f>
        <v/>
      </c>
      <c r="I278">
        <f>IF('Extra 1'!$A278="","",'Extra 1'!M278)</f>
        <v/>
      </c>
      <c r="J278" s="7">
        <f>IF('Extra 1'!$A278="","",'Extra 1'!Q278)</f>
        <v/>
      </c>
      <c r="K278" s="7">
        <f>IF('Extra 1'!$A278="","",'Extra 1'!H278)</f>
        <v/>
      </c>
      <c r="L278" s="7">
        <f>IF('Extra 1'!$A278="","",'Extra 1'!T278)</f>
        <v/>
      </c>
      <c r="M278">
        <f>IF('Extra 1'!$A278="","",'Extra 1'!G278)</f>
        <v/>
      </c>
    </row>
    <row r="279">
      <c r="A279">
        <f>IF('Extra 1'!$A279="","",ROWS($A$2:$A279))</f>
        <v/>
      </c>
      <c r="B279">
        <f>IF('Extra 1'!$A279="","",'Extra 1'!E279)</f>
        <v/>
      </c>
      <c r="C279">
        <f>IF('Extra 1'!$A279="","",'Extra 1'!F279)</f>
        <v/>
      </c>
      <c r="D279" s="14">
        <f>IF('Extra 1'!$A279="","",'Extra 1'!I279)</f>
        <v/>
      </c>
      <c r="E279" s="7">
        <f>IF('Extra 1'!$A279="","",'Extra 1'!O279)</f>
        <v/>
      </c>
      <c r="F279" s="7">
        <f>IF('Extra 1'!$A279="","",'Extra 1'!L279)</f>
        <v/>
      </c>
      <c r="G279" s="7">
        <f>IF('Extra 1'!$A279="","",'Extra 1'!S279)</f>
        <v/>
      </c>
      <c r="H279">
        <f>IF('Extra 1'!$A279="","",'Extra 1'!P279)</f>
        <v/>
      </c>
      <c r="I279">
        <f>IF('Extra 1'!$A279="","",'Extra 1'!M279)</f>
        <v/>
      </c>
      <c r="J279" s="7">
        <f>IF('Extra 1'!$A279="","",'Extra 1'!Q279)</f>
        <v/>
      </c>
      <c r="K279" s="7">
        <f>IF('Extra 1'!$A279="","",'Extra 1'!H279)</f>
        <v/>
      </c>
      <c r="L279" s="7">
        <f>IF('Extra 1'!$A279="","",'Extra 1'!T279)</f>
        <v/>
      </c>
      <c r="M279">
        <f>IF('Extra 1'!$A279="","",'Extra 1'!G279)</f>
        <v/>
      </c>
    </row>
    <row r="280">
      <c r="A280">
        <f>IF('Extra 1'!$A280="","",ROWS($A$2:$A280))</f>
        <v/>
      </c>
      <c r="B280">
        <f>IF('Extra 1'!$A280="","",'Extra 1'!E280)</f>
        <v/>
      </c>
      <c r="C280">
        <f>IF('Extra 1'!$A280="","",'Extra 1'!F280)</f>
        <v/>
      </c>
      <c r="D280" s="14">
        <f>IF('Extra 1'!$A280="","",'Extra 1'!I280)</f>
        <v/>
      </c>
      <c r="E280" s="7">
        <f>IF('Extra 1'!$A280="","",'Extra 1'!O280)</f>
        <v/>
      </c>
      <c r="F280" s="7">
        <f>IF('Extra 1'!$A280="","",'Extra 1'!L280)</f>
        <v/>
      </c>
      <c r="G280" s="7">
        <f>IF('Extra 1'!$A280="","",'Extra 1'!S280)</f>
        <v/>
      </c>
      <c r="H280">
        <f>IF('Extra 1'!$A280="","",'Extra 1'!P280)</f>
        <v/>
      </c>
      <c r="I280">
        <f>IF('Extra 1'!$A280="","",'Extra 1'!M280)</f>
        <v/>
      </c>
      <c r="J280" s="7">
        <f>IF('Extra 1'!$A280="","",'Extra 1'!Q280)</f>
        <v/>
      </c>
      <c r="K280" s="7">
        <f>IF('Extra 1'!$A280="","",'Extra 1'!H280)</f>
        <v/>
      </c>
      <c r="L280" s="7">
        <f>IF('Extra 1'!$A280="","",'Extra 1'!T280)</f>
        <v/>
      </c>
      <c r="M280">
        <f>IF('Extra 1'!$A280="","",'Extra 1'!G280)</f>
        <v/>
      </c>
    </row>
    <row r="281">
      <c r="A281">
        <f>IF('Extra 1'!$A281="","",ROWS($A$2:$A281))</f>
        <v/>
      </c>
      <c r="B281">
        <f>IF('Extra 1'!$A281="","",'Extra 1'!E281)</f>
        <v/>
      </c>
      <c r="C281">
        <f>IF('Extra 1'!$A281="","",'Extra 1'!F281)</f>
        <v/>
      </c>
      <c r="D281" s="14">
        <f>IF('Extra 1'!$A281="","",'Extra 1'!I281)</f>
        <v/>
      </c>
      <c r="E281" s="7">
        <f>IF('Extra 1'!$A281="","",'Extra 1'!O281)</f>
        <v/>
      </c>
      <c r="F281" s="7">
        <f>IF('Extra 1'!$A281="","",'Extra 1'!L281)</f>
        <v/>
      </c>
      <c r="G281" s="7">
        <f>IF('Extra 1'!$A281="","",'Extra 1'!S281)</f>
        <v/>
      </c>
      <c r="H281">
        <f>IF('Extra 1'!$A281="","",'Extra 1'!P281)</f>
        <v/>
      </c>
      <c r="I281">
        <f>IF('Extra 1'!$A281="","",'Extra 1'!M281)</f>
        <v/>
      </c>
      <c r="J281" s="7">
        <f>IF('Extra 1'!$A281="","",'Extra 1'!Q281)</f>
        <v/>
      </c>
      <c r="K281" s="7">
        <f>IF('Extra 1'!$A281="","",'Extra 1'!H281)</f>
        <v/>
      </c>
      <c r="L281" s="7">
        <f>IF('Extra 1'!$A281="","",'Extra 1'!T281)</f>
        <v/>
      </c>
      <c r="M281">
        <f>IF('Extra 1'!$A281="","",'Extra 1'!G281)</f>
        <v/>
      </c>
    </row>
    <row r="282">
      <c r="A282">
        <f>IF('Extra 1'!$A282="","",ROWS($A$2:$A282))</f>
        <v/>
      </c>
      <c r="B282">
        <f>IF('Extra 1'!$A282="","",'Extra 1'!E282)</f>
        <v/>
      </c>
      <c r="C282">
        <f>IF('Extra 1'!$A282="","",'Extra 1'!F282)</f>
        <v/>
      </c>
      <c r="D282" s="14">
        <f>IF('Extra 1'!$A282="","",'Extra 1'!I282)</f>
        <v/>
      </c>
      <c r="E282" s="7">
        <f>IF('Extra 1'!$A282="","",'Extra 1'!O282)</f>
        <v/>
      </c>
      <c r="F282" s="7">
        <f>IF('Extra 1'!$A282="","",'Extra 1'!L282)</f>
        <v/>
      </c>
      <c r="G282" s="7">
        <f>IF('Extra 1'!$A282="","",'Extra 1'!S282)</f>
        <v/>
      </c>
      <c r="H282">
        <f>IF('Extra 1'!$A282="","",'Extra 1'!P282)</f>
        <v/>
      </c>
      <c r="I282">
        <f>IF('Extra 1'!$A282="","",'Extra 1'!M282)</f>
        <v/>
      </c>
      <c r="J282" s="7">
        <f>IF('Extra 1'!$A282="","",'Extra 1'!Q282)</f>
        <v/>
      </c>
      <c r="K282" s="7">
        <f>IF('Extra 1'!$A282="","",'Extra 1'!H282)</f>
        <v/>
      </c>
      <c r="L282" s="7">
        <f>IF('Extra 1'!$A282="","",'Extra 1'!T282)</f>
        <v/>
      </c>
      <c r="M282">
        <f>IF('Extra 1'!$A282="","",'Extra 1'!G282)</f>
        <v/>
      </c>
    </row>
    <row r="283">
      <c r="A283">
        <f>IF('Extra 1'!$A283="","",ROWS($A$2:$A283))</f>
        <v/>
      </c>
      <c r="B283">
        <f>IF('Extra 1'!$A283="","",'Extra 1'!E283)</f>
        <v/>
      </c>
      <c r="C283">
        <f>IF('Extra 1'!$A283="","",'Extra 1'!F283)</f>
        <v/>
      </c>
      <c r="D283" s="14">
        <f>IF('Extra 1'!$A283="","",'Extra 1'!I283)</f>
        <v/>
      </c>
      <c r="E283" s="7">
        <f>IF('Extra 1'!$A283="","",'Extra 1'!O283)</f>
        <v/>
      </c>
      <c r="F283" s="7">
        <f>IF('Extra 1'!$A283="","",'Extra 1'!L283)</f>
        <v/>
      </c>
      <c r="G283" s="7">
        <f>IF('Extra 1'!$A283="","",'Extra 1'!S283)</f>
        <v/>
      </c>
      <c r="H283">
        <f>IF('Extra 1'!$A283="","",'Extra 1'!P283)</f>
        <v/>
      </c>
      <c r="I283">
        <f>IF('Extra 1'!$A283="","",'Extra 1'!M283)</f>
        <v/>
      </c>
      <c r="J283" s="7">
        <f>IF('Extra 1'!$A283="","",'Extra 1'!Q283)</f>
        <v/>
      </c>
      <c r="K283" s="7">
        <f>IF('Extra 1'!$A283="","",'Extra 1'!H283)</f>
        <v/>
      </c>
      <c r="L283" s="7">
        <f>IF('Extra 1'!$A283="","",'Extra 1'!T283)</f>
        <v/>
      </c>
      <c r="M283">
        <f>IF('Extra 1'!$A283="","",'Extra 1'!G283)</f>
        <v/>
      </c>
    </row>
    <row r="284">
      <c r="A284">
        <f>IF('Extra 1'!$A284="","",ROWS($A$2:$A284))</f>
        <v/>
      </c>
      <c r="B284">
        <f>IF('Extra 1'!$A284="","",'Extra 1'!E284)</f>
        <v/>
      </c>
      <c r="C284">
        <f>IF('Extra 1'!$A284="","",'Extra 1'!F284)</f>
        <v/>
      </c>
      <c r="D284" s="14">
        <f>IF('Extra 1'!$A284="","",'Extra 1'!I284)</f>
        <v/>
      </c>
      <c r="E284" s="7">
        <f>IF('Extra 1'!$A284="","",'Extra 1'!O284)</f>
        <v/>
      </c>
      <c r="F284" s="7">
        <f>IF('Extra 1'!$A284="","",'Extra 1'!L284)</f>
        <v/>
      </c>
      <c r="G284" s="7">
        <f>IF('Extra 1'!$A284="","",'Extra 1'!S284)</f>
        <v/>
      </c>
      <c r="H284">
        <f>IF('Extra 1'!$A284="","",'Extra 1'!P284)</f>
        <v/>
      </c>
      <c r="I284">
        <f>IF('Extra 1'!$A284="","",'Extra 1'!M284)</f>
        <v/>
      </c>
      <c r="J284" s="7">
        <f>IF('Extra 1'!$A284="","",'Extra 1'!Q284)</f>
        <v/>
      </c>
      <c r="K284" s="7">
        <f>IF('Extra 1'!$A284="","",'Extra 1'!H284)</f>
        <v/>
      </c>
      <c r="L284" s="7">
        <f>IF('Extra 1'!$A284="","",'Extra 1'!T284)</f>
        <v/>
      </c>
      <c r="M284">
        <f>IF('Extra 1'!$A284="","",'Extra 1'!G284)</f>
        <v/>
      </c>
    </row>
    <row r="285">
      <c r="A285">
        <f>IF('Extra 1'!$A285="","",ROWS($A$2:$A285))</f>
        <v/>
      </c>
      <c r="B285">
        <f>IF('Extra 1'!$A285="","",'Extra 1'!E285)</f>
        <v/>
      </c>
      <c r="C285">
        <f>IF('Extra 1'!$A285="","",'Extra 1'!F285)</f>
        <v/>
      </c>
      <c r="D285" s="14">
        <f>IF('Extra 1'!$A285="","",'Extra 1'!I285)</f>
        <v/>
      </c>
      <c r="E285" s="7">
        <f>IF('Extra 1'!$A285="","",'Extra 1'!O285)</f>
        <v/>
      </c>
      <c r="F285" s="7">
        <f>IF('Extra 1'!$A285="","",'Extra 1'!L285)</f>
        <v/>
      </c>
      <c r="G285" s="7">
        <f>IF('Extra 1'!$A285="","",'Extra 1'!S285)</f>
        <v/>
      </c>
      <c r="H285">
        <f>IF('Extra 1'!$A285="","",'Extra 1'!P285)</f>
        <v/>
      </c>
      <c r="I285">
        <f>IF('Extra 1'!$A285="","",'Extra 1'!M285)</f>
        <v/>
      </c>
      <c r="J285" s="7">
        <f>IF('Extra 1'!$A285="","",'Extra 1'!Q285)</f>
        <v/>
      </c>
      <c r="K285" s="7">
        <f>IF('Extra 1'!$A285="","",'Extra 1'!H285)</f>
        <v/>
      </c>
      <c r="L285" s="7">
        <f>IF('Extra 1'!$A285="","",'Extra 1'!T285)</f>
        <v/>
      </c>
      <c r="M285">
        <f>IF('Extra 1'!$A285="","",'Extra 1'!G285)</f>
        <v/>
      </c>
    </row>
    <row r="286">
      <c r="A286">
        <f>IF('Extra 1'!$A286="","",ROWS($A$2:$A286))</f>
        <v/>
      </c>
      <c r="B286">
        <f>IF('Extra 1'!$A286="","",'Extra 1'!E286)</f>
        <v/>
      </c>
      <c r="C286">
        <f>IF('Extra 1'!$A286="","",'Extra 1'!F286)</f>
        <v/>
      </c>
      <c r="D286" s="14">
        <f>IF('Extra 1'!$A286="","",'Extra 1'!I286)</f>
        <v/>
      </c>
      <c r="E286" s="7">
        <f>IF('Extra 1'!$A286="","",'Extra 1'!O286)</f>
        <v/>
      </c>
      <c r="F286" s="7">
        <f>IF('Extra 1'!$A286="","",'Extra 1'!L286)</f>
        <v/>
      </c>
      <c r="G286" s="7">
        <f>IF('Extra 1'!$A286="","",'Extra 1'!S286)</f>
        <v/>
      </c>
      <c r="H286">
        <f>IF('Extra 1'!$A286="","",'Extra 1'!P286)</f>
        <v/>
      </c>
      <c r="I286">
        <f>IF('Extra 1'!$A286="","",'Extra 1'!M286)</f>
        <v/>
      </c>
      <c r="J286" s="7">
        <f>IF('Extra 1'!$A286="","",'Extra 1'!Q286)</f>
        <v/>
      </c>
      <c r="K286" s="7">
        <f>IF('Extra 1'!$A286="","",'Extra 1'!H286)</f>
        <v/>
      </c>
      <c r="L286" s="7">
        <f>IF('Extra 1'!$A286="","",'Extra 1'!T286)</f>
        <v/>
      </c>
      <c r="M286">
        <f>IF('Extra 1'!$A286="","",'Extra 1'!G286)</f>
        <v/>
      </c>
    </row>
    <row r="287">
      <c r="A287">
        <f>IF('Extra 1'!$A287="","",ROWS($A$2:$A287))</f>
        <v/>
      </c>
      <c r="B287">
        <f>IF('Extra 1'!$A287="","",'Extra 1'!E287)</f>
        <v/>
      </c>
      <c r="C287">
        <f>IF('Extra 1'!$A287="","",'Extra 1'!F287)</f>
        <v/>
      </c>
      <c r="D287" s="14">
        <f>IF('Extra 1'!$A287="","",'Extra 1'!I287)</f>
        <v/>
      </c>
      <c r="E287" s="7">
        <f>IF('Extra 1'!$A287="","",'Extra 1'!O287)</f>
        <v/>
      </c>
      <c r="F287" s="7">
        <f>IF('Extra 1'!$A287="","",'Extra 1'!L287)</f>
        <v/>
      </c>
      <c r="G287" s="7">
        <f>IF('Extra 1'!$A287="","",'Extra 1'!S287)</f>
        <v/>
      </c>
      <c r="H287">
        <f>IF('Extra 1'!$A287="","",'Extra 1'!P287)</f>
        <v/>
      </c>
      <c r="I287">
        <f>IF('Extra 1'!$A287="","",'Extra 1'!M287)</f>
        <v/>
      </c>
      <c r="J287" s="7">
        <f>IF('Extra 1'!$A287="","",'Extra 1'!Q287)</f>
        <v/>
      </c>
      <c r="K287" s="7">
        <f>IF('Extra 1'!$A287="","",'Extra 1'!H287)</f>
        <v/>
      </c>
      <c r="L287" s="7">
        <f>IF('Extra 1'!$A287="","",'Extra 1'!T287)</f>
        <v/>
      </c>
      <c r="M287">
        <f>IF('Extra 1'!$A287="","",'Extra 1'!G287)</f>
        <v/>
      </c>
    </row>
    <row r="288">
      <c r="A288">
        <f>IF('Extra 1'!$A288="","",ROWS($A$2:$A288))</f>
        <v/>
      </c>
      <c r="B288">
        <f>IF('Extra 1'!$A288="","",'Extra 1'!E288)</f>
        <v/>
      </c>
      <c r="C288">
        <f>IF('Extra 1'!$A288="","",'Extra 1'!F288)</f>
        <v/>
      </c>
      <c r="D288" s="14">
        <f>IF('Extra 1'!$A288="","",'Extra 1'!I288)</f>
        <v/>
      </c>
      <c r="E288" s="7">
        <f>IF('Extra 1'!$A288="","",'Extra 1'!O288)</f>
        <v/>
      </c>
      <c r="F288" s="7">
        <f>IF('Extra 1'!$A288="","",'Extra 1'!L288)</f>
        <v/>
      </c>
      <c r="G288" s="7">
        <f>IF('Extra 1'!$A288="","",'Extra 1'!S288)</f>
        <v/>
      </c>
      <c r="H288">
        <f>IF('Extra 1'!$A288="","",'Extra 1'!P288)</f>
        <v/>
      </c>
      <c r="I288">
        <f>IF('Extra 1'!$A288="","",'Extra 1'!M288)</f>
        <v/>
      </c>
      <c r="J288" s="7">
        <f>IF('Extra 1'!$A288="","",'Extra 1'!Q288)</f>
        <v/>
      </c>
      <c r="K288" s="7">
        <f>IF('Extra 1'!$A288="","",'Extra 1'!H288)</f>
        <v/>
      </c>
      <c r="L288" s="7">
        <f>IF('Extra 1'!$A288="","",'Extra 1'!T288)</f>
        <v/>
      </c>
      <c r="M288">
        <f>IF('Extra 1'!$A288="","",'Extra 1'!G288)</f>
        <v/>
      </c>
    </row>
    <row r="289">
      <c r="A289">
        <f>IF('Extra 1'!$A289="","",ROWS($A$2:$A289))</f>
        <v/>
      </c>
      <c r="B289">
        <f>IF('Extra 1'!$A289="","",'Extra 1'!E289)</f>
        <v/>
      </c>
      <c r="C289">
        <f>IF('Extra 1'!$A289="","",'Extra 1'!F289)</f>
        <v/>
      </c>
      <c r="D289" s="14">
        <f>IF('Extra 1'!$A289="","",'Extra 1'!I289)</f>
        <v/>
      </c>
      <c r="E289" s="7">
        <f>IF('Extra 1'!$A289="","",'Extra 1'!O289)</f>
        <v/>
      </c>
      <c r="F289" s="7">
        <f>IF('Extra 1'!$A289="","",'Extra 1'!L289)</f>
        <v/>
      </c>
      <c r="G289" s="7">
        <f>IF('Extra 1'!$A289="","",'Extra 1'!S289)</f>
        <v/>
      </c>
      <c r="H289">
        <f>IF('Extra 1'!$A289="","",'Extra 1'!P289)</f>
        <v/>
      </c>
      <c r="I289">
        <f>IF('Extra 1'!$A289="","",'Extra 1'!M289)</f>
        <v/>
      </c>
      <c r="J289" s="7">
        <f>IF('Extra 1'!$A289="","",'Extra 1'!Q289)</f>
        <v/>
      </c>
      <c r="K289" s="7">
        <f>IF('Extra 1'!$A289="","",'Extra 1'!H289)</f>
        <v/>
      </c>
      <c r="L289" s="7">
        <f>IF('Extra 1'!$A289="","",'Extra 1'!T289)</f>
        <v/>
      </c>
      <c r="M289">
        <f>IF('Extra 1'!$A289="","",'Extra 1'!G289)</f>
        <v/>
      </c>
    </row>
    <row r="290">
      <c r="A290">
        <f>IF('Extra 1'!$A290="","",ROWS($A$2:$A290))</f>
        <v/>
      </c>
      <c r="B290">
        <f>IF('Extra 1'!$A290="","",'Extra 1'!E290)</f>
        <v/>
      </c>
      <c r="C290">
        <f>IF('Extra 1'!$A290="","",'Extra 1'!F290)</f>
        <v/>
      </c>
      <c r="D290" s="14">
        <f>IF('Extra 1'!$A290="","",'Extra 1'!I290)</f>
        <v/>
      </c>
      <c r="E290" s="7">
        <f>IF('Extra 1'!$A290="","",'Extra 1'!O290)</f>
        <v/>
      </c>
      <c r="F290" s="7">
        <f>IF('Extra 1'!$A290="","",'Extra 1'!L290)</f>
        <v/>
      </c>
      <c r="G290" s="7">
        <f>IF('Extra 1'!$A290="","",'Extra 1'!S290)</f>
        <v/>
      </c>
      <c r="H290">
        <f>IF('Extra 1'!$A290="","",'Extra 1'!P290)</f>
        <v/>
      </c>
      <c r="I290">
        <f>IF('Extra 1'!$A290="","",'Extra 1'!M290)</f>
        <v/>
      </c>
      <c r="J290" s="7">
        <f>IF('Extra 1'!$A290="","",'Extra 1'!Q290)</f>
        <v/>
      </c>
      <c r="K290" s="7">
        <f>IF('Extra 1'!$A290="","",'Extra 1'!H290)</f>
        <v/>
      </c>
      <c r="L290" s="7">
        <f>IF('Extra 1'!$A290="","",'Extra 1'!T290)</f>
        <v/>
      </c>
      <c r="M290">
        <f>IF('Extra 1'!$A290="","",'Extra 1'!G290)</f>
        <v/>
      </c>
    </row>
    <row r="291">
      <c r="A291">
        <f>IF('Extra 1'!$A291="","",ROWS($A$2:$A291))</f>
        <v/>
      </c>
      <c r="B291">
        <f>IF('Extra 1'!$A291="","",'Extra 1'!E291)</f>
        <v/>
      </c>
      <c r="C291">
        <f>IF('Extra 1'!$A291="","",'Extra 1'!F291)</f>
        <v/>
      </c>
      <c r="D291" s="14">
        <f>IF('Extra 1'!$A291="","",'Extra 1'!I291)</f>
        <v/>
      </c>
      <c r="E291" s="7">
        <f>IF('Extra 1'!$A291="","",'Extra 1'!O291)</f>
        <v/>
      </c>
      <c r="F291" s="7">
        <f>IF('Extra 1'!$A291="","",'Extra 1'!L291)</f>
        <v/>
      </c>
      <c r="G291" s="7">
        <f>IF('Extra 1'!$A291="","",'Extra 1'!S291)</f>
        <v/>
      </c>
      <c r="H291">
        <f>IF('Extra 1'!$A291="","",'Extra 1'!P291)</f>
        <v/>
      </c>
      <c r="I291">
        <f>IF('Extra 1'!$A291="","",'Extra 1'!M291)</f>
        <v/>
      </c>
      <c r="J291" s="7">
        <f>IF('Extra 1'!$A291="","",'Extra 1'!Q291)</f>
        <v/>
      </c>
      <c r="K291" s="7">
        <f>IF('Extra 1'!$A291="","",'Extra 1'!H291)</f>
        <v/>
      </c>
      <c r="L291" s="7">
        <f>IF('Extra 1'!$A291="","",'Extra 1'!T291)</f>
        <v/>
      </c>
      <c r="M291">
        <f>IF('Extra 1'!$A291="","",'Extra 1'!G291)</f>
        <v/>
      </c>
    </row>
    <row r="292">
      <c r="A292">
        <f>IF('Extra 1'!$A292="","",ROWS($A$2:$A292))</f>
        <v/>
      </c>
      <c r="B292">
        <f>IF('Extra 1'!$A292="","",'Extra 1'!E292)</f>
        <v/>
      </c>
      <c r="C292">
        <f>IF('Extra 1'!$A292="","",'Extra 1'!F292)</f>
        <v/>
      </c>
      <c r="D292" s="14">
        <f>IF('Extra 1'!$A292="","",'Extra 1'!I292)</f>
        <v/>
      </c>
      <c r="E292" s="7">
        <f>IF('Extra 1'!$A292="","",'Extra 1'!O292)</f>
        <v/>
      </c>
      <c r="F292" s="7">
        <f>IF('Extra 1'!$A292="","",'Extra 1'!L292)</f>
        <v/>
      </c>
      <c r="G292" s="7">
        <f>IF('Extra 1'!$A292="","",'Extra 1'!S292)</f>
        <v/>
      </c>
      <c r="H292">
        <f>IF('Extra 1'!$A292="","",'Extra 1'!P292)</f>
        <v/>
      </c>
      <c r="I292">
        <f>IF('Extra 1'!$A292="","",'Extra 1'!M292)</f>
        <v/>
      </c>
      <c r="J292" s="7">
        <f>IF('Extra 1'!$A292="","",'Extra 1'!Q292)</f>
        <v/>
      </c>
      <c r="K292" s="7">
        <f>IF('Extra 1'!$A292="","",'Extra 1'!H292)</f>
        <v/>
      </c>
      <c r="L292" s="7">
        <f>IF('Extra 1'!$A292="","",'Extra 1'!T292)</f>
        <v/>
      </c>
      <c r="M292">
        <f>IF('Extra 1'!$A292="","",'Extra 1'!G292)</f>
        <v/>
      </c>
    </row>
    <row r="293">
      <c r="A293">
        <f>IF('Extra 1'!$A293="","",ROWS($A$2:$A293))</f>
        <v/>
      </c>
      <c r="B293">
        <f>IF('Extra 1'!$A293="","",'Extra 1'!E293)</f>
        <v/>
      </c>
      <c r="C293">
        <f>IF('Extra 1'!$A293="","",'Extra 1'!F293)</f>
        <v/>
      </c>
      <c r="D293" s="14">
        <f>IF('Extra 1'!$A293="","",'Extra 1'!I293)</f>
        <v/>
      </c>
      <c r="E293" s="7">
        <f>IF('Extra 1'!$A293="","",'Extra 1'!O293)</f>
        <v/>
      </c>
      <c r="F293" s="7">
        <f>IF('Extra 1'!$A293="","",'Extra 1'!L293)</f>
        <v/>
      </c>
      <c r="G293" s="7">
        <f>IF('Extra 1'!$A293="","",'Extra 1'!S293)</f>
        <v/>
      </c>
      <c r="H293">
        <f>IF('Extra 1'!$A293="","",'Extra 1'!P293)</f>
        <v/>
      </c>
      <c r="I293">
        <f>IF('Extra 1'!$A293="","",'Extra 1'!M293)</f>
        <v/>
      </c>
      <c r="J293" s="7">
        <f>IF('Extra 1'!$A293="","",'Extra 1'!Q293)</f>
        <v/>
      </c>
      <c r="K293" s="7">
        <f>IF('Extra 1'!$A293="","",'Extra 1'!H293)</f>
        <v/>
      </c>
      <c r="L293" s="7">
        <f>IF('Extra 1'!$A293="","",'Extra 1'!T293)</f>
        <v/>
      </c>
      <c r="M293">
        <f>IF('Extra 1'!$A293="","",'Extra 1'!G293)</f>
        <v/>
      </c>
    </row>
    <row r="294">
      <c r="A294">
        <f>IF('Extra 1'!$A294="","",ROWS($A$2:$A294))</f>
        <v/>
      </c>
      <c r="B294">
        <f>IF('Extra 1'!$A294="","",'Extra 1'!E294)</f>
        <v/>
      </c>
      <c r="C294">
        <f>IF('Extra 1'!$A294="","",'Extra 1'!F294)</f>
        <v/>
      </c>
      <c r="D294" s="14">
        <f>IF('Extra 1'!$A294="","",'Extra 1'!I294)</f>
        <v/>
      </c>
      <c r="E294" s="7">
        <f>IF('Extra 1'!$A294="","",'Extra 1'!O294)</f>
        <v/>
      </c>
      <c r="F294" s="7">
        <f>IF('Extra 1'!$A294="","",'Extra 1'!L294)</f>
        <v/>
      </c>
      <c r="G294" s="7">
        <f>IF('Extra 1'!$A294="","",'Extra 1'!S294)</f>
        <v/>
      </c>
      <c r="H294">
        <f>IF('Extra 1'!$A294="","",'Extra 1'!P294)</f>
        <v/>
      </c>
      <c r="I294">
        <f>IF('Extra 1'!$A294="","",'Extra 1'!M294)</f>
        <v/>
      </c>
      <c r="J294" s="7">
        <f>IF('Extra 1'!$A294="","",'Extra 1'!Q294)</f>
        <v/>
      </c>
      <c r="K294" s="7">
        <f>IF('Extra 1'!$A294="","",'Extra 1'!H294)</f>
        <v/>
      </c>
      <c r="L294" s="7">
        <f>IF('Extra 1'!$A294="","",'Extra 1'!T294)</f>
        <v/>
      </c>
      <c r="M294">
        <f>IF('Extra 1'!$A294="","",'Extra 1'!G294)</f>
        <v/>
      </c>
    </row>
    <row r="295">
      <c r="A295">
        <f>IF('Extra 1'!$A295="","",ROWS($A$2:$A295))</f>
        <v/>
      </c>
      <c r="B295">
        <f>IF('Extra 1'!$A295="","",'Extra 1'!E295)</f>
        <v/>
      </c>
      <c r="C295">
        <f>IF('Extra 1'!$A295="","",'Extra 1'!F295)</f>
        <v/>
      </c>
      <c r="D295" s="14">
        <f>IF('Extra 1'!$A295="","",'Extra 1'!I295)</f>
        <v/>
      </c>
      <c r="E295" s="7">
        <f>IF('Extra 1'!$A295="","",'Extra 1'!O295)</f>
        <v/>
      </c>
      <c r="F295" s="7">
        <f>IF('Extra 1'!$A295="","",'Extra 1'!L295)</f>
        <v/>
      </c>
      <c r="G295" s="7">
        <f>IF('Extra 1'!$A295="","",'Extra 1'!S295)</f>
        <v/>
      </c>
      <c r="H295">
        <f>IF('Extra 1'!$A295="","",'Extra 1'!P295)</f>
        <v/>
      </c>
      <c r="I295">
        <f>IF('Extra 1'!$A295="","",'Extra 1'!M295)</f>
        <v/>
      </c>
      <c r="J295" s="7">
        <f>IF('Extra 1'!$A295="","",'Extra 1'!Q295)</f>
        <v/>
      </c>
      <c r="K295" s="7">
        <f>IF('Extra 1'!$A295="","",'Extra 1'!H295)</f>
        <v/>
      </c>
      <c r="L295" s="7">
        <f>IF('Extra 1'!$A295="","",'Extra 1'!T295)</f>
        <v/>
      </c>
      <c r="M295">
        <f>IF('Extra 1'!$A295="","",'Extra 1'!G295)</f>
        <v/>
      </c>
    </row>
    <row r="296">
      <c r="A296">
        <f>IF('Extra 1'!$A296="","",ROWS($A$2:$A296))</f>
        <v/>
      </c>
      <c r="B296">
        <f>IF('Extra 1'!$A296="","",'Extra 1'!E296)</f>
        <v/>
      </c>
      <c r="C296">
        <f>IF('Extra 1'!$A296="","",'Extra 1'!F296)</f>
        <v/>
      </c>
      <c r="D296" s="14">
        <f>IF('Extra 1'!$A296="","",'Extra 1'!I296)</f>
        <v/>
      </c>
      <c r="E296" s="7">
        <f>IF('Extra 1'!$A296="","",'Extra 1'!O296)</f>
        <v/>
      </c>
      <c r="F296" s="7">
        <f>IF('Extra 1'!$A296="","",'Extra 1'!L296)</f>
        <v/>
      </c>
      <c r="G296" s="7">
        <f>IF('Extra 1'!$A296="","",'Extra 1'!S296)</f>
        <v/>
      </c>
      <c r="H296">
        <f>IF('Extra 1'!$A296="","",'Extra 1'!P296)</f>
        <v/>
      </c>
      <c r="I296">
        <f>IF('Extra 1'!$A296="","",'Extra 1'!M296)</f>
        <v/>
      </c>
      <c r="J296" s="7">
        <f>IF('Extra 1'!$A296="","",'Extra 1'!Q296)</f>
        <v/>
      </c>
      <c r="K296" s="7">
        <f>IF('Extra 1'!$A296="","",'Extra 1'!H296)</f>
        <v/>
      </c>
      <c r="L296" s="7">
        <f>IF('Extra 1'!$A296="","",'Extra 1'!T296)</f>
        <v/>
      </c>
      <c r="M296">
        <f>IF('Extra 1'!$A296="","",'Extra 1'!G296)</f>
        <v/>
      </c>
    </row>
    <row r="297">
      <c r="A297">
        <f>IF('Extra 1'!$A297="","",ROWS($A$2:$A297))</f>
        <v/>
      </c>
      <c r="B297">
        <f>IF('Extra 1'!$A297="","",'Extra 1'!E297)</f>
        <v/>
      </c>
      <c r="C297">
        <f>IF('Extra 1'!$A297="","",'Extra 1'!F297)</f>
        <v/>
      </c>
      <c r="D297" s="14">
        <f>IF('Extra 1'!$A297="","",'Extra 1'!I297)</f>
        <v/>
      </c>
      <c r="E297" s="7">
        <f>IF('Extra 1'!$A297="","",'Extra 1'!O297)</f>
        <v/>
      </c>
      <c r="F297" s="7">
        <f>IF('Extra 1'!$A297="","",'Extra 1'!L297)</f>
        <v/>
      </c>
      <c r="G297" s="7">
        <f>IF('Extra 1'!$A297="","",'Extra 1'!S297)</f>
        <v/>
      </c>
      <c r="H297">
        <f>IF('Extra 1'!$A297="","",'Extra 1'!P297)</f>
        <v/>
      </c>
      <c r="I297">
        <f>IF('Extra 1'!$A297="","",'Extra 1'!M297)</f>
        <v/>
      </c>
      <c r="J297" s="7">
        <f>IF('Extra 1'!$A297="","",'Extra 1'!Q297)</f>
        <v/>
      </c>
      <c r="K297" s="7">
        <f>IF('Extra 1'!$A297="","",'Extra 1'!H297)</f>
        <v/>
      </c>
      <c r="L297" s="7">
        <f>IF('Extra 1'!$A297="","",'Extra 1'!T297)</f>
        <v/>
      </c>
      <c r="M297">
        <f>IF('Extra 1'!$A297="","",'Extra 1'!G297)</f>
        <v/>
      </c>
    </row>
    <row r="298">
      <c r="A298">
        <f>IF('Extra 1'!$A298="","",ROWS($A$2:$A298))</f>
        <v/>
      </c>
      <c r="B298">
        <f>IF('Extra 1'!$A298="","",'Extra 1'!E298)</f>
        <v/>
      </c>
      <c r="C298">
        <f>IF('Extra 1'!$A298="","",'Extra 1'!F298)</f>
        <v/>
      </c>
      <c r="D298" s="14">
        <f>IF('Extra 1'!$A298="","",'Extra 1'!I298)</f>
        <v/>
      </c>
      <c r="E298" s="7">
        <f>IF('Extra 1'!$A298="","",'Extra 1'!O298)</f>
        <v/>
      </c>
      <c r="F298" s="7">
        <f>IF('Extra 1'!$A298="","",'Extra 1'!L298)</f>
        <v/>
      </c>
      <c r="G298" s="7">
        <f>IF('Extra 1'!$A298="","",'Extra 1'!S298)</f>
        <v/>
      </c>
      <c r="H298">
        <f>IF('Extra 1'!$A298="","",'Extra 1'!P298)</f>
        <v/>
      </c>
      <c r="I298">
        <f>IF('Extra 1'!$A298="","",'Extra 1'!M298)</f>
        <v/>
      </c>
      <c r="J298" s="7">
        <f>IF('Extra 1'!$A298="","",'Extra 1'!Q298)</f>
        <v/>
      </c>
      <c r="K298" s="7">
        <f>IF('Extra 1'!$A298="","",'Extra 1'!H298)</f>
        <v/>
      </c>
      <c r="L298" s="7">
        <f>IF('Extra 1'!$A298="","",'Extra 1'!T298)</f>
        <v/>
      </c>
      <c r="M298">
        <f>IF('Extra 1'!$A298="","",'Extra 1'!G298)</f>
        <v/>
      </c>
    </row>
    <row r="299">
      <c r="A299">
        <f>IF('Extra 1'!$A299="","",ROWS($A$2:$A299))</f>
        <v/>
      </c>
      <c r="B299">
        <f>IF('Extra 1'!$A299="","",'Extra 1'!E299)</f>
        <v/>
      </c>
      <c r="C299">
        <f>IF('Extra 1'!$A299="","",'Extra 1'!F299)</f>
        <v/>
      </c>
      <c r="D299" s="14">
        <f>IF('Extra 1'!$A299="","",'Extra 1'!I299)</f>
        <v/>
      </c>
      <c r="E299" s="7">
        <f>IF('Extra 1'!$A299="","",'Extra 1'!O299)</f>
        <v/>
      </c>
      <c r="F299" s="7">
        <f>IF('Extra 1'!$A299="","",'Extra 1'!L299)</f>
        <v/>
      </c>
      <c r="G299" s="7">
        <f>IF('Extra 1'!$A299="","",'Extra 1'!S299)</f>
        <v/>
      </c>
      <c r="H299">
        <f>IF('Extra 1'!$A299="","",'Extra 1'!P299)</f>
        <v/>
      </c>
      <c r="I299">
        <f>IF('Extra 1'!$A299="","",'Extra 1'!M299)</f>
        <v/>
      </c>
      <c r="J299" s="7">
        <f>IF('Extra 1'!$A299="","",'Extra 1'!Q299)</f>
        <v/>
      </c>
      <c r="K299" s="7">
        <f>IF('Extra 1'!$A299="","",'Extra 1'!H299)</f>
        <v/>
      </c>
      <c r="L299" s="7">
        <f>IF('Extra 1'!$A299="","",'Extra 1'!T299)</f>
        <v/>
      </c>
      <c r="M299">
        <f>IF('Extra 1'!$A299="","",'Extra 1'!G299)</f>
        <v/>
      </c>
    </row>
    <row r="300">
      <c r="A300">
        <f>IF('Extra 1'!$A300="","",ROWS($A$2:$A300))</f>
        <v/>
      </c>
      <c r="B300">
        <f>IF('Extra 1'!$A300="","",'Extra 1'!E300)</f>
        <v/>
      </c>
      <c r="C300">
        <f>IF('Extra 1'!$A300="","",'Extra 1'!F300)</f>
        <v/>
      </c>
      <c r="D300" s="14">
        <f>IF('Extra 1'!$A300="","",'Extra 1'!I300)</f>
        <v/>
      </c>
      <c r="E300" s="7">
        <f>IF('Extra 1'!$A300="","",'Extra 1'!O300)</f>
        <v/>
      </c>
      <c r="F300" s="7">
        <f>IF('Extra 1'!$A300="","",'Extra 1'!L300)</f>
        <v/>
      </c>
      <c r="G300" s="7">
        <f>IF('Extra 1'!$A300="","",'Extra 1'!S300)</f>
        <v/>
      </c>
      <c r="H300">
        <f>IF('Extra 1'!$A300="","",'Extra 1'!P300)</f>
        <v/>
      </c>
      <c r="I300">
        <f>IF('Extra 1'!$A300="","",'Extra 1'!M300)</f>
        <v/>
      </c>
      <c r="J300" s="7">
        <f>IF('Extra 1'!$A300="","",'Extra 1'!Q300)</f>
        <v/>
      </c>
      <c r="K300" s="7">
        <f>IF('Extra 1'!$A300="","",'Extra 1'!H300)</f>
        <v/>
      </c>
      <c r="L300" s="7">
        <f>IF('Extra 1'!$A300="","",'Extra 1'!T300)</f>
        <v/>
      </c>
      <c r="M300">
        <f>IF('Extra 1'!$A300="","",'Extra 1'!G300)</f>
        <v/>
      </c>
    </row>
    <row r="301">
      <c r="A301">
        <f>IF('Extra 1'!$A301="","",ROWS($A$2:$A301))</f>
        <v/>
      </c>
      <c r="B301">
        <f>IF('Extra 1'!$A301="","",'Extra 1'!E301)</f>
        <v/>
      </c>
      <c r="C301">
        <f>IF('Extra 1'!$A301="","",'Extra 1'!F301)</f>
        <v/>
      </c>
      <c r="D301" s="14">
        <f>IF('Extra 1'!$A301="","",'Extra 1'!I301)</f>
        <v/>
      </c>
      <c r="E301" s="7">
        <f>IF('Extra 1'!$A301="","",'Extra 1'!O301)</f>
        <v/>
      </c>
      <c r="F301" s="7">
        <f>IF('Extra 1'!$A301="","",'Extra 1'!L301)</f>
        <v/>
      </c>
      <c r="G301" s="7">
        <f>IF('Extra 1'!$A301="","",'Extra 1'!S301)</f>
        <v/>
      </c>
      <c r="H301">
        <f>IF('Extra 1'!$A301="","",'Extra 1'!P301)</f>
        <v/>
      </c>
      <c r="I301">
        <f>IF('Extra 1'!$A301="","",'Extra 1'!M301)</f>
        <v/>
      </c>
      <c r="J301" s="7">
        <f>IF('Extra 1'!$A301="","",'Extra 1'!Q301)</f>
        <v/>
      </c>
      <c r="K301" s="7">
        <f>IF('Extra 1'!$A301="","",'Extra 1'!H301)</f>
        <v/>
      </c>
      <c r="L301" s="7">
        <f>IF('Extra 1'!$A301="","",'Extra 1'!T301)</f>
        <v/>
      </c>
      <c r="M301">
        <f>IF('Extra 1'!$A301="","",'Extra 1'!G301)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32" customHeight="1">
      <c r="A1" s="10" t="inlineStr">
        <is>
          <t>م</t>
        </is>
      </c>
      <c r="B1" s="10" t="inlineStr">
        <is>
          <t>الاسم</t>
        </is>
      </c>
      <c r="C1" s="10" t="inlineStr">
        <is>
          <t>رقم الاداء</t>
        </is>
      </c>
      <c r="D1" s="10" t="inlineStr">
        <is>
          <t>التاريخ</t>
        </is>
      </c>
      <c r="E1" s="10" t="inlineStr">
        <is>
          <t>محلي قبل الخصم</t>
        </is>
      </c>
      <c r="F1" s="10" t="inlineStr">
        <is>
          <t>مستورد قبل الخصم</t>
        </is>
      </c>
      <c r="G1" s="10" t="inlineStr">
        <is>
          <t>الاجمالي قبل الخصم</t>
        </is>
      </c>
      <c r="H1" s="10" t="inlineStr">
        <is>
          <t>قيمه خصم المحلي</t>
        </is>
      </c>
      <c r="I1" s="10" t="inlineStr">
        <is>
          <t>قيمه خصم المستورد</t>
        </is>
      </c>
      <c r="J1" s="10" t="inlineStr">
        <is>
          <t>اجمالي قيمه الخصم</t>
        </is>
      </c>
      <c r="K1" s="10" t="inlineStr">
        <is>
          <t>تحمل المريض</t>
        </is>
      </c>
      <c r="L1" s="10" t="inlineStr">
        <is>
          <t>الصافي</t>
        </is>
      </c>
      <c r="M1" s="10" t="inlineStr">
        <is>
          <t>نسبه التحمل</t>
        </is>
      </c>
    </row>
    <row r="2">
      <c r="A2">
        <f>IF('Extra 2'!$A2="","",ROWS($A$2:$A2))</f>
        <v/>
      </c>
      <c r="B2">
        <f>IF('Extra 2'!$A2="","",'Extra 2'!E2)</f>
        <v/>
      </c>
      <c r="C2">
        <f>IF('Extra 2'!$A2="","",'Extra 2'!F2)</f>
        <v/>
      </c>
      <c r="D2" s="14">
        <f>IF('Extra 2'!$A2="","",'Extra 2'!I2)</f>
        <v/>
      </c>
      <c r="E2" s="7">
        <f>IF('Extra 2'!$A2="","",'Extra 2'!O2)</f>
        <v/>
      </c>
      <c r="F2" s="7">
        <f>IF('Extra 2'!$A2="","",'Extra 2'!L2)</f>
        <v/>
      </c>
      <c r="G2" s="7">
        <f>IF('Extra 2'!$A2="","",'Extra 2'!S2)</f>
        <v/>
      </c>
      <c r="H2">
        <f>IF('Extra 2'!$A2="","",'Extra 2'!P2)</f>
        <v/>
      </c>
      <c r="I2">
        <f>IF('Extra 2'!$A2="","",'Extra 2'!M2)</f>
        <v/>
      </c>
      <c r="J2" s="7">
        <f>IF('Extra 2'!$A2="","",'Extra 2'!Q2)</f>
        <v/>
      </c>
      <c r="K2" s="7">
        <f>IF('Extra 2'!$A2="","",'Extra 2'!H2)</f>
        <v/>
      </c>
      <c r="L2" s="7">
        <f>IF('Extra 2'!$A2="","",'Extra 2'!T2)</f>
        <v/>
      </c>
      <c r="M2">
        <f>IF('Extra 2'!$A2="","",'Extra 2'!G2)</f>
        <v/>
      </c>
    </row>
    <row r="3">
      <c r="A3">
        <f>IF('Extra 2'!$A3="","",ROWS($A$2:$A3))</f>
        <v/>
      </c>
      <c r="B3">
        <f>IF('Extra 2'!$A3="","",'Extra 2'!E3)</f>
        <v/>
      </c>
      <c r="C3">
        <f>IF('Extra 2'!$A3="","",'Extra 2'!F3)</f>
        <v/>
      </c>
      <c r="D3" s="14">
        <f>IF('Extra 2'!$A3="","",'Extra 2'!I3)</f>
        <v/>
      </c>
      <c r="E3" s="7">
        <f>IF('Extra 2'!$A3="","",'Extra 2'!O3)</f>
        <v/>
      </c>
      <c r="F3" s="7">
        <f>IF('Extra 2'!$A3="","",'Extra 2'!L3)</f>
        <v/>
      </c>
      <c r="G3" s="7">
        <f>IF('Extra 2'!$A3="","",'Extra 2'!S3)</f>
        <v/>
      </c>
      <c r="H3">
        <f>IF('Extra 2'!$A3="","",'Extra 2'!P3)</f>
        <v/>
      </c>
      <c r="I3">
        <f>IF('Extra 2'!$A3="","",'Extra 2'!M3)</f>
        <v/>
      </c>
      <c r="J3" s="7">
        <f>IF('Extra 2'!$A3="","",'Extra 2'!Q3)</f>
        <v/>
      </c>
      <c r="K3" s="7">
        <f>IF('Extra 2'!$A3="","",'Extra 2'!H3)</f>
        <v/>
      </c>
      <c r="L3" s="7">
        <f>IF('Extra 2'!$A3="","",'Extra 2'!T3)</f>
        <v/>
      </c>
      <c r="M3">
        <f>IF('Extra 2'!$A3="","",'Extra 2'!G3)</f>
        <v/>
      </c>
    </row>
    <row r="4">
      <c r="A4">
        <f>IF('Extra 2'!$A4="","",ROWS($A$2:$A4))</f>
        <v/>
      </c>
      <c r="B4">
        <f>IF('Extra 2'!$A4="","",'Extra 2'!E4)</f>
        <v/>
      </c>
      <c r="C4">
        <f>IF('Extra 2'!$A4="","",'Extra 2'!F4)</f>
        <v/>
      </c>
      <c r="D4" s="14">
        <f>IF('Extra 2'!$A4="","",'Extra 2'!I4)</f>
        <v/>
      </c>
      <c r="E4" s="7">
        <f>IF('Extra 2'!$A4="","",'Extra 2'!O4)</f>
        <v/>
      </c>
      <c r="F4" s="7">
        <f>IF('Extra 2'!$A4="","",'Extra 2'!L4)</f>
        <v/>
      </c>
      <c r="G4" s="7">
        <f>IF('Extra 2'!$A4="","",'Extra 2'!S4)</f>
        <v/>
      </c>
      <c r="H4">
        <f>IF('Extra 2'!$A4="","",'Extra 2'!P4)</f>
        <v/>
      </c>
      <c r="I4">
        <f>IF('Extra 2'!$A4="","",'Extra 2'!M4)</f>
        <v/>
      </c>
      <c r="J4" s="7">
        <f>IF('Extra 2'!$A4="","",'Extra 2'!Q4)</f>
        <v/>
      </c>
      <c r="K4" s="7">
        <f>IF('Extra 2'!$A4="","",'Extra 2'!H4)</f>
        <v/>
      </c>
      <c r="L4" s="7">
        <f>IF('Extra 2'!$A4="","",'Extra 2'!T4)</f>
        <v/>
      </c>
      <c r="M4">
        <f>IF('Extra 2'!$A4="","",'Extra 2'!G4)</f>
        <v/>
      </c>
    </row>
    <row r="5">
      <c r="A5">
        <f>IF('Extra 2'!$A5="","",ROWS($A$2:$A5))</f>
        <v/>
      </c>
      <c r="B5">
        <f>IF('Extra 2'!$A5="","",'Extra 2'!E5)</f>
        <v/>
      </c>
      <c r="C5">
        <f>IF('Extra 2'!$A5="","",'Extra 2'!F5)</f>
        <v/>
      </c>
      <c r="D5" s="14">
        <f>IF('Extra 2'!$A5="","",'Extra 2'!I5)</f>
        <v/>
      </c>
      <c r="E5" s="7">
        <f>IF('Extra 2'!$A5="","",'Extra 2'!O5)</f>
        <v/>
      </c>
      <c r="F5" s="7">
        <f>IF('Extra 2'!$A5="","",'Extra 2'!L5)</f>
        <v/>
      </c>
      <c r="G5" s="7">
        <f>IF('Extra 2'!$A5="","",'Extra 2'!S5)</f>
        <v/>
      </c>
      <c r="H5">
        <f>IF('Extra 2'!$A5="","",'Extra 2'!P5)</f>
        <v/>
      </c>
      <c r="I5">
        <f>IF('Extra 2'!$A5="","",'Extra 2'!M5)</f>
        <v/>
      </c>
      <c r="J5" s="7">
        <f>IF('Extra 2'!$A5="","",'Extra 2'!Q5)</f>
        <v/>
      </c>
      <c r="K5" s="7">
        <f>IF('Extra 2'!$A5="","",'Extra 2'!H5)</f>
        <v/>
      </c>
      <c r="L5" s="7">
        <f>IF('Extra 2'!$A5="","",'Extra 2'!T5)</f>
        <v/>
      </c>
      <c r="M5">
        <f>IF('Extra 2'!$A5="","",'Extra 2'!G5)</f>
        <v/>
      </c>
    </row>
    <row r="6">
      <c r="A6">
        <f>IF('Extra 2'!$A6="","",ROWS($A$2:$A6))</f>
        <v/>
      </c>
      <c r="B6">
        <f>IF('Extra 2'!$A6="","",'Extra 2'!E6)</f>
        <v/>
      </c>
      <c r="C6">
        <f>IF('Extra 2'!$A6="","",'Extra 2'!F6)</f>
        <v/>
      </c>
      <c r="D6" s="14">
        <f>IF('Extra 2'!$A6="","",'Extra 2'!I6)</f>
        <v/>
      </c>
      <c r="E6" s="7">
        <f>IF('Extra 2'!$A6="","",'Extra 2'!O6)</f>
        <v/>
      </c>
      <c r="F6" s="7">
        <f>IF('Extra 2'!$A6="","",'Extra 2'!L6)</f>
        <v/>
      </c>
      <c r="G6" s="7">
        <f>IF('Extra 2'!$A6="","",'Extra 2'!S6)</f>
        <v/>
      </c>
      <c r="H6">
        <f>IF('Extra 2'!$A6="","",'Extra 2'!P6)</f>
        <v/>
      </c>
      <c r="I6">
        <f>IF('Extra 2'!$A6="","",'Extra 2'!M6)</f>
        <v/>
      </c>
      <c r="J6" s="7">
        <f>IF('Extra 2'!$A6="","",'Extra 2'!Q6)</f>
        <v/>
      </c>
      <c r="K6" s="7">
        <f>IF('Extra 2'!$A6="","",'Extra 2'!H6)</f>
        <v/>
      </c>
      <c r="L6" s="7">
        <f>IF('Extra 2'!$A6="","",'Extra 2'!T6)</f>
        <v/>
      </c>
      <c r="M6">
        <f>IF('Extra 2'!$A6="","",'Extra 2'!G6)</f>
        <v/>
      </c>
    </row>
    <row r="7">
      <c r="A7">
        <f>IF('Extra 2'!$A7="","",ROWS($A$2:$A7))</f>
        <v/>
      </c>
      <c r="B7">
        <f>IF('Extra 2'!$A7="","",'Extra 2'!E7)</f>
        <v/>
      </c>
      <c r="C7">
        <f>IF('Extra 2'!$A7="","",'Extra 2'!F7)</f>
        <v/>
      </c>
      <c r="D7" s="14">
        <f>IF('Extra 2'!$A7="","",'Extra 2'!I7)</f>
        <v/>
      </c>
      <c r="E7" s="7">
        <f>IF('Extra 2'!$A7="","",'Extra 2'!O7)</f>
        <v/>
      </c>
      <c r="F7" s="7">
        <f>IF('Extra 2'!$A7="","",'Extra 2'!L7)</f>
        <v/>
      </c>
      <c r="G7" s="7">
        <f>IF('Extra 2'!$A7="","",'Extra 2'!S7)</f>
        <v/>
      </c>
      <c r="H7">
        <f>IF('Extra 2'!$A7="","",'Extra 2'!P7)</f>
        <v/>
      </c>
      <c r="I7">
        <f>IF('Extra 2'!$A7="","",'Extra 2'!M7)</f>
        <v/>
      </c>
      <c r="J7" s="7">
        <f>IF('Extra 2'!$A7="","",'Extra 2'!Q7)</f>
        <v/>
      </c>
      <c r="K7" s="7">
        <f>IF('Extra 2'!$A7="","",'Extra 2'!H7)</f>
        <v/>
      </c>
      <c r="L7" s="7">
        <f>IF('Extra 2'!$A7="","",'Extra 2'!T7)</f>
        <v/>
      </c>
      <c r="M7">
        <f>IF('Extra 2'!$A7="","",'Extra 2'!G7)</f>
        <v/>
      </c>
    </row>
    <row r="8">
      <c r="A8">
        <f>IF('Extra 2'!$A8="","",ROWS($A$2:$A8))</f>
        <v/>
      </c>
      <c r="B8">
        <f>IF('Extra 2'!$A8="","",'Extra 2'!E8)</f>
        <v/>
      </c>
      <c r="C8">
        <f>IF('Extra 2'!$A8="","",'Extra 2'!F8)</f>
        <v/>
      </c>
      <c r="D8" s="14">
        <f>IF('Extra 2'!$A8="","",'Extra 2'!I8)</f>
        <v/>
      </c>
      <c r="E8" s="7">
        <f>IF('Extra 2'!$A8="","",'Extra 2'!O8)</f>
        <v/>
      </c>
      <c r="F8" s="7">
        <f>IF('Extra 2'!$A8="","",'Extra 2'!L8)</f>
        <v/>
      </c>
      <c r="G8" s="7">
        <f>IF('Extra 2'!$A8="","",'Extra 2'!S8)</f>
        <v/>
      </c>
      <c r="H8">
        <f>IF('Extra 2'!$A8="","",'Extra 2'!P8)</f>
        <v/>
      </c>
      <c r="I8">
        <f>IF('Extra 2'!$A8="","",'Extra 2'!M8)</f>
        <v/>
      </c>
      <c r="J8" s="7">
        <f>IF('Extra 2'!$A8="","",'Extra 2'!Q8)</f>
        <v/>
      </c>
      <c r="K8" s="7">
        <f>IF('Extra 2'!$A8="","",'Extra 2'!H8)</f>
        <v/>
      </c>
      <c r="L8" s="7">
        <f>IF('Extra 2'!$A8="","",'Extra 2'!T8)</f>
        <v/>
      </c>
      <c r="M8">
        <f>IF('Extra 2'!$A8="","",'Extra 2'!G8)</f>
        <v/>
      </c>
    </row>
    <row r="9">
      <c r="A9">
        <f>IF('Extra 2'!$A9="","",ROWS($A$2:$A9))</f>
        <v/>
      </c>
      <c r="B9">
        <f>IF('Extra 2'!$A9="","",'Extra 2'!E9)</f>
        <v/>
      </c>
      <c r="C9">
        <f>IF('Extra 2'!$A9="","",'Extra 2'!F9)</f>
        <v/>
      </c>
      <c r="D9" s="14">
        <f>IF('Extra 2'!$A9="","",'Extra 2'!I9)</f>
        <v/>
      </c>
      <c r="E9" s="7">
        <f>IF('Extra 2'!$A9="","",'Extra 2'!O9)</f>
        <v/>
      </c>
      <c r="F9" s="7">
        <f>IF('Extra 2'!$A9="","",'Extra 2'!L9)</f>
        <v/>
      </c>
      <c r="G9" s="7">
        <f>IF('Extra 2'!$A9="","",'Extra 2'!S9)</f>
        <v/>
      </c>
      <c r="H9">
        <f>IF('Extra 2'!$A9="","",'Extra 2'!P9)</f>
        <v/>
      </c>
      <c r="I9">
        <f>IF('Extra 2'!$A9="","",'Extra 2'!M9)</f>
        <v/>
      </c>
      <c r="J9" s="7">
        <f>IF('Extra 2'!$A9="","",'Extra 2'!Q9)</f>
        <v/>
      </c>
      <c r="K9" s="7">
        <f>IF('Extra 2'!$A9="","",'Extra 2'!H9)</f>
        <v/>
      </c>
      <c r="L9" s="7">
        <f>IF('Extra 2'!$A9="","",'Extra 2'!T9)</f>
        <v/>
      </c>
      <c r="M9">
        <f>IF('Extra 2'!$A9="","",'Extra 2'!G9)</f>
        <v/>
      </c>
    </row>
    <row r="10">
      <c r="A10">
        <f>IF('Extra 2'!$A10="","",ROWS($A$2:$A10))</f>
        <v/>
      </c>
      <c r="B10">
        <f>IF('Extra 2'!$A10="","",'Extra 2'!E10)</f>
        <v/>
      </c>
      <c r="C10">
        <f>IF('Extra 2'!$A10="","",'Extra 2'!F10)</f>
        <v/>
      </c>
      <c r="D10" s="14">
        <f>IF('Extra 2'!$A10="","",'Extra 2'!I10)</f>
        <v/>
      </c>
      <c r="E10" s="7">
        <f>IF('Extra 2'!$A10="","",'Extra 2'!O10)</f>
        <v/>
      </c>
      <c r="F10" s="7">
        <f>IF('Extra 2'!$A10="","",'Extra 2'!L10)</f>
        <v/>
      </c>
      <c r="G10" s="7">
        <f>IF('Extra 2'!$A10="","",'Extra 2'!S10)</f>
        <v/>
      </c>
      <c r="H10">
        <f>IF('Extra 2'!$A10="","",'Extra 2'!P10)</f>
        <v/>
      </c>
      <c r="I10">
        <f>IF('Extra 2'!$A10="","",'Extra 2'!M10)</f>
        <v/>
      </c>
      <c r="J10" s="7">
        <f>IF('Extra 2'!$A10="","",'Extra 2'!Q10)</f>
        <v/>
      </c>
      <c r="K10" s="7">
        <f>IF('Extra 2'!$A10="","",'Extra 2'!H10)</f>
        <v/>
      </c>
      <c r="L10" s="7">
        <f>IF('Extra 2'!$A10="","",'Extra 2'!T10)</f>
        <v/>
      </c>
      <c r="M10">
        <f>IF('Extra 2'!$A10="","",'Extra 2'!G10)</f>
        <v/>
      </c>
    </row>
    <row r="11">
      <c r="A11">
        <f>IF('Extra 2'!$A11="","",ROWS($A$2:$A11))</f>
        <v/>
      </c>
      <c r="B11">
        <f>IF('Extra 2'!$A11="","",'Extra 2'!E11)</f>
        <v/>
      </c>
      <c r="C11">
        <f>IF('Extra 2'!$A11="","",'Extra 2'!F11)</f>
        <v/>
      </c>
      <c r="D11" s="14">
        <f>IF('Extra 2'!$A11="","",'Extra 2'!I11)</f>
        <v/>
      </c>
      <c r="E11" s="7">
        <f>IF('Extra 2'!$A11="","",'Extra 2'!O11)</f>
        <v/>
      </c>
      <c r="F11" s="7">
        <f>IF('Extra 2'!$A11="","",'Extra 2'!L11)</f>
        <v/>
      </c>
      <c r="G11" s="7">
        <f>IF('Extra 2'!$A11="","",'Extra 2'!S11)</f>
        <v/>
      </c>
      <c r="H11">
        <f>IF('Extra 2'!$A11="","",'Extra 2'!P11)</f>
        <v/>
      </c>
      <c r="I11">
        <f>IF('Extra 2'!$A11="","",'Extra 2'!M11)</f>
        <v/>
      </c>
      <c r="J11" s="7">
        <f>IF('Extra 2'!$A11="","",'Extra 2'!Q11)</f>
        <v/>
      </c>
      <c r="K11" s="7">
        <f>IF('Extra 2'!$A11="","",'Extra 2'!H11)</f>
        <v/>
      </c>
      <c r="L11" s="7">
        <f>IF('Extra 2'!$A11="","",'Extra 2'!T11)</f>
        <v/>
      </c>
      <c r="M11">
        <f>IF('Extra 2'!$A11="","",'Extra 2'!G11)</f>
        <v/>
      </c>
    </row>
    <row r="12">
      <c r="A12">
        <f>IF('Extra 2'!$A12="","",ROWS($A$2:$A12))</f>
        <v/>
      </c>
      <c r="B12">
        <f>IF('Extra 2'!$A12="","",'Extra 2'!E12)</f>
        <v/>
      </c>
      <c r="C12">
        <f>IF('Extra 2'!$A12="","",'Extra 2'!F12)</f>
        <v/>
      </c>
      <c r="D12" s="14">
        <f>IF('Extra 2'!$A12="","",'Extra 2'!I12)</f>
        <v/>
      </c>
      <c r="E12" s="7">
        <f>IF('Extra 2'!$A12="","",'Extra 2'!O12)</f>
        <v/>
      </c>
      <c r="F12" s="7">
        <f>IF('Extra 2'!$A12="","",'Extra 2'!L12)</f>
        <v/>
      </c>
      <c r="G12" s="7">
        <f>IF('Extra 2'!$A12="","",'Extra 2'!S12)</f>
        <v/>
      </c>
      <c r="H12">
        <f>IF('Extra 2'!$A12="","",'Extra 2'!P12)</f>
        <v/>
      </c>
      <c r="I12">
        <f>IF('Extra 2'!$A12="","",'Extra 2'!M12)</f>
        <v/>
      </c>
      <c r="J12" s="7">
        <f>IF('Extra 2'!$A12="","",'Extra 2'!Q12)</f>
        <v/>
      </c>
      <c r="K12" s="7">
        <f>IF('Extra 2'!$A12="","",'Extra 2'!H12)</f>
        <v/>
      </c>
      <c r="L12" s="7">
        <f>IF('Extra 2'!$A12="","",'Extra 2'!T12)</f>
        <v/>
      </c>
      <c r="M12">
        <f>IF('Extra 2'!$A12="","",'Extra 2'!G12)</f>
        <v/>
      </c>
    </row>
    <row r="13">
      <c r="A13">
        <f>IF('Extra 2'!$A13="","",ROWS($A$2:$A13))</f>
        <v/>
      </c>
      <c r="B13">
        <f>IF('Extra 2'!$A13="","",'Extra 2'!E13)</f>
        <v/>
      </c>
      <c r="C13">
        <f>IF('Extra 2'!$A13="","",'Extra 2'!F13)</f>
        <v/>
      </c>
      <c r="D13" s="14">
        <f>IF('Extra 2'!$A13="","",'Extra 2'!I13)</f>
        <v/>
      </c>
      <c r="E13" s="7">
        <f>IF('Extra 2'!$A13="","",'Extra 2'!O13)</f>
        <v/>
      </c>
      <c r="F13" s="7">
        <f>IF('Extra 2'!$A13="","",'Extra 2'!L13)</f>
        <v/>
      </c>
      <c r="G13" s="7">
        <f>IF('Extra 2'!$A13="","",'Extra 2'!S13)</f>
        <v/>
      </c>
      <c r="H13">
        <f>IF('Extra 2'!$A13="","",'Extra 2'!P13)</f>
        <v/>
      </c>
      <c r="I13">
        <f>IF('Extra 2'!$A13="","",'Extra 2'!M13)</f>
        <v/>
      </c>
      <c r="J13" s="7">
        <f>IF('Extra 2'!$A13="","",'Extra 2'!Q13)</f>
        <v/>
      </c>
      <c r="K13" s="7">
        <f>IF('Extra 2'!$A13="","",'Extra 2'!H13)</f>
        <v/>
      </c>
      <c r="L13" s="7">
        <f>IF('Extra 2'!$A13="","",'Extra 2'!T13)</f>
        <v/>
      </c>
      <c r="M13">
        <f>IF('Extra 2'!$A13="","",'Extra 2'!G13)</f>
        <v/>
      </c>
    </row>
    <row r="14">
      <c r="A14">
        <f>IF('Extra 2'!$A14="","",ROWS($A$2:$A14))</f>
        <v/>
      </c>
      <c r="B14">
        <f>IF('Extra 2'!$A14="","",'Extra 2'!E14)</f>
        <v/>
      </c>
      <c r="C14">
        <f>IF('Extra 2'!$A14="","",'Extra 2'!F14)</f>
        <v/>
      </c>
      <c r="D14" s="14">
        <f>IF('Extra 2'!$A14="","",'Extra 2'!I14)</f>
        <v/>
      </c>
      <c r="E14" s="7">
        <f>IF('Extra 2'!$A14="","",'Extra 2'!O14)</f>
        <v/>
      </c>
      <c r="F14" s="7">
        <f>IF('Extra 2'!$A14="","",'Extra 2'!L14)</f>
        <v/>
      </c>
      <c r="G14" s="7">
        <f>IF('Extra 2'!$A14="","",'Extra 2'!S14)</f>
        <v/>
      </c>
      <c r="H14">
        <f>IF('Extra 2'!$A14="","",'Extra 2'!P14)</f>
        <v/>
      </c>
      <c r="I14">
        <f>IF('Extra 2'!$A14="","",'Extra 2'!M14)</f>
        <v/>
      </c>
      <c r="J14" s="7">
        <f>IF('Extra 2'!$A14="","",'Extra 2'!Q14)</f>
        <v/>
      </c>
      <c r="K14" s="7">
        <f>IF('Extra 2'!$A14="","",'Extra 2'!H14)</f>
        <v/>
      </c>
      <c r="L14" s="7">
        <f>IF('Extra 2'!$A14="","",'Extra 2'!T14)</f>
        <v/>
      </c>
      <c r="M14">
        <f>IF('Extra 2'!$A14="","",'Extra 2'!G14)</f>
        <v/>
      </c>
    </row>
    <row r="15">
      <c r="A15">
        <f>IF('Extra 2'!$A15="","",ROWS($A$2:$A15))</f>
        <v/>
      </c>
      <c r="B15">
        <f>IF('Extra 2'!$A15="","",'Extra 2'!E15)</f>
        <v/>
      </c>
      <c r="C15">
        <f>IF('Extra 2'!$A15="","",'Extra 2'!F15)</f>
        <v/>
      </c>
      <c r="D15" s="14">
        <f>IF('Extra 2'!$A15="","",'Extra 2'!I15)</f>
        <v/>
      </c>
      <c r="E15" s="7">
        <f>IF('Extra 2'!$A15="","",'Extra 2'!O15)</f>
        <v/>
      </c>
      <c r="F15" s="7">
        <f>IF('Extra 2'!$A15="","",'Extra 2'!L15)</f>
        <v/>
      </c>
      <c r="G15" s="7">
        <f>IF('Extra 2'!$A15="","",'Extra 2'!S15)</f>
        <v/>
      </c>
      <c r="H15">
        <f>IF('Extra 2'!$A15="","",'Extra 2'!P15)</f>
        <v/>
      </c>
      <c r="I15">
        <f>IF('Extra 2'!$A15="","",'Extra 2'!M15)</f>
        <v/>
      </c>
      <c r="J15" s="7">
        <f>IF('Extra 2'!$A15="","",'Extra 2'!Q15)</f>
        <v/>
      </c>
      <c r="K15" s="7">
        <f>IF('Extra 2'!$A15="","",'Extra 2'!H15)</f>
        <v/>
      </c>
      <c r="L15" s="7">
        <f>IF('Extra 2'!$A15="","",'Extra 2'!T15)</f>
        <v/>
      </c>
      <c r="M15">
        <f>IF('Extra 2'!$A15="","",'Extra 2'!G15)</f>
        <v/>
      </c>
    </row>
    <row r="16">
      <c r="A16">
        <f>IF('Extra 2'!$A16="","",ROWS($A$2:$A16))</f>
        <v/>
      </c>
      <c r="B16">
        <f>IF('Extra 2'!$A16="","",'Extra 2'!E16)</f>
        <v/>
      </c>
      <c r="C16">
        <f>IF('Extra 2'!$A16="","",'Extra 2'!F16)</f>
        <v/>
      </c>
      <c r="D16" s="14">
        <f>IF('Extra 2'!$A16="","",'Extra 2'!I16)</f>
        <v/>
      </c>
      <c r="E16" s="7">
        <f>IF('Extra 2'!$A16="","",'Extra 2'!O16)</f>
        <v/>
      </c>
      <c r="F16" s="7">
        <f>IF('Extra 2'!$A16="","",'Extra 2'!L16)</f>
        <v/>
      </c>
      <c r="G16" s="7">
        <f>IF('Extra 2'!$A16="","",'Extra 2'!S16)</f>
        <v/>
      </c>
      <c r="H16">
        <f>IF('Extra 2'!$A16="","",'Extra 2'!P16)</f>
        <v/>
      </c>
      <c r="I16">
        <f>IF('Extra 2'!$A16="","",'Extra 2'!M16)</f>
        <v/>
      </c>
      <c r="J16" s="7">
        <f>IF('Extra 2'!$A16="","",'Extra 2'!Q16)</f>
        <v/>
      </c>
      <c r="K16" s="7">
        <f>IF('Extra 2'!$A16="","",'Extra 2'!H16)</f>
        <v/>
      </c>
      <c r="L16" s="7">
        <f>IF('Extra 2'!$A16="","",'Extra 2'!T16)</f>
        <v/>
      </c>
      <c r="M16">
        <f>IF('Extra 2'!$A16="","",'Extra 2'!G16)</f>
        <v/>
      </c>
    </row>
    <row r="17">
      <c r="A17">
        <f>IF('Extra 2'!$A17="","",ROWS($A$2:$A17))</f>
        <v/>
      </c>
      <c r="B17">
        <f>IF('Extra 2'!$A17="","",'Extra 2'!E17)</f>
        <v/>
      </c>
      <c r="C17">
        <f>IF('Extra 2'!$A17="","",'Extra 2'!F17)</f>
        <v/>
      </c>
      <c r="D17" s="14">
        <f>IF('Extra 2'!$A17="","",'Extra 2'!I17)</f>
        <v/>
      </c>
      <c r="E17" s="7">
        <f>IF('Extra 2'!$A17="","",'Extra 2'!O17)</f>
        <v/>
      </c>
      <c r="F17" s="7">
        <f>IF('Extra 2'!$A17="","",'Extra 2'!L17)</f>
        <v/>
      </c>
      <c r="G17" s="7">
        <f>IF('Extra 2'!$A17="","",'Extra 2'!S17)</f>
        <v/>
      </c>
      <c r="H17">
        <f>IF('Extra 2'!$A17="","",'Extra 2'!P17)</f>
        <v/>
      </c>
      <c r="I17">
        <f>IF('Extra 2'!$A17="","",'Extra 2'!M17)</f>
        <v/>
      </c>
      <c r="J17" s="7">
        <f>IF('Extra 2'!$A17="","",'Extra 2'!Q17)</f>
        <v/>
      </c>
      <c r="K17" s="7">
        <f>IF('Extra 2'!$A17="","",'Extra 2'!H17)</f>
        <v/>
      </c>
      <c r="L17" s="7">
        <f>IF('Extra 2'!$A17="","",'Extra 2'!T17)</f>
        <v/>
      </c>
      <c r="M17">
        <f>IF('Extra 2'!$A17="","",'Extra 2'!G17)</f>
        <v/>
      </c>
    </row>
    <row r="18">
      <c r="A18">
        <f>IF('Extra 2'!$A18="","",ROWS($A$2:$A18))</f>
        <v/>
      </c>
      <c r="B18">
        <f>IF('Extra 2'!$A18="","",'Extra 2'!E18)</f>
        <v/>
      </c>
      <c r="C18">
        <f>IF('Extra 2'!$A18="","",'Extra 2'!F18)</f>
        <v/>
      </c>
      <c r="D18" s="14">
        <f>IF('Extra 2'!$A18="","",'Extra 2'!I18)</f>
        <v/>
      </c>
      <c r="E18" s="7">
        <f>IF('Extra 2'!$A18="","",'Extra 2'!O18)</f>
        <v/>
      </c>
      <c r="F18" s="7">
        <f>IF('Extra 2'!$A18="","",'Extra 2'!L18)</f>
        <v/>
      </c>
      <c r="G18" s="7">
        <f>IF('Extra 2'!$A18="","",'Extra 2'!S18)</f>
        <v/>
      </c>
      <c r="H18">
        <f>IF('Extra 2'!$A18="","",'Extra 2'!P18)</f>
        <v/>
      </c>
      <c r="I18">
        <f>IF('Extra 2'!$A18="","",'Extra 2'!M18)</f>
        <v/>
      </c>
      <c r="J18" s="7">
        <f>IF('Extra 2'!$A18="","",'Extra 2'!Q18)</f>
        <v/>
      </c>
      <c r="K18" s="7">
        <f>IF('Extra 2'!$A18="","",'Extra 2'!H18)</f>
        <v/>
      </c>
      <c r="L18" s="7">
        <f>IF('Extra 2'!$A18="","",'Extra 2'!T18)</f>
        <v/>
      </c>
      <c r="M18">
        <f>IF('Extra 2'!$A18="","",'Extra 2'!G18)</f>
        <v/>
      </c>
    </row>
    <row r="19">
      <c r="A19">
        <f>IF('Extra 2'!$A19="","",ROWS($A$2:$A19))</f>
        <v/>
      </c>
      <c r="B19">
        <f>IF('Extra 2'!$A19="","",'Extra 2'!E19)</f>
        <v/>
      </c>
      <c r="C19">
        <f>IF('Extra 2'!$A19="","",'Extra 2'!F19)</f>
        <v/>
      </c>
      <c r="D19" s="14">
        <f>IF('Extra 2'!$A19="","",'Extra 2'!I19)</f>
        <v/>
      </c>
      <c r="E19" s="7">
        <f>IF('Extra 2'!$A19="","",'Extra 2'!O19)</f>
        <v/>
      </c>
      <c r="F19" s="7">
        <f>IF('Extra 2'!$A19="","",'Extra 2'!L19)</f>
        <v/>
      </c>
      <c r="G19" s="7">
        <f>IF('Extra 2'!$A19="","",'Extra 2'!S19)</f>
        <v/>
      </c>
      <c r="H19">
        <f>IF('Extra 2'!$A19="","",'Extra 2'!P19)</f>
        <v/>
      </c>
      <c r="I19">
        <f>IF('Extra 2'!$A19="","",'Extra 2'!M19)</f>
        <v/>
      </c>
      <c r="J19" s="7">
        <f>IF('Extra 2'!$A19="","",'Extra 2'!Q19)</f>
        <v/>
      </c>
      <c r="K19" s="7">
        <f>IF('Extra 2'!$A19="","",'Extra 2'!H19)</f>
        <v/>
      </c>
      <c r="L19" s="7">
        <f>IF('Extra 2'!$A19="","",'Extra 2'!T19)</f>
        <v/>
      </c>
      <c r="M19">
        <f>IF('Extra 2'!$A19="","",'Extra 2'!G19)</f>
        <v/>
      </c>
    </row>
    <row r="20">
      <c r="A20">
        <f>IF('Extra 2'!$A20="","",ROWS($A$2:$A20))</f>
        <v/>
      </c>
      <c r="B20">
        <f>IF('Extra 2'!$A20="","",'Extra 2'!E20)</f>
        <v/>
      </c>
      <c r="C20">
        <f>IF('Extra 2'!$A20="","",'Extra 2'!F20)</f>
        <v/>
      </c>
      <c r="D20" s="14">
        <f>IF('Extra 2'!$A20="","",'Extra 2'!I20)</f>
        <v/>
      </c>
      <c r="E20" s="7">
        <f>IF('Extra 2'!$A20="","",'Extra 2'!O20)</f>
        <v/>
      </c>
      <c r="F20" s="7">
        <f>IF('Extra 2'!$A20="","",'Extra 2'!L20)</f>
        <v/>
      </c>
      <c r="G20" s="7">
        <f>IF('Extra 2'!$A20="","",'Extra 2'!S20)</f>
        <v/>
      </c>
      <c r="H20">
        <f>IF('Extra 2'!$A20="","",'Extra 2'!P20)</f>
        <v/>
      </c>
      <c r="I20">
        <f>IF('Extra 2'!$A20="","",'Extra 2'!M20)</f>
        <v/>
      </c>
      <c r="J20" s="7">
        <f>IF('Extra 2'!$A20="","",'Extra 2'!Q20)</f>
        <v/>
      </c>
      <c r="K20" s="7">
        <f>IF('Extra 2'!$A20="","",'Extra 2'!H20)</f>
        <v/>
      </c>
      <c r="L20" s="7">
        <f>IF('Extra 2'!$A20="","",'Extra 2'!T20)</f>
        <v/>
      </c>
      <c r="M20">
        <f>IF('Extra 2'!$A20="","",'Extra 2'!G20)</f>
        <v/>
      </c>
    </row>
    <row r="21">
      <c r="A21">
        <f>IF('Extra 2'!$A21="","",ROWS($A$2:$A21))</f>
        <v/>
      </c>
      <c r="B21">
        <f>IF('Extra 2'!$A21="","",'Extra 2'!E21)</f>
        <v/>
      </c>
      <c r="C21">
        <f>IF('Extra 2'!$A21="","",'Extra 2'!F21)</f>
        <v/>
      </c>
      <c r="D21" s="14">
        <f>IF('Extra 2'!$A21="","",'Extra 2'!I21)</f>
        <v/>
      </c>
      <c r="E21" s="7">
        <f>IF('Extra 2'!$A21="","",'Extra 2'!O21)</f>
        <v/>
      </c>
      <c r="F21" s="7">
        <f>IF('Extra 2'!$A21="","",'Extra 2'!L21)</f>
        <v/>
      </c>
      <c r="G21" s="7">
        <f>IF('Extra 2'!$A21="","",'Extra 2'!S21)</f>
        <v/>
      </c>
      <c r="H21">
        <f>IF('Extra 2'!$A21="","",'Extra 2'!P21)</f>
        <v/>
      </c>
      <c r="I21">
        <f>IF('Extra 2'!$A21="","",'Extra 2'!M21)</f>
        <v/>
      </c>
      <c r="J21" s="7">
        <f>IF('Extra 2'!$A21="","",'Extra 2'!Q21)</f>
        <v/>
      </c>
      <c r="K21" s="7">
        <f>IF('Extra 2'!$A21="","",'Extra 2'!H21)</f>
        <v/>
      </c>
      <c r="L21" s="7">
        <f>IF('Extra 2'!$A21="","",'Extra 2'!T21)</f>
        <v/>
      </c>
      <c r="M21">
        <f>IF('Extra 2'!$A21="","",'Extra 2'!G21)</f>
        <v/>
      </c>
    </row>
    <row r="22">
      <c r="A22">
        <f>IF('Extra 2'!$A22="","",ROWS($A$2:$A22))</f>
        <v/>
      </c>
      <c r="B22">
        <f>IF('Extra 2'!$A22="","",'Extra 2'!E22)</f>
        <v/>
      </c>
      <c r="C22">
        <f>IF('Extra 2'!$A22="","",'Extra 2'!F22)</f>
        <v/>
      </c>
      <c r="D22" s="14">
        <f>IF('Extra 2'!$A22="","",'Extra 2'!I22)</f>
        <v/>
      </c>
      <c r="E22" s="7">
        <f>IF('Extra 2'!$A22="","",'Extra 2'!O22)</f>
        <v/>
      </c>
      <c r="F22" s="7">
        <f>IF('Extra 2'!$A22="","",'Extra 2'!L22)</f>
        <v/>
      </c>
      <c r="G22" s="7">
        <f>IF('Extra 2'!$A22="","",'Extra 2'!S22)</f>
        <v/>
      </c>
      <c r="H22">
        <f>IF('Extra 2'!$A22="","",'Extra 2'!P22)</f>
        <v/>
      </c>
      <c r="I22">
        <f>IF('Extra 2'!$A22="","",'Extra 2'!M22)</f>
        <v/>
      </c>
      <c r="J22" s="7">
        <f>IF('Extra 2'!$A22="","",'Extra 2'!Q22)</f>
        <v/>
      </c>
      <c r="K22" s="7">
        <f>IF('Extra 2'!$A22="","",'Extra 2'!H22)</f>
        <v/>
      </c>
      <c r="L22" s="7">
        <f>IF('Extra 2'!$A22="","",'Extra 2'!T22)</f>
        <v/>
      </c>
      <c r="M22">
        <f>IF('Extra 2'!$A22="","",'Extra 2'!G22)</f>
        <v/>
      </c>
    </row>
    <row r="23">
      <c r="A23">
        <f>IF('Extra 2'!$A23="","",ROWS($A$2:$A23))</f>
        <v/>
      </c>
      <c r="B23">
        <f>IF('Extra 2'!$A23="","",'Extra 2'!E23)</f>
        <v/>
      </c>
      <c r="C23">
        <f>IF('Extra 2'!$A23="","",'Extra 2'!F23)</f>
        <v/>
      </c>
      <c r="D23" s="14">
        <f>IF('Extra 2'!$A23="","",'Extra 2'!I23)</f>
        <v/>
      </c>
      <c r="E23" s="7">
        <f>IF('Extra 2'!$A23="","",'Extra 2'!O23)</f>
        <v/>
      </c>
      <c r="F23" s="7">
        <f>IF('Extra 2'!$A23="","",'Extra 2'!L23)</f>
        <v/>
      </c>
      <c r="G23" s="7">
        <f>IF('Extra 2'!$A23="","",'Extra 2'!S23)</f>
        <v/>
      </c>
      <c r="H23">
        <f>IF('Extra 2'!$A23="","",'Extra 2'!P23)</f>
        <v/>
      </c>
      <c r="I23">
        <f>IF('Extra 2'!$A23="","",'Extra 2'!M23)</f>
        <v/>
      </c>
      <c r="J23" s="7">
        <f>IF('Extra 2'!$A23="","",'Extra 2'!Q23)</f>
        <v/>
      </c>
      <c r="K23" s="7">
        <f>IF('Extra 2'!$A23="","",'Extra 2'!H23)</f>
        <v/>
      </c>
      <c r="L23" s="7">
        <f>IF('Extra 2'!$A23="","",'Extra 2'!T23)</f>
        <v/>
      </c>
      <c r="M23">
        <f>IF('Extra 2'!$A23="","",'Extra 2'!G23)</f>
        <v/>
      </c>
    </row>
    <row r="24">
      <c r="A24">
        <f>IF('Extra 2'!$A24="","",ROWS($A$2:$A24))</f>
        <v/>
      </c>
      <c r="B24">
        <f>IF('Extra 2'!$A24="","",'Extra 2'!E24)</f>
        <v/>
      </c>
      <c r="C24">
        <f>IF('Extra 2'!$A24="","",'Extra 2'!F24)</f>
        <v/>
      </c>
      <c r="D24" s="14">
        <f>IF('Extra 2'!$A24="","",'Extra 2'!I24)</f>
        <v/>
      </c>
      <c r="E24" s="7">
        <f>IF('Extra 2'!$A24="","",'Extra 2'!O24)</f>
        <v/>
      </c>
      <c r="F24" s="7">
        <f>IF('Extra 2'!$A24="","",'Extra 2'!L24)</f>
        <v/>
      </c>
      <c r="G24" s="7">
        <f>IF('Extra 2'!$A24="","",'Extra 2'!S24)</f>
        <v/>
      </c>
      <c r="H24">
        <f>IF('Extra 2'!$A24="","",'Extra 2'!P24)</f>
        <v/>
      </c>
      <c r="I24">
        <f>IF('Extra 2'!$A24="","",'Extra 2'!M24)</f>
        <v/>
      </c>
      <c r="J24" s="7">
        <f>IF('Extra 2'!$A24="","",'Extra 2'!Q24)</f>
        <v/>
      </c>
      <c r="K24" s="7">
        <f>IF('Extra 2'!$A24="","",'Extra 2'!H24)</f>
        <v/>
      </c>
      <c r="L24" s="7">
        <f>IF('Extra 2'!$A24="","",'Extra 2'!T24)</f>
        <v/>
      </c>
      <c r="M24">
        <f>IF('Extra 2'!$A24="","",'Extra 2'!G24)</f>
        <v/>
      </c>
    </row>
    <row r="25">
      <c r="A25">
        <f>IF('Extra 2'!$A25="","",ROWS($A$2:$A25))</f>
        <v/>
      </c>
      <c r="B25">
        <f>IF('Extra 2'!$A25="","",'Extra 2'!E25)</f>
        <v/>
      </c>
      <c r="C25">
        <f>IF('Extra 2'!$A25="","",'Extra 2'!F25)</f>
        <v/>
      </c>
      <c r="D25" s="14">
        <f>IF('Extra 2'!$A25="","",'Extra 2'!I25)</f>
        <v/>
      </c>
      <c r="E25" s="7">
        <f>IF('Extra 2'!$A25="","",'Extra 2'!O25)</f>
        <v/>
      </c>
      <c r="F25" s="7">
        <f>IF('Extra 2'!$A25="","",'Extra 2'!L25)</f>
        <v/>
      </c>
      <c r="G25" s="7">
        <f>IF('Extra 2'!$A25="","",'Extra 2'!S25)</f>
        <v/>
      </c>
      <c r="H25">
        <f>IF('Extra 2'!$A25="","",'Extra 2'!P25)</f>
        <v/>
      </c>
      <c r="I25">
        <f>IF('Extra 2'!$A25="","",'Extra 2'!M25)</f>
        <v/>
      </c>
      <c r="J25" s="7">
        <f>IF('Extra 2'!$A25="","",'Extra 2'!Q25)</f>
        <v/>
      </c>
      <c r="K25" s="7">
        <f>IF('Extra 2'!$A25="","",'Extra 2'!H25)</f>
        <v/>
      </c>
      <c r="L25" s="7">
        <f>IF('Extra 2'!$A25="","",'Extra 2'!T25)</f>
        <v/>
      </c>
      <c r="M25">
        <f>IF('Extra 2'!$A25="","",'Extra 2'!G25)</f>
        <v/>
      </c>
    </row>
    <row r="26">
      <c r="A26">
        <f>IF('Extra 2'!$A26="","",ROWS($A$2:$A26))</f>
        <v/>
      </c>
      <c r="B26">
        <f>IF('Extra 2'!$A26="","",'Extra 2'!E26)</f>
        <v/>
      </c>
      <c r="C26">
        <f>IF('Extra 2'!$A26="","",'Extra 2'!F26)</f>
        <v/>
      </c>
      <c r="D26" s="14">
        <f>IF('Extra 2'!$A26="","",'Extra 2'!I26)</f>
        <v/>
      </c>
      <c r="E26" s="7">
        <f>IF('Extra 2'!$A26="","",'Extra 2'!O26)</f>
        <v/>
      </c>
      <c r="F26" s="7">
        <f>IF('Extra 2'!$A26="","",'Extra 2'!L26)</f>
        <v/>
      </c>
      <c r="G26" s="7">
        <f>IF('Extra 2'!$A26="","",'Extra 2'!S26)</f>
        <v/>
      </c>
      <c r="H26">
        <f>IF('Extra 2'!$A26="","",'Extra 2'!P26)</f>
        <v/>
      </c>
      <c r="I26">
        <f>IF('Extra 2'!$A26="","",'Extra 2'!M26)</f>
        <v/>
      </c>
      <c r="J26" s="7">
        <f>IF('Extra 2'!$A26="","",'Extra 2'!Q26)</f>
        <v/>
      </c>
      <c r="K26" s="7">
        <f>IF('Extra 2'!$A26="","",'Extra 2'!H26)</f>
        <v/>
      </c>
      <c r="L26" s="7">
        <f>IF('Extra 2'!$A26="","",'Extra 2'!T26)</f>
        <v/>
      </c>
      <c r="M26">
        <f>IF('Extra 2'!$A26="","",'Extra 2'!G26)</f>
        <v/>
      </c>
    </row>
    <row r="27">
      <c r="A27">
        <f>IF('Extra 2'!$A27="","",ROWS($A$2:$A27))</f>
        <v/>
      </c>
      <c r="B27">
        <f>IF('Extra 2'!$A27="","",'Extra 2'!E27)</f>
        <v/>
      </c>
      <c r="C27">
        <f>IF('Extra 2'!$A27="","",'Extra 2'!F27)</f>
        <v/>
      </c>
      <c r="D27" s="14">
        <f>IF('Extra 2'!$A27="","",'Extra 2'!I27)</f>
        <v/>
      </c>
      <c r="E27" s="7">
        <f>IF('Extra 2'!$A27="","",'Extra 2'!O27)</f>
        <v/>
      </c>
      <c r="F27" s="7">
        <f>IF('Extra 2'!$A27="","",'Extra 2'!L27)</f>
        <v/>
      </c>
      <c r="G27" s="7">
        <f>IF('Extra 2'!$A27="","",'Extra 2'!S27)</f>
        <v/>
      </c>
      <c r="H27">
        <f>IF('Extra 2'!$A27="","",'Extra 2'!P27)</f>
        <v/>
      </c>
      <c r="I27">
        <f>IF('Extra 2'!$A27="","",'Extra 2'!M27)</f>
        <v/>
      </c>
      <c r="J27" s="7">
        <f>IF('Extra 2'!$A27="","",'Extra 2'!Q27)</f>
        <v/>
      </c>
      <c r="K27" s="7">
        <f>IF('Extra 2'!$A27="","",'Extra 2'!H27)</f>
        <v/>
      </c>
      <c r="L27" s="7">
        <f>IF('Extra 2'!$A27="","",'Extra 2'!T27)</f>
        <v/>
      </c>
      <c r="M27">
        <f>IF('Extra 2'!$A27="","",'Extra 2'!G27)</f>
        <v/>
      </c>
    </row>
    <row r="28">
      <c r="A28">
        <f>IF('Extra 2'!$A28="","",ROWS($A$2:$A28))</f>
        <v/>
      </c>
      <c r="B28">
        <f>IF('Extra 2'!$A28="","",'Extra 2'!E28)</f>
        <v/>
      </c>
      <c r="C28">
        <f>IF('Extra 2'!$A28="","",'Extra 2'!F28)</f>
        <v/>
      </c>
      <c r="D28" s="14">
        <f>IF('Extra 2'!$A28="","",'Extra 2'!I28)</f>
        <v/>
      </c>
      <c r="E28" s="7">
        <f>IF('Extra 2'!$A28="","",'Extra 2'!O28)</f>
        <v/>
      </c>
      <c r="F28" s="7">
        <f>IF('Extra 2'!$A28="","",'Extra 2'!L28)</f>
        <v/>
      </c>
      <c r="G28" s="7">
        <f>IF('Extra 2'!$A28="","",'Extra 2'!S28)</f>
        <v/>
      </c>
      <c r="H28">
        <f>IF('Extra 2'!$A28="","",'Extra 2'!P28)</f>
        <v/>
      </c>
      <c r="I28">
        <f>IF('Extra 2'!$A28="","",'Extra 2'!M28)</f>
        <v/>
      </c>
      <c r="J28" s="7">
        <f>IF('Extra 2'!$A28="","",'Extra 2'!Q28)</f>
        <v/>
      </c>
      <c r="K28" s="7">
        <f>IF('Extra 2'!$A28="","",'Extra 2'!H28)</f>
        <v/>
      </c>
      <c r="L28" s="7">
        <f>IF('Extra 2'!$A28="","",'Extra 2'!T28)</f>
        <v/>
      </c>
      <c r="M28">
        <f>IF('Extra 2'!$A28="","",'Extra 2'!G28)</f>
        <v/>
      </c>
    </row>
    <row r="29">
      <c r="A29">
        <f>IF('Extra 2'!$A29="","",ROWS($A$2:$A29))</f>
        <v/>
      </c>
      <c r="B29">
        <f>IF('Extra 2'!$A29="","",'Extra 2'!E29)</f>
        <v/>
      </c>
      <c r="C29">
        <f>IF('Extra 2'!$A29="","",'Extra 2'!F29)</f>
        <v/>
      </c>
      <c r="D29" s="14">
        <f>IF('Extra 2'!$A29="","",'Extra 2'!I29)</f>
        <v/>
      </c>
      <c r="E29" s="7">
        <f>IF('Extra 2'!$A29="","",'Extra 2'!O29)</f>
        <v/>
      </c>
      <c r="F29" s="7">
        <f>IF('Extra 2'!$A29="","",'Extra 2'!L29)</f>
        <v/>
      </c>
      <c r="G29" s="7">
        <f>IF('Extra 2'!$A29="","",'Extra 2'!S29)</f>
        <v/>
      </c>
      <c r="H29">
        <f>IF('Extra 2'!$A29="","",'Extra 2'!P29)</f>
        <v/>
      </c>
      <c r="I29">
        <f>IF('Extra 2'!$A29="","",'Extra 2'!M29)</f>
        <v/>
      </c>
      <c r="J29" s="7">
        <f>IF('Extra 2'!$A29="","",'Extra 2'!Q29)</f>
        <v/>
      </c>
      <c r="K29" s="7">
        <f>IF('Extra 2'!$A29="","",'Extra 2'!H29)</f>
        <v/>
      </c>
      <c r="L29" s="7">
        <f>IF('Extra 2'!$A29="","",'Extra 2'!T29)</f>
        <v/>
      </c>
      <c r="M29">
        <f>IF('Extra 2'!$A29="","",'Extra 2'!G29)</f>
        <v/>
      </c>
    </row>
    <row r="30">
      <c r="A30">
        <f>IF('Extra 2'!$A30="","",ROWS($A$2:$A30))</f>
        <v/>
      </c>
      <c r="B30">
        <f>IF('Extra 2'!$A30="","",'Extra 2'!E30)</f>
        <v/>
      </c>
      <c r="C30">
        <f>IF('Extra 2'!$A30="","",'Extra 2'!F30)</f>
        <v/>
      </c>
      <c r="D30" s="14">
        <f>IF('Extra 2'!$A30="","",'Extra 2'!I30)</f>
        <v/>
      </c>
      <c r="E30" s="7">
        <f>IF('Extra 2'!$A30="","",'Extra 2'!O30)</f>
        <v/>
      </c>
      <c r="F30" s="7">
        <f>IF('Extra 2'!$A30="","",'Extra 2'!L30)</f>
        <v/>
      </c>
      <c r="G30" s="7">
        <f>IF('Extra 2'!$A30="","",'Extra 2'!S30)</f>
        <v/>
      </c>
      <c r="H30">
        <f>IF('Extra 2'!$A30="","",'Extra 2'!P30)</f>
        <v/>
      </c>
      <c r="I30">
        <f>IF('Extra 2'!$A30="","",'Extra 2'!M30)</f>
        <v/>
      </c>
      <c r="J30" s="7">
        <f>IF('Extra 2'!$A30="","",'Extra 2'!Q30)</f>
        <v/>
      </c>
      <c r="K30" s="7">
        <f>IF('Extra 2'!$A30="","",'Extra 2'!H30)</f>
        <v/>
      </c>
      <c r="L30" s="7">
        <f>IF('Extra 2'!$A30="","",'Extra 2'!T30)</f>
        <v/>
      </c>
      <c r="M30">
        <f>IF('Extra 2'!$A30="","",'Extra 2'!G30)</f>
        <v/>
      </c>
    </row>
    <row r="31">
      <c r="A31">
        <f>IF('Extra 2'!$A31="","",ROWS($A$2:$A31))</f>
        <v/>
      </c>
      <c r="B31">
        <f>IF('Extra 2'!$A31="","",'Extra 2'!E31)</f>
        <v/>
      </c>
      <c r="C31">
        <f>IF('Extra 2'!$A31="","",'Extra 2'!F31)</f>
        <v/>
      </c>
      <c r="D31" s="14">
        <f>IF('Extra 2'!$A31="","",'Extra 2'!I31)</f>
        <v/>
      </c>
      <c r="E31" s="7">
        <f>IF('Extra 2'!$A31="","",'Extra 2'!O31)</f>
        <v/>
      </c>
      <c r="F31" s="7">
        <f>IF('Extra 2'!$A31="","",'Extra 2'!L31)</f>
        <v/>
      </c>
      <c r="G31" s="7">
        <f>IF('Extra 2'!$A31="","",'Extra 2'!S31)</f>
        <v/>
      </c>
      <c r="H31">
        <f>IF('Extra 2'!$A31="","",'Extra 2'!P31)</f>
        <v/>
      </c>
      <c r="I31">
        <f>IF('Extra 2'!$A31="","",'Extra 2'!M31)</f>
        <v/>
      </c>
      <c r="J31" s="7">
        <f>IF('Extra 2'!$A31="","",'Extra 2'!Q31)</f>
        <v/>
      </c>
      <c r="K31" s="7">
        <f>IF('Extra 2'!$A31="","",'Extra 2'!H31)</f>
        <v/>
      </c>
      <c r="L31" s="7">
        <f>IF('Extra 2'!$A31="","",'Extra 2'!T31)</f>
        <v/>
      </c>
      <c r="M31">
        <f>IF('Extra 2'!$A31="","",'Extra 2'!G31)</f>
        <v/>
      </c>
    </row>
    <row r="32">
      <c r="A32">
        <f>IF('Extra 2'!$A32="","",ROWS($A$2:$A32))</f>
        <v/>
      </c>
      <c r="B32">
        <f>IF('Extra 2'!$A32="","",'Extra 2'!E32)</f>
        <v/>
      </c>
      <c r="C32">
        <f>IF('Extra 2'!$A32="","",'Extra 2'!F32)</f>
        <v/>
      </c>
      <c r="D32" s="14">
        <f>IF('Extra 2'!$A32="","",'Extra 2'!I32)</f>
        <v/>
      </c>
      <c r="E32" s="7">
        <f>IF('Extra 2'!$A32="","",'Extra 2'!O32)</f>
        <v/>
      </c>
      <c r="F32" s="7">
        <f>IF('Extra 2'!$A32="","",'Extra 2'!L32)</f>
        <v/>
      </c>
      <c r="G32" s="7">
        <f>IF('Extra 2'!$A32="","",'Extra 2'!S32)</f>
        <v/>
      </c>
      <c r="H32">
        <f>IF('Extra 2'!$A32="","",'Extra 2'!P32)</f>
        <v/>
      </c>
      <c r="I32">
        <f>IF('Extra 2'!$A32="","",'Extra 2'!M32)</f>
        <v/>
      </c>
      <c r="J32" s="7">
        <f>IF('Extra 2'!$A32="","",'Extra 2'!Q32)</f>
        <v/>
      </c>
      <c r="K32" s="7">
        <f>IF('Extra 2'!$A32="","",'Extra 2'!H32)</f>
        <v/>
      </c>
      <c r="L32" s="7">
        <f>IF('Extra 2'!$A32="","",'Extra 2'!T32)</f>
        <v/>
      </c>
      <c r="M32">
        <f>IF('Extra 2'!$A32="","",'Extra 2'!G32)</f>
        <v/>
      </c>
    </row>
    <row r="33">
      <c r="A33">
        <f>IF('Extra 2'!$A33="","",ROWS($A$2:$A33))</f>
        <v/>
      </c>
      <c r="B33">
        <f>IF('Extra 2'!$A33="","",'Extra 2'!E33)</f>
        <v/>
      </c>
      <c r="C33">
        <f>IF('Extra 2'!$A33="","",'Extra 2'!F33)</f>
        <v/>
      </c>
      <c r="D33" s="14">
        <f>IF('Extra 2'!$A33="","",'Extra 2'!I33)</f>
        <v/>
      </c>
      <c r="E33" s="7">
        <f>IF('Extra 2'!$A33="","",'Extra 2'!O33)</f>
        <v/>
      </c>
      <c r="F33" s="7">
        <f>IF('Extra 2'!$A33="","",'Extra 2'!L33)</f>
        <v/>
      </c>
      <c r="G33" s="7">
        <f>IF('Extra 2'!$A33="","",'Extra 2'!S33)</f>
        <v/>
      </c>
      <c r="H33">
        <f>IF('Extra 2'!$A33="","",'Extra 2'!P33)</f>
        <v/>
      </c>
      <c r="I33">
        <f>IF('Extra 2'!$A33="","",'Extra 2'!M33)</f>
        <v/>
      </c>
      <c r="J33" s="7">
        <f>IF('Extra 2'!$A33="","",'Extra 2'!Q33)</f>
        <v/>
      </c>
      <c r="K33" s="7">
        <f>IF('Extra 2'!$A33="","",'Extra 2'!H33)</f>
        <v/>
      </c>
      <c r="L33" s="7">
        <f>IF('Extra 2'!$A33="","",'Extra 2'!T33)</f>
        <v/>
      </c>
      <c r="M33">
        <f>IF('Extra 2'!$A33="","",'Extra 2'!G33)</f>
        <v/>
      </c>
    </row>
    <row r="34">
      <c r="A34">
        <f>IF('Extra 2'!$A34="","",ROWS($A$2:$A34))</f>
        <v/>
      </c>
      <c r="B34">
        <f>IF('Extra 2'!$A34="","",'Extra 2'!E34)</f>
        <v/>
      </c>
      <c r="C34">
        <f>IF('Extra 2'!$A34="","",'Extra 2'!F34)</f>
        <v/>
      </c>
      <c r="D34" s="14">
        <f>IF('Extra 2'!$A34="","",'Extra 2'!I34)</f>
        <v/>
      </c>
      <c r="E34" s="7">
        <f>IF('Extra 2'!$A34="","",'Extra 2'!O34)</f>
        <v/>
      </c>
      <c r="F34" s="7">
        <f>IF('Extra 2'!$A34="","",'Extra 2'!L34)</f>
        <v/>
      </c>
      <c r="G34" s="7">
        <f>IF('Extra 2'!$A34="","",'Extra 2'!S34)</f>
        <v/>
      </c>
      <c r="H34">
        <f>IF('Extra 2'!$A34="","",'Extra 2'!P34)</f>
        <v/>
      </c>
      <c r="I34">
        <f>IF('Extra 2'!$A34="","",'Extra 2'!M34)</f>
        <v/>
      </c>
      <c r="J34" s="7">
        <f>IF('Extra 2'!$A34="","",'Extra 2'!Q34)</f>
        <v/>
      </c>
      <c r="K34" s="7">
        <f>IF('Extra 2'!$A34="","",'Extra 2'!H34)</f>
        <v/>
      </c>
      <c r="L34" s="7">
        <f>IF('Extra 2'!$A34="","",'Extra 2'!T34)</f>
        <v/>
      </c>
      <c r="M34">
        <f>IF('Extra 2'!$A34="","",'Extra 2'!G34)</f>
        <v/>
      </c>
    </row>
    <row r="35">
      <c r="A35">
        <f>IF('Extra 2'!$A35="","",ROWS($A$2:$A35))</f>
        <v/>
      </c>
      <c r="B35">
        <f>IF('Extra 2'!$A35="","",'Extra 2'!E35)</f>
        <v/>
      </c>
      <c r="C35">
        <f>IF('Extra 2'!$A35="","",'Extra 2'!F35)</f>
        <v/>
      </c>
      <c r="D35" s="14">
        <f>IF('Extra 2'!$A35="","",'Extra 2'!I35)</f>
        <v/>
      </c>
      <c r="E35" s="7">
        <f>IF('Extra 2'!$A35="","",'Extra 2'!O35)</f>
        <v/>
      </c>
      <c r="F35" s="7">
        <f>IF('Extra 2'!$A35="","",'Extra 2'!L35)</f>
        <v/>
      </c>
      <c r="G35" s="7">
        <f>IF('Extra 2'!$A35="","",'Extra 2'!S35)</f>
        <v/>
      </c>
      <c r="H35">
        <f>IF('Extra 2'!$A35="","",'Extra 2'!P35)</f>
        <v/>
      </c>
      <c r="I35">
        <f>IF('Extra 2'!$A35="","",'Extra 2'!M35)</f>
        <v/>
      </c>
      <c r="J35" s="7">
        <f>IF('Extra 2'!$A35="","",'Extra 2'!Q35)</f>
        <v/>
      </c>
      <c r="K35" s="7">
        <f>IF('Extra 2'!$A35="","",'Extra 2'!H35)</f>
        <v/>
      </c>
      <c r="L35" s="7">
        <f>IF('Extra 2'!$A35="","",'Extra 2'!T35)</f>
        <v/>
      </c>
      <c r="M35">
        <f>IF('Extra 2'!$A35="","",'Extra 2'!G35)</f>
        <v/>
      </c>
    </row>
    <row r="36">
      <c r="A36">
        <f>IF('Extra 2'!$A36="","",ROWS($A$2:$A36))</f>
        <v/>
      </c>
      <c r="B36">
        <f>IF('Extra 2'!$A36="","",'Extra 2'!E36)</f>
        <v/>
      </c>
      <c r="C36">
        <f>IF('Extra 2'!$A36="","",'Extra 2'!F36)</f>
        <v/>
      </c>
      <c r="D36" s="14">
        <f>IF('Extra 2'!$A36="","",'Extra 2'!I36)</f>
        <v/>
      </c>
      <c r="E36" s="7">
        <f>IF('Extra 2'!$A36="","",'Extra 2'!O36)</f>
        <v/>
      </c>
      <c r="F36" s="7">
        <f>IF('Extra 2'!$A36="","",'Extra 2'!L36)</f>
        <v/>
      </c>
      <c r="G36" s="7">
        <f>IF('Extra 2'!$A36="","",'Extra 2'!S36)</f>
        <v/>
      </c>
      <c r="H36">
        <f>IF('Extra 2'!$A36="","",'Extra 2'!P36)</f>
        <v/>
      </c>
      <c r="I36">
        <f>IF('Extra 2'!$A36="","",'Extra 2'!M36)</f>
        <v/>
      </c>
      <c r="J36" s="7">
        <f>IF('Extra 2'!$A36="","",'Extra 2'!Q36)</f>
        <v/>
      </c>
      <c r="K36" s="7">
        <f>IF('Extra 2'!$A36="","",'Extra 2'!H36)</f>
        <v/>
      </c>
      <c r="L36" s="7">
        <f>IF('Extra 2'!$A36="","",'Extra 2'!T36)</f>
        <v/>
      </c>
      <c r="M36">
        <f>IF('Extra 2'!$A36="","",'Extra 2'!G36)</f>
        <v/>
      </c>
    </row>
    <row r="37">
      <c r="A37">
        <f>IF('Extra 2'!$A37="","",ROWS($A$2:$A37))</f>
        <v/>
      </c>
      <c r="B37">
        <f>IF('Extra 2'!$A37="","",'Extra 2'!E37)</f>
        <v/>
      </c>
      <c r="C37">
        <f>IF('Extra 2'!$A37="","",'Extra 2'!F37)</f>
        <v/>
      </c>
      <c r="D37" s="14">
        <f>IF('Extra 2'!$A37="","",'Extra 2'!I37)</f>
        <v/>
      </c>
      <c r="E37" s="7">
        <f>IF('Extra 2'!$A37="","",'Extra 2'!O37)</f>
        <v/>
      </c>
      <c r="F37" s="7">
        <f>IF('Extra 2'!$A37="","",'Extra 2'!L37)</f>
        <v/>
      </c>
      <c r="G37" s="7">
        <f>IF('Extra 2'!$A37="","",'Extra 2'!S37)</f>
        <v/>
      </c>
      <c r="H37">
        <f>IF('Extra 2'!$A37="","",'Extra 2'!P37)</f>
        <v/>
      </c>
      <c r="I37">
        <f>IF('Extra 2'!$A37="","",'Extra 2'!M37)</f>
        <v/>
      </c>
      <c r="J37" s="7">
        <f>IF('Extra 2'!$A37="","",'Extra 2'!Q37)</f>
        <v/>
      </c>
      <c r="K37" s="7">
        <f>IF('Extra 2'!$A37="","",'Extra 2'!H37)</f>
        <v/>
      </c>
      <c r="L37" s="7">
        <f>IF('Extra 2'!$A37="","",'Extra 2'!T37)</f>
        <v/>
      </c>
      <c r="M37">
        <f>IF('Extra 2'!$A37="","",'Extra 2'!G37)</f>
        <v/>
      </c>
    </row>
    <row r="38">
      <c r="A38">
        <f>IF('Extra 2'!$A38="","",ROWS($A$2:$A38))</f>
        <v/>
      </c>
      <c r="B38">
        <f>IF('Extra 2'!$A38="","",'Extra 2'!E38)</f>
        <v/>
      </c>
      <c r="C38">
        <f>IF('Extra 2'!$A38="","",'Extra 2'!F38)</f>
        <v/>
      </c>
      <c r="D38" s="14">
        <f>IF('Extra 2'!$A38="","",'Extra 2'!I38)</f>
        <v/>
      </c>
      <c r="E38" s="7">
        <f>IF('Extra 2'!$A38="","",'Extra 2'!O38)</f>
        <v/>
      </c>
      <c r="F38" s="7">
        <f>IF('Extra 2'!$A38="","",'Extra 2'!L38)</f>
        <v/>
      </c>
      <c r="G38" s="7">
        <f>IF('Extra 2'!$A38="","",'Extra 2'!S38)</f>
        <v/>
      </c>
      <c r="H38">
        <f>IF('Extra 2'!$A38="","",'Extra 2'!P38)</f>
        <v/>
      </c>
      <c r="I38">
        <f>IF('Extra 2'!$A38="","",'Extra 2'!M38)</f>
        <v/>
      </c>
      <c r="J38" s="7">
        <f>IF('Extra 2'!$A38="","",'Extra 2'!Q38)</f>
        <v/>
      </c>
      <c r="K38" s="7">
        <f>IF('Extra 2'!$A38="","",'Extra 2'!H38)</f>
        <v/>
      </c>
      <c r="L38" s="7">
        <f>IF('Extra 2'!$A38="","",'Extra 2'!T38)</f>
        <v/>
      </c>
      <c r="M38">
        <f>IF('Extra 2'!$A38="","",'Extra 2'!G38)</f>
        <v/>
      </c>
    </row>
    <row r="39">
      <c r="A39">
        <f>IF('Extra 2'!$A39="","",ROWS($A$2:$A39))</f>
        <v/>
      </c>
      <c r="B39">
        <f>IF('Extra 2'!$A39="","",'Extra 2'!E39)</f>
        <v/>
      </c>
      <c r="C39">
        <f>IF('Extra 2'!$A39="","",'Extra 2'!F39)</f>
        <v/>
      </c>
      <c r="D39" s="14">
        <f>IF('Extra 2'!$A39="","",'Extra 2'!I39)</f>
        <v/>
      </c>
      <c r="E39" s="7">
        <f>IF('Extra 2'!$A39="","",'Extra 2'!O39)</f>
        <v/>
      </c>
      <c r="F39" s="7">
        <f>IF('Extra 2'!$A39="","",'Extra 2'!L39)</f>
        <v/>
      </c>
      <c r="G39" s="7">
        <f>IF('Extra 2'!$A39="","",'Extra 2'!S39)</f>
        <v/>
      </c>
      <c r="H39">
        <f>IF('Extra 2'!$A39="","",'Extra 2'!P39)</f>
        <v/>
      </c>
      <c r="I39">
        <f>IF('Extra 2'!$A39="","",'Extra 2'!M39)</f>
        <v/>
      </c>
      <c r="J39" s="7">
        <f>IF('Extra 2'!$A39="","",'Extra 2'!Q39)</f>
        <v/>
      </c>
      <c r="K39" s="7">
        <f>IF('Extra 2'!$A39="","",'Extra 2'!H39)</f>
        <v/>
      </c>
      <c r="L39" s="7">
        <f>IF('Extra 2'!$A39="","",'Extra 2'!T39)</f>
        <v/>
      </c>
      <c r="M39">
        <f>IF('Extra 2'!$A39="","",'Extra 2'!G39)</f>
        <v/>
      </c>
    </row>
    <row r="40">
      <c r="A40">
        <f>IF('Extra 2'!$A40="","",ROWS($A$2:$A40))</f>
        <v/>
      </c>
      <c r="B40">
        <f>IF('Extra 2'!$A40="","",'Extra 2'!E40)</f>
        <v/>
      </c>
      <c r="C40">
        <f>IF('Extra 2'!$A40="","",'Extra 2'!F40)</f>
        <v/>
      </c>
      <c r="D40" s="14">
        <f>IF('Extra 2'!$A40="","",'Extra 2'!I40)</f>
        <v/>
      </c>
      <c r="E40" s="7">
        <f>IF('Extra 2'!$A40="","",'Extra 2'!O40)</f>
        <v/>
      </c>
      <c r="F40" s="7">
        <f>IF('Extra 2'!$A40="","",'Extra 2'!L40)</f>
        <v/>
      </c>
      <c r="G40" s="7">
        <f>IF('Extra 2'!$A40="","",'Extra 2'!S40)</f>
        <v/>
      </c>
      <c r="H40">
        <f>IF('Extra 2'!$A40="","",'Extra 2'!P40)</f>
        <v/>
      </c>
      <c r="I40">
        <f>IF('Extra 2'!$A40="","",'Extra 2'!M40)</f>
        <v/>
      </c>
      <c r="J40" s="7">
        <f>IF('Extra 2'!$A40="","",'Extra 2'!Q40)</f>
        <v/>
      </c>
      <c r="K40" s="7">
        <f>IF('Extra 2'!$A40="","",'Extra 2'!H40)</f>
        <v/>
      </c>
      <c r="L40" s="7">
        <f>IF('Extra 2'!$A40="","",'Extra 2'!T40)</f>
        <v/>
      </c>
      <c r="M40">
        <f>IF('Extra 2'!$A40="","",'Extra 2'!G40)</f>
        <v/>
      </c>
    </row>
    <row r="41">
      <c r="A41">
        <f>IF('Extra 2'!$A41="","",ROWS($A$2:$A41))</f>
        <v/>
      </c>
      <c r="B41">
        <f>IF('Extra 2'!$A41="","",'Extra 2'!E41)</f>
        <v/>
      </c>
      <c r="C41">
        <f>IF('Extra 2'!$A41="","",'Extra 2'!F41)</f>
        <v/>
      </c>
      <c r="D41" s="14">
        <f>IF('Extra 2'!$A41="","",'Extra 2'!I41)</f>
        <v/>
      </c>
      <c r="E41" s="7">
        <f>IF('Extra 2'!$A41="","",'Extra 2'!O41)</f>
        <v/>
      </c>
      <c r="F41" s="7">
        <f>IF('Extra 2'!$A41="","",'Extra 2'!L41)</f>
        <v/>
      </c>
      <c r="G41" s="7">
        <f>IF('Extra 2'!$A41="","",'Extra 2'!S41)</f>
        <v/>
      </c>
      <c r="H41">
        <f>IF('Extra 2'!$A41="","",'Extra 2'!P41)</f>
        <v/>
      </c>
      <c r="I41">
        <f>IF('Extra 2'!$A41="","",'Extra 2'!M41)</f>
        <v/>
      </c>
      <c r="J41" s="7">
        <f>IF('Extra 2'!$A41="","",'Extra 2'!Q41)</f>
        <v/>
      </c>
      <c r="K41" s="7">
        <f>IF('Extra 2'!$A41="","",'Extra 2'!H41)</f>
        <v/>
      </c>
      <c r="L41" s="7">
        <f>IF('Extra 2'!$A41="","",'Extra 2'!T41)</f>
        <v/>
      </c>
      <c r="M41">
        <f>IF('Extra 2'!$A41="","",'Extra 2'!G41)</f>
        <v/>
      </c>
    </row>
    <row r="42">
      <c r="A42">
        <f>IF('Extra 2'!$A42="","",ROWS($A$2:$A42))</f>
        <v/>
      </c>
      <c r="B42">
        <f>IF('Extra 2'!$A42="","",'Extra 2'!E42)</f>
        <v/>
      </c>
      <c r="C42">
        <f>IF('Extra 2'!$A42="","",'Extra 2'!F42)</f>
        <v/>
      </c>
      <c r="D42" s="14">
        <f>IF('Extra 2'!$A42="","",'Extra 2'!I42)</f>
        <v/>
      </c>
      <c r="E42" s="7">
        <f>IF('Extra 2'!$A42="","",'Extra 2'!O42)</f>
        <v/>
      </c>
      <c r="F42" s="7">
        <f>IF('Extra 2'!$A42="","",'Extra 2'!L42)</f>
        <v/>
      </c>
      <c r="G42" s="7">
        <f>IF('Extra 2'!$A42="","",'Extra 2'!S42)</f>
        <v/>
      </c>
      <c r="H42">
        <f>IF('Extra 2'!$A42="","",'Extra 2'!P42)</f>
        <v/>
      </c>
      <c r="I42">
        <f>IF('Extra 2'!$A42="","",'Extra 2'!M42)</f>
        <v/>
      </c>
      <c r="J42" s="7">
        <f>IF('Extra 2'!$A42="","",'Extra 2'!Q42)</f>
        <v/>
      </c>
      <c r="K42" s="7">
        <f>IF('Extra 2'!$A42="","",'Extra 2'!H42)</f>
        <v/>
      </c>
      <c r="L42" s="7">
        <f>IF('Extra 2'!$A42="","",'Extra 2'!T42)</f>
        <v/>
      </c>
      <c r="M42">
        <f>IF('Extra 2'!$A42="","",'Extra 2'!G42)</f>
        <v/>
      </c>
    </row>
    <row r="43">
      <c r="A43">
        <f>IF('Extra 2'!$A43="","",ROWS($A$2:$A43))</f>
        <v/>
      </c>
      <c r="B43">
        <f>IF('Extra 2'!$A43="","",'Extra 2'!E43)</f>
        <v/>
      </c>
      <c r="C43">
        <f>IF('Extra 2'!$A43="","",'Extra 2'!F43)</f>
        <v/>
      </c>
      <c r="D43" s="14">
        <f>IF('Extra 2'!$A43="","",'Extra 2'!I43)</f>
        <v/>
      </c>
      <c r="E43" s="7">
        <f>IF('Extra 2'!$A43="","",'Extra 2'!O43)</f>
        <v/>
      </c>
      <c r="F43" s="7">
        <f>IF('Extra 2'!$A43="","",'Extra 2'!L43)</f>
        <v/>
      </c>
      <c r="G43" s="7">
        <f>IF('Extra 2'!$A43="","",'Extra 2'!S43)</f>
        <v/>
      </c>
      <c r="H43">
        <f>IF('Extra 2'!$A43="","",'Extra 2'!P43)</f>
        <v/>
      </c>
      <c r="I43">
        <f>IF('Extra 2'!$A43="","",'Extra 2'!M43)</f>
        <v/>
      </c>
      <c r="J43" s="7">
        <f>IF('Extra 2'!$A43="","",'Extra 2'!Q43)</f>
        <v/>
      </c>
      <c r="K43" s="7">
        <f>IF('Extra 2'!$A43="","",'Extra 2'!H43)</f>
        <v/>
      </c>
      <c r="L43" s="7">
        <f>IF('Extra 2'!$A43="","",'Extra 2'!T43)</f>
        <v/>
      </c>
      <c r="M43">
        <f>IF('Extra 2'!$A43="","",'Extra 2'!G43)</f>
        <v/>
      </c>
    </row>
    <row r="44">
      <c r="A44">
        <f>IF('Extra 2'!$A44="","",ROWS($A$2:$A44))</f>
        <v/>
      </c>
      <c r="B44">
        <f>IF('Extra 2'!$A44="","",'Extra 2'!E44)</f>
        <v/>
      </c>
      <c r="C44">
        <f>IF('Extra 2'!$A44="","",'Extra 2'!F44)</f>
        <v/>
      </c>
      <c r="D44" s="14">
        <f>IF('Extra 2'!$A44="","",'Extra 2'!I44)</f>
        <v/>
      </c>
      <c r="E44" s="7">
        <f>IF('Extra 2'!$A44="","",'Extra 2'!O44)</f>
        <v/>
      </c>
      <c r="F44" s="7">
        <f>IF('Extra 2'!$A44="","",'Extra 2'!L44)</f>
        <v/>
      </c>
      <c r="G44" s="7">
        <f>IF('Extra 2'!$A44="","",'Extra 2'!S44)</f>
        <v/>
      </c>
      <c r="H44">
        <f>IF('Extra 2'!$A44="","",'Extra 2'!P44)</f>
        <v/>
      </c>
      <c r="I44">
        <f>IF('Extra 2'!$A44="","",'Extra 2'!M44)</f>
        <v/>
      </c>
      <c r="J44" s="7">
        <f>IF('Extra 2'!$A44="","",'Extra 2'!Q44)</f>
        <v/>
      </c>
      <c r="K44" s="7">
        <f>IF('Extra 2'!$A44="","",'Extra 2'!H44)</f>
        <v/>
      </c>
      <c r="L44" s="7">
        <f>IF('Extra 2'!$A44="","",'Extra 2'!T44)</f>
        <v/>
      </c>
      <c r="M44">
        <f>IF('Extra 2'!$A44="","",'Extra 2'!G44)</f>
        <v/>
      </c>
    </row>
    <row r="45">
      <c r="A45">
        <f>IF('Extra 2'!$A45="","",ROWS($A$2:$A45))</f>
        <v/>
      </c>
      <c r="B45">
        <f>IF('Extra 2'!$A45="","",'Extra 2'!E45)</f>
        <v/>
      </c>
      <c r="C45">
        <f>IF('Extra 2'!$A45="","",'Extra 2'!F45)</f>
        <v/>
      </c>
      <c r="D45" s="14">
        <f>IF('Extra 2'!$A45="","",'Extra 2'!I45)</f>
        <v/>
      </c>
      <c r="E45" s="7">
        <f>IF('Extra 2'!$A45="","",'Extra 2'!O45)</f>
        <v/>
      </c>
      <c r="F45" s="7">
        <f>IF('Extra 2'!$A45="","",'Extra 2'!L45)</f>
        <v/>
      </c>
      <c r="G45" s="7">
        <f>IF('Extra 2'!$A45="","",'Extra 2'!S45)</f>
        <v/>
      </c>
      <c r="H45">
        <f>IF('Extra 2'!$A45="","",'Extra 2'!P45)</f>
        <v/>
      </c>
      <c r="I45">
        <f>IF('Extra 2'!$A45="","",'Extra 2'!M45)</f>
        <v/>
      </c>
      <c r="J45" s="7">
        <f>IF('Extra 2'!$A45="","",'Extra 2'!Q45)</f>
        <v/>
      </c>
      <c r="K45" s="7">
        <f>IF('Extra 2'!$A45="","",'Extra 2'!H45)</f>
        <v/>
      </c>
      <c r="L45" s="7">
        <f>IF('Extra 2'!$A45="","",'Extra 2'!T45)</f>
        <v/>
      </c>
      <c r="M45">
        <f>IF('Extra 2'!$A45="","",'Extra 2'!G45)</f>
        <v/>
      </c>
    </row>
    <row r="46">
      <c r="A46">
        <f>IF('Extra 2'!$A46="","",ROWS($A$2:$A46))</f>
        <v/>
      </c>
      <c r="B46">
        <f>IF('Extra 2'!$A46="","",'Extra 2'!E46)</f>
        <v/>
      </c>
      <c r="C46">
        <f>IF('Extra 2'!$A46="","",'Extra 2'!F46)</f>
        <v/>
      </c>
      <c r="D46" s="14">
        <f>IF('Extra 2'!$A46="","",'Extra 2'!I46)</f>
        <v/>
      </c>
      <c r="E46" s="7">
        <f>IF('Extra 2'!$A46="","",'Extra 2'!O46)</f>
        <v/>
      </c>
      <c r="F46" s="7">
        <f>IF('Extra 2'!$A46="","",'Extra 2'!L46)</f>
        <v/>
      </c>
      <c r="G46" s="7">
        <f>IF('Extra 2'!$A46="","",'Extra 2'!S46)</f>
        <v/>
      </c>
      <c r="H46">
        <f>IF('Extra 2'!$A46="","",'Extra 2'!P46)</f>
        <v/>
      </c>
      <c r="I46">
        <f>IF('Extra 2'!$A46="","",'Extra 2'!M46)</f>
        <v/>
      </c>
      <c r="J46" s="7">
        <f>IF('Extra 2'!$A46="","",'Extra 2'!Q46)</f>
        <v/>
      </c>
      <c r="K46" s="7">
        <f>IF('Extra 2'!$A46="","",'Extra 2'!H46)</f>
        <v/>
      </c>
      <c r="L46" s="7">
        <f>IF('Extra 2'!$A46="","",'Extra 2'!T46)</f>
        <v/>
      </c>
      <c r="M46">
        <f>IF('Extra 2'!$A46="","",'Extra 2'!G46)</f>
        <v/>
      </c>
    </row>
    <row r="47">
      <c r="A47">
        <f>IF('Extra 2'!$A47="","",ROWS($A$2:$A47))</f>
        <v/>
      </c>
      <c r="B47">
        <f>IF('Extra 2'!$A47="","",'Extra 2'!E47)</f>
        <v/>
      </c>
      <c r="C47">
        <f>IF('Extra 2'!$A47="","",'Extra 2'!F47)</f>
        <v/>
      </c>
      <c r="D47" s="14">
        <f>IF('Extra 2'!$A47="","",'Extra 2'!I47)</f>
        <v/>
      </c>
      <c r="E47" s="7">
        <f>IF('Extra 2'!$A47="","",'Extra 2'!O47)</f>
        <v/>
      </c>
      <c r="F47" s="7">
        <f>IF('Extra 2'!$A47="","",'Extra 2'!L47)</f>
        <v/>
      </c>
      <c r="G47" s="7">
        <f>IF('Extra 2'!$A47="","",'Extra 2'!S47)</f>
        <v/>
      </c>
      <c r="H47">
        <f>IF('Extra 2'!$A47="","",'Extra 2'!P47)</f>
        <v/>
      </c>
      <c r="I47">
        <f>IF('Extra 2'!$A47="","",'Extra 2'!M47)</f>
        <v/>
      </c>
      <c r="J47" s="7">
        <f>IF('Extra 2'!$A47="","",'Extra 2'!Q47)</f>
        <v/>
      </c>
      <c r="K47" s="7">
        <f>IF('Extra 2'!$A47="","",'Extra 2'!H47)</f>
        <v/>
      </c>
      <c r="L47" s="7">
        <f>IF('Extra 2'!$A47="","",'Extra 2'!T47)</f>
        <v/>
      </c>
      <c r="M47">
        <f>IF('Extra 2'!$A47="","",'Extra 2'!G47)</f>
        <v/>
      </c>
    </row>
    <row r="48">
      <c r="A48">
        <f>IF('Extra 2'!$A48="","",ROWS($A$2:$A48))</f>
        <v/>
      </c>
      <c r="B48">
        <f>IF('Extra 2'!$A48="","",'Extra 2'!E48)</f>
        <v/>
      </c>
      <c r="C48">
        <f>IF('Extra 2'!$A48="","",'Extra 2'!F48)</f>
        <v/>
      </c>
      <c r="D48" s="14">
        <f>IF('Extra 2'!$A48="","",'Extra 2'!I48)</f>
        <v/>
      </c>
      <c r="E48" s="7">
        <f>IF('Extra 2'!$A48="","",'Extra 2'!O48)</f>
        <v/>
      </c>
      <c r="F48" s="7">
        <f>IF('Extra 2'!$A48="","",'Extra 2'!L48)</f>
        <v/>
      </c>
      <c r="G48" s="7">
        <f>IF('Extra 2'!$A48="","",'Extra 2'!S48)</f>
        <v/>
      </c>
      <c r="H48">
        <f>IF('Extra 2'!$A48="","",'Extra 2'!P48)</f>
        <v/>
      </c>
      <c r="I48">
        <f>IF('Extra 2'!$A48="","",'Extra 2'!M48)</f>
        <v/>
      </c>
      <c r="J48" s="7">
        <f>IF('Extra 2'!$A48="","",'Extra 2'!Q48)</f>
        <v/>
      </c>
      <c r="K48" s="7">
        <f>IF('Extra 2'!$A48="","",'Extra 2'!H48)</f>
        <v/>
      </c>
      <c r="L48" s="7">
        <f>IF('Extra 2'!$A48="","",'Extra 2'!T48)</f>
        <v/>
      </c>
      <c r="M48">
        <f>IF('Extra 2'!$A48="","",'Extra 2'!G48)</f>
        <v/>
      </c>
    </row>
    <row r="49">
      <c r="A49">
        <f>IF('Extra 2'!$A49="","",ROWS($A$2:$A49))</f>
        <v/>
      </c>
      <c r="B49">
        <f>IF('Extra 2'!$A49="","",'Extra 2'!E49)</f>
        <v/>
      </c>
      <c r="C49">
        <f>IF('Extra 2'!$A49="","",'Extra 2'!F49)</f>
        <v/>
      </c>
      <c r="D49" s="14">
        <f>IF('Extra 2'!$A49="","",'Extra 2'!I49)</f>
        <v/>
      </c>
      <c r="E49" s="7">
        <f>IF('Extra 2'!$A49="","",'Extra 2'!O49)</f>
        <v/>
      </c>
      <c r="F49" s="7">
        <f>IF('Extra 2'!$A49="","",'Extra 2'!L49)</f>
        <v/>
      </c>
      <c r="G49" s="7">
        <f>IF('Extra 2'!$A49="","",'Extra 2'!S49)</f>
        <v/>
      </c>
      <c r="H49">
        <f>IF('Extra 2'!$A49="","",'Extra 2'!P49)</f>
        <v/>
      </c>
      <c r="I49">
        <f>IF('Extra 2'!$A49="","",'Extra 2'!M49)</f>
        <v/>
      </c>
      <c r="J49" s="7">
        <f>IF('Extra 2'!$A49="","",'Extra 2'!Q49)</f>
        <v/>
      </c>
      <c r="K49" s="7">
        <f>IF('Extra 2'!$A49="","",'Extra 2'!H49)</f>
        <v/>
      </c>
      <c r="L49" s="7">
        <f>IF('Extra 2'!$A49="","",'Extra 2'!T49)</f>
        <v/>
      </c>
      <c r="M49">
        <f>IF('Extra 2'!$A49="","",'Extra 2'!G49)</f>
        <v/>
      </c>
    </row>
    <row r="50">
      <c r="A50">
        <f>IF('Extra 2'!$A50="","",ROWS($A$2:$A50))</f>
        <v/>
      </c>
      <c r="B50">
        <f>IF('Extra 2'!$A50="","",'Extra 2'!E50)</f>
        <v/>
      </c>
      <c r="C50">
        <f>IF('Extra 2'!$A50="","",'Extra 2'!F50)</f>
        <v/>
      </c>
      <c r="D50" s="14">
        <f>IF('Extra 2'!$A50="","",'Extra 2'!I50)</f>
        <v/>
      </c>
      <c r="E50" s="7">
        <f>IF('Extra 2'!$A50="","",'Extra 2'!O50)</f>
        <v/>
      </c>
      <c r="F50" s="7">
        <f>IF('Extra 2'!$A50="","",'Extra 2'!L50)</f>
        <v/>
      </c>
      <c r="G50" s="7">
        <f>IF('Extra 2'!$A50="","",'Extra 2'!S50)</f>
        <v/>
      </c>
      <c r="H50">
        <f>IF('Extra 2'!$A50="","",'Extra 2'!P50)</f>
        <v/>
      </c>
      <c r="I50">
        <f>IF('Extra 2'!$A50="","",'Extra 2'!M50)</f>
        <v/>
      </c>
      <c r="J50" s="7">
        <f>IF('Extra 2'!$A50="","",'Extra 2'!Q50)</f>
        <v/>
      </c>
      <c r="K50" s="7">
        <f>IF('Extra 2'!$A50="","",'Extra 2'!H50)</f>
        <v/>
      </c>
      <c r="L50" s="7">
        <f>IF('Extra 2'!$A50="","",'Extra 2'!T50)</f>
        <v/>
      </c>
      <c r="M50">
        <f>IF('Extra 2'!$A50="","",'Extra 2'!G50)</f>
        <v/>
      </c>
    </row>
    <row r="51">
      <c r="A51">
        <f>IF('Extra 2'!$A51="","",ROWS($A$2:$A51))</f>
        <v/>
      </c>
      <c r="B51">
        <f>IF('Extra 2'!$A51="","",'Extra 2'!E51)</f>
        <v/>
      </c>
      <c r="C51">
        <f>IF('Extra 2'!$A51="","",'Extra 2'!F51)</f>
        <v/>
      </c>
      <c r="D51" s="14">
        <f>IF('Extra 2'!$A51="","",'Extra 2'!I51)</f>
        <v/>
      </c>
      <c r="E51" s="7">
        <f>IF('Extra 2'!$A51="","",'Extra 2'!O51)</f>
        <v/>
      </c>
      <c r="F51" s="7">
        <f>IF('Extra 2'!$A51="","",'Extra 2'!L51)</f>
        <v/>
      </c>
      <c r="G51" s="7">
        <f>IF('Extra 2'!$A51="","",'Extra 2'!S51)</f>
        <v/>
      </c>
      <c r="H51">
        <f>IF('Extra 2'!$A51="","",'Extra 2'!P51)</f>
        <v/>
      </c>
      <c r="I51">
        <f>IF('Extra 2'!$A51="","",'Extra 2'!M51)</f>
        <v/>
      </c>
      <c r="J51" s="7">
        <f>IF('Extra 2'!$A51="","",'Extra 2'!Q51)</f>
        <v/>
      </c>
      <c r="K51" s="7">
        <f>IF('Extra 2'!$A51="","",'Extra 2'!H51)</f>
        <v/>
      </c>
      <c r="L51" s="7">
        <f>IF('Extra 2'!$A51="","",'Extra 2'!T51)</f>
        <v/>
      </c>
      <c r="M51">
        <f>IF('Extra 2'!$A51="","",'Extra 2'!G51)</f>
        <v/>
      </c>
    </row>
    <row r="52">
      <c r="A52">
        <f>IF('Extra 2'!$A52="","",ROWS($A$2:$A52))</f>
        <v/>
      </c>
      <c r="B52">
        <f>IF('Extra 2'!$A52="","",'Extra 2'!E52)</f>
        <v/>
      </c>
      <c r="C52">
        <f>IF('Extra 2'!$A52="","",'Extra 2'!F52)</f>
        <v/>
      </c>
      <c r="D52" s="14">
        <f>IF('Extra 2'!$A52="","",'Extra 2'!I52)</f>
        <v/>
      </c>
      <c r="E52" s="7">
        <f>IF('Extra 2'!$A52="","",'Extra 2'!O52)</f>
        <v/>
      </c>
      <c r="F52" s="7">
        <f>IF('Extra 2'!$A52="","",'Extra 2'!L52)</f>
        <v/>
      </c>
      <c r="G52" s="7">
        <f>IF('Extra 2'!$A52="","",'Extra 2'!S52)</f>
        <v/>
      </c>
      <c r="H52">
        <f>IF('Extra 2'!$A52="","",'Extra 2'!P52)</f>
        <v/>
      </c>
      <c r="I52">
        <f>IF('Extra 2'!$A52="","",'Extra 2'!M52)</f>
        <v/>
      </c>
      <c r="J52" s="7">
        <f>IF('Extra 2'!$A52="","",'Extra 2'!Q52)</f>
        <v/>
      </c>
      <c r="K52" s="7">
        <f>IF('Extra 2'!$A52="","",'Extra 2'!H52)</f>
        <v/>
      </c>
      <c r="L52" s="7">
        <f>IF('Extra 2'!$A52="","",'Extra 2'!T52)</f>
        <v/>
      </c>
      <c r="M52">
        <f>IF('Extra 2'!$A52="","",'Extra 2'!G52)</f>
        <v/>
      </c>
    </row>
    <row r="53">
      <c r="A53">
        <f>IF('Extra 2'!$A53="","",ROWS($A$2:$A53))</f>
        <v/>
      </c>
      <c r="B53">
        <f>IF('Extra 2'!$A53="","",'Extra 2'!E53)</f>
        <v/>
      </c>
      <c r="C53">
        <f>IF('Extra 2'!$A53="","",'Extra 2'!F53)</f>
        <v/>
      </c>
      <c r="D53" s="14">
        <f>IF('Extra 2'!$A53="","",'Extra 2'!I53)</f>
        <v/>
      </c>
      <c r="E53" s="7">
        <f>IF('Extra 2'!$A53="","",'Extra 2'!O53)</f>
        <v/>
      </c>
      <c r="F53" s="7">
        <f>IF('Extra 2'!$A53="","",'Extra 2'!L53)</f>
        <v/>
      </c>
      <c r="G53" s="7">
        <f>IF('Extra 2'!$A53="","",'Extra 2'!S53)</f>
        <v/>
      </c>
      <c r="H53">
        <f>IF('Extra 2'!$A53="","",'Extra 2'!P53)</f>
        <v/>
      </c>
      <c r="I53">
        <f>IF('Extra 2'!$A53="","",'Extra 2'!M53)</f>
        <v/>
      </c>
      <c r="J53" s="7">
        <f>IF('Extra 2'!$A53="","",'Extra 2'!Q53)</f>
        <v/>
      </c>
      <c r="K53" s="7">
        <f>IF('Extra 2'!$A53="","",'Extra 2'!H53)</f>
        <v/>
      </c>
      <c r="L53" s="7">
        <f>IF('Extra 2'!$A53="","",'Extra 2'!T53)</f>
        <v/>
      </c>
      <c r="M53">
        <f>IF('Extra 2'!$A53="","",'Extra 2'!G53)</f>
        <v/>
      </c>
    </row>
    <row r="54">
      <c r="A54">
        <f>IF('Extra 2'!$A54="","",ROWS($A$2:$A54))</f>
        <v/>
      </c>
      <c r="B54">
        <f>IF('Extra 2'!$A54="","",'Extra 2'!E54)</f>
        <v/>
      </c>
      <c r="C54">
        <f>IF('Extra 2'!$A54="","",'Extra 2'!F54)</f>
        <v/>
      </c>
      <c r="D54" s="14">
        <f>IF('Extra 2'!$A54="","",'Extra 2'!I54)</f>
        <v/>
      </c>
      <c r="E54" s="7">
        <f>IF('Extra 2'!$A54="","",'Extra 2'!O54)</f>
        <v/>
      </c>
      <c r="F54" s="7">
        <f>IF('Extra 2'!$A54="","",'Extra 2'!L54)</f>
        <v/>
      </c>
      <c r="G54" s="7">
        <f>IF('Extra 2'!$A54="","",'Extra 2'!S54)</f>
        <v/>
      </c>
      <c r="H54">
        <f>IF('Extra 2'!$A54="","",'Extra 2'!P54)</f>
        <v/>
      </c>
      <c r="I54">
        <f>IF('Extra 2'!$A54="","",'Extra 2'!M54)</f>
        <v/>
      </c>
      <c r="J54" s="7">
        <f>IF('Extra 2'!$A54="","",'Extra 2'!Q54)</f>
        <v/>
      </c>
      <c r="K54" s="7">
        <f>IF('Extra 2'!$A54="","",'Extra 2'!H54)</f>
        <v/>
      </c>
      <c r="L54" s="7">
        <f>IF('Extra 2'!$A54="","",'Extra 2'!T54)</f>
        <v/>
      </c>
      <c r="M54">
        <f>IF('Extra 2'!$A54="","",'Extra 2'!G54)</f>
        <v/>
      </c>
    </row>
    <row r="55">
      <c r="A55">
        <f>IF('Extra 2'!$A55="","",ROWS($A$2:$A55))</f>
        <v/>
      </c>
      <c r="B55">
        <f>IF('Extra 2'!$A55="","",'Extra 2'!E55)</f>
        <v/>
      </c>
      <c r="C55">
        <f>IF('Extra 2'!$A55="","",'Extra 2'!F55)</f>
        <v/>
      </c>
      <c r="D55" s="14">
        <f>IF('Extra 2'!$A55="","",'Extra 2'!I55)</f>
        <v/>
      </c>
      <c r="E55" s="7">
        <f>IF('Extra 2'!$A55="","",'Extra 2'!O55)</f>
        <v/>
      </c>
      <c r="F55" s="7">
        <f>IF('Extra 2'!$A55="","",'Extra 2'!L55)</f>
        <v/>
      </c>
      <c r="G55" s="7">
        <f>IF('Extra 2'!$A55="","",'Extra 2'!S55)</f>
        <v/>
      </c>
      <c r="H55">
        <f>IF('Extra 2'!$A55="","",'Extra 2'!P55)</f>
        <v/>
      </c>
      <c r="I55">
        <f>IF('Extra 2'!$A55="","",'Extra 2'!M55)</f>
        <v/>
      </c>
      <c r="J55" s="7">
        <f>IF('Extra 2'!$A55="","",'Extra 2'!Q55)</f>
        <v/>
      </c>
      <c r="K55" s="7">
        <f>IF('Extra 2'!$A55="","",'Extra 2'!H55)</f>
        <v/>
      </c>
      <c r="L55" s="7">
        <f>IF('Extra 2'!$A55="","",'Extra 2'!T55)</f>
        <v/>
      </c>
      <c r="M55">
        <f>IF('Extra 2'!$A55="","",'Extra 2'!G55)</f>
        <v/>
      </c>
    </row>
    <row r="56">
      <c r="A56">
        <f>IF('Extra 2'!$A56="","",ROWS($A$2:$A56))</f>
        <v/>
      </c>
      <c r="B56">
        <f>IF('Extra 2'!$A56="","",'Extra 2'!E56)</f>
        <v/>
      </c>
      <c r="C56">
        <f>IF('Extra 2'!$A56="","",'Extra 2'!F56)</f>
        <v/>
      </c>
      <c r="D56" s="14">
        <f>IF('Extra 2'!$A56="","",'Extra 2'!I56)</f>
        <v/>
      </c>
      <c r="E56" s="7">
        <f>IF('Extra 2'!$A56="","",'Extra 2'!O56)</f>
        <v/>
      </c>
      <c r="F56" s="7">
        <f>IF('Extra 2'!$A56="","",'Extra 2'!L56)</f>
        <v/>
      </c>
      <c r="G56" s="7">
        <f>IF('Extra 2'!$A56="","",'Extra 2'!S56)</f>
        <v/>
      </c>
      <c r="H56">
        <f>IF('Extra 2'!$A56="","",'Extra 2'!P56)</f>
        <v/>
      </c>
      <c r="I56">
        <f>IF('Extra 2'!$A56="","",'Extra 2'!M56)</f>
        <v/>
      </c>
      <c r="J56" s="7">
        <f>IF('Extra 2'!$A56="","",'Extra 2'!Q56)</f>
        <v/>
      </c>
      <c r="K56" s="7">
        <f>IF('Extra 2'!$A56="","",'Extra 2'!H56)</f>
        <v/>
      </c>
      <c r="L56" s="7">
        <f>IF('Extra 2'!$A56="","",'Extra 2'!T56)</f>
        <v/>
      </c>
      <c r="M56">
        <f>IF('Extra 2'!$A56="","",'Extra 2'!G56)</f>
        <v/>
      </c>
    </row>
    <row r="57">
      <c r="A57">
        <f>IF('Extra 2'!$A57="","",ROWS($A$2:$A57))</f>
        <v/>
      </c>
      <c r="B57">
        <f>IF('Extra 2'!$A57="","",'Extra 2'!E57)</f>
        <v/>
      </c>
      <c r="C57">
        <f>IF('Extra 2'!$A57="","",'Extra 2'!F57)</f>
        <v/>
      </c>
      <c r="D57" s="14">
        <f>IF('Extra 2'!$A57="","",'Extra 2'!I57)</f>
        <v/>
      </c>
      <c r="E57" s="7">
        <f>IF('Extra 2'!$A57="","",'Extra 2'!O57)</f>
        <v/>
      </c>
      <c r="F57" s="7">
        <f>IF('Extra 2'!$A57="","",'Extra 2'!L57)</f>
        <v/>
      </c>
      <c r="G57" s="7">
        <f>IF('Extra 2'!$A57="","",'Extra 2'!S57)</f>
        <v/>
      </c>
      <c r="H57">
        <f>IF('Extra 2'!$A57="","",'Extra 2'!P57)</f>
        <v/>
      </c>
      <c r="I57">
        <f>IF('Extra 2'!$A57="","",'Extra 2'!M57)</f>
        <v/>
      </c>
      <c r="J57" s="7">
        <f>IF('Extra 2'!$A57="","",'Extra 2'!Q57)</f>
        <v/>
      </c>
      <c r="K57" s="7">
        <f>IF('Extra 2'!$A57="","",'Extra 2'!H57)</f>
        <v/>
      </c>
      <c r="L57" s="7">
        <f>IF('Extra 2'!$A57="","",'Extra 2'!T57)</f>
        <v/>
      </c>
      <c r="M57">
        <f>IF('Extra 2'!$A57="","",'Extra 2'!G57)</f>
        <v/>
      </c>
    </row>
    <row r="58">
      <c r="A58">
        <f>IF('Extra 2'!$A58="","",ROWS($A$2:$A58))</f>
        <v/>
      </c>
      <c r="B58">
        <f>IF('Extra 2'!$A58="","",'Extra 2'!E58)</f>
        <v/>
      </c>
      <c r="C58">
        <f>IF('Extra 2'!$A58="","",'Extra 2'!F58)</f>
        <v/>
      </c>
      <c r="D58" s="14">
        <f>IF('Extra 2'!$A58="","",'Extra 2'!I58)</f>
        <v/>
      </c>
      <c r="E58" s="7">
        <f>IF('Extra 2'!$A58="","",'Extra 2'!O58)</f>
        <v/>
      </c>
      <c r="F58" s="7">
        <f>IF('Extra 2'!$A58="","",'Extra 2'!L58)</f>
        <v/>
      </c>
      <c r="G58" s="7">
        <f>IF('Extra 2'!$A58="","",'Extra 2'!S58)</f>
        <v/>
      </c>
      <c r="H58">
        <f>IF('Extra 2'!$A58="","",'Extra 2'!P58)</f>
        <v/>
      </c>
      <c r="I58">
        <f>IF('Extra 2'!$A58="","",'Extra 2'!M58)</f>
        <v/>
      </c>
      <c r="J58" s="7">
        <f>IF('Extra 2'!$A58="","",'Extra 2'!Q58)</f>
        <v/>
      </c>
      <c r="K58" s="7">
        <f>IF('Extra 2'!$A58="","",'Extra 2'!H58)</f>
        <v/>
      </c>
      <c r="L58" s="7">
        <f>IF('Extra 2'!$A58="","",'Extra 2'!T58)</f>
        <v/>
      </c>
      <c r="M58">
        <f>IF('Extra 2'!$A58="","",'Extra 2'!G58)</f>
        <v/>
      </c>
    </row>
    <row r="59">
      <c r="A59">
        <f>IF('Extra 2'!$A59="","",ROWS($A$2:$A59))</f>
        <v/>
      </c>
      <c r="B59">
        <f>IF('Extra 2'!$A59="","",'Extra 2'!E59)</f>
        <v/>
      </c>
      <c r="C59">
        <f>IF('Extra 2'!$A59="","",'Extra 2'!F59)</f>
        <v/>
      </c>
      <c r="D59" s="14">
        <f>IF('Extra 2'!$A59="","",'Extra 2'!I59)</f>
        <v/>
      </c>
      <c r="E59" s="7">
        <f>IF('Extra 2'!$A59="","",'Extra 2'!O59)</f>
        <v/>
      </c>
      <c r="F59" s="7">
        <f>IF('Extra 2'!$A59="","",'Extra 2'!L59)</f>
        <v/>
      </c>
      <c r="G59" s="7">
        <f>IF('Extra 2'!$A59="","",'Extra 2'!S59)</f>
        <v/>
      </c>
      <c r="H59">
        <f>IF('Extra 2'!$A59="","",'Extra 2'!P59)</f>
        <v/>
      </c>
      <c r="I59">
        <f>IF('Extra 2'!$A59="","",'Extra 2'!M59)</f>
        <v/>
      </c>
      <c r="J59" s="7">
        <f>IF('Extra 2'!$A59="","",'Extra 2'!Q59)</f>
        <v/>
      </c>
      <c r="K59" s="7">
        <f>IF('Extra 2'!$A59="","",'Extra 2'!H59)</f>
        <v/>
      </c>
      <c r="L59" s="7">
        <f>IF('Extra 2'!$A59="","",'Extra 2'!T59)</f>
        <v/>
      </c>
      <c r="M59">
        <f>IF('Extra 2'!$A59="","",'Extra 2'!G59)</f>
        <v/>
      </c>
    </row>
    <row r="60">
      <c r="A60">
        <f>IF('Extra 2'!$A60="","",ROWS($A$2:$A60))</f>
        <v/>
      </c>
      <c r="B60">
        <f>IF('Extra 2'!$A60="","",'Extra 2'!E60)</f>
        <v/>
      </c>
      <c r="C60">
        <f>IF('Extra 2'!$A60="","",'Extra 2'!F60)</f>
        <v/>
      </c>
      <c r="D60" s="14">
        <f>IF('Extra 2'!$A60="","",'Extra 2'!I60)</f>
        <v/>
      </c>
      <c r="E60" s="7">
        <f>IF('Extra 2'!$A60="","",'Extra 2'!O60)</f>
        <v/>
      </c>
      <c r="F60" s="7">
        <f>IF('Extra 2'!$A60="","",'Extra 2'!L60)</f>
        <v/>
      </c>
      <c r="G60" s="7">
        <f>IF('Extra 2'!$A60="","",'Extra 2'!S60)</f>
        <v/>
      </c>
      <c r="H60">
        <f>IF('Extra 2'!$A60="","",'Extra 2'!P60)</f>
        <v/>
      </c>
      <c r="I60">
        <f>IF('Extra 2'!$A60="","",'Extra 2'!M60)</f>
        <v/>
      </c>
      <c r="J60" s="7">
        <f>IF('Extra 2'!$A60="","",'Extra 2'!Q60)</f>
        <v/>
      </c>
      <c r="K60" s="7">
        <f>IF('Extra 2'!$A60="","",'Extra 2'!H60)</f>
        <v/>
      </c>
      <c r="L60" s="7">
        <f>IF('Extra 2'!$A60="","",'Extra 2'!T60)</f>
        <v/>
      </c>
      <c r="M60">
        <f>IF('Extra 2'!$A60="","",'Extra 2'!G60)</f>
        <v/>
      </c>
    </row>
    <row r="61">
      <c r="A61">
        <f>IF('Extra 2'!$A61="","",ROWS($A$2:$A61))</f>
        <v/>
      </c>
      <c r="B61">
        <f>IF('Extra 2'!$A61="","",'Extra 2'!E61)</f>
        <v/>
      </c>
      <c r="C61">
        <f>IF('Extra 2'!$A61="","",'Extra 2'!F61)</f>
        <v/>
      </c>
      <c r="D61" s="14">
        <f>IF('Extra 2'!$A61="","",'Extra 2'!I61)</f>
        <v/>
      </c>
      <c r="E61" s="7">
        <f>IF('Extra 2'!$A61="","",'Extra 2'!O61)</f>
        <v/>
      </c>
      <c r="F61" s="7">
        <f>IF('Extra 2'!$A61="","",'Extra 2'!L61)</f>
        <v/>
      </c>
      <c r="G61" s="7">
        <f>IF('Extra 2'!$A61="","",'Extra 2'!S61)</f>
        <v/>
      </c>
      <c r="H61">
        <f>IF('Extra 2'!$A61="","",'Extra 2'!P61)</f>
        <v/>
      </c>
      <c r="I61">
        <f>IF('Extra 2'!$A61="","",'Extra 2'!M61)</f>
        <v/>
      </c>
      <c r="J61" s="7">
        <f>IF('Extra 2'!$A61="","",'Extra 2'!Q61)</f>
        <v/>
      </c>
      <c r="K61" s="7">
        <f>IF('Extra 2'!$A61="","",'Extra 2'!H61)</f>
        <v/>
      </c>
      <c r="L61" s="7">
        <f>IF('Extra 2'!$A61="","",'Extra 2'!T61)</f>
        <v/>
      </c>
      <c r="M61">
        <f>IF('Extra 2'!$A61="","",'Extra 2'!G61)</f>
        <v/>
      </c>
    </row>
    <row r="62">
      <c r="A62">
        <f>IF('Extra 2'!$A62="","",ROWS($A$2:$A62))</f>
        <v/>
      </c>
      <c r="B62">
        <f>IF('Extra 2'!$A62="","",'Extra 2'!E62)</f>
        <v/>
      </c>
      <c r="C62">
        <f>IF('Extra 2'!$A62="","",'Extra 2'!F62)</f>
        <v/>
      </c>
      <c r="D62" s="14">
        <f>IF('Extra 2'!$A62="","",'Extra 2'!I62)</f>
        <v/>
      </c>
      <c r="E62" s="7">
        <f>IF('Extra 2'!$A62="","",'Extra 2'!O62)</f>
        <v/>
      </c>
      <c r="F62" s="7">
        <f>IF('Extra 2'!$A62="","",'Extra 2'!L62)</f>
        <v/>
      </c>
      <c r="G62" s="7">
        <f>IF('Extra 2'!$A62="","",'Extra 2'!S62)</f>
        <v/>
      </c>
      <c r="H62">
        <f>IF('Extra 2'!$A62="","",'Extra 2'!P62)</f>
        <v/>
      </c>
      <c r="I62">
        <f>IF('Extra 2'!$A62="","",'Extra 2'!M62)</f>
        <v/>
      </c>
      <c r="J62" s="7">
        <f>IF('Extra 2'!$A62="","",'Extra 2'!Q62)</f>
        <v/>
      </c>
      <c r="K62" s="7">
        <f>IF('Extra 2'!$A62="","",'Extra 2'!H62)</f>
        <v/>
      </c>
      <c r="L62" s="7">
        <f>IF('Extra 2'!$A62="","",'Extra 2'!T62)</f>
        <v/>
      </c>
      <c r="M62">
        <f>IF('Extra 2'!$A62="","",'Extra 2'!G62)</f>
        <v/>
      </c>
    </row>
    <row r="63">
      <c r="A63">
        <f>IF('Extra 2'!$A63="","",ROWS($A$2:$A63))</f>
        <v/>
      </c>
      <c r="B63">
        <f>IF('Extra 2'!$A63="","",'Extra 2'!E63)</f>
        <v/>
      </c>
      <c r="C63">
        <f>IF('Extra 2'!$A63="","",'Extra 2'!F63)</f>
        <v/>
      </c>
      <c r="D63" s="14">
        <f>IF('Extra 2'!$A63="","",'Extra 2'!I63)</f>
        <v/>
      </c>
      <c r="E63" s="7">
        <f>IF('Extra 2'!$A63="","",'Extra 2'!O63)</f>
        <v/>
      </c>
      <c r="F63" s="7">
        <f>IF('Extra 2'!$A63="","",'Extra 2'!L63)</f>
        <v/>
      </c>
      <c r="G63" s="7">
        <f>IF('Extra 2'!$A63="","",'Extra 2'!S63)</f>
        <v/>
      </c>
      <c r="H63">
        <f>IF('Extra 2'!$A63="","",'Extra 2'!P63)</f>
        <v/>
      </c>
      <c r="I63">
        <f>IF('Extra 2'!$A63="","",'Extra 2'!M63)</f>
        <v/>
      </c>
      <c r="J63" s="7">
        <f>IF('Extra 2'!$A63="","",'Extra 2'!Q63)</f>
        <v/>
      </c>
      <c r="K63" s="7">
        <f>IF('Extra 2'!$A63="","",'Extra 2'!H63)</f>
        <v/>
      </c>
      <c r="L63" s="7">
        <f>IF('Extra 2'!$A63="","",'Extra 2'!T63)</f>
        <v/>
      </c>
      <c r="M63">
        <f>IF('Extra 2'!$A63="","",'Extra 2'!G63)</f>
        <v/>
      </c>
    </row>
    <row r="64">
      <c r="A64">
        <f>IF('Extra 2'!$A64="","",ROWS($A$2:$A64))</f>
        <v/>
      </c>
      <c r="B64">
        <f>IF('Extra 2'!$A64="","",'Extra 2'!E64)</f>
        <v/>
      </c>
      <c r="C64">
        <f>IF('Extra 2'!$A64="","",'Extra 2'!F64)</f>
        <v/>
      </c>
      <c r="D64" s="14">
        <f>IF('Extra 2'!$A64="","",'Extra 2'!I64)</f>
        <v/>
      </c>
      <c r="E64" s="7">
        <f>IF('Extra 2'!$A64="","",'Extra 2'!O64)</f>
        <v/>
      </c>
      <c r="F64" s="7">
        <f>IF('Extra 2'!$A64="","",'Extra 2'!L64)</f>
        <v/>
      </c>
      <c r="G64" s="7">
        <f>IF('Extra 2'!$A64="","",'Extra 2'!S64)</f>
        <v/>
      </c>
      <c r="H64">
        <f>IF('Extra 2'!$A64="","",'Extra 2'!P64)</f>
        <v/>
      </c>
      <c r="I64">
        <f>IF('Extra 2'!$A64="","",'Extra 2'!M64)</f>
        <v/>
      </c>
      <c r="J64" s="7">
        <f>IF('Extra 2'!$A64="","",'Extra 2'!Q64)</f>
        <v/>
      </c>
      <c r="K64" s="7">
        <f>IF('Extra 2'!$A64="","",'Extra 2'!H64)</f>
        <v/>
      </c>
      <c r="L64" s="7">
        <f>IF('Extra 2'!$A64="","",'Extra 2'!T64)</f>
        <v/>
      </c>
      <c r="M64">
        <f>IF('Extra 2'!$A64="","",'Extra 2'!G64)</f>
        <v/>
      </c>
    </row>
    <row r="65">
      <c r="A65">
        <f>IF('Extra 2'!$A65="","",ROWS($A$2:$A65))</f>
        <v/>
      </c>
      <c r="B65">
        <f>IF('Extra 2'!$A65="","",'Extra 2'!E65)</f>
        <v/>
      </c>
      <c r="C65">
        <f>IF('Extra 2'!$A65="","",'Extra 2'!F65)</f>
        <v/>
      </c>
      <c r="D65" s="14">
        <f>IF('Extra 2'!$A65="","",'Extra 2'!I65)</f>
        <v/>
      </c>
      <c r="E65" s="7">
        <f>IF('Extra 2'!$A65="","",'Extra 2'!O65)</f>
        <v/>
      </c>
      <c r="F65" s="7">
        <f>IF('Extra 2'!$A65="","",'Extra 2'!L65)</f>
        <v/>
      </c>
      <c r="G65" s="7">
        <f>IF('Extra 2'!$A65="","",'Extra 2'!S65)</f>
        <v/>
      </c>
      <c r="H65">
        <f>IF('Extra 2'!$A65="","",'Extra 2'!P65)</f>
        <v/>
      </c>
      <c r="I65">
        <f>IF('Extra 2'!$A65="","",'Extra 2'!M65)</f>
        <v/>
      </c>
      <c r="J65" s="7">
        <f>IF('Extra 2'!$A65="","",'Extra 2'!Q65)</f>
        <v/>
      </c>
      <c r="K65" s="7">
        <f>IF('Extra 2'!$A65="","",'Extra 2'!H65)</f>
        <v/>
      </c>
      <c r="L65" s="7">
        <f>IF('Extra 2'!$A65="","",'Extra 2'!T65)</f>
        <v/>
      </c>
      <c r="M65">
        <f>IF('Extra 2'!$A65="","",'Extra 2'!G65)</f>
        <v/>
      </c>
    </row>
    <row r="66">
      <c r="A66">
        <f>IF('Extra 2'!$A66="","",ROWS($A$2:$A66))</f>
        <v/>
      </c>
      <c r="B66">
        <f>IF('Extra 2'!$A66="","",'Extra 2'!E66)</f>
        <v/>
      </c>
      <c r="C66">
        <f>IF('Extra 2'!$A66="","",'Extra 2'!F66)</f>
        <v/>
      </c>
      <c r="D66" s="14">
        <f>IF('Extra 2'!$A66="","",'Extra 2'!I66)</f>
        <v/>
      </c>
      <c r="E66" s="7">
        <f>IF('Extra 2'!$A66="","",'Extra 2'!O66)</f>
        <v/>
      </c>
      <c r="F66" s="7">
        <f>IF('Extra 2'!$A66="","",'Extra 2'!L66)</f>
        <v/>
      </c>
      <c r="G66" s="7">
        <f>IF('Extra 2'!$A66="","",'Extra 2'!S66)</f>
        <v/>
      </c>
      <c r="H66">
        <f>IF('Extra 2'!$A66="","",'Extra 2'!P66)</f>
        <v/>
      </c>
      <c r="I66">
        <f>IF('Extra 2'!$A66="","",'Extra 2'!M66)</f>
        <v/>
      </c>
      <c r="J66" s="7">
        <f>IF('Extra 2'!$A66="","",'Extra 2'!Q66)</f>
        <v/>
      </c>
      <c r="K66" s="7">
        <f>IF('Extra 2'!$A66="","",'Extra 2'!H66)</f>
        <v/>
      </c>
      <c r="L66" s="7">
        <f>IF('Extra 2'!$A66="","",'Extra 2'!T66)</f>
        <v/>
      </c>
      <c r="M66">
        <f>IF('Extra 2'!$A66="","",'Extra 2'!G66)</f>
        <v/>
      </c>
    </row>
    <row r="67">
      <c r="A67">
        <f>IF('Extra 2'!$A67="","",ROWS($A$2:$A67))</f>
        <v/>
      </c>
      <c r="B67">
        <f>IF('Extra 2'!$A67="","",'Extra 2'!E67)</f>
        <v/>
      </c>
      <c r="C67">
        <f>IF('Extra 2'!$A67="","",'Extra 2'!F67)</f>
        <v/>
      </c>
      <c r="D67" s="14">
        <f>IF('Extra 2'!$A67="","",'Extra 2'!I67)</f>
        <v/>
      </c>
      <c r="E67" s="7">
        <f>IF('Extra 2'!$A67="","",'Extra 2'!O67)</f>
        <v/>
      </c>
      <c r="F67" s="7">
        <f>IF('Extra 2'!$A67="","",'Extra 2'!L67)</f>
        <v/>
      </c>
      <c r="G67" s="7">
        <f>IF('Extra 2'!$A67="","",'Extra 2'!S67)</f>
        <v/>
      </c>
      <c r="H67">
        <f>IF('Extra 2'!$A67="","",'Extra 2'!P67)</f>
        <v/>
      </c>
      <c r="I67">
        <f>IF('Extra 2'!$A67="","",'Extra 2'!M67)</f>
        <v/>
      </c>
      <c r="J67" s="7">
        <f>IF('Extra 2'!$A67="","",'Extra 2'!Q67)</f>
        <v/>
      </c>
      <c r="K67" s="7">
        <f>IF('Extra 2'!$A67="","",'Extra 2'!H67)</f>
        <v/>
      </c>
      <c r="L67" s="7">
        <f>IF('Extra 2'!$A67="","",'Extra 2'!T67)</f>
        <v/>
      </c>
      <c r="M67">
        <f>IF('Extra 2'!$A67="","",'Extra 2'!G67)</f>
        <v/>
      </c>
    </row>
    <row r="68">
      <c r="A68">
        <f>IF('Extra 2'!$A68="","",ROWS($A$2:$A68))</f>
        <v/>
      </c>
      <c r="B68">
        <f>IF('Extra 2'!$A68="","",'Extra 2'!E68)</f>
        <v/>
      </c>
      <c r="C68">
        <f>IF('Extra 2'!$A68="","",'Extra 2'!F68)</f>
        <v/>
      </c>
      <c r="D68" s="14">
        <f>IF('Extra 2'!$A68="","",'Extra 2'!I68)</f>
        <v/>
      </c>
      <c r="E68" s="7">
        <f>IF('Extra 2'!$A68="","",'Extra 2'!O68)</f>
        <v/>
      </c>
      <c r="F68" s="7">
        <f>IF('Extra 2'!$A68="","",'Extra 2'!L68)</f>
        <v/>
      </c>
      <c r="G68" s="7">
        <f>IF('Extra 2'!$A68="","",'Extra 2'!S68)</f>
        <v/>
      </c>
      <c r="H68">
        <f>IF('Extra 2'!$A68="","",'Extra 2'!P68)</f>
        <v/>
      </c>
      <c r="I68">
        <f>IF('Extra 2'!$A68="","",'Extra 2'!M68)</f>
        <v/>
      </c>
      <c r="J68" s="7">
        <f>IF('Extra 2'!$A68="","",'Extra 2'!Q68)</f>
        <v/>
      </c>
      <c r="K68" s="7">
        <f>IF('Extra 2'!$A68="","",'Extra 2'!H68)</f>
        <v/>
      </c>
      <c r="L68" s="7">
        <f>IF('Extra 2'!$A68="","",'Extra 2'!T68)</f>
        <v/>
      </c>
      <c r="M68">
        <f>IF('Extra 2'!$A68="","",'Extra 2'!G68)</f>
        <v/>
      </c>
    </row>
    <row r="69">
      <c r="A69">
        <f>IF('Extra 2'!$A69="","",ROWS($A$2:$A69))</f>
        <v/>
      </c>
      <c r="B69">
        <f>IF('Extra 2'!$A69="","",'Extra 2'!E69)</f>
        <v/>
      </c>
      <c r="C69">
        <f>IF('Extra 2'!$A69="","",'Extra 2'!F69)</f>
        <v/>
      </c>
      <c r="D69" s="14">
        <f>IF('Extra 2'!$A69="","",'Extra 2'!I69)</f>
        <v/>
      </c>
      <c r="E69" s="7">
        <f>IF('Extra 2'!$A69="","",'Extra 2'!O69)</f>
        <v/>
      </c>
      <c r="F69" s="7">
        <f>IF('Extra 2'!$A69="","",'Extra 2'!L69)</f>
        <v/>
      </c>
      <c r="G69" s="7">
        <f>IF('Extra 2'!$A69="","",'Extra 2'!S69)</f>
        <v/>
      </c>
      <c r="H69">
        <f>IF('Extra 2'!$A69="","",'Extra 2'!P69)</f>
        <v/>
      </c>
      <c r="I69">
        <f>IF('Extra 2'!$A69="","",'Extra 2'!M69)</f>
        <v/>
      </c>
      <c r="J69" s="7">
        <f>IF('Extra 2'!$A69="","",'Extra 2'!Q69)</f>
        <v/>
      </c>
      <c r="K69" s="7">
        <f>IF('Extra 2'!$A69="","",'Extra 2'!H69)</f>
        <v/>
      </c>
      <c r="L69" s="7">
        <f>IF('Extra 2'!$A69="","",'Extra 2'!T69)</f>
        <v/>
      </c>
      <c r="M69">
        <f>IF('Extra 2'!$A69="","",'Extra 2'!G69)</f>
        <v/>
      </c>
    </row>
    <row r="70">
      <c r="A70">
        <f>IF('Extra 2'!$A70="","",ROWS($A$2:$A70))</f>
        <v/>
      </c>
      <c r="B70">
        <f>IF('Extra 2'!$A70="","",'Extra 2'!E70)</f>
        <v/>
      </c>
      <c r="C70">
        <f>IF('Extra 2'!$A70="","",'Extra 2'!F70)</f>
        <v/>
      </c>
      <c r="D70" s="14">
        <f>IF('Extra 2'!$A70="","",'Extra 2'!I70)</f>
        <v/>
      </c>
      <c r="E70" s="7">
        <f>IF('Extra 2'!$A70="","",'Extra 2'!O70)</f>
        <v/>
      </c>
      <c r="F70" s="7">
        <f>IF('Extra 2'!$A70="","",'Extra 2'!L70)</f>
        <v/>
      </c>
      <c r="G70" s="7">
        <f>IF('Extra 2'!$A70="","",'Extra 2'!S70)</f>
        <v/>
      </c>
      <c r="H70">
        <f>IF('Extra 2'!$A70="","",'Extra 2'!P70)</f>
        <v/>
      </c>
      <c r="I70">
        <f>IF('Extra 2'!$A70="","",'Extra 2'!M70)</f>
        <v/>
      </c>
      <c r="J70" s="7">
        <f>IF('Extra 2'!$A70="","",'Extra 2'!Q70)</f>
        <v/>
      </c>
      <c r="K70" s="7">
        <f>IF('Extra 2'!$A70="","",'Extra 2'!H70)</f>
        <v/>
      </c>
      <c r="L70" s="7">
        <f>IF('Extra 2'!$A70="","",'Extra 2'!T70)</f>
        <v/>
      </c>
      <c r="M70">
        <f>IF('Extra 2'!$A70="","",'Extra 2'!G70)</f>
        <v/>
      </c>
    </row>
    <row r="71">
      <c r="A71">
        <f>IF('Extra 2'!$A71="","",ROWS($A$2:$A71))</f>
        <v/>
      </c>
      <c r="B71">
        <f>IF('Extra 2'!$A71="","",'Extra 2'!E71)</f>
        <v/>
      </c>
      <c r="C71">
        <f>IF('Extra 2'!$A71="","",'Extra 2'!F71)</f>
        <v/>
      </c>
      <c r="D71" s="14">
        <f>IF('Extra 2'!$A71="","",'Extra 2'!I71)</f>
        <v/>
      </c>
      <c r="E71" s="7">
        <f>IF('Extra 2'!$A71="","",'Extra 2'!O71)</f>
        <v/>
      </c>
      <c r="F71" s="7">
        <f>IF('Extra 2'!$A71="","",'Extra 2'!L71)</f>
        <v/>
      </c>
      <c r="G71" s="7">
        <f>IF('Extra 2'!$A71="","",'Extra 2'!S71)</f>
        <v/>
      </c>
      <c r="H71">
        <f>IF('Extra 2'!$A71="","",'Extra 2'!P71)</f>
        <v/>
      </c>
      <c r="I71">
        <f>IF('Extra 2'!$A71="","",'Extra 2'!M71)</f>
        <v/>
      </c>
      <c r="J71" s="7">
        <f>IF('Extra 2'!$A71="","",'Extra 2'!Q71)</f>
        <v/>
      </c>
      <c r="K71" s="7">
        <f>IF('Extra 2'!$A71="","",'Extra 2'!H71)</f>
        <v/>
      </c>
      <c r="L71" s="7">
        <f>IF('Extra 2'!$A71="","",'Extra 2'!T71)</f>
        <v/>
      </c>
      <c r="M71">
        <f>IF('Extra 2'!$A71="","",'Extra 2'!G71)</f>
        <v/>
      </c>
    </row>
    <row r="72">
      <c r="A72">
        <f>IF('Extra 2'!$A72="","",ROWS($A$2:$A72))</f>
        <v/>
      </c>
      <c r="B72">
        <f>IF('Extra 2'!$A72="","",'Extra 2'!E72)</f>
        <v/>
      </c>
      <c r="C72">
        <f>IF('Extra 2'!$A72="","",'Extra 2'!F72)</f>
        <v/>
      </c>
      <c r="D72" s="14">
        <f>IF('Extra 2'!$A72="","",'Extra 2'!I72)</f>
        <v/>
      </c>
      <c r="E72" s="7">
        <f>IF('Extra 2'!$A72="","",'Extra 2'!O72)</f>
        <v/>
      </c>
      <c r="F72" s="7">
        <f>IF('Extra 2'!$A72="","",'Extra 2'!L72)</f>
        <v/>
      </c>
      <c r="G72" s="7">
        <f>IF('Extra 2'!$A72="","",'Extra 2'!S72)</f>
        <v/>
      </c>
      <c r="H72">
        <f>IF('Extra 2'!$A72="","",'Extra 2'!P72)</f>
        <v/>
      </c>
      <c r="I72">
        <f>IF('Extra 2'!$A72="","",'Extra 2'!M72)</f>
        <v/>
      </c>
      <c r="J72" s="7">
        <f>IF('Extra 2'!$A72="","",'Extra 2'!Q72)</f>
        <v/>
      </c>
      <c r="K72" s="7">
        <f>IF('Extra 2'!$A72="","",'Extra 2'!H72)</f>
        <v/>
      </c>
      <c r="L72" s="7">
        <f>IF('Extra 2'!$A72="","",'Extra 2'!T72)</f>
        <v/>
      </c>
      <c r="M72">
        <f>IF('Extra 2'!$A72="","",'Extra 2'!G72)</f>
        <v/>
      </c>
    </row>
    <row r="73">
      <c r="A73">
        <f>IF('Extra 2'!$A73="","",ROWS($A$2:$A73))</f>
        <v/>
      </c>
      <c r="B73">
        <f>IF('Extra 2'!$A73="","",'Extra 2'!E73)</f>
        <v/>
      </c>
      <c r="C73">
        <f>IF('Extra 2'!$A73="","",'Extra 2'!F73)</f>
        <v/>
      </c>
      <c r="D73" s="14">
        <f>IF('Extra 2'!$A73="","",'Extra 2'!I73)</f>
        <v/>
      </c>
      <c r="E73" s="7">
        <f>IF('Extra 2'!$A73="","",'Extra 2'!O73)</f>
        <v/>
      </c>
      <c r="F73" s="7">
        <f>IF('Extra 2'!$A73="","",'Extra 2'!L73)</f>
        <v/>
      </c>
      <c r="G73" s="7">
        <f>IF('Extra 2'!$A73="","",'Extra 2'!S73)</f>
        <v/>
      </c>
      <c r="H73">
        <f>IF('Extra 2'!$A73="","",'Extra 2'!P73)</f>
        <v/>
      </c>
      <c r="I73">
        <f>IF('Extra 2'!$A73="","",'Extra 2'!M73)</f>
        <v/>
      </c>
      <c r="J73" s="7">
        <f>IF('Extra 2'!$A73="","",'Extra 2'!Q73)</f>
        <v/>
      </c>
      <c r="K73" s="7">
        <f>IF('Extra 2'!$A73="","",'Extra 2'!H73)</f>
        <v/>
      </c>
      <c r="L73" s="7">
        <f>IF('Extra 2'!$A73="","",'Extra 2'!T73)</f>
        <v/>
      </c>
      <c r="M73">
        <f>IF('Extra 2'!$A73="","",'Extra 2'!G73)</f>
        <v/>
      </c>
    </row>
    <row r="74">
      <c r="A74">
        <f>IF('Extra 2'!$A74="","",ROWS($A$2:$A74))</f>
        <v/>
      </c>
      <c r="B74">
        <f>IF('Extra 2'!$A74="","",'Extra 2'!E74)</f>
        <v/>
      </c>
      <c r="C74">
        <f>IF('Extra 2'!$A74="","",'Extra 2'!F74)</f>
        <v/>
      </c>
      <c r="D74" s="14">
        <f>IF('Extra 2'!$A74="","",'Extra 2'!I74)</f>
        <v/>
      </c>
      <c r="E74" s="7">
        <f>IF('Extra 2'!$A74="","",'Extra 2'!O74)</f>
        <v/>
      </c>
      <c r="F74" s="7">
        <f>IF('Extra 2'!$A74="","",'Extra 2'!L74)</f>
        <v/>
      </c>
      <c r="G74" s="7">
        <f>IF('Extra 2'!$A74="","",'Extra 2'!S74)</f>
        <v/>
      </c>
      <c r="H74">
        <f>IF('Extra 2'!$A74="","",'Extra 2'!P74)</f>
        <v/>
      </c>
      <c r="I74">
        <f>IF('Extra 2'!$A74="","",'Extra 2'!M74)</f>
        <v/>
      </c>
      <c r="J74" s="7">
        <f>IF('Extra 2'!$A74="","",'Extra 2'!Q74)</f>
        <v/>
      </c>
      <c r="K74" s="7">
        <f>IF('Extra 2'!$A74="","",'Extra 2'!H74)</f>
        <v/>
      </c>
      <c r="L74" s="7">
        <f>IF('Extra 2'!$A74="","",'Extra 2'!T74)</f>
        <v/>
      </c>
      <c r="M74">
        <f>IF('Extra 2'!$A74="","",'Extra 2'!G74)</f>
        <v/>
      </c>
    </row>
    <row r="75">
      <c r="A75">
        <f>IF('Extra 2'!$A75="","",ROWS($A$2:$A75))</f>
        <v/>
      </c>
      <c r="B75">
        <f>IF('Extra 2'!$A75="","",'Extra 2'!E75)</f>
        <v/>
      </c>
      <c r="C75">
        <f>IF('Extra 2'!$A75="","",'Extra 2'!F75)</f>
        <v/>
      </c>
      <c r="D75" s="14">
        <f>IF('Extra 2'!$A75="","",'Extra 2'!I75)</f>
        <v/>
      </c>
      <c r="E75" s="7">
        <f>IF('Extra 2'!$A75="","",'Extra 2'!O75)</f>
        <v/>
      </c>
      <c r="F75" s="7">
        <f>IF('Extra 2'!$A75="","",'Extra 2'!L75)</f>
        <v/>
      </c>
      <c r="G75" s="7">
        <f>IF('Extra 2'!$A75="","",'Extra 2'!S75)</f>
        <v/>
      </c>
      <c r="H75">
        <f>IF('Extra 2'!$A75="","",'Extra 2'!P75)</f>
        <v/>
      </c>
      <c r="I75">
        <f>IF('Extra 2'!$A75="","",'Extra 2'!M75)</f>
        <v/>
      </c>
      <c r="J75" s="7">
        <f>IF('Extra 2'!$A75="","",'Extra 2'!Q75)</f>
        <v/>
      </c>
      <c r="K75" s="7">
        <f>IF('Extra 2'!$A75="","",'Extra 2'!H75)</f>
        <v/>
      </c>
      <c r="L75" s="7">
        <f>IF('Extra 2'!$A75="","",'Extra 2'!T75)</f>
        <v/>
      </c>
      <c r="M75">
        <f>IF('Extra 2'!$A75="","",'Extra 2'!G75)</f>
        <v/>
      </c>
    </row>
    <row r="76">
      <c r="A76">
        <f>IF('Extra 2'!$A76="","",ROWS($A$2:$A76))</f>
        <v/>
      </c>
      <c r="B76">
        <f>IF('Extra 2'!$A76="","",'Extra 2'!E76)</f>
        <v/>
      </c>
      <c r="C76">
        <f>IF('Extra 2'!$A76="","",'Extra 2'!F76)</f>
        <v/>
      </c>
      <c r="D76" s="14">
        <f>IF('Extra 2'!$A76="","",'Extra 2'!I76)</f>
        <v/>
      </c>
      <c r="E76" s="7">
        <f>IF('Extra 2'!$A76="","",'Extra 2'!O76)</f>
        <v/>
      </c>
      <c r="F76" s="7">
        <f>IF('Extra 2'!$A76="","",'Extra 2'!L76)</f>
        <v/>
      </c>
      <c r="G76" s="7">
        <f>IF('Extra 2'!$A76="","",'Extra 2'!S76)</f>
        <v/>
      </c>
      <c r="H76">
        <f>IF('Extra 2'!$A76="","",'Extra 2'!P76)</f>
        <v/>
      </c>
      <c r="I76">
        <f>IF('Extra 2'!$A76="","",'Extra 2'!M76)</f>
        <v/>
      </c>
      <c r="J76" s="7">
        <f>IF('Extra 2'!$A76="","",'Extra 2'!Q76)</f>
        <v/>
      </c>
      <c r="K76" s="7">
        <f>IF('Extra 2'!$A76="","",'Extra 2'!H76)</f>
        <v/>
      </c>
      <c r="L76" s="7">
        <f>IF('Extra 2'!$A76="","",'Extra 2'!T76)</f>
        <v/>
      </c>
      <c r="M76">
        <f>IF('Extra 2'!$A76="","",'Extra 2'!G76)</f>
        <v/>
      </c>
    </row>
    <row r="77">
      <c r="A77">
        <f>IF('Extra 2'!$A77="","",ROWS($A$2:$A77))</f>
        <v/>
      </c>
      <c r="B77">
        <f>IF('Extra 2'!$A77="","",'Extra 2'!E77)</f>
        <v/>
      </c>
      <c r="C77">
        <f>IF('Extra 2'!$A77="","",'Extra 2'!F77)</f>
        <v/>
      </c>
      <c r="D77" s="14">
        <f>IF('Extra 2'!$A77="","",'Extra 2'!I77)</f>
        <v/>
      </c>
      <c r="E77" s="7">
        <f>IF('Extra 2'!$A77="","",'Extra 2'!O77)</f>
        <v/>
      </c>
      <c r="F77" s="7">
        <f>IF('Extra 2'!$A77="","",'Extra 2'!L77)</f>
        <v/>
      </c>
      <c r="G77" s="7">
        <f>IF('Extra 2'!$A77="","",'Extra 2'!S77)</f>
        <v/>
      </c>
      <c r="H77">
        <f>IF('Extra 2'!$A77="","",'Extra 2'!P77)</f>
        <v/>
      </c>
      <c r="I77">
        <f>IF('Extra 2'!$A77="","",'Extra 2'!M77)</f>
        <v/>
      </c>
      <c r="J77" s="7">
        <f>IF('Extra 2'!$A77="","",'Extra 2'!Q77)</f>
        <v/>
      </c>
      <c r="K77" s="7">
        <f>IF('Extra 2'!$A77="","",'Extra 2'!H77)</f>
        <v/>
      </c>
      <c r="L77" s="7">
        <f>IF('Extra 2'!$A77="","",'Extra 2'!T77)</f>
        <v/>
      </c>
      <c r="M77">
        <f>IF('Extra 2'!$A77="","",'Extra 2'!G77)</f>
        <v/>
      </c>
    </row>
    <row r="78">
      <c r="A78">
        <f>IF('Extra 2'!$A78="","",ROWS($A$2:$A78))</f>
        <v/>
      </c>
      <c r="B78">
        <f>IF('Extra 2'!$A78="","",'Extra 2'!E78)</f>
        <v/>
      </c>
      <c r="C78">
        <f>IF('Extra 2'!$A78="","",'Extra 2'!F78)</f>
        <v/>
      </c>
      <c r="D78" s="14">
        <f>IF('Extra 2'!$A78="","",'Extra 2'!I78)</f>
        <v/>
      </c>
      <c r="E78" s="7">
        <f>IF('Extra 2'!$A78="","",'Extra 2'!O78)</f>
        <v/>
      </c>
      <c r="F78" s="7">
        <f>IF('Extra 2'!$A78="","",'Extra 2'!L78)</f>
        <v/>
      </c>
      <c r="G78" s="7">
        <f>IF('Extra 2'!$A78="","",'Extra 2'!S78)</f>
        <v/>
      </c>
      <c r="H78">
        <f>IF('Extra 2'!$A78="","",'Extra 2'!P78)</f>
        <v/>
      </c>
      <c r="I78">
        <f>IF('Extra 2'!$A78="","",'Extra 2'!M78)</f>
        <v/>
      </c>
      <c r="J78" s="7">
        <f>IF('Extra 2'!$A78="","",'Extra 2'!Q78)</f>
        <v/>
      </c>
      <c r="K78" s="7">
        <f>IF('Extra 2'!$A78="","",'Extra 2'!H78)</f>
        <v/>
      </c>
      <c r="L78" s="7">
        <f>IF('Extra 2'!$A78="","",'Extra 2'!T78)</f>
        <v/>
      </c>
      <c r="M78">
        <f>IF('Extra 2'!$A78="","",'Extra 2'!G78)</f>
        <v/>
      </c>
    </row>
    <row r="79">
      <c r="A79">
        <f>IF('Extra 2'!$A79="","",ROWS($A$2:$A79))</f>
        <v/>
      </c>
      <c r="B79">
        <f>IF('Extra 2'!$A79="","",'Extra 2'!E79)</f>
        <v/>
      </c>
      <c r="C79">
        <f>IF('Extra 2'!$A79="","",'Extra 2'!F79)</f>
        <v/>
      </c>
      <c r="D79" s="14">
        <f>IF('Extra 2'!$A79="","",'Extra 2'!I79)</f>
        <v/>
      </c>
      <c r="E79" s="7">
        <f>IF('Extra 2'!$A79="","",'Extra 2'!O79)</f>
        <v/>
      </c>
      <c r="F79" s="7">
        <f>IF('Extra 2'!$A79="","",'Extra 2'!L79)</f>
        <v/>
      </c>
      <c r="G79" s="7">
        <f>IF('Extra 2'!$A79="","",'Extra 2'!S79)</f>
        <v/>
      </c>
      <c r="H79">
        <f>IF('Extra 2'!$A79="","",'Extra 2'!P79)</f>
        <v/>
      </c>
      <c r="I79">
        <f>IF('Extra 2'!$A79="","",'Extra 2'!M79)</f>
        <v/>
      </c>
      <c r="J79" s="7">
        <f>IF('Extra 2'!$A79="","",'Extra 2'!Q79)</f>
        <v/>
      </c>
      <c r="K79" s="7">
        <f>IF('Extra 2'!$A79="","",'Extra 2'!H79)</f>
        <v/>
      </c>
      <c r="L79" s="7">
        <f>IF('Extra 2'!$A79="","",'Extra 2'!T79)</f>
        <v/>
      </c>
      <c r="M79">
        <f>IF('Extra 2'!$A79="","",'Extra 2'!G79)</f>
        <v/>
      </c>
    </row>
    <row r="80">
      <c r="A80">
        <f>IF('Extra 2'!$A80="","",ROWS($A$2:$A80))</f>
        <v/>
      </c>
      <c r="B80">
        <f>IF('Extra 2'!$A80="","",'Extra 2'!E80)</f>
        <v/>
      </c>
      <c r="C80">
        <f>IF('Extra 2'!$A80="","",'Extra 2'!F80)</f>
        <v/>
      </c>
      <c r="D80" s="14">
        <f>IF('Extra 2'!$A80="","",'Extra 2'!I80)</f>
        <v/>
      </c>
      <c r="E80" s="7">
        <f>IF('Extra 2'!$A80="","",'Extra 2'!O80)</f>
        <v/>
      </c>
      <c r="F80" s="7">
        <f>IF('Extra 2'!$A80="","",'Extra 2'!L80)</f>
        <v/>
      </c>
      <c r="G80" s="7">
        <f>IF('Extra 2'!$A80="","",'Extra 2'!S80)</f>
        <v/>
      </c>
      <c r="H80">
        <f>IF('Extra 2'!$A80="","",'Extra 2'!P80)</f>
        <v/>
      </c>
      <c r="I80">
        <f>IF('Extra 2'!$A80="","",'Extra 2'!M80)</f>
        <v/>
      </c>
      <c r="J80" s="7">
        <f>IF('Extra 2'!$A80="","",'Extra 2'!Q80)</f>
        <v/>
      </c>
      <c r="K80" s="7">
        <f>IF('Extra 2'!$A80="","",'Extra 2'!H80)</f>
        <v/>
      </c>
      <c r="L80" s="7">
        <f>IF('Extra 2'!$A80="","",'Extra 2'!T80)</f>
        <v/>
      </c>
      <c r="M80">
        <f>IF('Extra 2'!$A80="","",'Extra 2'!G80)</f>
        <v/>
      </c>
    </row>
    <row r="81">
      <c r="A81">
        <f>IF('Extra 2'!$A81="","",ROWS($A$2:$A81))</f>
        <v/>
      </c>
      <c r="B81">
        <f>IF('Extra 2'!$A81="","",'Extra 2'!E81)</f>
        <v/>
      </c>
      <c r="C81">
        <f>IF('Extra 2'!$A81="","",'Extra 2'!F81)</f>
        <v/>
      </c>
      <c r="D81" s="14">
        <f>IF('Extra 2'!$A81="","",'Extra 2'!I81)</f>
        <v/>
      </c>
      <c r="E81" s="7">
        <f>IF('Extra 2'!$A81="","",'Extra 2'!O81)</f>
        <v/>
      </c>
      <c r="F81" s="7">
        <f>IF('Extra 2'!$A81="","",'Extra 2'!L81)</f>
        <v/>
      </c>
      <c r="G81" s="7">
        <f>IF('Extra 2'!$A81="","",'Extra 2'!S81)</f>
        <v/>
      </c>
      <c r="H81">
        <f>IF('Extra 2'!$A81="","",'Extra 2'!P81)</f>
        <v/>
      </c>
      <c r="I81">
        <f>IF('Extra 2'!$A81="","",'Extra 2'!M81)</f>
        <v/>
      </c>
      <c r="J81" s="7">
        <f>IF('Extra 2'!$A81="","",'Extra 2'!Q81)</f>
        <v/>
      </c>
      <c r="K81" s="7">
        <f>IF('Extra 2'!$A81="","",'Extra 2'!H81)</f>
        <v/>
      </c>
      <c r="L81" s="7">
        <f>IF('Extra 2'!$A81="","",'Extra 2'!T81)</f>
        <v/>
      </c>
      <c r="M81">
        <f>IF('Extra 2'!$A81="","",'Extra 2'!G81)</f>
        <v/>
      </c>
    </row>
    <row r="82">
      <c r="A82">
        <f>IF('Extra 2'!$A82="","",ROWS($A$2:$A82))</f>
        <v/>
      </c>
      <c r="B82">
        <f>IF('Extra 2'!$A82="","",'Extra 2'!E82)</f>
        <v/>
      </c>
      <c r="C82">
        <f>IF('Extra 2'!$A82="","",'Extra 2'!F82)</f>
        <v/>
      </c>
      <c r="D82" s="14">
        <f>IF('Extra 2'!$A82="","",'Extra 2'!I82)</f>
        <v/>
      </c>
      <c r="E82" s="7">
        <f>IF('Extra 2'!$A82="","",'Extra 2'!O82)</f>
        <v/>
      </c>
      <c r="F82" s="7">
        <f>IF('Extra 2'!$A82="","",'Extra 2'!L82)</f>
        <v/>
      </c>
      <c r="G82" s="7">
        <f>IF('Extra 2'!$A82="","",'Extra 2'!S82)</f>
        <v/>
      </c>
      <c r="H82">
        <f>IF('Extra 2'!$A82="","",'Extra 2'!P82)</f>
        <v/>
      </c>
      <c r="I82">
        <f>IF('Extra 2'!$A82="","",'Extra 2'!M82)</f>
        <v/>
      </c>
      <c r="J82" s="7">
        <f>IF('Extra 2'!$A82="","",'Extra 2'!Q82)</f>
        <v/>
      </c>
      <c r="K82" s="7">
        <f>IF('Extra 2'!$A82="","",'Extra 2'!H82)</f>
        <v/>
      </c>
      <c r="L82" s="7">
        <f>IF('Extra 2'!$A82="","",'Extra 2'!T82)</f>
        <v/>
      </c>
      <c r="M82">
        <f>IF('Extra 2'!$A82="","",'Extra 2'!G82)</f>
        <v/>
      </c>
    </row>
    <row r="83">
      <c r="A83">
        <f>IF('Extra 2'!$A83="","",ROWS($A$2:$A83))</f>
        <v/>
      </c>
      <c r="B83">
        <f>IF('Extra 2'!$A83="","",'Extra 2'!E83)</f>
        <v/>
      </c>
      <c r="C83">
        <f>IF('Extra 2'!$A83="","",'Extra 2'!F83)</f>
        <v/>
      </c>
      <c r="D83" s="14">
        <f>IF('Extra 2'!$A83="","",'Extra 2'!I83)</f>
        <v/>
      </c>
      <c r="E83" s="7">
        <f>IF('Extra 2'!$A83="","",'Extra 2'!O83)</f>
        <v/>
      </c>
      <c r="F83" s="7">
        <f>IF('Extra 2'!$A83="","",'Extra 2'!L83)</f>
        <v/>
      </c>
      <c r="G83" s="7">
        <f>IF('Extra 2'!$A83="","",'Extra 2'!S83)</f>
        <v/>
      </c>
      <c r="H83">
        <f>IF('Extra 2'!$A83="","",'Extra 2'!P83)</f>
        <v/>
      </c>
      <c r="I83">
        <f>IF('Extra 2'!$A83="","",'Extra 2'!M83)</f>
        <v/>
      </c>
      <c r="J83" s="7">
        <f>IF('Extra 2'!$A83="","",'Extra 2'!Q83)</f>
        <v/>
      </c>
      <c r="K83" s="7">
        <f>IF('Extra 2'!$A83="","",'Extra 2'!H83)</f>
        <v/>
      </c>
      <c r="L83" s="7">
        <f>IF('Extra 2'!$A83="","",'Extra 2'!T83)</f>
        <v/>
      </c>
      <c r="M83">
        <f>IF('Extra 2'!$A83="","",'Extra 2'!G83)</f>
        <v/>
      </c>
    </row>
    <row r="84">
      <c r="A84">
        <f>IF('Extra 2'!$A84="","",ROWS($A$2:$A84))</f>
        <v/>
      </c>
      <c r="B84">
        <f>IF('Extra 2'!$A84="","",'Extra 2'!E84)</f>
        <v/>
      </c>
      <c r="C84">
        <f>IF('Extra 2'!$A84="","",'Extra 2'!F84)</f>
        <v/>
      </c>
      <c r="D84" s="14">
        <f>IF('Extra 2'!$A84="","",'Extra 2'!I84)</f>
        <v/>
      </c>
      <c r="E84" s="7">
        <f>IF('Extra 2'!$A84="","",'Extra 2'!O84)</f>
        <v/>
      </c>
      <c r="F84" s="7">
        <f>IF('Extra 2'!$A84="","",'Extra 2'!L84)</f>
        <v/>
      </c>
      <c r="G84" s="7">
        <f>IF('Extra 2'!$A84="","",'Extra 2'!S84)</f>
        <v/>
      </c>
      <c r="H84">
        <f>IF('Extra 2'!$A84="","",'Extra 2'!P84)</f>
        <v/>
      </c>
      <c r="I84">
        <f>IF('Extra 2'!$A84="","",'Extra 2'!M84)</f>
        <v/>
      </c>
      <c r="J84" s="7">
        <f>IF('Extra 2'!$A84="","",'Extra 2'!Q84)</f>
        <v/>
      </c>
      <c r="K84" s="7">
        <f>IF('Extra 2'!$A84="","",'Extra 2'!H84)</f>
        <v/>
      </c>
      <c r="L84" s="7">
        <f>IF('Extra 2'!$A84="","",'Extra 2'!T84)</f>
        <v/>
      </c>
      <c r="M84">
        <f>IF('Extra 2'!$A84="","",'Extra 2'!G84)</f>
        <v/>
      </c>
    </row>
    <row r="85">
      <c r="A85">
        <f>IF('Extra 2'!$A85="","",ROWS($A$2:$A85))</f>
        <v/>
      </c>
      <c r="B85">
        <f>IF('Extra 2'!$A85="","",'Extra 2'!E85)</f>
        <v/>
      </c>
      <c r="C85">
        <f>IF('Extra 2'!$A85="","",'Extra 2'!F85)</f>
        <v/>
      </c>
      <c r="D85" s="14">
        <f>IF('Extra 2'!$A85="","",'Extra 2'!I85)</f>
        <v/>
      </c>
      <c r="E85" s="7">
        <f>IF('Extra 2'!$A85="","",'Extra 2'!O85)</f>
        <v/>
      </c>
      <c r="F85" s="7">
        <f>IF('Extra 2'!$A85="","",'Extra 2'!L85)</f>
        <v/>
      </c>
      <c r="G85" s="7">
        <f>IF('Extra 2'!$A85="","",'Extra 2'!S85)</f>
        <v/>
      </c>
      <c r="H85">
        <f>IF('Extra 2'!$A85="","",'Extra 2'!P85)</f>
        <v/>
      </c>
      <c r="I85">
        <f>IF('Extra 2'!$A85="","",'Extra 2'!M85)</f>
        <v/>
      </c>
      <c r="J85" s="7">
        <f>IF('Extra 2'!$A85="","",'Extra 2'!Q85)</f>
        <v/>
      </c>
      <c r="K85" s="7">
        <f>IF('Extra 2'!$A85="","",'Extra 2'!H85)</f>
        <v/>
      </c>
      <c r="L85" s="7">
        <f>IF('Extra 2'!$A85="","",'Extra 2'!T85)</f>
        <v/>
      </c>
      <c r="M85">
        <f>IF('Extra 2'!$A85="","",'Extra 2'!G85)</f>
        <v/>
      </c>
    </row>
    <row r="86">
      <c r="A86">
        <f>IF('Extra 2'!$A86="","",ROWS($A$2:$A86))</f>
        <v/>
      </c>
      <c r="B86">
        <f>IF('Extra 2'!$A86="","",'Extra 2'!E86)</f>
        <v/>
      </c>
      <c r="C86">
        <f>IF('Extra 2'!$A86="","",'Extra 2'!F86)</f>
        <v/>
      </c>
      <c r="D86" s="14">
        <f>IF('Extra 2'!$A86="","",'Extra 2'!I86)</f>
        <v/>
      </c>
      <c r="E86" s="7">
        <f>IF('Extra 2'!$A86="","",'Extra 2'!O86)</f>
        <v/>
      </c>
      <c r="F86" s="7">
        <f>IF('Extra 2'!$A86="","",'Extra 2'!L86)</f>
        <v/>
      </c>
      <c r="G86" s="7">
        <f>IF('Extra 2'!$A86="","",'Extra 2'!S86)</f>
        <v/>
      </c>
      <c r="H86">
        <f>IF('Extra 2'!$A86="","",'Extra 2'!P86)</f>
        <v/>
      </c>
      <c r="I86">
        <f>IF('Extra 2'!$A86="","",'Extra 2'!M86)</f>
        <v/>
      </c>
      <c r="J86" s="7">
        <f>IF('Extra 2'!$A86="","",'Extra 2'!Q86)</f>
        <v/>
      </c>
      <c r="K86" s="7">
        <f>IF('Extra 2'!$A86="","",'Extra 2'!H86)</f>
        <v/>
      </c>
      <c r="L86" s="7">
        <f>IF('Extra 2'!$A86="","",'Extra 2'!T86)</f>
        <v/>
      </c>
      <c r="M86">
        <f>IF('Extra 2'!$A86="","",'Extra 2'!G86)</f>
        <v/>
      </c>
    </row>
    <row r="87">
      <c r="A87">
        <f>IF('Extra 2'!$A87="","",ROWS($A$2:$A87))</f>
        <v/>
      </c>
      <c r="B87">
        <f>IF('Extra 2'!$A87="","",'Extra 2'!E87)</f>
        <v/>
      </c>
      <c r="C87">
        <f>IF('Extra 2'!$A87="","",'Extra 2'!F87)</f>
        <v/>
      </c>
      <c r="D87" s="14">
        <f>IF('Extra 2'!$A87="","",'Extra 2'!I87)</f>
        <v/>
      </c>
      <c r="E87" s="7">
        <f>IF('Extra 2'!$A87="","",'Extra 2'!O87)</f>
        <v/>
      </c>
      <c r="F87" s="7">
        <f>IF('Extra 2'!$A87="","",'Extra 2'!L87)</f>
        <v/>
      </c>
      <c r="G87" s="7">
        <f>IF('Extra 2'!$A87="","",'Extra 2'!S87)</f>
        <v/>
      </c>
      <c r="H87">
        <f>IF('Extra 2'!$A87="","",'Extra 2'!P87)</f>
        <v/>
      </c>
      <c r="I87">
        <f>IF('Extra 2'!$A87="","",'Extra 2'!M87)</f>
        <v/>
      </c>
      <c r="J87" s="7">
        <f>IF('Extra 2'!$A87="","",'Extra 2'!Q87)</f>
        <v/>
      </c>
      <c r="K87" s="7">
        <f>IF('Extra 2'!$A87="","",'Extra 2'!H87)</f>
        <v/>
      </c>
      <c r="L87" s="7">
        <f>IF('Extra 2'!$A87="","",'Extra 2'!T87)</f>
        <v/>
      </c>
      <c r="M87">
        <f>IF('Extra 2'!$A87="","",'Extra 2'!G87)</f>
        <v/>
      </c>
    </row>
    <row r="88">
      <c r="A88">
        <f>IF('Extra 2'!$A88="","",ROWS($A$2:$A88))</f>
        <v/>
      </c>
      <c r="B88">
        <f>IF('Extra 2'!$A88="","",'Extra 2'!E88)</f>
        <v/>
      </c>
      <c r="C88">
        <f>IF('Extra 2'!$A88="","",'Extra 2'!F88)</f>
        <v/>
      </c>
      <c r="D88" s="14">
        <f>IF('Extra 2'!$A88="","",'Extra 2'!I88)</f>
        <v/>
      </c>
      <c r="E88" s="7">
        <f>IF('Extra 2'!$A88="","",'Extra 2'!O88)</f>
        <v/>
      </c>
      <c r="F88" s="7">
        <f>IF('Extra 2'!$A88="","",'Extra 2'!L88)</f>
        <v/>
      </c>
      <c r="G88" s="7">
        <f>IF('Extra 2'!$A88="","",'Extra 2'!S88)</f>
        <v/>
      </c>
      <c r="H88">
        <f>IF('Extra 2'!$A88="","",'Extra 2'!P88)</f>
        <v/>
      </c>
      <c r="I88">
        <f>IF('Extra 2'!$A88="","",'Extra 2'!M88)</f>
        <v/>
      </c>
      <c r="J88" s="7">
        <f>IF('Extra 2'!$A88="","",'Extra 2'!Q88)</f>
        <v/>
      </c>
      <c r="K88" s="7">
        <f>IF('Extra 2'!$A88="","",'Extra 2'!H88)</f>
        <v/>
      </c>
      <c r="L88" s="7">
        <f>IF('Extra 2'!$A88="","",'Extra 2'!T88)</f>
        <v/>
      </c>
      <c r="M88">
        <f>IF('Extra 2'!$A88="","",'Extra 2'!G88)</f>
        <v/>
      </c>
    </row>
    <row r="89">
      <c r="A89">
        <f>IF('Extra 2'!$A89="","",ROWS($A$2:$A89))</f>
        <v/>
      </c>
      <c r="B89">
        <f>IF('Extra 2'!$A89="","",'Extra 2'!E89)</f>
        <v/>
      </c>
      <c r="C89">
        <f>IF('Extra 2'!$A89="","",'Extra 2'!F89)</f>
        <v/>
      </c>
      <c r="D89" s="14">
        <f>IF('Extra 2'!$A89="","",'Extra 2'!I89)</f>
        <v/>
      </c>
      <c r="E89" s="7">
        <f>IF('Extra 2'!$A89="","",'Extra 2'!O89)</f>
        <v/>
      </c>
      <c r="F89" s="7">
        <f>IF('Extra 2'!$A89="","",'Extra 2'!L89)</f>
        <v/>
      </c>
      <c r="G89" s="7">
        <f>IF('Extra 2'!$A89="","",'Extra 2'!S89)</f>
        <v/>
      </c>
      <c r="H89">
        <f>IF('Extra 2'!$A89="","",'Extra 2'!P89)</f>
        <v/>
      </c>
      <c r="I89">
        <f>IF('Extra 2'!$A89="","",'Extra 2'!M89)</f>
        <v/>
      </c>
      <c r="J89" s="7">
        <f>IF('Extra 2'!$A89="","",'Extra 2'!Q89)</f>
        <v/>
      </c>
      <c r="K89" s="7">
        <f>IF('Extra 2'!$A89="","",'Extra 2'!H89)</f>
        <v/>
      </c>
      <c r="L89" s="7">
        <f>IF('Extra 2'!$A89="","",'Extra 2'!T89)</f>
        <v/>
      </c>
      <c r="M89">
        <f>IF('Extra 2'!$A89="","",'Extra 2'!G89)</f>
        <v/>
      </c>
    </row>
    <row r="90">
      <c r="A90">
        <f>IF('Extra 2'!$A90="","",ROWS($A$2:$A90))</f>
        <v/>
      </c>
      <c r="B90">
        <f>IF('Extra 2'!$A90="","",'Extra 2'!E90)</f>
        <v/>
      </c>
      <c r="C90">
        <f>IF('Extra 2'!$A90="","",'Extra 2'!F90)</f>
        <v/>
      </c>
      <c r="D90" s="14">
        <f>IF('Extra 2'!$A90="","",'Extra 2'!I90)</f>
        <v/>
      </c>
      <c r="E90" s="7">
        <f>IF('Extra 2'!$A90="","",'Extra 2'!O90)</f>
        <v/>
      </c>
      <c r="F90" s="7">
        <f>IF('Extra 2'!$A90="","",'Extra 2'!L90)</f>
        <v/>
      </c>
      <c r="G90" s="7">
        <f>IF('Extra 2'!$A90="","",'Extra 2'!S90)</f>
        <v/>
      </c>
      <c r="H90">
        <f>IF('Extra 2'!$A90="","",'Extra 2'!P90)</f>
        <v/>
      </c>
      <c r="I90">
        <f>IF('Extra 2'!$A90="","",'Extra 2'!M90)</f>
        <v/>
      </c>
      <c r="J90" s="7">
        <f>IF('Extra 2'!$A90="","",'Extra 2'!Q90)</f>
        <v/>
      </c>
      <c r="K90" s="7">
        <f>IF('Extra 2'!$A90="","",'Extra 2'!H90)</f>
        <v/>
      </c>
      <c r="L90" s="7">
        <f>IF('Extra 2'!$A90="","",'Extra 2'!T90)</f>
        <v/>
      </c>
      <c r="M90">
        <f>IF('Extra 2'!$A90="","",'Extra 2'!G90)</f>
        <v/>
      </c>
    </row>
    <row r="91">
      <c r="A91">
        <f>IF('Extra 2'!$A91="","",ROWS($A$2:$A91))</f>
        <v/>
      </c>
      <c r="B91">
        <f>IF('Extra 2'!$A91="","",'Extra 2'!E91)</f>
        <v/>
      </c>
      <c r="C91">
        <f>IF('Extra 2'!$A91="","",'Extra 2'!F91)</f>
        <v/>
      </c>
      <c r="D91" s="14">
        <f>IF('Extra 2'!$A91="","",'Extra 2'!I91)</f>
        <v/>
      </c>
      <c r="E91" s="7">
        <f>IF('Extra 2'!$A91="","",'Extra 2'!O91)</f>
        <v/>
      </c>
      <c r="F91" s="7">
        <f>IF('Extra 2'!$A91="","",'Extra 2'!L91)</f>
        <v/>
      </c>
      <c r="G91" s="7">
        <f>IF('Extra 2'!$A91="","",'Extra 2'!S91)</f>
        <v/>
      </c>
      <c r="H91">
        <f>IF('Extra 2'!$A91="","",'Extra 2'!P91)</f>
        <v/>
      </c>
      <c r="I91">
        <f>IF('Extra 2'!$A91="","",'Extra 2'!M91)</f>
        <v/>
      </c>
      <c r="J91" s="7">
        <f>IF('Extra 2'!$A91="","",'Extra 2'!Q91)</f>
        <v/>
      </c>
      <c r="K91" s="7">
        <f>IF('Extra 2'!$A91="","",'Extra 2'!H91)</f>
        <v/>
      </c>
      <c r="L91" s="7">
        <f>IF('Extra 2'!$A91="","",'Extra 2'!T91)</f>
        <v/>
      </c>
      <c r="M91">
        <f>IF('Extra 2'!$A91="","",'Extra 2'!G91)</f>
        <v/>
      </c>
    </row>
    <row r="92">
      <c r="A92">
        <f>IF('Extra 2'!$A92="","",ROWS($A$2:$A92))</f>
        <v/>
      </c>
      <c r="B92">
        <f>IF('Extra 2'!$A92="","",'Extra 2'!E92)</f>
        <v/>
      </c>
      <c r="C92">
        <f>IF('Extra 2'!$A92="","",'Extra 2'!F92)</f>
        <v/>
      </c>
      <c r="D92" s="14">
        <f>IF('Extra 2'!$A92="","",'Extra 2'!I92)</f>
        <v/>
      </c>
      <c r="E92" s="7">
        <f>IF('Extra 2'!$A92="","",'Extra 2'!O92)</f>
        <v/>
      </c>
      <c r="F92" s="7">
        <f>IF('Extra 2'!$A92="","",'Extra 2'!L92)</f>
        <v/>
      </c>
      <c r="G92" s="7">
        <f>IF('Extra 2'!$A92="","",'Extra 2'!S92)</f>
        <v/>
      </c>
      <c r="H92">
        <f>IF('Extra 2'!$A92="","",'Extra 2'!P92)</f>
        <v/>
      </c>
      <c r="I92">
        <f>IF('Extra 2'!$A92="","",'Extra 2'!M92)</f>
        <v/>
      </c>
      <c r="J92" s="7">
        <f>IF('Extra 2'!$A92="","",'Extra 2'!Q92)</f>
        <v/>
      </c>
      <c r="K92" s="7">
        <f>IF('Extra 2'!$A92="","",'Extra 2'!H92)</f>
        <v/>
      </c>
      <c r="L92" s="7">
        <f>IF('Extra 2'!$A92="","",'Extra 2'!T92)</f>
        <v/>
      </c>
      <c r="M92">
        <f>IF('Extra 2'!$A92="","",'Extra 2'!G92)</f>
        <v/>
      </c>
    </row>
    <row r="93">
      <c r="A93">
        <f>IF('Extra 2'!$A93="","",ROWS($A$2:$A93))</f>
        <v/>
      </c>
      <c r="B93">
        <f>IF('Extra 2'!$A93="","",'Extra 2'!E93)</f>
        <v/>
      </c>
      <c r="C93">
        <f>IF('Extra 2'!$A93="","",'Extra 2'!F93)</f>
        <v/>
      </c>
      <c r="D93" s="14">
        <f>IF('Extra 2'!$A93="","",'Extra 2'!I93)</f>
        <v/>
      </c>
      <c r="E93" s="7">
        <f>IF('Extra 2'!$A93="","",'Extra 2'!O93)</f>
        <v/>
      </c>
      <c r="F93" s="7">
        <f>IF('Extra 2'!$A93="","",'Extra 2'!L93)</f>
        <v/>
      </c>
      <c r="G93" s="7">
        <f>IF('Extra 2'!$A93="","",'Extra 2'!S93)</f>
        <v/>
      </c>
      <c r="H93">
        <f>IF('Extra 2'!$A93="","",'Extra 2'!P93)</f>
        <v/>
      </c>
      <c r="I93">
        <f>IF('Extra 2'!$A93="","",'Extra 2'!M93)</f>
        <v/>
      </c>
      <c r="J93" s="7">
        <f>IF('Extra 2'!$A93="","",'Extra 2'!Q93)</f>
        <v/>
      </c>
      <c r="K93" s="7">
        <f>IF('Extra 2'!$A93="","",'Extra 2'!H93)</f>
        <v/>
      </c>
      <c r="L93" s="7">
        <f>IF('Extra 2'!$A93="","",'Extra 2'!T93)</f>
        <v/>
      </c>
      <c r="M93">
        <f>IF('Extra 2'!$A93="","",'Extra 2'!G93)</f>
        <v/>
      </c>
    </row>
    <row r="94">
      <c r="A94">
        <f>IF('Extra 2'!$A94="","",ROWS($A$2:$A94))</f>
        <v/>
      </c>
      <c r="B94">
        <f>IF('Extra 2'!$A94="","",'Extra 2'!E94)</f>
        <v/>
      </c>
      <c r="C94">
        <f>IF('Extra 2'!$A94="","",'Extra 2'!F94)</f>
        <v/>
      </c>
      <c r="D94" s="14">
        <f>IF('Extra 2'!$A94="","",'Extra 2'!I94)</f>
        <v/>
      </c>
      <c r="E94" s="7">
        <f>IF('Extra 2'!$A94="","",'Extra 2'!O94)</f>
        <v/>
      </c>
      <c r="F94" s="7">
        <f>IF('Extra 2'!$A94="","",'Extra 2'!L94)</f>
        <v/>
      </c>
      <c r="G94" s="7">
        <f>IF('Extra 2'!$A94="","",'Extra 2'!S94)</f>
        <v/>
      </c>
      <c r="H94">
        <f>IF('Extra 2'!$A94="","",'Extra 2'!P94)</f>
        <v/>
      </c>
      <c r="I94">
        <f>IF('Extra 2'!$A94="","",'Extra 2'!M94)</f>
        <v/>
      </c>
      <c r="J94" s="7">
        <f>IF('Extra 2'!$A94="","",'Extra 2'!Q94)</f>
        <v/>
      </c>
      <c r="K94" s="7">
        <f>IF('Extra 2'!$A94="","",'Extra 2'!H94)</f>
        <v/>
      </c>
      <c r="L94" s="7">
        <f>IF('Extra 2'!$A94="","",'Extra 2'!T94)</f>
        <v/>
      </c>
      <c r="M94">
        <f>IF('Extra 2'!$A94="","",'Extra 2'!G94)</f>
        <v/>
      </c>
    </row>
    <row r="95">
      <c r="A95">
        <f>IF('Extra 2'!$A95="","",ROWS($A$2:$A95))</f>
        <v/>
      </c>
      <c r="B95">
        <f>IF('Extra 2'!$A95="","",'Extra 2'!E95)</f>
        <v/>
      </c>
      <c r="C95">
        <f>IF('Extra 2'!$A95="","",'Extra 2'!F95)</f>
        <v/>
      </c>
      <c r="D95" s="14">
        <f>IF('Extra 2'!$A95="","",'Extra 2'!I95)</f>
        <v/>
      </c>
      <c r="E95" s="7">
        <f>IF('Extra 2'!$A95="","",'Extra 2'!O95)</f>
        <v/>
      </c>
      <c r="F95" s="7">
        <f>IF('Extra 2'!$A95="","",'Extra 2'!L95)</f>
        <v/>
      </c>
      <c r="G95" s="7">
        <f>IF('Extra 2'!$A95="","",'Extra 2'!S95)</f>
        <v/>
      </c>
      <c r="H95">
        <f>IF('Extra 2'!$A95="","",'Extra 2'!P95)</f>
        <v/>
      </c>
      <c r="I95">
        <f>IF('Extra 2'!$A95="","",'Extra 2'!M95)</f>
        <v/>
      </c>
      <c r="J95" s="7">
        <f>IF('Extra 2'!$A95="","",'Extra 2'!Q95)</f>
        <v/>
      </c>
      <c r="K95" s="7">
        <f>IF('Extra 2'!$A95="","",'Extra 2'!H95)</f>
        <v/>
      </c>
      <c r="L95" s="7">
        <f>IF('Extra 2'!$A95="","",'Extra 2'!T95)</f>
        <v/>
      </c>
      <c r="M95">
        <f>IF('Extra 2'!$A95="","",'Extra 2'!G95)</f>
        <v/>
      </c>
    </row>
    <row r="96">
      <c r="A96">
        <f>IF('Extra 2'!$A96="","",ROWS($A$2:$A96))</f>
        <v/>
      </c>
      <c r="B96">
        <f>IF('Extra 2'!$A96="","",'Extra 2'!E96)</f>
        <v/>
      </c>
      <c r="C96">
        <f>IF('Extra 2'!$A96="","",'Extra 2'!F96)</f>
        <v/>
      </c>
      <c r="D96" s="14">
        <f>IF('Extra 2'!$A96="","",'Extra 2'!I96)</f>
        <v/>
      </c>
      <c r="E96" s="7">
        <f>IF('Extra 2'!$A96="","",'Extra 2'!O96)</f>
        <v/>
      </c>
      <c r="F96" s="7">
        <f>IF('Extra 2'!$A96="","",'Extra 2'!L96)</f>
        <v/>
      </c>
      <c r="G96" s="7">
        <f>IF('Extra 2'!$A96="","",'Extra 2'!S96)</f>
        <v/>
      </c>
      <c r="H96">
        <f>IF('Extra 2'!$A96="","",'Extra 2'!P96)</f>
        <v/>
      </c>
      <c r="I96">
        <f>IF('Extra 2'!$A96="","",'Extra 2'!M96)</f>
        <v/>
      </c>
      <c r="J96" s="7">
        <f>IF('Extra 2'!$A96="","",'Extra 2'!Q96)</f>
        <v/>
      </c>
      <c r="K96" s="7">
        <f>IF('Extra 2'!$A96="","",'Extra 2'!H96)</f>
        <v/>
      </c>
      <c r="L96" s="7">
        <f>IF('Extra 2'!$A96="","",'Extra 2'!T96)</f>
        <v/>
      </c>
      <c r="M96">
        <f>IF('Extra 2'!$A96="","",'Extra 2'!G96)</f>
        <v/>
      </c>
    </row>
    <row r="97">
      <c r="A97">
        <f>IF('Extra 2'!$A97="","",ROWS($A$2:$A97))</f>
        <v/>
      </c>
      <c r="B97">
        <f>IF('Extra 2'!$A97="","",'Extra 2'!E97)</f>
        <v/>
      </c>
      <c r="C97">
        <f>IF('Extra 2'!$A97="","",'Extra 2'!F97)</f>
        <v/>
      </c>
      <c r="D97" s="14">
        <f>IF('Extra 2'!$A97="","",'Extra 2'!I97)</f>
        <v/>
      </c>
      <c r="E97" s="7">
        <f>IF('Extra 2'!$A97="","",'Extra 2'!O97)</f>
        <v/>
      </c>
      <c r="F97" s="7">
        <f>IF('Extra 2'!$A97="","",'Extra 2'!L97)</f>
        <v/>
      </c>
      <c r="G97" s="7">
        <f>IF('Extra 2'!$A97="","",'Extra 2'!S97)</f>
        <v/>
      </c>
      <c r="H97">
        <f>IF('Extra 2'!$A97="","",'Extra 2'!P97)</f>
        <v/>
      </c>
      <c r="I97">
        <f>IF('Extra 2'!$A97="","",'Extra 2'!M97)</f>
        <v/>
      </c>
      <c r="J97" s="7">
        <f>IF('Extra 2'!$A97="","",'Extra 2'!Q97)</f>
        <v/>
      </c>
      <c r="K97" s="7">
        <f>IF('Extra 2'!$A97="","",'Extra 2'!H97)</f>
        <v/>
      </c>
      <c r="L97" s="7">
        <f>IF('Extra 2'!$A97="","",'Extra 2'!T97)</f>
        <v/>
      </c>
      <c r="M97">
        <f>IF('Extra 2'!$A97="","",'Extra 2'!G97)</f>
        <v/>
      </c>
    </row>
    <row r="98">
      <c r="A98">
        <f>IF('Extra 2'!$A98="","",ROWS($A$2:$A98))</f>
        <v/>
      </c>
      <c r="B98">
        <f>IF('Extra 2'!$A98="","",'Extra 2'!E98)</f>
        <v/>
      </c>
      <c r="C98">
        <f>IF('Extra 2'!$A98="","",'Extra 2'!F98)</f>
        <v/>
      </c>
      <c r="D98" s="14">
        <f>IF('Extra 2'!$A98="","",'Extra 2'!I98)</f>
        <v/>
      </c>
      <c r="E98" s="7">
        <f>IF('Extra 2'!$A98="","",'Extra 2'!O98)</f>
        <v/>
      </c>
      <c r="F98" s="7">
        <f>IF('Extra 2'!$A98="","",'Extra 2'!L98)</f>
        <v/>
      </c>
      <c r="G98" s="7">
        <f>IF('Extra 2'!$A98="","",'Extra 2'!S98)</f>
        <v/>
      </c>
      <c r="H98">
        <f>IF('Extra 2'!$A98="","",'Extra 2'!P98)</f>
        <v/>
      </c>
      <c r="I98">
        <f>IF('Extra 2'!$A98="","",'Extra 2'!M98)</f>
        <v/>
      </c>
      <c r="J98" s="7">
        <f>IF('Extra 2'!$A98="","",'Extra 2'!Q98)</f>
        <v/>
      </c>
      <c r="K98" s="7">
        <f>IF('Extra 2'!$A98="","",'Extra 2'!H98)</f>
        <v/>
      </c>
      <c r="L98" s="7">
        <f>IF('Extra 2'!$A98="","",'Extra 2'!T98)</f>
        <v/>
      </c>
      <c r="M98">
        <f>IF('Extra 2'!$A98="","",'Extra 2'!G98)</f>
        <v/>
      </c>
    </row>
    <row r="99">
      <c r="A99">
        <f>IF('Extra 2'!$A99="","",ROWS($A$2:$A99))</f>
        <v/>
      </c>
      <c r="B99">
        <f>IF('Extra 2'!$A99="","",'Extra 2'!E99)</f>
        <v/>
      </c>
      <c r="C99">
        <f>IF('Extra 2'!$A99="","",'Extra 2'!F99)</f>
        <v/>
      </c>
      <c r="D99" s="14">
        <f>IF('Extra 2'!$A99="","",'Extra 2'!I99)</f>
        <v/>
      </c>
      <c r="E99" s="7">
        <f>IF('Extra 2'!$A99="","",'Extra 2'!O99)</f>
        <v/>
      </c>
      <c r="F99" s="7">
        <f>IF('Extra 2'!$A99="","",'Extra 2'!L99)</f>
        <v/>
      </c>
      <c r="G99" s="7">
        <f>IF('Extra 2'!$A99="","",'Extra 2'!S99)</f>
        <v/>
      </c>
      <c r="H99">
        <f>IF('Extra 2'!$A99="","",'Extra 2'!P99)</f>
        <v/>
      </c>
      <c r="I99">
        <f>IF('Extra 2'!$A99="","",'Extra 2'!M99)</f>
        <v/>
      </c>
      <c r="J99" s="7">
        <f>IF('Extra 2'!$A99="","",'Extra 2'!Q99)</f>
        <v/>
      </c>
      <c r="K99" s="7">
        <f>IF('Extra 2'!$A99="","",'Extra 2'!H99)</f>
        <v/>
      </c>
      <c r="L99" s="7">
        <f>IF('Extra 2'!$A99="","",'Extra 2'!T99)</f>
        <v/>
      </c>
      <c r="M99">
        <f>IF('Extra 2'!$A99="","",'Extra 2'!G99)</f>
        <v/>
      </c>
    </row>
    <row r="100">
      <c r="A100">
        <f>IF('Extra 2'!$A100="","",ROWS($A$2:$A100))</f>
        <v/>
      </c>
      <c r="B100">
        <f>IF('Extra 2'!$A100="","",'Extra 2'!E100)</f>
        <v/>
      </c>
      <c r="C100">
        <f>IF('Extra 2'!$A100="","",'Extra 2'!F100)</f>
        <v/>
      </c>
      <c r="D100" s="14">
        <f>IF('Extra 2'!$A100="","",'Extra 2'!I100)</f>
        <v/>
      </c>
      <c r="E100" s="7">
        <f>IF('Extra 2'!$A100="","",'Extra 2'!O100)</f>
        <v/>
      </c>
      <c r="F100" s="7">
        <f>IF('Extra 2'!$A100="","",'Extra 2'!L100)</f>
        <v/>
      </c>
      <c r="G100" s="7">
        <f>IF('Extra 2'!$A100="","",'Extra 2'!S100)</f>
        <v/>
      </c>
      <c r="H100">
        <f>IF('Extra 2'!$A100="","",'Extra 2'!P100)</f>
        <v/>
      </c>
      <c r="I100">
        <f>IF('Extra 2'!$A100="","",'Extra 2'!M100)</f>
        <v/>
      </c>
      <c r="J100" s="7">
        <f>IF('Extra 2'!$A100="","",'Extra 2'!Q100)</f>
        <v/>
      </c>
      <c r="K100" s="7">
        <f>IF('Extra 2'!$A100="","",'Extra 2'!H100)</f>
        <v/>
      </c>
      <c r="L100" s="7">
        <f>IF('Extra 2'!$A100="","",'Extra 2'!T100)</f>
        <v/>
      </c>
      <c r="M100">
        <f>IF('Extra 2'!$A100="","",'Extra 2'!G100)</f>
        <v/>
      </c>
    </row>
    <row r="101">
      <c r="A101">
        <f>IF('Extra 2'!$A101="","",ROWS($A$2:$A101))</f>
        <v/>
      </c>
      <c r="B101">
        <f>IF('Extra 2'!$A101="","",'Extra 2'!E101)</f>
        <v/>
      </c>
      <c r="C101">
        <f>IF('Extra 2'!$A101="","",'Extra 2'!F101)</f>
        <v/>
      </c>
      <c r="D101" s="14">
        <f>IF('Extra 2'!$A101="","",'Extra 2'!I101)</f>
        <v/>
      </c>
      <c r="E101" s="7">
        <f>IF('Extra 2'!$A101="","",'Extra 2'!O101)</f>
        <v/>
      </c>
      <c r="F101" s="7">
        <f>IF('Extra 2'!$A101="","",'Extra 2'!L101)</f>
        <v/>
      </c>
      <c r="G101" s="7">
        <f>IF('Extra 2'!$A101="","",'Extra 2'!S101)</f>
        <v/>
      </c>
      <c r="H101">
        <f>IF('Extra 2'!$A101="","",'Extra 2'!P101)</f>
        <v/>
      </c>
      <c r="I101">
        <f>IF('Extra 2'!$A101="","",'Extra 2'!M101)</f>
        <v/>
      </c>
      <c r="J101" s="7">
        <f>IF('Extra 2'!$A101="","",'Extra 2'!Q101)</f>
        <v/>
      </c>
      <c r="K101" s="7">
        <f>IF('Extra 2'!$A101="","",'Extra 2'!H101)</f>
        <v/>
      </c>
      <c r="L101" s="7">
        <f>IF('Extra 2'!$A101="","",'Extra 2'!T101)</f>
        <v/>
      </c>
      <c r="M101">
        <f>IF('Extra 2'!$A101="","",'Extra 2'!G101)</f>
        <v/>
      </c>
    </row>
    <row r="102">
      <c r="A102">
        <f>IF('Extra 2'!$A102="","",ROWS($A$2:$A102))</f>
        <v/>
      </c>
      <c r="B102">
        <f>IF('Extra 2'!$A102="","",'Extra 2'!E102)</f>
        <v/>
      </c>
      <c r="C102">
        <f>IF('Extra 2'!$A102="","",'Extra 2'!F102)</f>
        <v/>
      </c>
      <c r="D102" s="14">
        <f>IF('Extra 2'!$A102="","",'Extra 2'!I102)</f>
        <v/>
      </c>
      <c r="E102" s="7">
        <f>IF('Extra 2'!$A102="","",'Extra 2'!O102)</f>
        <v/>
      </c>
      <c r="F102" s="7">
        <f>IF('Extra 2'!$A102="","",'Extra 2'!L102)</f>
        <v/>
      </c>
      <c r="G102" s="7">
        <f>IF('Extra 2'!$A102="","",'Extra 2'!S102)</f>
        <v/>
      </c>
      <c r="H102">
        <f>IF('Extra 2'!$A102="","",'Extra 2'!P102)</f>
        <v/>
      </c>
      <c r="I102">
        <f>IF('Extra 2'!$A102="","",'Extra 2'!M102)</f>
        <v/>
      </c>
      <c r="J102" s="7">
        <f>IF('Extra 2'!$A102="","",'Extra 2'!Q102)</f>
        <v/>
      </c>
      <c r="K102" s="7">
        <f>IF('Extra 2'!$A102="","",'Extra 2'!H102)</f>
        <v/>
      </c>
      <c r="L102" s="7">
        <f>IF('Extra 2'!$A102="","",'Extra 2'!T102)</f>
        <v/>
      </c>
      <c r="M102">
        <f>IF('Extra 2'!$A102="","",'Extra 2'!G102)</f>
        <v/>
      </c>
    </row>
    <row r="103">
      <c r="A103">
        <f>IF('Extra 2'!$A103="","",ROWS($A$2:$A103))</f>
        <v/>
      </c>
      <c r="B103">
        <f>IF('Extra 2'!$A103="","",'Extra 2'!E103)</f>
        <v/>
      </c>
      <c r="C103">
        <f>IF('Extra 2'!$A103="","",'Extra 2'!F103)</f>
        <v/>
      </c>
      <c r="D103" s="14">
        <f>IF('Extra 2'!$A103="","",'Extra 2'!I103)</f>
        <v/>
      </c>
      <c r="E103" s="7">
        <f>IF('Extra 2'!$A103="","",'Extra 2'!O103)</f>
        <v/>
      </c>
      <c r="F103" s="7">
        <f>IF('Extra 2'!$A103="","",'Extra 2'!L103)</f>
        <v/>
      </c>
      <c r="G103" s="7">
        <f>IF('Extra 2'!$A103="","",'Extra 2'!S103)</f>
        <v/>
      </c>
      <c r="H103">
        <f>IF('Extra 2'!$A103="","",'Extra 2'!P103)</f>
        <v/>
      </c>
      <c r="I103">
        <f>IF('Extra 2'!$A103="","",'Extra 2'!M103)</f>
        <v/>
      </c>
      <c r="J103" s="7">
        <f>IF('Extra 2'!$A103="","",'Extra 2'!Q103)</f>
        <v/>
      </c>
      <c r="K103" s="7">
        <f>IF('Extra 2'!$A103="","",'Extra 2'!H103)</f>
        <v/>
      </c>
      <c r="L103" s="7">
        <f>IF('Extra 2'!$A103="","",'Extra 2'!T103)</f>
        <v/>
      </c>
      <c r="M103">
        <f>IF('Extra 2'!$A103="","",'Extra 2'!G103)</f>
        <v/>
      </c>
    </row>
    <row r="104">
      <c r="A104">
        <f>IF('Extra 2'!$A104="","",ROWS($A$2:$A104))</f>
        <v/>
      </c>
      <c r="B104">
        <f>IF('Extra 2'!$A104="","",'Extra 2'!E104)</f>
        <v/>
      </c>
      <c r="C104">
        <f>IF('Extra 2'!$A104="","",'Extra 2'!F104)</f>
        <v/>
      </c>
      <c r="D104" s="14">
        <f>IF('Extra 2'!$A104="","",'Extra 2'!I104)</f>
        <v/>
      </c>
      <c r="E104" s="7">
        <f>IF('Extra 2'!$A104="","",'Extra 2'!O104)</f>
        <v/>
      </c>
      <c r="F104" s="7">
        <f>IF('Extra 2'!$A104="","",'Extra 2'!L104)</f>
        <v/>
      </c>
      <c r="G104" s="7">
        <f>IF('Extra 2'!$A104="","",'Extra 2'!S104)</f>
        <v/>
      </c>
      <c r="H104">
        <f>IF('Extra 2'!$A104="","",'Extra 2'!P104)</f>
        <v/>
      </c>
      <c r="I104">
        <f>IF('Extra 2'!$A104="","",'Extra 2'!M104)</f>
        <v/>
      </c>
      <c r="J104" s="7">
        <f>IF('Extra 2'!$A104="","",'Extra 2'!Q104)</f>
        <v/>
      </c>
      <c r="K104" s="7">
        <f>IF('Extra 2'!$A104="","",'Extra 2'!H104)</f>
        <v/>
      </c>
      <c r="L104" s="7">
        <f>IF('Extra 2'!$A104="","",'Extra 2'!T104)</f>
        <v/>
      </c>
      <c r="M104">
        <f>IF('Extra 2'!$A104="","",'Extra 2'!G104)</f>
        <v/>
      </c>
    </row>
    <row r="105">
      <c r="A105">
        <f>IF('Extra 2'!$A105="","",ROWS($A$2:$A105))</f>
        <v/>
      </c>
      <c r="B105">
        <f>IF('Extra 2'!$A105="","",'Extra 2'!E105)</f>
        <v/>
      </c>
      <c r="C105">
        <f>IF('Extra 2'!$A105="","",'Extra 2'!F105)</f>
        <v/>
      </c>
      <c r="D105" s="14">
        <f>IF('Extra 2'!$A105="","",'Extra 2'!I105)</f>
        <v/>
      </c>
      <c r="E105" s="7">
        <f>IF('Extra 2'!$A105="","",'Extra 2'!O105)</f>
        <v/>
      </c>
      <c r="F105" s="7">
        <f>IF('Extra 2'!$A105="","",'Extra 2'!L105)</f>
        <v/>
      </c>
      <c r="G105" s="7">
        <f>IF('Extra 2'!$A105="","",'Extra 2'!S105)</f>
        <v/>
      </c>
      <c r="H105">
        <f>IF('Extra 2'!$A105="","",'Extra 2'!P105)</f>
        <v/>
      </c>
      <c r="I105">
        <f>IF('Extra 2'!$A105="","",'Extra 2'!M105)</f>
        <v/>
      </c>
      <c r="J105" s="7">
        <f>IF('Extra 2'!$A105="","",'Extra 2'!Q105)</f>
        <v/>
      </c>
      <c r="K105" s="7">
        <f>IF('Extra 2'!$A105="","",'Extra 2'!H105)</f>
        <v/>
      </c>
      <c r="L105" s="7">
        <f>IF('Extra 2'!$A105="","",'Extra 2'!T105)</f>
        <v/>
      </c>
      <c r="M105">
        <f>IF('Extra 2'!$A105="","",'Extra 2'!G105)</f>
        <v/>
      </c>
    </row>
    <row r="106">
      <c r="A106">
        <f>IF('Extra 2'!$A106="","",ROWS($A$2:$A106))</f>
        <v/>
      </c>
      <c r="B106">
        <f>IF('Extra 2'!$A106="","",'Extra 2'!E106)</f>
        <v/>
      </c>
      <c r="C106">
        <f>IF('Extra 2'!$A106="","",'Extra 2'!F106)</f>
        <v/>
      </c>
      <c r="D106" s="14">
        <f>IF('Extra 2'!$A106="","",'Extra 2'!I106)</f>
        <v/>
      </c>
      <c r="E106" s="7">
        <f>IF('Extra 2'!$A106="","",'Extra 2'!O106)</f>
        <v/>
      </c>
      <c r="F106" s="7">
        <f>IF('Extra 2'!$A106="","",'Extra 2'!L106)</f>
        <v/>
      </c>
      <c r="G106" s="7">
        <f>IF('Extra 2'!$A106="","",'Extra 2'!S106)</f>
        <v/>
      </c>
      <c r="H106">
        <f>IF('Extra 2'!$A106="","",'Extra 2'!P106)</f>
        <v/>
      </c>
      <c r="I106">
        <f>IF('Extra 2'!$A106="","",'Extra 2'!M106)</f>
        <v/>
      </c>
      <c r="J106" s="7">
        <f>IF('Extra 2'!$A106="","",'Extra 2'!Q106)</f>
        <v/>
      </c>
      <c r="K106" s="7">
        <f>IF('Extra 2'!$A106="","",'Extra 2'!H106)</f>
        <v/>
      </c>
      <c r="L106" s="7">
        <f>IF('Extra 2'!$A106="","",'Extra 2'!T106)</f>
        <v/>
      </c>
      <c r="M106">
        <f>IF('Extra 2'!$A106="","",'Extra 2'!G106)</f>
        <v/>
      </c>
    </row>
    <row r="107">
      <c r="A107">
        <f>IF('Extra 2'!$A107="","",ROWS($A$2:$A107))</f>
        <v/>
      </c>
      <c r="B107">
        <f>IF('Extra 2'!$A107="","",'Extra 2'!E107)</f>
        <v/>
      </c>
      <c r="C107">
        <f>IF('Extra 2'!$A107="","",'Extra 2'!F107)</f>
        <v/>
      </c>
      <c r="D107" s="14">
        <f>IF('Extra 2'!$A107="","",'Extra 2'!I107)</f>
        <v/>
      </c>
      <c r="E107" s="7">
        <f>IF('Extra 2'!$A107="","",'Extra 2'!O107)</f>
        <v/>
      </c>
      <c r="F107" s="7">
        <f>IF('Extra 2'!$A107="","",'Extra 2'!L107)</f>
        <v/>
      </c>
      <c r="G107" s="7">
        <f>IF('Extra 2'!$A107="","",'Extra 2'!S107)</f>
        <v/>
      </c>
      <c r="H107">
        <f>IF('Extra 2'!$A107="","",'Extra 2'!P107)</f>
        <v/>
      </c>
      <c r="I107">
        <f>IF('Extra 2'!$A107="","",'Extra 2'!M107)</f>
        <v/>
      </c>
      <c r="J107" s="7">
        <f>IF('Extra 2'!$A107="","",'Extra 2'!Q107)</f>
        <v/>
      </c>
      <c r="K107" s="7">
        <f>IF('Extra 2'!$A107="","",'Extra 2'!H107)</f>
        <v/>
      </c>
      <c r="L107" s="7">
        <f>IF('Extra 2'!$A107="","",'Extra 2'!T107)</f>
        <v/>
      </c>
      <c r="M107">
        <f>IF('Extra 2'!$A107="","",'Extra 2'!G107)</f>
        <v/>
      </c>
    </row>
    <row r="108">
      <c r="A108">
        <f>IF('Extra 2'!$A108="","",ROWS($A$2:$A108))</f>
        <v/>
      </c>
      <c r="B108">
        <f>IF('Extra 2'!$A108="","",'Extra 2'!E108)</f>
        <v/>
      </c>
      <c r="C108">
        <f>IF('Extra 2'!$A108="","",'Extra 2'!F108)</f>
        <v/>
      </c>
      <c r="D108" s="14">
        <f>IF('Extra 2'!$A108="","",'Extra 2'!I108)</f>
        <v/>
      </c>
      <c r="E108" s="7">
        <f>IF('Extra 2'!$A108="","",'Extra 2'!O108)</f>
        <v/>
      </c>
      <c r="F108" s="7">
        <f>IF('Extra 2'!$A108="","",'Extra 2'!L108)</f>
        <v/>
      </c>
      <c r="G108" s="7">
        <f>IF('Extra 2'!$A108="","",'Extra 2'!S108)</f>
        <v/>
      </c>
      <c r="H108">
        <f>IF('Extra 2'!$A108="","",'Extra 2'!P108)</f>
        <v/>
      </c>
      <c r="I108">
        <f>IF('Extra 2'!$A108="","",'Extra 2'!M108)</f>
        <v/>
      </c>
      <c r="J108" s="7">
        <f>IF('Extra 2'!$A108="","",'Extra 2'!Q108)</f>
        <v/>
      </c>
      <c r="K108" s="7">
        <f>IF('Extra 2'!$A108="","",'Extra 2'!H108)</f>
        <v/>
      </c>
      <c r="L108" s="7">
        <f>IF('Extra 2'!$A108="","",'Extra 2'!T108)</f>
        <v/>
      </c>
      <c r="M108">
        <f>IF('Extra 2'!$A108="","",'Extra 2'!G108)</f>
        <v/>
      </c>
    </row>
    <row r="109">
      <c r="A109">
        <f>IF('Extra 2'!$A109="","",ROWS($A$2:$A109))</f>
        <v/>
      </c>
      <c r="B109">
        <f>IF('Extra 2'!$A109="","",'Extra 2'!E109)</f>
        <v/>
      </c>
      <c r="C109">
        <f>IF('Extra 2'!$A109="","",'Extra 2'!F109)</f>
        <v/>
      </c>
      <c r="D109" s="14">
        <f>IF('Extra 2'!$A109="","",'Extra 2'!I109)</f>
        <v/>
      </c>
      <c r="E109" s="7">
        <f>IF('Extra 2'!$A109="","",'Extra 2'!O109)</f>
        <v/>
      </c>
      <c r="F109" s="7">
        <f>IF('Extra 2'!$A109="","",'Extra 2'!L109)</f>
        <v/>
      </c>
      <c r="G109" s="7">
        <f>IF('Extra 2'!$A109="","",'Extra 2'!S109)</f>
        <v/>
      </c>
      <c r="H109">
        <f>IF('Extra 2'!$A109="","",'Extra 2'!P109)</f>
        <v/>
      </c>
      <c r="I109">
        <f>IF('Extra 2'!$A109="","",'Extra 2'!M109)</f>
        <v/>
      </c>
      <c r="J109" s="7">
        <f>IF('Extra 2'!$A109="","",'Extra 2'!Q109)</f>
        <v/>
      </c>
      <c r="K109" s="7">
        <f>IF('Extra 2'!$A109="","",'Extra 2'!H109)</f>
        <v/>
      </c>
      <c r="L109" s="7">
        <f>IF('Extra 2'!$A109="","",'Extra 2'!T109)</f>
        <v/>
      </c>
      <c r="M109">
        <f>IF('Extra 2'!$A109="","",'Extra 2'!G109)</f>
        <v/>
      </c>
    </row>
    <row r="110">
      <c r="A110">
        <f>IF('Extra 2'!$A110="","",ROWS($A$2:$A110))</f>
        <v/>
      </c>
      <c r="B110">
        <f>IF('Extra 2'!$A110="","",'Extra 2'!E110)</f>
        <v/>
      </c>
      <c r="C110">
        <f>IF('Extra 2'!$A110="","",'Extra 2'!F110)</f>
        <v/>
      </c>
      <c r="D110" s="14">
        <f>IF('Extra 2'!$A110="","",'Extra 2'!I110)</f>
        <v/>
      </c>
      <c r="E110" s="7">
        <f>IF('Extra 2'!$A110="","",'Extra 2'!O110)</f>
        <v/>
      </c>
      <c r="F110" s="7">
        <f>IF('Extra 2'!$A110="","",'Extra 2'!L110)</f>
        <v/>
      </c>
      <c r="G110" s="7">
        <f>IF('Extra 2'!$A110="","",'Extra 2'!S110)</f>
        <v/>
      </c>
      <c r="H110">
        <f>IF('Extra 2'!$A110="","",'Extra 2'!P110)</f>
        <v/>
      </c>
      <c r="I110">
        <f>IF('Extra 2'!$A110="","",'Extra 2'!M110)</f>
        <v/>
      </c>
      <c r="J110" s="7">
        <f>IF('Extra 2'!$A110="","",'Extra 2'!Q110)</f>
        <v/>
      </c>
      <c r="K110" s="7">
        <f>IF('Extra 2'!$A110="","",'Extra 2'!H110)</f>
        <v/>
      </c>
      <c r="L110" s="7">
        <f>IF('Extra 2'!$A110="","",'Extra 2'!T110)</f>
        <v/>
      </c>
      <c r="M110">
        <f>IF('Extra 2'!$A110="","",'Extra 2'!G110)</f>
        <v/>
      </c>
    </row>
    <row r="111">
      <c r="A111">
        <f>IF('Extra 2'!$A111="","",ROWS($A$2:$A111))</f>
        <v/>
      </c>
      <c r="B111">
        <f>IF('Extra 2'!$A111="","",'Extra 2'!E111)</f>
        <v/>
      </c>
      <c r="C111">
        <f>IF('Extra 2'!$A111="","",'Extra 2'!F111)</f>
        <v/>
      </c>
      <c r="D111" s="14">
        <f>IF('Extra 2'!$A111="","",'Extra 2'!I111)</f>
        <v/>
      </c>
      <c r="E111" s="7">
        <f>IF('Extra 2'!$A111="","",'Extra 2'!O111)</f>
        <v/>
      </c>
      <c r="F111" s="7">
        <f>IF('Extra 2'!$A111="","",'Extra 2'!L111)</f>
        <v/>
      </c>
      <c r="G111" s="7">
        <f>IF('Extra 2'!$A111="","",'Extra 2'!S111)</f>
        <v/>
      </c>
      <c r="H111">
        <f>IF('Extra 2'!$A111="","",'Extra 2'!P111)</f>
        <v/>
      </c>
      <c r="I111">
        <f>IF('Extra 2'!$A111="","",'Extra 2'!M111)</f>
        <v/>
      </c>
      <c r="J111" s="7">
        <f>IF('Extra 2'!$A111="","",'Extra 2'!Q111)</f>
        <v/>
      </c>
      <c r="K111" s="7">
        <f>IF('Extra 2'!$A111="","",'Extra 2'!H111)</f>
        <v/>
      </c>
      <c r="L111" s="7">
        <f>IF('Extra 2'!$A111="","",'Extra 2'!T111)</f>
        <v/>
      </c>
      <c r="M111">
        <f>IF('Extra 2'!$A111="","",'Extra 2'!G111)</f>
        <v/>
      </c>
    </row>
    <row r="112">
      <c r="A112">
        <f>IF('Extra 2'!$A112="","",ROWS($A$2:$A112))</f>
        <v/>
      </c>
      <c r="B112">
        <f>IF('Extra 2'!$A112="","",'Extra 2'!E112)</f>
        <v/>
      </c>
      <c r="C112">
        <f>IF('Extra 2'!$A112="","",'Extra 2'!F112)</f>
        <v/>
      </c>
      <c r="D112" s="14">
        <f>IF('Extra 2'!$A112="","",'Extra 2'!I112)</f>
        <v/>
      </c>
      <c r="E112" s="7">
        <f>IF('Extra 2'!$A112="","",'Extra 2'!O112)</f>
        <v/>
      </c>
      <c r="F112" s="7">
        <f>IF('Extra 2'!$A112="","",'Extra 2'!L112)</f>
        <v/>
      </c>
      <c r="G112" s="7">
        <f>IF('Extra 2'!$A112="","",'Extra 2'!S112)</f>
        <v/>
      </c>
      <c r="H112">
        <f>IF('Extra 2'!$A112="","",'Extra 2'!P112)</f>
        <v/>
      </c>
      <c r="I112">
        <f>IF('Extra 2'!$A112="","",'Extra 2'!M112)</f>
        <v/>
      </c>
      <c r="J112" s="7">
        <f>IF('Extra 2'!$A112="","",'Extra 2'!Q112)</f>
        <v/>
      </c>
      <c r="K112" s="7">
        <f>IF('Extra 2'!$A112="","",'Extra 2'!H112)</f>
        <v/>
      </c>
      <c r="L112" s="7">
        <f>IF('Extra 2'!$A112="","",'Extra 2'!T112)</f>
        <v/>
      </c>
      <c r="M112">
        <f>IF('Extra 2'!$A112="","",'Extra 2'!G112)</f>
        <v/>
      </c>
    </row>
    <row r="113">
      <c r="A113">
        <f>IF('Extra 2'!$A113="","",ROWS($A$2:$A113))</f>
        <v/>
      </c>
      <c r="B113">
        <f>IF('Extra 2'!$A113="","",'Extra 2'!E113)</f>
        <v/>
      </c>
      <c r="C113">
        <f>IF('Extra 2'!$A113="","",'Extra 2'!F113)</f>
        <v/>
      </c>
      <c r="D113" s="14">
        <f>IF('Extra 2'!$A113="","",'Extra 2'!I113)</f>
        <v/>
      </c>
      <c r="E113" s="7">
        <f>IF('Extra 2'!$A113="","",'Extra 2'!O113)</f>
        <v/>
      </c>
      <c r="F113" s="7">
        <f>IF('Extra 2'!$A113="","",'Extra 2'!L113)</f>
        <v/>
      </c>
      <c r="G113" s="7">
        <f>IF('Extra 2'!$A113="","",'Extra 2'!S113)</f>
        <v/>
      </c>
      <c r="H113">
        <f>IF('Extra 2'!$A113="","",'Extra 2'!P113)</f>
        <v/>
      </c>
      <c r="I113">
        <f>IF('Extra 2'!$A113="","",'Extra 2'!M113)</f>
        <v/>
      </c>
      <c r="J113" s="7">
        <f>IF('Extra 2'!$A113="","",'Extra 2'!Q113)</f>
        <v/>
      </c>
      <c r="K113" s="7">
        <f>IF('Extra 2'!$A113="","",'Extra 2'!H113)</f>
        <v/>
      </c>
      <c r="L113" s="7">
        <f>IF('Extra 2'!$A113="","",'Extra 2'!T113)</f>
        <v/>
      </c>
      <c r="M113">
        <f>IF('Extra 2'!$A113="","",'Extra 2'!G113)</f>
        <v/>
      </c>
    </row>
    <row r="114">
      <c r="A114">
        <f>IF('Extra 2'!$A114="","",ROWS($A$2:$A114))</f>
        <v/>
      </c>
      <c r="B114">
        <f>IF('Extra 2'!$A114="","",'Extra 2'!E114)</f>
        <v/>
      </c>
      <c r="C114">
        <f>IF('Extra 2'!$A114="","",'Extra 2'!F114)</f>
        <v/>
      </c>
      <c r="D114" s="14">
        <f>IF('Extra 2'!$A114="","",'Extra 2'!I114)</f>
        <v/>
      </c>
      <c r="E114" s="7">
        <f>IF('Extra 2'!$A114="","",'Extra 2'!O114)</f>
        <v/>
      </c>
      <c r="F114" s="7">
        <f>IF('Extra 2'!$A114="","",'Extra 2'!L114)</f>
        <v/>
      </c>
      <c r="G114" s="7">
        <f>IF('Extra 2'!$A114="","",'Extra 2'!S114)</f>
        <v/>
      </c>
      <c r="H114">
        <f>IF('Extra 2'!$A114="","",'Extra 2'!P114)</f>
        <v/>
      </c>
      <c r="I114">
        <f>IF('Extra 2'!$A114="","",'Extra 2'!M114)</f>
        <v/>
      </c>
      <c r="J114" s="7">
        <f>IF('Extra 2'!$A114="","",'Extra 2'!Q114)</f>
        <v/>
      </c>
      <c r="K114" s="7">
        <f>IF('Extra 2'!$A114="","",'Extra 2'!H114)</f>
        <v/>
      </c>
      <c r="L114" s="7">
        <f>IF('Extra 2'!$A114="","",'Extra 2'!T114)</f>
        <v/>
      </c>
      <c r="M114">
        <f>IF('Extra 2'!$A114="","",'Extra 2'!G114)</f>
        <v/>
      </c>
    </row>
    <row r="115">
      <c r="A115">
        <f>IF('Extra 2'!$A115="","",ROWS($A$2:$A115))</f>
        <v/>
      </c>
      <c r="B115">
        <f>IF('Extra 2'!$A115="","",'Extra 2'!E115)</f>
        <v/>
      </c>
      <c r="C115">
        <f>IF('Extra 2'!$A115="","",'Extra 2'!F115)</f>
        <v/>
      </c>
      <c r="D115" s="14">
        <f>IF('Extra 2'!$A115="","",'Extra 2'!I115)</f>
        <v/>
      </c>
      <c r="E115" s="7">
        <f>IF('Extra 2'!$A115="","",'Extra 2'!O115)</f>
        <v/>
      </c>
      <c r="F115" s="7">
        <f>IF('Extra 2'!$A115="","",'Extra 2'!L115)</f>
        <v/>
      </c>
      <c r="G115" s="7">
        <f>IF('Extra 2'!$A115="","",'Extra 2'!S115)</f>
        <v/>
      </c>
      <c r="H115">
        <f>IF('Extra 2'!$A115="","",'Extra 2'!P115)</f>
        <v/>
      </c>
      <c r="I115">
        <f>IF('Extra 2'!$A115="","",'Extra 2'!M115)</f>
        <v/>
      </c>
      <c r="J115" s="7">
        <f>IF('Extra 2'!$A115="","",'Extra 2'!Q115)</f>
        <v/>
      </c>
      <c r="K115" s="7">
        <f>IF('Extra 2'!$A115="","",'Extra 2'!H115)</f>
        <v/>
      </c>
      <c r="L115" s="7">
        <f>IF('Extra 2'!$A115="","",'Extra 2'!T115)</f>
        <v/>
      </c>
      <c r="M115">
        <f>IF('Extra 2'!$A115="","",'Extra 2'!G115)</f>
        <v/>
      </c>
    </row>
    <row r="116">
      <c r="A116">
        <f>IF('Extra 2'!$A116="","",ROWS($A$2:$A116))</f>
        <v/>
      </c>
      <c r="B116">
        <f>IF('Extra 2'!$A116="","",'Extra 2'!E116)</f>
        <v/>
      </c>
      <c r="C116">
        <f>IF('Extra 2'!$A116="","",'Extra 2'!F116)</f>
        <v/>
      </c>
      <c r="D116" s="14">
        <f>IF('Extra 2'!$A116="","",'Extra 2'!I116)</f>
        <v/>
      </c>
      <c r="E116" s="7">
        <f>IF('Extra 2'!$A116="","",'Extra 2'!O116)</f>
        <v/>
      </c>
      <c r="F116" s="7">
        <f>IF('Extra 2'!$A116="","",'Extra 2'!L116)</f>
        <v/>
      </c>
      <c r="G116" s="7">
        <f>IF('Extra 2'!$A116="","",'Extra 2'!S116)</f>
        <v/>
      </c>
      <c r="H116">
        <f>IF('Extra 2'!$A116="","",'Extra 2'!P116)</f>
        <v/>
      </c>
      <c r="I116">
        <f>IF('Extra 2'!$A116="","",'Extra 2'!M116)</f>
        <v/>
      </c>
      <c r="J116" s="7">
        <f>IF('Extra 2'!$A116="","",'Extra 2'!Q116)</f>
        <v/>
      </c>
      <c r="K116" s="7">
        <f>IF('Extra 2'!$A116="","",'Extra 2'!H116)</f>
        <v/>
      </c>
      <c r="L116" s="7">
        <f>IF('Extra 2'!$A116="","",'Extra 2'!T116)</f>
        <v/>
      </c>
      <c r="M116">
        <f>IF('Extra 2'!$A116="","",'Extra 2'!G116)</f>
        <v/>
      </c>
    </row>
    <row r="117">
      <c r="A117">
        <f>IF('Extra 2'!$A117="","",ROWS($A$2:$A117))</f>
        <v/>
      </c>
      <c r="B117">
        <f>IF('Extra 2'!$A117="","",'Extra 2'!E117)</f>
        <v/>
      </c>
      <c r="C117">
        <f>IF('Extra 2'!$A117="","",'Extra 2'!F117)</f>
        <v/>
      </c>
      <c r="D117" s="14">
        <f>IF('Extra 2'!$A117="","",'Extra 2'!I117)</f>
        <v/>
      </c>
      <c r="E117" s="7">
        <f>IF('Extra 2'!$A117="","",'Extra 2'!O117)</f>
        <v/>
      </c>
      <c r="F117" s="7">
        <f>IF('Extra 2'!$A117="","",'Extra 2'!L117)</f>
        <v/>
      </c>
      <c r="G117" s="7">
        <f>IF('Extra 2'!$A117="","",'Extra 2'!S117)</f>
        <v/>
      </c>
      <c r="H117">
        <f>IF('Extra 2'!$A117="","",'Extra 2'!P117)</f>
        <v/>
      </c>
      <c r="I117">
        <f>IF('Extra 2'!$A117="","",'Extra 2'!M117)</f>
        <v/>
      </c>
      <c r="J117" s="7">
        <f>IF('Extra 2'!$A117="","",'Extra 2'!Q117)</f>
        <v/>
      </c>
      <c r="K117" s="7">
        <f>IF('Extra 2'!$A117="","",'Extra 2'!H117)</f>
        <v/>
      </c>
      <c r="L117" s="7">
        <f>IF('Extra 2'!$A117="","",'Extra 2'!T117)</f>
        <v/>
      </c>
      <c r="M117">
        <f>IF('Extra 2'!$A117="","",'Extra 2'!G117)</f>
        <v/>
      </c>
    </row>
    <row r="118">
      <c r="A118">
        <f>IF('Extra 2'!$A118="","",ROWS($A$2:$A118))</f>
        <v/>
      </c>
      <c r="B118">
        <f>IF('Extra 2'!$A118="","",'Extra 2'!E118)</f>
        <v/>
      </c>
      <c r="C118">
        <f>IF('Extra 2'!$A118="","",'Extra 2'!F118)</f>
        <v/>
      </c>
      <c r="D118" s="14">
        <f>IF('Extra 2'!$A118="","",'Extra 2'!I118)</f>
        <v/>
      </c>
      <c r="E118" s="7">
        <f>IF('Extra 2'!$A118="","",'Extra 2'!O118)</f>
        <v/>
      </c>
      <c r="F118" s="7">
        <f>IF('Extra 2'!$A118="","",'Extra 2'!L118)</f>
        <v/>
      </c>
      <c r="G118" s="7">
        <f>IF('Extra 2'!$A118="","",'Extra 2'!S118)</f>
        <v/>
      </c>
      <c r="H118">
        <f>IF('Extra 2'!$A118="","",'Extra 2'!P118)</f>
        <v/>
      </c>
      <c r="I118">
        <f>IF('Extra 2'!$A118="","",'Extra 2'!M118)</f>
        <v/>
      </c>
      <c r="J118" s="7">
        <f>IF('Extra 2'!$A118="","",'Extra 2'!Q118)</f>
        <v/>
      </c>
      <c r="K118" s="7">
        <f>IF('Extra 2'!$A118="","",'Extra 2'!H118)</f>
        <v/>
      </c>
      <c r="L118" s="7">
        <f>IF('Extra 2'!$A118="","",'Extra 2'!T118)</f>
        <v/>
      </c>
      <c r="M118">
        <f>IF('Extra 2'!$A118="","",'Extra 2'!G118)</f>
        <v/>
      </c>
    </row>
    <row r="119">
      <c r="A119">
        <f>IF('Extra 2'!$A119="","",ROWS($A$2:$A119))</f>
        <v/>
      </c>
      <c r="B119">
        <f>IF('Extra 2'!$A119="","",'Extra 2'!E119)</f>
        <v/>
      </c>
      <c r="C119">
        <f>IF('Extra 2'!$A119="","",'Extra 2'!F119)</f>
        <v/>
      </c>
      <c r="D119" s="14">
        <f>IF('Extra 2'!$A119="","",'Extra 2'!I119)</f>
        <v/>
      </c>
      <c r="E119" s="7">
        <f>IF('Extra 2'!$A119="","",'Extra 2'!O119)</f>
        <v/>
      </c>
      <c r="F119" s="7">
        <f>IF('Extra 2'!$A119="","",'Extra 2'!L119)</f>
        <v/>
      </c>
      <c r="G119" s="7">
        <f>IF('Extra 2'!$A119="","",'Extra 2'!S119)</f>
        <v/>
      </c>
      <c r="H119">
        <f>IF('Extra 2'!$A119="","",'Extra 2'!P119)</f>
        <v/>
      </c>
      <c r="I119">
        <f>IF('Extra 2'!$A119="","",'Extra 2'!M119)</f>
        <v/>
      </c>
      <c r="J119" s="7">
        <f>IF('Extra 2'!$A119="","",'Extra 2'!Q119)</f>
        <v/>
      </c>
      <c r="K119" s="7">
        <f>IF('Extra 2'!$A119="","",'Extra 2'!H119)</f>
        <v/>
      </c>
      <c r="L119" s="7">
        <f>IF('Extra 2'!$A119="","",'Extra 2'!T119)</f>
        <v/>
      </c>
      <c r="M119">
        <f>IF('Extra 2'!$A119="","",'Extra 2'!G119)</f>
        <v/>
      </c>
    </row>
    <row r="120">
      <c r="A120">
        <f>IF('Extra 2'!$A120="","",ROWS($A$2:$A120))</f>
        <v/>
      </c>
      <c r="B120">
        <f>IF('Extra 2'!$A120="","",'Extra 2'!E120)</f>
        <v/>
      </c>
      <c r="C120">
        <f>IF('Extra 2'!$A120="","",'Extra 2'!F120)</f>
        <v/>
      </c>
      <c r="D120" s="14">
        <f>IF('Extra 2'!$A120="","",'Extra 2'!I120)</f>
        <v/>
      </c>
      <c r="E120" s="7">
        <f>IF('Extra 2'!$A120="","",'Extra 2'!O120)</f>
        <v/>
      </c>
      <c r="F120" s="7">
        <f>IF('Extra 2'!$A120="","",'Extra 2'!L120)</f>
        <v/>
      </c>
      <c r="G120" s="7">
        <f>IF('Extra 2'!$A120="","",'Extra 2'!S120)</f>
        <v/>
      </c>
      <c r="H120">
        <f>IF('Extra 2'!$A120="","",'Extra 2'!P120)</f>
        <v/>
      </c>
      <c r="I120">
        <f>IF('Extra 2'!$A120="","",'Extra 2'!M120)</f>
        <v/>
      </c>
      <c r="J120" s="7">
        <f>IF('Extra 2'!$A120="","",'Extra 2'!Q120)</f>
        <v/>
      </c>
      <c r="K120" s="7">
        <f>IF('Extra 2'!$A120="","",'Extra 2'!H120)</f>
        <v/>
      </c>
      <c r="L120" s="7">
        <f>IF('Extra 2'!$A120="","",'Extra 2'!T120)</f>
        <v/>
      </c>
      <c r="M120">
        <f>IF('Extra 2'!$A120="","",'Extra 2'!G120)</f>
        <v/>
      </c>
    </row>
    <row r="121">
      <c r="A121">
        <f>IF('Extra 2'!$A121="","",ROWS($A$2:$A121))</f>
        <v/>
      </c>
      <c r="B121">
        <f>IF('Extra 2'!$A121="","",'Extra 2'!E121)</f>
        <v/>
      </c>
      <c r="C121">
        <f>IF('Extra 2'!$A121="","",'Extra 2'!F121)</f>
        <v/>
      </c>
      <c r="D121" s="14">
        <f>IF('Extra 2'!$A121="","",'Extra 2'!I121)</f>
        <v/>
      </c>
      <c r="E121" s="7">
        <f>IF('Extra 2'!$A121="","",'Extra 2'!O121)</f>
        <v/>
      </c>
      <c r="F121" s="7">
        <f>IF('Extra 2'!$A121="","",'Extra 2'!L121)</f>
        <v/>
      </c>
      <c r="G121" s="7">
        <f>IF('Extra 2'!$A121="","",'Extra 2'!S121)</f>
        <v/>
      </c>
      <c r="H121">
        <f>IF('Extra 2'!$A121="","",'Extra 2'!P121)</f>
        <v/>
      </c>
      <c r="I121">
        <f>IF('Extra 2'!$A121="","",'Extra 2'!M121)</f>
        <v/>
      </c>
      <c r="J121" s="7">
        <f>IF('Extra 2'!$A121="","",'Extra 2'!Q121)</f>
        <v/>
      </c>
      <c r="K121" s="7">
        <f>IF('Extra 2'!$A121="","",'Extra 2'!H121)</f>
        <v/>
      </c>
      <c r="L121" s="7">
        <f>IF('Extra 2'!$A121="","",'Extra 2'!T121)</f>
        <v/>
      </c>
      <c r="M121">
        <f>IF('Extra 2'!$A121="","",'Extra 2'!G121)</f>
        <v/>
      </c>
    </row>
    <row r="122">
      <c r="A122">
        <f>IF('Extra 2'!$A122="","",ROWS($A$2:$A122))</f>
        <v/>
      </c>
      <c r="B122">
        <f>IF('Extra 2'!$A122="","",'Extra 2'!E122)</f>
        <v/>
      </c>
      <c r="C122">
        <f>IF('Extra 2'!$A122="","",'Extra 2'!F122)</f>
        <v/>
      </c>
      <c r="D122" s="14">
        <f>IF('Extra 2'!$A122="","",'Extra 2'!I122)</f>
        <v/>
      </c>
      <c r="E122" s="7">
        <f>IF('Extra 2'!$A122="","",'Extra 2'!O122)</f>
        <v/>
      </c>
      <c r="F122" s="7">
        <f>IF('Extra 2'!$A122="","",'Extra 2'!L122)</f>
        <v/>
      </c>
      <c r="G122" s="7">
        <f>IF('Extra 2'!$A122="","",'Extra 2'!S122)</f>
        <v/>
      </c>
      <c r="H122">
        <f>IF('Extra 2'!$A122="","",'Extra 2'!P122)</f>
        <v/>
      </c>
      <c r="I122">
        <f>IF('Extra 2'!$A122="","",'Extra 2'!M122)</f>
        <v/>
      </c>
      <c r="J122" s="7">
        <f>IF('Extra 2'!$A122="","",'Extra 2'!Q122)</f>
        <v/>
      </c>
      <c r="K122" s="7">
        <f>IF('Extra 2'!$A122="","",'Extra 2'!H122)</f>
        <v/>
      </c>
      <c r="L122" s="7">
        <f>IF('Extra 2'!$A122="","",'Extra 2'!T122)</f>
        <v/>
      </c>
      <c r="M122">
        <f>IF('Extra 2'!$A122="","",'Extra 2'!G122)</f>
        <v/>
      </c>
    </row>
    <row r="123">
      <c r="A123">
        <f>IF('Extra 2'!$A123="","",ROWS($A$2:$A123))</f>
        <v/>
      </c>
      <c r="B123">
        <f>IF('Extra 2'!$A123="","",'Extra 2'!E123)</f>
        <v/>
      </c>
      <c r="C123">
        <f>IF('Extra 2'!$A123="","",'Extra 2'!F123)</f>
        <v/>
      </c>
      <c r="D123" s="14">
        <f>IF('Extra 2'!$A123="","",'Extra 2'!I123)</f>
        <v/>
      </c>
      <c r="E123" s="7">
        <f>IF('Extra 2'!$A123="","",'Extra 2'!O123)</f>
        <v/>
      </c>
      <c r="F123" s="7">
        <f>IF('Extra 2'!$A123="","",'Extra 2'!L123)</f>
        <v/>
      </c>
      <c r="G123" s="7">
        <f>IF('Extra 2'!$A123="","",'Extra 2'!S123)</f>
        <v/>
      </c>
      <c r="H123">
        <f>IF('Extra 2'!$A123="","",'Extra 2'!P123)</f>
        <v/>
      </c>
      <c r="I123">
        <f>IF('Extra 2'!$A123="","",'Extra 2'!M123)</f>
        <v/>
      </c>
      <c r="J123" s="7">
        <f>IF('Extra 2'!$A123="","",'Extra 2'!Q123)</f>
        <v/>
      </c>
      <c r="K123" s="7">
        <f>IF('Extra 2'!$A123="","",'Extra 2'!H123)</f>
        <v/>
      </c>
      <c r="L123" s="7">
        <f>IF('Extra 2'!$A123="","",'Extra 2'!T123)</f>
        <v/>
      </c>
      <c r="M123">
        <f>IF('Extra 2'!$A123="","",'Extra 2'!G123)</f>
        <v/>
      </c>
    </row>
    <row r="124">
      <c r="A124">
        <f>IF('Extra 2'!$A124="","",ROWS($A$2:$A124))</f>
        <v/>
      </c>
      <c r="B124">
        <f>IF('Extra 2'!$A124="","",'Extra 2'!E124)</f>
        <v/>
      </c>
      <c r="C124">
        <f>IF('Extra 2'!$A124="","",'Extra 2'!F124)</f>
        <v/>
      </c>
      <c r="D124" s="14">
        <f>IF('Extra 2'!$A124="","",'Extra 2'!I124)</f>
        <v/>
      </c>
      <c r="E124" s="7">
        <f>IF('Extra 2'!$A124="","",'Extra 2'!O124)</f>
        <v/>
      </c>
      <c r="F124" s="7">
        <f>IF('Extra 2'!$A124="","",'Extra 2'!L124)</f>
        <v/>
      </c>
      <c r="G124" s="7">
        <f>IF('Extra 2'!$A124="","",'Extra 2'!S124)</f>
        <v/>
      </c>
      <c r="H124">
        <f>IF('Extra 2'!$A124="","",'Extra 2'!P124)</f>
        <v/>
      </c>
      <c r="I124">
        <f>IF('Extra 2'!$A124="","",'Extra 2'!M124)</f>
        <v/>
      </c>
      <c r="J124" s="7">
        <f>IF('Extra 2'!$A124="","",'Extra 2'!Q124)</f>
        <v/>
      </c>
      <c r="K124" s="7">
        <f>IF('Extra 2'!$A124="","",'Extra 2'!H124)</f>
        <v/>
      </c>
      <c r="L124" s="7">
        <f>IF('Extra 2'!$A124="","",'Extra 2'!T124)</f>
        <v/>
      </c>
      <c r="M124">
        <f>IF('Extra 2'!$A124="","",'Extra 2'!G124)</f>
        <v/>
      </c>
    </row>
    <row r="125">
      <c r="A125">
        <f>IF('Extra 2'!$A125="","",ROWS($A$2:$A125))</f>
        <v/>
      </c>
      <c r="B125">
        <f>IF('Extra 2'!$A125="","",'Extra 2'!E125)</f>
        <v/>
      </c>
      <c r="C125">
        <f>IF('Extra 2'!$A125="","",'Extra 2'!F125)</f>
        <v/>
      </c>
      <c r="D125" s="14">
        <f>IF('Extra 2'!$A125="","",'Extra 2'!I125)</f>
        <v/>
      </c>
      <c r="E125" s="7">
        <f>IF('Extra 2'!$A125="","",'Extra 2'!O125)</f>
        <v/>
      </c>
      <c r="F125" s="7">
        <f>IF('Extra 2'!$A125="","",'Extra 2'!L125)</f>
        <v/>
      </c>
      <c r="G125" s="7">
        <f>IF('Extra 2'!$A125="","",'Extra 2'!S125)</f>
        <v/>
      </c>
      <c r="H125">
        <f>IF('Extra 2'!$A125="","",'Extra 2'!P125)</f>
        <v/>
      </c>
      <c r="I125">
        <f>IF('Extra 2'!$A125="","",'Extra 2'!M125)</f>
        <v/>
      </c>
      <c r="J125" s="7">
        <f>IF('Extra 2'!$A125="","",'Extra 2'!Q125)</f>
        <v/>
      </c>
      <c r="K125" s="7">
        <f>IF('Extra 2'!$A125="","",'Extra 2'!H125)</f>
        <v/>
      </c>
      <c r="L125" s="7">
        <f>IF('Extra 2'!$A125="","",'Extra 2'!T125)</f>
        <v/>
      </c>
      <c r="M125">
        <f>IF('Extra 2'!$A125="","",'Extra 2'!G125)</f>
        <v/>
      </c>
    </row>
    <row r="126">
      <c r="A126">
        <f>IF('Extra 2'!$A126="","",ROWS($A$2:$A126))</f>
        <v/>
      </c>
      <c r="B126">
        <f>IF('Extra 2'!$A126="","",'Extra 2'!E126)</f>
        <v/>
      </c>
      <c r="C126">
        <f>IF('Extra 2'!$A126="","",'Extra 2'!F126)</f>
        <v/>
      </c>
      <c r="D126" s="14">
        <f>IF('Extra 2'!$A126="","",'Extra 2'!I126)</f>
        <v/>
      </c>
      <c r="E126" s="7">
        <f>IF('Extra 2'!$A126="","",'Extra 2'!O126)</f>
        <v/>
      </c>
      <c r="F126" s="7">
        <f>IF('Extra 2'!$A126="","",'Extra 2'!L126)</f>
        <v/>
      </c>
      <c r="G126" s="7">
        <f>IF('Extra 2'!$A126="","",'Extra 2'!S126)</f>
        <v/>
      </c>
      <c r="H126">
        <f>IF('Extra 2'!$A126="","",'Extra 2'!P126)</f>
        <v/>
      </c>
      <c r="I126">
        <f>IF('Extra 2'!$A126="","",'Extra 2'!M126)</f>
        <v/>
      </c>
      <c r="J126" s="7">
        <f>IF('Extra 2'!$A126="","",'Extra 2'!Q126)</f>
        <v/>
      </c>
      <c r="K126" s="7">
        <f>IF('Extra 2'!$A126="","",'Extra 2'!H126)</f>
        <v/>
      </c>
      <c r="L126" s="7">
        <f>IF('Extra 2'!$A126="","",'Extra 2'!T126)</f>
        <v/>
      </c>
      <c r="M126">
        <f>IF('Extra 2'!$A126="","",'Extra 2'!G126)</f>
        <v/>
      </c>
    </row>
    <row r="127">
      <c r="A127">
        <f>IF('Extra 2'!$A127="","",ROWS($A$2:$A127))</f>
        <v/>
      </c>
      <c r="B127">
        <f>IF('Extra 2'!$A127="","",'Extra 2'!E127)</f>
        <v/>
      </c>
      <c r="C127">
        <f>IF('Extra 2'!$A127="","",'Extra 2'!F127)</f>
        <v/>
      </c>
      <c r="D127" s="14">
        <f>IF('Extra 2'!$A127="","",'Extra 2'!I127)</f>
        <v/>
      </c>
      <c r="E127" s="7">
        <f>IF('Extra 2'!$A127="","",'Extra 2'!O127)</f>
        <v/>
      </c>
      <c r="F127" s="7">
        <f>IF('Extra 2'!$A127="","",'Extra 2'!L127)</f>
        <v/>
      </c>
      <c r="G127" s="7">
        <f>IF('Extra 2'!$A127="","",'Extra 2'!S127)</f>
        <v/>
      </c>
      <c r="H127">
        <f>IF('Extra 2'!$A127="","",'Extra 2'!P127)</f>
        <v/>
      </c>
      <c r="I127">
        <f>IF('Extra 2'!$A127="","",'Extra 2'!M127)</f>
        <v/>
      </c>
      <c r="J127" s="7">
        <f>IF('Extra 2'!$A127="","",'Extra 2'!Q127)</f>
        <v/>
      </c>
      <c r="K127" s="7">
        <f>IF('Extra 2'!$A127="","",'Extra 2'!H127)</f>
        <v/>
      </c>
      <c r="L127" s="7">
        <f>IF('Extra 2'!$A127="","",'Extra 2'!T127)</f>
        <v/>
      </c>
      <c r="M127">
        <f>IF('Extra 2'!$A127="","",'Extra 2'!G127)</f>
        <v/>
      </c>
    </row>
    <row r="128">
      <c r="A128">
        <f>IF('Extra 2'!$A128="","",ROWS($A$2:$A128))</f>
        <v/>
      </c>
      <c r="B128">
        <f>IF('Extra 2'!$A128="","",'Extra 2'!E128)</f>
        <v/>
      </c>
      <c r="C128">
        <f>IF('Extra 2'!$A128="","",'Extra 2'!F128)</f>
        <v/>
      </c>
      <c r="D128" s="14">
        <f>IF('Extra 2'!$A128="","",'Extra 2'!I128)</f>
        <v/>
      </c>
      <c r="E128" s="7">
        <f>IF('Extra 2'!$A128="","",'Extra 2'!O128)</f>
        <v/>
      </c>
      <c r="F128" s="7">
        <f>IF('Extra 2'!$A128="","",'Extra 2'!L128)</f>
        <v/>
      </c>
      <c r="G128" s="7">
        <f>IF('Extra 2'!$A128="","",'Extra 2'!S128)</f>
        <v/>
      </c>
      <c r="H128">
        <f>IF('Extra 2'!$A128="","",'Extra 2'!P128)</f>
        <v/>
      </c>
      <c r="I128">
        <f>IF('Extra 2'!$A128="","",'Extra 2'!M128)</f>
        <v/>
      </c>
      <c r="J128" s="7">
        <f>IF('Extra 2'!$A128="","",'Extra 2'!Q128)</f>
        <v/>
      </c>
      <c r="K128" s="7">
        <f>IF('Extra 2'!$A128="","",'Extra 2'!H128)</f>
        <v/>
      </c>
      <c r="L128" s="7">
        <f>IF('Extra 2'!$A128="","",'Extra 2'!T128)</f>
        <v/>
      </c>
      <c r="M128">
        <f>IF('Extra 2'!$A128="","",'Extra 2'!G128)</f>
        <v/>
      </c>
    </row>
    <row r="129">
      <c r="A129">
        <f>IF('Extra 2'!$A129="","",ROWS($A$2:$A129))</f>
        <v/>
      </c>
      <c r="B129">
        <f>IF('Extra 2'!$A129="","",'Extra 2'!E129)</f>
        <v/>
      </c>
      <c r="C129">
        <f>IF('Extra 2'!$A129="","",'Extra 2'!F129)</f>
        <v/>
      </c>
      <c r="D129" s="14">
        <f>IF('Extra 2'!$A129="","",'Extra 2'!I129)</f>
        <v/>
      </c>
      <c r="E129" s="7">
        <f>IF('Extra 2'!$A129="","",'Extra 2'!O129)</f>
        <v/>
      </c>
      <c r="F129" s="7">
        <f>IF('Extra 2'!$A129="","",'Extra 2'!L129)</f>
        <v/>
      </c>
      <c r="G129" s="7">
        <f>IF('Extra 2'!$A129="","",'Extra 2'!S129)</f>
        <v/>
      </c>
      <c r="H129">
        <f>IF('Extra 2'!$A129="","",'Extra 2'!P129)</f>
        <v/>
      </c>
      <c r="I129">
        <f>IF('Extra 2'!$A129="","",'Extra 2'!M129)</f>
        <v/>
      </c>
      <c r="J129" s="7">
        <f>IF('Extra 2'!$A129="","",'Extra 2'!Q129)</f>
        <v/>
      </c>
      <c r="K129" s="7">
        <f>IF('Extra 2'!$A129="","",'Extra 2'!H129)</f>
        <v/>
      </c>
      <c r="L129" s="7">
        <f>IF('Extra 2'!$A129="","",'Extra 2'!T129)</f>
        <v/>
      </c>
      <c r="M129">
        <f>IF('Extra 2'!$A129="","",'Extra 2'!G129)</f>
        <v/>
      </c>
    </row>
    <row r="130">
      <c r="A130">
        <f>IF('Extra 2'!$A130="","",ROWS($A$2:$A130))</f>
        <v/>
      </c>
      <c r="B130">
        <f>IF('Extra 2'!$A130="","",'Extra 2'!E130)</f>
        <v/>
      </c>
      <c r="C130">
        <f>IF('Extra 2'!$A130="","",'Extra 2'!F130)</f>
        <v/>
      </c>
      <c r="D130" s="14">
        <f>IF('Extra 2'!$A130="","",'Extra 2'!I130)</f>
        <v/>
      </c>
      <c r="E130" s="7">
        <f>IF('Extra 2'!$A130="","",'Extra 2'!O130)</f>
        <v/>
      </c>
      <c r="F130" s="7">
        <f>IF('Extra 2'!$A130="","",'Extra 2'!L130)</f>
        <v/>
      </c>
      <c r="G130" s="7">
        <f>IF('Extra 2'!$A130="","",'Extra 2'!S130)</f>
        <v/>
      </c>
      <c r="H130">
        <f>IF('Extra 2'!$A130="","",'Extra 2'!P130)</f>
        <v/>
      </c>
      <c r="I130">
        <f>IF('Extra 2'!$A130="","",'Extra 2'!M130)</f>
        <v/>
      </c>
      <c r="J130" s="7">
        <f>IF('Extra 2'!$A130="","",'Extra 2'!Q130)</f>
        <v/>
      </c>
      <c r="K130" s="7">
        <f>IF('Extra 2'!$A130="","",'Extra 2'!H130)</f>
        <v/>
      </c>
      <c r="L130" s="7">
        <f>IF('Extra 2'!$A130="","",'Extra 2'!T130)</f>
        <v/>
      </c>
      <c r="M130">
        <f>IF('Extra 2'!$A130="","",'Extra 2'!G130)</f>
        <v/>
      </c>
    </row>
    <row r="131">
      <c r="A131">
        <f>IF('Extra 2'!$A131="","",ROWS($A$2:$A131))</f>
        <v/>
      </c>
      <c r="B131">
        <f>IF('Extra 2'!$A131="","",'Extra 2'!E131)</f>
        <v/>
      </c>
      <c r="C131">
        <f>IF('Extra 2'!$A131="","",'Extra 2'!F131)</f>
        <v/>
      </c>
      <c r="D131" s="14">
        <f>IF('Extra 2'!$A131="","",'Extra 2'!I131)</f>
        <v/>
      </c>
      <c r="E131" s="7">
        <f>IF('Extra 2'!$A131="","",'Extra 2'!O131)</f>
        <v/>
      </c>
      <c r="F131" s="7">
        <f>IF('Extra 2'!$A131="","",'Extra 2'!L131)</f>
        <v/>
      </c>
      <c r="G131" s="7">
        <f>IF('Extra 2'!$A131="","",'Extra 2'!S131)</f>
        <v/>
      </c>
      <c r="H131">
        <f>IF('Extra 2'!$A131="","",'Extra 2'!P131)</f>
        <v/>
      </c>
      <c r="I131">
        <f>IF('Extra 2'!$A131="","",'Extra 2'!M131)</f>
        <v/>
      </c>
      <c r="J131" s="7">
        <f>IF('Extra 2'!$A131="","",'Extra 2'!Q131)</f>
        <v/>
      </c>
      <c r="K131" s="7">
        <f>IF('Extra 2'!$A131="","",'Extra 2'!H131)</f>
        <v/>
      </c>
      <c r="L131" s="7">
        <f>IF('Extra 2'!$A131="","",'Extra 2'!T131)</f>
        <v/>
      </c>
      <c r="M131">
        <f>IF('Extra 2'!$A131="","",'Extra 2'!G131)</f>
        <v/>
      </c>
    </row>
    <row r="132">
      <c r="A132">
        <f>IF('Extra 2'!$A132="","",ROWS($A$2:$A132))</f>
        <v/>
      </c>
      <c r="B132">
        <f>IF('Extra 2'!$A132="","",'Extra 2'!E132)</f>
        <v/>
      </c>
      <c r="C132">
        <f>IF('Extra 2'!$A132="","",'Extra 2'!F132)</f>
        <v/>
      </c>
      <c r="D132" s="14">
        <f>IF('Extra 2'!$A132="","",'Extra 2'!I132)</f>
        <v/>
      </c>
      <c r="E132" s="7">
        <f>IF('Extra 2'!$A132="","",'Extra 2'!O132)</f>
        <v/>
      </c>
      <c r="F132" s="7">
        <f>IF('Extra 2'!$A132="","",'Extra 2'!L132)</f>
        <v/>
      </c>
      <c r="G132" s="7">
        <f>IF('Extra 2'!$A132="","",'Extra 2'!S132)</f>
        <v/>
      </c>
      <c r="H132">
        <f>IF('Extra 2'!$A132="","",'Extra 2'!P132)</f>
        <v/>
      </c>
      <c r="I132">
        <f>IF('Extra 2'!$A132="","",'Extra 2'!M132)</f>
        <v/>
      </c>
      <c r="J132" s="7">
        <f>IF('Extra 2'!$A132="","",'Extra 2'!Q132)</f>
        <v/>
      </c>
      <c r="K132" s="7">
        <f>IF('Extra 2'!$A132="","",'Extra 2'!H132)</f>
        <v/>
      </c>
      <c r="L132" s="7">
        <f>IF('Extra 2'!$A132="","",'Extra 2'!T132)</f>
        <v/>
      </c>
      <c r="M132">
        <f>IF('Extra 2'!$A132="","",'Extra 2'!G132)</f>
        <v/>
      </c>
    </row>
    <row r="133">
      <c r="A133">
        <f>IF('Extra 2'!$A133="","",ROWS($A$2:$A133))</f>
        <v/>
      </c>
      <c r="B133">
        <f>IF('Extra 2'!$A133="","",'Extra 2'!E133)</f>
        <v/>
      </c>
      <c r="C133">
        <f>IF('Extra 2'!$A133="","",'Extra 2'!F133)</f>
        <v/>
      </c>
      <c r="D133" s="14">
        <f>IF('Extra 2'!$A133="","",'Extra 2'!I133)</f>
        <v/>
      </c>
      <c r="E133" s="7">
        <f>IF('Extra 2'!$A133="","",'Extra 2'!O133)</f>
        <v/>
      </c>
      <c r="F133" s="7">
        <f>IF('Extra 2'!$A133="","",'Extra 2'!L133)</f>
        <v/>
      </c>
      <c r="G133" s="7">
        <f>IF('Extra 2'!$A133="","",'Extra 2'!S133)</f>
        <v/>
      </c>
      <c r="H133">
        <f>IF('Extra 2'!$A133="","",'Extra 2'!P133)</f>
        <v/>
      </c>
      <c r="I133">
        <f>IF('Extra 2'!$A133="","",'Extra 2'!M133)</f>
        <v/>
      </c>
      <c r="J133" s="7">
        <f>IF('Extra 2'!$A133="","",'Extra 2'!Q133)</f>
        <v/>
      </c>
      <c r="K133" s="7">
        <f>IF('Extra 2'!$A133="","",'Extra 2'!H133)</f>
        <v/>
      </c>
      <c r="L133" s="7">
        <f>IF('Extra 2'!$A133="","",'Extra 2'!T133)</f>
        <v/>
      </c>
      <c r="M133">
        <f>IF('Extra 2'!$A133="","",'Extra 2'!G133)</f>
        <v/>
      </c>
    </row>
    <row r="134">
      <c r="A134">
        <f>IF('Extra 2'!$A134="","",ROWS($A$2:$A134))</f>
        <v/>
      </c>
      <c r="B134">
        <f>IF('Extra 2'!$A134="","",'Extra 2'!E134)</f>
        <v/>
      </c>
      <c r="C134">
        <f>IF('Extra 2'!$A134="","",'Extra 2'!F134)</f>
        <v/>
      </c>
      <c r="D134" s="14">
        <f>IF('Extra 2'!$A134="","",'Extra 2'!I134)</f>
        <v/>
      </c>
      <c r="E134" s="7">
        <f>IF('Extra 2'!$A134="","",'Extra 2'!O134)</f>
        <v/>
      </c>
      <c r="F134" s="7">
        <f>IF('Extra 2'!$A134="","",'Extra 2'!L134)</f>
        <v/>
      </c>
      <c r="G134" s="7">
        <f>IF('Extra 2'!$A134="","",'Extra 2'!S134)</f>
        <v/>
      </c>
      <c r="H134">
        <f>IF('Extra 2'!$A134="","",'Extra 2'!P134)</f>
        <v/>
      </c>
      <c r="I134">
        <f>IF('Extra 2'!$A134="","",'Extra 2'!M134)</f>
        <v/>
      </c>
      <c r="J134" s="7">
        <f>IF('Extra 2'!$A134="","",'Extra 2'!Q134)</f>
        <v/>
      </c>
      <c r="K134" s="7">
        <f>IF('Extra 2'!$A134="","",'Extra 2'!H134)</f>
        <v/>
      </c>
      <c r="L134" s="7">
        <f>IF('Extra 2'!$A134="","",'Extra 2'!T134)</f>
        <v/>
      </c>
      <c r="M134">
        <f>IF('Extra 2'!$A134="","",'Extra 2'!G134)</f>
        <v/>
      </c>
    </row>
    <row r="135">
      <c r="A135">
        <f>IF('Extra 2'!$A135="","",ROWS($A$2:$A135))</f>
        <v/>
      </c>
      <c r="B135">
        <f>IF('Extra 2'!$A135="","",'Extra 2'!E135)</f>
        <v/>
      </c>
      <c r="C135">
        <f>IF('Extra 2'!$A135="","",'Extra 2'!F135)</f>
        <v/>
      </c>
      <c r="D135" s="14">
        <f>IF('Extra 2'!$A135="","",'Extra 2'!I135)</f>
        <v/>
      </c>
      <c r="E135" s="7">
        <f>IF('Extra 2'!$A135="","",'Extra 2'!O135)</f>
        <v/>
      </c>
      <c r="F135" s="7">
        <f>IF('Extra 2'!$A135="","",'Extra 2'!L135)</f>
        <v/>
      </c>
      <c r="G135" s="7">
        <f>IF('Extra 2'!$A135="","",'Extra 2'!S135)</f>
        <v/>
      </c>
      <c r="H135">
        <f>IF('Extra 2'!$A135="","",'Extra 2'!P135)</f>
        <v/>
      </c>
      <c r="I135">
        <f>IF('Extra 2'!$A135="","",'Extra 2'!M135)</f>
        <v/>
      </c>
      <c r="J135" s="7">
        <f>IF('Extra 2'!$A135="","",'Extra 2'!Q135)</f>
        <v/>
      </c>
      <c r="K135" s="7">
        <f>IF('Extra 2'!$A135="","",'Extra 2'!H135)</f>
        <v/>
      </c>
      <c r="L135" s="7">
        <f>IF('Extra 2'!$A135="","",'Extra 2'!T135)</f>
        <v/>
      </c>
      <c r="M135">
        <f>IF('Extra 2'!$A135="","",'Extra 2'!G135)</f>
        <v/>
      </c>
    </row>
    <row r="136">
      <c r="A136">
        <f>IF('Extra 2'!$A136="","",ROWS($A$2:$A136))</f>
        <v/>
      </c>
      <c r="B136">
        <f>IF('Extra 2'!$A136="","",'Extra 2'!E136)</f>
        <v/>
      </c>
      <c r="C136">
        <f>IF('Extra 2'!$A136="","",'Extra 2'!F136)</f>
        <v/>
      </c>
      <c r="D136" s="14">
        <f>IF('Extra 2'!$A136="","",'Extra 2'!I136)</f>
        <v/>
      </c>
      <c r="E136" s="7">
        <f>IF('Extra 2'!$A136="","",'Extra 2'!O136)</f>
        <v/>
      </c>
      <c r="F136" s="7">
        <f>IF('Extra 2'!$A136="","",'Extra 2'!L136)</f>
        <v/>
      </c>
      <c r="G136" s="7">
        <f>IF('Extra 2'!$A136="","",'Extra 2'!S136)</f>
        <v/>
      </c>
      <c r="H136">
        <f>IF('Extra 2'!$A136="","",'Extra 2'!P136)</f>
        <v/>
      </c>
      <c r="I136">
        <f>IF('Extra 2'!$A136="","",'Extra 2'!M136)</f>
        <v/>
      </c>
      <c r="J136" s="7">
        <f>IF('Extra 2'!$A136="","",'Extra 2'!Q136)</f>
        <v/>
      </c>
      <c r="K136" s="7">
        <f>IF('Extra 2'!$A136="","",'Extra 2'!H136)</f>
        <v/>
      </c>
      <c r="L136" s="7">
        <f>IF('Extra 2'!$A136="","",'Extra 2'!T136)</f>
        <v/>
      </c>
      <c r="M136">
        <f>IF('Extra 2'!$A136="","",'Extra 2'!G136)</f>
        <v/>
      </c>
    </row>
    <row r="137">
      <c r="A137">
        <f>IF('Extra 2'!$A137="","",ROWS($A$2:$A137))</f>
        <v/>
      </c>
      <c r="B137">
        <f>IF('Extra 2'!$A137="","",'Extra 2'!E137)</f>
        <v/>
      </c>
      <c r="C137">
        <f>IF('Extra 2'!$A137="","",'Extra 2'!F137)</f>
        <v/>
      </c>
      <c r="D137" s="14">
        <f>IF('Extra 2'!$A137="","",'Extra 2'!I137)</f>
        <v/>
      </c>
      <c r="E137" s="7">
        <f>IF('Extra 2'!$A137="","",'Extra 2'!O137)</f>
        <v/>
      </c>
      <c r="F137" s="7">
        <f>IF('Extra 2'!$A137="","",'Extra 2'!L137)</f>
        <v/>
      </c>
      <c r="G137" s="7">
        <f>IF('Extra 2'!$A137="","",'Extra 2'!S137)</f>
        <v/>
      </c>
      <c r="H137">
        <f>IF('Extra 2'!$A137="","",'Extra 2'!P137)</f>
        <v/>
      </c>
      <c r="I137">
        <f>IF('Extra 2'!$A137="","",'Extra 2'!M137)</f>
        <v/>
      </c>
      <c r="J137" s="7">
        <f>IF('Extra 2'!$A137="","",'Extra 2'!Q137)</f>
        <v/>
      </c>
      <c r="K137" s="7">
        <f>IF('Extra 2'!$A137="","",'Extra 2'!H137)</f>
        <v/>
      </c>
      <c r="L137" s="7">
        <f>IF('Extra 2'!$A137="","",'Extra 2'!T137)</f>
        <v/>
      </c>
      <c r="M137">
        <f>IF('Extra 2'!$A137="","",'Extra 2'!G137)</f>
        <v/>
      </c>
    </row>
    <row r="138">
      <c r="A138">
        <f>IF('Extra 2'!$A138="","",ROWS($A$2:$A138))</f>
        <v/>
      </c>
      <c r="B138">
        <f>IF('Extra 2'!$A138="","",'Extra 2'!E138)</f>
        <v/>
      </c>
      <c r="C138">
        <f>IF('Extra 2'!$A138="","",'Extra 2'!F138)</f>
        <v/>
      </c>
      <c r="D138" s="14">
        <f>IF('Extra 2'!$A138="","",'Extra 2'!I138)</f>
        <v/>
      </c>
      <c r="E138" s="7">
        <f>IF('Extra 2'!$A138="","",'Extra 2'!O138)</f>
        <v/>
      </c>
      <c r="F138" s="7">
        <f>IF('Extra 2'!$A138="","",'Extra 2'!L138)</f>
        <v/>
      </c>
      <c r="G138" s="7">
        <f>IF('Extra 2'!$A138="","",'Extra 2'!S138)</f>
        <v/>
      </c>
      <c r="H138">
        <f>IF('Extra 2'!$A138="","",'Extra 2'!P138)</f>
        <v/>
      </c>
      <c r="I138">
        <f>IF('Extra 2'!$A138="","",'Extra 2'!M138)</f>
        <v/>
      </c>
      <c r="J138" s="7">
        <f>IF('Extra 2'!$A138="","",'Extra 2'!Q138)</f>
        <v/>
      </c>
      <c r="K138" s="7">
        <f>IF('Extra 2'!$A138="","",'Extra 2'!H138)</f>
        <v/>
      </c>
      <c r="L138" s="7">
        <f>IF('Extra 2'!$A138="","",'Extra 2'!T138)</f>
        <v/>
      </c>
      <c r="M138">
        <f>IF('Extra 2'!$A138="","",'Extra 2'!G138)</f>
        <v/>
      </c>
    </row>
    <row r="139">
      <c r="A139">
        <f>IF('Extra 2'!$A139="","",ROWS($A$2:$A139))</f>
        <v/>
      </c>
      <c r="B139">
        <f>IF('Extra 2'!$A139="","",'Extra 2'!E139)</f>
        <v/>
      </c>
      <c r="C139">
        <f>IF('Extra 2'!$A139="","",'Extra 2'!F139)</f>
        <v/>
      </c>
      <c r="D139" s="14">
        <f>IF('Extra 2'!$A139="","",'Extra 2'!I139)</f>
        <v/>
      </c>
      <c r="E139" s="7">
        <f>IF('Extra 2'!$A139="","",'Extra 2'!O139)</f>
        <v/>
      </c>
      <c r="F139" s="7">
        <f>IF('Extra 2'!$A139="","",'Extra 2'!L139)</f>
        <v/>
      </c>
      <c r="G139" s="7">
        <f>IF('Extra 2'!$A139="","",'Extra 2'!S139)</f>
        <v/>
      </c>
      <c r="H139">
        <f>IF('Extra 2'!$A139="","",'Extra 2'!P139)</f>
        <v/>
      </c>
      <c r="I139">
        <f>IF('Extra 2'!$A139="","",'Extra 2'!M139)</f>
        <v/>
      </c>
      <c r="J139" s="7">
        <f>IF('Extra 2'!$A139="","",'Extra 2'!Q139)</f>
        <v/>
      </c>
      <c r="K139" s="7">
        <f>IF('Extra 2'!$A139="","",'Extra 2'!H139)</f>
        <v/>
      </c>
      <c r="L139" s="7">
        <f>IF('Extra 2'!$A139="","",'Extra 2'!T139)</f>
        <v/>
      </c>
      <c r="M139">
        <f>IF('Extra 2'!$A139="","",'Extra 2'!G139)</f>
        <v/>
      </c>
    </row>
    <row r="140">
      <c r="A140">
        <f>IF('Extra 2'!$A140="","",ROWS($A$2:$A140))</f>
        <v/>
      </c>
      <c r="B140">
        <f>IF('Extra 2'!$A140="","",'Extra 2'!E140)</f>
        <v/>
      </c>
      <c r="C140">
        <f>IF('Extra 2'!$A140="","",'Extra 2'!F140)</f>
        <v/>
      </c>
      <c r="D140" s="14">
        <f>IF('Extra 2'!$A140="","",'Extra 2'!I140)</f>
        <v/>
      </c>
      <c r="E140" s="7">
        <f>IF('Extra 2'!$A140="","",'Extra 2'!O140)</f>
        <v/>
      </c>
      <c r="F140" s="7">
        <f>IF('Extra 2'!$A140="","",'Extra 2'!L140)</f>
        <v/>
      </c>
      <c r="G140" s="7">
        <f>IF('Extra 2'!$A140="","",'Extra 2'!S140)</f>
        <v/>
      </c>
      <c r="H140">
        <f>IF('Extra 2'!$A140="","",'Extra 2'!P140)</f>
        <v/>
      </c>
      <c r="I140">
        <f>IF('Extra 2'!$A140="","",'Extra 2'!M140)</f>
        <v/>
      </c>
      <c r="J140" s="7">
        <f>IF('Extra 2'!$A140="","",'Extra 2'!Q140)</f>
        <v/>
      </c>
      <c r="K140" s="7">
        <f>IF('Extra 2'!$A140="","",'Extra 2'!H140)</f>
        <v/>
      </c>
      <c r="L140" s="7">
        <f>IF('Extra 2'!$A140="","",'Extra 2'!T140)</f>
        <v/>
      </c>
      <c r="M140">
        <f>IF('Extra 2'!$A140="","",'Extra 2'!G140)</f>
        <v/>
      </c>
    </row>
    <row r="141">
      <c r="A141">
        <f>IF('Extra 2'!$A141="","",ROWS($A$2:$A141))</f>
        <v/>
      </c>
      <c r="B141">
        <f>IF('Extra 2'!$A141="","",'Extra 2'!E141)</f>
        <v/>
      </c>
      <c r="C141">
        <f>IF('Extra 2'!$A141="","",'Extra 2'!F141)</f>
        <v/>
      </c>
      <c r="D141" s="14">
        <f>IF('Extra 2'!$A141="","",'Extra 2'!I141)</f>
        <v/>
      </c>
      <c r="E141" s="7">
        <f>IF('Extra 2'!$A141="","",'Extra 2'!O141)</f>
        <v/>
      </c>
      <c r="F141" s="7">
        <f>IF('Extra 2'!$A141="","",'Extra 2'!L141)</f>
        <v/>
      </c>
      <c r="G141" s="7">
        <f>IF('Extra 2'!$A141="","",'Extra 2'!S141)</f>
        <v/>
      </c>
      <c r="H141">
        <f>IF('Extra 2'!$A141="","",'Extra 2'!P141)</f>
        <v/>
      </c>
      <c r="I141">
        <f>IF('Extra 2'!$A141="","",'Extra 2'!M141)</f>
        <v/>
      </c>
      <c r="J141" s="7">
        <f>IF('Extra 2'!$A141="","",'Extra 2'!Q141)</f>
        <v/>
      </c>
      <c r="K141" s="7">
        <f>IF('Extra 2'!$A141="","",'Extra 2'!H141)</f>
        <v/>
      </c>
      <c r="L141" s="7">
        <f>IF('Extra 2'!$A141="","",'Extra 2'!T141)</f>
        <v/>
      </c>
      <c r="M141">
        <f>IF('Extra 2'!$A141="","",'Extra 2'!G141)</f>
        <v/>
      </c>
    </row>
    <row r="142">
      <c r="A142">
        <f>IF('Extra 2'!$A142="","",ROWS($A$2:$A142))</f>
        <v/>
      </c>
      <c r="B142">
        <f>IF('Extra 2'!$A142="","",'Extra 2'!E142)</f>
        <v/>
      </c>
      <c r="C142">
        <f>IF('Extra 2'!$A142="","",'Extra 2'!F142)</f>
        <v/>
      </c>
      <c r="D142" s="14">
        <f>IF('Extra 2'!$A142="","",'Extra 2'!I142)</f>
        <v/>
      </c>
      <c r="E142" s="7">
        <f>IF('Extra 2'!$A142="","",'Extra 2'!O142)</f>
        <v/>
      </c>
      <c r="F142" s="7">
        <f>IF('Extra 2'!$A142="","",'Extra 2'!L142)</f>
        <v/>
      </c>
      <c r="G142" s="7">
        <f>IF('Extra 2'!$A142="","",'Extra 2'!S142)</f>
        <v/>
      </c>
      <c r="H142">
        <f>IF('Extra 2'!$A142="","",'Extra 2'!P142)</f>
        <v/>
      </c>
      <c r="I142">
        <f>IF('Extra 2'!$A142="","",'Extra 2'!M142)</f>
        <v/>
      </c>
      <c r="J142" s="7">
        <f>IF('Extra 2'!$A142="","",'Extra 2'!Q142)</f>
        <v/>
      </c>
      <c r="K142" s="7">
        <f>IF('Extra 2'!$A142="","",'Extra 2'!H142)</f>
        <v/>
      </c>
      <c r="L142" s="7">
        <f>IF('Extra 2'!$A142="","",'Extra 2'!T142)</f>
        <v/>
      </c>
      <c r="M142">
        <f>IF('Extra 2'!$A142="","",'Extra 2'!G142)</f>
        <v/>
      </c>
    </row>
    <row r="143">
      <c r="A143">
        <f>IF('Extra 2'!$A143="","",ROWS($A$2:$A143))</f>
        <v/>
      </c>
      <c r="B143">
        <f>IF('Extra 2'!$A143="","",'Extra 2'!E143)</f>
        <v/>
      </c>
      <c r="C143">
        <f>IF('Extra 2'!$A143="","",'Extra 2'!F143)</f>
        <v/>
      </c>
      <c r="D143" s="14">
        <f>IF('Extra 2'!$A143="","",'Extra 2'!I143)</f>
        <v/>
      </c>
      <c r="E143" s="7">
        <f>IF('Extra 2'!$A143="","",'Extra 2'!O143)</f>
        <v/>
      </c>
      <c r="F143" s="7">
        <f>IF('Extra 2'!$A143="","",'Extra 2'!L143)</f>
        <v/>
      </c>
      <c r="G143" s="7">
        <f>IF('Extra 2'!$A143="","",'Extra 2'!S143)</f>
        <v/>
      </c>
      <c r="H143">
        <f>IF('Extra 2'!$A143="","",'Extra 2'!P143)</f>
        <v/>
      </c>
      <c r="I143">
        <f>IF('Extra 2'!$A143="","",'Extra 2'!M143)</f>
        <v/>
      </c>
      <c r="J143" s="7">
        <f>IF('Extra 2'!$A143="","",'Extra 2'!Q143)</f>
        <v/>
      </c>
      <c r="K143" s="7">
        <f>IF('Extra 2'!$A143="","",'Extra 2'!H143)</f>
        <v/>
      </c>
      <c r="L143" s="7">
        <f>IF('Extra 2'!$A143="","",'Extra 2'!T143)</f>
        <v/>
      </c>
      <c r="M143">
        <f>IF('Extra 2'!$A143="","",'Extra 2'!G143)</f>
        <v/>
      </c>
    </row>
    <row r="144">
      <c r="A144">
        <f>IF('Extra 2'!$A144="","",ROWS($A$2:$A144))</f>
        <v/>
      </c>
      <c r="B144">
        <f>IF('Extra 2'!$A144="","",'Extra 2'!E144)</f>
        <v/>
      </c>
      <c r="C144">
        <f>IF('Extra 2'!$A144="","",'Extra 2'!F144)</f>
        <v/>
      </c>
      <c r="D144" s="14">
        <f>IF('Extra 2'!$A144="","",'Extra 2'!I144)</f>
        <v/>
      </c>
      <c r="E144" s="7">
        <f>IF('Extra 2'!$A144="","",'Extra 2'!O144)</f>
        <v/>
      </c>
      <c r="F144" s="7">
        <f>IF('Extra 2'!$A144="","",'Extra 2'!L144)</f>
        <v/>
      </c>
      <c r="G144" s="7">
        <f>IF('Extra 2'!$A144="","",'Extra 2'!S144)</f>
        <v/>
      </c>
      <c r="H144">
        <f>IF('Extra 2'!$A144="","",'Extra 2'!P144)</f>
        <v/>
      </c>
      <c r="I144">
        <f>IF('Extra 2'!$A144="","",'Extra 2'!M144)</f>
        <v/>
      </c>
      <c r="J144" s="7">
        <f>IF('Extra 2'!$A144="","",'Extra 2'!Q144)</f>
        <v/>
      </c>
      <c r="K144" s="7">
        <f>IF('Extra 2'!$A144="","",'Extra 2'!H144)</f>
        <v/>
      </c>
      <c r="L144" s="7">
        <f>IF('Extra 2'!$A144="","",'Extra 2'!T144)</f>
        <v/>
      </c>
      <c r="M144">
        <f>IF('Extra 2'!$A144="","",'Extra 2'!G144)</f>
        <v/>
      </c>
    </row>
    <row r="145">
      <c r="A145">
        <f>IF('Extra 2'!$A145="","",ROWS($A$2:$A145))</f>
        <v/>
      </c>
      <c r="B145">
        <f>IF('Extra 2'!$A145="","",'Extra 2'!E145)</f>
        <v/>
      </c>
      <c r="C145">
        <f>IF('Extra 2'!$A145="","",'Extra 2'!F145)</f>
        <v/>
      </c>
      <c r="D145" s="14">
        <f>IF('Extra 2'!$A145="","",'Extra 2'!I145)</f>
        <v/>
      </c>
      <c r="E145" s="7">
        <f>IF('Extra 2'!$A145="","",'Extra 2'!O145)</f>
        <v/>
      </c>
      <c r="F145" s="7">
        <f>IF('Extra 2'!$A145="","",'Extra 2'!L145)</f>
        <v/>
      </c>
      <c r="G145" s="7">
        <f>IF('Extra 2'!$A145="","",'Extra 2'!S145)</f>
        <v/>
      </c>
      <c r="H145">
        <f>IF('Extra 2'!$A145="","",'Extra 2'!P145)</f>
        <v/>
      </c>
      <c r="I145">
        <f>IF('Extra 2'!$A145="","",'Extra 2'!M145)</f>
        <v/>
      </c>
      <c r="J145" s="7">
        <f>IF('Extra 2'!$A145="","",'Extra 2'!Q145)</f>
        <v/>
      </c>
      <c r="K145" s="7">
        <f>IF('Extra 2'!$A145="","",'Extra 2'!H145)</f>
        <v/>
      </c>
      <c r="L145" s="7">
        <f>IF('Extra 2'!$A145="","",'Extra 2'!T145)</f>
        <v/>
      </c>
      <c r="M145">
        <f>IF('Extra 2'!$A145="","",'Extra 2'!G145)</f>
        <v/>
      </c>
    </row>
    <row r="146">
      <c r="A146">
        <f>IF('Extra 2'!$A146="","",ROWS($A$2:$A146))</f>
        <v/>
      </c>
      <c r="B146">
        <f>IF('Extra 2'!$A146="","",'Extra 2'!E146)</f>
        <v/>
      </c>
      <c r="C146">
        <f>IF('Extra 2'!$A146="","",'Extra 2'!F146)</f>
        <v/>
      </c>
      <c r="D146" s="14">
        <f>IF('Extra 2'!$A146="","",'Extra 2'!I146)</f>
        <v/>
      </c>
      <c r="E146" s="7">
        <f>IF('Extra 2'!$A146="","",'Extra 2'!O146)</f>
        <v/>
      </c>
      <c r="F146" s="7">
        <f>IF('Extra 2'!$A146="","",'Extra 2'!L146)</f>
        <v/>
      </c>
      <c r="G146" s="7">
        <f>IF('Extra 2'!$A146="","",'Extra 2'!S146)</f>
        <v/>
      </c>
      <c r="H146">
        <f>IF('Extra 2'!$A146="","",'Extra 2'!P146)</f>
        <v/>
      </c>
      <c r="I146">
        <f>IF('Extra 2'!$A146="","",'Extra 2'!M146)</f>
        <v/>
      </c>
      <c r="J146" s="7">
        <f>IF('Extra 2'!$A146="","",'Extra 2'!Q146)</f>
        <v/>
      </c>
      <c r="K146" s="7">
        <f>IF('Extra 2'!$A146="","",'Extra 2'!H146)</f>
        <v/>
      </c>
      <c r="L146" s="7">
        <f>IF('Extra 2'!$A146="","",'Extra 2'!T146)</f>
        <v/>
      </c>
      <c r="M146">
        <f>IF('Extra 2'!$A146="","",'Extra 2'!G146)</f>
        <v/>
      </c>
    </row>
    <row r="147">
      <c r="A147">
        <f>IF('Extra 2'!$A147="","",ROWS($A$2:$A147))</f>
        <v/>
      </c>
      <c r="B147">
        <f>IF('Extra 2'!$A147="","",'Extra 2'!E147)</f>
        <v/>
      </c>
      <c r="C147">
        <f>IF('Extra 2'!$A147="","",'Extra 2'!F147)</f>
        <v/>
      </c>
      <c r="D147" s="14">
        <f>IF('Extra 2'!$A147="","",'Extra 2'!I147)</f>
        <v/>
      </c>
      <c r="E147" s="7">
        <f>IF('Extra 2'!$A147="","",'Extra 2'!O147)</f>
        <v/>
      </c>
      <c r="F147" s="7">
        <f>IF('Extra 2'!$A147="","",'Extra 2'!L147)</f>
        <v/>
      </c>
      <c r="G147" s="7">
        <f>IF('Extra 2'!$A147="","",'Extra 2'!S147)</f>
        <v/>
      </c>
      <c r="H147">
        <f>IF('Extra 2'!$A147="","",'Extra 2'!P147)</f>
        <v/>
      </c>
      <c r="I147">
        <f>IF('Extra 2'!$A147="","",'Extra 2'!M147)</f>
        <v/>
      </c>
      <c r="J147" s="7">
        <f>IF('Extra 2'!$A147="","",'Extra 2'!Q147)</f>
        <v/>
      </c>
      <c r="K147" s="7">
        <f>IF('Extra 2'!$A147="","",'Extra 2'!H147)</f>
        <v/>
      </c>
      <c r="L147" s="7">
        <f>IF('Extra 2'!$A147="","",'Extra 2'!T147)</f>
        <v/>
      </c>
      <c r="M147">
        <f>IF('Extra 2'!$A147="","",'Extra 2'!G147)</f>
        <v/>
      </c>
    </row>
    <row r="148">
      <c r="A148">
        <f>IF('Extra 2'!$A148="","",ROWS($A$2:$A148))</f>
        <v/>
      </c>
      <c r="B148">
        <f>IF('Extra 2'!$A148="","",'Extra 2'!E148)</f>
        <v/>
      </c>
      <c r="C148">
        <f>IF('Extra 2'!$A148="","",'Extra 2'!F148)</f>
        <v/>
      </c>
      <c r="D148" s="14">
        <f>IF('Extra 2'!$A148="","",'Extra 2'!I148)</f>
        <v/>
      </c>
      <c r="E148" s="7">
        <f>IF('Extra 2'!$A148="","",'Extra 2'!O148)</f>
        <v/>
      </c>
      <c r="F148" s="7">
        <f>IF('Extra 2'!$A148="","",'Extra 2'!L148)</f>
        <v/>
      </c>
      <c r="G148" s="7">
        <f>IF('Extra 2'!$A148="","",'Extra 2'!S148)</f>
        <v/>
      </c>
      <c r="H148">
        <f>IF('Extra 2'!$A148="","",'Extra 2'!P148)</f>
        <v/>
      </c>
      <c r="I148">
        <f>IF('Extra 2'!$A148="","",'Extra 2'!M148)</f>
        <v/>
      </c>
      <c r="J148" s="7">
        <f>IF('Extra 2'!$A148="","",'Extra 2'!Q148)</f>
        <v/>
      </c>
      <c r="K148" s="7">
        <f>IF('Extra 2'!$A148="","",'Extra 2'!H148)</f>
        <v/>
      </c>
      <c r="L148" s="7">
        <f>IF('Extra 2'!$A148="","",'Extra 2'!T148)</f>
        <v/>
      </c>
      <c r="M148">
        <f>IF('Extra 2'!$A148="","",'Extra 2'!G148)</f>
        <v/>
      </c>
    </row>
    <row r="149">
      <c r="A149">
        <f>IF('Extra 2'!$A149="","",ROWS($A$2:$A149))</f>
        <v/>
      </c>
      <c r="B149">
        <f>IF('Extra 2'!$A149="","",'Extra 2'!E149)</f>
        <v/>
      </c>
      <c r="C149">
        <f>IF('Extra 2'!$A149="","",'Extra 2'!F149)</f>
        <v/>
      </c>
      <c r="D149" s="14">
        <f>IF('Extra 2'!$A149="","",'Extra 2'!I149)</f>
        <v/>
      </c>
      <c r="E149" s="7">
        <f>IF('Extra 2'!$A149="","",'Extra 2'!O149)</f>
        <v/>
      </c>
      <c r="F149" s="7">
        <f>IF('Extra 2'!$A149="","",'Extra 2'!L149)</f>
        <v/>
      </c>
      <c r="G149" s="7">
        <f>IF('Extra 2'!$A149="","",'Extra 2'!S149)</f>
        <v/>
      </c>
      <c r="H149">
        <f>IF('Extra 2'!$A149="","",'Extra 2'!P149)</f>
        <v/>
      </c>
      <c r="I149">
        <f>IF('Extra 2'!$A149="","",'Extra 2'!M149)</f>
        <v/>
      </c>
      <c r="J149" s="7">
        <f>IF('Extra 2'!$A149="","",'Extra 2'!Q149)</f>
        <v/>
      </c>
      <c r="K149" s="7">
        <f>IF('Extra 2'!$A149="","",'Extra 2'!H149)</f>
        <v/>
      </c>
      <c r="L149" s="7">
        <f>IF('Extra 2'!$A149="","",'Extra 2'!T149)</f>
        <v/>
      </c>
      <c r="M149">
        <f>IF('Extra 2'!$A149="","",'Extra 2'!G149)</f>
        <v/>
      </c>
    </row>
    <row r="150">
      <c r="A150">
        <f>IF('Extra 2'!$A150="","",ROWS($A$2:$A150))</f>
        <v/>
      </c>
      <c r="B150">
        <f>IF('Extra 2'!$A150="","",'Extra 2'!E150)</f>
        <v/>
      </c>
      <c r="C150">
        <f>IF('Extra 2'!$A150="","",'Extra 2'!F150)</f>
        <v/>
      </c>
      <c r="D150" s="14">
        <f>IF('Extra 2'!$A150="","",'Extra 2'!I150)</f>
        <v/>
      </c>
      <c r="E150" s="7">
        <f>IF('Extra 2'!$A150="","",'Extra 2'!O150)</f>
        <v/>
      </c>
      <c r="F150" s="7">
        <f>IF('Extra 2'!$A150="","",'Extra 2'!L150)</f>
        <v/>
      </c>
      <c r="G150" s="7">
        <f>IF('Extra 2'!$A150="","",'Extra 2'!S150)</f>
        <v/>
      </c>
      <c r="H150">
        <f>IF('Extra 2'!$A150="","",'Extra 2'!P150)</f>
        <v/>
      </c>
      <c r="I150">
        <f>IF('Extra 2'!$A150="","",'Extra 2'!M150)</f>
        <v/>
      </c>
      <c r="J150" s="7">
        <f>IF('Extra 2'!$A150="","",'Extra 2'!Q150)</f>
        <v/>
      </c>
      <c r="K150" s="7">
        <f>IF('Extra 2'!$A150="","",'Extra 2'!H150)</f>
        <v/>
      </c>
      <c r="L150" s="7">
        <f>IF('Extra 2'!$A150="","",'Extra 2'!T150)</f>
        <v/>
      </c>
      <c r="M150">
        <f>IF('Extra 2'!$A150="","",'Extra 2'!G150)</f>
        <v/>
      </c>
    </row>
    <row r="151">
      <c r="A151">
        <f>IF('Extra 2'!$A151="","",ROWS($A$2:$A151))</f>
        <v/>
      </c>
      <c r="B151">
        <f>IF('Extra 2'!$A151="","",'Extra 2'!E151)</f>
        <v/>
      </c>
      <c r="C151">
        <f>IF('Extra 2'!$A151="","",'Extra 2'!F151)</f>
        <v/>
      </c>
      <c r="D151" s="14">
        <f>IF('Extra 2'!$A151="","",'Extra 2'!I151)</f>
        <v/>
      </c>
      <c r="E151" s="7">
        <f>IF('Extra 2'!$A151="","",'Extra 2'!O151)</f>
        <v/>
      </c>
      <c r="F151" s="7">
        <f>IF('Extra 2'!$A151="","",'Extra 2'!L151)</f>
        <v/>
      </c>
      <c r="G151" s="7">
        <f>IF('Extra 2'!$A151="","",'Extra 2'!S151)</f>
        <v/>
      </c>
      <c r="H151">
        <f>IF('Extra 2'!$A151="","",'Extra 2'!P151)</f>
        <v/>
      </c>
      <c r="I151">
        <f>IF('Extra 2'!$A151="","",'Extra 2'!M151)</f>
        <v/>
      </c>
      <c r="J151" s="7">
        <f>IF('Extra 2'!$A151="","",'Extra 2'!Q151)</f>
        <v/>
      </c>
      <c r="K151" s="7">
        <f>IF('Extra 2'!$A151="","",'Extra 2'!H151)</f>
        <v/>
      </c>
      <c r="L151" s="7">
        <f>IF('Extra 2'!$A151="","",'Extra 2'!T151)</f>
        <v/>
      </c>
      <c r="M151">
        <f>IF('Extra 2'!$A151="","",'Extra 2'!G151)</f>
        <v/>
      </c>
    </row>
    <row r="152">
      <c r="A152">
        <f>IF('Extra 2'!$A152="","",ROWS($A$2:$A152))</f>
        <v/>
      </c>
      <c r="B152">
        <f>IF('Extra 2'!$A152="","",'Extra 2'!E152)</f>
        <v/>
      </c>
      <c r="C152">
        <f>IF('Extra 2'!$A152="","",'Extra 2'!F152)</f>
        <v/>
      </c>
      <c r="D152" s="14">
        <f>IF('Extra 2'!$A152="","",'Extra 2'!I152)</f>
        <v/>
      </c>
      <c r="E152" s="7">
        <f>IF('Extra 2'!$A152="","",'Extra 2'!O152)</f>
        <v/>
      </c>
      <c r="F152" s="7">
        <f>IF('Extra 2'!$A152="","",'Extra 2'!L152)</f>
        <v/>
      </c>
      <c r="G152" s="7">
        <f>IF('Extra 2'!$A152="","",'Extra 2'!S152)</f>
        <v/>
      </c>
      <c r="H152">
        <f>IF('Extra 2'!$A152="","",'Extra 2'!P152)</f>
        <v/>
      </c>
      <c r="I152">
        <f>IF('Extra 2'!$A152="","",'Extra 2'!M152)</f>
        <v/>
      </c>
      <c r="J152" s="7">
        <f>IF('Extra 2'!$A152="","",'Extra 2'!Q152)</f>
        <v/>
      </c>
      <c r="K152" s="7">
        <f>IF('Extra 2'!$A152="","",'Extra 2'!H152)</f>
        <v/>
      </c>
      <c r="L152" s="7">
        <f>IF('Extra 2'!$A152="","",'Extra 2'!T152)</f>
        <v/>
      </c>
      <c r="M152">
        <f>IF('Extra 2'!$A152="","",'Extra 2'!G152)</f>
        <v/>
      </c>
    </row>
    <row r="153">
      <c r="A153">
        <f>IF('Extra 2'!$A153="","",ROWS($A$2:$A153))</f>
        <v/>
      </c>
      <c r="B153">
        <f>IF('Extra 2'!$A153="","",'Extra 2'!E153)</f>
        <v/>
      </c>
      <c r="C153">
        <f>IF('Extra 2'!$A153="","",'Extra 2'!F153)</f>
        <v/>
      </c>
      <c r="D153" s="14">
        <f>IF('Extra 2'!$A153="","",'Extra 2'!I153)</f>
        <v/>
      </c>
      <c r="E153" s="7">
        <f>IF('Extra 2'!$A153="","",'Extra 2'!O153)</f>
        <v/>
      </c>
      <c r="F153" s="7">
        <f>IF('Extra 2'!$A153="","",'Extra 2'!L153)</f>
        <v/>
      </c>
      <c r="G153" s="7">
        <f>IF('Extra 2'!$A153="","",'Extra 2'!S153)</f>
        <v/>
      </c>
      <c r="H153">
        <f>IF('Extra 2'!$A153="","",'Extra 2'!P153)</f>
        <v/>
      </c>
      <c r="I153">
        <f>IF('Extra 2'!$A153="","",'Extra 2'!M153)</f>
        <v/>
      </c>
      <c r="J153" s="7">
        <f>IF('Extra 2'!$A153="","",'Extra 2'!Q153)</f>
        <v/>
      </c>
      <c r="K153" s="7">
        <f>IF('Extra 2'!$A153="","",'Extra 2'!H153)</f>
        <v/>
      </c>
      <c r="L153" s="7">
        <f>IF('Extra 2'!$A153="","",'Extra 2'!T153)</f>
        <v/>
      </c>
      <c r="M153">
        <f>IF('Extra 2'!$A153="","",'Extra 2'!G153)</f>
        <v/>
      </c>
    </row>
    <row r="154">
      <c r="A154">
        <f>IF('Extra 2'!$A154="","",ROWS($A$2:$A154))</f>
        <v/>
      </c>
      <c r="B154">
        <f>IF('Extra 2'!$A154="","",'Extra 2'!E154)</f>
        <v/>
      </c>
      <c r="C154">
        <f>IF('Extra 2'!$A154="","",'Extra 2'!F154)</f>
        <v/>
      </c>
      <c r="D154" s="14">
        <f>IF('Extra 2'!$A154="","",'Extra 2'!I154)</f>
        <v/>
      </c>
      <c r="E154" s="7">
        <f>IF('Extra 2'!$A154="","",'Extra 2'!O154)</f>
        <v/>
      </c>
      <c r="F154" s="7">
        <f>IF('Extra 2'!$A154="","",'Extra 2'!L154)</f>
        <v/>
      </c>
      <c r="G154" s="7">
        <f>IF('Extra 2'!$A154="","",'Extra 2'!S154)</f>
        <v/>
      </c>
      <c r="H154">
        <f>IF('Extra 2'!$A154="","",'Extra 2'!P154)</f>
        <v/>
      </c>
      <c r="I154">
        <f>IF('Extra 2'!$A154="","",'Extra 2'!M154)</f>
        <v/>
      </c>
      <c r="J154" s="7">
        <f>IF('Extra 2'!$A154="","",'Extra 2'!Q154)</f>
        <v/>
      </c>
      <c r="K154" s="7">
        <f>IF('Extra 2'!$A154="","",'Extra 2'!H154)</f>
        <v/>
      </c>
      <c r="L154" s="7">
        <f>IF('Extra 2'!$A154="","",'Extra 2'!T154)</f>
        <v/>
      </c>
      <c r="M154">
        <f>IF('Extra 2'!$A154="","",'Extra 2'!G154)</f>
        <v/>
      </c>
    </row>
    <row r="155">
      <c r="A155">
        <f>IF('Extra 2'!$A155="","",ROWS($A$2:$A155))</f>
        <v/>
      </c>
      <c r="B155">
        <f>IF('Extra 2'!$A155="","",'Extra 2'!E155)</f>
        <v/>
      </c>
      <c r="C155">
        <f>IF('Extra 2'!$A155="","",'Extra 2'!F155)</f>
        <v/>
      </c>
      <c r="D155" s="14">
        <f>IF('Extra 2'!$A155="","",'Extra 2'!I155)</f>
        <v/>
      </c>
      <c r="E155" s="7">
        <f>IF('Extra 2'!$A155="","",'Extra 2'!O155)</f>
        <v/>
      </c>
      <c r="F155" s="7">
        <f>IF('Extra 2'!$A155="","",'Extra 2'!L155)</f>
        <v/>
      </c>
      <c r="G155" s="7">
        <f>IF('Extra 2'!$A155="","",'Extra 2'!S155)</f>
        <v/>
      </c>
      <c r="H155">
        <f>IF('Extra 2'!$A155="","",'Extra 2'!P155)</f>
        <v/>
      </c>
      <c r="I155">
        <f>IF('Extra 2'!$A155="","",'Extra 2'!M155)</f>
        <v/>
      </c>
      <c r="J155" s="7">
        <f>IF('Extra 2'!$A155="","",'Extra 2'!Q155)</f>
        <v/>
      </c>
      <c r="K155" s="7">
        <f>IF('Extra 2'!$A155="","",'Extra 2'!H155)</f>
        <v/>
      </c>
      <c r="L155" s="7">
        <f>IF('Extra 2'!$A155="","",'Extra 2'!T155)</f>
        <v/>
      </c>
      <c r="M155">
        <f>IF('Extra 2'!$A155="","",'Extra 2'!G155)</f>
        <v/>
      </c>
    </row>
    <row r="156">
      <c r="A156">
        <f>IF('Extra 2'!$A156="","",ROWS($A$2:$A156))</f>
        <v/>
      </c>
      <c r="B156">
        <f>IF('Extra 2'!$A156="","",'Extra 2'!E156)</f>
        <v/>
      </c>
      <c r="C156">
        <f>IF('Extra 2'!$A156="","",'Extra 2'!F156)</f>
        <v/>
      </c>
      <c r="D156" s="14">
        <f>IF('Extra 2'!$A156="","",'Extra 2'!I156)</f>
        <v/>
      </c>
      <c r="E156" s="7">
        <f>IF('Extra 2'!$A156="","",'Extra 2'!O156)</f>
        <v/>
      </c>
      <c r="F156" s="7">
        <f>IF('Extra 2'!$A156="","",'Extra 2'!L156)</f>
        <v/>
      </c>
      <c r="G156" s="7">
        <f>IF('Extra 2'!$A156="","",'Extra 2'!S156)</f>
        <v/>
      </c>
      <c r="H156">
        <f>IF('Extra 2'!$A156="","",'Extra 2'!P156)</f>
        <v/>
      </c>
      <c r="I156">
        <f>IF('Extra 2'!$A156="","",'Extra 2'!M156)</f>
        <v/>
      </c>
      <c r="J156" s="7">
        <f>IF('Extra 2'!$A156="","",'Extra 2'!Q156)</f>
        <v/>
      </c>
      <c r="K156" s="7">
        <f>IF('Extra 2'!$A156="","",'Extra 2'!H156)</f>
        <v/>
      </c>
      <c r="L156" s="7">
        <f>IF('Extra 2'!$A156="","",'Extra 2'!T156)</f>
        <v/>
      </c>
      <c r="M156">
        <f>IF('Extra 2'!$A156="","",'Extra 2'!G156)</f>
        <v/>
      </c>
    </row>
    <row r="157">
      <c r="A157">
        <f>IF('Extra 2'!$A157="","",ROWS($A$2:$A157))</f>
        <v/>
      </c>
      <c r="B157">
        <f>IF('Extra 2'!$A157="","",'Extra 2'!E157)</f>
        <v/>
      </c>
      <c r="C157">
        <f>IF('Extra 2'!$A157="","",'Extra 2'!F157)</f>
        <v/>
      </c>
      <c r="D157" s="14">
        <f>IF('Extra 2'!$A157="","",'Extra 2'!I157)</f>
        <v/>
      </c>
      <c r="E157" s="7">
        <f>IF('Extra 2'!$A157="","",'Extra 2'!O157)</f>
        <v/>
      </c>
      <c r="F157" s="7">
        <f>IF('Extra 2'!$A157="","",'Extra 2'!L157)</f>
        <v/>
      </c>
      <c r="G157" s="7">
        <f>IF('Extra 2'!$A157="","",'Extra 2'!S157)</f>
        <v/>
      </c>
      <c r="H157">
        <f>IF('Extra 2'!$A157="","",'Extra 2'!P157)</f>
        <v/>
      </c>
      <c r="I157">
        <f>IF('Extra 2'!$A157="","",'Extra 2'!M157)</f>
        <v/>
      </c>
      <c r="J157" s="7">
        <f>IF('Extra 2'!$A157="","",'Extra 2'!Q157)</f>
        <v/>
      </c>
      <c r="K157" s="7">
        <f>IF('Extra 2'!$A157="","",'Extra 2'!H157)</f>
        <v/>
      </c>
      <c r="L157" s="7">
        <f>IF('Extra 2'!$A157="","",'Extra 2'!T157)</f>
        <v/>
      </c>
      <c r="M157">
        <f>IF('Extra 2'!$A157="","",'Extra 2'!G157)</f>
        <v/>
      </c>
    </row>
    <row r="158">
      <c r="A158">
        <f>IF('Extra 2'!$A158="","",ROWS($A$2:$A158))</f>
        <v/>
      </c>
      <c r="B158">
        <f>IF('Extra 2'!$A158="","",'Extra 2'!E158)</f>
        <v/>
      </c>
      <c r="C158">
        <f>IF('Extra 2'!$A158="","",'Extra 2'!F158)</f>
        <v/>
      </c>
      <c r="D158" s="14">
        <f>IF('Extra 2'!$A158="","",'Extra 2'!I158)</f>
        <v/>
      </c>
      <c r="E158" s="7">
        <f>IF('Extra 2'!$A158="","",'Extra 2'!O158)</f>
        <v/>
      </c>
      <c r="F158" s="7">
        <f>IF('Extra 2'!$A158="","",'Extra 2'!L158)</f>
        <v/>
      </c>
      <c r="G158" s="7">
        <f>IF('Extra 2'!$A158="","",'Extra 2'!S158)</f>
        <v/>
      </c>
      <c r="H158">
        <f>IF('Extra 2'!$A158="","",'Extra 2'!P158)</f>
        <v/>
      </c>
      <c r="I158">
        <f>IF('Extra 2'!$A158="","",'Extra 2'!M158)</f>
        <v/>
      </c>
      <c r="J158" s="7">
        <f>IF('Extra 2'!$A158="","",'Extra 2'!Q158)</f>
        <v/>
      </c>
      <c r="K158" s="7">
        <f>IF('Extra 2'!$A158="","",'Extra 2'!H158)</f>
        <v/>
      </c>
      <c r="L158" s="7">
        <f>IF('Extra 2'!$A158="","",'Extra 2'!T158)</f>
        <v/>
      </c>
      <c r="M158">
        <f>IF('Extra 2'!$A158="","",'Extra 2'!G158)</f>
        <v/>
      </c>
    </row>
    <row r="159">
      <c r="A159">
        <f>IF('Extra 2'!$A159="","",ROWS($A$2:$A159))</f>
        <v/>
      </c>
      <c r="B159">
        <f>IF('Extra 2'!$A159="","",'Extra 2'!E159)</f>
        <v/>
      </c>
      <c r="C159">
        <f>IF('Extra 2'!$A159="","",'Extra 2'!F159)</f>
        <v/>
      </c>
      <c r="D159" s="14">
        <f>IF('Extra 2'!$A159="","",'Extra 2'!I159)</f>
        <v/>
      </c>
      <c r="E159" s="7">
        <f>IF('Extra 2'!$A159="","",'Extra 2'!O159)</f>
        <v/>
      </c>
      <c r="F159" s="7">
        <f>IF('Extra 2'!$A159="","",'Extra 2'!L159)</f>
        <v/>
      </c>
      <c r="G159" s="7">
        <f>IF('Extra 2'!$A159="","",'Extra 2'!S159)</f>
        <v/>
      </c>
      <c r="H159">
        <f>IF('Extra 2'!$A159="","",'Extra 2'!P159)</f>
        <v/>
      </c>
      <c r="I159">
        <f>IF('Extra 2'!$A159="","",'Extra 2'!M159)</f>
        <v/>
      </c>
      <c r="J159" s="7">
        <f>IF('Extra 2'!$A159="","",'Extra 2'!Q159)</f>
        <v/>
      </c>
      <c r="K159" s="7">
        <f>IF('Extra 2'!$A159="","",'Extra 2'!H159)</f>
        <v/>
      </c>
      <c r="L159" s="7">
        <f>IF('Extra 2'!$A159="","",'Extra 2'!T159)</f>
        <v/>
      </c>
      <c r="M159">
        <f>IF('Extra 2'!$A159="","",'Extra 2'!G159)</f>
        <v/>
      </c>
    </row>
    <row r="160">
      <c r="A160">
        <f>IF('Extra 2'!$A160="","",ROWS($A$2:$A160))</f>
        <v/>
      </c>
      <c r="B160">
        <f>IF('Extra 2'!$A160="","",'Extra 2'!E160)</f>
        <v/>
      </c>
      <c r="C160">
        <f>IF('Extra 2'!$A160="","",'Extra 2'!F160)</f>
        <v/>
      </c>
      <c r="D160" s="14">
        <f>IF('Extra 2'!$A160="","",'Extra 2'!I160)</f>
        <v/>
      </c>
      <c r="E160" s="7">
        <f>IF('Extra 2'!$A160="","",'Extra 2'!O160)</f>
        <v/>
      </c>
      <c r="F160" s="7">
        <f>IF('Extra 2'!$A160="","",'Extra 2'!L160)</f>
        <v/>
      </c>
      <c r="G160" s="7">
        <f>IF('Extra 2'!$A160="","",'Extra 2'!S160)</f>
        <v/>
      </c>
      <c r="H160">
        <f>IF('Extra 2'!$A160="","",'Extra 2'!P160)</f>
        <v/>
      </c>
      <c r="I160">
        <f>IF('Extra 2'!$A160="","",'Extra 2'!M160)</f>
        <v/>
      </c>
      <c r="J160" s="7">
        <f>IF('Extra 2'!$A160="","",'Extra 2'!Q160)</f>
        <v/>
      </c>
      <c r="K160" s="7">
        <f>IF('Extra 2'!$A160="","",'Extra 2'!H160)</f>
        <v/>
      </c>
      <c r="L160" s="7">
        <f>IF('Extra 2'!$A160="","",'Extra 2'!T160)</f>
        <v/>
      </c>
      <c r="M160">
        <f>IF('Extra 2'!$A160="","",'Extra 2'!G160)</f>
        <v/>
      </c>
    </row>
    <row r="161">
      <c r="A161">
        <f>IF('Extra 2'!$A161="","",ROWS($A$2:$A161))</f>
        <v/>
      </c>
      <c r="B161">
        <f>IF('Extra 2'!$A161="","",'Extra 2'!E161)</f>
        <v/>
      </c>
      <c r="C161">
        <f>IF('Extra 2'!$A161="","",'Extra 2'!F161)</f>
        <v/>
      </c>
      <c r="D161" s="14">
        <f>IF('Extra 2'!$A161="","",'Extra 2'!I161)</f>
        <v/>
      </c>
      <c r="E161" s="7">
        <f>IF('Extra 2'!$A161="","",'Extra 2'!O161)</f>
        <v/>
      </c>
      <c r="F161" s="7">
        <f>IF('Extra 2'!$A161="","",'Extra 2'!L161)</f>
        <v/>
      </c>
      <c r="G161" s="7">
        <f>IF('Extra 2'!$A161="","",'Extra 2'!S161)</f>
        <v/>
      </c>
      <c r="H161">
        <f>IF('Extra 2'!$A161="","",'Extra 2'!P161)</f>
        <v/>
      </c>
      <c r="I161">
        <f>IF('Extra 2'!$A161="","",'Extra 2'!M161)</f>
        <v/>
      </c>
      <c r="J161" s="7">
        <f>IF('Extra 2'!$A161="","",'Extra 2'!Q161)</f>
        <v/>
      </c>
      <c r="K161" s="7">
        <f>IF('Extra 2'!$A161="","",'Extra 2'!H161)</f>
        <v/>
      </c>
      <c r="L161" s="7">
        <f>IF('Extra 2'!$A161="","",'Extra 2'!T161)</f>
        <v/>
      </c>
      <c r="M161">
        <f>IF('Extra 2'!$A161="","",'Extra 2'!G161)</f>
        <v/>
      </c>
    </row>
    <row r="162">
      <c r="A162">
        <f>IF('Extra 2'!$A162="","",ROWS($A$2:$A162))</f>
        <v/>
      </c>
      <c r="B162">
        <f>IF('Extra 2'!$A162="","",'Extra 2'!E162)</f>
        <v/>
      </c>
      <c r="C162">
        <f>IF('Extra 2'!$A162="","",'Extra 2'!F162)</f>
        <v/>
      </c>
      <c r="D162" s="14">
        <f>IF('Extra 2'!$A162="","",'Extra 2'!I162)</f>
        <v/>
      </c>
      <c r="E162" s="7">
        <f>IF('Extra 2'!$A162="","",'Extra 2'!O162)</f>
        <v/>
      </c>
      <c r="F162" s="7">
        <f>IF('Extra 2'!$A162="","",'Extra 2'!L162)</f>
        <v/>
      </c>
      <c r="G162" s="7">
        <f>IF('Extra 2'!$A162="","",'Extra 2'!S162)</f>
        <v/>
      </c>
      <c r="H162">
        <f>IF('Extra 2'!$A162="","",'Extra 2'!P162)</f>
        <v/>
      </c>
      <c r="I162">
        <f>IF('Extra 2'!$A162="","",'Extra 2'!M162)</f>
        <v/>
      </c>
      <c r="J162" s="7">
        <f>IF('Extra 2'!$A162="","",'Extra 2'!Q162)</f>
        <v/>
      </c>
      <c r="K162" s="7">
        <f>IF('Extra 2'!$A162="","",'Extra 2'!H162)</f>
        <v/>
      </c>
      <c r="L162" s="7">
        <f>IF('Extra 2'!$A162="","",'Extra 2'!T162)</f>
        <v/>
      </c>
      <c r="M162">
        <f>IF('Extra 2'!$A162="","",'Extra 2'!G162)</f>
        <v/>
      </c>
    </row>
    <row r="163">
      <c r="A163">
        <f>IF('Extra 2'!$A163="","",ROWS($A$2:$A163))</f>
        <v/>
      </c>
      <c r="B163">
        <f>IF('Extra 2'!$A163="","",'Extra 2'!E163)</f>
        <v/>
      </c>
      <c r="C163">
        <f>IF('Extra 2'!$A163="","",'Extra 2'!F163)</f>
        <v/>
      </c>
      <c r="D163" s="14">
        <f>IF('Extra 2'!$A163="","",'Extra 2'!I163)</f>
        <v/>
      </c>
      <c r="E163" s="7">
        <f>IF('Extra 2'!$A163="","",'Extra 2'!O163)</f>
        <v/>
      </c>
      <c r="F163" s="7">
        <f>IF('Extra 2'!$A163="","",'Extra 2'!L163)</f>
        <v/>
      </c>
      <c r="G163" s="7">
        <f>IF('Extra 2'!$A163="","",'Extra 2'!S163)</f>
        <v/>
      </c>
      <c r="H163">
        <f>IF('Extra 2'!$A163="","",'Extra 2'!P163)</f>
        <v/>
      </c>
      <c r="I163">
        <f>IF('Extra 2'!$A163="","",'Extra 2'!M163)</f>
        <v/>
      </c>
      <c r="J163" s="7">
        <f>IF('Extra 2'!$A163="","",'Extra 2'!Q163)</f>
        <v/>
      </c>
      <c r="K163" s="7">
        <f>IF('Extra 2'!$A163="","",'Extra 2'!H163)</f>
        <v/>
      </c>
      <c r="L163" s="7">
        <f>IF('Extra 2'!$A163="","",'Extra 2'!T163)</f>
        <v/>
      </c>
      <c r="M163">
        <f>IF('Extra 2'!$A163="","",'Extra 2'!G163)</f>
        <v/>
      </c>
    </row>
    <row r="164">
      <c r="A164">
        <f>IF('Extra 2'!$A164="","",ROWS($A$2:$A164))</f>
        <v/>
      </c>
      <c r="B164">
        <f>IF('Extra 2'!$A164="","",'Extra 2'!E164)</f>
        <v/>
      </c>
      <c r="C164">
        <f>IF('Extra 2'!$A164="","",'Extra 2'!F164)</f>
        <v/>
      </c>
      <c r="D164" s="14">
        <f>IF('Extra 2'!$A164="","",'Extra 2'!I164)</f>
        <v/>
      </c>
      <c r="E164" s="7">
        <f>IF('Extra 2'!$A164="","",'Extra 2'!O164)</f>
        <v/>
      </c>
      <c r="F164" s="7">
        <f>IF('Extra 2'!$A164="","",'Extra 2'!L164)</f>
        <v/>
      </c>
      <c r="G164" s="7">
        <f>IF('Extra 2'!$A164="","",'Extra 2'!S164)</f>
        <v/>
      </c>
      <c r="H164">
        <f>IF('Extra 2'!$A164="","",'Extra 2'!P164)</f>
        <v/>
      </c>
      <c r="I164">
        <f>IF('Extra 2'!$A164="","",'Extra 2'!M164)</f>
        <v/>
      </c>
      <c r="J164" s="7">
        <f>IF('Extra 2'!$A164="","",'Extra 2'!Q164)</f>
        <v/>
      </c>
      <c r="K164" s="7">
        <f>IF('Extra 2'!$A164="","",'Extra 2'!H164)</f>
        <v/>
      </c>
      <c r="L164" s="7">
        <f>IF('Extra 2'!$A164="","",'Extra 2'!T164)</f>
        <v/>
      </c>
      <c r="M164">
        <f>IF('Extra 2'!$A164="","",'Extra 2'!G164)</f>
        <v/>
      </c>
    </row>
    <row r="165">
      <c r="A165">
        <f>IF('Extra 2'!$A165="","",ROWS($A$2:$A165))</f>
        <v/>
      </c>
      <c r="B165">
        <f>IF('Extra 2'!$A165="","",'Extra 2'!E165)</f>
        <v/>
      </c>
      <c r="C165">
        <f>IF('Extra 2'!$A165="","",'Extra 2'!F165)</f>
        <v/>
      </c>
      <c r="D165" s="14">
        <f>IF('Extra 2'!$A165="","",'Extra 2'!I165)</f>
        <v/>
      </c>
      <c r="E165" s="7">
        <f>IF('Extra 2'!$A165="","",'Extra 2'!O165)</f>
        <v/>
      </c>
      <c r="F165" s="7">
        <f>IF('Extra 2'!$A165="","",'Extra 2'!L165)</f>
        <v/>
      </c>
      <c r="G165" s="7">
        <f>IF('Extra 2'!$A165="","",'Extra 2'!S165)</f>
        <v/>
      </c>
      <c r="H165">
        <f>IF('Extra 2'!$A165="","",'Extra 2'!P165)</f>
        <v/>
      </c>
      <c r="I165">
        <f>IF('Extra 2'!$A165="","",'Extra 2'!M165)</f>
        <v/>
      </c>
      <c r="J165" s="7">
        <f>IF('Extra 2'!$A165="","",'Extra 2'!Q165)</f>
        <v/>
      </c>
      <c r="K165" s="7">
        <f>IF('Extra 2'!$A165="","",'Extra 2'!H165)</f>
        <v/>
      </c>
      <c r="L165" s="7">
        <f>IF('Extra 2'!$A165="","",'Extra 2'!T165)</f>
        <v/>
      </c>
      <c r="M165">
        <f>IF('Extra 2'!$A165="","",'Extra 2'!G165)</f>
        <v/>
      </c>
    </row>
    <row r="166">
      <c r="A166">
        <f>IF('Extra 2'!$A166="","",ROWS($A$2:$A166))</f>
        <v/>
      </c>
      <c r="B166">
        <f>IF('Extra 2'!$A166="","",'Extra 2'!E166)</f>
        <v/>
      </c>
      <c r="C166">
        <f>IF('Extra 2'!$A166="","",'Extra 2'!F166)</f>
        <v/>
      </c>
      <c r="D166" s="14">
        <f>IF('Extra 2'!$A166="","",'Extra 2'!I166)</f>
        <v/>
      </c>
      <c r="E166" s="7">
        <f>IF('Extra 2'!$A166="","",'Extra 2'!O166)</f>
        <v/>
      </c>
      <c r="F166" s="7">
        <f>IF('Extra 2'!$A166="","",'Extra 2'!L166)</f>
        <v/>
      </c>
      <c r="G166" s="7">
        <f>IF('Extra 2'!$A166="","",'Extra 2'!S166)</f>
        <v/>
      </c>
      <c r="H166">
        <f>IF('Extra 2'!$A166="","",'Extra 2'!P166)</f>
        <v/>
      </c>
      <c r="I166">
        <f>IF('Extra 2'!$A166="","",'Extra 2'!M166)</f>
        <v/>
      </c>
      <c r="J166" s="7">
        <f>IF('Extra 2'!$A166="","",'Extra 2'!Q166)</f>
        <v/>
      </c>
      <c r="K166" s="7">
        <f>IF('Extra 2'!$A166="","",'Extra 2'!H166)</f>
        <v/>
      </c>
      <c r="L166" s="7">
        <f>IF('Extra 2'!$A166="","",'Extra 2'!T166)</f>
        <v/>
      </c>
      <c r="M166">
        <f>IF('Extra 2'!$A166="","",'Extra 2'!G166)</f>
        <v/>
      </c>
    </row>
    <row r="167">
      <c r="A167">
        <f>IF('Extra 2'!$A167="","",ROWS($A$2:$A167))</f>
        <v/>
      </c>
      <c r="B167">
        <f>IF('Extra 2'!$A167="","",'Extra 2'!E167)</f>
        <v/>
      </c>
      <c r="C167">
        <f>IF('Extra 2'!$A167="","",'Extra 2'!F167)</f>
        <v/>
      </c>
      <c r="D167" s="14">
        <f>IF('Extra 2'!$A167="","",'Extra 2'!I167)</f>
        <v/>
      </c>
      <c r="E167" s="7">
        <f>IF('Extra 2'!$A167="","",'Extra 2'!O167)</f>
        <v/>
      </c>
      <c r="F167" s="7">
        <f>IF('Extra 2'!$A167="","",'Extra 2'!L167)</f>
        <v/>
      </c>
      <c r="G167" s="7">
        <f>IF('Extra 2'!$A167="","",'Extra 2'!S167)</f>
        <v/>
      </c>
      <c r="H167">
        <f>IF('Extra 2'!$A167="","",'Extra 2'!P167)</f>
        <v/>
      </c>
      <c r="I167">
        <f>IF('Extra 2'!$A167="","",'Extra 2'!M167)</f>
        <v/>
      </c>
      <c r="J167" s="7">
        <f>IF('Extra 2'!$A167="","",'Extra 2'!Q167)</f>
        <v/>
      </c>
      <c r="K167" s="7">
        <f>IF('Extra 2'!$A167="","",'Extra 2'!H167)</f>
        <v/>
      </c>
      <c r="L167" s="7">
        <f>IF('Extra 2'!$A167="","",'Extra 2'!T167)</f>
        <v/>
      </c>
      <c r="M167">
        <f>IF('Extra 2'!$A167="","",'Extra 2'!G167)</f>
        <v/>
      </c>
    </row>
    <row r="168">
      <c r="A168">
        <f>IF('Extra 2'!$A168="","",ROWS($A$2:$A168))</f>
        <v/>
      </c>
      <c r="B168">
        <f>IF('Extra 2'!$A168="","",'Extra 2'!E168)</f>
        <v/>
      </c>
      <c r="C168">
        <f>IF('Extra 2'!$A168="","",'Extra 2'!F168)</f>
        <v/>
      </c>
      <c r="D168" s="14">
        <f>IF('Extra 2'!$A168="","",'Extra 2'!I168)</f>
        <v/>
      </c>
      <c r="E168" s="7">
        <f>IF('Extra 2'!$A168="","",'Extra 2'!O168)</f>
        <v/>
      </c>
      <c r="F168" s="7">
        <f>IF('Extra 2'!$A168="","",'Extra 2'!L168)</f>
        <v/>
      </c>
      <c r="G168" s="7">
        <f>IF('Extra 2'!$A168="","",'Extra 2'!S168)</f>
        <v/>
      </c>
      <c r="H168">
        <f>IF('Extra 2'!$A168="","",'Extra 2'!P168)</f>
        <v/>
      </c>
      <c r="I168">
        <f>IF('Extra 2'!$A168="","",'Extra 2'!M168)</f>
        <v/>
      </c>
      <c r="J168" s="7">
        <f>IF('Extra 2'!$A168="","",'Extra 2'!Q168)</f>
        <v/>
      </c>
      <c r="K168" s="7">
        <f>IF('Extra 2'!$A168="","",'Extra 2'!H168)</f>
        <v/>
      </c>
      <c r="L168" s="7">
        <f>IF('Extra 2'!$A168="","",'Extra 2'!T168)</f>
        <v/>
      </c>
      <c r="M168">
        <f>IF('Extra 2'!$A168="","",'Extra 2'!G168)</f>
        <v/>
      </c>
    </row>
    <row r="169">
      <c r="A169">
        <f>IF('Extra 2'!$A169="","",ROWS($A$2:$A169))</f>
        <v/>
      </c>
      <c r="B169">
        <f>IF('Extra 2'!$A169="","",'Extra 2'!E169)</f>
        <v/>
      </c>
      <c r="C169">
        <f>IF('Extra 2'!$A169="","",'Extra 2'!F169)</f>
        <v/>
      </c>
      <c r="D169" s="14">
        <f>IF('Extra 2'!$A169="","",'Extra 2'!I169)</f>
        <v/>
      </c>
      <c r="E169" s="7">
        <f>IF('Extra 2'!$A169="","",'Extra 2'!O169)</f>
        <v/>
      </c>
      <c r="F169" s="7">
        <f>IF('Extra 2'!$A169="","",'Extra 2'!L169)</f>
        <v/>
      </c>
      <c r="G169" s="7">
        <f>IF('Extra 2'!$A169="","",'Extra 2'!S169)</f>
        <v/>
      </c>
      <c r="H169">
        <f>IF('Extra 2'!$A169="","",'Extra 2'!P169)</f>
        <v/>
      </c>
      <c r="I169">
        <f>IF('Extra 2'!$A169="","",'Extra 2'!M169)</f>
        <v/>
      </c>
      <c r="J169" s="7">
        <f>IF('Extra 2'!$A169="","",'Extra 2'!Q169)</f>
        <v/>
      </c>
      <c r="K169" s="7">
        <f>IF('Extra 2'!$A169="","",'Extra 2'!H169)</f>
        <v/>
      </c>
      <c r="L169" s="7">
        <f>IF('Extra 2'!$A169="","",'Extra 2'!T169)</f>
        <v/>
      </c>
      <c r="M169">
        <f>IF('Extra 2'!$A169="","",'Extra 2'!G169)</f>
        <v/>
      </c>
    </row>
    <row r="170">
      <c r="A170">
        <f>IF('Extra 2'!$A170="","",ROWS($A$2:$A170))</f>
        <v/>
      </c>
      <c r="B170">
        <f>IF('Extra 2'!$A170="","",'Extra 2'!E170)</f>
        <v/>
      </c>
      <c r="C170">
        <f>IF('Extra 2'!$A170="","",'Extra 2'!F170)</f>
        <v/>
      </c>
      <c r="D170" s="14">
        <f>IF('Extra 2'!$A170="","",'Extra 2'!I170)</f>
        <v/>
      </c>
      <c r="E170" s="7">
        <f>IF('Extra 2'!$A170="","",'Extra 2'!O170)</f>
        <v/>
      </c>
      <c r="F170" s="7">
        <f>IF('Extra 2'!$A170="","",'Extra 2'!L170)</f>
        <v/>
      </c>
      <c r="G170" s="7">
        <f>IF('Extra 2'!$A170="","",'Extra 2'!S170)</f>
        <v/>
      </c>
      <c r="H170">
        <f>IF('Extra 2'!$A170="","",'Extra 2'!P170)</f>
        <v/>
      </c>
      <c r="I170">
        <f>IF('Extra 2'!$A170="","",'Extra 2'!M170)</f>
        <v/>
      </c>
      <c r="J170" s="7">
        <f>IF('Extra 2'!$A170="","",'Extra 2'!Q170)</f>
        <v/>
      </c>
      <c r="K170" s="7">
        <f>IF('Extra 2'!$A170="","",'Extra 2'!H170)</f>
        <v/>
      </c>
      <c r="L170" s="7">
        <f>IF('Extra 2'!$A170="","",'Extra 2'!T170)</f>
        <v/>
      </c>
      <c r="M170">
        <f>IF('Extra 2'!$A170="","",'Extra 2'!G170)</f>
        <v/>
      </c>
    </row>
    <row r="171">
      <c r="A171">
        <f>IF('Extra 2'!$A171="","",ROWS($A$2:$A171))</f>
        <v/>
      </c>
      <c r="B171">
        <f>IF('Extra 2'!$A171="","",'Extra 2'!E171)</f>
        <v/>
      </c>
      <c r="C171">
        <f>IF('Extra 2'!$A171="","",'Extra 2'!F171)</f>
        <v/>
      </c>
      <c r="D171" s="14">
        <f>IF('Extra 2'!$A171="","",'Extra 2'!I171)</f>
        <v/>
      </c>
      <c r="E171" s="7">
        <f>IF('Extra 2'!$A171="","",'Extra 2'!O171)</f>
        <v/>
      </c>
      <c r="F171" s="7">
        <f>IF('Extra 2'!$A171="","",'Extra 2'!L171)</f>
        <v/>
      </c>
      <c r="G171" s="7">
        <f>IF('Extra 2'!$A171="","",'Extra 2'!S171)</f>
        <v/>
      </c>
      <c r="H171">
        <f>IF('Extra 2'!$A171="","",'Extra 2'!P171)</f>
        <v/>
      </c>
      <c r="I171">
        <f>IF('Extra 2'!$A171="","",'Extra 2'!M171)</f>
        <v/>
      </c>
      <c r="J171" s="7">
        <f>IF('Extra 2'!$A171="","",'Extra 2'!Q171)</f>
        <v/>
      </c>
      <c r="K171" s="7">
        <f>IF('Extra 2'!$A171="","",'Extra 2'!H171)</f>
        <v/>
      </c>
      <c r="L171" s="7">
        <f>IF('Extra 2'!$A171="","",'Extra 2'!T171)</f>
        <v/>
      </c>
      <c r="M171">
        <f>IF('Extra 2'!$A171="","",'Extra 2'!G171)</f>
        <v/>
      </c>
    </row>
    <row r="172">
      <c r="A172">
        <f>IF('Extra 2'!$A172="","",ROWS($A$2:$A172))</f>
        <v/>
      </c>
      <c r="B172">
        <f>IF('Extra 2'!$A172="","",'Extra 2'!E172)</f>
        <v/>
      </c>
      <c r="C172">
        <f>IF('Extra 2'!$A172="","",'Extra 2'!F172)</f>
        <v/>
      </c>
      <c r="D172" s="14">
        <f>IF('Extra 2'!$A172="","",'Extra 2'!I172)</f>
        <v/>
      </c>
      <c r="E172" s="7">
        <f>IF('Extra 2'!$A172="","",'Extra 2'!O172)</f>
        <v/>
      </c>
      <c r="F172" s="7">
        <f>IF('Extra 2'!$A172="","",'Extra 2'!L172)</f>
        <v/>
      </c>
      <c r="G172" s="7">
        <f>IF('Extra 2'!$A172="","",'Extra 2'!S172)</f>
        <v/>
      </c>
      <c r="H172">
        <f>IF('Extra 2'!$A172="","",'Extra 2'!P172)</f>
        <v/>
      </c>
      <c r="I172">
        <f>IF('Extra 2'!$A172="","",'Extra 2'!M172)</f>
        <v/>
      </c>
      <c r="J172" s="7">
        <f>IF('Extra 2'!$A172="","",'Extra 2'!Q172)</f>
        <v/>
      </c>
      <c r="K172" s="7">
        <f>IF('Extra 2'!$A172="","",'Extra 2'!H172)</f>
        <v/>
      </c>
      <c r="L172" s="7">
        <f>IF('Extra 2'!$A172="","",'Extra 2'!T172)</f>
        <v/>
      </c>
      <c r="M172">
        <f>IF('Extra 2'!$A172="","",'Extra 2'!G172)</f>
        <v/>
      </c>
    </row>
    <row r="173">
      <c r="A173">
        <f>IF('Extra 2'!$A173="","",ROWS($A$2:$A173))</f>
        <v/>
      </c>
      <c r="B173">
        <f>IF('Extra 2'!$A173="","",'Extra 2'!E173)</f>
        <v/>
      </c>
      <c r="C173">
        <f>IF('Extra 2'!$A173="","",'Extra 2'!F173)</f>
        <v/>
      </c>
      <c r="D173" s="14">
        <f>IF('Extra 2'!$A173="","",'Extra 2'!I173)</f>
        <v/>
      </c>
      <c r="E173" s="7">
        <f>IF('Extra 2'!$A173="","",'Extra 2'!O173)</f>
        <v/>
      </c>
      <c r="F173" s="7">
        <f>IF('Extra 2'!$A173="","",'Extra 2'!L173)</f>
        <v/>
      </c>
      <c r="G173" s="7">
        <f>IF('Extra 2'!$A173="","",'Extra 2'!S173)</f>
        <v/>
      </c>
      <c r="H173">
        <f>IF('Extra 2'!$A173="","",'Extra 2'!P173)</f>
        <v/>
      </c>
      <c r="I173">
        <f>IF('Extra 2'!$A173="","",'Extra 2'!M173)</f>
        <v/>
      </c>
      <c r="J173" s="7">
        <f>IF('Extra 2'!$A173="","",'Extra 2'!Q173)</f>
        <v/>
      </c>
      <c r="K173" s="7">
        <f>IF('Extra 2'!$A173="","",'Extra 2'!H173)</f>
        <v/>
      </c>
      <c r="L173" s="7">
        <f>IF('Extra 2'!$A173="","",'Extra 2'!T173)</f>
        <v/>
      </c>
      <c r="M173">
        <f>IF('Extra 2'!$A173="","",'Extra 2'!G173)</f>
        <v/>
      </c>
    </row>
    <row r="174">
      <c r="A174">
        <f>IF('Extra 2'!$A174="","",ROWS($A$2:$A174))</f>
        <v/>
      </c>
      <c r="B174">
        <f>IF('Extra 2'!$A174="","",'Extra 2'!E174)</f>
        <v/>
      </c>
      <c r="C174">
        <f>IF('Extra 2'!$A174="","",'Extra 2'!F174)</f>
        <v/>
      </c>
      <c r="D174" s="14">
        <f>IF('Extra 2'!$A174="","",'Extra 2'!I174)</f>
        <v/>
      </c>
      <c r="E174" s="7">
        <f>IF('Extra 2'!$A174="","",'Extra 2'!O174)</f>
        <v/>
      </c>
      <c r="F174" s="7">
        <f>IF('Extra 2'!$A174="","",'Extra 2'!L174)</f>
        <v/>
      </c>
      <c r="G174" s="7">
        <f>IF('Extra 2'!$A174="","",'Extra 2'!S174)</f>
        <v/>
      </c>
      <c r="H174">
        <f>IF('Extra 2'!$A174="","",'Extra 2'!P174)</f>
        <v/>
      </c>
      <c r="I174">
        <f>IF('Extra 2'!$A174="","",'Extra 2'!M174)</f>
        <v/>
      </c>
      <c r="J174" s="7">
        <f>IF('Extra 2'!$A174="","",'Extra 2'!Q174)</f>
        <v/>
      </c>
      <c r="K174" s="7">
        <f>IF('Extra 2'!$A174="","",'Extra 2'!H174)</f>
        <v/>
      </c>
      <c r="L174" s="7">
        <f>IF('Extra 2'!$A174="","",'Extra 2'!T174)</f>
        <v/>
      </c>
      <c r="M174">
        <f>IF('Extra 2'!$A174="","",'Extra 2'!G174)</f>
        <v/>
      </c>
    </row>
    <row r="175">
      <c r="A175">
        <f>IF('Extra 2'!$A175="","",ROWS($A$2:$A175))</f>
        <v/>
      </c>
      <c r="B175">
        <f>IF('Extra 2'!$A175="","",'Extra 2'!E175)</f>
        <v/>
      </c>
      <c r="C175">
        <f>IF('Extra 2'!$A175="","",'Extra 2'!F175)</f>
        <v/>
      </c>
      <c r="D175" s="14">
        <f>IF('Extra 2'!$A175="","",'Extra 2'!I175)</f>
        <v/>
      </c>
      <c r="E175" s="7">
        <f>IF('Extra 2'!$A175="","",'Extra 2'!O175)</f>
        <v/>
      </c>
      <c r="F175" s="7">
        <f>IF('Extra 2'!$A175="","",'Extra 2'!L175)</f>
        <v/>
      </c>
      <c r="G175" s="7">
        <f>IF('Extra 2'!$A175="","",'Extra 2'!S175)</f>
        <v/>
      </c>
      <c r="H175">
        <f>IF('Extra 2'!$A175="","",'Extra 2'!P175)</f>
        <v/>
      </c>
      <c r="I175">
        <f>IF('Extra 2'!$A175="","",'Extra 2'!M175)</f>
        <v/>
      </c>
      <c r="J175" s="7">
        <f>IF('Extra 2'!$A175="","",'Extra 2'!Q175)</f>
        <v/>
      </c>
      <c r="K175" s="7">
        <f>IF('Extra 2'!$A175="","",'Extra 2'!H175)</f>
        <v/>
      </c>
      <c r="L175" s="7">
        <f>IF('Extra 2'!$A175="","",'Extra 2'!T175)</f>
        <v/>
      </c>
      <c r="M175">
        <f>IF('Extra 2'!$A175="","",'Extra 2'!G175)</f>
        <v/>
      </c>
    </row>
    <row r="176">
      <c r="A176">
        <f>IF('Extra 2'!$A176="","",ROWS($A$2:$A176))</f>
        <v/>
      </c>
      <c r="B176">
        <f>IF('Extra 2'!$A176="","",'Extra 2'!E176)</f>
        <v/>
      </c>
      <c r="C176">
        <f>IF('Extra 2'!$A176="","",'Extra 2'!F176)</f>
        <v/>
      </c>
      <c r="D176" s="14">
        <f>IF('Extra 2'!$A176="","",'Extra 2'!I176)</f>
        <v/>
      </c>
      <c r="E176" s="7">
        <f>IF('Extra 2'!$A176="","",'Extra 2'!O176)</f>
        <v/>
      </c>
      <c r="F176" s="7">
        <f>IF('Extra 2'!$A176="","",'Extra 2'!L176)</f>
        <v/>
      </c>
      <c r="G176" s="7">
        <f>IF('Extra 2'!$A176="","",'Extra 2'!S176)</f>
        <v/>
      </c>
      <c r="H176">
        <f>IF('Extra 2'!$A176="","",'Extra 2'!P176)</f>
        <v/>
      </c>
      <c r="I176">
        <f>IF('Extra 2'!$A176="","",'Extra 2'!M176)</f>
        <v/>
      </c>
      <c r="J176" s="7">
        <f>IF('Extra 2'!$A176="","",'Extra 2'!Q176)</f>
        <v/>
      </c>
      <c r="K176" s="7">
        <f>IF('Extra 2'!$A176="","",'Extra 2'!H176)</f>
        <v/>
      </c>
      <c r="L176" s="7">
        <f>IF('Extra 2'!$A176="","",'Extra 2'!T176)</f>
        <v/>
      </c>
      <c r="M176">
        <f>IF('Extra 2'!$A176="","",'Extra 2'!G176)</f>
        <v/>
      </c>
    </row>
    <row r="177">
      <c r="A177">
        <f>IF('Extra 2'!$A177="","",ROWS($A$2:$A177))</f>
        <v/>
      </c>
      <c r="B177">
        <f>IF('Extra 2'!$A177="","",'Extra 2'!E177)</f>
        <v/>
      </c>
      <c r="C177">
        <f>IF('Extra 2'!$A177="","",'Extra 2'!F177)</f>
        <v/>
      </c>
      <c r="D177" s="14">
        <f>IF('Extra 2'!$A177="","",'Extra 2'!I177)</f>
        <v/>
      </c>
      <c r="E177" s="7">
        <f>IF('Extra 2'!$A177="","",'Extra 2'!O177)</f>
        <v/>
      </c>
      <c r="F177" s="7">
        <f>IF('Extra 2'!$A177="","",'Extra 2'!L177)</f>
        <v/>
      </c>
      <c r="G177" s="7">
        <f>IF('Extra 2'!$A177="","",'Extra 2'!S177)</f>
        <v/>
      </c>
      <c r="H177">
        <f>IF('Extra 2'!$A177="","",'Extra 2'!P177)</f>
        <v/>
      </c>
      <c r="I177">
        <f>IF('Extra 2'!$A177="","",'Extra 2'!M177)</f>
        <v/>
      </c>
      <c r="J177" s="7">
        <f>IF('Extra 2'!$A177="","",'Extra 2'!Q177)</f>
        <v/>
      </c>
      <c r="K177" s="7">
        <f>IF('Extra 2'!$A177="","",'Extra 2'!H177)</f>
        <v/>
      </c>
      <c r="L177" s="7">
        <f>IF('Extra 2'!$A177="","",'Extra 2'!T177)</f>
        <v/>
      </c>
      <c r="M177">
        <f>IF('Extra 2'!$A177="","",'Extra 2'!G177)</f>
        <v/>
      </c>
    </row>
    <row r="178">
      <c r="A178">
        <f>IF('Extra 2'!$A178="","",ROWS($A$2:$A178))</f>
        <v/>
      </c>
      <c r="B178">
        <f>IF('Extra 2'!$A178="","",'Extra 2'!E178)</f>
        <v/>
      </c>
      <c r="C178">
        <f>IF('Extra 2'!$A178="","",'Extra 2'!F178)</f>
        <v/>
      </c>
      <c r="D178" s="14">
        <f>IF('Extra 2'!$A178="","",'Extra 2'!I178)</f>
        <v/>
      </c>
      <c r="E178" s="7">
        <f>IF('Extra 2'!$A178="","",'Extra 2'!O178)</f>
        <v/>
      </c>
      <c r="F178" s="7">
        <f>IF('Extra 2'!$A178="","",'Extra 2'!L178)</f>
        <v/>
      </c>
      <c r="G178" s="7">
        <f>IF('Extra 2'!$A178="","",'Extra 2'!S178)</f>
        <v/>
      </c>
      <c r="H178">
        <f>IF('Extra 2'!$A178="","",'Extra 2'!P178)</f>
        <v/>
      </c>
      <c r="I178">
        <f>IF('Extra 2'!$A178="","",'Extra 2'!M178)</f>
        <v/>
      </c>
      <c r="J178" s="7">
        <f>IF('Extra 2'!$A178="","",'Extra 2'!Q178)</f>
        <v/>
      </c>
      <c r="K178" s="7">
        <f>IF('Extra 2'!$A178="","",'Extra 2'!H178)</f>
        <v/>
      </c>
      <c r="L178" s="7">
        <f>IF('Extra 2'!$A178="","",'Extra 2'!T178)</f>
        <v/>
      </c>
      <c r="M178">
        <f>IF('Extra 2'!$A178="","",'Extra 2'!G178)</f>
        <v/>
      </c>
    </row>
    <row r="179">
      <c r="A179">
        <f>IF('Extra 2'!$A179="","",ROWS($A$2:$A179))</f>
        <v/>
      </c>
      <c r="B179">
        <f>IF('Extra 2'!$A179="","",'Extra 2'!E179)</f>
        <v/>
      </c>
      <c r="C179">
        <f>IF('Extra 2'!$A179="","",'Extra 2'!F179)</f>
        <v/>
      </c>
      <c r="D179" s="14">
        <f>IF('Extra 2'!$A179="","",'Extra 2'!I179)</f>
        <v/>
      </c>
      <c r="E179" s="7">
        <f>IF('Extra 2'!$A179="","",'Extra 2'!O179)</f>
        <v/>
      </c>
      <c r="F179" s="7">
        <f>IF('Extra 2'!$A179="","",'Extra 2'!L179)</f>
        <v/>
      </c>
      <c r="G179" s="7">
        <f>IF('Extra 2'!$A179="","",'Extra 2'!S179)</f>
        <v/>
      </c>
      <c r="H179">
        <f>IF('Extra 2'!$A179="","",'Extra 2'!P179)</f>
        <v/>
      </c>
      <c r="I179">
        <f>IF('Extra 2'!$A179="","",'Extra 2'!M179)</f>
        <v/>
      </c>
      <c r="J179" s="7">
        <f>IF('Extra 2'!$A179="","",'Extra 2'!Q179)</f>
        <v/>
      </c>
      <c r="K179" s="7">
        <f>IF('Extra 2'!$A179="","",'Extra 2'!H179)</f>
        <v/>
      </c>
      <c r="L179" s="7">
        <f>IF('Extra 2'!$A179="","",'Extra 2'!T179)</f>
        <v/>
      </c>
      <c r="M179">
        <f>IF('Extra 2'!$A179="","",'Extra 2'!G179)</f>
        <v/>
      </c>
    </row>
    <row r="180">
      <c r="A180">
        <f>IF('Extra 2'!$A180="","",ROWS($A$2:$A180))</f>
        <v/>
      </c>
      <c r="B180">
        <f>IF('Extra 2'!$A180="","",'Extra 2'!E180)</f>
        <v/>
      </c>
      <c r="C180">
        <f>IF('Extra 2'!$A180="","",'Extra 2'!F180)</f>
        <v/>
      </c>
      <c r="D180" s="14">
        <f>IF('Extra 2'!$A180="","",'Extra 2'!I180)</f>
        <v/>
      </c>
      <c r="E180" s="7">
        <f>IF('Extra 2'!$A180="","",'Extra 2'!O180)</f>
        <v/>
      </c>
      <c r="F180" s="7">
        <f>IF('Extra 2'!$A180="","",'Extra 2'!L180)</f>
        <v/>
      </c>
      <c r="G180" s="7">
        <f>IF('Extra 2'!$A180="","",'Extra 2'!S180)</f>
        <v/>
      </c>
      <c r="H180">
        <f>IF('Extra 2'!$A180="","",'Extra 2'!P180)</f>
        <v/>
      </c>
      <c r="I180">
        <f>IF('Extra 2'!$A180="","",'Extra 2'!M180)</f>
        <v/>
      </c>
      <c r="J180" s="7">
        <f>IF('Extra 2'!$A180="","",'Extra 2'!Q180)</f>
        <v/>
      </c>
      <c r="K180" s="7">
        <f>IF('Extra 2'!$A180="","",'Extra 2'!H180)</f>
        <v/>
      </c>
      <c r="L180" s="7">
        <f>IF('Extra 2'!$A180="","",'Extra 2'!T180)</f>
        <v/>
      </c>
      <c r="M180">
        <f>IF('Extra 2'!$A180="","",'Extra 2'!G180)</f>
        <v/>
      </c>
    </row>
    <row r="181">
      <c r="A181">
        <f>IF('Extra 2'!$A181="","",ROWS($A$2:$A181))</f>
        <v/>
      </c>
      <c r="B181">
        <f>IF('Extra 2'!$A181="","",'Extra 2'!E181)</f>
        <v/>
      </c>
      <c r="C181">
        <f>IF('Extra 2'!$A181="","",'Extra 2'!F181)</f>
        <v/>
      </c>
      <c r="D181" s="14">
        <f>IF('Extra 2'!$A181="","",'Extra 2'!I181)</f>
        <v/>
      </c>
      <c r="E181" s="7">
        <f>IF('Extra 2'!$A181="","",'Extra 2'!O181)</f>
        <v/>
      </c>
      <c r="F181" s="7">
        <f>IF('Extra 2'!$A181="","",'Extra 2'!L181)</f>
        <v/>
      </c>
      <c r="G181" s="7">
        <f>IF('Extra 2'!$A181="","",'Extra 2'!S181)</f>
        <v/>
      </c>
      <c r="H181">
        <f>IF('Extra 2'!$A181="","",'Extra 2'!P181)</f>
        <v/>
      </c>
      <c r="I181">
        <f>IF('Extra 2'!$A181="","",'Extra 2'!M181)</f>
        <v/>
      </c>
      <c r="J181" s="7">
        <f>IF('Extra 2'!$A181="","",'Extra 2'!Q181)</f>
        <v/>
      </c>
      <c r="K181" s="7">
        <f>IF('Extra 2'!$A181="","",'Extra 2'!H181)</f>
        <v/>
      </c>
      <c r="L181" s="7">
        <f>IF('Extra 2'!$A181="","",'Extra 2'!T181)</f>
        <v/>
      </c>
      <c r="M181">
        <f>IF('Extra 2'!$A181="","",'Extra 2'!G181)</f>
        <v/>
      </c>
    </row>
    <row r="182">
      <c r="A182">
        <f>IF('Extra 2'!$A182="","",ROWS($A$2:$A182))</f>
        <v/>
      </c>
      <c r="B182">
        <f>IF('Extra 2'!$A182="","",'Extra 2'!E182)</f>
        <v/>
      </c>
      <c r="C182">
        <f>IF('Extra 2'!$A182="","",'Extra 2'!F182)</f>
        <v/>
      </c>
      <c r="D182" s="14">
        <f>IF('Extra 2'!$A182="","",'Extra 2'!I182)</f>
        <v/>
      </c>
      <c r="E182" s="7">
        <f>IF('Extra 2'!$A182="","",'Extra 2'!O182)</f>
        <v/>
      </c>
      <c r="F182" s="7">
        <f>IF('Extra 2'!$A182="","",'Extra 2'!L182)</f>
        <v/>
      </c>
      <c r="G182" s="7">
        <f>IF('Extra 2'!$A182="","",'Extra 2'!S182)</f>
        <v/>
      </c>
      <c r="H182">
        <f>IF('Extra 2'!$A182="","",'Extra 2'!P182)</f>
        <v/>
      </c>
      <c r="I182">
        <f>IF('Extra 2'!$A182="","",'Extra 2'!M182)</f>
        <v/>
      </c>
      <c r="J182" s="7">
        <f>IF('Extra 2'!$A182="","",'Extra 2'!Q182)</f>
        <v/>
      </c>
      <c r="K182" s="7">
        <f>IF('Extra 2'!$A182="","",'Extra 2'!H182)</f>
        <v/>
      </c>
      <c r="L182" s="7">
        <f>IF('Extra 2'!$A182="","",'Extra 2'!T182)</f>
        <v/>
      </c>
      <c r="M182">
        <f>IF('Extra 2'!$A182="","",'Extra 2'!G182)</f>
        <v/>
      </c>
    </row>
    <row r="183">
      <c r="A183">
        <f>IF('Extra 2'!$A183="","",ROWS($A$2:$A183))</f>
        <v/>
      </c>
      <c r="B183">
        <f>IF('Extra 2'!$A183="","",'Extra 2'!E183)</f>
        <v/>
      </c>
      <c r="C183">
        <f>IF('Extra 2'!$A183="","",'Extra 2'!F183)</f>
        <v/>
      </c>
      <c r="D183" s="14">
        <f>IF('Extra 2'!$A183="","",'Extra 2'!I183)</f>
        <v/>
      </c>
      <c r="E183" s="7">
        <f>IF('Extra 2'!$A183="","",'Extra 2'!O183)</f>
        <v/>
      </c>
      <c r="F183" s="7">
        <f>IF('Extra 2'!$A183="","",'Extra 2'!L183)</f>
        <v/>
      </c>
      <c r="G183" s="7">
        <f>IF('Extra 2'!$A183="","",'Extra 2'!S183)</f>
        <v/>
      </c>
      <c r="H183">
        <f>IF('Extra 2'!$A183="","",'Extra 2'!P183)</f>
        <v/>
      </c>
      <c r="I183">
        <f>IF('Extra 2'!$A183="","",'Extra 2'!M183)</f>
        <v/>
      </c>
      <c r="J183" s="7">
        <f>IF('Extra 2'!$A183="","",'Extra 2'!Q183)</f>
        <v/>
      </c>
      <c r="K183" s="7">
        <f>IF('Extra 2'!$A183="","",'Extra 2'!H183)</f>
        <v/>
      </c>
      <c r="L183" s="7">
        <f>IF('Extra 2'!$A183="","",'Extra 2'!T183)</f>
        <v/>
      </c>
      <c r="M183">
        <f>IF('Extra 2'!$A183="","",'Extra 2'!G183)</f>
        <v/>
      </c>
    </row>
    <row r="184">
      <c r="A184">
        <f>IF('Extra 2'!$A184="","",ROWS($A$2:$A184))</f>
        <v/>
      </c>
      <c r="B184">
        <f>IF('Extra 2'!$A184="","",'Extra 2'!E184)</f>
        <v/>
      </c>
      <c r="C184">
        <f>IF('Extra 2'!$A184="","",'Extra 2'!F184)</f>
        <v/>
      </c>
      <c r="D184" s="14">
        <f>IF('Extra 2'!$A184="","",'Extra 2'!I184)</f>
        <v/>
      </c>
      <c r="E184" s="7">
        <f>IF('Extra 2'!$A184="","",'Extra 2'!O184)</f>
        <v/>
      </c>
      <c r="F184" s="7">
        <f>IF('Extra 2'!$A184="","",'Extra 2'!L184)</f>
        <v/>
      </c>
      <c r="G184" s="7">
        <f>IF('Extra 2'!$A184="","",'Extra 2'!S184)</f>
        <v/>
      </c>
      <c r="H184">
        <f>IF('Extra 2'!$A184="","",'Extra 2'!P184)</f>
        <v/>
      </c>
      <c r="I184">
        <f>IF('Extra 2'!$A184="","",'Extra 2'!M184)</f>
        <v/>
      </c>
      <c r="J184" s="7">
        <f>IF('Extra 2'!$A184="","",'Extra 2'!Q184)</f>
        <v/>
      </c>
      <c r="K184" s="7">
        <f>IF('Extra 2'!$A184="","",'Extra 2'!H184)</f>
        <v/>
      </c>
      <c r="L184" s="7">
        <f>IF('Extra 2'!$A184="","",'Extra 2'!T184)</f>
        <v/>
      </c>
      <c r="M184">
        <f>IF('Extra 2'!$A184="","",'Extra 2'!G184)</f>
        <v/>
      </c>
    </row>
    <row r="185">
      <c r="A185">
        <f>IF('Extra 2'!$A185="","",ROWS($A$2:$A185))</f>
        <v/>
      </c>
      <c r="B185">
        <f>IF('Extra 2'!$A185="","",'Extra 2'!E185)</f>
        <v/>
      </c>
      <c r="C185">
        <f>IF('Extra 2'!$A185="","",'Extra 2'!F185)</f>
        <v/>
      </c>
      <c r="D185" s="14">
        <f>IF('Extra 2'!$A185="","",'Extra 2'!I185)</f>
        <v/>
      </c>
      <c r="E185" s="7">
        <f>IF('Extra 2'!$A185="","",'Extra 2'!O185)</f>
        <v/>
      </c>
      <c r="F185" s="7">
        <f>IF('Extra 2'!$A185="","",'Extra 2'!L185)</f>
        <v/>
      </c>
      <c r="G185" s="7">
        <f>IF('Extra 2'!$A185="","",'Extra 2'!S185)</f>
        <v/>
      </c>
      <c r="H185">
        <f>IF('Extra 2'!$A185="","",'Extra 2'!P185)</f>
        <v/>
      </c>
      <c r="I185">
        <f>IF('Extra 2'!$A185="","",'Extra 2'!M185)</f>
        <v/>
      </c>
      <c r="J185" s="7">
        <f>IF('Extra 2'!$A185="","",'Extra 2'!Q185)</f>
        <v/>
      </c>
      <c r="K185" s="7">
        <f>IF('Extra 2'!$A185="","",'Extra 2'!H185)</f>
        <v/>
      </c>
      <c r="L185" s="7">
        <f>IF('Extra 2'!$A185="","",'Extra 2'!T185)</f>
        <v/>
      </c>
      <c r="M185">
        <f>IF('Extra 2'!$A185="","",'Extra 2'!G185)</f>
        <v/>
      </c>
    </row>
    <row r="186">
      <c r="A186">
        <f>IF('Extra 2'!$A186="","",ROWS($A$2:$A186))</f>
        <v/>
      </c>
      <c r="B186">
        <f>IF('Extra 2'!$A186="","",'Extra 2'!E186)</f>
        <v/>
      </c>
      <c r="C186">
        <f>IF('Extra 2'!$A186="","",'Extra 2'!F186)</f>
        <v/>
      </c>
      <c r="D186" s="14">
        <f>IF('Extra 2'!$A186="","",'Extra 2'!I186)</f>
        <v/>
      </c>
      <c r="E186" s="7">
        <f>IF('Extra 2'!$A186="","",'Extra 2'!O186)</f>
        <v/>
      </c>
      <c r="F186" s="7">
        <f>IF('Extra 2'!$A186="","",'Extra 2'!L186)</f>
        <v/>
      </c>
      <c r="G186" s="7">
        <f>IF('Extra 2'!$A186="","",'Extra 2'!S186)</f>
        <v/>
      </c>
      <c r="H186">
        <f>IF('Extra 2'!$A186="","",'Extra 2'!P186)</f>
        <v/>
      </c>
      <c r="I186">
        <f>IF('Extra 2'!$A186="","",'Extra 2'!M186)</f>
        <v/>
      </c>
      <c r="J186" s="7">
        <f>IF('Extra 2'!$A186="","",'Extra 2'!Q186)</f>
        <v/>
      </c>
      <c r="K186" s="7">
        <f>IF('Extra 2'!$A186="","",'Extra 2'!H186)</f>
        <v/>
      </c>
      <c r="L186" s="7">
        <f>IF('Extra 2'!$A186="","",'Extra 2'!T186)</f>
        <v/>
      </c>
      <c r="M186">
        <f>IF('Extra 2'!$A186="","",'Extra 2'!G186)</f>
        <v/>
      </c>
    </row>
    <row r="187">
      <c r="A187">
        <f>IF('Extra 2'!$A187="","",ROWS($A$2:$A187))</f>
        <v/>
      </c>
      <c r="B187">
        <f>IF('Extra 2'!$A187="","",'Extra 2'!E187)</f>
        <v/>
      </c>
      <c r="C187">
        <f>IF('Extra 2'!$A187="","",'Extra 2'!F187)</f>
        <v/>
      </c>
      <c r="D187" s="14">
        <f>IF('Extra 2'!$A187="","",'Extra 2'!I187)</f>
        <v/>
      </c>
      <c r="E187" s="7">
        <f>IF('Extra 2'!$A187="","",'Extra 2'!O187)</f>
        <v/>
      </c>
      <c r="F187" s="7">
        <f>IF('Extra 2'!$A187="","",'Extra 2'!L187)</f>
        <v/>
      </c>
      <c r="G187" s="7">
        <f>IF('Extra 2'!$A187="","",'Extra 2'!S187)</f>
        <v/>
      </c>
      <c r="H187">
        <f>IF('Extra 2'!$A187="","",'Extra 2'!P187)</f>
        <v/>
      </c>
      <c r="I187">
        <f>IF('Extra 2'!$A187="","",'Extra 2'!M187)</f>
        <v/>
      </c>
      <c r="J187" s="7">
        <f>IF('Extra 2'!$A187="","",'Extra 2'!Q187)</f>
        <v/>
      </c>
      <c r="K187" s="7">
        <f>IF('Extra 2'!$A187="","",'Extra 2'!H187)</f>
        <v/>
      </c>
      <c r="L187" s="7">
        <f>IF('Extra 2'!$A187="","",'Extra 2'!T187)</f>
        <v/>
      </c>
      <c r="M187">
        <f>IF('Extra 2'!$A187="","",'Extra 2'!G187)</f>
        <v/>
      </c>
    </row>
    <row r="188">
      <c r="A188">
        <f>IF('Extra 2'!$A188="","",ROWS($A$2:$A188))</f>
        <v/>
      </c>
      <c r="B188">
        <f>IF('Extra 2'!$A188="","",'Extra 2'!E188)</f>
        <v/>
      </c>
      <c r="C188">
        <f>IF('Extra 2'!$A188="","",'Extra 2'!F188)</f>
        <v/>
      </c>
      <c r="D188" s="14">
        <f>IF('Extra 2'!$A188="","",'Extra 2'!I188)</f>
        <v/>
      </c>
      <c r="E188" s="7">
        <f>IF('Extra 2'!$A188="","",'Extra 2'!O188)</f>
        <v/>
      </c>
      <c r="F188" s="7">
        <f>IF('Extra 2'!$A188="","",'Extra 2'!L188)</f>
        <v/>
      </c>
      <c r="G188" s="7">
        <f>IF('Extra 2'!$A188="","",'Extra 2'!S188)</f>
        <v/>
      </c>
      <c r="H188">
        <f>IF('Extra 2'!$A188="","",'Extra 2'!P188)</f>
        <v/>
      </c>
      <c r="I188">
        <f>IF('Extra 2'!$A188="","",'Extra 2'!M188)</f>
        <v/>
      </c>
      <c r="J188" s="7">
        <f>IF('Extra 2'!$A188="","",'Extra 2'!Q188)</f>
        <v/>
      </c>
      <c r="K188" s="7">
        <f>IF('Extra 2'!$A188="","",'Extra 2'!H188)</f>
        <v/>
      </c>
      <c r="L188" s="7">
        <f>IF('Extra 2'!$A188="","",'Extra 2'!T188)</f>
        <v/>
      </c>
      <c r="M188">
        <f>IF('Extra 2'!$A188="","",'Extra 2'!G188)</f>
        <v/>
      </c>
    </row>
    <row r="189">
      <c r="A189">
        <f>IF('Extra 2'!$A189="","",ROWS($A$2:$A189))</f>
        <v/>
      </c>
      <c r="B189">
        <f>IF('Extra 2'!$A189="","",'Extra 2'!E189)</f>
        <v/>
      </c>
      <c r="C189">
        <f>IF('Extra 2'!$A189="","",'Extra 2'!F189)</f>
        <v/>
      </c>
      <c r="D189" s="14">
        <f>IF('Extra 2'!$A189="","",'Extra 2'!I189)</f>
        <v/>
      </c>
      <c r="E189" s="7">
        <f>IF('Extra 2'!$A189="","",'Extra 2'!O189)</f>
        <v/>
      </c>
      <c r="F189" s="7">
        <f>IF('Extra 2'!$A189="","",'Extra 2'!L189)</f>
        <v/>
      </c>
      <c r="G189" s="7">
        <f>IF('Extra 2'!$A189="","",'Extra 2'!S189)</f>
        <v/>
      </c>
      <c r="H189">
        <f>IF('Extra 2'!$A189="","",'Extra 2'!P189)</f>
        <v/>
      </c>
      <c r="I189">
        <f>IF('Extra 2'!$A189="","",'Extra 2'!M189)</f>
        <v/>
      </c>
      <c r="J189" s="7">
        <f>IF('Extra 2'!$A189="","",'Extra 2'!Q189)</f>
        <v/>
      </c>
      <c r="K189" s="7">
        <f>IF('Extra 2'!$A189="","",'Extra 2'!H189)</f>
        <v/>
      </c>
      <c r="L189" s="7">
        <f>IF('Extra 2'!$A189="","",'Extra 2'!T189)</f>
        <v/>
      </c>
      <c r="M189">
        <f>IF('Extra 2'!$A189="","",'Extra 2'!G189)</f>
        <v/>
      </c>
    </row>
    <row r="190">
      <c r="A190">
        <f>IF('Extra 2'!$A190="","",ROWS($A$2:$A190))</f>
        <v/>
      </c>
      <c r="B190">
        <f>IF('Extra 2'!$A190="","",'Extra 2'!E190)</f>
        <v/>
      </c>
      <c r="C190">
        <f>IF('Extra 2'!$A190="","",'Extra 2'!F190)</f>
        <v/>
      </c>
      <c r="D190" s="14">
        <f>IF('Extra 2'!$A190="","",'Extra 2'!I190)</f>
        <v/>
      </c>
      <c r="E190" s="7">
        <f>IF('Extra 2'!$A190="","",'Extra 2'!O190)</f>
        <v/>
      </c>
      <c r="F190" s="7">
        <f>IF('Extra 2'!$A190="","",'Extra 2'!L190)</f>
        <v/>
      </c>
      <c r="G190" s="7">
        <f>IF('Extra 2'!$A190="","",'Extra 2'!S190)</f>
        <v/>
      </c>
      <c r="H190">
        <f>IF('Extra 2'!$A190="","",'Extra 2'!P190)</f>
        <v/>
      </c>
      <c r="I190">
        <f>IF('Extra 2'!$A190="","",'Extra 2'!M190)</f>
        <v/>
      </c>
      <c r="J190" s="7">
        <f>IF('Extra 2'!$A190="","",'Extra 2'!Q190)</f>
        <v/>
      </c>
      <c r="K190" s="7">
        <f>IF('Extra 2'!$A190="","",'Extra 2'!H190)</f>
        <v/>
      </c>
      <c r="L190" s="7">
        <f>IF('Extra 2'!$A190="","",'Extra 2'!T190)</f>
        <v/>
      </c>
      <c r="M190">
        <f>IF('Extra 2'!$A190="","",'Extra 2'!G190)</f>
        <v/>
      </c>
    </row>
    <row r="191">
      <c r="A191">
        <f>IF('Extra 2'!$A191="","",ROWS($A$2:$A191))</f>
        <v/>
      </c>
      <c r="B191">
        <f>IF('Extra 2'!$A191="","",'Extra 2'!E191)</f>
        <v/>
      </c>
      <c r="C191">
        <f>IF('Extra 2'!$A191="","",'Extra 2'!F191)</f>
        <v/>
      </c>
      <c r="D191" s="14">
        <f>IF('Extra 2'!$A191="","",'Extra 2'!I191)</f>
        <v/>
      </c>
      <c r="E191" s="7">
        <f>IF('Extra 2'!$A191="","",'Extra 2'!O191)</f>
        <v/>
      </c>
      <c r="F191" s="7">
        <f>IF('Extra 2'!$A191="","",'Extra 2'!L191)</f>
        <v/>
      </c>
      <c r="G191" s="7">
        <f>IF('Extra 2'!$A191="","",'Extra 2'!S191)</f>
        <v/>
      </c>
      <c r="H191">
        <f>IF('Extra 2'!$A191="","",'Extra 2'!P191)</f>
        <v/>
      </c>
      <c r="I191">
        <f>IF('Extra 2'!$A191="","",'Extra 2'!M191)</f>
        <v/>
      </c>
      <c r="J191" s="7">
        <f>IF('Extra 2'!$A191="","",'Extra 2'!Q191)</f>
        <v/>
      </c>
      <c r="K191" s="7">
        <f>IF('Extra 2'!$A191="","",'Extra 2'!H191)</f>
        <v/>
      </c>
      <c r="L191" s="7">
        <f>IF('Extra 2'!$A191="","",'Extra 2'!T191)</f>
        <v/>
      </c>
      <c r="M191">
        <f>IF('Extra 2'!$A191="","",'Extra 2'!G191)</f>
        <v/>
      </c>
    </row>
    <row r="192">
      <c r="A192">
        <f>IF('Extra 2'!$A192="","",ROWS($A$2:$A192))</f>
        <v/>
      </c>
      <c r="B192">
        <f>IF('Extra 2'!$A192="","",'Extra 2'!E192)</f>
        <v/>
      </c>
      <c r="C192">
        <f>IF('Extra 2'!$A192="","",'Extra 2'!F192)</f>
        <v/>
      </c>
      <c r="D192" s="14">
        <f>IF('Extra 2'!$A192="","",'Extra 2'!I192)</f>
        <v/>
      </c>
      <c r="E192" s="7">
        <f>IF('Extra 2'!$A192="","",'Extra 2'!O192)</f>
        <v/>
      </c>
      <c r="F192" s="7">
        <f>IF('Extra 2'!$A192="","",'Extra 2'!L192)</f>
        <v/>
      </c>
      <c r="G192" s="7">
        <f>IF('Extra 2'!$A192="","",'Extra 2'!S192)</f>
        <v/>
      </c>
      <c r="H192">
        <f>IF('Extra 2'!$A192="","",'Extra 2'!P192)</f>
        <v/>
      </c>
      <c r="I192">
        <f>IF('Extra 2'!$A192="","",'Extra 2'!M192)</f>
        <v/>
      </c>
      <c r="J192" s="7">
        <f>IF('Extra 2'!$A192="","",'Extra 2'!Q192)</f>
        <v/>
      </c>
      <c r="K192" s="7">
        <f>IF('Extra 2'!$A192="","",'Extra 2'!H192)</f>
        <v/>
      </c>
      <c r="L192" s="7">
        <f>IF('Extra 2'!$A192="","",'Extra 2'!T192)</f>
        <v/>
      </c>
      <c r="M192">
        <f>IF('Extra 2'!$A192="","",'Extra 2'!G192)</f>
        <v/>
      </c>
    </row>
    <row r="193">
      <c r="A193">
        <f>IF('Extra 2'!$A193="","",ROWS($A$2:$A193))</f>
        <v/>
      </c>
      <c r="B193">
        <f>IF('Extra 2'!$A193="","",'Extra 2'!E193)</f>
        <v/>
      </c>
      <c r="C193">
        <f>IF('Extra 2'!$A193="","",'Extra 2'!F193)</f>
        <v/>
      </c>
      <c r="D193" s="14">
        <f>IF('Extra 2'!$A193="","",'Extra 2'!I193)</f>
        <v/>
      </c>
      <c r="E193" s="7">
        <f>IF('Extra 2'!$A193="","",'Extra 2'!O193)</f>
        <v/>
      </c>
      <c r="F193" s="7">
        <f>IF('Extra 2'!$A193="","",'Extra 2'!L193)</f>
        <v/>
      </c>
      <c r="G193" s="7">
        <f>IF('Extra 2'!$A193="","",'Extra 2'!S193)</f>
        <v/>
      </c>
      <c r="H193">
        <f>IF('Extra 2'!$A193="","",'Extra 2'!P193)</f>
        <v/>
      </c>
      <c r="I193">
        <f>IF('Extra 2'!$A193="","",'Extra 2'!M193)</f>
        <v/>
      </c>
      <c r="J193" s="7">
        <f>IF('Extra 2'!$A193="","",'Extra 2'!Q193)</f>
        <v/>
      </c>
      <c r="K193" s="7">
        <f>IF('Extra 2'!$A193="","",'Extra 2'!H193)</f>
        <v/>
      </c>
      <c r="L193" s="7">
        <f>IF('Extra 2'!$A193="","",'Extra 2'!T193)</f>
        <v/>
      </c>
      <c r="M193">
        <f>IF('Extra 2'!$A193="","",'Extra 2'!G193)</f>
        <v/>
      </c>
    </row>
    <row r="194">
      <c r="A194">
        <f>IF('Extra 2'!$A194="","",ROWS($A$2:$A194))</f>
        <v/>
      </c>
      <c r="B194">
        <f>IF('Extra 2'!$A194="","",'Extra 2'!E194)</f>
        <v/>
      </c>
      <c r="C194">
        <f>IF('Extra 2'!$A194="","",'Extra 2'!F194)</f>
        <v/>
      </c>
      <c r="D194" s="14">
        <f>IF('Extra 2'!$A194="","",'Extra 2'!I194)</f>
        <v/>
      </c>
      <c r="E194" s="7">
        <f>IF('Extra 2'!$A194="","",'Extra 2'!O194)</f>
        <v/>
      </c>
      <c r="F194" s="7">
        <f>IF('Extra 2'!$A194="","",'Extra 2'!L194)</f>
        <v/>
      </c>
      <c r="G194" s="7">
        <f>IF('Extra 2'!$A194="","",'Extra 2'!S194)</f>
        <v/>
      </c>
      <c r="H194">
        <f>IF('Extra 2'!$A194="","",'Extra 2'!P194)</f>
        <v/>
      </c>
      <c r="I194">
        <f>IF('Extra 2'!$A194="","",'Extra 2'!M194)</f>
        <v/>
      </c>
      <c r="J194" s="7">
        <f>IF('Extra 2'!$A194="","",'Extra 2'!Q194)</f>
        <v/>
      </c>
      <c r="K194" s="7">
        <f>IF('Extra 2'!$A194="","",'Extra 2'!H194)</f>
        <v/>
      </c>
      <c r="L194" s="7">
        <f>IF('Extra 2'!$A194="","",'Extra 2'!T194)</f>
        <v/>
      </c>
      <c r="M194">
        <f>IF('Extra 2'!$A194="","",'Extra 2'!G194)</f>
        <v/>
      </c>
    </row>
    <row r="195">
      <c r="A195">
        <f>IF('Extra 2'!$A195="","",ROWS($A$2:$A195))</f>
        <v/>
      </c>
      <c r="B195">
        <f>IF('Extra 2'!$A195="","",'Extra 2'!E195)</f>
        <v/>
      </c>
      <c r="C195">
        <f>IF('Extra 2'!$A195="","",'Extra 2'!F195)</f>
        <v/>
      </c>
      <c r="D195" s="14">
        <f>IF('Extra 2'!$A195="","",'Extra 2'!I195)</f>
        <v/>
      </c>
      <c r="E195" s="7">
        <f>IF('Extra 2'!$A195="","",'Extra 2'!O195)</f>
        <v/>
      </c>
      <c r="F195" s="7">
        <f>IF('Extra 2'!$A195="","",'Extra 2'!L195)</f>
        <v/>
      </c>
      <c r="G195" s="7">
        <f>IF('Extra 2'!$A195="","",'Extra 2'!S195)</f>
        <v/>
      </c>
      <c r="H195">
        <f>IF('Extra 2'!$A195="","",'Extra 2'!P195)</f>
        <v/>
      </c>
      <c r="I195">
        <f>IF('Extra 2'!$A195="","",'Extra 2'!M195)</f>
        <v/>
      </c>
      <c r="J195" s="7">
        <f>IF('Extra 2'!$A195="","",'Extra 2'!Q195)</f>
        <v/>
      </c>
      <c r="K195" s="7">
        <f>IF('Extra 2'!$A195="","",'Extra 2'!H195)</f>
        <v/>
      </c>
      <c r="L195" s="7">
        <f>IF('Extra 2'!$A195="","",'Extra 2'!T195)</f>
        <v/>
      </c>
      <c r="M195">
        <f>IF('Extra 2'!$A195="","",'Extra 2'!G195)</f>
        <v/>
      </c>
    </row>
    <row r="196">
      <c r="A196">
        <f>IF('Extra 2'!$A196="","",ROWS($A$2:$A196))</f>
        <v/>
      </c>
      <c r="B196">
        <f>IF('Extra 2'!$A196="","",'Extra 2'!E196)</f>
        <v/>
      </c>
      <c r="C196">
        <f>IF('Extra 2'!$A196="","",'Extra 2'!F196)</f>
        <v/>
      </c>
      <c r="D196" s="14">
        <f>IF('Extra 2'!$A196="","",'Extra 2'!I196)</f>
        <v/>
      </c>
      <c r="E196" s="7">
        <f>IF('Extra 2'!$A196="","",'Extra 2'!O196)</f>
        <v/>
      </c>
      <c r="F196" s="7">
        <f>IF('Extra 2'!$A196="","",'Extra 2'!L196)</f>
        <v/>
      </c>
      <c r="G196" s="7">
        <f>IF('Extra 2'!$A196="","",'Extra 2'!S196)</f>
        <v/>
      </c>
      <c r="H196">
        <f>IF('Extra 2'!$A196="","",'Extra 2'!P196)</f>
        <v/>
      </c>
      <c r="I196">
        <f>IF('Extra 2'!$A196="","",'Extra 2'!M196)</f>
        <v/>
      </c>
      <c r="J196" s="7">
        <f>IF('Extra 2'!$A196="","",'Extra 2'!Q196)</f>
        <v/>
      </c>
      <c r="K196" s="7">
        <f>IF('Extra 2'!$A196="","",'Extra 2'!H196)</f>
        <v/>
      </c>
      <c r="L196" s="7">
        <f>IF('Extra 2'!$A196="","",'Extra 2'!T196)</f>
        <v/>
      </c>
      <c r="M196">
        <f>IF('Extra 2'!$A196="","",'Extra 2'!G196)</f>
        <v/>
      </c>
    </row>
    <row r="197">
      <c r="A197">
        <f>IF('Extra 2'!$A197="","",ROWS($A$2:$A197))</f>
        <v/>
      </c>
      <c r="B197">
        <f>IF('Extra 2'!$A197="","",'Extra 2'!E197)</f>
        <v/>
      </c>
      <c r="C197">
        <f>IF('Extra 2'!$A197="","",'Extra 2'!F197)</f>
        <v/>
      </c>
      <c r="D197" s="14">
        <f>IF('Extra 2'!$A197="","",'Extra 2'!I197)</f>
        <v/>
      </c>
      <c r="E197" s="7">
        <f>IF('Extra 2'!$A197="","",'Extra 2'!O197)</f>
        <v/>
      </c>
      <c r="F197" s="7">
        <f>IF('Extra 2'!$A197="","",'Extra 2'!L197)</f>
        <v/>
      </c>
      <c r="G197" s="7">
        <f>IF('Extra 2'!$A197="","",'Extra 2'!S197)</f>
        <v/>
      </c>
      <c r="H197">
        <f>IF('Extra 2'!$A197="","",'Extra 2'!P197)</f>
        <v/>
      </c>
      <c r="I197">
        <f>IF('Extra 2'!$A197="","",'Extra 2'!M197)</f>
        <v/>
      </c>
      <c r="J197" s="7">
        <f>IF('Extra 2'!$A197="","",'Extra 2'!Q197)</f>
        <v/>
      </c>
      <c r="K197" s="7">
        <f>IF('Extra 2'!$A197="","",'Extra 2'!H197)</f>
        <v/>
      </c>
      <c r="L197" s="7">
        <f>IF('Extra 2'!$A197="","",'Extra 2'!T197)</f>
        <v/>
      </c>
      <c r="M197">
        <f>IF('Extra 2'!$A197="","",'Extra 2'!G197)</f>
        <v/>
      </c>
    </row>
    <row r="198">
      <c r="A198">
        <f>IF('Extra 2'!$A198="","",ROWS($A$2:$A198))</f>
        <v/>
      </c>
      <c r="B198">
        <f>IF('Extra 2'!$A198="","",'Extra 2'!E198)</f>
        <v/>
      </c>
      <c r="C198">
        <f>IF('Extra 2'!$A198="","",'Extra 2'!F198)</f>
        <v/>
      </c>
      <c r="D198" s="14">
        <f>IF('Extra 2'!$A198="","",'Extra 2'!I198)</f>
        <v/>
      </c>
      <c r="E198" s="7">
        <f>IF('Extra 2'!$A198="","",'Extra 2'!O198)</f>
        <v/>
      </c>
      <c r="F198" s="7">
        <f>IF('Extra 2'!$A198="","",'Extra 2'!L198)</f>
        <v/>
      </c>
      <c r="G198" s="7">
        <f>IF('Extra 2'!$A198="","",'Extra 2'!S198)</f>
        <v/>
      </c>
      <c r="H198">
        <f>IF('Extra 2'!$A198="","",'Extra 2'!P198)</f>
        <v/>
      </c>
      <c r="I198">
        <f>IF('Extra 2'!$A198="","",'Extra 2'!M198)</f>
        <v/>
      </c>
      <c r="J198" s="7">
        <f>IF('Extra 2'!$A198="","",'Extra 2'!Q198)</f>
        <v/>
      </c>
      <c r="K198" s="7">
        <f>IF('Extra 2'!$A198="","",'Extra 2'!H198)</f>
        <v/>
      </c>
      <c r="L198" s="7">
        <f>IF('Extra 2'!$A198="","",'Extra 2'!T198)</f>
        <v/>
      </c>
      <c r="M198">
        <f>IF('Extra 2'!$A198="","",'Extra 2'!G198)</f>
        <v/>
      </c>
    </row>
    <row r="199">
      <c r="A199">
        <f>IF('Extra 2'!$A199="","",ROWS($A$2:$A199))</f>
        <v/>
      </c>
      <c r="B199">
        <f>IF('Extra 2'!$A199="","",'Extra 2'!E199)</f>
        <v/>
      </c>
      <c r="C199">
        <f>IF('Extra 2'!$A199="","",'Extra 2'!F199)</f>
        <v/>
      </c>
      <c r="D199" s="14">
        <f>IF('Extra 2'!$A199="","",'Extra 2'!I199)</f>
        <v/>
      </c>
      <c r="E199" s="7">
        <f>IF('Extra 2'!$A199="","",'Extra 2'!O199)</f>
        <v/>
      </c>
      <c r="F199" s="7">
        <f>IF('Extra 2'!$A199="","",'Extra 2'!L199)</f>
        <v/>
      </c>
      <c r="G199" s="7">
        <f>IF('Extra 2'!$A199="","",'Extra 2'!S199)</f>
        <v/>
      </c>
      <c r="H199">
        <f>IF('Extra 2'!$A199="","",'Extra 2'!P199)</f>
        <v/>
      </c>
      <c r="I199">
        <f>IF('Extra 2'!$A199="","",'Extra 2'!M199)</f>
        <v/>
      </c>
      <c r="J199" s="7">
        <f>IF('Extra 2'!$A199="","",'Extra 2'!Q199)</f>
        <v/>
      </c>
      <c r="K199" s="7">
        <f>IF('Extra 2'!$A199="","",'Extra 2'!H199)</f>
        <v/>
      </c>
      <c r="L199" s="7">
        <f>IF('Extra 2'!$A199="","",'Extra 2'!T199)</f>
        <v/>
      </c>
      <c r="M199">
        <f>IF('Extra 2'!$A199="","",'Extra 2'!G199)</f>
        <v/>
      </c>
    </row>
    <row r="200">
      <c r="A200">
        <f>IF('Extra 2'!$A200="","",ROWS($A$2:$A200))</f>
        <v/>
      </c>
      <c r="B200">
        <f>IF('Extra 2'!$A200="","",'Extra 2'!E200)</f>
        <v/>
      </c>
      <c r="C200">
        <f>IF('Extra 2'!$A200="","",'Extra 2'!F200)</f>
        <v/>
      </c>
      <c r="D200" s="14">
        <f>IF('Extra 2'!$A200="","",'Extra 2'!I200)</f>
        <v/>
      </c>
      <c r="E200" s="7">
        <f>IF('Extra 2'!$A200="","",'Extra 2'!O200)</f>
        <v/>
      </c>
      <c r="F200" s="7">
        <f>IF('Extra 2'!$A200="","",'Extra 2'!L200)</f>
        <v/>
      </c>
      <c r="G200" s="7">
        <f>IF('Extra 2'!$A200="","",'Extra 2'!S200)</f>
        <v/>
      </c>
      <c r="H200">
        <f>IF('Extra 2'!$A200="","",'Extra 2'!P200)</f>
        <v/>
      </c>
      <c r="I200">
        <f>IF('Extra 2'!$A200="","",'Extra 2'!M200)</f>
        <v/>
      </c>
      <c r="J200" s="7">
        <f>IF('Extra 2'!$A200="","",'Extra 2'!Q200)</f>
        <v/>
      </c>
      <c r="K200" s="7">
        <f>IF('Extra 2'!$A200="","",'Extra 2'!H200)</f>
        <v/>
      </c>
      <c r="L200" s="7">
        <f>IF('Extra 2'!$A200="","",'Extra 2'!T200)</f>
        <v/>
      </c>
      <c r="M200">
        <f>IF('Extra 2'!$A200="","",'Extra 2'!G200)</f>
        <v/>
      </c>
    </row>
    <row r="201">
      <c r="A201">
        <f>IF('Extra 2'!$A201="","",ROWS($A$2:$A201))</f>
        <v/>
      </c>
      <c r="B201">
        <f>IF('Extra 2'!$A201="","",'Extra 2'!E201)</f>
        <v/>
      </c>
      <c r="C201">
        <f>IF('Extra 2'!$A201="","",'Extra 2'!F201)</f>
        <v/>
      </c>
      <c r="D201" s="14">
        <f>IF('Extra 2'!$A201="","",'Extra 2'!I201)</f>
        <v/>
      </c>
      <c r="E201" s="7">
        <f>IF('Extra 2'!$A201="","",'Extra 2'!O201)</f>
        <v/>
      </c>
      <c r="F201" s="7">
        <f>IF('Extra 2'!$A201="","",'Extra 2'!L201)</f>
        <v/>
      </c>
      <c r="G201" s="7">
        <f>IF('Extra 2'!$A201="","",'Extra 2'!S201)</f>
        <v/>
      </c>
      <c r="H201">
        <f>IF('Extra 2'!$A201="","",'Extra 2'!P201)</f>
        <v/>
      </c>
      <c r="I201">
        <f>IF('Extra 2'!$A201="","",'Extra 2'!M201)</f>
        <v/>
      </c>
      <c r="J201" s="7">
        <f>IF('Extra 2'!$A201="","",'Extra 2'!Q201)</f>
        <v/>
      </c>
      <c r="K201" s="7">
        <f>IF('Extra 2'!$A201="","",'Extra 2'!H201)</f>
        <v/>
      </c>
      <c r="L201" s="7">
        <f>IF('Extra 2'!$A201="","",'Extra 2'!T201)</f>
        <v/>
      </c>
      <c r="M201">
        <f>IF('Extra 2'!$A201="","",'Extra 2'!G201)</f>
        <v/>
      </c>
    </row>
    <row r="202">
      <c r="A202">
        <f>IF('Extra 2'!$A202="","",ROWS($A$2:$A202))</f>
        <v/>
      </c>
      <c r="B202">
        <f>IF('Extra 2'!$A202="","",'Extra 2'!E202)</f>
        <v/>
      </c>
      <c r="C202">
        <f>IF('Extra 2'!$A202="","",'Extra 2'!F202)</f>
        <v/>
      </c>
      <c r="D202" s="14">
        <f>IF('Extra 2'!$A202="","",'Extra 2'!I202)</f>
        <v/>
      </c>
      <c r="E202" s="7">
        <f>IF('Extra 2'!$A202="","",'Extra 2'!O202)</f>
        <v/>
      </c>
      <c r="F202" s="7">
        <f>IF('Extra 2'!$A202="","",'Extra 2'!L202)</f>
        <v/>
      </c>
      <c r="G202" s="7">
        <f>IF('Extra 2'!$A202="","",'Extra 2'!S202)</f>
        <v/>
      </c>
      <c r="H202">
        <f>IF('Extra 2'!$A202="","",'Extra 2'!P202)</f>
        <v/>
      </c>
      <c r="I202">
        <f>IF('Extra 2'!$A202="","",'Extra 2'!M202)</f>
        <v/>
      </c>
      <c r="J202" s="7">
        <f>IF('Extra 2'!$A202="","",'Extra 2'!Q202)</f>
        <v/>
      </c>
      <c r="K202" s="7">
        <f>IF('Extra 2'!$A202="","",'Extra 2'!H202)</f>
        <v/>
      </c>
      <c r="L202" s="7">
        <f>IF('Extra 2'!$A202="","",'Extra 2'!T202)</f>
        <v/>
      </c>
      <c r="M202">
        <f>IF('Extra 2'!$A202="","",'Extra 2'!G202)</f>
        <v/>
      </c>
    </row>
    <row r="203">
      <c r="A203">
        <f>IF('Extra 2'!$A203="","",ROWS($A$2:$A203))</f>
        <v/>
      </c>
      <c r="B203">
        <f>IF('Extra 2'!$A203="","",'Extra 2'!E203)</f>
        <v/>
      </c>
      <c r="C203">
        <f>IF('Extra 2'!$A203="","",'Extra 2'!F203)</f>
        <v/>
      </c>
      <c r="D203" s="14">
        <f>IF('Extra 2'!$A203="","",'Extra 2'!I203)</f>
        <v/>
      </c>
      <c r="E203" s="7">
        <f>IF('Extra 2'!$A203="","",'Extra 2'!O203)</f>
        <v/>
      </c>
      <c r="F203" s="7">
        <f>IF('Extra 2'!$A203="","",'Extra 2'!L203)</f>
        <v/>
      </c>
      <c r="G203" s="7">
        <f>IF('Extra 2'!$A203="","",'Extra 2'!S203)</f>
        <v/>
      </c>
      <c r="H203">
        <f>IF('Extra 2'!$A203="","",'Extra 2'!P203)</f>
        <v/>
      </c>
      <c r="I203">
        <f>IF('Extra 2'!$A203="","",'Extra 2'!M203)</f>
        <v/>
      </c>
      <c r="J203" s="7">
        <f>IF('Extra 2'!$A203="","",'Extra 2'!Q203)</f>
        <v/>
      </c>
      <c r="K203" s="7">
        <f>IF('Extra 2'!$A203="","",'Extra 2'!H203)</f>
        <v/>
      </c>
      <c r="L203" s="7">
        <f>IF('Extra 2'!$A203="","",'Extra 2'!T203)</f>
        <v/>
      </c>
      <c r="M203">
        <f>IF('Extra 2'!$A203="","",'Extra 2'!G203)</f>
        <v/>
      </c>
    </row>
    <row r="204">
      <c r="A204">
        <f>IF('Extra 2'!$A204="","",ROWS($A$2:$A204))</f>
        <v/>
      </c>
      <c r="B204">
        <f>IF('Extra 2'!$A204="","",'Extra 2'!E204)</f>
        <v/>
      </c>
      <c r="C204">
        <f>IF('Extra 2'!$A204="","",'Extra 2'!F204)</f>
        <v/>
      </c>
      <c r="D204" s="14">
        <f>IF('Extra 2'!$A204="","",'Extra 2'!I204)</f>
        <v/>
      </c>
      <c r="E204" s="7">
        <f>IF('Extra 2'!$A204="","",'Extra 2'!O204)</f>
        <v/>
      </c>
      <c r="F204" s="7">
        <f>IF('Extra 2'!$A204="","",'Extra 2'!L204)</f>
        <v/>
      </c>
      <c r="G204" s="7">
        <f>IF('Extra 2'!$A204="","",'Extra 2'!S204)</f>
        <v/>
      </c>
      <c r="H204">
        <f>IF('Extra 2'!$A204="","",'Extra 2'!P204)</f>
        <v/>
      </c>
      <c r="I204">
        <f>IF('Extra 2'!$A204="","",'Extra 2'!M204)</f>
        <v/>
      </c>
      <c r="J204" s="7">
        <f>IF('Extra 2'!$A204="","",'Extra 2'!Q204)</f>
        <v/>
      </c>
      <c r="K204" s="7">
        <f>IF('Extra 2'!$A204="","",'Extra 2'!H204)</f>
        <v/>
      </c>
      <c r="L204" s="7">
        <f>IF('Extra 2'!$A204="","",'Extra 2'!T204)</f>
        <v/>
      </c>
      <c r="M204">
        <f>IF('Extra 2'!$A204="","",'Extra 2'!G204)</f>
        <v/>
      </c>
    </row>
    <row r="205">
      <c r="A205">
        <f>IF('Extra 2'!$A205="","",ROWS($A$2:$A205))</f>
        <v/>
      </c>
      <c r="B205">
        <f>IF('Extra 2'!$A205="","",'Extra 2'!E205)</f>
        <v/>
      </c>
      <c r="C205">
        <f>IF('Extra 2'!$A205="","",'Extra 2'!F205)</f>
        <v/>
      </c>
      <c r="D205" s="14">
        <f>IF('Extra 2'!$A205="","",'Extra 2'!I205)</f>
        <v/>
      </c>
      <c r="E205" s="7">
        <f>IF('Extra 2'!$A205="","",'Extra 2'!O205)</f>
        <v/>
      </c>
      <c r="F205" s="7">
        <f>IF('Extra 2'!$A205="","",'Extra 2'!L205)</f>
        <v/>
      </c>
      <c r="G205" s="7">
        <f>IF('Extra 2'!$A205="","",'Extra 2'!S205)</f>
        <v/>
      </c>
      <c r="H205">
        <f>IF('Extra 2'!$A205="","",'Extra 2'!P205)</f>
        <v/>
      </c>
      <c r="I205">
        <f>IF('Extra 2'!$A205="","",'Extra 2'!M205)</f>
        <v/>
      </c>
      <c r="J205" s="7">
        <f>IF('Extra 2'!$A205="","",'Extra 2'!Q205)</f>
        <v/>
      </c>
      <c r="K205" s="7">
        <f>IF('Extra 2'!$A205="","",'Extra 2'!H205)</f>
        <v/>
      </c>
      <c r="L205" s="7">
        <f>IF('Extra 2'!$A205="","",'Extra 2'!T205)</f>
        <v/>
      </c>
      <c r="M205">
        <f>IF('Extra 2'!$A205="","",'Extra 2'!G205)</f>
        <v/>
      </c>
    </row>
    <row r="206">
      <c r="A206">
        <f>IF('Extra 2'!$A206="","",ROWS($A$2:$A206))</f>
        <v/>
      </c>
      <c r="B206">
        <f>IF('Extra 2'!$A206="","",'Extra 2'!E206)</f>
        <v/>
      </c>
      <c r="C206">
        <f>IF('Extra 2'!$A206="","",'Extra 2'!F206)</f>
        <v/>
      </c>
      <c r="D206" s="14">
        <f>IF('Extra 2'!$A206="","",'Extra 2'!I206)</f>
        <v/>
      </c>
      <c r="E206" s="7">
        <f>IF('Extra 2'!$A206="","",'Extra 2'!O206)</f>
        <v/>
      </c>
      <c r="F206" s="7">
        <f>IF('Extra 2'!$A206="","",'Extra 2'!L206)</f>
        <v/>
      </c>
      <c r="G206" s="7">
        <f>IF('Extra 2'!$A206="","",'Extra 2'!S206)</f>
        <v/>
      </c>
      <c r="H206">
        <f>IF('Extra 2'!$A206="","",'Extra 2'!P206)</f>
        <v/>
      </c>
      <c r="I206">
        <f>IF('Extra 2'!$A206="","",'Extra 2'!M206)</f>
        <v/>
      </c>
      <c r="J206" s="7">
        <f>IF('Extra 2'!$A206="","",'Extra 2'!Q206)</f>
        <v/>
      </c>
      <c r="K206" s="7">
        <f>IF('Extra 2'!$A206="","",'Extra 2'!H206)</f>
        <v/>
      </c>
      <c r="L206" s="7">
        <f>IF('Extra 2'!$A206="","",'Extra 2'!T206)</f>
        <v/>
      </c>
      <c r="M206">
        <f>IF('Extra 2'!$A206="","",'Extra 2'!G206)</f>
        <v/>
      </c>
    </row>
    <row r="207">
      <c r="A207">
        <f>IF('Extra 2'!$A207="","",ROWS($A$2:$A207))</f>
        <v/>
      </c>
      <c r="B207">
        <f>IF('Extra 2'!$A207="","",'Extra 2'!E207)</f>
        <v/>
      </c>
      <c r="C207">
        <f>IF('Extra 2'!$A207="","",'Extra 2'!F207)</f>
        <v/>
      </c>
      <c r="D207" s="14">
        <f>IF('Extra 2'!$A207="","",'Extra 2'!I207)</f>
        <v/>
      </c>
      <c r="E207" s="7">
        <f>IF('Extra 2'!$A207="","",'Extra 2'!O207)</f>
        <v/>
      </c>
      <c r="F207" s="7">
        <f>IF('Extra 2'!$A207="","",'Extra 2'!L207)</f>
        <v/>
      </c>
      <c r="G207" s="7">
        <f>IF('Extra 2'!$A207="","",'Extra 2'!S207)</f>
        <v/>
      </c>
      <c r="H207">
        <f>IF('Extra 2'!$A207="","",'Extra 2'!P207)</f>
        <v/>
      </c>
      <c r="I207">
        <f>IF('Extra 2'!$A207="","",'Extra 2'!M207)</f>
        <v/>
      </c>
      <c r="J207" s="7">
        <f>IF('Extra 2'!$A207="","",'Extra 2'!Q207)</f>
        <v/>
      </c>
      <c r="K207" s="7">
        <f>IF('Extra 2'!$A207="","",'Extra 2'!H207)</f>
        <v/>
      </c>
      <c r="L207" s="7">
        <f>IF('Extra 2'!$A207="","",'Extra 2'!T207)</f>
        <v/>
      </c>
      <c r="M207">
        <f>IF('Extra 2'!$A207="","",'Extra 2'!G207)</f>
        <v/>
      </c>
    </row>
    <row r="208">
      <c r="A208">
        <f>IF('Extra 2'!$A208="","",ROWS($A$2:$A208))</f>
        <v/>
      </c>
      <c r="B208">
        <f>IF('Extra 2'!$A208="","",'Extra 2'!E208)</f>
        <v/>
      </c>
      <c r="C208">
        <f>IF('Extra 2'!$A208="","",'Extra 2'!F208)</f>
        <v/>
      </c>
      <c r="D208" s="14">
        <f>IF('Extra 2'!$A208="","",'Extra 2'!I208)</f>
        <v/>
      </c>
      <c r="E208" s="7">
        <f>IF('Extra 2'!$A208="","",'Extra 2'!O208)</f>
        <v/>
      </c>
      <c r="F208" s="7">
        <f>IF('Extra 2'!$A208="","",'Extra 2'!L208)</f>
        <v/>
      </c>
      <c r="G208" s="7">
        <f>IF('Extra 2'!$A208="","",'Extra 2'!S208)</f>
        <v/>
      </c>
      <c r="H208">
        <f>IF('Extra 2'!$A208="","",'Extra 2'!P208)</f>
        <v/>
      </c>
      <c r="I208">
        <f>IF('Extra 2'!$A208="","",'Extra 2'!M208)</f>
        <v/>
      </c>
      <c r="J208" s="7">
        <f>IF('Extra 2'!$A208="","",'Extra 2'!Q208)</f>
        <v/>
      </c>
      <c r="K208" s="7">
        <f>IF('Extra 2'!$A208="","",'Extra 2'!H208)</f>
        <v/>
      </c>
      <c r="L208" s="7">
        <f>IF('Extra 2'!$A208="","",'Extra 2'!T208)</f>
        <v/>
      </c>
      <c r="M208">
        <f>IF('Extra 2'!$A208="","",'Extra 2'!G208)</f>
        <v/>
      </c>
    </row>
    <row r="209">
      <c r="A209">
        <f>IF('Extra 2'!$A209="","",ROWS($A$2:$A209))</f>
        <v/>
      </c>
      <c r="B209">
        <f>IF('Extra 2'!$A209="","",'Extra 2'!E209)</f>
        <v/>
      </c>
      <c r="C209">
        <f>IF('Extra 2'!$A209="","",'Extra 2'!F209)</f>
        <v/>
      </c>
      <c r="D209" s="14">
        <f>IF('Extra 2'!$A209="","",'Extra 2'!I209)</f>
        <v/>
      </c>
      <c r="E209" s="7">
        <f>IF('Extra 2'!$A209="","",'Extra 2'!O209)</f>
        <v/>
      </c>
      <c r="F209" s="7">
        <f>IF('Extra 2'!$A209="","",'Extra 2'!L209)</f>
        <v/>
      </c>
      <c r="G209" s="7">
        <f>IF('Extra 2'!$A209="","",'Extra 2'!S209)</f>
        <v/>
      </c>
      <c r="H209">
        <f>IF('Extra 2'!$A209="","",'Extra 2'!P209)</f>
        <v/>
      </c>
      <c r="I209">
        <f>IF('Extra 2'!$A209="","",'Extra 2'!M209)</f>
        <v/>
      </c>
      <c r="J209" s="7">
        <f>IF('Extra 2'!$A209="","",'Extra 2'!Q209)</f>
        <v/>
      </c>
      <c r="K209" s="7">
        <f>IF('Extra 2'!$A209="","",'Extra 2'!H209)</f>
        <v/>
      </c>
      <c r="L209" s="7">
        <f>IF('Extra 2'!$A209="","",'Extra 2'!T209)</f>
        <v/>
      </c>
      <c r="M209">
        <f>IF('Extra 2'!$A209="","",'Extra 2'!G209)</f>
        <v/>
      </c>
    </row>
    <row r="210">
      <c r="A210">
        <f>IF('Extra 2'!$A210="","",ROWS($A$2:$A210))</f>
        <v/>
      </c>
      <c r="B210">
        <f>IF('Extra 2'!$A210="","",'Extra 2'!E210)</f>
        <v/>
      </c>
      <c r="C210">
        <f>IF('Extra 2'!$A210="","",'Extra 2'!F210)</f>
        <v/>
      </c>
      <c r="D210" s="14">
        <f>IF('Extra 2'!$A210="","",'Extra 2'!I210)</f>
        <v/>
      </c>
      <c r="E210" s="7">
        <f>IF('Extra 2'!$A210="","",'Extra 2'!O210)</f>
        <v/>
      </c>
      <c r="F210" s="7">
        <f>IF('Extra 2'!$A210="","",'Extra 2'!L210)</f>
        <v/>
      </c>
      <c r="G210" s="7">
        <f>IF('Extra 2'!$A210="","",'Extra 2'!S210)</f>
        <v/>
      </c>
      <c r="H210">
        <f>IF('Extra 2'!$A210="","",'Extra 2'!P210)</f>
        <v/>
      </c>
      <c r="I210">
        <f>IF('Extra 2'!$A210="","",'Extra 2'!M210)</f>
        <v/>
      </c>
      <c r="J210" s="7">
        <f>IF('Extra 2'!$A210="","",'Extra 2'!Q210)</f>
        <v/>
      </c>
      <c r="K210" s="7">
        <f>IF('Extra 2'!$A210="","",'Extra 2'!H210)</f>
        <v/>
      </c>
      <c r="L210" s="7">
        <f>IF('Extra 2'!$A210="","",'Extra 2'!T210)</f>
        <v/>
      </c>
      <c r="M210">
        <f>IF('Extra 2'!$A210="","",'Extra 2'!G210)</f>
        <v/>
      </c>
    </row>
    <row r="211">
      <c r="A211">
        <f>IF('Extra 2'!$A211="","",ROWS($A$2:$A211))</f>
        <v/>
      </c>
      <c r="B211">
        <f>IF('Extra 2'!$A211="","",'Extra 2'!E211)</f>
        <v/>
      </c>
      <c r="C211">
        <f>IF('Extra 2'!$A211="","",'Extra 2'!F211)</f>
        <v/>
      </c>
      <c r="D211" s="14">
        <f>IF('Extra 2'!$A211="","",'Extra 2'!I211)</f>
        <v/>
      </c>
      <c r="E211" s="7">
        <f>IF('Extra 2'!$A211="","",'Extra 2'!O211)</f>
        <v/>
      </c>
      <c r="F211" s="7">
        <f>IF('Extra 2'!$A211="","",'Extra 2'!L211)</f>
        <v/>
      </c>
      <c r="G211" s="7">
        <f>IF('Extra 2'!$A211="","",'Extra 2'!S211)</f>
        <v/>
      </c>
      <c r="H211">
        <f>IF('Extra 2'!$A211="","",'Extra 2'!P211)</f>
        <v/>
      </c>
      <c r="I211">
        <f>IF('Extra 2'!$A211="","",'Extra 2'!M211)</f>
        <v/>
      </c>
      <c r="J211" s="7">
        <f>IF('Extra 2'!$A211="","",'Extra 2'!Q211)</f>
        <v/>
      </c>
      <c r="K211" s="7">
        <f>IF('Extra 2'!$A211="","",'Extra 2'!H211)</f>
        <v/>
      </c>
      <c r="L211" s="7">
        <f>IF('Extra 2'!$A211="","",'Extra 2'!T211)</f>
        <v/>
      </c>
      <c r="M211">
        <f>IF('Extra 2'!$A211="","",'Extra 2'!G211)</f>
        <v/>
      </c>
    </row>
    <row r="212">
      <c r="A212">
        <f>IF('Extra 2'!$A212="","",ROWS($A$2:$A212))</f>
        <v/>
      </c>
      <c r="B212">
        <f>IF('Extra 2'!$A212="","",'Extra 2'!E212)</f>
        <v/>
      </c>
      <c r="C212">
        <f>IF('Extra 2'!$A212="","",'Extra 2'!F212)</f>
        <v/>
      </c>
      <c r="D212" s="14">
        <f>IF('Extra 2'!$A212="","",'Extra 2'!I212)</f>
        <v/>
      </c>
      <c r="E212" s="7">
        <f>IF('Extra 2'!$A212="","",'Extra 2'!O212)</f>
        <v/>
      </c>
      <c r="F212" s="7">
        <f>IF('Extra 2'!$A212="","",'Extra 2'!L212)</f>
        <v/>
      </c>
      <c r="G212" s="7">
        <f>IF('Extra 2'!$A212="","",'Extra 2'!S212)</f>
        <v/>
      </c>
      <c r="H212">
        <f>IF('Extra 2'!$A212="","",'Extra 2'!P212)</f>
        <v/>
      </c>
      <c r="I212">
        <f>IF('Extra 2'!$A212="","",'Extra 2'!M212)</f>
        <v/>
      </c>
      <c r="J212" s="7">
        <f>IF('Extra 2'!$A212="","",'Extra 2'!Q212)</f>
        <v/>
      </c>
      <c r="K212" s="7">
        <f>IF('Extra 2'!$A212="","",'Extra 2'!H212)</f>
        <v/>
      </c>
      <c r="L212" s="7">
        <f>IF('Extra 2'!$A212="","",'Extra 2'!T212)</f>
        <v/>
      </c>
      <c r="M212">
        <f>IF('Extra 2'!$A212="","",'Extra 2'!G212)</f>
        <v/>
      </c>
    </row>
    <row r="213">
      <c r="A213">
        <f>IF('Extra 2'!$A213="","",ROWS($A$2:$A213))</f>
        <v/>
      </c>
      <c r="B213">
        <f>IF('Extra 2'!$A213="","",'Extra 2'!E213)</f>
        <v/>
      </c>
      <c r="C213">
        <f>IF('Extra 2'!$A213="","",'Extra 2'!F213)</f>
        <v/>
      </c>
      <c r="D213" s="14">
        <f>IF('Extra 2'!$A213="","",'Extra 2'!I213)</f>
        <v/>
      </c>
      <c r="E213" s="7">
        <f>IF('Extra 2'!$A213="","",'Extra 2'!O213)</f>
        <v/>
      </c>
      <c r="F213" s="7">
        <f>IF('Extra 2'!$A213="","",'Extra 2'!L213)</f>
        <v/>
      </c>
      <c r="G213" s="7">
        <f>IF('Extra 2'!$A213="","",'Extra 2'!S213)</f>
        <v/>
      </c>
      <c r="H213">
        <f>IF('Extra 2'!$A213="","",'Extra 2'!P213)</f>
        <v/>
      </c>
      <c r="I213">
        <f>IF('Extra 2'!$A213="","",'Extra 2'!M213)</f>
        <v/>
      </c>
      <c r="J213" s="7">
        <f>IF('Extra 2'!$A213="","",'Extra 2'!Q213)</f>
        <v/>
      </c>
      <c r="K213" s="7">
        <f>IF('Extra 2'!$A213="","",'Extra 2'!H213)</f>
        <v/>
      </c>
      <c r="L213" s="7">
        <f>IF('Extra 2'!$A213="","",'Extra 2'!T213)</f>
        <v/>
      </c>
      <c r="M213">
        <f>IF('Extra 2'!$A213="","",'Extra 2'!G213)</f>
        <v/>
      </c>
    </row>
    <row r="214">
      <c r="A214">
        <f>IF('Extra 2'!$A214="","",ROWS($A$2:$A214))</f>
        <v/>
      </c>
      <c r="B214">
        <f>IF('Extra 2'!$A214="","",'Extra 2'!E214)</f>
        <v/>
      </c>
      <c r="C214">
        <f>IF('Extra 2'!$A214="","",'Extra 2'!F214)</f>
        <v/>
      </c>
      <c r="D214" s="14">
        <f>IF('Extra 2'!$A214="","",'Extra 2'!I214)</f>
        <v/>
      </c>
      <c r="E214" s="7">
        <f>IF('Extra 2'!$A214="","",'Extra 2'!O214)</f>
        <v/>
      </c>
      <c r="F214" s="7">
        <f>IF('Extra 2'!$A214="","",'Extra 2'!L214)</f>
        <v/>
      </c>
      <c r="G214" s="7">
        <f>IF('Extra 2'!$A214="","",'Extra 2'!S214)</f>
        <v/>
      </c>
      <c r="H214">
        <f>IF('Extra 2'!$A214="","",'Extra 2'!P214)</f>
        <v/>
      </c>
      <c r="I214">
        <f>IF('Extra 2'!$A214="","",'Extra 2'!M214)</f>
        <v/>
      </c>
      <c r="J214" s="7">
        <f>IF('Extra 2'!$A214="","",'Extra 2'!Q214)</f>
        <v/>
      </c>
      <c r="K214" s="7">
        <f>IF('Extra 2'!$A214="","",'Extra 2'!H214)</f>
        <v/>
      </c>
      <c r="L214" s="7">
        <f>IF('Extra 2'!$A214="","",'Extra 2'!T214)</f>
        <v/>
      </c>
      <c r="M214">
        <f>IF('Extra 2'!$A214="","",'Extra 2'!G214)</f>
        <v/>
      </c>
    </row>
    <row r="215">
      <c r="A215">
        <f>IF('Extra 2'!$A215="","",ROWS($A$2:$A215))</f>
        <v/>
      </c>
      <c r="B215">
        <f>IF('Extra 2'!$A215="","",'Extra 2'!E215)</f>
        <v/>
      </c>
      <c r="C215">
        <f>IF('Extra 2'!$A215="","",'Extra 2'!F215)</f>
        <v/>
      </c>
      <c r="D215" s="14">
        <f>IF('Extra 2'!$A215="","",'Extra 2'!I215)</f>
        <v/>
      </c>
      <c r="E215" s="7">
        <f>IF('Extra 2'!$A215="","",'Extra 2'!O215)</f>
        <v/>
      </c>
      <c r="F215" s="7">
        <f>IF('Extra 2'!$A215="","",'Extra 2'!L215)</f>
        <v/>
      </c>
      <c r="G215" s="7">
        <f>IF('Extra 2'!$A215="","",'Extra 2'!S215)</f>
        <v/>
      </c>
      <c r="H215">
        <f>IF('Extra 2'!$A215="","",'Extra 2'!P215)</f>
        <v/>
      </c>
      <c r="I215">
        <f>IF('Extra 2'!$A215="","",'Extra 2'!M215)</f>
        <v/>
      </c>
      <c r="J215" s="7">
        <f>IF('Extra 2'!$A215="","",'Extra 2'!Q215)</f>
        <v/>
      </c>
      <c r="K215" s="7">
        <f>IF('Extra 2'!$A215="","",'Extra 2'!H215)</f>
        <v/>
      </c>
      <c r="L215" s="7">
        <f>IF('Extra 2'!$A215="","",'Extra 2'!T215)</f>
        <v/>
      </c>
      <c r="M215">
        <f>IF('Extra 2'!$A215="","",'Extra 2'!G215)</f>
        <v/>
      </c>
    </row>
    <row r="216">
      <c r="A216">
        <f>IF('Extra 2'!$A216="","",ROWS($A$2:$A216))</f>
        <v/>
      </c>
      <c r="B216">
        <f>IF('Extra 2'!$A216="","",'Extra 2'!E216)</f>
        <v/>
      </c>
      <c r="C216">
        <f>IF('Extra 2'!$A216="","",'Extra 2'!F216)</f>
        <v/>
      </c>
      <c r="D216" s="14">
        <f>IF('Extra 2'!$A216="","",'Extra 2'!I216)</f>
        <v/>
      </c>
      <c r="E216" s="7">
        <f>IF('Extra 2'!$A216="","",'Extra 2'!O216)</f>
        <v/>
      </c>
      <c r="F216" s="7">
        <f>IF('Extra 2'!$A216="","",'Extra 2'!L216)</f>
        <v/>
      </c>
      <c r="G216" s="7">
        <f>IF('Extra 2'!$A216="","",'Extra 2'!S216)</f>
        <v/>
      </c>
      <c r="H216">
        <f>IF('Extra 2'!$A216="","",'Extra 2'!P216)</f>
        <v/>
      </c>
      <c r="I216">
        <f>IF('Extra 2'!$A216="","",'Extra 2'!M216)</f>
        <v/>
      </c>
      <c r="J216" s="7">
        <f>IF('Extra 2'!$A216="","",'Extra 2'!Q216)</f>
        <v/>
      </c>
      <c r="K216" s="7">
        <f>IF('Extra 2'!$A216="","",'Extra 2'!H216)</f>
        <v/>
      </c>
      <c r="L216" s="7">
        <f>IF('Extra 2'!$A216="","",'Extra 2'!T216)</f>
        <v/>
      </c>
      <c r="M216">
        <f>IF('Extra 2'!$A216="","",'Extra 2'!G216)</f>
        <v/>
      </c>
    </row>
    <row r="217">
      <c r="A217">
        <f>IF('Extra 2'!$A217="","",ROWS($A$2:$A217))</f>
        <v/>
      </c>
      <c r="B217">
        <f>IF('Extra 2'!$A217="","",'Extra 2'!E217)</f>
        <v/>
      </c>
      <c r="C217">
        <f>IF('Extra 2'!$A217="","",'Extra 2'!F217)</f>
        <v/>
      </c>
      <c r="D217" s="14">
        <f>IF('Extra 2'!$A217="","",'Extra 2'!I217)</f>
        <v/>
      </c>
      <c r="E217" s="7">
        <f>IF('Extra 2'!$A217="","",'Extra 2'!O217)</f>
        <v/>
      </c>
      <c r="F217" s="7">
        <f>IF('Extra 2'!$A217="","",'Extra 2'!L217)</f>
        <v/>
      </c>
      <c r="G217" s="7">
        <f>IF('Extra 2'!$A217="","",'Extra 2'!S217)</f>
        <v/>
      </c>
      <c r="H217">
        <f>IF('Extra 2'!$A217="","",'Extra 2'!P217)</f>
        <v/>
      </c>
      <c r="I217">
        <f>IF('Extra 2'!$A217="","",'Extra 2'!M217)</f>
        <v/>
      </c>
      <c r="J217" s="7">
        <f>IF('Extra 2'!$A217="","",'Extra 2'!Q217)</f>
        <v/>
      </c>
      <c r="K217" s="7">
        <f>IF('Extra 2'!$A217="","",'Extra 2'!H217)</f>
        <v/>
      </c>
      <c r="L217" s="7">
        <f>IF('Extra 2'!$A217="","",'Extra 2'!T217)</f>
        <v/>
      </c>
      <c r="M217">
        <f>IF('Extra 2'!$A217="","",'Extra 2'!G217)</f>
        <v/>
      </c>
    </row>
    <row r="218">
      <c r="A218">
        <f>IF('Extra 2'!$A218="","",ROWS($A$2:$A218))</f>
        <v/>
      </c>
      <c r="B218">
        <f>IF('Extra 2'!$A218="","",'Extra 2'!E218)</f>
        <v/>
      </c>
      <c r="C218">
        <f>IF('Extra 2'!$A218="","",'Extra 2'!F218)</f>
        <v/>
      </c>
      <c r="D218" s="14">
        <f>IF('Extra 2'!$A218="","",'Extra 2'!I218)</f>
        <v/>
      </c>
      <c r="E218" s="7">
        <f>IF('Extra 2'!$A218="","",'Extra 2'!O218)</f>
        <v/>
      </c>
      <c r="F218" s="7">
        <f>IF('Extra 2'!$A218="","",'Extra 2'!L218)</f>
        <v/>
      </c>
      <c r="G218" s="7">
        <f>IF('Extra 2'!$A218="","",'Extra 2'!S218)</f>
        <v/>
      </c>
      <c r="H218">
        <f>IF('Extra 2'!$A218="","",'Extra 2'!P218)</f>
        <v/>
      </c>
      <c r="I218">
        <f>IF('Extra 2'!$A218="","",'Extra 2'!M218)</f>
        <v/>
      </c>
      <c r="J218" s="7">
        <f>IF('Extra 2'!$A218="","",'Extra 2'!Q218)</f>
        <v/>
      </c>
      <c r="K218" s="7">
        <f>IF('Extra 2'!$A218="","",'Extra 2'!H218)</f>
        <v/>
      </c>
      <c r="L218" s="7">
        <f>IF('Extra 2'!$A218="","",'Extra 2'!T218)</f>
        <v/>
      </c>
      <c r="M218">
        <f>IF('Extra 2'!$A218="","",'Extra 2'!G218)</f>
        <v/>
      </c>
    </row>
    <row r="219">
      <c r="A219">
        <f>IF('Extra 2'!$A219="","",ROWS($A$2:$A219))</f>
        <v/>
      </c>
      <c r="B219">
        <f>IF('Extra 2'!$A219="","",'Extra 2'!E219)</f>
        <v/>
      </c>
      <c r="C219">
        <f>IF('Extra 2'!$A219="","",'Extra 2'!F219)</f>
        <v/>
      </c>
      <c r="D219" s="14">
        <f>IF('Extra 2'!$A219="","",'Extra 2'!I219)</f>
        <v/>
      </c>
      <c r="E219" s="7">
        <f>IF('Extra 2'!$A219="","",'Extra 2'!O219)</f>
        <v/>
      </c>
      <c r="F219" s="7">
        <f>IF('Extra 2'!$A219="","",'Extra 2'!L219)</f>
        <v/>
      </c>
      <c r="G219" s="7">
        <f>IF('Extra 2'!$A219="","",'Extra 2'!S219)</f>
        <v/>
      </c>
      <c r="H219">
        <f>IF('Extra 2'!$A219="","",'Extra 2'!P219)</f>
        <v/>
      </c>
      <c r="I219">
        <f>IF('Extra 2'!$A219="","",'Extra 2'!M219)</f>
        <v/>
      </c>
      <c r="J219" s="7">
        <f>IF('Extra 2'!$A219="","",'Extra 2'!Q219)</f>
        <v/>
      </c>
      <c r="K219" s="7">
        <f>IF('Extra 2'!$A219="","",'Extra 2'!H219)</f>
        <v/>
      </c>
      <c r="L219" s="7">
        <f>IF('Extra 2'!$A219="","",'Extra 2'!T219)</f>
        <v/>
      </c>
      <c r="M219">
        <f>IF('Extra 2'!$A219="","",'Extra 2'!G219)</f>
        <v/>
      </c>
    </row>
    <row r="220">
      <c r="A220">
        <f>IF('Extra 2'!$A220="","",ROWS($A$2:$A220))</f>
        <v/>
      </c>
      <c r="B220">
        <f>IF('Extra 2'!$A220="","",'Extra 2'!E220)</f>
        <v/>
      </c>
      <c r="C220">
        <f>IF('Extra 2'!$A220="","",'Extra 2'!F220)</f>
        <v/>
      </c>
      <c r="D220" s="14">
        <f>IF('Extra 2'!$A220="","",'Extra 2'!I220)</f>
        <v/>
      </c>
      <c r="E220" s="7">
        <f>IF('Extra 2'!$A220="","",'Extra 2'!O220)</f>
        <v/>
      </c>
      <c r="F220" s="7">
        <f>IF('Extra 2'!$A220="","",'Extra 2'!L220)</f>
        <v/>
      </c>
      <c r="G220" s="7">
        <f>IF('Extra 2'!$A220="","",'Extra 2'!S220)</f>
        <v/>
      </c>
      <c r="H220">
        <f>IF('Extra 2'!$A220="","",'Extra 2'!P220)</f>
        <v/>
      </c>
      <c r="I220">
        <f>IF('Extra 2'!$A220="","",'Extra 2'!M220)</f>
        <v/>
      </c>
      <c r="J220" s="7">
        <f>IF('Extra 2'!$A220="","",'Extra 2'!Q220)</f>
        <v/>
      </c>
      <c r="K220" s="7">
        <f>IF('Extra 2'!$A220="","",'Extra 2'!H220)</f>
        <v/>
      </c>
      <c r="L220" s="7">
        <f>IF('Extra 2'!$A220="","",'Extra 2'!T220)</f>
        <v/>
      </c>
      <c r="M220">
        <f>IF('Extra 2'!$A220="","",'Extra 2'!G220)</f>
        <v/>
      </c>
    </row>
    <row r="221">
      <c r="A221">
        <f>IF('Extra 2'!$A221="","",ROWS($A$2:$A221))</f>
        <v/>
      </c>
      <c r="B221">
        <f>IF('Extra 2'!$A221="","",'Extra 2'!E221)</f>
        <v/>
      </c>
      <c r="C221">
        <f>IF('Extra 2'!$A221="","",'Extra 2'!F221)</f>
        <v/>
      </c>
      <c r="D221" s="14">
        <f>IF('Extra 2'!$A221="","",'Extra 2'!I221)</f>
        <v/>
      </c>
      <c r="E221" s="7">
        <f>IF('Extra 2'!$A221="","",'Extra 2'!O221)</f>
        <v/>
      </c>
      <c r="F221" s="7">
        <f>IF('Extra 2'!$A221="","",'Extra 2'!L221)</f>
        <v/>
      </c>
      <c r="G221" s="7">
        <f>IF('Extra 2'!$A221="","",'Extra 2'!S221)</f>
        <v/>
      </c>
      <c r="H221">
        <f>IF('Extra 2'!$A221="","",'Extra 2'!P221)</f>
        <v/>
      </c>
      <c r="I221">
        <f>IF('Extra 2'!$A221="","",'Extra 2'!M221)</f>
        <v/>
      </c>
      <c r="J221" s="7">
        <f>IF('Extra 2'!$A221="","",'Extra 2'!Q221)</f>
        <v/>
      </c>
      <c r="K221" s="7">
        <f>IF('Extra 2'!$A221="","",'Extra 2'!H221)</f>
        <v/>
      </c>
      <c r="L221" s="7">
        <f>IF('Extra 2'!$A221="","",'Extra 2'!T221)</f>
        <v/>
      </c>
      <c r="M221">
        <f>IF('Extra 2'!$A221="","",'Extra 2'!G221)</f>
        <v/>
      </c>
    </row>
    <row r="222">
      <c r="A222">
        <f>IF('Extra 2'!$A222="","",ROWS($A$2:$A222))</f>
        <v/>
      </c>
      <c r="B222">
        <f>IF('Extra 2'!$A222="","",'Extra 2'!E222)</f>
        <v/>
      </c>
      <c r="C222">
        <f>IF('Extra 2'!$A222="","",'Extra 2'!F222)</f>
        <v/>
      </c>
      <c r="D222" s="14">
        <f>IF('Extra 2'!$A222="","",'Extra 2'!I222)</f>
        <v/>
      </c>
      <c r="E222" s="7">
        <f>IF('Extra 2'!$A222="","",'Extra 2'!O222)</f>
        <v/>
      </c>
      <c r="F222" s="7">
        <f>IF('Extra 2'!$A222="","",'Extra 2'!L222)</f>
        <v/>
      </c>
      <c r="G222" s="7">
        <f>IF('Extra 2'!$A222="","",'Extra 2'!S222)</f>
        <v/>
      </c>
      <c r="H222">
        <f>IF('Extra 2'!$A222="","",'Extra 2'!P222)</f>
        <v/>
      </c>
      <c r="I222">
        <f>IF('Extra 2'!$A222="","",'Extra 2'!M222)</f>
        <v/>
      </c>
      <c r="J222" s="7">
        <f>IF('Extra 2'!$A222="","",'Extra 2'!Q222)</f>
        <v/>
      </c>
      <c r="K222" s="7">
        <f>IF('Extra 2'!$A222="","",'Extra 2'!H222)</f>
        <v/>
      </c>
      <c r="L222" s="7">
        <f>IF('Extra 2'!$A222="","",'Extra 2'!T222)</f>
        <v/>
      </c>
      <c r="M222">
        <f>IF('Extra 2'!$A222="","",'Extra 2'!G222)</f>
        <v/>
      </c>
    </row>
    <row r="223">
      <c r="A223">
        <f>IF('Extra 2'!$A223="","",ROWS($A$2:$A223))</f>
        <v/>
      </c>
      <c r="B223">
        <f>IF('Extra 2'!$A223="","",'Extra 2'!E223)</f>
        <v/>
      </c>
      <c r="C223">
        <f>IF('Extra 2'!$A223="","",'Extra 2'!F223)</f>
        <v/>
      </c>
      <c r="D223" s="14">
        <f>IF('Extra 2'!$A223="","",'Extra 2'!I223)</f>
        <v/>
      </c>
      <c r="E223" s="7">
        <f>IF('Extra 2'!$A223="","",'Extra 2'!O223)</f>
        <v/>
      </c>
      <c r="F223" s="7">
        <f>IF('Extra 2'!$A223="","",'Extra 2'!L223)</f>
        <v/>
      </c>
      <c r="G223" s="7">
        <f>IF('Extra 2'!$A223="","",'Extra 2'!S223)</f>
        <v/>
      </c>
      <c r="H223">
        <f>IF('Extra 2'!$A223="","",'Extra 2'!P223)</f>
        <v/>
      </c>
      <c r="I223">
        <f>IF('Extra 2'!$A223="","",'Extra 2'!M223)</f>
        <v/>
      </c>
      <c r="J223" s="7">
        <f>IF('Extra 2'!$A223="","",'Extra 2'!Q223)</f>
        <v/>
      </c>
      <c r="K223" s="7">
        <f>IF('Extra 2'!$A223="","",'Extra 2'!H223)</f>
        <v/>
      </c>
      <c r="L223" s="7">
        <f>IF('Extra 2'!$A223="","",'Extra 2'!T223)</f>
        <v/>
      </c>
      <c r="M223">
        <f>IF('Extra 2'!$A223="","",'Extra 2'!G223)</f>
        <v/>
      </c>
    </row>
    <row r="224">
      <c r="A224">
        <f>IF('Extra 2'!$A224="","",ROWS($A$2:$A224))</f>
        <v/>
      </c>
      <c r="B224">
        <f>IF('Extra 2'!$A224="","",'Extra 2'!E224)</f>
        <v/>
      </c>
      <c r="C224">
        <f>IF('Extra 2'!$A224="","",'Extra 2'!F224)</f>
        <v/>
      </c>
      <c r="D224" s="14">
        <f>IF('Extra 2'!$A224="","",'Extra 2'!I224)</f>
        <v/>
      </c>
      <c r="E224" s="7">
        <f>IF('Extra 2'!$A224="","",'Extra 2'!O224)</f>
        <v/>
      </c>
      <c r="F224" s="7">
        <f>IF('Extra 2'!$A224="","",'Extra 2'!L224)</f>
        <v/>
      </c>
      <c r="G224" s="7">
        <f>IF('Extra 2'!$A224="","",'Extra 2'!S224)</f>
        <v/>
      </c>
      <c r="H224">
        <f>IF('Extra 2'!$A224="","",'Extra 2'!P224)</f>
        <v/>
      </c>
      <c r="I224">
        <f>IF('Extra 2'!$A224="","",'Extra 2'!M224)</f>
        <v/>
      </c>
      <c r="J224" s="7">
        <f>IF('Extra 2'!$A224="","",'Extra 2'!Q224)</f>
        <v/>
      </c>
      <c r="K224" s="7">
        <f>IF('Extra 2'!$A224="","",'Extra 2'!H224)</f>
        <v/>
      </c>
      <c r="L224" s="7">
        <f>IF('Extra 2'!$A224="","",'Extra 2'!T224)</f>
        <v/>
      </c>
      <c r="M224">
        <f>IF('Extra 2'!$A224="","",'Extra 2'!G224)</f>
        <v/>
      </c>
    </row>
    <row r="225">
      <c r="A225">
        <f>IF('Extra 2'!$A225="","",ROWS($A$2:$A225))</f>
        <v/>
      </c>
      <c r="B225">
        <f>IF('Extra 2'!$A225="","",'Extra 2'!E225)</f>
        <v/>
      </c>
      <c r="C225">
        <f>IF('Extra 2'!$A225="","",'Extra 2'!F225)</f>
        <v/>
      </c>
      <c r="D225" s="14">
        <f>IF('Extra 2'!$A225="","",'Extra 2'!I225)</f>
        <v/>
      </c>
      <c r="E225" s="7">
        <f>IF('Extra 2'!$A225="","",'Extra 2'!O225)</f>
        <v/>
      </c>
      <c r="F225" s="7">
        <f>IF('Extra 2'!$A225="","",'Extra 2'!L225)</f>
        <v/>
      </c>
      <c r="G225" s="7">
        <f>IF('Extra 2'!$A225="","",'Extra 2'!S225)</f>
        <v/>
      </c>
      <c r="H225">
        <f>IF('Extra 2'!$A225="","",'Extra 2'!P225)</f>
        <v/>
      </c>
      <c r="I225">
        <f>IF('Extra 2'!$A225="","",'Extra 2'!M225)</f>
        <v/>
      </c>
      <c r="J225" s="7">
        <f>IF('Extra 2'!$A225="","",'Extra 2'!Q225)</f>
        <v/>
      </c>
      <c r="K225" s="7">
        <f>IF('Extra 2'!$A225="","",'Extra 2'!H225)</f>
        <v/>
      </c>
      <c r="L225" s="7">
        <f>IF('Extra 2'!$A225="","",'Extra 2'!T225)</f>
        <v/>
      </c>
      <c r="M225">
        <f>IF('Extra 2'!$A225="","",'Extra 2'!G225)</f>
        <v/>
      </c>
    </row>
    <row r="226">
      <c r="A226">
        <f>IF('Extra 2'!$A226="","",ROWS($A$2:$A226))</f>
        <v/>
      </c>
      <c r="B226">
        <f>IF('Extra 2'!$A226="","",'Extra 2'!E226)</f>
        <v/>
      </c>
      <c r="C226">
        <f>IF('Extra 2'!$A226="","",'Extra 2'!F226)</f>
        <v/>
      </c>
      <c r="D226" s="14">
        <f>IF('Extra 2'!$A226="","",'Extra 2'!I226)</f>
        <v/>
      </c>
      <c r="E226" s="7">
        <f>IF('Extra 2'!$A226="","",'Extra 2'!O226)</f>
        <v/>
      </c>
      <c r="F226" s="7">
        <f>IF('Extra 2'!$A226="","",'Extra 2'!L226)</f>
        <v/>
      </c>
      <c r="G226" s="7">
        <f>IF('Extra 2'!$A226="","",'Extra 2'!S226)</f>
        <v/>
      </c>
      <c r="H226">
        <f>IF('Extra 2'!$A226="","",'Extra 2'!P226)</f>
        <v/>
      </c>
      <c r="I226">
        <f>IF('Extra 2'!$A226="","",'Extra 2'!M226)</f>
        <v/>
      </c>
      <c r="J226" s="7">
        <f>IF('Extra 2'!$A226="","",'Extra 2'!Q226)</f>
        <v/>
      </c>
      <c r="K226" s="7">
        <f>IF('Extra 2'!$A226="","",'Extra 2'!H226)</f>
        <v/>
      </c>
      <c r="L226" s="7">
        <f>IF('Extra 2'!$A226="","",'Extra 2'!T226)</f>
        <v/>
      </c>
      <c r="M226">
        <f>IF('Extra 2'!$A226="","",'Extra 2'!G226)</f>
        <v/>
      </c>
    </row>
    <row r="227">
      <c r="A227">
        <f>IF('Extra 2'!$A227="","",ROWS($A$2:$A227))</f>
        <v/>
      </c>
      <c r="B227">
        <f>IF('Extra 2'!$A227="","",'Extra 2'!E227)</f>
        <v/>
      </c>
      <c r="C227">
        <f>IF('Extra 2'!$A227="","",'Extra 2'!F227)</f>
        <v/>
      </c>
      <c r="D227" s="14">
        <f>IF('Extra 2'!$A227="","",'Extra 2'!I227)</f>
        <v/>
      </c>
      <c r="E227" s="7">
        <f>IF('Extra 2'!$A227="","",'Extra 2'!O227)</f>
        <v/>
      </c>
      <c r="F227" s="7">
        <f>IF('Extra 2'!$A227="","",'Extra 2'!L227)</f>
        <v/>
      </c>
      <c r="G227" s="7">
        <f>IF('Extra 2'!$A227="","",'Extra 2'!S227)</f>
        <v/>
      </c>
      <c r="H227">
        <f>IF('Extra 2'!$A227="","",'Extra 2'!P227)</f>
        <v/>
      </c>
      <c r="I227">
        <f>IF('Extra 2'!$A227="","",'Extra 2'!M227)</f>
        <v/>
      </c>
      <c r="J227" s="7">
        <f>IF('Extra 2'!$A227="","",'Extra 2'!Q227)</f>
        <v/>
      </c>
      <c r="K227" s="7">
        <f>IF('Extra 2'!$A227="","",'Extra 2'!H227)</f>
        <v/>
      </c>
      <c r="L227" s="7">
        <f>IF('Extra 2'!$A227="","",'Extra 2'!T227)</f>
        <v/>
      </c>
      <c r="M227">
        <f>IF('Extra 2'!$A227="","",'Extra 2'!G227)</f>
        <v/>
      </c>
    </row>
    <row r="228">
      <c r="A228">
        <f>IF('Extra 2'!$A228="","",ROWS($A$2:$A228))</f>
        <v/>
      </c>
      <c r="B228">
        <f>IF('Extra 2'!$A228="","",'Extra 2'!E228)</f>
        <v/>
      </c>
      <c r="C228">
        <f>IF('Extra 2'!$A228="","",'Extra 2'!F228)</f>
        <v/>
      </c>
      <c r="D228" s="14">
        <f>IF('Extra 2'!$A228="","",'Extra 2'!I228)</f>
        <v/>
      </c>
      <c r="E228" s="7">
        <f>IF('Extra 2'!$A228="","",'Extra 2'!O228)</f>
        <v/>
      </c>
      <c r="F228" s="7">
        <f>IF('Extra 2'!$A228="","",'Extra 2'!L228)</f>
        <v/>
      </c>
      <c r="G228" s="7">
        <f>IF('Extra 2'!$A228="","",'Extra 2'!S228)</f>
        <v/>
      </c>
      <c r="H228">
        <f>IF('Extra 2'!$A228="","",'Extra 2'!P228)</f>
        <v/>
      </c>
      <c r="I228">
        <f>IF('Extra 2'!$A228="","",'Extra 2'!M228)</f>
        <v/>
      </c>
      <c r="J228" s="7">
        <f>IF('Extra 2'!$A228="","",'Extra 2'!Q228)</f>
        <v/>
      </c>
      <c r="K228" s="7">
        <f>IF('Extra 2'!$A228="","",'Extra 2'!H228)</f>
        <v/>
      </c>
      <c r="L228" s="7">
        <f>IF('Extra 2'!$A228="","",'Extra 2'!T228)</f>
        <v/>
      </c>
      <c r="M228">
        <f>IF('Extra 2'!$A228="","",'Extra 2'!G228)</f>
        <v/>
      </c>
    </row>
    <row r="229">
      <c r="A229">
        <f>IF('Extra 2'!$A229="","",ROWS($A$2:$A229))</f>
        <v/>
      </c>
      <c r="B229">
        <f>IF('Extra 2'!$A229="","",'Extra 2'!E229)</f>
        <v/>
      </c>
      <c r="C229">
        <f>IF('Extra 2'!$A229="","",'Extra 2'!F229)</f>
        <v/>
      </c>
      <c r="D229" s="14">
        <f>IF('Extra 2'!$A229="","",'Extra 2'!I229)</f>
        <v/>
      </c>
      <c r="E229" s="7">
        <f>IF('Extra 2'!$A229="","",'Extra 2'!O229)</f>
        <v/>
      </c>
      <c r="F229" s="7">
        <f>IF('Extra 2'!$A229="","",'Extra 2'!L229)</f>
        <v/>
      </c>
      <c r="G229" s="7">
        <f>IF('Extra 2'!$A229="","",'Extra 2'!S229)</f>
        <v/>
      </c>
      <c r="H229">
        <f>IF('Extra 2'!$A229="","",'Extra 2'!P229)</f>
        <v/>
      </c>
      <c r="I229">
        <f>IF('Extra 2'!$A229="","",'Extra 2'!M229)</f>
        <v/>
      </c>
      <c r="J229" s="7">
        <f>IF('Extra 2'!$A229="","",'Extra 2'!Q229)</f>
        <v/>
      </c>
      <c r="K229" s="7">
        <f>IF('Extra 2'!$A229="","",'Extra 2'!H229)</f>
        <v/>
      </c>
      <c r="L229" s="7">
        <f>IF('Extra 2'!$A229="","",'Extra 2'!T229)</f>
        <v/>
      </c>
      <c r="M229">
        <f>IF('Extra 2'!$A229="","",'Extra 2'!G229)</f>
        <v/>
      </c>
    </row>
    <row r="230">
      <c r="A230">
        <f>IF('Extra 2'!$A230="","",ROWS($A$2:$A230))</f>
        <v/>
      </c>
      <c r="B230">
        <f>IF('Extra 2'!$A230="","",'Extra 2'!E230)</f>
        <v/>
      </c>
      <c r="C230">
        <f>IF('Extra 2'!$A230="","",'Extra 2'!F230)</f>
        <v/>
      </c>
      <c r="D230" s="14">
        <f>IF('Extra 2'!$A230="","",'Extra 2'!I230)</f>
        <v/>
      </c>
      <c r="E230" s="7">
        <f>IF('Extra 2'!$A230="","",'Extra 2'!O230)</f>
        <v/>
      </c>
      <c r="F230" s="7">
        <f>IF('Extra 2'!$A230="","",'Extra 2'!L230)</f>
        <v/>
      </c>
      <c r="G230" s="7">
        <f>IF('Extra 2'!$A230="","",'Extra 2'!S230)</f>
        <v/>
      </c>
      <c r="H230">
        <f>IF('Extra 2'!$A230="","",'Extra 2'!P230)</f>
        <v/>
      </c>
      <c r="I230">
        <f>IF('Extra 2'!$A230="","",'Extra 2'!M230)</f>
        <v/>
      </c>
      <c r="J230" s="7">
        <f>IF('Extra 2'!$A230="","",'Extra 2'!Q230)</f>
        <v/>
      </c>
      <c r="K230" s="7">
        <f>IF('Extra 2'!$A230="","",'Extra 2'!H230)</f>
        <v/>
      </c>
      <c r="L230" s="7">
        <f>IF('Extra 2'!$A230="","",'Extra 2'!T230)</f>
        <v/>
      </c>
      <c r="M230">
        <f>IF('Extra 2'!$A230="","",'Extra 2'!G230)</f>
        <v/>
      </c>
    </row>
    <row r="231">
      <c r="A231">
        <f>IF('Extra 2'!$A231="","",ROWS($A$2:$A231))</f>
        <v/>
      </c>
      <c r="B231">
        <f>IF('Extra 2'!$A231="","",'Extra 2'!E231)</f>
        <v/>
      </c>
      <c r="C231">
        <f>IF('Extra 2'!$A231="","",'Extra 2'!F231)</f>
        <v/>
      </c>
      <c r="D231" s="14">
        <f>IF('Extra 2'!$A231="","",'Extra 2'!I231)</f>
        <v/>
      </c>
      <c r="E231" s="7">
        <f>IF('Extra 2'!$A231="","",'Extra 2'!O231)</f>
        <v/>
      </c>
      <c r="F231" s="7">
        <f>IF('Extra 2'!$A231="","",'Extra 2'!L231)</f>
        <v/>
      </c>
      <c r="G231" s="7">
        <f>IF('Extra 2'!$A231="","",'Extra 2'!S231)</f>
        <v/>
      </c>
      <c r="H231">
        <f>IF('Extra 2'!$A231="","",'Extra 2'!P231)</f>
        <v/>
      </c>
      <c r="I231">
        <f>IF('Extra 2'!$A231="","",'Extra 2'!M231)</f>
        <v/>
      </c>
      <c r="J231" s="7">
        <f>IF('Extra 2'!$A231="","",'Extra 2'!Q231)</f>
        <v/>
      </c>
      <c r="K231" s="7">
        <f>IF('Extra 2'!$A231="","",'Extra 2'!H231)</f>
        <v/>
      </c>
      <c r="L231" s="7">
        <f>IF('Extra 2'!$A231="","",'Extra 2'!T231)</f>
        <v/>
      </c>
      <c r="M231">
        <f>IF('Extra 2'!$A231="","",'Extra 2'!G231)</f>
        <v/>
      </c>
    </row>
    <row r="232">
      <c r="A232">
        <f>IF('Extra 2'!$A232="","",ROWS($A$2:$A232))</f>
        <v/>
      </c>
      <c r="B232">
        <f>IF('Extra 2'!$A232="","",'Extra 2'!E232)</f>
        <v/>
      </c>
      <c r="C232">
        <f>IF('Extra 2'!$A232="","",'Extra 2'!F232)</f>
        <v/>
      </c>
      <c r="D232" s="14">
        <f>IF('Extra 2'!$A232="","",'Extra 2'!I232)</f>
        <v/>
      </c>
      <c r="E232" s="7">
        <f>IF('Extra 2'!$A232="","",'Extra 2'!O232)</f>
        <v/>
      </c>
      <c r="F232" s="7">
        <f>IF('Extra 2'!$A232="","",'Extra 2'!L232)</f>
        <v/>
      </c>
      <c r="G232" s="7">
        <f>IF('Extra 2'!$A232="","",'Extra 2'!S232)</f>
        <v/>
      </c>
      <c r="H232">
        <f>IF('Extra 2'!$A232="","",'Extra 2'!P232)</f>
        <v/>
      </c>
      <c r="I232">
        <f>IF('Extra 2'!$A232="","",'Extra 2'!M232)</f>
        <v/>
      </c>
      <c r="J232" s="7">
        <f>IF('Extra 2'!$A232="","",'Extra 2'!Q232)</f>
        <v/>
      </c>
      <c r="K232" s="7">
        <f>IF('Extra 2'!$A232="","",'Extra 2'!H232)</f>
        <v/>
      </c>
      <c r="L232" s="7">
        <f>IF('Extra 2'!$A232="","",'Extra 2'!T232)</f>
        <v/>
      </c>
      <c r="M232">
        <f>IF('Extra 2'!$A232="","",'Extra 2'!G232)</f>
        <v/>
      </c>
    </row>
    <row r="233">
      <c r="A233">
        <f>IF('Extra 2'!$A233="","",ROWS($A$2:$A233))</f>
        <v/>
      </c>
      <c r="B233">
        <f>IF('Extra 2'!$A233="","",'Extra 2'!E233)</f>
        <v/>
      </c>
      <c r="C233">
        <f>IF('Extra 2'!$A233="","",'Extra 2'!F233)</f>
        <v/>
      </c>
      <c r="D233" s="14">
        <f>IF('Extra 2'!$A233="","",'Extra 2'!I233)</f>
        <v/>
      </c>
      <c r="E233" s="7">
        <f>IF('Extra 2'!$A233="","",'Extra 2'!O233)</f>
        <v/>
      </c>
      <c r="F233" s="7">
        <f>IF('Extra 2'!$A233="","",'Extra 2'!L233)</f>
        <v/>
      </c>
      <c r="G233" s="7">
        <f>IF('Extra 2'!$A233="","",'Extra 2'!S233)</f>
        <v/>
      </c>
      <c r="H233">
        <f>IF('Extra 2'!$A233="","",'Extra 2'!P233)</f>
        <v/>
      </c>
      <c r="I233">
        <f>IF('Extra 2'!$A233="","",'Extra 2'!M233)</f>
        <v/>
      </c>
      <c r="J233" s="7">
        <f>IF('Extra 2'!$A233="","",'Extra 2'!Q233)</f>
        <v/>
      </c>
      <c r="K233" s="7">
        <f>IF('Extra 2'!$A233="","",'Extra 2'!H233)</f>
        <v/>
      </c>
      <c r="L233" s="7">
        <f>IF('Extra 2'!$A233="","",'Extra 2'!T233)</f>
        <v/>
      </c>
      <c r="M233">
        <f>IF('Extra 2'!$A233="","",'Extra 2'!G233)</f>
        <v/>
      </c>
    </row>
    <row r="234">
      <c r="A234">
        <f>IF('Extra 2'!$A234="","",ROWS($A$2:$A234))</f>
        <v/>
      </c>
      <c r="B234">
        <f>IF('Extra 2'!$A234="","",'Extra 2'!E234)</f>
        <v/>
      </c>
      <c r="C234">
        <f>IF('Extra 2'!$A234="","",'Extra 2'!F234)</f>
        <v/>
      </c>
      <c r="D234" s="14">
        <f>IF('Extra 2'!$A234="","",'Extra 2'!I234)</f>
        <v/>
      </c>
      <c r="E234" s="7">
        <f>IF('Extra 2'!$A234="","",'Extra 2'!O234)</f>
        <v/>
      </c>
      <c r="F234" s="7">
        <f>IF('Extra 2'!$A234="","",'Extra 2'!L234)</f>
        <v/>
      </c>
      <c r="G234" s="7">
        <f>IF('Extra 2'!$A234="","",'Extra 2'!S234)</f>
        <v/>
      </c>
      <c r="H234">
        <f>IF('Extra 2'!$A234="","",'Extra 2'!P234)</f>
        <v/>
      </c>
      <c r="I234">
        <f>IF('Extra 2'!$A234="","",'Extra 2'!M234)</f>
        <v/>
      </c>
      <c r="J234" s="7">
        <f>IF('Extra 2'!$A234="","",'Extra 2'!Q234)</f>
        <v/>
      </c>
      <c r="K234" s="7">
        <f>IF('Extra 2'!$A234="","",'Extra 2'!H234)</f>
        <v/>
      </c>
      <c r="L234" s="7">
        <f>IF('Extra 2'!$A234="","",'Extra 2'!T234)</f>
        <v/>
      </c>
      <c r="M234">
        <f>IF('Extra 2'!$A234="","",'Extra 2'!G234)</f>
        <v/>
      </c>
    </row>
    <row r="235">
      <c r="A235">
        <f>IF('Extra 2'!$A235="","",ROWS($A$2:$A235))</f>
        <v/>
      </c>
      <c r="B235">
        <f>IF('Extra 2'!$A235="","",'Extra 2'!E235)</f>
        <v/>
      </c>
      <c r="C235">
        <f>IF('Extra 2'!$A235="","",'Extra 2'!F235)</f>
        <v/>
      </c>
      <c r="D235" s="14">
        <f>IF('Extra 2'!$A235="","",'Extra 2'!I235)</f>
        <v/>
      </c>
      <c r="E235" s="7">
        <f>IF('Extra 2'!$A235="","",'Extra 2'!O235)</f>
        <v/>
      </c>
      <c r="F235" s="7">
        <f>IF('Extra 2'!$A235="","",'Extra 2'!L235)</f>
        <v/>
      </c>
      <c r="G235" s="7">
        <f>IF('Extra 2'!$A235="","",'Extra 2'!S235)</f>
        <v/>
      </c>
      <c r="H235">
        <f>IF('Extra 2'!$A235="","",'Extra 2'!P235)</f>
        <v/>
      </c>
      <c r="I235">
        <f>IF('Extra 2'!$A235="","",'Extra 2'!M235)</f>
        <v/>
      </c>
      <c r="J235" s="7">
        <f>IF('Extra 2'!$A235="","",'Extra 2'!Q235)</f>
        <v/>
      </c>
      <c r="K235" s="7">
        <f>IF('Extra 2'!$A235="","",'Extra 2'!H235)</f>
        <v/>
      </c>
      <c r="L235" s="7">
        <f>IF('Extra 2'!$A235="","",'Extra 2'!T235)</f>
        <v/>
      </c>
      <c r="M235">
        <f>IF('Extra 2'!$A235="","",'Extra 2'!G235)</f>
        <v/>
      </c>
    </row>
    <row r="236">
      <c r="A236">
        <f>IF('Extra 2'!$A236="","",ROWS($A$2:$A236))</f>
        <v/>
      </c>
      <c r="B236">
        <f>IF('Extra 2'!$A236="","",'Extra 2'!E236)</f>
        <v/>
      </c>
      <c r="C236">
        <f>IF('Extra 2'!$A236="","",'Extra 2'!F236)</f>
        <v/>
      </c>
      <c r="D236" s="14">
        <f>IF('Extra 2'!$A236="","",'Extra 2'!I236)</f>
        <v/>
      </c>
      <c r="E236" s="7">
        <f>IF('Extra 2'!$A236="","",'Extra 2'!O236)</f>
        <v/>
      </c>
      <c r="F236" s="7">
        <f>IF('Extra 2'!$A236="","",'Extra 2'!L236)</f>
        <v/>
      </c>
      <c r="G236" s="7">
        <f>IF('Extra 2'!$A236="","",'Extra 2'!S236)</f>
        <v/>
      </c>
      <c r="H236">
        <f>IF('Extra 2'!$A236="","",'Extra 2'!P236)</f>
        <v/>
      </c>
      <c r="I236">
        <f>IF('Extra 2'!$A236="","",'Extra 2'!M236)</f>
        <v/>
      </c>
      <c r="J236" s="7">
        <f>IF('Extra 2'!$A236="","",'Extra 2'!Q236)</f>
        <v/>
      </c>
      <c r="K236" s="7">
        <f>IF('Extra 2'!$A236="","",'Extra 2'!H236)</f>
        <v/>
      </c>
      <c r="L236" s="7">
        <f>IF('Extra 2'!$A236="","",'Extra 2'!T236)</f>
        <v/>
      </c>
      <c r="M236">
        <f>IF('Extra 2'!$A236="","",'Extra 2'!G236)</f>
        <v/>
      </c>
    </row>
    <row r="237">
      <c r="A237">
        <f>IF('Extra 2'!$A237="","",ROWS($A$2:$A237))</f>
        <v/>
      </c>
      <c r="B237">
        <f>IF('Extra 2'!$A237="","",'Extra 2'!E237)</f>
        <v/>
      </c>
      <c r="C237">
        <f>IF('Extra 2'!$A237="","",'Extra 2'!F237)</f>
        <v/>
      </c>
      <c r="D237" s="14">
        <f>IF('Extra 2'!$A237="","",'Extra 2'!I237)</f>
        <v/>
      </c>
      <c r="E237" s="7">
        <f>IF('Extra 2'!$A237="","",'Extra 2'!O237)</f>
        <v/>
      </c>
      <c r="F237" s="7">
        <f>IF('Extra 2'!$A237="","",'Extra 2'!L237)</f>
        <v/>
      </c>
      <c r="G237" s="7">
        <f>IF('Extra 2'!$A237="","",'Extra 2'!S237)</f>
        <v/>
      </c>
      <c r="H237">
        <f>IF('Extra 2'!$A237="","",'Extra 2'!P237)</f>
        <v/>
      </c>
      <c r="I237">
        <f>IF('Extra 2'!$A237="","",'Extra 2'!M237)</f>
        <v/>
      </c>
      <c r="J237" s="7">
        <f>IF('Extra 2'!$A237="","",'Extra 2'!Q237)</f>
        <v/>
      </c>
      <c r="K237" s="7">
        <f>IF('Extra 2'!$A237="","",'Extra 2'!H237)</f>
        <v/>
      </c>
      <c r="L237" s="7">
        <f>IF('Extra 2'!$A237="","",'Extra 2'!T237)</f>
        <v/>
      </c>
      <c r="M237">
        <f>IF('Extra 2'!$A237="","",'Extra 2'!G237)</f>
        <v/>
      </c>
    </row>
    <row r="238">
      <c r="A238">
        <f>IF('Extra 2'!$A238="","",ROWS($A$2:$A238))</f>
        <v/>
      </c>
      <c r="B238">
        <f>IF('Extra 2'!$A238="","",'Extra 2'!E238)</f>
        <v/>
      </c>
      <c r="C238">
        <f>IF('Extra 2'!$A238="","",'Extra 2'!F238)</f>
        <v/>
      </c>
      <c r="D238" s="14">
        <f>IF('Extra 2'!$A238="","",'Extra 2'!I238)</f>
        <v/>
      </c>
      <c r="E238" s="7">
        <f>IF('Extra 2'!$A238="","",'Extra 2'!O238)</f>
        <v/>
      </c>
      <c r="F238" s="7">
        <f>IF('Extra 2'!$A238="","",'Extra 2'!L238)</f>
        <v/>
      </c>
      <c r="G238" s="7">
        <f>IF('Extra 2'!$A238="","",'Extra 2'!S238)</f>
        <v/>
      </c>
      <c r="H238">
        <f>IF('Extra 2'!$A238="","",'Extra 2'!P238)</f>
        <v/>
      </c>
      <c r="I238">
        <f>IF('Extra 2'!$A238="","",'Extra 2'!M238)</f>
        <v/>
      </c>
      <c r="J238" s="7">
        <f>IF('Extra 2'!$A238="","",'Extra 2'!Q238)</f>
        <v/>
      </c>
      <c r="K238" s="7">
        <f>IF('Extra 2'!$A238="","",'Extra 2'!H238)</f>
        <v/>
      </c>
      <c r="L238" s="7">
        <f>IF('Extra 2'!$A238="","",'Extra 2'!T238)</f>
        <v/>
      </c>
      <c r="M238">
        <f>IF('Extra 2'!$A238="","",'Extra 2'!G238)</f>
        <v/>
      </c>
    </row>
    <row r="239">
      <c r="A239">
        <f>IF('Extra 2'!$A239="","",ROWS($A$2:$A239))</f>
        <v/>
      </c>
      <c r="B239">
        <f>IF('Extra 2'!$A239="","",'Extra 2'!E239)</f>
        <v/>
      </c>
      <c r="C239">
        <f>IF('Extra 2'!$A239="","",'Extra 2'!F239)</f>
        <v/>
      </c>
      <c r="D239" s="14">
        <f>IF('Extra 2'!$A239="","",'Extra 2'!I239)</f>
        <v/>
      </c>
      <c r="E239" s="7">
        <f>IF('Extra 2'!$A239="","",'Extra 2'!O239)</f>
        <v/>
      </c>
      <c r="F239" s="7">
        <f>IF('Extra 2'!$A239="","",'Extra 2'!L239)</f>
        <v/>
      </c>
      <c r="G239" s="7">
        <f>IF('Extra 2'!$A239="","",'Extra 2'!S239)</f>
        <v/>
      </c>
      <c r="H239">
        <f>IF('Extra 2'!$A239="","",'Extra 2'!P239)</f>
        <v/>
      </c>
      <c r="I239">
        <f>IF('Extra 2'!$A239="","",'Extra 2'!M239)</f>
        <v/>
      </c>
      <c r="J239" s="7">
        <f>IF('Extra 2'!$A239="","",'Extra 2'!Q239)</f>
        <v/>
      </c>
      <c r="K239" s="7">
        <f>IF('Extra 2'!$A239="","",'Extra 2'!H239)</f>
        <v/>
      </c>
      <c r="L239" s="7">
        <f>IF('Extra 2'!$A239="","",'Extra 2'!T239)</f>
        <v/>
      </c>
      <c r="M239">
        <f>IF('Extra 2'!$A239="","",'Extra 2'!G239)</f>
        <v/>
      </c>
    </row>
    <row r="240">
      <c r="A240">
        <f>IF('Extra 2'!$A240="","",ROWS($A$2:$A240))</f>
        <v/>
      </c>
      <c r="B240">
        <f>IF('Extra 2'!$A240="","",'Extra 2'!E240)</f>
        <v/>
      </c>
      <c r="C240">
        <f>IF('Extra 2'!$A240="","",'Extra 2'!F240)</f>
        <v/>
      </c>
      <c r="D240" s="14">
        <f>IF('Extra 2'!$A240="","",'Extra 2'!I240)</f>
        <v/>
      </c>
      <c r="E240" s="7">
        <f>IF('Extra 2'!$A240="","",'Extra 2'!O240)</f>
        <v/>
      </c>
      <c r="F240" s="7">
        <f>IF('Extra 2'!$A240="","",'Extra 2'!L240)</f>
        <v/>
      </c>
      <c r="G240" s="7">
        <f>IF('Extra 2'!$A240="","",'Extra 2'!S240)</f>
        <v/>
      </c>
      <c r="H240">
        <f>IF('Extra 2'!$A240="","",'Extra 2'!P240)</f>
        <v/>
      </c>
      <c r="I240">
        <f>IF('Extra 2'!$A240="","",'Extra 2'!M240)</f>
        <v/>
      </c>
      <c r="J240" s="7">
        <f>IF('Extra 2'!$A240="","",'Extra 2'!Q240)</f>
        <v/>
      </c>
      <c r="K240" s="7">
        <f>IF('Extra 2'!$A240="","",'Extra 2'!H240)</f>
        <v/>
      </c>
      <c r="L240" s="7">
        <f>IF('Extra 2'!$A240="","",'Extra 2'!T240)</f>
        <v/>
      </c>
      <c r="M240">
        <f>IF('Extra 2'!$A240="","",'Extra 2'!G240)</f>
        <v/>
      </c>
    </row>
    <row r="241">
      <c r="A241">
        <f>IF('Extra 2'!$A241="","",ROWS($A$2:$A241))</f>
        <v/>
      </c>
      <c r="B241">
        <f>IF('Extra 2'!$A241="","",'Extra 2'!E241)</f>
        <v/>
      </c>
      <c r="C241">
        <f>IF('Extra 2'!$A241="","",'Extra 2'!F241)</f>
        <v/>
      </c>
      <c r="D241" s="14">
        <f>IF('Extra 2'!$A241="","",'Extra 2'!I241)</f>
        <v/>
      </c>
      <c r="E241" s="7">
        <f>IF('Extra 2'!$A241="","",'Extra 2'!O241)</f>
        <v/>
      </c>
      <c r="F241" s="7">
        <f>IF('Extra 2'!$A241="","",'Extra 2'!L241)</f>
        <v/>
      </c>
      <c r="G241" s="7">
        <f>IF('Extra 2'!$A241="","",'Extra 2'!S241)</f>
        <v/>
      </c>
      <c r="H241">
        <f>IF('Extra 2'!$A241="","",'Extra 2'!P241)</f>
        <v/>
      </c>
      <c r="I241">
        <f>IF('Extra 2'!$A241="","",'Extra 2'!M241)</f>
        <v/>
      </c>
      <c r="J241" s="7">
        <f>IF('Extra 2'!$A241="","",'Extra 2'!Q241)</f>
        <v/>
      </c>
      <c r="K241" s="7">
        <f>IF('Extra 2'!$A241="","",'Extra 2'!H241)</f>
        <v/>
      </c>
      <c r="L241" s="7">
        <f>IF('Extra 2'!$A241="","",'Extra 2'!T241)</f>
        <v/>
      </c>
      <c r="M241">
        <f>IF('Extra 2'!$A241="","",'Extra 2'!G241)</f>
        <v/>
      </c>
    </row>
    <row r="242">
      <c r="A242">
        <f>IF('Extra 2'!$A242="","",ROWS($A$2:$A242))</f>
        <v/>
      </c>
      <c r="B242">
        <f>IF('Extra 2'!$A242="","",'Extra 2'!E242)</f>
        <v/>
      </c>
      <c r="C242">
        <f>IF('Extra 2'!$A242="","",'Extra 2'!F242)</f>
        <v/>
      </c>
      <c r="D242" s="14">
        <f>IF('Extra 2'!$A242="","",'Extra 2'!I242)</f>
        <v/>
      </c>
      <c r="E242" s="7">
        <f>IF('Extra 2'!$A242="","",'Extra 2'!O242)</f>
        <v/>
      </c>
      <c r="F242" s="7">
        <f>IF('Extra 2'!$A242="","",'Extra 2'!L242)</f>
        <v/>
      </c>
      <c r="G242" s="7">
        <f>IF('Extra 2'!$A242="","",'Extra 2'!S242)</f>
        <v/>
      </c>
      <c r="H242">
        <f>IF('Extra 2'!$A242="","",'Extra 2'!P242)</f>
        <v/>
      </c>
      <c r="I242">
        <f>IF('Extra 2'!$A242="","",'Extra 2'!M242)</f>
        <v/>
      </c>
      <c r="J242" s="7">
        <f>IF('Extra 2'!$A242="","",'Extra 2'!Q242)</f>
        <v/>
      </c>
      <c r="K242" s="7">
        <f>IF('Extra 2'!$A242="","",'Extra 2'!H242)</f>
        <v/>
      </c>
      <c r="L242" s="7">
        <f>IF('Extra 2'!$A242="","",'Extra 2'!T242)</f>
        <v/>
      </c>
      <c r="M242">
        <f>IF('Extra 2'!$A242="","",'Extra 2'!G242)</f>
        <v/>
      </c>
    </row>
    <row r="243">
      <c r="A243">
        <f>IF('Extra 2'!$A243="","",ROWS($A$2:$A243))</f>
        <v/>
      </c>
      <c r="B243">
        <f>IF('Extra 2'!$A243="","",'Extra 2'!E243)</f>
        <v/>
      </c>
      <c r="C243">
        <f>IF('Extra 2'!$A243="","",'Extra 2'!F243)</f>
        <v/>
      </c>
      <c r="D243" s="14">
        <f>IF('Extra 2'!$A243="","",'Extra 2'!I243)</f>
        <v/>
      </c>
      <c r="E243" s="7">
        <f>IF('Extra 2'!$A243="","",'Extra 2'!O243)</f>
        <v/>
      </c>
      <c r="F243" s="7">
        <f>IF('Extra 2'!$A243="","",'Extra 2'!L243)</f>
        <v/>
      </c>
      <c r="G243" s="7">
        <f>IF('Extra 2'!$A243="","",'Extra 2'!S243)</f>
        <v/>
      </c>
      <c r="H243">
        <f>IF('Extra 2'!$A243="","",'Extra 2'!P243)</f>
        <v/>
      </c>
      <c r="I243">
        <f>IF('Extra 2'!$A243="","",'Extra 2'!M243)</f>
        <v/>
      </c>
      <c r="J243" s="7">
        <f>IF('Extra 2'!$A243="","",'Extra 2'!Q243)</f>
        <v/>
      </c>
      <c r="K243" s="7">
        <f>IF('Extra 2'!$A243="","",'Extra 2'!H243)</f>
        <v/>
      </c>
      <c r="L243" s="7">
        <f>IF('Extra 2'!$A243="","",'Extra 2'!T243)</f>
        <v/>
      </c>
      <c r="M243">
        <f>IF('Extra 2'!$A243="","",'Extra 2'!G243)</f>
        <v/>
      </c>
    </row>
    <row r="244">
      <c r="A244">
        <f>IF('Extra 2'!$A244="","",ROWS($A$2:$A244))</f>
        <v/>
      </c>
      <c r="B244">
        <f>IF('Extra 2'!$A244="","",'Extra 2'!E244)</f>
        <v/>
      </c>
      <c r="C244">
        <f>IF('Extra 2'!$A244="","",'Extra 2'!F244)</f>
        <v/>
      </c>
      <c r="D244" s="14">
        <f>IF('Extra 2'!$A244="","",'Extra 2'!I244)</f>
        <v/>
      </c>
      <c r="E244" s="7">
        <f>IF('Extra 2'!$A244="","",'Extra 2'!O244)</f>
        <v/>
      </c>
      <c r="F244" s="7">
        <f>IF('Extra 2'!$A244="","",'Extra 2'!L244)</f>
        <v/>
      </c>
      <c r="G244" s="7">
        <f>IF('Extra 2'!$A244="","",'Extra 2'!S244)</f>
        <v/>
      </c>
      <c r="H244">
        <f>IF('Extra 2'!$A244="","",'Extra 2'!P244)</f>
        <v/>
      </c>
      <c r="I244">
        <f>IF('Extra 2'!$A244="","",'Extra 2'!M244)</f>
        <v/>
      </c>
      <c r="J244" s="7">
        <f>IF('Extra 2'!$A244="","",'Extra 2'!Q244)</f>
        <v/>
      </c>
      <c r="K244" s="7">
        <f>IF('Extra 2'!$A244="","",'Extra 2'!H244)</f>
        <v/>
      </c>
      <c r="L244" s="7">
        <f>IF('Extra 2'!$A244="","",'Extra 2'!T244)</f>
        <v/>
      </c>
      <c r="M244">
        <f>IF('Extra 2'!$A244="","",'Extra 2'!G244)</f>
        <v/>
      </c>
    </row>
    <row r="245">
      <c r="A245">
        <f>IF('Extra 2'!$A245="","",ROWS($A$2:$A245))</f>
        <v/>
      </c>
      <c r="B245">
        <f>IF('Extra 2'!$A245="","",'Extra 2'!E245)</f>
        <v/>
      </c>
      <c r="C245">
        <f>IF('Extra 2'!$A245="","",'Extra 2'!F245)</f>
        <v/>
      </c>
      <c r="D245" s="14">
        <f>IF('Extra 2'!$A245="","",'Extra 2'!I245)</f>
        <v/>
      </c>
      <c r="E245" s="7">
        <f>IF('Extra 2'!$A245="","",'Extra 2'!O245)</f>
        <v/>
      </c>
      <c r="F245" s="7">
        <f>IF('Extra 2'!$A245="","",'Extra 2'!L245)</f>
        <v/>
      </c>
      <c r="G245" s="7">
        <f>IF('Extra 2'!$A245="","",'Extra 2'!S245)</f>
        <v/>
      </c>
      <c r="H245">
        <f>IF('Extra 2'!$A245="","",'Extra 2'!P245)</f>
        <v/>
      </c>
      <c r="I245">
        <f>IF('Extra 2'!$A245="","",'Extra 2'!M245)</f>
        <v/>
      </c>
      <c r="J245" s="7">
        <f>IF('Extra 2'!$A245="","",'Extra 2'!Q245)</f>
        <v/>
      </c>
      <c r="K245" s="7">
        <f>IF('Extra 2'!$A245="","",'Extra 2'!H245)</f>
        <v/>
      </c>
      <c r="L245" s="7">
        <f>IF('Extra 2'!$A245="","",'Extra 2'!T245)</f>
        <v/>
      </c>
      <c r="M245">
        <f>IF('Extra 2'!$A245="","",'Extra 2'!G245)</f>
        <v/>
      </c>
    </row>
    <row r="246">
      <c r="A246">
        <f>IF('Extra 2'!$A246="","",ROWS($A$2:$A246))</f>
        <v/>
      </c>
      <c r="B246">
        <f>IF('Extra 2'!$A246="","",'Extra 2'!E246)</f>
        <v/>
      </c>
      <c r="C246">
        <f>IF('Extra 2'!$A246="","",'Extra 2'!F246)</f>
        <v/>
      </c>
      <c r="D246" s="14">
        <f>IF('Extra 2'!$A246="","",'Extra 2'!I246)</f>
        <v/>
      </c>
      <c r="E246" s="7">
        <f>IF('Extra 2'!$A246="","",'Extra 2'!O246)</f>
        <v/>
      </c>
      <c r="F246" s="7">
        <f>IF('Extra 2'!$A246="","",'Extra 2'!L246)</f>
        <v/>
      </c>
      <c r="G246" s="7">
        <f>IF('Extra 2'!$A246="","",'Extra 2'!S246)</f>
        <v/>
      </c>
      <c r="H246">
        <f>IF('Extra 2'!$A246="","",'Extra 2'!P246)</f>
        <v/>
      </c>
      <c r="I246">
        <f>IF('Extra 2'!$A246="","",'Extra 2'!M246)</f>
        <v/>
      </c>
      <c r="J246" s="7">
        <f>IF('Extra 2'!$A246="","",'Extra 2'!Q246)</f>
        <v/>
      </c>
      <c r="K246" s="7">
        <f>IF('Extra 2'!$A246="","",'Extra 2'!H246)</f>
        <v/>
      </c>
      <c r="L246" s="7">
        <f>IF('Extra 2'!$A246="","",'Extra 2'!T246)</f>
        <v/>
      </c>
      <c r="M246">
        <f>IF('Extra 2'!$A246="","",'Extra 2'!G246)</f>
        <v/>
      </c>
    </row>
    <row r="247">
      <c r="A247">
        <f>IF('Extra 2'!$A247="","",ROWS($A$2:$A247))</f>
        <v/>
      </c>
      <c r="B247">
        <f>IF('Extra 2'!$A247="","",'Extra 2'!E247)</f>
        <v/>
      </c>
      <c r="C247">
        <f>IF('Extra 2'!$A247="","",'Extra 2'!F247)</f>
        <v/>
      </c>
      <c r="D247" s="14">
        <f>IF('Extra 2'!$A247="","",'Extra 2'!I247)</f>
        <v/>
      </c>
      <c r="E247" s="7">
        <f>IF('Extra 2'!$A247="","",'Extra 2'!O247)</f>
        <v/>
      </c>
      <c r="F247" s="7">
        <f>IF('Extra 2'!$A247="","",'Extra 2'!L247)</f>
        <v/>
      </c>
      <c r="G247" s="7">
        <f>IF('Extra 2'!$A247="","",'Extra 2'!S247)</f>
        <v/>
      </c>
      <c r="H247">
        <f>IF('Extra 2'!$A247="","",'Extra 2'!P247)</f>
        <v/>
      </c>
      <c r="I247">
        <f>IF('Extra 2'!$A247="","",'Extra 2'!M247)</f>
        <v/>
      </c>
      <c r="J247" s="7">
        <f>IF('Extra 2'!$A247="","",'Extra 2'!Q247)</f>
        <v/>
      </c>
      <c r="K247" s="7">
        <f>IF('Extra 2'!$A247="","",'Extra 2'!H247)</f>
        <v/>
      </c>
      <c r="L247" s="7">
        <f>IF('Extra 2'!$A247="","",'Extra 2'!T247)</f>
        <v/>
      </c>
      <c r="M247">
        <f>IF('Extra 2'!$A247="","",'Extra 2'!G247)</f>
        <v/>
      </c>
    </row>
    <row r="248">
      <c r="A248">
        <f>IF('Extra 2'!$A248="","",ROWS($A$2:$A248))</f>
        <v/>
      </c>
      <c r="B248">
        <f>IF('Extra 2'!$A248="","",'Extra 2'!E248)</f>
        <v/>
      </c>
      <c r="C248">
        <f>IF('Extra 2'!$A248="","",'Extra 2'!F248)</f>
        <v/>
      </c>
      <c r="D248" s="14">
        <f>IF('Extra 2'!$A248="","",'Extra 2'!I248)</f>
        <v/>
      </c>
      <c r="E248" s="7">
        <f>IF('Extra 2'!$A248="","",'Extra 2'!O248)</f>
        <v/>
      </c>
      <c r="F248" s="7">
        <f>IF('Extra 2'!$A248="","",'Extra 2'!L248)</f>
        <v/>
      </c>
      <c r="G248" s="7">
        <f>IF('Extra 2'!$A248="","",'Extra 2'!S248)</f>
        <v/>
      </c>
      <c r="H248">
        <f>IF('Extra 2'!$A248="","",'Extra 2'!P248)</f>
        <v/>
      </c>
      <c r="I248">
        <f>IF('Extra 2'!$A248="","",'Extra 2'!M248)</f>
        <v/>
      </c>
      <c r="J248" s="7">
        <f>IF('Extra 2'!$A248="","",'Extra 2'!Q248)</f>
        <v/>
      </c>
      <c r="K248" s="7">
        <f>IF('Extra 2'!$A248="","",'Extra 2'!H248)</f>
        <v/>
      </c>
      <c r="L248" s="7">
        <f>IF('Extra 2'!$A248="","",'Extra 2'!T248)</f>
        <v/>
      </c>
      <c r="M248">
        <f>IF('Extra 2'!$A248="","",'Extra 2'!G248)</f>
        <v/>
      </c>
    </row>
    <row r="249">
      <c r="A249">
        <f>IF('Extra 2'!$A249="","",ROWS($A$2:$A249))</f>
        <v/>
      </c>
      <c r="B249">
        <f>IF('Extra 2'!$A249="","",'Extra 2'!E249)</f>
        <v/>
      </c>
      <c r="C249">
        <f>IF('Extra 2'!$A249="","",'Extra 2'!F249)</f>
        <v/>
      </c>
      <c r="D249" s="14">
        <f>IF('Extra 2'!$A249="","",'Extra 2'!I249)</f>
        <v/>
      </c>
      <c r="E249" s="7">
        <f>IF('Extra 2'!$A249="","",'Extra 2'!O249)</f>
        <v/>
      </c>
      <c r="F249" s="7">
        <f>IF('Extra 2'!$A249="","",'Extra 2'!L249)</f>
        <v/>
      </c>
      <c r="G249" s="7">
        <f>IF('Extra 2'!$A249="","",'Extra 2'!S249)</f>
        <v/>
      </c>
      <c r="H249">
        <f>IF('Extra 2'!$A249="","",'Extra 2'!P249)</f>
        <v/>
      </c>
      <c r="I249">
        <f>IF('Extra 2'!$A249="","",'Extra 2'!M249)</f>
        <v/>
      </c>
      <c r="J249" s="7">
        <f>IF('Extra 2'!$A249="","",'Extra 2'!Q249)</f>
        <v/>
      </c>
      <c r="K249" s="7">
        <f>IF('Extra 2'!$A249="","",'Extra 2'!H249)</f>
        <v/>
      </c>
      <c r="L249" s="7">
        <f>IF('Extra 2'!$A249="","",'Extra 2'!T249)</f>
        <v/>
      </c>
      <c r="M249">
        <f>IF('Extra 2'!$A249="","",'Extra 2'!G249)</f>
        <v/>
      </c>
    </row>
    <row r="250">
      <c r="A250">
        <f>IF('Extra 2'!$A250="","",ROWS($A$2:$A250))</f>
        <v/>
      </c>
      <c r="B250">
        <f>IF('Extra 2'!$A250="","",'Extra 2'!E250)</f>
        <v/>
      </c>
      <c r="C250">
        <f>IF('Extra 2'!$A250="","",'Extra 2'!F250)</f>
        <v/>
      </c>
      <c r="D250" s="14">
        <f>IF('Extra 2'!$A250="","",'Extra 2'!I250)</f>
        <v/>
      </c>
      <c r="E250" s="7">
        <f>IF('Extra 2'!$A250="","",'Extra 2'!O250)</f>
        <v/>
      </c>
      <c r="F250" s="7">
        <f>IF('Extra 2'!$A250="","",'Extra 2'!L250)</f>
        <v/>
      </c>
      <c r="G250" s="7">
        <f>IF('Extra 2'!$A250="","",'Extra 2'!S250)</f>
        <v/>
      </c>
      <c r="H250">
        <f>IF('Extra 2'!$A250="","",'Extra 2'!P250)</f>
        <v/>
      </c>
      <c r="I250">
        <f>IF('Extra 2'!$A250="","",'Extra 2'!M250)</f>
        <v/>
      </c>
      <c r="J250" s="7">
        <f>IF('Extra 2'!$A250="","",'Extra 2'!Q250)</f>
        <v/>
      </c>
      <c r="K250" s="7">
        <f>IF('Extra 2'!$A250="","",'Extra 2'!H250)</f>
        <v/>
      </c>
      <c r="L250" s="7">
        <f>IF('Extra 2'!$A250="","",'Extra 2'!T250)</f>
        <v/>
      </c>
      <c r="M250">
        <f>IF('Extra 2'!$A250="","",'Extra 2'!G250)</f>
        <v/>
      </c>
    </row>
    <row r="251">
      <c r="A251">
        <f>IF('Extra 2'!$A251="","",ROWS($A$2:$A251))</f>
        <v/>
      </c>
      <c r="B251">
        <f>IF('Extra 2'!$A251="","",'Extra 2'!E251)</f>
        <v/>
      </c>
      <c r="C251">
        <f>IF('Extra 2'!$A251="","",'Extra 2'!F251)</f>
        <v/>
      </c>
      <c r="D251" s="14">
        <f>IF('Extra 2'!$A251="","",'Extra 2'!I251)</f>
        <v/>
      </c>
      <c r="E251" s="7">
        <f>IF('Extra 2'!$A251="","",'Extra 2'!O251)</f>
        <v/>
      </c>
      <c r="F251" s="7">
        <f>IF('Extra 2'!$A251="","",'Extra 2'!L251)</f>
        <v/>
      </c>
      <c r="G251" s="7">
        <f>IF('Extra 2'!$A251="","",'Extra 2'!S251)</f>
        <v/>
      </c>
      <c r="H251">
        <f>IF('Extra 2'!$A251="","",'Extra 2'!P251)</f>
        <v/>
      </c>
      <c r="I251">
        <f>IF('Extra 2'!$A251="","",'Extra 2'!M251)</f>
        <v/>
      </c>
      <c r="J251" s="7">
        <f>IF('Extra 2'!$A251="","",'Extra 2'!Q251)</f>
        <v/>
      </c>
      <c r="K251" s="7">
        <f>IF('Extra 2'!$A251="","",'Extra 2'!H251)</f>
        <v/>
      </c>
      <c r="L251" s="7">
        <f>IF('Extra 2'!$A251="","",'Extra 2'!T251)</f>
        <v/>
      </c>
      <c r="M251">
        <f>IF('Extra 2'!$A251="","",'Extra 2'!G251)</f>
        <v/>
      </c>
    </row>
    <row r="252">
      <c r="A252">
        <f>IF('Extra 2'!$A252="","",ROWS($A$2:$A252))</f>
        <v/>
      </c>
      <c r="B252">
        <f>IF('Extra 2'!$A252="","",'Extra 2'!E252)</f>
        <v/>
      </c>
      <c r="C252">
        <f>IF('Extra 2'!$A252="","",'Extra 2'!F252)</f>
        <v/>
      </c>
      <c r="D252" s="14">
        <f>IF('Extra 2'!$A252="","",'Extra 2'!I252)</f>
        <v/>
      </c>
      <c r="E252" s="7">
        <f>IF('Extra 2'!$A252="","",'Extra 2'!O252)</f>
        <v/>
      </c>
      <c r="F252" s="7">
        <f>IF('Extra 2'!$A252="","",'Extra 2'!L252)</f>
        <v/>
      </c>
      <c r="G252" s="7">
        <f>IF('Extra 2'!$A252="","",'Extra 2'!S252)</f>
        <v/>
      </c>
      <c r="H252">
        <f>IF('Extra 2'!$A252="","",'Extra 2'!P252)</f>
        <v/>
      </c>
      <c r="I252">
        <f>IF('Extra 2'!$A252="","",'Extra 2'!M252)</f>
        <v/>
      </c>
      <c r="J252" s="7">
        <f>IF('Extra 2'!$A252="","",'Extra 2'!Q252)</f>
        <v/>
      </c>
      <c r="K252" s="7">
        <f>IF('Extra 2'!$A252="","",'Extra 2'!H252)</f>
        <v/>
      </c>
      <c r="L252" s="7">
        <f>IF('Extra 2'!$A252="","",'Extra 2'!T252)</f>
        <v/>
      </c>
      <c r="M252">
        <f>IF('Extra 2'!$A252="","",'Extra 2'!G252)</f>
        <v/>
      </c>
    </row>
    <row r="253">
      <c r="A253">
        <f>IF('Extra 2'!$A253="","",ROWS($A$2:$A253))</f>
        <v/>
      </c>
      <c r="B253">
        <f>IF('Extra 2'!$A253="","",'Extra 2'!E253)</f>
        <v/>
      </c>
      <c r="C253">
        <f>IF('Extra 2'!$A253="","",'Extra 2'!F253)</f>
        <v/>
      </c>
      <c r="D253" s="14">
        <f>IF('Extra 2'!$A253="","",'Extra 2'!I253)</f>
        <v/>
      </c>
      <c r="E253" s="7">
        <f>IF('Extra 2'!$A253="","",'Extra 2'!O253)</f>
        <v/>
      </c>
      <c r="F253" s="7">
        <f>IF('Extra 2'!$A253="","",'Extra 2'!L253)</f>
        <v/>
      </c>
      <c r="G253" s="7">
        <f>IF('Extra 2'!$A253="","",'Extra 2'!S253)</f>
        <v/>
      </c>
      <c r="H253">
        <f>IF('Extra 2'!$A253="","",'Extra 2'!P253)</f>
        <v/>
      </c>
      <c r="I253">
        <f>IF('Extra 2'!$A253="","",'Extra 2'!M253)</f>
        <v/>
      </c>
      <c r="J253" s="7">
        <f>IF('Extra 2'!$A253="","",'Extra 2'!Q253)</f>
        <v/>
      </c>
      <c r="K253" s="7">
        <f>IF('Extra 2'!$A253="","",'Extra 2'!H253)</f>
        <v/>
      </c>
      <c r="L253" s="7">
        <f>IF('Extra 2'!$A253="","",'Extra 2'!T253)</f>
        <v/>
      </c>
      <c r="M253">
        <f>IF('Extra 2'!$A253="","",'Extra 2'!G253)</f>
        <v/>
      </c>
    </row>
    <row r="254">
      <c r="A254">
        <f>IF('Extra 2'!$A254="","",ROWS($A$2:$A254))</f>
        <v/>
      </c>
      <c r="B254">
        <f>IF('Extra 2'!$A254="","",'Extra 2'!E254)</f>
        <v/>
      </c>
      <c r="C254">
        <f>IF('Extra 2'!$A254="","",'Extra 2'!F254)</f>
        <v/>
      </c>
      <c r="D254" s="14">
        <f>IF('Extra 2'!$A254="","",'Extra 2'!I254)</f>
        <v/>
      </c>
      <c r="E254" s="7">
        <f>IF('Extra 2'!$A254="","",'Extra 2'!O254)</f>
        <v/>
      </c>
      <c r="F254" s="7">
        <f>IF('Extra 2'!$A254="","",'Extra 2'!L254)</f>
        <v/>
      </c>
      <c r="G254" s="7">
        <f>IF('Extra 2'!$A254="","",'Extra 2'!S254)</f>
        <v/>
      </c>
      <c r="H254">
        <f>IF('Extra 2'!$A254="","",'Extra 2'!P254)</f>
        <v/>
      </c>
      <c r="I254">
        <f>IF('Extra 2'!$A254="","",'Extra 2'!M254)</f>
        <v/>
      </c>
      <c r="J254" s="7">
        <f>IF('Extra 2'!$A254="","",'Extra 2'!Q254)</f>
        <v/>
      </c>
      <c r="K254" s="7">
        <f>IF('Extra 2'!$A254="","",'Extra 2'!H254)</f>
        <v/>
      </c>
      <c r="L254" s="7">
        <f>IF('Extra 2'!$A254="","",'Extra 2'!T254)</f>
        <v/>
      </c>
      <c r="M254">
        <f>IF('Extra 2'!$A254="","",'Extra 2'!G254)</f>
        <v/>
      </c>
    </row>
    <row r="255">
      <c r="A255">
        <f>IF('Extra 2'!$A255="","",ROWS($A$2:$A255))</f>
        <v/>
      </c>
      <c r="B255">
        <f>IF('Extra 2'!$A255="","",'Extra 2'!E255)</f>
        <v/>
      </c>
      <c r="C255">
        <f>IF('Extra 2'!$A255="","",'Extra 2'!F255)</f>
        <v/>
      </c>
      <c r="D255" s="14">
        <f>IF('Extra 2'!$A255="","",'Extra 2'!I255)</f>
        <v/>
      </c>
      <c r="E255" s="7">
        <f>IF('Extra 2'!$A255="","",'Extra 2'!O255)</f>
        <v/>
      </c>
      <c r="F255" s="7">
        <f>IF('Extra 2'!$A255="","",'Extra 2'!L255)</f>
        <v/>
      </c>
      <c r="G255" s="7">
        <f>IF('Extra 2'!$A255="","",'Extra 2'!S255)</f>
        <v/>
      </c>
      <c r="H255">
        <f>IF('Extra 2'!$A255="","",'Extra 2'!P255)</f>
        <v/>
      </c>
      <c r="I255">
        <f>IF('Extra 2'!$A255="","",'Extra 2'!M255)</f>
        <v/>
      </c>
      <c r="J255" s="7">
        <f>IF('Extra 2'!$A255="","",'Extra 2'!Q255)</f>
        <v/>
      </c>
      <c r="K255" s="7">
        <f>IF('Extra 2'!$A255="","",'Extra 2'!H255)</f>
        <v/>
      </c>
      <c r="L255" s="7">
        <f>IF('Extra 2'!$A255="","",'Extra 2'!T255)</f>
        <v/>
      </c>
      <c r="M255">
        <f>IF('Extra 2'!$A255="","",'Extra 2'!G255)</f>
        <v/>
      </c>
    </row>
    <row r="256">
      <c r="A256">
        <f>IF('Extra 2'!$A256="","",ROWS($A$2:$A256))</f>
        <v/>
      </c>
      <c r="B256">
        <f>IF('Extra 2'!$A256="","",'Extra 2'!E256)</f>
        <v/>
      </c>
      <c r="C256">
        <f>IF('Extra 2'!$A256="","",'Extra 2'!F256)</f>
        <v/>
      </c>
      <c r="D256" s="14">
        <f>IF('Extra 2'!$A256="","",'Extra 2'!I256)</f>
        <v/>
      </c>
      <c r="E256" s="7">
        <f>IF('Extra 2'!$A256="","",'Extra 2'!O256)</f>
        <v/>
      </c>
      <c r="F256" s="7">
        <f>IF('Extra 2'!$A256="","",'Extra 2'!L256)</f>
        <v/>
      </c>
      <c r="G256" s="7">
        <f>IF('Extra 2'!$A256="","",'Extra 2'!S256)</f>
        <v/>
      </c>
      <c r="H256">
        <f>IF('Extra 2'!$A256="","",'Extra 2'!P256)</f>
        <v/>
      </c>
      <c r="I256">
        <f>IF('Extra 2'!$A256="","",'Extra 2'!M256)</f>
        <v/>
      </c>
      <c r="J256" s="7">
        <f>IF('Extra 2'!$A256="","",'Extra 2'!Q256)</f>
        <v/>
      </c>
      <c r="K256" s="7">
        <f>IF('Extra 2'!$A256="","",'Extra 2'!H256)</f>
        <v/>
      </c>
      <c r="L256" s="7">
        <f>IF('Extra 2'!$A256="","",'Extra 2'!T256)</f>
        <v/>
      </c>
      <c r="M256">
        <f>IF('Extra 2'!$A256="","",'Extra 2'!G256)</f>
        <v/>
      </c>
    </row>
    <row r="257">
      <c r="A257">
        <f>IF('Extra 2'!$A257="","",ROWS($A$2:$A257))</f>
        <v/>
      </c>
      <c r="B257">
        <f>IF('Extra 2'!$A257="","",'Extra 2'!E257)</f>
        <v/>
      </c>
      <c r="C257">
        <f>IF('Extra 2'!$A257="","",'Extra 2'!F257)</f>
        <v/>
      </c>
      <c r="D257" s="14">
        <f>IF('Extra 2'!$A257="","",'Extra 2'!I257)</f>
        <v/>
      </c>
      <c r="E257" s="7">
        <f>IF('Extra 2'!$A257="","",'Extra 2'!O257)</f>
        <v/>
      </c>
      <c r="F257" s="7">
        <f>IF('Extra 2'!$A257="","",'Extra 2'!L257)</f>
        <v/>
      </c>
      <c r="G257" s="7">
        <f>IF('Extra 2'!$A257="","",'Extra 2'!S257)</f>
        <v/>
      </c>
      <c r="H257">
        <f>IF('Extra 2'!$A257="","",'Extra 2'!P257)</f>
        <v/>
      </c>
      <c r="I257">
        <f>IF('Extra 2'!$A257="","",'Extra 2'!M257)</f>
        <v/>
      </c>
      <c r="J257" s="7">
        <f>IF('Extra 2'!$A257="","",'Extra 2'!Q257)</f>
        <v/>
      </c>
      <c r="K257" s="7">
        <f>IF('Extra 2'!$A257="","",'Extra 2'!H257)</f>
        <v/>
      </c>
      <c r="L257" s="7">
        <f>IF('Extra 2'!$A257="","",'Extra 2'!T257)</f>
        <v/>
      </c>
      <c r="M257">
        <f>IF('Extra 2'!$A257="","",'Extra 2'!G257)</f>
        <v/>
      </c>
    </row>
    <row r="258">
      <c r="A258">
        <f>IF('Extra 2'!$A258="","",ROWS($A$2:$A258))</f>
        <v/>
      </c>
      <c r="B258">
        <f>IF('Extra 2'!$A258="","",'Extra 2'!E258)</f>
        <v/>
      </c>
      <c r="C258">
        <f>IF('Extra 2'!$A258="","",'Extra 2'!F258)</f>
        <v/>
      </c>
      <c r="D258" s="14">
        <f>IF('Extra 2'!$A258="","",'Extra 2'!I258)</f>
        <v/>
      </c>
      <c r="E258" s="7">
        <f>IF('Extra 2'!$A258="","",'Extra 2'!O258)</f>
        <v/>
      </c>
      <c r="F258" s="7">
        <f>IF('Extra 2'!$A258="","",'Extra 2'!L258)</f>
        <v/>
      </c>
      <c r="G258" s="7">
        <f>IF('Extra 2'!$A258="","",'Extra 2'!S258)</f>
        <v/>
      </c>
      <c r="H258">
        <f>IF('Extra 2'!$A258="","",'Extra 2'!P258)</f>
        <v/>
      </c>
      <c r="I258">
        <f>IF('Extra 2'!$A258="","",'Extra 2'!M258)</f>
        <v/>
      </c>
      <c r="J258" s="7">
        <f>IF('Extra 2'!$A258="","",'Extra 2'!Q258)</f>
        <v/>
      </c>
      <c r="K258" s="7">
        <f>IF('Extra 2'!$A258="","",'Extra 2'!H258)</f>
        <v/>
      </c>
      <c r="L258" s="7">
        <f>IF('Extra 2'!$A258="","",'Extra 2'!T258)</f>
        <v/>
      </c>
      <c r="M258">
        <f>IF('Extra 2'!$A258="","",'Extra 2'!G258)</f>
        <v/>
      </c>
    </row>
    <row r="259">
      <c r="A259">
        <f>IF('Extra 2'!$A259="","",ROWS($A$2:$A259))</f>
        <v/>
      </c>
      <c r="B259">
        <f>IF('Extra 2'!$A259="","",'Extra 2'!E259)</f>
        <v/>
      </c>
      <c r="C259">
        <f>IF('Extra 2'!$A259="","",'Extra 2'!F259)</f>
        <v/>
      </c>
      <c r="D259" s="14">
        <f>IF('Extra 2'!$A259="","",'Extra 2'!I259)</f>
        <v/>
      </c>
      <c r="E259" s="7">
        <f>IF('Extra 2'!$A259="","",'Extra 2'!O259)</f>
        <v/>
      </c>
      <c r="F259" s="7">
        <f>IF('Extra 2'!$A259="","",'Extra 2'!L259)</f>
        <v/>
      </c>
      <c r="G259" s="7">
        <f>IF('Extra 2'!$A259="","",'Extra 2'!S259)</f>
        <v/>
      </c>
      <c r="H259">
        <f>IF('Extra 2'!$A259="","",'Extra 2'!P259)</f>
        <v/>
      </c>
      <c r="I259">
        <f>IF('Extra 2'!$A259="","",'Extra 2'!M259)</f>
        <v/>
      </c>
      <c r="J259" s="7">
        <f>IF('Extra 2'!$A259="","",'Extra 2'!Q259)</f>
        <v/>
      </c>
      <c r="K259" s="7">
        <f>IF('Extra 2'!$A259="","",'Extra 2'!H259)</f>
        <v/>
      </c>
      <c r="L259" s="7">
        <f>IF('Extra 2'!$A259="","",'Extra 2'!T259)</f>
        <v/>
      </c>
      <c r="M259">
        <f>IF('Extra 2'!$A259="","",'Extra 2'!G259)</f>
        <v/>
      </c>
    </row>
    <row r="260">
      <c r="A260">
        <f>IF('Extra 2'!$A260="","",ROWS($A$2:$A260))</f>
        <v/>
      </c>
      <c r="B260">
        <f>IF('Extra 2'!$A260="","",'Extra 2'!E260)</f>
        <v/>
      </c>
      <c r="C260">
        <f>IF('Extra 2'!$A260="","",'Extra 2'!F260)</f>
        <v/>
      </c>
      <c r="D260" s="14">
        <f>IF('Extra 2'!$A260="","",'Extra 2'!I260)</f>
        <v/>
      </c>
      <c r="E260" s="7">
        <f>IF('Extra 2'!$A260="","",'Extra 2'!O260)</f>
        <v/>
      </c>
      <c r="F260" s="7">
        <f>IF('Extra 2'!$A260="","",'Extra 2'!L260)</f>
        <v/>
      </c>
      <c r="G260" s="7">
        <f>IF('Extra 2'!$A260="","",'Extra 2'!S260)</f>
        <v/>
      </c>
      <c r="H260">
        <f>IF('Extra 2'!$A260="","",'Extra 2'!P260)</f>
        <v/>
      </c>
      <c r="I260">
        <f>IF('Extra 2'!$A260="","",'Extra 2'!M260)</f>
        <v/>
      </c>
      <c r="J260" s="7">
        <f>IF('Extra 2'!$A260="","",'Extra 2'!Q260)</f>
        <v/>
      </c>
      <c r="K260" s="7">
        <f>IF('Extra 2'!$A260="","",'Extra 2'!H260)</f>
        <v/>
      </c>
      <c r="L260" s="7">
        <f>IF('Extra 2'!$A260="","",'Extra 2'!T260)</f>
        <v/>
      </c>
      <c r="M260">
        <f>IF('Extra 2'!$A260="","",'Extra 2'!G260)</f>
        <v/>
      </c>
    </row>
    <row r="261">
      <c r="A261">
        <f>IF('Extra 2'!$A261="","",ROWS($A$2:$A261))</f>
        <v/>
      </c>
      <c r="B261">
        <f>IF('Extra 2'!$A261="","",'Extra 2'!E261)</f>
        <v/>
      </c>
      <c r="C261">
        <f>IF('Extra 2'!$A261="","",'Extra 2'!F261)</f>
        <v/>
      </c>
      <c r="D261" s="14">
        <f>IF('Extra 2'!$A261="","",'Extra 2'!I261)</f>
        <v/>
      </c>
      <c r="E261" s="7">
        <f>IF('Extra 2'!$A261="","",'Extra 2'!O261)</f>
        <v/>
      </c>
      <c r="F261" s="7">
        <f>IF('Extra 2'!$A261="","",'Extra 2'!L261)</f>
        <v/>
      </c>
      <c r="G261" s="7">
        <f>IF('Extra 2'!$A261="","",'Extra 2'!S261)</f>
        <v/>
      </c>
      <c r="H261">
        <f>IF('Extra 2'!$A261="","",'Extra 2'!P261)</f>
        <v/>
      </c>
      <c r="I261">
        <f>IF('Extra 2'!$A261="","",'Extra 2'!M261)</f>
        <v/>
      </c>
      <c r="J261" s="7">
        <f>IF('Extra 2'!$A261="","",'Extra 2'!Q261)</f>
        <v/>
      </c>
      <c r="K261" s="7">
        <f>IF('Extra 2'!$A261="","",'Extra 2'!H261)</f>
        <v/>
      </c>
      <c r="L261" s="7">
        <f>IF('Extra 2'!$A261="","",'Extra 2'!T261)</f>
        <v/>
      </c>
      <c r="M261">
        <f>IF('Extra 2'!$A261="","",'Extra 2'!G261)</f>
        <v/>
      </c>
    </row>
    <row r="262">
      <c r="A262">
        <f>IF('Extra 2'!$A262="","",ROWS($A$2:$A262))</f>
        <v/>
      </c>
      <c r="B262">
        <f>IF('Extra 2'!$A262="","",'Extra 2'!E262)</f>
        <v/>
      </c>
      <c r="C262">
        <f>IF('Extra 2'!$A262="","",'Extra 2'!F262)</f>
        <v/>
      </c>
      <c r="D262" s="14">
        <f>IF('Extra 2'!$A262="","",'Extra 2'!I262)</f>
        <v/>
      </c>
      <c r="E262" s="7">
        <f>IF('Extra 2'!$A262="","",'Extra 2'!O262)</f>
        <v/>
      </c>
      <c r="F262" s="7">
        <f>IF('Extra 2'!$A262="","",'Extra 2'!L262)</f>
        <v/>
      </c>
      <c r="G262" s="7">
        <f>IF('Extra 2'!$A262="","",'Extra 2'!S262)</f>
        <v/>
      </c>
      <c r="H262">
        <f>IF('Extra 2'!$A262="","",'Extra 2'!P262)</f>
        <v/>
      </c>
      <c r="I262">
        <f>IF('Extra 2'!$A262="","",'Extra 2'!M262)</f>
        <v/>
      </c>
      <c r="J262" s="7">
        <f>IF('Extra 2'!$A262="","",'Extra 2'!Q262)</f>
        <v/>
      </c>
      <c r="K262" s="7">
        <f>IF('Extra 2'!$A262="","",'Extra 2'!H262)</f>
        <v/>
      </c>
      <c r="L262" s="7">
        <f>IF('Extra 2'!$A262="","",'Extra 2'!T262)</f>
        <v/>
      </c>
      <c r="M262">
        <f>IF('Extra 2'!$A262="","",'Extra 2'!G262)</f>
        <v/>
      </c>
    </row>
    <row r="263">
      <c r="A263">
        <f>IF('Extra 2'!$A263="","",ROWS($A$2:$A263))</f>
        <v/>
      </c>
      <c r="B263">
        <f>IF('Extra 2'!$A263="","",'Extra 2'!E263)</f>
        <v/>
      </c>
      <c r="C263">
        <f>IF('Extra 2'!$A263="","",'Extra 2'!F263)</f>
        <v/>
      </c>
      <c r="D263" s="14">
        <f>IF('Extra 2'!$A263="","",'Extra 2'!I263)</f>
        <v/>
      </c>
      <c r="E263" s="7">
        <f>IF('Extra 2'!$A263="","",'Extra 2'!O263)</f>
        <v/>
      </c>
      <c r="F263" s="7">
        <f>IF('Extra 2'!$A263="","",'Extra 2'!L263)</f>
        <v/>
      </c>
      <c r="G263" s="7">
        <f>IF('Extra 2'!$A263="","",'Extra 2'!S263)</f>
        <v/>
      </c>
      <c r="H263">
        <f>IF('Extra 2'!$A263="","",'Extra 2'!P263)</f>
        <v/>
      </c>
      <c r="I263">
        <f>IF('Extra 2'!$A263="","",'Extra 2'!M263)</f>
        <v/>
      </c>
      <c r="J263" s="7">
        <f>IF('Extra 2'!$A263="","",'Extra 2'!Q263)</f>
        <v/>
      </c>
      <c r="K263" s="7">
        <f>IF('Extra 2'!$A263="","",'Extra 2'!H263)</f>
        <v/>
      </c>
      <c r="L263" s="7">
        <f>IF('Extra 2'!$A263="","",'Extra 2'!T263)</f>
        <v/>
      </c>
      <c r="M263">
        <f>IF('Extra 2'!$A263="","",'Extra 2'!G263)</f>
        <v/>
      </c>
    </row>
    <row r="264">
      <c r="A264">
        <f>IF('Extra 2'!$A264="","",ROWS($A$2:$A264))</f>
        <v/>
      </c>
      <c r="B264">
        <f>IF('Extra 2'!$A264="","",'Extra 2'!E264)</f>
        <v/>
      </c>
      <c r="C264">
        <f>IF('Extra 2'!$A264="","",'Extra 2'!F264)</f>
        <v/>
      </c>
      <c r="D264" s="14">
        <f>IF('Extra 2'!$A264="","",'Extra 2'!I264)</f>
        <v/>
      </c>
      <c r="E264" s="7">
        <f>IF('Extra 2'!$A264="","",'Extra 2'!O264)</f>
        <v/>
      </c>
      <c r="F264" s="7">
        <f>IF('Extra 2'!$A264="","",'Extra 2'!L264)</f>
        <v/>
      </c>
      <c r="G264" s="7">
        <f>IF('Extra 2'!$A264="","",'Extra 2'!S264)</f>
        <v/>
      </c>
      <c r="H264">
        <f>IF('Extra 2'!$A264="","",'Extra 2'!P264)</f>
        <v/>
      </c>
      <c r="I264">
        <f>IF('Extra 2'!$A264="","",'Extra 2'!M264)</f>
        <v/>
      </c>
      <c r="J264" s="7">
        <f>IF('Extra 2'!$A264="","",'Extra 2'!Q264)</f>
        <v/>
      </c>
      <c r="K264" s="7">
        <f>IF('Extra 2'!$A264="","",'Extra 2'!H264)</f>
        <v/>
      </c>
      <c r="L264" s="7">
        <f>IF('Extra 2'!$A264="","",'Extra 2'!T264)</f>
        <v/>
      </c>
      <c r="M264">
        <f>IF('Extra 2'!$A264="","",'Extra 2'!G264)</f>
        <v/>
      </c>
    </row>
    <row r="265">
      <c r="A265">
        <f>IF('Extra 2'!$A265="","",ROWS($A$2:$A265))</f>
        <v/>
      </c>
      <c r="B265">
        <f>IF('Extra 2'!$A265="","",'Extra 2'!E265)</f>
        <v/>
      </c>
      <c r="C265">
        <f>IF('Extra 2'!$A265="","",'Extra 2'!F265)</f>
        <v/>
      </c>
      <c r="D265" s="14">
        <f>IF('Extra 2'!$A265="","",'Extra 2'!I265)</f>
        <v/>
      </c>
      <c r="E265" s="7">
        <f>IF('Extra 2'!$A265="","",'Extra 2'!O265)</f>
        <v/>
      </c>
      <c r="F265" s="7">
        <f>IF('Extra 2'!$A265="","",'Extra 2'!L265)</f>
        <v/>
      </c>
      <c r="G265" s="7">
        <f>IF('Extra 2'!$A265="","",'Extra 2'!S265)</f>
        <v/>
      </c>
      <c r="H265">
        <f>IF('Extra 2'!$A265="","",'Extra 2'!P265)</f>
        <v/>
      </c>
      <c r="I265">
        <f>IF('Extra 2'!$A265="","",'Extra 2'!M265)</f>
        <v/>
      </c>
      <c r="J265" s="7">
        <f>IF('Extra 2'!$A265="","",'Extra 2'!Q265)</f>
        <v/>
      </c>
      <c r="K265" s="7">
        <f>IF('Extra 2'!$A265="","",'Extra 2'!H265)</f>
        <v/>
      </c>
      <c r="L265" s="7">
        <f>IF('Extra 2'!$A265="","",'Extra 2'!T265)</f>
        <v/>
      </c>
      <c r="M265">
        <f>IF('Extra 2'!$A265="","",'Extra 2'!G265)</f>
        <v/>
      </c>
    </row>
    <row r="266">
      <c r="A266">
        <f>IF('Extra 2'!$A266="","",ROWS($A$2:$A266))</f>
        <v/>
      </c>
      <c r="B266">
        <f>IF('Extra 2'!$A266="","",'Extra 2'!E266)</f>
        <v/>
      </c>
      <c r="C266">
        <f>IF('Extra 2'!$A266="","",'Extra 2'!F266)</f>
        <v/>
      </c>
      <c r="D266" s="14">
        <f>IF('Extra 2'!$A266="","",'Extra 2'!I266)</f>
        <v/>
      </c>
      <c r="E266" s="7">
        <f>IF('Extra 2'!$A266="","",'Extra 2'!O266)</f>
        <v/>
      </c>
      <c r="F266" s="7">
        <f>IF('Extra 2'!$A266="","",'Extra 2'!L266)</f>
        <v/>
      </c>
      <c r="G266" s="7">
        <f>IF('Extra 2'!$A266="","",'Extra 2'!S266)</f>
        <v/>
      </c>
      <c r="H266">
        <f>IF('Extra 2'!$A266="","",'Extra 2'!P266)</f>
        <v/>
      </c>
      <c r="I266">
        <f>IF('Extra 2'!$A266="","",'Extra 2'!M266)</f>
        <v/>
      </c>
      <c r="J266" s="7">
        <f>IF('Extra 2'!$A266="","",'Extra 2'!Q266)</f>
        <v/>
      </c>
      <c r="K266" s="7">
        <f>IF('Extra 2'!$A266="","",'Extra 2'!H266)</f>
        <v/>
      </c>
      <c r="L266" s="7">
        <f>IF('Extra 2'!$A266="","",'Extra 2'!T266)</f>
        <v/>
      </c>
      <c r="M266">
        <f>IF('Extra 2'!$A266="","",'Extra 2'!G266)</f>
        <v/>
      </c>
    </row>
    <row r="267">
      <c r="A267">
        <f>IF('Extra 2'!$A267="","",ROWS($A$2:$A267))</f>
        <v/>
      </c>
      <c r="B267">
        <f>IF('Extra 2'!$A267="","",'Extra 2'!E267)</f>
        <v/>
      </c>
      <c r="C267">
        <f>IF('Extra 2'!$A267="","",'Extra 2'!F267)</f>
        <v/>
      </c>
      <c r="D267" s="14">
        <f>IF('Extra 2'!$A267="","",'Extra 2'!I267)</f>
        <v/>
      </c>
      <c r="E267" s="7">
        <f>IF('Extra 2'!$A267="","",'Extra 2'!O267)</f>
        <v/>
      </c>
      <c r="F267" s="7">
        <f>IF('Extra 2'!$A267="","",'Extra 2'!L267)</f>
        <v/>
      </c>
      <c r="G267" s="7">
        <f>IF('Extra 2'!$A267="","",'Extra 2'!S267)</f>
        <v/>
      </c>
      <c r="H267">
        <f>IF('Extra 2'!$A267="","",'Extra 2'!P267)</f>
        <v/>
      </c>
      <c r="I267">
        <f>IF('Extra 2'!$A267="","",'Extra 2'!M267)</f>
        <v/>
      </c>
      <c r="J267" s="7">
        <f>IF('Extra 2'!$A267="","",'Extra 2'!Q267)</f>
        <v/>
      </c>
      <c r="K267" s="7">
        <f>IF('Extra 2'!$A267="","",'Extra 2'!H267)</f>
        <v/>
      </c>
      <c r="L267" s="7">
        <f>IF('Extra 2'!$A267="","",'Extra 2'!T267)</f>
        <v/>
      </c>
      <c r="M267">
        <f>IF('Extra 2'!$A267="","",'Extra 2'!G267)</f>
        <v/>
      </c>
    </row>
    <row r="268">
      <c r="A268">
        <f>IF('Extra 2'!$A268="","",ROWS($A$2:$A268))</f>
        <v/>
      </c>
      <c r="B268">
        <f>IF('Extra 2'!$A268="","",'Extra 2'!E268)</f>
        <v/>
      </c>
      <c r="C268">
        <f>IF('Extra 2'!$A268="","",'Extra 2'!F268)</f>
        <v/>
      </c>
      <c r="D268" s="14">
        <f>IF('Extra 2'!$A268="","",'Extra 2'!I268)</f>
        <v/>
      </c>
      <c r="E268" s="7">
        <f>IF('Extra 2'!$A268="","",'Extra 2'!O268)</f>
        <v/>
      </c>
      <c r="F268" s="7">
        <f>IF('Extra 2'!$A268="","",'Extra 2'!L268)</f>
        <v/>
      </c>
      <c r="G268" s="7">
        <f>IF('Extra 2'!$A268="","",'Extra 2'!S268)</f>
        <v/>
      </c>
      <c r="H268">
        <f>IF('Extra 2'!$A268="","",'Extra 2'!P268)</f>
        <v/>
      </c>
      <c r="I268">
        <f>IF('Extra 2'!$A268="","",'Extra 2'!M268)</f>
        <v/>
      </c>
      <c r="J268" s="7">
        <f>IF('Extra 2'!$A268="","",'Extra 2'!Q268)</f>
        <v/>
      </c>
      <c r="K268" s="7">
        <f>IF('Extra 2'!$A268="","",'Extra 2'!H268)</f>
        <v/>
      </c>
      <c r="L268" s="7">
        <f>IF('Extra 2'!$A268="","",'Extra 2'!T268)</f>
        <v/>
      </c>
      <c r="M268">
        <f>IF('Extra 2'!$A268="","",'Extra 2'!G268)</f>
        <v/>
      </c>
    </row>
    <row r="269">
      <c r="A269">
        <f>IF('Extra 2'!$A269="","",ROWS($A$2:$A269))</f>
        <v/>
      </c>
      <c r="B269">
        <f>IF('Extra 2'!$A269="","",'Extra 2'!E269)</f>
        <v/>
      </c>
      <c r="C269">
        <f>IF('Extra 2'!$A269="","",'Extra 2'!F269)</f>
        <v/>
      </c>
      <c r="D269" s="14">
        <f>IF('Extra 2'!$A269="","",'Extra 2'!I269)</f>
        <v/>
      </c>
      <c r="E269" s="7">
        <f>IF('Extra 2'!$A269="","",'Extra 2'!O269)</f>
        <v/>
      </c>
      <c r="F269" s="7">
        <f>IF('Extra 2'!$A269="","",'Extra 2'!L269)</f>
        <v/>
      </c>
      <c r="G269" s="7">
        <f>IF('Extra 2'!$A269="","",'Extra 2'!S269)</f>
        <v/>
      </c>
      <c r="H269">
        <f>IF('Extra 2'!$A269="","",'Extra 2'!P269)</f>
        <v/>
      </c>
      <c r="I269">
        <f>IF('Extra 2'!$A269="","",'Extra 2'!M269)</f>
        <v/>
      </c>
      <c r="J269" s="7">
        <f>IF('Extra 2'!$A269="","",'Extra 2'!Q269)</f>
        <v/>
      </c>
      <c r="K269" s="7">
        <f>IF('Extra 2'!$A269="","",'Extra 2'!H269)</f>
        <v/>
      </c>
      <c r="L269" s="7">
        <f>IF('Extra 2'!$A269="","",'Extra 2'!T269)</f>
        <v/>
      </c>
      <c r="M269">
        <f>IF('Extra 2'!$A269="","",'Extra 2'!G269)</f>
        <v/>
      </c>
    </row>
    <row r="270">
      <c r="A270">
        <f>IF('Extra 2'!$A270="","",ROWS($A$2:$A270))</f>
        <v/>
      </c>
      <c r="B270">
        <f>IF('Extra 2'!$A270="","",'Extra 2'!E270)</f>
        <v/>
      </c>
      <c r="C270">
        <f>IF('Extra 2'!$A270="","",'Extra 2'!F270)</f>
        <v/>
      </c>
      <c r="D270" s="14">
        <f>IF('Extra 2'!$A270="","",'Extra 2'!I270)</f>
        <v/>
      </c>
      <c r="E270" s="7">
        <f>IF('Extra 2'!$A270="","",'Extra 2'!O270)</f>
        <v/>
      </c>
      <c r="F270" s="7">
        <f>IF('Extra 2'!$A270="","",'Extra 2'!L270)</f>
        <v/>
      </c>
      <c r="G270" s="7">
        <f>IF('Extra 2'!$A270="","",'Extra 2'!S270)</f>
        <v/>
      </c>
      <c r="H270">
        <f>IF('Extra 2'!$A270="","",'Extra 2'!P270)</f>
        <v/>
      </c>
      <c r="I270">
        <f>IF('Extra 2'!$A270="","",'Extra 2'!M270)</f>
        <v/>
      </c>
      <c r="J270" s="7">
        <f>IF('Extra 2'!$A270="","",'Extra 2'!Q270)</f>
        <v/>
      </c>
      <c r="K270" s="7">
        <f>IF('Extra 2'!$A270="","",'Extra 2'!H270)</f>
        <v/>
      </c>
      <c r="L270" s="7">
        <f>IF('Extra 2'!$A270="","",'Extra 2'!T270)</f>
        <v/>
      </c>
      <c r="M270">
        <f>IF('Extra 2'!$A270="","",'Extra 2'!G270)</f>
        <v/>
      </c>
    </row>
    <row r="271">
      <c r="A271">
        <f>IF('Extra 2'!$A271="","",ROWS($A$2:$A271))</f>
        <v/>
      </c>
      <c r="B271">
        <f>IF('Extra 2'!$A271="","",'Extra 2'!E271)</f>
        <v/>
      </c>
      <c r="C271">
        <f>IF('Extra 2'!$A271="","",'Extra 2'!F271)</f>
        <v/>
      </c>
      <c r="D271" s="14">
        <f>IF('Extra 2'!$A271="","",'Extra 2'!I271)</f>
        <v/>
      </c>
      <c r="E271" s="7">
        <f>IF('Extra 2'!$A271="","",'Extra 2'!O271)</f>
        <v/>
      </c>
      <c r="F271" s="7">
        <f>IF('Extra 2'!$A271="","",'Extra 2'!L271)</f>
        <v/>
      </c>
      <c r="G271" s="7">
        <f>IF('Extra 2'!$A271="","",'Extra 2'!S271)</f>
        <v/>
      </c>
      <c r="H271">
        <f>IF('Extra 2'!$A271="","",'Extra 2'!P271)</f>
        <v/>
      </c>
      <c r="I271">
        <f>IF('Extra 2'!$A271="","",'Extra 2'!M271)</f>
        <v/>
      </c>
      <c r="J271" s="7">
        <f>IF('Extra 2'!$A271="","",'Extra 2'!Q271)</f>
        <v/>
      </c>
      <c r="K271" s="7">
        <f>IF('Extra 2'!$A271="","",'Extra 2'!H271)</f>
        <v/>
      </c>
      <c r="L271" s="7">
        <f>IF('Extra 2'!$A271="","",'Extra 2'!T271)</f>
        <v/>
      </c>
      <c r="M271">
        <f>IF('Extra 2'!$A271="","",'Extra 2'!G271)</f>
        <v/>
      </c>
    </row>
    <row r="272">
      <c r="A272">
        <f>IF('Extra 2'!$A272="","",ROWS($A$2:$A272))</f>
        <v/>
      </c>
      <c r="B272">
        <f>IF('Extra 2'!$A272="","",'Extra 2'!E272)</f>
        <v/>
      </c>
      <c r="C272">
        <f>IF('Extra 2'!$A272="","",'Extra 2'!F272)</f>
        <v/>
      </c>
      <c r="D272" s="14">
        <f>IF('Extra 2'!$A272="","",'Extra 2'!I272)</f>
        <v/>
      </c>
      <c r="E272" s="7">
        <f>IF('Extra 2'!$A272="","",'Extra 2'!O272)</f>
        <v/>
      </c>
      <c r="F272" s="7">
        <f>IF('Extra 2'!$A272="","",'Extra 2'!L272)</f>
        <v/>
      </c>
      <c r="G272" s="7">
        <f>IF('Extra 2'!$A272="","",'Extra 2'!S272)</f>
        <v/>
      </c>
      <c r="H272">
        <f>IF('Extra 2'!$A272="","",'Extra 2'!P272)</f>
        <v/>
      </c>
      <c r="I272">
        <f>IF('Extra 2'!$A272="","",'Extra 2'!M272)</f>
        <v/>
      </c>
      <c r="J272" s="7">
        <f>IF('Extra 2'!$A272="","",'Extra 2'!Q272)</f>
        <v/>
      </c>
      <c r="K272" s="7">
        <f>IF('Extra 2'!$A272="","",'Extra 2'!H272)</f>
        <v/>
      </c>
      <c r="L272" s="7">
        <f>IF('Extra 2'!$A272="","",'Extra 2'!T272)</f>
        <v/>
      </c>
      <c r="M272">
        <f>IF('Extra 2'!$A272="","",'Extra 2'!G272)</f>
        <v/>
      </c>
    </row>
    <row r="273">
      <c r="A273">
        <f>IF('Extra 2'!$A273="","",ROWS($A$2:$A273))</f>
        <v/>
      </c>
      <c r="B273">
        <f>IF('Extra 2'!$A273="","",'Extra 2'!E273)</f>
        <v/>
      </c>
      <c r="C273">
        <f>IF('Extra 2'!$A273="","",'Extra 2'!F273)</f>
        <v/>
      </c>
      <c r="D273" s="14">
        <f>IF('Extra 2'!$A273="","",'Extra 2'!I273)</f>
        <v/>
      </c>
      <c r="E273" s="7">
        <f>IF('Extra 2'!$A273="","",'Extra 2'!O273)</f>
        <v/>
      </c>
      <c r="F273" s="7">
        <f>IF('Extra 2'!$A273="","",'Extra 2'!L273)</f>
        <v/>
      </c>
      <c r="G273" s="7">
        <f>IF('Extra 2'!$A273="","",'Extra 2'!S273)</f>
        <v/>
      </c>
      <c r="H273">
        <f>IF('Extra 2'!$A273="","",'Extra 2'!P273)</f>
        <v/>
      </c>
      <c r="I273">
        <f>IF('Extra 2'!$A273="","",'Extra 2'!M273)</f>
        <v/>
      </c>
      <c r="J273" s="7">
        <f>IF('Extra 2'!$A273="","",'Extra 2'!Q273)</f>
        <v/>
      </c>
      <c r="K273" s="7">
        <f>IF('Extra 2'!$A273="","",'Extra 2'!H273)</f>
        <v/>
      </c>
      <c r="L273" s="7">
        <f>IF('Extra 2'!$A273="","",'Extra 2'!T273)</f>
        <v/>
      </c>
      <c r="M273">
        <f>IF('Extra 2'!$A273="","",'Extra 2'!G273)</f>
        <v/>
      </c>
    </row>
    <row r="274">
      <c r="A274">
        <f>IF('Extra 2'!$A274="","",ROWS($A$2:$A274))</f>
        <v/>
      </c>
      <c r="B274">
        <f>IF('Extra 2'!$A274="","",'Extra 2'!E274)</f>
        <v/>
      </c>
      <c r="C274">
        <f>IF('Extra 2'!$A274="","",'Extra 2'!F274)</f>
        <v/>
      </c>
      <c r="D274" s="14">
        <f>IF('Extra 2'!$A274="","",'Extra 2'!I274)</f>
        <v/>
      </c>
      <c r="E274" s="7">
        <f>IF('Extra 2'!$A274="","",'Extra 2'!O274)</f>
        <v/>
      </c>
      <c r="F274" s="7">
        <f>IF('Extra 2'!$A274="","",'Extra 2'!L274)</f>
        <v/>
      </c>
      <c r="G274" s="7">
        <f>IF('Extra 2'!$A274="","",'Extra 2'!S274)</f>
        <v/>
      </c>
      <c r="H274">
        <f>IF('Extra 2'!$A274="","",'Extra 2'!P274)</f>
        <v/>
      </c>
      <c r="I274">
        <f>IF('Extra 2'!$A274="","",'Extra 2'!M274)</f>
        <v/>
      </c>
      <c r="J274" s="7">
        <f>IF('Extra 2'!$A274="","",'Extra 2'!Q274)</f>
        <v/>
      </c>
      <c r="K274" s="7">
        <f>IF('Extra 2'!$A274="","",'Extra 2'!H274)</f>
        <v/>
      </c>
      <c r="L274" s="7">
        <f>IF('Extra 2'!$A274="","",'Extra 2'!T274)</f>
        <v/>
      </c>
      <c r="M274">
        <f>IF('Extra 2'!$A274="","",'Extra 2'!G274)</f>
        <v/>
      </c>
    </row>
    <row r="275">
      <c r="A275">
        <f>IF('Extra 2'!$A275="","",ROWS($A$2:$A275))</f>
        <v/>
      </c>
      <c r="B275">
        <f>IF('Extra 2'!$A275="","",'Extra 2'!E275)</f>
        <v/>
      </c>
      <c r="C275">
        <f>IF('Extra 2'!$A275="","",'Extra 2'!F275)</f>
        <v/>
      </c>
      <c r="D275" s="14">
        <f>IF('Extra 2'!$A275="","",'Extra 2'!I275)</f>
        <v/>
      </c>
      <c r="E275" s="7">
        <f>IF('Extra 2'!$A275="","",'Extra 2'!O275)</f>
        <v/>
      </c>
      <c r="F275" s="7">
        <f>IF('Extra 2'!$A275="","",'Extra 2'!L275)</f>
        <v/>
      </c>
      <c r="G275" s="7">
        <f>IF('Extra 2'!$A275="","",'Extra 2'!S275)</f>
        <v/>
      </c>
      <c r="H275">
        <f>IF('Extra 2'!$A275="","",'Extra 2'!P275)</f>
        <v/>
      </c>
      <c r="I275">
        <f>IF('Extra 2'!$A275="","",'Extra 2'!M275)</f>
        <v/>
      </c>
      <c r="J275" s="7">
        <f>IF('Extra 2'!$A275="","",'Extra 2'!Q275)</f>
        <v/>
      </c>
      <c r="K275" s="7">
        <f>IF('Extra 2'!$A275="","",'Extra 2'!H275)</f>
        <v/>
      </c>
      <c r="L275" s="7">
        <f>IF('Extra 2'!$A275="","",'Extra 2'!T275)</f>
        <v/>
      </c>
      <c r="M275">
        <f>IF('Extra 2'!$A275="","",'Extra 2'!G275)</f>
        <v/>
      </c>
    </row>
    <row r="276">
      <c r="A276">
        <f>IF('Extra 2'!$A276="","",ROWS($A$2:$A276))</f>
        <v/>
      </c>
      <c r="B276">
        <f>IF('Extra 2'!$A276="","",'Extra 2'!E276)</f>
        <v/>
      </c>
      <c r="C276">
        <f>IF('Extra 2'!$A276="","",'Extra 2'!F276)</f>
        <v/>
      </c>
      <c r="D276" s="14">
        <f>IF('Extra 2'!$A276="","",'Extra 2'!I276)</f>
        <v/>
      </c>
      <c r="E276" s="7">
        <f>IF('Extra 2'!$A276="","",'Extra 2'!O276)</f>
        <v/>
      </c>
      <c r="F276" s="7">
        <f>IF('Extra 2'!$A276="","",'Extra 2'!L276)</f>
        <v/>
      </c>
      <c r="G276" s="7">
        <f>IF('Extra 2'!$A276="","",'Extra 2'!S276)</f>
        <v/>
      </c>
      <c r="H276">
        <f>IF('Extra 2'!$A276="","",'Extra 2'!P276)</f>
        <v/>
      </c>
      <c r="I276">
        <f>IF('Extra 2'!$A276="","",'Extra 2'!M276)</f>
        <v/>
      </c>
      <c r="J276" s="7">
        <f>IF('Extra 2'!$A276="","",'Extra 2'!Q276)</f>
        <v/>
      </c>
      <c r="K276" s="7">
        <f>IF('Extra 2'!$A276="","",'Extra 2'!H276)</f>
        <v/>
      </c>
      <c r="L276" s="7">
        <f>IF('Extra 2'!$A276="","",'Extra 2'!T276)</f>
        <v/>
      </c>
      <c r="M276">
        <f>IF('Extra 2'!$A276="","",'Extra 2'!G276)</f>
        <v/>
      </c>
    </row>
    <row r="277">
      <c r="A277">
        <f>IF('Extra 2'!$A277="","",ROWS($A$2:$A277))</f>
        <v/>
      </c>
      <c r="B277">
        <f>IF('Extra 2'!$A277="","",'Extra 2'!E277)</f>
        <v/>
      </c>
      <c r="C277">
        <f>IF('Extra 2'!$A277="","",'Extra 2'!F277)</f>
        <v/>
      </c>
      <c r="D277" s="14">
        <f>IF('Extra 2'!$A277="","",'Extra 2'!I277)</f>
        <v/>
      </c>
      <c r="E277" s="7">
        <f>IF('Extra 2'!$A277="","",'Extra 2'!O277)</f>
        <v/>
      </c>
      <c r="F277" s="7">
        <f>IF('Extra 2'!$A277="","",'Extra 2'!L277)</f>
        <v/>
      </c>
      <c r="G277" s="7">
        <f>IF('Extra 2'!$A277="","",'Extra 2'!S277)</f>
        <v/>
      </c>
      <c r="H277">
        <f>IF('Extra 2'!$A277="","",'Extra 2'!P277)</f>
        <v/>
      </c>
      <c r="I277">
        <f>IF('Extra 2'!$A277="","",'Extra 2'!M277)</f>
        <v/>
      </c>
      <c r="J277" s="7">
        <f>IF('Extra 2'!$A277="","",'Extra 2'!Q277)</f>
        <v/>
      </c>
      <c r="K277" s="7">
        <f>IF('Extra 2'!$A277="","",'Extra 2'!H277)</f>
        <v/>
      </c>
      <c r="L277" s="7">
        <f>IF('Extra 2'!$A277="","",'Extra 2'!T277)</f>
        <v/>
      </c>
      <c r="M277">
        <f>IF('Extra 2'!$A277="","",'Extra 2'!G277)</f>
        <v/>
      </c>
    </row>
    <row r="278">
      <c r="A278">
        <f>IF('Extra 2'!$A278="","",ROWS($A$2:$A278))</f>
        <v/>
      </c>
      <c r="B278">
        <f>IF('Extra 2'!$A278="","",'Extra 2'!E278)</f>
        <v/>
      </c>
      <c r="C278">
        <f>IF('Extra 2'!$A278="","",'Extra 2'!F278)</f>
        <v/>
      </c>
      <c r="D278" s="14">
        <f>IF('Extra 2'!$A278="","",'Extra 2'!I278)</f>
        <v/>
      </c>
      <c r="E278" s="7">
        <f>IF('Extra 2'!$A278="","",'Extra 2'!O278)</f>
        <v/>
      </c>
      <c r="F278" s="7">
        <f>IF('Extra 2'!$A278="","",'Extra 2'!L278)</f>
        <v/>
      </c>
      <c r="G278" s="7">
        <f>IF('Extra 2'!$A278="","",'Extra 2'!S278)</f>
        <v/>
      </c>
      <c r="H278">
        <f>IF('Extra 2'!$A278="","",'Extra 2'!P278)</f>
        <v/>
      </c>
      <c r="I278">
        <f>IF('Extra 2'!$A278="","",'Extra 2'!M278)</f>
        <v/>
      </c>
      <c r="J278" s="7">
        <f>IF('Extra 2'!$A278="","",'Extra 2'!Q278)</f>
        <v/>
      </c>
      <c r="K278" s="7">
        <f>IF('Extra 2'!$A278="","",'Extra 2'!H278)</f>
        <v/>
      </c>
      <c r="L278" s="7">
        <f>IF('Extra 2'!$A278="","",'Extra 2'!T278)</f>
        <v/>
      </c>
      <c r="M278">
        <f>IF('Extra 2'!$A278="","",'Extra 2'!G278)</f>
        <v/>
      </c>
    </row>
    <row r="279">
      <c r="A279">
        <f>IF('Extra 2'!$A279="","",ROWS($A$2:$A279))</f>
        <v/>
      </c>
      <c r="B279">
        <f>IF('Extra 2'!$A279="","",'Extra 2'!E279)</f>
        <v/>
      </c>
      <c r="C279">
        <f>IF('Extra 2'!$A279="","",'Extra 2'!F279)</f>
        <v/>
      </c>
      <c r="D279" s="14">
        <f>IF('Extra 2'!$A279="","",'Extra 2'!I279)</f>
        <v/>
      </c>
      <c r="E279" s="7">
        <f>IF('Extra 2'!$A279="","",'Extra 2'!O279)</f>
        <v/>
      </c>
      <c r="F279" s="7">
        <f>IF('Extra 2'!$A279="","",'Extra 2'!L279)</f>
        <v/>
      </c>
      <c r="G279" s="7">
        <f>IF('Extra 2'!$A279="","",'Extra 2'!S279)</f>
        <v/>
      </c>
      <c r="H279">
        <f>IF('Extra 2'!$A279="","",'Extra 2'!P279)</f>
        <v/>
      </c>
      <c r="I279">
        <f>IF('Extra 2'!$A279="","",'Extra 2'!M279)</f>
        <v/>
      </c>
      <c r="J279" s="7">
        <f>IF('Extra 2'!$A279="","",'Extra 2'!Q279)</f>
        <v/>
      </c>
      <c r="K279" s="7">
        <f>IF('Extra 2'!$A279="","",'Extra 2'!H279)</f>
        <v/>
      </c>
      <c r="L279" s="7">
        <f>IF('Extra 2'!$A279="","",'Extra 2'!T279)</f>
        <v/>
      </c>
      <c r="M279">
        <f>IF('Extra 2'!$A279="","",'Extra 2'!G279)</f>
        <v/>
      </c>
    </row>
    <row r="280">
      <c r="A280">
        <f>IF('Extra 2'!$A280="","",ROWS($A$2:$A280))</f>
        <v/>
      </c>
      <c r="B280">
        <f>IF('Extra 2'!$A280="","",'Extra 2'!E280)</f>
        <v/>
      </c>
      <c r="C280">
        <f>IF('Extra 2'!$A280="","",'Extra 2'!F280)</f>
        <v/>
      </c>
      <c r="D280" s="14">
        <f>IF('Extra 2'!$A280="","",'Extra 2'!I280)</f>
        <v/>
      </c>
      <c r="E280" s="7">
        <f>IF('Extra 2'!$A280="","",'Extra 2'!O280)</f>
        <v/>
      </c>
      <c r="F280" s="7">
        <f>IF('Extra 2'!$A280="","",'Extra 2'!L280)</f>
        <v/>
      </c>
      <c r="G280" s="7">
        <f>IF('Extra 2'!$A280="","",'Extra 2'!S280)</f>
        <v/>
      </c>
      <c r="H280">
        <f>IF('Extra 2'!$A280="","",'Extra 2'!P280)</f>
        <v/>
      </c>
      <c r="I280">
        <f>IF('Extra 2'!$A280="","",'Extra 2'!M280)</f>
        <v/>
      </c>
      <c r="J280" s="7">
        <f>IF('Extra 2'!$A280="","",'Extra 2'!Q280)</f>
        <v/>
      </c>
      <c r="K280" s="7">
        <f>IF('Extra 2'!$A280="","",'Extra 2'!H280)</f>
        <v/>
      </c>
      <c r="L280" s="7">
        <f>IF('Extra 2'!$A280="","",'Extra 2'!T280)</f>
        <v/>
      </c>
      <c r="M280">
        <f>IF('Extra 2'!$A280="","",'Extra 2'!G280)</f>
        <v/>
      </c>
    </row>
    <row r="281">
      <c r="A281">
        <f>IF('Extra 2'!$A281="","",ROWS($A$2:$A281))</f>
        <v/>
      </c>
      <c r="B281">
        <f>IF('Extra 2'!$A281="","",'Extra 2'!E281)</f>
        <v/>
      </c>
      <c r="C281">
        <f>IF('Extra 2'!$A281="","",'Extra 2'!F281)</f>
        <v/>
      </c>
      <c r="D281" s="14">
        <f>IF('Extra 2'!$A281="","",'Extra 2'!I281)</f>
        <v/>
      </c>
      <c r="E281" s="7">
        <f>IF('Extra 2'!$A281="","",'Extra 2'!O281)</f>
        <v/>
      </c>
      <c r="F281" s="7">
        <f>IF('Extra 2'!$A281="","",'Extra 2'!L281)</f>
        <v/>
      </c>
      <c r="G281" s="7">
        <f>IF('Extra 2'!$A281="","",'Extra 2'!S281)</f>
        <v/>
      </c>
      <c r="H281">
        <f>IF('Extra 2'!$A281="","",'Extra 2'!P281)</f>
        <v/>
      </c>
      <c r="I281">
        <f>IF('Extra 2'!$A281="","",'Extra 2'!M281)</f>
        <v/>
      </c>
      <c r="J281" s="7">
        <f>IF('Extra 2'!$A281="","",'Extra 2'!Q281)</f>
        <v/>
      </c>
      <c r="K281" s="7">
        <f>IF('Extra 2'!$A281="","",'Extra 2'!H281)</f>
        <v/>
      </c>
      <c r="L281" s="7">
        <f>IF('Extra 2'!$A281="","",'Extra 2'!T281)</f>
        <v/>
      </c>
      <c r="M281">
        <f>IF('Extra 2'!$A281="","",'Extra 2'!G281)</f>
        <v/>
      </c>
    </row>
    <row r="282">
      <c r="A282">
        <f>IF('Extra 2'!$A282="","",ROWS($A$2:$A282))</f>
        <v/>
      </c>
      <c r="B282">
        <f>IF('Extra 2'!$A282="","",'Extra 2'!E282)</f>
        <v/>
      </c>
      <c r="C282">
        <f>IF('Extra 2'!$A282="","",'Extra 2'!F282)</f>
        <v/>
      </c>
      <c r="D282" s="14">
        <f>IF('Extra 2'!$A282="","",'Extra 2'!I282)</f>
        <v/>
      </c>
      <c r="E282" s="7">
        <f>IF('Extra 2'!$A282="","",'Extra 2'!O282)</f>
        <v/>
      </c>
      <c r="F282" s="7">
        <f>IF('Extra 2'!$A282="","",'Extra 2'!L282)</f>
        <v/>
      </c>
      <c r="G282" s="7">
        <f>IF('Extra 2'!$A282="","",'Extra 2'!S282)</f>
        <v/>
      </c>
      <c r="H282">
        <f>IF('Extra 2'!$A282="","",'Extra 2'!P282)</f>
        <v/>
      </c>
      <c r="I282">
        <f>IF('Extra 2'!$A282="","",'Extra 2'!M282)</f>
        <v/>
      </c>
      <c r="J282" s="7">
        <f>IF('Extra 2'!$A282="","",'Extra 2'!Q282)</f>
        <v/>
      </c>
      <c r="K282" s="7">
        <f>IF('Extra 2'!$A282="","",'Extra 2'!H282)</f>
        <v/>
      </c>
      <c r="L282" s="7">
        <f>IF('Extra 2'!$A282="","",'Extra 2'!T282)</f>
        <v/>
      </c>
      <c r="M282">
        <f>IF('Extra 2'!$A282="","",'Extra 2'!G282)</f>
        <v/>
      </c>
    </row>
    <row r="283">
      <c r="A283">
        <f>IF('Extra 2'!$A283="","",ROWS($A$2:$A283))</f>
        <v/>
      </c>
      <c r="B283">
        <f>IF('Extra 2'!$A283="","",'Extra 2'!E283)</f>
        <v/>
      </c>
      <c r="C283">
        <f>IF('Extra 2'!$A283="","",'Extra 2'!F283)</f>
        <v/>
      </c>
      <c r="D283" s="14">
        <f>IF('Extra 2'!$A283="","",'Extra 2'!I283)</f>
        <v/>
      </c>
      <c r="E283" s="7">
        <f>IF('Extra 2'!$A283="","",'Extra 2'!O283)</f>
        <v/>
      </c>
      <c r="F283" s="7">
        <f>IF('Extra 2'!$A283="","",'Extra 2'!L283)</f>
        <v/>
      </c>
      <c r="G283" s="7">
        <f>IF('Extra 2'!$A283="","",'Extra 2'!S283)</f>
        <v/>
      </c>
      <c r="H283">
        <f>IF('Extra 2'!$A283="","",'Extra 2'!P283)</f>
        <v/>
      </c>
      <c r="I283">
        <f>IF('Extra 2'!$A283="","",'Extra 2'!M283)</f>
        <v/>
      </c>
      <c r="J283" s="7">
        <f>IF('Extra 2'!$A283="","",'Extra 2'!Q283)</f>
        <v/>
      </c>
      <c r="K283" s="7">
        <f>IF('Extra 2'!$A283="","",'Extra 2'!H283)</f>
        <v/>
      </c>
      <c r="L283" s="7">
        <f>IF('Extra 2'!$A283="","",'Extra 2'!T283)</f>
        <v/>
      </c>
      <c r="M283">
        <f>IF('Extra 2'!$A283="","",'Extra 2'!G283)</f>
        <v/>
      </c>
    </row>
    <row r="284">
      <c r="A284">
        <f>IF('Extra 2'!$A284="","",ROWS($A$2:$A284))</f>
        <v/>
      </c>
      <c r="B284">
        <f>IF('Extra 2'!$A284="","",'Extra 2'!E284)</f>
        <v/>
      </c>
      <c r="C284">
        <f>IF('Extra 2'!$A284="","",'Extra 2'!F284)</f>
        <v/>
      </c>
      <c r="D284" s="14">
        <f>IF('Extra 2'!$A284="","",'Extra 2'!I284)</f>
        <v/>
      </c>
      <c r="E284" s="7">
        <f>IF('Extra 2'!$A284="","",'Extra 2'!O284)</f>
        <v/>
      </c>
      <c r="F284" s="7">
        <f>IF('Extra 2'!$A284="","",'Extra 2'!L284)</f>
        <v/>
      </c>
      <c r="G284" s="7">
        <f>IF('Extra 2'!$A284="","",'Extra 2'!S284)</f>
        <v/>
      </c>
      <c r="H284">
        <f>IF('Extra 2'!$A284="","",'Extra 2'!P284)</f>
        <v/>
      </c>
      <c r="I284">
        <f>IF('Extra 2'!$A284="","",'Extra 2'!M284)</f>
        <v/>
      </c>
      <c r="J284" s="7">
        <f>IF('Extra 2'!$A284="","",'Extra 2'!Q284)</f>
        <v/>
      </c>
      <c r="K284" s="7">
        <f>IF('Extra 2'!$A284="","",'Extra 2'!H284)</f>
        <v/>
      </c>
      <c r="L284" s="7">
        <f>IF('Extra 2'!$A284="","",'Extra 2'!T284)</f>
        <v/>
      </c>
      <c r="M284">
        <f>IF('Extra 2'!$A284="","",'Extra 2'!G284)</f>
        <v/>
      </c>
    </row>
    <row r="285">
      <c r="A285">
        <f>IF('Extra 2'!$A285="","",ROWS($A$2:$A285))</f>
        <v/>
      </c>
      <c r="B285">
        <f>IF('Extra 2'!$A285="","",'Extra 2'!E285)</f>
        <v/>
      </c>
      <c r="C285">
        <f>IF('Extra 2'!$A285="","",'Extra 2'!F285)</f>
        <v/>
      </c>
      <c r="D285" s="14">
        <f>IF('Extra 2'!$A285="","",'Extra 2'!I285)</f>
        <v/>
      </c>
      <c r="E285" s="7">
        <f>IF('Extra 2'!$A285="","",'Extra 2'!O285)</f>
        <v/>
      </c>
      <c r="F285" s="7">
        <f>IF('Extra 2'!$A285="","",'Extra 2'!L285)</f>
        <v/>
      </c>
      <c r="G285" s="7">
        <f>IF('Extra 2'!$A285="","",'Extra 2'!S285)</f>
        <v/>
      </c>
      <c r="H285">
        <f>IF('Extra 2'!$A285="","",'Extra 2'!P285)</f>
        <v/>
      </c>
      <c r="I285">
        <f>IF('Extra 2'!$A285="","",'Extra 2'!M285)</f>
        <v/>
      </c>
      <c r="J285" s="7">
        <f>IF('Extra 2'!$A285="","",'Extra 2'!Q285)</f>
        <v/>
      </c>
      <c r="K285" s="7">
        <f>IF('Extra 2'!$A285="","",'Extra 2'!H285)</f>
        <v/>
      </c>
      <c r="L285" s="7">
        <f>IF('Extra 2'!$A285="","",'Extra 2'!T285)</f>
        <v/>
      </c>
      <c r="M285">
        <f>IF('Extra 2'!$A285="","",'Extra 2'!G285)</f>
        <v/>
      </c>
    </row>
    <row r="286">
      <c r="A286">
        <f>IF('Extra 2'!$A286="","",ROWS($A$2:$A286))</f>
        <v/>
      </c>
      <c r="B286">
        <f>IF('Extra 2'!$A286="","",'Extra 2'!E286)</f>
        <v/>
      </c>
      <c r="C286">
        <f>IF('Extra 2'!$A286="","",'Extra 2'!F286)</f>
        <v/>
      </c>
      <c r="D286" s="14">
        <f>IF('Extra 2'!$A286="","",'Extra 2'!I286)</f>
        <v/>
      </c>
      <c r="E286" s="7">
        <f>IF('Extra 2'!$A286="","",'Extra 2'!O286)</f>
        <v/>
      </c>
      <c r="F286" s="7">
        <f>IF('Extra 2'!$A286="","",'Extra 2'!L286)</f>
        <v/>
      </c>
      <c r="G286" s="7">
        <f>IF('Extra 2'!$A286="","",'Extra 2'!S286)</f>
        <v/>
      </c>
      <c r="H286">
        <f>IF('Extra 2'!$A286="","",'Extra 2'!P286)</f>
        <v/>
      </c>
      <c r="I286">
        <f>IF('Extra 2'!$A286="","",'Extra 2'!M286)</f>
        <v/>
      </c>
      <c r="J286" s="7">
        <f>IF('Extra 2'!$A286="","",'Extra 2'!Q286)</f>
        <v/>
      </c>
      <c r="K286" s="7">
        <f>IF('Extra 2'!$A286="","",'Extra 2'!H286)</f>
        <v/>
      </c>
      <c r="L286" s="7">
        <f>IF('Extra 2'!$A286="","",'Extra 2'!T286)</f>
        <v/>
      </c>
      <c r="M286">
        <f>IF('Extra 2'!$A286="","",'Extra 2'!G286)</f>
        <v/>
      </c>
    </row>
    <row r="287">
      <c r="A287">
        <f>IF('Extra 2'!$A287="","",ROWS($A$2:$A287))</f>
        <v/>
      </c>
      <c r="B287">
        <f>IF('Extra 2'!$A287="","",'Extra 2'!E287)</f>
        <v/>
      </c>
      <c r="C287">
        <f>IF('Extra 2'!$A287="","",'Extra 2'!F287)</f>
        <v/>
      </c>
      <c r="D287" s="14">
        <f>IF('Extra 2'!$A287="","",'Extra 2'!I287)</f>
        <v/>
      </c>
      <c r="E287" s="7">
        <f>IF('Extra 2'!$A287="","",'Extra 2'!O287)</f>
        <v/>
      </c>
      <c r="F287" s="7">
        <f>IF('Extra 2'!$A287="","",'Extra 2'!L287)</f>
        <v/>
      </c>
      <c r="G287" s="7">
        <f>IF('Extra 2'!$A287="","",'Extra 2'!S287)</f>
        <v/>
      </c>
      <c r="H287">
        <f>IF('Extra 2'!$A287="","",'Extra 2'!P287)</f>
        <v/>
      </c>
      <c r="I287">
        <f>IF('Extra 2'!$A287="","",'Extra 2'!M287)</f>
        <v/>
      </c>
      <c r="J287" s="7">
        <f>IF('Extra 2'!$A287="","",'Extra 2'!Q287)</f>
        <v/>
      </c>
      <c r="K287" s="7">
        <f>IF('Extra 2'!$A287="","",'Extra 2'!H287)</f>
        <v/>
      </c>
      <c r="L287" s="7">
        <f>IF('Extra 2'!$A287="","",'Extra 2'!T287)</f>
        <v/>
      </c>
      <c r="M287">
        <f>IF('Extra 2'!$A287="","",'Extra 2'!G287)</f>
        <v/>
      </c>
    </row>
    <row r="288">
      <c r="A288">
        <f>IF('Extra 2'!$A288="","",ROWS($A$2:$A288))</f>
        <v/>
      </c>
      <c r="B288">
        <f>IF('Extra 2'!$A288="","",'Extra 2'!E288)</f>
        <v/>
      </c>
      <c r="C288">
        <f>IF('Extra 2'!$A288="","",'Extra 2'!F288)</f>
        <v/>
      </c>
      <c r="D288" s="14">
        <f>IF('Extra 2'!$A288="","",'Extra 2'!I288)</f>
        <v/>
      </c>
      <c r="E288" s="7">
        <f>IF('Extra 2'!$A288="","",'Extra 2'!O288)</f>
        <v/>
      </c>
      <c r="F288" s="7">
        <f>IF('Extra 2'!$A288="","",'Extra 2'!L288)</f>
        <v/>
      </c>
      <c r="G288" s="7">
        <f>IF('Extra 2'!$A288="","",'Extra 2'!S288)</f>
        <v/>
      </c>
      <c r="H288">
        <f>IF('Extra 2'!$A288="","",'Extra 2'!P288)</f>
        <v/>
      </c>
      <c r="I288">
        <f>IF('Extra 2'!$A288="","",'Extra 2'!M288)</f>
        <v/>
      </c>
      <c r="J288" s="7">
        <f>IF('Extra 2'!$A288="","",'Extra 2'!Q288)</f>
        <v/>
      </c>
      <c r="K288" s="7">
        <f>IF('Extra 2'!$A288="","",'Extra 2'!H288)</f>
        <v/>
      </c>
      <c r="L288" s="7">
        <f>IF('Extra 2'!$A288="","",'Extra 2'!T288)</f>
        <v/>
      </c>
      <c r="M288">
        <f>IF('Extra 2'!$A288="","",'Extra 2'!G288)</f>
        <v/>
      </c>
    </row>
    <row r="289">
      <c r="A289">
        <f>IF('Extra 2'!$A289="","",ROWS($A$2:$A289))</f>
        <v/>
      </c>
      <c r="B289">
        <f>IF('Extra 2'!$A289="","",'Extra 2'!E289)</f>
        <v/>
      </c>
      <c r="C289">
        <f>IF('Extra 2'!$A289="","",'Extra 2'!F289)</f>
        <v/>
      </c>
      <c r="D289" s="14">
        <f>IF('Extra 2'!$A289="","",'Extra 2'!I289)</f>
        <v/>
      </c>
      <c r="E289" s="7">
        <f>IF('Extra 2'!$A289="","",'Extra 2'!O289)</f>
        <v/>
      </c>
      <c r="F289" s="7">
        <f>IF('Extra 2'!$A289="","",'Extra 2'!L289)</f>
        <v/>
      </c>
      <c r="G289" s="7">
        <f>IF('Extra 2'!$A289="","",'Extra 2'!S289)</f>
        <v/>
      </c>
      <c r="H289">
        <f>IF('Extra 2'!$A289="","",'Extra 2'!P289)</f>
        <v/>
      </c>
      <c r="I289">
        <f>IF('Extra 2'!$A289="","",'Extra 2'!M289)</f>
        <v/>
      </c>
      <c r="J289" s="7">
        <f>IF('Extra 2'!$A289="","",'Extra 2'!Q289)</f>
        <v/>
      </c>
      <c r="K289" s="7">
        <f>IF('Extra 2'!$A289="","",'Extra 2'!H289)</f>
        <v/>
      </c>
      <c r="L289" s="7">
        <f>IF('Extra 2'!$A289="","",'Extra 2'!T289)</f>
        <v/>
      </c>
      <c r="M289">
        <f>IF('Extra 2'!$A289="","",'Extra 2'!G289)</f>
        <v/>
      </c>
    </row>
    <row r="290">
      <c r="A290">
        <f>IF('Extra 2'!$A290="","",ROWS($A$2:$A290))</f>
        <v/>
      </c>
      <c r="B290">
        <f>IF('Extra 2'!$A290="","",'Extra 2'!E290)</f>
        <v/>
      </c>
      <c r="C290">
        <f>IF('Extra 2'!$A290="","",'Extra 2'!F290)</f>
        <v/>
      </c>
      <c r="D290" s="14">
        <f>IF('Extra 2'!$A290="","",'Extra 2'!I290)</f>
        <v/>
      </c>
      <c r="E290" s="7">
        <f>IF('Extra 2'!$A290="","",'Extra 2'!O290)</f>
        <v/>
      </c>
      <c r="F290" s="7">
        <f>IF('Extra 2'!$A290="","",'Extra 2'!L290)</f>
        <v/>
      </c>
      <c r="G290" s="7">
        <f>IF('Extra 2'!$A290="","",'Extra 2'!S290)</f>
        <v/>
      </c>
      <c r="H290">
        <f>IF('Extra 2'!$A290="","",'Extra 2'!P290)</f>
        <v/>
      </c>
      <c r="I290">
        <f>IF('Extra 2'!$A290="","",'Extra 2'!M290)</f>
        <v/>
      </c>
      <c r="J290" s="7">
        <f>IF('Extra 2'!$A290="","",'Extra 2'!Q290)</f>
        <v/>
      </c>
      <c r="K290" s="7">
        <f>IF('Extra 2'!$A290="","",'Extra 2'!H290)</f>
        <v/>
      </c>
      <c r="L290" s="7">
        <f>IF('Extra 2'!$A290="","",'Extra 2'!T290)</f>
        <v/>
      </c>
      <c r="M290">
        <f>IF('Extra 2'!$A290="","",'Extra 2'!G290)</f>
        <v/>
      </c>
    </row>
    <row r="291">
      <c r="A291">
        <f>IF('Extra 2'!$A291="","",ROWS($A$2:$A291))</f>
        <v/>
      </c>
      <c r="B291">
        <f>IF('Extra 2'!$A291="","",'Extra 2'!E291)</f>
        <v/>
      </c>
      <c r="C291">
        <f>IF('Extra 2'!$A291="","",'Extra 2'!F291)</f>
        <v/>
      </c>
      <c r="D291" s="14">
        <f>IF('Extra 2'!$A291="","",'Extra 2'!I291)</f>
        <v/>
      </c>
      <c r="E291" s="7">
        <f>IF('Extra 2'!$A291="","",'Extra 2'!O291)</f>
        <v/>
      </c>
      <c r="F291" s="7">
        <f>IF('Extra 2'!$A291="","",'Extra 2'!L291)</f>
        <v/>
      </c>
      <c r="G291" s="7">
        <f>IF('Extra 2'!$A291="","",'Extra 2'!S291)</f>
        <v/>
      </c>
      <c r="H291">
        <f>IF('Extra 2'!$A291="","",'Extra 2'!P291)</f>
        <v/>
      </c>
      <c r="I291">
        <f>IF('Extra 2'!$A291="","",'Extra 2'!M291)</f>
        <v/>
      </c>
      <c r="J291" s="7">
        <f>IF('Extra 2'!$A291="","",'Extra 2'!Q291)</f>
        <v/>
      </c>
      <c r="K291" s="7">
        <f>IF('Extra 2'!$A291="","",'Extra 2'!H291)</f>
        <v/>
      </c>
      <c r="L291" s="7">
        <f>IF('Extra 2'!$A291="","",'Extra 2'!T291)</f>
        <v/>
      </c>
      <c r="M291">
        <f>IF('Extra 2'!$A291="","",'Extra 2'!G291)</f>
        <v/>
      </c>
    </row>
    <row r="292">
      <c r="A292">
        <f>IF('Extra 2'!$A292="","",ROWS($A$2:$A292))</f>
        <v/>
      </c>
      <c r="B292">
        <f>IF('Extra 2'!$A292="","",'Extra 2'!E292)</f>
        <v/>
      </c>
      <c r="C292">
        <f>IF('Extra 2'!$A292="","",'Extra 2'!F292)</f>
        <v/>
      </c>
      <c r="D292" s="14">
        <f>IF('Extra 2'!$A292="","",'Extra 2'!I292)</f>
        <v/>
      </c>
      <c r="E292" s="7">
        <f>IF('Extra 2'!$A292="","",'Extra 2'!O292)</f>
        <v/>
      </c>
      <c r="F292" s="7">
        <f>IF('Extra 2'!$A292="","",'Extra 2'!L292)</f>
        <v/>
      </c>
      <c r="G292" s="7">
        <f>IF('Extra 2'!$A292="","",'Extra 2'!S292)</f>
        <v/>
      </c>
      <c r="H292">
        <f>IF('Extra 2'!$A292="","",'Extra 2'!P292)</f>
        <v/>
      </c>
      <c r="I292">
        <f>IF('Extra 2'!$A292="","",'Extra 2'!M292)</f>
        <v/>
      </c>
      <c r="J292" s="7">
        <f>IF('Extra 2'!$A292="","",'Extra 2'!Q292)</f>
        <v/>
      </c>
      <c r="K292" s="7">
        <f>IF('Extra 2'!$A292="","",'Extra 2'!H292)</f>
        <v/>
      </c>
      <c r="L292" s="7">
        <f>IF('Extra 2'!$A292="","",'Extra 2'!T292)</f>
        <v/>
      </c>
      <c r="M292">
        <f>IF('Extra 2'!$A292="","",'Extra 2'!G292)</f>
        <v/>
      </c>
    </row>
    <row r="293">
      <c r="A293">
        <f>IF('Extra 2'!$A293="","",ROWS($A$2:$A293))</f>
        <v/>
      </c>
      <c r="B293">
        <f>IF('Extra 2'!$A293="","",'Extra 2'!E293)</f>
        <v/>
      </c>
      <c r="C293">
        <f>IF('Extra 2'!$A293="","",'Extra 2'!F293)</f>
        <v/>
      </c>
      <c r="D293" s="14">
        <f>IF('Extra 2'!$A293="","",'Extra 2'!I293)</f>
        <v/>
      </c>
      <c r="E293" s="7">
        <f>IF('Extra 2'!$A293="","",'Extra 2'!O293)</f>
        <v/>
      </c>
      <c r="F293" s="7">
        <f>IF('Extra 2'!$A293="","",'Extra 2'!L293)</f>
        <v/>
      </c>
      <c r="G293" s="7">
        <f>IF('Extra 2'!$A293="","",'Extra 2'!S293)</f>
        <v/>
      </c>
      <c r="H293">
        <f>IF('Extra 2'!$A293="","",'Extra 2'!P293)</f>
        <v/>
      </c>
      <c r="I293">
        <f>IF('Extra 2'!$A293="","",'Extra 2'!M293)</f>
        <v/>
      </c>
      <c r="J293" s="7">
        <f>IF('Extra 2'!$A293="","",'Extra 2'!Q293)</f>
        <v/>
      </c>
      <c r="K293" s="7">
        <f>IF('Extra 2'!$A293="","",'Extra 2'!H293)</f>
        <v/>
      </c>
      <c r="L293" s="7">
        <f>IF('Extra 2'!$A293="","",'Extra 2'!T293)</f>
        <v/>
      </c>
      <c r="M293">
        <f>IF('Extra 2'!$A293="","",'Extra 2'!G293)</f>
        <v/>
      </c>
    </row>
    <row r="294">
      <c r="A294">
        <f>IF('Extra 2'!$A294="","",ROWS($A$2:$A294))</f>
        <v/>
      </c>
      <c r="B294">
        <f>IF('Extra 2'!$A294="","",'Extra 2'!E294)</f>
        <v/>
      </c>
      <c r="C294">
        <f>IF('Extra 2'!$A294="","",'Extra 2'!F294)</f>
        <v/>
      </c>
      <c r="D294" s="14">
        <f>IF('Extra 2'!$A294="","",'Extra 2'!I294)</f>
        <v/>
      </c>
      <c r="E294" s="7">
        <f>IF('Extra 2'!$A294="","",'Extra 2'!O294)</f>
        <v/>
      </c>
      <c r="F294" s="7">
        <f>IF('Extra 2'!$A294="","",'Extra 2'!L294)</f>
        <v/>
      </c>
      <c r="G294" s="7">
        <f>IF('Extra 2'!$A294="","",'Extra 2'!S294)</f>
        <v/>
      </c>
      <c r="H294">
        <f>IF('Extra 2'!$A294="","",'Extra 2'!P294)</f>
        <v/>
      </c>
      <c r="I294">
        <f>IF('Extra 2'!$A294="","",'Extra 2'!M294)</f>
        <v/>
      </c>
      <c r="J294" s="7">
        <f>IF('Extra 2'!$A294="","",'Extra 2'!Q294)</f>
        <v/>
      </c>
      <c r="K294" s="7">
        <f>IF('Extra 2'!$A294="","",'Extra 2'!H294)</f>
        <v/>
      </c>
      <c r="L294" s="7">
        <f>IF('Extra 2'!$A294="","",'Extra 2'!T294)</f>
        <v/>
      </c>
      <c r="M294">
        <f>IF('Extra 2'!$A294="","",'Extra 2'!G294)</f>
        <v/>
      </c>
    </row>
    <row r="295">
      <c r="A295">
        <f>IF('Extra 2'!$A295="","",ROWS($A$2:$A295))</f>
        <v/>
      </c>
      <c r="B295">
        <f>IF('Extra 2'!$A295="","",'Extra 2'!E295)</f>
        <v/>
      </c>
      <c r="C295">
        <f>IF('Extra 2'!$A295="","",'Extra 2'!F295)</f>
        <v/>
      </c>
      <c r="D295" s="14">
        <f>IF('Extra 2'!$A295="","",'Extra 2'!I295)</f>
        <v/>
      </c>
      <c r="E295" s="7">
        <f>IF('Extra 2'!$A295="","",'Extra 2'!O295)</f>
        <v/>
      </c>
      <c r="F295" s="7">
        <f>IF('Extra 2'!$A295="","",'Extra 2'!L295)</f>
        <v/>
      </c>
      <c r="G295" s="7">
        <f>IF('Extra 2'!$A295="","",'Extra 2'!S295)</f>
        <v/>
      </c>
      <c r="H295">
        <f>IF('Extra 2'!$A295="","",'Extra 2'!P295)</f>
        <v/>
      </c>
      <c r="I295">
        <f>IF('Extra 2'!$A295="","",'Extra 2'!M295)</f>
        <v/>
      </c>
      <c r="J295" s="7">
        <f>IF('Extra 2'!$A295="","",'Extra 2'!Q295)</f>
        <v/>
      </c>
      <c r="K295" s="7">
        <f>IF('Extra 2'!$A295="","",'Extra 2'!H295)</f>
        <v/>
      </c>
      <c r="L295" s="7">
        <f>IF('Extra 2'!$A295="","",'Extra 2'!T295)</f>
        <v/>
      </c>
      <c r="M295">
        <f>IF('Extra 2'!$A295="","",'Extra 2'!G295)</f>
        <v/>
      </c>
    </row>
    <row r="296">
      <c r="A296">
        <f>IF('Extra 2'!$A296="","",ROWS($A$2:$A296))</f>
        <v/>
      </c>
      <c r="B296">
        <f>IF('Extra 2'!$A296="","",'Extra 2'!E296)</f>
        <v/>
      </c>
      <c r="C296">
        <f>IF('Extra 2'!$A296="","",'Extra 2'!F296)</f>
        <v/>
      </c>
      <c r="D296" s="14">
        <f>IF('Extra 2'!$A296="","",'Extra 2'!I296)</f>
        <v/>
      </c>
      <c r="E296" s="7">
        <f>IF('Extra 2'!$A296="","",'Extra 2'!O296)</f>
        <v/>
      </c>
      <c r="F296" s="7">
        <f>IF('Extra 2'!$A296="","",'Extra 2'!L296)</f>
        <v/>
      </c>
      <c r="G296" s="7">
        <f>IF('Extra 2'!$A296="","",'Extra 2'!S296)</f>
        <v/>
      </c>
      <c r="H296">
        <f>IF('Extra 2'!$A296="","",'Extra 2'!P296)</f>
        <v/>
      </c>
      <c r="I296">
        <f>IF('Extra 2'!$A296="","",'Extra 2'!M296)</f>
        <v/>
      </c>
      <c r="J296" s="7">
        <f>IF('Extra 2'!$A296="","",'Extra 2'!Q296)</f>
        <v/>
      </c>
      <c r="K296" s="7">
        <f>IF('Extra 2'!$A296="","",'Extra 2'!H296)</f>
        <v/>
      </c>
      <c r="L296" s="7">
        <f>IF('Extra 2'!$A296="","",'Extra 2'!T296)</f>
        <v/>
      </c>
      <c r="M296">
        <f>IF('Extra 2'!$A296="","",'Extra 2'!G296)</f>
        <v/>
      </c>
    </row>
    <row r="297">
      <c r="A297">
        <f>IF('Extra 2'!$A297="","",ROWS($A$2:$A297))</f>
        <v/>
      </c>
      <c r="B297">
        <f>IF('Extra 2'!$A297="","",'Extra 2'!E297)</f>
        <v/>
      </c>
      <c r="C297">
        <f>IF('Extra 2'!$A297="","",'Extra 2'!F297)</f>
        <v/>
      </c>
      <c r="D297" s="14">
        <f>IF('Extra 2'!$A297="","",'Extra 2'!I297)</f>
        <v/>
      </c>
      <c r="E297" s="7">
        <f>IF('Extra 2'!$A297="","",'Extra 2'!O297)</f>
        <v/>
      </c>
      <c r="F297" s="7">
        <f>IF('Extra 2'!$A297="","",'Extra 2'!L297)</f>
        <v/>
      </c>
      <c r="G297" s="7">
        <f>IF('Extra 2'!$A297="","",'Extra 2'!S297)</f>
        <v/>
      </c>
      <c r="H297">
        <f>IF('Extra 2'!$A297="","",'Extra 2'!P297)</f>
        <v/>
      </c>
      <c r="I297">
        <f>IF('Extra 2'!$A297="","",'Extra 2'!M297)</f>
        <v/>
      </c>
      <c r="J297" s="7">
        <f>IF('Extra 2'!$A297="","",'Extra 2'!Q297)</f>
        <v/>
      </c>
      <c r="K297" s="7">
        <f>IF('Extra 2'!$A297="","",'Extra 2'!H297)</f>
        <v/>
      </c>
      <c r="L297" s="7">
        <f>IF('Extra 2'!$A297="","",'Extra 2'!T297)</f>
        <v/>
      </c>
      <c r="M297">
        <f>IF('Extra 2'!$A297="","",'Extra 2'!G297)</f>
        <v/>
      </c>
    </row>
    <row r="298">
      <c r="A298">
        <f>IF('Extra 2'!$A298="","",ROWS($A$2:$A298))</f>
        <v/>
      </c>
      <c r="B298">
        <f>IF('Extra 2'!$A298="","",'Extra 2'!E298)</f>
        <v/>
      </c>
      <c r="C298">
        <f>IF('Extra 2'!$A298="","",'Extra 2'!F298)</f>
        <v/>
      </c>
      <c r="D298" s="14">
        <f>IF('Extra 2'!$A298="","",'Extra 2'!I298)</f>
        <v/>
      </c>
      <c r="E298" s="7">
        <f>IF('Extra 2'!$A298="","",'Extra 2'!O298)</f>
        <v/>
      </c>
      <c r="F298" s="7">
        <f>IF('Extra 2'!$A298="","",'Extra 2'!L298)</f>
        <v/>
      </c>
      <c r="G298" s="7">
        <f>IF('Extra 2'!$A298="","",'Extra 2'!S298)</f>
        <v/>
      </c>
      <c r="H298">
        <f>IF('Extra 2'!$A298="","",'Extra 2'!P298)</f>
        <v/>
      </c>
      <c r="I298">
        <f>IF('Extra 2'!$A298="","",'Extra 2'!M298)</f>
        <v/>
      </c>
      <c r="J298" s="7">
        <f>IF('Extra 2'!$A298="","",'Extra 2'!Q298)</f>
        <v/>
      </c>
      <c r="K298" s="7">
        <f>IF('Extra 2'!$A298="","",'Extra 2'!H298)</f>
        <v/>
      </c>
      <c r="L298" s="7">
        <f>IF('Extra 2'!$A298="","",'Extra 2'!T298)</f>
        <v/>
      </c>
      <c r="M298">
        <f>IF('Extra 2'!$A298="","",'Extra 2'!G298)</f>
        <v/>
      </c>
    </row>
    <row r="299">
      <c r="A299">
        <f>IF('Extra 2'!$A299="","",ROWS($A$2:$A299))</f>
        <v/>
      </c>
      <c r="B299">
        <f>IF('Extra 2'!$A299="","",'Extra 2'!E299)</f>
        <v/>
      </c>
      <c r="C299">
        <f>IF('Extra 2'!$A299="","",'Extra 2'!F299)</f>
        <v/>
      </c>
      <c r="D299" s="14">
        <f>IF('Extra 2'!$A299="","",'Extra 2'!I299)</f>
        <v/>
      </c>
      <c r="E299" s="7">
        <f>IF('Extra 2'!$A299="","",'Extra 2'!O299)</f>
        <v/>
      </c>
      <c r="F299" s="7">
        <f>IF('Extra 2'!$A299="","",'Extra 2'!L299)</f>
        <v/>
      </c>
      <c r="G299" s="7">
        <f>IF('Extra 2'!$A299="","",'Extra 2'!S299)</f>
        <v/>
      </c>
      <c r="H299">
        <f>IF('Extra 2'!$A299="","",'Extra 2'!P299)</f>
        <v/>
      </c>
      <c r="I299">
        <f>IF('Extra 2'!$A299="","",'Extra 2'!M299)</f>
        <v/>
      </c>
      <c r="J299" s="7">
        <f>IF('Extra 2'!$A299="","",'Extra 2'!Q299)</f>
        <v/>
      </c>
      <c r="K299" s="7">
        <f>IF('Extra 2'!$A299="","",'Extra 2'!H299)</f>
        <v/>
      </c>
      <c r="L299" s="7">
        <f>IF('Extra 2'!$A299="","",'Extra 2'!T299)</f>
        <v/>
      </c>
      <c r="M299">
        <f>IF('Extra 2'!$A299="","",'Extra 2'!G299)</f>
        <v/>
      </c>
    </row>
    <row r="300">
      <c r="A300">
        <f>IF('Extra 2'!$A300="","",ROWS($A$2:$A300))</f>
        <v/>
      </c>
      <c r="B300">
        <f>IF('Extra 2'!$A300="","",'Extra 2'!E300)</f>
        <v/>
      </c>
      <c r="C300">
        <f>IF('Extra 2'!$A300="","",'Extra 2'!F300)</f>
        <v/>
      </c>
      <c r="D300" s="14">
        <f>IF('Extra 2'!$A300="","",'Extra 2'!I300)</f>
        <v/>
      </c>
      <c r="E300" s="7">
        <f>IF('Extra 2'!$A300="","",'Extra 2'!O300)</f>
        <v/>
      </c>
      <c r="F300" s="7">
        <f>IF('Extra 2'!$A300="","",'Extra 2'!L300)</f>
        <v/>
      </c>
      <c r="G300" s="7">
        <f>IF('Extra 2'!$A300="","",'Extra 2'!S300)</f>
        <v/>
      </c>
      <c r="H300">
        <f>IF('Extra 2'!$A300="","",'Extra 2'!P300)</f>
        <v/>
      </c>
      <c r="I300">
        <f>IF('Extra 2'!$A300="","",'Extra 2'!M300)</f>
        <v/>
      </c>
      <c r="J300" s="7">
        <f>IF('Extra 2'!$A300="","",'Extra 2'!Q300)</f>
        <v/>
      </c>
      <c r="K300" s="7">
        <f>IF('Extra 2'!$A300="","",'Extra 2'!H300)</f>
        <v/>
      </c>
      <c r="L300" s="7">
        <f>IF('Extra 2'!$A300="","",'Extra 2'!T300)</f>
        <v/>
      </c>
      <c r="M300">
        <f>IF('Extra 2'!$A300="","",'Extra 2'!G300)</f>
        <v/>
      </c>
    </row>
    <row r="301">
      <c r="A301">
        <f>IF('Extra 2'!$A301="","",ROWS($A$2:$A301))</f>
        <v/>
      </c>
      <c r="B301">
        <f>IF('Extra 2'!$A301="","",'Extra 2'!E301)</f>
        <v/>
      </c>
      <c r="C301">
        <f>IF('Extra 2'!$A301="","",'Extra 2'!F301)</f>
        <v/>
      </c>
      <c r="D301" s="14">
        <f>IF('Extra 2'!$A301="","",'Extra 2'!I301)</f>
        <v/>
      </c>
      <c r="E301" s="7">
        <f>IF('Extra 2'!$A301="","",'Extra 2'!O301)</f>
        <v/>
      </c>
      <c r="F301" s="7">
        <f>IF('Extra 2'!$A301="","",'Extra 2'!L301)</f>
        <v/>
      </c>
      <c r="G301" s="7">
        <f>IF('Extra 2'!$A301="","",'Extra 2'!S301)</f>
        <v/>
      </c>
      <c r="H301">
        <f>IF('Extra 2'!$A301="","",'Extra 2'!P301)</f>
        <v/>
      </c>
      <c r="I301">
        <f>IF('Extra 2'!$A301="","",'Extra 2'!M301)</f>
        <v/>
      </c>
      <c r="J301" s="7">
        <f>IF('Extra 2'!$A301="","",'Extra 2'!Q301)</f>
        <v/>
      </c>
      <c r="K301" s="7">
        <f>IF('Extra 2'!$A301="","",'Extra 2'!H301)</f>
        <v/>
      </c>
      <c r="L301" s="7">
        <f>IF('Extra 2'!$A301="","",'Extra 2'!T301)</f>
        <v/>
      </c>
      <c r="M301">
        <f>IF('Extra 2'!$A301="","",'Extra 2'!G301)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2026-10-20T11:06:35Z</dcterms:created>
  <dcterms:modified xmlns:dcterms="http://purl.org/dc/terms/" xmlns:xsi="http://www.w3.org/2001/XMLSchema-instance" xsi:type="dcterms:W3CDTF">2026-10-20T11:06:36Z</dcterms:modified>
</cp:coreProperties>
</file>